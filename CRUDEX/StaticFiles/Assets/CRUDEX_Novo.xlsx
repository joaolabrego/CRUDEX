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C#\SGSI_CRUDEX\CRUDEX\StaticFiles\Assets\"/>
    </mc:Choice>
  </mc:AlternateContent>
  <xr:revisionPtr revIDLastSave="0" documentId="8_{5DD92C37-73B4-46B8-B6D9-F7C868428250}" xr6:coauthVersionLast="47" xr6:coauthVersionMax="47" xr10:uidLastSave="{00000000-0000-0000-0000-000000000000}"/>
  <bookViews>
    <workbookView xWindow="-108" yWindow="-108" windowWidth="23256" windowHeight="13176" tabRatio="969" activeTab="21" xr2:uid="{62178005-964C-499D-8BA4-3BC85200C027}"/>
  </bookViews>
  <sheets>
    <sheet name="Cat" sheetId="1" r:id="rId1"/>
    <sheet name="Cmp" sheetId="52" r:id="rId2"/>
    <sheet name="Rul" sheetId="53" r:id="rId3"/>
    <sheet name="Eng" sheetId="26" r:id="rId4"/>
    <sheet name="Typ" sheetId="2" r:id="rId5"/>
    <sheet name="Map" sheetId="27" r:id="rId6"/>
    <sheet name="Own" sheetId="28" r:id="rId7"/>
    <sheet name="Dmn" sheetId="4" r:id="rId8"/>
    <sheet name="Msk" sheetId="3" r:id="rId9"/>
    <sheet name="Mkg" sheetId="31" r:id="rId10"/>
    <sheet name="Con" sheetId="62" r:id="rId11"/>
    <sheet name="Db" sheetId="9" r:id="rId12"/>
    <sheet name="Env" sheetId="56" r:id="rId13"/>
    <sheet name="Str" sheetId="57" r:id="rId14"/>
    <sheet name="Sys" sheetId="5" r:id="rId15"/>
    <sheet name="Mnu" sheetId="6" r:id="rId16"/>
    <sheet name="Tbl" sheetId="11" r:id="rId17"/>
    <sheet name="Col" sheetId="12" r:id="rId18"/>
    <sheet name="Idx" sheetId="13" r:id="rId19"/>
    <sheet name="Idk" sheetId="14" r:id="rId20"/>
    <sheet name="Inc" sheetId="42" r:id="rId21"/>
    <sheet name="Uni" sheetId="22" r:id="rId22"/>
    <sheet name="Exp" sheetId="41" r:id="rId23"/>
    <sheet name="Cnd" sheetId="34" r:id="rId24"/>
    <sheet name="Ref" sheetId="46" r:id="rId25"/>
    <sheet name="Rfk" sheetId="55" r:id="rId26"/>
    <sheet name="Usr" sheetId="7" r:id="rId27"/>
    <sheet name="Prm" sheetId="40" r:id="rId28"/>
    <sheet name="Prp" sheetId="37" r:id="rId29"/>
    <sheet name="Snp" sheetId="49" r:id="rId30"/>
    <sheet name="Sch" sheetId="47" r:id="rId31"/>
    <sheet name="Scr" sheetId="50" r:id="rId32"/>
    <sheet name="Cal" sheetId="54" r:id="rId33"/>
    <sheet name="Bhv" sheetId="38" r:id="rId34"/>
    <sheet name="Ses" sheetId="15" r:id="rId35"/>
    <sheet name="Trs" sheetId="19" r:id="rId36"/>
    <sheet name="Ope" sheetId="20" r:id="rId37"/>
    <sheet name="Id" sheetId="59" r:id="rId38"/>
    <sheet name="Val" sheetId="60" r:id="rId39"/>
  </sheets>
  <definedNames>
    <definedName name="_xlnm._FilterDatabase" localSheetId="17" hidden="1">Col!$A$1:$U$218</definedName>
    <definedName name="_xlnm._FilterDatabase" localSheetId="5" hidden="1">Map!$A$1:$G$395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0" l="1" a="1"/>
  <c r="E2" i="59" a="1"/>
  <c r="C2" i="59" a="1"/>
  <c r="B2" i="59" a="1"/>
  <c r="G2" i="15" a="1"/>
  <c r="E2" i="15" a="1"/>
  <c r="C2" i="15" a="1"/>
  <c r="H2" i="38" a="1"/>
  <c r="F2" i="38" a="1"/>
  <c r="D2" i="38" a="1"/>
  <c r="C2" i="38" a="1"/>
  <c r="E2" i="54" a="1"/>
  <c r="C2" i="60" l="1"/>
  <c r="E2" i="59"/>
  <c r="C2" i="59"/>
  <c r="B2" i="59"/>
  <c r="G2" i="15"/>
  <c r="E2" i="15"/>
  <c r="C2" i="15"/>
  <c r="H2" i="38"/>
  <c r="F2" i="38"/>
  <c r="D2" i="38"/>
  <c r="C2" i="38"/>
  <c r="E2" i="54"/>
  <c r="C2" i="54" a="1"/>
  <c r="C4" i="50" a="1"/>
  <c r="G2" i="50" a="1"/>
  <c r="E2" i="50" a="1"/>
  <c r="C2" i="50" a="1"/>
  <c r="C2" i="54" l="1"/>
  <c r="C4" i="50"/>
  <c r="G2" i="50"/>
  <c r="E2" i="50"/>
  <c r="C2" i="50"/>
  <c r="A64" i="4"/>
  <c r="C2" i="49" a="1"/>
  <c r="C2" i="37" a="1"/>
  <c r="G2" i="40" a="1"/>
  <c r="E2" i="40" a="1"/>
  <c r="C2" i="40" a="1"/>
  <c r="C2" i="7" a="1"/>
  <c r="E2" i="55" a="1"/>
  <c r="C2" i="55" a="1"/>
  <c r="E2" i="46" a="1"/>
  <c r="C2" i="46" a="1"/>
  <c r="L2" i="34" a="1"/>
  <c r="J2" i="34" a="1"/>
  <c r="H2" i="34" a="1"/>
  <c r="C2" i="34" a="1"/>
  <c r="C2" i="41" a="1"/>
  <c r="G2" i="22" a="1"/>
  <c r="F2" i="22" a="1"/>
  <c r="D2" i="22" a="1"/>
  <c r="C2" i="22" a="1"/>
  <c r="E2" i="42" a="1"/>
  <c r="C2" i="42" a="1"/>
  <c r="C2" i="49" l="1"/>
  <c r="C2" i="37"/>
  <c r="G2" i="40"/>
  <c r="E2" i="40"/>
  <c r="C2" i="40"/>
  <c r="C2" i="7"/>
  <c r="E2" i="55"/>
  <c r="C2" i="55"/>
  <c r="E2" i="46"/>
  <c r="C2" i="46"/>
  <c r="L2" i="34"/>
  <c r="J2" i="34"/>
  <c r="H2" i="34"/>
  <c r="C2" i="34"/>
  <c r="C2" i="41"/>
  <c r="G2" i="22"/>
  <c r="F2" i="22"/>
  <c r="D2" i="22"/>
  <c r="C2" i="22"/>
  <c r="E2" i="42"/>
  <c r="C2" i="42"/>
  <c r="E2" i="14" a="1"/>
  <c r="C2" i="14" a="1"/>
  <c r="C2" i="13" a="1"/>
  <c r="E2" i="12" a="1"/>
  <c r="C2" i="12" a="1"/>
  <c r="C2" i="11" a="1"/>
  <c r="E2" i="6" a="1"/>
  <c r="C2" i="6" a="1"/>
  <c r="E2" i="14" l="1"/>
  <c r="C2" i="14"/>
  <c r="C2" i="13"/>
  <c r="E2" i="12"/>
  <c r="C2" i="12"/>
  <c r="C2" i="11"/>
  <c r="E2" i="6"/>
  <c r="C2" i="6"/>
  <c r="C2" i="5" a="1"/>
  <c r="E2" i="57" a="1"/>
  <c r="C2" i="57" a="1"/>
  <c r="C2" i="56" a="1"/>
  <c r="C2" i="9" a="1"/>
  <c r="C2" i="62" a="1"/>
  <c r="C2" i="5" l="1"/>
  <c r="E2" i="57"/>
  <c r="C2" i="57"/>
  <c r="C2" i="56"/>
  <c r="C2" i="9"/>
  <c r="C2" i="62"/>
  <c r="E2" i="31" a="1"/>
  <c r="C2" i="31" a="1"/>
  <c r="C2" i="3" a="1"/>
  <c r="E2" i="4" a="1"/>
  <c r="C2" i="4" a="1"/>
  <c r="E2" i="31" l="1"/>
  <c r="C2" i="31"/>
  <c r="C2" i="3"/>
  <c r="E2" i="4"/>
  <c r="C2" i="4"/>
  <c r="C2" i="28" a="1"/>
  <c r="E2" i="27" a="1"/>
  <c r="C2" i="27" a="1"/>
  <c r="C2" i="28" l="1"/>
  <c r="E2" i="27"/>
  <c r="C2" i="27"/>
  <c r="A63" i="4"/>
  <c r="C2" i="53" a="1"/>
  <c r="C2" i="2" a="1"/>
  <c r="F2" i="53" a="1"/>
  <c r="E2" i="53" a="1"/>
  <c r="C2" i="53" l="1"/>
  <c r="C2" i="2"/>
  <c r="F2" i="53"/>
  <c r="E2" i="53"/>
  <c r="A62" i="4"/>
  <c r="A61" i="4"/>
  <c r="A60" i="4"/>
  <c r="A59" i="4"/>
  <c r="A58" i="4"/>
  <c r="A215" i="12"/>
  <c r="A209" i="12"/>
  <c r="A49" i="12"/>
  <c r="E4" i="54" a="1"/>
  <c r="E4" i="54" l="1"/>
  <c r="A413" i="27"/>
  <c r="A412" i="27"/>
  <c r="A411" i="27"/>
  <c r="A410" i="27"/>
  <c r="A409" i="27"/>
  <c r="A408" i="27"/>
  <c r="A407" i="27"/>
  <c r="A406" i="27"/>
  <c r="A405" i="27"/>
  <c r="A404" i="27"/>
  <c r="A403" i="27"/>
  <c r="A402" i="27"/>
  <c r="A401" i="27"/>
  <c r="A400" i="27"/>
  <c r="A399" i="27"/>
  <c r="A398" i="27"/>
  <c r="A397" i="27"/>
  <c r="A396" i="27"/>
  <c r="A43" i="27"/>
  <c r="A44" i="27"/>
  <c r="A44" i="2"/>
  <c r="A41" i="12"/>
  <c r="A255" i="12" l="1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4" i="60"/>
  <c r="A44" i="59"/>
  <c r="A43" i="59"/>
  <c r="A42" i="59"/>
  <c r="A41" i="59"/>
  <c r="A40" i="59"/>
  <c r="A39" i="59"/>
  <c r="A38" i="59"/>
  <c r="A37" i="59"/>
  <c r="A36" i="59"/>
  <c r="A35" i="59"/>
  <c r="A34" i="59"/>
  <c r="A33" i="59"/>
  <c r="A32" i="59"/>
  <c r="A31" i="59"/>
  <c r="A30" i="59"/>
  <c r="A29" i="59"/>
  <c r="A28" i="59"/>
  <c r="A27" i="59"/>
  <c r="A26" i="59"/>
  <c r="A25" i="59"/>
  <c r="A24" i="59"/>
  <c r="A23" i="59"/>
  <c r="A22" i="59"/>
  <c r="A21" i="59"/>
  <c r="A20" i="59"/>
  <c r="A19" i="59"/>
  <c r="A18" i="59"/>
  <c r="A17" i="59"/>
  <c r="A16" i="59"/>
  <c r="A15" i="59"/>
  <c r="A14" i="59"/>
  <c r="A13" i="59"/>
  <c r="A12" i="59"/>
  <c r="A11" i="59"/>
  <c r="A10" i="59"/>
  <c r="A9" i="59"/>
  <c r="A8" i="59"/>
  <c r="A7" i="59"/>
  <c r="A6" i="59"/>
  <c r="A5" i="59"/>
  <c r="A4" i="59"/>
  <c r="A4" i="20"/>
  <c r="A4" i="15"/>
  <c r="A4" i="38"/>
  <c r="A4" i="47"/>
  <c r="A4" i="49"/>
  <c r="A4" i="50"/>
  <c r="A57" i="4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A8" i="37"/>
  <c r="A7" i="37"/>
  <c r="A6" i="37"/>
  <c r="A5" i="37"/>
  <c r="A4" i="37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A22" i="40"/>
  <c r="A21" i="40"/>
  <c r="A20" i="40"/>
  <c r="A19" i="40"/>
  <c r="A18" i="40"/>
  <c r="A17" i="40"/>
  <c r="A16" i="40"/>
  <c r="A15" i="40"/>
  <c r="A14" i="40"/>
  <c r="A13" i="40"/>
  <c r="A12" i="40"/>
  <c r="A11" i="40"/>
  <c r="A10" i="40"/>
  <c r="A9" i="40"/>
  <c r="A8" i="40"/>
  <c r="A7" i="40"/>
  <c r="A6" i="40"/>
  <c r="A5" i="40"/>
  <c r="A4" i="40"/>
  <c r="A5" i="7"/>
  <c r="A4" i="7"/>
  <c r="A15" i="55"/>
  <c r="A14" i="55"/>
  <c r="A13" i="55"/>
  <c r="A12" i="55"/>
  <c r="A11" i="55"/>
  <c r="A10" i="55"/>
  <c r="A9" i="55"/>
  <c r="A8" i="55"/>
  <c r="A7" i="55"/>
  <c r="A6" i="55"/>
  <c r="A5" i="55"/>
  <c r="A4" i="55"/>
  <c r="A15" i="46"/>
  <c r="A14" i="46"/>
  <c r="A13" i="46"/>
  <c r="A12" i="46"/>
  <c r="A11" i="46"/>
  <c r="A10" i="46"/>
  <c r="A9" i="46"/>
  <c r="A8" i="46"/>
  <c r="A7" i="46"/>
  <c r="A6" i="46"/>
  <c r="A5" i="46"/>
  <c r="A4" i="46"/>
  <c r="A224" i="12"/>
  <c r="A223" i="12"/>
  <c r="A222" i="12"/>
  <c r="A221" i="12"/>
  <c r="A220" i="12"/>
  <c r="A219" i="12"/>
  <c r="A218" i="12"/>
  <c r="A217" i="12"/>
  <c r="A216" i="12"/>
  <c r="A214" i="12"/>
  <c r="A213" i="12"/>
  <c r="A212" i="12"/>
  <c r="A211" i="12"/>
  <c r="A210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8" i="12"/>
  <c r="A47" i="12"/>
  <c r="A46" i="12"/>
  <c r="A45" i="12"/>
  <c r="A44" i="12"/>
  <c r="A43" i="12"/>
  <c r="A42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4" i="4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4" i="5"/>
  <c r="A6" i="57"/>
  <c r="A5" i="57"/>
  <c r="A4" i="57"/>
  <c r="E4" i="50" a="1"/>
  <c r="E25" i="6" a="1"/>
  <c r="C4" i="54" a="1"/>
  <c r="E22" i="6" a="1"/>
  <c r="C209" i="12" a="1"/>
  <c r="C215" i="12" a="1"/>
  <c r="E23" i="6" a="1"/>
  <c r="E21" i="6" a="1"/>
  <c r="E24" i="6" a="1"/>
  <c r="C237" i="12" a="1"/>
  <c r="C8" i="12" a="1"/>
  <c r="C10" i="12" a="1"/>
  <c r="C14" i="12" a="1"/>
  <c r="C251" i="12" a="1"/>
  <c r="C247" i="12" a="1"/>
  <c r="C15" i="12" a="1"/>
  <c r="C228" i="12" a="1"/>
  <c r="C82" i="12" a="1"/>
  <c r="C9" i="12" a="1"/>
  <c r="C227" i="12" a="1"/>
  <c r="C91" i="12" a="1"/>
  <c r="C90" i="12" a="1"/>
  <c r="C236" i="12" a="1"/>
  <c r="C243" i="12" a="1"/>
  <c r="C7" i="12" a="1"/>
  <c r="C234" i="12" a="1"/>
  <c r="C240" i="12" a="1"/>
  <c r="C79" i="12" a="1"/>
  <c r="C225" i="12" a="1"/>
  <c r="C242" i="12" a="1"/>
  <c r="C250" i="12" a="1"/>
  <c r="C253" i="12" a="1"/>
  <c r="C49" i="12" a="1"/>
  <c r="C233" i="12" a="1"/>
  <c r="C252" i="12" a="1"/>
  <c r="C230" i="12" a="1"/>
  <c r="C226" i="12" a="1"/>
  <c r="C231" i="12" a="1"/>
  <c r="C244" i="12" a="1"/>
  <c r="C11" i="12" a="1"/>
  <c r="C41" i="12" a="1"/>
  <c r="C248" i="12" a="1"/>
  <c r="C81" i="12" a="1"/>
  <c r="C249" i="12" a="1"/>
  <c r="C235" i="12" a="1"/>
  <c r="C5" i="12" a="1"/>
  <c r="C80" i="12" a="1"/>
  <c r="C238" i="12" a="1"/>
  <c r="C12" i="12" a="1"/>
  <c r="C255" i="12" a="1"/>
  <c r="C232" i="12" a="1"/>
  <c r="C239" i="12" a="1"/>
  <c r="C254" i="12" a="1"/>
  <c r="C6" i="12" a="1"/>
  <c r="C13" i="12" a="1"/>
  <c r="C16" i="12" a="1"/>
  <c r="C241" i="12" a="1"/>
  <c r="C245" i="12" a="1"/>
  <c r="C246" i="12" a="1"/>
  <c r="C229" i="12" a="1"/>
  <c r="E4" i="50" l="1"/>
  <c r="C215" i="12"/>
  <c r="C209" i="12"/>
  <c r="C4" i="54"/>
  <c r="C49" i="12"/>
  <c r="C41" i="12"/>
  <c r="C254" i="12"/>
  <c r="C255" i="12"/>
  <c r="C253" i="12"/>
  <c r="C90" i="12"/>
  <c r="C91" i="12"/>
  <c r="C81" i="12"/>
  <c r="C80" i="12"/>
  <c r="C82" i="12"/>
  <c r="C79" i="12"/>
  <c r="C249" i="12"/>
  <c r="C245" i="12"/>
  <c r="C250" i="12"/>
  <c r="C252" i="12"/>
  <c r="C243" i="12"/>
  <c r="C247" i="12"/>
  <c r="C246" i="12"/>
  <c r="C251" i="12"/>
  <c r="C248" i="12"/>
  <c r="C244" i="12"/>
  <c r="C229" i="12"/>
  <c r="C241" i="12"/>
  <c r="C235" i="12"/>
  <c r="C228" i="12"/>
  <c r="C240" i="12"/>
  <c r="C232" i="12"/>
  <c r="C227" i="12"/>
  <c r="C231" i="12"/>
  <c r="C237" i="12"/>
  <c r="C239" i="12"/>
  <c r="C242" i="12"/>
  <c r="C226" i="12"/>
  <c r="C236" i="12"/>
  <c r="C225" i="12"/>
  <c r="C233" i="12"/>
  <c r="C238" i="12"/>
  <c r="C230" i="12"/>
  <c r="C234" i="12"/>
  <c r="C7" i="12"/>
  <c r="C8" i="12"/>
  <c r="C9" i="12"/>
  <c r="C10" i="12"/>
  <c r="C11" i="12"/>
  <c r="C12" i="12"/>
  <c r="C13" i="12"/>
  <c r="C14" i="12"/>
  <c r="C5" i="12"/>
  <c r="C15" i="12"/>
  <c r="C6" i="12"/>
  <c r="C16" i="12"/>
  <c r="E22" i="6"/>
  <c r="H22" i="6" s="1"/>
  <c r="E23" i="6"/>
  <c r="H23" i="6" s="1"/>
  <c r="E24" i="6"/>
  <c r="H24" i="6" s="1"/>
  <c r="E25" i="6"/>
  <c r="H25" i="6" s="1"/>
  <c r="E21" i="6"/>
  <c r="H21" i="6" s="1"/>
  <c r="A6" i="56"/>
  <c r="A5" i="56"/>
  <c r="A4" i="56"/>
  <c r="A3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8" i="31"/>
  <c r="A7" i="31"/>
  <c r="A6" i="31"/>
  <c r="A5" i="31"/>
  <c r="A4" i="31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4" i="4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13" i="26"/>
  <c r="A12" i="26"/>
  <c r="A11" i="26"/>
  <c r="A10" i="26"/>
  <c r="A9" i="26"/>
  <c r="A8" i="26"/>
  <c r="A7" i="26"/>
  <c r="A6" i="26"/>
  <c r="A5" i="26"/>
  <c r="A4" i="26"/>
  <c r="A71" i="53"/>
  <c r="A70" i="53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A12" i="53"/>
  <c r="A11" i="53"/>
  <c r="A10" i="53"/>
  <c r="A9" i="53"/>
  <c r="A8" i="53"/>
  <c r="A7" i="53"/>
  <c r="A6" i="53"/>
  <c r="A5" i="53"/>
  <c r="A4" i="53"/>
  <c r="A17" i="52"/>
  <c r="A16" i="52"/>
  <c r="A15" i="52"/>
  <c r="A14" i="52"/>
  <c r="A13" i="52"/>
  <c r="A12" i="52"/>
  <c r="A11" i="52"/>
  <c r="A10" i="52"/>
  <c r="A9" i="52"/>
  <c r="A8" i="52"/>
  <c r="A7" i="52"/>
  <c r="A6" i="52"/>
  <c r="A5" i="52"/>
  <c r="A4" i="52"/>
  <c r="A13" i="1"/>
  <c r="A12" i="1"/>
  <c r="A11" i="1"/>
  <c r="A10" i="1"/>
  <c r="A9" i="1"/>
  <c r="A8" i="1"/>
  <c r="A7" i="1"/>
  <c r="A6" i="1"/>
  <c r="A5" i="1"/>
  <c r="A4" i="1"/>
  <c r="C3" i="40" a="1"/>
  <c r="E3" i="15" a="1"/>
  <c r="C3" i="59" a="1"/>
  <c r="C3" i="15" a="1"/>
  <c r="B3" i="59" a="1"/>
  <c r="E3" i="59" a="1"/>
  <c r="C3" i="38" a="1"/>
  <c r="C3" i="7" a="1"/>
  <c r="F3" i="38" a="1"/>
  <c r="H3" i="38" a="1"/>
  <c r="E3" i="40" a="1"/>
  <c r="G3" i="15" a="1"/>
  <c r="C3" i="49" a="1"/>
  <c r="E3" i="50" a="1"/>
  <c r="G3" i="40" a="1"/>
  <c r="C3" i="37" a="1"/>
  <c r="D3" i="38" a="1"/>
  <c r="G3" i="50" a="1"/>
  <c r="C3" i="60" a="1"/>
  <c r="E3" i="54" a="1"/>
  <c r="C3" i="50" a="1"/>
  <c r="C3" i="54" a="1"/>
  <c r="E64" i="4" a="1"/>
  <c r="E5" i="4" a="1"/>
  <c r="C3" i="12" a="1"/>
  <c r="E3" i="12" a="1"/>
  <c r="H3" i="34" a="1"/>
  <c r="C3" i="14" a="1"/>
  <c r="E3" i="42" a="1"/>
  <c r="C3" i="55" a="1"/>
  <c r="C3" i="46" a="1"/>
  <c r="C3" i="13" a="1"/>
  <c r="G3" i="22" a="1"/>
  <c r="C3" i="22" a="1"/>
  <c r="C3" i="11" a="1"/>
  <c r="E3" i="6" a="1"/>
  <c r="F3" i="22" a="1"/>
  <c r="C3" i="41" a="1"/>
  <c r="J3" i="34" a="1"/>
  <c r="E3" i="14" a="1"/>
  <c r="L3" i="34" a="1"/>
  <c r="C3" i="5" a="1"/>
  <c r="E3" i="55" a="1"/>
  <c r="C3" i="34" a="1"/>
  <c r="C3" i="27" a="1"/>
  <c r="C3" i="4" a="1"/>
  <c r="C3" i="62" a="1"/>
  <c r="C3" i="6" a="1"/>
  <c r="C3" i="42" a="1"/>
  <c r="E58" i="4" a="1"/>
  <c r="E61" i="4" a="1"/>
  <c r="E59" i="4" a="1"/>
  <c r="E60" i="4" a="1"/>
  <c r="E62" i="4" a="1"/>
  <c r="E63" i="4" a="1"/>
  <c r="A3" i="57" a="1"/>
  <c r="WSS3" i="53" a="1"/>
  <c r="QNL3" i="53" a="1"/>
  <c r="VMX3" i="53" a="1"/>
  <c r="SRV3" i="53" a="1"/>
  <c r="PIA3" i="53" a="1"/>
  <c r="E72" i="27" a="1"/>
  <c r="NHV3" i="53" a="1"/>
  <c r="C284" i="27" a="1"/>
  <c r="KYU3" i="53" a="1"/>
  <c r="PHE3" i="53" a="1"/>
  <c r="MFS3" i="53" a="1"/>
  <c r="E22" i="27" a="1"/>
  <c r="PTO3" i="53" a="1"/>
  <c r="AER3" i="53" a="1"/>
  <c r="VQY3" i="53" a="1"/>
  <c r="PUV3" i="53" a="1"/>
  <c r="XAX3" i="53" a="1"/>
  <c r="E118" i="27" a="1"/>
  <c r="F66" i="53" a="1"/>
  <c r="PVJ3" i="53" a="1"/>
  <c r="UXE3" i="53" a="1"/>
  <c r="VKP3" i="53" a="1"/>
  <c r="NYO3" i="53" a="1"/>
  <c r="UKN3" i="53" a="1"/>
  <c r="E142" i="27" a="1"/>
  <c r="TUZ3" i="53" a="1"/>
  <c r="C14" i="53" a="1"/>
  <c r="MIZ3" i="53" a="1"/>
  <c r="RHT3" i="53" a="1"/>
  <c r="PJD3" i="53" a="1"/>
  <c r="E21" i="53" a="1"/>
  <c r="CCR3" i="53" a="1"/>
  <c r="E80" i="27" a="1"/>
  <c r="E12" i="31" a="1"/>
  <c r="QFL3" i="53" a="1"/>
  <c r="WOH3" i="53" a="1"/>
  <c r="E156" i="27" a="1"/>
  <c r="JRI3" i="53" a="1"/>
  <c r="UVN3" i="53" a="1"/>
  <c r="E6" i="53" a="1"/>
  <c r="XCZ3" i="53" a="1"/>
  <c r="ODZ3" i="53" a="1"/>
  <c r="E197" i="27" a="1"/>
  <c r="NOF3" i="53" a="1"/>
  <c r="SGS3" i="53" a="1"/>
  <c r="HVM3" i="53" a="1"/>
  <c r="QNH3" i="53" a="1"/>
  <c r="SXP3" i="53" a="1"/>
  <c r="E347" i="27" a="1"/>
  <c r="VXQ3" i="53" a="1"/>
  <c r="RJM3" i="53" a="1"/>
  <c r="E270" i="27" a="1"/>
  <c r="JTK3" i="53" a="1"/>
  <c r="C217" i="27" a="1"/>
  <c r="PRA3" i="53" a="1"/>
  <c r="NGT3" i="53" a="1"/>
  <c r="INL3" i="53" a="1"/>
  <c r="WIB3" i="53" a="1"/>
  <c r="WFU3" i="53" a="1"/>
  <c r="HKU3" i="53" a="1"/>
  <c r="C223" i="27" a="1"/>
  <c r="EAN3" i="53" a="1"/>
  <c r="PNZ3" i="53" a="1"/>
  <c r="SLL3" i="53" a="1"/>
  <c r="RY3" i="53" a="1"/>
  <c r="VNX3" i="53" a="1"/>
  <c r="OGP3" i="53" a="1"/>
  <c r="LDQ3" i="53" a="1"/>
  <c r="LCF3" i="53" a="1"/>
  <c r="C293" i="27" a="1"/>
  <c r="RMZ3" i="53" a="1"/>
  <c r="NAT3" i="53" a="1"/>
  <c r="IXR3" i="53" a="1"/>
  <c r="F3" i="14" a="1"/>
  <c r="E46" i="53" a="1"/>
  <c r="OEJ3" i="53" a="1"/>
  <c r="G3" i="46" a="1"/>
  <c r="C205" i="27" a="1"/>
  <c r="WHS3" i="53" a="1"/>
  <c r="E251" i="27" a="1"/>
  <c r="F16" i="53" a="1"/>
  <c r="EPW3" i="53" a="1"/>
  <c r="NNY3" i="53" a="1"/>
  <c r="F52" i="53" a="1"/>
  <c r="E3" i="38" a="1"/>
  <c r="QDJ3" i="53" a="1"/>
  <c r="MWU3" i="53" a="1"/>
  <c r="OPG3" i="53" a="1"/>
  <c r="XCY3" i="53" a="1"/>
  <c r="C46" i="27" a="1"/>
  <c r="WSX3" i="53" a="1"/>
  <c r="UKS3" i="53" a="1"/>
  <c r="RVZ3" i="53" a="1"/>
  <c r="GLY3" i="53" a="1"/>
  <c r="E356" i="27" a="1"/>
  <c r="BAK3" i="53" a="1"/>
  <c r="VLY3" i="53" a="1"/>
  <c r="UCE3" i="53" a="1"/>
  <c r="RDV3" i="53" a="1"/>
  <c r="C404" i="27" a="1"/>
  <c r="E354" i="27" a="1"/>
  <c r="MFN3" i="53" a="1"/>
  <c r="E60" i="27" a="1"/>
  <c r="SPI3" i="53" a="1"/>
  <c r="E256" i="27" a="1"/>
  <c r="WXV3" i="53" a="1"/>
  <c r="E348" i="27" a="1"/>
  <c r="C244" i="27" a="1"/>
  <c r="CWZ3" i="53" a="1"/>
  <c r="ODV3" i="53" a="1"/>
  <c r="FUC3" i="53" a="1"/>
  <c r="FHH3" i="53" a="1"/>
  <c r="E318" i="27" a="1"/>
  <c r="USV3" i="53" a="1"/>
  <c r="QYA3" i="53" a="1"/>
  <c r="WBV3" i="53" a="1"/>
  <c r="E296" i="27" a="1"/>
  <c r="C351" i="27" a="1"/>
  <c r="GNM3" i="53" a="1"/>
  <c r="WVJ3" i="53" a="1"/>
  <c r="VOU3" i="53" a="1"/>
  <c r="C327" i="27" a="1"/>
  <c r="FFH3" i="53" a="1"/>
  <c r="ITM3" i="53" a="1"/>
  <c r="OTW3" i="53" a="1"/>
  <c r="QMM3" i="53" a="1"/>
  <c r="SUN3" i="53" a="1"/>
  <c r="PLB3" i="53" a="1"/>
  <c r="TOB3" i="53" a="1"/>
  <c r="SNF3" i="53" a="1"/>
  <c r="TNE3" i="53" a="1"/>
  <c r="WBG3" i="53" a="1"/>
  <c r="E345" i="27" a="1"/>
  <c r="JIY3" i="53" a="1"/>
  <c r="C222" i="27" a="1"/>
  <c r="UWZ3" i="53" a="1"/>
  <c r="RJP3" i="53" a="1"/>
  <c r="ENW3" i="53" a="1"/>
  <c r="E199" i="27" a="1"/>
  <c r="VFY3" i="53" a="1"/>
  <c r="MXP3" i="53" a="1"/>
  <c r="QQB3" i="53" a="1"/>
  <c r="TZM3" i="53" a="1"/>
  <c r="RML3" i="53" a="1"/>
  <c r="E77" i="27" a="1"/>
  <c r="E49" i="53" a="1"/>
  <c r="WYS3" i="53" a="1"/>
  <c r="FSS3" i="53" a="1"/>
  <c r="KOM3" i="53" a="1"/>
  <c r="EXR3" i="53" a="1"/>
  <c r="MAQ3" i="53" a="1"/>
  <c r="E301" i="27" a="1"/>
  <c r="EAU3" i="53" a="1"/>
  <c r="F3" i="3" a="1"/>
  <c r="UGK3" i="53" a="1"/>
  <c r="UHA3" i="53" a="1"/>
  <c r="UEW3" i="53" a="1"/>
  <c r="WHM3" i="53" a="1"/>
  <c r="VMH3" i="53" a="1"/>
  <c r="E45" i="27" a="1"/>
  <c r="IGW3" i="53" a="1"/>
  <c r="PNJ3" i="53" a="1"/>
  <c r="A3" i="11" a="1"/>
  <c r="E41" i="27" a="1"/>
  <c r="IZK3" i="53" a="1"/>
  <c r="VVK3" i="53" a="1"/>
  <c r="VUQ3" i="53" a="1"/>
  <c r="VUO3" i="53" a="1"/>
  <c r="NYY3" i="53" a="1"/>
  <c r="E151" i="27" a="1"/>
  <c r="LFF3" i="53" a="1"/>
  <c r="IOF3" i="53" a="1"/>
  <c r="MKS3" i="53" a="1"/>
  <c r="TEJ3" i="53" a="1"/>
  <c r="PBB3" i="53" a="1"/>
  <c r="E364" i="27" a="1"/>
  <c r="WTN3" i="53" a="1"/>
  <c r="UGW3" i="53" a="1"/>
  <c r="E130" i="27" a="1"/>
  <c r="KVE3" i="53" a="1"/>
  <c r="C259" i="27" a="1"/>
  <c r="VQR3" i="53" a="1"/>
  <c r="WIC3" i="53" a="1"/>
  <c r="EUT3" i="53" a="1"/>
  <c r="WJJ3" i="53" a="1"/>
  <c r="EPV3" i="53" a="1"/>
  <c r="LCX3" i="53" a="1"/>
  <c r="F3" i="28" a="1"/>
  <c r="RSF3" i="53" a="1"/>
  <c r="VSR3" i="53" a="1"/>
  <c r="SVI3" i="53" a="1"/>
  <c r="SNC3" i="53" a="1"/>
  <c r="MQU3" i="53" a="1"/>
  <c r="E34" i="53" a="1"/>
  <c r="RLD3" i="53" a="1"/>
  <c r="C242" i="27" a="1"/>
  <c r="XAB3" i="53" a="1"/>
  <c r="KQE3" i="53" a="1"/>
  <c r="UIH3" i="53" a="1"/>
  <c r="SXV3" i="53" a="1"/>
  <c r="UAH3" i="53" a="1"/>
  <c r="E21" i="31" a="1"/>
  <c r="VYA3" i="53" a="1"/>
  <c r="OCA3" i="53" a="1"/>
  <c r="C405" i="27" a="1"/>
  <c r="JMH3" i="53" a="1"/>
  <c r="E155" i="27" a="1"/>
  <c r="KJV3" i="53" a="1"/>
  <c r="UMJ3" i="53" a="1"/>
  <c r="RPE3" i="53" a="1"/>
  <c r="F3" i="5" a="1"/>
  <c r="UYF3" i="53" a="1"/>
  <c r="PDA3" i="53" a="1"/>
  <c r="D3" i="60" a="1"/>
  <c r="CAJ3" i="53" a="1"/>
  <c r="MJA3" i="53" a="1"/>
  <c r="C301" i="27" a="1"/>
  <c r="BAZ3" i="53" a="1"/>
  <c r="UED3" i="53" a="1"/>
  <c r="DQU3" i="53" a="1"/>
  <c r="UWB3" i="53" a="1"/>
  <c r="E20" i="27" a="1"/>
  <c r="WSL3" i="53" a="1"/>
  <c r="NDR3" i="53" a="1"/>
  <c r="RGF3" i="53" a="1"/>
  <c r="VLE3" i="53" a="1"/>
  <c r="C388" i="27" a="1"/>
  <c r="E202" i="27" a="1"/>
  <c r="TPC3" i="53" a="1"/>
  <c r="E89" i="27" a="1"/>
  <c r="AZL3" i="53" a="1"/>
  <c r="E14" i="27" a="1"/>
  <c r="VYB3" i="53" a="1"/>
  <c r="E323" i="27" a="1"/>
  <c r="C122" i="27" a="1"/>
  <c r="FNF3" i="53" a="1"/>
  <c r="WHW3" i="53" a="1"/>
  <c r="FZD3" i="53" a="1"/>
  <c r="HYO3" i="53" a="1"/>
  <c r="E124" i="27" a="1"/>
  <c r="QQF3" i="53" a="1"/>
  <c r="UTD3" i="53" a="1"/>
  <c r="E67" i="53" a="1"/>
  <c r="E351" i="27" a="1"/>
  <c r="C276" i="27" a="1"/>
  <c r="WJL3" i="53" a="1"/>
  <c r="JUT3" i="53" a="1"/>
  <c r="E11" i="27" a="1"/>
  <c r="C397" i="27" a="1"/>
  <c r="WMW3" i="53" a="1"/>
  <c r="EMS3" i="53" a="1"/>
  <c r="SOM3" i="53" a="1"/>
  <c r="C337" i="27" a="1"/>
  <c r="WOL3" i="53" a="1"/>
  <c r="MHG3" i="53" a="1"/>
  <c r="FUI3" i="53" a="1"/>
  <c r="TMW3" i="53" a="1"/>
  <c r="QBC3" i="53" a="1"/>
  <c r="E109" i="27" a="1"/>
  <c r="ICT3" i="53" a="1"/>
  <c r="C251" i="27" a="1"/>
  <c r="DDZ3" i="53" a="1"/>
  <c r="SYO3" i="53" a="1"/>
  <c r="OXP3" i="53" a="1"/>
  <c r="E55" i="27" a="1"/>
  <c r="HEK3" i="53" a="1"/>
  <c r="PQZ3" i="53" a="1"/>
  <c r="VWN3" i="53" a="1"/>
  <c r="WPV3" i="53" a="1"/>
  <c r="QDX3" i="53" a="1"/>
  <c r="E122" i="27" a="1"/>
  <c r="XCC3" i="53" a="1"/>
  <c r="SZG3" i="53" a="1"/>
  <c r="LRG3" i="53" a="1"/>
  <c r="HGC3" i="53" a="1"/>
  <c r="LZY3" i="53" a="1"/>
  <c r="FWL3" i="53" a="1"/>
  <c r="E163" i="27" a="1"/>
  <c r="A3" i="49" a="1"/>
  <c r="RPT3" i="53" a="1"/>
  <c r="TGZ3" i="53" a="1"/>
  <c r="WFQ3" i="53" a="1"/>
  <c r="SLC3" i="53" a="1"/>
  <c r="STY3" i="53" a="1"/>
  <c r="NEM3" i="53" a="1"/>
  <c r="E331" i="27" a="1"/>
  <c r="UPX3" i="53" a="1"/>
  <c r="E48" i="53" a="1"/>
  <c r="KDS3" i="53" a="1"/>
  <c r="E144" i="27" a="1"/>
  <c r="PSW3" i="53" a="1"/>
  <c r="SCK3" i="53" a="1"/>
  <c r="MOG3" i="53" a="1"/>
  <c r="VJG3" i="53" a="1"/>
  <c r="NZE3" i="53" a="1"/>
  <c r="E66" i="27" a="1"/>
  <c r="IUY3" i="53" a="1"/>
  <c r="JHK3" i="53" a="1"/>
  <c r="VID3" i="53" a="1"/>
  <c r="TOZ3" i="53" a="1"/>
  <c r="KUU3" i="53" a="1"/>
  <c r="E344" i="27" a="1"/>
  <c r="OYJ3" i="53" a="1"/>
  <c r="LSG3" i="53" a="1"/>
  <c r="E159" i="27" a="1"/>
  <c r="PAW3" i="53" a="1"/>
  <c r="C148" i="27" a="1"/>
  <c r="C54" i="53" a="1"/>
  <c r="LLQ3" i="53" a="1"/>
  <c r="IAL3" i="53" a="1"/>
  <c r="UCH3" i="53" a="1"/>
  <c r="MNA3" i="53" a="1"/>
  <c r="C111" i="27" a="1"/>
  <c r="C33" i="53" a="1"/>
  <c r="TJZ3" i="53" a="1"/>
  <c r="MVN3" i="53" a="1"/>
  <c r="VEO3" i="53" a="1"/>
  <c r="QUP3" i="53" a="1"/>
  <c r="GGW3" i="53" a="1"/>
  <c r="UPI3" i="53" a="1"/>
  <c r="GPL3" i="53" a="1"/>
  <c r="C118" i="27" a="1"/>
  <c r="TCF3" i="53" a="1"/>
  <c r="WKF3" i="53" a="1"/>
  <c r="RBX3" i="53" a="1"/>
  <c r="FEW3" i="53" a="1"/>
  <c r="RIK3" i="53" a="1"/>
  <c r="RSR3" i="53" a="1"/>
  <c r="RPY3" i="53" a="1"/>
  <c r="KUJ3" i="53" a="1"/>
  <c r="C203" i="27" a="1"/>
  <c r="WUM3" i="53" a="1"/>
  <c r="E126" i="27" a="1"/>
  <c r="VTC3" i="53" a="1"/>
  <c r="KQR3" i="53" a="1"/>
  <c r="VPT3" i="53" a="1"/>
  <c r="KAG3" i="53" a="1"/>
  <c r="RLX3" i="53" a="1"/>
  <c r="NTA3" i="53" a="1"/>
  <c r="DKN3" i="53" a="1"/>
  <c r="F46" i="53" a="1"/>
  <c r="TIJ3" i="53" a="1"/>
  <c r="C54" i="27" a="1"/>
  <c r="UNN3" i="53" a="1"/>
  <c r="EQS3" i="53" a="1"/>
  <c r="ISN3" i="53" a="1"/>
  <c r="RSM3" i="53" a="1"/>
  <c r="E43" i="27" a="1"/>
  <c r="RXX3" i="53" a="1"/>
  <c r="SNR3" i="53" a="1"/>
  <c r="SHV3" i="53" a="1"/>
  <c r="VRG3" i="53" a="1"/>
  <c r="OBN3" i="53" a="1"/>
  <c r="E172" i="27" a="1"/>
  <c r="GHH3" i="53" a="1"/>
  <c r="E386" i="27" a="1"/>
  <c r="VMV3" i="53" a="1"/>
  <c r="E374" i="27" a="1"/>
  <c r="TYF3" i="53" a="1"/>
  <c r="TJJ3" i="53" a="1"/>
  <c r="C60" i="27" a="1"/>
  <c r="SYT3" i="53" a="1"/>
  <c r="TYT3" i="53" a="1"/>
  <c r="UCD3" i="53" a="1"/>
  <c r="OOL3" i="53" a="1"/>
  <c r="E179" i="27" a="1"/>
  <c r="TVJ3" i="53" a="1"/>
  <c r="UJZ3" i="53" a="1"/>
  <c r="OYA3" i="53" a="1"/>
  <c r="WRQ3" i="53" a="1"/>
  <c r="VJO3" i="53" a="1"/>
  <c r="CBK3" i="53" a="1"/>
  <c r="E407" i="27" a="1"/>
  <c r="UIU3" i="53" a="1"/>
  <c r="C50" i="27" a="1"/>
  <c r="QG3" i="53" a="1"/>
  <c r="MPI3" i="53" a="1"/>
  <c r="TKX3" i="53" a="1"/>
  <c r="E307" i="27" a="1"/>
  <c r="RKB3" i="53" a="1"/>
  <c r="IAP3" i="53" a="1"/>
  <c r="TGV3" i="53" a="1"/>
  <c r="QJH3" i="53" a="1"/>
  <c r="XAI3" i="53" a="1"/>
  <c r="E315" i="27" a="1"/>
  <c r="THJ3" i="53" a="1"/>
  <c r="UBW3" i="53" a="1"/>
  <c r="VWJ3" i="53" a="1"/>
  <c r="E3" i="56" a="1"/>
  <c r="F24" i="53" a="1"/>
  <c r="E235" i="27" a="1"/>
  <c r="E363" i="27" a="1"/>
  <c r="QWD3" i="53" a="1"/>
  <c r="WAE3" i="53" a="1"/>
  <c r="VEF3" i="53" a="1"/>
  <c r="F33" i="53" a="1"/>
  <c r="LWA3" i="53" a="1"/>
  <c r="WHI3" i="53" a="1"/>
  <c r="OTX3" i="53" a="1"/>
  <c r="OTT3" i="53" a="1"/>
  <c r="UME3" i="53" a="1"/>
  <c r="ISA3" i="53" a="1"/>
  <c r="QYV3" i="53" a="1"/>
  <c r="E247" i="27" a="1"/>
  <c r="JMF3" i="53" a="1"/>
  <c r="WTG3" i="53" a="1"/>
  <c r="UKD3" i="53" a="1"/>
  <c r="OMK3" i="53" a="1"/>
  <c r="H3" i="47" a="1"/>
  <c r="E385" i="27" a="1"/>
  <c r="SUA3" i="53" a="1"/>
  <c r="SQR3" i="53" a="1"/>
  <c r="A3" i="13" a="1"/>
  <c r="MEK3" i="53" a="1"/>
  <c r="FDI3" i="53" a="1"/>
  <c r="E104" i="27" a="1"/>
  <c r="F28" i="53" a="1"/>
  <c r="WQD3" i="53" a="1"/>
  <c r="E26" i="27" a="1"/>
  <c r="LAX3" i="53" a="1"/>
  <c r="C149" i="27" a="1"/>
  <c r="VBH3" i="53" a="1"/>
  <c r="MFC3" i="53" a="1"/>
  <c r="UGC3" i="53" a="1"/>
  <c r="UJB3" i="53" a="1"/>
  <c r="WHH3" i="53" a="1"/>
  <c r="C142" i="27" a="1"/>
  <c r="SCB3" i="53" a="1"/>
  <c r="NJG3" i="53" a="1"/>
  <c r="IKL3" i="53" a="1"/>
  <c r="TSP3" i="53" a="1"/>
  <c r="IMT3" i="53" a="1"/>
  <c r="NJP3" i="53" a="1"/>
  <c r="FXY3" i="53" a="1"/>
  <c r="WZP3" i="53" a="1"/>
  <c r="C339" i="27" a="1"/>
  <c r="PHF3" i="53" a="1"/>
  <c r="TLM3" i="53" a="1"/>
  <c r="NHU3" i="53" a="1"/>
  <c r="VDZ3" i="53" a="1"/>
  <c r="UIV3" i="53" a="1"/>
  <c r="E133" i="27" a="1"/>
  <c r="UHT3" i="53" a="1"/>
  <c r="C92" i="27" a="1"/>
  <c r="UWR3" i="53" a="1"/>
  <c r="RFJ3" i="53" a="1"/>
  <c r="RTP3" i="53" a="1"/>
  <c r="E324" i="27" a="1"/>
  <c r="GPM3" i="53" a="1"/>
  <c r="SDC3" i="53" a="1"/>
  <c r="UMI3" i="53" a="1"/>
  <c r="HIG3" i="53" a="1"/>
  <c r="QBZ3" i="53" a="1"/>
  <c r="E222" i="27" a="1"/>
  <c r="RYD3" i="53" a="1"/>
  <c r="RDK3" i="53" a="1"/>
  <c r="UHD3" i="53" a="1"/>
  <c r="SAX3" i="53" a="1"/>
  <c r="JXJ3" i="53" a="1"/>
  <c r="E366" i="27" a="1"/>
  <c r="XEI3" i="53" a="1"/>
  <c r="C3" i="28" a="1"/>
  <c r="WJA3" i="53" a="1"/>
  <c r="DBR3" i="53" a="1"/>
  <c r="CXO3" i="53" a="1"/>
  <c r="OKL3" i="53" a="1"/>
  <c r="TNH3" i="53" a="1"/>
  <c r="OWM3" i="53" a="1"/>
  <c r="C46" i="53" a="1"/>
  <c r="B3" i="37" a="1"/>
  <c r="XCG3" i="53" a="1"/>
  <c r="VDC3" i="53" a="1"/>
  <c r="E261" i="27" a="1"/>
  <c r="UAM3" i="53" a="1"/>
  <c r="VXM3" i="53" a="1"/>
  <c r="PIL3" i="53" a="1"/>
  <c r="GDL3" i="53" a="1"/>
  <c r="PUJ3" i="53" a="1"/>
  <c r="E185" i="27" a="1"/>
  <c r="UFA3" i="53" a="1"/>
  <c r="WUH3" i="53" a="1"/>
  <c r="VVP3" i="53" a="1"/>
  <c r="UFE3" i="53" a="1"/>
  <c r="B3" i="31" a="1"/>
  <c r="E225" i="27" a="1"/>
  <c r="PWF3" i="53" a="1"/>
  <c r="RKZ3" i="53" a="1"/>
  <c r="E112" i="27" a="1"/>
  <c r="WGG3" i="53" a="1"/>
  <c r="C296" i="27" a="1"/>
  <c r="RJL3" i="53" a="1"/>
  <c r="CUO3" i="53" a="1"/>
  <c r="WLW3" i="53" a="1"/>
  <c r="E362" i="27" a="1"/>
  <c r="VKW3" i="53" a="1"/>
  <c r="C266" i="27" a="1"/>
  <c r="ENL3" i="53" a="1"/>
  <c r="WAP3" i="53" a="1"/>
  <c r="IKW3" i="53" a="1"/>
  <c r="BBT3" i="53" a="1"/>
  <c r="VZF3" i="53" a="1"/>
  <c r="OYT3" i="53" a="1"/>
  <c r="E91" i="27" a="1"/>
  <c r="AFB3" i="53" a="1"/>
  <c r="C230" i="27" a="1"/>
  <c r="KYI3" i="53" a="1"/>
  <c r="TKE3" i="53" a="1"/>
  <c r="E47" i="53" a="1"/>
  <c r="SEQ3" i="53" a="1"/>
  <c r="QIP3" i="53" a="1"/>
  <c r="CEP3" i="53" a="1"/>
  <c r="QBP3" i="53" a="1"/>
  <c r="C338" i="27" a="1"/>
  <c r="VCV3" i="53" a="1"/>
  <c r="XBV3" i="53" a="1"/>
  <c r="IMG3" i="53" a="1"/>
  <c r="WYQ3" i="53" a="1"/>
  <c r="PYX3" i="53" a="1"/>
  <c r="NRU3" i="53" a="1"/>
  <c r="RDW3" i="53" a="1"/>
  <c r="TPL3" i="53" a="1"/>
  <c r="E75" i="27" a="1"/>
  <c r="VMW3" i="53" a="1"/>
  <c r="NQQ3" i="53" a="1"/>
  <c r="IVZ3" i="53" a="1"/>
  <c r="C362" i="27" a="1"/>
  <c r="UAJ3" i="53" a="1"/>
  <c r="PDP3" i="53" a="1"/>
  <c r="DKA3" i="53" a="1"/>
  <c r="VKX3" i="53" a="1"/>
  <c r="D3" i="59" a="1"/>
  <c r="OIC3" i="53" a="1"/>
  <c r="A3" i="42" a="1"/>
  <c r="STZ3" i="53" a="1"/>
  <c r="QKQ3" i="53" a="1"/>
  <c r="I3" i="27" a="1"/>
  <c r="E333" i="27" a="1"/>
  <c r="TQU3" i="53" a="1"/>
  <c r="VRN3" i="53" a="1"/>
  <c r="VEU3" i="53" a="1"/>
  <c r="UDV3" i="53" a="1"/>
  <c r="WKX3" i="53" a="1"/>
  <c r="E57" i="27" a="1"/>
  <c r="WQR3" i="53" a="1"/>
  <c r="TOC3" i="53" a="1"/>
  <c r="CNB3" i="53" a="1"/>
  <c r="QHU3" i="53" a="1"/>
  <c r="AXD3" i="53" a="1"/>
  <c r="E271" i="27" a="1"/>
  <c r="VJS3" i="53" a="1"/>
  <c r="MFD3" i="53" a="1"/>
  <c r="VTK3" i="53" a="1"/>
  <c r="E3" i="22" a="1"/>
  <c r="C35" i="53" a="1"/>
  <c r="E121" i="27" a="1"/>
  <c r="LCJ3" i="53" a="1"/>
  <c r="LSA3" i="53" a="1"/>
  <c r="WEM3" i="53" a="1"/>
  <c r="E14" i="31" a="1"/>
  <c r="WLN3" i="53" a="1"/>
  <c r="UTY3" i="53" a="1"/>
  <c r="PZR3" i="53" a="1"/>
  <c r="HOZ3" i="53" a="1"/>
  <c r="E316" i="27" a="1"/>
  <c r="VMY3" i="53" a="1"/>
  <c r="CJZ3" i="53" a="1"/>
  <c r="MDZ3" i="53" a="1"/>
  <c r="C28" i="53" a="1"/>
  <c r="FJM3" i="53" a="1"/>
  <c r="LV3" i="53" a="1"/>
  <c r="E295" i="27" a="1"/>
  <c r="SXR3" i="53" a="1"/>
  <c r="WKA3" i="53" a="1"/>
  <c r="SRX3" i="53" a="1"/>
  <c r="APA3" i="53" a="1"/>
  <c r="WQG3" i="53" a="1"/>
  <c r="E358" i="27" a="1"/>
  <c r="TYD3" i="53" a="1"/>
  <c r="KXW3" i="53" a="1"/>
  <c r="XCJ3" i="53" a="1"/>
  <c r="SNA3" i="53" a="1"/>
  <c r="KSU3" i="53" a="1"/>
  <c r="E147" i="27" a="1"/>
  <c r="RFW3" i="53" a="1"/>
  <c r="RSV3" i="53" a="1"/>
  <c r="SVB3" i="53" a="1"/>
  <c r="MTE3" i="53" a="1"/>
  <c r="RVV3" i="53" a="1"/>
  <c r="EGM3" i="53" a="1"/>
  <c r="WCK3" i="53" a="1"/>
  <c r="AWH3" i="53" a="1"/>
  <c r="VYK3" i="53" a="1"/>
  <c r="D3" i="46" a="1"/>
  <c r="GNW3" i="53" a="1"/>
  <c r="WGK3" i="53" a="1"/>
  <c r="E336" i="27" a="1"/>
  <c r="MZZ3" i="53" a="1"/>
  <c r="OHE3" i="53" a="1"/>
  <c r="VKA3" i="53" a="1"/>
  <c r="VOV3" i="53" a="1"/>
  <c r="IPR3" i="53" a="1"/>
  <c r="E171" i="27" a="1"/>
  <c r="QUM3" i="53" a="1"/>
  <c r="HKW3" i="53" a="1"/>
  <c r="WKY3" i="53" a="1"/>
  <c r="EOV3" i="53" a="1"/>
  <c r="TLK3" i="53" a="1"/>
  <c r="E412" i="27" a="1"/>
  <c r="LOP3" i="53" a="1"/>
  <c r="RPK3" i="53" a="1"/>
  <c r="QTV3" i="53" a="1"/>
  <c r="YN3" i="53" a="1"/>
  <c r="E375" i="27" a="1"/>
  <c r="LCM3" i="53" a="1"/>
  <c r="RQO3" i="53" a="1"/>
  <c r="OYQ3" i="53" a="1"/>
  <c r="WNZ3" i="53" a="1"/>
  <c r="CZ3" i="53" a="1"/>
  <c r="PGY3" i="53" a="1"/>
  <c r="E84" i="27" a="1"/>
  <c r="WDA3" i="53" a="1"/>
  <c r="C210" i="27" a="1"/>
  <c r="VGG3" i="53" a="1"/>
  <c r="NIN3" i="53" a="1"/>
  <c r="OZC3" i="53" a="1"/>
  <c r="E46" i="27" a="1"/>
  <c r="TBF3" i="53" a="1"/>
  <c r="WGO3" i="53" a="1"/>
  <c r="DYM3" i="53" a="1"/>
  <c r="JLG3" i="53" a="1"/>
  <c r="JVP3" i="53" a="1"/>
  <c r="E392" i="27" a="1"/>
  <c r="FKU3" i="53" a="1"/>
  <c r="SLG3" i="53" a="1"/>
  <c r="DEJ3" i="53" a="1"/>
  <c r="WKP3" i="53" a="1"/>
  <c r="QQT3" i="53" a="1"/>
  <c r="SEV3" i="53" a="1"/>
  <c r="REW3" i="53" a="1"/>
  <c r="VTL3" i="53" a="1"/>
  <c r="QFI3" i="53" a="1"/>
  <c r="DUD3" i="53" a="1"/>
  <c r="JQM3" i="53" a="1"/>
  <c r="RXL3" i="53" a="1"/>
  <c r="E187" i="27" a="1"/>
  <c r="SXW3" i="53" a="1"/>
  <c r="UVE3" i="53" a="1"/>
  <c r="PEN3" i="53" a="1"/>
  <c r="WTU3" i="53" a="1"/>
  <c r="TFP3" i="53" a="1"/>
  <c r="E262" i="27" a="1"/>
  <c r="DQG3" i="53" a="1"/>
  <c r="WED3" i="53" a="1"/>
  <c r="NGQ3" i="53" a="1"/>
  <c r="WDS3" i="53" a="1"/>
  <c r="TAQ3" i="53" a="1"/>
  <c r="E12" i="27" a="1"/>
  <c r="E59" i="53" a="1"/>
  <c r="PIU3" i="53" a="1"/>
  <c r="E277" i="27" a="1"/>
  <c r="WIX3" i="53" a="1"/>
  <c r="C346" i="27" a="1"/>
  <c r="SWR3" i="53" a="1"/>
  <c r="IFC3" i="53" a="1"/>
  <c r="NHQ3" i="53" a="1"/>
  <c r="E377" i="27" a="1"/>
  <c r="RWC3" i="53" a="1"/>
  <c r="C237" i="27" a="1"/>
  <c r="SFR3" i="53" a="1"/>
  <c r="NLP3" i="53" a="1"/>
  <c r="OFV3" i="53" a="1"/>
  <c r="B3" i="50" a="1"/>
  <c r="MTP3" i="53" a="1"/>
  <c r="E38" i="53" a="1"/>
  <c r="VRU3" i="53" a="1"/>
  <c r="E13" i="31" a="1"/>
  <c r="E16" i="27" a="1"/>
  <c r="ULE3" i="53" a="1"/>
  <c r="NPP3" i="53" a="1"/>
  <c r="RJA3" i="53" a="1"/>
  <c r="ECD3" i="53" a="1"/>
  <c r="XBX3" i="53" a="1"/>
  <c r="RVX3" i="53" a="1"/>
  <c r="E368" i="27" a="1"/>
  <c r="SOT3" i="53" a="1"/>
  <c r="C260" i="27" a="1"/>
  <c r="XCB3" i="53" a="1"/>
  <c r="VZC3" i="53" a="1"/>
  <c r="A3" i="20" a="1"/>
  <c r="E227" i="27" a="1"/>
  <c r="E52" i="53" a="1"/>
  <c r="E3" i="60" a="1"/>
  <c r="FQN3" i="53" a="1"/>
  <c r="TSX3" i="53" a="1"/>
  <c r="KJG3" i="53" a="1"/>
  <c r="E248" i="27" a="1"/>
  <c r="VHE3" i="53" a="1"/>
  <c r="PQY3" i="53" a="1"/>
  <c r="RFX3" i="53" a="1"/>
  <c r="RLR3" i="53" a="1"/>
  <c r="TRT3" i="53" a="1"/>
  <c r="F10" i="53" a="1"/>
  <c r="I3" i="2" a="1"/>
  <c r="WBU3" i="53" a="1"/>
  <c r="OPH3" i="53" a="1"/>
  <c r="RDF3" i="53" a="1"/>
  <c r="JXW3" i="53" a="1"/>
  <c r="RDL3" i="53" a="1"/>
  <c r="E396" i="27" a="1"/>
  <c r="JQR3" i="53" a="1"/>
  <c r="URD3" i="53" a="1"/>
  <c r="HSG3" i="53" a="1"/>
  <c r="M3" i="34" a="1"/>
  <c r="OXB3" i="53" a="1"/>
  <c r="E274" i="27" a="1"/>
  <c r="SJO3" i="53" a="1"/>
  <c r="JOT3" i="53" a="1"/>
  <c r="VLQ3" i="53" a="1"/>
  <c r="BMD3" i="53" a="1"/>
  <c r="TPT3" i="53" a="1"/>
  <c r="E170" i="27" a="1"/>
  <c r="QJE3" i="53" a="1"/>
  <c r="VBG3" i="53" a="1"/>
  <c r="E289" i="27" a="1"/>
  <c r="NUW3" i="53" a="1"/>
  <c r="C214" i="27" a="1"/>
  <c r="QUF3" i="53" a="1"/>
  <c r="I3" i="34" a="1"/>
  <c r="VTQ3" i="53" a="1"/>
  <c r="E178" i="27" a="1"/>
  <c r="B3" i="54" a="1"/>
  <c r="VNT3" i="53" a="1"/>
  <c r="D3" i="54" a="1"/>
  <c r="MTO3" i="53" a="1"/>
  <c r="JWY3" i="53" a="1"/>
  <c r="SKF3" i="53" a="1"/>
  <c r="RCE3" i="53" a="1"/>
  <c r="E59" i="27" a="1"/>
  <c r="TWL3" i="53" a="1"/>
  <c r="MWQ3" i="53" a="1"/>
  <c r="UVY3" i="53" a="1"/>
  <c r="RES3" i="53" a="1"/>
  <c r="CSL3" i="53" a="1"/>
  <c r="TZQ3" i="53" a="1"/>
  <c r="E255" i="27" a="1"/>
  <c r="WUU3" i="53" a="1"/>
  <c r="C156" i="27" a="1"/>
  <c r="C3" i="31" a="1"/>
  <c r="ROF3" i="53" a="1"/>
  <c r="TUA3" i="53" a="1"/>
  <c r="E322" i="27" a="1"/>
  <c r="OUZ3" i="53" a="1"/>
  <c r="USS3" i="53" a="1"/>
  <c r="LAY3" i="53" a="1"/>
  <c r="A3" i="34" a="1"/>
  <c r="VPQ3" i="53" a="1"/>
  <c r="E380" i="27" a="1"/>
  <c r="TTR3" i="53" a="1"/>
  <c r="RIX3" i="53" a="1"/>
  <c r="JJF3" i="53" a="1"/>
  <c r="VDP3" i="53" a="1"/>
  <c r="KXN3" i="53" a="1"/>
  <c r="GRG3" i="53" a="1"/>
  <c r="WBT3" i="53" a="1"/>
  <c r="OQC3" i="53" a="1"/>
  <c r="VPI3" i="53" a="1"/>
  <c r="F61" i="53" a="1"/>
  <c r="A3" i="54" a="1"/>
  <c r="E181" i="27" a="1"/>
  <c r="E403" i="27" a="1"/>
  <c r="URO3" i="53" a="1"/>
  <c r="RZC3" i="53" a="1"/>
  <c r="RHN3" i="53" a="1"/>
  <c r="WGS3" i="53" a="1"/>
  <c r="UTE3" i="53" a="1"/>
  <c r="E359" i="27" a="1"/>
  <c r="JCU3" i="53" a="1"/>
  <c r="UCG3" i="53" a="1"/>
  <c r="EZP3" i="53" a="1"/>
  <c r="XBH3" i="53" a="1"/>
  <c r="SOD3" i="53" a="1"/>
  <c r="E15" i="27" a="1"/>
  <c r="NYZ3" i="53" a="1"/>
  <c r="UDU3" i="53" a="1"/>
  <c r="UEB3" i="53" a="1"/>
  <c r="RLI3" i="53" a="1"/>
  <c r="C15" i="27" a="1"/>
  <c r="WDQ3" i="53" a="1"/>
  <c r="NFC3" i="53" a="1"/>
  <c r="PYJ3" i="53" a="1"/>
  <c r="E96" i="27" a="1"/>
  <c r="PUG3" i="53" a="1"/>
  <c r="C169" i="27" a="1"/>
  <c r="MPH3" i="53" a="1"/>
  <c r="UYN3" i="53" a="1"/>
  <c r="IGC3" i="53" a="1"/>
  <c r="VWP3" i="53" a="1"/>
  <c r="VIH3" i="53" a="1"/>
  <c r="GMA3" i="53" a="1"/>
  <c r="E291" i="27" a="1"/>
  <c r="PXC3" i="53" a="1"/>
  <c r="C401" i="27" a="1"/>
  <c r="WNC3" i="53" a="1"/>
  <c r="ICK3" i="53" a="1"/>
  <c r="WQK3" i="53" a="1"/>
  <c r="E51" i="27" a="1"/>
  <c r="VOH3" i="53" a="1"/>
  <c r="E105" i="27" a="1"/>
  <c r="BGH3" i="53" a="1"/>
  <c r="C238" i="27" a="1"/>
  <c r="DXR3" i="53" a="1"/>
  <c r="WWF3" i="53" a="1"/>
  <c r="JFP3" i="53" a="1"/>
  <c r="E164" i="27" a="1"/>
  <c r="BFV3" i="53" a="1"/>
  <c r="WUJ3" i="53" a="1"/>
  <c r="RVL3" i="53" a="1"/>
  <c r="E15" i="31" a="1"/>
  <c r="PQR3" i="53" a="1"/>
  <c r="SDW3" i="53" a="1"/>
  <c r="E321" i="27" a="1"/>
  <c r="EHO3" i="53" a="1"/>
  <c r="C173" i="27" a="1"/>
  <c r="UAP3" i="53" a="1"/>
  <c r="SZV3" i="53" a="1"/>
  <c r="OXU3" i="53" a="1"/>
  <c r="NLS3" i="53" a="1"/>
  <c r="E23" i="53" a="1"/>
  <c r="C191" i="27" a="1"/>
  <c r="QWE3" i="53" a="1"/>
  <c r="RXJ3" i="53" a="1"/>
  <c r="FLU3" i="53" a="1"/>
  <c r="IXA3" i="53" a="1"/>
  <c r="LEI3" i="53" a="1"/>
  <c r="QLX3" i="53" a="1"/>
  <c r="C30" i="53" a="1"/>
  <c r="OUD3" i="53" a="1"/>
  <c r="OWB3" i="53" a="1"/>
  <c r="MIA3" i="53" a="1"/>
  <c r="RFE3" i="53" a="1"/>
  <c r="C280" i="27" a="1"/>
  <c r="FRP3" i="53" a="1"/>
  <c r="HFX3" i="53" a="1"/>
  <c r="E40" i="27" a="1"/>
  <c r="E35" i="53" a="1"/>
  <c r="LKT3" i="53" a="1"/>
  <c r="E78" i="27" a="1"/>
  <c r="VLO3" i="53" a="1"/>
  <c r="KJZ3" i="53" a="1"/>
  <c r="HBI3" i="53" a="1"/>
  <c r="TKI3" i="53" a="1"/>
  <c r="QOD3" i="53" a="1"/>
  <c r="PUO3" i="53" a="1"/>
  <c r="TDU3" i="53" a="1"/>
  <c r="LDO3" i="53" a="1"/>
  <c r="MQF3" i="53" a="1"/>
  <c r="LUO3" i="53" a="1"/>
  <c r="GPA3" i="53" a="1"/>
  <c r="FCA3" i="53" a="1"/>
  <c r="E132" i="27" a="1"/>
  <c r="WEE3" i="53" a="1"/>
  <c r="RZY3" i="53" a="1"/>
  <c r="KFL3" i="53" a="1"/>
  <c r="E26" i="53" a="1"/>
  <c r="PEZ3" i="53" a="1"/>
  <c r="WZM3" i="53" a="1"/>
  <c r="E87" i="27" a="1"/>
  <c r="NGD3" i="53" a="1"/>
  <c r="VKK3" i="53" a="1"/>
  <c r="C413" i="27" a="1"/>
  <c r="GEG3" i="53" a="1"/>
  <c r="UDX3" i="53" a="1"/>
  <c r="B3" i="38" a="1"/>
  <c r="XAF3" i="53" a="1"/>
  <c r="KAM3" i="53" a="1"/>
  <c r="JNY3" i="53" a="1"/>
  <c r="LVY3" i="53" a="1"/>
  <c r="WNI3" i="53" a="1"/>
  <c r="MMQ3" i="53" a="1"/>
  <c r="C95" i="27" a="1"/>
  <c r="WPE3" i="53" a="1"/>
  <c r="E3" i="7" a="1"/>
  <c r="PGL3" i="53" a="1"/>
  <c r="K3" i="2" a="1"/>
  <c r="VOL3" i="53" a="1"/>
  <c r="C201" i="27" a="1"/>
  <c r="VAR3" i="53" a="1"/>
  <c r="QFY3" i="53" a="1"/>
  <c r="I3" i="15" a="1"/>
  <c r="OWJ3" i="53" a="1"/>
  <c r="VUH3" i="53" a="1"/>
  <c r="WCS3" i="53" a="1"/>
  <c r="HOQ3" i="53" a="1"/>
  <c r="E100" i="27" a="1"/>
  <c r="C340" i="27" a="1"/>
  <c r="TCS3" i="53" a="1"/>
  <c r="VVO3" i="53" a="1"/>
  <c r="WOD3" i="53" a="1"/>
  <c r="ISK3" i="53" a="1"/>
  <c r="C311" i="27" a="1"/>
  <c r="VPF3" i="53" a="1"/>
  <c r="E253" i="27" a="1"/>
  <c r="MSN3" i="53" a="1"/>
  <c r="NPM3" i="53" a="1"/>
  <c r="RFH3" i="53" a="1"/>
  <c r="WLF3" i="53" a="1"/>
  <c r="I3" i="38" a="1"/>
  <c r="WKL3" i="53" a="1"/>
  <c r="COP3" i="53" a="1"/>
  <c r="G3" i="38" a="1"/>
  <c r="E276" i="27" a="1"/>
  <c r="NMO3" i="53" a="1"/>
  <c r="NLI3" i="53" a="1"/>
  <c r="E210" i="27" a="1"/>
  <c r="GWS3" i="53" a="1"/>
  <c r="UAB3" i="53" a="1"/>
  <c r="UGL3" i="53" a="1"/>
  <c r="UKE3" i="53" a="1"/>
  <c r="HTU3" i="53" a="1"/>
  <c r="LSX3" i="53" a="1"/>
  <c r="EJK3" i="53" a="1"/>
  <c r="UOW3" i="53" a="1"/>
  <c r="VPU3" i="53" a="1"/>
  <c r="OZX3" i="53" a="1"/>
  <c r="KEM3" i="53" a="1"/>
  <c r="PCZ3" i="53" a="1"/>
  <c r="E361" i="27" a="1"/>
  <c r="POL3" i="53" a="1"/>
  <c r="TYI3" i="53" a="1"/>
  <c r="SZT3" i="53" a="1"/>
  <c r="TIM3" i="53" a="1"/>
  <c r="JPC3" i="53" a="1"/>
  <c r="NKA3" i="53" a="1"/>
  <c r="E371" i="27" a="1"/>
  <c r="PMZ3" i="53" a="1"/>
  <c r="D3" i="50" a="1"/>
  <c r="UAA3" i="53" a="1"/>
  <c r="WTY3" i="53" a="1"/>
  <c r="OZN3" i="53" a="1"/>
  <c r="E292" i="27" a="1"/>
  <c r="XDY3" i="53" a="1"/>
  <c r="WHT3" i="53" a="1"/>
  <c r="E102" i="27" a="1"/>
  <c r="XAG3" i="53" a="1"/>
  <c r="BYL3" i="53" a="1"/>
  <c r="LMD3" i="53" a="1"/>
  <c r="LKU3" i="53" a="1"/>
  <c r="WJZ3" i="53" a="1"/>
  <c r="C58" i="53" a="1"/>
  <c r="VLD3" i="53" a="1"/>
  <c r="WMM3" i="53" a="1"/>
  <c r="QZW3" i="53" a="1"/>
  <c r="E55" i="53" a="1"/>
  <c r="VHR3" i="53" a="1"/>
  <c r="RYP3" i="53" a="1"/>
  <c r="E367" i="27" a="1"/>
  <c r="DLA3" i="53" a="1"/>
  <c r="OOR3" i="53" a="1"/>
  <c r="QIM3" i="53" a="1"/>
  <c r="HCO3" i="53" a="1"/>
  <c r="OJE3" i="53" a="1"/>
  <c r="FBQ3" i="53" a="1"/>
  <c r="E113" i="27" a="1"/>
  <c r="IUX3" i="53" a="1"/>
  <c r="G3" i="2" a="1"/>
  <c r="E36" i="53" a="1"/>
  <c r="E44" i="27" a="1"/>
  <c r="HEO3" i="53" a="1"/>
  <c r="WDM3" i="53" a="1"/>
  <c r="E249" i="27" a="1"/>
  <c r="MZQ3" i="53" a="1"/>
  <c r="QCN3" i="53" a="1"/>
  <c r="UWC3" i="53" a="1"/>
  <c r="SHN3" i="53" a="1"/>
  <c r="GDW3" i="53" a="1"/>
  <c r="LOU3" i="53" a="1"/>
  <c r="OBG3" i="53" a="1"/>
  <c r="WBF3" i="53" a="1"/>
  <c r="WCE3" i="53" a="1"/>
  <c r="KPU3" i="53" a="1"/>
  <c r="TSV3" i="53" a="1"/>
  <c r="TJX3" i="53" a="1"/>
  <c r="E150" i="27" a="1"/>
  <c r="OPK3" i="53" a="1"/>
  <c r="UXL3" i="53" a="1"/>
  <c r="E257" i="27" a="1"/>
  <c r="IAB3" i="53" a="1"/>
  <c r="G3" i="31" a="1"/>
  <c r="MRG3" i="53" a="1"/>
  <c r="E313" i="27" a="1"/>
  <c r="CQD3" i="53" a="1"/>
  <c r="RLE3" i="53" a="1"/>
  <c r="VUG3" i="53" a="1"/>
  <c r="LQS3" i="53" a="1"/>
  <c r="E110" i="27" a="1"/>
  <c r="AIN3" i="53" a="1"/>
  <c r="D3" i="4" a="1"/>
  <c r="ESS3" i="53" a="1"/>
  <c r="E264" i="27" a="1"/>
  <c r="MRR3" i="53" a="1"/>
  <c r="SCX3" i="53" a="1"/>
  <c r="E302" i="27" a="1"/>
  <c r="QZB3" i="53" a="1"/>
  <c r="XDK3" i="53" a="1"/>
  <c r="E135" i="27" a="1"/>
  <c r="SZX3" i="53" a="1"/>
  <c r="HRM3" i="53" a="1"/>
  <c r="QNN3" i="53" a="1"/>
  <c r="HEA3" i="53" a="1"/>
  <c r="KXB3" i="53" a="1"/>
  <c r="LLL3" i="53" a="1"/>
  <c r="WZR3" i="53" a="1"/>
  <c r="GYT3" i="53" a="1"/>
  <c r="WWJ3" i="53" a="1"/>
  <c r="E203" i="27" a="1"/>
  <c r="SFT3" i="53" a="1"/>
  <c r="QUE3" i="53" a="1"/>
  <c r="E191" i="27" a="1"/>
  <c r="WJK3" i="53" a="1"/>
  <c r="TBS3" i="53" a="1"/>
  <c r="MLB3" i="53" a="1"/>
  <c r="GGY3" i="53" a="1"/>
  <c r="PUY3" i="53" a="1"/>
  <c r="WJX3" i="53" a="1"/>
  <c r="PAQ3" i="53" a="1"/>
  <c r="QUH3" i="53" a="1"/>
  <c r="E180" i="27" a="1"/>
  <c r="TDA3" i="53" a="1"/>
  <c r="HMM3" i="53" a="1"/>
  <c r="QGF3" i="53" a="1"/>
  <c r="OZP3" i="53" a="1"/>
  <c r="XCQ3" i="53" a="1"/>
  <c r="JUY3" i="53" a="1"/>
  <c r="E120" i="27" a="1"/>
  <c r="C381" i="27" a="1"/>
  <c r="MDK3" i="53" a="1"/>
  <c r="E68" i="27" a="1"/>
  <c r="VUM3" i="53" a="1"/>
  <c r="QLM3" i="53" a="1"/>
  <c r="E378" i="27" a="1"/>
  <c r="RWF3" i="53" a="1"/>
  <c r="DUX3" i="53" a="1"/>
  <c r="WDE3" i="53" a="1"/>
  <c r="NPC3" i="53" a="1"/>
  <c r="LGX3" i="53" a="1"/>
  <c r="UEE3" i="53" a="1"/>
  <c r="E143" i="27" a="1"/>
  <c r="C162" i="27" a="1"/>
  <c r="TIW3" i="53" a="1"/>
  <c r="E355" i="27" a="1"/>
  <c r="SYE3" i="53" a="1"/>
  <c r="BZZ3" i="53" a="1"/>
  <c r="E134" i="27" a="1"/>
  <c r="VRT3" i="53" a="1"/>
  <c r="KSC3" i="53" a="1"/>
  <c r="VKZ3" i="53" a="1"/>
  <c r="TMK3" i="53" a="1"/>
  <c r="RPJ3" i="53" a="1"/>
  <c r="RZD3" i="53" a="1"/>
  <c r="HWC3" i="53" a="1"/>
  <c r="E343" i="27" a="1"/>
  <c r="LQT3" i="53" a="1"/>
  <c r="VIX3" i="53" a="1"/>
  <c r="E70" i="27" a="1"/>
  <c r="LCB3" i="53" a="1"/>
  <c r="F47" i="53" a="1"/>
  <c r="KJQ3" i="53" a="1"/>
  <c r="VNR3" i="53" a="1"/>
  <c r="WJO3" i="53" a="1"/>
  <c r="NAC3" i="53" a="1"/>
  <c r="E61" i="53" a="1"/>
  <c r="VOB3" i="53" a="1"/>
  <c r="E40" i="53" a="1"/>
  <c r="SFY3" i="53" a="1"/>
  <c r="E310" i="27" a="1"/>
  <c r="ONW3" i="53" a="1"/>
  <c r="RWS3" i="53" a="1"/>
  <c r="E81" i="27" a="1"/>
  <c r="SER3" i="53" a="1"/>
  <c r="TNQ3" i="53" a="1"/>
  <c r="VAQ3" i="53" a="1"/>
  <c r="MKH3" i="53" a="1"/>
  <c r="UXA3" i="53" a="1"/>
  <c r="TSE3" i="53" a="1"/>
  <c r="VWC3" i="53" a="1"/>
  <c r="MPW3" i="53" a="1"/>
  <c r="BBL3" i="53" a="1"/>
  <c r="UXV3" i="53" a="1"/>
  <c r="JFM3" i="53" a="1"/>
  <c r="E391" i="27" a="1"/>
  <c r="C384" i="27" a="1"/>
  <c r="L3" i="2" a="1"/>
  <c r="E370" i="27" a="1"/>
  <c r="WOT3" i="53" a="1"/>
  <c r="OUN3" i="53" a="1"/>
  <c r="WPT3" i="53" a="1"/>
  <c r="NHK3" i="53" a="1"/>
  <c r="NKV3" i="53" a="1"/>
  <c r="PIT3" i="53" a="1"/>
  <c r="EFJ3" i="53" a="1"/>
  <c r="ROZ3" i="53" a="1"/>
  <c r="IEW3" i="53" a="1"/>
  <c r="E161" i="27" a="1"/>
  <c r="JSB3" i="53" a="1"/>
  <c r="SHR3" i="53" a="1"/>
  <c r="WTO3" i="53" a="1"/>
  <c r="SBA3" i="53" a="1"/>
  <c r="E114" i="27" a="1"/>
  <c r="C74" i="27" a="1"/>
  <c r="CCH3" i="53" a="1"/>
  <c r="EXZ3" i="53" a="1"/>
  <c r="E223" i="27" a="1"/>
  <c r="C186" i="27" a="1"/>
  <c r="B3" i="19" a="1"/>
  <c r="UFJ3" i="53" a="1"/>
  <c r="TQR3" i="53" a="1"/>
  <c r="RXU3" i="53" a="1"/>
  <c r="E23" i="27" a="1"/>
  <c r="C119" i="27" a="1"/>
  <c r="JCV3" i="53" a="1"/>
  <c r="TPI3" i="53" a="1"/>
  <c r="POM3" i="53" a="1"/>
  <c r="SCA3" i="53" a="1"/>
  <c r="E266" i="27" a="1"/>
  <c r="C350" i="27" a="1"/>
  <c r="SRL3" i="53" a="1"/>
  <c r="E285" i="27" a="1"/>
  <c r="XEZ3" i="53" a="1"/>
  <c r="BCX3" i="53" a="1"/>
  <c r="CRT3" i="53" a="1"/>
  <c r="RDH3" i="53" a="1"/>
  <c r="PTC3" i="53" a="1"/>
  <c r="OJI3" i="53" a="1"/>
  <c r="KGK3" i="53" a="1"/>
  <c r="C8" i="53" a="1"/>
  <c r="TBW3" i="53" a="1"/>
  <c r="WBR3" i="53" a="1"/>
  <c r="OHC3" i="53" a="1"/>
  <c r="DKX3" i="53" a="1"/>
  <c r="RYQ3" i="53" a="1"/>
  <c r="WMO3" i="53" a="1"/>
  <c r="EXE3" i="53" a="1"/>
  <c r="E168" i="27" a="1"/>
  <c r="C302" i="27" a="1"/>
  <c r="RYI3" i="53" a="1"/>
  <c r="MBP3" i="53" a="1"/>
  <c r="JQX3" i="53" a="1"/>
  <c r="RF3" i="53" a="1"/>
  <c r="C306" i="27" a="1"/>
  <c r="DYO3" i="53" a="1"/>
  <c r="RID3" i="53" a="1"/>
  <c r="B3" i="34" a="1"/>
  <c r="E232" i="27" a="1"/>
  <c r="C49" i="27" a="1"/>
  <c r="E3" i="62" a="1"/>
  <c r="WYP3" i="53" a="1"/>
  <c r="C38" i="53" a="1"/>
  <c r="WFO3" i="53" a="1"/>
  <c r="HHK3" i="53" a="1"/>
  <c r="ANX3" i="53" a="1"/>
  <c r="C62" i="27" a="1"/>
  <c r="UWO3" i="53" a="1"/>
  <c r="PPH3" i="53" a="1"/>
  <c r="MAI3" i="53" a="1"/>
  <c r="C355" i="27" a="1"/>
  <c r="VWD3" i="53" a="1"/>
  <c r="FXN3" i="53" a="1"/>
  <c r="UGV3" i="53" a="1"/>
  <c r="C365" i="27" a="1"/>
  <c r="LTG3" i="53" a="1"/>
  <c r="VQP3" i="53" a="1"/>
  <c r="VGZ3" i="53" a="1"/>
  <c r="C75" i="27" a="1"/>
  <c r="AKF3" i="53" a="1"/>
  <c r="POW3" i="53" a="1"/>
  <c r="VWG3" i="53" a="1"/>
  <c r="C105" i="27" a="1"/>
  <c r="SDP3" i="53" a="1"/>
  <c r="F3" i="50" a="1"/>
  <c r="VRB3" i="53" a="1"/>
  <c r="URJ3" i="53" a="1"/>
  <c r="FHE3" i="53" a="1"/>
  <c r="RYG3" i="53" a="1"/>
  <c r="C234" i="27" a="1"/>
  <c r="UZB3" i="53" a="1"/>
  <c r="JUE3" i="53" a="1"/>
  <c r="EYU3" i="53" a="1"/>
  <c r="FMU3" i="53" a="1"/>
  <c r="VLA3" i="53" a="1"/>
  <c r="CFI3" i="53" a="1"/>
  <c r="SGU3" i="53" a="1"/>
  <c r="TEZ3" i="53" a="1"/>
  <c r="FPU3" i="53" a="1"/>
  <c r="RNH3" i="53" a="1"/>
  <c r="GFC3" i="53" a="1"/>
  <c r="UMT3" i="53" a="1"/>
  <c r="LLE3" i="53" a="1"/>
  <c r="GGR3" i="53" a="1"/>
  <c r="NEE3" i="53" a="1"/>
  <c r="TIU3" i="53" a="1"/>
  <c r="NGZ3" i="53" a="1"/>
  <c r="GCZ3" i="53" a="1"/>
  <c r="C400" i="27" a="1"/>
  <c r="UIX3" i="53" a="1"/>
  <c r="WTR3" i="53" a="1"/>
  <c r="BUA3" i="53" a="1"/>
  <c r="NZN3" i="53" a="1"/>
  <c r="UZJ3" i="53" a="1"/>
  <c r="IWV3" i="53" a="1"/>
  <c r="OBS3" i="53" a="1"/>
  <c r="CIN3" i="53" a="1"/>
  <c r="XAL3" i="53" a="1"/>
  <c r="H3" i="6" a="1"/>
  <c r="E339" i="27" a="1"/>
  <c r="F59" i="53" a="1"/>
  <c r="KLC3" i="53" a="1"/>
  <c r="E408" i="27" a="1"/>
  <c r="EAX3" i="53" a="1"/>
  <c r="IUG3" i="53" a="1"/>
  <c r="QOO3" i="53" a="1"/>
  <c r="E413" i="27" a="1"/>
  <c r="EJA3" i="53" a="1"/>
  <c r="QFJ3" i="53" a="1"/>
  <c r="WNG3" i="53" a="1"/>
  <c r="NUP3" i="53" a="1"/>
  <c r="HJB3" i="53" a="1"/>
  <c r="HPY3" i="53" a="1"/>
  <c r="WCJ3" i="53" a="1"/>
  <c r="UVW3" i="53" a="1"/>
  <c r="VYH3" i="53" a="1"/>
  <c r="D3" i="6" a="1"/>
  <c r="PUU3" i="53" a="1"/>
  <c r="QUI3" i="53" a="1"/>
  <c r="C267" i="27" a="1"/>
  <c r="HAC3" i="53" a="1"/>
  <c r="GML3" i="53" a="1"/>
  <c r="ESI3" i="53" a="1"/>
  <c r="E29" i="27" a="1"/>
  <c r="C374" i="27" a="1"/>
  <c r="A3" i="56" a="1"/>
  <c r="UKV3" i="53" a="1"/>
  <c r="E215" i="27" a="1"/>
  <c r="NNW3" i="53" a="1"/>
  <c r="WTH3" i="53" a="1"/>
  <c r="KKO3" i="53" a="1"/>
  <c r="WIN3" i="53" a="1"/>
  <c r="NDE3" i="53" a="1"/>
  <c r="VDK3" i="53" a="1"/>
  <c r="OYK3" i="53" a="1"/>
  <c r="RNG3" i="53" a="1"/>
  <c r="E369" i="27" a="1"/>
  <c r="C220" i="27" a="1"/>
  <c r="BZP3" i="53" a="1"/>
  <c r="VNZ3" i="53" a="1"/>
  <c r="D3" i="15" a="1"/>
  <c r="UJV3" i="53" a="1"/>
  <c r="ONQ3" i="53" a="1"/>
  <c r="WTL3" i="53" a="1"/>
  <c r="VME3" i="53" a="1"/>
  <c r="WLQ3" i="53" a="1"/>
  <c r="RNF3" i="53" a="1"/>
  <c r="FDG3" i="53" a="1"/>
  <c r="LNS3" i="53" a="1"/>
  <c r="UHQ3" i="53" a="1"/>
  <c r="SAN3" i="53" a="1"/>
  <c r="C273" i="27" a="1"/>
  <c r="HBB3" i="53" a="1"/>
  <c r="MWE3" i="53" a="1"/>
  <c r="C243" i="27" a="1"/>
  <c r="KLV3" i="53" a="1"/>
  <c r="ORG3" i="53" a="1"/>
  <c r="QGI3" i="53" a="1"/>
  <c r="BL3" i="53" a="1"/>
  <c r="WOK3" i="53" a="1"/>
  <c r="WDD3" i="53" a="1"/>
  <c r="DCU3" i="53" a="1"/>
  <c r="MMP3" i="53" a="1"/>
  <c r="WDL3" i="53" a="1"/>
  <c r="ALJ3" i="53" a="1"/>
  <c r="QB3" i="53" a="1"/>
  <c r="POT3" i="53" a="1"/>
  <c r="OYP3" i="53" a="1"/>
  <c r="C326" i="27" a="1"/>
  <c r="VOW3" i="53" a="1"/>
  <c r="GVY3" i="53" a="1"/>
  <c r="E304" i="27" a="1"/>
  <c r="C47" i="27" a="1"/>
  <c r="NNA3" i="53" a="1"/>
  <c r="E18" i="31" a="1"/>
  <c r="RQN3" i="53" a="1"/>
  <c r="AQH3" i="53" a="1"/>
  <c r="KNN3" i="53" a="1"/>
  <c r="MLW3" i="53" a="1"/>
  <c r="C40" i="27" a="1"/>
  <c r="MYC3" i="53" a="1"/>
  <c r="CNH3" i="53" a="1"/>
  <c r="KJK3" i="53" a="1"/>
  <c r="C38" i="27" a="1"/>
  <c r="USF3" i="53" a="1"/>
  <c r="HXN3" i="53" a="1"/>
  <c r="VPV3" i="53" a="1"/>
  <c r="VDL3" i="53" a="1"/>
  <c r="OSK3" i="53" a="1"/>
  <c r="QMR3" i="53" a="1"/>
  <c r="A3" i="3" a="1"/>
  <c r="UHG3" i="53" a="1"/>
  <c r="WRN3" i="53" a="1"/>
  <c r="HDI3" i="53" a="1"/>
  <c r="TCK3" i="53" a="1"/>
  <c r="C68" i="53" a="1"/>
  <c r="E85" i="27" a="1"/>
  <c r="VFW3" i="53" a="1"/>
  <c r="MJB3" i="53" a="1"/>
  <c r="UNA3" i="53" a="1"/>
  <c r="HDY3" i="53" a="1"/>
  <c r="OQB3" i="53" a="1"/>
  <c r="WVK3" i="53" a="1"/>
  <c r="CFJ3" i="53" a="1"/>
  <c r="LWH3" i="53" a="1"/>
  <c r="E211" i="27" a="1"/>
  <c r="LNZ3" i="53" a="1"/>
  <c r="C41" i="27" a="1"/>
  <c r="SOH3" i="53" a="1"/>
  <c r="MFO3" i="53" a="1"/>
  <c r="FWF3" i="53" a="1"/>
  <c r="WTP3" i="53" a="1"/>
  <c r="UZR3" i="53" a="1"/>
  <c r="TON3" i="53" a="1"/>
  <c r="WPB3" i="53" a="1"/>
  <c r="PUH3" i="53" a="1"/>
  <c r="C166" i="27" a="1"/>
  <c r="AXX3" i="53" a="1"/>
  <c r="TNJ3" i="53" a="1"/>
  <c r="IWK3" i="53" a="1"/>
  <c r="E379" i="27" a="1"/>
  <c r="C196" i="27" a="1"/>
  <c r="HJA3" i="53" a="1"/>
  <c r="FRY3" i="53" a="1"/>
  <c r="UTU3" i="53" a="1"/>
  <c r="LRM3" i="53" a="1"/>
  <c r="QBF3" i="53" a="1"/>
  <c r="E10" i="53" a="1"/>
  <c r="GMI3" i="53" a="1"/>
  <c r="PAF3" i="53" a="1"/>
  <c r="C9" i="53" a="1"/>
  <c r="HFM3" i="53" a="1"/>
  <c r="NSE3" i="53" a="1"/>
  <c r="E308" i="27" a="1"/>
  <c r="C398" i="27" a="1"/>
  <c r="SBR3" i="53" a="1"/>
  <c r="LUD3" i="53" a="1"/>
  <c r="VSS3" i="53" a="1"/>
  <c r="VDB3" i="53" a="1"/>
  <c r="C45" i="53" a="1"/>
  <c r="RZ3" i="53" a="1"/>
  <c r="RHZ3" i="53" a="1"/>
  <c r="SGH3" i="53" a="1"/>
  <c r="GKY3" i="53" a="1"/>
  <c r="HSK3" i="53" a="1"/>
  <c r="TNT3" i="53" a="1"/>
  <c r="WAL3" i="53" a="1"/>
  <c r="WNW3" i="53" a="1"/>
  <c r="KTO3" i="53" a="1"/>
  <c r="LST3" i="53" a="1"/>
  <c r="XCS3" i="53" a="1"/>
  <c r="KNC3" i="53" a="1"/>
  <c r="LET3" i="53" a="1"/>
  <c r="QCF3" i="53" a="1"/>
  <c r="C318" i="27" a="1"/>
  <c r="KQO3" i="53" a="1"/>
  <c r="LSV3" i="53" a="1"/>
  <c r="TUJ3" i="53" a="1"/>
  <c r="SKI3" i="53" a="1"/>
  <c r="MBL3" i="53" a="1"/>
  <c r="ULQ3" i="53" a="1"/>
  <c r="QWO3" i="53" a="1"/>
  <c r="WKM3" i="53" a="1"/>
  <c r="BRY3" i="53" a="1"/>
  <c r="VMP3" i="53" a="1"/>
  <c r="C147" i="27" a="1"/>
  <c r="JGZ3" i="53" a="1"/>
  <c r="SQH3" i="53" a="1"/>
  <c r="E245" i="27" a="1"/>
  <c r="C334" i="27" a="1"/>
  <c r="FIJ3" i="53" a="1"/>
  <c r="IYZ3" i="53" a="1"/>
  <c r="VCR3" i="53" a="1"/>
  <c r="AGF3" i="53" a="1"/>
  <c r="WCB3" i="53" a="1"/>
  <c r="KWK3" i="53" a="1"/>
  <c r="C135" i="27" a="1"/>
  <c r="MN3" i="53" a="1"/>
  <c r="VPK3" i="53" a="1"/>
  <c r="SJT3" i="53" a="1"/>
  <c r="C150" i="27" a="1"/>
  <c r="KBK3" i="53" a="1"/>
  <c r="AXG3" i="53" a="1"/>
  <c r="TRB3" i="53" a="1"/>
  <c r="FLG3" i="53" a="1"/>
  <c r="RKS3" i="53" a="1"/>
  <c r="LTM3" i="53" a="1"/>
  <c r="IRJ3" i="53" a="1"/>
  <c r="MIJ3" i="53" a="1"/>
  <c r="BVT3" i="53" a="1"/>
  <c r="KXI3" i="53" a="1"/>
  <c r="BGX3" i="53" a="1"/>
  <c r="Q3" i="53" a="1"/>
  <c r="FFE3" i="53" a="1"/>
  <c r="IEY3" i="53" a="1"/>
  <c r="VRD3" i="53" a="1"/>
  <c r="MOE3" i="53" a="1"/>
  <c r="PGR3" i="53" a="1"/>
  <c r="BLV3" i="53" a="1"/>
  <c r="C114" i="27" a="1"/>
  <c r="TUF3" i="53" a="1"/>
  <c r="HQJ3" i="53" a="1"/>
  <c r="JHT3" i="53" a="1"/>
  <c r="PPC3" i="53" a="1"/>
  <c r="GBK3" i="53" a="1"/>
  <c r="D3" i="20" a="1"/>
  <c r="ISU3" i="53" a="1"/>
  <c r="FAK3" i="53" a="1"/>
  <c r="EFO3" i="53" a="1"/>
  <c r="KJP3" i="53" a="1"/>
  <c r="TPR3" i="53" a="1"/>
  <c r="E237" i="27" a="1"/>
  <c r="TFG3" i="53" a="1"/>
  <c r="EHW3" i="53" a="1"/>
  <c r="APN3" i="53" a="1"/>
  <c r="LLD3" i="53" a="1"/>
  <c r="QGL3" i="53" a="1"/>
  <c r="SXI3" i="53" a="1"/>
  <c r="WPD3" i="53" a="1"/>
  <c r="MEO3" i="53" a="1"/>
  <c r="F49" i="53" a="1"/>
  <c r="RCA3" i="53" a="1"/>
  <c r="IBL3" i="53" a="1"/>
  <c r="E327" i="27" a="1"/>
  <c r="UPN3" i="53" a="1"/>
  <c r="SUM3" i="53" a="1"/>
  <c r="VEH3" i="53" a="1"/>
  <c r="SAV3" i="53" a="1"/>
  <c r="SUZ3" i="53" a="1"/>
  <c r="PFA3" i="53" a="1"/>
  <c r="LZE3" i="53" a="1"/>
  <c r="WXY3" i="53" a="1"/>
  <c r="E268" i="27" a="1"/>
  <c r="LWM3" i="53" a="1"/>
  <c r="C20" i="27" a="1"/>
  <c r="DMV3" i="53" a="1"/>
  <c r="TLF3" i="53" a="1"/>
  <c r="C271" i="27" a="1"/>
  <c r="RZV3" i="53" a="1"/>
  <c r="LKO3" i="53" a="1"/>
  <c r="LWC3" i="53" a="1"/>
  <c r="BWU3" i="53" a="1"/>
  <c r="UAR3" i="53" a="1"/>
  <c r="C295" i="27" a="1"/>
  <c r="KTP3" i="53" a="1"/>
  <c r="LAB3" i="53" a="1"/>
  <c r="VUR3" i="53" a="1"/>
  <c r="E254" i="27" a="1"/>
  <c r="C31" i="27" a="1"/>
  <c r="VJI3" i="53" a="1"/>
  <c r="RNV3" i="53" a="1"/>
  <c r="IWL3" i="53" a="1"/>
  <c r="GRI3" i="53" a="1"/>
  <c r="PUN3" i="53" a="1"/>
  <c r="RUI3" i="53" a="1"/>
  <c r="B3" i="3" a="1"/>
  <c r="ENB3" i="53" a="1"/>
  <c r="WCT3" i="53" a="1"/>
  <c r="KBJ3" i="53" a="1"/>
  <c r="A3" i="37" a="1"/>
  <c r="E5" i="27" a="1"/>
  <c r="C249" i="27" a="1"/>
  <c r="H3" i="54" a="1"/>
  <c r="VNQ3" i="53" a="1"/>
  <c r="VIC3" i="53" a="1"/>
  <c r="C68" i="27" a="1"/>
  <c r="URM3" i="53" a="1"/>
  <c r="E236" i="27" a="1"/>
  <c r="SYG3" i="53" a="1"/>
  <c r="RAX3" i="53" a="1"/>
  <c r="NJI3" i="53" a="1"/>
  <c r="PKU3" i="53" a="1"/>
  <c r="AOO3" i="53" a="1"/>
  <c r="LLH3" i="53" a="1"/>
  <c r="PLK3" i="53" a="1"/>
  <c r="VZP3" i="53" a="1"/>
  <c r="UES3" i="53" a="1"/>
  <c r="WQN3" i="53" a="1"/>
  <c r="VGQ3" i="53" a="1"/>
  <c r="RMI3" i="53" a="1"/>
  <c r="VER3" i="53" a="1"/>
  <c r="C208" i="27" a="1"/>
  <c r="ECY3" i="53" a="1"/>
  <c r="E136" i="27" a="1"/>
  <c r="QNS3" i="53" a="1"/>
  <c r="QQM3" i="53" a="1"/>
  <c r="IMX3" i="53" a="1"/>
  <c r="ONK3" i="53" a="1"/>
  <c r="E106" i="27" a="1"/>
  <c r="DBV3" i="53" a="1"/>
  <c r="HCT3" i="53" a="1"/>
  <c r="UWG3" i="53" a="1"/>
  <c r="F19" i="53" a="1"/>
  <c r="HRW3" i="53" a="1"/>
  <c r="FLY3" i="53" a="1"/>
  <c r="NMA3" i="53" a="1"/>
  <c r="NT3" i="53" a="1"/>
  <c r="E281" i="27" a="1"/>
  <c r="SMV3" i="53" a="1"/>
  <c r="C231" i="27" a="1"/>
  <c r="LRY3" i="53" a="1"/>
  <c r="E94" i="27" a="1"/>
  <c r="C134" i="27" a="1"/>
  <c r="BHD3" i="53" a="1"/>
  <c r="WLS3" i="53" a="1"/>
  <c r="ROR3" i="53" a="1"/>
  <c r="TZU3" i="53" a="1"/>
  <c r="UWV3" i="53" a="1"/>
  <c r="C93" i="27" a="1"/>
  <c r="E41" i="53" a="1"/>
  <c r="KAA3" i="53" a="1"/>
  <c r="EA3" i="53" a="1"/>
  <c r="E183" i="27" a="1"/>
  <c r="C197" i="27" a="1"/>
  <c r="GOD3" i="53" a="1"/>
  <c r="JCJ3" i="53" a="1"/>
  <c r="VHQ3" i="53" a="1"/>
  <c r="C19" i="53" a="1"/>
  <c r="FTQ3" i="53" a="1"/>
  <c r="DSF3" i="53" a="1"/>
  <c r="E16" i="31" a="1"/>
  <c r="TKB3" i="53" a="1"/>
  <c r="VDE3" i="53" a="1"/>
  <c r="WWE3" i="53" a="1"/>
  <c r="PHP3" i="53" a="1"/>
  <c r="GDE3" i="53" a="1"/>
  <c r="C27" i="27" a="1"/>
  <c r="IXU3" i="53" a="1"/>
  <c r="UMP3" i="53" a="1"/>
  <c r="RRN3" i="53" a="1"/>
  <c r="RIV3" i="53" a="1"/>
  <c r="AVZ3" i="53" a="1"/>
  <c r="E311" i="27" a="1"/>
  <c r="B3" i="46" a="1"/>
  <c r="WCY3" i="53" a="1"/>
  <c r="E224" i="27" a="1"/>
  <c r="USW3" i="53" a="1"/>
  <c r="TAI3" i="53" a="1"/>
  <c r="UEM3" i="53" a="1"/>
  <c r="UUR3" i="53" a="1"/>
  <c r="E404" i="27" a="1"/>
  <c r="HJK3" i="53" a="1"/>
  <c r="F65" i="53" a="1"/>
  <c r="SBM3" i="53" a="1"/>
  <c r="E166" i="27" a="1"/>
  <c r="C107" i="27" a="1"/>
  <c r="XDE3" i="53" a="1"/>
  <c r="IOH3" i="53" a="1"/>
  <c r="ULK3" i="53" a="1"/>
  <c r="E246" i="27" a="1"/>
  <c r="E284" i="27" a="1"/>
  <c r="C67" i="27" a="1"/>
  <c r="HAP3" i="53" a="1"/>
  <c r="E141" i="27" a="1"/>
  <c r="C368" i="27" a="1"/>
  <c r="RZM3" i="53" a="1"/>
  <c r="UQJ3" i="53" a="1"/>
  <c r="VRM3" i="53" a="1"/>
  <c r="TYN3" i="53" a="1"/>
  <c r="URQ3" i="53" a="1"/>
  <c r="LYW3" i="53" a="1"/>
  <c r="AJS3" i="53" a="1"/>
  <c r="VSU3" i="53" a="1"/>
  <c r="PIJ3" i="53" a="1"/>
  <c r="C3" i="56" a="1"/>
  <c r="C108" i="27" a="1"/>
  <c r="SHL3" i="53" a="1"/>
  <c r="B3" i="26" a="1"/>
  <c r="E43" i="53" a="1"/>
  <c r="IZS3" i="53" a="1"/>
  <c r="I3" i="50" a="1"/>
  <c r="B3" i="11" a="1"/>
  <c r="BSR3" i="53" a="1"/>
  <c r="UYE3" i="53" a="1"/>
  <c r="DUN3" i="53" a="1"/>
  <c r="LEN3" i="53" a="1"/>
  <c r="BYV3" i="53" a="1"/>
  <c r="LUU3" i="53" a="1"/>
  <c r="C307" i="27" a="1"/>
  <c r="FMA3" i="53" a="1"/>
  <c r="PCF3" i="53" a="1"/>
  <c r="TUY3" i="53" a="1"/>
  <c r="GEI3" i="53" a="1"/>
  <c r="KOG3" i="53" a="1"/>
  <c r="E409" i="27" a="1"/>
  <c r="TDN3" i="53" a="1"/>
  <c r="JMP3" i="53" a="1"/>
  <c r="OIZ3" i="53" a="1"/>
  <c r="NWU3" i="53" a="1"/>
  <c r="MPB3" i="53" a="1"/>
  <c r="MZB3" i="53" a="1"/>
  <c r="SPG3" i="53" a="1"/>
  <c r="WGV3" i="53" a="1"/>
  <c r="WSZ3" i="53" a="1"/>
  <c r="KQZ3" i="53" a="1"/>
  <c r="DFW3" i="53" a="1"/>
  <c r="TBV3" i="53" a="1"/>
  <c r="E352" i="27" a="1"/>
  <c r="C12" i="27" a="1"/>
  <c r="LXN3" i="53" a="1"/>
  <c r="BBA3" i="53" a="1"/>
  <c r="TVG3" i="53" a="1"/>
  <c r="MZJ3" i="53" a="1"/>
  <c r="DFL3" i="53" a="1"/>
  <c r="USG3" i="53" a="1"/>
  <c r="C181" i="27" a="1"/>
  <c r="TOD3" i="53" a="1"/>
  <c r="WLI3" i="53" a="1"/>
  <c r="E21" i="27" a="1"/>
  <c r="C9" i="27" a="1"/>
  <c r="SEY3" i="53" a="1"/>
  <c r="VQX3" i="53" a="1"/>
  <c r="E393" i="27" a="1"/>
  <c r="C51" i="27" a="1"/>
  <c r="P3" i="53" a="1"/>
  <c r="SPW3" i="53" a="1"/>
  <c r="C69" i="27" a="1"/>
  <c r="VEI3" i="53" a="1"/>
  <c r="BUL3" i="53" a="1"/>
  <c r="QRN3" i="53" a="1"/>
  <c r="SEJ3" i="53" a="1"/>
  <c r="JJG3" i="53" a="1"/>
  <c r="IFB3" i="53" a="1"/>
  <c r="E107" i="27" a="1"/>
  <c r="C121" i="27" a="1"/>
  <c r="UKR3" i="53" a="1"/>
  <c r="RMR3" i="53" a="1"/>
  <c r="HTL3" i="53" a="1"/>
  <c r="KQV3" i="53" a="1"/>
  <c r="RFZ3" i="53" a="1"/>
  <c r="IFT3" i="53" a="1"/>
  <c r="MTY3" i="53" a="1"/>
  <c r="ABP3" i="53" a="1"/>
  <c r="NRA3" i="53" a="1"/>
  <c r="OVE3" i="53" a="1"/>
  <c r="CKT3" i="53" a="1"/>
  <c r="HLC3" i="53" a="1"/>
  <c r="NGK3" i="53" a="1"/>
  <c r="PKL3" i="53" a="1"/>
  <c r="EEQ3" i="53" a="1"/>
  <c r="SOO3" i="53" a="1"/>
  <c r="DLZ3" i="53" a="1"/>
  <c r="PRC3" i="53" a="1"/>
  <c r="NNE3" i="53" a="1"/>
  <c r="F39" i="53" a="1"/>
  <c r="LSW3" i="53" a="1"/>
  <c r="HCD3" i="53" a="1"/>
  <c r="CIX3" i="53" a="1"/>
  <c r="GIA3" i="53" a="1"/>
  <c r="C30" i="27" a="1"/>
  <c r="WQC3" i="53" a="1"/>
  <c r="MTS3" i="53" a="1"/>
  <c r="DJY3" i="53" a="1"/>
  <c r="DWC3" i="53" a="1"/>
  <c r="EAM3" i="53" a="1"/>
  <c r="AAV3" i="53" a="1"/>
  <c r="NCW3" i="53" a="1"/>
  <c r="MFW3" i="53" a="1"/>
  <c r="NVB3" i="53" a="1"/>
  <c r="RZA3" i="53" a="1"/>
  <c r="KJT3" i="53" a="1"/>
  <c r="NUS3" i="53" a="1"/>
  <c r="E280" i="27" a="1"/>
  <c r="UPC3" i="53" a="1"/>
  <c r="FUQ3" i="53" a="1"/>
  <c r="NMU3" i="53" a="1"/>
  <c r="SXD3" i="53" a="1"/>
  <c r="KJW3" i="53" a="1"/>
  <c r="TAM3" i="53" a="1"/>
  <c r="QBO3" i="53" a="1"/>
  <c r="VBI3" i="53" a="1"/>
  <c r="E219" i="27" a="1"/>
  <c r="AAL3" i="53" a="1"/>
  <c r="NNG3" i="53" a="1"/>
  <c r="BAW3" i="53" a="1"/>
  <c r="KKU3" i="53" a="1"/>
  <c r="E218" i="27" a="1"/>
  <c r="E34" i="27" a="1"/>
  <c r="C100" i="27" a="1"/>
  <c r="NZC3" i="53" a="1"/>
  <c r="E158" i="27" a="1"/>
  <c r="C342" i="27" a="1"/>
  <c r="NRO3" i="53" a="1"/>
  <c r="PEM3" i="53" a="1"/>
  <c r="JES3" i="53" a="1"/>
  <c r="UCU3" i="53" a="1"/>
  <c r="WBE3" i="53" a="1"/>
  <c r="KIV3" i="53" a="1"/>
  <c r="BMI3" i="53" a="1"/>
  <c r="TBX3" i="53" a="1"/>
  <c r="FJU3" i="53" a="1"/>
  <c r="IJ3" i="53" a="1"/>
  <c r="C129" i="27" a="1"/>
  <c r="UYB3" i="53" a="1"/>
  <c r="MSY3" i="53" a="1"/>
  <c r="WZS3" i="53" a="1"/>
  <c r="TWW3" i="53" a="1"/>
  <c r="SIF3" i="53" a="1"/>
  <c r="VHI3" i="53" a="1"/>
  <c r="RGW3" i="53" a="1"/>
  <c r="ETV3" i="53" a="1"/>
  <c r="UUY3" i="53" a="1"/>
  <c r="QUY3" i="53" a="1"/>
  <c r="SSX3" i="53" a="1"/>
  <c r="RZK3" i="53" a="1"/>
  <c r="C240" i="27" a="1"/>
  <c r="HVI3" i="53" a="1"/>
  <c r="QXY3" i="53" a="1"/>
  <c r="E37" i="27" a="1"/>
  <c r="PCW3" i="53" a="1"/>
  <c r="VCF3" i="53" a="1"/>
  <c r="E217" i="27" a="1"/>
  <c r="EDT3" i="53" a="1"/>
  <c r="NCB3" i="53" a="1"/>
  <c r="KUR3" i="53" a="1"/>
  <c r="KJM3" i="53" a="1"/>
  <c r="VJR3" i="53" a="1"/>
  <c r="WIT3" i="53" a="1"/>
  <c r="SYU3" i="53" a="1"/>
  <c r="OKV3" i="53" a="1"/>
  <c r="LYN3" i="53" a="1"/>
  <c r="XEL3" i="53" a="1"/>
  <c r="TVV3" i="53" a="1"/>
  <c r="GOJ3" i="53" a="1"/>
  <c r="E145" i="27" a="1"/>
  <c r="C386" i="27" a="1"/>
  <c r="QIU3" i="53" a="1"/>
  <c r="ETH3" i="53" a="1"/>
  <c r="E29" i="53" a="1"/>
  <c r="HQU3" i="53" a="1"/>
  <c r="LLN3" i="53" a="1"/>
  <c r="RTW3" i="53" a="1"/>
  <c r="C124" i="27" a="1"/>
  <c r="HKO3" i="53" a="1"/>
  <c r="TVX3" i="53" a="1"/>
  <c r="E229" i="27" a="1"/>
  <c r="C288" i="27" a="1"/>
  <c r="KRK3" i="53" a="1"/>
  <c r="QFN3" i="53" a="1"/>
  <c r="QPW3" i="53" a="1"/>
  <c r="C16" i="27" a="1"/>
  <c r="FWY3" i="53" a="1"/>
  <c r="OWV3" i="53" a="1"/>
  <c r="C221" i="27" a="1"/>
  <c r="NDZ3" i="53" a="1"/>
  <c r="H3" i="2" a="1"/>
  <c r="MVG3" i="53" a="1"/>
  <c r="UGJ3" i="53" a="1"/>
  <c r="TZR3" i="53" a="1"/>
  <c r="ILB3" i="53" a="1"/>
  <c r="E82" i="27" a="1"/>
  <c r="C91" i="27" a="1"/>
  <c r="WUF3" i="53" a="1"/>
  <c r="VQT3" i="53" a="1"/>
  <c r="KRD3" i="53" a="1"/>
  <c r="AFU3" i="53" a="1"/>
  <c r="NFA3" i="53" a="1"/>
  <c r="SZH3" i="53" a="1"/>
  <c r="RFI3" i="53" a="1"/>
  <c r="SMI3" i="53" a="1"/>
  <c r="HRL3" i="53" a="1"/>
  <c r="OEW3" i="53" a="1"/>
  <c r="NIT3" i="53" a="1"/>
  <c r="LVE3" i="53" a="1"/>
  <c r="PVI3" i="53" a="1"/>
  <c r="ORZ3" i="53" a="1"/>
  <c r="IYB3" i="53" a="1"/>
  <c r="BQH3" i="53" a="1"/>
  <c r="HIO3" i="53" a="1"/>
  <c r="SLA3" i="53" a="1"/>
  <c r="SOB3" i="53" a="1"/>
  <c r="E411" i="27" a="1"/>
  <c r="SET3" i="53" a="1"/>
  <c r="TYS3" i="53" a="1"/>
  <c r="LSQ3" i="53" a="1"/>
  <c r="B3" i="13" a="1"/>
  <c r="IVY3" i="53" a="1"/>
  <c r="BJD3" i="53" a="1"/>
  <c r="NOT3" i="53" a="1"/>
  <c r="XAJ3" i="53" a="1"/>
  <c r="E298" i="27" a="1"/>
  <c r="F3" i="40" a="1"/>
  <c r="SKG3" i="53" a="1"/>
  <c r="SJJ3" i="53" a="1"/>
  <c r="WCH3" i="53" a="1"/>
  <c r="E50" i="27" a="1"/>
  <c r="E24" i="27" a="1"/>
  <c r="C281" i="27" a="1"/>
  <c r="WGC3" i="53" a="1"/>
  <c r="E6" i="27" a="1"/>
  <c r="C117" i="27" a="1"/>
  <c r="EBA3" i="53" a="1"/>
  <c r="CYA3" i="53" a="1"/>
  <c r="OLO3" i="53" a="1"/>
  <c r="E398" i="27" a="1"/>
  <c r="UFY3" i="53" a="1"/>
  <c r="JRE3" i="53" a="1"/>
  <c r="F3" i="59" a="1"/>
  <c r="XCW3" i="53" a="1"/>
  <c r="DXA3" i="53" a="1"/>
  <c r="VJL3" i="53" a="1"/>
  <c r="C278" i="27" a="1"/>
  <c r="PEO3" i="53" a="1"/>
  <c r="JKW3" i="53" a="1"/>
  <c r="J3" i="6" a="1"/>
  <c r="WIQ3" i="53" a="1"/>
  <c r="C44" i="2" a="1"/>
  <c r="GPU3" i="53" a="1"/>
  <c r="TFK3" i="53" a="1"/>
  <c r="E95" i="27" a="1"/>
  <c r="KGW3" i="53" a="1"/>
  <c r="RGH3" i="53" a="1"/>
  <c r="KWS3" i="53" a="1"/>
  <c r="QOL3" i="53" a="1"/>
  <c r="BJB3" i="53" a="1"/>
  <c r="E18" i="27" a="1"/>
  <c r="C3" i="20" a="1"/>
  <c r="TKM3" i="53" a="1"/>
  <c r="VIZ3" i="53" a="1"/>
  <c r="TVO3" i="53" a="1"/>
  <c r="F69" i="53" a="1"/>
  <c r="E193" i="27" a="1"/>
  <c r="C215" i="27" a="1"/>
  <c r="ATH3" i="53" a="1"/>
  <c r="E312" i="27" a="1"/>
  <c r="C371" i="27" a="1"/>
  <c r="QUT3" i="53" a="1"/>
  <c r="UNR3" i="53" a="1"/>
  <c r="OSL3" i="53" a="1"/>
  <c r="E350" i="27" a="1"/>
  <c r="EWJ3" i="53" a="1"/>
  <c r="VJZ3" i="53" a="1"/>
  <c r="WCQ3" i="53" a="1"/>
  <c r="NBQ3" i="53" a="1"/>
  <c r="TUQ3" i="53" a="1"/>
  <c r="DBH3" i="53" a="1"/>
  <c r="C264" i="27" a="1"/>
  <c r="NYD3" i="53" a="1"/>
  <c r="IBW3" i="53" a="1"/>
  <c r="LPW3" i="53" a="1"/>
  <c r="VAD3" i="53" a="1"/>
  <c r="UQN3" i="53" a="1"/>
  <c r="PND3" i="53" a="1"/>
  <c r="GZU3" i="53" a="1"/>
  <c r="DFD3" i="53" a="1"/>
  <c r="UQQ3" i="53" a="1"/>
  <c r="WSM3" i="53" a="1"/>
  <c r="D3" i="37" a="1"/>
  <c r="ULN3" i="53" a="1"/>
  <c r="C313" i="27" a="1"/>
  <c r="MXD3" i="53" a="1"/>
  <c r="HNG3" i="53" a="1"/>
  <c r="E263" i="27" a="1"/>
  <c r="NVW3" i="53" a="1"/>
  <c r="PWW3" i="53" a="1"/>
  <c r="ODM3" i="53" a="1"/>
  <c r="E115" i="27" a="1"/>
  <c r="C32" i="27" a="1"/>
  <c r="OLT3" i="53" a="1"/>
  <c r="KWT3" i="53" a="1"/>
  <c r="QGK3" i="53" a="1"/>
  <c r="SWU3" i="53" a="1"/>
  <c r="C48" i="27" a="1"/>
  <c r="CQB3" i="53" a="1"/>
  <c r="AMT3" i="53" a="1"/>
  <c r="CBD3" i="53" a="1"/>
  <c r="RDP3" i="53" a="1"/>
  <c r="KHT3" i="53" a="1"/>
  <c r="BDH3" i="53" a="1"/>
  <c r="C345" i="27" a="1"/>
  <c r="RNT3" i="53" a="1"/>
  <c r="WMH3" i="53" a="1"/>
  <c r="SLP3" i="53" a="1"/>
  <c r="WRA3" i="53" a="1"/>
  <c r="WIH3" i="53" a="1"/>
  <c r="E200" i="27" a="1"/>
  <c r="C269" i="27" a="1"/>
  <c r="AIJ3" i="53" a="1"/>
  <c r="FAM3" i="53" a="1"/>
  <c r="E383" i="27" a="1"/>
  <c r="C39" i="27" a="1"/>
  <c r="JEY3" i="53" a="1"/>
  <c r="ORS3" i="53" a="1"/>
  <c r="WKV3" i="53" a="1"/>
  <c r="SVF3" i="53" a="1"/>
  <c r="SJB3" i="53" a="1"/>
  <c r="E330" i="27" a="1"/>
  <c r="C82" i="27" a="1"/>
  <c r="VPR3" i="53" a="1"/>
  <c r="UJO3" i="53" a="1"/>
  <c r="QVR3" i="53" a="1"/>
  <c r="PFL3" i="53" a="1"/>
  <c r="WKC3" i="53" a="1"/>
  <c r="KIW3" i="53" a="1"/>
  <c r="RBR3" i="53" a="1"/>
  <c r="C101" i="27" a="1"/>
  <c r="PHS3" i="53" a="1"/>
  <c r="INI3" i="53" a="1"/>
  <c r="DKI3" i="53" a="1"/>
  <c r="KYW3" i="53" a="1"/>
  <c r="VUB3" i="53" a="1"/>
  <c r="J3" i="47" a="1"/>
  <c r="C192" i="27" a="1"/>
  <c r="SXF3" i="53" a="1"/>
  <c r="TKA3" i="53" a="1"/>
  <c r="KNU3" i="53" a="1"/>
  <c r="BOF3" i="53" a="1"/>
  <c r="C3" i="19" a="1"/>
  <c r="URH3" i="53" a="1"/>
  <c r="GFA3" i="53" a="1"/>
  <c r="SPL3" i="53" a="1"/>
  <c r="E278" i="27" a="1"/>
  <c r="PHB3" i="53" a="1"/>
  <c r="QIN3" i="53" a="1"/>
  <c r="WCF3" i="53" a="1"/>
  <c r="UQY3" i="53" a="1"/>
  <c r="RJY3" i="53" a="1"/>
  <c r="FCL3" i="53" a="1"/>
  <c r="GIQ3" i="53" a="1"/>
  <c r="TXB3" i="53" a="1"/>
  <c r="SZZ3" i="53" a="1"/>
  <c r="NCU3" i="53" a="1"/>
  <c r="HQW3" i="53" a="1"/>
  <c r="NRH3" i="53" a="1"/>
  <c r="C213" i="27" a="1"/>
  <c r="TYO3" i="53" a="1"/>
  <c r="GDC3" i="53" a="1"/>
  <c r="C78" i="27" a="1"/>
  <c r="IAE3" i="53" a="1"/>
  <c r="D3" i="31" a="1"/>
  <c r="MGV3" i="53" a="1"/>
  <c r="E258" i="27" a="1"/>
  <c r="DKD3" i="53" a="1"/>
  <c r="TYR3" i="53" a="1"/>
  <c r="REA3" i="53" a="1"/>
  <c r="K3" i="40" a="1"/>
  <c r="B3" i="6" a="1"/>
  <c r="REZ3" i="53" a="1"/>
  <c r="C52" i="27" a="1"/>
  <c r="VIO3" i="53" a="1"/>
  <c r="NZK3" i="53" a="1"/>
  <c r="F53" i="53" a="1"/>
  <c r="TED3" i="53" a="1"/>
  <c r="WEY3" i="53" a="1"/>
  <c r="WUY3" i="53" a="1"/>
  <c r="E67" i="27" a="1"/>
  <c r="PVD3" i="53" a="1"/>
  <c r="VQW3" i="53" a="1"/>
  <c r="LXO3" i="53" a="1"/>
  <c r="E37" i="53" a="1"/>
  <c r="WEX3" i="53" a="1"/>
  <c r="UWQ3" i="53" a="1"/>
  <c r="UFN3" i="53" a="1"/>
  <c r="UYU3" i="53" a="1"/>
  <c r="VAB3" i="53" a="1"/>
  <c r="OHO3" i="53" a="1"/>
  <c r="KGY3" i="53" a="1"/>
  <c r="OFG3" i="53" a="1"/>
  <c r="E282" i="27" a="1"/>
  <c r="C161" i="27" a="1"/>
  <c r="OOS3" i="53" a="1"/>
  <c r="LGU3" i="53" a="1"/>
  <c r="TEH3" i="53" a="1"/>
  <c r="E28" i="27" a="1"/>
  <c r="C137" i="27" a="1"/>
  <c r="WDJ3" i="53" a="1"/>
  <c r="AVF3" i="53" a="1"/>
  <c r="XQ3" i="53" a="1"/>
  <c r="VAX3" i="53" a="1"/>
  <c r="IBX3" i="53" a="1"/>
  <c r="GQK3" i="53" a="1"/>
  <c r="C12" i="53" a="1"/>
  <c r="JIX3" i="53" a="1"/>
  <c r="HHC3" i="53" a="1"/>
  <c r="C366" i="27" a="1"/>
  <c r="IQK3" i="53" a="1"/>
  <c r="CIV3" i="53" a="1"/>
  <c r="E42" i="27" a="1"/>
  <c r="C87" i="27" a="1"/>
  <c r="VLN3" i="53" a="1"/>
  <c r="NIX3" i="53" a="1"/>
  <c r="UEL3" i="53" a="1"/>
  <c r="C375" i="27" a="1"/>
  <c r="TLB3" i="53" a="1"/>
  <c r="VOX3" i="53" a="1"/>
  <c r="RZF3" i="53" a="1"/>
  <c r="PJA3" i="53" a="1"/>
  <c r="XDW3" i="53" a="1"/>
  <c r="E406" i="27" a="1"/>
  <c r="C130" i="27" a="1"/>
  <c r="MIG3" i="53" a="1"/>
  <c r="UAX3" i="53" a="1"/>
  <c r="KVO3" i="53" a="1"/>
  <c r="SAH3" i="53" a="1"/>
  <c r="QHF3" i="53" a="1"/>
  <c r="ICE3" i="53" a="1"/>
  <c r="B3" i="42" a="1"/>
  <c r="C145" i="27" a="1"/>
  <c r="QBT3" i="53" a="1"/>
  <c r="SBT3" i="53" a="1"/>
  <c r="BNB3" i="53" a="1"/>
  <c r="OIJ3" i="53" a="1"/>
  <c r="CDI3" i="53" a="1"/>
  <c r="PGB3" i="53" a="1"/>
  <c r="E287" i="27" a="1"/>
  <c r="C341" i="27" a="1"/>
  <c r="WIZ3" i="53" a="1"/>
  <c r="C22" i="53" a="1"/>
  <c r="HTI3" i="53" a="1"/>
  <c r="WXA3" i="53" a="1"/>
  <c r="TKK3" i="53" a="1"/>
  <c r="KKR3" i="53" a="1"/>
  <c r="BLT3" i="53" a="1"/>
  <c r="XDQ3" i="53" a="1"/>
  <c r="RNA3" i="53" a="1"/>
  <c r="E384" i="27" a="1"/>
  <c r="VFE3" i="53" a="1"/>
  <c r="VIL3" i="53" a="1"/>
  <c r="GOH3" i="53" a="1"/>
  <c r="CXE3" i="53" a="1"/>
  <c r="OJS3" i="53" a="1"/>
  <c r="HYK3" i="53" a="1"/>
  <c r="HDQ3" i="53" a="1"/>
  <c r="LGS3" i="53" a="1"/>
  <c r="QWM3" i="53" a="1"/>
  <c r="DPK3" i="53" a="1"/>
  <c r="TRK3" i="53" a="1"/>
  <c r="VEQ3" i="53" a="1"/>
  <c r="C254" i="27" a="1"/>
  <c r="GIX3" i="53" a="1"/>
  <c r="MEQ3" i="53" a="1"/>
  <c r="F3" i="34" a="1"/>
  <c r="VNN3" i="53" a="1"/>
  <c r="FQI3" i="53" a="1"/>
  <c r="E387" i="27" a="1"/>
  <c r="WFT3" i="53" a="1"/>
  <c r="SFB3" i="53" a="1"/>
  <c r="NIV3" i="53" a="1"/>
  <c r="EVE3" i="53" a="1"/>
  <c r="KFY3" i="53" a="1"/>
  <c r="IZE3" i="53" a="1"/>
  <c r="C245" i="27" a="1"/>
  <c r="PZQ3" i="53" a="1"/>
  <c r="JNB3" i="53" a="1"/>
  <c r="PRX3" i="53" a="1"/>
  <c r="PLY3" i="53" a="1"/>
  <c r="PCK3" i="53" a="1"/>
  <c r="CWH3" i="53" a="1"/>
  <c r="OPZ3" i="53" a="1"/>
  <c r="TXO3" i="53" a="1"/>
  <c r="E175" i="27" a="1"/>
  <c r="GGP3" i="53" a="1"/>
  <c r="HMS3" i="53" a="1"/>
  <c r="KZI3" i="53" a="1"/>
  <c r="DJ3" i="53" a="1"/>
  <c r="E83" i="27" a="1"/>
  <c r="COB3" i="53" a="1"/>
  <c r="E66" i="53" a="1"/>
  <c r="VEZ3" i="53" a="1"/>
  <c r="DT3" i="53" a="1"/>
  <c r="WXK3" i="53" a="1"/>
  <c r="RVJ3" i="53" a="1"/>
  <c r="TLZ3" i="53" a="1"/>
  <c r="UXO3" i="53" a="1"/>
  <c r="SEL3" i="53" a="1"/>
  <c r="PKK3" i="53" a="1"/>
  <c r="TJL3" i="53" a="1"/>
  <c r="IIA3" i="53" a="1"/>
  <c r="HOL3" i="53" a="1"/>
  <c r="CJE3" i="53" a="1"/>
  <c r="UEH3" i="53" a="1"/>
  <c r="QBR3" i="53" a="1"/>
  <c r="QJS3" i="53" a="1"/>
  <c r="XCL3" i="53" a="1"/>
  <c r="HHW3" i="53" a="1"/>
  <c r="PK3" i="53" a="1"/>
  <c r="PIZ3" i="53" a="1"/>
  <c r="MUR3" i="53" a="1"/>
  <c r="MAW3" i="53" a="1"/>
  <c r="CYK3" i="53" a="1"/>
  <c r="CHY3" i="53" a="1"/>
  <c r="KPJ3" i="53" a="1"/>
  <c r="EDE3" i="53" a="1"/>
  <c r="MTB3" i="53" a="1"/>
  <c r="ITC3" i="53" a="1"/>
  <c r="EK3" i="53" a="1"/>
  <c r="PHL3" i="53" a="1"/>
  <c r="DC3" i="53" a="1"/>
  <c r="UOI3" i="53" a="1"/>
  <c r="E7" i="31" a="1"/>
  <c r="DPA3" i="53" a="1"/>
  <c r="DRC3" i="53" a="1"/>
  <c r="WDG3" i="53" a="1"/>
  <c r="AFI3" i="53" a="1"/>
  <c r="VUN3" i="53" a="1"/>
  <c r="EVM3" i="53" a="1"/>
  <c r="JZA3" i="53" a="1"/>
  <c r="PGE3" i="53" a="1"/>
  <c r="WDZ3" i="53" a="1"/>
  <c r="QUJ3" i="53" a="1"/>
  <c r="QIH3" i="53" a="1"/>
  <c r="SJZ3" i="53" a="1"/>
  <c r="IZP3" i="53" a="1"/>
  <c r="DLQ3" i="53" a="1"/>
  <c r="LZK3" i="53" a="1"/>
  <c r="MKI3" i="53" a="1"/>
  <c r="RCS3" i="53" a="1"/>
  <c r="OVD3" i="53" a="1"/>
  <c r="SEG3" i="53" a="1"/>
  <c r="RWB3" i="53" a="1"/>
  <c r="PFI3" i="53" a="1"/>
  <c r="DNJ3" i="53" a="1"/>
  <c r="F3" i="49" a="1"/>
  <c r="CUU3" i="53" a="1"/>
  <c r="RHD3" i="53" a="1"/>
  <c r="XCV3" i="53" a="1"/>
  <c r="MCG3" i="53" a="1"/>
  <c r="WKJ3" i="53" a="1"/>
  <c r="E353" i="27" a="1"/>
  <c r="RTC3" i="53" a="1"/>
  <c r="WSF3" i="53" a="1"/>
  <c r="VMJ3" i="53" a="1"/>
  <c r="WFK3" i="53" a="1"/>
  <c r="WGQ3" i="53" a="1"/>
  <c r="VGD3" i="53" a="1"/>
  <c r="HWA3" i="53" a="1"/>
  <c r="E240" i="27" a="1"/>
  <c r="C290" i="27" a="1"/>
  <c r="UGO3" i="53" a="1"/>
  <c r="RRK3" i="53" a="1"/>
  <c r="UPU3" i="53" a="1"/>
  <c r="FGA3" i="53" a="1"/>
  <c r="OJW3" i="53" a="1"/>
  <c r="RPC3" i="53" a="1"/>
  <c r="C225" i="27" a="1"/>
  <c r="QCB3" i="53" a="1"/>
  <c r="PHD3" i="53" a="1"/>
  <c r="WXG3" i="53" a="1"/>
  <c r="E129" i="27" a="1"/>
  <c r="C94" i="27" a="1"/>
  <c r="WXJ3" i="53" a="1"/>
  <c r="XDI3" i="53" a="1"/>
  <c r="SRN3" i="53" a="1"/>
  <c r="E3" i="20" a="1"/>
  <c r="VQK3" i="53" a="1"/>
  <c r="C403" i="27" a="1"/>
  <c r="WXI3" i="53" a="1"/>
  <c r="EJM3" i="53" a="1"/>
  <c r="QFX3" i="53" a="1"/>
  <c r="WQU3" i="53" a="1"/>
  <c r="RIC3" i="53" a="1"/>
  <c r="B3" i="40" a="1"/>
  <c r="E205" i="27" a="1"/>
  <c r="C357" i="27" a="1"/>
  <c r="IQN3" i="53" a="1"/>
  <c r="ESW3" i="53" a="1"/>
  <c r="ROD3" i="53" a="1"/>
  <c r="F7" i="53" a="1"/>
  <c r="TVW3" i="53" a="1"/>
  <c r="E299" i="27" a="1"/>
  <c r="C261" i="27" a="1"/>
  <c r="WMA3" i="53" a="1"/>
  <c r="QIG3" i="53" a="1"/>
  <c r="LRT3" i="53" a="1"/>
  <c r="D3" i="5" a="1"/>
  <c r="E388" i="27" a="1"/>
  <c r="C57" i="27" a="1"/>
  <c r="SGY3" i="53" a="1"/>
  <c r="LGR3" i="53" a="1"/>
  <c r="OVR3" i="53" a="1"/>
  <c r="E103" i="27" a="1"/>
  <c r="C352" i="27" a="1"/>
  <c r="AGP3" i="53" a="1"/>
  <c r="SOE3" i="53" a="1"/>
  <c r="C409" i="27" a="1"/>
  <c r="WOO3" i="53" a="1"/>
  <c r="NMX3" i="53" a="1"/>
  <c r="BMX3" i="53" a="1"/>
  <c r="JYN3" i="53" a="1"/>
  <c r="LLA3" i="53" a="1"/>
  <c r="E58" i="27" a="1"/>
  <c r="C226" i="27" a="1"/>
  <c r="F56" i="53" a="1"/>
  <c r="HQI3" i="53" a="1"/>
  <c r="TYZ3" i="53" a="1"/>
  <c r="C387" i="27" a="1"/>
  <c r="MOA3" i="53" a="1"/>
  <c r="QGX3" i="53" a="1"/>
  <c r="UKI3" i="53" a="1"/>
  <c r="JTS3" i="53" a="1"/>
  <c r="C24" i="53" a="1"/>
  <c r="HXQ3" i="53" a="1"/>
  <c r="ULI3" i="53" a="1"/>
  <c r="VVR3" i="53" a="1"/>
  <c r="WBA3" i="53" a="1"/>
  <c r="TNW3" i="53" a="1"/>
  <c r="C77" i="27" a="1"/>
  <c r="TFF3" i="53" a="1"/>
  <c r="CFT3" i="53" a="1"/>
  <c r="C176" i="27" a="1"/>
  <c r="UOU3" i="53" a="1"/>
  <c r="PTP3" i="53" a="1"/>
  <c r="LWJ3" i="53" a="1"/>
  <c r="UIP3" i="53" a="1"/>
  <c r="C353" i="27" a="1"/>
  <c r="SUT3" i="53" a="1"/>
  <c r="BKP3" i="53" a="1"/>
  <c r="FOT3" i="53" a="1"/>
  <c r="WZE3" i="53" a="1"/>
  <c r="LYI3" i="53" a="1"/>
  <c r="AME3" i="53" a="1"/>
  <c r="E260" i="27" a="1"/>
  <c r="C310" i="27" a="1"/>
  <c r="VVZ3" i="53" a="1"/>
  <c r="BQM3" i="53" a="1"/>
  <c r="HPX3" i="53" a="1"/>
  <c r="WJC3" i="53" a="1"/>
  <c r="F3" i="7" a="1"/>
  <c r="WUO3" i="53" a="1"/>
  <c r="C76" i="27" a="1"/>
  <c r="E244" i="27" a="1"/>
  <c r="GAX3" i="53" a="1"/>
  <c r="F68" i="53" a="1"/>
  <c r="E162" i="27" a="1"/>
  <c r="B3" i="41" a="1"/>
  <c r="UQP3" i="53" a="1"/>
  <c r="RUJ3" i="53" a="1"/>
  <c r="E213" i="27" a="1"/>
  <c r="IUI3" i="53" a="1"/>
  <c r="WHU3" i="53" a="1"/>
  <c r="JVW3" i="53" a="1"/>
  <c r="STL3" i="53" a="1"/>
  <c r="OZW3" i="53" a="1"/>
  <c r="VPP3" i="53" a="1"/>
  <c r="CTY3" i="53" a="1"/>
  <c r="OHM3" i="53" a="1"/>
  <c r="UAW3" i="53" a="1"/>
  <c r="TRU3" i="53" a="1"/>
  <c r="NBB3" i="53" a="1"/>
  <c r="OFQ3" i="53" a="1"/>
  <c r="C64" i="27" a="1"/>
  <c r="H3" i="50" a="1"/>
  <c r="PQL3" i="53" a="1"/>
  <c r="SRW3" i="53" a="1"/>
  <c r="E97" i="27" a="1"/>
  <c r="VRJ3" i="53" a="1"/>
  <c r="F29" i="53" a="1"/>
  <c r="E340" i="27" a="1"/>
  <c r="E272" i="27" a="1"/>
  <c r="SWP3" i="53" a="1"/>
  <c r="QWX3" i="53" a="1"/>
  <c r="WUZ3" i="53" a="1"/>
  <c r="ELL3" i="53" a="1"/>
  <c r="HXE3" i="53" a="1"/>
  <c r="C335" i="27" a="1"/>
  <c r="SPU3" i="53" a="1"/>
  <c r="JPW3" i="53" a="1"/>
  <c r="WND3" i="53" a="1"/>
  <c r="PYH3" i="53" a="1"/>
  <c r="UCQ3" i="53" a="1"/>
  <c r="E49" i="27" a="1"/>
  <c r="VWZ3" i="53" a="1"/>
  <c r="JVK3" i="53" a="1"/>
  <c r="FZQ3" i="53" a="1"/>
  <c r="SCC3" i="53" a="1"/>
  <c r="PRD3" i="53" a="1"/>
  <c r="C379" i="27" a="1"/>
  <c r="XEV3" i="53" a="1"/>
  <c r="BEO3" i="53" a="1"/>
  <c r="QYN3" i="53" a="1"/>
  <c r="NSP3" i="53" a="1"/>
  <c r="QCS3" i="53" a="1"/>
  <c r="E243" i="27" a="1"/>
  <c r="NZW3" i="53" a="1"/>
  <c r="UZF3" i="53" a="1"/>
  <c r="JHE3" i="53" a="1"/>
  <c r="JVG3" i="53" a="1"/>
  <c r="XAP3" i="53" a="1"/>
  <c r="WRH3" i="53" a="1"/>
  <c r="ULX3" i="53" a="1"/>
  <c r="NXG3" i="53" a="1"/>
  <c r="UGH3" i="53" a="1"/>
  <c r="WIS3" i="53" a="1"/>
  <c r="N3" i="4" a="1"/>
  <c r="TJH3" i="53" a="1"/>
  <c r="GZJ3" i="53" a="1"/>
  <c r="BRX3" i="53" a="1"/>
  <c r="UGB3" i="53" a="1"/>
  <c r="E62" i="27" a="1"/>
  <c r="JZW3" i="53" a="1"/>
  <c r="BZX3" i="53" a="1"/>
  <c r="C97" i="27" a="1"/>
  <c r="JGV3" i="53" a="1"/>
  <c r="E234" i="27" a="1"/>
  <c r="TUV3" i="53" a="1"/>
  <c r="WWL3" i="53" a="1"/>
  <c r="C291" i="27" a="1"/>
  <c r="LVW3" i="53" a="1"/>
  <c r="TAA3" i="53" a="1"/>
  <c r="TAR3" i="53" a="1"/>
  <c r="E165" i="27" a="1"/>
  <c r="FIH3" i="53" a="1"/>
  <c r="D3" i="56" a="1"/>
  <c r="GYU3" i="53" a="1"/>
  <c r="VBD3" i="53" a="1"/>
  <c r="OSM3" i="53" a="1"/>
  <c r="GUK3" i="53" a="1"/>
  <c r="TNG3" i="53" a="1"/>
  <c r="WYO3" i="53" a="1"/>
  <c r="C177" i="27" a="1"/>
  <c r="VYL3" i="53" a="1"/>
  <c r="STG3" i="53" a="1"/>
  <c r="DAH3" i="53" a="1"/>
  <c r="C233" i="27" a="1"/>
  <c r="MEY3" i="53" a="1"/>
  <c r="FUY3" i="53" a="1"/>
  <c r="WDY3" i="53" a="1"/>
  <c r="C232" i="27" a="1"/>
  <c r="QRH3" i="53" a="1"/>
  <c r="DAU3" i="53" a="1"/>
  <c r="AMB3" i="53" a="1"/>
  <c r="CC3" i="53" a="1"/>
  <c r="B3" i="22" a="1"/>
  <c r="MED3" i="53" a="1"/>
  <c r="HEU3" i="53" a="1"/>
  <c r="HC3" i="53" a="1"/>
  <c r="MNE3" i="53" a="1"/>
  <c r="QQJ3" i="53" a="1"/>
  <c r="RHH3" i="53" a="1"/>
  <c r="VDJ3" i="53" a="1"/>
  <c r="IFH3" i="53" a="1"/>
  <c r="UCZ3" i="53" a="1"/>
  <c r="VVT3" i="53" a="1"/>
  <c r="OKG3" i="53" a="1"/>
  <c r="TGW3" i="53" a="1"/>
  <c r="GDB3" i="53" a="1"/>
  <c r="ONS3" i="53" a="1"/>
  <c r="TOX3" i="53" a="1"/>
  <c r="MVL3" i="53" a="1"/>
  <c r="OJJ3" i="53" a="1"/>
  <c r="OUK3" i="53" a="1"/>
  <c r="TZS3" i="53" a="1"/>
  <c r="JYY3" i="53" a="1"/>
  <c r="NXS3" i="53" a="1"/>
  <c r="E188" i="27" a="1"/>
  <c r="NSG3" i="53" a="1"/>
  <c r="EHF3" i="53" a="1"/>
  <c r="ORF3" i="53" a="1"/>
  <c r="E216" i="27" a="1"/>
  <c r="FRT3" i="53" a="1"/>
  <c r="HLI3" i="53" a="1"/>
  <c r="NFY3" i="53" a="1"/>
  <c r="LVO3" i="53" a="1"/>
  <c r="RWZ3" i="53" a="1"/>
  <c r="IZV3" i="53" a="1"/>
  <c r="JTZ3" i="53" a="1"/>
  <c r="BYZ3" i="53" a="1"/>
  <c r="C21" i="53" a="1"/>
  <c r="IIB3" i="53" a="1"/>
  <c r="POV3" i="53" a="1"/>
  <c r="LTL3" i="53" a="1"/>
  <c r="OMD3" i="53" a="1"/>
  <c r="KLD3" i="53" a="1"/>
  <c r="JNZ3" i="53" a="1"/>
  <c r="J3" i="40" a="1"/>
  <c r="UWW3" i="53" a="1"/>
  <c r="UBX3" i="53" a="1"/>
  <c r="MBM3" i="53" a="1"/>
  <c r="DSS3" i="53" a="1"/>
  <c r="RFB3" i="53" a="1"/>
  <c r="HQH3" i="53" a="1"/>
  <c r="RQT3" i="53" a="1"/>
  <c r="LVA3" i="53" a="1"/>
  <c r="QCH3" i="53" a="1"/>
  <c r="STN3" i="53" a="1"/>
  <c r="GA3" i="53" a="1"/>
  <c r="GHQ3" i="53" a="1"/>
  <c r="J3" i="38" a="1"/>
  <c r="QQO3" i="53" a="1"/>
  <c r="OCZ3" i="53" a="1"/>
  <c r="SWC3" i="53" a="1"/>
  <c r="VWI3" i="53" a="1"/>
  <c r="UDW3" i="53" a="1"/>
  <c r="E79" i="27" a="1"/>
  <c r="LVS3" i="53" a="1"/>
  <c r="C66" i="27" a="1"/>
  <c r="QV3" i="53" a="1"/>
  <c r="GNC3" i="53" a="1"/>
  <c r="VLT3" i="53" a="1"/>
  <c r="C138" i="27" a="1"/>
  <c r="MUF3" i="53" a="1"/>
  <c r="HWT3" i="53" a="1"/>
  <c r="WDV3" i="53" a="1"/>
  <c r="LTK3" i="53" a="1"/>
  <c r="JTX3" i="53" a="1"/>
  <c r="UEF3" i="53" a="1"/>
  <c r="MWL3" i="53" a="1"/>
  <c r="E71" i="27" a="1"/>
  <c r="KXJ3" i="53" a="1"/>
  <c r="BLJ3" i="53" a="1"/>
  <c r="KYJ3" i="53" a="1"/>
  <c r="UFS3" i="53" a="1"/>
  <c r="ONF3" i="53" a="1"/>
  <c r="IJO3" i="53" a="1"/>
  <c r="MJR3" i="53" a="1"/>
  <c r="KTR3" i="53" a="1"/>
  <c r="WSN3" i="53" a="1"/>
  <c r="NGG3" i="53" a="1"/>
  <c r="FDT3" i="53" a="1"/>
  <c r="FUG3" i="53" a="1"/>
  <c r="WEA3" i="53" a="1"/>
  <c r="E111" i="27" a="1"/>
  <c r="LKY3" i="53" a="1"/>
  <c r="UYA3" i="53" a="1"/>
  <c r="C44" i="27" a="1"/>
  <c r="RTQ3" i="53" a="1"/>
  <c r="E65" i="27" a="1"/>
  <c r="CVC3" i="53" a="1"/>
  <c r="PVV3" i="53" a="1"/>
  <c r="C402" i="27" a="1"/>
  <c r="C43" i="53" a="1"/>
  <c r="KKA3" i="53" a="1"/>
  <c r="TNZ3" i="53" a="1"/>
  <c r="LBV3" i="53" a="1"/>
  <c r="POG3" i="53" a="1"/>
  <c r="OFK3" i="53" a="1"/>
  <c r="MGD3" i="53" a="1"/>
  <c r="VQI3" i="53" a="1"/>
  <c r="LPN3" i="53" a="1"/>
  <c r="JJB3" i="53" a="1"/>
  <c r="JPS3" i="53" a="1"/>
  <c r="OOF3" i="53" a="1"/>
  <c r="C178" i="27" a="1"/>
  <c r="PEU3" i="53" a="1"/>
  <c r="GHK3" i="53" a="1"/>
  <c r="WVD3" i="53" a="1"/>
  <c r="DJH3" i="53" a="1"/>
  <c r="UHN3" i="53" a="1"/>
  <c r="WJS3" i="53" a="1"/>
  <c r="JCZ3" i="53" a="1"/>
  <c r="C155" i="27" a="1"/>
  <c r="MFP3" i="53" a="1"/>
  <c r="AMS3" i="53" a="1"/>
  <c r="AZV3" i="53" a="1"/>
  <c r="JMD3" i="53" a="1"/>
  <c r="QOV3" i="53" a="1"/>
  <c r="TKC3" i="53" a="1"/>
  <c r="MVI3" i="53" a="1"/>
  <c r="OGC3" i="53" a="1"/>
  <c r="OFB3" i="53" a="1"/>
  <c r="WKU3" i="53" a="1"/>
  <c r="MKK3" i="53" a="1"/>
  <c r="EHV3" i="53" a="1"/>
  <c r="UMC3" i="53" a="1"/>
  <c r="VCH3" i="53" a="1"/>
  <c r="EUB3" i="53" a="1"/>
  <c r="UUL3" i="53" a="1"/>
  <c r="OIU3" i="53" a="1"/>
  <c r="RBW3" i="53" a="1"/>
  <c r="PXH3" i="53" a="1"/>
  <c r="TR3" i="53" a="1"/>
  <c r="GMU3" i="53" a="1"/>
  <c r="HHJ3" i="53" a="1"/>
  <c r="WRJ3" i="53" a="1"/>
  <c r="DRV3" i="53" a="1"/>
  <c r="VRO3" i="53" a="1"/>
  <c r="RUG3" i="53" a="1"/>
  <c r="E63" i="27" a="1"/>
  <c r="GDX3" i="53" a="1"/>
  <c r="NBI3" i="53" a="1"/>
  <c r="PIR3" i="53" a="1"/>
  <c r="E73" i="27" a="1"/>
  <c r="VMN3" i="53" a="1"/>
  <c r="MCH3" i="53" a="1"/>
  <c r="APB3" i="53" a="1"/>
  <c r="UDO3" i="53" a="1"/>
  <c r="C207" i="27" a="1"/>
  <c r="QAE3" i="53" a="1"/>
  <c r="LVB3" i="53" a="1"/>
  <c r="PIC3" i="53" a="1"/>
  <c r="DRS3" i="53" a="1"/>
  <c r="GEQ3" i="53" a="1"/>
  <c r="OCC3" i="53" a="1"/>
  <c r="JQT3" i="53" a="1"/>
  <c r="IUZ3" i="53" a="1"/>
  <c r="ORX3" i="53" a="1"/>
  <c r="QRD3" i="53" a="1"/>
  <c r="BTX3" i="53" a="1"/>
  <c r="QTJ3" i="53" a="1"/>
  <c r="UTF3" i="53" a="1"/>
  <c r="WTA3" i="53" a="1"/>
  <c r="NQV3" i="53" a="1"/>
  <c r="WFR3" i="53" a="1"/>
  <c r="D3" i="55" a="1"/>
  <c r="TGR3" i="53" a="1"/>
  <c r="TWH3" i="53" a="1"/>
  <c r="POX3" i="53" a="1"/>
  <c r="NVG3" i="53" a="1"/>
  <c r="NRI3" i="53" a="1"/>
  <c r="MGN3" i="53" a="1"/>
  <c r="E56" i="27" a="1"/>
  <c r="NSY3" i="53" a="1"/>
  <c r="C13" i="27" a="1"/>
  <c r="SLO3" i="53" a="1"/>
  <c r="WCZ3" i="53" a="1"/>
  <c r="WMD3" i="53" a="1"/>
  <c r="LLI3" i="53" a="1"/>
  <c r="GOG3" i="53" a="1"/>
  <c r="WXQ3" i="53" a="1"/>
  <c r="TOF3" i="53" a="1"/>
  <c r="E394" i="27" a="1"/>
  <c r="TMT3" i="53" a="1"/>
  <c r="KPK3" i="53" a="1"/>
  <c r="QTD3" i="53" a="1"/>
  <c r="E35" i="27" a="1"/>
  <c r="TLW3" i="53" a="1"/>
  <c r="C369" i="27" a="1"/>
  <c r="E3" i="13" a="1"/>
  <c r="PYP3" i="53" a="1"/>
  <c r="B3" i="7" a="1"/>
  <c r="TOI3" i="53" a="1"/>
  <c r="MHU3" i="53" a="1"/>
  <c r="WLD3" i="53" a="1"/>
  <c r="CBI3" i="53" a="1"/>
  <c r="MMZ3" i="53" a="1"/>
  <c r="WRD3" i="53" a="1"/>
  <c r="TYQ3" i="53" a="1"/>
  <c r="HCC3" i="53" a="1"/>
  <c r="E174" i="27" a="1"/>
  <c r="PBD3" i="53" a="1"/>
  <c r="DMN3" i="53" a="1"/>
  <c r="C390" i="27" a="1"/>
  <c r="PQ3" i="53" a="1"/>
  <c r="MKU3" i="53" a="1"/>
  <c r="CEF3" i="53" a="1"/>
  <c r="VUX3" i="53" a="1"/>
  <c r="C257" i="27" a="1"/>
  <c r="WLA3" i="53" a="1"/>
  <c r="BAF3" i="53" a="1"/>
  <c r="SQT3" i="53" a="1"/>
  <c r="KLN3" i="53" a="1"/>
  <c r="TMF3" i="53" a="1"/>
  <c r="DBB3" i="53" a="1"/>
  <c r="OUX3" i="53" a="1"/>
  <c r="AAB3" i="53" a="1"/>
  <c r="UPH3" i="53" a="1"/>
  <c r="TUE3" i="53" a="1"/>
  <c r="MJS3" i="53" a="1"/>
  <c r="E212" i="27" a="1"/>
  <c r="C185" i="27" a="1"/>
  <c r="HVK3" i="53" a="1"/>
  <c r="TCJ3" i="53" a="1"/>
  <c r="FQY3" i="53" a="1"/>
  <c r="DWJ3" i="53" a="1"/>
  <c r="RUA3" i="53" a="1"/>
  <c r="IJX3" i="53" a="1"/>
  <c r="QIY3" i="53" a="1"/>
  <c r="C363" i="27" a="1"/>
  <c r="MHM3" i="53" a="1"/>
  <c r="MUS3" i="53" a="1"/>
  <c r="EKJ3" i="53" a="1"/>
  <c r="WFL3" i="53" a="1"/>
  <c r="SIW3" i="53" a="1"/>
  <c r="OXE3" i="53" a="1"/>
  <c r="UOR3" i="53" a="1"/>
  <c r="HPC3" i="53" a="1"/>
  <c r="JE3" i="53" a="1"/>
  <c r="PIE3" i="53" a="1"/>
  <c r="SKD3" i="53" a="1"/>
  <c r="SXT3" i="53" a="1"/>
  <c r="TEK3" i="53" a="1"/>
  <c r="LB3" i="53" a="1"/>
  <c r="RYA3" i="53" a="1"/>
  <c r="WYB3" i="53" a="1"/>
  <c r="AEQ3" i="53" a="1"/>
  <c r="PZA3" i="53" a="1"/>
  <c r="PZN3" i="53" a="1"/>
  <c r="VIN3" i="53" a="1"/>
  <c r="WQL3" i="53" a="1"/>
  <c r="CEZ3" i="53" a="1"/>
  <c r="SKB3" i="53" a="1"/>
  <c r="MWF3" i="53" a="1"/>
  <c r="UWK3" i="53" a="1"/>
  <c r="PVN3" i="53" a="1"/>
  <c r="LGD3" i="53" a="1"/>
  <c r="JRX3" i="53" a="1"/>
  <c r="TLI3" i="53" a="1"/>
  <c r="UJF3" i="53" a="1"/>
  <c r="BPW3" i="53" a="1"/>
  <c r="VRK3" i="53" a="1"/>
  <c r="F43" i="53" a="1"/>
  <c r="VCU3" i="53" a="1"/>
  <c r="IAZ3" i="53" a="1"/>
  <c r="C364" i="27" a="1"/>
  <c r="JLQ3" i="53" a="1"/>
  <c r="GSC3" i="53" a="1"/>
  <c r="UON3" i="53" a="1"/>
  <c r="MEW3" i="53" a="1"/>
  <c r="QJZ3" i="53" a="1"/>
  <c r="IBZ3" i="53" a="1"/>
  <c r="WCL3" i="53" a="1"/>
  <c r="C3" i="26" a="1"/>
  <c r="EZC3" i="53" a="1"/>
  <c r="OQP3" i="53" a="1"/>
  <c r="RDS3" i="53" a="1"/>
  <c r="SMA3" i="53" a="1"/>
  <c r="JAM3" i="53" a="1"/>
  <c r="EMP3" i="53" a="1"/>
  <c r="HVN3" i="53" a="1"/>
  <c r="PXV3" i="53" a="1"/>
  <c r="RFL3" i="53" a="1"/>
  <c r="ERY3" i="53" a="1"/>
  <c r="E39" i="53" a="1"/>
  <c r="MDA3" i="53" a="1"/>
  <c r="BQO3" i="53" a="1"/>
  <c r="F41" i="53" a="1"/>
  <c r="PKR3" i="53" a="1"/>
  <c r="OVZ3" i="53" a="1"/>
  <c r="IBM3" i="53" a="1"/>
  <c r="E198" i="27" a="1"/>
  <c r="E309" i="27" a="1"/>
  <c r="LWY3" i="53" a="1"/>
  <c r="VKH3" i="53" a="1"/>
  <c r="WAU3" i="53" a="1"/>
  <c r="XEA3" i="53" a="1"/>
  <c r="J3" i="4" a="1"/>
  <c r="NVZ3" i="53" a="1"/>
  <c r="JEX3" i="53" a="1"/>
  <c r="E101" i="27" a="1"/>
  <c r="MKF3" i="53" a="1"/>
  <c r="SAD3" i="53" a="1"/>
  <c r="DYW3" i="53" a="1"/>
  <c r="PRI3" i="53" a="1"/>
  <c r="E342" i="27" a="1"/>
  <c r="VFO3" i="53" a="1"/>
  <c r="MBV3" i="53" a="1"/>
  <c r="E30" i="53" a="1"/>
  <c r="E325" i="27" a="1"/>
  <c r="QLF3" i="53" a="1"/>
  <c r="NCN3" i="53" a="1"/>
  <c r="BP3" i="53" a="1"/>
  <c r="OGG3" i="53" a="1"/>
  <c r="XDC3" i="53" a="1"/>
  <c r="NW3" i="53" a="1"/>
  <c r="MJY3" i="53" a="1"/>
  <c r="MKW3" i="53" a="1"/>
  <c r="RYJ3" i="53" a="1"/>
  <c r="E31" i="27" a="1"/>
  <c r="WWX3" i="53" a="1"/>
  <c r="F18" i="53" a="1"/>
  <c r="C361" i="27" a="1"/>
  <c r="SFD3" i="53" a="1"/>
  <c r="WCI3" i="53" a="1"/>
  <c r="UOT3" i="53" a="1"/>
  <c r="PR3" i="53" a="1"/>
  <c r="C86" i="27" a="1"/>
  <c r="SUE3" i="53" a="1"/>
  <c r="XCX3" i="53" a="1"/>
  <c r="MUU3" i="53" a="1"/>
  <c r="SKK3" i="53" a="1"/>
  <c r="IO3" i="53" a="1"/>
  <c r="DWI3" i="53" a="1"/>
  <c r="QPC3" i="53" a="1"/>
  <c r="WVS3" i="53" a="1"/>
  <c r="TWG3" i="53" a="1"/>
  <c r="GBM3" i="53" a="1"/>
  <c r="GMW3" i="53" a="1"/>
  <c r="E207" i="27" a="1"/>
  <c r="C113" i="27" a="1"/>
  <c r="PWR3" i="53" a="1"/>
  <c r="QVA3" i="53" a="1"/>
  <c r="QAM3" i="53" a="1"/>
  <c r="HAY3" i="53" a="1"/>
  <c r="WOZ3" i="53" a="1"/>
  <c r="LIE3" i="53" a="1"/>
  <c r="SLM3" i="53" a="1"/>
  <c r="C37" i="53" a="1"/>
  <c r="QCE3" i="53" a="1"/>
  <c r="UDZ3" i="53" a="1"/>
  <c r="KRH3" i="53" a="1"/>
  <c r="NPQ3" i="53" a="1"/>
  <c r="PRW3" i="53" a="1"/>
  <c r="TGN3" i="53" a="1"/>
  <c r="QHY3" i="53" a="1"/>
  <c r="RFA3" i="53" a="1"/>
  <c r="RZN3" i="53" a="1"/>
  <c r="JNK3" i="53" a="1"/>
  <c r="KEB3" i="53" a="1"/>
  <c r="AMJ3" i="53" a="1"/>
  <c r="SBB3" i="53" a="1"/>
  <c r="VQO3" i="53" a="1"/>
  <c r="WQW3" i="53" a="1"/>
  <c r="C382" i="27" a="1"/>
  <c r="WME3" i="53" a="1"/>
  <c r="LMQ3" i="53" a="1"/>
  <c r="MDU3" i="53" a="1"/>
  <c r="ELU3" i="53" a="1"/>
  <c r="AYY3" i="53" a="1"/>
  <c r="RXB3" i="53" a="1"/>
  <c r="LIT3" i="53" a="1"/>
  <c r="MQD3" i="53" a="1"/>
  <c r="GUN3" i="53" a="1"/>
  <c r="BDV3" i="53" a="1"/>
  <c r="J3" i="7" a="1"/>
  <c r="KVH3" i="53" a="1"/>
  <c r="EKB3" i="53" a="1"/>
  <c r="C60" i="53" a="1"/>
  <c r="QWW3" i="53" a="1"/>
  <c r="SFU3" i="53" a="1"/>
  <c r="VDW3" i="53" a="1"/>
  <c r="NXB3" i="53" a="1"/>
  <c r="VVN3" i="53" a="1"/>
  <c r="C246" i="27" a="1"/>
  <c r="F71" i="53" a="1"/>
  <c r="XBE3" i="53" a="1"/>
  <c r="NSM3" i="53" a="1"/>
  <c r="JUU3" i="53" a="1"/>
  <c r="FZV3" i="53" a="1"/>
  <c r="VFM3" i="53" a="1"/>
  <c r="OOM3" i="53" a="1"/>
  <c r="UAF3" i="53" a="1"/>
  <c r="LDE3" i="53" a="1"/>
  <c r="SIO3" i="53" a="1"/>
  <c r="LTA3" i="53" a="1"/>
  <c r="UHJ3" i="53" a="1"/>
  <c r="DTH3" i="53" a="1"/>
  <c r="HSZ3" i="53" a="1"/>
  <c r="KHM3" i="53" a="1"/>
  <c r="E238" i="27" a="1"/>
  <c r="JWM3" i="53" a="1"/>
  <c r="CSQ3" i="53" a="1"/>
  <c r="SBY3" i="53" a="1"/>
  <c r="AZR3" i="53" a="1"/>
  <c r="C304" i="27" a="1"/>
  <c r="GXO3" i="53" a="1"/>
  <c r="KUP3" i="53" a="1"/>
  <c r="NTT3" i="53" a="1"/>
  <c r="SPD3" i="53" a="1"/>
  <c r="SCN3" i="53" a="1"/>
  <c r="NUD3" i="53" a="1"/>
  <c r="CXP3" i="53" a="1"/>
  <c r="A3" i="59" a="1"/>
  <c r="LOM3" i="53" a="1"/>
  <c r="MKQ3" i="53" a="1"/>
  <c r="OMY3" i="53" a="1"/>
  <c r="ALZ3" i="53" a="1"/>
  <c r="E13" i="27" a="1"/>
  <c r="D3" i="62" a="1"/>
  <c r="UEK3" i="53" a="1"/>
  <c r="FAS3" i="53" a="1"/>
  <c r="PRN3" i="53" a="1"/>
  <c r="E30" i="27" a="1"/>
  <c r="C5" i="53" a="1"/>
  <c r="C34" i="53" a="1"/>
  <c r="JKM3" i="53" a="1"/>
  <c r="E92" i="27" a="1"/>
  <c r="IAX3" i="53" a="1"/>
  <c r="UBH3" i="53" a="1"/>
  <c r="KGO3" i="53" a="1"/>
  <c r="QDQ3" i="53" a="1"/>
  <c r="E86" i="27" a="1"/>
  <c r="QGZ3" i="53" a="1"/>
  <c r="F64" i="53" a="1"/>
  <c r="MAO3" i="53" a="1"/>
  <c r="E303" i="27" a="1"/>
  <c r="NNC3" i="53" a="1"/>
  <c r="SPF3" i="53" a="1"/>
  <c r="PUW3" i="53" a="1"/>
  <c r="SQP3" i="53" a="1"/>
  <c r="OCE3" i="53" a="1"/>
  <c r="NRW3" i="53" a="1"/>
  <c r="WUG3" i="53" a="1"/>
  <c r="UOE3" i="53" a="1"/>
  <c r="VLF3" i="53" a="1"/>
  <c r="E283" i="27" a="1"/>
  <c r="QTQ3" i="53" a="1"/>
  <c r="TWJ3" i="53" a="1"/>
  <c r="E131" i="27" a="1"/>
  <c r="WJP3" i="53" a="1"/>
  <c r="E90" i="27" a="1"/>
  <c r="JIU3" i="53" a="1"/>
  <c r="LRB3" i="53" a="1"/>
  <c r="IJP3" i="53" a="1"/>
  <c r="D3" i="34" a="1"/>
  <c r="UXZ3" i="53" a="1"/>
  <c r="TOY3" i="53" a="1"/>
  <c r="E64" i="27" a="1"/>
  <c r="RVM3" i="53" a="1"/>
  <c r="E71" i="53" a="1"/>
  <c r="PAR3" i="53" a="1"/>
  <c r="VOS3" i="53" a="1"/>
  <c r="VQD3" i="53" a="1"/>
  <c r="NES3" i="53" a="1"/>
  <c r="SOC3" i="53" a="1"/>
  <c r="NNO3" i="53" a="1"/>
  <c r="E334" i="27" a="1"/>
  <c r="KDI3" i="53" a="1"/>
  <c r="RDT3" i="53" a="1"/>
  <c r="DET3" i="53" a="1"/>
  <c r="IRG3" i="53" a="1"/>
  <c r="RAK3" i="53" a="1"/>
  <c r="UMS3" i="53" a="1"/>
  <c r="TUU3" i="53" a="1"/>
  <c r="QZU3" i="53" a="1"/>
  <c r="VYU3" i="53" a="1"/>
  <c r="C106" i="27" a="1"/>
  <c r="XCA3" i="53" a="1"/>
  <c r="MWB3" i="53" a="1"/>
  <c r="IHQ3" i="53" a="1"/>
  <c r="PBU3" i="53" a="1"/>
  <c r="ETX3" i="53" a="1"/>
  <c r="MRF3" i="53" a="1"/>
  <c r="C65" i="27" a="1"/>
  <c r="PFN3" i="53" a="1"/>
  <c r="FJW3" i="53" a="1"/>
  <c r="RQD3" i="53" a="1"/>
  <c r="STF3" i="53" a="1"/>
  <c r="C395" i="27" a="1"/>
  <c r="UEG3" i="53" a="1"/>
  <c r="C299" i="27" a="1"/>
  <c r="SHP3" i="53" a="1"/>
  <c r="OSE3" i="53" a="1"/>
  <c r="CFH3" i="53" a="1"/>
  <c r="SHY3" i="53" a="1"/>
  <c r="VOM3" i="53" a="1"/>
  <c r="EWH3" i="53" a="1"/>
  <c r="RZQ3" i="53" a="1"/>
  <c r="PEV3" i="53" a="1"/>
  <c r="UDT3" i="53" a="1"/>
  <c r="E360" i="27" a="1"/>
  <c r="OIX3" i="53" a="1"/>
  <c r="E153" i="27" a="1"/>
  <c r="WXH3" i="53" a="1"/>
  <c r="E138" i="27" a="1"/>
  <c r="VSQ3" i="53" a="1"/>
  <c r="TTL3" i="53" a="1"/>
  <c r="WBY3" i="53" a="1"/>
  <c r="VZD3" i="53" a="1"/>
  <c r="C48" i="53" a="1"/>
  <c r="OEK3" i="53" a="1"/>
  <c r="E99" i="27" a="1"/>
  <c r="BXM3" i="53" a="1"/>
  <c r="UZS3" i="53" a="1"/>
  <c r="SXU3" i="53" a="1"/>
  <c r="BAD3" i="53" a="1"/>
  <c r="AFL3" i="53" a="1"/>
  <c r="UFD3" i="53" a="1"/>
  <c r="C19" i="27" a="1"/>
  <c r="SVN3" i="53" a="1"/>
  <c r="FXS3" i="53" a="1"/>
  <c r="MJO3" i="53" a="1"/>
  <c r="KZF3" i="53" a="1"/>
  <c r="E335" i="27" a="1"/>
  <c r="VNP3" i="53" a="1"/>
  <c r="JKL3" i="53" a="1"/>
  <c r="BGG3" i="53" a="1"/>
  <c r="PXP3" i="53" a="1"/>
  <c r="GUZ3" i="53" a="1"/>
  <c r="KFO3" i="53" a="1"/>
  <c r="C70" i="27" a="1"/>
  <c r="XCK3" i="53" a="1"/>
  <c r="UYZ3" i="53" a="1"/>
  <c r="MFR3" i="53" a="1"/>
  <c r="QOQ3" i="53" a="1"/>
  <c r="QQE3" i="53" a="1"/>
  <c r="E241" i="27" a="1"/>
  <c r="KRI3" i="53" a="1"/>
  <c r="QPN3" i="53" a="1"/>
  <c r="KCO3" i="53" a="1"/>
  <c r="RCK3" i="53" a="1"/>
  <c r="C312" i="27" a="1"/>
  <c r="RGC3" i="53" a="1"/>
  <c r="E54" i="27" a="1"/>
  <c r="OLD3" i="53" a="1"/>
  <c r="QTM3" i="53" a="1"/>
  <c r="C331" i="27" a="1"/>
  <c r="MJZ3" i="53" a="1"/>
  <c r="QWP3" i="53" a="1"/>
  <c r="WDH3" i="53" a="1"/>
  <c r="PUA3" i="53" a="1"/>
  <c r="KYQ3" i="53" a="1"/>
  <c r="DOT3" i="53" a="1"/>
  <c r="UZX3" i="53" a="1"/>
  <c r="WNV3" i="53" a="1"/>
  <c r="VZY3" i="53" a="1"/>
  <c r="C25" i="27" a="1"/>
  <c r="PXT3" i="53" a="1"/>
  <c r="SCP3" i="53" a="1"/>
  <c r="JAC3" i="53" a="1"/>
  <c r="LLS3" i="53" a="1"/>
  <c r="LPA3" i="53" a="1"/>
  <c r="WRK3" i="53" a="1"/>
  <c r="WCX3" i="53" a="1"/>
  <c r="CPJ3" i="53" a="1"/>
  <c r="C164" i="27" a="1"/>
  <c r="WSR3" i="53" a="1"/>
  <c r="NCD3" i="53" a="1"/>
  <c r="VLC3" i="53" a="1"/>
  <c r="E305" i="27" a="1"/>
  <c r="E231" i="27" a="1"/>
  <c r="KGQ3" i="53" a="1"/>
  <c r="C58" i="27" a="1"/>
  <c r="TAL3" i="53" a="1"/>
  <c r="MGZ3" i="53" a="1"/>
  <c r="C229" i="27" a="1"/>
  <c r="VHM3" i="53" a="1"/>
  <c r="C332" i="27" a="1"/>
  <c r="KOF3" i="53" a="1"/>
  <c r="C347" i="27" a="1"/>
  <c r="NZD3" i="53" a="1"/>
  <c r="NXE3" i="53" a="1"/>
  <c r="VAY3" i="53" a="1"/>
  <c r="E189" i="27" a="1"/>
  <c r="NRP3" i="53" a="1"/>
  <c r="MZA3" i="53" a="1"/>
  <c r="SSA3" i="53" a="1"/>
  <c r="OHD3" i="53" a="1"/>
  <c r="E341" i="27" a="1"/>
  <c r="KG3" i="53" a="1"/>
  <c r="VAG3" i="53" a="1"/>
  <c r="C33" i="27" a="1"/>
  <c r="NML3" i="53" a="1"/>
  <c r="C104" i="27" a="1"/>
  <c r="TRJ3" i="53" a="1"/>
  <c r="VCI3" i="53" a="1"/>
  <c r="C90" i="27" a="1"/>
  <c r="C62" i="53" a="1"/>
  <c r="QC3" i="53" a="1"/>
  <c r="JPG3" i="53" a="1"/>
  <c r="TBD3" i="53" a="1"/>
  <c r="WEW3" i="53" a="1"/>
  <c r="MLC3" i="53" a="1"/>
  <c r="RKV3" i="53" a="1"/>
  <c r="NHH3" i="53" a="1"/>
  <c r="G3" i="14" a="1"/>
  <c r="SGK3" i="53" a="1"/>
  <c r="FPG3" i="53" a="1"/>
  <c r="GEJ3" i="53" a="1"/>
  <c r="E157" i="27" a="1"/>
  <c r="WQ3" i="53" a="1"/>
  <c r="HIR3" i="53" a="1"/>
  <c r="MA3" i="53" a="1"/>
  <c r="J3" i="2" a="1"/>
  <c r="JNU3" i="53" a="1"/>
  <c r="WWO3" i="53" a="1"/>
  <c r="CPT3" i="53" a="1"/>
  <c r="JBT3" i="53" a="1"/>
  <c r="IQA3" i="53" a="1"/>
  <c r="UEO3" i="53" a="1"/>
  <c r="QDN3" i="53" a="1"/>
  <c r="THU3" i="53" a="1"/>
  <c r="AZN3" i="53" a="1"/>
  <c r="DJK3" i="53" a="1"/>
  <c r="JOF3" i="53" a="1"/>
  <c r="RRM3" i="53" a="1"/>
  <c r="EQF3" i="53" a="1"/>
  <c r="FFP3" i="53" a="1"/>
  <c r="GQS3" i="53" a="1"/>
  <c r="UXC3" i="53" a="1"/>
  <c r="VPA3" i="53" a="1"/>
  <c r="CBN3" i="53" a="1"/>
  <c r="MIK3" i="53" a="1"/>
  <c r="XAE3" i="53" a="1"/>
  <c r="OBA3" i="53" a="1"/>
  <c r="GXQ3" i="53" a="1"/>
  <c r="OYO3" i="53" a="1"/>
  <c r="C146" i="27" a="1"/>
  <c r="C50" i="53" a="1"/>
  <c r="MLR3" i="53" a="1"/>
  <c r="GHG3" i="53" a="1"/>
  <c r="C17" i="27" a="1"/>
  <c r="VNA3" i="53" a="1"/>
  <c r="LRQ3" i="53" a="1"/>
  <c r="E15" i="53" a="1"/>
  <c r="LWL3" i="53" a="1"/>
  <c r="UJA3" i="53" a="1"/>
  <c r="FIF3" i="53" a="1"/>
  <c r="SXA3" i="53" a="1"/>
  <c r="MZU3" i="53" a="1"/>
  <c r="LXR3" i="53" a="1"/>
  <c r="PUC3" i="53" a="1"/>
  <c r="OMX3" i="53" a="1"/>
  <c r="CWG3" i="53" a="1"/>
  <c r="TJG3" i="53" a="1"/>
  <c r="LYY3" i="53" a="1"/>
  <c r="ILW3" i="53" a="1"/>
  <c r="PXU3" i="53" a="1"/>
  <c r="DZU3" i="53" a="1"/>
  <c r="DJB3" i="53" a="1"/>
  <c r="BAP3" i="53" a="1"/>
  <c r="JWC3" i="53" a="1"/>
  <c r="C190" i="27" a="1"/>
  <c r="SGW3" i="53" a="1"/>
  <c r="KON3" i="53" a="1"/>
  <c r="BOP3" i="53" a="1"/>
  <c r="CVK3" i="53" a="1"/>
  <c r="JHR3" i="53" a="1"/>
  <c r="QVZ3" i="53" a="1"/>
  <c r="AFQ3" i="53" a="1"/>
  <c r="JDT3" i="53" a="1"/>
  <c r="TBE3" i="53" a="1"/>
  <c r="WTW3" i="53" a="1"/>
  <c r="BIA3" i="53" a="1"/>
  <c r="FRA3" i="53" a="1"/>
  <c r="SSN3" i="53" a="1"/>
  <c r="QOG3" i="53" a="1"/>
  <c r="DCD3" i="53" a="1"/>
  <c r="HXG3" i="53" a="1"/>
  <c r="PYM3" i="53" a="1"/>
  <c r="QAB3" i="53" a="1"/>
  <c r="QNU3" i="53" a="1"/>
  <c r="NKM3" i="53" a="1"/>
  <c r="JHP3" i="53" a="1"/>
  <c r="VIV3" i="53" a="1"/>
  <c r="FUS3" i="53" a="1"/>
  <c r="SAQ3" i="53" a="1"/>
  <c r="DBM3" i="53" a="1"/>
  <c r="UYM3" i="53" a="1"/>
  <c r="TOL3" i="53" a="1"/>
  <c r="UBS3" i="53" a="1"/>
  <c r="RWP3" i="53" a="1"/>
  <c r="MOL3" i="53" a="1"/>
  <c r="UBY3" i="53" a="1"/>
  <c r="PEL3" i="53" a="1"/>
  <c r="KHZ3" i="53" a="1"/>
  <c r="LMW3" i="53" a="1"/>
  <c r="BA3" i="53" a="1"/>
  <c r="HOT3" i="53" a="1"/>
  <c r="C83" i="27" a="1"/>
  <c r="ZG3" i="53" a="1"/>
  <c r="NLU3" i="53" a="1"/>
  <c r="EWB3" i="53" a="1"/>
  <c r="GTI3" i="53" a="1"/>
  <c r="OUA3" i="53" a="1"/>
  <c r="LJO3" i="53" a="1"/>
  <c r="FHF3" i="53" a="1"/>
  <c r="LMF3" i="53" a="1"/>
  <c r="UUI3" i="53" a="1"/>
  <c r="E265" i="27" a="1"/>
  <c r="IPJ3" i="53" a="1"/>
  <c r="XCM3" i="53" a="1"/>
  <c r="FBF3" i="53" a="1"/>
  <c r="E57" i="4" a="1"/>
  <c r="YE3" i="53" a="1"/>
  <c r="IFW3" i="53" a="1"/>
  <c r="OKR3" i="53" a="1"/>
  <c r="TLQ3" i="53" a="1"/>
  <c r="TKS3" i="53" a="1"/>
  <c r="SBJ3" i="53" a="1"/>
  <c r="FPX3" i="53" a="1"/>
  <c r="TNB3" i="53" a="1"/>
  <c r="OAG3" i="53" a="1"/>
  <c r="IXP3" i="53" a="1"/>
  <c r="OM3" i="53" a="1"/>
  <c r="QXS3" i="53" a="1"/>
  <c r="KOL3" i="53" a="1"/>
  <c r="NBU3" i="53" a="1"/>
  <c r="SYH3" i="53" a="1"/>
  <c r="UMV3" i="53" a="1"/>
  <c r="NPO3" i="53" a="1"/>
  <c r="HFS3" i="53" a="1"/>
  <c r="APQ3" i="53" a="1"/>
  <c r="M3" i="53" a="1"/>
  <c r="RQU3" i="53" a="1"/>
  <c r="DSB3" i="53" a="1"/>
  <c r="DPP3" i="53" a="1"/>
  <c r="IBN3" i="53" a="1"/>
  <c r="TVE3" i="53" a="1"/>
  <c r="BQC3" i="53" a="1"/>
  <c r="QPX3" i="53" a="1"/>
  <c r="JRF3" i="53" a="1"/>
  <c r="TMJ3" i="53" a="1"/>
  <c r="TAF3" i="53" a="1"/>
  <c r="WZD3" i="53" a="1"/>
  <c r="HWG3" i="53" a="1"/>
  <c r="WZK3" i="53" a="1"/>
  <c r="IOE3" i="53" a="1"/>
  <c r="NLE3" i="53" a="1"/>
  <c r="HOM3" i="53" a="1"/>
  <c r="WIV3" i="53" a="1"/>
  <c r="OFA3" i="53" a="1"/>
  <c r="PYA3" i="53" a="1"/>
  <c r="VXC3" i="53" a="1"/>
  <c r="HZH3" i="53" a="1"/>
  <c r="WSB3" i="53" a="1"/>
  <c r="WE3" i="53" a="1"/>
  <c r="PCL3" i="53" a="1"/>
  <c r="DDT3" i="53" a="1"/>
  <c r="F11" i="53" a="1"/>
  <c r="PSH3" i="53" a="1"/>
  <c r="IMQ3" i="53" a="1"/>
  <c r="BCG3" i="53" a="1"/>
  <c r="FEY3" i="53" a="1"/>
  <c r="OCI3" i="53" a="1"/>
  <c r="VUD3" i="53" a="1"/>
  <c r="WMC3" i="53" a="1"/>
  <c r="ENK3" i="53" a="1"/>
  <c r="UIC3" i="53" a="1"/>
  <c r="C27" i="53" a="1"/>
  <c r="NGH3" i="53" a="1"/>
  <c r="CAQ3" i="53" a="1"/>
  <c r="BLZ3" i="53" a="1"/>
  <c r="DIV3" i="53" a="1"/>
  <c r="UQD3" i="53" a="1"/>
  <c r="GJO3" i="53" a="1"/>
  <c r="MHA3" i="53" a="1"/>
  <c r="UCL3" i="53" a="1"/>
  <c r="HLS3" i="53" a="1"/>
  <c r="E32" i="27" a="1"/>
  <c r="C286" i="27" a="1"/>
  <c r="UQT3" i="53" a="1"/>
  <c r="RTZ3" i="53" a="1"/>
  <c r="LPL3" i="53" a="1"/>
  <c r="EYW3" i="53" a="1"/>
  <c r="E402" i="27" a="1"/>
  <c r="B3" i="5" a="1"/>
  <c r="OSS3" i="53" a="1"/>
  <c r="WGZ3" i="53" a="1"/>
  <c r="LJI3" i="53" a="1"/>
  <c r="URC3" i="53" a="1"/>
  <c r="B3" i="14" a="1"/>
  <c r="SWT3" i="53" a="1"/>
  <c r="E221" i="27" a="1"/>
  <c r="KWH3" i="53" a="1"/>
  <c r="GTS3" i="53" a="1"/>
  <c r="C85" i="27" a="1"/>
  <c r="AKH3" i="53" a="1"/>
  <c r="C250" i="27" a="1"/>
  <c r="E152" i="27" a="1"/>
  <c r="WRE3" i="53" a="1"/>
  <c r="QHX3" i="53" a="1"/>
  <c r="SMB3" i="53" a="1"/>
  <c r="C255" i="27" a="1"/>
  <c r="GAM3" i="53" a="1"/>
  <c r="VTN3" i="53" a="1"/>
  <c r="C109" i="27" a="1"/>
  <c r="WGE3" i="53" a="1"/>
  <c r="C325" i="27" a="1"/>
  <c r="LOT3" i="53" a="1"/>
  <c r="C253" i="27" a="1"/>
  <c r="PJQ3" i="53" a="1"/>
  <c r="C180" i="27" a="1"/>
  <c r="RZS3" i="53" a="1"/>
  <c r="AZU3" i="53" a="1"/>
  <c r="RUK3" i="53" a="1"/>
  <c r="UMK3" i="53" a="1"/>
  <c r="JOK3" i="53" a="1"/>
  <c r="E149" i="27" a="1"/>
  <c r="E319" i="27" a="1"/>
  <c r="TVL3" i="53" a="1"/>
  <c r="QJU3" i="53" a="1"/>
  <c r="E300" i="27" a="1"/>
  <c r="CHK3" i="53" a="1"/>
  <c r="OKU3" i="53" a="1"/>
  <c r="C159" i="27" a="1"/>
  <c r="SNY3" i="53" a="1"/>
  <c r="VSK3" i="53" a="1"/>
  <c r="DNZ3" i="53" a="1"/>
  <c r="QUS3" i="53" a="1"/>
  <c r="UXI3" i="53" a="1"/>
  <c r="E220" i="27" a="1"/>
  <c r="KKY3" i="53" a="1"/>
  <c r="NIU3" i="53" a="1"/>
  <c r="XDM3" i="53" a="1"/>
  <c r="UXX3" i="53" a="1"/>
  <c r="HMB3" i="53" a="1"/>
  <c r="WHL3" i="53" a="1"/>
  <c r="HFB3" i="53" a="1"/>
  <c r="VTW3" i="53" a="1"/>
  <c r="TCI3" i="53" a="1"/>
  <c r="SEZ3" i="53" a="1"/>
  <c r="QUV3" i="53" a="1"/>
  <c r="E173" i="27" a="1"/>
  <c r="REV3" i="53" a="1"/>
  <c r="E233" i="27" a="1"/>
  <c r="JJY3" i="53" a="1"/>
  <c r="CNL3" i="53" a="1"/>
  <c r="QXK3" i="53" a="1"/>
  <c r="WVN3" i="53" a="1"/>
  <c r="PER3" i="53" a="1"/>
  <c r="TOO3" i="53" a="1"/>
  <c r="E349" i="27" a="1"/>
  <c r="WTC3" i="53" a="1"/>
  <c r="QEM3" i="53" a="1"/>
  <c r="C171" i="27" a="1"/>
  <c r="VWU3" i="53" a="1"/>
  <c r="SFX3" i="53" a="1"/>
  <c r="PSU3" i="53" a="1"/>
  <c r="TWU3" i="53" a="1"/>
  <c r="JBN3" i="53" a="1"/>
  <c r="WOR3" i="53" a="1"/>
  <c r="C23" i="27" a="1"/>
  <c r="OVH3" i="53" a="1"/>
  <c r="E108" i="27" a="1"/>
  <c r="VOP3" i="53" a="1"/>
  <c r="E186" i="27" a="1"/>
  <c r="WPY3" i="53" a="1"/>
  <c r="WMV3" i="53" a="1"/>
  <c r="VQH3" i="53" a="1"/>
  <c r="E365" i="27" a="1"/>
  <c r="VOG3" i="53" a="1"/>
  <c r="MXQ3" i="53" a="1"/>
  <c r="QYI3" i="53" a="1"/>
  <c r="E400" i="27" a="1"/>
  <c r="TDL3" i="53" a="1"/>
  <c r="E206" i="27" a="1"/>
  <c r="MEF3" i="53" a="1"/>
  <c r="WAY3" i="53" a="1"/>
  <c r="LMC3" i="53" a="1"/>
  <c r="IWB3" i="53" a="1"/>
  <c r="PSS3" i="53" a="1"/>
  <c r="E395" i="27" a="1"/>
  <c r="E38" i="27" a="1"/>
  <c r="DEH3" i="53" a="1"/>
  <c r="JFL3" i="53" a="1"/>
  <c r="C283" i="27" a="1"/>
  <c r="VDU3" i="53" a="1"/>
  <c r="POH3" i="53" a="1"/>
  <c r="UJW3" i="53" a="1"/>
  <c r="TZJ3" i="53" a="1"/>
  <c r="UVH3" i="53" a="1"/>
  <c r="C294" i="27" a="1"/>
  <c r="UXY3" i="53" a="1"/>
  <c r="URT3" i="53" a="1"/>
  <c r="CUK3" i="53" a="1"/>
  <c r="A3" i="40" a="1"/>
  <c r="QZF3" i="53" a="1"/>
  <c r="C236" i="27" a="1"/>
  <c r="OYL3" i="53" a="1"/>
  <c r="GXX3" i="53" a="1"/>
  <c r="C308" i="27" a="1"/>
  <c r="ZT3" i="53" a="1"/>
  <c r="TQC3" i="53" a="1"/>
  <c r="WOC3" i="53" a="1"/>
  <c r="CKN3" i="53" a="1"/>
  <c r="PWZ3" i="53" a="1"/>
  <c r="NHJ3" i="53" a="1"/>
  <c r="C282" i="27" a="1"/>
  <c r="KZX3" i="53" a="1"/>
  <c r="NST3" i="53" a="1"/>
  <c r="WKD3" i="53" a="1"/>
  <c r="PLA3" i="53" a="1"/>
  <c r="DCA3" i="53" a="1"/>
  <c r="AJE3" i="53" a="1"/>
  <c r="UBU3" i="53" a="1"/>
  <c r="E33" i="27" a="1"/>
  <c r="LRD3" i="53" a="1"/>
  <c r="LKG3" i="53" a="1"/>
  <c r="ULV3" i="53" a="1"/>
  <c r="FPQ3" i="53" a="1"/>
  <c r="QUG3" i="53" a="1"/>
  <c r="SYS3" i="53" a="1"/>
  <c r="DWP3" i="53" a="1"/>
  <c r="KUC3" i="53" a="1"/>
  <c r="EUR3" i="53" a="1"/>
  <c r="MIR3" i="53" a="1"/>
  <c r="IV3" i="53" a="1"/>
  <c r="WC3" i="53" a="1"/>
  <c r="TSU3" i="53" a="1"/>
  <c r="NET3" i="53" a="1"/>
  <c r="ANI3" i="53" a="1"/>
  <c r="VRZ3" i="53" a="1"/>
  <c r="VMC3" i="53" a="1"/>
  <c r="QMN3" i="53" a="1"/>
  <c r="BW3" i="53" a="1"/>
  <c r="HPE3" i="53" a="1"/>
  <c r="LMM3" i="53" a="1"/>
  <c r="EEO3" i="53" a="1"/>
  <c r="VMD3" i="53" a="1"/>
  <c r="G3" i="6" a="1"/>
  <c r="LDI3" i="53" a="1"/>
  <c r="NYC3" i="53" a="1"/>
  <c r="RWR3" i="53" a="1"/>
  <c r="IGR3" i="53" a="1"/>
  <c r="RRO3" i="53" a="1"/>
  <c r="QLT3" i="53" a="1"/>
  <c r="E195" i="27" a="1"/>
  <c r="UPF3" i="53" a="1"/>
  <c r="VET3" i="53" a="1"/>
  <c r="MLE3" i="53" a="1"/>
  <c r="VKS3" i="53" a="1"/>
  <c r="UPQ3" i="53" a="1"/>
  <c r="C81" i="27" a="1"/>
  <c r="UIJ3" i="53" a="1"/>
  <c r="OWT3" i="53" a="1"/>
  <c r="C241" i="27" a="1"/>
  <c r="WHG3" i="53" a="1"/>
  <c r="RTB3" i="53" a="1"/>
  <c r="USI3" i="53" a="1"/>
  <c r="JRY3" i="53" a="1"/>
  <c r="BSC3" i="53" a="1"/>
  <c r="C144" i="27" a="1"/>
  <c r="E9" i="27" a="1"/>
  <c r="E53" i="53" a="1"/>
  <c r="RWG3" i="53" a="1"/>
  <c r="A3" i="38" a="1"/>
  <c r="B3" i="56" a="1"/>
  <c r="E22" i="31" a="1"/>
  <c r="CIT3" i="53" a="1"/>
  <c r="C141" i="27" a="1"/>
  <c r="C71" i="27" a="1"/>
  <c r="VSV3" i="53" a="1"/>
  <c r="C378" i="27" a="1"/>
  <c r="AID3" i="53" a="1"/>
  <c r="WJR3" i="53" a="1"/>
  <c r="WZH3" i="53" a="1"/>
  <c r="CVN3" i="53" a="1"/>
  <c r="C316" i="27" a="1"/>
  <c r="C396" i="27" a="1"/>
  <c r="OTI3" i="53" a="1"/>
  <c r="ACP3" i="53" a="1"/>
  <c r="MXF3" i="53" a="1"/>
  <c r="UQF3" i="53" a="1"/>
  <c r="PCI3" i="53" a="1"/>
  <c r="PVR3" i="53" a="1"/>
  <c r="HFG3" i="53" a="1"/>
  <c r="TKO3" i="53" a="1"/>
  <c r="WNY3" i="53" a="1"/>
  <c r="C24" i="27" a="1"/>
  <c r="VHN3" i="53" a="1"/>
  <c r="C61" i="27" a="1"/>
  <c r="ACJ3" i="53" a="1"/>
  <c r="TYP3" i="53" a="1"/>
  <c r="KTE3" i="53" a="1"/>
  <c r="C328" i="27" a="1"/>
  <c r="IIU3" i="53" a="1"/>
  <c r="NIH3" i="53" a="1"/>
  <c r="C99" i="27" a="1"/>
  <c r="BVF3" i="53" a="1"/>
  <c r="ISP3" i="53" a="1"/>
  <c r="C358" i="27" a="1"/>
  <c r="QEB3" i="53" a="1"/>
  <c r="LEQ3" i="53" a="1"/>
  <c r="AEN3" i="53" a="1"/>
  <c r="C127" i="27" a="1"/>
  <c r="OSH3" i="53" a="1"/>
  <c r="UEX3" i="53" a="1"/>
  <c r="SPV3" i="53" a="1"/>
  <c r="C324" i="27" a="1"/>
  <c r="AMX3" i="53" a="1"/>
  <c r="UMY3" i="53" a="1"/>
  <c r="FMI3" i="53" a="1"/>
  <c r="NLH3" i="53" a="1"/>
  <c r="EOC3" i="53" a="1"/>
  <c r="SRB3" i="53" a="1"/>
  <c r="PZS3" i="53" a="1"/>
  <c r="IFG3" i="53" a="1"/>
  <c r="PDN3" i="53" a="1"/>
  <c r="RMG3" i="53" a="1"/>
  <c r="DMC3" i="53" a="1"/>
  <c r="IST3" i="53" a="1"/>
  <c r="CCT3" i="53" a="1"/>
  <c r="E11" i="31" a="1"/>
  <c r="EF3" i="53" a="1"/>
  <c r="VCY3" i="53" a="1"/>
  <c r="HZS3" i="53" a="1"/>
  <c r="LKN3" i="53" a="1"/>
  <c r="QIS3" i="53" a="1"/>
  <c r="XEU3" i="53" a="1"/>
  <c r="GBX3" i="53" a="1"/>
  <c r="GAA3" i="53" a="1"/>
  <c r="IUK3" i="53" a="1"/>
  <c r="ANR3" i="53" a="1"/>
  <c r="TXI3" i="53" a="1"/>
  <c r="UDJ3" i="53" a="1"/>
  <c r="JWK3" i="53" a="1"/>
  <c r="UKQ3" i="53" a="1"/>
  <c r="GZA3" i="53" a="1"/>
  <c r="OXR3" i="53" a="1"/>
  <c r="JSY3" i="53" a="1"/>
  <c r="UUM3" i="53" a="1"/>
  <c r="TGX3" i="53" a="1"/>
  <c r="GGH3" i="53" a="1"/>
  <c r="QRI3" i="53" a="1"/>
  <c r="SST3" i="53" a="1"/>
  <c r="EKI3" i="53" a="1"/>
  <c r="OWO3" i="53" a="1"/>
  <c r="F21" i="53" a="1"/>
  <c r="HKH3" i="53" a="1"/>
  <c r="TSG3" i="53" a="1"/>
  <c r="SMO3" i="53" a="1"/>
  <c r="IBH3" i="53" a="1"/>
  <c r="GFK3" i="53" a="1"/>
  <c r="VHC3" i="53" a="1"/>
  <c r="MWW3" i="53" a="1"/>
  <c r="CET3" i="53" a="1"/>
  <c r="C194" i="27" a="1"/>
  <c r="FNB3" i="53" a="1"/>
  <c r="VGS3" i="53" a="1"/>
  <c r="KTG3" i="53" a="1"/>
  <c r="SIU3" i="53" a="1"/>
  <c r="SKU3" i="53" a="1"/>
  <c r="MF3" i="53" a="1"/>
  <c r="SMR3" i="53" a="1"/>
  <c r="F44" i="53" a="1"/>
  <c r="ROW3" i="53" a="1"/>
  <c r="USN3" i="53" a="1"/>
  <c r="SAG3" i="53" a="1"/>
  <c r="PWA3" i="53" a="1"/>
  <c r="RCD3" i="53" a="1"/>
  <c r="WYI3" i="53" a="1"/>
  <c r="E182" i="27" a="1"/>
  <c r="TTK3" i="53" a="1"/>
  <c r="SZD3" i="53" a="1"/>
  <c r="OJV3" i="53" a="1"/>
  <c r="NPA3" i="53" a="1"/>
  <c r="C168" i="27" a="1"/>
  <c r="C5" i="27" a="1"/>
  <c r="MYY3" i="53" a="1"/>
  <c r="C258" i="27" a="1"/>
  <c r="PNE3" i="53" a="1"/>
  <c r="XAQ3" i="53" a="1"/>
  <c r="RYF3" i="53" a="1"/>
  <c r="NED3" i="53" a="1"/>
  <c r="C26" i="27" a="1"/>
  <c r="C406" i="27" a="1"/>
  <c r="TVH3" i="53" a="1"/>
  <c r="UGN3" i="53" a="1"/>
  <c r="VTX3" i="53" a="1"/>
  <c r="GWI3" i="53" a="1"/>
  <c r="VTM3" i="53" a="1"/>
  <c r="OEI3" i="53" a="1"/>
  <c r="WKG3" i="53" a="1"/>
  <c r="E208" i="27" a="1"/>
  <c r="MKC3" i="53" a="1"/>
  <c r="C72" i="27" a="1"/>
  <c r="VC3" i="53" a="1"/>
  <c r="C204" i="27" a="1"/>
  <c r="LUB3" i="53" a="1"/>
  <c r="PMF3" i="53" a="1"/>
  <c r="BNV3" i="53" a="1"/>
  <c r="C80" i="27" a="1"/>
  <c r="RGK3" i="53" a="1"/>
  <c r="AWF3" i="53" a="1"/>
  <c r="C389" i="27" a="1"/>
  <c r="WTK3" i="53" a="1"/>
  <c r="QEQ3" i="53" a="1"/>
  <c r="C199" i="27" a="1"/>
  <c r="BZH3" i="53" a="1"/>
  <c r="BOS3" i="53" a="1"/>
  <c r="RHL3" i="53" a="1"/>
  <c r="C165" i="27" a="1"/>
  <c r="AVL3" i="53" a="1"/>
  <c r="TZA3" i="53" a="1"/>
  <c r="HOF3" i="53" a="1"/>
  <c r="C262" i="27" a="1"/>
  <c r="RUQ3" i="53" a="1"/>
  <c r="WNB3" i="53" a="1"/>
  <c r="WXX3" i="53" a="1"/>
  <c r="LYS3" i="53" a="1"/>
  <c r="WTE3" i="53" a="1"/>
  <c r="FCE3" i="53" a="1"/>
  <c r="TAY3" i="53" a="1"/>
  <c r="AXT3" i="53" a="1"/>
  <c r="PCR3" i="53" a="1"/>
  <c r="VUA3" i="53" a="1"/>
  <c r="DJP3" i="53" a="1"/>
  <c r="WVZ3" i="53" a="1"/>
  <c r="PHO3" i="53" a="1"/>
  <c r="RZT3" i="53" a="1"/>
  <c r="KMK3" i="53" a="1"/>
  <c r="GGB3" i="53" a="1"/>
  <c r="ILG3" i="53" a="1"/>
  <c r="UHC3" i="53" a="1"/>
  <c r="OZU3" i="53" a="1"/>
  <c r="IUH3" i="53" a="1"/>
  <c r="SAO3" i="53" a="1"/>
  <c r="EVX3" i="53" a="1"/>
  <c r="IMM3" i="53" a="1"/>
  <c r="LYK3" i="53" a="1"/>
  <c r="SGN3" i="53" a="1"/>
  <c r="LWQ3" i="53" a="1"/>
  <c r="C268" i="27" a="1"/>
  <c r="FP3" i="53" a="1"/>
  <c r="JWL3" i="53" a="1"/>
  <c r="GAQ3" i="53" a="1"/>
  <c r="UUX3" i="53" a="1"/>
  <c r="KJD3" i="53" a="1"/>
  <c r="LEK3" i="53" a="1"/>
  <c r="JCA3" i="53" a="1"/>
  <c r="C356" i="27" a="1"/>
  <c r="JHA3" i="53" a="1"/>
  <c r="STE3" i="53" a="1"/>
  <c r="LIH3" i="53" a="1"/>
  <c r="NJE3" i="53" a="1"/>
  <c r="PET3" i="53" a="1"/>
  <c r="DYQ3" i="53" a="1"/>
  <c r="WQJ3" i="53" a="1"/>
  <c r="BGO3" i="53" a="1"/>
  <c r="KVM3" i="53" a="1"/>
  <c r="FWE3" i="53" a="1"/>
  <c r="EES3" i="53" a="1"/>
  <c r="RGM3" i="53" a="1"/>
  <c r="C270" i="27" a="1"/>
  <c r="PTW3" i="53" a="1"/>
  <c r="BOX3" i="53" a="1"/>
  <c r="OEO3" i="53" a="1"/>
  <c r="WPG3" i="53" a="1"/>
  <c r="UHE3" i="53" a="1"/>
  <c r="EHI3" i="53" a="1"/>
  <c r="SAF3" i="53" a="1"/>
  <c r="C170" i="27" a="1"/>
  <c r="ERK3" i="53" a="1"/>
  <c r="PVE3" i="53" a="1"/>
  <c r="EJX3" i="53" a="1"/>
  <c r="SMQ3" i="53" a="1"/>
  <c r="HLK3" i="53" a="1"/>
  <c r="HSJ3" i="53" a="1"/>
  <c r="WOV3" i="53" a="1"/>
  <c r="QOB3" i="53" a="1"/>
  <c r="E63" i="53" a="1"/>
  <c r="TWD3" i="53" a="1"/>
  <c r="VIQ3" i="53" a="1"/>
  <c r="PSR3" i="53" a="1"/>
  <c r="OGR3" i="53" a="1"/>
  <c r="SFM3" i="53" a="1"/>
  <c r="C102" i="27" a="1"/>
  <c r="PCX3" i="53" a="1"/>
  <c r="E209" i="27" a="1"/>
  <c r="NBW3" i="53" a="1"/>
  <c r="VMM3" i="53" a="1"/>
  <c r="C42" i="27" a="1"/>
  <c r="C35" i="27" a="1"/>
  <c r="URE3" i="53" a="1"/>
  <c r="VDR3" i="53" a="1"/>
  <c r="WEU3" i="53" a="1"/>
  <c r="VST3" i="53" a="1"/>
  <c r="ONG3" i="53" a="1"/>
  <c r="WYT3" i="53" a="1"/>
  <c r="C160" i="27" a="1"/>
  <c r="E401" i="27" a="1"/>
  <c r="JUW3" i="53" a="1"/>
  <c r="C188" i="27" a="1"/>
  <c r="FZB3" i="53" a="1"/>
  <c r="C329" i="27" a="1"/>
  <c r="MGT3" i="53" a="1"/>
  <c r="GKL3" i="53" a="1"/>
  <c r="DS3" i="53" a="1"/>
  <c r="VDN3" i="53" a="1"/>
  <c r="LUL3" i="53" a="1"/>
  <c r="JRP3" i="53" a="1"/>
  <c r="AJM3" i="53" a="1"/>
  <c r="BZK3" i="53" a="1"/>
  <c r="TZE3" i="53" a="1"/>
  <c r="NTS3" i="53" a="1"/>
  <c r="TAW3" i="53" a="1"/>
  <c r="DHI3" i="53" a="1"/>
  <c r="KMD3" i="53" a="1"/>
  <c r="C373" i="27" a="1"/>
  <c r="RCG3" i="53" a="1"/>
  <c r="HJD3" i="53" a="1"/>
  <c r="OSB3" i="53" a="1"/>
  <c r="C151" i="27" a="1"/>
  <c r="OCP3" i="53" a="1"/>
  <c r="VEA3" i="53" a="1"/>
  <c r="PJH3" i="53" a="1"/>
  <c r="C317" i="27" a="1"/>
  <c r="GYG3" i="53" a="1"/>
  <c r="SGL3" i="53" a="1"/>
  <c r="EXY3" i="53" a="1"/>
  <c r="GGM3" i="53" a="1"/>
  <c r="TWP3" i="53" a="1"/>
  <c r="GGA3" i="53" a="1"/>
  <c r="LPF3" i="53" a="1"/>
  <c r="QPE3" i="53" a="1"/>
  <c r="MQK3" i="53" a="1"/>
  <c r="DZW3" i="53" a="1"/>
  <c r="FQK3" i="53" a="1"/>
  <c r="F62" i="53" a="1"/>
  <c r="PMJ3" i="53" a="1"/>
  <c r="HIL3" i="53" a="1"/>
  <c r="C219" i="27" a="1"/>
  <c r="VGB3" i="53" a="1"/>
  <c r="SV3" i="53" a="1"/>
  <c r="MPP3" i="53" a="1"/>
  <c r="UXT3" i="53" a="1"/>
  <c r="JYT3" i="53" a="1"/>
  <c r="OHG3" i="53" a="1"/>
  <c r="RVW3" i="53" a="1"/>
  <c r="C300" i="27" a="1"/>
  <c r="QAN3" i="53" a="1"/>
  <c r="NXO3" i="53" a="1"/>
  <c r="JKP3" i="53" a="1"/>
  <c r="E117" i="27" a="1"/>
  <c r="JPV3" i="53" a="1"/>
  <c r="EPJ3" i="53" a="1"/>
  <c r="ORI3" i="53" a="1"/>
  <c r="C202" i="27" a="1"/>
  <c r="SAA3" i="53" a="1"/>
  <c r="CHG3" i="53" a="1"/>
  <c r="KPD3" i="53" a="1"/>
  <c r="UOO3" i="53" a="1"/>
  <c r="KSS3" i="53" a="1"/>
  <c r="MSF3" i="53" a="1"/>
  <c r="BTU3" i="53" a="1"/>
  <c r="DNI3" i="53" a="1"/>
  <c r="UOV3" i="53" a="1"/>
  <c r="MFG3" i="53" a="1"/>
  <c r="C31" i="53" a="1"/>
  <c r="RIJ3" i="53" a="1"/>
  <c r="C320" i="27" a="1"/>
  <c r="MIN3" i="53" a="1"/>
  <c r="MAT3" i="53" a="1"/>
  <c r="RSK3" i="53" a="1"/>
  <c r="ESY3" i="53" a="1"/>
  <c r="I3" i="47" a="1"/>
  <c r="CGY3" i="53" a="1"/>
  <c r="GGS3" i="53" a="1"/>
  <c r="C344" i="27" a="1"/>
  <c r="DGH3" i="53" a="1"/>
  <c r="QFT3" i="53" a="1"/>
  <c r="RLU3" i="53" a="1"/>
  <c r="EGG3" i="53" a="1"/>
  <c r="RGY3" i="53" a="1"/>
  <c r="MRZ3" i="53" a="1"/>
  <c r="PJX3" i="53" a="1"/>
  <c r="RUD3" i="53" a="1"/>
  <c r="VFF3" i="53" a="1"/>
  <c r="UCA3" i="53" a="1"/>
  <c r="NHD3" i="53" a="1"/>
  <c r="VXF3" i="53" a="1"/>
  <c r="QTL3" i="53" a="1"/>
  <c r="C6" i="27" a="1"/>
  <c r="SD3" i="53" a="1"/>
  <c r="IEO3" i="53" a="1"/>
  <c r="UFI3" i="53" a="1"/>
  <c r="C139" i="27" a="1"/>
  <c r="JXK3" i="53" a="1"/>
  <c r="C172" i="27" a="1"/>
  <c r="LDD3" i="53" a="1"/>
  <c r="HXX3" i="53" a="1"/>
  <c r="VJB3" i="53" a="1"/>
  <c r="HPF3" i="53" a="1"/>
  <c r="QWA3" i="53" a="1"/>
  <c r="C323" i="27" a="1"/>
  <c r="E154" i="27" a="1"/>
  <c r="LIR3" i="53" a="1"/>
  <c r="C89" i="27" a="1"/>
  <c r="MAV3" i="53" a="1"/>
  <c r="C53" i="27" a="1"/>
  <c r="OSQ3" i="53" a="1"/>
  <c r="JQG3" i="53" a="1"/>
  <c r="JCQ3" i="53" a="1"/>
  <c r="OMV3" i="53" a="1"/>
  <c r="IGP3" i="53" a="1"/>
  <c r="APV3" i="53" a="1"/>
  <c r="VWY3" i="53" a="1"/>
  <c r="EBL3" i="53" a="1"/>
  <c r="EDR3" i="53" a="1"/>
  <c r="WKO3" i="53" a="1"/>
  <c r="BZL3" i="53" a="1"/>
  <c r="LBW3" i="53" a="1"/>
  <c r="RXR3" i="53" a="1"/>
  <c r="NSD3" i="53" a="1"/>
  <c r="XCP3" i="53" a="1"/>
  <c r="HHO3" i="53" a="1"/>
  <c r="UAK3" i="53" a="1"/>
  <c r="C175" i="27" a="1"/>
  <c r="HYL3" i="53" a="1"/>
  <c r="ECM3" i="53" a="1"/>
  <c r="RHX3" i="53" a="1"/>
  <c r="C287" i="27" a="1"/>
  <c r="CHA3" i="53" a="1"/>
  <c r="RYU3" i="53" a="1"/>
  <c r="MGS3" i="53" a="1"/>
  <c r="FKG3" i="53" a="1"/>
  <c r="QFC3" i="53" a="1"/>
  <c r="PJN3" i="53" a="1"/>
  <c r="JOY3" i="53" a="1"/>
  <c r="VLR3" i="53" a="1"/>
  <c r="UTC3" i="53" a="1"/>
  <c r="VNS3" i="53" a="1"/>
  <c r="QPZ3" i="53" a="1"/>
  <c r="TZT3" i="53" a="1"/>
  <c r="UZU3" i="53" a="1"/>
  <c r="EDC3" i="53" a="1"/>
  <c r="C359" i="27" a="1"/>
  <c r="VAA3" i="53" a="1"/>
  <c r="SOW3" i="53" a="1"/>
  <c r="UMD3" i="53" a="1"/>
  <c r="WEN3" i="53" a="1"/>
  <c r="WRU3" i="53" a="1"/>
  <c r="GVS3" i="53" a="1"/>
  <c r="QVM3" i="53" a="1"/>
  <c r="C380" i="27" a="1"/>
  <c r="PJ3" i="53" a="1"/>
  <c r="TZP3" i="53" a="1"/>
  <c r="NRZ3" i="53" a="1"/>
  <c r="XCN3" i="53" a="1"/>
  <c r="G3" i="47" a="1"/>
  <c r="UWI3" i="53" a="1"/>
  <c r="UBD3" i="53" a="1"/>
  <c r="OX3" i="53" a="1"/>
  <c r="WGP3" i="53" a="1"/>
  <c r="RJB3" i="53" a="1"/>
  <c r="LMS3" i="53" a="1"/>
  <c r="C392" i="27" a="1"/>
  <c r="GYN3" i="53" a="1"/>
  <c r="MBY3" i="53" a="1"/>
  <c r="CQM3" i="53" a="1"/>
  <c r="QQV3" i="53" a="1"/>
  <c r="BCD3" i="53" a="1"/>
  <c r="FNT3" i="53" a="1"/>
  <c r="WP3" i="53" a="1"/>
  <c r="ETI3" i="53" a="1"/>
  <c r="TPO3" i="53" a="1"/>
  <c r="NPH3" i="53" a="1"/>
  <c r="WFZ3" i="53" a="1"/>
  <c r="PNT3" i="53" a="1"/>
  <c r="XDV3" i="53" a="1"/>
  <c r="TWN3" i="53" a="1"/>
  <c r="HEC3" i="53" a="1"/>
  <c r="WFV3" i="53" a="1"/>
  <c r="C315" i="27" a="1"/>
  <c r="PGV3" i="53" a="1"/>
  <c r="REX3" i="53" a="1"/>
  <c r="MMX3" i="53" a="1"/>
  <c r="TXC3" i="53" a="1"/>
  <c r="KDT3" i="53" a="1"/>
  <c r="EFT3" i="53" a="1"/>
  <c r="TTF3" i="53" a="1"/>
  <c r="WFW3" i="53" a="1"/>
  <c r="SVH3" i="53" a="1"/>
  <c r="KZA3" i="53" a="1"/>
  <c r="LHF3" i="53" a="1"/>
  <c r="QVJ3" i="53" a="1"/>
  <c r="AGA3" i="53" a="1"/>
  <c r="C56" i="27" a="1"/>
  <c r="IOY3" i="53" a="1"/>
  <c r="UUG3" i="53" a="1"/>
  <c r="SJV3" i="53" a="1"/>
  <c r="C116" i="27" a="1"/>
  <c r="OOK3" i="53" a="1"/>
  <c r="C45" i="27" a="1"/>
  <c r="WHY3" i="53" a="1"/>
  <c r="MIU3" i="53" a="1"/>
  <c r="LLV3" i="53" a="1"/>
  <c r="ULG3" i="53" a="1"/>
  <c r="GBC3" i="53" a="1"/>
  <c r="QNX3" i="53" a="1"/>
  <c r="PME3" i="53" a="1"/>
  <c r="CIL3" i="53" a="1"/>
  <c r="C43" i="27" a="1"/>
  <c r="HZN3" i="53" a="1"/>
  <c r="JNO3" i="53" a="1"/>
  <c r="STI3" i="53" a="1"/>
  <c r="SHA3" i="53" a="1"/>
  <c r="SVK3" i="53" a="1"/>
  <c r="CFL3" i="53" a="1"/>
  <c r="WNS3" i="53" a="1"/>
  <c r="PNI3" i="53" a="1"/>
  <c r="QMF3" i="53" a="1"/>
  <c r="SEO3" i="53" a="1"/>
  <c r="GJR3" i="53" a="1"/>
  <c r="WXF3" i="53" a="1"/>
  <c r="VOE3" i="53" a="1"/>
  <c r="VXW3" i="53" a="1"/>
  <c r="F60" i="53" a="1"/>
  <c r="F31" i="53" a="1"/>
  <c r="OTR3" i="53" a="1"/>
  <c r="MQC3" i="53" a="1"/>
  <c r="NOZ3" i="53" a="1"/>
  <c r="C393" i="27" a="1"/>
  <c r="GVX3" i="53" a="1"/>
  <c r="NOO3" i="53" a="1"/>
  <c r="QVX3" i="53" a="1"/>
  <c r="C394" i="27" a="1"/>
  <c r="UWL3" i="53" a="1"/>
  <c r="SQS3" i="53" a="1"/>
  <c r="RKW3" i="53" a="1"/>
  <c r="LDM3" i="53" a="1"/>
  <c r="QSP3" i="53" a="1"/>
  <c r="RXH3" i="53" a="1"/>
  <c r="DSL3" i="53" a="1"/>
  <c r="GMS3" i="53" a="1"/>
  <c r="QSD3" i="53" a="1"/>
  <c r="ICH3" i="53" a="1"/>
  <c r="VOJ3" i="53" a="1"/>
  <c r="UPE3" i="53" a="1"/>
  <c r="GSP3" i="53" a="1"/>
  <c r="AYT3" i="53" a="1"/>
  <c r="C285" i="27" a="1"/>
  <c r="F8" i="53" a="1"/>
  <c r="KBY3" i="53" a="1"/>
  <c r="OWA3" i="53" a="1"/>
  <c r="RSP3" i="53" a="1"/>
  <c r="CND3" i="53" a="1"/>
  <c r="IBY3" i="53" a="1"/>
  <c r="VTZ3" i="53" a="1"/>
  <c r="C370" i="27" a="1"/>
  <c r="QKY3" i="53" a="1"/>
  <c r="QDH3" i="53" a="1"/>
  <c r="GL3" i="53" a="1"/>
  <c r="LQV3" i="53" a="1"/>
  <c r="TAH3" i="53" a="1"/>
  <c r="NXQ3" i="53" a="1"/>
  <c r="JEC3" i="53" a="1"/>
  <c r="PLU3" i="53" a="1"/>
  <c r="MMW3" i="53" a="1"/>
  <c r="CJI3" i="53" a="1"/>
  <c r="TDP3" i="53" a="1"/>
  <c r="C110" i="27" a="1"/>
  <c r="QSU3" i="53" a="1"/>
  <c r="KBX3" i="53" a="1"/>
  <c r="FBL3" i="53" a="1"/>
  <c r="HNV3" i="53" a="1"/>
  <c r="WQB3" i="53" a="1"/>
  <c r="GPI3" i="53" a="1"/>
  <c r="DGW3" i="53" a="1"/>
  <c r="DKV3" i="53" a="1"/>
  <c r="VFL3" i="53" a="1"/>
  <c r="SPM3" i="53" a="1"/>
  <c r="VOA3" i="53" a="1"/>
  <c r="KEF3" i="53" a="1"/>
  <c r="DKT3" i="53" a="1"/>
  <c r="NZQ3" i="53" a="1"/>
  <c r="DTL3" i="53" a="1"/>
  <c r="BLR3" i="53" a="1"/>
  <c r="TYW3" i="53" a="1"/>
  <c r="F35" i="53" a="1"/>
  <c r="FAI3" i="53" a="1"/>
  <c r="OWK3" i="53" a="1"/>
  <c r="DVQ3" i="53" a="1"/>
  <c r="DPZ3" i="53" a="1"/>
  <c r="CEX3" i="53" a="1"/>
  <c r="JBD3" i="53" a="1"/>
  <c r="KRN3" i="53" a="1"/>
  <c r="C7" i="27" a="1"/>
  <c r="E47" i="27" a="1"/>
  <c r="F3" i="15" a="1"/>
  <c r="SPS3" i="53" a="1"/>
  <c r="ORV3" i="53" a="1"/>
  <c r="OXA3" i="53" a="1"/>
  <c r="E3" i="49" a="1"/>
  <c r="IXG3" i="53" a="1"/>
  <c r="VUZ3" i="53" a="1"/>
  <c r="DHL3" i="53" a="1"/>
  <c r="C200" i="27" a="1"/>
  <c r="G3" i="7" a="1"/>
  <c r="E74" i="27" a="1"/>
  <c r="GOZ3" i="53" a="1"/>
  <c r="C125" i="27" a="1"/>
  <c r="VD3" i="53" a="1"/>
  <c r="RXO3" i="53" a="1"/>
  <c r="SDU3" i="53" a="1"/>
  <c r="QYB3" i="53" a="1"/>
  <c r="QTA3" i="53" a="1"/>
  <c r="CDL3" i="53" a="1"/>
  <c r="OYY3" i="53" a="1"/>
  <c r="ZQ3" i="53" a="1"/>
  <c r="RAV3" i="53" a="1"/>
  <c r="FSI3" i="53" a="1"/>
  <c r="C343" i="27" a="1"/>
  <c r="RKK3" i="53" a="1"/>
  <c r="FPJ3" i="53" a="1"/>
  <c r="FNU3" i="53" a="1"/>
  <c r="NIY3" i="53" a="1"/>
  <c r="OOH3" i="53" a="1"/>
  <c r="GVL3" i="53" a="1"/>
  <c r="PSX3" i="53" a="1"/>
  <c r="JAR3" i="53" a="1"/>
  <c r="OKK3" i="53" a="1"/>
  <c r="JNM3" i="53" a="1"/>
  <c r="HDE3" i="53" a="1"/>
  <c r="UIA3" i="53" a="1"/>
  <c r="OYU3" i="53" a="1"/>
  <c r="GFW3" i="53" a="1"/>
  <c r="MHQ3" i="53" a="1"/>
  <c r="TWV3" i="53" a="1"/>
  <c r="XEK3" i="53" a="1"/>
  <c r="TJF3" i="53" a="1"/>
  <c r="CQF3" i="53" a="1"/>
  <c r="VUW3" i="53" a="1"/>
  <c r="CJF3" i="53" a="1"/>
  <c r="HTT3" i="53" a="1"/>
  <c r="DGL3" i="53" a="1"/>
  <c r="C189" i="27" a="1"/>
  <c r="XCO3" i="53" a="1"/>
  <c r="UTV3" i="53" a="1"/>
  <c r="ODH3" i="53" a="1"/>
  <c r="WGD3" i="53" a="1"/>
  <c r="SU3" i="53" a="1"/>
  <c r="COJ3" i="53" a="1"/>
  <c r="JAO3" i="53" a="1"/>
  <c r="TXW3" i="53" a="1"/>
  <c r="AVC3" i="53" a="1"/>
  <c r="ECR3" i="53" a="1"/>
  <c r="LYZ3" i="53" a="1"/>
  <c r="VQF3" i="53" a="1"/>
  <c r="VP3" i="53" a="1"/>
  <c r="NVS3" i="53" a="1"/>
  <c r="MBK3" i="53" a="1"/>
  <c r="VLB3" i="53" a="1"/>
  <c r="VTJ3" i="53" a="1"/>
  <c r="F22" i="53" a="1"/>
  <c r="WBL3" i="53" a="1"/>
  <c r="XEY3" i="53" a="1"/>
  <c r="HHU3" i="53" a="1"/>
  <c r="LSK3" i="53" a="1"/>
  <c r="C360" i="27" a="1"/>
  <c r="CQL3" i="53" a="1"/>
  <c r="MYD3" i="53" a="1"/>
  <c r="COE3" i="53" a="1"/>
  <c r="SDF3" i="53" a="1"/>
  <c r="PFM3" i="53" a="1"/>
  <c r="MWG3" i="53" a="1"/>
  <c r="AHO3" i="53" a="1"/>
  <c r="OMP3" i="53" a="1"/>
  <c r="ASU3" i="53" a="1"/>
  <c r="RFP3" i="53" a="1"/>
  <c r="FQL3" i="53" a="1"/>
  <c r="C216" i="27" a="1"/>
  <c r="NWZ3" i="53" a="1"/>
  <c r="DFM3" i="53" a="1"/>
  <c r="QAS3" i="53" a="1"/>
  <c r="E119" i="27" a="1"/>
  <c r="NSU3" i="53" a="1"/>
  <c r="JSU3" i="53" a="1"/>
  <c r="RLM3" i="53" a="1"/>
  <c r="KSA3" i="53" a="1"/>
  <c r="WQS3" i="53" a="1"/>
  <c r="RWY3" i="53" a="1"/>
  <c r="OEQ3" i="53" a="1"/>
  <c r="WZW3" i="53" a="1"/>
  <c r="E177" i="27" a="1"/>
  <c r="HTF3" i="53" a="1"/>
  <c r="OHI3" i="53" a="1"/>
  <c r="ON3" i="53" a="1"/>
  <c r="FOY3" i="53" a="1"/>
  <c r="F13" i="53" a="1"/>
  <c r="VWB3" i="53" a="1"/>
  <c r="QFF3" i="53" a="1"/>
  <c r="PDM3" i="53" a="1"/>
  <c r="RCM3" i="53" a="1"/>
  <c r="HYG3" i="53" a="1"/>
  <c r="GFS3" i="53" a="1"/>
  <c r="FVS3" i="53" a="1"/>
  <c r="VYJ3" i="53" a="1"/>
  <c r="PPB3" i="53" a="1"/>
  <c r="MZE3" i="53" a="1"/>
  <c r="RIQ3" i="53" a="1"/>
  <c r="UQO3" i="53" a="1"/>
  <c r="FLL3" i="53" a="1"/>
  <c r="NNQ3" i="53" a="1"/>
  <c r="UYS3" i="53" a="1"/>
  <c r="FJN3" i="53" a="1"/>
  <c r="DBS3" i="53" a="1"/>
  <c r="QZP3" i="53" a="1"/>
  <c r="MVX3" i="53" a="1"/>
  <c r="JR3" i="53" a="1"/>
  <c r="TPX3" i="53" a="1"/>
  <c r="HXA3" i="53" a="1"/>
  <c r="SUX3" i="53" a="1"/>
  <c r="RQZ3" i="53" a="1"/>
  <c r="OAU3" i="53" a="1"/>
  <c r="E52" i="27" a="1"/>
  <c r="RWT3" i="53" a="1"/>
  <c r="C65" i="53" a="1"/>
  <c r="CVD3" i="53" a="1"/>
  <c r="LFR3" i="53" a="1"/>
  <c r="ITY3" i="53" a="1"/>
  <c r="VFV3" i="53" a="1"/>
  <c r="TEU3" i="53" a="1"/>
  <c r="WXL3" i="53" a="1"/>
  <c r="JUA3" i="53" a="1"/>
  <c r="C195" i="27" a="1"/>
  <c r="UZW3" i="53" a="1"/>
  <c r="E27" i="27" a="1"/>
  <c r="LWZ3" i="53" a="1"/>
  <c r="LQL3" i="53" a="1"/>
  <c r="TZX3" i="53" a="1"/>
  <c r="WOY3" i="53" a="1"/>
  <c r="C218" i="27" a="1"/>
  <c r="E269" i="27" a="1"/>
  <c r="WEV3" i="53" a="1"/>
  <c r="FHS3" i="53" a="1"/>
  <c r="WEO3" i="53" a="1"/>
  <c r="QTB3" i="53" a="1"/>
  <c r="BCN3" i="53" a="1"/>
  <c r="TPA3" i="53" a="1"/>
  <c r="NZP3" i="53" a="1"/>
  <c r="JPF3" i="53" a="1"/>
  <c r="KRR3" i="53" a="1"/>
  <c r="IDU3" i="53" a="1"/>
  <c r="BSH3" i="53" a="1"/>
  <c r="DAX3" i="53" a="1"/>
  <c r="KWR3" i="53" a="1"/>
  <c r="SQL3" i="53" a="1"/>
  <c r="LFY3" i="53" a="1"/>
  <c r="GAC3" i="53" a="1"/>
  <c r="CHI3" i="53" a="1"/>
  <c r="PPR3" i="53" a="1"/>
  <c r="ILN3" i="53" a="1"/>
  <c r="VLU3" i="53" a="1"/>
  <c r="TCQ3" i="53" a="1"/>
  <c r="DNO3" i="53" a="1"/>
  <c r="OCG3" i="53" a="1"/>
  <c r="VED3" i="53" a="1"/>
  <c r="SXN3" i="53" a="1"/>
  <c r="UFL3" i="53" a="1"/>
  <c r="RBJ3" i="53" a="1"/>
  <c r="GIP3" i="53" a="1"/>
  <c r="HER3" i="53" a="1"/>
  <c r="QLI3" i="53" a="1"/>
  <c r="LHM3" i="53" a="1"/>
  <c r="KNL3" i="53" a="1"/>
  <c r="VIB3" i="53" a="1"/>
  <c r="MKL3" i="53" a="1"/>
  <c r="E267" i="27" a="1"/>
  <c r="OGM3" i="53" a="1"/>
  <c r="HCU3" i="53" a="1"/>
  <c r="VBQ3" i="53" a="1"/>
  <c r="IGI3" i="53" a="1"/>
  <c r="JJZ3" i="53" a="1"/>
  <c r="UVG3" i="53" a="1"/>
  <c r="TRR3" i="53" a="1"/>
  <c r="HOA3" i="53" a="1"/>
  <c r="WVI3" i="53" a="1"/>
  <c r="GMD3" i="53" a="1"/>
  <c r="EQZ3" i="53" a="1"/>
  <c r="HID3" i="53" a="1"/>
  <c r="KEE3" i="53" a="1"/>
  <c r="BBW3" i="53" a="1"/>
  <c r="RCF3" i="53" a="1"/>
  <c r="AVY3" i="53" a="1"/>
  <c r="VL3" i="53" a="1"/>
  <c r="BJS3" i="53" a="1"/>
  <c r="F3" i="6" a="1"/>
  <c r="CPC3" i="53" a="1"/>
  <c r="VUI3" i="53" a="1"/>
  <c r="CCL3" i="53" a="1"/>
  <c r="C336" i="27" a="1"/>
  <c r="VAO3" i="53" a="1"/>
  <c r="ABG3" i="53" a="1"/>
  <c r="AUL3" i="53" a="1"/>
  <c r="WYF3" i="53" a="1"/>
  <c r="DRG3" i="53" a="1"/>
  <c r="FFN3" i="53" a="1"/>
  <c r="LTS3" i="53" a="1"/>
  <c r="WMN3" i="53" a="1"/>
  <c r="WIJ3" i="53" a="1"/>
  <c r="IPL3" i="53" a="1"/>
  <c r="TME3" i="53" a="1"/>
  <c r="RAC3" i="53" a="1"/>
  <c r="JRH3" i="53" a="1"/>
  <c r="GIB3" i="53" a="1"/>
  <c r="PZE3" i="53" a="1"/>
  <c r="PSB3" i="53" a="1"/>
  <c r="FZO3" i="53" a="1"/>
  <c r="PHI3" i="53" a="1"/>
  <c r="ENT3" i="53" a="1"/>
  <c r="MEH3" i="53" a="1"/>
  <c r="WCN3" i="53" a="1"/>
  <c r="LAO3" i="53" a="1"/>
  <c r="MOX3" i="53" a="1"/>
  <c r="BIB3" i="53" a="1"/>
  <c r="KOY3" i="53" a="1"/>
  <c r="FCS3" i="53" a="1"/>
  <c r="QNR3" i="53" a="1"/>
  <c r="VDY3" i="53" a="1"/>
  <c r="HVL3" i="53" a="1"/>
  <c r="E226" i="27" a="1"/>
  <c r="WSP3" i="53" a="1"/>
  <c r="FQJ3" i="53" a="1"/>
  <c r="NMT3" i="53" a="1"/>
  <c r="PCH3" i="53" a="1"/>
  <c r="RAZ3" i="53" a="1"/>
  <c r="E45" i="53" a="1"/>
  <c r="DGR3" i="53" a="1"/>
  <c r="RRB3" i="53" a="1"/>
  <c r="PYN3" i="53" a="1"/>
  <c r="PQB3" i="53" a="1"/>
  <c r="UYT3" i="53" a="1"/>
  <c r="JYO3" i="53" a="1"/>
  <c r="KE3" i="53" a="1"/>
  <c r="VRI3" i="53" a="1"/>
  <c r="VFN3" i="53" a="1"/>
  <c r="AOJ3" i="53" a="1"/>
  <c r="UHP3" i="53" a="1"/>
  <c r="RVU3" i="53" a="1"/>
  <c r="HWI3" i="53" a="1"/>
  <c r="HKJ3" i="53" a="1"/>
  <c r="DXW3" i="53" a="1"/>
  <c r="FEX3" i="53" a="1"/>
  <c r="JMO3" i="53" a="1"/>
  <c r="HAN3" i="53" a="1"/>
  <c r="MCB3" i="53" a="1"/>
  <c r="PLN3" i="53" a="1"/>
  <c r="NJD3" i="53" a="1"/>
  <c r="JAB3" i="53" a="1"/>
  <c r="TNP3" i="53" a="1"/>
  <c r="MO3" i="53" a="1"/>
  <c r="VBM3" i="53" a="1"/>
  <c r="SDH3" i="53" a="1"/>
  <c r="IFZ3" i="53" a="1"/>
  <c r="SKW3" i="53" a="1"/>
  <c r="HAJ3" i="53" a="1"/>
  <c r="RJJ3" i="53" a="1"/>
  <c r="MCJ3" i="53" a="1"/>
  <c r="MCL3" i="53" a="1"/>
  <c r="ENQ3" i="53" a="1"/>
  <c r="EYH3" i="53" a="1"/>
  <c r="SWQ3" i="53" a="1"/>
  <c r="PNH3" i="53" a="1"/>
  <c r="GWR3" i="53" a="1"/>
  <c r="GMO3" i="53" a="1"/>
  <c r="LIS3" i="53" a="1"/>
  <c r="SME3" i="53" a="1"/>
  <c r="MGK3" i="53" a="1"/>
  <c r="LKQ3" i="53" a="1"/>
  <c r="DSQ3" i="53" a="1"/>
  <c r="SVJ3" i="53" a="1"/>
  <c r="ETD3" i="53" a="1"/>
  <c r="KML3" i="53" a="1"/>
  <c r="NNM3" i="53" a="1"/>
  <c r="E3" i="47" a="1"/>
  <c r="VWX3" i="53" a="1"/>
  <c r="DZH3" i="53" a="1"/>
  <c r="UYP3" i="53" a="1"/>
  <c r="AGZ3" i="53" a="1"/>
  <c r="JKB3" i="53" a="1"/>
  <c r="VCM3" i="53" a="1"/>
  <c r="RKR3" i="53" a="1"/>
  <c r="NYK3" i="53" a="1"/>
  <c r="PEP3" i="53" a="1"/>
  <c r="UWF3" i="53" a="1"/>
  <c r="C63" i="27" a="1"/>
  <c r="QFH3" i="53" a="1"/>
  <c r="E228" i="27" a="1"/>
  <c r="STJ3" i="53" a="1"/>
  <c r="GNL3" i="53" a="1"/>
  <c r="VRE3" i="53" a="1"/>
  <c r="HIB3" i="53" a="1"/>
  <c r="C29" i="27" a="1"/>
  <c r="E204" i="27" a="1"/>
  <c r="VTP3" i="53" a="1"/>
  <c r="C314" i="27" a="1"/>
  <c r="PIF3" i="53" a="1"/>
  <c r="MAC3" i="53" a="1"/>
  <c r="C22" i="27" a="1"/>
  <c r="ILC3" i="53" a="1"/>
  <c r="USD3" i="53" a="1"/>
  <c r="WCG3" i="53" a="1"/>
  <c r="SIJ3" i="53" a="1"/>
  <c r="HQQ3" i="53" a="1"/>
  <c r="GST3" i="53" a="1"/>
  <c r="E61" i="27" a="1"/>
  <c r="SNK3" i="53" a="1"/>
  <c r="JQQ3" i="53" a="1"/>
  <c r="IVC3" i="53" a="1"/>
  <c r="EIF3" i="53" a="1"/>
  <c r="FRQ3" i="53" a="1"/>
  <c r="SXO3" i="53" a="1"/>
  <c r="FUP3" i="53" a="1"/>
  <c r="JXB3" i="53" a="1"/>
  <c r="VSM3" i="53" a="1"/>
  <c r="ICG3" i="53" a="1"/>
  <c r="SRQ3" i="53" a="1"/>
  <c r="NEX3" i="53" a="1"/>
  <c r="ENA3" i="53" a="1"/>
  <c r="AGK3" i="53" a="1"/>
  <c r="JZM3" i="53" a="1"/>
  <c r="EEA3" i="53" a="1"/>
  <c r="SBK3" i="53" a="1"/>
  <c r="WLH3" i="53" a="1"/>
  <c r="MDI3" i="53" a="1"/>
  <c r="CLZ3" i="53" a="1"/>
  <c r="BTK3" i="53" a="1"/>
  <c r="UTW3" i="53" a="1"/>
  <c r="E127" i="27" a="1"/>
  <c r="BWW3" i="53" a="1"/>
  <c r="HAD3" i="53" a="1"/>
  <c r="HKC3" i="53" a="1"/>
  <c r="JUB3" i="53" a="1"/>
  <c r="PZP3" i="53" a="1"/>
  <c r="LDJ3" i="53" a="1"/>
  <c r="WPQ3" i="53" a="1"/>
  <c r="IKI3" i="53" a="1"/>
  <c r="UIY3" i="53" a="1"/>
  <c r="ENP3" i="53" a="1"/>
  <c r="OYE3" i="53" a="1"/>
  <c r="QEX3" i="53" a="1"/>
  <c r="AUK3" i="53" a="1"/>
  <c r="RUW3" i="53" a="1"/>
  <c r="HTN3" i="53" a="1"/>
  <c r="TTE3" i="53" a="1"/>
  <c r="CMS3" i="53" a="1"/>
  <c r="ENE3" i="53" a="1"/>
  <c r="QJW3" i="53" a="1"/>
  <c r="ROJ3" i="53" a="1"/>
  <c r="SBN3" i="53" a="1"/>
  <c r="JVL3" i="53" a="1"/>
  <c r="AH3" i="53" a="1"/>
  <c r="QGO3" i="53" a="1"/>
  <c r="AVD3" i="53" a="1"/>
  <c r="GMR3" i="53" a="1"/>
  <c r="GW3" i="53" a="1"/>
  <c r="KTJ3" i="53" a="1"/>
  <c r="MZI3" i="53" a="1"/>
  <c r="UDM3" i="53" a="1"/>
  <c r="VQ3" i="53" a="1"/>
  <c r="NCO3" i="53" a="1"/>
  <c r="RBB3" i="53" a="1"/>
  <c r="LQH3" i="53" a="1"/>
  <c r="WXD3" i="53" a="1"/>
  <c r="HEY3" i="53" a="1"/>
  <c r="F23" i="53" a="1"/>
  <c r="XCR3" i="53" a="1"/>
  <c r="HFO3" i="53" a="1"/>
  <c r="RME3" i="53" a="1"/>
  <c r="QPJ3" i="53" a="1"/>
  <c r="HVV3" i="53" a="1"/>
  <c r="IED3" i="53" a="1"/>
  <c r="QLB3" i="53" a="1"/>
  <c r="HBP3" i="53" a="1"/>
  <c r="RZR3" i="53" a="1"/>
  <c r="BDQ3" i="53" a="1"/>
  <c r="FMO3" i="53" a="1"/>
  <c r="RVF3" i="53" a="1"/>
  <c r="MIP3" i="53" a="1"/>
  <c r="JPQ3" i="53" a="1"/>
  <c r="THH3" i="53" a="1"/>
  <c r="DHV3" i="53" a="1"/>
  <c r="C71" i="53" a="1"/>
  <c r="WIM3" i="53" a="1"/>
  <c r="ISZ3" i="53" a="1"/>
  <c r="FJJ3" i="53" a="1"/>
  <c r="VRX3" i="53" a="1"/>
  <c r="NCR3" i="53" a="1"/>
  <c r="JWP3" i="53" a="1"/>
  <c r="GEE3" i="53" a="1"/>
  <c r="KMS3" i="53" a="1"/>
  <c r="ACB3" i="53" a="1"/>
  <c r="QHK3" i="53" a="1"/>
  <c r="DQH3" i="53" a="1"/>
  <c r="KLL3" i="53" a="1"/>
  <c r="VHT3" i="53" a="1"/>
  <c r="ODN3" i="53" a="1"/>
  <c r="MZN3" i="53" a="1"/>
  <c r="COS3" i="53" a="1"/>
  <c r="PWV3" i="53" a="1"/>
  <c r="UTK3" i="53" a="1"/>
  <c r="EXP3" i="53" a="1"/>
  <c r="SAB3" i="53" a="1"/>
  <c r="VVJ3" i="53" a="1"/>
  <c r="NCJ3" i="53" a="1"/>
  <c r="NNT3" i="53" a="1"/>
  <c r="IWQ3" i="53" a="1"/>
  <c r="LDB3" i="53" a="1"/>
  <c r="RJH3" i="53" a="1"/>
  <c r="QWZ3" i="53" a="1"/>
  <c r="WGX3" i="53" a="1"/>
  <c r="C16" i="53" a="1"/>
  <c r="QXH3" i="53" a="1"/>
  <c r="E194" i="27" a="1"/>
  <c r="LFQ3" i="53" a="1"/>
  <c r="LZB3" i="53" a="1"/>
  <c r="POD3" i="53" a="1"/>
  <c r="UVF3" i="53" a="1"/>
  <c r="OWL3" i="53" a="1"/>
  <c r="C411" i="27" a="1"/>
  <c r="E373" i="27" a="1"/>
  <c r="MHY3" i="53" a="1"/>
  <c r="C157" i="27" a="1"/>
  <c r="QCJ3" i="53" a="1"/>
  <c r="C25" i="53" a="1"/>
  <c r="C377" i="27" a="1"/>
  <c r="ROV3" i="53" a="1"/>
  <c r="E192" i="27" a="1"/>
  <c r="ILP3" i="53" a="1"/>
  <c r="NGR3" i="53" a="1"/>
  <c r="IYY3" i="53" a="1"/>
  <c r="SGM3" i="53" a="1"/>
  <c r="IQC3" i="53" a="1"/>
  <c r="UNT3" i="53" a="1"/>
  <c r="WCC3" i="53" a="1"/>
  <c r="JDE3" i="53" a="1"/>
  <c r="E279" i="27" a="1"/>
  <c r="C277" i="27" a="1"/>
  <c r="H3" i="15" a="1"/>
  <c r="CP3" i="53" a="1"/>
  <c r="VJE3" i="53" a="1"/>
  <c r="JYS3" i="53" a="1"/>
  <c r="MRQ3" i="53" a="1"/>
  <c r="WEP3" i="53" a="1"/>
  <c r="A3" i="22" a="1"/>
  <c r="UCW3" i="53" a="1"/>
  <c r="LGI3" i="53" a="1"/>
  <c r="UZG3" i="53" a="1"/>
  <c r="KNG3" i="53" a="1"/>
  <c r="EZM3" i="53" a="1"/>
  <c r="E184" i="27" a="1"/>
  <c r="XAR3" i="53" a="1"/>
  <c r="MKV3" i="53" a="1"/>
  <c r="WMJ3" i="53" a="1"/>
  <c r="RDG3" i="53" a="1"/>
  <c r="MHL3" i="53" a="1"/>
  <c r="VCA3" i="53" a="1"/>
  <c r="E7" i="27" a="1"/>
  <c r="VDQ3" i="53" a="1"/>
  <c r="SQQ3" i="53" a="1"/>
  <c r="E376" i="27" a="1"/>
  <c r="E273" i="27" a="1"/>
  <c r="C252" i="27" a="1"/>
  <c r="UVZ3" i="53" a="1"/>
  <c r="OBI3" i="53" a="1"/>
  <c r="VBT3" i="53" a="1"/>
  <c r="SJM3" i="53" a="1"/>
  <c r="C263" i="27" a="1"/>
  <c r="AR3" i="53" a="1"/>
  <c r="LBG3" i="53" a="1"/>
  <c r="C412" i="27" a="1"/>
  <c r="WUN3" i="53" a="1"/>
  <c r="VCO3" i="53" a="1"/>
  <c r="C115" i="27" a="1"/>
  <c r="E48" i="27" a="1"/>
  <c r="MVY3" i="53" a="1"/>
  <c r="E116" i="27" a="1"/>
  <c r="ROP3" i="53" a="1"/>
  <c r="UVB3" i="53" a="1"/>
  <c r="RIL3" i="53" a="1"/>
  <c r="VZZ3" i="53" a="1"/>
  <c r="THX3" i="53" a="1"/>
  <c r="UTR3" i="53" a="1"/>
  <c r="E382" i="27" a="1"/>
  <c r="NNK3" i="53" a="1"/>
  <c r="UTO3" i="53" a="1"/>
  <c r="E16" i="53" a="1"/>
  <c r="PDF3" i="53" a="1"/>
  <c r="SFH3" i="53" a="1"/>
  <c r="E293" i="27" a="1"/>
  <c r="E10" i="27" a="1"/>
  <c r="WQX3" i="53" a="1"/>
  <c r="TNI3" i="53" a="1"/>
  <c r="WWN3" i="53" a="1"/>
  <c r="E405" i="27" a="1"/>
  <c r="TTM3" i="53" a="1"/>
  <c r="C383" i="27" a="1"/>
  <c r="C63" i="53" a="1"/>
  <c r="VMF3" i="53" a="1"/>
  <c r="PJO3" i="53" a="1"/>
  <c r="NBM3" i="53" a="1"/>
  <c r="OQF3" i="53" a="1"/>
  <c r="WBP3" i="53" a="1"/>
  <c r="VQC3" i="53" a="1"/>
  <c r="DXM3" i="53" a="1"/>
  <c r="E98" i="27" a="1"/>
  <c r="SMK3" i="53" a="1"/>
  <c r="WBX3" i="53" a="1"/>
  <c r="E69" i="27" a="1"/>
  <c r="VYX3" i="53" a="1"/>
  <c r="E242" i="27" a="1"/>
  <c r="MPM3" i="53" a="1"/>
  <c r="AEG3" i="53" a="1"/>
  <c r="DYF3" i="53" a="1"/>
  <c r="NLG3" i="53" a="1"/>
  <c r="TDM3" i="53" a="1"/>
  <c r="JUM3" i="53" a="1"/>
  <c r="F51" i="53" a="1"/>
  <c r="NAX3" i="53" a="1"/>
  <c r="BQB3" i="53" a="1"/>
  <c r="F57" i="53" a="1"/>
  <c r="WK3" i="53" a="1"/>
  <c r="OQV3" i="53" a="1"/>
  <c r="KRB3" i="53" a="1"/>
  <c r="E201" i="27" a="1"/>
  <c r="EHU3" i="53" a="1"/>
  <c r="WHZ3" i="53" a="1"/>
  <c r="WLO3" i="53" a="1"/>
  <c r="E337" i="27" a="1"/>
  <c r="VAN3" i="53" a="1"/>
  <c r="VNV3" i="53" a="1"/>
  <c r="QI3" i="53" a="1"/>
  <c r="PKM3" i="53" a="1"/>
  <c r="PJC3" i="53" a="1"/>
  <c r="MOR3" i="53" a="1"/>
  <c r="TFS3" i="53" a="1"/>
  <c r="CUM3" i="53" a="1"/>
  <c r="C330" i="27" a="1"/>
  <c r="E58" i="53" a="1"/>
  <c r="DWW3" i="53" a="1"/>
  <c r="PNR3" i="53" a="1"/>
  <c r="C265" i="27" a="1"/>
  <c r="VTA3" i="53" a="1"/>
  <c r="LUW3" i="53" a="1"/>
  <c r="C319" i="27" a="1"/>
  <c r="VR3" i="53" a="1"/>
  <c r="NWY3" i="53" a="1"/>
  <c r="SPT3" i="53" a="1"/>
  <c r="HPO3" i="53" a="1"/>
  <c r="KU3" i="53" a="1"/>
  <c r="KCJ3" i="53" a="1"/>
  <c r="CJD3" i="53" a="1"/>
  <c r="RJU3" i="53" a="1"/>
  <c r="JJ3" i="53" a="1"/>
  <c r="HNC3" i="53" a="1"/>
  <c r="E332" i="27" a="1"/>
  <c r="DMH3" i="53" a="1"/>
  <c r="TBH3" i="53" a="1"/>
  <c r="JJW3" i="53" a="1"/>
  <c r="GZS3" i="53" a="1"/>
  <c r="AGE3" i="53" a="1"/>
  <c r="F67" i="53" a="1"/>
  <c r="HZJ3" i="53" a="1"/>
  <c r="BOG3" i="53" a="1"/>
  <c r="EIR3" i="53" a="1"/>
  <c r="F48" i="53" a="1"/>
  <c r="MMB3" i="53" a="1"/>
  <c r="NIC3" i="53" a="1"/>
  <c r="FVB3" i="53" a="1"/>
  <c r="QIL3" i="53" a="1"/>
  <c r="WPA3" i="53" a="1"/>
  <c r="JSV3" i="53" a="1"/>
  <c r="TIN3" i="53" a="1"/>
  <c r="CMG3" i="53" a="1"/>
  <c r="HBG3" i="53" a="1"/>
  <c r="IFE3" i="53" a="1"/>
  <c r="JOI3" i="53" a="1"/>
  <c r="QDT3" i="53" a="1"/>
  <c r="SEC3" i="53" a="1"/>
  <c r="HDU3" i="53" a="1"/>
  <c r="FRO3" i="53" a="1"/>
  <c r="UVU3" i="53" a="1"/>
  <c r="FML3" i="53" a="1"/>
  <c r="VPW3" i="53" a="1"/>
  <c r="NWK3" i="53" a="1"/>
  <c r="QZC3" i="53" a="1"/>
  <c r="IOP3" i="53" a="1"/>
  <c r="GBE3" i="53" a="1"/>
  <c r="LFB3" i="53" a="1"/>
  <c r="EFI3" i="53" a="1"/>
  <c r="VQM3" i="53" a="1"/>
  <c r="DDP3" i="53" a="1"/>
  <c r="GJX3" i="53" a="1"/>
  <c r="SDZ3" i="53" a="1"/>
  <c r="LEB3" i="53" a="1"/>
  <c r="AHY3" i="53" a="1"/>
  <c r="MQX3" i="53" a="1"/>
  <c r="EVF3" i="53" a="1"/>
  <c r="VTS3" i="53" a="1"/>
  <c r="H3" i="22" a="1"/>
  <c r="HOP3" i="53" a="1"/>
  <c r="FED3" i="53" a="1"/>
  <c r="HTX3" i="53" a="1"/>
  <c r="RPX3" i="53" a="1"/>
  <c r="NWA3" i="53" a="1"/>
  <c r="QHT3" i="53" a="1"/>
  <c r="EBU3" i="53" a="1"/>
  <c r="C227" i="27" a="1"/>
  <c r="DSH3" i="53" a="1"/>
  <c r="E36" i="27" a="1"/>
  <c r="ILX3" i="53" a="1"/>
  <c r="E328" i="27" a="1"/>
  <c r="HCM3" i="53" a="1"/>
  <c r="E176" i="27" a="1"/>
  <c r="UCT3" i="53" a="1"/>
  <c r="IMO3" i="53" a="1"/>
  <c r="E140" i="27" a="1"/>
  <c r="E338" i="27" a="1"/>
  <c r="QVF3" i="53" a="1"/>
  <c r="F50" i="53" a="1"/>
  <c r="QHZ3" i="53" a="1"/>
  <c r="CQX3" i="53" a="1"/>
  <c r="BSJ3" i="53" a="1"/>
  <c r="WVB3" i="53" a="1"/>
  <c r="TWE3" i="53" a="1"/>
  <c r="QFW3" i="53" a="1"/>
  <c r="E297" i="27" a="1"/>
  <c r="MWC3" i="53" a="1"/>
  <c r="C349" i="27" a="1"/>
  <c r="OAS3" i="53" a="1"/>
  <c r="NKU3" i="53" a="1"/>
  <c r="KQL3" i="53" a="1"/>
  <c r="BBC3" i="53" a="1"/>
  <c r="XBP3" i="53" a="1"/>
  <c r="JFW3" i="53" a="1"/>
  <c r="OTM3" i="53" a="1"/>
  <c r="ACM3" i="53" a="1"/>
  <c r="CHR3" i="53" a="1"/>
  <c r="VRW3" i="53" a="1"/>
  <c r="MCW3" i="53" a="1"/>
  <c r="ACE3" i="53" a="1"/>
  <c r="C112" i="27" a="1"/>
  <c r="TBG3" i="53" a="1"/>
  <c r="GDJ3" i="53" a="1"/>
  <c r="VNO3" i="53" a="1"/>
  <c r="PRJ3" i="53" a="1"/>
  <c r="VSY3" i="53" a="1"/>
  <c r="AIR3" i="53" a="1"/>
  <c r="RJK3" i="53" a="1"/>
  <c r="DYE3" i="53" a="1"/>
  <c r="WSC3" i="53" a="1"/>
  <c r="NBE3" i="53" a="1"/>
  <c r="RJZ3" i="53" a="1"/>
  <c r="SUK3" i="53" a="1"/>
  <c r="WZX3" i="53" a="1"/>
  <c r="EEM3" i="53" a="1"/>
  <c r="TVN3" i="53" a="1"/>
  <c r="VYZ3" i="53" a="1"/>
  <c r="JDH3" i="53" a="1"/>
  <c r="CZU3" i="53" a="1"/>
  <c r="NLZ3" i="53" a="1"/>
  <c r="SLD3" i="53" a="1"/>
  <c r="WEZ3" i="53" a="1"/>
  <c r="QJP3" i="53" a="1"/>
  <c r="NYH3" i="53" a="1"/>
  <c r="RAB3" i="53" a="1"/>
  <c r="ALQ3" i="53" a="1"/>
  <c r="C348" i="27" a="1"/>
  <c r="RUO3" i="53" a="1"/>
  <c r="JFD3" i="53" a="1"/>
  <c r="RPZ3" i="53" a="1"/>
  <c r="GRD3" i="53" a="1"/>
  <c r="JVQ3" i="53" a="1"/>
  <c r="VLP3" i="53" a="1"/>
  <c r="MTJ3" i="53" a="1"/>
  <c r="UBN3" i="53" a="1"/>
  <c r="LHL3" i="53" a="1"/>
  <c r="FYJ3" i="53" a="1"/>
  <c r="VGW3" i="53" a="1"/>
  <c r="VNJ3" i="53" a="1"/>
  <c r="GWK3" i="53" a="1"/>
  <c r="DXN3" i="53" a="1"/>
  <c r="HYJ3" i="53" a="1"/>
  <c r="MNZ3" i="53" a="1"/>
  <c r="JFV3" i="53" a="1"/>
  <c r="HDG3" i="53" a="1"/>
  <c r="CME3" i="53" a="1"/>
  <c r="SCE3" i="53" a="1"/>
  <c r="C133" i="27" a="1"/>
  <c r="GQV3" i="53" a="1"/>
  <c r="FRM3" i="53" a="1"/>
  <c r="CO3" i="53" a="1"/>
  <c r="LTR3" i="53" a="1"/>
  <c r="LPH3" i="53" a="1"/>
  <c r="QOT3" i="53" a="1"/>
  <c r="QNO3" i="53" a="1"/>
  <c r="IKK3" i="53" a="1"/>
  <c r="EYR3" i="53" a="1"/>
  <c r="SWD3" i="53" a="1"/>
  <c r="LUX3" i="53" a="1"/>
  <c r="HDA3" i="53" a="1"/>
  <c r="IFV3" i="53" a="1"/>
  <c r="SHB3" i="53" a="1"/>
  <c r="EHA3" i="53" a="1"/>
  <c r="LJM3" i="53" a="1"/>
  <c r="NOI3" i="53" a="1"/>
  <c r="NBV3" i="53" a="1"/>
  <c r="KY3" i="53" a="1"/>
  <c r="BNH3" i="53" a="1"/>
  <c r="FGF3" i="53" a="1"/>
  <c r="DVH3" i="53" a="1"/>
  <c r="VHG3" i="53" a="1"/>
  <c r="CLA3" i="53" a="1"/>
  <c r="MIT3" i="53" a="1"/>
  <c r="PLF3" i="53" a="1"/>
  <c r="IFI3" i="53" a="1"/>
  <c r="QWY3" i="53" a="1"/>
  <c r="QSH3" i="53" a="1"/>
  <c r="FVC3" i="53" a="1"/>
  <c r="OZF3" i="53" a="1"/>
  <c r="PEB3" i="53" a="1"/>
  <c r="MDO3" i="53" a="1"/>
  <c r="VTE3" i="53" a="1"/>
  <c r="CIR3" i="53" a="1"/>
  <c r="NEY3" i="53" a="1"/>
  <c r="EOR3" i="53" a="1"/>
  <c r="KRX3" i="53" a="1"/>
  <c r="EMQ3" i="53" a="1"/>
  <c r="KGM3" i="53" a="1"/>
  <c r="OEV3" i="53" a="1"/>
  <c r="AEL3" i="53" a="1"/>
  <c r="OLV3" i="53" a="1"/>
  <c r="TFR3" i="53" a="1"/>
  <c r="BLG3" i="53" a="1"/>
  <c r="SMF3" i="53" a="1"/>
  <c r="QZK3" i="53" a="1"/>
  <c r="ACF3" i="53" a="1"/>
  <c r="KMQ3" i="53" a="1"/>
  <c r="SWA3" i="53" a="1"/>
  <c r="EWV3" i="53" a="1"/>
  <c r="CB3" i="53" a="1"/>
  <c r="UMG3" i="53" a="1"/>
  <c r="BKZ3" i="53" a="1"/>
  <c r="OOC3" i="53" a="1"/>
  <c r="IVH3" i="53" a="1"/>
  <c r="LQY3" i="53" a="1"/>
  <c r="OH3" i="53" a="1"/>
  <c r="LAF3" i="53" a="1"/>
  <c r="VHS3" i="53" a="1"/>
  <c r="LXH3" i="53" a="1"/>
  <c r="LOY3" i="53" a="1"/>
  <c r="E167" i="27" a="1"/>
  <c r="AEH3" i="53" a="1"/>
  <c r="SGI3" i="53" a="1"/>
  <c r="IVM3" i="53" a="1"/>
  <c r="QEU3" i="53" a="1"/>
  <c r="EVQ3" i="53" a="1"/>
  <c r="DDE3" i="53" a="1"/>
  <c r="KYK3" i="53" a="1"/>
  <c r="TWZ3" i="53" a="1"/>
  <c r="BTW3" i="53" a="1"/>
  <c r="K3" i="34" a="1"/>
  <c r="SFI3" i="53" a="1"/>
  <c r="C167" i="27" a="1"/>
  <c r="TFZ3" i="53" a="1"/>
  <c r="KO3" i="53" a="1"/>
  <c r="WXZ3" i="53" a="1"/>
  <c r="FOZ3" i="53" a="1"/>
  <c r="E14" i="53" a="1"/>
  <c r="WQY3" i="53" a="1"/>
  <c r="KTU3" i="53" a="1"/>
  <c r="UHR3" i="53" a="1"/>
  <c r="KDC3" i="53" a="1"/>
  <c r="LHS3" i="53" a="1"/>
  <c r="IDS3" i="53" a="1"/>
  <c r="RST3" i="53" a="1"/>
  <c r="FPI3" i="53" a="1"/>
  <c r="TMI3" i="53" a="1"/>
  <c r="VRC3" i="53" a="1"/>
  <c r="VPD3" i="53" a="1"/>
  <c r="KLB3" i="53" a="1"/>
  <c r="SSS3" i="53" a="1"/>
  <c r="BXR3" i="53" a="1"/>
  <c r="HLJ3" i="53" a="1"/>
  <c r="HZT3" i="53" a="1"/>
  <c r="OZL3" i="53" a="1"/>
  <c r="VGE3" i="53" a="1"/>
  <c r="NCA3" i="53" a="1"/>
  <c r="WXN3" i="53" a="1"/>
  <c r="C73" i="27" a="1"/>
  <c r="EZU3" i="53" a="1"/>
  <c r="BUN3" i="53" a="1"/>
  <c r="DJC3" i="53" a="1"/>
  <c r="NYS3" i="53" a="1"/>
  <c r="AOH3" i="53" a="1"/>
  <c r="IUR3" i="53" a="1"/>
  <c r="AWG3" i="53" a="1"/>
  <c r="WNJ3" i="53" a="1"/>
  <c r="LHG3" i="53" a="1"/>
  <c r="SIA3" i="53" a="1"/>
  <c r="QJD3" i="53" a="1"/>
  <c r="VXX3" i="53" a="1"/>
  <c r="PYT3" i="53" a="1"/>
  <c r="PVM3" i="53" a="1"/>
  <c r="FXD3" i="53" a="1"/>
  <c r="WFJ3" i="53" a="1"/>
  <c r="VAS3" i="53" a="1"/>
  <c r="RRV3" i="53" a="1"/>
  <c r="NJK3" i="53" a="1"/>
  <c r="QXJ3" i="53" a="1"/>
  <c r="IDC3" i="53" a="1"/>
  <c r="FLZ3" i="53" a="1"/>
  <c r="FZT3" i="53" a="1"/>
  <c r="RQW3" i="53" a="1"/>
  <c r="JIO3" i="53" a="1"/>
  <c r="WZL3" i="53" a="1"/>
  <c r="MCF3" i="53" a="1"/>
  <c r="PDX3" i="53" a="1"/>
  <c r="QHG3" i="53" a="1"/>
  <c r="LS3" i="53" a="1"/>
  <c r="EKP3" i="53" a="1"/>
  <c r="AWK3" i="53" a="1"/>
  <c r="WNT3" i="53" a="1"/>
  <c r="FZN3" i="53" a="1"/>
  <c r="SVX3" i="53" a="1"/>
  <c r="E288" i="27" a="1"/>
  <c r="UGQ3" i="53" a="1"/>
  <c r="C88" i="27" a="1"/>
  <c r="BEU3" i="53" a="1"/>
  <c r="WAD3" i="53" a="1"/>
  <c r="E88" i="27" a="1"/>
  <c r="F3" i="54" a="1"/>
  <c r="NGE3" i="53" a="1"/>
  <c r="VSW3" i="53" a="1"/>
  <c r="E306" i="27" a="1"/>
  <c r="HAX3" i="53" a="1"/>
  <c r="UUD3" i="53" a="1"/>
  <c r="RAS3" i="53" a="1"/>
  <c r="GUA3" i="53" a="1"/>
  <c r="GLJ3" i="53" a="1"/>
  <c r="SLX3" i="53" a="1"/>
  <c r="BEV3" i="53" a="1"/>
  <c r="PSD3" i="53" a="1"/>
  <c r="TNV3" i="53" a="1"/>
  <c r="C184" i="27" a="1"/>
  <c r="RWJ3" i="53" a="1"/>
  <c r="C376" i="27" a="1"/>
  <c r="NKF3" i="53" a="1"/>
  <c r="AND3" i="53" a="1"/>
  <c r="WUA3" i="53" a="1"/>
  <c r="JAP3" i="53" a="1"/>
  <c r="DEO3" i="53" a="1"/>
  <c r="ESC3" i="53" a="1"/>
  <c r="E146" i="27" a="1"/>
  <c r="UBL3" i="53" a="1"/>
  <c r="NXM3" i="53" a="1"/>
  <c r="QSN3" i="53" a="1"/>
  <c r="WKR3" i="53" a="1"/>
  <c r="GKR3" i="53" a="1"/>
  <c r="RDN3" i="53" a="1"/>
  <c r="KIR3" i="53" a="1"/>
  <c r="FWD3" i="53" a="1"/>
  <c r="JTM3" i="53" a="1"/>
  <c r="RJO3" i="53" a="1"/>
  <c r="FLM3" i="53" a="1"/>
  <c r="WCR3" i="53" a="1"/>
  <c r="KYT3" i="53" a="1"/>
  <c r="UMF3" i="53" a="1"/>
  <c r="LFW3" i="53" a="1"/>
  <c r="WFN3" i="53" a="1"/>
  <c r="IWF3" i="53" a="1"/>
  <c r="LHP3" i="53" a="1"/>
  <c r="VNK3" i="53" a="1"/>
  <c r="QPA3" i="53" a="1"/>
  <c r="JPH3" i="53" a="1"/>
  <c r="NSQ3" i="53" a="1"/>
  <c r="LXW3" i="53" a="1"/>
  <c r="KIX3" i="53" a="1"/>
  <c r="RGG3" i="53" a="1"/>
  <c r="LHJ3" i="53" a="1"/>
  <c r="LNR3" i="53" a="1"/>
  <c r="GNK3" i="53" a="1"/>
  <c r="AFW3" i="53" a="1"/>
  <c r="YX3" i="53" a="1"/>
  <c r="VVF3" i="53" a="1"/>
  <c r="FCQ3" i="53" a="1"/>
  <c r="A3" i="15" a="1"/>
  <c r="CTN3" i="53" a="1"/>
  <c r="X3" i="53" a="1"/>
  <c r="F3" i="55" a="1"/>
  <c r="SEI3" i="53" a="1"/>
  <c r="RAY3" i="53" a="1"/>
  <c r="SMU3" i="53" a="1"/>
  <c r="VHL3" i="53" a="1"/>
  <c r="XDR3" i="53" a="1"/>
  <c r="QAJ3" i="53" a="1"/>
  <c r="WPW3" i="53" a="1"/>
  <c r="E76" i="27" a="1"/>
  <c r="C372" i="27" a="1"/>
  <c r="WRB3" i="53" a="1"/>
  <c r="NPB3" i="53" a="1"/>
  <c r="E390" i="27" a="1"/>
  <c r="E24" i="53" a="1"/>
  <c r="QFE3" i="53" a="1"/>
  <c r="MYV3" i="53" a="1"/>
  <c r="LRP3" i="53" a="1"/>
  <c r="NHM3" i="53" a="1"/>
  <c r="KYG3" i="53" a="1"/>
  <c r="ONU3" i="53" a="1"/>
  <c r="OVG3" i="53" a="1"/>
  <c r="UTQ3" i="53" a="1"/>
  <c r="HKN3" i="53" a="1"/>
  <c r="NEQ3" i="53" a="1"/>
  <c r="SGJ3" i="53" a="1"/>
  <c r="GIU3" i="53" a="1"/>
  <c r="C96" i="27" a="1"/>
  <c r="NXU3" i="53" a="1"/>
  <c r="C279" i="27" a="1"/>
  <c r="JOS3" i="53" a="1"/>
  <c r="WUK3" i="53" a="1"/>
  <c r="RQP3" i="53" a="1"/>
  <c r="VAC3" i="53" a="1"/>
  <c r="NNL3" i="53" a="1"/>
  <c r="FVZ3" i="53" a="1"/>
  <c r="E275" i="27" a="1"/>
  <c r="SMS3" i="53" a="1"/>
  <c r="PTE3" i="53" a="1"/>
  <c r="KBN3" i="53" a="1"/>
  <c r="ROT3" i="53" a="1"/>
  <c r="HCB3" i="53" a="1"/>
  <c r="CBW3" i="53" a="1"/>
  <c r="NCS3" i="53" a="1"/>
  <c r="KFT3" i="53" a="1"/>
  <c r="HKL3" i="53" a="1"/>
  <c r="VDM3" i="53" a="1"/>
  <c r="DHT3" i="53" a="1"/>
  <c r="GBV3" i="53" a="1"/>
  <c r="RTU3" i="53" a="1"/>
  <c r="QPY3" i="53" a="1"/>
  <c r="RXN3" i="53" a="1"/>
  <c r="OAN3" i="53" a="1"/>
  <c r="MOB3" i="53" a="1"/>
  <c r="XED3" i="53" a="1"/>
  <c r="D3" i="13" a="1"/>
  <c r="PHK3" i="53" a="1"/>
  <c r="SIL3" i="53" a="1"/>
  <c r="UAY3" i="53" a="1"/>
  <c r="LAA3" i="53" a="1"/>
  <c r="DJQ3" i="53" a="1"/>
  <c r="OUO3" i="53" a="1"/>
  <c r="SCO3" i="53" a="1"/>
  <c r="LLZ3" i="53" a="1"/>
  <c r="DQO3" i="53" a="1"/>
  <c r="WQE3" i="53" a="1"/>
  <c r="DGO3" i="53" a="1"/>
  <c r="LEV3" i="53" a="1"/>
  <c r="JXO3" i="53" a="1"/>
  <c r="QIT3" i="53" a="1"/>
  <c r="VM3" i="53" a="1"/>
  <c r="LIV3" i="53" a="1"/>
  <c r="SZU3" i="53" a="1"/>
  <c r="GAJ3" i="53" a="1"/>
  <c r="JJX3" i="53" a="1"/>
  <c r="OIW3" i="53" a="1"/>
  <c r="TP3" i="53" a="1"/>
  <c r="PJE3" i="53" a="1"/>
  <c r="WKB3" i="53" a="1"/>
  <c r="ROE3" i="53" a="1"/>
  <c r="DZX3" i="53" a="1"/>
  <c r="CXG3" i="53" a="1"/>
  <c r="TVK3" i="53" a="1"/>
  <c r="SCF3" i="53" a="1"/>
  <c r="JEI3" i="53" a="1"/>
  <c r="VVY3" i="53" a="1"/>
  <c r="GBY3" i="53" a="1"/>
  <c r="OXQ3" i="53" a="1"/>
  <c r="C385" i="27" a="1"/>
  <c r="C55" i="27" a="1"/>
  <c r="SWE3" i="53" a="1"/>
  <c r="UBJ3" i="53" a="1"/>
  <c r="SIX3" i="53" a="1"/>
  <c r="C126" i="27" a="1"/>
  <c r="IJE3" i="53" a="1"/>
  <c r="VGL3" i="53" a="1"/>
  <c r="QIX3" i="53" a="1"/>
  <c r="DVN3" i="53" a="1"/>
  <c r="UGU3" i="53" a="1"/>
  <c r="ENH3" i="53" a="1"/>
  <c r="TFA3" i="53" a="1"/>
  <c r="BPU3" i="53" a="1"/>
  <c r="GIJ3" i="53" a="1"/>
  <c r="AXF3" i="53" a="1"/>
  <c r="SHE3" i="53" a="1"/>
  <c r="HZB3" i="53" a="1"/>
  <c r="C410" i="27" a="1"/>
  <c r="ITO3" i="53" a="1"/>
  <c r="WCO3" i="53" a="1"/>
  <c r="HKZ3" i="53" a="1"/>
  <c r="WWB3" i="53" a="1"/>
  <c r="E196" i="27" a="1"/>
  <c r="THY3" i="53" a="1"/>
  <c r="DZP3" i="53" a="1"/>
  <c r="HJM3" i="53" a="1"/>
  <c r="NFS3" i="53" a="1"/>
  <c r="BRN3" i="53" a="1"/>
  <c r="DJX3" i="53" a="1"/>
  <c r="TTO3" i="53" a="1"/>
  <c r="HCW3" i="53" a="1"/>
  <c r="OPS3" i="53" a="1"/>
  <c r="SOQ3" i="53" a="1"/>
  <c r="RGU3" i="53" a="1"/>
  <c r="IBV3" i="53" a="1"/>
  <c r="ERX3" i="53" a="1"/>
  <c r="IVO3" i="53" a="1"/>
  <c r="OUT3" i="53" a="1"/>
  <c r="FKR3" i="53" a="1"/>
  <c r="GSL3" i="53" a="1"/>
  <c r="QDG3" i="53" a="1"/>
  <c r="MVU3" i="53" a="1"/>
  <c r="HUE3" i="53" a="1"/>
  <c r="NAL3" i="53" a="1"/>
  <c r="ISQ3" i="53" a="1"/>
  <c r="VJF3" i="53" a="1"/>
  <c r="INR3" i="53" a="1"/>
  <c r="ARF3" i="53" a="1"/>
  <c r="TFW3" i="53" a="1"/>
  <c r="PRP3" i="53" a="1"/>
  <c r="GSV3" i="53" a="1"/>
  <c r="GDQ3" i="53" a="1"/>
  <c r="LLT3" i="53" a="1"/>
  <c r="RIZ3" i="53" a="1"/>
  <c r="PNQ3" i="53" a="1"/>
  <c r="KFQ3" i="53" a="1"/>
  <c r="GCS3" i="53" a="1"/>
  <c r="LSS3" i="53" a="1"/>
  <c r="TRL3" i="53" a="1"/>
  <c r="TUT3" i="53" a="1"/>
  <c r="VSG3" i="53" a="1"/>
  <c r="MSJ3" i="53" a="1"/>
  <c r="HTM3" i="53" a="1"/>
  <c r="TIY3" i="53" a="1"/>
  <c r="IGU3" i="53" a="1"/>
  <c r="PPV3" i="53" a="1"/>
  <c r="RPF3" i="53" a="1"/>
  <c r="JYE3" i="53" a="1"/>
  <c r="MQQ3" i="53" a="1"/>
  <c r="HOS3" i="53" a="1"/>
  <c r="GYE3" i="53" a="1"/>
  <c r="EJY3" i="53" a="1"/>
  <c r="N3" i="34" a="1"/>
  <c r="EQX3" i="53" a="1"/>
  <c r="NFD3" i="53" a="1"/>
  <c r="CXW3" i="53" a="1"/>
  <c r="VEJ3" i="53" a="1"/>
  <c r="TJE3" i="53" a="1"/>
  <c r="PLD3" i="53" a="1"/>
  <c r="FFU3" i="53" a="1"/>
  <c r="LKK3" i="53" a="1"/>
  <c r="RFQ3" i="53" a="1"/>
  <c r="XAT3" i="53" a="1"/>
  <c r="C163" i="27" a="1"/>
  <c r="PVZ3" i="53" a="1"/>
  <c r="AFC3" i="53" a="1"/>
  <c r="TXP3" i="53" a="1"/>
  <c r="LVN3" i="53" a="1"/>
  <c r="MNX3" i="53" a="1"/>
  <c r="CMP3" i="53" a="1"/>
  <c r="UOX3" i="53" a="1"/>
  <c r="ELO3" i="53" a="1"/>
  <c r="F3" i="31" a="1"/>
  <c r="ELP3" i="53" a="1"/>
  <c r="C309" i="27" a="1"/>
  <c r="SBH3" i="53" a="1"/>
  <c r="PMW3" i="53" a="1"/>
  <c r="GRN3" i="53" a="1"/>
  <c r="BKE3" i="53" a="1"/>
  <c r="EQH3" i="53" a="1"/>
  <c r="REU3" i="53" a="1"/>
  <c r="IRL3" i="53" a="1"/>
  <c r="ABO3" i="53" a="1"/>
  <c r="ERW3" i="53" a="1"/>
  <c r="RYC3" i="53" a="1"/>
  <c r="WPJ3" i="53" a="1"/>
  <c r="PVG3" i="53" a="1"/>
  <c r="RXS3" i="53" a="1"/>
  <c r="TLP3" i="53" a="1"/>
  <c r="LEJ3" i="53" a="1"/>
  <c r="DEU3" i="53" a="1"/>
  <c r="EOM3" i="53" a="1"/>
  <c r="MJ3" i="53" a="1"/>
  <c r="MCX3" i="53" a="1"/>
  <c r="GFR3" i="53" a="1"/>
  <c r="AYD3" i="53" a="1"/>
  <c r="IR3" i="53" a="1"/>
  <c r="D3" i="3" a="1"/>
  <c r="ALF3" i="53" a="1"/>
  <c r="NWC3" i="53" a="1"/>
  <c r="CEB3" i="53" a="1"/>
  <c r="DMA3" i="53" a="1"/>
  <c r="BJE3" i="53" a="1"/>
  <c r="HLQ3" i="53" a="1"/>
  <c r="PBV3" i="53" a="1"/>
  <c r="NAZ3" i="53" a="1"/>
  <c r="G3" i="11" a="1"/>
  <c r="UNK3" i="53" a="1"/>
  <c r="QTT3" i="53" a="1"/>
  <c r="VXA3" i="53" a="1"/>
  <c r="ULC3" i="53" a="1"/>
  <c r="FUX3" i="53" a="1"/>
  <c r="QDU3" i="53" a="1"/>
  <c r="BDR3" i="53" a="1"/>
  <c r="WUT3" i="53" a="1"/>
  <c r="BCR3" i="53" a="1"/>
  <c r="DVF3" i="53" a="1"/>
  <c r="KHW3" i="53" a="1"/>
  <c r="JKH3" i="53" a="1"/>
  <c r="ERN3" i="53" a="1"/>
  <c r="LJP3" i="53" a="1"/>
  <c r="JZC3" i="53" a="1"/>
  <c r="F25" i="53" a="1"/>
  <c r="BIQ3" i="53" a="1"/>
  <c r="C239" i="27" a="1"/>
  <c r="IIS3" i="53" a="1"/>
  <c r="H3" i="7" a="1"/>
  <c r="BON3" i="53" a="1"/>
  <c r="ELF3" i="53" a="1"/>
  <c r="E294" i="27" a="1"/>
  <c r="VKD3" i="53" a="1"/>
  <c r="JIZ3" i="53" a="1"/>
  <c r="DXF3" i="53" a="1"/>
  <c r="NUC3" i="53" a="1"/>
  <c r="AWJ3" i="53" a="1"/>
  <c r="SCR3" i="53" a="1"/>
  <c r="PCE3" i="53" a="1"/>
  <c r="MHH3" i="53" a="1"/>
  <c r="SUO3" i="53" a="1"/>
  <c r="MHI3" i="53" a="1"/>
  <c r="QHL3" i="53" a="1"/>
  <c r="OMB3" i="53" a="1"/>
  <c r="F32" i="53" a="1"/>
  <c r="PSG3" i="53" a="1"/>
  <c r="RPD3" i="53" a="1"/>
  <c r="BMV3" i="53" a="1"/>
  <c r="QUQ3" i="53" a="1"/>
  <c r="JYD3" i="53" a="1"/>
  <c r="DGC3" i="53" a="1"/>
  <c r="BEG3" i="53" a="1"/>
  <c r="FVL3" i="53" a="1"/>
  <c r="MWJ3" i="53" a="1"/>
  <c r="CVP3" i="53" a="1"/>
  <c r="F55" i="53" a="1"/>
  <c r="IAY3" i="53" a="1"/>
  <c r="GAN3" i="53" a="1"/>
  <c r="TIX3" i="53" a="1"/>
  <c r="IJK3" i="53" a="1"/>
  <c r="WAC3" i="53" a="1"/>
  <c r="VZJ3" i="53" a="1"/>
  <c r="JJC3" i="53" a="1"/>
  <c r="MQB3" i="53" a="1"/>
  <c r="E39" i="27" a="1"/>
  <c r="JMX3" i="53" a="1"/>
  <c r="REM3" i="53" a="1"/>
  <c r="AXN3" i="53" a="1"/>
  <c r="WNQ3" i="53" a="1"/>
  <c r="E57" i="53" a="1"/>
  <c r="SVV3" i="53" a="1"/>
  <c r="FQC3" i="53" a="1"/>
  <c r="JGR3" i="53" a="1"/>
  <c r="PKZ3" i="53" a="1"/>
  <c r="AYP3" i="53" a="1"/>
  <c r="TSI3" i="53" a="1"/>
  <c r="LXF3" i="53" a="1"/>
  <c r="SUD3" i="53" a="1"/>
  <c r="SMN3" i="53" a="1"/>
  <c r="LFV3" i="53" a="1"/>
  <c r="HVD3" i="53" a="1"/>
  <c r="IPV3" i="53" a="1"/>
  <c r="REG3" i="53" a="1"/>
  <c r="UJD3" i="53" a="1"/>
  <c r="BGZ3" i="53" a="1"/>
  <c r="BTB3" i="53" a="1"/>
  <c r="C408" i="27" a="1"/>
  <c r="HKA3" i="53" a="1"/>
  <c r="IWE3" i="53" a="1"/>
  <c r="GXZ3" i="53" a="1"/>
  <c r="BQV3" i="53" a="1"/>
  <c r="C59" i="27" a="1"/>
  <c r="FAV3" i="53" a="1"/>
  <c r="TDV3" i="53" a="1"/>
  <c r="AAE3" i="53" a="1"/>
  <c r="TXG3" i="53" a="1"/>
  <c r="HNY3" i="53" a="1"/>
  <c r="CIP3" i="53" a="1"/>
  <c r="BGI3" i="53" a="1"/>
  <c r="MJP3" i="53" a="1"/>
  <c r="DRJ3" i="53" a="1"/>
  <c r="SNZ3" i="53" a="1"/>
  <c r="HAV3" i="53" a="1"/>
  <c r="LAT3" i="53" a="1"/>
  <c r="LWW3" i="53" a="1"/>
  <c r="TBJ3" i="53" a="1"/>
  <c r="PQD3" i="53" a="1"/>
  <c r="EID3" i="53" a="1"/>
  <c r="KEU3" i="53" a="1"/>
  <c r="WSV3" i="53" a="1"/>
  <c r="OIV3" i="53" a="1"/>
  <c r="TBY3" i="53" a="1"/>
  <c r="RAH3" i="53" a="1"/>
  <c r="PJM3" i="53" a="1"/>
  <c r="WEF3" i="53" a="1"/>
  <c r="WTZ3" i="53" a="1"/>
  <c r="GHB3" i="53" a="1"/>
  <c r="HSF3" i="53" a="1"/>
  <c r="E317" i="27" a="1"/>
  <c r="ESP3" i="53" a="1"/>
  <c r="EWG3" i="53" a="1"/>
  <c r="JMG3" i="53" a="1"/>
  <c r="OQO3" i="53" a="1"/>
  <c r="PJU3" i="53" a="1"/>
  <c r="GAI3" i="53" a="1"/>
  <c r="E346" i="27" a="1"/>
  <c r="SZJ3" i="53" a="1"/>
  <c r="MGI3" i="53" a="1"/>
  <c r="RED3" i="53" a="1"/>
  <c r="TGI3" i="53" a="1"/>
  <c r="NSO3" i="53" a="1"/>
  <c r="CWX3" i="53" a="1"/>
  <c r="IYG3" i="53" a="1"/>
  <c r="EIE3" i="53" a="1"/>
  <c r="TTH3" i="53" a="1"/>
  <c r="UXM3" i="53" a="1"/>
  <c r="WYD3" i="53" a="1"/>
  <c r="CWV3" i="53" a="1"/>
  <c r="FBD3" i="53" a="1"/>
  <c r="PAP3" i="53" a="1"/>
  <c r="KRY3" i="53" a="1"/>
  <c r="BQG3" i="53" a="1"/>
  <c r="AHR3" i="53" a="1"/>
  <c r="XBF3" i="53" a="1"/>
  <c r="VPS3" i="53" a="1"/>
  <c r="LVH3" i="53" a="1"/>
  <c r="XER3" i="53" a="1"/>
  <c r="TRP3" i="53" a="1"/>
  <c r="A3" i="4" a="1"/>
  <c r="QEG3" i="53" a="1"/>
  <c r="LKH3" i="53" a="1"/>
  <c r="AYL3" i="53" a="1"/>
  <c r="GLN3" i="53" a="1"/>
  <c r="KKD3" i="53" a="1"/>
  <c r="OQT3" i="53" a="1"/>
  <c r="E259" i="27" a="1"/>
  <c r="REP3" i="53" a="1"/>
  <c r="JHI3" i="53" a="1"/>
  <c r="C11" i="27" a="1"/>
  <c r="GJA3" i="53" a="1"/>
  <c r="G3" i="4" a="1"/>
  <c r="WUL3" i="53" a="1"/>
  <c r="PRR3" i="53" a="1"/>
  <c r="NVA3" i="53" a="1"/>
  <c r="C322" i="27" a="1"/>
  <c r="UKK3" i="53" a="1"/>
  <c r="PNV3" i="53" a="1"/>
  <c r="ETY3" i="53" a="1"/>
  <c r="LNN3" i="53" a="1"/>
  <c r="DIQ3" i="53" a="1"/>
  <c r="PKG3" i="53" a="1"/>
  <c r="PIV3" i="53" a="1"/>
  <c r="HTA3" i="53" a="1"/>
  <c r="IOR3" i="53" a="1"/>
  <c r="GIM3" i="53" a="1"/>
  <c r="GGI3" i="53" a="1"/>
  <c r="TWT3" i="53" a="1"/>
  <c r="E42" i="53" a="1"/>
  <c r="CKM3" i="53" a="1"/>
  <c r="WMI3" i="53" a="1"/>
  <c r="EUP3" i="53" a="1"/>
  <c r="CWY3" i="53" a="1"/>
  <c r="JEN3" i="53" a="1"/>
  <c r="VCZ3" i="53" a="1"/>
  <c r="KTC3" i="53" a="1"/>
  <c r="KGZ3" i="53" a="1"/>
  <c r="BUH3" i="53" a="1"/>
  <c r="LWX3" i="53" a="1"/>
  <c r="OAW3" i="53" a="1"/>
  <c r="MHC3" i="53" a="1"/>
  <c r="XA3" i="53" a="1"/>
  <c r="ADZ3" i="53" a="1"/>
  <c r="JKX3" i="53" a="1"/>
  <c r="QTG3" i="53" a="1"/>
  <c r="E286" i="27" a="1"/>
  <c r="KDN3" i="53" a="1"/>
  <c r="QIE3" i="53" a="1"/>
  <c r="HMC3" i="53" a="1"/>
  <c r="QXG3" i="53" a="1"/>
  <c r="OZA3" i="53" a="1"/>
  <c r="TRO3" i="53" a="1"/>
  <c r="TJO3" i="53" a="1"/>
  <c r="TDJ3" i="53" a="1"/>
  <c r="OFL3" i="53" a="1"/>
  <c r="NBX3" i="53" a="1"/>
  <c r="RQC3" i="53" a="1"/>
  <c r="BQW3" i="53" a="1"/>
  <c r="TNS3" i="53" a="1"/>
  <c r="GWN3" i="53" a="1"/>
  <c r="EGH3" i="53" a="1"/>
  <c r="JPA3" i="53" a="1"/>
  <c r="JTN3" i="53" a="1"/>
  <c r="SJY3" i="53" a="1"/>
  <c r="UOL3" i="53" a="1"/>
  <c r="UYO3" i="53" a="1"/>
  <c r="ATS3" i="53" a="1"/>
  <c r="DZM3" i="53" a="1"/>
  <c r="DDF3" i="53" a="1"/>
  <c r="EMH3" i="53" a="1"/>
  <c r="PYO3" i="53" a="1"/>
  <c r="MWZ3" i="53" a="1"/>
  <c r="KCE3" i="53" a="1"/>
  <c r="ONR3" i="53" a="1"/>
  <c r="VMT3" i="53" a="1"/>
  <c r="IZJ3" i="53" a="1"/>
  <c r="QXW3" i="53" a="1"/>
  <c r="FLJ3" i="53" a="1"/>
  <c r="NXC3" i="53" a="1"/>
  <c r="COW3" i="53" a="1"/>
  <c r="OP3" i="53" a="1"/>
  <c r="IYN3" i="53" a="1"/>
  <c r="NNS3" i="53" a="1"/>
  <c r="KNW3" i="53" a="1"/>
  <c r="RNE3" i="53" a="1"/>
  <c r="E128" i="27" a="1"/>
  <c r="E357" i="27" a="1"/>
  <c r="CLY3" i="53" a="1"/>
  <c r="C131" i="27" a="1"/>
  <c r="PNY3" i="53" a="1"/>
  <c r="VWE3" i="53" a="1"/>
  <c r="FNZ3" i="53" a="1"/>
  <c r="OKE3" i="53" a="1"/>
  <c r="WMR3" i="53" a="1"/>
  <c r="VGJ3" i="53" a="1"/>
  <c r="CBX3" i="53" a="1"/>
  <c r="SHQ3" i="53" a="1"/>
  <c r="HLN3" i="53" a="1"/>
  <c r="GVE3" i="53" a="1"/>
  <c r="KSO3" i="53" a="1"/>
  <c r="A3" i="60" a="1"/>
  <c r="ANU3" i="53" a="1"/>
  <c r="FMJ3" i="53" a="1"/>
  <c r="TMN3" i="53" a="1"/>
  <c r="UEU3" i="53" a="1"/>
  <c r="CYQ3" i="53" a="1"/>
  <c r="HVB3" i="53" a="1"/>
  <c r="LXG3" i="53" a="1"/>
  <c r="QRR3" i="53" a="1"/>
  <c r="PIY3" i="53" a="1"/>
  <c r="PYS3" i="53" a="1"/>
  <c r="EYB3" i="53" a="1"/>
  <c r="BQX3" i="53" a="1"/>
  <c r="C193" i="27" a="1"/>
  <c r="BWG3" i="53" a="1"/>
  <c r="C224" i="27" a="1"/>
  <c r="FIY3" i="53" a="1"/>
  <c r="LMT3" i="53" a="1"/>
  <c r="NJM3" i="53" a="1"/>
  <c r="JSF3" i="53" a="1"/>
  <c r="WQI3" i="53" a="1"/>
  <c r="MBN3" i="53" a="1"/>
  <c r="E3" i="46" a="1"/>
  <c r="OZS3" i="53" a="1"/>
  <c r="TYY3" i="53" a="1"/>
  <c r="LDV3" i="53" a="1"/>
  <c r="GCH3" i="53" a="1"/>
  <c r="JMU3" i="53" a="1"/>
  <c r="WHB3" i="53" a="1"/>
  <c r="KHK3" i="53" a="1"/>
  <c r="BZJ3" i="53" a="1"/>
  <c r="DLB3" i="53" a="1"/>
  <c r="WAH3" i="53" a="1"/>
  <c r="HME3" i="53" a="1"/>
  <c r="E252" i="27" a="1"/>
  <c r="UDP3" i="53" a="1"/>
  <c r="JPO3" i="53" a="1"/>
  <c r="TVD3" i="53" a="1"/>
  <c r="FYT3" i="53" a="1"/>
  <c r="MWI3" i="53" a="1"/>
  <c r="ZH3" i="53" a="1"/>
  <c r="WML3" i="53" a="1"/>
  <c r="SOR3" i="53" a="1"/>
  <c r="UYH3" i="53" a="1"/>
  <c r="LSC3" i="53" a="1"/>
  <c r="NPJ3" i="53" a="1"/>
  <c r="F37" i="53" a="1"/>
  <c r="C321" i="27" a="1"/>
  <c r="PBJ3" i="53" a="1"/>
  <c r="XAN3" i="53" a="1"/>
  <c r="HTC3" i="53" a="1"/>
  <c r="DGV3" i="53" a="1"/>
  <c r="GMH3" i="53" a="1"/>
  <c r="KWN3" i="53" a="1"/>
  <c r="JHW3" i="53" a="1"/>
  <c r="WMZ3" i="53" a="1"/>
  <c r="AEW3" i="53" a="1"/>
  <c r="UIR3" i="53" a="1"/>
  <c r="LVL3" i="53" a="1"/>
  <c r="LKD3" i="53" a="1"/>
  <c r="KKN3" i="53" a="1"/>
  <c r="LRL3" i="53" a="1"/>
  <c r="VKJ3" i="53" a="1"/>
  <c r="MXK3" i="53" a="1"/>
  <c r="NSW3" i="53" a="1"/>
  <c r="E7" i="53" a="1"/>
  <c r="BQT3" i="53" a="1"/>
  <c r="QYZ3" i="53" a="1"/>
  <c r="AKW3" i="53" a="1"/>
  <c r="RFN3" i="53" a="1"/>
  <c r="KPF3" i="53" a="1"/>
  <c r="KXU3" i="53" a="1"/>
  <c r="LZD3" i="53" a="1"/>
  <c r="SVR3" i="53" a="1"/>
  <c r="IKA3" i="53" a="1"/>
  <c r="TDB3" i="53" a="1"/>
  <c r="WOS3" i="53" a="1"/>
  <c r="UNG3" i="53" a="1"/>
  <c r="LJF3" i="53" a="1"/>
  <c r="VZG3" i="53" a="1"/>
  <c r="VSZ3" i="53" a="1"/>
  <c r="RVT3" i="53" a="1"/>
  <c r="JRA3" i="53" a="1"/>
  <c r="QKE3" i="53" a="1"/>
  <c r="NDN3" i="53" a="1"/>
  <c r="UWX3" i="53" a="1"/>
  <c r="JOE3" i="53" a="1"/>
  <c r="IHP3" i="53" a="1"/>
  <c r="LMP3" i="53" a="1"/>
  <c r="KHI3" i="53" a="1"/>
  <c r="CHC3" i="53" a="1"/>
  <c r="TUI3" i="53" a="1"/>
  <c r="ILI3" i="53" a="1"/>
  <c r="MXA3" i="53" a="1"/>
  <c r="SMZ3" i="53" a="1"/>
  <c r="JZK3" i="53" a="1"/>
  <c r="NM3" i="53" a="1"/>
  <c r="E397" i="27" a="1"/>
  <c r="MUX3" i="53" a="1"/>
  <c r="TGQ3" i="53" a="1"/>
  <c r="UIO3" i="53" a="1"/>
  <c r="BPX3" i="53" a="1"/>
  <c r="ORB3" i="53" a="1"/>
  <c r="CJQ3" i="53" a="1"/>
  <c r="PIW3" i="53" a="1"/>
  <c r="NSN3" i="53" a="1"/>
  <c r="NDB3" i="53" a="1"/>
  <c r="ANZ3" i="53" a="1"/>
  <c r="TNO3" i="53" a="1"/>
  <c r="NQS3" i="53" a="1"/>
  <c r="WGH3" i="53" a="1"/>
  <c r="UVA3" i="53" a="1"/>
  <c r="UQX3" i="53" a="1"/>
  <c r="GJU3" i="53" a="1"/>
  <c r="CBL3" i="53" a="1"/>
  <c r="ISJ3" i="53" a="1"/>
  <c r="IXS3" i="53" a="1"/>
  <c r="MCC3" i="53" a="1"/>
  <c r="EPP3" i="53" a="1"/>
  <c r="MTA3" i="53" a="1"/>
  <c r="C289" i="27" a="1"/>
  <c r="OEB3" i="53" a="1"/>
  <c r="SKQ3" i="53" a="1"/>
  <c r="PMV3" i="53" a="1"/>
  <c r="ULB3" i="53" a="1"/>
  <c r="KVC3" i="53" a="1"/>
  <c r="ELY3" i="53" a="1"/>
  <c r="HUZ3" i="53" a="1"/>
  <c r="UYI3" i="53" a="1"/>
  <c r="KMZ3" i="53" a="1"/>
  <c r="AJH3" i="53" a="1"/>
  <c r="PWO3" i="53" a="1"/>
  <c r="JJO3" i="53" a="1"/>
  <c r="PKY3" i="53" a="1"/>
  <c r="C3" i="1" a="1"/>
  <c r="SRI3" i="53" a="1"/>
  <c r="IMA3" i="53" a="1"/>
  <c r="BJV3" i="53" a="1"/>
  <c r="RXI3" i="53" a="1"/>
  <c r="WFA3" i="53" a="1"/>
  <c r="MVH3" i="53" a="1"/>
  <c r="QPP3" i="53" a="1"/>
  <c r="SRZ3" i="53" a="1"/>
  <c r="SDJ3" i="53" a="1"/>
  <c r="WRT3" i="53" a="1"/>
  <c r="BNJ3" i="53" a="1"/>
  <c r="RPP3" i="53" a="1"/>
  <c r="LPP3" i="53" a="1"/>
  <c r="FYQ3" i="53" a="1"/>
  <c r="AM3" i="53" a="1"/>
  <c r="BJR3" i="53" a="1"/>
  <c r="OXS3" i="53" a="1"/>
  <c r="NJT3" i="53" a="1"/>
  <c r="BEN3" i="53" a="1"/>
  <c r="QBG3" i="53" a="1"/>
  <c r="VYM3" i="53" a="1"/>
  <c r="VZN3" i="53" a="1"/>
  <c r="LMG3" i="53" a="1"/>
  <c r="KLM3" i="53" a="1"/>
  <c r="JG3" i="53" a="1"/>
  <c r="HLH3" i="53" a="1"/>
  <c r="NHG3" i="53" a="1"/>
  <c r="RRJ3" i="53" a="1"/>
  <c r="TIE3" i="53" a="1"/>
  <c r="CMQ3" i="53" a="1"/>
  <c r="CYZ3" i="53" a="1"/>
  <c r="WYV3" i="53" a="1"/>
  <c r="RSL3" i="53" a="1"/>
  <c r="BVK3" i="53" a="1"/>
  <c r="CHT3" i="53" a="1"/>
  <c r="EXF3" i="53" a="1"/>
  <c r="RRF3" i="53" a="1"/>
  <c r="IJG3" i="53" a="1"/>
  <c r="KQJ3" i="53" a="1"/>
  <c r="RJE3" i="53" a="1"/>
  <c r="KUH3" i="53" a="1"/>
  <c r="RMA3" i="53" a="1"/>
  <c r="BWN3" i="53" a="1"/>
  <c r="SHH3" i="53" a="1"/>
  <c r="MD3" i="53" a="1"/>
  <c r="PRS3" i="53" a="1"/>
  <c r="IXF3" i="53" a="1"/>
  <c r="TDZ3" i="53" a="1"/>
  <c r="FA3" i="53" a="1"/>
  <c r="AJO3" i="53" a="1"/>
  <c r="VSN3" i="53" a="1"/>
  <c r="QLJ3" i="53" a="1"/>
  <c r="XAM3" i="53" a="1"/>
  <c r="LTB3" i="53" a="1"/>
  <c r="RVE3" i="53" a="1"/>
  <c r="KLP3" i="53" a="1"/>
  <c r="CGZ3" i="53" a="1"/>
  <c r="JCE3" i="53" a="1"/>
  <c r="VTT3" i="53" a="1"/>
  <c r="CUL3" i="53" a="1"/>
  <c r="UDF3" i="53" a="1"/>
  <c r="DAY3" i="53" a="1"/>
  <c r="OGY3" i="53" a="1"/>
  <c r="TJW3" i="53" a="1"/>
  <c r="CGS3" i="53" a="1"/>
  <c r="FSW3" i="53" a="1"/>
  <c r="SGC3" i="53" a="1"/>
  <c r="WNK3" i="53" a="1"/>
  <c r="JZR3" i="53" a="1"/>
  <c r="AQE3" i="53" a="1"/>
  <c r="IMC3" i="53" a="1"/>
  <c r="FM3" i="53" a="1"/>
  <c r="GJW3" i="53" a="1"/>
  <c r="KWJ3" i="53" a="1"/>
  <c r="LXU3" i="53" a="1"/>
  <c r="IDP3" i="53" a="1"/>
  <c r="HAT3" i="53" a="1"/>
  <c r="SJE3" i="53" a="1"/>
  <c r="UVO3" i="53" a="1"/>
  <c r="QCY3" i="53" a="1"/>
  <c r="LOW3" i="53" a="1"/>
  <c r="CGP3" i="53" a="1"/>
  <c r="LUQ3" i="53" a="1"/>
  <c r="RP3" i="53" a="1"/>
  <c r="OCY3" i="53" a="1"/>
  <c r="NSF3" i="53" a="1"/>
  <c r="IUB3" i="53" a="1"/>
  <c r="IIH3" i="53" a="1"/>
  <c r="HTY3" i="53" a="1"/>
  <c r="OIE3" i="53" a="1"/>
  <c r="ATT3" i="53" a="1"/>
  <c r="AGB3" i="53" a="1"/>
  <c r="TXN3" i="53" a="1"/>
  <c r="NAG3" i="53" a="1"/>
  <c r="UGE3" i="53" a="1"/>
  <c r="KJ3" i="53" a="1"/>
  <c r="TOG3" i="53" a="1"/>
  <c r="PWP3" i="53" a="1"/>
  <c r="UIL3" i="53" a="1"/>
  <c r="E37" i="4" a="1"/>
  <c r="MQR3" i="53" a="1"/>
  <c r="C256" i="27" a="1"/>
  <c r="WAK3" i="53" a="1"/>
  <c r="CFQ3" i="53" a="1"/>
  <c r="UWE3" i="53" a="1"/>
  <c r="LCK3" i="53" a="1"/>
  <c r="AHJ3" i="53" a="1"/>
  <c r="NTK3" i="53" a="1"/>
  <c r="RYZ3" i="53" a="1"/>
  <c r="MLU3" i="53" a="1"/>
  <c r="QAQ3" i="53" a="1"/>
  <c r="OTJ3" i="53" a="1"/>
  <c r="GDA3" i="53" a="1"/>
  <c r="OVL3" i="53" a="1"/>
  <c r="AFG3" i="53" a="1"/>
  <c r="XEM3" i="53" a="1"/>
  <c r="IGQ3" i="53" a="1"/>
  <c r="TID3" i="53" a="1"/>
  <c r="C305" i="27" a="1"/>
  <c r="NLC3" i="53" a="1"/>
  <c r="KVW3" i="53" a="1"/>
  <c r="FJL3" i="53" a="1"/>
  <c r="KKG3" i="53" a="1"/>
  <c r="EWO3" i="53" a="1"/>
  <c r="WFP3" i="53" a="1"/>
  <c r="NXT3" i="53" a="1"/>
  <c r="UZM3" i="53" a="1"/>
  <c r="JWZ3" i="53" a="1"/>
  <c r="EVD3" i="53" a="1"/>
  <c r="SOX3" i="53" a="1"/>
  <c r="HZ3" i="53" a="1"/>
  <c r="C367" i="27" a="1"/>
  <c r="GIW3" i="53" a="1"/>
  <c r="QUW3" i="53" a="1"/>
  <c r="FQH3" i="53" a="1"/>
  <c r="DAE3" i="53" a="1"/>
  <c r="WHR3" i="53" a="1"/>
  <c r="FLA3" i="53" a="1"/>
  <c r="B3" i="20" a="1"/>
  <c r="ABC3" i="53" a="1"/>
  <c r="EWS3" i="53" a="1"/>
  <c r="OGI3" i="53" a="1"/>
  <c r="CWM3" i="53" a="1"/>
  <c r="TGD3" i="53" a="1"/>
  <c r="DCK3" i="53" a="1"/>
  <c r="GFH3" i="53" a="1"/>
  <c r="UBI3" i="53" a="1"/>
  <c r="CJW3" i="53" a="1"/>
  <c r="VOO3" i="53" a="1"/>
  <c r="JKA3" i="53" a="1"/>
  <c r="TDS3" i="53" a="1"/>
  <c r="MXU3" i="53" a="1"/>
  <c r="GOK3" i="53" a="1"/>
  <c r="AMK3" i="53" a="1"/>
  <c r="EG3" i="53" a="1"/>
  <c r="OWZ3" i="53" a="1"/>
  <c r="LBN3" i="53" a="1"/>
  <c r="FQA3" i="53" a="1"/>
  <c r="FYR3" i="53" a="1"/>
  <c r="LJW3" i="53" a="1"/>
  <c r="ASE3" i="53" a="1"/>
  <c r="NOM3" i="53" a="1"/>
  <c r="IHK3" i="53" a="1"/>
  <c r="E13" i="53" a="1"/>
  <c r="C51" i="53" a="1"/>
  <c r="DAV3" i="53" a="1"/>
  <c r="E3" i="53" a="1"/>
  <c r="THI3" i="53" a="1"/>
  <c r="DWN3" i="53" a="1"/>
  <c r="KMJ3" i="53" a="1"/>
  <c r="HAO3" i="53" a="1"/>
  <c r="AOP3" i="53" a="1"/>
  <c r="GHS3" i="53" a="1"/>
  <c r="PVB3" i="53" a="1"/>
  <c r="LSM3" i="53" a="1"/>
  <c r="FLN3" i="53" a="1"/>
  <c r="GJL3" i="53" a="1"/>
  <c r="AL3" i="53" a="1"/>
  <c r="EQL3" i="53" a="1"/>
  <c r="CBQ3" i="53" a="1"/>
  <c r="OTG3" i="53" a="1"/>
  <c r="ACT3" i="53" a="1"/>
  <c r="OYS3" i="53" a="1"/>
  <c r="DOH3" i="53" a="1"/>
  <c r="AIE3" i="53" a="1"/>
  <c r="DMJ3" i="53" a="1"/>
  <c r="UOJ3" i="53" a="1"/>
  <c r="DKM3" i="53" a="1"/>
  <c r="ERC3" i="53" a="1"/>
  <c r="ULF3" i="53" a="1"/>
  <c r="MAJ3" i="53" a="1"/>
  <c r="GKN3" i="53" a="1"/>
  <c r="SXM3" i="53" a="1"/>
  <c r="KUB3" i="53" a="1"/>
  <c r="LTJ3" i="53" a="1"/>
  <c r="FES3" i="53" a="1"/>
  <c r="KVL3" i="53" a="1"/>
  <c r="OVJ3" i="53" a="1"/>
  <c r="HQO3" i="53" a="1"/>
  <c r="EHR3" i="53" a="1"/>
  <c r="LOD3" i="53" a="1"/>
  <c r="RBI3" i="53" a="1"/>
  <c r="HKK3" i="53" a="1"/>
  <c r="ELZ3" i="53" a="1"/>
  <c r="JM3" i="53" a="1"/>
  <c r="IBR3" i="53" a="1"/>
  <c r="REN3" i="53" a="1"/>
  <c r="HSS3" i="53" a="1"/>
  <c r="WIR3" i="53" a="1"/>
  <c r="NHC3" i="53" a="1"/>
  <c r="RKA3" i="53" a="1"/>
  <c r="UZC3" i="53" a="1"/>
  <c r="PJB3" i="53" a="1"/>
  <c r="IJN3" i="53" a="1"/>
  <c r="KUX3" i="53" a="1"/>
  <c r="EVL3" i="53" a="1"/>
  <c r="KYN3" i="53" a="1"/>
  <c r="DTG3" i="53" a="1"/>
  <c r="JST3" i="53" a="1"/>
  <c r="NTZ3" i="53" a="1"/>
  <c r="HAE3" i="53" a="1"/>
  <c r="CAW3" i="53" a="1"/>
  <c r="LSH3" i="53" a="1"/>
  <c r="KTK3" i="53" a="1"/>
  <c r="DQ3" i="53" a="1"/>
  <c r="WXP3" i="53" a="1"/>
  <c r="EFU3" i="53" a="1"/>
  <c r="SSZ3" i="53" a="1"/>
  <c r="MHW3" i="53" a="1"/>
  <c r="THW3" i="53" a="1"/>
  <c r="SKM3" i="53" a="1"/>
  <c r="C53" i="53" a="1"/>
  <c r="HRJ3" i="53" a="1"/>
  <c r="WTS3" i="53" a="1"/>
  <c r="HPK3" i="53" a="1"/>
  <c r="MHD3" i="53" a="1"/>
  <c r="HA3" i="53" a="1"/>
  <c r="JMK3" i="53" a="1"/>
  <c r="UQW3" i="53" a="1"/>
  <c r="FFK3" i="53" a="1"/>
  <c r="JDC3" i="53" a="1"/>
  <c r="VQV3" i="53" a="1"/>
  <c r="TQE3" i="53" a="1"/>
  <c r="TDG3" i="53" a="1"/>
  <c r="TKV3" i="53" a="1"/>
  <c r="H3" i="1" a="1"/>
  <c r="VDF3" i="53" a="1"/>
  <c r="OUV3" i="53" a="1"/>
  <c r="QEI3" i="53" a="1"/>
  <c r="MYQ3" i="53" a="1"/>
  <c r="WYG3" i="53" a="1"/>
  <c r="IRH3" i="53" a="1"/>
  <c r="UVC3" i="53" a="1"/>
  <c r="BWI3" i="53" a="1"/>
  <c r="ETT3" i="53" a="1"/>
  <c r="DCS3" i="53" a="1"/>
  <c r="SXH3" i="53" a="1"/>
  <c r="EEJ3" i="53" a="1"/>
  <c r="C103" i="27" a="1"/>
  <c r="LPY3" i="53" a="1"/>
  <c r="KCW3" i="53" a="1"/>
  <c r="HCY3" i="53" a="1"/>
  <c r="WKW3" i="53" a="1"/>
  <c r="QKT3" i="53" a="1"/>
  <c r="HOR3" i="53" a="1"/>
  <c r="CCG3" i="53" a="1"/>
  <c r="HAW3" i="53" a="1"/>
  <c r="RGD3" i="53" a="1"/>
  <c r="C120" i="27" a="1"/>
  <c r="C61" i="53" a="1"/>
  <c r="MYX3" i="53" a="1"/>
  <c r="TCT3" i="53" a="1"/>
  <c r="SZY3" i="53" a="1"/>
  <c r="RDU3" i="53" a="1"/>
  <c r="XEH3" i="53" a="1"/>
  <c r="WBK3" i="53" a="1"/>
  <c r="VCQ3" i="53" a="1"/>
  <c r="AIC3" i="53" a="1"/>
  <c r="KSW3" i="53" a="1"/>
  <c r="SJD3" i="53" a="1"/>
  <c r="IMH3" i="53" a="1"/>
  <c r="OOT3" i="53" a="1"/>
  <c r="IOT3" i="53" a="1"/>
  <c r="HLU3" i="53" a="1"/>
  <c r="WQV3" i="53" a="1"/>
  <c r="CUN3" i="53" a="1"/>
  <c r="AGX3" i="53" a="1"/>
  <c r="IRC3" i="53" a="1"/>
  <c r="SQC3" i="53" a="1"/>
  <c r="OTK3" i="53" a="1"/>
  <c r="IFK3" i="53" a="1"/>
  <c r="IXY3" i="53" a="1"/>
  <c r="WFE3" i="53" a="1"/>
  <c r="MQV3" i="53" a="1"/>
  <c r="GSB3" i="53" a="1"/>
  <c r="RSQ3" i="53" a="1"/>
  <c r="IKV3" i="53" a="1"/>
  <c r="CZZ3" i="53" a="1"/>
  <c r="JBS3" i="53" a="1"/>
  <c r="RSA3" i="53" a="1"/>
  <c r="BYJ3" i="53" a="1"/>
  <c r="JZZ3" i="53" a="1"/>
  <c r="WDX3" i="53" a="1"/>
  <c r="KMH3" i="53" a="1"/>
  <c r="QQA3" i="53" a="1"/>
  <c r="SFF3" i="53" a="1"/>
  <c r="KAS3" i="53" a="1"/>
  <c r="INU3" i="53" a="1"/>
  <c r="KLQ3" i="53" a="1"/>
  <c r="ESA3" i="53" a="1"/>
  <c r="EOQ3" i="53" a="1"/>
  <c r="QBS3" i="53" a="1"/>
  <c r="OLH3" i="53" a="1"/>
  <c r="VPX3" i="53" a="1"/>
  <c r="KLR3" i="53" a="1"/>
  <c r="UUK3" i="53" a="1"/>
  <c r="LQZ3" i="53" a="1"/>
  <c r="MQ3" i="53" a="1"/>
  <c r="NKK3" i="53" a="1"/>
  <c r="NEU3" i="53" a="1"/>
  <c r="QOI3" i="53" a="1"/>
  <c r="SSR3" i="53" a="1"/>
  <c r="D3" i="2" a="1"/>
  <c r="TGF3" i="53" a="1"/>
  <c r="HWY3" i="53" a="1"/>
  <c r="DKH3" i="53" a="1"/>
  <c r="BIM3" i="53" a="1"/>
  <c r="E381" i="27" a="1"/>
  <c r="LJL3" i="53" a="1"/>
  <c r="OLW3" i="53" a="1"/>
  <c r="VEN3" i="53" a="1"/>
  <c r="LGM3" i="53" a="1"/>
  <c r="QGT3" i="53" a="1"/>
  <c r="TKW3" i="53" a="1"/>
  <c r="DNB3" i="53" a="1"/>
  <c r="BMA3" i="53" a="1"/>
  <c r="ADR3" i="53" a="1"/>
  <c r="AUO3" i="53" a="1"/>
  <c r="UGD3" i="53" a="1"/>
  <c r="NJU3" i="53" a="1"/>
  <c r="QDD3" i="53" a="1"/>
  <c r="HQ3" i="53" a="1"/>
  <c r="IPI3" i="53" a="1"/>
  <c r="MAR3" i="53" a="1"/>
  <c r="FOM3" i="53" a="1"/>
  <c r="OED3" i="53" a="1"/>
  <c r="JYP3" i="53" a="1"/>
  <c r="FPK3" i="53" a="1"/>
  <c r="KHV3" i="53" a="1"/>
  <c r="FBI3" i="53" a="1"/>
  <c r="DCT3" i="53" a="1"/>
  <c r="PZF3" i="53" a="1"/>
  <c r="TSB3" i="53" a="1"/>
  <c r="IOG3" i="53" a="1"/>
  <c r="XDD3" i="53" a="1"/>
  <c r="DNC3" i="53" a="1"/>
  <c r="FGO3" i="53" a="1"/>
  <c r="PNO3" i="53" a="1"/>
  <c r="C36" i="53" a="1"/>
  <c r="C206" i="27" a="1"/>
  <c r="VTH3" i="53" a="1"/>
  <c r="D3" i="42" a="1"/>
  <c r="VOT3" i="53" a="1"/>
  <c r="HGN3" i="53" a="1"/>
  <c r="OXZ3" i="53" a="1"/>
  <c r="QAW3" i="53" a="1"/>
  <c r="KUW3" i="53" a="1"/>
  <c r="OD3" i="53" a="1"/>
  <c r="C391" i="27" a="1"/>
  <c r="QGJ3" i="53" a="1"/>
  <c r="NHO3" i="53" a="1"/>
  <c r="HUO3" i="53" a="1"/>
  <c r="AA3" i="53" a="1"/>
  <c r="RQF3" i="53" a="1"/>
  <c r="E239" i="27" a="1"/>
  <c r="OVM3" i="53" a="1"/>
  <c r="KTQ3" i="53" a="1"/>
  <c r="SPQ3" i="53" a="1"/>
  <c r="VOR3" i="53" a="1"/>
  <c r="VBW3" i="53" a="1"/>
  <c r="HNI3" i="53" a="1"/>
  <c r="KGD3" i="53" a="1"/>
  <c r="ADB3" i="53" a="1"/>
  <c r="BNT3" i="53" a="1"/>
  <c r="DHG3" i="53" a="1"/>
  <c r="PGH3" i="53" a="1"/>
  <c r="FEZ3" i="53" a="1"/>
  <c r="JDY3" i="53" a="1"/>
  <c r="VML3" i="53" a="1"/>
  <c r="SPH3" i="53" a="1"/>
  <c r="AXW3" i="53" a="1"/>
  <c r="WPK3" i="53" a="1"/>
  <c r="CLK3" i="53" a="1"/>
  <c r="OAZ3" i="53" a="1"/>
  <c r="D3" i="41" a="1"/>
  <c r="ABQ3" i="53" a="1"/>
  <c r="KWO3" i="53" a="1"/>
  <c r="WFI3" i="53" a="1"/>
  <c r="C153" i="27" a="1"/>
  <c r="XB3" i="53" a="1"/>
  <c r="IDY3" i="53" a="1"/>
  <c r="UPV3" i="53" a="1"/>
  <c r="FWA3" i="53" a="1"/>
  <c r="KDM3" i="53" a="1"/>
  <c r="KVK3" i="53" a="1"/>
  <c r="VBO3" i="53" a="1"/>
  <c r="OJT3" i="53" a="1"/>
  <c r="VKT3" i="53" a="1"/>
  <c r="DAN3" i="53" a="1"/>
  <c r="LBE3" i="53" a="1"/>
  <c r="QPQ3" i="53" a="1"/>
  <c r="HJP3" i="53" a="1"/>
  <c r="OVU3" i="53" a="1"/>
  <c r="UOY3" i="53" a="1"/>
  <c r="OMC3" i="53" a="1"/>
  <c r="GBF3" i="53" a="1"/>
  <c r="FQR3" i="53" a="1"/>
  <c r="VHF3" i="53" a="1"/>
  <c r="F15" i="53" a="1"/>
  <c r="ITI3" i="53" a="1"/>
  <c r="XCT3" i="53" a="1"/>
  <c r="ITA3" i="53" a="1"/>
  <c r="XK3" i="53" a="1"/>
  <c r="HTG3" i="53" a="1"/>
  <c r="RIH3" i="53" a="1"/>
  <c r="JPZ3" i="53" a="1"/>
  <c r="EIU3" i="53" a="1"/>
  <c r="KAV3" i="53" a="1"/>
  <c r="LGF3" i="53" a="1"/>
  <c r="JQE3" i="53" a="1"/>
  <c r="AUR3" i="53" a="1"/>
  <c r="DFI3" i="53" a="1"/>
  <c r="RNB3" i="53" a="1"/>
  <c r="TSO3" i="53" a="1"/>
  <c r="QGM3" i="53" a="1"/>
  <c r="OSA3" i="53" a="1"/>
  <c r="NRN3" i="53" a="1"/>
  <c r="CFB3" i="53" a="1"/>
  <c r="AOS3" i="53" a="1"/>
  <c r="PSE3" i="53" a="1"/>
  <c r="MYP3" i="53" a="1"/>
  <c r="GIL3" i="53" a="1"/>
  <c r="LOL3" i="53" a="1"/>
  <c r="JBC3" i="53" a="1"/>
  <c r="KIZ3" i="53" a="1"/>
  <c r="PUR3" i="53" a="1"/>
  <c r="LLO3" i="53" a="1"/>
  <c r="VMS3" i="53" a="1"/>
  <c r="KOJ3" i="53" a="1"/>
  <c r="LGW3" i="53" a="1"/>
  <c r="C292" i="27" a="1"/>
  <c r="SKX3" i="53" a="1"/>
  <c r="ULH3" i="53" a="1"/>
  <c r="KRC3" i="53" a="1"/>
  <c r="NIM3" i="53" a="1"/>
  <c r="FKS3" i="53" a="1"/>
  <c r="FHK3" i="53" a="1"/>
  <c r="AKL3" i="53" a="1"/>
  <c r="GWM3" i="53" a="1"/>
  <c r="D3" i="11" a="1"/>
  <c r="JRU3" i="53" a="1"/>
  <c r="C28" i="27" a="1"/>
  <c r="QAZ3" i="53" a="1"/>
  <c r="IIJ3" i="53" a="1"/>
  <c r="E137" i="27" a="1"/>
  <c r="VDO3" i="53" a="1"/>
  <c r="OOW3" i="53" a="1"/>
  <c r="HTK3" i="53" a="1"/>
  <c r="RGX3" i="53" a="1"/>
  <c r="PIQ3" i="53" a="1"/>
  <c r="C274" i="27" a="1"/>
  <c r="QUA3" i="53" a="1"/>
  <c r="RPG3" i="53" a="1"/>
  <c r="TBM3" i="53" a="1"/>
  <c r="PMG3" i="53" a="1"/>
  <c r="LSE3" i="53" a="1"/>
  <c r="HZE3" i="53" a="1"/>
  <c r="MZR3" i="53" a="1"/>
  <c r="QQS3" i="53" a="1"/>
  <c r="SMX3" i="53" a="1"/>
  <c r="CKW3" i="53" a="1"/>
  <c r="NSV3" i="53" a="1"/>
  <c r="PZD3" i="53" a="1"/>
  <c r="CUF3" i="53" a="1"/>
  <c r="QHO3" i="53" a="1"/>
  <c r="PXK3" i="53" a="1"/>
  <c r="VBU3" i="53" a="1"/>
  <c r="NEH3" i="53" a="1"/>
  <c r="OSI3" i="53" a="1"/>
  <c r="HTR3" i="53" a="1"/>
  <c r="MSC3" i="53" a="1"/>
  <c r="BLB3" i="53" a="1"/>
  <c r="VVL3" i="53" a="1"/>
  <c r="PTG3" i="53" a="1"/>
  <c r="PLW3" i="53" a="1"/>
  <c r="WYU3" i="53" a="1"/>
  <c r="HLX3" i="53" a="1"/>
  <c r="AGR3" i="53" a="1"/>
  <c r="EXV3" i="53" a="1"/>
  <c r="JPL3" i="53" a="1"/>
  <c r="JKY3" i="53" a="1"/>
  <c r="GBS3" i="53" a="1"/>
  <c r="CVS3" i="53" a="1"/>
  <c r="C49" i="53" a="1"/>
  <c r="CNM3" i="53" a="1"/>
  <c r="CQE3" i="53" a="1"/>
  <c r="UUS3" i="53" a="1"/>
  <c r="WST3" i="53" a="1"/>
  <c r="OIR3" i="53" a="1"/>
  <c r="VBV3" i="53" a="1"/>
  <c r="AVP3" i="53" a="1"/>
  <c r="ITZ3" i="53" a="1"/>
  <c r="KCB3" i="53" a="1"/>
  <c r="BZY3" i="53" a="1"/>
  <c r="UAL3" i="53" a="1"/>
  <c r="WNM3" i="53" a="1"/>
  <c r="NB3" i="53" a="1"/>
  <c r="QQL3" i="53" a="1"/>
  <c r="RTK3" i="53" a="1"/>
  <c r="MMG3" i="53" a="1"/>
  <c r="LIB3" i="53" a="1"/>
  <c r="TXF3" i="53" a="1"/>
  <c r="WTX3" i="53" a="1"/>
  <c r="UAC3" i="53" a="1"/>
  <c r="BTQ3" i="53" a="1"/>
  <c r="JHU3" i="53" a="1"/>
  <c r="LRJ3" i="53" a="1"/>
  <c r="JEK3" i="53" a="1"/>
  <c r="BTG3" i="53" a="1"/>
  <c r="THD3" i="53" a="1"/>
  <c r="KCV3" i="53" a="1"/>
  <c r="ADY3" i="53" a="1"/>
  <c r="D3" i="1" a="1"/>
  <c r="ICU3" i="53" a="1"/>
  <c r="TXJ3" i="53" a="1"/>
  <c r="JFK3" i="53" a="1"/>
  <c r="QOC3" i="53" a="1"/>
  <c r="BVX3" i="53" a="1"/>
  <c r="DGT3" i="53" a="1"/>
  <c r="IGM3" i="53" a="1"/>
  <c r="MGE3" i="53" a="1"/>
  <c r="VVI3" i="53" a="1"/>
  <c r="REJ3" i="53" a="1"/>
  <c r="GTC3" i="53" a="1"/>
  <c r="FQU3" i="53" a="1"/>
  <c r="RE3" i="53" a="1"/>
  <c r="MMV3" i="53" a="1"/>
  <c r="OQI3" i="53" a="1"/>
  <c r="AUQ3" i="53" a="1"/>
  <c r="RDD3" i="53" a="1"/>
  <c r="F63" i="53" a="1"/>
  <c r="SRH3" i="53" a="1"/>
  <c r="QLC3" i="53" a="1"/>
  <c r="DBE3" i="53" a="1"/>
  <c r="LUR3" i="53" a="1"/>
  <c r="WNO3" i="53" a="1"/>
  <c r="KSD3" i="53" a="1"/>
  <c r="MEE3" i="53" a="1"/>
  <c r="ONP3" i="53" a="1"/>
  <c r="GDZ3" i="53" a="1"/>
  <c r="KFM3" i="53" a="1"/>
  <c r="CIQ3" i="53" a="1"/>
  <c r="FCF3" i="53" a="1"/>
  <c r="NDC3" i="53" a="1"/>
  <c r="CKF3" i="53" a="1"/>
  <c r="JYZ3" i="53" a="1"/>
  <c r="EVA3" i="53" a="1"/>
  <c r="NKQ3" i="53" a="1"/>
  <c r="CPM3" i="53" a="1"/>
  <c r="INQ3" i="53" a="1"/>
  <c r="LMJ3" i="53" a="1"/>
  <c r="WSA3" i="53" a="1"/>
  <c r="MLV3" i="53" a="1"/>
  <c r="HNW3" i="53" a="1"/>
  <c r="PTU3" i="53" a="1"/>
  <c r="TJN3" i="53" a="1"/>
  <c r="A3" i="46" a="1"/>
  <c r="FGR3" i="53" a="1"/>
  <c r="QFP3" i="53" a="1"/>
  <c r="GDP3" i="53" a="1"/>
  <c r="HPN3" i="53" a="1"/>
  <c r="UEA3" i="53" a="1"/>
  <c r="DXX3" i="53" a="1"/>
  <c r="JXX3" i="53" a="1"/>
  <c r="GWG3" i="53" a="1"/>
  <c r="TQK3" i="53" a="1"/>
  <c r="MXL3" i="53" a="1"/>
  <c r="HPM3" i="53" a="1"/>
  <c r="MHP3" i="53" a="1"/>
  <c r="XBD3" i="53" a="1"/>
  <c r="SAZ3" i="53" a="1"/>
  <c r="C333" i="27" a="1"/>
  <c r="VTU3" i="53" a="1"/>
  <c r="LZH3" i="53" a="1"/>
  <c r="ILH3" i="53" a="1"/>
  <c r="E190" i="27" a="1"/>
  <c r="E230" i="27" a="1"/>
  <c r="OGK3" i="53" a="1"/>
  <c r="MQW3" i="53" a="1"/>
  <c r="EDY3" i="53" a="1"/>
  <c r="C174" i="27" a="1"/>
  <c r="CFY3" i="53" a="1"/>
  <c r="EAW3" i="53" a="1"/>
  <c r="QSB3" i="53" a="1"/>
  <c r="NDH3" i="53" a="1"/>
  <c r="FJI3" i="53" a="1"/>
  <c r="HQX3" i="53" a="1"/>
  <c r="DVS3" i="53" a="1"/>
  <c r="QKW3" i="53" a="1"/>
  <c r="PUL3" i="53" a="1"/>
  <c r="E28" i="53" a="1"/>
  <c r="HLE3" i="53" a="1"/>
  <c r="VYR3" i="53" a="1"/>
  <c r="HNZ3" i="53" a="1"/>
  <c r="FFM3" i="53" a="1"/>
  <c r="CSY3" i="53" a="1"/>
  <c r="PPP3" i="53" a="1"/>
  <c r="AYA3" i="53" a="1"/>
  <c r="SBV3" i="53" a="1"/>
  <c r="JZQ3" i="53" a="1"/>
  <c r="LWB3" i="53" a="1"/>
  <c r="VNG3" i="53" a="1"/>
  <c r="HES3" i="53" a="1"/>
  <c r="FNS3" i="53" a="1"/>
  <c r="LEM3" i="53" a="1"/>
  <c r="ARU3" i="53" a="1"/>
  <c r="C8" i="27" a="1"/>
  <c r="MIW3" i="53" a="1"/>
  <c r="EPM3" i="53" a="1"/>
  <c r="OEH3" i="53" a="1"/>
  <c r="OWN3" i="53" a="1"/>
  <c r="BEL3" i="53" a="1"/>
  <c r="LQG3" i="53" a="1"/>
  <c r="GMG3" i="53" a="1"/>
  <c r="HFU3" i="53" a="1"/>
  <c r="VW3" i="53" a="1"/>
  <c r="KRM3" i="53" a="1"/>
  <c r="B3" i="62" a="1"/>
  <c r="HWV3" i="53" a="1"/>
  <c r="RXP3" i="53" a="1"/>
  <c r="HXM3" i="53" a="1"/>
  <c r="KQA3" i="53" a="1"/>
  <c r="ROI3" i="53" a="1"/>
  <c r="JNG3" i="53" a="1"/>
  <c r="SAK3" i="53" a="1"/>
  <c r="ISX3" i="53" a="1"/>
  <c r="CTX3" i="53" a="1"/>
  <c r="OEP3" i="53" a="1"/>
  <c r="XBU3" i="53" a="1"/>
  <c r="OIG3" i="53" a="1"/>
  <c r="VPJ3" i="53" a="1"/>
  <c r="PWJ3" i="53" a="1"/>
  <c r="EOO3" i="53" a="1"/>
  <c r="DVZ3" i="53" a="1"/>
  <c r="UKM3" i="53" a="1"/>
  <c r="AKC3" i="53" a="1"/>
  <c r="EMA3" i="53" a="1"/>
  <c r="TYH3" i="53" a="1"/>
  <c r="PY3" i="53" a="1"/>
  <c r="MYM3" i="53" a="1"/>
  <c r="R3" i="53" a="1"/>
  <c r="TLY3" i="53" a="1"/>
  <c r="EKQ3" i="53" a="1"/>
  <c r="WM3" i="53" a="1"/>
  <c r="NQJ3" i="53" a="1"/>
  <c r="FNN3" i="53" a="1"/>
  <c r="WZF3" i="53" a="1"/>
  <c r="PMU3" i="53" a="1"/>
  <c r="GPX3" i="53" a="1"/>
  <c r="HSW3" i="53" a="1"/>
  <c r="RG3" i="53" a="1"/>
  <c r="MLK3" i="53" a="1"/>
  <c r="UYW3" i="53" a="1"/>
  <c r="PAZ3" i="53" a="1"/>
  <c r="C272" i="27" a="1"/>
  <c r="LEA3" i="53" a="1"/>
  <c r="PWL3" i="53" a="1"/>
  <c r="QQH3" i="53" a="1"/>
  <c r="NEZ3" i="53" a="1"/>
  <c r="OUI3" i="53" a="1"/>
  <c r="RBE3" i="53" a="1"/>
  <c r="UNI3" i="53" a="1"/>
  <c r="EDB3" i="53" a="1"/>
  <c r="BNM3" i="53" a="1"/>
  <c r="OC3" i="53" a="1"/>
  <c r="JFC3" i="53" a="1"/>
  <c r="HRC3" i="53" a="1"/>
  <c r="QLZ3" i="53" a="1"/>
  <c r="HQG3" i="53" a="1"/>
  <c r="FFS3" i="53" a="1"/>
  <c r="MDQ3" i="53" a="1"/>
  <c r="GAZ3" i="53" a="1"/>
  <c r="NOS3" i="53" a="1"/>
  <c r="OPQ3" i="53" a="1"/>
  <c r="ARN3" i="53" a="1"/>
  <c r="BDY3" i="53" a="1"/>
  <c r="LQU3" i="53" a="1"/>
  <c r="LVJ3" i="53" a="1"/>
  <c r="CNW3" i="53" a="1"/>
  <c r="RNN3" i="53" a="1"/>
  <c r="GYC3" i="53" a="1"/>
  <c r="VZR3" i="53" a="1"/>
  <c r="IFX3" i="53" a="1"/>
  <c r="RDM3" i="53" a="1"/>
  <c r="FAZ3" i="53" a="1"/>
  <c r="BMR3" i="53" a="1"/>
  <c r="JWU3" i="53" a="1"/>
  <c r="KCD3" i="53" a="1"/>
  <c r="CRP3" i="53" a="1"/>
  <c r="PQQ3" i="53" a="1"/>
  <c r="CBG3" i="53" a="1"/>
  <c r="ORC3" i="53" a="1"/>
  <c r="HIN3" i="53" a="1"/>
  <c r="DQY3" i="53" a="1"/>
  <c r="GVO3" i="53" a="1"/>
  <c r="JQJ3" i="53" a="1"/>
  <c r="QBY3" i="53" a="1"/>
  <c r="ACY3" i="53" a="1"/>
  <c r="VSJ3" i="53" a="1"/>
  <c r="E19" i="27" a="1"/>
  <c r="FRX3" i="53" a="1"/>
  <c r="LTI3" i="53" a="1"/>
  <c r="SZQ3" i="53" a="1"/>
  <c r="SZM3" i="53" a="1"/>
  <c r="E54" i="53" a="1"/>
  <c r="E314" i="27" a="1"/>
  <c r="WQT3" i="53" a="1"/>
  <c r="CAT3" i="53" a="1"/>
  <c r="HDR3" i="53" a="1"/>
  <c r="LMU3" i="53" a="1"/>
  <c r="C275" i="27" a="1"/>
  <c r="KCA3" i="53" a="1"/>
  <c r="EJB3" i="53" a="1"/>
  <c r="UPA3" i="53" a="1"/>
  <c r="KAN3" i="53" a="1"/>
  <c r="JLU3" i="53" a="1"/>
  <c r="NKX3" i="53" a="1"/>
  <c r="VJM3" i="53" a="1"/>
  <c r="EMR3" i="53" a="1"/>
  <c r="SMD3" i="53" a="1"/>
  <c r="VKF3" i="53" a="1"/>
  <c r="MPD3" i="53" a="1"/>
  <c r="ECC3" i="53" a="1"/>
  <c r="KNJ3" i="53" a="1"/>
  <c r="QBA3" i="53" a="1"/>
  <c r="ODX3" i="53" a="1"/>
  <c r="WBD3" i="53" a="1"/>
  <c r="HDP3" i="53" a="1"/>
  <c r="NXJ3" i="53" a="1"/>
  <c r="UFM3" i="53" a="1"/>
  <c r="BQJ3" i="53" a="1"/>
  <c r="IHX3" i="53" a="1"/>
  <c r="NDX3" i="53" a="1"/>
  <c r="CIZ3" i="53" a="1"/>
  <c r="TUD3" i="53" a="1"/>
  <c r="LPB3" i="53" a="1"/>
  <c r="C143" i="27" a="1"/>
  <c r="TXZ3" i="53" a="1"/>
  <c r="IMW3" i="53" a="1"/>
  <c r="CAZ3" i="53" a="1"/>
  <c r="FSU3" i="53" a="1"/>
  <c r="CMT3" i="53" a="1"/>
  <c r="NBH3" i="53" a="1"/>
  <c r="CTG3" i="53" a="1"/>
  <c r="UUH3" i="53" a="1"/>
  <c r="IRA3" i="53" a="1"/>
  <c r="IWU3" i="53" a="1"/>
  <c r="HF3" i="53" a="1"/>
  <c r="ORP3" i="53" a="1"/>
  <c r="FNI3" i="53" a="1"/>
  <c r="DKF3" i="53" a="1"/>
  <c r="FQM3" i="53" a="1"/>
  <c r="GQE3" i="53" a="1"/>
  <c r="NMF3" i="53" a="1"/>
  <c r="I3" i="40" a="1"/>
  <c r="D3" i="53" a="1"/>
  <c r="QXR3" i="53" a="1"/>
  <c r="BBH3" i="53" a="1"/>
  <c r="ICJ3" i="53" a="1"/>
  <c r="VYT3" i="53" a="1"/>
  <c r="ICN3" i="53" a="1"/>
  <c r="HN3" i="53" a="1"/>
  <c r="DSO3" i="53" a="1"/>
  <c r="ELN3" i="53" a="1"/>
  <c r="DUY3" i="53" a="1"/>
  <c r="QHN3" i="53" a="1"/>
  <c r="AGC3" i="53" a="1"/>
  <c r="FNP3" i="53" a="1"/>
  <c r="CVJ3" i="53" a="1"/>
  <c r="LLR3" i="53" a="1"/>
  <c r="BUG3" i="53" a="1"/>
  <c r="FOU3" i="53" a="1"/>
  <c r="ESU3" i="53" a="1"/>
  <c r="LNF3" i="53" a="1"/>
  <c r="FEE3" i="53" a="1"/>
  <c r="GGC3" i="53" a="1"/>
  <c r="NXP3" i="53" a="1"/>
  <c r="JVX3" i="53" a="1"/>
  <c r="ACS3" i="53" a="1"/>
  <c r="XCE3" i="53" a="1"/>
  <c r="KKC3" i="53" a="1"/>
  <c r="OEZ3" i="53" a="1"/>
  <c r="EYJ3" i="53" a="1"/>
  <c r="SSB3" i="53" a="1"/>
  <c r="THE3" i="53" a="1"/>
  <c r="NGU3" i="53" a="1"/>
  <c r="PFJ3" i="53" a="1"/>
  <c r="QRA3" i="53" a="1"/>
  <c r="BBX3" i="53" a="1"/>
  <c r="B3" i="49" a="1"/>
  <c r="CGX3" i="53" a="1"/>
  <c r="GXB3" i="53" a="1"/>
  <c r="SHS3" i="53" a="1"/>
  <c r="WHK3" i="53" a="1"/>
  <c r="OFD3" i="53" a="1"/>
  <c r="GXH3" i="53" a="1"/>
  <c r="OUQ3" i="53" a="1"/>
  <c r="UYL3" i="53" a="1"/>
  <c r="FRL3" i="53" a="1"/>
  <c r="VUY3" i="53" a="1"/>
  <c r="BGT3" i="53" a="1"/>
  <c r="ULS3" i="53" a="1"/>
  <c r="LQE3" i="53" a="1"/>
  <c r="C67" i="53" a="1"/>
  <c r="HBX3" i="53" a="1"/>
  <c r="QME3" i="53" a="1"/>
  <c r="OCS3" i="53" a="1"/>
  <c r="DWE3" i="53" a="1"/>
  <c r="KFH3" i="53" a="1"/>
  <c r="SKN3" i="53" a="1"/>
  <c r="HQC3" i="53" a="1"/>
  <c r="C154" i="27" a="1"/>
  <c r="QXI3" i="53" a="1"/>
  <c r="IXT3" i="53" a="1"/>
  <c r="TAE3" i="53" a="1"/>
  <c r="MGR3" i="53" a="1"/>
  <c r="NBL3" i="53" a="1"/>
  <c r="FLK3" i="53" a="1"/>
  <c r="BWR3" i="53" a="1"/>
  <c r="NCK3" i="53" a="1"/>
  <c r="PQT3" i="53" a="1"/>
  <c r="FSF3" i="53" a="1"/>
  <c r="FZ3" i="53" a="1"/>
  <c r="DFY3" i="53" a="1"/>
  <c r="PHG3" i="53" a="1"/>
  <c r="JSC3" i="53" a="1"/>
  <c r="C18" i="27" a="1"/>
  <c r="NSA3" i="53" a="1"/>
  <c r="HVA3" i="53" a="1"/>
  <c r="IZI3" i="53" a="1"/>
  <c r="BTV3" i="53" a="1"/>
  <c r="D3" i="14" a="1"/>
  <c r="UDH3" i="53" a="1"/>
  <c r="VFQ3" i="53" a="1"/>
  <c r="LZW3" i="53" a="1"/>
  <c r="RCP3" i="53" a="1"/>
  <c r="VFT3" i="53" a="1"/>
  <c r="IJY3" i="53" a="1"/>
  <c r="C26" i="53" a="1"/>
  <c r="NAW3" i="53" a="1"/>
  <c r="QDA3" i="53" a="1"/>
  <c r="NIB3" i="53" a="1"/>
  <c r="QCT3" i="53" a="1"/>
  <c r="CWF3" i="53" a="1"/>
  <c r="PCT3" i="53" a="1"/>
  <c r="TIB3" i="53" a="1"/>
  <c r="DZC3" i="53" a="1"/>
  <c r="EOF3" i="53" a="1"/>
  <c r="RSE3" i="53" a="1"/>
  <c r="VAJ3" i="53" a="1"/>
  <c r="FQZ3" i="53" a="1"/>
  <c r="CZJ3" i="53" a="1"/>
  <c r="RLC3" i="53" a="1"/>
  <c r="BWS3" i="53" a="1"/>
  <c r="IGN3" i="53" a="1"/>
  <c r="RMT3" i="53" a="1"/>
  <c r="RQG3" i="53" a="1"/>
  <c r="CEK3" i="53" a="1"/>
  <c r="TFO3" i="53" a="1"/>
  <c r="PTI3" i="53" a="1"/>
  <c r="L3" i="47" a="1"/>
  <c r="OPB3" i="53" a="1"/>
  <c r="WJV3" i="53" a="1"/>
  <c r="ATQ3" i="53" a="1"/>
  <c r="TIV3" i="53" a="1"/>
  <c r="UHI3" i="53" a="1"/>
  <c r="OHS3" i="53" a="1"/>
  <c r="JJU3" i="53" a="1"/>
  <c r="RWI3" i="53" a="1"/>
  <c r="TD3" i="53" a="1"/>
  <c r="IZC3" i="53" a="1"/>
  <c r="VZS3" i="53" a="1"/>
  <c r="IAC3" i="53" a="1"/>
  <c r="BTY3" i="53" a="1"/>
  <c r="EFW3" i="53" a="1"/>
  <c r="A3" i="41" a="1"/>
  <c r="C3" i="2" a="1"/>
  <c r="SNW3" i="53" a="1"/>
  <c r="SMM3" i="53" a="1"/>
  <c r="ECN3" i="53" a="1"/>
  <c r="PHT3" i="53" a="1"/>
  <c r="WQA3" i="53" a="1"/>
  <c r="WKZ3" i="53" a="1"/>
  <c r="SUI3" i="53" a="1"/>
  <c r="TIL3" i="53" a="1"/>
  <c r="FUU3" i="53" a="1"/>
  <c r="VB3" i="53" a="1"/>
  <c r="OVT3" i="53" a="1"/>
  <c r="CIO3" i="53" a="1"/>
  <c r="PKO3" i="53" a="1"/>
  <c r="HJH3" i="53" a="1"/>
  <c r="LYM3" i="53" a="1"/>
  <c r="SNV3" i="53" a="1"/>
  <c r="WLR3" i="53" a="1"/>
  <c r="PWN3" i="53" a="1"/>
  <c r="EPY3" i="53" a="1"/>
  <c r="MEL3" i="53" a="1"/>
  <c r="IBO3" i="53" a="1"/>
  <c r="LLX3" i="53" a="1"/>
  <c r="PVU3" i="53" a="1"/>
  <c r="KBL3" i="53" a="1"/>
  <c r="WLT3" i="53" a="1"/>
  <c r="QDK3" i="53" a="1"/>
  <c r="EWD3" i="53" a="1"/>
  <c r="XAH3" i="53" a="1"/>
  <c r="HQS3" i="53" a="1"/>
  <c r="OCM3" i="53" a="1"/>
  <c r="WSH3" i="53" a="1"/>
  <c r="PED3" i="53" a="1"/>
  <c r="GAE3" i="53" a="1"/>
  <c r="EUY3" i="53" a="1"/>
  <c r="ORK3" i="53" a="1"/>
  <c r="BRL3" i="53" a="1"/>
  <c r="MRL3" i="53" a="1"/>
  <c r="TDX3" i="53" a="1"/>
  <c r="QAU3" i="53" a="1"/>
  <c r="BDP3" i="53" a="1"/>
  <c r="UMW3" i="53" a="1"/>
  <c r="DEB3" i="53" a="1"/>
  <c r="HGP3" i="53" a="1"/>
  <c r="E3" i="28" a="1"/>
  <c r="WJI3" i="53" a="1"/>
  <c r="DFT3" i="53" a="1"/>
  <c r="C11" i="53" a="1"/>
  <c r="EIY3" i="53" a="1"/>
  <c r="WDK3" i="53" a="1"/>
  <c r="CYB3" i="53" a="1"/>
  <c r="C123" i="27" a="1"/>
  <c r="C14" i="27" a="1"/>
  <c r="FHL3" i="53" a="1"/>
  <c r="DTR3" i="53" a="1"/>
  <c r="TQO3" i="53" a="1"/>
  <c r="C29" i="53" a="1"/>
  <c r="C10" i="27" a="1"/>
  <c r="MVJ3" i="53" a="1"/>
  <c r="E8" i="27" a="1"/>
  <c r="MBQ3" i="53" a="1"/>
  <c r="NHT3" i="53" a="1"/>
  <c r="OJL3" i="53" a="1"/>
  <c r="UVM3" i="53" a="1"/>
  <c r="VEB3" i="53" a="1"/>
  <c r="E20" i="53" a="1"/>
  <c r="CXX3" i="53" a="1"/>
  <c r="MFI3" i="53" a="1"/>
  <c r="PAJ3" i="53" a="1"/>
  <c r="E250" i="27" a="1"/>
  <c r="FXG3" i="53" a="1"/>
  <c r="IJR3" i="53" a="1"/>
  <c r="AJX3" i="53" a="1"/>
  <c r="TVP3" i="53" a="1"/>
  <c r="TYC3" i="53" a="1"/>
  <c r="HXZ3" i="53" a="1"/>
  <c r="LCL3" i="53" a="1"/>
  <c r="JO3" i="53" a="1"/>
  <c r="DIJ3" i="53" a="1"/>
  <c r="MWO3" i="53" a="1"/>
  <c r="QJI3" i="53" a="1"/>
  <c r="VFK3" i="53" a="1"/>
  <c r="UVQ3" i="53" a="1"/>
  <c r="MRA3" i="53" a="1"/>
  <c r="HRO3" i="53" a="1"/>
  <c r="DYX3" i="53" a="1"/>
  <c r="JPE3" i="53" a="1"/>
  <c r="TIR3" i="53" a="1"/>
  <c r="HPA3" i="53" a="1"/>
  <c r="ERT3" i="53" a="1"/>
  <c r="D3" i="7" a="1"/>
  <c r="LMH3" i="53" a="1"/>
  <c r="GQY3" i="53" a="1"/>
  <c r="XFA3" i="53" a="1"/>
  <c r="HIQ3" i="53" a="1"/>
  <c r="CCS3" i="53" a="1"/>
  <c r="ENN3" i="53" a="1"/>
  <c r="FUB3" i="53" a="1"/>
  <c r="VES3" i="53" a="1"/>
  <c r="RWV3" i="53" a="1"/>
  <c r="LGO3" i="53" a="1"/>
  <c r="KLY3" i="53" a="1"/>
  <c r="UNZ3" i="53" a="1"/>
  <c r="LJX3" i="53" a="1"/>
  <c r="GYM3" i="53" a="1"/>
  <c r="FOP3" i="53" a="1"/>
  <c r="H3" i="5" a="1"/>
  <c r="PE3" i="53" a="1"/>
  <c r="DFC3" i="53" a="1"/>
  <c r="KSJ3" i="53" a="1"/>
  <c r="KID3" i="53" a="1"/>
  <c r="HLW3" i="53" a="1"/>
  <c r="AEU3" i="53" a="1"/>
  <c r="GOU3" i="53" a="1"/>
  <c r="NEN3" i="53" a="1"/>
  <c r="TTB3" i="53" a="1"/>
  <c r="LCG3" i="53" a="1"/>
  <c r="PIK3" i="53" a="1"/>
  <c r="LWR3" i="53" a="1"/>
  <c r="F9" i="53" a="1"/>
  <c r="VLW3" i="53" a="1"/>
  <c r="TLN3" i="53" a="1"/>
  <c r="FUO3" i="53" a="1"/>
  <c r="HEJ3" i="53" a="1"/>
  <c r="XBY3" i="53" a="1"/>
  <c r="ME3" i="53" a="1"/>
  <c r="MHE3" i="53" a="1"/>
  <c r="CAG3" i="53" a="1"/>
  <c r="MET3" i="53" a="1"/>
  <c r="DJJ3" i="53" a="1"/>
  <c r="VSI3" i="53" a="1"/>
  <c r="WEQ3" i="53" a="1"/>
  <c r="WUW3" i="53" a="1"/>
  <c r="GDS3" i="53" a="1"/>
  <c r="MMH3" i="53" a="1"/>
  <c r="WVR3" i="53" a="1"/>
  <c r="DLE3" i="53" a="1"/>
  <c r="ODC3" i="53" a="1"/>
  <c r="VCX3" i="53" a="1"/>
  <c r="EOH3" i="53" a="1"/>
  <c r="JFX3" i="53" a="1"/>
  <c r="QHH3" i="53" a="1"/>
  <c r="DBU3" i="53" a="1"/>
  <c r="ENR3" i="53" a="1"/>
  <c r="AJG3" i="53" a="1"/>
  <c r="HFY3" i="53" a="1"/>
  <c r="KXV3" i="53" a="1"/>
  <c r="MUC3" i="53" a="1"/>
  <c r="FHB3" i="53" a="1"/>
  <c r="FVP3" i="53" a="1"/>
  <c r="BZU3" i="53" a="1"/>
  <c r="HI3" i="53" a="1"/>
  <c r="MAD3" i="53" a="1"/>
  <c r="JFH3" i="53" a="1"/>
  <c r="B3" i="1" a="1"/>
  <c r="UCX3" i="53" a="1"/>
  <c r="CPB3" i="53" a="1"/>
  <c r="WAX3" i="53" a="1"/>
  <c r="QKI3" i="53" a="1"/>
  <c r="DHS3" i="53" a="1"/>
  <c r="KXQ3" i="53" a="1"/>
  <c r="SCD3" i="53" a="1"/>
  <c r="SJC3" i="53" a="1"/>
  <c r="MHZ3" i="53" a="1"/>
  <c r="MG3" i="53" a="1"/>
  <c r="AAH3" i="53" a="1"/>
  <c r="FZM3" i="53" a="1"/>
  <c r="WGR3" i="53" a="1"/>
  <c r="BHZ3" i="53" a="1"/>
  <c r="YT3" i="53" a="1"/>
  <c r="IOM3" i="53" a="1"/>
  <c r="CDN3" i="53" a="1"/>
  <c r="LFE3" i="53" a="1"/>
  <c r="LHW3" i="53" a="1"/>
  <c r="VJD3" i="53" a="1"/>
  <c r="LBJ3" i="53" a="1"/>
  <c r="KVT3" i="53" a="1"/>
  <c r="UJK3" i="53" a="1"/>
  <c r="VQJ3" i="53" a="1"/>
  <c r="HNQ3" i="53" a="1"/>
  <c r="FFR3" i="53" a="1"/>
  <c r="U3" i="53" a="1"/>
  <c r="C212" i="27" a="1"/>
  <c r="C248" i="27" a="1"/>
  <c r="C132" i="27" a="1"/>
  <c r="UDK3" i="53" a="1"/>
  <c r="PRK3" i="53" a="1"/>
  <c r="XES3" i="53" a="1"/>
  <c r="LYU3" i="53" a="1"/>
  <c r="DNN3" i="53" a="1"/>
  <c r="HG3" i="53" a="1"/>
  <c r="TPV3" i="53" a="1"/>
  <c r="PQO3" i="53" a="1"/>
  <c r="EWW3" i="53" a="1"/>
  <c r="XDA3" i="53" a="1"/>
  <c r="C21" i="27" a="1"/>
  <c r="SPC3" i="53" a="1"/>
  <c r="GRV3" i="53" a="1"/>
  <c r="QZI3" i="53" a="1"/>
  <c r="UNO3" i="53" a="1"/>
  <c r="QLO3" i="53" a="1"/>
  <c r="DPO3" i="53" a="1"/>
  <c r="A3" i="5" a="1"/>
  <c r="UOK3" i="53" a="1"/>
  <c r="XEC3" i="53" a="1"/>
  <c r="CFO3" i="53" a="1"/>
  <c r="UDL3" i="53" a="1"/>
  <c r="LJR3" i="53" a="1"/>
  <c r="BYC3" i="53" a="1"/>
  <c r="EBD3" i="53" a="1"/>
  <c r="WPZ3" i="53" a="1"/>
  <c r="NXN3" i="53" a="1"/>
  <c r="IKY3" i="53" a="1"/>
  <c r="TNC3" i="53" a="1"/>
  <c r="PZG3" i="53" a="1"/>
  <c r="HJQ3" i="53" a="1"/>
  <c r="LIN3" i="53" a="1"/>
  <c r="MDR3" i="53" a="1"/>
  <c r="SWL3" i="53" a="1"/>
  <c r="MLL3" i="53" a="1"/>
  <c r="HYZ3" i="53" a="1"/>
  <c r="SNM3" i="53" a="1"/>
  <c r="NVM3" i="53" a="1"/>
  <c r="JKD3" i="53" a="1"/>
  <c r="VHZ3" i="53" a="1"/>
  <c r="GKE3" i="53" a="1"/>
  <c r="DOZ3" i="53" a="1"/>
  <c r="NKL3" i="53" a="1"/>
  <c r="AFM3" i="53" a="1"/>
  <c r="OLA3" i="53" a="1"/>
  <c r="MMI3" i="53" a="1"/>
  <c r="NUR3" i="53" a="1"/>
  <c r="OLP3" i="53" a="1"/>
  <c r="WPU3" i="53" a="1"/>
  <c r="UTN3" i="53" a="1"/>
  <c r="CVA3" i="53" a="1"/>
  <c r="JRN3" i="53" a="1"/>
  <c r="NFQ3" i="53" a="1"/>
  <c r="KRQ3" i="53" a="1"/>
  <c r="QQG3" i="53" a="1"/>
  <c r="RTG3" i="53" a="1"/>
  <c r="TCY3" i="53" a="1"/>
  <c r="PMS3" i="53" a="1"/>
  <c r="UHS3" i="53" a="1"/>
  <c r="ATA3" i="53" a="1"/>
  <c r="JIN3" i="53" a="1"/>
  <c r="LXJ3" i="53" a="1"/>
  <c r="ORD3" i="53" a="1"/>
  <c r="EZA3" i="53" a="1"/>
  <c r="MJQ3" i="53" a="1"/>
  <c r="MVE3" i="53" a="1"/>
  <c r="E17" i="27" a="1"/>
  <c r="ENC3" i="53" a="1"/>
  <c r="PGG3" i="53" a="1"/>
  <c r="JFQ3" i="53" a="1"/>
  <c r="ESR3" i="53" a="1"/>
  <c r="GTP3" i="53" a="1"/>
  <c r="SCT3" i="53" a="1"/>
  <c r="QQP3" i="53" a="1"/>
  <c r="GKX3" i="53" a="1"/>
  <c r="E19" i="31" a="1"/>
  <c r="FJA3" i="53" a="1"/>
  <c r="KUK3" i="53" a="1"/>
  <c r="TWF3" i="53" a="1"/>
  <c r="HHP3" i="53" a="1"/>
  <c r="OUF3" i="53" a="1"/>
  <c r="GNH3" i="53" a="1"/>
  <c r="MVW3" i="53" a="1"/>
  <c r="BLY3" i="53" a="1"/>
  <c r="NQK3" i="53" a="1"/>
  <c r="HLY3" i="53" a="1"/>
  <c r="HXY3" i="53" a="1"/>
  <c r="WMS3" i="53" a="1"/>
  <c r="A3" i="14" a="1"/>
  <c r="OSW3" i="53" a="1"/>
  <c r="EDS3" i="53" a="1"/>
  <c r="QMV3" i="53" a="1"/>
  <c r="UDN3" i="53" a="1"/>
  <c r="PQV3" i="53" a="1"/>
  <c r="EDU3" i="53" a="1"/>
  <c r="HXS3" i="53" a="1"/>
  <c r="GDI3" i="53" a="1"/>
  <c r="QID3" i="53" a="1"/>
  <c r="C42" i="53" a="1"/>
  <c r="WRX3" i="53" a="1"/>
  <c r="AOX3" i="53" a="1"/>
  <c r="HYV3" i="53" a="1"/>
  <c r="NBK3" i="53" a="1"/>
  <c r="KWA3" i="53" a="1"/>
  <c r="XBB3" i="53" a="1"/>
  <c r="IOX3" i="53" a="1"/>
  <c r="QWL3" i="53" a="1"/>
  <c r="JZU3" i="53" a="1"/>
  <c r="VOQ3" i="53" a="1"/>
  <c r="CZS3" i="53" a="1"/>
  <c r="KDK3" i="53" a="1"/>
  <c r="DUG3" i="53" a="1"/>
  <c r="MZP3" i="53" a="1"/>
  <c r="NFG3" i="53" a="1"/>
  <c r="WOU3" i="53" a="1"/>
  <c r="AP3" i="53" a="1"/>
  <c r="PRO3" i="53" a="1"/>
  <c r="WAI3" i="53" a="1"/>
  <c r="TWR3" i="53" a="1"/>
  <c r="DCV3" i="53" a="1"/>
  <c r="PSO3" i="53" a="1"/>
  <c r="ULR3" i="53" a="1"/>
  <c r="DMI3" i="53" a="1"/>
  <c r="IWG3" i="53" a="1"/>
  <c r="UVL3" i="53" a="1"/>
  <c r="MUQ3" i="53" a="1"/>
  <c r="SMP3" i="53" a="1"/>
  <c r="MKT3" i="53" a="1"/>
  <c r="E53" i="27" a="1"/>
  <c r="SRP3" i="53" a="1"/>
  <c r="BXQ3" i="53" a="1"/>
  <c r="WWI3" i="53" a="1"/>
  <c r="FXF3" i="53" a="1"/>
  <c r="BSG3" i="53" a="1"/>
  <c r="OQN3" i="53" a="1"/>
  <c r="CMC3" i="53" a="1"/>
  <c r="MJV3" i="53" a="1"/>
  <c r="C228" i="27" a="1"/>
  <c r="SGO3" i="53" a="1"/>
  <c r="RNL3" i="53" a="1"/>
  <c r="GUS3" i="53" a="1"/>
  <c r="TJI3" i="53" a="1"/>
  <c r="C98" i="27" a="1"/>
  <c r="LPT3" i="53" a="1"/>
  <c r="EIV3" i="53" a="1"/>
  <c r="WPL3" i="53" a="1"/>
  <c r="GEY3" i="53" a="1"/>
  <c r="KXG3" i="53" a="1"/>
  <c r="IAR3" i="53" a="1"/>
  <c r="WZO3" i="53" a="1"/>
  <c r="EOU3" i="53" a="1"/>
  <c r="PBA3" i="53" a="1"/>
  <c r="LGK3" i="53" a="1"/>
  <c r="ISF3" i="53" a="1"/>
  <c r="BKD3" i="53" a="1"/>
  <c r="PVX3" i="53" a="1"/>
  <c r="HJX3" i="53" a="1"/>
  <c r="CAY3" i="53" a="1"/>
  <c r="WVQ3" i="53" a="1"/>
  <c r="DRE3" i="53" a="1"/>
  <c r="MZK3" i="53" a="1"/>
  <c r="LCP3" i="53" a="1"/>
  <c r="CTF3" i="53" a="1"/>
  <c r="LZG3" i="53" a="1"/>
  <c r="HLB3" i="53" a="1"/>
  <c r="KIO3" i="53" a="1"/>
  <c r="TTQ3" i="53" a="1"/>
  <c r="UAO3" i="53" a="1"/>
  <c r="GWW3" i="53" a="1"/>
  <c r="KBS3" i="53" a="1"/>
  <c r="LLB3" i="53" a="1"/>
  <c r="JGK3" i="53" a="1"/>
  <c r="JOD3" i="53" a="1"/>
  <c r="CPG3" i="53" a="1"/>
  <c r="TZL3" i="53" a="1"/>
  <c r="WUS3" i="53" a="1"/>
  <c r="PMX3" i="53" a="1"/>
  <c r="NVE3" i="53" a="1"/>
  <c r="TKR3" i="53" a="1"/>
  <c r="LMZ3" i="53" a="1"/>
  <c r="CWA3" i="53" a="1"/>
  <c r="VEM3" i="53" a="1"/>
  <c r="AXU3" i="53" a="1"/>
  <c r="UND3" i="53" a="1"/>
  <c r="AAW3" i="53" a="1"/>
  <c r="MJL3" i="53" a="1"/>
  <c r="SF3" i="53" a="1"/>
  <c r="TXL3" i="53" a="1"/>
  <c r="NDP3" i="53" a="1"/>
  <c r="GBD3" i="53" a="1"/>
  <c r="BIU3" i="53" a="1"/>
  <c r="JI3" i="53" a="1"/>
  <c r="KKH3" i="53" a="1"/>
  <c r="C79" i="27" a="1"/>
  <c r="F58" i="53" a="1"/>
  <c r="AVV3" i="53" a="1"/>
  <c r="IBJ3" i="53" a="1"/>
  <c r="GYX3" i="53" a="1"/>
  <c r="JHG3" i="53" a="1"/>
  <c r="VFG3" i="53" a="1"/>
  <c r="MQL3" i="53" a="1"/>
  <c r="TZN3" i="53" a="1"/>
  <c r="DWY3" i="53" a="1"/>
  <c r="JER3" i="53" a="1"/>
  <c r="QZO3" i="53" a="1"/>
  <c r="GBB3" i="53" a="1"/>
  <c r="HPJ3" i="53" a="1"/>
  <c r="LCW3" i="53" a="1"/>
  <c r="G3" i="34" a="1"/>
  <c r="C399" i="27" a="1"/>
  <c r="EHJ3" i="53" a="1"/>
  <c r="KHS3" i="53" a="1"/>
  <c r="ASS3" i="53" a="1"/>
  <c r="RSD3" i="53" a="1"/>
  <c r="QRV3" i="53" a="1"/>
  <c r="VSC3" i="53" a="1"/>
  <c r="SLZ3" i="53" a="1"/>
  <c r="CYM3" i="53" a="1"/>
  <c r="BGA3" i="53" a="1"/>
  <c r="WVO3" i="53" a="1"/>
  <c r="QYP3" i="53" a="1"/>
  <c r="SPP3" i="53" a="1"/>
  <c r="IF3" i="53" a="1"/>
  <c r="PTT3" i="53" a="1"/>
  <c r="QXB3" i="53" a="1"/>
  <c r="RMD3" i="53" a="1"/>
  <c r="GPJ3" i="53" a="1"/>
  <c r="BUR3" i="53" a="1"/>
  <c r="QCO3" i="53" a="1"/>
  <c r="DVU3" i="53" a="1"/>
  <c r="GTN3" i="53" a="1"/>
  <c r="WZG3" i="53" a="1"/>
  <c r="ERA3" i="53" a="1"/>
  <c r="EGE3" i="53" a="1"/>
  <c r="LSR3" i="53" a="1"/>
  <c r="HBU3" i="53" a="1"/>
  <c r="OOO3" i="53" a="1"/>
  <c r="SRG3" i="53" a="1"/>
  <c r="OQQ3" i="53" a="1"/>
  <c r="QAX3" i="53" a="1"/>
  <c r="TWQ3" i="53" a="1"/>
  <c r="OKF3" i="53" a="1"/>
  <c r="HMG3" i="53" a="1"/>
  <c r="ANW3" i="53" a="1"/>
  <c r="GZR3" i="53" a="1"/>
  <c r="UHB3" i="53" a="1"/>
  <c r="AWL3" i="53" a="1"/>
  <c r="RCR3" i="53" a="1"/>
  <c r="QMB3" i="53" a="1"/>
  <c r="POY3" i="53" a="1"/>
  <c r="UKB3" i="53" a="1"/>
  <c r="CMM3" i="53" a="1"/>
  <c r="OGZ3" i="53" a="1"/>
  <c r="QMG3" i="53" a="1"/>
  <c r="IPK3" i="53" a="1"/>
  <c r="RCZ3" i="53" a="1"/>
  <c r="FRG3" i="53" a="1"/>
  <c r="BWZ3" i="53" a="1"/>
  <c r="EPT3" i="53" a="1"/>
  <c r="DDU3" i="53" a="1"/>
  <c r="DKJ3" i="53" a="1"/>
  <c r="RRR3" i="53" a="1"/>
  <c r="JIQ3" i="53" a="1"/>
  <c r="KIU3" i="53" a="1"/>
  <c r="KEY3" i="53" a="1"/>
  <c r="KKS3" i="53" a="1"/>
  <c r="PRT3" i="53" a="1"/>
  <c r="BFE3" i="53" a="1"/>
  <c r="DEX3" i="53" a="1"/>
  <c r="RRG3" i="53" a="1"/>
  <c r="XEJ3" i="53" a="1"/>
  <c r="WGI3" i="53" a="1"/>
  <c r="LYA3" i="53" a="1"/>
  <c r="TMB3" i="53" a="1"/>
  <c r="NQH3" i="53" a="1"/>
  <c r="MML3" i="53" a="1"/>
  <c r="KEG3" i="53" a="1"/>
  <c r="BQA3" i="53" a="1"/>
  <c r="NKO3" i="53" a="1"/>
  <c r="RMM3" i="53" a="1"/>
  <c r="OMI3" i="53" a="1"/>
  <c r="MFY3" i="53" a="1"/>
  <c r="RSO3" i="53" a="1"/>
  <c r="MSZ3" i="53" a="1"/>
  <c r="FLH3" i="53" a="1"/>
  <c r="NGV3" i="53" a="1"/>
  <c r="FSN3" i="53" a="1"/>
  <c r="NSC3" i="53" a="1"/>
  <c r="RXQ3" i="53" a="1"/>
  <c r="MOU3" i="53" a="1"/>
  <c r="BKJ3" i="53" a="1"/>
  <c r="DDI3" i="53" a="1"/>
  <c r="JGY3" i="53" a="1"/>
  <c r="FKX3" i="53" a="1"/>
  <c r="PGS3" i="53" a="1"/>
  <c r="ASW3" i="53" a="1"/>
  <c r="JLP3" i="53" a="1"/>
  <c r="EAK3" i="53" a="1"/>
  <c r="UVI3" i="53" a="1"/>
  <c r="HYU3" i="53" a="1"/>
  <c r="C13" i="53" a="1"/>
  <c r="OPV3" i="53" a="1"/>
  <c r="KTT3" i="53" a="1"/>
  <c r="UTP3" i="53" a="1"/>
  <c r="OHQ3" i="53" a="1"/>
  <c r="GUX3" i="53" a="1"/>
  <c r="ICS3" i="53" a="1"/>
  <c r="NHY3" i="53" a="1"/>
  <c r="GLF3" i="53" a="1"/>
  <c r="PGJ3" i="53" a="1"/>
  <c r="GES3" i="53" a="1"/>
  <c r="CRR3" i="53" a="1"/>
  <c r="AYV3" i="53" a="1"/>
  <c r="MLG3" i="53" a="1"/>
  <c r="QHJ3" i="53" a="1"/>
  <c r="KIF3" i="53" a="1"/>
  <c r="URW3" i="53" a="1"/>
  <c r="RVG3" i="53" a="1"/>
  <c r="CGQ3" i="53" a="1"/>
  <c r="CVL3" i="53" a="1"/>
  <c r="RAU3" i="53" a="1"/>
  <c r="AVB3" i="53" a="1"/>
  <c r="VOK3" i="53" a="1"/>
  <c r="QTR3" i="53" a="1"/>
  <c r="SAC3" i="53" a="1"/>
  <c r="C297" i="27" a="1"/>
  <c r="WIW3" i="53" a="1"/>
  <c r="VZH3" i="53" a="1"/>
  <c r="NJJ3" i="53" a="1"/>
  <c r="NAM3" i="53" a="1"/>
  <c r="JSJ3" i="53" a="1"/>
  <c r="F3" i="46" a="1"/>
  <c r="UFX3" i="53" a="1"/>
  <c r="VYQ3" i="53" a="1"/>
  <c r="BKW3" i="53" a="1"/>
  <c r="TGL3" i="53" a="1"/>
  <c r="HGL3" i="53" a="1"/>
  <c r="CGL3" i="53" a="1"/>
  <c r="UKL3" i="53" a="1"/>
  <c r="RWA3" i="53" a="1"/>
  <c r="NPW3" i="53" a="1"/>
  <c r="RDR3" i="53" a="1"/>
  <c r="JTL3" i="53" a="1"/>
  <c r="RUP3" i="53" a="1"/>
  <c r="QTZ3" i="53" a="1"/>
  <c r="QVI3" i="53" a="1"/>
  <c r="MNG3" i="53" a="1"/>
  <c r="EOJ3" i="53" a="1"/>
  <c r="CIK3" i="53" a="1"/>
  <c r="GCP3" i="53" a="1"/>
  <c r="JTI3" i="53" a="1"/>
  <c r="HVW3" i="53" a="1"/>
  <c r="RQA3" i="53" a="1"/>
  <c r="FEA3" i="53" a="1"/>
  <c r="FME3" i="53" a="1"/>
  <c r="KFG3" i="53" a="1"/>
  <c r="NOJ3" i="53" a="1"/>
  <c r="NWL3" i="53" a="1"/>
  <c r="UQK3" i="53" a="1"/>
  <c r="BSZ3" i="53" a="1"/>
  <c r="LMK3" i="53" a="1"/>
  <c r="MAH3" i="53" a="1"/>
  <c r="NRY3" i="53" a="1"/>
  <c r="NBY3" i="53" a="1"/>
  <c r="RZP3" i="53" a="1"/>
  <c r="WSO3" i="53" a="1"/>
  <c r="KWQ3" i="53" a="1"/>
  <c r="OEN3" i="53" a="1"/>
  <c r="GVQ3" i="53" a="1"/>
  <c r="SUC3" i="53" a="1"/>
  <c r="PGC3" i="53" a="1"/>
  <c r="OZI3" i="53" a="1"/>
  <c r="LUV3" i="53" a="1"/>
  <c r="NFX3" i="53" a="1"/>
  <c r="UNX3" i="53" a="1"/>
  <c r="FSO3" i="53" a="1"/>
  <c r="GHW3" i="53" a="1"/>
  <c r="UGI3" i="53" a="1"/>
  <c r="PEK3" i="53" a="1"/>
  <c r="WHE3" i="53" a="1"/>
  <c r="BXD3" i="53" a="1"/>
  <c r="LQD3" i="53" a="1"/>
  <c r="TTV3" i="53" a="1"/>
  <c r="CM3" i="53" a="1"/>
  <c r="BWL3" i="53" a="1"/>
  <c r="QNY3" i="53" a="1"/>
  <c r="TCC3" i="53" a="1"/>
  <c r="QVH3" i="53" a="1"/>
  <c r="M3" i="1" a="1"/>
  <c r="PBM3" i="53" a="1"/>
  <c r="MVF3" i="53" a="1"/>
  <c r="WLV3" i="53" a="1"/>
  <c r="QJC3" i="53" a="1"/>
  <c r="PFF3" i="53" a="1"/>
  <c r="MSA3" i="53" a="1"/>
  <c r="WJQ3" i="53" a="1"/>
  <c r="CWK3" i="53" a="1"/>
  <c r="D3" i="22" a="1"/>
  <c r="PDO3" i="53" a="1"/>
  <c r="NFT3" i="53" a="1"/>
  <c r="CAK3" i="53" a="1"/>
  <c r="RFO3" i="53" a="1"/>
  <c r="FSD3" i="53" a="1"/>
  <c r="C23" i="53" a="1"/>
  <c r="CEY3" i="53" a="1"/>
  <c r="TSY3" i="53" a="1"/>
  <c r="LRS3" i="53" a="1"/>
  <c r="ZE3" i="53" a="1"/>
  <c r="KJX3" i="53" a="1"/>
  <c r="QHE3" i="53" a="1"/>
  <c r="PCS3" i="53" a="1"/>
  <c r="HGS3" i="53" a="1"/>
  <c r="JVY3" i="53" a="1"/>
  <c r="TAO3" i="53" a="1"/>
  <c r="NE3" i="53" a="1"/>
  <c r="CMA3" i="53" a="1"/>
  <c r="WPR3" i="53" a="1"/>
  <c r="VLV3" i="53" a="1"/>
  <c r="KQF3" i="53" a="1"/>
  <c r="FHN3" i="53" a="1"/>
  <c r="JXQ3" i="53" a="1"/>
  <c r="AQY3" i="53" a="1"/>
  <c r="ALP3" i="53" a="1"/>
  <c r="LUY3" i="53" a="1"/>
  <c r="JSX3" i="53" a="1"/>
  <c r="ND3" i="53" a="1"/>
  <c r="WMB3" i="53" a="1"/>
  <c r="FVN3" i="53" a="1"/>
  <c r="RUE3" i="53" a="1"/>
  <c r="SKA3" i="53" a="1"/>
  <c r="CFF3" i="53" a="1"/>
  <c r="JZB3" i="53" a="1"/>
  <c r="QGP3" i="53" a="1"/>
  <c r="UST3" i="53" a="1"/>
  <c r="WOI3" i="53" a="1"/>
  <c r="E290" i="27" a="1"/>
  <c r="VEW3" i="53" a="1"/>
  <c r="NU3" i="53" a="1"/>
  <c r="LSJ3" i="53" a="1"/>
  <c r="KNO3" i="53" a="1"/>
  <c r="LPC3" i="53" a="1"/>
  <c r="SSM3" i="53" a="1"/>
  <c r="DAM3" i="53" a="1"/>
  <c r="XAC3" i="53" a="1"/>
  <c r="HIX3" i="53" a="1"/>
  <c r="GRO3" i="53" a="1"/>
  <c r="VKG3" i="53" a="1"/>
  <c r="IHB3" i="53" a="1"/>
  <c r="RHA3" i="53" a="1"/>
  <c r="IOL3" i="53" a="1"/>
  <c r="OPX3" i="53" a="1"/>
  <c r="SWW3" i="53" a="1"/>
  <c r="HOU3" i="53" a="1"/>
  <c r="KWL3" i="53" a="1"/>
  <c r="ODB3" i="53" a="1"/>
  <c r="GHC3" i="53" a="1"/>
  <c r="BQN3" i="53" a="1"/>
  <c r="EAO3" i="53" a="1"/>
  <c r="FSH3" i="53" a="1"/>
  <c r="TQZ3" i="53" a="1"/>
  <c r="GVZ3" i="53" a="1"/>
  <c r="SOF3" i="53" a="1"/>
  <c r="FBC3" i="53" a="1"/>
  <c r="ELC3" i="53" a="1"/>
  <c r="C57" i="53" a="1"/>
  <c r="GOT3" i="53" a="1"/>
  <c r="KSZ3" i="53" a="1"/>
  <c r="BCP3" i="53" a="1"/>
  <c r="WJB3" i="53" a="1"/>
  <c r="RKP3" i="53" a="1"/>
  <c r="IQR3" i="53" a="1"/>
  <c r="GNQ3" i="53" a="1"/>
  <c r="QLQ3" i="53" a="1"/>
  <c r="NQN3" i="53" a="1"/>
  <c r="WAM3" i="53" a="1"/>
  <c r="FPC3" i="53" a="1"/>
  <c r="ACW3" i="53" a="1"/>
  <c r="QKD3" i="53" a="1"/>
  <c r="IQM3" i="53" a="1"/>
  <c r="QSF3" i="53" a="1"/>
  <c r="BJM3" i="53" a="1"/>
  <c r="AHW3" i="53" a="1"/>
  <c r="DFA3" i="53" a="1"/>
  <c r="JRT3" i="53" a="1"/>
  <c r="NND3" i="53" a="1"/>
  <c r="CVO3" i="53" a="1"/>
  <c r="BEB3" i="53" a="1"/>
  <c r="BRG3" i="53" a="1"/>
  <c r="OQS3" i="53" a="1"/>
  <c r="E25" i="27" a="1"/>
  <c r="VAM3" i="53" a="1"/>
  <c r="EW3" i="53" a="1"/>
  <c r="WDN3" i="53" a="1"/>
  <c r="FAY3" i="53" a="1"/>
  <c r="QWV3" i="53" a="1"/>
  <c r="RPR3" i="53" a="1"/>
  <c r="UCJ3" i="53" a="1"/>
  <c r="AXV3" i="53" a="1"/>
  <c r="RTN3" i="53" a="1"/>
  <c r="PBK3" i="53" a="1"/>
  <c r="BQF3" i="53" a="1"/>
  <c r="IKN3" i="53" a="1"/>
  <c r="UBA3" i="53" a="1"/>
  <c r="OCF3" i="53" a="1"/>
  <c r="PTY3" i="53" a="1"/>
  <c r="MFM3" i="53" a="1"/>
  <c r="WLM3" i="53" a="1"/>
  <c r="KPO3" i="53" a="1"/>
  <c r="TXQ3" i="53" a="1"/>
  <c r="NTW3" i="53" a="1"/>
  <c r="C32" i="53" a="1"/>
  <c r="QQC3" i="53" a="1"/>
  <c r="MTD3" i="53" a="1"/>
  <c r="RJS3" i="53" a="1"/>
  <c r="JQK3" i="53" a="1"/>
  <c r="ARQ3" i="53" a="1"/>
  <c r="ISI3" i="53" a="1"/>
  <c r="VZU3" i="53" a="1"/>
  <c r="EML3" i="53" a="1"/>
  <c r="DCX3" i="53" a="1"/>
  <c r="HZL3" i="53" a="1"/>
  <c r="UXJ3" i="53" a="1"/>
  <c r="PHW3" i="53" a="1"/>
  <c r="LXD3" i="53" a="1"/>
  <c r="OXV3" i="53" a="1"/>
  <c r="MES3" i="53" a="1"/>
  <c r="LBH3" i="53" a="1"/>
  <c r="FBJ3" i="53" a="1"/>
  <c r="HFN3" i="53" a="1"/>
  <c r="C37" i="27" a="1"/>
  <c r="FVR3" i="53" a="1"/>
  <c r="TGB3" i="53" a="1"/>
  <c r="NSL3" i="53" a="1"/>
  <c r="PAE3" i="53" a="1"/>
  <c r="GWL3" i="53" a="1"/>
  <c r="C298" i="27" a="1"/>
  <c r="IDQ3" i="53" a="1"/>
  <c r="OOP3" i="53" a="1"/>
  <c r="NXV3" i="53" a="1"/>
  <c r="RDJ3" i="53" a="1"/>
  <c r="DXC3" i="53" a="1"/>
  <c r="BDD3" i="53" a="1"/>
  <c r="BAO3" i="53" a="1"/>
  <c r="COM3" i="53" a="1"/>
  <c r="IBD3" i="53" a="1"/>
  <c r="IQQ3" i="53" a="1"/>
  <c r="HPU3" i="53" a="1"/>
  <c r="ROQ3" i="53" a="1"/>
  <c r="WSK3" i="53" a="1"/>
  <c r="IRE3" i="53" a="1"/>
  <c r="PHC3" i="53" a="1"/>
  <c r="FUT3" i="53" a="1"/>
  <c r="QZJ3" i="53" a="1"/>
  <c r="NQT3" i="53" a="1"/>
  <c r="LIZ3" i="53" a="1"/>
  <c r="BG3" i="53" a="1"/>
  <c r="AVI3" i="53" a="1"/>
  <c r="CTT3" i="53" a="1"/>
  <c r="NXK3" i="53" a="1"/>
  <c r="BPV3" i="53" a="1"/>
  <c r="ENO3" i="53" a="1"/>
  <c r="RLB3" i="53" a="1"/>
  <c r="FTM3" i="53" a="1"/>
  <c r="CWC3" i="53" a="1"/>
  <c r="MT3" i="53" a="1"/>
  <c r="MWS3" i="53" a="1"/>
  <c r="ECF3" i="53" a="1"/>
  <c r="LMA3" i="53" a="1"/>
  <c r="ILD3" i="53" a="1"/>
  <c r="DYB3" i="53" a="1"/>
  <c r="TMG3" i="53" a="1"/>
  <c r="C303" i="27" a="1"/>
  <c r="DWQ3" i="53" a="1"/>
  <c r="PXJ3" i="53" a="1"/>
  <c r="IS3" i="53" a="1"/>
  <c r="MIS3" i="53" a="1"/>
  <c r="LBB3" i="53" a="1"/>
  <c r="EDK3" i="53" a="1"/>
  <c r="VOF3" i="53" a="1"/>
  <c r="PTB3" i="53" a="1"/>
  <c r="OMS3" i="53" a="1"/>
  <c r="ANB3" i="53" a="1"/>
  <c r="IOS3" i="53" a="1"/>
  <c r="FLF3" i="53" a="1"/>
  <c r="UQU3" i="53" a="1"/>
  <c r="FAW3" i="53" a="1"/>
  <c r="LNA3" i="53" a="1"/>
  <c r="GKH3" i="53" a="1"/>
  <c r="FNQ3" i="53" a="1"/>
  <c r="QSV3" i="53" a="1"/>
  <c r="EFP3" i="53" a="1"/>
  <c r="HLL3" i="53" a="1"/>
  <c r="CYL3" i="53" a="1"/>
  <c r="TZK3" i="53" a="1"/>
  <c r="MBO3" i="53" a="1"/>
  <c r="COC3" i="53" a="1"/>
  <c r="RZU3" i="53" a="1"/>
  <c r="IGA3" i="53" a="1"/>
  <c r="FLB3" i="53" a="1"/>
  <c r="KQ3" i="53" a="1"/>
  <c r="CGN3" i="53" a="1"/>
  <c r="INO3" i="53" a="1"/>
  <c r="AYR3" i="53" a="1"/>
  <c r="RZX3" i="53" a="1"/>
  <c r="F40" i="53" a="1"/>
  <c r="QVO3" i="53" a="1"/>
  <c r="UQZ3" i="53" a="1"/>
  <c r="CNJ3" i="53" a="1"/>
  <c r="AHS3" i="53" a="1"/>
  <c r="PDI3" i="53" a="1"/>
  <c r="OGO3" i="53" a="1"/>
  <c r="NKC3" i="53" a="1"/>
  <c r="NFP3" i="53" a="1"/>
  <c r="CQN3" i="53" a="1"/>
  <c r="RU3" i="53" a="1"/>
  <c r="UHY3" i="53" a="1"/>
  <c r="FVO3" i="53" a="1"/>
  <c r="EPX3" i="53" a="1"/>
  <c r="FGX3" i="53" a="1"/>
  <c r="OWG3" i="53" a="1"/>
  <c r="DMR3" i="53" a="1"/>
  <c r="MIF3" i="53" a="1"/>
  <c r="CYG3" i="53" a="1"/>
  <c r="ERL3" i="53" a="1"/>
  <c r="FGU3" i="53" a="1"/>
  <c r="HYM3" i="53" a="1"/>
  <c r="LTX3" i="53" a="1"/>
  <c r="PGM3" i="53" a="1"/>
  <c r="IBA3" i="53" a="1"/>
  <c r="WLB3" i="53" a="1"/>
  <c r="LXI3" i="53" a="1"/>
  <c r="FOE3" i="53" a="1"/>
  <c r="ROH3" i="53" a="1"/>
  <c r="MIE3" i="53" a="1"/>
  <c r="RIG3" i="53" a="1"/>
  <c r="NYB3" i="53" a="1"/>
  <c r="DKK3" i="53" a="1"/>
  <c r="BYN3" i="53" a="1"/>
  <c r="GAT3" i="53" a="1"/>
  <c r="IEI3" i="53" a="1"/>
  <c r="VIW3" i="53" a="1"/>
  <c r="BPP3" i="53" a="1"/>
  <c r="AXZ3" i="53" a="1"/>
  <c r="UJN3" i="53" a="1"/>
  <c r="QMW3" i="53" a="1"/>
  <c r="PVO3" i="53" a="1"/>
  <c r="TRN3" i="53" a="1"/>
  <c r="LNC3" i="53" a="1"/>
  <c r="FDK3" i="53" a="1"/>
  <c r="DGN3" i="53" a="1"/>
  <c r="JF3" i="53" a="1"/>
  <c r="PKW3" i="53" a="1"/>
  <c r="IEZ3" i="53" a="1"/>
  <c r="KQC3" i="53" a="1"/>
  <c r="UN3" i="53" a="1"/>
  <c r="RKN3" i="53" a="1"/>
  <c r="XDH3" i="53" a="1"/>
  <c r="OVA3" i="53" a="1"/>
  <c r="LRF3" i="53" a="1"/>
  <c r="UOC3" i="53" a="1"/>
  <c r="IAI3" i="53" a="1"/>
  <c r="KPT3" i="53" a="1"/>
  <c r="BLX3" i="53" a="1"/>
  <c r="IPB3" i="53" a="1"/>
  <c r="UP3" i="53" a="1"/>
  <c r="AZB3" i="53" a="1"/>
  <c r="NZO3" i="53" a="1"/>
  <c r="QHW3" i="53" a="1"/>
  <c r="TZC3" i="53" a="1"/>
  <c r="KHQ3" i="53" a="1"/>
  <c r="QDL3" i="53" a="1"/>
  <c r="CKJ3" i="53" a="1"/>
  <c r="DBK3" i="53" a="1"/>
  <c r="BKM3" i="53" a="1"/>
  <c r="HHD3" i="53" a="1"/>
  <c r="WIK3" i="53" a="1"/>
  <c r="CCM3" i="53" a="1"/>
  <c r="SBF3" i="53" a="1"/>
  <c r="AJQ3" i="53" a="1"/>
  <c r="FZS3" i="53" a="1"/>
  <c r="QIQ3" i="53" a="1"/>
  <c r="CNF3" i="53" a="1"/>
  <c r="FBX3" i="53" a="1"/>
  <c r="JDF3" i="53" a="1"/>
  <c r="GQC3" i="53" a="1"/>
  <c r="HHI3" i="53" a="1"/>
  <c r="C6" i="53" a="1"/>
  <c r="EFN3" i="53" a="1"/>
  <c r="LXV3" i="53" a="1"/>
  <c r="IUV3" i="53" a="1"/>
  <c r="FFY3" i="53" a="1"/>
  <c r="E125" i="27" a="1"/>
  <c r="EKR3" i="53" a="1"/>
  <c r="SZK3" i="53" a="1"/>
  <c r="KTN3" i="53" a="1"/>
  <c r="MEI3" i="53" a="1"/>
  <c r="HGQ3" i="53" a="1"/>
  <c r="TCO3" i="53" a="1"/>
  <c r="BIG3" i="53" a="1"/>
  <c r="KUD3" i="53" a="1"/>
  <c r="QYM3" i="53" a="1"/>
  <c r="VZV3" i="53" a="1"/>
  <c r="IVV3" i="53" a="1"/>
  <c r="JFS3" i="53" a="1"/>
  <c r="PVC3" i="53" a="1"/>
  <c r="OLG3" i="53" a="1"/>
  <c r="UFO3" i="53" a="1"/>
  <c r="AKS3" i="53" a="1"/>
  <c r="D3" i="40" a="1"/>
  <c r="WXO3" i="53" a="1"/>
  <c r="PWS3" i="53" a="1"/>
  <c r="LON3" i="53" a="1"/>
  <c r="KKK3" i="53" a="1"/>
  <c r="KEA3" i="53" a="1"/>
  <c r="GHL3" i="53" a="1"/>
  <c r="EHZ3" i="53" a="1"/>
  <c r="JPM3" i="53" a="1"/>
  <c r="KLX3" i="53" a="1"/>
  <c r="OHJ3" i="53" a="1"/>
  <c r="FEQ3" i="53" a="1"/>
  <c r="IKM3" i="53" a="1"/>
  <c r="OPL3" i="53" a="1"/>
  <c r="JIT3" i="53" a="1"/>
  <c r="SFV3" i="53" a="1"/>
  <c r="ISW3" i="53" a="1"/>
  <c r="SRO3" i="53" a="1"/>
  <c r="JBU3" i="53" a="1"/>
  <c r="FFD3" i="53" a="1"/>
  <c r="JIM3" i="53" a="1"/>
  <c r="PQJ3" i="53" a="1"/>
  <c r="EFS3" i="53" a="1"/>
  <c r="EUS3" i="53" a="1"/>
  <c r="BQZ3" i="53" a="1"/>
  <c r="CGC3" i="53" a="1"/>
  <c r="THT3" i="53" a="1"/>
  <c r="UUU3" i="53" a="1"/>
  <c r="NWV3" i="53" a="1"/>
  <c r="UJI3" i="53" a="1"/>
  <c r="GQA3" i="53" a="1"/>
  <c r="DVR3" i="53" a="1"/>
  <c r="EKA3" i="53" a="1"/>
  <c r="QCA3" i="53" a="1"/>
  <c r="VBZ3" i="53" a="1"/>
  <c r="ULU3" i="53" a="1"/>
  <c r="HJU3" i="53" a="1"/>
  <c r="G3" i="54" a="1"/>
  <c r="HYF3" i="53" a="1"/>
  <c r="CDF3" i="53" a="1"/>
  <c r="OIP3" i="53" a="1"/>
  <c r="CNO3" i="53" a="1"/>
  <c r="SFN3" i="53" a="1"/>
  <c r="TAU3" i="53" a="1"/>
  <c r="OCJ3" i="53" a="1"/>
  <c r="JTO3" i="53" a="1"/>
  <c r="AUA3" i="53" a="1"/>
  <c r="QUZ3" i="53" a="1"/>
  <c r="JGL3" i="53" a="1"/>
  <c r="OIN3" i="53" a="1"/>
  <c r="FUN3" i="53" a="1"/>
  <c r="URI3" i="53" a="1"/>
  <c r="JOC3" i="53" a="1"/>
  <c r="QHM3" i="53" a="1"/>
  <c r="DRB3" i="53" a="1"/>
  <c r="NXW3" i="53" a="1"/>
  <c r="AOG3" i="53" a="1"/>
  <c r="QL3" i="53" a="1"/>
  <c r="LVT3" i="53" a="1"/>
  <c r="QPM3" i="53" a="1"/>
  <c r="PJJ3" i="53" a="1"/>
  <c r="DIY3" i="53" a="1"/>
  <c r="EYQ3" i="53" a="1"/>
  <c r="LIU3" i="53" a="1"/>
  <c r="MOD3" i="53" a="1"/>
  <c r="EVC3" i="53" a="1"/>
  <c r="TZH3" i="53" a="1"/>
  <c r="HQN3" i="53" a="1"/>
  <c r="TQP3" i="53" a="1"/>
  <c r="XBZ3" i="53" a="1"/>
  <c r="OVQ3" i="53" a="1"/>
  <c r="B3" i="53" a="1"/>
  <c r="JWV3" i="53" a="1"/>
  <c r="NWD3" i="53" a="1"/>
  <c r="EBG3" i="53" a="1"/>
  <c r="KOQ3" i="53" a="1"/>
  <c r="EIQ3" i="53" a="1"/>
  <c r="KBQ3" i="53" a="1"/>
  <c r="LKI3" i="53" a="1"/>
  <c r="IPF3" i="53" a="1"/>
  <c r="GFE3" i="53" a="1"/>
  <c r="HDS3" i="53" a="1"/>
  <c r="BHV3" i="53" a="1"/>
  <c r="AHA3" i="53" a="1"/>
  <c r="VPE3" i="53" a="1"/>
  <c r="AJB3" i="53" a="1"/>
  <c r="RTA3" i="53" a="1"/>
  <c r="QGA3" i="53" a="1"/>
  <c r="IEB3" i="53" a="1"/>
  <c r="KNF3" i="53" a="1"/>
  <c r="SVL3" i="53" a="1"/>
  <c r="PGD3" i="53" a="1"/>
  <c r="KPA3" i="53" a="1"/>
  <c r="JJV3" i="53" a="1"/>
  <c r="IJH3" i="53" a="1"/>
  <c r="AXE3" i="53" a="1"/>
  <c r="GBO3" i="53" a="1"/>
  <c r="AFP3" i="53" a="1"/>
  <c r="IXJ3" i="53" a="1"/>
  <c r="LJ3" i="53" a="1"/>
  <c r="TUC3" i="53" a="1"/>
  <c r="RJQ3" i="53" a="1"/>
  <c r="JWX3" i="53" a="1"/>
  <c r="PNP3" i="53" a="1"/>
  <c r="SBQ3" i="53" a="1"/>
  <c r="NWS3" i="53" a="1"/>
  <c r="SCL3" i="53" a="1"/>
  <c r="VMG3" i="53" a="1"/>
  <c r="WAJ3" i="53" a="1"/>
  <c r="HRP3" i="53" a="1"/>
  <c r="E169" i="27" a="1"/>
  <c r="OSZ3" i="53" a="1"/>
  <c r="E139" i="27" a="1"/>
  <c r="WRP3" i="53" a="1"/>
  <c r="F54" i="53" a="1"/>
  <c r="VRY3" i="53" a="1"/>
  <c r="I3" i="7" a="1"/>
  <c r="VGO3" i="53" a="1"/>
  <c r="VIY3" i="53" a="1"/>
  <c r="UJU3" i="53" a="1"/>
  <c r="CGR3" i="53" a="1"/>
  <c r="OYD3" i="53" a="1"/>
  <c r="GFO3" i="53" a="1"/>
  <c r="NME3" i="53" a="1"/>
  <c r="RLJ3" i="53" a="1"/>
  <c r="EBF3" i="53" a="1"/>
  <c r="ESD3" i="53" a="1"/>
  <c r="NQB3" i="53" a="1"/>
  <c r="OBU3" i="53" a="1"/>
  <c r="NUB3" i="53" a="1"/>
  <c r="KGT3" i="53" a="1"/>
  <c r="F5" i="53" a="1"/>
  <c r="LHC3" i="53" a="1"/>
  <c r="WDW3" i="53" a="1"/>
  <c r="GCJ3" i="53" a="1"/>
  <c r="RVS3" i="53" a="1"/>
  <c r="FMC3" i="53" a="1"/>
  <c r="TSA3" i="53" a="1"/>
  <c r="QOP3" i="53" a="1"/>
  <c r="OFI3" i="53" a="1"/>
  <c r="PEQ3" i="53" a="1"/>
  <c r="RHQ3" i="53" a="1"/>
  <c r="PAX3" i="53" a="1"/>
  <c r="MYH3" i="53" a="1"/>
  <c r="KZL3" i="53" a="1"/>
  <c r="EDF3" i="53" a="1"/>
  <c r="VIM3" i="53" a="1"/>
  <c r="FHI3" i="53" a="1"/>
  <c r="PRU3" i="53" a="1"/>
  <c r="PVW3" i="53" a="1"/>
  <c r="DUI3" i="53" a="1"/>
  <c r="KHG3" i="53" a="1"/>
  <c r="TXS3" i="53" a="1"/>
  <c r="PYI3" i="53" a="1"/>
  <c r="ASO3" i="53" a="1"/>
  <c r="IHE3" i="53" a="1"/>
  <c r="VMQ3" i="53" a="1"/>
  <c r="MUN3" i="53" a="1"/>
  <c r="PRG3" i="53" a="1"/>
  <c r="AGT3" i="53" a="1"/>
  <c r="C128" i="27" a="1"/>
  <c r="LVC3" i="53" a="1"/>
  <c r="GRT3" i="53" a="1"/>
  <c r="MHV3" i="53" a="1"/>
  <c r="KNI3" i="53" a="1"/>
  <c r="MPZ3" i="53" a="1"/>
  <c r="GGL3" i="53" a="1"/>
  <c r="BGY3" i="53" a="1"/>
  <c r="BNG3" i="53" a="1"/>
  <c r="VCJ3" i="53" a="1"/>
  <c r="A3" i="2" a="1"/>
  <c r="DGF3" i="53" a="1"/>
  <c r="BYG3" i="53" a="1"/>
  <c r="POE3" i="53" a="1"/>
  <c r="MNI3" i="53" a="1"/>
  <c r="BTD3" i="53" a="1"/>
  <c r="POK3" i="53" a="1"/>
  <c r="XAU3" i="53" a="1"/>
  <c r="BGU3" i="53" a="1"/>
  <c r="WJM3" i="53" a="1"/>
  <c r="GNP3" i="53" a="1"/>
  <c r="UMO3" i="53" a="1"/>
  <c r="WKI3" i="53" a="1"/>
  <c r="XFD3" i="53" a="1"/>
  <c r="DAW3" i="53" a="1"/>
  <c r="MSK3" i="53" a="1"/>
  <c r="B3" i="28" a="1"/>
  <c r="JVC3" i="53" a="1"/>
  <c r="LUA3" i="53" a="1"/>
  <c r="GN3" i="53" a="1"/>
  <c r="JDI3" i="53" a="1"/>
  <c r="OYC3" i="53" a="1"/>
  <c r="DPW3" i="53" a="1"/>
  <c r="EGN3" i="53" a="1"/>
  <c r="MBJ3" i="53" a="1"/>
  <c r="F12" i="53" a="1"/>
  <c r="VNI3" i="53" a="1"/>
  <c r="LJA3" i="53" a="1"/>
  <c r="UBR3" i="53" a="1"/>
  <c r="JDW3" i="53" a="1"/>
  <c r="TYV3" i="53" a="1"/>
  <c r="NNN3" i="53" a="1"/>
  <c r="RVN3" i="53" a="1"/>
  <c r="CHP3" i="53" a="1"/>
  <c r="DE3" i="53" a="1"/>
  <c r="MXY3" i="53" a="1"/>
  <c r="IWA3" i="53" a="1"/>
  <c r="XDN3" i="53" a="1"/>
  <c r="YJ3" i="53" a="1"/>
  <c r="KDF3" i="53" a="1"/>
  <c r="SGR3" i="53" a="1"/>
  <c r="BUZ3" i="53" a="1"/>
  <c r="BUT3" i="53" a="1"/>
  <c r="TEC3" i="53" a="1"/>
  <c r="IPO3" i="53" a="1"/>
  <c r="EGA3" i="53" a="1"/>
  <c r="VAZ3" i="53" a="1"/>
  <c r="HXW3" i="53" a="1"/>
  <c r="DLT3" i="53" a="1"/>
  <c r="ERU3" i="53" a="1"/>
  <c r="JSM3" i="53" a="1"/>
  <c r="GJN3" i="53" a="1"/>
  <c r="SHI3" i="53" a="1"/>
  <c r="FX3" i="53" a="1"/>
  <c r="OWI3" i="53" a="1"/>
  <c r="NJN3" i="53" a="1"/>
  <c r="TXH3" i="53" a="1"/>
  <c r="RSG3" i="53" a="1"/>
  <c r="BZT3" i="53" a="1"/>
  <c r="URF3" i="53" a="1"/>
  <c r="CGD3" i="53" a="1"/>
  <c r="BLI3" i="53" a="1"/>
  <c r="E3" i="37" a="1"/>
  <c r="E214" i="27" a="1"/>
  <c r="HWP3" i="53" a="1"/>
  <c r="MWR3" i="53" a="1"/>
  <c r="CBU3" i="53" a="1"/>
  <c r="AJN3" i="53" a="1"/>
  <c r="ELA3" i="53" a="1"/>
  <c r="FCW3" i="53" a="1"/>
  <c r="CSJ3" i="53" a="1"/>
  <c r="QSE3" i="53" a="1"/>
  <c r="FPP3" i="53" a="1"/>
  <c r="F3" i="2" a="1"/>
  <c r="OUM3" i="53" a="1"/>
  <c r="DWR3" i="53" a="1"/>
  <c r="FGK3" i="53" a="1"/>
  <c r="PHQ3" i="53" a="1"/>
  <c r="RKQ3" i="53" a="1"/>
  <c r="QHC3" i="53" a="1"/>
  <c r="ABB3" i="53" a="1"/>
  <c r="QKV3" i="53" a="1"/>
  <c r="GGO3" i="53" a="1"/>
  <c r="PTD3" i="53" a="1"/>
  <c r="RFC3" i="53" a="1"/>
  <c r="VYF3" i="53" a="1"/>
  <c r="IWW3" i="53" a="1"/>
  <c r="RJF3" i="53" a="1"/>
  <c r="FRE3" i="53" a="1"/>
  <c r="LVI3" i="53" a="1"/>
  <c r="WRO3" i="53" a="1"/>
  <c r="VNU3" i="53" a="1"/>
  <c r="VFS3" i="53" a="1"/>
  <c r="CDH3" i="53" a="1"/>
  <c r="NBO3" i="53" a="1"/>
  <c r="IPP3" i="53" a="1"/>
  <c r="VGH3" i="53" a="1"/>
  <c r="UFQ3" i="53" a="1"/>
  <c r="TEX3" i="53" a="1"/>
  <c r="VGF3" i="53" a="1"/>
  <c r="SKO3" i="53" a="1"/>
  <c r="CLV3" i="53" a="1"/>
  <c r="LMI3" i="53" a="1"/>
  <c r="EZY3" i="53" a="1"/>
  <c r="WYM3" i="53" a="1"/>
  <c r="AIK3" i="53" a="1"/>
  <c r="IFA3" i="53" a="1"/>
  <c r="ALT3" i="53" a="1"/>
  <c r="SSC3" i="53" a="1"/>
  <c r="KYO3" i="53" a="1"/>
  <c r="DIP3" i="53" a="1"/>
  <c r="JAT3" i="53" a="1"/>
  <c r="RMU3" i="53" a="1"/>
  <c r="AYG3" i="53" a="1"/>
  <c r="CYS3" i="53" a="1"/>
  <c r="JUZ3" i="53" a="1"/>
  <c r="HUX3" i="53" a="1"/>
  <c r="SQX3" i="53" a="1"/>
  <c r="RVB3" i="53" a="1"/>
  <c r="OGE3" i="53" a="1"/>
  <c r="NRD3" i="53" a="1"/>
  <c r="UGX3" i="53" a="1"/>
  <c r="UXF3" i="53" a="1"/>
  <c r="KBT3" i="53" a="1"/>
  <c r="UEY3" i="53" a="1"/>
  <c r="GZW3" i="53" a="1"/>
  <c r="PEC3" i="53" a="1"/>
  <c r="DFS3" i="53" a="1"/>
  <c r="GSW3" i="53" a="1"/>
  <c r="SAL3" i="53" a="1"/>
  <c r="PJW3" i="53" a="1"/>
  <c r="LQO3" i="53" a="1"/>
  <c r="EJG3" i="53" a="1"/>
  <c r="HDN3" i="53" a="1"/>
  <c r="BMK3" i="53" a="1"/>
  <c r="FDU3" i="53" a="1"/>
  <c r="NON3" i="53" a="1"/>
  <c r="FTY3" i="53" a="1"/>
  <c r="UZN3" i="53" a="1"/>
  <c r="DFN3" i="53" a="1"/>
  <c r="VKE3" i="53" a="1"/>
  <c r="PUS3" i="53" a="1"/>
  <c r="BRK3" i="53" a="1"/>
  <c r="QKM3" i="53" a="1"/>
  <c r="QVT3" i="53" a="1"/>
  <c r="LLC3" i="53" a="1"/>
  <c r="ANM3" i="53" a="1"/>
  <c r="UMN3" i="53" a="1"/>
  <c r="OYH3" i="53" a="1"/>
  <c r="NIS3" i="53" a="1"/>
  <c r="CHQ3" i="53" a="1"/>
  <c r="QCZ3" i="53" a="1"/>
  <c r="NCI3" i="53" a="1"/>
  <c r="JAX3" i="53" a="1"/>
  <c r="SOK3" i="53" a="1"/>
  <c r="EZD3" i="53" a="1"/>
  <c r="JWB3" i="53" a="1"/>
  <c r="GSA3" i="53" a="1"/>
  <c r="USY3" i="53" a="1"/>
  <c r="DHU3" i="53" a="1"/>
  <c r="FXJ3" i="53" a="1"/>
  <c r="DYD3" i="53" a="1"/>
  <c r="REB3" i="53" a="1"/>
  <c r="BGJ3" i="53" a="1"/>
  <c r="DRL3" i="53" a="1"/>
  <c r="JNX3" i="53" a="1"/>
  <c r="JBB3" i="53" a="1"/>
  <c r="QTP3" i="53" a="1"/>
  <c r="MYB3" i="53" a="1"/>
  <c r="HNL3" i="53" a="1"/>
  <c r="TNM3" i="53" a="1"/>
  <c r="DYC3" i="53" a="1"/>
  <c r="RN3" i="53" a="1"/>
  <c r="JWO3" i="53" a="1"/>
  <c r="AOY3" i="53" a="1"/>
  <c r="JK3" i="53" a="1"/>
  <c r="FHM3" i="53" a="1"/>
  <c r="EFE3" i="53" a="1"/>
  <c r="HTS3" i="53" a="1"/>
  <c r="GRM3" i="53" a="1"/>
  <c r="RS3" i="53" a="1"/>
  <c r="AW3" i="53" a="1"/>
  <c r="FSB3" i="53" a="1"/>
  <c r="QAF3" i="53" a="1"/>
  <c r="ETK3" i="53" a="1"/>
  <c r="ACL3" i="53" a="1"/>
  <c r="T3" i="53" a="1"/>
  <c r="SIT3" i="53" a="1"/>
  <c r="WQF3" i="53" a="1"/>
  <c r="GRW3" i="53" a="1"/>
  <c r="JNR3" i="53" a="1"/>
  <c r="XEP3" i="53" a="1"/>
  <c r="SHW3" i="53" a="1"/>
  <c r="RSH3" i="53" a="1"/>
  <c r="GUJ3" i="53" a="1"/>
  <c r="TNL3" i="53" a="1"/>
  <c r="DWB3" i="53" a="1"/>
  <c r="BRR3" i="53" a="1"/>
  <c r="GTQ3" i="53" a="1"/>
  <c r="MYI3" i="53" a="1"/>
  <c r="THA3" i="53" a="1"/>
  <c r="DNP3" i="53" a="1"/>
  <c r="UBK3" i="53" a="1"/>
  <c r="JVF3" i="53" a="1"/>
  <c r="VDI3" i="53" a="1"/>
  <c r="TLS3" i="53" a="1"/>
  <c r="LFA3" i="53" a="1"/>
  <c r="WZC3" i="53" a="1"/>
  <c r="FNC3" i="53" a="1"/>
  <c r="WWY3" i="53" a="1"/>
  <c r="FTW3" i="53" a="1"/>
  <c r="VBE3" i="53" a="1"/>
  <c r="UXH3" i="53" a="1"/>
  <c r="LXB3" i="53" a="1"/>
  <c r="DML3" i="53" a="1"/>
  <c r="RGP3" i="53" a="1"/>
  <c r="UIF3" i="53" a="1"/>
  <c r="HYI3" i="53" a="1"/>
  <c r="KFE3" i="53" a="1"/>
  <c r="VNH3" i="53" a="1"/>
  <c r="TKN3" i="53" a="1"/>
  <c r="SWO3" i="53" a="1"/>
  <c r="QLK3" i="53" a="1"/>
  <c r="PLM3" i="53" a="1"/>
  <c r="DYA3" i="53" a="1"/>
  <c r="FEN3" i="53" a="1"/>
  <c r="ONO3" i="53" a="1"/>
  <c r="CFM3" i="53" a="1"/>
  <c r="DWD3" i="53" a="1"/>
  <c r="GXA3" i="53" a="1"/>
  <c r="MR3" i="53" a="1"/>
  <c r="UET3" i="53" a="1"/>
  <c r="AXI3" i="53" a="1"/>
  <c r="UZY3" i="53" a="1"/>
  <c r="GNU3" i="53" a="1"/>
  <c r="DGG3" i="53" a="1"/>
  <c r="RLK3" i="53" a="1"/>
  <c r="LGV3" i="53" a="1"/>
  <c r="LNQ3" i="53" a="1"/>
  <c r="TKH3" i="53" a="1"/>
  <c r="UXW3" i="53" a="1"/>
  <c r="JAA3" i="53" a="1"/>
  <c r="MZS3" i="53" a="1"/>
  <c r="BAL3" i="53" a="1"/>
  <c r="RDY3" i="53" a="1"/>
  <c r="VSD3" i="53" a="1"/>
  <c r="MHK3" i="53" a="1"/>
  <c r="ODD3" i="53" a="1"/>
  <c r="IKS3" i="53" a="1"/>
  <c r="CVH3" i="53" a="1"/>
  <c r="PWQ3" i="53" a="1"/>
  <c r="IFY3" i="53" a="1"/>
  <c r="CRJ3" i="53" a="1"/>
  <c r="CZI3" i="53" a="1"/>
  <c r="F70" i="53" a="1"/>
  <c r="JDQ3" i="53" a="1"/>
  <c r="FQO3" i="53" a="1"/>
  <c r="C66" i="53" a="1"/>
  <c r="SUS3" i="53" a="1"/>
  <c r="WBB3" i="53" a="1"/>
  <c r="UHH3" i="53" a="1"/>
  <c r="ULP3" i="53" a="1"/>
  <c r="KCQ3" i="53" a="1"/>
  <c r="BHE3" i="53" a="1"/>
  <c r="OIT3" i="53" a="1"/>
  <c r="UXP3" i="53" a="1"/>
  <c r="JCX3" i="53" a="1"/>
  <c r="ODL3" i="53" a="1"/>
  <c r="NYG3" i="53" a="1"/>
  <c r="GUC3" i="53" a="1"/>
  <c r="RYN3" i="53" a="1"/>
  <c r="CMW3" i="53" a="1"/>
  <c r="NFV3" i="53" a="1"/>
  <c r="QPG3" i="53" a="1"/>
  <c r="VTD3" i="53" a="1"/>
  <c r="QML3" i="53" a="1"/>
  <c r="BSB3" i="53" a="1"/>
  <c r="BCZ3" i="53" a="1"/>
  <c r="DXB3" i="53" a="1"/>
  <c r="UAQ3" i="53" a="1"/>
  <c r="GWX3" i="53" a="1"/>
  <c r="DYL3" i="53" a="1"/>
  <c r="DWX3" i="53" a="1"/>
  <c r="JJN3" i="53" a="1"/>
  <c r="ABJ3" i="53" a="1"/>
  <c r="WHC3" i="53" a="1"/>
  <c r="IWY3" i="53" a="1"/>
  <c r="VAU3" i="53" a="1"/>
  <c r="CF3" i="53" a="1"/>
  <c r="GTF3" i="53" a="1"/>
  <c r="UKC3" i="53" a="1"/>
  <c r="FJO3" i="53" a="1"/>
  <c r="FWQ3" i="53" a="1"/>
  <c r="MQA3" i="53" a="1"/>
  <c r="KR3" i="53" a="1"/>
  <c r="EEH3" i="53" a="1"/>
  <c r="IQZ3" i="53" a="1"/>
  <c r="QNM3" i="53" a="1"/>
  <c r="UEQ3" i="53" a="1"/>
  <c r="UVP3" i="53" a="1"/>
  <c r="QAA3" i="53" a="1"/>
  <c r="HSH3" i="53" a="1"/>
  <c r="CAR3" i="53" a="1"/>
  <c r="PAK3" i="53" a="1"/>
  <c r="QE3" i="53" a="1"/>
  <c r="PKT3" i="53" a="1"/>
  <c r="OBR3" i="53" a="1"/>
  <c r="RKD3" i="53" a="1"/>
  <c r="OCO3" i="53" a="1"/>
  <c r="OYZ3" i="53" a="1"/>
  <c r="VPZ3" i="53" a="1"/>
  <c r="VKR3" i="53" a="1"/>
  <c r="JJE3" i="53" a="1"/>
  <c r="TMU3" i="53" a="1"/>
  <c r="E326" i="27" a="1"/>
  <c r="OOB3" i="53" a="1"/>
  <c r="WXM3" i="53" a="1"/>
  <c r="JAG3" i="53" a="1"/>
  <c r="WQO3" i="53" a="1"/>
  <c r="PFS3" i="53" a="1"/>
  <c r="JBQ3" i="53" a="1"/>
  <c r="AUV3" i="53" a="1"/>
  <c r="JZN3" i="53" a="1"/>
  <c r="BFW3" i="53" a="1"/>
  <c r="IER3" i="53" a="1"/>
  <c r="IMZ3" i="53" a="1"/>
  <c r="E329" i="27" a="1"/>
  <c r="WLK3" i="53" a="1"/>
  <c r="HFA3" i="53" a="1"/>
  <c r="HDC3" i="53" a="1"/>
  <c r="NDS3" i="53" a="1"/>
  <c r="WET3" i="53" a="1"/>
  <c r="C3" i="52" a="1"/>
  <c r="TIT3" i="53" a="1"/>
  <c r="DIL3" i="53" a="1"/>
  <c r="KZN3" i="53" a="1"/>
  <c r="NAQ3" i="53" a="1"/>
  <c r="ETQ3" i="53" a="1"/>
  <c r="WZY3" i="53" a="1"/>
  <c r="LL3" i="53" a="1"/>
  <c r="VSL3" i="53" a="1"/>
  <c r="LEF3" i="53" a="1"/>
  <c r="MGC3" i="53" a="1"/>
  <c r="ICQ3" i="53" a="1"/>
  <c r="SBO3" i="53" a="1"/>
  <c r="MFX3" i="53" a="1"/>
  <c r="NYW3" i="53" a="1"/>
  <c r="KBV3" i="53" a="1"/>
  <c r="EZB3" i="53" a="1"/>
  <c r="KHA3" i="53" a="1"/>
  <c r="TYL3" i="53" a="1"/>
  <c r="HU3" i="53" a="1"/>
  <c r="EYM3" i="53" a="1"/>
  <c r="HIZ3" i="53" a="1"/>
  <c r="EN3" i="53" a="1"/>
  <c r="VXO3" i="53" a="1"/>
  <c r="WBQ3" i="53" a="1"/>
  <c r="HGY3" i="53" a="1"/>
  <c r="ABT3" i="53" a="1"/>
  <c r="EVY3" i="53" a="1"/>
  <c r="WMG3" i="53" a="1"/>
  <c r="WF3" i="53" a="1"/>
  <c r="QAO3" i="53" a="1"/>
  <c r="VYC3" i="53" a="1"/>
  <c r="CTH3" i="53" a="1"/>
  <c r="RYT3" i="53" a="1"/>
  <c r="SKS3" i="53" a="1"/>
  <c r="AYH3" i="53" a="1"/>
  <c r="NPV3" i="53" a="1"/>
  <c r="BXP3" i="53" a="1"/>
  <c r="HWX3" i="53" a="1"/>
  <c r="BUY3" i="53" a="1"/>
  <c r="NGP3" i="53" a="1"/>
  <c r="CJG3" i="53" a="1"/>
  <c r="CWN3" i="53" a="1"/>
  <c r="FK3" i="53" a="1"/>
  <c r="WZQ3" i="53" a="1"/>
  <c r="TFQ3" i="53" a="1"/>
  <c r="OPF3" i="53" a="1"/>
  <c r="JGP3" i="53" a="1"/>
  <c r="WTT3" i="53" a="1"/>
  <c r="ETJ3" i="53" a="1"/>
  <c r="CMK3" i="53" a="1"/>
  <c r="MRO3" i="53" a="1"/>
  <c r="HGE3" i="53" a="1"/>
  <c r="QEP3" i="53" a="1"/>
  <c r="SMH3" i="53" a="1"/>
  <c r="JU3" i="53" a="1"/>
  <c r="BDF3" i="53" a="1"/>
  <c r="XBS3" i="53" a="1"/>
  <c r="PVL3" i="53" a="1"/>
  <c r="EU3" i="53" a="1"/>
  <c r="G3" i="28" a="1"/>
  <c r="DWF3" i="53" a="1"/>
  <c r="EEV3" i="53" a="1"/>
  <c r="CXR3" i="53" a="1"/>
  <c r="DKW3" i="53" a="1"/>
  <c r="FJV3" i="53" a="1"/>
  <c r="HJJ3" i="53" a="1"/>
  <c r="C136" i="27" a="1"/>
  <c r="NLK3" i="53" a="1"/>
  <c r="DFZ3" i="53" a="1"/>
  <c r="UUQ3" i="53" a="1"/>
  <c r="A3" i="47" a="1"/>
  <c r="CMB3" i="53" a="1"/>
  <c r="HDZ3" i="53" a="1"/>
  <c r="UQH3" i="53" a="1"/>
  <c r="BUW3" i="53" a="1"/>
  <c r="WIA3" i="53" a="1"/>
  <c r="KMN3" i="53" a="1"/>
  <c r="ITE3" i="53" a="1"/>
  <c r="E27" i="53" a="1"/>
  <c r="PPT3" i="53" a="1"/>
  <c r="A3" i="6" a="1"/>
  <c r="OUG3" i="53" a="1"/>
  <c r="HBV3" i="53" a="1"/>
  <c r="KPV3" i="53" a="1"/>
  <c r="POU3" i="53" a="1"/>
  <c r="LXY3" i="53" a="1"/>
  <c r="DIT3" i="53" a="1"/>
  <c r="ASM3" i="53" a="1"/>
  <c r="QZM3" i="53" a="1"/>
  <c r="BYM3" i="53" a="1"/>
  <c r="QRX3" i="53" a="1"/>
  <c r="MPC3" i="53" a="1"/>
  <c r="OKS3" i="53" a="1"/>
  <c r="FAQ3" i="53" a="1"/>
  <c r="ATX3" i="53" a="1"/>
  <c r="FUV3" i="53" a="1"/>
  <c r="UEP3" i="53" a="1"/>
  <c r="ICB3" i="53" a="1"/>
  <c r="MEN3" i="53" a="1"/>
  <c r="IYP3" i="53" a="1"/>
  <c r="AMD3" i="53" a="1"/>
  <c r="KTM3" i="53" a="1"/>
  <c r="HNT3" i="53" a="1"/>
  <c r="E399" i="27" a="1"/>
  <c r="QHQ3" i="53" a="1"/>
  <c r="SCV3" i="53" a="1"/>
  <c r="TJT3" i="53" a="1"/>
  <c r="FZG3" i="53" a="1"/>
  <c r="QZN3" i="53" a="1"/>
  <c r="JVD3" i="53" a="1"/>
  <c r="GKV3" i="53" a="1"/>
  <c r="BCV3" i="53" a="1"/>
  <c r="TSR3" i="53" a="1"/>
  <c r="SPR3" i="53" a="1"/>
  <c r="E123" i="27" a="1"/>
  <c r="LJH3" i="53" a="1"/>
  <c r="JHM3" i="53" a="1"/>
  <c r="OEE3" i="53" a="1"/>
  <c r="LPR3" i="53" a="1"/>
  <c r="UVK3" i="53" a="1"/>
  <c r="QTH3" i="53" a="1"/>
  <c r="RB3" i="53" a="1"/>
  <c r="IYW3" i="53" a="1"/>
  <c r="DGQ3" i="53" a="1"/>
  <c r="EY3" i="53" a="1"/>
  <c r="USO3" i="53" a="1"/>
  <c r="C158" i="27" a="1"/>
  <c r="EYP3" i="53" a="1"/>
  <c r="XZ3" i="53" a="1"/>
  <c r="FYE3" i="53" a="1"/>
  <c r="QMI3" i="53" a="1"/>
  <c r="QYL3" i="53" a="1"/>
  <c r="QLS3" i="53" a="1"/>
  <c r="FVI3" i="53" a="1"/>
  <c r="BBY3" i="53" a="1"/>
  <c r="SSL3" i="53" a="1"/>
  <c r="NAS3" i="53" a="1"/>
  <c r="NAP3" i="53" a="1"/>
  <c r="GQI3" i="53" a="1"/>
  <c r="TWB3" i="53" a="1"/>
  <c r="VHH3" i="53" a="1"/>
  <c r="MAP3" i="53" a="1"/>
  <c r="LJE3" i="53" a="1"/>
  <c r="DXG3" i="53" a="1"/>
  <c r="NPG3" i="53" a="1"/>
  <c r="GJE3" i="53" a="1"/>
  <c r="FUM3" i="53" a="1"/>
  <c r="C354" i="27" a="1"/>
  <c r="FJP3" i="53" a="1"/>
  <c r="VYY3" i="53" a="1"/>
  <c r="KOI3" i="53" a="1"/>
  <c r="OXG3" i="53" a="1"/>
  <c r="USC3" i="53" a="1"/>
  <c r="THC3" i="53" a="1"/>
  <c r="NCT3" i="53" a="1"/>
  <c r="PVF3" i="53" a="1"/>
  <c r="QXZ3" i="53" a="1"/>
  <c r="EMC3" i="53" a="1"/>
  <c r="OLN3" i="53" a="1"/>
  <c r="HIC3" i="53" a="1"/>
  <c r="ITP3" i="53" a="1"/>
  <c r="RHM3" i="53" a="1"/>
  <c r="RUZ3" i="53" a="1"/>
  <c r="QMS3" i="53" a="1"/>
  <c r="BVB3" i="53" a="1"/>
  <c r="MFF3" i="53" a="1"/>
  <c r="LYF3" i="53" a="1"/>
  <c r="CCY3" i="53" a="1"/>
  <c r="FAH3" i="53" a="1"/>
  <c r="RQB3" i="53" a="1"/>
  <c r="EFM3" i="53" a="1"/>
  <c r="PST3" i="53" a="1"/>
  <c r="RTM3" i="53" a="1"/>
  <c r="SRM3" i="53" a="1"/>
  <c r="AQU3" i="53" a="1"/>
  <c r="UPR3" i="53" a="1"/>
  <c r="DHX3" i="53" a="1"/>
  <c r="AQX3" i="53" a="1"/>
  <c r="PCU3" i="53" a="1"/>
  <c r="MPF3" i="53" a="1"/>
  <c r="PEF3" i="53" a="1"/>
  <c r="DTJ3" i="53" a="1"/>
  <c r="LBI3" i="53" a="1"/>
  <c r="TOR3" i="53" a="1"/>
  <c r="PMN3" i="53" a="1"/>
  <c r="FWS3" i="53" a="1"/>
  <c r="HXJ3" i="53" a="1"/>
  <c r="WIL3" i="53" a="1"/>
  <c r="ROU3" i="53" a="1"/>
  <c r="MZD3" i="53" a="1"/>
  <c r="FOG3" i="53" a="1"/>
  <c r="ABY3" i="53" a="1"/>
  <c r="A3" i="52" a="1"/>
  <c r="ETM3" i="53" a="1"/>
  <c r="AOF3" i="53" a="1"/>
  <c r="OKQ3" i="53" a="1"/>
  <c r="ZP3" i="53" a="1"/>
  <c r="GNJ3" i="53" a="1"/>
  <c r="KAF3" i="53" a="1"/>
  <c r="IDB3" i="53" a="1"/>
  <c r="RNQ3" i="53" a="1"/>
  <c r="PES3" i="53" a="1"/>
  <c r="CVB3" i="53" a="1"/>
  <c r="RGO3" i="53" a="1"/>
  <c r="VWL3" i="53" a="1"/>
  <c r="DQJ3" i="53" a="1"/>
  <c r="JCM3" i="53" a="1"/>
  <c r="FTK3" i="53" a="1"/>
  <c r="UJX3" i="53" a="1"/>
  <c r="AIB3" i="53" a="1"/>
  <c r="YR3" i="53" a="1"/>
  <c r="QMJ3" i="53" a="1"/>
  <c r="BFC3" i="53" a="1"/>
  <c r="KCM3" i="53" a="1"/>
  <c r="IRQ3" i="53" a="1"/>
  <c r="LNE3" i="53" a="1"/>
  <c r="SDG3" i="53" a="1"/>
  <c r="WON3" i="53" a="1"/>
  <c r="OTO3" i="53" a="1"/>
  <c r="DOS3" i="53" a="1"/>
  <c r="IDO3" i="53" a="1"/>
  <c r="GXK3" i="53" a="1"/>
  <c r="DMT3" i="53" a="1"/>
  <c r="KCR3" i="53" a="1"/>
  <c r="E410" i="27" a="1"/>
  <c r="OVW3" i="53" a="1"/>
  <c r="UYR3" i="53" a="1"/>
  <c r="IP3" i="53" a="1"/>
  <c r="NVV3" i="53" a="1"/>
  <c r="RRT3" i="53" a="1"/>
  <c r="QVG3" i="53" a="1"/>
  <c r="RGV3" i="53" a="1"/>
  <c r="TPF3" i="53" a="1"/>
  <c r="VGN3" i="53" a="1"/>
  <c r="UZQ3" i="53" a="1"/>
  <c r="E3" i="11" a="1"/>
  <c r="AHQ3" i="53" a="1"/>
  <c r="GLL3" i="53" a="1"/>
  <c r="CJP3" i="53" a="1"/>
  <c r="ROS3" i="53" a="1"/>
  <c r="INA3" i="53" a="1"/>
  <c r="UXK3" i="53" a="1"/>
  <c r="HPZ3" i="53" a="1"/>
  <c r="CUS3" i="53" a="1"/>
  <c r="RHP3" i="53" a="1"/>
  <c r="AIH3" i="53" a="1"/>
  <c r="IJV3" i="53" a="1"/>
  <c r="A3" i="19" a="1"/>
  <c r="QPO3" i="53" a="1"/>
  <c r="AEK3" i="53" a="1"/>
  <c r="OMF3" i="53" a="1"/>
  <c r="VYV3" i="53" a="1"/>
  <c r="RBG3" i="53" a="1"/>
  <c r="DDB3" i="53" a="1"/>
  <c r="C34" i="27" a="1"/>
  <c r="LJS3" i="53" a="1"/>
  <c r="WXE3" i="53" a="1"/>
  <c r="EBO3" i="53" a="1"/>
  <c r="HPV3" i="53" a="1"/>
  <c r="PDD3" i="53" a="1"/>
  <c r="VVU3" i="53" a="1"/>
  <c r="XDF3" i="53" a="1"/>
  <c r="MFE3" i="53" a="1"/>
  <c r="GPB3" i="53" a="1"/>
  <c r="C182" i="27" a="1"/>
  <c r="C18" i="53" a="1"/>
  <c r="SLV3" i="53" a="1"/>
  <c r="ANV3" i="53" a="1"/>
  <c r="EWT3" i="53" a="1"/>
  <c r="FYO3" i="53" a="1"/>
  <c r="AXP3" i="53" a="1"/>
  <c r="OPC3" i="53" a="1"/>
  <c r="LBK3" i="53" a="1"/>
  <c r="MFA3" i="53" a="1"/>
  <c r="SRC3" i="53" a="1"/>
  <c r="UVS3" i="53" a="1"/>
  <c r="TLH3" i="53" a="1"/>
  <c r="EMZ3" i="53" a="1"/>
  <c r="KOV3" i="53" a="1"/>
  <c r="PFZ3" i="53" a="1"/>
  <c r="KMM3" i="53" a="1"/>
  <c r="AGO3" i="53" a="1"/>
  <c r="UKA3" i="53" a="1"/>
  <c r="FEU3" i="53" a="1"/>
  <c r="TG3" i="53" a="1"/>
  <c r="NWO3" i="53" a="1"/>
  <c r="HZD3" i="53" a="1"/>
  <c r="LAW3" i="53" a="1"/>
  <c r="WXT3" i="53" a="1"/>
  <c r="WYR3" i="53" a="1"/>
  <c r="IDD3" i="53" a="1"/>
  <c r="OGW3" i="53" a="1"/>
  <c r="OMU3" i="53" a="1"/>
  <c r="PQG3" i="53" a="1"/>
  <c r="EZG3" i="53" a="1"/>
  <c r="LUZ3" i="53" a="1"/>
  <c r="GUH3" i="53" a="1"/>
  <c r="OHB3" i="53" a="1"/>
  <c r="TLX3" i="53" a="1"/>
  <c r="RBD3" i="53" a="1"/>
  <c r="FTT3" i="53" a="1"/>
  <c r="KBE3" i="53" a="1"/>
  <c r="WWU3" i="53" a="1"/>
  <c r="GHD3" i="53" a="1"/>
  <c r="IEJ3" i="53" a="1"/>
  <c r="VBC3" i="53" a="1"/>
  <c r="CXN3" i="53" a="1"/>
  <c r="LJV3" i="53" a="1"/>
  <c r="FCR3" i="53" a="1"/>
  <c r="CPA3" i="53" a="1"/>
  <c r="YD3" i="53" a="1"/>
  <c r="LTP3" i="53" a="1"/>
  <c r="RUM3" i="53" a="1"/>
  <c r="BFX3" i="53" a="1"/>
  <c r="HUC3" i="53" a="1"/>
  <c r="QU3" i="53" a="1"/>
  <c r="QEL3" i="53" a="1"/>
  <c r="ELM3" i="53" a="1"/>
  <c r="MKP3" i="53" a="1"/>
  <c r="ESE3" i="53" a="1"/>
  <c r="CRU3" i="53" a="1"/>
  <c r="JTT3" i="53" a="1"/>
  <c r="BVZ3" i="53" a="1"/>
  <c r="GCK3" i="53" a="1"/>
  <c r="KRS3" i="53" a="1"/>
  <c r="LWS3" i="53" a="1"/>
  <c r="CYJ3" i="53" a="1"/>
  <c r="MVC3" i="53" a="1"/>
  <c r="BML3" i="53" a="1"/>
  <c r="PDT3" i="53" a="1"/>
  <c r="KVU3" i="53" a="1"/>
  <c r="GAB3" i="53" a="1"/>
  <c r="KFV3" i="53" a="1"/>
  <c r="EI3" i="53" a="1"/>
  <c r="FY3" i="53" a="1"/>
  <c r="GOO3" i="53" a="1"/>
  <c r="WKK3" i="53" a="1"/>
  <c r="SQ3" i="53" a="1"/>
  <c r="PGZ3" i="53" a="1"/>
  <c r="EGL3" i="53" a="1"/>
  <c r="TVT3" i="53" a="1"/>
  <c r="JXF3" i="53" a="1"/>
  <c r="MTC3" i="53" a="1"/>
  <c r="CJJ3" i="53" a="1"/>
  <c r="QPL3" i="53" a="1"/>
  <c r="THR3" i="53" a="1"/>
  <c r="KSN3" i="53" a="1"/>
  <c r="DZZ3" i="53" a="1"/>
  <c r="QXQ3" i="53" a="1"/>
  <c r="KAO3" i="53" a="1"/>
  <c r="OYG3" i="53" a="1"/>
  <c r="CCP3" i="53" a="1"/>
  <c r="SZF3" i="53" a="1"/>
  <c r="CSG3" i="53" a="1"/>
  <c r="UCM3" i="53" a="1"/>
  <c r="AUX3" i="53" a="1"/>
  <c r="JWJ3" i="53" a="1"/>
  <c r="CUY3" i="53" a="1"/>
  <c r="BNR3" i="53" a="1"/>
  <c r="PFG3" i="53" a="1"/>
  <c r="BBS3" i="53" a="1"/>
  <c r="MCK3" i="53" a="1"/>
  <c r="OLK3" i="53" a="1"/>
  <c r="HUY3" i="53" a="1"/>
  <c r="WWH3" i="53" a="1"/>
  <c r="CUE3" i="53" a="1"/>
  <c r="SH3" i="53" a="1"/>
  <c r="DTC3" i="53" a="1"/>
  <c r="FQP3" i="53" a="1"/>
  <c r="TSN3" i="53" a="1"/>
  <c r="IEC3" i="53" a="1"/>
  <c r="DUW3" i="53" a="1"/>
  <c r="TQD3" i="53" a="1"/>
  <c r="AMO3" i="53" a="1"/>
  <c r="VVQ3" i="53" a="1"/>
  <c r="DCG3" i="53" a="1"/>
  <c r="SBZ3" i="53" a="1"/>
  <c r="IET3" i="53" a="1"/>
  <c r="RUX3" i="53" a="1"/>
  <c r="FAR3" i="53" a="1"/>
  <c r="IEP3" i="53" a="1"/>
  <c r="LME3" i="53" a="1"/>
  <c r="HUU3" i="53" a="1"/>
  <c r="SID3" i="53" a="1"/>
  <c r="UQC3" i="53" a="1"/>
  <c r="F30" i="53" a="1"/>
  <c r="OUP3" i="53" a="1"/>
  <c r="ROM3" i="53" a="1"/>
  <c r="IEQ3" i="53" a="1"/>
  <c r="RUB3" i="53" a="1"/>
  <c r="DLR3" i="53" a="1"/>
  <c r="LMR3" i="53" a="1"/>
  <c r="ORT3" i="53" a="1"/>
  <c r="QZD3" i="53" a="1"/>
  <c r="EZV3" i="53" a="1"/>
  <c r="MVA3" i="53" a="1"/>
  <c r="NKE3" i="53" a="1"/>
  <c r="OZT3" i="53" a="1"/>
  <c r="GTK3" i="53" a="1"/>
  <c r="TGY3" i="53" a="1"/>
  <c r="GQP3" i="53" a="1"/>
  <c r="EYO3" i="53" a="1"/>
  <c r="VLG3" i="53" a="1"/>
  <c r="AZ3" i="53" a="1"/>
  <c r="SHG3" i="53" a="1"/>
  <c r="OMJ3" i="53" a="1"/>
  <c r="QCG3" i="53" a="1"/>
  <c r="JUD3" i="53" a="1"/>
  <c r="JAH3" i="53" a="1"/>
  <c r="FXV3" i="53" a="1"/>
  <c r="QON3" i="53" a="1"/>
  <c r="HFV3" i="53" a="1"/>
  <c r="CWT3" i="53" a="1"/>
  <c r="UEC3" i="53" a="1"/>
  <c r="KMF3" i="53" a="1"/>
  <c r="H3" i="4" a="1"/>
  <c r="ASJ3" i="53" a="1"/>
  <c r="XBO3" i="53" a="1"/>
  <c r="AZX3" i="53" a="1"/>
  <c r="ALE3" i="53" a="1"/>
  <c r="JOZ3" i="53" a="1"/>
  <c r="MAK3" i="53" a="1"/>
  <c r="VRR3" i="53" a="1"/>
  <c r="UGF3" i="53" a="1"/>
  <c r="IMJ3" i="53" a="1"/>
  <c r="EEP3" i="53" a="1"/>
  <c r="QWJ3" i="53" a="1"/>
  <c r="CKD3" i="53" a="1"/>
  <c r="JAJ3" i="53" a="1"/>
  <c r="GZL3" i="53" a="1"/>
  <c r="MYU3" i="53" a="1"/>
  <c r="OSU3" i="53" a="1"/>
  <c r="H3" i="53" a="1"/>
  <c r="HMF3" i="53" a="1"/>
  <c r="VTR3" i="53" a="1"/>
  <c r="JSE3" i="53" a="1"/>
  <c r="CRY3" i="53" a="1"/>
  <c r="PPK3" i="53" a="1"/>
  <c r="HRK3" i="53" a="1"/>
  <c r="MFB3" i="53" a="1"/>
  <c r="IEG3" i="53" a="1"/>
  <c r="A3" i="1" a="1"/>
  <c r="KKZ3" i="53" a="1"/>
  <c r="OLZ3" i="53" a="1"/>
  <c r="FOS3" i="53" a="1"/>
  <c r="OBX3" i="53" a="1"/>
  <c r="HHF3" i="53" a="1"/>
  <c r="QSY3" i="53" a="1"/>
  <c r="OFE3" i="53" a="1"/>
  <c r="E70" i="53" a="1"/>
  <c r="KVV3" i="53" a="1"/>
  <c r="WZA3" i="53" a="1"/>
  <c r="LRN3" i="53" a="1"/>
  <c r="RII3" i="53" a="1"/>
  <c r="MGF3" i="53" a="1"/>
  <c r="HDW3" i="53" a="1"/>
  <c r="CII3" i="53" a="1"/>
  <c r="NBJ3" i="53" a="1"/>
  <c r="CMF3" i="53" a="1"/>
  <c r="KMA3" i="53" a="1"/>
  <c r="POI3" i="53" a="1"/>
  <c r="RMJ3" i="53" a="1"/>
  <c r="AKN3" i="53" a="1"/>
  <c r="UTT3" i="53" a="1"/>
  <c r="AGQ3" i="53" a="1"/>
  <c r="QWK3" i="53" a="1"/>
  <c r="UUO3" i="53" a="1"/>
  <c r="AJV3" i="53" a="1"/>
  <c r="HBF3" i="53" a="1"/>
  <c r="LTO3" i="53" a="1"/>
  <c r="NCQ3" i="53" a="1"/>
  <c r="WID3" i="53" a="1"/>
  <c r="BCY3" i="53" a="1"/>
  <c r="EMD3" i="53" a="1"/>
  <c r="GTM3" i="53" a="1"/>
  <c r="A3" i="26" a="1"/>
  <c r="EHC3" i="53" a="1"/>
  <c r="QNQ3" i="53" a="1"/>
  <c r="FUJ3" i="53" a="1"/>
  <c r="KFA3" i="53" a="1"/>
  <c r="AVW3" i="53" a="1"/>
  <c r="SFW3" i="53" a="1"/>
  <c r="HEW3" i="53" a="1"/>
  <c r="TRW3" i="53" a="1"/>
  <c r="EUM3" i="53" a="1"/>
  <c r="KSB3" i="53" a="1"/>
  <c r="TVU3" i="53" a="1"/>
  <c r="C183" i="27" a="1"/>
  <c r="WGW3" i="53" a="1"/>
  <c r="CCA3" i="53" a="1"/>
  <c r="QRK3" i="53" a="1"/>
  <c r="VHD3" i="53" a="1"/>
  <c r="LCV3" i="53" a="1"/>
  <c r="EYV3" i="53" a="1"/>
  <c r="XAV3" i="53" a="1"/>
  <c r="MTV3" i="53" a="1"/>
  <c r="HNH3" i="53" a="1"/>
  <c r="ICI3" i="53" a="1"/>
  <c r="CSF3" i="53" a="1"/>
  <c r="BIF3" i="53" a="1"/>
  <c r="HIF3" i="53" a="1"/>
  <c r="HBY3" i="53" a="1"/>
  <c r="JNS3" i="53" a="1"/>
  <c r="CMD3" i="53" a="1"/>
  <c r="SYX3" i="53" a="1"/>
  <c r="FRZ3" i="53" a="1"/>
  <c r="EXK3" i="53" a="1"/>
  <c r="E3" i="5" a="1"/>
  <c r="WYW3" i="53" a="1"/>
  <c r="GQD3" i="53" a="1"/>
  <c r="TZZ3" i="53" a="1"/>
  <c r="EWQ3" i="53" a="1"/>
  <c r="RKJ3" i="53" a="1"/>
  <c r="PKF3" i="53" a="1"/>
  <c r="FAO3" i="53" a="1"/>
  <c r="AOT3" i="53" a="1"/>
  <c r="JAN3" i="53" a="1"/>
  <c r="JBV3" i="53" a="1"/>
  <c r="OEM3" i="53" a="1"/>
  <c r="CDM3" i="53" a="1"/>
  <c r="SDT3" i="53" a="1"/>
  <c r="EHM3" i="53" a="1"/>
  <c r="VXU3" i="53" a="1"/>
  <c r="SEH3" i="53" a="1"/>
  <c r="MCV3" i="53" a="1"/>
  <c r="QRS3" i="53" a="1"/>
  <c r="TFM3" i="53" a="1"/>
  <c r="JBF3" i="53" a="1"/>
  <c r="CWL3" i="53" a="1"/>
  <c r="CDK3" i="53" a="1"/>
  <c r="G3" i="56" a="1"/>
  <c r="GYB3" i="53" a="1"/>
  <c r="PQA3" i="53" a="1"/>
  <c r="EVI3" i="53" a="1"/>
  <c r="BHC3" i="53" a="1"/>
  <c r="FPO3" i="53" a="1"/>
  <c r="HMV3" i="53" a="1"/>
  <c r="CPU3" i="53" a="1"/>
  <c r="DAZ3" i="53" a="1"/>
  <c r="OA3" i="53" a="1"/>
  <c r="SNP3" i="53" a="1"/>
  <c r="NMI3" i="53" a="1"/>
  <c r="OUB3" i="53" a="1"/>
  <c r="DRK3" i="53" a="1"/>
  <c r="AUU3" i="53" a="1"/>
  <c r="IZO3" i="53" a="1"/>
  <c r="NHX3" i="53" a="1"/>
  <c r="MBI3" i="53" a="1"/>
  <c r="EOX3" i="53" a="1"/>
  <c r="FRD3" i="53" a="1"/>
  <c r="AF3" i="53" a="1"/>
  <c r="LPZ3" i="53" a="1"/>
  <c r="TDI3" i="53" a="1"/>
  <c r="NYL3" i="53" a="1"/>
  <c r="GUL3" i="53" a="1"/>
  <c r="UZZ3" i="53" a="1"/>
  <c r="AUT3" i="53" a="1"/>
  <c r="BEI3" i="53" a="1"/>
  <c r="JQZ3" i="53" a="1"/>
  <c r="UDB3" i="53" a="1"/>
  <c r="HQB3" i="53" a="1"/>
  <c r="OBH3" i="53" a="1"/>
  <c r="KB3" i="53" a="1"/>
  <c r="NZX3" i="53" a="1"/>
  <c r="ADE3" i="53" a="1"/>
  <c r="MUO3" i="53" a="1"/>
  <c r="NKH3" i="53" a="1"/>
  <c r="DHF3" i="53" a="1"/>
  <c r="CLS3" i="53" a="1"/>
  <c r="CTM3" i="53" a="1"/>
  <c r="HUL3" i="53" a="1"/>
  <c r="DJG3" i="53" a="1"/>
  <c r="MRU3" i="53" a="1"/>
  <c r="AQO3" i="53" a="1"/>
  <c r="AU3" i="53" a="1"/>
  <c r="GRP3" i="53" a="1"/>
  <c r="BPG3" i="53" a="1"/>
  <c r="DHM3" i="53" a="1"/>
  <c r="LBU3" i="53" a="1"/>
  <c r="JSP3" i="53" a="1"/>
  <c r="OTZ3" i="53" a="1"/>
  <c r="WAS3" i="53" a="1"/>
  <c r="RHC3" i="53" a="1"/>
  <c r="JXL3" i="53" a="1"/>
  <c r="PKD3" i="53" a="1"/>
  <c r="DEN3" i="53" a="1"/>
  <c r="OEX3" i="53" a="1"/>
  <c r="PB3" i="53" a="1"/>
  <c r="AGY3" i="53" a="1"/>
  <c r="JDX3" i="53" a="1"/>
  <c r="PGK3" i="53" a="1"/>
  <c r="BAJ3" i="53" a="1"/>
  <c r="LUT3" i="53" a="1"/>
  <c r="COR3" i="53" a="1"/>
  <c r="CFR3" i="53" a="1"/>
  <c r="URY3" i="53" a="1"/>
  <c r="TQB3" i="53" a="1"/>
  <c r="OLU3" i="53" a="1"/>
  <c r="GGK3" i="53" a="1"/>
  <c r="AJC3" i="53" a="1"/>
  <c r="HUP3" i="53" a="1"/>
  <c r="SW3" i="53" a="1"/>
  <c r="RHY3" i="53" a="1"/>
  <c r="RLH3" i="53" a="1"/>
  <c r="E148" i="27" a="1"/>
  <c r="CGK3" i="53" a="1"/>
  <c r="LUN3" i="53" a="1"/>
  <c r="JIH3" i="53" a="1"/>
  <c r="SXJ3" i="53" a="1"/>
  <c r="JGQ3" i="53" a="1"/>
  <c r="RCQ3" i="53" a="1"/>
  <c r="JGX3" i="53" a="1"/>
  <c r="LZJ3" i="53" a="1"/>
  <c r="LZL3" i="53" a="1"/>
  <c r="TDQ3" i="53" a="1"/>
  <c r="HIA3" i="53" a="1"/>
  <c r="F38" i="53" a="1"/>
  <c r="F42" i="53" a="1"/>
  <c r="FHD3" i="53" a="1"/>
  <c r="PZI3" i="53" a="1"/>
  <c r="CTL3" i="53" a="1"/>
  <c r="OAY3" i="53" a="1"/>
  <c r="TSF3" i="53" a="1"/>
  <c r="HPW3" i="53" a="1"/>
  <c r="ENX3" i="53" a="1"/>
  <c r="AVJ3" i="53" a="1"/>
  <c r="RUC3" i="53" a="1"/>
  <c r="ADT3" i="53" a="1"/>
  <c r="NHF3" i="53" a="1"/>
  <c r="MCI3" i="53" a="1"/>
  <c r="IOQ3" i="53" a="1"/>
  <c r="F17" i="53" a="1"/>
  <c r="OCU3" i="53" a="1"/>
  <c r="KBI3" i="53" a="1"/>
  <c r="OLY3" i="53" a="1"/>
  <c r="UTG3" i="53" a="1"/>
  <c r="TKL3" i="53" a="1"/>
  <c r="WIE3" i="53" a="1"/>
  <c r="EPU3" i="53" a="1"/>
  <c r="UTJ3" i="53" a="1"/>
  <c r="IAJ3" i="53" a="1"/>
  <c r="EWK3" i="53" a="1"/>
  <c r="DVA3" i="53" a="1"/>
  <c r="FWR3" i="53" a="1"/>
  <c r="UIK3" i="53" a="1"/>
  <c r="TEM3" i="53" a="1"/>
  <c r="DSD3" i="53" a="1"/>
  <c r="UJG3" i="53" a="1"/>
  <c r="DNW3" i="53" a="1"/>
  <c r="VJH3" i="53" a="1"/>
  <c r="AHH3" i="53" a="1"/>
  <c r="DBD3" i="53" a="1"/>
  <c r="ECB3" i="53" a="1"/>
  <c r="DOD3" i="53" a="1"/>
  <c r="HSP3" i="53" a="1"/>
  <c r="BGW3" i="53" a="1"/>
  <c r="LZR3" i="53" a="1"/>
  <c r="JXV3" i="53" a="1"/>
  <c r="MQY3" i="53" a="1"/>
  <c r="SSF3" i="53" a="1"/>
  <c r="FTU3" i="53" a="1"/>
  <c r="JPR3" i="53" a="1"/>
  <c r="FSC3" i="53" a="1"/>
  <c r="PVY3" i="53" a="1"/>
  <c r="FJG3" i="53" a="1"/>
  <c r="EKL3" i="53" a="1"/>
  <c r="DTQ3" i="53" a="1"/>
  <c r="VFP3" i="53" a="1"/>
  <c r="OBB3" i="53" a="1"/>
  <c r="ARB3" i="53" a="1"/>
  <c r="SRD3" i="53" a="1"/>
  <c r="VMR3" i="53" a="1"/>
  <c r="EKN3" i="53" a="1"/>
  <c r="OZE3" i="53" a="1"/>
  <c r="DJT3" i="53" a="1"/>
  <c r="DVG3" i="53" a="1"/>
  <c r="E32" i="53" a="1"/>
  <c r="QOE3" i="53" a="1"/>
  <c r="KFI3" i="53" a="1"/>
  <c r="FAC3" i="53" a="1"/>
  <c r="TDW3" i="53" a="1"/>
  <c r="KGV3" i="53" a="1"/>
  <c r="IZU3" i="53" a="1"/>
  <c r="BST3" i="53" a="1"/>
  <c r="PCB3" i="53" a="1"/>
  <c r="KPW3" i="53" a="1"/>
  <c r="UNE3" i="53" a="1"/>
  <c r="ECV3" i="53" a="1"/>
  <c r="KQU3" i="53" a="1"/>
  <c r="BOT3" i="53" a="1"/>
  <c r="WYY3" i="53" a="1"/>
  <c r="OES3" i="53" a="1"/>
  <c r="LQR3" i="53" a="1"/>
  <c r="CSM3" i="53" a="1"/>
  <c r="KNB3" i="53" a="1"/>
  <c r="AJA3" i="53" a="1"/>
  <c r="FAX3" i="53" a="1"/>
  <c r="MBS3" i="53" a="1"/>
  <c r="CEV3" i="53" a="1"/>
  <c r="JNL3" i="53" a="1"/>
  <c r="CN3" i="53" a="1"/>
  <c r="NRX3" i="53" a="1"/>
  <c r="E160" i="27" a="1"/>
  <c r="TRF3" i="53" a="1"/>
  <c r="UGS3" i="53" a="1"/>
  <c r="HIJ3" i="53" a="1"/>
  <c r="QND3" i="53" a="1"/>
  <c r="WSW3" i="53" a="1"/>
  <c r="IXB3" i="53" a="1"/>
  <c r="AWE3" i="53" a="1"/>
  <c r="HGB3" i="53" a="1"/>
  <c r="WGM3" i="53" a="1"/>
  <c r="UTS3" i="53" a="1"/>
  <c r="KLU3" i="53" a="1"/>
  <c r="IYO3" i="53" a="1"/>
  <c r="BYK3" i="53" a="1"/>
  <c r="EWP3" i="53" a="1"/>
  <c r="C187" i="27" a="1"/>
  <c r="NWW3" i="53" a="1"/>
  <c r="SSG3" i="53" a="1"/>
  <c r="KHU3" i="53" a="1"/>
  <c r="CAX3" i="53" a="1"/>
  <c r="FHV3" i="53" a="1"/>
  <c r="KIC3" i="53" a="1"/>
  <c r="KCL3" i="53" a="1"/>
  <c r="UEJ3" i="53" a="1"/>
  <c r="DTF3" i="53" a="1"/>
  <c r="RQY3" i="53" a="1"/>
  <c r="THO3" i="53" a="1"/>
  <c r="NNJ3" i="53" a="1"/>
  <c r="HJN3" i="53" a="1"/>
  <c r="KKI3" i="53" a="1"/>
  <c r="DXL3" i="53" a="1"/>
  <c r="QWB3" i="53" a="1"/>
  <c r="HMP3" i="53" a="1"/>
  <c r="EME3" i="53" a="1"/>
  <c r="LRI3" i="53" a="1"/>
  <c r="MVS3" i="53" a="1"/>
  <c r="KKX3" i="53" a="1"/>
  <c r="PKB3" i="53" a="1"/>
  <c r="DJI3" i="53" a="1"/>
  <c r="GPR3" i="53" a="1"/>
  <c r="RXY3" i="53" a="1"/>
  <c r="VDT3" i="53" a="1"/>
  <c r="EZK3" i="53" a="1"/>
  <c r="MGG3" i="53" a="1"/>
  <c r="BQK3" i="53" a="1"/>
  <c r="SVP3" i="53" a="1"/>
  <c r="VHU3" i="53" a="1"/>
  <c r="TCG3" i="53" a="1"/>
  <c r="QDE3" i="53" a="1"/>
  <c r="FGI3" i="53" a="1"/>
  <c r="BAI3" i="53" a="1"/>
  <c r="JIP3" i="53" a="1"/>
  <c r="FTA3" i="53" a="1"/>
  <c r="SMG3" i="53" a="1"/>
  <c r="JP3" i="53" a="1"/>
  <c r="JEJ3" i="53" a="1"/>
  <c r="LZT3" i="53" a="1"/>
  <c r="E372" i="27" a="1"/>
  <c r="SZS3" i="53" a="1"/>
  <c r="ESQ3" i="53" a="1"/>
  <c r="KDP3" i="53" a="1"/>
  <c r="NEW3" i="53" a="1"/>
  <c r="NNI3" i="53" a="1"/>
  <c r="JBE3" i="53" a="1"/>
  <c r="OAB3" i="53" a="1"/>
  <c r="CCO3" i="53" a="1"/>
  <c r="UVX3" i="53" a="1"/>
  <c r="WMQ3" i="53" a="1"/>
  <c r="SEE3" i="53" a="1"/>
  <c r="GLQ3" i="53" a="1"/>
  <c r="QMD3" i="53" a="1"/>
  <c r="ARX3" i="53" a="1"/>
  <c r="RAQ3" i="53" a="1"/>
  <c r="ANF3" i="53" a="1"/>
  <c r="GJZ3" i="53" a="1"/>
  <c r="GOM3" i="53" a="1"/>
  <c r="JMW3" i="53" a="1"/>
  <c r="RCI3" i="53" a="1"/>
  <c r="E31" i="53" a="1"/>
  <c r="HGG3" i="53" a="1"/>
  <c r="LPJ3" i="53" a="1"/>
  <c r="NLQ3" i="53" a="1"/>
  <c r="IUO3" i="53" a="1"/>
  <c r="TFX3" i="53" a="1"/>
  <c r="JUP3" i="53" a="1"/>
  <c r="JDU3" i="53" a="1"/>
  <c r="LRR3" i="53" a="1"/>
  <c r="VHK3" i="53" a="1"/>
  <c r="NOK3" i="53" a="1"/>
  <c r="RD3" i="53" a="1"/>
  <c r="NYN3" i="53" a="1"/>
  <c r="OAJ3" i="53" a="1"/>
  <c r="QJN3" i="53" a="1"/>
  <c r="LAN3" i="53" a="1"/>
  <c r="RXD3" i="53" a="1"/>
  <c r="HGT3" i="53" a="1"/>
  <c r="QVU3" i="53" a="1"/>
  <c r="DWL3" i="53" a="1"/>
  <c r="ITQ3" i="53" a="1"/>
  <c r="QMU3" i="53" a="1"/>
  <c r="JNV3" i="53" a="1"/>
  <c r="JJP3" i="53" a="1"/>
  <c r="LCT3" i="53" a="1"/>
  <c r="IAN3" i="53" a="1"/>
  <c r="QKB3" i="53" a="1"/>
  <c r="L3" i="53" a="1"/>
  <c r="EQJ3" i="53" a="1"/>
  <c r="RYR3" i="53" a="1"/>
  <c r="SED3" i="53" a="1"/>
  <c r="UAN3" i="53" a="1"/>
  <c r="SYB3" i="53" a="1"/>
  <c r="HJY3" i="53" a="1"/>
  <c r="UJR3" i="53" a="1"/>
  <c r="GDF3" i="53" a="1"/>
  <c r="RYE3" i="53" a="1"/>
  <c r="FV3" i="53" a="1"/>
  <c r="JYB3" i="53" a="1"/>
  <c r="PRB3" i="53" a="1"/>
  <c r="APR3" i="53" a="1"/>
  <c r="FYX3" i="53" a="1"/>
  <c r="KNT3" i="53" a="1"/>
  <c r="DWH3" i="53" a="1"/>
  <c r="BJI3" i="53" a="1"/>
  <c r="PCM3" i="53" a="1"/>
  <c r="NJV3" i="53" a="1"/>
  <c r="SGV3" i="53" a="1"/>
  <c r="C3" i="47" a="1"/>
  <c r="JHY3" i="53" a="1"/>
  <c r="REI3" i="53" a="1"/>
  <c r="AFO3" i="53" a="1"/>
  <c r="PIO3" i="53" a="1"/>
  <c r="PYL3" i="53" a="1"/>
  <c r="BTO3" i="53" a="1"/>
  <c r="HCA3" i="53" a="1"/>
  <c r="SJL3" i="53" a="1"/>
  <c r="KJY3" i="53" a="1"/>
  <c r="JEW3" i="53" a="1"/>
  <c r="PUM3" i="53" a="1"/>
  <c r="XAW3" i="53" a="1"/>
  <c r="JWE3" i="53" a="1"/>
  <c r="UOS3" i="53" a="1"/>
  <c r="FST3" i="53" a="1"/>
  <c r="KXY3" i="53" a="1"/>
  <c r="DMG3" i="53" a="1"/>
  <c r="DEQ3" i="53" a="1"/>
  <c r="AST3" i="53" a="1"/>
  <c r="JBI3" i="53" a="1"/>
  <c r="LEU3" i="53" a="1"/>
  <c r="PEI3" i="53" a="1"/>
  <c r="IHL3" i="53" a="1"/>
  <c r="NAV3" i="53" a="1"/>
  <c r="DQV3" i="53" a="1"/>
  <c r="LLF3" i="53" a="1"/>
  <c r="TVZ3" i="53" a="1"/>
  <c r="DYU3" i="53" a="1"/>
  <c r="QUX3" i="53" a="1"/>
  <c r="RTR3" i="53" a="1"/>
  <c r="FCN3" i="53" a="1"/>
  <c r="NWP3" i="53" a="1"/>
  <c r="VBL3" i="53" a="1"/>
  <c r="CVF3" i="53" a="1"/>
  <c r="F3" i="53" a="1"/>
  <c r="GCQ3" i="53" a="1"/>
  <c r="JXM3" i="53" a="1"/>
  <c r="WIU3" i="53" a="1"/>
  <c r="MVO3" i="53" a="1"/>
  <c r="BWC3" i="53" a="1"/>
  <c r="UKU3" i="53" a="1"/>
  <c r="SIP3" i="53" a="1"/>
  <c r="OGD3" i="53" a="1"/>
  <c r="IWR3" i="53" a="1"/>
  <c r="TTP3" i="53" a="1"/>
  <c r="JFU3" i="53" a="1"/>
  <c r="OMG3" i="53" a="1"/>
  <c r="WAG3" i="53" a="1"/>
  <c r="GZG3" i="53" a="1"/>
  <c r="JML3" i="53" a="1"/>
  <c r="MDX3" i="53" a="1"/>
  <c r="CZP3" i="53" a="1"/>
  <c r="FSY3" i="53" a="1"/>
  <c r="E320" i="27" a="1"/>
  <c r="HZU3" i="53" a="1"/>
  <c r="WSY3" i="53" a="1"/>
  <c r="JWG3" i="53" a="1"/>
  <c r="WMP3" i="53" a="1"/>
  <c r="UCK3" i="53" a="1"/>
  <c r="QSJ3" i="53" a="1"/>
  <c r="CJU3" i="53" a="1"/>
  <c r="BHF3" i="53" a="1"/>
  <c r="CWW3" i="53" a="1"/>
  <c r="WUX3" i="53" a="1"/>
  <c r="GBH3" i="53" a="1"/>
  <c r="TPE3" i="53" a="1"/>
  <c r="BTF3" i="53" a="1"/>
  <c r="EMU3" i="53" a="1"/>
  <c r="FBM3" i="53" a="1"/>
  <c r="UAT3" i="53" a="1"/>
  <c r="UVT3" i="53" a="1"/>
  <c r="GMJ3" i="53" a="1"/>
  <c r="NWR3" i="53" a="1"/>
  <c r="NOC3" i="53" a="1"/>
  <c r="QQZ3" i="53" a="1"/>
  <c r="EKY3" i="53" a="1"/>
  <c r="UGZ3" i="53" a="1"/>
  <c r="RQQ3" i="53" a="1"/>
  <c r="EDD3" i="53" a="1"/>
  <c r="RXZ3" i="53" a="1"/>
  <c r="VXS3" i="53" a="1"/>
  <c r="LXA3" i="53" a="1"/>
  <c r="OET3" i="53" a="1"/>
  <c r="GZE3" i="53" a="1"/>
  <c r="MJM3" i="53" a="1"/>
  <c r="EOT3" i="53" a="1"/>
  <c r="SQU3" i="53" a="1"/>
  <c r="OPT3" i="53" a="1"/>
  <c r="UKZ3" i="53" a="1"/>
  <c r="SVO3" i="53" a="1"/>
  <c r="BZN3" i="53" a="1"/>
  <c r="UXN3" i="53" a="1"/>
  <c r="STP3" i="53" a="1"/>
  <c r="LUF3" i="53" a="1"/>
  <c r="WYN3" i="53" a="1"/>
  <c r="JYW3" i="53" a="1"/>
  <c r="RQX3" i="53" a="1"/>
  <c r="WCD3" i="53" a="1"/>
  <c r="WHX3" i="53" a="1"/>
  <c r="BOA3" i="53" a="1"/>
  <c r="QHP3" i="53" a="1"/>
  <c r="ILK3" i="53" a="1"/>
  <c r="RKO3" i="53" a="1"/>
  <c r="GGN3" i="53" a="1"/>
  <c r="LAC3" i="53" a="1"/>
  <c r="TXT3" i="53" a="1"/>
  <c r="C211" i="27" a="1"/>
  <c r="EEX3" i="53" a="1"/>
  <c r="NFW3" i="53" a="1"/>
  <c r="QYY3" i="53" a="1"/>
  <c r="HCK3" i="53" a="1"/>
  <c r="RZI3" i="53" a="1"/>
  <c r="IOO3" i="53" a="1"/>
  <c r="GNX3" i="53" a="1"/>
  <c r="PFX3" i="53" a="1"/>
  <c r="FXU3" i="53" a="1"/>
  <c r="PHR3" i="53" a="1"/>
  <c r="SAU3" i="53" a="1"/>
  <c r="HFW3" i="53" a="1"/>
  <c r="LOS3" i="53" a="1"/>
  <c r="BJW3" i="53" a="1"/>
  <c r="SSK3" i="53" a="1"/>
  <c r="CPZ3" i="53" a="1"/>
  <c r="CEM3" i="53" a="1"/>
  <c r="DIR3" i="53" a="1"/>
  <c r="BIV3" i="53" a="1"/>
  <c r="ONY3" i="53" a="1"/>
  <c r="FHR3" i="53" a="1"/>
  <c r="GSE3" i="53" a="1"/>
  <c r="OXH3" i="53" a="1"/>
  <c r="AGM3" i="53" a="1"/>
  <c r="MRM3" i="53" a="1"/>
  <c r="NZI3" i="53" a="1"/>
  <c r="AOA3" i="53" a="1"/>
  <c r="JXT3" i="53" a="1"/>
  <c r="WJN3" i="53" a="1"/>
  <c r="LYL3" i="53" a="1"/>
  <c r="OBK3" i="53" a="1"/>
  <c r="QOA3" i="53" a="1"/>
  <c r="SWJ3" i="53" a="1"/>
  <c r="IRM3" i="53" a="1"/>
  <c r="OHK3" i="53" a="1"/>
  <c r="GNR3" i="53" a="1"/>
  <c r="NMP3" i="53" a="1"/>
  <c r="NBA3" i="53" a="1"/>
  <c r="RQJ3" i="53" a="1"/>
  <c r="NIJ3" i="53" a="1"/>
  <c r="ERS3" i="53" a="1"/>
  <c r="EWL3" i="53" a="1"/>
  <c r="RVK3" i="53" a="1"/>
  <c r="GP3" i="53" a="1"/>
  <c r="GVM3" i="53" a="1"/>
  <c r="PZX3" i="53" a="1"/>
  <c r="NMY3" i="53" a="1"/>
  <c r="KUN3" i="53" a="1"/>
  <c r="IPT3" i="53" a="1"/>
  <c r="GV3" i="53" a="1"/>
  <c r="SKR3" i="53" a="1"/>
  <c r="URL3" i="53" a="1"/>
  <c r="E3" i="3" a="1"/>
  <c r="TMD3" i="53" a="1"/>
  <c r="FAU3" i="53" a="1"/>
  <c r="IXC3" i="53" a="1"/>
  <c r="BCS3" i="53" a="1"/>
  <c r="IOU3" i="53" a="1"/>
  <c r="TQQ3" i="53" a="1"/>
  <c r="TGA3" i="53" a="1"/>
  <c r="WJU3" i="53" a="1"/>
  <c r="FEM3" i="53" a="1"/>
  <c r="EDH3" i="53" a="1"/>
  <c r="TTY3" i="53" a="1"/>
  <c r="MCE3" i="53" a="1"/>
  <c r="VSE3" i="53" a="1"/>
  <c r="SNJ3" i="53" a="1"/>
  <c r="GJK3" i="53" a="1"/>
  <c r="BWT3" i="53" a="1"/>
  <c r="CCU3" i="53" a="1"/>
  <c r="QMQ3" i="53" a="1"/>
  <c r="FKQ3" i="53" a="1"/>
  <c r="ATW3" i="53" a="1"/>
  <c r="ONB3" i="53" a="1"/>
  <c r="OVP3" i="53" a="1"/>
  <c r="TYU3" i="53" a="1"/>
  <c r="VLL3" i="53" a="1"/>
  <c r="IMU3" i="53" a="1"/>
  <c r="LU3" i="53" a="1"/>
  <c r="MYK3" i="53" a="1"/>
  <c r="DTZ3" i="53" a="1"/>
  <c r="FEL3" i="53" a="1"/>
  <c r="PTA3" i="53" a="1"/>
  <c r="TVQ3" i="53" a="1"/>
  <c r="EXC3" i="53" a="1"/>
  <c r="KWX3" i="53" a="1"/>
  <c r="GYY3" i="53" a="1"/>
  <c r="GXT3" i="53" a="1"/>
  <c r="UJE3" i="53" a="1"/>
  <c r="KPN3" i="53" a="1"/>
  <c r="AAQ3" i="53" a="1"/>
  <c r="USM3" i="53" a="1"/>
  <c r="KZH3" i="53" a="1"/>
  <c r="DDL3" i="53" a="1"/>
  <c r="OBV3" i="53" a="1"/>
  <c r="TCA3" i="53" a="1"/>
  <c r="RR3" i="53" a="1"/>
  <c r="FNM3" i="53" a="1"/>
  <c r="EXS3" i="53" a="1"/>
  <c r="SXS3" i="53" a="1"/>
  <c r="LK3" i="53" a="1"/>
  <c r="TIA3" i="53" a="1"/>
  <c r="FYH3" i="53" a="1"/>
  <c r="ITD3" i="53" a="1"/>
  <c r="THP3" i="53" a="1"/>
  <c r="ANP3" i="53" a="1"/>
  <c r="HCL3" i="53" a="1"/>
  <c r="JNT3" i="53" a="1"/>
  <c r="RHG3" i="53" a="1"/>
  <c r="HQP3" i="53" a="1"/>
  <c r="PEX3" i="53" a="1"/>
  <c r="VJX3" i="53" a="1"/>
  <c r="EAJ3" i="53" a="1"/>
  <c r="DSP3" i="53" a="1"/>
  <c r="SCU3" i="53" a="1"/>
  <c r="NTI3" i="53" a="1"/>
  <c r="BJH3" i="53" a="1"/>
  <c r="MGH3" i="53" a="1"/>
  <c r="GMY3" i="53" a="1"/>
  <c r="OJ3" i="53" a="1"/>
  <c r="JYM3" i="53" a="1"/>
  <c r="QBH3" i="53" a="1"/>
  <c r="VSH3" i="53" a="1"/>
  <c r="SJQ3" i="53" a="1"/>
  <c r="YV3" i="53" a="1"/>
  <c r="IMS3" i="53" a="1"/>
  <c r="NQX3" i="53" a="1"/>
  <c r="ROK3" i="53" a="1"/>
  <c r="LBP3" i="53" a="1"/>
  <c r="LRU3" i="53" a="1"/>
  <c r="ONV3" i="53" a="1"/>
  <c r="VV3" i="53" a="1"/>
  <c r="TKG3" i="53" a="1"/>
  <c r="NPZ3" i="53" a="1"/>
  <c r="QVK3" i="53" a="1"/>
  <c r="HQY3" i="53" a="1"/>
  <c r="VXY3" i="53" a="1"/>
  <c r="QWQ3" i="53" a="1"/>
  <c r="BQL3" i="53" a="1"/>
  <c r="NDQ3" i="53" a="1"/>
  <c r="KED3" i="53" a="1"/>
  <c r="WFX3" i="53" a="1"/>
  <c r="RIN3" i="53" a="1"/>
  <c r="XBT3" i="53" a="1"/>
  <c r="KOC3" i="53" a="1"/>
  <c r="RCU3" i="53" a="1"/>
  <c r="DCR3" i="53" a="1"/>
  <c r="RZB3" i="53" a="1"/>
  <c r="NAB3" i="53" a="1"/>
  <c r="FIX3" i="53" a="1"/>
  <c r="AOQ3" i="53" a="1"/>
  <c r="LEO3" i="53" a="1"/>
  <c r="F27" i="53" a="1"/>
  <c r="KV3" i="53" a="1"/>
  <c r="BHR3" i="53" a="1"/>
  <c r="CLP3" i="53" a="1"/>
  <c r="EZS3" i="53" a="1"/>
  <c r="JWR3" i="53" a="1"/>
  <c r="TPH3" i="53" a="1"/>
  <c r="NUG3" i="53" a="1"/>
  <c r="NZU3" i="53" a="1"/>
  <c r="IMY3" i="53" a="1"/>
  <c r="OCX3" i="53" a="1"/>
  <c r="ELH3" i="53" a="1"/>
  <c r="HPR3" i="53" a="1"/>
  <c r="GKA3" i="53" a="1"/>
  <c r="FMK3" i="53" a="1"/>
  <c r="I3" i="4" a="1"/>
  <c r="PGX3" i="53" a="1"/>
  <c r="EXT3" i="53" a="1"/>
  <c r="FTD3" i="53" a="1"/>
  <c r="IYE3" i="53" a="1"/>
  <c r="TOT3" i="53" a="1"/>
  <c r="LJY3" i="53" a="1"/>
  <c r="WVY3" i="53" a="1"/>
  <c r="SAY3" i="53" a="1"/>
  <c r="RLW3" i="53" a="1"/>
  <c r="AYZ3" i="53" a="1"/>
  <c r="IXE3" i="53" a="1"/>
  <c r="ABF3" i="53" a="1"/>
  <c r="RMH3" i="53" a="1"/>
  <c r="BVS3" i="53" a="1"/>
  <c r="PZH3" i="53" a="1"/>
  <c r="JMV3" i="53" a="1"/>
  <c r="MNC3" i="53" a="1"/>
  <c r="BFO3" i="53" a="1"/>
  <c r="NCM3" i="53" a="1"/>
  <c r="QNB3" i="53" a="1"/>
  <c r="CPI3" i="53" a="1"/>
  <c r="KZB3" i="53" a="1"/>
  <c r="TCU3" i="53" a="1"/>
  <c r="KNZ3" i="53" a="1"/>
  <c r="ODQ3" i="53" a="1"/>
  <c r="FWH3" i="53" a="1"/>
  <c r="BRD3" i="53" a="1"/>
  <c r="QQK3" i="53" a="1"/>
  <c r="PYK3" i="53" a="1"/>
  <c r="KIA3" i="53" a="1"/>
  <c r="KX3" i="53" a="1"/>
  <c r="BPS3" i="53" a="1"/>
  <c r="OQE3" i="53" a="1"/>
  <c r="IVX3" i="53" a="1"/>
  <c r="CHZ3" i="53" a="1"/>
  <c r="VYI3" i="53" a="1"/>
  <c r="FOC3" i="53" a="1"/>
  <c r="HHL3" i="53" a="1"/>
  <c r="KQQ3" i="53" a="1"/>
  <c r="LQM3" i="53" a="1"/>
  <c r="EVV3" i="53" a="1"/>
  <c r="VG3" i="53" a="1"/>
  <c r="WWC3" i="53" a="1"/>
  <c r="TYM3" i="53" a="1"/>
  <c r="KBP3" i="53" a="1"/>
  <c r="EMO3" i="53" a="1"/>
  <c r="MAS3" i="53" a="1"/>
  <c r="DHB3" i="53" a="1"/>
  <c r="EWF3" i="53" a="1"/>
  <c r="UAS3" i="53" a="1"/>
  <c r="JEL3" i="53" a="1"/>
  <c r="JXE3" i="53" a="1"/>
  <c r="GVG3" i="53" a="1"/>
  <c r="KEI3" i="53" a="1"/>
  <c r="KAK3" i="53" a="1"/>
  <c r="VMK3" i="53" a="1"/>
  <c r="AVH3" i="53" a="1"/>
  <c r="UOH3" i="53" a="1"/>
  <c r="AOM3" i="53" a="1"/>
  <c r="MYE3" i="53" a="1"/>
  <c r="CCC3" i="53" a="1"/>
  <c r="NUT3" i="53" a="1"/>
  <c r="KOA3" i="53" a="1"/>
  <c r="TYG3" i="53" a="1"/>
  <c r="TFN3" i="53" a="1"/>
  <c r="PT3" i="53" a="1"/>
  <c r="KCT3" i="53" a="1"/>
  <c r="LWO3" i="53" a="1"/>
  <c r="SGX3" i="53" a="1"/>
  <c r="TSK3" i="53" a="1"/>
  <c r="IBP3" i="53" a="1"/>
  <c r="DHP3" i="53" a="1"/>
  <c r="PPG3" i="53" a="1"/>
  <c r="EXJ3" i="53" a="1"/>
  <c r="JTW3" i="53" a="1"/>
  <c r="QCV3" i="53" a="1"/>
  <c r="TEW3" i="53" a="1"/>
  <c r="JMB3" i="53" a="1"/>
  <c r="ROX3" i="53" a="1"/>
  <c r="OMO3" i="53" a="1"/>
  <c r="GMK3" i="53" a="1"/>
  <c r="FXZ3" i="53" a="1"/>
  <c r="FIZ3" i="53" a="1"/>
  <c r="WFG3" i="53" a="1"/>
  <c r="EFH3" i="53" a="1"/>
  <c r="VLJ3" i="53" a="1"/>
  <c r="RIE3" i="53" a="1"/>
  <c r="DBA3" i="53" a="1"/>
  <c r="CRM3" i="53" a="1"/>
  <c r="PYR3" i="53" a="1"/>
  <c r="WPS3" i="53" a="1"/>
  <c r="WUV3" i="53" a="1"/>
  <c r="GCE3" i="53" a="1"/>
  <c r="PBL3" i="53" a="1"/>
  <c r="SIZ3" i="53" a="1"/>
  <c r="SKH3" i="53" a="1"/>
  <c r="UFK3" i="53" a="1"/>
  <c r="CTQ3" i="53" a="1"/>
  <c r="NYI3" i="53" a="1"/>
  <c r="LTH3" i="53" a="1"/>
  <c r="URG3" i="53" a="1"/>
  <c r="ILS3" i="53" a="1"/>
  <c r="FMB3" i="53" a="1"/>
  <c r="VPN3" i="53" a="1"/>
  <c r="ODY3" i="53" a="1"/>
  <c r="WJH3" i="53" a="1"/>
  <c r="C140" i="27" a="1"/>
  <c r="SQI3" i="53" a="1"/>
  <c r="KWI3" i="53" a="1"/>
  <c r="DCB3" i="53" a="1"/>
  <c r="E22" i="53" a="1"/>
  <c r="OZO3" i="53" a="1"/>
  <c r="BYW3" i="53" a="1"/>
  <c r="KWD3" i="53" a="1"/>
  <c r="VJA3" i="53" a="1"/>
  <c r="KGN3" i="53" a="1"/>
  <c r="KGC3" i="53" a="1"/>
  <c r="TTD3" i="53" a="1"/>
  <c r="FCP3" i="53" a="1"/>
  <c r="OFY3" i="53" a="1"/>
  <c r="SUG3" i="53" a="1"/>
  <c r="QFM3" i="53" a="1"/>
  <c r="NTC3" i="53" a="1"/>
  <c r="WLC3" i="53" a="1"/>
  <c r="PPI3" i="53" a="1"/>
  <c r="IRV3" i="53" a="1"/>
  <c r="EJP3" i="53" a="1"/>
  <c r="IEU3" i="53" a="1"/>
  <c r="AFZ3" i="53" a="1"/>
  <c r="HNJ3" i="53" a="1"/>
  <c r="UTM3" i="53" a="1"/>
  <c r="LJB3" i="53" a="1"/>
  <c r="EPZ3" i="53" a="1"/>
  <c r="MH3" i="53" a="1"/>
  <c r="EZR3" i="53" a="1"/>
  <c r="WMF3" i="53" a="1"/>
  <c r="IUS3" i="53" a="1"/>
  <c r="LUC3" i="53" a="1"/>
  <c r="NVX3" i="53" a="1"/>
  <c r="RWK3" i="53" a="1"/>
  <c r="WAT3" i="53" a="1"/>
  <c r="OXI3" i="53" a="1"/>
  <c r="HRH3" i="53" a="1"/>
  <c r="UAE3" i="53" a="1"/>
  <c r="KHL3" i="53" a="1"/>
  <c r="KSX3" i="53" a="1"/>
  <c r="JFG3" i="53" a="1"/>
  <c r="KSV3" i="53" a="1"/>
  <c r="TW3" i="53" a="1"/>
  <c r="YG3" i="53" a="1"/>
  <c r="AML3" i="53" a="1"/>
  <c r="YA3" i="53" a="1"/>
  <c r="RSS3" i="53" a="1"/>
  <c r="TWS3" i="53" a="1"/>
  <c r="FIN3" i="53" a="1"/>
  <c r="ARH3" i="53" a="1"/>
  <c r="RTF3" i="53" a="1"/>
  <c r="GH3" i="53" a="1"/>
  <c r="SHT3" i="53" a="1"/>
  <c r="CKA3" i="53" a="1"/>
  <c r="QDI3" i="53" a="1"/>
  <c r="IMV3" i="53" a="1"/>
  <c r="GKW3" i="53" a="1"/>
  <c r="CCN3" i="53" a="1"/>
  <c r="TXD3" i="53" a="1"/>
  <c r="NZV3" i="53" a="1"/>
  <c r="BFZ3" i="53" a="1"/>
  <c r="GHR3" i="53" a="1"/>
  <c r="GOB3" i="53" a="1"/>
  <c r="JBW3" i="53" a="1"/>
  <c r="TVR3" i="53" a="1"/>
  <c r="EDG3" i="53" a="1"/>
  <c r="FNG3" i="53" a="1"/>
  <c r="SPZ3" i="53" a="1"/>
  <c r="DRP3" i="53" a="1"/>
  <c r="EIG3" i="53" a="1"/>
  <c r="BQR3" i="53" a="1"/>
  <c r="JOM3" i="53" a="1"/>
  <c r="ARJ3" i="53" a="1"/>
  <c r="SIC3" i="53" a="1"/>
  <c r="ODK3" i="53" a="1"/>
  <c r="VKM3" i="53" a="1"/>
  <c r="KQY3" i="53" a="1"/>
  <c r="RYK3" i="53" a="1"/>
  <c r="QHD3" i="53" a="1"/>
  <c r="CLG3" i="53" a="1"/>
  <c r="TKY3" i="53" a="1"/>
  <c r="GAU3" i="53" a="1"/>
  <c r="MFJ3" i="53" a="1"/>
  <c r="KNQ3" i="53" a="1"/>
  <c r="RON3" i="53" a="1"/>
  <c r="NKW3" i="53" a="1"/>
  <c r="PCQ3" i="53" a="1"/>
  <c r="NQ3" i="53" a="1"/>
  <c r="MLM3" i="53" a="1"/>
  <c r="PKV3" i="53" a="1"/>
  <c r="AZK3" i="53" a="1"/>
  <c r="ADL3" i="53" a="1"/>
  <c r="JXG3" i="53" a="1"/>
  <c r="CUW3" i="53" a="1"/>
  <c r="VJW3" i="53" a="1"/>
  <c r="C39" i="53" a="1"/>
  <c r="MBD3" i="53" a="1"/>
  <c r="JGS3" i="53" a="1"/>
  <c r="RKI3" i="53" a="1"/>
  <c r="CTV3" i="53" a="1"/>
  <c r="AOI3" i="53" a="1"/>
  <c r="LKW3" i="53" a="1"/>
  <c r="ASN3" i="53" a="1"/>
  <c r="HKD3" i="53" a="1"/>
  <c r="QJ3" i="53" a="1"/>
  <c r="MCA3" i="53" a="1"/>
  <c r="XAO3" i="53" a="1"/>
  <c r="DVJ3" i="53" a="1"/>
  <c r="WDI3" i="53" a="1"/>
  <c r="GNT3" i="53" a="1"/>
  <c r="EMI3" i="53" a="1"/>
  <c r="RIW3" i="53" a="1"/>
  <c r="NWE3" i="53" a="1"/>
  <c r="NLT3" i="53" a="1"/>
  <c r="HDJ3" i="53" a="1"/>
  <c r="PUZ3" i="53" a="1"/>
  <c r="IRZ3" i="53" a="1"/>
  <c r="WFS3" i="53" a="1"/>
  <c r="OUH3" i="53" a="1"/>
  <c r="AFH3" i="53" a="1"/>
  <c r="UQE3" i="53" a="1"/>
  <c r="KTH3" i="53" a="1"/>
  <c r="BSN3" i="53" a="1"/>
  <c r="VHB3" i="53" a="1"/>
  <c r="C84" i="27" a="1"/>
  <c r="JOL3" i="53" a="1"/>
  <c r="NUN3" i="53" a="1"/>
  <c r="TUL3" i="53" a="1"/>
  <c r="KPY3" i="53" a="1"/>
  <c r="ETE3" i="53" a="1"/>
  <c r="KUS3" i="53" a="1"/>
  <c r="CLO3" i="53" a="1"/>
  <c r="JUV3" i="53" a="1"/>
  <c r="WPN3" i="53" a="1"/>
  <c r="SAI3" i="53" a="1"/>
  <c r="JLW3" i="53" a="1"/>
  <c r="UFW3" i="53" a="1"/>
  <c r="E19" i="53" a="1"/>
  <c r="VUS3" i="53" a="1"/>
  <c r="HFZ3" i="53" a="1"/>
  <c r="BYY3" i="53" a="1"/>
  <c r="GLE3" i="53" a="1"/>
  <c r="OBP3" i="53" a="1"/>
  <c r="DKB3" i="53" a="1"/>
  <c r="LJJ3" i="53" a="1"/>
  <c r="RLN3" i="53" a="1"/>
  <c r="BOC3" i="53" a="1"/>
  <c r="ATU3" i="53" a="1"/>
  <c r="KJR3" i="53" a="1"/>
  <c r="FDS3" i="53" a="1"/>
  <c r="PSF3" i="53" a="1"/>
  <c r="LVR3" i="53" a="1"/>
  <c r="LCR3" i="53" a="1"/>
  <c r="CLD3" i="53" a="1"/>
  <c r="WA3" i="53" a="1"/>
  <c r="BMZ3" i="53" a="1"/>
  <c r="KZK3" i="53" a="1"/>
  <c r="JEM3" i="53" a="1"/>
  <c r="SQK3" i="53" a="1"/>
  <c r="ROL3" i="53" a="1"/>
  <c r="SBI3" i="53" a="1"/>
  <c r="GZO3" i="53" a="1"/>
  <c r="USJ3" i="53" a="1"/>
  <c r="KFX3" i="53" a="1"/>
  <c r="FNK3" i="53" a="1"/>
  <c r="MZF3" i="53" a="1"/>
  <c r="MRW3" i="53" a="1"/>
  <c r="DYG3" i="53" a="1"/>
  <c r="FKA3" i="53" a="1"/>
  <c r="AUH3" i="53" a="1"/>
  <c r="MWP3" i="53" a="1"/>
  <c r="BUV3" i="53" a="1"/>
  <c r="BEH3" i="53" a="1"/>
  <c r="EYS3" i="53" a="1"/>
  <c r="CJV3" i="53" a="1"/>
  <c r="CUV3" i="53" a="1"/>
  <c r="DTY3" i="53" a="1"/>
  <c r="HWS3" i="53" a="1"/>
  <c r="TKQ3" i="53" a="1"/>
  <c r="TJP3" i="53" a="1"/>
  <c r="JMC3" i="53" a="1"/>
  <c r="ONC3" i="53" a="1"/>
  <c r="RCV3" i="53" a="1"/>
  <c r="GFP3" i="53" a="1"/>
  <c r="LNM3" i="53" a="1"/>
  <c r="IBC3" i="53" a="1"/>
  <c r="QKL3" i="53" a="1"/>
  <c r="VTB3" i="53" a="1"/>
  <c r="QEZ3" i="53" a="1"/>
  <c r="BIH3" i="53" a="1"/>
  <c r="FAJ3" i="53" a="1"/>
  <c r="ECS3" i="53" a="1"/>
  <c r="AOR3" i="53" a="1"/>
  <c r="UJT3" i="53" a="1"/>
  <c r="DCE3" i="53" a="1"/>
  <c r="QDR3" i="53" a="1"/>
  <c r="NH3" i="53" a="1"/>
  <c r="QTE3" i="53" a="1"/>
  <c r="UEZ3" i="53" a="1"/>
  <c r="MZC3" i="53" a="1"/>
  <c r="AIF3" i="53" a="1"/>
  <c r="KAE3" i="53" a="1"/>
  <c r="GZI3" i="53" a="1"/>
  <c r="GFB3" i="53" a="1"/>
  <c r="NCV3" i="53" a="1"/>
  <c r="IKE3" i="53" a="1"/>
  <c r="WTV3" i="53" a="1"/>
  <c r="CSX3" i="53" a="1"/>
  <c r="EKT3" i="53" a="1"/>
  <c r="PQW3" i="53" a="1"/>
  <c r="MXX3" i="53" a="1"/>
  <c r="KUV3" i="53" a="1"/>
  <c r="FEK3" i="53" a="1"/>
  <c r="IHO3" i="53" a="1"/>
  <c r="MPO3" i="53" a="1"/>
  <c r="ASZ3" i="53" a="1"/>
  <c r="EEN3" i="53" a="1"/>
  <c r="HDL3" i="53" a="1"/>
  <c r="AZD3" i="53" a="1"/>
  <c r="WUQ3" i="53" a="1"/>
  <c r="ZD3" i="53" a="1"/>
  <c r="RRX3" i="53" a="1"/>
  <c r="BXI3" i="53" a="1"/>
  <c r="DFB3" i="53" a="1"/>
  <c r="UGY3" i="53" a="1"/>
  <c r="C152" i="27" a="1"/>
  <c r="HJW3" i="53" a="1"/>
  <c r="PXR3" i="53" a="1"/>
  <c r="AC3" i="53" a="1"/>
  <c r="GZH3" i="53" a="1"/>
  <c r="GJB3" i="53" a="1"/>
  <c r="ABU3" i="53" a="1"/>
  <c r="OKX3" i="53" a="1"/>
  <c r="MM3" i="53" a="1"/>
  <c r="GDD3" i="53" a="1"/>
  <c r="WBC3" i="53" a="1"/>
  <c r="KEN3" i="53" a="1"/>
  <c r="LPE3" i="53" a="1"/>
  <c r="HSX3" i="53" a="1"/>
  <c r="HFD3" i="53" a="1"/>
  <c r="LPG3" i="53" a="1"/>
  <c r="E60" i="53" a="1"/>
  <c r="RUT3" i="53" a="1"/>
  <c r="ONT3" i="53" a="1"/>
  <c r="LWN3" i="53" a="1"/>
  <c r="WEH3" i="53" a="1"/>
  <c r="INK3" i="53" a="1"/>
  <c r="DSZ3" i="53" a="1"/>
  <c r="EDA3" i="53" a="1"/>
  <c r="URV3" i="53" a="1"/>
  <c r="TFY3" i="53" a="1"/>
  <c r="E50" i="53" a="1"/>
  <c r="DOJ3" i="53" a="1"/>
  <c r="MSO3" i="53" a="1"/>
  <c r="WOB3" i="53" a="1"/>
  <c r="CBV3" i="53" a="1"/>
  <c r="NTG3" i="53" a="1"/>
  <c r="LSB3" i="53" a="1"/>
  <c r="BBV3" i="53" a="1"/>
  <c r="WU3" i="53" a="1"/>
  <c r="MAE3" i="53" a="1"/>
  <c r="YF3" i="53" a="1"/>
  <c r="EGU3" i="53" a="1"/>
  <c r="ZY3" i="53" a="1"/>
  <c r="VAI3" i="53" a="1"/>
  <c r="NXD3" i="53" a="1"/>
  <c r="EXL3" i="53" a="1"/>
  <c r="HED3" i="53" a="1"/>
  <c r="DMZ3" i="53" a="1"/>
  <c r="CNE3" i="53" a="1"/>
  <c r="MVR3" i="53" a="1"/>
  <c r="EZL3" i="53" a="1"/>
  <c r="FMN3" i="53" a="1"/>
  <c r="QTC3" i="53" a="1"/>
  <c r="QDY3" i="53" a="1"/>
  <c r="OUC3" i="53" a="1"/>
  <c r="MKM3" i="53" a="1"/>
  <c r="PNU3" i="53" a="1"/>
  <c r="LDT3" i="53" a="1"/>
  <c r="JKZ3" i="53" a="1"/>
  <c r="EXB3" i="53" a="1"/>
  <c r="HHQ3" i="53" a="1"/>
  <c r="CYT3" i="53" a="1"/>
  <c r="MLP3" i="53" a="1"/>
  <c r="CAH3" i="53" a="1"/>
  <c r="QTI3" i="53" a="1"/>
  <c r="QTW3" i="53" a="1"/>
  <c r="PDV3" i="53" a="1"/>
  <c r="VEK3" i="53" a="1"/>
  <c r="KFB3" i="53" a="1"/>
  <c r="PJT3" i="53" a="1"/>
  <c r="FVE3" i="53" a="1"/>
  <c r="UYQ3" i="53" a="1"/>
  <c r="KZE3" i="53" a="1"/>
  <c r="RWE3" i="53" a="1"/>
  <c r="UKP3" i="53" a="1"/>
  <c r="RYH3" i="53" a="1"/>
  <c r="RFY3" i="53" a="1"/>
  <c r="JCW3" i="53" a="1"/>
  <c r="SJX3" i="53" a="1"/>
  <c r="VZT3" i="53" a="1"/>
  <c r="LXM3" i="53" a="1"/>
  <c r="AGH3" i="53" a="1"/>
  <c r="JAZ3" i="53" a="1"/>
  <c r="TZV3" i="53" a="1"/>
  <c r="HYX3" i="53" a="1"/>
  <c r="FJH3" i="53" a="1"/>
  <c r="BHT3" i="53" a="1"/>
  <c r="ELS3" i="53" a="1"/>
  <c r="ORL3" i="53" a="1"/>
  <c r="GXW3" i="53" a="1"/>
  <c r="JFN3" i="53" a="1"/>
  <c r="OSJ3" i="53" a="1"/>
  <c r="NMB3" i="53" a="1"/>
  <c r="SVS3" i="53" a="1"/>
  <c r="GQJ3" i="53" a="1"/>
  <c r="SQW3" i="53" a="1"/>
  <c r="KD3" i="53" a="1"/>
  <c r="VJT3" i="53" a="1"/>
  <c r="WWR3" i="53" a="1"/>
  <c r="BT3" i="53" a="1"/>
  <c r="STS3" i="53" a="1"/>
  <c r="QXX3" i="53" a="1"/>
  <c r="RDB3" i="53" a="1"/>
  <c r="SDI3" i="53" a="1"/>
  <c r="FUH3" i="53" a="1"/>
  <c r="NNZ3" i="53" a="1"/>
  <c r="FPL3" i="53" a="1"/>
  <c r="HWJ3" i="53" a="1"/>
  <c r="CDC3" i="53" a="1"/>
  <c r="AWN3" i="53" a="1"/>
  <c r="SFK3" i="53" a="1"/>
  <c r="MUT3" i="53" a="1"/>
  <c r="GNV3" i="53" a="1"/>
  <c r="SJN3" i="53" a="1"/>
  <c r="MMO3" i="53" a="1"/>
  <c r="RPN3" i="53" a="1"/>
  <c r="HOV3" i="53" a="1"/>
  <c r="IRP3" i="53" a="1"/>
  <c r="FSQ3" i="53" a="1"/>
  <c r="UPT3" i="53" a="1"/>
  <c r="FFW3" i="53" a="1"/>
  <c r="LAS3" i="53" a="1"/>
  <c r="FOH3" i="53" a="1"/>
  <c r="SQO3" i="53" a="1"/>
  <c r="LDC3" i="53" a="1"/>
  <c r="OCB3" i="53" a="1"/>
  <c r="AHU3" i="53" a="1"/>
  <c r="FQ3" i="53" a="1"/>
  <c r="NNB3" i="53" a="1"/>
  <c r="DAA3" i="53" a="1"/>
  <c r="WJY3" i="53" a="1"/>
  <c r="FEB3" i="53" a="1"/>
  <c r="JYQ3" i="53" a="1"/>
  <c r="HGW3" i="53" a="1"/>
  <c r="F3" i="20" a="1"/>
  <c r="TPJ3" i="53" a="1"/>
  <c r="ITX3" i="53" a="1"/>
  <c r="HYT3" i="53" a="1"/>
  <c r="TUP3" i="53" a="1"/>
  <c r="LCD3" i="53" a="1"/>
  <c r="AAP3" i="53" a="1"/>
  <c r="TOU3" i="53" a="1"/>
  <c r="LDG3" i="53" a="1"/>
  <c r="WWP3" i="53" a="1"/>
  <c r="KFC3" i="53" a="1"/>
  <c r="NRC3" i="53" a="1"/>
  <c r="VTG3" i="53" a="1"/>
  <c r="OBY3" i="53" a="1"/>
  <c r="VYS3" i="53" a="1"/>
  <c r="UMZ3" i="53" a="1"/>
  <c r="CRF3" i="53" a="1"/>
  <c r="DHO3" i="53" a="1"/>
  <c r="PDL3" i="53" a="1"/>
  <c r="KRO3" i="53" a="1"/>
  <c r="WWT3" i="53" a="1"/>
  <c r="VXK3" i="53" a="1"/>
  <c r="AZW3" i="53" a="1"/>
  <c r="PV3" i="53" a="1"/>
  <c r="ACQ3" i="53" a="1"/>
  <c r="WOX3" i="53" a="1"/>
  <c r="IQ3" i="53" a="1"/>
  <c r="BBN3" i="53" a="1"/>
  <c r="VRA3" i="53" a="1"/>
  <c r="EHK3" i="53" a="1"/>
  <c r="OPY3" i="53" a="1"/>
  <c r="INW3" i="53" a="1"/>
  <c r="ONI3" i="53" a="1"/>
  <c r="GAV3" i="53" a="1"/>
  <c r="NNX3" i="53" a="1"/>
  <c r="OUR3" i="53" a="1"/>
  <c r="PHY3" i="53" a="1"/>
  <c r="BMB3" i="53" a="1"/>
  <c r="CUQ3" i="53" a="1"/>
  <c r="VGP3" i="53" a="1"/>
  <c r="PGW3" i="53" a="1"/>
  <c r="TJD3" i="53" a="1"/>
  <c r="UBO3" i="53" a="1"/>
  <c r="C7" i="53" a="1"/>
  <c r="HRX3" i="53" a="1"/>
  <c r="CIB3" i="53" a="1"/>
  <c r="HAU3" i="53" a="1"/>
  <c r="HMU3" i="53" a="1"/>
  <c r="SXZ3" i="53" a="1"/>
  <c r="UJL3" i="53" a="1"/>
  <c r="FMW3" i="53" a="1"/>
  <c r="JIE3" i="53" a="1"/>
  <c r="RKC3" i="53" a="1"/>
  <c r="GYL3" i="53" a="1"/>
  <c r="DRR3" i="53" a="1"/>
  <c r="TVY3" i="53" a="1"/>
  <c r="MYZ3" i="53" a="1"/>
  <c r="JWT3" i="53" a="1"/>
  <c r="JYX3" i="53" a="1"/>
  <c r="BQ3" i="53" a="1"/>
  <c r="HFE3" i="53" a="1"/>
  <c r="VLI3" i="53" a="1"/>
  <c r="SNI3" i="53" a="1"/>
  <c r="EKC3" i="53" a="1"/>
  <c r="KJS3" i="53" a="1"/>
  <c r="SWZ3" i="53" a="1"/>
  <c r="ASV3" i="53" a="1"/>
  <c r="EMJ3" i="53" a="1"/>
  <c r="QCK3" i="53" a="1"/>
  <c r="UNH3" i="53" a="1"/>
  <c r="GTU3" i="53" a="1"/>
  <c r="PHJ3" i="53" a="1"/>
  <c r="RMP3" i="53" a="1"/>
  <c r="EMF3" i="53" a="1"/>
  <c r="HNN3" i="53" a="1"/>
  <c r="RYM3" i="53" a="1"/>
  <c r="UNC3" i="53" a="1"/>
  <c r="SYJ3" i="53" a="1"/>
  <c r="BLC3" i="53" a="1"/>
  <c r="LAV3" i="53" a="1"/>
  <c r="KBU3" i="53" a="1"/>
  <c r="CWD3" i="53" a="1"/>
  <c r="EKG3" i="53" a="1"/>
  <c r="SNO3" i="53" a="1"/>
  <c r="FBK3" i="53" a="1"/>
  <c r="JIB3" i="53" a="1"/>
  <c r="UCS3" i="53" a="1"/>
  <c r="GHJ3" i="53" a="1"/>
  <c r="EFQ3" i="53" a="1"/>
  <c r="BNY3" i="53" a="1"/>
  <c r="UVD3" i="53" a="1"/>
  <c r="BIE3" i="53" a="1"/>
  <c r="OAT3" i="53" a="1"/>
  <c r="VWR3" i="53" a="1"/>
  <c r="OQR3" i="53" a="1"/>
  <c r="QSO3" i="53" a="1"/>
  <c r="DNU3" i="53" a="1"/>
  <c r="OSG3" i="53" a="1"/>
  <c r="ROB3" i="53" a="1"/>
  <c r="DPI3" i="53" a="1"/>
  <c r="GRC3" i="53" a="1"/>
  <c r="KNE3" i="53" a="1"/>
  <c r="LJQ3" i="53" a="1"/>
  <c r="AWM3" i="53" a="1"/>
  <c r="MOI3" i="53" a="1"/>
  <c r="BXS3" i="53" a="1"/>
  <c r="KOX3" i="53" a="1"/>
  <c r="GBA3" i="53" a="1"/>
  <c r="EVP3" i="53" a="1"/>
  <c r="GAS3" i="53" a="1"/>
  <c r="DRA3" i="53" a="1"/>
  <c r="BJX3" i="53" a="1"/>
  <c r="WSU3" i="53" a="1"/>
  <c r="EOK3" i="53" a="1"/>
  <c r="FXI3" i="53" a="1"/>
  <c r="VFR3" i="53" a="1"/>
  <c r="IUQ3" i="53" a="1"/>
  <c r="UCR3" i="53" a="1"/>
  <c r="OFM3" i="53" a="1"/>
  <c r="AOW3" i="53" a="1"/>
  <c r="GHE3" i="53" a="1"/>
  <c r="LT3" i="53" a="1"/>
  <c r="MLH3" i="53" a="1"/>
  <c r="C235" i="27" a="1"/>
  <c r="IJF3" i="53" a="1"/>
  <c r="TJV3" i="53" a="1"/>
  <c r="NYQ3" i="53" a="1"/>
  <c r="C179" i="27" a="1"/>
  <c r="VJP3" i="53" a="1"/>
  <c r="IUL3" i="53" a="1"/>
  <c r="DRI3" i="53" a="1"/>
  <c r="NUH3" i="53" a="1"/>
  <c r="GLD3" i="53" a="1"/>
  <c r="PPN3" i="53" a="1"/>
  <c r="HSL3" i="53" a="1"/>
  <c r="ATD3" i="53" a="1"/>
  <c r="IRB3" i="53" a="1"/>
  <c r="CQI3" i="53" a="1"/>
  <c r="SGD3" i="53" a="1"/>
  <c r="FMZ3" i="53" a="1"/>
  <c r="SOP3" i="53" a="1"/>
  <c r="HKF3" i="53" a="1"/>
  <c r="LJT3" i="53" a="1"/>
  <c r="ICP3" i="53" a="1"/>
  <c r="DDY3" i="53" a="1"/>
  <c r="STR3" i="53" a="1"/>
  <c r="UFH3" i="53" a="1"/>
  <c r="AT3" i="53" a="1"/>
  <c r="ATI3" i="53" a="1"/>
  <c r="LNP3" i="53" a="1"/>
  <c r="VXR3" i="53" a="1"/>
  <c r="AXM3" i="53" a="1"/>
  <c r="CGI3" i="53" a="1"/>
  <c r="JX3" i="53" a="1"/>
  <c r="VKU3" i="53" a="1"/>
  <c r="EWI3" i="53" a="1"/>
  <c r="NDI3" i="53" a="1"/>
  <c r="UIG3" i="53" a="1"/>
  <c r="EIK3" i="53" a="1"/>
  <c r="IMF3" i="53" a="1"/>
  <c r="TT3" i="53" a="1"/>
  <c r="QNF3" i="53" a="1"/>
  <c r="WXR3" i="53" a="1"/>
  <c r="JKU3" i="53" a="1"/>
  <c r="MOO3" i="53" a="1"/>
  <c r="MGX3" i="53" a="1"/>
  <c r="PYF3" i="53" a="1"/>
  <c r="CYD3" i="53" a="1"/>
  <c r="AUE3" i="53" a="1"/>
  <c r="CTK3" i="53" a="1"/>
  <c r="RAN3" i="53" a="1"/>
  <c r="RNU3" i="53" a="1"/>
  <c r="ECP3" i="53" a="1"/>
  <c r="HWD3" i="53" a="1"/>
  <c r="WXW3" i="53" a="1"/>
  <c r="CES3" i="53" a="1"/>
  <c r="GPG3" i="53" a="1"/>
  <c r="HXF3" i="53" a="1"/>
  <c r="OHF3" i="53" a="1"/>
  <c r="MFZ3" i="53" a="1"/>
  <c r="JCR3" i="53" a="1"/>
  <c r="GRJ3" i="53" a="1"/>
  <c r="FWM3" i="53" a="1"/>
  <c r="QSG3" i="53" a="1"/>
  <c r="EWU3" i="53" a="1"/>
  <c r="IND3" i="53" a="1"/>
  <c r="IKU3" i="53" a="1"/>
  <c r="VCC3" i="53" a="1"/>
  <c r="NAU3" i="53" a="1"/>
  <c r="PXE3" i="53" a="1"/>
  <c r="HYB3" i="53" a="1"/>
  <c r="GIC3" i="53" a="1"/>
  <c r="AWO3" i="53" a="1"/>
  <c r="EEC3" i="53" a="1"/>
  <c r="RCY3" i="53" a="1"/>
  <c r="TAX3" i="53" a="1"/>
  <c r="QYH3" i="53" a="1"/>
  <c r="END3" i="53" a="1"/>
  <c r="FNL3" i="53" a="1"/>
  <c r="QGV3" i="53" a="1"/>
  <c r="RMF3" i="53" a="1"/>
  <c r="HAQ3" i="53" a="1"/>
  <c r="MVV3" i="53" a="1"/>
  <c r="DPX3" i="53" a="1"/>
  <c r="GQF3" i="53" a="1"/>
  <c r="KVX3" i="53" a="1"/>
  <c r="LGB3" i="53" a="1"/>
  <c r="NVR3" i="53" a="1"/>
  <c r="DQS3" i="53" a="1"/>
  <c r="ODS3" i="53" a="1"/>
  <c r="CWS3" i="53" a="1"/>
  <c r="MB3" i="53" a="1"/>
  <c r="JXC3" i="53" a="1"/>
  <c r="NDD3" i="53" a="1"/>
  <c r="ECX3" i="53" a="1"/>
  <c r="OPA3" i="53" a="1"/>
  <c r="UWP3" i="53" a="1"/>
  <c r="VYE3" i="53" a="1"/>
  <c r="CRS3" i="53" a="1"/>
  <c r="TTS3" i="53" a="1"/>
  <c r="DLL3" i="53" a="1"/>
  <c r="KUG3" i="53" a="1"/>
  <c r="GGV3" i="53" a="1"/>
  <c r="BXH3" i="53" a="1"/>
  <c r="GVH3" i="53" a="1"/>
  <c r="EJE3" i="53" a="1"/>
  <c r="BDW3" i="53" a="1"/>
  <c r="JPB3" i="53" a="1"/>
  <c r="QNG3" i="53" a="1"/>
  <c r="RWX3" i="53" a="1"/>
  <c r="ENZ3" i="53" a="1"/>
  <c r="LCI3" i="53" a="1"/>
  <c r="LHZ3" i="53" a="1"/>
  <c r="ESJ3" i="53" a="1"/>
  <c r="BDJ3" i="53" a="1"/>
  <c r="WS3" i="53" a="1"/>
  <c r="SOU3" i="53" a="1"/>
  <c r="JLZ3" i="53" a="1"/>
  <c r="GNI3" i="53" a="1"/>
  <c r="QPI3" i="53" a="1"/>
  <c r="JDS3" i="53" a="1"/>
  <c r="GNA3" i="53" a="1"/>
  <c r="AWY3" i="53" a="1"/>
  <c r="SWN3" i="53" a="1"/>
  <c r="BCQ3" i="53" a="1"/>
  <c r="PAG3" i="53" a="1"/>
  <c r="ALG3" i="53" a="1"/>
  <c r="KWG3" i="53" a="1"/>
  <c r="FQW3" i="53" a="1"/>
  <c r="SYW3" i="53" a="1"/>
  <c r="CBO3" i="53" a="1"/>
  <c r="NSZ3" i="53" a="1"/>
  <c r="LXT3" i="53" a="1"/>
  <c r="DJM3" i="53" a="1"/>
  <c r="AKI3" i="53" a="1"/>
  <c r="HZA3" i="53" a="1"/>
  <c r="COX3" i="53" a="1"/>
  <c r="MLO3" i="53" a="1"/>
  <c r="JTJ3" i="53" a="1"/>
  <c r="DJL3" i="53" a="1"/>
  <c r="OWR3" i="53" a="1"/>
  <c r="GSY3" i="53" a="1"/>
  <c r="DPD3" i="53" a="1"/>
  <c r="SXL3" i="53" a="1"/>
  <c r="ERM3" i="53" a="1"/>
  <c r="JYR3" i="53" a="1"/>
  <c r="DOG3" i="53" a="1"/>
  <c r="EMW3" i="53" a="1"/>
  <c r="YL3" i="53" a="1"/>
  <c r="IGO3" i="53" a="1"/>
  <c r="UYD3" i="53" a="1"/>
  <c r="HTV3" i="53" a="1"/>
  <c r="CGA3" i="53" a="1"/>
  <c r="GOR3" i="53" a="1"/>
  <c r="MIH3" i="53" a="1"/>
  <c r="MYL3" i="53" a="1"/>
  <c r="NXH3" i="53" a="1"/>
  <c r="KKQ3" i="53" a="1"/>
  <c r="BHL3" i="53" a="1"/>
  <c r="NNF3" i="53" a="1"/>
  <c r="FIR3" i="53" a="1"/>
  <c r="KDX3" i="53" a="1"/>
  <c r="JXP3" i="53" a="1"/>
  <c r="VJV3" i="53" a="1"/>
  <c r="DDN3" i="53" a="1"/>
  <c r="JMI3" i="53" a="1"/>
  <c r="MIL3" i="53" a="1"/>
  <c r="TZI3" i="53" a="1"/>
  <c r="ECL3" i="53" a="1"/>
  <c r="WYH3" i="53" a="1"/>
  <c r="CEA3" i="53" a="1"/>
  <c r="NBP3" i="53" a="1"/>
  <c r="OOX3" i="53" a="1"/>
  <c r="DQC3" i="53" a="1"/>
  <c r="FBA3" i="53" a="1"/>
  <c r="IC3" i="53" a="1"/>
  <c r="FAD3" i="53" a="1"/>
  <c r="AG3" i="53" a="1"/>
  <c r="LZX3" i="53" a="1"/>
  <c r="KNP3" i="53" a="1"/>
  <c r="KNK3" i="53" a="1"/>
  <c r="DAK3" i="53" a="1"/>
  <c r="WAR3" i="53" a="1"/>
  <c r="MQJ3" i="53" a="1"/>
  <c r="DGP3" i="53" a="1"/>
  <c r="LEY3" i="53" a="1"/>
  <c r="NHL3" i="53" a="1"/>
  <c r="DRM3" i="53" a="1"/>
  <c r="E11" i="53" a="1"/>
  <c r="WV3" i="53" a="1"/>
  <c r="MKZ3" i="53" a="1"/>
  <c r="HGX3" i="53" a="1"/>
  <c r="AUY3" i="53" a="1"/>
  <c r="LHA3" i="53" a="1"/>
  <c r="ECJ3" i="53" a="1"/>
  <c r="WNU3" i="53" a="1"/>
  <c r="E8" i="53" a="1"/>
  <c r="DQP3" i="53" a="1"/>
  <c r="ISB3" i="53" a="1"/>
  <c r="CXK3" i="53" a="1"/>
  <c r="VDH3" i="53" a="1"/>
  <c r="RAJ3" i="53" a="1"/>
  <c r="ATN3" i="53" a="1"/>
  <c r="HCH3" i="53" a="1"/>
  <c r="THM3" i="53" a="1"/>
  <c r="NEL3" i="53" a="1"/>
  <c r="BWP3" i="53" a="1"/>
  <c r="PNN3" i="53" a="1"/>
  <c r="OSO3" i="53" a="1"/>
  <c r="GXS3" i="53" a="1"/>
  <c r="KZQ3" i="53" a="1"/>
  <c r="OLF3" i="53" a="1"/>
  <c r="BOI3" i="53" a="1"/>
  <c r="DLM3" i="53" a="1"/>
  <c r="EFB3" i="53" a="1"/>
  <c r="FKW3" i="53" a="1"/>
  <c r="TEQ3" i="53" a="1"/>
  <c r="FJZ3" i="53" a="1"/>
  <c r="MMM3" i="53" a="1"/>
  <c r="RTD3" i="53" a="1"/>
  <c r="DRY3" i="53" a="1"/>
  <c r="KQX3" i="53" a="1"/>
  <c r="JWI3" i="53" a="1"/>
  <c r="AEA3" i="53" a="1"/>
  <c r="GAK3" i="53" a="1"/>
  <c r="OTC3" i="53" a="1"/>
  <c r="RLF3" i="53" a="1"/>
  <c r="OJZ3" i="53" a="1"/>
  <c r="QMH3" i="53" a="1"/>
  <c r="MLZ3" i="53" a="1"/>
  <c r="ATO3" i="53" a="1"/>
  <c r="VOY3" i="53" a="1"/>
  <c r="THV3" i="53" a="1"/>
  <c r="QMA3" i="53" a="1"/>
  <c r="BRM3" i="53" a="1"/>
  <c r="LFH3" i="53" a="1"/>
  <c r="EPQ3" i="53" a="1"/>
  <c r="STA3" i="53" a="1"/>
  <c r="WAO3" i="53" a="1"/>
  <c r="BTR3" i="53" a="1"/>
  <c r="PFR3" i="53" a="1"/>
  <c r="VLZ3" i="53" a="1"/>
  <c r="PPS3" i="53" a="1"/>
  <c r="JSW3" i="53" a="1"/>
  <c r="OGU3" i="53" a="1"/>
  <c r="BHQ3" i="53" a="1"/>
  <c r="PRY3" i="53" a="1"/>
  <c r="VHX3" i="53" a="1"/>
  <c r="KK3" i="53" a="1"/>
  <c r="SFL3" i="53" a="1"/>
  <c r="ECK3" i="53" a="1"/>
  <c r="HMJ3" i="53" a="1"/>
  <c r="NWI3" i="53" a="1"/>
  <c r="B3" i="47" a="1"/>
  <c r="KGJ3" i="53" a="1"/>
  <c r="GVI3" i="53" a="1"/>
  <c r="NLN3" i="53" a="1"/>
  <c r="RRY3" i="53" a="1"/>
  <c r="E17" i="31" a="1"/>
  <c r="OUS3" i="53" a="1"/>
  <c r="BAM3" i="53" a="1"/>
  <c r="E389" i="27" a="1"/>
  <c r="ISY3" i="53" a="1"/>
  <c r="KCP3" i="53" a="1"/>
  <c r="RBK3" i="53" a="1"/>
  <c r="HIW3" i="53" a="1"/>
  <c r="PH3" i="53" a="1"/>
  <c r="BLD3" i="53" a="1"/>
  <c r="KBC3" i="53" a="1"/>
  <c r="CRI3" i="53" a="1"/>
  <c r="FT3" i="53" a="1"/>
  <c r="EQE3" i="53" a="1"/>
  <c r="RGI3" i="53" a="1"/>
  <c r="OUW3" i="53" a="1"/>
  <c r="DNH3" i="53" a="1"/>
  <c r="QWR3" i="53" a="1"/>
  <c r="BUO3" i="53" a="1"/>
  <c r="MOZ3" i="53" a="1"/>
  <c r="AWU3" i="53" a="1"/>
  <c r="E18" i="53" a="1"/>
  <c r="BJC3" i="53" a="1"/>
  <c r="MIY3" i="53" a="1"/>
  <c r="IHJ3" i="53" a="1"/>
  <c r="HHR3" i="53" a="1"/>
  <c r="DZS3" i="53" a="1"/>
  <c r="GFZ3" i="53" a="1"/>
  <c r="VUK3" i="53" a="1"/>
  <c r="TPG3" i="53" a="1"/>
  <c r="FYB3" i="53" a="1"/>
  <c r="CWE3" i="53" a="1"/>
  <c r="WMY3" i="53" a="1"/>
  <c r="MKD3" i="53" a="1"/>
  <c r="EYX3" i="53" a="1"/>
  <c r="E3" i="34" a="1"/>
  <c r="LAH3" i="53" a="1"/>
  <c r="PBS3" i="53" a="1"/>
  <c r="PUP3" i="53" a="1"/>
  <c r="TVC3" i="53" a="1"/>
  <c r="OLQ3" i="53" a="1"/>
  <c r="JJS3" i="53" a="1"/>
  <c r="ALL3" i="53" a="1"/>
  <c r="REY3" i="53" a="1"/>
  <c r="UGA3" i="53" a="1"/>
  <c r="FHQ3" i="53" a="1"/>
  <c r="NBZ3" i="53" a="1"/>
  <c r="KOE3" i="53" a="1"/>
  <c r="OZY3" i="53" a="1"/>
  <c r="IAM3" i="53" a="1"/>
  <c r="VKQ3" i="53" a="1"/>
  <c r="EIX3" i="53" a="1"/>
  <c r="IG3" i="53" a="1"/>
  <c r="MSR3" i="53" a="1"/>
  <c r="HLD3" i="53" a="1"/>
  <c r="IXH3" i="53" a="1"/>
  <c r="BNP3" i="53" a="1"/>
  <c r="MEP3" i="53" a="1"/>
  <c r="NBR3" i="53" a="1"/>
  <c r="IJM3" i="53" a="1"/>
  <c r="BEM3" i="53" a="1"/>
  <c r="JYL3" i="53" a="1"/>
  <c r="EM3" i="53" a="1"/>
  <c r="WGN3" i="53" a="1"/>
  <c r="HMO3" i="53" a="1"/>
  <c r="TTI3" i="53" a="1"/>
  <c r="RJV3" i="53" a="1"/>
  <c r="AVK3" i="53" a="1"/>
  <c r="KMI3" i="53" a="1"/>
  <c r="OWU3" i="53" a="1"/>
  <c r="FHX3" i="53" a="1"/>
  <c r="SEP3" i="53" a="1"/>
  <c r="VJU3" i="53" a="1"/>
  <c r="KFD3" i="53" a="1"/>
  <c r="IX3" i="53" a="1"/>
  <c r="IXQ3" i="53" a="1"/>
  <c r="AEI3" i="53" a="1"/>
  <c r="SLQ3" i="53" a="1"/>
  <c r="IXW3" i="53" a="1"/>
  <c r="DHW3" i="53" a="1"/>
  <c r="PXD3" i="53" a="1"/>
  <c r="CCE3" i="53" a="1"/>
  <c r="XDP3" i="53" a="1"/>
  <c r="SDM3" i="53" a="1"/>
  <c r="HYE3" i="53" a="1"/>
  <c r="FCJ3" i="53" a="1"/>
  <c r="CPY3" i="53" a="1"/>
  <c r="VWT3" i="53" a="1"/>
  <c r="CKZ3" i="53" a="1"/>
  <c r="QNW3" i="53" a="1"/>
  <c r="DED3" i="53" a="1"/>
  <c r="IK3" i="53" a="1"/>
  <c r="NOP3" i="53" a="1"/>
  <c r="E64" i="53" a="1"/>
  <c r="TQN3" i="53" a="1"/>
  <c r="GCF3" i="53" a="1"/>
  <c r="QYQ3" i="53" a="1"/>
  <c r="UHF3" i="53" a="1"/>
  <c r="BF3" i="53" a="1"/>
  <c r="MME3" i="53" a="1"/>
  <c r="PFP3" i="53" a="1"/>
  <c r="NRF3" i="53" a="1"/>
  <c r="KUQ3" i="53" a="1"/>
  <c r="MRC3" i="53" a="1"/>
  <c r="TN3" i="53" a="1"/>
  <c r="OWX3" i="53" a="1"/>
  <c r="JBG3" i="53" a="1"/>
  <c r="FIT3" i="53" a="1"/>
  <c r="GCC3" i="53" a="1"/>
  <c r="IPX3" i="53" a="1"/>
  <c r="PF3" i="53" a="1"/>
  <c r="NCZ3" i="53" a="1"/>
  <c r="EIT3" i="53" a="1"/>
  <c r="PMQ3" i="53" a="1"/>
  <c r="AJU3" i="53" a="1"/>
  <c r="RAD3" i="53" a="1"/>
  <c r="DGE3" i="53" a="1"/>
  <c r="WLU3" i="53" a="1"/>
  <c r="OQA3" i="53" a="1"/>
  <c r="KGX3" i="53" a="1"/>
  <c r="WVH3" i="53" a="1"/>
  <c r="TGG3" i="53" a="1"/>
  <c r="RGN3" i="53" a="1"/>
  <c r="EGP3" i="53" a="1"/>
  <c r="DCO3" i="53" a="1"/>
  <c r="EQT3" i="53" a="1"/>
  <c r="TXM3" i="53" a="1"/>
  <c r="IEL3" i="53" a="1"/>
  <c r="DQF3" i="53" a="1"/>
  <c r="WGJ3" i="53" a="1"/>
  <c r="SOZ3" i="53" a="1"/>
  <c r="ANG3" i="53" a="1"/>
  <c r="FHY3" i="53" a="1"/>
  <c r="FJQ3" i="53" a="1"/>
  <c r="VFJ3" i="53" a="1"/>
  <c r="BYT3" i="53" a="1"/>
  <c r="EEW3" i="53" a="1"/>
  <c r="QXF3" i="53" a="1"/>
  <c r="DNX3" i="53" a="1"/>
  <c r="RPM3" i="53" a="1"/>
  <c r="HIE3" i="53" a="1"/>
  <c r="UBE3" i="53" a="1"/>
  <c r="TYA3" i="53" a="1"/>
  <c r="ALV3" i="53" a="1"/>
  <c r="KOO3" i="53" a="1"/>
  <c r="BMO3" i="53" a="1"/>
  <c r="ETB3" i="53" a="1"/>
  <c r="IYV3" i="53" a="1"/>
  <c r="PIG3" i="53" a="1"/>
  <c r="ELI3" i="53" a="1"/>
  <c r="TIQ3" i="53" a="1"/>
  <c r="QZS3" i="53" a="1"/>
  <c r="HRG3" i="53" a="1"/>
  <c r="GKS3" i="53" a="1"/>
  <c r="CHL3" i="53" a="1"/>
  <c r="E3" i="26" a="1"/>
  <c r="CGB3" i="53" a="1"/>
  <c r="TVF3" i="53" a="1"/>
  <c r="HJR3" i="53" a="1"/>
  <c r="KVZ3" i="53" a="1"/>
  <c r="LGL3" i="53" a="1"/>
  <c r="FFV3" i="53" a="1"/>
  <c r="TQY3" i="53" a="1"/>
  <c r="PM3" i="53" a="1"/>
  <c r="UMH3" i="53" a="1"/>
  <c r="HTP3" i="53" a="1"/>
  <c r="SZC3" i="53" a="1"/>
  <c r="JMY3" i="53" a="1"/>
  <c r="CVR3" i="53" a="1"/>
  <c r="HRE3" i="53" a="1"/>
  <c r="TRI3" i="53" a="1"/>
  <c r="EBQ3" i="53" a="1"/>
  <c r="AXJ3" i="53" a="1"/>
  <c r="PBR3" i="53" a="1"/>
  <c r="GTO3" i="53" a="1"/>
  <c r="OBW3" i="53" a="1"/>
  <c r="UML3" i="53" a="1"/>
  <c r="EUN3" i="53" a="1"/>
  <c r="CSV3" i="53" a="1"/>
  <c r="GND3" i="53" a="1"/>
  <c r="OER3" i="53" a="1"/>
  <c r="EGX3" i="53" a="1"/>
  <c r="FWN3" i="53" a="1"/>
  <c r="LYO3" i="53" a="1"/>
  <c r="EDN3" i="53" a="1"/>
  <c r="JKI3" i="53" a="1"/>
  <c r="FVV3" i="53" a="1"/>
  <c r="COQ3" i="53" a="1"/>
  <c r="IDI3" i="53" a="1"/>
  <c r="LGH3" i="53" a="1"/>
  <c r="SXY3" i="53" a="1"/>
  <c r="JQV3" i="53" a="1"/>
  <c r="QEE3" i="53" a="1"/>
  <c r="GHU3" i="53" a="1"/>
  <c r="WHV3" i="53" a="1"/>
  <c r="IZQ3" i="53" a="1"/>
  <c r="FPR3" i="53" a="1"/>
  <c r="SWY3" i="53" a="1"/>
  <c r="YO3" i="53" a="1"/>
  <c r="KXE3" i="53" a="1"/>
  <c r="KTB3" i="53" a="1"/>
  <c r="TSS3" i="53" a="1"/>
  <c r="IWJ3" i="53" a="1"/>
  <c r="DSW3" i="53" a="1"/>
  <c r="QZV3" i="53" a="1"/>
  <c r="SSJ3" i="53" a="1"/>
  <c r="HGK3" i="53" a="1"/>
  <c r="NFH3" i="53" a="1"/>
  <c r="AVO3" i="53" a="1"/>
  <c r="GHM3" i="53" a="1"/>
  <c r="XDJ3" i="53" a="1"/>
  <c r="EDZ3" i="53" a="1"/>
  <c r="KAW3" i="53" a="1"/>
  <c r="SGB3" i="53" a="1"/>
  <c r="DOU3" i="53" a="1"/>
  <c r="LZV3" i="53" a="1"/>
  <c r="ETG3" i="53" a="1"/>
  <c r="DBQ3" i="53" a="1"/>
  <c r="FZJ3" i="53" a="1"/>
  <c r="WCA3" i="53" a="1"/>
  <c r="BSF3" i="53" a="1"/>
  <c r="KPM3" i="53" a="1"/>
  <c r="CGO3" i="53" a="1"/>
  <c r="APT3" i="53" a="1"/>
  <c r="PHZ3" i="53" a="1"/>
  <c r="QUR3" i="53" a="1"/>
  <c r="AKM3" i="53" a="1"/>
  <c r="RCW3" i="53" a="1"/>
  <c r="ULT3" i="53" a="1"/>
  <c r="SEA3" i="53" a="1"/>
  <c r="LJN3" i="53" a="1"/>
  <c r="C44" i="53" a="1"/>
  <c r="OLL3" i="53" a="1"/>
  <c r="SYF3" i="53" a="1"/>
  <c r="XEN3" i="53" a="1"/>
  <c r="LX3" i="53" a="1"/>
  <c r="PCJ3" i="53" a="1"/>
  <c r="E62" i="53" a="1"/>
  <c r="MCS3" i="53" a="1"/>
  <c r="DK3" i="53" a="1"/>
  <c r="PQM3" i="53" a="1"/>
  <c r="QOH3" i="53" a="1"/>
  <c r="VRS3" i="53" a="1"/>
  <c r="DST3" i="53" a="1"/>
  <c r="QUK3" i="53" a="1"/>
  <c r="KFP3" i="53" a="1"/>
  <c r="EAF3" i="53" a="1"/>
  <c r="WIF3" i="53" a="1"/>
  <c r="UER3" i="53" a="1"/>
  <c r="NVD3" i="53" a="1"/>
  <c r="EKK3" i="53" a="1"/>
  <c r="HMH3" i="53" a="1"/>
  <c r="KRT3" i="53" a="1"/>
  <c r="OBF3" i="53" a="1"/>
  <c r="OMA3" i="53" a="1"/>
  <c r="UPJ3" i="53" a="1"/>
  <c r="PID3" i="53" a="1"/>
  <c r="MW3" i="53" a="1"/>
  <c r="ECH3" i="53" a="1"/>
  <c r="WOJ3" i="53" a="1"/>
  <c r="KRJ3" i="53" a="1"/>
  <c r="DYT3" i="53" a="1"/>
  <c r="TCV3" i="53" a="1"/>
  <c r="BZA3" i="53" a="1"/>
  <c r="AZO3" i="53" a="1"/>
  <c r="IWH3" i="53" a="1"/>
  <c r="VKL3" i="53" a="1"/>
  <c r="FYS3" i="53" a="1"/>
  <c r="MOK3" i="53" a="1"/>
  <c r="GWP3" i="53" a="1"/>
  <c r="KYB3" i="53" a="1"/>
  <c r="GKZ3" i="53" a="1"/>
  <c r="HFR3" i="53" a="1"/>
  <c r="GDH3" i="53" a="1"/>
  <c r="KPL3" i="53" a="1"/>
  <c r="UNV3" i="53" a="1"/>
  <c r="KHF3" i="53" a="1"/>
  <c r="LXE3" i="53" a="1"/>
  <c r="UKJ3" i="53" a="1"/>
  <c r="SJ3" i="53" a="1"/>
  <c r="DU3" i="53" a="1"/>
  <c r="BVQ3" i="53" a="1"/>
  <c r="QKN3" i="53" a="1"/>
  <c r="FFL3" i="53" a="1"/>
  <c r="RAW3" i="53" a="1"/>
  <c r="BUI3" i="53" a="1"/>
  <c r="HKG3" i="53" a="1"/>
  <c r="VGU3" i="53" a="1"/>
  <c r="DNQ3" i="53" a="1"/>
  <c r="WAW3" i="53" a="1"/>
  <c r="DG3" i="53" a="1"/>
  <c r="DLS3" i="53" a="1"/>
  <c r="IOK3" i="53" a="1"/>
  <c r="LNW3" i="53" a="1"/>
  <c r="MDV3" i="53" a="1"/>
  <c r="YK3" i="53" a="1"/>
  <c r="SLH3" i="53" a="1"/>
  <c r="RFK3" i="53" a="1"/>
  <c r="SMY3" i="53" a="1"/>
  <c r="EAI3" i="53" a="1"/>
  <c r="FPN3" i="53" a="1"/>
  <c r="CHO3" i="53" a="1"/>
  <c r="RNJ3" i="53" a="1"/>
  <c r="QMZ3" i="53" a="1"/>
  <c r="IHV3" i="53" a="1"/>
  <c r="GLV3" i="53" a="1"/>
  <c r="QGH3" i="53" a="1"/>
  <c r="KKJ3" i="53" a="1"/>
  <c r="APK3" i="53" a="1"/>
  <c r="AYS3" i="53" a="1"/>
  <c r="GUV3" i="53" a="1"/>
  <c r="WNE3" i="53" a="1"/>
  <c r="RZW3" i="53" a="1"/>
  <c r="SWG3" i="53" a="1"/>
  <c r="OVB3" i="53" a="1"/>
  <c r="PAY3" i="53" a="1"/>
  <c r="VHV3" i="53" a="1"/>
  <c r="ICA3" i="53" a="1"/>
  <c r="QLP3" i="53" a="1"/>
  <c r="UQV3" i="53" a="1"/>
  <c r="TDD3" i="53" a="1"/>
  <c r="FVG3" i="53" a="1"/>
  <c r="RKE3" i="53" a="1"/>
  <c r="FVX3" i="53" a="1"/>
  <c r="GCW3" i="53" a="1"/>
  <c r="GZC3" i="53" a="1"/>
  <c r="FXA3" i="53" a="1"/>
  <c r="VEE3" i="53" a="1"/>
  <c r="QCU3" i="53" a="1"/>
  <c r="MZT3" i="53" a="1"/>
  <c r="RBS3" i="53" a="1"/>
  <c r="FDZ3" i="53" a="1"/>
  <c r="JVH3" i="53" a="1"/>
  <c r="VGK3" i="53" a="1"/>
  <c r="EQB3" i="53" a="1"/>
  <c r="GXV3" i="53" a="1"/>
  <c r="EAV3" i="53" a="1"/>
  <c r="JAQ3" i="53" a="1"/>
  <c r="USX3" i="53" a="1"/>
  <c r="CQK3" i="53" a="1"/>
  <c r="APU3" i="53" a="1"/>
  <c r="BHJ3" i="53" a="1"/>
  <c r="FOL3" i="53" a="1"/>
  <c r="NZF3" i="53" a="1"/>
  <c r="FYI3" i="53" a="1"/>
  <c r="LCQ3" i="53" a="1"/>
  <c r="FDM3" i="53" a="1"/>
  <c r="LNJ3" i="53" a="1"/>
  <c r="HVE3" i="53" a="1"/>
  <c r="EGD3" i="53" a="1"/>
  <c r="QSI3" i="53" a="1"/>
  <c r="VK3" i="53" a="1"/>
  <c r="SDK3" i="53" a="1"/>
  <c r="LXC3" i="53" a="1"/>
  <c r="UDE3" i="53" a="1"/>
  <c r="JXY3" i="53" a="1"/>
  <c r="GLK3" i="53" a="1"/>
  <c r="QUL3" i="53" a="1"/>
  <c r="MEU3" i="53" a="1"/>
  <c r="JRQ3" i="53" a="1"/>
  <c r="NTR3" i="53" a="1"/>
  <c r="WSE3" i="53" a="1"/>
  <c r="IZR3" i="53" a="1"/>
  <c r="HX3" i="53" a="1"/>
  <c r="GSG3" i="53" a="1"/>
  <c r="FAN3" i="53" a="1"/>
  <c r="DTA3" i="53" a="1"/>
  <c r="HIH3" i="53" a="1"/>
  <c r="NBN3" i="53" a="1"/>
  <c r="IL3" i="53" a="1"/>
  <c r="CRL3" i="53" a="1"/>
  <c r="CRK3" i="53" a="1"/>
  <c r="JLO3" i="53" a="1"/>
  <c r="RGZ3" i="53" a="1"/>
  <c r="PIX3" i="53" a="1"/>
  <c r="E6" i="31" a="1"/>
  <c r="CHD3" i="53" a="1"/>
  <c r="JEO3" i="53" a="1"/>
  <c r="IJT3" i="53" a="1"/>
  <c r="VPB3" i="53" a="1"/>
  <c r="SHU3" i="53" a="1"/>
  <c r="KSM3" i="53" a="1"/>
  <c r="KGL3" i="53" a="1"/>
  <c r="NOB3" i="53" a="1"/>
  <c r="FTC3" i="53" a="1"/>
  <c r="IGL3" i="53" a="1"/>
  <c r="VVC3" i="53" a="1"/>
  <c r="JHX3" i="53" a="1"/>
  <c r="E69" i="53" a="1"/>
  <c r="BWO3" i="53" a="1"/>
  <c r="GYW3" i="53" a="1"/>
  <c r="WTD3" i="53" a="1"/>
  <c r="USA3" i="53" a="1"/>
  <c r="KJE3" i="53" a="1"/>
  <c r="SDD3" i="53" a="1"/>
  <c r="EEF3" i="53" a="1"/>
  <c r="NRQ3" i="53" a="1"/>
  <c r="FHT3" i="53" a="1"/>
  <c r="LVK3" i="53" a="1"/>
  <c r="IID3" i="53" a="1"/>
  <c r="H3" i="31" a="1"/>
  <c r="JCI3" i="53" a="1"/>
  <c r="VAV3" i="53" a="1"/>
  <c r="HUJ3" i="53" a="1"/>
  <c r="ZN3" i="53" a="1"/>
  <c r="NZG3" i="53" a="1"/>
  <c r="LSP3" i="53" a="1"/>
  <c r="OEL3" i="53" a="1"/>
  <c r="BDS3" i="53" a="1"/>
  <c r="TCN3" i="53" a="1"/>
  <c r="VBY3" i="53" a="1"/>
  <c r="XCH3" i="53" a="1"/>
  <c r="BGB3" i="53" a="1"/>
  <c r="QDZ3" i="53" a="1"/>
  <c r="RNO3" i="53" a="1"/>
  <c r="GKB3" i="53" a="1"/>
  <c r="ST3" i="53" a="1"/>
  <c r="LCU3" i="53" a="1"/>
  <c r="JLC3" i="53" a="1"/>
  <c r="AOK3" i="53" a="1"/>
  <c r="CVT3" i="53" a="1"/>
  <c r="KIK3" i="53" a="1"/>
  <c r="WHN3" i="53" a="1"/>
  <c r="QLW3" i="53" a="1"/>
  <c r="CXV3" i="53" a="1"/>
  <c r="C52" i="53" a="1"/>
  <c r="DVD3" i="53" a="1"/>
  <c r="KUL3" i="53" a="1"/>
  <c r="PFC3" i="53" a="1"/>
  <c r="DMD3" i="53" a="1"/>
  <c r="UPY3" i="53" a="1"/>
  <c r="JED3" i="53" a="1"/>
  <c r="LCN3" i="53" a="1"/>
  <c r="OCV3" i="53" a="1"/>
  <c r="WYC3" i="53" a="1"/>
  <c r="JWH3" i="53" a="1"/>
  <c r="HET3" i="53" a="1"/>
  <c r="KEP3" i="53" a="1"/>
  <c r="MWK3" i="53" a="1"/>
  <c r="QRE3" i="53" a="1"/>
  <c r="NCY3" i="53" a="1"/>
  <c r="PVQ3" i="53" a="1"/>
  <c r="UR3" i="53" a="1"/>
  <c r="BDI3" i="53" a="1"/>
  <c r="HYQ3" i="53" a="1"/>
  <c r="HNA3" i="53" a="1"/>
  <c r="OKC3" i="53" a="1"/>
  <c r="KIM3" i="53" a="1"/>
  <c r="BKN3" i="53" a="1"/>
  <c r="LBT3" i="53" a="1"/>
  <c r="TVA3" i="53" a="1"/>
  <c r="GQM3" i="53" a="1"/>
  <c r="GXJ3" i="53" a="1"/>
  <c r="FHZ3" i="53" a="1"/>
  <c r="JVM3" i="53" a="1"/>
  <c r="VUJ3" i="53" a="1"/>
  <c r="JJD3" i="53" a="1"/>
  <c r="DBP3" i="53" a="1"/>
  <c r="ABN3" i="53" a="1"/>
  <c r="AYO3" i="53" a="1"/>
  <c r="E33" i="53" a="1"/>
  <c r="PZT3" i="53" a="1"/>
  <c r="FSX3" i="53" a="1"/>
  <c r="RIP3" i="53" a="1"/>
  <c r="CZD3" i="53" a="1"/>
  <c r="CIC3" i="53" a="1"/>
  <c r="DIA3" i="53" a="1"/>
  <c r="OVI3" i="53" a="1"/>
  <c r="WZU3" i="53" a="1"/>
  <c r="SQA3" i="53" a="1"/>
  <c r="LWE3" i="53" a="1"/>
  <c r="CJB3" i="53" a="1"/>
  <c r="KPR3" i="53" a="1"/>
  <c r="BHN3" i="53" a="1"/>
  <c r="OIO3" i="53" a="1"/>
  <c r="CNZ3" i="53" a="1"/>
  <c r="WHD3" i="53" a="1"/>
  <c r="AYK3" i="53" a="1"/>
  <c r="CYO3" i="53" a="1"/>
  <c r="YY3" i="53" a="1"/>
  <c r="IIF3" i="53" a="1"/>
  <c r="PGQ3" i="53" a="1"/>
  <c r="IIK3" i="53" a="1"/>
  <c r="NZM3" i="53" a="1"/>
  <c r="LQI3" i="53" a="1"/>
  <c r="BRS3" i="53" a="1"/>
  <c r="RTL3" i="53" a="1"/>
  <c r="CXH3" i="53" a="1"/>
  <c r="NFE3" i="53" a="1"/>
  <c r="SMJ3" i="53" a="1"/>
  <c r="QNJ3" i="53" a="1"/>
  <c r="WYZ3" i="53" a="1"/>
  <c r="VSB3" i="53" a="1"/>
  <c r="PKA3" i="53" a="1"/>
  <c r="RYS3" i="53" a="1"/>
  <c r="TCB3" i="53" a="1"/>
  <c r="TFH3" i="53" a="1"/>
  <c r="FXM3" i="53" a="1"/>
  <c r="VKN3" i="53" a="1"/>
  <c r="JMM3" i="53" a="1"/>
  <c r="GNS3" i="53" a="1"/>
  <c r="UUV3" i="53" a="1"/>
  <c r="FYL3" i="53" a="1"/>
  <c r="QMC3" i="53" a="1"/>
  <c r="DUS3" i="53" a="1"/>
  <c r="SL3" i="53" a="1"/>
  <c r="GWH3" i="53" a="1"/>
  <c r="UBB3" i="53" a="1"/>
  <c r="BYQ3" i="53" a="1"/>
  <c r="QGU3" i="53" a="1"/>
  <c r="MAX3" i="53" a="1"/>
  <c r="QYW3" i="53" a="1"/>
  <c r="QLR3" i="53" a="1"/>
  <c r="VBP3" i="53" a="1"/>
  <c r="CQ3" i="53" a="1"/>
  <c r="RWH3" i="53" a="1"/>
  <c r="DLI3" i="53" a="1"/>
  <c r="CQZ3" i="53" a="1"/>
  <c r="BMN3" i="53" a="1"/>
  <c r="RAP3" i="53" a="1"/>
  <c r="FIU3" i="53" a="1"/>
  <c r="PBG3" i="53" a="1"/>
  <c r="MAL3" i="53" a="1"/>
  <c r="IOA3" i="53" a="1"/>
  <c r="RGA3" i="53" a="1"/>
  <c r="EMB3" i="53" a="1"/>
  <c r="XDX3" i="53" a="1"/>
  <c r="SKV3" i="53" a="1"/>
  <c r="NPD3" i="53" a="1"/>
  <c r="KNR3" i="53" a="1"/>
  <c r="VJY3" i="53" a="1"/>
  <c r="LIW3" i="53" a="1"/>
  <c r="REF3" i="53" a="1"/>
  <c r="NJW3" i="53" a="1"/>
  <c r="HCQ3" i="53" a="1"/>
  <c r="EGC3" i="53" a="1"/>
  <c r="GOF3" i="53" a="1"/>
  <c r="HWO3" i="53" a="1"/>
  <c r="AXK3" i="53" a="1"/>
  <c r="TDF3" i="53" a="1"/>
  <c r="OPD3" i="53" a="1"/>
  <c r="MZM3" i="53" a="1"/>
  <c r="CY3" i="53" a="1"/>
  <c r="FTB3" i="53" a="1"/>
  <c r="BCC3" i="53" a="1"/>
  <c r="KRE3" i="53" a="1"/>
  <c r="NFR3" i="53" a="1"/>
  <c r="FWO3" i="53" a="1"/>
  <c r="ORU3" i="53" a="1"/>
  <c r="APY3" i="53" a="1"/>
  <c r="TEF3" i="53" a="1"/>
  <c r="DAC3" i="53" a="1"/>
  <c r="FQS3" i="53" a="1"/>
  <c r="PMM3" i="53" a="1"/>
  <c r="DGZ3" i="53" a="1"/>
  <c r="KUM3" i="53" a="1"/>
  <c r="JOR3" i="53" a="1"/>
  <c r="USU3" i="53" a="1"/>
  <c r="XBI3" i="53" a="1"/>
  <c r="JBO3" i="53" a="1"/>
  <c r="BFG3" i="53" a="1"/>
  <c r="BWM3" i="53" a="1"/>
  <c r="E9" i="53" a="1"/>
  <c r="NQE3" i="53" a="1"/>
  <c r="AWI3" i="53" a="1"/>
  <c r="CPK3" i="53" a="1"/>
  <c r="FAG3" i="53" a="1"/>
  <c r="BFP3" i="53" a="1"/>
  <c r="ESB3" i="53" a="1"/>
  <c r="HEX3" i="53" a="1"/>
  <c r="TE3" i="53" a="1"/>
  <c r="JHS3" i="53" a="1"/>
  <c r="WFB3" i="53" a="1"/>
  <c r="NKG3" i="53" a="1"/>
  <c r="IQB3" i="53" a="1"/>
  <c r="CCX3" i="53" a="1"/>
  <c r="SUP3" i="53" a="1"/>
  <c r="BJF3" i="53" a="1"/>
  <c r="TAN3" i="53" a="1"/>
  <c r="MNM3" i="53" a="1"/>
  <c r="EL3" i="53" a="1"/>
  <c r="QKK3" i="53" a="1"/>
  <c r="CML3" i="53" a="1"/>
  <c r="QXV3" i="53" a="1"/>
  <c r="KXM3" i="53" a="1"/>
  <c r="CXA3" i="53" a="1"/>
  <c r="IXL3" i="53" a="1"/>
  <c r="LCO3" i="53" a="1"/>
  <c r="FZA3" i="53" a="1"/>
  <c r="EVR3" i="53" a="1"/>
  <c r="WJD3" i="53" a="1"/>
  <c r="PCO3" i="53" a="1"/>
  <c r="ASP3" i="53" a="1"/>
  <c r="GDG3" i="53" a="1"/>
  <c r="KTZ3" i="53" a="1"/>
  <c r="SYP3" i="53" a="1"/>
  <c r="DVV3" i="53" a="1"/>
  <c r="FO3" i="53" a="1"/>
  <c r="LIX3" i="53" a="1"/>
  <c r="ALR3" i="53" a="1"/>
  <c r="QBV3" i="53" a="1"/>
  <c r="GII3" i="53" a="1"/>
  <c r="HRV3" i="53" a="1"/>
  <c r="ATE3" i="53" a="1"/>
  <c r="EUC3" i="53" a="1"/>
  <c r="LQP3" i="53" a="1"/>
  <c r="WRW3" i="53" a="1"/>
  <c r="SVG3" i="53" a="1"/>
  <c r="HSM3" i="53" a="1"/>
  <c r="KZM3" i="53" a="1"/>
  <c r="GWT3" i="53" a="1"/>
  <c r="C198" i="27" a="1"/>
  <c r="RJC3" i="53" a="1"/>
  <c r="MJK3" i="53" a="1"/>
  <c r="BRH3" i="53" a="1"/>
  <c r="ULJ3" i="53" a="1"/>
  <c r="N3" i="53" a="1"/>
  <c r="FIC3" i="53" a="1"/>
  <c r="VSF3" i="53" a="1"/>
  <c r="EGB3" i="53" a="1"/>
  <c r="EZN3" i="53" a="1"/>
  <c r="QNV3" i="53" a="1"/>
  <c r="MPL3" i="53" a="1"/>
  <c r="VGX3" i="53" a="1"/>
  <c r="FOW3" i="53" a="1"/>
  <c r="QJQ3" i="53" a="1"/>
  <c r="SCM3" i="53" a="1"/>
  <c r="UBC3" i="53" a="1"/>
  <c r="IIC3" i="53" a="1"/>
  <c r="IUA3" i="53" a="1"/>
  <c r="QNK3" i="53" a="1"/>
  <c r="JZD3" i="53" a="1"/>
  <c r="LRW3" i="53" a="1"/>
  <c r="KDO3" i="53" a="1"/>
  <c r="EWZ3" i="53" a="1"/>
  <c r="DWS3" i="53" a="1"/>
  <c r="SBS3" i="53" a="1"/>
  <c r="CWU3" i="53" a="1"/>
  <c r="QRJ3" i="53" a="1"/>
  <c r="QHS3" i="53" a="1"/>
  <c r="CDT3" i="53" a="1"/>
  <c r="LHR3" i="53" a="1"/>
  <c r="GGE3" i="53" a="1"/>
  <c r="FXQ3" i="53" a="1"/>
  <c r="INS3" i="53" a="1"/>
  <c r="DRO3" i="53" a="1"/>
  <c r="QAH3" i="53" a="1"/>
  <c r="RPW3" i="53" a="1"/>
  <c r="ARK3" i="53" a="1"/>
  <c r="GAF3" i="53" a="1"/>
  <c r="BKH3" i="53" a="1"/>
  <c r="GMT3" i="53" a="1"/>
  <c r="MMU3" i="53" a="1"/>
  <c r="PNM3" i="53" a="1"/>
  <c r="GDO3" i="53" a="1"/>
  <c r="XBL3" i="53" a="1"/>
  <c r="BSU3" i="53" a="1"/>
  <c r="DCW3" i="53" a="1"/>
  <c r="PRQ3" i="53" a="1"/>
  <c r="JOW3" i="53" a="1"/>
  <c r="PAN3" i="53" a="1"/>
  <c r="SP3" i="53" a="1"/>
  <c r="ERV3" i="53" a="1"/>
  <c r="KXC3" i="53" a="1"/>
  <c r="DQQ3" i="53" a="1"/>
  <c r="AEP3" i="53" a="1"/>
  <c r="GEB3" i="53" a="1"/>
  <c r="STD3" i="53" a="1"/>
  <c r="SKJ3" i="53" a="1"/>
  <c r="IMN3" i="53" a="1"/>
  <c r="JZJ3" i="53" a="1"/>
  <c r="AJ3" i="53" a="1"/>
  <c r="DLO3" i="53" a="1"/>
  <c r="FMX3" i="53" a="1"/>
  <c r="OZJ3" i="53" a="1"/>
  <c r="VXJ3" i="53" a="1"/>
  <c r="JDJ3" i="53" a="1"/>
  <c r="MFV3" i="53" a="1"/>
  <c r="DBN3" i="53" a="1"/>
  <c r="EMY3" i="53" a="1"/>
  <c r="WOA3" i="53" a="1"/>
  <c r="VXT3" i="53" a="1"/>
  <c r="BVN3" i="53" a="1"/>
  <c r="BZI3" i="53" a="1"/>
  <c r="TZW3" i="53" a="1"/>
  <c r="AOB3" i="53" a="1"/>
  <c r="BJJ3" i="53" a="1"/>
  <c r="VU3" i="53" a="1"/>
  <c r="OQZ3" i="53" a="1"/>
  <c r="NTJ3" i="53" a="1"/>
  <c r="VNC3" i="53" a="1"/>
  <c r="DVB3" i="53" a="1"/>
  <c r="PBO3" i="53" a="1"/>
  <c r="CQS3" i="53" a="1"/>
  <c r="GNF3" i="53" a="1"/>
  <c r="RFS3" i="53" a="1"/>
  <c r="TRE3" i="53" a="1"/>
  <c r="TI3" i="53" a="1"/>
  <c r="IHM3" i="53" a="1"/>
  <c r="QAC3" i="53" a="1"/>
  <c r="EFA3" i="53" a="1"/>
  <c r="CTR3" i="53" a="1"/>
  <c r="FTH3" i="53" a="1"/>
  <c r="INE3" i="53" a="1"/>
  <c r="JXH3" i="53" a="1"/>
  <c r="LHE3" i="53" a="1"/>
  <c r="DN3" i="53" a="1"/>
  <c r="COL3" i="53" a="1"/>
  <c r="NYJ3" i="53" a="1"/>
  <c r="PLT3" i="53" a="1"/>
  <c r="GEL3" i="53" a="1"/>
  <c r="DA3" i="53" a="1"/>
  <c r="VRP3" i="53" a="1"/>
  <c r="LOK3" i="53" a="1"/>
  <c r="PBZ3" i="53" a="1"/>
  <c r="AIQ3" i="53" a="1"/>
  <c r="BSO3" i="53" a="1"/>
  <c r="VIS3" i="53" a="1"/>
  <c r="GZK3" i="53" a="1"/>
  <c r="DIK3" i="53" a="1"/>
  <c r="HHH3" i="53" a="1"/>
  <c r="WBH3" i="53" a="1"/>
  <c r="NHP3" i="53" a="1"/>
  <c r="HSB3" i="53" a="1"/>
  <c r="THL3" i="53" a="1"/>
  <c r="VEC3" i="53" a="1"/>
  <c r="UNB3" i="53" a="1"/>
  <c r="THG3" i="53" a="1"/>
  <c r="FYY3" i="53" a="1"/>
  <c r="OIF3" i="53" a="1"/>
  <c r="GRQ3" i="53" a="1"/>
  <c r="HDB3" i="53" a="1"/>
  <c r="OO3" i="53" a="1"/>
  <c r="SYZ3" i="53" a="1"/>
  <c r="NCC3" i="53" a="1"/>
  <c r="KWC3" i="53" a="1"/>
  <c r="GZV3" i="53" a="1"/>
  <c r="FCH3" i="53" a="1"/>
  <c r="LOE3" i="53" a="1"/>
  <c r="XAA3" i="53" a="1"/>
  <c r="DMX3" i="53" a="1"/>
  <c r="BSK3" i="53" a="1"/>
  <c r="XAS3" i="53" a="1"/>
  <c r="LWF3" i="53" a="1"/>
  <c r="HVX3" i="53" a="1"/>
  <c r="HGU3" i="53" a="1"/>
  <c r="HHY3" i="53" a="1"/>
  <c r="SQJ3" i="53" a="1"/>
  <c r="SKT3" i="53" a="1"/>
  <c r="IQE3" i="53" a="1"/>
  <c r="SZO3" i="53" a="1"/>
  <c r="VZK3" i="53" a="1"/>
  <c r="FPY3" i="53" a="1"/>
  <c r="MUE3" i="53" a="1"/>
  <c r="BQU3" i="53" a="1"/>
  <c r="DQN3" i="53" a="1"/>
  <c r="PYD3" i="53" a="1"/>
  <c r="VQQ3" i="53" a="1"/>
  <c r="ZS3" i="53" a="1"/>
  <c r="DEP3" i="53" a="1"/>
  <c r="CYH3" i="53" a="1"/>
  <c r="NQY3" i="53" a="1"/>
  <c r="OWP3" i="53" a="1"/>
  <c r="PMR3" i="53" a="1"/>
  <c r="CUZ3" i="53" a="1"/>
  <c r="GLA3" i="53" a="1"/>
  <c r="TAC3" i="53" a="1"/>
  <c r="VQL3" i="53" a="1"/>
  <c r="DEK3" i="53" a="1"/>
  <c r="JTU3" i="53" a="1"/>
  <c r="NKY3" i="53" a="1"/>
  <c r="BPM3" i="53" a="1"/>
  <c r="A3" i="28" a="1"/>
  <c r="FKB3" i="53" a="1"/>
  <c r="OFS3" i="53" a="1"/>
  <c r="UUA3" i="53" a="1"/>
  <c r="NIP3" i="53" a="1"/>
  <c r="TPK3" i="53" a="1"/>
  <c r="HWM3" i="53" a="1"/>
  <c r="ICZ3" i="53" a="1"/>
  <c r="ADS3" i="53" a="1"/>
  <c r="SVC3" i="53" a="1"/>
  <c r="JXS3" i="53" a="1"/>
  <c r="UIW3" i="53" a="1"/>
  <c r="RIA3" i="53" a="1"/>
  <c r="TBT3" i="53" a="1"/>
  <c r="XD3" i="53" a="1"/>
  <c r="CWJ3" i="53" a="1"/>
  <c r="EFC3" i="53" a="1"/>
  <c r="MKG3" i="53" a="1"/>
  <c r="JUC3" i="53" a="1"/>
  <c r="DWK3" i="53" a="1"/>
  <c r="GUY3" i="53" a="1"/>
  <c r="ANT3" i="53" a="1"/>
  <c r="IKC3" i="53" a="1"/>
  <c r="JZY3" i="53" a="1"/>
  <c r="GTZ3" i="53" a="1"/>
  <c r="GVJ3" i="53" a="1"/>
  <c r="VWQ3" i="53" a="1"/>
  <c r="OKD3" i="53" a="1"/>
  <c r="HPT3" i="53" a="1"/>
  <c r="IFL3" i="53" a="1"/>
  <c r="TTA3" i="53" a="1"/>
  <c r="LKZ3" i="53" a="1"/>
  <c r="POO3" i="53" a="1"/>
  <c r="FQV3" i="53" a="1"/>
  <c r="GRF3" i="53" a="1"/>
  <c r="FDV3" i="53" a="1"/>
  <c r="CHJ3" i="53" a="1"/>
  <c r="MID3" i="53" a="1"/>
  <c r="VHW3" i="53" a="1"/>
  <c r="MKY3" i="53" a="1"/>
  <c r="OLE3" i="53" a="1"/>
  <c r="FOQ3" i="53" a="1"/>
  <c r="UAZ3" i="53" a="1"/>
  <c r="AKT3" i="53" a="1"/>
  <c r="SLB3" i="53" a="1"/>
  <c r="CDE3" i="53" a="1"/>
  <c r="IMI3" i="53" a="1"/>
  <c r="EIP3" i="53" a="1"/>
  <c r="VXP3" i="53" a="1"/>
  <c r="WUC3" i="53" a="1"/>
  <c r="AGN3" i="53" a="1"/>
  <c r="MHN3" i="53" a="1"/>
  <c r="KTW3" i="53" a="1"/>
  <c r="RHR3" i="53" a="1"/>
  <c r="LDY3" i="53" a="1"/>
  <c r="LCA3" i="53" a="1"/>
  <c r="QTF3" i="53" a="1"/>
  <c r="BAG3" i="53" a="1"/>
  <c r="NFI3" i="53" a="1"/>
  <c r="JMA3" i="53" a="1"/>
  <c r="FXB3" i="53" a="1"/>
  <c r="VII3" i="53" a="1"/>
  <c r="IPM3" i="53" a="1"/>
  <c r="OT3" i="53" a="1"/>
  <c r="MIM3" i="53" a="1"/>
  <c r="EET3" i="53" a="1"/>
  <c r="JHF3" i="53" a="1"/>
  <c r="AHT3" i="53" a="1"/>
  <c r="PWG3" i="53" a="1"/>
  <c r="QTX3" i="53" a="1"/>
  <c r="VVA3" i="53" a="1"/>
  <c r="EEE3" i="53" a="1"/>
  <c r="HUN3" i="53" a="1"/>
  <c r="OSV3" i="53" a="1"/>
  <c r="VRL3" i="53" a="1"/>
  <c r="WCW3" i="53" a="1"/>
  <c r="WFM3" i="53" a="1"/>
  <c r="IDX3" i="53" a="1"/>
  <c r="CID3" i="53" a="1"/>
  <c r="QQX3" i="53" a="1"/>
  <c r="KVA3" i="53" a="1"/>
  <c r="GBQ3" i="53" a="1"/>
  <c r="LMX3" i="53" a="1"/>
  <c r="OFR3" i="53" a="1"/>
  <c r="A3" i="55" a="1"/>
  <c r="MXZ3" i="53" a="1"/>
  <c r="AQN3" i="53" a="1"/>
  <c r="QBL3" i="53" a="1"/>
  <c r="LZI3" i="53" a="1"/>
  <c r="BKI3" i="53" a="1"/>
  <c r="CSR3" i="53" a="1"/>
  <c r="QVY3" i="53" a="1"/>
  <c r="LDR3" i="53" a="1"/>
  <c r="RTJ3" i="53" a="1"/>
  <c r="UD3" i="53" a="1"/>
  <c r="ASK3" i="53" a="1"/>
  <c r="JLE3" i="53" a="1"/>
  <c r="DQK3" i="53" a="1"/>
  <c r="LMN3" i="53" a="1"/>
  <c r="VUE3" i="53" a="1"/>
  <c r="ENG3" i="53" a="1"/>
  <c r="BJY3" i="53" a="1"/>
  <c r="FYP3" i="53" a="1"/>
  <c r="BXL3" i="53" a="1"/>
  <c r="FZL3" i="53" a="1"/>
  <c r="GIV3" i="53" a="1"/>
  <c r="GXR3" i="53" a="1"/>
  <c r="NTY3" i="53" a="1"/>
  <c r="SBE3" i="53" a="1"/>
  <c r="WGT3" i="53" a="1"/>
  <c r="MUM3" i="53" a="1"/>
  <c r="UOQ3" i="53" a="1"/>
  <c r="LFZ3" i="53" a="1"/>
  <c r="EIZ3" i="53" a="1"/>
  <c r="IMR3" i="53" a="1"/>
  <c r="CPH3" i="53" a="1"/>
  <c r="EUD3" i="53" a="1"/>
  <c r="QZX3" i="53" a="1"/>
  <c r="MVP3" i="53" a="1"/>
  <c r="QRG3" i="53" a="1"/>
  <c r="C17" i="53" a="1"/>
  <c r="DRW3" i="53" a="1"/>
  <c r="HNE3" i="53" a="1"/>
  <c r="FIE3" i="53" a="1"/>
  <c r="OAX3" i="53" a="1"/>
  <c r="CLF3" i="53" a="1"/>
  <c r="OBE3" i="53" a="1"/>
  <c r="VH3" i="53" a="1"/>
  <c r="AOL3" i="53" a="1"/>
  <c r="CYI3" i="53" a="1"/>
  <c r="GNZ3" i="53" a="1"/>
  <c r="DCF3" i="53" a="1"/>
  <c r="GTR3" i="53" a="1"/>
  <c r="CKQ3" i="53" a="1"/>
  <c r="KKM3" i="53" a="1"/>
  <c r="BJ3" i="53" a="1"/>
  <c r="MUL3" i="53" a="1"/>
  <c r="CGV3" i="53" a="1"/>
  <c r="EUQ3" i="53" a="1"/>
  <c r="PBY3" i="53" a="1"/>
  <c r="KOS3" i="53" a="1"/>
  <c r="NCE3" i="53" a="1"/>
  <c r="HST3" i="53" a="1"/>
  <c r="VBR3" i="53" a="1"/>
  <c r="BPF3" i="53" a="1"/>
  <c r="JIJ3" i="53" a="1"/>
  <c r="VCD3" i="53" a="1"/>
  <c r="GYR3" i="53" a="1"/>
  <c r="LCC3" i="53" a="1"/>
  <c r="HSU3" i="53" a="1"/>
  <c r="BEF3" i="53" a="1"/>
  <c r="RRZ3" i="53" a="1"/>
  <c r="IHD3" i="53" a="1"/>
  <c r="BBF3" i="53" a="1"/>
  <c r="FBW3" i="53" a="1"/>
  <c r="VBJ3" i="53" a="1"/>
  <c r="FGW3" i="53" a="1"/>
  <c r="LFX3" i="53" a="1"/>
  <c r="AFX3" i="53" a="1"/>
  <c r="DTE3" i="53" a="1"/>
  <c r="WDR3" i="53" a="1"/>
  <c r="VFX3" i="53" a="1"/>
  <c r="IQU3" i="53" a="1"/>
  <c r="JPN3" i="53" a="1"/>
  <c r="GSK3" i="53" a="1"/>
  <c r="IOZ3" i="53" a="1"/>
  <c r="SOI3" i="53" a="1"/>
  <c r="LGJ3" i="53" a="1"/>
  <c r="ITL3" i="53" a="1"/>
  <c r="HKT3" i="53" a="1"/>
  <c r="PGO3" i="53" a="1"/>
  <c r="JZT3" i="53" a="1"/>
  <c r="DGU3" i="53" a="1"/>
  <c r="BBR3" i="53" a="1"/>
  <c r="JCG3" i="53" a="1"/>
  <c r="SEW3" i="53" a="1"/>
  <c r="LFM3" i="53" a="1"/>
  <c r="JXA3" i="53" a="1"/>
  <c r="NBS3" i="53" a="1"/>
  <c r="MJI3" i="53" a="1"/>
  <c r="JCK3" i="53" a="1"/>
  <c r="BAH3" i="53" a="1"/>
  <c r="ETO3" i="53" a="1"/>
  <c r="DYI3" i="53" a="1"/>
  <c r="TNR3" i="53" a="1"/>
  <c r="KCZ3" i="53" a="1"/>
  <c r="ZB3" i="53" a="1"/>
  <c r="BNU3" i="53" a="1"/>
  <c r="GLU3" i="53" a="1"/>
  <c r="EPH3" i="53" a="1"/>
  <c r="NFO3" i="53" a="1"/>
  <c r="BZO3" i="53" a="1"/>
  <c r="HFI3" i="53" a="1"/>
  <c r="KXS3" i="53" a="1"/>
  <c r="LXL3" i="53" a="1"/>
  <c r="SMW3" i="53" a="1"/>
  <c r="QAR3" i="53" a="1"/>
  <c r="BAE3" i="53" a="1"/>
  <c r="NWB3" i="53" a="1"/>
  <c r="GQQ3" i="53" a="1"/>
  <c r="AMC3" i="53" a="1"/>
  <c r="UMU3" i="53" a="1"/>
  <c r="BNI3" i="53" a="1"/>
  <c r="KNS3" i="53" a="1"/>
  <c r="FFC3" i="53" a="1"/>
  <c r="PAT3" i="53" a="1"/>
  <c r="NWG3" i="53" a="1"/>
  <c r="E3" i="31" a="1"/>
  <c r="KOK3" i="53" a="1"/>
  <c r="TUR3" i="53" a="1"/>
  <c r="JSG3" i="53" a="1"/>
  <c r="OFW3" i="53" a="1"/>
  <c r="APO3" i="53" a="1"/>
  <c r="ARM3" i="53" a="1"/>
  <c r="QTU3" i="53" a="1"/>
  <c r="BSQ3" i="53" a="1"/>
  <c r="MNY3" i="53" a="1"/>
  <c r="ANQ3" i="53" a="1"/>
  <c r="HH3" i="53" a="1"/>
  <c r="GVC3" i="53" a="1"/>
  <c r="MMC3" i="53" a="1"/>
  <c r="KOD3" i="53" a="1"/>
  <c r="ABK3" i="53" a="1"/>
  <c r="TCP3" i="53" a="1"/>
  <c r="NUK3" i="53" a="1"/>
  <c r="SVA3" i="53" a="1"/>
  <c r="TGU3" i="53" a="1"/>
  <c r="MXT3" i="53" a="1"/>
  <c r="SHX3" i="53" a="1"/>
  <c r="KQT3" i="53" a="1"/>
  <c r="RKY3" i="53" a="1"/>
  <c r="FPZ3" i="53" a="1"/>
  <c r="DFJ3" i="53" a="1"/>
  <c r="LOZ3" i="53" a="1"/>
  <c r="RBV3" i="53" a="1"/>
  <c r="HFH3" i="53" a="1"/>
  <c r="QIZ3" i="53" a="1"/>
  <c r="TUW3" i="53" a="1"/>
  <c r="FPS3" i="53" a="1"/>
  <c r="HEG3" i="53" a="1"/>
  <c r="OS3" i="53" a="1"/>
  <c r="VYG3" i="53" a="1"/>
  <c r="ARY3" i="53" a="1"/>
  <c r="EEZ3" i="53" a="1"/>
  <c r="GCX3" i="53" a="1"/>
  <c r="UHZ3" i="53" a="1"/>
  <c r="RFG3" i="53" a="1"/>
  <c r="WYX3" i="53" a="1"/>
  <c r="BOV3" i="53" a="1"/>
  <c r="KUF3" i="53" a="1"/>
  <c r="NNH3" i="53" a="1"/>
  <c r="SSH3" i="53" a="1"/>
  <c r="QXP3" i="53" a="1"/>
  <c r="SLW3" i="53" a="1"/>
  <c r="LJG3" i="53" a="1"/>
  <c r="TF3" i="53" a="1"/>
  <c r="K3" i="47" a="1"/>
  <c r="ELK3" i="53" a="1"/>
  <c r="OAR3" i="53" a="1"/>
  <c r="BD3" i="53" a="1"/>
  <c r="FVD3" i="53" a="1"/>
  <c r="OB3" i="53" a="1"/>
  <c r="VJN3" i="53" a="1"/>
  <c r="RLS3" i="53" a="1"/>
  <c r="PDK3" i="53" a="1"/>
  <c r="VTO3" i="53" a="1"/>
  <c r="MNR3" i="53" a="1"/>
  <c r="LAL3" i="53" a="1"/>
  <c r="APE3" i="53" a="1"/>
  <c r="UQM3" i="53" a="1"/>
  <c r="GOE3" i="53" a="1"/>
  <c r="GFD3" i="53" a="1"/>
  <c r="IYI3" i="53" a="1"/>
  <c r="VCN3" i="53" a="1"/>
  <c r="NO3" i="53" a="1"/>
  <c r="QKX3" i="53" a="1"/>
  <c r="IIE3" i="53" a="1"/>
  <c r="JYF3" i="53" a="1"/>
  <c r="KPQ3" i="53" a="1"/>
  <c r="STQ3" i="53" a="1"/>
  <c r="RXT3" i="53" a="1"/>
  <c r="NUY3" i="53" a="1"/>
  <c r="SIB3" i="53" a="1"/>
  <c r="WAQ3" i="53" a="1"/>
  <c r="MRH3" i="53" a="1"/>
  <c r="MQN3" i="53" a="1"/>
  <c r="EPI3" i="53" a="1"/>
  <c r="DXY3" i="53" a="1"/>
  <c r="OTS3" i="53" a="1"/>
  <c r="CXT3" i="53" a="1"/>
  <c r="GDT3" i="53" a="1"/>
  <c r="GOA3" i="53" a="1"/>
  <c r="FRU3" i="53" a="1"/>
  <c r="RLA3" i="53" a="1"/>
  <c r="CDO3" i="53" a="1"/>
  <c r="QXE3" i="53" a="1"/>
  <c r="YC3" i="53" a="1"/>
  <c r="TXK3" i="53" a="1"/>
  <c r="DFP3" i="53" a="1"/>
  <c r="KI3" i="53" a="1"/>
  <c r="PAS3" i="53" a="1"/>
  <c r="AUF3" i="53" a="1"/>
  <c r="BB3" i="53" a="1"/>
  <c r="RSJ3" i="53" a="1"/>
  <c r="BXU3" i="53" a="1"/>
  <c r="MYT3" i="53" a="1"/>
  <c r="NTV3" i="53" a="1"/>
  <c r="AQD3" i="53" a="1"/>
  <c r="RCC3" i="53" a="1"/>
  <c r="OVN3" i="53" a="1"/>
  <c r="QUU3" i="53" a="1"/>
  <c r="DXJ3" i="53" a="1"/>
  <c r="ADX3" i="53" a="1"/>
  <c r="WPI3" i="53" a="1"/>
  <c r="WJF3" i="53" a="1"/>
  <c r="FXK3" i="53" a="1"/>
  <c r="K3" i="4" a="1"/>
  <c r="VXG3" i="53" a="1"/>
  <c r="KZD3" i="53" a="1"/>
  <c r="VY3" i="53" a="1"/>
  <c r="VJJ3" i="53" a="1"/>
  <c r="KCF3" i="53" a="1"/>
  <c r="EBN3" i="53" a="1"/>
  <c r="TGS3" i="53" a="1"/>
  <c r="IXO3" i="53" a="1"/>
  <c r="PQN3" i="53" a="1"/>
  <c r="GSQ3" i="53" a="1"/>
  <c r="AYF3" i="53" a="1"/>
  <c r="UOZ3" i="53" a="1"/>
  <c r="AFV3" i="53" a="1"/>
  <c r="DHC3" i="53" a="1"/>
  <c r="PSA3" i="53" a="1"/>
  <c r="GXP3" i="53" a="1"/>
  <c r="EBP3" i="53" a="1"/>
  <c r="MIX3" i="53" a="1"/>
  <c r="AOZ3" i="53" a="1"/>
  <c r="SQY3" i="53" a="1"/>
  <c r="FZF3" i="53" a="1"/>
  <c r="LEP3" i="53" a="1"/>
  <c r="KMV3" i="53" a="1"/>
  <c r="JRB3" i="53" a="1"/>
  <c r="SUV3" i="53" a="1"/>
  <c r="KRW3" i="53" a="1"/>
  <c r="SFE3" i="53" a="1"/>
  <c r="NAH3" i="53" a="1"/>
  <c r="IPA3" i="53" a="1"/>
  <c r="DGS3" i="53" a="1"/>
  <c r="DUP3" i="53" a="1"/>
  <c r="LNO3" i="53" a="1"/>
  <c r="WVU3" i="53" a="1"/>
  <c r="EDW3" i="53" a="1"/>
  <c r="FWP3" i="53" a="1"/>
  <c r="FHW3" i="53" a="1"/>
  <c r="OUJ3" i="53" a="1"/>
  <c r="UKO3" i="53" a="1"/>
  <c r="KEK3" i="53" a="1"/>
  <c r="UJY3" i="53" a="1"/>
  <c r="AKB3" i="53" a="1"/>
  <c r="PBH3" i="53" a="1"/>
  <c r="EDQ3" i="53" a="1"/>
  <c r="NJC3" i="53" a="1"/>
  <c r="E3" i="1" a="1"/>
  <c r="GU3" i="53" a="1"/>
  <c r="OOA3" i="53" a="1"/>
  <c r="HUG3" i="53" a="1"/>
  <c r="LOA3" i="53" a="1"/>
  <c r="TQA3" i="53" a="1"/>
  <c r="OJK3" i="53" a="1"/>
  <c r="AWZ3" i="53" a="1"/>
  <c r="FWI3" i="53" a="1"/>
  <c r="BOU3" i="53" a="1"/>
  <c r="CKP3" i="53" a="1"/>
  <c r="HCP3" i="53" a="1"/>
  <c r="GXC3" i="53" a="1"/>
  <c r="TKU3" i="53" a="1"/>
  <c r="MPU3" i="53" a="1"/>
  <c r="KAJ3" i="53" a="1"/>
  <c r="ORW3" i="53" a="1"/>
  <c r="HBC3" i="53" a="1"/>
  <c r="BSY3" i="53" a="1"/>
  <c r="BUQ3" i="53" a="1"/>
  <c r="BFL3" i="53" a="1"/>
  <c r="PQS3" i="53" a="1"/>
  <c r="GMF3" i="53" a="1"/>
  <c r="IDM3" i="53" a="1"/>
  <c r="FXP3" i="53" a="1"/>
  <c r="IML3" i="53" a="1"/>
  <c r="JSL3" i="53" a="1"/>
  <c r="PKQ3" i="53" a="1"/>
  <c r="HL3" i="53" a="1"/>
  <c r="CSI3" i="53" a="1"/>
  <c r="NGN3" i="53" a="1"/>
  <c r="XS3" i="53" a="1"/>
  <c r="EQR3" i="53" a="1"/>
  <c r="RWN3" i="53" a="1"/>
  <c r="RGJ3" i="53" a="1"/>
  <c r="VKB3" i="53" a="1"/>
  <c r="MLJ3" i="53" a="1"/>
  <c r="FMQ3" i="53" a="1"/>
  <c r="DX3" i="53" a="1"/>
  <c r="KAY3" i="53" a="1"/>
  <c r="CDQ3" i="53" a="1"/>
  <c r="LSI3" i="53" a="1"/>
  <c r="OXL3" i="53" a="1"/>
  <c r="TZG3" i="53" a="1"/>
  <c r="JGC3" i="53" a="1"/>
  <c r="PHM3" i="53" a="1"/>
  <c r="CIH3" i="53" a="1"/>
  <c r="JOG3" i="53" a="1"/>
  <c r="MMD3" i="53" a="1"/>
  <c r="RAF3" i="53" a="1"/>
  <c r="HKB3" i="53" a="1"/>
  <c r="HRT3" i="53" a="1"/>
  <c r="IGZ3" i="53" a="1"/>
  <c r="GWQ3" i="53" a="1"/>
  <c r="MOQ3" i="53" a="1"/>
  <c r="ITH3" i="53" a="1"/>
  <c r="TIG3" i="53" a="1"/>
  <c r="ABW3" i="53" a="1"/>
  <c r="IOI3" i="53" a="1"/>
  <c r="IYU3" i="53" a="1"/>
  <c r="AEZ3" i="53" a="1"/>
  <c r="ARG3" i="53" a="1"/>
  <c r="NA3" i="53" a="1"/>
  <c r="QEO3" i="53" a="1"/>
  <c r="EEY3" i="53" a="1"/>
  <c r="QLU3" i="53" a="1"/>
  <c r="CNT3" i="53" a="1"/>
  <c r="EAE3" i="53" a="1"/>
  <c r="PLP3" i="53" a="1"/>
  <c r="LOJ3" i="53" a="1"/>
  <c r="LAZ3" i="53" a="1"/>
  <c r="KBA3" i="53" a="1"/>
  <c r="GBW3" i="53" a="1"/>
  <c r="UZ3" i="53" a="1"/>
  <c r="UO3" i="53" a="1"/>
  <c r="BZM3" i="53" a="1"/>
  <c r="GIO3" i="53" a="1"/>
  <c r="TES3" i="53" a="1"/>
  <c r="ANJ3" i="53" a="1"/>
  <c r="HIP3" i="53" a="1"/>
  <c r="CZO3" i="53" a="1"/>
  <c r="NEP3" i="53" a="1"/>
  <c r="CBY3" i="53" a="1"/>
  <c r="HHG3" i="53" a="1"/>
  <c r="SVT3" i="53" a="1"/>
  <c r="IVE3" i="53" a="1"/>
  <c r="JHB3" i="53" a="1"/>
  <c r="DWA3" i="53" a="1"/>
  <c r="C69" i="53" a="1"/>
  <c r="FQQ3" i="53" a="1"/>
  <c r="RKM3" i="53" a="1"/>
  <c r="B3" i="4" a="1"/>
  <c r="TRZ3" i="53" a="1"/>
  <c r="KVB3" i="53" a="1"/>
  <c r="FZU3" i="53" a="1"/>
  <c r="LKS3" i="53" a="1"/>
  <c r="DXH3" i="53" a="1"/>
  <c r="BKX3" i="53" a="1"/>
  <c r="RUY3" i="53" a="1"/>
  <c r="PS3" i="53" a="1"/>
  <c r="GAP3" i="53" a="1"/>
  <c r="MV3" i="53" a="1"/>
  <c r="UQG3" i="53" a="1"/>
  <c r="PYZ3" i="53" a="1"/>
  <c r="EUE3" i="53" a="1"/>
  <c r="UPS3" i="53" a="1"/>
  <c r="EED3" i="53" a="1"/>
  <c r="HLO3" i="53" a="1"/>
  <c r="IJD3" i="53" a="1"/>
  <c r="MMK3" i="53" a="1"/>
  <c r="II3" i="53" a="1"/>
  <c r="CXF3" i="53" a="1"/>
  <c r="HLR3" i="53" a="1"/>
  <c r="DZT3" i="53" a="1"/>
  <c r="DII3" i="53" a="1"/>
  <c r="DDO3" i="53" a="1"/>
  <c r="MMS3" i="53" a="1"/>
  <c r="BO3" i="53" a="1"/>
  <c r="SEK3" i="53" a="1"/>
  <c r="CLJ3" i="53" a="1"/>
  <c r="WRI3" i="53" a="1"/>
  <c r="FCC3" i="53" a="1"/>
  <c r="FCB3" i="53" a="1"/>
  <c r="PYQ3" i="53" a="1"/>
  <c r="BUX3" i="53" a="1"/>
  <c r="VCE3" i="53" a="1"/>
  <c r="DGJ3" i="53" a="1"/>
  <c r="TGT3" i="53" a="1"/>
  <c r="OFH3" i="53" a="1"/>
  <c r="LTY3" i="53" a="1"/>
  <c r="CEU3" i="53" a="1"/>
  <c r="NDK3" i="53" a="1"/>
  <c r="OJD3" i="53" a="1"/>
  <c r="PDQ3" i="53" a="1"/>
  <c r="IHF3" i="53" a="1"/>
  <c r="E68" i="53" a="1"/>
  <c r="TEE3" i="53" a="1"/>
  <c r="RKT3" i="53" a="1"/>
  <c r="NG3" i="53" a="1"/>
  <c r="VLM3" i="53" a="1"/>
  <c r="CZY3" i="53" a="1"/>
  <c r="TIK3" i="53" a="1"/>
  <c r="DQM3" i="53" a="1"/>
  <c r="MDL3" i="53" a="1"/>
  <c r="DQB3" i="53" a="1"/>
  <c r="JOA3" i="53" a="1"/>
  <c r="FUF3" i="53" a="1"/>
  <c r="CLL3" i="53" a="1"/>
  <c r="FYU3" i="53" a="1"/>
  <c r="RGR3" i="53" a="1"/>
  <c r="SMC3" i="53" a="1"/>
  <c r="UYV3" i="53" a="1"/>
  <c r="GCB3" i="53" a="1"/>
  <c r="LD3" i="53" a="1"/>
  <c r="AHN3" i="53" a="1"/>
  <c r="QLG3" i="53" a="1"/>
  <c r="IHU3" i="53" a="1"/>
  <c r="BXG3" i="53" a="1"/>
  <c r="BKF3" i="53" a="1"/>
  <c r="HZC3" i="53" a="1"/>
  <c r="OOG3" i="53" a="1"/>
  <c r="BJP3" i="53" a="1"/>
  <c r="DUV3" i="53" a="1"/>
  <c r="LPQ3" i="53" a="1"/>
  <c r="HVQ3" i="53" a="1"/>
  <c r="JUH3" i="53" a="1"/>
  <c r="VPO3" i="53" a="1"/>
  <c r="KWF3" i="53" a="1"/>
  <c r="LAG3" i="53" a="1"/>
  <c r="HJI3" i="53" a="1"/>
  <c r="GYS3" i="53" a="1"/>
  <c r="JPX3" i="53" a="1"/>
  <c r="AJW3" i="53" a="1"/>
  <c r="PZK3" i="53" a="1"/>
  <c r="DTK3" i="53" a="1"/>
  <c r="HLF3" i="53" a="1"/>
  <c r="JOB3" i="53" a="1"/>
  <c r="LRE3" i="53" a="1"/>
  <c r="GX3" i="53" a="1"/>
  <c r="PLG3" i="53" a="1"/>
  <c r="GHI3" i="53" a="1"/>
  <c r="WVC3" i="53" a="1"/>
  <c r="C209" i="27" a="1"/>
  <c r="DOQ3" i="53" a="1"/>
  <c r="OJB3" i="53" a="1"/>
  <c r="QYD3" i="53" a="1"/>
  <c r="VFU3" i="53" a="1"/>
  <c r="HMN3" i="53" a="1"/>
  <c r="IIP3" i="53" a="1"/>
  <c r="F20" i="53" a="1"/>
  <c r="AYX3" i="53" a="1"/>
  <c r="DIC3" i="53" a="1"/>
  <c r="OYM3" i="53" a="1"/>
  <c r="OPW3" i="53" a="1"/>
  <c r="BHX3" i="53" a="1"/>
  <c r="FIS3" i="53" a="1"/>
  <c r="VXV3" i="53" a="1"/>
  <c r="AGW3" i="53" a="1"/>
  <c r="DYP3" i="53" a="1"/>
  <c r="JKC3" i="53" a="1"/>
  <c r="ADA3" i="53" a="1"/>
  <c r="RCL3" i="53" a="1"/>
  <c r="NJZ3" i="53" a="1"/>
  <c r="QWU3" i="53" a="1"/>
  <c r="CK3" i="53" a="1"/>
  <c r="VXI3" i="53" a="1"/>
  <c r="FC3" i="53" a="1"/>
  <c r="DDW3" i="53" a="1"/>
  <c r="BCA3" i="53" a="1"/>
  <c r="QKC3" i="53" a="1"/>
  <c r="HUM3" i="53" a="1"/>
  <c r="EQC3" i="53" a="1"/>
  <c r="EFR3" i="53" a="1"/>
  <c r="OLJ3" i="53" a="1"/>
  <c r="GRZ3" i="53" a="1"/>
  <c r="DPY3" i="53" a="1"/>
  <c r="URR3" i="53" a="1"/>
  <c r="OOD3" i="53" a="1"/>
  <c r="GBZ3" i="53" a="1"/>
  <c r="CRV3" i="53" a="1"/>
  <c r="ATM3" i="53" a="1"/>
  <c r="CNG3" i="53" a="1"/>
  <c r="AUS3" i="53" a="1"/>
  <c r="BTI3" i="53" a="1"/>
  <c r="AX3" i="53" a="1"/>
  <c r="CGF3" i="53" a="1"/>
  <c r="NOV3" i="53" a="1"/>
  <c r="PTV3" i="53" a="1"/>
  <c r="WYK3" i="53" a="1"/>
  <c r="GM3" i="53" a="1"/>
  <c r="ILQ3" i="53" a="1"/>
  <c r="QPH3" i="53" a="1"/>
  <c r="PLC3" i="53" a="1"/>
  <c r="IVW3" i="53" a="1"/>
  <c r="KAB3" i="53" a="1"/>
  <c r="JOJ3" i="53" a="1"/>
  <c r="NEG3" i="53" a="1"/>
  <c r="OJM3" i="53" a="1"/>
  <c r="NAJ3" i="53" a="1"/>
  <c r="LN3" i="53" a="1"/>
  <c r="AQL3" i="53" a="1"/>
  <c r="EOB3" i="53" a="1"/>
  <c r="NCF3" i="53" a="1"/>
  <c r="FZH3" i="53" a="1"/>
  <c r="DLJ3" i="53" a="1"/>
  <c r="BYB3" i="53" a="1"/>
  <c r="GAD3" i="53" a="1"/>
  <c r="DYZ3" i="53" a="1"/>
  <c r="CHX3" i="53" a="1"/>
  <c r="SVY3" i="53" a="1"/>
  <c r="OKJ3" i="53" a="1"/>
  <c r="ICL3" i="53" a="1"/>
  <c r="CZN3" i="53" a="1"/>
  <c r="BOY3" i="53" a="1"/>
  <c r="SWM3" i="53" a="1"/>
  <c r="BN3" i="53" a="1"/>
  <c r="OCQ3" i="53" a="1"/>
  <c r="ERI3" i="53" a="1"/>
  <c r="WXB3" i="53" a="1"/>
  <c r="ADQ3" i="53" a="1"/>
  <c r="OZH3" i="53" a="1"/>
  <c r="MZX3" i="53" a="1"/>
  <c r="TDH3" i="53" a="1"/>
  <c r="LDN3" i="53" a="1"/>
  <c r="PKX3" i="53" a="1"/>
  <c r="ZV3" i="53" a="1"/>
  <c r="UC3" i="53" a="1"/>
  <c r="WWV3" i="53" a="1"/>
  <c r="BPK3" i="53" a="1"/>
  <c r="JDR3" i="53" a="1"/>
  <c r="XDT3" i="53" a="1"/>
  <c r="KLJ3" i="53" a="1"/>
  <c r="APL3" i="53" a="1"/>
  <c r="DDG3" i="53" a="1"/>
  <c r="TJS3" i="53" a="1"/>
  <c r="FJT3" i="53" a="1"/>
  <c r="ORY3" i="53" a="1"/>
  <c r="QIA3" i="53" a="1"/>
  <c r="GIY3" i="53" a="1"/>
  <c r="KOB3" i="53" a="1"/>
  <c r="BNO3" i="53" a="1"/>
  <c r="IWI3" i="53" a="1"/>
  <c r="MNH3" i="53" a="1"/>
  <c r="HIU3" i="53" a="1"/>
  <c r="ERG3" i="53" a="1"/>
  <c r="DTO3" i="53" a="1"/>
  <c r="HAA3" i="53" a="1"/>
  <c r="QXO3" i="53" a="1"/>
  <c r="KQS3" i="53" a="1"/>
  <c r="FJB3" i="53" a="1"/>
  <c r="LMV3" i="53" a="1"/>
  <c r="GFI3" i="53" a="1"/>
  <c r="DKL3" i="53" a="1"/>
  <c r="RYW3" i="53" a="1"/>
  <c r="BZG3" i="53" a="1"/>
  <c r="PKI3" i="53" a="1"/>
  <c r="TFC3" i="53" a="1"/>
  <c r="VI3" i="53" a="1"/>
  <c r="ES3" i="53" a="1"/>
  <c r="BHW3" i="53" a="1"/>
  <c r="RNC3" i="53" a="1"/>
  <c r="EJV3" i="53" a="1"/>
  <c r="JT3" i="53" a="1"/>
  <c r="MRI3" i="53" a="1"/>
  <c r="UMX3" i="53" a="1"/>
  <c r="APS3" i="53" a="1"/>
  <c r="LGG3" i="53" a="1"/>
  <c r="FCU3" i="53" a="1"/>
  <c r="SEF3" i="53" a="1"/>
  <c r="ERB3" i="53" a="1"/>
  <c r="OND3" i="53" a="1"/>
  <c r="DHE3" i="53" a="1"/>
  <c r="OJP3" i="53" a="1"/>
  <c r="UJS3" i="53" a="1"/>
  <c r="AAN3" i="53" a="1"/>
  <c r="DEW3" i="53" a="1"/>
  <c r="CTB3" i="53" a="1"/>
  <c r="DLH3" i="53" a="1"/>
  <c r="IXV3" i="53" a="1"/>
  <c r="BXC3" i="53" a="1"/>
  <c r="JLR3" i="53" a="1"/>
  <c r="QZ3" i="53" a="1"/>
  <c r="JNA3" i="53" a="1"/>
  <c r="LZN3" i="53" a="1"/>
  <c r="GUF3" i="53" a="1"/>
  <c r="FGS3" i="53" a="1"/>
  <c r="ANH3" i="53" a="1"/>
  <c r="SG3" i="53" a="1"/>
  <c r="FJE3" i="53" a="1"/>
  <c r="QNZ3" i="53" a="1"/>
  <c r="RJ3" i="53" a="1"/>
  <c r="XCF3" i="53" a="1"/>
  <c r="UWD3" i="53" a="1"/>
  <c r="MSW3" i="53" a="1"/>
  <c r="IUC3" i="53" a="1"/>
  <c r="HBH3" i="53" a="1"/>
  <c r="DJR3" i="53" a="1"/>
  <c r="BLW3" i="53" a="1"/>
  <c r="USL3" i="53" a="1"/>
  <c r="D3" i="28" a="1"/>
  <c r="LO3" i="53" a="1"/>
  <c r="QVB3" i="53" a="1"/>
  <c r="QQY3" i="53" a="1"/>
  <c r="HEM3" i="53" a="1"/>
  <c r="QMO3" i="53" a="1"/>
  <c r="W3" i="53" a="1"/>
  <c r="SUU3" i="53" a="1"/>
  <c r="CKC3" i="53" a="1"/>
  <c r="PWM3" i="53" a="1"/>
  <c r="PMY3" i="53" a="1"/>
  <c r="NRM3" i="53" a="1"/>
  <c r="HNB3" i="53" a="1"/>
  <c r="QAT3" i="53" a="1"/>
  <c r="HDV3" i="53" a="1"/>
  <c r="BVO3" i="53" a="1"/>
  <c r="DOO3" i="53" a="1"/>
  <c r="QHV3" i="53" a="1"/>
  <c r="GCA3" i="53" a="1"/>
  <c r="GJV3" i="53" a="1"/>
  <c r="CTP3" i="53" a="1"/>
  <c r="EXX3" i="53" a="1"/>
  <c r="UBZ3" i="53" a="1"/>
  <c r="UHK3" i="53" a="1"/>
  <c r="LJZ3" i="53" a="1"/>
  <c r="GNO3" i="53" a="1"/>
  <c r="JIK3" i="53" a="1"/>
  <c r="MXC3" i="53" a="1"/>
  <c r="CAN3" i="53" a="1"/>
  <c r="RSC3" i="53" a="1"/>
  <c r="SFS3" i="53" a="1"/>
  <c r="CJS3" i="53" a="1"/>
  <c r="FOF3" i="53" a="1"/>
  <c r="VT3" i="53" a="1"/>
  <c r="B3" i="60" a="1"/>
  <c r="JUJ3" i="53" a="1"/>
  <c r="LBZ3" i="53" a="1"/>
  <c r="IAK3" i="53" a="1"/>
  <c r="PFB3" i="53" a="1"/>
  <c r="URX3" i="53" a="1"/>
  <c r="MIQ3" i="53" a="1"/>
  <c r="DUR3" i="53" a="1"/>
  <c r="QIB3" i="53" a="1"/>
  <c r="VQE3" i="53" a="1"/>
  <c r="TTC3" i="53" a="1"/>
  <c r="SRS3" i="53" a="1"/>
  <c r="OUE3" i="53" a="1"/>
  <c r="QNP3" i="53" a="1"/>
  <c r="AJI3" i="53" a="1"/>
  <c r="CKO3" i="53" a="1"/>
  <c r="MNU3" i="53" a="1"/>
  <c r="RFV3" i="53" a="1"/>
  <c r="LFD3" i="53" a="1"/>
  <c r="OYR3" i="53" a="1"/>
  <c r="NLL3" i="53" a="1"/>
  <c r="NIG3" i="53" a="1"/>
  <c r="VVV3" i="53" a="1"/>
  <c r="HUK3" i="53" a="1"/>
  <c r="JDM3" i="53" a="1"/>
  <c r="MGY3" i="53" a="1"/>
  <c r="PCC3" i="53" a="1"/>
  <c r="HSQ3" i="53" a="1"/>
  <c r="BRV3" i="53" a="1"/>
  <c r="CDG3" i="53" a="1"/>
  <c r="GOQ3" i="53" a="1"/>
  <c r="ET3" i="53" a="1"/>
  <c r="HOW3" i="53" a="1"/>
  <c r="TWY3" i="53" a="1"/>
  <c r="SZP3" i="53" a="1"/>
  <c r="CDZ3" i="53" a="1"/>
  <c r="UIS3" i="53" a="1"/>
  <c r="OK3" i="53" a="1"/>
  <c r="GFY3" i="53" a="1"/>
  <c r="VCT3" i="53" a="1"/>
  <c r="IPZ3" i="53" a="1"/>
  <c r="VGA3" i="53" a="1"/>
  <c r="KXP3" i="53" a="1"/>
  <c r="VDD3" i="53" a="1"/>
  <c r="EUH3" i="53" a="1"/>
  <c r="QJM3" i="53" a="1"/>
  <c r="ALX3" i="53" a="1"/>
  <c r="VFZ3" i="53" a="1"/>
  <c r="GCM3" i="53" a="1"/>
  <c r="TLA3" i="53" a="1"/>
  <c r="BVY3" i="53" a="1"/>
  <c r="CDJ3" i="53" a="1"/>
  <c r="BOW3" i="53" a="1"/>
  <c r="KCY3" i="53" a="1"/>
  <c r="ATF3" i="53" a="1"/>
  <c r="IY3" i="53" a="1"/>
  <c r="RDI3" i="53" a="1"/>
  <c r="DUO3" i="53" a="1"/>
  <c r="PSQ3" i="53" a="1"/>
  <c r="QOX3" i="53" a="1"/>
  <c r="QSW3" i="53" a="1"/>
  <c r="KHY3" i="53" a="1"/>
  <c r="ADV3" i="53" a="1"/>
  <c r="SZN3" i="53" a="1"/>
  <c r="DEC3" i="53" a="1"/>
  <c r="GO3" i="53" a="1"/>
  <c r="BAY3" i="53" a="1"/>
  <c r="RAR3" i="53" a="1"/>
  <c r="PAU3" i="53" a="1"/>
  <c r="BAV3" i="53" a="1"/>
  <c r="HNR3" i="53" a="1"/>
  <c r="ASA3" i="53" a="1"/>
  <c r="BQS3" i="53" a="1"/>
  <c r="UIZ3" i="53" a="1"/>
  <c r="PPJ3" i="53" a="1"/>
  <c r="DXZ3" i="53" a="1"/>
  <c r="EQA3" i="53" a="1"/>
  <c r="CRE3" i="53" a="1"/>
  <c r="PKC3" i="53" a="1"/>
  <c r="BLN3" i="53" a="1"/>
  <c r="DCP3" i="53" a="1"/>
  <c r="WGB3" i="53" a="1"/>
  <c r="WVW3" i="53" a="1"/>
  <c r="TCW3" i="53" a="1"/>
  <c r="NVF3" i="53" a="1"/>
  <c r="HLT3" i="53" a="1"/>
  <c r="HUF3" i="53" a="1"/>
  <c r="EVU3" i="53" a="1"/>
  <c r="VYD3" i="53" a="1"/>
  <c r="TZ3" i="53" a="1"/>
  <c r="DPG3" i="53" a="1"/>
  <c r="SLT3" i="53" a="1"/>
  <c r="LQQ3" i="53" a="1"/>
  <c r="AEJ3" i="53" a="1"/>
  <c r="CQJ3" i="53" a="1"/>
  <c r="SQE3" i="53" a="1"/>
  <c r="BZB3" i="53" a="1"/>
  <c r="PZM3" i="53" a="1"/>
  <c r="QII3" i="53" a="1"/>
  <c r="LUM3" i="53" a="1"/>
  <c r="QNA3" i="53" a="1"/>
  <c r="SLF3" i="53" a="1"/>
  <c r="HJS3" i="53" a="1"/>
  <c r="L3" i="1" a="1"/>
  <c r="WUI3" i="53" a="1"/>
  <c r="LYR3" i="53" a="1"/>
  <c r="BXK3" i="53" a="1"/>
  <c r="QFV3" i="53" a="1"/>
  <c r="VFB3" i="53" a="1"/>
  <c r="EBM3" i="53" a="1"/>
  <c r="FAA3" i="53" a="1"/>
  <c r="UGG3" i="53" a="1"/>
  <c r="FSA3" i="53" a="1"/>
  <c r="AWV3" i="53" a="1"/>
  <c r="OEU3" i="53" a="1"/>
  <c r="TJM3" i="53" a="1"/>
  <c r="POZ3" i="53" a="1"/>
  <c r="HEI3" i="53" a="1"/>
  <c r="RQI3" i="53" a="1"/>
  <c r="GDV3" i="53" a="1"/>
  <c r="TJC3" i="53" a="1"/>
  <c r="CDW3" i="53" a="1"/>
  <c r="EWN3" i="53" a="1"/>
  <c r="AE3" i="53" a="1"/>
  <c r="QBU3" i="53" a="1"/>
  <c r="DMQ3" i="53" a="1"/>
  <c r="QYJ3" i="53" a="1"/>
  <c r="EFF3" i="53" a="1"/>
  <c r="GZZ3" i="53" a="1"/>
  <c r="CBP3" i="53" a="1"/>
  <c r="FOO3" i="53" a="1"/>
  <c r="FLQ3" i="53" a="1"/>
  <c r="TPW3" i="53" a="1"/>
  <c r="KRP3" i="53" a="1"/>
  <c r="IPU3" i="53" a="1"/>
  <c r="HBL3" i="53" a="1"/>
  <c r="UNY3" i="53" a="1"/>
  <c r="KSL3" i="53" a="1"/>
  <c r="ECG3" i="53" a="1"/>
  <c r="RVA3" i="53" a="1"/>
  <c r="JNE3" i="53" a="1"/>
  <c r="CBB3" i="53" a="1"/>
  <c r="AAR3" i="53" a="1"/>
  <c r="EAH3" i="53" a="1"/>
  <c r="PWU3" i="53" a="1"/>
  <c r="JNN3" i="53" a="1"/>
  <c r="KEJ3" i="53" a="1"/>
  <c r="MQG3" i="53" a="1"/>
  <c r="LIK3" i="53" a="1"/>
  <c r="UMM3" i="53" a="1"/>
  <c r="WH3" i="53" a="1"/>
  <c r="QTK3" i="53" a="1"/>
  <c r="QQR3" i="53" a="1"/>
  <c r="ERD3" i="53" a="1"/>
  <c r="TLR3" i="53" a="1"/>
  <c r="NHA3" i="53" a="1"/>
  <c r="AKE3" i="53" a="1"/>
  <c r="LDA3" i="53" a="1"/>
  <c r="UXQ3" i="53" a="1"/>
  <c r="SYQ3" i="53" a="1"/>
  <c r="GUW3" i="53" a="1"/>
  <c r="XBG3" i="53" a="1"/>
  <c r="ILU3" i="53" a="1"/>
  <c r="NFL3" i="53" a="1"/>
  <c r="SPA3" i="53" a="1"/>
  <c r="MBB3" i="53" a="1"/>
  <c r="PNF3" i="53" a="1"/>
  <c r="RX3" i="53" a="1"/>
  <c r="TOM3" i="53" a="1"/>
  <c r="BSL3" i="53" a="1"/>
  <c r="C36" i="27" a="1"/>
  <c r="DLW3" i="53" a="1"/>
  <c r="DZI3" i="53" a="1"/>
  <c r="JWQ3" i="53" a="1"/>
  <c r="QYE3" i="53" a="1"/>
  <c r="DB3" i="53" a="1"/>
  <c r="IKO3" i="53" a="1"/>
  <c r="WOQ3" i="53" a="1"/>
  <c r="DAD3" i="53" a="1"/>
  <c r="LHI3" i="53" a="1"/>
  <c r="RET3" i="53" a="1"/>
  <c r="SYM3" i="53" a="1"/>
  <c r="JIG3" i="53" a="1"/>
  <c r="GGF3" i="53" a="1"/>
  <c r="POP3" i="53" a="1"/>
  <c r="JXZ3" i="53" a="1"/>
  <c r="DPV3" i="53" a="1"/>
  <c r="NNP3" i="53" a="1"/>
  <c r="EQU3" i="53" a="1"/>
  <c r="BBP3" i="53" a="1"/>
  <c r="TQW3" i="53" a="1"/>
  <c r="DFF3" i="53" a="1"/>
  <c r="GJT3" i="53" a="1"/>
  <c r="RJI3" i="53" a="1"/>
  <c r="KEO3" i="53" a="1"/>
  <c r="WWW3" i="53" a="1"/>
  <c r="RHB3" i="53" a="1"/>
  <c r="ILF3" i="53" a="1"/>
  <c r="CKR3" i="53" a="1"/>
  <c r="JFO3" i="53" a="1"/>
  <c r="KQH3" i="53" a="1"/>
  <c r="KCH3" i="53" a="1"/>
  <c r="BAA3" i="53" a="1"/>
  <c r="DXP3" i="53" a="1"/>
  <c r="CAC3" i="53" a="1"/>
  <c r="OAH3" i="53" a="1"/>
  <c r="EGI3" i="53" a="1"/>
  <c r="IMK3" i="53" a="1"/>
  <c r="VOD3" i="53" a="1"/>
  <c r="TIO3" i="53" a="1"/>
  <c r="HOI3" i="53" a="1"/>
  <c r="PC3" i="53" a="1"/>
  <c r="FCI3" i="53" a="1"/>
  <c r="WEL3" i="53" a="1"/>
  <c r="FDA3" i="53" a="1"/>
  <c r="DHQ3" i="53" a="1"/>
  <c r="VS3" i="53" a="1"/>
  <c r="IDW3" i="53" a="1"/>
  <c r="KAL3" i="53" a="1"/>
  <c r="TDC3" i="53" a="1"/>
  <c r="BTL3" i="53" a="1"/>
  <c r="FN3" i="53" a="1"/>
  <c r="G3" i="20" a="1"/>
  <c r="EYF3" i="53" a="1"/>
  <c r="OXC3" i="53" a="1"/>
  <c r="OOY3" i="53" a="1"/>
  <c r="BVM3" i="53" a="1"/>
  <c r="ENJ3" i="53" a="1"/>
  <c r="FNY3" i="53" a="1"/>
  <c r="EDP3" i="53" a="1"/>
  <c r="JRR3" i="53" a="1"/>
  <c r="EHQ3" i="53" a="1"/>
  <c r="ACC3" i="53" a="1"/>
  <c r="CMU3" i="53" a="1"/>
  <c r="HKY3" i="53" a="1"/>
  <c r="EBX3" i="53" a="1"/>
  <c r="WMX3" i="53" a="1"/>
  <c r="KYV3" i="53" a="1"/>
  <c r="BJO3" i="53" a="1"/>
  <c r="FFG3" i="53" a="1"/>
  <c r="DLX3" i="53" a="1"/>
  <c r="VQG3" i="53" a="1"/>
  <c r="CLT3" i="53" a="1"/>
  <c r="FIO3" i="53" a="1"/>
  <c r="KQN3" i="53" a="1"/>
  <c r="IRR3" i="53" a="1"/>
  <c r="NZZ3" i="53" a="1"/>
  <c r="MXO3" i="53" a="1"/>
  <c r="IVR3" i="53" a="1"/>
  <c r="KZR3" i="53" a="1"/>
  <c r="EMG3" i="53" a="1"/>
  <c r="BIL3" i="53" a="1"/>
  <c r="VZA3" i="53" a="1"/>
  <c r="UVJ3" i="53" a="1"/>
  <c r="RAO3" i="53" a="1"/>
  <c r="SIM3" i="53" a="1"/>
  <c r="VIK3" i="53" a="1"/>
  <c r="TYE3" i="53" a="1"/>
  <c r="ARE3" i="53" a="1"/>
  <c r="IAD3" i="53" a="1"/>
  <c r="QDC3" i="53" a="1"/>
  <c r="IRY3" i="53" a="1"/>
  <c r="GGG3" i="53" a="1"/>
  <c r="QAD3" i="53" a="1"/>
  <c r="THK3" i="53" a="1"/>
  <c r="HWH3" i="53" a="1"/>
  <c r="FTN3" i="53" a="1"/>
  <c r="QXT3" i="53" a="1"/>
  <c r="OQU3" i="53" a="1"/>
  <c r="JNW3" i="53" a="1"/>
  <c r="DWZ3" i="53" a="1"/>
  <c r="BUF3" i="53" a="1"/>
  <c r="GYK3" i="53" a="1"/>
  <c r="MGU3" i="53" a="1"/>
  <c r="PKJ3" i="53" a="1"/>
  <c r="MRT3" i="53" a="1"/>
  <c r="WDB3" i="53" a="1"/>
  <c r="TQS3" i="53" a="1"/>
  <c r="SIY3" i="53" a="1"/>
  <c r="MIC3" i="53" a="1"/>
  <c r="ADI3" i="53" a="1"/>
  <c r="AI3" i="53" a="1"/>
  <c r="DLP3" i="53" a="1"/>
  <c r="CFV3" i="53" a="1"/>
  <c r="WWA3" i="53" a="1"/>
  <c r="IVI3" i="53" a="1"/>
  <c r="KWZ3" i="53" a="1"/>
  <c r="GPS3" i="53" a="1"/>
  <c r="AZJ3" i="53" a="1"/>
  <c r="LIO3" i="53" a="1"/>
  <c r="XEF3" i="53" a="1"/>
  <c r="GWB3" i="53" a="1"/>
  <c r="YP3" i="53" a="1"/>
  <c r="GMX3" i="53" a="1"/>
  <c r="NTE3" i="53" a="1"/>
  <c r="RSB3" i="53" a="1"/>
  <c r="WTQ3" i="53" a="1"/>
  <c r="FBT3" i="53" a="1"/>
  <c r="ULL3" i="53" a="1"/>
  <c r="FNE3" i="53" a="1"/>
  <c r="ADD3" i="53" a="1"/>
  <c r="XBN3" i="53" a="1"/>
  <c r="RIS3" i="53" a="1"/>
  <c r="SO3" i="53" a="1"/>
  <c r="HGV3" i="53" a="1"/>
  <c r="OSN3" i="53" a="1"/>
  <c r="NRE3" i="53" a="1"/>
  <c r="JBA3" i="53" a="1"/>
  <c r="TUO3" i="53" a="1"/>
  <c r="DNK3" i="53" a="1"/>
  <c r="BZW3" i="53" a="1"/>
  <c r="B3" i="55" a="1"/>
  <c r="HKI3" i="53" a="1"/>
  <c r="B3" i="52" a="1"/>
  <c r="OGH3" i="53" a="1"/>
  <c r="BED3" i="53" a="1"/>
  <c r="DPB3" i="53" a="1"/>
  <c r="WAV3" i="53" a="1"/>
  <c r="HXO3" i="53" a="1"/>
  <c r="JEB3" i="53" a="1"/>
  <c r="UTI3" i="53" a="1"/>
  <c r="ETL3" i="53" a="1"/>
  <c r="LYD3" i="53" a="1"/>
  <c r="IBT3" i="53" a="1"/>
  <c r="OGJ3" i="53" a="1"/>
  <c r="ALS3" i="53" a="1"/>
  <c r="LPV3" i="53" a="1"/>
  <c r="UA3" i="53" a="1"/>
  <c r="SZA3" i="53" a="1"/>
  <c r="QOS3" i="53" a="1"/>
  <c r="RPH3" i="53" a="1"/>
  <c r="BMH3" i="53" a="1"/>
  <c r="EAC3" i="53" a="1"/>
  <c r="TMQ3" i="53" a="1"/>
  <c r="KL3" i="53" a="1"/>
  <c r="BAQ3" i="53" a="1"/>
  <c r="NMV3" i="53" a="1"/>
  <c r="PP3" i="53" a="1"/>
  <c r="ALW3" i="53" a="1"/>
  <c r="TML3" i="53" a="1"/>
  <c r="DLC3" i="53" a="1"/>
  <c r="CMR3" i="53" a="1"/>
  <c r="UDC3" i="53" a="1"/>
  <c r="TAZ3" i="53" a="1"/>
  <c r="EYZ3" i="53" a="1"/>
  <c r="HKR3" i="53" a="1"/>
  <c r="DSE3" i="53" a="1"/>
  <c r="JKR3" i="53" a="1"/>
  <c r="JTC3" i="53" a="1"/>
  <c r="EXD3" i="53" a="1"/>
  <c r="CJH3" i="53" a="1"/>
  <c r="DEE3" i="53" a="1"/>
  <c r="OTP3" i="53" a="1"/>
  <c r="ELT3" i="53" a="1"/>
  <c r="MNK3" i="53" a="1"/>
  <c r="BLS3" i="53" a="1"/>
  <c r="BBO3" i="53" a="1"/>
  <c r="MAZ3" i="53" a="1"/>
  <c r="BDU3" i="53" a="1"/>
  <c r="NPE3" i="53" a="1"/>
  <c r="AEY3" i="53" a="1"/>
  <c r="WCP3" i="53" a="1"/>
  <c r="CE3" i="53" a="1"/>
  <c r="FFF3" i="53" a="1"/>
  <c r="HBM3" i="53" a="1"/>
  <c r="FW3" i="53" a="1"/>
  <c r="LOQ3" i="53" a="1"/>
  <c r="OE3" i="53" a="1"/>
  <c r="WRG3" i="53" a="1"/>
  <c r="DY3" i="53" a="1"/>
  <c r="AFY3" i="53" a="1"/>
  <c r="DYN3" i="53" a="1"/>
  <c r="MGW3" i="53" a="1"/>
  <c r="SJG3" i="53" a="1"/>
  <c r="WVV3" i="53" a="1"/>
  <c r="XDL3" i="53" a="1"/>
  <c r="JRK3" i="53" a="1"/>
  <c r="UQB3" i="53" a="1"/>
  <c r="HIT3" i="53" a="1"/>
  <c r="PDY3" i="53" a="1"/>
  <c r="JNC3" i="53" a="1"/>
  <c r="JGD3" i="53" a="1"/>
  <c r="KYE3" i="53" a="1"/>
  <c r="LPK3" i="53" a="1"/>
  <c r="KLA3" i="53" a="1"/>
  <c r="VBN3" i="53" a="1"/>
  <c r="FGD3" i="53" a="1"/>
  <c r="RTH3" i="53" a="1"/>
  <c r="UMA3" i="53" a="1"/>
  <c r="RJR3" i="53" a="1"/>
  <c r="JPT3" i="53" a="1"/>
  <c r="WHO3" i="53" a="1"/>
  <c r="CFU3" i="53" a="1"/>
  <c r="HTB3" i="53" a="1"/>
  <c r="BSI3" i="53" a="1"/>
  <c r="TAG3" i="53" a="1"/>
  <c r="IQP3" i="53" a="1"/>
  <c r="TSL3" i="53" a="1"/>
  <c r="EBC3" i="53" a="1"/>
  <c r="IVU3" i="53" a="1"/>
  <c r="BGR3" i="53" a="1"/>
  <c r="VAH3" i="53" a="1"/>
  <c r="AQA3" i="53" a="1"/>
  <c r="JND3" i="53" a="1"/>
  <c r="LRV3" i="53" a="1"/>
  <c r="AFR3" i="53" a="1"/>
  <c r="QCM3" i="53" a="1"/>
  <c r="VXD3" i="53" a="1"/>
  <c r="MZW3" i="53" a="1"/>
  <c r="SYN3" i="53" a="1"/>
  <c r="FBN3" i="53" a="1"/>
  <c r="UCF3" i="53" a="1"/>
  <c r="DSU3" i="53" a="1"/>
  <c r="TQV3" i="53" a="1"/>
  <c r="KCU3" i="53" a="1"/>
  <c r="WBJ3" i="53" a="1"/>
  <c r="GHF3" i="53" a="1"/>
  <c r="JNF3" i="53" a="1"/>
  <c r="WZZ3" i="53" a="1"/>
  <c r="UGM3" i="53" a="1"/>
  <c r="GHY3" i="53" a="1"/>
  <c r="QOF3" i="53" a="1"/>
  <c r="NMR3" i="53" a="1"/>
  <c r="UXG3" i="53" a="1"/>
  <c r="EUJ3" i="53" a="1"/>
  <c r="NPU3" i="53" a="1"/>
  <c r="PXX3" i="53" a="1"/>
  <c r="SZ3" i="53" a="1"/>
  <c r="TRY3" i="53" a="1"/>
  <c r="QR3" i="53" a="1"/>
  <c r="LUS3" i="53" a="1"/>
  <c r="ONL3" i="53" a="1"/>
  <c r="MVT3" i="53" a="1"/>
  <c r="JQA3" i="53" a="1"/>
  <c r="GSJ3" i="53" a="1"/>
  <c r="LBQ3" i="53" a="1"/>
  <c r="DQX3" i="53" a="1"/>
  <c r="TXX3" i="53" a="1"/>
  <c r="CFX3" i="53" a="1"/>
  <c r="WKE3" i="53" a="1"/>
  <c r="NUU3" i="53" a="1"/>
  <c r="NDM3" i="53" a="1"/>
  <c r="LKM3" i="53" a="1"/>
  <c r="FTX3" i="53" a="1"/>
  <c r="BOO3" i="53" a="1"/>
  <c r="HCZ3" i="53" a="1"/>
  <c r="III3" i="53" a="1"/>
  <c r="QWT3" i="53" a="1"/>
  <c r="FTZ3" i="53" a="1"/>
  <c r="CFK3" i="53" a="1"/>
  <c r="IFJ3" i="53" a="1"/>
  <c r="DIO3" i="53" a="1"/>
  <c r="JMZ3" i="53" a="1"/>
  <c r="CIF3" i="53" a="1"/>
  <c r="SKZ3" i="53" a="1"/>
  <c r="HOJ3" i="53" a="1"/>
  <c r="A3" i="62" a="1"/>
  <c r="ODE3" i="53" a="1"/>
  <c r="CT3" i="53" a="1"/>
  <c r="EC3" i="53" a="1"/>
  <c r="HB3" i="53" a="1"/>
  <c r="MDT3" i="53" a="1"/>
  <c r="COO3" i="53" a="1"/>
  <c r="UJC3" i="53" a="1"/>
  <c r="JCT3" i="53" a="1"/>
  <c r="AZI3" i="53" a="1"/>
  <c r="MSM3" i="53" a="1"/>
  <c r="DJA3" i="53" a="1"/>
  <c r="HPD3" i="53" a="1"/>
  <c r="WBM3" i="53" a="1"/>
  <c r="LIP3" i="53" a="1"/>
  <c r="UDQ3" i="53" a="1"/>
  <c r="LFO3" i="53" a="1"/>
  <c r="BMQ3" i="53" a="1"/>
  <c r="BGL3" i="53" a="1"/>
  <c r="SBC3" i="53" a="1"/>
  <c r="DUF3" i="53" a="1"/>
  <c r="CZQ3" i="53" a="1"/>
  <c r="VBB3" i="53" a="1"/>
  <c r="HRS3" i="53" a="1"/>
  <c r="EVS3" i="53" a="1"/>
  <c r="HSC3" i="53" a="1"/>
  <c r="IAO3" i="53" a="1"/>
  <c r="FID3" i="53" a="1"/>
  <c r="AXS3" i="53" a="1"/>
  <c r="BIK3" i="53" a="1"/>
  <c r="GJ3" i="53" a="1"/>
  <c r="RDA3" i="53" a="1"/>
  <c r="HUA3" i="53" a="1"/>
  <c r="ING3" i="53" a="1"/>
  <c r="OYX3" i="53" a="1"/>
  <c r="RQK3" i="53" a="1"/>
  <c r="VIR3" i="53" a="1"/>
  <c r="AVA3" i="53" a="1"/>
  <c r="QBE3" i="53" a="1"/>
  <c r="SS3" i="53" a="1"/>
  <c r="OAO3" i="53" a="1"/>
  <c r="QVS3" i="53" a="1"/>
  <c r="NTH3" i="53" a="1"/>
  <c r="UPG3" i="53" a="1"/>
  <c r="PNX3" i="53" a="1"/>
  <c r="GFG3" i="53" a="1"/>
  <c r="DCC3" i="53" a="1"/>
  <c r="AQM3" i="53" a="1"/>
  <c r="IUT3" i="53" a="1"/>
  <c r="AZY3" i="53" a="1"/>
  <c r="PDU3" i="53" a="1"/>
  <c r="AHX3" i="53" a="1"/>
  <c r="MRX3" i="53" a="1"/>
  <c r="AMV3" i="53" a="1"/>
  <c r="TZF3" i="53" a="1"/>
  <c r="CLE3" i="53" a="1"/>
  <c r="BLA3" i="53" a="1"/>
  <c r="HUV3" i="53" a="1"/>
  <c r="FCX3" i="53" a="1"/>
  <c r="CKE3" i="53" a="1"/>
  <c r="TEI3" i="53" a="1"/>
  <c r="PKP3" i="53" a="1"/>
  <c r="QGN3" i="53" a="1"/>
  <c r="EOY3" i="53" a="1"/>
  <c r="MPQ3" i="53" a="1"/>
  <c r="ODT3" i="53" a="1"/>
  <c r="VUL3" i="53" a="1"/>
  <c r="RZE3" i="53" a="1"/>
  <c r="TAT3" i="53" a="1"/>
  <c r="JQF3" i="53" a="1"/>
  <c r="WVL3" i="53" a="1"/>
  <c r="WQH3" i="53" a="1"/>
  <c r="ASQ3" i="53" a="1"/>
  <c r="DUH3" i="53" a="1"/>
  <c r="WHF3" i="53" a="1"/>
  <c r="VCK3" i="53" a="1"/>
  <c r="NGX3" i="53" a="1"/>
  <c r="JZ3" i="53" a="1"/>
  <c r="SXG3" i="53" a="1"/>
  <c r="HRN3" i="53" a="1"/>
  <c r="F6" i="53" a="1"/>
  <c r="NMM3" i="53" a="1"/>
  <c r="NMH3" i="53" a="1"/>
  <c r="MPK3" i="53" a="1"/>
  <c r="FBS3" i="53" a="1"/>
  <c r="CAF3" i="53" a="1"/>
  <c r="RNM3" i="53" a="1"/>
  <c r="ILO3" i="53" a="1"/>
  <c r="FMY3" i="53" a="1"/>
  <c r="VZ3" i="53" a="1"/>
  <c r="TZY3" i="53" a="1"/>
  <c r="DIH3" i="53" a="1"/>
  <c r="GEM3" i="53" a="1"/>
  <c r="ATV3" i="53" a="1"/>
  <c r="BZV3" i="53" a="1"/>
  <c r="RCB3" i="53" a="1"/>
  <c r="DZR3" i="53" a="1"/>
  <c r="BAR3" i="53" a="1"/>
  <c r="QRU3" i="53" a="1"/>
  <c r="AMZ3" i="53" a="1"/>
  <c r="DPT3" i="53" a="1"/>
  <c r="KAZ3" i="53" a="1"/>
  <c r="ARL3" i="53" a="1"/>
  <c r="JYG3" i="53" a="1"/>
  <c r="JJK3" i="53" a="1"/>
  <c r="QPR3" i="53" a="1"/>
  <c r="VBK3" i="53" a="1"/>
  <c r="PKE3" i="53" a="1"/>
  <c r="DXO3" i="53" a="1"/>
  <c r="FWC3" i="53" a="1"/>
  <c r="ILY3" i="53" a="1"/>
  <c r="VUT3" i="53" a="1"/>
  <c r="DUB3" i="53" a="1"/>
  <c r="SIS3" i="53" a="1"/>
  <c r="VVS3" i="53" a="1"/>
  <c r="FLE3" i="53" a="1"/>
  <c r="ERZ3" i="53" a="1"/>
  <c r="MEG3" i="53" a="1"/>
  <c r="JON3" i="53" a="1"/>
  <c r="GVP3" i="53" a="1"/>
  <c r="ILA3" i="53" a="1"/>
  <c r="PXY3" i="53" a="1"/>
  <c r="SI3" i="53" a="1"/>
  <c r="MAY3" i="53" a="1"/>
  <c r="EMN3" i="53" a="1"/>
  <c r="QKZ3" i="53" a="1"/>
  <c r="EXM3" i="53" a="1"/>
  <c r="FMV3" i="53" a="1"/>
  <c r="EII3" i="53" a="1"/>
  <c r="LTN3" i="53" a="1"/>
  <c r="LHX3" i="53" a="1"/>
  <c r="EH3" i="53" a="1"/>
  <c r="SQZ3" i="53" a="1"/>
  <c r="CBA3" i="53" a="1"/>
  <c r="FSL3" i="53" a="1"/>
  <c r="HAK3" i="53" a="1"/>
  <c r="AZM3" i="53" a="1"/>
  <c r="SNU3" i="53" a="1"/>
  <c r="GPC3" i="53" a="1"/>
  <c r="LJC3" i="53" a="1"/>
  <c r="SNX3" i="53" a="1"/>
  <c r="AUZ3" i="53" a="1"/>
  <c r="TMS3" i="53" a="1"/>
  <c r="EZW3" i="53" a="1"/>
  <c r="TTX3" i="53" a="1"/>
  <c r="WBS3" i="53" a="1"/>
  <c r="PJZ3" i="53" a="1"/>
  <c r="OCD3" i="53" a="1"/>
  <c r="CMV3" i="53" a="1"/>
  <c r="URU3" i="53" a="1"/>
  <c r="IQH3" i="53" a="1"/>
  <c r="UQ3" i="53" a="1"/>
  <c r="KHB3" i="53" a="1"/>
  <c r="JVR3" i="53" a="1"/>
  <c r="MBH3" i="53" a="1"/>
  <c r="ACG3" i="53" a="1"/>
  <c r="ISH3" i="53" a="1"/>
  <c r="EFV3" i="53" a="1"/>
  <c r="PPO3" i="53" a="1"/>
  <c r="AXC3" i="53" a="1"/>
  <c r="IUJ3" i="53" a="1"/>
  <c r="BUM3" i="53" a="1"/>
  <c r="AEO3" i="53" a="1"/>
  <c r="LII3" i="53" a="1"/>
  <c r="TPU3" i="53" a="1"/>
  <c r="SFG3" i="53" a="1"/>
  <c r="KBM3" i="53" a="1"/>
  <c r="UYC3" i="53" a="1"/>
  <c r="XY3" i="53" a="1"/>
  <c r="KBD3" i="53" a="1"/>
  <c r="TBC3" i="53" a="1"/>
  <c r="QQW3" i="53" a="1"/>
  <c r="GCI3" i="53" a="1"/>
  <c r="VVB3" i="53" a="1"/>
  <c r="FJC3" i="53" a="1"/>
  <c r="PSJ3" i="53" a="1"/>
  <c r="DSN3" i="53" a="1"/>
  <c r="DOF3" i="53" a="1"/>
  <c r="NAR3" i="53" a="1"/>
  <c r="TGC3" i="53" a="1"/>
  <c r="NVJ3" i="53" a="1"/>
  <c r="ULA3" i="53" a="1"/>
  <c r="KH3" i="53" a="1"/>
  <c r="ISV3" i="53" a="1"/>
  <c r="DTU3" i="53" a="1"/>
  <c r="QO3" i="53" a="1"/>
  <c r="VIF3" i="53" a="1"/>
  <c r="KBW3" i="53" a="1"/>
  <c r="NDF3" i="53" a="1"/>
  <c r="VLS3" i="53" a="1"/>
  <c r="HHZ3" i="53" a="1"/>
  <c r="JLS3" i="53" a="1"/>
  <c r="LNI3" i="53" a="1"/>
  <c r="FZY3" i="53" a="1"/>
  <c r="RBY3" i="53" a="1"/>
  <c r="TUN3" i="53" a="1"/>
  <c r="SXX3" i="53" a="1"/>
  <c r="OEY3" i="53" a="1"/>
  <c r="HRY3" i="53" a="1"/>
  <c r="OSC3" i="53" a="1"/>
  <c r="NVT3" i="53" a="1"/>
  <c r="JZV3" i="53" a="1"/>
  <c r="RNS3" i="53" a="1"/>
  <c r="PPL3" i="53" a="1"/>
  <c r="TJR3" i="53" a="1"/>
  <c r="VFC3" i="53" a="1"/>
  <c r="MDH3" i="53" a="1"/>
  <c r="ATR3" i="53" a="1"/>
  <c r="KEC3" i="53" a="1"/>
  <c r="LDL3" i="53" a="1"/>
  <c r="DPE3" i="53" a="1"/>
  <c r="UKF3" i="53" a="1"/>
  <c r="KKL3" i="53" a="1"/>
  <c r="TLO3" i="53" a="1"/>
  <c r="GWO3" i="53" a="1"/>
  <c r="TOP3" i="53" a="1"/>
  <c r="STH3" i="53" a="1"/>
  <c r="HRB3" i="53" a="1"/>
  <c r="QBM3" i="53" a="1"/>
  <c r="OXT3" i="53" a="1"/>
  <c r="NGL3" i="53" a="1"/>
  <c r="USR3" i="53" a="1"/>
  <c r="SHZ3" i="53" a="1"/>
  <c r="PTF3" i="53" a="1"/>
  <c r="AQB3" i="53" a="1"/>
  <c r="PFD3" i="53" a="1"/>
  <c r="USP3" i="53" a="1"/>
  <c r="RTT3" i="53" a="1"/>
  <c r="NPF3" i="53" a="1"/>
  <c r="CUR3" i="53" a="1"/>
  <c r="UBV3" i="53" a="1"/>
  <c r="LQJ3" i="53" a="1"/>
  <c r="IXD3" i="53" a="1"/>
  <c r="GYQ3" i="53" a="1"/>
  <c r="JGB3" i="53" a="1"/>
  <c r="JQC3" i="53" a="1"/>
  <c r="HKV3" i="53" a="1"/>
  <c r="IEX3" i="53" a="1"/>
  <c r="IWP3" i="53" a="1"/>
  <c r="VFA3" i="53" a="1"/>
  <c r="TXU3" i="53" a="1"/>
  <c r="F45" i="53" a="1"/>
  <c r="XBJ3" i="53" a="1"/>
  <c r="OIQ3" i="53" a="1"/>
  <c r="WAN3" i="53" a="1"/>
  <c r="XO3" i="53" a="1"/>
  <c r="UZI3" i="53" a="1"/>
  <c r="MLA3" i="53" a="1"/>
  <c r="JXU3" i="53" a="1"/>
  <c r="FXR3" i="53" a="1"/>
  <c r="UPM3" i="53" a="1"/>
  <c r="CDV3" i="53" a="1"/>
  <c r="BCU3" i="53" a="1"/>
  <c r="HDX3" i="53" a="1"/>
  <c r="QFG3" i="53" a="1"/>
  <c r="TIS3" i="53" a="1"/>
  <c r="EEG3" i="53" a="1"/>
  <c r="KBH3" i="53" a="1"/>
  <c r="ITW3" i="53" a="1"/>
  <c r="JIC3" i="53" a="1"/>
  <c r="IKR3" i="53" a="1"/>
  <c r="KCS3" i="53" a="1"/>
  <c r="UZP3" i="53" a="1"/>
  <c r="OJA3" i="53" a="1"/>
  <c r="QJY3" i="53" a="1"/>
  <c r="TJA3" i="53" a="1"/>
  <c r="HTZ3" i="53" a="1"/>
  <c r="QDP3" i="53" a="1"/>
  <c r="SLK3" i="53" a="1"/>
  <c r="DBG3" i="53" a="1"/>
  <c r="F3" i="4" a="1"/>
  <c r="BNL3" i="53" a="1"/>
  <c r="UZL3" i="53" a="1"/>
  <c r="TDY3" i="53" a="1"/>
  <c r="CSK3" i="53" a="1"/>
  <c r="D3" i="47" a="1"/>
  <c r="DCZ3" i="53" a="1"/>
  <c r="JEA3" i="53" a="1"/>
  <c r="UXU3" i="53" a="1"/>
  <c r="CCW3" i="53" a="1"/>
  <c r="VPM3" i="53" a="1"/>
  <c r="JYJ3" i="53" a="1"/>
  <c r="OVY3" i="53" a="1"/>
  <c r="DPH3" i="53" a="1"/>
  <c r="MYO3" i="53" a="1"/>
  <c r="EQD3" i="53" a="1"/>
  <c r="FYZ3" i="53" a="1"/>
  <c r="RYX3" i="53" a="1"/>
  <c r="IPH3" i="53" a="1"/>
  <c r="PTX3" i="53" a="1"/>
  <c r="DYR3" i="53" a="1"/>
  <c r="HOY3" i="53" a="1"/>
  <c r="QRB3" i="53" a="1"/>
  <c r="RHI3" i="53" a="1"/>
  <c r="TKP3" i="53" a="1"/>
  <c r="TMO3" i="53" a="1"/>
  <c r="JVO3" i="53" a="1"/>
  <c r="SLU3" i="53" a="1"/>
  <c r="OVX3" i="53" a="1"/>
  <c r="RNW3" i="53" a="1"/>
  <c r="AHM3" i="53" a="1"/>
  <c r="LOG3" i="53" a="1"/>
  <c r="CUA3" i="53" a="1"/>
  <c r="A3" i="7" a="1"/>
  <c r="BVP3" i="53" a="1"/>
  <c r="QED3" i="53" a="1"/>
  <c r="JIA3" i="53" a="1"/>
  <c r="UF3" i="53" a="1"/>
  <c r="CNX3" i="53" a="1"/>
  <c r="CLR3" i="53" a="1"/>
  <c r="OEF3" i="53" a="1"/>
  <c r="LWT3" i="53" a="1"/>
  <c r="LGT3" i="53" a="1"/>
  <c r="HVU3" i="53" a="1"/>
  <c r="CXI3" i="53" a="1"/>
  <c r="IIR3" i="53" a="1"/>
  <c r="UYG3" i="53" a="1"/>
  <c r="CGH3" i="53" a="1"/>
  <c r="PGT3" i="53" a="1"/>
  <c r="VNF3" i="53" a="1"/>
  <c r="HVZ3" i="53" a="1"/>
  <c r="CNP3" i="53" a="1"/>
  <c r="HCF3" i="53" a="1"/>
  <c r="GTJ3" i="53" a="1"/>
  <c r="NK3" i="53" a="1"/>
  <c r="OSY3" i="53" a="1"/>
  <c r="SAJ3" i="53" a="1"/>
  <c r="BUS3" i="53" a="1"/>
  <c r="GBJ3" i="53" a="1"/>
  <c r="OWY3" i="53" a="1"/>
  <c r="PWC3" i="53" a="1"/>
  <c r="FKH3" i="53" a="1"/>
  <c r="QWF3" i="53" a="1"/>
  <c r="BNZ3" i="53" a="1"/>
  <c r="ARR3" i="53" a="1"/>
  <c r="ICY3" i="53" a="1"/>
  <c r="DUC3" i="53" a="1"/>
  <c r="AUI3" i="53" a="1"/>
  <c r="ADM3" i="53" a="1"/>
  <c r="MMF3" i="53" a="1"/>
  <c r="PPA3" i="53" a="1"/>
  <c r="QJV3" i="53" a="1"/>
  <c r="CTZ3" i="53" a="1"/>
  <c r="MWA3" i="53" a="1"/>
  <c r="AYU3" i="53" a="1"/>
  <c r="PFO3" i="53" a="1"/>
  <c r="JBX3" i="53" a="1"/>
  <c r="KLS3" i="53" a="1"/>
  <c r="PCN3" i="53" a="1"/>
  <c r="CSE3" i="53" a="1"/>
  <c r="IVS3" i="53" a="1"/>
  <c r="WZJ3" i="53" a="1"/>
  <c r="RNR3" i="53" a="1"/>
  <c r="VTF3" i="53" a="1"/>
  <c r="RSN3" i="53" a="1"/>
  <c r="ETR3" i="53" a="1"/>
  <c r="EEK3" i="53" a="1"/>
  <c r="JDB3" i="53" a="1"/>
  <c r="UTB3" i="53" a="1"/>
  <c r="MPV3" i="53" a="1"/>
  <c r="IHW3" i="53" a="1"/>
  <c r="DCL3" i="53" a="1"/>
  <c r="DVE3" i="53" a="1"/>
  <c r="UJM3" i="53" a="1"/>
  <c r="REK3" i="53" a="1"/>
  <c r="TFB3" i="53" a="1"/>
  <c r="VGT3" i="53" a="1"/>
  <c r="NV3" i="53" a="1"/>
  <c r="MCZ3" i="53" a="1"/>
  <c r="SRF3" i="53" a="1"/>
  <c r="HKE3" i="53" a="1"/>
  <c r="LHK3" i="53" a="1"/>
  <c r="FQX3" i="53" a="1"/>
  <c r="EP3" i="53" a="1"/>
  <c r="HIK3" i="53" a="1"/>
  <c r="WOG3" i="53" a="1"/>
  <c r="GFM3" i="53" a="1"/>
  <c r="UAV3" i="53" a="1"/>
  <c r="ITF3" i="53" a="1"/>
  <c r="DOK3" i="53" a="1"/>
  <c r="PDB3" i="53" a="1"/>
  <c r="LAR3" i="53" a="1"/>
  <c r="OWQ3" i="53" a="1"/>
  <c r="QPB3" i="53" a="1"/>
  <c r="JCY3" i="53" a="1"/>
  <c r="HXK3" i="53" a="1"/>
  <c r="BOB3" i="53" a="1"/>
  <c r="UDI3" i="53" a="1"/>
  <c r="KYD3" i="53" a="1"/>
  <c r="MP3" i="53" a="1"/>
  <c r="JHV3" i="53" a="1"/>
  <c r="TO3" i="53" a="1"/>
  <c r="NOX3" i="53" a="1"/>
  <c r="JDL3" i="53" a="1"/>
  <c r="OKI3" i="53" a="1"/>
  <c r="AMA3" i="53" a="1"/>
  <c r="NEK3" i="53" a="1"/>
  <c r="CZM3" i="53" a="1"/>
  <c r="WQM3" i="53" a="1"/>
  <c r="FSE3" i="53" a="1"/>
  <c r="KXZ3" i="53" a="1"/>
  <c r="UJJ3" i="53" a="1"/>
  <c r="PDZ3" i="53" a="1"/>
  <c r="IEM3" i="53" a="1"/>
  <c r="WUD3" i="53" a="1"/>
  <c r="PKS3" i="53" a="1"/>
  <c r="D3" i="26" a="1"/>
  <c r="LPU3" i="53" a="1"/>
  <c r="UWT3" i="53" a="1"/>
  <c r="OKN3" i="53" a="1"/>
  <c r="MCO3" i="53" a="1"/>
  <c r="CXZ3" i="53" a="1"/>
  <c r="LOV3" i="53" a="1"/>
  <c r="HYR3" i="53" a="1"/>
  <c r="OPN3" i="53" a="1"/>
  <c r="CLX3" i="53" a="1"/>
  <c r="MBW3" i="53" a="1"/>
  <c r="BQI3" i="53" a="1"/>
  <c r="MOV3" i="53" a="1"/>
  <c r="FFB3" i="53" a="1"/>
  <c r="KWP3" i="53" a="1"/>
  <c r="HBT3" i="53" a="1"/>
  <c r="WXS3" i="53" a="1"/>
  <c r="BWB3" i="53" a="1"/>
  <c r="KOZ3" i="53" a="1"/>
  <c r="GLP3" i="53" a="1"/>
  <c r="JHC3" i="53" a="1"/>
  <c r="BYH3" i="53" a="1"/>
  <c r="ACH3" i="53" a="1"/>
  <c r="IU3" i="53" a="1"/>
  <c r="MGM3" i="53" a="1"/>
  <c r="IZN3" i="53" a="1"/>
  <c r="BTZ3" i="53" a="1"/>
  <c r="HMR3" i="53" a="1"/>
  <c r="OIH3" i="53" a="1"/>
  <c r="JAD3" i="53" a="1"/>
  <c r="LLK3" i="53" a="1"/>
  <c r="SZE3" i="53" a="1"/>
  <c r="SKL3" i="53" a="1"/>
  <c r="BLM3" i="53" a="1"/>
  <c r="KGU3" i="53" a="1"/>
  <c r="GED3" i="53" a="1"/>
  <c r="WWD3" i="53" a="1"/>
  <c r="BNX3" i="53" a="1"/>
  <c r="HPS3" i="53" a="1"/>
  <c r="OHL3" i="53" a="1"/>
  <c r="BEX3" i="53" a="1"/>
  <c r="DUJ3" i="53" a="1"/>
  <c r="GOW3" i="53" a="1"/>
  <c r="BMG3" i="53" a="1"/>
  <c r="BVU3" i="53" a="1"/>
  <c r="C15" i="53" a="1"/>
  <c r="GVK3" i="53" a="1"/>
  <c r="QKH3" i="53" a="1"/>
  <c r="UXS3" i="53" a="1"/>
  <c r="ANE3" i="53" a="1"/>
  <c r="ACX3" i="53" a="1"/>
  <c r="LRH3" i="53" a="1"/>
  <c r="WSQ3" i="53" a="1"/>
  <c r="TV3" i="53" a="1"/>
  <c r="PFU3" i="53" a="1"/>
  <c r="TEY3" i="53" a="1"/>
  <c r="RIR3" i="53" a="1"/>
  <c r="FVA3" i="53" a="1"/>
  <c r="IKF3" i="53" a="1"/>
  <c r="KHC3" i="53" a="1"/>
  <c r="F3" i="47" a="1"/>
  <c r="VX3" i="53" a="1"/>
  <c r="VF3" i="53" a="1"/>
  <c r="QLY3" i="53" a="1"/>
  <c r="NCX3" i="53" a="1"/>
  <c r="ESO3" i="53" a="1"/>
  <c r="VE3" i="53" a="1"/>
  <c r="GNY3" i="53" a="1"/>
  <c r="STB3" i="53" a="1"/>
  <c r="RCO3" i="53" a="1"/>
  <c r="QPK3" i="53" a="1"/>
  <c r="CUH3" i="53" a="1"/>
  <c r="UK3" i="53" a="1"/>
  <c r="XN3" i="53" a="1"/>
  <c r="TSD3" i="53" a="1"/>
  <c r="E9" i="31" a="1"/>
  <c r="BYU3" i="53" a="1"/>
  <c r="JYH3" i="53" a="1"/>
  <c r="MYA3" i="53" a="1"/>
  <c r="JN3" i="53" a="1"/>
  <c r="EQQ3" i="53" a="1"/>
  <c r="OKM3" i="53" a="1"/>
  <c r="JJH3" i="53" a="1"/>
  <c r="IHY3" i="53" a="1"/>
  <c r="KYA3" i="53" a="1"/>
  <c r="KGS3" i="53" a="1"/>
  <c r="KRL3" i="53" a="1"/>
  <c r="LR3" i="53" a="1"/>
  <c r="ALC3" i="53" a="1"/>
  <c r="DDH3" i="53" a="1"/>
  <c r="OPP3" i="53" a="1"/>
  <c r="EUK3" i="53" a="1"/>
  <c r="HPG3" i="53" a="1"/>
  <c r="HCE3" i="53" a="1"/>
  <c r="UEV3" i="53" a="1"/>
  <c r="VVH3" i="53" a="1"/>
  <c r="JNP3" i="53" a="1"/>
  <c r="RNY3" i="53" a="1"/>
  <c r="WKS3" i="53" a="1"/>
  <c r="MKX3" i="53" a="1"/>
  <c r="MWN3" i="53" a="1"/>
  <c r="BXY3" i="53" a="1"/>
  <c r="RHV3" i="53" a="1"/>
  <c r="LHD3" i="53" a="1"/>
  <c r="AHB3" i="53" a="1"/>
  <c r="PDG3" i="53" a="1"/>
  <c r="AKV3" i="53" a="1"/>
  <c r="NLV3" i="53" a="1"/>
  <c r="AEM3" i="53" a="1"/>
  <c r="DUT3" i="53" a="1"/>
  <c r="WZN3" i="53" a="1"/>
  <c r="DPC3" i="53" a="1"/>
  <c r="BDZ3" i="53" a="1"/>
  <c r="JGI3" i="53" a="1"/>
  <c r="EOL3" i="53" a="1"/>
  <c r="EIM3" i="53" a="1"/>
  <c r="MNS3" i="53" a="1"/>
  <c r="LRC3" i="53" a="1"/>
  <c r="KNY3" i="53" a="1"/>
  <c r="AOE3" i="53" a="1"/>
  <c r="GS3" i="53" a="1"/>
  <c r="KMO3" i="53" a="1"/>
  <c r="QQQ3" i="53" a="1"/>
  <c r="OZB3" i="53" a="1"/>
  <c r="BAS3" i="53" a="1"/>
  <c r="TXV3" i="53" a="1"/>
  <c r="MUP3" i="53" a="1"/>
  <c r="EMT3" i="53" a="1"/>
  <c r="CZL3" i="53" a="1"/>
  <c r="INJ3" i="53" a="1"/>
  <c r="CQH3" i="53" a="1"/>
  <c r="FKT3" i="53" a="1"/>
  <c r="KLE3" i="53" a="1"/>
  <c r="LKP3" i="53" a="1"/>
  <c r="AQV3" i="53" a="1"/>
  <c r="DIE3" i="53" a="1"/>
  <c r="ISS3" i="53" a="1"/>
  <c r="IAS3" i="53" a="1"/>
  <c r="KKW3" i="53" a="1"/>
  <c r="MTU3" i="53" a="1"/>
  <c r="FAE3" i="53" a="1"/>
  <c r="PRH3" i="53" a="1"/>
  <c r="STU3" i="53" a="1"/>
  <c r="JUF3" i="53" a="1"/>
  <c r="PZC3" i="53" a="1"/>
  <c r="NHS3" i="53" a="1"/>
  <c r="AWA3" i="53" a="1"/>
  <c r="EAY3" i="53" a="1"/>
  <c r="DKZ3" i="53" a="1"/>
  <c r="RCT3" i="53" a="1"/>
  <c r="KDL3" i="53" a="1"/>
  <c r="CEW3" i="53" a="1"/>
  <c r="LOO3" i="53" a="1"/>
  <c r="GMZ3" i="53" a="1"/>
  <c r="OJH3" i="53" a="1"/>
  <c r="JQH3" i="53" a="1"/>
  <c r="BTP3" i="53" a="1"/>
  <c r="PVT3" i="53" a="1"/>
  <c r="ABX3" i="53" a="1"/>
  <c r="ZM3" i="53" a="1"/>
  <c r="DQD3" i="53" a="1"/>
  <c r="NYV3" i="53" a="1"/>
  <c r="GKI3" i="53" a="1"/>
  <c r="SNG3" i="53" a="1"/>
  <c r="TRQ3" i="53" a="1"/>
  <c r="QOK3" i="53" a="1"/>
  <c r="RDO3" i="53" a="1"/>
  <c r="PSV3" i="53" a="1"/>
  <c r="GSF3" i="53" a="1"/>
  <c r="NJH3" i="53" a="1"/>
  <c r="EUL3" i="53" a="1"/>
  <c r="KVS3" i="53" a="1"/>
  <c r="JKQ3" i="53" a="1"/>
  <c r="OQL3" i="53" a="1"/>
  <c r="DOP3" i="53" a="1"/>
  <c r="DV3" i="53" a="1"/>
  <c r="GCG3" i="53" a="1"/>
  <c r="GVB3" i="53" a="1"/>
  <c r="PTN3" i="53" a="1"/>
  <c r="CUX3" i="53" a="1"/>
  <c r="SFC3" i="53" a="1"/>
  <c r="OOE3" i="53" a="1"/>
  <c r="LOF3" i="53" a="1"/>
  <c r="JIL3" i="53" a="1"/>
  <c r="OLB3" i="53" a="1"/>
  <c r="AGL3" i="53" a="1"/>
  <c r="WYJ3" i="53" a="1"/>
  <c r="NIK3" i="53" a="1"/>
  <c r="LPO3" i="53" a="1"/>
  <c r="RYV3" i="53" a="1"/>
  <c r="PJG3" i="53" a="1"/>
  <c r="JSN3" i="53" a="1"/>
  <c r="LDP3" i="53" a="1"/>
  <c r="PZJ3" i="53" a="1"/>
  <c r="GNE3" i="53" a="1"/>
  <c r="PBW3" i="53" a="1"/>
  <c r="KLZ3" i="53" a="1"/>
  <c r="JLF3" i="53" a="1"/>
  <c r="HPI3" i="53" a="1"/>
  <c r="VXH3" i="53" a="1"/>
  <c r="MOS3" i="53" a="1"/>
  <c r="CTC3" i="53" a="1"/>
  <c r="TPQ3" i="53" a="1"/>
  <c r="CIW3" i="53" a="1"/>
  <c r="KYR3" i="53" a="1"/>
  <c r="FIK3" i="53" a="1"/>
  <c r="NKN3" i="53" a="1"/>
  <c r="VNW3" i="53" a="1"/>
  <c r="G3" i="26" a="1"/>
  <c r="CNK3" i="53" a="1"/>
  <c r="DNM3" i="53" a="1"/>
  <c r="DVP3" i="53" a="1"/>
  <c r="JTA3" i="53" a="1"/>
  <c r="VEG3" i="53" a="1"/>
  <c r="OGV3" i="53" a="1"/>
  <c r="OBD3" i="53" a="1"/>
  <c r="PIH3" i="53" a="1"/>
  <c r="RNZ3" i="53" a="1"/>
  <c r="CNN3" i="53" a="1"/>
  <c r="ELW3" i="53" a="1"/>
  <c r="QSA3" i="53" a="1"/>
  <c r="AVQ3" i="53" a="1"/>
  <c r="KCG3" i="53" a="1"/>
  <c r="IVJ3" i="53" a="1"/>
  <c r="LZS3" i="53" a="1"/>
  <c r="VGY3" i="53" a="1"/>
  <c r="NLJ3" i="53" a="1"/>
  <c r="JOQ3" i="53" a="1"/>
  <c r="TM3" i="53" a="1"/>
  <c r="QGQ3" i="53" a="1"/>
  <c r="RFT3" i="53" a="1"/>
  <c r="SYC3" i="53" a="1"/>
  <c r="INB3" i="53" a="1"/>
  <c r="GKT3" i="53" a="1"/>
  <c r="NXX3" i="53" a="1"/>
  <c r="COZ3" i="53" a="1"/>
  <c r="ASG3" i="53" a="1"/>
  <c r="E3" i="2" a="1"/>
  <c r="MTX3" i="53" a="1"/>
  <c r="AJJ3" i="53" a="1"/>
  <c r="FGE3" i="53" a="1"/>
  <c r="IPD3" i="53" a="1"/>
  <c r="BYR3" i="53" a="1"/>
  <c r="GK3" i="53" a="1"/>
  <c r="ECQ3" i="53" a="1"/>
  <c r="TUH3" i="53" a="1"/>
  <c r="FEO3" i="53" a="1"/>
  <c r="FE3" i="53" a="1"/>
  <c r="PMH3" i="53" a="1"/>
  <c r="KGE3" i="53" a="1"/>
  <c r="SBX3" i="53" a="1"/>
  <c r="JGM3" i="53" a="1"/>
  <c r="DKQ3" i="53" a="1"/>
  <c r="IUW3" i="53" a="1"/>
  <c r="WVG3" i="53" a="1"/>
  <c r="VJK3" i="53" a="1"/>
  <c r="HKQ3" i="53" a="1"/>
  <c r="LUJ3" i="53" a="1"/>
  <c r="NAI3" i="53" a="1"/>
  <c r="LEH3" i="53" a="1"/>
  <c r="AZA3" i="53" a="1"/>
  <c r="FPE3" i="53" a="1"/>
  <c r="XJ3" i="53" a="1"/>
  <c r="ERE3" i="53" a="1"/>
  <c r="EJT3" i="53" a="1"/>
  <c r="KXO3" i="53" a="1"/>
  <c r="GOP3" i="53" a="1"/>
  <c r="CUG3" i="53" a="1"/>
  <c r="NMG3" i="53" a="1"/>
  <c r="FER3" i="53" a="1"/>
  <c r="BMY3" i="53" a="1"/>
  <c r="JFF3" i="53" a="1"/>
  <c r="NJ3" i="53" a="1"/>
  <c r="LI3" i="53" a="1"/>
  <c r="LP3" i="53" a="1"/>
  <c r="CXB3" i="53" a="1"/>
  <c r="DKP3" i="53" a="1"/>
  <c r="MPG3" i="53" a="1"/>
  <c r="HQZ3" i="53" a="1"/>
  <c r="ENS3" i="53" a="1"/>
  <c r="TEG3" i="53" a="1"/>
  <c r="DWM3" i="53" a="1"/>
  <c r="LPS3" i="53" a="1"/>
  <c r="MFQ3" i="53" a="1"/>
  <c r="RZL3" i="53" a="1"/>
  <c r="GHT3" i="53" a="1"/>
  <c r="CLC3" i="53" a="1"/>
  <c r="GRE3" i="53" a="1"/>
  <c r="BHH3" i="53" a="1"/>
  <c r="VTY3" i="53" a="1"/>
  <c r="VZQ3" i="53" a="1"/>
  <c r="HPB3" i="53" a="1"/>
  <c r="KUA3" i="53" a="1"/>
  <c r="CFS3" i="53" a="1"/>
  <c r="KAU3" i="53" a="1"/>
  <c r="C407" i="27" a="1"/>
  <c r="JV3" i="53" a="1"/>
  <c r="CNS3" i="53" a="1"/>
  <c r="LRA3" i="53" a="1"/>
  <c r="RBN3" i="53" a="1"/>
  <c r="MEX3" i="53" a="1"/>
  <c r="KLG3" i="53" a="1"/>
  <c r="DRZ3" i="53" a="1"/>
  <c r="TRA3" i="53" a="1"/>
  <c r="CMZ3" i="53" a="1"/>
  <c r="PEE3" i="53" a="1"/>
  <c r="PYU3" i="53" a="1"/>
  <c r="WZB3" i="53" a="1"/>
  <c r="AHC3" i="53" a="1"/>
  <c r="HZM3" i="53" a="1"/>
  <c r="EJZ3" i="53" a="1"/>
  <c r="FTI3" i="53" a="1"/>
  <c r="IDL3" i="53" a="1"/>
  <c r="PJY3" i="53" a="1"/>
  <c r="OKZ3" i="53" a="1"/>
  <c r="FQT3" i="53" a="1"/>
  <c r="MEA3" i="53" a="1"/>
  <c r="MOY3" i="53" a="1"/>
  <c r="NPL3" i="53" a="1"/>
  <c r="HWK3" i="53" a="1"/>
  <c r="GSS3" i="53" a="1"/>
  <c r="TRH3" i="53" a="1"/>
  <c r="CS3" i="53" a="1"/>
  <c r="KIL3" i="53" a="1"/>
  <c r="WER3" i="53" a="1"/>
  <c r="OWW3" i="53" a="1"/>
  <c r="QH3" i="53" a="1"/>
  <c r="DVT3" i="53" a="1"/>
  <c r="HEN3" i="53" a="1"/>
  <c r="PHV3" i="53" a="1"/>
  <c r="OST3" i="53" a="1"/>
  <c r="TWK3" i="53" a="1"/>
  <c r="EXH3" i="53" a="1"/>
  <c r="DNE3" i="53" a="1"/>
  <c r="QEF3" i="53" a="1"/>
  <c r="KFF3" i="53" a="1"/>
  <c r="IYF3" i="53" a="1"/>
  <c r="NRT3" i="53" a="1"/>
  <c r="PAO3" i="53" a="1"/>
  <c r="AD3" i="53" a="1"/>
  <c r="CAM3" i="53" a="1"/>
  <c r="OEA3" i="53" a="1"/>
  <c r="GLG3" i="53" a="1"/>
  <c r="LOB3" i="53" a="1"/>
  <c r="HRA3" i="53" a="1"/>
  <c r="IYC3" i="53" a="1"/>
  <c r="SXQ3" i="53" a="1"/>
  <c r="SDR3" i="53" a="1"/>
  <c r="BCO3" i="53" a="1"/>
  <c r="G3" i="53" a="1"/>
  <c r="VXE3" i="53" a="1"/>
  <c r="BRB3" i="53" a="1"/>
  <c r="EHT3" i="53" a="1"/>
  <c r="DAI3" i="53" a="1"/>
  <c r="CZX3" i="53" a="1"/>
  <c r="RZJ3" i="53" a="1"/>
  <c r="QLE3" i="53" a="1"/>
  <c r="IPQ3" i="53" a="1"/>
  <c r="TAV3" i="53" a="1"/>
  <c r="HGA3" i="53" a="1"/>
  <c r="KYX3" i="53" a="1"/>
  <c r="BTT3" i="53" a="1"/>
  <c r="PAA3" i="53" a="1"/>
  <c r="TGH3" i="53" a="1"/>
  <c r="IQS3" i="53" a="1"/>
  <c r="XEE3" i="53" a="1"/>
  <c r="SNN3" i="53" a="1"/>
  <c r="PMO3" i="53" a="1"/>
  <c r="ULW3" i="53" a="1"/>
  <c r="WTF3" i="53" a="1"/>
  <c r="DBL3" i="53" a="1"/>
  <c r="HUI3" i="53" a="1"/>
  <c r="UQA3" i="53" a="1"/>
  <c r="ORO3" i="53" a="1"/>
  <c r="ADP3" i="53" a="1"/>
  <c r="OTB3" i="53" a="1"/>
  <c r="AYM3" i="53" a="1"/>
  <c r="QLN3" i="53" a="1"/>
  <c r="GWF3" i="53" a="1"/>
  <c r="RNP3" i="53" a="1"/>
  <c r="J3" i="1" a="1"/>
  <c r="MRS3" i="53" a="1"/>
  <c r="CEO3" i="53" a="1"/>
  <c r="JXD3" i="53" a="1"/>
  <c r="HDO3" i="53" a="1"/>
  <c r="ODU3" i="53" a="1"/>
  <c r="HND3" i="53" a="1"/>
  <c r="KVD3" i="53" a="1"/>
  <c r="FMH3" i="53" a="1"/>
  <c r="MXB3" i="53" a="1"/>
  <c r="EJQ3" i="53" a="1"/>
  <c r="DVL3" i="53" a="1"/>
  <c r="HNK3" i="53" a="1"/>
  <c r="TNY3" i="53" a="1"/>
  <c r="FJ3" i="53" a="1"/>
  <c r="BFN3" i="53" a="1"/>
  <c r="GEH3" i="53" a="1"/>
  <c r="OCL3" i="53" a="1"/>
  <c r="SWI3" i="53" a="1"/>
  <c r="NGF3" i="53" a="1"/>
  <c r="E3" i="4" a="1"/>
  <c r="CFA3" i="53" a="1"/>
  <c r="PBI3" i="53" a="1"/>
  <c r="LYV3" i="53" a="1"/>
  <c r="DDR3" i="53" a="1"/>
  <c r="C64" i="53" a="1"/>
  <c r="CPW3" i="53" a="1"/>
  <c r="UHU3" i="53" a="1"/>
  <c r="EJD3" i="53" a="1"/>
  <c r="EXN3" i="53" a="1"/>
  <c r="EXQ3" i="53" a="1"/>
  <c r="DLG3" i="53" a="1"/>
  <c r="CWO3" i="53" a="1"/>
  <c r="HYW3" i="53" a="1"/>
  <c r="WJE3" i="53" a="1"/>
  <c r="MQM3" i="53" a="1"/>
  <c r="RKX3" i="53" a="1"/>
  <c r="HZZ3" i="53" a="1"/>
  <c r="NCL3" i="53" a="1"/>
  <c r="JLD3" i="53" a="1"/>
  <c r="GLT3" i="53" a="1"/>
  <c r="WNH3" i="53" a="1"/>
  <c r="NEO3" i="53" a="1"/>
  <c r="GKU3" i="53" a="1"/>
  <c r="CJA3" i="53" a="1"/>
  <c r="GAO3" i="53" a="1"/>
  <c r="OHN3" i="53" a="1"/>
  <c r="GRH3" i="53" a="1"/>
  <c r="OSF3" i="53" a="1"/>
  <c r="HIY3" i="53" a="1"/>
  <c r="GZT3" i="53" a="1"/>
  <c r="GFX3" i="53" a="1"/>
  <c r="EOG3" i="53" a="1"/>
  <c r="WLG3" i="53" a="1"/>
  <c r="GXE3" i="53" a="1"/>
  <c r="FKJ3" i="53" a="1"/>
  <c r="DWT3" i="53" a="1"/>
  <c r="IHN3" i="53" a="1"/>
  <c r="AB3" i="53" a="1"/>
  <c r="IMP3" i="53" a="1"/>
  <c r="GYF3" i="53" a="1"/>
  <c r="QJO3" i="53" a="1"/>
  <c r="DZQ3" i="53" a="1"/>
  <c r="WVT3" i="53" a="1"/>
  <c r="NTN3" i="53" a="1"/>
  <c r="ELX3" i="53" a="1"/>
  <c r="DND3" i="53" a="1"/>
  <c r="MGB3" i="53" a="1"/>
  <c r="RRL3" i="53" a="1"/>
  <c r="KZV3" i="53" a="1"/>
  <c r="OOZ3" i="53" a="1"/>
  <c r="CGT3" i="53" a="1"/>
  <c r="BHS3" i="53" a="1"/>
  <c r="HNF3" i="53" a="1"/>
  <c r="QEV3" i="53" a="1"/>
  <c r="OOJ3" i="53" a="1"/>
  <c r="RV3" i="53" a="1"/>
  <c r="TTT3" i="53" a="1"/>
  <c r="BSV3" i="53" a="1"/>
  <c r="GXM3" i="53" a="1"/>
  <c r="M3" i="4" a="1"/>
  <c r="NLX3" i="53" a="1"/>
  <c r="ELR3" i="53" a="1"/>
  <c r="NID3" i="53" a="1"/>
  <c r="WBO3" i="53" a="1"/>
  <c r="POC3" i="53" a="1"/>
  <c r="RIM3" i="53" a="1"/>
  <c r="EQP3" i="53" a="1"/>
  <c r="JSQ3" i="53" a="1"/>
  <c r="HXL3" i="53" a="1"/>
  <c r="AHV3" i="53" a="1"/>
  <c r="QYG3" i="53" a="1"/>
  <c r="VIT3" i="53" a="1"/>
  <c r="BHI3" i="53" a="1"/>
  <c r="OJN3" i="53" a="1"/>
  <c r="TWM3" i="53" a="1"/>
  <c r="OOV3" i="53" a="1"/>
  <c r="IAW3" i="53" a="1"/>
  <c r="JLM3" i="53" a="1"/>
  <c r="BLF3" i="53" a="1"/>
  <c r="QOJ3" i="53" a="1"/>
  <c r="RRQ3" i="53" a="1"/>
  <c r="SOA3" i="53" a="1"/>
  <c r="IBK3" i="53" a="1"/>
  <c r="MKR3" i="53" a="1"/>
  <c r="WRC3" i="53" a="1"/>
  <c r="LTE3" i="53" a="1"/>
  <c r="PMA3" i="53" a="1"/>
  <c r="FEG3" i="53" a="1"/>
  <c r="ASC3" i="53" a="1"/>
  <c r="AWC3" i="53" a="1"/>
  <c r="CNA3" i="53" a="1"/>
  <c r="ALH3" i="53" a="1"/>
  <c r="WYL3" i="53" a="1"/>
  <c r="NRR3" i="53" a="1"/>
  <c r="JTD3" i="53" a="1"/>
  <c r="LKL3" i="53" a="1"/>
  <c r="EZ3" i="53" a="1"/>
  <c r="GQU3" i="53" a="1"/>
  <c r="TMC3" i="53" a="1"/>
  <c r="MTK3" i="53" a="1"/>
  <c r="D3" i="52" a="1"/>
  <c r="QRT3" i="53" a="1"/>
  <c r="CLQ3" i="53" a="1"/>
  <c r="ILE3" i="53" a="1"/>
  <c r="PUQ3" i="53" a="1"/>
  <c r="HFJ3" i="53" a="1"/>
  <c r="CKG3" i="53" a="1"/>
  <c r="ACA3" i="53" a="1"/>
  <c r="JGJ3" i="53" a="1"/>
  <c r="OMQ3" i="53" a="1"/>
  <c r="AAJ3" i="53" a="1"/>
  <c r="QCL3" i="53" a="1"/>
  <c r="LWV3" i="53" a="1"/>
  <c r="OBL3" i="53" a="1"/>
  <c r="XEO3" i="53" a="1"/>
  <c r="CDU3" i="53" a="1"/>
  <c r="BPY3" i="53" a="1"/>
  <c r="JCL3" i="53" a="1"/>
  <c r="JID3" i="53" a="1"/>
  <c r="HWZ3" i="53" a="1"/>
  <c r="QZE3" i="53" a="1"/>
  <c r="ATJ3" i="53" a="1"/>
  <c r="OZV3" i="53" a="1"/>
  <c r="MEM3" i="53" a="1"/>
  <c r="WOP3" i="53" a="1"/>
  <c r="UDS3" i="53" a="1"/>
  <c r="CKU3" i="53" a="1"/>
  <c r="OON3" i="53" a="1"/>
  <c r="YZ3" i="53" a="1"/>
  <c r="CAD3" i="53" a="1"/>
  <c r="LYQ3" i="53" a="1"/>
  <c r="KAH3" i="53" a="1"/>
  <c r="HYN3" i="53" a="1"/>
  <c r="HJL3" i="53" a="1"/>
  <c r="LQC3" i="53" a="1"/>
  <c r="MSD3" i="53" a="1"/>
  <c r="ODJ3" i="53" a="1"/>
  <c r="BGK3" i="53" a="1"/>
  <c r="KS3" i="53" a="1"/>
  <c r="LIA3" i="53" a="1"/>
  <c r="OXO3" i="53" a="1"/>
  <c r="BGE3" i="53" a="1"/>
  <c r="MLX3" i="53" a="1"/>
  <c r="EHH3" i="53" a="1"/>
  <c r="RND3" i="53" a="1"/>
  <c r="GYP3" i="53" a="1"/>
  <c r="VGV3" i="53" a="1"/>
  <c r="HAI3" i="53" a="1"/>
  <c r="LA3" i="53" a="1"/>
  <c r="BKG3" i="53" a="1"/>
  <c r="BBK3" i="53" a="1"/>
  <c r="NKR3" i="53" a="1"/>
  <c r="CZB3" i="53" a="1"/>
  <c r="LQW3" i="53" a="1"/>
  <c r="IAV3" i="53" a="1"/>
  <c r="WHJ3" i="53" a="1"/>
  <c r="UUW3" i="53" a="1"/>
  <c r="VBS3" i="53" a="1"/>
  <c r="DPR3" i="53" a="1"/>
  <c r="BSE3" i="53" a="1"/>
  <c r="IFP3" i="53" a="1"/>
  <c r="TBK3" i="53" a="1"/>
  <c r="UFU3" i="53" a="1"/>
  <c r="QFS3" i="53" a="1"/>
  <c r="XU3" i="53" a="1"/>
  <c r="RHS3" i="53" a="1"/>
  <c r="CAB3" i="53" a="1"/>
  <c r="GEX3" i="53" a="1"/>
  <c r="FBP3" i="53" a="1"/>
  <c r="QNI3" i="53" a="1"/>
  <c r="VON3" i="53" a="1"/>
  <c r="LHH3" i="53" a="1"/>
  <c r="ACR3" i="53" a="1"/>
  <c r="DLK3" i="53" a="1"/>
  <c r="GVN3" i="53" a="1"/>
  <c r="DAG3" i="53" a="1"/>
  <c r="HR3" i="53" a="1"/>
  <c r="OTH3" i="53" a="1"/>
  <c r="HEV3" i="53" a="1"/>
  <c r="BLH3" i="53" a="1"/>
  <c r="C41" i="53" a="1"/>
  <c r="WB3" i="53" a="1"/>
  <c r="LYG3" i="53" a="1"/>
  <c r="GUG3" i="53" a="1"/>
  <c r="PQK3" i="53" a="1"/>
  <c r="SRJ3" i="53" a="1"/>
  <c r="QY3" i="53" a="1"/>
  <c r="JDP3" i="53" a="1"/>
  <c r="EFL3" i="53" a="1"/>
  <c r="NRK3" i="53" a="1"/>
  <c r="FSJ3" i="53" a="1"/>
  <c r="PYV3" i="53" a="1"/>
  <c r="JMR3" i="53" a="1"/>
  <c r="THB3" i="53" a="1"/>
  <c r="PZV3" i="53" a="1"/>
  <c r="RLO3" i="53" a="1"/>
  <c r="VIE3" i="53" a="1"/>
  <c r="DZF3" i="53" a="1"/>
  <c r="PML3" i="53" a="1"/>
  <c r="XDB3" i="53" a="1"/>
  <c r="TPD3" i="53" a="1"/>
  <c r="URA3" i="53" a="1"/>
  <c r="LVF3" i="53" a="1"/>
  <c r="JDD3" i="53" a="1"/>
  <c r="FQD3" i="53" a="1"/>
  <c r="FHP3" i="53" a="1"/>
  <c r="BHG3" i="53" a="1"/>
  <c r="IQX3" i="53" a="1"/>
  <c r="UXB3" i="53" a="1"/>
  <c r="CRN3" i="53" a="1"/>
  <c r="VVE3" i="53" a="1"/>
  <c r="BUE3" i="53" a="1"/>
  <c r="HW3" i="53" a="1"/>
  <c r="IIX3" i="53" a="1"/>
  <c r="QN3" i="53" a="1"/>
  <c r="UYX3" i="53" a="1"/>
  <c r="KZO3" i="53" a="1"/>
  <c r="CSB3" i="53" a="1"/>
  <c r="QRZ3" i="53" a="1"/>
  <c r="HYA3" i="53" a="1"/>
  <c r="BPD3" i="53" a="1"/>
  <c r="NYM3" i="53" a="1"/>
  <c r="UX3" i="53" a="1"/>
  <c r="WCU3" i="53" a="1"/>
  <c r="RWQ3" i="53" a="1"/>
  <c r="HSD3" i="53" a="1"/>
  <c r="DOB3" i="53" a="1"/>
  <c r="C247" i="27" a="1"/>
  <c r="HRF3" i="53" a="1"/>
  <c r="RRH3" i="53" a="1"/>
  <c r="BRO3" i="53" a="1"/>
  <c r="VFD3" i="53" a="1"/>
  <c r="IDF3" i="53" a="1"/>
  <c r="OTY3" i="53" a="1"/>
  <c r="SZL3" i="53" a="1"/>
  <c r="LVP3" i="53" a="1"/>
  <c r="IMB3" i="53" a="1"/>
  <c r="ULM3" i="53" a="1"/>
  <c r="JJM3" i="53" a="1"/>
  <c r="SSV3" i="53" a="1"/>
  <c r="DRN3" i="53" a="1"/>
  <c r="BMS3" i="53" a="1"/>
  <c r="UWN3" i="53" a="1"/>
  <c r="JQS3" i="53" a="1"/>
  <c r="OAC3" i="53" a="1"/>
  <c r="VTI3" i="53" a="1"/>
  <c r="EIN3" i="53" a="1"/>
  <c r="JZX3" i="53" a="1"/>
  <c r="AQF3" i="53" a="1"/>
  <c r="OYB3" i="53" a="1"/>
  <c r="GJP3" i="53" a="1"/>
  <c r="HUW3" i="53" a="1"/>
  <c r="EEB3" i="53" a="1"/>
  <c r="EBB3" i="53" a="1"/>
  <c r="JLA3" i="53" a="1"/>
  <c r="GFL3" i="53" a="1"/>
  <c r="LM3" i="53" a="1"/>
  <c r="FNJ3" i="53" a="1"/>
  <c r="RPI3" i="53" a="1"/>
  <c r="ALD3" i="53" a="1"/>
  <c r="EKU3" i="53" a="1"/>
  <c r="SND3" i="53" a="1"/>
  <c r="FIP3" i="53" a="1"/>
  <c r="DRH3" i="53" a="1"/>
  <c r="SBL3" i="53" a="1"/>
  <c r="UIB3" i="53" a="1"/>
  <c r="GD3" i="53" a="1"/>
  <c r="RBZ3" i="53" a="1"/>
  <c r="WBN3" i="53" a="1"/>
  <c r="CST3" i="53" a="1"/>
  <c r="VVX3" i="53" a="1"/>
  <c r="EVG3" i="53" a="1"/>
  <c r="BOZ3" i="53" a="1"/>
  <c r="UAI3" i="53" a="1"/>
  <c r="RVR3" i="53" a="1"/>
  <c r="BCW3" i="53" a="1"/>
  <c r="LBC3" i="53" a="1"/>
  <c r="USZ3" i="53" a="1"/>
  <c r="MZG3" i="53" a="1"/>
  <c r="CLW3" i="53" a="1"/>
  <c r="BMJ3" i="53" a="1"/>
  <c r="DTV3" i="53" a="1"/>
  <c r="WFD3" i="53" a="1"/>
  <c r="WWK3" i="53" a="1"/>
  <c r="UBT3" i="53" a="1"/>
  <c r="FCT3" i="53" a="1"/>
  <c r="FRF3" i="53" a="1"/>
  <c r="MMY3" i="53" a="1"/>
  <c r="AKK3" i="53" a="1"/>
  <c r="GFJ3" i="53" a="1"/>
  <c r="OQY3" i="53" a="1"/>
  <c r="WMU3" i="53" a="1"/>
  <c r="DHJ3" i="53" a="1"/>
  <c r="PIM3" i="53" a="1"/>
  <c r="NGI3" i="53" a="1"/>
  <c r="IIZ3" i="53" a="1"/>
  <c r="CU3" i="53" a="1"/>
  <c r="MKJ3" i="53" a="1"/>
  <c r="BOD3" i="53" a="1"/>
  <c r="JAU3" i="53" a="1"/>
  <c r="OV3" i="53" a="1"/>
  <c r="DFE3" i="53" a="1"/>
  <c r="BVC3" i="53" a="1"/>
  <c r="IEN3" i="53" a="1"/>
  <c r="SPN3" i="53" a="1"/>
  <c r="UWA3" i="53" a="1"/>
  <c r="WUR3" i="53" a="1"/>
  <c r="CRA3" i="53" a="1"/>
  <c r="BXX3" i="53" a="1"/>
  <c r="XC3" i="53" a="1"/>
  <c r="SMT3" i="53" a="1"/>
  <c r="QGS3" i="53" a="1"/>
  <c r="AUC3" i="53" a="1"/>
  <c r="LFP3" i="53" a="1"/>
  <c r="AQC3" i="53" a="1"/>
  <c r="MOH3" i="53" a="1"/>
  <c r="EMM3" i="53" a="1"/>
  <c r="NMD3" i="53" a="1"/>
  <c r="TFD3" i="53" a="1"/>
  <c r="PPQ3" i="53" a="1"/>
  <c r="NJF3" i="53" a="1"/>
  <c r="OFP3" i="53" a="1"/>
  <c r="POR3" i="53" a="1"/>
  <c r="NIZ3" i="53" a="1"/>
  <c r="DNF3" i="53" a="1"/>
  <c r="SHF3" i="53" a="1"/>
  <c r="QTY3" i="53" a="1"/>
  <c r="EBE3" i="53" a="1"/>
  <c r="LAU3" i="53" a="1"/>
  <c r="VWK3" i="53" a="1"/>
  <c r="RHO3" i="53" a="1"/>
  <c r="KYP3" i="53" a="1"/>
  <c r="GXU3" i="53" a="1"/>
  <c r="ODW3" i="53" a="1"/>
  <c r="JJL3" i="53" a="1"/>
  <c r="IDH3" i="53" a="1"/>
  <c r="FEI3" i="53" a="1"/>
  <c r="TUM3" i="53" a="1"/>
  <c r="IHZ3" i="53" a="1"/>
  <c r="QYX3" i="53" a="1"/>
  <c r="GAR3" i="53" a="1"/>
  <c r="KUE3" i="53" a="1"/>
  <c r="BPR3" i="53" a="1"/>
  <c r="BJZ3" i="53" a="1"/>
  <c r="XBR3" i="53" a="1"/>
  <c r="QGD3" i="53" a="1"/>
  <c r="HQK3" i="53" a="1"/>
  <c r="OVS3" i="53" a="1"/>
  <c r="XT3" i="53" a="1"/>
  <c r="PLO3" i="53" a="1"/>
  <c r="MCD3" i="53" a="1"/>
  <c r="FOB3" i="53" a="1"/>
  <c r="CTI3" i="53" a="1"/>
  <c r="IKT3" i="53" a="1"/>
  <c r="PBQ3" i="53" a="1"/>
  <c r="RNK3" i="53" a="1"/>
  <c r="HMZ3" i="53" a="1"/>
  <c r="RXV3" i="53" a="1"/>
  <c r="LEG3" i="53" a="1"/>
  <c r="RBQ3" i="53" a="1"/>
  <c r="EWE3" i="53" a="1"/>
  <c r="FNW3" i="53" a="1"/>
  <c r="UFP3" i="53" a="1"/>
  <c r="NAD3" i="53" a="1"/>
  <c r="IZL3" i="53" a="1"/>
  <c r="KCX3" i="53" a="1"/>
  <c r="CWQ3" i="53" a="1"/>
  <c r="HRQ3" i="53" a="1"/>
  <c r="EAZ3" i="53" a="1"/>
  <c r="OPI3" i="53" a="1"/>
  <c r="LIJ3" i="53" a="1"/>
  <c r="XBK3" i="53" a="1"/>
  <c r="ETW3" i="53" a="1"/>
  <c r="CUP3" i="53" a="1"/>
  <c r="UTL3" i="53" a="1"/>
  <c r="QFQ3" i="53" a="1"/>
  <c r="KHO3" i="53" a="1"/>
  <c r="KIQ3" i="53" a="1"/>
  <c r="FSV3" i="53" a="1"/>
  <c r="KUT3" i="53" a="1"/>
  <c r="PNG3" i="53" a="1"/>
  <c r="UKG3" i="53" a="1"/>
  <c r="SDO3" i="53" a="1"/>
  <c r="COI3" i="53" a="1"/>
  <c r="NVO3" i="53" a="1"/>
  <c r="C10" i="53" a="1"/>
  <c r="HHM3" i="53" a="1"/>
  <c r="JQP3" i="53" a="1"/>
  <c r="TCZ3" i="53" a="1"/>
  <c r="IVQ3" i="53" a="1"/>
  <c r="GLX3" i="53" a="1"/>
  <c r="FTG3" i="53" a="1"/>
  <c r="ABD3" i="53" a="1"/>
  <c r="HDH3" i="53" a="1"/>
  <c r="FPD3" i="53" a="1"/>
  <c r="CAP3" i="53" a="1"/>
  <c r="QSQ3" i="53" a="1"/>
  <c r="QWN3" i="53" a="1"/>
  <c r="JQB3" i="53" a="1"/>
  <c r="AYN3" i="53" a="1"/>
  <c r="FUL3" i="53" a="1"/>
  <c r="IGK3" i="53" a="1"/>
  <c r="GG3" i="53" a="1"/>
  <c r="GOV3" i="53" a="1"/>
  <c r="BMC3" i="53" a="1"/>
  <c r="LGZ3" i="53" a="1"/>
  <c r="IIN3" i="53" a="1"/>
  <c r="KIG3" i="53" a="1"/>
  <c r="NKB3" i="53" a="1"/>
  <c r="EAP3" i="53" a="1"/>
  <c r="CNQ3" i="53" a="1"/>
  <c r="TJQ3" i="53" a="1"/>
  <c r="PPY3" i="53" a="1"/>
  <c r="RMC3" i="53" a="1"/>
  <c r="IZD3" i="53" a="1"/>
  <c r="FVY3" i="53" a="1"/>
  <c r="OVC3" i="53" a="1"/>
  <c r="VND3" i="53" a="1"/>
  <c r="NIE3" i="53" a="1"/>
  <c r="IXX3" i="53" a="1"/>
  <c r="PLI3" i="53" a="1"/>
  <c r="FU3" i="53" a="1"/>
  <c r="ETF3" i="53" a="1"/>
  <c r="IYM3" i="53" a="1"/>
  <c r="HUR3" i="53" a="1"/>
  <c r="OGT3" i="53" a="1"/>
  <c r="ULD3" i="53" a="1"/>
  <c r="AZE3" i="53" a="1"/>
  <c r="HSR3" i="53" a="1"/>
  <c r="CIG3" i="53" a="1"/>
  <c r="JZO3" i="53" a="1"/>
  <c r="MLD3" i="53" a="1"/>
  <c r="IZB3" i="53" a="1"/>
  <c r="KAQ3" i="53" a="1"/>
  <c r="FLV3" i="53" a="1"/>
  <c r="DF3" i="53" a="1"/>
  <c r="CBJ3" i="53" a="1"/>
  <c r="GJG3" i="53" a="1"/>
  <c r="LKF3" i="53" a="1"/>
  <c r="RVQ3" i="53" a="1"/>
  <c r="KAI3" i="53" a="1"/>
  <c r="GGX3" i="53" a="1"/>
  <c r="WGU3" i="53" a="1"/>
  <c r="KXT3" i="53" a="1"/>
  <c r="THQ3" i="53" a="1"/>
  <c r="RLP3" i="53" a="1"/>
  <c r="QIJ3" i="53" a="1"/>
  <c r="UOP3" i="53" a="1"/>
  <c r="HBW3" i="53" a="1"/>
  <c r="NNR3" i="53" a="1"/>
  <c r="AFK3" i="53" a="1"/>
  <c r="JYI3" i="53" a="1"/>
  <c r="GHA3" i="53" a="1"/>
  <c r="QLL3" i="53" a="1"/>
  <c r="LSD3" i="53" a="1"/>
  <c r="APP3" i="53" a="1"/>
  <c r="BUB3" i="53" a="1"/>
  <c r="JUX3" i="53" a="1"/>
  <c r="WTJ3" i="53" a="1"/>
  <c r="OLI3" i="53" a="1"/>
  <c r="TPZ3" i="53" a="1"/>
  <c r="DGM3" i="53" a="1"/>
  <c r="VXN3" i="53" a="1"/>
  <c r="QFZ3" i="53" a="1"/>
  <c r="MJG3" i="53" a="1"/>
  <c r="FLD3" i="53" a="1"/>
  <c r="AUM3" i="53" a="1"/>
  <c r="DZV3" i="53" a="1"/>
  <c r="TAJ3" i="53" a="1"/>
  <c r="GQX3" i="53" a="1"/>
  <c r="FGT3" i="53" a="1"/>
  <c r="CQU3" i="53" a="1"/>
  <c r="CVV3" i="53" a="1"/>
  <c r="BHY3" i="53" a="1"/>
  <c r="EUI3" i="53" a="1"/>
  <c r="BXT3" i="53" a="1"/>
  <c r="XFC3" i="53" a="1"/>
  <c r="NFU3" i="53" a="1"/>
  <c r="I3" i="6" a="1"/>
  <c r="OZR3" i="53" a="1"/>
  <c r="KA3" i="53" a="1"/>
  <c r="BTE3" i="53" a="1"/>
  <c r="XH3" i="53" a="1"/>
  <c r="TKZ3" i="53" a="1"/>
  <c r="HYY3" i="53" a="1"/>
  <c r="NHE3" i="53" a="1"/>
  <c r="KIS3" i="53" a="1"/>
  <c r="PIP3" i="53" a="1"/>
  <c r="JHD3" i="53" a="1"/>
  <c r="QLA3" i="53" a="1"/>
  <c r="GUT3" i="53" a="1"/>
  <c r="TLL3" i="53" a="1"/>
  <c r="NEA3" i="53" a="1"/>
  <c r="PHX3" i="53" a="1"/>
  <c r="HJC3" i="53" a="1"/>
  <c r="QEN3" i="53" a="1"/>
  <c r="OWE3" i="53" a="1"/>
  <c r="DI3" i="53" a="1"/>
  <c r="JD3" i="53" a="1"/>
  <c r="JSR3" i="53" a="1"/>
  <c r="NTD3" i="53" a="1"/>
  <c r="RQM3" i="53" a="1"/>
  <c r="LMY3" i="53" a="1"/>
  <c r="MHT3" i="53" a="1"/>
  <c r="FBH3" i="53" a="1"/>
  <c r="CEQ3" i="53" a="1"/>
  <c r="HGR3" i="53" a="1"/>
  <c r="PO3" i="53" a="1"/>
  <c r="QYC3" i="53" a="1"/>
  <c r="OWF3" i="53" a="1"/>
  <c r="ACI3" i="53" a="1"/>
  <c r="URZ3" i="53" a="1"/>
  <c r="UHV3" i="53" a="1"/>
  <c r="AIG3" i="53" a="1"/>
  <c r="LNK3" i="53" a="1"/>
  <c r="VVM3" i="53" a="1"/>
  <c r="NDG3" i="53" a="1"/>
  <c r="OHZ3" i="53" a="1"/>
  <c r="VMZ3" i="53" a="1"/>
  <c r="MYN3" i="53" a="1"/>
  <c r="TZO3" i="53" a="1"/>
  <c r="KQD3" i="53" a="1"/>
  <c r="OML3" i="53" a="1"/>
  <c r="GME3" i="53" a="1"/>
  <c r="FZK3" i="53" a="1"/>
  <c r="IZT3" i="53" a="1"/>
  <c r="E10" i="31" a="1"/>
  <c r="AK3" i="53" a="1"/>
  <c r="ESN3" i="53" a="1"/>
  <c r="MCT3" i="53" a="1"/>
  <c r="LEX3" i="53" a="1"/>
  <c r="PGI3" i="53" a="1"/>
  <c r="BIO3" i="53" a="1"/>
  <c r="HOH3" i="53" a="1"/>
  <c r="HLV3" i="53" a="1"/>
  <c r="QRW3" i="53" a="1"/>
  <c r="GHV3" i="53" a="1"/>
  <c r="FCV3" i="53" a="1"/>
  <c r="QMX3" i="53" a="1"/>
  <c r="FFQ3" i="53" a="1"/>
  <c r="IYT3" i="53" a="1"/>
  <c r="GDM3" i="53" a="1"/>
  <c r="HWN3" i="53" a="1"/>
  <c r="VKV3" i="53" a="1"/>
  <c r="UBQ3" i="53" a="1"/>
  <c r="ATC3" i="53" a="1"/>
  <c r="MMA3" i="53" a="1"/>
  <c r="ABM3" i="53" a="1"/>
  <c r="MOM3" i="53" a="1"/>
  <c r="WSG3" i="53" a="1"/>
  <c r="OYV3" i="53" a="1"/>
  <c r="QKS3" i="53" a="1"/>
  <c r="AKG3" i="53" a="1"/>
  <c r="BIX3" i="53" a="1"/>
  <c r="BMM3" i="53" a="1"/>
  <c r="EON3" i="53" a="1"/>
  <c r="DHN3" i="53" a="1"/>
  <c r="JKN3" i="53" a="1"/>
  <c r="FMM3" i="53" a="1"/>
  <c r="QSR3" i="53" a="1"/>
  <c r="MXR3" i="53" a="1"/>
  <c r="CDY3" i="53" a="1"/>
  <c r="IQL3" i="53" a="1"/>
  <c r="DVX3" i="53" a="1"/>
  <c r="BMF3" i="53" a="1"/>
  <c r="TTZ3" i="53" a="1"/>
  <c r="AQT3" i="53" a="1"/>
  <c r="JMJ3" i="53" a="1"/>
  <c r="SBU3" i="53" a="1"/>
  <c r="BXF3" i="53" a="1"/>
  <c r="OTL3" i="53" a="1"/>
  <c r="PIS3" i="53" a="1"/>
  <c r="FMD3" i="53" a="1"/>
  <c r="CRQ3" i="53" a="1"/>
  <c r="AJD3" i="53" a="1"/>
  <c r="WZT3" i="53" a="1"/>
  <c r="EQN3" i="53" a="1"/>
  <c r="GSM3" i="53" a="1"/>
  <c r="SWB3" i="53" a="1"/>
  <c r="BKL3" i="53" a="1"/>
  <c r="BMT3" i="53" a="1"/>
  <c r="FOK3" i="53" a="1"/>
  <c r="GWY3" i="53" a="1"/>
  <c r="NEC3" i="53" a="1"/>
  <c r="SVZ3" i="53" a="1"/>
  <c r="MFT3" i="53" a="1"/>
  <c r="ETA3" i="53" a="1"/>
  <c r="ART3" i="53" a="1"/>
  <c r="SKC3" i="53" a="1"/>
  <c r="BZE3" i="53" a="1"/>
  <c r="EVK3" i="53" a="1"/>
  <c r="UNP3" i="53" a="1"/>
  <c r="HTQ3" i="53" a="1"/>
  <c r="CLM3" i="53" a="1"/>
  <c r="AWP3" i="53" a="1"/>
  <c r="RIY3" i="53" a="1"/>
  <c r="JUS3" i="53" a="1"/>
  <c r="CVM3" i="53" a="1"/>
  <c r="DVM3" i="53" a="1"/>
  <c r="AMR3" i="53" a="1"/>
  <c r="KYL3" i="53" a="1"/>
  <c r="JMS3" i="53" a="1"/>
  <c r="MIO3" i="53" a="1"/>
  <c r="HHB3" i="53" a="1"/>
  <c r="VWV3" i="53" a="1"/>
  <c r="XP3" i="53" a="1"/>
  <c r="LND3" i="53" a="1"/>
  <c r="SAT3" i="53" a="1"/>
  <c r="GLM3" i="53" a="1"/>
  <c r="MPR3" i="53" a="1"/>
  <c r="DSC3" i="53" a="1"/>
  <c r="MAF3" i="53" a="1"/>
  <c r="JVT3" i="53" a="1"/>
  <c r="FEH3" i="53" a="1"/>
  <c r="WSJ3" i="53" a="1"/>
  <c r="JEH3" i="53" a="1"/>
  <c r="QGY3" i="53" a="1"/>
  <c r="XEB3" i="53" a="1"/>
  <c r="FHJ3" i="53" a="1"/>
  <c r="MYG3" i="53" a="1"/>
  <c r="SIK3" i="53" a="1"/>
  <c r="JZI3" i="53" a="1"/>
  <c r="KC3" i="53" a="1"/>
  <c r="PMT3" i="53" a="1"/>
  <c r="RBP3" i="53" a="1"/>
  <c r="IGJ3" i="53" a="1"/>
  <c r="MDG3" i="53" a="1"/>
  <c r="FTR3" i="53" a="1"/>
  <c r="GIS3" i="53" a="1"/>
  <c r="VPY3" i="53" a="1"/>
  <c r="ACN3" i="53" a="1"/>
  <c r="JHL3" i="53" a="1"/>
  <c r="TPS3" i="53" a="1"/>
  <c r="JAW3" i="53" a="1"/>
  <c r="SFO3" i="53" a="1"/>
  <c r="IIL3" i="53" a="1"/>
  <c r="OQJ3" i="53" a="1"/>
  <c r="XCD3" i="53" a="1"/>
  <c r="BBG3" i="53" a="1"/>
  <c r="BTA3" i="53" a="1"/>
  <c r="OCR3" i="53" a="1"/>
  <c r="A3" i="50" a="1"/>
  <c r="EJN3" i="53" a="1"/>
  <c r="NJO3" i="53" a="1"/>
  <c r="GSZ3" i="53" a="1"/>
  <c r="HVC3" i="53" a="1"/>
  <c r="KRV3" i="53" a="1"/>
  <c r="QDS3" i="53" a="1"/>
  <c r="IKX3" i="53" a="1"/>
  <c r="BLL3" i="53" a="1"/>
  <c r="GJM3" i="53" a="1"/>
  <c r="UOB3" i="53" a="1"/>
  <c r="LNX3" i="53" a="1"/>
  <c r="FCZ3" i="53" a="1"/>
  <c r="CPQ3" i="53" a="1"/>
  <c r="AQP3" i="53" a="1"/>
  <c r="OKW3" i="53" a="1"/>
  <c r="DSI3" i="53" a="1"/>
  <c r="MBZ3" i="53" a="1"/>
  <c r="IWN3" i="53" a="1"/>
  <c r="VWW3" i="53" a="1"/>
  <c r="GJY3" i="53" a="1"/>
  <c r="FQE3" i="53" a="1"/>
  <c r="KET3" i="53" a="1"/>
  <c r="DKE3" i="53" a="1"/>
  <c r="AYJ3" i="53" a="1"/>
  <c r="CJC3" i="53" a="1"/>
  <c r="LNB3" i="53" a="1"/>
  <c r="WDC3" i="53" a="1"/>
  <c r="RVI3" i="53" a="1"/>
  <c r="FTE3" i="53" a="1"/>
  <c r="AON3" i="53" a="1"/>
  <c r="ARZ3" i="53" a="1"/>
  <c r="OXD3" i="53" a="1"/>
  <c r="HSN3" i="53" a="1"/>
  <c r="VTV3" i="53" a="1"/>
  <c r="AAO3" i="53" a="1"/>
  <c r="BPI3" i="53" a="1"/>
  <c r="AMP3" i="53" a="1"/>
  <c r="SVW3" i="53" a="1"/>
  <c r="HKM3" i="53" a="1"/>
  <c r="RRP3" i="53" a="1"/>
  <c r="EDO3" i="53" a="1"/>
  <c r="SUW3" i="53" a="1"/>
  <c r="NKT3" i="53" a="1"/>
  <c r="DOY3" i="53" a="1"/>
  <c r="HXP3" i="53" a="1"/>
  <c r="WUP3" i="53" a="1"/>
  <c r="UZE3" i="53" a="1"/>
  <c r="HSA3" i="53" a="1"/>
  <c r="UOA3" i="53" a="1"/>
  <c r="QGW3" i="53" a="1"/>
  <c r="SPY3" i="53" a="1"/>
  <c r="NRL3" i="53" a="1"/>
  <c r="SZI3" i="53" a="1"/>
  <c r="NAY3" i="53" a="1"/>
  <c r="LXK3" i="53" a="1"/>
  <c r="MQI3" i="53" a="1"/>
  <c r="MUH3" i="53" a="1"/>
  <c r="SEX3" i="53" a="1"/>
  <c r="EKO3" i="53" a="1"/>
  <c r="EHD3" i="53" a="1"/>
  <c r="ION3" i="53" a="1"/>
  <c r="IB3" i="53" a="1"/>
  <c r="GJI3" i="53" a="1"/>
  <c r="MLQ3" i="53" a="1"/>
  <c r="NIQ3" i="53" a="1"/>
  <c r="VUF3" i="53" a="1"/>
  <c r="FZZ3" i="53" a="1"/>
  <c r="EKV3" i="53" a="1"/>
  <c r="EQW3" i="53" a="1"/>
  <c r="FLO3" i="53" a="1"/>
  <c r="BFH3" i="53" a="1"/>
  <c r="FKL3" i="53" a="1"/>
  <c r="ASB3" i="53" a="1"/>
  <c r="FGV3" i="53" a="1"/>
  <c r="DKS3" i="53" a="1"/>
  <c r="TRC3" i="53" a="1"/>
  <c r="STO3" i="53" a="1"/>
  <c r="LBF3" i="53" a="1"/>
  <c r="JGN3" i="53" a="1"/>
  <c r="FYC3" i="53" a="1"/>
  <c r="DXI3" i="53" a="1"/>
  <c r="KTI3" i="53" a="1"/>
  <c r="IZH3" i="53" a="1"/>
  <c r="VXB3" i="53" a="1"/>
  <c r="BII3" i="53" a="1"/>
  <c r="SN3" i="53" a="1"/>
  <c r="ABV3" i="53" a="1"/>
  <c r="HGD3" i="53" a="1"/>
  <c r="LFK3" i="53" a="1"/>
  <c r="TGM3" i="53" a="1"/>
  <c r="HK3" i="53" a="1"/>
  <c r="MZL3" i="53" a="1"/>
  <c r="OAL3" i="53" a="1"/>
  <c r="EUX3" i="53" a="1"/>
  <c r="TZB3" i="53" a="1"/>
  <c r="NJX3" i="53" a="1"/>
  <c r="BMW3" i="53" a="1"/>
  <c r="GE3" i="53" a="1"/>
  <c r="JEF3" i="53" a="1"/>
  <c r="ESM3" i="53" a="1"/>
  <c r="TNF3" i="53" a="1"/>
  <c r="SJU3" i="53" a="1"/>
  <c r="NQA3" i="53" a="1"/>
  <c r="QQD3" i="53" a="1"/>
  <c r="QZG3" i="53" a="1"/>
  <c r="IQW3" i="53" a="1"/>
  <c r="NZJ3" i="53" a="1"/>
  <c r="OZZ3" i="53" a="1"/>
  <c r="IKD3" i="53" a="1"/>
  <c r="EPA3" i="53" a="1"/>
  <c r="HO3" i="53" a="1"/>
  <c r="BKT3" i="53" a="1"/>
  <c r="VWF3" i="53" a="1"/>
  <c r="OHT3" i="53" a="1"/>
  <c r="AFE3" i="53" a="1"/>
  <c r="FXO3" i="53" a="1"/>
  <c r="LHU3" i="53" a="1"/>
  <c r="DXE3" i="53" a="1"/>
  <c r="PSM3" i="53" a="1"/>
  <c r="LIG3" i="53" a="1"/>
  <c r="FRK3" i="53" a="1"/>
  <c r="LUK3" i="53" a="1"/>
  <c r="UMB3" i="53" a="1"/>
  <c r="HAB3" i="53" a="1"/>
  <c r="AHE3" i="53" a="1"/>
  <c r="IJB3" i="53" a="1"/>
  <c r="BEE3" i="53" a="1"/>
  <c r="FIM3" i="53" a="1"/>
  <c r="VJC3" i="53" a="1"/>
  <c r="EDX3" i="53" a="1"/>
  <c r="OHV3" i="53" a="1"/>
  <c r="FHA3" i="53" a="1"/>
  <c r="DWG3" i="53" a="1"/>
  <c r="LBX3" i="53" a="1"/>
  <c r="BVH3" i="53" a="1"/>
  <c r="HUH3" i="53" a="1"/>
  <c r="XEW3" i="53" a="1"/>
  <c r="EHX3" i="53" a="1"/>
  <c r="GFU3" i="53" a="1"/>
  <c r="AGG3" i="53" a="1"/>
  <c r="K3" i="1" a="1"/>
  <c r="KQK3" i="53" a="1"/>
  <c r="BRF3" i="53" a="1"/>
  <c r="ESF3" i="53" a="1"/>
  <c r="LKR3" i="53" a="1"/>
  <c r="TGE3" i="53" a="1"/>
  <c r="MNV3" i="53" a="1"/>
  <c r="HVY3" i="53" a="1"/>
  <c r="VDS3" i="53" a="1"/>
  <c r="MDW3" i="53" a="1"/>
  <c r="QKG3" i="53" a="1"/>
  <c r="KFJ3" i="53" a="1"/>
  <c r="HMY3" i="53" a="1"/>
  <c r="TTG3" i="53" a="1"/>
  <c r="WY3" i="53" a="1"/>
  <c r="XDZ3" i="53" a="1"/>
  <c r="FEJ3" i="53" a="1"/>
  <c r="QJA3" i="53" a="1"/>
  <c r="CKS3" i="53" a="1"/>
  <c r="RAI3" i="53" a="1"/>
  <c r="RDC3" i="53" a="1"/>
  <c r="KSE3" i="53" a="1"/>
  <c r="F3" i="37" a="1"/>
  <c r="GGJ3" i="53" a="1"/>
  <c r="NVU3" i="53" a="1"/>
  <c r="FWB3" i="53" a="1"/>
  <c r="DMS3" i="53" a="1"/>
  <c r="NJS3" i="53" a="1"/>
  <c r="WOM3" i="53" a="1"/>
  <c r="XBA3" i="53" a="1"/>
  <c r="PWE3" i="53" a="1"/>
  <c r="MVD3" i="53" a="1"/>
  <c r="JMT3" i="53" a="1"/>
  <c r="ESL3" i="53" a="1"/>
  <c r="FDQ3" i="53" a="1"/>
  <c r="AFD3" i="53" a="1"/>
  <c r="AIP3" i="53" a="1"/>
  <c r="WVA3" i="53" a="1"/>
  <c r="MZO3" i="53" a="1"/>
  <c r="FAB3" i="53" a="1"/>
  <c r="AOC3" i="53" a="1"/>
  <c r="FGG3" i="53" a="1"/>
  <c r="SFQ3" i="53" a="1"/>
  <c r="LVV3" i="53" a="1"/>
  <c r="CUC3" i="53" a="1"/>
  <c r="RLL3" i="53" a="1"/>
  <c r="UIN3" i="53" a="1"/>
  <c r="MYF3" i="53" a="1"/>
  <c r="GJJ3" i="53" a="1"/>
  <c r="IVG3" i="53" a="1"/>
  <c r="INX3" i="53" a="1"/>
  <c r="MYS3" i="53" a="1"/>
  <c r="DYS3" i="53" a="1"/>
  <c r="AYW3" i="53" a="1"/>
  <c r="DDQ3" i="53" a="1"/>
  <c r="KLO3" i="53" a="1"/>
  <c r="SCZ3" i="53" a="1"/>
  <c r="POF3" i="53" a="1"/>
  <c r="FKY3" i="53" a="1"/>
  <c r="IGT3" i="53" a="1"/>
  <c r="EDJ3" i="53" a="1"/>
  <c r="GWU3" i="53" a="1"/>
  <c r="SYA3" i="53" a="1"/>
  <c r="GKP3" i="53" a="1"/>
  <c r="NEJ3" i="53" a="1"/>
  <c r="RBO3" i="53" a="1"/>
  <c r="OKT3" i="53" a="1"/>
  <c r="CGU3" i="53" a="1"/>
  <c r="GEW3" i="53" a="1"/>
  <c r="OAI3" i="53" a="1"/>
  <c r="EJL3" i="53" a="1"/>
  <c r="LGP3" i="53" a="1"/>
  <c r="QUC3" i="53" a="1"/>
  <c r="CAU3" i="53" a="1"/>
  <c r="STW3" i="53" a="1"/>
  <c r="MLT3" i="53" a="1"/>
  <c r="UT3" i="53" a="1"/>
  <c r="SHC3" i="53" a="1"/>
  <c r="MUW3" i="53" a="1"/>
  <c r="LED3" i="53" a="1"/>
  <c r="SJH3" i="53" a="1"/>
  <c r="NVN3" i="53" a="1"/>
  <c r="IQG3" i="53" a="1"/>
  <c r="LDU3" i="53" a="1"/>
  <c r="IA3" i="53" a="1"/>
  <c r="NLY3" i="53" a="1"/>
  <c r="CPD3" i="53" a="1"/>
  <c r="KHP3" i="53" a="1"/>
  <c r="IBI3" i="53" a="1"/>
  <c r="ACO3" i="53" a="1"/>
  <c r="HXT3" i="53" a="1"/>
  <c r="SFP3" i="53" a="1"/>
  <c r="HFL3" i="53" a="1"/>
  <c r="FMS3" i="53" a="1"/>
  <c r="CCF3" i="53" a="1"/>
  <c r="HZQ3" i="53" a="1"/>
  <c r="QEC3" i="53" a="1"/>
  <c r="HAM3" i="53" a="1"/>
  <c r="XF3" i="53" a="1"/>
  <c r="WDO3" i="53" a="1"/>
  <c r="NGW3" i="53" a="1"/>
  <c r="IT3" i="53" a="1"/>
  <c r="MWX3" i="53" a="1"/>
  <c r="VNL3" i="53" a="1"/>
  <c r="AZS3" i="53" a="1"/>
  <c r="KOP3" i="53" a="1"/>
  <c r="FHU3" i="53" a="1"/>
  <c r="BWF3" i="53" a="1"/>
  <c r="MQS3" i="53" a="1"/>
  <c r="VHJ3" i="53" a="1"/>
  <c r="NUI3" i="53" a="1"/>
  <c r="SCS3" i="53" a="1"/>
  <c r="SSP3" i="53" a="1"/>
  <c r="MWD3" i="53" a="1"/>
  <c r="TOQ3" i="53" a="1"/>
  <c r="PWT3" i="53" a="1"/>
  <c r="KLT3" i="53" a="1"/>
  <c r="BIS3" i="53" a="1"/>
  <c r="JQW3" i="53" a="1"/>
  <c r="KVY3" i="53" a="1"/>
  <c r="UI3" i="53" a="1"/>
  <c r="KDH3" i="53" a="1"/>
  <c r="EYI3" i="53" a="1"/>
  <c r="EDL3" i="53" a="1"/>
  <c r="JJQ3" i="53" a="1"/>
  <c r="RRA3" i="53" a="1"/>
  <c r="NRS3" i="53" a="1"/>
  <c r="PII3" i="53" a="1"/>
  <c r="JTF3" i="53" a="1"/>
  <c r="BYF3" i="53" a="1"/>
  <c r="SWH3" i="53" a="1"/>
  <c r="PA3" i="53" a="1"/>
  <c r="OOI3" i="53" a="1"/>
  <c r="JFI3" i="53" a="1"/>
  <c r="GMV3" i="53" a="1"/>
  <c r="GIN3" i="53" a="1"/>
  <c r="UGR3" i="53" a="1"/>
  <c r="BEZ3" i="53" a="1"/>
  <c r="QRL3" i="53" a="1"/>
  <c r="JQI3" i="53" a="1"/>
  <c r="LCY3" i="53" a="1"/>
  <c r="JH3" i="53" a="1"/>
  <c r="LW3" i="53" a="1"/>
  <c r="FDL3" i="53" a="1"/>
  <c r="KZP3" i="53" a="1"/>
  <c r="EQ3" i="53" a="1"/>
  <c r="MPY3" i="53" a="1"/>
  <c r="RCX3" i="53" a="1"/>
  <c r="EPC3" i="53" a="1"/>
  <c r="AMY3" i="53" a="1"/>
  <c r="PAV3" i="53" a="1"/>
  <c r="CXS3" i="53" a="1"/>
  <c r="QYK3" i="53" a="1"/>
  <c r="DMU3" i="53" a="1"/>
  <c r="MQH3" i="53" a="1"/>
  <c r="AUB3" i="53" a="1"/>
  <c r="HNM3" i="53" a="1"/>
  <c r="ULO3" i="53" a="1"/>
  <c r="BIR3" i="53" a="1"/>
  <c r="GKK3" i="53" a="1"/>
  <c r="XET3" i="53" a="1"/>
  <c r="VYN3" i="53" a="1"/>
  <c r="EYC3" i="53" a="1"/>
  <c r="BHU3" i="53" a="1"/>
  <c r="QXL3" i="53" a="1"/>
  <c r="EIL3" i="53" a="1"/>
  <c r="MNO3" i="53" a="1"/>
  <c r="PGF3" i="53" a="1"/>
  <c r="RJG3" i="53" a="1"/>
  <c r="AEC3" i="53" a="1"/>
  <c r="IRI3" i="53" a="1"/>
  <c r="NUE3" i="53" a="1"/>
  <c r="LQ3" i="53" a="1"/>
  <c r="EYK3" i="53" a="1"/>
  <c r="FCG3" i="53" a="1"/>
  <c r="IHA3" i="53" a="1"/>
  <c r="YS3" i="53" a="1"/>
  <c r="KKT3" i="53" a="1"/>
  <c r="PWD3" i="53" a="1"/>
  <c r="TQF3" i="53" a="1"/>
  <c r="JIV3" i="53" a="1"/>
  <c r="VUV3" i="53" a="1"/>
  <c r="WN3" i="53" a="1"/>
  <c r="IDT3" i="53" a="1"/>
  <c r="WL3" i="53" a="1"/>
  <c r="XCU3" i="53" a="1"/>
  <c r="BZS3" i="53" a="1"/>
  <c r="EQM3" i="53" a="1"/>
  <c r="KJI3" i="53" a="1"/>
  <c r="HGM3" i="53" a="1"/>
  <c r="XDS3" i="53" a="1"/>
  <c r="FKF3" i="53" a="1"/>
  <c r="CSH3" i="53" a="1"/>
  <c r="BZC3" i="53" a="1"/>
  <c r="MSQ3" i="53" a="1"/>
  <c r="FUR3" i="53" a="1"/>
  <c r="ACZ3" i="53" a="1"/>
  <c r="OXN3" i="53" a="1"/>
  <c r="DD3" i="53" a="1"/>
  <c r="AQ3" i="53" a="1"/>
  <c r="FDY3" i="53" a="1"/>
  <c r="VZE3" i="53" a="1"/>
  <c r="VXL3" i="53" a="1"/>
  <c r="FLT3" i="53" a="1"/>
  <c r="ONE3" i="53" a="1"/>
  <c r="BEP3" i="53" a="1"/>
  <c r="OXX3" i="53" a="1"/>
  <c r="RZG3" i="53" a="1"/>
  <c r="HOK3" i="53" a="1"/>
  <c r="OPU3" i="53" a="1"/>
  <c r="MNT3" i="53" a="1"/>
  <c r="QGB3" i="53" a="1"/>
  <c r="AJP3" i="53" a="1"/>
  <c r="CKY3" i="53" a="1"/>
  <c r="MUV3" i="53" a="1"/>
  <c r="KDJ3" i="53" a="1"/>
  <c r="LVQ3" i="53" a="1"/>
  <c r="GOI3" i="53" a="1"/>
  <c r="KDQ3" i="53" a="1"/>
  <c r="AGV3" i="53" a="1"/>
  <c r="RGQ3" i="53" a="1"/>
  <c r="DQE3" i="53" a="1"/>
  <c r="CEG3" i="53" a="1"/>
  <c r="SZB3" i="53" a="1"/>
  <c r="AWT3" i="53" a="1"/>
  <c r="SFA3" i="53" a="1"/>
  <c r="PJK3" i="53" a="1"/>
  <c r="QAK3" i="53" a="1"/>
  <c r="RHK3" i="53" a="1"/>
  <c r="DJW3" i="53" a="1"/>
  <c r="KZS3" i="53" a="1"/>
  <c r="RNI3" i="53" a="1"/>
  <c r="JCP3" i="53" a="1"/>
  <c r="EO3" i="53" a="1"/>
  <c r="WAA3" i="53" a="1"/>
  <c r="BFS3" i="53" a="1"/>
  <c r="HDD3" i="53" a="1"/>
  <c r="OAV3" i="53" a="1"/>
  <c r="MGO3" i="53" a="1"/>
  <c r="ASR3" i="53" a="1"/>
  <c r="JLB3" i="53" a="1"/>
  <c r="OFU3" i="53" a="1"/>
  <c r="QES3" i="53" a="1"/>
  <c r="LNL3" i="53" a="1"/>
  <c r="TOH3" i="53" a="1"/>
  <c r="EFG3" i="53" a="1"/>
  <c r="CSA3" i="53" a="1"/>
  <c r="EJJ3" i="53" a="1"/>
  <c r="TYK3" i="53" a="1"/>
  <c r="BYX3" i="53" a="1"/>
  <c r="IWS3" i="53" a="1"/>
  <c r="LBR3" i="53" a="1"/>
  <c r="OJY3" i="53" a="1"/>
  <c r="JLH3" i="53" a="1"/>
  <c r="MK3" i="53" a="1"/>
  <c r="JKT3" i="53" a="1"/>
  <c r="UKH3" i="53" a="1"/>
  <c r="MUG3" i="53" a="1"/>
  <c r="DJU3" i="53" a="1"/>
  <c r="CQA3" i="53" a="1"/>
  <c r="KIY3" i="53" a="1"/>
  <c r="LZA3" i="53" a="1"/>
  <c r="AZG3" i="53" a="1"/>
  <c r="DHZ3" i="53" a="1"/>
  <c r="JBR3" i="53" a="1"/>
  <c r="BBD3" i="53" a="1"/>
  <c r="IPC3" i="53" a="1"/>
  <c r="OAD3" i="53" a="1"/>
  <c r="GPD3" i="53" a="1"/>
  <c r="JFY3" i="53" a="1"/>
  <c r="WAB3" i="53" a="1"/>
  <c r="BFB3" i="53" a="1"/>
  <c r="WZI3" i="53" a="1"/>
  <c r="SCY3" i="53" a="1"/>
  <c r="TIF3" i="53" a="1"/>
  <c r="FGZ3" i="53" a="1"/>
  <c r="FKK3" i="53" a="1"/>
  <c r="MFK3" i="53" a="1"/>
  <c r="DSJ3" i="53" a="1"/>
  <c r="NWJ3" i="53" a="1"/>
  <c r="QXD3" i="53" a="1"/>
  <c r="KZC3" i="53" a="1"/>
  <c r="BWJ3" i="53" a="1"/>
  <c r="TCE3" i="53" a="1"/>
  <c r="DUE3" i="53" a="1"/>
  <c r="LEC3" i="53" a="1"/>
  <c r="GLW3" i="53" a="1"/>
  <c r="QOU3" i="53" a="1"/>
  <c r="ERR3" i="53" a="1"/>
  <c r="WD3" i="53" a="1"/>
  <c r="MGP3" i="53" a="1"/>
  <c r="HJT3" i="53" a="1"/>
  <c r="QBW3" i="53" a="1"/>
  <c r="ARA3" i="53" a="1"/>
  <c r="OBT3" i="53" a="1"/>
  <c r="PBC3" i="53" a="1"/>
  <c r="UJP3" i="53" a="1"/>
  <c r="VPG3" i="53" a="1"/>
  <c r="PJR3" i="53" a="1"/>
  <c r="AMG3" i="53" a="1"/>
  <c r="GPN3" i="53" a="1"/>
  <c r="HSO3" i="53" a="1"/>
  <c r="OJX3" i="53" a="1"/>
  <c r="PFT3" i="53" a="1"/>
  <c r="JYA3" i="53" a="1"/>
  <c r="KJL3" i="53" a="1"/>
  <c r="MTM3" i="53" a="1"/>
  <c r="DBZ3" i="53" a="1"/>
  <c r="F36" i="53" a="1"/>
  <c r="WUE3" i="53" a="1"/>
  <c r="GXN3" i="53" a="1"/>
  <c r="TOJ3" i="53" a="1"/>
  <c r="GWD3" i="53" a="1"/>
  <c r="FLI3" i="53" a="1"/>
  <c r="LLW3" i="53" a="1"/>
  <c r="NER3" i="53" a="1"/>
  <c r="SNQ3" i="53" a="1"/>
  <c r="CV3" i="53" a="1"/>
  <c r="KFR3" i="53" a="1"/>
  <c r="VN3" i="53" a="1"/>
  <c r="JVJ3" i="53" a="1"/>
  <c r="BCI3" i="53" a="1"/>
  <c r="JBP3" i="53" a="1"/>
  <c r="KXF3" i="53" a="1"/>
  <c r="GKO3" i="53" a="1"/>
  <c r="JTY3" i="53" a="1"/>
  <c r="FPF3" i="53" a="1"/>
  <c r="GVA3" i="53" a="1"/>
  <c r="KEV3" i="53" a="1"/>
  <c r="KXX3" i="53" a="1"/>
  <c r="DQI3" i="53" a="1"/>
  <c r="HJO3" i="53" a="1"/>
  <c r="KTV3" i="53" a="1"/>
  <c r="AVX3" i="53" a="1"/>
  <c r="KFN3" i="53" a="1"/>
  <c r="BME3" i="53" a="1"/>
  <c r="BZ3" i="53" a="1"/>
  <c r="FZX3" i="53" a="1"/>
  <c r="IHG3" i="53" a="1"/>
  <c r="SCW3" i="53" a="1"/>
  <c r="GKG3" i="53" a="1"/>
  <c r="CSU3" i="53" a="1"/>
  <c r="RHU3" i="53" a="1"/>
  <c r="ANS3" i="53" a="1"/>
  <c r="TSQ3" i="53" a="1"/>
  <c r="EHE3" i="53" a="1"/>
  <c r="LBL3" i="53" a="1"/>
  <c r="EHN3" i="53" a="1"/>
  <c r="GWA3" i="53" a="1"/>
  <c r="REE3" i="53" a="1"/>
  <c r="XBQ3" i="53" a="1"/>
  <c r="CYR3" i="53" a="1"/>
  <c r="EIW3" i="53" a="1"/>
  <c r="WTI3" i="53" a="1"/>
  <c r="HFP3" i="53" a="1"/>
  <c r="LPI3" i="53" a="1"/>
  <c r="TQJ3" i="53" a="1"/>
  <c r="GXD3" i="53" a="1"/>
  <c r="DZB3" i="53" a="1"/>
  <c r="DDM3" i="53" a="1"/>
  <c r="ODF3" i="53" a="1"/>
  <c r="JUI3" i="53" a="1"/>
  <c r="LML3" i="53" a="1"/>
  <c r="CYN3" i="53" a="1"/>
  <c r="RNX3" i="53" a="1"/>
  <c r="QMY3" i="53" a="1"/>
  <c r="JJT3" i="53" a="1"/>
  <c r="NDO3" i="53" a="1"/>
  <c r="FIA3" i="53" a="1"/>
  <c r="RXW3" i="53" a="1"/>
  <c r="HWU3" i="53" a="1"/>
  <c r="RZH3" i="53" a="1"/>
  <c r="UZT3" i="53" a="1"/>
  <c r="HCI3" i="53" a="1"/>
  <c r="HT3" i="53" a="1"/>
  <c r="DIU3" i="53" a="1"/>
  <c r="NQL3" i="53" a="1"/>
  <c r="KCI3" i="53" a="1"/>
  <c r="FZR3" i="53" a="1"/>
  <c r="UCI3" i="53" a="1"/>
  <c r="GCD3" i="53" a="1"/>
  <c r="HIS3" i="53" a="1"/>
  <c r="SLN3" i="53" a="1"/>
  <c r="RYO3" i="53" a="1"/>
  <c r="DEI3" i="53" a="1"/>
  <c r="KWM3" i="53" a="1"/>
  <c r="HEL3" i="53" a="1"/>
  <c r="VVG3" i="53" a="1"/>
  <c r="PYB3" i="53" a="1"/>
  <c r="BWX3" i="53" a="1"/>
  <c r="FBO3" i="53" a="1"/>
  <c r="PRV3" i="53" a="1"/>
  <c r="CRO3" i="53" a="1"/>
  <c r="ER3" i="53" a="1"/>
  <c r="GRK3" i="53" a="1"/>
  <c r="OME3" i="53" a="1"/>
  <c r="GYO3" i="53" a="1"/>
  <c r="MDF3" i="53" a="1"/>
  <c r="NIF3" i="53" a="1"/>
  <c r="JOX3" i="53" a="1"/>
  <c r="AWW3" i="53" a="1"/>
  <c r="CSP3" i="53" a="1"/>
  <c r="KZY3" i="53" a="1"/>
  <c r="VBX3" i="53" a="1"/>
  <c r="KFK3" i="53" a="1"/>
  <c r="TBR3" i="53" a="1"/>
  <c r="CVW3" i="53" a="1"/>
  <c r="C3" i="3" a="1"/>
  <c r="XDO3" i="53" a="1"/>
  <c r="TYX3" i="53" a="1"/>
  <c r="IXN3" i="53" a="1"/>
  <c r="QJB3" i="53" a="1"/>
  <c r="BLP3" i="53" a="1"/>
  <c r="KJO3" i="53" a="1"/>
  <c r="RKG3" i="53" a="1"/>
  <c r="AIT3" i="53" a="1"/>
  <c r="CXD3" i="53" a="1"/>
  <c r="KPI3" i="53" a="1"/>
  <c r="TCM3" i="53" a="1"/>
  <c r="KOT3" i="53" a="1"/>
  <c r="CI3" i="53" a="1"/>
  <c r="SWF3" i="53" a="1"/>
  <c r="HLM3" i="53" a="1"/>
  <c r="SSD3" i="53" a="1"/>
  <c r="CER3" i="53" a="1"/>
  <c r="EZI3" i="53" a="1"/>
  <c r="WOW3" i="53" a="1"/>
  <c r="AMU3" i="53" a="1"/>
  <c r="KDU3" i="53" a="1"/>
  <c r="HCJ3" i="53" a="1"/>
  <c r="EVH3" i="53" a="1"/>
  <c r="RIU3" i="53" a="1"/>
  <c r="FQG3" i="53" a="1"/>
  <c r="KME3" i="53" a="1"/>
  <c r="HTH3" i="53" a="1"/>
  <c r="QLH3" i="53" a="1"/>
  <c r="YQ3" i="53" a="1"/>
  <c r="GAG3" i="53" a="1"/>
  <c r="LXZ3" i="53" a="1"/>
  <c r="TNK3" i="53" a="1"/>
  <c r="QFB3" i="53" a="1"/>
  <c r="FOA3" i="53" a="1"/>
  <c r="PRM3" i="53" a="1"/>
  <c r="JEG3" i="53" a="1"/>
  <c r="KZZ3" i="53" a="1"/>
  <c r="FNX3" i="53" a="1"/>
  <c r="ZK3" i="53" a="1"/>
  <c r="ZI3" i="53" a="1"/>
  <c r="LER3" i="53" a="1"/>
  <c r="WVM3" i="53" a="1"/>
  <c r="PNC3" i="53" a="1"/>
  <c r="AUN3" i="53" a="1"/>
  <c r="OSD3" i="53" a="1"/>
  <c r="VKI3" i="53" a="1"/>
  <c r="HWR3" i="53" a="1"/>
  <c r="LTF3" i="53" a="1"/>
  <c r="AJL3" i="53" a="1"/>
  <c r="SHK3" i="53" a="1"/>
  <c r="PPZ3" i="53" a="1"/>
  <c r="BZQ3" i="53" a="1"/>
  <c r="YU3" i="53" a="1"/>
  <c r="KM3" i="53" a="1"/>
  <c r="CEE3" i="53" a="1"/>
  <c r="TFE3" i="53" a="1"/>
  <c r="UII3" i="53" a="1"/>
  <c r="BBU3" i="53" a="1"/>
  <c r="PCD3" i="53" a="1"/>
  <c r="ELV3" i="53" a="1"/>
  <c r="IZM3" i="53" a="1"/>
  <c r="NGO3" i="53" a="1"/>
  <c r="PU3" i="53" a="1"/>
  <c r="DPM3" i="53" a="1"/>
  <c r="AAZ3" i="53" a="1"/>
  <c r="LSU3" i="53" a="1"/>
  <c r="GLO3" i="53" a="1"/>
  <c r="CFE3" i="53" a="1"/>
  <c r="CDP3" i="53" a="1"/>
  <c r="GZD3" i="53" a="1"/>
  <c r="GFV3" i="53" a="1"/>
  <c r="VKY3" i="53" a="1"/>
  <c r="JUL3" i="53" a="1"/>
  <c r="LJD3" i="53" a="1"/>
  <c r="FZW3" i="53" a="1"/>
  <c r="RVP3" i="53" a="1"/>
  <c r="MUA3" i="53" a="1"/>
  <c r="AFN3" i="53" a="1"/>
  <c r="HPQ3" i="53" a="1"/>
  <c r="SGE3" i="53" a="1"/>
  <c r="AWS3" i="53" a="1"/>
  <c r="Z3" i="53" a="1"/>
  <c r="IXZ3" i="53" a="1"/>
  <c r="GZP3" i="53" a="1"/>
  <c r="BR3" i="53" a="1"/>
  <c r="BZD3" i="53" a="1"/>
  <c r="CTO3" i="53" a="1"/>
  <c r="APZ3" i="53" a="1"/>
  <c r="SQD3" i="53" a="1"/>
  <c r="LDH3" i="53" a="1"/>
  <c r="QDF3" i="53" a="1"/>
  <c r="KTA3" i="53" a="1"/>
  <c r="HPH3" i="53" a="1"/>
  <c r="UFZ3" i="53" a="1"/>
  <c r="JQ3" i="53" a="1"/>
  <c r="PJV3" i="53" a="1"/>
  <c r="DPQ3" i="53" a="1"/>
  <c r="LF3" i="53" a="1"/>
  <c r="THF3" i="53" a="1"/>
  <c r="LBY3" i="53" a="1"/>
  <c r="NQC3" i="53" a="1"/>
  <c r="UJH3" i="53" a="1"/>
  <c r="SEM3" i="53" a="1"/>
  <c r="EPR3" i="53" a="1"/>
  <c r="EHG3" i="53" a="1"/>
  <c r="QOW3" i="53" a="1"/>
  <c r="GQW3" i="53" a="1"/>
  <c r="SAR3" i="53" a="1"/>
  <c r="RSX3" i="53" a="1"/>
  <c r="NUJ3" i="53" a="1"/>
  <c r="IAH3" i="53" a="1"/>
  <c r="DRQ3" i="53" a="1"/>
  <c r="FDE3" i="53" a="1"/>
  <c r="KWV3" i="53" a="1"/>
  <c r="HHS3" i="53" a="1"/>
  <c r="LRZ3" i="53" a="1"/>
  <c r="XDU3" i="53" a="1"/>
  <c r="CHH3" i="53" a="1"/>
  <c r="GPE3" i="53" a="1"/>
  <c r="UFF3" i="53" a="1"/>
  <c r="BND3" i="53" a="1"/>
  <c r="FPT3" i="53" a="1"/>
  <c r="CKI3" i="53" a="1"/>
  <c r="UNW3" i="53" a="1"/>
  <c r="ICO3" i="53" a="1"/>
  <c r="LZM3" i="53" a="1"/>
  <c r="PDC3" i="53" a="1"/>
  <c r="UUP3" i="53" a="1"/>
  <c r="GRS3" i="53" a="1"/>
  <c r="CDB3" i="53" a="1"/>
  <c r="ANK3" i="53" a="1"/>
  <c r="XX3" i="53" a="1"/>
  <c r="ISM3" i="53" a="1"/>
  <c r="HEH3" i="53" a="1"/>
  <c r="DID3" i="53" a="1"/>
  <c r="RAM3" i="53" a="1"/>
  <c r="UU3" i="53" a="1"/>
  <c r="SGZ3" i="53" a="1"/>
  <c r="MMJ3" i="53" a="1"/>
  <c r="NWF3" i="53" a="1"/>
  <c r="HPL3" i="53" a="1"/>
  <c r="FWJ3" i="53" a="1"/>
  <c r="PAD3" i="53" a="1"/>
  <c r="DSR3" i="53" a="1"/>
  <c r="KZT3" i="53" a="1"/>
  <c r="GTV3" i="53" a="1"/>
  <c r="PTK3" i="53" a="1"/>
  <c r="NFM3" i="53" a="1"/>
  <c r="KSR3" i="53" a="1"/>
  <c r="VIU3" i="53" a="1"/>
  <c r="XBC3" i="53" a="1"/>
  <c r="BSW3" i="53" a="1"/>
  <c r="DZN3" i="53" a="1"/>
  <c r="FRJ3" i="53" a="1"/>
  <c r="JNI3" i="53" a="1"/>
  <c r="DFQ3" i="53" a="1"/>
  <c r="RQ3" i="53" a="1"/>
  <c r="MZH3" i="53" a="1"/>
  <c r="DEG3" i="53" a="1"/>
  <c r="TY3" i="53" a="1"/>
  <c r="NN3" i="53" a="1"/>
  <c r="MEJ3" i="53" a="1"/>
  <c r="JEZ3" i="53" a="1"/>
  <c r="FGM3" i="53" a="1"/>
  <c r="RQS3" i="53" a="1"/>
  <c r="QMT3" i="53" a="1"/>
  <c r="LZQ3" i="53" a="1"/>
  <c r="EIB3" i="53" a="1"/>
  <c r="LVX3" i="53" a="1"/>
  <c r="JNQ3" i="53" a="1"/>
  <c r="SIG3" i="53" a="1"/>
  <c r="GQH3" i="53" a="1"/>
  <c r="PQE3" i="53" a="1"/>
  <c r="NPN3" i="53" a="1"/>
  <c r="EHS3" i="53" a="1"/>
  <c r="SKP3" i="53" a="1"/>
  <c r="SDQ3" i="53" a="1"/>
  <c r="BFR3" i="53" a="1"/>
  <c r="ORN3" i="53" a="1"/>
  <c r="EKH3" i="53" a="1"/>
  <c r="GNB3" i="53" a="1"/>
  <c r="MTR3" i="53" a="1"/>
  <c r="OHA3" i="53" a="1"/>
  <c r="NYX3" i="53" a="1"/>
  <c r="BBQ3" i="53" a="1"/>
  <c r="PXB3" i="53" a="1"/>
  <c r="DBT3" i="53" a="1"/>
  <c r="KBO3" i="53" a="1"/>
  <c r="PJF3" i="53" a="1"/>
  <c r="OHY3" i="53" a="1"/>
  <c r="KZW3" i="53" a="1"/>
  <c r="ALM3" i="53" a="1"/>
  <c r="ABI3" i="53" a="1"/>
  <c r="GGT3" i="53" a="1"/>
  <c r="SQV3" i="53" a="1"/>
  <c r="FXH3" i="53" a="1"/>
  <c r="IBF3" i="53" a="1"/>
  <c r="OHU3" i="53" a="1"/>
  <c r="GBU3" i="53" a="1"/>
  <c r="MGQ3" i="53" a="1"/>
  <c r="CRW3" i="53" a="1"/>
  <c r="BNK3" i="53" a="1"/>
  <c r="OFZ3" i="53" a="1"/>
  <c r="LRX3" i="53" a="1"/>
  <c r="HMT3" i="53" a="1"/>
  <c r="WAF3" i="53" a="1"/>
  <c r="RT3" i="53" a="1"/>
  <c r="C20" i="53" a="1"/>
  <c r="AIM3" i="53" a="1"/>
  <c r="OHP3" i="53" a="1"/>
  <c r="AJF3" i="53" a="1"/>
  <c r="AAG3" i="53" a="1"/>
  <c r="DXT3" i="53" a="1"/>
  <c r="OJQ3" i="53" a="1"/>
  <c r="GZN3" i="53" a="1"/>
  <c r="LLJ3" i="53" a="1"/>
  <c r="KTD3" i="53" a="1"/>
  <c r="EUG3" i="53" a="1"/>
  <c r="IPW3" i="53" a="1"/>
  <c r="LDX3" i="53" a="1"/>
  <c r="GCY3" i="53" a="1"/>
  <c r="KNH3" i="53" a="1"/>
  <c r="HIV3" i="53" a="1"/>
  <c r="GVU3" i="53" a="1"/>
  <c r="VJ3" i="53" a="1"/>
  <c r="JPY3" i="53" a="1"/>
  <c r="PDE3" i="53" a="1"/>
  <c r="GCR3" i="53" a="1"/>
  <c r="CEI3" i="53" a="1"/>
  <c r="SGA3" i="53" a="1"/>
  <c r="HWB3" i="53" a="1"/>
  <c r="SNL3" i="53" a="1"/>
  <c r="BVJ3" i="53" a="1"/>
  <c r="IOD3" i="53" a="1"/>
  <c r="PW3" i="53" a="1"/>
  <c r="FKV3" i="53" a="1"/>
  <c r="HAH3" i="53" a="1"/>
  <c r="BQE3" i="53" a="1"/>
  <c r="TQG3" i="53" a="1"/>
  <c r="JLI3" i="53" a="1"/>
  <c r="FWG3" i="53" a="1"/>
  <c r="KQI3" i="53" a="1"/>
  <c r="PBN3" i="53" a="1"/>
  <c r="CRB3" i="53" a="1"/>
  <c r="WIY3" i="53" a="1"/>
  <c r="PLX3" i="53" a="1"/>
  <c r="CJT3" i="53" a="1"/>
  <c r="HPP3" i="53" a="1"/>
  <c r="POJ3" i="53" a="1"/>
  <c r="MUK3" i="53" a="1"/>
  <c r="ODO3" i="53" a="1"/>
  <c r="QRM3" i="53" a="1"/>
  <c r="SNE3" i="53" a="1"/>
  <c r="LBA3" i="53" a="1"/>
  <c r="BFY3" i="53" a="1"/>
  <c r="RBT3" i="53" a="1"/>
  <c r="IVL3" i="53" a="1"/>
  <c r="GKQ3" i="53" a="1"/>
  <c r="UUN3" i="53" a="1"/>
  <c r="PUB3" i="53" a="1"/>
  <c r="KDG3" i="53" a="1"/>
  <c r="OVV3" i="53" a="1"/>
  <c r="NSK3" i="53" a="1"/>
  <c r="DJE3" i="53" a="1"/>
  <c r="JSZ3" i="53" a="1"/>
  <c r="FBE3" i="53" a="1"/>
  <c r="CMJ3" i="53" a="1"/>
  <c r="LSZ3" i="53" a="1"/>
  <c r="BVG3" i="53" a="1"/>
  <c r="FEP3" i="53" a="1"/>
  <c r="ML3" i="53" a="1"/>
  <c r="EAT3" i="53" a="1"/>
  <c r="HNP3" i="53" a="1"/>
  <c r="KMB3" i="53" a="1"/>
  <c r="CWB3" i="53" a="1"/>
  <c r="L3" i="4" a="1"/>
  <c r="IBE3" i="53" a="1"/>
  <c r="O3" i="53" a="1"/>
  <c r="USH3" i="53" a="1"/>
  <c r="NLA3" i="53" a="1"/>
  <c r="HVG3" i="53" a="1"/>
  <c r="ELJ3" i="53" a="1"/>
  <c r="IQT3" i="53" a="1"/>
  <c r="OFF3" i="53" a="1"/>
  <c r="OXJ3" i="53" a="1"/>
  <c r="IWM3" i="53" a="1"/>
  <c r="HLA3" i="53" a="1"/>
  <c r="HBA3" i="53" a="1"/>
  <c r="HMQ3" i="53" a="1"/>
  <c r="UFC3" i="53" a="1"/>
  <c r="QJK3" i="53" a="1"/>
  <c r="NQR3" i="53" a="1"/>
  <c r="UBM3" i="53" a="1"/>
  <c r="LTQ3" i="53" a="1"/>
  <c r="OCN3" i="53" a="1"/>
  <c r="SXB3" i="53" a="1"/>
  <c r="OGA3" i="53" a="1"/>
  <c r="TRG3" i="53" a="1"/>
  <c r="DUK3" i="53" a="1"/>
  <c r="WPC3" i="53" a="1"/>
  <c r="E17" i="53" a="1"/>
  <c r="IKH3" i="53" a="1"/>
  <c r="KMX3" i="53" a="1"/>
  <c r="HEZ3" i="53" a="1"/>
  <c r="ATB3" i="53" a="1"/>
  <c r="AKY3" i="53" a="1"/>
  <c r="HLP3" i="53" a="1"/>
  <c r="BVE3" i="53" a="1"/>
  <c r="SII3" i="53" a="1"/>
  <c r="E93" i="27" a="1"/>
  <c r="PCG3" i="53" a="1"/>
  <c r="JJI3" i="53" a="1"/>
  <c r="PAB3" i="53" a="1"/>
  <c r="OIY3" i="53" a="1"/>
  <c r="SLR3" i="53" a="1"/>
  <c r="NII3" i="53" a="1"/>
  <c r="AVR3" i="53" a="1"/>
  <c r="LHY3" i="53" a="1"/>
  <c r="JC3" i="53" a="1"/>
  <c r="EE3" i="53" a="1"/>
  <c r="SE3" i="53" a="1"/>
  <c r="QZQ3" i="53" a="1"/>
  <c r="TET3" i="53" a="1"/>
  <c r="MIV3" i="53" a="1"/>
  <c r="HXV3" i="53" a="1"/>
  <c r="IGE3" i="53" a="1"/>
  <c r="FUW3" i="53" a="1"/>
  <c r="RLQ3" i="53" a="1"/>
  <c r="KMP3" i="53" a="1"/>
  <c r="SIV3" i="53" a="1"/>
  <c r="AQK3" i="53" a="1"/>
  <c r="UIM3" i="53" a="1"/>
  <c r="IRK3" i="53" a="1"/>
  <c r="EPO3" i="53" a="1"/>
  <c r="MOT3" i="53" a="1"/>
  <c r="MTI3" i="53" a="1"/>
  <c r="JTP3" i="53" a="1"/>
  <c r="PYY3" i="53" a="1"/>
  <c r="TMP3" i="53" a="1"/>
  <c r="RPV3" i="53" a="1"/>
  <c r="DVK3" i="53" a="1"/>
  <c r="JLJ3" i="53" a="1"/>
  <c r="MVK3" i="53" a="1"/>
  <c r="PFH3" i="53" a="1"/>
  <c r="IIQ3" i="53" a="1"/>
  <c r="AKZ3" i="53" a="1"/>
  <c r="QGE3" i="53" a="1"/>
  <c r="GRX3" i="53" a="1"/>
  <c r="IYA3" i="53" a="1"/>
  <c r="LTD3" i="53" a="1"/>
  <c r="NMS3" i="53" a="1"/>
  <c r="ASH3" i="53" a="1"/>
  <c r="CMX3" i="53" a="1"/>
  <c r="GVV3" i="53" a="1"/>
  <c r="IPN3" i="53" a="1"/>
  <c r="TGO3" i="53" a="1"/>
  <c r="IKZ3" i="53" a="1"/>
  <c r="CVQ3" i="53" a="1"/>
  <c r="QYU3" i="53" a="1"/>
  <c r="GJD3" i="53" a="1"/>
  <c r="LYJ3" i="53" a="1"/>
  <c r="NGY3" i="53" a="1"/>
  <c r="NVP3" i="53" a="1"/>
  <c r="BHK3" i="53" a="1"/>
  <c r="OR3" i="53" a="1"/>
  <c r="HAG3" i="53" a="1"/>
  <c r="NYF3" i="53" a="1"/>
  <c r="VWM3" i="53" a="1"/>
  <c r="QYR3" i="53" a="1"/>
  <c r="MJE3" i="53" a="1"/>
  <c r="VIA3" i="53" a="1"/>
  <c r="NTL3" i="53" a="1"/>
  <c r="DCJ3" i="53" a="1"/>
  <c r="PTJ3" i="53" a="1"/>
  <c r="BUD3" i="53" a="1"/>
  <c r="IBB3" i="53" a="1"/>
  <c r="IGH3" i="53" a="1"/>
  <c r="CMY3" i="53" a="1"/>
  <c r="SCH3" i="53" a="1"/>
  <c r="CJM3" i="53" a="1"/>
  <c r="FYK3" i="53" a="1"/>
  <c r="MHF3" i="53" a="1"/>
  <c r="CAV3" i="53" a="1"/>
  <c r="MQO3" i="53" a="1"/>
  <c r="EJH3" i="53" a="1"/>
  <c r="TFU3" i="53" a="1"/>
  <c r="OOU3" i="53" a="1"/>
  <c r="DQZ3" i="53" a="1"/>
  <c r="KEL3" i="53" a="1"/>
  <c r="OJR3" i="53" a="1"/>
  <c r="DIG3" i="53" a="1"/>
  <c r="AZT3" i="53" a="1"/>
  <c r="GBI3" i="53" a="1"/>
  <c r="MHR3" i="53" a="1"/>
  <c r="JIW3" i="53" a="1"/>
  <c r="HJ3" i="53" a="1"/>
  <c r="TXE3" i="53" a="1"/>
  <c r="TQ3" i="53" a="1"/>
  <c r="MTW3" i="53" a="1"/>
  <c r="RSY3" i="53" a="1"/>
  <c r="ALB3" i="53" a="1"/>
  <c r="UPW3" i="53" a="1"/>
  <c r="LNG3" i="53" a="1"/>
  <c r="MSI3" i="53" a="1"/>
  <c r="NAN3" i="53" a="1"/>
  <c r="VZB3" i="53" a="1"/>
  <c r="OTU3" i="53" a="1"/>
  <c r="NDY3" i="53" a="1"/>
  <c r="FKI3" i="53" a="1"/>
  <c r="VAT3" i="53" a="1"/>
  <c r="D3" i="27" a="1"/>
  <c r="LLU3" i="53" a="1"/>
  <c r="QPD3" i="53" a="1"/>
  <c r="LBO3" i="53" a="1"/>
  <c r="NRG3" i="53" a="1"/>
  <c r="FR3" i="53" a="1"/>
  <c r="QKJ3" i="53" a="1"/>
  <c r="AWQ3" i="53" a="1"/>
  <c r="BIT3" i="53" a="1"/>
  <c r="GTY3" i="53" a="1"/>
  <c r="AGI3" i="53" a="1"/>
  <c r="HCG3" i="53" a="1"/>
  <c r="WGF3" i="53" a="1"/>
  <c r="CRG3" i="53" a="1"/>
  <c r="BLE3" i="53" a="1"/>
  <c r="BAU3" i="53" a="1"/>
  <c r="OMM3" i="53" a="1"/>
  <c r="IFM3" i="53" a="1"/>
  <c r="GLC3" i="53" a="1"/>
  <c r="QVE3" i="53" a="1"/>
  <c r="ROC3" i="53" a="1"/>
  <c r="EPF3" i="53" a="1"/>
  <c r="JSA3" i="53" a="1"/>
  <c r="KF3" i="53" a="1"/>
  <c r="GTB3" i="53" a="1"/>
  <c r="QSM3" i="53" a="1"/>
  <c r="ETN3" i="53" a="1"/>
  <c r="BV3" i="53" a="1"/>
  <c r="CJX3" i="53" a="1"/>
  <c r="BNN3" i="53" a="1"/>
  <c r="RMW3" i="53" a="1"/>
  <c r="HUD3" i="53" a="1"/>
  <c r="AVS3" i="53" a="1"/>
  <c r="VGR3" i="53" a="1"/>
  <c r="KWB3" i="53" a="1"/>
  <c r="EMX3" i="53" a="1"/>
  <c r="IWX3" i="53" a="1"/>
  <c r="OQK3" i="53" a="1"/>
  <c r="KJH3" i="53" a="1"/>
  <c r="PLR3" i="53" a="1"/>
  <c r="FLW3" i="53" a="1"/>
  <c r="XAD3" i="53" a="1"/>
  <c r="EPG3" i="53" a="1"/>
  <c r="VDX3" i="53" a="1"/>
  <c r="HXR3" i="53" a="1"/>
  <c r="QVN3" i="53" a="1"/>
  <c r="COK3" i="53" a="1"/>
  <c r="OMH3" i="53" a="1"/>
  <c r="UDA3" i="53" a="1"/>
  <c r="TJK3" i="53" a="1"/>
  <c r="BNS3" i="53" a="1"/>
  <c r="ZR3" i="53" a="1"/>
  <c r="FMR3" i="53" a="1"/>
  <c r="DOW3" i="53" a="1"/>
  <c r="DJF3" i="53" a="1"/>
  <c r="AUJ3" i="53" a="1"/>
  <c r="MTH3" i="53" a="1"/>
  <c r="IIW3" i="53" a="1"/>
  <c r="DCM3" i="53" a="1"/>
  <c r="PXO3" i="53" a="1"/>
  <c r="BIP3" i="53" a="1"/>
  <c r="FLC3" i="53" a="1"/>
  <c r="SLY3" i="53" a="1"/>
  <c r="ENM3" i="53" a="1"/>
  <c r="FTO3" i="53" a="1"/>
  <c r="QEY3" i="53" a="1"/>
  <c r="CCI3" i="53" a="1"/>
  <c r="EBK3" i="53" a="1"/>
  <c r="NUQ3" i="53" a="1"/>
  <c r="JAE3" i="53" a="1"/>
  <c r="OLM3" i="53" a="1"/>
  <c r="FPB3" i="53" a="1"/>
  <c r="FNA3" i="53" a="1"/>
  <c r="ANA3" i="53" a="1"/>
  <c r="SON3" i="53" a="1"/>
  <c r="KW3" i="53" a="1"/>
  <c r="NVK3" i="53" a="1"/>
  <c r="IAF3" i="53" a="1"/>
  <c r="TJU3" i="53" a="1"/>
  <c r="KGI3" i="53" a="1"/>
  <c r="KKF3" i="53" a="1"/>
  <c r="DON3" i="53" a="1"/>
  <c r="IWO3" i="53" a="1"/>
  <c r="DXD3" i="53" a="1"/>
  <c r="AAF3" i="53" a="1"/>
  <c r="FBU3" i="53" a="1"/>
  <c r="UPP3" i="53" a="1"/>
  <c r="CAS3" i="53" a="1"/>
  <c r="UUJ3" i="53" a="1"/>
  <c r="ALO3" i="53" a="1"/>
  <c r="QIK3" i="53" a="1"/>
  <c r="JEU3" i="53" a="1"/>
  <c r="MSH3" i="53" a="1"/>
  <c r="HTW3" i="53" a="1"/>
  <c r="BDT3" i="53" a="1"/>
  <c r="LFI3" i="53" a="1"/>
  <c r="PZB3" i="53" a="1"/>
  <c r="QBQ3" i="53" a="1"/>
  <c r="KT3" i="53" a="1"/>
  <c r="FDO3" i="53" a="1"/>
  <c r="JSH3" i="53" a="1"/>
  <c r="FPA3" i="53" a="1"/>
  <c r="MJC3" i="53" a="1"/>
  <c r="GZY3" i="53" a="1"/>
  <c r="TFT3" i="53" a="1"/>
  <c r="FGP3" i="53" a="1"/>
  <c r="TPY3" i="53" a="1"/>
  <c r="GSH3" i="53" a="1"/>
  <c r="GCO3" i="53" a="1"/>
  <c r="UTZ3" i="53" a="1"/>
  <c r="NIL3" i="53" a="1"/>
  <c r="WLE3" i="53" a="1"/>
  <c r="UAG3" i="53" a="1"/>
  <c r="IRU3" i="53" a="1"/>
  <c r="DIN3" i="53" a="1"/>
  <c r="APD3" i="53" a="1"/>
  <c r="QKO3" i="53" a="1"/>
  <c r="JTV3" i="53" a="1"/>
  <c r="ENV3" i="53" a="1"/>
  <c r="BTN3" i="53" a="1"/>
  <c r="RYB3" i="53" a="1"/>
  <c r="LYE3" i="53" a="1"/>
  <c r="CDR3" i="53" a="1"/>
  <c r="DCI3" i="53" a="1"/>
  <c r="TBA3" i="53" a="1"/>
  <c r="JRM3" i="53" a="1"/>
  <c r="IYR3" i="53" a="1"/>
  <c r="FKP3" i="53" a="1"/>
  <c r="PWI3" i="53" a="1"/>
  <c r="QCI3" i="53" a="1"/>
  <c r="KEQ3" i="53" a="1"/>
  <c r="ASD3" i="53" a="1"/>
  <c r="OW3" i="53" a="1"/>
  <c r="HRZ3" i="53" a="1"/>
  <c r="IZW3" i="53" a="1"/>
  <c r="JZH3" i="53" a="1"/>
  <c r="CYV3" i="53" a="1"/>
  <c r="WRL3" i="53" a="1"/>
  <c r="KIH3" i="53" a="1"/>
  <c r="BKO3" i="53" a="1"/>
  <c r="KWY3" i="53" a="1"/>
  <c r="KYY3" i="53" a="1"/>
  <c r="DFO3" i="53" a="1"/>
  <c r="OIA3" i="53" a="1"/>
  <c r="FG3" i="53" a="1"/>
  <c r="GCN3" i="53" a="1"/>
  <c r="RRI3" i="53" a="1"/>
  <c r="PLQ3" i="53" a="1"/>
  <c r="IOB3" i="53" a="1"/>
  <c r="GPQ3" i="53" a="1"/>
  <c r="HMD3" i="53" a="1"/>
  <c r="FFO3" i="53" a="1"/>
  <c r="PSP3" i="53" a="1"/>
  <c r="JIR3" i="53" a="1"/>
  <c r="JYK3" i="53" a="1"/>
  <c r="RJW3" i="53" a="1"/>
  <c r="TTN3" i="53" a="1"/>
  <c r="LQX3" i="53" a="1"/>
  <c r="PPE3" i="53" a="1"/>
  <c r="MXI3" i="53" a="1"/>
  <c r="NI3" i="53" a="1"/>
  <c r="DSG3" i="53" a="1"/>
  <c r="CJK3" i="53" a="1"/>
  <c r="MXE3" i="53" a="1"/>
  <c r="FGH3" i="53" a="1"/>
  <c r="QGG3" i="53" a="1"/>
  <c r="HGZ3" i="53" a="1"/>
  <c r="RM3" i="53" a="1"/>
  <c r="IUF3" i="53" a="1"/>
  <c r="RLG3" i="53" a="1"/>
  <c r="VQZ3" i="53" a="1"/>
  <c r="BCK3" i="53" a="1"/>
  <c r="WPX3" i="53" a="1"/>
  <c r="LUG3" i="53" a="1"/>
  <c r="IGV3" i="53" a="1"/>
  <c r="US3" i="53" a="1"/>
  <c r="YH3" i="53" a="1"/>
  <c r="GKM3" i="53" a="1"/>
  <c r="XG3" i="53" a="1"/>
  <c r="PG3" i="53" a="1"/>
  <c r="HCR3" i="53" a="1"/>
  <c r="BDN3" i="53" a="1"/>
  <c r="UDY3" i="53" a="1"/>
  <c r="NOU3" i="53" a="1"/>
  <c r="CXY3" i="53" a="1"/>
  <c r="LPM3" i="53" a="1"/>
  <c r="GPO3" i="53" a="1"/>
  <c r="SRY3" i="53" a="1"/>
  <c r="OWS3" i="53" a="1"/>
  <c r="DEL3" i="53" a="1"/>
  <c r="NWM3" i="53" a="1"/>
  <c r="VZX3" i="53" a="1"/>
  <c r="QAP3" i="53" a="1"/>
  <c r="LKE3" i="53" a="1"/>
  <c r="LVG3" i="53" a="1"/>
  <c r="MZY3" i="53" a="1"/>
  <c r="ITS3" i="53" a="1"/>
  <c r="KJU3" i="53" a="1"/>
  <c r="TEO3" i="53" a="1"/>
  <c r="DES3" i="53" a="1"/>
  <c r="UCB3" i="53" a="1"/>
  <c r="NVY3" i="53" a="1"/>
  <c r="UVR3" i="53" a="1"/>
  <c r="PMB3" i="53" a="1"/>
  <c r="OXF3" i="53" a="1"/>
  <c r="VHP3" i="53" a="1"/>
  <c r="GWZ3" i="53" a="1"/>
  <c r="WBZ3" i="53" a="1"/>
  <c r="RUH3" i="53" a="1"/>
  <c r="EPS3" i="53" a="1"/>
  <c r="JMQ3" i="53" a="1"/>
  <c r="CCJ3" i="53" a="1"/>
  <c r="JAK3" i="53" a="1"/>
  <c r="ACD3" i="53" a="1"/>
  <c r="FGB3" i="53" a="1"/>
  <c r="FRN3" i="53" a="1"/>
  <c r="AAX3" i="53" a="1"/>
  <c r="USB3" i="53" a="1"/>
  <c r="GPW3" i="53" a="1"/>
  <c r="IAU3" i="53" a="1"/>
  <c r="AMI3" i="53" a="1"/>
  <c r="PUF3" i="53" a="1"/>
  <c r="TBP3" i="53" a="1"/>
  <c r="RVO3" i="53" a="1"/>
  <c r="UNF3" i="53" a="1"/>
  <c r="PZ3" i="53" a="1"/>
  <c r="WBW3" i="53" a="1"/>
  <c r="URP3" i="53" a="1"/>
  <c r="EBI3" i="53" a="1"/>
  <c r="ATL3" i="53" a="1"/>
  <c r="JFZ3" i="53" a="1"/>
  <c r="OQM3" i="53" a="1"/>
  <c r="BIY3" i="53" a="1"/>
  <c r="BUK3" i="53" a="1"/>
  <c r="LDS3" i="53" a="1"/>
  <c r="LEE3" i="53" a="1"/>
  <c r="CBH3" i="53" a="1"/>
  <c r="PEG3" i="53" a="1"/>
  <c r="EPK3" i="53" a="1"/>
  <c r="TQL3" i="53" a="1"/>
  <c r="MTT3" i="53" a="1"/>
  <c r="NUX3" i="53" a="1"/>
  <c r="BOJ3" i="53" a="1"/>
  <c r="UTX3" i="53" a="1"/>
  <c r="MFH3" i="53" a="1"/>
  <c r="MYJ3" i="53" a="1"/>
  <c r="QXC3" i="53" a="1"/>
  <c r="BY3" i="53" a="1"/>
  <c r="FDR3" i="53" a="1"/>
  <c r="DHK3" i="53" a="1"/>
  <c r="VMO3" i="53" a="1"/>
  <c r="BPL3" i="53" a="1"/>
  <c r="KRU3" i="53" a="1"/>
  <c r="BRW3" i="53" a="1"/>
  <c r="CKV3" i="53" a="1"/>
  <c r="CTE3" i="53" a="1"/>
  <c r="KLF3" i="53" a="1"/>
  <c r="AXR3" i="53" a="1"/>
  <c r="CJR3" i="53" a="1"/>
  <c r="DTP3" i="53" a="1"/>
  <c r="BKV3" i="53" a="1"/>
  <c r="QST3" i="53" a="1"/>
  <c r="WO3" i="53" a="1"/>
  <c r="NPS3" i="53" a="1"/>
  <c r="TPB3" i="53" a="1"/>
  <c r="NP3" i="53" a="1"/>
  <c r="GEA3" i="53" a="1"/>
  <c r="QFA3" i="53" a="1"/>
  <c r="CBM3" i="53" a="1"/>
  <c r="RIT3" i="53" a="1"/>
  <c r="KYC3" i="53" a="1"/>
  <c r="QJT3" i="53" a="1"/>
  <c r="CFW3" i="53" a="1"/>
  <c r="LUE3" i="53" a="1"/>
  <c r="CMN3" i="53" a="1"/>
  <c r="LOR3" i="53" a="1"/>
  <c r="GQZ3" i="53" a="1"/>
  <c r="VAK3" i="53" a="1"/>
  <c r="FNV3" i="53" a="1"/>
  <c r="JAL3" i="53" a="1"/>
  <c r="NTB3" i="53" a="1"/>
  <c r="FQF3" i="53" a="1"/>
  <c r="AET3" i="53" a="1"/>
  <c r="GYD3" i="53" a="1"/>
  <c r="SRR3" i="53" a="1"/>
  <c r="NKD3" i="53" a="1"/>
  <c r="ARS3" i="53" a="1"/>
  <c r="GIE3" i="53" a="1"/>
  <c r="JDG3" i="53" a="1"/>
  <c r="WES3" i="53" a="1"/>
  <c r="JDO3" i="53" a="1"/>
  <c r="WJG3" i="53" a="1"/>
  <c r="CEH3" i="53" a="1"/>
  <c r="AIV3" i="53" a="1"/>
  <c r="AKP3" i="53" a="1"/>
  <c r="RXM3" i="53" a="1"/>
  <c r="COD3" i="53" a="1"/>
  <c r="GEN3" i="53" a="1"/>
  <c r="ESH3" i="53" a="1"/>
  <c r="OLR3" i="53" a="1"/>
  <c r="XBW3" i="53" a="1"/>
  <c r="OBQ3" i="53" a="1"/>
  <c r="HBO3" i="53" a="1"/>
  <c r="QZL3" i="53" a="1"/>
  <c r="SA3" i="53" a="1"/>
  <c r="KSP3" i="53" a="1"/>
  <c r="SQM3" i="53" a="1"/>
  <c r="FLS3" i="53" a="1"/>
  <c r="EAG3" i="53" a="1"/>
  <c r="UZD3" i="53" a="1"/>
  <c r="PDW3" i="53" a="1"/>
  <c r="SDE3" i="53" a="1"/>
  <c r="HYS3" i="53" a="1"/>
  <c r="VYP3" i="53" a="1"/>
  <c r="CVG3" i="53" a="1"/>
  <c r="TDT3" i="53" a="1"/>
  <c r="MJJ3" i="53" a="1"/>
  <c r="PUT3" i="53" a="1"/>
  <c r="DKO3" i="53" a="1"/>
  <c r="NMW3" i="53" a="1"/>
  <c r="OI3" i="53" a="1"/>
  <c r="JZL3" i="53" a="1"/>
  <c r="SOV3" i="53" a="1"/>
  <c r="HBE3" i="53" a="1"/>
  <c r="RUN3" i="53" a="1"/>
  <c r="WCM3" i="53" a="1"/>
  <c r="NVI3" i="53" a="1"/>
  <c r="TCX3" i="53" a="1"/>
  <c r="LKX3" i="53" a="1"/>
  <c r="NJL3" i="53" a="1"/>
  <c r="FYV3" i="53" a="1"/>
  <c r="CQC3" i="53" a="1"/>
  <c r="INH3" i="53" a="1"/>
  <c r="QBK3" i="53" a="1"/>
  <c r="ECO3" i="53" a="1"/>
  <c r="CSD3" i="53" a="1"/>
  <c r="DSX3" i="53" a="1"/>
  <c r="FRH3" i="53" a="1"/>
  <c r="LWP3" i="53" a="1"/>
  <c r="BES3" i="53" a="1"/>
  <c r="GEK3" i="53" a="1"/>
  <c r="CL3" i="53" a="1"/>
  <c r="IJZ3" i="53" a="1"/>
  <c r="MSU3" i="53" a="1"/>
  <c r="AHD3" i="53" a="1"/>
  <c r="FDH3" i="53" a="1"/>
  <c r="UCV3" i="53" a="1"/>
  <c r="AKO3" i="53" a="1"/>
  <c r="IDK3" i="53" a="1"/>
  <c r="PJL3" i="53" a="1"/>
  <c r="UID3" i="53" a="1"/>
  <c r="DNG3" i="53" a="1"/>
  <c r="IGB3" i="53" a="1"/>
  <c r="PTZ3" i="53" a="1"/>
  <c r="QOY3" i="53" a="1"/>
  <c r="TEN3" i="53" a="1"/>
  <c r="ELD3" i="53" a="1"/>
  <c r="SVM3" i="53" a="1"/>
  <c r="APG3" i="53" a="1"/>
  <c r="QEH3" i="53" a="1"/>
  <c r="VMB3" i="53" a="1"/>
  <c r="THZ3" i="53" a="1"/>
  <c r="AAK3" i="53" a="1"/>
  <c r="KAP3" i="53" a="1"/>
  <c r="CZV3" i="53" a="1"/>
  <c r="LXP3" i="53" a="1"/>
  <c r="GKC3" i="53" a="1"/>
  <c r="FBV3" i="53" a="1"/>
  <c r="DZO3" i="53" a="1"/>
  <c r="QEW3" i="53" a="1"/>
  <c r="ISL3" i="53" a="1"/>
  <c r="HEE3" i="53" a="1"/>
  <c r="TTJ3" i="53" a="1"/>
  <c r="VSA3" i="53" a="1"/>
  <c r="AII3" i="53" a="1"/>
  <c r="ETU3" i="53" a="1"/>
  <c r="BRI3" i="53" a="1"/>
  <c r="JA3" i="53" a="1"/>
  <c r="EXG3" i="53" a="1"/>
  <c r="AVE3" i="53" a="1"/>
  <c r="ABA3" i="53" a="1"/>
  <c r="DVY3" i="53" a="1"/>
  <c r="AEX3" i="53" a="1"/>
  <c r="CZR3" i="53" a="1"/>
  <c r="OTQ3" i="53" a="1"/>
  <c r="HDT3" i="53" a="1"/>
  <c r="EAB3" i="53" a="1"/>
  <c r="JGE3" i="53" a="1"/>
  <c r="LNY3" i="53" a="1"/>
  <c r="IYX3" i="53" a="1"/>
  <c r="IEE3" i="53" a="1"/>
  <c r="COA3" i="53" a="1"/>
  <c r="NLF3" i="53" a="1"/>
  <c r="MQZ3" i="53" a="1"/>
  <c r="DQL3" i="53" a="1"/>
  <c r="OAP3" i="53" a="1"/>
  <c r="KHH3" i="53" a="1"/>
  <c r="FDJ3" i="53" a="1"/>
  <c r="FXT3" i="53" a="1"/>
  <c r="FBR3" i="53" a="1"/>
  <c r="CDA3" i="53" a="1"/>
  <c r="BRQ3" i="53" a="1"/>
  <c r="EUO3" i="53" a="1"/>
  <c r="SSW3" i="53" a="1"/>
  <c r="NMJ3" i="53" a="1"/>
  <c r="BVW3" i="53" a="1"/>
  <c r="HKP3" i="53" a="1"/>
  <c r="JKJ3" i="53" a="1"/>
  <c r="QDO3" i="53" a="1"/>
  <c r="RWM3" i="53" a="1"/>
  <c r="ITN3" i="53" a="1"/>
  <c r="RMV3" i="53" a="1"/>
  <c r="BZR3" i="53" a="1"/>
  <c r="ROA3" i="53" a="1"/>
  <c r="VMU3" i="53" a="1"/>
  <c r="REO3" i="53" a="1"/>
  <c r="NQG3" i="53" a="1"/>
  <c r="CQG3" i="53" a="1"/>
  <c r="GUM3" i="53" a="1"/>
  <c r="UZO3" i="53" a="1"/>
  <c r="QRQ3" i="53" a="1"/>
  <c r="INC3" i="53" a="1"/>
  <c r="AKX3" i="53" a="1"/>
  <c r="BEY3" i="53" a="1"/>
  <c r="RH3" i="53" a="1"/>
  <c r="RVY3" i="53" a="1"/>
  <c r="QTS3" i="53" a="1"/>
  <c r="HJV3" i="53" a="1"/>
  <c r="CUT3" i="53" a="1"/>
  <c r="CKL3" i="53" a="1"/>
  <c r="KMT3" i="53" a="1"/>
  <c r="DQT3" i="53" a="1"/>
  <c r="XBM3" i="53" a="1"/>
  <c r="JKO3" i="53" a="1"/>
  <c r="DDV3" i="53" a="1"/>
  <c r="WPP3" i="53" a="1"/>
  <c r="ARD3" i="53" a="1"/>
  <c r="BUP3" i="53" a="1"/>
  <c r="INY3" i="53" a="1"/>
  <c r="VEP3" i="53" a="1"/>
  <c r="SOJ3" i="53" a="1"/>
  <c r="GQ3" i="53" a="1"/>
  <c r="LTZ3" i="53" a="1"/>
  <c r="NZ3" i="53" a="1"/>
  <c r="EWX3" i="53" a="1"/>
  <c r="VMA3" i="53" a="1"/>
  <c r="WLL3" i="53" a="1"/>
  <c r="NFB3" i="53" a="1"/>
  <c r="TRV3" i="53" a="1"/>
  <c r="RRS3" i="53" a="1"/>
  <c r="ETZ3" i="53" a="1"/>
  <c r="JDN3" i="53" a="1"/>
  <c r="BKU3" i="53" a="1"/>
  <c r="DWV3" i="53" a="1"/>
  <c r="TTU3" i="53" a="1"/>
  <c r="WWS3" i="53" a="1"/>
  <c r="JPJ3" i="53" a="1"/>
  <c r="QD3" i="53" a="1"/>
  <c r="BKS3" i="53" a="1"/>
  <c r="LSO3" i="53" a="1"/>
  <c r="IZG3" i="53" a="1"/>
  <c r="DPN3" i="53" a="1"/>
  <c r="JDZ3" i="53" a="1"/>
  <c r="NYE3" i="53" a="1"/>
  <c r="TFI3" i="53" a="1"/>
  <c r="UGP3" i="53" a="1"/>
  <c r="SIQ3" i="53" a="1"/>
  <c r="OCK3" i="53" a="1"/>
  <c r="AYC3" i="53" a="1"/>
  <c r="MPA3" i="53" a="1"/>
  <c r="WEJ3" i="53" a="1"/>
  <c r="NLD3" i="53" a="1"/>
  <c r="IQO3" i="53" a="1"/>
  <c r="QDB3" i="53" a="1"/>
  <c r="KIN3" i="53" a="1"/>
  <c r="HYC3" i="53" a="1"/>
  <c r="TUG3" i="53" a="1"/>
  <c r="EJF3" i="53" a="1"/>
  <c r="IN3" i="53" a="1"/>
  <c r="LDF3" i="53" a="1"/>
  <c r="BS3" i="53" a="1"/>
  <c r="JCS3" i="53" a="1"/>
  <c r="JKS3" i="53" a="1"/>
  <c r="MTQ3" i="53" a="1"/>
  <c r="A3" i="31" a="1"/>
  <c r="KJJ3" i="53" a="1"/>
  <c r="JEV3" i="53" a="1"/>
  <c r="FWZ3" i="53" a="1"/>
  <c r="RKF3" i="53" a="1"/>
  <c r="TNX3" i="53" a="1"/>
  <c r="QJX3" i="53" a="1"/>
  <c r="WZ3" i="53" a="1"/>
  <c r="KBB3" i="53" a="1"/>
  <c r="TOA3" i="53" a="1"/>
  <c r="QPV3" i="53" a="1"/>
  <c r="QHI3" i="53" a="1"/>
  <c r="CNI3" i="53" a="1"/>
  <c r="MEB3" i="53" a="1"/>
  <c r="HHT3" i="53" a="1"/>
  <c r="CVY3" i="53" a="1"/>
  <c r="MST3" i="53" a="1"/>
  <c r="HYH3" i="53" a="1"/>
  <c r="VGC3" i="53" a="1"/>
  <c r="EIO3" i="53" a="1"/>
  <c r="FGC3" i="53" a="1"/>
  <c r="PBE3" i="53" a="1"/>
  <c r="CBS3" i="53" a="1"/>
  <c r="SWV3" i="53" a="1"/>
  <c r="ARO3" i="53" a="1"/>
  <c r="RDZ3" i="53" a="1"/>
  <c r="KST3" i="53" a="1"/>
  <c r="FGL3" i="53" a="1"/>
  <c r="IIT3" i="53" a="1"/>
  <c r="DEV3" i="53" a="1"/>
  <c r="QXN3" i="53" a="1"/>
  <c r="ESV3" i="53" a="1"/>
  <c r="S3" i="53" a="1"/>
  <c r="GGZ3" i="53" a="1"/>
  <c r="BET3" i="53" a="1"/>
  <c r="GOY3" i="53" a="1"/>
  <c r="EKX3" i="53" a="1"/>
  <c r="IGF3" i="53" a="1"/>
  <c r="BGP3" i="53" a="1"/>
  <c r="BGQ3" i="53" a="1"/>
  <c r="PBF3" i="53" a="1"/>
  <c r="JUG3" i="53" a="1"/>
  <c r="BPT3" i="53" a="1"/>
  <c r="FMF3" i="53" a="1"/>
  <c r="JJJ3" i="53" a="1"/>
  <c r="SJF3" i="53" a="1"/>
  <c r="TFL3" i="53" a="1"/>
  <c r="IEF3" i="53" a="1"/>
  <c r="RFR3" i="53" a="1"/>
  <c r="Y3" i="53" a="1"/>
  <c r="COU3" i="53" a="1"/>
  <c r="VQA3" i="53" a="1"/>
  <c r="TJY3" i="53" a="1"/>
  <c r="PXL3" i="53" a="1"/>
  <c r="BTH3" i="53" a="1"/>
  <c r="DMF3" i="53" a="1"/>
  <c r="IDJ3" i="53" a="1"/>
  <c r="UKT3" i="53" a="1"/>
  <c r="TNA3" i="53" a="1"/>
  <c r="TWC3" i="53" a="1"/>
  <c r="SUF3" i="53" a="1"/>
  <c r="QCP3" i="53" a="1"/>
  <c r="KTL3" i="53" a="1"/>
  <c r="KKV3" i="53" a="1"/>
  <c r="IOW3" i="53" a="1"/>
  <c r="FHG3" i="53" a="1"/>
  <c r="IQJ3" i="53" a="1"/>
  <c r="KDE3" i="53" a="1"/>
  <c r="ANC3" i="53" a="1"/>
  <c r="UIE3" i="53" a="1"/>
  <c r="GUU3" i="53" a="1"/>
  <c r="QIW3" i="53" a="1"/>
  <c r="QUD3" i="53" a="1"/>
  <c r="CIU3" i="53" a="1"/>
  <c r="IJS3" i="53" a="1"/>
  <c r="UNM3" i="53" a="1"/>
  <c r="QPU3" i="53" a="1"/>
  <c r="DYK3" i="53" a="1"/>
  <c r="GAY3" i="53" a="1"/>
  <c r="PUD3" i="53" a="1"/>
  <c r="SPJ3" i="53" a="1"/>
  <c r="ROG3" i="53" a="1"/>
  <c r="NKP3" i="53" a="1"/>
  <c r="JPU3" i="53" a="1"/>
  <c r="HHE3" i="53" a="1"/>
  <c r="NQD3" i="53" a="1"/>
  <c r="QPF3" i="53" a="1"/>
  <c r="JBY3" i="53" a="1"/>
  <c r="RBA3" i="53" a="1"/>
  <c r="TLE3" i="53" a="1"/>
  <c r="MC3" i="53" a="1"/>
  <c r="TWX3" i="53" a="1"/>
  <c r="PHN3" i="53" a="1"/>
  <c r="DDA3" i="53" a="1"/>
  <c r="RFU3" i="53" a="1"/>
  <c r="ZL3" i="53" a="1"/>
  <c r="IPY3" i="53" a="1"/>
  <c r="KEH3" i="53" a="1"/>
  <c r="LKA3" i="53" a="1"/>
  <c r="NFJ3" i="53" a="1"/>
  <c r="LPX3" i="53" a="1"/>
  <c r="NSS3" i="53" a="1"/>
  <c r="WNF3" i="53" a="1"/>
  <c r="JGO3" i="53" a="1"/>
  <c r="BXJ3" i="53" a="1"/>
  <c r="FRS3" i="53" a="1"/>
  <c r="ULZ3" i="53" a="1"/>
  <c r="IDZ3" i="53" a="1"/>
  <c r="KVI3" i="53" a="1"/>
  <c r="DKG3" i="53" a="1"/>
  <c r="AJZ3" i="53" a="1"/>
  <c r="OYI3" i="53" a="1"/>
  <c r="ERJ3" i="53" a="1"/>
  <c r="EPE3" i="53" a="1"/>
  <c r="UNS3" i="53" a="1"/>
  <c r="BXW3" i="53" a="1"/>
  <c r="COY3" i="53" a="1"/>
  <c r="OWD3" i="53" a="1"/>
  <c r="IGY3" i="53" a="1"/>
  <c r="BER3" i="53" a="1"/>
  <c r="RMX3" i="53" a="1"/>
  <c r="SGQ3" i="53" a="1"/>
  <c r="KDZ3" i="53" a="1"/>
  <c r="EHL3" i="53" a="1"/>
  <c r="SPK3" i="53" a="1"/>
  <c r="SC3" i="53" a="1"/>
  <c r="ZC3" i="53" a="1"/>
  <c r="ILZ3" i="53" a="1"/>
  <c r="LRO3" i="53" a="1"/>
  <c r="JRD3" i="53" a="1"/>
  <c r="PXN3" i="53" a="1"/>
  <c r="GEU3" i="53" a="1"/>
  <c r="QRC3" i="53" a="1"/>
  <c r="MCY3" i="53" a="1"/>
  <c r="IHC3" i="53" a="1"/>
  <c r="MTG3" i="53" a="1"/>
  <c r="WVF3" i="53" a="1"/>
  <c r="GWV3" i="53" a="1"/>
  <c r="EJ3" i="53" a="1"/>
  <c r="AKD3" i="53" a="1"/>
  <c r="JWS3" i="53" a="1"/>
  <c r="WFF3" i="53" a="1"/>
  <c r="INF3" i="53" a="1"/>
  <c r="PFQ3" i="53" a="1"/>
  <c r="QQ3" i="53" a="1"/>
  <c r="EWM3" i="53" a="1"/>
  <c r="AJY3" i="53" a="1"/>
  <c r="BJU3" i="53" a="1"/>
  <c r="OZM3" i="53" a="1"/>
  <c r="MWT3" i="53" a="1"/>
  <c r="GYZ3" i="53" a="1"/>
  <c r="TRX3" i="53" a="1"/>
  <c r="CBF3" i="53" a="1"/>
  <c r="WBI3" i="53" a="1"/>
  <c r="B3" i="2" a="1"/>
  <c r="PMC3" i="53" a="1"/>
  <c r="EXW3" i="53" a="1"/>
  <c r="PDS3" i="53" a="1"/>
  <c r="DFK3" i="53" a="1"/>
  <c r="LAE3" i="53" a="1"/>
  <c r="TVM3" i="53" a="1"/>
  <c r="AOD3" i="53" a="1"/>
  <c r="LFU3" i="53" a="1"/>
  <c r="OLX3" i="53" a="1"/>
  <c r="MBR3" i="53" a="1"/>
  <c r="GDU3" i="53" a="1"/>
  <c r="VCG3" i="53" a="1"/>
  <c r="EBY3" i="53" a="1"/>
  <c r="FVH3" i="53" a="1"/>
  <c r="LKB3" i="53" a="1"/>
  <c r="LKV3" i="53" a="1"/>
  <c r="AYB3" i="53" a="1"/>
  <c r="WMK3" i="53" a="1"/>
  <c r="IFQ3" i="53" a="1"/>
  <c r="DMY3" i="53" a="1"/>
  <c r="AQJ3" i="53" a="1"/>
  <c r="JTR3" i="53" a="1"/>
  <c r="PCV3" i="53" a="1"/>
  <c r="AHI3" i="53" a="1"/>
  <c r="TRS3" i="53" a="1"/>
  <c r="QCX3" i="53" a="1"/>
  <c r="RDQ3" i="53" a="1"/>
  <c r="TS3" i="53" a="1"/>
  <c r="JGA3" i="53" a="1"/>
  <c r="WGA3" i="53" a="1"/>
  <c r="ELG3" i="53" a="1"/>
  <c r="KOH3" i="53" a="1"/>
  <c r="FVQ3" i="53" a="1"/>
  <c r="WNP3" i="53" a="1"/>
  <c r="KES3" i="53" a="1"/>
  <c r="NIR3" i="53" a="1"/>
  <c r="BGD3" i="53" a="1"/>
  <c r="SRK3" i="53" a="1"/>
  <c r="CH3" i="53" a="1"/>
  <c r="QLD3" i="53" a="1"/>
  <c r="JWA3" i="53" a="1"/>
  <c r="SUR3" i="53" a="1"/>
  <c r="RLZ3" i="53" a="1"/>
  <c r="AWR3" i="53" a="1"/>
  <c r="ISC3" i="53" a="1"/>
  <c r="PDH3" i="53" a="1"/>
  <c r="GUI3" i="53" a="1"/>
  <c r="KAD3" i="53" a="1"/>
  <c r="FVK3" i="53" a="1"/>
  <c r="ADG3" i="53" a="1"/>
  <c r="OIL3" i="53" a="1"/>
  <c r="HOX3" i="53" a="1"/>
  <c r="IVP3" i="53" a="1"/>
  <c r="NHZ3" i="53" a="1"/>
  <c r="PVA3" i="53" a="1"/>
  <c r="DAJ3" i="53" a="1"/>
  <c r="KQG3" i="53" a="1"/>
  <c r="PD3" i="53" a="1"/>
  <c r="PCP3" i="53" a="1"/>
  <c r="GGQ3" i="53" a="1"/>
  <c r="JWD3" i="53" a="1"/>
  <c r="HUB3" i="53" a="1"/>
  <c r="JBK3" i="53" a="1"/>
  <c r="NTM3" i="53" a="1"/>
  <c r="TIZ3" i="53" a="1"/>
  <c r="PEH3" i="53" a="1"/>
  <c r="PQP3" i="53" a="1"/>
  <c r="FRB3" i="53" a="1"/>
  <c r="BOQ3" i="53" a="1"/>
  <c r="FQB3" i="53" a="1"/>
  <c r="WRV3" i="53" a="1"/>
  <c r="CQQ3" i="53" a="1"/>
  <c r="HFF3" i="53" a="1"/>
  <c r="NUO3" i="53" a="1"/>
  <c r="MNW3" i="53" a="1"/>
  <c r="TGK3" i="53" a="1"/>
  <c r="EOZ3" i="53" a="1"/>
  <c r="NVH3" i="53" a="1"/>
  <c r="SEB3" i="53" a="1"/>
  <c r="PDJ3" i="53" a="1"/>
  <c r="KUI3" i="53" a="1"/>
  <c r="SAM3" i="53" a="1"/>
  <c r="CSS3" i="53" a="1"/>
  <c r="F34" i="53" a="1"/>
  <c r="PSY3" i="53" a="1"/>
  <c r="JOP3" i="53" a="1"/>
  <c r="KFZ3" i="53" a="1"/>
  <c r="XEQ3" i="53" a="1"/>
  <c r="EEU3" i="53" a="1"/>
  <c r="IYD3" i="53" a="1"/>
  <c r="GET3" i="53" a="1"/>
  <c r="EX3" i="53" a="1"/>
  <c r="HBZ3" i="53" a="1"/>
  <c r="B3" i="15" a="1"/>
  <c r="LJU3" i="53" a="1"/>
  <c r="LAM3" i="53" a="1"/>
  <c r="NNU3" i="53" a="1"/>
  <c r="CKK3" i="53" a="1"/>
  <c r="RFD3" i="53" a="1"/>
  <c r="SXC3" i="53" a="1"/>
  <c r="QOR3" i="53" a="1"/>
  <c r="HBR3" i="53" a="1"/>
  <c r="NR3" i="53" a="1"/>
  <c r="TOW3" i="53" a="1"/>
  <c r="NOG3" i="53" a="1"/>
  <c r="NAO3" i="53" a="1"/>
  <c r="KPB3" i="53" a="1"/>
  <c r="RHW3" i="53" a="1"/>
  <c r="IJC3" i="53" a="1"/>
  <c r="HRI3" i="53" a="1"/>
  <c r="KHN3" i="53" a="1"/>
  <c r="TGP3" i="53" a="1"/>
  <c r="IIM3" i="53" a="1"/>
  <c r="GLB3" i="53" a="1"/>
  <c r="CHF3" i="53" a="1"/>
  <c r="BTM3" i="53" a="1"/>
  <c r="ADC3" i="53" a="1"/>
  <c r="RMS3" i="53" a="1"/>
  <c r="LXX3" i="53" a="1"/>
  <c r="LUH3" i="53" a="1"/>
  <c r="GZM3" i="53" a="1"/>
  <c r="IKQ3" i="53" a="1"/>
  <c r="SHD3" i="53" a="1"/>
  <c r="JHZ3" i="53" a="1"/>
  <c r="KWW3" i="53" a="1"/>
  <c r="RMO3" i="53" a="1"/>
  <c r="SIE3" i="53" a="1"/>
  <c r="BGV3" i="53" a="1"/>
  <c r="JDV3" i="53" a="1"/>
  <c r="RQH3" i="53" a="1"/>
  <c r="EZO3" i="53" a="1"/>
  <c r="VLX3" i="53" a="1"/>
  <c r="EVN3" i="53" a="1"/>
  <c r="FYG3" i="53" a="1"/>
  <c r="FXX3" i="53" a="1"/>
  <c r="VHO3" i="53" a="1"/>
  <c r="CPF3" i="53" a="1"/>
  <c r="UB3" i="53" a="1"/>
  <c r="CCK3" i="53" a="1"/>
  <c r="TZD3" i="53" a="1"/>
  <c r="TPN3" i="53" a="1"/>
  <c r="HOG3" i="53" a="1"/>
  <c r="CZH3" i="53" a="1"/>
  <c r="NYA3" i="53" a="1"/>
  <c r="EGT3" i="53" a="1"/>
  <c r="KJC3" i="53" a="1"/>
  <c r="FSK3" i="53" a="1"/>
  <c r="RQV3" i="53" a="1"/>
  <c r="OZK3" i="53" a="1"/>
  <c r="RTY3" i="53" a="1"/>
  <c r="AMM3" i="53" a="1"/>
  <c r="ABE3" i="53" a="1"/>
  <c r="IYK3" i="53" a="1"/>
  <c r="NAK3" i="53" a="1"/>
  <c r="JUR3" i="53" a="1"/>
  <c r="IUU3" i="53" a="1"/>
  <c r="LSY3" i="53" a="1"/>
  <c r="DYY3" i="53" a="1"/>
  <c r="PPX3" i="53" a="1"/>
  <c r="CHB3" i="53" a="1"/>
  <c r="EDV3" i="53" a="1"/>
  <c r="GEC3" i="53" a="1"/>
  <c r="BVR3" i="53" a="1"/>
  <c r="NOR3" i="53" a="1"/>
  <c r="QGR3" i="53" a="1"/>
  <c r="MXM3" i="53" a="1"/>
  <c r="FEC3" i="53" a="1"/>
  <c r="EYL3" i="53" a="1"/>
  <c r="RBU3" i="53" a="1"/>
  <c r="AVT3" i="53" a="1"/>
  <c r="PQI3" i="53" a="1"/>
  <c r="DR3" i="53" a="1"/>
  <c r="LXQ3" i="53" a="1"/>
  <c r="GDR3" i="53" a="1"/>
  <c r="SHO3" i="53" a="1"/>
  <c r="QCC3" i="53" a="1"/>
  <c r="MMT3" i="53" a="1"/>
  <c r="VDV3" i="53" a="1"/>
  <c r="TMZ3" i="53" a="1"/>
  <c r="HYP3" i="53" a="1"/>
  <c r="ESG3" i="53" a="1"/>
  <c r="REH3" i="53" a="1"/>
  <c r="RLV3" i="53" a="1"/>
  <c r="GYI3" i="53" a="1"/>
  <c r="JBL3" i="53" a="1"/>
  <c r="PVH3" i="53" a="1"/>
  <c r="CED3" i="53" a="1"/>
  <c r="APJ3" i="53" a="1"/>
  <c r="GON3" i="53" a="1"/>
  <c r="MUY3" i="53" a="1"/>
  <c r="POS3" i="53" a="1"/>
  <c r="BHP3" i="53" a="1"/>
  <c r="ZO3" i="53" a="1"/>
  <c r="IJA3" i="53" a="1"/>
  <c r="SB3" i="53" a="1"/>
  <c r="B3" i="27" a="1"/>
  <c r="XI3" i="53" a="1"/>
  <c r="CEJ3" i="53" a="1"/>
  <c r="BNE3" i="53" a="1"/>
  <c r="OXM3" i="53" a="1"/>
  <c r="KNV3" i="53" a="1"/>
  <c r="VLK3" i="53" a="1"/>
  <c r="VRQ3" i="53" a="1"/>
  <c r="MQT3" i="53" a="1"/>
  <c r="VYO3" i="53" a="1"/>
  <c r="LIM3" i="53" a="1"/>
  <c r="CLU3" i="53" a="1"/>
  <c r="OBC3" i="53" a="1"/>
  <c r="FYM3" i="53" a="1"/>
  <c r="ITR3" i="53" a="1"/>
  <c r="STT3" i="53" a="1"/>
  <c r="QHB3" i="53" a="1"/>
  <c r="MLI3" i="53" a="1"/>
  <c r="EEL3" i="53" a="1"/>
  <c r="ITJ3" i="53" a="1"/>
  <c r="DQA3" i="53" a="1"/>
  <c r="JLX3" i="53" a="1"/>
  <c r="CPE3" i="53" a="1"/>
  <c r="LDZ3" i="53" a="1"/>
  <c r="BXE3" i="53" a="1"/>
  <c r="LOX3" i="53" a="1"/>
  <c r="OPM3" i="53" a="1"/>
  <c r="EZJ3" i="53" a="1"/>
  <c r="NAA3" i="53" a="1"/>
  <c r="TOK3" i="53" a="1"/>
  <c r="SCJ3" i="53" a="1"/>
  <c r="CHE3" i="53" a="1"/>
  <c r="IUM3" i="53" a="1"/>
  <c r="NXA3" i="53" a="1"/>
  <c r="TKJ3" i="53" a="1"/>
  <c r="GTG3" i="53" a="1"/>
  <c r="LWI3" i="53" a="1"/>
  <c r="ONZ3" i="53" a="1"/>
  <c r="PHH3" i="53" a="1"/>
  <c r="EKZ3" i="53" a="1"/>
  <c r="SJI3" i="53" a="1"/>
  <c r="MZ3" i="53" a="1"/>
  <c r="BSS3" i="53" a="1"/>
  <c r="MUJ3" i="53" a="1"/>
  <c r="FDW3" i="53" a="1"/>
  <c r="VCW3" i="53" a="1"/>
  <c r="ONM3" i="53" a="1"/>
  <c r="DVC3" i="53" a="1"/>
  <c r="KVF3" i="53" a="1"/>
  <c r="HLZ3" i="53" a="1"/>
  <c r="MY3" i="53" a="1"/>
  <c r="GGD3" i="53" a="1"/>
  <c r="DLN3" i="53" a="1"/>
  <c r="KWU3" i="53" a="1"/>
  <c r="IXM3" i="53" a="1"/>
  <c r="BIZ3" i="53" a="1"/>
  <c r="BRU3" i="53" a="1"/>
  <c r="FIL3" i="53" a="1"/>
  <c r="GHX3" i="53" a="1"/>
  <c r="AMF3" i="53" a="1"/>
  <c r="WPH3" i="53" a="1"/>
  <c r="HFC3" i="53" a="1"/>
  <c r="SEU3" i="53" a="1"/>
  <c r="AHL3" i="53" a="1"/>
  <c r="SYD3" i="53" a="1"/>
  <c r="UQI3" i="53" a="1"/>
  <c r="QUN3" i="53" a="1"/>
  <c r="ULY3" i="53" a="1"/>
  <c r="VQB3" i="53" a="1"/>
  <c r="GMC3" i="53" a="1"/>
  <c r="PXZ3" i="53" a="1"/>
  <c r="LBS3" i="53" a="1"/>
  <c r="PBT3" i="53" a="1"/>
  <c r="ETP3" i="53" a="1"/>
  <c r="PLV3" i="53" a="1"/>
  <c r="TKD3" i="53" a="1"/>
  <c r="PQC3" i="53" a="1"/>
  <c r="EHY3" i="53" a="1"/>
  <c r="NPI3" i="53" a="1"/>
  <c r="OPR3" i="53" a="1"/>
  <c r="ECI3" i="53" a="1"/>
  <c r="IGG3" i="53" a="1"/>
  <c r="WVE3" i="53" a="1"/>
  <c r="TVI3" i="53" a="1"/>
  <c r="AOU3" i="53" a="1"/>
  <c r="BDM3" i="53" a="1"/>
  <c r="SDY3" i="53" a="1"/>
  <c r="WXC3" i="53" a="1"/>
  <c r="MSL3" i="53" a="1"/>
  <c r="PPM3" i="53" a="1"/>
  <c r="GLS3" i="53" a="1"/>
  <c r="OVF3" i="53" a="1"/>
  <c r="HZY3" i="53" a="1"/>
  <c r="LGC3" i="53" a="1"/>
  <c r="RMB3" i="53" a="1"/>
  <c r="JBH3" i="53" a="1"/>
  <c r="IVF3" i="53" a="1"/>
  <c r="FVW3" i="53" a="1"/>
  <c r="BTJ3" i="53" a="1"/>
  <c r="CQR3" i="53" a="1"/>
  <c r="DPF3" i="53" a="1"/>
  <c r="IZX3" i="53" a="1"/>
  <c r="KDD3" i="53" a="1"/>
  <c r="ACU3" i="53" a="1"/>
  <c r="BSX3" i="53" a="1"/>
  <c r="BWQ3" i="53" a="1"/>
  <c r="DAQ3" i="53" a="1"/>
  <c r="QSZ3" i="53" a="1"/>
  <c r="PI3" i="53" a="1"/>
  <c r="PKN3" i="53" a="1"/>
  <c r="UHO3" i="53" a="1"/>
  <c r="SLI3" i="53" a="1"/>
  <c r="WDP3" i="53" a="1"/>
  <c r="IVA3" i="53" a="1"/>
  <c r="BHA3" i="53" a="1"/>
  <c r="ORM3" i="53" a="1"/>
  <c r="WLP3" i="53" a="1"/>
  <c r="H3" i="27" a="1"/>
  <c r="EV3" i="53" a="1"/>
  <c r="DRD3" i="53" a="1"/>
  <c r="FPH3" i="53" a="1"/>
  <c r="URN3" i="53" a="1"/>
  <c r="ONN3" i="53" a="1"/>
  <c r="TLU3" i="53" a="1"/>
  <c r="BXN3" i="53" a="1"/>
  <c r="RER3" i="53" a="1"/>
  <c r="QQU3" i="53" a="1"/>
  <c r="ZJ3" i="53" a="1"/>
  <c r="COT3" i="53" a="1"/>
  <c r="CPP3" i="53" a="1"/>
  <c r="WX3" i="53" a="1"/>
  <c r="HMW3" i="53" a="1"/>
  <c r="SUJ3" i="53" a="1"/>
  <c r="UOF3" i="53" a="1"/>
  <c r="F3" i="26" a="1"/>
  <c r="E12" i="53" a="1"/>
  <c r="KSY3" i="53" a="1"/>
  <c r="AXQ3" i="53" a="1"/>
  <c r="RGB3" i="53" a="1"/>
  <c r="EKS3" i="53" a="1"/>
  <c r="EXI3" i="53" a="1"/>
  <c r="BJQ3" i="53" a="1"/>
  <c r="QSK3" i="53" a="1"/>
  <c r="EGF3" i="53" a="1"/>
  <c r="EB3" i="53" a="1"/>
  <c r="FCK3" i="53" a="1"/>
  <c r="MXS3" i="53" a="1"/>
  <c r="SSY3" i="53" a="1"/>
  <c r="QKA3" i="53" a="1"/>
  <c r="VOZ3" i="53" a="1"/>
  <c r="BFQ3" i="53" a="1"/>
  <c r="MHX3" i="53" a="1"/>
  <c r="REL3" i="53" a="1"/>
  <c r="MJH3" i="53" a="1"/>
  <c r="MNB3" i="53" a="1"/>
  <c r="CQY3" i="53" a="1"/>
  <c r="CHW3" i="53" a="1"/>
  <c r="LUI3" i="53" a="1"/>
  <c r="GZQ3" i="53" a="1"/>
  <c r="SRT3" i="53" a="1"/>
  <c r="PWY3" i="53" a="1"/>
  <c r="LOI3" i="53" a="1"/>
  <c r="DBX3" i="53" a="1"/>
  <c r="ZA3" i="53" a="1"/>
  <c r="GSO3" i="53" a="1"/>
  <c r="JCB3" i="53" a="1"/>
  <c r="OMT3" i="53" a="1"/>
  <c r="LMO3" i="53" a="1"/>
  <c r="KXA3" i="53" a="1"/>
  <c r="VCL3" i="53" a="1"/>
  <c r="BYP3" i="53" a="1"/>
  <c r="NQF3" i="53" a="1"/>
  <c r="VIG3" i="53" a="1"/>
  <c r="IWZ3" i="53" a="1"/>
  <c r="CDD3" i="53" a="1"/>
  <c r="KZ3" i="53" a="1"/>
  <c r="MUI3" i="53" a="1"/>
  <c r="VPL3" i="53" a="1"/>
  <c r="APX3" i="53" a="1"/>
  <c r="RGT3" i="53" a="1"/>
  <c r="UBG3" i="53" a="1"/>
  <c r="VCS3" i="53" a="1"/>
  <c r="CYC3" i="53" a="1"/>
  <c r="MYR3" i="53" a="1"/>
  <c r="PFE3" i="53" a="1"/>
  <c r="KHE3" i="53" a="1"/>
  <c r="JAS3" i="53" a="1"/>
  <c r="BFJ3" i="53" a="1"/>
  <c r="JSD3" i="53" a="1"/>
  <c r="TMV3" i="53" a="1"/>
  <c r="HAF3" i="53" a="1"/>
  <c r="CVZ3" i="53" a="1"/>
  <c r="FTP3" i="53" a="1"/>
  <c r="NIO3" i="53" a="1"/>
  <c r="BUC3" i="53" a="1"/>
  <c r="LLY3" i="53" a="1"/>
  <c r="KEX3" i="53" a="1"/>
  <c r="OBJ3" i="53" a="1"/>
  <c r="EYE3" i="53" a="1"/>
  <c r="HSY3" i="53" a="1"/>
  <c r="MHO3" i="53" a="1"/>
  <c r="BOK3" i="53" a="1"/>
  <c r="UEN3" i="53" a="1"/>
  <c r="KKP3" i="53" a="1"/>
  <c r="DJZ3" i="53" a="1"/>
  <c r="EOP3" i="53" a="1"/>
  <c r="PLH3" i="53" a="1"/>
  <c r="IFR3" i="53" a="1"/>
  <c r="FI3" i="53" a="1"/>
  <c r="POA3" i="53" a="1"/>
  <c r="MKB3" i="53" a="1"/>
  <c r="SGF3" i="53" a="1"/>
  <c r="JRZ3" i="53" a="1"/>
  <c r="LY3" i="53" a="1"/>
  <c r="GJQ3" i="53" a="1"/>
  <c r="ALA3" i="53" a="1"/>
  <c r="EQY3" i="53" a="1"/>
  <c r="OQ3" i="53" a="1"/>
  <c r="GXF3" i="53" a="1"/>
  <c r="FAF3" i="53" a="1"/>
  <c r="MUB3" i="53" a="1"/>
  <c r="DM3" i="53" a="1"/>
  <c r="OFN3" i="53" a="1"/>
  <c r="HVP3" i="53" a="1"/>
  <c r="VHA3" i="53" a="1"/>
  <c r="WDT3" i="53" a="1"/>
  <c r="WSD3" i="53" a="1"/>
  <c r="PXS3" i="53" a="1"/>
  <c r="SQG3" i="53" a="1"/>
  <c r="ATK3" i="53" a="1"/>
  <c r="K3" i="53" a="1"/>
  <c r="BLU3" i="53" a="1"/>
  <c r="RDE3" i="53" a="1"/>
  <c r="PMI3" i="53" a="1"/>
  <c r="MAM3" i="53" a="1"/>
  <c r="DQW3" i="53" a="1"/>
  <c r="BPE3" i="53" a="1"/>
  <c r="JUQ3" i="53" a="1"/>
  <c r="CTJ3" i="53" a="1"/>
  <c r="IGX3" i="53" a="1"/>
  <c r="DZJ3" i="53" a="1"/>
  <c r="CW3" i="53" a="1"/>
  <c r="HCV3" i="53" a="1"/>
  <c r="PAM3" i="53" a="1"/>
  <c r="CMO3" i="53" a="1"/>
  <c r="LQB3" i="53" a="1"/>
  <c r="ECW3" i="53" a="1"/>
  <c r="NRJ3" i="53" a="1"/>
  <c r="VPC3" i="53" a="1"/>
  <c r="VGM3" i="53" a="1"/>
  <c r="NNV3" i="53" a="1"/>
  <c r="OF3" i="53" a="1"/>
  <c r="MJX3" i="53" a="1"/>
  <c r="SIR3" i="53" a="1"/>
  <c r="IRN3" i="53" a="1"/>
  <c r="UCO3" i="53" a="1"/>
  <c r="LIY3" i="53" a="1"/>
  <c r="TYJ3" i="53" a="1"/>
  <c r="RJD3" i="53" a="1"/>
  <c r="DUL3" i="53" a="1"/>
  <c r="ILV3" i="53" a="1"/>
  <c r="SIN3" i="53" a="1"/>
  <c r="FRV3" i="53" a="1"/>
  <c r="NPT3" i="53" a="1"/>
  <c r="SSI3" i="53" a="1"/>
  <c r="UEI3" i="53" a="1"/>
  <c r="EYD3" i="53" a="1"/>
  <c r="GIH3" i="53" a="1"/>
  <c r="MQP3" i="53" a="1"/>
  <c r="TDO3" i="53" a="1"/>
  <c r="JB3" i="53" a="1"/>
  <c r="BPZ3" i="53" a="1"/>
  <c r="CR3" i="53" a="1"/>
  <c r="BJA3" i="53" a="1"/>
  <c r="EBV3" i="53" a="1"/>
  <c r="CFD3" i="53" a="1"/>
  <c r="SAW3" i="53" a="1"/>
  <c r="CUD3" i="53" a="1"/>
  <c r="ANN3" i="53" a="1"/>
  <c r="LAQ3" i="53" a="1"/>
  <c r="DIF3" i="53" a="1"/>
  <c r="BVD3" i="53" a="1"/>
  <c r="DKU3" i="53" a="1"/>
  <c r="MFU3" i="53" a="1"/>
  <c r="AEV3" i="53" a="1"/>
  <c r="EZE3" i="53" a="1"/>
  <c r="AZZ3" i="53" a="1"/>
  <c r="APF3" i="53" a="1"/>
  <c r="BDL3" i="53" a="1"/>
  <c r="OFC3" i="53" a="1"/>
  <c r="CIS3" i="53" a="1"/>
  <c r="LAJ3" i="53" a="1"/>
  <c r="VRV3" i="53" a="1"/>
  <c r="DNL3" i="53" a="1"/>
  <c r="CFC3" i="53" a="1"/>
  <c r="BKK3" i="53" a="1"/>
  <c r="ARI3" i="53" a="1"/>
  <c r="BCM3" i="53" a="1"/>
  <c r="MBT3" i="53" a="1"/>
  <c r="CAI3" i="53" a="1"/>
  <c r="DNA3" i="53" a="1"/>
  <c r="PBP3" i="53" a="1"/>
  <c r="MOJ3" i="53" a="1"/>
  <c r="GIT3" i="53" a="1"/>
  <c r="RXE3" i="53" a="1"/>
  <c r="ID3" i="53" a="1"/>
  <c r="LPD3" i="53" a="1"/>
  <c r="EYT3" i="53" a="1"/>
  <c r="SYI3" i="53" a="1"/>
  <c r="SKE3" i="53" a="1"/>
  <c r="FND3" i="53" a="1"/>
  <c r="CUI3" i="53" a="1"/>
  <c r="IBG3" i="53" a="1"/>
  <c r="AKJ3" i="53" a="1"/>
  <c r="LOC3" i="53" a="1"/>
  <c r="MXN3" i="53" a="1"/>
  <c r="D3" i="49" a="1"/>
  <c r="MRB3" i="53" a="1"/>
  <c r="FGN3" i="53" a="1"/>
  <c r="MKA3" i="53" a="1"/>
  <c r="HEF3" i="53" a="1"/>
  <c r="RSW3" i="53" a="1"/>
  <c r="OAK3" i="53" a="1"/>
  <c r="TLD3" i="53" a="1"/>
  <c r="EZT3" i="53" a="1"/>
  <c r="KRG3" i="53" a="1"/>
  <c r="NLW3" i="53" a="1"/>
  <c r="CZW3" i="53" a="1"/>
  <c r="IEV3" i="53" a="1"/>
  <c r="BQP3" i="53" a="1"/>
  <c r="QKR3" i="53" a="1"/>
  <c r="DYH3" i="53" a="1"/>
  <c r="BIN3" i="53" a="1"/>
  <c r="SBW3" i="53" a="1"/>
  <c r="SUQ3" i="53" a="1"/>
  <c r="WNX3" i="53" a="1"/>
  <c r="GRL3" i="53" a="1"/>
  <c r="SML3" i="53" a="1"/>
  <c r="IDA3" i="53" a="1"/>
  <c r="BCT3" i="53" a="1"/>
  <c r="LVZ3" i="53" a="1"/>
  <c r="RGE3" i="53" a="1"/>
  <c r="RQR3" i="53" a="1"/>
  <c r="GTT3" i="53" a="1"/>
  <c r="NWX3" i="53" a="1"/>
  <c r="LDK3" i="53" a="1"/>
  <c r="LYB3" i="53" a="1"/>
  <c r="IIY3" i="53" a="1"/>
  <c r="IIV3" i="53" a="1"/>
  <c r="E44" i="53" a="1"/>
  <c r="BYE3" i="53" a="1"/>
  <c r="AQZ3" i="53" a="1"/>
  <c r="QRF3" i="53" a="1"/>
  <c r="NVC3" i="53" a="1"/>
  <c r="THN3" i="53" a="1"/>
  <c r="KFU3" i="53" a="1"/>
  <c r="FYA3" i="53" a="1"/>
  <c r="KHR3" i="53" a="1"/>
  <c r="UXR3" i="53" a="1"/>
  <c r="DDJ3" i="53" a="1"/>
  <c r="QOM3" i="53" a="1"/>
  <c r="FOD3" i="53" a="1"/>
  <c r="IZ3" i="53" a="1"/>
  <c r="EUU3" i="53" a="1"/>
  <c r="EST3" i="53" a="1"/>
  <c r="HFQ3" i="53" a="1"/>
  <c r="AYI3" i="53" a="1"/>
  <c r="NBC3" i="53" a="1"/>
  <c r="KGA3" i="53" a="1"/>
  <c r="MCN3" i="53" a="1"/>
  <c r="BIW3" i="53" a="1"/>
  <c r="TKF3" i="53" a="1"/>
  <c r="PUK3" i="53" a="1"/>
  <c r="FJX3" i="53" a="1"/>
  <c r="RSU3" i="53" a="1"/>
  <c r="CXM3" i="53" a="1"/>
  <c r="QFU3" i="53" a="1"/>
  <c r="NYU3" i="53" a="1"/>
  <c r="TAK3" i="53" a="1"/>
  <c r="POB3" i="53" a="1"/>
  <c r="OZ3" i="53" a="1"/>
  <c r="GQO3" i="53" a="1"/>
  <c r="ORJ3" i="53" a="1"/>
  <c r="GUD3" i="53" a="1"/>
  <c r="QGC3" i="53" a="1"/>
  <c r="NJB3" i="53" a="1"/>
  <c r="TL3" i="53" a="1"/>
  <c r="TEL3" i="53" a="1"/>
  <c r="AAD3" i="53" a="1"/>
  <c r="VPH3" i="53" a="1"/>
  <c r="HQD3" i="53" a="1"/>
  <c r="ICW3" i="53" a="1"/>
  <c r="MNQ3" i="53" a="1"/>
  <c r="LCH3" i="53" a="1"/>
  <c r="WEK3" i="53" a="1"/>
  <c r="SES3" i="53" a="1"/>
  <c r="LHT3" i="53" a="1"/>
  <c r="QNT3" i="53" a="1"/>
  <c r="FCM3" i="53" a="1"/>
  <c r="CHU3" i="53" a="1"/>
  <c r="MDY3" i="53" a="1"/>
  <c r="EIS3" i="53" a="1"/>
  <c r="LGE3" i="53" a="1"/>
  <c r="WTM3" i="53" a="1"/>
  <c r="HDK3" i="53" a="1"/>
  <c r="QYT3" i="53" a="1"/>
  <c r="SUY3" i="53" a="1"/>
  <c r="HMX3" i="53" a="1"/>
  <c r="KGG3" i="53" a="1"/>
  <c r="HV3" i="53" a="1"/>
  <c r="RRU3" i="53" a="1"/>
  <c r="TMM3" i="53" a="1"/>
  <c r="AXO3" i="53" a="1"/>
  <c r="WKT3" i="53" a="1"/>
  <c r="LWU3" i="53" a="1"/>
  <c r="LAK3" i="53" a="1"/>
  <c r="NSB3" i="53" a="1"/>
  <c r="HJG3" i="53" a="1"/>
  <c r="IHH3" i="53" a="1"/>
  <c r="DCY3" i="53" a="1"/>
  <c r="GMN3" i="53" a="1"/>
  <c r="TJ3" i="53" a="1"/>
  <c r="GB3" i="53" a="1"/>
  <c r="IWC3" i="53" a="1"/>
  <c r="STK3" i="53" a="1"/>
  <c r="HSE3" i="53" a="1"/>
  <c r="OID3" i="53" a="1"/>
  <c r="UFB3" i="53" a="1"/>
  <c r="CRC3" i="53" a="1"/>
  <c r="MXH3" i="53" a="1"/>
  <c r="HVR3" i="53" a="1"/>
  <c r="EAL3" i="53" a="1"/>
  <c r="EVW3" i="53" a="1"/>
  <c r="SZW3" i="53" a="1"/>
  <c r="WRR3" i="53" a="1"/>
  <c r="OIM3" i="53" a="1"/>
  <c r="EAR3" i="53" a="1"/>
  <c r="NDT3" i="53" a="1"/>
  <c r="UCY3" i="53" a="1"/>
  <c r="I3" i="1" a="1"/>
  <c r="VAE3" i="53" a="1"/>
  <c r="DTD3" i="53" a="1"/>
  <c r="SFJ3" i="53" a="1"/>
  <c r="KRZ3" i="53" a="1"/>
  <c r="ILJ3" i="53" a="1"/>
  <c r="TTW3" i="53" a="1"/>
  <c r="GCU3" i="53" a="1"/>
  <c r="UWS3" i="53" a="1"/>
  <c r="HVH3" i="53" a="1"/>
  <c r="OLC3" i="53" a="1"/>
  <c r="EMK3" i="53" a="1"/>
  <c r="WQQ3" i="53" a="1"/>
  <c r="GXL3" i="53" a="1"/>
  <c r="NDA3" i="53" a="1"/>
  <c r="FRC3" i="53" a="1"/>
  <c r="AED3" i="53" a="1"/>
  <c r="EJO3" i="53" a="1"/>
  <c r="EBW3" i="53" a="1"/>
  <c r="DOX3" i="53" a="1"/>
  <c r="PEJ3" i="53" a="1"/>
  <c r="NCH3" i="53" a="1"/>
  <c r="SJK3" i="53" a="1"/>
  <c r="MVB3" i="53" a="1"/>
  <c r="WKH3" i="53" a="1"/>
  <c r="IYJ3" i="53" a="1"/>
  <c r="NUF3" i="53" a="1"/>
  <c r="OAF3" i="53" a="1"/>
  <c r="AHZ3" i="53" a="1"/>
  <c r="GTX3" i="53" a="1"/>
  <c r="LYP3" i="53" a="1"/>
  <c r="LTV3" i="53" a="1"/>
  <c r="ODG3" i="53" a="1"/>
  <c r="HRR3" i="53" a="1"/>
  <c r="ISG3" i="53" a="1"/>
  <c r="NQU3" i="53" a="1"/>
  <c r="SBG3" i="53" a="1"/>
  <c r="JQL3" i="53" a="1"/>
  <c r="RVH3" i="53" a="1"/>
  <c r="JQU3" i="53" a="1"/>
  <c r="OEG3" i="53" a="1"/>
  <c r="MAB3" i="53" a="1"/>
  <c r="NMK3" i="53" a="1"/>
  <c r="QVV3" i="53" a="1"/>
  <c r="HXC3" i="53" a="1"/>
  <c r="RBM3" i="53" a="1"/>
  <c r="KEZ3" i="53" a="1"/>
  <c r="JGT3" i="53" a="1"/>
  <c r="MWY3" i="53" a="1"/>
  <c r="HSV3" i="53" a="1"/>
  <c r="NOY3" i="53" a="1"/>
  <c r="AXH3" i="53" a="1"/>
  <c r="KQP3" i="53" a="1"/>
  <c r="CPL3" i="53" a="1"/>
  <c r="EAS3" i="53" a="1"/>
  <c r="KGH3" i="53" a="1"/>
  <c r="LLM3" i="53" a="1"/>
  <c r="CJY3" i="53" a="1"/>
  <c r="JRV3" i="53" a="1"/>
  <c r="IZZ3" i="53" a="1"/>
  <c r="ORH3" i="53" a="1"/>
  <c r="BFI3" i="53" a="1"/>
  <c r="NTX3" i="53" a="1"/>
  <c r="LBM3" i="53" a="1"/>
  <c r="TMY3" i="53" a="1"/>
  <c r="HZG3" i="53" a="1"/>
  <c r="NMN3" i="53" a="1"/>
  <c r="BXV3" i="53" a="1"/>
  <c r="ICX3" i="53" a="1"/>
  <c r="ERH3" i="53" a="1"/>
  <c r="DEY3" i="53" a="1"/>
  <c r="DOE3" i="53" a="1"/>
  <c r="FDP3" i="53" a="1"/>
  <c r="TSM3" i="53" a="1"/>
  <c r="TQX3" i="53" a="1"/>
  <c r="GYJ3" i="53" a="1"/>
  <c r="PGA3" i="53" a="1"/>
  <c r="CMH3" i="53" a="1"/>
  <c r="EKW3" i="53" a="1"/>
  <c r="UWH3" i="53" a="1"/>
  <c r="CYF3" i="53" a="1"/>
  <c r="WDF3" i="53" a="1"/>
  <c r="PXW3" i="53" a="1"/>
  <c r="SLJ3" i="53" a="1"/>
  <c r="DER3" i="53" a="1"/>
  <c r="BRP3" i="53" a="1"/>
  <c r="KAC3" i="53" a="1"/>
  <c r="DFX3" i="53" a="1"/>
  <c r="DYV3" i="53" a="1"/>
  <c r="KKE3" i="53" a="1"/>
  <c r="NWH3" i="53" a="1"/>
  <c r="FLP3" i="53" a="1"/>
  <c r="LEZ3" i="53" a="1"/>
  <c r="BPB3" i="53" a="1"/>
  <c r="RRW3" i="53" a="1"/>
  <c r="CBE3" i="53" a="1"/>
  <c r="LFJ3" i="53" a="1"/>
  <c r="HGF3" i="53" a="1"/>
  <c r="VLH3" i="53" a="1"/>
  <c r="VFH3" i="53" a="1"/>
  <c r="WLZ3" i="53" a="1"/>
  <c r="PNS3" i="53" a="1"/>
  <c r="GC3" i="53" a="1"/>
  <c r="LTW3" i="53" a="1"/>
  <c r="KTS3" i="53" a="1"/>
  <c r="OTV3" i="53" a="1"/>
  <c r="PNW3" i="53" a="1"/>
  <c r="GDN3" i="53" a="1"/>
  <c r="EOW3" i="53" a="1"/>
  <c r="SJR3" i="53" a="1"/>
  <c r="NFZ3" i="53" a="1"/>
  <c r="NBG3" i="53" a="1"/>
  <c r="FKE3" i="53" a="1"/>
  <c r="VZW3" i="53" a="1"/>
  <c r="BEC3" i="53" a="1"/>
  <c r="NSJ3" i="53" a="1"/>
  <c r="MRE3" i="53" a="1"/>
  <c r="NXZ3" i="53" a="1"/>
  <c r="C59" i="53" a="1"/>
  <c r="RHE3" i="53" a="1"/>
  <c r="RCJ3" i="53" a="1"/>
  <c r="USK3" i="53" a="1"/>
  <c r="FLR3" i="53" a="1"/>
  <c r="KAT3" i="53" a="1"/>
  <c r="GOL3" i="53" a="1"/>
  <c r="UXD3" i="53" a="1"/>
  <c r="DFH3" i="53" a="1"/>
  <c r="HWF3" i="53" a="1"/>
  <c r="WLY3" i="53" a="1"/>
  <c r="SEN3" i="53" a="1"/>
  <c r="ADF3" i="53" a="1"/>
  <c r="JOH3" i="53" a="1"/>
  <c r="TBI3" i="53" a="1"/>
  <c r="APW3" i="53" a="1"/>
  <c r="FIB3" i="53" a="1"/>
  <c r="STC3" i="53" a="1"/>
  <c r="VUP3" i="53" a="1"/>
  <c r="UCP3" i="53" a="1"/>
  <c r="JZS3" i="53" a="1"/>
  <c r="OAQ3" i="53" a="1"/>
  <c r="FDX3" i="53" a="1"/>
  <c r="H3" i="40" a="1"/>
  <c r="ODP3" i="53" a="1"/>
  <c r="AWX3" i="53" a="1"/>
  <c r="KMY3" i="53" a="1"/>
  <c r="NGC3" i="53" a="1"/>
  <c r="OGL3" i="53" a="1"/>
  <c r="BVI3" i="53" a="1"/>
  <c r="BOM3" i="53" a="1"/>
  <c r="TBO3" i="53" a="1"/>
  <c r="TJB3" i="53" a="1"/>
  <c r="DTI3" i="53" a="1"/>
  <c r="TSZ3" i="53" a="1"/>
  <c r="SUL3" i="53" a="1"/>
  <c r="GCT3" i="53" a="1"/>
  <c r="CD3" i="53" a="1"/>
  <c r="KXR3" i="53" a="1"/>
  <c r="QSC3" i="53" a="1"/>
  <c r="IH3" i="53" a="1"/>
  <c r="HOC3" i="53" a="1"/>
  <c r="LID3" i="53" a="1"/>
  <c r="EQK3" i="53" a="1"/>
  <c r="DMB3" i="53" a="1"/>
  <c r="AAS3" i="53" a="1"/>
  <c r="BQD3" i="53" a="1"/>
  <c r="GUE3" i="53" a="1"/>
  <c r="MGA3" i="53" a="1"/>
  <c r="BJN3" i="53" a="1"/>
  <c r="CYE3" i="53" a="1"/>
  <c r="PTL3" i="53" a="1"/>
  <c r="DVO3" i="53" a="1"/>
  <c r="JEE3" i="53" a="1"/>
  <c r="FAT3" i="53" a="1"/>
  <c r="CVI3" i="53" a="1"/>
  <c r="CRH3" i="53" a="1"/>
  <c r="AAI3" i="53" a="1"/>
  <c r="KXL3" i="53" a="1"/>
  <c r="MCM3" i="53" a="1"/>
  <c r="NEI3" i="53" a="1"/>
  <c r="DTX3" i="53" a="1"/>
  <c r="BBI3" i="53" a="1"/>
  <c r="ADO3" i="53" a="1"/>
  <c r="NEF3" i="53" a="1"/>
  <c r="LQN3" i="53" a="1"/>
  <c r="NKJ3" i="53" a="1"/>
  <c r="CZC3" i="53" a="1"/>
  <c r="SDX3" i="53" a="1"/>
  <c r="DBW3" i="53" a="1"/>
  <c r="QA3" i="53" a="1"/>
  <c r="IVN3" i="53" a="1"/>
  <c r="UPD3" i="53" a="1"/>
  <c r="NZA3" i="53" a="1"/>
  <c r="BGS3" i="53" a="1"/>
  <c r="DTB3" i="53" a="1"/>
  <c r="KPZ3" i="53" a="1"/>
  <c r="DHY3" i="53" a="1"/>
  <c r="UHM3" i="53" a="1"/>
  <c r="MSP3" i="53" a="1"/>
  <c r="HVF3" i="53" a="1"/>
  <c r="IRD3" i="53" a="1"/>
  <c r="RHJ3" i="53" a="1"/>
  <c r="EJI3" i="53" a="1"/>
  <c r="AAY3" i="53" a="1"/>
  <c r="CFZ3" i="53" a="1"/>
  <c r="NVL3" i="53" a="1"/>
  <c r="RXF3" i="53" a="1"/>
  <c r="CCQ3" i="53" a="1"/>
  <c r="XR3" i="53" a="1"/>
  <c r="HTJ3" i="53" a="1"/>
  <c r="AAT3" i="53" a="1"/>
  <c r="HBD3" i="53" a="1"/>
  <c r="PTR3" i="53" a="1"/>
  <c r="JAI3" i="53" a="1"/>
  <c r="DOA3" i="53" a="1"/>
  <c r="QS3" i="53" a="1"/>
  <c r="TEB3" i="53" a="1"/>
  <c r="QCD3" i="53" a="1"/>
  <c r="AHK3" i="53" a="1"/>
  <c r="IOV3" i="53" a="1"/>
  <c r="FIV3" i="53" a="1"/>
  <c r="GLR3" i="53" a="1"/>
  <c r="KTY3" i="53" a="1"/>
  <c r="IQD3" i="53" a="1"/>
  <c r="DEA3" i="53" a="1"/>
  <c r="BQY3" i="53" a="1"/>
  <c r="IKP3" i="53" a="1"/>
  <c r="HUT3" i="53" a="1"/>
  <c r="DEF3" i="53" a="1"/>
  <c r="DZ3" i="53" a="1"/>
  <c r="EUF3" i="53" a="1"/>
  <c r="ECU3" i="53" a="1"/>
  <c r="GRU3" i="53" a="1"/>
  <c r="GQR3" i="53" a="1"/>
  <c r="KPP3" i="53" a="1"/>
  <c r="ETS3" i="53" a="1"/>
  <c r="DUU3" i="53" a="1"/>
  <c r="VEV3" i="53" a="1"/>
  <c r="UFT3" i="53" a="1"/>
  <c r="UYY3" i="53" a="1"/>
  <c r="MVZ3" i="53" a="1"/>
  <c r="ADN3" i="53" a="1"/>
  <c r="JFA3" i="53" a="1"/>
  <c r="JTH3" i="53" a="1"/>
  <c r="FJS3" i="53" a="1"/>
  <c r="BCB3" i="53" a="1"/>
  <c r="MTN3" i="53" a="1"/>
  <c r="NGJ3" i="53" a="1"/>
  <c r="UZH3" i="53" a="1"/>
  <c r="SNT3" i="53" a="1"/>
  <c r="KBF3" i="53" a="1"/>
  <c r="JQO3" i="53" a="1"/>
  <c r="EYG3" i="53" a="1"/>
  <c r="DRT3" i="53" a="1"/>
  <c r="AIA3" i="53" a="1"/>
  <c r="F14" i="53" a="1"/>
  <c r="WQP3" i="53" a="1"/>
  <c r="AFF3" i="53" a="1"/>
  <c r="DLD3" i="53" a="1"/>
  <c r="PAH3" i="53" a="1"/>
  <c r="SCQ3" i="53" a="1"/>
  <c r="ENU3" i="53" a="1"/>
  <c r="F26" i="53" a="1"/>
  <c r="YW3" i="53" a="1"/>
  <c r="ZW3" i="53" a="1"/>
  <c r="VQN3" i="53" a="1"/>
  <c r="ONX3" i="53" a="1"/>
  <c r="IJQ3" i="53" a="1"/>
  <c r="ORE3" i="53" a="1"/>
  <c r="BCF3" i="53" a="1"/>
  <c r="EUW3" i="53" a="1"/>
  <c r="NZB3" i="53" a="1"/>
  <c r="NF3" i="53" a="1"/>
  <c r="EJC3" i="53" a="1"/>
  <c r="VNM3" i="53" a="1"/>
  <c r="TEP3" i="53" a="1"/>
  <c r="GZX3" i="53" a="1"/>
  <c r="MVQ3" i="53" a="1"/>
  <c r="JCN3" i="53" a="1"/>
  <c r="JZE3" i="53" a="1"/>
  <c r="UPZ3" i="53" a="1"/>
  <c r="MIB3" i="53" a="1"/>
  <c r="FIQ3" i="53" a="1"/>
  <c r="ITT3" i="53" a="1"/>
  <c r="NUL3" i="53" a="1"/>
  <c r="TXY3" i="53" a="1"/>
  <c r="GFT3" i="53" a="1"/>
  <c r="GGU3" i="53" a="1"/>
  <c r="G3" i="1" a="1"/>
  <c r="QFR3" i="53" a="1"/>
  <c r="ADW3" i="53" a="1"/>
  <c r="VKO3" i="53" a="1"/>
  <c r="ALY3" i="53" a="1"/>
  <c r="KOW3" i="53" a="1"/>
  <c r="BYO3" i="53" a="1"/>
  <c r="ISO3" i="53" a="1"/>
  <c r="MMR3" i="53" a="1"/>
  <c r="BHM3" i="53" a="1"/>
  <c r="WJ3" i="53" a="1"/>
  <c r="ICD3" i="53" a="1"/>
  <c r="EAA3" i="53" a="1"/>
  <c r="IZY3" i="53" a="1"/>
  <c r="AUD3" i="53" a="1"/>
  <c r="KMC3" i="53" a="1"/>
  <c r="DYJ3" i="53" a="1"/>
  <c r="SOG3" i="53" a="1"/>
  <c r="WNA3" i="53" a="1"/>
  <c r="VAP3" i="53" a="1"/>
  <c r="JKF3" i="53" a="1"/>
  <c r="KBR3" i="53" a="1"/>
  <c r="EGQ3" i="53" a="1"/>
  <c r="KXK3" i="53" a="1"/>
  <c r="PVP3" i="53" a="1"/>
  <c r="JY3" i="53" a="1"/>
  <c r="BPQ3" i="53" a="1"/>
  <c r="VNY3" i="53" a="1"/>
  <c r="SWX3" i="53" a="1"/>
  <c r="UPL3" i="53" a="1"/>
  <c r="KTX3" i="53" a="1"/>
  <c r="HVT3" i="53" a="1"/>
  <c r="WVP3" i="53" a="1"/>
  <c r="JKE3" i="53" a="1"/>
  <c r="OHH3" i="53" a="1"/>
  <c r="TQI3" i="53" a="1"/>
  <c r="COF3" i="53" a="1"/>
  <c r="SOS3" i="53" a="1"/>
  <c r="KCC3" i="53" a="1"/>
  <c r="EPB3" i="53" a="1"/>
  <c r="COG3" i="53" a="1"/>
  <c r="ICR3" i="53" a="1"/>
  <c r="EQG3" i="53" a="1"/>
  <c r="ERQ3" i="53" a="1"/>
  <c r="MJD3" i="53" a="1"/>
  <c r="CPR3" i="53" a="1"/>
  <c r="NBT3" i="53" a="1"/>
  <c r="MRY3" i="53" a="1"/>
  <c r="HOB3" i="53" a="1"/>
  <c r="DOM3" i="53" a="1"/>
  <c r="SUB3" i="53" a="1"/>
  <c r="AGD3" i="53" a="1"/>
  <c r="BVL3" i="53" a="1"/>
  <c r="BGM3" i="53" a="1"/>
  <c r="RUF3" i="53" a="1"/>
  <c r="AVG3" i="53" a="1"/>
  <c r="GUQ3" i="53" a="1"/>
  <c r="LHO3" i="53" a="1"/>
  <c r="CQP3" i="53" a="1"/>
  <c r="EJW3" i="53" a="1"/>
  <c r="OUU3" i="53" a="1"/>
  <c r="LCE3" i="53" a="1"/>
  <c r="TSC3" i="53" a="1"/>
  <c r="GBT3" i="53" a="1"/>
  <c r="AEF3" i="53" a="1"/>
  <c r="NJQ3" i="53" a="1"/>
  <c r="GVF3" i="53" a="1"/>
  <c r="VYW3" i="53" a="1"/>
  <c r="HNO3" i="53" a="1"/>
  <c r="MJT3" i="53" a="1"/>
  <c r="UKX3" i="53" a="1"/>
  <c r="EDI3" i="53" a="1"/>
  <c r="IME3" i="53" a="1"/>
  <c r="KZU3" i="53" a="1"/>
  <c r="TEV3" i="53" a="1"/>
  <c r="NTF3" i="53" a="1"/>
  <c r="NZT3" i="53" a="1"/>
  <c r="QK3" i="53" a="1"/>
  <c r="LHQ3" i="53" a="1"/>
  <c r="PMK3" i="53" a="1"/>
  <c r="PN3" i="53" a="1"/>
  <c r="CIA3" i="53" a="1"/>
  <c r="NUV3" i="53" a="1"/>
  <c r="NOH3" i="53" a="1"/>
  <c r="RO3" i="53" a="1"/>
  <c r="EQO3" i="53" a="1"/>
  <c r="BYA3" i="53" a="1"/>
  <c r="BNC3" i="53" a="1"/>
  <c r="BJL3" i="53" a="1"/>
  <c r="HZF3" i="53" a="1"/>
  <c r="KUY3" i="53" a="1"/>
  <c r="NXI3" i="53" a="1"/>
  <c r="AN3" i="53" a="1"/>
  <c r="LEW3" i="53" a="1"/>
  <c r="UV3" i="53" a="1"/>
  <c r="GBL3" i="53" a="1"/>
  <c r="IFN3" i="53" a="1"/>
  <c r="QWI3" i="53" a="1"/>
  <c r="MBG3" i="53" a="1"/>
  <c r="IKJ3" i="53" a="1"/>
  <c r="OHW3" i="53" a="1"/>
  <c r="DAB3" i="53" a="1"/>
  <c r="BHO3" i="53" a="1"/>
  <c r="BLO3" i="53" a="1"/>
  <c r="BOE3" i="53" a="1"/>
  <c r="FUD3" i="53" a="1"/>
  <c r="CZG3" i="53" a="1"/>
  <c r="JPD3" i="53" a="1"/>
  <c r="EGK3" i="53" a="1"/>
  <c r="OFO3" i="53" a="1"/>
  <c r="KSK3" i="53" a="1"/>
  <c r="EZF3" i="53" a="1"/>
  <c r="SLE3" i="53" a="1"/>
  <c r="NFF3" i="53" a="1"/>
  <c r="UHL3" i="53" a="1"/>
  <c r="JUN3" i="53" a="1"/>
  <c r="MI3" i="53" a="1"/>
  <c r="VZO3" i="53" a="1"/>
  <c r="AES3" i="53" a="1"/>
  <c r="AHP3" i="53" a="1"/>
  <c r="JHQ3" i="53" a="1"/>
  <c r="EIC3" i="53" a="1"/>
  <c r="MCU3" i="53" a="1"/>
  <c r="IOC3" i="53" a="1"/>
  <c r="F3" i="11" a="1"/>
  <c r="UQS3" i="53" a="1"/>
  <c r="SY3" i="53" a="1"/>
  <c r="SDN3" i="53" a="1"/>
  <c r="QDW3" i="53" a="1"/>
  <c r="COV3" i="53" a="1"/>
  <c r="PWK3" i="53" a="1"/>
  <c r="NQP3" i="53" a="1"/>
  <c r="DBO3" i="53" a="1"/>
  <c r="DMP3" i="53" a="1"/>
  <c r="EIA3" i="53" a="1"/>
  <c r="XEG3" i="53" a="1"/>
  <c r="SVE3" i="53" a="1"/>
  <c r="ZX3" i="53" a="1"/>
  <c r="QJJ3" i="53" a="1"/>
  <c r="FTV3" i="53" a="1"/>
  <c r="TB3" i="53" a="1"/>
  <c r="ERF3" i="53" a="1"/>
  <c r="QVW3" i="53" a="1"/>
  <c r="EAD3" i="53" a="1"/>
  <c r="LKC3" i="53" a="1"/>
  <c r="WEB3" i="53" a="1"/>
  <c r="GPH3" i="53" a="1"/>
  <c r="NSI3" i="53" a="1"/>
  <c r="BOL3" i="53" a="1"/>
  <c r="POQ3" i="53" a="1"/>
  <c r="FUA3" i="53" a="1"/>
  <c r="DHR3" i="53" a="1"/>
  <c r="FDD3" i="53" a="1"/>
  <c r="SVQ3" i="53" a="1"/>
  <c r="RTE3" i="53" a="1"/>
  <c r="GVR3" i="53" a="1"/>
  <c r="NX3" i="53" a="1"/>
  <c r="NUZ3" i="53" a="1"/>
  <c r="QMK3" i="53" a="1"/>
  <c r="QF3" i="53" a="1"/>
  <c r="JEQ3" i="53" a="1"/>
  <c r="GDY3" i="53" a="1"/>
  <c r="TVS3" i="53" a="1"/>
  <c r="JSI3" i="53" a="1"/>
  <c r="NWN3" i="53" a="1"/>
  <c r="JKK3" i="53" a="1"/>
  <c r="EJS3" i="53" a="1"/>
  <c r="JSS3" i="53" a="1"/>
  <c r="KN3" i="53" a="1"/>
  <c r="KMG3" i="53" a="1"/>
  <c r="DRF3" i="53" a="1"/>
  <c r="E56" i="53" a="1"/>
  <c r="NDV3" i="53" a="1"/>
  <c r="FRW3" i="53" a="1"/>
  <c r="UTH3" i="53" a="1"/>
  <c r="WRY3" i="53" a="1"/>
  <c r="LVM3" i="53" a="1"/>
  <c r="JVA3" i="53" a="1"/>
  <c r="SWK3" i="53" a="1"/>
  <c r="OJC3" i="53" a="1"/>
  <c r="FMT3" i="53" a="1"/>
  <c r="RKU3" i="53" a="1"/>
  <c r="GVT3" i="53" a="1"/>
  <c r="TX3" i="53" a="1"/>
  <c r="GIZ3" i="53" a="1"/>
  <c r="ANO3" i="53" a="1"/>
  <c r="RKL3" i="53" a="1"/>
  <c r="HY3" i="53" a="1"/>
  <c r="BXB3" i="53" a="1"/>
  <c r="C56" i="53" a="1"/>
  <c r="PLS3" i="53" a="1"/>
  <c r="PYW3" i="53" a="1"/>
  <c r="INT3" i="53" a="1"/>
  <c r="DAT3" i="53" a="1"/>
  <c r="IRS3" i="53" a="1"/>
  <c r="KZG3" i="53" a="1"/>
  <c r="AFJ3" i="53" a="1"/>
  <c r="LFC3" i="53" a="1"/>
  <c r="KII3" i="53" a="1"/>
  <c r="PLZ3" i="53" a="1"/>
  <c r="MEC3" i="53" a="1"/>
  <c r="RMY3" i="53" a="1"/>
  <c r="DTM3" i="53" a="1"/>
  <c r="HVS3" i="53" a="1"/>
  <c r="BYS3" i="53" a="1"/>
  <c r="MBC3" i="53" a="1"/>
  <c r="DHD3" i="53" a="1"/>
  <c r="HTE3" i="53" a="1"/>
  <c r="PQU3" i="53" a="1"/>
  <c r="HZP3" i="53" a="1"/>
  <c r="NPY3" i="53" a="1"/>
  <c r="NAF3" i="53" a="1"/>
  <c r="HBK3" i="53" a="1"/>
  <c r="NL3" i="53" a="1"/>
  <c r="HON3" i="53" a="1"/>
  <c r="SDB3" i="53" a="1"/>
  <c r="TGJ3" i="53" a="1"/>
  <c r="DZE3" i="53" a="1"/>
  <c r="PEA3" i="53" a="1"/>
  <c r="BEQ3" i="53" a="1"/>
  <c r="JRW3" i="53" a="1"/>
  <c r="ELB3" i="53" a="1"/>
  <c r="JGW3" i="53" a="1"/>
  <c r="EMV3" i="53" a="1"/>
  <c r="GI3" i="53" a="1"/>
  <c r="BFM3" i="53" a="1"/>
  <c r="UPO3" i="53" a="1"/>
  <c r="FGJ3" i="53" a="1"/>
  <c r="IVD3" i="53" a="1"/>
  <c r="RQL3" i="53" a="1"/>
  <c r="QDM3" i="53" a="1"/>
  <c r="TQT3" i="53" a="1"/>
  <c r="MDE3" i="53" a="1"/>
  <c r="BMP3" i="53" a="1"/>
  <c r="MCP3" i="53" a="1"/>
  <c r="QQN3" i="53" a="1"/>
  <c r="GUR3" i="53" a="1"/>
  <c r="CUB3" i="53" a="1"/>
  <c r="LFT3" i="53" a="1"/>
  <c r="JVN3" i="53" a="1"/>
  <c r="PEY3" i="53" a="1"/>
  <c r="GVD3" i="53" a="1"/>
  <c r="VBF3" i="53" a="1"/>
  <c r="BBJ3" i="53" a="1"/>
  <c r="DLU3" i="53" a="1"/>
  <c r="BGF3" i="53" a="1"/>
  <c r="GBP3" i="53" a="1"/>
  <c r="TOE3" i="53" a="1"/>
  <c r="BYD3" i="53" a="1"/>
  <c r="IHS3" i="53" a="1"/>
  <c r="EIJ3" i="53" a="1"/>
  <c r="UUC3" i="53" a="1"/>
  <c r="FFI3" i="53" a="1"/>
  <c r="DUZ3" i="53" a="1"/>
  <c r="VNB3" i="53" a="1"/>
  <c r="GLI3" i="53" a="1"/>
  <c r="EGW3" i="53" a="1"/>
  <c r="NCG3" i="53" a="1"/>
  <c r="TAB3" i="53" a="1"/>
  <c r="DTN3" i="53" a="1"/>
  <c r="DJS3" i="53" a="1"/>
  <c r="WEI3" i="53" a="1"/>
  <c r="BSM3" i="53" a="1"/>
  <c r="MRK3" i="53" a="1"/>
  <c r="KDY3" i="53" a="1"/>
  <c r="WKQ3" i="53" a="1"/>
  <c r="QRO3" i="53" a="1"/>
  <c r="IYL3" i="53" a="1"/>
  <c r="WPO3" i="53" a="1"/>
  <c r="IDR3" i="53" a="1"/>
  <c r="OVO3" i="53" a="1"/>
  <c r="AMN3" i="53" a="1"/>
  <c r="EIH3" i="53" a="1"/>
  <c r="GAH3" i="53" a="1"/>
  <c r="DBF3" i="53" a="1"/>
  <c r="RWU3" i="53" a="1"/>
  <c r="IFU3" i="53" a="1"/>
  <c r="ROY3" i="53" a="1"/>
  <c r="MX3" i="53" a="1"/>
  <c r="OMR3" i="53" a="1"/>
  <c r="EVB3" i="53" a="1"/>
  <c r="LOH3" i="53" a="1"/>
  <c r="IRT3" i="53" a="1"/>
  <c r="QMP3" i="53" a="1"/>
  <c r="UFG3" i="53" a="1"/>
  <c r="QAL3" i="53" a="1"/>
  <c r="OKH3" i="53" a="1"/>
  <c r="AIL3" i="53" a="1"/>
  <c r="HWE3" i="53" a="1"/>
  <c r="ESZ3" i="53" a="1"/>
  <c r="IPS3" i="53" a="1"/>
  <c r="SLS3" i="53" a="1"/>
  <c r="EKD3" i="53" a="1"/>
  <c r="MNL3" i="53" a="1"/>
  <c r="GY3" i="53" a="1"/>
  <c r="UTA3" i="53" a="1"/>
  <c r="WWG3" i="53" a="1"/>
  <c r="JBM3" i="53" a="1"/>
  <c r="ISR3" i="53" a="1"/>
  <c r="NZS3" i="53" a="1"/>
  <c r="HQR3" i="53" a="1"/>
  <c r="MSB3" i="53" a="1"/>
  <c r="QZA3" i="53" a="1"/>
  <c r="NZR3" i="53" a="1"/>
  <c r="TND3" i="53" a="1"/>
  <c r="OXW3" i="53" a="1"/>
  <c r="MXW3" i="53" a="1"/>
  <c r="F3" i="1" a="1"/>
  <c r="NYP3" i="53" a="1"/>
  <c r="BQQ3" i="53" a="1"/>
  <c r="OZQ3" i="53" a="1"/>
  <c r="TBL3" i="53" a="1"/>
  <c r="GLH3" i="53" a="1"/>
  <c r="FGQ3" i="53" a="1"/>
  <c r="KDV3" i="53" a="1"/>
  <c r="AIZ3" i="53" a="1"/>
  <c r="MJW3" i="53" a="1"/>
  <c r="GSD3" i="53" a="1"/>
  <c r="CEN3" i="53" a="1"/>
  <c r="HE3" i="53" a="1"/>
  <c r="KCK3" i="53" a="1"/>
  <c r="PUX3" i="53" a="1"/>
  <c r="QKP3" i="53" a="1"/>
  <c r="DWO3" i="53" a="1"/>
  <c r="LGQ3" i="53" a="1"/>
  <c r="CPN3" i="53" a="1"/>
  <c r="BEW3" i="53" a="1"/>
  <c r="JAV3" i="53" a="1"/>
  <c r="GHN3" i="53" a="1"/>
  <c r="CTD3" i="53" a="1"/>
  <c r="GSX3" i="53" a="1"/>
  <c r="HTD3" i="53" a="1"/>
  <c r="RBC3" i="53" a="1"/>
  <c r="VQS3" i="53" a="1"/>
  <c r="UUE3" i="53" a="1"/>
  <c r="MPS3" i="53" a="1"/>
  <c r="FII3" i="53" a="1"/>
  <c r="HDM3" i="53" a="1"/>
  <c r="LLP3" i="53" a="1"/>
  <c r="EUZ3" i="53" a="1"/>
  <c r="AAU3" i="53" a="1"/>
  <c r="PWH3" i="53" a="1"/>
  <c r="FAL3" i="53" a="1"/>
  <c r="JRS3" i="53" a="1"/>
  <c r="UOM3" i="53" a="1"/>
  <c r="KOU3" i="53" a="1"/>
  <c r="KVQ3" i="53" a="1"/>
  <c r="JTE3" i="53" a="1"/>
  <c r="BNF3" i="53" a="1"/>
  <c r="SGT3" i="53" a="1"/>
  <c r="E25" i="53" a="1"/>
  <c r="FDN3" i="53" a="1"/>
  <c r="MNN3" i="53" a="1"/>
  <c r="GZ3" i="53" a="1"/>
  <c r="XL3" i="53" a="1"/>
  <c r="MAU3" i="53" a="1"/>
  <c r="WI3" i="53" a="1"/>
  <c r="GZB3" i="53" a="1"/>
  <c r="BCH3" i="53" a="1"/>
  <c r="GPY3" i="53" a="1"/>
  <c r="KTF3" i="53" a="1"/>
  <c r="HNX3" i="53" a="1"/>
  <c r="RUL3" i="53" a="1"/>
  <c r="AMQ3" i="53" a="1"/>
  <c r="PFW3" i="53" a="1"/>
  <c r="TDE3" i="53" a="1"/>
  <c r="OU3" i="53" a="1"/>
  <c r="OKY3" i="53" a="1"/>
  <c r="IGD3" i="53" a="1"/>
  <c r="VSX3" i="53" a="1"/>
  <c r="G3" i="27" a="1"/>
  <c r="HAL3" i="53" a="1"/>
  <c r="OWC3" i="53" a="1"/>
  <c r="AQQ3" i="53" a="1"/>
  <c r="NYR3" i="53" a="1"/>
  <c r="DJV3" i="53" a="1"/>
  <c r="MNF3" i="53" a="1"/>
  <c r="AIS3" i="53" a="1"/>
  <c r="UMQ3" i="53" a="1"/>
  <c r="SJP3" i="53" a="1"/>
  <c r="BNA3" i="53" a="1"/>
  <c r="FJD3" i="53" a="1"/>
  <c r="BEA3" i="53" a="1"/>
  <c r="KZJ3" i="53" a="1"/>
  <c r="CHM3" i="53" a="1"/>
  <c r="LE3" i="53" a="1"/>
  <c r="HCS3" i="53" a="1"/>
  <c r="CBZ3" i="53" a="1"/>
  <c r="MDP3" i="53" a="1"/>
  <c r="LSN3" i="53" a="1"/>
  <c r="QZR3" i="53" a="1"/>
  <c r="COH3" i="53" a="1"/>
  <c r="PPD3" i="53" a="1"/>
  <c r="KIB3" i="53" a="1"/>
  <c r="VA3" i="53" a="1"/>
  <c r="GTH3" i="53" a="1"/>
  <c r="AS3" i="53" a="1"/>
  <c r="DMO3" i="53" a="1"/>
  <c r="AJK3" i="53" a="1"/>
  <c r="JOU3" i="53" a="1"/>
  <c r="GKD3" i="53" a="1"/>
  <c r="FYD3" i="53" a="1"/>
  <c r="AHG3" i="53" a="1"/>
  <c r="RSZ3" i="53" a="1"/>
  <c r="SYY3" i="53" a="1"/>
  <c r="JNJ3" i="53" a="1"/>
  <c r="NQI3" i="53" a="1"/>
  <c r="QW3" i="53" a="1"/>
  <c r="JCF3" i="53" a="1"/>
  <c r="FFT3" i="53" a="1"/>
  <c r="PSI3" i="53" a="1"/>
  <c r="WEC3" i="53" a="1"/>
  <c r="OZD3" i="53" a="1"/>
  <c r="PEW3" i="53" a="1"/>
  <c r="OPE3" i="53" a="1"/>
  <c r="CYW3" i="53" a="1"/>
  <c r="RDX3" i="53" a="1"/>
  <c r="MBU3" i="53" a="1"/>
  <c r="HNS3" i="53" a="1"/>
  <c r="IIG3" i="53" a="1"/>
  <c r="MQE3" i="53" a="1"/>
  <c r="BUU3" i="53" a="1"/>
  <c r="STV3" i="53" a="1"/>
  <c r="QNC3" i="53" a="1"/>
  <c r="RMN3" i="53" a="1"/>
  <c r="RBL3" i="53" a="1"/>
  <c r="EWR3" i="53" a="1"/>
  <c r="EQI3" i="53" a="1"/>
  <c r="JZF3" i="53" a="1"/>
  <c r="MWM3" i="53" a="1"/>
  <c r="FEV3" i="53" a="1"/>
  <c r="HFK3" i="53" a="1"/>
  <c r="EUV3" i="53" a="1"/>
  <c r="GEP3" i="53" a="1"/>
  <c r="GWJ3" i="53" a="1"/>
  <c r="AO3" i="53" a="1"/>
  <c r="QTO3" i="53" a="1"/>
  <c r="JNH3" i="53" a="1"/>
  <c r="MCR3" i="53" a="1"/>
  <c r="WTB3" i="53" a="1"/>
  <c r="BRT3" i="53" a="1"/>
  <c r="JAF3" i="53" a="1"/>
  <c r="HQM3" i="53" a="1"/>
  <c r="GEF3" i="53" a="1"/>
  <c r="VNE3" i="53" a="1"/>
  <c r="ILL3" i="53" a="1"/>
  <c r="JUO3" i="53" a="1"/>
  <c r="VZL3" i="53" a="1"/>
  <c r="HQF3" i="53" a="1"/>
  <c r="LQF3" i="53" a="1"/>
  <c r="HJZ3" i="53" a="1"/>
  <c r="KP3" i="53" a="1"/>
  <c r="HDF3" i="53" a="1"/>
  <c r="IVT3" i="53" a="1"/>
  <c r="JLV3" i="53" a="1"/>
  <c r="FJK3" i="53" a="1"/>
  <c r="CGG3" i="53" a="1"/>
  <c r="MRN3" i="53" a="1"/>
  <c r="CCB3" i="53" a="1"/>
  <c r="MRP3" i="53" a="1"/>
  <c r="GJF3" i="53" a="1"/>
  <c r="EOS3" i="53" a="1"/>
  <c r="BFD3" i="53" a="1"/>
  <c r="UHW3" i="53" a="1"/>
  <c r="KJF3" i="53" a="1"/>
  <c r="DNV3" i="53" a="1"/>
  <c r="JYC3" i="53" a="1"/>
  <c r="MXJ3" i="53" a="1"/>
  <c r="JLN3" i="53" a="1"/>
  <c r="DAP3" i="53" a="1"/>
  <c r="RW3" i="53" a="1"/>
  <c r="ISD3" i="53" a="1"/>
  <c r="DFR3" i="53" a="1"/>
  <c r="AVM3" i="53" a="1"/>
  <c r="IES3" i="53" a="1"/>
  <c r="FSR3" i="53" a="1"/>
  <c r="JRJ3" i="53" a="1"/>
  <c r="MNJ3" i="53" a="1"/>
  <c r="PSZ3" i="53" a="1"/>
  <c r="HGJ3" i="53" a="1"/>
  <c r="SFZ3" i="53" a="1"/>
  <c r="BSD3" i="53" a="1"/>
  <c r="QT3" i="53" a="1"/>
  <c r="IAQ3" i="53" a="1"/>
  <c r="UNL3" i="53" a="1"/>
  <c r="KYH3" i="53" a="1"/>
  <c r="QBN3" i="53" a="1"/>
  <c r="JS3" i="53" a="1"/>
  <c r="FMG3" i="53" a="1"/>
  <c r="EFD3" i="53" a="1"/>
  <c r="ELE3" i="53" a="1"/>
  <c r="GXY3" i="53" a="1"/>
  <c r="TCL3" i="53" a="1"/>
  <c r="PLL3" i="53" a="1"/>
  <c r="NFK3" i="53" a="1"/>
  <c r="MBE3" i="53" a="1"/>
  <c r="JVU3" i="53" a="1"/>
  <c r="NPR3" i="53" a="1"/>
  <c r="NHR3" i="53" a="1"/>
  <c r="HHX3" i="53" a="1"/>
  <c r="CGW3" i="53" a="1"/>
  <c r="ECA3" i="53" a="1"/>
  <c r="FWK3" i="53" a="1"/>
  <c r="SOL3" i="53" a="1"/>
  <c r="RXG3" i="53" a="1"/>
  <c r="HXD3" i="53" a="1"/>
  <c r="OGN3" i="53" a="1"/>
  <c r="CPO3" i="53" a="1"/>
  <c r="TEA3" i="53" a="1"/>
  <c r="SRA3" i="53" a="1"/>
  <c r="DXV3" i="53" a="1"/>
  <c r="FD3" i="53" a="1"/>
  <c r="DQR3" i="53" a="1"/>
  <c r="LKJ3" i="53" a="1"/>
  <c r="CQO3" i="53" a="1"/>
  <c r="GTW3" i="53" a="1"/>
  <c r="TIH3" i="53" a="1"/>
  <c r="DZD3" i="53" a="1"/>
  <c r="UKW3" i="53" a="1"/>
  <c r="KQB3" i="53" a="1"/>
  <c r="JHO3" i="53" a="1"/>
  <c r="OGS3" i="53" a="1"/>
  <c r="JEP3" i="53" a="1"/>
  <c r="PNK3" i="53" a="1"/>
  <c r="AMH3" i="53" a="1"/>
  <c r="EAQ3" i="53" a="1"/>
  <c r="IWD3" i="53" a="1"/>
  <c r="DRX3" i="53" a="1"/>
  <c r="EBT3" i="53" a="1"/>
  <c r="SNH3" i="53" a="1"/>
  <c r="RUS3" i="53" a="1"/>
  <c r="QXA3" i="53" a="1"/>
  <c r="QIF3" i="53" a="1"/>
  <c r="LWG3" i="53" a="1"/>
  <c r="RVD3" i="53" a="1"/>
  <c r="NQM3" i="53" a="1"/>
  <c r="ADH3" i="53" a="1"/>
  <c r="DOR3" i="53" a="1"/>
  <c r="FWU3" i="53" a="1"/>
  <c r="GMM3" i="53" a="1"/>
  <c r="DMW3" i="53" a="1"/>
  <c r="PJP3" i="53" a="1"/>
  <c r="MHS3" i="53" a="1"/>
  <c r="CAL3" i="53" a="1"/>
  <c r="KYM3" i="53" a="1"/>
  <c r="DLV3" i="53" a="1"/>
  <c r="OCW3" i="53" a="1"/>
  <c r="WFH3" i="53" a="1"/>
  <c r="NMC3" i="53" a="1"/>
  <c r="NQW3" i="53" a="1"/>
  <c r="MPE3" i="53" a="1"/>
  <c r="DVW3" i="53" a="1"/>
  <c r="SDV3" i="53" a="1"/>
  <c r="AUW3" i="53" a="1"/>
  <c r="BLK3" i="53" a="1"/>
  <c r="WPM3" i="53" a="1"/>
  <c r="WEG3" i="53" a="1"/>
  <c r="TFV3" i="53" a="1"/>
  <c r="RWO3" i="53" a="1"/>
  <c r="JJR3" i="53" a="1"/>
  <c r="CEC3" i="53" a="1"/>
  <c r="SDL3" i="53" a="1"/>
  <c r="OEC3" i="53" a="1"/>
  <c r="NOD3" i="53" a="1"/>
  <c r="JHH3" i="53" a="1"/>
  <c r="TLV3" i="53" a="1"/>
  <c r="EOI3" i="53" a="1"/>
  <c r="HQT3" i="53" a="1"/>
  <c r="FCO3" i="53" a="1"/>
  <c r="SNB3" i="53" a="1"/>
  <c r="MII3" i="53" a="1"/>
  <c r="WWQ3" i="53" a="1"/>
  <c r="PLE3" i="53" a="1"/>
  <c r="UUZ3" i="53" a="1"/>
  <c r="JVI3" i="53" a="1"/>
  <c r="WHA3" i="53" a="1"/>
  <c r="RPA3" i="53" a="1"/>
  <c r="BKC3" i="53" a="1"/>
  <c r="DFG3" i="53" a="1"/>
  <c r="HTO3" i="53" a="1"/>
  <c r="ECZ3" i="53" a="1"/>
  <c r="DSM3" i="53" a="1"/>
  <c r="NOL3" i="53" a="1"/>
  <c r="LTC3" i="53" a="1"/>
  <c r="LLG3" i="53" a="1"/>
  <c r="PFK3" i="53" a="1"/>
  <c r="SK3" i="53" a="1"/>
  <c r="QXM3" i="53" a="1"/>
  <c r="DGD3" i="53" a="1"/>
  <c r="PXQ3" i="53" a="1"/>
  <c r="GOX3" i="53" a="1"/>
  <c r="TPP3" i="53" a="1"/>
  <c r="OFX3" i="53" a="1"/>
  <c r="IAG3" i="53" a="1"/>
  <c r="WFY3" i="53" a="1"/>
  <c r="MYW3" i="53" a="1"/>
  <c r="FSM3" i="53" a="1"/>
  <c r="CTW3" i="53" a="1"/>
  <c r="IAA3" i="53" a="1"/>
  <c r="IW3" i="53" a="1"/>
  <c r="NGS3" i="53" a="1"/>
  <c r="IUD3" i="53" a="1"/>
  <c r="VOC3" i="53" a="1"/>
  <c r="KQW3" i="53" a="1"/>
  <c r="PDR3" i="53" a="1"/>
  <c r="JPI3" i="53" a="1"/>
  <c r="DL3" i="53" a="1"/>
  <c r="GAL3" i="53" a="1"/>
  <c r="LES3" i="53" a="1"/>
  <c r="FON3" i="53" a="1"/>
  <c r="JCH3" i="53" a="1"/>
  <c r="MFL3" i="53" a="1"/>
  <c r="TWI3" i="53" a="1"/>
  <c r="MJF3" i="53" a="1"/>
  <c r="WHQ3" i="53" a="1"/>
  <c r="DEM3" i="53" a="1"/>
  <c r="KVJ3" i="53" a="1"/>
  <c r="MBA3" i="53" a="1"/>
  <c r="QPS3" i="53" a="1"/>
  <c r="TXA3" i="53" a="1"/>
  <c r="IUP3" i="53" a="1"/>
  <c r="UG3" i="53" a="1"/>
  <c r="LHN3" i="53" a="1"/>
  <c r="FZE3" i="53" a="1"/>
  <c r="DCN3" i="53" a="1"/>
  <c r="FXW3" i="53" a="1"/>
  <c r="EVJ3" i="53" a="1"/>
  <c r="ADU3" i="53" a="1"/>
  <c r="AYE3" i="53" a="1"/>
  <c r="UL3" i="53" a="1"/>
  <c r="CHV3" i="53" a="1"/>
  <c r="GSI3" i="53" a="1"/>
  <c r="OIB3" i="53" a="1"/>
  <c r="WSI3" i="53" a="1"/>
  <c r="DSY3" i="53" a="1"/>
  <c r="URK3" i="53" a="1"/>
  <c r="FRI3" i="53" a="1"/>
  <c r="KNM3" i="53" a="1"/>
  <c r="WPF3" i="53" a="1"/>
  <c r="VDA3" i="53" a="1"/>
  <c r="PZL3" i="53" a="1"/>
  <c r="KMW3" i="53" a="1"/>
  <c r="OPJ3" i="53" a="1"/>
  <c r="OAM3" i="53" a="1"/>
  <c r="OYN3" i="53" a="1"/>
  <c r="CSO3" i="53" a="1"/>
  <c r="PPF3" i="53" a="1"/>
  <c r="TMR3" i="53" a="1"/>
  <c r="SUH3" i="53" a="1"/>
  <c r="BFF3" i="53" a="1"/>
  <c r="FVT3" i="53" a="1"/>
  <c r="BWK3" i="53" a="1"/>
  <c r="CMI3" i="53" a="1"/>
  <c r="IOJ3" i="53" a="1"/>
  <c r="BKQ3" i="53" a="1"/>
  <c r="MTF3" i="53" a="1"/>
  <c r="RCN3" i="53" a="1"/>
  <c r="KLH3" i="53" a="1"/>
  <c r="GYV3" i="53" a="1"/>
  <c r="BSP3" i="53" a="1"/>
  <c r="SCI3" i="53" a="1"/>
  <c r="FAP3" i="53" a="1"/>
  <c r="UWU3" i="53" a="1"/>
  <c r="GTA3" i="53" a="1"/>
  <c r="CBC3" i="53" a="1"/>
  <c r="UFR3" i="53" a="1"/>
  <c r="RYL3" i="53" a="1"/>
  <c r="QAI3" i="53" a="1"/>
  <c r="BDA3" i="53" a="1"/>
  <c r="IDV3" i="53" a="1"/>
  <c r="EBR3" i="53" a="1"/>
  <c r="E3" i="27" a="1"/>
  <c r="NOW3" i="53" a="1"/>
  <c r="BX3" i="53" a="1"/>
  <c r="NUA3" i="53" a="1"/>
  <c r="GWC3" i="53" a="1"/>
  <c r="PRZ3" i="53" a="1"/>
  <c r="OMW3" i="53" a="1"/>
  <c r="GPP3" i="53" a="1"/>
  <c r="DXU3" i="53" a="1"/>
  <c r="DOV3" i="53" a="1"/>
  <c r="MON3" i="53" a="1"/>
  <c r="INZ3" i="53" a="1"/>
  <c r="BKR3" i="53" a="1"/>
  <c r="JFJ3" i="53" a="1"/>
  <c r="VFI3" i="53" a="1"/>
  <c r="WKN3" i="53" a="1"/>
  <c r="DGB3" i="53" a="1"/>
  <c r="BI3" i="53" a="1"/>
  <c r="UNQ3" i="53" a="1"/>
  <c r="FNH3" i="53" a="1"/>
  <c r="HBJ3" i="53" a="1"/>
  <c r="FCD3" i="53" a="1"/>
  <c r="DOL3" i="53" a="1"/>
  <c r="NDU3" i="53" a="1"/>
  <c r="QYS3" i="53" a="1"/>
  <c r="ALK3" i="53" a="1"/>
  <c r="QKF3" i="53" a="1"/>
  <c r="GIF3" i="53" a="1"/>
  <c r="PWX3" i="53" a="1"/>
  <c r="BRE3" i="53" a="1"/>
  <c r="BID3" i="53" a="1"/>
  <c r="JGU3" i="53" a="1"/>
  <c r="TLC3" i="53" a="1"/>
  <c r="JLT3" i="53" a="1"/>
  <c r="JHJ3" i="53" a="1"/>
  <c r="IBQ3" i="53" a="1"/>
  <c r="JOO3" i="53" a="1"/>
  <c r="FKD3" i="53" a="1"/>
  <c r="WZV3" i="53" a="1"/>
  <c r="CFN3" i="53" a="1"/>
  <c r="JVV3" i="53" a="1"/>
  <c r="IKB3" i="53" a="1"/>
  <c r="PZZ3" i="53" a="1"/>
  <c r="TQM3" i="53" a="1"/>
  <c r="WRS3" i="53" a="1"/>
  <c r="ASY3" i="53" a="1"/>
  <c r="TRD3" i="53" a="1"/>
  <c r="JII3" i="53" a="1"/>
  <c r="WHP3" i="53" a="1"/>
  <c r="HHN3" i="53" a="1"/>
  <c r="OIK3" i="53" a="1"/>
  <c r="LJK3" i="53" a="1"/>
  <c r="HXH3" i="53" a="1"/>
  <c r="NDJ3" i="53" a="1"/>
  <c r="CIM3" i="53" a="1"/>
  <c r="CJ3" i="53" a="1"/>
  <c r="JGG3" i="53" a="1"/>
  <c r="CIY3" i="53" a="1"/>
  <c r="RXA3" i="53" a="1"/>
  <c r="CQV3" i="53" a="1"/>
  <c r="FCY3" i="53" a="1"/>
  <c r="NKI3" i="53" a="1"/>
  <c r="ONH3" i="53" a="1"/>
  <c r="EXU3" i="53" a="1"/>
  <c r="RLY3" i="53" a="1"/>
  <c r="FYN3" i="53" a="1"/>
  <c r="UYJ3" i="53" a="1"/>
  <c r="CJN3" i="53" a="1"/>
  <c r="QBI3" i="53" a="1"/>
  <c r="IWT3" i="53" a="1"/>
  <c r="FIG3" i="53" a="1"/>
  <c r="LIQ3" i="53" a="1"/>
  <c r="DUA3" i="53" a="1"/>
  <c r="HZI3" i="53" a="1"/>
  <c r="GMQ3" i="53" a="1"/>
  <c r="PSL3" i="53" a="1"/>
  <c r="OTF3" i="53" a="1"/>
  <c r="AFA3" i="53" a="1"/>
  <c r="KKB3" i="53" a="1"/>
  <c r="CNU3" i="53" a="1"/>
  <c r="GJS3" i="53" a="1"/>
  <c r="CNV3" i="53" a="1"/>
  <c r="BDE3" i="53" a="1"/>
  <c r="LCZ3" i="53" a="1"/>
  <c r="EGV3" i="53" a="1"/>
  <c r="ODI3" i="53" a="1"/>
  <c r="PUE3" i="53" a="1"/>
  <c r="API3" i="53" a="1"/>
  <c r="CHS3" i="53" a="1"/>
  <c r="WII3" i="53" a="1"/>
  <c r="FPM3" i="53" a="1"/>
  <c r="LH3" i="53" a="1"/>
  <c r="PGN3" i="53" a="1"/>
  <c r="CGM3" i="53" a="1"/>
  <c r="OTN3" i="53" a="1"/>
  <c r="HWQ3" i="53" a="1"/>
  <c r="CON3" i="53" a="1"/>
  <c r="GFN3" i="53" a="1"/>
  <c r="TDR3" i="53" a="1"/>
  <c r="HWL3" i="53" a="1"/>
  <c r="QZT3" i="53" a="1"/>
  <c r="KGB3" i="53" a="1"/>
  <c r="MVM3" i="53" a="1"/>
  <c r="LYX3" i="53" a="1"/>
  <c r="CWI3" i="53" a="1"/>
  <c r="GSN3" i="53" a="1"/>
  <c r="SYV3" i="53" a="1"/>
  <c r="IKG3" i="53" a="1"/>
  <c r="BAB3" i="53" a="1"/>
  <c r="EWC3" i="53" a="1"/>
  <c r="MSG3" i="53" a="1"/>
  <c r="KOR3" i="53" a="1"/>
  <c r="IHR3" i="53" a="1"/>
  <c r="DHH3" i="53" a="1"/>
  <c r="CZE3" i="53" a="1"/>
  <c r="BBM3" i="53" a="1"/>
  <c r="TER3" i="53" a="1"/>
  <c r="UDD3" i="53" a="1"/>
  <c r="TIP3" i="53" a="1"/>
  <c r="PAI3" i="53" a="1"/>
  <c r="BCL3" i="53" a="1"/>
  <c r="FWT3" i="53" a="1"/>
  <c r="GR3" i="53" a="1"/>
  <c r="PLJ3" i="53" a="1"/>
  <c r="GSR3" i="53" a="1"/>
  <c r="STX3" i="53" a="1"/>
  <c r="BWV3" i="53" a="1"/>
  <c r="FKN3" i="53" a="1"/>
  <c r="FBY3" i="53" a="1"/>
  <c r="DAO3" i="53" a="1"/>
  <c r="BTC3" i="53" a="1"/>
  <c r="BU3" i="53" a="1"/>
  <c r="LRK3" i="53" a="1"/>
  <c r="GKJ3" i="53" a="1"/>
  <c r="JBJ3" i="53" a="1"/>
  <c r="PYC3" i="53" a="1"/>
  <c r="DAF3" i="53" a="1"/>
  <c r="MS3" i="53" a="1"/>
  <c r="SGP3" i="53" a="1"/>
  <c r="FFA3" i="53" a="1"/>
  <c r="OFT3" i="53" a="1"/>
  <c r="DH3" i="53" a="1"/>
  <c r="UAD3" i="53" a="1"/>
  <c r="DBY3" i="53" a="1"/>
  <c r="OKP3" i="53" a="1"/>
  <c r="HMA3" i="53" a="1"/>
  <c r="GFF3" i="53" a="1"/>
  <c r="CIJ3" i="53" a="1"/>
  <c r="VIJ3" i="53" a="1"/>
  <c r="BRC3" i="53" a="1"/>
  <c r="JFR3" i="53" a="1"/>
  <c r="DTW3" i="53" a="1"/>
  <c r="DOC3" i="53" a="1"/>
  <c r="AAM3" i="53" a="1"/>
  <c r="ZF3" i="53" a="1"/>
  <c r="AHF3" i="53" a="1"/>
  <c r="KPC3" i="53" a="1"/>
  <c r="QCQ3" i="53" a="1"/>
  <c r="RZO3" i="53" a="1"/>
  <c r="SXK3" i="53" a="1"/>
  <c r="TWO3" i="53" a="1"/>
  <c r="SOY3" i="53" a="1"/>
  <c r="MDC3" i="53" a="1"/>
  <c r="JLL3" i="53" a="1"/>
  <c r="JVS3" i="53" a="1"/>
  <c r="OBO3" i="53" a="1"/>
  <c r="VUC3" i="53" a="1"/>
  <c r="GBG3" i="53" a="1"/>
  <c r="DZA3" i="53" a="1"/>
  <c r="BFK3" i="53" a="1"/>
  <c r="VSP3" i="53" a="1"/>
  <c r="C70" i="53" a="1"/>
  <c r="CHN3" i="53" a="1"/>
  <c r="VUU3" i="53" a="1"/>
  <c r="KDA3" i="53" a="1"/>
  <c r="IJW3" i="53" a="1"/>
  <c r="QFO3" i="53" a="1"/>
  <c r="C55" i="53" a="1"/>
  <c r="WRM3" i="53" a="1"/>
  <c r="LGY3" i="53" a="1"/>
  <c r="GEO3" i="53" a="1"/>
  <c r="PXM3" i="53" a="1"/>
  <c r="NDL3" i="53" a="1"/>
  <c r="BXA3" i="53" a="1"/>
  <c r="OAA3" i="53" a="1"/>
  <c r="UYK3" i="53" a="1"/>
  <c r="SPO3" i="53" a="1"/>
  <c r="RTV3" i="53" a="1"/>
  <c r="LHV3" i="53" a="1"/>
  <c r="EUA3" i="53" a="1"/>
  <c r="ONA3" i="53" a="1"/>
  <c r="FKC3" i="53" a="1"/>
  <c r="JDK3" i="53" a="1"/>
  <c r="QFD3" i="53" a="1"/>
  <c r="NVQ3" i="53" a="1"/>
  <c r="AEE3" i="53" a="1"/>
  <c r="GWE3" i="53" a="1"/>
  <c r="VJQ3" i="53" a="1"/>
  <c r="SSQ3" i="53" a="1"/>
  <c r="BXO3" i="53" a="1"/>
  <c r="LTT3" i="53" a="1"/>
  <c r="OAE3" i="53" a="1"/>
  <c r="VDG3" i="53" a="1"/>
  <c r="JWN3" i="53" a="1"/>
  <c r="VKC3" i="53" a="1"/>
  <c r="IAT3" i="53" a="1"/>
  <c r="TBQ3" i="53" a="1"/>
  <c r="EHB3" i="53" a="1"/>
  <c r="EVO3" i="53" a="1"/>
  <c r="CDS3" i="53" a="1"/>
  <c r="NJA3" i="53" a="1"/>
  <c r="DO3" i="53" a="1"/>
  <c r="HXB3" i="53" a="1"/>
  <c r="AZF3" i="53" a="1"/>
  <c r="VGI3" i="53" a="1"/>
  <c r="OXK3" i="53" a="1"/>
  <c r="VQU3" i="53" a="1"/>
  <c r="MAA3" i="53" a="1"/>
  <c r="LFL3" i="53" a="1"/>
  <c r="SJW3" i="53" a="1"/>
  <c r="ALN3" i="53" a="1"/>
  <c r="GJH3" i="53" a="1"/>
  <c r="UCC3" i="53" a="1"/>
  <c r="GPF3" i="53" a="1"/>
  <c r="HEQ3" i="53" a="1"/>
  <c r="NTQ3" i="53" a="1"/>
  <c r="ECT3" i="53" a="1"/>
  <c r="NBD3" i="53" a="1"/>
  <c r="URS3" i="53" a="1"/>
  <c r="OZG3" i="53" a="1"/>
  <c r="OWH3" i="53" a="1"/>
  <c r="LYH3" i="53" a="1"/>
  <c r="HEB3" i="53" a="1"/>
  <c r="LSF3" i="53" a="1"/>
  <c r="CCV3" i="53" a="1"/>
  <c r="ABR3" i="53" a="1"/>
  <c r="GQT3" i="53" a="1"/>
  <c r="TCD3" i="53" a="1"/>
  <c r="IJJ3" i="53" a="1"/>
  <c r="PVK3" i="53" a="1"/>
  <c r="XV3" i="53" a="1"/>
  <c r="AXL3" i="53" a="1"/>
  <c r="CYU3" i="53" a="1"/>
  <c r="XM3" i="53" a="1"/>
  <c r="UHX3" i="53" a="1"/>
  <c r="VEY3" i="53" a="1"/>
  <c r="JPK3" i="53" a="1"/>
  <c r="MLF3" i="53" a="1"/>
  <c r="RTX3" i="53" a="1"/>
  <c r="MLY3" i="53" a="1"/>
  <c r="IFS3" i="53" a="1"/>
  <c r="AQS3" i="53" a="1"/>
  <c r="PNB3" i="53" a="1"/>
  <c r="IUN3" i="53" a="1"/>
  <c r="CNY3" i="53" a="1"/>
  <c r="IEK3" i="53" a="1"/>
  <c r="AXA3" i="53" a="1"/>
  <c r="SPB3" i="53" a="1"/>
  <c r="LAP3" i="53" a="1"/>
  <c r="JXI3" i="53" a="1"/>
  <c r="RMK3" i="53" a="1"/>
  <c r="WXU3" i="53" a="1"/>
  <c r="BNQ3" i="53" a="1"/>
  <c r="VAW3" i="53" a="1"/>
  <c r="CKB3" i="53" a="1"/>
  <c r="BZF3" i="53" a="1"/>
  <c r="GTD3" i="53" a="1"/>
  <c r="HP3" i="53" a="1"/>
  <c r="GYA3" i="53" a="1"/>
  <c r="CJL3" i="53" a="1"/>
  <c r="GNG3" i="53" a="1"/>
  <c r="CAA3" i="53" a="1"/>
  <c r="CPS3" i="53" a="1"/>
  <c r="FFJ3" i="53" a="1"/>
  <c r="DKC3" i="53" a="1"/>
  <c r="CTS3" i="53" a="1"/>
  <c r="DDX3" i="53" a="1"/>
  <c r="GOC3" i="53" a="1"/>
  <c r="FEF3" i="53" a="1"/>
  <c r="QSL3" i="53" a="1"/>
  <c r="LZC3" i="53" a="1"/>
  <c r="AVU3" i="53" a="1"/>
  <c r="FTL3" i="53" a="1"/>
  <c r="CRZ3" i="53" a="1"/>
  <c r="IFF3" i="53" a="1"/>
  <c r="OKO3" i="53" a="1"/>
  <c r="CXU3" i="53" a="1"/>
  <c r="HJF3" i="53" a="1"/>
  <c r="DDS3" i="53" a="1"/>
  <c r="CXL3" i="53" a="1"/>
  <c r="NLB3" i="53" a="1"/>
  <c r="YB3" i="53" a="1"/>
  <c r="LZU3" i="53" a="1"/>
  <c r="ATP3" i="53" a="1"/>
  <c r="WT3" i="53" a="1"/>
  <c r="EOE3" i="53" a="1"/>
  <c r="UUF3" i="53" a="1"/>
  <c r="DWU3" i="53" a="1"/>
  <c r="GUO3" i="53" a="1"/>
  <c r="JHN3" i="53" a="1"/>
  <c r="OYF3" i="53" a="1"/>
  <c r="CGE3" i="53" a="1"/>
  <c r="KRF3" i="53" a="1"/>
  <c r="MND3" i="53" a="1"/>
  <c r="IEH3" i="53" a="1"/>
  <c r="TFJ3" i="53" a="1"/>
  <c r="DRU3" i="53" a="1"/>
  <c r="KJB3" i="53" a="1"/>
  <c r="SZR3" i="53" a="1"/>
  <c r="RK3" i="53" a="1"/>
  <c r="RJX3" i="53" a="1"/>
  <c r="RXK3" i="53" a="1"/>
  <c r="AY3" i="53" a="1"/>
  <c r="FVJ3" i="53" a="1"/>
  <c r="AOV3" i="53" a="1"/>
  <c r="JRO3" i="53" a="1"/>
  <c r="JQN3" i="53" a="1"/>
  <c r="OVK3" i="53" a="1"/>
  <c r="MKO3" i="53" a="1"/>
  <c r="NZY3" i="53" a="1"/>
  <c r="PRE3" i="53" a="1"/>
  <c r="PYG3" i="53" a="1"/>
  <c r="BBZ3" i="53" a="1"/>
  <c r="OGX3" i="53" a="1"/>
  <c r="SSO3" i="53" a="1"/>
  <c r="INM3" i="53" a="1"/>
  <c r="DIB3" i="53" a="1"/>
  <c r="LTU3" i="53" a="1"/>
  <c r="NMZ3" i="53" a="1"/>
  <c r="WUB3" i="53" a="1"/>
  <c r="ALI3" i="53" a="1"/>
  <c r="JQD3" i="53" a="1"/>
  <c r="JWF3" i="53" a="1"/>
  <c r="FPW3" i="53" a="1"/>
  <c r="SBP3" i="53" a="1"/>
  <c r="NGM3" i="53" a="1"/>
  <c r="AKR3" i="53" a="1"/>
  <c r="JCO3" i="53" a="1"/>
  <c r="UOG3" i="53" a="1"/>
  <c r="IPG3" i="53" a="1"/>
  <c r="BXZ3" i="53" a="1"/>
  <c r="KPS3" i="53" a="1"/>
  <c r="HOD3" i="53" a="1"/>
  <c r="PTS3" i="53" a="1"/>
  <c r="AZH3" i="53" a="1"/>
  <c r="HSI3" i="53" a="1"/>
  <c r="DJN3" i="53" a="1"/>
  <c r="FTF3" i="53" a="1"/>
  <c r="DFU3" i="53" a="1"/>
  <c r="KDR3" i="53" a="1"/>
  <c r="QBJ3" i="53" a="1"/>
  <c r="FZC3" i="53" a="1"/>
  <c r="DPU3" i="53" a="1"/>
  <c r="PQH3" i="53" a="1"/>
  <c r="LGN3" i="53" a="1"/>
  <c r="BHB3" i="53" a="1"/>
  <c r="NS3" i="53" a="1"/>
  <c r="BCJ3" i="53" a="1"/>
  <c r="JVZ3" i="53" a="1"/>
  <c r="FNR3" i="53" a="1"/>
  <c r="OUY3" i="53" a="1"/>
  <c r="MLS3" i="53" a="1"/>
  <c r="AYQ3" i="53" a="1"/>
  <c r="QJF3" i="53" a="1"/>
  <c r="HVJ3" i="53" a="1"/>
  <c r="WFC3" i="53" a="1"/>
  <c r="PXF3" i="53" a="1"/>
  <c r="FJY3" i="53" a="1"/>
  <c r="BDX3" i="53" a="1"/>
  <c r="LNH3" i="53" a="1"/>
  <c r="KAR3" i="53" a="1"/>
  <c r="PRL3" i="53" a="1"/>
  <c r="FFX3" i="53" a="1"/>
  <c r="FOX3" i="53" a="1"/>
  <c r="UKY3" i="53" a="1"/>
  <c r="MCQ3" i="53" a="1"/>
  <c r="IYS3" i="53" a="1"/>
  <c r="PPU3" i="53" a="1"/>
  <c r="FHC3" i="53" a="1"/>
  <c r="KSQ3" i="53" a="1"/>
  <c r="KPG3" i="53" a="1"/>
  <c r="RI3" i="53" a="1"/>
  <c r="WIG3" i="53" a="1"/>
  <c r="RAA3" i="53" a="1"/>
  <c r="KFS3" i="53" a="1"/>
  <c r="DLY3" i="53" a="1"/>
  <c r="QM3" i="53" a="1"/>
  <c r="CBT3" i="53" a="1"/>
  <c r="PNA3" i="53" a="1"/>
  <c r="HAR3" i="53" a="1"/>
  <c r="PON3" i="53" a="1"/>
  <c r="EYN3" i="53" a="1"/>
  <c r="HML3" i="53" a="1"/>
  <c r="IHT3" i="53" a="1"/>
  <c r="JYV3" i="53" a="1"/>
  <c r="CCZ3" i="53" a="1"/>
  <c r="KGP3" i="53" a="1"/>
  <c r="AWB3" i="53" a="1"/>
  <c r="WMT3" i="53" a="1"/>
  <c r="PL3" i="53" a="1"/>
  <c r="SAS3" i="53" a="1"/>
  <c r="HOE3" i="53" a="1"/>
  <c r="KYZ3" i="53" a="1"/>
  <c r="DGY3" i="53" a="1"/>
  <c r="JL3" i="53" a="1"/>
  <c r="TCR3" i="53" a="1"/>
  <c r="QIO3" i="53" a="1"/>
  <c r="GTL3" i="53" a="1"/>
  <c r="AUG3" i="53" a="1"/>
  <c r="GCL3" i="53" a="1"/>
  <c r="GTE3" i="53" a="1"/>
  <c r="GNN3" i="53" a="1"/>
  <c r="TAS3" i="53" a="1"/>
  <c r="RWD3" i="53" a="1"/>
  <c r="FS3" i="53" a="1"/>
  <c r="C47" i="53" a="1"/>
  <c r="ITB3" i="53" a="1"/>
  <c r="ABZ3" i="53" a="1"/>
  <c r="FKM3" i="53" a="1"/>
  <c r="OOQ3" i="53" a="1"/>
  <c r="JGH3" i="53" a="1"/>
  <c r="APC3" i="53" a="1"/>
  <c r="TSW3" i="53" a="1"/>
  <c r="WNN3" i="53" a="1"/>
  <c r="ATZ3" i="53" a="1"/>
  <c r="DZL3" i="53" a="1"/>
  <c r="PKH3" i="53" a="1"/>
  <c r="RA3" i="53" a="1"/>
  <c r="LEL3" i="53" a="1"/>
  <c r="SAP3" i="53" a="1"/>
  <c r="GLZ3" i="53" a="1"/>
  <c r="DTT3" i="53" a="1"/>
  <c r="EPN3" i="53" a="1"/>
  <c r="DDK3" i="53" a="1"/>
  <c r="HWW3" i="53" a="1"/>
  <c r="KSH3" i="53" a="1"/>
  <c r="GHP3" i="53" a="1"/>
  <c r="DNS3" i="53" a="1"/>
  <c r="BJG3" i="53" a="1"/>
  <c r="CRX3" i="53" a="1"/>
  <c r="FIW3" i="53" a="1"/>
  <c r="DXS3" i="53" a="1"/>
  <c r="PFV3" i="53" a="1"/>
  <c r="AAA3" i="53" a="1"/>
  <c r="GPK3" i="53" a="1"/>
  <c r="LUP3" i="53" a="1"/>
  <c r="SSE3" i="53" a="1"/>
  <c r="GZF3" i="53" a="1"/>
  <c r="CAO3" i="53" a="1"/>
  <c r="LAI3" i="53" a="1"/>
  <c r="JRC3" i="53" a="1"/>
  <c r="NIA3" i="53" a="1"/>
  <c r="FKO3" i="53" a="1"/>
  <c r="FOJ3" i="53" a="1"/>
  <c r="DAL3" i="53" a="1"/>
  <c r="EFX3" i="53" a="1"/>
  <c r="OJU3" i="53" a="1"/>
  <c r="GYH3" i="53" a="1"/>
  <c r="ILR3" i="53" a="1"/>
  <c r="JTQ3" i="53" a="1"/>
  <c r="FL3" i="53" a="1"/>
  <c r="J3" i="53" a="1"/>
  <c r="MOF3" i="53" a="1"/>
  <c r="RUR3" i="53" a="1"/>
  <c r="PCY3" i="53" a="1"/>
  <c r="PMD3" i="53" a="1"/>
  <c r="QDV3" i="53" a="1"/>
  <c r="SJS3" i="53" a="1"/>
  <c r="MUD3" i="53" a="1"/>
  <c r="NLO3" i="53" a="1"/>
  <c r="DME3" i="53" a="1"/>
  <c r="DPS3" i="53" a="1"/>
  <c r="NWQ3" i="53" a="1"/>
  <c r="KMU3" i="53" a="1"/>
  <c r="FWW3" i="53" a="1"/>
  <c r="E3" i="52" a="1"/>
  <c r="LZO3" i="53" a="1"/>
  <c r="WRZ3" i="53" a="1"/>
  <c r="UUT3" i="53" a="1"/>
  <c r="HS3" i="53" a="1"/>
  <c r="ITK3" i="53" a="1"/>
  <c r="CBR3" i="53" a="1"/>
  <c r="OQG3" i="53" a="1"/>
  <c r="EHP3" i="53" a="1"/>
  <c r="CNC3" i="53" a="1"/>
  <c r="GER3" i="53" a="1"/>
  <c r="ENI3" i="53" a="1"/>
  <c r="QBD3" i="53" a="1"/>
  <c r="BDG3" i="53" a="1"/>
  <c r="IQV3" i="53" a="1"/>
  <c r="EPD3" i="53" a="1"/>
  <c r="LFG3" i="53" a="1"/>
  <c r="OBZ3" i="53" a="1"/>
  <c r="TST3" i="53" a="1"/>
  <c r="KEW3" i="53" a="1"/>
  <c r="EGJ3" i="53" a="1"/>
  <c r="AFS3" i="53" a="1"/>
  <c r="VIP3" i="53" a="1"/>
  <c r="EFK3" i="53" a="1"/>
  <c r="BWD3" i="53" a="1"/>
  <c r="CLH3" i="53" a="1"/>
  <c r="DIW3" i="53" a="1"/>
  <c r="TOS3" i="53" a="1"/>
  <c r="GBN3" i="53" a="1"/>
  <c r="SQN3" i="53" a="1"/>
  <c r="OGF3" i="53" a="1"/>
  <c r="BKY3" i="53" a="1"/>
  <c r="RRE3" i="53" a="1"/>
  <c r="EVZ3" i="53" a="1"/>
  <c r="ORQ3" i="53" a="1"/>
  <c r="DKR3" i="53" a="1"/>
  <c r="QVQ3" i="53" a="1"/>
  <c r="TA3" i="53" a="1"/>
  <c r="OHX3" i="53" a="1"/>
  <c r="BEK3" i="53" a="1"/>
  <c r="KCN3" i="53" a="1"/>
  <c r="GJC3" i="53" a="1"/>
  <c r="A3" i="27" a="1"/>
  <c r="EYY3" i="53" a="1"/>
  <c r="HBQ3" i="53" a="1"/>
  <c r="SQF3" i="53" a="1"/>
  <c r="ATG3" i="53" a="1"/>
  <c r="BWH3" i="53" a="1"/>
  <c r="DCH3" i="53" a="1"/>
  <c r="NHI3" i="53" a="1"/>
  <c r="SYR3" i="53" a="1"/>
  <c r="ANL3" i="53" a="1"/>
  <c r="KNX3" i="53" a="1"/>
  <c r="MBF3" i="53" a="1"/>
  <c r="EZQ3" i="53" a="1"/>
  <c r="ITU3" i="53" a="1"/>
  <c r="FFZ3" i="53" a="1"/>
  <c r="KDW3" i="53" a="1"/>
  <c r="FXL3" i="53" a="1"/>
  <c r="BGC3" i="53" a="1"/>
  <c r="MPT3" i="53" a="1"/>
  <c r="OYW3" i="53" a="1"/>
  <c r="KUZ3" i="53" a="1"/>
  <c r="RJN3" i="53" a="1"/>
  <c r="TBB3" i="53" a="1"/>
  <c r="TLT3" i="53" a="1"/>
  <c r="QUB3" i="53" a="1"/>
  <c r="NTP3" i="53" a="1"/>
  <c r="IQI3" i="53" a="1"/>
  <c r="TII3" i="53" a="1"/>
  <c r="JOV3" i="53" a="1"/>
  <c r="JET3" i="53" a="1"/>
  <c r="SDS3" i="53" a="1"/>
  <c r="RQE3" i="53" a="1"/>
  <c r="LMB3" i="53" a="1"/>
  <c r="KLK3" i="53" a="1"/>
  <c r="CPX3" i="53" a="1"/>
  <c r="FDC3" i="53" a="1"/>
  <c r="TMA3" i="53" a="1"/>
  <c r="PZY3" i="53" a="1"/>
  <c r="HUS3" i="53" a="1"/>
  <c r="GXI3" i="53" a="1"/>
  <c r="QET3" i="53" a="1"/>
  <c r="BOR3" i="53" a="1"/>
  <c r="MXG3" i="53" a="1"/>
  <c r="CSZ3" i="53" a="1"/>
  <c r="GXG3" i="53" a="1"/>
  <c r="SHJ3" i="53" a="1"/>
  <c r="CYP3" i="53" a="1"/>
  <c r="AIY3" i="53" a="1"/>
  <c r="UWM3" i="53" a="1"/>
  <c r="QUO3" i="53" a="1"/>
  <c r="QNE3" i="53" a="1"/>
  <c r="OL3" i="53" a="1"/>
  <c r="C40" i="53" a="1"/>
  <c r="DBI3" i="53" a="1"/>
  <c r="JFT3" i="53" a="1"/>
  <c r="VOI3" i="53" a="1"/>
  <c r="CWP3" i="53" a="1"/>
  <c r="HHV3" i="53" a="1"/>
  <c r="STM3" i="53" a="1"/>
  <c r="LFN3" i="53" a="1"/>
  <c r="VCB3" i="53" a="1"/>
  <c r="AZP3" i="53" a="1"/>
  <c r="JKG3" i="53" a="1"/>
  <c r="GAW3" i="53" a="1"/>
  <c r="TPM3" i="53" a="1"/>
  <c r="UW3" i="53" a="1"/>
  <c r="IJU3" i="53" a="1"/>
  <c r="BAC3" i="53" a="1"/>
  <c r="LAD3" i="53" a="1"/>
  <c r="JME3" i="53" a="1"/>
  <c r="KQM3" i="53" a="1"/>
  <c r="EWY3" i="53" a="1"/>
  <c r="NSR3" i="53" a="1"/>
  <c r="WYE3" i="53" a="1"/>
  <c r="AQR3" i="53" a="1"/>
  <c r="XEX3" i="53" a="1"/>
  <c r="TAD3" i="53" a="1"/>
  <c r="LYT3" i="53" a="1"/>
  <c r="HXU3" i="53" a="1"/>
  <c r="ABS3" i="53" a="1"/>
  <c r="OKA3" i="53" a="1"/>
  <c r="ETC3" i="53" a="1"/>
  <c r="NYT3" i="53" a="1"/>
  <c r="MUZ3" i="53" a="1"/>
  <c r="QTN3" i="53" a="1"/>
  <c r="QYO3" i="53" a="1"/>
  <c r="V3" i="53" a="1"/>
  <c r="MNP3" i="53" a="1"/>
  <c r="GBR3" i="53" a="1"/>
  <c r="NOE3" i="53" a="1"/>
  <c r="MTZ3" i="53" a="1"/>
  <c r="DNT3" i="53" a="1"/>
  <c r="DUQ3" i="53" a="1"/>
  <c r="NC3" i="53" a="1"/>
  <c r="BDC3" i="53" a="1"/>
  <c r="AV3" i="53" a="1"/>
  <c r="HZR3" i="53" a="1"/>
  <c r="OSX3" i="53" a="1"/>
  <c r="CIE3" i="53" a="1"/>
  <c r="MDD3" i="53" a="1"/>
  <c r="RFF3" i="53" a="1"/>
  <c r="EGO3" i="53" a="1"/>
  <c r="OGB3" i="53" a="1"/>
  <c r="JTG3" i="53" a="1"/>
  <c r="AEB3" i="53" a="1"/>
  <c r="GOS3" i="53" a="1"/>
  <c r="CDX3" i="53" a="1"/>
  <c r="NTO3" i="53" a="1"/>
  <c r="TMH3" i="53" a="1"/>
  <c r="RPB3" i="53" a="1"/>
  <c r="JIF3" i="53" a="1"/>
  <c r="ERP3" i="53" a="1"/>
  <c r="NXF3" i="53" a="1"/>
  <c r="WIP3" i="53" a="1"/>
  <c r="WAZ3" i="53" a="1"/>
  <c r="OQH3" i="53" a="1"/>
  <c r="MKN3" i="53" a="1"/>
  <c r="ARP3" i="53" a="1"/>
  <c r="JSK3" i="53" a="1"/>
  <c r="QIV3" i="53" a="1"/>
  <c r="HKX3" i="53" a="1"/>
  <c r="ITV3" i="53" a="1"/>
  <c r="HKS3" i="53" a="1"/>
  <c r="MJN3" i="53" a="1"/>
  <c r="JFE3" i="53" a="1"/>
  <c r="FYF3" i="53" a="1"/>
  <c r="TUX3" i="53" a="1"/>
  <c r="UOD3" i="53" a="1"/>
  <c r="SYK3" i="53" a="1"/>
  <c r="UDR3" i="53" a="1"/>
  <c r="CRD3" i="53" a="1"/>
  <c r="MDM3" i="53" a="1"/>
  <c r="DGX3" i="53" a="1"/>
  <c r="CYX3" i="53" a="1"/>
  <c r="RRC3" i="53" a="1"/>
  <c r="WW3" i="53" a="1"/>
  <c r="CA3" i="53" a="1"/>
  <c r="LXS3" i="53" a="1"/>
  <c r="XDG3" i="53" a="1"/>
  <c r="CX3" i="53" a="1"/>
  <c r="KLW3" i="53" a="1"/>
  <c r="OLS3" i="53" a="1"/>
  <c r="IFD3" i="53" a="1"/>
  <c r="SM3" i="53" a="1"/>
  <c r="HCX3" i="53" a="1"/>
  <c r="USQ3" i="53" a="1"/>
  <c r="QVD3" i="53" a="1"/>
  <c r="ASF3" i="53" a="1"/>
  <c r="XFB3" i="53" a="1"/>
  <c r="QER3" i="53" a="1"/>
  <c r="JLK3" i="53" a="1"/>
  <c r="UUB3" i="53" a="1"/>
  <c r="FH3" i="53" a="1"/>
  <c r="HQE3" i="53" a="1"/>
  <c r="KBG3" i="53" a="1"/>
  <c r="UNJ3" i="53" a="1"/>
  <c r="IBU3" i="53" a="1"/>
  <c r="RMQ3" i="53" a="1"/>
  <c r="JAY3" i="53" a="1"/>
  <c r="ONJ3" i="53" a="1"/>
  <c r="SHM3" i="53" a="1"/>
  <c r="NIW3" i="53" a="1"/>
  <c r="GVW3" i="53" a="1"/>
  <c r="HBN3" i="53" a="1"/>
  <c r="UY3" i="53" a="1"/>
  <c r="QAY3" i="53" a="1"/>
  <c r="PZU3" i="53" a="1"/>
  <c r="QCW3" i="53" a="1"/>
  <c r="INP3" i="53" a="1"/>
  <c r="FSZ3" i="53" a="1"/>
  <c r="CXQ3" i="53" a="1"/>
  <c r="FSG3" i="53" a="1"/>
  <c r="RFM3" i="53" a="1"/>
  <c r="MU3" i="53" a="1"/>
  <c r="KJA3" i="53" a="1"/>
  <c r="VWS3" i="53" a="1"/>
  <c r="TNN3" i="53" a="1"/>
  <c r="BWA3" i="53" a="1"/>
  <c r="UFV3" i="53" a="1"/>
  <c r="NHB3" i="53" a="1"/>
  <c r="JKV3" i="53" a="1"/>
  <c r="RRD3" i="53" a="1"/>
  <c r="RIB3" i="53" a="1"/>
  <c r="ESX3" i="53" a="1"/>
  <c r="DKY3" i="53" a="1"/>
  <c r="WGL3" i="53" a="1"/>
  <c r="QYF3" i="53" a="1"/>
  <c r="BE3" i="53" a="1"/>
  <c r="NWT3" i="53" a="1"/>
  <c r="RAE3" i="53" a="1"/>
  <c r="F3" i="27" a="1"/>
  <c r="LQA3" i="53" a="1"/>
  <c r="HXI3" i="53" a="1"/>
  <c r="AIO3" i="53" a="1"/>
  <c r="GQN3" i="53" a="1"/>
  <c r="QEJ3" i="53" a="1"/>
  <c r="LZF3" i="53" a="1"/>
  <c r="RAL3" i="53" a="1"/>
  <c r="SX3" i="53" a="1"/>
  <c r="SRU3" i="53" a="1"/>
  <c r="HRU3" i="53" a="1"/>
  <c r="AAC3" i="53" a="1"/>
  <c r="KVP3" i="53" a="1"/>
  <c r="BLQ3" i="53" a="1"/>
  <c r="MDB3" i="53" a="1"/>
  <c r="E5" i="53" a="1"/>
  <c r="UWJ3" i="53" a="1"/>
  <c r="JVB3" i="53" a="1"/>
  <c r="RTI3" i="53" a="1"/>
  <c r="EFY3" i="53" a="1"/>
  <c r="PCA3" i="53" a="1"/>
  <c r="GT3" i="53" a="1"/>
  <c r="WCV3" i="53" a="1"/>
  <c r="RC3" i="53" a="1"/>
  <c r="EYA3" i="53" a="1"/>
  <c r="ODR3" i="53" a="1"/>
  <c r="BDO3" i="53" a="1"/>
  <c r="DLF3" i="53" a="1"/>
  <c r="BCE3" i="53" a="1"/>
  <c r="LVU3" i="53" a="1"/>
  <c r="CNR3" i="53" a="1"/>
  <c r="GEZ3" i="53" a="1"/>
  <c r="UNU3" i="53" a="1"/>
  <c r="OG3" i="53" a="1"/>
  <c r="CSW3" i="53" a="1"/>
  <c r="EZZ3" i="53" a="1"/>
  <c r="FDB3" i="53" a="1"/>
  <c r="QLV3" i="53" a="1"/>
  <c r="HII3" i="53" a="1"/>
  <c r="GCV3" i="53" a="1"/>
  <c r="SSU3" i="53" a="1"/>
  <c r="PZO3" i="53" a="1"/>
  <c r="DPJ3" i="53" a="1"/>
  <c r="MEZ3" i="53" a="1"/>
  <c r="GSU3" i="53" a="1"/>
  <c r="BKA3" i="53" a="1"/>
  <c r="IQF3" i="53" a="1"/>
  <c r="IMD3" i="53" a="1"/>
  <c r="KGR3" i="53" a="1"/>
  <c r="XAZ3" i="53" a="1"/>
  <c r="ICV3" i="53" a="1"/>
  <c r="KXD3" i="53" a="1"/>
  <c r="OQD3" i="53" a="1"/>
  <c r="BPJ3" i="53" a="1"/>
  <c r="FZP3" i="53" a="1"/>
  <c r="QEA3" i="53" a="1"/>
  <c r="EJU3" i="53" a="1"/>
  <c r="TUK3" i="53" a="1"/>
  <c r="QWS3" i="53" a="1"/>
  <c r="IQY3" i="53" a="1"/>
  <c r="CTA3" i="53" a="1"/>
  <c r="BM3" i="53" a="1"/>
  <c r="HZK3" i="53" a="1"/>
  <c r="AQG3" i="53" a="1"/>
  <c r="FYW3" i="53" a="1"/>
  <c r="EZX3" i="53" a="1"/>
  <c r="DFV3" i="53" a="1"/>
  <c r="USE3" i="53" a="1"/>
  <c r="UZK3" i="53" a="1"/>
  <c r="DVI3" i="53" a="1"/>
  <c r="TIC3" i="53" a="1"/>
  <c r="ICM3" i="53" a="1"/>
  <c r="NSX3" i="53" a="1"/>
  <c r="KYF3" i="53" a="1"/>
  <c r="EVT3" i="53" a="1"/>
  <c r="JTB3" i="53" a="1"/>
  <c r="JYU3" i="53" a="1"/>
  <c r="TOV3" i="53" a="1"/>
  <c r="NGA3" i="53" a="1"/>
  <c r="LYC3" i="53" a="1"/>
  <c r="BKB3" i="53" a="1"/>
  <c r="DIX3" i="53" a="1"/>
  <c r="GQG3" i="53" a="1"/>
  <c r="OUL3" i="53" a="1"/>
  <c r="UJQ3" i="53" a="1"/>
  <c r="HYD3" i="53" a="1"/>
  <c r="EGY3" i="53" a="1"/>
  <c r="ANY3" i="53" a="1"/>
  <c r="E5" i="31" a="1"/>
  <c r="FSP3" i="53" a="1"/>
  <c r="IJL3" i="53" a="1"/>
  <c r="VAL3" i="53" a="1"/>
  <c r="EGZ3" i="53" a="1"/>
  <c r="IXI3" i="53" a="1"/>
  <c r="DHA3" i="53" a="1"/>
  <c r="DDC3" i="53" a="1"/>
  <c r="KIJ3" i="53" a="1"/>
  <c r="EOA3" i="53" a="1"/>
  <c r="RLT3" i="53" a="1"/>
  <c r="QBX3" i="53" a="1"/>
  <c r="VBA3" i="53" a="1"/>
  <c r="TLG3" i="53" a="1"/>
  <c r="LCS3" i="53" a="1"/>
  <c r="MDS3" i="53" a="1"/>
  <c r="DGK3" i="53" a="1"/>
  <c r="UCN3" i="53" a="1"/>
  <c r="AXB3" i="53" a="1"/>
  <c r="PBX3" i="53" a="1"/>
  <c r="RGL3" i="53" a="1"/>
  <c r="EDM3" i="53" a="1"/>
  <c r="TUS3" i="53" a="1"/>
  <c r="AIX3" i="53" a="1"/>
  <c r="BPN3" i="53" a="1"/>
  <c r="WIO3" i="53" a="1"/>
  <c r="WG3" i="53" a="1"/>
  <c r="IEA3" i="53" a="1"/>
  <c r="KUO3" i="53" a="1"/>
  <c r="PPW3" i="53" a="1"/>
  <c r="PVS3" i="53" a="1"/>
  <c r="ACK3" i="53" a="1"/>
  <c r="TYB3" i="53" a="1"/>
  <c r="XE3" i="53" a="1"/>
  <c r="JCC3" i="53" a="1"/>
  <c r="PIB3" i="53" a="1"/>
  <c r="MJU3" i="53" a="1"/>
  <c r="OMZ3" i="53" a="1"/>
  <c r="HGI3" i="53" a="1"/>
  <c r="WVX3" i="53" a="1"/>
  <c r="WRF3" i="53" a="1"/>
  <c r="PAC3" i="53" a="1"/>
  <c r="CWR3" i="53" a="1"/>
  <c r="MTL3" i="53" a="1"/>
  <c r="MWV3" i="53" a="1"/>
  <c r="SCG3" i="53" a="1"/>
  <c r="OTA3" i="53" a="1"/>
  <c r="UGT3" i="53" a="1"/>
  <c r="ISE3" i="53" a="1"/>
  <c r="UIQ3" i="53" a="1"/>
  <c r="IZF3" i="53" a="1"/>
  <c r="BJK3" i="53" a="1"/>
  <c r="QX3" i="53" a="1"/>
  <c r="DIZ3" i="53" a="1"/>
  <c r="JZP3" i="53" a="1"/>
  <c r="KNA3" i="53" a="1"/>
  <c r="DUM3" i="53" a="1"/>
  <c r="CJO3" i="53" a="1"/>
  <c r="LIF3" i="53" a="1"/>
  <c r="OXY3" i="53" a="1"/>
  <c r="KSF3" i="53" a="1"/>
  <c r="SJA3" i="53" a="1"/>
  <c r="WJW3" i="53" a="1"/>
  <c r="PQF3" i="53" a="1"/>
  <c r="EBS3" i="53" a="1"/>
  <c r="PRF3" i="53" a="1"/>
  <c r="MPX3" i="53" a="1"/>
  <c r="CUJ3" i="53" a="1"/>
  <c r="NZH3" i="53" a="1"/>
  <c r="NLR3" i="53" a="1"/>
  <c r="RL3" i="53" a="1"/>
  <c r="KVG3" i="53" a="1"/>
  <c r="KPH3" i="53" a="1"/>
  <c r="CXJ3" i="53" a="1"/>
  <c r="PX3" i="53" a="1"/>
  <c r="JPP3" i="53" a="1"/>
  <c r="NXY3" i="53" a="1"/>
  <c r="BGN3" i="53" a="1"/>
  <c r="RIO3" i="53" a="1"/>
  <c r="PFY3" i="53" a="1"/>
  <c r="VZI3" i="53" a="1"/>
  <c r="NQO3" i="53" a="1"/>
  <c r="NY3" i="53" a="1"/>
  <c r="MXV3" i="53" a="1"/>
  <c r="RUU3" i="53" a="1"/>
  <c r="VAF3" i="53" a="1"/>
  <c r="JIS3" i="53" a="1"/>
  <c r="CVE3" i="53" a="1"/>
  <c r="HZW3" i="53" a="1"/>
  <c r="IDG3" i="53" a="1"/>
  <c r="YI3" i="53" a="1"/>
  <c r="DEZ3" i="53" a="1"/>
  <c r="CVU3" i="53" a="1"/>
  <c r="HIM3" i="53" a="1"/>
  <c r="UH3" i="53" a="1"/>
  <c r="ECE3" i="53" a="1"/>
  <c r="MSS3" i="53" a="1"/>
  <c r="TBN3" i="53" a="1"/>
  <c r="MBX3" i="53" a="1"/>
  <c r="FKZ3" i="53" a="1"/>
  <c r="TKT3" i="53" a="1"/>
  <c r="FWV3" i="53" a="1"/>
  <c r="OIS3" i="53" a="1"/>
  <c r="HJE3" i="53" a="1"/>
  <c r="GIG3" i="53" a="1"/>
  <c r="MLN3" i="53" a="1"/>
  <c r="TRM3" i="53" a="1"/>
  <c r="PXA3" i="53" a="1"/>
  <c r="BAN3" i="53" a="1"/>
  <c r="UPB3" i="53" a="1"/>
  <c r="BAX3" i="53" a="1"/>
  <c r="DNR3" i="53" a="1"/>
  <c r="IYH3" i="53" a="1"/>
  <c r="NRB3" i="53" a="1"/>
  <c r="JFB3" i="53" a="1"/>
  <c r="AZC3" i="53" a="1"/>
  <c r="DMK3" i="53" a="1"/>
  <c r="LIL3" i="53" a="1"/>
  <c r="UZA3" i="53" a="1"/>
  <c r="TWA3" i="53" a="1"/>
  <c r="EKF3" i="53" a="1"/>
  <c r="PJI3" i="53" a="1"/>
  <c r="DGI3" i="53" a="1"/>
  <c r="F3" i="56" a="1"/>
  <c r="KMR3" i="53" a="1"/>
  <c r="HQL3" i="53" a="1"/>
  <c r="PNL3" i="53" a="1"/>
  <c r="FLX3" i="53" a="1"/>
  <c r="JSO3" i="53" a="1"/>
  <c r="ASX3" i="53" a="1"/>
  <c r="GQB3" i="53" a="1"/>
  <c r="KIP3" i="53" a="1"/>
  <c r="VO3" i="53" a="1"/>
  <c r="CZK3" i="53" a="1"/>
  <c r="QWG3" i="53" a="1"/>
  <c r="FTS3" i="53" a="1"/>
  <c r="UQL3" i="53" a="1"/>
  <c r="OSR3" i="53" a="1"/>
  <c r="HHA3" i="53" a="1"/>
  <c r="QJL3" i="53" a="1"/>
  <c r="ADJ3" i="53" a="1"/>
  <c r="AJT3" i="53" a="1"/>
  <c r="OKB3" i="53" a="1"/>
  <c r="MHJ3" i="53" a="1"/>
  <c r="JUK3" i="53" a="1"/>
  <c r="OQX3" i="53" a="1"/>
  <c r="LFS3" i="53" a="1"/>
  <c r="UJ3" i="53" a="1"/>
  <c r="PZW3" i="53" a="1"/>
  <c r="FUZ3" i="53" a="1"/>
  <c r="RKH3" i="53" a="1"/>
  <c r="AWD3" i="53" a="1"/>
  <c r="RBH3" i="53" a="1"/>
  <c r="FTJ3" i="53" a="1"/>
  <c r="NPX3" i="53" a="1"/>
  <c r="LNT3" i="53" a="1"/>
  <c r="FJF3" i="53" a="1"/>
  <c r="AGJ3" i="53" a="1"/>
  <c r="LNU3" i="53" a="1"/>
  <c r="DGA3" i="53" a="1"/>
  <c r="HGO3" i="53" a="1"/>
  <c r="NAE3" i="53" a="1"/>
  <c r="AXY3" i="53" a="1"/>
  <c r="IRW3" i="53" a="1"/>
  <c r="CFG3" i="53" a="1"/>
  <c r="PIN3" i="53" a="1"/>
  <c r="KDB3" i="53" a="1"/>
  <c r="CCD3" i="53" a="1"/>
  <c r="LWD3" i="53" a="1"/>
  <c r="VRH3" i="53" a="1"/>
  <c r="RPO3" i="53" a="1"/>
  <c r="FBZ3" i="53" a="1"/>
  <c r="KPE3" i="53" a="1"/>
  <c r="PSC3" i="53" a="1"/>
  <c r="AGU3" i="53" a="1"/>
  <c r="EWA3" i="53" a="1"/>
  <c r="PQX3" i="53" a="1"/>
  <c r="LNV3" i="53" a="1"/>
  <c r="IDE3" i="53" a="1"/>
  <c r="LZP3" i="53" a="1"/>
  <c r="QJR3" i="53" a="1"/>
  <c r="FOR3" i="53" a="1"/>
  <c r="BIJ3" i="53" a="1"/>
  <c r="ASL3" i="53" a="1"/>
  <c r="FVF3" i="53" a="1"/>
  <c r="OBM3" i="53" a="1"/>
  <c r="UDG3" i="53" a="1"/>
  <c r="PSN3" i="53" a="1"/>
  <c r="SQB3" i="53" a="1"/>
  <c r="BUJ3" i="53" a="1"/>
  <c r="MRJ3" i="53" a="1"/>
  <c r="LWK3" i="53" a="1"/>
  <c r="SYL3" i="53" a="1"/>
  <c r="IXK3" i="53" a="1"/>
  <c r="JWW3" i="53" a="1"/>
  <c r="NXR3" i="53" a="1"/>
  <c r="HGH3" i="53" a="1"/>
  <c r="FHO3" i="53" a="1"/>
  <c r="QPT3" i="53" a="1"/>
  <c r="CZF3" i="53" a="1"/>
  <c r="GIK3" i="53" a="1"/>
  <c r="IUE3" i="53" a="1"/>
  <c r="KHX3" i="53" a="1"/>
  <c r="VRF3" i="53" a="1"/>
  <c r="ITG3" i="53" a="1"/>
  <c r="NLM3" i="53" a="1"/>
  <c r="ERO3" i="53" a="1"/>
  <c r="A3" i="53" a="1"/>
  <c r="TH3" i="53" a="1"/>
  <c r="IZA3" i="53" a="1"/>
  <c r="DPL3" i="53" a="1"/>
  <c r="WYA3" i="53" a="1"/>
  <c r="QHR3" i="53" a="1"/>
  <c r="DOI3" i="53" a="1"/>
  <c r="FPV3" i="53" a="1"/>
  <c r="DZY3" i="53" a="1"/>
  <c r="HOO3" i="53" a="1"/>
  <c r="HUQ3" i="53" a="1"/>
  <c r="AKA3" i="53" a="1"/>
  <c r="KXH3" i="53" a="1"/>
  <c r="CPV3" i="53" a="1"/>
  <c r="VVW3" i="53" a="1"/>
  <c r="JLY3" i="53" a="1"/>
  <c r="AMW3" i="53" a="1"/>
  <c r="GPT3" i="53" a="1"/>
  <c r="TSJ3" i="53" a="1"/>
  <c r="ENF3" i="53" a="1"/>
  <c r="GQL3" i="53" a="1"/>
  <c r="NJY3" i="53" a="1"/>
  <c r="ILT3" i="53" a="1"/>
  <c r="SVU3" i="53" a="1"/>
  <c r="EGR3" i="53" a="1"/>
  <c r="OJO3" i="53" a="1"/>
  <c r="FZI3" i="53" a="1"/>
  <c r="AIW3" i="53" a="1"/>
  <c r="IRF3" i="53" a="1"/>
  <c r="TXR3" i="53" a="1"/>
  <c r="TBU3" i="53" a="1"/>
  <c r="NUM3" i="53" a="1"/>
  <c r="INN3" i="53" a="1"/>
  <c r="CQT3" i="53" a="1"/>
  <c r="QRP3" i="53" a="1"/>
  <c r="RZZ3" i="53" a="1"/>
  <c r="YM3" i="53" a="1"/>
  <c r="QVL3" i="53" a="1"/>
  <c r="VWH3" i="53" a="1"/>
  <c r="RVC3" i="53" a="1"/>
  <c r="KHJ3" i="53" a="1"/>
  <c r="DSA3" i="53" a="1"/>
  <c r="VSO3" i="53" a="1"/>
  <c r="KIE3" i="53" a="1"/>
  <c r="KGF3" i="53" a="1"/>
  <c r="BK3" i="53" a="1"/>
  <c r="FMP3" i="53" a="1"/>
  <c r="IRX3" i="53" a="1"/>
  <c r="NDW3" i="53" a="1"/>
  <c r="AQW3" i="53" a="1"/>
  <c r="WGY3" i="53" a="1"/>
  <c r="JDA3" i="53" a="1"/>
  <c r="HAZ3" i="53" a="1"/>
  <c r="PXI3" i="53" a="1"/>
  <c r="TC3" i="53" a="1"/>
  <c r="MSV3" i="53" a="1"/>
  <c r="GMP3" i="53" a="1"/>
  <c r="UIT3" i="53" a="1"/>
  <c r="NOA3" i="53" a="1"/>
  <c r="GRY3" i="53" a="1"/>
  <c r="GRB3" i="53" a="1"/>
  <c r="HZX3" i="53" a="1"/>
  <c r="EXA3" i="53" a="1"/>
  <c r="MAN3" i="53" a="1"/>
  <c r="RIF3" i="53" a="1"/>
  <c r="LG3" i="53" a="1"/>
  <c r="QBB3" i="53" a="1"/>
  <c r="E20" i="31" a="1"/>
  <c r="KFW3" i="53" a="1"/>
  <c r="HRD3" i="53" a="1"/>
  <c r="ARC3" i="53" a="1"/>
  <c r="MKE3" i="53" a="1"/>
  <c r="SRE3" i="53" a="1"/>
  <c r="BNW3" i="53" a="1"/>
  <c r="GEV3" i="53" a="1"/>
  <c r="LC3" i="53" a="1"/>
  <c r="AKQ3" i="53" a="1"/>
  <c r="GUP3" i="53" a="1"/>
  <c r="PSK3" i="53" a="1"/>
  <c r="KER3" i="53" a="1"/>
  <c r="NSH3" i="53" a="1"/>
  <c r="DJD3" i="53" a="1"/>
  <c r="BVA3" i="53" a="1"/>
  <c r="FDF3" i="53" a="1"/>
  <c r="OTE3" i="53" a="1"/>
  <c r="FVU3" i="53" a="1"/>
  <c r="QWC3" i="53" a="1"/>
  <c r="BFA3" i="53" a="1"/>
  <c r="TQH3" i="53" a="1"/>
  <c r="NEV3" i="53" a="1"/>
  <c r="UBF3" i="53" a="1"/>
  <c r="EBZ3" i="53" a="1"/>
  <c r="EER3" i="53" a="1"/>
  <c r="SDA3" i="53" a="1"/>
  <c r="FOI3" i="53" a="1"/>
  <c r="ASI3" i="53" a="1"/>
  <c r="OJF3" i="53" a="1"/>
  <c r="GFQ3" i="53" a="1"/>
  <c r="DIM3" i="53" a="1"/>
  <c r="QVC3" i="53" a="1"/>
  <c r="PUI3" i="53" a="1"/>
  <c r="MRD3" i="53" a="1"/>
  <c r="ENY3" i="53" a="1"/>
  <c r="GDK3" i="53" a="1"/>
  <c r="PTH3" i="53" a="1"/>
  <c r="JMN3" i="53" a="1"/>
  <c r="RPU3" i="53" a="1"/>
  <c r="JCD3" i="53" a="1"/>
  <c r="GRA3" i="53" a="1"/>
  <c r="FOV3" i="53" a="1"/>
  <c r="BWE3" i="53" a="1"/>
  <c r="QXU3" i="53" a="1"/>
  <c r="KAX3" i="53" a="1"/>
  <c r="PMP3" i="53" a="1"/>
  <c r="FGY3" i="53" a="1"/>
  <c r="LQK3" i="53" a="1"/>
  <c r="XCI3" i="53" a="1"/>
  <c r="CZA3" i="53" a="1"/>
  <c r="HVO3" i="53" a="1"/>
  <c r="WOF3" i="53" a="1"/>
  <c r="CSC3" i="53" a="1"/>
  <c r="SXE3" i="53" a="1"/>
  <c r="FUK3" i="53" a="1"/>
  <c r="OSP3" i="53" a="1"/>
  <c r="BH3" i="53" a="1"/>
  <c r="NHN3" i="53" a="1"/>
  <c r="PGU3" i="53" a="1"/>
  <c r="DSV3" i="53" a="1"/>
  <c r="OCH3" i="53" a="1"/>
  <c r="VEX3" i="53" a="1"/>
  <c r="KBZ3" i="53" a="1"/>
  <c r="CFP3" i="53" a="1"/>
  <c r="OJG3" i="53" a="1"/>
  <c r="MZV3" i="53" a="1"/>
  <c r="OTD3" i="53" a="1"/>
  <c r="BAT3" i="53" a="1"/>
  <c r="MOW3" i="53" a="1"/>
  <c r="HMI3" i="53" a="1"/>
  <c r="JW3" i="53" a="1"/>
  <c r="I3" i="53" a="1"/>
  <c r="NGB3" i="53" a="1"/>
  <c r="NPK3" i="53" a="1"/>
  <c r="GHO3" i="53" a="1"/>
  <c r="GUB3" i="53" a="1"/>
  <c r="E65" i="53" a="1"/>
  <c r="GPV3" i="53" a="1"/>
  <c r="DBJ3" i="53" a="1"/>
  <c r="HBS3" i="53" a="1"/>
  <c r="IYQ3" i="53" a="1"/>
  <c r="G3" i="5" a="1"/>
  <c r="DZK3" i="53" a="1"/>
  <c r="JVE3" i="53" a="1"/>
  <c r="KJN3" i="53" a="1"/>
  <c r="FB3" i="53" a="1"/>
  <c r="FXC3" i="53" a="1"/>
  <c r="OFJ3" i="53" a="1"/>
  <c r="TDK3" i="53" a="1"/>
  <c r="CLB3" i="53" a="1"/>
  <c r="TK3" i="53" a="1"/>
  <c r="TVB3" i="53" a="1"/>
  <c r="IFO3" i="53" a="1"/>
  <c r="LZ3" i="53" a="1"/>
  <c r="PXG3" i="53" a="1"/>
  <c r="AFT3" i="53" a="1"/>
  <c r="QZH3" i="53" a="1"/>
  <c r="EOD3" i="53" a="1"/>
  <c r="UZV3" i="53" a="1"/>
  <c r="QIC3" i="53" a="1"/>
  <c r="RXC3" i="53" a="1"/>
  <c r="ABL3" i="53" a="1"/>
  <c r="BMU3" i="53" a="1"/>
  <c r="RCH3" i="53" a="1"/>
  <c r="RUV3" i="53" a="1"/>
  <c r="JJA3" i="53" a="1"/>
  <c r="KYS3" i="53" a="1"/>
  <c r="RAT3" i="53" a="1"/>
  <c r="NZL3" i="53" a="1"/>
  <c r="NHW3" i="53" a="1"/>
  <c r="PHA3" i="53" a="1"/>
  <c r="MGL3" i="53" a="1"/>
  <c r="SR3" i="53" a="1"/>
  <c r="BRJ3" i="53" a="1"/>
  <c r="RAG3" i="53" a="1"/>
  <c r="APH3" i="53" a="1"/>
  <c r="SBD3" i="53" a="1"/>
  <c r="BWY3" i="53" a="1"/>
  <c r="INV3" i="53" a="1"/>
  <c r="FRR3" i="53" a="1"/>
  <c r="BJT3" i="53" a="1"/>
  <c r="HLG3" i="53" a="1"/>
  <c r="VEL3" i="53" a="1"/>
  <c r="ELQ3" i="53" a="1"/>
  <c r="BRZ3" i="53" a="1"/>
  <c r="GRR3" i="53" a="1"/>
  <c r="SGG3" i="53" a="1"/>
  <c r="IIO3" i="53" a="1"/>
  <c r="NBF3" i="53" a="1"/>
  <c r="CLI3" i="53" a="1"/>
  <c r="PWB3" i="53" a="1"/>
  <c r="CKX3" i="53" a="1"/>
  <c r="KRA3" i="53" a="1"/>
  <c r="MHB3" i="53" a="1"/>
  <c r="HFT3" i="53" a="1"/>
  <c r="IJI3" i="53" a="1"/>
  <c r="QAV3" i="53" a="1"/>
  <c r="MSE3" i="53" a="1"/>
  <c r="PAL3" i="53" a="1"/>
  <c r="QZY3" i="53" a="1"/>
  <c r="NOQ3" i="53" a="1"/>
  <c r="QEK3" i="53" a="1"/>
  <c r="LDW3" i="53" a="1"/>
  <c r="CKH3" i="53" a="1"/>
  <c r="XAY3" i="53" a="1"/>
  <c r="EZH3" i="53" a="1"/>
  <c r="HCN3" i="53" a="1"/>
  <c r="MER3" i="53" a="1"/>
  <c r="FBB3" i="53" a="1"/>
  <c r="LIC3" i="53" a="1"/>
  <c r="KSI3" i="53" a="1"/>
  <c r="NQZ3" i="53" a="1"/>
  <c r="BPH3" i="53" a="1"/>
  <c r="WWZ3" i="53" a="1"/>
  <c r="NKS3" i="53" a="1"/>
  <c r="UM3" i="53" a="1"/>
  <c r="ESK3" i="53" a="1"/>
  <c r="HNU3" i="53" a="1"/>
  <c r="QZZ3" i="53" a="1"/>
  <c r="URB3" i="53" a="1"/>
  <c r="UMR3" i="53" a="1"/>
  <c r="SKY3" i="53" a="1"/>
  <c r="KND3" i="53" a="1"/>
  <c r="SAE3" i="53" a="1"/>
  <c r="SPX3" i="53" a="1"/>
  <c r="LHB3" i="53" a="1"/>
  <c r="OII3" i="53" a="1"/>
  <c r="MDN3" i="53" a="1"/>
  <c r="MSX3" i="53" a="1"/>
  <c r="DAS3" i="53" a="1"/>
  <c r="EBJ3" i="53" a="1"/>
  <c r="CSN3" i="53" a="1"/>
  <c r="ALU3" i="53" a="1"/>
  <c r="UAU3" i="53" a="1"/>
  <c r="QOZ3" i="53" a="1"/>
  <c r="GID3" i="53" a="1"/>
  <c r="BIC3" i="53" a="1"/>
  <c r="HZO3" i="53" a="1"/>
  <c r="DMM3" i="53" a="1"/>
  <c r="RWL3" i="53" a="1"/>
  <c r="KHD3" i="53" a="1"/>
  <c r="EGS3" i="53" a="1"/>
  <c r="BVV3" i="53" a="1"/>
  <c r="UBP3" i="53" a="1"/>
  <c r="WNL3" i="53" a="1"/>
  <c r="THS3" i="53" a="1"/>
  <c r="NEB3" i="53" a="1"/>
  <c r="QKU3" i="53" a="1"/>
  <c r="BFU3" i="53" a="1"/>
  <c r="MPJ3" i="53" a="1"/>
  <c r="IM3" i="53" a="1"/>
  <c r="CXC3" i="53" a="1"/>
  <c r="HMK3" i="53" a="1"/>
  <c r="EBH3" i="53" a="1"/>
  <c r="IE3" i="53" a="1"/>
  <c r="VHY3" i="53" a="1"/>
  <c r="OY3" i="53" a="1"/>
  <c r="UQR3" i="53" a="1"/>
  <c r="LSL3" i="53" a="1"/>
  <c r="ACV3" i="53" a="1"/>
  <c r="QIR3" i="53" a="1"/>
  <c r="NKZ3" i="53" a="1"/>
  <c r="BDB3" i="53" a="1"/>
  <c r="BPC3" i="53" a="1"/>
  <c r="REQ3" i="53" a="1"/>
  <c r="TCH3" i="53" a="1"/>
  <c r="RJT3" i="53" a="1"/>
  <c r="QFK3" i="53" a="1"/>
  <c r="ARV3" i="53" a="1"/>
  <c r="JXN3" i="53" a="1"/>
  <c r="DAR3" i="53" a="1"/>
  <c r="DXQ3" i="53" a="1"/>
  <c r="VZM3" i="53" a="1"/>
  <c r="DTS3" i="53" a="1"/>
  <c r="FF3" i="53" a="1"/>
  <c r="FXE3" i="53" a="1"/>
  <c r="KVR3" i="53" a="1"/>
  <c r="PHU3" i="53" a="1"/>
  <c r="PTM3" i="53" a="1"/>
  <c r="LBD3" i="53" a="1"/>
  <c r="GMB3" i="53" a="1"/>
  <c r="ORR3" i="53" a="1"/>
  <c r="JRL3" i="53" a="1"/>
  <c r="IVK3" i="53" a="1"/>
  <c r="QAG3" i="53" a="1"/>
  <c r="QVP3" i="53" a="1"/>
  <c r="EXO3" i="53" a="1"/>
  <c r="WJT3" i="53" a="1"/>
  <c r="PTQ3" i="53" a="1"/>
  <c r="CVX3" i="53" a="1"/>
  <c r="CAE3" i="53" a="1"/>
  <c r="HAS3" i="53" a="1"/>
  <c r="E8" i="31" a="1"/>
  <c r="LZZ3" i="53" a="1"/>
  <c r="RHF3" i="53" a="1"/>
  <c r="WLX3" i="53" a="1"/>
  <c r="OGQ3" i="53" a="1"/>
  <c r="EPL3" i="53" a="1"/>
  <c r="BC3" i="53" a="1"/>
  <c r="CEL3" i="53" a="1"/>
  <c r="FNO3" i="53" a="1"/>
  <c r="VXZ3" i="53" a="1"/>
  <c r="NTU3" i="53" a="1"/>
  <c r="BDK3" i="53" a="1"/>
  <c r="OCT3" i="53" a="1"/>
  <c r="DCQ3" i="53" a="1"/>
  <c r="FBG3" i="53" a="1"/>
  <c r="CG3" i="53" a="1"/>
  <c r="UVV3" i="53" a="1"/>
  <c r="DW3" i="53" a="1"/>
  <c r="BFT3" i="53" a="1"/>
  <c r="MAG3" i="53" a="1"/>
  <c r="GKF3" i="53" a="1"/>
  <c r="GIR3" i="53" a="1"/>
  <c r="RWW3" i="53" a="1"/>
  <c r="TBZ3" i="53" a="1"/>
  <c r="KSG3" i="53" a="1"/>
  <c r="OHR3" i="53" a="1"/>
  <c r="SIH3" i="53" a="1"/>
  <c r="DSK3" i="53" a="1"/>
  <c r="WLJ3" i="53" a="1"/>
  <c r="HEP3" i="53" a="1"/>
  <c r="RBF3" i="53" a="1"/>
  <c r="BRA3" i="53" a="1"/>
  <c r="QRY3" i="53" a="1"/>
  <c r="PGP3" i="53" a="1"/>
  <c r="QSS3" i="53" a="1"/>
  <c r="GPZ3" i="53" a="1"/>
  <c r="IVB3" i="53" a="1"/>
  <c r="QQI3" i="53" a="1"/>
  <c r="OMN3" i="53" a="1"/>
  <c r="KWE3" i="53" a="1"/>
  <c r="MDJ3" i="53" a="1"/>
  <c r="UE3" i="53" a="1"/>
  <c r="BYI3" i="53" a="1"/>
  <c r="BPA3" i="53" a="1"/>
  <c r="ED3" i="53" a="1"/>
  <c r="QJG3" i="53" a="1"/>
  <c r="IBS3" i="53" a="1"/>
  <c r="SVD3" i="53" a="1"/>
  <c r="XW3" i="53" a="1"/>
  <c r="MGJ3" i="53" a="1"/>
  <c r="VVD3" i="53" a="1"/>
  <c r="APM3" i="53" a="1"/>
  <c r="WDU3" i="53" a="1"/>
  <c r="QCR3" i="53" a="1"/>
  <c r="ICF3" i="53" a="1"/>
  <c r="DNY3" i="53" a="1"/>
  <c r="QHA3" i="53" a="1"/>
  <c r="JRG3" i="53" a="1"/>
  <c r="WNR3" i="53" a="1"/>
  <c r="AUP3" i="53" a="1"/>
  <c r="ZZ3" i="53" a="1"/>
  <c r="KPX3" i="53" a="1"/>
  <c r="IPE3" i="53" a="1"/>
  <c r="BTS3" i="53" a="1"/>
  <c r="NMQ3" i="53" a="1"/>
  <c r="MOC3" i="53" a="1"/>
  <c r="VMI3" i="53" a="1"/>
  <c r="EFZ3" i="53" a="1"/>
  <c r="SNS3" i="53" a="1"/>
  <c r="VWA3" i="53" a="1"/>
  <c r="BSA3" i="53" a="1"/>
  <c r="TU3" i="53" a="1"/>
  <c r="JBZ3" i="53" a="1"/>
  <c r="KVN3" i="53" a="1"/>
  <c r="E51" i="53" a="1"/>
  <c r="MOP3" i="53" a="1"/>
  <c r="DJO3" i="53" a="1"/>
  <c r="ILM3" i="53" a="1"/>
  <c r="XAK3" i="53" a="1"/>
  <c r="MRV3" i="53" a="1"/>
  <c r="FWX3" i="53" a="1"/>
  <c r="NJR3" i="53" a="1"/>
  <c r="NCP3" i="53" a="1"/>
  <c r="BEJ3" i="53" a="1"/>
  <c r="DIS3" i="53" a="1"/>
  <c r="DXK3" i="53" a="1"/>
  <c r="WOE3" i="53" a="1"/>
  <c r="FVM3" i="53" a="1"/>
  <c r="MEV3" i="53" a="1"/>
  <c r="UPK3" i="53" a="1"/>
  <c r="TAP3" i="53" a="1"/>
  <c r="LVD3" i="53" a="1"/>
  <c r="RSI3" i="53" a="1"/>
  <c r="SPE3" i="53" a="1"/>
  <c r="IHI3" i="53" a="1"/>
  <c r="ORA3" i="53" a="1"/>
  <c r="SWS3" i="53" a="1"/>
  <c r="TLJ3" i="53" a="1"/>
  <c r="HQA3" i="53" a="1"/>
  <c r="AJR3" i="53" a="1"/>
  <c r="BBB3" i="53" a="1"/>
  <c r="JGF3" i="53" a="1"/>
  <c r="WWM3" i="53" a="1"/>
  <c r="ABH3" i="53" a="1"/>
  <c r="EJR3" i="53" a="1"/>
  <c r="OQW3" i="53" a="1"/>
  <c r="DDD3" i="53" a="1"/>
  <c r="REC3" i="53" a="1"/>
  <c r="EKE3" i="53" a="1"/>
  <c r="HM3" i="53" a="1"/>
  <c r="NXL3" i="53" a="1"/>
  <c r="CLN3" i="53" a="1"/>
  <c r="ODA3" i="53" a="1"/>
  <c r="ICC3" i="53" a="1"/>
  <c r="DZG3" i="53" a="1"/>
  <c r="NRV3" i="53" a="1"/>
  <c r="AVN3" i="53" a="1"/>
  <c r="IDN3" i="53" a="1"/>
  <c r="TSH3" i="53" a="1"/>
  <c r="QSX3" i="53" a="1"/>
  <c r="JZG3" i="53" a="1"/>
  <c r="RPL3" i="53" a="1"/>
  <c r="MPN3" i="53" a="1"/>
  <c r="FET3" i="53" a="1"/>
  <c r="EQV3" i="53" a="1"/>
  <c r="QWH3" i="53" a="1"/>
  <c r="BPO3" i="53" a="1"/>
  <c r="DBC3" i="53" a="1"/>
  <c r="HZV3" i="53" a="1"/>
  <c r="OPO3" i="53" a="1"/>
  <c r="VWO3" i="53" a="1"/>
  <c r="IGS3" i="53" a="1"/>
  <c r="HQV3" i="53" a="1"/>
  <c r="JXR3" i="53" a="1"/>
  <c r="CZT3" i="53" a="1"/>
  <c r="QP3" i="53" a="1"/>
  <c r="ADK3" i="53" a="1"/>
  <c r="IRO3" i="53" a="1"/>
  <c r="PYE3" i="53" a="1"/>
  <c r="VCP3" i="53" a="1"/>
  <c r="KIT3" i="53" a="1"/>
  <c r="WR3" i="53" a="1"/>
  <c r="MWH3" i="53" a="1"/>
  <c r="TMX3" i="53" a="1"/>
  <c r="ROO3" i="53" a="1"/>
  <c r="EKM3" i="53" a="1"/>
  <c r="RPQ3" i="53" a="1"/>
  <c r="AZQ3" i="53" a="1"/>
  <c r="NFN3" i="53" a="1"/>
  <c r="CYY3" i="53" a="1"/>
  <c r="RYY3" i="53" a="1"/>
  <c r="CQW3" i="53" a="1"/>
  <c r="GHZ3" i="53" a="1"/>
  <c r="ZU3" i="53" a="1"/>
  <c r="ARW3" i="53" a="1"/>
  <c r="AGS3" i="53" a="1"/>
  <c r="UWY3" i="53" a="1"/>
  <c r="PJS3" i="53" a="1"/>
  <c r="BOH3" i="53" a="1"/>
  <c r="AIU3" i="53" a="1"/>
  <c r="RTO3" i="53" a="1"/>
  <c r="DP3" i="53" a="1"/>
  <c r="RTS3" i="53" a="1"/>
  <c r="ATY3" i="53" a="1"/>
  <c r="TNU3" i="53" a="1"/>
  <c r="WQZ3" i="53" a="1"/>
  <c r="CTU3" i="53" a="1"/>
  <c r="RGS3" i="53" a="1"/>
  <c r="HD3" i="53" a="1"/>
  <c r="LGA3" i="53" a="1"/>
  <c r="MMN3" i="53" a="1"/>
  <c r="AKU3" i="53" a="1"/>
  <c r="EEI3" i="53" a="1"/>
  <c r="GF3" i="53" a="1"/>
  <c r="AQI3" i="53" a="1"/>
  <c r="FJR3" i="53" a="1"/>
  <c r="CGJ3" i="53" a="1"/>
  <c r="RPS3" i="53" a="1"/>
  <c r="TUB3" i="53" a="1"/>
  <c r="BBE3" i="53" a="1"/>
  <c r="KLI3" i="53" a="1"/>
  <c r="FUE3" i="53" a="1"/>
  <c r="JQY3" i="53" a="1"/>
  <c r="F3" i="57" a="1"/>
  <c r="D3" i="57" a="1"/>
  <c r="E3" i="57" a="1"/>
  <c r="G3" i="57" a="1"/>
  <c r="B3" i="57" a="1"/>
  <c r="C3" i="57" a="1"/>
  <c r="G249" i="12" a="1"/>
  <c r="Q3" i="12" a="1"/>
  <c r="H3" i="12" a="1"/>
  <c r="G242" i="12" a="1"/>
  <c r="I3" i="12" a="1"/>
  <c r="L3" i="12" a="1"/>
  <c r="D3" i="12" a="1"/>
  <c r="N3" i="12" a="1"/>
  <c r="O3" i="12" a="1"/>
  <c r="G239" i="12" a="1"/>
  <c r="F3" i="12" a="1"/>
  <c r="G79" i="12" a="1"/>
  <c r="G233" i="12" a="1"/>
  <c r="G3" i="12" a="1"/>
  <c r="R3" i="12" a="1"/>
  <c r="P3" i="12" a="1"/>
  <c r="J3" i="12" a="1"/>
  <c r="G252" i="12" a="1"/>
  <c r="M3" i="12" a="1"/>
  <c r="U3" i="12" a="1"/>
  <c r="B3" i="12" a="1"/>
  <c r="K3" i="12" a="1"/>
  <c r="A3" i="12" a="1"/>
  <c r="S3" i="12" a="1"/>
  <c r="T3" i="12" a="1"/>
  <c r="D3" i="9" a="1"/>
  <c r="E3" i="9" a="1"/>
  <c r="B3" i="9" a="1"/>
  <c r="C3" i="9" a="1"/>
  <c r="A3" i="9" a="1"/>
  <c r="E64" i="4" l="1"/>
  <c r="C3" i="54"/>
  <c r="C3" i="50"/>
  <c r="E3" i="54"/>
  <c r="C3" i="60"/>
  <c r="G3" i="50"/>
  <c r="D3" i="38"/>
  <c r="C3" i="37"/>
  <c r="G3" i="40"/>
  <c r="E3" i="50"/>
  <c r="C3" i="49"/>
  <c r="G3" i="15"/>
  <c r="E3" i="40"/>
  <c r="H3" i="38"/>
  <c r="F3" i="38"/>
  <c r="C3" i="7"/>
  <c r="C3" i="38"/>
  <c r="E3" i="59"/>
  <c r="B3" i="59"/>
  <c r="C3" i="15"/>
  <c r="C3" i="59"/>
  <c r="E3" i="15"/>
  <c r="C3" i="40"/>
  <c r="C3" i="42"/>
  <c r="C3" i="6"/>
  <c r="C3" i="62"/>
  <c r="C3" i="4"/>
  <c r="C3" i="27"/>
  <c r="C3" i="34"/>
  <c r="E3" i="55"/>
  <c r="C3" i="5"/>
  <c r="L3" i="34"/>
  <c r="E3" i="14"/>
  <c r="J3" i="34"/>
  <c r="C3" i="41"/>
  <c r="F3" i="22"/>
  <c r="E3" i="6"/>
  <c r="C3" i="11"/>
  <c r="C3" i="22"/>
  <c r="G3" i="22"/>
  <c r="C3" i="13"/>
  <c r="C3" i="46"/>
  <c r="C3" i="55"/>
  <c r="E3" i="42"/>
  <c r="C3" i="14"/>
  <c r="H3" i="34"/>
  <c r="E3" i="12"/>
  <c r="C3" i="12"/>
  <c r="E5" i="4"/>
  <c r="A3" i="57"/>
  <c r="E63" i="4"/>
  <c r="E62" i="4"/>
  <c r="E60" i="4"/>
  <c r="E59" i="4"/>
  <c r="E61" i="4"/>
  <c r="E58" i="4"/>
  <c r="G233" i="12"/>
  <c r="F233" i="12" s="1"/>
  <c r="D3" i="54"/>
  <c r="B3" i="54"/>
  <c r="B3" i="50"/>
  <c r="C413" i="27"/>
  <c r="C403" i="27"/>
  <c r="C393" i="27"/>
  <c r="C383" i="27"/>
  <c r="C373" i="27"/>
  <c r="C363" i="27"/>
  <c r="C353" i="27"/>
  <c r="C343" i="27"/>
  <c r="C333" i="27"/>
  <c r="C323" i="27"/>
  <c r="C313" i="27"/>
  <c r="C303" i="27"/>
  <c r="C293" i="27"/>
  <c r="C283" i="27"/>
  <c r="C273" i="27"/>
  <c r="C263" i="27"/>
  <c r="C253" i="27"/>
  <c r="C243" i="27"/>
  <c r="C233" i="27"/>
  <c r="C223" i="27"/>
  <c r="C213" i="27"/>
  <c r="C203" i="27"/>
  <c r="C193" i="27"/>
  <c r="C183" i="27"/>
  <c r="C173" i="27"/>
  <c r="C163" i="27"/>
  <c r="C153" i="27"/>
  <c r="C143" i="27"/>
  <c r="C133" i="27"/>
  <c r="C123" i="27"/>
  <c r="C113" i="27"/>
  <c r="C103" i="27"/>
  <c r="C93" i="27"/>
  <c r="C83" i="27"/>
  <c r="C73" i="27"/>
  <c r="C63" i="27"/>
  <c r="C53" i="27"/>
  <c r="C43" i="27"/>
  <c r="C33" i="27"/>
  <c r="C23" i="27"/>
  <c r="C13" i="27"/>
  <c r="C405" i="27"/>
  <c r="C395" i="27"/>
  <c r="C385" i="27"/>
  <c r="C375" i="27"/>
  <c r="C365" i="27"/>
  <c r="C355" i="27"/>
  <c r="C345" i="27"/>
  <c r="C335" i="27"/>
  <c r="C325" i="27"/>
  <c r="C315" i="27"/>
  <c r="C305" i="27"/>
  <c r="C295" i="27"/>
  <c r="C285" i="27"/>
  <c r="C275" i="27"/>
  <c r="C265" i="27"/>
  <c r="C255" i="27"/>
  <c r="C245" i="27"/>
  <c r="C235" i="27"/>
  <c r="C225" i="27"/>
  <c r="C215" i="27"/>
  <c r="C205" i="27"/>
  <c r="C195" i="27"/>
  <c r="C185" i="27"/>
  <c r="C175" i="27"/>
  <c r="C165" i="27"/>
  <c r="C155" i="27"/>
  <c r="C145" i="27"/>
  <c r="C135" i="27"/>
  <c r="C125" i="27"/>
  <c r="C115" i="27"/>
  <c r="C105" i="27"/>
  <c r="C95" i="27"/>
  <c r="C85" i="27"/>
  <c r="C75" i="27"/>
  <c r="C65" i="27"/>
  <c r="C55" i="27"/>
  <c r="C45" i="27"/>
  <c r="C35" i="27"/>
  <c r="C25" i="27"/>
  <c r="C15" i="27"/>
  <c r="C5" i="27"/>
  <c r="C400" i="27"/>
  <c r="C360" i="27"/>
  <c r="C320" i="27"/>
  <c r="C280" i="27"/>
  <c r="C240" i="27"/>
  <c r="C228" i="27"/>
  <c r="C216" i="27"/>
  <c r="C202" i="27"/>
  <c r="C190" i="27"/>
  <c r="C178" i="27"/>
  <c r="C166" i="27"/>
  <c r="C152" i="27"/>
  <c r="C140" i="27"/>
  <c r="C128" i="27"/>
  <c r="C116" i="27"/>
  <c r="C102" i="27"/>
  <c r="C90" i="27"/>
  <c r="C78" i="27"/>
  <c r="C66" i="27"/>
  <c r="C52" i="27"/>
  <c r="C40" i="27"/>
  <c r="C28" i="27"/>
  <c r="C16" i="27"/>
  <c r="C412" i="27"/>
  <c r="C387" i="27"/>
  <c r="C372" i="27"/>
  <c r="C347" i="27"/>
  <c r="C332" i="27"/>
  <c r="C307" i="27"/>
  <c r="C292" i="27"/>
  <c r="C267" i="27"/>
  <c r="C252" i="27"/>
  <c r="C399" i="27"/>
  <c r="C359" i="27"/>
  <c r="C319" i="27"/>
  <c r="C279" i="27"/>
  <c r="C239" i="27"/>
  <c r="C227" i="27"/>
  <c r="C214" i="27"/>
  <c r="C201" i="27"/>
  <c r="C189" i="27"/>
  <c r="C177" i="27"/>
  <c r="C164" i="27"/>
  <c r="C151" i="27"/>
  <c r="C139" i="27"/>
  <c r="C127" i="27"/>
  <c r="C114" i="27"/>
  <c r="C101" i="27"/>
  <c r="C89" i="27"/>
  <c r="C77" i="27"/>
  <c r="C64" i="27"/>
  <c r="C51" i="27"/>
  <c r="C39" i="27"/>
  <c r="C27" i="27"/>
  <c r="C14" i="27"/>
  <c r="C411" i="27"/>
  <c r="C386" i="27"/>
  <c r="C371" i="27"/>
  <c r="C346" i="27"/>
  <c r="C331" i="27"/>
  <c r="C306" i="27"/>
  <c r="C406" i="27"/>
  <c r="C389" i="27"/>
  <c r="C370" i="27"/>
  <c r="C354" i="27"/>
  <c r="C272" i="27"/>
  <c r="C258" i="27"/>
  <c r="C211" i="27"/>
  <c r="C182" i="27"/>
  <c r="C154" i="27"/>
  <c r="C138" i="27"/>
  <c r="C109" i="27"/>
  <c r="C80" i="27"/>
  <c r="C36" i="27"/>
  <c r="C7" i="27"/>
  <c r="C348" i="27"/>
  <c r="C329" i="27"/>
  <c r="C312" i="27"/>
  <c r="C281" i="27"/>
  <c r="C264" i="27"/>
  <c r="C249" i="27"/>
  <c r="C234" i="27"/>
  <c r="C206" i="27"/>
  <c r="C160" i="27"/>
  <c r="C131" i="27"/>
  <c r="C87" i="27"/>
  <c r="C58" i="27"/>
  <c r="C29" i="27"/>
  <c r="C12" i="27"/>
  <c r="C396" i="27"/>
  <c r="C379" i="27"/>
  <c r="C362" i="27"/>
  <c r="C344" i="27"/>
  <c r="C297" i="27"/>
  <c r="C219" i="27"/>
  <c r="C174" i="27"/>
  <c r="C146" i="27"/>
  <c r="C117" i="27"/>
  <c r="C100" i="27"/>
  <c r="C71" i="27"/>
  <c r="C42" i="27"/>
  <c r="C410" i="27"/>
  <c r="C394" i="27"/>
  <c r="C328" i="27"/>
  <c r="C311" i="27"/>
  <c r="C262" i="27"/>
  <c r="C248" i="27"/>
  <c r="C232" i="27"/>
  <c r="C204" i="27"/>
  <c r="C188" i="27"/>
  <c r="C159" i="27"/>
  <c r="C130" i="27"/>
  <c r="C86" i="27"/>
  <c r="C57" i="27"/>
  <c r="C11" i="27"/>
  <c r="C378" i="27"/>
  <c r="C361" i="27"/>
  <c r="C342" i="27"/>
  <c r="C296" i="27"/>
  <c r="C278" i="27"/>
  <c r="C218" i="27"/>
  <c r="C172" i="27"/>
  <c r="C144" i="27"/>
  <c r="C99" i="27"/>
  <c r="C380" i="27"/>
  <c r="C270" i="27"/>
  <c r="C229" i="27"/>
  <c r="C209" i="27"/>
  <c r="C191" i="27"/>
  <c r="C110" i="27"/>
  <c r="C401" i="27"/>
  <c r="C356" i="27"/>
  <c r="C336" i="27"/>
  <c r="C310" i="27"/>
  <c r="C289" i="27"/>
  <c r="C247" i="27"/>
  <c r="C187" i="27"/>
  <c r="C169" i="27"/>
  <c r="C149" i="27"/>
  <c r="C129" i="27"/>
  <c r="C91" i="27"/>
  <c r="C72" i="27"/>
  <c r="C54" i="27"/>
  <c r="C18" i="27"/>
  <c r="C377" i="27"/>
  <c r="C334" i="27"/>
  <c r="C288" i="27"/>
  <c r="C269" i="27"/>
  <c r="C226" i="27"/>
  <c r="C208" i="27"/>
  <c r="C168" i="27"/>
  <c r="C70" i="27"/>
  <c r="C34" i="27"/>
  <c r="C398" i="27"/>
  <c r="C352" i="27"/>
  <c r="C309" i="27"/>
  <c r="C246" i="27"/>
  <c r="C186" i="27"/>
  <c r="C148" i="27"/>
  <c r="C108" i="27"/>
  <c r="C17" i="27"/>
  <c r="C376" i="27"/>
  <c r="C330" i="27"/>
  <c r="C287" i="27"/>
  <c r="C349" i="27"/>
  <c r="C324" i="27"/>
  <c r="C301" i="27"/>
  <c r="C282" i="27"/>
  <c r="C199" i="27"/>
  <c r="C161" i="27"/>
  <c r="C141" i="27"/>
  <c r="C121" i="27"/>
  <c r="C104" i="27"/>
  <c r="C82" i="27"/>
  <c r="C47" i="27"/>
  <c r="C9" i="27"/>
  <c r="C390" i="27"/>
  <c r="C368" i="27"/>
  <c r="C259" i="27"/>
  <c r="C238" i="27"/>
  <c r="C220" i="27"/>
  <c r="C180" i="27"/>
  <c r="C62" i="27"/>
  <c r="C26" i="27"/>
  <c r="C409" i="27"/>
  <c r="C322" i="27"/>
  <c r="C300" i="27"/>
  <c r="C198" i="27"/>
  <c r="C158" i="27"/>
  <c r="C120" i="27"/>
  <c r="C81" i="27"/>
  <c r="C46" i="27"/>
  <c r="C8" i="27"/>
  <c r="C367" i="27"/>
  <c r="C341" i="27"/>
  <c r="C321" i="27"/>
  <c r="C277" i="27"/>
  <c r="C237" i="27"/>
  <c r="C217" i="27"/>
  <c r="C197" i="27"/>
  <c r="C179" i="27"/>
  <c r="C98" i="27"/>
  <c r="C61" i="27"/>
  <c r="C24" i="27"/>
  <c r="C408" i="27"/>
  <c r="C388" i="27"/>
  <c r="C299" i="27"/>
  <c r="C257" i="27"/>
  <c r="C157" i="27"/>
  <c r="C137" i="27"/>
  <c r="C119" i="27"/>
  <c r="C44" i="27"/>
  <c r="C366" i="27"/>
  <c r="C318" i="27"/>
  <c r="C276" i="27"/>
  <c r="C241" i="27"/>
  <c r="C170" i="27"/>
  <c r="C134" i="27"/>
  <c r="C67" i="27"/>
  <c r="C31" i="27"/>
  <c r="C407" i="27"/>
  <c r="C364" i="27"/>
  <c r="C274" i="27"/>
  <c r="C167" i="27"/>
  <c r="C96" i="27"/>
  <c r="C60" i="27"/>
  <c r="C317" i="27"/>
  <c r="C236" i="27"/>
  <c r="C200" i="27"/>
  <c r="C132" i="27"/>
  <c r="C94" i="27"/>
  <c r="C30" i="27"/>
  <c r="C404" i="27"/>
  <c r="C358" i="27"/>
  <c r="C126" i="27"/>
  <c r="C59" i="27"/>
  <c r="C316" i="27"/>
  <c r="C271" i="27"/>
  <c r="C231" i="27"/>
  <c r="C196" i="27"/>
  <c r="C162" i="27"/>
  <c r="C92" i="27"/>
  <c r="C22" i="27"/>
  <c r="C402" i="27"/>
  <c r="C357" i="27"/>
  <c r="C314" i="27"/>
  <c r="C124" i="27"/>
  <c r="C88" i="27"/>
  <c r="C397" i="27"/>
  <c r="C351" i="27"/>
  <c r="C308" i="27"/>
  <c r="C268" i="27"/>
  <c r="C230" i="27"/>
  <c r="C194" i="27"/>
  <c r="C122" i="27"/>
  <c r="C56" i="27"/>
  <c r="C21" i="27"/>
  <c r="C392" i="27"/>
  <c r="C304" i="27"/>
  <c r="C266" i="27"/>
  <c r="C156" i="27"/>
  <c r="C50" i="27"/>
  <c r="C20" i="27"/>
  <c r="C350" i="27"/>
  <c r="C302" i="27"/>
  <c r="C261" i="27"/>
  <c r="C224" i="27"/>
  <c r="C192" i="27"/>
  <c r="C84" i="27"/>
  <c r="C49" i="27"/>
  <c r="C340" i="27"/>
  <c r="C79" i="27"/>
  <c r="C298" i="27"/>
  <c r="C150" i="27"/>
  <c r="C339" i="27"/>
  <c r="C294" i="27"/>
  <c r="C221" i="27"/>
  <c r="C291" i="27"/>
  <c r="C147" i="27"/>
  <c r="C76" i="27"/>
  <c r="C381" i="27"/>
  <c r="C251" i="27"/>
  <c r="C181" i="27"/>
  <c r="C337" i="27"/>
  <c r="C142" i="27"/>
  <c r="C74" i="27"/>
  <c r="C374" i="27"/>
  <c r="C6" i="27"/>
  <c r="C327" i="27"/>
  <c r="C244" i="27"/>
  <c r="C106" i="27"/>
  <c r="C37" i="27"/>
  <c r="C136" i="27"/>
  <c r="C68" i="27"/>
  <c r="C369" i="27"/>
  <c r="C207" i="27"/>
  <c r="C391" i="27"/>
  <c r="C118" i="27"/>
  <c r="C19" i="27"/>
  <c r="C384" i="27"/>
  <c r="C260" i="27"/>
  <c r="C222" i="27"/>
  <c r="C112" i="27"/>
  <c r="C48" i="27"/>
  <c r="C184" i="27"/>
  <c r="C382" i="27"/>
  <c r="C256" i="27"/>
  <c r="C111" i="27"/>
  <c r="C41" i="27"/>
  <c r="C338" i="27"/>
  <c r="C254" i="27"/>
  <c r="C10" i="27"/>
  <c r="C212" i="27"/>
  <c r="C290" i="27"/>
  <c r="C107" i="27"/>
  <c r="C38" i="27"/>
  <c r="C250" i="27"/>
  <c r="C176" i="27"/>
  <c r="C69" i="27"/>
  <c r="C286" i="27"/>
  <c r="C210" i="27"/>
  <c r="C284" i="27"/>
  <c r="C171" i="27"/>
  <c r="C32" i="27"/>
  <c r="C326" i="27"/>
  <c r="C242" i="27"/>
  <c r="C97" i="27"/>
  <c r="C44" i="2"/>
  <c r="E5" i="27"/>
  <c r="E413" i="27"/>
  <c r="E403" i="27"/>
  <c r="E393" i="27"/>
  <c r="E383" i="27"/>
  <c r="E373" i="27"/>
  <c r="E363" i="27"/>
  <c r="E353" i="27"/>
  <c r="E343" i="27"/>
  <c r="E333" i="27"/>
  <c r="E323" i="27"/>
  <c r="E313" i="27"/>
  <c r="E303" i="27"/>
  <c r="E293" i="27"/>
  <c r="E283" i="27"/>
  <c r="E273" i="27"/>
  <c r="E263" i="27"/>
  <c r="E253" i="27"/>
  <c r="E243" i="27"/>
  <c r="E233" i="27"/>
  <c r="E223" i="27"/>
  <c r="E213" i="27"/>
  <c r="E203" i="27"/>
  <c r="E193" i="27"/>
  <c r="E183" i="27"/>
  <c r="E173" i="27"/>
  <c r="E163" i="27"/>
  <c r="E153" i="27"/>
  <c r="E143" i="27"/>
  <c r="E133" i="27"/>
  <c r="E123" i="27"/>
  <c r="E113" i="27"/>
  <c r="E103" i="27"/>
  <c r="E93" i="27"/>
  <c r="E83" i="27"/>
  <c r="E73" i="27"/>
  <c r="E63" i="27"/>
  <c r="E53" i="27"/>
  <c r="E43" i="27"/>
  <c r="E33" i="27"/>
  <c r="E23" i="27"/>
  <c r="E13" i="27"/>
  <c r="E396" i="27"/>
  <c r="E360" i="27"/>
  <c r="E337" i="27"/>
  <c r="E314" i="27"/>
  <c r="E301" i="27"/>
  <c r="E278" i="27"/>
  <c r="E255" i="27"/>
  <c r="E407" i="27"/>
  <c r="E384" i="27"/>
  <c r="E371" i="27"/>
  <c r="E348" i="27"/>
  <c r="E325" i="27"/>
  <c r="E312" i="27"/>
  <c r="E289" i="27"/>
  <c r="E266" i="27"/>
  <c r="E242" i="27"/>
  <c r="E231" i="27"/>
  <c r="E220" i="27"/>
  <c r="E209" i="27"/>
  <c r="E198" i="27"/>
  <c r="E187" i="27"/>
  <c r="E176" i="27"/>
  <c r="E165" i="27"/>
  <c r="E154" i="27"/>
  <c r="E142" i="27"/>
  <c r="E131" i="27"/>
  <c r="E120" i="27"/>
  <c r="E109" i="27"/>
  <c r="E98" i="27"/>
  <c r="E87" i="27"/>
  <c r="E76" i="27"/>
  <c r="E65" i="27"/>
  <c r="E54" i="27"/>
  <c r="E42" i="27"/>
  <c r="E31" i="27"/>
  <c r="E20" i="27"/>
  <c r="E9" i="27"/>
  <c r="E395" i="27"/>
  <c r="E382" i="27"/>
  <c r="E359" i="27"/>
  <c r="E336" i="27"/>
  <c r="E300" i="27"/>
  <c r="E277" i="27"/>
  <c r="E254" i="27"/>
  <c r="E404" i="27"/>
  <c r="E391" i="27"/>
  <c r="E368" i="27"/>
  <c r="E345" i="27"/>
  <c r="E332" i="27"/>
  <c r="E309" i="27"/>
  <c r="E286" i="27"/>
  <c r="E250" i="27"/>
  <c r="E239" i="27"/>
  <c r="E228" i="27"/>
  <c r="E217" i="27"/>
  <c r="E206" i="27"/>
  <c r="E195" i="27"/>
  <c r="E184" i="27"/>
  <c r="E172" i="27"/>
  <c r="E161" i="27"/>
  <c r="E150" i="27"/>
  <c r="E139" i="27"/>
  <c r="E128" i="27"/>
  <c r="E117" i="27"/>
  <c r="E106" i="27"/>
  <c r="E95" i="27"/>
  <c r="E84" i="27"/>
  <c r="E72" i="27"/>
  <c r="E61" i="27"/>
  <c r="E50" i="27"/>
  <c r="E39" i="27"/>
  <c r="E28" i="27"/>
  <c r="E17" i="27"/>
  <c r="E6" i="27"/>
  <c r="E402" i="27"/>
  <c r="E379" i="27"/>
  <c r="E356" i="27"/>
  <c r="E320" i="27"/>
  <c r="E297" i="27"/>
  <c r="E274" i="27"/>
  <c r="E261" i="27"/>
  <c r="E390" i="27"/>
  <c r="E406" i="27"/>
  <c r="E341" i="27"/>
  <c r="E327" i="27"/>
  <c r="E310" i="27"/>
  <c r="E295" i="27"/>
  <c r="E264" i="27"/>
  <c r="E234" i="27"/>
  <c r="E218" i="27"/>
  <c r="E189" i="27"/>
  <c r="E174" i="27"/>
  <c r="E145" i="27"/>
  <c r="E129" i="27"/>
  <c r="E100" i="27"/>
  <c r="E388" i="27"/>
  <c r="E374" i="27"/>
  <c r="E357" i="27"/>
  <c r="E279" i="27"/>
  <c r="E262" i="27"/>
  <c r="E247" i="27"/>
  <c r="E202" i="27"/>
  <c r="E158" i="27"/>
  <c r="E114" i="27"/>
  <c r="E85" i="27"/>
  <c r="E70" i="27"/>
  <c r="E57" i="27"/>
  <c r="E44" i="27"/>
  <c r="E29" i="27"/>
  <c r="E15" i="27"/>
  <c r="E405" i="27"/>
  <c r="E372" i="27"/>
  <c r="E340" i="27"/>
  <c r="E326" i="27"/>
  <c r="E308" i="27"/>
  <c r="E294" i="27"/>
  <c r="E232" i="27"/>
  <c r="E216" i="27"/>
  <c r="E188" i="27"/>
  <c r="E171" i="27"/>
  <c r="E144" i="27"/>
  <c r="E127" i="27"/>
  <c r="E99" i="27"/>
  <c r="E387" i="27"/>
  <c r="E370" i="27"/>
  <c r="E355" i="27"/>
  <c r="E324" i="27"/>
  <c r="E292" i="27"/>
  <c r="E260" i="27"/>
  <c r="E246" i="27"/>
  <c r="E230" i="27"/>
  <c r="E201" i="27"/>
  <c r="E186" i="27"/>
  <c r="E157" i="27"/>
  <c r="E141" i="27"/>
  <c r="E112" i="27"/>
  <c r="E97" i="27"/>
  <c r="E82" i="27"/>
  <c r="E69" i="27"/>
  <c r="E56" i="27"/>
  <c r="E41" i="27"/>
  <c r="E27" i="27"/>
  <c r="E14" i="27"/>
  <c r="E401" i="27"/>
  <c r="E339" i="27"/>
  <c r="E322" i="27"/>
  <c r="E307" i="27"/>
  <c r="E276" i="27"/>
  <c r="E215" i="27"/>
  <c r="E170" i="27"/>
  <c r="E126" i="27"/>
  <c r="E386" i="27"/>
  <c r="E369" i="27"/>
  <c r="E354" i="27"/>
  <c r="E291" i="27"/>
  <c r="E259" i="27"/>
  <c r="E245" i="27"/>
  <c r="E229" i="27"/>
  <c r="E200" i="27"/>
  <c r="E185" i="27"/>
  <c r="E156" i="27"/>
  <c r="E140" i="27"/>
  <c r="E111" i="27"/>
  <c r="E96" i="27"/>
  <c r="E81" i="27"/>
  <c r="E68" i="27"/>
  <c r="E55" i="27"/>
  <c r="E40" i="27"/>
  <c r="E26" i="27"/>
  <c r="E12" i="27"/>
  <c r="E400" i="27"/>
  <c r="E352" i="27"/>
  <c r="E338" i="27"/>
  <c r="E321" i="27"/>
  <c r="E306" i="27"/>
  <c r="E275" i="27"/>
  <c r="E214" i="27"/>
  <c r="E169" i="27"/>
  <c r="E125" i="27"/>
  <c r="E385" i="27"/>
  <c r="E367" i="27"/>
  <c r="E290" i="27"/>
  <c r="E272" i="27"/>
  <c r="E258" i="27"/>
  <c r="E244" i="27"/>
  <c r="E227" i="27"/>
  <c r="E199" i="27"/>
  <c r="E182" i="27"/>
  <c r="E155" i="27"/>
  <c r="E412" i="27"/>
  <c r="E389" i="27"/>
  <c r="E334" i="27"/>
  <c r="E282" i="27"/>
  <c r="E256" i="27"/>
  <c r="E207" i="27"/>
  <c r="E180" i="27"/>
  <c r="E159" i="27"/>
  <c r="E108" i="27"/>
  <c r="E89" i="27"/>
  <c r="E66" i="27"/>
  <c r="E361" i="27"/>
  <c r="E331" i="27"/>
  <c r="E305" i="27"/>
  <c r="E152" i="27"/>
  <c r="E134" i="27"/>
  <c r="E46" i="27"/>
  <c r="E22" i="27"/>
  <c r="E411" i="27"/>
  <c r="E381" i="27"/>
  <c r="E281" i="27"/>
  <c r="E252" i="27"/>
  <c r="E226" i="27"/>
  <c r="E205" i="27"/>
  <c r="E179" i="27"/>
  <c r="E107" i="27"/>
  <c r="E88" i="27"/>
  <c r="E64" i="27"/>
  <c r="E330" i="27"/>
  <c r="E304" i="27"/>
  <c r="E151" i="27"/>
  <c r="E132" i="27"/>
  <c r="E45" i="27"/>
  <c r="E21" i="27"/>
  <c r="E410" i="27"/>
  <c r="E380" i="27"/>
  <c r="E358" i="27"/>
  <c r="E302" i="27"/>
  <c r="E280" i="27"/>
  <c r="E251" i="27"/>
  <c r="E225" i="27"/>
  <c r="E204" i="27"/>
  <c r="E178" i="27"/>
  <c r="E130" i="27"/>
  <c r="E105" i="27"/>
  <c r="E86" i="27"/>
  <c r="E62" i="27"/>
  <c r="E38" i="27"/>
  <c r="E351" i="27"/>
  <c r="E329" i="27"/>
  <c r="E197" i="27"/>
  <c r="E149" i="27"/>
  <c r="E80" i="27"/>
  <c r="E19" i="27"/>
  <c r="E409" i="27"/>
  <c r="E378" i="27"/>
  <c r="E271" i="27"/>
  <c r="E249" i="27"/>
  <c r="E224" i="27"/>
  <c r="E177" i="27"/>
  <c r="E104" i="27"/>
  <c r="E60" i="27"/>
  <c r="E37" i="27"/>
  <c r="E350" i="27"/>
  <c r="E328" i="27"/>
  <c r="E299" i="27"/>
  <c r="E196" i="27"/>
  <c r="E175" i="27"/>
  <c r="E148" i="27"/>
  <c r="E124" i="27"/>
  <c r="E79" i="27"/>
  <c r="E18" i="27"/>
  <c r="E408" i="27"/>
  <c r="E377" i="27"/>
  <c r="E270" i="27"/>
  <c r="E248" i="27"/>
  <c r="E222" i="27"/>
  <c r="E102" i="27"/>
  <c r="E59" i="27"/>
  <c r="E36" i="27"/>
  <c r="E344" i="27"/>
  <c r="E267" i="27"/>
  <c r="E164" i="27"/>
  <c r="E92" i="27"/>
  <c r="E8" i="27"/>
  <c r="E342" i="27"/>
  <c r="E287" i="27"/>
  <c r="E237" i="27"/>
  <c r="E190" i="27"/>
  <c r="E137" i="27"/>
  <c r="E49" i="27"/>
  <c r="E365" i="27"/>
  <c r="E162" i="27"/>
  <c r="E116" i="27"/>
  <c r="E30" i="27"/>
  <c r="E392" i="27"/>
  <c r="E315" i="27"/>
  <c r="E210" i="27"/>
  <c r="E136" i="27"/>
  <c r="E48" i="27"/>
  <c r="E364" i="27"/>
  <c r="E208" i="27"/>
  <c r="E160" i="27"/>
  <c r="E115" i="27"/>
  <c r="E67" i="27"/>
  <c r="E311" i="27"/>
  <c r="E110" i="27"/>
  <c r="E24" i="27"/>
  <c r="E399" i="27"/>
  <c r="E349" i="27"/>
  <c r="E319" i="27"/>
  <c r="E298" i="27"/>
  <c r="E241" i="27"/>
  <c r="E194" i="27"/>
  <c r="E168" i="27"/>
  <c r="E147" i="27"/>
  <c r="E122" i="27"/>
  <c r="E78" i="27"/>
  <c r="E16" i="27"/>
  <c r="E376" i="27"/>
  <c r="E347" i="27"/>
  <c r="E269" i="27"/>
  <c r="E221" i="27"/>
  <c r="E101" i="27"/>
  <c r="E58" i="27"/>
  <c r="E35" i="27"/>
  <c r="E11" i="27"/>
  <c r="E398" i="27"/>
  <c r="E318" i="27"/>
  <c r="E296" i="27"/>
  <c r="E240" i="27"/>
  <c r="E219" i="27"/>
  <c r="E192" i="27"/>
  <c r="E167" i="27"/>
  <c r="E146" i="27"/>
  <c r="E121" i="27"/>
  <c r="E77" i="27"/>
  <c r="E52" i="27"/>
  <c r="E375" i="27"/>
  <c r="E346" i="27"/>
  <c r="E268" i="27"/>
  <c r="E119" i="27"/>
  <c r="E94" i="27"/>
  <c r="E34" i="27"/>
  <c r="E10" i="27"/>
  <c r="E397" i="27"/>
  <c r="E317" i="27"/>
  <c r="E288" i="27"/>
  <c r="E238" i="27"/>
  <c r="E212" i="27"/>
  <c r="E191" i="27"/>
  <c r="E166" i="27"/>
  <c r="E138" i="27"/>
  <c r="E75" i="27"/>
  <c r="E51" i="27"/>
  <c r="E366" i="27"/>
  <c r="E118" i="27"/>
  <c r="E32" i="27"/>
  <c r="E316" i="27"/>
  <c r="E265" i="27"/>
  <c r="E211" i="27"/>
  <c r="E74" i="27"/>
  <c r="E394" i="27"/>
  <c r="E91" i="27"/>
  <c r="E7" i="27"/>
  <c r="E285" i="27"/>
  <c r="E236" i="27"/>
  <c r="E71" i="27"/>
  <c r="E25" i="27"/>
  <c r="E335" i="27"/>
  <c r="E257" i="27"/>
  <c r="E181" i="27"/>
  <c r="E90" i="27"/>
  <c r="E362" i="27"/>
  <c r="E284" i="27"/>
  <c r="E235" i="27"/>
  <c r="E135" i="27"/>
  <c r="E47" i="27"/>
  <c r="I3" i="27"/>
  <c r="K3" i="2"/>
  <c r="G252" i="12"/>
  <c r="F252" i="12" s="1"/>
  <c r="G242" i="12"/>
  <c r="F242" i="12" s="1"/>
  <c r="G239" i="12"/>
  <c r="F239" i="12" s="1"/>
  <c r="G249" i="12"/>
  <c r="F249" i="12" s="1"/>
  <c r="G79" i="12"/>
  <c r="F3" i="49"/>
  <c r="E3" i="49"/>
  <c r="E57" i="4"/>
  <c r="E3" i="60"/>
  <c r="D3" i="60"/>
  <c r="B3" i="60"/>
  <c r="A3" i="60"/>
  <c r="A3" i="59"/>
  <c r="F3" i="59"/>
  <c r="D3" i="59"/>
  <c r="F3" i="20"/>
  <c r="E3" i="20"/>
  <c r="D3" i="20"/>
  <c r="G3" i="20"/>
  <c r="C3" i="20"/>
  <c r="B3" i="20"/>
  <c r="A3" i="20"/>
  <c r="C3" i="19"/>
  <c r="B3" i="19"/>
  <c r="A3" i="19"/>
  <c r="I3" i="15"/>
  <c r="H3" i="15"/>
  <c r="F3" i="15"/>
  <c r="D3" i="15"/>
  <c r="B3" i="15"/>
  <c r="A3" i="15"/>
  <c r="J3" i="38"/>
  <c r="I3" i="38"/>
  <c r="G3" i="38"/>
  <c r="E3" i="38"/>
  <c r="B3" i="38"/>
  <c r="A3" i="38"/>
  <c r="L3" i="47"/>
  <c r="K3" i="47"/>
  <c r="J3" i="47"/>
  <c r="I3" i="47"/>
  <c r="H3" i="47"/>
  <c r="G3" i="47"/>
  <c r="F3" i="47"/>
  <c r="E3" i="47"/>
  <c r="D3" i="47"/>
  <c r="C3" i="47"/>
  <c r="B3" i="47"/>
  <c r="A3" i="47"/>
  <c r="B3" i="49"/>
  <c r="D3" i="49"/>
  <c r="A3" i="49"/>
  <c r="H3" i="54"/>
  <c r="G3" i="54"/>
  <c r="F3" i="54"/>
  <c r="A3" i="54"/>
  <c r="I3" i="50"/>
  <c r="H3" i="50"/>
  <c r="F3" i="50"/>
  <c r="D3" i="50"/>
  <c r="A3" i="50"/>
  <c r="F3" i="37"/>
  <c r="E3" i="37"/>
  <c r="B3" i="37"/>
  <c r="D3" i="37"/>
  <c r="A3" i="37"/>
  <c r="K3" i="40"/>
  <c r="J3" i="40"/>
  <c r="I3" i="40"/>
  <c r="H3" i="40"/>
  <c r="F3" i="40"/>
  <c r="D3" i="40"/>
  <c r="B3" i="40"/>
  <c r="A3" i="40"/>
  <c r="J3" i="7"/>
  <c r="I3" i="7"/>
  <c r="H3" i="7"/>
  <c r="G3" i="7"/>
  <c r="F3" i="7"/>
  <c r="E3" i="7"/>
  <c r="D3" i="7"/>
  <c r="B3" i="7"/>
  <c r="A3" i="7"/>
  <c r="F3" i="55"/>
  <c r="B3" i="55"/>
  <c r="A3" i="55"/>
  <c r="D3" i="55"/>
  <c r="G3" i="46"/>
  <c r="D3" i="46"/>
  <c r="B3" i="46"/>
  <c r="A3" i="46"/>
  <c r="F3" i="46"/>
  <c r="E3" i="46"/>
  <c r="N3" i="34"/>
  <c r="D3" i="34"/>
  <c r="M3" i="34"/>
  <c r="K3" i="34"/>
  <c r="I3" i="34"/>
  <c r="G3" i="34"/>
  <c r="F3" i="34"/>
  <c r="E3" i="34"/>
  <c r="B3" i="34"/>
  <c r="A3" i="34"/>
  <c r="D3" i="41"/>
  <c r="B3" i="41"/>
  <c r="A3" i="41"/>
  <c r="H3" i="22"/>
  <c r="E3" i="22"/>
  <c r="D3" i="22"/>
  <c r="B3" i="22"/>
  <c r="A3" i="22"/>
  <c r="D3" i="42"/>
  <c r="B3" i="42"/>
  <c r="A3" i="42"/>
  <c r="G3" i="14"/>
  <c r="F3" i="14"/>
  <c r="A3" i="14"/>
  <c r="D3" i="14"/>
  <c r="B3" i="14"/>
  <c r="E3" i="13"/>
  <c r="D3" i="13"/>
  <c r="B3" i="13"/>
  <c r="A3" i="13"/>
  <c r="B3" i="6"/>
  <c r="G3" i="11"/>
  <c r="H3" i="5"/>
  <c r="F3" i="11"/>
  <c r="G3" i="5"/>
  <c r="E3" i="11"/>
  <c r="F3" i="5"/>
  <c r="D3" i="11"/>
  <c r="E3" i="5"/>
  <c r="A3" i="11"/>
  <c r="D3" i="5"/>
  <c r="B3" i="5"/>
  <c r="A3" i="5"/>
  <c r="G3" i="57"/>
  <c r="F3" i="57"/>
  <c r="J3" i="6"/>
  <c r="I3" i="6"/>
  <c r="H3" i="6"/>
  <c r="G3" i="6"/>
  <c r="F3" i="6"/>
  <c r="D3" i="6"/>
  <c r="B3" i="11"/>
  <c r="A3" i="6"/>
  <c r="U3" i="12"/>
  <c r="T3" i="12"/>
  <c r="J3" i="12"/>
  <c r="A3" i="12"/>
  <c r="S3" i="12"/>
  <c r="I3" i="12"/>
  <c r="R3" i="12"/>
  <c r="H3" i="12"/>
  <c r="G3" i="12"/>
  <c r="Q3" i="12"/>
  <c r="P3" i="12"/>
  <c r="O3" i="12"/>
  <c r="N3" i="12"/>
  <c r="M3" i="12"/>
  <c r="L3" i="12"/>
  <c r="B3" i="12"/>
  <c r="F3" i="12"/>
  <c r="D3" i="12"/>
  <c r="K3" i="12"/>
  <c r="C3" i="57"/>
  <c r="D3" i="57"/>
  <c r="E3" i="57"/>
  <c r="B3" i="57"/>
  <c r="D3" i="56"/>
  <c r="A3" i="56"/>
  <c r="B3" i="56"/>
  <c r="C3" i="56"/>
  <c r="E3" i="56"/>
  <c r="F3" i="56"/>
  <c r="G3" i="56"/>
  <c r="E37" i="4"/>
  <c r="A3" i="9"/>
  <c r="B3" i="9"/>
  <c r="C3" i="9"/>
  <c r="D3" i="9"/>
  <c r="E3" i="9"/>
  <c r="A3" i="62"/>
  <c r="B3" i="62"/>
  <c r="D3" i="62"/>
  <c r="E3" i="62"/>
  <c r="E15" i="31"/>
  <c r="E6" i="31"/>
  <c r="E16" i="31"/>
  <c r="E7" i="31"/>
  <c r="E17" i="31"/>
  <c r="E8" i="31"/>
  <c r="E18" i="31"/>
  <c r="E13" i="31"/>
  <c r="E14" i="31"/>
  <c r="E5" i="31"/>
  <c r="E9" i="31"/>
  <c r="E19" i="31"/>
  <c r="E10" i="31"/>
  <c r="E20" i="31"/>
  <c r="E11" i="31"/>
  <c r="E21" i="31"/>
  <c r="E12" i="31"/>
  <c r="E22" i="31"/>
  <c r="B3" i="31"/>
  <c r="C3" i="31"/>
  <c r="D3" i="31"/>
  <c r="E3" i="31"/>
  <c r="F3" i="31"/>
  <c r="G3" i="31"/>
  <c r="H3" i="31"/>
  <c r="A3" i="31"/>
  <c r="B3" i="3"/>
  <c r="C3" i="3"/>
  <c r="D3" i="3"/>
  <c r="E3" i="3"/>
  <c r="F3" i="3"/>
  <c r="A3" i="3"/>
  <c r="J3" i="4"/>
  <c r="B3" i="4"/>
  <c r="K3" i="4"/>
  <c r="L3" i="4"/>
  <c r="D3" i="4"/>
  <c r="M3" i="4"/>
  <c r="E3" i="4"/>
  <c r="N3" i="4"/>
  <c r="F3" i="4"/>
  <c r="G3" i="4"/>
  <c r="H3" i="4"/>
  <c r="I3" i="4"/>
  <c r="D3" i="28"/>
  <c r="E3" i="28"/>
  <c r="B3" i="28"/>
  <c r="C3" i="28"/>
  <c r="F3" i="28"/>
  <c r="G3" i="28"/>
  <c r="A3" i="28"/>
  <c r="B3" i="27"/>
  <c r="D3" i="27"/>
  <c r="E3" i="27"/>
  <c r="F3" i="27"/>
  <c r="G3" i="27"/>
  <c r="H3" i="27"/>
  <c r="A3" i="27"/>
  <c r="A3" i="4"/>
  <c r="H3" i="2"/>
  <c r="I3" i="2"/>
  <c r="J3" i="2"/>
  <c r="L3" i="2"/>
  <c r="B3" i="2"/>
  <c r="C3" i="2"/>
  <c r="D3" i="2"/>
  <c r="E3" i="2"/>
  <c r="F3" i="2"/>
  <c r="G3" i="2"/>
  <c r="A3" i="2"/>
  <c r="B3" i="26"/>
  <c r="C3" i="26"/>
  <c r="D3" i="26"/>
  <c r="E3" i="26"/>
  <c r="F3" i="26"/>
  <c r="G3" i="26"/>
  <c r="A3" i="26"/>
  <c r="F48" i="53"/>
  <c r="F27" i="53"/>
  <c r="F47" i="53"/>
  <c r="F57" i="53"/>
  <c r="F18" i="53"/>
  <c r="F38" i="53"/>
  <c r="F68" i="53"/>
  <c r="F9" i="53"/>
  <c r="F29" i="53"/>
  <c r="F49" i="53"/>
  <c r="F69" i="53"/>
  <c r="F10" i="53"/>
  <c r="F30" i="53"/>
  <c r="F50" i="53"/>
  <c r="F60" i="53"/>
  <c r="F11" i="53"/>
  <c r="F21" i="53"/>
  <c r="F31" i="53"/>
  <c r="F41" i="53"/>
  <c r="F51" i="53"/>
  <c r="F61" i="53"/>
  <c r="F71" i="53"/>
  <c r="F12" i="53"/>
  <c r="F22" i="53"/>
  <c r="F32" i="53"/>
  <c r="F42" i="53"/>
  <c r="F52" i="53"/>
  <c r="F62" i="53"/>
  <c r="F13" i="53"/>
  <c r="F23" i="53"/>
  <c r="F33" i="53"/>
  <c r="F43" i="53"/>
  <c r="F53" i="53"/>
  <c r="F63" i="53"/>
  <c r="F17" i="53"/>
  <c r="F66" i="53"/>
  <c r="F7" i="53"/>
  <c r="F37" i="53"/>
  <c r="F67" i="53"/>
  <c r="F8" i="53"/>
  <c r="F28" i="53"/>
  <c r="F58" i="53"/>
  <c r="F19" i="53"/>
  <c r="F39" i="53"/>
  <c r="F59" i="53"/>
  <c r="F20" i="53"/>
  <c r="F40" i="53"/>
  <c r="F70" i="53"/>
  <c r="F14" i="53"/>
  <c r="F24" i="53"/>
  <c r="F34" i="53"/>
  <c r="F44" i="53"/>
  <c r="F54" i="53"/>
  <c r="F64" i="53"/>
  <c r="F5" i="53"/>
  <c r="F15" i="53"/>
  <c r="F25" i="53"/>
  <c r="F35" i="53"/>
  <c r="F45" i="53"/>
  <c r="F55" i="53"/>
  <c r="F65" i="53"/>
  <c r="F6" i="53"/>
  <c r="F16" i="53"/>
  <c r="F26" i="53"/>
  <c r="F36" i="53"/>
  <c r="F46" i="53"/>
  <c r="F56" i="53"/>
  <c r="C33" i="53"/>
  <c r="C34" i="53"/>
  <c r="C42" i="53"/>
  <c r="C12" i="53"/>
  <c r="C43" i="53"/>
  <c r="C13" i="53"/>
  <c r="C44" i="53"/>
  <c r="C52" i="53"/>
  <c r="C14" i="53"/>
  <c r="C53" i="53"/>
  <c r="C22" i="53"/>
  <c r="C54" i="53"/>
  <c r="C23" i="53"/>
  <c r="C62" i="53"/>
  <c r="C24" i="53"/>
  <c r="C63" i="53"/>
  <c r="C32" i="53"/>
  <c r="C64" i="53"/>
  <c r="C5" i="53"/>
  <c r="C15" i="53"/>
  <c r="C25" i="53"/>
  <c r="C35" i="53"/>
  <c r="C45" i="53"/>
  <c r="C55" i="53"/>
  <c r="C65" i="53"/>
  <c r="C6" i="53"/>
  <c r="C16" i="53"/>
  <c r="C26" i="53"/>
  <c r="C36" i="53"/>
  <c r="C46" i="53"/>
  <c r="C56" i="53"/>
  <c r="C66" i="53"/>
  <c r="C7" i="53"/>
  <c r="C17" i="53"/>
  <c r="C27" i="53"/>
  <c r="C37" i="53"/>
  <c r="C47" i="53"/>
  <c r="C57" i="53"/>
  <c r="C67" i="53"/>
  <c r="C8" i="53"/>
  <c r="C18" i="53"/>
  <c r="C28" i="53"/>
  <c r="C38" i="53"/>
  <c r="C48" i="53"/>
  <c r="C58" i="53"/>
  <c r="C68" i="53"/>
  <c r="C9" i="53"/>
  <c r="C19" i="53"/>
  <c r="C29" i="53"/>
  <c r="C39" i="53"/>
  <c r="C49" i="53"/>
  <c r="C59" i="53"/>
  <c r="C69" i="53"/>
  <c r="C10" i="53"/>
  <c r="C20" i="53"/>
  <c r="C30" i="53"/>
  <c r="C40" i="53"/>
  <c r="C50" i="53"/>
  <c r="C60" i="53"/>
  <c r="C70" i="53"/>
  <c r="C11" i="53"/>
  <c r="C21" i="53"/>
  <c r="C31" i="53"/>
  <c r="C41" i="53"/>
  <c r="C51" i="53"/>
  <c r="C61" i="53"/>
  <c r="C71" i="53"/>
  <c r="E36" i="53"/>
  <c r="E44" i="53"/>
  <c r="E5" i="53"/>
  <c r="E45" i="53"/>
  <c r="E6" i="53"/>
  <c r="E46" i="53"/>
  <c r="E14" i="53"/>
  <c r="E54" i="53"/>
  <c r="E15" i="53"/>
  <c r="E55" i="53"/>
  <c r="E16" i="53"/>
  <c r="E56" i="53"/>
  <c r="E24" i="53"/>
  <c r="E64" i="53"/>
  <c r="E25" i="53"/>
  <c r="E65" i="53"/>
  <c r="E26" i="53"/>
  <c r="E66" i="53"/>
  <c r="E34" i="53"/>
  <c r="E35" i="53"/>
  <c r="E7" i="53"/>
  <c r="E17" i="53"/>
  <c r="E27" i="53"/>
  <c r="E37" i="53"/>
  <c r="E47" i="53"/>
  <c r="E57" i="53"/>
  <c r="E67" i="53"/>
  <c r="E8" i="53"/>
  <c r="E18" i="53"/>
  <c r="E28" i="53"/>
  <c r="E38" i="53"/>
  <c r="E48" i="53"/>
  <c r="E58" i="53"/>
  <c r="E68" i="53"/>
  <c r="E9" i="53"/>
  <c r="E19" i="53"/>
  <c r="E29" i="53"/>
  <c r="E39" i="53"/>
  <c r="E49" i="53"/>
  <c r="E59" i="53"/>
  <c r="E69" i="53"/>
  <c r="E10" i="53"/>
  <c r="E20" i="53"/>
  <c r="E30" i="53"/>
  <c r="E40" i="53"/>
  <c r="E50" i="53"/>
  <c r="E60" i="53"/>
  <c r="E70" i="53"/>
  <c r="E11" i="53"/>
  <c r="E21" i="53"/>
  <c r="E31" i="53"/>
  <c r="E41" i="53"/>
  <c r="E51" i="53"/>
  <c r="E61" i="53"/>
  <c r="E71" i="53"/>
  <c r="E12" i="53"/>
  <c r="E22" i="53"/>
  <c r="E32" i="53"/>
  <c r="E42" i="53"/>
  <c r="E52" i="53"/>
  <c r="E62" i="53"/>
  <c r="E13" i="53"/>
  <c r="E23" i="53"/>
  <c r="E33" i="53"/>
  <c r="E43" i="53"/>
  <c r="E53" i="53"/>
  <c r="E63" i="53"/>
  <c r="AS3" i="53"/>
  <c r="LU3" i="53"/>
  <c r="WY3" i="53"/>
  <c r="AIW3" i="53"/>
  <c r="ASH3" i="53"/>
  <c r="BIC3" i="53"/>
  <c r="DEE3" i="53"/>
  <c r="DKY3" i="53"/>
  <c r="EFF3" i="53"/>
  <c r="FKV3" i="53"/>
  <c r="GPS3" i="53"/>
  <c r="HBN3" i="53"/>
  <c r="HNF3" i="53"/>
  <c r="HYW3" i="53"/>
  <c r="JZD3" i="53"/>
  <c r="LAV3" i="53"/>
  <c r="MDB3" i="53"/>
  <c r="RGR3" i="53"/>
  <c r="AAI3" i="53"/>
  <c r="APW3" i="53"/>
  <c r="AWC3" i="53"/>
  <c r="BPA3" i="53"/>
  <c r="CYH3" i="53"/>
  <c r="DIE3" i="53"/>
  <c r="EJN3" i="53"/>
  <c r="GQM3" i="53"/>
  <c r="HRX3" i="53"/>
  <c r="IHR3" i="53"/>
  <c r="JZV3" i="53"/>
  <c r="KNA3" i="53"/>
  <c r="LHK3" i="53"/>
  <c r="MEG3" i="53"/>
  <c r="NBD3" i="53"/>
  <c r="QCM3" i="53"/>
  <c r="RIG3" i="53"/>
  <c r="TAS3" i="53"/>
  <c r="MJ3" i="53"/>
  <c r="XO3" i="53"/>
  <c r="BCL3" i="53"/>
  <c r="BLZ3" i="53"/>
  <c r="BVI3" i="53"/>
  <c r="CRQ3" i="53"/>
  <c r="DBP3" i="53"/>
  <c r="DLO3" i="53"/>
  <c r="DVN3" i="53"/>
  <c r="FAX3" i="53"/>
  <c r="FXA3" i="53"/>
  <c r="HGF3" i="53"/>
  <c r="HRZ3" i="53"/>
  <c r="JFF3" i="53"/>
  <c r="JRQ3" i="53"/>
  <c r="LBY3" i="53"/>
  <c r="NMR3" i="53"/>
  <c r="ODW3" i="53"/>
  <c r="OWD3" i="53"/>
  <c r="PPD3" i="53"/>
  <c r="QJX3" i="53"/>
  <c r="RRI3" i="53"/>
  <c r="TNM3" i="53"/>
  <c r="UBG3" i="53"/>
  <c r="URL3" i="53"/>
  <c r="EB3" i="53"/>
  <c r="SA3" i="53"/>
  <c r="AGL3" i="53"/>
  <c r="ATA3" i="53"/>
  <c r="CEV3" i="53"/>
  <c r="CUY3" i="53"/>
  <c r="DII3" i="53"/>
  <c r="DVO3" i="53"/>
  <c r="EJO3" i="53"/>
  <c r="EXM3" i="53"/>
  <c r="FIA3" i="53"/>
  <c r="FTE3" i="53"/>
  <c r="GYN3" i="53"/>
  <c r="IHS3" i="53"/>
  <c r="JJK3" i="53"/>
  <c r="JZY3" i="53"/>
  <c r="KRZ3" i="53"/>
  <c r="LNF3" i="53"/>
  <c r="NBF3" i="53"/>
  <c r="PVU3" i="53"/>
  <c r="QZV3" i="53"/>
  <c r="SEP3" i="53"/>
  <c r="VNM3" i="53"/>
  <c r="GX3" i="53"/>
  <c r="XP3" i="53"/>
  <c r="BMA3" i="53"/>
  <c r="CYJ3" i="53"/>
  <c r="EUB3" i="53"/>
  <c r="FEO3" i="53"/>
  <c r="FPH3" i="53"/>
  <c r="GAW3" i="53"/>
  <c r="HKH3" i="53"/>
  <c r="HWD3" i="53"/>
  <c r="KED3" i="53"/>
  <c r="MEM3" i="53"/>
  <c r="NGY3" i="53"/>
  <c r="OJR3" i="53"/>
  <c r="PPL3" i="53"/>
  <c r="EE3" i="53"/>
  <c r="PI3" i="53"/>
  <c r="AAM3" i="53"/>
  <c r="AGN3" i="53"/>
  <c r="AMU3" i="53"/>
  <c r="BCP3" i="53"/>
  <c r="BPD3" i="53"/>
  <c r="BVO3" i="53"/>
  <c r="CIE3" i="53"/>
  <c r="CVE3" i="53"/>
  <c r="DSI3" i="53"/>
  <c r="ECR3" i="53"/>
  <c r="EJP3" i="53"/>
  <c r="GQQ3" i="53"/>
  <c r="HCJ3" i="53"/>
  <c r="ITP3" i="53"/>
  <c r="JFH3" i="53"/>
  <c r="JRV3" i="53"/>
  <c r="KND3" i="53"/>
  <c r="LNH3" i="53"/>
  <c r="QRO3" i="53"/>
  <c r="SES3" i="53"/>
  <c r="VNW3" i="53"/>
  <c r="KI3" i="53"/>
  <c r="VM3" i="53"/>
  <c r="ABB3" i="53"/>
  <c r="AHD3" i="53"/>
  <c r="AQO3" i="53"/>
  <c r="CLV3" i="53"/>
  <c r="CSM3" i="53"/>
  <c r="CZA3" i="53"/>
  <c r="DIY3" i="53"/>
  <c r="DSY3" i="53"/>
  <c r="EDK3" i="53"/>
  <c r="FMQ3" i="53"/>
  <c r="FXV3" i="53"/>
  <c r="IEQ3" i="53"/>
  <c r="IQI3" i="53"/>
  <c r="JSM3" i="53"/>
  <c r="KJL3" i="53"/>
  <c r="LZU3" i="53"/>
  <c r="MRA3" i="53"/>
  <c r="NID3" i="53"/>
  <c r="OLE3" i="53"/>
  <c r="QED3" i="53"/>
  <c r="RBU3" i="53"/>
  <c r="VNY3" i="53"/>
  <c r="HM3" i="53"/>
  <c r="PX3" i="53"/>
  <c r="YH3" i="53"/>
  <c r="AEB3" i="53"/>
  <c r="BAB3" i="53"/>
  <c r="CIU3" i="53"/>
  <c r="CVU3" i="53"/>
  <c r="ERH3" i="53"/>
  <c r="FFI3" i="53"/>
  <c r="FTZ3" i="53"/>
  <c r="GFT3" i="53"/>
  <c r="GRP3" i="53"/>
  <c r="GZI3" i="53"/>
  <c r="JCG3" i="53"/>
  <c r="KOH3" i="53"/>
  <c r="LOJ3" i="53"/>
  <c r="MLL3" i="53"/>
  <c r="NIH3" i="53"/>
  <c r="NZN3" i="53"/>
  <c r="PKJ3" i="53"/>
  <c r="RVO3" i="53"/>
  <c r="TFJ3" i="53"/>
  <c r="UHO3" i="53"/>
  <c r="PY3" i="53"/>
  <c r="ABC3" i="53"/>
  <c r="ANM3" i="53"/>
  <c r="BPX3" i="53"/>
  <c r="BZI3" i="53"/>
  <c r="DFU3" i="53"/>
  <c r="DPT3" i="53"/>
  <c r="DZY3" i="53"/>
  <c r="FQG3" i="53"/>
  <c r="IAV3" i="53"/>
  <c r="IMR3" i="53"/>
  <c r="IYJ3" i="53"/>
  <c r="KFD3" i="53"/>
  <c r="OLH3" i="53"/>
  <c r="QEE3" i="53"/>
  <c r="SHH3" i="53"/>
  <c r="VRQ3" i="53"/>
  <c r="BZ3" i="53"/>
  <c r="YI3" i="53"/>
  <c r="AEC3" i="53"/>
  <c r="AWZ3" i="53"/>
  <c r="BMT3" i="53"/>
  <c r="CFR3" i="53"/>
  <c r="CMB3" i="53"/>
  <c r="ERL3" i="53"/>
  <c r="FFJ3" i="53"/>
  <c r="GZN3" i="53"/>
  <c r="IUO3" i="53"/>
  <c r="KAZ3" i="53"/>
  <c r="KTI3" i="53"/>
  <c r="LOO3" i="53"/>
  <c r="MLN3" i="53"/>
  <c r="NCR3" i="53"/>
  <c r="NTV3" i="53"/>
  <c r="OLI3" i="53"/>
  <c r="QTP3" i="53"/>
  <c r="G3" i="53"/>
  <c r="AKN3" i="53"/>
  <c r="ATY3" i="53"/>
  <c r="BTD3" i="53"/>
  <c r="DJG3" i="53"/>
  <c r="DWM3" i="53"/>
  <c r="EKN3" i="53"/>
  <c r="EUX3" i="53"/>
  <c r="FUD3" i="53"/>
  <c r="GJV3" i="53"/>
  <c r="GVP3" i="53"/>
  <c r="HHH3" i="53"/>
  <c r="HTD3" i="53"/>
  <c r="IAZ3" i="53"/>
  <c r="JGK3" i="53"/>
  <c r="JOQ3" i="53"/>
  <c r="JXA3" i="53"/>
  <c r="KFE3" i="53"/>
  <c r="MLO3" i="53"/>
  <c r="PKP3" i="53"/>
  <c r="RVQ3" i="53"/>
  <c r="TFU3" i="53"/>
  <c r="CR3" i="53"/>
  <c r="KY3" i="53"/>
  <c r="TJ3" i="53"/>
  <c r="BEA3" i="53"/>
  <c r="BKG3" i="53"/>
  <c r="CDE3" i="53"/>
  <c r="CJN3" i="53"/>
  <c r="CTE3" i="53"/>
  <c r="FUZ3" i="53"/>
  <c r="HAI3" i="53"/>
  <c r="HQC3" i="53"/>
  <c r="IRM3" i="53"/>
  <c r="JXS3" i="53"/>
  <c r="KPI3" i="53"/>
  <c r="LEO3" i="53"/>
  <c r="LVM3" i="53"/>
  <c r="OSS3" i="53"/>
  <c r="QGA3" i="53"/>
  <c r="QVH3" i="53"/>
  <c r="AEW3" i="53"/>
  <c r="ARL3" i="53"/>
  <c r="BHF3" i="53"/>
  <c r="BTS3" i="53"/>
  <c r="CMU3" i="53"/>
  <c r="CZX3" i="53"/>
  <c r="EHS3" i="53"/>
  <c r="FJT3" i="53"/>
  <c r="GOR3" i="53"/>
  <c r="IBU3" i="53"/>
  <c r="KBX3" i="53"/>
  <c r="NVC3" i="53"/>
  <c r="V3" i="53"/>
  <c r="KZ3" i="53"/>
  <c r="WH3" i="53"/>
  <c r="AEX3" i="53"/>
  <c r="BAX3" i="53"/>
  <c r="DH3" i="53"/>
  <c r="GC3" i="53"/>
  <c r="LS3" i="53"/>
  <c r="OL3" i="53"/>
  <c r="WW3" i="53"/>
  <c r="ZO3" i="53"/>
  <c r="ACN3" i="53"/>
  <c r="AFN3" i="53"/>
  <c r="AIT3" i="53"/>
  <c r="AOY3" i="53"/>
  <c r="ASC3" i="53"/>
  <c r="AVI3" i="53"/>
  <c r="AYN3" i="53"/>
  <c r="BBP3" i="53"/>
  <c r="BES3" i="53"/>
  <c r="BIA3" i="53"/>
  <c r="BUN3" i="53"/>
  <c r="BXS3" i="53"/>
  <c r="CEC3" i="53"/>
  <c r="CHE3" i="53"/>
  <c r="CKH3" i="53"/>
  <c r="CNK3" i="53"/>
  <c r="DEB3" i="53"/>
  <c r="DHJ3" i="53"/>
  <c r="DKR3" i="53"/>
  <c r="DNY3" i="53"/>
  <c r="DUQ3" i="53"/>
  <c r="DXY3" i="53"/>
  <c r="EFB3" i="53"/>
  <c r="EIO3" i="53"/>
  <c r="EPP3" i="53"/>
  <c r="ETB3" i="53"/>
  <c r="FAB3" i="53"/>
  <c r="FHB3" i="53"/>
  <c r="FSC3" i="53"/>
  <c r="FVW3" i="53"/>
  <c r="GDU3" i="53"/>
  <c r="GHQ3" i="53"/>
  <c r="GPQ3" i="53"/>
  <c r="HBF3" i="53"/>
  <c r="HNA3" i="53"/>
  <c r="HUZ3" i="53"/>
  <c r="HYT3" i="53"/>
  <c r="IGT3" i="53"/>
  <c r="IKP3" i="53"/>
  <c r="JEE3" i="53"/>
  <c r="JIK3" i="53"/>
  <c r="JUQ3" i="53"/>
  <c r="JYU3" i="53"/>
  <c r="KCZ3" i="53"/>
  <c r="LRK3" i="53"/>
  <c r="MCX3" i="53"/>
  <c r="MIQ3" i="53"/>
  <c r="MZV3" i="53"/>
  <c r="NWQ3" i="53"/>
  <c r="OCL3" i="53"/>
  <c r="OUO3" i="53"/>
  <c r="PHG3" i="53"/>
  <c r="PNQ3" i="53"/>
  <c r="QIC3" i="53"/>
  <c r="RFY3" i="53"/>
  <c r="SAA3" i="53"/>
  <c r="TKR3" i="53"/>
  <c r="TXV3" i="53"/>
  <c r="UNS3" i="53"/>
  <c r="AM3" i="53"/>
  <c r="GD3" i="53"/>
  <c r="IX3" i="53"/>
  <c r="RI3" i="53"/>
  <c r="ALX3" i="53"/>
  <c r="ASE3" i="53"/>
  <c r="AYO3" i="53"/>
  <c r="BLC3" i="53"/>
  <c r="BOF3" i="53"/>
  <c r="BRL3" i="53"/>
  <c r="BUQ3" i="53"/>
  <c r="CAW3" i="53"/>
  <c r="CNO3" i="53"/>
  <c r="CUC3" i="53"/>
  <c r="CXK3" i="53"/>
  <c r="DAV3" i="53"/>
  <c r="DRJ3" i="53"/>
  <c r="DYE3" i="53"/>
  <c r="EBP3" i="53"/>
  <c r="EFD3" i="53"/>
  <c r="EIQ3" i="53"/>
  <c r="EMB3" i="53"/>
  <c r="EPQ3" i="53"/>
  <c r="EWM3" i="53"/>
  <c r="FAD3" i="53"/>
  <c r="FDO3" i="53"/>
  <c r="FKP3" i="53"/>
  <c r="FZW3" i="53"/>
  <c r="GHU3" i="53"/>
  <c r="GLQ3" i="53"/>
  <c r="GTO3" i="53"/>
  <c r="GXI3" i="53"/>
  <c r="HFI3" i="53"/>
  <c r="HJE3" i="53"/>
  <c r="HRD3" i="53"/>
  <c r="ICS3" i="53"/>
  <c r="IOM3" i="53"/>
  <c r="ISM3" i="53"/>
  <c r="IWM3" i="53"/>
  <c r="JAH3" i="53"/>
  <c r="JQO3" i="53"/>
  <c r="JUU3" i="53"/>
  <c r="JYW3" i="53"/>
  <c r="KHE3" i="53"/>
  <c r="KLX3" i="53"/>
  <c r="KQS3" i="53"/>
  <c r="KVR3" i="53"/>
  <c r="LGC3" i="53"/>
  <c r="LXC3" i="53"/>
  <c r="MOH3" i="53"/>
  <c r="MUB3" i="53"/>
  <c r="NFN3" i="53"/>
  <c r="OII3" i="53"/>
  <c r="OOE3" i="53"/>
  <c r="PBA3" i="53"/>
  <c r="PUE3" i="53"/>
  <c r="QPJ3" i="53"/>
  <c r="QXS3" i="53"/>
  <c r="RPH3" i="53"/>
  <c r="SLT3" i="53"/>
  <c r="SYA3" i="53"/>
  <c r="UOD3" i="53"/>
  <c r="WDC3" i="53"/>
  <c r="AO3" i="53"/>
  <c r="DI3" i="53"/>
  <c r="LT3" i="53"/>
  <c r="OM3" i="53"/>
  <c r="WX3" i="53"/>
  <c r="ZS3" i="53"/>
  <c r="ACO3" i="53"/>
  <c r="AFO3" i="53"/>
  <c r="AIV3" i="53"/>
  <c r="AVK3" i="53"/>
  <c r="BBQ3" i="53"/>
  <c r="BIB3" i="53"/>
  <c r="BXT3" i="53"/>
  <c r="CED3" i="53"/>
  <c r="CHF3" i="53"/>
  <c r="CKI3" i="53"/>
  <c r="CNP3" i="53"/>
  <c r="CXM3" i="53"/>
  <c r="DED3" i="53"/>
  <c r="DHK3" i="53"/>
  <c r="DUR3" i="53"/>
  <c r="ETC3" i="53"/>
  <c r="EWR3" i="53"/>
  <c r="FHC3" i="53"/>
  <c r="FKT3" i="53"/>
  <c r="FOK3" i="53"/>
  <c r="FSD3" i="53"/>
  <c r="FVX3" i="53"/>
  <c r="GDV3" i="53"/>
  <c r="GPR3" i="53"/>
  <c r="HBJ3" i="53"/>
  <c r="HJG3" i="53"/>
  <c r="HNC3" i="53"/>
  <c r="HVC3" i="53"/>
  <c r="HYV3" i="53"/>
  <c r="ICV3" i="53"/>
  <c r="IGU3" i="53"/>
  <c r="IKQ3" i="53"/>
  <c r="ISQ3" i="53"/>
  <c r="JEF3" i="53"/>
  <c r="JIL3" i="53"/>
  <c r="JMN3" i="53"/>
  <c r="JYZ3" i="53"/>
  <c r="KVT3" i="53"/>
  <c r="LAU3" i="53"/>
  <c r="LLW3" i="53"/>
  <c r="LRO3" i="53"/>
  <c r="MCZ3" i="53"/>
  <c r="MIT3" i="53"/>
  <c r="NLL3" i="53"/>
  <c r="NRE3" i="53"/>
  <c r="NWR3" i="53"/>
  <c r="OOG3" i="53"/>
  <c r="PHH3" i="53"/>
  <c r="QBA3" i="53"/>
  <c r="QIE3" i="53"/>
  <c r="QXV3" i="53"/>
  <c r="RPL3" i="53"/>
  <c r="SAI3" i="53"/>
  <c r="SYB3" i="53"/>
  <c r="TKU3" i="53"/>
  <c r="AQ3" i="53"/>
  <c r="GF3" i="53"/>
  <c r="IY3" i="53"/>
  <c r="RJ3" i="53"/>
  <c r="UE3" i="53"/>
  <c r="ALY3" i="53"/>
  <c r="APD3" i="53"/>
  <c r="ASF3" i="53"/>
  <c r="AYP3" i="53"/>
  <c r="BEX3" i="53"/>
  <c r="BOH3" i="53"/>
  <c r="BRO3" i="53"/>
  <c r="BUS3" i="53"/>
  <c r="BXU3" i="53"/>
  <c r="CEE3" i="53"/>
  <c r="CQY3" i="53"/>
  <c r="CUD3" i="53"/>
  <c r="DAW3" i="53"/>
  <c r="DHM3" i="53"/>
  <c r="DKU3" i="53"/>
  <c r="DRK3" i="53"/>
  <c r="DUS3" i="53"/>
  <c r="DYH3" i="53"/>
  <c r="EBQ3" i="53"/>
  <c r="EFE3" i="53"/>
  <c r="EMD3" i="53"/>
  <c r="EPR3" i="53"/>
  <c r="EWU3" i="53"/>
  <c r="FAE3" i="53"/>
  <c r="FDP3" i="53"/>
  <c r="FHD3" i="53"/>
  <c r="FWD3" i="53"/>
  <c r="FZZ3" i="53"/>
  <c r="GHV3" i="53"/>
  <c r="GLT3" i="53"/>
  <c r="GTP3" i="53"/>
  <c r="GXJ3" i="53"/>
  <c r="HFJ3" i="53"/>
  <c r="HRE3" i="53"/>
  <c r="IKT3" i="53"/>
  <c r="IOP3" i="53"/>
  <c r="IWO3" i="53"/>
  <c r="JAI3" i="53"/>
  <c r="JEH3" i="53"/>
  <c r="KDB3" i="53"/>
  <c r="KHH3" i="53"/>
  <c r="KMB3" i="53"/>
  <c r="KQU3" i="53"/>
  <c r="LXE3" i="53"/>
  <c r="MUG3" i="53"/>
  <c r="MZY3" i="53"/>
  <c r="NFO3" i="53"/>
  <c r="OCQ3" i="53"/>
  <c r="OIK3" i="53"/>
  <c r="OUS3" i="53"/>
  <c r="PBC3" i="53"/>
  <c r="PNU3" i="53"/>
  <c r="PUF3" i="53"/>
  <c r="QPL3" i="53"/>
  <c r="RRA3" i="53"/>
  <c r="SCH3" i="53"/>
  <c r="SOA3" i="53"/>
  <c r="TAP3" i="53"/>
  <c r="UAZ3" i="53"/>
  <c r="URF3" i="53"/>
  <c r="OQ3" i="53"/>
  <c r="UG3" i="53"/>
  <c r="AVM3" i="53"/>
  <c r="BEZ3" i="53"/>
  <c r="BLF3" i="53"/>
  <c r="CKK3" i="53"/>
  <c r="EIT3" i="53"/>
  <c r="ETE3" i="53"/>
  <c r="FOO3" i="53"/>
  <c r="ISR3" i="53"/>
  <c r="JIM3" i="53"/>
  <c r="JUZ3" i="53"/>
  <c r="KVV3" i="53"/>
  <c r="LLX3" i="53"/>
  <c r="NRF3" i="53"/>
  <c r="URK3" i="53"/>
  <c r="GT3" i="53"/>
  <c r="RX3" i="53"/>
  <c r="ADI3" i="53"/>
  <c r="AZF3" i="53"/>
  <c r="BSE3" i="53"/>
  <c r="CBR3" i="53"/>
  <c r="COH3" i="53"/>
  <c r="EXL3" i="53"/>
  <c r="GES3" i="53"/>
  <c r="GYI3" i="53"/>
  <c r="HVV3" i="53"/>
  <c r="IDS3" i="53"/>
  <c r="IPM3" i="53"/>
  <c r="JBF3" i="53"/>
  <c r="JJJ3" i="53"/>
  <c r="KIJ3" i="53"/>
  <c r="KWV3" i="53"/>
  <c r="LSU3" i="53"/>
  <c r="QZT3" i="53"/>
  <c r="AAJ3" i="53"/>
  <c r="AJN3" i="53"/>
  <c r="ASZ3" i="53"/>
  <c r="BFO3" i="53"/>
  <c r="BYM3" i="53"/>
  <c r="DIH3" i="53"/>
  <c r="DSC3" i="53"/>
  <c r="ECK3" i="53"/>
  <c r="GAV3" i="53"/>
  <c r="GMQ3" i="53"/>
  <c r="HKG3" i="53"/>
  <c r="HVZ3" i="53"/>
  <c r="ITJ3" i="53"/>
  <c r="MKA3" i="53"/>
  <c r="NGX3" i="53"/>
  <c r="WIR3" i="53"/>
  <c r="GU3" i="53"/>
  <c r="PG3" i="53"/>
  <c r="ADJ3" i="53"/>
  <c r="AWD3" i="53"/>
  <c r="BVL3" i="53"/>
  <c r="CID3" i="53"/>
  <c r="CYI3" i="53"/>
  <c r="DFA3" i="53"/>
  <c r="DSG3" i="53"/>
  <c r="DZB3" i="53"/>
  <c r="EGB3" i="53"/>
  <c r="EMZ3" i="53"/>
  <c r="GUQ3" i="53"/>
  <c r="IDT3" i="53"/>
  <c r="IPP3" i="53"/>
  <c r="JBI3" i="53"/>
  <c r="JNR3" i="53"/>
  <c r="KNB3" i="53"/>
  <c r="KWZ3" i="53"/>
  <c r="LHL3" i="53"/>
  <c r="MVQ3" i="53"/>
  <c r="OPU3" i="53"/>
  <c r="PCN3" i="53"/>
  <c r="PPK3" i="53"/>
  <c r="QRM3" i="53"/>
  <c r="RTI3" i="53"/>
  <c r="UDY3" i="53"/>
  <c r="UUV3" i="53"/>
  <c r="BI3" i="53"/>
  <c r="JS3" i="53"/>
  <c r="UW3" i="53"/>
  <c r="BIU3" i="53"/>
  <c r="BSG3" i="53"/>
  <c r="CLF3" i="53"/>
  <c r="DFC3" i="53"/>
  <c r="DOY3" i="53"/>
  <c r="EQN3" i="53"/>
  <c r="GEW3" i="53"/>
  <c r="HSC3" i="53"/>
  <c r="JBL3" i="53"/>
  <c r="KAB3" i="53"/>
  <c r="LBZ3" i="53"/>
  <c r="LYQ3" i="53"/>
  <c r="OEB3" i="53"/>
  <c r="XR3" i="53"/>
  <c r="AJP3" i="53"/>
  <c r="AWE3" i="53"/>
  <c r="CBT3" i="53"/>
  <c r="CRU3" i="53"/>
  <c r="DIJ3" i="53"/>
  <c r="DVP3" i="53"/>
  <c r="EGC3" i="53"/>
  <c r="EQO3" i="53"/>
  <c r="FTG3" i="53"/>
  <c r="GMU3" i="53"/>
  <c r="HGJ3" i="53"/>
  <c r="IPQ3" i="53"/>
  <c r="JJL3" i="53"/>
  <c r="LHN3" i="53"/>
  <c r="NBH3" i="53"/>
  <c r="NSL3" i="53"/>
  <c r="OPV3" i="53"/>
  <c r="PCO3" i="53"/>
  <c r="QCV3" i="53"/>
  <c r="QJZ3" i="53"/>
  <c r="RTM3" i="53"/>
  <c r="SQT3" i="53"/>
  <c r="UEQ3" i="53"/>
  <c r="HL3" i="53"/>
  <c r="SQ3" i="53"/>
  <c r="AEA3" i="53"/>
  <c r="ANL3" i="53"/>
  <c r="BPT3" i="53"/>
  <c r="BZH3" i="53"/>
  <c r="CVS3" i="53"/>
  <c r="DFT3" i="53"/>
  <c r="DPS3" i="53"/>
  <c r="DZV3" i="53"/>
  <c r="EKG3" i="53"/>
  <c r="EUU3" i="53"/>
  <c r="FQE3" i="53"/>
  <c r="GBU3" i="53"/>
  <c r="IYI3" i="53"/>
  <c r="JOO3" i="53"/>
  <c r="LUG3" i="53"/>
  <c r="NZJ3" i="53"/>
  <c r="OXL3" i="53"/>
  <c r="PXG3" i="53"/>
  <c r="QTI3" i="53"/>
  <c r="TQG3" i="53"/>
  <c r="UER3" i="53"/>
  <c r="ET3" i="53"/>
  <c r="NB3" i="53"/>
  <c r="AWY3" i="53"/>
  <c r="BTA3" i="53"/>
  <c r="CCK3" i="53"/>
  <c r="CLW3" i="53"/>
  <c r="EYI3" i="53"/>
  <c r="GNT3" i="53"/>
  <c r="HDH3" i="53"/>
  <c r="IES3" i="53"/>
  <c r="IUM3" i="53"/>
  <c r="JGD3" i="53"/>
  <c r="KAY3" i="53"/>
  <c r="KTD3" i="53"/>
  <c r="NTU3" i="53"/>
  <c r="PEA3" i="53"/>
  <c r="QTN3" i="53"/>
  <c r="STH3" i="53"/>
  <c r="WSQ3" i="53"/>
  <c r="HO3" i="53"/>
  <c r="SS3" i="53"/>
  <c r="AKJ3" i="53"/>
  <c r="AQQ3" i="53"/>
  <c r="BDG3" i="53"/>
  <c r="BJP3" i="53"/>
  <c r="BWF3" i="53"/>
  <c r="CZB3" i="53"/>
  <c r="DJA3" i="53"/>
  <c r="EDL3" i="53"/>
  <c r="EYL3" i="53"/>
  <c r="FIV3" i="53"/>
  <c r="GVM3" i="53"/>
  <c r="HHG3" i="53"/>
  <c r="HTC3" i="53"/>
  <c r="JOP3" i="53"/>
  <c r="MWW3" i="53"/>
  <c r="NOA3" i="53"/>
  <c r="OFF3" i="53"/>
  <c r="OXN3" i="53"/>
  <c r="PXI3" i="53"/>
  <c r="TFT3" i="53"/>
  <c r="UHZ3" i="53"/>
  <c r="KK3" i="53"/>
  <c r="VO3" i="53"/>
  <c r="AHH3" i="53"/>
  <c r="BDJ3" i="53"/>
  <c r="CCN3" i="53"/>
  <c r="CPF3" i="53"/>
  <c r="CZE3" i="53"/>
  <c r="DTD3" i="53"/>
  <c r="DZZ3" i="53"/>
  <c r="EKL3" i="53"/>
  <c r="ENY3" i="53"/>
  <c r="GFV3" i="53"/>
  <c r="GNU3" i="53"/>
  <c r="HLE3" i="53"/>
  <c r="IIT3" i="53"/>
  <c r="IQS3" i="53"/>
  <c r="LDK3" i="53"/>
  <c r="LUI3" i="53"/>
  <c r="MWY3" i="53"/>
  <c r="OFJ3" i="53"/>
  <c r="OXS3" i="53"/>
  <c r="TSQ3" i="53"/>
  <c r="WTM3" i="53"/>
  <c r="HR3" i="53"/>
  <c r="SU3" i="53"/>
  <c r="AQR3" i="53"/>
  <c r="BQB3" i="53"/>
  <c r="BZM3" i="53"/>
  <c r="DFV3" i="53"/>
  <c r="DPV3" i="53"/>
  <c r="EAA3" i="53"/>
  <c r="EDM3" i="53"/>
  <c r="EYM3" i="53"/>
  <c r="FQJ3" i="53"/>
  <c r="HPH3" i="53"/>
  <c r="IMS3" i="53"/>
  <c r="JCM3" i="53"/>
  <c r="JSX3" i="53"/>
  <c r="KOK3" i="53"/>
  <c r="MFV3" i="53"/>
  <c r="NIP3" i="53"/>
  <c r="PEC3" i="53"/>
  <c r="SHK3" i="53"/>
  <c r="WTQ3" i="53"/>
  <c r="U3" i="53"/>
  <c r="IG3" i="53"/>
  <c r="BAV3" i="53"/>
  <c r="BNN3" i="53"/>
  <c r="CPX3" i="53"/>
  <c r="DDD3" i="53"/>
  <c r="DQM3" i="53"/>
  <c r="EAR3" i="53"/>
  <c r="EVS3" i="53"/>
  <c r="HIC3" i="53"/>
  <c r="HXV3" i="53"/>
  <c r="IVH3" i="53"/>
  <c r="JDH3" i="53"/>
  <c r="JTT3" i="53"/>
  <c r="KUG3" i="53"/>
  <c r="MSI3" i="53"/>
  <c r="NJQ3" i="53"/>
  <c r="OAU3" i="53"/>
  <c r="PYY3" i="53"/>
  <c r="VBM3" i="53"/>
  <c r="FK3" i="53"/>
  <c r="QO3" i="53"/>
  <c r="YZ3" i="53"/>
  <c r="AHZ3" i="53"/>
  <c r="AOD3" i="53"/>
  <c r="BWZ3" i="53"/>
  <c r="CGJ3" i="53"/>
  <c r="CPY3" i="53"/>
  <c r="DGP3" i="53"/>
  <c r="DXF3" i="53"/>
  <c r="EEH3" i="53"/>
  <c r="ELE3" i="53"/>
  <c r="EZE3" i="53"/>
  <c r="FGE3" i="53"/>
  <c r="GCV3" i="53"/>
  <c r="GSJ3" i="53"/>
  <c r="IFU3" i="53"/>
  <c r="INQ3" i="53"/>
  <c r="JLK3" i="53"/>
  <c r="KKS3" i="53"/>
  <c r="MHD3" i="53"/>
  <c r="MSM3" i="53"/>
  <c r="NPN3" i="53"/>
  <c r="OZH3" i="53"/>
  <c r="PFK3" i="53"/>
  <c r="QNC3" i="53"/>
  <c r="SJR3" i="53"/>
  <c r="SVG3" i="53"/>
  <c r="TIA3" i="53"/>
  <c r="TVI3" i="53"/>
  <c r="ABX3" i="53"/>
  <c r="BKH3" i="53"/>
  <c r="CJR3" i="53"/>
  <c r="DTZ3" i="53"/>
  <c r="IVI3" i="53"/>
  <c r="BKJ3" i="53"/>
  <c r="DGS3" i="53"/>
  <c r="ELH3" i="53"/>
  <c r="FGI3" i="53"/>
  <c r="FJV3" i="53"/>
  <c r="FNN3" i="53"/>
  <c r="FRI3" i="53"/>
  <c r="GOS3" i="53"/>
  <c r="GSS3" i="53"/>
  <c r="HAK3" i="53"/>
  <c r="HIH3" i="53"/>
  <c r="IBV3" i="53"/>
  <c r="IFV3" i="53"/>
  <c r="INR3" i="53"/>
  <c r="IRP3" i="53"/>
  <c r="IZM3" i="53"/>
  <c r="JXV3" i="53"/>
  <c r="KGF3" i="53"/>
  <c r="KZJ3" i="53"/>
  <c r="LER3" i="53"/>
  <c r="MBI3" i="53"/>
  <c r="MHE3" i="53"/>
  <c r="MYK3" i="53"/>
  <c r="NEA3" i="53"/>
  <c r="NJT3" i="53"/>
  <c r="NPO3" i="53"/>
  <c r="NVH3" i="53"/>
  <c r="OMR3" i="53"/>
  <c r="OSU3" i="53"/>
  <c r="OZI3" i="53"/>
  <c r="PLX3" i="53"/>
  <c r="QNI3" i="53"/>
  <c r="REC3" i="53"/>
  <c r="SVY3" i="53"/>
  <c r="TIC3" i="53"/>
  <c r="TVY3" i="53"/>
  <c r="DK3" i="53"/>
  <c r="APE3" i="53"/>
  <c r="BBR3" i="53"/>
  <c r="CAZ3" i="53"/>
  <c r="CNR3" i="53"/>
  <c r="DOF3" i="53"/>
  <c r="EBR3" i="53"/>
  <c r="EMI3" i="53"/>
  <c r="EWV3" i="53"/>
  <c r="GDY3" i="53"/>
  <c r="GXR3" i="53"/>
  <c r="HJH3" i="53"/>
  <c r="HVD3" i="53"/>
  <c r="IGV3" i="53"/>
  <c r="JQS3" i="53"/>
  <c r="MIV3" i="53"/>
  <c r="NLM3" i="53"/>
  <c r="QIF3" i="53"/>
  <c r="TNK3" i="53"/>
  <c r="VJU3" i="53"/>
  <c r="DZ3" i="53"/>
  <c r="PF3" i="53"/>
  <c r="BCJ3" i="53"/>
  <c r="CEU3" i="53"/>
  <c r="CRP3" i="53"/>
  <c r="EFY3" i="53"/>
  <c r="EQJ3" i="53"/>
  <c r="GIT3" i="53"/>
  <c r="GUM3" i="53"/>
  <c r="ILQ3" i="53"/>
  <c r="JNH3" i="53"/>
  <c r="KDX3" i="53"/>
  <c r="LNC3" i="53"/>
  <c r="MPT3" i="53"/>
  <c r="PIS3" i="53"/>
  <c r="QRL3" i="53"/>
  <c r="SCJ3" i="53"/>
  <c r="JQ3" i="53"/>
  <c r="UV3" i="53"/>
  <c r="AMQ3" i="53"/>
  <c r="AZI3" i="53"/>
  <c r="BIT3" i="53"/>
  <c r="BSF3" i="53"/>
  <c r="CLE3" i="53"/>
  <c r="DEV3" i="53"/>
  <c r="DOW3" i="53"/>
  <c r="DZA3" i="53"/>
  <c r="EUA3" i="53"/>
  <c r="FPF3" i="53"/>
  <c r="HOC3" i="53"/>
  <c r="HZV3" i="53"/>
  <c r="IXI3" i="53"/>
  <c r="JVT3" i="53"/>
  <c r="LYO3" i="53"/>
  <c r="OJQ3" i="53"/>
  <c r="PVP3" i="53"/>
  <c r="AAK3" i="53"/>
  <c r="APY3" i="53"/>
  <c r="BCO3" i="53"/>
  <c r="BPB3" i="53"/>
  <c r="CBS3" i="53"/>
  <c r="COI3" i="53"/>
  <c r="ECL3" i="53"/>
  <c r="EQK3" i="53"/>
  <c r="FEM3" i="53"/>
  <c r="GQP3" i="53"/>
  <c r="HCI3" i="53"/>
  <c r="HZZ3" i="53"/>
  <c r="ILT3" i="53"/>
  <c r="IXM3" i="53"/>
  <c r="JRS3" i="53"/>
  <c r="MPU3" i="53"/>
  <c r="NSK3" i="53"/>
  <c r="PIX3" i="53"/>
  <c r="QCU3" i="53"/>
  <c r="RIM3" i="53"/>
  <c r="TCY3" i="53"/>
  <c r="WNE3" i="53"/>
  <c r="ML3" i="53"/>
  <c r="AJO3" i="53"/>
  <c r="BFQ3" i="53"/>
  <c r="BYR3" i="53"/>
  <c r="DBQ3" i="53"/>
  <c r="DLP3" i="53"/>
  <c r="FAY3" i="53"/>
  <c r="FLS3" i="53"/>
  <c r="FXD3" i="53"/>
  <c r="GIV3" i="53"/>
  <c r="JVV3" i="53"/>
  <c r="KIL3" i="53"/>
  <c r="MKB3" i="53"/>
  <c r="NMW3" i="53"/>
  <c r="NYG3" i="53"/>
  <c r="OWH3" i="53"/>
  <c r="TQF3" i="53"/>
  <c r="GY3" i="53"/>
  <c r="SB3" i="53"/>
  <c r="ADK3" i="53"/>
  <c r="APZ3" i="53"/>
  <c r="AZM3" i="53"/>
  <c r="CEW3" i="53"/>
  <c r="COK3" i="53"/>
  <c r="DZC3" i="53"/>
  <c r="ENA3" i="53"/>
  <c r="FBD3" i="53"/>
  <c r="GYP3" i="53"/>
  <c r="ILU3" i="53"/>
  <c r="IXP3" i="53"/>
  <c r="JNS3" i="53"/>
  <c r="KEH3" i="53"/>
  <c r="KXA3" i="53"/>
  <c r="LSY3" i="53"/>
  <c r="MPV3" i="53"/>
  <c r="PWB3" i="53"/>
  <c r="RIP3" i="53"/>
  <c r="TDE3" i="53"/>
  <c r="AKG3" i="53"/>
  <c r="BJN3" i="53"/>
  <c r="BWE3" i="53"/>
  <c r="DCM3" i="53"/>
  <c r="DWH3" i="53"/>
  <c r="EGU3" i="53"/>
  <c r="FBT3" i="53"/>
  <c r="FIU3" i="53"/>
  <c r="GJR3" i="53"/>
  <c r="GVJ3" i="53"/>
  <c r="HHF3" i="53"/>
  <c r="HSZ3" i="53"/>
  <c r="IAU3" i="53"/>
  <c r="IMP3" i="53"/>
  <c r="IUJ3" i="53"/>
  <c r="JWS3" i="53"/>
  <c r="MFM3" i="53"/>
  <c r="NNX3" i="53"/>
  <c r="ORC3" i="53"/>
  <c r="QLJ3" i="53"/>
  <c r="RKM3" i="53"/>
  <c r="BY3" i="53"/>
  <c r="VN3" i="53"/>
  <c r="AHF3" i="53"/>
  <c r="ATV3" i="53"/>
  <c r="BDF3" i="53"/>
  <c r="BMS3" i="53"/>
  <c r="CFQ3" i="53"/>
  <c r="CPD3" i="53"/>
  <c r="DTA3" i="53"/>
  <c r="ENX3" i="53"/>
  <c r="HLD3" i="53"/>
  <c r="HWX3" i="53"/>
  <c r="IIR3" i="53"/>
  <c r="JKK3" i="53"/>
  <c r="KYA3" i="53"/>
  <c r="LIS3" i="53"/>
  <c r="MRC3" i="53"/>
  <c r="NCQ3" i="53"/>
  <c r="PQS3" i="53"/>
  <c r="RKP3" i="53"/>
  <c r="TSB3" i="53"/>
  <c r="UXS3" i="53"/>
  <c r="F3" i="53"/>
  <c r="KJ3" i="53"/>
  <c r="ATX3" i="53"/>
  <c r="BGK3" i="53"/>
  <c r="BTC3" i="53"/>
  <c r="CSO3" i="53"/>
  <c r="DCN3" i="53"/>
  <c r="DMK3" i="53"/>
  <c r="DWI3" i="53"/>
  <c r="EGV3" i="53"/>
  <c r="FBY3" i="53"/>
  <c r="FMR3" i="53"/>
  <c r="FYA3" i="53"/>
  <c r="GJS3" i="53"/>
  <c r="HPG3" i="53"/>
  <c r="LZZ3" i="53"/>
  <c r="ORH3" i="53"/>
  <c r="PQT3" i="53"/>
  <c r="STK3" i="53"/>
  <c r="EU3" i="53"/>
  <c r="ABE3" i="53"/>
  <c r="BAC3" i="53"/>
  <c r="CIW3" i="53"/>
  <c r="CVV3" i="53"/>
  <c r="EUW3" i="53"/>
  <c r="FIX3" i="53"/>
  <c r="GCA3" i="53"/>
  <c r="GRQ3" i="53"/>
  <c r="HWZ3" i="53"/>
  <c r="JCH3" i="53"/>
  <c r="KJR3" i="53"/>
  <c r="KYC3" i="53"/>
  <c r="LIY3" i="53"/>
  <c r="NIM3" i="53"/>
  <c r="NZR3" i="53"/>
  <c r="ORM3" i="53"/>
  <c r="PQW3" i="53"/>
  <c r="QLU3" i="53"/>
  <c r="RBZ3" i="53"/>
  <c r="UIB3" i="53"/>
  <c r="EV3" i="53"/>
  <c r="PZ3" i="53"/>
  <c r="ANO3" i="53"/>
  <c r="BJQ3" i="53"/>
  <c r="BWG3" i="53"/>
  <c r="CIX3" i="53"/>
  <c r="CSP3" i="53"/>
  <c r="DCO3" i="53"/>
  <c r="DMN3" i="53"/>
  <c r="EGW3" i="53"/>
  <c r="FBZ3" i="53"/>
  <c r="FMS3" i="53"/>
  <c r="FYE3" i="53"/>
  <c r="HDM3" i="53"/>
  <c r="IYL3" i="53"/>
  <c r="JKO3" i="53"/>
  <c r="MAE3" i="53"/>
  <c r="MRJ3" i="53"/>
  <c r="OXV3" i="53"/>
  <c r="RKU3" i="53"/>
  <c r="STO3" i="53"/>
  <c r="NU3" i="53"/>
  <c r="WD3" i="53"/>
  <c r="AXQ3" i="53"/>
  <c r="BHC3" i="53"/>
  <c r="BQQ3" i="53"/>
  <c r="CWQ3" i="53"/>
  <c r="DGO3" i="53"/>
  <c r="EHQ3" i="53"/>
  <c r="ESF3" i="53"/>
  <c r="FCQ3" i="53"/>
  <c r="FNK3" i="53"/>
  <c r="FYX3" i="53"/>
  <c r="HEG3" i="53"/>
  <c r="HME3" i="53"/>
  <c r="IZF3" i="53"/>
  <c r="KZE3" i="53"/>
  <c r="MMR3" i="53"/>
  <c r="NDW3" i="53"/>
  <c r="OZE3" i="53"/>
  <c r="PSH3" i="53"/>
  <c r="RDQ3" i="53"/>
  <c r="CS3" i="53"/>
  <c r="ABW3" i="53"/>
  <c r="ALC3" i="53"/>
  <c r="AUO3" i="53"/>
  <c r="CAD3" i="53"/>
  <c r="DDG3" i="53"/>
  <c r="EOS3" i="53"/>
  <c r="GWM3" i="53"/>
  <c r="IJQ3" i="53"/>
  <c r="IZH3" i="53"/>
  <c r="JPR3" i="53"/>
  <c r="KGE3" i="53"/>
  <c r="MBG3" i="53"/>
  <c r="NJR3" i="53"/>
  <c r="OMO3" i="53"/>
  <c r="PLT3" i="53"/>
  <c r="IH3" i="53"/>
  <c r="TK3" i="53"/>
  <c r="AOG3" i="53"/>
  <c r="AXR3" i="53"/>
  <c r="BEC3" i="53"/>
  <c r="BNO3" i="53"/>
  <c r="BQR3" i="53"/>
  <c r="CDI3" i="53"/>
  <c r="CTJ3" i="53"/>
  <c r="CWS3" i="53"/>
  <c r="DJZ3" i="53"/>
  <c r="DNG3" i="53"/>
  <c r="DQN3" i="53"/>
  <c r="EAS3" i="53"/>
  <c r="EOT3" i="53"/>
  <c r="ESH3" i="53"/>
  <c r="EVT3" i="53"/>
  <c r="EZG3" i="53"/>
  <c r="FGG3" i="53"/>
  <c r="FYY3" i="53"/>
  <c r="GGT3" i="53"/>
  <c r="GKT3" i="53"/>
  <c r="HEH3" i="53"/>
  <c r="HMF3" i="53"/>
  <c r="HQD3" i="53"/>
  <c r="HTX3" i="53"/>
  <c r="HXY3" i="53"/>
  <c r="JDI3" i="53"/>
  <c r="JTV3" i="53"/>
  <c r="KBZ3" i="53"/>
  <c r="KPN3" i="53"/>
  <c r="KUH3" i="53"/>
  <c r="KZI3" i="53"/>
  <c r="LKC3" i="53"/>
  <c r="LQA3" i="53"/>
  <c r="LVR3" i="53"/>
  <c r="MYJ3" i="53"/>
  <c r="OGS3" i="53"/>
  <c r="OMQ3" i="53"/>
  <c r="PFP3" i="53"/>
  <c r="PSK3" i="53"/>
  <c r="PZD3" i="53"/>
  <c r="QGB3" i="53"/>
  <c r="QVK3" i="53"/>
  <c r="RMV3" i="53"/>
  <c r="RYH3" i="53"/>
  <c r="UKW3" i="53"/>
  <c r="VBO3" i="53"/>
  <c r="WZZ3" i="53"/>
  <c r="CT3" i="53"/>
  <c r="FL3" i="53"/>
  <c r="NX3" i="53"/>
  <c r="QQ3" i="53"/>
  <c r="TL3" i="53"/>
  <c r="ZA3" i="53"/>
  <c r="AIA3" i="53"/>
  <c r="AOI3" i="53"/>
  <c r="ARM3" i="53"/>
  <c r="AUQ3" i="53"/>
  <c r="AXV3" i="53"/>
  <c r="BED3" i="53"/>
  <c r="BHG3" i="53"/>
  <c r="BTT3" i="53"/>
  <c r="BXB3" i="53"/>
  <c r="CAE3" i="53"/>
  <c r="CGK3" i="53"/>
  <c r="CMV3" i="53"/>
  <c r="CPZ3" i="53"/>
  <c r="DDH3" i="53"/>
  <c r="DKA3" i="53"/>
  <c r="DQP3" i="53"/>
  <c r="DXH3" i="53"/>
  <c r="EHW3" i="53"/>
  <c r="EVU3" i="53"/>
  <c r="FVD3" i="53"/>
  <c r="JHJ3" i="53"/>
  <c r="W3" i="53"/>
  <c r="II3" i="53"/>
  <c r="LC3" i="53"/>
  <c r="TM3" i="53"/>
  <c r="WI3" i="53"/>
  <c r="ABY3" i="53"/>
  <c r="AEY3" i="53"/>
  <c r="ALH3" i="53"/>
  <c r="BAY3" i="53"/>
  <c r="BNP3" i="53"/>
  <c r="BQS3" i="53"/>
  <c r="BTZ3" i="53"/>
  <c r="CDJ3" i="53"/>
  <c r="CGM3" i="53"/>
  <c r="CJS3" i="53"/>
  <c r="CWT3" i="53"/>
  <c r="DAB3" i="53"/>
  <c r="DDI3" i="53"/>
  <c r="DKB3" i="53"/>
  <c r="DNH3" i="53"/>
  <c r="DUA3" i="53"/>
  <c r="EAT3" i="53"/>
  <c r="EEK3" i="53"/>
  <c r="ESK3" i="53"/>
  <c r="EZH3" i="53"/>
  <c r="FZA3" i="53"/>
  <c r="GCZ3" i="53"/>
  <c r="GHA3" i="53"/>
  <c r="GKV3" i="53"/>
  <c r="GWP3" i="53"/>
  <c r="HQE3" i="53"/>
  <c r="HUG3" i="53"/>
  <c r="HYC3" i="53"/>
  <c r="IJT3" i="53"/>
  <c r="JDJ3" i="53"/>
  <c r="JLO3" i="53"/>
  <c r="JPT3" i="53"/>
  <c r="JTW3" i="53"/>
  <c r="KCF3" i="53"/>
  <c r="KKW3" i="53"/>
  <c r="KPS3" i="53"/>
  <c r="KZN3" i="53"/>
  <c r="LQE3" i="53"/>
  <c r="LVZ3" i="53"/>
  <c r="MBS3" i="53"/>
  <c r="MHJ3" i="53"/>
  <c r="MNF3" i="53"/>
  <c r="MSX3" i="53"/>
  <c r="MYQ3" i="53"/>
  <c r="NEK3" i="53"/>
  <c r="NKE3" i="53"/>
  <c r="OBH3" i="53"/>
  <c r="OGZ3" i="53"/>
  <c r="ONB3" i="53"/>
  <c r="OZM3" i="53"/>
  <c r="PSP3" i="53"/>
  <c r="PZK3" i="53"/>
  <c r="RPB3" i="53"/>
  <c r="SLN3" i="53"/>
  <c r="SXX3" i="53"/>
  <c r="UNQ3" i="53"/>
  <c r="VEW3" i="53"/>
  <c r="H3" i="53"/>
  <c r="CU3" i="53"/>
  <c r="GZ3" i="53"/>
  <c r="JA3" i="53"/>
  <c r="NH3" i="53"/>
  <c r="OR3" i="53"/>
  <c r="SC3" i="53"/>
  <c r="SW3" i="53"/>
  <c r="VP3" i="53"/>
  <c r="AFW3" i="53"/>
  <c r="AIB3" i="53"/>
  <c r="AMA3" i="53"/>
  <c r="AQU3" i="53"/>
  <c r="AXA3" i="53"/>
  <c r="BAE3" i="53"/>
  <c r="BDL3" i="53"/>
  <c r="BJR3" i="53"/>
  <c r="BMB3" i="53"/>
  <c r="BOK3" i="53"/>
  <c r="BRP3" i="53"/>
  <c r="BXC3" i="53"/>
  <c r="CAG3" i="53"/>
  <c r="CFA3" i="53"/>
  <c r="CHJ3" i="53"/>
  <c r="CJT3" i="53"/>
  <c r="CLG3" i="53"/>
  <c r="CMW3" i="53"/>
  <c r="CQF3" i="53"/>
  <c r="CTM3" i="53"/>
  <c r="CXP3" i="53"/>
  <c r="DAZ3" i="53"/>
  <c r="DDK3" i="53"/>
  <c r="DFE3" i="53"/>
  <c r="DGT3" i="53"/>
  <c r="DLQ3" i="53"/>
  <c r="DQT3" i="53"/>
  <c r="DTE3" i="53"/>
  <c r="DUW3" i="53"/>
  <c r="DYI3" i="53"/>
  <c r="ECT3" i="53"/>
  <c r="EGD3" i="53"/>
  <c r="EHX3" i="53"/>
  <c r="ELI3" i="53"/>
  <c r="EOA3" i="53"/>
  <c r="EUZ3" i="53"/>
  <c r="FAF3" i="53"/>
  <c r="FCY3" i="53"/>
  <c r="FEP3" i="53"/>
  <c r="FFK3" i="53"/>
  <c r="FHG3" i="53"/>
  <c r="FLT3" i="53"/>
  <c r="FNR3" i="53"/>
  <c r="FPL3" i="53"/>
  <c r="FSF3" i="53"/>
  <c r="FVE3" i="53"/>
  <c r="FWH3" i="53"/>
  <c r="GBD3" i="53"/>
  <c r="GCC3" i="53"/>
  <c r="GHZ3" i="53"/>
  <c r="GTR3" i="53"/>
  <c r="HAM3" i="53"/>
  <c r="HFK3" i="53"/>
  <c r="HIM3" i="53"/>
  <c r="HMH3" i="53"/>
  <c r="HOH3" i="53"/>
  <c r="HRG3" i="53"/>
  <c r="HWE3" i="53"/>
  <c r="IAC3" i="53"/>
  <c r="IFA3" i="53"/>
  <c r="IIV3" i="53"/>
  <c r="IKU3" i="53"/>
  <c r="INS3" i="53"/>
  <c r="IQT3" i="53"/>
  <c r="IUP3" i="53"/>
  <c r="IWP3" i="53"/>
  <c r="IZO3" i="53"/>
  <c r="JHL3" i="53"/>
  <c r="KFI3" i="53"/>
  <c r="KMC3" i="53"/>
  <c r="KTK3" i="53"/>
  <c r="KYD3" i="53"/>
  <c r="LFB3" i="53"/>
  <c r="LJC3" i="53"/>
  <c r="LOR3" i="53"/>
  <c r="LTB3" i="53"/>
  <c r="MBX3" i="53"/>
  <c r="MEP3" i="53"/>
  <c r="MOQ3" i="53"/>
  <c r="MWZ3" i="53"/>
  <c r="NBL3" i="53"/>
  <c r="NHE3" i="53"/>
  <c r="NKG3" i="53"/>
  <c r="NOG3" i="53"/>
  <c r="NXA3" i="53"/>
  <c r="NZX3" i="53"/>
  <c r="OCS3" i="53"/>
  <c r="OLJ3" i="53"/>
  <c r="OON3" i="53"/>
  <c r="OUU3" i="53"/>
  <c r="PBF3" i="53"/>
  <c r="PHM3" i="53"/>
  <c r="PKS3" i="53"/>
  <c r="PMM3" i="53"/>
  <c r="PPM3" i="53"/>
  <c r="PQX3" i="53"/>
  <c r="PUI3" i="53"/>
  <c r="PXO3" i="53"/>
  <c r="QBE3" i="53"/>
  <c r="QNW3" i="53"/>
  <c r="QTU3" i="53"/>
  <c r="QWF3" i="53"/>
  <c r="QYG3" i="53"/>
  <c r="RCB3" i="53"/>
  <c r="REM3" i="53"/>
  <c r="RPM3" i="53"/>
  <c r="RRQ3" i="53"/>
  <c r="SAR3" i="53"/>
  <c r="SHM3" i="53"/>
  <c r="SPB3" i="53"/>
  <c r="STQ3" i="53"/>
  <c r="SVZ3" i="53"/>
  <c r="TFY3" i="53"/>
  <c r="TLO3" i="53"/>
  <c r="TNR3" i="53"/>
  <c r="TTG3" i="53"/>
  <c r="ULV3" i="53"/>
  <c r="UOP3" i="53"/>
  <c r="USB3" i="53"/>
  <c r="VBU3" i="53"/>
  <c r="VFZ3" i="53"/>
  <c r="AT3" i="53"/>
  <c r="DM3" i="53"/>
  <c r="EW3" i="53"/>
  <c r="HT3" i="53"/>
  <c r="JC3" i="53"/>
  <c r="LW3" i="53"/>
  <c r="QA3" i="53"/>
  <c r="SX3" i="53"/>
  <c r="UI3" i="53"/>
  <c r="XA3" i="53"/>
  <c r="AAO3" i="53"/>
  <c r="ACA3" i="53"/>
  <c r="ADL3" i="53"/>
  <c r="AGO3" i="53"/>
  <c r="AJV3" i="53"/>
  <c r="AMW3" i="53"/>
  <c r="AOM3" i="53"/>
  <c r="ASJ3" i="53"/>
  <c r="ATZ3" i="53"/>
  <c r="AVN3" i="53"/>
  <c r="AXC3" i="53"/>
  <c r="BCQ3" i="53"/>
  <c r="BHJ3" i="53"/>
  <c r="BNQ3" i="53"/>
  <c r="BTE3" i="53"/>
  <c r="BZO3" i="53"/>
  <c r="CGP3" i="53"/>
  <c r="CRW3" i="53"/>
  <c r="FLW3" i="53"/>
  <c r="WVU3" i="53"/>
  <c r="WVW3" i="53"/>
  <c r="CRX3" i="53"/>
  <c r="CXS3" i="53"/>
  <c r="CYM3" i="53"/>
  <c r="DDO3" i="53"/>
  <c r="DHQ3" i="53"/>
  <c r="DKE3" i="53"/>
  <c r="DLU3" i="53"/>
  <c r="DPF3" i="53"/>
  <c r="DTI3" i="53"/>
  <c r="DZG3" i="53"/>
  <c r="EBB3" i="53"/>
  <c r="EDO3" i="53"/>
  <c r="EJR3" i="53"/>
  <c r="EMK3" i="53"/>
  <c r="EOZ3" i="53"/>
  <c r="ERR3" i="53"/>
  <c r="ETL3" i="53"/>
  <c r="EWX3" i="53"/>
  <c r="FCC3" i="53"/>
  <c r="FES3" i="53"/>
  <c r="FHK3" i="53"/>
  <c r="FQP3" i="53"/>
  <c r="FSK3" i="53"/>
  <c r="GCF3" i="53"/>
  <c r="GHD3" i="53"/>
  <c r="GKC3" i="53"/>
  <c r="GMC3" i="53"/>
  <c r="GVT3" i="53"/>
  <c r="GYS3" i="53"/>
  <c r="HBQ3" i="53"/>
  <c r="HDR3" i="53"/>
  <c r="HPJ3" i="53"/>
  <c r="HSI3" i="53"/>
  <c r="HVF3" i="53"/>
  <c r="IGD3" i="53"/>
  <c r="IKC3" i="53"/>
  <c r="IMY3" i="53"/>
  <c r="IPV3" i="53"/>
  <c r="IST3" i="53"/>
  <c r="IYQ3" i="53"/>
  <c r="JBR3" i="53"/>
  <c r="JEP3" i="53"/>
  <c r="KCI3" i="53"/>
  <c r="KHQ3" i="53"/>
  <c r="KME3" i="53"/>
  <c r="KOU3" i="53"/>
  <c r="KRE3" i="53"/>
  <c r="KYO3" i="53"/>
  <c r="KZV3" i="53"/>
  <c r="LDY3" i="53"/>
  <c r="LJH3" i="53"/>
  <c r="LWE3" i="53"/>
  <c r="MIY3" i="53"/>
  <c r="MUL3" i="53"/>
  <c r="NBR3" i="53"/>
  <c r="OAB3" i="53"/>
  <c r="OLW3" i="53"/>
  <c r="PHV3" i="53"/>
  <c r="PYC3" i="53"/>
  <c r="QYJ3" i="53"/>
  <c r="RWM3" i="53"/>
  <c r="TBO3" i="53"/>
  <c r="CW3" i="53"/>
  <c r="EZ3" i="53"/>
  <c r="GJ3" i="53"/>
  <c r="HV3" i="53"/>
  <c r="KN3" i="53"/>
  <c r="OU3" i="53"/>
  <c r="SH3" i="53"/>
  <c r="WL3" i="53"/>
  <c r="ZY3" i="53"/>
  <c r="AEL3" i="53"/>
  <c r="AJC3" i="53"/>
  <c r="BAJ3" i="53"/>
  <c r="BDN3" i="53"/>
  <c r="BJX3" i="53"/>
  <c r="BRS3" i="53"/>
  <c r="BYD3" i="53"/>
  <c r="CBF3" i="53"/>
  <c r="CEI3" i="53"/>
  <c r="CKS3" i="53"/>
  <c r="CRC3" i="53"/>
  <c r="CTO3" i="53"/>
  <c r="CVH3" i="53"/>
  <c r="DAI3" i="53"/>
  <c r="DEL3" i="53"/>
  <c r="DGW3" i="53"/>
  <c r="DOI3" i="53"/>
  <c r="DQW3" i="53"/>
  <c r="DSN3" i="53"/>
  <c r="DVA3" i="53"/>
  <c r="DZJ3" i="53"/>
  <c r="EBY3" i="53"/>
  <c r="EFK3" i="53"/>
  <c r="EHG3" i="53"/>
  <c r="EOD3" i="53"/>
  <c r="EQV3" i="53"/>
  <c r="EVG3" i="53"/>
  <c r="FAL3" i="53"/>
  <c r="FGN3" i="53"/>
  <c r="FKH3" i="53"/>
  <c r="FLD3" i="53"/>
  <c r="FOR3" i="53"/>
  <c r="FWJ3" i="53"/>
  <c r="GAH3" i="53"/>
  <c r="GED3" i="53"/>
  <c r="GIF3" i="53"/>
  <c r="GNZ3" i="53"/>
  <c r="GTW3" i="53"/>
  <c r="GWV3" i="53"/>
  <c r="HBT3" i="53"/>
  <c r="HGQ3" i="53"/>
  <c r="HIP3" i="53"/>
  <c r="HLO3" i="53"/>
  <c r="HNO3" i="53"/>
  <c r="HQM3" i="53"/>
  <c r="HRI3" i="53"/>
  <c r="HTH3" i="53"/>
  <c r="IAF3" i="53"/>
  <c r="IEG3" i="53"/>
  <c r="ILZ3" i="53"/>
  <c r="IPY3" i="53"/>
  <c r="ITU3" i="53"/>
  <c r="IVU3" i="53"/>
  <c r="IZT3" i="53"/>
  <c r="JDP3" i="53"/>
  <c r="JJV3" i="53"/>
  <c r="JNV3" i="53"/>
  <c r="JPX3" i="53"/>
  <c r="JRZ3" i="53"/>
  <c r="JVC3" i="53"/>
  <c r="JXF3" i="53"/>
  <c r="JZG3" i="53"/>
  <c r="KFO3" i="53"/>
  <c r="KMG3" i="53"/>
  <c r="KUW3" i="53"/>
  <c r="LME3" i="53"/>
  <c r="LWG3" i="53"/>
  <c r="MBZ3" i="53"/>
  <c r="MHS3" i="53"/>
  <c r="MNM3" i="53"/>
  <c r="MTF3" i="53"/>
  <c r="MXN3" i="53"/>
  <c r="OOV3" i="53"/>
  <c r="OZY3" i="53"/>
  <c r="PGG3" i="53"/>
  <c r="PRM3" i="53"/>
  <c r="PWH3" i="53"/>
  <c r="PZZ3" i="53"/>
  <c r="RPU3" i="53"/>
  <c r="SDN3" i="53"/>
  <c r="SRR3" i="53"/>
  <c r="UMB3" i="53"/>
  <c r="XCF3" i="53"/>
  <c r="BO3" i="53"/>
  <c r="FU3" i="53"/>
  <c r="MT3" i="53"/>
  <c r="RR3" i="53"/>
  <c r="UK3" i="53"/>
  <c r="XE3" i="53"/>
  <c r="ACX3" i="53"/>
  <c r="AMZ3" i="53"/>
  <c r="AQY3" i="53"/>
  <c r="AUC3" i="53"/>
  <c r="AXI3" i="53"/>
  <c r="AZP3" i="53"/>
  <c r="BEI3" i="53"/>
  <c r="BGS3" i="53"/>
  <c r="BNB3" i="53"/>
  <c r="BUD3" i="53"/>
  <c r="BXI3" i="53"/>
  <c r="CAK3" i="53"/>
  <c r="CCV3" i="53"/>
  <c r="CFE3" i="53"/>
  <c r="CLO3" i="53"/>
  <c r="CRZ3" i="53"/>
  <c r="CYT3" i="53"/>
  <c r="DBZ3" i="53"/>
  <c r="DEM3" i="53"/>
  <c r="DGX3" i="53"/>
  <c r="DJL3" i="53"/>
  <c r="DNR3" i="53"/>
  <c r="DQA3" i="53"/>
  <c r="DUE3" i="53"/>
  <c r="DXS3" i="53"/>
  <c r="EGJ3" i="53"/>
  <c r="EIB3" i="53"/>
  <c r="EJW3" i="53"/>
  <c r="ESO3" i="53"/>
  <c r="EVH3" i="53"/>
  <c r="EXW3" i="53"/>
  <c r="FCF3" i="53"/>
  <c r="FEV3" i="53"/>
  <c r="FQS3" i="53"/>
  <c r="FTJ3" i="53"/>
  <c r="FYH3" i="53"/>
  <c r="GBJ3" i="53"/>
  <c r="GEF3" i="53"/>
  <c r="GHE3" i="53"/>
  <c r="GKD3" i="53"/>
  <c r="GNE3" i="53"/>
  <c r="GSA3" i="53"/>
  <c r="HFQ3" i="53"/>
  <c r="HJR3" i="53"/>
  <c r="HPL3" i="53"/>
  <c r="HSN3" i="53"/>
  <c r="HWH3" i="53"/>
  <c r="HYH3" i="53"/>
  <c r="IID3" i="53"/>
  <c r="IPB3" i="53"/>
  <c r="IRY3" i="53"/>
  <c r="JAU3" i="53"/>
  <c r="JEQ3" i="53"/>
  <c r="JIT3" i="53"/>
  <c r="JNA3" i="53"/>
  <c r="KRG3" i="53"/>
  <c r="LEC3" i="53"/>
  <c r="LJJ3" i="53"/>
  <c r="LNO3" i="53"/>
  <c r="MQH3" i="53"/>
  <c r="NLU3" i="53"/>
  <c r="NRM3" i="53"/>
  <c r="OBQ3" i="53"/>
  <c r="ONI3" i="53"/>
  <c r="OTP3" i="53"/>
  <c r="PAC3" i="53"/>
  <c r="PEV3" i="53"/>
  <c r="PPQ3" i="53"/>
  <c r="PUS3" i="53"/>
  <c r="QFF3" i="53"/>
  <c r="QKJ3" i="53"/>
  <c r="QSF3" i="53"/>
  <c r="RET3" i="53"/>
  <c r="SZF3" i="53"/>
  <c r="TRL3" i="53"/>
  <c r="UZK3" i="53"/>
  <c r="WQF3" i="53"/>
  <c r="EJ3" i="53"/>
  <c r="BHP3" i="53"/>
  <c r="S3" i="53"/>
  <c r="BT3" i="53"/>
  <c r="CK3" i="53"/>
  <c r="DF3" i="53"/>
  <c r="FX3" i="53"/>
  <c r="GR3" i="53"/>
  <c r="JL3" i="53"/>
  <c r="KE3" i="53"/>
  <c r="KW3" i="53"/>
  <c r="MX3" i="53"/>
  <c r="NP3" i="53"/>
  <c r="OI3" i="53"/>
  <c r="RD3" i="53"/>
  <c r="RV3" i="53"/>
  <c r="SN3" i="53"/>
  <c r="UO3" i="53"/>
  <c r="VH3" i="53"/>
  <c r="WA3" i="53"/>
  <c r="WU3" i="53"/>
  <c r="YV3" i="53"/>
  <c r="ZM3" i="53"/>
  <c r="AAF3" i="53"/>
  <c r="ABO3" i="53"/>
  <c r="ACL3" i="53"/>
  <c r="ADC3" i="53"/>
  <c r="ADW3" i="53"/>
  <c r="AEP3" i="53"/>
  <c r="AFK3" i="53"/>
  <c r="AGY3" i="53"/>
  <c r="AHW3" i="53"/>
  <c r="AIO3" i="53"/>
  <c r="AKY3" i="53"/>
  <c r="AMN3" i="53"/>
  <c r="AOW3" i="53"/>
  <c r="APP3" i="53"/>
  <c r="AQM3" i="53"/>
  <c r="ARZ3" i="53"/>
  <c r="AUI3" i="53"/>
  <c r="AWA3" i="53"/>
  <c r="AXM3" i="53"/>
  <c r="AYF3" i="53"/>
  <c r="BAR3" i="53"/>
  <c r="BDA3" i="53"/>
  <c r="BDW3" i="53"/>
  <c r="BEQ3" i="53"/>
  <c r="BGE3" i="53"/>
  <c r="BJJ3" i="53"/>
  <c r="BKD3" i="53"/>
  <c r="BKX3" i="53"/>
  <c r="BLQ3" i="53"/>
  <c r="BNG3" i="53"/>
  <c r="BPR3" i="53"/>
  <c r="BQL3" i="53"/>
  <c r="BSB3" i="53"/>
  <c r="BSU3" i="53"/>
  <c r="BUI3" i="53"/>
  <c r="BWB3" i="53"/>
  <c r="BXO3" i="53"/>
  <c r="BYH3" i="53"/>
  <c r="BZV3" i="53"/>
  <c r="CAS3" i="53"/>
  <c r="CDC3" i="53"/>
  <c r="CDU3" i="53"/>
  <c r="CES3" i="53"/>
  <c r="CGG3" i="53"/>
  <c r="CIO3" i="53"/>
  <c r="CKF3" i="53"/>
  <c r="CLS3" i="53"/>
  <c r="CML3" i="53"/>
  <c r="CPV3" i="53"/>
  <c r="CRK3" i="53"/>
  <c r="CSH3" i="53"/>
  <c r="CTC3" i="53"/>
  <c r="CUS3" i="53"/>
  <c r="CWI3" i="53"/>
  <c r="CYC3" i="53"/>
  <c r="CYX3" i="53"/>
  <c r="CZS3" i="53"/>
  <c r="DBJ3" i="53"/>
  <c r="DDB3" i="53"/>
  <c r="DDV3" i="53"/>
  <c r="DGK3" i="53"/>
  <c r="DIW3" i="53"/>
  <c r="DJQ3" i="53"/>
  <c r="DME3" i="53"/>
  <c r="DNU3" i="53"/>
  <c r="DPK3" i="53"/>
  <c r="DSV3" i="53"/>
  <c r="DTP3" i="53"/>
  <c r="DUO3" i="53"/>
  <c r="DVI3" i="53"/>
  <c r="DWE3" i="53"/>
  <c r="DXW3" i="53"/>
  <c r="DZQ3" i="53"/>
  <c r="EAP3" i="53"/>
  <c r="EBJ3" i="53"/>
  <c r="ECH3" i="53"/>
  <c r="EDY3" i="53"/>
  <c r="EHL3" i="53"/>
  <c r="EKD3" i="53"/>
  <c r="EMU3" i="53"/>
  <c r="EON3" i="53"/>
  <c r="ESW3" i="53"/>
  <c r="EWI3" i="53"/>
  <c r="EXG3" i="53"/>
  <c r="FCM3" i="53"/>
  <c r="FEG3" i="53"/>
  <c r="FFX3" i="53"/>
  <c r="FGV3" i="53"/>
  <c r="FHQ3" i="53"/>
  <c r="FJP3" i="53"/>
  <c r="FLJ3" i="53"/>
  <c r="FMG3" i="53"/>
  <c r="FNH3" i="53"/>
  <c r="FOE3" i="53"/>
  <c r="FRU3" i="53"/>
  <c r="FSV3" i="53"/>
  <c r="FVS3" i="53"/>
  <c r="FWR3" i="53"/>
  <c r="GAR3" i="53"/>
  <c r="GBP3" i="53"/>
  <c r="GDR3" i="53"/>
  <c r="GEP3" i="53"/>
  <c r="GHN3" i="53"/>
  <c r="GIJ3" i="53"/>
  <c r="GJN3" i="53"/>
  <c r="GMJ3" i="53"/>
  <c r="GNI3" i="53"/>
  <c r="GPH3" i="53"/>
  <c r="GSG3" i="53"/>
  <c r="GVH3" i="53"/>
  <c r="GWE3" i="53"/>
  <c r="GZD3" i="53"/>
  <c r="HAG3" i="53"/>
  <c r="HBD3" i="53"/>
  <c r="HEC3" i="53"/>
  <c r="HEX3" i="53"/>
  <c r="HJV3" i="53"/>
  <c r="HMV3" i="53"/>
  <c r="HPT3" i="53"/>
  <c r="HRU3" i="53"/>
  <c r="HSS3" i="53"/>
  <c r="HVQ3" i="53"/>
  <c r="HYR3" i="53"/>
  <c r="HZP3" i="53"/>
  <c r="IDQ3" i="53"/>
  <c r="IEM3" i="53"/>
  <c r="IIM3" i="53"/>
  <c r="IJJ3" i="53"/>
  <c r="IMI3" i="53"/>
  <c r="IQG3" i="53"/>
  <c r="ISG3" i="53"/>
  <c r="IVF3" i="53"/>
  <c r="IWC3" i="53"/>
  <c r="JAZ3" i="53"/>
  <c r="JCC3" i="53"/>
  <c r="JEB3" i="53"/>
  <c r="JHB3" i="53"/>
  <c r="JHZ3" i="53"/>
  <c r="JJE3" i="53"/>
  <c r="JME3" i="53"/>
  <c r="JNF3" i="53"/>
  <c r="JSK3" i="53"/>
  <c r="JTJ3" i="53"/>
  <c r="JXQ3" i="53"/>
  <c r="JYO3" i="53"/>
  <c r="KCV3" i="53"/>
  <c r="KDU3" i="53"/>
  <c r="KIE3" i="53"/>
  <c r="KJF3" i="53"/>
  <c r="KMW3" i="53"/>
  <c r="KOA3" i="53"/>
  <c r="KQK3" i="53"/>
  <c r="KSX3" i="53"/>
  <c r="KXT3" i="53"/>
  <c r="LAD3" i="53"/>
  <c r="LBT3" i="53"/>
  <c r="LEF3" i="53"/>
  <c r="LFS3" i="53"/>
  <c r="LJW3" i="53"/>
  <c r="LLF3" i="53"/>
  <c r="LMS3" i="53"/>
  <c r="LPM3" i="53"/>
  <c r="LQX3" i="53"/>
  <c r="LTY3" i="53"/>
  <c r="LWR3" i="53"/>
  <c r="LZQ3" i="53"/>
  <c r="MCK3" i="53"/>
  <c r="MDY3" i="53"/>
  <c r="MFK3" i="53"/>
  <c r="MID3" i="53"/>
  <c r="MJT3" i="53"/>
  <c r="MMK3" i="53"/>
  <c r="MNY3" i="53"/>
  <c r="MPL3" i="53"/>
  <c r="MSG3" i="53"/>
  <c r="MVD3" i="53"/>
  <c r="MWO3" i="53"/>
  <c r="MZG3" i="53"/>
  <c r="NCG3" i="53"/>
  <c r="NFB3" i="53"/>
  <c r="NIA3" i="53"/>
  <c r="NKT3" i="53"/>
  <c r="NNU3" i="53"/>
  <c r="NSC3" i="53"/>
  <c r="NTO3" i="53"/>
  <c r="NUU3" i="53"/>
  <c r="NXW3" i="53"/>
  <c r="OAR3" i="53"/>
  <c r="OBX3" i="53"/>
  <c r="OEY3" i="53"/>
  <c r="OGF3" i="53"/>
  <c r="OKW3" i="53"/>
  <c r="OME3" i="53"/>
  <c r="OPM3" i="53"/>
  <c r="OQY3" i="53"/>
  <c r="OTZ3" i="53"/>
  <c r="OXJ3" i="53"/>
  <c r="PCD3" i="53"/>
  <c r="PFD3" i="53"/>
  <c r="PIN3" i="53"/>
  <c r="PJZ3" i="53"/>
  <c r="PLQ3" i="53"/>
  <c r="PNB3" i="53"/>
  <c r="PRU3" i="53"/>
  <c r="PTL3" i="53"/>
  <c r="PYS3" i="53"/>
  <c r="QAG3" i="53"/>
  <c r="QCE3" i="53"/>
  <c r="QEB3" i="53"/>
  <c r="QFT3" i="53"/>
  <c r="QHI3" i="53"/>
  <c r="QJI3" i="53"/>
  <c r="QMY3" i="53"/>
  <c r="QOS3" i="53"/>
  <c r="QQW3" i="53"/>
  <c r="QSX3" i="53"/>
  <c r="QVB3" i="53"/>
  <c r="QXB3" i="53"/>
  <c r="QZK3" i="53"/>
  <c r="RBF3" i="53"/>
  <c r="RFO3" i="53"/>
  <c r="RHW3" i="53"/>
  <c r="RMB3" i="53"/>
  <c r="RQT3" i="53"/>
  <c r="RTA3" i="53"/>
  <c r="RXE3" i="53"/>
  <c r="RZO3" i="53"/>
  <c r="SBV3" i="53"/>
  <c r="SEE3" i="53"/>
  <c r="SPQ3" i="53"/>
  <c r="SSN3" i="53"/>
  <c r="SVC3" i="53"/>
  <c r="SXM3" i="53"/>
  <c r="SZW3" i="53"/>
  <c r="TEV3" i="53"/>
  <c r="TUN3" i="53"/>
  <c r="UDN3" i="53"/>
  <c r="UGP3" i="53"/>
  <c r="UKH3" i="53"/>
  <c r="UNO3" i="53"/>
  <c r="UXH3" i="53"/>
  <c r="VBB3" i="53"/>
  <c r="VRH3" i="53"/>
  <c r="VWR3" i="53"/>
  <c r="WGU3" i="53"/>
  <c r="WSI3" i="53"/>
  <c r="WXU3" i="53"/>
  <c r="AJ3" i="53"/>
  <c r="BC3" i="53"/>
  <c r="CL3" i="53"/>
  <c r="DX3" i="53"/>
  <c r="EP3" i="53"/>
  <c r="FI3" i="53"/>
  <c r="HJ3" i="53"/>
  <c r="IA3" i="53"/>
  <c r="LN3" i="53"/>
  <c r="MH3" i="53"/>
  <c r="MY3" i="53"/>
  <c r="PU3" i="53"/>
  <c r="QM3" i="53"/>
  <c r="TH3" i="53"/>
  <c r="TY3" i="53"/>
  <c r="VI3" i="53"/>
  <c r="XL3" i="53"/>
  <c r="YC3" i="53"/>
  <c r="AAX3" i="53"/>
  <c r="AES3" i="53"/>
  <c r="AGG3" i="53"/>
  <c r="AHX3" i="53"/>
  <c r="AJK3" i="53"/>
  <c r="AKD3" i="53"/>
  <c r="ALU3" i="53"/>
  <c r="ANJ3" i="53"/>
  <c r="AOB3" i="53"/>
  <c r="ARH3" i="53"/>
  <c r="ASU3" i="53"/>
  <c r="ATO3" i="53"/>
  <c r="AVE3" i="53"/>
  <c r="AWR3" i="53"/>
  <c r="AYI3" i="53"/>
  <c r="AZZ3" i="53"/>
  <c r="BAS3" i="53"/>
  <c r="BBN3" i="53"/>
  <c r="BCF3" i="53"/>
  <c r="BFM3" i="53"/>
  <c r="BHA3" i="53"/>
  <c r="BHS3" i="53"/>
  <c r="BIP3" i="53"/>
  <c r="BLA3" i="53"/>
  <c r="BOD3" i="53"/>
  <c r="BRH3" i="53"/>
  <c r="BTQ3" i="53"/>
  <c r="BUJ3" i="53"/>
  <c r="BVE3" i="53"/>
  <c r="BWT3" i="53"/>
  <c r="BZD3" i="53"/>
  <c r="CAA3" i="53"/>
  <c r="CAU3" i="53"/>
  <c r="CBP3" i="53"/>
  <c r="CCG3" i="53"/>
  <c r="CFN3" i="53"/>
  <c r="CHA3" i="53"/>
  <c r="CHU3" i="53"/>
  <c r="CJK3" i="53"/>
  <c r="CKY3" i="53"/>
  <c r="CMN3" i="53"/>
  <c r="COE3" i="53"/>
  <c r="COY3" i="53"/>
  <c r="CQO3" i="53"/>
  <c r="CUA3" i="53"/>
  <c r="CUU3" i="53"/>
  <c r="CVQ3" i="53"/>
  <c r="CWJ3" i="53"/>
  <c r="CXH3" i="53"/>
  <c r="CZV3" i="53"/>
  <c r="DAO3" i="53"/>
  <c r="DBN3" i="53"/>
  <c r="DCF3" i="53"/>
  <c r="DDX3" i="53"/>
  <c r="DES3" i="53"/>
  <c r="DHH3" i="53"/>
  <c r="DIA3" i="53"/>
  <c r="DKO3" i="53"/>
  <c r="DLM3" i="53"/>
  <c r="DNB3" i="53"/>
  <c r="DOR3" i="53"/>
  <c r="DQK3" i="53"/>
  <c r="DRH3" i="53"/>
  <c r="DRZ3" i="53"/>
  <c r="DVK3" i="53"/>
  <c r="DWF3" i="53"/>
  <c r="DYU3" i="53"/>
  <c r="EBK3" i="53"/>
  <c r="EFU3" i="53"/>
  <c r="EGS3" i="53"/>
  <c r="EIJ3" i="53"/>
  <c r="ELC3" i="53"/>
  <c r="ELX3" i="53"/>
  <c r="EMV3" i="53"/>
  <c r="ENO3" i="53"/>
  <c r="EPK3" i="53"/>
  <c r="EQG3" i="53"/>
  <c r="ERF3" i="53"/>
  <c r="ETS3" i="53"/>
  <c r="EUQ3" i="53"/>
  <c r="EYE3" i="53"/>
  <c r="EZV3" i="53"/>
  <c r="FAT3" i="53"/>
  <c r="FBO3" i="53"/>
  <c r="FDM3" i="53"/>
  <c r="FFE3" i="53"/>
  <c r="FGW3" i="53"/>
  <c r="FHV3" i="53"/>
  <c r="FJR3" i="53"/>
  <c r="FKM3" i="53"/>
  <c r="FOG3" i="53"/>
  <c r="FPD3" i="53"/>
  <c r="FQB3" i="53"/>
  <c r="FQX3" i="53"/>
  <c r="FTV3" i="53"/>
  <c r="FUT3" i="53"/>
  <c r="FWT3" i="53"/>
  <c r="FYU3" i="53"/>
  <c r="FZS3" i="53"/>
  <c r="GFR3" i="53"/>
  <c r="GGN3" i="53"/>
  <c r="GKN3" i="53"/>
  <c r="GLK3" i="53"/>
  <c r="GQJ3" i="53"/>
  <c r="GUH3" i="53"/>
  <c r="GXG3" i="53"/>
  <c r="GYD3" i="53"/>
  <c r="HCE3" i="53"/>
  <c r="HDB3" i="53"/>
  <c r="HFD3" i="53"/>
  <c r="HGD3" i="53"/>
  <c r="HIZ3" i="53"/>
  <c r="HLA3" i="53"/>
  <c r="HNW3" i="53"/>
  <c r="HOV3" i="53"/>
  <c r="HQV3" i="53"/>
  <c r="HTS3" i="53"/>
  <c r="HWU3" i="53"/>
  <c r="HXS3" i="53"/>
  <c r="IAQ3" i="53"/>
  <c r="IBS3" i="53"/>
  <c r="ICP3" i="53"/>
  <c r="IFO3" i="53"/>
  <c r="IGJ3" i="53"/>
  <c r="IHO3" i="53"/>
  <c r="ILI3" i="53"/>
  <c r="IOJ3" i="53"/>
  <c r="IRF3" i="53"/>
  <c r="ITH3" i="53"/>
  <c r="IUE3" i="53"/>
  <c r="IXD3" i="53"/>
  <c r="IZD3" i="53"/>
  <c r="JAE3" i="53"/>
  <c r="JFD3" i="53"/>
  <c r="JGA3" i="53"/>
  <c r="JKG3" i="53"/>
  <c r="JLE3" i="53"/>
  <c r="JQK3" i="53"/>
  <c r="JRJ3" i="53"/>
  <c r="JTL3" i="53"/>
  <c r="JVR3" i="53"/>
  <c r="JWP3" i="53"/>
  <c r="KAW3" i="53"/>
  <c r="KBV3" i="53"/>
  <c r="KFT3" i="53"/>
  <c r="KHC3" i="53"/>
  <c r="KKM3" i="53"/>
  <c r="KLL3" i="53"/>
  <c r="KPE3" i="53"/>
  <c r="KQM3" i="53"/>
  <c r="KRV3" i="53"/>
  <c r="KVG3" i="53"/>
  <c r="KWO3" i="53"/>
  <c r="KYZ3" i="53"/>
  <c r="LDA3" i="53"/>
  <c r="LIM3" i="53"/>
  <c r="LOG3" i="53"/>
  <c r="LPQ3" i="53"/>
  <c r="LSO3" i="53"/>
  <c r="LWV3" i="53"/>
  <c r="LYI3" i="53"/>
  <c r="MEA3" i="53"/>
  <c r="MGU3" i="53"/>
  <c r="MJU3" i="53"/>
  <c r="MOA3" i="53"/>
  <c r="MQX3" i="53"/>
  <c r="MXZ3" i="53"/>
  <c r="NMJ3" i="53"/>
  <c r="NWM3" i="53"/>
  <c r="NZH3" i="53"/>
  <c r="ODO3" i="53"/>
  <c r="OHT3" i="53"/>
  <c r="OJM3" i="53"/>
  <c r="OMI3" i="53"/>
  <c r="ONX3" i="53"/>
  <c r="OPO3" i="53"/>
  <c r="OSO3" i="53"/>
  <c r="OVS3" i="53"/>
  <c r="OYW3" i="53"/>
  <c r="PAK3" i="53"/>
  <c r="PGX3" i="53"/>
  <c r="POW3" i="53"/>
  <c r="PQK3" i="53"/>
  <c r="PRY3" i="53"/>
  <c r="PVN3" i="53"/>
  <c r="PXE3" i="53"/>
  <c r="PYV3" i="53"/>
  <c r="QLH3" i="53"/>
  <c r="QNA3" i="53"/>
  <c r="QXD3" i="53"/>
  <c r="RDN3" i="53"/>
  <c r="RKH3" i="53"/>
  <c r="ROL3" i="53"/>
  <c r="RQU3" i="53"/>
  <c r="RTE3" i="53"/>
  <c r="SEM3" i="53"/>
  <c r="SIY3" i="53"/>
  <c r="SLI3" i="53"/>
  <c r="SNU3" i="53"/>
  <c r="SSQ3" i="53"/>
  <c r="TAC3" i="53"/>
  <c r="TCV3" i="53"/>
  <c r="THM3" i="53"/>
  <c r="TKG3" i="53"/>
  <c r="TPF3" i="53"/>
  <c r="TRY3" i="53"/>
  <c r="TUR3" i="53"/>
  <c r="TXT3" i="53"/>
  <c r="UDO3" i="53"/>
  <c r="UQI3" i="53"/>
  <c r="UXP3" i="53"/>
  <c r="VBE3" i="53"/>
  <c r="VEP3" i="53"/>
  <c r="VHW3" i="53"/>
  <c r="VNC3" i="53"/>
  <c r="VRK3" i="53"/>
  <c r="WAZ3" i="53"/>
  <c r="WSK3" i="53"/>
  <c r="A3" i="53"/>
  <c r="T3" i="53"/>
  <c r="BU3" i="53"/>
  <c r="CN3" i="53"/>
  <c r="DG3" i="53"/>
  <c r="FY3" i="53"/>
  <c r="GS3" i="53"/>
  <c r="HK3" i="53"/>
  <c r="JM3" i="53"/>
  <c r="KF3" i="53"/>
  <c r="KX3" i="53"/>
  <c r="NS3" i="53"/>
  <c r="OJ3" i="53"/>
  <c r="PD3" i="53"/>
  <c r="RW3" i="53"/>
  <c r="SO3" i="53"/>
  <c r="VK3" i="53"/>
  <c r="WB3" i="53"/>
  <c r="WV3" i="53"/>
  <c r="YW3" i="53"/>
  <c r="ZN3" i="53"/>
  <c r="AAH3" i="53"/>
  <c r="ACM3" i="53"/>
  <c r="ADG3" i="53"/>
  <c r="ADZ3" i="53"/>
  <c r="AFM3" i="53"/>
  <c r="AHC3" i="53"/>
  <c r="AIP3" i="53"/>
  <c r="AKZ3" i="53"/>
  <c r="AMO3" i="53"/>
  <c r="AOX3" i="53"/>
  <c r="APQ3" i="53"/>
  <c r="AQN3" i="53"/>
  <c r="ASB3" i="53"/>
  <c r="AWB3" i="53"/>
  <c r="AWV3" i="53"/>
  <c r="AXO3" i="53"/>
  <c r="AZE3" i="53"/>
  <c r="BBO3" i="53"/>
  <c r="BDB3" i="53"/>
  <c r="BDY3" i="53"/>
  <c r="BER3" i="53"/>
  <c r="BGF3" i="53"/>
  <c r="BJM3" i="53"/>
  <c r="BKE3" i="53"/>
  <c r="BLS3" i="53"/>
  <c r="BMQ3" i="53"/>
  <c r="BOY3" i="53"/>
  <c r="BPS3" i="53"/>
  <c r="BSD3" i="53"/>
  <c r="BSV3" i="53"/>
  <c r="BUL3" i="53"/>
  <c r="BWC3" i="53"/>
  <c r="BXP3" i="53"/>
  <c r="BYI3" i="53"/>
  <c r="CBQ3" i="53"/>
  <c r="CDD3" i="53"/>
  <c r="CDW3" i="53"/>
  <c r="CET3" i="53"/>
  <c r="CGH3" i="53"/>
  <c r="CKG3" i="53"/>
  <c r="CLU3" i="53"/>
  <c r="CNJ3" i="53"/>
  <c r="COG3" i="53"/>
  <c r="CPW3" i="53"/>
  <c r="CRL3" i="53"/>
  <c r="CSK3" i="53"/>
  <c r="CTD3" i="53"/>
  <c r="CVR3" i="53"/>
  <c r="CWO3" i="53"/>
  <c r="CYE3" i="53"/>
  <c r="CYY3" i="53"/>
  <c r="DDC3" i="53"/>
  <c r="DFQ3" i="53"/>
  <c r="DIX3" i="53"/>
  <c r="DKQ3" i="53"/>
  <c r="DMG3" i="53"/>
  <c r="DNV3" i="53"/>
  <c r="DOS3" i="53"/>
  <c r="DPR3" i="53"/>
  <c r="DQL3" i="53"/>
  <c r="DSW3" i="53"/>
  <c r="DTQ3" i="53"/>
  <c r="DUP3" i="53"/>
  <c r="DXX3" i="53"/>
  <c r="DYX3" i="53"/>
  <c r="DZS3" i="53"/>
  <c r="EAQ3" i="53"/>
  <c r="ECI3" i="53"/>
  <c r="EDD3" i="53"/>
  <c r="EFA3" i="53"/>
  <c r="EHN3" i="53"/>
  <c r="EJL3" i="53"/>
  <c r="EKE3" i="53"/>
  <c r="EOP3" i="53"/>
  <c r="EPO3" i="53"/>
  <c r="EQI3" i="53"/>
  <c r="ETA3" i="53"/>
  <c r="EVN3" i="53"/>
  <c r="EWK3" i="53"/>
  <c r="EXI3" i="53"/>
  <c r="EZC3" i="53"/>
  <c r="FBR3" i="53"/>
  <c r="FCP3" i="53"/>
  <c r="FIT3" i="53"/>
  <c r="FLM3" i="53"/>
  <c r="FMH3" i="53"/>
  <c r="FNJ3" i="53"/>
  <c r="FQD3" i="53"/>
  <c r="FSW3" i="53"/>
  <c r="FUV3" i="53"/>
  <c r="FVV3" i="53"/>
  <c r="FXU3" i="53"/>
  <c r="GBQ3" i="53"/>
  <c r="GCR3" i="53"/>
  <c r="GDT3" i="53"/>
  <c r="GER3" i="53"/>
  <c r="GHP3" i="53"/>
  <c r="GIR3" i="53"/>
  <c r="GJP3" i="53"/>
  <c r="GMN3" i="53"/>
  <c r="GNJ3" i="53"/>
  <c r="GPN3" i="53"/>
  <c r="GTJ3" i="53"/>
  <c r="GVI3" i="53"/>
  <c r="GWF3" i="53"/>
  <c r="GYF3" i="53"/>
  <c r="HAH3" i="53"/>
  <c r="HBE3" i="53"/>
  <c r="HED3" i="53"/>
  <c r="HHE3" i="53"/>
  <c r="HIA3" i="53"/>
  <c r="HLZ3" i="53"/>
  <c r="HMX3" i="53"/>
  <c r="HRV3" i="53"/>
  <c r="HUT3" i="53"/>
  <c r="HVU3" i="53"/>
  <c r="HYS3" i="53"/>
  <c r="HZQ3" i="53"/>
  <c r="IDR3" i="53"/>
  <c r="IEP3" i="53"/>
  <c r="IJL3" i="53"/>
  <c r="IKN3" i="53"/>
  <c r="IMM3" i="53"/>
  <c r="IPJ3" i="53"/>
  <c r="IQH3" i="53"/>
  <c r="ISH3" i="53"/>
  <c r="IVG3" i="53"/>
  <c r="IXF3" i="53"/>
  <c r="IYH3" i="53"/>
  <c r="JCD3" i="53"/>
  <c r="JDF3" i="53"/>
  <c r="JED3" i="53"/>
  <c r="JIA3" i="53"/>
  <c r="JJH3" i="53"/>
  <c r="JMI3" i="53"/>
  <c r="JNG3" i="53"/>
  <c r="JOM3" i="53"/>
  <c r="JPJ3" i="53"/>
  <c r="JRM3" i="53"/>
  <c r="JSL3" i="53"/>
  <c r="JUP3" i="53"/>
  <c r="JXR3" i="53"/>
  <c r="JYQ3" i="53"/>
  <c r="JZS3" i="53"/>
  <c r="KCX3" i="53"/>
  <c r="KDW3" i="53"/>
  <c r="KEY3" i="53"/>
  <c r="KII3" i="53"/>
  <c r="KJI3" i="53"/>
  <c r="KMZ3" i="53"/>
  <c r="KOE3" i="53"/>
  <c r="KSY3" i="53"/>
  <c r="KUF3" i="53"/>
  <c r="KVI3" i="53"/>
  <c r="LEJ3" i="53"/>
  <c r="LFU3" i="53"/>
  <c r="LHH3" i="53"/>
  <c r="LJZ3" i="53"/>
  <c r="LQZ3" i="53"/>
  <c r="LUC3" i="53"/>
  <c r="LVJ3" i="53"/>
  <c r="LZR3" i="53"/>
  <c r="MBE3" i="53"/>
  <c r="MFL3" i="53"/>
  <c r="MIE3" i="53"/>
  <c r="MMM3" i="53"/>
  <c r="MPR3" i="53"/>
  <c r="MSH3" i="53"/>
  <c r="MZH3" i="53"/>
  <c r="NBC3" i="53"/>
  <c r="NDT3" i="53"/>
  <c r="NFG3" i="53"/>
  <c r="NGV3" i="53"/>
  <c r="NIC3" i="53"/>
  <c r="NJO3" i="53"/>
  <c r="NNV3" i="53"/>
  <c r="NPD3" i="53"/>
  <c r="NQO3" i="53"/>
  <c r="NUY3" i="53"/>
  <c r="NYA3" i="53"/>
  <c r="NZI3" i="53"/>
  <c r="OAT3" i="53"/>
  <c r="OCD3" i="53"/>
  <c r="OQZ3" i="53"/>
  <c r="OUE3" i="53"/>
  <c r="OXK3" i="53"/>
  <c r="PIQ3" i="53"/>
  <c r="PNF3" i="53"/>
  <c r="PSA3" i="53"/>
  <c r="PTP3" i="53"/>
  <c r="PXF3" i="53"/>
  <c r="PYW3" i="53"/>
  <c r="QCI3" i="53"/>
  <c r="QEC3" i="53"/>
  <c r="QFZ3" i="53"/>
  <c r="QOX3" i="53"/>
  <c r="QRJ3" i="53"/>
  <c r="QSZ3" i="53"/>
  <c r="QVD3" i="53"/>
  <c r="RBQ3" i="53"/>
  <c r="RFR3" i="53"/>
  <c r="RIE3" i="53"/>
  <c r="RMJ3" i="53"/>
  <c r="RXI3" i="53"/>
  <c r="RZR3" i="53"/>
  <c r="SCD3" i="53"/>
  <c r="SGN3" i="53"/>
  <c r="SQD3" i="53"/>
  <c r="SSW3" i="53"/>
  <c r="SXT3" i="53"/>
  <c r="TND3" i="53"/>
  <c r="TRZ3" i="53"/>
  <c r="UAY3" i="53"/>
  <c r="UDQ3" i="53"/>
  <c r="UGS3" i="53"/>
  <c r="UNP3" i="53"/>
  <c r="UQU3" i="53"/>
  <c r="VHX3" i="53"/>
  <c r="VND3" i="53"/>
  <c r="VRL3" i="53"/>
  <c r="VWS3" i="53"/>
  <c r="WBO3" i="53"/>
  <c r="WMT3" i="53"/>
  <c r="WYK3" i="53"/>
  <c r="AK3" i="53"/>
  <c r="BE3" i="53"/>
  <c r="DY3" i="53"/>
  <c r="ER3" i="53"/>
  <c r="FJ3" i="53"/>
  <c r="IW3" i="53"/>
  <c r="JO3" i="53"/>
  <c r="LQ3" i="53"/>
  <c r="MI3" i="53"/>
  <c r="NA3" i="53"/>
  <c r="OK3" i="53"/>
  <c r="PW3" i="53"/>
  <c r="QN3" i="53"/>
  <c r="RH3" i="53"/>
  <c r="TI3" i="53"/>
  <c r="TZ3" i="53"/>
  <c r="XM3" i="53"/>
  <c r="YF3" i="53"/>
  <c r="YY3" i="53"/>
  <c r="ABV3" i="53"/>
  <c r="AEV3" i="53"/>
  <c r="AGI3" i="53"/>
  <c r="AHY3" i="53"/>
  <c r="AJL3" i="53"/>
  <c r="ALW3" i="53"/>
  <c r="AMP3" i="53"/>
  <c r="ANK3" i="53"/>
  <c r="AOC3" i="53"/>
  <c r="ARK3" i="53"/>
  <c r="ASY3" i="53"/>
  <c r="ATP3" i="53"/>
  <c r="AUN3" i="53"/>
  <c r="AWW3" i="53"/>
  <c r="AYK3" i="53"/>
  <c r="BAA3" i="53"/>
  <c r="BAT3" i="53"/>
  <c r="BDE3" i="53"/>
  <c r="BFN3" i="53"/>
  <c r="BGG3" i="53"/>
  <c r="BHB3" i="53"/>
  <c r="BIQ3" i="53"/>
  <c r="BLB3" i="53"/>
  <c r="BMR3" i="53"/>
  <c r="BNL3" i="53"/>
  <c r="BOE3" i="53"/>
  <c r="BRI3" i="53"/>
  <c r="BSX3" i="53"/>
  <c r="BTR3" i="53"/>
  <c r="BVH3" i="53"/>
  <c r="BWV3" i="53"/>
  <c r="BZE3" i="53"/>
  <c r="CAC3" i="53"/>
  <c r="CAV3" i="53"/>
  <c r="CCI3" i="53"/>
  <c r="CFP3" i="53"/>
  <c r="CGI3" i="53"/>
  <c r="CHD3" i="53"/>
  <c r="CHV3" i="53"/>
  <c r="CIS3" i="53"/>
  <c r="CLB3" i="53"/>
  <c r="CMQ3" i="53"/>
  <c r="CPA3" i="53"/>
  <c r="CQS3" i="53"/>
  <c r="CRO3" i="53"/>
  <c r="CUB3" i="53"/>
  <c r="CUV3" i="53"/>
  <c r="CXJ3" i="53"/>
  <c r="CZW3" i="53"/>
  <c r="DAQ3" i="53"/>
  <c r="DBO3" i="53"/>
  <c r="DCJ3" i="53"/>
  <c r="DEA3" i="53"/>
  <c r="DEU3" i="53"/>
  <c r="DFS3" i="53"/>
  <c r="DGM3" i="53"/>
  <c r="DJU3" i="53"/>
  <c r="DLN3" i="53"/>
  <c r="DND3" i="53"/>
  <c r="DNW3" i="53"/>
  <c r="DRI3" i="53"/>
  <c r="DSB3" i="53"/>
  <c r="DVM3" i="53"/>
  <c r="DWG3" i="53"/>
  <c r="DXE3" i="53"/>
  <c r="DYZ3" i="53"/>
  <c r="EBN3" i="53"/>
  <c r="ECJ3" i="53"/>
  <c r="EEC3" i="53"/>
  <c r="EFV3" i="53"/>
  <c r="EGT3" i="53"/>
  <c r="EIN3" i="53"/>
  <c r="ELD3" i="53"/>
  <c r="ELY3" i="53"/>
  <c r="EMW3" i="53"/>
  <c r="ENV3" i="53"/>
  <c r="ERG3" i="53"/>
  <c r="ESB3" i="53"/>
  <c r="ETX3" i="53"/>
  <c r="EVQ3" i="53"/>
  <c r="EWL3" i="53"/>
  <c r="EYF3" i="53"/>
  <c r="EZD3" i="53"/>
  <c r="EZZ3" i="53"/>
  <c r="FAU3" i="53"/>
  <c r="FDN3" i="53"/>
  <c r="FEI3" i="53"/>
  <c r="FFZ3" i="53"/>
  <c r="FGY3" i="53"/>
  <c r="FHX3" i="53"/>
  <c r="FJS3" i="53"/>
  <c r="FKN3" i="53"/>
  <c r="FMN3" i="53"/>
  <c r="FOI3" i="53"/>
  <c r="FPE3" i="53"/>
  <c r="FQZ3" i="53"/>
  <c r="FSB3" i="53"/>
  <c r="FSZ3" i="53"/>
  <c r="FTX3" i="53"/>
  <c r="FWV3" i="53"/>
  <c r="FZT3" i="53"/>
  <c r="GAT3" i="53"/>
  <c r="GCU3" i="53"/>
  <c r="GFS3" i="53"/>
  <c r="GGQ3" i="53"/>
  <c r="GKQ3" i="53"/>
  <c r="GLM3" i="53"/>
  <c r="GOP3" i="53"/>
  <c r="GRM3" i="53"/>
  <c r="GSI3" i="53"/>
  <c r="GTM3" i="53"/>
  <c r="GUI3" i="53"/>
  <c r="GWJ3" i="53"/>
  <c r="GXH3" i="53"/>
  <c r="GZH3" i="53"/>
  <c r="HCF3" i="53"/>
  <c r="HDD3" i="53"/>
  <c r="HFH3" i="53"/>
  <c r="HGE3" i="53"/>
  <c r="HJD3" i="53"/>
  <c r="HKD3" i="53"/>
  <c r="HLC3" i="53"/>
  <c r="HNZ3" i="53"/>
  <c r="HOW3" i="53"/>
  <c r="HQA3" i="53"/>
  <c r="HSV3" i="53"/>
  <c r="HTV3" i="53"/>
  <c r="HUV3" i="53"/>
  <c r="HWV3" i="53"/>
  <c r="HXT3" i="53"/>
  <c r="HZS3" i="53"/>
  <c r="IBT3" i="53"/>
  <c r="ICR3" i="53"/>
  <c r="IFP3" i="53"/>
  <c r="IIQ3" i="53"/>
  <c r="ILJ3" i="53"/>
  <c r="INN3" i="53"/>
  <c r="IOK3" i="53"/>
  <c r="ITI3" i="53"/>
  <c r="IWF3" i="53"/>
  <c r="JAF3" i="53"/>
  <c r="JBD3" i="53"/>
  <c r="JFE3" i="53"/>
  <c r="JGC3" i="53"/>
  <c r="JHF3" i="53"/>
  <c r="JKJ3" i="53"/>
  <c r="JLH3" i="53"/>
  <c r="JPN3" i="53"/>
  <c r="JQL3" i="53"/>
  <c r="JVS3" i="53"/>
  <c r="JWQ3" i="53"/>
  <c r="KAX3" i="53"/>
  <c r="KBW3" i="53"/>
  <c r="KGD3" i="53"/>
  <c r="KHD3" i="53"/>
  <c r="KLP3" i="53"/>
  <c r="KQN3" i="53"/>
  <c r="KRW3" i="53"/>
  <c r="KWP3" i="53"/>
  <c r="KXX3" i="53"/>
  <c r="LAH3" i="53"/>
  <c r="LBX3" i="53"/>
  <c r="LDH3" i="53"/>
  <c r="LIN3" i="53"/>
  <c r="LKA3" i="53"/>
  <c r="LLK3" i="53"/>
  <c r="LMU3" i="53"/>
  <c r="LOH3" i="53"/>
  <c r="LPU3" i="53"/>
  <c r="MCN3" i="53"/>
  <c r="MEB3" i="53"/>
  <c r="MHB3" i="53"/>
  <c r="MJX3" i="53"/>
  <c r="MLJ3" i="53"/>
  <c r="MOB3" i="53"/>
  <c r="MTT3" i="53"/>
  <c r="MWS3" i="53"/>
  <c r="MYF3" i="53"/>
  <c r="NCP3" i="53"/>
  <c r="NKZ3" i="53"/>
  <c r="NMM3" i="53"/>
  <c r="NPK3" i="53"/>
  <c r="NSI3" i="53"/>
  <c r="NTT3" i="53"/>
  <c r="NWN3" i="53"/>
  <c r="ODP3" i="53"/>
  <c r="OFC3" i="53"/>
  <c r="OGO3" i="53"/>
  <c r="OHU3" i="53"/>
  <c r="OJO3" i="53"/>
  <c r="OLC3" i="53"/>
  <c r="OMM3" i="53"/>
  <c r="OPP3" i="53"/>
  <c r="OSR3" i="53"/>
  <c r="OVV3" i="53"/>
  <c r="PAL3" i="53"/>
  <c r="PCJ3" i="53"/>
  <c r="PDZ3" i="53"/>
  <c r="PFJ3" i="53"/>
  <c r="PKE3" i="53"/>
  <c r="PLS3" i="53"/>
  <c r="POY3" i="53"/>
  <c r="PQM3" i="53"/>
  <c r="PVO3" i="53"/>
  <c r="QAK3" i="53"/>
  <c r="QHV3" i="53"/>
  <c r="QJV3" i="53"/>
  <c r="QNB3" i="53"/>
  <c r="QXF3" i="53"/>
  <c r="QZS3" i="53"/>
  <c r="RDO3" i="53"/>
  <c r="RFS3" i="53"/>
  <c r="RKI3" i="53"/>
  <c r="RMK3" i="53"/>
  <c r="ROM3" i="53"/>
  <c r="RXK3" i="53"/>
  <c r="SEN3" i="53"/>
  <c r="SJA3" i="53"/>
  <c r="SVE3" i="53"/>
  <c r="TAJ3" i="53"/>
  <c r="TCW3" i="53"/>
  <c r="TFC3" i="53"/>
  <c r="THO3" i="53"/>
  <c r="TKH3" i="53"/>
  <c r="TNF3" i="53"/>
  <c r="TSA3" i="53"/>
  <c r="TUX3" i="53"/>
  <c r="TXU3" i="53"/>
  <c r="UDR3" i="53"/>
  <c r="UKP3" i="53"/>
  <c r="URB3" i="53"/>
  <c r="UTS3" i="53"/>
  <c r="UXR3" i="53"/>
  <c r="VEV3" i="53"/>
  <c r="VHY3" i="53"/>
  <c r="VRP3" i="53"/>
  <c r="VWT3" i="53"/>
  <c r="WIK3" i="53"/>
  <c r="WYL3" i="53"/>
  <c r="RNI3" i="53"/>
  <c r="RRO3" i="53"/>
  <c r="RTO3" i="53"/>
  <c r="RYK3" i="53"/>
  <c r="SCO3" i="53"/>
  <c r="SJX3" i="53"/>
  <c r="SRD3" i="53"/>
  <c r="TAT3" i="53"/>
  <c r="TDO3" i="53"/>
  <c r="TFV3" i="53"/>
  <c r="TIS3" i="53"/>
  <c r="TLE3" i="53"/>
  <c r="TQH3" i="53"/>
  <c r="TYH3" i="53"/>
  <c r="UIE3" i="53"/>
  <c r="ULF3" i="53"/>
  <c r="UOH3" i="53"/>
  <c r="UUZ3" i="53"/>
  <c r="VJY3" i="53"/>
  <c r="VOI3" i="53"/>
  <c r="VTA3" i="53"/>
  <c r="VYP3" i="53"/>
  <c r="WDG3" i="53"/>
  <c r="WOW3" i="53"/>
  <c r="BJ3" i="53"/>
  <c r="FM3" i="53"/>
  <c r="JT3" i="53"/>
  <c r="NY3" i="53"/>
  <c r="QT3" i="53"/>
  <c r="UX3" i="53"/>
  <c r="ZW3" i="53"/>
  <c r="ARN3" i="53"/>
  <c r="AYQ3" i="53"/>
  <c r="BGP3" i="53"/>
  <c r="BYS3" i="53"/>
  <c r="CVZ3" i="53"/>
  <c r="FJX3" i="53"/>
  <c r="GNV3" i="53"/>
  <c r="IDW3" i="53"/>
  <c r="KHL3" i="53"/>
  <c r="OEE3" i="53"/>
  <c r="FGK3" i="53"/>
  <c r="AMC3" i="53"/>
  <c r="CWD3" i="53"/>
  <c r="DJK3" i="53"/>
  <c r="EPU3" i="53"/>
  <c r="FVH3" i="53"/>
  <c r="GFD3" i="53"/>
  <c r="HKM3" i="53"/>
  <c r="IBF3" i="53"/>
  <c r="IGZ3" i="53"/>
  <c r="INV3" i="53"/>
  <c r="IUU3" i="53"/>
  <c r="IXS3" i="53"/>
  <c r="JAT3" i="53"/>
  <c r="JWD3" i="53"/>
  <c r="KIQ3" i="53"/>
  <c r="KXE3" i="53"/>
  <c r="LCK3" i="53"/>
  <c r="LHU3" i="53"/>
  <c r="LNM3" i="53"/>
  <c r="LTG3" i="53"/>
  <c r="MDE3" i="53"/>
  <c r="MNL3" i="53"/>
  <c r="MRS3" i="53"/>
  <c r="MVV3" i="53"/>
  <c r="NAE3" i="53"/>
  <c r="NOU3" i="53"/>
  <c r="NVU3" i="53"/>
  <c r="OBP3" i="53"/>
  <c r="OEG3" i="53"/>
  <c r="OHH3" i="53"/>
  <c r="OKD3" i="53"/>
  <c r="ONH3" i="53"/>
  <c r="PMO3" i="53"/>
  <c r="PPP3" i="53"/>
  <c r="QFD3" i="53"/>
  <c r="QGW3" i="53"/>
  <c r="QKG3" i="53"/>
  <c r="QMG3" i="53"/>
  <c r="QRR3" i="53"/>
  <c r="QUD3" i="53"/>
  <c r="RAI3" i="53"/>
  <c r="RGU3" i="53"/>
  <c r="RNM3" i="53"/>
  <c r="RPS3" i="53"/>
  <c r="RRW3" i="53"/>
  <c r="RUL3" i="53"/>
  <c r="RYM3" i="53"/>
  <c r="SAT3" i="53"/>
  <c r="SHU3" i="53"/>
  <c r="SMW3" i="53"/>
  <c r="SPJ3" i="53"/>
  <c r="SRK3" i="53"/>
  <c r="SWN3" i="53"/>
  <c r="TDR3" i="53"/>
  <c r="TLT3" i="53"/>
  <c r="TTO3" i="53"/>
  <c r="TZD3" i="53"/>
  <c r="UIS3" i="53"/>
  <c r="UPM3" i="53"/>
  <c r="VDD3" i="53"/>
  <c r="VOY3" i="53"/>
  <c r="VUI3" i="53"/>
  <c r="VZL3" i="53"/>
  <c r="WER3" i="53"/>
  <c r="WJG3" i="53"/>
  <c r="AE3" i="53"/>
  <c r="CG3" i="53"/>
  <c r="HC3" i="53"/>
  <c r="JW3" i="53"/>
  <c r="VT3" i="53"/>
  <c r="XW3" i="53"/>
  <c r="AAQ3" i="53"/>
  <c r="ALL3" i="53"/>
  <c r="APJ3" i="53"/>
  <c r="ASO3" i="53"/>
  <c r="AVQ3" i="53"/>
  <c r="BCA3" i="53"/>
  <c r="BPK3" i="53"/>
  <c r="BTH3" i="53"/>
  <c r="BWL3" i="53"/>
  <c r="CFW3" i="53"/>
  <c r="CJC3" i="53"/>
  <c r="CMG3" i="53"/>
  <c r="CPM3" i="53"/>
  <c r="DBC3" i="53"/>
  <c r="DFG3" i="53"/>
  <c r="DMT3" i="53"/>
  <c r="DPZ3" i="53"/>
  <c r="DTL3" i="53"/>
  <c r="DWT3" i="53"/>
  <c r="EAE3" i="53"/>
  <c r="EDS3" i="53"/>
  <c r="EML3" i="53"/>
  <c r="EYQ3" i="53"/>
  <c r="FDX3" i="53"/>
  <c r="FJF3" i="53"/>
  <c r="FNV3" i="53"/>
  <c r="FRN3" i="53"/>
  <c r="FZH3" i="53"/>
  <c r="GDG3" i="53"/>
  <c r="GPB3" i="53"/>
  <c r="GZT3" i="53"/>
  <c r="HCU3" i="53"/>
  <c r="HMJ3" i="53"/>
  <c r="HXH3" i="53"/>
  <c r="IFD3" i="53"/>
  <c r="IQX3" i="53"/>
  <c r="JCR3" i="53"/>
  <c r="JKR3" i="53"/>
  <c r="JOZ3" i="53"/>
  <c r="JTC3" i="53"/>
  <c r="KAJ3" i="53"/>
  <c r="KEL3" i="53"/>
  <c r="KKB3" i="53"/>
  <c r="KOX3" i="53"/>
  <c r="KTS3" i="53"/>
  <c r="LFG3" i="53"/>
  <c r="LKV3" i="53"/>
  <c r="LPD3" i="53"/>
  <c r="LUX3" i="53"/>
  <c r="MES3" i="53"/>
  <c r="MKO3" i="53"/>
  <c r="MUN3" i="53"/>
  <c r="NAH3" i="53"/>
  <c r="NGB3" i="53"/>
  <c r="NYM3" i="53"/>
  <c r="OFY3" i="53"/>
  <c r="ORY3" i="53"/>
  <c r="OWP3" i="53"/>
  <c r="PBJ3" i="53"/>
  <c r="PTF3" i="53"/>
  <c r="QDE3" i="53"/>
  <c r="QRZ3" i="53"/>
  <c r="QWH3" i="53"/>
  <c r="RAQ3" i="53"/>
  <c r="RNN3" i="53"/>
  <c r="SFV3" i="53"/>
  <c r="SKC3" i="53"/>
  <c r="SWS3" i="53"/>
  <c r="TBQ3" i="53"/>
  <c r="TRK3" i="53"/>
  <c r="TWM3" i="53"/>
  <c r="TZF3" i="53"/>
  <c r="UCY3" i="53"/>
  <c r="UPP3" i="53"/>
  <c r="UVT3" i="53"/>
  <c r="UZH3" i="53"/>
  <c r="VUK3" i="53"/>
  <c r="WFG3" i="53"/>
  <c r="CH3" i="53"/>
  <c r="EI3" i="53"/>
  <c r="IM3" i="53"/>
  <c r="MA3" i="53"/>
  <c r="QF3" i="53"/>
  <c r="YP3" i="53"/>
  <c r="AEM3" i="53"/>
  <c r="AHN3" i="53"/>
  <c r="AJY3" i="53"/>
  <c r="AME3" i="53"/>
  <c r="AOO3" i="53"/>
  <c r="ASP3" i="53"/>
  <c r="BCT3" i="53"/>
  <c r="BIF3" i="53"/>
  <c r="BLN3" i="53"/>
  <c r="BNT3" i="53"/>
  <c r="BRA3" i="53"/>
  <c r="BZR3" i="53"/>
  <c r="CGU3" i="53"/>
  <c r="CNC3" i="53"/>
  <c r="CTR3" i="53"/>
  <c r="CWE3" i="53"/>
  <c r="CXT3" i="53"/>
  <c r="DCR3" i="53"/>
  <c r="DHW3" i="53"/>
  <c r="ECA3" i="53"/>
  <c r="ELQ3" i="53"/>
  <c r="EPC3" i="53"/>
  <c r="ERT3" i="53"/>
  <c r="FBJ3" i="53"/>
  <c r="FIG3" i="53"/>
  <c r="FMC3" i="53"/>
  <c r="FZJ3" i="53"/>
  <c r="GCG3" i="53"/>
  <c r="GPX3" i="53"/>
  <c r="GXV3" i="53"/>
  <c r="HAT3" i="53"/>
  <c r="HKP3" i="53"/>
  <c r="HVJ3" i="53"/>
  <c r="IDG3" i="53"/>
  <c r="IKD3" i="53"/>
  <c r="INC3" i="53"/>
  <c r="IUV3" i="53"/>
  <c r="IYT3" i="53"/>
  <c r="JBS3" i="53"/>
  <c r="JGT3" i="53"/>
  <c r="JLY3" i="53"/>
  <c r="KBJ3" i="53"/>
  <c r="KHU3" i="53"/>
  <c r="KQA3" i="53"/>
  <c r="LGQ3" i="53"/>
  <c r="LQR3" i="53"/>
  <c r="MJD3" i="53"/>
  <c r="MZD3" i="53"/>
  <c r="NEP3" i="53"/>
  <c r="NIZ3" i="53"/>
  <c r="NND3" i="53"/>
  <c r="NTB3" i="53"/>
  <c r="NXI3" i="53"/>
  <c r="OAD3" i="53"/>
  <c r="OEH3" i="53"/>
  <c r="OIT3" i="53"/>
  <c r="OOX3" i="53"/>
  <c r="OWQ3" i="53"/>
  <c r="PBK3" i="53"/>
  <c r="PLC3" i="53"/>
  <c r="POF3" i="53"/>
  <c r="PYE3" i="53"/>
  <c r="QDF3" i="53"/>
  <c r="QIV3" i="53"/>
  <c r="QOE3" i="53"/>
  <c r="RGV3" i="53"/>
  <c r="RNR3" i="53"/>
  <c r="RYN3" i="53"/>
  <c r="SPK3" i="53"/>
  <c r="STW3" i="53"/>
  <c r="TGS3" i="53"/>
  <c r="TLU3" i="53"/>
  <c r="TTS3" i="53"/>
  <c r="VHJ3" i="53"/>
  <c r="VZX3" i="53"/>
  <c r="XCI3" i="53"/>
  <c r="L3" i="53"/>
  <c r="DR3" i="53"/>
  <c r="GM3" i="53"/>
  <c r="HE3" i="53"/>
  <c r="OV3" i="53"/>
  <c r="TA3" i="53"/>
  <c r="WM3" i="53"/>
  <c r="ABL3" i="53"/>
  <c r="ADS3" i="53"/>
  <c r="AFG3" i="53"/>
  <c r="AIJ3" i="53"/>
  <c r="ALM3" i="53"/>
  <c r="AQD3" i="53"/>
  <c r="AWO3" i="53"/>
  <c r="BJC3" i="53"/>
  <c r="BKS3" i="53"/>
  <c r="BNY3" i="53"/>
  <c r="BPM3" i="53"/>
  <c r="BVS3" i="53"/>
  <c r="BYE3" i="53"/>
  <c r="CAM3" i="53"/>
  <c r="CCD3" i="53"/>
  <c r="CDR3" i="53"/>
  <c r="CJW3" i="53"/>
  <c r="CNE3" i="53"/>
  <c r="CQK3" i="53"/>
  <c r="CVI3" i="53"/>
  <c r="CWY3" i="53"/>
  <c r="DAJ3" i="53"/>
  <c r="DGE3" i="53"/>
  <c r="DHX3" i="53"/>
  <c r="DLC3" i="53"/>
  <c r="DRW3" i="53"/>
  <c r="DTM3" i="53"/>
  <c r="DVB3" i="53"/>
  <c r="DWU3" i="53"/>
  <c r="DZL3" i="53"/>
  <c r="EBE3" i="53"/>
  <c r="ECX3" i="53"/>
  <c r="EHH3" i="53"/>
  <c r="EJB3" i="53"/>
  <c r="ELR3" i="53"/>
  <c r="EVI3" i="53"/>
  <c r="EWZ3" i="53"/>
  <c r="EYR3" i="53"/>
  <c r="EZS3" i="53"/>
  <c r="FEX3" i="53"/>
  <c r="FLE3" i="53"/>
  <c r="FUP3" i="53"/>
  <c r="FWK3" i="53"/>
  <c r="GAI3" i="53"/>
  <c r="GCJ3" i="53"/>
  <c r="GIG3" i="53"/>
  <c r="GME3" i="53"/>
  <c r="GQD3" i="53"/>
  <c r="GUW3" i="53"/>
  <c r="GZV3" i="53"/>
  <c r="HCV3" i="53"/>
  <c r="HHT3" i="53"/>
  <c r="HNP3" i="53"/>
  <c r="HUK3" i="53"/>
  <c r="IGG3" i="53"/>
  <c r="IMB3" i="53"/>
  <c r="IQD3" i="53"/>
  <c r="IUA3" i="53"/>
  <c r="IWW3" i="53"/>
  <c r="JCS3" i="53"/>
  <c r="JET3" i="53"/>
  <c r="JPB3" i="53"/>
  <c r="JUG3" i="53"/>
  <c r="JZJ3" i="53"/>
  <c r="KCM3" i="53"/>
  <c r="KFP3" i="53"/>
  <c r="KMJ3" i="53"/>
  <c r="KOZ3" i="53"/>
  <c r="KUX3" i="53"/>
  <c r="KXG3" i="53"/>
  <c r="LHZ3" i="53"/>
  <c r="LMJ3" i="53"/>
  <c r="LPH3" i="53"/>
  <c r="LRZ3" i="53"/>
  <c r="LUZ3" i="53"/>
  <c r="LWI3" i="53"/>
  <c r="LZC3" i="53"/>
  <c r="MGL3" i="53"/>
  <c r="MMH3" i="53"/>
  <c r="MTG3" i="53"/>
  <c r="NGC3" i="53"/>
  <c r="NKJ3" i="53"/>
  <c r="NOX3" i="53"/>
  <c r="NUQ3" i="53"/>
  <c r="ODD3" i="53"/>
  <c r="OGB3" i="53"/>
  <c r="OIW3" i="53"/>
  <c r="OOY3" i="53"/>
  <c r="OQJ3" i="53"/>
  <c r="PGJ3" i="53"/>
  <c r="POJ3" i="53"/>
  <c r="PWI3" i="53"/>
  <c r="QUR3" i="53"/>
  <c r="AX3" i="53"/>
  <c r="CI3" i="53"/>
  <c r="FE3" i="53"/>
  <c r="FV3" i="53"/>
  <c r="IP3" i="53"/>
  <c r="JZ3" i="53"/>
  <c r="MU3" i="53"/>
  <c r="OG3" i="53"/>
  <c r="QZ3" i="53"/>
  <c r="VE3" i="53"/>
  <c r="XZ3" i="53"/>
  <c r="ZK3" i="53"/>
  <c r="ADU3" i="53"/>
  <c r="AFI3" i="53"/>
  <c r="AGV3" i="53"/>
  <c r="AIL3" i="53"/>
  <c r="AJZ3" i="53"/>
  <c r="ANC3" i="53"/>
  <c r="ARA3" i="53"/>
  <c r="ASQ3" i="53"/>
  <c r="AUD3" i="53"/>
  <c r="AXK3" i="53"/>
  <c r="AYY3" i="53"/>
  <c r="BAN3" i="53"/>
  <c r="BCW3" i="53"/>
  <c r="BGB3" i="53"/>
  <c r="BIK3" i="53"/>
  <c r="BMH3" i="53"/>
  <c r="BOS3" i="53"/>
  <c r="BRB3" i="53"/>
  <c r="BSS3" i="53"/>
  <c r="BTM3" i="53"/>
  <c r="BYF3" i="53"/>
  <c r="BZS3" i="53"/>
  <c r="CFF3" i="53"/>
  <c r="CGV3" i="53"/>
  <c r="CMJ3" i="53"/>
  <c r="CNW3" i="53"/>
  <c r="CRG3" i="53"/>
  <c r="CSC3" i="53"/>
  <c r="CTS3" i="53"/>
  <c r="CXY3" i="53"/>
  <c r="CZN3" i="53"/>
  <c r="DCZ3" i="53"/>
  <c r="DFI3" i="53"/>
  <c r="DIT3" i="53"/>
  <c r="DNS3" i="53"/>
  <c r="DPH3" i="53"/>
  <c r="DUF3" i="53"/>
  <c r="DWA3" i="53"/>
  <c r="EJZ3" i="53"/>
  <c r="ELT3" i="53"/>
  <c r="ENK3" i="53"/>
  <c r="ETO3" i="53"/>
  <c r="EWG3" i="53"/>
  <c r="EXX3" i="53"/>
  <c r="FBK3" i="53"/>
  <c r="FDC3" i="53"/>
  <c r="FHN3" i="53"/>
  <c r="FJI3" i="53"/>
  <c r="FMX3" i="53"/>
  <c r="FPA3" i="53"/>
  <c r="FRQ3" i="53"/>
  <c r="FVQ3" i="53"/>
  <c r="FWM3" i="53"/>
  <c r="GBK3" i="53"/>
  <c r="GHF3" i="53"/>
  <c r="GJF3" i="53"/>
  <c r="GNF3" i="53"/>
  <c r="GWZ3" i="53"/>
  <c r="GYZ3" i="53"/>
  <c r="HBA3" i="53"/>
  <c r="HDV3" i="53"/>
  <c r="HJS3" i="53"/>
  <c r="HRR3" i="53"/>
  <c r="HVN3" i="53"/>
  <c r="IBH3" i="53"/>
  <c r="IEI3" i="53"/>
  <c r="IHF3" i="53"/>
  <c r="IJH3" i="53"/>
  <c r="IND3" i="53"/>
  <c r="IPC3" i="53"/>
  <c r="ISW3" i="53"/>
  <c r="IUZ3" i="53"/>
  <c r="JAV3" i="53"/>
  <c r="JDT3" i="53"/>
  <c r="JHW3" i="53"/>
  <c r="JOB3" i="53"/>
  <c r="JTF3" i="53"/>
  <c r="JYK3" i="53"/>
  <c r="KBM3" i="53"/>
  <c r="KDP3" i="53"/>
  <c r="KGR3" i="53"/>
  <c r="KJC3" i="53"/>
  <c r="KNT3" i="53"/>
  <c r="KRH3" i="53"/>
  <c r="KSS3" i="53"/>
  <c r="KYS3" i="53"/>
  <c r="LED3" i="53"/>
  <c r="LMK3" i="53"/>
  <c r="LPI3" i="53"/>
  <c r="LTP3" i="53"/>
  <c r="MAU3" i="53"/>
  <c r="MDP3" i="53"/>
  <c r="MWK3" i="53"/>
  <c r="MZE3" i="53"/>
  <c r="NNP3" i="53"/>
  <c r="OET3" i="53"/>
  <c r="OHP3" i="53"/>
  <c r="OQS3" i="53"/>
  <c r="OTQ3" i="53"/>
  <c r="PAD3" i="53"/>
  <c r="PHX3" i="53"/>
  <c r="PMT3" i="53"/>
  <c r="PTJ3" i="53"/>
  <c r="PWT3" i="53"/>
  <c r="QAD3" i="53"/>
  <c r="QKW3" i="53"/>
  <c r="QOG3" i="53"/>
  <c r="QSQ3" i="53"/>
  <c r="RAZ3" i="53"/>
  <c r="RJN3" i="53"/>
  <c r="ROB3" i="53"/>
  <c r="RWV3" i="53"/>
  <c r="SBO3" i="53"/>
  <c r="SIH3" i="53"/>
  <c r="TBT3" i="53"/>
  <c r="THF3" i="53"/>
  <c r="TWR3" i="53"/>
  <c r="UDC3" i="53"/>
  <c r="UMN3" i="53"/>
  <c r="UWH3" i="53"/>
  <c r="VHK3" i="53"/>
  <c r="VLM3" i="53"/>
  <c r="VUT3" i="53"/>
  <c r="WFL3" i="53"/>
  <c r="WLL3" i="53"/>
  <c r="WWT3" i="53"/>
  <c r="EL3" i="53"/>
  <c r="HG3" i="53"/>
  <c r="KA3" i="53"/>
  <c r="LK3" i="53"/>
  <c r="OW3" i="53"/>
  <c r="QI3" i="53"/>
  <c r="TB3" i="53"/>
  <c r="VX3" i="53"/>
  <c r="AAU3" i="53"/>
  <c r="ACH3" i="53"/>
  <c r="AKA3" i="53"/>
  <c r="ALN3" i="53"/>
  <c r="ATM3" i="53"/>
  <c r="AVX3" i="53"/>
  <c r="BFG3" i="53"/>
  <c r="BHQ3" i="53"/>
  <c r="BJG3" i="53"/>
  <c r="BKT3" i="53"/>
  <c r="BND3" i="53"/>
  <c r="BPO3" i="53"/>
  <c r="BVB3" i="53"/>
  <c r="BWR3" i="53"/>
  <c r="CCX3" i="53"/>
  <c r="CHS3" i="53"/>
  <c r="CJG3" i="53"/>
  <c r="CKV3" i="53"/>
  <c r="CTU3" i="53"/>
  <c r="CYV3" i="53"/>
  <c r="DAK3" i="53"/>
  <c r="DHY3" i="53"/>
  <c r="DLD3" i="53"/>
  <c r="DOO3" i="53"/>
  <c r="DRX3" i="53"/>
  <c r="DWV3" i="53"/>
  <c r="DZM3" i="53"/>
  <c r="ECE3" i="53"/>
  <c r="EGN3" i="53"/>
  <c r="EJC3" i="53"/>
  <c r="EPG3" i="53"/>
  <c r="ERV3" i="53"/>
  <c r="EUO3" i="53"/>
  <c r="EXA3" i="53"/>
  <c r="EYX3" i="53"/>
  <c r="FAR3" i="53"/>
  <c r="FCJ3" i="53"/>
  <c r="FLF3" i="53"/>
  <c r="FNC3" i="53"/>
  <c r="FYK3" i="53"/>
  <c r="GEM3" i="53"/>
  <c r="GHJ3" i="53"/>
  <c r="GLI3" i="53"/>
  <c r="GQG3" i="53"/>
  <c r="GUC3" i="53"/>
  <c r="GXE3" i="53"/>
  <c r="GZW3" i="53"/>
  <c r="HCX3" i="53"/>
  <c r="HFV3" i="53"/>
  <c r="HHV3" i="53"/>
  <c r="HPQ3" i="53"/>
  <c r="HYN3" i="53"/>
  <c r="IGH3" i="53"/>
  <c r="IIG3" i="53"/>
  <c r="IMC3" i="53"/>
  <c r="ISC3" i="53"/>
  <c r="IUC3" i="53"/>
  <c r="IXW3" i="53"/>
  <c r="JBV3" i="53"/>
  <c r="JFX3" i="53"/>
  <c r="JLC3" i="53"/>
  <c r="JRG3" i="53"/>
  <c r="JUJ3" i="53"/>
  <c r="KAL3" i="53"/>
  <c r="KER3" i="53"/>
  <c r="KML3" i="53"/>
  <c r="KQD3" i="53"/>
  <c r="KXR3" i="53"/>
  <c r="LCU3" i="53"/>
  <c r="LGT3" i="53"/>
  <c r="LJQ3" i="53"/>
  <c r="LSB3" i="53"/>
  <c r="MGP3" i="53"/>
  <c r="MJH3" i="53"/>
  <c r="MMI3" i="53"/>
  <c r="MQQ3" i="53"/>
  <c r="NDL3" i="53"/>
  <c r="NHW3" i="53"/>
  <c r="NMC3" i="53"/>
  <c r="NQJ3" i="53"/>
  <c r="NUR3" i="53"/>
  <c r="OAL3" i="53"/>
  <c r="ODH3" i="53"/>
  <c r="OKP3" i="53"/>
  <c r="OQU3" i="53"/>
  <c r="OXG3" i="53"/>
  <c r="PAE3" i="53"/>
  <c r="PLI3" i="53"/>
  <c r="POO3" i="53"/>
  <c r="PYL3" i="53"/>
  <c r="QYT3" i="53"/>
  <c r="RHI3" i="53"/>
  <c r="SSD3" i="53"/>
  <c r="TJM3" i="53"/>
  <c r="UQD3" i="53"/>
  <c r="FW3" i="53"/>
  <c r="ACI3" i="53"/>
  <c r="AIM3" i="53"/>
  <c r="ANE3" i="53"/>
  <c r="AOU3" i="53"/>
  <c r="ARY3" i="53"/>
  <c r="ASR3" i="53"/>
  <c r="AUF3" i="53"/>
  <c r="AXL3" i="53"/>
  <c r="AYE3" i="53"/>
  <c r="BAQ3" i="53"/>
  <c r="BCZ3" i="53"/>
  <c r="BDS3" i="53"/>
  <c r="BEP3" i="53"/>
  <c r="BFJ3" i="53"/>
  <c r="BGC3" i="53"/>
  <c r="BIM3" i="53"/>
  <c r="BKC3" i="53"/>
  <c r="BLP3" i="53"/>
  <c r="BNF3" i="53"/>
  <c r="BOT3" i="53"/>
  <c r="BRC3" i="53"/>
  <c r="BSA3" i="53"/>
  <c r="BST3" i="53"/>
  <c r="BUH3" i="53"/>
  <c r="BXM3" i="53"/>
  <c r="BYG3" i="53"/>
  <c r="BZT3" i="53"/>
  <c r="CAR3" i="53"/>
  <c r="CBJ3" i="53"/>
  <c r="CCZ3" i="53"/>
  <c r="CDT3" i="53"/>
  <c r="CEN3" i="53"/>
  <c r="CGE3" i="53"/>
  <c r="CGW3" i="53"/>
  <c r="CIK3" i="53"/>
  <c r="CKE3" i="53"/>
  <c r="CLR3" i="53"/>
  <c r="CMK3" i="53"/>
  <c r="COW3" i="53"/>
  <c r="CRJ3" i="53"/>
  <c r="CSD3" i="53"/>
  <c r="CTB3" i="53"/>
  <c r="CUR3" i="53"/>
  <c r="CVL3" i="53"/>
  <c r="CWG3" i="53"/>
  <c r="CXZ3" i="53"/>
  <c r="CZO3" i="53"/>
  <c r="DBG3" i="53"/>
  <c r="DDA3" i="53"/>
  <c r="DDU3" i="53"/>
  <c r="DFJ3" i="53"/>
  <c r="DIV3" i="53"/>
  <c r="DJO3" i="53"/>
  <c r="DKL3" i="53"/>
  <c r="DMY3" i="53"/>
  <c r="DNT3" i="53"/>
  <c r="DPJ3" i="53"/>
  <c r="DQI3" i="53"/>
  <c r="DRA3" i="53"/>
  <c r="DST3" i="53"/>
  <c r="DTO3" i="53"/>
  <c r="DUJ3" i="53"/>
  <c r="DWD3" i="53"/>
  <c r="DWX3" i="53"/>
  <c r="DXV3" i="53"/>
  <c r="DZN3" i="53"/>
  <c r="EAO3" i="53"/>
  <c r="EDX3" i="53"/>
  <c r="EGQ3" i="53"/>
  <c r="ELU3" i="53"/>
  <c r="ENM3" i="53"/>
  <c r="EOK3" i="53"/>
  <c r="EQE3" i="53"/>
  <c r="EST3" i="53"/>
  <c r="EWH3" i="53"/>
  <c r="EXY3" i="53"/>
  <c r="FCK3" i="53"/>
  <c r="FDD3" i="53"/>
  <c r="FFA3" i="53"/>
  <c r="FFW3" i="53"/>
  <c r="FHO3" i="53"/>
  <c r="FJK3" i="53"/>
  <c r="FLH3" i="53"/>
  <c r="FMF3" i="53"/>
  <c r="FOD3" i="53"/>
  <c r="FPB3" i="53"/>
  <c r="FPW3" i="53"/>
  <c r="FRR3" i="53"/>
  <c r="FVR3" i="53"/>
  <c r="FWP3" i="53"/>
  <c r="GAQ3" i="53"/>
  <c r="GBM3" i="53"/>
  <c r="GGJ3" i="53"/>
  <c r="GKI3" i="53"/>
  <c r="GNG3" i="53"/>
  <c r="GPG3" i="53"/>
  <c r="GSF3" i="53"/>
  <c r="GTC3" i="53"/>
  <c r="GVG3" i="53"/>
  <c r="GWD3" i="53"/>
  <c r="GZC3" i="53"/>
  <c r="HBC3" i="53"/>
  <c r="HDZ3" i="53"/>
  <c r="HEW3" i="53"/>
  <c r="HFZ3" i="53"/>
  <c r="HGV3" i="53"/>
  <c r="HIV3" i="53"/>
  <c r="HJT3" i="53"/>
  <c r="HMU3" i="53"/>
  <c r="HNS3" i="53"/>
  <c r="HQQ3" i="53"/>
  <c r="HRT3" i="53"/>
  <c r="HSR3" i="53"/>
  <c r="HVP3" i="53"/>
  <c r="HWQ3" i="53"/>
  <c r="HXO3" i="53"/>
  <c r="HYQ3" i="53"/>
  <c r="IBI3" i="53"/>
  <c r="IDM3" i="53"/>
  <c r="IEJ3" i="53"/>
  <c r="IHI3" i="53"/>
  <c r="IJI3" i="53"/>
  <c r="IKF3" i="53"/>
  <c r="IMF3" i="53"/>
  <c r="IPE3" i="53"/>
  <c r="IQF3" i="53"/>
  <c r="IVE3" i="53"/>
  <c r="IWA3" i="53"/>
  <c r="IZZ3" i="53"/>
  <c r="JAX3" i="53"/>
  <c r="JDZ3" i="53"/>
  <c r="JGX3" i="53"/>
  <c r="JHX3" i="53"/>
  <c r="JND3" i="53"/>
  <c r="JOC3" i="53"/>
  <c r="JSJ3" i="53"/>
  <c r="JTH3" i="53"/>
  <c r="JXP3" i="53"/>
  <c r="JYM3" i="53"/>
  <c r="KCS3" i="53"/>
  <c r="KDQ3" i="53"/>
  <c r="KGU3" i="53"/>
  <c r="KHY3" i="53"/>
  <c r="KJE3" i="53"/>
  <c r="KKF3" i="53"/>
  <c r="KMO3" i="53"/>
  <c r="KRJ3" i="53"/>
  <c r="KSV3" i="53"/>
  <c r="LAC3" i="53"/>
  <c r="LEE3" i="53"/>
  <c r="LJV3" i="53"/>
  <c r="LMO3" i="53"/>
  <c r="LOD3" i="53"/>
  <c r="LPJ3" i="53"/>
  <c r="LQV3" i="53"/>
  <c r="LTQ3" i="53"/>
  <c r="LVE3" i="53"/>
  <c r="LWN3" i="53"/>
  <c r="LZP3" i="53"/>
  <c r="MDS3" i="53"/>
  <c r="MIC3" i="53"/>
  <c r="MJK3" i="53"/>
  <c r="MMJ3" i="53"/>
  <c r="MNR3" i="53"/>
  <c r="MQT3" i="53"/>
  <c r="MSF3" i="53"/>
  <c r="MUY3" i="53"/>
  <c r="MWM3" i="53"/>
  <c r="MZF3" i="53"/>
  <c r="NEY3" i="53"/>
  <c r="NKQ3" i="53"/>
  <c r="NNS3" i="53"/>
  <c r="NRV3" i="53"/>
  <c r="NXL3" i="53"/>
  <c r="OAP3" i="53"/>
  <c r="OEX3" i="53"/>
  <c r="OGD3" i="53"/>
  <c r="OHQ3" i="53"/>
  <c r="ONO3" i="53"/>
  <c r="OTS3" i="53"/>
  <c r="OXH3" i="53"/>
  <c r="PHY3" i="53"/>
  <c r="PLP3" i="53"/>
  <c r="PMY3" i="53"/>
  <c r="PQI3" i="53"/>
  <c r="PRT3" i="53"/>
  <c r="PTK3" i="53"/>
  <c r="PVA3" i="53"/>
  <c r="PYO3" i="53"/>
  <c r="QAF3" i="53"/>
  <c r="QBW3" i="53"/>
  <c r="QEA3" i="53"/>
  <c r="QHG3" i="53"/>
  <c r="QIZ3" i="53"/>
  <c r="QKZ3" i="53"/>
  <c r="QMX3" i="53"/>
  <c r="QQN3" i="53"/>
  <c r="QST3" i="53"/>
  <c r="RDI3" i="53"/>
  <c r="RFM3" i="53"/>
  <c r="RHJ3" i="53"/>
  <c r="RLY3" i="53"/>
  <c r="RSS3" i="53"/>
  <c r="RUU3" i="53"/>
  <c r="RXA3" i="53"/>
  <c r="SBU3" i="53"/>
  <c r="SIR3" i="53"/>
  <c r="SLD3" i="53"/>
  <c r="SPM3" i="53"/>
  <c r="SSE3" i="53"/>
  <c r="SUY3" i="53"/>
  <c r="SXG3" i="53"/>
  <c r="SZL3" i="53"/>
  <c r="TBU3" i="53"/>
  <c r="THH3" i="53"/>
  <c r="TMA3" i="53"/>
  <c r="TUL3" i="53"/>
  <c r="TWS3" i="53"/>
  <c r="UDD3" i="53"/>
  <c r="UGI3" i="53"/>
  <c r="UWO3" i="53"/>
  <c r="VAU3" i="53"/>
  <c r="VHN3" i="53"/>
  <c r="VLX3" i="53"/>
  <c r="VVM3" i="53"/>
  <c r="WFS3" i="53"/>
  <c r="WSH3" i="53"/>
  <c r="XDG3" i="53"/>
  <c r="RVZ3" i="53"/>
  <c r="WVE3" i="53"/>
  <c r="Y3" i="53"/>
  <c r="CB3" i="53"/>
  <c r="KL3" i="53"/>
  <c r="MN3" i="53"/>
  <c r="RK3" i="53"/>
  <c r="WJ3" i="53"/>
  <c r="YK3" i="53"/>
  <c r="ABH3" i="53"/>
  <c r="ACS3" i="53"/>
  <c r="AHK3" i="53"/>
  <c r="ALJ3" i="53"/>
  <c r="AQA3" i="53"/>
  <c r="ATD3" i="53"/>
  <c r="AUR3" i="53"/>
  <c r="AXY3" i="53"/>
  <c r="BEE3" i="53"/>
  <c r="BFR3" i="53"/>
  <c r="BIX3" i="53"/>
  <c r="BKM3" i="53"/>
  <c r="BMU3" i="53"/>
  <c r="BQC3" i="53"/>
  <c r="BSI3" i="53"/>
  <c r="BUT3" i="53"/>
  <c r="BXV3" i="53"/>
  <c r="CEG3" i="53"/>
  <c r="CFS3" i="53"/>
  <c r="CMD3" i="53"/>
  <c r="CPH3" i="53"/>
  <c r="CQZ3" i="53"/>
  <c r="CWU3" i="53"/>
  <c r="CYK3" i="53"/>
  <c r="DBS3" i="53"/>
  <c r="DHN3" i="53"/>
  <c r="DKZ3" i="53"/>
  <c r="DPB3" i="53"/>
  <c r="DRM3" i="53"/>
  <c r="DSK3" i="53"/>
  <c r="DXK3" i="53"/>
  <c r="DZD3" i="53"/>
  <c r="ENF3" i="53"/>
  <c r="EPS3" i="53"/>
  <c r="EUC3" i="53"/>
  <c r="EXQ3" i="53"/>
  <c r="FDR3" i="53"/>
  <c r="FGJ3" i="53"/>
  <c r="FID3" i="53"/>
  <c r="FKX3" i="53"/>
  <c r="FRJ3" i="53"/>
  <c r="FXE3" i="53"/>
  <c r="GAD3" i="53"/>
  <c r="GDE3" i="53"/>
  <c r="GFW3" i="53"/>
  <c r="GIX3" i="53"/>
  <c r="GLV3" i="53"/>
  <c r="GOT3" i="53"/>
  <c r="GQT3" i="53"/>
  <c r="GUS3" i="53"/>
  <c r="GZQ3" i="53"/>
  <c r="HEN3" i="53"/>
  <c r="HLJ3" i="53"/>
  <c r="HSD3" i="53"/>
  <c r="HXB3" i="53"/>
  <c r="HZD3" i="53"/>
  <c r="ICZ3" i="53"/>
  <c r="IHV3" i="53"/>
  <c r="IRR3" i="53"/>
  <c r="IVS3" i="53"/>
  <c r="JAJ3" i="53"/>
  <c r="JGN3" i="53"/>
  <c r="JMR3" i="53"/>
  <c r="KGG3" i="53"/>
  <c r="KJT3" i="53"/>
  <c r="KSD3" i="53"/>
  <c r="KUT3" i="53"/>
  <c r="LDL3" i="53"/>
  <c r="LGH3" i="53"/>
  <c r="LNJ3" i="53"/>
  <c r="LUJ3" i="53"/>
  <c r="MPX3" i="53"/>
  <c r="MVT3" i="53"/>
  <c r="NAB3" i="53"/>
  <c r="NCS3" i="53"/>
  <c r="NMY3" i="53"/>
  <c r="NPU3" i="53"/>
  <c r="NVP3" i="53"/>
  <c r="NYJ3" i="53"/>
  <c r="OBJ3" i="53"/>
  <c r="OFL3" i="53"/>
  <c r="OIM3" i="53"/>
  <c r="OTL3" i="53"/>
  <c r="OWI3" i="53"/>
  <c r="PFZ3" i="53"/>
  <c r="PJA3" i="53"/>
  <c r="PNW3" i="53"/>
  <c r="QLY3" i="53"/>
  <c r="RAB3" i="53"/>
  <c r="AB3" i="53"/>
  <c r="BK3" i="53"/>
  <c r="EF3" i="53"/>
  <c r="IK3" i="53"/>
  <c r="LF3" i="53"/>
  <c r="MQ3" i="53"/>
  <c r="PJ3" i="53"/>
  <c r="QU3" i="53"/>
  <c r="TO3" i="53"/>
  <c r="XU3" i="53"/>
  <c r="ACV3" i="53"/>
  <c r="AEF3" i="53"/>
  <c r="AIY3" i="53"/>
  <c r="AKO3" i="53"/>
  <c r="ANP3" i="53"/>
  <c r="AUS3" i="53"/>
  <c r="AZN3" i="53"/>
  <c r="BBB3" i="53"/>
  <c r="BBY3" i="53"/>
  <c r="BFA3" i="53"/>
  <c r="BID3" i="53"/>
  <c r="BLH3" i="53"/>
  <c r="BMW3" i="53"/>
  <c r="BPH3" i="53"/>
  <c r="BQU3" i="53"/>
  <c r="BUB3" i="53"/>
  <c r="BUU3" i="53"/>
  <c r="BVP3" i="53"/>
  <c r="BWH3" i="53"/>
  <c r="CBC3" i="53"/>
  <c r="CBU3" i="53"/>
  <c r="CCS3" i="53"/>
  <c r="CFB3" i="53"/>
  <c r="CIF3" i="53"/>
  <c r="CIY3" i="53"/>
  <c r="CLJ3" i="53"/>
  <c r="CNS3" i="53"/>
  <c r="CQH3" i="53"/>
  <c r="CSQ3" i="53"/>
  <c r="CUG3" i="53"/>
  <c r="CXR3" i="53"/>
  <c r="CZK3" i="53"/>
  <c r="DAC3" i="53"/>
  <c r="DBU3" i="53"/>
  <c r="DCP3" i="53"/>
  <c r="DEH3" i="53"/>
  <c r="DFY3" i="53"/>
  <c r="DIK3" i="53"/>
  <c r="DJI3" i="53"/>
  <c r="DKC3" i="53"/>
  <c r="DMO3" i="53"/>
  <c r="DOG3" i="53"/>
  <c r="DPE3" i="53"/>
  <c r="DTG3" i="53"/>
  <c r="DUB3" i="53"/>
  <c r="DVS3" i="53"/>
  <c r="DWP3" i="53"/>
  <c r="DXL3" i="53"/>
  <c r="EAB3" i="53"/>
  <c r="EAZ3" i="53"/>
  <c r="EBW3" i="53"/>
  <c r="EDN3" i="53"/>
  <c r="EEL3" i="53"/>
  <c r="EFG3" i="53"/>
  <c r="EHE3" i="53"/>
  <c r="EIV3" i="53"/>
  <c r="EJQ3" i="53"/>
  <c r="EKO3" i="53"/>
  <c r="ELJ3" i="53"/>
  <c r="EMJ3" i="53"/>
  <c r="EOY3" i="53"/>
  <c r="ERO3" i="53"/>
  <c r="ESM3" i="53"/>
  <c r="EUD3" i="53"/>
  <c r="EVX3" i="53"/>
  <c r="EWW3" i="53"/>
  <c r="EYO3" i="53"/>
  <c r="EZI3" i="53"/>
  <c r="FBG3" i="53"/>
  <c r="FCB3" i="53"/>
  <c r="FCZ3" i="53"/>
  <c r="FEQ3" i="53"/>
  <c r="FFO3" i="53"/>
  <c r="FHJ3" i="53"/>
  <c r="FJD3" i="53"/>
  <c r="FMT3" i="53"/>
  <c r="FQL3" i="53"/>
  <c r="FTH3" i="53"/>
  <c r="FVG3" i="53"/>
  <c r="FYF3" i="53"/>
  <c r="FZC3" i="53"/>
  <c r="GBG3" i="53"/>
  <c r="GEA3" i="53"/>
  <c r="GFC3" i="53"/>
  <c r="GHC3" i="53"/>
  <c r="GJZ3" i="53"/>
  <c r="GKW3" i="53"/>
  <c r="GLZ3" i="53"/>
  <c r="GMV3" i="53"/>
  <c r="GOV3" i="53"/>
  <c r="GPT3" i="53"/>
  <c r="GRU3" i="53"/>
  <c r="GSU3" i="53"/>
  <c r="GWQ3" i="53"/>
  <c r="GXT3" i="53"/>
  <c r="GYR3" i="53"/>
  <c r="HBP3" i="53"/>
  <c r="HCQ3" i="53"/>
  <c r="HDP3" i="53"/>
  <c r="HGM3" i="53"/>
  <c r="HHI3" i="53"/>
  <c r="HJM3" i="53"/>
  <c r="HKK3" i="53"/>
  <c r="HNI3" i="53"/>
  <c r="HPI3" i="53"/>
  <c r="HQF3" i="53"/>
  <c r="HSF3" i="53"/>
  <c r="HUH3" i="53"/>
  <c r="HVE3" i="53"/>
  <c r="IBE3" i="53"/>
  <c r="ICA3" i="53"/>
  <c r="IFZ3" i="53"/>
  <c r="IGX3" i="53"/>
  <c r="ILV3" i="53"/>
  <c r="IPU3" i="53"/>
  <c r="ISS3" i="53"/>
  <c r="ITQ3" i="53"/>
  <c r="IXQ3" i="53"/>
  <c r="IYP3" i="53"/>
  <c r="JAQ3" i="53"/>
  <c r="JBP3" i="53"/>
  <c r="JEM3" i="53"/>
  <c r="JHP3" i="53"/>
  <c r="JIN3" i="53"/>
  <c r="JJO3" i="53"/>
  <c r="JLR3" i="53"/>
  <c r="JNT3" i="53"/>
  <c r="JOR3" i="53"/>
  <c r="JQV3" i="53"/>
  <c r="JSZ3" i="53"/>
  <c r="JTY3" i="53"/>
  <c r="JXB3" i="53"/>
  <c r="JYF3" i="53"/>
  <c r="JZE3" i="53"/>
  <c r="KBD3" i="53"/>
  <c r="KCH3" i="53"/>
  <c r="KDD3" i="53"/>
  <c r="KEJ3" i="53"/>
  <c r="KHO3" i="53"/>
  <c r="KIP3" i="53"/>
  <c r="KJX3" i="53"/>
  <c r="KKX3" i="53"/>
  <c r="KOL3" i="53"/>
  <c r="KRD3" i="53"/>
  <c r="KVW3" i="53"/>
  <c r="KXD3" i="53"/>
  <c r="KZO3" i="53"/>
  <c r="LAW3" i="53"/>
  <c r="LKS3" i="53"/>
  <c r="LLY3" i="53"/>
  <c r="LQF3" i="53"/>
  <c r="LRS3" i="53"/>
  <c r="LWD3" i="53"/>
  <c r="LYT3" i="53"/>
  <c r="MAG3" i="53"/>
  <c r="MDC3" i="53"/>
  <c r="MFY3" i="53"/>
  <c r="MHN3" i="53"/>
  <c r="MIW3" i="53"/>
  <c r="MKG3" i="53"/>
  <c r="MLP3" i="53"/>
  <c r="MNI3" i="53"/>
  <c r="MRN3" i="53"/>
  <c r="MTC3" i="53"/>
  <c r="MUK3" i="53"/>
  <c r="MVU3" i="53"/>
  <c r="MXE3" i="53"/>
  <c r="MYR3" i="53"/>
  <c r="NEN3" i="53"/>
  <c r="NFZ3" i="53"/>
  <c r="NHF3" i="53"/>
  <c r="NIR3" i="53"/>
  <c r="NMZ3" i="53"/>
  <c r="NOK3" i="53"/>
  <c r="NRG3" i="53"/>
  <c r="NSR3" i="53"/>
  <c r="NUA3" i="53"/>
  <c r="NXD3" i="53"/>
  <c r="NZY3" i="53"/>
  <c r="OBL3" i="53"/>
  <c r="OFN3" i="53"/>
  <c r="OHA3" i="53"/>
  <c r="OKA3" i="53"/>
  <c r="OND3" i="53"/>
  <c r="OOQ3" i="53"/>
  <c r="ORQ3" i="53"/>
  <c r="OXY3" i="53"/>
  <c r="PCS3" i="53"/>
  <c r="PEF3" i="53"/>
  <c r="PHU3" i="53"/>
  <c r="PWE3" i="53"/>
  <c r="PZP3" i="53"/>
  <c r="QCZ3" i="53"/>
  <c r="QEU3" i="53"/>
  <c r="QGS3" i="53"/>
  <c r="QIH3" i="53"/>
  <c r="QKA3" i="53"/>
  <c r="QMA3" i="53"/>
  <c r="QPV3" i="53"/>
  <c r="QRP3" i="53"/>
  <c r="RGT3" i="53"/>
  <c r="RKV3" i="53"/>
  <c r="RNJ3" i="53"/>
  <c r="RPO3" i="53"/>
  <c r="RTR3" i="53"/>
  <c r="RWE3" i="53"/>
  <c r="RYL3" i="53"/>
  <c r="SFO3" i="53"/>
  <c r="SJZ3" i="53"/>
  <c r="SMG3" i="53"/>
  <c r="SRG3" i="53"/>
  <c r="SWG3" i="53"/>
  <c r="SYY3" i="53"/>
  <c r="TBI3" i="53"/>
  <c r="TDP3" i="53"/>
  <c r="TIZ3" i="53"/>
  <c r="TQK3" i="53"/>
  <c r="TWH3" i="53"/>
  <c r="TYU3" i="53"/>
  <c r="UFB3" i="53"/>
  <c r="UIM3" i="53"/>
  <c r="UOQ3" i="53"/>
  <c r="USE3" i="53"/>
  <c r="UVA3" i="53"/>
  <c r="VKB3" i="53"/>
  <c r="VZI3" i="53"/>
  <c r="WPH3" i="53"/>
  <c r="CE3" i="53"/>
  <c r="CV3" i="53"/>
  <c r="FS3" i="53"/>
  <c r="GI3" i="53"/>
  <c r="HA3" i="53"/>
  <c r="JU3" i="53"/>
  <c r="KM3" i="53"/>
  <c r="LG3" i="53"/>
  <c r="LX3" i="53"/>
  <c r="NI3" i="53"/>
  <c r="NZ3" i="53"/>
  <c r="OT3" i="53"/>
  <c r="RL3" i="53"/>
  <c r="SY3" i="53"/>
  <c r="UZ3" i="53"/>
  <c r="VR3" i="53"/>
  <c r="WK3" i="53"/>
  <c r="YM3" i="53"/>
  <c r="ZE3" i="53"/>
  <c r="ZX3" i="53"/>
  <c r="ABI3" i="53"/>
  <c r="AFX3" i="53"/>
  <c r="AGQ3" i="53"/>
  <c r="AHL3" i="53"/>
  <c r="AIC3" i="53"/>
  <c r="ALK3" i="53"/>
  <c r="APH3" i="53"/>
  <c r="AQB3" i="53"/>
  <c r="ARO3" i="53"/>
  <c r="ASM3" i="53"/>
  <c r="ATE3" i="53"/>
  <c r="AUU3" i="53"/>
  <c r="AVO3" i="53"/>
  <c r="AWI3" i="53"/>
  <c r="AXZ3" i="53"/>
  <c r="AYS3" i="53"/>
  <c r="BAG3" i="53"/>
  <c r="BBZ3" i="53"/>
  <c r="BDM3" i="53"/>
  <c r="BEF3" i="53"/>
  <c r="BGQ3" i="53"/>
  <c r="BIZ3" i="53"/>
  <c r="BJS3" i="53"/>
  <c r="BKQ3" i="53"/>
  <c r="BME3" i="53"/>
  <c r="BON3" i="53"/>
  <c r="BQD3" i="53"/>
  <c r="BRQ3" i="53"/>
  <c r="BTG3" i="53"/>
  <c r="BVQ3" i="53"/>
  <c r="BXD3" i="53"/>
  <c r="BYA3" i="53"/>
  <c r="BYT3" i="53"/>
  <c r="CAH3" i="53"/>
  <c r="CDN3" i="53"/>
  <c r="CEH3" i="53"/>
  <c r="CFV3" i="53"/>
  <c r="CGS3" i="53"/>
  <c r="CHK3" i="53"/>
  <c r="CJA3" i="53"/>
  <c r="CJU3" i="53"/>
  <c r="CKO3" i="53"/>
  <c r="CMF3" i="53"/>
  <c r="CMX3" i="53"/>
  <c r="COM3" i="53"/>
  <c r="CRA3" i="53"/>
  <c r="CTN3" i="53"/>
  <c r="CUL3" i="53"/>
  <c r="CVG3" i="53"/>
  <c r="CWV3" i="53"/>
  <c r="CYL3" i="53"/>
  <c r="DAG3" i="53"/>
  <c r="DBA3" i="53"/>
  <c r="DDM3" i="53"/>
  <c r="DFF3" i="53"/>
  <c r="DGV3" i="53"/>
  <c r="DIM3" i="53"/>
  <c r="DLA3" i="53"/>
  <c r="DLS3" i="53"/>
  <c r="DMP3" i="53"/>
  <c r="DNO3" i="53"/>
  <c r="DOH3" i="53"/>
  <c r="DPY3" i="53"/>
  <c r="DRN3" i="53"/>
  <c r="DSL3" i="53"/>
  <c r="DUZ3" i="53"/>
  <c r="DWS3" i="53"/>
  <c r="DYJ3" i="53"/>
  <c r="EAD3" i="53"/>
  <c r="EBX3" i="53"/>
  <c r="ECU3" i="53"/>
  <c r="EGF3" i="53"/>
  <c r="EHZ3" i="53"/>
  <c r="EOB3" i="53"/>
  <c r="EQU3" i="53"/>
  <c r="ETI3" i="53"/>
  <c r="EVB3" i="53"/>
  <c r="EZK3" i="53"/>
  <c r="FAI3" i="53"/>
  <c r="FDU3" i="53"/>
  <c r="FFS3" i="53"/>
  <c r="FGL3" i="53"/>
  <c r="FIE3" i="53"/>
  <c r="FJY3" i="53"/>
  <c r="FKZ3" i="53"/>
  <c r="FNU3" i="53"/>
  <c r="FOQ3" i="53"/>
  <c r="FPR3" i="53"/>
  <c r="FRK3" i="53"/>
  <c r="FUH3" i="53"/>
  <c r="FWI3" i="53"/>
  <c r="FXF3" i="53"/>
  <c r="GAE3" i="53"/>
  <c r="GDF3" i="53"/>
  <c r="GEC3" i="53"/>
  <c r="GID3" i="53"/>
  <c r="GIZ3" i="53"/>
  <c r="GMZ3" i="53"/>
  <c r="GNX3" i="53"/>
  <c r="GQV3" i="53"/>
  <c r="GUT3" i="53"/>
  <c r="GWU3" i="53"/>
  <c r="GZS3" i="53"/>
  <c r="HAQ3" i="53"/>
  <c r="HFM3" i="53"/>
  <c r="HGP3" i="53"/>
  <c r="HIO3" i="53"/>
  <c r="HLM3" i="53"/>
  <c r="HMI3" i="53"/>
  <c r="HNM3" i="53"/>
  <c r="HOI3" i="53"/>
  <c r="HQH3" i="53"/>
  <c r="HRH3" i="53"/>
  <c r="HTG3" i="53"/>
  <c r="HXC3" i="53"/>
  <c r="HYE3" i="53"/>
  <c r="HZG3" i="53"/>
  <c r="IAD3" i="53"/>
  <c r="IDC3" i="53"/>
  <c r="IED3" i="53"/>
  <c r="IFC3" i="53"/>
  <c r="IHZ3" i="53"/>
  <c r="IIW3" i="53"/>
  <c r="IKZ3" i="53"/>
  <c r="IOV3" i="53"/>
  <c r="IQU3" i="53"/>
  <c r="IRT3" i="53"/>
  <c r="ITS3" i="53"/>
  <c r="IVT3" i="53"/>
  <c r="IWR3" i="53"/>
  <c r="IZP3" i="53"/>
  <c r="JCQ3" i="53"/>
  <c r="JDM3" i="53"/>
  <c r="JFK3" i="53"/>
  <c r="JGP3" i="53"/>
  <c r="JJT3" i="53"/>
  <c r="JKQ3" i="53"/>
  <c r="JLV3" i="53"/>
  <c r="JMS3" i="53"/>
  <c r="JPV3" i="53"/>
  <c r="JRY3" i="53"/>
  <c r="JVB3" i="53"/>
  <c r="JVZ3" i="53"/>
  <c r="KAH3" i="53"/>
  <c r="KBG3" i="53"/>
  <c r="KFN3" i="53"/>
  <c r="KNL3" i="53"/>
  <c r="KSG3" i="53"/>
  <c r="KTL3" i="53"/>
  <c r="KUV3" i="53"/>
  <c r="KYH3" i="53"/>
  <c r="LDN3" i="53"/>
  <c r="LFD3" i="53"/>
  <c r="LGN3" i="53"/>
  <c r="LHS3" i="53"/>
  <c r="LJD3" i="53"/>
  <c r="LOV3" i="53"/>
  <c r="LUK3" i="53"/>
  <c r="LXR3" i="53"/>
  <c r="MBY3" i="53"/>
  <c r="MER3" i="53"/>
  <c r="MKM3" i="53"/>
  <c r="MOU3" i="53"/>
  <c r="MQB3" i="53"/>
  <c r="NAD3" i="53"/>
  <c r="NCV3" i="53"/>
  <c r="NGA3" i="53"/>
  <c r="NKH3" i="53"/>
  <c r="NLO3" i="53"/>
  <c r="NNB3" i="53"/>
  <c r="NPX3" i="53"/>
  <c r="NUB3" i="53"/>
  <c r="NVT3" i="53"/>
  <c r="NYL3" i="53"/>
  <c r="OCT3" i="53"/>
  <c r="OIN3" i="53"/>
  <c r="OLK3" i="53"/>
  <c r="OOU3" i="53"/>
  <c r="OQD3" i="53"/>
  <c r="OTN3" i="53"/>
  <c r="OUW3" i="53"/>
  <c r="OWN3" i="53"/>
  <c r="OZQ3" i="53"/>
  <c r="PBG3" i="53"/>
  <c r="PGD3" i="53"/>
  <c r="PJE3" i="53"/>
  <c r="PKV3" i="53"/>
  <c r="PNX3" i="53"/>
  <c r="PPO3" i="53"/>
  <c r="PRB3" i="53"/>
  <c r="PSV3" i="53"/>
  <c r="PXY3" i="53"/>
  <c r="PZW3" i="53"/>
  <c r="QBH3" i="53"/>
  <c r="QDC3" i="53"/>
  <c r="QOA3" i="53"/>
  <c r="QQA3" i="53"/>
  <c r="QWG3" i="53"/>
  <c r="QYH3" i="53"/>
  <c r="RAE3" i="53"/>
  <c r="RCG3" i="53"/>
  <c r="REQ3" i="53"/>
  <c r="SAS3" i="53"/>
  <c r="SDB3" i="53"/>
  <c r="SRH3" i="53"/>
  <c r="STS3" i="53"/>
  <c r="SZA3" i="53"/>
  <c r="TGA3" i="53"/>
  <c r="TJB3" i="53"/>
  <c r="TLP3" i="53"/>
  <c r="UBT3" i="53"/>
  <c r="UFF3" i="53"/>
  <c r="ULY3" i="53"/>
  <c r="UVO3" i="53"/>
  <c r="UZD3" i="53"/>
  <c r="VCS3" i="53"/>
  <c r="VGV3" i="53"/>
  <c r="VTO3" i="53"/>
  <c r="XBT3" i="53"/>
  <c r="AU3" i="53"/>
  <c r="BM3" i="53"/>
  <c r="EG3" i="53"/>
  <c r="EY3" i="53"/>
  <c r="FT3" i="53"/>
  <c r="HU3" i="53"/>
  <c r="IL3" i="53"/>
  <c r="JF3" i="53"/>
  <c r="LY3" i="53"/>
  <c r="MS3" i="53"/>
  <c r="NK3" i="53"/>
  <c r="PL3" i="53"/>
  <c r="QD3" i="53"/>
  <c r="QW3" i="53"/>
  <c r="TQ3" i="53"/>
  <c r="UJ3" i="53"/>
  <c r="XB3" i="53"/>
  <c r="XV3" i="53"/>
  <c r="YO3" i="53"/>
  <c r="AAP3" i="53"/>
  <c r="ACB3" i="53"/>
  <c r="ACW3" i="53"/>
  <c r="ADO3" i="53"/>
  <c r="AEI3" i="53"/>
  <c r="AFC3" i="53"/>
  <c r="AHM3" i="53"/>
  <c r="AIG3" i="53"/>
  <c r="AIZ3" i="53"/>
  <c r="AJW3" i="53"/>
  <c r="AKP3" i="53"/>
  <c r="AMY3" i="53"/>
  <c r="ANU3" i="53"/>
  <c r="AON3" i="53"/>
  <c r="AQX3" i="53"/>
  <c r="ATG3" i="53"/>
  <c r="AUA3" i="53"/>
  <c r="AWL3" i="53"/>
  <c r="AXF3" i="53"/>
  <c r="AZO3" i="53"/>
  <c r="BBE3" i="53"/>
  <c r="BCR3" i="53"/>
  <c r="BFB3" i="53"/>
  <c r="BFY3" i="53"/>
  <c r="BGR3" i="53"/>
  <c r="BHM3" i="53"/>
  <c r="BIE3" i="53"/>
  <c r="BLL3" i="53"/>
  <c r="BNA3" i="53"/>
  <c r="BNS3" i="53"/>
  <c r="BOP3" i="53"/>
  <c r="BPI3" i="53"/>
  <c r="BQY3" i="53"/>
  <c r="BSL3" i="53"/>
  <c r="BUC3" i="53"/>
  <c r="BUV3" i="53"/>
  <c r="BWI3" i="53"/>
  <c r="BZQ3" i="53"/>
  <c r="CAI3" i="53"/>
  <c r="CBE3" i="53"/>
  <c r="CCA3" i="53"/>
  <c r="CCT3" i="53"/>
  <c r="CFD3" i="53"/>
  <c r="CGT3" i="53"/>
  <c r="CHN3" i="53"/>
  <c r="CIG3" i="53"/>
  <c r="CKQ3" i="53"/>
  <c r="CLK3" i="53"/>
  <c r="CNT3" i="53"/>
  <c r="COO3" i="53"/>
  <c r="CQI3" i="53"/>
  <c r="CSR3" i="53"/>
  <c r="CZL3" i="53"/>
  <c r="DCQ3" i="53"/>
  <c r="DEI3" i="53"/>
  <c r="DGB3" i="53"/>
  <c r="DQV3" i="53"/>
  <c r="DUC3" i="53"/>
  <c r="EEM3" i="53"/>
  <c r="EIX3" i="53"/>
  <c r="EKP3" i="53"/>
  <c r="ELP3" i="53"/>
  <c r="ENI3" i="53"/>
  <c r="ESN3" i="53"/>
  <c r="EUE3" i="53"/>
  <c r="EVZ3" i="53"/>
  <c r="FBH3" i="53"/>
  <c r="FDA3" i="53"/>
  <c r="FFT3" i="53"/>
  <c r="FMV3" i="53"/>
  <c r="FTI3" i="53"/>
  <c r="FYG3" i="53"/>
  <c r="GBH3" i="53"/>
  <c r="GGG3" i="53"/>
  <c r="GKX3" i="53"/>
  <c r="GPV3" i="53"/>
  <c r="GSX3" i="53"/>
  <c r="GXU3" i="53"/>
  <c r="HER3" i="53"/>
  <c r="HJQ3" i="53"/>
  <c r="HOM3" i="53"/>
  <c r="HWG3" i="53"/>
  <c r="HYG3" i="53"/>
  <c r="ICC3" i="53"/>
  <c r="IOZ3" i="53"/>
  <c r="IRV3" i="53"/>
  <c r="JHT3" i="53"/>
  <c r="JQY3" i="53"/>
  <c r="KLD3" i="53"/>
  <c r="KPZ3" i="53"/>
  <c r="KVX3" i="53"/>
  <c r="LAZ3" i="53"/>
  <c r="LGP3" i="53"/>
  <c r="LLZ3" i="53"/>
  <c r="LQN3" i="53"/>
  <c r="LYX3" i="53"/>
  <c r="MGI3" i="53"/>
  <c r="MYW3" i="53"/>
  <c r="NEO3" i="53"/>
  <c r="NXF3" i="53"/>
  <c r="OCU3" i="53"/>
  <c r="PES3" i="53"/>
  <c r="PLA3" i="53"/>
  <c r="PSY3" i="53"/>
  <c r="RJE3" i="53"/>
  <c r="SFR3" i="53"/>
  <c r="WVY3" i="53"/>
  <c r="K3" i="53"/>
  <c r="DP3" i="53"/>
  <c r="OA3" i="53"/>
  <c r="SZ3" i="53"/>
  <c r="VA3" i="53"/>
  <c r="ZI3" i="53"/>
  <c r="ABK3" i="53"/>
  <c r="AFY3" i="53"/>
  <c r="AMD3" i="53"/>
  <c r="ANW3" i="53"/>
  <c r="AQC3" i="53"/>
  <c r="ARQ3" i="53"/>
  <c r="AUX3" i="53"/>
  <c r="AWN3" i="53"/>
  <c r="AYB3" i="53"/>
  <c r="BEG3" i="53"/>
  <c r="BHO3" i="53"/>
  <c r="BJA3" i="53"/>
  <c r="BKR3" i="53"/>
  <c r="BMF3" i="53"/>
  <c r="BQE3" i="53"/>
  <c r="BVR3" i="53"/>
  <c r="BYU3" i="53"/>
  <c r="CCC3" i="53"/>
  <c r="CDP3" i="53"/>
  <c r="CJV3" i="53"/>
  <c r="CLL3" i="53"/>
  <c r="CQJ3" i="53"/>
  <c r="CUN3" i="53"/>
  <c r="CWW3" i="53"/>
  <c r="DDQ3" i="53"/>
  <c r="DIN3" i="53"/>
  <c r="DLB3" i="53"/>
  <c r="DNQ3" i="53"/>
  <c r="DRU3" i="53"/>
  <c r="DVU3" i="53"/>
  <c r="DYK3" i="53"/>
  <c r="EBD3" i="53"/>
  <c r="ECW3" i="53"/>
  <c r="EEN3" i="53"/>
  <c r="EQA3" i="53"/>
  <c r="EWC3" i="53"/>
  <c r="EXU3" i="53"/>
  <c r="EZO3" i="53"/>
  <c r="FMB3" i="53"/>
  <c r="FPS3" i="53"/>
  <c r="GJC3" i="53"/>
  <c r="GRA3" i="53"/>
  <c r="GUV3" i="53"/>
  <c r="HHS3" i="53"/>
  <c r="HUJ3" i="53"/>
  <c r="HZH3" i="53"/>
  <c r="IDD3" i="53"/>
  <c r="ILD3" i="53"/>
  <c r="IWS3" i="53"/>
  <c r="JMX3" i="53"/>
  <c r="JRC3" i="53"/>
  <c r="JUD3" i="53"/>
  <c r="JYH3" i="53"/>
  <c r="KBH3" i="53"/>
  <c r="KDN3" i="53"/>
  <c r="KGN3" i="53"/>
  <c r="KLH3" i="53"/>
  <c r="KNO3" i="53"/>
  <c r="KSH3" i="53"/>
  <c r="KWB3" i="53"/>
  <c r="LRX3" i="53"/>
  <c r="LXS3" i="53"/>
  <c r="MAN3" i="53"/>
  <c r="MDJ3" i="53"/>
  <c r="MQE3" i="53"/>
  <c r="NDJ3" i="53"/>
  <c r="NHI3" i="53"/>
  <c r="NKI3" i="53"/>
  <c r="NQC3" i="53"/>
  <c r="OKH3" i="53"/>
  <c r="OQE3" i="53"/>
  <c r="PJG3" i="53"/>
  <c r="QQG3" i="53"/>
  <c r="QYO3" i="53"/>
  <c r="RER3" i="53"/>
  <c r="RLQ3" i="53"/>
  <c r="RRY3" i="53"/>
  <c r="RWQ3" i="53"/>
  <c r="SHX3" i="53"/>
  <c r="SZC3" i="53"/>
  <c r="TJC3" i="53"/>
  <c r="UTA3" i="53"/>
  <c r="AV3" i="53"/>
  <c r="FB3" i="53"/>
  <c r="JG3" i="53"/>
  <c r="NL3" i="53"/>
  <c r="PM3" i="53"/>
  <c r="QX3" i="53"/>
  <c r="TT3" i="53"/>
  <c r="VC3" i="53"/>
  <c r="XX3" i="53"/>
  <c r="ZJ3" i="53"/>
  <c r="ACC3" i="53"/>
  <c r="ADP3" i="53"/>
  <c r="AGT3" i="53"/>
  <c r="AKQ3" i="53"/>
  <c r="ARV3" i="53"/>
  <c r="ATK3" i="53"/>
  <c r="AYV3" i="53"/>
  <c r="BBF3" i="53"/>
  <c r="BGA3" i="53"/>
  <c r="BMG3" i="53"/>
  <c r="BOQ3" i="53"/>
  <c r="BSQ3" i="53"/>
  <c r="BWM3" i="53"/>
  <c r="CGA3" i="53"/>
  <c r="CIH3" i="53"/>
  <c r="CMI3" i="53"/>
  <c r="CNU3" i="53"/>
  <c r="CPN3" i="53"/>
  <c r="CZM3" i="53"/>
  <c r="DGD3" i="53"/>
  <c r="DLX3" i="53"/>
  <c r="DPG3" i="53"/>
  <c r="DSO3" i="53"/>
  <c r="EFM3" i="53"/>
  <c r="EIZ3" i="53"/>
  <c r="ENJ3" i="53"/>
  <c r="EQC3" i="53"/>
  <c r="ETM3" i="53"/>
  <c r="EWY3" i="53"/>
  <c r="FDB3" i="53"/>
  <c r="FFU3" i="53"/>
  <c r="FHL3" i="53"/>
  <c r="FMW3" i="53"/>
  <c r="FSN3" i="53"/>
  <c r="FUN3" i="53"/>
  <c r="FXJ3" i="53"/>
  <c r="GGH3" i="53"/>
  <c r="GSY3" i="53"/>
  <c r="HES3" i="53"/>
  <c r="IBG3" i="53"/>
  <c r="IHC3" i="53"/>
  <c r="IJG3" i="53"/>
  <c r="INX3" i="53"/>
  <c r="ISV3" i="53"/>
  <c r="JFT3" i="53"/>
  <c r="JHV3" i="53"/>
  <c r="JNZ3" i="53"/>
  <c r="JWF3" i="53"/>
  <c r="KSK3" i="53"/>
  <c r="KYR3" i="53"/>
  <c r="LCN3" i="53"/>
  <c r="LTM3" i="53"/>
  <c r="MOW3" i="53"/>
  <c r="MRT3" i="53"/>
  <c r="MVX3" i="53"/>
  <c r="NBU3" i="53"/>
  <c r="NUP3" i="53"/>
  <c r="ODA3" i="53"/>
  <c r="OLY3" i="53"/>
  <c r="OVB3" i="53"/>
  <c r="OYM3" i="53"/>
  <c r="PDD3" i="53"/>
  <c r="PHW3" i="53"/>
  <c r="PMQ3" i="53"/>
  <c r="PRO3" i="53"/>
  <c r="QBN3" i="53"/>
  <c r="QHA3" i="53"/>
  <c r="QMH3" i="53"/>
  <c r="RCY3" i="53"/>
  <c r="RJI3" i="53"/>
  <c r="RUM3" i="53"/>
  <c r="SMY3" i="53"/>
  <c r="SWY3" i="53"/>
  <c r="TDX3" i="53"/>
  <c r="TJI3" i="53"/>
  <c r="TWO3" i="53"/>
  <c r="WFI3" i="53"/>
  <c r="WWA3" i="53"/>
  <c r="AF3" i="53"/>
  <c r="CX3" i="53"/>
  <c r="HW3" i="53"/>
  <c r="JY3" i="53"/>
  <c r="LJ3" i="53"/>
  <c r="OE3" i="53"/>
  <c r="PN3" i="53"/>
  <c r="QY3" i="53"/>
  <c r="SI3" i="53"/>
  <c r="TU3" i="53"/>
  <c r="VW3" i="53"/>
  <c r="ZZ3" i="53"/>
  <c r="AAS3" i="53"/>
  <c r="ACE3" i="53"/>
  <c r="AFZ3" i="53"/>
  <c r="AJD3" i="53"/>
  <c r="AKS3" i="53"/>
  <c r="AMG3" i="53"/>
  <c r="ANY3" i="53"/>
  <c r="APK3" i="53"/>
  <c r="ATL3" i="53"/>
  <c r="AUY3" i="53"/>
  <c r="AVR3" i="53"/>
  <c r="AYC3" i="53"/>
  <c r="BCB3" i="53"/>
  <c r="BDP3" i="53"/>
  <c r="BFE3" i="53"/>
  <c r="BKA3" i="53"/>
  <c r="BNC3" i="53"/>
  <c r="BQF3" i="53"/>
  <c r="BRT3" i="53"/>
  <c r="BUY3" i="53"/>
  <c r="BXJ3" i="53"/>
  <c r="BYW3" i="53"/>
  <c r="CEJ3" i="53"/>
  <c r="CHQ3" i="53"/>
  <c r="CJD3" i="53"/>
  <c r="CKU3" i="53"/>
  <c r="CSU3" i="53"/>
  <c r="CUO3" i="53"/>
  <c r="DBD3" i="53"/>
  <c r="DDS3" i="53"/>
  <c r="DFH3" i="53"/>
  <c r="DIS3" i="53"/>
  <c r="DKH3" i="53"/>
  <c r="DMU3" i="53"/>
  <c r="DOK3" i="53"/>
  <c r="DQC3" i="53"/>
  <c r="DSQ3" i="53"/>
  <c r="DYN3" i="53"/>
  <c r="EAF3" i="53"/>
  <c r="ECB3" i="53"/>
  <c r="EEP3" i="53"/>
  <c r="EKU3" i="53"/>
  <c r="EMM3" i="53"/>
  <c r="EPD3" i="53"/>
  <c r="EQW3" i="53"/>
  <c r="ESP3" i="53"/>
  <c r="EWF3" i="53"/>
  <c r="FDZ3" i="53"/>
  <c r="FGP3" i="53"/>
  <c r="FIJ3" i="53"/>
  <c r="FKI3" i="53"/>
  <c r="FNW3" i="53"/>
  <c r="FPT3" i="53"/>
  <c r="FXN3" i="53"/>
  <c r="FZM3" i="53"/>
  <c r="GDH3" i="53"/>
  <c r="GFH3" i="53"/>
  <c r="GJD3" i="53"/>
  <c r="GLH3" i="53"/>
  <c r="GPD3" i="53"/>
  <c r="GRC3" i="53"/>
  <c r="GTZ3" i="53"/>
  <c r="GWA3" i="53"/>
  <c r="GYW3" i="53"/>
  <c r="HDT3" i="53"/>
  <c r="HFT3" i="53"/>
  <c r="HIS3" i="53"/>
  <c r="HLP3" i="53"/>
  <c r="HOR3" i="53"/>
  <c r="HRJ3" i="53"/>
  <c r="HTN3" i="53"/>
  <c r="HZJ3" i="53"/>
  <c r="ICF3" i="53"/>
  <c r="IFE3" i="53"/>
  <c r="ILE3" i="53"/>
  <c r="IQZ3" i="53"/>
  <c r="IXV3" i="53"/>
  <c r="IZU3" i="53"/>
  <c r="JJW3" i="53"/>
  <c r="JPY3" i="53"/>
  <c r="JVD3" i="53"/>
  <c r="JXG3" i="53"/>
  <c r="KAK3" i="53"/>
  <c r="KGP3" i="53"/>
  <c r="KLI3" i="53"/>
  <c r="KNP3" i="53"/>
  <c r="KTT3" i="53"/>
  <c r="LBF3" i="53"/>
  <c r="LFH3" i="53"/>
  <c r="LGR3" i="53"/>
  <c r="LKW3" i="53"/>
  <c r="LNP3" i="53"/>
  <c r="LXT3" i="53"/>
  <c r="MCA3" i="53"/>
  <c r="MET3" i="53"/>
  <c r="MJG3" i="53"/>
  <c r="MNN3" i="53"/>
  <c r="MUT3" i="53"/>
  <c r="MXR3" i="53"/>
  <c r="NAJ3" i="53"/>
  <c r="NDK3" i="53"/>
  <c r="NHN3" i="53"/>
  <c r="NVX3" i="53"/>
  <c r="NYU3" i="53"/>
  <c r="OBR3" i="53"/>
  <c r="OKI3" i="53"/>
  <c r="OSA3" i="53"/>
  <c r="OVJ3" i="53"/>
  <c r="OYN3" i="53"/>
  <c r="PTH3" i="53"/>
  <c r="PYI3" i="53"/>
  <c r="QAA3" i="53"/>
  <c r="QHD3" i="53"/>
  <c r="QKK3" i="53"/>
  <c r="QMK3" i="53"/>
  <c r="QQH3" i="53"/>
  <c r="QSI3" i="53"/>
  <c r="QWI3" i="53"/>
  <c r="QYS3" i="53"/>
  <c r="RDC3" i="53"/>
  <c r="RLS3" i="53"/>
  <c r="RPV3" i="53"/>
  <c r="RYO3" i="53"/>
  <c r="SAY3" i="53"/>
  <c r="SDR3" i="53"/>
  <c r="SFZ3" i="53"/>
  <c r="SKE3" i="53"/>
  <c r="SMZ3" i="53"/>
  <c r="SRY3" i="53"/>
  <c r="SUB3" i="53"/>
  <c r="TEI3" i="53"/>
  <c r="TJK3" i="53"/>
  <c r="TOK3" i="53"/>
  <c r="TTT3" i="53"/>
  <c r="TZI3" i="53"/>
  <c r="UGF3" i="53"/>
  <c r="UMC3" i="53"/>
  <c r="UPZ3" i="53"/>
  <c r="UTF3" i="53"/>
  <c r="UZM3" i="53"/>
  <c r="VDL3" i="53"/>
  <c r="WAF3" i="53"/>
  <c r="WKE3" i="53"/>
  <c r="BQ3" i="53"/>
  <c r="JH3" i="53"/>
  <c r="NM3" i="53"/>
  <c r="QH3" i="53"/>
  <c r="RT3" i="53"/>
  <c r="UL3" i="53"/>
  <c r="YR3" i="53"/>
  <c r="ABM3" i="53"/>
  <c r="ACY3" i="53"/>
  <c r="AEN3" i="53"/>
  <c r="AHO3" i="53"/>
  <c r="AOQ3" i="53"/>
  <c r="ARX3" i="53"/>
  <c r="AYD3" i="53"/>
  <c r="AZQ3" i="53"/>
  <c r="BEM3" i="53"/>
  <c r="BGU3" i="53"/>
  <c r="BJF3" i="53"/>
  <c r="BLO3" i="53"/>
  <c r="BRU3" i="53"/>
  <c r="BUE3" i="53"/>
  <c r="BYZ3" i="53"/>
  <c r="CBI3" i="53"/>
  <c r="CCW3" i="53"/>
  <c r="CGC3" i="53"/>
  <c r="CIJ3" i="53"/>
  <c r="CLQ3" i="53"/>
  <c r="COV3" i="53"/>
  <c r="CSY3" i="53"/>
  <c r="CWF3" i="53"/>
  <c r="DCA3" i="53"/>
  <c r="DEP3" i="53"/>
  <c r="DGY3" i="53"/>
  <c r="DJN3" i="53"/>
  <c r="DON3" i="53"/>
  <c r="DQZ3" i="53"/>
  <c r="DTN3" i="53"/>
  <c r="DXT3" i="53"/>
  <c r="EDW3" i="53"/>
  <c r="EFQ3" i="53"/>
  <c r="EKV3" i="53"/>
  <c r="EQD3" i="53"/>
  <c r="ERU3" i="53"/>
  <c r="FAP3" i="53"/>
  <c r="FCI3" i="53"/>
  <c r="FEC3" i="53"/>
  <c r="FFV3" i="53"/>
  <c r="FMD3" i="53"/>
  <c r="FSP3" i="53"/>
  <c r="GAN3" i="53"/>
  <c r="GEJ3" i="53"/>
  <c r="GGI3" i="53"/>
  <c r="GKG3" i="53"/>
  <c r="GOC3" i="53"/>
  <c r="GSE3" i="53"/>
  <c r="GTA3" i="53"/>
  <c r="GXX3" i="53"/>
  <c r="HBW3" i="53"/>
  <c r="HET3" i="53"/>
  <c r="HGU3" i="53"/>
  <c r="HKQ3" i="53"/>
  <c r="HMT3" i="53"/>
  <c r="HQP3" i="53"/>
  <c r="HSP3" i="53"/>
  <c r="HWJ3" i="53"/>
  <c r="HXM3" i="53"/>
  <c r="IAJ3" i="53"/>
  <c r="IDH3" i="53"/>
  <c r="IKE3" i="53"/>
  <c r="IOF3" i="53"/>
  <c r="IVX3" i="53"/>
  <c r="JIV3" i="53"/>
  <c r="JNC3" i="53"/>
  <c r="JQF3" i="53"/>
  <c r="JSI3" i="53"/>
  <c r="JWJ3" i="53"/>
  <c r="JXL3" i="53"/>
  <c r="KEO3" i="53"/>
  <c r="KKE3" i="53"/>
  <c r="KQB3" i="53"/>
  <c r="KTW3" i="53"/>
  <c r="LAA3" i="53"/>
  <c r="LCT3" i="53"/>
  <c r="LIH3" i="53"/>
  <c r="LNY3" i="53"/>
  <c r="LQU3" i="53"/>
  <c r="LZL3" i="53"/>
  <c r="MOZ3" i="53"/>
  <c r="MSB3" i="53"/>
  <c r="NEU3" i="53"/>
  <c r="NJF3" i="53"/>
  <c r="NLZ3" i="53"/>
  <c r="NRQ3" i="53"/>
  <c r="NXJ3" i="53"/>
  <c r="OLZ3" i="53"/>
  <c r="OSG3" i="53"/>
  <c r="PBO3" i="53"/>
  <c r="PEY3" i="53"/>
  <c r="PRS3" i="53"/>
  <c r="QBV3" i="53"/>
  <c r="QFG3" i="53"/>
  <c r="QIW3" i="53"/>
  <c r="QMP3" i="53"/>
  <c r="QQI3" i="53"/>
  <c r="RHF3" i="53"/>
  <c r="RLT3" i="53"/>
  <c r="RPW3" i="53"/>
  <c r="RUO3" i="53"/>
  <c r="SKW3" i="53"/>
  <c r="SPL3" i="53"/>
  <c r="SZK3" i="53"/>
  <c r="TLY3" i="53"/>
  <c r="TUC3" i="53"/>
  <c r="UJD3" i="53"/>
  <c r="O3" i="53"/>
  <c r="AG3" i="53"/>
  <c r="CY3" i="53"/>
  <c r="GN3" i="53"/>
  <c r="HX3" i="53"/>
  <c r="KU3" i="53"/>
  <c r="MD3" i="53"/>
  <c r="PO3" i="53"/>
  <c r="SL3" i="53"/>
  <c r="TV3" i="53"/>
  <c r="XI3" i="53"/>
  <c r="AAA3" i="53"/>
  <c r="ACZ3" i="53"/>
  <c r="AGA3" i="53"/>
  <c r="AJG3" i="53"/>
  <c r="AKW3" i="53"/>
  <c r="AMI3" i="53"/>
  <c r="ANZ3" i="53"/>
  <c r="APN3" i="53"/>
  <c r="ARC3" i="53"/>
  <c r="AUZ3" i="53"/>
  <c r="AWP3" i="53"/>
  <c r="AYZ3" i="53"/>
  <c r="BBI3" i="53"/>
  <c r="BCC3" i="53"/>
  <c r="BDQ3" i="53"/>
  <c r="BGW3" i="53"/>
  <c r="BKB3" i="53"/>
  <c r="BOA3" i="53"/>
  <c r="BQG3" i="53"/>
  <c r="BTO3" i="53"/>
  <c r="BVU3" i="53"/>
  <c r="CAO3" i="53"/>
  <c r="CCE3" i="53"/>
  <c r="CDS3" i="53"/>
  <c r="CFH3" i="53"/>
  <c r="CKD3" i="53"/>
  <c r="CNF3" i="53"/>
  <c r="CPQ3" i="53"/>
  <c r="CQL3" i="53"/>
  <c r="CUP3" i="53"/>
  <c r="CXC3" i="53"/>
  <c r="DBE3" i="53"/>
  <c r="DGF3" i="53"/>
  <c r="DHD3" i="53"/>
  <c r="DKK3" i="53"/>
  <c r="DMC3" i="53"/>
  <c r="DQE3" i="53"/>
  <c r="DSR3" i="53"/>
  <c r="DVF3" i="53"/>
  <c r="DXU3" i="53"/>
  <c r="DYP3" i="53"/>
  <c r="EBF3" i="53"/>
  <c r="ECZ3" i="53"/>
  <c r="EER3" i="53"/>
  <c r="EFR3" i="53"/>
  <c r="EHI3" i="53"/>
  <c r="EIH3" i="53"/>
  <c r="EKB3" i="53"/>
  <c r="EOI3" i="53"/>
  <c r="EQY3" i="53"/>
  <c r="ESQ3" i="53"/>
  <c r="EVJ3" i="53"/>
  <c r="EZT3" i="53"/>
  <c r="FBM3" i="53"/>
  <c r="FED3" i="53"/>
  <c r="FGS3" i="53"/>
  <c r="FIM3" i="53"/>
  <c r="FKJ3" i="53"/>
  <c r="FOA3" i="53"/>
  <c r="FQV3" i="53"/>
  <c r="FTT3" i="53"/>
  <c r="FUR3" i="53"/>
  <c r="FXP3" i="53"/>
  <c r="FZO3" i="53"/>
  <c r="GCM3" i="53"/>
  <c r="GDI3" i="53"/>
  <c r="GFI3" i="53"/>
  <c r="GIH3" i="53"/>
  <c r="GMF3" i="53"/>
  <c r="GPE3" i="53"/>
  <c r="GRE3" i="53"/>
  <c r="HBZ3" i="53"/>
  <c r="HIT3" i="53"/>
  <c r="HKS3" i="53"/>
  <c r="HOS3" i="53"/>
  <c r="HTQ3" i="53"/>
  <c r="HUM3" i="53"/>
  <c r="HZK3" i="53"/>
  <c r="ICM3" i="53"/>
  <c r="IFJ3" i="53"/>
  <c r="ILF3" i="53"/>
  <c r="IRB3" i="53"/>
  <c r="ITD3" i="53"/>
  <c r="IWZ3" i="53"/>
  <c r="IZA3" i="53"/>
  <c r="JCT3" i="53"/>
  <c r="JEU3" i="53"/>
  <c r="JGV3" i="53"/>
  <c r="JIX3" i="53"/>
  <c r="JMB3" i="53"/>
  <c r="JPD3" i="53"/>
  <c r="JQI3" i="53"/>
  <c r="JVF3" i="53"/>
  <c r="JWN3" i="53"/>
  <c r="JZO3" i="53"/>
  <c r="KFR3" i="53"/>
  <c r="KLJ3" i="53"/>
  <c r="KPB3" i="53"/>
  <c r="KVB3" i="53"/>
  <c r="KWJ3" i="53"/>
  <c r="LKZ3" i="53"/>
  <c r="LXU3" i="53"/>
  <c r="MCE3" i="53"/>
  <c r="MFH3" i="53"/>
  <c r="MIB3" i="53"/>
  <c r="MKX3" i="53"/>
  <c r="MTK3" i="53"/>
  <c r="MXT3" i="53"/>
  <c r="NCC3" i="53"/>
  <c r="NGF3" i="53"/>
  <c r="NOY3" i="53"/>
  <c r="NTF3" i="53"/>
  <c r="NZA3" i="53"/>
  <c r="OBT3" i="53"/>
  <c r="OIY3" i="53"/>
  <c r="OMC3" i="53"/>
  <c r="OOZ3" i="53"/>
  <c r="OVL3" i="53"/>
  <c r="OYO3" i="53"/>
  <c r="PDI3" i="53"/>
  <c r="PGN3" i="53"/>
  <c r="PJV3" i="53"/>
  <c r="QOK3" i="53"/>
  <c r="QUX3" i="53"/>
  <c r="QWS3" i="53"/>
  <c r="RBA3" i="53"/>
  <c r="RJR3" i="53"/>
  <c r="ROH3" i="53"/>
  <c r="RSK3" i="53"/>
  <c r="RZG3" i="53"/>
  <c r="SDS3" i="53"/>
  <c r="SIN3" i="53"/>
  <c r="SNB3" i="53"/>
  <c r="SUV3" i="53"/>
  <c r="TER3" i="53"/>
  <c r="TLZ3" i="53"/>
  <c r="TPD3" i="53"/>
  <c r="TUK3" i="53"/>
  <c r="TZY3" i="53"/>
  <c r="UGG3" i="53"/>
  <c r="UJF3" i="53"/>
  <c r="UTN3" i="53"/>
  <c r="UWL3" i="53"/>
  <c r="VDV3" i="53"/>
  <c r="VRC3" i="53"/>
  <c r="VVE3" i="53"/>
  <c r="WAN3" i="53"/>
  <c r="XDD3" i="53"/>
  <c r="AY3" i="53"/>
  <c r="BR3" i="53"/>
  <c r="CJ3" i="53"/>
  <c r="FF3" i="53"/>
  <c r="GP3" i="53"/>
  <c r="JI3" i="53"/>
  <c r="KC3" i="53"/>
  <c r="KV3" i="53"/>
  <c r="MW3" i="53"/>
  <c r="NN3" i="53"/>
  <c r="OH3" i="53"/>
  <c r="RA3" i="53"/>
  <c r="RU3" i="53"/>
  <c r="UM3" i="53"/>
  <c r="VG3" i="53"/>
  <c r="VY3" i="53"/>
  <c r="YA3" i="53"/>
  <c r="YT3" i="53"/>
  <c r="ZL3" i="53"/>
  <c r="ABN3" i="53"/>
  <c r="ADA3" i="53"/>
  <c r="ADV3" i="53"/>
  <c r="AEO3" i="53"/>
  <c r="AFJ3" i="53"/>
  <c r="AGW3" i="53"/>
  <c r="AHP3" i="53"/>
  <c r="AKX3" i="53"/>
  <c r="AML3" i="53"/>
  <c r="AQH3" i="53"/>
  <c r="R3" i="53"/>
  <c r="AI3" i="53"/>
  <c r="AZ3" i="53"/>
  <c r="DE3" i="53"/>
  <c r="DV3" i="53"/>
  <c r="EM3" i="53"/>
  <c r="FG3" i="53"/>
  <c r="HI3" i="53"/>
  <c r="HY3" i="53"/>
  <c r="IS3" i="53"/>
  <c r="JJ3" i="53"/>
  <c r="LM3" i="53"/>
  <c r="MG3" i="53"/>
  <c r="OY3" i="53"/>
  <c r="QK3" i="53"/>
  <c r="SM3" i="53"/>
  <c r="TE3" i="53"/>
  <c r="TW3" i="53"/>
  <c r="VZ3" i="53"/>
  <c r="WS3" i="53"/>
  <c r="XK3" i="53"/>
  <c r="YB3" i="53"/>
  <c r="AAD3" i="53"/>
  <c r="AAW3" i="53"/>
  <c r="ACK3" i="53"/>
  <c r="AGC3" i="53"/>
  <c r="AJJ3" i="53"/>
  <c r="AKC3" i="53"/>
  <c r="ALO3" i="53"/>
  <c r="ANG3" i="53"/>
  <c r="AOA3" i="53"/>
  <c r="APO3" i="53"/>
  <c r="ARD3" i="53"/>
  <c r="ATN3" i="53"/>
  <c r="AVD3" i="53"/>
  <c r="AVY3" i="53"/>
  <c r="AWQ3" i="53"/>
  <c r="AZA3" i="53"/>
  <c r="AZY3" i="53"/>
  <c r="BBM3" i="53"/>
  <c r="BCE3" i="53"/>
  <c r="BFK3" i="53"/>
  <c r="BGY3" i="53"/>
  <c r="BHR3" i="53"/>
  <c r="BIO3" i="53"/>
  <c r="BJH3" i="53"/>
  <c r="BMK3" i="53"/>
  <c r="BOC3" i="53"/>
  <c r="BOU3" i="53"/>
  <c r="BPQ3" i="53"/>
  <c r="BQH3" i="53"/>
  <c r="BTP3" i="53"/>
  <c r="BVD3" i="53"/>
  <c r="BVZ3" i="53"/>
  <c r="BWS3" i="53"/>
  <c r="BZC3" i="53"/>
  <c r="CBL3" i="53"/>
  <c r="CCF3" i="53"/>
  <c r="CEQ3" i="53"/>
  <c r="CFK3" i="53"/>
  <c r="CHT3" i="53"/>
  <c r="CJJ3" i="53"/>
  <c r="CKW3" i="53"/>
  <c r="CNG3" i="53"/>
  <c r="COD3" i="53"/>
  <c r="COX3" i="53"/>
  <c r="CPU3" i="53"/>
  <c r="CQM3" i="53"/>
  <c r="CTX3" i="53"/>
  <c r="CVP3" i="53"/>
  <c r="CXG3" i="53"/>
  <c r="CYW3" i="53"/>
  <c r="DAL3" i="53"/>
  <c r="DCE3" i="53"/>
  <c r="DER3" i="53"/>
  <c r="DGG3" i="53"/>
  <c r="DHF3" i="53"/>
  <c r="DHZ3" i="53"/>
  <c r="DMD3" i="53"/>
  <c r="DNA3" i="53"/>
  <c r="DOQ3" i="53"/>
  <c r="DQJ3" i="53"/>
  <c r="DRE3" i="53"/>
  <c r="DRY3" i="53"/>
  <c r="DUL3" i="53"/>
  <c r="DVG3" i="53"/>
  <c r="DYS3" i="53"/>
  <c r="ECF3" i="53"/>
  <c r="EDA3" i="53"/>
  <c r="EEX3" i="53"/>
  <c r="EFS3" i="53"/>
  <c r="EGR3" i="53"/>
  <c r="EHK3" i="53"/>
  <c r="EII3" i="53"/>
  <c r="EJD3" i="53"/>
  <c r="EKC3" i="53"/>
  <c r="EKZ3" i="53"/>
  <c r="ELW3" i="53"/>
  <c r="EMT3" i="53"/>
  <c r="EPH3" i="53"/>
  <c r="EQF3" i="53"/>
  <c r="ERY3" i="53"/>
  <c r="ETR3" i="53"/>
  <c r="EUP3" i="53"/>
  <c r="EVK3" i="53"/>
  <c r="EXC3" i="53"/>
  <c r="EYA3" i="53"/>
  <c r="EZA3" i="53"/>
  <c r="EZU3" i="53"/>
  <c r="FAS3" i="53"/>
  <c r="FBN3" i="53"/>
  <c r="FDK3" i="53"/>
  <c r="FFC3" i="53"/>
  <c r="FGU3" i="53"/>
  <c r="FIQ3" i="53"/>
  <c r="FJO3" i="53"/>
  <c r="FKK3" i="53"/>
  <c r="FNE3" i="53"/>
  <c r="FPC3" i="53"/>
  <c r="FQW3" i="53"/>
  <c r="FTU3" i="53"/>
  <c r="FUS3" i="53"/>
  <c r="FXQ3" i="53"/>
  <c r="FYS3" i="53"/>
  <c r="FZR3" i="53"/>
  <c r="GCO3" i="53"/>
  <c r="GDJ3" i="53"/>
  <c r="GFN3" i="53"/>
  <c r="GLJ3" i="53"/>
  <c r="GOH3" i="53"/>
  <c r="GQI3" i="53"/>
  <c r="GRF3" i="53"/>
  <c r="GUE3" i="53"/>
  <c r="GXF3" i="53"/>
  <c r="GYC3" i="53"/>
  <c r="HCD3" i="53"/>
  <c r="HCZ3" i="53"/>
  <c r="HGZ3" i="53"/>
  <c r="HHX3" i="53"/>
  <c r="HLV3" i="53"/>
  <c r="HOT3" i="53"/>
  <c r="HQT3" i="53"/>
  <c r="HTR3" i="53"/>
  <c r="HUP3" i="53"/>
  <c r="HWS3" i="53"/>
  <c r="HZM3" i="53"/>
  <c r="IAO3" i="53"/>
  <c r="ICO3" i="53"/>
  <c r="IFM3" i="53"/>
  <c r="IGI3" i="53"/>
  <c r="IHM3" i="53"/>
  <c r="III3" i="53"/>
  <c r="IKH3" i="53"/>
  <c r="ILG3" i="53"/>
  <c r="ING3" i="53"/>
  <c r="IOI3" i="53"/>
  <c r="ISE3" i="53"/>
  <c r="ITG3" i="53"/>
  <c r="IUD3" i="53"/>
  <c r="IXC3" i="53"/>
  <c r="IYD3" i="53"/>
  <c r="IZC3" i="53"/>
  <c r="JBZ3" i="53"/>
  <c r="JCW3" i="53"/>
  <c r="JEZ3" i="53"/>
  <c r="JFY3" i="53"/>
  <c r="JJA3" i="53"/>
  <c r="JKA3" i="53"/>
  <c r="JLD3" i="53"/>
  <c r="JMC3" i="53"/>
  <c r="JOE3" i="53"/>
  <c r="JPH3" i="53"/>
  <c r="JQJ3" i="53"/>
  <c r="JRH3" i="53"/>
  <c r="JUK3" i="53"/>
  <c r="JVO3" i="53"/>
  <c r="JWO3" i="53"/>
  <c r="JZQ3" i="53"/>
  <c r="KAM3" i="53"/>
  <c r="KBT3" i="53"/>
  <c r="KEU3" i="53"/>
  <c r="KFS3" i="53"/>
  <c r="KHA3" i="53"/>
  <c r="KKI3" i="53"/>
  <c r="KLK3" i="53"/>
  <c r="KNV3" i="53"/>
  <c r="KPC3" i="53"/>
  <c r="KUD3" i="53"/>
  <c r="KWK3" i="53"/>
  <c r="KYW3" i="53"/>
  <c r="LBL3" i="53"/>
  <c r="LGU3" i="53"/>
  <c r="LIL3" i="53"/>
  <c r="LOF3" i="53"/>
  <c r="LVF3" i="53"/>
  <c r="LXV3" i="53"/>
  <c r="MBB3" i="53"/>
  <c r="MGQ3" i="53"/>
  <c r="MKY3" i="53"/>
  <c r="MQV3" i="53"/>
  <c r="MTM3" i="53"/>
  <c r="MXW3" i="53"/>
  <c r="NAR3" i="53"/>
  <c r="NCD3" i="53"/>
  <c r="NJL3" i="53"/>
  <c r="NKS3" i="53"/>
  <c r="NMD3" i="53"/>
  <c r="NOZ3" i="53"/>
  <c r="NQM3" i="53"/>
  <c r="NTG3" i="53"/>
  <c r="NWG3" i="53"/>
  <c r="ODJ3" i="53"/>
  <c r="OJB3" i="53"/>
  <c r="OKQ3" i="53"/>
  <c r="OPA3" i="53"/>
  <c r="OQW3" i="53"/>
  <c r="OSM3" i="53"/>
  <c r="OVN3" i="53"/>
  <c r="OYS3" i="53"/>
  <c r="PAG3" i="53"/>
  <c r="PBW3" i="53"/>
  <c r="PDM3" i="53"/>
  <c r="PFC3" i="53"/>
  <c r="PGT3" i="53"/>
  <c r="POP3" i="53"/>
  <c r="PXD3" i="53"/>
  <c r="QLD3" i="53"/>
  <c r="QOP3" i="53"/>
  <c r="QQO3" i="53"/>
  <c r="QVA3" i="53"/>
  <c r="QYU3" i="53"/>
  <c r="RBB3" i="53"/>
  <c r="RJU3" i="53"/>
  <c r="ROJ3" i="53"/>
  <c r="RUX3" i="53"/>
  <c r="RZI3" i="53"/>
  <c r="SDV3" i="53"/>
  <c r="SNS3" i="53"/>
  <c r="SPO3" i="53"/>
  <c r="TCC3" i="53"/>
  <c r="TMB3" i="53"/>
  <c r="TPE3" i="53"/>
  <c r="TRQ3" i="53"/>
  <c r="TUM3" i="53"/>
  <c r="UAD3" i="53"/>
  <c r="UTP3" i="53"/>
  <c r="UWT3" i="53"/>
  <c r="VEC3" i="53"/>
  <c r="WAR3" i="53"/>
  <c r="WML3" i="53"/>
  <c r="XDJ3" i="53"/>
  <c r="KOM3" i="53"/>
  <c r="KPP3" i="53"/>
  <c r="KUI3" i="53"/>
  <c r="KVL3" i="53"/>
  <c r="KYL3" i="53"/>
  <c r="LCO3" i="53"/>
  <c r="LFV3" i="53"/>
  <c r="LKD3" i="53"/>
  <c r="LMQ3" i="53"/>
  <c r="LRA3" i="53"/>
  <c r="LTN3" i="53"/>
  <c r="LXW3" i="53"/>
  <c r="MAK3" i="53"/>
  <c r="MGB3" i="53"/>
  <c r="MIF3" i="53"/>
  <c r="MJM3" i="53"/>
  <c r="MMZ3" i="53"/>
  <c r="MPE3" i="53"/>
  <c r="MRO3" i="53"/>
  <c r="MUZ3" i="53"/>
  <c r="MWA3" i="53"/>
  <c r="MXI3" i="53"/>
  <c r="NFJ3" i="53"/>
  <c r="NGI3" i="53"/>
  <c r="NIS3" i="53"/>
  <c r="NLB3" i="53"/>
  <c r="NNF3" i="53"/>
  <c r="NOM3" i="53"/>
  <c r="NQR3" i="53"/>
  <c r="NTC3" i="53"/>
  <c r="NVK3" i="53"/>
  <c r="NXM3" i="53"/>
  <c r="NZZ3" i="53"/>
  <c r="OAY3" i="53"/>
  <c r="ODK3" i="53"/>
  <c r="OEI3" i="53"/>
  <c r="OGW3" i="53"/>
  <c r="OMU3" i="53"/>
  <c r="ONZ3" i="53"/>
  <c r="ORR3" i="53"/>
  <c r="OUG3" i="53"/>
  <c r="OWR3" i="53"/>
  <c r="OYB3" i="53"/>
  <c r="PAM3" i="53"/>
  <c r="PDE3" i="53"/>
  <c r="PEH3" i="53"/>
  <c r="PFU3" i="53"/>
  <c r="PHA3" i="53"/>
  <c r="PIB3" i="53"/>
  <c r="PLZ3" i="53"/>
  <c r="PNK3" i="53"/>
  <c r="POR3" i="53"/>
  <c r="PPU3" i="53"/>
  <c r="PSL3" i="53"/>
  <c r="PTQ3" i="53"/>
  <c r="PVE3" i="53"/>
  <c r="PWM3" i="53"/>
  <c r="PZI3" i="53"/>
  <c r="QDI3" i="53"/>
  <c r="QEW3" i="53"/>
  <c r="QGD3" i="53"/>
  <c r="QJA3" i="53"/>
  <c r="QKO3" i="53"/>
  <c r="QMD3" i="53"/>
  <c r="QPB3" i="53"/>
  <c r="QUA3" i="53"/>
  <c r="QYW3" i="53"/>
  <c r="RAW3" i="53"/>
  <c r="RCJ3" i="53"/>
  <c r="REH3" i="53"/>
  <c r="RFU3" i="53"/>
  <c r="RJJ3" i="53"/>
  <c r="RKX3" i="53"/>
  <c r="RMW3" i="53"/>
  <c r="RON3" i="53"/>
  <c r="RQR3" i="53"/>
  <c r="RUC3" i="53"/>
  <c r="RXM3" i="53"/>
  <c r="SEW3" i="53"/>
  <c r="SIT3" i="53"/>
  <c r="SKG3" i="53"/>
  <c r="SMJ3" i="53"/>
  <c r="SOI3" i="53"/>
  <c r="SQM3" i="53"/>
  <c r="SSH3" i="53"/>
  <c r="SUH3" i="53"/>
  <c r="SWH3" i="53"/>
  <c r="TIF3" i="53"/>
  <c r="TKJ3" i="53"/>
  <c r="TQL3" i="53"/>
  <c r="TVD3" i="53"/>
  <c r="TZK3" i="53"/>
  <c r="UHC3" i="53"/>
  <c r="UMH3" i="53"/>
  <c r="VMB3" i="53"/>
  <c r="VPL3" i="53"/>
  <c r="VTS3" i="53"/>
  <c r="WGB3" i="53"/>
  <c r="WKQ3" i="53"/>
  <c r="WPP3" i="53"/>
  <c r="I3" i="53"/>
  <c r="BF3" i="53"/>
  <c r="BW3" i="53"/>
  <c r="DC3" i="53"/>
  <c r="DS3" i="53"/>
  <c r="FP3" i="53"/>
  <c r="GG3" i="53"/>
  <c r="IC3" i="53"/>
  <c r="IU3" i="53"/>
  <c r="KP3" i="53"/>
  <c r="LH3" i="53"/>
  <c r="MM3" i="53"/>
  <c r="ND3" i="53"/>
  <c r="NV3" i="53"/>
  <c r="PA3" i="53"/>
  <c r="PQ3" i="53"/>
  <c r="RM3" i="53"/>
  <c r="SE3" i="53"/>
  <c r="UA3" i="53"/>
  <c r="US3" i="53"/>
  <c r="WN3" i="53"/>
  <c r="XF3" i="53"/>
  <c r="YL3" i="53"/>
  <c r="ZB3" i="53"/>
  <c r="AAZ3" i="53"/>
  <c r="ADQ3" i="53"/>
  <c r="AEZ3" i="53"/>
  <c r="AFP3" i="53"/>
  <c r="AGJ3" i="53"/>
  <c r="AHA3" i="53"/>
  <c r="AJQ3" i="53"/>
  <c r="ALA3" i="53"/>
  <c r="ALR3" i="53"/>
  <c r="ANA3" i="53"/>
  <c r="ANQ3" i="53"/>
  <c r="AOK3" i="53"/>
  <c r="AOZ3" i="53"/>
  <c r="AQK3" i="53"/>
  <c r="ATB3" i="53"/>
  <c r="ATQ3" i="53"/>
  <c r="AUK3" i="53"/>
  <c r="AVB3" i="53"/>
  <c r="AXS3" i="53"/>
  <c r="AZC3" i="53"/>
  <c r="AZR3" i="53"/>
  <c r="BAL3" i="53"/>
  <c r="BBC3" i="53"/>
  <c r="BDT3" i="53"/>
  <c r="BFC3" i="53"/>
  <c r="BFT3" i="53"/>
  <c r="BGM3" i="53"/>
  <c r="BJT3" i="53"/>
  <c r="BKN3" i="53"/>
  <c r="BLD3" i="53"/>
  <c r="BLU3" i="53"/>
  <c r="BMM3" i="53"/>
  <c r="BPU3" i="53"/>
  <c r="BQO3" i="53"/>
  <c r="BRE3" i="53"/>
  <c r="BSO3" i="53"/>
  <c r="BVF3" i="53"/>
  <c r="BVV3" i="53"/>
  <c r="BWP3" i="53"/>
  <c r="BXE3" i="53"/>
  <c r="BYP3" i="53"/>
  <c r="CBG3" i="53"/>
  <c r="CBV3" i="53"/>
  <c r="CCP3" i="53"/>
  <c r="CDG3" i="53"/>
  <c r="CFX3" i="53"/>
  <c r="CHG3" i="53"/>
  <c r="CHW3" i="53"/>
  <c r="CIQ3" i="53"/>
  <c r="CJH3" i="53"/>
  <c r="CLY3" i="53"/>
  <c r="CNH3" i="53"/>
  <c r="CNY3" i="53"/>
  <c r="COS3" i="53"/>
  <c r="CPK3" i="53"/>
  <c r="CQA3" i="53"/>
  <c r="CQV3" i="53"/>
  <c r="CSE3" i="53"/>
  <c r="CSZ3" i="53"/>
  <c r="CVA3" i="53"/>
  <c r="CXE3" i="53"/>
  <c r="CXW3" i="53"/>
  <c r="CZH3" i="53"/>
  <c r="CZY3" i="53"/>
  <c r="DCC3" i="53"/>
  <c r="DEF3" i="53"/>
  <c r="DHT3" i="53"/>
  <c r="DJC3" i="53"/>
  <c r="DJW3" i="53"/>
  <c r="DLE3" i="53"/>
  <c r="DLZ3" i="53"/>
  <c r="DMR3" i="53"/>
  <c r="DNI3" i="53"/>
  <c r="DOD3" i="53"/>
  <c r="DOU3" i="53"/>
  <c r="DPL3" i="53"/>
  <c r="DQX3" i="53"/>
  <c r="DVC3" i="53"/>
  <c r="EBT3" i="53"/>
  <c r="EDZ3" i="53"/>
  <c r="EFN3" i="53"/>
  <c r="EIL3" i="53"/>
  <c r="EKR3" i="53"/>
  <c r="EMF3" i="53"/>
  <c r="EMX3" i="53"/>
  <c r="ENP3" i="53"/>
  <c r="EOL3" i="53"/>
  <c r="EPE3" i="53"/>
  <c r="EQR3" i="53"/>
  <c r="ERI3" i="53"/>
  <c r="ETP3" i="53"/>
  <c r="EUH3" i="53"/>
  <c r="EVV3" i="53"/>
  <c r="EYS3" i="53"/>
  <c r="FAG3" i="53"/>
  <c r="FAZ3" i="53"/>
  <c r="FCN3" i="53"/>
  <c r="FJG3" i="53"/>
  <c r="FLQ3" i="53"/>
  <c r="FRA3" i="53"/>
  <c r="FRW3" i="53"/>
  <c r="FSR3" i="53"/>
  <c r="FTK3" i="53"/>
  <c r="FUJ3" i="53"/>
  <c r="FXR3" i="53"/>
  <c r="GAY3" i="53"/>
  <c r="GBW3" i="53"/>
  <c r="GFF3" i="53"/>
  <c r="GFX3" i="53"/>
  <c r="GGV3" i="53"/>
  <c r="GIK3" i="53"/>
  <c r="GJJ3" i="53"/>
  <c r="GKE3" i="53"/>
  <c r="GMR3" i="53"/>
  <c r="GNK3" i="53"/>
  <c r="GOJ3" i="53"/>
  <c r="GRR3" i="53"/>
  <c r="GUX3" i="53"/>
  <c r="GVW3" i="53"/>
  <c r="GZE3" i="53"/>
  <c r="HCK3" i="53"/>
  <c r="HDJ3" i="53"/>
  <c r="HGR3" i="53"/>
  <c r="HHK3" i="53"/>
  <c r="HIJ3" i="53"/>
  <c r="HJX3" i="53"/>
  <c r="HKW3" i="53"/>
  <c r="HLR3" i="53"/>
  <c r="HOE3" i="53"/>
  <c r="HOX3" i="53"/>
  <c r="HPV3" i="53"/>
  <c r="HTE3" i="53"/>
  <c r="HWK3" i="53"/>
  <c r="HXJ3" i="53"/>
  <c r="IAR3" i="53"/>
  <c r="IBJ3" i="53"/>
  <c r="ICJ3" i="53"/>
  <c r="IDX3" i="53"/>
  <c r="IEV3" i="53"/>
  <c r="IFQ3" i="53"/>
  <c r="IIE3" i="53"/>
  <c r="IIX3" i="53"/>
  <c r="IJV3" i="53"/>
  <c r="INE3" i="53"/>
  <c r="IQJ3" i="53"/>
  <c r="IRJ3" i="53"/>
  <c r="IUQ3" i="53"/>
  <c r="IXX3" i="53"/>
  <c r="IYV3" i="53"/>
  <c r="JCE3" i="53"/>
  <c r="JCX3" i="53"/>
  <c r="JDV3" i="53"/>
  <c r="JHH3" i="53"/>
  <c r="JJX3" i="53"/>
  <c r="JMO3" i="53"/>
  <c r="JOH3" i="53"/>
  <c r="JPE3" i="53"/>
  <c r="JRW3" i="53"/>
  <c r="JSP3" i="53"/>
  <c r="JXC3" i="53"/>
  <c r="KCJ3" i="53"/>
  <c r="KFB3" i="53"/>
  <c r="KHV3" i="53"/>
  <c r="KKT3" i="53"/>
  <c r="KMR3" i="53"/>
  <c r="KNQ3" i="53"/>
  <c r="KQP3" i="53"/>
  <c r="KRL3" i="53"/>
  <c r="KWM3" i="53"/>
  <c r="KZL3" i="53"/>
  <c r="LAI3" i="53"/>
  <c r="LBO3" i="53"/>
  <c r="LDP3" i="53"/>
  <c r="LEV3" i="53"/>
  <c r="LGV3" i="53"/>
  <c r="LIB3" i="53"/>
  <c r="LLM3" i="53"/>
  <c r="LNR3" i="53"/>
  <c r="LOX3" i="53"/>
  <c r="LQC3" i="53"/>
  <c r="LSK3" i="53"/>
  <c r="LUM3" i="53"/>
  <c r="LWZ3" i="53"/>
  <c r="MBJ3" i="53"/>
  <c r="MDW3" i="53"/>
  <c r="MHF3" i="53"/>
  <c r="MKR3" i="53"/>
  <c r="MLS3" i="53"/>
  <c r="MOD3" i="53"/>
  <c r="MQL3" i="53"/>
  <c r="MSQ3" i="53"/>
  <c r="MTX3" i="53"/>
  <c r="MYL3" i="53"/>
  <c r="MZM3" i="53"/>
  <c r="NAU3" i="53"/>
  <c r="NCX3" i="53"/>
  <c r="NEF3" i="53"/>
  <c r="NGJ3" i="53"/>
  <c r="NHR3" i="53"/>
  <c r="NJU3" i="53"/>
  <c r="NMF3" i="53"/>
  <c r="NPQ3" i="53"/>
  <c r="NRY3" i="53"/>
  <c r="NTD3" i="53"/>
  <c r="NUD3" i="53"/>
  <c r="NWO3" i="53"/>
  <c r="NYW3" i="53"/>
  <c r="OCH3" i="53"/>
  <c r="OHV3" i="53"/>
  <c r="OJG3" i="53"/>
  <c r="OKM3" i="53"/>
  <c r="OLL3" i="53"/>
  <c r="OMW3" i="53"/>
  <c r="OOA3" i="53"/>
  <c r="OPB3" i="53"/>
  <c r="OQL3" i="53"/>
  <c r="OSW3" i="53"/>
  <c r="OVO3" i="53"/>
  <c r="PBZ3" i="53"/>
  <c r="PJQ3" i="53"/>
  <c r="PRH3" i="53"/>
  <c r="PVH3" i="53"/>
  <c r="QAW3" i="53"/>
  <c r="QBY3" i="53"/>
  <c r="QJF3" i="53"/>
  <c r="QPG3" i="53"/>
  <c r="QQQ3" i="53"/>
  <c r="QSK3" i="53"/>
  <c r="QWB3" i="53"/>
  <c r="QXJ3" i="53"/>
  <c r="RCN3" i="53"/>
  <c r="REK3" i="53"/>
  <c r="RLA3" i="53"/>
  <c r="ROO3" i="53"/>
  <c r="RSI3" i="53"/>
  <c r="RZL3" i="53"/>
  <c r="SBD3" i="53"/>
  <c r="SHC3" i="53"/>
  <c r="SIU3" i="53"/>
  <c r="SKJ3" i="53"/>
  <c r="SOK3" i="53"/>
  <c r="SSJ3" i="53"/>
  <c r="SUQ3" i="53"/>
  <c r="SYC3" i="53"/>
  <c r="TAK3" i="53"/>
  <c r="TEP3" i="53"/>
  <c r="TIK3" i="53"/>
  <c r="TML3" i="53"/>
  <c r="TQM3" i="53"/>
  <c r="TSY3" i="53"/>
  <c r="TXR3" i="53"/>
  <c r="TZO3" i="53"/>
  <c r="UBY3" i="53"/>
  <c r="UET3" i="53"/>
  <c r="UKC3" i="53"/>
  <c r="UTX3" i="53"/>
  <c r="UZO3" i="53"/>
  <c r="VFR3" i="53"/>
  <c r="VPM3" i="53"/>
  <c r="VXV3" i="53"/>
  <c r="WCU3" i="53"/>
  <c r="WLG3" i="53"/>
  <c r="WTV3" i="53"/>
  <c r="XDO3" i="53"/>
  <c r="AYM3" i="53"/>
  <c r="BXW3" i="53"/>
  <c r="CAP3" i="53"/>
  <c r="CDX3" i="53"/>
  <c r="CFG3" i="53"/>
  <c r="CGR3" i="53"/>
  <c r="CJX3" i="53"/>
  <c r="CKR3" i="53"/>
  <c r="CLH3" i="53"/>
  <c r="CMS3" i="53"/>
  <c r="CRN3" i="53"/>
  <c r="CTQ3" i="53"/>
  <c r="CVB3" i="53"/>
  <c r="CVT3" i="53"/>
  <c r="CWK3" i="53"/>
  <c r="CXF3" i="53"/>
  <c r="CYN3" i="53"/>
  <c r="CZI3" i="53"/>
  <c r="DAR3" i="53"/>
  <c r="DBL3" i="53"/>
  <c r="DDN3" i="53"/>
  <c r="DEW3" i="53"/>
  <c r="DFR3" i="53"/>
  <c r="DGI3" i="53"/>
  <c r="DGZ3" i="53"/>
  <c r="DHU3" i="53"/>
  <c r="DIL3" i="53"/>
  <c r="DKP3" i="53"/>
  <c r="DQG3" i="53"/>
  <c r="DRO3" i="53"/>
  <c r="DSJ3" i="53"/>
  <c r="DTR3" i="53"/>
  <c r="DUM3" i="53"/>
  <c r="DVD3" i="53"/>
  <c r="DVV3" i="53"/>
  <c r="DWQ3" i="53"/>
  <c r="DYA3" i="53"/>
  <c r="DYV3" i="53"/>
  <c r="EAG3" i="53"/>
  <c r="EBC3" i="53"/>
  <c r="ECM3" i="53"/>
  <c r="EDJ3" i="53"/>
  <c r="EGG3" i="53"/>
  <c r="EGX3" i="53"/>
  <c r="EHT3" i="53"/>
  <c r="EJE3" i="53"/>
  <c r="EKA3" i="53"/>
  <c r="ELK3" i="53"/>
  <c r="EPV3" i="53"/>
  <c r="ESC3" i="53"/>
  <c r="ESY3" i="53"/>
  <c r="EVC3" i="53"/>
  <c r="EXJ3" i="53"/>
  <c r="EYC3" i="53"/>
  <c r="EZQ3" i="53"/>
  <c r="FAH3" i="53"/>
  <c r="FBA3" i="53"/>
  <c r="FDE3" i="53"/>
  <c r="FEA3" i="53"/>
  <c r="FFL3" i="53"/>
  <c r="FGH3" i="53"/>
  <c r="FGZ3" i="53"/>
  <c r="FHR3" i="53"/>
  <c r="FIO3" i="53"/>
  <c r="FKA3" i="53"/>
  <c r="FKW3" i="53"/>
  <c r="FMI3" i="53"/>
  <c r="FNG3" i="53"/>
  <c r="FNZ3" i="53"/>
  <c r="FOS3" i="53"/>
  <c r="FPP3" i="53"/>
  <c r="FQI3" i="53"/>
  <c r="FRC3" i="53"/>
  <c r="FVF3" i="53"/>
  <c r="FWW3" i="53"/>
  <c r="FYN3" i="53"/>
  <c r="FZK3" i="53"/>
  <c r="GAF3" i="53"/>
  <c r="GCT3" i="53"/>
  <c r="GDN3" i="53"/>
  <c r="GEK3" i="53"/>
  <c r="GFZ3" i="53"/>
  <c r="GHR3" i="53"/>
  <c r="GKZ3" i="53"/>
  <c r="GLW3" i="53"/>
  <c r="GPF3" i="53"/>
  <c r="GSN3" i="53"/>
  <c r="GTK3" i="53"/>
  <c r="GWT3" i="53"/>
  <c r="GXL3" i="53"/>
  <c r="GYJ3" i="53"/>
  <c r="GZZ3" i="53"/>
  <c r="HAW3" i="53"/>
  <c r="HBR3" i="53"/>
  <c r="HEF3" i="53"/>
  <c r="HEZ3" i="53"/>
  <c r="HFW3" i="53"/>
  <c r="HJF3" i="53"/>
  <c r="HML3" i="53"/>
  <c r="HNK3" i="53"/>
  <c r="HQR3" i="53"/>
  <c r="HSJ3" i="53"/>
  <c r="HTZ3" i="53"/>
  <c r="HUW3" i="53"/>
  <c r="HVR3" i="53"/>
  <c r="HYF3" i="53"/>
  <c r="HYZ3" i="53"/>
  <c r="HZW3" i="53"/>
  <c r="IBN3" i="53"/>
  <c r="IDF3" i="53"/>
  <c r="IGL3" i="53"/>
  <c r="IHJ3" i="53"/>
  <c r="IKR3" i="53"/>
  <c r="INZ3" i="53"/>
  <c r="IOW3" i="53"/>
  <c r="ISF3" i="53"/>
  <c r="ISY3" i="53"/>
  <c r="ITW3" i="53"/>
  <c r="IVL3" i="53"/>
  <c r="IWJ3" i="53"/>
  <c r="IXE3" i="53"/>
  <c r="IZR3" i="53"/>
  <c r="JAL3" i="53"/>
  <c r="JBJ3" i="53"/>
  <c r="JER3" i="53"/>
  <c r="JFN3" i="53"/>
  <c r="JGL3" i="53"/>
  <c r="JKT3" i="53"/>
  <c r="JLS3" i="53"/>
  <c r="JQA3" i="53"/>
  <c r="JQZ3" i="53"/>
  <c r="JSS3" i="53"/>
  <c r="JTQ3" i="53"/>
  <c r="JUN3" i="53"/>
  <c r="JVI3" i="53"/>
  <c r="JWG3" i="53"/>
  <c r="JXZ3" i="53"/>
  <c r="JYX3" i="53"/>
  <c r="KAO3" i="53"/>
  <c r="KBN3" i="53"/>
  <c r="KDF3" i="53"/>
  <c r="KEF3" i="53"/>
  <c r="KIT3" i="53"/>
  <c r="KJU3" i="53"/>
  <c r="KOP3" i="53"/>
  <c r="KPQ3" i="53"/>
  <c r="KRO3" i="53"/>
  <c r="KSP3" i="53"/>
  <c r="KTN3" i="53"/>
  <c r="KUL3" i="53"/>
  <c r="KVN3" i="53"/>
  <c r="KXK3" i="53"/>
  <c r="KYM3" i="53"/>
  <c r="KZM3" i="53"/>
  <c r="LCS3" i="53"/>
  <c r="LFW3" i="53"/>
  <c r="LJF3" i="53"/>
  <c r="LMR3" i="53"/>
  <c r="LQD3" i="53"/>
  <c r="LRF3" i="53"/>
  <c r="LTO3" i="53"/>
  <c r="LVX3" i="53"/>
  <c r="LZI3" i="53"/>
  <c r="MCU3" i="53"/>
  <c r="MEX3" i="53"/>
  <c r="MGF3" i="53"/>
  <c r="MII3" i="53"/>
  <c r="MJQ3" i="53"/>
  <c r="MLV3" i="53"/>
  <c r="MNB3" i="53"/>
  <c r="MPG3" i="53"/>
  <c r="MRP3" i="53"/>
  <c r="MVA3" i="53"/>
  <c r="MXJ3" i="53"/>
  <c r="MZP3" i="53"/>
  <c r="NBZ3" i="53"/>
  <c r="NDA3" i="53"/>
  <c r="NEH3" i="53"/>
  <c r="NFK3" i="53"/>
  <c r="NIV3" i="53"/>
  <c r="NLC3" i="53"/>
  <c r="NNI3" i="53"/>
  <c r="NON3" i="53"/>
  <c r="NQT3" i="53"/>
  <c r="NRZ3" i="53"/>
  <c r="NUF3" i="53"/>
  <c r="NVL3" i="53"/>
  <c r="OAA3" i="53"/>
  <c r="OFT3" i="53"/>
  <c r="OHY3" i="53"/>
  <c r="OJH3" i="53"/>
  <c r="OPD3" i="53"/>
  <c r="OTA3" i="53"/>
  <c r="OUH3" i="53"/>
  <c r="OWU3" i="53"/>
  <c r="OYF3" i="53"/>
  <c r="OZK3" i="53"/>
  <c r="PHC3" i="53"/>
  <c r="PKX3" i="53"/>
  <c r="PMC3" i="53"/>
  <c r="PNN3" i="53"/>
  <c r="POS3" i="53"/>
  <c r="PSN3" i="53"/>
  <c r="PUB3" i="53"/>
  <c r="PWO3" i="53"/>
  <c r="PYB3" i="53"/>
  <c r="PZJ3" i="53"/>
  <c r="QEY3" i="53"/>
  <c r="QGH3" i="53"/>
  <c r="QIA3" i="53"/>
  <c r="QKU3" i="53"/>
  <c r="QME3" i="53"/>
  <c r="QNR3" i="53"/>
  <c r="QUB3" i="53"/>
  <c r="QXM3" i="53"/>
  <c r="RAY3" i="53"/>
  <c r="RFV3" i="53"/>
  <c r="RHV3" i="53"/>
  <c r="RJK3" i="53"/>
  <c r="RLL3" i="53"/>
  <c r="RNC3" i="53"/>
  <c r="RQS3" i="53"/>
  <c r="RUH3" i="53"/>
  <c r="RVW3" i="53"/>
  <c r="SDI3" i="53"/>
  <c r="SEX3" i="53"/>
  <c r="SKT3" i="53"/>
  <c r="SMO3" i="53"/>
  <c r="SQN3" i="53"/>
  <c r="SUT3" i="53"/>
  <c r="SWI3" i="53"/>
  <c r="TGH3" i="53"/>
  <c r="TIO3" i="53"/>
  <c r="TMQ3" i="53"/>
  <c r="TSZ3" i="53"/>
  <c r="TVE3" i="53"/>
  <c r="UCC3" i="53"/>
  <c r="UPJ3" i="53"/>
  <c r="URU3" i="53"/>
  <c r="UUQ3" i="53"/>
  <c r="UXF3" i="53"/>
  <c r="VCW3" i="53"/>
  <c r="VYD3" i="53"/>
  <c r="WCV3" i="53"/>
  <c r="WPX3" i="53"/>
  <c r="WZI3" i="53"/>
  <c r="AEK3" i="53"/>
  <c r="AFS3" i="53"/>
  <c r="AHB3" i="53"/>
  <c r="AIK3" i="53"/>
  <c r="AJA3" i="53"/>
  <c r="AJT3" i="53"/>
  <c r="AKK3" i="53"/>
  <c r="AMK3" i="53"/>
  <c r="APR3" i="53"/>
  <c r="AQL3" i="53"/>
  <c r="ARB3" i="53"/>
  <c r="ARR3" i="53"/>
  <c r="ASK3" i="53"/>
  <c r="AVS3" i="53"/>
  <c r="AWM3" i="53"/>
  <c r="AXB3" i="53"/>
  <c r="BBD3" i="53"/>
  <c r="BBS3" i="53"/>
  <c r="BCM3" i="53"/>
  <c r="BDC3" i="53"/>
  <c r="BEN3" i="53"/>
  <c r="BHE3" i="53"/>
  <c r="BHT3" i="53"/>
  <c r="BIN3" i="53"/>
  <c r="BJE3" i="53"/>
  <c r="BLV3" i="53"/>
  <c r="BNE3" i="53"/>
  <c r="BNU3" i="53"/>
  <c r="BOO3" i="53"/>
  <c r="BPE3" i="53"/>
  <c r="BRV3" i="53"/>
  <c r="BTF3" i="53"/>
  <c r="BTW3" i="53"/>
  <c r="BUO3" i="53"/>
  <c r="BYQ3" i="53"/>
  <c r="BZG3" i="53"/>
  <c r="BZW3" i="53"/>
  <c r="CER3" i="53"/>
  <c r="CJI3" i="53"/>
  <c r="EET3" i="53"/>
  <c r="J3" i="53"/>
  <c r="BG3" i="53"/>
  <c r="BX3" i="53"/>
  <c r="DU3" i="53"/>
  <c r="EK3" i="53"/>
  <c r="GH3" i="53"/>
  <c r="IF3" i="53"/>
  <c r="IV3" i="53"/>
  <c r="KT3" i="53"/>
  <c r="LI3" i="53"/>
  <c r="NF3" i="53"/>
  <c r="NW3" i="53"/>
  <c r="PB3" i="53"/>
  <c r="PT3" i="53"/>
  <c r="QJ3" i="53"/>
  <c r="RO3" i="53"/>
  <c r="SG3" i="53"/>
  <c r="UB3" i="53"/>
  <c r="UU3" i="53"/>
  <c r="WO3" i="53"/>
  <c r="XH3" i="53"/>
  <c r="ZC3" i="53"/>
  <c r="ZV3" i="53"/>
  <c r="ABA3" i="53"/>
  <c r="ABS3" i="53"/>
  <c r="AFA3" i="53"/>
  <c r="AFT3" i="53"/>
  <c r="AGK3" i="53"/>
  <c r="AHS3" i="53"/>
  <c r="AKM3" i="53"/>
  <c r="ALB3" i="53"/>
  <c r="ANB3" i="53"/>
  <c r="AOL3" i="53"/>
  <c r="APC3" i="53"/>
  <c r="APT3" i="53"/>
  <c r="ATC3" i="53"/>
  <c r="AUM3" i="53"/>
  <c r="AVC3" i="53"/>
  <c r="AVU3" i="53"/>
  <c r="AZD3" i="53"/>
  <c r="AZW3" i="53"/>
  <c r="BAM3" i="53"/>
  <c r="BBV3" i="53"/>
  <c r="BEO3" i="53"/>
  <c r="BFD3" i="53"/>
  <c r="BFW3" i="53"/>
  <c r="BGN3" i="53"/>
  <c r="BHW3" i="53"/>
  <c r="BKO3" i="53"/>
  <c r="BLE3" i="53"/>
  <c r="BLX3" i="53"/>
  <c r="BMP3" i="53"/>
  <c r="BNX3" i="53"/>
  <c r="BPG3" i="53"/>
  <c r="BQP3" i="53"/>
  <c r="BRF3" i="53"/>
  <c r="BRY3" i="53"/>
  <c r="BSP3" i="53"/>
  <c r="BVG3" i="53"/>
  <c r="BWQ3" i="53"/>
  <c r="BXG3" i="53"/>
  <c r="BXY3" i="53"/>
  <c r="CBH3" i="53"/>
  <c r="CCQ3" i="53"/>
  <c r="CDH3" i="53"/>
  <c r="CDZ3" i="53"/>
  <c r="CHI3" i="53"/>
  <c r="CIA3" i="53"/>
  <c r="CIR3" i="53"/>
  <c r="CKA3" i="53"/>
  <c r="CMT3" i="53"/>
  <c r="CNI3" i="53"/>
  <c r="COB3" i="53"/>
  <c r="COT3" i="53"/>
  <c r="CPL3" i="53"/>
  <c r="CQW3" i="53"/>
  <c r="CTA3" i="53"/>
  <c r="CWN3" i="53"/>
  <c r="CYQ3" i="53"/>
  <c r="CZZ3" i="53"/>
  <c r="DAT3" i="53"/>
  <c r="DBM3" i="53"/>
  <c r="DCD3" i="53"/>
  <c r="DCX3" i="53"/>
  <c r="DEG3" i="53"/>
  <c r="DJX3" i="53"/>
  <c r="DLJ3" i="53"/>
  <c r="DMA3" i="53"/>
  <c r="DMS3" i="53"/>
  <c r="DNL3" i="53"/>
  <c r="DOE3" i="53"/>
  <c r="DOV3" i="53"/>
  <c r="DPP3" i="53"/>
  <c r="DQY3" i="53"/>
  <c r="DRS3" i="53"/>
  <c r="DTC3" i="53"/>
  <c r="DTU3" i="53"/>
  <c r="DVX3" i="53"/>
  <c r="DXJ3" i="53"/>
  <c r="DZP3" i="53"/>
  <c r="EAJ3" i="53"/>
  <c r="ECP3" i="53"/>
  <c r="EEA3" i="53"/>
  <c r="EEV3" i="53"/>
  <c r="EFP3" i="53"/>
  <c r="EGH3" i="53"/>
  <c r="EHV3" i="53"/>
  <c r="EJG3" i="53"/>
  <c r="EKS3" i="53"/>
  <c r="ELN3" i="53"/>
  <c r="EMH3" i="53"/>
  <c r="EMY3" i="53"/>
  <c r="ENT3" i="53"/>
  <c r="EOM3" i="53"/>
  <c r="EPF3" i="53"/>
  <c r="EQT3" i="53"/>
  <c r="ERK3" i="53"/>
  <c r="ESE3" i="53"/>
  <c r="ESZ3" i="53"/>
  <c r="ETQ3" i="53"/>
  <c r="EUL3" i="53"/>
  <c r="EVW3" i="53"/>
  <c r="FBW3" i="53"/>
  <c r="FCO3" i="53"/>
  <c r="FEU3" i="53"/>
  <c r="FIP3" i="53"/>
  <c r="FJH3" i="53"/>
  <c r="FKD3" i="53"/>
  <c r="FLR3" i="53"/>
  <c r="FOU3" i="53"/>
  <c r="FRF3" i="53"/>
  <c r="FSA3" i="53"/>
  <c r="FST3" i="53"/>
  <c r="FTR3" i="53"/>
  <c r="FUK3" i="53"/>
  <c r="FXT3" i="53"/>
  <c r="FYQ3" i="53"/>
  <c r="GBX3" i="53"/>
  <c r="GFG3" i="53"/>
  <c r="GGD3" i="53"/>
  <c r="GJK3" i="53"/>
  <c r="GLC3" i="53"/>
  <c r="GMT3" i="53"/>
  <c r="GNQ3" i="53"/>
  <c r="GOK3" i="53"/>
  <c r="GQX3" i="53"/>
  <c r="GRT3" i="53"/>
  <c r="GSQ3" i="53"/>
  <c r="GUG3" i="53"/>
  <c r="GVX3" i="53"/>
  <c r="GZF3" i="53"/>
  <c r="HAD3" i="53"/>
  <c r="HDK3" i="53"/>
  <c r="HGT3" i="53"/>
  <c r="HHQ3" i="53"/>
  <c r="HIK3" i="53"/>
  <c r="HKX3" i="53"/>
  <c r="HLT3" i="53"/>
  <c r="HMQ3" i="53"/>
  <c r="HOG3" i="53"/>
  <c r="HPD3" i="53"/>
  <c r="HPW3" i="53"/>
  <c r="HTF3" i="53"/>
  <c r="HUC3" i="53"/>
  <c r="HXK3" i="53"/>
  <c r="IAT3" i="53"/>
  <c r="IBQ3" i="53"/>
  <c r="IEX3" i="53"/>
  <c r="IGQ3" i="53"/>
  <c r="IIF3" i="53"/>
  <c r="IJC3" i="53"/>
  <c r="IJW3" i="53"/>
  <c r="IMK3" i="53"/>
  <c r="INF3" i="53"/>
  <c r="IOC3" i="53"/>
  <c r="IPT3" i="53"/>
  <c r="IRK3" i="53"/>
  <c r="IUT3" i="53"/>
  <c r="IVQ3" i="53"/>
  <c r="IYW3" i="53"/>
  <c r="JCF3" i="53"/>
  <c r="JDC3" i="53"/>
  <c r="JDW3" i="53"/>
  <c r="JFQ3" i="53"/>
  <c r="JHI3" i="53"/>
  <c r="JIH3" i="53"/>
  <c r="JJC3" i="53"/>
  <c r="JJY3" i="53"/>
  <c r="JKX3" i="53"/>
  <c r="JMP3" i="53"/>
  <c r="JNP3" i="53"/>
  <c r="JRX3" i="53"/>
  <c r="JSV3" i="53"/>
  <c r="JXD3" i="53"/>
  <c r="JYC3" i="53"/>
  <c r="JZU3" i="53"/>
  <c r="KAU3" i="53"/>
  <c r="KCK3" i="53"/>
  <c r="KDK3" i="53"/>
  <c r="KFC3" i="53"/>
  <c r="KGB3" i="53"/>
  <c r="KGX3" i="53"/>
  <c r="KHW3" i="53"/>
  <c r="KIX3" i="53"/>
  <c r="KKV3" i="53"/>
  <c r="KLV3" i="53"/>
  <c r="KQQ3" i="53"/>
  <c r="KRT3" i="53"/>
  <c r="KWN3" i="53"/>
  <c r="KXP3" i="53"/>
  <c r="LAQ3" i="53"/>
  <c r="LBP3" i="53"/>
  <c r="LEX3" i="53"/>
  <c r="LHE3" i="53"/>
  <c r="LLN3" i="53"/>
  <c r="LPB3" i="53"/>
  <c r="LSM3" i="53"/>
  <c r="LUV3" i="53"/>
  <c r="LXB3" i="53"/>
  <c r="LYG3" i="53"/>
  <c r="MAM3" i="53"/>
  <c r="MCV3" i="53"/>
  <c r="MDX3" i="53"/>
  <c r="MFE3" i="53"/>
  <c r="MGG3" i="53"/>
  <c r="MIP3" i="53"/>
  <c r="MKT3" i="53"/>
  <c r="MMA3" i="53"/>
  <c r="MOF3" i="53"/>
  <c r="MQO3" i="53"/>
  <c r="MTZ3" i="53"/>
  <c r="NAV3" i="53"/>
  <c r="NDG3" i="53"/>
  <c r="NFL3" i="53"/>
  <c r="NGS3" i="53"/>
  <c r="NHS3" i="53"/>
  <c r="NMG3" i="53"/>
  <c r="NPS3" i="53"/>
  <c r="NQY3" i="53"/>
  <c r="NTE3" i="53"/>
  <c r="NUJ3" i="53"/>
  <c r="NYX3" i="53"/>
  <c r="OCI3" i="53"/>
  <c r="ODN3" i="53"/>
  <c r="OES3" i="53"/>
  <c r="OGY3" i="53"/>
  <c r="OIE3" i="53"/>
  <c r="OJK3" i="53"/>
  <c r="OKN3" i="53"/>
  <c r="OMZ3" i="53"/>
  <c r="OOD3" i="53"/>
  <c r="OQN3" i="53"/>
  <c r="ORW3" i="53"/>
  <c r="OTF3" i="53"/>
  <c r="OVQ3" i="53"/>
  <c r="OWZ3" i="53"/>
  <c r="PAW3" i="53"/>
  <c r="PDG3" i="53"/>
  <c r="PFX3" i="53"/>
  <c r="PJR3" i="53"/>
  <c r="PMI3" i="53"/>
  <c r="POU3" i="53"/>
  <c r="PQE3" i="53"/>
  <c r="PRI3" i="53"/>
  <c r="PUD3" i="53"/>
  <c r="PVM3" i="53"/>
  <c r="PWQ3" i="53"/>
  <c r="QAX3" i="53"/>
  <c r="QJG3" i="53"/>
  <c r="QNT3" i="53"/>
  <c r="QPI3" i="53"/>
  <c r="QQR3" i="53"/>
  <c r="QSN3" i="53"/>
  <c r="QWC3" i="53"/>
  <c r="QXP3" i="53"/>
  <c r="RCO3" i="53"/>
  <c r="REL3" i="53"/>
  <c r="RLP3" i="53"/>
  <c r="ROS3" i="53"/>
  <c r="RSJ3" i="53"/>
  <c r="SBI3" i="53"/>
  <c r="SDM3" i="53"/>
  <c r="SHD3" i="53"/>
  <c r="SIV3" i="53"/>
  <c r="SOL3" i="53"/>
  <c r="SSL3" i="53"/>
  <c r="SYV3" i="53"/>
  <c r="TAO3" i="53"/>
  <c r="TCJ3" i="53"/>
  <c r="TEQ3" i="53"/>
  <c r="TIQ3" i="53"/>
  <c r="TKO3" i="53"/>
  <c r="TMX3" i="53"/>
  <c r="TOX3" i="53"/>
  <c r="TQN3" i="53"/>
  <c r="TTC3" i="53"/>
  <c r="TVF3" i="53"/>
  <c r="TXS3" i="53"/>
  <c r="TZV3" i="53"/>
  <c r="UEV3" i="53"/>
  <c r="UKF3" i="53"/>
  <c r="UPL3" i="53"/>
  <c r="VFU3" i="53"/>
  <c r="VJC3" i="53"/>
  <c r="VMI3" i="53"/>
  <c r="VQN3" i="53"/>
  <c r="VUE3" i="53"/>
  <c r="VYM3" i="53"/>
  <c r="WCW3" i="53"/>
  <c r="XDS3" i="53"/>
  <c r="PUX3" i="53"/>
  <c r="PXW3" i="53"/>
  <c r="QAR3" i="53"/>
  <c r="QCP3" i="53"/>
  <c r="QDO3" i="53"/>
  <c r="QEP3" i="53"/>
  <c r="QFP3" i="53"/>
  <c r="QGQ3" i="53"/>
  <c r="QHO3" i="53"/>
  <c r="QIR3" i="53"/>
  <c r="QJP3" i="53"/>
  <c r="QKS3" i="53"/>
  <c r="QLQ3" i="53"/>
  <c r="QUM3" i="53"/>
  <c r="QVQ3" i="53"/>
  <c r="QWZ3" i="53"/>
  <c r="QYC3" i="53"/>
  <c r="QZG3" i="53"/>
  <c r="RBS3" i="53"/>
  <c r="RCV3" i="53"/>
  <c r="RDY3" i="53"/>
  <c r="RFD3" i="53"/>
  <c r="RHP3" i="53"/>
  <c r="RIT3" i="53"/>
  <c r="RKE3" i="53"/>
  <c r="RMO3" i="53"/>
  <c r="RQH3" i="53"/>
  <c r="RST3" i="53"/>
  <c r="RVH3" i="53"/>
  <c r="RXS3" i="53"/>
  <c r="RZB3" i="53"/>
  <c r="SAG3" i="53"/>
  <c r="SIA3" i="53"/>
  <c r="SJK3" i="53"/>
  <c r="SMA3" i="53"/>
  <c r="SNI3" i="53"/>
  <c r="SOS3" i="53"/>
  <c r="SSY3" i="53"/>
  <c r="SVV3" i="53"/>
  <c r="SXC3" i="53"/>
  <c r="SYM3" i="53"/>
  <c r="TCT3" i="53"/>
  <c r="TGY3" i="53"/>
  <c r="TJQ3" i="53"/>
  <c r="TPP3" i="53"/>
  <c r="TRC3" i="53"/>
  <c r="TSR3" i="53"/>
  <c r="TVR3" i="53"/>
  <c r="TXH3" i="53"/>
  <c r="UJI3" i="53"/>
  <c r="UNL3" i="53"/>
  <c r="UPB3" i="53"/>
  <c r="UYH3" i="53"/>
  <c r="VAI3" i="53"/>
  <c r="VEL3" i="53"/>
  <c r="VGM3" i="53"/>
  <c r="VLI3" i="53"/>
  <c r="WES3" i="53"/>
  <c r="WHN3" i="53"/>
  <c r="WKR3" i="53"/>
  <c r="WNR3" i="53"/>
  <c r="XBA3" i="53"/>
  <c r="B3" i="53"/>
  <c r="AC3" i="53"/>
  <c r="AP3" i="53"/>
  <c r="BP3" i="53"/>
  <c r="CQ3" i="53"/>
  <c r="DD3" i="53"/>
  <c r="EC3" i="53"/>
  <c r="FC3" i="53"/>
  <c r="GQ3" i="53"/>
  <c r="HQ3" i="53"/>
  <c r="IQ3" i="53"/>
  <c r="JE3" i="53"/>
  <c r="KD3" i="53"/>
  <c r="LE3" i="53"/>
  <c r="LR3" i="53"/>
  <c r="MR3" i="53"/>
  <c r="NQ3" i="53"/>
  <c r="PE3" i="53"/>
  <c r="QE3" i="53"/>
  <c r="RE3" i="53"/>
  <c r="RS3" i="53"/>
  <c r="SR3" i="53"/>
  <c r="TS3" i="53"/>
  <c r="UF3" i="53"/>
  <c r="VF3" i="53"/>
  <c r="WE3" i="53"/>
  <c r="XS3" i="53"/>
  <c r="YS3" i="53"/>
  <c r="ZT3" i="53"/>
  <c r="AAG3" i="53"/>
  <c r="ABG3" i="53"/>
  <c r="ACG3" i="53"/>
  <c r="ACU3" i="53"/>
  <c r="ADT3" i="53"/>
  <c r="AET3" i="53"/>
  <c r="AGH3" i="53"/>
  <c r="AHG3" i="53"/>
  <c r="AIH3" i="53"/>
  <c r="AIU3" i="53"/>
  <c r="AJU3" i="53"/>
  <c r="AKU3" i="53"/>
  <c r="ALI3" i="53"/>
  <c r="AMH3" i="53"/>
  <c r="ANH3" i="53"/>
  <c r="AOV3" i="53"/>
  <c r="APU3" i="53"/>
  <c r="AQV3" i="53"/>
  <c r="ARI3" i="53"/>
  <c r="ASI3" i="53"/>
  <c r="ATJ3" i="53"/>
  <c r="ATW3" i="53"/>
  <c r="AUW3" i="53"/>
  <c r="AVV3" i="53"/>
  <c r="AXJ3" i="53"/>
  <c r="AYJ3" i="53"/>
  <c r="AZJ3" i="53"/>
  <c r="AZX3" i="53"/>
  <c r="BAW3" i="53"/>
  <c r="BBX3" i="53"/>
  <c r="BCK3" i="53"/>
  <c r="BDK3" i="53"/>
  <c r="BEJ3" i="53"/>
  <c r="BFX3" i="53"/>
  <c r="BGX3" i="53"/>
  <c r="BHY3" i="53"/>
  <c r="BIL3" i="53"/>
  <c r="BJK3" i="53"/>
  <c r="BKL3" i="53"/>
  <c r="BKY3" i="53"/>
  <c r="BLY3" i="53"/>
  <c r="BMY3" i="53"/>
  <c r="BOM3" i="53"/>
  <c r="BPL3" i="53"/>
  <c r="BQM3" i="53"/>
  <c r="BQZ3" i="53"/>
  <c r="BRZ3" i="53"/>
  <c r="BSZ3" i="53"/>
  <c r="BTN3" i="53"/>
  <c r="BUM3" i="53"/>
  <c r="BVM3" i="53"/>
  <c r="BXA3" i="53"/>
  <c r="BXZ3" i="53"/>
  <c r="BZA3" i="53"/>
  <c r="BZN3" i="53"/>
  <c r="CAN3" i="53"/>
  <c r="CBO3" i="53"/>
  <c r="CCB3" i="53"/>
  <c r="CDA3" i="53"/>
  <c r="CEA3" i="53"/>
  <c r="CFO3" i="53"/>
  <c r="CGO3" i="53"/>
  <c r="CHO3" i="53"/>
  <c r="CIC3" i="53"/>
  <c r="CJB3" i="53"/>
  <c r="CKC3" i="53"/>
  <c r="CKP3" i="53"/>
  <c r="CLP3" i="53"/>
  <c r="CMO3" i="53"/>
  <c r="COC3" i="53"/>
  <c r="COQ3" i="53"/>
  <c r="CQT3" i="53"/>
  <c r="CVM3" i="53"/>
  <c r="CWB3" i="53"/>
  <c r="CXQ3" i="53"/>
  <c r="CYD3" i="53"/>
  <c r="CYR3" i="53"/>
  <c r="CZF3" i="53"/>
  <c r="CZU3" i="53"/>
  <c r="DAH3" i="53"/>
  <c r="DAU3" i="53"/>
  <c r="DBI3" i="53"/>
  <c r="DBW3" i="53"/>
  <c r="DCK3" i="53"/>
  <c r="DCY3" i="53"/>
  <c r="DDL3" i="53"/>
  <c r="DDY3" i="53"/>
  <c r="DFP3" i="53"/>
  <c r="DGC3" i="53"/>
  <c r="DKW3" i="53"/>
  <c r="DNM3" i="53"/>
  <c r="DOB3" i="53"/>
  <c r="DPQ3" i="53"/>
  <c r="DQD3" i="53"/>
  <c r="DQQ3" i="53"/>
  <c r="DRF3" i="53"/>
  <c r="DRT3" i="53"/>
  <c r="DSH3" i="53"/>
  <c r="DSU3" i="53"/>
  <c r="DTH3" i="53"/>
  <c r="DUK3" i="53"/>
  <c r="DUY3" i="53"/>
  <c r="DVL3" i="53"/>
  <c r="DVY3" i="53"/>
  <c r="DWN3" i="53"/>
  <c r="DXC3" i="53"/>
  <c r="DXQ3" i="53"/>
  <c r="DYF3" i="53"/>
  <c r="DYT3" i="53"/>
  <c r="EAK3" i="53"/>
  <c r="EBA3" i="53"/>
  <c r="ECQ3" i="53"/>
  <c r="EEI3" i="53"/>
  <c r="EEW3" i="53"/>
  <c r="EFL3" i="53"/>
  <c r="EFZ3" i="53"/>
  <c r="EHD3" i="53"/>
  <c r="EHR3" i="53"/>
  <c r="EIG3" i="53"/>
  <c r="EJH3" i="53"/>
  <c r="EJX3" i="53"/>
  <c r="ELO3" i="53"/>
  <c r="EMC3" i="53"/>
  <c r="EMS3" i="53"/>
  <c r="ENU3" i="53"/>
  <c r="EOJ3" i="53"/>
  <c r="EOX3" i="53"/>
  <c r="ERE3" i="53"/>
  <c r="ESU3" i="53"/>
  <c r="EUM3" i="53"/>
  <c r="EVA3" i="53"/>
  <c r="EWE3" i="53"/>
  <c r="EWS3" i="53"/>
  <c r="EXH3" i="53"/>
  <c r="EYJ3" i="53"/>
  <c r="EZM3" i="53"/>
  <c r="FBS3" i="53"/>
  <c r="FCG3" i="53"/>
  <c r="FCW3" i="53"/>
  <c r="FDY3" i="53"/>
  <c r="FEN3" i="53"/>
  <c r="FGF3" i="53"/>
  <c r="FIK3" i="53"/>
  <c r="FJA3" i="53"/>
  <c r="FKE3" i="53"/>
  <c r="FKU3" i="53"/>
  <c r="FLI3" i="53"/>
  <c r="FLX3" i="53"/>
  <c r="FND3" i="53"/>
  <c r="FNT3" i="53"/>
  <c r="FOH3" i="53"/>
  <c r="FQC3" i="53"/>
  <c r="FQR3" i="53"/>
  <c r="FTB3" i="53"/>
  <c r="FTS3" i="53"/>
  <c r="FUW3" i="53"/>
  <c r="FVP3" i="53"/>
  <c r="FWU3" i="53"/>
  <c r="FYR3" i="53"/>
  <c r="GAP3" i="53"/>
  <c r="GCK3" i="53"/>
  <c r="GEH3" i="53"/>
  <c r="GGF3" i="53"/>
  <c r="GIB3" i="53"/>
  <c r="GJX3" i="53"/>
  <c r="GLU3" i="53"/>
  <c r="GNR3" i="53"/>
  <c r="GOW3" i="53"/>
  <c r="GPP3" i="53"/>
  <c r="GQU3" i="53"/>
  <c r="GRK3" i="53"/>
  <c r="GSR3" i="53"/>
  <c r="GTI3" i="53"/>
  <c r="GUP3" i="53"/>
  <c r="GVF3" i="53"/>
  <c r="GWK3" i="53"/>
  <c r="GXB3" i="53"/>
  <c r="GYH3" i="53"/>
  <c r="HAF3" i="53"/>
  <c r="HCB3" i="53"/>
  <c r="HDW3" i="53"/>
  <c r="HFU3" i="53"/>
  <c r="HHR3" i="53"/>
  <c r="HIW3" i="53"/>
  <c r="HJP3" i="53"/>
  <c r="HKT3" i="53"/>
  <c r="HLK3" i="53"/>
  <c r="HMR3" i="53"/>
  <c r="HNH3" i="53"/>
  <c r="HOO3" i="53"/>
  <c r="HPF3" i="53"/>
  <c r="HQK3" i="53"/>
  <c r="HRB3" i="53"/>
  <c r="HSH3" i="53"/>
  <c r="HUD3" i="53"/>
  <c r="HWB3" i="53"/>
  <c r="HXW3" i="53"/>
  <c r="HZU3" i="53"/>
  <c r="IBR3" i="53"/>
  <c r="IDO3" i="53"/>
  <c r="IFK3" i="53"/>
  <c r="IHH3" i="53"/>
  <c r="IJF3" i="53"/>
  <c r="IKJ3" i="53"/>
  <c r="ILB3" i="53"/>
  <c r="IMH3" i="53"/>
  <c r="IMW3" i="53"/>
  <c r="IOD3" i="53"/>
  <c r="IOU3" i="53"/>
  <c r="IQB3" i="53"/>
  <c r="IQR3" i="53"/>
  <c r="IRW3" i="53"/>
  <c r="ISP3" i="53"/>
  <c r="ITT3" i="53"/>
  <c r="IVR3" i="53"/>
  <c r="IXO3" i="53"/>
  <c r="IZJ3" i="53"/>
  <c r="JBH3" i="53"/>
  <c r="JDD3" i="53"/>
  <c r="JEJ3" i="53"/>
  <c r="JFB3" i="53"/>
  <c r="JFR3" i="53"/>
  <c r="JGJ3" i="53"/>
  <c r="JGY3" i="53"/>
  <c r="JII3" i="53"/>
  <c r="JIZ3" i="53"/>
  <c r="JKI3" i="53"/>
  <c r="JLP3" i="53"/>
  <c r="JMG3" i="53"/>
  <c r="JMZ3" i="53"/>
  <c r="JNQ3" i="53"/>
  <c r="JOF3" i="53"/>
  <c r="JOX3" i="53"/>
  <c r="JPP3" i="53"/>
  <c r="JQW3" i="53"/>
  <c r="JRN3" i="53"/>
  <c r="JSH3" i="53"/>
  <c r="JSW3" i="53"/>
  <c r="JUE3" i="53"/>
  <c r="JUX3" i="53"/>
  <c r="JVN3" i="53"/>
  <c r="JWE3" i="53"/>
  <c r="JWT3" i="53"/>
  <c r="JXN3" i="53"/>
  <c r="JYD3" i="53"/>
  <c r="JZK3" i="53"/>
  <c r="KAV3" i="53"/>
  <c r="KBL3" i="53"/>
  <c r="KCU3" i="53"/>
  <c r="KDL3" i="53"/>
  <c r="KEB3" i="53"/>
  <c r="KES3" i="53"/>
  <c r="KGC3" i="53"/>
  <c r="KGS3" i="53"/>
  <c r="KIH3" i="53"/>
  <c r="KJS3" i="53"/>
  <c r="KKJ3" i="53"/>
  <c r="KLG3" i="53"/>
  <c r="KLW3" i="53"/>
  <c r="KMP3" i="53"/>
  <c r="KNI3" i="53"/>
  <c r="KOD3" i="53"/>
  <c r="KPO3" i="53"/>
  <c r="KQF3" i="53"/>
  <c r="KRB3" i="53"/>
  <c r="KRU3" i="53"/>
  <c r="KTE3" i="53"/>
  <c r="KTY3" i="53"/>
  <c r="KUS3" i="53"/>
  <c r="KVK3" i="53"/>
  <c r="KWC3" i="53"/>
  <c r="KWY3" i="53"/>
  <c r="KXQ3" i="53"/>
  <c r="KZB3" i="53"/>
  <c r="LAR3" i="53"/>
  <c r="LCH3" i="53"/>
  <c r="LFN3" i="53"/>
  <c r="LIV3" i="53"/>
  <c r="LJT3" i="53"/>
  <c r="LKP3" i="53"/>
  <c r="LMF3" i="53"/>
  <c r="LNE3" i="53"/>
  <c r="LPR3" i="53"/>
  <c r="LSI3" i="53"/>
  <c r="LTC3" i="53"/>
  <c r="LUB3" i="53"/>
  <c r="LUW3" i="53"/>
  <c r="LVT3" i="53"/>
  <c r="LYH3" i="53"/>
  <c r="MAY3" i="53"/>
  <c r="MBU3" i="53"/>
  <c r="MFF3" i="53"/>
  <c r="MFZ3" i="53"/>
  <c r="MJL3" i="53"/>
  <c r="MMB3" i="53"/>
  <c r="MMX3" i="53"/>
  <c r="MQI3" i="53"/>
  <c r="MRD3" i="53"/>
  <c r="MSE3" i="53"/>
  <c r="MUO3" i="53"/>
  <c r="MVP3" i="53"/>
  <c r="MYA3" i="53"/>
  <c r="NDH3" i="53"/>
  <c r="NFY3" i="53"/>
  <c r="NGT3" i="53"/>
  <c r="NIK3" i="53"/>
  <c r="NJH3" i="53"/>
  <c r="NOL3" i="53"/>
  <c r="NRB3" i="53"/>
  <c r="NUL3" i="53"/>
  <c r="NVI3" i="53"/>
  <c r="NWD3" i="53"/>
  <c r="NZO3" i="53"/>
  <c r="OAN3" i="53"/>
  <c r="OCF3" i="53"/>
  <c r="OGM3" i="53"/>
  <c r="OHK3" i="53"/>
  <c r="OIH3" i="53"/>
  <c r="ONP3" i="53"/>
  <c r="OOP3" i="53"/>
  <c r="OTG3" i="53"/>
  <c r="OUF3" i="53"/>
  <c r="OXD3" i="53"/>
  <c r="OYA3" i="53"/>
  <c r="OYX3" i="53"/>
  <c r="PAA3" i="53"/>
  <c r="PAX3" i="53"/>
  <c r="PDV3" i="53"/>
  <c r="PGP3" i="53"/>
  <c r="PHT3" i="53"/>
  <c r="PJM3" i="53"/>
  <c r="PKK3" i="53"/>
  <c r="PML3" i="53"/>
  <c r="PNG3" i="53"/>
  <c r="PPJ3" i="53"/>
  <c r="PSB3" i="53"/>
  <c r="PTB3" i="53"/>
  <c r="PUC3" i="53"/>
  <c r="PVY3" i="53"/>
  <c r="PXX3" i="53"/>
  <c r="PYU3" i="53"/>
  <c r="PZT3" i="53"/>
  <c r="QAT3" i="53"/>
  <c r="QBT3" i="53"/>
  <c r="QNS3" i="53"/>
  <c r="QOU3" i="53"/>
  <c r="QPW3" i="53"/>
  <c r="QSG3" i="53"/>
  <c r="QTK3" i="53"/>
  <c r="QUO3" i="53"/>
  <c r="RAN3" i="53"/>
  <c r="RDZ3" i="53"/>
  <c r="RGM3" i="53"/>
  <c r="RLM3" i="53"/>
  <c r="RRP3" i="53"/>
  <c r="SCW3" i="53"/>
  <c r="SEK3" i="53"/>
  <c r="SFP3" i="53"/>
  <c r="SGW3" i="53"/>
  <c r="SJP3" i="53"/>
  <c r="SPA3" i="53"/>
  <c r="SQG3" i="53"/>
  <c r="SRP3" i="53"/>
  <c r="SUK3" i="53"/>
  <c r="SYO3" i="53"/>
  <c r="TAB3" i="53"/>
  <c r="THA3" i="53"/>
  <c r="TIH3" i="53"/>
  <c r="TJS3" i="53"/>
  <c r="TMR3" i="53"/>
  <c r="TOG3" i="53"/>
  <c r="TRH3" i="53"/>
  <c r="TVT3" i="53"/>
  <c r="UGD3" i="53"/>
  <c r="UHY3" i="53"/>
  <c r="UJM3" i="53"/>
  <c r="ULP3" i="53"/>
  <c r="UQV3" i="53"/>
  <c r="UST3" i="53"/>
  <c r="UUT3" i="53"/>
  <c r="UWJ3" i="53"/>
  <c r="VAP3" i="53"/>
  <c r="VCQ3" i="53"/>
  <c r="VQB3" i="53"/>
  <c r="VTE3" i="53"/>
  <c r="VWA3" i="53"/>
  <c r="VYQ3" i="53"/>
  <c r="WNX3" i="53"/>
  <c r="Q3" i="53"/>
  <c r="AD3" i="53"/>
  <c r="BD3" i="53"/>
  <c r="CC3" i="53"/>
  <c r="DQ3" i="53"/>
  <c r="EQ3" i="53"/>
  <c r="FQ3" i="53"/>
  <c r="GE3" i="53"/>
  <c r="HD3" i="53"/>
  <c r="IE3" i="53"/>
  <c r="IR3" i="53"/>
  <c r="JR3" i="53"/>
  <c r="KQ3" i="53"/>
  <c r="ME3" i="53"/>
  <c r="NE3" i="53"/>
  <c r="OF3" i="53"/>
  <c r="OS3" i="53"/>
  <c r="PS3" i="53"/>
  <c r="QS3" i="53"/>
  <c r="RG3" i="53"/>
  <c r="SF3" i="53"/>
  <c r="TF3" i="53"/>
  <c r="UT3" i="53"/>
  <c r="VS3" i="53"/>
  <c r="WT3" i="53"/>
  <c r="XG3" i="53"/>
  <c r="YG3" i="53"/>
  <c r="ZG3" i="53"/>
  <c r="ZU3" i="53"/>
  <c r="AAT3" i="53"/>
  <c r="ABT3" i="53"/>
  <c r="ADH3" i="53"/>
  <c r="AEG3" i="53"/>
  <c r="AFH3" i="53"/>
  <c r="AFU3" i="53"/>
  <c r="AGU3" i="53"/>
  <c r="AHV3" i="53"/>
  <c r="AII3" i="53"/>
  <c r="AJI3" i="53"/>
  <c r="AKH3" i="53"/>
  <c r="ALV3" i="53"/>
  <c r="AMV3" i="53"/>
  <c r="ANV3" i="53"/>
  <c r="AOJ3" i="53"/>
  <c r="API3" i="53"/>
  <c r="AQJ3" i="53"/>
  <c r="AQW3" i="53"/>
  <c r="ARW3" i="53"/>
  <c r="ASV3" i="53"/>
  <c r="AUJ3" i="53"/>
  <c r="AVJ3" i="53"/>
  <c r="AWK3" i="53"/>
  <c r="AWX3" i="53"/>
  <c r="AXW3" i="53"/>
  <c r="AYX3" i="53"/>
  <c r="AZK3" i="53"/>
  <c r="BAK3" i="53"/>
  <c r="BBK3" i="53"/>
  <c r="BCY3" i="53"/>
  <c r="BDX3" i="53"/>
  <c r="BEY3" i="53"/>
  <c r="BFL3" i="53"/>
  <c r="BGL3" i="53"/>
  <c r="BHL3" i="53"/>
  <c r="BHZ3" i="53"/>
  <c r="BIY3" i="53"/>
  <c r="BJY3" i="53"/>
  <c r="BLM3" i="53"/>
  <c r="BML3" i="53"/>
  <c r="BNM3" i="53"/>
  <c r="BNZ3" i="53"/>
  <c r="BOZ3" i="53"/>
  <c r="BQA3" i="53"/>
  <c r="BQN3" i="53"/>
  <c r="BRM3" i="53"/>
  <c r="BSM3" i="53"/>
  <c r="BUA3" i="53"/>
  <c r="BVA3" i="53"/>
  <c r="BWA3" i="53"/>
  <c r="BWO3" i="53"/>
  <c r="BXN3" i="53"/>
  <c r="BYO3" i="53"/>
  <c r="BZB3" i="53"/>
  <c r="CAB3" i="53"/>
  <c r="CBA3" i="53"/>
  <c r="CCO3" i="53"/>
  <c r="CDO3" i="53"/>
  <c r="CEO3" i="53"/>
  <c r="CFC3" i="53"/>
  <c r="CGB3" i="53"/>
  <c r="CHC3" i="53"/>
  <c r="CHP3" i="53"/>
  <c r="CIP3" i="53"/>
  <c r="CJO3" i="53"/>
  <c r="CLC3" i="53"/>
  <c r="CMC3" i="53"/>
  <c r="CND3" i="53"/>
  <c r="CNQ3" i="53"/>
  <c r="COR3" i="53"/>
  <c r="CPE3" i="53"/>
  <c r="CPS3" i="53"/>
  <c r="CQU3" i="53"/>
  <c r="CRI3" i="53"/>
  <c r="CRV3" i="53"/>
  <c r="CSI3" i="53"/>
  <c r="CSX3" i="53"/>
  <c r="CTL3" i="53"/>
  <c r="CTY3" i="53"/>
  <c r="CUM3" i="53"/>
  <c r="CUZ3" i="53"/>
  <c r="CWP3" i="53"/>
  <c r="CXD3" i="53"/>
  <c r="CZG3" i="53"/>
  <c r="DBX3" i="53"/>
  <c r="DEN3" i="53"/>
  <c r="DFB3" i="53"/>
  <c r="DGQ3" i="53"/>
  <c r="DHE3" i="53"/>
  <c r="DHS3" i="53"/>
  <c r="DIU3" i="53"/>
  <c r="DJH3" i="53"/>
  <c r="DJV3" i="53"/>
  <c r="DKI3" i="53"/>
  <c r="DLL3" i="53"/>
  <c r="DLY3" i="53"/>
  <c r="DMM3" i="53"/>
  <c r="DMZ3" i="53"/>
  <c r="DOP3" i="53"/>
  <c r="DPC3" i="53"/>
  <c r="DRG3" i="53"/>
  <c r="DTX3" i="53"/>
  <c r="DVZ3" i="53"/>
  <c r="DYG3" i="53"/>
  <c r="DZI3" i="53"/>
  <c r="DZX3" i="53"/>
  <c r="EBO3" i="53"/>
  <c r="ECC3" i="53"/>
  <c r="EDG3" i="53"/>
  <c r="EDV3" i="53"/>
  <c r="EEJ3" i="53"/>
  <c r="EGP3" i="53"/>
  <c r="EIU3" i="53"/>
  <c r="EJJ3" i="53"/>
  <c r="EKM3" i="53"/>
  <c r="ELB3" i="53"/>
  <c r="ENH3" i="53"/>
  <c r="EPL3" i="53"/>
  <c r="EQB3" i="53"/>
  <c r="EQP3" i="53"/>
  <c r="ERS3" i="53"/>
  <c r="ESG3" i="53"/>
  <c r="ETZ3" i="53"/>
  <c r="EUN3" i="53"/>
  <c r="EVP3" i="53"/>
  <c r="EXV3" i="53"/>
  <c r="EYY3" i="53"/>
  <c r="EZN3" i="53"/>
  <c r="FAC3" i="53"/>
  <c r="FAQ3" i="53"/>
  <c r="FBE3" i="53"/>
  <c r="FCX3" i="53"/>
  <c r="FDL3" i="53"/>
  <c r="FFQ3" i="53"/>
  <c r="FGT3" i="53"/>
  <c r="FHW3" i="53"/>
  <c r="FOX3" i="53"/>
  <c r="FPN3" i="53"/>
  <c r="FRH3" i="53"/>
  <c r="FRV3" i="53"/>
  <c r="FSL3" i="53"/>
  <c r="FUI3" i="53"/>
  <c r="FWG3" i="53"/>
  <c r="FYD3" i="53"/>
  <c r="FZX3" i="53"/>
  <c r="GBV3" i="53"/>
  <c r="GDS3" i="53"/>
  <c r="GEX3" i="53"/>
  <c r="GFQ3" i="53"/>
  <c r="GGU3" i="53"/>
  <c r="GHL3" i="53"/>
  <c r="GIS3" i="53"/>
  <c r="GJI3" i="53"/>
  <c r="GKP3" i="53"/>
  <c r="GLG3" i="53"/>
  <c r="GMK3" i="53"/>
  <c r="GND3" i="53"/>
  <c r="GOI3" i="53"/>
  <c r="GQF3" i="53"/>
  <c r="GSD3" i="53"/>
  <c r="GTX3" i="53"/>
  <c r="GVU3" i="53"/>
  <c r="GXS3" i="53"/>
  <c r="GYX3" i="53"/>
  <c r="GZP3" i="53"/>
  <c r="HAU3" i="53"/>
  <c r="HBL3" i="53"/>
  <c r="HCS3" i="53"/>
  <c r="HDI3" i="53"/>
  <c r="HEP3" i="53"/>
  <c r="HFF3" i="53"/>
  <c r="HGK3" i="53"/>
  <c r="HHD3" i="53"/>
  <c r="HII3" i="53"/>
  <c r="HKF3" i="53"/>
  <c r="HMD3" i="53"/>
  <c r="HNX3" i="53"/>
  <c r="HPU3" i="53"/>
  <c r="HRS3" i="53"/>
  <c r="HTP3" i="53"/>
  <c r="HVK3" i="53"/>
  <c r="HXI3" i="53"/>
  <c r="HZF3" i="53"/>
  <c r="IAK3" i="53"/>
  <c r="IBD3" i="53"/>
  <c r="ICH3" i="53"/>
  <c r="ICX3" i="53"/>
  <c r="IEF3" i="53"/>
  <c r="IEU3" i="53"/>
  <c r="IGB3" i="53"/>
  <c r="IGS3" i="53"/>
  <c r="IHX3" i="53"/>
  <c r="IIP3" i="53"/>
  <c r="IJU3" i="53"/>
  <c r="ILR3" i="53"/>
  <c r="INP3" i="53"/>
  <c r="IPK3" i="53"/>
  <c r="IRI3" i="53"/>
  <c r="ITF3" i="53"/>
  <c r="IUK3" i="53"/>
  <c r="IVB3" i="53"/>
  <c r="IWH3" i="53"/>
  <c r="IWX3" i="53"/>
  <c r="IYF3" i="53"/>
  <c r="IYU3" i="53"/>
  <c r="JAB3" i="53"/>
  <c r="JAS3" i="53"/>
  <c r="JBW3" i="53"/>
  <c r="JCP3" i="53"/>
  <c r="JDU3" i="53"/>
  <c r="JLA3" i="53"/>
  <c r="JTO3" i="53"/>
  <c r="KAE3" i="53"/>
  <c r="KCC3" i="53"/>
  <c r="KJA3" i="53"/>
  <c r="KSN3" i="53"/>
  <c r="KZY3" i="53"/>
  <c r="LBM3" i="53"/>
  <c r="LDE3" i="53"/>
  <c r="LDZ3" i="53"/>
  <c r="LES3" i="53"/>
  <c r="LFP3" i="53"/>
  <c r="LGL3" i="53"/>
  <c r="LHG3" i="53"/>
  <c r="LIA3" i="53"/>
  <c r="LLL3" i="53"/>
  <c r="LMG3" i="53"/>
  <c r="LOC3" i="53"/>
  <c r="LOW3" i="53"/>
  <c r="LRL3" i="53"/>
  <c r="LSJ3" i="53"/>
  <c r="LVU3" i="53"/>
  <c r="LWP3" i="53"/>
  <c r="LXP3" i="53"/>
  <c r="LZF3" i="53"/>
  <c r="MAA3" i="53"/>
  <c r="MCO3" i="53"/>
  <c r="MDM3" i="53"/>
  <c r="MEL3" i="53"/>
  <c r="MHU3" i="53"/>
  <c r="MIS3" i="53"/>
  <c r="MKJ3" i="53"/>
  <c r="MLI3" i="53"/>
  <c r="MMD3" i="53"/>
  <c r="MOT3" i="53"/>
  <c r="MPP3" i="53"/>
  <c r="MSZ3" i="53"/>
  <c r="MTW3" i="53"/>
  <c r="MWL3" i="53"/>
  <c r="MZC3" i="53"/>
  <c r="MZW3" i="53"/>
  <c r="NAS3" i="53"/>
  <c r="NBO3" i="53"/>
  <c r="NEE3" i="53"/>
  <c r="NEZ3" i="53"/>
  <c r="NHO3" i="53"/>
  <c r="NLX3" i="53"/>
  <c r="NMT3" i="53"/>
  <c r="NNR3" i="53"/>
  <c r="NPI3" i="53"/>
  <c r="NQF3" i="53"/>
  <c r="NRX3" i="53"/>
  <c r="NSS3" i="53"/>
  <c r="NTR3" i="53"/>
  <c r="NUO3" i="53"/>
  <c r="NXX3" i="53"/>
  <c r="NYV3" i="53"/>
  <c r="OCG3" i="53"/>
  <c r="ODB3" i="53"/>
  <c r="OEA3" i="53"/>
  <c r="OEU3" i="53"/>
  <c r="OFR3" i="53"/>
  <c r="OJC3" i="53"/>
  <c r="OKB3" i="53"/>
  <c r="OLB3" i="53"/>
  <c r="OLX3" i="53"/>
  <c r="OMT3" i="53"/>
  <c r="ONR3" i="53"/>
  <c r="OPN3" i="53"/>
  <c r="OQK3" i="53"/>
  <c r="ORJ3" i="53"/>
  <c r="OSK3" i="53"/>
  <c r="OTH3" i="53"/>
  <c r="OVD3" i="53"/>
  <c r="OWF3" i="53"/>
  <c r="OYY3" i="53"/>
  <c r="PBX3" i="53"/>
  <c r="PCT3" i="53"/>
  <c r="PDX3" i="53"/>
  <c r="PET3" i="53"/>
  <c r="PIO3" i="53"/>
  <c r="POG3" i="53"/>
  <c r="PQH3" i="53"/>
  <c r="PRE3" i="53"/>
  <c r="PUZ3" i="53"/>
  <c r="PVZ3" i="53"/>
  <c r="PXA3" i="53"/>
  <c r="QCQ3" i="53"/>
  <c r="QDP3" i="53"/>
  <c r="QET3" i="53"/>
  <c r="QFS3" i="53"/>
  <c r="QGR3" i="53"/>
  <c r="QHP3" i="53"/>
  <c r="QIU3" i="53"/>
  <c r="QJS3" i="53"/>
  <c r="QKT3" i="53"/>
  <c r="QLR3" i="53"/>
  <c r="QMW3" i="53"/>
  <c r="QOW3" i="53"/>
  <c r="QRF3" i="53"/>
  <c r="QVY3" i="53"/>
  <c r="QXA3" i="53"/>
  <c r="QZH3" i="53"/>
  <c r="RBT3" i="53"/>
  <c r="RCX3" i="53"/>
  <c r="RFG3" i="53"/>
  <c r="RGQ3" i="53"/>
  <c r="RHU3" i="53"/>
  <c r="RIU3" i="53"/>
  <c r="RKG3" i="53"/>
  <c r="RLO3" i="53"/>
  <c r="RMP3" i="53"/>
  <c r="RPF3" i="53"/>
  <c r="RQL3" i="53"/>
  <c r="RSU3" i="53"/>
  <c r="RUG3" i="53"/>
  <c r="RVJ3" i="53"/>
  <c r="RWP3" i="53"/>
  <c r="RXT3" i="53"/>
  <c r="RZF3" i="53"/>
  <c r="SAH3" i="53"/>
  <c r="SBT3" i="53"/>
  <c r="SCZ3" i="53"/>
  <c r="SEL3" i="53"/>
  <c r="SFQ3" i="53"/>
  <c r="SIE3" i="53"/>
  <c r="SJQ3" i="53"/>
  <c r="SKV3" i="53"/>
  <c r="SME3" i="53"/>
  <c r="SNN3" i="53"/>
  <c r="SQL3" i="53"/>
  <c r="STA3" i="53"/>
  <c r="SVW3" i="53"/>
  <c r="SXE3" i="53"/>
  <c r="SYP3" i="53"/>
  <c r="TBN3" i="53"/>
  <c r="TEE3" i="53"/>
  <c r="TFS3" i="53"/>
  <c r="THC3" i="53"/>
  <c r="TJT3" i="53"/>
  <c r="TLL3" i="53"/>
  <c r="TMV3" i="53"/>
  <c r="TPQ3" i="53"/>
  <c r="TST3" i="53"/>
  <c r="TUG3" i="53"/>
  <c r="TXQ3" i="53"/>
  <c r="TZB3" i="53"/>
  <c r="UAT3" i="53"/>
  <c r="UCJ3" i="53"/>
  <c r="UEN3" i="53"/>
  <c r="UJR3" i="53"/>
  <c r="UNM3" i="53"/>
  <c r="UPE3" i="53"/>
  <c r="UUU3" i="53"/>
  <c r="UYJ3" i="53"/>
  <c r="VGO3" i="53"/>
  <c r="VJA3" i="53"/>
  <c r="VLK3" i="53"/>
  <c r="VNS3" i="53"/>
  <c r="VQE3" i="53"/>
  <c r="VTG3" i="53"/>
  <c r="WBQ3" i="53"/>
  <c r="WFF3" i="53"/>
  <c r="WOE3" i="53"/>
  <c r="WYJ3" i="53"/>
  <c r="XBK3" i="53"/>
  <c r="CTG3" i="53"/>
  <c r="IN3" i="53"/>
  <c r="ADR3" i="53"/>
  <c r="AGE3" i="53"/>
  <c r="AIE3" i="53"/>
  <c r="AJS3" i="53"/>
  <c r="AKR3" i="53"/>
  <c r="ALS3" i="53"/>
  <c r="AMF3" i="53"/>
  <c r="ANF3" i="53"/>
  <c r="AOF3" i="53"/>
  <c r="AOT3" i="53"/>
  <c r="APS3" i="53"/>
  <c r="AQS3" i="53"/>
  <c r="ASG3" i="53"/>
  <c r="ATF3" i="53"/>
  <c r="AUG3" i="53"/>
  <c r="AUT3" i="53"/>
  <c r="AVT3" i="53"/>
  <c r="AWU3" i="53"/>
  <c r="AXH3" i="53"/>
  <c r="AYG3" i="53"/>
  <c r="AZG3" i="53"/>
  <c r="BAU3" i="53"/>
  <c r="BBU3" i="53"/>
  <c r="BCU3" i="53"/>
  <c r="BDI3" i="53"/>
  <c r="BEH3" i="53"/>
  <c r="BFI3" i="53"/>
  <c r="BFV3" i="53"/>
  <c r="BGV3" i="53"/>
  <c r="BHU3" i="53"/>
  <c r="BJI3" i="53"/>
  <c r="BKI3" i="53"/>
  <c r="BLI3" i="53"/>
  <c r="BLW3" i="53"/>
  <c r="BMV3" i="53"/>
  <c r="BNW3" i="53"/>
  <c r="BOJ3" i="53"/>
  <c r="BPJ3" i="53"/>
  <c r="BQI3" i="53"/>
  <c r="BRW3" i="53"/>
  <c r="BSW3" i="53"/>
  <c r="BTX3" i="53"/>
  <c r="BUK3" i="53"/>
  <c r="BVK3" i="53"/>
  <c r="BWK3" i="53"/>
  <c r="BWY3" i="53"/>
  <c r="BXX3" i="53"/>
  <c r="BYX3" i="53"/>
  <c r="CAL3" i="53"/>
  <c r="CBK3" i="53"/>
  <c r="CCL3" i="53"/>
  <c r="CCY3" i="53"/>
  <c r="CDY3" i="53"/>
  <c r="CEY3" i="53"/>
  <c r="CFM3" i="53"/>
  <c r="CGL3" i="53"/>
  <c r="CHL3" i="53"/>
  <c r="CIZ3" i="53"/>
  <c r="CJY3" i="53"/>
  <c r="CKZ3" i="53"/>
  <c r="CLM3" i="53"/>
  <c r="CMM3" i="53"/>
  <c r="CNN3" i="53"/>
  <c r="COA3" i="53"/>
  <c r="CON3" i="53"/>
  <c r="CPB3" i="53"/>
  <c r="CRE3" i="53"/>
  <c r="CTV3" i="53"/>
  <c r="CVY3" i="53"/>
  <c r="CWM3" i="53"/>
  <c r="CYB3" i="53"/>
  <c r="CYO3" i="53"/>
  <c r="CZC3" i="53"/>
  <c r="CZQ3" i="53"/>
  <c r="DAF3" i="53"/>
  <c r="DAS3" i="53"/>
  <c r="DBF3" i="53"/>
  <c r="DBT3" i="53"/>
  <c r="DCG3" i="53"/>
  <c r="DDJ3" i="53"/>
  <c r="DDW3" i="53"/>
  <c r="DEK3" i="53"/>
  <c r="DGA3" i="53"/>
  <c r="DGN3" i="53"/>
  <c r="DLV3" i="53"/>
  <c r="DNX3" i="53"/>
  <c r="DOM3" i="53"/>
  <c r="DQB3" i="53"/>
  <c r="DQO3" i="53"/>
  <c r="DRC3" i="53"/>
  <c r="DRQ3" i="53"/>
  <c r="DSE3" i="53"/>
  <c r="DSS3" i="53"/>
  <c r="DTF3" i="53"/>
  <c r="DTS3" i="53"/>
  <c r="DUG3" i="53"/>
  <c r="DVJ3" i="53"/>
  <c r="DVW3" i="53"/>
  <c r="EAH3" i="53"/>
  <c r="EBZ3" i="53"/>
  <c r="ECO3" i="53"/>
  <c r="EDQ3" i="53"/>
  <c r="EEU3" i="53"/>
  <c r="EFX3" i="53"/>
  <c r="EHA3" i="53"/>
  <c r="EJF3" i="53"/>
  <c r="EJT3" i="53"/>
  <c r="ELM3" i="53"/>
  <c r="EQM3" i="53"/>
  <c r="ERA3" i="53"/>
  <c r="ESD3" i="53"/>
  <c r="ESR3" i="53"/>
  <c r="ETV3" i="53"/>
  <c r="EUK3" i="53"/>
  <c r="EUY3" i="53"/>
  <c r="EWA3" i="53"/>
  <c r="EXD3" i="53"/>
  <c r="EYG3" i="53"/>
  <c r="EZJ3" i="53"/>
  <c r="EZY3" i="53"/>
  <c r="FAN3" i="53"/>
  <c r="FBP3" i="53"/>
  <c r="FDW3" i="53"/>
  <c r="FFM3" i="53"/>
  <c r="FGA3" i="53"/>
  <c r="FGQ3" i="53"/>
  <c r="FHE3" i="53"/>
  <c r="FHT3" i="53"/>
  <c r="FIH3" i="53"/>
  <c r="FIW3" i="53"/>
  <c r="FJN3" i="53"/>
  <c r="FKS3" i="53"/>
  <c r="FLG3" i="53"/>
  <c r="FLV3" i="53"/>
  <c r="FMK3" i="53"/>
  <c r="FNP3" i="53"/>
  <c r="FOF3" i="53"/>
  <c r="FOT3" i="53"/>
  <c r="FRD3" i="53"/>
  <c r="FSX3" i="53"/>
  <c r="FUU3" i="53"/>
  <c r="FWS3" i="53"/>
  <c r="FYP3" i="53"/>
  <c r="GAJ3" i="53"/>
  <c r="GCH3" i="53"/>
  <c r="GEE3" i="53"/>
  <c r="GFJ3" i="53"/>
  <c r="GGC3" i="53"/>
  <c r="GHG3" i="53"/>
  <c r="GHX3" i="53"/>
  <c r="GJE3" i="53"/>
  <c r="GJU3" i="53"/>
  <c r="GLB3" i="53"/>
  <c r="GLS3" i="53"/>
  <c r="GMX3" i="53"/>
  <c r="GNP3" i="53"/>
  <c r="GOU3" i="53"/>
  <c r="GQR3" i="53"/>
  <c r="GSP3" i="53"/>
  <c r="GUJ3" i="53"/>
  <c r="GWH3" i="53"/>
  <c r="GYE3" i="53"/>
  <c r="GZJ3" i="53"/>
  <c r="HAB3" i="53"/>
  <c r="HBG3" i="53"/>
  <c r="HBX3" i="53"/>
  <c r="HDE3" i="53"/>
  <c r="HDU3" i="53"/>
  <c r="HFB3" i="53"/>
  <c r="HFS3" i="53"/>
  <c r="HGW3" i="53"/>
  <c r="HHP3" i="53"/>
  <c r="HIU3" i="53"/>
  <c r="HKR3" i="53"/>
  <c r="HMP3" i="53"/>
  <c r="HOJ3" i="53"/>
  <c r="HQG3" i="53"/>
  <c r="HSE3" i="53"/>
  <c r="HUB3" i="53"/>
  <c r="HVW3" i="53"/>
  <c r="HXU3" i="53"/>
  <c r="HZR3" i="53"/>
  <c r="IAW3" i="53"/>
  <c r="IBP3" i="53"/>
  <c r="ICU3" i="53"/>
  <c r="IDJ3" i="53"/>
  <c r="IER3" i="53"/>
  <c r="IFG3" i="53"/>
  <c r="IGO3" i="53"/>
  <c r="IHE3" i="53"/>
  <c r="IIJ3" i="53"/>
  <c r="IJB3" i="53"/>
  <c r="IKG3" i="53"/>
  <c r="IME3" i="53"/>
  <c r="IOB3" i="53"/>
  <c r="IPW3" i="53"/>
  <c r="IRU3" i="53"/>
  <c r="ITR3" i="53"/>
  <c r="IUW3" i="53"/>
  <c r="IVP3" i="53"/>
  <c r="IWT3" i="53"/>
  <c r="IXJ3" i="53"/>
  <c r="IYR3" i="53"/>
  <c r="IZG3" i="53"/>
  <c r="JAO3" i="53"/>
  <c r="JBE3" i="53"/>
  <c r="JCI3" i="53"/>
  <c r="JDB3" i="53"/>
  <c r="JEG3" i="53"/>
  <c r="JFP3" i="53"/>
  <c r="JGW3" i="53"/>
  <c r="JHM3" i="53"/>
  <c r="JIG3" i="53"/>
  <c r="JIW3" i="53"/>
  <c r="JJM3" i="53"/>
  <c r="JKE3" i="53"/>
  <c r="JKV3" i="53"/>
  <c r="JMD3" i="53"/>
  <c r="JMT3" i="53"/>
  <c r="JNN3" i="53"/>
  <c r="JOD3" i="53"/>
  <c r="JPK3" i="53"/>
  <c r="JQD3" i="53"/>
  <c r="JQU3" i="53"/>
  <c r="JRL3" i="53"/>
  <c r="JSA3" i="53"/>
  <c r="JSU3" i="53"/>
  <c r="JTK3" i="53"/>
  <c r="JUR3" i="53"/>
  <c r="JWC3" i="53"/>
  <c r="JWR3" i="53"/>
  <c r="JYB3" i="53"/>
  <c r="JYR3" i="53"/>
  <c r="JZI3" i="53"/>
  <c r="JZZ3" i="53"/>
  <c r="KBI3" i="53"/>
  <c r="KBY3" i="53"/>
  <c r="KDJ3" i="53"/>
  <c r="KEQ3" i="53"/>
  <c r="KFF3" i="53"/>
  <c r="KFZ3" i="53"/>
  <c r="KGQ3" i="53"/>
  <c r="KHJ3" i="53"/>
  <c r="KIA3" i="53"/>
  <c r="KIV3" i="53"/>
  <c r="KKH3" i="53"/>
  <c r="KKY3" i="53"/>
  <c r="KLU3" i="53"/>
  <c r="KMN3" i="53"/>
  <c r="KNY3" i="53"/>
  <c r="KOS3" i="53"/>
  <c r="KPM3" i="53"/>
  <c r="KQC3" i="53"/>
  <c r="KQV3" i="53"/>
  <c r="KRQ3" i="53"/>
  <c r="KSI3" i="53"/>
  <c r="KTU3" i="53"/>
  <c r="KVH3" i="53"/>
  <c r="KWA3" i="53"/>
  <c r="KXO3" i="53"/>
  <c r="KYE3" i="53"/>
  <c r="KYY3" i="53"/>
  <c r="LAP3" i="53"/>
  <c r="LMB3" i="53"/>
  <c r="LOS3" i="53"/>
  <c r="LSZ3" i="53"/>
  <c r="LTV3" i="53"/>
  <c r="LXF3" i="53"/>
  <c r="LYF3" i="53"/>
  <c r="MAR3" i="53"/>
  <c r="MEC3" i="53"/>
  <c r="MFB3" i="53"/>
  <c r="MFX3" i="53"/>
  <c r="MIO3" i="53"/>
  <c r="MJI3" i="53"/>
  <c r="MLY3" i="53"/>
  <c r="MQG3" i="53"/>
  <c r="MRB3" i="53"/>
  <c r="MRW3" i="53"/>
  <c r="MTR3" i="53"/>
  <c r="MUM3" i="53"/>
  <c r="MWH3" i="53"/>
  <c r="MXB3" i="53"/>
  <c r="NBJ3" i="53"/>
  <c r="NCE3" i="53"/>
  <c r="NDD3" i="53"/>
  <c r="NEV3" i="53"/>
  <c r="NFP3" i="53"/>
  <c r="NGO3" i="53"/>
  <c r="NHJ3" i="53"/>
  <c r="NIG3" i="53"/>
  <c r="NKB3" i="53"/>
  <c r="NMN3" i="53"/>
  <c r="NNK3" i="53"/>
  <c r="NOJ3" i="53"/>
  <c r="NQX3" i="53"/>
  <c r="NRT3" i="53"/>
  <c r="NTJ3" i="53"/>
  <c r="NUI3" i="53"/>
  <c r="NVE3" i="53"/>
  <c r="NYP3" i="53"/>
  <c r="NZL3" i="53"/>
  <c r="OCB3" i="53"/>
  <c r="OCW3" i="53"/>
  <c r="OER3" i="53"/>
  <c r="OFM3" i="53"/>
  <c r="OID3" i="53"/>
  <c r="OIZ3" i="53"/>
  <c r="OKT3" i="53"/>
  <c r="OLU3" i="53"/>
  <c r="OMP3" i="53"/>
  <c r="OOJ3" i="53"/>
  <c r="OQG3" i="53"/>
  <c r="ORD3" i="53"/>
  <c r="OTD3" i="53"/>
  <c r="OVX3" i="53"/>
  <c r="OWY3" i="53"/>
  <c r="OXX3" i="53"/>
  <c r="OZT3" i="53"/>
  <c r="PCQ3" i="53"/>
  <c r="PEQ3" i="53"/>
  <c r="PFM3" i="53"/>
  <c r="PGM3" i="53"/>
  <c r="PJI3" i="53"/>
  <c r="PKI3" i="53"/>
  <c r="PLE3" i="53"/>
  <c r="PNE3" i="53"/>
  <c r="POC3" i="53"/>
  <c r="PQC3" i="53"/>
  <c r="PRX3" i="53"/>
  <c r="PSW3" i="53"/>
  <c r="PWR3" i="53"/>
  <c r="PYQ3" i="53"/>
  <c r="PZM3" i="53"/>
  <c r="QCL3" i="53"/>
  <c r="QGN3" i="53"/>
  <c r="QKN3" i="53"/>
  <c r="QML3" i="53"/>
  <c r="QOQ3" i="53"/>
  <c r="QQU3" i="53"/>
  <c r="QSC3" i="53"/>
  <c r="QTG3" i="53"/>
  <c r="QZD3" i="53"/>
  <c r="RAF3" i="53"/>
  <c r="RCP3" i="53"/>
  <c r="REY3" i="53"/>
  <c r="RGI3" i="53"/>
  <c r="RNQ3" i="53"/>
  <c r="ROU3" i="53"/>
  <c r="RRL3" i="53"/>
  <c r="RSQ3" i="53"/>
  <c r="RYS3" i="53"/>
  <c r="SAE3" i="53"/>
  <c r="SBJ3" i="53"/>
  <c r="SDX3" i="53"/>
  <c r="SFK3" i="53"/>
  <c r="SJE3" i="53"/>
  <c r="SKS3" i="53"/>
  <c r="SND3" i="53"/>
  <c r="SON3" i="53"/>
  <c r="SRJ3" i="53"/>
  <c r="SSV3" i="53"/>
  <c r="TBC3" i="53"/>
  <c r="TCL3" i="53"/>
  <c r="TOA3" i="53"/>
  <c r="TPM3" i="53"/>
  <c r="TQS3" i="53"/>
  <c r="TSL3" i="53"/>
  <c r="TVK3" i="53"/>
  <c r="TWX3" i="53"/>
  <c r="UAF3" i="53"/>
  <c r="UBZ3" i="53"/>
  <c r="UDS3" i="53"/>
  <c r="ULA3" i="53"/>
  <c r="USH3" i="53"/>
  <c r="UUJ3" i="53"/>
  <c r="UZZ3" i="53"/>
  <c r="VEG3" i="53"/>
  <c r="VIN3" i="53"/>
  <c r="VKT3" i="53"/>
  <c r="VNJ3" i="53"/>
  <c r="VSJ3" i="53"/>
  <c r="VVI3" i="53"/>
  <c r="VYO3" i="53"/>
  <c r="WBI3" i="53"/>
  <c r="WED3" i="53"/>
  <c r="WHD3" i="53"/>
  <c r="WNO3" i="53"/>
  <c r="XAT3" i="53"/>
  <c r="ABQ3" i="53"/>
  <c r="ACP3" i="53"/>
  <c r="AED3" i="53"/>
  <c r="AFD3" i="53"/>
  <c r="AGD3" i="53"/>
  <c r="AGR3" i="53"/>
  <c r="AHQ3" i="53"/>
  <c r="AIR3" i="53"/>
  <c r="AJE3" i="53"/>
  <c r="AKE3" i="53"/>
  <c r="ALD3" i="53"/>
  <c r="AMR3" i="53"/>
  <c r="ANR3" i="53"/>
  <c r="AOS3" i="53"/>
  <c r="APF3" i="53"/>
  <c r="AQE3" i="53"/>
  <c r="ARF3" i="53"/>
  <c r="ARS3" i="53"/>
  <c r="ASS3" i="53"/>
  <c r="ATS3" i="53"/>
  <c r="AVG3" i="53"/>
  <c r="AWF3" i="53"/>
  <c r="AXG3" i="53"/>
  <c r="AXT3" i="53"/>
  <c r="AYT3" i="53"/>
  <c r="AZT3" i="53"/>
  <c r="BAH3" i="53"/>
  <c r="BBG3" i="53"/>
  <c r="BCG3" i="53"/>
  <c r="BDU3" i="53"/>
  <c r="BET3" i="53"/>
  <c r="BFU3" i="53"/>
  <c r="BGH3" i="53"/>
  <c r="BHH3" i="53"/>
  <c r="BII3" i="53"/>
  <c r="BIV3" i="53"/>
  <c r="BJU3" i="53"/>
  <c r="BKU3" i="53"/>
  <c r="BMI3" i="53"/>
  <c r="BNI3" i="53"/>
  <c r="BOI3" i="53"/>
  <c r="BOW3" i="53"/>
  <c r="BPV3" i="53"/>
  <c r="BQW3" i="53"/>
  <c r="BRJ3" i="53"/>
  <c r="BSJ3" i="53"/>
  <c r="BTI3" i="53"/>
  <c r="BUW3" i="53"/>
  <c r="BVW3" i="53"/>
  <c r="BWW3" i="53"/>
  <c r="BXK3" i="53"/>
  <c r="BYJ3" i="53"/>
  <c r="BZK3" i="53"/>
  <c r="BZX3" i="53"/>
  <c r="CAX3" i="53"/>
  <c r="CBW3" i="53"/>
  <c r="CDK3" i="53"/>
  <c r="CEK3" i="53"/>
  <c r="CFL3" i="53"/>
  <c r="CFY3" i="53"/>
  <c r="CGY3" i="53"/>
  <c r="CHY3" i="53"/>
  <c r="CIM3" i="53"/>
  <c r="CJL3" i="53"/>
  <c r="CKL3" i="53"/>
  <c r="CLZ3" i="53"/>
  <c r="CMY3" i="53"/>
  <c r="CNZ3" i="53"/>
  <c r="CPO3" i="53"/>
  <c r="CQB3" i="53"/>
  <c r="CQQ3" i="53"/>
  <c r="CRS3" i="53"/>
  <c r="CSF3" i="53"/>
  <c r="CSS3" i="53"/>
  <c r="CUI3" i="53"/>
  <c r="CUW3" i="53"/>
  <c r="CVJ3" i="53"/>
  <c r="CVW3" i="53"/>
  <c r="CXN3" i="53"/>
  <c r="CYA3" i="53"/>
  <c r="DAE3" i="53"/>
  <c r="DCU3" i="53"/>
  <c r="DEX3" i="53"/>
  <c r="DFK3" i="53"/>
  <c r="DFZ3" i="53"/>
  <c r="DHA3" i="53"/>
  <c r="DHO3" i="53"/>
  <c r="DIB3" i="53"/>
  <c r="DIQ3" i="53"/>
  <c r="DJE3" i="53"/>
  <c r="DJR3" i="53"/>
  <c r="DKF3" i="53"/>
  <c r="DKS3" i="53"/>
  <c r="DLF3" i="53"/>
  <c r="DMI3" i="53"/>
  <c r="DMW3" i="53"/>
  <c r="DNJ3" i="53"/>
  <c r="DPM3" i="53"/>
  <c r="DUU3" i="53"/>
  <c r="DWJ3" i="53"/>
  <c r="DWY3" i="53"/>
  <c r="DXM3" i="53"/>
  <c r="DYQ3" i="53"/>
  <c r="DZE3" i="53"/>
  <c r="DZT3" i="53"/>
  <c r="EAV3" i="53"/>
  <c r="EBL3" i="53"/>
  <c r="EDB3" i="53"/>
  <c r="EDP3" i="53"/>
  <c r="EEF3" i="53"/>
  <c r="EFH3" i="53"/>
  <c r="EGK3" i="53"/>
  <c r="EIR3" i="53"/>
  <c r="EJS3" i="53"/>
  <c r="EKI3" i="53"/>
  <c r="EKX3" i="53"/>
  <c r="ELZ3" i="53"/>
  <c r="EMN3" i="53"/>
  <c r="ENC3" i="53"/>
  <c r="ENR3" i="53"/>
  <c r="EOF3" i="53"/>
  <c r="EOU3" i="53"/>
  <c r="EPI3" i="53"/>
  <c r="EQZ3" i="53"/>
  <c r="ERP3" i="53"/>
  <c r="ETF3" i="53"/>
  <c r="ETU3" i="53"/>
  <c r="EVL3" i="53"/>
  <c r="EWO3" i="53"/>
  <c r="EXS3" i="53"/>
  <c r="EYV3" i="53"/>
  <c r="EZW3" i="53"/>
  <c r="FAM3" i="53"/>
  <c r="FBB3" i="53"/>
  <c r="FCD3" i="53"/>
  <c r="FCR3" i="53"/>
  <c r="FDH3" i="53"/>
  <c r="FEJ3" i="53"/>
  <c r="FEY3" i="53"/>
  <c r="FNA3" i="53"/>
  <c r="FPX3" i="53"/>
  <c r="FQN3" i="53"/>
  <c r="FSG3" i="53"/>
  <c r="FTN3" i="53"/>
  <c r="FUE3" i="53"/>
  <c r="FVJ3" i="53"/>
  <c r="FWA3" i="53"/>
  <c r="FXG3" i="53"/>
  <c r="FZD3" i="53"/>
  <c r="GBA3" i="53"/>
  <c r="GCW3" i="53"/>
  <c r="GEU3" i="53"/>
  <c r="GGR3" i="53"/>
  <c r="GIN3" i="53"/>
  <c r="GKJ3" i="53"/>
  <c r="GMG3" i="53"/>
  <c r="GNN3" i="53"/>
  <c r="GOE3" i="53"/>
  <c r="GPI3" i="53"/>
  <c r="GQA3" i="53"/>
  <c r="GRG3" i="53"/>
  <c r="GRW3" i="53"/>
  <c r="GTD3" i="53"/>
  <c r="GTU3" i="53"/>
  <c r="GVA3" i="53"/>
  <c r="GVR3" i="53"/>
  <c r="GWW3" i="53"/>
  <c r="GYT3" i="53"/>
  <c r="HAR3" i="53"/>
  <c r="HCN3" i="53"/>
  <c r="HEI3" i="53"/>
  <c r="HGG3" i="53"/>
  <c r="HID3" i="53"/>
  <c r="HJI3" i="53"/>
  <c r="HKA3" i="53"/>
  <c r="HLG3" i="53"/>
  <c r="HLW3" i="53"/>
  <c r="HND3" i="53"/>
  <c r="HNT3" i="53"/>
  <c r="HOZ3" i="53"/>
  <c r="HPR3" i="53"/>
  <c r="HQW3" i="53"/>
  <c r="HRN3" i="53"/>
  <c r="HST3" i="53"/>
  <c r="HUR3" i="53"/>
  <c r="HWN3" i="53"/>
  <c r="HYI3" i="53"/>
  <c r="IAG3" i="53"/>
  <c r="ICD3" i="53"/>
  <c r="IDZ3" i="53"/>
  <c r="IFW3" i="53"/>
  <c r="IHT3" i="53"/>
  <c r="IIZ3" i="53"/>
  <c r="IJR3" i="53"/>
  <c r="IKV3" i="53"/>
  <c r="ILN3" i="53"/>
  <c r="IMT3" i="53"/>
  <c r="INI3" i="53"/>
  <c r="IOQ3" i="53"/>
  <c r="IPG3" i="53"/>
  <c r="IQN3" i="53"/>
  <c r="IRD3" i="53"/>
  <c r="ISI3" i="53"/>
  <c r="IUF3" i="53"/>
  <c r="IWD3" i="53"/>
  <c r="IXZ3" i="53"/>
  <c r="IZW3" i="53"/>
  <c r="JBT3" i="53"/>
  <c r="JDQ3" i="53"/>
  <c r="JEV3" i="53"/>
  <c r="JID3" i="53"/>
  <c r="JLM3" i="53"/>
  <c r="JUA3" i="53"/>
  <c r="KCP3" i="53"/>
  <c r="KFX3" i="53"/>
  <c r="KJN3" i="53"/>
  <c r="KTA3" i="53"/>
  <c r="KZP3" i="53"/>
  <c r="LAL3" i="53"/>
  <c r="LBH3" i="53"/>
  <c r="LCA3" i="53"/>
  <c r="LCX3" i="53"/>
  <c r="LDS3" i="53"/>
  <c r="LEP3" i="53"/>
  <c r="LFI3" i="53"/>
  <c r="LGE3" i="53"/>
  <c r="LGZ3" i="53"/>
  <c r="LHX3" i="53"/>
  <c r="LIO3" i="53"/>
  <c r="LKJ3" i="53"/>
  <c r="LMY3" i="53"/>
  <c r="LNU3" i="53"/>
  <c r="LQG3" i="53"/>
  <c r="LRG3" i="53"/>
  <c r="LUS3" i="53"/>
  <c r="LVN3" i="53"/>
  <c r="LWK3" i="53"/>
  <c r="LYZ3" i="53"/>
  <c r="MAQ3" i="53"/>
  <c r="MBO3" i="53"/>
  <c r="MCL3" i="53"/>
  <c r="MDH3" i="53"/>
  <c r="MGR3" i="53"/>
  <c r="MHO3" i="53"/>
  <c r="MKD3" i="53"/>
  <c r="MKZ3" i="53"/>
  <c r="MMU3" i="53"/>
  <c r="MNO3" i="53"/>
  <c r="MOK3" i="53"/>
  <c r="MRU3" i="53"/>
  <c r="MSS3" i="53"/>
  <c r="MVH3" i="53"/>
  <c r="MWD3" i="53"/>
  <c r="MXX3" i="53"/>
  <c r="MYS3" i="53"/>
  <c r="NAN3" i="53"/>
  <c r="NDX3" i="53"/>
  <c r="NGM3" i="53"/>
  <c r="NJB3" i="53"/>
  <c r="NJW3" i="53"/>
  <c r="NKU3" i="53"/>
  <c r="NLP3" i="53"/>
  <c r="NPA3" i="53"/>
  <c r="NVY3" i="53"/>
  <c r="NWS3" i="53"/>
  <c r="NXR3" i="53"/>
  <c r="OAE3" i="53"/>
  <c r="OBE3" i="53"/>
  <c r="ODQ3" i="53"/>
  <c r="OHB3" i="53"/>
  <c r="ONL3" i="53"/>
  <c r="OOI3" i="53"/>
  <c r="OPH3" i="53"/>
  <c r="OSB3" i="53"/>
  <c r="OUB3" i="53"/>
  <c r="OUY3" i="53"/>
  <c r="OXW3" i="53"/>
  <c r="OYU3" i="53"/>
  <c r="PAQ3" i="53"/>
  <c r="PBR3" i="53"/>
  <c r="PHI3" i="53"/>
  <c r="PII3" i="53"/>
  <c r="PNC3" i="53"/>
  <c r="PPY3" i="53"/>
  <c r="PTS3" i="53"/>
  <c r="PUT3" i="53"/>
  <c r="QBK3" i="53"/>
  <c r="QDK3" i="53"/>
  <c r="QEJ3" i="53"/>
  <c r="QFK3" i="53"/>
  <c r="QGM3" i="53"/>
  <c r="QHL3" i="53"/>
  <c r="QII3" i="53"/>
  <c r="QJL3" i="53"/>
  <c r="QLK3" i="53"/>
  <c r="QNM3" i="53"/>
  <c r="QPS3" i="53"/>
  <c r="QSA3" i="53"/>
  <c r="QTD3" i="53"/>
  <c r="QVM3" i="53"/>
  <c r="QXW3" i="53"/>
  <c r="QZC3" i="53"/>
  <c r="RBI3" i="53"/>
  <c r="RDR3" i="53"/>
  <c r="REX3" i="53"/>
  <c r="RGB3" i="53"/>
  <c r="RHK3" i="53"/>
  <c r="RIQ3" i="53"/>
  <c r="RJW3" i="53"/>
  <c r="RQA3" i="53"/>
  <c r="RTS3" i="53"/>
  <c r="RVA3" i="53"/>
  <c r="RWJ3" i="53"/>
  <c r="RXN3" i="53"/>
  <c r="SCR3" i="53"/>
  <c r="SFI3" i="53"/>
  <c r="SGO3" i="53"/>
  <c r="SHY3" i="53"/>
  <c r="SJB3" i="53"/>
  <c r="SKO3" i="53"/>
  <c r="SLV3" i="53"/>
  <c r="SPZ3" i="53"/>
  <c r="SSS3" i="53"/>
  <c r="SUC3" i="53"/>
  <c r="SVM3" i="53"/>
  <c r="SWZ3" i="53"/>
  <c r="SZO3" i="53"/>
  <c r="TAZ3" i="53"/>
  <c r="TDS3" i="53"/>
  <c r="TFE3" i="53"/>
  <c r="TGO3" i="53"/>
  <c r="TID3" i="53"/>
  <c r="TKZ3" i="53"/>
  <c r="TMM3" i="53"/>
  <c r="TNY3" i="53"/>
  <c r="TSG3" i="53"/>
  <c r="TYP3" i="53"/>
  <c r="UHJ3" i="53"/>
  <c r="UOR3" i="53"/>
  <c r="UQN3" i="53"/>
  <c r="USF3" i="53"/>
  <c r="UVY3" i="53"/>
  <c r="UXW3" i="53"/>
  <c r="VED3" i="53"/>
  <c r="VGH3" i="53"/>
  <c r="VPQ3" i="53"/>
  <c r="VSI3" i="53"/>
  <c r="VVF3" i="53"/>
  <c r="VYN3" i="53"/>
  <c r="WDT3" i="53"/>
  <c r="WHA3" i="53"/>
  <c r="WNN3" i="53"/>
  <c r="WQH3" i="53"/>
  <c r="WTX3" i="53"/>
  <c r="WXN3" i="53"/>
  <c r="XDU3" i="53"/>
  <c r="Z3" i="53"/>
  <c r="BN3" i="53"/>
  <c r="CM3" i="53"/>
  <c r="DN3" i="53"/>
  <c r="EA3" i="53"/>
  <c r="FA3" i="53"/>
  <c r="GA3" i="53"/>
  <c r="GO3" i="53"/>
  <c r="HN3" i="53"/>
  <c r="KB3" i="53"/>
  <c r="LA3" i="53"/>
  <c r="MB3" i="53"/>
  <c r="MO3" i="53"/>
  <c r="NO3" i="53"/>
  <c r="OP3" i="53"/>
  <c r="PC3" i="53"/>
  <c r="QC3" i="53"/>
  <c r="RB3" i="53"/>
  <c r="SP3" i="53"/>
  <c r="TP3" i="53"/>
  <c r="UP3" i="53"/>
  <c r="VD3" i="53"/>
  <c r="WC3" i="53"/>
  <c r="XD3" i="53"/>
  <c r="XQ3" i="53"/>
  <c r="YQ3" i="53"/>
  <c r="ZP3" i="53"/>
  <c r="ABD3" i="53"/>
  <c r="ACD3" i="53"/>
  <c r="ADE3" i="53"/>
  <c r="AEQ3" i="53"/>
  <c r="AFR3" i="53"/>
  <c r="AHE3" i="53"/>
  <c r="M3" i="53"/>
  <c r="AN3" i="53"/>
  <c r="BA3" i="53"/>
  <c r="CA3" i="53"/>
  <c r="DB3" i="53"/>
  <c r="DO3" i="53"/>
  <c r="EO3" i="53"/>
  <c r="FN3" i="53"/>
  <c r="HB3" i="53"/>
  <c r="IB3" i="53"/>
  <c r="JB3" i="53"/>
  <c r="JP3" i="53"/>
  <c r="KO3" i="53"/>
  <c r="LP3" i="53"/>
  <c r="MC3" i="53"/>
  <c r="NC3" i="53"/>
  <c r="OB3" i="53"/>
  <c r="PP3" i="53"/>
  <c r="QP3" i="53"/>
  <c r="RQ3" i="53"/>
  <c r="SD3" i="53"/>
  <c r="TC3" i="53"/>
  <c r="UD3" i="53"/>
  <c r="UQ3" i="53"/>
  <c r="VQ3" i="53"/>
  <c r="WQ3" i="53"/>
  <c r="YE3" i="53"/>
  <c r="ZD3" i="53"/>
  <c r="AAE3" i="53"/>
  <c r="AAR3" i="53"/>
  <c r="ABR3" i="53"/>
  <c r="ACR3" i="53"/>
  <c r="ADF3" i="53"/>
  <c r="AEE3" i="53"/>
  <c r="AFE3" i="53"/>
  <c r="AGS3" i="53"/>
  <c r="AHR3" i="53"/>
  <c r="AIS3" i="53"/>
  <c r="AJF3" i="53"/>
  <c r="AKF3" i="53"/>
  <c r="ALG3" i="53"/>
  <c r="ALT3" i="53"/>
  <c r="AMS3" i="53"/>
  <c r="ANS3" i="53"/>
  <c r="APG3" i="53"/>
  <c r="AQG3" i="53"/>
  <c r="ARG3" i="53"/>
  <c r="ARU3" i="53"/>
  <c r="AST3" i="53"/>
  <c r="ATU3" i="53"/>
  <c r="AUH3" i="53"/>
  <c r="AVH3" i="53"/>
  <c r="AWG3" i="53"/>
  <c r="AXU3" i="53"/>
  <c r="AYU3" i="53"/>
  <c r="AZU3" i="53"/>
  <c r="BAI3" i="53"/>
  <c r="BBH3" i="53"/>
  <c r="BCI3" i="53"/>
  <c r="BCV3" i="53"/>
  <c r="BDV3" i="53"/>
  <c r="BEU3" i="53"/>
  <c r="BGI3" i="53"/>
  <c r="BHI3" i="53"/>
  <c r="BIJ3" i="53"/>
  <c r="BIW3" i="53"/>
  <c r="BJW3" i="53"/>
  <c r="BKW3" i="53"/>
  <c r="BLK3" i="53"/>
  <c r="BMJ3" i="53"/>
  <c r="BNJ3" i="53"/>
  <c r="BOX3" i="53"/>
  <c r="BPW3" i="53"/>
  <c r="BQX3" i="53"/>
  <c r="BRK3" i="53"/>
  <c r="BSK3" i="53"/>
  <c r="BTK3" i="53"/>
  <c r="BTY3" i="53"/>
  <c r="BUX3" i="53"/>
  <c r="BVX3" i="53"/>
  <c r="BXL3" i="53"/>
  <c r="BYK3" i="53"/>
  <c r="BZL3" i="53"/>
  <c r="BZY3" i="53"/>
  <c r="CAY3" i="53"/>
  <c r="CBZ3" i="53"/>
  <c r="CCM3" i="53"/>
  <c r="CDM3" i="53"/>
  <c r="CEL3" i="53"/>
  <c r="CFZ3" i="53"/>
  <c r="CGZ3" i="53"/>
  <c r="CHZ3" i="53"/>
  <c r="CIN3" i="53"/>
  <c r="CJM3" i="53"/>
  <c r="CKN3" i="53"/>
  <c r="CLA3" i="53"/>
  <c r="CMA3" i="53"/>
  <c r="CMZ3" i="53"/>
  <c r="CPC3" i="53"/>
  <c r="CPP3" i="53"/>
  <c r="CQC3" i="53"/>
  <c r="CQR3" i="53"/>
  <c r="CRF3" i="53"/>
  <c r="CRT3" i="53"/>
  <c r="CSG3" i="53"/>
  <c r="CST3" i="53"/>
  <c r="CTI3" i="53"/>
  <c r="CTW3" i="53"/>
  <c r="CUK3" i="53"/>
  <c r="CUX3" i="53"/>
  <c r="CVK3" i="53"/>
  <c r="CXA3" i="53"/>
  <c r="CXO3" i="53"/>
  <c r="DCI3" i="53"/>
  <c r="DEY3" i="53"/>
  <c r="DFM3" i="53"/>
  <c r="DHC3" i="53"/>
  <c r="DHP3" i="53"/>
  <c r="DIC3" i="53"/>
  <c r="DIR3" i="53"/>
  <c r="DJF3" i="53"/>
  <c r="DJS3" i="53"/>
  <c r="DKG3" i="53"/>
  <c r="DKT3" i="53"/>
  <c r="DLW3" i="53"/>
  <c r="DMJ3" i="53"/>
  <c r="DMX3" i="53"/>
  <c r="DNK3" i="53"/>
  <c r="DPA3" i="53"/>
  <c r="DPO3" i="53"/>
  <c r="DUI3" i="53"/>
  <c r="DWZ3" i="53"/>
  <c r="DXO3" i="53"/>
  <c r="DYD3" i="53"/>
  <c r="DZF3" i="53"/>
  <c r="DZU3" i="53"/>
  <c r="EAW3" i="53"/>
  <c r="EBM3" i="53"/>
  <c r="EDC3" i="53"/>
  <c r="EFI3" i="53"/>
  <c r="EGL3" i="53"/>
  <c r="EHB3" i="53"/>
  <c r="EHP3" i="53"/>
  <c r="EID3" i="53"/>
  <c r="EIS3" i="53"/>
  <c r="EKY3" i="53"/>
  <c r="EMA3" i="53"/>
  <c r="EMO3" i="53"/>
  <c r="ENE3" i="53"/>
  <c r="EOH3" i="53"/>
  <c r="EOV3" i="53"/>
  <c r="EPJ3" i="53"/>
  <c r="EPY3" i="53"/>
  <c r="ERB3" i="53"/>
  <c r="ERQ3" i="53"/>
  <c r="ETG3" i="53"/>
  <c r="EVM3" i="53"/>
  <c r="EWB3" i="53"/>
  <c r="EWQ3" i="53"/>
  <c r="EXT3" i="53"/>
  <c r="EYW3" i="53"/>
  <c r="FBC3" i="53"/>
  <c r="FCE3" i="53"/>
  <c r="FCS3" i="53"/>
  <c r="FDI3" i="53"/>
  <c r="FEK3" i="53"/>
  <c r="FEZ3" i="53"/>
  <c r="FFN3" i="53"/>
  <c r="FGD3" i="53"/>
  <c r="FGR3" i="53"/>
  <c r="FHF3" i="53"/>
  <c r="FHU3" i="53"/>
  <c r="FNB3" i="53"/>
  <c r="FPK3" i="53"/>
  <c r="FPZ3" i="53"/>
  <c r="FRT3" i="53"/>
  <c r="FSH3" i="53"/>
  <c r="FUF3" i="53"/>
  <c r="FVL3" i="53"/>
  <c r="FWC3" i="53"/>
  <c r="FXH3" i="53"/>
  <c r="FXY3" i="53"/>
  <c r="FZF3" i="53"/>
  <c r="FZV3" i="53"/>
  <c r="GBC3" i="53"/>
  <c r="GBS3" i="53"/>
  <c r="GCX3" i="53"/>
  <c r="GDQ3" i="53"/>
  <c r="GEV3" i="53"/>
  <c r="GGS3" i="53"/>
  <c r="GIQ3" i="53"/>
  <c r="GKL3" i="53"/>
  <c r="GMH3" i="53"/>
  <c r="GOF3" i="53"/>
  <c r="GPJ3" i="53"/>
  <c r="GQC3" i="53"/>
  <c r="GRH3" i="53"/>
  <c r="GRX3" i="53"/>
  <c r="GTE3" i="53"/>
  <c r="GTV3" i="53"/>
  <c r="GVC3" i="53"/>
  <c r="GVS3" i="53"/>
  <c r="GWX3" i="53"/>
  <c r="GXQ3" i="53"/>
  <c r="GYU3" i="53"/>
  <c r="HAS3" i="53"/>
  <c r="HCP3" i="53"/>
  <c r="HEL3" i="53"/>
  <c r="HGH3" i="53"/>
  <c r="HIE3" i="53"/>
  <c r="HKC3" i="53"/>
  <c r="HLX3" i="53"/>
  <c r="HNV3" i="53"/>
  <c r="HPS3" i="53"/>
  <c r="HQX3" i="53"/>
  <c r="HRP3" i="53"/>
  <c r="HSU3" i="53"/>
  <c r="HTL3" i="53"/>
  <c r="HUS3" i="53"/>
  <c r="HVH3" i="53"/>
  <c r="HWP3" i="53"/>
  <c r="HXF3" i="53"/>
  <c r="HYJ3" i="53"/>
  <c r="HZC3" i="53"/>
  <c r="IAH3" i="53"/>
  <c r="ICE3" i="53"/>
  <c r="IEC3" i="53"/>
  <c r="IFX3" i="53"/>
  <c r="IHU3" i="53"/>
  <c r="IJS3" i="53"/>
  <c r="IKX3" i="53"/>
  <c r="ILP3" i="53"/>
  <c r="IMU3" i="53"/>
  <c r="INJ3" i="53"/>
  <c r="IOR3" i="53"/>
  <c r="IPH3" i="53"/>
  <c r="IQP3" i="53"/>
  <c r="IRE3" i="53"/>
  <c r="ISJ3" i="53"/>
  <c r="ITC3" i="53"/>
  <c r="IUH3" i="53"/>
  <c r="IWE3" i="53"/>
  <c r="IYB3" i="53"/>
  <c r="IZX3" i="53"/>
  <c r="JBU3" i="53"/>
  <c r="JDS3" i="53"/>
  <c r="JGH3" i="53"/>
  <c r="JOV3" i="53"/>
  <c r="JVL3" i="53"/>
  <c r="JXJ3" i="53"/>
  <c r="KDZ3" i="53"/>
  <c r="KNF3" i="53"/>
  <c r="KUQ3" i="53"/>
  <c r="KWT3" i="53"/>
  <c r="LBK3" i="53"/>
  <c r="LCE3" i="53"/>
  <c r="LCY3" i="53"/>
  <c r="LDV3" i="53"/>
  <c r="LEQ3" i="53"/>
  <c r="LFJ3" i="53"/>
  <c r="LGF3" i="53"/>
  <c r="LHY3" i="53"/>
  <c r="LJO3" i="53"/>
  <c r="LKL3" i="53"/>
  <c r="LLJ3" i="53"/>
  <c r="LMZ3" i="53"/>
  <c r="LOT3" i="53"/>
  <c r="LQL3" i="53"/>
  <c r="LRJ3" i="53"/>
  <c r="LSE3" i="53"/>
  <c r="LVO3" i="53"/>
  <c r="LWL3" i="53"/>
  <c r="LZB3" i="53"/>
  <c r="LZX3" i="53"/>
  <c r="MBR3" i="53"/>
  <c r="MCM3" i="53"/>
  <c r="MDI3" i="53"/>
  <c r="MHP3" i="53"/>
  <c r="MKE3" i="53"/>
  <c r="MLA3" i="53"/>
  <c r="MMV3" i="53"/>
  <c r="MNP3" i="53"/>
  <c r="MPK3" i="53"/>
  <c r="MSV3" i="53"/>
  <c r="MVI3" i="53"/>
  <c r="MXY3" i="53"/>
  <c r="MYT3" i="53"/>
  <c r="MZT3" i="53"/>
  <c r="NAO3" i="53"/>
  <c r="NDZ3" i="53"/>
  <c r="NEW3" i="53"/>
  <c r="NHL3" i="53"/>
  <c r="NKV3" i="53"/>
  <c r="NLR3" i="53"/>
  <c r="NPB3" i="53"/>
  <c r="NPZ3" i="53"/>
  <c r="NSQ3" i="53"/>
  <c r="NVF3" i="53"/>
  <c r="NWB3" i="53"/>
  <c r="NWX3" i="53"/>
  <c r="NXV3" i="53"/>
  <c r="NYQ3" i="53"/>
  <c r="OAF3" i="53"/>
  <c r="OBG3" i="53"/>
  <c r="ODT3" i="53"/>
  <c r="OGJ3" i="53"/>
  <c r="OJA3" i="53"/>
  <c r="OLV3" i="53"/>
  <c r="ONN3" i="53"/>
  <c r="OOK3" i="53"/>
  <c r="OPK3" i="53"/>
  <c r="OSC3" i="53"/>
  <c r="OVA3" i="53"/>
  <c r="OVY3" i="53"/>
  <c r="PCR3" i="53"/>
  <c r="PDO3" i="53"/>
  <c r="PHJ3" i="53"/>
  <c r="PIM3" i="53"/>
  <c r="POE3" i="53"/>
  <c r="PPB3" i="53"/>
  <c r="PRA3" i="53"/>
  <c r="PTY3" i="53"/>
  <c r="PUW3" i="53"/>
  <c r="PVS3" i="53"/>
  <c r="PXS3" i="53"/>
  <c r="QAN3" i="53"/>
  <c r="QDL3" i="53"/>
  <c r="QEK3" i="53"/>
  <c r="QFO3" i="53"/>
  <c r="QGO3" i="53"/>
  <c r="QHN3" i="53"/>
  <c r="QJN3" i="53"/>
  <c r="QLN3" i="53"/>
  <c r="QNP3" i="53"/>
  <c r="QPT3" i="53"/>
  <c r="QUL3" i="53"/>
  <c r="QVN3" i="53"/>
  <c r="QWV3" i="53"/>
  <c r="QXX3" i="53"/>
  <c r="RCQ3" i="53"/>
  <c r="RDX3" i="53"/>
  <c r="RFB3" i="53"/>
  <c r="RGJ3" i="53"/>
  <c r="RHM3" i="53"/>
  <c r="RIR3" i="53"/>
  <c r="RJY3" i="53"/>
  <c r="RLF3" i="53"/>
  <c r="RMN3" i="53"/>
  <c r="RQG3" i="53"/>
  <c r="RTU3" i="53"/>
  <c r="RVC3" i="53"/>
  <c r="RWL3" i="53"/>
  <c r="RXQ3" i="53"/>
  <c r="SAF3" i="53"/>
  <c r="SBL3" i="53"/>
  <c r="SCS3" i="53"/>
  <c r="SGP3" i="53"/>
  <c r="SHZ3" i="53"/>
  <c r="SLW3" i="53"/>
  <c r="SNH3" i="53"/>
  <c r="SOP3" i="53"/>
  <c r="SQC3" i="53"/>
  <c r="SUF3" i="53"/>
  <c r="SVS3" i="53"/>
  <c r="SXB3" i="53"/>
  <c r="SYF3" i="53"/>
  <c r="SZQ3" i="53"/>
  <c r="TCM3" i="53"/>
  <c r="TDV3" i="53"/>
  <c r="TFG3" i="53"/>
  <c r="TIE3" i="53"/>
  <c r="TJP3" i="53"/>
  <c r="TLA3" i="53"/>
  <c r="TMP3" i="53"/>
  <c r="TOC3" i="53"/>
  <c r="TPN3" i="53"/>
  <c r="TQY3" i="53"/>
  <c r="TSN3" i="53"/>
  <c r="TYR3" i="53"/>
  <c r="UFV3" i="53"/>
  <c r="UHL3" i="53"/>
  <c r="UJH3" i="53"/>
  <c r="UNI3" i="53"/>
  <c r="UOS3" i="53"/>
  <c r="UQO3" i="53"/>
  <c r="UUM3" i="53"/>
  <c r="VAE3" i="53"/>
  <c r="VCJ3" i="53"/>
  <c r="VGK3" i="53"/>
  <c r="VNK3" i="53"/>
  <c r="VPW3" i="53"/>
  <c r="WHF3" i="53"/>
  <c r="WKK3" i="53"/>
  <c r="WNQ3" i="53"/>
  <c r="WQP3" i="53"/>
  <c r="WUI3" i="53"/>
  <c r="XEB3" i="53"/>
  <c r="FTA3" i="53"/>
  <c r="FUA3" i="53"/>
  <c r="FVO3" i="53"/>
  <c r="FWN3" i="53"/>
  <c r="FXO3" i="53"/>
  <c r="FYO3" i="53"/>
  <c r="FZN3" i="53"/>
  <c r="GAO3" i="53"/>
  <c r="GBN3" i="53"/>
  <c r="GCN3" i="53"/>
  <c r="GDO3" i="53"/>
  <c r="GFB3" i="53"/>
  <c r="GGB3" i="53"/>
  <c r="GHB3" i="53"/>
  <c r="GIA3" i="53"/>
  <c r="GJB3" i="53"/>
  <c r="GKB3" i="53"/>
  <c r="GLA3" i="53"/>
  <c r="GMB3" i="53"/>
  <c r="GNA3" i="53"/>
  <c r="GON3" i="53"/>
  <c r="GPO3" i="53"/>
  <c r="GQN3" i="53"/>
  <c r="GRN3" i="53"/>
  <c r="GSO3" i="53"/>
  <c r="GTN3" i="53"/>
  <c r="GUN3" i="53"/>
  <c r="GVN3" i="53"/>
  <c r="GWN3" i="53"/>
  <c r="GYB3" i="53"/>
  <c r="GZB3" i="53"/>
  <c r="HAA3" i="53"/>
  <c r="HBB3" i="53"/>
  <c r="HCA3" i="53"/>
  <c r="HDA3" i="53"/>
  <c r="HEB3" i="53"/>
  <c r="HFA3" i="53"/>
  <c r="HGA3" i="53"/>
  <c r="HHO3" i="53"/>
  <c r="HIN3" i="53"/>
  <c r="HJO3" i="53"/>
  <c r="HKN3" i="53"/>
  <c r="HLN3" i="53"/>
  <c r="HMO3" i="53"/>
  <c r="HNN3" i="53"/>
  <c r="HON3" i="53"/>
  <c r="HPN3" i="53"/>
  <c r="HRA3" i="53"/>
  <c r="HSA3" i="53"/>
  <c r="HTB3" i="53"/>
  <c r="HUA3" i="53"/>
  <c r="HVA3" i="53"/>
  <c r="HWA3" i="53"/>
  <c r="HXA3" i="53"/>
  <c r="HXZ3" i="53"/>
  <c r="HZA3" i="53"/>
  <c r="IAN3" i="53"/>
  <c r="IBO3" i="53"/>
  <c r="ICN3" i="53"/>
  <c r="IDN3" i="53"/>
  <c r="IEN3" i="53"/>
  <c r="IFN3" i="53"/>
  <c r="IGN3" i="53"/>
  <c r="IHN3" i="53"/>
  <c r="IIN3" i="53"/>
  <c r="IKB3" i="53"/>
  <c r="ILA3" i="53"/>
  <c r="IMA3" i="53"/>
  <c r="INB3" i="53"/>
  <c r="IOA3" i="53"/>
  <c r="IPA3" i="53"/>
  <c r="IQA3" i="53"/>
  <c r="IRA3" i="53"/>
  <c r="IRZ3" i="53"/>
  <c r="ITN3" i="53"/>
  <c r="IUN3" i="53"/>
  <c r="IVN3" i="53"/>
  <c r="IWN3" i="53"/>
  <c r="IXN3" i="53"/>
  <c r="IYM3" i="53"/>
  <c r="IZN3" i="53"/>
  <c r="JAN3" i="53"/>
  <c r="JBM3" i="53"/>
  <c r="JDA3" i="53"/>
  <c r="JEA3" i="53"/>
  <c r="JFA3" i="53"/>
  <c r="JFO3" i="53"/>
  <c r="JGB3" i="53"/>
  <c r="JGO3" i="53"/>
  <c r="JHD3" i="53"/>
  <c r="JIS3" i="53"/>
  <c r="JJG3" i="53"/>
  <c r="JJU3" i="53"/>
  <c r="JKH3" i="53"/>
  <c r="JKU3" i="53"/>
  <c r="JLI3" i="53"/>
  <c r="JLW3" i="53"/>
  <c r="JNL3" i="53"/>
  <c r="JOA3" i="53"/>
  <c r="JON3" i="53"/>
  <c r="JPA3" i="53"/>
  <c r="JPO3" i="53"/>
  <c r="JQC3" i="53"/>
  <c r="JQP3" i="53"/>
  <c r="JSG3" i="53"/>
  <c r="JST3" i="53"/>
  <c r="JTG3" i="53"/>
  <c r="JTU3" i="53"/>
  <c r="JUH3" i="53"/>
  <c r="JUV3" i="53"/>
  <c r="JVJ3" i="53"/>
  <c r="JWZ3" i="53"/>
  <c r="JXM3" i="53"/>
  <c r="JYA3" i="53"/>
  <c r="JYN3" i="53"/>
  <c r="JZB3" i="53"/>
  <c r="JZP3" i="53"/>
  <c r="KAC3" i="53"/>
  <c r="KBS3" i="53"/>
  <c r="KCG3" i="53"/>
  <c r="KCT3" i="53"/>
  <c r="KDG3" i="53"/>
  <c r="KDV3" i="53"/>
  <c r="KEI3" i="53"/>
  <c r="KEV3" i="53"/>
  <c r="KGM3" i="53"/>
  <c r="KHB3" i="53"/>
  <c r="KHP3" i="53"/>
  <c r="KIG3" i="53"/>
  <c r="KIU3" i="53"/>
  <c r="KJJ3" i="53"/>
  <c r="KJY3" i="53"/>
  <c r="KLT3" i="53"/>
  <c r="KMH3" i="53"/>
  <c r="KMX3" i="53"/>
  <c r="KNN3" i="53"/>
  <c r="KOB3" i="53"/>
  <c r="KOR3" i="53"/>
  <c r="KPF3" i="53"/>
  <c r="KRA3" i="53"/>
  <c r="KRP3" i="53"/>
  <c r="KSF3" i="53"/>
  <c r="KST3" i="53"/>
  <c r="KTJ3" i="53"/>
  <c r="KTX3" i="53"/>
  <c r="KUM3" i="53"/>
  <c r="KWH3" i="53"/>
  <c r="KWW3" i="53"/>
  <c r="KXL3" i="53"/>
  <c r="KYB3" i="53"/>
  <c r="KYP3" i="53"/>
  <c r="KZW3" i="53"/>
  <c r="LBD3" i="53"/>
  <c r="LHR3" i="53"/>
  <c r="LIZ3" i="53"/>
  <c r="LLA3" i="53"/>
  <c r="LLU3" i="53"/>
  <c r="LND3" i="53"/>
  <c r="LON3" i="53"/>
  <c r="LPV3" i="53"/>
  <c r="LRY3" i="53"/>
  <c r="LUA3" i="53"/>
  <c r="LWA3" i="53"/>
  <c r="LXL3" i="53"/>
  <c r="LYE3" i="53"/>
  <c r="LZM3" i="53"/>
  <c r="MAW3" i="53"/>
  <c r="MCI3" i="53"/>
  <c r="MCY3" i="53"/>
  <c r="MFA3" i="53"/>
  <c r="MHC3" i="53"/>
  <c r="MIJ3" i="53"/>
  <c r="MKN3" i="53"/>
  <c r="MLE3" i="53"/>
  <c r="MLX3" i="53"/>
  <c r="MPH3" i="53"/>
  <c r="MPZ3" i="53"/>
  <c r="MRK3" i="53"/>
  <c r="MSD3" i="53"/>
  <c r="MTL3" i="53"/>
  <c r="MUW3" i="53"/>
  <c r="MVO3" i="53"/>
  <c r="MWX3" i="53"/>
  <c r="MYG3" i="53"/>
  <c r="MYZ3" i="53"/>
  <c r="NAI3" i="53"/>
  <c r="NBA3" i="53"/>
  <c r="NCL3" i="53"/>
  <c r="NDC3" i="53"/>
  <c r="NEL3" i="53"/>
  <c r="NFV3" i="53"/>
  <c r="NJG3" i="53"/>
  <c r="NLJ3" i="53"/>
  <c r="NNJ3" i="53"/>
  <c r="NOC3" i="53"/>
  <c r="NPL3" i="53"/>
  <c r="NSG3" i="53"/>
  <c r="NTP3" i="53"/>
  <c r="NUG3" i="53"/>
  <c r="NWI3" i="53"/>
  <c r="NYK3" i="53"/>
  <c r="NZU3" i="53"/>
  <c r="OAM3" i="53"/>
  <c r="OBV3" i="53"/>
  <c r="OCN3" i="53"/>
  <c r="ODE3" i="53"/>
  <c r="OEQ3" i="53"/>
  <c r="OHI3" i="53"/>
  <c r="OIB3" i="53"/>
  <c r="OIV3" i="53"/>
  <c r="OKE3" i="53"/>
  <c r="OKX3" i="53"/>
  <c r="OLS3" i="53"/>
  <c r="ONC3" i="53"/>
  <c r="ONW3" i="53"/>
  <c r="OOO3" i="53"/>
  <c r="OSH3" i="53"/>
  <c r="OTC3" i="53"/>
  <c r="OUP3" i="53"/>
  <c r="OVK3" i="53"/>
  <c r="OWW3" i="53"/>
  <c r="OYL3" i="53"/>
  <c r="OZG3" i="53"/>
  <c r="PCE3" i="53"/>
  <c r="PDB3" i="53"/>
  <c r="PDU3" i="53"/>
  <c r="PEO3" i="53"/>
  <c r="PFI3" i="53"/>
  <c r="PGU3" i="53"/>
  <c r="PJC3" i="53"/>
  <c r="PNR3" i="53"/>
  <c r="POL3" i="53"/>
  <c r="PSZ3" i="53"/>
  <c r="PUP3" i="53"/>
  <c r="PVJ3" i="53"/>
  <c r="PXP3" i="53"/>
  <c r="PYK3" i="53"/>
  <c r="PZX3" i="53"/>
  <c r="QDV3" i="53"/>
  <c r="QHW3" i="53"/>
  <c r="QLA3" i="53"/>
  <c r="QLW3" i="53"/>
  <c r="QOH3" i="53"/>
  <c r="QPH3" i="53"/>
  <c r="QQD3" i="53"/>
  <c r="QRA3" i="53"/>
  <c r="QSB3" i="53"/>
  <c r="QUU3" i="53"/>
  <c r="QWT3" i="53"/>
  <c r="QXQ3" i="53"/>
  <c r="QYQ3" i="53"/>
  <c r="RAM3" i="53"/>
  <c r="RCK3" i="53"/>
  <c r="REJ3" i="53"/>
  <c r="RNE3" i="53"/>
  <c r="RPC3" i="53"/>
  <c r="RTD3" i="53"/>
  <c r="RUE3" i="53"/>
  <c r="RWA3" i="53"/>
  <c r="RYA3" i="53"/>
  <c r="SAC3" i="53"/>
  <c r="SBB3" i="53"/>
  <c r="SDD3" i="53"/>
  <c r="SEG3" i="53"/>
  <c r="SGL3" i="53"/>
  <c r="SHJ3" i="53"/>
  <c r="SJN3" i="53"/>
  <c r="SKR3" i="53"/>
  <c r="SMQ3" i="53"/>
  <c r="SNT3" i="53"/>
  <c r="SUI3" i="53"/>
  <c r="SWO3" i="53"/>
  <c r="SYW3" i="53"/>
  <c r="SZY3" i="53"/>
  <c r="TCG3" i="53"/>
  <c r="TEK3" i="53"/>
  <c r="THS3" i="53"/>
  <c r="TKF3" i="53"/>
  <c r="TLG3" i="53"/>
  <c r="TNO3" i="53"/>
  <c r="TOS3" i="53"/>
  <c r="TUS3" i="53"/>
  <c r="TWA3" i="53"/>
  <c r="TXK3" i="53"/>
  <c r="TZW3" i="53"/>
  <c r="UBE3" i="53"/>
  <c r="UEC3" i="53"/>
  <c r="UKB3" i="53"/>
  <c r="UMX3" i="53"/>
  <c r="UPR3" i="53"/>
  <c r="URI3" i="53"/>
  <c r="USR3" i="53"/>
  <c r="UYU3" i="53"/>
  <c r="VAJ3" i="53"/>
  <c r="VBV3" i="53"/>
  <c r="VFK3" i="53"/>
  <c r="VHA3" i="53"/>
  <c r="VIT3" i="53"/>
  <c r="VMQ3" i="53"/>
  <c r="VRA3" i="53"/>
  <c r="VXN3" i="53"/>
  <c r="WHC3" i="53"/>
  <c r="WME3" i="53"/>
  <c r="WOX3" i="53"/>
  <c r="XBZ3" i="53"/>
  <c r="COL3" i="53"/>
  <c r="CPI3" i="53"/>
  <c r="CQG3" i="53"/>
  <c r="CRD3" i="53"/>
  <c r="CSA3" i="53"/>
  <c r="CSN3" i="53"/>
  <c r="CTK3" i="53"/>
  <c r="CUH3" i="53"/>
  <c r="CVF3" i="53"/>
  <c r="CWC3" i="53"/>
  <c r="CWZ3" i="53"/>
  <c r="CXX3" i="53"/>
  <c r="CYU3" i="53"/>
  <c r="CZR3" i="53"/>
  <c r="DAP3" i="53"/>
  <c r="DBB3" i="53"/>
  <c r="DBY3" i="53"/>
  <c r="DCW3" i="53"/>
  <c r="DDT3" i="53"/>
  <c r="DEQ3" i="53"/>
  <c r="DFO3" i="53"/>
  <c r="DGL3" i="53"/>
  <c r="DHI3" i="53"/>
  <c r="DIG3" i="53"/>
  <c r="DJD3" i="53"/>
  <c r="DJP3" i="53"/>
  <c r="DKM3" i="53"/>
  <c r="DLK3" i="53"/>
  <c r="DMH3" i="53"/>
  <c r="DNE3" i="53"/>
  <c r="DOC3" i="53"/>
  <c r="DOZ3" i="53"/>
  <c r="DPW3" i="53"/>
  <c r="DQU3" i="53"/>
  <c r="DRR3" i="53"/>
  <c r="DSD3" i="53"/>
  <c r="DTB3" i="53"/>
  <c r="DTY3" i="53"/>
  <c r="DUV3" i="53"/>
  <c r="DVT3" i="53"/>
  <c r="DWR3" i="53"/>
  <c r="DXD3" i="53"/>
  <c r="DXP3" i="53"/>
  <c r="DYC3" i="53"/>
  <c r="DYO3" i="53"/>
  <c r="ECV3" i="53"/>
  <c r="EDH3" i="53"/>
  <c r="EDU3" i="53"/>
  <c r="EEG3" i="53"/>
  <c r="EES3" i="53"/>
  <c r="EHC3" i="53"/>
  <c r="EHO3" i="53"/>
  <c r="EIA3" i="53"/>
  <c r="EIM3" i="53"/>
  <c r="EIY3" i="53"/>
  <c r="EJY3" i="53"/>
  <c r="EKK3" i="53"/>
  <c r="EKW3" i="53"/>
  <c r="ENG3" i="53"/>
  <c r="ENS3" i="53"/>
  <c r="EOE3" i="53"/>
  <c r="EOQ3" i="53"/>
  <c r="ERM3" i="53"/>
  <c r="ERZ3" i="53"/>
  <c r="ESL3" i="53"/>
  <c r="ETK3" i="53"/>
  <c r="ETW3" i="53"/>
  <c r="EUJ3" i="53"/>
  <c r="EUV3" i="53"/>
  <c r="EXF3" i="53"/>
  <c r="EXR3" i="53"/>
  <c r="EYD3" i="53"/>
  <c r="EYP3" i="53"/>
  <c r="EZB3" i="53"/>
  <c r="FBL3" i="53"/>
  <c r="FDJ3" i="53"/>
  <c r="FDV3" i="53"/>
  <c r="FEH3" i="53"/>
  <c r="FET3" i="53"/>
  <c r="FFF3" i="53"/>
  <c r="FHP3" i="53"/>
  <c r="FIB3" i="53"/>
  <c r="FJB3" i="53"/>
  <c r="FKB3" i="53"/>
  <c r="FLP3" i="53"/>
  <c r="FMP3" i="53"/>
  <c r="FNO3" i="53"/>
  <c r="FOP3" i="53"/>
  <c r="FPO3" i="53"/>
  <c r="FQO3" i="53"/>
  <c r="FRP3" i="53"/>
  <c r="FSO3" i="53"/>
  <c r="FTO3" i="53"/>
  <c r="FVC3" i="53"/>
  <c r="FWB3" i="53"/>
  <c r="FXC3" i="53"/>
  <c r="FYB3" i="53"/>
  <c r="FZB3" i="53"/>
  <c r="GAC3" i="53"/>
  <c r="GBB3" i="53"/>
  <c r="GCB3" i="53"/>
  <c r="GDB3" i="53"/>
  <c r="GEO3" i="53"/>
  <c r="GFO3" i="53"/>
  <c r="GGP3" i="53"/>
  <c r="GHO3" i="53"/>
  <c r="GIO3" i="53"/>
  <c r="GJO3" i="53"/>
  <c r="GKO3" i="53"/>
  <c r="GLN3" i="53"/>
  <c r="GMO3" i="53"/>
  <c r="GOB3" i="53"/>
  <c r="GPC3" i="53"/>
  <c r="GQB3" i="53"/>
  <c r="GRB3" i="53"/>
  <c r="GSB3" i="53"/>
  <c r="GTB3" i="53"/>
  <c r="GUB3" i="53"/>
  <c r="GVB3" i="53"/>
  <c r="GWB3" i="53"/>
  <c r="GXP3" i="53"/>
  <c r="GYO3" i="53"/>
  <c r="GZO3" i="53"/>
  <c r="HAP3" i="53"/>
  <c r="HBO3" i="53"/>
  <c r="HCO3" i="53"/>
  <c r="HDO3" i="53"/>
  <c r="HEO3" i="53"/>
  <c r="HFN3" i="53"/>
  <c r="HHB3" i="53"/>
  <c r="HIB3" i="53"/>
  <c r="HJB3" i="53"/>
  <c r="HKB3" i="53"/>
  <c r="HLB3" i="53"/>
  <c r="HMA3" i="53"/>
  <c r="HNB3" i="53"/>
  <c r="HOB3" i="53"/>
  <c r="HPA3" i="53"/>
  <c r="HQO3" i="53"/>
  <c r="HRO3" i="53"/>
  <c r="HSO3" i="53"/>
  <c r="HTO3" i="53"/>
  <c r="HUN3" i="53"/>
  <c r="HVO3" i="53"/>
  <c r="HWO3" i="53"/>
  <c r="HXN3" i="53"/>
  <c r="HYO3" i="53"/>
  <c r="IAB3" i="53"/>
  <c r="IBB3" i="53"/>
  <c r="ICB3" i="53"/>
  <c r="IDB3" i="53"/>
  <c r="IEB3" i="53"/>
  <c r="IFB3" i="53"/>
  <c r="IGA3" i="53"/>
  <c r="IHB3" i="53"/>
  <c r="IIB3" i="53"/>
  <c r="IJN3" i="53"/>
  <c r="IKO3" i="53"/>
  <c r="ILO3" i="53"/>
  <c r="IMN3" i="53"/>
  <c r="INO3" i="53"/>
  <c r="ION3" i="53"/>
  <c r="IPN3" i="53"/>
  <c r="IQO3" i="53"/>
  <c r="IRN3" i="53"/>
  <c r="ITB3" i="53"/>
  <c r="IUB3" i="53"/>
  <c r="IVA3" i="53"/>
  <c r="IWB3" i="53"/>
  <c r="IXB3" i="53"/>
  <c r="IYA3" i="53"/>
  <c r="IZB3" i="53"/>
  <c r="JAA3" i="53"/>
  <c r="JBA3" i="53"/>
  <c r="JCO3" i="53"/>
  <c r="JDN3" i="53"/>
  <c r="JEO3" i="53"/>
  <c r="JHR3" i="53"/>
  <c r="JML3" i="53"/>
  <c r="JRE3" i="53"/>
  <c r="JVX3" i="53"/>
  <c r="KAR3" i="53"/>
  <c r="KFK3" i="53"/>
  <c r="KKP3" i="53"/>
  <c r="KPX3" i="53"/>
  <c r="KVD3" i="53"/>
  <c r="KZG3" i="53"/>
  <c r="LAN3" i="53"/>
  <c r="LBW3" i="53"/>
  <c r="LCL3" i="53"/>
  <c r="LDD3" i="53"/>
  <c r="LDU3" i="53"/>
  <c r="LEM3" i="53"/>
  <c r="LFC3" i="53"/>
  <c r="LFT3" i="53"/>
  <c r="LGJ3" i="53"/>
  <c r="LHA3" i="53"/>
  <c r="LIK3" i="53"/>
  <c r="LKK3" i="53"/>
  <c r="LMN3" i="53"/>
  <c r="LNV3" i="53"/>
  <c r="LPG3" i="53"/>
  <c r="LPZ3" i="53"/>
  <c r="LQP3" i="53"/>
  <c r="LRH3" i="53"/>
  <c r="LSP3" i="53"/>
  <c r="LTJ3" i="53"/>
  <c r="LUT3" i="53"/>
  <c r="LVK3" i="53"/>
  <c r="LWT3" i="53"/>
  <c r="LYV3" i="53"/>
  <c r="MAF3" i="53"/>
  <c r="MDQ3" i="53"/>
  <c r="MEI3" i="53"/>
  <c r="MFU3" i="53"/>
  <c r="MGK3" i="53"/>
  <c r="MHT3" i="53"/>
  <c r="MIM3" i="53"/>
  <c r="MJF3" i="53"/>
  <c r="MJW3" i="53"/>
  <c r="MLF3" i="53"/>
  <c r="MMP3" i="53"/>
  <c r="MOS3" i="53"/>
  <c r="MQS3" i="53"/>
  <c r="MST3" i="53"/>
  <c r="MUD3" i="53"/>
  <c r="MXO3" i="53"/>
  <c r="MZA3" i="53"/>
  <c r="MZR3" i="53"/>
  <c r="NBS3" i="53"/>
  <c r="NCM3" i="53"/>
  <c r="NDV3" i="53"/>
  <c r="NFD3" i="53"/>
  <c r="NGN3" i="53"/>
  <c r="NHG3" i="53"/>
  <c r="NHY3" i="53"/>
  <c r="NIQ3" i="53"/>
  <c r="NMS3" i="53"/>
  <c r="NOW3" i="53"/>
  <c r="NQE3" i="53"/>
  <c r="NQV3" i="53"/>
  <c r="NRN3" i="53"/>
  <c r="NSX3" i="53"/>
  <c r="NUZ3" i="53"/>
  <c r="NVS3" i="53"/>
  <c r="NWJ3" i="53"/>
  <c r="NXB3" i="53"/>
  <c r="NXU3" i="53"/>
  <c r="NZB3" i="53"/>
  <c r="OBF3" i="53"/>
  <c r="OCP3" i="53"/>
  <c r="ODY3" i="53"/>
  <c r="OFZ3" i="53"/>
  <c r="OGQ3" i="53"/>
  <c r="OJN3" i="53"/>
  <c r="OKY3" i="53"/>
  <c r="OML3" i="53"/>
  <c r="OPI3" i="53"/>
  <c r="OQA3" i="53"/>
  <c r="OQV3" i="53"/>
  <c r="ORP3" i="53"/>
  <c r="OTV3" i="53"/>
  <c r="OWE3" i="53"/>
  <c r="PAS3" i="53"/>
  <c r="PBN3" i="53"/>
  <c r="PGC3" i="53"/>
  <c r="PIK3" i="53"/>
  <c r="PJW3" i="53"/>
  <c r="PKQ3" i="53"/>
  <c r="PLN3" i="53"/>
  <c r="PME3" i="53"/>
  <c r="PNA3" i="53"/>
  <c r="PPZ3" i="53"/>
  <c r="PQU3" i="53"/>
  <c r="PSI3" i="53"/>
  <c r="PTV3" i="53"/>
  <c r="PUQ3" i="53"/>
  <c r="PWD3" i="53"/>
  <c r="PWW3" i="53"/>
  <c r="PXQ3" i="53"/>
  <c r="PZG3" i="53"/>
  <c r="QBL3" i="53"/>
  <c r="QCG3" i="53"/>
  <c r="QDB3" i="53"/>
  <c r="QDY3" i="53"/>
  <c r="QES3" i="53"/>
  <c r="QFM3" i="53"/>
  <c r="QGG3" i="53"/>
  <c r="QHC3" i="53"/>
  <c r="QHX3" i="53"/>
  <c r="QIT3" i="53"/>
  <c r="QJM3" i="53"/>
  <c r="QKH3" i="53"/>
  <c r="QMV3" i="53"/>
  <c r="QNO3" i="53"/>
  <c r="QSY3" i="53"/>
  <c r="QTZ3" i="53"/>
  <c r="QVV3" i="53"/>
  <c r="QWU3" i="53"/>
  <c r="QZQ3" i="53"/>
  <c r="RBM3" i="53"/>
  <c r="RDJ3" i="53"/>
  <c r="RFF3" i="53"/>
  <c r="RGE3" i="53"/>
  <c r="RHG3" i="53"/>
  <c r="RIF3" i="53"/>
  <c r="RJG3" i="53"/>
  <c r="RKF3" i="53"/>
  <c r="RLC3" i="53"/>
  <c r="RMF3" i="53"/>
  <c r="RNF3" i="53"/>
  <c r="RQE3" i="53"/>
  <c r="RRE3" i="53"/>
  <c r="RSE3" i="53"/>
  <c r="RVB3" i="53"/>
  <c r="RWB3" i="53"/>
  <c r="RXC3" i="53"/>
  <c r="RZE3" i="53"/>
  <c r="SCE3" i="53"/>
  <c r="SDG3" i="53"/>
  <c r="SFJ3" i="53"/>
  <c r="SGM3" i="53"/>
  <c r="SLS3" i="53"/>
  <c r="SOV3" i="53"/>
  <c r="SRF3" i="53"/>
  <c r="SSG3" i="53"/>
  <c r="SVQ3" i="53"/>
  <c r="SWR3" i="53"/>
  <c r="SXV3" i="53"/>
  <c r="SYX3" i="53"/>
  <c r="SZZ3" i="53"/>
  <c r="TEM3" i="53"/>
  <c r="TFQ3" i="53"/>
  <c r="TGP3" i="53"/>
  <c r="THX3" i="53"/>
  <c r="TJA3" i="53"/>
  <c r="TLH3" i="53"/>
  <c r="TMO3" i="53"/>
  <c r="TSH3" i="53"/>
  <c r="TUU3" i="53"/>
  <c r="TWB3" i="53"/>
  <c r="TYQ3" i="53"/>
  <c r="UCV3" i="53"/>
  <c r="UFT3" i="53"/>
  <c r="UHF3" i="53"/>
  <c r="UIN3" i="53"/>
  <c r="UXG3" i="53"/>
  <c r="UYV3" i="53"/>
  <c r="VDU3" i="53"/>
  <c r="VKS3" i="53"/>
  <c r="VOU3" i="53"/>
  <c r="VVH3" i="53"/>
  <c r="VXO3" i="53"/>
  <c r="WJW3" i="53"/>
  <c r="WRS3" i="53"/>
  <c r="WUC3" i="53"/>
  <c r="WWY3" i="53"/>
  <c r="WZK3" i="53"/>
  <c r="DL3" i="53"/>
  <c r="HH3" i="53"/>
  <c r="KS3" i="53"/>
  <c r="OO3" i="53"/>
  <c r="SK3" i="53"/>
  <c r="WG3" i="53"/>
  <c r="ZQ3" i="53"/>
  <c r="ADB3" i="53"/>
  <c r="AGB3" i="53"/>
  <c r="AIQ3" i="53"/>
  <c r="ALE3" i="53"/>
  <c r="ANI3" i="53"/>
  <c r="APA3" i="53"/>
  <c r="AQI3" i="53"/>
  <c r="ARE3" i="53"/>
  <c r="ASA3" i="53"/>
  <c r="ASW3" i="53"/>
  <c r="ATI3" i="53"/>
  <c r="ATT3" i="53"/>
  <c r="AUP3" i="53"/>
  <c r="AVA3" i="53"/>
  <c r="AVL3" i="53"/>
  <c r="AVW3" i="53"/>
  <c r="AWH3" i="53"/>
  <c r="AXE3" i="53"/>
  <c r="AXP3" i="53"/>
  <c r="AYA3" i="53"/>
  <c r="AYL3" i="53"/>
  <c r="AYW3" i="53"/>
  <c r="AZH3" i="53"/>
  <c r="AZS3" i="53"/>
  <c r="BAD3" i="53"/>
  <c r="BAO3" i="53"/>
  <c r="BBA3" i="53"/>
  <c r="BBL3" i="53"/>
  <c r="BBW3" i="53"/>
  <c r="BCS3" i="53"/>
  <c r="BDD3" i="53"/>
  <c r="BDO3" i="53"/>
  <c r="BDZ3" i="53"/>
  <c r="BEK3" i="53"/>
  <c r="BEW3" i="53"/>
  <c r="BFH3" i="53"/>
  <c r="BFS3" i="53"/>
  <c r="BGD3" i="53"/>
  <c r="BGO3" i="53"/>
  <c r="BGZ3" i="53"/>
  <c r="BHK3" i="53"/>
  <c r="BHV3" i="53"/>
  <c r="BIG3" i="53"/>
  <c r="BIS3" i="53"/>
  <c r="BJD3" i="53"/>
  <c r="BJO3" i="53"/>
  <c r="BJZ3" i="53"/>
  <c r="BKK3" i="53"/>
  <c r="BKV3" i="53"/>
  <c r="BLG3" i="53"/>
  <c r="BLR3" i="53"/>
  <c r="BMC3" i="53"/>
  <c r="BMO3" i="53"/>
  <c r="BMZ3" i="53"/>
  <c r="BNK3" i="53"/>
  <c r="BNV3" i="53"/>
  <c r="BOG3" i="53"/>
  <c r="BOR3" i="53"/>
  <c r="BPC3" i="53"/>
  <c r="BPN3" i="53"/>
  <c r="BPY3" i="53"/>
  <c r="BQK3" i="53"/>
  <c r="BQV3" i="53"/>
  <c r="BRG3" i="53"/>
  <c r="BRR3" i="53"/>
  <c r="BSC3" i="53"/>
  <c r="BSN3" i="53"/>
  <c r="BSY3" i="53"/>
  <c r="BTJ3" i="53"/>
  <c r="BTU3" i="53"/>
  <c r="BUG3" i="53"/>
  <c r="BUR3" i="53"/>
  <c r="BVC3" i="53"/>
  <c r="BVN3" i="53"/>
  <c r="BVY3" i="53"/>
  <c r="BWJ3" i="53"/>
  <c r="BWU3" i="53"/>
  <c r="BXF3" i="53"/>
  <c r="BXQ3" i="53"/>
  <c r="BYC3" i="53"/>
  <c r="BYY3" i="53"/>
  <c r="BZJ3" i="53"/>
  <c r="BZU3" i="53"/>
  <c r="CAF3" i="53"/>
  <c r="CAQ3" i="53"/>
  <c r="CBB3" i="53"/>
  <c r="CBM3" i="53"/>
  <c r="CBY3" i="53"/>
  <c r="CCJ3" i="53"/>
  <c r="CCU3" i="53"/>
  <c r="CDF3" i="53"/>
  <c r="CDQ3" i="53"/>
  <c r="CEB3" i="53"/>
  <c r="CEM3" i="53"/>
  <c r="CEX3" i="53"/>
  <c r="CFI3" i="53"/>
  <c r="CFU3" i="53"/>
  <c r="CGF3" i="53"/>
  <c r="CGQ3" i="53"/>
  <c r="CHB3" i="53"/>
  <c r="CHM3" i="53"/>
  <c r="CHX3" i="53"/>
  <c r="CII3" i="53"/>
  <c r="CIT3" i="53"/>
  <c r="CJE3" i="53"/>
  <c r="CJQ3" i="53"/>
  <c r="CKB3" i="53"/>
  <c r="CKM3" i="53"/>
  <c r="CKX3" i="53"/>
  <c r="CLI3" i="53"/>
  <c r="CLT3" i="53"/>
  <c r="CME3" i="53"/>
  <c r="CMP3" i="53"/>
  <c r="CNA3" i="53"/>
  <c r="CNM3" i="53"/>
  <c r="CNX3" i="53"/>
  <c r="COU3" i="53"/>
  <c r="CPR3" i="53"/>
  <c r="CQP3" i="53"/>
  <c r="CRM3" i="53"/>
  <c r="CSJ3" i="53"/>
  <c r="CTH3" i="53"/>
  <c r="CUE3" i="53"/>
  <c r="CUQ3" i="53"/>
  <c r="CVO3" i="53"/>
  <c r="CWL3" i="53"/>
  <c r="CXI3" i="53"/>
  <c r="CYG3" i="53"/>
  <c r="CZD3" i="53"/>
  <c r="DAA3" i="53"/>
  <c r="DAY3" i="53"/>
  <c r="DBV3" i="53"/>
  <c r="DCS3" i="53"/>
  <c r="DDE3" i="53"/>
  <c r="DEC3" i="53"/>
  <c r="DEZ3" i="53"/>
  <c r="DFW3" i="53"/>
  <c r="DGU3" i="53"/>
  <c r="DHR3" i="53"/>
  <c r="DIO3" i="53"/>
  <c r="DJM3" i="53"/>
  <c r="DKJ3" i="53"/>
  <c r="DLG3" i="53"/>
  <c r="DLT3" i="53"/>
  <c r="DMQ3" i="53"/>
  <c r="DNN3" i="53"/>
  <c r="DOL3" i="53"/>
  <c r="DPI3" i="53"/>
  <c r="DQF3" i="53"/>
  <c r="DRD3" i="53"/>
  <c r="DSA3" i="53"/>
  <c r="DSX3" i="53"/>
  <c r="DTV3" i="53"/>
  <c r="DUH3" i="53"/>
  <c r="DVE3" i="53"/>
  <c r="DWC3" i="53"/>
  <c r="DWO3" i="53"/>
  <c r="DXA3" i="53"/>
  <c r="DZK3" i="53"/>
  <c r="DZW3" i="53"/>
  <c r="EAI3" i="53"/>
  <c r="EAU3" i="53"/>
  <c r="EBG3" i="53"/>
  <c r="EDE3" i="53"/>
  <c r="EFO3" i="53"/>
  <c r="EGA3" i="53"/>
  <c r="EGM3" i="53"/>
  <c r="EGY3" i="53"/>
  <c r="EJU3" i="53"/>
  <c r="EKH3" i="53"/>
  <c r="EKT3" i="53"/>
  <c r="ELF3" i="53"/>
  <c r="EME3" i="53"/>
  <c r="EMR3" i="53"/>
  <c r="END3" i="53"/>
  <c r="EPN3" i="53"/>
  <c r="EPZ3" i="53"/>
  <c r="EQL3" i="53"/>
  <c r="EQX3" i="53"/>
  <c r="ERJ3" i="53"/>
  <c r="ETT3" i="53"/>
  <c r="EUF3" i="53"/>
  <c r="EUR3" i="53"/>
  <c r="EVR3" i="53"/>
  <c r="EWD3" i="53"/>
  <c r="EWP3" i="53"/>
  <c r="EXB3" i="53"/>
  <c r="EXN3" i="53"/>
  <c r="EZX3" i="53"/>
  <c r="FAJ3" i="53"/>
  <c r="FAW3" i="53"/>
  <c r="FBI3" i="53"/>
  <c r="FBU3" i="53"/>
  <c r="FGB3" i="53"/>
  <c r="FGO3" i="53"/>
  <c r="FHA3" i="53"/>
  <c r="FHM3" i="53"/>
  <c r="FHY3" i="53"/>
  <c r="FIL3" i="53"/>
  <c r="FJL3" i="53"/>
  <c r="FKL3" i="53"/>
  <c r="FLL3" i="53"/>
  <c r="FML3" i="53"/>
  <c r="FNY3" i="53"/>
  <c r="FOZ3" i="53"/>
  <c r="FPY3" i="53"/>
  <c r="FQY3" i="53"/>
  <c r="FRZ3" i="53"/>
  <c r="FSY3" i="53"/>
  <c r="FTY3" i="53"/>
  <c r="FUY3" i="53"/>
  <c r="FVY3" i="53"/>
  <c r="FXL3" i="53"/>
  <c r="FYL3" i="53"/>
  <c r="FZL3" i="53"/>
  <c r="GAL3" i="53"/>
  <c r="GBL3" i="53"/>
  <c r="GCL3" i="53"/>
  <c r="GDK3" i="53"/>
  <c r="GEL3" i="53"/>
  <c r="GFL3" i="53"/>
  <c r="GGZ3" i="53"/>
  <c r="GHY3" i="53"/>
  <c r="GIY3" i="53"/>
  <c r="GJY3" i="53"/>
  <c r="GKY3" i="53"/>
  <c r="GLX3" i="53"/>
  <c r="GMY3" i="53"/>
  <c r="GNY3" i="53"/>
  <c r="GOX3" i="53"/>
  <c r="GQL3" i="53"/>
  <c r="GRL3" i="53"/>
  <c r="GSL3" i="53"/>
  <c r="GTL3" i="53"/>
  <c r="GUL3" i="53"/>
  <c r="GVL3" i="53"/>
  <c r="GWL3" i="53"/>
  <c r="GXK3" i="53"/>
  <c r="GYL3" i="53"/>
  <c r="GZY3" i="53"/>
  <c r="HAX3" i="53"/>
  <c r="HBY3" i="53"/>
  <c r="HCY3" i="53"/>
  <c r="HDX3" i="53"/>
  <c r="HEY3" i="53"/>
  <c r="HFX3" i="53"/>
  <c r="HGX3" i="53"/>
  <c r="HHY3" i="53"/>
  <c r="HJL3" i="53"/>
  <c r="HKL3" i="53"/>
  <c r="HLL3" i="53"/>
  <c r="HMK3" i="53"/>
  <c r="HNL3" i="53"/>
  <c r="HOL3" i="53"/>
  <c r="HPK3" i="53"/>
  <c r="HQL3" i="53"/>
  <c r="HRK3" i="53"/>
  <c r="HSY3" i="53"/>
  <c r="HTY3" i="53"/>
  <c r="HUX3" i="53"/>
  <c r="HVY3" i="53"/>
  <c r="HWY3" i="53"/>
  <c r="HXX3" i="53"/>
  <c r="HYY3" i="53"/>
  <c r="HZX3" i="53"/>
  <c r="IAX3" i="53"/>
  <c r="ICL3" i="53"/>
  <c r="IDL3" i="53"/>
  <c r="IEK3" i="53"/>
  <c r="IFL3" i="53"/>
  <c r="IGK3" i="53"/>
  <c r="IHK3" i="53"/>
  <c r="IIL3" i="53"/>
  <c r="IJK3" i="53"/>
  <c r="IKK3" i="53"/>
  <c r="ILY3" i="53"/>
  <c r="IMX3" i="53"/>
  <c r="INY3" i="53"/>
  <c r="IOX3" i="53"/>
  <c r="IPX3" i="53"/>
  <c r="IQY3" i="53"/>
  <c r="IRX3" i="53"/>
  <c r="ISX3" i="53"/>
  <c r="ITX3" i="53"/>
  <c r="IVK3" i="53"/>
  <c r="IWL3" i="53"/>
  <c r="IXL3" i="53"/>
  <c r="IYK3" i="53"/>
  <c r="IZL3" i="53"/>
  <c r="JAK3" i="53"/>
  <c r="JBK3" i="53"/>
  <c r="JCL3" i="53"/>
  <c r="JDK3" i="53"/>
  <c r="JEX3" i="53"/>
  <c r="JFL3" i="53"/>
  <c r="JFZ3" i="53"/>
  <c r="JGM3" i="53"/>
  <c r="JGZ3" i="53"/>
  <c r="JHO3" i="53"/>
  <c r="JIB3" i="53"/>
  <c r="JJR3" i="53"/>
  <c r="JKF3" i="53"/>
  <c r="JKS3" i="53"/>
  <c r="JLF3" i="53"/>
  <c r="JLT3" i="53"/>
  <c r="JMH3" i="53"/>
  <c r="JMV3" i="53"/>
  <c r="JOL3" i="53"/>
  <c r="JOY3" i="53"/>
  <c r="JPL3" i="53"/>
  <c r="JPZ3" i="53"/>
  <c r="JQN3" i="53"/>
  <c r="JRB3" i="53"/>
  <c r="JRO3" i="53"/>
  <c r="JTE3" i="53"/>
  <c r="JTR3" i="53"/>
  <c r="JUF3" i="53"/>
  <c r="JUS3" i="53"/>
  <c r="JVH3" i="53"/>
  <c r="JVU3" i="53"/>
  <c r="JWH3" i="53"/>
  <c r="JXX3" i="53"/>
  <c r="JYL3" i="53"/>
  <c r="JYY3" i="53"/>
  <c r="JZN3" i="53"/>
  <c r="KAA3" i="53"/>
  <c r="KAN3" i="53"/>
  <c r="KBB3" i="53"/>
  <c r="KCR3" i="53"/>
  <c r="KDE3" i="53"/>
  <c r="KDR3" i="53"/>
  <c r="KEG3" i="53"/>
  <c r="KET3" i="53"/>
  <c r="KFH3" i="53"/>
  <c r="KFU3" i="53"/>
  <c r="KHN3" i="53"/>
  <c r="KIB3" i="53"/>
  <c r="KIS3" i="53"/>
  <c r="KJH3" i="53"/>
  <c r="KJW3" i="53"/>
  <c r="KKL3" i="53"/>
  <c r="KKZ3" i="53"/>
  <c r="KMU3" i="53"/>
  <c r="KNJ3" i="53"/>
  <c r="KNZ3" i="53"/>
  <c r="KOO3" i="53"/>
  <c r="KPD3" i="53"/>
  <c r="KPR3" i="53"/>
  <c r="KQI3" i="53"/>
  <c r="KSB3" i="53"/>
  <c r="KSR3" i="53"/>
  <c r="KTH3" i="53"/>
  <c r="KTV3" i="53"/>
  <c r="KUJ3" i="53"/>
  <c r="KUZ3" i="53"/>
  <c r="KVP3" i="53"/>
  <c r="KXI3" i="53"/>
  <c r="KXZ3" i="53"/>
  <c r="KYN3" i="53"/>
  <c r="KZC3" i="53"/>
  <c r="KZS3" i="53"/>
  <c r="LBR3" i="53"/>
  <c r="LID3" i="53"/>
  <c r="LIW3" i="53"/>
  <c r="LKX3" i="53"/>
  <c r="LNA3" i="53"/>
  <c r="LOI3" i="53"/>
  <c r="LPS3" i="53"/>
  <c r="LRD3" i="53"/>
  <c r="LRV3" i="53"/>
  <c r="LTD3" i="53"/>
  <c r="LTW3" i="53"/>
  <c r="LUN3" i="53"/>
  <c r="LVG3" i="53"/>
  <c r="LVY3" i="53"/>
  <c r="LXH3" i="53"/>
  <c r="LZJ3" i="53"/>
  <c r="MAT3" i="53"/>
  <c r="MCC3" i="53"/>
  <c r="MEF3" i="53"/>
  <c r="MEW3" i="53"/>
  <c r="MGY3" i="53"/>
  <c r="MIH3" i="53"/>
  <c r="MJS3" i="53"/>
  <c r="MKL3" i="53"/>
  <c r="MNC3" i="53"/>
  <c r="MNW3" i="53"/>
  <c r="MOM3" i="53"/>
  <c r="MPF3" i="53"/>
  <c r="MRE3" i="53"/>
  <c r="MRY3" i="53"/>
  <c r="MTH3" i="53"/>
  <c r="MUR3" i="53"/>
  <c r="MYD3" i="53"/>
  <c r="NAG3" i="53"/>
  <c r="NCF3" i="53"/>
  <c r="NDR3" i="53"/>
  <c r="NEJ3" i="53"/>
  <c r="NFQ3" i="53"/>
  <c r="NHC3" i="53"/>
  <c r="NHT3" i="53"/>
  <c r="NIL3" i="53"/>
  <c r="NJD3" i="53"/>
  <c r="NLE3" i="53"/>
  <c r="NNG3" i="53"/>
  <c r="NOO3" i="53"/>
  <c r="NQS3" i="53"/>
  <c r="NRJ3" i="53"/>
  <c r="NSB3" i="53"/>
  <c r="NTN3" i="53"/>
  <c r="NVM3" i="53"/>
  <c r="NWE3" i="53"/>
  <c r="NXP3" i="53"/>
  <c r="NYH3" i="53"/>
  <c r="NZP3" i="53"/>
  <c r="OAZ3" i="53"/>
  <c r="OBS3" i="53"/>
  <c r="OEL3" i="53"/>
  <c r="OFW3" i="53"/>
  <c r="OGN3" i="53"/>
  <c r="OHF3" i="53"/>
  <c r="OHW3" i="53"/>
  <c r="OIP3" i="53"/>
  <c r="OKV3" i="53"/>
  <c r="OMG3" i="53"/>
  <c r="OPC3" i="53"/>
  <c r="OQQ3" i="53"/>
  <c r="ORK3" i="53"/>
  <c r="OSD3" i="53"/>
  <c r="OUK3" i="53"/>
  <c r="OWT3" i="53"/>
  <c r="OZU3" i="53"/>
  <c r="PBI3" i="53"/>
  <c r="PCC3" i="53"/>
  <c r="PGQ3" i="53"/>
  <c r="PIG3" i="53"/>
  <c r="PIZ3" i="53"/>
  <c r="PKL3" i="53"/>
  <c r="PLF3" i="53"/>
  <c r="PMA3" i="53"/>
  <c r="PNP3" i="53"/>
  <c r="PQQ3" i="53"/>
  <c r="PRJ3" i="53"/>
  <c r="PSX3" i="53"/>
  <c r="PUJ3" i="53"/>
  <c r="PWS3" i="53"/>
  <c r="PXN3" i="53"/>
  <c r="QBI3" i="53"/>
  <c r="QCA3" i="53"/>
  <c r="QEN3" i="53"/>
  <c r="QIL3" i="53"/>
  <c r="QLT3" i="53"/>
  <c r="QMM3" i="53"/>
  <c r="QNJ3" i="53"/>
  <c r="QPC3" i="53"/>
  <c r="QPX3" i="53"/>
  <c r="QQV3" i="53"/>
  <c r="QTR3" i="53"/>
  <c r="QUQ3" i="53"/>
  <c r="QWK3" i="53"/>
  <c r="QYK3" i="53"/>
  <c r="RAG3" i="53"/>
  <c r="RCD3" i="53"/>
  <c r="RDD3" i="53"/>
  <c r="REA3" i="53"/>
  <c r="RJA3" i="53"/>
  <c r="RKY3" i="53"/>
  <c r="RMX3" i="53"/>
  <c r="RNY3" i="53"/>
  <c r="RPA3" i="53"/>
  <c r="RQV3" i="53"/>
  <c r="RUY3" i="53"/>
  <c r="RZZ3" i="53"/>
  <c r="SAW3" i="53"/>
  <c r="SBX3" i="53"/>
  <c r="SDY3" i="53"/>
  <c r="SFA3" i="53"/>
  <c r="SGC3" i="53"/>
  <c r="SHG3" i="53"/>
  <c r="SLJ3" i="53"/>
  <c r="SMM3" i="53"/>
  <c r="SNO3" i="53"/>
  <c r="SSA3" i="53"/>
  <c r="SVF3" i="53"/>
  <c r="SXN3" i="53"/>
  <c r="SYQ3" i="53"/>
  <c r="SZV3" i="53"/>
  <c r="TBZ3" i="53"/>
  <c r="TFI3" i="53"/>
  <c r="TGM3" i="53"/>
  <c r="THN3" i="53"/>
  <c r="TLD3" i="53"/>
  <c r="TME3" i="53"/>
  <c r="TNL3" i="53"/>
  <c r="TOM3" i="53"/>
  <c r="TTH3" i="53"/>
  <c r="TVX3" i="53"/>
  <c r="TZR3" i="53"/>
  <c r="UCM3" i="53"/>
  <c r="UDT3" i="53"/>
  <c r="UFH3" i="53"/>
  <c r="UGZ3" i="53"/>
  <c r="UJT3" i="53"/>
  <c r="ULE3" i="53"/>
  <c r="UOF3" i="53"/>
  <c r="UQZ3" i="53"/>
  <c r="USL3" i="53"/>
  <c r="UTT3" i="53"/>
  <c r="UVK3" i="53"/>
  <c r="VBS3" i="53"/>
  <c r="VDH3" i="53"/>
  <c r="VFE3" i="53"/>
  <c r="VGP3" i="53"/>
  <c r="VIP3" i="53"/>
  <c r="VVB3" i="53"/>
  <c r="VXB3" i="53"/>
  <c r="WEH3" i="53"/>
  <c r="WJD3" i="53"/>
  <c r="WLO3" i="53"/>
  <c r="WTS3" i="53"/>
  <c r="WZA3" i="53"/>
  <c r="XBQ3" i="53"/>
  <c r="E3" i="53"/>
  <c r="P3" i="53"/>
  <c r="AA3" i="53"/>
  <c r="AL3" i="53"/>
  <c r="AW3" i="53"/>
  <c r="BH3" i="53"/>
  <c r="BS3" i="53"/>
  <c r="CD3" i="53"/>
  <c r="CO3" i="53"/>
  <c r="DA3" i="53"/>
  <c r="DW3" i="53"/>
  <c r="EH3" i="53"/>
  <c r="ES3" i="53"/>
  <c r="FD3" i="53"/>
  <c r="FO3" i="53"/>
  <c r="FZ3" i="53"/>
  <c r="GK3" i="53"/>
  <c r="GW3" i="53"/>
  <c r="HS3" i="53"/>
  <c r="ID3" i="53"/>
  <c r="IO3" i="53"/>
  <c r="IZ3" i="53"/>
  <c r="JK3" i="53"/>
  <c r="JV3" i="53"/>
  <c r="KG3" i="53"/>
  <c r="LD3" i="53"/>
  <c r="LO3" i="53"/>
  <c r="LZ3" i="53"/>
  <c r="MK3" i="53"/>
  <c r="MV3" i="53"/>
  <c r="NG3" i="53"/>
  <c r="NR3" i="53"/>
  <c r="OC3" i="53"/>
  <c r="OZ3" i="53"/>
  <c r="PK3" i="53"/>
  <c r="PV3" i="53"/>
  <c r="QG3" i="53"/>
  <c r="QR3" i="53"/>
  <c r="RC3" i="53"/>
  <c r="RN3" i="53"/>
  <c r="RY3" i="53"/>
  <c r="SV3" i="53"/>
  <c r="TG3" i="53"/>
  <c r="TR3" i="53"/>
  <c r="UC3" i="53"/>
  <c r="UN3" i="53"/>
  <c r="UY3" i="53"/>
  <c r="VJ3" i="53"/>
  <c r="VU3" i="53"/>
  <c r="WR3" i="53"/>
  <c r="XC3" i="53"/>
  <c r="XN3" i="53"/>
  <c r="XY3" i="53"/>
  <c r="YJ3" i="53"/>
  <c r="YU3" i="53"/>
  <c r="ZF3" i="53"/>
  <c r="AAC3" i="53"/>
  <c r="AAN3" i="53"/>
  <c r="AAY3" i="53"/>
  <c r="ABJ3" i="53"/>
  <c r="ABU3" i="53"/>
  <c r="ACF3" i="53"/>
  <c r="ACQ3" i="53"/>
  <c r="ADM3" i="53"/>
  <c r="ADY3" i="53"/>
  <c r="AEJ3" i="53"/>
  <c r="AEU3" i="53"/>
  <c r="AFF3" i="53"/>
  <c r="AFQ3" i="53"/>
  <c r="AGM3" i="53"/>
  <c r="AGX3" i="53"/>
  <c r="AHI3" i="53"/>
  <c r="AHU3" i="53"/>
  <c r="AIF3" i="53"/>
  <c r="AJB3" i="53"/>
  <c r="AJM3" i="53"/>
  <c r="AJX3" i="53"/>
  <c r="AKI3" i="53"/>
  <c r="AKT3" i="53"/>
  <c r="ALQ3" i="53"/>
  <c r="AMB3" i="53"/>
  <c r="AMM3" i="53"/>
  <c r="AMX3" i="53"/>
  <c r="ANT3" i="53"/>
  <c r="AOE3" i="53"/>
  <c r="AOP3" i="53"/>
  <c r="APM3" i="53"/>
  <c r="APX3" i="53"/>
  <c r="AQT3" i="53"/>
  <c r="ARP3" i="53"/>
  <c r="ASL3" i="53"/>
  <c r="AUE3" i="53"/>
  <c r="AWS3" i="53"/>
  <c r="BCH3" i="53"/>
  <c r="BYN3" i="53"/>
  <c r="COJ3" i="53"/>
  <c r="CPG3" i="53"/>
  <c r="CQE3" i="53"/>
  <c r="CRB3" i="53"/>
  <c r="CRY3" i="53"/>
  <c r="CSW3" i="53"/>
  <c r="CTT3" i="53"/>
  <c r="CUF3" i="53"/>
  <c r="CVC3" i="53"/>
  <c r="CWA3" i="53"/>
  <c r="CWX3" i="53"/>
  <c r="CXU3" i="53"/>
  <c r="CYS3" i="53"/>
  <c r="CZP3" i="53"/>
  <c r="DAM3" i="53"/>
  <c r="DBK3" i="53"/>
  <c r="DCH3" i="53"/>
  <c r="DCT3" i="53"/>
  <c r="DDR3" i="53"/>
  <c r="DEO3" i="53"/>
  <c r="DFL3" i="53"/>
  <c r="DGJ3" i="53"/>
  <c r="DHG3" i="53"/>
  <c r="DID3" i="53"/>
  <c r="DJB3" i="53"/>
  <c r="DJY3" i="53"/>
  <c r="DKV3" i="53"/>
  <c r="DLI3" i="53"/>
  <c r="DMF3" i="53"/>
  <c r="DNC3" i="53"/>
  <c r="DOA3" i="53"/>
  <c r="DOX3" i="53"/>
  <c r="DPU3" i="53"/>
  <c r="DQS3" i="53"/>
  <c r="DRP3" i="53"/>
  <c r="DSM3" i="53"/>
  <c r="DTK3" i="53"/>
  <c r="DTW3" i="53"/>
  <c r="DUT3" i="53"/>
  <c r="DVQ3" i="53"/>
  <c r="DXB3" i="53"/>
  <c r="DXN3" i="53"/>
  <c r="DXZ3" i="53"/>
  <c r="DYL3" i="53"/>
  <c r="DYY3" i="53"/>
  <c r="EBH3" i="53"/>
  <c r="EBU3" i="53"/>
  <c r="ECG3" i="53"/>
  <c r="EDF3" i="53"/>
  <c r="EDR3" i="53"/>
  <c r="EEE3" i="53"/>
  <c r="EEQ3" i="53"/>
  <c r="EFC3" i="53"/>
  <c r="EHM3" i="53"/>
  <c r="EHY3" i="53"/>
  <c r="EIK3" i="53"/>
  <c r="EIW3" i="53"/>
  <c r="EJI3" i="53"/>
  <c r="ENQ3" i="53"/>
  <c r="EOC3" i="53"/>
  <c r="EOO3" i="53"/>
  <c r="EPA3" i="53"/>
  <c r="ERW3" i="53"/>
  <c r="ESJ3" i="53"/>
  <c r="ESV3" i="53"/>
  <c r="ETH3" i="53"/>
  <c r="EUS3" i="53"/>
  <c r="EVF3" i="53"/>
  <c r="EYB3" i="53"/>
  <c r="EYN3" i="53"/>
  <c r="EYZ3" i="53"/>
  <c r="EZL3" i="53"/>
  <c r="FBV3" i="53"/>
  <c r="FCH3" i="53"/>
  <c r="FCT3" i="53"/>
  <c r="FDF3" i="53"/>
  <c r="FDT3" i="53"/>
  <c r="FEF3" i="53"/>
  <c r="FER3" i="53"/>
  <c r="FFD3" i="53"/>
  <c r="FFP3" i="53"/>
  <c r="FHZ3" i="53"/>
  <c r="FIZ3" i="53"/>
  <c r="FJZ3" i="53"/>
  <c r="FKY3" i="53"/>
  <c r="FLZ3" i="53"/>
  <c r="FNM3" i="53"/>
  <c r="FOL3" i="53"/>
  <c r="FPM3" i="53"/>
  <c r="FQM3" i="53"/>
  <c r="FRL3" i="53"/>
  <c r="FSM3" i="53"/>
  <c r="FTL3" i="53"/>
  <c r="FUL3" i="53"/>
  <c r="FVM3" i="53"/>
  <c r="FWZ3" i="53"/>
  <c r="FXZ3" i="53"/>
  <c r="FYZ3" i="53"/>
  <c r="FZY3" i="53"/>
  <c r="GAZ3" i="53"/>
  <c r="GBZ3" i="53"/>
  <c r="GCY3" i="53"/>
  <c r="GDZ3" i="53"/>
  <c r="GEY3" i="53"/>
  <c r="GGM3" i="53"/>
  <c r="GHM3" i="53"/>
  <c r="GIL3" i="53"/>
  <c r="GJM3" i="53"/>
  <c r="GKM3" i="53"/>
  <c r="GLL3" i="53"/>
  <c r="GMM3" i="53"/>
  <c r="GNL3" i="53"/>
  <c r="GOL3" i="53"/>
  <c r="GPZ3" i="53"/>
  <c r="GQZ3" i="53"/>
  <c r="GRY3" i="53"/>
  <c r="GSZ3" i="53"/>
  <c r="GTY3" i="53"/>
  <c r="GUY3" i="53"/>
  <c r="GVZ3" i="53"/>
  <c r="GWY3" i="53"/>
  <c r="GXY3" i="53"/>
  <c r="GZM3" i="53"/>
  <c r="HAL3" i="53"/>
  <c r="HBM3" i="53"/>
  <c r="HCL3" i="53"/>
  <c r="HDL3" i="53"/>
  <c r="HEM3" i="53"/>
  <c r="HFL3" i="53"/>
  <c r="HGL3" i="53"/>
  <c r="HHL3" i="53"/>
  <c r="HIY3" i="53"/>
  <c r="HJZ3" i="53"/>
  <c r="HKZ3" i="53"/>
  <c r="HLY3" i="53"/>
  <c r="HMZ3" i="53"/>
  <c r="HNY3" i="53"/>
  <c r="HOY3" i="53"/>
  <c r="HPZ3" i="53"/>
  <c r="HQY3" i="53"/>
  <c r="HSL3" i="53"/>
  <c r="HTM3" i="53"/>
  <c r="HUL3" i="53"/>
  <c r="HVL3" i="53"/>
  <c r="HWL3" i="53"/>
  <c r="HXL3" i="53"/>
  <c r="HYL3" i="53"/>
  <c r="HZL3" i="53"/>
  <c r="IAL3" i="53"/>
  <c r="IBZ3" i="53"/>
  <c r="ICY3" i="53"/>
  <c r="IDY3" i="53"/>
  <c r="IEZ3" i="53"/>
  <c r="IFY3" i="53"/>
  <c r="IGY3" i="53"/>
  <c r="IHY3" i="53"/>
  <c r="IIY3" i="53"/>
  <c r="IJX3" i="53"/>
  <c r="ILL3" i="53"/>
  <c r="IML3" i="53"/>
  <c r="INM3" i="53"/>
  <c r="IOL3" i="53"/>
  <c r="IPL3" i="53"/>
  <c r="IQL3" i="53"/>
  <c r="IRL3" i="53"/>
  <c r="ISL3" i="53"/>
  <c r="ITL3" i="53"/>
  <c r="IUY3" i="53"/>
  <c r="IVY3" i="53"/>
  <c r="IWY3" i="53"/>
  <c r="IXY3" i="53"/>
  <c r="IYX3" i="53"/>
  <c r="IZY3" i="53"/>
  <c r="JAY3" i="53"/>
  <c r="JBX3" i="53"/>
  <c r="JCY3" i="53"/>
  <c r="JEL3" i="53"/>
  <c r="JIQ3" i="53"/>
  <c r="JNJ3" i="53"/>
  <c r="JSC3" i="53"/>
  <c r="JWW3" i="53"/>
  <c r="KBQ3" i="53"/>
  <c r="KGJ3" i="53"/>
  <c r="KLR3" i="53"/>
  <c r="KQX3" i="53"/>
  <c r="KWE3" i="53"/>
  <c r="LAJ3" i="53"/>
  <c r="LBB3" i="53"/>
  <c r="LCJ3" i="53"/>
  <c r="LCZ3" i="53"/>
  <c r="LDR3" i="53"/>
  <c r="LEG3" i="53"/>
  <c r="LFR3" i="53"/>
  <c r="LGG3" i="53"/>
  <c r="LGY3" i="53"/>
  <c r="LHO3" i="53"/>
  <c r="LJP3" i="53"/>
  <c r="LKH3" i="53"/>
  <c r="LLO3" i="53"/>
  <c r="LNS3" i="53"/>
  <c r="LPC3" i="53"/>
  <c r="LQM3" i="53"/>
  <c r="LSN3" i="53"/>
  <c r="LUQ3" i="53"/>
  <c r="LWQ3" i="53"/>
  <c r="LYC3" i="53"/>
  <c r="LYS3" i="53"/>
  <c r="MBL3" i="53"/>
  <c r="MCW3" i="53"/>
  <c r="MDN3" i="53"/>
  <c r="MFP3" i="53"/>
  <c r="MHR3" i="53"/>
  <c r="MLB3" i="53"/>
  <c r="MML3" i="53"/>
  <c r="MON3" i="53"/>
  <c r="MQP3" i="53"/>
  <c r="MSR3" i="53"/>
  <c r="MUA3" i="53"/>
  <c r="MVK3" i="53"/>
  <c r="MWC3" i="53"/>
  <c r="MWV3" i="53"/>
  <c r="MXM3" i="53"/>
  <c r="MYU3" i="53"/>
  <c r="MZO3" i="53"/>
  <c r="NAX3" i="53"/>
  <c r="NBP3" i="53"/>
  <c r="NDS3" i="53"/>
  <c r="NFA3" i="53"/>
  <c r="NGK3" i="53"/>
  <c r="NJV3" i="53"/>
  <c r="NKO3" i="53"/>
  <c r="NLY3" i="53"/>
  <c r="NMQ3" i="53"/>
  <c r="NNZ3" i="53"/>
  <c r="NQB3" i="53"/>
  <c r="NSU3" i="53"/>
  <c r="NUE3" i="53"/>
  <c r="NUV3" i="53"/>
  <c r="NWY3" i="53"/>
  <c r="NYY3" i="53"/>
  <c r="OAK3" i="53"/>
  <c r="OBC3" i="53"/>
  <c r="ODU3" i="53"/>
  <c r="OFE3" i="53"/>
  <c r="OFX3" i="53"/>
  <c r="OIQ3" i="53"/>
  <c r="OJL3" i="53"/>
  <c r="OKC3" i="53"/>
  <c r="OLM3" i="53"/>
  <c r="ONT3" i="53"/>
  <c r="OOM3" i="53"/>
  <c r="OPW3" i="53"/>
  <c r="OTR3" i="53"/>
  <c r="OWC3" i="53"/>
  <c r="OXM3" i="53"/>
  <c r="OYH3" i="53"/>
  <c r="OZB3" i="53"/>
  <c r="OZV3" i="53"/>
  <c r="PAP3" i="53"/>
  <c r="PCU3" i="53"/>
  <c r="PDQ3" i="53"/>
  <c r="PEK3" i="53"/>
  <c r="PFE3" i="53"/>
  <c r="PFY3" i="53"/>
  <c r="PHK3" i="53"/>
  <c r="PJU3" i="53"/>
  <c r="POI3" i="53"/>
  <c r="PPC3" i="53"/>
  <c r="PPW3" i="53"/>
  <c r="PSF3" i="53"/>
  <c r="PTR3" i="53"/>
  <c r="PVF3" i="53"/>
  <c r="PWA3" i="53"/>
  <c r="PZB3" i="53"/>
  <c r="QAO3" i="53"/>
  <c r="QBJ3" i="53"/>
  <c r="QCW3" i="53"/>
  <c r="QDR3" i="53"/>
  <c r="QEO3" i="53"/>
  <c r="QFH3" i="53"/>
  <c r="QGC3" i="53"/>
  <c r="QGX3" i="53"/>
  <c r="QHR3" i="53"/>
  <c r="QJK3" i="53"/>
  <c r="QKE3" i="53"/>
  <c r="QKY3" i="53"/>
  <c r="QNK3" i="53"/>
  <c r="QOF3" i="53"/>
  <c r="QRV3" i="53"/>
  <c r="QSW3" i="53"/>
  <c r="QVO3" i="53"/>
  <c r="QWM3" i="53"/>
  <c r="QXN3" i="53"/>
  <c r="QZJ3" i="53"/>
  <c r="RBG3" i="53"/>
  <c r="RDE3" i="53"/>
  <c r="RFC3" i="53"/>
  <c r="RGA3" i="53"/>
  <c r="RHA3" i="53"/>
  <c r="RIC3" i="53"/>
  <c r="RJC3" i="53"/>
  <c r="RKA3" i="53"/>
  <c r="RLZ3" i="53"/>
  <c r="RPZ3" i="53"/>
  <c r="RSZ3" i="53"/>
  <c r="RUA3" i="53"/>
  <c r="RVY3" i="53"/>
  <c r="RWX3" i="53"/>
  <c r="RXX3" i="53"/>
  <c r="RYX3" i="53"/>
  <c r="SFC3" i="53"/>
  <c r="SGE3" i="53"/>
  <c r="SIG3" i="53"/>
  <c r="SJH3" i="53"/>
  <c r="SLK3" i="53"/>
  <c r="SOQ3" i="53"/>
  <c r="SPV3" i="53"/>
  <c r="SQY3" i="53"/>
  <c r="STC3" i="53"/>
  <c r="SUG3" i="53"/>
  <c r="SWK3" i="53"/>
  <c r="SXQ3" i="53"/>
  <c r="TDD3" i="53"/>
  <c r="TEG3" i="53"/>
  <c r="TGN3" i="53"/>
  <c r="TIT3" i="53"/>
  <c r="TMK3" i="53"/>
  <c r="TOQ3" i="53"/>
  <c r="TPR3" i="53"/>
  <c r="TRA3" i="53"/>
  <c r="TTJ3" i="53"/>
  <c r="TXA3" i="53"/>
  <c r="TYM3" i="53"/>
  <c r="UBA3" i="53"/>
  <c r="UHB3" i="53"/>
  <c r="UII3" i="53"/>
  <c r="UMR3" i="53"/>
  <c r="UPO3" i="53"/>
  <c r="USP3" i="53"/>
  <c r="UWY3" i="53"/>
  <c r="VAF3" i="53"/>
  <c r="VFF3" i="53"/>
  <c r="VMG3" i="53"/>
  <c r="VOM3" i="53"/>
  <c r="VSS3" i="53"/>
  <c r="VXG3" i="53"/>
  <c r="VZW3" i="53"/>
  <c r="WGY3" i="53"/>
  <c r="WLT3" i="53"/>
  <c r="WOL3" i="53"/>
  <c r="WRF3" i="53"/>
  <c r="WWD3" i="53"/>
  <c r="XEE3" i="53"/>
  <c r="DWK3" i="53"/>
  <c r="DXI3" i="53"/>
  <c r="DYR3" i="53"/>
  <c r="DZO3" i="53"/>
  <c r="EAL3" i="53"/>
  <c r="EAY3" i="53"/>
  <c r="EBV3" i="53"/>
  <c r="ECS3" i="53"/>
  <c r="EEB3" i="53"/>
  <c r="EEZ3" i="53"/>
  <c r="EFW3" i="53"/>
  <c r="EGI3" i="53"/>
  <c r="EHF3" i="53"/>
  <c r="EIC3" i="53"/>
  <c r="EJM3" i="53"/>
  <c r="EKJ3" i="53"/>
  <c r="ELG3" i="53"/>
  <c r="ELS3" i="53"/>
  <c r="EMP3" i="53"/>
  <c r="ENN3" i="53"/>
  <c r="ENZ3" i="53"/>
  <c r="EOW3" i="53"/>
  <c r="EPT3" i="53"/>
  <c r="EQQ3" i="53"/>
  <c r="ERD3" i="53"/>
  <c r="ESA3" i="53"/>
  <c r="ESX3" i="53"/>
  <c r="ETJ3" i="53"/>
  <c r="EUG3" i="53"/>
  <c r="EVE3" i="53"/>
  <c r="EWN3" i="53"/>
  <c r="EXK3" i="53"/>
  <c r="EYH3" i="53"/>
  <c r="EYT3" i="53"/>
  <c r="EZR3" i="53"/>
  <c r="FAO3" i="53"/>
  <c r="FBX3" i="53"/>
  <c r="FCU3" i="53"/>
  <c r="FDS3" i="53"/>
  <c r="FEE3" i="53"/>
  <c r="FFB3" i="53"/>
  <c r="FFY3" i="53"/>
  <c r="FHI3" i="53"/>
  <c r="FIF3" i="53"/>
  <c r="FIR3" i="53"/>
  <c r="FJE3" i="53"/>
  <c r="FJQ3" i="53"/>
  <c r="FKC3" i="53"/>
  <c r="FKO3" i="53"/>
  <c r="FLB3" i="53"/>
  <c r="FLO3" i="53"/>
  <c r="FMA3" i="53"/>
  <c r="FMM3" i="53"/>
  <c r="FMZ3" i="53"/>
  <c r="FNL3" i="53"/>
  <c r="FNX3" i="53"/>
  <c r="FOJ3" i="53"/>
  <c r="FOV3" i="53"/>
  <c r="FPI3" i="53"/>
  <c r="FPV3" i="53"/>
  <c r="FQH3" i="53"/>
  <c r="FQT3" i="53"/>
  <c r="FRG3" i="53"/>
  <c r="FRS3" i="53"/>
  <c r="FSE3" i="53"/>
  <c r="FSQ3" i="53"/>
  <c r="FTD3" i="53"/>
  <c r="FTP3" i="53"/>
  <c r="FUC3" i="53"/>
  <c r="FUO3" i="53"/>
  <c r="FVB3" i="53"/>
  <c r="FVN3" i="53"/>
  <c r="FVZ3" i="53"/>
  <c r="FWL3" i="53"/>
  <c r="FWX3" i="53"/>
  <c r="FXK3" i="53"/>
  <c r="FXW3" i="53"/>
  <c r="FYJ3" i="53"/>
  <c r="FYV3" i="53"/>
  <c r="FZI3" i="53"/>
  <c r="FZU3" i="53"/>
  <c r="GAG3" i="53"/>
  <c r="GAS3" i="53"/>
  <c r="GBF3" i="53"/>
  <c r="GBR3" i="53"/>
  <c r="GCD3" i="53"/>
  <c r="GCQ3" i="53"/>
  <c r="GDD3" i="53"/>
  <c r="GDP3" i="53"/>
  <c r="GEB3" i="53"/>
  <c r="GEN3" i="53"/>
  <c r="GEZ3" i="53"/>
  <c r="GFM3" i="53"/>
  <c r="GFY3" i="53"/>
  <c r="GGK3" i="53"/>
  <c r="GGX3" i="53"/>
  <c r="GHK3" i="53"/>
  <c r="GHW3" i="53"/>
  <c r="GII3" i="53"/>
  <c r="GIU3" i="53"/>
  <c r="GJH3" i="53"/>
  <c r="GJT3" i="53"/>
  <c r="GKF3" i="53"/>
  <c r="GKR3" i="53"/>
  <c r="GLF3" i="53"/>
  <c r="GLR3" i="53"/>
  <c r="GMD3" i="53"/>
  <c r="GMP3" i="53"/>
  <c r="GNB3" i="53"/>
  <c r="GNO3" i="53"/>
  <c r="GOA3" i="53"/>
  <c r="GOM3" i="53"/>
  <c r="GOY3" i="53"/>
  <c r="GPM3" i="53"/>
  <c r="GPY3" i="53"/>
  <c r="GQK3" i="53"/>
  <c r="GQW3" i="53"/>
  <c r="GRJ3" i="53"/>
  <c r="GRV3" i="53"/>
  <c r="GSH3" i="53"/>
  <c r="GST3" i="53"/>
  <c r="GTF3" i="53"/>
  <c r="GTT3" i="53"/>
  <c r="GUF3" i="53"/>
  <c r="GUR3" i="53"/>
  <c r="GVD3" i="53"/>
  <c r="GVQ3" i="53"/>
  <c r="GWC3" i="53"/>
  <c r="GWO3" i="53"/>
  <c r="GXA3" i="53"/>
  <c r="GXN3" i="53"/>
  <c r="GYA3" i="53"/>
  <c r="GYM3" i="53"/>
  <c r="GYY3" i="53"/>
  <c r="GZL3" i="53"/>
  <c r="GZX3" i="53"/>
  <c r="HAJ3" i="53"/>
  <c r="HAV3" i="53"/>
  <c r="HBH3" i="53"/>
  <c r="HBU3" i="53"/>
  <c r="HCH3" i="53"/>
  <c r="HCT3" i="53"/>
  <c r="HDF3" i="53"/>
  <c r="HDS3" i="53"/>
  <c r="HEE3" i="53"/>
  <c r="HEQ3" i="53"/>
  <c r="HFC3" i="53"/>
  <c r="HFP3" i="53"/>
  <c r="HGB3" i="53"/>
  <c r="HGO3" i="53"/>
  <c r="HHA3" i="53"/>
  <c r="HHN3" i="53"/>
  <c r="HHZ3" i="53"/>
  <c r="HIL3" i="53"/>
  <c r="HIX3" i="53"/>
  <c r="HJJ3" i="53"/>
  <c r="HJW3" i="53"/>
  <c r="HKI3" i="53"/>
  <c r="HKV3" i="53"/>
  <c r="HLH3" i="53"/>
  <c r="HLU3" i="53"/>
  <c r="HMG3" i="53"/>
  <c r="HMS3" i="53"/>
  <c r="HNE3" i="53"/>
  <c r="HNR3" i="53"/>
  <c r="HOD3" i="53"/>
  <c r="HOP3" i="53"/>
  <c r="HPC3" i="53"/>
  <c r="HPP3" i="53"/>
  <c r="HQB3" i="53"/>
  <c r="HQN3" i="53"/>
  <c r="HQZ3" i="53"/>
  <c r="HRL3" i="53"/>
  <c r="HRY3" i="53"/>
  <c r="HSK3" i="53"/>
  <c r="HSW3" i="53"/>
  <c r="HTJ3" i="53"/>
  <c r="HTW3" i="53"/>
  <c r="HUI3" i="53"/>
  <c r="HUU3" i="53"/>
  <c r="HVG3" i="53"/>
  <c r="HVT3" i="53"/>
  <c r="HWF3" i="53"/>
  <c r="HWR3" i="53"/>
  <c r="HXD3" i="53"/>
  <c r="HXR3" i="53"/>
  <c r="HYD3" i="53"/>
  <c r="HYP3" i="53"/>
  <c r="HZB3" i="53"/>
  <c r="HZN3" i="53"/>
  <c r="IAA3" i="53"/>
  <c r="IAM3" i="53"/>
  <c r="IAY3" i="53"/>
  <c r="IBK3" i="53"/>
  <c r="IBY3" i="53"/>
  <c r="ICK3" i="53"/>
  <c r="ICW3" i="53"/>
  <c r="IDI3" i="53"/>
  <c r="IDV3" i="53"/>
  <c r="IEH3" i="53"/>
  <c r="IET3" i="53"/>
  <c r="IFF3" i="53"/>
  <c r="IFR3" i="53"/>
  <c r="IGF3" i="53"/>
  <c r="IGR3" i="53"/>
  <c r="IHD3" i="53"/>
  <c r="IHP3" i="53"/>
  <c r="IIC3" i="53"/>
  <c r="IIO3" i="53"/>
  <c r="IJA3" i="53"/>
  <c r="IJM3" i="53"/>
  <c r="IJZ3" i="53"/>
  <c r="IKM3" i="53"/>
  <c r="IKY3" i="53"/>
  <c r="ILK3" i="53"/>
  <c r="ILX3" i="53"/>
  <c r="IMJ3" i="53"/>
  <c r="IMV3" i="53"/>
  <c r="INH3" i="53"/>
  <c r="INT3" i="53"/>
  <c r="IOG3" i="53"/>
  <c r="IOT3" i="53"/>
  <c r="IPF3" i="53"/>
  <c r="IPR3" i="53"/>
  <c r="IQE3" i="53"/>
  <c r="IQQ3" i="53"/>
  <c r="IRC3" i="53"/>
  <c r="IRO3" i="53"/>
  <c r="ISB3" i="53"/>
  <c r="ISN3" i="53"/>
  <c r="ITA3" i="53"/>
  <c r="ITM3" i="53"/>
  <c r="ITZ3" i="53"/>
  <c r="IUL3" i="53"/>
  <c r="IUX3" i="53"/>
  <c r="IVJ3" i="53"/>
  <c r="IVV3" i="53"/>
  <c r="IWI3" i="53"/>
  <c r="IWU3" i="53"/>
  <c r="IXH3" i="53"/>
  <c r="IXT3" i="53"/>
  <c r="IYG3" i="53"/>
  <c r="IYS3" i="53"/>
  <c r="IZE3" i="53"/>
  <c r="IZQ3" i="53"/>
  <c r="JAD3" i="53"/>
  <c r="JAP3" i="53"/>
  <c r="JBB3" i="53"/>
  <c r="JBO3" i="53"/>
  <c r="JCB3" i="53"/>
  <c r="JCN3" i="53"/>
  <c r="JCZ3" i="53"/>
  <c r="JDL3" i="53"/>
  <c r="JDX3" i="53"/>
  <c r="JEK3" i="53"/>
  <c r="JEW3" i="53"/>
  <c r="JFI3" i="53"/>
  <c r="JFV3" i="53"/>
  <c r="JGI3" i="53"/>
  <c r="JGU3" i="53"/>
  <c r="JHG3" i="53"/>
  <c r="JHS3" i="53"/>
  <c r="JIF3" i="53"/>
  <c r="JIR3" i="53"/>
  <c r="JJD3" i="53"/>
  <c r="JJP3" i="53"/>
  <c r="JKD3" i="53"/>
  <c r="JKP3" i="53"/>
  <c r="JLB3" i="53"/>
  <c r="JLN3" i="53"/>
  <c r="JLZ3" i="53"/>
  <c r="JMM3" i="53"/>
  <c r="JMY3" i="53"/>
  <c r="JNK3" i="53"/>
  <c r="JNW3" i="53"/>
  <c r="JOK3" i="53"/>
  <c r="JOW3" i="53"/>
  <c r="JPI3" i="53"/>
  <c r="JPU3" i="53"/>
  <c r="JQH3" i="53"/>
  <c r="JQT3" i="53"/>
  <c r="JRF3" i="53"/>
  <c r="JRR3" i="53"/>
  <c r="JSD3" i="53"/>
  <c r="JSR3" i="53"/>
  <c r="JTD3" i="53"/>
  <c r="JTP3" i="53"/>
  <c r="JUB3" i="53"/>
  <c r="JUO3" i="53"/>
  <c r="JVA3" i="53"/>
  <c r="JVM3" i="53"/>
  <c r="JVY3" i="53"/>
  <c r="JWL3" i="53"/>
  <c r="JWY3" i="53"/>
  <c r="JXK3" i="53"/>
  <c r="JXW3" i="53"/>
  <c r="JYJ3" i="53"/>
  <c r="JYV3" i="53"/>
  <c r="JZH3" i="53"/>
  <c r="JZT3" i="53"/>
  <c r="KAF3" i="53"/>
  <c r="KAS3" i="53"/>
  <c r="KBF3" i="53"/>
  <c r="KBR3" i="53"/>
  <c r="KCD3" i="53"/>
  <c r="KCQ3" i="53"/>
  <c r="KDC3" i="53"/>
  <c r="KDO3" i="53"/>
  <c r="KEA3" i="53"/>
  <c r="KEN3" i="53"/>
  <c r="KEZ3" i="53"/>
  <c r="KFM3" i="53"/>
  <c r="KFY3" i="53"/>
  <c r="KGL3" i="53"/>
  <c r="KGZ3" i="53"/>
  <c r="KHM3" i="53"/>
  <c r="KHZ3" i="53"/>
  <c r="KIN3" i="53"/>
  <c r="KJB3" i="53"/>
  <c r="KJO3" i="53"/>
  <c r="KKD3" i="53"/>
  <c r="KKQ3" i="53"/>
  <c r="KLF3" i="53"/>
  <c r="KLS3" i="53"/>
  <c r="KMF3" i="53"/>
  <c r="KMT3" i="53"/>
  <c r="KNH3" i="53"/>
  <c r="KNU3" i="53"/>
  <c r="KOI3" i="53"/>
  <c r="KOW3" i="53"/>
  <c r="KPL3" i="53"/>
  <c r="KPY3" i="53"/>
  <c r="KQL3" i="53"/>
  <c r="KQZ3" i="53"/>
  <c r="KRM3" i="53"/>
  <c r="KSA3" i="53"/>
  <c r="KSO3" i="53"/>
  <c r="KTB3" i="53"/>
  <c r="KTP3" i="53"/>
  <c r="KUE3" i="53"/>
  <c r="KUR3" i="53"/>
  <c r="KVF3" i="53"/>
  <c r="KVS3" i="53"/>
  <c r="KWG3" i="53"/>
  <c r="KWU3" i="53"/>
  <c r="KXH3" i="53"/>
  <c r="KXU3" i="53"/>
  <c r="KYK3" i="53"/>
  <c r="KYX3" i="53"/>
  <c r="KZZ3" i="53"/>
  <c r="LBC3" i="53"/>
  <c r="LCG3" i="53"/>
  <c r="LDI3" i="53"/>
  <c r="LFA3" i="53"/>
  <c r="LGD3" i="53"/>
  <c r="LHF3" i="53"/>
  <c r="LIJ3" i="53"/>
  <c r="LIX3" i="53"/>
  <c r="LJN3" i="53"/>
  <c r="LKB3" i="53"/>
  <c r="LKQ3" i="53"/>
  <c r="LLG3" i="53"/>
  <c r="LRR3" i="53"/>
  <c r="LSF3" i="53"/>
  <c r="LSV3" i="53"/>
  <c r="LTL3" i="53"/>
  <c r="LWY3" i="53"/>
  <c r="LXN3" i="53"/>
  <c r="LYD3" i="53"/>
  <c r="LYR3" i="53"/>
  <c r="LZG3" i="53"/>
  <c r="LZV3" i="53"/>
  <c r="MAL3" i="53"/>
  <c r="MBA3" i="53"/>
  <c r="MBP3" i="53"/>
  <c r="MFD3" i="53"/>
  <c r="MFT3" i="53"/>
  <c r="MGH3" i="53"/>
  <c r="MGV3" i="53"/>
  <c r="MNH3" i="53"/>
  <c r="MNX3" i="53"/>
  <c r="MOL3" i="53"/>
  <c r="MPA3" i="53"/>
  <c r="MPQ3" i="53"/>
  <c r="MSP3" i="53"/>
  <c r="MTD3" i="53"/>
  <c r="MTS3" i="53"/>
  <c r="MUJ3" i="53"/>
  <c r="MUX3" i="53"/>
  <c r="MVL3" i="53"/>
  <c r="MWB3" i="53"/>
  <c r="MWP3" i="53"/>
  <c r="MXG3" i="53"/>
  <c r="NBI3" i="53"/>
  <c r="NBY3" i="53"/>
  <c r="NCN3" i="53"/>
  <c r="NIX3" i="53"/>
  <c r="NJN3" i="53"/>
  <c r="NKD3" i="53"/>
  <c r="NKR3" i="53"/>
  <c r="NLF3" i="53"/>
  <c r="NLV3" i="53"/>
  <c r="NOE3" i="53"/>
  <c r="NOV3" i="53"/>
  <c r="NPJ3" i="53"/>
  <c r="NPY3" i="53"/>
  <c r="NQN3" i="53"/>
  <c r="NRD3" i="53"/>
  <c r="NRR3" i="53"/>
  <c r="NSH3" i="53"/>
  <c r="NSV3" i="53"/>
  <c r="NXN3" i="53"/>
  <c r="NYC3" i="53"/>
  <c r="OEP3" i="53"/>
  <c r="OFD3" i="53"/>
  <c r="OFS3" i="53"/>
  <c r="OGI3" i="53"/>
  <c r="OGX3" i="53"/>
  <c r="OHL3" i="53"/>
  <c r="OIR3" i="53"/>
  <c r="OJY3" i="53"/>
  <c r="OKO3" i="53"/>
  <c r="OMJ3" i="53"/>
  <c r="ONA3" i="53"/>
  <c r="OUQ3" i="53"/>
  <c r="PBT3" i="53"/>
  <c r="PCM3" i="53"/>
  <c r="PDC3" i="53"/>
  <c r="PDR3" i="53"/>
  <c r="PEJ3" i="53"/>
  <c r="PFB3" i="53"/>
  <c r="PFQ3" i="53"/>
  <c r="PGI3" i="53"/>
  <c r="PHS3" i="53"/>
  <c r="PIH3" i="53"/>
  <c r="PIY3" i="53"/>
  <c r="PJP3" i="53"/>
  <c r="PKF3" i="53"/>
  <c r="PKW3" i="53"/>
  <c r="PLO3" i="53"/>
  <c r="PMD3" i="53"/>
  <c r="PMU3" i="53"/>
  <c r="PZV3" i="53"/>
  <c r="QAM3" i="53"/>
  <c r="QBB3" i="53"/>
  <c r="QBU3" i="53"/>
  <c r="QCK3" i="53"/>
  <c r="QDS3" i="53"/>
  <c r="QFE3" i="53"/>
  <c r="QFU3" i="53"/>
  <c r="QHE3" i="53"/>
  <c r="QIQ3" i="53"/>
  <c r="QJY3" i="53"/>
  <c r="QLI3" i="53"/>
  <c r="QMR3" i="53"/>
  <c r="QOD3" i="53"/>
  <c r="QPR3" i="53"/>
  <c r="QRE3" i="53"/>
  <c r="QTO3" i="53"/>
  <c r="QUK3" i="53"/>
  <c r="QVC3" i="53"/>
  <c r="QZE3" i="53"/>
  <c r="QZX3" i="53"/>
  <c r="RAV3" i="53"/>
  <c r="RBO3" i="53"/>
  <c r="RFP3" i="53"/>
  <c r="RGL3" i="53"/>
  <c r="RID3" i="53"/>
  <c r="RIY3" i="53"/>
  <c r="RKS3" i="53"/>
  <c r="ROA3" i="53"/>
  <c r="ROX3" i="53"/>
  <c r="RRJ3" i="53"/>
  <c r="RSF3" i="53"/>
  <c r="RTV3" i="53"/>
  <c r="RVP3" i="53"/>
  <c r="RXG3" i="53"/>
  <c r="RZV3" i="53"/>
  <c r="SBP3" i="53"/>
  <c r="SCM3" i="53"/>
  <c r="SEH3" i="53"/>
  <c r="SGB3" i="53"/>
  <c r="SGZ3" i="53"/>
  <c r="SMH3" i="53"/>
  <c r="SNG3" i="53"/>
  <c r="SOG3" i="53"/>
  <c r="SQB3" i="53"/>
  <c r="SQZ3" i="53"/>
  <c r="STU3" i="53"/>
  <c r="SUU3" i="53"/>
  <c r="TAN3" i="53"/>
  <c r="TBK3" i="53"/>
  <c r="TCI3" i="53"/>
  <c r="TDG3" i="53"/>
  <c r="TEF3" i="53"/>
  <c r="TFF3" i="53"/>
  <c r="THD3" i="53"/>
  <c r="TKE3" i="53"/>
  <c r="TNA3" i="53"/>
  <c r="TPB3" i="53"/>
  <c r="TPZ3" i="53"/>
  <c r="TRB3" i="53"/>
  <c r="TUD3" i="53"/>
  <c r="TWC3" i="53"/>
  <c r="TYJ3" i="53"/>
  <c r="UBV3" i="53"/>
  <c r="UDB3" i="53"/>
  <c r="UEI3" i="53"/>
  <c r="UFP3" i="53"/>
  <c r="UJG3" i="53"/>
  <c r="UKO3" i="53"/>
  <c r="ULT3" i="53"/>
  <c r="UOG3" i="53"/>
  <c r="URX3" i="53"/>
  <c r="UTC3" i="53"/>
  <c r="UVR3" i="53"/>
  <c r="UWW3" i="53"/>
  <c r="UZP3" i="53"/>
  <c r="VCP3" i="53"/>
  <c r="VFI3" i="53"/>
  <c r="VIA3" i="53"/>
  <c r="VNE3" i="53"/>
  <c r="VOR3" i="53"/>
  <c r="VSM3" i="53"/>
  <c r="WEJ3" i="53"/>
  <c r="WIO3" i="53"/>
  <c r="WMS3" i="53"/>
  <c r="WRK3" i="53"/>
  <c r="WYH3" i="53"/>
  <c r="LAK3" i="53"/>
  <c r="LBN3" i="53"/>
  <c r="LCR3" i="53"/>
  <c r="LDT3" i="53"/>
  <c r="LEW3" i="53"/>
  <c r="LFZ3" i="53"/>
  <c r="LHQ3" i="53"/>
  <c r="LIT3" i="53"/>
  <c r="LJI3" i="53"/>
  <c r="LJY3" i="53"/>
  <c r="LKM3" i="53"/>
  <c r="LLB3" i="53"/>
  <c r="LNL3" i="53"/>
  <c r="LOB3" i="53"/>
  <c r="LOQ3" i="53"/>
  <c r="LPF3" i="53"/>
  <c r="LPT3" i="53"/>
  <c r="LQJ3" i="53"/>
  <c r="LQY3" i="53"/>
  <c r="LRN3" i="53"/>
  <c r="LSC3" i="53"/>
  <c r="LWU3" i="53"/>
  <c r="LXJ3" i="53"/>
  <c r="MDV3" i="53"/>
  <c r="MEJ3" i="53"/>
  <c r="MEZ3" i="53"/>
  <c r="MFN3" i="53"/>
  <c r="MGE3" i="53"/>
  <c r="MGS3" i="53"/>
  <c r="MHH3" i="53"/>
  <c r="MJB3" i="53"/>
  <c r="MJR3" i="53"/>
  <c r="MKF3" i="53"/>
  <c r="MKW3" i="53"/>
  <c r="MLK3" i="53"/>
  <c r="MLZ3" i="53"/>
  <c r="MMO3" i="53"/>
  <c r="MND3" i="53"/>
  <c r="MNS3" i="53"/>
  <c r="MTA3" i="53"/>
  <c r="MZL3" i="53"/>
  <c r="NAA3" i="53"/>
  <c r="NAP3" i="53"/>
  <c r="NBE3" i="53"/>
  <c r="NBT3" i="53"/>
  <c r="NCH3" i="53"/>
  <c r="NCY3" i="53"/>
  <c r="NDM3" i="53"/>
  <c r="NER3" i="53"/>
  <c r="NFH3" i="53"/>
  <c r="NFX3" i="53"/>
  <c r="NGL3" i="53"/>
  <c r="NGZ3" i="53"/>
  <c r="NHQ3" i="53"/>
  <c r="NIF3" i="53"/>
  <c r="NIU3" i="53"/>
  <c r="NJJ3" i="53"/>
  <c r="NVB3" i="53"/>
  <c r="NVR3" i="53"/>
  <c r="NWF3" i="53"/>
  <c r="NWV3" i="53"/>
  <c r="NXK3" i="53"/>
  <c r="NXZ3" i="53"/>
  <c r="NYN3" i="53"/>
  <c r="NZD3" i="53"/>
  <c r="NZS3" i="53"/>
  <c r="OAJ3" i="53"/>
  <c r="OAX3" i="53"/>
  <c r="OBM3" i="53"/>
  <c r="OCC3" i="53"/>
  <c r="OCR3" i="53"/>
  <c r="ODF3" i="53"/>
  <c r="ODV3" i="53"/>
  <c r="OEK3" i="53"/>
  <c r="OFA3" i="53"/>
  <c r="OHX3" i="53"/>
  <c r="OJT3" i="53"/>
  <c r="OKJ3" i="53"/>
  <c r="OKZ3" i="53"/>
  <c r="ONM3" i="53"/>
  <c r="OOC3" i="53"/>
  <c r="OPX3" i="53"/>
  <c r="ORF3" i="53"/>
  <c r="ORX3" i="53"/>
  <c r="OSN3" i="53"/>
  <c r="OTE3" i="53"/>
  <c r="OTU3" i="53"/>
  <c r="OUM3" i="53"/>
  <c r="OVC3" i="53"/>
  <c r="OVT3" i="53"/>
  <c r="OWJ3" i="53"/>
  <c r="OXU3" i="53"/>
  <c r="OYK3" i="53"/>
  <c r="OYZ3" i="53"/>
  <c r="OZR3" i="53"/>
  <c r="PAJ3" i="53"/>
  <c r="PAY3" i="53"/>
  <c r="PBQ3" i="53"/>
  <c r="PCG3" i="53"/>
  <c r="PJK3" i="53"/>
  <c r="PPI3" i="53"/>
  <c r="PPX3" i="53"/>
  <c r="PQN3" i="53"/>
  <c r="PRG3" i="53"/>
  <c r="PRW3" i="53"/>
  <c r="PSM3" i="53"/>
  <c r="PTE3" i="53"/>
  <c r="PTU3" i="53"/>
  <c r="PUL3" i="53"/>
  <c r="PWL3" i="53"/>
  <c r="PXC3" i="53"/>
  <c r="PXR3" i="53"/>
  <c r="PYJ3" i="53"/>
  <c r="PYZ3" i="53"/>
  <c r="PZQ3" i="53"/>
  <c r="QAH3" i="53"/>
  <c r="QCX3" i="53"/>
  <c r="QEG3" i="53"/>
  <c r="QFR3" i="53"/>
  <c r="QHB3" i="53"/>
  <c r="QIJ3" i="53"/>
  <c r="QJC3" i="53"/>
  <c r="QKM3" i="53"/>
  <c r="QLV3" i="53"/>
  <c r="QNE3" i="53"/>
  <c r="QOR3" i="53"/>
  <c r="QQF3" i="53"/>
  <c r="QSO3" i="53"/>
  <c r="QTJ3" i="53"/>
  <c r="QUC3" i="53"/>
  <c r="QUY3" i="53"/>
  <c r="QVS3" i="53"/>
  <c r="QXK3" i="53"/>
  <c r="QYF3" i="53"/>
  <c r="QYY3" i="53"/>
  <c r="RCZ3" i="53"/>
  <c r="RDW3" i="53"/>
  <c r="REN3" i="53"/>
  <c r="RFH3" i="53"/>
  <c r="RHC3" i="53"/>
  <c r="RIS3" i="53"/>
  <c r="RKL3" i="53"/>
  <c r="RMC3" i="53"/>
  <c r="ROQ3" i="53"/>
  <c r="RPN3" i="53"/>
  <c r="RRF3" i="53"/>
  <c r="RSC3" i="53"/>
  <c r="RSX3" i="53"/>
  <c r="RUN3" i="53"/>
  <c r="RWI3" i="53"/>
  <c r="RXY3" i="53"/>
  <c r="RYU3" i="53"/>
  <c r="RZQ3" i="53"/>
  <c r="SAP3" i="53"/>
  <c r="SBK3" i="53"/>
  <c r="SDE3" i="53"/>
  <c r="SEC3" i="53"/>
  <c r="SFW3" i="53"/>
  <c r="SGQ3" i="53"/>
  <c r="SJM3" i="53"/>
  <c r="SKH3" i="53"/>
  <c r="SLF3" i="53"/>
  <c r="SMD3" i="53"/>
  <c r="SNA3" i="53"/>
  <c r="SNX3" i="53"/>
  <c r="SRS3" i="53"/>
  <c r="SUP3" i="53"/>
  <c r="SVN3" i="53"/>
  <c r="SXH3" i="53"/>
  <c r="SZI3" i="53"/>
  <c r="TAF3" i="53"/>
  <c r="TBF3" i="53"/>
  <c r="TCE3" i="53"/>
  <c r="TDC3" i="53"/>
  <c r="TDY3" i="53"/>
  <c r="TEW3" i="53"/>
  <c r="TGU3" i="53"/>
  <c r="TNS3" i="53"/>
  <c r="TOU3" i="53"/>
  <c r="TRV3" i="53"/>
  <c r="TSU3" i="53"/>
  <c r="TVZ3" i="53"/>
  <c r="TWZ3" i="53"/>
  <c r="UBR3" i="53"/>
  <c r="UFG3" i="53"/>
  <c r="UHU3" i="53"/>
  <c r="UKE3" i="53"/>
  <c r="ULL3" i="53"/>
  <c r="UNZ3" i="53"/>
  <c r="UUB3" i="53"/>
  <c r="UVL3" i="53"/>
  <c r="UWP3" i="53"/>
  <c r="UXX3" i="53"/>
  <c r="VAT3" i="53"/>
  <c r="VCE3" i="53"/>
  <c r="VGL3" i="53"/>
  <c r="VHV3" i="53"/>
  <c r="VJD3" i="53"/>
  <c r="VRV3" i="53"/>
  <c r="VVV3" i="53"/>
  <c r="WBR3" i="53"/>
  <c r="WFV3" i="53"/>
  <c r="WIE3" i="53"/>
  <c r="WOQ3" i="53"/>
  <c r="WQQ3" i="53"/>
  <c r="WVF3" i="53"/>
  <c r="WXP3" i="53"/>
  <c r="WZV3" i="53"/>
  <c r="JFG3" i="53"/>
  <c r="JFS3" i="53"/>
  <c r="JGE3" i="53"/>
  <c r="JGS3" i="53"/>
  <c r="JHE3" i="53"/>
  <c r="JHQ3" i="53"/>
  <c r="JIC3" i="53"/>
  <c r="JIP3" i="53"/>
  <c r="JJB3" i="53"/>
  <c r="JJN3" i="53"/>
  <c r="JJZ3" i="53"/>
  <c r="JKL3" i="53"/>
  <c r="JKZ3" i="53"/>
  <c r="JLL3" i="53"/>
  <c r="JLX3" i="53"/>
  <c r="JMJ3" i="53"/>
  <c r="JMW3" i="53"/>
  <c r="JNI3" i="53"/>
  <c r="JNU3" i="53"/>
  <c r="JOG3" i="53"/>
  <c r="JOT3" i="53"/>
  <c r="JPG3" i="53"/>
  <c r="JPS3" i="53"/>
  <c r="JQE3" i="53"/>
  <c r="JQR3" i="53"/>
  <c r="JRD3" i="53"/>
  <c r="JRP3" i="53"/>
  <c r="JSB3" i="53"/>
  <c r="JSN3" i="53"/>
  <c r="JTA3" i="53"/>
  <c r="JTN3" i="53"/>
  <c r="JTZ3" i="53"/>
  <c r="JUL3" i="53"/>
  <c r="JUY3" i="53"/>
  <c r="JVK3" i="53"/>
  <c r="JVW3" i="53"/>
  <c r="JWI3" i="53"/>
  <c r="JWV3" i="53"/>
  <c r="JXH3" i="53"/>
  <c r="JXU3" i="53"/>
  <c r="JYG3" i="53"/>
  <c r="JYT3" i="53"/>
  <c r="JZF3" i="53"/>
  <c r="JZR3" i="53"/>
  <c r="KAD3" i="53"/>
  <c r="KAP3" i="53"/>
  <c r="KBC3" i="53"/>
  <c r="KBO3" i="53"/>
  <c r="KCB3" i="53"/>
  <c r="KCN3" i="53"/>
  <c r="KDA3" i="53"/>
  <c r="KDM3" i="53"/>
  <c r="KDY3" i="53"/>
  <c r="KEK3" i="53"/>
  <c r="KEX3" i="53"/>
  <c r="KFJ3" i="53"/>
  <c r="KFV3" i="53"/>
  <c r="KGI3" i="53"/>
  <c r="KGW3" i="53"/>
  <c r="KHK3" i="53"/>
  <c r="KHX3" i="53"/>
  <c r="KIK3" i="53"/>
  <c r="KIY3" i="53"/>
  <c r="KJM3" i="53"/>
  <c r="KJZ3" i="53"/>
  <c r="KKN3" i="53"/>
  <c r="KLB3" i="53"/>
  <c r="KLQ3" i="53"/>
  <c r="KMD3" i="53"/>
  <c r="KMQ3" i="53"/>
  <c r="KNE3" i="53"/>
  <c r="KNS3" i="53"/>
  <c r="KOF3" i="53"/>
  <c r="KOT3" i="53"/>
  <c r="KPG3" i="53"/>
  <c r="KPW3" i="53"/>
  <c r="KQJ3" i="53"/>
  <c r="KQW3" i="53"/>
  <c r="KRK3" i="53"/>
  <c r="KRX3" i="53"/>
  <c r="KSL3" i="53"/>
  <c r="KSZ3" i="53"/>
  <c r="KTM3" i="53"/>
  <c r="KTZ3" i="53"/>
  <c r="KUP3" i="53"/>
  <c r="KVC3" i="53"/>
  <c r="KVQ3" i="53"/>
  <c r="KWD3" i="53"/>
  <c r="KWR3" i="53"/>
  <c r="KXF3" i="53"/>
  <c r="KXS3" i="53"/>
  <c r="KYF3" i="53"/>
  <c r="KYT3" i="53"/>
  <c r="KZX3" i="53"/>
  <c r="LBA3" i="53"/>
  <c r="LCB3" i="53"/>
  <c r="LDF3" i="53"/>
  <c r="LEH3" i="53"/>
  <c r="LFK3" i="53"/>
  <c r="LHD3" i="53"/>
  <c r="LIF3" i="53"/>
  <c r="LLC3" i="53"/>
  <c r="LLT3" i="53"/>
  <c r="LMH3" i="53"/>
  <c r="LSS3" i="53"/>
  <c r="LTI3" i="53"/>
  <c r="LTX3" i="53"/>
  <c r="LUL3" i="53"/>
  <c r="LVB3" i="53"/>
  <c r="LVQ3" i="53"/>
  <c r="LYB3" i="53"/>
  <c r="LYP3" i="53"/>
  <c r="LZD3" i="53"/>
  <c r="LZT3" i="53"/>
  <c r="MAH3" i="53"/>
  <c r="MAX3" i="53"/>
  <c r="MBN3" i="53"/>
  <c r="MCB3" i="53"/>
  <c r="MCP3" i="53"/>
  <c r="MHI3" i="53"/>
  <c r="MHX3" i="53"/>
  <c r="MOJ3" i="53"/>
  <c r="MOX3" i="53"/>
  <c r="MPM3" i="53"/>
  <c r="MQD3" i="53"/>
  <c r="MQR3" i="53"/>
  <c r="MRH3" i="53"/>
  <c r="MRV3" i="53"/>
  <c r="MTQ3" i="53"/>
  <c r="MUE3" i="53"/>
  <c r="MUV3" i="53"/>
  <c r="MVJ3" i="53"/>
  <c r="MVZ3" i="53"/>
  <c r="MWN3" i="53"/>
  <c r="MXC3" i="53"/>
  <c r="MXS3" i="53"/>
  <c r="MYH3" i="53"/>
  <c r="NDN3" i="53"/>
  <c r="NJZ3" i="53"/>
  <c r="NKP3" i="53"/>
  <c r="NLD3" i="53"/>
  <c r="NLS3" i="53"/>
  <c r="NMH3" i="53"/>
  <c r="NMX3" i="53"/>
  <c r="NNM3" i="53"/>
  <c r="NOB3" i="53"/>
  <c r="NPH3" i="53"/>
  <c r="NPV3" i="53"/>
  <c r="NQK3" i="53"/>
  <c r="NQZ3" i="53"/>
  <c r="NRP3" i="53"/>
  <c r="NSF3" i="53"/>
  <c r="NST3" i="53"/>
  <c r="NTH3" i="53"/>
  <c r="NTX3" i="53"/>
  <c r="OFP3" i="53"/>
  <c r="OGE3" i="53"/>
  <c r="OGV3" i="53"/>
  <c r="OHJ3" i="53"/>
  <c r="OIO3" i="53"/>
  <c r="OJD3" i="53"/>
  <c r="OJV3" i="53"/>
  <c r="OLR3" i="53"/>
  <c r="OMH3" i="53"/>
  <c r="OMX3" i="53"/>
  <c r="OOT3" i="53"/>
  <c r="OPJ3" i="53"/>
  <c r="OPY3" i="53"/>
  <c r="PDA3" i="53"/>
  <c r="PDP3" i="53"/>
  <c r="PEG3" i="53"/>
  <c r="PEW3" i="53"/>
  <c r="PFO3" i="53"/>
  <c r="PGE3" i="53"/>
  <c r="PGW3" i="53"/>
  <c r="PHL3" i="53"/>
  <c r="PIC3" i="53"/>
  <c r="PJL3" i="53"/>
  <c r="PKC3" i="53"/>
  <c r="PKT3" i="53"/>
  <c r="PLJ3" i="53"/>
  <c r="PMB3" i="53"/>
  <c r="PMR3" i="53"/>
  <c r="PNH3" i="53"/>
  <c r="POA3" i="53"/>
  <c r="PVD3" i="53"/>
  <c r="QAZ3" i="53"/>
  <c r="QBQ3" i="53"/>
  <c r="QCH3" i="53"/>
  <c r="QDQ3" i="53"/>
  <c r="QEZ3" i="53"/>
  <c r="QGK3" i="53"/>
  <c r="QHS3" i="53"/>
  <c r="QIK3" i="53"/>
  <c r="QJW3" i="53"/>
  <c r="QLG3" i="53"/>
  <c r="QMO3" i="53"/>
  <c r="QNZ3" i="53"/>
  <c r="QPK3" i="53"/>
  <c r="QQZ3" i="53"/>
  <c r="QRS3" i="53"/>
  <c r="QZU3" i="53"/>
  <c r="RAO3" i="53"/>
  <c r="RBL3" i="53"/>
  <c r="RCF3" i="53"/>
  <c r="RHX3" i="53"/>
  <c r="RJQ3" i="53"/>
  <c r="RLJ3" i="53"/>
  <c r="RMD3" i="53"/>
  <c r="RNA3" i="53"/>
  <c r="RNX3" i="53"/>
  <c r="RQJ3" i="53"/>
  <c r="RRG3" i="53"/>
  <c r="RSD3" i="53"/>
  <c r="RTT3" i="53"/>
  <c r="RVM3" i="53"/>
  <c r="RXD3" i="53"/>
  <c r="RXZ3" i="53"/>
  <c r="RYV3" i="53"/>
  <c r="SAQ3" i="53"/>
  <c r="SCI3" i="53"/>
  <c r="SEZ3" i="53"/>
  <c r="SHT3" i="53"/>
  <c r="SIO3" i="53"/>
  <c r="SKI3" i="53"/>
  <c r="SOZ3" i="53"/>
  <c r="SPY3" i="53"/>
  <c r="SQU3" i="53"/>
  <c r="SRU3" i="53"/>
  <c r="SSU3" i="53"/>
  <c r="STR3" i="53"/>
  <c r="SWM3" i="53"/>
  <c r="SXK3" i="53"/>
  <c r="SYL3" i="53"/>
  <c r="SZJ3" i="53"/>
  <c r="TBG3" i="53"/>
  <c r="TFX3" i="53"/>
  <c r="THY3" i="53"/>
  <c r="TIY3" i="53"/>
  <c r="TJU3" i="53"/>
  <c r="TKW3" i="53"/>
  <c r="TLX3" i="53"/>
  <c r="TMU3" i="53"/>
  <c r="TNV3" i="53"/>
  <c r="TPU3" i="53"/>
  <c r="TSX3" i="53"/>
  <c r="TTX3" i="53"/>
  <c r="TZH3" i="53"/>
  <c r="UAI3" i="53"/>
  <c r="UCX3" i="53"/>
  <c r="UEA3" i="53"/>
  <c r="UMS3" i="53"/>
  <c r="UPG3" i="53"/>
  <c r="URS3" i="53"/>
  <c r="USZ3" i="53"/>
  <c r="UUD3" i="53"/>
  <c r="UYD3" i="53"/>
  <c r="UZL3" i="53"/>
  <c r="VCG3" i="53"/>
  <c r="VDS3" i="53"/>
  <c r="VEY3" i="53"/>
  <c r="VLE3" i="53"/>
  <c r="VMS3" i="53"/>
  <c r="VON3" i="53"/>
  <c r="VQC3" i="53"/>
  <c r="VZY3" i="53"/>
  <c r="WDU3" i="53"/>
  <c r="WGA3" i="53"/>
  <c r="WKI3" i="53"/>
  <c r="WMK3" i="53"/>
  <c r="WOS3" i="53"/>
  <c r="WQV3" i="53"/>
  <c r="WTJ3" i="53"/>
  <c r="WVP3" i="53"/>
  <c r="WZY3" i="53"/>
  <c r="XCE3" i="53"/>
  <c r="XEG3" i="53"/>
  <c r="LJL3" i="53"/>
  <c r="LKN3" i="53"/>
  <c r="LLR3" i="53"/>
  <c r="LMT3" i="53"/>
  <c r="LNW3" i="53"/>
  <c r="LPP3" i="53"/>
  <c r="LQQ3" i="53"/>
  <c r="LRT3" i="53"/>
  <c r="LSX3" i="53"/>
  <c r="LTZ3" i="53"/>
  <c r="LVC3" i="53"/>
  <c r="LWF3" i="53"/>
  <c r="LXI3" i="53"/>
  <c r="LYJ3" i="53"/>
  <c r="MAC3" i="53"/>
  <c r="MBF3" i="53"/>
  <c r="MCJ3" i="53"/>
  <c r="MDL3" i="53"/>
  <c r="MEN3" i="53"/>
  <c r="MFQ3" i="53"/>
  <c r="MGT3" i="53"/>
  <c r="MHW3" i="53"/>
  <c r="MIZ3" i="53"/>
  <c r="MKQ3" i="53"/>
  <c r="MLU3" i="53"/>
  <c r="MMW3" i="53"/>
  <c r="MNZ3" i="53"/>
  <c r="MPD3" i="53"/>
  <c r="MQF3" i="53"/>
  <c r="MRI3" i="53"/>
  <c r="MSL3" i="53"/>
  <c r="MTN3" i="53"/>
  <c r="MVF3" i="53"/>
  <c r="MWI3" i="53"/>
  <c r="MXL3" i="53"/>
  <c r="MYN3" i="53"/>
  <c r="MZQ3" i="53"/>
  <c r="NAT3" i="53"/>
  <c r="NBV3" i="53"/>
  <c r="NCZ3" i="53"/>
  <c r="NEC3" i="53"/>
  <c r="NFU3" i="53"/>
  <c r="NGW3" i="53"/>
  <c r="NHZ3" i="53"/>
  <c r="NJC3" i="53"/>
  <c r="NKF3" i="53"/>
  <c r="NLH3" i="53"/>
  <c r="NML3" i="53"/>
  <c r="NNN3" i="53"/>
  <c r="NOP3" i="53"/>
  <c r="NQI3" i="53"/>
  <c r="NRL3" i="53"/>
  <c r="NSN3" i="53"/>
  <c r="NTQ3" i="53"/>
  <c r="NUT3" i="53"/>
  <c r="NVW3" i="53"/>
  <c r="NWZ3" i="53"/>
  <c r="NYB3" i="53"/>
  <c r="NZF3" i="53"/>
  <c r="OAW3" i="53"/>
  <c r="OBY3" i="53"/>
  <c r="ODC3" i="53"/>
  <c r="OEF3" i="53"/>
  <c r="OFH3" i="53"/>
  <c r="OGL3" i="53"/>
  <c r="OHM3" i="53"/>
  <c r="OIC3" i="53"/>
  <c r="OJW3" i="53"/>
  <c r="OKL3" i="53"/>
  <c r="OLA3" i="53"/>
  <c r="OLQ3" i="53"/>
  <c r="ONJ3" i="53"/>
  <c r="ONY3" i="53"/>
  <c r="OPS3" i="53"/>
  <c r="OQI3" i="53"/>
  <c r="ORO3" i="53"/>
  <c r="OST3" i="53"/>
  <c r="OUA3" i="53"/>
  <c r="OVF3" i="53"/>
  <c r="OXC3" i="53"/>
  <c r="OYI3" i="53"/>
  <c r="OZO3" i="53"/>
  <c r="PAV3" i="53"/>
  <c r="PCB3" i="53"/>
  <c r="PDF3" i="53"/>
  <c r="PEM3" i="53"/>
  <c r="PFS3" i="53"/>
  <c r="PGY3" i="53"/>
  <c r="PIV3" i="53"/>
  <c r="PKB3" i="53"/>
  <c r="PLG3" i="53"/>
  <c r="PMN3" i="53"/>
  <c r="PNS3" i="53"/>
  <c r="POZ3" i="53"/>
  <c r="PQG3" i="53"/>
  <c r="PRL3" i="53"/>
  <c r="PSQ3" i="53"/>
  <c r="PUO3" i="53"/>
  <c r="PVT3" i="53"/>
  <c r="PXB3" i="53"/>
  <c r="PYF3" i="53"/>
  <c r="PZL3" i="53"/>
  <c r="QAS3" i="53"/>
  <c r="QBX3" i="53"/>
  <c r="QRG3" i="53"/>
  <c r="QSU3" i="53"/>
  <c r="QUJ3" i="53"/>
  <c r="QVU3" i="53"/>
  <c r="QWO3" i="53"/>
  <c r="QYD3" i="53"/>
  <c r="QZR3" i="53"/>
  <c r="RAK3" i="53"/>
  <c r="RBY3" i="53"/>
  <c r="RDK3" i="53"/>
  <c r="RMY3" i="53"/>
  <c r="RNT3" i="53"/>
  <c r="RQF3" i="53"/>
  <c r="RQW3" i="53"/>
  <c r="RRT3" i="53"/>
  <c r="RSP3" i="53"/>
  <c r="RTJ3" i="53"/>
  <c r="RUF3" i="53"/>
  <c r="RUZ3" i="53"/>
  <c r="RVT3" i="53"/>
  <c r="RWO3" i="53"/>
  <c r="RYE3" i="53"/>
  <c r="RYY3" i="53"/>
  <c r="RZU3" i="53"/>
  <c r="SDA3" i="53"/>
  <c r="SDT3" i="53"/>
  <c r="SHA3" i="53"/>
  <c r="SKY3" i="53"/>
  <c r="SLU3" i="53"/>
  <c r="SPE3" i="53"/>
  <c r="SQA3" i="53"/>
  <c r="SQW3" i="53"/>
  <c r="STM3" i="53"/>
  <c r="SVD3" i="53"/>
  <c r="SXS3" i="53"/>
  <c r="TAD3" i="53"/>
  <c r="TBA3" i="53"/>
  <c r="TCU3" i="53"/>
  <c r="TGC3" i="53"/>
  <c r="THB3" i="53"/>
  <c r="TIU3" i="53"/>
  <c r="TLM3" i="53"/>
  <c r="TNG3" i="53"/>
  <c r="TOF3" i="53"/>
  <c r="TPC3" i="53"/>
  <c r="TPY3" i="53"/>
  <c r="TRS3" i="53"/>
  <c r="TTQ3" i="53"/>
  <c r="TUP3" i="53"/>
  <c r="TVM3" i="53"/>
  <c r="TXN3" i="53"/>
  <c r="UAK3" i="53"/>
  <c r="UBL3" i="53"/>
  <c r="UCN3" i="53"/>
  <c r="UFR3" i="53"/>
  <c r="UGR3" i="53"/>
  <c r="UHX3" i="53"/>
  <c r="UIT3" i="53"/>
  <c r="UKY3" i="53"/>
  <c r="UMA3" i="53"/>
  <c r="UMY3" i="53"/>
  <c r="UQE3" i="53"/>
  <c r="URH3" i="53"/>
  <c r="UUL3" i="53"/>
  <c r="UVN3" i="53"/>
  <c r="VEQ3" i="53"/>
  <c r="VFV3" i="53"/>
  <c r="VHI3" i="53"/>
  <c r="VJW3" i="53"/>
  <c r="VOC3" i="53"/>
  <c r="VSO3" i="53"/>
  <c r="VUJ3" i="53"/>
  <c r="WEK3" i="53"/>
  <c r="WGF3" i="53"/>
  <c r="WLP3" i="53"/>
  <c r="WXC3" i="53"/>
  <c r="WZC3" i="53"/>
  <c r="SBG3" i="53"/>
  <c r="SBZ3" i="53"/>
  <c r="SCT3" i="53"/>
  <c r="SFG3" i="53"/>
  <c r="SGA3" i="53"/>
  <c r="SGT3" i="53"/>
  <c r="SHO3" i="53"/>
  <c r="SIL3" i="53"/>
  <c r="SJF3" i="53"/>
  <c r="SKB3" i="53"/>
  <c r="SKU3" i="53"/>
  <c r="SLP3" i="53"/>
  <c r="SOC3" i="53"/>
  <c r="SPW3" i="53"/>
  <c r="SQQ3" i="53"/>
  <c r="SRO3" i="53"/>
  <c r="STD3" i="53"/>
  <c r="SUE3" i="53"/>
  <c r="SVU3" i="53"/>
  <c r="SYK3" i="53"/>
  <c r="TAU3" i="53"/>
  <c r="TBR3" i="53"/>
  <c r="TDK3" i="53"/>
  <c r="THP3" i="53"/>
  <c r="TJN3" i="53"/>
  <c r="TLF3" i="53"/>
  <c r="TNC3" i="53"/>
  <c r="TNZ3" i="53"/>
  <c r="TOW3" i="53"/>
  <c r="TRN3" i="53"/>
  <c r="TXD3" i="53"/>
  <c r="TYG3" i="53"/>
  <c r="TZG3" i="53"/>
  <c r="UCI3" i="53"/>
  <c r="UEL3" i="53"/>
  <c r="UFL3" i="53"/>
  <c r="UIP3" i="53"/>
  <c r="UMU3" i="53"/>
  <c r="USC3" i="53"/>
  <c r="UTB3" i="53"/>
  <c r="UWI3" i="53"/>
  <c r="VIB3" i="53"/>
  <c r="VJQ3" i="53"/>
  <c r="VKW3" i="53"/>
  <c r="VXJ3" i="53"/>
  <c r="VYY3" i="53"/>
  <c r="WHP3" i="53"/>
  <c r="WPC3" i="53"/>
  <c r="WQW3" i="53"/>
  <c r="WUW3" i="53"/>
  <c r="WYN3" i="53"/>
  <c r="XAO3" i="53"/>
  <c r="UBF3" i="53"/>
  <c r="UGO3" i="53"/>
  <c r="UJS3" i="53"/>
  <c r="UKU3" i="53"/>
  <c r="UNX3" i="53"/>
  <c r="UQA3" i="53"/>
  <c r="URA3" i="53"/>
  <c r="UUE3" i="53"/>
  <c r="UVI3" i="53"/>
  <c r="UYS3" i="53"/>
  <c r="UZU3" i="53"/>
  <c r="VAY3" i="53"/>
  <c r="VDJ3" i="53"/>
  <c r="VEN3" i="53"/>
  <c r="VFS3" i="53"/>
  <c r="VMH3" i="53"/>
  <c r="VNT3" i="53"/>
  <c r="VPG3" i="53"/>
  <c r="VQZ3" i="53"/>
  <c r="VTY3" i="53"/>
  <c r="VVS3" i="53"/>
  <c r="WEG3" i="53"/>
  <c r="WFY3" i="53"/>
  <c r="WJN3" i="53"/>
  <c r="WLK3" i="53"/>
  <c r="WNJ3" i="53"/>
  <c r="WPG3" i="53"/>
  <c r="WUX3" i="53"/>
  <c r="WYQ3" i="53"/>
  <c r="XAS3" i="53"/>
  <c r="XCO3" i="53"/>
  <c r="KZD3" i="53"/>
  <c r="KZR3" i="53"/>
  <c r="LAF3" i="53"/>
  <c r="LAT3" i="53"/>
  <c r="LBG3" i="53"/>
  <c r="LBV3" i="53"/>
  <c r="LCI3" i="53"/>
  <c r="LCV3" i="53"/>
  <c r="LDJ3" i="53"/>
  <c r="LDW3" i="53"/>
  <c r="LEL3" i="53"/>
  <c r="LEY3" i="53"/>
  <c r="LFM3" i="53"/>
  <c r="LGA3" i="53"/>
  <c r="LGO3" i="53"/>
  <c r="LHB3" i="53"/>
  <c r="LHP3" i="53"/>
  <c r="LIC3" i="53"/>
  <c r="LIR3" i="53"/>
  <c r="LJE3" i="53"/>
  <c r="LJR3" i="53"/>
  <c r="LKG3" i="53"/>
  <c r="LKU3" i="53"/>
  <c r="LLH3" i="53"/>
  <c r="LLV3" i="53"/>
  <c r="LMI3" i="53"/>
  <c r="LMV3" i="53"/>
  <c r="LNK3" i="53"/>
  <c r="LNX3" i="53"/>
  <c r="LOL3" i="53"/>
  <c r="LOZ3" i="53"/>
  <c r="LPN3" i="53"/>
  <c r="LQB3" i="53"/>
  <c r="LQO3" i="53"/>
  <c r="LRB3" i="53"/>
  <c r="LRQ3" i="53"/>
  <c r="LSD3" i="53"/>
  <c r="LSR3" i="53"/>
  <c r="LTE3" i="53"/>
  <c r="LTT3" i="53"/>
  <c r="LUH3" i="53"/>
  <c r="LUU3" i="53"/>
  <c r="LVH3" i="53"/>
  <c r="LVV3" i="53"/>
  <c r="LWJ3" i="53"/>
  <c r="LWX3" i="53"/>
  <c r="LXK3" i="53"/>
  <c r="LXX3" i="53"/>
  <c r="LYN3" i="53"/>
  <c r="LZA3" i="53"/>
  <c r="LZN3" i="53"/>
  <c r="MAB3" i="53"/>
  <c r="MAP3" i="53"/>
  <c r="MBD3" i="53"/>
  <c r="MBQ3" i="53"/>
  <c r="MCD3" i="53"/>
  <c r="MCR3" i="53"/>
  <c r="MDG3" i="53"/>
  <c r="MDT3" i="53"/>
  <c r="MEH3" i="53"/>
  <c r="MEU3" i="53"/>
  <c r="MFJ3" i="53"/>
  <c r="MFW3" i="53"/>
  <c r="MGJ3" i="53"/>
  <c r="MGX3" i="53"/>
  <c r="MHL3" i="53"/>
  <c r="MHZ3" i="53"/>
  <c r="MIN3" i="53"/>
  <c r="MJA3" i="53"/>
  <c r="MJP3" i="53"/>
  <c r="MKC3" i="53"/>
  <c r="MKP3" i="53"/>
  <c r="MLD3" i="53"/>
  <c r="MLQ3" i="53"/>
  <c r="MME3" i="53"/>
  <c r="MMT3" i="53"/>
  <c r="MNG3" i="53"/>
  <c r="MNT3" i="53"/>
  <c r="MOI3" i="53"/>
  <c r="MOV3" i="53"/>
  <c r="MPJ3" i="53"/>
  <c r="MPW3" i="53"/>
  <c r="MQK3" i="53"/>
  <c r="MQY3" i="53"/>
  <c r="MRM3" i="53"/>
  <c r="MRZ3" i="53"/>
  <c r="MSO3" i="53"/>
  <c r="MTB3" i="53"/>
  <c r="MTP3" i="53"/>
  <c r="MUC3" i="53"/>
  <c r="MUP3" i="53"/>
  <c r="MVE3" i="53"/>
  <c r="MVR3" i="53"/>
  <c r="MWF3" i="53"/>
  <c r="MWT3" i="53"/>
  <c r="MXH3" i="53"/>
  <c r="MXV3" i="53"/>
  <c r="MYI3" i="53"/>
  <c r="MYV3" i="53"/>
  <c r="MZK3" i="53"/>
  <c r="MZX3" i="53"/>
  <c r="NAK3" i="53"/>
  <c r="NAZ3" i="53"/>
  <c r="NBN3" i="53"/>
  <c r="NCB3" i="53"/>
  <c r="NCO3" i="53"/>
  <c r="NDB3" i="53"/>
  <c r="NDP3" i="53"/>
  <c r="NED3" i="53"/>
  <c r="NEQ3" i="53"/>
  <c r="NFE3" i="53"/>
  <c r="NFS3" i="53"/>
  <c r="NGH3" i="53"/>
  <c r="NGU3" i="53"/>
  <c r="NHH3" i="53"/>
  <c r="NHV3" i="53"/>
  <c r="NIJ3" i="53"/>
  <c r="NIW3" i="53"/>
  <c r="NJK3" i="53"/>
  <c r="NJX3" i="53"/>
  <c r="NKN3" i="53"/>
  <c r="NLA3" i="53"/>
  <c r="NLN3" i="53"/>
  <c r="NMB3" i="53"/>
  <c r="NMO3" i="53"/>
  <c r="NNC3" i="53"/>
  <c r="NNQ3" i="53"/>
  <c r="NOD3" i="53"/>
  <c r="NOQ3" i="53"/>
  <c r="NPG3" i="53"/>
  <c r="NPT3" i="53"/>
  <c r="NQH3" i="53"/>
  <c r="NQU3" i="53"/>
  <c r="NRI3" i="53"/>
  <c r="NRW3" i="53"/>
  <c r="NSJ3" i="53"/>
  <c r="NSW3" i="53"/>
  <c r="NTK3" i="53"/>
  <c r="NTZ3" i="53"/>
  <c r="NUN3" i="53"/>
  <c r="NVA3" i="53"/>
  <c r="NVN3" i="53"/>
  <c r="NWC3" i="53"/>
  <c r="NWP3" i="53"/>
  <c r="NXC3" i="53"/>
  <c r="NXQ3" i="53"/>
  <c r="NYE3" i="53"/>
  <c r="NYT3" i="53"/>
  <c r="NZG3" i="53"/>
  <c r="NZT3" i="53"/>
  <c r="OAI3" i="53"/>
  <c r="OAV3" i="53"/>
  <c r="OBI3" i="53"/>
  <c r="OBW3" i="53"/>
  <c r="OCJ3" i="53"/>
  <c r="OCX3" i="53"/>
  <c r="ODM3" i="53"/>
  <c r="ODZ3" i="53"/>
  <c r="OEN3" i="53"/>
  <c r="OFB3" i="53"/>
  <c r="OFO3" i="53"/>
  <c r="OGC3" i="53"/>
  <c r="OGP3" i="53"/>
  <c r="OHD3" i="53"/>
  <c r="OHR3" i="53"/>
  <c r="OIG3" i="53"/>
  <c r="OJJ3" i="53"/>
  <c r="OJX3" i="53"/>
  <c r="OLN3" i="53"/>
  <c r="OMD3" i="53"/>
  <c r="ONU3" i="53"/>
  <c r="OPL3" i="53"/>
  <c r="OPZ3" i="53"/>
  <c r="OQP3" i="53"/>
  <c r="ORE3" i="53"/>
  <c r="ORS3" i="53"/>
  <c r="OSJ3" i="53"/>
  <c r="OSY3" i="53"/>
  <c r="OTO3" i="53"/>
  <c r="OUC3" i="53"/>
  <c r="OUR3" i="53"/>
  <c r="OVG3" i="53"/>
  <c r="OVW3" i="53"/>
  <c r="OWK3" i="53"/>
  <c r="OXA3" i="53"/>
  <c r="OXQ3" i="53"/>
  <c r="OYG3" i="53"/>
  <c r="OYV3" i="53"/>
  <c r="OZJ3" i="53"/>
  <c r="OZZ3" i="53"/>
  <c r="PAO3" i="53"/>
  <c r="PBD3" i="53"/>
  <c r="PBS3" i="53"/>
  <c r="PCH3" i="53"/>
  <c r="PCY3" i="53"/>
  <c r="PDN3" i="53"/>
  <c r="PEB3" i="53"/>
  <c r="PER3" i="53"/>
  <c r="PFF3" i="53"/>
  <c r="PFV3" i="53"/>
  <c r="PGK3" i="53"/>
  <c r="PGZ3" i="53"/>
  <c r="PHN3" i="53"/>
  <c r="PIF3" i="53"/>
  <c r="PIU3" i="53"/>
  <c r="PJJ3" i="53"/>
  <c r="PJY3" i="53"/>
  <c r="PKN3" i="53"/>
  <c r="PLD3" i="53"/>
  <c r="PLR3" i="53"/>
  <c r="PMG3" i="53"/>
  <c r="PMV3" i="53"/>
  <c r="PNM3" i="53"/>
  <c r="POB3" i="53"/>
  <c r="POQ3" i="53"/>
  <c r="PPE3" i="53"/>
  <c r="PPV3" i="53"/>
  <c r="PQJ3" i="53"/>
  <c r="PQY3" i="53"/>
  <c r="PRN3" i="53"/>
  <c r="PSD3" i="53"/>
  <c r="PSU3" i="53"/>
  <c r="PTI3" i="53"/>
  <c r="PTW3" i="53"/>
  <c r="PUN3" i="53"/>
  <c r="PVC3" i="53"/>
  <c r="PVQ3" i="53"/>
  <c r="PWG3" i="53"/>
  <c r="PWU3" i="53"/>
  <c r="PXL3" i="53"/>
  <c r="PYA3" i="53"/>
  <c r="PYP3" i="53"/>
  <c r="PZE3" i="53"/>
  <c r="PZU3" i="53"/>
  <c r="QAI3" i="53"/>
  <c r="QAY3" i="53"/>
  <c r="QBM3" i="53"/>
  <c r="QCD3" i="53"/>
  <c r="QCR3" i="53"/>
  <c r="QDH3" i="53"/>
  <c r="QDW3" i="53"/>
  <c r="QEM3" i="53"/>
  <c r="QFA3" i="53"/>
  <c r="QFQ3" i="53"/>
  <c r="QGE3" i="53"/>
  <c r="QGT3" i="53"/>
  <c r="QHK3" i="53"/>
  <c r="QHY3" i="53"/>
  <c r="QIP3" i="53"/>
  <c r="QJD3" i="53"/>
  <c r="QJT3" i="53"/>
  <c r="QKI3" i="53"/>
  <c r="QKX3" i="53"/>
  <c r="QLL3" i="53"/>
  <c r="QMC3" i="53"/>
  <c r="QMQ3" i="53"/>
  <c r="QNG3" i="53"/>
  <c r="QNV3" i="53"/>
  <c r="QON3" i="53"/>
  <c r="QPD3" i="53"/>
  <c r="QPU3" i="53"/>
  <c r="QQK3" i="53"/>
  <c r="QRB3" i="53"/>
  <c r="QSL3" i="53"/>
  <c r="QTW3" i="53"/>
  <c r="QUN3" i="53"/>
  <c r="QVX3" i="53"/>
  <c r="QXG3" i="53"/>
  <c r="QYR3" i="53"/>
  <c r="RAA3" i="53"/>
  <c r="RBK3" i="53"/>
  <c r="RCT3" i="53"/>
  <c r="REB3" i="53"/>
  <c r="RFN3" i="53"/>
  <c r="RGF3" i="53"/>
  <c r="RGW3" i="53"/>
  <c r="RHS3" i="53"/>
  <c r="RIJ3" i="53"/>
  <c r="RJD3" i="53"/>
  <c r="RJV3" i="53"/>
  <c r="RKN3" i="53"/>
  <c r="RLH3" i="53"/>
  <c r="RMA3" i="53"/>
  <c r="RMQ3" i="53"/>
  <c r="RNK3" i="53"/>
  <c r="ROC3" i="53"/>
  <c r="SBW3" i="53"/>
  <c r="SCQ3" i="53"/>
  <c r="SDH3" i="53"/>
  <c r="SEB3" i="53"/>
  <c r="SEU3" i="53"/>
  <c r="SFL3" i="53"/>
  <c r="SGD3" i="53"/>
  <c r="SGX3" i="53"/>
  <c r="SHP3" i="53"/>
  <c r="SII3" i="53"/>
  <c r="SJD3" i="53"/>
  <c r="SJV3" i="53"/>
  <c r="SKP3" i="53"/>
  <c r="SLG3" i="53"/>
  <c r="SLZ3" i="53"/>
  <c r="SMR3" i="53"/>
  <c r="SNL3" i="53"/>
  <c r="SOD3" i="53"/>
  <c r="SOW3" i="53"/>
  <c r="SWA3" i="53"/>
  <c r="TCQ3" i="53"/>
  <c r="TDH3" i="53"/>
  <c r="TEB3" i="53"/>
  <c r="TET3" i="53"/>
  <c r="TFL3" i="53"/>
  <c r="TGF3" i="53"/>
  <c r="TJY3" i="53"/>
  <c r="TQV3" i="53"/>
  <c r="TRO3" i="53"/>
  <c r="TTE3" i="53"/>
  <c r="TTZ3" i="53"/>
  <c r="TVN3" i="53"/>
  <c r="TWK3" i="53"/>
  <c r="UAP3" i="53"/>
  <c r="UDF3" i="53"/>
  <c r="UGU3" i="53"/>
  <c r="UIQ3" i="53"/>
  <c r="UKL3" i="53"/>
  <c r="ULH3" i="53"/>
  <c r="UNC3" i="53"/>
  <c r="UOA3" i="53"/>
  <c r="UOU3" i="53"/>
  <c r="URP3" i="53"/>
  <c r="UUF3" i="53"/>
  <c r="UWA3" i="53"/>
  <c r="VBW3" i="53"/>
  <c r="VDX3" i="53"/>
  <c r="VJJ3" i="53"/>
  <c r="VKM3" i="53"/>
  <c r="VMU3" i="53"/>
  <c r="VOD3" i="53"/>
  <c r="VPH3" i="53"/>
  <c r="VTH3" i="53"/>
  <c r="VWF3" i="53"/>
  <c r="VZA3" i="53"/>
  <c r="WAP3" i="53"/>
  <c r="WDN3" i="53"/>
  <c r="WGG3" i="53"/>
  <c r="WHX3" i="53"/>
  <c r="WJJ3" i="53"/>
  <c r="WLE3" i="53"/>
  <c r="WOG3" i="53"/>
  <c r="WPY3" i="53"/>
  <c r="WRL3" i="53"/>
  <c r="WTC3" i="53"/>
  <c r="WUU3" i="53"/>
  <c r="WZL3" i="53"/>
  <c r="XCW3" i="53"/>
  <c r="XEK3" i="53"/>
  <c r="QRU3" i="53"/>
  <c r="QTE3" i="53"/>
  <c r="QTY3" i="53"/>
  <c r="QVG3" i="53"/>
  <c r="QWR3" i="53"/>
  <c r="QXZ3" i="53"/>
  <c r="QZI3" i="53"/>
  <c r="RAU3" i="53"/>
  <c r="RCC3" i="53"/>
  <c r="RDM3" i="53"/>
  <c r="REW3" i="53"/>
  <c r="RGZ3" i="53"/>
  <c r="ROG3" i="53"/>
  <c r="ROY3" i="53"/>
  <c r="RPQ3" i="53"/>
  <c r="RQI3" i="53"/>
  <c r="RRC3" i="53"/>
  <c r="RRU3" i="53"/>
  <c r="RSN3" i="53"/>
  <c r="RTG3" i="53"/>
  <c r="RTX3" i="53"/>
  <c r="RUS3" i="53"/>
  <c r="RVL3" i="53"/>
  <c r="RWD3" i="53"/>
  <c r="RWW3" i="53"/>
  <c r="RXP3" i="53"/>
  <c r="RYI3" i="53"/>
  <c r="RZA3" i="53"/>
  <c r="RZS3" i="53"/>
  <c r="SAK3" i="53"/>
  <c r="SBE3" i="53"/>
  <c r="SOY3" i="53"/>
  <c r="SPP3" i="53"/>
  <c r="SQK3" i="53"/>
  <c r="SRC3" i="53"/>
  <c r="SRT3" i="53"/>
  <c r="SSM3" i="53"/>
  <c r="STF3" i="53"/>
  <c r="STX3" i="53"/>
  <c r="SUR3" i="53"/>
  <c r="SVJ3" i="53"/>
  <c r="SWD3" i="53"/>
  <c r="SWX3" i="53"/>
  <c r="SXO3" i="53"/>
  <c r="SYI3" i="53"/>
  <c r="SYZ3" i="53"/>
  <c r="SZT3" i="53"/>
  <c r="TAM3" i="53"/>
  <c r="TBE3" i="53"/>
  <c r="TBW3" i="53"/>
  <c r="TGZ3" i="53"/>
  <c r="THQ3" i="53"/>
  <c r="TIL3" i="53"/>
  <c r="TKB3" i="53"/>
  <c r="TKT3" i="53"/>
  <c r="TLN3" i="53"/>
  <c r="TMG3" i="53"/>
  <c r="TNB3" i="53"/>
  <c r="TNU3" i="53"/>
  <c r="TOP3" i="53"/>
  <c r="TPG3" i="53"/>
  <c r="TSK3" i="53"/>
  <c r="TUT3" i="53"/>
  <c r="TWL3" i="53"/>
  <c r="TXE3" i="53"/>
  <c r="TYC3" i="53"/>
  <c r="TZU3" i="53"/>
  <c r="UCL3" i="53"/>
  <c r="UEF3" i="53"/>
  <c r="UFC3" i="53"/>
  <c r="UGY3" i="53"/>
  <c r="UHV3" i="53"/>
  <c r="UJP3" i="53"/>
  <c r="UKM3" i="53"/>
  <c r="UMF3" i="53"/>
  <c r="UOB3" i="53"/>
  <c r="UPW3" i="53"/>
  <c r="UQT3" i="53"/>
  <c r="USN3" i="53"/>
  <c r="UTM3" i="53"/>
  <c r="UVD3" i="53"/>
  <c r="UYC3" i="53"/>
  <c r="UZA3" i="53"/>
  <c r="VAB3" i="53"/>
  <c r="VAZ3" i="53"/>
  <c r="VDA3" i="53"/>
  <c r="VEZ3" i="53"/>
  <c r="VHC3" i="53"/>
  <c r="VLR3" i="53"/>
  <c r="VNA3" i="53"/>
  <c r="VOF3" i="53"/>
  <c r="VPJ3" i="53"/>
  <c r="VQP3" i="53"/>
  <c r="VUU3" i="53"/>
  <c r="VXP3" i="53"/>
  <c r="VZE3" i="53"/>
  <c r="WAQ3" i="53"/>
  <c r="WBZ3" i="53"/>
  <c r="WJL3" i="53"/>
  <c r="WMQ3" i="53"/>
  <c r="WPZ3" i="53"/>
  <c r="WRM3" i="53"/>
  <c r="WWE3" i="53"/>
  <c r="SMS3" i="53"/>
  <c r="SNM3" i="53"/>
  <c r="SOF3" i="53"/>
  <c r="TBY3" i="53"/>
  <c r="TCS3" i="53"/>
  <c r="TDI3" i="53"/>
  <c r="TEC3" i="53"/>
  <c r="TEU3" i="53"/>
  <c r="TFM3" i="53"/>
  <c r="TGG3" i="53"/>
  <c r="TKD3" i="53"/>
  <c r="TQD3" i="53"/>
  <c r="TQX3" i="53"/>
  <c r="TRP3" i="53"/>
  <c r="TUB3" i="53"/>
  <c r="TVP3" i="53"/>
  <c r="TYE3" i="53"/>
  <c r="TZA3" i="53"/>
  <c r="UAQ3" i="53"/>
  <c r="UBP3" i="53"/>
  <c r="UDG3" i="53"/>
  <c r="UGA3" i="53"/>
  <c r="UIR3" i="53"/>
  <c r="ULK3" i="53"/>
  <c r="UND3" i="53"/>
  <c r="URR3" i="53"/>
  <c r="UUH3" i="53"/>
  <c r="UWD3" i="53"/>
  <c r="UXD3" i="53"/>
  <c r="VFA3" i="53"/>
  <c r="VGC3" i="53"/>
  <c r="VHH3" i="53"/>
  <c r="VIF3" i="53"/>
  <c r="VJM3" i="53"/>
  <c r="VKN3" i="53"/>
  <c r="VQX3" i="53"/>
  <c r="VSF3" i="53"/>
  <c r="VTI3" i="53"/>
  <c r="VXU3" i="53"/>
  <c r="WCA3" i="53"/>
  <c r="WDR3" i="53"/>
  <c r="WFC3" i="53"/>
  <c r="WGP3" i="53"/>
  <c r="WOH3" i="53"/>
  <c r="WRP3" i="53"/>
  <c r="WTI3" i="53"/>
  <c r="WXY3" i="53"/>
  <c r="XBI3" i="53"/>
  <c r="XDB3" i="53"/>
  <c r="XEP3" i="53"/>
  <c r="RGG3" i="53"/>
  <c r="RHQ3" i="53"/>
  <c r="RII3" i="53"/>
  <c r="RJT3" i="53"/>
  <c r="RLB3" i="53"/>
  <c r="RMM3" i="53"/>
  <c r="RNW3" i="53"/>
  <c r="RPE3" i="53"/>
  <c r="RQQ3" i="53"/>
  <c r="RRX3" i="53"/>
  <c r="RTH3" i="53"/>
  <c r="RUR3" i="53"/>
  <c r="RVK3" i="53"/>
  <c r="RWS3" i="53"/>
  <c r="RYB3" i="53"/>
  <c r="RZM3" i="53"/>
  <c r="SAV3" i="53"/>
  <c r="SCF3" i="53"/>
  <c r="SDO3" i="53"/>
  <c r="SEY3" i="53"/>
  <c r="SGI3" i="53"/>
  <c r="SHS3" i="53"/>
  <c r="SIK3" i="53"/>
  <c r="SJS3" i="53"/>
  <c r="SLE3" i="53"/>
  <c r="SMN3" i="53"/>
  <c r="SNW3" i="53"/>
  <c r="SPH3" i="53"/>
  <c r="SQO3" i="53"/>
  <c r="SRZ3" i="53"/>
  <c r="STI3" i="53"/>
  <c r="SUS3" i="53"/>
  <c r="SVK3" i="53"/>
  <c r="SWU3" i="53"/>
  <c r="SYD3" i="53"/>
  <c r="SZM3" i="53"/>
  <c r="TAY3" i="53"/>
  <c r="TCH3" i="53"/>
  <c r="TDQ3" i="53"/>
  <c r="TFA3" i="53"/>
  <c r="TGJ3" i="53"/>
  <c r="THV3" i="53"/>
  <c r="TJG3" i="53"/>
  <c r="TKS3" i="53"/>
  <c r="TMC3" i="53"/>
  <c r="TNP3" i="53"/>
  <c r="TOH3" i="53"/>
  <c r="TPS3" i="53"/>
  <c r="TRD3" i="53"/>
  <c r="TSS3" i="53"/>
  <c r="TTN3" i="53"/>
  <c r="TUE3" i="53"/>
  <c r="TUZ3" i="53"/>
  <c r="TWN3" i="53"/>
  <c r="TXG3" i="53"/>
  <c r="TYX3" i="53"/>
  <c r="TZT3" i="53"/>
  <c r="UAN3" i="53"/>
  <c r="UGN3" i="53"/>
  <c r="UHI3" i="53"/>
  <c r="UJB3" i="53"/>
  <c r="UJU3" i="53"/>
  <c r="UKQ3" i="53"/>
  <c r="ULN3" i="53"/>
  <c r="UML3" i="53"/>
  <c r="UOX3" i="53"/>
  <c r="UQS3" i="53"/>
  <c r="UUX3" i="53"/>
  <c r="UVS3" i="53"/>
  <c r="UYK3" i="53"/>
  <c r="VBJ3" i="53"/>
  <c r="VIE3" i="53"/>
  <c r="VKL3" i="53"/>
  <c r="VLL3" i="53"/>
  <c r="VMR3" i="53"/>
  <c r="VPC3" i="53"/>
  <c r="VZQ3" i="53"/>
  <c r="WAY3" i="53"/>
  <c r="WCJ3" i="53"/>
  <c r="WDS3" i="53"/>
  <c r="WFD3" i="53"/>
  <c r="WKS3" i="53"/>
  <c r="WRA3" i="53"/>
  <c r="WUB3" i="53"/>
  <c r="WVS3" i="53"/>
  <c r="XAF3" i="53"/>
  <c r="TIN3" i="53"/>
  <c r="TJE3" i="53"/>
  <c r="TJX3" i="53"/>
  <c r="TKQ3" i="53"/>
  <c r="TOR3" i="53"/>
  <c r="TPH3" i="53"/>
  <c r="TQB3" i="53"/>
  <c r="TQT3" i="53"/>
  <c r="TRM3" i="53"/>
  <c r="TSD3" i="53"/>
  <c r="TTP3" i="53"/>
  <c r="TVB3" i="53"/>
  <c r="TVU3" i="53"/>
  <c r="TXF3" i="53"/>
  <c r="TXZ3" i="53"/>
  <c r="UAH3" i="53"/>
  <c r="UBD3" i="53"/>
  <c r="UCP3" i="53"/>
  <c r="UFY3" i="53"/>
  <c r="UHM3" i="53"/>
  <c r="UJZ3" i="53"/>
  <c r="UNF3" i="53"/>
  <c r="UOT3" i="53"/>
  <c r="UQK3" i="53"/>
  <c r="USY3" i="53"/>
  <c r="UTQ3" i="53"/>
  <c r="UVF3" i="53"/>
  <c r="UXT3" i="53"/>
  <c r="UYT3" i="53"/>
  <c r="VCH3" i="53"/>
  <c r="VDG3" i="53"/>
  <c r="VGA3" i="53"/>
  <c r="VGZ3" i="53"/>
  <c r="VIY3" i="53"/>
  <c r="VJX3" i="53"/>
  <c r="VKY3" i="53"/>
  <c r="VMC3" i="53"/>
  <c r="VQO3" i="53"/>
  <c r="VTD3" i="53"/>
  <c r="VVQ3" i="53"/>
  <c r="VWV3" i="53"/>
  <c r="VZM3" i="53"/>
  <c r="WAS3" i="53"/>
  <c r="WET3" i="53"/>
  <c r="WHJ3" i="53"/>
  <c r="WOM3" i="53"/>
  <c r="WQA3" i="53"/>
  <c r="WSW3" i="53"/>
  <c r="WXE3" i="53"/>
  <c r="XBU3" i="53"/>
  <c r="XBV3" i="53"/>
  <c r="XEQ3" i="53"/>
  <c r="TTF3" i="53"/>
  <c r="TTU3" i="53"/>
  <c r="TWI3" i="53"/>
  <c r="TWY3" i="53"/>
  <c r="TYF3" i="53"/>
  <c r="TYW3" i="53"/>
  <c r="TZN3" i="53"/>
  <c r="UAE3" i="53"/>
  <c r="UAU3" i="53"/>
  <c r="UBO3" i="53"/>
  <c r="UCF3" i="53"/>
  <c r="UEG3" i="53"/>
  <c r="UEX3" i="53"/>
  <c r="UFQ3" i="53"/>
  <c r="UIL3" i="53"/>
  <c r="UJC3" i="53"/>
  <c r="ULU3" i="53"/>
  <c r="UMM3" i="53"/>
  <c r="UPF3" i="53"/>
  <c r="UPY3" i="53"/>
  <c r="USQ3" i="53"/>
  <c r="UTH3" i="53"/>
  <c r="UWC3" i="53"/>
  <c r="UWV3" i="53"/>
  <c r="UXQ3" i="53"/>
  <c r="UYI3" i="53"/>
  <c r="UZC3" i="53"/>
  <c r="UZW3" i="53"/>
  <c r="VAR3" i="53"/>
  <c r="VBL3" i="53"/>
  <c r="VCF3" i="53"/>
  <c r="VCX3" i="53"/>
  <c r="VDT3" i="53"/>
  <c r="VEM3" i="53"/>
  <c r="VFG3" i="53"/>
  <c r="VGB3" i="53"/>
  <c r="VGX3" i="53"/>
  <c r="VHU3" i="53"/>
  <c r="VIO3" i="53"/>
  <c r="VJK3" i="53"/>
  <c r="VKK3" i="53"/>
  <c r="VLG3" i="53"/>
  <c r="VNZ3" i="53"/>
  <c r="VQA3" i="53"/>
  <c r="VSA3" i="53"/>
  <c r="VUC3" i="53"/>
  <c r="VYG3" i="53"/>
  <c r="VZK3" i="53"/>
  <c r="WCM3" i="53"/>
  <c r="WDO3" i="53"/>
  <c r="WEL3" i="53"/>
  <c r="WFM3" i="53"/>
  <c r="WGT3" i="53"/>
  <c r="WHV3" i="53"/>
  <c r="WJA3" i="53"/>
  <c r="WKB3" i="53"/>
  <c r="WLF3" i="53"/>
  <c r="WUO3" i="53"/>
  <c r="WWX3" i="53"/>
  <c r="WXX3" i="53"/>
  <c r="XAG3" i="53"/>
  <c r="XCP3" i="53"/>
  <c r="VUV3" i="53"/>
  <c r="VVX3" i="53"/>
  <c r="VWW3" i="53"/>
  <c r="VXX3" i="53"/>
  <c r="WAB3" i="53"/>
  <c r="WBA3" i="53"/>
  <c r="WCE3" i="53"/>
  <c r="WGH3" i="53"/>
  <c r="WIP3" i="53"/>
  <c r="WJQ3" i="53"/>
  <c r="WLZ3" i="53"/>
  <c r="WPL3" i="53"/>
  <c r="WSY3" i="53"/>
  <c r="WVG3" i="53"/>
  <c r="WWO3" i="53"/>
  <c r="WXS3" i="53"/>
  <c r="WYU3" i="53"/>
  <c r="XBF3" i="53"/>
  <c r="DWL3" i="53"/>
  <c r="DXG3" i="53"/>
  <c r="DYB3" i="53"/>
  <c r="DYW3" i="53"/>
  <c r="DZR3" i="53"/>
  <c r="EAM3" i="53"/>
  <c r="EAX3" i="53"/>
  <c r="EBS3" i="53"/>
  <c r="ECN3" i="53"/>
  <c r="EDI3" i="53"/>
  <c r="EED3" i="53"/>
  <c r="EEY3" i="53"/>
  <c r="EFT3" i="53"/>
  <c r="EGO3" i="53"/>
  <c r="EHJ3" i="53"/>
  <c r="EIE3" i="53"/>
  <c r="EIP3" i="53"/>
  <c r="EJK3" i="53"/>
  <c r="EKF3" i="53"/>
  <c r="ELA3" i="53"/>
  <c r="ELV3" i="53"/>
  <c r="EMQ3" i="53"/>
  <c r="ENL3" i="53"/>
  <c r="EOG3" i="53"/>
  <c r="EPB3" i="53"/>
  <c r="EPW3" i="53"/>
  <c r="EQH3" i="53"/>
  <c r="ERC3" i="53"/>
  <c r="ERX3" i="53"/>
  <c r="ESS3" i="53"/>
  <c r="ETN3" i="53"/>
  <c r="EUI3" i="53"/>
  <c r="EVD3" i="53"/>
  <c r="EVY3" i="53"/>
  <c r="EWT3" i="53"/>
  <c r="EXO3" i="53"/>
  <c r="EXZ3" i="53"/>
  <c r="EYU3" i="53"/>
  <c r="EZP3" i="53"/>
  <c r="FAK3" i="53"/>
  <c r="FBF3" i="53"/>
  <c r="FCA3" i="53"/>
  <c r="FCV3" i="53"/>
  <c r="FDQ3" i="53"/>
  <c r="FEL3" i="53"/>
  <c r="FFG3" i="53"/>
  <c r="FFR3" i="53"/>
  <c r="FGM3" i="53"/>
  <c r="FHH3" i="53"/>
  <c r="FIC3" i="53"/>
  <c r="FIN3" i="53"/>
  <c r="FIY3" i="53"/>
  <c r="FJJ3" i="53"/>
  <c r="FJU3" i="53"/>
  <c r="FKF3" i="53"/>
  <c r="FKR3" i="53"/>
  <c r="FLC3" i="53"/>
  <c r="FLN3" i="53"/>
  <c r="FLY3" i="53"/>
  <c r="FMJ3" i="53"/>
  <c r="FMU3" i="53"/>
  <c r="FNF3" i="53"/>
  <c r="FNQ3" i="53"/>
  <c r="FOB3" i="53"/>
  <c r="FON3" i="53"/>
  <c r="FOY3" i="53"/>
  <c r="FPJ3" i="53"/>
  <c r="FPU3" i="53"/>
  <c r="FQF3" i="53"/>
  <c r="FQQ3" i="53"/>
  <c r="FRB3" i="53"/>
  <c r="FRM3" i="53"/>
  <c r="FRX3" i="53"/>
  <c r="FSJ3" i="53"/>
  <c r="FSU3" i="53"/>
  <c r="FTF3" i="53"/>
  <c r="FTQ3" i="53"/>
  <c r="FUB3" i="53"/>
  <c r="FUM3" i="53"/>
  <c r="FUX3" i="53"/>
  <c r="FVI3" i="53"/>
  <c r="FVT3" i="53"/>
  <c r="FWF3" i="53"/>
  <c r="FWQ3" i="53"/>
  <c r="FXB3" i="53"/>
  <c r="FXM3" i="53"/>
  <c r="FXX3" i="53"/>
  <c r="FYI3" i="53"/>
  <c r="FYT3" i="53"/>
  <c r="FZE3" i="53"/>
  <c r="FZP3" i="53"/>
  <c r="GAB3" i="53"/>
  <c r="GAM3" i="53"/>
  <c r="GAX3" i="53"/>
  <c r="GBI3" i="53"/>
  <c r="GBT3" i="53"/>
  <c r="GCE3" i="53"/>
  <c r="GCP3" i="53"/>
  <c r="GDA3" i="53"/>
  <c r="GDL3" i="53"/>
  <c r="GDX3" i="53"/>
  <c r="GEI3" i="53"/>
  <c r="GET3" i="53"/>
  <c r="GFE3" i="53"/>
  <c r="GFP3" i="53"/>
  <c r="GGA3" i="53"/>
  <c r="GGL3" i="53"/>
  <c r="GGW3" i="53"/>
  <c r="GHH3" i="53"/>
  <c r="GHT3" i="53"/>
  <c r="GIE3" i="53"/>
  <c r="GIP3" i="53"/>
  <c r="GJA3" i="53"/>
  <c r="GJL3" i="53"/>
  <c r="GJW3" i="53"/>
  <c r="GKH3" i="53"/>
  <c r="GKS3" i="53"/>
  <c r="GLD3" i="53"/>
  <c r="GLP3" i="53"/>
  <c r="GMA3" i="53"/>
  <c r="GML3" i="53"/>
  <c r="GMW3" i="53"/>
  <c r="GNH3" i="53"/>
  <c r="GNS3" i="53"/>
  <c r="GOD3" i="53"/>
  <c r="GOO3" i="53"/>
  <c r="GOZ3" i="53"/>
  <c r="GPL3" i="53"/>
  <c r="GPW3" i="53"/>
  <c r="GQH3" i="53"/>
  <c r="GQS3" i="53"/>
  <c r="GRD3" i="53"/>
  <c r="GRO3" i="53"/>
  <c r="GRZ3" i="53"/>
  <c r="GSK3" i="53"/>
  <c r="GSV3" i="53"/>
  <c r="GTH3" i="53"/>
  <c r="GTS3" i="53"/>
  <c r="GUD3" i="53"/>
  <c r="GUO3" i="53"/>
  <c r="GUZ3" i="53"/>
  <c r="GVK3" i="53"/>
  <c r="GVV3" i="53"/>
  <c r="GWG3" i="53"/>
  <c r="GWR3" i="53"/>
  <c r="GXD3" i="53"/>
  <c r="GXO3" i="53"/>
  <c r="GXZ3" i="53"/>
  <c r="GYK3" i="53"/>
  <c r="GYV3" i="53"/>
  <c r="GZG3" i="53"/>
  <c r="GZR3" i="53"/>
  <c r="HAC3" i="53"/>
  <c r="HAN3" i="53"/>
  <c r="HAZ3" i="53"/>
  <c r="HBK3" i="53"/>
  <c r="HBV3" i="53"/>
  <c r="HCG3" i="53"/>
  <c r="HCR3" i="53"/>
  <c r="HDC3" i="53"/>
  <c r="HDN3" i="53"/>
  <c r="HDY3" i="53"/>
  <c r="HEJ3" i="53"/>
  <c r="HEV3" i="53"/>
  <c r="HFG3" i="53"/>
  <c r="HFR3" i="53"/>
  <c r="HGC3" i="53"/>
  <c r="HGN3" i="53"/>
  <c r="HGY3" i="53"/>
  <c r="HHJ3" i="53"/>
  <c r="HHU3" i="53"/>
  <c r="HIF3" i="53"/>
  <c r="HIR3" i="53"/>
  <c r="HJC3" i="53"/>
  <c r="HJN3" i="53"/>
  <c r="HJY3" i="53"/>
  <c r="HKJ3" i="53"/>
  <c r="HKU3" i="53"/>
  <c r="HLF3" i="53"/>
  <c r="HLQ3" i="53"/>
  <c r="HMB3" i="53"/>
  <c r="HMN3" i="53"/>
  <c r="HMY3" i="53"/>
  <c r="HNJ3" i="53"/>
  <c r="HNU3" i="53"/>
  <c r="HOF3" i="53"/>
  <c r="HOQ3" i="53"/>
  <c r="HPB3" i="53"/>
  <c r="HPM3" i="53"/>
  <c r="HPX3" i="53"/>
  <c r="HQJ3" i="53"/>
  <c r="HQU3" i="53"/>
  <c r="HRF3" i="53"/>
  <c r="HRQ3" i="53"/>
  <c r="HSB3" i="53"/>
  <c r="HSM3" i="53"/>
  <c r="HSX3" i="53"/>
  <c r="HTI3" i="53"/>
  <c r="HTT3" i="53"/>
  <c r="HUF3" i="53"/>
  <c r="HUQ3" i="53"/>
  <c r="HVB3" i="53"/>
  <c r="HVM3" i="53"/>
  <c r="HVX3" i="53"/>
  <c r="HWI3" i="53"/>
  <c r="HWT3" i="53"/>
  <c r="HXE3" i="53"/>
  <c r="HXP3" i="53"/>
  <c r="HYB3" i="53"/>
  <c r="HYM3" i="53"/>
  <c r="HYX3" i="53"/>
  <c r="HZI3" i="53"/>
  <c r="HZT3" i="53"/>
  <c r="IAE3" i="53"/>
  <c r="IAP3" i="53"/>
  <c r="IBA3" i="53"/>
  <c r="IBL3" i="53"/>
  <c r="IBX3" i="53"/>
  <c r="ICI3" i="53"/>
  <c r="ICT3" i="53"/>
  <c r="IDE3" i="53"/>
  <c r="IDP3" i="53"/>
  <c r="IEA3" i="53"/>
  <c r="IEL3" i="53"/>
  <c r="IEW3" i="53"/>
  <c r="IFH3" i="53"/>
  <c r="IFT3" i="53"/>
  <c r="IGE3" i="53"/>
  <c r="IGP3" i="53"/>
  <c r="IHA3" i="53"/>
  <c r="IHL3" i="53"/>
  <c r="IHW3" i="53"/>
  <c r="IIH3" i="53"/>
  <c r="IIS3" i="53"/>
  <c r="IJD3" i="53"/>
  <c r="IJP3" i="53"/>
  <c r="IKA3" i="53"/>
  <c r="IKL3" i="53"/>
  <c r="IKW3" i="53"/>
  <c r="ILH3" i="53"/>
  <c r="ILS3" i="53"/>
  <c r="IMD3" i="53"/>
  <c r="IMO3" i="53"/>
  <c r="IMZ3" i="53"/>
  <c r="INL3" i="53"/>
  <c r="INW3" i="53"/>
  <c r="IOH3" i="53"/>
  <c r="IOS3" i="53"/>
  <c r="IPD3" i="53"/>
  <c r="IPO3" i="53"/>
  <c r="IPZ3" i="53"/>
  <c r="IQK3" i="53"/>
  <c r="IQV3" i="53"/>
  <c r="IRH3" i="53"/>
  <c r="IRS3" i="53"/>
  <c r="ISD3" i="53"/>
  <c r="ISO3" i="53"/>
  <c r="ISZ3" i="53"/>
  <c r="ITK3" i="53"/>
  <c r="ITV3" i="53"/>
  <c r="IUG3" i="53"/>
  <c r="IUR3" i="53"/>
  <c r="IVD3" i="53"/>
  <c r="IVO3" i="53"/>
  <c r="IVZ3" i="53"/>
  <c r="IWK3" i="53"/>
  <c r="IWV3" i="53"/>
  <c r="IXG3" i="53"/>
  <c r="IXR3" i="53"/>
  <c r="IYC3" i="53"/>
  <c r="IYN3" i="53"/>
  <c r="IYZ3" i="53"/>
  <c r="IZK3" i="53"/>
  <c r="IZV3" i="53"/>
  <c r="JAG3" i="53"/>
  <c r="JAR3" i="53"/>
  <c r="JBC3" i="53"/>
  <c r="JBN3" i="53"/>
  <c r="JBY3" i="53"/>
  <c r="JCJ3" i="53"/>
  <c r="JCV3" i="53"/>
  <c r="JDG3" i="53"/>
  <c r="JDR3" i="53"/>
  <c r="JEC3" i="53"/>
  <c r="JEN3" i="53"/>
  <c r="JEY3" i="53"/>
  <c r="JFJ3" i="53"/>
  <c r="JFU3" i="53"/>
  <c r="JGF3" i="53"/>
  <c r="JGR3" i="53"/>
  <c r="JHC3" i="53"/>
  <c r="JHN3" i="53"/>
  <c r="JHY3" i="53"/>
  <c r="JIJ3" i="53"/>
  <c r="JIU3" i="53"/>
  <c r="JJF3" i="53"/>
  <c r="JJQ3" i="53"/>
  <c r="JKB3" i="53"/>
  <c r="JKN3" i="53"/>
  <c r="JKY3" i="53"/>
  <c r="JLJ3" i="53"/>
  <c r="JLU3" i="53"/>
  <c r="JMF3" i="53"/>
  <c r="JMQ3" i="53"/>
  <c r="JNB3" i="53"/>
  <c r="JNM3" i="53"/>
  <c r="JNX3" i="53"/>
  <c r="JOJ3" i="53"/>
  <c r="JOU3" i="53"/>
  <c r="JPF3" i="53"/>
  <c r="JPQ3" i="53"/>
  <c r="JQB3" i="53"/>
  <c r="JQM3" i="53"/>
  <c r="JQX3" i="53"/>
  <c r="JRI3" i="53"/>
  <c r="JRT3" i="53"/>
  <c r="JSF3" i="53"/>
  <c r="JSQ3" i="53"/>
  <c r="JTB3" i="53"/>
  <c r="JTM3" i="53"/>
  <c r="JTX3" i="53"/>
  <c r="JUI3" i="53"/>
  <c r="JUT3" i="53"/>
  <c r="JVE3" i="53"/>
  <c r="JVP3" i="53"/>
  <c r="JWB3" i="53"/>
  <c r="JWM3" i="53"/>
  <c r="JWX3" i="53"/>
  <c r="JXI3" i="53"/>
  <c r="JXT3" i="53"/>
  <c r="JYE3" i="53"/>
  <c r="JYP3" i="53"/>
  <c r="JZA3" i="53"/>
  <c r="JZL3" i="53"/>
  <c r="JZX3" i="53"/>
  <c r="KAI3" i="53"/>
  <c r="KAT3" i="53"/>
  <c r="KBE3" i="53"/>
  <c r="KBP3" i="53"/>
  <c r="KCA3" i="53"/>
  <c r="KCL3" i="53"/>
  <c r="KCW3" i="53"/>
  <c r="KDH3" i="53"/>
  <c r="KDT3" i="53"/>
  <c r="KEE3" i="53"/>
  <c r="KEP3" i="53"/>
  <c r="KFA3" i="53"/>
  <c r="KFL3" i="53"/>
  <c r="KFW3" i="53"/>
  <c r="KGH3" i="53"/>
  <c r="KGT3" i="53"/>
  <c r="KHF3" i="53"/>
  <c r="KHT3" i="53"/>
  <c r="KIF3" i="53"/>
  <c r="KIR3" i="53"/>
  <c r="KJD3" i="53"/>
  <c r="KJP3" i="53"/>
  <c r="KKC3" i="53"/>
  <c r="KKO3" i="53"/>
  <c r="KLA3" i="53"/>
  <c r="KLM3" i="53"/>
  <c r="KMA3" i="53"/>
  <c r="KMM3" i="53"/>
  <c r="KMY3" i="53"/>
  <c r="KNK3" i="53"/>
  <c r="KNX3" i="53"/>
  <c r="KOJ3" i="53"/>
  <c r="KOV3" i="53"/>
  <c r="KPH3" i="53"/>
  <c r="KPT3" i="53"/>
  <c r="KQH3" i="53"/>
  <c r="KQT3" i="53"/>
  <c r="KRF3" i="53"/>
  <c r="KRR3" i="53"/>
  <c r="KSE3" i="53"/>
  <c r="KSQ3" i="53"/>
  <c r="KTC3" i="53"/>
  <c r="KTO3" i="53"/>
  <c r="KUB3" i="53"/>
  <c r="KUO3" i="53"/>
  <c r="KVA3" i="53"/>
  <c r="KVM3" i="53"/>
  <c r="KVZ3" i="53"/>
  <c r="KWL3" i="53"/>
  <c r="KWX3" i="53"/>
  <c r="KXJ3" i="53"/>
  <c r="KXV3" i="53"/>
  <c r="KYI3" i="53"/>
  <c r="KYV3" i="53"/>
  <c r="KZH3" i="53"/>
  <c r="KZT3" i="53"/>
  <c r="LAG3" i="53"/>
  <c r="LAS3" i="53"/>
  <c r="LBE3" i="53"/>
  <c r="LBQ3" i="53"/>
  <c r="LCD3" i="53"/>
  <c r="LCP3" i="53"/>
  <c r="LDC3" i="53"/>
  <c r="LDO3" i="53"/>
  <c r="LEB3" i="53"/>
  <c r="LEN3" i="53"/>
  <c r="LEZ3" i="53"/>
  <c r="LFL3" i="53"/>
  <c r="LFX3" i="53"/>
  <c r="LGK3" i="53"/>
  <c r="LGW3" i="53"/>
  <c r="LHJ3" i="53"/>
  <c r="LHV3" i="53"/>
  <c r="LII3" i="53"/>
  <c r="LIU3" i="53"/>
  <c r="LJG3" i="53"/>
  <c r="LJS3" i="53"/>
  <c r="LKF3" i="53"/>
  <c r="LKR3" i="53"/>
  <c r="LLD3" i="53"/>
  <c r="LLQ3" i="53"/>
  <c r="LMD3" i="53"/>
  <c r="LMP3" i="53"/>
  <c r="LNB3" i="53"/>
  <c r="LNN3" i="53"/>
  <c r="LNZ3" i="53"/>
  <c r="LOM3" i="53"/>
  <c r="LOY3" i="53"/>
  <c r="LPK3" i="53"/>
  <c r="LPX3" i="53"/>
  <c r="LQK3" i="53"/>
  <c r="LQW3" i="53"/>
  <c r="LRI3" i="53"/>
  <c r="LRU3" i="53"/>
  <c r="LSH3" i="53"/>
  <c r="LST3" i="53"/>
  <c r="LTF3" i="53"/>
  <c r="LTR3" i="53"/>
  <c r="LUF3" i="53"/>
  <c r="LUR3" i="53"/>
  <c r="LVD3" i="53"/>
  <c r="LVP3" i="53"/>
  <c r="LWB3" i="53"/>
  <c r="LWO3" i="53"/>
  <c r="LXA3" i="53"/>
  <c r="LXM3" i="53"/>
  <c r="LXY3" i="53"/>
  <c r="LYM3" i="53"/>
  <c r="LYY3" i="53"/>
  <c r="LZK3" i="53"/>
  <c r="LZW3" i="53"/>
  <c r="MAJ3" i="53"/>
  <c r="MAV3" i="53"/>
  <c r="MBH3" i="53"/>
  <c r="MBT3" i="53"/>
  <c r="MCF3" i="53"/>
  <c r="MCT3" i="53"/>
  <c r="MDF3" i="53"/>
  <c r="MDR3" i="53"/>
  <c r="MED3" i="53"/>
  <c r="MEQ3" i="53"/>
  <c r="MFC3" i="53"/>
  <c r="MFO3" i="53"/>
  <c r="MGA3" i="53"/>
  <c r="MGN3" i="53"/>
  <c r="MHA3" i="53"/>
  <c r="MHM3" i="53"/>
  <c r="MHY3" i="53"/>
  <c r="MIL3" i="53"/>
  <c r="MIX3" i="53"/>
  <c r="MJJ3" i="53"/>
  <c r="MJV3" i="53"/>
  <c r="MKH3" i="53"/>
  <c r="MKU3" i="53"/>
  <c r="MLH3" i="53"/>
  <c r="MLT3" i="53"/>
  <c r="MMF3" i="53"/>
  <c r="MMS3" i="53"/>
  <c r="MNE3" i="53"/>
  <c r="MNQ3" i="53"/>
  <c r="MOC3" i="53"/>
  <c r="MOP3" i="53"/>
  <c r="MPB3" i="53"/>
  <c r="MPO3" i="53"/>
  <c r="MQA3" i="53"/>
  <c r="MQN3" i="53"/>
  <c r="MQZ3" i="53"/>
  <c r="MRL3" i="53"/>
  <c r="MRX3" i="53"/>
  <c r="MSJ3" i="53"/>
  <c r="MSW3" i="53"/>
  <c r="MTI3" i="53"/>
  <c r="MTV3" i="53"/>
  <c r="MUH3" i="53"/>
  <c r="MUU3" i="53"/>
  <c r="MVG3" i="53"/>
  <c r="MVS3" i="53"/>
  <c r="MWE3" i="53"/>
  <c r="MWR3" i="53"/>
  <c r="MXD3" i="53"/>
  <c r="MXP3" i="53"/>
  <c r="MYC3" i="53"/>
  <c r="MYP3" i="53"/>
  <c r="MZB3" i="53"/>
  <c r="MZN3" i="53"/>
  <c r="MZZ3" i="53"/>
  <c r="NAL3" i="53"/>
  <c r="NAY3" i="53"/>
  <c r="NBK3" i="53"/>
  <c r="NBW3" i="53"/>
  <c r="NCJ3" i="53"/>
  <c r="NCW3" i="53"/>
  <c r="NDI3" i="53"/>
  <c r="NDU3" i="53"/>
  <c r="NEG3" i="53"/>
  <c r="NET3" i="53"/>
  <c r="NFF3" i="53"/>
  <c r="NFR3" i="53"/>
  <c r="NGD3" i="53"/>
  <c r="NGR3" i="53"/>
  <c r="NHD3" i="53"/>
  <c r="NHP3" i="53"/>
  <c r="NIB3" i="53"/>
  <c r="NIN3" i="53"/>
  <c r="NJA3" i="53"/>
  <c r="NJM3" i="53"/>
  <c r="NJY3" i="53"/>
  <c r="NKK3" i="53"/>
  <c r="NKY3" i="53"/>
  <c r="NLK3" i="53"/>
  <c r="NLW3" i="53"/>
  <c r="NMI3" i="53"/>
  <c r="NMV3" i="53"/>
  <c r="NNH3" i="53"/>
  <c r="NNT3" i="53"/>
  <c r="NOF3" i="53"/>
  <c r="NOR3" i="53"/>
  <c r="NPF3" i="53"/>
  <c r="NPR3" i="53"/>
  <c r="NQD3" i="53"/>
  <c r="NQP3" i="53"/>
  <c r="NRC3" i="53"/>
  <c r="NRO3" i="53"/>
  <c r="NSA3" i="53"/>
  <c r="NSM3" i="53"/>
  <c r="NSZ3" i="53"/>
  <c r="NTM3" i="53"/>
  <c r="NTY3" i="53"/>
  <c r="NUK3" i="53"/>
  <c r="NUX3" i="53"/>
  <c r="NVJ3" i="53"/>
  <c r="NVV3" i="53"/>
  <c r="NWH3" i="53"/>
  <c r="NWT3" i="53"/>
  <c r="NXG3" i="53"/>
  <c r="NXT3" i="53"/>
  <c r="NYF3" i="53"/>
  <c r="NYR3" i="53"/>
  <c r="NZE3" i="53"/>
  <c r="NZQ3" i="53"/>
  <c r="OAC3" i="53"/>
  <c r="OAO3" i="53"/>
  <c r="OBB3" i="53"/>
  <c r="OBN3" i="53"/>
  <c r="OCA3" i="53"/>
  <c r="OCM3" i="53"/>
  <c r="OCZ3" i="53"/>
  <c r="ODL3" i="53"/>
  <c r="ODX3" i="53"/>
  <c r="OEJ3" i="53"/>
  <c r="OEV3" i="53"/>
  <c r="OFI3" i="53"/>
  <c r="OFU3" i="53"/>
  <c r="OGH3" i="53"/>
  <c r="OGT3" i="53"/>
  <c r="OHG3" i="53"/>
  <c r="OHS3" i="53"/>
  <c r="OJF3" i="53"/>
  <c r="OKS3" i="53"/>
  <c r="OMF3" i="53"/>
  <c r="ONE3" i="53"/>
  <c r="ONS3" i="53"/>
  <c r="OOR3" i="53"/>
  <c r="OPF3" i="53"/>
  <c r="OQF3" i="53"/>
  <c r="OQT3" i="53"/>
  <c r="ORG3" i="53"/>
  <c r="ORU3" i="53"/>
  <c r="OSI3" i="53"/>
  <c r="OSV3" i="53"/>
  <c r="OTI3" i="53"/>
  <c r="OTY3" i="53"/>
  <c r="OUL3" i="53"/>
  <c r="OUZ3" i="53"/>
  <c r="OVM3" i="53"/>
  <c r="OVZ3" i="53"/>
  <c r="OWO3" i="53"/>
  <c r="OXB3" i="53"/>
  <c r="OXO3" i="53"/>
  <c r="OYC3" i="53"/>
  <c r="OYR3" i="53"/>
  <c r="OZF3" i="53"/>
  <c r="OZS3" i="53"/>
  <c r="PAF3" i="53"/>
  <c r="PAU3" i="53"/>
  <c r="PBH3" i="53"/>
  <c r="PBU3" i="53"/>
  <c r="PCI3" i="53"/>
  <c r="PCV3" i="53"/>
  <c r="PDL3" i="53"/>
  <c r="PDY3" i="53"/>
  <c r="PEL3" i="53"/>
  <c r="PEZ3" i="53"/>
  <c r="PFN3" i="53"/>
  <c r="PGA3" i="53"/>
  <c r="PGO3" i="53"/>
  <c r="PHB3" i="53"/>
  <c r="PHQ3" i="53"/>
  <c r="PIE3" i="53"/>
  <c r="PIR3" i="53"/>
  <c r="PJF3" i="53"/>
  <c r="PJT3" i="53"/>
  <c r="PKG3" i="53"/>
  <c r="PKU3" i="53"/>
  <c r="PLH3" i="53"/>
  <c r="PLU3" i="53"/>
  <c r="PMJ3" i="53"/>
  <c r="PMX3" i="53"/>
  <c r="PNL3" i="53"/>
  <c r="PNY3" i="53"/>
  <c r="POM3" i="53"/>
  <c r="PPA3" i="53"/>
  <c r="PPN3" i="53"/>
  <c r="PQA3" i="53"/>
  <c r="PQP3" i="53"/>
  <c r="PRC3" i="53"/>
  <c r="PRR3" i="53"/>
  <c r="PSE3" i="53"/>
  <c r="PSS3" i="53"/>
  <c r="PTG3" i="53"/>
  <c r="PTT3" i="53"/>
  <c r="PUG3" i="53"/>
  <c r="PUU3" i="53"/>
  <c r="PVI3" i="53"/>
  <c r="PVW3" i="53"/>
  <c r="PWK3" i="53"/>
  <c r="PWX3" i="53"/>
  <c r="PXM3" i="53"/>
  <c r="PXZ3" i="53"/>
  <c r="PYM3" i="53"/>
  <c r="PZA3" i="53"/>
  <c r="PZO3" i="53"/>
  <c r="QAC3" i="53"/>
  <c r="QAP3" i="53"/>
  <c r="QBD3" i="53"/>
  <c r="QBS3" i="53"/>
  <c r="QCF3" i="53"/>
  <c r="QCS3" i="53"/>
  <c r="QDG3" i="53"/>
  <c r="QDT3" i="53"/>
  <c r="QEI3" i="53"/>
  <c r="QEV3" i="53"/>
  <c r="QFI3" i="53"/>
  <c r="QFX3" i="53"/>
  <c r="QGL3" i="53"/>
  <c r="QGY3" i="53"/>
  <c r="QHM3" i="53"/>
  <c r="QHZ3" i="53"/>
  <c r="QIO3" i="53"/>
  <c r="QJB3" i="53"/>
  <c r="QJO3" i="53"/>
  <c r="QKC3" i="53"/>
  <c r="QKR3" i="53"/>
  <c r="QLE3" i="53"/>
  <c r="QLS3" i="53"/>
  <c r="QMF3" i="53"/>
  <c r="QMS3" i="53"/>
  <c r="QNH3" i="53"/>
  <c r="QNU3" i="53"/>
  <c r="QOJ3" i="53"/>
  <c r="QOY3" i="53"/>
  <c r="QPO3" i="53"/>
  <c r="QQE3" i="53"/>
  <c r="QQS3" i="53"/>
  <c r="QRH3" i="53"/>
  <c r="QRY3" i="53"/>
  <c r="QSM3" i="53"/>
  <c r="QTC3" i="53"/>
  <c r="QTQ3" i="53"/>
  <c r="QUE3" i="53"/>
  <c r="QUW3" i="53"/>
  <c r="QVL3" i="53"/>
  <c r="QVZ3" i="53"/>
  <c r="QWP3" i="53"/>
  <c r="QXE3" i="53"/>
  <c r="QXU3" i="53"/>
  <c r="QYI3" i="53"/>
  <c r="QYX3" i="53"/>
  <c r="QZN3" i="53"/>
  <c r="RAD3" i="53"/>
  <c r="RAR3" i="53"/>
  <c r="RBH3" i="53"/>
  <c r="RBW3" i="53"/>
  <c r="RCM3" i="53"/>
  <c r="RDA3" i="53"/>
  <c r="RDP3" i="53"/>
  <c r="REE3" i="53"/>
  <c r="REU3" i="53"/>
  <c r="RFK3" i="53"/>
  <c r="RFZ3" i="53"/>
  <c r="RGO3" i="53"/>
  <c r="RHE3" i="53"/>
  <c r="RHT3" i="53"/>
  <c r="RIH3" i="53"/>
  <c r="RIX3" i="53"/>
  <c r="RJM3" i="53"/>
  <c r="RKB3" i="53"/>
  <c r="RKR3" i="53"/>
  <c r="RLG3" i="53"/>
  <c r="RLW3" i="53"/>
  <c r="RML3" i="53"/>
  <c r="RMZ3" i="53"/>
  <c r="RNP3" i="53"/>
  <c r="ROD3" i="53"/>
  <c r="ROT3" i="53"/>
  <c r="RPI3" i="53"/>
  <c r="RPY3" i="53"/>
  <c r="RQM3" i="53"/>
  <c r="RRD3" i="53"/>
  <c r="RRS3" i="53"/>
  <c r="RSH3" i="53"/>
  <c r="RSW3" i="53"/>
  <c r="RTL3" i="53"/>
  <c r="RUB3" i="53"/>
  <c r="RUP3" i="53"/>
  <c r="RVF3" i="53"/>
  <c r="RVV3" i="53"/>
  <c r="RWK3" i="53"/>
  <c r="RWZ3" i="53"/>
  <c r="RXO3" i="53"/>
  <c r="RYC3" i="53"/>
  <c r="RYT3" i="53"/>
  <c r="RZH3" i="53"/>
  <c r="RZW3" i="53"/>
  <c r="SAM3" i="53"/>
  <c r="SBC3" i="53"/>
  <c r="SBS3" i="53"/>
  <c r="SCG3" i="53"/>
  <c r="SCU3" i="53"/>
  <c r="SDL3" i="53"/>
  <c r="SEA3" i="53"/>
  <c r="SEO3" i="53"/>
  <c r="SFE3" i="53"/>
  <c r="SFU3" i="53"/>
  <c r="SGK3" i="53"/>
  <c r="SGY3" i="53"/>
  <c r="SHN3" i="53"/>
  <c r="SIC3" i="53"/>
  <c r="SIS3" i="53"/>
  <c r="SJG3" i="53"/>
  <c r="SJW3" i="53"/>
  <c r="SKK3" i="53"/>
  <c r="SLC3" i="53"/>
  <c r="SLQ3" i="53"/>
  <c r="SMF3" i="53"/>
  <c r="SMU3" i="53"/>
  <c r="SNK3" i="53"/>
  <c r="SNY3" i="53"/>
  <c r="SOO3" i="53"/>
  <c r="SPC3" i="53"/>
  <c r="SPR3" i="53"/>
  <c r="SQJ3" i="53"/>
  <c r="SQX3" i="53"/>
  <c r="SRN3" i="53"/>
  <c r="SSB3" i="53"/>
  <c r="SSR3" i="53"/>
  <c r="STG3" i="53"/>
  <c r="STV3" i="53"/>
  <c r="SUJ3" i="53"/>
  <c r="SVA3" i="53"/>
  <c r="SVP3" i="53"/>
  <c r="SWF3" i="53"/>
  <c r="SWT3" i="53"/>
  <c r="SXJ3" i="53"/>
  <c r="SXY3" i="53"/>
  <c r="SYN3" i="53"/>
  <c r="SZB3" i="53"/>
  <c r="SZR3" i="53"/>
  <c r="TAG3" i="53"/>
  <c r="TAX3" i="53"/>
  <c r="TBM3" i="53"/>
  <c r="TCA3" i="53"/>
  <c r="TCR3" i="53"/>
  <c r="TDF3" i="53"/>
  <c r="TDU3" i="53"/>
  <c r="TEJ3" i="53"/>
  <c r="TEZ3" i="53"/>
  <c r="TFN3" i="53"/>
  <c r="TGE3" i="53"/>
  <c r="THK3" i="53"/>
  <c r="THZ3" i="53"/>
  <c r="TIP3" i="53"/>
  <c r="TKK3" i="53"/>
  <c r="TLB3" i="53"/>
  <c r="TLR3" i="53"/>
  <c r="TNN3" i="53"/>
  <c r="TOE3" i="53"/>
  <c r="TOT3" i="53"/>
  <c r="TQP3" i="53"/>
  <c r="TRG3" i="53"/>
  <c r="TRX3" i="53"/>
  <c r="TTR3" i="53"/>
  <c r="TUH3" i="53"/>
  <c r="TUY3" i="53"/>
  <c r="TWU3" i="53"/>
  <c r="UCA3" i="53"/>
  <c r="UCU3" i="53"/>
  <c r="UDM3" i="53"/>
  <c r="UFM3" i="53"/>
  <c r="UGE3" i="53"/>
  <c r="UIY3" i="53"/>
  <c r="UJQ3" i="53"/>
  <c r="UMI3" i="53"/>
  <c r="UMZ3" i="53"/>
  <c r="UPU3" i="53"/>
  <c r="UQL3" i="53"/>
  <c r="URD3" i="53"/>
  <c r="UTD3" i="53"/>
  <c r="UTV3" i="53"/>
  <c r="UUO3" i="53"/>
  <c r="UXJ3" i="53"/>
  <c r="UYX3" i="53"/>
  <c r="UZQ3" i="53"/>
  <c r="VAK3" i="53"/>
  <c r="VBF3" i="53"/>
  <c r="VCT3" i="53"/>
  <c r="VDM3" i="53"/>
  <c r="VQQ3" i="53"/>
  <c r="VSV3" i="53"/>
  <c r="VTW3" i="53"/>
  <c r="VYC3" i="53"/>
  <c r="VZC3" i="53"/>
  <c r="WBF3" i="53"/>
  <c r="WDI3" i="53"/>
  <c r="WEI3" i="53"/>
  <c r="WHO3" i="53"/>
  <c r="WJU3" i="53"/>
  <c r="WMB3" i="53"/>
  <c r="WNF3" i="53"/>
  <c r="WOI3" i="53"/>
  <c r="WQS3" i="53"/>
  <c r="WTB3" i="53"/>
  <c r="WVL3" i="53"/>
  <c r="WXT3" i="53"/>
  <c r="XAA3" i="53"/>
  <c r="XER3" i="53"/>
  <c r="D3" i="53"/>
  <c r="N3" i="53"/>
  <c r="X3" i="53"/>
  <c r="AH3" i="53"/>
  <c r="AR3" i="53"/>
  <c r="BB3" i="53"/>
  <c r="BL3" i="53"/>
  <c r="BV3" i="53"/>
  <c r="CF3" i="53"/>
  <c r="CP3" i="53"/>
  <c r="CZ3" i="53"/>
  <c r="DJ3" i="53"/>
  <c r="DT3" i="53"/>
  <c r="ED3" i="53"/>
  <c r="EN3" i="53"/>
  <c r="EX3" i="53"/>
  <c r="FH3" i="53"/>
  <c r="FR3" i="53"/>
  <c r="GB3" i="53"/>
  <c r="GL3" i="53"/>
  <c r="GV3" i="53"/>
  <c r="HF3" i="53"/>
  <c r="HP3" i="53"/>
  <c r="HZ3" i="53"/>
  <c r="IJ3" i="53"/>
  <c r="IT3" i="53"/>
  <c r="JD3" i="53"/>
  <c r="JN3" i="53"/>
  <c r="JX3" i="53"/>
  <c r="KH3" i="53"/>
  <c r="KR3" i="53"/>
  <c r="LB3" i="53"/>
  <c r="LL3" i="53"/>
  <c r="LV3" i="53"/>
  <c r="MF3" i="53"/>
  <c r="MP3" i="53"/>
  <c r="MZ3" i="53"/>
  <c r="NJ3" i="53"/>
  <c r="NT3" i="53"/>
  <c r="OD3" i="53"/>
  <c r="ON3" i="53"/>
  <c r="OX3" i="53"/>
  <c r="PH3" i="53"/>
  <c r="PR3" i="53"/>
  <c r="QB3" i="53"/>
  <c r="QL3" i="53"/>
  <c r="QV3" i="53"/>
  <c r="RF3" i="53"/>
  <c r="RP3" i="53"/>
  <c r="RZ3" i="53"/>
  <c r="SJ3" i="53"/>
  <c r="ST3" i="53"/>
  <c r="TD3" i="53"/>
  <c r="TN3" i="53"/>
  <c r="TX3" i="53"/>
  <c r="UH3" i="53"/>
  <c r="UR3" i="53"/>
  <c r="VB3" i="53"/>
  <c r="VL3" i="53"/>
  <c r="VV3" i="53"/>
  <c r="WF3" i="53"/>
  <c r="WP3" i="53"/>
  <c r="WZ3" i="53"/>
  <c r="XJ3" i="53"/>
  <c r="XT3" i="53"/>
  <c r="YD3" i="53"/>
  <c r="YN3" i="53"/>
  <c r="YX3" i="53"/>
  <c r="ZH3" i="53"/>
  <c r="ZR3" i="53"/>
  <c r="AAB3" i="53"/>
  <c r="AAL3" i="53"/>
  <c r="AAV3" i="53"/>
  <c r="ABF3" i="53"/>
  <c r="ABP3" i="53"/>
  <c r="ABZ3" i="53"/>
  <c r="ACJ3" i="53"/>
  <c r="ACT3" i="53"/>
  <c r="ADD3" i="53"/>
  <c r="ADN3" i="53"/>
  <c r="ADX3" i="53"/>
  <c r="AEH3" i="53"/>
  <c r="AER3" i="53"/>
  <c r="AFB3" i="53"/>
  <c r="AFL3" i="53"/>
  <c r="AFV3" i="53"/>
  <c r="AGF3" i="53"/>
  <c r="AGP3" i="53"/>
  <c r="AGZ3" i="53"/>
  <c r="AHJ3" i="53"/>
  <c r="AHT3" i="53"/>
  <c r="AID3" i="53"/>
  <c r="AIN3" i="53"/>
  <c r="AIX3" i="53"/>
  <c r="AJH3" i="53"/>
  <c r="AJR3" i="53"/>
  <c r="AKB3" i="53"/>
  <c r="AKL3" i="53"/>
  <c r="AKV3" i="53"/>
  <c r="ALF3" i="53"/>
  <c r="ALP3" i="53"/>
  <c r="ALZ3" i="53"/>
  <c r="AMJ3" i="53"/>
  <c r="AMT3" i="53"/>
  <c r="AND3" i="53"/>
  <c r="ANN3" i="53"/>
  <c r="ANX3" i="53"/>
  <c r="AOH3" i="53"/>
  <c r="AOR3" i="53"/>
  <c r="APB3" i="53"/>
  <c r="APL3" i="53"/>
  <c r="APV3" i="53"/>
  <c r="AQF3" i="53"/>
  <c r="AQP3" i="53"/>
  <c r="AQZ3" i="53"/>
  <c r="ARJ3" i="53"/>
  <c r="ART3" i="53"/>
  <c r="ASD3" i="53"/>
  <c r="ASN3" i="53"/>
  <c r="ASX3" i="53"/>
  <c r="ATH3" i="53"/>
  <c r="ATR3" i="53"/>
  <c r="AUB3" i="53"/>
  <c r="AUL3" i="53"/>
  <c r="AUV3" i="53"/>
  <c r="AVF3" i="53"/>
  <c r="AVP3" i="53"/>
  <c r="AVZ3" i="53"/>
  <c r="AWJ3" i="53"/>
  <c r="AWT3" i="53"/>
  <c r="AXD3" i="53"/>
  <c r="AXN3" i="53"/>
  <c r="AXX3" i="53"/>
  <c r="AYH3" i="53"/>
  <c r="AYR3" i="53"/>
  <c r="AZB3" i="53"/>
  <c r="AZL3" i="53"/>
  <c r="AZV3" i="53"/>
  <c r="BAF3" i="53"/>
  <c r="BAP3" i="53"/>
  <c r="BAZ3" i="53"/>
  <c r="BBJ3" i="53"/>
  <c r="BBT3" i="53"/>
  <c r="BCD3" i="53"/>
  <c r="BCN3" i="53"/>
  <c r="BCX3" i="53"/>
  <c r="BDH3" i="53"/>
  <c r="BDR3" i="53"/>
  <c r="BEB3" i="53"/>
  <c r="BEL3" i="53"/>
  <c r="BEV3" i="53"/>
  <c r="BFF3" i="53"/>
  <c r="BFP3" i="53"/>
  <c r="BFZ3" i="53"/>
  <c r="BGJ3" i="53"/>
  <c r="BGT3" i="53"/>
  <c r="BHD3" i="53"/>
  <c r="BHN3" i="53"/>
  <c r="BHX3" i="53"/>
  <c r="BIH3" i="53"/>
  <c r="BIR3" i="53"/>
  <c r="BJB3" i="53"/>
  <c r="BJL3" i="53"/>
  <c r="BJV3" i="53"/>
  <c r="BKF3" i="53"/>
  <c r="BKP3" i="53"/>
  <c r="BKZ3" i="53"/>
  <c r="BLJ3" i="53"/>
  <c r="BLT3" i="53"/>
  <c r="BMD3" i="53"/>
  <c r="BMN3" i="53"/>
  <c r="BMX3" i="53"/>
  <c r="BNH3" i="53"/>
  <c r="BNR3" i="53"/>
  <c r="BOB3" i="53"/>
  <c r="BOL3" i="53"/>
  <c r="BOV3" i="53"/>
  <c r="BPF3" i="53"/>
  <c r="BPP3" i="53"/>
  <c r="BPZ3" i="53"/>
  <c r="BQJ3" i="53"/>
  <c r="BQT3" i="53"/>
  <c r="BRD3" i="53"/>
  <c r="BRN3" i="53"/>
  <c r="BRX3" i="53"/>
  <c r="BSH3" i="53"/>
  <c r="BSR3" i="53"/>
  <c r="BTB3" i="53"/>
  <c r="BTL3" i="53"/>
  <c r="BTV3" i="53"/>
  <c r="BUF3" i="53"/>
  <c r="BUP3" i="53"/>
  <c r="BUZ3" i="53"/>
  <c r="BVJ3" i="53"/>
  <c r="BVT3" i="53"/>
  <c r="BWD3" i="53"/>
  <c r="BWN3" i="53"/>
  <c r="BWX3" i="53"/>
  <c r="BXH3" i="53"/>
  <c r="BXR3" i="53"/>
  <c r="BYB3" i="53"/>
  <c r="BYL3" i="53"/>
  <c r="BYV3" i="53"/>
  <c r="BZF3" i="53"/>
  <c r="BZP3" i="53"/>
  <c r="BZZ3" i="53"/>
  <c r="CAJ3" i="53"/>
  <c r="CAT3" i="53"/>
  <c r="CBD3" i="53"/>
  <c r="CBN3" i="53"/>
  <c r="CBX3" i="53"/>
  <c r="CCH3" i="53"/>
  <c r="CCR3" i="53"/>
  <c r="CDB3" i="53"/>
  <c r="CDL3" i="53"/>
  <c r="CDV3" i="53"/>
  <c r="CEF3" i="53"/>
  <c r="CEP3" i="53"/>
  <c r="CEZ3" i="53"/>
  <c r="CFJ3" i="53"/>
  <c r="CFT3" i="53"/>
  <c r="CGD3" i="53"/>
  <c r="CGN3" i="53"/>
  <c r="CGX3" i="53"/>
  <c r="CHH3" i="53"/>
  <c r="CHR3" i="53"/>
  <c r="CIB3" i="53"/>
  <c r="CIL3" i="53"/>
  <c r="CIV3" i="53"/>
  <c r="CJF3" i="53"/>
  <c r="CJP3" i="53"/>
  <c r="CJZ3" i="53"/>
  <c r="CKJ3" i="53"/>
  <c r="CKT3" i="53"/>
  <c r="CLD3" i="53"/>
  <c r="CLN3" i="53"/>
  <c r="CLX3" i="53"/>
  <c r="CMH3" i="53"/>
  <c r="CMR3" i="53"/>
  <c r="CNB3" i="53"/>
  <c r="CNL3" i="53"/>
  <c r="CNV3" i="53"/>
  <c r="COF3" i="53"/>
  <c r="COP3" i="53"/>
  <c r="COZ3" i="53"/>
  <c r="CPJ3" i="53"/>
  <c r="CPT3" i="53"/>
  <c r="CQD3" i="53"/>
  <c r="CQN3" i="53"/>
  <c r="CQX3" i="53"/>
  <c r="CRH3" i="53"/>
  <c r="CRR3" i="53"/>
  <c r="CSB3" i="53"/>
  <c r="CSL3" i="53"/>
  <c r="CSV3" i="53"/>
  <c r="CTF3" i="53"/>
  <c r="CTP3" i="53"/>
  <c r="CTZ3" i="53"/>
  <c r="CUJ3" i="53"/>
  <c r="CUT3" i="53"/>
  <c r="CVD3" i="53"/>
  <c r="CVN3" i="53"/>
  <c r="CVX3" i="53"/>
  <c r="CWH3" i="53"/>
  <c r="CWR3" i="53"/>
  <c r="CXB3" i="53"/>
  <c r="CXL3" i="53"/>
  <c r="CXV3" i="53"/>
  <c r="CYF3" i="53"/>
  <c r="CYP3" i="53"/>
  <c r="CYZ3" i="53"/>
  <c r="CZJ3" i="53"/>
  <c r="CZT3" i="53"/>
  <c r="DAD3" i="53"/>
  <c r="DAN3" i="53"/>
  <c r="DAX3" i="53"/>
  <c r="DBH3" i="53"/>
  <c r="DBR3" i="53"/>
  <c r="DCB3" i="53"/>
  <c r="DCL3" i="53"/>
  <c r="DCV3" i="53"/>
  <c r="DDF3" i="53"/>
  <c r="DDP3" i="53"/>
  <c r="DDZ3" i="53"/>
  <c r="DEJ3" i="53"/>
  <c r="DET3" i="53"/>
  <c r="DFD3" i="53"/>
  <c r="DFN3" i="53"/>
  <c r="DFX3" i="53"/>
  <c r="DGH3" i="53"/>
  <c r="DGR3" i="53"/>
  <c r="DHB3" i="53"/>
  <c r="DHL3" i="53"/>
  <c r="DHV3" i="53"/>
  <c r="DIF3" i="53"/>
  <c r="DIP3" i="53"/>
  <c r="DIZ3" i="53"/>
  <c r="DJJ3" i="53"/>
  <c r="DJT3" i="53"/>
  <c r="DKD3" i="53"/>
  <c r="DKN3" i="53"/>
  <c r="DKX3" i="53"/>
  <c r="DLH3" i="53"/>
  <c r="DLR3" i="53"/>
  <c r="DMB3" i="53"/>
  <c r="DML3" i="53"/>
  <c r="DMV3" i="53"/>
  <c r="DNF3" i="53"/>
  <c r="DNP3" i="53"/>
  <c r="DNZ3" i="53"/>
  <c r="DOJ3" i="53"/>
  <c r="DOT3" i="53"/>
  <c r="DPD3" i="53"/>
  <c r="DPN3" i="53"/>
  <c r="DPX3" i="53"/>
  <c r="DQH3" i="53"/>
  <c r="DQR3" i="53"/>
  <c r="DRB3" i="53"/>
  <c r="DRL3" i="53"/>
  <c r="DRV3" i="53"/>
  <c r="DSF3" i="53"/>
  <c r="DSP3" i="53"/>
  <c r="DSZ3" i="53"/>
  <c r="DTJ3" i="53"/>
  <c r="DTT3" i="53"/>
  <c r="DUD3" i="53"/>
  <c r="DUN3" i="53"/>
  <c r="DUX3" i="53"/>
  <c r="DVH3" i="53"/>
  <c r="DVR3" i="53"/>
  <c r="DWB3" i="53"/>
  <c r="DWW3" i="53"/>
  <c r="DXR3" i="53"/>
  <c r="DYM3" i="53"/>
  <c r="DZH3" i="53"/>
  <c r="EAC3" i="53"/>
  <c r="EAN3" i="53"/>
  <c r="EBI3" i="53"/>
  <c r="ECD3" i="53"/>
  <c r="ECY3" i="53"/>
  <c r="EDT3" i="53"/>
  <c r="EEO3" i="53"/>
  <c r="EFJ3" i="53"/>
  <c r="EGE3" i="53"/>
  <c r="EGZ3" i="53"/>
  <c r="EHU3" i="53"/>
  <c r="EIF3" i="53"/>
  <c r="EJA3" i="53"/>
  <c r="EJV3" i="53"/>
  <c r="EKQ3" i="53"/>
  <c r="ELL3" i="53"/>
  <c r="EMG3" i="53"/>
  <c r="ENB3" i="53"/>
  <c r="ENW3" i="53"/>
  <c r="EOR3" i="53"/>
  <c r="EPM3" i="53"/>
  <c r="EPX3" i="53"/>
  <c r="EQS3" i="53"/>
  <c r="ERN3" i="53"/>
  <c r="ESI3" i="53"/>
  <c r="ETD3" i="53"/>
  <c r="ETY3" i="53"/>
  <c r="EUT3" i="53"/>
  <c r="EVO3" i="53"/>
  <c r="EWJ3" i="53"/>
  <c r="EXE3" i="53"/>
  <c r="EXP3" i="53"/>
  <c r="EYK3" i="53"/>
  <c r="EZF3" i="53"/>
  <c r="FAA3" i="53"/>
  <c r="FAV3" i="53"/>
  <c r="FBQ3" i="53"/>
  <c r="FCL3" i="53"/>
  <c r="FDG3" i="53"/>
  <c r="FEB3" i="53"/>
  <c r="FEW3" i="53"/>
  <c r="FFH3" i="53"/>
  <c r="FGC3" i="53"/>
  <c r="FGX3" i="53"/>
  <c r="FHS3" i="53"/>
  <c r="OIF3" i="53"/>
  <c r="OIS3" i="53"/>
  <c r="OJS3" i="53"/>
  <c r="OKF3" i="53"/>
  <c r="OLG3" i="53"/>
  <c r="OLT3" i="53"/>
  <c r="OMS3" i="53"/>
  <c r="OOF3" i="53"/>
  <c r="OPT3" i="53"/>
  <c r="TGT3" i="53"/>
  <c r="THL3" i="53"/>
  <c r="TJF3" i="53"/>
  <c r="TJV3" i="53"/>
  <c r="TMI3" i="53"/>
  <c r="TMZ3" i="53"/>
  <c r="TPK3" i="53"/>
  <c r="TQA3" i="53"/>
  <c r="TSM3" i="53"/>
  <c r="TTD3" i="53"/>
  <c r="TVO3" i="53"/>
  <c r="TWD3" i="53"/>
  <c r="TWV3" i="53"/>
  <c r="TXL3" i="53"/>
  <c r="TYD3" i="53"/>
  <c r="TYS3" i="53"/>
  <c r="TZJ3" i="53"/>
  <c r="UAC3" i="53"/>
  <c r="UAR3" i="53"/>
  <c r="UBI3" i="53"/>
  <c r="UED3" i="53"/>
  <c r="UEU3" i="53"/>
  <c r="UHN3" i="53"/>
  <c r="UIF3" i="53"/>
  <c r="UKZ3" i="53"/>
  <c r="ULR3" i="53"/>
  <c r="UOI3" i="53"/>
  <c r="UPD3" i="53"/>
  <c r="URV3" i="53"/>
  <c r="USO3" i="53"/>
  <c r="UVH3" i="53"/>
  <c r="UVZ3" i="53"/>
  <c r="UWS3" i="53"/>
  <c r="UYG3" i="53"/>
  <c r="VCD3" i="53"/>
  <c r="VEK3" i="53"/>
  <c r="VFC3" i="53"/>
  <c r="VFW3" i="53"/>
  <c r="VGS3" i="53"/>
  <c r="VHM3" i="53"/>
  <c r="VIJ3" i="53"/>
  <c r="VJG3" i="53"/>
  <c r="VKC3" i="53"/>
  <c r="VLB3" i="53"/>
  <c r="VLZ3" i="53"/>
  <c r="VMV3" i="53"/>
  <c r="VNV3" i="53"/>
  <c r="VOS3" i="53"/>
  <c r="VPT3" i="53"/>
  <c r="VQR3" i="53"/>
  <c r="VRT3" i="53"/>
  <c r="VUW3" i="53"/>
  <c r="VVZ3" i="53"/>
  <c r="WAC3" i="53"/>
  <c r="WFK3" i="53"/>
  <c r="WGI3" i="53"/>
  <c r="WIQ3" i="53"/>
  <c r="WKV3" i="53"/>
  <c r="WOJ3" i="53"/>
  <c r="WPM3" i="53"/>
  <c r="WRV3" i="53"/>
  <c r="WUE3" i="53"/>
  <c r="WYY3" i="53"/>
  <c r="XBG3" i="53"/>
  <c r="XCM3" i="53"/>
  <c r="FII3" i="53"/>
  <c r="FIS3" i="53"/>
  <c r="FJC3" i="53"/>
  <c r="FJM3" i="53"/>
  <c r="FJW3" i="53"/>
  <c r="FKG3" i="53"/>
  <c r="FKQ3" i="53"/>
  <c r="FLA3" i="53"/>
  <c r="FLK3" i="53"/>
  <c r="FLU3" i="53"/>
  <c r="FME3" i="53"/>
  <c r="FMO3" i="53"/>
  <c r="FMY3" i="53"/>
  <c r="FNI3" i="53"/>
  <c r="FNS3" i="53"/>
  <c r="FOC3" i="53"/>
  <c r="FOM3" i="53"/>
  <c r="FOW3" i="53"/>
  <c r="FPG3" i="53"/>
  <c r="FPQ3" i="53"/>
  <c r="FQA3" i="53"/>
  <c r="FQK3" i="53"/>
  <c r="FQU3" i="53"/>
  <c r="FRE3" i="53"/>
  <c r="FRO3" i="53"/>
  <c r="FRY3" i="53"/>
  <c r="FSI3" i="53"/>
  <c r="FSS3" i="53"/>
  <c r="FTC3" i="53"/>
  <c r="FTM3" i="53"/>
  <c r="FTW3" i="53"/>
  <c r="FUG3" i="53"/>
  <c r="FUQ3" i="53"/>
  <c r="FVA3" i="53"/>
  <c r="FVK3" i="53"/>
  <c r="FVU3" i="53"/>
  <c r="FWE3" i="53"/>
  <c r="FWO3" i="53"/>
  <c r="FWY3" i="53"/>
  <c r="FXI3" i="53"/>
  <c r="FXS3" i="53"/>
  <c r="FYC3" i="53"/>
  <c r="FYM3" i="53"/>
  <c r="FYW3" i="53"/>
  <c r="FZG3" i="53"/>
  <c r="FZQ3" i="53"/>
  <c r="GAA3" i="53"/>
  <c r="GAK3" i="53"/>
  <c r="GAU3" i="53"/>
  <c r="GBE3" i="53"/>
  <c r="GBO3" i="53"/>
  <c r="GBY3" i="53"/>
  <c r="GCI3" i="53"/>
  <c r="GCS3" i="53"/>
  <c r="GDC3" i="53"/>
  <c r="GDM3" i="53"/>
  <c r="GDW3" i="53"/>
  <c r="GEG3" i="53"/>
  <c r="GEQ3" i="53"/>
  <c r="GFA3" i="53"/>
  <c r="GFK3" i="53"/>
  <c r="GFU3" i="53"/>
  <c r="GGE3" i="53"/>
  <c r="GGO3" i="53"/>
  <c r="GGY3" i="53"/>
  <c r="GHI3" i="53"/>
  <c r="GHS3" i="53"/>
  <c r="GIC3" i="53"/>
  <c r="GIM3" i="53"/>
  <c r="GIW3" i="53"/>
  <c r="GJG3" i="53"/>
  <c r="GJQ3" i="53"/>
  <c r="GKA3" i="53"/>
  <c r="GKK3" i="53"/>
  <c r="GKU3" i="53"/>
  <c r="GLE3" i="53"/>
  <c r="GLO3" i="53"/>
  <c r="GLY3" i="53"/>
  <c r="GMI3" i="53"/>
  <c r="GMS3" i="53"/>
  <c r="GNC3" i="53"/>
  <c r="GNM3" i="53"/>
  <c r="GNW3" i="53"/>
  <c r="GOG3" i="53"/>
  <c r="GOQ3" i="53"/>
  <c r="GPA3" i="53"/>
  <c r="GPK3" i="53"/>
  <c r="GPU3" i="53"/>
  <c r="GQE3" i="53"/>
  <c r="GQO3" i="53"/>
  <c r="GQY3" i="53"/>
  <c r="GRI3" i="53"/>
  <c r="GRS3" i="53"/>
  <c r="GSC3" i="53"/>
  <c r="GSM3" i="53"/>
  <c r="GSW3" i="53"/>
  <c r="GTG3" i="53"/>
  <c r="GTQ3" i="53"/>
  <c r="GUA3" i="53"/>
  <c r="GUK3" i="53"/>
  <c r="GUU3" i="53"/>
  <c r="GVE3" i="53"/>
  <c r="GVO3" i="53"/>
  <c r="GVY3" i="53"/>
  <c r="GWI3" i="53"/>
  <c r="GWS3" i="53"/>
  <c r="GXC3" i="53"/>
  <c r="GXM3" i="53"/>
  <c r="GXW3" i="53"/>
  <c r="GYG3" i="53"/>
  <c r="GYQ3" i="53"/>
  <c r="GZA3" i="53"/>
  <c r="GZK3" i="53"/>
  <c r="GZU3" i="53"/>
  <c r="HAE3" i="53"/>
  <c r="HAO3" i="53"/>
  <c r="HAY3" i="53"/>
  <c r="HBI3" i="53"/>
  <c r="HBS3" i="53"/>
  <c r="HCC3" i="53"/>
  <c r="HCM3" i="53"/>
  <c r="HCW3" i="53"/>
  <c r="HDG3" i="53"/>
  <c r="HDQ3" i="53"/>
  <c r="HEA3" i="53"/>
  <c r="HEK3" i="53"/>
  <c r="HEU3" i="53"/>
  <c r="HFE3" i="53"/>
  <c r="HFO3" i="53"/>
  <c r="HFY3" i="53"/>
  <c r="HGI3" i="53"/>
  <c r="HGS3" i="53"/>
  <c r="HHC3" i="53"/>
  <c r="HHM3" i="53"/>
  <c r="HHW3" i="53"/>
  <c r="HIG3" i="53"/>
  <c r="HIQ3" i="53"/>
  <c r="HJA3" i="53"/>
  <c r="HJK3" i="53"/>
  <c r="HJU3" i="53"/>
  <c r="HKE3" i="53"/>
  <c r="HKO3" i="53"/>
  <c r="HKY3" i="53"/>
  <c r="HLI3" i="53"/>
  <c r="HLS3" i="53"/>
  <c r="HMC3" i="53"/>
  <c r="HMM3" i="53"/>
  <c r="HMW3" i="53"/>
  <c r="HNG3" i="53"/>
  <c r="HNQ3" i="53"/>
  <c r="HOA3" i="53"/>
  <c r="HOK3" i="53"/>
  <c r="HOU3" i="53"/>
  <c r="HPE3" i="53"/>
  <c r="HPO3" i="53"/>
  <c r="HPY3" i="53"/>
  <c r="HQI3" i="53"/>
  <c r="HQS3" i="53"/>
  <c r="HRC3" i="53"/>
  <c r="HRM3" i="53"/>
  <c r="HRW3" i="53"/>
  <c r="HSG3" i="53"/>
  <c r="HSQ3" i="53"/>
  <c r="HTA3" i="53"/>
  <c r="HTK3" i="53"/>
  <c r="HTU3" i="53"/>
  <c r="HUE3" i="53"/>
  <c r="HUO3" i="53"/>
  <c r="HUY3" i="53"/>
  <c r="HVI3" i="53"/>
  <c r="HVS3" i="53"/>
  <c r="HWC3" i="53"/>
  <c r="HWM3" i="53"/>
  <c r="HWW3" i="53"/>
  <c r="HXG3" i="53"/>
  <c r="HXQ3" i="53"/>
  <c r="HYA3" i="53"/>
  <c r="HYK3" i="53"/>
  <c r="HYU3" i="53"/>
  <c r="HZE3" i="53"/>
  <c r="HZO3" i="53"/>
  <c r="HZY3" i="53"/>
  <c r="IAI3" i="53"/>
  <c r="IAS3" i="53"/>
  <c r="IBC3" i="53"/>
  <c r="IBM3" i="53"/>
  <c r="IBW3" i="53"/>
  <c r="ICG3" i="53"/>
  <c r="ICQ3" i="53"/>
  <c r="IDA3" i="53"/>
  <c r="IDK3" i="53"/>
  <c r="IDU3" i="53"/>
  <c r="IEE3" i="53"/>
  <c r="IEO3" i="53"/>
  <c r="IEY3" i="53"/>
  <c r="IFI3" i="53"/>
  <c r="IFS3" i="53"/>
  <c r="IGC3" i="53"/>
  <c r="IGM3" i="53"/>
  <c r="IGW3" i="53"/>
  <c r="IHG3" i="53"/>
  <c r="IHQ3" i="53"/>
  <c r="IIA3" i="53"/>
  <c r="IIK3" i="53"/>
  <c r="IIU3" i="53"/>
  <c r="IJE3" i="53"/>
  <c r="IJO3" i="53"/>
  <c r="IJY3" i="53"/>
  <c r="IKI3" i="53"/>
  <c r="IKS3" i="53"/>
  <c r="ILC3" i="53"/>
  <c r="ILM3" i="53"/>
  <c r="ILW3" i="53"/>
  <c r="IMG3" i="53"/>
  <c r="IMQ3" i="53"/>
  <c r="INA3" i="53"/>
  <c r="INK3" i="53"/>
  <c r="INU3" i="53"/>
  <c r="IOE3" i="53"/>
  <c r="IOO3" i="53"/>
  <c r="IOY3" i="53"/>
  <c r="IPI3" i="53"/>
  <c r="IPS3" i="53"/>
  <c r="IQC3" i="53"/>
  <c r="IQM3" i="53"/>
  <c r="IQW3" i="53"/>
  <c r="IRG3" i="53"/>
  <c r="IRQ3" i="53"/>
  <c r="ISA3" i="53"/>
  <c r="ISK3" i="53"/>
  <c r="ISU3" i="53"/>
  <c r="ITE3" i="53"/>
  <c r="ITO3" i="53"/>
  <c r="ITY3" i="53"/>
  <c r="IUI3" i="53"/>
  <c r="IUS3" i="53"/>
  <c r="IVC3" i="53"/>
  <c r="IVM3" i="53"/>
  <c r="IVW3" i="53"/>
  <c r="IWG3" i="53"/>
  <c r="IWQ3" i="53"/>
  <c r="IXA3" i="53"/>
  <c r="IXK3" i="53"/>
  <c r="IXU3" i="53"/>
  <c r="IYE3" i="53"/>
  <c r="IYO3" i="53"/>
  <c r="IYY3" i="53"/>
  <c r="IZI3" i="53"/>
  <c r="IZS3" i="53"/>
  <c r="JAC3" i="53"/>
  <c r="JAM3" i="53"/>
  <c r="JAW3" i="53"/>
  <c r="JBG3" i="53"/>
  <c r="JBQ3" i="53"/>
  <c r="JCA3" i="53"/>
  <c r="JCK3" i="53"/>
  <c r="JCU3" i="53"/>
  <c r="JDE3" i="53"/>
  <c r="JDO3" i="53"/>
  <c r="JDY3" i="53"/>
  <c r="JEI3" i="53"/>
  <c r="JES3" i="53"/>
  <c r="JFC3" i="53"/>
  <c r="JFM3" i="53"/>
  <c r="JFW3" i="53"/>
  <c r="JGG3" i="53"/>
  <c r="JGQ3" i="53"/>
  <c r="JHA3" i="53"/>
  <c r="JHK3" i="53"/>
  <c r="JHU3" i="53"/>
  <c r="JIE3" i="53"/>
  <c r="JIO3" i="53"/>
  <c r="JIY3" i="53"/>
  <c r="JJI3" i="53"/>
  <c r="JJS3" i="53"/>
  <c r="JKC3" i="53"/>
  <c r="JKM3" i="53"/>
  <c r="JKW3" i="53"/>
  <c r="JLG3" i="53"/>
  <c r="JLQ3" i="53"/>
  <c r="JMA3" i="53"/>
  <c r="JMK3" i="53"/>
  <c r="JMU3" i="53"/>
  <c r="JNE3" i="53"/>
  <c r="JNO3" i="53"/>
  <c r="JNY3" i="53"/>
  <c r="JOI3" i="53"/>
  <c r="JOS3" i="53"/>
  <c r="JPC3" i="53"/>
  <c r="JPM3" i="53"/>
  <c r="JPW3" i="53"/>
  <c r="JQG3" i="53"/>
  <c r="JQQ3" i="53"/>
  <c r="JRA3" i="53"/>
  <c r="JRK3" i="53"/>
  <c r="JRU3" i="53"/>
  <c r="JSE3" i="53"/>
  <c r="JSO3" i="53"/>
  <c r="JSY3" i="53"/>
  <c r="JTI3" i="53"/>
  <c r="JTS3" i="53"/>
  <c r="JUC3" i="53"/>
  <c r="JUM3" i="53"/>
  <c r="JUW3" i="53"/>
  <c r="JVG3" i="53"/>
  <c r="JVQ3" i="53"/>
  <c r="JWA3" i="53"/>
  <c r="JWK3" i="53"/>
  <c r="JWU3" i="53"/>
  <c r="JXE3" i="53"/>
  <c r="JXO3" i="53"/>
  <c r="JXY3" i="53"/>
  <c r="JYI3" i="53"/>
  <c r="JYS3" i="53"/>
  <c r="JZC3" i="53"/>
  <c r="JZM3" i="53"/>
  <c r="JZW3" i="53"/>
  <c r="KAG3" i="53"/>
  <c r="KAQ3" i="53"/>
  <c r="KBA3" i="53"/>
  <c r="KBK3" i="53"/>
  <c r="KBU3" i="53"/>
  <c r="KCE3" i="53"/>
  <c r="KCO3" i="53"/>
  <c r="KCY3" i="53"/>
  <c r="KDI3" i="53"/>
  <c r="KDS3" i="53"/>
  <c r="KEC3" i="53"/>
  <c r="KEM3" i="53"/>
  <c r="KEW3" i="53"/>
  <c r="KFG3" i="53"/>
  <c r="KFQ3" i="53"/>
  <c r="KGA3" i="53"/>
  <c r="KGK3" i="53"/>
  <c r="KGV3" i="53"/>
  <c r="KHG3" i="53"/>
  <c r="KHR3" i="53"/>
  <c r="KID3" i="53"/>
  <c r="KIO3" i="53"/>
  <c r="KIZ3" i="53"/>
  <c r="KJK3" i="53"/>
  <c r="KJV3" i="53"/>
  <c r="KKG3" i="53"/>
  <c r="KKR3" i="53"/>
  <c r="KLC3" i="53"/>
  <c r="KLN3" i="53"/>
  <c r="KLZ3" i="53"/>
  <c r="KMK3" i="53"/>
  <c r="KMV3" i="53"/>
  <c r="KNG3" i="53"/>
  <c r="KNR3" i="53"/>
  <c r="KOC3" i="53"/>
  <c r="KON3" i="53"/>
  <c r="KOY3" i="53"/>
  <c r="KPJ3" i="53"/>
  <c r="KPV3" i="53"/>
  <c r="KQG3" i="53"/>
  <c r="KQR3" i="53"/>
  <c r="KRC3" i="53"/>
  <c r="KRN3" i="53"/>
  <c r="KRY3" i="53"/>
  <c r="KSJ3" i="53"/>
  <c r="KSU3" i="53"/>
  <c r="KTF3" i="53"/>
  <c r="KTR3" i="53"/>
  <c r="KUC3" i="53"/>
  <c r="KUN3" i="53"/>
  <c r="KUY3" i="53"/>
  <c r="KVJ3" i="53"/>
  <c r="KVU3" i="53"/>
  <c r="KWF3" i="53"/>
  <c r="KWQ3" i="53"/>
  <c r="KXB3" i="53"/>
  <c r="KXN3" i="53"/>
  <c r="KXY3" i="53"/>
  <c r="KYJ3" i="53"/>
  <c r="KYU3" i="53"/>
  <c r="KZF3" i="53"/>
  <c r="KZQ3" i="53"/>
  <c r="LAB3" i="53"/>
  <c r="LAM3" i="53"/>
  <c r="LAX3" i="53"/>
  <c r="LBJ3" i="53"/>
  <c r="LBU3" i="53"/>
  <c r="LCF3" i="53"/>
  <c r="LCQ3" i="53"/>
  <c r="LDB3" i="53"/>
  <c r="LDM3" i="53"/>
  <c r="LDX3" i="53"/>
  <c r="LEI3" i="53"/>
  <c r="LET3" i="53"/>
  <c r="LFF3" i="53"/>
  <c r="LFQ3" i="53"/>
  <c r="LGB3" i="53"/>
  <c r="LGM3" i="53"/>
  <c r="LGX3" i="53"/>
  <c r="LHI3" i="53"/>
  <c r="LHT3" i="53"/>
  <c r="LIE3" i="53"/>
  <c r="LIP3" i="53"/>
  <c r="LJB3" i="53"/>
  <c r="LJM3" i="53"/>
  <c r="LJX3" i="53"/>
  <c r="LKI3" i="53"/>
  <c r="LKT3" i="53"/>
  <c r="LLE3" i="53"/>
  <c r="LLP3" i="53"/>
  <c r="LMA3" i="53"/>
  <c r="LML3" i="53"/>
  <c r="LMX3" i="53"/>
  <c r="LNI3" i="53"/>
  <c r="LNT3" i="53"/>
  <c r="LOE3" i="53"/>
  <c r="LOP3" i="53"/>
  <c r="LPA3" i="53"/>
  <c r="LPL3" i="53"/>
  <c r="LPW3" i="53"/>
  <c r="LQH3" i="53"/>
  <c r="LQT3" i="53"/>
  <c r="LRE3" i="53"/>
  <c r="LRP3" i="53"/>
  <c r="LSA3" i="53"/>
  <c r="LSL3" i="53"/>
  <c r="LSW3" i="53"/>
  <c r="LTH3" i="53"/>
  <c r="LTS3" i="53"/>
  <c r="LUD3" i="53"/>
  <c r="LUP3" i="53"/>
  <c r="LVA3" i="53"/>
  <c r="LVL3" i="53"/>
  <c r="LVW3" i="53"/>
  <c r="LWH3" i="53"/>
  <c r="LWS3" i="53"/>
  <c r="LXD3" i="53"/>
  <c r="LXO3" i="53"/>
  <c r="LXZ3" i="53"/>
  <c r="LYL3" i="53"/>
  <c r="LYW3" i="53"/>
  <c r="LZH3" i="53"/>
  <c r="LZS3" i="53"/>
  <c r="MAD3" i="53"/>
  <c r="MAO3" i="53"/>
  <c r="MAZ3" i="53"/>
  <c r="MBK3" i="53"/>
  <c r="MBV3" i="53"/>
  <c r="MCH3" i="53"/>
  <c r="MCS3" i="53"/>
  <c r="MDD3" i="53"/>
  <c r="MDO3" i="53"/>
  <c r="MDZ3" i="53"/>
  <c r="MEK3" i="53"/>
  <c r="MEV3" i="53"/>
  <c r="MFG3" i="53"/>
  <c r="MFR3" i="53"/>
  <c r="MGD3" i="53"/>
  <c r="MGO3" i="53"/>
  <c r="MGZ3" i="53"/>
  <c r="MHK3" i="53"/>
  <c r="MHV3" i="53"/>
  <c r="MIG3" i="53"/>
  <c r="MIR3" i="53"/>
  <c r="MJC3" i="53"/>
  <c r="MJN3" i="53"/>
  <c r="MJZ3" i="53"/>
  <c r="MKK3" i="53"/>
  <c r="MKV3" i="53"/>
  <c r="MLG3" i="53"/>
  <c r="MLR3" i="53"/>
  <c r="MMC3" i="53"/>
  <c r="MMN3" i="53"/>
  <c r="MMY3" i="53"/>
  <c r="MNJ3" i="53"/>
  <c r="MNV3" i="53"/>
  <c r="MOG3" i="53"/>
  <c r="MOR3" i="53"/>
  <c r="MPC3" i="53"/>
  <c r="MPN3" i="53"/>
  <c r="MPY3" i="53"/>
  <c r="MQJ3" i="53"/>
  <c r="MQU3" i="53"/>
  <c r="MRF3" i="53"/>
  <c r="MRR3" i="53"/>
  <c r="MSC3" i="53"/>
  <c r="MSN3" i="53"/>
  <c r="MSY3" i="53"/>
  <c r="MTJ3" i="53"/>
  <c r="MTU3" i="53"/>
  <c r="MUF3" i="53"/>
  <c r="MUQ3" i="53"/>
  <c r="MVB3" i="53"/>
  <c r="MVN3" i="53"/>
  <c r="MVY3" i="53"/>
  <c r="MWJ3" i="53"/>
  <c r="MWU3" i="53"/>
  <c r="MXF3" i="53"/>
  <c r="MXQ3" i="53"/>
  <c r="MYB3" i="53"/>
  <c r="MYM3" i="53"/>
  <c r="MYX3" i="53"/>
  <c r="MZJ3" i="53"/>
  <c r="MZU3" i="53"/>
  <c r="NAF3" i="53"/>
  <c r="NAQ3" i="53"/>
  <c r="NBB3" i="53"/>
  <c r="NBM3" i="53"/>
  <c r="NBX3" i="53"/>
  <c r="NCI3" i="53"/>
  <c r="NCT3" i="53"/>
  <c r="NDF3" i="53"/>
  <c r="NDQ3" i="53"/>
  <c r="NEB3" i="53"/>
  <c r="NEM3" i="53"/>
  <c r="NEX3" i="53"/>
  <c r="NFI3" i="53"/>
  <c r="NFT3" i="53"/>
  <c r="NGE3" i="53"/>
  <c r="NGP3" i="53"/>
  <c r="NHB3" i="53"/>
  <c r="NHM3" i="53"/>
  <c r="NHX3" i="53"/>
  <c r="NII3" i="53"/>
  <c r="NIT3" i="53"/>
  <c r="NJE3" i="53"/>
  <c r="NJP3" i="53"/>
  <c r="NKA3" i="53"/>
  <c r="NKL3" i="53"/>
  <c r="NKX3" i="53"/>
  <c r="NLI3" i="53"/>
  <c r="NLT3" i="53"/>
  <c r="NME3" i="53"/>
  <c r="NMP3" i="53"/>
  <c r="NNA3" i="53"/>
  <c r="NNL3" i="53"/>
  <c r="NNW3" i="53"/>
  <c r="NOH3" i="53"/>
  <c r="NOT3" i="53"/>
  <c r="NPE3" i="53"/>
  <c r="NPP3" i="53"/>
  <c r="NQA3" i="53"/>
  <c r="NQL3" i="53"/>
  <c r="NQW3" i="53"/>
  <c r="NRH3" i="53"/>
  <c r="NRS3" i="53"/>
  <c r="NSD3" i="53"/>
  <c r="NSP3" i="53"/>
  <c r="NTA3" i="53"/>
  <c r="NTL3" i="53"/>
  <c r="NTW3" i="53"/>
  <c r="NUH3" i="53"/>
  <c r="NUS3" i="53"/>
  <c r="NVD3" i="53"/>
  <c r="NVO3" i="53"/>
  <c r="NVZ3" i="53"/>
  <c r="NWL3" i="53"/>
  <c r="NWW3" i="53"/>
  <c r="NXH3" i="53"/>
  <c r="NXS3" i="53"/>
  <c r="NYD3" i="53"/>
  <c r="NYO3" i="53"/>
  <c r="NYZ3" i="53"/>
  <c r="NZK3" i="53"/>
  <c r="NZV3" i="53"/>
  <c r="OAH3" i="53"/>
  <c r="OAS3" i="53"/>
  <c r="OBD3" i="53"/>
  <c r="OBO3" i="53"/>
  <c r="OBZ3" i="53"/>
  <c r="OCK3" i="53"/>
  <c r="OCV3" i="53"/>
  <c r="ODG3" i="53"/>
  <c r="ODR3" i="53"/>
  <c r="OED3" i="53"/>
  <c r="OEO3" i="53"/>
  <c r="OEZ3" i="53"/>
  <c r="OFK3" i="53"/>
  <c r="OFV3" i="53"/>
  <c r="OGG3" i="53"/>
  <c r="OGR3" i="53"/>
  <c r="OHC3" i="53"/>
  <c r="OHN3" i="53"/>
  <c r="OIL3" i="53"/>
  <c r="OJI3" i="53"/>
  <c r="OJU3" i="53"/>
  <c r="OKR3" i="53"/>
  <c r="OLO3" i="53"/>
  <c r="OMY3" i="53"/>
  <c r="ONV3" i="53"/>
  <c r="OOS3" i="53"/>
  <c r="OPE3" i="53"/>
  <c r="OQC3" i="53"/>
  <c r="OQO3" i="53"/>
  <c r="ORA3" i="53"/>
  <c r="ORN3" i="53"/>
  <c r="ORZ3" i="53"/>
  <c r="OSL3" i="53"/>
  <c r="OSX3" i="53"/>
  <c r="OTK3" i="53"/>
  <c r="OTW3" i="53"/>
  <c r="OUJ3" i="53"/>
  <c r="OUV3" i="53"/>
  <c r="OVI3" i="53"/>
  <c r="OVU3" i="53"/>
  <c r="OWG3" i="53"/>
  <c r="OWS3" i="53"/>
  <c r="OXE3" i="53"/>
  <c r="OXR3" i="53"/>
  <c r="OYD3" i="53"/>
  <c r="OYQ3" i="53"/>
  <c r="OZC3" i="53"/>
  <c r="OZP3" i="53"/>
  <c r="PAB3" i="53"/>
  <c r="PAN3" i="53"/>
  <c r="PAZ3" i="53"/>
  <c r="PBM3" i="53"/>
  <c r="PBY3" i="53"/>
  <c r="PCK3" i="53"/>
  <c r="PCX3" i="53"/>
  <c r="PDK3" i="53"/>
  <c r="PDW3" i="53"/>
  <c r="PEI3" i="53"/>
  <c r="PEU3" i="53"/>
  <c r="PFG3" i="53"/>
  <c r="PFT3" i="53"/>
  <c r="PGF3" i="53"/>
  <c r="PGR3" i="53"/>
  <c r="PHE3" i="53"/>
  <c r="PHR3" i="53"/>
  <c r="PID3" i="53"/>
  <c r="PIP3" i="53"/>
  <c r="PJB3" i="53"/>
  <c r="PJO3" i="53"/>
  <c r="PKA3" i="53"/>
  <c r="PKM3" i="53"/>
  <c r="PKY3" i="53"/>
  <c r="PLM3" i="53"/>
  <c r="PLY3" i="53"/>
  <c r="PMK3" i="53"/>
  <c r="PMW3" i="53"/>
  <c r="PNI3" i="53"/>
  <c r="PNV3" i="53"/>
  <c r="POH3" i="53"/>
  <c r="POT3" i="53"/>
  <c r="PPF3" i="53"/>
  <c r="PPT3" i="53"/>
  <c r="PQF3" i="53"/>
  <c r="PQR3" i="53"/>
  <c r="PRD3" i="53"/>
  <c r="PRQ3" i="53"/>
  <c r="PSC3" i="53"/>
  <c r="PSO3" i="53"/>
  <c r="PTA3" i="53"/>
  <c r="PTM3" i="53"/>
  <c r="PUA3" i="53"/>
  <c r="PUM3" i="53"/>
  <c r="PUY3" i="53"/>
  <c r="PVK3" i="53"/>
  <c r="PVX3" i="53"/>
  <c r="PWJ3" i="53"/>
  <c r="PWV3" i="53"/>
  <c r="PXH3" i="53"/>
  <c r="PXU3" i="53"/>
  <c r="PYH3" i="53"/>
  <c r="PYT3" i="53"/>
  <c r="PZF3" i="53"/>
  <c r="PZS3" i="53"/>
  <c r="QAE3" i="53"/>
  <c r="QAQ3" i="53"/>
  <c r="QBC3" i="53"/>
  <c r="QBO3" i="53"/>
  <c r="QCB3" i="53"/>
  <c r="QCO3" i="53"/>
  <c r="QDA3" i="53"/>
  <c r="QDM3" i="53"/>
  <c r="QDZ3" i="53"/>
  <c r="QEL3" i="53"/>
  <c r="QEX3" i="53"/>
  <c r="QFJ3" i="53"/>
  <c r="QFW3" i="53"/>
  <c r="QGI3" i="53"/>
  <c r="QGV3" i="53"/>
  <c r="QHH3" i="53"/>
  <c r="QHU3" i="53"/>
  <c r="QIG3" i="53"/>
  <c r="QIS3" i="53"/>
  <c r="QJE3" i="53"/>
  <c r="QJQ3" i="53"/>
  <c r="QKD3" i="53"/>
  <c r="QKP3" i="53"/>
  <c r="QLC3" i="53"/>
  <c r="QLO3" i="53"/>
  <c r="QMB3" i="53"/>
  <c r="QMN3" i="53"/>
  <c r="QMZ3" i="53"/>
  <c r="QNL3" i="53"/>
  <c r="QNY3" i="53"/>
  <c r="QOM3" i="53"/>
  <c r="QOZ3" i="53"/>
  <c r="QPN3" i="53"/>
  <c r="QQC3" i="53"/>
  <c r="QQP3" i="53"/>
  <c r="QRC3" i="53"/>
  <c r="QRQ3" i="53"/>
  <c r="QSD3" i="53"/>
  <c r="QSS3" i="53"/>
  <c r="QTF3" i="53"/>
  <c r="QTS3" i="53"/>
  <c r="QUH3" i="53"/>
  <c r="QUV3" i="53"/>
  <c r="QVI3" i="53"/>
  <c r="QVW3" i="53"/>
  <c r="QWJ3" i="53"/>
  <c r="QWY3" i="53"/>
  <c r="QXL3" i="53"/>
  <c r="QXY3" i="53"/>
  <c r="QYM3" i="53"/>
  <c r="QZB3" i="53"/>
  <c r="QZO3" i="53"/>
  <c r="RAC3" i="53"/>
  <c r="RAP3" i="53"/>
  <c r="RBC3" i="53"/>
  <c r="RBR3" i="53"/>
  <c r="RCE3" i="53"/>
  <c r="RCS3" i="53"/>
  <c r="RDF3" i="53"/>
  <c r="RDU3" i="53"/>
  <c r="REI3" i="53"/>
  <c r="REV3" i="53"/>
  <c r="RFI3" i="53"/>
  <c r="RFX3" i="53"/>
  <c r="RGK3" i="53"/>
  <c r="RGY3" i="53"/>
  <c r="RHL3" i="53"/>
  <c r="RHY3" i="53"/>
  <c r="RIO3" i="53"/>
  <c r="RJB3" i="53"/>
  <c r="RJO3" i="53"/>
  <c r="RKC3" i="53"/>
  <c r="RKQ3" i="53"/>
  <c r="RLE3" i="53"/>
  <c r="RLR3" i="53"/>
  <c r="RME3" i="53"/>
  <c r="RMT3" i="53"/>
  <c r="RNH3" i="53"/>
  <c r="RNU3" i="53"/>
  <c r="ROI3" i="53"/>
  <c r="ROW3" i="53"/>
  <c r="RPK3" i="53"/>
  <c r="RPX3" i="53"/>
  <c r="RQK3" i="53"/>
  <c r="RQY3" i="53"/>
  <c r="RRM3" i="53"/>
  <c r="RSA3" i="53"/>
  <c r="RSO3" i="53"/>
  <c r="RTB3" i="53"/>
  <c r="RTQ3" i="53"/>
  <c r="RUD3" i="53"/>
  <c r="RUQ3" i="53"/>
  <c r="RVE3" i="53"/>
  <c r="RVS3" i="53"/>
  <c r="RWF3" i="53"/>
  <c r="RWU3" i="53"/>
  <c r="RXH3" i="53"/>
  <c r="RXW3" i="53"/>
  <c r="RYJ3" i="53"/>
  <c r="RYW3" i="53"/>
  <c r="RZK3" i="53"/>
  <c r="RZX3" i="53"/>
  <c r="SAL3" i="53"/>
  <c r="SAZ3" i="53"/>
  <c r="SBN3" i="53"/>
  <c r="SCA3" i="53"/>
  <c r="SCP3" i="53"/>
  <c r="SDC3" i="53"/>
  <c r="SDQ3" i="53"/>
  <c r="SED3" i="53"/>
  <c r="SER3" i="53"/>
  <c r="SFF3" i="53"/>
  <c r="SFS3" i="53"/>
  <c r="SGG3" i="53"/>
  <c r="SGV3" i="53"/>
  <c r="SHI3" i="53"/>
  <c r="SHW3" i="53"/>
  <c r="SIJ3" i="53"/>
  <c r="SIW3" i="53"/>
  <c r="SJL3" i="53"/>
  <c r="SJY3" i="53"/>
  <c r="SKL3" i="53"/>
  <c r="SLA3" i="53"/>
  <c r="SLO3" i="53"/>
  <c r="SMC3" i="53"/>
  <c r="SMP3" i="53"/>
  <c r="SNC3" i="53"/>
  <c r="SNR3" i="53"/>
  <c r="SOE3" i="53"/>
  <c r="SOR3" i="53"/>
  <c r="SPF3" i="53"/>
  <c r="SPU3" i="53"/>
  <c r="SQI3" i="53"/>
  <c r="SQV3" i="53"/>
  <c r="SRI3" i="53"/>
  <c r="SRW3" i="53"/>
  <c r="SSK3" i="53"/>
  <c r="SSX3" i="53"/>
  <c r="STL3" i="53"/>
  <c r="STY3" i="53"/>
  <c r="SUO3" i="53"/>
  <c r="SVB3" i="53"/>
  <c r="SVO3" i="53"/>
  <c r="SWC3" i="53"/>
  <c r="SWQ3" i="53"/>
  <c r="SXD3" i="53"/>
  <c r="SXR3" i="53"/>
  <c r="SYE3" i="53"/>
  <c r="SYR3" i="53"/>
  <c r="SZH3" i="53"/>
  <c r="SZU3" i="53"/>
  <c r="TAI3" i="53"/>
  <c r="TAV3" i="53"/>
  <c r="TBJ3" i="53"/>
  <c r="TBX3" i="53"/>
  <c r="TCK3" i="53"/>
  <c r="TCX3" i="53"/>
  <c r="TDM3" i="53"/>
  <c r="TEA3" i="53"/>
  <c r="TEO3" i="53"/>
  <c r="TFB3" i="53"/>
  <c r="TFP3" i="53"/>
  <c r="TGD3" i="53"/>
  <c r="TGQ3" i="53"/>
  <c r="THE3" i="53"/>
  <c r="TIX3" i="53"/>
  <c r="TJL3" i="53"/>
  <c r="TLC3" i="53"/>
  <c r="TMT3" i="53"/>
  <c r="TNH3" i="53"/>
  <c r="TPA3" i="53"/>
  <c r="TPO3" i="53"/>
  <c r="TQQ3" i="53"/>
  <c r="TRE3" i="53"/>
  <c r="TSW3" i="53"/>
  <c r="TTL3" i="53"/>
  <c r="TVC3" i="53"/>
  <c r="TWT3" i="53"/>
  <c r="UCB3" i="53"/>
  <c r="UCR3" i="53"/>
  <c r="UEP3" i="53"/>
  <c r="UFE3" i="53"/>
  <c r="UHA3" i="53"/>
  <c r="UIX3" i="53"/>
  <c r="UJN3" i="53"/>
  <c r="ULI3" i="53"/>
  <c r="UNE3" i="53"/>
  <c r="UNT3" i="53"/>
  <c r="UPQ3" i="53"/>
  <c r="UQH3" i="53"/>
  <c r="URM3" i="53"/>
  <c r="USD3" i="53"/>
  <c r="UUA3" i="53"/>
  <c r="UUP3" i="53"/>
  <c r="UXE3" i="53"/>
  <c r="VBY3" i="53"/>
  <c r="VCR3" i="53"/>
  <c r="VDI3" i="53"/>
  <c r="VEA3" i="53"/>
  <c r="VML3" i="53"/>
  <c r="VPB3" i="53"/>
  <c r="VTQ3" i="53"/>
  <c r="VUL3" i="53"/>
  <c r="VVL3" i="53"/>
  <c r="VWK3" i="53"/>
  <c r="VZH3" i="53"/>
  <c r="WCC3" i="53"/>
  <c r="WEB3" i="53"/>
  <c r="WFW3" i="53"/>
  <c r="WIS3" i="53"/>
  <c r="WJV3" i="53"/>
  <c r="WPA3" i="53"/>
  <c r="WRB3" i="53"/>
  <c r="WTD3" i="53"/>
  <c r="WXO3" i="53"/>
  <c r="WYM3" i="53"/>
  <c r="XDT3" i="53"/>
  <c r="OIA3" i="53"/>
  <c r="OIX3" i="53"/>
  <c r="OKG3" i="53"/>
  <c r="OLD3" i="53"/>
  <c r="OMB3" i="53"/>
  <c r="OMN3" i="53"/>
  <c r="ONK3" i="53"/>
  <c r="OOH3" i="53"/>
  <c r="OPQ3" i="53"/>
  <c r="TGR3" i="53"/>
  <c r="THT3" i="53"/>
  <c r="TII3" i="53"/>
  <c r="TJZ3" i="53"/>
  <c r="TKP3" i="53"/>
  <c r="TLQ3" i="53"/>
  <c r="TMF3" i="53"/>
  <c r="TNX3" i="53"/>
  <c r="TOL3" i="53"/>
  <c r="TQC3" i="53"/>
  <c r="TQR3" i="53"/>
  <c r="TRT3" i="53"/>
  <c r="TSI3" i="53"/>
  <c r="TUA3" i="53"/>
  <c r="TUO3" i="53"/>
  <c r="TVQ3" i="53"/>
  <c r="TWF3" i="53"/>
  <c r="TXI3" i="53"/>
  <c r="TXY3" i="53"/>
  <c r="TYO3" i="53"/>
  <c r="TZC3" i="53"/>
  <c r="TZS3" i="53"/>
  <c r="UAG3" i="53"/>
  <c r="UAV3" i="53"/>
  <c r="UBN3" i="53"/>
  <c r="UDI3" i="53"/>
  <c r="UDZ3" i="53"/>
  <c r="UFU3" i="53"/>
  <c r="UGL3" i="53"/>
  <c r="UHP3" i="53"/>
  <c r="UIG3" i="53"/>
  <c r="UKD3" i="53"/>
  <c r="UKT3" i="53"/>
  <c r="UMO3" i="53"/>
  <c r="UOM3" i="53"/>
  <c r="UPC3" i="53"/>
  <c r="UQY3" i="53"/>
  <c r="USS3" i="53"/>
  <c r="UTI3" i="53"/>
  <c r="UVG3" i="53"/>
  <c r="UVV3" i="53"/>
  <c r="UWM3" i="53"/>
  <c r="UYM3" i="53"/>
  <c r="UZF3" i="53"/>
  <c r="UZY3" i="53"/>
  <c r="VAQ3" i="53"/>
  <c r="VBI3" i="53"/>
  <c r="VER3" i="53"/>
  <c r="VFL3" i="53"/>
  <c r="VGG3" i="53"/>
  <c r="VGY3" i="53"/>
  <c r="VHQ3" i="53"/>
  <c r="VIM3" i="53"/>
  <c r="VJF3" i="53"/>
  <c r="VJZ3" i="53"/>
  <c r="VKV3" i="53"/>
  <c r="VLQ3" i="53"/>
  <c r="VNI3" i="53"/>
  <c r="VOE3" i="53"/>
  <c r="VPY3" i="53"/>
  <c r="VQS3" i="53"/>
  <c r="VRS3" i="53"/>
  <c r="VSP3" i="53"/>
  <c r="VXK3" i="53"/>
  <c r="WAD3" i="53"/>
  <c r="WBE3" i="53"/>
  <c r="WDA3" i="53"/>
  <c r="WEY3" i="53"/>
  <c r="WHW3" i="53"/>
  <c r="WKU3" i="53"/>
  <c r="WLW3" i="53"/>
  <c r="WMY3" i="53"/>
  <c r="WQB3" i="53"/>
  <c r="WRC3" i="53"/>
  <c r="WUH3" i="53"/>
  <c r="WVH3" i="53"/>
  <c r="WZO3" i="53"/>
  <c r="XCU3" i="53"/>
  <c r="XEU3" i="53"/>
  <c r="KGO3" i="53"/>
  <c r="KGY3" i="53"/>
  <c r="KHI3" i="53"/>
  <c r="KHS3" i="53"/>
  <c r="KIC3" i="53"/>
  <c r="KIM3" i="53"/>
  <c r="KIW3" i="53"/>
  <c r="KJG3" i="53"/>
  <c r="KJQ3" i="53"/>
  <c r="KKA3" i="53"/>
  <c r="KKK3" i="53"/>
  <c r="KKU3" i="53"/>
  <c r="KLE3" i="53"/>
  <c r="KLO3" i="53"/>
  <c r="KLY3" i="53"/>
  <c r="KMI3" i="53"/>
  <c r="KMS3" i="53"/>
  <c r="KNC3" i="53"/>
  <c r="KNM3" i="53"/>
  <c r="KNW3" i="53"/>
  <c r="KOG3" i="53"/>
  <c r="KOQ3" i="53"/>
  <c r="KPA3" i="53"/>
  <c r="KPK3" i="53"/>
  <c r="KPU3" i="53"/>
  <c r="KQE3" i="53"/>
  <c r="KQO3" i="53"/>
  <c r="KQY3" i="53"/>
  <c r="KRI3" i="53"/>
  <c r="KRS3" i="53"/>
  <c r="KSC3" i="53"/>
  <c r="KSM3" i="53"/>
  <c r="KSW3" i="53"/>
  <c r="KTG3" i="53"/>
  <c r="KTQ3" i="53"/>
  <c r="KUA3" i="53"/>
  <c r="KUK3" i="53"/>
  <c r="KUU3" i="53"/>
  <c r="KVE3" i="53"/>
  <c r="KVO3" i="53"/>
  <c r="KVY3" i="53"/>
  <c r="KWI3" i="53"/>
  <c r="KWS3" i="53"/>
  <c r="KXC3" i="53"/>
  <c r="KXM3" i="53"/>
  <c r="KXW3" i="53"/>
  <c r="KYG3" i="53"/>
  <c r="KYQ3" i="53"/>
  <c r="KZA3" i="53"/>
  <c r="KZK3" i="53"/>
  <c r="KZU3" i="53"/>
  <c r="LAE3" i="53"/>
  <c r="LAO3" i="53"/>
  <c r="LAY3" i="53"/>
  <c r="LBI3" i="53"/>
  <c r="LBS3" i="53"/>
  <c r="LCC3" i="53"/>
  <c r="LCM3" i="53"/>
  <c r="LCW3" i="53"/>
  <c r="LDG3" i="53"/>
  <c r="LDQ3" i="53"/>
  <c r="LEA3" i="53"/>
  <c r="LEK3" i="53"/>
  <c r="LEU3" i="53"/>
  <c r="LFE3" i="53"/>
  <c r="LFO3" i="53"/>
  <c r="LFY3" i="53"/>
  <c r="LGI3" i="53"/>
  <c r="LGS3" i="53"/>
  <c r="LHC3" i="53"/>
  <c r="LHM3" i="53"/>
  <c r="LHW3" i="53"/>
  <c r="LIG3" i="53"/>
  <c r="LIQ3" i="53"/>
  <c r="LJA3" i="53"/>
  <c r="LJK3" i="53"/>
  <c r="LJU3" i="53"/>
  <c r="LKE3" i="53"/>
  <c r="LKO3" i="53"/>
  <c r="LKY3" i="53"/>
  <c r="LLI3" i="53"/>
  <c r="LLS3" i="53"/>
  <c r="LMC3" i="53"/>
  <c r="LMM3" i="53"/>
  <c r="LMW3" i="53"/>
  <c r="LNG3" i="53"/>
  <c r="LNQ3" i="53"/>
  <c r="LOA3" i="53"/>
  <c r="LOK3" i="53"/>
  <c r="LOU3" i="53"/>
  <c r="LPE3" i="53"/>
  <c r="LPO3" i="53"/>
  <c r="LPY3" i="53"/>
  <c r="LQI3" i="53"/>
  <c r="LQS3" i="53"/>
  <c r="LRC3" i="53"/>
  <c r="LRM3" i="53"/>
  <c r="LRW3" i="53"/>
  <c r="LSG3" i="53"/>
  <c r="LSQ3" i="53"/>
  <c r="LTA3" i="53"/>
  <c r="LTK3" i="53"/>
  <c r="LTU3" i="53"/>
  <c r="LUE3" i="53"/>
  <c r="LUO3" i="53"/>
  <c r="LUY3" i="53"/>
  <c r="LVI3" i="53"/>
  <c r="LVS3" i="53"/>
  <c r="LWC3" i="53"/>
  <c r="LWM3" i="53"/>
  <c r="LWW3" i="53"/>
  <c r="LXG3" i="53"/>
  <c r="LXQ3" i="53"/>
  <c r="LYA3" i="53"/>
  <c r="LYK3" i="53"/>
  <c r="LYU3" i="53"/>
  <c r="LZE3" i="53"/>
  <c r="LZO3" i="53"/>
  <c r="LZY3" i="53"/>
  <c r="MAI3" i="53"/>
  <c r="MAS3" i="53"/>
  <c r="MBC3" i="53"/>
  <c r="MBM3" i="53"/>
  <c r="MBW3" i="53"/>
  <c r="MCG3" i="53"/>
  <c r="MCQ3" i="53"/>
  <c r="MDA3" i="53"/>
  <c r="MDK3" i="53"/>
  <c r="MDU3" i="53"/>
  <c r="MEE3" i="53"/>
  <c r="MEO3" i="53"/>
  <c r="MEY3" i="53"/>
  <c r="MFI3" i="53"/>
  <c r="MFS3" i="53"/>
  <c r="MGC3" i="53"/>
  <c r="MGM3" i="53"/>
  <c r="MGW3" i="53"/>
  <c r="MHG3" i="53"/>
  <c r="MHQ3" i="53"/>
  <c r="MIA3" i="53"/>
  <c r="MIK3" i="53"/>
  <c r="MIU3" i="53"/>
  <c r="MJE3" i="53"/>
  <c r="MJO3" i="53"/>
  <c r="MJY3" i="53"/>
  <c r="MKI3" i="53"/>
  <c r="MKS3" i="53"/>
  <c r="MLC3" i="53"/>
  <c r="MLM3" i="53"/>
  <c r="MLW3" i="53"/>
  <c r="MMG3" i="53"/>
  <c r="MMQ3" i="53"/>
  <c r="MNA3" i="53"/>
  <c r="MNK3" i="53"/>
  <c r="MNU3" i="53"/>
  <c r="MOE3" i="53"/>
  <c r="MOO3" i="53"/>
  <c r="MOY3" i="53"/>
  <c r="MPI3" i="53"/>
  <c r="MPS3" i="53"/>
  <c r="MQC3" i="53"/>
  <c r="MQM3" i="53"/>
  <c r="MQW3" i="53"/>
  <c r="MRG3" i="53"/>
  <c r="MRQ3" i="53"/>
  <c r="MSA3" i="53"/>
  <c r="MSK3" i="53"/>
  <c r="MSU3" i="53"/>
  <c r="MTE3" i="53"/>
  <c r="MTO3" i="53"/>
  <c r="MTY3" i="53"/>
  <c r="MUI3" i="53"/>
  <c r="MUS3" i="53"/>
  <c r="MVC3" i="53"/>
  <c r="MVM3" i="53"/>
  <c r="MVW3" i="53"/>
  <c r="MWG3" i="53"/>
  <c r="MWQ3" i="53"/>
  <c r="MXA3" i="53"/>
  <c r="MXK3" i="53"/>
  <c r="MXU3" i="53"/>
  <c r="MYE3" i="53"/>
  <c r="MYO3" i="53"/>
  <c r="MYY3" i="53"/>
  <c r="MZI3" i="53"/>
  <c r="MZS3" i="53"/>
  <c r="NAC3" i="53"/>
  <c r="NAM3" i="53"/>
  <c r="NAW3" i="53"/>
  <c r="NBG3" i="53"/>
  <c r="NBQ3" i="53"/>
  <c r="NCA3" i="53"/>
  <c r="NCK3" i="53"/>
  <c r="NCU3" i="53"/>
  <c r="NDE3" i="53"/>
  <c r="NDO3" i="53"/>
  <c r="NDY3" i="53"/>
  <c r="NEI3" i="53"/>
  <c r="NES3" i="53"/>
  <c r="NFC3" i="53"/>
  <c r="NFM3" i="53"/>
  <c r="NFW3" i="53"/>
  <c r="NGG3" i="53"/>
  <c r="NGQ3" i="53"/>
  <c r="NHA3" i="53"/>
  <c r="NHK3" i="53"/>
  <c r="NHU3" i="53"/>
  <c r="NIE3" i="53"/>
  <c r="NIO3" i="53"/>
  <c r="NIY3" i="53"/>
  <c r="NJI3" i="53"/>
  <c r="NJS3" i="53"/>
  <c r="NKC3" i="53"/>
  <c r="NKM3" i="53"/>
  <c r="NKW3" i="53"/>
  <c r="NLG3" i="53"/>
  <c r="NLQ3" i="53"/>
  <c r="NMA3" i="53"/>
  <c r="NMK3" i="53"/>
  <c r="NMU3" i="53"/>
  <c r="NNE3" i="53"/>
  <c r="NNO3" i="53"/>
  <c r="NNY3" i="53"/>
  <c r="NOI3" i="53"/>
  <c r="NOS3" i="53"/>
  <c r="NPC3" i="53"/>
  <c r="NPM3" i="53"/>
  <c r="NPW3" i="53"/>
  <c r="NQG3" i="53"/>
  <c r="NQQ3" i="53"/>
  <c r="NRA3" i="53"/>
  <c r="NRK3" i="53"/>
  <c r="NRU3" i="53"/>
  <c r="NSE3" i="53"/>
  <c r="NSO3" i="53"/>
  <c r="NSY3" i="53"/>
  <c r="NTI3" i="53"/>
  <c r="NTS3" i="53"/>
  <c r="NUC3" i="53"/>
  <c r="NUM3" i="53"/>
  <c r="NUW3" i="53"/>
  <c r="NVG3" i="53"/>
  <c r="NVQ3" i="53"/>
  <c r="NWA3" i="53"/>
  <c r="NWK3" i="53"/>
  <c r="NWU3" i="53"/>
  <c r="NXE3" i="53"/>
  <c r="NXO3" i="53"/>
  <c r="NXY3" i="53"/>
  <c r="NYI3" i="53"/>
  <c r="NYS3" i="53"/>
  <c r="NZC3" i="53"/>
  <c r="NZM3" i="53"/>
  <c r="NZW3" i="53"/>
  <c r="OAG3" i="53"/>
  <c r="OAQ3" i="53"/>
  <c r="OBA3" i="53"/>
  <c r="OBK3" i="53"/>
  <c r="OBU3" i="53"/>
  <c r="OCE3" i="53"/>
  <c r="OCO3" i="53"/>
  <c r="OCY3" i="53"/>
  <c r="ODI3" i="53"/>
  <c r="ODS3" i="53"/>
  <c r="OEC3" i="53"/>
  <c r="OEM3" i="53"/>
  <c r="OEW3" i="53"/>
  <c r="OFG3" i="53"/>
  <c r="OFQ3" i="53"/>
  <c r="OGA3" i="53"/>
  <c r="OGK3" i="53"/>
  <c r="OGU3" i="53"/>
  <c r="OHE3" i="53"/>
  <c r="OHO3" i="53"/>
  <c r="OIJ3" i="53"/>
  <c r="OJE3" i="53"/>
  <c r="OJZ3" i="53"/>
  <c r="OKU3" i="53"/>
  <c r="OLP3" i="53"/>
  <c r="OMK3" i="53"/>
  <c r="ONF3" i="53"/>
  <c r="ONQ3" i="53"/>
  <c r="OOL3" i="53"/>
  <c r="OPG3" i="53"/>
  <c r="OQB3" i="53"/>
  <c r="OQM3" i="53"/>
  <c r="OQX3" i="53"/>
  <c r="ORI3" i="53"/>
  <c r="ORT3" i="53"/>
  <c r="OSE3" i="53"/>
  <c r="OSQ3" i="53"/>
  <c r="OTB3" i="53"/>
  <c r="OTM3" i="53"/>
  <c r="OTX3" i="53"/>
  <c r="OUI3" i="53"/>
  <c r="OUT3" i="53"/>
  <c r="OVE3" i="53"/>
  <c r="OVP3" i="53"/>
  <c r="OWA3" i="53"/>
  <c r="OWM3" i="53"/>
  <c r="OWX3" i="53"/>
  <c r="OXI3" i="53"/>
  <c r="OXT3" i="53"/>
  <c r="OYE3" i="53"/>
  <c r="OYP3" i="53"/>
  <c r="OZA3" i="53"/>
  <c r="OZL3" i="53"/>
  <c r="OZW3" i="53"/>
  <c r="PAI3" i="53"/>
  <c r="PAT3" i="53"/>
  <c r="PBE3" i="53"/>
  <c r="PBP3" i="53"/>
  <c r="PCA3" i="53"/>
  <c r="PCL3" i="53"/>
  <c r="PCW3" i="53"/>
  <c r="PDH3" i="53"/>
  <c r="PDS3" i="53"/>
  <c r="PEE3" i="53"/>
  <c r="PEP3" i="53"/>
  <c r="PFA3" i="53"/>
  <c r="PFL3" i="53"/>
  <c r="PFW3" i="53"/>
  <c r="PGH3" i="53"/>
  <c r="PGS3" i="53"/>
  <c r="PHD3" i="53"/>
  <c r="PHO3" i="53"/>
  <c r="PIA3" i="53"/>
  <c r="PIL3" i="53"/>
  <c r="PIW3" i="53"/>
  <c r="PJH3" i="53"/>
  <c r="PJS3" i="53"/>
  <c r="PKD3" i="53"/>
  <c r="PKO3" i="53"/>
  <c r="PKZ3" i="53"/>
  <c r="PLK3" i="53"/>
  <c r="PLW3" i="53"/>
  <c r="PMH3" i="53"/>
  <c r="PMS3" i="53"/>
  <c r="PND3" i="53"/>
  <c r="PNO3" i="53"/>
  <c r="PNZ3" i="53"/>
  <c r="POK3" i="53"/>
  <c r="POV3" i="53"/>
  <c r="PPG3" i="53"/>
  <c r="PPS3" i="53"/>
  <c r="PQD3" i="53"/>
  <c r="PQO3" i="53"/>
  <c r="PQZ3" i="53"/>
  <c r="PRK3" i="53"/>
  <c r="PRV3" i="53"/>
  <c r="PSG3" i="53"/>
  <c r="PSR3" i="53"/>
  <c r="PTC3" i="53"/>
  <c r="PTO3" i="53"/>
  <c r="PTZ3" i="53"/>
  <c r="PUK3" i="53"/>
  <c r="PUV3" i="53"/>
  <c r="PVG3" i="53"/>
  <c r="PVR3" i="53"/>
  <c r="PWC3" i="53"/>
  <c r="PWN3" i="53"/>
  <c r="PWY3" i="53"/>
  <c r="PXK3" i="53"/>
  <c r="PXV3" i="53"/>
  <c r="PYG3" i="53"/>
  <c r="PYR3" i="53"/>
  <c r="PZC3" i="53"/>
  <c r="PZN3" i="53"/>
  <c r="PZY3" i="53"/>
  <c r="QAJ3" i="53"/>
  <c r="QAU3" i="53"/>
  <c r="QBG3" i="53"/>
  <c r="QBR3" i="53"/>
  <c r="QCC3" i="53"/>
  <c r="QCN3" i="53"/>
  <c r="QCY3" i="53"/>
  <c r="QDJ3" i="53"/>
  <c r="QDU3" i="53"/>
  <c r="QEF3" i="53"/>
  <c r="QEQ3" i="53"/>
  <c r="QFC3" i="53"/>
  <c r="QFN3" i="53"/>
  <c r="QFY3" i="53"/>
  <c r="QGJ3" i="53"/>
  <c r="QGU3" i="53"/>
  <c r="QHF3" i="53"/>
  <c r="QHQ3" i="53"/>
  <c r="QIB3" i="53"/>
  <c r="QIM3" i="53"/>
  <c r="QIY3" i="53"/>
  <c r="QJJ3" i="53"/>
  <c r="QJU3" i="53"/>
  <c r="QKF3" i="53"/>
  <c r="QKQ3" i="53"/>
  <c r="QLB3" i="53"/>
  <c r="QLM3" i="53"/>
  <c r="QLX3" i="53"/>
  <c r="QMI3" i="53"/>
  <c r="QMU3" i="53"/>
  <c r="QNF3" i="53"/>
  <c r="QNQ3" i="53"/>
  <c r="QOC3" i="53"/>
  <c r="QOO3" i="53"/>
  <c r="QPA3" i="53"/>
  <c r="QPM3" i="53"/>
  <c r="QPY3" i="53"/>
  <c r="QQL3" i="53"/>
  <c r="QQY3" i="53"/>
  <c r="QRK3" i="53"/>
  <c r="QRW3" i="53"/>
  <c r="QSJ3" i="53"/>
  <c r="QSV3" i="53"/>
  <c r="QTH3" i="53"/>
  <c r="QTT3" i="53"/>
  <c r="QUG3" i="53"/>
  <c r="QUS3" i="53"/>
  <c r="QVF3" i="53"/>
  <c r="QVR3" i="53"/>
  <c r="QWE3" i="53"/>
  <c r="QWQ3" i="53"/>
  <c r="QXC3" i="53"/>
  <c r="QXO3" i="53"/>
  <c r="QYA3" i="53"/>
  <c r="QYN3" i="53"/>
  <c r="QYZ3" i="53"/>
  <c r="QZM3" i="53"/>
  <c r="QZY3" i="53"/>
  <c r="RAL3" i="53"/>
  <c r="RAX3" i="53"/>
  <c r="RBJ3" i="53"/>
  <c r="RBV3" i="53"/>
  <c r="RCI3" i="53"/>
  <c r="RCU3" i="53"/>
  <c r="RDG3" i="53"/>
  <c r="RDT3" i="53"/>
  <c r="REG3" i="53"/>
  <c r="RES3" i="53"/>
  <c r="RFE3" i="53"/>
  <c r="RFQ3" i="53"/>
  <c r="RGC3" i="53"/>
  <c r="RGP3" i="53"/>
  <c r="RHB3" i="53"/>
  <c r="RHN3" i="53"/>
  <c r="RIA3" i="53"/>
  <c r="RIN3" i="53"/>
  <c r="RIZ3" i="53"/>
  <c r="RJL3" i="53"/>
  <c r="RJX3" i="53"/>
  <c r="RKK3" i="53"/>
  <c r="RKW3" i="53"/>
  <c r="RLI3" i="53"/>
  <c r="RLU3" i="53"/>
  <c r="RMI3" i="53"/>
  <c r="RMU3" i="53"/>
  <c r="RNG3" i="53"/>
  <c r="RNS3" i="53"/>
  <c r="ROE3" i="53"/>
  <c r="ROR3" i="53"/>
  <c r="RPD3" i="53"/>
  <c r="RPP3" i="53"/>
  <c r="RQB3" i="53"/>
  <c r="RQP3" i="53"/>
  <c r="RRB3" i="53"/>
  <c r="RRN3" i="53"/>
  <c r="RRZ3" i="53"/>
  <c r="RSM3" i="53"/>
  <c r="RSY3" i="53"/>
  <c r="RTK3" i="53"/>
  <c r="RTW3" i="53"/>
  <c r="RUI3" i="53"/>
  <c r="RUW3" i="53"/>
  <c r="RVI3" i="53"/>
  <c r="RVU3" i="53"/>
  <c r="RWG3" i="53"/>
  <c r="RWT3" i="53"/>
  <c r="RXF3" i="53"/>
  <c r="RXR3" i="53"/>
  <c r="RYD3" i="53"/>
  <c r="RYQ3" i="53"/>
  <c r="RZD3" i="53"/>
  <c r="RZP3" i="53"/>
  <c r="SAB3" i="53"/>
  <c r="SAO3" i="53"/>
  <c r="SBA3" i="53"/>
  <c r="SBM3" i="53"/>
  <c r="SBY3" i="53"/>
  <c r="SCK3" i="53"/>
  <c r="SCX3" i="53"/>
  <c r="SDK3" i="53"/>
  <c r="SDW3" i="53"/>
  <c r="SEI3" i="53"/>
  <c r="SEV3" i="53"/>
  <c r="SFH3" i="53"/>
  <c r="SFT3" i="53"/>
  <c r="SGF3" i="53"/>
  <c r="SGS3" i="53"/>
  <c r="SHE3" i="53"/>
  <c r="SHR3" i="53"/>
  <c r="SID3" i="53"/>
  <c r="SIQ3" i="53"/>
  <c r="SJC3" i="53"/>
  <c r="SJO3" i="53"/>
  <c r="SKA3" i="53"/>
  <c r="SKM3" i="53"/>
  <c r="SKZ3" i="53"/>
  <c r="SLL3" i="53"/>
  <c r="SLY3" i="53"/>
  <c r="SMK3" i="53"/>
  <c r="SMX3" i="53"/>
  <c r="SNJ3" i="53"/>
  <c r="SNV3" i="53"/>
  <c r="SOH3" i="53"/>
  <c r="SOU3" i="53"/>
  <c r="SPG3" i="53"/>
  <c r="SPS3" i="53"/>
  <c r="SQF3" i="53"/>
  <c r="SQS3" i="53"/>
  <c r="SRE3" i="53"/>
  <c r="SRQ3" i="53"/>
  <c r="SSC3" i="53"/>
  <c r="SSO3" i="53"/>
  <c r="STB3" i="53"/>
  <c r="STN3" i="53"/>
  <c r="STZ3" i="53"/>
  <c r="SUM3" i="53"/>
  <c r="SUZ3" i="53"/>
  <c r="SVL3" i="53"/>
  <c r="SVX3" i="53"/>
  <c r="SWJ3" i="53"/>
  <c r="SWW3" i="53"/>
  <c r="SXI3" i="53"/>
  <c r="SXU3" i="53"/>
  <c r="SYG3" i="53"/>
  <c r="SYU3" i="53"/>
  <c r="SZG3" i="53"/>
  <c r="SZS3" i="53"/>
  <c r="TAE3" i="53"/>
  <c r="TAQ3" i="53"/>
  <c r="TBD3" i="53"/>
  <c r="TBP3" i="53"/>
  <c r="TCB3" i="53"/>
  <c r="TCN3" i="53"/>
  <c r="TDB3" i="53"/>
  <c r="TDN3" i="53"/>
  <c r="TDZ3" i="53"/>
  <c r="TEL3" i="53"/>
  <c r="TEY3" i="53"/>
  <c r="TFK3" i="53"/>
  <c r="TFW3" i="53"/>
  <c r="TGI3" i="53"/>
  <c r="THJ3" i="53"/>
  <c r="THW3" i="53"/>
  <c r="TIV3" i="53"/>
  <c r="TJJ3" i="53"/>
  <c r="TKI3" i="53"/>
  <c r="TLW3" i="53"/>
  <c r="TNJ3" i="53"/>
  <c r="TOI3" i="53"/>
  <c r="TOV3" i="53"/>
  <c r="TPV3" i="53"/>
  <c r="TQJ3" i="53"/>
  <c r="TRI3" i="53"/>
  <c r="TRW3" i="53"/>
  <c r="TSV3" i="53"/>
  <c r="TUI3" i="53"/>
  <c r="TVW3" i="53"/>
  <c r="TZZ3" i="53"/>
  <c r="UBB3" i="53"/>
  <c r="UCT3" i="53"/>
  <c r="UDV3" i="53"/>
  <c r="UEK3" i="53"/>
  <c r="UFN3" i="53"/>
  <c r="UGB3" i="53"/>
  <c r="UHD3" i="53"/>
  <c r="UHT3" i="53"/>
  <c r="UIV3" i="53"/>
  <c r="UKN3" i="53"/>
  <c r="UME3" i="53"/>
  <c r="UNV3" i="53"/>
  <c r="UPN3" i="53"/>
  <c r="UQP3" i="53"/>
  <c r="URE3" i="53"/>
  <c r="USG3" i="53"/>
  <c r="UTZ3" i="53"/>
  <c r="UVQ3" i="53"/>
  <c r="UXI3" i="53"/>
  <c r="UXY3" i="53"/>
  <c r="UYR3" i="53"/>
  <c r="VAL3" i="53"/>
  <c r="VBC3" i="53"/>
  <c r="VBT3" i="53"/>
  <c r="VEF3" i="53"/>
  <c r="VIC3" i="53"/>
  <c r="VMO3" i="53"/>
  <c r="VNG3" i="53"/>
  <c r="VSZ3" i="53"/>
  <c r="VTT3" i="53"/>
  <c r="VUO3" i="53"/>
  <c r="VVK3" i="53"/>
  <c r="VWG3" i="53"/>
  <c r="VXZ3" i="53"/>
  <c r="VZR3" i="53"/>
  <c r="WAO3" i="53"/>
  <c r="WBK3" i="53"/>
  <c r="WIG3" i="53"/>
  <c r="WJE3" i="53"/>
  <c r="WNU3" i="53"/>
  <c r="WOU3" i="53"/>
  <c r="WQR3" i="53"/>
  <c r="WSM3" i="53"/>
  <c r="WVJ3" i="53"/>
  <c r="WYI3" i="53"/>
  <c r="WZF3" i="53"/>
  <c r="XAB3" i="53"/>
  <c r="XDA3" i="53"/>
  <c r="OHZ3" i="53"/>
  <c r="OIU3" i="53"/>
  <c r="OJP3" i="53"/>
  <c r="OKK3" i="53"/>
  <c r="OLF3" i="53"/>
  <c r="OMA3" i="53"/>
  <c r="OMV3" i="53"/>
  <c r="ONG3" i="53"/>
  <c r="OOB3" i="53"/>
  <c r="OOW3" i="53"/>
  <c r="OPR3" i="53"/>
  <c r="TGV3" i="53"/>
  <c r="TIJ3" i="53"/>
  <c r="TJW3" i="53"/>
  <c r="TKV3" i="53"/>
  <c r="TLJ3" i="53"/>
  <c r="TMJ3" i="53"/>
  <c r="TMW3" i="53"/>
  <c r="TNW3" i="53"/>
  <c r="TOJ3" i="53"/>
  <c r="TPI3" i="53"/>
  <c r="TQW3" i="53"/>
  <c r="TSJ3" i="53"/>
  <c r="TTI3" i="53"/>
  <c r="TTW3" i="53"/>
  <c r="TUW3" i="53"/>
  <c r="TVJ3" i="53"/>
  <c r="TWJ3" i="53"/>
  <c r="TWW3" i="53"/>
  <c r="TXJ3" i="53"/>
  <c r="TXW3" i="53"/>
  <c r="TYL3" i="53"/>
  <c r="TYY3" i="53"/>
  <c r="TZM3" i="53"/>
  <c r="UAO3" i="53"/>
  <c r="UBQ3" i="53"/>
  <c r="UCE3" i="53"/>
  <c r="UDH3" i="53"/>
  <c r="UFA3" i="53"/>
  <c r="UGQ3" i="53"/>
  <c r="UIH3" i="53"/>
  <c r="UKA3" i="53"/>
  <c r="ULB3" i="53"/>
  <c r="ULQ3" i="53"/>
  <c r="UMT3" i="53"/>
  <c r="UNH3" i="53"/>
  <c r="UOL3" i="53"/>
  <c r="UPA3" i="53"/>
  <c r="UQB3" i="53"/>
  <c r="URT3" i="53"/>
  <c r="UTL3" i="53"/>
  <c r="UVB3" i="53"/>
  <c r="UWE3" i="53"/>
  <c r="UWU3" i="53"/>
  <c r="UZG3" i="53"/>
  <c r="UZX3" i="53"/>
  <c r="VCI3" i="53"/>
  <c r="VCY3" i="53"/>
  <c r="VDQ3" i="53"/>
  <c r="VEX3" i="53"/>
  <c r="VFM3" i="53"/>
  <c r="VGE3" i="53"/>
  <c r="VGW3" i="53"/>
  <c r="VHL3" i="53"/>
  <c r="VIU3" i="53"/>
  <c r="VJO3" i="53"/>
  <c r="VKJ3" i="53"/>
  <c r="VLA3" i="53"/>
  <c r="VLS3" i="53"/>
  <c r="VMP3" i="53"/>
  <c r="VOA3" i="53"/>
  <c r="VOT3" i="53"/>
  <c r="VPO3" i="53"/>
  <c r="VQL3" i="53"/>
  <c r="VRF3" i="53"/>
  <c r="VSB3" i="53"/>
  <c r="VYW3" i="53"/>
  <c r="WCG3" i="53"/>
  <c r="WEU3" i="53"/>
  <c r="WGO3" i="53"/>
  <c r="WHL3" i="53"/>
  <c r="WII3" i="53"/>
  <c r="WKD3" i="53"/>
  <c r="WKW3" i="53"/>
  <c r="WLY3" i="53"/>
  <c r="WMW3" i="53"/>
  <c r="WPR3" i="53"/>
  <c r="WRQ3" i="53"/>
  <c r="WSN3" i="53"/>
  <c r="WTO3" i="53"/>
  <c r="WWJ3" i="53"/>
  <c r="WXI3" i="53"/>
  <c r="WZH3" i="53"/>
  <c r="XAC3" i="53"/>
  <c r="XBD3" i="53"/>
  <c r="XEV3" i="53"/>
  <c r="OQH3" i="53"/>
  <c r="OQR3" i="53"/>
  <c r="ORB3" i="53"/>
  <c r="ORL3" i="53"/>
  <c r="ORV3" i="53"/>
  <c r="OSF3" i="53"/>
  <c r="OSP3" i="53"/>
  <c r="OSZ3" i="53"/>
  <c r="OTJ3" i="53"/>
  <c r="OTT3" i="53"/>
  <c r="OUD3" i="53"/>
  <c r="OUN3" i="53"/>
  <c r="OUX3" i="53"/>
  <c r="OVH3" i="53"/>
  <c r="OVR3" i="53"/>
  <c r="OWB3" i="53"/>
  <c r="OWL3" i="53"/>
  <c r="OWV3" i="53"/>
  <c r="OXF3" i="53"/>
  <c r="OXP3" i="53"/>
  <c r="OXZ3" i="53"/>
  <c r="OYJ3" i="53"/>
  <c r="OYT3" i="53"/>
  <c r="OZD3" i="53"/>
  <c r="OZN3" i="53"/>
  <c r="OZX3" i="53"/>
  <c r="PAH3" i="53"/>
  <c r="PAR3" i="53"/>
  <c r="PBB3" i="53"/>
  <c r="PBL3" i="53"/>
  <c r="PBV3" i="53"/>
  <c r="PCF3" i="53"/>
  <c r="PCP3" i="53"/>
  <c r="PCZ3" i="53"/>
  <c r="PDJ3" i="53"/>
  <c r="PDT3" i="53"/>
  <c r="PED3" i="53"/>
  <c r="PEN3" i="53"/>
  <c r="PEX3" i="53"/>
  <c r="PFH3" i="53"/>
  <c r="PFR3" i="53"/>
  <c r="PGB3" i="53"/>
  <c r="PGL3" i="53"/>
  <c r="PGV3" i="53"/>
  <c r="PHF3" i="53"/>
  <c r="PHP3" i="53"/>
  <c r="PHZ3" i="53"/>
  <c r="PIJ3" i="53"/>
  <c r="PIT3" i="53"/>
  <c r="PJD3" i="53"/>
  <c r="PJN3" i="53"/>
  <c r="PJX3" i="53"/>
  <c r="PKH3" i="53"/>
  <c r="PKR3" i="53"/>
  <c r="PLB3" i="53"/>
  <c r="PLL3" i="53"/>
  <c r="PLV3" i="53"/>
  <c r="PMF3" i="53"/>
  <c r="PMP3" i="53"/>
  <c r="PMZ3" i="53"/>
  <c r="PNJ3" i="53"/>
  <c r="PNT3" i="53"/>
  <c r="POD3" i="53"/>
  <c r="PON3" i="53"/>
  <c r="POX3" i="53"/>
  <c r="PPH3" i="53"/>
  <c r="PPR3" i="53"/>
  <c r="PQB3" i="53"/>
  <c r="PQL3" i="53"/>
  <c r="PQV3" i="53"/>
  <c r="PRF3" i="53"/>
  <c r="PRP3" i="53"/>
  <c r="PRZ3" i="53"/>
  <c r="PSJ3" i="53"/>
  <c r="PST3" i="53"/>
  <c r="PTD3" i="53"/>
  <c r="PTN3" i="53"/>
  <c r="PTX3" i="53"/>
  <c r="PUH3" i="53"/>
  <c r="PUR3" i="53"/>
  <c r="PVB3" i="53"/>
  <c r="PVL3" i="53"/>
  <c r="PVV3" i="53"/>
  <c r="PWF3" i="53"/>
  <c r="PWP3" i="53"/>
  <c r="PWZ3" i="53"/>
  <c r="PXJ3" i="53"/>
  <c r="PXT3" i="53"/>
  <c r="PYD3" i="53"/>
  <c r="PYN3" i="53"/>
  <c r="PYX3" i="53"/>
  <c r="PZH3" i="53"/>
  <c r="PZR3" i="53"/>
  <c r="QAB3" i="53"/>
  <c r="QAL3" i="53"/>
  <c r="QAV3" i="53"/>
  <c r="QBF3" i="53"/>
  <c r="QBP3" i="53"/>
  <c r="QBZ3" i="53"/>
  <c r="QCJ3" i="53"/>
  <c r="QCT3" i="53"/>
  <c r="QDD3" i="53"/>
  <c r="QDN3" i="53"/>
  <c r="QDX3" i="53"/>
  <c r="QEH3" i="53"/>
  <c r="QER3" i="53"/>
  <c r="QFB3" i="53"/>
  <c r="QFL3" i="53"/>
  <c r="QFV3" i="53"/>
  <c r="QGF3" i="53"/>
  <c r="QGP3" i="53"/>
  <c r="QGZ3" i="53"/>
  <c r="QHJ3" i="53"/>
  <c r="QHT3" i="53"/>
  <c r="QID3" i="53"/>
  <c r="QIN3" i="53"/>
  <c r="QIX3" i="53"/>
  <c r="QJH3" i="53"/>
  <c r="QJR3" i="53"/>
  <c r="QKB3" i="53"/>
  <c r="QKL3" i="53"/>
  <c r="QKV3" i="53"/>
  <c r="QLF3" i="53"/>
  <c r="QLP3" i="53"/>
  <c r="QLZ3" i="53"/>
  <c r="QMJ3" i="53"/>
  <c r="QMT3" i="53"/>
  <c r="QND3" i="53"/>
  <c r="QNN3" i="53"/>
  <c r="QNX3" i="53"/>
  <c r="QOI3" i="53"/>
  <c r="QOT3" i="53"/>
  <c r="QPE3" i="53"/>
  <c r="QPQ3" i="53"/>
  <c r="QQB3" i="53"/>
  <c r="QQM3" i="53"/>
  <c r="QQX3" i="53"/>
  <c r="QRI3" i="53"/>
  <c r="QRT3" i="53"/>
  <c r="QSE3" i="53"/>
  <c r="QSP3" i="53"/>
  <c r="QTA3" i="53"/>
  <c r="QTM3" i="53"/>
  <c r="QTX3" i="53"/>
  <c r="QUI3" i="53"/>
  <c r="QUT3" i="53"/>
  <c r="QVE3" i="53"/>
  <c r="QVP3" i="53"/>
  <c r="QWA3" i="53"/>
  <c r="QWL3" i="53"/>
  <c r="QWW3" i="53"/>
  <c r="QXI3" i="53"/>
  <c r="QXT3" i="53"/>
  <c r="QYE3" i="53"/>
  <c r="QYP3" i="53"/>
  <c r="QZA3" i="53"/>
  <c r="QZL3" i="53"/>
  <c r="QZW3" i="53"/>
  <c r="RAH3" i="53"/>
  <c r="RAS3" i="53"/>
  <c r="RBE3" i="53"/>
  <c r="RBP3" i="53"/>
  <c r="RCA3" i="53"/>
  <c r="RCL3" i="53"/>
  <c r="RCW3" i="53"/>
  <c r="RDH3" i="53"/>
  <c r="RDS3" i="53"/>
  <c r="RED3" i="53"/>
  <c r="REO3" i="53"/>
  <c r="RFA3" i="53"/>
  <c r="RFL3" i="53"/>
  <c r="RFW3" i="53"/>
  <c r="RGH3" i="53"/>
  <c r="RGS3" i="53"/>
  <c r="RHD3" i="53"/>
  <c r="RHO3" i="53"/>
  <c r="RHZ3" i="53"/>
  <c r="RIK3" i="53"/>
  <c r="RIW3" i="53"/>
  <c r="RJH3" i="53"/>
  <c r="RJS3" i="53"/>
  <c r="RKD3" i="53"/>
  <c r="RKO3" i="53"/>
  <c r="RKZ3" i="53"/>
  <c r="RLK3" i="53"/>
  <c r="RLV3" i="53"/>
  <c r="RMG3" i="53"/>
  <c r="RMS3" i="53"/>
  <c r="RND3" i="53"/>
  <c r="RNO3" i="53"/>
  <c r="RNZ3" i="53"/>
  <c r="ROK3" i="53"/>
  <c r="ROV3" i="53"/>
  <c r="RPG3" i="53"/>
  <c r="RPR3" i="53"/>
  <c r="RQC3" i="53"/>
  <c r="RQO3" i="53"/>
  <c r="RQZ3" i="53"/>
  <c r="RRK3" i="53"/>
  <c r="RRV3" i="53"/>
  <c r="RSG3" i="53"/>
  <c r="RSR3" i="53"/>
  <c r="RTC3" i="53"/>
  <c r="RTN3" i="53"/>
  <c r="RTY3" i="53"/>
  <c r="RUK3" i="53"/>
  <c r="RUV3" i="53"/>
  <c r="RVG3" i="53"/>
  <c r="RVR3" i="53"/>
  <c r="RWC3" i="53"/>
  <c r="RWN3" i="53"/>
  <c r="RWY3" i="53"/>
  <c r="RXJ3" i="53"/>
  <c r="RXU3" i="53"/>
  <c r="RYG3" i="53"/>
  <c r="RYR3" i="53"/>
  <c r="RZC3" i="53"/>
  <c r="RZN3" i="53"/>
  <c r="RZY3" i="53"/>
  <c r="SAJ3" i="53"/>
  <c r="SAU3" i="53"/>
  <c r="SBF3" i="53"/>
  <c r="SBQ3" i="53"/>
  <c r="SCC3" i="53"/>
  <c r="SCN3" i="53"/>
  <c r="SCY3" i="53"/>
  <c r="SDJ3" i="53"/>
  <c r="SDU3" i="53"/>
  <c r="SEF3" i="53"/>
  <c r="SEQ3" i="53"/>
  <c r="SFB3" i="53"/>
  <c r="SFM3" i="53"/>
  <c r="SFY3" i="53"/>
  <c r="SGJ3" i="53"/>
  <c r="SGU3" i="53"/>
  <c r="SHF3" i="53"/>
  <c r="SHQ3" i="53"/>
  <c r="SIB3" i="53"/>
  <c r="SIM3" i="53"/>
  <c r="SIX3" i="53"/>
  <c r="SJI3" i="53"/>
  <c r="SJU3" i="53"/>
  <c r="SKF3" i="53"/>
  <c r="SKQ3" i="53"/>
  <c r="SLB3" i="53"/>
  <c r="SLM3" i="53"/>
  <c r="SLX3" i="53"/>
  <c r="SMI3" i="53"/>
  <c r="SMT3" i="53"/>
  <c r="SNE3" i="53"/>
  <c r="SNQ3" i="53"/>
  <c r="SOB3" i="53"/>
  <c r="SOM3" i="53"/>
  <c r="SOX3" i="53"/>
  <c r="SPI3" i="53"/>
  <c r="SPT3" i="53"/>
  <c r="SQE3" i="53"/>
  <c r="SQP3" i="53"/>
  <c r="SRA3" i="53"/>
  <c r="SRM3" i="53"/>
  <c r="SRX3" i="53"/>
  <c r="SSI3" i="53"/>
  <c r="SST3" i="53"/>
  <c r="STE3" i="53"/>
  <c r="STP3" i="53"/>
  <c r="SUA3" i="53"/>
  <c r="SUL3" i="53"/>
  <c r="SUW3" i="53"/>
  <c r="SVI3" i="53"/>
  <c r="SVT3" i="53"/>
  <c r="SWE3" i="53"/>
  <c r="SWP3" i="53"/>
  <c r="SXA3" i="53"/>
  <c r="SXL3" i="53"/>
  <c r="SXW3" i="53"/>
  <c r="SYH3" i="53"/>
  <c r="SYS3" i="53"/>
  <c r="SZE3" i="53"/>
  <c r="SZP3" i="53"/>
  <c r="TAA3" i="53"/>
  <c r="TAL3" i="53"/>
  <c r="TAW3" i="53"/>
  <c r="TBH3" i="53"/>
  <c r="TBS3" i="53"/>
  <c r="TCD3" i="53"/>
  <c r="TCO3" i="53"/>
  <c r="TDA3" i="53"/>
  <c r="TDL3" i="53"/>
  <c r="TDW3" i="53"/>
  <c r="TEH3" i="53"/>
  <c r="TES3" i="53"/>
  <c r="TFD3" i="53"/>
  <c r="TFO3" i="53"/>
  <c r="TFZ3" i="53"/>
  <c r="TGK3" i="53"/>
  <c r="THI3" i="53"/>
  <c r="TIR3" i="53"/>
  <c r="TJO3" i="53"/>
  <c r="TKL3" i="53"/>
  <c r="TKY3" i="53"/>
  <c r="TLV3" i="53"/>
  <c r="TMS3" i="53"/>
  <c r="TOB3" i="53"/>
  <c r="TOZ3" i="53"/>
  <c r="TPW3" i="53"/>
  <c r="TQI3" i="53"/>
  <c r="TRF3" i="53"/>
  <c r="TSC3" i="53"/>
  <c r="TTM3" i="53"/>
  <c r="TUJ3" i="53"/>
  <c r="TVG3" i="53"/>
  <c r="TVS3" i="53"/>
  <c r="TWP3" i="53"/>
  <c r="TYA3" i="53"/>
  <c r="UAJ3" i="53"/>
  <c r="UBX3" i="53"/>
  <c r="UCW3" i="53"/>
  <c r="UEJ3" i="53"/>
  <c r="UFJ3" i="53"/>
  <c r="UGJ3" i="53"/>
  <c r="UGX3" i="53"/>
  <c r="UHW3" i="53"/>
  <c r="UIW3" i="53"/>
  <c r="UKK3" i="53"/>
  <c r="ULJ3" i="53"/>
  <c r="UMJ3" i="53"/>
  <c r="UMW3" i="53"/>
  <c r="UNW3" i="53"/>
  <c r="UOW3" i="53"/>
  <c r="UQJ3" i="53"/>
  <c r="URJ3" i="53"/>
  <c r="USI3" i="53"/>
  <c r="USW3" i="53"/>
  <c r="UTW3" i="53"/>
  <c r="UUW3" i="53"/>
  <c r="UYB3" i="53"/>
  <c r="UYQ3" i="53"/>
  <c r="UZR3" i="53"/>
  <c r="VAH3" i="53"/>
  <c r="VBX3" i="53"/>
  <c r="VCM3" i="53"/>
  <c r="VEE3" i="53"/>
  <c r="VIH3" i="53"/>
  <c r="VKH3" i="53"/>
  <c r="VMF3" i="53"/>
  <c r="VNP3" i="53"/>
  <c r="VOH3" i="53"/>
  <c r="VOZ3" i="53"/>
  <c r="VTK3" i="53"/>
  <c r="VUY3" i="53"/>
  <c r="VWM3" i="53"/>
  <c r="VYA3" i="53"/>
  <c r="VYU3" i="53"/>
  <c r="WBB3" i="53"/>
  <c r="WBV3" i="53"/>
  <c r="WCP3" i="53"/>
  <c r="WDJ3" i="53"/>
  <c r="WEE3" i="53"/>
  <c r="WEW3" i="53"/>
  <c r="WFR3" i="53"/>
  <c r="WGK3" i="53"/>
  <c r="WIA3" i="53"/>
  <c r="WMD3" i="53"/>
  <c r="WQL3" i="53"/>
  <c r="WRG3" i="53"/>
  <c r="WTA3" i="53"/>
  <c r="WTT3" i="53"/>
  <c r="WUS3" i="53"/>
  <c r="WVM3" i="53"/>
  <c r="WYD3" i="53"/>
  <c r="WZX3" i="53"/>
  <c r="XAQ3" i="53"/>
  <c r="XBL3" i="53"/>
  <c r="XCJ3" i="53"/>
  <c r="XDE3" i="53"/>
  <c r="TGX3" i="53"/>
  <c r="THU3" i="53"/>
  <c r="TIG3" i="53"/>
  <c r="TJD3" i="53"/>
  <c r="TKA3" i="53"/>
  <c r="TLK3" i="53"/>
  <c r="TMH3" i="53"/>
  <c r="TNE3" i="53"/>
  <c r="TNQ3" i="53"/>
  <c r="TON3" i="53"/>
  <c r="TPL3" i="53"/>
  <c r="TPX3" i="53"/>
  <c r="TQU3" i="53"/>
  <c r="TRR3" i="53"/>
  <c r="TSO3" i="53"/>
  <c r="TTB3" i="53"/>
  <c r="TTY3" i="53"/>
  <c r="TUV3" i="53"/>
  <c r="TVH3" i="53"/>
  <c r="TWE3" i="53"/>
  <c r="TXC3" i="53"/>
  <c r="TXO3" i="53"/>
  <c r="TYB3" i="53"/>
  <c r="TYN3" i="53"/>
  <c r="TYZ3" i="53"/>
  <c r="TZL3" i="53"/>
  <c r="TZX3" i="53"/>
  <c r="UBK3" i="53"/>
  <c r="UCK3" i="53"/>
  <c r="UDJ3" i="53"/>
  <c r="UDX3" i="53"/>
  <c r="UEW3" i="53"/>
  <c r="UFX3" i="53"/>
  <c r="UHK3" i="53"/>
  <c r="UIJ3" i="53"/>
  <c r="UJJ3" i="53"/>
  <c r="UJW3" i="53"/>
  <c r="UKX3" i="53"/>
  <c r="ULX3" i="53"/>
  <c r="UNJ3" i="53"/>
  <c r="UOJ3" i="53"/>
  <c r="UPX3" i="53"/>
  <c r="UQX3" i="53"/>
  <c r="URW3" i="53"/>
  <c r="UTK3" i="53"/>
  <c r="UUK3" i="53"/>
  <c r="UVX3" i="53"/>
  <c r="UWK3" i="53"/>
  <c r="UWX3" i="53"/>
  <c r="UXM3" i="53"/>
  <c r="UZE3" i="53"/>
  <c r="VAV3" i="53"/>
  <c r="VBK3" i="53"/>
  <c r="VDC3" i="53"/>
  <c r="VDR3" i="53"/>
  <c r="VFJ3" i="53"/>
  <c r="VFX3" i="53"/>
  <c r="VGN3" i="53"/>
  <c r="VHB3" i="53"/>
  <c r="VHS3" i="53"/>
  <c r="VII3" i="53"/>
  <c r="VIZ3" i="53"/>
  <c r="VJP3" i="53"/>
  <c r="VKX3" i="53"/>
  <c r="VLP3" i="53"/>
  <c r="VMW3" i="53"/>
  <c r="VPR3" i="53"/>
  <c r="VQM3" i="53"/>
  <c r="VRE3" i="53"/>
  <c r="VRZ3" i="53"/>
  <c r="VSQ3" i="53"/>
  <c r="VTN3" i="53"/>
  <c r="VUG3" i="53"/>
  <c r="VVU3" i="53"/>
  <c r="VWO3" i="53"/>
  <c r="VXI3" i="53"/>
  <c r="VZN3" i="53"/>
  <c r="WAK3" i="53"/>
  <c r="WBY3" i="53"/>
  <c r="WEX3" i="53"/>
  <c r="WIC3" i="53"/>
  <c r="WIY3" i="53"/>
  <c r="WJT3" i="53"/>
  <c r="WKP3" i="53"/>
  <c r="WLI3" i="53"/>
  <c r="WMZ3" i="53"/>
  <c r="WNW3" i="53"/>
  <c r="WPN3" i="53"/>
  <c r="WSF3" i="53"/>
  <c r="WWK3" i="53"/>
  <c r="WXF3" i="53"/>
  <c r="XEC3" i="53"/>
  <c r="XEW3" i="53"/>
  <c r="QOB3" i="53"/>
  <c r="QOL3" i="53"/>
  <c r="QOV3" i="53"/>
  <c r="QPF3" i="53"/>
  <c r="QPP3" i="53"/>
  <c r="QPZ3" i="53"/>
  <c r="QQJ3" i="53"/>
  <c r="QQT3" i="53"/>
  <c r="QRD3" i="53"/>
  <c r="QRN3" i="53"/>
  <c r="QRX3" i="53"/>
  <c r="QSH3" i="53"/>
  <c r="QSR3" i="53"/>
  <c r="QTB3" i="53"/>
  <c r="QTL3" i="53"/>
  <c r="QTV3" i="53"/>
  <c r="QUF3" i="53"/>
  <c r="QUP3" i="53"/>
  <c r="QUZ3" i="53"/>
  <c r="QVJ3" i="53"/>
  <c r="QVT3" i="53"/>
  <c r="QWD3" i="53"/>
  <c r="QWN3" i="53"/>
  <c r="QWX3" i="53"/>
  <c r="QXH3" i="53"/>
  <c r="QXR3" i="53"/>
  <c r="QYB3" i="53"/>
  <c r="QYL3" i="53"/>
  <c r="QYV3" i="53"/>
  <c r="QZF3" i="53"/>
  <c r="QZP3" i="53"/>
  <c r="QZZ3" i="53"/>
  <c r="RAJ3" i="53"/>
  <c r="RAT3" i="53"/>
  <c r="RBD3" i="53"/>
  <c r="RBN3" i="53"/>
  <c r="RBX3" i="53"/>
  <c r="RCH3" i="53"/>
  <c r="RCR3" i="53"/>
  <c r="RDB3" i="53"/>
  <c r="RDL3" i="53"/>
  <c r="RDV3" i="53"/>
  <c r="REF3" i="53"/>
  <c r="REP3" i="53"/>
  <c r="REZ3" i="53"/>
  <c r="RFJ3" i="53"/>
  <c r="RFT3" i="53"/>
  <c r="RGD3" i="53"/>
  <c r="RGN3" i="53"/>
  <c r="RGX3" i="53"/>
  <c r="RHH3" i="53"/>
  <c r="RHR3" i="53"/>
  <c r="RIB3" i="53"/>
  <c r="RIL3" i="53"/>
  <c r="RIV3" i="53"/>
  <c r="RJF3" i="53"/>
  <c r="RJP3" i="53"/>
  <c r="RJZ3" i="53"/>
  <c r="RKJ3" i="53"/>
  <c r="RKT3" i="53"/>
  <c r="RLD3" i="53"/>
  <c r="RLN3" i="53"/>
  <c r="RLX3" i="53"/>
  <c r="RMH3" i="53"/>
  <c r="RMR3" i="53"/>
  <c r="RNB3" i="53"/>
  <c r="RNL3" i="53"/>
  <c r="RNV3" i="53"/>
  <c r="ROF3" i="53"/>
  <c r="ROP3" i="53"/>
  <c r="ROZ3" i="53"/>
  <c r="RPJ3" i="53"/>
  <c r="RPT3" i="53"/>
  <c r="RQD3" i="53"/>
  <c r="RQN3" i="53"/>
  <c r="RQX3" i="53"/>
  <c r="RRH3" i="53"/>
  <c r="RRR3" i="53"/>
  <c r="RSB3" i="53"/>
  <c r="RSL3" i="53"/>
  <c r="RSV3" i="53"/>
  <c r="RTF3" i="53"/>
  <c r="RTP3" i="53"/>
  <c r="RTZ3" i="53"/>
  <c r="RUJ3" i="53"/>
  <c r="RUT3" i="53"/>
  <c r="RVD3" i="53"/>
  <c r="RVN3" i="53"/>
  <c r="RVX3" i="53"/>
  <c r="RWH3" i="53"/>
  <c r="RWR3" i="53"/>
  <c r="RXB3" i="53"/>
  <c r="RXL3" i="53"/>
  <c r="RXV3" i="53"/>
  <c r="RYF3" i="53"/>
  <c r="RYP3" i="53"/>
  <c r="RYZ3" i="53"/>
  <c r="RZJ3" i="53"/>
  <c r="RZT3" i="53"/>
  <c r="SAD3" i="53"/>
  <c r="SAN3" i="53"/>
  <c r="SAX3" i="53"/>
  <c r="SBH3" i="53"/>
  <c r="SBR3" i="53"/>
  <c r="SCB3" i="53"/>
  <c r="SCL3" i="53"/>
  <c r="SCV3" i="53"/>
  <c r="SDF3" i="53"/>
  <c r="SDP3" i="53"/>
  <c r="SDZ3" i="53"/>
  <c r="SEJ3" i="53"/>
  <c r="SET3" i="53"/>
  <c r="SFD3" i="53"/>
  <c r="SFN3" i="53"/>
  <c r="SFX3" i="53"/>
  <c r="SGH3" i="53"/>
  <c r="SGR3" i="53"/>
  <c r="SHB3" i="53"/>
  <c r="SHL3" i="53"/>
  <c r="SHV3" i="53"/>
  <c r="SIF3" i="53"/>
  <c r="SIP3" i="53"/>
  <c r="SIZ3" i="53"/>
  <c r="SJJ3" i="53"/>
  <c r="SJT3" i="53"/>
  <c r="SKD3" i="53"/>
  <c r="SKN3" i="53"/>
  <c r="SKX3" i="53"/>
  <c r="SLH3" i="53"/>
  <c r="SLR3" i="53"/>
  <c r="SMB3" i="53"/>
  <c r="SML3" i="53"/>
  <c r="SMV3" i="53"/>
  <c r="SNF3" i="53"/>
  <c r="SNP3" i="53"/>
  <c r="SNZ3" i="53"/>
  <c r="SOJ3" i="53"/>
  <c r="SOT3" i="53"/>
  <c r="SPD3" i="53"/>
  <c r="SPN3" i="53"/>
  <c r="SPX3" i="53"/>
  <c r="SQH3" i="53"/>
  <c r="SQR3" i="53"/>
  <c r="SRB3" i="53"/>
  <c r="SRL3" i="53"/>
  <c r="SRV3" i="53"/>
  <c r="SSF3" i="53"/>
  <c r="SSP3" i="53"/>
  <c r="SSZ3" i="53"/>
  <c r="STJ3" i="53"/>
  <c r="STT3" i="53"/>
  <c r="SUD3" i="53"/>
  <c r="SUN3" i="53"/>
  <c r="SUX3" i="53"/>
  <c r="SVH3" i="53"/>
  <c r="SVR3" i="53"/>
  <c r="SWB3" i="53"/>
  <c r="SWL3" i="53"/>
  <c r="SWV3" i="53"/>
  <c r="SXF3" i="53"/>
  <c r="SXP3" i="53"/>
  <c r="SXZ3" i="53"/>
  <c r="SYJ3" i="53"/>
  <c r="SYT3" i="53"/>
  <c r="SZD3" i="53"/>
  <c r="SZN3" i="53"/>
  <c r="SZX3" i="53"/>
  <c r="TAH3" i="53"/>
  <c r="TAR3" i="53"/>
  <c r="TBB3" i="53"/>
  <c r="TBL3" i="53"/>
  <c r="TBV3" i="53"/>
  <c r="TCF3" i="53"/>
  <c r="TCP3" i="53"/>
  <c r="TCZ3" i="53"/>
  <c r="TDJ3" i="53"/>
  <c r="TDT3" i="53"/>
  <c r="TED3" i="53"/>
  <c r="TEN3" i="53"/>
  <c r="TEX3" i="53"/>
  <c r="TFH3" i="53"/>
  <c r="TFR3" i="53"/>
  <c r="TGB3" i="53"/>
  <c r="TGL3" i="53"/>
  <c r="THG3" i="53"/>
  <c r="TIB3" i="53"/>
  <c r="TIW3" i="53"/>
  <c r="TJR3" i="53"/>
  <c r="TKM3" i="53"/>
  <c r="TKX3" i="53"/>
  <c r="TLS3" i="53"/>
  <c r="TMN3" i="53"/>
  <c r="TNI3" i="53"/>
  <c r="TOD3" i="53"/>
  <c r="TOY3" i="53"/>
  <c r="TPT3" i="53"/>
  <c r="TQO3" i="53"/>
  <c r="TRJ3" i="53"/>
  <c r="TSE3" i="53"/>
  <c r="TSP3" i="53"/>
  <c r="TTK3" i="53"/>
  <c r="TUF3" i="53"/>
  <c r="TVA3" i="53"/>
  <c r="TVV3" i="53"/>
  <c r="TWQ3" i="53"/>
  <c r="TZP3" i="53"/>
  <c r="UAA3" i="53"/>
  <c r="UAX3" i="53"/>
  <c r="UBU3" i="53"/>
  <c r="UCS3" i="53"/>
  <c r="UDP3" i="53"/>
  <c r="UEM3" i="53"/>
  <c r="UFK3" i="53"/>
  <c r="UGH3" i="53"/>
  <c r="UHE3" i="53"/>
  <c r="UIC3" i="53"/>
  <c r="UJL3" i="53"/>
  <c r="UKJ3" i="53"/>
  <c r="ULG3" i="53"/>
  <c r="UMD3" i="53"/>
  <c r="UNB3" i="53"/>
  <c r="UNY3" i="53"/>
  <c r="UOV3" i="53"/>
  <c r="UPT3" i="53"/>
  <c r="UQQ3" i="53"/>
  <c r="URZ3" i="53"/>
  <c r="USX3" i="53"/>
  <c r="UTU3" i="53"/>
  <c r="UUR3" i="53"/>
  <c r="UVP3" i="53"/>
  <c r="UYA3" i="53"/>
  <c r="UZN3" i="53"/>
  <c r="VBA3" i="53"/>
  <c r="VBZ3" i="53"/>
  <c r="VCO3" i="53"/>
  <c r="VDN3" i="53"/>
  <c r="VEB3" i="53"/>
  <c r="VFP3" i="53"/>
  <c r="VIG3" i="53"/>
  <c r="VMK3" i="53"/>
  <c r="VNB3" i="53"/>
  <c r="VNQ3" i="53"/>
  <c r="VOG3" i="53"/>
  <c r="VOX3" i="53"/>
  <c r="VSE3" i="53"/>
  <c r="VSW3" i="53"/>
  <c r="VUX3" i="53"/>
  <c r="VWH3" i="53"/>
  <c r="VWY3" i="53"/>
  <c r="VZB3" i="53"/>
  <c r="VZS3" i="53"/>
  <c r="WAM3" i="53"/>
  <c r="WBC3" i="53"/>
  <c r="WBU3" i="53"/>
  <c r="WEQ3" i="53"/>
  <c r="WFX3" i="53"/>
  <c r="WIT3" i="53"/>
  <c r="WJO3" i="53"/>
  <c r="WKG3" i="53"/>
  <c r="WLA3" i="53"/>
  <c r="WLU3" i="53"/>
  <c r="WMM3" i="53"/>
  <c r="WOB3" i="53"/>
  <c r="WOV3" i="53"/>
  <c r="WVT3" i="53"/>
  <c r="WWM3" i="53"/>
  <c r="XDK3" i="53"/>
  <c r="XEX3" i="53"/>
  <c r="TGW3" i="53"/>
  <c r="THR3" i="53"/>
  <c r="TIM3" i="53"/>
  <c r="TJH3" i="53"/>
  <c r="TKC3" i="53"/>
  <c r="TKN3" i="53"/>
  <c r="TLI3" i="53"/>
  <c r="TMD3" i="53"/>
  <c r="TMY3" i="53"/>
  <c r="TNT3" i="53"/>
  <c r="TOO3" i="53"/>
  <c r="TPJ3" i="53"/>
  <c r="TQE3" i="53"/>
  <c r="TQZ3" i="53"/>
  <c r="TRU3" i="53"/>
  <c r="TSF3" i="53"/>
  <c r="TTA3" i="53"/>
  <c r="TTV3" i="53"/>
  <c r="TUQ3" i="53"/>
  <c r="TVL3" i="53"/>
  <c r="TWG3" i="53"/>
  <c r="TXB3" i="53"/>
  <c r="TXM3" i="53"/>
  <c r="TXX3" i="53"/>
  <c r="TYI3" i="53"/>
  <c r="TYT3" i="53"/>
  <c r="TZE3" i="53"/>
  <c r="UAB3" i="53"/>
  <c r="UAM3" i="53"/>
  <c r="UBJ3" i="53"/>
  <c r="UCH3" i="53"/>
  <c r="UDE3" i="53"/>
  <c r="UEB3" i="53"/>
  <c r="UEZ3" i="53"/>
  <c r="UFW3" i="53"/>
  <c r="UGT3" i="53"/>
  <c r="UHR3" i="53"/>
  <c r="UJA3" i="53"/>
  <c r="UJX3" i="53"/>
  <c r="UKV3" i="53"/>
  <c r="ULS3" i="53"/>
  <c r="UMP3" i="53"/>
  <c r="UNN3" i="53"/>
  <c r="UOK3" i="53"/>
  <c r="UPH3" i="53"/>
  <c r="UQF3" i="53"/>
  <c r="URO3" i="53"/>
  <c r="USM3" i="53"/>
  <c r="UTJ3" i="53"/>
  <c r="UUG3" i="53"/>
  <c r="UVE3" i="53"/>
  <c r="UWB3" i="53"/>
  <c r="UWN3" i="53"/>
  <c r="UWZ3" i="53"/>
  <c r="UXN3" i="53"/>
  <c r="UYN3" i="53"/>
  <c r="UZB3" i="53"/>
  <c r="VAA3" i="53"/>
  <c r="VAO3" i="53"/>
  <c r="VBN3" i="53"/>
  <c r="VDB3" i="53"/>
  <c r="VEO3" i="53"/>
  <c r="VFB3" i="53"/>
  <c r="VFQ3" i="53"/>
  <c r="VGD3" i="53"/>
  <c r="VGQ3" i="53"/>
  <c r="VHG3" i="53"/>
  <c r="VHT3" i="53"/>
  <c r="VIX3" i="53"/>
  <c r="VKA3" i="53"/>
  <c r="VLF3" i="53"/>
  <c r="VLU3" i="53"/>
  <c r="VPN3" i="53"/>
  <c r="VQD3" i="53"/>
  <c r="VTP3" i="53"/>
  <c r="VUH3" i="53"/>
  <c r="VVR3" i="53"/>
  <c r="WCN3" i="53"/>
  <c r="WDW3" i="53"/>
  <c r="WFH3" i="53"/>
  <c r="WGS3" i="53"/>
  <c r="WHK3" i="53"/>
  <c r="WID3" i="53"/>
  <c r="WMP3" i="53"/>
  <c r="WNH3" i="53"/>
  <c r="WRD3" i="53"/>
  <c r="WRY3" i="53"/>
  <c r="WST3" i="53"/>
  <c r="WTN3" i="53"/>
  <c r="WUG3" i="53"/>
  <c r="WUY3" i="53"/>
  <c r="WXH3" i="53"/>
  <c r="WZP3" i="53"/>
  <c r="XAL3" i="53"/>
  <c r="XBE3" i="53"/>
  <c r="XBY3" i="53"/>
  <c r="XCQ3" i="53"/>
  <c r="XEF3" i="53"/>
  <c r="UXC3" i="53"/>
  <c r="UXZ3" i="53"/>
  <c r="UYW3" i="53"/>
  <c r="VAG3" i="53"/>
  <c r="VBD3" i="53"/>
  <c r="VCN3" i="53"/>
  <c r="VDK3" i="53"/>
  <c r="VEH3" i="53"/>
  <c r="VEU3" i="53"/>
  <c r="VID3" i="53"/>
  <c r="VKG3" i="53"/>
  <c r="VMJ3" i="53"/>
  <c r="VPD3" i="53"/>
  <c r="VQG3" i="53"/>
  <c r="VQY3" i="53"/>
  <c r="VRO3" i="53"/>
  <c r="VSD3" i="53"/>
  <c r="VSU3" i="53"/>
  <c r="VUA3" i="53"/>
  <c r="VUR3" i="53"/>
  <c r="VVG3" i="53"/>
  <c r="VWL3" i="53"/>
  <c r="VXT3" i="53"/>
  <c r="VYI3" i="53"/>
  <c r="VYZ3" i="53"/>
  <c r="WBL3" i="53"/>
  <c r="WCB3" i="53"/>
  <c r="WCQ3" i="53"/>
  <c r="WDH3" i="53"/>
  <c r="WFE3" i="53"/>
  <c r="WFU3" i="53"/>
  <c r="WKH3" i="53"/>
  <c r="WKY3" i="53"/>
  <c r="WMJ3" i="53"/>
  <c r="WNA3" i="53"/>
  <c r="WPB3" i="53"/>
  <c r="WQM3" i="53"/>
  <c r="WUR3" i="53"/>
  <c r="WVZ3" i="53"/>
  <c r="WWS3" i="53"/>
  <c r="WYC3" i="53"/>
  <c r="XAU3" i="53"/>
  <c r="XBP3" i="53"/>
  <c r="XCG3" i="53"/>
  <c r="XCX3" i="53"/>
  <c r="XDQ3" i="53"/>
  <c r="TXP3" i="53"/>
  <c r="TYK3" i="53"/>
  <c r="TYV3" i="53"/>
  <c r="TZQ3" i="53"/>
  <c r="UAL3" i="53"/>
  <c r="UAW3" i="53"/>
  <c r="UBH3" i="53"/>
  <c r="UBS3" i="53"/>
  <c r="UCD3" i="53"/>
  <c r="UCO3" i="53"/>
  <c r="UCZ3" i="53"/>
  <c r="UDL3" i="53"/>
  <c r="UDW3" i="53"/>
  <c r="UEH3" i="53"/>
  <c r="UES3" i="53"/>
  <c r="UFD3" i="53"/>
  <c r="UFO3" i="53"/>
  <c r="UFZ3" i="53"/>
  <c r="UGK3" i="53"/>
  <c r="UGV3" i="53"/>
  <c r="UHH3" i="53"/>
  <c r="UHS3" i="53"/>
  <c r="UID3" i="53"/>
  <c r="UIO3" i="53"/>
  <c r="UIZ3" i="53"/>
  <c r="UJK3" i="53"/>
  <c r="UJV3" i="53"/>
  <c r="UKG3" i="53"/>
  <c r="UKR3" i="53"/>
  <c r="ULD3" i="53"/>
  <c r="ULO3" i="53"/>
  <c r="ULZ3" i="53"/>
  <c r="UMK3" i="53"/>
  <c r="UMV3" i="53"/>
  <c r="UNG3" i="53"/>
  <c r="UNR3" i="53"/>
  <c r="UOC3" i="53"/>
  <c r="UON3" i="53"/>
  <c r="UOZ3" i="53"/>
  <c r="UPK3" i="53"/>
  <c r="UPV3" i="53"/>
  <c r="UQG3" i="53"/>
  <c r="UQR3" i="53"/>
  <c r="URC3" i="53"/>
  <c r="URN3" i="53"/>
  <c r="URY3" i="53"/>
  <c r="USJ3" i="53"/>
  <c r="USV3" i="53"/>
  <c r="UTG3" i="53"/>
  <c r="UTR3" i="53"/>
  <c r="UUC3" i="53"/>
  <c r="UUN3" i="53"/>
  <c r="UUY3" i="53"/>
  <c r="UVJ3" i="53"/>
  <c r="UVU3" i="53"/>
  <c r="UWF3" i="53"/>
  <c r="UWR3" i="53"/>
  <c r="UXO3" i="53"/>
  <c r="UYL3" i="53"/>
  <c r="UZV3" i="53"/>
  <c r="VAS3" i="53"/>
  <c r="VBP3" i="53"/>
  <c r="VCC3" i="53"/>
  <c r="VCZ3" i="53"/>
  <c r="VDW3" i="53"/>
  <c r="VFH3" i="53"/>
  <c r="VFT3" i="53"/>
  <c r="VGF3" i="53"/>
  <c r="VGR3" i="53"/>
  <c r="VHF3" i="53"/>
  <c r="VHR3" i="53"/>
  <c r="VIQ3" i="53"/>
  <c r="VJE3" i="53"/>
  <c r="VJR3" i="53"/>
  <c r="VKU3" i="53"/>
  <c r="VLH3" i="53"/>
  <c r="VLV3" i="53"/>
  <c r="VNN3" i="53"/>
  <c r="VOQ3" i="53"/>
  <c r="VPS3" i="53"/>
  <c r="VQI3" i="53"/>
  <c r="VUB3" i="53"/>
  <c r="VVW3" i="53"/>
  <c r="VXC3" i="53"/>
  <c r="VYJ3" i="53"/>
  <c r="WAE3" i="53"/>
  <c r="WAX3" i="53"/>
  <c r="WBM3" i="53"/>
  <c r="WCS3" i="53"/>
  <c r="WDX3" i="53"/>
  <c r="WGJ3" i="53"/>
  <c r="WHS3" i="53"/>
  <c r="WIJ3" i="53"/>
  <c r="WJB3" i="53"/>
  <c r="WJS3" i="53"/>
  <c r="WOK3" i="53"/>
  <c r="WRX3" i="53"/>
  <c r="WSO3" i="53"/>
  <c r="WTG3" i="53"/>
  <c r="WVI3" i="53"/>
  <c r="WXM3" i="53"/>
  <c r="WYV3" i="53"/>
  <c r="WZN3" i="53"/>
  <c r="XAE3" i="53"/>
  <c r="XAW3" i="53"/>
  <c r="XEH3" i="53"/>
  <c r="XEZ3" i="53"/>
  <c r="UAS3" i="53"/>
  <c r="UBC3" i="53"/>
  <c r="UBM3" i="53"/>
  <c r="UBW3" i="53"/>
  <c r="UCG3" i="53"/>
  <c r="UCQ3" i="53"/>
  <c r="UDA3" i="53"/>
  <c r="UDK3" i="53"/>
  <c r="UDU3" i="53"/>
  <c r="UEE3" i="53"/>
  <c r="UEO3" i="53"/>
  <c r="UEY3" i="53"/>
  <c r="UFI3" i="53"/>
  <c r="UFS3" i="53"/>
  <c r="UGC3" i="53"/>
  <c r="UGM3" i="53"/>
  <c r="UGW3" i="53"/>
  <c r="UHG3" i="53"/>
  <c r="UHQ3" i="53"/>
  <c r="UIA3" i="53"/>
  <c r="UIK3" i="53"/>
  <c r="UIU3" i="53"/>
  <c r="UJE3" i="53"/>
  <c r="UJO3" i="53"/>
  <c r="UJY3" i="53"/>
  <c r="UKI3" i="53"/>
  <c r="UKS3" i="53"/>
  <c r="ULC3" i="53"/>
  <c r="ULM3" i="53"/>
  <c r="ULW3" i="53"/>
  <c r="UMG3" i="53"/>
  <c r="UMQ3" i="53"/>
  <c r="UNA3" i="53"/>
  <c r="UNK3" i="53"/>
  <c r="UNU3" i="53"/>
  <c r="UOE3" i="53"/>
  <c r="UOO3" i="53"/>
  <c r="UOY3" i="53"/>
  <c r="UPI3" i="53"/>
  <c r="UPS3" i="53"/>
  <c r="UQC3" i="53"/>
  <c r="UQM3" i="53"/>
  <c r="UQW3" i="53"/>
  <c r="URG3" i="53"/>
  <c r="URQ3" i="53"/>
  <c r="USA3" i="53"/>
  <c r="USK3" i="53"/>
  <c r="USU3" i="53"/>
  <c r="UTE3" i="53"/>
  <c r="UTO3" i="53"/>
  <c r="UTY3" i="53"/>
  <c r="UUI3" i="53"/>
  <c r="UUS3" i="53"/>
  <c r="UVC3" i="53"/>
  <c r="UVM3" i="53"/>
  <c r="UVW3" i="53"/>
  <c r="UWG3" i="53"/>
  <c r="UWQ3" i="53"/>
  <c r="UXA3" i="53"/>
  <c r="UXK3" i="53"/>
  <c r="UXU3" i="53"/>
  <c r="UYE3" i="53"/>
  <c r="UYO3" i="53"/>
  <c r="UYY3" i="53"/>
  <c r="UZI3" i="53"/>
  <c r="UZS3" i="53"/>
  <c r="VAC3" i="53"/>
  <c r="VAM3" i="53"/>
  <c r="VAW3" i="53"/>
  <c r="VBG3" i="53"/>
  <c r="VBQ3" i="53"/>
  <c r="VCA3" i="53"/>
  <c r="VCK3" i="53"/>
  <c r="VCU3" i="53"/>
  <c r="VDE3" i="53"/>
  <c r="VDO3" i="53"/>
  <c r="VDY3" i="53"/>
  <c r="VEI3" i="53"/>
  <c r="VES3" i="53"/>
  <c r="VFN3" i="53"/>
  <c r="VGI3" i="53"/>
  <c r="VHD3" i="53"/>
  <c r="VHO3" i="53"/>
  <c r="VIV3" i="53"/>
  <c r="VKE3" i="53"/>
  <c r="VKQ3" i="53"/>
  <c r="VLN3" i="53"/>
  <c r="VMY3" i="53"/>
  <c r="VQU3" i="53"/>
  <c r="VSK3" i="53"/>
  <c r="VSX3" i="53"/>
  <c r="VUM3" i="53"/>
  <c r="VYE3" i="53"/>
  <c r="VYR3" i="53"/>
  <c r="WAG3" i="53"/>
  <c r="WAV3" i="53"/>
  <c r="WCX3" i="53"/>
  <c r="WDY3" i="53"/>
  <c r="WEM3" i="53"/>
  <c r="WFO3" i="53"/>
  <c r="WGQ3" i="53"/>
  <c r="WIU3" i="53"/>
  <c r="WJX3" i="53"/>
  <c r="WLB3" i="53"/>
  <c r="WLQ3" i="53"/>
  <c r="WMF3" i="53"/>
  <c r="WNZ3" i="53"/>
  <c r="WOO3" i="53"/>
  <c r="WPU3" i="53"/>
  <c r="WSC3" i="53"/>
  <c r="WSR3" i="53"/>
  <c r="WUL3" i="53"/>
  <c r="WVB3" i="53"/>
  <c r="WXJ3" i="53"/>
  <c r="WXZ3" i="53"/>
  <c r="WZD3" i="53"/>
  <c r="WZS3" i="53"/>
  <c r="XAJ3" i="53"/>
  <c r="XAY3" i="53"/>
  <c r="XBN3" i="53"/>
  <c r="XCC3" i="53"/>
  <c r="XDV3" i="53"/>
  <c r="XEL3" i="53"/>
  <c r="VFD3" i="53"/>
  <c r="VFY3" i="53"/>
  <c r="VGT3" i="53"/>
  <c r="VHE3" i="53"/>
  <c r="VHZ3" i="53"/>
  <c r="VIK3" i="53"/>
  <c r="VJT3" i="53"/>
  <c r="VLC3" i="53"/>
  <c r="VLO3" i="53"/>
  <c r="VMA3" i="53"/>
  <c r="VMM3" i="53"/>
  <c r="VNL3" i="53"/>
  <c r="VNX3" i="53"/>
  <c r="VOW3" i="53"/>
  <c r="VPI3" i="53"/>
  <c r="VPU3" i="53"/>
  <c r="VQH3" i="53"/>
  <c r="VRJ3" i="53"/>
  <c r="VTZ3" i="53"/>
  <c r="VVA3" i="53"/>
  <c r="VVO3" i="53"/>
  <c r="VWC3" i="53"/>
  <c r="VWQ3" i="53"/>
  <c r="VZG3" i="53"/>
  <c r="VZT3" i="53"/>
  <c r="WBJ3" i="53"/>
  <c r="WBW3" i="53"/>
  <c r="WFA3" i="53"/>
  <c r="WGC3" i="53"/>
  <c r="WHE3" i="53"/>
  <c r="WHT3" i="53"/>
  <c r="WIH3" i="53"/>
  <c r="WJK3" i="53"/>
  <c r="WKO3" i="53"/>
  <c r="WMV3" i="53"/>
  <c r="WNK3" i="53"/>
  <c r="WPD3" i="53"/>
  <c r="WQY3" i="53"/>
  <c r="WRN3" i="53"/>
  <c r="WTH3" i="53"/>
  <c r="WTW3" i="53"/>
  <c r="WVR3" i="53"/>
  <c r="WWG3" i="53"/>
  <c r="WWV3" i="53"/>
  <c r="WYO3" i="53"/>
  <c r="XCD3" i="53"/>
  <c r="XCR3" i="53"/>
  <c r="XDH3" i="53"/>
  <c r="XFA3" i="53"/>
  <c r="UXB3" i="53"/>
  <c r="UXL3" i="53"/>
  <c r="UXV3" i="53"/>
  <c r="UYF3" i="53"/>
  <c r="UYP3" i="53"/>
  <c r="UYZ3" i="53"/>
  <c r="UZJ3" i="53"/>
  <c r="UZT3" i="53"/>
  <c r="VAD3" i="53"/>
  <c r="VAN3" i="53"/>
  <c r="VAX3" i="53"/>
  <c r="VBH3" i="53"/>
  <c r="VBR3" i="53"/>
  <c r="VCB3" i="53"/>
  <c r="VCL3" i="53"/>
  <c r="VCV3" i="53"/>
  <c r="VDF3" i="53"/>
  <c r="VDP3" i="53"/>
  <c r="VDZ3" i="53"/>
  <c r="VEJ3" i="53"/>
  <c r="VET3" i="53"/>
  <c r="VFO3" i="53"/>
  <c r="VGJ3" i="53"/>
  <c r="VGU3" i="53"/>
  <c r="VHP3" i="53"/>
  <c r="VJI3" i="53"/>
  <c r="VKR3" i="53"/>
  <c r="VOK3" i="53"/>
  <c r="VPV3" i="53"/>
  <c r="VRY3" i="53"/>
  <c r="VSL3" i="53"/>
  <c r="VTM3" i="53"/>
  <c r="VUN3" i="53"/>
  <c r="VXE3" i="53"/>
  <c r="VXS3" i="53"/>
  <c r="VYF3" i="53"/>
  <c r="VZU3" i="53"/>
  <c r="WAI3" i="53"/>
  <c r="WCL3" i="53"/>
  <c r="WCY3" i="53"/>
  <c r="WDM3" i="53"/>
  <c r="WDZ3" i="53"/>
  <c r="WEN3" i="53"/>
  <c r="WFP3" i="53"/>
  <c r="WGR3" i="53"/>
  <c r="WHU3" i="53"/>
  <c r="WIX3" i="53"/>
  <c r="WKA3" i="53"/>
  <c r="WLR3" i="53"/>
  <c r="WMG3" i="53"/>
  <c r="WOA3" i="53"/>
  <c r="WPV3" i="53"/>
  <c r="WQK3" i="53"/>
  <c r="WRO3" i="53"/>
  <c r="WSD3" i="53"/>
  <c r="WUN3" i="53"/>
  <c r="WWW3" i="53"/>
  <c r="WXK3" i="53"/>
  <c r="WYA3" i="53"/>
  <c r="XAK3" i="53"/>
  <c r="XAZ3" i="53"/>
  <c r="XCT3" i="53"/>
  <c r="XDW3" i="53"/>
  <c r="XEM3" i="53"/>
  <c r="XFC3" i="53"/>
  <c r="VIL3" i="53"/>
  <c r="VIW3" i="53"/>
  <c r="VJH3" i="53"/>
  <c r="VJS3" i="53"/>
  <c r="VKD3" i="53"/>
  <c r="VKO3" i="53"/>
  <c r="VLW3" i="53"/>
  <c r="VNF3" i="53"/>
  <c r="VOO3" i="53"/>
  <c r="VPA3" i="53"/>
  <c r="VPX3" i="53"/>
  <c r="VTF3" i="53"/>
  <c r="VTR3" i="53"/>
  <c r="VUD3" i="53"/>
  <c r="VVC3" i="53"/>
  <c r="VWZ3" i="53"/>
  <c r="VYK3" i="53"/>
  <c r="VZJ3" i="53"/>
  <c r="VZV3" i="53"/>
  <c r="WAH3" i="53"/>
  <c r="WBG3" i="53"/>
  <c r="WDD3" i="53"/>
  <c r="WDQ3" i="53"/>
  <c r="WEC3" i="53"/>
  <c r="WEO3" i="53"/>
  <c r="WFZ3" i="53"/>
  <c r="WGM3" i="53"/>
  <c r="WGZ3" i="53"/>
  <c r="WIZ3" i="53"/>
  <c r="WJY3" i="53"/>
  <c r="WKZ3" i="53"/>
  <c r="WMO3" i="53"/>
  <c r="WNP3" i="53"/>
  <c r="WOC3" i="53"/>
  <c r="WQG3" i="53"/>
  <c r="WQT3" i="53"/>
  <c r="WTY3" i="53"/>
  <c r="WUM3" i="53"/>
  <c r="WUZ3" i="53"/>
  <c r="WXD3" i="53"/>
  <c r="WXQ3" i="53"/>
  <c r="XAV3" i="53"/>
  <c r="XBJ3" i="53"/>
  <c r="XBW3" i="53"/>
  <c r="XCK3" i="53"/>
  <c r="XCY3" i="53"/>
  <c r="XEA3" i="53"/>
  <c r="XEN3" i="53"/>
  <c r="VQW3" i="53"/>
  <c r="VRI3" i="53"/>
  <c r="VRU3" i="53"/>
  <c r="VSG3" i="53"/>
  <c r="VST3" i="53"/>
  <c r="VUQ3" i="53"/>
  <c r="VVD3" i="53"/>
  <c r="VVP3" i="53"/>
  <c r="VWB3" i="53"/>
  <c r="VXM3" i="53"/>
  <c r="VYX3" i="53"/>
  <c r="WBT3" i="53"/>
  <c r="WCF3" i="53"/>
  <c r="WFB3" i="53"/>
  <c r="WFN3" i="53"/>
  <c r="WHM3" i="53"/>
  <c r="WHZ3" i="53"/>
  <c r="WIN3" i="53"/>
  <c r="WJM3" i="53"/>
  <c r="WKN3" i="53"/>
  <c r="WLM3" i="53"/>
  <c r="WMA3" i="53"/>
  <c r="WNC3" i="53"/>
  <c r="WOR3" i="53"/>
  <c r="WPF3" i="53"/>
  <c r="WPS3" i="53"/>
  <c r="WQU3" i="53"/>
  <c r="WRI3" i="53"/>
  <c r="WRW3" i="53"/>
  <c r="WSJ3" i="53"/>
  <c r="WSX3" i="53"/>
  <c r="WTL3" i="53"/>
  <c r="WVO3" i="53"/>
  <c r="WWC3" i="53"/>
  <c r="WWP3" i="53"/>
  <c r="WXR3" i="53"/>
  <c r="WYE3" i="53"/>
  <c r="WYT3" i="53"/>
  <c r="WZG3" i="53"/>
  <c r="WZU3" i="53"/>
  <c r="XAI3" i="53"/>
  <c r="XDM3" i="53"/>
  <c r="XEO3" i="53"/>
  <c r="XFB3" i="53"/>
  <c r="VME3" i="53"/>
  <c r="VMZ3" i="53"/>
  <c r="VNU3" i="53"/>
  <c r="VOP3" i="53"/>
  <c r="VPK3" i="53"/>
  <c r="VQF3" i="53"/>
  <c r="VRM3" i="53"/>
  <c r="VWE3" i="53"/>
  <c r="VWP3" i="53"/>
  <c r="VXA3" i="53"/>
  <c r="VXL3" i="53"/>
  <c r="VXW3" i="53"/>
  <c r="VYH3" i="53"/>
  <c r="VYS3" i="53"/>
  <c r="VZD3" i="53"/>
  <c r="WAA3" i="53"/>
  <c r="WAL3" i="53"/>
  <c r="WAW3" i="53"/>
  <c r="WBH3" i="53"/>
  <c r="WBS3" i="53"/>
  <c r="WCD3" i="53"/>
  <c r="WCO3" i="53"/>
  <c r="WCZ3" i="53"/>
  <c r="WDK3" i="53"/>
  <c r="WGW3" i="53"/>
  <c r="WHI3" i="53"/>
  <c r="WIF3" i="53"/>
  <c r="WJC3" i="53"/>
  <c r="WKL3" i="53"/>
  <c r="WLJ3" i="53"/>
  <c r="WLV3" i="53"/>
  <c r="WMU3" i="53"/>
  <c r="WNG3" i="53"/>
  <c r="WNT3" i="53"/>
  <c r="WPE3" i="53"/>
  <c r="WPQ3" i="53"/>
  <c r="WQC3" i="53"/>
  <c r="WSA3" i="53"/>
  <c r="WUK3" i="53"/>
  <c r="WWI3" i="53"/>
  <c r="WWU3" i="53"/>
  <c r="WYS3" i="53"/>
  <c r="WZE3" i="53"/>
  <c r="WZQ3" i="53"/>
  <c r="XAP3" i="53"/>
  <c r="XBB3" i="53"/>
  <c r="XBO3" i="53"/>
  <c r="XCA3" i="53"/>
  <c r="XCZ3" i="53"/>
  <c r="XDL3" i="53"/>
  <c r="XDY3" i="53"/>
  <c r="VIS3" i="53"/>
  <c r="VJN3" i="53"/>
  <c r="VKI3" i="53"/>
  <c r="VLD3" i="53"/>
  <c r="VLY3" i="53"/>
  <c r="VMT3" i="53"/>
  <c r="VNO3" i="53"/>
  <c r="VOJ3" i="53"/>
  <c r="VPE3" i="53"/>
  <c r="VQK3" i="53"/>
  <c r="VQV3" i="53"/>
  <c r="VRG3" i="53"/>
  <c r="VRR3" i="53"/>
  <c r="VSC3" i="53"/>
  <c r="VSN3" i="53"/>
  <c r="VSY3" i="53"/>
  <c r="VTJ3" i="53"/>
  <c r="VTU3" i="53"/>
  <c r="VVY3" i="53"/>
  <c r="VWJ3" i="53"/>
  <c r="VWU3" i="53"/>
  <c r="VXF3" i="53"/>
  <c r="VXQ3" i="53"/>
  <c r="WCI3" i="53"/>
  <c r="WCT3" i="53"/>
  <c r="WDE3" i="53"/>
  <c r="WDP3" i="53"/>
  <c r="WGE3" i="53"/>
  <c r="WHB3" i="53"/>
  <c r="WHY3" i="53"/>
  <c r="WJI3" i="53"/>
  <c r="WKF3" i="53"/>
  <c r="WLC3" i="53"/>
  <c r="WNM3" i="53"/>
  <c r="WPK3" i="53"/>
  <c r="WPW3" i="53"/>
  <c r="WQI3" i="53"/>
  <c r="WRT3" i="53"/>
  <c r="WSG3" i="53"/>
  <c r="WSS3" i="53"/>
  <c r="WTE3" i="53"/>
  <c r="WTR3" i="53"/>
  <c r="WUD3" i="53"/>
  <c r="WUQ3" i="53"/>
  <c r="WVC3" i="53"/>
  <c r="WWB3" i="53"/>
  <c r="WWN3" i="53"/>
  <c r="WWZ3" i="53"/>
  <c r="WYX3" i="53"/>
  <c r="XDR3" i="53"/>
  <c r="WMI3" i="53"/>
  <c r="WND3" i="53"/>
  <c r="WNY3" i="53"/>
  <c r="WOT3" i="53"/>
  <c r="WPO3" i="53"/>
  <c r="WQJ3" i="53"/>
  <c r="WRE3" i="53"/>
  <c r="WRZ3" i="53"/>
  <c r="WSU3" i="53"/>
  <c r="WUA3" i="53"/>
  <c r="WUV3" i="53"/>
  <c r="WVQ3" i="53"/>
  <c r="WWL3" i="53"/>
  <c r="WXG3" i="53"/>
  <c r="WYB3" i="53"/>
  <c r="WYW3" i="53"/>
  <c r="WZR3" i="53"/>
  <c r="XAM3" i="53"/>
  <c r="XBS3" i="53"/>
  <c r="XCN3" i="53"/>
  <c r="XDI3" i="53"/>
  <c r="XED3" i="53"/>
  <c r="XEY3" i="53"/>
  <c r="WGV3" i="53"/>
  <c r="WHQ3" i="53"/>
  <c r="WIW3" i="53"/>
  <c r="WJR3" i="53"/>
  <c r="WKM3" i="53"/>
  <c r="WLH3" i="53"/>
  <c r="WMC3" i="53"/>
  <c r="WMX3" i="53"/>
  <c r="WNS3" i="53"/>
  <c r="WON3" i="53"/>
  <c r="WPI3" i="53"/>
  <c r="WQO3" i="53"/>
  <c r="WRJ3" i="53"/>
  <c r="WSE3" i="53"/>
  <c r="WSZ3" i="53"/>
  <c r="WTU3" i="53"/>
  <c r="WUP3" i="53"/>
  <c r="WVK3" i="53"/>
  <c r="WWF3" i="53"/>
  <c r="WXA3" i="53"/>
  <c r="WYG3" i="53"/>
  <c r="WZB3" i="53"/>
  <c r="WZW3" i="53"/>
  <c r="XAR3" i="53"/>
  <c r="XBM3" i="53"/>
  <c r="XCH3" i="53"/>
  <c r="XDC3" i="53"/>
  <c r="XDX3" i="53"/>
  <c r="XES3" i="53"/>
  <c r="VRB3" i="53"/>
  <c r="VRW3" i="53"/>
  <c r="VTC3" i="53"/>
  <c r="VTX3" i="53"/>
  <c r="VUS3" i="53"/>
  <c r="VVN3" i="53"/>
  <c r="VWI3" i="53"/>
  <c r="VXD3" i="53"/>
  <c r="VXY3" i="53"/>
  <c r="VYT3" i="53"/>
  <c r="VZO3" i="53"/>
  <c r="WAU3" i="53"/>
  <c r="WBP3" i="53"/>
  <c r="WCK3" i="53"/>
  <c r="WDF3" i="53"/>
  <c r="WEA3" i="53"/>
  <c r="WEV3" i="53"/>
  <c r="WFQ3" i="53"/>
  <c r="WGL3" i="53"/>
  <c r="WHG3" i="53"/>
  <c r="WIM3" i="53"/>
  <c r="WJH3" i="53"/>
  <c r="WKC3" i="53"/>
  <c r="WKX3" i="53"/>
  <c r="WLS3" i="53"/>
  <c r="WMN3" i="53"/>
  <c r="WNI3" i="53"/>
  <c r="WOD3" i="53"/>
  <c r="WOY3" i="53"/>
  <c r="WQE3" i="53"/>
  <c r="WQZ3" i="53"/>
  <c r="WRU3" i="53"/>
  <c r="WSP3" i="53"/>
  <c r="WTK3" i="53"/>
  <c r="WUF3" i="53"/>
  <c r="WVA3" i="53"/>
  <c r="WVV3" i="53"/>
  <c r="WWQ3" i="53"/>
  <c r="WXW3" i="53"/>
  <c r="WYR3" i="53"/>
  <c r="WZM3" i="53"/>
  <c r="XAH3" i="53"/>
  <c r="XBC3" i="53"/>
  <c r="XBX3" i="53"/>
  <c r="XCS3" i="53"/>
  <c r="XDN3" i="53"/>
  <c r="XEI3" i="53"/>
  <c r="VIR3" i="53"/>
  <c r="VJB3" i="53"/>
  <c r="VJL3" i="53"/>
  <c r="VJV3" i="53"/>
  <c r="VKF3" i="53"/>
  <c r="VKP3" i="53"/>
  <c r="VKZ3" i="53"/>
  <c r="VLJ3" i="53"/>
  <c r="VLT3" i="53"/>
  <c r="VMD3" i="53"/>
  <c r="VMN3" i="53"/>
  <c r="VMX3" i="53"/>
  <c r="VNH3" i="53"/>
  <c r="VNR3" i="53"/>
  <c r="VOB3" i="53"/>
  <c r="VOL3" i="53"/>
  <c r="VOV3" i="53"/>
  <c r="VPF3" i="53"/>
  <c r="VPP3" i="53"/>
  <c r="VPZ3" i="53"/>
  <c r="VQJ3" i="53"/>
  <c r="VQT3" i="53"/>
  <c r="VRD3" i="53"/>
  <c r="VRN3" i="53"/>
  <c r="VRX3" i="53"/>
  <c r="VSH3" i="53"/>
  <c r="VSR3" i="53"/>
  <c r="VTB3" i="53"/>
  <c r="VTL3" i="53"/>
  <c r="VTV3" i="53"/>
  <c r="VUF3" i="53"/>
  <c r="VUP3" i="53"/>
  <c r="VUZ3" i="53"/>
  <c r="VVJ3" i="53"/>
  <c r="VVT3" i="53"/>
  <c r="VWD3" i="53"/>
  <c r="VWN3" i="53"/>
  <c r="VWX3" i="53"/>
  <c r="VXH3" i="53"/>
  <c r="VXR3" i="53"/>
  <c r="VYB3" i="53"/>
  <c r="VYL3" i="53"/>
  <c r="VYV3" i="53"/>
  <c r="VZF3" i="53"/>
  <c r="VZP3" i="53"/>
  <c r="VZZ3" i="53"/>
  <c r="WAJ3" i="53"/>
  <c r="WAT3" i="53"/>
  <c r="WBD3" i="53"/>
  <c r="WBN3" i="53"/>
  <c r="WBX3" i="53"/>
  <c r="WCH3" i="53"/>
  <c r="WCR3" i="53"/>
  <c r="WDB3" i="53"/>
  <c r="WDL3" i="53"/>
  <c r="WDV3" i="53"/>
  <c r="WEF3" i="53"/>
  <c r="WEP3" i="53"/>
  <c r="WEZ3" i="53"/>
  <c r="WFJ3" i="53"/>
  <c r="WFT3" i="53"/>
  <c r="WGD3" i="53"/>
  <c r="WGN3" i="53"/>
  <c r="WGX3" i="53"/>
  <c r="WHH3" i="53"/>
  <c r="WHR3" i="53"/>
  <c r="WIB3" i="53"/>
  <c r="WIL3" i="53"/>
  <c r="WIV3" i="53"/>
  <c r="WJF3" i="53"/>
  <c r="WJP3" i="53"/>
  <c r="WJZ3" i="53"/>
  <c r="WKJ3" i="53"/>
  <c r="WKT3" i="53"/>
  <c r="WLD3" i="53"/>
  <c r="WLN3" i="53"/>
  <c r="WLX3" i="53"/>
  <c r="WMH3" i="53"/>
  <c r="WMR3" i="53"/>
  <c r="WNB3" i="53"/>
  <c r="WNL3" i="53"/>
  <c r="WNV3" i="53"/>
  <c r="WOF3" i="53"/>
  <c r="WOP3" i="53"/>
  <c r="WOZ3" i="53"/>
  <c r="WPJ3" i="53"/>
  <c r="WPT3" i="53"/>
  <c r="WQD3" i="53"/>
  <c r="WQN3" i="53"/>
  <c r="WQX3" i="53"/>
  <c r="WRH3" i="53"/>
  <c r="WRR3" i="53"/>
  <c r="WSB3" i="53"/>
  <c r="WSL3" i="53"/>
  <c r="WSV3" i="53"/>
  <c r="WTF3" i="53"/>
  <c r="WTP3" i="53"/>
  <c r="WTZ3" i="53"/>
  <c r="WUJ3" i="53"/>
  <c r="WUT3" i="53"/>
  <c r="WVD3" i="53"/>
  <c r="WVN3" i="53"/>
  <c r="WVX3" i="53"/>
  <c r="WWH3" i="53"/>
  <c r="WWR3" i="53"/>
  <c r="WXB3" i="53"/>
  <c r="WXL3" i="53"/>
  <c r="WXV3" i="53"/>
  <c r="WYF3" i="53"/>
  <c r="WYP3" i="53"/>
  <c r="WYZ3" i="53"/>
  <c r="WZJ3" i="53"/>
  <c r="WZT3" i="53"/>
  <c r="XAD3" i="53"/>
  <c r="XAN3" i="53"/>
  <c r="XAX3" i="53"/>
  <c r="XBH3" i="53"/>
  <c r="XBR3" i="53"/>
  <c r="XCB3" i="53"/>
  <c r="XCL3" i="53"/>
  <c r="XCV3" i="53"/>
  <c r="XDF3" i="53"/>
  <c r="XDP3" i="53"/>
  <c r="XDZ3" i="53"/>
  <c r="XEJ3" i="53"/>
  <c r="XET3" i="53"/>
  <c r="XFD3" i="53"/>
  <c r="C3" i="52"/>
  <c r="B3" i="52"/>
  <c r="D3" i="52"/>
  <c r="E3" i="52"/>
  <c r="A3" i="52"/>
  <c r="J3" i="1"/>
  <c r="K3" i="1"/>
  <c r="B3" i="1"/>
  <c r="L3" i="1"/>
  <c r="C3" i="1"/>
  <c r="M3" i="1"/>
  <c r="D3" i="1"/>
  <c r="E3" i="1"/>
  <c r="F3" i="1"/>
  <c r="G3" i="1"/>
  <c r="H3" i="1"/>
  <c r="I3" i="1"/>
  <c r="A3" i="1"/>
  <c r="A4" i="62"/>
  <c r="A8" i="28"/>
  <c r="A7" i="28"/>
  <c r="A6" i="28"/>
  <c r="A5" i="28"/>
  <c r="A4" i="19"/>
  <c r="A4" i="54"/>
  <c r="F5" i="6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A4" i="9"/>
  <c r="A4" i="28"/>
  <c r="C64" i="4" a="1"/>
  <c r="C58" i="4" a="1"/>
  <c r="C61" i="4" a="1"/>
  <c r="C59" i="4" a="1"/>
  <c r="C60" i="4" a="1"/>
  <c r="C62" i="4" a="1"/>
  <c r="C63" i="4" a="1"/>
  <c r="E43" i="6" a="1"/>
  <c r="C21" i="4" a="1"/>
  <c r="C8" i="3" a="1"/>
  <c r="C17" i="11" a="1"/>
  <c r="C22" i="59" a="1"/>
  <c r="E4" i="46" a="1"/>
  <c r="E32" i="40" a="1"/>
  <c r="C9" i="31" a="1"/>
  <c r="C28" i="4" a="1"/>
  <c r="C35" i="40" a="1"/>
  <c r="E5" i="6" a="1"/>
  <c r="G21" i="40" a="1"/>
  <c r="C39" i="6" a="1"/>
  <c r="C28" i="6" a="1"/>
  <c r="E32" i="4" a="1"/>
  <c r="C20" i="59" a="1"/>
  <c r="C26" i="6" a="1"/>
  <c r="E38" i="6" a="1"/>
  <c r="E30" i="40" a="1"/>
  <c r="E49" i="40" a="1"/>
  <c r="C30" i="59" a="1"/>
  <c r="E5" i="40" a="1"/>
  <c r="G33" i="40" a="1"/>
  <c r="C29" i="11" a="1"/>
  <c r="C11" i="4" a="1"/>
  <c r="G54" i="40" a="1"/>
  <c r="E19" i="4" a="1"/>
  <c r="C12" i="3" a="1"/>
  <c r="E17" i="4" a="1"/>
  <c r="E36" i="4" a="1"/>
  <c r="C36" i="40" a="1"/>
  <c r="C11" i="3" a="1"/>
  <c r="C39" i="40" a="1"/>
  <c r="C24" i="6" a="1"/>
  <c r="C44" i="40" a="1"/>
  <c r="G20" i="40" a="1"/>
  <c r="C9" i="4" a="1"/>
  <c r="E18" i="4" a="1"/>
  <c r="C12" i="2" a="1"/>
  <c r="C16" i="37" a="1"/>
  <c r="C41" i="59" a="1"/>
  <c r="E29" i="6" a="1"/>
  <c r="G25" i="40" a="1"/>
  <c r="C5" i="28" a="1"/>
  <c r="E15" i="6" a="1"/>
  <c r="C12" i="37" a="1"/>
  <c r="C19" i="31" a="1"/>
  <c r="C34" i="40" a="1"/>
  <c r="G14" i="40" a="1"/>
  <c r="C43" i="59" a="1"/>
  <c r="C5" i="37" a="1"/>
  <c r="C32" i="4" a="1"/>
  <c r="G52" i="40" a="1"/>
  <c r="C6" i="2" a="1"/>
  <c r="C8" i="4" a="1"/>
  <c r="C56" i="40" a="1"/>
  <c r="E27" i="40" a="1"/>
  <c r="C17" i="2" a="1"/>
  <c r="C13" i="46" a="1"/>
  <c r="C13" i="40" a="1"/>
  <c r="C38" i="11" a="1"/>
  <c r="E41" i="4" a="1"/>
  <c r="E53" i="4" a="1"/>
  <c r="E25" i="4" a="1"/>
  <c r="C33" i="6" a="1"/>
  <c r="C27" i="6" a="1"/>
  <c r="G36" i="40" a="1"/>
  <c r="C12" i="4" a="1"/>
  <c r="E20" i="6" a="1"/>
  <c r="C10" i="59" a="1"/>
  <c r="C55" i="4" a="1"/>
  <c r="C5" i="40" a="1"/>
  <c r="C43" i="4" a="1"/>
  <c r="E35" i="6" a="1"/>
  <c r="C8" i="28" a="1"/>
  <c r="E9" i="6" a="1"/>
  <c r="C23" i="59" a="1"/>
  <c r="E37" i="6" a="1"/>
  <c r="C11" i="46" a="1"/>
  <c r="C42" i="59" a="1"/>
  <c r="G26" i="40" a="1"/>
  <c r="C33" i="2" a="1"/>
  <c r="E21" i="4" a="1"/>
  <c r="E22" i="4" a="1"/>
  <c r="E39" i="4" a="1"/>
  <c r="C23" i="40" a="1"/>
  <c r="E38" i="4" a="1"/>
  <c r="C34" i="11" a="1"/>
  <c r="C39" i="59" a="1"/>
  <c r="C53" i="40" a="1"/>
  <c r="C31" i="11" a="1"/>
  <c r="C38" i="40" a="1"/>
  <c r="E37" i="40" a="1"/>
  <c r="E7" i="46" a="1"/>
  <c r="E11" i="40" a="1"/>
  <c r="C44" i="4" a="1"/>
  <c r="C7" i="4" a="1"/>
  <c r="G7" i="40" a="1"/>
  <c r="C4" i="28" a="1"/>
  <c r="C39" i="4" a="1"/>
  <c r="C36" i="4" a="1"/>
  <c r="C11" i="6" a="1"/>
  <c r="C41" i="11" a="1"/>
  <c r="C10" i="4" a="1"/>
  <c r="E43" i="4" a="1"/>
  <c r="E9" i="46" a="1"/>
  <c r="C30" i="6" a="1"/>
  <c r="C21" i="37" a="1"/>
  <c r="E7" i="4" a="1"/>
  <c r="C17" i="59" a="1"/>
  <c r="E12" i="6" a="1"/>
  <c r="C10" i="31" a="1"/>
  <c r="C39" i="11" a="1"/>
  <c r="E48" i="40" a="1"/>
  <c r="C20" i="4" a="1"/>
  <c r="C17" i="3" a="1"/>
  <c r="E7" i="6" a="1"/>
  <c r="E23" i="40" a="1"/>
  <c r="C40" i="11" a="1"/>
  <c r="C12" i="11" a="1"/>
  <c r="E47" i="4" a="1"/>
  <c r="E10" i="40" a="1"/>
  <c r="G31" i="40" a="1"/>
  <c r="G51" i="40" a="1"/>
  <c r="E44" i="4" a="1"/>
  <c r="E7" i="40" a="1"/>
  <c r="C32" i="59" a="1"/>
  <c r="G4" i="15" a="1"/>
  <c r="C14" i="6" a="1"/>
  <c r="E9" i="4" a="1"/>
  <c r="C32" i="6" a="1"/>
  <c r="E28" i="6" a="1"/>
  <c r="E31" i="4" a="1"/>
  <c r="C9" i="59" a="1"/>
  <c r="G39" i="40" a="1"/>
  <c r="C49" i="4" a="1"/>
  <c r="E57" i="40" a="1"/>
  <c r="E30" i="4" a="1"/>
  <c r="E6" i="40" a="1"/>
  <c r="C4" i="40" a="1"/>
  <c r="E26" i="4" a="1"/>
  <c r="C4" i="15" a="1"/>
  <c r="E35" i="4" a="1"/>
  <c r="C5" i="11" a="1"/>
  <c r="E55" i="4" a="1"/>
  <c r="C13" i="37" a="1"/>
  <c r="C33" i="4" a="1"/>
  <c r="C20" i="37" a="1"/>
  <c r="C36" i="11" a="1"/>
  <c r="E28" i="4" a="1"/>
  <c r="C16" i="40" a="1"/>
  <c r="C27" i="59" a="1"/>
  <c r="C20" i="40" a="1"/>
  <c r="C42" i="40" a="1"/>
  <c r="E51" i="40" a="1"/>
  <c r="C35" i="6" a="1"/>
  <c r="E45" i="40" a="1"/>
  <c r="C6" i="6" a="1"/>
  <c r="C5" i="56" a="1"/>
  <c r="F4" i="53" a="1"/>
  <c r="C34" i="4" a="1"/>
  <c r="C18" i="4" a="1"/>
  <c r="C7" i="11" a="1"/>
  <c r="C6" i="59" a="1"/>
  <c r="E26" i="40" a="1"/>
  <c r="E14" i="40" a="1"/>
  <c r="E6" i="6" a="1"/>
  <c r="C8" i="46" a="1"/>
  <c r="C21" i="40" a="1"/>
  <c r="E50" i="40" a="1"/>
  <c r="C22" i="40" a="1"/>
  <c r="C6" i="3" a="1"/>
  <c r="G12" i="40" a="1"/>
  <c r="C27" i="40" a="1"/>
  <c r="C7" i="46" a="1"/>
  <c r="E10" i="46" a="1"/>
  <c r="C20" i="11" a="1"/>
  <c r="C11" i="59" a="1"/>
  <c r="C21" i="31" a="1"/>
  <c r="C20" i="31" a="1"/>
  <c r="E48" i="4" a="1"/>
  <c r="C23" i="11" a="1"/>
  <c r="E49" i="4" a="1"/>
  <c r="C7" i="6" a="1"/>
  <c r="E8" i="40" a="1"/>
  <c r="E11" i="46" a="1"/>
  <c r="C10" i="3" a="1"/>
  <c r="E16" i="40" a="1"/>
  <c r="E4" i="27" a="1"/>
  <c r="G47" i="40" a="1"/>
  <c r="E4" i="31" a="1"/>
  <c r="E40" i="40" a="1"/>
  <c r="E13" i="46" a="1"/>
  <c r="C19" i="3" a="1"/>
  <c r="C6" i="11" a="1"/>
  <c r="C13" i="6" a="1"/>
  <c r="C46" i="40" a="1"/>
  <c r="C37" i="4" a="1"/>
  <c r="E13" i="6" a="1"/>
  <c r="C7" i="28" a="1"/>
  <c r="E33" i="4" a="1"/>
  <c r="H4" i="38" a="1"/>
  <c r="C16" i="2" a="1"/>
  <c r="C4" i="5" a="1"/>
  <c r="E41" i="6" a="1"/>
  <c r="C45" i="4" a="1"/>
  <c r="E5" i="46" a="1"/>
  <c r="E15" i="4" a="1"/>
  <c r="C18" i="31" a="1"/>
  <c r="E24" i="40" a="1"/>
  <c r="C4" i="41" a="1"/>
  <c r="C17" i="6" a="1"/>
  <c r="C13" i="3" a="1"/>
  <c r="E11" i="6" a="1"/>
  <c r="C21" i="2" a="1"/>
  <c r="C32" i="40" a="1"/>
  <c r="C42" i="2" a="1"/>
  <c r="C22" i="37" a="1"/>
  <c r="E34" i="40" a="1"/>
  <c r="E36" i="40" a="1"/>
  <c r="G19" i="40" a="1"/>
  <c r="C16" i="4" a="1"/>
  <c r="C43" i="40" a="1"/>
  <c r="G4" i="40" a="1"/>
  <c r="C14" i="46" a="1"/>
  <c r="C16" i="6" a="1"/>
  <c r="C45" i="40" a="1"/>
  <c r="E33" i="6" a="1"/>
  <c r="C38" i="2" a="1"/>
  <c r="C29" i="4" a="1"/>
  <c r="C20" i="3" a="1"/>
  <c r="C22" i="3" a="1"/>
  <c r="C21" i="6" a="1"/>
  <c r="G16" i="40" a="1"/>
  <c r="C21" i="3" a="1"/>
  <c r="E36" i="6" a="1"/>
  <c r="G23" i="40" a="1"/>
  <c r="E12" i="40" a="1"/>
  <c r="C25" i="4" a="1"/>
  <c r="E33" i="40" a="1"/>
  <c r="C10" i="11" a="1"/>
  <c r="E14" i="46" a="1"/>
  <c r="C6" i="56" a="1"/>
  <c r="E39" i="40" a="1"/>
  <c r="C21" i="59" a="1"/>
  <c r="C34" i="2" a="1"/>
  <c r="G5" i="40" a="1"/>
  <c r="E25" i="40" a="1"/>
  <c r="C24" i="2" a="1"/>
  <c r="C29" i="59" a="1"/>
  <c r="C40" i="6" a="1"/>
  <c r="C23" i="2" a="1"/>
  <c r="C5" i="31" a="1"/>
  <c r="E17" i="40" a="1"/>
  <c r="E17" i="6" a="1"/>
  <c r="E41" i="40" a="1"/>
  <c r="G56" i="40" a="1"/>
  <c r="C6" i="46" a="1"/>
  <c r="C57" i="4" a="1"/>
  <c r="C31" i="6" a="1"/>
  <c r="C19" i="4" a="1"/>
  <c r="C15" i="2" a="1"/>
  <c r="G29" i="40" a="1"/>
  <c r="E54" i="40" a="1"/>
  <c r="C25" i="2" a="1"/>
  <c r="C40" i="59" a="1"/>
  <c r="C8" i="40" a="1"/>
  <c r="C22" i="2" a="1"/>
  <c r="E35" i="40" a="1"/>
  <c r="C25" i="59" a="1"/>
  <c r="C29" i="2" a="1"/>
  <c r="G32" i="40" a="1"/>
  <c r="E26" i="6" a="1"/>
  <c r="E38" i="40" a="1"/>
  <c r="C4" i="11" a="1"/>
  <c r="C31" i="4" a="1"/>
  <c r="C43" i="2" a="1"/>
  <c r="C12" i="59" a="1"/>
  <c r="F4" i="38" a="1"/>
  <c r="C38" i="4" a="1"/>
  <c r="C22" i="6" a="1"/>
  <c r="E23" i="4" a="1"/>
  <c r="C37" i="2" a="1"/>
  <c r="C48" i="4" a="1"/>
  <c r="C36" i="2" a="1"/>
  <c r="C22" i="11" a="1"/>
  <c r="C30" i="40" a="1"/>
  <c r="C18" i="40" a="1"/>
  <c r="C33" i="11" a="1"/>
  <c r="C6" i="37" a="1"/>
  <c r="G30" i="40" a="1"/>
  <c r="C4" i="31" a="1"/>
  <c r="E18" i="40" a="1"/>
  <c r="C48" i="40" a="1"/>
  <c r="C37" i="59" a="1"/>
  <c r="C50" i="40" a="1"/>
  <c r="C33" i="59" a="1"/>
  <c r="C16" i="11" a="1"/>
  <c r="E12" i="46" a="1"/>
  <c r="C6" i="4" a="1"/>
  <c r="C14" i="4" a="1"/>
  <c r="C27" i="2" a="1"/>
  <c r="C56" i="4" a="1"/>
  <c r="C35" i="2" a="1"/>
  <c r="E11" i="4" a="1"/>
  <c r="C9" i="37" a="1"/>
  <c r="C51" i="40" a="1"/>
  <c r="C4" i="27" a="1"/>
  <c r="C4" i="56" a="1"/>
  <c r="C13" i="2" a="1"/>
  <c r="C47" i="4" a="1"/>
  <c r="E20" i="4" a="1"/>
  <c r="C15" i="40" a="1"/>
  <c r="C16" i="59" a="1"/>
  <c r="E52" i="40" a="1"/>
  <c r="C40" i="40" a="1"/>
  <c r="C10" i="46" a="1"/>
  <c r="C15" i="46" a="1"/>
  <c r="E46" i="4" a="1"/>
  <c r="C13" i="11" a="1"/>
  <c r="C25" i="40" a="1"/>
  <c r="C27" i="11" a="1"/>
  <c r="C23" i="4" a="1"/>
  <c r="G45" i="40" a="1"/>
  <c r="C12" i="31" a="1"/>
  <c r="E43" i="40" a="1"/>
  <c r="C36" i="59" a="1"/>
  <c r="E22" i="40" a="1"/>
  <c r="C10" i="40" a="1"/>
  <c r="C14" i="37" a="1"/>
  <c r="E34" i="6" a="1"/>
  <c r="E12" i="4" a="1"/>
  <c r="C47" i="40" a="1"/>
  <c r="E56" i="40" a="1"/>
  <c r="C30" i="4" a="1"/>
  <c r="C24" i="40" a="1"/>
  <c r="C22" i="4" a="1"/>
  <c r="C9" i="40" a="1"/>
  <c r="C8" i="6" a="1"/>
  <c r="C7" i="31" a="1"/>
  <c r="C34" i="6" a="1"/>
  <c r="G41" i="40" a="1"/>
  <c r="C15" i="11" a="1"/>
  <c r="C14" i="31" a="1"/>
  <c r="G43" i="40" a="1"/>
  <c r="C55" i="40" a="1"/>
  <c r="E51" i="4" a="1"/>
  <c r="C4" i="37" a="1"/>
  <c r="C24" i="59" a="1"/>
  <c r="E18" i="6" a="1"/>
  <c r="G24" i="40" a="1"/>
  <c r="C52" i="4" a="1"/>
  <c r="C13" i="4" a="1"/>
  <c r="C50" i="4" a="1"/>
  <c r="C19" i="2" a="1"/>
  <c r="C17" i="37" a="1"/>
  <c r="C7" i="2" a="1"/>
  <c r="C40" i="2" a="1"/>
  <c r="E52" i="4" a="1"/>
  <c r="C11" i="31" a="1"/>
  <c r="E39" i="6" a="1"/>
  <c r="C31" i="59" a="1"/>
  <c r="C52" i="40" a="1"/>
  <c r="G57" i="40" a="1"/>
  <c r="C8" i="2" a="1"/>
  <c r="E21" i="40" a="1"/>
  <c r="C42" i="11" a="1"/>
  <c r="E40" i="4" a="1"/>
  <c r="E8" i="6" a="1"/>
  <c r="C6" i="31" a="1"/>
  <c r="E42" i="4" a="1"/>
  <c r="C11" i="37" a="1"/>
  <c r="E16" i="6" a="1"/>
  <c r="C8" i="11" a="1"/>
  <c r="C37" i="40" a="1"/>
  <c r="C17" i="4" a="1"/>
  <c r="C5" i="6" a="1"/>
  <c r="C22" i="31" a="1"/>
  <c r="E53" i="40" a="1"/>
  <c r="E42" i="40" a="1"/>
  <c r="C13" i="31" a="1"/>
  <c r="C36" i="6" a="1"/>
  <c r="E14" i="6" a="1"/>
  <c r="C8" i="59" a="1"/>
  <c r="C49" i="40" a="1"/>
  <c r="E31" i="6" a="1"/>
  <c r="C19" i="37" a="1"/>
  <c r="E15" i="40" a="1"/>
  <c r="E6" i="46" a="1"/>
  <c r="G28" i="40" a="1"/>
  <c r="E55" i="40" a="1"/>
  <c r="C7" i="40" a="1"/>
  <c r="E50" i="4" a="1"/>
  <c r="C41" i="2" a="1"/>
  <c r="C5" i="46" a="1"/>
  <c r="C26" i="59" a="1"/>
  <c r="E19" i="6" a="1"/>
  <c r="E34" i="4" a="1"/>
  <c r="C10" i="2" a="1"/>
  <c r="C35" i="4" a="1"/>
  <c r="C18" i="3" a="1"/>
  <c r="G17" i="40" a="1"/>
  <c r="C15" i="6" a="1"/>
  <c r="E13" i="40" a="1"/>
  <c r="C25" i="11" a="1"/>
  <c r="G4" i="50" a="1"/>
  <c r="C14" i="40" a="1"/>
  <c r="C26" i="4" a="1"/>
  <c r="E47" i="40" a="1"/>
  <c r="C4" i="49" a="1"/>
  <c r="C6" i="28" a="1"/>
  <c r="C16" i="31" a="1"/>
  <c r="C4" i="46" a="1"/>
  <c r="G44" i="40" a="1"/>
  <c r="C5" i="2" a="1"/>
  <c r="C4" i="62" a="1"/>
  <c r="E4" i="40" a="1"/>
  <c r="C19" i="6" a="1"/>
  <c r="C14" i="59" a="1"/>
  <c r="E16" i="4" a="1"/>
  <c r="C9" i="46" a="1"/>
  <c r="C24" i="11" a="1"/>
  <c r="G38" i="40" a="1"/>
  <c r="C5" i="59" a="1"/>
  <c r="C54" i="4" a="1"/>
  <c r="C12" i="6" a="1"/>
  <c r="C16" i="3" a="1"/>
  <c r="C18" i="11" a="1"/>
  <c r="E24" i="4" a="1"/>
  <c r="C28" i="59" a="1"/>
  <c r="C57" i="40" a="1"/>
  <c r="C23" i="6" a="1"/>
  <c r="E19" i="40" a="1"/>
  <c r="C38" i="59" a="1"/>
  <c r="C4" i="53" a="1"/>
  <c r="C14" i="2" a="1"/>
  <c r="C4" i="3" a="1"/>
  <c r="E8" i="4" a="1"/>
  <c r="E27" i="6" a="1"/>
  <c r="C26" i="11" a="1"/>
  <c r="C41" i="6" a="1"/>
  <c r="E40" i="6" a="1"/>
  <c r="G10" i="40" a="1"/>
  <c r="C28" i="11" a="1"/>
  <c r="E54" i="4" a="1"/>
  <c r="C18" i="37" a="1"/>
  <c r="C4" i="7" a="1"/>
  <c r="C25" i="6" a="1"/>
  <c r="E56" i="4" a="1"/>
  <c r="C20" i="2" a="1"/>
  <c r="C9" i="11" a="1"/>
  <c r="C15" i="31" a="1"/>
  <c r="G35" i="40" a="1"/>
  <c r="C42" i="6" a="1"/>
  <c r="C35" i="11" a="1"/>
  <c r="C31" i="40" a="1"/>
  <c r="C28" i="40" a="1"/>
  <c r="C21" i="11" a="1"/>
  <c r="C39" i="2" a="1"/>
  <c r="G18" i="40" a="1"/>
  <c r="E31" i="40" a="1"/>
  <c r="G6" i="40" a="1"/>
  <c r="E44" i="40" a="1"/>
  <c r="C14" i="3" a="1"/>
  <c r="C19" i="11" a="1"/>
  <c r="E15" i="46" a="1"/>
  <c r="C12" i="46" a="1"/>
  <c r="C9" i="2" a="1"/>
  <c r="G49" i="40" a="1"/>
  <c r="G48" i="40" a="1"/>
  <c r="C37" i="11" a="1"/>
  <c r="C8" i="31" a="1"/>
  <c r="C9" i="3" a="1"/>
  <c r="C20" i="6" a="1"/>
  <c r="G8" i="40" a="1"/>
  <c r="C14" i="11" a="1"/>
  <c r="E4" i="15" a="1"/>
  <c r="G42" i="40" a="1"/>
  <c r="C54" i="40" a="1"/>
  <c r="G15" i="40" a="1"/>
  <c r="C32" i="11" a="1"/>
  <c r="E29" i="40" a="1"/>
  <c r="E10" i="6" a="1"/>
  <c r="C29" i="40" a="1"/>
  <c r="G50" i="40" a="1"/>
  <c r="C5" i="3" a="1"/>
  <c r="E30" i="6" a="1"/>
  <c r="E4" i="53" a="1"/>
  <c r="G22" i="40" a="1"/>
  <c r="C15" i="59" a="1"/>
  <c r="E20" i="40" a="1"/>
  <c r="C18" i="59" a="1"/>
  <c r="C17" i="40" a="1"/>
  <c r="C11" i="11" a="1"/>
  <c r="C9" i="6" a="1"/>
  <c r="E4" i="4" a="1"/>
  <c r="C31" i="2" a="1"/>
  <c r="C35" i="59" a="1"/>
  <c r="E9" i="40" a="1"/>
  <c r="C7" i="3" a="1"/>
  <c r="C34" i="59" a="1"/>
  <c r="C6" i="40" a="1"/>
  <c r="C32" i="2" a="1"/>
  <c r="C7" i="37" a="1"/>
  <c r="C29" i="6" a="1"/>
  <c r="G34" i="40" a="1"/>
  <c r="C51" i="4" a="1"/>
  <c r="C37" i="6" a="1"/>
  <c r="C5" i="7" a="1"/>
  <c r="G13" i="40" a="1"/>
  <c r="C10" i="6" a="1"/>
  <c r="C26" i="2" a="1"/>
  <c r="C5" i="4" a="1"/>
  <c r="C33" i="40" a="1"/>
  <c r="C30" i="2" a="1"/>
  <c r="G55" i="40" a="1"/>
  <c r="C18" i="6" a="1"/>
  <c r="E45" i="4" a="1"/>
  <c r="C12" i="40" a="1"/>
  <c r="C27" i="4" a="1"/>
  <c r="E28" i="40" a="1"/>
  <c r="C42" i="4" a="1"/>
  <c r="C10" i="37" a="1"/>
  <c r="C15" i="3" a="1"/>
  <c r="C15" i="37" a="1"/>
  <c r="C15" i="4" a="1"/>
  <c r="C26" i="40" a="1"/>
  <c r="E27" i="4" a="1"/>
  <c r="G46" i="40" a="1"/>
  <c r="C41" i="40" a="1"/>
  <c r="E14" i="4" a="1"/>
  <c r="G11" i="40" a="1"/>
  <c r="E42" i="6" a="1"/>
  <c r="C19" i="59" a="1"/>
  <c r="C28" i="2" a="1"/>
  <c r="C13" i="59" a="1"/>
  <c r="E6" i="4" a="1"/>
  <c r="C4" i="59" a="1"/>
  <c r="C4" i="4" a="1"/>
  <c r="C44" i="59" a="1"/>
  <c r="E29" i="4" a="1"/>
  <c r="C7" i="59" a="1"/>
  <c r="C53" i="4" a="1"/>
  <c r="E8" i="46" a="1"/>
  <c r="C17" i="31" a="1"/>
  <c r="C4" i="2" a="1"/>
  <c r="C40" i="4" a="1"/>
  <c r="E10" i="4" a="1"/>
  <c r="E13" i="4" a="1"/>
  <c r="E4" i="6" a="1"/>
  <c r="G37" i="40" a="1"/>
  <c r="G9" i="40" a="1"/>
  <c r="C46" i="4" a="1"/>
  <c r="G40" i="40" a="1"/>
  <c r="G53" i="40" a="1"/>
  <c r="C8" i="37" a="1"/>
  <c r="C11" i="40" a="1"/>
  <c r="C11" i="2" a="1"/>
  <c r="C43" i="6" a="1"/>
  <c r="C38" i="6" a="1"/>
  <c r="C19" i="40" a="1"/>
  <c r="C4" i="6" a="1"/>
  <c r="E46" i="40" a="1"/>
  <c r="C41" i="4" a="1"/>
  <c r="E32" i="6" a="1"/>
  <c r="C30" i="11" a="1"/>
  <c r="G27" i="40" a="1"/>
  <c r="C18" i="2" a="1"/>
  <c r="C24" i="4" a="1"/>
  <c r="E6" i="57" a="1"/>
  <c r="E4" i="57" a="1"/>
  <c r="C5" i="57" a="1"/>
  <c r="C6" i="57" a="1"/>
  <c r="C4" i="57" a="1"/>
  <c r="E5" i="57" a="1"/>
  <c r="C26" i="12" a="1"/>
  <c r="C50" i="12" a="1"/>
  <c r="C87" i="12" a="1"/>
  <c r="C54" i="12" a="1"/>
  <c r="C192" i="12" a="1"/>
  <c r="C160" i="12" a="1"/>
  <c r="C22" i="12" a="1"/>
  <c r="C114" i="12" a="1"/>
  <c r="C119" i="12" a="1"/>
  <c r="C20" i="12" a="1"/>
  <c r="C184" i="12" a="1"/>
  <c r="C217" i="12" a="1"/>
  <c r="C48" i="12" a="1"/>
  <c r="C182" i="12" a="1"/>
  <c r="C224" i="12" a="1"/>
  <c r="C147" i="12" a="1"/>
  <c r="C68" i="12" a="1"/>
  <c r="C145" i="12" a="1"/>
  <c r="C146" i="12" a="1"/>
  <c r="C60" i="12" a="1"/>
  <c r="C211" i="12" a="1"/>
  <c r="G250" i="12" a="1"/>
  <c r="C219" i="12" a="1"/>
  <c r="C180" i="12" a="1"/>
  <c r="C167" i="12" a="1"/>
  <c r="C218" i="12" a="1"/>
  <c r="C205" i="12" a="1"/>
  <c r="C105" i="12" a="1"/>
  <c r="C189" i="12" a="1"/>
  <c r="C121" i="12" a="1"/>
  <c r="C196" i="12" a="1"/>
  <c r="C27" i="12" a="1"/>
  <c r="C181" i="12" a="1"/>
  <c r="C85" i="12" a="1"/>
  <c r="C18" i="12" a="1"/>
  <c r="C163" i="12" a="1"/>
  <c r="C129" i="12" a="1"/>
  <c r="C199" i="12" a="1"/>
  <c r="G80" i="12" a="1"/>
  <c r="C223" i="12" a="1"/>
  <c r="C102" i="12" a="1"/>
  <c r="C110" i="12" a="1"/>
  <c r="C140" i="12" a="1"/>
  <c r="C200" i="12" a="1"/>
  <c r="C213" i="12" a="1"/>
  <c r="C75" i="12" a="1"/>
  <c r="C207" i="12" a="1"/>
  <c r="C84" i="12" a="1"/>
  <c r="C125" i="12" a="1"/>
  <c r="C148" i="12" a="1"/>
  <c r="C78" i="12" a="1"/>
  <c r="C51" i="12" a="1"/>
  <c r="C74" i="12" a="1"/>
  <c r="C153" i="12" a="1"/>
  <c r="C116" i="12" a="1"/>
  <c r="C203" i="12" a="1"/>
  <c r="C59" i="12" a="1"/>
  <c r="C130" i="12" a="1"/>
  <c r="C188" i="12" a="1"/>
  <c r="C23" i="12" a="1"/>
  <c r="C183" i="12" a="1"/>
  <c r="C96" i="12" a="1"/>
  <c r="C191" i="12" a="1"/>
  <c r="C35" i="12" a="1"/>
  <c r="C28" i="12" a="1"/>
  <c r="C72" i="12" a="1"/>
  <c r="C151" i="12" a="1"/>
  <c r="C172" i="12" a="1"/>
  <c r="C64" i="12" a="1"/>
  <c r="C170" i="12" a="1"/>
  <c r="C190" i="12" a="1"/>
  <c r="C132" i="12" a="1"/>
  <c r="C156" i="12" a="1"/>
  <c r="C128" i="12" a="1"/>
  <c r="C92" i="12" a="1"/>
  <c r="C94" i="12" a="1"/>
  <c r="C202" i="12" a="1"/>
  <c r="C152" i="12" a="1"/>
  <c r="C212" i="12" a="1"/>
  <c r="C62" i="12" a="1"/>
  <c r="C127" i="12" a="1"/>
  <c r="C70" i="12" a="1"/>
  <c r="C19" i="12" a="1"/>
  <c r="C69" i="12" a="1"/>
  <c r="C107" i="12" a="1"/>
  <c r="C104" i="12" a="1"/>
  <c r="C65" i="12" a="1"/>
  <c r="C88" i="12" a="1"/>
  <c r="C208" i="12" a="1"/>
  <c r="C58" i="12" a="1"/>
  <c r="C123" i="12" a="1"/>
  <c r="C30" i="12" a="1"/>
  <c r="C21" i="12" a="1"/>
  <c r="C61" i="12" a="1"/>
  <c r="C97" i="12" a="1"/>
  <c r="C139" i="12" a="1"/>
  <c r="C221" i="12" a="1"/>
  <c r="C210" i="12" a="1"/>
  <c r="C57" i="12" a="1"/>
  <c r="C166" i="12" a="1"/>
  <c r="C73" i="12" a="1"/>
  <c r="C67" i="12" a="1"/>
  <c r="C186" i="12" a="1"/>
  <c r="C133" i="12" a="1"/>
  <c r="C111" i="12" a="1"/>
  <c r="C100" i="12" a="1"/>
  <c r="C86" i="12" a="1"/>
  <c r="C33" i="12" a="1"/>
  <c r="C194" i="12" a="1"/>
  <c r="C47" i="12" a="1"/>
  <c r="C137" i="12" a="1"/>
  <c r="C42" i="12" a="1"/>
  <c r="C29" i="12" a="1"/>
  <c r="C141" i="12" a="1"/>
  <c r="C101" i="12" a="1"/>
  <c r="C39" i="12" a="1"/>
  <c r="C174" i="12" a="1"/>
  <c r="D79" i="12" a="1"/>
  <c r="C222" i="12" a="1"/>
  <c r="C106" i="12" a="1"/>
  <c r="C36" i="12" a="1"/>
  <c r="C159" i="12" a="1"/>
  <c r="C99" i="12" a="1"/>
  <c r="C195" i="12" a="1"/>
  <c r="C93" i="12" a="1"/>
  <c r="C185" i="12" a="1"/>
  <c r="C197" i="12" a="1"/>
  <c r="C136" i="12" a="1"/>
  <c r="C150" i="12" a="1"/>
  <c r="C143" i="12" a="1"/>
  <c r="C126" i="12" a="1"/>
  <c r="C142" i="12" a="1"/>
  <c r="C24" i="12" a="1"/>
  <c r="C161" i="12" a="1"/>
  <c r="C32" i="12" a="1"/>
  <c r="C138" i="12" a="1"/>
  <c r="C193" i="12" a="1"/>
  <c r="G234" i="12" a="1"/>
  <c r="C168" i="12" a="1"/>
  <c r="C103" i="12" a="1"/>
  <c r="G240" i="12" a="1"/>
  <c r="G243" i="12" a="1"/>
  <c r="C179" i="12" a="1"/>
  <c r="C40" i="12" a="1"/>
  <c r="C108" i="12" a="1"/>
  <c r="C187" i="12" a="1"/>
  <c r="C118" i="12" a="1"/>
  <c r="C135" i="12" a="1"/>
  <c r="C113" i="12" a="1"/>
  <c r="C76" i="12" a="1"/>
  <c r="C214" i="12" a="1"/>
  <c r="C171" i="12" a="1"/>
  <c r="C124" i="12" a="1"/>
  <c r="C206" i="12" a="1"/>
  <c r="C176" i="12" a="1"/>
  <c r="C63" i="12" a="1"/>
  <c r="C117" i="12" a="1"/>
  <c r="C77" i="12" a="1"/>
  <c r="C98" i="12" a="1"/>
  <c r="C177" i="12" a="1"/>
  <c r="C112" i="12" a="1"/>
  <c r="C149" i="12" a="1"/>
  <c r="C34" i="12" a="1"/>
  <c r="C201" i="12" a="1"/>
  <c r="C158" i="12" a="1"/>
  <c r="C4" i="12" a="1"/>
  <c r="C169" i="12" a="1"/>
  <c r="C131" i="12" a="1"/>
  <c r="C38" i="12" a="1"/>
  <c r="C198" i="12" a="1"/>
  <c r="C43" i="12" a="1"/>
  <c r="C52" i="12" a="1"/>
  <c r="C83" i="12" a="1"/>
  <c r="C216" i="12" a="1"/>
  <c r="C144" i="12" a="1"/>
  <c r="C56" i="12" a="1"/>
  <c r="C204" i="12" a="1"/>
  <c r="C17" i="12" a="1"/>
  <c r="C220" i="12" a="1"/>
  <c r="C165" i="12" a="1"/>
  <c r="C115" i="12" a="1"/>
  <c r="C95" i="12" a="1"/>
  <c r="C155" i="12" a="1"/>
  <c r="C37" i="12" a="1"/>
  <c r="C157" i="12" a="1"/>
  <c r="C162" i="12" a="1"/>
  <c r="C55" i="12" a="1"/>
  <c r="C71" i="12" a="1"/>
  <c r="C53" i="12" a="1"/>
  <c r="C44" i="12" a="1"/>
  <c r="C134" i="12" a="1"/>
  <c r="G253" i="12" a="1"/>
  <c r="C109" i="12" a="1"/>
  <c r="C46" i="12" a="1"/>
  <c r="C122" i="12" a="1"/>
  <c r="C120" i="12" a="1"/>
  <c r="C173" i="12" a="1"/>
  <c r="C66" i="12" a="1"/>
  <c r="C175" i="12" a="1"/>
  <c r="C45" i="12" a="1"/>
  <c r="C164" i="12" a="1"/>
  <c r="C25" i="12" a="1"/>
  <c r="C154" i="12" a="1"/>
  <c r="C89" i="12" a="1"/>
  <c r="C178" i="12" a="1"/>
  <c r="C31" i="12" a="1"/>
  <c r="C4" i="9" a="1"/>
  <c r="C64" i="4" l="1"/>
  <c r="C63" i="4"/>
  <c r="C62" i="4"/>
  <c r="C60" i="4"/>
  <c r="C59" i="4"/>
  <c r="C61" i="4"/>
  <c r="C58" i="4"/>
  <c r="G234" i="12"/>
  <c r="G80" i="12"/>
  <c r="G250" i="12"/>
  <c r="F250" i="12" s="1"/>
  <c r="G243" i="12"/>
  <c r="F243" i="12" s="1"/>
  <c r="G240" i="12"/>
  <c r="F240" i="12" s="1"/>
  <c r="G253" i="12"/>
  <c r="F253" i="12" s="1"/>
  <c r="F79" i="12"/>
  <c r="D79" i="12"/>
  <c r="H79" i="12"/>
  <c r="I79" i="12"/>
  <c r="C57" i="4"/>
  <c r="C37" i="4"/>
  <c r="C56" i="4"/>
  <c r="C46" i="4"/>
  <c r="C35" i="4"/>
  <c r="C27" i="4"/>
  <c r="C17" i="4"/>
  <c r="C7" i="4"/>
  <c r="C55" i="4"/>
  <c r="C45" i="4"/>
  <c r="C34" i="4"/>
  <c r="C26" i="4"/>
  <c r="C16" i="4"/>
  <c r="C6" i="4"/>
  <c r="C54" i="4"/>
  <c r="C44" i="4"/>
  <c r="C33" i="4"/>
  <c r="C25" i="4"/>
  <c r="C15" i="4"/>
  <c r="C5" i="4"/>
  <c r="C53" i="4"/>
  <c r="C43" i="4"/>
  <c r="C32" i="4"/>
  <c r="C24" i="4"/>
  <c r="C14" i="4"/>
  <c r="C52" i="4"/>
  <c r="C42" i="4"/>
  <c r="C31" i="4"/>
  <c r="C23" i="4"/>
  <c r="C13" i="4"/>
  <c r="C51" i="4"/>
  <c r="C41" i="4"/>
  <c r="C30" i="4"/>
  <c r="C22" i="4"/>
  <c r="C12" i="4"/>
  <c r="C50" i="4"/>
  <c r="C40" i="4"/>
  <c r="C29" i="4"/>
  <c r="C21" i="4"/>
  <c r="C11" i="4"/>
  <c r="C49" i="4"/>
  <c r="C39" i="4"/>
  <c r="C20" i="4"/>
  <c r="C10" i="4"/>
  <c r="C48" i="4"/>
  <c r="C38" i="4"/>
  <c r="C19" i="4"/>
  <c r="C9" i="4"/>
  <c r="C47" i="4"/>
  <c r="C36" i="4"/>
  <c r="C28" i="4"/>
  <c r="C18" i="4"/>
  <c r="C8" i="4"/>
  <c r="C4" i="4"/>
  <c r="E11" i="4"/>
  <c r="E10" i="4"/>
  <c r="C18" i="12"/>
  <c r="C4" i="12"/>
  <c r="C4" i="9"/>
  <c r="C4" i="62"/>
  <c r="C14" i="11"/>
  <c r="C4" i="41"/>
  <c r="C24" i="2"/>
  <c r="C25" i="2"/>
  <c r="C26" i="2"/>
  <c r="C27" i="2"/>
  <c r="C28" i="2"/>
  <c r="C29" i="2"/>
  <c r="C30" i="2"/>
  <c r="C41" i="2"/>
  <c r="C42" i="2"/>
  <c r="C14" i="2"/>
  <c r="C34" i="2"/>
  <c r="C5" i="2"/>
  <c r="C35" i="2"/>
  <c r="C6" i="2"/>
  <c r="C36" i="2"/>
  <c r="C7" i="2"/>
  <c r="C37" i="2"/>
  <c r="C18" i="2"/>
  <c r="C38" i="2"/>
  <c r="C9" i="2"/>
  <c r="C39" i="2"/>
  <c r="C20" i="2"/>
  <c r="C40" i="2"/>
  <c r="C11" i="2"/>
  <c r="C31" i="2"/>
  <c r="C12" i="2"/>
  <c r="C32" i="2"/>
  <c r="C13" i="2"/>
  <c r="C23" i="2"/>
  <c r="C33" i="2"/>
  <c r="C43" i="2"/>
  <c r="C15" i="2"/>
  <c r="C16" i="2"/>
  <c r="C17" i="2"/>
  <c r="C8" i="2"/>
  <c r="C19" i="2"/>
  <c r="C10" i="2"/>
  <c r="C21" i="2"/>
  <c r="C22" i="2"/>
  <c r="C4" i="2"/>
  <c r="C7" i="28"/>
  <c r="E4" i="46"/>
  <c r="C7" i="6"/>
  <c r="C18" i="6"/>
  <c r="C56" i="40"/>
  <c r="C5" i="56"/>
  <c r="C30" i="40"/>
  <c r="E8" i="6"/>
  <c r="H8" i="6" s="1"/>
  <c r="C23" i="6"/>
  <c r="E7" i="4"/>
  <c r="E24" i="4"/>
  <c r="E30" i="40"/>
  <c r="G30" i="40"/>
  <c r="C13" i="3"/>
  <c r="C4" i="57"/>
  <c r="C17" i="11"/>
  <c r="E36" i="4"/>
  <c r="C4" i="27"/>
  <c r="E14" i="6"/>
  <c r="H14" i="6" s="1"/>
  <c r="E26" i="6"/>
  <c r="H26" i="6" s="1"/>
  <c r="C18" i="11"/>
  <c r="C19" i="40"/>
  <c r="E27" i="4"/>
  <c r="C7" i="3"/>
  <c r="C5" i="40"/>
  <c r="E15" i="4"/>
  <c r="C43" i="6"/>
  <c r="E5" i="40"/>
  <c r="G35" i="40"/>
  <c r="E21" i="40"/>
  <c r="G55" i="40"/>
  <c r="E45" i="4"/>
  <c r="E17" i="4"/>
  <c r="E44" i="4"/>
  <c r="C4" i="31"/>
  <c r="E7" i="6"/>
  <c r="E7" i="46"/>
  <c r="E56" i="40"/>
  <c r="C19" i="59"/>
  <c r="C6" i="28"/>
  <c r="E30" i="4"/>
  <c r="E4" i="31"/>
  <c r="C14" i="31"/>
  <c r="C19" i="11"/>
  <c r="C20" i="40"/>
  <c r="E45" i="40"/>
  <c r="C20" i="37"/>
  <c r="E4" i="27"/>
  <c r="C34" i="11"/>
  <c r="E8" i="4"/>
  <c r="E52" i="4"/>
  <c r="E4" i="4"/>
  <c r="E31" i="4"/>
  <c r="C14" i="3"/>
  <c r="C19" i="6"/>
  <c r="E38" i="6"/>
  <c r="H38" i="6" s="1"/>
  <c r="C11" i="40"/>
  <c r="E36" i="40"/>
  <c r="E29" i="4"/>
  <c r="C28" i="6"/>
  <c r="C9" i="11"/>
  <c r="C13" i="46"/>
  <c r="G24" i="40"/>
  <c r="E13" i="4"/>
  <c r="E6" i="57"/>
  <c r="E11" i="6"/>
  <c r="H11" i="6" s="1"/>
  <c r="E19" i="6"/>
  <c r="E50" i="40"/>
  <c r="C16" i="3"/>
  <c r="C39" i="6"/>
  <c r="C36" i="59"/>
  <c r="C4" i="53"/>
  <c r="E41" i="4"/>
  <c r="E48" i="4"/>
  <c r="C5" i="3"/>
  <c r="C20" i="31"/>
  <c r="E12" i="6"/>
  <c r="H12" i="6" s="1"/>
  <c r="E30" i="6"/>
  <c r="H30" i="6" s="1"/>
  <c r="E39" i="40"/>
  <c r="G4" i="15"/>
  <c r="E4" i="53"/>
  <c r="E22" i="4"/>
  <c r="G28" i="40"/>
  <c r="C13" i="37"/>
  <c r="E49" i="4"/>
  <c r="E56" i="4"/>
  <c r="C40" i="6"/>
  <c r="F4" i="53"/>
  <c r="C6" i="3"/>
  <c r="E31" i="6"/>
  <c r="H31" i="6" s="1"/>
  <c r="C4" i="11"/>
  <c r="C42" i="11"/>
  <c r="E9" i="46"/>
  <c r="E19" i="40"/>
  <c r="C45" i="40"/>
  <c r="E25" i="4"/>
  <c r="C17" i="3"/>
  <c r="G5" i="40"/>
  <c r="E33" i="4"/>
  <c r="C40" i="40"/>
  <c r="C39" i="59"/>
  <c r="C19" i="3"/>
  <c r="C8" i="31"/>
  <c r="C15" i="31"/>
  <c r="E34" i="6"/>
  <c r="H34" i="6" s="1"/>
  <c r="E41" i="6"/>
  <c r="H41" i="6" s="1"/>
  <c r="C35" i="11"/>
  <c r="C6" i="46"/>
  <c r="C14" i="46"/>
  <c r="G15" i="40"/>
  <c r="E24" i="40"/>
  <c r="G56" i="40"/>
  <c r="C4" i="5"/>
  <c r="C22" i="6"/>
  <c r="E14" i="46"/>
  <c r="C50" i="40"/>
  <c r="C5" i="59"/>
  <c r="C14" i="59"/>
  <c r="E21" i="4"/>
  <c r="E38" i="4"/>
  <c r="C36" i="11"/>
  <c r="C16" i="40"/>
  <c r="E41" i="40"/>
  <c r="C21" i="3"/>
  <c r="C4" i="6"/>
  <c r="C42" i="6"/>
  <c r="C26" i="11"/>
  <c r="G16" i="40"/>
  <c r="C25" i="40"/>
  <c r="E34" i="40"/>
  <c r="C21" i="37"/>
  <c r="C6" i="56"/>
  <c r="C11" i="6"/>
  <c r="C41" i="59"/>
  <c r="C4" i="28"/>
  <c r="C30" i="6"/>
  <c r="E8" i="46"/>
  <c r="C10" i="40"/>
  <c r="E25" i="40"/>
  <c r="C51" i="40"/>
  <c r="C27" i="11"/>
  <c r="E51" i="40"/>
  <c r="C25" i="59"/>
  <c r="C34" i="59"/>
  <c r="G44" i="40"/>
  <c r="C5" i="28"/>
  <c r="C11" i="31"/>
  <c r="C19" i="31"/>
  <c r="C9" i="46"/>
  <c r="G10" i="40"/>
  <c r="E27" i="6"/>
  <c r="H27" i="6" s="1"/>
  <c r="E39" i="6"/>
  <c r="H39" i="6" s="1"/>
  <c r="C11" i="11"/>
  <c r="C29" i="11"/>
  <c r="C37" i="11"/>
  <c r="C5" i="46"/>
  <c r="C31" i="40"/>
  <c r="C14" i="37"/>
  <c r="E42" i="4"/>
  <c r="E53" i="4"/>
  <c r="C8" i="3"/>
  <c r="C20" i="11"/>
  <c r="C15" i="46"/>
  <c r="G21" i="40"/>
  <c r="E31" i="40"/>
  <c r="G36" i="40"/>
  <c r="C47" i="40"/>
  <c r="C10" i="59"/>
  <c r="C16" i="6"/>
  <c r="C30" i="11"/>
  <c r="E10" i="46"/>
  <c r="C7" i="40"/>
  <c r="G12" i="40"/>
  <c r="C17" i="40"/>
  <c r="C42" i="40"/>
  <c r="C4" i="49"/>
  <c r="E19" i="4"/>
  <c r="E46" i="4"/>
  <c r="E26" i="4"/>
  <c r="E32" i="4"/>
  <c r="C9" i="3"/>
  <c r="C16" i="31"/>
  <c r="C5" i="6"/>
  <c r="E20" i="6"/>
  <c r="H20" i="6" s="1"/>
  <c r="C24" i="6"/>
  <c r="C32" i="6"/>
  <c r="C36" i="6"/>
  <c r="C12" i="11"/>
  <c r="C27" i="40"/>
  <c r="G32" i="40"/>
  <c r="E47" i="40"/>
  <c r="C53" i="40"/>
  <c r="C5" i="37"/>
  <c r="C16" i="59"/>
  <c r="C21" i="59"/>
  <c r="C13" i="40"/>
  <c r="G17" i="40"/>
  <c r="C37" i="40"/>
  <c r="E42" i="40"/>
  <c r="C37" i="59"/>
  <c r="C43" i="59"/>
  <c r="E23" i="4"/>
  <c r="E39" i="4"/>
  <c r="C6" i="31"/>
  <c r="E4" i="57"/>
  <c r="E5" i="6"/>
  <c r="C17" i="6"/>
  <c r="E36" i="6"/>
  <c r="H36" i="6" s="1"/>
  <c r="C22" i="11"/>
  <c r="C39" i="11"/>
  <c r="E22" i="40"/>
  <c r="E27" i="40"/>
  <c r="E53" i="40"/>
  <c r="H4" i="38"/>
  <c r="E12" i="4"/>
  <c r="C10" i="3"/>
  <c r="E13" i="6"/>
  <c r="H13" i="6" s="1"/>
  <c r="C32" i="11"/>
  <c r="C11" i="46"/>
  <c r="C4" i="40"/>
  <c r="C8" i="40"/>
  <c r="E13" i="40"/>
  <c r="E18" i="40"/>
  <c r="C33" i="40"/>
  <c r="C48" i="40"/>
  <c r="C6" i="37"/>
  <c r="C10" i="6"/>
  <c r="E17" i="6"/>
  <c r="H17" i="6" s="1"/>
  <c r="C16" i="11"/>
  <c r="C40" i="11"/>
  <c r="G27" i="40"/>
  <c r="E38" i="40"/>
  <c r="E43" i="40"/>
  <c r="G53" i="40"/>
  <c r="E16" i="4"/>
  <c r="C12" i="31"/>
  <c r="E5" i="57"/>
  <c r="C6" i="6"/>
  <c r="C21" i="6"/>
  <c r="C29" i="6"/>
  <c r="C33" i="6"/>
  <c r="C6" i="11"/>
  <c r="E11" i="46"/>
  <c r="E4" i="40"/>
  <c r="G8" i="40"/>
  <c r="G18" i="40"/>
  <c r="E33" i="40"/>
  <c r="C19" i="37"/>
  <c r="C4" i="15"/>
  <c r="E10" i="6"/>
  <c r="H10" i="6" s="1"/>
  <c r="E23" i="40"/>
  <c r="G48" i="40"/>
  <c r="C12" i="59"/>
  <c r="C17" i="59"/>
  <c r="C23" i="59"/>
  <c r="E6" i="6"/>
  <c r="E29" i="6"/>
  <c r="H29" i="6" s="1"/>
  <c r="C37" i="6"/>
  <c r="C41" i="11"/>
  <c r="C7" i="46"/>
  <c r="C44" i="40"/>
  <c r="E28" i="4"/>
  <c r="C12" i="3"/>
  <c r="C20" i="3"/>
  <c r="C7" i="31"/>
  <c r="C4" i="56"/>
  <c r="C14" i="6"/>
  <c r="E33" i="6"/>
  <c r="H33" i="6" s="1"/>
  <c r="E37" i="6"/>
  <c r="H37" i="6" s="1"/>
  <c r="G4" i="40"/>
  <c r="E14" i="40"/>
  <c r="C39" i="40"/>
  <c r="E44" i="40"/>
  <c r="E4" i="15"/>
  <c r="E28" i="6"/>
  <c r="H28" i="6" s="1"/>
  <c r="C35" i="6"/>
  <c r="E42" i="6"/>
  <c r="H42" i="6" s="1"/>
  <c r="C8" i="11"/>
  <c r="C24" i="11"/>
  <c r="C33" i="11"/>
  <c r="C9" i="40"/>
  <c r="G13" i="40"/>
  <c r="C22" i="40"/>
  <c r="G26" i="40"/>
  <c r="C7" i="37"/>
  <c r="C18" i="37"/>
  <c r="C32" i="59"/>
  <c r="C8" i="28"/>
  <c r="E40" i="4"/>
  <c r="E35" i="4"/>
  <c r="C22" i="3"/>
  <c r="C18" i="31"/>
  <c r="C5" i="11"/>
  <c r="C4" i="46"/>
  <c r="E12" i="46"/>
  <c r="C5" i="7"/>
  <c r="C29" i="40"/>
  <c r="G52" i="40"/>
  <c r="C57" i="40"/>
  <c r="G4" i="50"/>
  <c r="C30" i="59"/>
  <c r="E47" i="4"/>
  <c r="C5" i="57"/>
  <c r="C13" i="6"/>
  <c r="E16" i="6"/>
  <c r="H16" i="6" s="1"/>
  <c r="C20" i="6"/>
  <c r="C27" i="6"/>
  <c r="C41" i="6"/>
  <c r="C21" i="11"/>
  <c r="C8" i="46"/>
  <c r="G7" i="40"/>
  <c r="E12" i="40"/>
  <c r="G38" i="40"/>
  <c r="G47" i="40"/>
  <c r="E6" i="4"/>
  <c r="E20" i="4"/>
  <c r="E55" i="4"/>
  <c r="C22" i="31"/>
  <c r="E4" i="6"/>
  <c r="C25" i="6"/>
  <c r="E35" i="6"/>
  <c r="H35" i="6" s="1"/>
  <c r="C15" i="11"/>
  <c r="C23" i="11"/>
  <c r="E13" i="46"/>
  <c r="E7" i="40"/>
  <c r="E11" i="40"/>
  <c r="G19" i="40"/>
  <c r="C24" i="40"/>
  <c r="C28" i="40"/>
  <c r="G41" i="40"/>
  <c r="G50" i="40"/>
  <c r="E14" i="4"/>
  <c r="E51" i="4"/>
  <c r="E54" i="4"/>
  <c r="C4" i="3"/>
  <c r="C11" i="3"/>
  <c r="C10" i="31"/>
  <c r="C9" i="6"/>
  <c r="C12" i="6"/>
  <c r="E15" i="6"/>
  <c r="H15" i="6" s="1"/>
  <c r="E18" i="6"/>
  <c r="H18" i="6" s="1"/>
  <c r="C34" i="6"/>
  <c r="E40" i="6"/>
  <c r="H40" i="6" s="1"/>
  <c r="E43" i="6"/>
  <c r="H43" i="6" s="1"/>
  <c r="C25" i="11"/>
  <c r="C38" i="11"/>
  <c r="E16" i="40"/>
  <c r="C36" i="40"/>
  <c r="G39" i="40"/>
  <c r="C12" i="37"/>
  <c r="C26" i="6"/>
  <c r="C13" i="11"/>
  <c r="E6" i="46"/>
  <c r="C10" i="46"/>
  <c r="G6" i="40"/>
  <c r="E10" i="40"/>
  <c r="C18" i="40"/>
  <c r="G25" i="40"/>
  <c r="G33" i="40"/>
  <c r="G37" i="40"/>
  <c r="G45" i="40"/>
  <c r="C15" i="37"/>
  <c r="C8" i="59"/>
  <c r="C28" i="59"/>
  <c r="E9" i="4"/>
  <c r="E43" i="4"/>
  <c r="E34" i="4"/>
  <c r="C15" i="3"/>
  <c r="C8" i="6"/>
  <c r="C31" i="6"/>
  <c r="C7" i="11"/>
  <c r="C28" i="11"/>
  <c r="E5" i="46"/>
  <c r="C12" i="46"/>
  <c r="E15" i="46"/>
  <c r="E8" i="40"/>
  <c r="C14" i="40"/>
  <c r="G22" i="40"/>
  <c r="E28" i="40"/>
  <c r="C34" i="40"/>
  <c r="G42" i="40"/>
  <c r="E48" i="40"/>
  <c r="C54" i="40"/>
  <c r="C8" i="37"/>
  <c r="C6" i="59"/>
  <c r="C26" i="59"/>
  <c r="C15" i="59"/>
  <c r="C35" i="59"/>
  <c r="E54" i="40"/>
  <c r="C22" i="37"/>
  <c r="C4" i="59"/>
  <c r="C24" i="59"/>
  <c r="C44" i="59"/>
  <c r="G11" i="40"/>
  <c r="E17" i="40"/>
  <c r="C23" i="40"/>
  <c r="G31" i="40"/>
  <c r="E37" i="40"/>
  <c r="C43" i="40"/>
  <c r="G51" i="40"/>
  <c r="E57" i="40"/>
  <c r="C9" i="37"/>
  <c r="C13" i="59"/>
  <c r="C33" i="59"/>
  <c r="C4" i="7"/>
  <c r="C6" i="40"/>
  <c r="G14" i="40"/>
  <c r="E20" i="40"/>
  <c r="C26" i="40"/>
  <c r="G34" i="40"/>
  <c r="E40" i="40"/>
  <c r="C46" i="40"/>
  <c r="G54" i="40"/>
  <c r="C16" i="37"/>
  <c r="C22" i="59"/>
  <c r="C42" i="59"/>
  <c r="C49" i="40"/>
  <c r="G57" i="40"/>
  <c r="C11" i="59"/>
  <c r="C31" i="59"/>
  <c r="E6" i="40"/>
  <c r="C12" i="40"/>
  <c r="G20" i="40"/>
  <c r="E26" i="40"/>
  <c r="C32" i="40"/>
  <c r="G40" i="40"/>
  <c r="E46" i="40"/>
  <c r="C52" i="40"/>
  <c r="C10" i="37"/>
  <c r="C20" i="59"/>
  <c r="C40" i="59"/>
  <c r="E9" i="40"/>
  <c r="C15" i="40"/>
  <c r="G23" i="40"/>
  <c r="E29" i="40"/>
  <c r="C35" i="40"/>
  <c r="G43" i="40"/>
  <c r="E49" i="40"/>
  <c r="C55" i="40"/>
  <c r="C17" i="37"/>
  <c r="C9" i="59"/>
  <c r="C29" i="59"/>
  <c r="E32" i="40"/>
  <c r="C38" i="40"/>
  <c r="G46" i="40"/>
  <c r="E52" i="40"/>
  <c r="C4" i="37"/>
  <c r="F4" i="38"/>
  <c r="C18" i="59"/>
  <c r="C38" i="59"/>
  <c r="E18" i="4"/>
  <c r="E50" i="4"/>
  <c r="C18" i="3"/>
  <c r="C5" i="31"/>
  <c r="C9" i="31"/>
  <c r="C13" i="31"/>
  <c r="C17" i="31"/>
  <c r="C21" i="31"/>
  <c r="C6" i="57"/>
  <c r="E9" i="6"/>
  <c r="H9" i="6" s="1"/>
  <c r="C15" i="6"/>
  <c r="E32" i="6"/>
  <c r="H32" i="6" s="1"/>
  <c r="C38" i="6"/>
  <c r="C10" i="11"/>
  <c r="C31" i="11"/>
  <c r="G9" i="40"/>
  <c r="E15" i="40"/>
  <c r="C21" i="40"/>
  <c r="G29" i="40"/>
  <c r="E35" i="40"/>
  <c r="C41" i="40"/>
  <c r="G49" i="40"/>
  <c r="E55" i="40"/>
  <c r="C11" i="37"/>
  <c r="C7" i="59"/>
  <c r="C27" i="59"/>
  <c r="F19" i="6"/>
  <c r="C100" i="12"/>
  <c r="C68" i="12"/>
  <c r="C127" i="12"/>
  <c r="C142" i="12"/>
  <c r="C17" i="12"/>
  <c r="C130" i="12"/>
  <c r="C151" i="12"/>
  <c r="C24" i="12"/>
  <c r="C48" i="12"/>
  <c r="C69" i="12"/>
  <c r="C114" i="12"/>
  <c r="C26" i="12"/>
  <c r="C78" i="12"/>
  <c r="C56" i="12"/>
  <c r="C138" i="12"/>
  <c r="C163" i="12"/>
  <c r="C36" i="12"/>
  <c r="C59" i="12"/>
  <c r="C165" i="12"/>
  <c r="C117" i="12"/>
  <c r="C124" i="12"/>
  <c r="C62" i="12"/>
  <c r="C132" i="12"/>
  <c r="C30" i="12"/>
  <c r="C125" i="12"/>
  <c r="C95" i="12"/>
  <c r="C104" i="12"/>
  <c r="C197" i="12"/>
  <c r="C73" i="12"/>
  <c r="C143" i="12"/>
  <c r="C158" i="12"/>
  <c r="C42" i="12"/>
  <c r="C55" i="12"/>
  <c r="C118" i="12"/>
  <c r="C23" i="12"/>
  <c r="C63" i="12"/>
  <c r="C97" i="12"/>
  <c r="C75" i="12"/>
  <c r="C44" i="12"/>
  <c r="C66" i="12"/>
  <c r="C136" i="12"/>
  <c r="C34" i="12"/>
  <c r="C112" i="12"/>
  <c r="C123" i="12"/>
  <c r="C198" i="12"/>
  <c r="C37" i="12"/>
  <c r="C58" i="12"/>
  <c r="C85" i="12"/>
  <c r="C103" i="12"/>
  <c r="C159" i="12"/>
  <c r="C166" i="12"/>
  <c r="C31" i="12"/>
  <c r="C52" i="12"/>
  <c r="C120" i="12"/>
  <c r="C200" i="12"/>
  <c r="C20" i="12"/>
  <c r="C76" i="12"/>
  <c r="C87" i="12"/>
  <c r="C139" i="12"/>
  <c r="C45" i="12"/>
  <c r="C65" i="12"/>
  <c r="C115" i="12"/>
  <c r="C129" i="12"/>
  <c r="C33" i="12"/>
  <c r="C83" i="12"/>
  <c r="C99" i="12"/>
  <c r="C133" i="12"/>
  <c r="C27" i="12"/>
  <c r="C47" i="12"/>
  <c r="C94" i="12"/>
  <c r="C53" i="12"/>
  <c r="C72" i="12"/>
  <c r="C121" i="12"/>
  <c r="C135" i="12"/>
  <c r="C201" i="12"/>
  <c r="C21" i="12"/>
  <c r="C40" i="12"/>
  <c r="C88" i="12"/>
  <c r="C111" i="12"/>
  <c r="C170" i="12"/>
  <c r="C28" i="12"/>
  <c r="C38" i="12"/>
  <c r="C50" i="12"/>
  <c r="C60" i="12"/>
  <c r="C70" i="12"/>
  <c r="C92" i="12"/>
  <c r="C101" i="12"/>
  <c r="C140" i="12"/>
  <c r="C152" i="12"/>
  <c r="C25" i="12"/>
  <c r="C35" i="12"/>
  <c r="C46" i="12"/>
  <c r="C57" i="12"/>
  <c r="C67" i="12"/>
  <c r="C77" i="12"/>
  <c r="C89" i="12"/>
  <c r="C98" i="12"/>
  <c r="C113" i="12"/>
  <c r="C122" i="12"/>
  <c r="C128" i="12"/>
  <c r="C137" i="12"/>
  <c r="C160" i="12"/>
  <c r="C164" i="12"/>
  <c r="C199" i="12"/>
  <c r="C22" i="12"/>
  <c r="C32" i="12"/>
  <c r="C43" i="12"/>
  <c r="C54" i="12"/>
  <c r="C64" i="12"/>
  <c r="C74" i="12"/>
  <c r="C86" i="12"/>
  <c r="C96" i="12"/>
  <c r="C105" i="12"/>
  <c r="C119" i="12"/>
  <c r="C126" i="12"/>
  <c r="C134" i="12"/>
  <c r="C144" i="12"/>
  <c r="C157" i="12"/>
  <c r="C171" i="12"/>
  <c r="C19" i="12"/>
  <c r="C29" i="12"/>
  <c r="C39" i="12"/>
  <c r="C51" i="12"/>
  <c r="C61" i="12"/>
  <c r="C71" i="12"/>
  <c r="C84" i="12"/>
  <c r="C93" i="12"/>
  <c r="C102" i="12"/>
  <c r="C116" i="12"/>
  <c r="C131" i="12"/>
  <c r="C141" i="12"/>
  <c r="C153" i="12"/>
  <c r="C224" i="12"/>
  <c r="C220" i="12"/>
  <c r="C221" i="12"/>
  <c r="C222" i="12"/>
  <c r="C223" i="12"/>
  <c r="C219" i="12"/>
  <c r="C204" i="12"/>
  <c r="C205" i="12"/>
  <c r="C206" i="12"/>
  <c r="C203" i="12"/>
  <c r="C202" i="12"/>
  <c r="C195" i="12"/>
  <c r="C196" i="12"/>
  <c r="C193" i="12"/>
  <c r="C194" i="12"/>
  <c r="C192" i="12"/>
  <c r="C190" i="12"/>
  <c r="C191" i="12"/>
  <c r="C188" i="12"/>
  <c r="C189" i="12"/>
  <c r="C187" i="12"/>
  <c r="C184" i="12"/>
  <c r="C185" i="12"/>
  <c r="C182" i="12"/>
  <c r="C186" i="12"/>
  <c r="C183" i="12"/>
  <c r="C177" i="12"/>
  <c r="C181" i="12"/>
  <c r="C178" i="12"/>
  <c r="C179" i="12"/>
  <c r="C180" i="12"/>
  <c r="C176" i="12"/>
  <c r="C173" i="12"/>
  <c r="C174" i="12"/>
  <c r="C175" i="12"/>
  <c r="C172" i="12"/>
  <c r="C169" i="12"/>
  <c r="C168" i="12"/>
  <c r="C167" i="12"/>
  <c r="C162" i="12"/>
  <c r="C161" i="12"/>
  <c r="C155" i="12"/>
  <c r="C156" i="12"/>
  <c r="C154" i="12"/>
  <c r="C148" i="12"/>
  <c r="C149" i="12"/>
  <c r="C146" i="12"/>
  <c r="C150" i="12"/>
  <c r="C147" i="12"/>
  <c r="C145" i="12"/>
  <c r="C214" i="12"/>
  <c r="C211" i="12"/>
  <c r="C216" i="12"/>
  <c r="C212" i="12"/>
  <c r="C208" i="12"/>
  <c r="C217" i="12"/>
  <c r="C213" i="12"/>
  <c r="C210" i="12"/>
  <c r="C218" i="12"/>
  <c r="C207" i="12"/>
  <c r="C106" i="12"/>
  <c r="C107" i="12"/>
  <c r="C108" i="12"/>
  <c r="C109" i="12"/>
  <c r="C110" i="12"/>
  <c r="G98" i="12" a="1"/>
  <c r="F6" i="59" a="1"/>
  <c r="F35" i="59" a="1"/>
  <c r="F22" i="59" a="1"/>
  <c r="F40" i="59" a="1"/>
  <c r="F32" i="59" a="1"/>
  <c r="F16" i="59" a="1"/>
  <c r="F44" i="59" a="1"/>
  <c r="F28" i="59" a="1"/>
  <c r="F41" i="59" a="1"/>
  <c r="F33" i="59" a="1"/>
  <c r="F23" i="59" a="1"/>
  <c r="F25" i="59" a="1"/>
  <c r="F19" i="59" a="1"/>
  <c r="C4" i="38" a="1"/>
  <c r="F13" i="59" a="1"/>
  <c r="F36" i="59" a="1"/>
  <c r="F11" i="59" a="1"/>
  <c r="F38" i="59" a="1"/>
  <c r="F5" i="59" a="1"/>
  <c r="F29" i="59" a="1"/>
  <c r="F17" i="59" a="1"/>
  <c r="F24" i="59" a="1"/>
  <c r="F14" i="59" a="1"/>
  <c r="F18" i="59" a="1"/>
  <c r="F37" i="59" a="1"/>
  <c r="F26" i="59" a="1"/>
  <c r="F12" i="59" a="1"/>
  <c r="F20" i="59" a="1"/>
  <c r="F8" i="59" a="1"/>
  <c r="F9" i="59" a="1"/>
  <c r="F31" i="59" a="1"/>
  <c r="F34" i="59" a="1"/>
  <c r="F15" i="59" a="1"/>
  <c r="F30" i="59" a="1"/>
  <c r="F39" i="59" a="1"/>
  <c r="F10" i="59" a="1"/>
  <c r="F7" i="59" a="1"/>
  <c r="F42" i="59" a="1"/>
  <c r="F4" i="59" a="1"/>
  <c r="F27" i="59" a="1"/>
  <c r="F43" i="59" a="1"/>
  <c r="G172" i="12" a="1"/>
  <c r="G17" i="12" a="1"/>
  <c r="G81" i="12" a="1"/>
  <c r="G83" i="12" a="1"/>
  <c r="G93" i="12" a="1"/>
  <c r="G73" i="12" a="1"/>
  <c r="G241" i="12" a="1"/>
  <c r="G22" i="12" a="1"/>
  <c r="G185" i="12" a="1"/>
  <c r="G157" i="12" a="1"/>
  <c r="G210" i="12" a="1"/>
  <c r="G167" i="12" a="1"/>
  <c r="G113" i="12" a="1"/>
  <c r="G147" i="12" a="1"/>
  <c r="G56" i="12" a="1"/>
  <c r="G138" i="12" a="1"/>
  <c r="G251" i="12" a="1"/>
  <c r="G105" i="12" a="1"/>
  <c r="G68" i="12" a="1"/>
  <c r="G193" i="12" a="1"/>
  <c r="G150" i="12" a="1"/>
  <c r="G235" i="12" a="1"/>
  <c r="G50" i="12" a="1"/>
  <c r="G221" i="12" a="1"/>
  <c r="G25" i="12" a="1"/>
  <c r="G142" i="12" a="1"/>
  <c r="G204" i="12" a="1"/>
  <c r="G87" i="12" a="1"/>
  <c r="G254" i="12" a="1"/>
  <c r="G32" i="12" a="1"/>
  <c r="G154" i="12" a="1"/>
  <c r="D80" i="12" a="1"/>
  <c r="G119" i="12" a="1"/>
  <c r="E79" i="12" a="1"/>
  <c r="G198" i="12" a="1"/>
  <c r="G216" i="12" a="1"/>
  <c r="G244" i="12" a="1"/>
  <c r="G176" i="12" a="1"/>
  <c r="G43" i="12" a="1"/>
  <c r="G4" i="12" a="1"/>
  <c r="G98" i="12" l="1"/>
  <c r="G216" i="12"/>
  <c r="F216" i="12" s="1"/>
  <c r="G210" i="12"/>
  <c r="F210" i="12" s="1"/>
  <c r="G235" i="12"/>
  <c r="F234" i="12"/>
  <c r="G221" i="12"/>
  <c r="F221" i="12" s="1"/>
  <c r="G204" i="12"/>
  <c r="F204" i="12" s="1"/>
  <c r="G50" i="12"/>
  <c r="F50" i="12" s="1"/>
  <c r="G83" i="12"/>
  <c r="F80" i="12"/>
  <c r="G172" i="12"/>
  <c r="G138" i="12"/>
  <c r="G193" i="12"/>
  <c r="G25" i="12"/>
  <c r="G56" i="12"/>
  <c r="G4" i="12"/>
  <c r="G176" i="12"/>
  <c r="G93" i="12"/>
  <c r="G43" i="12"/>
  <c r="G32" i="12"/>
  <c r="G73" i="12"/>
  <c r="G147" i="12"/>
  <c r="F147" i="12" s="1"/>
  <c r="G22" i="12"/>
  <c r="F22" i="12" s="1"/>
  <c r="G167" i="12"/>
  <c r="G150" i="12"/>
  <c r="G119" i="12"/>
  <c r="G105" i="12"/>
  <c r="G198" i="12"/>
  <c r="G17" i="12"/>
  <c r="G254" i="12"/>
  <c r="G154" i="12"/>
  <c r="F154" i="12" s="1"/>
  <c r="G142" i="12"/>
  <c r="G241" i="12"/>
  <c r="F241" i="12" s="1"/>
  <c r="G185" i="12"/>
  <c r="G157" i="12"/>
  <c r="G113" i="12"/>
  <c r="G68" i="12"/>
  <c r="G244" i="12"/>
  <c r="G87" i="12"/>
  <c r="G251" i="12"/>
  <c r="F251" i="12" s="1"/>
  <c r="G81" i="12"/>
  <c r="D80" i="12"/>
  <c r="F9" i="46"/>
  <c r="E79" i="12"/>
  <c r="H80" i="12"/>
  <c r="I80" i="12"/>
  <c r="F10" i="46"/>
  <c r="F14" i="46"/>
  <c r="F15" i="46"/>
  <c r="F6" i="46"/>
  <c r="F12" i="46"/>
  <c r="F38" i="59"/>
  <c r="F40" i="59"/>
  <c r="F44" i="59"/>
  <c r="F41" i="59"/>
  <c r="F19" i="59"/>
  <c r="F27" i="59"/>
  <c r="F31" i="59"/>
  <c r="F30" i="59"/>
  <c r="F17" i="59"/>
  <c r="F10" i="59"/>
  <c r="F18" i="59"/>
  <c r="F20" i="59"/>
  <c r="F24" i="59"/>
  <c r="F14" i="59"/>
  <c r="F4" i="59"/>
  <c r="F5" i="59"/>
  <c r="C4" i="38"/>
  <c r="F35" i="59"/>
  <c r="F15" i="59"/>
  <c r="F7" i="59"/>
  <c r="F11" i="59"/>
  <c r="F12" i="59"/>
  <c r="F43" i="59"/>
  <c r="F32" i="59"/>
  <c r="F37" i="59"/>
  <c r="F36" i="59"/>
  <c r="F28" i="59"/>
  <c r="F8" i="59"/>
  <c r="F26" i="59"/>
  <c r="F29" i="59"/>
  <c r="F33" i="59"/>
  <c r="F6" i="59"/>
  <c r="F9" i="59"/>
  <c r="F13" i="59"/>
  <c r="F23" i="59"/>
  <c r="F42" i="59"/>
  <c r="F34" i="59"/>
  <c r="F39" i="59"/>
  <c r="F22" i="59"/>
  <c r="F25" i="59"/>
  <c r="F16" i="59"/>
  <c r="F7" i="46"/>
  <c r="F11" i="46"/>
  <c r="F8" i="46"/>
  <c r="F13" i="46"/>
  <c r="F5" i="46"/>
  <c r="F4" i="46"/>
  <c r="G99" i="12" a="1"/>
  <c r="C13" i="55" a="1"/>
  <c r="C5" i="55" a="1"/>
  <c r="C8" i="55" a="1"/>
  <c r="D4" i="38" a="1"/>
  <c r="C9" i="55" a="1"/>
  <c r="C15" i="55" a="1"/>
  <c r="C4" i="55" a="1"/>
  <c r="C10" i="55" a="1"/>
  <c r="C11" i="55" a="1"/>
  <c r="C14" i="55" a="1"/>
  <c r="C7" i="55" a="1"/>
  <c r="C12" i="55" a="1"/>
  <c r="C6" i="55" a="1"/>
  <c r="G84" i="12" a="1"/>
  <c r="D73" i="12" a="1"/>
  <c r="G44" i="12" a="1"/>
  <c r="G23" i="12" a="1"/>
  <c r="G88" i="12" a="1"/>
  <c r="G194" i="12" a="1"/>
  <c r="G33" i="12" a="1"/>
  <c r="G158" i="12" a="1"/>
  <c r="G177" i="12" a="1"/>
  <c r="G94" i="12" a="1"/>
  <c r="D22" i="12" a="1"/>
  <c r="G139" i="12" a="1"/>
  <c r="G114" i="12" a="1"/>
  <c r="D32" i="12" a="1"/>
  <c r="D68" i="12" a="1"/>
  <c r="G186" i="12" a="1"/>
  <c r="G18" i="12" a="1"/>
  <c r="G222" i="12" a="1"/>
  <c r="G217" i="12" a="1"/>
  <c r="D25" i="12" a="1"/>
  <c r="G26" i="12" a="1"/>
  <c r="D204" i="12" a="1"/>
  <c r="G57" i="12" a="1"/>
  <c r="G5" i="12" a="1"/>
  <c r="G151" i="12" a="1"/>
  <c r="G143" i="12" a="1"/>
  <c r="G173" i="12" a="1"/>
  <c r="G69" i="12" a="1"/>
  <c r="D17" i="12" a="1"/>
  <c r="G199" i="12" a="1"/>
  <c r="E80" i="12" a="1"/>
  <c r="D56" i="12" a="1"/>
  <c r="G120" i="12" a="1"/>
  <c r="D50" i="12" a="1"/>
  <c r="G51" i="12" a="1"/>
  <c r="D4" i="12" a="1"/>
  <c r="G148" i="12" a="1"/>
  <c r="G236" i="12" a="1"/>
  <c r="G74" i="12" a="1"/>
  <c r="G211" i="12" a="1"/>
  <c r="G255" i="12" a="1"/>
  <c r="G155" i="12" a="1"/>
  <c r="G205" i="12" a="1"/>
  <c r="G82" i="12" a="1"/>
  <c r="G106" i="12" a="1"/>
  <c r="G168" i="12" a="1"/>
  <c r="D81" i="12" a="1"/>
  <c r="D43" i="12" a="1"/>
  <c r="G245" i="12" a="1"/>
  <c r="G99" i="12" l="1"/>
  <c r="F98" i="12"/>
  <c r="G84" i="12"/>
  <c r="G236" i="12"/>
  <c r="G222" i="12"/>
  <c r="H221" i="12"/>
  <c r="G217" i="12"/>
  <c r="D204" i="12"/>
  <c r="G205" i="12"/>
  <c r="G168" i="12"/>
  <c r="G33" i="12"/>
  <c r="F81" i="12"/>
  <c r="F83" i="12"/>
  <c r="G106" i="12"/>
  <c r="G82" i="12"/>
  <c r="G151" i="12"/>
  <c r="G245" i="12"/>
  <c r="G23" i="12"/>
  <c r="F23" i="12" s="1"/>
  <c r="G44" i="12"/>
  <c r="G173" i="12"/>
  <c r="G120" i="12"/>
  <c r="G211" i="12"/>
  <c r="G88" i="12"/>
  <c r="G69" i="12"/>
  <c r="G114" i="12"/>
  <c r="G158" i="12"/>
  <c r="G148" i="12"/>
  <c r="F148" i="12" s="1"/>
  <c r="G74" i="12"/>
  <c r="G186" i="12"/>
  <c r="G143" i="12"/>
  <c r="G94" i="12"/>
  <c r="G155" i="12"/>
  <c r="G177" i="12"/>
  <c r="G255" i="12"/>
  <c r="G18" i="12"/>
  <c r="G5" i="12"/>
  <c r="G57" i="12"/>
  <c r="G51" i="12"/>
  <c r="G26" i="12"/>
  <c r="G199" i="12"/>
  <c r="G194" i="12"/>
  <c r="G139" i="12"/>
  <c r="F235" i="12"/>
  <c r="F244" i="12"/>
  <c r="F254" i="12"/>
  <c r="F4" i="12"/>
  <c r="F172" i="12"/>
  <c r="F73" i="12"/>
  <c r="F32" i="12"/>
  <c r="F198" i="12"/>
  <c r="F119" i="12"/>
  <c r="F43" i="12"/>
  <c r="F176" i="12"/>
  <c r="F177" i="12" s="1"/>
  <c r="F93" i="12"/>
  <c r="F113" i="12"/>
  <c r="F56" i="12"/>
  <c r="F157" i="12"/>
  <c r="F25" i="12"/>
  <c r="F138" i="12"/>
  <c r="F193" i="12"/>
  <c r="F167" i="12"/>
  <c r="F142" i="12"/>
  <c r="F185" i="12"/>
  <c r="F68" i="12"/>
  <c r="F87" i="12"/>
  <c r="F17" i="12"/>
  <c r="F150" i="12"/>
  <c r="F105" i="12"/>
  <c r="D81" i="12"/>
  <c r="H81" i="12"/>
  <c r="I81" i="12"/>
  <c r="E80" i="12"/>
  <c r="D56" i="12"/>
  <c r="D73" i="12"/>
  <c r="D68" i="12"/>
  <c r="D50" i="12"/>
  <c r="D17" i="12"/>
  <c r="D32" i="12"/>
  <c r="D25" i="12"/>
  <c r="D43" i="12"/>
  <c r="D22" i="12"/>
  <c r="I73" i="12"/>
  <c r="H50" i="12"/>
  <c r="I17" i="12"/>
  <c r="I32" i="12"/>
  <c r="I25" i="12"/>
  <c r="C10" i="55"/>
  <c r="D4" i="12"/>
  <c r="C15" i="55"/>
  <c r="C6" i="55"/>
  <c r="C14" i="55"/>
  <c r="C9" i="55"/>
  <c r="C12" i="55"/>
  <c r="H17" i="12"/>
  <c r="H56" i="12"/>
  <c r="I56" i="12"/>
  <c r="H68" i="12"/>
  <c r="I68" i="12"/>
  <c r="H73" i="12"/>
  <c r="I50" i="12"/>
  <c r="H25" i="12"/>
  <c r="H32" i="12"/>
  <c r="I22" i="12"/>
  <c r="H43" i="12"/>
  <c r="I43" i="12"/>
  <c r="H22" i="12"/>
  <c r="I4" i="12"/>
  <c r="H4" i="12"/>
  <c r="C4" i="55"/>
  <c r="C5" i="55"/>
  <c r="C13" i="55"/>
  <c r="C8" i="55"/>
  <c r="C11" i="55"/>
  <c r="C7" i="55"/>
  <c r="D4" i="38"/>
  <c r="G100" i="12" a="1"/>
  <c r="C4" i="60" a="1"/>
  <c r="E7" i="55" a="1"/>
  <c r="G85" i="12" a="1"/>
  <c r="D205" i="12" a="1"/>
  <c r="T4" i="12" a="1"/>
  <c r="O43" i="12" a="1"/>
  <c r="L4" i="12" a="1"/>
  <c r="G140" i="12" a="1"/>
  <c r="G95" i="12" a="1"/>
  <c r="M68" i="12" a="1"/>
  <c r="G169" i="12" a="1"/>
  <c r="O50" i="12" a="1"/>
  <c r="E73" i="12" a="1"/>
  <c r="G195" i="12" a="1"/>
  <c r="L68" i="12" a="1"/>
  <c r="G246" i="12" a="1"/>
  <c r="M22" i="12" a="1"/>
  <c r="Q73" i="12" a="1"/>
  <c r="O68" i="12" a="1"/>
  <c r="R17" i="12" a="1"/>
  <c r="D74" i="12" a="1"/>
  <c r="G156" i="12" a="1"/>
  <c r="R73" i="12" a="1"/>
  <c r="R50" i="12" a="1"/>
  <c r="D69" i="12" a="1"/>
  <c r="M25" i="12" a="1"/>
  <c r="T25" i="12" a="1"/>
  <c r="G24" i="12" a="1"/>
  <c r="D23" i="12" a="1"/>
  <c r="M17" i="12" a="1"/>
  <c r="R43" i="12" a="1"/>
  <c r="N22" i="12" a="1"/>
  <c r="G70" i="12" a="1"/>
  <c r="L32" i="12" a="1"/>
  <c r="G144" i="12" a="1"/>
  <c r="R56" i="12" a="1"/>
  <c r="E25" i="12" a="1"/>
  <c r="S73" i="12" a="1"/>
  <c r="S56" i="12" a="1"/>
  <c r="G200" i="12" a="1"/>
  <c r="D44" i="12" a="1"/>
  <c r="E81" i="12" a="1"/>
  <c r="N73" i="12" a="1"/>
  <c r="Q50" i="12" a="1"/>
  <c r="S50" i="12" a="1"/>
  <c r="S25" i="12" a="1"/>
  <c r="T17" i="12" a="1"/>
  <c r="R22" i="12" a="1"/>
  <c r="S22" i="12" a="1"/>
  <c r="T22" i="12" a="1"/>
  <c r="M4" i="12" a="1"/>
  <c r="E68" i="12" a="1"/>
  <c r="G218" i="12" a="1"/>
  <c r="Q17" i="12" a="1"/>
  <c r="O17" i="12" a="1"/>
  <c r="T68" i="12" a="1"/>
  <c r="G206" i="12" a="1"/>
  <c r="Q43" i="12" a="1"/>
  <c r="Q25" i="12" a="1"/>
  <c r="M56" i="12" a="1"/>
  <c r="D18" i="12" a="1"/>
  <c r="S17" i="12" a="1"/>
  <c r="T50" i="12" a="1"/>
  <c r="G178" i="12" a="1"/>
  <c r="N50" i="12" a="1"/>
  <c r="L56" i="12" a="1"/>
  <c r="O73" i="12" a="1"/>
  <c r="G115" i="12" a="1"/>
  <c r="N25" i="12" a="1"/>
  <c r="G34" i="12" a="1"/>
  <c r="G174" i="12" a="1"/>
  <c r="G212" i="12" a="1"/>
  <c r="G58" i="12" a="1"/>
  <c r="Q68" i="12" a="1"/>
  <c r="E56" i="12" a="1"/>
  <c r="Q32" i="12" a="1"/>
  <c r="G27" i="12" a="1"/>
  <c r="L50" i="12" a="1"/>
  <c r="L73" i="12" a="1"/>
  <c r="R32" i="12" a="1"/>
  <c r="G6" i="12" a="1"/>
  <c r="Q4" i="12" a="1"/>
  <c r="G75" i="12" a="1"/>
  <c r="N32" i="12" a="1"/>
  <c r="N68" i="12" a="1"/>
  <c r="E4" i="12" a="1"/>
  <c r="R4" i="12" a="1"/>
  <c r="E22" i="12" a="1"/>
  <c r="G52" i="12" a="1"/>
  <c r="G45" i="12" a="1"/>
  <c r="G149" i="12" a="1"/>
  <c r="N56" i="12" a="1"/>
  <c r="E50" i="12" a="1"/>
  <c r="O32" i="12" a="1"/>
  <c r="G121" i="12" a="1"/>
  <c r="D82" i="12" a="1"/>
  <c r="G152" i="12" a="1"/>
  <c r="M73" i="12" a="1"/>
  <c r="N43" i="12" a="1"/>
  <c r="N17" i="12" a="1"/>
  <c r="E43" i="12" a="1"/>
  <c r="E17" i="12" a="1"/>
  <c r="G187" i="12" a="1"/>
  <c r="O25" i="12" a="1"/>
  <c r="G107" i="12" a="1"/>
  <c r="T56" i="12" a="1"/>
  <c r="Q56" i="12" a="1"/>
  <c r="O22" i="12" a="1"/>
  <c r="T43" i="12" a="1"/>
  <c r="D57" i="12" a="1"/>
  <c r="G159" i="12" a="1"/>
  <c r="S4" i="12" a="1"/>
  <c r="M50" i="12" a="1"/>
  <c r="Q22" i="12" a="1"/>
  <c r="O56" i="12" a="1"/>
  <c r="G89" i="12" a="1"/>
  <c r="M32" i="12" a="1"/>
  <c r="S43" i="12" a="1"/>
  <c r="M43" i="12" a="1"/>
  <c r="G19" i="12" a="1"/>
  <c r="S32" i="12" a="1"/>
  <c r="R68" i="12" a="1"/>
  <c r="L43" i="12" a="1"/>
  <c r="D5" i="12" a="1"/>
  <c r="D33" i="12" a="1"/>
  <c r="G237" i="12" a="1"/>
  <c r="L17" i="12" a="1"/>
  <c r="L25" i="12" a="1"/>
  <c r="R25" i="12" a="1"/>
  <c r="S68" i="12" a="1"/>
  <c r="G223" i="12" a="1"/>
  <c r="N4" i="12" a="1"/>
  <c r="E32" i="12" a="1"/>
  <c r="L22" i="12" a="1"/>
  <c r="O4" i="12" a="1"/>
  <c r="T32" i="12" a="1"/>
  <c r="D51" i="12" a="1"/>
  <c r="D26" i="12" a="1"/>
  <c r="T73" i="12" a="1"/>
  <c r="G100" i="12" l="1"/>
  <c r="F57" i="12"/>
  <c r="G85" i="12"/>
  <c r="F84" i="12"/>
  <c r="F85" i="12" s="1"/>
  <c r="F94" i="12"/>
  <c r="G237" i="12"/>
  <c r="F106" i="12"/>
  <c r="G223" i="12"/>
  <c r="H222" i="12"/>
  <c r="G218" i="12"/>
  <c r="D205" i="12"/>
  <c r="G206" i="12"/>
  <c r="G169" i="12"/>
  <c r="F44" i="12"/>
  <c r="F151" i="12"/>
  <c r="F186" i="12"/>
  <c r="G34" i="12"/>
  <c r="F211" i="12"/>
  <c r="F205" i="12"/>
  <c r="F120" i="12"/>
  <c r="F18" i="12"/>
  <c r="F143" i="12"/>
  <c r="F158" i="12"/>
  <c r="F114" i="12"/>
  <c r="F255" i="12"/>
  <c r="F33" i="12"/>
  <c r="F88" i="12"/>
  <c r="F99" i="12"/>
  <c r="F82" i="12"/>
  <c r="G140" i="12"/>
  <c r="G195" i="12"/>
  <c r="G115" i="12"/>
  <c r="G58" i="12"/>
  <c r="R22" i="12"/>
  <c r="O22" i="12"/>
  <c r="S22" i="12"/>
  <c r="T22" i="12"/>
  <c r="M22" i="12"/>
  <c r="N22" i="12"/>
  <c r="Q22" i="12"/>
  <c r="L22" i="12"/>
  <c r="R43" i="12"/>
  <c r="Q43" i="12"/>
  <c r="S43" i="12"/>
  <c r="N43" i="12"/>
  <c r="M43" i="12"/>
  <c r="O43" i="12"/>
  <c r="T43" i="12"/>
  <c r="L43" i="12"/>
  <c r="G6" i="12"/>
  <c r="G89" i="12"/>
  <c r="G75" i="12"/>
  <c r="G149" i="12"/>
  <c r="F149" i="12" s="1"/>
  <c r="G159" i="12"/>
  <c r="G200" i="12"/>
  <c r="G27" i="12"/>
  <c r="G70" i="12"/>
  <c r="G52" i="12"/>
  <c r="L25" i="12"/>
  <c r="R25" i="12"/>
  <c r="S25" i="12"/>
  <c r="N25" i="12"/>
  <c r="M25" i="12"/>
  <c r="Q25" i="12"/>
  <c r="T25" i="12"/>
  <c r="O25" i="12"/>
  <c r="G19" i="12"/>
  <c r="G212" i="12"/>
  <c r="Q32" i="12"/>
  <c r="N32" i="12"/>
  <c r="M32" i="12"/>
  <c r="O32" i="12"/>
  <c r="R32" i="12"/>
  <c r="S32" i="12"/>
  <c r="T32" i="12"/>
  <c r="L32" i="12"/>
  <c r="G121" i="12"/>
  <c r="N17" i="12"/>
  <c r="L17" i="12"/>
  <c r="M17" i="12"/>
  <c r="O17" i="12"/>
  <c r="R17" i="12"/>
  <c r="T17" i="12"/>
  <c r="S17" i="12"/>
  <c r="Q17" i="12"/>
  <c r="G174" i="12"/>
  <c r="T50" i="12"/>
  <c r="N50" i="12"/>
  <c r="O50" i="12"/>
  <c r="Q50" i="12"/>
  <c r="S50" i="12"/>
  <c r="L50" i="12"/>
  <c r="M50" i="12"/>
  <c r="R50" i="12"/>
  <c r="G178" i="12"/>
  <c r="G45" i="12"/>
  <c r="T68" i="12"/>
  <c r="M68" i="12"/>
  <c r="O68" i="12"/>
  <c r="N68" i="12"/>
  <c r="L68" i="12"/>
  <c r="Q68" i="12"/>
  <c r="R68" i="12"/>
  <c r="S68" i="12"/>
  <c r="G156" i="12"/>
  <c r="G24" i="12"/>
  <c r="F24" i="12" s="1"/>
  <c r="S73" i="12"/>
  <c r="T73" i="12"/>
  <c r="L73" i="12"/>
  <c r="Q73" i="12"/>
  <c r="O73" i="12"/>
  <c r="M73" i="12"/>
  <c r="N73" i="12"/>
  <c r="R73" i="12"/>
  <c r="G95" i="12"/>
  <c r="G246" i="12"/>
  <c r="M56" i="12"/>
  <c r="O56" i="12"/>
  <c r="Q56" i="12"/>
  <c r="L56" i="12"/>
  <c r="T56" i="12"/>
  <c r="S56" i="12"/>
  <c r="R56" i="12"/>
  <c r="N56" i="12"/>
  <c r="G144" i="12"/>
  <c r="G152" i="12"/>
  <c r="G187" i="12"/>
  <c r="G107" i="12"/>
  <c r="F107" i="12" s="1"/>
  <c r="F236" i="12"/>
  <c r="F51" i="12"/>
  <c r="F199" i="12"/>
  <c r="F69" i="12"/>
  <c r="F74" i="12"/>
  <c r="F168" i="12"/>
  <c r="F173" i="12"/>
  <c r="F194" i="12"/>
  <c r="F5" i="12"/>
  <c r="F155" i="12"/>
  <c r="F222" i="12"/>
  <c r="F245" i="12"/>
  <c r="F139" i="12"/>
  <c r="F26" i="12"/>
  <c r="F217" i="12"/>
  <c r="E81" i="12"/>
  <c r="D82" i="12"/>
  <c r="H82" i="12"/>
  <c r="I82" i="12"/>
  <c r="E22" i="12"/>
  <c r="D69" i="12"/>
  <c r="D33" i="12"/>
  <c r="D18" i="12"/>
  <c r="E25" i="12"/>
  <c r="D57" i="12"/>
  <c r="E32" i="12"/>
  <c r="D5" i="12"/>
  <c r="D23" i="12"/>
  <c r="E17" i="12"/>
  <c r="D51" i="12"/>
  <c r="E73" i="12"/>
  <c r="E43" i="12"/>
  <c r="D44" i="12"/>
  <c r="D74" i="12"/>
  <c r="E50" i="12"/>
  <c r="E68" i="12"/>
  <c r="D26" i="12"/>
  <c r="E56" i="12"/>
  <c r="H18" i="12"/>
  <c r="I44" i="12"/>
  <c r="E4" i="12"/>
  <c r="N4" i="12"/>
  <c r="R4" i="12"/>
  <c r="S4" i="12"/>
  <c r="Q4" i="12"/>
  <c r="T4" i="12"/>
  <c r="O4" i="12"/>
  <c r="L4" i="12"/>
  <c r="M4" i="12"/>
  <c r="I51" i="12"/>
  <c r="I18" i="12"/>
  <c r="H23" i="12"/>
  <c r="I23" i="12"/>
  <c r="H51" i="12"/>
  <c r="H44" i="12"/>
  <c r="H26" i="12"/>
  <c r="I26" i="12"/>
  <c r="I74" i="12"/>
  <c r="H74" i="12"/>
  <c r="H33" i="12"/>
  <c r="I5" i="12"/>
  <c r="H5" i="12"/>
  <c r="H57" i="12"/>
  <c r="I57" i="12"/>
  <c r="I69" i="12"/>
  <c r="I33" i="12"/>
  <c r="H69" i="12"/>
  <c r="C4" i="60"/>
  <c r="E7" i="55"/>
  <c r="G101" i="12" a="1"/>
  <c r="G86" i="12" a="1"/>
  <c r="E14" i="55" a="1"/>
  <c r="E8" i="55" a="1"/>
  <c r="E11" i="55" a="1"/>
  <c r="Q51" i="12" a="1"/>
  <c r="S57" i="12" a="1"/>
  <c r="N5" i="12" a="1"/>
  <c r="R51" i="12" a="1"/>
  <c r="S69" i="12" a="1"/>
  <c r="T33" i="12" a="1"/>
  <c r="O33" i="12" a="1"/>
  <c r="S33" i="12" a="1"/>
  <c r="N23" i="12" a="1"/>
  <c r="D45" i="12" a="1"/>
  <c r="Q5" i="12" a="1"/>
  <c r="G247" i="12" a="1"/>
  <c r="G160" i="12" a="1"/>
  <c r="D58" i="12" a="1"/>
  <c r="G141" i="12" a="1"/>
  <c r="G179" i="12" a="1"/>
  <c r="D6" i="12" a="1"/>
  <c r="R44" i="12" a="1"/>
  <c r="Q44" i="12" a="1"/>
  <c r="G175" i="12" a="1"/>
  <c r="G207" i="12" a="1"/>
  <c r="M74" i="12" a="1"/>
  <c r="D70" i="12" a="1"/>
  <c r="G59" i="12" a="1"/>
  <c r="N74" i="12" a="1"/>
  <c r="E23" i="12" a="1"/>
  <c r="Q23" i="12" a="1"/>
  <c r="G170" i="12" a="1"/>
  <c r="S23" i="12" a="1"/>
  <c r="E69" i="12" a="1"/>
  <c r="P17" i="12" a="1"/>
  <c r="T18" i="12" a="1"/>
  <c r="M26" i="12" a="1"/>
  <c r="G35" i="12" a="1"/>
  <c r="G116" i="12" a="1"/>
  <c r="Q18" i="12" a="1"/>
  <c r="O69" i="12" a="1"/>
  <c r="E33" i="12" a="1"/>
  <c r="N44" i="12" a="1"/>
  <c r="T44" i="12" a="1"/>
  <c r="G71" i="12" a="1"/>
  <c r="M5" i="12" a="1"/>
  <c r="O44" i="12" a="1"/>
  <c r="P50" i="12" a="1"/>
  <c r="T57" i="12" a="1"/>
  <c r="S5" i="12" a="1"/>
  <c r="G108" i="12" a="1"/>
  <c r="G188" i="12" a="1"/>
  <c r="L44" i="12" a="1"/>
  <c r="P32" i="12" a="1"/>
  <c r="Q57" i="12" a="1"/>
  <c r="N69" i="12" a="1"/>
  <c r="T69" i="12" a="1"/>
  <c r="R33" i="12" a="1"/>
  <c r="R26" i="12" a="1"/>
  <c r="E57" i="12" a="1"/>
  <c r="N18" i="12" a="1"/>
  <c r="G96" i="12" a="1"/>
  <c r="G201" i="12" a="1"/>
  <c r="G122" i="12" a="1"/>
  <c r="G213" i="12" a="1"/>
  <c r="O57" i="12" a="1"/>
  <c r="P68" i="12" a="1"/>
  <c r="G90" i="12" a="1"/>
  <c r="R5" i="12" a="1"/>
  <c r="O74" i="12" a="1"/>
  <c r="O51" i="12" a="1"/>
  <c r="T5" i="12" a="1"/>
  <c r="P56" i="12" a="1"/>
  <c r="N51" i="12" a="1"/>
  <c r="L69" i="12" a="1"/>
  <c r="Q69" i="12" a="1"/>
  <c r="D24" i="12" a="1"/>
  <c r="G196" i="12" a="1"/>
  <c r="G153" i="12" a="1"/>
  <c r="P73" i="12" a="1"/>
  <c r="T26" i="12" a="1"/>
  <c r="M33" i="12" a="1"/>
  <c r="Q26" i="12" a="1"/>
  <c r="M23" i="12" a="1"/>
  <c r="E5" i="12" a="1"/>
  <c r="E74" i="12" a="1"/>
  <c r="O18" i="12" a="1"/>
  <c r="N26" i="12" a="1"/>
  <c r="G238" i="12" a="1"/>
  <c r="E44" i="12" a="1"/>
  <c r="E18" i="12" a="1"/>
  <c r="P22" i="12" a="1"/>
  <c r="D34" i="12" a="1"/>
  <c r="G224" i="12" a="1"/>
  <c r="E26" i="12" a="1"/>
  <c r="R18" i="12" a="1"/>
  <c r="O5" i="12" a="1"/>
  <c r="G219" i="12" a="1"/>
  <c r="G145" i="12" a="1"/>
  <c r="G46" i="12" a="1"/>
  <c r="E82" i="12" a="1"/>
  <c r="L5" i="12" a="1"/>
  <c r="R74" i="12" a="1"/>
  <c r="D52" i="12" a="1"/>
  <c r="D206" i="12" a="1"/>
  <c r="S74" i="12" a="1"/>
  <c r="E51" i="12" a="1"/>
  <c r="D27" i="12" a="1"/>
  <c r="O23" i="12" a="1"/>
  <c r="S51" i="12" a="1"/>
  <c r="L23" i="12" a="1"/>
  <c r="T51" i="12" a="1"/>
  <c r="L26" i="12" a="1"/>
  <c r="P43" i="12" a="1"/>
  <c r="P25" i="12" a="1"/>
  <c r="Q74" i="12" a="1"/>
  <c r="L51" i="12" a="1"/>
  <c r="S44" i="12" a="1"/>
  <c r="G20" i="12" a="1"/>
  <c r="M44" i="12" a="1"/>
  <c r="L74" i="12" a="1"/>
  <c r="G28" i="12" a="1"/>
  <c r="T23" i="12" a="1"/>
  <c r="S26" i="12" a="1"/>
  <c r="M69" i="12" a="1"/>
  <c r="N57" i="12" a="1"/>
  <c r="R23" i="12" a="1"/>
  <c r="Q33" i="12" a="1"/>
  <c r="M18" i="12" a="1"/>
  <c r="G76" i="12" a="1"/>
  <c r="O26" i="12" a="1"/>
  <c r="L57" i="12" a="1"/>
  <c r="G53" i="12" a="1"/>
  <c r="T74" i="12" a="1"/>
  <c r="L18" i="12" a="1"/>
  <c r="L33" i="12" a="1"/>
  <c r="D75" i="12" a="1"/>
  <c r="D19" i="12" a="1"/>
  <c r="N33" i="12" a="1"/>
  <c r="S18" i="12" a="1"/>
  <c r="R57" i="12" a="1"/>
  <c r="M57" i="12" a="1"/>
  <c r="M51" i="12" a="1"/>
  <c r="P4" i="12" a="1"/>
  <c r="R69" i="12" a="1"/>
  <c r="G7" i="12" a="1"/>
  <c r="G101" i="12" l="1"/>
  <c r="F58" i="12"/>
  <c r="G86" i="12"/>
  <c r="F86" i="12"/>
  <c r="G238" i="12"/>
  <c r="G224" i="12"/>
  <c r="H223" i="12"/>
  <c r="G219" i="12"/>
  <c r="D206" i="12"/>
  <c r="G207" i="12"/>
  <c r="G170" i="12"/>
  <c r="F187" i="12"/>
  <c r="F152" i="12"/>
  <c r="E44" i="12"/>
  <c r="F19" i="12"/>
  <c r="G35" i="12"/>
  <c r="F212" i="12"/>
  <c r="F121" i="12"/>
  <c r="F144" i="12"/>
  <c r="F223" i="12"/>
  <c r="F156" i="12"/>
  <c r="F195" i="12"/>
  <c r="F89" i="12"/>
  <c r="F52" i="12"/>
  <c r="F237" i="12"/>
  <c r="F100" i="12"/>
  <c r="F34" i="12"/>
  <c r="F140" i="12"/>
  <c r="F6" i="12"/>
  <c r="F169" i="12"/>
  <c r="F70" i="12"/>
  <c r="F174" i="12"/>
  <c r="F200" i="12"/>
  <c r="L23" i="12"/>
  <c r="S23" i="12"/>
  <c r="T23" i="12"/>
  <c r="N23" i="12"/>
  <c r="Q23" i="12"/>
  <c r="R23" i="12"/>
  <c r="O23" i="12"/>
  <c r="M23" i="12"/>
  <c r="Q5" i="12"/>
  <c r="M5" i="12"/>
  <c r="N5" i="12"/>
  <c r="R5" i="12"/>
  <c r="S5" i="12"/>
  <c r="L5" i="12"/>
  <c r="T5" i="12"/>
  <c r="O5" i="12"/>
  <c r="P68" i="12"/>
  <c r="P56" i="12"/>
  <c r="G122" i="12"/>
  <c r="G247" i="12"/>
  <c r="G46" i="12"/>
  <c r="G71" i="12"/>
  <c r="R57" i="12"/>
  <c r="S57" i="12"/>
  <c r="T57" i="12"/>
  <c r="N57" i="12"/>
  <c r="L57" i="12"/>
  <c r="M57" i="12"/>
  <c r="Q57" i="12"/>
  <c r="O57" i="12"/>
  <c r="G96" i="12"/>
  <c r="G179" i="12"/>
  <c r="G28" i="12"/>
  <c r="G201" i="12"/>
  <c r="P22" i="12"/>
  <c r="S26" i="12"/>
  <c r="O26" i="12"/>
  <c r="Q26" i="12"/>
  <c r="M26" i="12"/>
  <c r="N26" i="12"/>
  <c r="R26" i="12"/>
  <c r="T26" i="12"/>
  <c r="L26" i="12"/>
  <c r="P50" i="12"/>
  <c r="Q18" i="12"/>
  <c r="S18" i="12"/>
  <c r="T18" i="12"/>
  <c r="L18" i="12"/>
  <c r="M18" i="12"/>
  <c r="N18" i="12"/>
  <c r="O18" i="12"/>
  <c r="R18" i="12"/>
  <c r="P73" i="12"/>
  <c r="G160" i="12"/>
  <c r="O33" i="12"/>
  <c r="Q33" i="12"/>
  <c r="N33" i="12"/>
  <c r="T33" i="12"/>
  <c r="L33" i="12"/>
  <c r="R33" i="12"/>
  <c r="S33" i="12"/>
  <c r="M33" i="12"/>
  <c r="P17" i="12"/>
  <c r="G53" i="12"/>
  <c r="O69" i="12"/>
  <c r="L69" i="12"/>
  <c r="N69" i="12"/>
  <c r="T69" i="12"/>
  <c r="R69" i="12"/>
  <c r="M69" i="12"/>
  <c r="S69" i="12"/>
  <c r="Q69" i="12"/>
  <c r="P32" i="12"/>
  <c r="G76" i="12"/>
  <c r="G108" i="12"/>
  <c r="F108" i="12" s="1"/>
  <c r="G90" i="12"/>
  <c r="M74" i="12"/>
  <c r="S74" i="12"/>
  <c r="T74" i="12"/>
  <c r="N74" i="12"/>
  <c r="Q74" i="12"/>
  <c r="O74" i="12"/>
  <c r="R74" i="12"/>
  <c r="L74" i="12"/>
  <c r="G188" i="12"/>
  <c r="G7" i="12"/>
  <c r="G59" i="12"/>
  <c r="O44" i="12"/>
  <c r="Q44" i="12"/>
  <c r="R44" i="12"/>
  <c r="N44" i="12"/>
  <c r="S44" i="12"/>
  <c r="L44" i="12"/>
  <c r="T44" i="12"/>
  <c r="M44" i="12"/>
  <c r="G213" i="12"/>
  <c r="G153" i="12"/>
  <c r="G175" i="12"/>
  <c r="G20" i="12"/>
  <c r="G116" i="12"/>
  <c r="G145" i="12"/>
  <c r="G196" i="12"/>
  <c r="P43" i="12"/>
  <c r="G141" i="12"/>
  <c r="L51" i="12"/>
  <c r="T51" i="12"/>
  <c r="Q51" i="12"/>
  <c r="R51" i="12"/>
  <c r="M51" i="12"/>
  <c r="N51" i="12"/>
  <c r="O51" i="12"/>
  <c r="S51" i="12"/>
  <c r="P25" i="12"/>
  <c r="F75" i="12"/>
  <c r="F178" i="12"/>
  <c r="F45" i="12"/>
  <c r="F206" i="12"/>
  <c r="F218" i="12"/>
  <c r="F95" i="12"/>
  <c r="F27" i="12"/>
  <c r="F115" i="12"/>
  <c r="F246" i="12"/>
  <c r="F159" i="12"/>
  <c r="E82" i="12"/>
  <c r="D75" i="12"/>
  <c r="D52" i="12"/>
  <c r="E57" i="12"/>
  <c r="D45" i="12"/>
  <c r="E51" i="12"/>
  <c r="E69" i="12"/>
  <c r="D27" i="12"/>
  <c r="D58" i="12"/>
  <c r="D34" i="12"/>
  <c r="E74" i="12"/>
  <c r="E26" i="12"/>
  <c r="D24" i="12"/>
  <c r="D19" i="12"/>
  <c r="E18" i="12"/>
  <c r="D70" i="12"/>
  <c r="E23" i="12"/>
  <c r="D6" i="12"/>
  <c r="E33" i="12"/>
  <c r="H75" i="12"/>
  <c r="I52" i="12"/>
  <c r="I45" i="12"/>
  <c r="H58" i="12"/>
  <c r="I24" i="12"/>
  <c r="E5" i="12"/>
  <c r="P4" i="12"/>
  <c r="I19" i="12"/>
  <c r="H70" i="12"/>
  <c r="H34" i="12"/>
  <c r="H19" i="12"/>
  <c r="I34" i="12"/>
  <c r="H24" i="12"/>
  <c r="I75" i="12"/>
  <c r="I27" i="12"/>
  <c r="H27" i="12"/>
  <c r="H45" i="12"/>
  <c r="H52" i="12"/>
  <c r="I70" i="12"/>
  <c r="I58" i="12"/>
  <c r="H6" i="12"/>
  <c r="I6" i="12"/>
  <c r="E14" i="55"/>
  <c r="E8" i="55"/>
  <c r="E11" i="55"/>
  <c r="G102" i="12" a="1"/>
  <c r="D6" i="59" a="1"/>
  <c r="E9" i="55" a="1"/>
  <c r="R6" i="12" a="1"/>
  <c r="G77" i="12" a="1"/>
  <c r="S24" i="12" a="1"/>
  <c r="Q45" i="12" a="1"/>
  <c r="G248" i="12" a="1"/>
  <c r="G60" i="12" a="1"/>
  <c r="M75" i="12" a="1"/>
  <c r="T27" i="12" a="1"/>
  <c r="R70" i="12" a="1"/>
  <c r="L58" i="12" a="1"/>
  <c r="R58" i="12" a="1"/>
  <c r="Q24" i="12" a="1"/>
  <c r="P26" i="12" a="1"/>
  <c r="T70" i="12" a="1"/>
  <c r="L27" i="12" a="1"/>
  <c r="G180" i="12" a="1"/>
  <c r="R19" i="12" a="1"/>
  <c r="Q34" i="12" a="1"/>
  <c r="D28" i="12" a="1"/>
  <c r="N52" i="12" a="1"/>
  <c r="N24" i="12" a="1"/>
  <c r="G97" i="12" a="1"/>
  <c r="S75" i="12" a="1"/>
  <c r="D221" i="12" a="1"/>
  <c r="N6" i="12" a="1"/>
  <c r="N58" i="12" a="1"/>
  <c r="D53" i="12" a="1"/>
  <c r="M6" i="12" a="1"/>
  <c r="G109" i="12" a="1"/>
  <c r="O75" i="12" a="1"/>
  <c r="O6" i="12" a="1"/>
  <c r="G72" i="12" a="1"/>
  <c r="E19" i="12" a="1"/>
  <c r="S45" i="12" a="1"/>
  <c r="N19" i="12" a="1"/>
  <c r="M24" i="12" a="1"/>
  <c r="P23" i="12" a="1"/>
  <c r="Q6" i="12" a="1"/>
  <c r="G161" i="12" a="1"/>
  <c r="O58" i="12" a="1"/>
  <c r="R34" i="12" a="1"/>
  <c r="T58" i="12" a="1"/>
  <c r="G225" i="12" a="1"/>
  <c r="N70" i="12" a="1"/>
  <c r="G189" i="12" a="1"/>
  <c r="E24" i="12" a="1"/>
  <c r="G117" i="12" a="1"/>
  <c r="M27" i="12" a="1"/>
  <c r="N27" i="12" a="1"/>
  <c r="E52" i="12" a="1"/>
  <c r="G220" i="12" a="1"/>
  <c r="P5" i="12" a="1"/>
  <c r="M45" i="12" a="1"/>
  <c r="D7" i="12" a="1"/>
  <c r="L24" i="12" a="1"/>
  <c r="M34" i="12" a="1"/>
  <c r="G208" i="12" a="1"/>
  <c r="G91" i="12" a="1"/>
  <c r="M58" i="12" a="1"/>
  <c r="E27" i="12" a="1"/>
  <c r="S58" i="12" a="1"/>
  <c r="E34" i="12" a="1"/>
  <c r="D157" i="12" a="1"/>
  <c r="T24" i="12" a="1"/>
  <c r="D207" i="12" a="1"/>
  <c r="L70" i="12" a="1"/>
  <c r="L45" i="12" a="1"/>
  <c r="R52" i="12" a="1"/>
  <c r="R45" i="12" a="1"/>
  <c r="S6" i="12" a="1"/>
  <c r="E58" i="12" a="1"/>
  <c r="G171" i="12" a="1"/>
  <c r="L52" i="12" a="1"/>
  <c r="G47" i="12" a="1"/>
  <c r="S52" i="12" a="1"/>
  <c r="D76" i="12" a="1"/>
  <c r="E70" i="12" a="1"/>
  <c r="T19" i="12" a="1"/>
  <c r="Q52" i="12" a="1"/>
  <c r="G36" i="12" a="1"/>
  <c r="T52" i="12" a="1"/>
  <c r="P44" i="12" a="1"/>
  <c r="Q27" i="12" a="1"/>
  <c r="G214" i="12" a="1"/>
  <c r="M19" i="12" a="1"/>
  <c r="O52" i="12" a="1"/>
  <c r="M52" i="12" a="1"/>
  <c r="T6" i="12" a="1"/>
  <c r="Q70" i="12" a="1"/>
  <c r="S27" i="12" a="1"/>
  <c r="O19" i="12" a="1"/>
  <c r="T45" i="12" a="1"/>
  <c r="D35" i="12" a="1"/>
  <c r="Q58" i="12" a="1"/>
  <c r="S19" i="12" a="1"/>
  <c r="P51" i="12" a="1"/>
  <c r="N75" i="12" a="1"/>
  <c r="E75" i="12" a="1"/>
  <c r="G202" i="12" a="1"/>
  <c r="R27" i="12" a="1"/>
  <c r="D71" i="12" a="1"/>
  <c r="P33" i="12" a="1"/>
  <c r="O27" i="12" a="1"/>
  <c r="T75" i="12" a="1"/>
  <c r="L34" i="12" a="1"/>
  <c r="R75" i="12" a="1"/>
  <c r="G146" i="12" a="1"/>
  <c r="D46" i="12" a="1"/>
  <c r="E45" i="12" a="1"/>
  <c r="Q75" i="12" a="1"/>
  <c r="G123" i="12" a="1"/>
  <c r="L19" i="12" a="1"/>
  <c r="D59" i="12" a="1"/>
  <c r="P74" i="12" a="1"/>
  <c r="L75" i="12" a="1"/>
  <c r="Q19" i="12" a="1"/>
  <c r="O45" i="12" a="1"/>
  <c r="P57" i="12" a="1"/>
  <c r="N34" i="12" a="1"/>
  <c r="T34" i="12" a="1"/>
  <c r="P18" i="12" a="1"/>
  <c r="M70" i="12" a="1"/>
  <c r="G8" i="12" a="1"/>
  <c r="O24" i="12" a="1"/>
  <c r="G29" i="12" a="1"/>
  <c r="E6" i="12" a="1"/>
  <c r="G54" i="12" a="1"/>
  <c r="D119" i="12" a="1"/>
  <c r="N45" i="12" a="1"/>
  <c r="S34" i="12" a="1"/>
  <c r="L6" i="12" a="1"/>
  <c r="G197" i="12" a="1"/>
  <c r="O70" i="12" a="1"/>
  <c r="O34" i="12" a="1"/>
  <c r="D20" i="12" a="1"/>
  <c r="R24" i="12" a="1"/>
  <c r="P69" i="12" a="1"/>
  <c r="G21" i="12" a="1"/>
  <c r="S70" i="12" a="1"/>
  <c r="D87" i="12" a="1"/>
  <c r="G102" i="12" l="1"/>
  <c r="F153" i="12"/>
  <c r="G225" i="12"/>
  <c r="H224" i="12"/>
  <c r="G220" i="12"/>
  <c r="D207" i="12"/>
  <c r="G208" i="12"/>
  <c r="G171" i="12"/>
  <c r="E45" i="12"/>
  <c r="G36" i="12"/>
  <c r="F145" i="12"/>
  <c r="F122" i="12"/>
  <c r="F141" i="12"/>
  <c r="F96" i="12"/>
  <c r="F238" i="12"/>
  <c r="F76" i="12"/>
  <c r="F175" i="12"/>
  <c r="T45" i="12"/>
  <c r="R45" i="12"/>
  <c r="S45" i="12"/>
  <c r="L45" i="12"/>
  <c r="O45" i="12"/>
  <c r="M45" i="12"/>
  <c r="Q45" i="12"/>
  <c r="N45" i="12"/>
  <c r="G197" i="12"/>
  <c r="P57" i="12"/>
  <c r="G146" i="12"/>
  <c r="G54" i="12"/>
  <c r="P23" i="12"/>
  <c r="N70" i="12"/>
  <c r="O70" i="12"/>
  <c r="M70" i="12"/>
  <c r="S70" i="12"/>
  <c r="L70" i="12"/>
  <c r="T70" i="12"/>
  <c r="Q70" i="12"/>
  <c r="R70" i="12"/>
  <c r="G117" i="12"/>
  <c r="M52" i="12"/>
  <c r="L52" i="12"/>
  <c r="O52" i="12"/>
  <c r="N52" i="12"/>
  <c r="Q52" i="12"/>
  <c r="R52" i="12"/>
  <c r="S52" i="12"/>
  <c r="T52" i="12"/>
  <c r="G21" i="12"/>
  <c r="N75" i="12"/>
  <c r="T75" i="12"/>
  <c r="Q75" i="12"/>
  <c r="L75" i="12"/>
  <c r="O75" i="12"/>
  <c r="R75" i="12"/>
  <c r="S75" i="12"/>
  <c r="M75" i="12"/>
  <c r="Q19" i="12"/>
  <c r="L19" i="12"/>
  <c r="N19" i="12"/>
  <c r="T19" i="12"/>
  <c r="R19" i="12"/>
  <c r="M19" i="12"/>
  <c r="O19" i="12"/>
  <c r="S19" i="12"/>
  <c r="P33" i="12"/>
  <c r="O24" i="12"/>
  <c r="Q24" i="12"/>
  <c r="S24" i="12"/>
  <c r="M24" i="12"/>
  <c r="T24" i="12"/>
  <c r="L24" i="12"/>
  <c r="R24" i="12"/>
  <c r="N24" i="12"/>
  <c r="G72" i="12"/>
  <c r="G214" i="12"/>
  <c r="P74" i="12"/>
  <c r="G47" i="12"/>
  <c r="P44" i="12"/>
  <c r="G91" i="12"/>
  <c r="P26" i="12"/>
  <c r="G248" i="12"/>
  <c r="G109" i="12"/>
  <c r="G123" i="12"/>
  <c r="Q34" i="12"/>
  <c r="R34" i="12"/>
  <c r="S34" i="12"/>
  <c r="L34" i="12"/>
  <c r="T34" i="12"/>
  <c r="M34" i="12"/>
  <c r="O34" i="12"/>
  <c r="N34" i="12"/>
  <c r="G77" i="12"/>
  <c r="L58" i="12"/>
  <c r="O58" i="12"/>
  <c r="M58" i="12"/>
  <c r="Q58" i="12"/>
  <c r="R58" i="12"/>
  <c r="T58" i="12"/>
  <c r="N58" i="12"/>
  <c r="S58" i="12"/>
  <c r="P51" i="12"/>
  <c r="O27" i="12"/>
  <c r="R27" i="12"/>
  <c r="M27" i="12"/>
  <c r="S27" i="12"/>
  <c r="T27" i="12"/>
  <c r="L27" i="12"/>
  <c r="N27" i="12"/>
  <c r="Q27" i="12"/>
  <c r="G161" i="12"/>
  <c r="G202" i="12"/>
  <c r="P69" i="12"/>
  <c r="G29" i="12"/>
  <c r="G180" i="12"/>
  <c r="G60" i="12"/>
  <c r="G97" i="12"/>
  <c r="G8" i="12"/>
  <c r="P18" i="12"/>
  <c r="T6" i="12"/>
  <c r="L6" i="12"/>
  <c r="N6" i="12"/>
  <c r="M6" i="12"/>
  <c r="O6" i="12"/>
  <c r="R6" i="12"/>
  <c r="S6" i="12"/>
  <c r="Q6" i="12"/>
  <c r="G189" i="12"/>
  <c r="P5" i="12"/>
  <c r="F53" i="12"/>
  <c r="F207" i="12"/>
  <c r="F20" i="12"/>
  <c r="F170" i="12"/>
  <c r="F213" i="12"/>
  <c r="F116" i="12"/>
  <c r="F35" i="12"/>
  <c r="F101" i="12"/>
  <c r="F46" i="12"/>
  <c r="F247" i="12"/>
  <c r="F219" i="12"/>
  <c r="F160" i="12"/>
  <c r="F201" i="12"/>
  <c r="F71" i="12"/>
  <c r="F28" i="12"/>
  <c r="F179" i="12"/>
  <c r="F196" i="12"/>
  <c r="F59" i="12"/>
  <c r="F90" i="12"/>
  <c r="F7" i="12"/>
  <c r="F224" i="12"/>
  <c r="F188" i="12"/>
  <c r="E58" i="12"/>
  <c r="E52" i="12"/>
  <c r="D157" i="12"/>
  <c r="D35" i="12"/>
  <c r="D59" i="12"/>
  <c r="D119" i="12"/>
  <c r="D46" i="12"/>
  <c r="E24" i="12"/>
  <c r="D221" i="12"/>
  <c r="D53" i="12"/>
  <c r="D87" i="12"/>
  <c r="E34" i="12"/>
  <c r="E70" i="12"/>
  <c r="E19" i="12"/>
  <c r="D28" i="12"/>
  <c r="E27" i="12"/>
  <c r="E75" i="12"/>
  <c r="D71" i="12"/>
  <c r="D76" i="12"/>
  <c r="D7" i="12"/>
  <c r="D20" i="12"/>
  <c r="H157" i="12"/>
  <c r="H53" i="12"/>
  <c r="I28" i="12"/>
  <c r="I20" i="12"/>
  <c r="I221" i="12"/>
  <c r="H87" i="12"/>
  <c r="I87" i="12"/>
  <c r="H119" i="12"/>
  <c r="I119" i="12"/>
  <c r="E6" i="12"/>
  <c r="I46" i="12"/>
  <c r="I71" i="12"/>
  <c r="I35" i="12"/>
  <c r="H20" i="12"/>
  <c r="H35" i="12"/>
  <c r="I76" i="12"/>
  <c r="H76" i="12"/>
  <c r="H46" i="12"/>
  <c r="H71" i="12"/>
  <c r="I157" i="12"/>
  <c r="H59" i="12"/>
  <c r="H28" i="12"/>
  <c r="I53" i="12"/>
  <c r="I59" i="12"/>
  <c r="I204" i="12"/>
  <c r="H204" i="12"/>
  <c r="I7" i="12"/>
  <c r="H7" i="12"/>
  <c r="E9" i="55"/>
  <c r="D6" i="59"/>
  <c r="G103" i="12" a="1"/>
  <c r="E5" i="55" a="1"/>
  <c r="E13" i="55" a="1"/>
  <c r="E4" i="55" a="1"/>
  <c r="E6" i="59" a="1"/>
  <c r="D138" i="12" a="1"/>
  <c r="L71" i="12" a="1"/>
  <c r="D77" i="12" a="1"/>
  <c r="S59" i="12" a="1"/>
  <c r="D120" i="12" a="1"/>
  <c r="M35" i="12" a="1"/>
  <c r="D47" i="12" a="1"/>
  <c r="G78" i="12" a="1"/>
  <c r="R35" i="12" a="1"/>
  <c r="E7" i="12" a="1"/>
  <c r="G37" i="12" a="1"/>
  <c r="G61" i="12" a="1"/>
  <c r="G162" i="12" a="1"/>
  <c r="E53" i="12" a="1"/>
  <c r="R7" i="12" a="1"/>
  <c r="G181" i="12" a="1"/>
  <c r="M71" i="12" a="1"/>
  <c r="N35" i="12" a="1"/>
  <c r="T53" i="12" a="1"/>
  <c r="D185" i="12" a="1"/>
  <c r="P52" i="12" a="1"/>
  <c r="D36" i="12" a="1"/>
  <c r="E87" i="12" a="1"/>
  <c r="G118" i="12" a="1"/>
  <c r="G92" i="12" a="1"/>
  <c r="D176" i="12" a="1"/>
  <c r="S71" i="12" a="1"/>
  <c r="T46" i="12" a="1"/>
  <c r="E46" i="12" a="1"/>
  <c r="G190" i="12" a="1"/>
  <c r="D142" i="12" a="1"/>
  <c r="P45" i="12" a="1"/>
  <c r="T35" i="12" a="1"/>
  <c r="G55" i="12" a="1"/>
  <c r="S46" i="12" a="1"/>
  <c r="L46" i="12" a="1"/>
  <c r="S20" i="12" a="1"/>
  <c r="O71" i="12" a="1"/>
  <c r="R46" i="12" a="1"/>
  <c r="T71" i="12" a="1"/>
  <c r="D21" i="12" a="1"/>
  <c r="Q46" i="12" a="1"/>
  <c r="D72" i="12" a="1"/>
  <c r="S28" i="12" a="1"/>
  <c r="R76" i="12" a="1"/>
  <c r="S7" i="12" a="1"/>
  <c r="Q28" i="12" a="1"/>
  <c r="G9" i="12" a="1"/>
  <c r="N76" i="12" a="1"/>
  <c r="Q35" i="12" a="1"/>
  <c r="E221" i="12" a="1"/>
  <c r="R20" i="12" a="1"/>
  <c r="T7" i="12" a="1"/>
  <c r="O76" i="12" a="1"/>
  <c r="S53" i="12" a="1"/>
  <c r="P6" i="12" a="1"/>
  <c r="D8" i="12" a="1"/>
  <c r="M28" i="12" a="1"/>
  <c r="Q71" i="12" a="1"/>
  <c r="E35" i="12" a="1"/>
  <c r="G215" i="12" a="1"/>
  <c r="O46" i="12" a="1"/>
  <c r="M7" i="12" a="1"/>
  <c r="N28" i="12" a="1"/>
  <c r="E28" i="12" a="1"/>
  <c r="N7" i="12" a="1"/>
  <c r="G209" i="12" a="1"/>
  <c r="D216" i="12" a="1"/>
  <c r="D88" i="12" a="1"/>
  <c r="E76" i="12" a="1"/>
  <c r="P27" i="12" a="1"/>
  <c r="P19" i="12" a="1"/>
  <c r="D54" i="12" a="1"/>
  <c r="G226" i="12" a="1"/>
  <c r="Q7" i="12" a="1"/>
  <c r="L53" i="12" a="1"/>
  <c r="D60" i="12" a="1"/>
  <c r="O28" i="12" a="1"/>
  <c r="D208" i="12" a="1"/>
  <c r="E157" i="12" a="1"/>
  <c r="T76" i="12" a="1"/>
  <c r="P58" i="12" a="1"/>
  <c r="M46" i="12" a="1"/>
  <c r="R28" i="12" a="1"/>
  <c r="Q53" i="12" a="1"/>
  <c r="D222" i="12" a="1"/>
  <c r="M76" i="12" a="1"/>
  <c r="R53" i="12" a="1"/>
  <c r="N46" i="12" a="1"/>
  <c r="L20" i="12" a="1"/>
  <c r="G110" i="12" a="1"/>
  <c r="D29" i="12" a="1"/>
  <c r="O59" i="12" a="1"/>
  <c r="G124" i="12" a="1"/>
  <c r="L7" i="12" a="1"/>
  <c r="S35" i="12" a="1"/>
  <c r="G30" i="12" a="1"/>
  <c r="T28" i="12" a="1"/>
  <c r="Q76" i="12" a="1"/>
  <c r="L28" i="12" a="1"/>
  <c r="M59" i="12" a="1"/>
  <c r="P70" i="12" a="1"/>
  <c r="T20" i="12" a="1"/>
  <c r="E59" i="12" a="1"/>
  <c r="Q20" i="12" a="1"/>
  <c r="N53" i="12" a="1"/>
  <c r="O35" i="12" a="1"/>
  <c r="Q59" i="12" a="1"/>
  <c r="N59" i="12" a="1"/>
  <c r="M20" i="12" a="1"/>
  <c r="N71" i="12" a="1"/>
  <c r="R71" i="12" a="1"/>
  <c r="N20" i="12" a="1"/>
  <c r="E204" i="12" a="1"/>
  <c r="P24" i="12" a="1"/>
  <c r="L76" i="12" a="1"/>
  <c r="P34" i="12" a="1"/>
  <c r="E119" i="12" a="1"/>
  <c r="S76" i="12" a="1"/>
  <c r="L59" i="12" a="1"/>
  <c r="O20" i="12" a="1"/>
  <c r="T59" i="12" a="1"/>
  <c r="G203" i="12" a="1"/>
  <c r="E20" i="12" a="1"/>
  <c r="O7" i="12" a="1"/>
  <c r="R59" i="12" a="1"/>
  <c r="P75" i="12" a="1"/>
  <c r="M53" i="12" a="1"/>
  <c r="D158" i="12" a="1"/>
  <c r="E71" i="12" a="1"/>
  <c r="L35" i="12" a="1"/>
  <c r="G48" i="12" a="1"/>
  <c r="O53" i="12" a="1"/>
  <c r="G103" i="12" l="1"/>
  <c r="G215" i="12"/>
  <c r="G209" i="12"/>
  <c r="G226" i="12"/>
  <c r="H225" i="12"/>
  <c r="D208" i="12"/>
  <c r="F146" i="12"/>
  <c r="F171" i="12"/>
  <c r="E46" i="12"/>
  <c r="E13" i="55"/>
  <c r="F77" i="12"/>
  <c r="F123" i="12"/>
  <c r="G37" i="12"/>
  <c r="F214" i="12"/>
  <c r="F117" i="12"/>
  <c r="F189" i="12"/>
  <c r="F21" i="12"/>
  <c r="F54" i="12"/>
  <c r="G9" i="12"/>
  <c r="P19" i="12"/>
  <c r="G48" i="12"/>
  <c r="P45" i="12"/>
  <c r="O7" i="12"/>
  <c r="R7" i="12"/>
  <c r="Q7" i="12"/>
  <c r="T7" i="12"/>
  <c r="L7" i="12"/>
  <c r="M7" i="12"/>
  <c r="N7" i="12"/>
  <c r="S7" i="12"/>
  <c r="L46" i="12"/>
  <c r="T46" i="12"/>
  <c r="S46" i="12"/>
  <c r="R46" i="12"/>
  <c r="M46" i="12"/>
  <c r="N46" i="12"/>
  <c r="Q46" i="12"/>
  <c r="O46" i="12"/>
  <c r="R76" i="12"/>
  <c r="M76" i="12"/>
  <c r="Q76" i="12"/>
  <c r="S76" i="12"/>
  <c r="L76" i="12"/>
  <c r="T76" i="12"/>
  <c r="O76" i="12"/>
  <c r="N76" i="12"/>
  <c r="G61" i="12"/>
  <c r="P58" i="12"/>
  <c r="P52" i="12"/>
  <c r="T71" i="12"/>
  <c r="O71" i="12"/>
  <c r="L71" i="12"/>
  <c r="N71" i="12"/>
  <c r="M71" i="12"/>
  <c r="Q71" i="12"/>
  <c r="R71" i="12"/>
  <c r="S71" i="12"/>
  <c r="R59" i="12"/>
  <c r="S59" i="12"/>
  <c r="L59" i="12"/>
  <c r="O59" i="12"/>
  <c r="N59" i="12"/>
  <c r="M59" i="12"/>
  <c r="T59" i="12"/>
  <c r="Q59" i="12"/>
  <c r="G181" i="12"/>
  <c r="Q35" i="12"/>
  <c r="S35" i="12"/>
  <c r="T35" i="12"/>
  <c r="L35" i="12"/>
  <c r="M35" i="12"/>
  <c r="N35" i="12"/>
  <c r="R35" i="12"/>
  <c r="O35" i="12"/>
  <c r="G30" i="12"/>
  <c r="G118" i="12"/>
  <c r="G78" i="12"/>
  <c r="P75" i="12"/>
  <c r="G203" i="12"/>
  <c r="G162" i="12"/>
  <c r="Q28" i="12"/>
  <c r="T28" i="12"/>
  <c r="M28" i="12"/>
  <c r="N28" i="12"/>
  <c r="S28" i="12"/>
  <c r="L28" i="12"/>
  <c r="O28" i="12"/>
  <c r="R28" i="12"/>
  <c r="P34" i="12"/>
  <c r="G190" i="12"/>
  <c r="P70" i="12"/>
  <c r="P24" i="12"/>
  <c r="P27" i="12"/>
  <c r="P6" i="12"/>
  <c r="G124" i="12"/>
  <c r="G55" i="12"/>
  <c r="G110" i="12"/>
  <c r="M53" i="12"/>
  <c r="N53" i="12"/>
  <c r="O53" i="12"/>
  <c r="T53" i="12"/>
  <c r="R53" i="12"/>
  <c r="L53" i="12"/>
  <c r="S53" i="12"/>
  <c r="Q53" i="12"/>
  <c r="O20" i="12"/>
  <c r="Q20" i="12"/>
  <c r="L20" i="12"/>
  <c r="M20" i="12"/>
  <c r="N20" i="12"/>
  <c r="S20" i="12"/>
  <c r="R20" i="12"/>
  <c r="T20" i="12"/>
  <c r="G92" i="12"/>
  <c r="F97" i="12"/>
  <c r="F208" i="12"/>
  <c r="F8" i="12"/>
  <c r="F60" i="12"/>
  <c r="F180" i="12"/>
  <c r="F29" i="12"/>
  <c r="F72" i="12"/>
  <c r="F202" i="12"/>
  <c r="F161" i="12"/>
  <c r="F225" i="12"/>
  <c r="F220" i="12"/>
  <c r="F109" i="12"/>
  <c r="F47" i="12"/>
  <c r="F248" i="12"/>
  <c r="F102" i="12"/>
  <c r="F197" i="12"/>
  <c r="F36" i="12"/>
  <c r="F91" i="12"/>
  <c r="D54" i="12"/>
  <c r="E76" i="12"/>
  <c r="D8" i="12"/>
  <c r="E87" i="12"/>
  <c r="D77" i="12"/>
  <c r="D47" i="12"/>
  <c r="E221" i="12"/>
  <c r="D185" i="12"/>
  <c r="E20" i="12"/>
  <c r="D60" i="12"/>
  <c r="E35" i="12"/>
  <c r="D216" i="12"/>
  <c r="D176" i="12"/>
  <c r="E119" i="12"/>
  <c r="D138" i="12"/>
  <c r="E53" i="12"/>
  <c r="D72" i="12"/>
  <c r="D29" i="12"/>
  <c r="E71" i="12"/>
  <c r="D142" i="12"/>
  <c r="E28" i="12"/>
  <c r="D36" i="12"/>
  <c r="E204" i="12"/>
  <c r="D158" i="12"/>
  <c r="D21" i="12"/>
  <c r="E157" i="12"/>
  <c r="D120" i="12"/>
  <c r="D88" i="12"/>
  <c r="D222" i="12"/>
  <c r="E59" i="12"/>
  <c r="H54" i="12"/>
  <c r="H72" i="12"/>
  <c r="H205" i="12"/>
  <c r="I158" i="12"/>
  <c r="I138" i="12"/>
  <c r="H138" i="12"/>
  <c r="H185" i="12"/>
  <c r="I222" i="12"/>
  <c r="I142" i="12"/>
  <c r="H142" i="12"/>
  <c r="H88" i="12"/>
  <c r="I88" i="12"/>
  <c r="I176" i="12"/>
  <c r="H176" i="12"/>
  <c r="I120" i="12"/>
  <c r="H120" i="12"/>
  <c r="E7" i="12"/>
  <c r="E5" i="55"/>
  <c r="H21" i="12"/>
  <c r="H216" i="12"/>
  <c r="I77" i="12"/>
  <c r="H77" i="12"/>
  <c r="I21" i="12"/>
  <c r="I205" i="12"/>
  <c r="H158" i="12"/>
  <c r="I216" i="12"/>
  <c r="I72" i="12"/>
  <c r="I29" i="12"/>
  <c r="H29" i="12"/>
  <c r="I185" i="12"/>
  <c r="H47" i="12"/>
  <c r="I47" i="12"/>
  <c r="H60" i="12"/>
  <c r="I60" i="12"/>
  <c r="H36" i="12"/>
  <c r="I36" i="12"/>
  <c r="I8" i="12"/>
  <c r="H8" i="12"/>
  <c r="I54" i="12"/>
  <c r="E4" i="55"/>
  <c r="E6" i="59"/>
  <c r="G104" i="12" a="1"/>
  <c r="D5" i="59" a="1"/>
  <c r="D12" i="59" a="1"/>
  <c r="E10" i="55" a="1"/>
  <c r="Q60" i="12" a="1"/>
  <c r="Q29" i="12" a="1"/>
  <c r="E205" i="12" a="1"/>
  <c r="S77" i="12" a="1"/>
  <c r="D121" i="12" a="1"/>
  <c r="G111" i="12" a="1"/>
  <c r="E8" i="12" a="1"/>
  <c r="N29" i="12" a="1"/>
  <c r="P7" i="12" a="1"/>
  <c r="R8" i="12" a="1"/>
  <c r="R77" i="12" a="1"/>
  <c r="E185" i="12" a="1"/>
  <c r="S47" i="12" a="1"/>
  <c r="G125" i="12" a="1"/>
  <c r="S29" i="12" a="1"/>
  <c r="E222" i="12" a="1"/>
  <c r="O77" i="12" a="1"/>
  <c r="L77" i="12" a="1"/>
  <c r="L36" i="12" a="1"/>
  <c r="D55" i="12" a="1"/>
  <c r="P71" i="12" a="1"/>
  <c r="M54" i="12" a="1"/>
  <c r="E29" i="12" a="1"/>
  <c r="G49" i="12" a="1"/>
  <c r="D143" i="12" a="1"/>
  <c r="O47" i="12" a="1"/>
  <c r="M29" i="12" a="1"/>
  <c r="P35" i="12" a="1"/>
  <c r="E36" i="12" a="1"/>
  <c r="T21" i="12" a="1"/>
  <c r="G163" i="12" a="1"/>
  <c r="O21" i="12" a="1"/>
  <c r="D217" i="12" a="1"/>
  <c r="D139" i="12" a="1"/>
  <c r="Q8" i="12" a="1"/>
  <c r="S72" i="12" a="1"/>
  <c r="D37" i="12" a="1"/>
  <c r="S8" i="12" a="1"/>
  <c r="E47" i="12" a="1"/>
  <c r="T8" i="12" a="1"/>
  <c r="Q36" i="12" a="1"/>
  <c r="L8" i="12" a="1"/>
  <c r="R54" i="12" a="1"/>
  <c r="L72" i="12" a="1"/>
  <c r="N21" i="12" a="1"/>
  <c r="M8" i="12" a="1"/>
  <c r="L54" i="12" a="1"/>
  <c r="D89" i="12" a="1"/>
  <c r="D78" i="12" a="1"/>
  <c r="D150" i="12" a="1"/>
  <c r="P46" i="12" a="1"/>
  <c r="O60" i="12" a="1"/>
  <c r="E77" i="12" a="1"/>
  <c r="D90" i="12" a="1"/>
  <c r="N60" i="12" a="1"/>
  <c r="E21" i="12" a="1"/>
  <c r="S54" i="12" a="1"/>
  <c r="G38" i="12" a="1"/>
  <c r="P20" i="12" a="1"/>
  <c r="D177" i="12" a="1"/>
  <c r="D48" i="12" a="1"/>
  <c r="G62" i="12" a="1"/>
  <c r="E158" i="12" a="1"/>
  <c r="P53" i="12" a="1"/>
  <c r="D215" i="12" a="1"/>
  <c r="R21" i="12" a="1"/>
  <c r="D167" i="12" a="1"/>
  <c r="R29" i="12" a="1"/>
  <c r="Q77" i="12" a="1"/>
  <c r="E138" i="12" a="1"/>
  <c r="D209" i="12" a="1"/>
  <c r="P76" i="12" a="1"/>
  <c r="N47" i="12" a="1"/>
  <c r="Q54" i="12" a="1"/>
  <c r="N8" i="12" a="1"/>
  <c r="D186" i="12" a="1"/>
  <c r="N77" i="12" a="1"/>
  <c r="E54" i="12" a="1"/>
  <c r="G227" i="12" a="1"/>
  <c r="D61" i="12" a="1"/>
  <c r="M72" i="12" a="1"/>
  <c r="Q72" i="12" a="1"/>
  <c r="O36" i="12" a="1"/>
  <c r="O72" i="12" a="1"/>
  <c r="L47" i="12" a="1"/>
  <c r="M60" i="12" a="1"/>
  <c r="N72" i="12" a="1"/>
  <c r="E120" i="12" a="1"/>
  <c r="M21" i="12" a="1"/>
  <c r="L29" i="12" a="1"/>
  <c r="G10" i="12" a="1"/>
  <c r="S60" i="12" a="1"/>
  <c r="D159" i="12" a="1"/>
  <c r="O54" i="12" a="1"/>
  <c r="E142" i="12" a="1"/>
  <c r="G182" i="12" a="1"/>
  <c r="E216" i="12" a="1"/>
  <c r="T60" i="12" a="1"/>
  <c r="G31" i="12" a="1"/>
  <c r="P59" i="12" a="1"/>
  <c r="L60" i="12" a="1"/>
  <c r="T36" i="12" a="1"/>
  <c r="O29" i="12" a="1"/>
  <c r="M77" i="12" a="1"/>
  <c r="E88" i="12" a="1"/>
  <c r="M47" i="12" a="1"/>
  <c r="T47" i="12" a="1"/>
  <c r="R47" i="12" a="1"/>
  <c r="T77" i="12" a="1"/>
  <c r="L21" i="12" a="1"/>
  <c r="M36" i="12" a="1"/>
  <c r="Q21" i="12" a="1"/>
  <c r="S36" i="12" a="1"/>
  <c r="S21" i="12" a="1"/>
  <c r="P28" i="12" a="1"/>
  <c r="D30" i="12" a="1"/>
  <c r="N36" i="12" a="1"/>
  <c r="O8" i="12" a="1"/>
  <c r="D223" i="12" a="1"/>
  <c r="T54" i="12" a="1"/>
  <c r="N54" i="12" a="1"/>
  <c r="R36" i="12" a="1"/>
  <c r="T29" i="12" a="1"/>
  <c r="R72" i="12" a="1"/>
  <c r="E72" i="12" a="1"/>
  <c r="E60" i="12" a="1"/>
  <c r="T72" i="12" a="1"/>
  <c r="G191" i="12" a="1"/>
  <c r="E176" i="12" a="1"/>
  <c r="Q47" i="12" a="1"/>
  <c r="R60" i="12" a="1"/>
  <c r="D9" i="12" a="1"/>
  <c r="G104" i="12" l="1"/>
  <c r="D215" i="12"/>
  <c r="I215" i="12"/>
  <c r="H215" i="12"/>
  <c r="F215" i="12"/>
  <c r="D209" i="12"/>
  <c r="I209" i="12"/>
  <c r="H209" i="12"/>
  <c r="F209" i="12"/>
  <c r="G227" i="12"/>
  <c r="H226" i="12"/>
  <c r="E47" i="12"/>
  <c r="E10" i="55"/>
  <c r="F78" i="12"/>
  <c r="F118" i="12"/>
  <c r="G49" i="12"/>
  <c r="G38" i="12"/>
  <c r="F55" i="12"/>
  <c r="F92" i="12"/>
  <c r="F48" i="12"/>
  <c r="F226" i="12"/>
  <c r="F9" i="12"/>
  <c r="F110" i="12"/>
  <c r="F162" i="12"/>
  <c r="F203" i="12"/>
  <c r="F30" i="12"/>
  <c r="F181" i="12"/>
  <c r="Q77" i="12"/>
  <c r="N77" i="12"/>
  <c r="R77" i="12"/>
  <c r="S77" i="12"/>
  <c r="T77" i="12"/>
  <c r="L77" i="12"/>
  <c r="M77" i="12"/>
  <c r="O77" i="12"/>
  <c r="P71" i="12"/>
  <c r="L72" i="12"/>
  <c r="M72" i="12"/>
  <c r="Q72" i="12"/>
  <c r="N72" i="12"/>
  <c r="R72" i="12"/>
  <c r="S72" i="12"/>
  <c r="O72" i="12"/>
  <c r="T72" i="12"/>
  <c r="S8" i="12"/>
  <c r="T8" i="12"/>
  <c r="L8" i="12"/>
  <c r="O8" i="12"/>
  <c r="Q8" i="12"/>
  <c r="N8" i="12"/>
  <c r="R8" i="12"/>
  <c r="M8" i="12"/>
  <c r="P20" i="12"/>
  <c r="G191" i="12"/>
  <c r="P35" i="12"/>
  <c r="P46" i="12"/>
  <c r="N54" i="12"/>
  <c r="R54" i="12"/>
  <c r="S54" i="12"/>
  <c r="Q54" i="12"/>
  <c r="O54" i="12"/>
  <c r="T54" i="12"/>
  <c r="M54" i="12"/>
  <c r="L54" i="12"/>
  <c r="G182" i="12"/>
  <c r="G62" i="12"/>
  <c r="P28" i="12"/>
  <c r="P7" i="12"/>
  <c r="N29" i="12"/>
  <c r="M29" i="12"/>
  <c r="O29" i="12"/>
  <c r="R29" i="12"/>
  <c r="L29" i="12"/>
  <c r="Q29" i="12"/>
  <c r="T29" i="12"/>
  <c r="S29" i="12"/>
  <c r="O21" i="12"/>
  <c r="Q21" i="12"/>
  <c r="R21" i="12"/>
  <c r="L21" i="12"/>
  <c r="T21" i="12"/>
  <c r="M21" i="12"/>
  <c r="S21" i="12"/>
  <c r="N21" i="12"/>
  <c r="P59" i="12"/>
  <c r="T60" i="12"/>
  <c r="N60" i="12"/>
  <c r="O60" i="12"/>
  <c r="S60" i="12"/>
  <c r="L60" i="12"/>
  <c r="M60" i="12"/>
  <c r="Q60" i="12"/>
  <c r="R60" i="12"/>
  <c r="P53" i="12"/>
  <c r="G163" i="12"/>
  <c r="R36" i="12"/>
  <c r="N36" i="12"/>
  <c r="Q36" i="12"/>
  <c r="S36" i="12"/>
  <c r="L36" i="12"/>
  <c r="T36" i="12"/>
  <c r="M36" i="12"/>
  <c r="O36" i="12"/>
  <c r="G111" i="12"/>
  <c r="P76" i="12"/>
  <c r="G125" i="12"/>
  <c r="S47" i="12"/>
  <c r="T47" i="12"/>
  <c r="O47" i="12"/>
  <c r="N47" i="12"/>
  <c r="L47" i="12"/>
  <c r="M47" i="12"/>
  <c r="Q47" i="12"/>
  <c r="R47" i="12"/>
  <c r="G31" i="12"/>
  <c r="G10" i="12"/>
  <c r="F61" i="12"/>
  <c r="F190" i="12"/>
  <c r="F37" i="12"/>
  <c r="F124" i="12"/>
  <c r="F103" i="12"/>
  <c r="D139" i="12"/>
  <c r="D90" i="12"/>
  <c r="H139" i="12"/>
  <c r="I139" i="12"/>
  <c r="I90" i="12"/>
  <c r="H90" i="12"/>
  <c r="E60" i="12"/>
  <c r="E176" i="12"/>
  <c r="E36" i="12"/>
  <c r="E216" i="12"/>
  <c r="D143" i="12"/>
  <c r="D48" i="12"/>
  <c r="E88" i="12"/>
  <c r="D217" i="12"/>
  <c r="E138" i="12"/>
  <c r="D9" i="12"/>
  <c r="E205" i="12"/>
  <c r="D55" i="12"/>
  <c r="E77" i="12"/>
  <c r="E29" i="12"/>
  <c r="E185" i="12"/>
  <c r="D150" i="12"/>
  <c r="E158" i="12"/>
  <c r="E142" i="12"/>
  <c r="D37" i="12"/>
  <c r="D61" i="12"/>
  <c r="D177" i="12"/>
  <c r="D223" i="12"/>
  <c r="E120" i="12"/>
  <c r="D78" i="12"/>
  <c r="D121" i="12"/>
  <c r="D186" i="12"/>
  <c r="E21" i="12"/>
  <c r="D89" i="12"/>
  <c r="D159" i="12"/>
  <c r="E222" i="12"/>
  <c r="D30" i="12"/>
  <c r="D167" i="12"/>
  <c r="E72" i="12"/>
  <c r="E54" i="12"/>
  <c r="H48" i="12"/>
  <c r="H55" i="12"/>
  <c r="I150" i="12"/>
  <c r="I37" i="12"/>
  <c r="I78" i="12"/>
  <c r="I159" i="12"/>
  <c r="I30" i="12"/>
  <c r="H121" i="12"/>
  <c r="I121" i="12"/>
  <c r="I186" i="12"/>
  <c r="H186" i="12"/>
  <c r="H167" i="12"/>
  <c r="I167" i="12"/>
  <c r="I143" i="12"/>
  <c r="H143" i="12"/>
  <c r="I206" i="12"/>
  <c r="I177" i="12"/>
  <c r="H177" i="12"/>
  <c r="I223" i="12"/>
  <c r="I89" i="12"/>
  <c r="H89" i="12"/>
  <c r="E8" i="12"/>
  <c r="I217" i="12"/>
  <c r="H159" i="12"/>
  <c r="H217" i="12"/>
  <c r="H206" i="12"/>
  <c r="H150" i="12"/>
  <c r="I61" i="12"/>
  <c r="I55" i="12"/>
  <c r="H37" i="12"/>
  <c r="H61" i="12"/>
  <c r="I48" i="12"/>
  <c r="I9" i="12"/>
  <c r="H9" i="12"/>
  <c r="H78" i="12"/>
  <c r="H30" i="12"/>
  <c r="D5" i="59"/>
  <c r="D12" i="59"/>
  <c r="E12" i="59" a="1"/>
  <c r="D13" i="59" a="1"/>
  <c r="D9" i="59" a="1"/>
  <c r="E5" i="59" a="1"/>
  <c r="E6" i="55" a="1"/>
  <c r="D10" i="59" a="1"/>
  <c r="E9" i="12" a="1"/>
  <c r="G126" i="12" a="1"/>
  <c r="D198" i="12" a="1"/>
  <c r="T61" i="12" a="1"/>
  <c r="O30" i="12" a="1"/>
  <c r="N37" i="12" a="1"/>
  <c r="Q55" i="12" a="1"/>
  <c r="N48" i="12" a="1"/>
  <c r="Q61" i="12" a="1"/>
  <c r="E121" i="12" a="1"/>
  <c r="S61" i="12" a="1"/>
  <c r="D49" i="12" a="1"/>
  <c r="E139" i="12" a="1"/>
  <c r="N9" i="12" a="1"/>
  <c r="D144" i="12" a="1"/>
  <c r="O37" i="12" a="1"/>
  <c r="O55" i="12" a="1"/>
  <c r="D160" i="12" a="1"/>
  <c r="L55" i="12" a="1"/>
  <c r="G164" i="12" a="1"/>
  <c r="Q9" i="12" a="1"/>
  <c r="D10" i="12" a="1"/>
  <c r="S55" i="12" a="1"/>
  <c r="N61" i="12" a="1"/>
  <c r="D218" i="12" a="1"/>
  <c r="L48" i="12" a="1"/>
  <c r="L30" i="12" a="1"/>
  <c r="M78" i="12" a="1"/>
  <c r="R30" i="12" a="1"/>
  <c r="P29" i="12" a="1"/>
  <c r="N30" i="12" a="1"/>
  <c r="D91" i="12" a="1"/>
  <c r="P77" i="12" a="1"/>
  <c r="D140" i="12" a="1"/>
  <c r="S48" i="12" a="1"/>
  <c r="T55" i="12" a="1"/>
  <c r="D31" i="12" a="1"/>
  <c r="D172" i="12" a="1"/>
  <c r="D147" i="12" a="1"/>
  <c r="M48" i="12" a="1"/>
  <c r="T30" i="12" a="1"/>
  <c r="P72" i="12" a="1"/>
  <c r="O9" i="12" a="1"/>
  <c r="N55" i="12" a="1"/>
  <c r="O48" i="12" a="1"/>
  <c r="R48" i="12" a="1"/>
  <c r="E206" i="12" a="1"/>
  <c r="M30" i="12" a="1"/>
  <c r="P36" i="12" a="1"/>
  <c r="G63" i="12" a="1"/>
  <c r="E150" i="12" a="1"/>
  <c r="T9" i="12" a="1"/>
  <c r="R55" i="12" a="1"/>
  <c r="E89" i="12" a="1"/>
  <c r="E215" i="12" a="1"/>
  <c r="P60" i="12" a="1"/>
  <c r="S37" i="12" a="1"/>
  <c r="M61" i="12" a="1"/>
  <c r="E217" i="12" a="1"/>
  <c r="Q30" i="12" a="1"/>
  <c r="D224" i="12" a="1"/>
  <c r="E167" i="12" a="1"/>
  <c r="N78" i="12" a="1"/>
  <c r="E48" i="12" a="1"/>
  <c r="Q48" i="12" a="1"/>
  <c r="M55" i="12" a="1"/>
  <c r="G112" i="12" a="1"/>
  <c r="E209" i="12" a="1"/>
  <c r="O78" i="12" a="1"/>
  <c r="L37" i="12" a="1"/>
  <c r="D168" i="12" a="1"/>
  <c r="P21" i="12" a="1"/>
  <c r="O61" i="12" a="1"/>
  <c r="T37" i="12" a="1"/>
  <c r="L78" i="12" a="1"/>
  <c r="L9" i="12" a="1"/>
  <c r="R37" i="12" a="1"/>
  <c r="S78" i="12" a="1"/>
  <c r="E186" i="12" a="1"/>
  <c r="P8" i="12" a="1"/>
  <c r="T78" i="12" a="1"/>
  <c r="G228" i="12" a="1"/>
  <c r="D187" i="12" a="1"/>
  <c r="P54" i="12" a="1"/>
  <c r="L61" i="12" a="1"/>
  <c r="G192" i="12" a="1"/>
  <c r="R78" i="12" a="1"/>
  <c r="G183" i="12" a="1"/>
  <c r="Q37" i="12" a="1"/>
  <c r="E61" i="12" a="1"/>
  <c r="D62" i="12" a="1"/>
  <c r="R61" i="12" a="1"/>
  <c r="E143" i="12" a="1"/>
  <c r="P47" i="12" a="1"/>
  <c r="D83" i="12" a="1"/>
  <c r="Q78" i="12" a="1"/>
  <c r="E159" i="12" a="1"/>
  <c r="S30" i="12" a="1"/>
  <c r="G39" i="12" a="1"/>
  <c r="E55" i="12" a="1"/>
  <c r="D122" i="12" a="1"/>
  <c r="E30" i="12" a="1"/>
  <c r="M9" i="12" a="1"/>
  <c r="G11" i="12" a="1"/>
  <c r="E177" i="12" a="1"/>
  <c r="E37" i="12" a="1"/>
  <c r="M37" i="12" a="1"/>
  <c r="D178" i="12" a="1"/>
  <c r="D151" i="12" a="1"/>
  <c r="D93" i="12" a="1"/>
  <c r="E90" i="12" a="1"/>
  <c r="E78" i="12" a="1"/>
  <c r="E223" i="12" a="1"/>
  <c r="T48" i="12" a="1"/>
  <c r="D38" i="12" a="1"/>
  <c r="S9" i="12" a="1"/>
  <c r="R9" i="12" a="1"/>
  <c r="E215" i="12" l="1"/>
  <c r="E209" i="12"/>
  <c r="G228" i="12"/>
  <c r="H227" i="12"/>
  <c r="E48" i="12"/>
  <c r="G39" i="12"/>
  <c r="D49" i="12"/>
  <c r="F49" i="12"/>
  <c r="I49" i="12"/>
  <c r="H49" i="12"/>
  <c r="F111" i="12"/>
  <c r="F31" i="12"/>
  <c r="F163" i="12"/>
  <c r="F191" i="12"/>
  <c r="G126" i="12"/>
  <c r="G183" i="12"/>
  <c r="P36" i="12"/>
  <c r="P21" i="12"/>
  <c r="S78" i="12"/>
  <c r="L78" i="12"/>
  <c r="O78" i="12"/>
  <c r="Q78" i="12"/>
  <c r="N78" i="12"/>
  <c r="R78" i="12"/>
  <c r="M78" i="12"/>
  <c r="T78" i="12"/>
  <c r="M9" i="12"/>
  <c r="Q9" i="12"/>
  <c r="R9" i="12"/>
  <c r="N9" i="12"/>
  <c r="O9" i="12"/>
  <c r="T9" i="12"/>
  <c r="S9" i="12"/>
  <c r="L9" i="12"/>
  <c r="G11" i="12"/>
  <c r="P72" i="12"/>
  <c r="G63" i="12"/>
  <c r="G112" i="12"/>
  <c r="P54" i="12"/>
  <c r="N55" i="12"/>
  <c r="O55" i="12"/>
  <c r="S55" i="12"/>
  <c r="L55" i="12"/>
  <c r="T55" i="12"/>
  <c r="Q55" i="12"/>
  <c r="R55" i="12"/>
  <c r="M55" i="12"/>
  <c r="G164" i="12"/>
  <c r="T61" i="12"/>
  <c r="L61" i="12"/>
  <c r="M61" i="12"/>
  <c r="Q61" i="12"/>
  <c r="O61" i="12"/>
  <c r="N61" i="12"/>
  <c r="R61" i="12"/>
  <c r="S61" i="12"/>
  <c r="N37" i="12"/>
  <c r="O37" i="12"/>
  <c r="R37" i="12"/>
  <c r="S37" i="12"/>
  <c r="T37" i="12"/>
  <c r="M37" i="12"/>
  <c r="L37" i="12"/>
  <c r="Q37" i="12"/>
  <c r="P47" i="12"/>
  <c r="G192" i="12"/>
  <c r="P77" i="12"/>
  <c r="M48" i="12"/>
  <c r="O48" i="12"/>
  <c r="S48" i="12"/>
  <c r="L48" i="12"/>
  <c r="N48" i="12"/>
  <c r="R48" i="12"/>
  <c r="T48" i="12"/>
  <c r="Q48" i="12"/>
  <c r="P60" i="12"/>
  <c r="P8" i="12"/>
  <c r="P29" i="12"/>
  <c r="Q30" i="12"/>
  <c r="O30" i="12"/>
  <c r="R30" i="12"/>
  <c r="L30" i="12"/>
  <c r="S30" i="12"/>
  <c r="N30" i="12"/>
  <c r="M30" i="12"/>
  <c r="T30" i="12"/>
  <c r="F125" i="12"/>
  <c r="F182" i="12"/>
  <c r="F10" i="12"/>
  <c r="F227" i="12"/>
  <c r="F62" i="12"/>
  <c r="F38" i="12"/>
  <c r="F104" i="12"/>
  <c r="D91" i="12"/>
  <c r="D140" i="12"/>
  <c r="I91" i="12"/>
  <c r="H91" i="12"/>
  <c r="I140" i="12"/>
  <c r="H140" i="12"/>
  <c r="E90" i="12"/>
  <c r="D147" i="12"/>
  <c r="E139" i="12"/>
  <c r="D144" i="12"/>
  <c r="H147" i="12"/>
  <c r="I147" i="12"/>
  <c r="H144" i="12"/>
  <c r="I144" i="12"/>
  <c r="D83" i="12"/>
  <c r="D31" i="12"/>
  <c r="D168" i="12"/>
  <c r="E78" i="12"/>
  <c r="E177" i="12"/>
  <c r="E217" i="12"/>
  <c r="D187" i="12"/>
  <c r="E206" i="12"/>
  <c r="E55" i="12"/>
  <c r="D93" i="12"/>
  <c r="E159" i="12"/>
  <c r="D122" i="12"/>
  <c r="E89" i="12"/>
  <c r="E61" i="12"/>
  <c r="E37" i="12"/>
  <c r="D224" i="12"/>
  <c r="D178" i="12"/>
  <c r="E186" i="12"/>
  <c r="E150" i="12"/>
  <c r="E167" i="12"/>
  <c r="E30" i="12"/>
  <c r="E143" i="12"/>
  <c r="D218" i="12"/>
  <c r="D62" i="12"/>
  <c r="D38" i="12"/>
  <c r="D160" i="12"/>
  <c r="D198" i="12"/>
  <c r="D10" i="12"/>
  <c r="D151" i="12"/>
  <c r="D172" i="12"/>
  <c r="E121" i="12"/>
  <c r="E223" i="12"/>
  <c r="H31" i="12"/>
  <c r="H218" i="12"/>
  <c r="I38" i="12"/>
  <c r="I160" i="12"/>
  <c r="I198" i="12"/>
  <c r="I151" i="12"/>
  <c r="H83" i="12"/>
  <c r="I83" i="12"/>
  <c r="I172" i="12"/>
  <c r="H172" i="12"/>
  <c r="I178" i="12"/>
  <c r="H178" i="12"/>
  <c r="I207" i="12"/>
  <c r="H207" i="12"/>
  <c r="I168" i="12"/>
  <c r="H168" i="12"/>
  <c r="H187" i="12"/>
  <c r="I187" i="12"/>
  <c r="I93" i="12"/>
  <c r="H93" i="12"/>
  <c r="I122" i="12"/>
  <c r="H122" i="12"/>
  <c r="I224" i="12"/>
  <c r="E9" i="12"/>
  <c r="H160" i="12"/>
  <c r="H198" i="12"/>
  <c r="H151" i="12"/>
  <c r="H38" i="12"/>
  <c r="I31" i="12"/>
  <c r="I218" i="12"/>
  <c r="H10" i="12"/>
  <c r="I10" i="12"/>
  <c r="H62" i="12"/>
  <c r="I62" i="12"/>
  <c r="D9" i="59"/>
  <c r="E6" i="55"/>
  <c r="D10" i="59"/>
  <c r="D13" i="59"/>
  <c r="E12" i="59"/>
  <c r="E5" i="59"/>
  <c r="E10" i="59" a="1"/>
  <c r="E13" i="59" a="1"/>
  <c r="E9" i="59" a="1"/>
  <c r="D7" i="59" a="1"/>
  <c r="T31" i="12" a="1"/>
  <c r="G229" i="12" a="1"/>
  <c r="D219" i="12" a="1"/>
  <c r="P48" i="12" a="1"/>
  <c r="M49" i="12" a="1"/>
  <c r="P30" i="12" a="1"/>
  <c r="G184" i="12" a="1"/>
  <c r="E168" i="12" a="1"/>
  <c r="Q31" i="12" a="1"/>
  <c r="G165" i="12" a="1"/>
  <c r="E224" i="12" a="1"/>
  <c r="S62" i="12" a="1"/>
  <c r="P61" i="12" a="1"/>
  <c r="L38" i="12" a="1"/>
  <c r="E172" i="12" a="1"/>
  <c r="L62" i="12" a="1"/>
  <c r="E160" i="12" a="1"/>
  <c r="N49" i="12" a="1"/>
  <c r="R62" i="12" a="1"/>
  <c r="D39" i="12" a="1"/>
  <c r="E144" i="12" a="1"/>
  <c r="D161" i="12" a="1"/>
  <c r="Q62" i="12" a="1"/>
  <c r="D94" i="12" a="1"/>
  <c r="E62" i="12" a="1"/>
  <c r="L49" i="12" a="1"/>
  <c r="R49" i="12" a="1"/>
  <c r="G127" i="12" a="1"/>
  <c r="D225" i="12" a="1"/>
  <c r="D92" i="12" a="1"/>
  <c r="P9" i="12" a="1"/>
  <c r="Q10" i="12" a="1"/>
  <c r="E10" i="12" a="1"/>
  <c r="E151" i="12" a="1"/>
  <c r="S38" i="12" a="1"/>
  <c r="S31" i="12" a="1"/>
  <c r="D145" i="12" a="1"/>
  <c r="E122" i="12" a="1"/>
  <c r="D141" i="12" a="1"/>
  <c r="R38" i="12" a="1"/>
  <c r="E140" i="12" a="1"/>
  <c r="T38" i="12" a="1"/>
  <c r="L31" i="12" a="1"/>
  <c r="S10" i="12" a="1"/>
  <c r="D123" i="12" a="1"/>
  <c r="E38" i="12" a="1"/>
  <c r="O31" i="12" a="1"/>
  <c r="R31" i="12" a="1"/>
  <c r="D193" i="12" a="1"/>
  <c r="M62" i="12" a="1"/>
  <c r="N10" i="12" a="1"/>
  <c r="E218" i="12" a="1"/>
  <c r="D152" i="12" a="1"/>
  <c r="D188" i="12" a="1"/>
  <c r="G64" i="12" a="1"/>
  <c r="N38" i="12" a="1"/>
  <c r="M38" i="12" a="1"/>
  <c r="T62" i="12" a="1"/>
  <c r="Q49" i="12" a="1"/>
  <c r="D199" i="12" a="1"/>
  <c r="N31" i="12" a="1"/>
  <c r="G40" i="12" a="1"/>
  <c r="D63" i="12" a="1"/>
  <c r="L10" i="12" a="1"/>
  <c r="P55" i="12" a="1"/>
  <c r="T49" i="12" a="1"/>
  <c r="N62" i="12" a="1"/>
  <c r="D148" i="12" a="1"/>
  <c r="D169" i="12" a="1"/>
  <c r="E187" i="12" a="1"/>
  <c r="O62" i="12" a="1"/>
  <c r="M10" i="12" a="1"/>
  <c r="E31" i="12" a="1"/>
  <c r="M31" i="12" a="1"/>
  <c r="G12" i="12" a="1"/>
  <c r="E91" i="12" a="1"/>
  <c r="O10" i="12" a="1"/>
  <c r="E207" i="12" a="1"/>
  <c r="Q38" i="12" a="1"/>
  <c r="R10" i="12" a="1"/>
  <c r="E178" i="12" a="1"/>
  <c r="D98" i="12" a="1"/>
  <c r="P78" i="12" a="1"/>
  <c r="E49" i="12" a="1"/>
  <c r="P37" i="12" a="1"/>
  <c r="E198" i="12" a="1"/>
  <c r="O49" i="12" a="1"/>
  <c r="O38" i="12" a="1"/>
  <c r="E83" i="12" a="1"/>
  <c r="D11" i="12" a="1"/>
  <c r="D173" i="12" a="1"/>
  <c r="E147" i="12" a="1"/>
  <c r="E93" i="12" a="1"/>
  <c r="S49" i="12" a="1"/>
  <c r="T10" i="12" a="1"/>
  <c r="D179" i="12" a="1"/>
  <c r="G229" i="12" l="1"/>
  <c r="H228" i="12"/>
  <c r="E49" i="12"/>
  <c r="T49" i="12"/>
  <c r="L49" i="12"/>
  <c r="M49" i="12"/>
  <c r="N49" i="12"/>
  <c r="O49" i="12"/>
  <c r="Q49" i="12"/>
  <c r="R49" i="12"/>
  <c r="S49" i="12"/>
  <c r="G40" i="12"/>
  <c r="F112" i="12"/>
  <c r="F39" i="12"/>
  <c r="F11" i="12"/>
  <c r="F192" i="12"/>
  <c r="P61" i="12"/>
  <c r="P48" i="12"/>
  <c r="G165" i="12"/>
  <c r="P55" i="12"/>
  <c r="P30" i="12"/>
  <c r="P9" i="12"/>
  <c r="P78" i="12"/>
  <c r="P37" i="12"/>
  <c r="S10" i="12"/>
  <c r="Q10" i="12"/>
  <c r="R10" i="12"/>
  <c r="L10" i="12"/>
  <c r="O10" i="12"/>
  <c r="M10" i="12"/>
  <c r="N10" i="12"/>
  <c r="T10" i="12"/>
  <c r="O38" i="12"/>
  <c r="S38" i="12"/>
  <c r="T38" i="12"/>
  <c r="N38" i="12"/>
  <c r="L38" i="12"/>
  <c r="M38" i="12"/>
  <c r="Q38" i="12"/>
  <c r="R38" i="12"/>
  <c r="L31" i="12"/>
  <c r="M31" i="12"/>
  <c r="N31" i="12"/>
  <c r="Q31" i="12"/>
  <c r="R31" i="12"/>
  <c r="T31" i="12"/>
  <c r="S31" i="12"/>
  <c r="O31" i="12"/>
  <c r="N62" i="12"/>
  <c r="R62" i="12"/>
  <c r="M62" i="12"/>
  <c r="Q62" i="12"/>
  <c r="L62" i="12"/>
  <c r="O62" i="12"/>
  <c r="S62" i="12"/>
  <c r="T62" i="12"/>
  <c r="G64" i="12"/>
  <c r="G184" i="12"/>
  <c r="G12" i="12"/>
  <c r="G127" i="12"/>
  <c r="F164" i="12"/>
  <c r="F63" i="12"/>
  <c r="F228" i="12"/>
  <c r="F183" i="12"/>
  <c r="F126" i="12"/>
  <c r="D141" i="12"/>
  <c r="E140" i="12"/>
  <c r="D92" i="12"/>
  <c r="E91" i="12"/>
  <c r="D145" i="12"/>
  <c r="D148" i="12"/>
  <c r="H141" i="12"/>
  <c r="I141" i="12"/>
  <c r="H92" i="12"/>
  <c r="I92" i="12"/>
  <c r="H145" i="12"/>
  <c r="I145" i="12"/>
  <c r="I148" i="12"/>
  <c r="H148" i="12"/>
  <c r="E144" i="12"/>
  <c r="E147" i="12"/>
  <c r="D173" i="12"/>
  <c r="D219" i="12"/>
  <c r="H173" i="12"/>
  <c r="I173" i="12"/>
  <c r="I219" i="12"/>
  <c r="H219" i="12"/>
  <c r="E83" i="12"/>
  <c r="E38" i="12"/>
  <c r="D94" i="12"/>
  <c r="D152" i="12"/>
  <c r="D169" i="12"/>
  <c r="E172" i="12"/>
  <c r="D11" i="12"/>
  <c r="E151" i="12"/>
  <c r="D199" i="12"/>
  <c r="D193" i="12"/>
  <c r="E93" i="12"/>
  <c r="D161" i="12"/>
  <c r="E187" i="12"/>
  <c r="D39" i="12"/>
  <c r="D63" i="12"/>
  <c r="E178" i="12"/>
  <c r="E62" i="12"/>
  <c r="D188" i="12"/>
  <c r="D225" i="12"/>
  <c r="E31" i="12"/>
  <c r="E224" i="12"/>
  <c r="E122" i="12"/>
  <c r="E198" i="12"/>
  <c r="E218" i="12"/>
  <c r="E207" i="12"/>
  <c r="D123" i="12"/>
  <c r="D98" i="12"/>
  <c r="E160" i="12"/>
  <c r="D179" i="12"/>
  <c r="E168" i="12"/>
  <c r="H199" i="12"/>
  <c r="I39" i="12"/>
  <c r="H169" i="12"/>
  <c r="I169" i="12"/>
  <c r="I161" i="12"/>
  <c r="I94" i="12"/>
  <c r="H94" i="12"/>
  <c r="H188" i="12"/>
  <c r="I188" i="12"/>
  <c r="I225" i="12"/>
  <c r="I98" i="12"/>
  <c r="H98" i="12"/>
  <c r="I179" i="12"/>
  <c r="H179" i="12"/>
  <c r="I193" i="12"/>
  <c r="H193" i="12"/>
  <c r="I208" i="12"/>
  <c r="H208" i="12"/>
  <c r="H123" i="12"/>
  <c r="I123" i="12"/>
  <c r="E10" i="12"/>
  <c r="H39" i="12"/>
  <c r="I199" i="12"/>
  <c r="H63" i="12"/>
  <c r="I63" i="12"/>
  <c r="H161" i="12"/>
  <c r="H152" i="12"/>
  <c r="I152" i="12"/>
  <c r="I11" i="12"/>
  <c r="H11" i="12"/>
  <c r="E9" i="59"/>
  <c r="D7" i="59"/>
  <c r="E13" i="59"/>
  <c r="E10" i="59"/>
  <c r="E7" i="59" a="1"/>
  <c r="D40" i="12" a="1"/>
  <c r="S39" i="12" a="1"/>
  <c r="E169" i="12" a="1"/>
  <c r="E39" i="12" a="1"/>
  <c r="L11" i="12" a="1"/>
  <c r="Q39" i="12" a="1"/>
  <c r="D153" i="12" a="1"/>
  <c r="E219" i="12" a="1"/>
  <c r="E98" i="12" a="1"/>
  <c r="E199" i="12" a="1"/>
  <c r="E11" i="12" a="1"/>
  <c r="N63" i="12" a="1"/>
  <c r="G41" i="12" a="1"/>
  <c r="P31" i="12" a="1"/>
  <c r="R39" i="12" a="1"/>
  <c r="E123" i="12" a="1"/>
  <c r="E92" i="12" a="1"/>
  <c r="D124" i="12" a="1"/>
  <c r="D220" i="12" a="1"/>
  <c r="E63" i="12" a="1"/>
  <c r="R63" i="12" a="1"/>
  <c r="E188" i="12" a="1"/>
  <c r="O11" i="12" a="1"/>
  <c r="N11" i="12" a="1"/>
  <c r="E94" i="12" a="1"/>
  <c r="G128" i="12" a="1"/>
  <c r="E208" i="12" a="1"/>
  <c r="E225" i="12" a="1"/>
  <c r="D226" i="12" a="1"/>
  <c r="E141" i="12" a="1"/>
  <c r="P62" i="12" a="1"/>
  <c r="D170" i="12" a="1"/>
  <c r="D64" i="12" a="1"/>
  <c r="Q11" i="12" a="1"/>
  <c r="E179" i="12" a="1"/>
  <c r="T39" i="12" a="1"/>
  <c r="D84" i="12" a="1"/>
  <c r="D146" i="12" a="1"/>
  <c r="D162" i="12" a="1"/>
  <c r="P49" i="12" a="1"/>
  <c r="G65" i="12" a="1"/>
  <c r="N39" i="12" a="1"/>
  <c r="D105" i="12" a="1"/>
  <c r="E173" i="12" a="1"/>
  <c r="E161" i="12" a="1"/>
  <c r="S63" i="12" a="1"/>
  <c r="M11" i="12" a="1"/>
  <c r="T63" i="12" a="1"/>
  <c r="T11" i="12" a="1"/>
  <c r="D99" i="12" a="1"/>
  <c r="R11" i="12" a="1"/>
  <c r="D194" i="12" a="1"/>
  <c r="L39" i="12" a="1"/>
  <c r="D180" i="12" a="1"/>
  <c r="E148" i="12" a="1"/>
  <c r="M63" i="12" a="1"/>
  <c r="S11" i="12" a="1"/>
  <c r="G166" i="12" a="1"/>
  <c r="D210" i="12" a="1"/>
  <c r="P10" i="12" a="1"/>
  <c r="L63" i="12" a="1"/>
  <c r="O39" i="12" a="1"/>
  <c r="E193" i="12" a="1"/>
  <c r="G230" i="12" a="1"/>
  <c r="P38" i="12" a="1"/>
  <c r="M39" i="12" a="1"/>
  <c r="D95" i="12" a="1"/>
  <c r="O63" i="12" a="1"/>
  <c r="D149" i="12" a="1"/>
  <c r="Q63" i="12" a="1"/>
  <c r="D189" i="12" a="1"/>
  <c r="D200" i="12" a="1"/>
  <c r="D12" i="12" a="1"/>
  <c r="E152" i="12" a="1"/>
  <c r="E145" i="12" a="1"/>
  <c r="G13" i="12" a="1"/>
  <c r="D174" i="12" a="1"/>
  <c r="G230" i="12" l="1"/>
  <c r="H229" i="12"/>
  <c r="G41" i="12"/>
  <c r="I41" i="12" s="1"/>
  <c r="P49" i="12"/>
  <c r="F12" i="12"/>
  <c r="F64" i="12"/>
  <c r="P62" i="12"/>
  <c r="P10" i="12"/>
  <c r="O11" i="12"/>
  <c r="Q11" i="12"/>
  <c r="R11" i="12"/>
  <c r="S11" i="12"/>
  <c r="T11" i="12"/>
  <c r="N11" i="12"/>
  <c r="L11" i="12"/>
  <c r="M11" i="12"/>
  <c r="G128" i="12"/>
  <c r="P31" i="12"/>
  <c r="G13" i="12"/>
  <c r="M63" i="12"/>
  <c r="O63" i="12"/>
  <c r="Q63" i="12"/>
  <c r="R63" i="12"/>
  <c r="S63" i="12"/>
  <c r="T63" i="12"/>
  <c r="L63" i="12"/>
  <c r="N63" i="12"/>
  <c r="N39" i="12"/>
  <c r="M39" i="12"/>
  <c r="O39" i="12"/>
  <c r="R39" i="12"/>
  <c r="T39" i="12"/>
  <c r="Q39" i="12"/>
  <c r="L39" i="12"/>
  <c r="S39" i="12"/>
  <c r="G166" i="12"/>
  <c r="G65" i="12"/>
  <c r="P38" i="12"/>
  <c r="F40" i="12"/>
  <c r="F229" i="12"/>
  <c r="F127" i="12"/>
  <c r="F184" i="12"/>
  <c r="F165" i="12"/>
  <c r="D149" i="12"/>
  <c r="E148" i="12"/>
  <c r="D146" i="12"/>
  <c r="E145" i="12"/>
  <c r="E92" i="12"/>
  <c r="E141" i="12"/>
  <c r="D220" i="12"/>
  <c r="D174" i="12"/>
  <c r="H149" i="12"/>
  <c r="I149" i="12"/>
  <c r="I146" i="12"/>
  <c r="H146" i="12"/>
  <c r="I220" i="12"/>
  <c r="H220" i="12"/>
  <c r="H174" i="12"/>
  <c r="I174" i="12"/>
  <c r="E219" i="12"/>
  <c r="D170" i="12"/>
  <c r="E173" i="12"/>
  <c r="H170" i="12"/>
  <c r="I170" i="12"/>
  <c r="D189" i="12"/>
  <c r="E208" i="12"/>
  <c r="E161" i="12"/>
  <c r="E169" i="12"/>
  <c r="E152" i="12"/>
  <c r="D95" i="12"/>
  <c r="E179" i="12"/>
  <c r="E94" i="12"/>
  <c r="D124" i="12"/>
  <c r="D210" i="12"/>
  <c r="D162" i="12"/>
  <c r="E225" i="12"/>
  <c r="E63" i="12"/>
  <c r="D194" i="12"/>
  <c r="D180" i="12"/>
  <c r="E188" i="12"/>
  <c r="E98" i="12"/>
  <c r="E39" i="12"/>
  <c r="E193" i="12"/>
  <c r="D200" i="12"/>
  <c r="D99" i="12"/>
  <c r="E123" i="12"/>
  <c r="E199" i="12"/>
  <c r="D12" i="12"/>
  <c r="D105" i="12"/>
  <c r="D40" i="12"/>
  <c r="D84" i="12"/>
  <c r="D226" i="12"/>
  <c r="D64" i="12"/>
  <c r="D153" i="12"/>
  <c r="H200" i="12"/>
  <c r="I105" i="12"/>
  <c r="H40" i="12"/>
  <c r="I226" i="12"/>
  <c r="H95" i="12"/>
  <c r="I95" i="12"/>
  <c r="H124" i="12"/>
  <c r="I124" i="12"/>
  <c r="H162" i="12"/>
  <c r="I162" i="12"/>
  <c r="H194" i="12"/>
  <c r="I194" i="12"/>
  <c r="H180" i="12"/>
  <c r="I180" i="12"/>
  <c r="H99" i="12"/>
  <c r="I99" i="12"/>
  <c r="I84" i="12"/>
  <c r="H84" i="12"/>
  <c r="I189" i="12"/>
  <c r="H189" i="12"/>
  <c r="H210" i="12"/>
  <c r="I210" i="12"/>
  <c r="E11" i="12"/>
  <c r="H105" i="12"/>
  <c r="I200" i="12"/>
  <c r="I40" i="12"/>
  <c r="I153" i="12"/>
  <c r="H153" i="12"/>
  <c r="H64" i="12"/>
  <c r="I64" i="12"/>
  <c r="I12" i="12"/>
  <c r="H12" i="12"/>
  <c r="E7" i="59"/>
  <c r="E64" i="12" a="1"/>
  <c r="E99" i="12" a="1"/>
  <c r="E124" i="12" a="1"/>
  <c r="E220" i="12" a="1"/>
  <c r="P63" i="12" a="1"/>
  <c r="G231" i="12" a="1"/>
  <c r="E210" i="12" a="1"/>
  <c r="D106" i="12" a="1"/>
  <c r="N64" i="12" a="1"/>
  <c r="E149" i="12" a="1"/>
  <c r="E194" i="12" a="1"/>
  <c r="G42" i="12" a="1"/>
  <c r="D65" i="12" a="1"/>
  <c r="E40" i="12" a="1"/>
  <c r="L12" i="12" a="1"/>
  <c r="T64" i="12" a="1"/>
  <c r="D85" i="12" a="1"/>
  <c r="D175" i="12" a="1"/>
  <c r="S64" i="12" a="1"/>
  <c r="D100" i="12" a="1"/>
  <c r="E95" i="12" a="1"/>
  <c r="L40" i="12" a="1"/>
  <c r="R64" i="12" a="1"/>
  <c r="T40" i="12" a="1"/>
  <c r="E162" i="12" a="1"/>
  <c r="D195" i="12" a="1"/>
  <c r="D13" i="12" a="1"/>
  <c r="S40" i="12" a="1"/>
  <c r="N40" i="12" a="1"/>
  <c r="O64" i="12" a="1"/>
  <c r="T12" i="12" a="1"/>
  <c r="Q12" i="12" a="1"/>
  <c r="D154" i="12" a="1"/>
  <c r="P39" i="12" a="1"/>
  <c r="P11" i="12" a="1"/>
  <c r="G129" i="12" a="1"/>
  <c r="E170" i="12" a="1"/>
  <c r="M64" i="12" a="1"/>
  <c r="Q40" i="12" a="1"/>
  <c r="G14" i="12" a="1"/>
  <c r="E200" i="12" a="1"/>
  <c r="N12" i="12" a="1"/>
  <c r="D96" i="12" a="1"/>
  <c r="R40" i="12" a="1"/>
  <c r="D211" i="12" a="1"/>
  <c r="E84" i="12" a="1"/>
  <c r="D181" i="12" a="1"/>
  <c r="E12" i="12" a="1"/>
  <c r="D125" i="12" a="1"/>
  <c r="M40" i="12" a="1"/>
  <c r="E153" i="12" a="1"/>
  <c r="O40" i="12" a="1"/>
  <c r="E226" i="12" a="1"/>
  <c r="D201" i="12" a="1"/>
  <c r="E189" i="12" a="1"/>
  <c r="Q64" i="12" a="1"/>
  <c r="D227" i="12" a="1"/>
  <c r="R12" i="12" a="1"/>
  <c r="L64" i="12" a="1"/>
  <c r="E105" i="12" a="1"/>
  <c r="D41" i="12" a="1"/>
  <c r="D190" i="12" a="1"/>
  <c r="O12" i="12" a="1"/>
  <c r="E174" i="12" a="1"/>
  <c r="D163" i="12" a="1"/>
  <c r="G66" i="12" a="1"/>
  <c r="S12" i="12" a="1"/>
  <c r="E180" i="12" a="1"/>
  <c r="E146" i="12" a="1"/>
  <c r="M12" i="12" a="1"/>
  <c r="G231" i="12" l="1"/>
  <c r="H230" i="12"/>
  <c r="F41" i="12"/>
  <c r="H41" i="12"/>
  <c r="G42" i="12"/>
  <c r="H42" i="12" s="1"/>
  <c r="D41" i="12"/>
  <c r="O12" i="12"/>
  <c r="Q12" i="12"/>
  <c r="R12" i="12"/>
  <c r="S12" i="12"/>
  <c r="T12" i="12"/>
  <c r="M12" i="12"/>
  <c r="N12" i="12"/>
  <c r="L12" i="12"/>
  <c r="P63" i="12"/>
  <c r="Q64" i="12"/>
  <c r="R64" i="12"/>
  <c r="N64" i="12"/>
  <c r="S64" i="12"/>
  <c r="O64" i="12"/>
  <c r="T64" i="12"/>
  <c r="M64" i="12"/>
  <c r="L64" i="12"/>
  <c r="G14" i="12"/>
  <c r="G66" i="12"/>
  <c r="G129" i="12"/>
  <c r="R40" i="12"/>
  <c r="S40" i="12"/>
  <c r="Q40" i="12"/>
  <c r="M40" i="12"/>
  <c r="N40" i="12"/>
  <c r="O40" i="12"/>
  <c r="L40" i="12"/>
  <c r="T40" i="12"/>
  <c r="P11" i="12"/>
  <c r="P39" i="12"/>
  <c r="F13" i="12"/>
  <c r="F65" i="12"/>
  <c r="F166" i="12"/>
  <c r="F128" i="12"/>
  <c r="F230" i="12"/>
  <c r="E146" i="12"/>
  <c r="E149" i="12"/>
  <c r="E174" i="12"/>
  <c r="D175" i="12"/>
  <c r="E220" i="12"/>
  <c r="I175" i="12"/>
  <c r="H175" i="12"/>
  <c r="D85" i="12"/>
  <c r="H85" i="12"/>
  <c r="I85" i="12"/>
  <c r="D96" i="12"/>
  <c r="D190" i="12"/>
  <c r="E170" i="12"/>
  <c r="D195" i="12"/>
  <c r="D154" i="12"/>
  <c r="I96" i="12"/>
  <c r="H96" i="12"/>
  <c r="I190" i="12"/>
  <c r="H190" i="12"/>
  <c r="H195" i="12"/>
  <c r="I195" i="12"/>
  <c r="H154" i="12"/>
  <c r="I154" i="12"/>
  <c r="D106" i="12"/>
  <c r="D125" i="12"/>
  <c r="E226" i="12"/>
  <c r="E40" i="12"/>
  <c r="E194" i="12"/>
  <c r="E200" i="12"/>
  <c r="E210" i="12"/>
  <c r="E105" i="12"/>
  <c r="E124" i="12"/>
  <c r="D100" i="12"/>
  <c r="D227" i="12"/>
  <c r="E64" i="12"/>
  <c r="E180" i="12"/>
  <c r="E99" i="12"/>
  <c r="D181" i="12"/>
  <c r="D163" i="12"/>
  <c r="D211" i="12"/>
  <c r="D13" i="12"/>
  <c r="D201" i="12"/>
  <c r="D65" i="12"/>
  <c r="E84" i="12"/>
  <c r="E95" i="12"/>
  <c r="E162" i="12"/>
  <c r="E153" i="12"/>
  <c r="E189" i="12"/>
  <c r="H106" i="12"/>
  <c r="H100" i="12"/>
  <c r="I100" i="12"/>
  <c r="I227" i="12"/>
  <c r="I181" i="12"/>
  <c r="H181" i="12"/>
  <c r="H163" i="12"/>
  <c r="I163" i="12"/>
  <c r="I211" i="12"/>
  <c r="H211" i="12"/>
  <c r="I125" i="12"/>
  <c r="H125" i="12"/>
  <c r="E12" i="12"/>
  <c r="H65" i="12"/>
  <c r="I106" i="12"/>
  <c r="I201" i="12"/>
  <c r="H201" i="12"/>
  <c r="I65" i="12"/>
  <c r="I13" i="12"/>
  <c r="H13" i="12"/>
  <c r="D8" i="59" a="1"/>
  <c r="E211" i="12" a="1"/>
  <c r="L13" i="12" a="1"/>
  <c r="E190" i="12" a="1"/>
  <c r="T65" i="12" a="1"/>
  <c r="M13" i="12" a="1"/>
  <c r="E227" i="12" a="1"/>
  <c r="E100" i="12" a="1"/>
  <c r="M41" i="12" a="1"/>
  <c r="E163" i="12" a="1"/>
  <c r="D101" i="12" a="1"/>
  <c r="D97" i="12" a="1"/>
  <c r="G67" i="12" a="1"/>
  <c r="T41" i="12" a="1"/>
  <c r="S13" i="12" a="1"/>
  <c r="G130" i="12" a="1"/>
  <c r="D171" i="12" a="1"/>
  <c r="D228" i="12" a="1"/>
  <c r="O13" i="12" a="1"/>
  <c r="D66" i="12" a="1"/>
  <c r="Q65" i="12" a="1"/>
  <c r="D155" i="12" a="1"/>
  <c r="Q41" i="12" a="1"/>
  <c r="E195" i="12" a="1"/>
  <c r="E96" i="12" a="1"/>
  <c r="G232" i="12" a="1"/>
  <c r="E201" i="12" a="1"/>
  <c r="D107" i="12" a="1"/>
  <c r="R41" i="12" a="1"/>
  <c r="E85" i="12" a="1"/>
  <c r="R13" i="12" a="1"/>
  <c r="D126" i="12" a="1"/>
  <c r="R65" i="12" a="1"/>
  <c r="S65" i="12" a="1"/>
  <c r="D14" i="12" a="1"/>
  <c r="D164" i="12" a="1"/>
  <c r="N65" i="12" a="1"/>
  <c r="P64" i="12" a="1"/>
  <c r="T13" i="12" a="1"/>
  <c r="D42" i="12" a="1"/>
  <c r="M65" i="12" a="1"/>
  <c r="G15" i="12" a="1"/>
  <c r="D196" i="12" a="1"/>
  <c r="S41" i="12" a="1"/>
  <c r="E41" i="12" a="1"/>
  <c r="P40" i="12" a="1"/>
  <c r="E106" i="12" a="1"/>
  <c r="E13" i="12" a="1"/>
  <c r="D212" i="12" a="1"/>
  <c r="E175" i="12" a="1"/>
  <c r="E181" i="12" a="1"/>
  <c r="D191" i="12" a="1"/>
  <c r="D182" i="12" a="1"/>
  <c r="E125" i="12" a="1"/>
  <c r="L65" i="12" a="1"/>
  <c r="E65" i="12" a="1"/>
  <c r="D202" i="12" a="1"/>
  <c r="L41" i="12" a="1"/>
  <c r="E154" i="12" a="1"/>
  <c r="N41" i="12" a="1"/>
  <c r="O65" i="12" a="1"/>
  <c r="P12" i="12" a="1"/>
  <c r="Q13" i="12" a="1"/>
  <c r="D86" i="12" a="1"/>
  <c r="O41" i="12" a="1"/>
  <c r="N13" i="12" a="1"/>
  <c r="G232" i="12" l="1"/>
  <c r="H232" i="12" s="1"/>
  <c r="H231" i="12"/>
  <c r="I42" i="12"/>
  <c r="R41" i="12"/>
  <c r="O41" i="12"/>
  <c r="M41" i="12"/>
  <c r="L41" i="12"/>
  <c r="E41" i="12"/>
  <c r="T41" i="12"/>
  <c r="N41" i="12"/>
  <c r="S41" i="12"/>
  <c r="Q41" i="12"/>
  <c r="D42" i="12"/>
  <c r="F42" i="12"/>
  <c r="G130" i="12"/>
  <c r="G67" i="12"/>
  <c r="G15" i="12"/>
  <c r="P64" i="12"/>
  <c r="P12" i="12"/>
  <c r="P40" i="12"/>
  <c r="L65" i="12"/>
  <c r="Q65" i="12"/>
  <c r="O65" i="12"/>
  <c r="N65" i="12"/>
  <c r="R65" i="12"/>
  <c r="T65" i="12"/>
  <c r="S65" i="12"/>
  <c r="M65" i="12"/>
  <c r="N13" i="12"/>
  <c r="Q13" i="12"/>
  <c r="R13" i="12"/>
  <c r="S13" i="12"/>
  <c r="L13" i="12"/>
  <c r="O13" i="12"/>
  <c r="T13" i="12"/>
  <c r="M13" i="12"/>
  <c r="F66" i="12"/>
  <c r="F14" i="12"/>
  <c r="F129" i="12"/>
  <c r="F231" i="12"/>
  <c r="D191" i="12"/>
  <c r="D97" i="12"/>
  <c r="D171" i="12"/>
  <c r="D155" i="12"/>
  <c r="D196" i="12"/>
  <c r="E175" i="12"/>
  <c r="H191" i="12"/>
  <c r="I191" i="12"/>
  <c r="I97" i="12"/>
  <c r="H97" i="12"/>
  <c r="I171" i="12"/>
  <c r="H171" i="12"/>
  <c r="H155" i="12"/>
  <c r="I155" i="12"/>
  <c r="I196" i="12"/>
  <c r="H196" i="12"/>
  <c r="D86" i="12"/>
  <c r="I86" i="12"/>
  <c r="H86" i="12"/>
  <c r="E85" i="12"/>
  <c r="E154" i="12"/>
  <c r="D164" i="12"/>
  <c r="E190" i="12"/>
  <c r="D212" i="12"/>
  <c r="E195" i="12"/>
  <c r="D182" i="12"/>
  <c r="E96" i="12"/>
  <c r="H164" i="12"/>
  <c r="I164" i="12"/>
  <c r="H212" i="12"/>
  <c r="I212" i="12"/>
  <c r="I182" i="12"/>
  <c r="H182" i="12"/>
  <c r="D101" i="12"/>
  <c r="D14" i="12"/>
  <c r="D66" i="12"/>
  <c r="D126" i="12"/>
  <c r="E211" i="12"/>
  <c r="E163" i="12"/>
  <c r="E181" i="12"/>
  <c r="D228" i="12"/>
  <c r="E65" i="12"/>
  <c r="D107" i="12"/>
  <c r="E227" i="12"/>
  <c r="E100" i="12"/>
  <c r="E201" i="12"/>
  <c r="E125" i="12"/>
  <c r="D202" i="12"/>
  <c r="E106" i="12"/>
  <c r="I107" i="12"/>
  <c r="I228" i="12"/>
  <c r="H101" i="12"/>
  <c r="I101" i="12"/>
  <c r="H126" i="12"/>
  <c r="I126" i="12"/>
  <c r="E13" i="12"/>
  <c r="H66" i="12"/>
  <c r="H107" i="12"/>
  <c r="I66" i="12"/>
  <c r="H202" i="12"/>
  <c r="I202" i="12"/>
  <c r="H14" i="12"/>
  <c r="I14" i="12"/>
  <c r="D8" i="59"/>
  <c r="E8" i="59" a="1"/>
  <c r="E12" i="55" a="1"/>
  <c r="N42" i="12" a="1"/>
  <c r="D213" i="12" a="1"/>
  <c r="E66" i="12" a="1"/>
  <c r="E97" i="12" a="1"/>
  <c r="L14" i="12" a="1"/>
  <c r="T42" i="12" a="1"/>
  <c r="E171" i="12" a="1"/>
  <c r="S66" i="12" a="1"/>
  <c r="D197" i="12" a="1"/>
  <c r="R14" i="12" a="1"/>
  <c r="D165" i="12" a="1"/>
  <c r="D127" i="12" a="1"/>
  <c r="R42" i="12" a="1"/>
  <c r="E228" i="12" a="1"/>
  <c r="E155" i="12" a="1"/>
  <c r="E202" i="12" a="1"/>
  <c r="Q66" i="12" a="1"/>
  <c r="E196" i="12" a="1"/>
  <c r="E212" i="12" a="1"/>
  <c r="E126" i="12" a="1"/>
  <c r="P65" i="12" a="1"/>
  <c r="E164" i="12" a="1"/>
  <c r="E101" i="12" a="1"/>
  <c r="O14" i="12" a="1"/>
  <c r="G131" i="12" a="1"/>
  <c r="M42" i="12" a="1"/>
  <c r="L42" i="12" a="1"/>
  <c r="L66" i="12" a="1"/>
  <c r="N66" i="12" a="1"/>
  <c r="D192" i="12" a="1"/>
  <c r="R66" i="12" a="1"/>
  <c r="M14" i="12" a="1"/>
  <c r="T66" i="12" a="1"/>
  <c r="D203" i="12" a="1"/>
  <c r="D156" i="12" a="1"/>
  <c r="P13" i="12" a="1"/>
  <c r="E182" i="12" a="1"/>
  <c r="Q14" i="12" a="1"/>
  <c r="E42" i="12" a="1"/>
  <c r="D102" i="12" a="1"/>
  <c r="D67" i="12" a="1"/>
  <c r="D15" i="12" a="1"/>
  <c r="D108" i="12" a="1"/>
  <c r="D183" i="12" a="1"/>
  <c r="T14" i="12" a="1"/>
  <c r="P41" i="12" a="1"/>
  <c r="S14" i="12" a="1"/>
  <c r="O66" i="12" a="1"/>
  <c r="E107" i="12" a="1"/>
  <c r="S42" i="12" a="1"/>
  <c r="M66" i="12" a="1"/>
  <c r="N14" i="12" a="1"/>
  <c r="E86" i="12" a="1"/>
  <c r="O42" i="12" a="1"/>
  <c r="G16" i="12" a="1"/>
  <c r="E14" i="12" a="1"/>
  <c r="D229" i="12" a="1"/>
  <c r="Q42" i="12" a="1"/>
  <c r="E191" i="12" a="1"/>
  <c r="E12" i="55" l="1"/>
  <c r="N42" i="12"/>
  <c r="O42" i="12"/>
  <c r="E42" i="12"/>
  <c r="L42" i="12"/>
  <c r="T42" i="12"/>
  <c r="Q42" i="12"/>
  <c r="S42" i="12"/>
  <c r="M42" i="12"/>
  <c r="R42" i="12"/>
  <c r="P41" i="12"/>
  <c r="F67" i="12"/>
  <c r="P65" i="12"/>
  <c r="G16" i="12"/>
  <c r="Q66" i="12"/>
  <c r="L66" i="12"/>
  <c r="O66" i="12"/>
  <c r="M66" i="12"/>
  <c r="S66" i="12"/>
  <c r="T66" i="12"/>
  <c r="R66" i="12"/>
  <c r="N66" i="12"/>
  <c r="Q14" i="12"/>
  <c r="O14" i="12"/>
  <c r="S14" i="12"/>
  <c r="L14" i="12"/>
  <c r="R14" i="12"/>
  <c r="T14" i="12"/>
  <c r="M14" i="12"/>
  <c r="N14" i="12"/>
  <c r="G131" i="12"/>
  <c r="P13" i="12"/>
  <c r="F15" i="12"/>
  <c r="F130" i="12"/>
  <c r="F232" i="12"/>
  <c r="D213" i="12"/>
  <c r="D183" i="12"/>
  <c r="D165" i="12"/>
  <c r="D197" i="12"/>
  <c r="E196" i="12"/>
  <c r="E155" i="12"/>
  <c r="D156" i="12"/>
  <c r="E171" i="12"/>
  <c r="E97" i="12"/>
  <c r="E191" i="12"/>
  <c r="D192" i="12"/>
  <c r="H213" i="12"/>
  <c r="I213" i="12"/>
  <c r="I183" i="12"/>
  <c r="H183" i="12"/>
  <c r="H165" i="12"/>
  <c r="I165" i="12"/>
  <c r="H197" i="12"/>
  <c r="I197" i="12"/>
  <c r="I156" i="12"/>
  <c r="H156" i="12"/>
  <c r="I192" i="12"/>
  <c r="H192" i="12"/>
  <c r="E86" i="12"/>
  <c r="E182" i="12"/>
  <c r="E212" i="12"/>
  <c r="D102" i="12"/>
  <c r="E164" i="12"/>
  <c r="I102" i="12"/>
  <c r="H102" i="12"/>
  <c r="D203" i="12"/>
  <c r="D67" i="12"/>
  <c r="E228" i="12"/>
  <c r="E202" i="12"/>
  <c r="E107" i="12"/>
  <c r="D229" i="12"/>
  <c r="E126" i="12"/>
  <c r="D108" i="12"/>
  <c r="E66" i="12"/>
  <c r="D15" i="12"/>
  <c r="D127" i="12"/>
  <c r="E101" i="12"/>
  <c r="I67" i="12"/>
  <c r="H127" i="12"/>
  <c r="I127" i="12"/>
  <c r="I229" i="12"/>
  <c r="E14" i="12"/>
  <c r="H67" i="12"/>
  <c r="H15" i="12"/>
  <c r="I15" i="12"/>
  <c r="H108" i="12"/>
  <c r="I108" i="12"/>
  <c r="I203" i="12"/>
  <c r="H203" i="12"/>
  <c r="E8" i="59"/>
  <c r="D11" i="59" a="1"/>
  <c r="E183" i="12" a="1"/>
  <c r="E156" i="12" a="1"/>
  <c r="E108" i="12" a="1"/>
  <c r="D16" i="12" a="1"/>
  <c r="N67" i="12" a="1"/>
  <c r="E197" i="12" a="1"/>
  <c r="L15" i="12" a="1"/>
  <c r="T67" i="12" a="1"/>
  <c r="N15" i="12" a="1"/>
  <c r="E192" i="12" a="1"/>
  <c r="R15" i="12" a="1"/>
  <c r="E102" i="12" a="1"/>
  <c r="D230" i="12" a="1"/>
  <c r="D109" i="12" a="1"/>
  <c r="T15" i="12" a="1"/>
  <c r="Q67" i="12" a="1"/>
  <c r="O67" i="12" a="1"/>
  <c r="E229" i="12" a="1"/>
  <c r="D166" i="12" a="1"/>
  <c r="D103" i="12" a="1"/>
  <c r="L67" i="12" a="1"/>
  <c r="P14" i="12" a="1"/>
  <c r="E15" i="12" a="1"/>
  <c r="Q15" i="12" a="1"/>
  <c r="M15" i="12" a="1"/>
  <c r="G132" i="12" a="1"/>
  <c r="S67" i="12" a="1"/>
  <c r="S15" i="12" a="1"/>
  <c r="E165" i="12" a="1"/>
  <c r="D128" i="12" a="1"/>
  <c r="E203" i="12" a="1"/>
  <c r="P66" i="12" a="1"/>
  <c r="M67" i="12" a="1"/>
  <c r="R67" i="12" a="1"/>
  <c r="E127" i="12" a="1"/>
  <c r="P42" i="12" a="1"/>
  <c r="D214" i="12" a="1"/>
  <c r="E213" i="12" a="1"/>
  <c r="O15" i="12" a="1"/>
  <c r="D184" i="12" a="1"/>
  <c r="E67" i="12" a="1"/>
  <c r="P42" i="12" l="1"/>
  <c r="L67" i="12"/>
  <c r="R67" i="12"/>
  <c r="T67" i="12"/>
  <c r="N67" i="12"/>
  <c r="S67" i="12"/>
  <c r="Q67" i="12"/>
  <c r="M67" i="12"/>
  <c r="O67" i="12"/>
  <c r="G132" i="12"/>
  <c r="P14" i="12"/>
  <c r="P66" i="12"/>
  <c r="N15" i="12"/>
  <c r="M15" i="12"/>
  <c r="R15" i="12"/>
  <c r="S15" i="12"/>
  <c r="T15" i="12"/>
  <c r="Q15" i="12"/>
  <c r="L15" i="12"/>
  <c r="O15" i="12"/>
  <c r="F131" i="12"/>
  <c r="F16" i="12"/>
  <c r="D103" i="12"/>
  <c r="E156" i="12"/>
  <c r="D166" i="12"/>
  <c r="E197" i="12"/>
  <c r="E165" i="12"/>
  <c r="D184" i="12"/>
  <c r="E183" i="12"/>
  <c r="E213" i="12"/>
  <c r="E192" i="12"/>
  <c r="D214" i="12"/>
  <c r="H103" i="12"/>
  <c r="I103" i="12"/>
  <c r="I166" i="12"/>
  <c r="H166" i="12"/>
  <c r="I184" i="12"/>
  <c r="H184" i="12"/>
  <c r="H214" i="12"/>
  <c r="I214" i="12"/>
  <c r="E102" i="12"/>
  <c r="E108" i="12"/>
  <c r="D230" i="12"/>
  <c r="E229" i="12"/>
  <c r="E127" i="12"/>
  <c r="D128" i="12"/>
  <c r="D16" i="12"/>
  <c r="D109" i="12"/>
  <c r="E67" i="12"/>
  <c r="E203" i="12"/>
  <c r="I230" i="12"/>
  <c r="I128" i="12"/>
  <c r="H128" i="12"/>
  <c r="E15" i="12"/>
  <c r="I16" i="12"/>
  <c r="H16" i="12"/>
  <c r="I109" i="12"/>
  <c r="H109" i="12"/>
  <c r="D11" i="59"/>
  <c r="E11" i="59" a="1"/>
  <c r="D4" i="59" a="1"/>
  <c r="D231" i="12" a="1"/>
  <c r="O16" i="12" a="1"/>
  <c r="E166" i="12" a="1"/>
  <c r="E128" i="12" a="1"/>
  <c r="T16" i="12" a="1"/>
  <c r="P67" i="12" a="1"/>
  <c r="E230" i="12" a="1"/>
  <c r="D104" i="12" a="1"/>
  <c r="E184" i="12" a="1"/>
  <c r="D129" i="12" a="1"/>
  <c r="E109" i="12" a="1"/>
  <c r="N16" i="12" a="1"/>
  <c r="P15" i="12" a="1"/>
  <c r="M16" i="12" a="1"/>
  <c r="R16" i="12" a="1"/>
  <c r="G133" i="12" a="1"/>
  <c r="E214" i="12" a="1"/>
  <c r="D110" i="12" a="1"/>
  <c r="D233" i="12" a="1"/>
  <c r="E103" i="12" a="1"/>
  <c r="E16" i="12" a="1"/>
  <c r="S16" i="12" a="1"/>
  <c r="L16" i="12" a="1"/>
  <c r="Q16" i="12" a="1"/>
  <c r="G133" i="12" l="1"/>
  <c r="P67" i="12"/>
  <c r="N16" i="12"/>
  <c r="Q16" i="12"/>
  <c r="R16" i="12"/>
  <c r="L16" i="12"/>
  <c r="M16" i="12"/>
  <c r="T16" i="12"/>
  <c r="O16" i="12"/>
  <c r="S16" i="12"/>
  <c r="P15" i="12"/>
  <c r="F132" i="12"/>
  <c r="D104" i="12"/>
  <c r="E103" i="12"/>
  <c r="E214" i="12"/>
  <c r="E184" i="12"/>
  <c r="E166" i="12"/>
  <c r="H104" i="12"/>
  <c r="I104" i="12"/>
  <c r="D231" i="12"/>
  <c r="I231" i="12"/>
  <c r="D110" i="12"/>
  <c r="E128" i="12"/>
  <c r="E230" i="12"/>
  <c r="D129" i="12"/>
  <c r="D233" i="12"/>
  <c r="E109" i="12"/>
  <c r="I110" i="12"/>
  <c r="I129" i="12"/>
  <c r="H129" i="12"/>
  <c r="H233" i="12"/>
  <c r="I233" i="12"/>
  <c r="E16" i="12"/>
  <c r="H110" i="12"/>
  <c r="D4" i="59"/>
  <c r="E11" i="59"/>
  <c r="E4" i="59" a="1"/>
  <c r="D130" i="12" a="1"/>
  <c r="E110" i="12" a="1"/>
  <c r="E129" i="12" a="1"/>
  <c r="G134" i="12" a="1"/>
  <c r="P16" i="12" a="1"/>
  <c r="E104" i="12" a="1"/>
  <c r="D232" i="12" a="1"/>
  <c r="E231" i="12" a="1"/>
  <c r="E233" i="12" a="1"/>
  <c r="D111" i="12" a="1"/>
  <c r="D234" i="12" a="1"/>
  <c r="P16" i="12" l="1"/>
  <c r="G134" i="12"/>
  <c r="F133" i="12"/>
  <c r="D232" i="12"/>
  <c r="E104" i="12"/>
  <c r="I232" i="12"/>
  <c r="E231" i="12"/>
  <c r="E129" i="12"/>
  <c r="D130" i="12"/>
  <c r="D234" i="12"/>
  <c r="D111" i="12"/>
  <c r="E233" i="12"/>
  <c r="E110" i="12"/>
  <c r="I111" i="12"/>
  <c r="H130" i="12"/>
  <c r="I130" i="12"/>
  <c r="I234" i="12"/>
  <c r="H234" i="12"/>
  <c r="H111" i="12"/>
  <c r="E4" i="59"/>
  <c r="E232" i="12" a="1"/>
  <c r="E130" i="12" a="1"/>
  <c r="E111" i="12" a="1"/>
  <c r="D112" i="12" a="1"/>
  <c r="D131" i="12" a="1"/>
  <c r="E234" i="12" a="1"/>
  <c r="D235" i="12" a="1"/>
  <c r="G135" i="12" a="1"/>
  <c r="G135" i="12" l="1"/>
  <c r="F134" i="12"/>
  <c r="E232" i="12"/>
  <c r="D112" i="12"/>
  <c r="E111" i="12"/>
  <c r="E234" i="12"/>
  <c r="E130" i="12"/>
  <c r="D235" i="12"/>
  <c r="D131" i="12"/>
  <c r="I112" i="12"/>
  <c r="I131" i="12"/>
  <c r="H131" i="12"/>
  <c r="H235" i="12"/>
  <c r="I235" i="12"/>
  <c r="H112" i="12"/>
  <c r="D236" i="12" a="1"/>
  <c r="D113" i="12" a="1"/>
  <c r="D132" i="12" a="1"/>
  <c r="E131" i="12" a="1"/>
  <c r="E112" i="12" a="1"/>
  <c r="E235" i="12" a="1"/>
  <c r="G136" i="12" a="1"/>
  <c r="F135" i="12" l="1"/>
  <c r="G136" i="12"/>
  <c r="E112" i="12"/>
  <c r="D132" i="12"/>
  <c r="D113" i="12"/>
  <c r="E131" i="12"/>
  <c r="E235" i="12"/>
  <c r="D236" i="12"/>
  <c r="H113" i="12"/>
  <c r="I132" i="12"/>
  <c r="H132" i="12"/>
  <c r="I236" i="12"/>
  <c r="H236" i="12"/>
  <c r="I113" i="12"/>
  <c r="D237" i="12" a="1"/>
  <c r="D133" i="12" a="1"/>
  <c r="G137" i="12" a="1"/>
  <c r="E236" i="12" a="1"/>
  <c r="E132" i="12" a="1"/>
  <c r="D114" i="12" a="1"/>
  <c r="E113" i="12" a="1"/>
  <c r="G137" i="12" l="1"/>
  <c r="F136" i="12"/>
  <c r="D114" i="12"/>
  <c r="E236" i="12"/>
  <c r="E113" i="12"/>
  <c r="E132" i="12"/>
  <c r="D237" i="12"/>
  <c r="D133" i="12"/>
  <c r="I114" i="12"/>
  <c r="I133" i="12"/>
  <c r="H133" i="12"/>
  <c r="H237" i="12"/>
  <c r="I237" i="12"/>
  <c r="H114" i="12"/>
  <c r="D238" i="12" a="1"/>
  <c r="E114" i="12" a="1"/>
  <c r="E133" i="12" a="1"/>
  <c r="D115" i="12" a="1"/>
  <c r="D134" i="12" a="1"/>
  <c r="E237" i="12" a="1"/>
  <c r="F137" i="12" l="1"/>
  <c r="E114" i="12"/>
  <c r="D134" i="12"/>
  <c r="D115" i="12"/>
  <c r="E133" i="12"/>
  <c r="E237" i="12"/>
  <c r="D238" i="12"/>
  <c r="I115" i="12"/>
  <c r="H115" i="12"/>
  <c r="I134" i="12"/>
  <c r="H134" i="12"/>
  <c r="I238" i="12"/>
  <c r="H238" i="12"/>
  <c r="D135" i="12" a="1"/>
  <c r="D116" i="12" a="1"/>
  <c r="E115" i="12" a="1"/>
  <c r="E238" i="12" a="1"/>
  <c r="E134" i="12" a="1"/>
  <c r="D239" i="12" a="1"/>
  <c r="D116" i="12" l="1"/>
  <c r="D135" i="12"/>
  <c r="H116" i="12"/>
  <c r="I116" i="12"/>
  <c r="I135" i="12"/>
  <c r="H135" i="12"/>
  <c r="D239" i="12"/>
  <c r="E238" i="12"/>
  <c r="E115" i="12"/>
  <c r="E134" i="12"/>
  <c r="H239" i="12"/>
  <c r="I239" i="12"/>
  <c r="E116" i="12" a="1"/>
  <c r="E135" i="12" a="1"/>
  <c r="D136" i="12" a="1"/>
  <c r="E239" i="12" a="1"/>
  <c r="D240" i="12" a="1"/>
  <c r="D117" i="12" a="1"/>
  <c r="D117" i="12" l="1"/>
  <c r="D136" i="12"/>
  <c r="H117" i="12"/>
  <c r="I117" i="12"/>
  <c r="I136" i="12"/>
  <c r="H136" i="12"/>
  <c r="E135" i="12"/>
  <c r="E116" i="12"/>
  <c r="D240" i="12"/>
  <c r="E239" i="12"/>
  <c r="I240" i="12"/>
  <c r="H240" i="12"/>
  <c r="E117" i="12" a="1"/>
  <c r="D118" i="12" a="1"/>
  <c r="D137" i="12" a="1"/>
  <c r="E136" i="12" a="1"/>
  <c r="E240" i="12" a="1"/>
  <c r="D241" i="12" a="1"/>
  <c r="E136" i="12" l="1"/>
  <c r="D137" i="12"/>
  <c r="D118" i="12"/>
  <c r="E117" i="12"/>
  <c r="I137" i="12"/>
  <c r="H137" i="12"/>
  <c r="H118" i="12"/>
  <c r="I118" i="12"/>
  <c r="D241" i="12"/>
  <c r="E240" i="12"/>
  <c r="H241" i="12"/>
  <c r="I241" i="12"/>
  <c r="E118" i="12" a="1"/>
  <c r="E241" i="12" a="1"/>
  <c r="D242" i="12" a="1"/>
  <c r="E137" i="12" a="1"/>
  <c r="E118" i="12" l="1"/>
  <c r="E137" i="12"/>
  <c r="D242" i="12"/>
  <c r="E241" i="12"/>
  <c r="H242" i="12"/>
  <c r="I242" i="12"/>
  <c r="D243" i="12" a="1"/>
  <c r="E242" i="12" a="1"/>
  <c r="D243" i="12" l="1"/>
  <c r="E242" i="12"/>
  <c r="H243" i="12"/>
  <c r="I243" i="12"/>
  <c r="E243" i="12" a="1"/>
  <c r="D244" i="12" a="1"/>
  <c r="D244" i="12" l="1"/>
  <c r="E243" i="12"/>
  <c r="I244" i="12"/>
  <c r="H244" i="12"/>
  <c r="D245" i="12" a="1"/>
  <c r="E244" i="12" a="1"/>
  <c r="E244" i="12" l="1"/>
  <c r="D245" i="12"/>
  <c r="H245" i="12"/>
  <c r="I245" i="12"/>
  <c r="E245" i="12" a="1"/>
  <c r="D246" i="12" a="1"/>
  <c r="D246" i="12" l="1"/>
  <c r="E245" i="12"/>
  <c r="I246" i="12"/>
  <c r="H246" i="12"/>
  <c r="D247" i="12" a="1"/>
  <c r="E246" i="12" a="1"/>
  <c r="E246" i="12" l="1"/>
  <c r="D247" i="12"/>
  <c r="H247" i="12"/>
  <c r="I247" i="12"/>
  <c r="E247" i="12" a="1"/>
  <c r="D248" i="12" a="1"/>
  <c r="D248" i="12" l="1"/>
  <c r="E247" i="12"/>
  <c r="I248" i="12"/>
  <c r="H248" i="12"/>
  <c r="D249" i="12" a="1"/>
  <c r="E248" i="12" a="1"/>
  <c r="E248" i="12" l="1"/>
  <c r="D249" i="12"/>
  <c r="H249" i="12"/>
  <c r="I249" i="12"/>
  <c r="E249" i="12" a="1"/>
  <c r="D250" i="12" a="1"/>
  <c r="D250" i="12" l="1"/>
  <c r="E249" i="12"/>
  <c r="I250" i="12"/>
  <c r="H250" i="12"/>
  <c r="D251" i="12" a="1"/>
  <c r="E250" i="12" a="1"/>
  <c r="E250" i="12" l="1"/>
  <c r="D251" i="12"/>
  <c r="H251" i="12"/>
  <c r="I251" i="12"/>
  <c r="E251" i="12" a="1"/>
  <c r="D252" i="12" a="1"/>
  <c r="D252" i="12" l="1"/>
  <c r="E251" i="12"/>
  <c r="H252" i="12"/>
  <c r="I252" i="12"/>
  <c r="D253" i="12" a="1"/>
  <c r="E252" i="12" a="1"/>
  <c r="D253" i="12" l="1"/>
  <c r="I253" i="12"/>
  <c r="H253" i="12"/>
  <c r="E252" i="12"/>
  <c r="E253" i="12" a="1"/>
  <c r="D254" i="12" a="1"/>
  <c r="D254" i="12" l="1"/>
  <c r="I254" i="12"/>
  <c r="H254" i="12"/>
  <c r="E253" i="12"/>
  <c r="A79" i="12"/>
  <c r="A80" i="12"/>
  <c r="A81" i="12"/>
  <c r="A82" i="12"/>
  <c r="N98" i="12" a="1"/>
  <c r="M98" i="12" a="1"/>
  <c r="L98" i="12" a="1"/>
  <c r="T98" i="12" a="1"/>
  <c r="S98" i="12" a="1"/>
  <c r="R98" i="12" a="1"/>
  <c r="Q98" i="12" a="1"/>
  <c r="O98" i="12" a="1"/>
  <c r="O99" i="12" a="1"/>
  <c r="N99" i="12" a="1"/>
  <c r="M99" i="12" a="1"/>
  <c r="L99" i="12" a="1"/>
  <c r="T99" i="12" a="1"/>
  <c r="S99" i="12" a="1"/>
  <c r="R99" i="12" a="1"/>
  <c r="Q99" i="12" a="1"/>
  <c r="O100" i="12" a="1"/>
  <c r="N100" i="12" a="1"/>
  <c r="M100" i="12" a="1"/>
  <c r="L100" i="12" a="1"/>
  <c r="T100" i="12" a="1"/>
  <c r="R100" i="12" a="1"/>
  <c r="S100" i="12" a="1"/>
  <c r="Q100" i="12" a="1"/>
  <c r="Q101" i="12" a="1"/>
  <c r="O101" i="12" a="1"/>
  <c r="N101" i="12" a="1"/>
  <c r="M101" i="12" a="1"/>
  <c r="L101" i="12" a="1"/>
  <c r="T101" i="12" a="1"/>
  <c r="S101" i="12" a="1"/>
  <c r="R101" i="12" a="1"/>
  <c r="R102" i="12" a="1"/>
  <c r="Q102" i="12" a="1"/>
  <c r="O102" i="12" a="1"/>
  <c r="N102" i="12" a="1"/>
  <c r="M102" i="12" a="1"/>
  <c r="L102" i="12" a="1"/>
  <c r="T102" i="12" a="1"/>
  <c r="S102" i="12" a="1"/>
  <c r="S103" i="12" a="1"/>
  <c r="R103" i="12" a="1"/>
  <c r="Q103" i="12" a="1"/>
  <c r="O103" i="12" a="1"/>
  <c r="N103" i="12" a="1"/>
  <c r="M103" i="12" a="1"/>
  <c r="L103" i="12" a="1"/>
  <c r="T103" i="12" a="1"/>
  <c r="T104" i="12" a="1"/>
  <c r="S104" i="12" a="1"/>
  <c r="R104" i="12" a="1"/>
  <c r="Q104" i="12" a="1"/>
  <c r="O104" i="12" a="1"/>
  <c r="N104" i="12" a="1"/>
  <c r="M104" i="12" a="1"/>
  <c r="L104" i="12" a="1"/>
  <c r="S85" i="12" a="1"/>
  <c r="R85" i="12" a="1"/>
  <c r="Q85" i="12" a="1"/>
  <c r="O85" i="12" a="1"/>
  <c r="N85" i="12" a="1"/>
  <c r="M85" i="12" a="1"/>
  <c r="L85" i="12" a="1"/>
  <c r="T85" i="12" a="1"/>
  <c r="R84" i="12" a="1"/>
  <c r="Q84" i="12" a="1"/>
  <c r="O84" i="12" a="1"/>
  <c r="N84" i="12" a="1"/>
  <c r="M84" i="12" a="1"/>
  <c r="L84" i="12" a="1"/>
  <c r="T84" i="12" a="1"/>
  <c r="S84" i="12" a="1"/>
  <c r="T86" i="12" a="1"/>
  <c r="S86" i="12" a="1"/>
  <c r="R86" i="12" a="1"/>
  <c r="Q86" i="12" a="1"/>
  <c r="O86" i="12" a="1"/>
  <c r="N86" i="12" a="1"/>
  <c r="M86" i="12" a="1"/>
  <c r="L86" i="12" a="1"/>
  <c r="E15" i="55" a="1"/>
  <c r="F21" i="59" a="1"/>
  <c r="D44" i="59" a="1"/>
  <c r="L209" i="12" a="1"/>
  <c r="D255" i="12" a="1"/>
  <c r="N96" i="12" a="1"/>
  <c r="L231" i="12" a="1"/>
  <c r="L232" i="12" a="1"/>
  <c r="O231" i="12" a="1"/>
  <c r="N148" i="12" a="1"/>
  <c r="M238" i="12" a="1"/>
  <c r="N240" i="12" a="1"/>
  <c r="O193" i="12" a="1"/>
  <c r="M231" i="12" a="1"/>
  <c r="R97" i="12" a="1"/>
  <c r="L250" i="12" a="1"/>
  <c r="Q106" i="12" a="1"/>
  <c r="N172" i="12" a="1"/>
  <c r="L123" i="12" a="1"/>
  <c r="Q82" i="12" a="1"/>
  <c r="Q144" i="12" a="1"/>
  <c r="L169" i="12" a="1"/>
  <c r="R88" i="12" a="1"/>
  <c r="O218" i="12" a="1"/>
  <c r="O235" i="12" a="1"/>
  <c r="Q131" i="12" a="1"/>
  <c r="S222" i="12" a="1"/>
  <c r="T183" i="12" a="1"/>
  <c r="R137" i="12" a="1"/>
  <c r="M250" i="12" a="1"/>
  <c r="R120" i="12" a="1"/>
  <c r="L145" i="12" a="1"/>
  <c r="N163" i="12" a="1"/>
  <c r="Q162" i="12" a="1"/>
  <c r="O238" i="12" a="1"/>
  <c r="T188" i="12" a="1"/>
  <c r="L223" i="12" a="1"/>
  <c r="O146" i="12" a="1"/>
  <c r="Q141" i="12" a="1"/>
  <c r="O128" i="12" a="1"/>
  <c r="M138" i="12" a="1"/>
  <c r="N121" i="12" a="1"/>
  <c r="O195" i="12" a="1"/>
  <c r="M94" i="12" a="1"/>
  <c r="O125" i="12" a="1"/>
  <c r="M212" i="12" a="1"/>
  <c r="T110" i="12" a="1"/>
  <c r="N250" i="12" a="1"/>
  <c r="L197" i="12" a="1"/>
  <c r="L184" i="12" a="1"/>
  <c r="R211" i="12" a="1"/>
  <c r="R249" i="12" a="1"/>
  <c r="L82" i="12" a="1"/>
  <c r="N79" i="12" a="1"/>
  <c r="S127" i="12" a="1"/>
  <c r="T156" i="12" a="1"/>
  <c r="N178" i="12" a="1"/>
  <c r="O184" i="12" a="1"/>
  <c r="R176" i="12" a="1"/>
  <c r="R141" i="12" a="1"/>
  <c r="R248" i="12" a="1"/>
  <c r="Q199" i="12" a="1"/>
  <c r="T117" i="12" a="1"/>
  <c r="R243" i="12" a="1"/>
  <c r="R115" i="12" a="1"/>
  <c r="O185" i="12" a="1"/>
  <c r="R230" i="12" a="1"/>
  <c r="Q214" i="12" a="1"/>
  <c r="S244" i="12" a="1"/>
  <c r="R165" i="12" a="1"/>
  <c r="S106" i="12" a="1"/>
  <c r="T209" i="12" a="1"/>
  <c r="M90" i="12" a="1"/>
  <c r="L198" i="12" a="1"/>
  <c r="Q146" i="12" a="1"/>
  <c r="M142" i="12" a="1"/>
  <c r="Q181" i="12" a="1"/>
  <c r="O244" i="12" a="1"/>
  <c r="M128" i="12" a="1"/>
  <c r="N233" i="12" a="1"/>
  <c r="L118" i="12" a="1"/>
  <c r="M200" i="12" a="1"/>
  <c r="L253" i="12" a="1"/>
  <c r="Q245" i="12" a="1"/>
  <c r="L127" i="12" a="1"/>
  <c r="N153" i="12" a="1"/>
  <c r="L202" i="12" a="1"/>
  <c r="L107" i="12" a="1"/>
  <c r="S159" i="12" a="1"/>
  <c r="R117" i="12" a="1"/>
  <c r="S157" i="12" a="1"/>
  <c r="N182" i="12" a="1"/>
  <c r="O199" i="12" a="1"/>
  <c r="L119" i="12" a="1"/>
  <c r="S89" i="12" a="1"/>
  <c r="L173" i="12" a="1"/>
  <c r="O200" i="12" a="1"/>
  <c r="R94" i="12" a="1"/>
  <c r="R192" i="12" a="1"/>
  <c r="L208" i="12" a="1"/>
  <c r="S218" i="12" a="1"/>
  <c r="R206" i="12" a="1"/>
  <c r="Q178" i="12" a="1"/>
  <c r="L222" i="12" a="1"/>
  <c r="R107" i="12" a="1"/>
  <c r="O216" i="12" a="1"/>
  <c r="L192" i="12" a="1"/>
  <c r="T210" i="12" a="1"/>
  <c r="R183" i="12" a="1"/>
  <c r="M165" i="12" a="1"/>
  <c r="O94" i="12" a="1"/>
  <c r="S200" i="12" a="1"/>
  <c r="S246" i="12" a="1"/>
  <c r="L241" i="12" a="1"/>
  <c r="R203" i="12" a="1"/>
  <c r="T148" i="12" a="1"/>
  <c r="Q201" i="12" a="1"/>
  <c r="O135" i="12" a="1"/>
  <c r="R218" i="12" a="1"/>
  <c r="Q230" i="12" a="1"/>
  <c r="N179" i="12" a="1"/>
  <c r="Q229" i="12" a="1"/>
  <c r="Q253" i="12" a="1"/>
  <c r="M249" i="12" a="1"/>
  <c r="N231" i="12" a="1"/>
  <c r="L215" i="12" a="1"/>
  <c r="O171" i="12" a="1"/>
  <c r="Q118" i="12" a="1"/>
  <c r="Q189" i="12" a="1"/>
  <c r="L135" i="12" a="1"/>
  <c r="R237" i="12" a="1"/>
  <c r="L185" i="12" a="1"/>
  <c r="S230" i="12" a="1"/>
  <c r="L81" i="12" a="1"/>
  <c r="L138" i="12" a="1"/>
  <c r="L124" i="12" a="1"/>
  <c r="T170" i="12" a="1"/>
  <c r="L110" i="12" a="1"/>
  <c r="Q204" i="12" a="1"/>
  <c r="Q233" i="12" a="1"/>
  <c r="T152" i="12" a="1"/>
  <c r="O240" i="12" a="1"/>
  <c r="T122" i="12" a="1"/>
  <c r="R200" i="12" a="1"/>
  <c r="M129" i="12" a="1"/>
  <c r="S155" i="12" a="1"/>
  <c r="T202" i="12" a="1"/>
  <c r="L89" i="12" a="1"/>
  <c r="S196" i="12" a="1"/>
  <c r="T197" i="12" a="1"/>
  <c r="O247" i="12" a="1"/>
  <c r="R92" i="12" a="1"/>
  <c r="R161" i="12" a="1"/>
  <c r="T88" i="12" a="1"/>
  <c r="T253" i="12" a="1"/>
  <c r="Q195" i="12" a="1"/>
  <c r="M213" i="12" a="1"/>
  <c r="Q212" i="12" a="1"/>
  <c r="O211" i="12" a="1"/>
  <c r="T79" i="12" a="1"/>
  <c r="M120" i="12" a="1"/>
  <c r="Q231" i="12" a="1"/>
  <c r="S122" i="12" a="1"/>
  <c r="S213" i="12" a="1"/>
  <c r="S221" i="12" a="1"/>
  <c r="O132" i="12" a="1"/>
  <c r="R111" i="12" a="1"/>
  <c r="N218" i="12" a="1"/>
  <c r="R122" i="12" a="1"/>
  <c r="M124" i="12" a="1"/>
  <c r="Q136" i="12" a="1"/>
  <c r="R121" i="12" a="1"/>
  <c r="N239" i="12" a="1"/>
  <c r="T220" i="12" a="1"/>
  <c r="L244" i="12" a="1"/>
  <c r="M229" i="12" a="1"/>
  <c r="R179" i="12" a="1"/>
  <c r="Q247" i="12" a="1"/>
  <c r="R199" i="12" a="1"/>
  <c r="L219" i="12" a="1"/>
  <c r="M218" i="12" a="1"/>
  <c r="O95" i="12" a="1"/>
  <c r="S81" i="12" a="1"/>
  <c r="N226" i="12" a="1"/>
  <c r="R173" i="12" a="1"/>
  <c r="S153" i="12" a="1"/>
  <c r="T162" i="12" a="1"/>
  <c r="M204" i="12" a="1"/>
  <c r="L239" i="12" a="1"/>
  <c r="N138" i="12" a="1"/>
  <c r="T215" i="12" a="1"/>
  <c r="N171" i="12" a="1"/>
  <c r="R142" i="12" a="1"/>
  <c r="T137" i="12" a="1"/>
  <c r="L133" i="12" a="1"/>
  <c r="T131" i="12" a="1"/>
  <c r="R219" i="12" a="1"/>
  <c r="M112" i="12" a="1"/>
  <c r="M119" i="12" a="1"/>
  <c r="L189" i="12" a="1"/>
  <c r="Q125" i="12" a="1"/>
  <c r="L113" i="12" a="1"/>
  <c r="Q97" i="12" a="1"/>
  <c r="R168" i="12" a="1"/>
  <c r="R225" i="12" a="1"/>
  <c r="R83" i="12" a="1"/>
  <c r="R234" i="12" a="1"/>
  <c r="L225" i="12" a="1"/>
  <c r="M207" i="12" a="1"/>
  <c r="R178" i="12" a="1"/>
  <c r="Q251" i="12" a="1"/>
  <c r="S216" i="12" a="1"/>
  <c r="Q166" i="12" a="1"/>
  <c r="L187" i="12" a="1"/>
  <c r="T232" i="12" a="1"/>
  <c r="S204" i="12" a="1"/>
  <c r="S151" i="12" a="1"/>
  <c r="R190" i="12" a="1"/>
  <c r="T159" i="12" a="1"/>
  <c r="O182" i="12" a="1"/>
  <c r="T141" i="12" a="1"/>
  <c r="M244" i="12" a="1"/>
  <c r="Q139" i="12" a="1"/>
  <c r="N154" i="12" a="1"/>
  <c r="S223" i="12" a="1"/>
  <c r="S231" i="12" a="1"/>
  <c r="N176" i="12" a="1"/>
  <c r="T236" i="12" a="1"/>
  <c r="T224" i="12" a="1"/>
  <c r="R95" i="12" a="1"/>
  <c r="S83" i="12" a="1"/>
  <c r="R169" i="12" a="1"/>
  <c r="T163" i="12" a="1"/>
  <c r="N203" i="12" a="1"/>
  <c r="R250" i="12" a="1"/>
  <c r="T164" i="12" a="1"/>
  <c r="T138" i="12" a="1"/>
  <c r="Q226" i="12" a="1"/>
  <c r="R189" i="12" a="1"/>
  <c r="R125" i="12" a="1"/>
  <c r="O174" i="12" a="1"/>
  <c r="S193" i="12" a="1"/>
  <c r="S133" i="12" a="1"/>
  <c r="R205" i="12" a="1"/>
  <c r="S96" i="12" a="1"/>
  <c r="R236" i="12" a="1"/>
  <c r="T116" i="12" a="1"/>
  <c r="S187" i="12" a="1"/>
  <c r="S88" i="12" a="1"/>
  <c r="Q223" i="12" a="1"/>
  <c r="N251" i="12" a="1"/>
  <c r="R156" i="12" a="1"/>
  <c r="O133" i="12" a="1"/>
  <c r="T212" i="12" a="1"/>
  <c r="S220" i="12" a="1"/>
  <c r="O123" i="12" a="1"/>
  <c r="Q163" i="12" a="1"/>
  <c r="S215" i="12" a="1"/>
  <c r="M171" i="12" a="1"/>
  <c r="O250" i="12" a="1"/>
  <c r="Q126" i="12" a="1"/>
  <c r="M156" i="12" a="1"/>
  <c r="O89" i="12" a="1"/>
  <c r="R172" i="12" a="1"/>
  <c r="S110" i="12" a="1"/>
  <c r="O126" i="12" a="1"/>
  <c r="L126" i="12" a="1"/>
  <c r="L88" i="12" a="1"/>
  <c r="L129" i="12" a="1"/>
  <c r="S195" i="12" a="1"/>
  <c r="Q110" i="12" a="1"/>
  <c r="R254" i="12" a="1"/>
  <c r="N173" i="12" a="1"/>
  <c r="L245" i="12" a="1"/>
  <c r="L120" i="12" a="1"/>
  <c r="M133" i="12" a="1"/>
  <c r="R114" i="12" a="1"/>
  <c r="L178" i="12" a="1"/>
  <c r="N235" i="12" a="1"/>
  <c r="S199" i="12" a="1"/>
  <c r="L210" i="12" a="1"/>
  <c r="M91" i="12" a="1"/>
  <c r="M216" i="12" a="1"/>
  <c r="T165" i="12" a="1"/>
  <c r="S140" i="12" a="1"/>
  <c r="M145" i="12" a="1"/>
  <c r="Q87" i="12" a="1"/>
  <c r="T135" i="12" a="1"/>
  <c r="Q112" i="12" a="1"/>
  <c r="T203" i="12" a="1"/>
  <c r="T146" i="12" a="1"/>
  <c r="L166" i="12" a="1"/>
  <c r="M158" i="12" a="1"/>
  <c r="N220" i="12" a="1"/>
  <c r="M214" i="12" a="1"/>
  <c r="R187" i="12" a="1"/>
  <c r="S123" i="12" a="1"/>
  <c r="L188" i="12" a="1"/>
  <c r="M163" i="12" a="1"/>
  <c r="S145" i="12" a="1"/>
  <c r="M232" i="12" a="1"/>
  <c r="T147" i="12" a="1"/>
  <c r="M254" i="12" a="1"/>
  <c r="L182" i="12" a="1"/>
  <c r="Q123" i="12" a="1"/>
  <c r="M240" i="12" a="1"/>
  <c r="T80" i="12" a="1"/>
  <c r="R171" i="12" a="1"/>
  <c r="T168" i="12" a="1"/>
  <c r="Q249" i="12" a="1"/>
  <c r="O129" i="12" a="1"/>
  <c r="M189" i="12" a="1"/>
  <c r="Q218" i="12" a="1"/>
  <c r="M182" i="12" a="1"/>
  <c r="O223" i="12" a="1"/>
  <c r="R81" i="12" a="1"/>
  <c r="N237" i="12" a="1"/>
  <c r="Q248" i="12" a="1"/>
  <c r="T105" i="12" a="1"/>
  <c r="S237" i="12" a="1"/>
  <c r="O113" i="12" a="1"/>
  <c r="R160" i="12" a="1"/>
  <c r="O143" i="12" a="1"/>
  <c r="T233" i="12" a="1"/>
  <c r="R133" i="12" a="1"/>
  <c r="O87" i="12" a="1"/>
  <c r="N223" i="12" a="1"/>
  <c r="O136" i="12" a="1"/>
  <c r="N147" i="12" a="1"/>
  <c r="O111" i="12" a="1"/>
  <c r="Q169" i="12" a="1"/>
  <c r="M253" i="12" a="1"/>
  <c r="T187" i="12" a="1"/>
  <c r="N184" i="12" a="1"/>
  <c r="Q187" i="12" a="1"/>
  <c r="Q222" i="12" a="1"/>
  <c r="N247" i="12" a="1"/>
  <c r="M234" i="12" a="1"/>
  <c r="R91" i="12" a="1"/>
  <c r="L234" i="12" a="1"/>
  <c r="T238" i="12" a="1"/>
  <c r="O205" i="12" a="1"/>
  <c r="O153" i="12" a="1"/>
  <c r="R151" i="12" a="1"/>
  <c r="L177" i="12" a="1"/>
  <c r="M210" i="12" a="1"/>
  <c r="Q154" i="12" a="1"/>
  <c r="T106" i="12" a="1"/>
  <c r="T207" i="12" a="1"/>
  <c r="T230" i="12" a="1"/>
  <c r="N95" i="12" a="1"/>
  <c r="Q207" i="12" a="1"/>
  <c r="L154" i="12" a="1"/>
  <c r="T167" i="12" a="1"/>
  <c r="T155" i="12" a="1"/>
  <c r="N82" i="12" a="1"/>
  <c r="T172" i="12" a="1"/>
  <c r="S117" i="12" a="1"/>
  <c r="M160" i="12" a="1"/>
  <c r="Q171" i="12" a="1"/>
  <c r="S142" i="12" a="1"/>
  <c r="Q241" i="12" a="1"/>
  <c r="R188" i="12" a="1"/>
  <c r="S92" i="12" a="1"/>
  <c r="R145" i="12" a="1"/>
  <c r="L224" i="12" a="1"/>
  <c r="R170" i="12" a="1"/>
  <c r="T114" i="12" a="1"/>
  <c r="S254" i="12" a="1"/>
  <c r="Q243" i="12" a="1"/>
  <c r="N190" i="12" a="1"/>
  <c r="S169" i="12" a="1"/>
  <c r="L207" i="12" a="1"/>
  <c r="N207" i="12" a="1"/>
  <c r="Q93" i="12" a="1"/>
  <c r="N188" i="12" a="1"/>
  <c r="M166" i="12" a="1"/>
  <c r="O179" i="12" a="1"/>
  <c r="Q105" i="12" a="1"/>
  <c r="Q191" i="12" a="1"/>
  <c r="Q180" i="12" a="1"/>
  <c r="S177" i="12" a="1"/>
  <c r="S197" i="12" a="1"/>
  <c r="S164" i="12" a="1"/>
  <c r="L94" i="12" a="1"/>
  <c r="S172" i="12" a="1"/>
  <c r="M159" i="12" a="1"/>
  <c r="N107" i="12" a="1"/>
  <c r="R149" i="12" a="1"/>
  <c r="R140" i="12" a="1"/>
  <c r="N105" i="12" a="1"/>
  <c r="O119" i="12" a="1"/>
  <c r="Q158" i="12" a="1"/>
  <c r="M205" i="12" a="1"/>
  <c r="S225" i="12" a="1"/>
  <c r="Q227" i="12" a="1"/>
  <c r="T93" i="12" a="1"/>
  <c r="L217" i="12" a="1"/>
  <c r="M106" i="12" a="1"/>
  <c r="Q254" i="12" a="1"/>
  <c r="O191" i="12" a="1"/>
  <c r="O175" i="12" a="1"/>
  <c r="N177" i="12" a="1"/>
  <c r="L242" i="12" a="1"/>
  <c r="M139" i="12" a="1"/>
  <c r="Q238" i="12" a="1"/>
  <c r="O248" i="12" a="1"/>
  <c r="L152" i="12" a="1"/>
  <c r="Q196" i="12" a="1"/>
  <c r="L171" i="12" a="1"/>
  <c r="O206" i="12" a="1"/>
  <c r="S116" i="12" a="1"/>
  <c r="R180" i="12" a="1"/>
  <c r="L140" i="12" a="1"/>
  <c r="Q135" i="12" a="1"/>
  <c r="N87" i="12" a="1"/>
  <c r="T199" i="12" a="1"/>
  <c r="M222" i="12" a="1"/>
  <c r="R175" i="12" a="1"/>
  <c r="S87" i="12" a="1"/>
  <c r="T143" i="12" a="1"/>
  <c r="O141" i="12" a="1"/>
  <c r="L180" i="12" a="1"/>
  <c r="M172" i="12" a="1"/>
  <c r="S249" i="12" a="1"/>
  <c r="L216" i="12" a="1"/>
  <c r="N197" i="12" a="1"/>
  <c r="R164" i="12" a="1"/>
  <c r="L246" i="12" a="1"/>
  <c r="M125" i="12" a="1"/>
  <c r="O116" i="12" a="1"/>
  <c r="M188" i="12" a="1"/>
  <c r="N180" i="12" a="1"/>
  <c r="Q113" i="12" a="1"/>
  <c r="Q134" i="12" a="1"/>
  <c r="M220" i="12" a="1"/>
  <c r="R143" i="12" a="1"/>
  <c r="Q179" i="12" a="1"/>
  <c r="N211" i="12" a="1"/>
  <c r="Q156" i="12" a="1"/>
  <c r="Q124" i="12" a="1"/>
  <c r="Q148" i="12" a="1"/>
  <c r="M107" i="12" a="1"/>
  <c r="N155" i="12" a="1"/>
  <c r="S135" i="12" a="1"/>
  <c r="S227" i="12" a="1"/>
  <c r="M111" i="12" a="1"/>
  <c r="O198" i="12" a="1"/>
  <c r="N140" i="12" a="1"/>
  <c r="Q94" i="12" a="1"/>
  <c r="O173" i="12" a="1"/>
  <c r="T126" i="12" a="1"/>
  <c r="N125" i="12" a="1"/>
  <c r="L229" i="12" a="1"/>
  <c r="N187" i="12" a="1"/>
  <c r="N217" i="12" a="1"/>
  <c r="L227" i="12" a="1"/>
  <c r="N112" i="12" a="1"/>
  <c r="N192" i="12" a="1"/>
  <c r="O131" i="12" a="1"/>
  <c r="M82" i="12" a="1"/>
  <c r="O167" i="12" a="1"/>
  <c r="L220" i="12" a="1"/>
  <c r="L170" i="12" a="1"/>
  <c r="S240" i="12" a="1"/>
  <c r="O148" i="12" a="1"/>
  <c r="L108" i="12" a="1"/>
  <c r="M193" i="12" a="1"/>
  <c r="L196" i="12" a="1"/>
  <c r="L228" i="12" a="1"/>
  <c r="S202" i="12" a="1"/>
  <c r="R159" i="12" a="1"/>
  <c r="O169" i="12" a="1"/>
  <c r="L136" i="12" a="1"/>
  <c r="N145" i="12" a="1"/>
  <c r="S252" i="12" a="1"/>
  <c r="M242" i="12" a="1"/>
  <c r="Q130" i="12" a="1"/>
  <c r="O162" i="12" a="1"/>
  <c r="R244" i="12" a="1"/>
  <c r="S207" i="12" a="1"/>
  <c r="Q252" i="12" a="1"/>
  <c r="R193" i="12" a="1"/>
  <c r="L149" i="12" a="1"/>
  <c r="S217" i="12" a="1"/>
  <c r="O152" i="12" a="1"/>
  <c r="T125" i="12" a="1"/>
  <c r="L91" i="12" a="1"/>
  <c r="M147" i="12" a="1"/>
  <c r="Q173" i="12" a="1"/>
  <c r="L79" i="12" a="1"/>
  <c r="R154" i="12" a="1"/>
  <c r="Q202" i="12" a="1"/>
  <c r="R208" i="12" a="1"/>
  <c r="S82" i="12" a="1"/>
  <c r="R87" i="12" a="1"/>
  <c r="Q129" i="12" a="1"/>
  <c r="T82" i="12" a="1"/>
  <c r="M149" i="12" a="1"/>
  <c r="L247" i="12" a="1"/>
  <c r="N236" i="12" a="1"/>
  <c r="L105" i="12" a="1"/>
  <c r="Q217" i="12" a="1"/>
  <c r="S152" i="12" a="1"/>
  <c r="S178" i="12" a="1"/>
  <c r="O251" i="12" a="1"/>
  <c r="T89" i="12" a="1"/>
  <c r="O214" i="12" a="1"/>
  <c r="O212" i="12" a="1"/>
  <c r="R213" i="12" a="1"/>
  <c r="N118" i="12" a="1"/>
  <c r="O215" i="12" a="1"/>
  <c r="T241" i="12" a="1"/>
  <c r="S139" i="12" a="1"/>
  <c r="L142" i="12" a="1"/>
  <c r="M208" i="12" a="1"/>
  <c r="M198" i="12" a="1"/>
  <c r="O178" i="12" a="1"/>
  <c r="O234" i="12" a="1"/>
  <c r="L159" i="12" a="1"/>
  <c r="T208" i="12" a="1"/>
  <c r="M157" i="12" a="1"/>
  <c r="Q149" i="12" a="1"/>
  <c r="S241" i="12" a="1"/>
  <c r="N89" i="12" a="1"/>
  <c r="R129" i="12" a="1"/>
  <c r="M88" i="12" a="1"/>
  <c r="L240" i="12" a="1"/>
  <c r="M152" i="12" a="1"/>
  <c r="T140" i="12" a="1"/>
  <c r="L151" i="12" a="1"/>
  <c r="T247" i="12" a="1"/>
  <c r="M206" i="12" a="1"/>
  <c r="T134" i="12" a="1"/>
  <c r="O91" i="12" a="1"/>
  <c r="L144" i="12" a="1"/>
  <c r="M252" i="12" a="1"/>
  <c r="Q216" i="12" a="1"/>
  <c r="R135" i="12" a="1"/>
  <c r="S149" i="12" a="1"/>
  <c r="Q128" i="12" a="1"/>
  <c r="M144" i="12" a="1"/>
  <c r="O159" i="12" a="1"/>
  <c r="L168" i="12" a="1"/>
  <c r="N249" i="12" a="1"/>
  <c r="Q220" i="12" a="1"/>
  <c r="O142" i="12" a="1"/>
  <c r="N199" i="12" a="1"/>
  <c r="T204" i="12" a="1"/>
  <c r="Q83" i="12" a="1"/>
  <c r="N212" i="12" a="1"/>
  <c r="S136" i="12" a="1"/>
  <c r="S226" i="12" a="1"/>
  <c r="N157" i="12" a="1"/>
  <c r="R223" i="12" a="1"/>
  <c r="R79" i="12" a="1"/>
  <c r="O243" i="12" a="1"/>
  <c r="T217" i="12" a="1"/>
  <c r="N210" i="12" a="1"/>
  <c r="O253" i="12" a="1"/>
  <c r="M81" i="12" a="1"/>
  <c r="O137" i="12" a="1"/>
  <c r="N215" i="12" a="1"/>
  <c r="S236" i="12" a="1"/>
  <c r="O114" i="12" a="1"/>
  <c r="Q91" i="12" a="1"/>
  <c r="M105" i="12" a="1"/>
  <c r="T218" i="12" a="1"/>
  <c r="N142" i="12" a="1"/>
  <c r="R204" i="12" a="1"/>
  <c r="N94" i="12" a="1"/>
  <c r="O189" i="12" a="1"/>
  <c r="T239" i="12" a="1"/>
  <c r="N131" i="12" a="1"/>
  <c r="T90" i="12" a="1"/>
  <c r="L199" i="12" a="1"/>
  <c r="M199" i="12" a="1"/>
  <c r="L186" i="12" a="1"/>
  <c r="M95" i="12" a="1"/>
  <c r="S156" i="12" a="1"/>
  <c r="T97" i="12" a="1"/>
  <c r="L122" i="12" a="1"/>
  <c r="N109" i="12" a="1"/>
  <c r="N90" i="12" a="1"/>
  <c r="S192" i="12" a="1"/>
  <c r="R222" i="12" a="1"/>
  <c r="L183" i="12" a="1"/>
  <c r="M80" i="12" a="1"/>
  <c r="N229" i="12" a="1"/>
  <c r="M243" i="12" a="1"/>
  <c r="S138" i="12" a="1"/>
  <c r="R227" i="12" a="1"/>
  <c r="T158" i="12" a="1"/>
  <c r="R131" i="12" a="1"/>
  <c r="Q108" i="12" a="1"/>
  <c r="S131" i="12" a="1"/>
  <c r="R119" i="12" a="1"/>
  <c r="O192" i="12" a="1"/>
  <c r="T161" i="12" a="1"/>
  <c r="R252" i="12" a="1"/>
  <c r="O118" i="12" a="1"/>
  <c r="T108" i="12" a="1"/>
  <c r="O181" i="12" a="1"/>
  <c r="L251" i="12" a="1"/>
  <c r="L141" i="12" a="1"/>
  <c r="T91" i="12" a="1"/>
  <c r="O127" i="12" a="1"/>
  <c r="N110" i="12" a="1"/>
  <c r="O241" i="12" a="1"/>
  <c r="M150" i="12" a="1"/>
  <c r="T87" i="12" a="1"/>
  <c r="S126" i="12" a="1"/>
  <c r="M215" i="12" a="1"/>
  <c r="O120" i="12" a="1"/>
  <c r="N162" i="12" a="1"/>
  <c r="R80" i="12" a="1"/>
  <c r="N129" i="12" a="1"/>
  <c r="R231" i="12" a="1"/>
  <c r="S224" i="12" a="1"/>
  <c r="S119" i="12" a="1"/>
  <c r="Q142" i="12" a="1"/>
  <c r="M175" i="12" a="1"/>
  <c r="R130" i="12" a="1"/>
  <c r="T119" i="12" a="1"/>
  <c r="R241" i="12" a="1"/>
  <c r="R240" i="12" a="1"/>
  <c r="O183" i="12" a="1"/>
  <c r="N169" i="12" a="1"/>
  <c r="N245" i="12" a="1"/>
  <c r="T109" i="12" a="1"/>
  <c r="M190" i="12" a="1"/>
  <c r="S198" i="12" a="1"/>
  <c r="O130" i="12" a="1"/>
  <c r="S173" i="12" a="1"/>
  <c r="L194" i="12" a="1"/>
  <c r="S251" i="12" a="1"/>
  <c r="T133" i="12" a="1"/>
  <c r="S219" i="12" a="1"/>
  <c r="T193" i="12" a="1"/>
  <c r="R113" i="12" a="1"/>
  <c r="N123" i="12" a="1"/>
  <c r="N219" i="12" a="1"/>
  <c r="S168" i="12" a="1"/>
  <c r="O213" i="12" a="1"/>
  <c r="N152" i="12" a="1"/>
  <c r="L191" i="12" a="1"/>
  <c r="L96" i="12" a="1"/>
  <c r="O82" i="12" a="1"/>
  <c r="N227" i="12" a="1"/>
  <c r="N132" i="12" a="1"/>
  <c r="R152" i="12" a="1"/>
  <c r="L147" i="12" a="1"/>
  <c r="N198" i="12" a="1"/>
  <c r="N108" i="12" a="1"/>
  <c r="R158" i="12" a="1"/>
  <c r="M162" i="12" a="1"/>
  <c r="T205" i="12" a="1"/>
  <c r="T235" i="12" a="1"/>
  <c r="T83" i="12" a="1"/>
  <c r="S191" i="12" a="1"/>
  <c r="N191" i="12" a="1"/>
  <c r="M89" i="12" a="1"/>
  <c r="O93" i="12" a="1"/>
  <c r="R195" i="12" a="1"/>
  <c r="O209" i="12" a="1"/>
  <c r="L181" i="12" a="1"/>
  <c r="N254" i="12" a="1"/>
  <c r="S141" i="12" a="1"/>
  <c r="M148" i="12" a="1"/>
  <c r="M93" i="12" a="1"/>
  <c r="Q182" i="12" a="1"/>
  <c r="S186" i="12" a="1"/>
  <c r="O202" i="12" a="1"/>
  <c r="M203" i="12" a="1"/>
  <c r="O121" i="12" a="1"/>
  <c r="N159" i="12" a="1"/>
  <c r="M127" i="12" a="1"/>
  <c r="N124" i="12" a="1"/>
  <c r="R232" i="12" a="1"/>
  <c r="T96" i="12" a="1"/>
  <c r="M230" i="12" a="1"/>
  <c r="O252" i="12" a="1"/>
  <c r="T186" i="12" a="1"/>
  <c r="S158" i="12" a="1"/>
  <c r="R229" i="12" a="1"/>
  <c r="L230" i="12" a="1"/>
  <c r="S243" i="12" a="1"/>
  <c r="L205" i="12" a="1"/>
  <c r="N111" i="12" a="1"/>
  <c r="O194" i="12" a="1"/>
  <c r="O92" i="12" a="1"/>
  <c r="T201" i="12" a="1"/>
  <c r="R155" i="12" a="1"/>
  <c r="T245" i="12" a="1"/>
  <c r="L190" i="12" a="1"/>
  <c r="O155" i="12" a="1"/>
  <c r="Q188" i="12" a="1"/>
  <c r="T192" i="12" a="1"/>
  <c r="R82" i="12" a="1"/>
  <c r="Q219" i="12" a="1"/>
  <c r="T185" i="12" a="1"/>
  <c r="N119" i="12" a="1"/>
  <c r="N135" i="12" a="1"/>
  <c r="O122" i="12" a="1"/>
  <c r="Q165" i="12" a="1"/>
  <c r="Q151" i="12" a="1"/>
  <c r="M123" i="12" a="1"/>
  <c r="N165" i="12" a="1"/>
  <c r="R134" i="12" a="1"/>
  <c r="O197" i="12" a="1"/>
  <c r="R148" i="12" a="1"/>
  <c r="O117" i="12" a="1"/>
  <c r="S166" i="12" a="1"/>
  <c r="T242" i="12" a="1"/>
  <c r="O217" i="12" a="1"/>
  <c r="O154" i="12" a="1"/>
  <c r="S113" i="12" a="1"/>
  <c r="N209" i="12" a="1"/>
  <c r="S212" i="12" a="1"/>
  <c r="Q133" i="12" a="1"/>
  <c r="S245" i="12" a="1"/>
  <c r="T154" i="12" a="1"/>
  <c r="N170" i="12" a="1"/>
  <c r="L153" i="12" a="1"/>
  <c r="R238" i="12" a="1"/>
  <c r="Q159" i="12" a="1"/>
  <c r="R197" i="12" a="1"/>
  <c r="N225" i="12" a="1"/>
  <c r="R221" i="12" a="1"/>
  <c r="T226" i="12" a="1"/>
  <c r="S242" i="12" a="1"/>
  <c r="L235" i="12" a="1"/>
  <c r="S95" i="12" a="1"/>
  <c r="S167" i="12" a="1"/>
  <c r="L200" i="12" a="1"/>
  <c r="O245" i="12" a="1"/>
  <c r="Q147" i="12" a="1"/>
  <c r="S108" i="12" a="1"/>
  <c r="T254" i="12" a="1"/>
  <c r="S111" i="12" a="1"/>
  <c r="R182" i="12" a="1"/>
  <c r="S93" i="12" a="1"/>
  <c r="T151" i="12" a="1"/>
  <c r="L164" i="12" a="1"/>
  <c r="M219" i="12" a="1"/>
  <c r="O139" i="12" a="1"/>
  <c r="Q160" i="12" a="1"/>
  <c r="M221" i="12" a="1"/>
  <c r="S97" i="12" a="1"/>
  <c r="T221" i="12" a="1"/>
  <c r="O207" i="12" a="1"/>
  <c r="M247" i="12" a="1"/>
  <c r="N234" i="12" a="1"/>
  <c r="L226" i="12" a="1"/>
  <c r="L128" i="12" a="1"/>
  <c r="R124" i="12" a="1"/>
  <c r="S189" i="12" a="1"/>
  <c r="T145" i="12" a="1"/>
  <c r="M167" i="12" a="1"/>
  <c r="R220" i="12" a="1"/>
  <c r="M161" i="12" a="1"/>
  <c r="Q89" i="12" a="1"/>
  <c r="T129" i="12" a="1"/>
  <c r="M134" i="12" a="1"/>
  <c r="T214" i="12" a="1"/>
  <c r="T115" i="12" a="1"/>
  <c r="M153" i="12" a="1"/>
  <c r="L214" i="12" a="1"/>
  <c r="M192" i="12" a="1"/>
  <c r="S210" i="12" a="1"/>
  <c r="N146" i="12" a="1"/>
  <c r="L112" i="12" a="1"/>
  <c r="M131" i="12" a="1"/>
  <c r="M97" i="12" a="1"/>
  <c r="N185" i="12" a="1"/>
  <c r="O228" i="12" a="1"/>
  <c r="O165" i="12" a="1"/>
  <c r="T227" i="12" a="1"/>
  <c r="S165" i="12" a="1"/>
  <c r="R89" i="12" a="1"/>
  <c r="O221" i="12" a="1"/>
  <c r="S150" i="12" a="1"/>
  <c r="M109" i="12" a="1"/>
  <c r="O176" i="12" a="1"/>
  <c r="O124" i="12" a="1"/>
  <c r="Q109" i="12" a="1"/>
  <c r="Q167" i="12" a="1"/>
  <c r="S188" i="12" a="1"/>
  <c r="L143" i="12" a="1"/>
  <c r="N133" i="12" a="1"/>
  <c r="R108" i="12" a="1"/>
  <c r="R242" i="12" a="1"/>
  <c r="R126" i="12" a="1"/>
  <c r="S134" i="12" a="1"/>
  <c r="S148" i="12" a="1"/>
  <c r="T251" i="12" a="1"/>
  <c r="Q122" i="12" a="1"/>
  <c r="N189" i="12" a="1"/>
  <c r="O149" i="12" a="1"/>
  <c r="T222" i="12" a="1"/>
  <c r="R150" i="12" a="1"/>
  <c r="R153" i="12" a="1"/>
  <c r="N175" i="12" a="1"/>
  <c r="O230" i="12" a="1"/>
  <c r="Q96" i="12" a="1"/>
  <c r="S238" i="12" a="1"/>
  <c r="Q174" i="12" a="1"/>
  <c r="S125" i="12" a="1"/>
  <c r="M83" i="12" a="1"/>
  <c r="S214" i="12" a="1"/>
  <c r="S118" i="12" a="1"/>
  <c r="R90" i="12" a="1"/>
  <c r="N248" i="12" a="1"/>
  <c r="M140" i="12" a="1"/>
  <c r="L165" i="12" a="1"/>
  <c r="M236" i="12" a="1"/>
  <c r="N116" i="12" a="1"/>
  <c r="S79" i="12" a="1"/>
  <c r="R96" i="12" a="1"/>
  <c r="M122" i="12" a="1"/>
  <c r="Q79" i="12" a="1"/>
  <c r="L117" i="12" a="1"/>
  <c r="Q107" i="12" a="1"/>
  <c r="T223" i="12" a="1"/>
  <c r="R128" i="12" a="1"/>
  <c r="L163" i="12" a="1"/>
  <c r="Q145" i="12" a="1"/>
  <c r="N164" i="12" a="1"/>
  <c r="T237" i="12" a="1"/>
  <c r="M196" i="12" a="1"/>
  <c r="S109" i="12" a="1"/>
  <c r="Q143" i="12" a="1"/>
  <c r="R246" i="12" a="1"/>
  <c r="S130" i="12" a="1"/>
  <c r="Q177" i="12" a="1"/>
  <c r="M226" i="12" a="1"/>
  <c r="S253" i="12" a="1"/>
  <c r="M217" i="12" a="1"/>
  <c r="O196" i="12" a="1"/>
  <c r="R215" i="12" a="1"/>
  <c r="S154" i="12" a="1"/>
  <c r="M169" i="12" a="1"/>
  <c r="N204" i="12" a="1"/>
  <c r="R139" i="12" a="1"/>
  <c r="Q213" i="12" a="1"/>
  <c r="O112" i="12" a="1"/>
  <c r="L131" i="12" a="1"/>
  <c r="L160" i="12" a="1"/>
  <c r="O106" i="12" a="1"/>
  <c r="T150" i="12" a="1"/>
  <c r="Q193" i="12" a="1"/>
  <c r="Q183" i="12" a="1"/>
  <c r="O187" i="12" a="1"/>
  <c r="S182" i="12" a="1"/>
  <c r="R235" i="12" a="1"/>
  <c r="N150" i="12" a="1"/>
  <c r="M181" i="12" a="1"/>
  <c r="O168" i="12" a="1"/>
  <c r="Q206" i="12" a="1"/>
  <c r="S161" i="12" a="1"/>
  <c r="T120" i="12" a="1"/>
  <c r="R177" i="12" a="1"/>
  <c r="Q244" i="12" a="1"/>
  <c r="S181" i="12" a="1"/>
  <c r="O164" i="12" a="1"/>
  <c r="O156" i="12" a="1"/>
  <c r="L90" i="12" a="1"/>
  <c r="Q90" i="12" a="1"/>
  <c r="R217" i="12" a="1"/>
  <c r="Q215" i="12" a="1"/>
  <c r="R118" i="12" a="1"/>
  <c r="T213" i="12" a="1"/>
  <c r="Q237" i="12" a="1"/>
  <c r="M191" i="12" a="1"/>
  <c r="L201" i="12" a="1"/>
  <c r="M114" i="12" a="1"/>
  <c r="L161" i="12" a="1"/>
  <c r="N242" i="12" a="1"/>
  <c r="R210" i="12" a="1"/>
  <c r="T176" i="12" a="1"/>
  <c r="L203" i="12" a="1"/>
  <c r="S250" i="12" a="1"/>
  <c r="M194" i="12" a="1"/>
  <c r="T249" i="12" a="1"/>
  <c r="Q88" i="12" a="1"/>
  <c r="S105" i="12" a="1"/>
  <c r="R214" i="12" a="1"/>
  <c r="N221" i="12" a="1"/>
  <c r="Q184" i="12" a="1"/>
  <c r="S94" i="12" a="1"/>
  <c r="R216" i="12" a="1"/>
  <c r="Q172" i="12" a="1"/>
  <c r="O172" i="12" a="1"/>
  <c r="M110" i="12" a="1"/>
  <c r="S137" i="12" a="1"/>
  <c r="R106" i="12" a="1"/>
  <c r="R146" i="12" a="1"/>
  <c r="O180" i="12" a="1"/>
  <c r="N139" i="12" a="1"/>
  <c r="O242" i="12" a="1"/>
  <c r="M209" i="12" a="1"/>
  <c r="T252" i="12" a="1"/>
  <c r="O163" i="12" a="1"/>
  <c r="T123" i="12" a="1"/>
  <c r="O249" i="12" a="1"/>
  <c r="R147" i="12" a="1"/>
  <c r="M246" i="12" a="1"/>
  <c r="T136" i="12" a="1"/>
  <c r="T124" i="12" a="1"/>
  <c r="N106" i="12" a="1"/>
  <c r="S201" i="12" a="1"/>
  <c r="M132" i="12" a="1"/>
  <c r="N115" i="12" a="1"/>
  <c r="N168" i="12" a="1"/>
  <c r="N213" i="12" a="1"/>
  <c r="E254" i="12" a="1"/>
  <c r="N222" i="12" a="1"/>
  <c r="O203" i="12" a="1"/>
  <c r="M227" i="12" a="1"/>
  <c r="L162" i="12" a="1"/>
  <c r="T118" i="12" a="1"/>
  <c r="M224" i="12" a="1"/>
  <c r="S176" i="12" a="1"/>
  <c r="N92" i="12" a="1"/>
  <c r="Q186" i="12" a="1"/>
  <c r="R228" i="12" a="1"/>
  <c r="S179" i="12" a="1"/>
  <c r="S206" i="12" a="1"/>
  <c r="N151" i="12" a="1"/>
  <c r="S209" i="12" a="1"/>
  <c r="T211" i="12" a="1"/>
  <c r="Q153" i="12" a="1"/>
  <c r="L175" i="12" a="1"/>
  <c r="S132" i="12" a="1"/>
  <c r="O150" i="12" a="1"/>
  <c r="T246" i="12" a="1"/>
  <c r="M146" i="12" a="1"/>
  <c r="L156" i="12" a="1"/>
  <c r="S232" i="12" a="1"/>
  <c r="N205" i="12" a="1"/>
  <c r="L139" i="12" a="1"/>
  <c r="R245" i="12" a="1"/>
  <c r="Q242" i="12" a="1"/>
  <c r="R167" i="12" a="1"/>
  <c r="S146" i="12" a="1"/>
  <c r="S229" i="12" a="1"/>
  <c r="T127" i="12" a="1"/>
  <c r="Q121" i="12" a="1"/>
  <c r="M154" i="12" a="1"/>
  <c r="R163" i="12" a="1"/>
  <c r="L115" i="12" a="1"/>
  <c r="M87" i="12" a="1"/>
  <c r="N202" i="12" a="1"/>
  <c r="T228" i="12" a="1"/>
  <c r="L109" i="12" a="1"/>
  <c r="O166" i="12" a="1"/>
  <c r="N126" i="12" a="1"/>
  <c r="O239" i="12" a="1"/>
  <c r="L125" i="12" a="1"/>
  <c r="R209" i="12" a="1"/>
  <c r="N230" i="12" a="1"/>
  <c r="N114" i="12" a="1"/>
  <c r="O188" i="12" a="1"/>
  <c r="O88" i="12" a="1"/>
  <c r="O210" i="12" a="1"/>
  <c r="S107" i="12" a="1"/>
  <c r="M245" i="12" a="1"/>
  <c r="O254" i="12" a="1"/>
  <c r="Q150" i="12" a="1"/>
  <c r="Q95" i="12" a="1"/>
  <c r="T149" i="12" a="1"/>
  <c r="R207" i="12" a="1"/>
  <c r="O220" i="12" a="1"/>
  <c r="Q236" i="12" a="1"/>
  <c r="O227" i="12" a="1"/>
  <c r="O160" i="12" a="1"/>
  <c r="M170" i="12" a="1"/>
  <c r="M135" i="12" a="1"/>
  <c r="L106" i="12" a="1"/>
  <c r="N246" i="12" a="1"/>
  <c r="T157" i="12" a="1"/>
  <c r="L236" i="12" a="1"/>
  <c r="O144" i="12" a="1"/>
  <c r="L121" i="12" a="1"/>
  <c r="M117" i="12" a="1"/>
  <c r="Q209" i="12" a="1"/>
  <c r="N253" i="12" a="1"/>
  <c r="R157" i="12" a="1"/>
  <c r="T112" i="12" a="1"/>
  <c r="M176" i="12" a="1"/>
  <c r="N208" i="12" a="1"/>
  <c r="N228" i="12" a="1"/>
  <c r="T171" i="12" a="1"/>
  <c r="T177" i="12" a="1"/>
  <c r="L172" i="12" a="1"/>
  <c r="L193" i="12" a="1"/>
  <c r="M174" i="12" a="1"/>
  <c r="R194" i="12" a="1"/>
  <c r="L93" i="12" a="1"/>
  <c r="Q190" i="12" a="1"/>
  <c r="N243" i="12" a="1"/>
  <c r="N241" i="12" a="1"/>
  <c r="S248" i="12" a="1"/>
  <c r="T180" i="12" a="1"/>
  <c r="Q161" i="12" a="1"/>
  <c r="L204" i="12" a="1"/>
  <c r="M115" i="12" a="1"/>
  <c r="S233" i="12" a="1"/>
  <c r="T92" i="12" a="1"/>
  <c r="R110" i="12" a="1"/>
  <c r="N195" i="12" a="1"/>
  <c r="R132" i="12" a="1"/>
  <c r="R202" i="12" a="1"/>
  <c r="L212" i="12" a="1"/>
  <c r="R251" i="12" a="1"/>
  <c r="L146" i="12" a="1"/>
  <c r="N120" i="12" a="1"/>
  <c r="T250" i="12" a="1"/>
  <c r="L248" i="12" a="1"/>
  <c r="O80" i="12" a="1"/>
  <c r="N252" i="12" a="1"/>
  <c r="S171" i="12" a="1"/>
  <c r="L157" i="12" a="1"/>
  <c r="T81" i="12" a="1"/>
  <c r="L116" i="12" a="1"/>
  <c r="R239" i="12" a="1"/>
  <c r="M168" i="12" a="1"/>
  <c r="L243" i="12" a="1"/>
  <c r="N83" i="12" a="1"/>
  <c r="N144" i="12" a="1"/>
  <c r="O105" i="12" a="1"/>
  <c r="L155" i="12" a="1"/>
  <c r="T166" i="12" a="1"/>
  <c r="T200" i="12" a="1"/>
  <c r="L134" i="12" a="1"/>
  <c r="O237" i="12" a="1"/>
  <c r="S124" i="12" a="1"/>
  <c r="L148" i="12" a="1"/>
  <c r="Q228" i="12" a="1"/>
  <c r="M92" i="12" a="1"/>
  <c r="S121" i="12" a="1"/>
  <c r="L176" i="12" a="1"/>
  <c r="R138" i="12" a="1"/>
  <c r="O190" i="12" a="1"/>
  <c r="Q192" i="12" a="1"/>
  <c r="M248" i="12" a="1"/>
  <c r="T229" i="12" a="1"/>
  <c r="L130" i="12" a="1"/>
  <c r="N127" i="12" a="1"/>
  <c r="L218" i="12" a="1"/>
  <c r="Q115" i="12" a="1"/>
  <c r="N174" i="12" a="1"/>
  <c r="Q168" i="12" a="1"/>
  <c r="R109" i="12" a="1"/>
  <c r="S129" i="12" a="1"/>
  <c r="L238" i="12" a="1"/>
  <c r="R247" i="12" a="1"/>
  <c r="L221" i="12" a="1"/>
  <c r="T107" i="12" a="1"/>
  <c r="T153" i="12" a="1"/>
  <c r="S184" i="12" a="1"/>
  <c r="M237" i="12" a="1"/>
  <c r="Q221" i="12" a="1"/>
  <c r="S115" i="12" a="1"/>
  <c r="S128" i="12" a="1"/>
  <c r="T178" i="12" a="1"/>
  <c r="R212" i="12" a="1"/>
  <c r="N128" i="12" a="1"/>
  <c r="O109" i="12" a="1"/>
  <c r="M178" i="12" a="1"/>
  <c r="N166" i="12" a="1"/>
  <c r="Q132" i="12" a="1"/>
  <c r="O246" i="12" a="1"/>
  <c r="M241" i="12" a="1"/>
  <c r="T240" i="12" a="1"/>
  <c r="Q225" i="12" a="1"/>
  <c r="S194" i="12" a="1"/>
  <c r="M225" i="12" a="1"/>
  <c r="T194" i="12" a="1"/>
  <c r="M118" i="12" a="1"/>
  <c r="T142" i="12" a="1"/>
  <c r="M228" i="12" a="1"/>
  <c r="R105" i="12" a="1"/>
  <c r="O107" i="12" a="1"/>
  <c r="N194" i="12" a="1"/>
  <c r="Q198" i="12" a="1"/>
  <c r="Q155" i="12" a="1"/>
  <c r="L254" i="12" a="1"/>
  <c r="N130" i="12" a="1"/>
  <c r="Q157" i="12" a="1"/>
  <c r="T173" i="12" a="1"/>
  <c r="O151" i="12" a="1"/>
  <c r="O158" i="12" a="1"/>
  <c r="N158" i="12" a="1"/>
  <c r="T144" i="12" a="1"/>
  <c r="O81" i="12" a="1"/>
  <c r="T189" i="12" a="1"/>
  <c r="Q176" i="12" a="1"/>
  <c r="T130" i="12" a="1"/>
  <c r="M121" i="12" a="1"/>
  <c r="O226" i="12" a="1"/>
  <c r="N93" i="12" a="1"/>
  <c r="N149" i="12" a="1"/>
  <c r="N134" i="12" a="1"/>
  <c r="Q185" i="12" a="1"/>
  <c r="R233" i="12" a="1"/>
  <c r="S80" i="12" a="1"/>
  <c r="N156" i="12" a="1"/>
  <c r="T231" i="12" a="1"/>
  <c r="N201" i="12" a="1"/>
  <c r="O233" i="12" a="1"/>
  <c r="L83" i="12" a="1"/>
  <c r="R127" i="12" a="1"/>
  <c r="R181" i="12" a="1"/>
  <c r="M211" i="12" a="1"/>
  <c r="Q120" i="12" a="1"/>
  <c r="O161" i="12" a="1"/>
  <c r="L195" i="12" a="1"/>
  <c r="O204" i="12" a="1"/>
  <c r="M136" i="12" a="1"/>
  <c r="T175" i="12" a="1"/>
  <c r="N238" i="12" a="1"/>
  <c r="M183" i="12" a="1"/>
  <c r="T182" i="12" a="1"/>
  <c r="L111" i="12" a="1"/>
  <c r="S203" i="12" a="1"/>
  <c r="M235" i="12" a="1"/>
  <c r="L114" i="12" a="1"/>
  <c r="T160" i="12" a="1"/>
  <c r="R198" i="12" a="1"/>
  <c r="T181" i="12" a="1"/>
  <c r="M173" i="12" a="1"/>
  <c r="L92" i="12" a="1"/>
  <c r="R174" i="12" a="1"/>
  <c r="L174" i="12" a="1"/>
  <c r="T94" i="12" a="1"/>
  <c r="R136" i="12" a="1"/>
  <c r="N117" i="12" a="1"/>
  <c r="T219" i="12" a="1"/>
  <c r="S112" i="12" a="1"/>
  <c r="T206" i="12" a="1"/>
  <c r="Q200" i="12" a="1"/>
  <c r="O79" i="12" a="1"/>
  <c r="L132" i="12" a="1"/>
  <c r="R253" i="12" a="1"/>
  <c r="M155" i="12" a="1"/>
  <c r="O222" i="12" a="1"/>
  <c r="Q194" i="12" a="1"/>
  <c r="M141" i="12" a="1"/>
  <c r="M113" i="12" a="1"/>
  <c r="M108" i="12" a="1"/>
  <c r="O96" i="12" a="1"/>
  <c r="O229" i="12" a="1"/>
  <c r="N224" i="12" a="1"/>
  <c r="T243" i="12" a="1"/>
  <c r="O157" i="12" a="1"/>
  <c r="M233" i="12" a="1"/>
  <c r="R144" i="12" a="1"/>
  <c r="N216" i="12" a="1"/>
  <c r="R224" i="12" a="1"/>
  <c r="Q127" i="12" a="1"/>
  <c r="R196" i="12" a="1"/>
  <c r="O83" i="12" a="1"/>
  <c r="N200" i="12" a="1"/>
  <c r="T111" i="12" a="1"/>
  <c r="Q164" i="12" a="1"/>
  <c r="N167" i="12" a="1"/>
  <c r="S144" i="12" a="1"/>
  <c r="L179" i="12" a="1"/>
  <c r="Q170" i="12" a="1"/>
  <c r="N141" i="12" a="1"/>
  <c r="O208" i="12" a="1"/>
  <c r="R184" i="12" a="1"/>
  <c r="O115" i="12" a="1"/>
  <c r="N136" i="12" a="1"/>
  <c r="O170" i="12" a="1"/>
  <c r="Q138" i="12" a="1"/>
  <c r="Q119" i="12" a="1"/>
  <c r="M184" i="12" a="1"/>
  <c r="M126" i="12" a="1"/>
  <c r="N244" i="12" a="1"/>
  <c r="M223" i="12" a="1"/>
  <c r="T121" i="12" a="1"/>
  <c r="Q239" i="12" a="1"/>
  <c r="T179" i="12" a="1"/>
  <c r="N193" i="12" a="1"/>
  <c r="T184" i="12" a="1"/>
  <c r="T139" i="12" a="1"/>
  <c r="S120" i="12" a="1"/>
  <c r="Q81" i="12" a="1"/>
  <c r="S143" i="12" a="1"/>
  <c r="Q137" i="12" a="1"/>
  <c r="T113" i="12" a="1"/>
  <c r="S205" i="12" a="1"/>
  <c r="S174" i="12" a="1"/>
  <c r="L211" i="12" a="1"/>
  <c r="R93" i="12" a="1"/>
  <c r="M151" i="12" a="1"/>
  <c r="L80" i="12" a="1"/>
  <c r="Q111" i="12" a="1"/>
  <c r="R116" i="12" a="1"/>
  <c r="L137" i="12" a="1"/>
  <c r="T244" i="12" a="1"/>
  <c r="T234" i="12" a="1"/>
  <c r="M187" i="12" a="1"/>
  <c r="S91" i="12" a="1"/>
  <c r="R191" i="12" a="1"/>
  <c r="O110" i="12" a="1"/>
  <c r="O90" i="12" a="1"/>
  <c r="L150" i="12" a="1"/>
  <c r="L213" i="12" a="1"/>
  <c r="M137" i="12" a="1"/>
  <c r="M185" i="12" a="1"/>
  <c r="O147" i="12" a="1"/>
  <c r="O97" i="12" a="1"/>
  <c r="O140" i="12" a="1"/>
  <c r="N97" i="12" a="1"/>
  <c r="N91" i="12" a="1"/>
  <c r="Q224" i="12" a="1"/>
  <c r="O138" i="12" a="1"/>
  <c r="M143" i="12" a="1"/>
  <c r="M116" i="12" a="1"/>
  <c r="S183" i="12" a="1"/>
  <c r="N196" i="12" a="1"/>
  <c r="S163" i="12" a="1"/>
  <c r="R201" i="12" a="1"/>
  <c r="O108" i="12" a="1"/>
  <c r="T248" i="12" a="1"/>
  <c r="Q114" i="12" a="1"/>
  <c r="T225" i="12" a="1"/>
  <c r="M180" i="12" a="1"/>
  <c r="O201" i="12" a="1"/>
  <c r="R166" i="12" a="1"/>
  <c r="L233" i="12" a="1"/>
  <c r="O219" i="12" a="1"/>
  <c r="N137" i="12" a="1"/>
  <c r="S147" i="12" a="1"/>
  <c r="N81" i="12" a="1"/>
  <c r="L249" i="12" a="1"/>
  <c r="R123" i="12" a="1"/>
  <c r="T198" i="12" a="1"/>
  <c r="Q250" i="12" a="1"/>
  <c r="Q203" i="12" a="1"/>
  <c r="M197" i="12" a="1"/>
  <c r="T128" i="12" a="1"/>
  <c r="Q211" i="12" a="1"/>
  <c r="S90" i="12" a="1"/>
  <c r="N214" i="12" a="1"/>
  <c r="N181" i="12" a="1"/>
  <c r="N186" i="12" a="1"/>
  <c r="S208" i="12" a="1"/>
  <c r="N88" i="12" a="1"/>
  <c r="S185" i="12" a="1"/>
  <c r="T169" i="12" a="1"/>
  <c r="R112" i="12" a="1"/>
  <c r="T190" i="12" a="1"/>
  <c r="S247" i="12" a="1"/>
  <c r="N206" i="12" a="1"/>
  <c r="T196" i="12" a="1"/>
  <c r="O224" i="12" a="1"/>
  <c r="R185" i="12" a="1"/>
  <c r="T132" i="12" a="1"/>
  <c r="Q208" i="12" a="1"/>
  <c r="N232" i="12" a="1"/>
  <c r="L87" i="12" a="1"/>
  <c r="T95" i="12" a="1"/>
  <c r="Q80" i="12" a="1"/>
  <c r="M96" i="12" a="1"/>
  <c r="L97" i="12" a="1"/>
  <c r="Q240" i="12" a="1"/>
  <c r="M177" i="12" a="1"/>
  <c r="O145" i="12" a="1"/>
  <c r="S180" i="12" a="1"/>
  <c r="M239" i="12" a="1"/>
  <c r="N161" i="12" a="1"/>
  <c r="M164" i="12" a="1"/>
  <c r="S175" i="12" a="1"/>
  <c r="O232" i="12" a="1"/>
  <c r="S190" i="12" a="1"/>
  <c r="R186" i="12" a="1"/>
  <c r="M251" i="12" a="1"/>
  <c r="Q232" i="12" a="1"/>
  <c r="N122" i="12" a="1"/>
  <c r="M195" i="12" a="1"/>
  <c r="M130" i="12" a="1"/>
  <c r="N143" i="12" a="1"/>
  <c r="S162" i="12" a="1"/>
  <c r="R226" i="12" a="1"/>
  <c r="S239" i="12" a="1"/>
  <c r="Q235" i="12" a="1"/>
  <c r="M79" i="12" a="1"/>
  <c r="L167" i="12" a="1"/>
  <c r="S160" i="12" a="1"/>
  <c r="S228" i="12" a="1"/>
  <c r="M179" i="12" a="1"/>
  <c r="Q92" i="12" a="1"/>
  <c r="L237" i="12" a="1"/>
  <c r="S234" i="12" a="1"/>
  <c r="Q116" i="12" a="1"/>
  <c r="M186" i="12" a="1"/>
  <c r="N113" i="12" a="1"/>
  <c r="Q197" i="12" a="1"/>
  <c r="T216" i="12" a="1"/>
  <c r="O236" i="12" a="1"/>
  <c r="O134" i="12" a="1"/>
  <c r="Q175" i="12" a="1"/>
  <c r="T191" i="12" a="1"/>
  <c r="Q210" i="12" a="1"/>
  <c r="S235" i="12" a="1"/>
  <c r="Q205" i="12" a="1"/>
  <c r="N183" i="12" a="1"/>
  <c r="Q140" i="12" a="1"/>
  <c r="O177" i="12" a="1"/>
  <c r="L158" i="12" a="1"/>
  <c r="L206" i="12" a="1"/>
  <c r="R162" i="12" a="1"/>
  <c r="T174" i="12" a="1"/>
  <c r="S211" i="12" a="1"/>
  <c r="S170" i="12" a="1"/>
  <c r="N160" i="12" a="1"/>
  <c r="O186" i="12" a="1"/>
  <c r="T195" i="12" a="1"/>
  <c r="M201" i="12" a="1"/>
  <c r="M202" i="12" a="1"/>
  <c r="Q117" i="12" a="1"/>
  <c r="Q234" i="12" a="1"/>
  <c r="Q246" i="12" a="1"/>
  <c r="S114" i="12" a="1"/>
  <c r="N80" i="12" a="1"/>
  <c r="L95" i="12" a="1"/>
  <c r="O225" i="12" a="1"/>
  <c r="L252" i="12" a="1"/>
  <c r="Q152" i="12" a="1"/>
  <c r="L104" i="12" l="1"/>
  <c r="M104" i="12"/>
  <c r="N104" i="12"/>
  <c r="O104" i="12"/>
  <c r="Q104" i="12"/>
  <c r="R104" i="12"/>
  <c r="S104" i="12"/>
  <c r="T104" i="12"/>
  <c r="T103" i="12"/>
  <c r="L103" i="12"/>
  <c r="M103" i="12"/>
  <c r="N103" i="12"/>
  <c r="O103" i="12"/>
  <c r="Q103" i="12"/>
  <c r="R103" i="12"/>
  <c r="S103" i="12"/>
  <c r="S102" i="12"/>
  <c r="T102" i="12"/>
  <c r="L102" i="12"/>
  <c r="M102" i="12"/>
  <c r="N102" i="12"/>
  <c r="O102" i="12"/>
  <c r="Q102" i="12"/>
  <c r="R102" i="12"/>
  <c r="R101" i="12"/>
  <c r="S101" i="12"/>
  <c r="T101" i="12"/>
  <c r="L101" i="12"/>
  <c r="M101" i="12"/>
  <c r="N101" i="12"/>
  <c r="O101" i="12"/>
  <c r="Q101" i="12"/>
  <c r="Q100" i="12"/>
  <c r="S100" i="12"/>
  <c r="R100" i="12"/>
  <c r="T100" i="12"/>
  <c r="L100" i="12"/>
  <c r="M100" i="12"/>
  <c r="N100" i="12"/>
  <c r="O100" i="12"/>
  <c r="Q99" i="12"/>
  <c r="R99" i="12"/>
  <c r="S99" i="12"/>
  <c r="T99" i="12"/>
  <c r="L99" i="12"/>
  <c r="M99" i="12"/>
  <c r="N99" i="12"/>
  <c r="O99" i="12"/>
  <c r="O98" i="12"/>
  <c r="Q98" i="12"/>
  <c r="R98" i="12"/>
  <c r="S98" i="12"/>
  <c r="T98" i="12"/>
  <c r="L98" i="12"/>
  <c r="M98" i="12"/>
  <c r="N98" i="12"/>
  <c r="L86" i="12"/>
  <c r="M86" i="12"/>
  <c r="N86" i="12"/>
  <c r="O86" i="12"/>
  <c r="Q86" i="12"/>
  <c r="R86" i="12"/>
  <c r="S86" i="12"/>
  <c r="T86" i="12"/>
  <c r="S84" i="12"/>
  <c r="T84" i="12"/>
  <c r="L84" i="12"/>
  <c r="M84" i="12"/>
  <c r="N84" i="12"/>
  <c r="O84" i="12"/>
  <c r="Q84" i="12"/>
  <c r="R84" i="12"/>
  <c r="T85" i="12"/>
  <c r="L85" i="12"/>
  <c r="M85" i="12"/>
  <c r="N85" i="12"/>
  <c r="O85" i="12"/>
  <c r="Q85" i="12"/>
  <c r="R85" i="12"/>
  <c r="S85" i="12"/>
  <c r="M215" i="12"/>
  <c r="N215" i="12"/>
  <c r="O215" i="12"/>
  <c r="Q215" i="12"/>
  <c r="R215" i="12"/>
  <c r="S215" i="12"/>
  <c r="T215" i="12"/>
  <c r="L215" i="12"/>
  <c r="Q209" i="12"/>
  <c r="R209" i="12"/>
  <c r="S209" i="12"/>
  <c r="T209" i="12"/>
  <c r="L209" i="12"/>
  <c r="M209" i="12"/>
  <c r="N209" i="12"/>
  <c r="O209" i="12"/>
  <c r="L171" i="12"/>
  <c r="M171" i="12"/>
  <c r="N171" i="12"/>
  <c r="O171" i="12"/>
  <c r="Q171" i="12"/>
  <c r="R171" i="12"/>
  <c r="S171" i="12"/>
  <c r="T171" i="12"/>
  <c r="T82" i="12"/>
  <c r="S82" i="12"/>
  <c r="O82" i="12"/>
  <c r="N82" i="12"/>
  <c r="Q82" i="12"/>
  <c r="R82" i="12"/>
  <c r="M82" i="12"/>
  <c r="L82" i="12"/>
  <c r="S81" i="12"/>
  <c r="L81" i="12"/>
  <c r="R81" i="12"/>
  <c r="N81" i="12"/>
  <c r="M81" i="12"/>
  <c r="T81" i="12"/>
  <c r="O81" i="12"/>
  <c r="Q81" i="12"/>
  <c r="R80" i="12"/>
  <c r="L80" i="12"/>
  <c r="S80" i="12"/>
  <c r="N80" i="12"/>
  <c r="T80" i="12"/>
  <c r="Q80" i="12"/>
  <c r="O80" i="12"/>
  <c r="M80" i="12"/>
  <c r="Q79" i="12"/>
  <c r="S79" i="12"/>
  <c r="R79" i="12"/>
  <c r="L79" i="12"/>
  <c r="T79" i="12"/>
  <c r="O79" i="12"/>
  <c r="N79" i="12"/>
  <c r="M79" i="12"/>
  <c r="T243" i="12"/>
  <c r="M243" i="12"/>
  <c r="N243" i="12"/>
  <c r="Q243" i="12"/>
  <c r="L243" i="12"/>
  <c r="S243" i="12"/>
  <c r="O243" i="12"/>
  <c r="R243" i="12"/>
  <c r="L213" i="12"/>
  <c r="S213" i="12"/>
  <c r="O213" i="12"/>
  <c r="M213" i="12"/>
  <c r="T213" i="12"/>
  <c r="R213" i="12"/>
  <c r="N213" i="12"/>
  <c r="Q213" i="12"/>
  <c r="L196" i="12"/>
  <c r="M196" i="12"/>
  <c r="O196" i="12"/>
  <c r="R196" i="12"/>
  <c r="S196" i="12"/>
  <c r="T196" i="12"/>
  <c r="N196" i="12"/>
  <c r="Q196" i="12"/>
  <c r="R176" i="12"/>
  <c r="L176" i="12"/>
  <c r="M176" i="12"/>
  <c r="O176" i="12"/>
  <c r="S176" i="12"/>
  <c r="T176" i="12"/>
  <c r="N176" i="12"/>
  <c r="Q176" i="12"/>
  <c r="S157" i="12"/>
  <c r="T157" i="12"/>
  <c r="O157" i="12"/>
  <c r="L157" i="12"/>
  <c r="R157" i="12"/>
  <c r="M157" i="12"/>
  <c r="N157" i="12"/>
  <c r="Q157" i="12"/>
  <c r="S137" i="12"/>
  <c r="M137" i="12"/>
  <c r="R137" i="12"/>
  <c r="L137" i="12"/>
  <c r="O137" i="12"/>
  <c r="T137" i="12"/>
  <c r="N137" i="12"/>
  <c r="Q137" i="12"/>
  <c r="N117" i="12"/>
  <c r="R117" i="12"/>
  <c r="S117" i="12"/>
  <c r="L117" i="12"/>
  <c r="M117" i="12"/>
  <c r="O117" i="12"/>
  <c r="Q117" i="12"/>
  <c r="T117" i="12"/>
  <c r="L242" i="12"/>
  <c r="T242" i="12"/>
  <c r="S242" i="12"/>
  <c r="M242" i="12"/>
  <c r="R242" i="12"/>
  <c r="O242" i="12"/>
  <c r="N242" i="12"/>
  <c r="Q242" i="12"/>
  <c r="L212" i="12"/>
  <c r="N212" i="12"/>
  <c r="R212" i="12"/>
  <c r="T212" i="12"/>
  <c r="S212" i="12"/>
  <c r="Q212" i="12"/>
  <c r="O212" i="12"/>
  <c r="M212" i="12"/>
  <c r="L195" i="12"/>
  <c r="O195" i="12"/>
  <c r="T195" i="12"/>
  <c r="N195" i="12"/>
  <c r="Q195" i="12"/>
  <c r="S195" i="12"/>
  <c r="R195" i="12"/>
  <c r="M195" i="12"/>
  <c r="S175" i="12"/>
  <c r="L175" i="12"/>
  <c r="O175" i="12"/>
  <c r="N175" i="12"/>
  <c r="Q175" i="12"/>
  <c r="R175" i="12"/>
  <c r="T175" i="12"/>
  <c r="M175" i="12"/>
  <c r="O156" i="12"/>
  <c r="R156" i="12"/>
  <c r="T156" i="12"/>
  <c r="N156" i="12"/>
  <c r="S156" i="12"/>
  <c r="L156" i="12"/>
  <c r="Q156" i="12"/>
  <c r="M156" i="12"/>
  <c r="S136" i="12"/>
  <c r="R136" i="12"/>
  <c r="Q136" i="12"/>
  <c r="T136" i="12"/>
  <c r="L136" i="12"/>
  <c r="N136" i="12"/>
  <c r="O136" i="12"/>
  <c r="M136" i="12"/>
  <c r="O116" i="12"/>
  <c r="R116" i="12"/>
  <c r="L116" i="12"/>
  <c r="Q116" i="12"/>
  <c r="S116" i="12"/>
  <c r="T116" i="12"/>
  <c r="M116" i="12"/>
  <c r="N116" i="12"/>
  <c r="L97" i="12"/>
  <c r="N97" i="12"/>
  <c r="O97" i="12"/>
  <c r="M97" i="12"/>
  <c r="Q97" i="12"/>
  <c r="S97" i="12"/>
  <c r="T97" i="12"/>
  <c r="R97" i="12"/>
  <c r="M240" i="12"/>
  <c r="Q240" i="12"/>
  <c r="R240" i="12"/>
  <c r="S240" i="12"/>
  <c r="T240" i="12"/>
  <c r="N240" i="12"/>
  <c r="L240" i="12"/>
  <c r="O240" i="12"/>
  <c r="S210" i="12"/>
  <c r="T210" i="12"/>
  <c r="R210" i="12"/>
  <c r="M210" i="12"/>
  <c r="Q210" i="12"/>
  <c r="L210" i="12"/>
  <c r="O210" i="12"/>
  <c r="N210" i="12"/>
  <c r="O193" i="12"/>
  <c r="R193" i="12"/>
  <c r="S193" i="12"/>
  <c r="T193" i="12"/>
  <c r="L193" i="12"/>
  <c r="Q193" i="12"/>
  <c r="M193" i="12"/>
  <c r="N193" i="12"/>
  <c r="O173" i="12"/>
  <c r="Q173" i="12"/>
  <c r="T173" i="12"/>
  <c r="S173" i="12"/>
  <c r="L173" i="12"/>
  <c r="M173" i="12"/>
  <c r="R173" i="12"/>
  <c r="N173" i="12"/>
  <c r="L154" i="12"/>
  <c r="O154" i="12"/>
  <c r="M154" i="12"/>
  <c r="Q154" i="12"/>
  <c r="T154" i="12"/>
  <c r="S154" i="12"/>
  <c r="R154" i="12"/>
  <c r="N154" i="12"/>
  <c r="S134" i="12"/>
  <c r="O134" i="12"/>
  <c r="Q134" i="12"/>
  <c r="R134" i="12"/>
  <c r="L134" i="12"/>
  <c r="M134" i="12"/>
  <c r="T134" i="12"/>
  <c r="N134" i="12"/>
  <c r="M114" i="12"/>
  <c r="O114" i="12"/>
  <c r="S114" i="12"/>
  <c r="Q114" i="12"/>
  <c r="N114" i="12"/>
  <c r="R114" i="12"/>
  <c r="T114" i="12"/>
  <c r="L114" i="12"/>
  <c r="O95" i="12"/>
  <c r="R95" i="12"/>
  <c r="N95" i="12"/>
  <c r="T95" i="12"/>
  <c r="S95" i="12"/>
  <c r="M95" i="12"/>
  <c r="L95" i="12"/>
  <c r="Q95" i="12"/>
  <c r="M235" i="12"/>
  <c r="N235" i="12"/>
  <c r="S235" i="12"/>
  <c r="L235" i="12"/>
  <c r="R235" i="12"/>
  <c r="O235" i="12"/>
  <c r="Q235" i="12"/>
  <c r="T235" i="12"/>
  <c r="M204" i="12"/>
  <c r="R204" i="12"/>
  <c r="O204" i="12"/>
  <c r="Q204" i="12"/>
  <c r="N204" i="12"/>
  <c r="T204" i="12"/>
  <c r="L204" i="12"/>
  <c r="S204" i="12"/>
  <c r="T188" i="12"/>
  <c r="Q188" i="12"/>
  <c r="R188" i="12"/>
  <c r="M188" i="12"/>
  <c r="O188" i="12"/>
  <c r="L188" i="12"/>
  <c r="N188" i="12"/>
  <c r="S188" i="12"/>
  <c r="M169" i="12"/>
  <c r="O169" i="12"/>
  <c r="L169" i="12"/>
  <c r="N169" i="12"/>
  <c r="R169" i="12"/>
  <c r="Q169" i="12"/>
  <c r="T169" i="12"/>
  <c r="S169" i="12"/>
  <c r="O149" i="12"/>
  <c r="Q149" i="12"/>
  <c r="T149" i="12"/>
  <c r="L149" i="12"/>
  <c r="M149" i="12"/>
  <c r="N149" i="12"/>
  <c r="R149" i="12"/>
  <c r="S149" i="12"/>
  <c r="N129" i="12"/>
  <c r="L129" i="12"/>
  <c r="M129" i="12"/>
  <c r="R129" i="12"/>
  <c r="T129" i="12"/>
  <c r="Q129" i="12"/>
  <c r="O129" i="12"/>
  <c r="S129" i="12"/>
  <c r="R109" i="12"/>
  <c r="S109" i="12"/>
  <c r="O109" i="12"/>
  <c r="L109" i="12"/>
  <c r="Q109" i="12"/>
  <c r="T109" i="12"/>
  <c r="M109" i="12"/>
  <c r="N109" i="12"/>
  <c r="S90" i="12"/>
  <c r="L90" i="12"/>
  <c r="M90" i="12"/>
  <c r="Q90" i="12"/>
  <c r="N90" i="12"/>
  <c r="R90" i="12"/>
  <c r="T90" i="12"/>
  <c r="O90" i="12"/>
  <c r="Q244" i="12"/>
  <c r="M244" i="12"/>
  <c r="N244" i="12"/>
  <c r="R244" i="12"/>
  <c r="T244" i="12"/>
  <c r="L244" i="12"/>
  <c r="O244" i="12"/>
  <c r="S244" i="12"/>
  <c r="Q225" i="12"/>
  <c r="R225" i="12"/>
  <c r="N225" i="12"/>
  <c r="M225" i="12"/>
  <c r="L225" i="12"/>
  <c r="O225" i="12"/>
  <c r="T225" i="12"/>
  <c r="S225" i="12"/>
  <c r="N214" i="12"/>
  <c r="L214" i="12"/>
  <c r="M214" i="12"/>
  <c r="Q214" i="12"/>
  <c r="S214" i="12"/>
  <c r="T214" i="12"/>
  <c r="O214" i="12"/>
  <c r="R214" i="12"/>
  <c r="Q197" i="12"/>
  <c r="S197" i="12"/>
  <c r="L197" i="12"/>
  <c r="T197" i="12"/>
  <c r="M197" i="12"/>
  <c r="N197" i="12"/>
  <c r="O197" i="12"/>
  <c r="R197" i="12"/>
  <c r="S177" i="12"/>
  <c r="T177" i="12"/>
  <c r="Q177" i="12"/>
  <c r="N177" i="12"/>
  <c r="L177" i="12"/>
  <c r="M177" i="12"/>
  <c r="O177" i="12"/>
  <c r="R177" i="12"/>
  <c r="M158" i="12"/>
  <c r="Q158" i="12"/>
  <c r="N158" i="12"/>
  <c r="L158" i="12"/>
  <c r="S158" i="12"/>
  <c r="T158" i="12"/>
  <c r="O158" i="12"/>
  <c r="R158" i="12"/>
  <c r="M138" i="12"/>
  <c r="S138" i="12"/>
  <c r="L138" i="12"/>
  <c r="N138" i="12"/>
  <c r="Q138" i="12"/>
  <c r="T138" i="12"/>
  <c r="O138" i="12"/>
  <c r="R138" i="12"/>
  <c r="Q118" i="12"/>
  <c r="L118" i="12"/>
  <c r="M118" i="12"/>
  <c r="N118" i="12"/>
  <c r="O118" i="12"/>
  <c r="T118" i="12"/>
  <c r="R118" i="12"/>
  <c r="S118" i="12"/>
  <c r="O239" i="12"/>
  <c r="T239" i="12"/>
  <c r="M239" i="12"/>
  <c r="Q239" i="12"/>
  <c r="R239" i="12"/>
  <c r="L239" i="12"/>
  <c r="S239" i="12"/>
  <c r="N239" i="12"/>
  <c r="N208" i="12"/>
  <c r="S208" i="12"/>
  <c r="L208" i="12"/>
  <c r="O208" i="12"/>
  <c r="Q208" i="12"/>
  <c r="R208" i="12"/>
  <c r="T208" i="12"/>
  <c r="M208" i="12"/>
  <c r="Q192" i="12"/>
  <c r="S192" i="12"/>
  <c r="L192" i="12"/>
  <c r="R192" i="12"/>
  <c r="O192" i="12"/>
  <c r="N192" i="12"/>
  <c r="T192" i="12"/>
  <c r="M192" i="12"/>
  <c r="O172" i="12"/>
  <c r="L172" i="12"/>
  <c r="Q172" i="12"/>
  <c r="R172" i="12"/>
  <c r="S172" i="12"/>
  <c r="N172" i="12"/>
  <c r="T172" i="12"/>
  <c r="M172" i="12"/>
  <c r="L153" i="12"/>
  <c r="N153" i="12"/>
  <c r="S153" i="12"/>
  <c r="Q153" i="12"/>
  <c r="R153" i="12"/>
  <c r="O153" i="12"/>
  <c r="T153" i="12"/>
  <c r="M153" i="12"/>
  <c r="N133" i="12"/>
  <c r="Q133" i="12"/>
  <c r="L133" i="12"/>
  <c r="S133" i="12"/>
  <c r="O133" i="12"/>
  <c r="R133" i="12"/>
  <c r="T133" i="12"/>
  <c r="M133" i="12"/>
  <c r="N113" i="12"/>
  <c r="M113" i="12"/>
  <c r="L113" i="12"/>
  <c r="O113" i="12"/>
  <c r="R113" i="12"/>
  <c r="Q113" i="12"/>
  <c r="S113" i="12"/>
  <c r="T113" i="12"/>
  <c r="M94" i="12"/>
  <c r="L94" i="12"/>
  <c r="R94" i="12"/>
  <c r="S94" i="12"/>
  <c r="N94" i="12"/>
  <c r="Q94" i="12"/>
  <c r="T94" i="12"/>
  <c r="O94" i="12"/>
  <c r="N238" i="12"/>
  <c r="L238" i="12"/>
  <c r="R238" i="12"/>
  <c r="S238" i="12"/>
  <c r="O238" i="12"/>
  <c r="Q238" i="12"/>
  <c r="T238" i="12"/>
  <c r="M238" i="12"/>
  <c r="Q207" i="12"/>
  <c r="T207" i="12"/>
  <c r="M207" i="12"/>
  <c r="N207" i="12"/>
  <c r="O207" i="12"/>
  <c r="R207" i="12"/>
  <c r="S207" i="12"/>
  <c r="L207" i="12"/>
  <c r="M191" i="12"/>
  <c r="N191" i="12"/>
  <c r="R191" i="12"/>
  <c r="O191" i="12"/>
  <c r="Q191" i="12"/>
  <c r="T191" i="12"/>
  <c r="S191" i="12"/>
  <c r="L191" i="12"/>
  <c r="R152" i="12"/>
  <c r="O152" i="12"/>
  <c r="M152" i="12"/>
  <c r="T152" i="12"/>
  <c r="Q152" i="12"/>
  <c r="N152" i="12"/>
  <c r="S152" i="12"/>
  <c r="L152" i="12"/>
  <c r="R132" i="12"/>
  <c r="M132" i="12"/>
  <c r="N132" i="12"/>
  <c r="Q132" i="12"/>
  <c r="T132" i="12"/>
  <c r="O132" i="12"/>
  <c r="S132" i="12"/>
  <c r="L132" i="12"/>
  <c r="Q112" i="12"/>
  <c r="R112" i="12"/>
  <c r="T112" i="12"/>
  <c r="L112" i="12"/>
  <c r="M112" i="12"/>
  <c r="N112" i="12"/>
  <c r="O112" i="12"/>
  <c r="S112" i="12"/>
  <c r="S93" i="12"/>
  <c r="T93" i="12"/>
  <c r="L93" i="12"/>
  <c r="Q93" i="12"/>
  <c r="R93" i="12"/>
  <c r="M93" i="12"/>
  <c r="O93" i="12"/>
  <c r="N93" i="12"/>
  <c r="T237" i="12"/>
  <c r="M237" i="12"/>
  <c r="Q237" i="12"/>
  <c r="R237" i="12"/>
  <c r="N237" i="12"/>
  <c r="O237" i="12"/>
  <c r="S237" i="12"/>
  <c r="L237" i="12"/>
  <c r="R248" i="12"/>
  <c r="O248" i="12"/>
  <c r="Q248" i="12"/>
  <c r="L248" i="12"/>
  <c r="S248" i="12"/>
  <c r="N248" i="12"/>
  <c r="T248" i="12"/>
  <c r="M248" i="12"/>
  <c r="N229" i="12"/>
  <c r="O229" i="12"/>
  <c r="L229" i="12"/>
  <c r="S229" i="12"/>
  <c r="Q229" i="12"/>
  <c r="R229" i="12"/>
  <c r="T229" i="12"/>
  <c r="M229" i="12"/>
  <c r="R219" i="12"/>
  <c r="N219" i="12"/>
  <c r="O219" i="12"/>
  <c r="T219" i="12"/>
  <c r="M219" i="12"/>
  <c r="Q219" i="12"/>
  <c r="S219" i="12"/>
  <c r="L219" i="12"/>
  <c r="N201" i="12"/>
  <c r="M201" i="12"/>
  <c r="O201" i="12"/>
  <c r="Q201" i="12"/>
  <c r="T201" i="12"/>
  <c r="R201" i="12"/>
  <c r="S201" i="12"/>
  <c r="L201" i="12"/>
  <c r="Q181" i="12"/>
  <c r="M181" i="12"/>
  <c r="O181" i="12"/>
  <c r="R181" i="12"/>
  <c r="T181" i="12"/>
  <c r="N181" i="12"/>
  <c r="S181" i="12"/>
  <c r="L181" i="12"/>
  <c r="T162" i="12"/>
  <c r="Q162" i="12"/>
  <c r="R162" i="12"/>
  <c r="N162" i="12"/>
  <c r="O162" i="12"/>
  <c r="M162" i="12"/>
  <c r="S162" i="12"/>
  <c r="L162" i="12"/>
  <c r="N142" i="12"/>
  <c r="T142" i="12"/>
  <c r="M142" i="12"/>
  <c r="Q142" i="12"/>
  <c r="R142" i="12"/>
  <c r="O142" i="12"/>
  <c r="S142" i="12"/>
  <c r="L142" i="12"/>
  <c r="M122" i="12"/>
  <c r="Q122" i="12"/>
  <c r="S122" i="12"/>
  <c r="O122" i="12"/>
  <c r="R122" i="12"/>
  <c r="N122" i="12"/>
  <c r="T122" i="12"/>
  <c r="L122" i="12"/>
  <c r="N245" i="12"/>
  <c r="O245" i="12"/>
  <c r="R245" i="12"/>
  <c r="S245" i="12"/>
  <c r="L245" i="12"/>
  <c r="M245" i="12"/>
  <c r="Q245" i="12"/>
  <c r="T245" i="12"/>
  <c r="R226" i="12"/>
  <c r="M226" i="12"/>
  <c r="N226" i="12"/>
  <c r="O226" i="12"/>
  <c r="S226" i="12"/>
  <c r="L226" i="12"/>
  <c r="Q226" i="12"/>
  <c r="T226" i="12"/>
  <c r="R216" i="12"/>
  <c r="L216" i="12"/>
  <c r="Q216" i="12"/>
  <c r="M216" i="12"/>
  <c r="O216" i="12"/>
  <c r="T216" i="12"/>
  <c r="N216" i="12"/>
  <c r="S216" i="12"/>
  <c r="L198" i="12"/>
  <c r="N198" i="12"/>
  <c r="T198" i="12"/>
  <c r="O198" i="12"/>
  <c r="Q198" i="12"/>
  <c r="R198" i="12"/>
  <c r="M198" i="12"/>
  <c r="S198" i="12"/>
  <c r="L178" i="12"/>
  <c r="M178" i="12"/>
  <c r="T178" i="12"/>
  <c r="N178" i="12"/>
  <c r="Q178" i="12"/>
  <c r="R178" i="12"/>
  <c r="O178" i="12"/>
  <c r="S178" i="12"/>
  <c r="R159" i="12"/>
  <c r="T159" i="12"/>
  <c r="L159" i="12"/>
  <c r="M159" i="12"/>
  <c r="N159" i="12"/>
  <c r="O159" i="12"/>
  <c r="Q159" i="12"/>
  <c r="S159" i="12"/>
  <c r="M139" i="12"/>
  <c r="L139" i="12"/>
  <c r="N139" i="12"/>
  <c r="O139" i="12"/>
  <c r="Q139" i="12"/>
  <c r="R139" i="12"/>
  <c r="T139" i="12"/>
  <c r="S139" i="12"/>
  <c r="Q119" i="12"/>
  <c r="T119" i="12"/>
  <c r="N119" i="12"/>
  <c r="O119" i="12"/>
  <c r="S119" i="12"/>
  <c r="M119" i="12"/>
  <c r="R119" i="12"/>
  <c r="L119" i="12"/>
  <c r="T241" i="12"/>
  <c r="N241" i="12"/>
  <c r="O241" i="12"/>
  <c r="R241" i="12"/>
  <c r="S241" i="12"/>
  <c r="Q241" i="12"/>
  <c r="L241" i="12"/>
  <c r="M241" i="12"/>
  <c r="N211" i="12"/>
  <c r="T211" i="12"/>
  <c r="Q211" i="12"/>
  <c r="R211" i="12"/>
  <c r="S211" i="12"/>
  <c r="M211" i="12"/>
  <c r="L211" i="12"/>
  <c r="O211" i="12"/>
  <c r="M194" i="12"/>
  <c r="S194" i="12"/>
  <c r="N194" i="12"/>
  <c r="R194" i="12"/>
  <c r="Q194" i="12"/>
  <c r="T194" i="12"/>
  <c r="L194" i="12"/>
  <c r="O194" i="12"/>
  <c r="S174" i="12"/>
  <c r="Q174" i="12"/>
  <c r="T174" i="12"/>
  <c r="M174" i="12"/>
  <c r="N174" i="12"/>
  <c r="R174" i="12"/>
  <c r="L174" i="12"/>
  <c r="O174" i="12"/>
  <c r="N155" i="12"/>
  <c r="Q155" i="12"/>
  <c r="R155" i="12"/>
  <c r="S155" i="12"/>
  <c r="M155" i="12"/>
  <c r="T155" i="12"/>
  <c r="L155" i="12"/>
  <c r="O155" i="12"/>
  <c r="Q135" i="12"/>
  <c r="M135" i="12"/>
  <c r="R135" i="12"/>
  <c r="T135" i="12"/>
  <c r="N135" i="12"/>
  <c r="S135" i="12"/>
  <c r="L135" i="12"/>
  <c r="O135" i="12"/>
  <c r="Q115" i="12"/>
  <c r="R115" i="12"/>
  <c r="L115" i="12"/>
  <c r="N115" i="12"/>
  <c r="O115" i="12"/>
  <c r="S115" i="12"/>
  <c r="T115" i="12"/>
  <c r="M115" i="12"/>
  <c r="R96" i="12"/>
  <c r="S96" i="12"/>
  <c r="M96" i="12"/>
  <c r="L96" i="12"/>
  <c r="T96" i="12"/>
  <c r="N96" i="12"/>
  <c r="O96" i="12"/>
  <c r="Q96" i="12"/>
  <c r="T206" i="12"/>
  <c r="M206" i="12"/>
  <c r="S206" i="12"/>
  <c r="N206" i="12"/>
  <c r="O206" i="12"/>
  <c r="Q206" i="12"/>
  <c r="L206" i="12"/>
  <c r="R206" i="12"/>
  <c r="O190" i="12"/>
  <c r="T190" i="12"/>
  <c r="S190" i="12"/>
  <c r="L190" i="12"/>
  <c r="M190" i="12"/>
  <c r="N190" i="12"/>
  <c r="Q190" i="12"/>
  <c r="R190" i="12"/>
  <c r="Q151" i="12"/>
  <c r="M151" i="12"/>
  <c r="O151" i="12"/>
  <c r="S151" i="12"/>
  <c r="N151" i="12"/>
  <c r="T151" i="12"/>
  <c r="L151" i="12"/>
  <c r="R151" i="12"/>
  <c r="M131" i="12"/>
  <c r="S131" i="12"/>
  <c r="T131" i="12"/>
  <c r="L131" i="12"/>
  <c r="O131" i="12"/>
  <c r="Q131" i="12"/>
  <c r="N131" i="12"/>
  <c r="R131" i="12"/>
  <c r="L111" i="12"/>
  <c r="M111" i="12"/>
  <c r="O111" i="12"/>
  <c r="S111" i="12"/>
  <c r="T111" i="12"/>
  <c r="R111" i="12"/>
  <c r="N111" i="12"/>
  <c r="Q111" i="12"/>
  <c r="L92" i="12"/>
  <c r="S92" i="12"/>
  <c r="N92" i="12"/>
  <c r="Q92" i="12"/>
  <c r="R92" i="12"/>
  <c r="O92" i="12"/>
  <c r="T92" i="12"/>
  <c r="M92" i="12"/>
  <c r="L251" i="12"/>
  <c r="S251" i="12"/>
  <c r="T251" i="12"/>
  <c r="N251" i="12"/>
  <c r="O251" i="12"/>
  <c r="Q251" i="12"/>
  <c r="R251" i="12"/>
  <c r="M251" i="12"/>
  <c r="O232" i="12"/>
  <c r="Q232" i="12"/>
  <c r="S232" i="12"/>
  <c r="T232" i="12"/>
  <c r="N232" i="12"/>
  <c r="R232" i="12"/>
  <c r="L232" i="12"/>
  <c r="M232" i="12"/>
  <c r="N221" i="12"/>
  <c r="Q221" i="12"/>
  <c r="R221" i="12"/>
  <c r="S221" i="12"/>
  <c r="T221" i="12"/>
  <c r="M221" i="12"/>
  <c r="L221" i="12"/>
  <c r="O221" i="12"/>
  <c r="S184" i="12"/>
  <c r="T184" i="12"/>
  <c r="R184" i="12"/>
  <c r="M184" i="12"/>
  <c r="N184" i="12"/>
  <c r="Q184" i="12"/>
  <c r="L184" i="12"/>
  <c r="O184" i="12"/>
  <c r="N165" i="12"/>
  <c r="T165" i="12"/>
  <c r="M165" i="12"/>
  <c r="Q165" i="12"/>
  <c r="R165" i="12"/>
  <c r="S165" i="12"/>
  <c r="L165" i="12"/>
  <c r="O165" i="12"/>
  <c r="M145" i="12"/>
  <c r="N145" i="12"/>
  <c r="R145" i="12"/>
  <c r="S145" i="12"/>
  <c r="Q145" i="12"/>
  <c r="T145" i="12"/>
  <c r="L145" i="12"/>
  <c r="O145" i="12"/>
  <c r="N125" i="12"/>
  <c r="R125" i="12"/>
  <c r="T125" i="12"/>
  <c r="L125" i="12"/>
  <c r="M125" i="12"/>
  <c r="S125" i="12"/>
  <c r="Q125" i="12"/>
  <c r="O125" i="12"/>
  <c r="T105" i="12"/>
  <c r="L105" i="12"/>
  <c r="R105" i="12"/>
  <c r="M105" i="12"/>
  <c r="N105" i="12"/>
  <c r="Q105" i="12"/>
  <c r="O105" i="12"/>
  <c r="S105" i="12"/>
  <c r="T250" i="12"/>
  <c r="M250" i="12"/>
  <c r="R250" i="12"/>
  <c r="S250" i="12"/>
  <c r="Q250" i="12"/>
  <c r="N250" i="12"/>
  <c r="L250" i="12"/>
  <c r="O250" i="12"/>
  <c r="S231" i="12"/>
  <c r="Q231" i="12"/>
  <c r="R231" i="12"/>
  <c r="T231" i="12"/>
  <c r="M231" i="12"/>
  <c r="N231" i="12"/>
  <c r="L231" i="12"/>
  <c r="O231" i="12"/>
  <c r="O203" i="12"/>
  <c r="S203" i="12"/>
  <c r="M203" i="12"/>
  <c r="Q203" i="12"/>
  <c r="R203" i="12"/>
  <c r="T203" i="12"/>
  <c r="L203" i="12"/>
  <c r="N203" i="12"/>
  <c r="L183" i="12"/>
  <c r="Q183" i="12"/>
  <c r="M183" i="12"/>
  <c r="R183" i="12"/>
  <c r="S183" i="12"/>
  <c r="T183" i="12"/>
  <c r="O183" i="12"/>
  <c r="N183" i="12"/>
  <c r="M164" i="12"/>
  <c r="R164" i="12"/>
  <c r="S164" i="12"/>
  <c r="L164" i="12"/>
  <c r="T164" i="12"/>
  <c r="O164" i="12"/>
  <c r="Q164" i="12"/>
  <c r="N164" i="12"/>
  <c r="R144" i="12"/>
  <c r="L144" i="12"/>
  <c r="M144" i="12"/>
  <c r="Q144" i="12"/>
  <c r="O144" i="12"/>
  <c r="T144" i="12"/>
  <c r="S144" i="12"/>
  <c r="N144" i="12"/>
  <c r="O124" i="12"/>
  <c r="M124" i="12"/>
  <c r="Q124" i="12"/>
  <c r="R124" i="12"/>
  <c r="L124" i="12"/>
  <c r="T124" i="12"/>
  <c r="S124" i="12"/>
  <c r="N124" i="12"/>
  <c r="M249" i="12"/>
  <c r="Q249" i="12"/>
  <c r="O249" i="12"/>
  <c r="T249" i="12"/>
  <c r="S249" i="12"/>
  <c r="R249" i="12"/>
  <c r="L249" i="12"/>
  <c r="N249" i="12"/>
  <c r="R230" i="12"/>
  <c r="L230" i="12"/>
  <c r="M230" i="12"/>
  <c r="O230" i="12"/>
  <c r="Q230" i="12"/>
  <c r="S230" i="12"/>
  <c r="T230" i="12"/>
  <c r="N230" i="12"/>
  <c r="Q220" i="12"/>
  <c r="O220" i="12"/>
  <c r="L220" i="12"/>
  <c r="N220" i="12"/>
  <c r="R220" i="12"/>
  <c r="S220" i="12"/>
  <c r="T220" i="12"/>
  <c r="M220" i="12"/>
  <c r="L202" i="12"/>
  <c r="N202" i="12"/>
  <c r="Q202" i="12"/>
  <c r="R202" i="12"/>
  <c r="O202" i="12"/>
  <c r="S202" i="12"/>
  <c r="T202" i="12"/>
  <c r="M202" i="12"/>
  <c r="O182" i="12"/>
  <c r="N182" i="12"/>
  <c r="R182" i="12"/>
  <c r="S182" i="12"/>
  <c r="Q182" i="12"/>
  <c r="L182" i="12"/>
  <c r="T182" i="12"/>
  <c r="M182" i="12"/>
  <c r="L163" i="12"/>
  <c r="Q163" i="12"/>
  <c r="R163" i="12"/>
  <c r="N163" i="12"/>
  <c r="S163" i="12"/>
  <c r="O163" i="12"/>
  <c r="T163" i="12"/>
  <c r="M163" i="12"/>
  <c r="N143" i="12"/>
  <c r="O143" i="12"/>
  <c r="L143" i="12"/>
  <c r="R143" i="12"/>
  <c r="S143" i="12"/>
  <c r="Q143" i="12"/>
  <c r="T143" i="12"/>
  <c r="M143" i="12"/>
  <c r="L123" i="12"/>
  <c r="O123" i="12"/>
  <c r="Q123" i="12"/>
  <c r="T123" i="12"/>
  <c r="S123" i="12"/>
  <c r="N123" i="12"/>
  <c r="R123" i="12"/>
  <c r="M123" i="12"/>
  <c r="M247" i="12"/>
  <c r="N247" i="12"/>
  <c r="T247" i="12"/>
  <c r="O247" i="12"/>
  <c r="Q247" i="12"/>
  <c r="R247" i="12"/>
  <c r="S247" i="12"/>
  <c r="L247" i="12"/>
  <c r="T228" i="12"/>
  <c r="M228" i="12"/>
  <c r="Q228" i="12"/>
  <c r="R228" i="12"/>
  <c r="N228" i="12"/>
  <c r="O228" i="12"/>
  <c r="S228" i="12"/>
  <c r="L228" i="12"/>
  <c r="T218" i="12"/>
  <c r="L218" i="12"/>
  <c r="M218" i="12"/>
  <c r="Q218" i="12"/>
  <c r="S218" i="12"/>
  <c r="N218" i="12"/>
  <c r="O218" i="12"/>
  <c r="R218" i="12"/>
  <c r="S200" i="12"/>
  <c r="T200" i="12"/>
  <c r="L200" i="12"/>
  <c r="M200" i="12"/>
  <c r="N200" i="12"/>
  <c r="O200" i="12"/>
  <c r="Q200" i="12"/>
  <c r="R200" i="12"/>
  <c r="T180" i="12"/>
  <c r="N180" i="12"/>
  <c r="O180" i="12"/>
  <c r="Q180" i="12"/>
  <c r="L180" i="12"/>
  <c r="M180" i="12"/>
  <c r="S180" i="12"/>
  <c r="R180" i="12"/>
  <c r="N161" i="12"/>
  <c r="S161" i="12"/>
  <c r="O161" i="12"/>
  <c r="T161" i="12"/>
  <c r="L161" i="12"/>
  <c r="M161" i="12"/>
  <c r="Q161" i="12"/>
  <c r="R161" i="12"/>
  <c r="Q141" i="12"/>
  <c r="S141" i="12"/>
  <c r="T141" i="12"/>
  <c r="O141" i="12"/>
  <c r="L141" i="12"/>
  <c r="N141" i="12"/>
  <c r="M141" i="12"/>
  <c r="R141" i="12"/>
  <c r="M121" i="12"/>
  <c r="O121" i="12"/>
  <c r="T121" i="12"/>
  <c r="N121" i="12"/>
  <c r="R121" i="12"/>
  <c r="S121" i="12"/>
  <c r="L121" i="12"/>
  <c r="Q121" i="12"/>
  <c r="L83" i="12"/>
  <c r="Q83" i="12"/>
  <c r="S83" i="12"/>
  <c r="T83" i="12"/>
  <c r="R83" i="12"/>
  <c r="O83" i="12"/>
  <c r="N83" i="12"/>
  <c r="M83" i="12"/>
  <c r="S246" i="12"/>
  <c r="T246" i="12"/>
  <c r="M246" i="12"/>
  <c r="N246" i="12"/>
  <c r="L246" i="12"/>
  <c r="Q246" i="12"/>
  <c r="O246" i="12"/>
  <c r="R246" i="12"/>
  <c r="O227" i="12"/>
  <c r="L227" i="12"/>
  <c r="S227" i="12"/>
  <c r="T227" i="12"/>
  <c r="Q227" i="12"/>
  <c r="M227" i="12"/>
  <c r="N227" i="12"/>
  <c r="R227" i="12"/>
  <c r="N217" i="12"/>
  <c r="O217" i="12"/>
  <c r="S217" i="12"/>
  <c r="R217" i="12"/>
  <c r="L217" i="12"/>
  <c r="M217" i="12"/>
  <c r="Q217" i="12"/>
  <c r="T217" i="12"/>
  <c r="R199" i="12"/>
  <c r="S199" i="12"/>
  <c r="N199" i="12"/>
  <c r="M199" i="12"/>
  <c r="L199" i="12"/>
  <c r="O199" i="12"/>
  <c r="Q199" i="12"/>
  <c r="T199" i="12"/>
  <c r="O179" i="12"/>
  <c r="M179" i="12"/>
  <c r="N179" i="12"/>
  <c r="R179" i="12"/>
  <c r="L179" i="12"/>
  <c r="S179" i="12"/>
  <c r="Q179" i="12"/>
  <c r="T179" i="12"/>
  <c r="M160" i="12"/>
  <c r="O160" i="12"/>
  <c r="L160" i="12"/>
  <c r="R160" i="12"/>
  <c r="N160" i="12"/>
  <c r="S160" i="12"/>
  <c r="Q160" i="12"/>
  <c r="T160" i="12"/>
  <c r="M140" i="12"/>
  <c r="N140" i="12"/>
  <c r="L140" i="12"/>
  <c r="R140" i="12"/>
  <c r="O140" i="12"/>
  <c r="S140" i="12"/>
  <c r="Q140" i="12"/>
  <c r="T140" i="12"/>
  <c r="Q120" i="12"/>
  <c r="S120" i="12"/>
  <c r="O120" i="12"/>
  <c r="R120" i="12"/>
  <c r="L120" i="12"/>
  <c r="N120" i="12"/>
  <c r="M120" i="12"/>
  <c r="T120" i="12"/>
  <c r="R205" i="12"/>
  <c r="S205" i="12"/>
  <c r="M205" i="12"/>
  <c r="L205" i="12"/>
  <c r="O205" i="12"/>
  <c r="N205" i="12"/>
  <c r="Q205" i="12"/>
  <c r="T205" i="12"/>
  <c r="R254" i="12"/>
  <c r="L254" i="12"/>
  <c r="Q254" i="12"/>
  <c r="T254" i="12"/>
  <c r="O254" i="12"/>
  <c r="M254" i="12"/>
  <c r="N254" i="12"/>
  <c r="S254" i="12"/>
  <c r="T168" i="12"/>
  <c r="M168" i="12"/>
  <c r="Q168" i="12"/>
  <c r="S168" i="12"/>
  <c r="L168" i="12"/>
  <c r="N168" i="12"/>
  <c r="O168" i="12"/>
  <c r="R168" i="12"/>
  <c r="M128" i="12"/>
  <c r="T128" i="12"/>
  <c r="Q128" i="12"/>
  <c r="L128" i="12"/>
  <c r="N128" i="12"/>
  <c r="S128" i="12"/>
  <c r="O128" i="12"/>
  <c r="R128" i="12"/>
  <c r="N89" i="12"/>
  <c r="M89" i="12"/>
  <c r="O89" i="12"/>
  <c r="Q89" i="12"/>
  <c r="R89" i="12"/>
  <c r="S89" i="12"/>
  <c r="L89" i="12"/>
  <c r="T89" i="12"/>
  <c r="M233" i="12"/>
  <c r="L233" i="12"/>
  <c r="N233" i="12"/>
  <c r="S233" i="12"/>
  <c r="T233" i="12"/>
  <c r="Q233" i="12"/>
  <c r="O233" i="12"/>
  <c r="R233" i="12"/>
  <c r="S223" i="12"/>
  <c r="R223" i="12"/>
  <c r="T223" i="12"/>
  <c r="O223" i="12"/>
  <c r="L223" i="12"/>
  <c r="M223" i="12"/>
  <c r="N223" i="12"/>
  <c r="Q223" i="12"/>
  <c r="M186" i="12"/>
  <c r="S186" i="12"/>
  <c r="L186" i="12"/>
  <c r="O186" i="12"/>
  <c r="T186" i="12"/>
  <c r="R186" i="12"/>
  <c r="N186" i="12"/>
  <c r="Q186" i="12"/>
  <c r="M147" i="12"/>
  <c r="L147" i="12"/>
  <c r="O147" i="12"/>
  <c r="R147" i="12"/>
  <c r="S147" i="12"/>
  <c r="T147" i="12"/>
  <c r="N147" i="12"/>
  <c r="Q147" i="12"/>
  <c r="N107" i="12"/>
  <c r="O107" i="12"/>
  <c r="Q107" i="12"/>
  <c r="R107" i="12"/>
  <c r="T107" i="12"/>
  <c r="S107" i="12"/>
  <c r="L107" i="12"/>
  <c r="M107" i="12"/>
  <c r="M252" i="12"/>
  <c r="R252" i="12"/>
  <c r="O252" i="12"/>
  <c r="S252" i="12"/>
  <c r="L252" i="12"/>
  <c r="T252" i="12"/>
  <c r="N252" i="12"/>
  <c r="Q252" i="12"/>
  <c r="L222" i="12"/>
  <c r="O222" i="12"/>
  <c r="R222" i="12"/>
  <c r="S222" i="12"/>
  <c r="T222" i="12"/>
  <c r="Q222" i="12"/>
  <c r="N222" i="12"/>
  <c r="M222" i="12"/>
  <c r="O185" i="12"/>
  <c r="L185" i="12"/>
  <c r="N185" i="12"/>
  <c r="Q185" i="12"/>
  <c r="R185" i="12"/>
  <c r="T185" i="12"/>
  <c r="S185" i="12"/>
  <c r="M185" i="12"/>
  <c r="S146" i="12"/>
  <c r="N146" i="12"/>
  <c r="O146" i="12"/>
  <c r="T146" i="12"/>
  <c r="Q146" i="12"/>
  <c r="R146" i="12"/>
  <c r="L146" i="12"/>
  <c r="M146" i="12"/>
  <c r="L106" i="12"/>
  <c r="M106" i="12"/>
  <c r="N106" i="12"/>
  <c r="R106" i="12"/>
  <c r="O106" i="12"/>
  <c r="Q106" i="12"/>
  <c r="S106" i="12"/>
  <c r="T106" i="12"/>
  <c r="N236" i="12"/>
  <c r="Q236" i="12"/>
  <c r="O236" i="12"/>
  <c r="S236" i="12"/>
  <c r="T236" i="12"/>
  <c r="L236" i="12"/>
  <c r="M236" i="12"/>
  <c r="R236" i="12"/>
  <c r="M189" i="12"/>
  <c r="S189" i="12"/>
  <c r="N189" i="12"/>
  <c r="R189" i="12"/>
  <c r="L189" i="12"/>
  <c r="O189" i="12"/>
  <c r="Q189" i="12"/>
  <c r="T189" i="12"/>
  <c r="O170" i="12"/>
  <c r="L170" i="12"/>
  <c r="M170" i="12"/>
  <c r="N170" i="12"/>
  <c r="S170" i="12"/>
  <c r="R170" i="12"/>
  <c r="Q170" i="12"/>
  <c r="T170" i="12"/>
  <c r="M150" i="12"/>
  <c r="L150" i="12"/>
  <c r="O150" i="12"/>
  <c r="S150" i="12"/>
  <c r="N150" i="12"/>
  <c r="R150" i="12"/>
  <c r="Q150" i="12"/>
  <c r="T150" i="12"/>
  <c r="S130" i="12"/>
  <c r="N130" i="12"/>
  <c r="O130" i="12"/>
  <c r="R130" i="12"/>
  <c r="M130" i="12"/>
  <c r="L130" i="12"/>
  <c r="Q130" i="12"/>
  <c r="T130" i="12"/>
  <c r="L110" i="12"/>
  <c r="M110" i="12"/>
  <c r="O110" i="12"/>
  <c r="Q110" i="12"/>
  <c r="R110" i="12"/>
  <c r="N110" i="12"/>
  <c r="S110" i="12"/>
  <c r="T110" i="12"/>
  <c r="N91" i="12"/>
  <c r="M91" i="12"/>
  <c r="T91" i="12"/>
  <c r="S91" i="12"/>
  <c r="O91" i="12"/>
  <c r="R91" i="12"/>
  <c r="Q91" i="12"/>
  <c r="L91" i="12"/>
  <c r="N234" i="12"/>
  <c r="R234" i="12"/>
  <c r="L234" i="12"/>
  <c r="M234" i="12"/>
  <c r="O234" i="12"/>
  <c r="Q234" i="12"/>
  <c r="T234" i="12"/>
  <c r="S234" i="12"/>
  <c r="T224" i="12"/>
  <c r="M224" i="12"/>
  <c r="L224" i="12"/>
  <c r="N224" i="12"/>
  <c r="Q224" i="12"/>
  <c r="S224" i="12"/>
  <c r="O224" i="12"/>
  <c r="R224" i="12"/>
  <c r="T187" i="12"/>
  <c r="M187" i="12"/>
  <c r="Q187" i="12"/>
  <c r="S187" i="12"/>
  <c r="N187" i="12"/>
  <c r="L187" i="12"/>
  <c r="O187" i="12"/>
  <c r="R187" i="12"/>
  <c r="M148" i="12"/>
  <c r="S148" i="12"/>
  <c r="N148" i="12"/>
  <c r="L148" i="12"/>
  <c r="Q148" i="12"/>
  <c r="T148" i="12"/>
  <c r="O148" i="12"/>
  <c r="R148" i="12"/>
  <c r="N108" i="12"/>
  <c r="O108" i="12"/>
  <c r="S108" i="12"/>
  <c r="Q108" i="12"/>
  <c r="R108" i="12"/>
  <c r="L108" i="12"/>
  <c r="T108" i="12"/>
  <c r="M108" i="12"/>
  <c r="Q253" i="12"/>
  <c r="T253" i="12"/>
  <c r="L253" i="12"/>
  <c r="M253" i="12"/>
  <c r="N253" i="12"/>
  <c r="S253" i="12"/>
  <c r="O253" i="12"/>
  <c r="R253" i="12"/>
  <c r="R167" i="12"/>
  <c r="O167" i="12"/>
  <c r="S167" i="12"/>
  <c r="T167" i="12"/>
  <c r="M167" i="12"/>
  <c r="L167" i="12"/>
  <c r="N167" i="12"/>
  <c r="Q167" i="12"/>
  <c r="L127" i="12"/>
  <c r="T127" i="12"/>
  <c r="S127" i="12"/>
  <c r="O127" i="12"/>
  <c r="R127" i="12"/>
  <c r="M127" i="12"/>
  <c r="N127" i="12"/>
  <c r="Q127" i="12"/>
  <c r="Q88" i="12"/>
  <c r="T88" i="12"/>
  <c r="R88" i="12"/>
  <c r="L88" i="12"/>
  <c r="M88" i="12"/>
  <c r="N88" i="12"/>
  <c r="O88" i="12"/>
  <c r="S88" i="12"/>
  <c r="L166" i="12"/>
  <c r="S166" i="12"/>
  <c r="Q166" i="12"/>
  <c r="T166" i="12"/>
  <c r="N166" i="12"/>
  <c r="R166" i="12"/>
  <c r="O166" i="12"/>
  <c r="M166" i="12"/>
  <c r="N126" i="12"/>
  <c r="O126" i="12"/>
  <c r="R126" i="12"/>
  <c r="Q126" i="12"/>
  <c r="S126" i="12"/>
  <c r="T126" i="12"/>
  <c r="L126" i="12"/>
  <c r="M126" i="12"/>
  <c r="Q87" i="12"/>
  <c r="O87" i="12"/>
  <c r="S87" i="12"/>
  <c r="M87" i="12"/>
  <c r="T87" i="12"/>
  <c r="L87" i="12"/>
  <c r="N87" i="12"/>
  <c r="R87" i="12"/>
  <c r="D255" i="12"/>
  <c r="E254" i="12"/>
  <c r="I255" i="12"/>
  <c r="H255" i="12"/>
  <c r="D44" i="59"/>
  <c r="F21" i="59"/>
  <c r="E15" i="55"/>
  <c r="P101" i="12" a="1"/>
  <c r="P103" i="12" a="1"/>
  <c r="P98" i="12" a="1"/>
  <c r="P100" i="12" a="1"/>
  <c r="P102" i="12" a="1"/>
  <c r="P104" i="12" a="1"/>
  <c r="P99" i="12" a="1"/>
  <c r="D18" i="59" a="1"/>
  <c r="D41" i="59" a="1"/>
  <c r="D43" i="59" a="1"/>
  <c r="D32" i="59" a="1"/>
  <c r="D39" i="59" a="1"/>
  <c r="P84" i="12" a="1"/>
  <c r="D22" i="59" a="1"/>
  <c r="D31" i="59" a="1"/>
  <c r="D15" i="59" a="1"/>
  <c r="D14" i="59" a="1"/>
  <c r="D29" i="59" a="1"/>
  <c r="D34" i="59" a="1"/>
  <c r="E44" i="59" a="1"/>
  <c r="D24" i="59" a="1"/>
  <c r="D19" i="59" a="1"/>
  <c r="D40" i="59" a="1"/>
  <c r="D37" i="59" a="1"/>
  <c r="P85" i="12" a="1"/>
  <c r="D16" i="59" a="1"/>
  <c r="D38" i="59" a="1"/>
  <c r="D35" i="59" a="1"/>
  <c r="P86" i="12" a="1"/>
  <c r="D17" i="59" a="1"/>
  <c r="D27" i="59" a="1"/>
  <c r="D30" i="59" a="1"/>
  <c r="D28" i="59" a="1"/>
  <c r="D21" i="59" a="1"/>
  <c r="D26" i="59" a="1"/>
  <c r="D23" i="59" a="1"/>
  <c r="D20" i="59" a="1"/>
  <c r="D42" i="59" a="1"/>
  <c r="D33" i="59" a="1"/>
  <c r="D25" i="59" a="1"/>
  <c r="D36" i="59" a="1"/>
  <c r="P188" i="12" a="1"/>
  <c r="P179" i="12" a="1"/>
  <c r="P151" i="12" a="1"/>
  <c r="P211" i="12" a="1"/>
  <c r="P108" i="12" a="1"/>
  <c r="P133" i="12" a="1"/>
  <c r="P250" i="12" a="1"/>
  <c r="P118" i="12" a="1"/>
  <c r="N255" i="12" a="1"/>
  <c r="P210" i="12" a="1"/>
  <c r="P203" i="12" a="1"/>
  <c r="M255" i="12" a="1"/>
  <c r="P218" i="12" a="1"/>
  <c r="P217" i="12" a="1"/>
  <c r="P246" i="12" a="1"/>
  <c r="Q255" i="12" a="1"/>
  <c r="P198" i="12" a="1"/>
  <c r="P233" i="12" a="1"/>
  <c r="P128" i="12" a="1"/>
  <c r="P94" i="12" a="1"/>
  <c r="P183" i="12" a="1"/>
  <c r="P219" i="12" a="1"/>
  <c r="P196" i="12" a="1"/>
  <c r="P194" i="12" a="1"/>
  <c r="P247" i="12" a="1"/>
  <c r="P221" i="12" a="1"/>
  <c r="P235" i="12" a="1"/>
  <c r="P147" i="12" a="1"/>
  <c r="P189" i="12" a="1"/>
  <c r="P150" i="12" a="1"/>
  <c r="P131" i="12" a="1"/>
  <c r="P83" i="12" a="1"/>
  <c r="P191" i="12" a="1"/>
  <c r="P215" i="12" a="1"/>
  <c r="P252" i="12" a="1"/>
  <c r="P153" i="12" a="1"/>
  <c r="P226" i="12" a="1"/>
  <c r="P193" i="12" a="1"/>
  <c r="P132" i="12" a="1"/>
  <c r="P145" i="12" a="1"/>
  <c r="P216" i="12" a="1"/>
  <c r="P172" i="12" a="1"/>
  <c r="P209" i="12" a="1"/>
  <c r="P208" i="12" a="1"/>
  <c r="P175" i="12" a="1"/>
  <c r="P249" i="12" a="1"/>
  <c r="P141" i="12" a="1"/>
  <c r="P149" i="12" a="1"/>
  <c r="P79" i="12" a="1"/>
  <c r="P212" i="12" a="1"/>
  <c r="P138" i="12" a="1"/>
  <c r="P129" i="12" a="1"/>
  <c r="P234" i="12" a="1"/>
  <c r="P87" i="12" a="1"/>
  <c r="P113" i="12" a="1"/>
  <c r="P207" i="12" a="1"/>
  <c r="P81" i="12" a="1"/>
  <c r="P140" i="12" a="1"/>
  <c r="P120" i="12" a="1"/>
  <c r="P251" i="12" a="1"/>
  <c r="P88" i="12" a="1"/>
  <c r="P178" i="12" a="1"/>
  <c r="P115" i="12" a="1"/>
  <c r="P106" i="12" a="1"/>
  <c r="P225" i="12" a="1"/>
  <c r="P164" i="12" a="1"/>
  <c r="P109" i="12" a="1"/>
  <c r="P232" i="12" a="1"/>
  <c r="P223" i="12" a="1"/>
  <c r="P227" i="12" a="1"/>
  <c r="P114" i="12" a="1"/>
  <c r="P96" i="12" a="1"/>
  <c r="P134" i="12" a="1"/>
  <c r="T255" i="12" a="1"/>
  <c r="P135" i="12" a="1"/>
  <c r="P228" i="12" a="1"/>
  <c r="P177" i="12" a="1"/>
  <c r="P161" i="12" a="1"/>
  <c r="P201" i="12" a="1"/>
  <c r="P110" i="12" a="1"/>
  <c r="R255" i="12" a="1"/>
  <c r="P97" i="12" a="1"/>
  <c r="P125" i="12" a="1"/>
  <c r="P243" i="12" a="1"/>
  <c r="P238" i="12" a="1"/>
  <c r="P192" i="12" a="1"/>
  <c r="P229" i="12" a="1"/>
  <c r="P200" i="12" a="1"/>
  <c r="P182" i="12" a="1"/>
  <c r="P248" i="12" a="1"/>
  <c r="P168" i="12" a="1"/>
  <c r="P174" i="12" a="1"/>
  <c r="P205" i="12" a="1"/>
  <c r="P244" i="12" a="1"/>
  <c r="P169" i="12" a="1"/>
  <c r="P180" i="12" a="1"/>
  <c r="P241" i="12" a="1"/>
  <c r="P181" i="12" a="1"/>
  <c r="P112" i="12" a="1"/>
  <c r="P152" i="12" a="1"/>
  <c r="P123" i="12" a="1"/>
  <c r="P173" i="12" a="1"/>
  <c r="P202" i="12" a="1"/>
  <c r="P206" i="12" a="1"/>
  <c r="P124" i="12" a="1"/>
  <c r="P127" i="12" a="1"/>
  <c r="P158" i="12" a="1"/>
  <c r="P92" i="12" a="1"/>
  <c r="P165" i="12" a="1"/>
  <c r="P155" i="12" a="1"/>
  <c r="P197" i="12" a="1"/>
  <c r="P142" i="12" a="1"/>
  <c r="P144" i="12" a="1"/>
  <c r="P160" i="12" a="1"/>
  <c r="P236" i="12" a="1"/>
  <c r="P80" i="12" a="1"/>
  <c r="P187" i="12" a="1"/>
  <c r="P105" i="12" a="1"/>
  <c r="P222" i="12" a="1"/>
  <c r="P89" i="12" a="1"/>
  <c r="P185" i="12" a="1"/>
  <c r="E255" i="12" a="1"/>
  <c r="P137" i="12" a="1"/>
  <c r="P111" i="12" a="1"/>
  <c r="P91" i="12" a="1"/>
  <c r="P245" i="12" a="1"/>
  <c r="P126" i="12" a="1"/>
  <c r="P139" i="12" a="1"/>
  <c r="P163" i="12" a="1"/>
  <c r="P204" i="12" a="1"/>
  <c r="P122" i="12" a="1"/>
  <c r="P117" i="12" a="1"/>
  <c r="P154" i="12" a="1"/>
  <c r="P143" i="12" a="1"/>
  <c r="P214" i="12" a="1"/>
  <c r="P186" i="12" a="1"/>
  <c r="P130" i="12" a="1"/>
  <c r="P107" i="12" a="1"/>
  <c r="P224" i="12" a="1"/>
  <c r="P230" i="12" a="1"/>
  <c r="P195" i="12" a="1"/>
  <c r="P242" i="12" a="1"/>
  <c r="P184" i="12" a="1"/>
  <c r="P121" i="12" a="1"/>
  <c r="P190" i="12" a="1"/>
  <c r="P213" i="12" a="1"/>
  <c r="P136" i="12" a="1"/>
  <c r="P116" i="12" a="1"/>
  <c r="P167" i="12" a="1"/>
  <c r="S255" i="12" a="1"/>
  <c r="P170" i="12" a="1"/>
  <c r="P119" i="12" a="1"/>
  <c r="P159" i="12" a="1"/>
  <c r="P171" i="12" a="1"/>
  <c r="P254" i="12" a="1"/>
  <c r="P93" i="12" a="1"/>
  <c r="P148" i="12" a="1"/>
  <c r="P176" i="12" a="1"/>
  <c r="P199" i="12" a="1"/>
  <c r="P162" i="12" a="1"/>
  <c r="P157" i="12" a="1"/>
  <c r="P146" i="12" a="1"/>
  <c r="P90" i="12" a="1"/>
  <c r="P239" i="12" a="1"/>
  <c r="P237" i="12" a="1"/>
  <c r="P253" i="12" a="1"/>
  <c r="P220" i="12" a="1"/>
  <c r="P240" i="12" a="1"/>
  <c r="P82" i="12" a="1"/>
  <c r="O255" i="12" a="1"/>
  <c r="P166" i="12" a="1"/>
  <c r="L255" i="12" a="1"/>
  <c r="P95" i="12" a="1"/>
  <c r="P156" i="12" a="1"/>
  <c r="P231" i="12" a="1"/>
  <c r="P99" i="12" l="1"/>
  <c r="P104" i="12"/>
  <c r="P102" i="12"/>
  <c r="P100" i="12"/>
  <c r="P98" i="12"/>
  <c r="P103" i="12"/>
  <c r="P101" i="12"/>
  <c r="P86" i="12"/>
  <c r="P85" i="12"/>
  <c r="P84" i="12"/>
  <c r="P215" i="12"/>
  <c r="P209" i="12"/>
  <c r="P171" i="12"/>
  <c r="P87" i="12"/>
  <c r="P146" i="12"/>
  <c r="P202" i="12"/>
  <c r="P159" i="12"/>
  <c r="P153" i="12"/>
  <c r="P225" i="12"/>
  <c r="P195" i="12"/>
  <c r="P242" i="12"/>
  <c r="P230" i="12"/>
  <c r="P144" i="12"/>
  <c r="P152" i="12"/>
  <c r="P109" i="12"/>
  <c r="P176" i="12"/>
  <c r="P91" i="12"/>
  <c r="P228" i="12"/>
  <c r="P151" i="12"/>
  <c r="P119" i="12"/>
  <c r="P189" i="12"/>
  <c r="P140" i="12"/>
  <c r="P145" i="12"/>
  <c r="P219" i="12"/>
  <c r="P112" i="12"/>
  <c r="P94" i="12"/>
  <c r="P138" i="12"/>
  <c r="P197" i="12"/>
  <c r="P126" i="12"/>
  <c r="P199" i="12"/>
  <c r="P200" i="12"/>
  <c r="P163" i="12"/>
  <c r="P105" i="12"/>
  <c r="P251" i="12"/>
  <c r="P174" i="12"/>
  <c r="P241" i="12"/>
  <c r="P216" i="12"/>
  <c r="P208" i="12"/>
  <c r="P97" i="12"/>
  <c r="P156" i="12"/>
  <c r="P236" i="12"/>
  <c r="P203" i="12"/>
  <c r="P207" i="12"/>
  <c r="P154" i="12"/>
  <c r="P127" i="12"/>
  <c r="P224" i="12"/>
  <c r="P254" i="12"/>
  <c r="P161" i="12"/>
  <c r="P111" i="12"/>
  <c r="P206" i="12"/>
  <c r="P137" i="12"/>
  <c r="P243" i="12"/>
  <c r="P150" i="12"/>
  <c r="P147" i="12"/>
  <c r="P128" i="12"/>
  <c r="P122" i="12"/>
  <c r="P204" i="12"/>
  <c r="P81" i="12"/>
  <c r="P185" i="12"/>
  <c r="P123" i="12"/>
  <c r="P220" i="12"/>
  <c r="P229" i="12"/>
  <c r="P238" i="12"/>
  <c r="P172" i="12"/>
  <c r="P210" i="12"/>
  <c r="P212" i="12"/>
  <c r="P79" i="12"/>
  <c r="P120" i="12"/>
  <c r="P246" i="12"/>
  <c r="P165" i="12"/>
  <c r="P116" i="12"/>
  <c r="P110" i="12"/>
  <c r="P217" i="12"/>
  <c r="P250" i="12"/>
  <c r="P221" i="12"/>
  <c r="P135" i="12"/>
  <c r="P178" i="12"/>
  <c r="P181" i="12"/>
  <c r="P237" i="12"/>
  <c r="P113" i="12"/>
  <c r="P244" i="12"/>
  <c r="P173" i="12"/>
  <c r="P157" i="12"/>
  <c r="P196" i="12"/>
  <c r="P148" i="12"/>
  <c r="P252" i="12"/>
  <c r="P233" i="12"/>
  <c r="P160" i="12"/>
  <c r="P247" i="12"/>
  <c r="P249" i="12"/>
  <c r="P164" i="12"/>
  <c r="P125" i="12"/>
  <c r="P158" i="12"/>
  <c r="P169" i="12"/>
  <c r="P114" i="12"/>
  <c r="P166" i="12"/>
  <c r="P253" i="12"/>
  <c r="P234" i="12"/>
  <c r="P107" i="12"/>
  <c r="P83" i="12"/>
  <c r="P182" i="12"/>
  <c r="P92" i="12"/>
  <c r="P133" i="12"/>
  <c r="P175" i="12"/>
  <c r="P170" i="12"/>
  <c r="P218" i="12"/>
  <c r="P96" i="12"/>
  <c r="P198" i="12"/>
  <c r="P142" i="12"/>
  <c r="P118" i="12"/>
  <c r="P214" i="12"/>
  <c r="P129" i="12"/>
  <c r="P82" i="12"/>
  <c r="P168" i="12"/>
  <c r="P180" i="12"/>
  <c r="P124" i="12"/>
  <c r="P226" i="12"/>
  <c r="P93" i="12"/>
  <c r="P132" i="12"/>
  <c r="P177" i="12"/>
  <c r="P134" i="12"/>
  <c r="T255" i="12"/>
  <c r="Q255" i="12"/>
  <c r="N255" i="12"/>
  <c r="R255" i="12"/>
  <c r="L255" i="12"/>
  <c r="S255" i="12"/>
  <c r="O255" i="12"/>
  <c r="M255" i="12"/>
  <c r="P167" i="12"/>
  <c r="P130" i="12"/>
  <c r="P186" i="12"/>
  <c r="P121" i="12"/>
  <c r="P131" i="12"/>
  <c r="P190" i="12"/>
  <c r="P155" i="12"/>
  <c r="P194" i="12"/>
  <c r="P139" i="12"/>
  <c r="P235" i="12"/>
  <c r="P117" i="12"/>
  <c r="P108" i="12"/>
  <c r="P222" i="12"/>
  <c r="P143" i="12"/>
  <c r="P184" i="12"/>
  <c r="P232" i="12"/>
  <c r="P115" i="12"/>
  <c r="P248" i="12"/>
  <c r="P192" i="12"/>
  <c r="P188" i="12"/>
  <c r="P136" i="12"/>
  <c r="P213" i="12"/>
  <c r="P80" i="12"/>
  <c r="P205" i="12"/>
  <c r="P141" i="12"/>
  <c r="P183" i="12"/>
  <c r="P239" i="12"/>
  <c r="P90" i="12"/>
  <c r="P193" i="12"/>
  <c r="P187" i="12"/>
  <c r="P106" i="12"/>
  <c r="P223" i="12"/>
  <c r="P89" i="12"/>
  <c r="P179" i="12"/>
  <c r="P227" i="12"/>
  <c r="P211" i="12"/>
  <c r="P245" i="12"/>
  <c r="P162" i="12"/>
  <c r="P201" i="12"/>
  <c r="P95" i="12"/>
  <c r="P88" i="12"/>
  <c r="P231" i="12"/>
  <c r="P191" i="12"/>
  <c r="P149" i="12"/>
  <c r="P240" i="12"/>
  <c r="E255" i="12"/>
  <c r="D17" i="59"/>
  <c r="D40" i="59"/>
  <c r="D20" i="59"/>
  <c r="D34" i="59"/>
  <c r="D31" i="59"/>
  <c r="D25" i="59"/>
  <c r="E44" i="59"/>
  <c r="D36" i="59"/>
  <c r="D35" i="59"/>
  <c r="D38" i="59"/>
  <c r="D29" i="59"/>
  <c r="D18" i="59"/>
  <c r="D26" i="59"/>
  <c r="D24" i="59"/>
  <c r="D42" i="59"/>
  <c r="D39" i="59"/>
  <c r="D22" i="59"/>
  <c r="D41" i="59"/>
  <c r="D43" i="59"/>
  <c r="D23" i="59"/>
  <c r="D37" i="59"/>
  <c r="D19" i="59"/>
  <c r="D28" i="59"/>
  <c r="D14" i="59"/>
  <c r="D27" i="59"/>
  <c r="D16" i="59"/>
  <c r="D15" i="59"/>
  <c r="D33" i="59"/>
  <c r="D30" i="59"/>
  <c r="D21" i="59"/>
  <c r="D32" i="59"/>
  <c r="E15" i="59" a="1"/>
  <c r="E30" i="59" a="1"/>
  <c r="E34" i="59" a="1"/>
  <c r="E31" i="59" a="1"/>
  <c r="E43" i="59" a="1"/>
  <c r="E25" i="59" a="1"/>
  <c r="E38" i="59" a="1"/>
  <c r="E19" i="59" a="1"/>
  <c r="E21" i="59" a="1"/>
  <c r="E22" i="59" a="1"/>
  <c r="E29" i="59" a="1"/>
  <c r="E41" i="59" a="1"/>
  <c r="E14" i="59" a="1"/>
  <c r="E39" i="59" a="1"/>
  <c r="E18" i="59" a="1"/>
  <c r="E26" i="59" a="1"/>
  <c r="E20" i="59" a="1"/>
  <c r="E23" i="59" a="1"/>
  <c r="E35" i="59" a="1"/>
  <c r="E28" i="59" a="1"/>
  <c r="E17" i="59" a="1"/>
  <c r="E24" i="59" a="1"/>
  <c r="E16" i="59" a="1"/>
  <c r="E32" i="59" a="1"/>
  <c r="E42" i="59" a="1"/>
  <c r="E33" i="59" a="1"/>
  <c r="E37" i="59" a="1"/>
  <c r="E40" i="59" a="1"/>
  <c r="E36" i="59" a="1"/>
  <c r="E27" i="59" a="1"/>
  <c r="P255" i="12" a="1"/>
  <c r="P255" i="12" l="1"/>
  <c r="E19" i="59"/>
  <c r="E39" i="59"/>
  <c r="E36" i="59"/>
  <c r="E37" i="59"/>
  <c r="E40" i="59"/>
  <c r="E18" i="59"/>
  <c r="E29" i="59"/>
  <c r="E20" i="59"/>
  <c r="E16" i="59"/>
  <c r="E23" i="59"/>
  <c r="E42" i="59"/>
  <c r="E38" i="59"/>
  <c r="E27" i="59"/>
  <c r="E25" i="59"/>
  <c r="E24" i="59"/>
  <c r="E32" i="59"/>
  <c r="E21" i="59"/>
  <c r="E43" i="59"/>
  <c r="E26" i="59"/>
  <c r="E41" i="59"/>
  <c r="E31" i="59"/>
  <c r="E34" i="59"/>
  <c r="E30" i="59"/>
  <c r="E14" i="59"/>
  <c r="E22" i="59"/>
  <c r="E17" i="59"/>
  <c r="E33" i="59"/>
  <c r="E28" i="59"/>
  <c r="E15" i="59"/>
  <c r="E35" i="59"/>
  <c r="C3" i="53" a="1"/>
  <c r="C3" i="5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<sst xmlns="http://schemas.openxmlformats.org/spreadsheetml/2006/main" count="1313" uniqueCount="720">
  <si>
    <t>Name</t>
  </si>
  <si>
    <t>AskMask</t>
  </si>
  <si>
    <t>AskDefault</t>
  </si>
  <si>
    <t>AskMinimum</t>
  </si>
  <si>
    <t>AskMaximum</t>
  </si>
  <si>
    <t>string</t>
  </si>
  <si>
    <t>text</t>
  </si>
  <si>
    <t>numeric</t>
  </si>
  <si>
    <t>date</t>
  </si>
  <si>
    <t>datetime</t>
  </si>
  <si>
    <t>boolean</t>
  </si>
  <si>
    <t>time</t>
  </si>
  <si>
    <t>image</t>
  </si>
  <si>
    <t>binary</t>
  </si>
  <si>
    <t>undefined</t>
  </si>
  <si>
    <t>CategoryId</t>
  </si>
  <si>
    <t>Minimum</t>
  </si>
  <si>
    <t>Maximum</t>
  </si>
  <si>
    <t>AskLength</t>
  </si>
  <si>
    <t>AskDecimals</t>
  </si>
  <si>
    <t>AskPrimarykey</t>
  </si>
  <si>
    <t>AskAutoincrement</t>
  </si>
  <si>
    <t>AskFilterable</t>
  </si>
  <si>
    <t>IsActive</t>
  </si>
  <si>
    <t>bigint</t>
  </si>
  <si>
    <t/>
  </si>
  <si>
    <t>bit</t>
  </si>
  <si>
    <t>char</t>
  </si>
  <si>
    <t>datetime2</t>
  </si>
  <si>
    <t>datetimeoffset</t>
  </si>
  <si>
    <t>decimal</t>
  </si>
  <si>
    <t>float</t>
  </si>
  <si>
    <t>geography</t>
  </si>
  <si>
    <t>geometry</t>
  </si>
  <si>
    <t>hierarchyid</t>
  </si>
  <si>
    <t>int</t>
  </si>
  <si>
    <t>money</t>
  </si>
  <si>
    <t>nchar</t>
  </si>
  <si>
    <t>ntext</t>
  </si>
  <si>
    <t>nvarchar</t>
  </si>
  <si>
    <t>real</t>
  </si>
  <si>
    <t>smalldatetime</t>
  </si>
  <si>
    <t>smallint</t>
  </si>
  <si>
    <t>smallmoney</t>
  </si>
  <si>
    <t>sql_variant</t>
  </si>
  <si>
    <t>sysname</t>
  </si>
  <si>
    <t>timestamp</t>
  </si>
  <si>
    <t>tinyint</t>
  </si>
  <si>
    <t>uniqueidentifier</t>
  </si>
  <si>
    <t>varbinary</t>
  </si>
  <si>
    <t>varchar</t>
  </si>
  <si>
    <t>xml</t>
  </si>
  <si>
    <t>TypeId</t>
  </si>
  <si>
    <t>MaskId</t>
  </si>
  <si>
    <t>Length</t>
  </si>
  <si>
    <t>Decimals</t>
  </si>
  <si>
    <t>Default</t>
  </si>
  <si>
    <t>BigInteger</t>
  </si>
  <si>
    <t>Integer</t>
  </si>
  <si>
    <t>SmallInteger</t>
  </si>
  <si>
    <t>TinyInteger</t>
  </si>
  <si>
    <t>Boolean</t>
  </si>
  <si>
    <t>JSON</t>
  </si>
  <si>
    <t>Description</t>
  </si>
  <si>
    <t>MaxRetryLogins</t>
  </si>
  <si>
    <t>SystemId</t>
  </si>
  <si>
    <t>Sequence</t>
  </si>
  <si>
    <t>Caption</t>
  </si>
  <si>
    <t>Message</t>
  </si>
  <si>
    <t>Action</t>
  </si>
  <si>
    <t>ParentMenuId</t>
  </si>
  <si>
    <t>Tipos</t>
  </si>
  <si>
    <t>Usuários</t>
  </si>
  <si>
    <t>Tabelas</t>
  </si>
  <si>
    <t>Menus</t>
  </si>
  <si>
    <t>Sistemas</t>
  </si>
  <si>
    <t>Password</t>
  </si>
  <si>
    <t>RetryLogins</t>
  </si>
  <si>
    <t>diva</t>
  </si>
  <si>
    <t>UserId</t>
  </si>
  <si>
    <t>Alias</t>
  </si>
  <si>
    <t>DatabaseId</t>
  </si>
  <si>
    <t>Types</t>
  </si>
  <si>
    <t>Domains</t>
  </si>
  <si>
    <t>Masks</t>
  </si>
  <si>
    <t>Systems</t>
  </si>
  <si>
    <t>Users</t>
  </si>
  <si>
    <t>Databases</t>
  </si>
  <si>
    <t>Tables</t>
  </si>
  <si>
    <t>Columns</t>
  </si>
  <si>
    <t>Indexes</t>
  </si>
  <si>
    <t>Categories</t>
  </si>
  <si>
    <t>TableId</t>
  </si>
  <si>
    <t>DomainId</t>
  </si>
  <si>
    <t>IsUnique</t>
  </si>
  <si>
    <t>IndexId</t>
  </si>
  <si>
    <t>ColumnId</t>
  </si>
  <si>
    <t>IsDescending</t>
  </si>
  <si>
    <t>Indexkeys</t>
  </si>
  <si>
    <t>ValidValues</t>
  </si>
  <si>
    <t>adm</t>
  </si>
  <si>
    <t>PublicKey</t>
  </si>
  <si>
    <t>labrego</t>
  </si>
  <si>
    <t>IsLogged</t>
  </si>
  <si>
    <t>#CategoryName</t>
  </si>
  <si>
    <t>#TypeName</t>
  </si>
  <si>
    <t>#MaskName</t>
  </si>
  <si>
    <t>#UserName</t>
  </si>
  <si>
    <t>#SystemName</t>
  </si>
  <si>
    <t>#DatabaseName</t>
  </si>
  <si>
    <t>#TableName</t>
  </si>
  <si>
    <t>#DomainName</t>
  </si>
  <si>
    <t>#IndexName</t>
  </si>
  <si>
    <t>#ColumnName</t>
  </si>
  <si>
    <t>#ParentMenuCaption</t>
  </si>
  <si>
    <t>AskGridable</t>
  </si>
  <si>
    <t>crudex</t>
  </si>
  <si>
    <t>CRUD Express</t>
  </si>
  <si>
    <t>AskInWords</t>
  </si>
  <si>
    <t>varchar(max)</t>
  </si>
  <si>
    <t>nvarchar(max)</t>
  </si>
  <si>
    <t>varbinary(max)</t>
  </si>
  <si>
    <t>Transactions</t>
  </si>
  <si>
    <t>Operations</t>
  </si>
  <si>
    <t>IsConfirmed</t>
  </si>
  <si>
    <t>TransactionId</t>
  </si>
  <si>
    <t>TableName</t>
  </si>
  <si>
    <t>ActualRecord</t>
  </si>
  <si>
    <t>LastRecord</t>
  </si>
  <si>
    <t>0001-01-01</t>
  </si>
  <si>
    <t>9999-12-31</t>
  </si>
  <si>
    <t>1753-01-01 00:00:00.000Z</t>
  </si>
  <si>
    <t>9999-12-31 23:59:59.997Z</t>
  </si>
  <si>
    <t>0001-01-01 00:00:00.0000000Z</t>
  </si>
  <si>
    <t>9999-12-31 23:59:59.9999999Z</t>
  </si>
  <si>
    <t>1900-01-01 00:00:00Z</t>
  </si>
  <si>
    <t>2079-06-06 23:59:00Z</t>
  </si>
  <si>
    <t>1900-01-01 00:00:00.0000000Z</t>
  </si>
  <si>
    <t>1900-01-01 23:59:59.9999999Z</t>
  </si>
  <si>
    <t>number</t>
  </si>
  <si>
    <t>Unicities</t>
  </si>
  <si>
    <t>Sessions</t>
  </si>
  <si>
    <t>SessionId</t>
  </si>
  <si>
    <t>json</t>
  </si>
  <si>
    <t>ConnectionString</t>
  </si>
  <si>
    <t>dev</t>
  </si>
  <si>
    <t>SQL Server</t>
  </si>
  <si>
    <t>MySQL</t>
  </si>
  <si>
    <t>MariaDB</t>
  </si>
  <si>
    <t>PostgreSQL</t>
  </si>
  <si>
    <t>Firebird</t>
  </si>
  <si>
    <t>BIGINT</t>
  </si>
  <si>
    <t>SMALLINT</t>
  </si>
  <si>
    <t>CHAR</t>
  </si>
  <si>
    <t>DATE</t>
  </si>
  <si>
    <t>TIMESTAMP</t>
  </si>
  <si>
    <t>TIMESTAMP WITH TIME ZONE</t>
  </si>
  <si>
    <t>DOUBLE</t>
  </si>
  <si>
    <t>INTEGER</t>
  </si>
  <si>
    <t>REAL</t>
  </si>
  <si>
    <t>TIME</t>
  </si>
  <si>
    <t>VARCHAR</t>
  </si>
  <si>
    <t>XML</t>
  </si>
  <si>
    <t>DOUBLE PRECISION</t>
  </si>
  <si>
    <t>BLOB SUB_TYPE 0</t>
  </si>
  <si>
    <t>FLOAT</t>
  </si>
  <si>
    <t>BOOLEAN</t>
  </si>
  <si>
    <t>NCHAR</t>
  </si>
  <si>
    <t>TEXT</t>
  </si>
  <si>
    <t>NVARCHAR</t>
  </si>
  <si>
    <t>BINARY</t>
  </si>
  <si>
    <t>DATETIME</t>
  </si>
  <si>
    <t>GEOMETRY</t>
  </si>
  <si>
    <t>LONGBLOB</t>
  </si>
  <si>
    <t>INT</t>
  </si>
  <si>
    <t>LONGTEXT</t>
  </si>
  <si>
    <t>TINYINT</t>
  </si>
  <si>
    <t>VARBINARY</t>
  </si>
  <si>
    <t>#EngineName</t>
  </si>
  <si>
    <t>Logo</t>
  </si>
  <si>
    <t>data:image/png;base64,iVBORw0KGgoAAAANSUhEUgAAAIAAAACACAYAAADDPmHLAAAAAXNSR0IArs4c6QAAAARnQU1BAACxjwv8YQUAAAAJcEhZcwAAEnQAABJ0Ad5mH3gAAAGHaVRYdFhNTDpjb20uYWRvYmUueG1wAAAAAA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RpZmY9Imh0dHA6Ly9ucy5hZG9iZS5jb20vdGlmZi8xLjAvIj48dGlmZjpPcmllbnRhdGlvbj4xPC90aWZmOk9yaWVudGF0aW9uPjwvcmRmOkRlc2NyaXB0aW9uPjwvcmRmOlJERj48L3g6eG1wbWV0YT4NCjw/eHBhY2tldCBlbmQ9J3cnPz4slJgLAABQIElEQVR4Xr296bMlx3Un9juZVffetzZ6x9JAAw2COwmQkih5RMuiltFih+XwyGN/sDyO8QeH58tY/8H8Gw6HHTFWjEOSHWJIDmo0EilpxGUoaSiRgsgRSQDdWBqNpbe331uVeY4//E5W1a133+tuivZBPPStLSszz75klrzy2uvWpjkCDDCDmcFgEAUAgwBACDAAAQIJgdchUChM/X4zKAARwSoIEsanAABqCjMDDODL2AZ/yontAYDB+2uGEAJEZOk95doQ1HTpuIAM3lXaPQm63okstScQGE5+LowuKYAAwITPRQSYAOL3mQAw4kC9XxjN5bCfJ81Vd48AMEUQjlVEIK9cv2G5nfOl5XlHKgCIGMwGExuWX2JmMFUnAhILBp0tkwX4yEaTUDo3/L9AECCcgBGIyNKgDWyzDCj4+wuoOoGdBMLXCqQb//j+QvAFxn0Yw0qkWJlgI5mIt2kgGYhAvC8kAgN87gFAYQgSurZPQvYYzAwiPgYTSKEub0NevXHDctP0F4ydNSk96SkSIAEMJ2DIZd0jo86ZGRFaELYKOipdnuiHA06WIB57Ztg/TsbxNofnTkPsKhjPxfB4SFT9+JwA/Loh9PNWGu34xJbm4zQQka6d42PgOyGRhEWKB1wCuYAZIh+k1sG7LegxjiyTW7iPVDzusCEI2zRxJhgBxW95ZS+eHhrEAAswI4ENVcPSbSvaHJ8bHxc46fwQihoq9w6JvfwShDLiHvnDe8TnueCgIPch3l/ws8SwPDPAnVCZu5oNhQTMdf9QBxXgORftxU4YiyJRIvDYywc9AyDSE0wIAaF7PixzjMNwEstzxybEfFKlEHF/CSPkndjGAMb3j3+P/x3DcHxL90qRggMdLqMx62AeVkjTk6AQPQCMGZG/A+ASAh2+KdB78eQw5PTSkJuDJ0okUSeQY9eFgwSoZpyQMOhENwErGu90r+uxpWsCSCgEtXTphwMrkLAK+QXhQxgeh3CcuPt5WjH3A0n4MHDsPgEMyvkp/R2+nxY+RATB7PggCyydc9Y2W6VjhuJnfG1gdR+nDkJ59qTLQpF5HGSJoE6DJSTJagNzCOIexer3/gDgSO0P2e8xIZ0G5flV9y0RjFnX/hAKA5nfKwCCuRtTdDnKCwYcVxDASRwjmLRR/uzY9eMdwQAhx5Dr1NkdDidoOIErJuE4rL5HqAWPnxweevtLNs4AxkwwPh4+M7zWnzt5DEM1u9TucJpOVWPlXP9+o4HEs1a8D3fqyjvGgxh3hH/HX2jFwAOOIbzQw8mdLe8t13pD6qT7CzzoOrAaeUMQ4f+oi3nf8H5xH30MMnIFx+84hrwBjO8dH4/hJCI4ER7mHoegKzpZqKXn+ge3KEMcAh0nj+nlpPZ46iRRfwIc7/ojgYhAXR0E94xK39S7oc4sZtadK8+OYw5DOI0A8BAEdBKIPdIMAavaFsZtFECgKBxw3QDpwwfHx8fOB3JQ307RcSs6MILh9QdN3BBWceYSjMc9GMMQmWF0PIRgVBcWlrVqefNJ84JVEz+C8bjH14Z/3fVeep8IvbTu/7o3DR+24o8M+3lKn8edPBWEEahjIsDhpLZOm9Ah2ClBna6N4XWRJa4ehmXVEb0KzAk4FDVRznP+OljVl5PGWGCIoAInjX/VudVwwjtFViLXfbfx6b8fmBlMpY9+DqAM5OEHdDqM2xkORaznbBkgOYDWj9AJZmjGCabQazDwutAgLs931/kP0BHD8iQOETlG8v+3sJqYDGRIATqXHscstgGMO72KSseT38PJ109q81FgKFQ6n8HPlRbL+TFnF44uTQRHPIIgBHI6/J4x/apQHfREzPN9m8fHexoM53HVXP0g0BnpA29s2DdbvkQCGL/8NMSM710FD3ELcEpb/QT3otyE2BBhoqjcU7jX/N5C0UGcg/0P5fn+JV1eIwwIgpd6rh/C+LhAR2QC2CgcjOE4RnDaPP99obPBRq8Qn4cCgZ042fcenlt1fhX8wAPz5sfPW+G8EQqGkiAMxL0V5A/6HELwPyI8SkAcuZzFAAbgkbTl93Vha4fOpnDOIneNZ3z5cAjj9k+Dh7vXPDI6ODN6jIYz+2iepPuhwBhpDwtlYEsIkDGV9r+XXLHheaZWIM7RQyg5h4Joxuh5zd/KqJ8Igjs00TswJCI25lLFJRHVQt/l4ZtFZEnf/iBQ3v/Q8+t5ET9YvuTIN+3xFU6irGMDPwXGev1hnzvpvoIUjPxxrNDp8GskHpf9gc+bGbIpVBWqmXULCrfeA2KMqKoKMUaIzxsnSaAILhfZE3q5PXdJOM5dWNXfR5zLMdgjGZDDd4yQb4ztmC17M/LK9euW28UxrnkYWIXsVedOg0e59xgMHhWQMzlZlAKhqlDFiEldI1QVYhDEEBFihSiRCBd1CjKYZqgasmbknJCSIrUtUkrIOXeZO/GCmSFi1Lwgphx3rmagfHpIJJb7TpqX06VBCfceN2CGzzBoRxUnr924bm0zdwJY/dKT4FGRXSYDKK+icSd9fUI3ceN/hyCOiK4NH3iQgMl0gvXpBLPpBFVdQyQiBFbDqDJlXfIfBArpIjEAoRTVvoglpYx502C+aNC2Ca2RAIKyYypGsaLGfwZ9dtoqYueB8CACgBxj7h6sTOQJzxacgdIMAOT6jRvWNkf+wpMf/PvAMqEIE0Yix3T7GNFA36XhhJTfLKoS1JVgbVpjbTrBpK74iNEqSLkBAEQEKIx1ByIw5WQVZUMcGQAjN6t61sxQxRrqIjQrME8Ji2aBJpPzzTywagZVKpHgyZ4h51lB0Kpx+rhO5u4Bek645WEYkgRAdSlQyGtOAKXmb9yBnjCWzz/MywqM7+3CqoNqmHFLxbjC2EWDdAHsSTSsVRGzSYUqCpKa1zCCJqEEmCmsuHo+FgPrGEV80rMjJrCqCIUAXFKoGVQBCQFRgChA0ow2AfMMNMmQoTBhuzD2G64WioRSDuAYoQ+5fpUEGM7fGD+PAl3bKMayE0Bq5v4CTt4YViF6VUcfGqQI15M5v7Ouvf0gAep+/iwYJpF/IUTkjlpIxMGrmH1I/oMgQupX7UpcYKZeoUsJoeoqwhRiBss0JtmeQC1D3AoMAmQEHGWgAYs2zbK/l6FDEoBT+6oJHsBYSozn92EJYBV++nPOcBIKARxBJPpbjxPBuBM/CKyUAt17AlSUx57sIIX6/SEgSkS0hCla1AIgRCTnYgvCOmIJEPf1UfLtgZxIScKxMbkT6OsrX2rGEnfeR/FvZoAmQIFsXvmMgKwKyZQssIwQI4JENAosEJBR+5iVWVHz3xwecWvuunp4uRiQqxA3BEb6luM2q+D0dhSCwMrk127csNQ2Pk895oe/Vzfy94OlNsla3XkRAYqfHSIqGCbWoE4LJFU0OSPEClVVk7skINaVR4wM0TW7+Tjo5rkqcbUAo8AInfFHqaCWqA1MkAHAMjRniCmyE4tAoDlzTYMSieqxATWDSo22XgdCpC1iqSeADtHsm3f5oaHHy8CgPgFOw6GAxafy2o3rltvkUvJRfM5lOEmUA0Tw0uulP1ckw7CDAVyAoiEi5gUmzRGytWiLrpYAA126qoowE8QqIAjDN+L+fGnTIKhiYF09RQPUzEW+sL2sMBDRqiSq4FycswKqMMseR6DCyMrz0IysfF8INVQTUEVgugWtp5QeObunocDACzH3JAqIUGW4vPKb+uuPQgBYKQmMM+JiR67fuG6pTYNSL+/kMRD/Ww6RjqmsIHT8YpPjoVTK+p7rRYS62EO1Mt+HHu0gZwEmE0BceIWIGARmQIxEIEJEVdoJvbgnIZSS7eDGnyBEjwM4V5oBphnQ3E18QZj4NVWFJUUq5wDAFLnNSGkBxg8DNFINxRBgVQ1dOwOpZrDcuKrJ7jXQ3QQYui5zUuYQRSqvIIAeWw+Grr0CAi8GNcj1129YatpOAgwfOg4ebRvAmABOgzLIMunDcyUUixAh2iDt3YUdzWExQH05Wgw1QqiASCOSBBWAShBKtiCax/t9kYgZlYEJo30xEnnB34nYGW1qCikRQ3HuNABGohATaEpIOfFeCxyNAim3aJuWhBS4xKuKNUQMbQvMzl9CvbGBtmm4nK4LSWrhg54YhxJgeBHobIBTJe4JMMQPWY3qy+Hk1noOhd/Hv1X1gcUS7/8lSBAu3ihUKz35lvZDrBFzg/mdd3G4t4+FAY0aLFPHpJSRTIFsDO2a+/KZhGim0JTp1iUF1BiypZiBSeCki3jEr3BjP8MKjAo/lHgyrgM0J1gxWvyqQLbsyPRnckaaNzg6OMDRYQOxFgfvvoX5/Xuo6gnEpVFRPwUx5f+F+1cDpXPopvDEG0+F8qy8euO6aZMgTgqrOH9IOdZR5PJ9IuSksRQQ4f86xC9d60uvpYrI8wMs7ryD+aJFa4a6mqCuIkyA6CIbEhCD0AD0xE4AYwNBFOKx7hAMERESXSWY91GIYEoelyTu6wsA0wQzQ07O9cUjNHIMDNA2I2tLgsgCzYmqwBQ5M9kCU7RtQ/uhqlDXE6Q2YePxK9g4ew5t00LV3UUzANldRr4w2xJ3dtCpVpxGJATe6vcX9ezPdRIAHtb0R4bPH+PiroB0Beevtht6M0VGrRfkQwShrpH3d7D75mvY3d2DGiN3WROyZkANmqkzYwgwBGT1YI5yZbJphmaPuSulABHEmTBQQkix1D1sSy4mYg3gfR4HMH+Haobm1KsEZoa6UZkAObX+vPhiWU6yaEZaLLC/twNAcfDe2zi8dxd1XSNEjp/PBRImIgAgLjFdP3Mdg41RMD4G6BZ3/XQicCx47hTMi5aHx/h39JnxMeKd3T3+xv7hkgnD6C4ZIJ46P6CuJ8gHu7j/7luYZ0WoZ0guUuluKdQzejlnWFYEN/CQjckaTbCceK9H8Mz8OUvIiQYczPp8gCo0J7Zb7s8Z5ulU8ykyGHW+gsaeJqTUkHgkICndRJMAy25veGLJjO+KQYBkmM8XyKnF3q1bOLx7B3U1dfvVYxjmyanCeAMDeQjjY2AV7tDhT4SqlweDfwwIjGiVi7013gN/Kxi44XV0a/z42PJzAaGvxhm0JSKkOq+aiXWFdLCHOzdfQ5sVjQGLtqFk8ABOzhm5bWGaIWZo2xY5ORH4KOiTUwqppk70aUnWaEZOGVmEej8zEKIGZDXknNCmjOTvysVlK9xiQJtaqCpSk5DajJyVUikwr0CPUKHJfX5VJI8gBgOqqgJUkVNCznPcu3kDR/fvo56udfNOyQKqxE5Nuf0kK3gOJ5xbAnHslSN6T2rmNRQDf3n5IZAShccRRsNldM/Ss+JEVAbgv4fQEUmMyPN9vPf697C7u4/FIsFSQk4Ka+krq9J/tqzIjgCASNScPZrF9sw5m/LYDUQX8WaCbCByQMZQzf6DRqZqJqFY5gSpdokeErygVUoZQNDmRKJEAGKkKrHMifU6BCI2UGo0C2jOyE2LvGihucX7r/8d5js7bhgy9tGL7W7q+7kbE4a4HwtQda0UAzw3ZFARVzFBSklYmagi2vuGSoi1HD0QpDQR+DcQY13VTawATbhz4xUsDg9RVRMsUgtNGVE4uW3bIFiGhKInAzQbzDm2aRNUs/vwBtWWnO1Jl8L9be4lQfI8vxo5mHZLb7toVmhm+jfnTLGfskf7yOlZM1JK0JTR5IzFYgHLCg0CU1r1SQ1tylAVtJm/k7bIqYGmBqmZI80XsLbB7RvfQ14sPHXN55dtDIdyzU9ZiWH4veW/k4Bq/DiBlPBDBzSMhmeGxt3gtz/ITnv/BtLAgH6tu1NvuV8CsHvzBvbv38eRGhrNqKRGRkDO1K+pNSxaTjRTsYZsNMa0TcipRdseIafUGXQpK7Il9tJnSHxFj3nvczY0qUVKDdqG6qRUCwGMBWTNyJrRto2Hjg1Jc7cSKGtGqxmLowYpGY6aBm1qkQVocwYyXcemLVKLBJmTol3MoZYxbxZoGkN7dIh7b7yOKF6z6MzWxUkGklSkR2GZz55pT4LBtQFei7cR+hdF/ysNik9ZmTpZ8goEvV4iEZQJ53O0ulkkwfY5kGoywcF77+DuG9edUwVH8wZJafgtmow2J0AMKSv1cvYoXCZyzBM+1qp7AszaiRlyVuRM74HGmz9b+qK+ZkEVmhQptchZnevZ56wGzRx6Sm1niGbNgO8LRGOS96sCKSnaTGJkzoCT3OYMCxWquqZ2MkFWQ5sNe0dHOJw32L93G/feuYV6Muvm0iR08814i6sjXw0tvED0HGfsAay+WMgiqIcbe1XAl5UHe2lgHdWUoyHHA850Qvt5KC2K7opVjfZwD++/eR27reJwQf95OqnRZvrVsa5gNPDdUFMacDkDoG5OqUXy42TkVnM2zykhtwkptWhbvy/Tg4DH8UVpF3R6P7PkS53zReAeAQ3M7PZA8RhCiAgZMPU2PLmkpYRM+YyECM2G+cERkgJSMYcxbxLbR8ZiMcfhfI7bN9/A/s4O6smEyJHAP2YkOL9Av3p6KHGFkcFHgYJWr4Dwk0ZuHyJ26Xf3q//t/N2JqYBIseLP9Xo/IgTB+29ex/27d5EMWDQJi0UDM0FV8vB03J0QqVcN6OvyzBh0SZmGlpLr1ZTpXQgMwgKO4kYWIkiti3cSETWLsW3zbKATi5qhbROSuQ2t7EtOjvAqet0giVgC541EQ8nFuAMjjofzQ6Q2wwRomhZtUnriIjg6PMR8fxf3b92C6fLOIqye4vEYL/xjyDsOJPISojq8js4hIFjJCfgpci0pbvzCAloMQr+29D7p9xIKA+IRCGKscHjvPdy7/T6OEkUsgyaCxeEcOSdEiEfS6Ecny/4CAyBomob6WgSaFG3KaNuErIqmTUgpw4Q5AopyEkxSVwtGlcH0LKCWkZK6799LVFUWiKBIR3Xf3uMTqswcRg/kdCpEsxemUu0w/pA5J2ZoFwmLxQJSCSCGpmnQtg1SbnFweISje7exd/cOYj1xm0+6wBChV8FEWzi2n8IqEPTewhCMxbPizXGSyX0r7nYIHvFj4JRQTJOCq2JXFO6XGJBzi5s3ruPuvT0YGGplE0ROu2iZKMmcuJQZAcxeURuCQEKFRUpIbYIJ9W52EW2myGbIbvWLsAiUOQOmdMuxpgzm6Us00J/PCTlRh2dTtErVk3JC8iijeGYxt7QzxKuLNPfqyagLsVi0yJkSK0hEBtumJ8MAUpuZVGqbhHt338Pdt96AtslD3yWWEmBOCCSI0NkCRMCyt3WMeVdIBRQCMKf8cop//X50y9C3QsF8HIrV3/kXIohVhd3338He7q4HVGiZU1c3TNgUjik+f0owTUAG/f0QS6qMUiJT5LYeiZMQoM7t6sgVxpIA10g5M/Zu8HCvkuDVEkPHasiaoLllQKi4g9kljCqyaid1WDKeIWLQtkE0uquFMEIQpNyyODXRfcya0TQtck4ucthnGL2Ee+/dxN1bb6OeTMjvhQgCmP0UKcLXo4ag5C6oA/895vKNvDQQy0QTzw8vHhcrHWJRMnurdUvH/eaGX6ygbYu3X30FO/fuAxDk5AaVZgT13au8wzS+MrIlegYCtEo9rQaEECECJOegIHTdmqalwZa8nj+zxn84D2LKWILHCoxpRor1zDELPB5QAktFLXlFcKtM9ggiJFRIKdHmCAFNotQyrxKu6goIESYBIhGqnl8wQDO9HFNAc0JOCU3bYt4mvP/WDSwODxHruseK0bbhPNGn5zWPDZQ/H4R0hNPbZ2N8SSml7Js8jtACRKxft0F2r5waNl4oFYKqqrBz+xYOjw7RJNe56F2q5GHKEEJneXd72KihSYzXFyOQ72MUi/sRMeCkVow3ILUN3UdPETNUW3rsgQ5VOqsGAIFRPE2s3JEAS4qcFAmlv56LcPXQrR00Q+O5gqROmCJok2HRtoDSIF3kxg1VFpWSaBOaxYJSQROOmgWaeYP93UPcffddVJUHhwZQGGwJHQPbYAmKmpBliTDEcpBi+fikj6mElCVugFD/9FRYzvdgArp9AHV/2+D9m29id28fIhWyCVLORIX7022b6KOLIMOIxESjDsrcv7oUIGdnGIBkirahZDATpFQMtsAoXlao+905s13qe+eekj308ZT4uGlmYanQKaHuVqSsaNuMJrVoEu0ChEj3LysUikzzordRPP7vDotLJdoIyd3PnHkf1HB4OMfh/Ah3372F1CxoC6DggPkPsoxymReWVyR1MNyObywJ/X8qAaFYu8t0MQZhgGhgcTqKaR2jBC+Yxi01+FVVYX/nDnbv7+DwqKHbZurBkF7UqimatqHBl1n0aRlITYvUzqGJ+tJE0DQLLBL5EiZIAiT16qDAJAcTNZl6141Eun+GprwToD4vnoUJw8RKYzIpg18SAtrMe1PO5PZc4gh8F2Kg0di0aJ04msxCk2SGRUp8T2k/0xiUQAQ2LYNRrRP37r17uPveHezf3UF0KSDB2d/XJ3bGXlEBKEjnQWcfDNHaMSfvERHf2tkYu/N7lsFAkUkc+4u9sa6Asdw4fJoc9P7Nm7h77z6TIokFI1WMnsSJACKanDl49+fFDDEG1vy7Pk/GpJAE7nebW7paTAh5CNZ1JNug0aQlkjgYD9UDkzW0w8wLMsgpIUQYqNPb1Lp0gBedCNrE7KLBoJFthKpGlkAjVDPahmsK25YJJLq2gyokr00wYWwhLTJy59Vk7O3t485770L8Ps6tZ++F8RbOsmf6iivrv8V6F7HLJhYDmD8AdeUhIojFdRjpHEJPRr0xGCDuczt5dlarCRDrCu18jnu3b2Mxp+vGCJy7X1nRWoYFoA4V31tKt90XNwGt+6xIbSIHZffFTZG8YAOaXf8ShyEwHQ3LrOfzKh9m9wAJkWIaQKwYgCJ+K0AiVBVVFREApJaNhhA6A05CRKuGtoSnM9uexAjECDVBFWs3HhnwCTFAIlc0Za9VsFJJHCPo8FI6xRCQmgVuv/MWDvf2UbsxOEzBax/Dd2bjGgTWI/h6BAx4cqgC/BFWRj8sLNkGy4RSqLAIlyCCuq5x7/Yd7O3uInhZV/aqHXI0s27NoqFvDEGzSK4aaKUnr72nuKfVzDg/aFGnjNS2tCHMAxAmnbsmCJAQgcBcPNSp3xMv9J56C12FhJVNaNHDEGJkRDAlBnxcdAuApmnQNLyWGoayQ6AX0LSJk2OsQKJ0osdSvBMD7QWBsco50VhtVTFfHOJobx/7u7uQYgxKgHgELyKQ7zp0DGMAHWo6WK4p6BfleKV2v06u58EVBuESLF8LQlHspAozw+7d21g0iZE2z5G3KaNdMMtnmRw2ny86P3ueWixyQpsY7GEAp9iwdB9Taj0LSB2fXCLklJE8Y5GU5dsMDoNkSnmPlJOrDI8/uAdRUr80QhXZC3fFI+YmTA8vmpYqRem25kQ3rm0T2pYLSBjhK/aHMjEFLjbJyuwio5LF5RSEKAw8NXz23r17uH/nPQ+EDnU3GYpHywYegcQ2Pl1UibkkD9BeBZTm1ItVx1AaK8WErHzk5HDdXpEArIdPzQJ7OzvIygFXVY1aAk1hY1ZOxZADCzxSygNuJBLUEyoiTKqo61F4QUgX8UsstIAy1KuZSGhaRtpKYEiNSR04cauw+LKoBs2GpLxe5sDMXNVxtNkLUpqWRCCBSDMztInSwJRrFosrKoGSSN1DkRi9VoBtxnrCMrkQuPLUCb/JLe7fvovF4RHqqmJ/3M4RU1fDo6hfh6vVwp2MDsd3QCjCuwBFwyCcuIIYOmow42djwArWcmuMEUdHh5gvWoprS271VvSxg8e5vZ1Y1wyvKrkhCLNwpuRkxvAZgGHQzC1oESLQJcHCkzPqwRiAxNEkWvZwyz+nkt0DXSkPsnS5/7Z4BuSj7CFh8aGbB4eSMlwM16cZdGVVFRnKqptMNZU9xN00LSWQGVoYGncvPdQHiQGIAVUdoCnhaG8PB3v7ECcA9oE4o5/ixl9HsHTnO+NwDEU0CFg9TbE9RjSpozvqKlQGyO/b8Rf6daEVvbezh/39XRp9EjxIowgVOWHRsIoWmZyaQIQ2OXMtgNJGSC6a28xyLUSBSujEaxfgcWtaU4n9+9o90iljAQow6MMqnWEiqXVvIbv72La962YAcgZycg9c6ZIaaK8YAuv/WkVqM+sYGkVSAEE8fpCg2kJEkC0iezl522a0ie5l9pCwQGAW0DYZR0dzHBzseWVWr8dNhDseuAcnWvascev2ISAAfUFImcTyW6T4qSSEpeRDwTp60lPvGEu9Aw527uPo8BBNO4eYIsayZFswqWtYFDQpoXX9mFQhsUI1XYOBIcwY6fIpqCOBCLWA7CnfkjU0kONFgIzMwtFMF661DObumIBJrgbEeUQREGIFBdCUgAyYN8iqaJOHjwHMU8NsnpT9BoiUYiqpebWRsjik0YR5y+gkSkGqxyxMDEmpgpIqFqnFIlFSZmUAK0nAzv4+9u/vkMkGqtq6OafLS6u/x18PjjeXDM6tgD9Pv8QNHYqTIlJ8/TsA8xU93XnAXxK62GQXUQRgmnG0v8/j4Ba2c2oRzVU1gYog1jWq6QST6RrdKm89GcUpxCAInVhvs2HRKJIncmhIkSCUi4ZcOgBNk5FazwkgwKQCwNi8SYAGQSoSSoGmpaVvHiZWsJg0qVcghwCTkqWLrgaYZp470UGEBm0u8YAGbc6QGGFSsXysaTB11670PWegbTkWeg6ci5wNB7v7yCktra0UuNPjDFiigr1j50ajlfxDiXo6GP8GBePOJ6LFvKXl6wQjojTS3K4uEagSiOkgcAnXYtEwMyYUj2ZGPZ0S5h7JC3UNqWqoCGbrU1x6/AlcvPw4Ljz+OJIZdvd33T1cIKcFqo01TLbOYLq5jWpjC2FjE/XmFtqcsGgXMFMsDls0Lbl3c/sxAAF7e/vY3dnHwbyheydcv7doMhatojFBDhEWArLvKZza5Kt3FG1ikSqM4e1kiiSK1hSLZEgiaAEk35hisVjg8OgIk7UNYLaGec7YPTjAwj2do5RwpA02LlzA9rlzOPPYYwxeiUtF91BiFTBvGhw1CywWC5QvshFcOnecyf8JnDKkHA2QDuLTjKYkAF8a1ibW2HX6Y9mCFNc5UsSQF3uKcelEMRjFU7+pbfHXX/93uPnm24zyLRpMqoiqqikGAxCqCpPNdWxunsEnPv5xXH32Gra2Nro3v//uu/jyn3wR77/zLupJhWSKFz75KXzmx/8BAiLqSYAokC3h7vvv4Zvf+AbevfkWZrMp1BTnLj2Bn/65X8BbN17D7//u7zE4M1vDk1eu4Cc+8yLefucdvP7We1hbX8ePf+bHMJtNyVdm0NRg995dvPLqd3Hv7j2YAhlAyobp2gw//uP/EdZnU1rvIfA54Wfd3nr1FXzhdz+P+4dH+PHP/hR+6j/5abz/7jv4rf/zX6E5PERVR1hd48oLH8R//ov/KaIm/NZv/AZu3nwbk3riCTFlFtWl5jPXnsNnPvuT2HpsG81iASslfNZhtMMVldUwFS5k7iH3g86GylJZeE8s5qtPAVKTOvIhBmP2wCV/X/Vb/g2Bxs1iMYcEIIYIidxzL6siiyF5TGBrexu/8Eu/jE9+4hM4s7WBvfs7eOvNN7Czs4uLly/jV/6r/wZPXX0W88XCq3ZqrE9q5MNd3HnzDdx57xbaowUef/xJfO7n/iHOX7iI/Z0doE04c+YMpjWJcX54wBU5O7uIVcTlJy4ixog2s5J4Np1iWk8xqydYm06xubmFJ5++in/w2Z/Gs9euUgRa8HyBYW1tA2fOPIZJDKigiJYQNCOYolkcQTNQTab486//Oe7fvYerzzyDz372szicH2DRttjY2sLP/vTP4szGOv7iq1/Gq99/FSHWSAYnQpaySYiQusLRYoG2aUcqwEU/Bl9kA2i7gRlSejbLiO+B6iH+81//9X+hmUUNBHI1BYgxlw2BiDLGPEA4f5akRC8B5vM53rzxOg4P5xAEhlWLmwfj5oyTCT770z+DZ554AkfzBf70D/8Nvv7Vr+Bbf/My/uob38Du3g7OntnGa9/9Du7v7gGhwoUnr+DaM0/jO9/4Cr7w+d/Dt77zbbz88suYrW/gqSefxNlzZ/Hdl/8GUMPlp57Gk1eexru3buLm9euYTddhEvD0s1fx/LVncOvt93Fv5whVXeGFa89gMd/Fd/76L/HGm2/h7XfeRVLg3NmzuHjxInbu3cb+YQMgIFYVrly5grX1Gb7yJ3+Ar3/ty3j5b1/GV772NXz5y1/F9dffAEINiQFHRwu88dbb+NRLn8TTV5/BrVvv4s1bb+Pnfv4X8dEXPoCbb76JL3z+d4BQueVfhBAjo+K5gsl0HU9duYLtM1tIKbkx2Iv98rvgo79Y/sZeHlW1MRRc4stF+KpTDjpiEBD5EA/LdhJg8D6HIOLVOgFiwvCvixfGtJlkufDEFTx/7RrMgH/7b76Ar33132Fn9xAiNVQNf/WNv8bv/OZv4Y233gaqCRapL1ZNCGi94EIA/PU3v4l793dw8fLjOLt1DkeLllvGAKjEMJ1OUK1NMV2bIlYBQEYI3CXUjDmptGhw9513cfv9d/H2rVv4y3//Tbzy+luIcYqnn3kWdQwIkXkDTS0CMu7f28V793awu3+IplUcLFocNhlxbYaqmmFj8wxuvvkm/uiLX0IMET/1uZ/BJ176Ufzoj/wYmsUC/8/v/DbmbYtYVeTgjosFIfahc0YqmSRbBVTNlMyUBixZ711zqoShajcPeA2UPU90ET3zB8u1klka9YFuRA8i3K5t0TK6hxLRc+RFzwSePXcBNYA7793C3377ZWxubUIFWLQtgkyxNtnAUZMwWduChQlaD8sCQGsB86Tc8LmKmM1mHtQUrG9uQKdrWNvcYn8CE1OIgmpSMyOXWetfVyzBFq86PmrmaJoF2kWLnf1D/OXL30NrhnPnL2Jza5NZTAPMlN5EmGI6WcNkMsWZxx7DxfPnsLG+DnVijQJsbKzj63/+l/j2d/4Dnn3mGfzjf/SPUEfBl/7wX+PVV2+gmsygwj0MC8fzMzYVQjXtIoostx9F/crPoQqAqwAU/PmyelCSFyh2xDECYCSQkalVkqbAkuW/CpwQGs3QzIKMELgDSFbB5voaAODWrVvYWyRINUFVT5gFAsO3SRVNUkAiIHW3amb73Hk8+4EP4Klnr+Lq88/h05/+NM4/toWdu3dwe28fsrGByttPbUIMlGQ5MSaglmiRZ+bvAaBt5ljM51gsFtg/mmPeLLCze4C9gyOsb2xisr6G7HaXGq30X/zlX8Y//R/+R/yT//6f4td+7b/DP/tn/xM+8yM/ioO9XbTtApoTolSIEPzhF7+E+3v7WJtO8O2Xv4U/+eIfYX1zkxFJM8b31T9G7WFp04RYVYj1hAgczblIXysonqugCEDvDkrJhhi5d7QWrDMCx5a/Y4LqQ47rkLEkKGBmiCFiUk9QTSddIWOTM44WLAg1VWRltixIxKSeovVsXz2tARFkMAiTM91HCe6aAvjIRz+O//bX/gn+i1/5L/GLv/ALeOH5a9jfvYev/Ns/wU4zBwKNKLjhGWMFCRHBNwip4gQh0l1jPFXQpgRWCAYGZxKLR2IoNQVgcFUEVaxgpmhTg6OjfcyPDtHOD3G4t4+mbbj2XzyyEgxSBTzx5BXEitvHXbh0GZtb59AuWgTxzSdDRFXTViq1fJDACKKNEDeI/wcE7xdVHq8zxNXVCJgThkv0Yq8JC0KcOqCrNMIDoeTphhBj4Fq53NL4M2XCCAFtYhZs5/4eAODi5UvYWN9AmEyQBGgBVJMJYhWBinaHWIamhKZZAAAO9vfx3q1bmM+PIIi4e+c9/P7n/2/cvPk2KgjyvMHBwSEAYH19DaGmCyoCVFWAyBo2NqYwpX0gYD3gdG0d1doE0+kMrSq2t9ewvb6Ge/d3sbOz72I6YDqbYj4/wB/9/hfw+d/+v/Dbv/Vb+Je/8a/wv/yv/xu+9c2/oaoB4/oKxdXnnsUv/9IvQVRx4803cPny4/iVX/1V5gxK+FeYvTQP3EB867kQIIioaxLdGPrQGcX/kmQWd+uLKzi85NedrkhttAV7bi96ovc5By241bK8cIHPhBhQTyrEWNGLCNEzZwGT6Qx1PcWNV29g7/AQlx6/jBc++AEsDueIIUItMhcQAuqqRttwD8NKWJAhAF793t/h87/5m/jjP/wi2tRisjbDxvY2JpMJxWfTYufeDgyG7QsXMFlbRwgBVVXj0oXz1N9g3T79bS73qmdrmExmyNainkZ89kc+BgHw9tu3sH+4z8oecH7KcvWUM44WCxzNj7BoFlg0C25imRVNTqgnU3zupz6H7Y0pvvLHX8K//N//D9y5dw8vvvQiPvOTP4mjozlXQANc3xgiJFasOzCDREFV17SdHAHScTVXLReBH4SBOkJBoniBCKU2PQy2FBERKFRJPZ2IkH4NOq+VEK4v+bYSAqY+5Yv4D6tpKtR1zRgAgKqesgqHNIO1tXXcv38fX/zSnwII+Jmf+3m89NLHEWOEWoJGwcdfegn/9T/+VTz+xEWotlBLCE5r84MDtM0Rvvvd7+IrX/kqNte38ZM/9/Oo12Zo2wbRFO+98w4O5od47PwlPPHMM0htgw9++EO4+txzaGyOV77/Km7fft/lHsVorGvMZjNcuHAB//Bzn8UHrjyFe3dv47uvfA+AeHkXyCjCXUljJYhRMK1rTKc11OsSDcBi0eLFT30aV59+Aq+++n188+W/RZsVX/jCHwAAPvezP4uzF85i0Sy4lC16erfi/ocizFXUkwqTSc0wdbeOk+9QEBUqDF6j8CYAgLuBDquDh4agiiL+81//n/8FRRCpA04AwFgNlPSw+m8w2BCW9YrBUE9q3H7vNu68f4dlUQLqYF/HJhIwmU5x4/p1hCrgA9eu4YMvvICrzz6Da9eu4sd+5CW89NGPYnt7GwcHu3jr5i0gRJy/dBEvXLuGN9+4gRuvvY4wmeKtt29hur6Ga1efw+aZbXz/u99HNakwX8wxXzR49upVXLx0GU8//Qw+/JGPYFpP8Jd//Q18/c++jmqygc3tLXzwA89iOp3iiSeu4Nqzz+HDH/oALp89j3v37uKrX/s6dg8PESRygadEfPADz2B9Yw1PX72Gj3z8E/jkJ1/Ciy++hE+99CLW1tbw/e+9Cojg6rXn8J/98i/i6OAAv/e7n8fB4REma+u4+fY7MAAf++iHsbmxjv/wt9/24s/AT74Ubg4VptM1XLh8Ec9evdLhyIwqQoxKm3jr1QOxR2OQeBrZcB2Du6loVnLfjvQlxKMXJyDSAacqMQTjxqydLeD79m+729QaZUwMdEeycrMEyxlntrfw1S9/DX/wb/4Id+7exZOXL+NDzz+PSxcv4e1bt/AHX/jXePnl72Bj+zHEeorFItNNDBWqjTNY29zC1uY2/uIvvoG/e+UVPHv1OXz6x34Ua5ubuHDhIm5cfx3f/Na3sDZbx+OPP4HFosWXv/o1/Okf/hnWtx/DdG2KM9sbiCFgNlvD1vYm6kmF+eEc3/m7b+OP/+RPsbN/iOlsncRtihAoqttkmMw2UE/WUM/WMFtfx7lz53Fmext1NKytTfAff/YnEQD88R9/Ce+9exuz6RQBwPraBr7+9b/AWzdv4UMf+Rg++skXKU1iBZEKgsj6gpyBGLC+sYlYl9BwwQMtfx3U/y2jzfrvOA+RPzg0lFxA4v64JazIckjXFK5jgLL+jL8FRRr03E+rkkbSjVdexV/9+7/C7kGDWEWqA9d1aoacEmIMiFXA/t4+ts9s4cknnkQ1naJZLHDn9h0cLlqsb6xhUtVA4Cqj2axGTi3m8wXEAkIUhIo6cmt7C3UVcXhwgCDcSm6+mOPs+XPYmG3i/dt38O77XHAxnU4wmU5w/sIF2hiBmzkdHs5xcHCEw4N9VFUFiZHqC4b50QI1DNtbW9ifz1m6lZh+jhUDS/v7h9jb3cFkMsXG+gbMFHt7O2hbuptBKiabUqZhCgCa0SzmgAnatmHFtCgCIqZbZ/DJl17Exz/6PJrFAnD14gEJbvis4q57L8Xd6PcQNuM4nS3nUt5gfTKo3xiipyMd7EbJAgQ3VgRLfiBVQ3F7BPV0ivt37uArf/YV3Lm7hxBrVFVEjKylFwlchQOBiKGuaqTcQhWopzXMgEk1I2K9eii4TixGJs0BVtHUdY0qVkiaEOsKdR2Rs6Jyw69tGuQ2YTKdQGKNUEVUsWaKFFyTl3JG9KRJ1sTVSaFIO1YdZQ9utYk7qybfAUTVkHwlcJAKTdvCTFlZZIJpPQGMexaU0jDWGbCyoWkXXEoXAvch0tL3CaZbZ/ATP/GjuHb1ScwXczf+KIV6xMI5fuSeu5Qm3j2SVq4LuDYQRl7vBINbicBwK9LgL2QRo4G/yzV0cWgAYI3c5tYWtja3YGpos7pbyOJT1QyJ5TNuEQDLqGfTGepqirqeuiHD5dYhRAQE1L5DeJDI/YIjF5/AVdCknqIOAcEipvUMEioEqbC+vomN7W1MZzNM6xoVFWO3Dr+uK6zNpqinE0xnE8xma6gmdTeuINzCTQJQVxGTSY0QK0xmUxJfFTGdTlBXNSQY6joAqp31XpbBVdWElcmWu3KUGAMm9cQzL4KqnsAAtG1CqCpsbm5hc2OdbfgsCwwqnEsUPe/5mDEY/RYv6KEtIKB9ALOSYS4PFvEybAKDGEERB8MbXPRwqkhkOWMyneLs+bOYTmtAMpIy0AOvfqUSUThtuhtKcSUiS3GPGPxL3SGgrqeoK9YQisfn67rytKwhSOXiDahiRfqUYtgGmJCIywKM4DuIq08wM2kkjnpSI8YKsYqYTCbMZURBXVWognQLWMQnP1aseRTQdQMicyNgPoRVSQmiDDDVdQ317WskcLcTM0MdJ5C6htUVNrc3sbm5zrC6C16DILgt1mVtsQpvALzmkf8tl5UBXMTrv/3pQZRpGZzju4cH93iUkb9ZbCkieOz8eczWZlhfW0P0VTXMPArXzIfAhRjZy8VTIjkb6/HLK8wYPVTN3M9fAoNFcdL1t6oq2hiDBRhwlZHV9/MTeFBlinrCWnuWZHM8tLB9MWlKLHQNrDRSBISKyOXGDyyMLpXJBWJkNC/EAKdZBImAAblpYRCkbL6PADOjJfoX6wpqAgsR0+k6JFQ4e+4sZtPa+1Y8LgNXMQ68gKIbBlB0PiXE4IIzhDPaMrK7YMESlw9hoEfKvwK3OPvJTCnh0qWLOHPuLKIbaWVFTLcli4FcL4yvK3yQwcvRvJPdUi7fwkWNiyqrWCFKzfp9YQ1hhiEbd9/kOEAvpfOSfHMGLfv3s8y8WxkF8+1oxZerlbUIGTk5YcaKMXsBYCxXU189zFL2wXbx5d0FEWBArKxFbNPCI6YRAdFrEinBHjtzBk89eaFTtyVPM5j2Y9DhruNnjlHBr4ouwcDG80/GoNP/K6VAEaWDS+RmN0ooAABH8sbGOs5dOO/LsLi/b1ZBDJUvw6L4raqK+hMMgzJBkoHyqTdHEieCdG8mUPgSrkijjxFUTnrWUmrtMXK3kNkH3y/QuZ9tcdyqFMXRbROuUi5L1DPa5LpXuJMXOd3rBN1V1FLGDl+3YFw8gq6e0hAr31wyc+4tU+qUNmazGS5fvogz25tIibuNFpSQqJ24hjgd/O7PF09NfXe0nrmp2F12c7OE3lBY0i1sYfkFTixskKtuykoXQ7/Y4tLF86gmXBGTzFfk+iaN5lY33CCrq5otG5MfaizDjr4TZ/96zkabErlHGGhSj0SaV9WacQEFJaT3CUQeVRX1KlcO9yuQVNlPgJXRrCQuexSwfNtK5XBOyFBk5+wQoie7vLfqhlYQrgYqo+g2uyj7IRu/fRQAE0WcRFy6fB6TGLjnkNttSoeLs19WZhd8OI7Mep3MolEykZU9lxyCBXfuhze6lTiWFt3s+wtKO0O0LMkkBdom49KFizj32BmszWp+wTNWXSm0etDIjEgJVWT1rG+VThvBdXzNdLAzH7NtEtEk34sPPAfvE+P0rPLNytJuSHQE8zccicUqzr6KWELFHT6zwhARY8WcPBvvF5/47qPF5lFas27M+voBsDgmhgpQf1+3fxGNYiurirOijjXW1zaxvbmNS+fOsrag4MM/UkEG9p1KDN0WeS4aXCozkQZXq51EsF5qsyx8gD9yGf9bDbzW6c4loJ0Jp1KA1UCz2QRXnnoKMQZM19Y6cdlzKjmvVaBVLhzhpghu+XvAoorCXbn8PQZyVV1VCMJ9eZIWA9PtixChvrlD65k3dSu6TD7VDLmXBp+vTorcWKJpGphy5bAakEXcexaneM+nKrGhmWV0sSI7SvlUDQyhYlo6Z86d+nctpArcKraqkcEClqefeQrra1OknNwuo4Q2oVTMzuQm6pXcjo8u7k8B33NuD0U90bQdci1GgYQxuLtj7qr155UTaVwSxU+x0RBp24wrTz+Fc2cfQ/Q8dxUjqlh1q3KZJ6BVbSqQWAExUmeKABJZMBkqXyJFI4trAJUlrvBVxc7dJlwBxDgCJ6Us9siqSL7gQ8tuJG2iqPXFqFUM3Xq8stAE7sUoqQiWuQaQriP1cdkSDhYgCOyT2zQCIMba1wgwwlgWzCBG1HXt7vM5PP304/SYimRG6FSmgDYXQMm9hDOPzhJcoo/sNqDQhSD0RoEbCycEFABSV6/DhtRljEjJkIC4ZUrKLTbWN3DtuadZV+d6MlSciOBboIhQ5FOvoTMa+bHngOx2hnjZlME9BDOkpmUXQhG7tBvU9w/uCNZ6a11cFSiMW9moIbW0P7JyI0fAPIJJCZPhewiA82Di29m7L0/ioIxS0DNBKNHP6AtAGS/gFLOUHC7X2pwwmU7xzDNP4czGum89T/woyGSh6PjCiODvFYy+BKtxypUeANAtc1q6fEzMD6tMer1iRiovyCcHkJDUGNV66skncOniedQ1d9bS4tp4QAfGquHsOXcDCyKSKZIHXLpPAYHlZtTeAeaumCnngusJ/dMvyv15xTkhulRhapUbPMB8fb5xBbFAuM1sSr5DB8V4SopWmaMHuDqIc8AkUVFnJAjiJE4mCLXnQQRQ5bJ2EnukKBcS+WRthrNnz+LqU09Q4oAc1XM5DWy27B4M5cFxDi/gBHMcl5S2QZyTVrbgrtPwYcbtgnfG9Y2toC+BGy2CrC2m0ymuPnsFZ85sYm2d6/8ort14izTqYqgGUoQITInx+n7oTnz8H6WWoLNeAtwbcEMyK5eIlX4VqjevtFLNyMrFMQDr8UT5RZHk+jqGgGnZNaRbMMprdF2Buq46QmPYnITGrXCK6iyFpbQPzJNZ1WSC9c1NPP/8VWxuTP05SqRexxc8cd660q8lsb8CjiHHJW7ZH4DAFxSEU7yMn6ReMxRxT3+XHe2bMvTBiOIOpibjqScex/lzj2FjawOxnkKqCSPiEtzAcc43hSHzbcLzbYkP+CZPRVipG5JlchgPYEVR8VViqLjHX/JnwfX+ZowuBuHu4XAdnTM/6BREus0fOB9AFRkCTr5rSNs2blNkpJbSIzuB6MDLUF+72DGTUILEQMNwsr6Bp566gqtXLiO3ZWNrv7XjYqqBgpaOeUdoIkMMTnYM1YP4fQMjsHR5FbjYh4IC2N/Z/SA1DoFevteym/FjiyK49txziDFgtjZFrGsaexCEqkKMgevy3dIlxyhi4IojboqQYd1WcS4GJXDLGSNnqH/u1Uy6jSERPSycWW1cxHjZBFLcwMNgJbMZibFJDUeviqZZoIqlsIV9pLguUoeEXzaVLkQmAlig+1t8qWwKqSrESYXZ2ho+9NzTmIB7IjE722OOzziOxggdHzv0zxwHt2PdCAS4utQnglRFzC5TExsb0s0qCgR89uDkC0oLxgXO4/lnr6KOEbO6BkLFdYcSEGL0L2dw9zApsXr1vIH5Vzk8iGMGpqjNt2Y3MGYfJm6VM83betydY+EOYFkFUtH+oHsoUOMOYJAKIVZIWREiaxnKihyzgLbNHvOPgFQwYfDHfMs38R1Ss/cxZd9OzmhESmAshPNm2NjaxEc+9DwunNnEIrWdaiuMN4QxUofqeXjOzMjPw8uD33SogSBu/HQv9JuKIVb0PWmCorrEJZfEzAoYqhAuX1Ys2gU+cO0qzp8/AxNgOqkBCdxUIdOUL2FpABCpyMnKvf2Slh1AGWM3MO5ALiMXp5yZ/PEl0ckt/6y+n4kZt4BrmX1TUMVkY5QyuyFYiIAGoxDxFcvgspIIWPvo7qpRUqXEOsm6Zm0DwJiCgjUGJhHVZIbZ+jrq2RSPX76Ma1cuo23903ODHH7Jn4yhQ/LouDt/nC6WoLTo6wLKH8nCBhZ9f2tBZwnfOnRuCalzCLQFev1lBi8LB1782EewvjaDAZhOqA40RFioEauJl1QzOojgexBVtJapXtgz9SVQBoaiu+DRoE9CPQFVfv2L0biA7N8UysW+ABNKah5oCfy4Vagqbv+qJFLxpM3RgptfSgi+4AWIoUY9mQCB6m9ST7lFXMl8hoAwqVHPpgj1BOcuXMDHXrjGvQ99f0OU3ISB0oDFEUvQMZ+jrhwPJfIxBh0cFtnCtYHdFSKJl6m7C5yEdAw5fYh/ozQphhjAhI4osEgt1tfX8GOf+hg2phOE4GnUqmLiBOg2YjAvMzPf5oX5eUblUkqYN1zl022y2O3VSgOUkor9TUbjqoShuR8AYwAMHfv+QapoXUpQatAdDTEigTkIgN7CvGko6r2OvzVugReE6w4NdDUsCCwynWxZgRCwuX0Wn/74R7G1wSoihnuL7UQJBvRqtEBhtILgwvHiUkhAIlhmyCL0CUU78LuBS+AktQKWiMCPl8QO0EXEeF2cqErpBzlXjKtyLpw7i0994iP+KVgagQZOoorCgu/5C/FQrJEDpaJU4Etg5hk+F/nFM+iMMhG2ZTRhQ2RblhgIoZ8fARMs3IKHUXbQXVXfTp5TqBBkE9TTCWJgDp96n5XDVCMCiVRvVVUjVhUXpE5Ykra2sY1Pf/yDuPTYOpqGtQdWkO8ybcixS9BJ1X7ezUpirj8nGOwWXiKCS+3Y8XoAvwL4rpRLyB3dsopOSHVFBnFAaslDl3ShmDUxzBdzPPH4Bbz08Q8jBKAKwXcNmSKDxlUfDCIyW+WGSkU6iEcu1TNw6t8TSK7vU+ZmTeYl1EnpBaBsXKksFkmu+w3+rLo76eMJsYb6M6GqfHdPg9QROQgWWZFEECYThLpCCgINAg0RWQJiNUGsJ1ABHrt4AS994gU8cX4Di6bpHCh6eDRyx+r0UaBIgh61xR5atiUMgFx//XVrm0Vn8p0ES+KmiP0B7XQLSYxGI0pI2cVXCXnCt4cLEhmFEWA2meKNW+/g5e++gRbk+pS571/wtKQZuIu3G6Pcb9hFn+cGDNz8WKi8vYSbfRMwisFUrm9ZFwI//hjY75QSgruWMBpzBm7qpG4n5GSQaIjCiGb2L5y1KcFAG0V8o0l43Z55kyEKNrbP4MUPX8OVC4+habitpXjWkLqfW9OuZDqHpWtDVTECCSQEQ4lz9DkcgVcUv3bjuqWmKV7fMTgmNrwDq84XEAG5c0AoHQF4m9ztkpZWNGC2NsXb793Fy6+8jnkryMpt2iiJHJFg1E1Qsrk07hACojDOICHCAve/k8CF0uLGKF0whnZTBiCGGBk8ogow/2gVw8k8dpXiHGqZFb2VF6vyQw8NzD/xUmojYEDOCZMYUceILIZz58/jY9eexuWzW/wcnZp/tEkZ1nYkmUuA5dwKWXZJMjizHSMWcfYu+BPO2xgClGXhuWkHO4ScDqchvgfGEUqbHdW5VOiPve7PBBIU08kM9/b28Tffex33do8QAoktmzHVB/NMHNfycb0c2yVRcgFKn+cuUsm75FwoErjSJyWPycMD2+SU7NvN81m6igaWpjGzyPr9GCL3REotFi2/Z1iFmm5b2QjT9za8cPEyXrz2NC6emaFpPC5hfbjPwJSyiO8Qtgr5BdFu4FFd0G3snLUxDIihe8YhwNcF5KY93egYQ9FVJwKXOI2hFz9l+bPvVCmUFRDDbDbDweEc3/zuq3j/3h6/Lq7afT5GVYHMHbXh29JS/HMOgjDpYll9MQrtAxHWGLIDzPLBv+VTljqWXUfhu5oBmfaCG7OpUZaA1czpS2aSChVXPc8blrvHUCOIIgoQplNcuHQJn3jqAs6tT/g1VEc8q5UGhpxjahXymTZxI9opWlCKPnoCOSYNToDoNp68duMGVcADCIBz1/vXKyVBoTYJvUTpKlP6Zzp1UJowYXwJAoB199kU379xE6/efJfVNAK0KSH4gg7NGZDs++Lzebg1Ll45BPjeEuDWLpGpL0YRQ3DiYd0AXGSrG4BFD9ML8H2JPQ0swfMWXk8QIxd1JGPCKifFrK6xdeYMnrh0DtcunsFaZWg8oQUziFcSdSt2ylQUcbWk592ucmOuQBHvvOcRCMAMsaDgtRs3LLVOAFgWM0MuL8g76Xo5x/+RhMckcowAsLz6iAOiSK4iV/i89c4dfO+1NzBPiqqeIDunwj8goeC2rZ22N/VyMU4kq4Ur5hCM+fcgLM3OUEwmU0RaCb4/MXfyVk3uLJOqs6efDQzvFr+61P0HBMjUaxxM8PjFs3j20lmcX58B4Bb3HfOYl7mLuQEozH9Yz/0nIdLUbQMnEhH2vRPzJzyH0bUwlAC5ZbIDhQIHbfScXnR3f98xAgA6cb7KpuhUQPEQhtccCeU6A0CUBofzQ7x+8w7evb/PT74gMH1rfWpWYk05CWVuoIh84Re9gpWPW3hNABiftxgoGWjvUS0oPw3PbxWXUCwlhaFsmxcgMFQiTCzFiBArnDvzGB4/s4mL2xNsTCvfBd2R3ult6ziZUmY44T03r4LemOsNwPHc8cYiTXo4gQCuW2rdBhjcJJ1hRcSbFaT2BleBlcRQqHRwuhwPCcCMqocc7H0ozwZGzqqa5Vn37u/jjdv3ce+gwbxNkCpAmxZty9g//yuWNNsQYRQuWOj2F4AZqhC4H69y9xIYA0/m8QIWbtAty8YPS3MQ/mlXExgS/fuqxtbmFs5vbuDiZo1zazXM4wn80CYre4dIK5DB9Q7juVpJAB1hlLnq7xnibXyuvLec4/wrEAC5fv26te1qL6AnglKJimJqMR624mXdQFYRwOD+ngDECxv6ewviaM0LXUURbhsDw/39BW7e38U7uwfclDHSEi/PqnHTYIHnCgJQhci9+8H6QxhDwQGssGS5NccQ/OtlplzFnGG+UaUhQVFJYN1iEJzZ2MJjm2u4uFbj7Bq/m5yVuRTOnXWJMBnocO8dbKC3V81nj+PV/v6YUJbacMYc3wOih1Lg1evXLZ9AAIQBBkciZfgyjKlwBQGUe+hKGWDxWB0BQC4Tj2130kJA9IqgilwVvHvU4L3dfeweNjjMipR61ygZEJGg8LCsqxTzVbgBgJgHjsyQLbM0i9V3rGxW4Y7jbgBKFEzqiGlVYW22hu21Cc5OAramATEwV2EGmGUEA1QCS8pogXS2jiIAZWcVBxvP9BBpnXrqz52E3DFOMGqLl8kBAVII4MGBoCI6lpA87vUqKITgnQa8+NN1F+XQCiLwd1AaoNCsOwwGkehpWGDRtthdtNhfJOwcNThsFNlphmVn3GVcvBg1Aty9SzmeGMryLe7Tq4CnvgVmGfWkRgiCtckEZ2Y11uuA9SiYRa43LDWA/r9+6fYx4Pt4hVY95/D4vUPJMOS7ZWT2kz9+3xhv3W8UfBB58trrNywtmpUSYNULlihsRACdITI4KQMrVUB3rUN+GBCHrJyHXgJ0x/yGsAlXtigMUbx0DNza7aBNaBRoFThqEhpTJAtooiCEKWLRpV6qrQpEy4j+jSEgY1LXWKtrzCpKnFqAWRVQCWgvmXltgXfMiqHn1rzPRRk7n9LeLXbvgoPqhteBgcGdMu+rEDw+dxIUnDH+4HNqoOq9fv2GtZ0EWN3gMc5f0SGgH8iS6C+3uSToiEEAiK+vO+G9wLLLuATS07HPLwDudEY3kM+p+f4EBqZ+jTYFEz70h01JRJUAZooohipG1BI6d7L46+pWeJmHYIwiioGG5Alj6Xx+dPplJeI7GHgChWGGbT8KAQyhPEPbSksgaHGiCngUWJIOKwhgfDy8fxWRrQKqBDcQbVlymCek+Dw/rwY4s7nO5B2UIExXsy/WxcHKpHufeIf3rRjABLZfgjvF0OuBT1Al8ETP/YzpnQJW+rfs6o3nxkaq+WHm0ODby8mKlUE/KBx7oQ2QfeJxz/tDajYrYvM4mP/X6Vnrp1LMq9WUZd1mDPaYVwpn863qwfq/giBWLpdVyX3BpFp5T/aC1D5oFUDCKcvguNFW3z+D+/qlJsF733X0RBDOiyMfhTlWIL9cW3U8nE8pxrRf6yS0ddL3eMMFzEulTusy/L7h30OBV/8CI+IoiC6EYChs3CHNjJ+doxL2SXYkZtfFXJdg4NJouC++PDk9BfZBlkC70cve++/7WWnXUaO+7qHke7n7iPcNy8qgPPvA+TFje0AnbTpJVbTHCMbtjYliDOIRzBC6LWKOd2jYSKH+R4FuoKf0pVuWdvz1HRRCKAhwNgOckTruBVf10NDxXT5AxDHWn/h5YEdy1z/Sj/dVIeVzcY6IkrhRlHPMTJrv5Fn0fm8HOJfpqjX2K6AQeDk0Sg+S2JBY2NaKHNtKGOKvtGGdR9C3G9RsIAH6l5UbqDXp7vC+Bw+q7zSbXDoegfr1wtXHwK+bDUqeyuIPF/+qTKUOkzhqHsb1+j8YvIDEOXrA2bTQFKL8SJRa4i4kg/4QuYXIMvcvdsSbDhdomgd+ylz5fK0Y2qpzQ5rp5+N0BnwQx2MJ+d0ZEu3169eNUbQVvRkAyWRMKKuhvGz40nEnu8G5Nd/9W6DMmyO9tLd0gxApGPSo04GDxmjoCOBosbIO0shrxW2joUX/3MTL14QBI77BDT7QkxBXQcxIcoasCKjiCBnc8Ou6QA7vhu/9XUX8Ayj9Ow0e1EYBAfpajes3bljbLFwXjCf5BCjzcQqUdpZUyQqxxHPHGxxOTLl33LfiCSgEdGNoYQuMNd3F3bQSNyjh5eB76xpggmCeUTTfgQMl+FSqcgJj+h63KbgEN1nqwfsixoRCRzh+TzfmoUvXWbD+7w8IQwIxJ9wxjoYMyWCap4NLKHg8watABoGdR4UhUscS4TQYE4B1epJIMKWRygwFawTK9X5iGM5l2tWvuytIgc1xmbNusZSDqz/WIDOELUUqeF1AcQd78IKYTnIQwdaJhx5KP4fcvYp5HgRjAniQZCm1j3Ljxo0uGXTSzQVKw0sU/AAYI7uI8gcNbhUVjwmA/5bzgfq8m2MiWkucwL97SI9hmGPwxI2/qvTKYF5YwmkV6bk6wBd6BJc2ncsmHkJ2leUNu3Z44PwWGN43nqfx3A2ZcXztJBADvzEkQNAi1h6hc1ZyyVj2L1fB+FpBrA1E+yoYPzcGvtvFPGhN0iqHh2M97t55CE54PmArBp1X+5aeFEKAq0NOMOMDLNh1onPC6ZHfEw/RQnuj/D6NYY7NxelDX7p3WOz5oDkbAnEOBCLy5M6Noeec5Y6KuOh8hE6sgqWJGP4cGpROeHwfbytel4j5/v/gTtqdaKZbpUIWKN2XknIegJM2QjFMA1PK4tVnZYv8IbnwQeEWrqHYEMP5WCaP7neRqsN5G437GIEM4FHnu/dWCEWIPVJDZnTJyu/+Qv/zVDBOMgbPL1H1aMDH7vGuBkQX0wFRmG4t1r8UKeX1dGWv3IBiGXKNc/SxL/+BCabAOgQRin0WnPIjUHyNdIPme72yeDglhUMHbsl47A8L4zl51OcL9C59H9F8KBDX32OErDq3CpaudYjyqTzm5vWw6ryKeIGEDZDgCDfrXsAKIQY8g4d5SYCUGGXZWjknTjzobAcajxAwBb00Wb3hVzirvJXxqP5mBqV6WWvm7xgx3qqx/tDAGYTbVXg0EBhRwMNSwwOgEMXwb4jk8UDHxwXKc2MQNWj50AXVdMdZAF0xUS8QMy5HKzV9Zp7VU0W2zEWrxkYYQubqHkMfaZTORe7bGPe5O+croUmghdPYO9omS48tgbhqOx0ebHutBDf0DazwMkqA3n0Q6ZhpJQwHvGoChvCwHTytDZzaTo8IUgAYuiXaoKU6sFz23ceKKLaSBPKIGCORbjyi7MJZdD0JQS0je3vlW0tLMDBuixQpMooixgmsiBtvYmleV7V7DJYl8cPC+HZzqUixOLph1cSPjx8GSjvl2VVtlIH0HHwcVvVnuL6Aap3GG/01NxJ9+1XxRSLcuFFo/QSuEApC7ijPUy962Zhzm4Hr/GhDBPBzWCPw+RPx/LKZu4knIGrgGg4TPg+mAXPtvaIPI4IawhAXnK/BugB6r/2DZbLHXD8EeUif/ocJ4z6Yu3MA3AQb6FqvoTfe2AV1ysRTDxrVhzjqgwd2ujHxS+qBT/M9JfizYtir5u3/Lxji4jS8iHgZfPCCkOxl4avET8edg8aG58qLyuVHHreQoFe1eRqMJ9iIRbdyaO3wHHW6cRPWJaQJmXngBkd6DMJ/ecVIWv4xiyXZvQIehgDKGB8GOIbTpKMHwErwaQW+eML/9dcGCGSpIKS738XqCIYdXj1IGTby8DBAfoEykPH5JfDXibtrIQRfOu4lYSEgRpaGhcCtW2KMiEH4mVbf0CH4JpChfNTKd/DmphHL5WVDQi/vHkPpN+89fr3A8eur5x04id6KCiieCNs66Z1Ubn6PoWs0iMf2GR6lIngYRJYB8IVCsXsawh4Chp0/PkHLMBxQ/94Bgkp0zo9lGPzxCyVWwJvIC6fVJ3Yw4MgT+7iCsAsUIlnm1tLf5XEXG2T8bDEvSWw2GPcpfQK6OSpSb1CXKyuR/zA1DXyu94l/GPBACTCCZYJcutKdN+daEf8qiXDMZQY4VgaOTh3PQ3SLX1D5IcAobH58fFS7D5qrvg36NubzEqRbUSs+Wcv6Nw4m8AeBk55d1eHhueFzq54fw5irOiiiWjwKWMArfYjwjhuIeKNheBI8TH9OIpLhs6vmpozhpPvGz5TjB50bQrFrjIaxH0oftBgIyhPhpMZXQTegwSMndXgVEsfHjwLlPRzlKj1bOJ2lZDgBd6dNqIgrpNHEr3pmiNxHGdfwufF7hjC8Z/nCGKU86HYJE49c9Qg4vXMP2/mljp8gTco7h22Oj8fPjGE4KUsTVFw8wzGDiWd6ZIzHVI5liXhpHB6bn3G+/5TunvSe4THL2/pjGVn4ZfevVe/h5hujORncKIP5Ctwhu1wsHVmt/8aIGh/DdRGNysHkjWA44OHvpU6uIJLy7/IzvHeVrWKu14t7a2BcoIg/s36XjjIh3Zjg0bphHwXQsouncbcS7lo6mJMy9jIXI+R24Ag68fqwrTGUfqEnOLO+vwWGbv3wXsCXzEHw/wIsHU99+C2XsQAAAABJRU5ErkJggg==</t>
  </si>
  <si>
    <t>Bradesco</t>
  </si>
  <si>
    <t>data:image/png;base64,iVBORw0KGgoAAAANSUhEUgAAATYAAABkCAYAAAAMjRzhAAAAAXNSR0IArs4c6QAAAARnQU1BAACxjwv8YQUAAAAJcEhZcwAALiIAAC4iAari3ZIAAAGHaVRYdFhNTDpjb20uYWRvYmUueG1wAAAAAA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RpZmY9Imh0dHA6Ly9ucy5hZG9iZS5jb20vdGlmZi8xLjAvIj48dGlmZjpPcmllbnRhdGlvbj4xPC90aWZmOk9yaWVudGF0aW9uPjwvcmRmOkRlc2NyaXB0aW9uPjwvcmRmOlJERj48L3g6eG1wbWV0YT4NCjw/eHBhY2tldCBlbmQ9J3cnPz4slJgLAAArmklEQVR4Xu2deZwdVZn3f885VfdW3dt7EhKWkIR0OkkHkt5CggoBZV7ABUUGRlHcx8F9Zhx1cAFxwXFEX0cdd8cNBxR9VcZhUEDEBQJJdychZOnuJBAIS/Ze7q17b9U5z/tH1W1u1729JZ2kyZzv53Oz1HnqnKpTdZ46y/M8BzAYDAaDwWAwGAwGg8FgMBgMBoPBYDAYDAaDwWAwGAwGg8FgMBgMBoPBYDAYDAaDwWAwGAwGg8FgMBgMBoPBYDAYDAaDwWAwGAwGg8FgMBgMxwGKH3ihwoD4A+YlqjFT7EW/ugx9BQI4LmcwGE5+XpCKbfOs5ip7yG2WRC05rZay0GdZLOvAOq2JLGIUQJQJWB8kQm+arMc88ruaM1YPodOP52cwGE4uXjCKjdFu9yZxoZZ8OTEuzEE3p0kKAqDA0GGvDcwMIgIBkAAECBoMj3XOgegm8O8k8S/Pym7YGC/DYDCcHEx7xdaDS5N26sDrfVbvDMDnJUkgzxp5MNQkRpoWCA4JJEDwWHkJFncR4+uN+a7fx2UNBsMLm2mt2Ha6HZcHpD8uQCsDMLKsoMa56KKqK5WJqz8bhCqS8FnrJMRtKhCfW+SveywmZjAYXqCMpSNOGFuqV85I+vrmgPidADAY9c0qXWzxuAWCDYJNBFFBkqMha4E1AjAUAAlCHSQU9H4BunGh1/X1+HkGg+GFR7kGOMFsc1tWSsjv2qDlBxFAgSteJANIgJAiAWJCAXooAHYniPsI9BQzDgfEeWKSNiitiecEjAUa3GgTnZJAOKTNQiMBgWoIAPRD3xXvbzr4yEC8PIPB8MKhks44YexMtl2iBf1YE8/qZ1Xx4hiACwGXBHKsDyeI7lVK321btM7OJHvPxFovfk4pvU7HXAjdrIgv1hqXCKJzBIAMa9SRBcX8R2Z646Lc+ifj5xoMhhcGlXTHCaEv0fYKknR7gXTVEOuyC+NobqyGJArQu4nxA23J/1w6uH57THTC7MZqN+fmL5aEt+YZr5YgYYerqF0u0xWn5zp3x88xGAzTn7j+OCFsd9rOF8S/KRBqsqMotRqS0MyeBfqqhvrKYm/jnpjYUfF4cuXLfKE+QaA1CSJkoR5hxhVLve6n47IGg2F6E9chx51dyRXz81L+EcDcwQrDTwJQDwvMeq2w6R8WDHatjYlMGT1oTFpO7QdypD+1QDjJJzn/taZs1/vicgaDYXoj4geOJz8DZI7kNxKgikpNgFAPCwHwQ+TEpcdSqQFAE/ryZ+U6/9XRdPkQq19q1vfGZQwGw/QnrkuOK9vd1vcmSXz1AAdltmYymk/TzP+yyOu6PpZsMBgMo3LCFNujzrK5kpLrNfiUHPSINAEgTcIXoE8uynbdXDy+Hu12PZDKpzjFmhOkVZLYSiooCQASUhXILyRI5CFEwU8EntN/erYJd+dHFGAwGE5qTphi2+q0fckR4h/2s192EU5oYvsXCfEFQXpxAMwvaD3PFqKBmGpBXM3MjgaSACx+fkjNAAIJyoM4L5iGmGjAZ3VYgnZbJHZLTbs86F5L0ONLs13PmgggBsPJR1ynHBeecFtPGwIe1UBDPtZbK0KMnEPCcUiAAejIN1QzIod3Dp3eK7hRUdTrEyAICv+WCB3jAzByrGET7WHwLgK6k1o8nNfBuqWFTb1G0RkML3yOu2Jj3Ci2uXd+0ibxicMcxJOHKV7YsdAyEhS6YFHohqXA8FkPENFGB+J3edZ3L/G6uyjUoQaD4QXGcVNsvekVyyxlvcoT+lUB87kBYOkKaive+xqP0hwmek4litE/bBByrHwBejgBeXtKFO44NbNpb1zeYDBMX45GF4zLM1ieHnLkK7WgazTzSxMkqnxmZKHLfEAZQAoCSSq1QAnjrBXTERtuhoPLEB0NU0MH99DJXUfD1cncJEdKzo2UnGJ+3Ab9yHLld+YefOSpuLzBYJh+TKbNT5jNaK5KuM6bFPB3ElhOBOQ5VGQ+GH4Fx/YkBIjRbQusBdOAYAz4knO+5hxrnSeQQji3JkmIpC3IkQyXGbUMqgfphgLjVACzbVCdItQnQVQMNFngsFw1SWXnQCBNAgGwR2r6t2wu+42zsWUoLmcwGKYPE23fE6Y32XYJC3whQeIciibrwzkszmlgh2KuY8LppUEiJQgJUIGIzmvOdnWNyHCSPFF7Tn0hZ80A8Sl5QYuTTEt85rMVoZnAcx2SksHIMaMADT2BSuBIwVVBIiC9Tmv5T4tz6/4YlzMYDNOD8dr0pOlz2+8+VSQu2alzBQJvS4AeDogfsWB1FrLZXukm7hAkLh1kNXxONUko5j83e93nj8hsCtlW1T5TKG4MBJ8nFL1YC15tgU4XIGRZoVBhvq8SNSRBTBmAP7LI6/r3ePpU0FPVMmvR0Ib9ZoX22LCrdkXdgX6r0IHObDzNcHIw5YqtJ9XRmmJeNQi93vFqNi/AA7li2nq02ymXNwK8NFuy4FhPFvKab2zOdX1q+OAx5gm39bQs+EUS4nIF/j8JErMLzMiMEdQSUe8tCYFqElDMn230uj4elzlSetPtFyaYPuAz53/sdV5zk1mVnVL2OO1nBoS3e9BXsqDXL810PRqXMZwcjNZ+jwkPp5rnJHWiWxLNKdqviWiYZxMuW5Ttvjt+zvFgp9M6LyC8FqA3CUJLgYEsnu9RxikuMNSThK/1xxfluj8bl5kMO9yOlSC+Ps/61bOELfZp/7fNXvelcTnDkbG5prmh2nffnwdf55KYfZADSIVlZxc2bInLGk4OjqsTvKU5qYmT4fR9iAShAB7MK/SNED6OnJXrfqLJ6/6/1TXBSyTE2yzg0QayYIEqjgWLc4f9rMCCPt3jtr4qLjMRGGusXqf1Yxr6PgBX5MDiIAcAUSEuazgyepNtlyR9509MuDEHnr2fAzDYDEFPco6rYmMQx+eNor0Kng7y6pnS4yeCU5/blFmQXf99O6EuUKw/5YC8apKjKrdCaGJCPnDLwfr22rjMWPSgMbndHfhBUsjPZKGrD3IAXWG12HDk7HLaXy8k/VoBzfs4QAHlsf4MJyfHVbEpO52RTNlS+zNBBEl8aAUWD8/FnWgW9G88vMjrvlFqeoVk9NSRNapyG4JCikTTczn9+nj6WGi39nKH5Bv2s1/R/MVwdHRVtczKQt3ig5ODKA+JZTi5Oa6KrX7w0JAkOiRL3jICwEx54I5pN1G+KN91v9biMsHcVYvKPTdEtnkAXhs/Pha+DpbpEgNkw9QyQ9G8gDDHqxCR2XDyc1wVWxP68hJ4xqrwqn3yOC9kTJTF+fU7lcbVTLw7NUp15ZnhMy/bhvaZ8bSxGE1RGo6eAEyEEpsiw/8qKrfUY4jPvF2W6DAGgwmpC7HmuF/LRGnKd+0g5g9KIq6kfRUYirjeT+hZ8bTRYCKj144hDFO//5s57sokCfFw6SS5YkAxzzgdXiomOq1o8jb8XDP/JT3ClzUkvBdSAmOEKzEYDMeN8lZ6jCHmh7OsM8XhaACGBp/q2/m5cdlpB+M3doUqs0BIgp7hQuGEr+waDIYToNgW5bv7EqC/uFHPR4GRJOlalmyKy043HBI741FJouMQwDrjHD99sIUec+Nsw8lNvI0eF7alWt5hQ37nUDRyqycLeVZfaPY2fDguO514LNX6tiTE90oDZFLk68rAKxdnu/57xAljsMlpuTEt5CeLdVCkliQU8PMl2a6rDteeU/9MwVqoIRbYwAyARYF1BlI8WRVYu+bnH9k14uRx6Gk4tyY3pE5zLHIFtFDQga/lobMrbAzNAD2eXDUvK1W9gBYIxJAqZHedjS2lxsPU63ScUSB9mmaen5A0mxm1gpEEACZkNfMBrXlHHcmeqd6Ausc994w85+cRaJ5FolYAlNc6r6B31Qq7ZgDqdg0kSwMuhCMFzlqKVk7G82BX7Yo6L59YykI3W+DZxEhpgg/Gfq11T0qKzfOzXUfVY3/CbT1tgOhsm8UikJ4pWNuaREEQBgpK7xWgXRbZTzZ5RxY+iwHRW9WyxFdyWULwmdBcw2DBJDxiHMqRfiIl0btwcENf3N50NBiQfekVSwraaraEOlNoqmGw0CSHfKhnLIjH6qqDbac+tykTP/dYckIU2+6a1Q0DQW4DMc3NQqOKBDRzl+fJ1R3o9OPy04XNbsuPHZJvLCo2BtBAFgqs71nidV86mYi7oym2JAkQeL0EPQLGJYp4nsXCEhQ+LM1AQAzJtI+ATTb4jsCzb2vCIwMjMqrALrf925Lo6n5WrgATQKoKoj9H6m2LsxvuAoAd9e212uN3BIQrAW4MgFoBpmqysh4F71qc2XAbAGx321aB+csamB8QTrFBQhJGxMhDtDjkgyGYnhNApxR8m8oM3tGEviPaYGdbVftMy9dX+oJeQ8wrAoFTbSZQVD/MofkNMzI50m58VDJZxfZketXygP235xgvD8ALHSIqvUcGw2dAMJ6yCfcQ8K2zvK6HR2QyDjudlRdoUu/QjJcGhNPtESUAAEMxUCBmS+NZJmy1tfhVvsb7/tn7xh8l7K5Z3VDwC28KgKsZOIeAKoswovkzGAEzABxiYKvF+HWg1a+aC5t6o1d9BBvSy09xlfVmDb4ShGUEKstTgRFA+8TocyB+rTR/b1G++7h4GJ0QxQYA21NtH01CfHY/+xAgOCDFTBcty3X9KS47HeipamlWih7Kg2uCKKZbCgIS6OeAzl/qT86hejTFxgBsENIkQjOScA5yxJslIlc0lwQsCDDrbk24flG267clYmVsd1vvSpK47FBkBUEAZpCFQR18qzm34bo+t7VDkvgGgTry0MhxGNYJAGaShcOsPnWO130jAGxJtfzzDEp87jldGBHUEyWtoPhyiZLgnQIEwfijBj600Ot8JBKZELtSHW/Ls77eBjUqMHLQCKJGGa8fAUL5po4TV2x70J7KunwDgHdLomqPNQol8fyKUFSeXYzbx+wJ8Je1N/um8XZH24P2VMbhz4Pwd5LIzrKGH4XSitdhWA5BAnBJIAWJLOvXLPI6f12SZRk73ZZXa8ibBdBcoHC/j+I9VCrDAiFJArWwMAS1NpXFy06PRUHZ6bRdHRA+a4Ma89FzGC3PKCQZUiQRsD4gGF86lKMvHOsOzHGfYyviWolvZljtSkMiACNJQhLhzXG56cB6tNtK0b9ZRDV+9ACTICSItGR652SV2lhQiR9q6QtTio6MgvtZ4SD7UIRWAHc+7rS9ISY6EkK+2DjDrykjAw1BdNb2qrbzNXCnAjr2sY8BVsOBORUYeTAI7BSzyjNmDUbhnuLXSLEvpo7czw6zwiEOoAgXKPBvd6Q7Li4RG5VnZi9P97ptP2bw9zS48RAC9CMsO670EZVXSalNlIP17bU5V/+/JImPZKGrD3AAL3oWKLm/4j1qAHloRHJuguT1QerZn2g0JkdkXMIurHEGHb7NFfK9GWj7IAfIR0oNFeqQox5QIXruHjQ09JwSkTJ2OG0f1CR+ERA3H0SAIVYofpQxShk+GFlW6EcApfWX40qtJ9V2gxb0U0Vo3I8AQxg7TwWGB4397MODnmEJ8dmqFN/+zOzl6RKxKeeEKbYzB9YetJk+nqDwKxTGZ+OrdyY6FsdlTzTVDn8lQeLi/qin40IgRSIgiHctynX9LC5/vCi+QP2skGNO+MTf35Fu/6uY2JhkWSPPaCkE+vYAOPUQB2UvZxENDM+vEZe/O/EGH6d4/BAH0ECdr9WPHk8uXxATG8EetKcGB+RPEyTeeIgVMlHTH62Mo2UX1jj7cvqnkuQle0dxd7NBSCIMHV+aRpFi2Ms+qmBd2etUf74keQR+cvBjaSEvf44LqLQghai3U/xVStdAIn6syLZk23tI0C0Z1rI09uFEqCYLGvrOJbnun5Ye355q+1AC4qYhVhjiym5qoz1/ij5u+9hHCuK1A4Py+/djjRWXmyrKXs7jSVOu6z8LzD+dQRYKYa+tOi/VR+NyJ4oHsdrtcVu/bQu67jCH3+takrCBfqHlGxqz678dP2eqsEGogkQdWagnC3VkoZpkxYgjBCAHDQ2y81r/+6bac+pjIqOiwNDEs5hwWiZyEueoUaUgUE0S1SRRRRISYn/xPBt0IA2BWgqvsZYspEnChYAbnVdHFqpQao4dQgAGoeCQPDUn5A2x5BEMOfxFh+Qr9nHYVy7NiwEkQMPlV5NETVRuNckSyYmTdwducElesp9HjpQ4Cq9VQxICGBSMpyzgYBoSKYRbRJZyIIzS8oHt6ZayXuljTuu8guD3Ho6VgaicNCSqIaMpBwQCYBcCtdG7UEUSNgiCqOJQd7vbtgoCXxyKhs/x+kc0jVKst9ro/aolCykI+Kxhk/hyqfx2p/UCMN/cH/X64s/BifJLQSIFGb4PqPwM9rEPB/KqM5zBD8TTpooTqtgAwBbB+/PgbXWQOMwBCPTG7amWl8fljpStbutpT7jt1+10WufF08biiWTbwtmu/0sL8m8PcgAJYBbZsIB1AF1yVm7dMempcaTUbNBBH/qPOVb/weAvBeCvFVjfZ4Ny1RX8VovKIkVyUTJvvz2WPCpUMsQpfm0j5R0weFOW1b1ZVvf2s782oWlj8bwEie0B85Yc+Oea+TPMeJcmfU0A/Vpf8WtA+poA6gYG/ymNcoVMAPo5QAC+ektieUVTn1639XIh6Lq4kkF0fh0kbKY9vtbf1azfpwlvZOAtWuuPKOg7ZRhNZsL02W3nMPD3leY9I4W2UzPeK5XuyAo6V2lrpWC8gZg21cSiwARgSCIEmj7MsU6MJehCl0RdvuwphgoH4D+D9ZsBdZ4k61xierECLlfM785Df8XXei0zD2jWB+PnM66SCvw5iyiZj0Uz4WgOrQYSzNhYYH2LYn4PM79bQ92QY32bS/SUJFrfmFk4HPp+PdrtgPhfBJFViK2PMYCacOZyl2L9aQV9lQ+6Qmv+EIMfrKnQ32QAAxzAJ/7YtuS5Y/bYj5TJPPdjRp/b2qFAv1WEBmaGBepLkDx/QXbds3HZibIZzYmU677Vh/7ILJFYsE/7H1jsdX0lLheHAfFEqv2tOa0/I4nmDEKhBhYUOGtDfCVwxeeaDo6/Ajkeoy0epCDAjHUJxjWVVpC2Oi0vkiS+AOBF/RWiVqQhocCbB7zkuS/C2hG2XNtTrb8k0GsGRhmaCADVkADjF4D+UionNxTnWBigUhOAXVjj+A1eYry6YFwld7o73+UTf9FjnSjOUxUJV5X5PUu8rq+XHu9BY9J3qv5sCdExUGHYUwsLGnzrDCT+eaa3dk8sGXuq2pccUMEmBbJLyxxr8WCL2/otl+Q797M/XB5HdSII69OarqxksvJsetXsw9q/m8EtxaEyol6vDfgJslY1Zdd3F49vTi7/tCvtj8effTIcdj4pPNG2BJ3DveM4jBtFT9Wdi32Rf+7sgS0jlFtvqvVSDfqfoWiEUYoFggNRIMbHa3LB109FuQnGdnfF6SSptmno+brZ5ra8WpD41WAsTwZQG/Ys77XBb57ndT9dkoweNCbh1twMwj/G3zmOFqTyrD+3xOue8lHaCe+xAUCj171eCnm1ZAwQAZKoMcf+93vGmHwdi95U66WO69zDwDcDYEEY62x8S4ydVSsv6HVb7/IZ39WEOQwgBQkw/5qAl53lrb9+vIZ8tNhEEIKerKTUAGBpbsODQgRXKGBrusLj88L7XDbbKXTE08ajhiwo8BcX5br+elFuw4OlE8dxu6YFeCA3kbog3KEWep1fA/DtqgrDQx0uPpwbP86J2pdZQnTE53K4aOtH/IvFXtebKik1APA0T2pyekP6vFMU8+Xx8uywp5kBxDsrKTUAmJN5+DkN/vRIQ5CwJ5wiaRd08NKSw1CCrLjSQbTqyUB2MV5Z1hMrhXCTXjzUvTWu1ABAM10T7x0j6sGkSQDM1y/OdX2hklIDgMXexj2lSg1hnb9OVsgzGe4A9yyzeFtcqSEKetHkdX1QMe6tiT17AuCxhgKu3Iw1VSMSp4DylnGCaMysu09qXCGZ9jKAJMlL2a35LuOqUSdI49wIiJ1uxxcJ4i4FXHAIAZ7fW2F0p+idTusFvW7bbTkV3JcgeYkggAksGXclSV7WmOt6TZPXtTZ+3rGAw58dP15KY2bTXgh81iqzdwoVRYoEZaFWx5LGpIYkCsz3LfG6/ymeNhUQ49Y8ax1XbSp8CefGRw9a6isqNdAECD7zIUcFH4qqqzI8qVEoHO2dlxBiTnyoVUUCGvyL0h5XJaq85P8UWD+RjDUpBQYRRnxkbOC5Sg0vBw0QmnpS//XvT1WvnBFPH49NeEl9HvpCj8s/4mlI5MEPL85dPmLubDy2YOUMxXhJtlKeJKGBWxfl1j8ZTyuFQF/T8Qcc3S8DTQkn0x5LOmoq1e8JozHf9XsE6hICPyKZkCLxxu3ujh9uRvOYGn1T8pyzNrrnrP4krqICq7/SAA1EexbEK7OUXYn2JTtSbb/2BT1QQ9brUiQtj9V+xfhhSomXLsx1vWJBdt0J2YdhPHzLvysP/VSiwiMMG5M4O358NEQ4J8SW0KOu4k2UfTNeVP2Y0zpvc1VL86Z06/JHq1qXbnVbTwtIFHxwRsSeiA4XL2rXo314hex+zHMYWFXcF6OUFAlo4t/Nz2+alNfFeBQ0VsYVKT2veB/c33BuzeGa1Q2VfrtrVjdwbcaxIJ6yaOT9hefT3J/h+Zl0KWhzfP4LkZbOsSbBdN1QEDzYk2r7RF/1qkUxsVFJOtmzAZxRacc1mwiCcSvhpvJKHQPpBMuY6PQo5uAwBCDPGpYQvxuRUIGsVA8WtH46UfbsQ5s8RbplRMIUUN4qTjCL/Y0b/KxzsSL9tdBOSf81HLchLodoHm1nqu1va0XiIcHyasIdiomHRls+j+MJ/pvTKHl5gZkPsP8XpfmDpO1zm7zOtyzId/4hLj+dWN7/6CGL6dFkrCEhemEk6LT48dFwIKBZb0NmaNJ7pd4IiG1O+0t2ua2f3OK2/vfT2UwnCA+TwkNC40Gh+CHFvC5g/5cBOBW3L2MAgokceMM3MidRM68AvbAQWsKPoGjgGz9+tFiCmnSFaxtihTzrG572Cl27/VxnpV+/n1vfX5CdOajWTGwuSTODgfqz0D48reJl9EOKeXOlRSAGQhsyoEmCPuUH/tq+dPv3epNtF8VEyxDQC1wSFL+PaIvJIAkxKYNoABDg+Q4JilsLWiD44MMqCHpHJFSgbWjDPpvQZ1eIjMMAfOhl8eNHS3lJ04CleHDwrGzX+wQFFzlsv6ySL2Ovs/I8N+Xeo0HftkmcEhAPxmXGIyntbx5S/rUC6ryl3uUXLMx1fmnJJP0vTyQMfqbSA9QAmHTderSPOaQtYhNBgDZN1s1pV6rjsmvdtvs06QeYxI0W0cstiEUKPDsAagJwOgBqmXCagJhHgIw35EoQ2adLiFS8gVJkCJsga0qfEQMkgVmVujIMgIhOE6CFAjS/0o9ACwRoAYBU/P447EEnchga7rG1YFPGJXE9EbFTwVQE0VzpwXCfhgZivC2QuK/PbbtnZ6rtkrhsEQ84Ld4jBgALgGYczBOPOWSsRJhn+ZjfChc69ubzvC+WVBEiei4+DYGox24zTSpA60So1C6mDQsyG/9wVoUd138GSCb1xSTEBYc5nEc7khtZmHn4udNy629d5m16eLJd9OlAwPAqDbaZGWAkatA/oWohEAJG2eTvGNAOt/2mgPVvmOjCHFgc4GDYIr4Q+YcG0d95MCoNK0dDC9TaVD6/JsL5NaVZH4olHRWdaLeYuCquSIv4kdvQeL/R7pBAui6m0xdmu35D4OtSoGxdNEqNl05R2Qc5gMeKmHCxD9y1w2n7tz1oL4tfqIka4nmgaOhLdFhnc5P++GtCxTxFqDCHLATltjgVYEa2/E2N7pkw5lTTkTChF3+6MQtrSBMSgxOYRzuZofBjXBECjdbOyqDwjwlvSdfjtH7YJrohAy0Ol+yuVfwlIZCm0Mi0CqFxrzOJV40Z9hjPVAvIKQ3o6cAjZppQb3KyRHVSSCNTds2N2a5vC02vIOCherKKtnIVFZwGcJgVsqxFQoj3DzrqR5vRPGJhjcCVOkVA+FFQ9XAn/E4UoZK5wTKI9DK48cutSIAK8woRPFYZR8jE37Zph4lWaxHq4nMfQLjzFwHZRXjDhL6mk6E3vXJZQLjxMAcj3I04cjVLQ0ISngTjIR98vw9+QLF+CEAPgIktVRIVRmuBBEiwPiIzoNFYhmWKCX75GnN4X06JB8Zkf/VkIUGUmY8nKu4VuyDf+YcnveqXMvitYP5LEgINZCE+0Y5IwanIZSslrCuTTvK9MYmh8rOKvrO6qh8ZN542HoTKHzwGoFkneic4KrBBdvmbGt6TAKY8dt6ELsow/bgfayzFaKyk3UWoQZ47FsPrQKtrXRJuqasOP28xv4OYrtHIn7vEq77gbK/7ped43Rfu9Wov4ICvlqDhyMljYbM6FLAuU4IajAQJAeJTYklHBeEOJRiH442BALggWMAt0Px61nztZH85qLcmtfjIWCGtLsIDucZs1w+avMY1SUEvC5j/IwHaWx8puLhC4OKiBuF93VhRVzyeBFU0aFfhbminkG1PeEGpiAVRMc9QWaK+gMSE7AUZqI/fB4aVNca1h5ws8WdpeIEwJz24lAnLchXsiyQIinnUkDxHSuh9wKvi5gQ2CAD3W4QrF+c6bzs7u+VZwgPDOvciPBAkhJrw/E6BaY8CMnEvU47KymtuHZEwBSjwnkrluSTB4CcX57pvX5LrvnWyvwXZrh+cmVv/wIiMR4Fwh2rMdP1+sdf1dpvFSgH+WAJ0sNICQy6cV56fStOwjZwE76nktB8aCoskpL08ljQuNuipuG8ohkP602w3nTwjllTGXWhMBuB5cZMRRPOmGng8fvxoMYrtBQprvjZF0ok7zlAURcEh6y8jEqaAXlya0MCMeJlRnLV1i7Mbhn1J42ge2+i4lC35/O4EqC9RwZSlAA0IvGqqI0NoiI3lpYV1qRnXMm48rm1lYa5z94Js180QuFoAmfDj8Tw69NcFWDzva6mxJc96qJKCJgAs+KoRCRNAKLE1zyobz1OBkSaRKDDGNa49004vBdAYN9+hqBfuCIz63hwpx/VhGaaGPre1QwB/N1TB59OBgGK9UztiyhXbnhJbs3LGSJokV2NLAYSH4lb8iMIsJYha5rhD74inHQ0W+C9ZViregLOskBCio8e98z0jEo4TSzLd9xHz5mQFGzACoDRXF//fmL98pw3aUNxPpJQh1hCMV25LtVwWTxuLzsL8HRZooxPLkyOlxIxrRiRUgCx6XYrkiBDtiExGPNaDKlCTtq8bj/IaMJxQCACNsTCy021bxaD/ZKAmPiRE5OZikfjRRPw4J8uFuLAggMH4JHuONRjc0ZduO2dEQgmC4Mf9TcdCKPp5HuVB3zjyMSTmf+1zW18bSx5GSjE0lhtdnGe9mg0C9HB8e0WOlKkGbtmRbJuUMu1xzz1jz6nlZhl97sqOHaNENImzFS+q1kSz1SiLikQYXiAi3KSJ6deVvFECMBQgCeJbvU7refH00bgadygi3Jms8OEaYgVJdHGv2zaq0t/utF4gQe+q9BFOk4TF+MOSKfYigVFs048g/ArO7E22Nj5VvXLGptpz6nvcc8/Y7rResC3V+mUPfF8ALBqqEJImDQEPaneBCt8sSZoyCDdpBfTFV+yiqMJ1gcbtfW7bFZtrVpd5ivhS1IRbA0yMTfmFD2jmP9SQVaYN82D4xNUF4Kc9btt3tqdbLt7ptM7bXNPcsK2qfeYTybaFvuKLeIIGwYjmASXjG1ZZkJ1wOFoAJ3yB7/S4bb/Z5rReuyPdunxXauWczTWrG3qqWmbtSq6Y3+e2djzqtl65zW379Da35W5CsK4wwKtK82KAQPpLQtprt6Zaf7U53fqPW5PtF+5Krpi/FYurf4arJADsxmq3N9XWpp3cDwTR/Fxs7YGid4WgRxjdugI/ybJ6Lm5eQwCy0FDMcwuEu7e5rTdvcdtW9zodc3e7q0/vTbY29iZXXPREquOWnamOETHybG39JMP6QLwHXfzI5MFf2e62fX5bunX5M1ie3o3Vbk+ybeF2t/19mvALVeEjLKIeHxF9Z0TCFBF/hi8I7sca69TUwJ8ZtCrDCvVkYYiDT63wNt641W15ECTOK3VtqSMLPuv3L/W6vzoioxPIaGGLED50ToIO+UCGwdoCOQSa5ZAQmSgcd1ypFfdJEMx/vdDr/kVJ8jCjhS2qJwsZVp9d7m34+IiECmx1Wq5JCPmT+HVz5McZ7jWgd0mmHYIwCJAVsK4NwPMUMC+uaFIkQIwu5eXPi+2AhR3O8pcEQv4+x2zHJ545WiSpIYF8OA+2T0FnAQgblNZEDQUuN7kdK2zRerTbVa7+bYLERQeiSMJFOGqMVSQhGMiDMwo8EP4TliQ4AlRlETkWCAqMJAQ8ra5dkuu+tZjPgzjDrXVP6UwQloZ5EnKsmcEHFPgwMR0WBF8z1wmi+QkIt2ivWUqoZPQ+SXJFc2x3rF6n9R8TQn5xP8drLbyPBAhpksix8hk4BIBFaI7RUEcS/RwMVIGWlkbs2J5qud6BdfO+CgE4LRCqSKLAaigAngZYCdDsJImGXKj4yupyBlnIsf6fn3rdr7xpjBXjI8X02KYhDFAANFiguTbEPAZmF8AibjsWyQ5HkWXoG0ZTalNGLvVfea0fiwdWpGjIlmUFYlogQRcL0BUCeJVF4gIJKlNq47Ewt+nPDHFDLVmIh82h6It/KPTlBINnWRDzLIi5AdDgV1Bq49GBTj+pxLsD5mcr3R8DGGCFgTDOf5qAUy3QfEl0hgZmFsDOECsc5AAD0QdICB5hc1eDGgloWeBw74LDHKAAJg3MtCEaEyQ6bIjzLBJLFVBRqTGAWrJgQX4/rtQAoD8nvppn9d8zqXy9hqIedvguwWbgFAZmB+CGAhjPsA+HZI0HfteI87JzvuSxundmrAdN0UJCf5hflQVqsiCWaqChWAfx97U6jCSzF8r6+2Oh1GAU2/SEY248YTCAys20BhJpCN/X+qNN2Q2fjqdPNUvx4KDL9D4BeFUxM4Ri489BYxAK/Rz+hlihUrTYibAk2/kvWVZfqKXKIbhDBRcOF4v15Yd2W6MSj2hbyoJC5zab+bUCeLqBov5dSXrx/0EUdTgHjXxUpoo2NaHhoRCDgRFd2wTO9AmUL24XiEhB+9GmJxkoDCF0TYsHDCgykyzkEKxL24mK0Vg60OkLod7mQ/9xFtkQsXsooqJ7KLrAFT1IMqzAoPduS7QvKco24e68C7w5ANbOKhr4jMwOQXQPXlQfcTiKemwx9ieYr2ourOuJy0wV/4sUW5m95wlFEFI1JJGoMKczHiLq+jeQBQlsBOGKRbmuz8Xl4ugxGvRkWJDvul8wv85memYW2dGwqJznG3g5IhpO1ZKEBFXvRmE0UTR73R9mpd7hsHh6JtlwUMnVe2xE1LOtIQkX0hWsK180gAW57od8Epcw871FV6f4aulYUHRvLiRQsk8EIgVhg/Y2kBWph4njQOAU2GDGnxJK/c2ZA2vLAk0Wacxs2puzclcEzD+sifYzmGitFcCoJquOhf7RDrTXFo/P87qfBvmvZvDP6kpcwMaDIq+UWeG1b9LAq87KdZf5gE8lE7muaYlkqq4nC7WR2wqAFMJGXx1ufiKjn4X6cCOSiT3V44QUfPeQDu6RwIFUdA/Fl6Uq6p0UN0ZJQ6Bq+F4s2CAtGA9JxnVDXvDixgnuQJ9g4TRE5RTrp54sRD2TSbnbnOV13wmt12jw1xPAMzVRXmNdf/FZ1ZEFCwKS+MmMVndJTZ+/DH0VXY6KLMxv+F7AdL4mvsUGHi8q9hqSIzaRSUVuXfHyEmE0iucKzPcw40Mz6oIxjUKbM+s3P+lVX6bBbyHmP1mAKuY1+v2FdVkVbrrzrMfqP6oElW2enGDclFX6NxYwUBM909qo3tIl+aaifIfvgegJzfyJpIdLJxKP7uyBLQcXep1v0YyrmPmBBEg3REqu9B6K5dRGdVpFEh4HOwh40KvxRvhxNmY27V3gdf6Nr/WbhKa1SYjh5176HNKRG1pDtLFOAtTDpD+KnHX+8QjaOq0a+0RhgHrc9vf6UOcqcN4GOQH458u9jb/a6rR+TBEvVuACABBIOkQZUvjyaOG2TySPOa3zkoLOVhpLc9CNgmhuAqhRQJUGHIQ7FWUBHA6gn0xCbmDgoUGPuia76ezjqbZX+Izz88w1inSSAC1ZDKUFHcqzunuxt/GI7Im2uytOt1m8JEfo0OAlFqhBAdVhsFhmAfIINJDn4JBNtCMB0ZdnbLUt3to0tGFCYW9K2VbVPjOl+Pwh8HkaaLYYMzWhOlp1VZKQJcZQnvmwAB53SOzQWm/XgrYsrRDCejx+hqtku7urjaFfnIVus0BzAdQx4ADEAuwR0J8H700StiRYbsxDrxuvrMcSLYtsQasC4nMUY5EdRueoZsBhQBCoIMAHfHBfNYsHAhnc05jZtDeez0RgQPQ5ratYiDUFrTosolMDoDZ0OUZBAAMB8T6bxWab8LBn5R6sFHq8lM1oTiSTzosDwWt84raEplMUcQ2BiIgyzNjHhK0pxp+QUPcv6N94OJ7HseIFqdhOdhhXyU7sTAYN0gIAfVD48Y1ZpjP3Y41Vj0PJXIMjA+pn/8Ac/0I8kJ+MHdtk2IzmxOEZKmlxLXkHh7SHgv/yScaWmyx3oj11SvR8vINu4SI8kIvLTBYG6A9Yk7RnPGtbXEv9B3PqklH2Jjha7scaC7P2Oa6qEs7BnFqBxTnCHeUrFZNgM5oTcoZK9nMtTVWdGAwGg8FgMBgMBoPBYDAYDAaDwWAwGAwGg8FgMBgMBoPBYDAYDAaDwWAwGAwGg8FgMBgMBoPBYDAYDAaDwWAwGAwGg8FgMBgMBoPBYDAYDIZpzf8HQXcVEC32V5kAAAAASUVORK5CYII=</t>
  </si>
  <si>
    <t>Daycoval</t>
  </si>
  <si>
    <t>data:image/png;base64,iVBORw0KGgoAAAANSUhEUgAAAdQAAABICAYAAABP9ATgAAAAAXNSR0IArs4c6QAAAARnQU1BAACxjwv8YQUAAAAJcEhZcwAALiIAAC4iAari3ZIAAAAZdEVYdFNvZnR3YXJlAEFkb2JlIEltYWdlUmVhZHlxyWU8AAABh2lUWHRYTUw6Y29tLmFkb2JlLnhtcAAAAAAAPD94cGFja2V0IGJlZ2luPSfvu78nIGlkPSdXNU0wTXBDZWhpSHpyZVN6TlRjemtjOWQnPz4NCjx4OnhtcG1ldGEgeG1sbnM6eD0iYWRvYmU6bnM6bWV0YS8iPjxyZGY6UkRGIHhtbG5zOnJkZj0iaHR0cDovL3d3dy53My5vcmcvMTk5OS8wMi8yMi1yZGYtc3ludGF4LW5zIyI+PHJkZjpEZXNjcmlwdGlvbiByZGY6YWJvdXQ9InV1aWQ6ZmFmNWJkZDUtYmEzZC0xMWRhLWFkMzEtZDMzZDc1MTgyZjFiIiB4bWxuczp0aWZmPSJodHRwOi8vbnMuYWRvYmUuY29tL3RpZmYvMS4wLyI+PHRpZmY6T3JpZW50YXRpb24+MTwvdGlmZjpPcmllbnRhdGlvbj48L3JkZjpEZXNjcmlwdGlvbj48L3JkZjpSREY+PC94OnhtcG1ldGE+DQo8P3hwYWNrZXQgZW5kPSd3Jz8+LJSYCwAASrpJREFUeF7tnXd4HNXV/7/n3im7q2Jh4ybJkgHTDCQvmNAS4tjGsi0XbEu2EyAQfkmAhCTwpleMkzeBBFJIeJOXNAjkJXG3bFku9AQIL4RAaAmh2JIsCRt3Sbs75d7z+2N25d1RW8myKdnP8+gBz5yZ2Z2dueeec0+hrVu3/gEptNYAACFEelMX6X1EJJiZQrsZQCAAQEopHcd5lYhej0aj27TWL1x00UU7sw/Jk+foUTa+5lyw9Xmwy6nntR9IAAg/5xrgrGOJhGTW/1LsNwthOSzEa6zUHkNj244dqxKZsnny5HlnU3rc/JOkNi5lyJLRxw774tNP/9LL3E9PPvkkI1CUUEohHo9DKQWi7LGEmWGaJizL6lKuaaSUMAwDSil4ngfXdbu2+74Px3EO2Lb9VwB3/fnPf7532bJl2SfIk+cIU15Re6m0in/POnj+GRqs/T50qwBR9sQy+HfwXjACvcysQal/gTl1Xu0BaCUSzwL8f2D8X9TqeOzVVzc7WSfMkyfP255x42pO00JUMWEutD7fMAsivpd4uLVp5ZSwLNXV1S0DwFprRCKR9yql5jNzN6VqWRaY+V9E9C0AB8QhM1Z5njfe9/1K27ZPIqL3SSkriQjxeBwAYBgGbNtOK9gHE4nEdXPnzn2h6+R58hxhxlQuOVWwdxkz+0SsiYyzAZ7D3N1gJTIA1j/XjDohIIOtTKxoIgldwmAXkCcQiVLW/gkgUS6EYQYKVoGZQSRAJAEQmH0A+CuRqNfQf2zdvurlrAvmyZPnbcXY4xdVkMJUQTybmatImMVgDWYfRAZY85aWppUzw8eFXVpoaGj4qmVZN3V2dmZtLyoqgud5a2bMmFGTtSPE448/Pryjo+MiIcRVQohp8Xgcvu8DKSu4pKQErus2JpPJOXmlmuetpKyydhmIbggs1UMIYYGhr2rZvvJXWTt6YMKEmcWdbtGJkvhcEGZrrT8ohFnI7IM57YghkJAQZEBpby8R3amdxM1tbfW7Q6fLkyfPW0RZ2aXlkP75IL2IoacJMoYDQPa7DAhh9qpQuy2WdnR0/Mh13X9GIpGs7cFMHlbWxh644IIL9lZVVa2YNm1aleM4N5imCSlll7W7b98+mKZZaVnW79auXVsSPj5PnqMFqcQvmfXesGs3RTS8oSdefXXzwbamlU/vaFz18x3bV83WpM9hrX7EoH1CpF8XBmsfSiVBwHBBxheEXfDQ2PGLZ4ROlydPnrcG0obzURL0eymjiwg0XGsXWrtZyrQ/uo0kixcvdg3DeNo0zfCuAUFEetasWd/xff/WwsLCzO04cOAAotHoWZZlfTjroDx5jiI7dpzdBsaroJRXdwh4o3HdP1qaVn1BKExmVluEjGQ5gphVSrHy6YJ5Q1ll7deyTpAnT563Am5rXPV9pZMXKD/+h0NLNgOjm0IFgHg8/ko4KGmwGIZxYyKR+FfY4vU8D0Q0f+nSpT1+hjx5jjzLNFGwwDnU7Nix6nkDBfO1Vj8Vwuj2qgVxS2ySML5XVrnw21k78+TJ81ag25rWPd3StOoSYv1pEMUHqlR7VGbUiw9sMMyYMaNTa32vbdtZ2z3Pg1Jq4mmnnRbL2pEnz9GDwEM0c+yBxsbfJVsbV1yntf5WoFTDkfMKWnkgYX1r7HG1n8jamSdPnreM5sZVv9DwLgGEOxDjcsgUZ18IIR5OJpMqM79VKQXDMEYUFhaemCWcJ8+7jNamVf+l2F8WrKmGX84gfUdo/HBsxeKzQjvz5MnzFtG2fV0dWN1ClPvy51FRqK7rvuK6bruUh8xnpRSEEDEiGpElnCfPu5C2RvEdrf01hwKVDsGsQGQUE9TNPWjcPHnyvFUY/Dtm1Z6rqsxN6jBhZhk2m4UQ0FonAOzN2pEnz7uSlUpofJLZfylw/2ajtQsiMX3cuJrp4X158uR5a7AhdzHUwbD+6o2jolC11j6n8m7SpCor7fQ875+Z298l5Hb382SxYsWKYXV1daO3bNkyavPmzcPD+9/p7Nixai8zf44ZuvsLGhSDYOLrQzvy/FsxyRx9/IJRo0cvGDVmTO1IYNHAomLyDCnJpGekypDmRPitBgDU1dUtKy4uvuHgwYNd2woLC+H7fv2MGTPmZgnnwIYNG04E8IwQoiBd5GHYsGHo7Oz85ezZs68Oyw+EO+64IzZhwoSzHcc5xzCM85i5kFOJQ0IIYuakUurZaDT6d8/znqyqqmoNn2MouPvuuwtKS0tnGYYxO5FI3Dxr1qw+q+GsW7euNBaL/YdS6jStdYFSioUQ0rbtFw8ePPhQTU3NrvAxR4KHHnqoPJlMnu84zqmWZZ1iGMYIrbUSQkAIQY7jvMLMr8RisZeSyeRz1dXVb4bPMViWL18+fMSIER90HGeqZVkTHMc5UWt9DBFpAI5t2/9SSm0josds2/7LlClThnryRWUVNY9ByPPTJQlxqLDDdS3bV/40S3qIKKuouZOE+TGtw5UIBYgoDsHnt2xb/VxoZ86MnLio0O7kDyjN5xPRGSCKBcl0BCIIht5JwMtC46++7zza1lYflDTLlUmTzDEHjivh9gNEJHur3ZiFsoWMwUw2NtbtD+/ri7Fj58R8SxdLR6vwvjTMijgWoV3bIvuAlUHd0wFQWblojA99JjTeA+KTQbKMmVX6fgF6B4P+AS3+BUXPtrYubw6fY9BMXGSVdogLATWVSJzGrEYD+gSAUiVhxctEtEtr9SxAD7Y2nf4EMLDSrSNHLipErLOwr3uYSfp+RvXwA42Nv0uG9/dGeXntcNd0TJHw+vx8OmqKqBbOQJ+FMRW1Ew1gKgtxAZhHpH8jgIkIPjO/IEj+nTQ91dy8/LXw8YOhtHT+CJjieYIYyxzcvr4KOxwVhdrQ0HB9JBL5cXt7O5Cq8WuaJnue94E5c+Y8HpbPhXvuuad49OjRlzLzNcx8RjQaJSICESFdOlFrDSKCEAK+78PzvF2GYdzb0dHxowULFgzJS7Fp06bThBALtdYfiUQipzIzksnkWdXV1c+EZW+//fbCk08+eQaAGt/3p0gpx5im2fWZiQi+70Mp1WIYxm92795985IlS4a8wPrSpUutyZMnL1BK1XieNyUWix1bUFAAZu66d67rpte5wczwfR++7zeZpvk4Ea2Ix+Nb5s2bN7CBOMXq1avLi4qKPq61vkJKeZxhGDAMA1LKdAGRrkIgrutCaw3XdQ+aprlFa/3L6dOn3x865WB5SxTqmMolp0pWT4C4OJw0LoQNxd632xpXL83akQOlx80/iZR5FYjngugkQdmu5eBaHLz2REEtY8JLYLHKlnt/9Prr9x/IOqAXxlbMn0RkbAQrkdkUo3eYiIwIMz/a2rR6dnhvX5RV1l4P0DJmL5lWMj0gAGkSVE1L09oHwzt7o3z84hma9aUEPZPIHCmEBVC6iE1QRvJQLwQCswbDf1OQ8X+s1Xovaa7fteuPg2r6cfLJ84rak9HLiPQnwXwmkQQoXT8682tS6nMAzJ4C5F+YxM9at6vVwMqcFGRZ5eJbQPwJ1n54BtcbkoRpQPNnW5pW/j68sycmTJhpx93YwyA6Gaz7ntQIaRHTU8MKXpz70ksv9S0LGOWVixYx6EpAXSCEWZCd151+/DgwJJmhtX9QEK1nwbcczsQUb0eF2tDQYAshHpdSnpWu7VtSUoL29vZfz5kz55Nh+VzYtGnTx0zT/IIQ4nRmhhACnuchmUweAJAMSg9bx5imCcdx4LouhBAwTRNFRUVIJpP/ZOaLp0+f/q/wuXNh+fLlw4cPHz6LiD7iuu6UWCwWc10XnudBCNHJzBdUV1d3/ZCLFi2Sn/jEJ64hos8IIU6RUiKZTMLzvC4FkoaIYFkWCgoKkEwmt3Z0dCxZsGDBgGZyfVFfX78wGo1+GcC5kUgEzIwDBw7sF0I8I6VMMjP7vj+WmU+PxWJmZrMEy7Jg23Z6ovKM7/u3VlVV3Ru+Rh/Q/ffffy0zf8U0zfJkMgmtNaLRKJLJZAszb/I8r4mZhRDCsizrQiK6kIjgeR5isRg8z4PW+nednZ3frKmp2RG+wAB5SxQqAJRW1PyvEMYlOjT2CGFCa3Vfa9PqGaGRtVcmTJhpJ/2iz4L5yxDGyPR2rT0G6z0AFIgsInkMQUCzl1IU6ZKIJpjdJ+Bj9o4dq/qNaRhbsfD9hhF9NBi83ENKuhvBICfIAJEBpZynWxpXnB2W6ovy8YuXChm5kbWfKgGnMq7FIJJB7WUiaOXNbmlc0RA6RTdKK2vPF0zfYsIsIYIITq2ScZB4hpkOBOdFCbM+QwizKKjPHAymQcJ/MFFh1o0M/llr45u3AY/knM88trJ2gSRxIyDew1AAa5AwwdprB/Mmhn6RmQQRMYjeB0aVEIbJ7AMkQUE7hkeFcr/W3Lzu0fD5w5SNX/Jbw4hdqVUCOlRmM0z6Xgoy4Cvn2tbGFT8Py/REefl5UZblL0sZHRfcr/BvFUDCgBAWtHKeixgHzumrYUT5+NrJzPRdIvF+AMEkkBmsvHYQxwFIIjGCyKDwbySECWa8yaw/lssz0RsDVag5+4YHi9b647Ztn5VIJMDMGDZsGFzXfRbAl8Oy/XHHHXeY999//88jkcidzHy64zhwHEcnEon/llLOdl33rH379p0G4D+UUtWe590ipdwbiUTSVg52794N27ZPUUr9gpkH8v3Fhg0bztm8efMPSkpK/k9K+XshxGxmjh04cADp74cggrnrKdq8efMFV1111UOmad4O4JREIoHOzk4IIVBQUIDCwkJY1qHIT2aG4zjYu3cvotFolWVZP+7aeRjcfffdBVu2bPlZJBJZzcznCiHQ0dHREo/HrzcM46xZs2ZNraqqqp4xY8bszs7O8yzLukAp9SspZbKgoABaaziOg4MHD6KzsxNKqTNN0/zfrVu3/iaXEpJ1dXWjH3jggTrDMH6mtS7fv39/2nuQ9H3/u/F4/Lzq6upPXnzxxd+ZP3/+snnz5n3jL3/5y4cALJRSvhSLxXDw4EE4joNoNHpFUVHRQxs3bnzHBvAI0veAtQ4POKkZ9xnHViwYk7WjF0pLl4xLeEUrSZi3MHgkWIO136SVfyNBTvPIOQM+n6YJZ4J1jWb1KzB5QcJ6uiRiAkTmeVqoG8Ln7wnHij+vtXOF1l59elt6QMv8C86v21m5N/l+fC6Az2SfqX+E9u/RfnKBUs5NmtVOzrgWIMCsdvt+8msa3mztyifDx4eg0vFLbgDRgxByFpGEUu5+7TvLBOv3tDSumtzatHJ2a9Oq2S2N9EGhxVnM6jsAdqajs5k10iXpAFQKYd5aVjmyYVTFwuPDFwszGZON0vGLvidIrAHwHq0dgHXqe/h3kaD3tzStWdLatO7bbc1rb2xtWrOstXH1HAAfYlbrg6LsfhDABvqAFuaWsnE1/xm+Thjy+Ue+c/CrSnuPEInA0u7l91LKfYCV+1Gl3GqW3PX79sf5549zhaRLlE5coVTyJ8y6OW1dp/+IJFj7j/le52eY+epXXz03q/VZJqXjF3+Tme4jEu9n9lNdnNwVWqvLYOiz4fNpDqv3gukirdW3AGpOT46YNZRyAPBIZv2TESPmFYXPf6ToaVo5ZBZqXV3dcZZl/YWIRicSCRQXF4OZd7iuOzvTgsuF2267zT711FN/GYvFLt+/fz+YGZFIJO77/jWzZs26JyyfpqGh4T1EtImISh0nmAwJIRCJRJBIJGbMmzdva/iYMOvWrZt4zDHHfJ+Z55imifb2dqTPlYmUElLKuJTy7Kqqqn9s2rTpc4ZhfFdKWeg4DmzbRsolHCei16WUTURkeJ53RiQSGeu6LhzH6XJ3ppWu4zg1s2bNWhO+Xq7U19cfY9v2HyKRyIz9+/cjGo2CmR9k5muqqqpeCctnsmnTpvOllD8xTfOcAwcOdH02rTWGDRsGpVSnUursmTNn9rq+WVdXNzoaja6JRqMX7Nu3D1prpFzMO7XWH5k5c+ZD4WMyuf/++0crpX5omual6WWDWCwGKaWTTCavrq6u/l34mBx5yyzU0aOnF0h72DMkcCJnLG0F91ewD566s3H1w1kHhSgtXTKODL2FhDxVaycYsIBtIMzqq6NN6fjaJQT6LVjFDrnYJcC8X3vOe9va6pvCx/RGaeWijxHoDkBZ3d3XFpT2f97WtPrarB2DpKxiQS3IWBl0/JAAxJuK/No3tq/5U1i2B6i0suYXQthXa+2AIAHw0yB9bcv21f8XFs6k7PiFJ0LJ20nIKq2y33siCRImtHLntjat7lUBTcIks63i+F8Lw7xcq2RglZIBQLgMfU1r46o7w8eEKatc9FUicVOqylbq2ga08m5ubVqdSwlLKq1Y9E0h6NuBpZrhACECM3zP16ftbl03KM9dJhUnLJrkK76PmI9h1sE7xbpOu4lL+luzLx1f+11B5tc5VUeXyGCt8fW25pU3h2XTlJ6wZBx5/nIS8vzg/gQIYQPa/+yOplW3Zx2QI28bC7WhoaHctu3VpmmOTiaTOOaYY9LKdN5AlSkAnHTSSf9VUFBw+d69e6GUQmFhIVzX/WVfyhQAUtf6hmEYXcpAKQXTNGGaZm1Yvicsy9qhlLo9mUz+vL29/UA/dY49pVSioaHhq7FY7DbDMApTa5M7fd//30QicbmUctLOnTvfN2PGjNlVVVUzhBCTlFKfFkK0ZVaUUipoBQbgqw0NDdmlpnJk8+bNwy3LWm7b9ow9e/aklekTnuct6E+ZAsCsWbP+4vv+HM/z/lRSUhK4XJgRjUahtd6VTCbn5KBMV9m2fcGePXu6XLxEtMt13YX9KVMAuOiii3YeOHDgCtd164YNGwZmRmdnJxzHsW3b/tWWLVvecTWhd+68r5OI/xYM7IfgoPUbSdBxWTtCVFZeEYGh7iBhnJoObiKSII0b+1KmANC6fdVy1vq2zIR1ZgUSRgnJyKIs4X5obVx5F7P6EaWsg2wIRMhpnS8nFHYES7aUarHnfzNXZVpWUftzIayrtUqk1il1M3x/fn/KFABaXl/zSksB5jL7dwl56DVM9cf1tU7+v76U6YQJM+22iuN/LaRxufaTQKq9HyAA7X0yF2UKAC2NK29m1t9IFwhhVtDKhZDGV0sram4Ky/cAtzat/I7Wam3amgvtJsMMPZCDhHz3NbCOB7+VhGa/Bb7/mf6U6diKhZ8RZH5dKwfMGkJaAOsNfSlTAGh9bXkzlPw8MzvZEfQaTLiyvLw2p2YXh8sRUaj19fUfNE2z3rKsMx3HwYgRI+D7/l8SicScnoJ1+qO+vv4iIcTn9+3blxpwCJ7nsWmavT7EmTQ1Na1NJpMtaUVIRHBdF77vf2DFihXdM+1DVFdXH5w6deqWmTNnXqu1/qDrug8VFBSExYBUipDv+98xTfOm1Od8mZmvJ6Izq6qqLpszZ849M2fO/OeVV17ZFT03a9astqqqql/E4/ElUkonXQCDUj1lhRCTtNbnZl4nF+644w6TiO6ORqPT9+3bB9u24XneASHEZdXV1YfcD/1QXV39pu/7tY7jPF5UVATLsmAYhut53qVz587t1Ypavnx5NBqN3mvb9gf27dsHIkpb8Upr/ZmBBKQtXrxYJZPJTyeTyddSChmO40ApZRLR7fX19aeGj3m7o1n09f37TBtyufNzQpqztA4eo5Q7rYmVvzEs2xOk8EetlRN2UpHg07I25ECkXdystb+NQvm1gasPM0aPnt7zyzJASMqziWSwzszqkZaRjTkpotLK2p+SNK/RKuX9YfgEXNXSsjb3NfiXVrot29/8JLP+gxA2iAKlrlld09q4ts/PEfcKl0mZskxTViEJE0z6xy3Na+8Oy/dFS+PK72ntrRPyUCcjrTxIaX21dNzCT4XEe8Qk4xus/Y6sCrPMkMKUAuJDmbKDRcGcQjBKUxM1gHFHf/d7zPiFlUTi24G3KGU9M8DMa8OyPdHSsuIJgP+UXuNG1zOoTwQSfb5PQ0XOCjW13tVnRFZDQ8MJW7du/Z5hGPcZhvFeIoJpmp2e593S3NxcPXfu3L+Hj8kBMgzjG5ZliXTKjWEY8DxvNxH1a2EBwNVXX31ACPFEeK0SAO3bty+nwI801dXVz7W3t8/zff/ZWCy7DLFSCp7njSgqKrpMKeUrpb61b9++Cy666KLbZs2a1ZYl3AMLFiz4s+/7azLPq5SCbdvCtu2pWcI5UFZW9q1IJDJ73759AADbtqGUunnatGkDDimvrq5+s7Oz83Lf9/cWFxdDa339rFmz+oy2LSoq+lIkEpma6SouKiqC4zj3VFVVrQzL98f8+fNblVJfFEKkBrRgwmGa5gjTNH993333DQsf83ZGkHqeWXlhpYYg1PQ9oY1djKysHkPgz2f1cSUCE+9qfb+ZUwBb3BaNYG7JHFQZGgCfMtDcx9f3rTwA4PZwIXFmH4LESYZd1M01Nhg08YLgXjEE+GY8/XSva3BpSsfXLBbC+ExgxTOITGhWd+9oXLU5LNs/j/jaiX+O2X9JGoXQSv20rWnNb8JSmZRV1nyIIP8zM0VKCAOsvGfZSX4zSzhHXOhPa+23HbrfHDRbEOK/xlTO73di2di4/B8AbeheUo/BTFcPhTWngUuJiIhEEGwljeVhmTCS6VpBxjFp1yqCTwQSZs6Tf2b9aPb7xACExUakPGPjESNnheo4DpLJ5Ol1dXXf2rBhw7fWr19/Q+rvmxs2bPjO5s2bG7TWfzVN82sArHg8vjuRSNx08ODB90ydOvXLV155ZU4vepj6+vpTlFLndXZ2dg3KsVgMzMyvv/56zg2aXddty6wl7Ps+pJRjysrKJmQJ5sDixYs7PM/7qtbazzwnAvcwPM9r11ovnjJlyn8tWbKk36jJTHzf/4Pv+13fFYcU9ZlZgv1QX19/rmmaX+3o6AAzw7IsOI6zUwjR5wDQFwsXLnyNiD7ruu71VVVVvwjvz6Suru40wzC+nL4+UhMhx3HiWusfhuVz5cknn1zved7DaQ8BpdoBFhQUXOC67mHlNB9tFPs7mVll/tZpCL27SiVHpgthjOauRjkpFyjEMXimvXsZph7Y9/quTha0jUJDAIP69dj0hAnvt1p73axUIgEQXZO1cRCUj6+dTKAPAATN6sEdjav6jX0Yddzc0cR0K3elvwho9hNC0W1h2Vxpa6vfDcZnlZ+8pbV5VZ9FOCYMn1nMTD8h4qz1ZWYCwN/rz/3ZG7ub1rYx4yeZExhmBUHGcMHy1lwmRAz9W2aVFRSntQ8pxHt9yYdlpY6tXHgKMWay9kBkgjXXtW5b3ue67Nixc45lxqWHnul0tK4FsMrZw0HMWco38GhKG2RUZG4/UgxIoUopTzr22GO/PXz48G+PGDFiWervO8XFxd80TXOWEKLk4MGDSFmSCSklDRs2bHT4XANBSjk5FotFpJQoKipCcXExPM9rtCzr96NHj+73wUlDmX6ArhtNBaZpFmduz5XW1tYHlVIvZK55EhEMw/Bc172muro6JzdFGCL6p+M4HZluX601lFIDmmER0Vds2zY9L5jEp9ZO1x1uYYaqqqp7p06d2u+AJKW83rKsAtc95NSIxWLwff8Pc+fOfSFLeAAsW7ZMA/hROscYqXuUipy+ds2aNe+Y2tA+5D4C3uxuofaNIFyYXpsSwgYJAdb+vwDciVeL+s6L6OIRXxA3o7syzyGvtDtBkj51s1I1e2CmD5SXL3hf1o4BwowvEBkWswKBf5jL57SUeTUJc1zakhdCAoynWlpWPx+WHQgtTasebGlc8eWU+dMrycLY5UIa780MkiEywfCfHlb4cl2W8AAh3/+N0n5L5v3W2oUQsrq0Qs/KEu6B1qY194P1fd3XUgUE8/XBnG5wEMtFJIwCBoPZV6S5T5c4AEgZm0igsQBDCCsVGIhOVu4KRf5fw/K9wSReDU8UAAZpleN7cXjkrFBTxRHcPXv2vBn+6+jo0EIIpAN/Ugp1nG3bX9VaP/7AAw+s37Bhwznhc+aCUup9JSUl0FrvVUqt9H3/Cq31OVVVVV+YP39+EPI5eDQR9WoJ9MXVV1/t+b7/nGEc0tNCCCilHCn7Dd/vlZ07d75hWVZj5nlT9OveSrNx48b3SynndnR0pF31cF1XAxh0pPBAWLt27RmGYXwk06uQ+gyKmX8blh8o7e3t9zuO83xmj91kMoloNFph2/bHs4Tfxuw+19jFxDt7UGp9QQCdIIQBZn6Dtf8/YK5ORpyzWxtXfTfXZH8Ek8puD9nhEFip/utZc1dmCGFEWNAXM2UHQuWJS04FcFHgktQvGNjTb/GGcePmlWoS12RGbwdBQNjQnyIcGq4yFfD/grSYQxAJgKkuh4IGfdLaum4PgK3ZE5iufOCc3gEGbuFUdY80mj0Qyaqxg6wpPXLiokICX8KsUrmg/FRLy9p+Aw+ZvEnSjBEzXM28UbO6FsI4a0fjiiVvNK77R1i+V0xj71H5eXshZ4Uai8VgWdbD+/fvP93zvNM7OjrOSP/Xtu0Pua77FaXUs5FIBAUFBfB9H/v374frupBSzrVt+4GtW7d+JXze/hBC/HX//v3fYuazpk+fvnj69Ol3z5gx46iU5csBrwd3HWmtB93j1bZtArIj7TzPg2EY4zZv3jwuc3sffCoSiRhKBWOrlBK+7++ORqMvhQWPBJZlfTQajRakrWOk1m89z3uxoKDgb1nCg2DJkiUJIUR95po4UvcJwJK//vWv4Wn325MXIZkHFlU5cuLkAiLxDCvvSgP6rJamVZ9qaVy9ac/L6w93cpmCGZg4qBGpsbFuP4NXkwhbqS4YYn5p5cX/kbUjR3zP/yyREQUAYn17Y+Mj/ZbDU2ReIoTZleoAELT2XGHqR0KiR4TSij0fFEL+R3YhheAzMHROgWP9IYnXh5VH4DLlGWMrF56StaMHWptWP8Cs/pbVrCEVgUyE6zJlc8XoVBeBxCnBfSdA4H9ymcAokjuUn7xVSP2B1sYVc1obV/28PzdxT2g1tJPEgZKzQk0FgSQvv/zyXTU1NbsuueSSnen/XnTRRX+eMWPGD5544onzDcOYr7V+vqioKF0AH/v374dSqjAajd58//33/3Dp0qU5X7e6uvoXU6ZM+a85c+Y0hve91QywMERO2LatdaicSWoNslhr3W+C8r333juaiKYkk4fGHNM0obVufvjhh49IHeNM7rzzzggRTXddN2sd2DRNGIbxwJQpU/odDHNBa/1guMdualni9F27dk3KEn4X8eZLj3S2bF/5xebG5Xc1Na3tN9BtwBAZEye+NOhBydDGHVp5B8IRpEIYFrG4LFM2F8ZUzj8VjI8CDK39f/puQQ6l8BZJAs1FRnBLsJaL3Y52hqTkaH8Q0XyCpExdIoQBBj/TVvjyoJc8MmnnyCNKq+bstVQNIcwoQeRU4lFo/p+wd1ezDyL60OgTagYc8U0QlwW6QoC112zo5PqwTE+80bRqZUvjii/t2Lb2qfC+dxIDVQh9yi9btiw5derUutbW1g8qpW6PRCJIp6q4rov9+/fDtu3Pn3/++UcsYb4PcnaFvZUsXry40/O8f/aQ66pycU8PGzbsPUKI0sy1SyklDMP4V2r98YhSUlJyIhGdnHl9OlSreMD5x33wgtZ6Z6ZrXCmFSCRiSSnPz5J8uzJyl6Ze1wJ77XDR72w/V7oFPrEGGMcfPMiDDuBobl7+GgTuDEeQBtVuxJWVlRePz9rRD5KNS4nMQgAA80937vx9Z1gmTHm5fyoIZ+usWvACpPW2kQUFAwoSHAyVlVdEmPUHuduQQyDC8zhMd2+aA0337iPwP7MmL13oKWn/b19IWfwHrb3nstZSWYOEEZM+9VuFKZN0MFLgNjagWdzZ1LQxSDE4SuhsH/9Rp6df4rC58sor90+fPv2zrut+Ka1UmRlaa6Qq9Vy7adOmXBKRhwxmLkhHm77NYZ0ZxTBAiOiD6YpMGdsghDgqFr5lWRMNw4im3c04tH7qdHZ2DpnLefbs2TuVUtvCa81aa/i+/96sjW9TRm8bOQ5AxaEC7IdgGvwzkBOTJxsMChRVBgQ2lEoO2kIFAKmM27X2Dmal5ARrasN9GJ/OEu6DMRNmjgThsiCLyH/NS8o+i7ik0VKeTiRimXMVIoAJB196aeDdaAZKEskxRKIsvH4KACDZZ9GNAUPi5fAwHkQUi/EjR07uNzq2sfF3STD9KLw9lQt6yehxuVup6WAkgMDsdUDoP4RljjRCimPC244mR0Shpqmurr41mUx+0bIspKNWlVLo6OiAZVlfra+vz8ktMRiWLl1qbNmy5T82btx47datWzdIKZd0dHSExd6WUA8Ls7ni+/4pPU0cmLmbyXskEEJMNAwjS6FLKaG13l1cXDxkSp2IGEA8fKtS0b/HPfTQQ4elFI4GBDcKUFFPRqdgMZic7T4pL6+NllUuPm/suJoby7ePehSs54WL8wPERKL7BxoAzc3LXwPRXd2tVAVmLBo+YWZOkfXSi32chFEZJPdjxZtvrszpBRZEJ/Zi4A9ovXqwGOweD9Cw8HvIrECsX8zaeLhofjHs5GDWAHOFWTCyLGtHL5iicLnW/mvZBRE0BJlRSXxJlnAvdAUjQUGQAWZ+oK1xTa8V1IaSsZULTymtrL2yrHLxcuH7dwVLcYf1CA+aHp+6oWT27Nk/1Fr/tqioKO32S3cMgRDiJ7kUVs+Vu+++u+C+++67qKGh4bb3v//9j/q+/0RhYeHtRUVFc2zbzrKa3o3ceeedESHE2Lfye/bhlibP84b0eZNSPp+eqKXxPA9ENL69vX3InqsjhYQ1hijI5ciEWTOTfj1r4yApL68dXlZZM6ussvZ2NvhvYP9RaVhLSVjnEkkzfO0hQ8j/ZvbjmYqN2YcQxviIW/DRLNkemDBhps2gSxBEnu6G7/eZ95wJa3V6j9bhUUJrKgZCvfMQLHuAMKQuZyLdQy4+A+Ai1t09ED3R2Pi7pAD9LhxMFnS3oStHVi7qt1FDdjCSBjPl1KVmcEwySyuWXFBWWfP1ssra+wToKUHGb4U0FwthjTxiz3QODOkA1xsdHR1fSyaT26LRoAAHpSrcFBQUTIhEIv8vLD9QNm3adH5DQ8Nto0aNelIpdV9BQcHnotHouUVFRXZnZ6fet2/fY47jPJeZM/puJBaLxQzDKNW6+2BCREfWhfgWIITo3qEgZaW+M6AJRMLMsmSCbiDtQuvBuwYnXWWWV9bOLKuo/YWW+DtADSTMawVZp5C0pVaur1Vyi2b1TCg9e8ho3bb8X8zYkhVBCgDQIOBz/VmpSbewVpA8AyCA8KvW1rqcg4k0o7dc5N4me0NKX/WLtR7aKFTW6OV8zES5vwieo+9g7bV2KxYhzLEmc78FUwh0GRFBkASz/pslCnOpsTwgxlTUTiyrXPLVssrjHyfy/0RkfVcI8yIhrEKGgvadZzS7q4DwWMcQQh6V8e+oKNSamppdnuf9KDPQhpnTluqHly5d2stD0Tv33HNP8ZYtWz5+33333Q/gT7FY7HOmaU60bRuO4yAej78aj8d/atv2hXfeeedkrfUD4VKB7zZ832cA3RKYU4UhBhQMkufIw6RPD28TJMHETzU3r9sW3tcf5eW1w8dVLr6+bPf+R5loEwl5jSBRHnQkcbRi7wko70Yh6f0tTatnEomnw4UYhhKG+CGz9jPzbLX2QcI4KeLE+ig+MNnQxNeBJLRyd8HN3TpFMHns9g4AADGKJ05cNKhKUO92du5cu4sY/xN+Hlj7AOtrSkvn9zZJCRrbM2YwewBJQNMvGxt/NyTR/JMmTTLHHbd4blnForWS8BQR3UQkziYyJKChtLdDae8eAb54WCGdx2zcRCQoMx6LiOAp1WeziaHiqChUAIjH48vj8fiudO4gESGV2vHec889d2JYvjceeughY+vWrZ8aM2bMY7Zt/5qIphGRwcxwXTfhuu46ABcnEomzZs6ced20adMeX7lypQIQDa9p/LuQUqiV4e3vdLTWPQ6OQggUFfWbYfSWMmnSVSaBzuzunhIA6DGEF8b64PjjFw0bV7n4ekjxOAvxYxDOATOCllxqDyvvF1pjSuv2Ny/c0bRq2Y5tq1KFR/hQZYwjQFvTisdYc333ajwMkLimtxJ5ZZXHfoBAZ1GgBJcPxDrtDWYNFmL87kTyiAet9JVbLETPyn6wkOg+gQ4gYg7VRe0HYnWvZr+zWzCZNMfANOZlCWeijUUkjEKQgNbeDstw1oVFBkNpRc2cnXtOeIQZ60mI+QBiSFVf0lAPKq0+yW7yzNbGVZc3b1+1/qWXVrqQVACE0xkFWOt++9UOBQO64YfDkiVL3iSiBzPdrlpr2LZtKaXOyBLuhYaGhjN9399q2/bPmfn0dNF1Zu5MJpO/kFKeO2PGjAVVVVXrh6CK0jsOwzAI6O4CSq1dRx566KEjOoAiuFZvgwmbppmzksgFrfUZ4fXiVM5tI4BB1Y4+WrTu3n0CgydlFgJH0Gg6ThA5l60cO652uqvpTyzkjxl8slYuCAQm3qvZ+wl7xgUtTas//caONX8CHull8D1yMPStrLXXzUol8aGx4/ScLOEu6AskTKmU52hSA+5123MFKAYxRdizj/hMSwg+CGQUpU1BQaebIe16wiyODW9LWWftINVvilEmzc3rXiPGynAwGcAA6+srK6/oNn6Mfs/0AtJ8CZDq78q8ctu2DTvDcgNh1Ki5o8sqFt9LQm4AKNXfVAMgsFbLmfHB1u2rprU1rfp1W1t91hoyB4WSu0HE7x6Xbxql1KOZ/2ZmpNIe+o1G27hx49RIJLLFMIwp+/fvRyKRQElJCZRSf/Y8b8qsWbM+XVVVdVg1Ot/pxOPxuNY6qwkAUoE6Qojj4/H4oPMLc8X3/X/0VNxfCHHsUF6fmamnVCghBIQQr0+ZMqXbgPZ2grWYLEhGM4umC2EAzH9qbVz5bJZwL5SNW/QVIUQ9gPdolUyteRnQzL8H6ILW7av/s7V14NVmhpK2pjWPMasGkTVIB8GJgqhbCk35+NrJAGYFhjuvbmta93RYpj9ED4E/QUAQjTA1H3FPjUHW6wAfyI5ADxqCM4uc01ByQtBp4WE8qHQkmvz4nj7bpfUEafqRZj+RaaVq7UEI8z2+7lycJQxAthdNJSknMmuw9jo0xK/DMgNhTOX8U81Y5CES8iOsfWjtpOv6vg6ImpamVR9ubVrdV9vDt5SjqlBt237d8zzOfNA4aFjd5+C3ZcuWqdFodIVSauSBAweAVBsw3/d/bppm9bx58wZVXYMD+rz2O4krr7wy6Xne9nDkq1IKhmEMU0rl7FofLL7vv+j7fiLzM2itYZqmbZrmkA0mK1euHC2lPC7d0i9NSqEOZQGJIwFJgctDm8CsQVr323gAQVuwr5Nh3AxoK5jBE0gY0JpvaG1c8dH+mowfTZiMu8KubWYPTLhwbMWi7KpWjEuFMKXWXhKEW7P25QhBPt99aAtK6rHgftubHT6RN5jR0v0zAGB1UnjTYcF8cnh1gEiAwdvffPORAVmoALBjx6rnifUfugWrEcBCX5G9EYDCp5DqdsSM+99oWjXoXPOxlQtPEWTVE8SpQZ9fBgkLmtUL5POMlsblR6UW+eHQwy9+5IjH4/9wHOdgOBlfhE2qDDZt2jQewHKt9Yh0sfVYLAbP8550HOfzU6ZMySk3LUzKOjYdx8m1Pu47AsuyXgznZjIzTNOEZVlHvIJQSUnJKwBeDveeTfUwzcm1nwuFhYWnCSFGZSpUKSUSiYTnOM5fsoTfZpRV1kwG6JzMCpNCWIBWD+zYsbbftmTjjqu5EBA3snaRdhkHx+vftTat/E5Y/q3Gws7NWqunMtdSmRmCjKiA+kJ6W2np/JOYeQkAgPSq1sbVz3QdMBCIXwl6u3aHCFPC24aaxsbfJYnw53CAD8BgojMwcWKPa/8DZVjlFSUAn5zp5eiC8TDCs5gcEUy/YPZVZmCP1h4I4kNlFbVdfZnLy2vPAIkP6ZRNQuAcykL2zIThlxYTxO8E5PHp3GgSEtCqSTHm7dix6tXwMW9HelVkRwKlVNYPnM5JBdBXo/DPRaPRY9OdU1J/rJS6pbq6use0iVxIWU0SwLtKoWqtn3IcB+E5iuM4UErNWb9+/RENdZ4yZUpSa32/ZVmBmy2F53lQSk0bwnXcqZFIxMhMkbFtG1rrF5LJ5IDdhEeLiVhkMeOGoJ1gcH8CV6DfqUBf7TcYadJVpta8NEi3SYmSAGv/oCL/+2HxvugtGnaoaWx8JAkW3axNZg8MsbC8vDaYaBnyUyStYq19EGjQfXt90n9hVnvDCo2DGrUfLC+f3e8S0+GitapjKM5WSj4IOKu089Qh8dTEqGOyEEZF5jo8BYFBCSauzxIeAM3Np/8NjAezyxEyiKRg8JcCexXQBl8iyIgG1/T/rj13U8ZpBkS8KFkrhHlOYJkGEBlg8O93Nq3KOeKdNNRgJxJDwVFVqEVFRRNt2y5OWxXpdmeGYWwPywLAmjVrRmitaxOJRNeanGmaSCaTLVrrB8LyfcHM3TrDpCynozKoDAQOLwwOgD179jyutX45nHPrOA5s254opazK2nEE8H3/nkQiEc9Mk3IcB4ZhnJ5MJgfUKL0n7rzzzggzz86sF4zUs0FEyxcvXhwu//O2YV8Ff1QIY0pmdUkhLAD8vTeaV/fb97F0987TmMVknRFjkUq1+euA2lxhqWBG2dEae0qKsK67laohhGErSTXl5bVRIlpAgev7kZYCMeh1sje2r2kE45HuClWDhHGsFvaVWTuOAG2jRj6sNT+bnYfLEMK0wDQ0FeI0zctU2EgpIQBbD69K0TKtJd3CrLMnBOyBSMwoG19zDrBIgrGE2QdBgsH3DrZhOgBBmhZkF+MgaOV5IDGgiQGxfyJRaM3rKHJUFarjOJMsy6K0vrAsC77vv97W1tbjek8kEilRSo3MdOsJIcDM8ddeey3nH++hhx4yDMM4O7Od2NsYEt2z4XPm8ssv72Tm34Zbm6UbchPR57N2HAEuvvji55RSfywoKOiyUrXWsCxLMvNhD2ajRo26yLKs92Z21IlEIkgkEs2maR5WUEQaop78aIfHqLKa9xDRLZkWhRA2lHY3kqIfZwn3hrb+QwhpZNf/JRB4AMoUOLbiudHEOFNnRRkfOV56aaULFreG1XcwIOtLWeIWgCpTbvBbcZg1dwXx3T1NFhgKIPrUmDG1I8P7hpSnf+kJ8F3oQamD9MUTD9PtW15eOxxAVXaUOKWMMzrsd6Bt26r7wOq+7q3dJLGm+WWVXpUgeRwAsHbf9OKcU53lnhg9enqUSZ2RbWkTAO3AkwMLrCKaEkSUd//tjwY5K9SUdTfot2/FihWFUsrLMq2KSCQCKeXyK6+8ssckYM/zdE9uqd5Co3vjwIEDM0zTPD9zAB4iun22w2XFihUFlmWdEg62GQie5/0+Ho/vzLRSiQidnZ2wbfvCzZs3H7ZS6w+t9Y8dx4lnKvZ4PA4hxKV1dXWDdnmlWv99ITWx6tqeajb+k+nTp+/JlB8sfeUSDoaKitrjTIP+IIiO6Vr3lBbA6hUl1f/bsWNVInxMTxChx3KBDDEsvK0vIqAaksaxR7NEX0kR1kGrZ7OtVAUwJgC4lkiAWT3S2iQG7TpM48Tl/ZrV8+EcWNYKgsxSYfE3snYcAaJW5C6t/KxOLsweCMbZBzpO7j2vMwe0wMelkOXZkzMLWutNQ3H/AABS/DpsATN7APQnWIsfMiuQkGCiNbt3H24rwXB1owCO6JzH+lEVC48H0VxWgx87c6Vbp6YUOStU13Xh+/7Eu+++u98OBj0RjUY/VlBQcHJaqVmWhY6Ojg6l1L1h2TRSSkpNu7rwfR+maY458cQTT8jc3hv33HNPsWVZt6Y73oQZbJTv0qVLDdM0y8N5kKmp0aDOicCKF0SUXY4uUIiste7+BXpg/vz5rcx8UywW63KVI/iucF0XhmHcsmHDhg9lHTTEzJ079wWt9S2FhYVdn8H3fUQikZhhGIO2kt/3vvfNNU3zQ52dQQAjM6O4uBiJROJPb7zxxhDVD2Ww1kMWvFJRsfB4RagnkhPTrl4hbGitX/HhXbzz9bW7wsf0ikD4lUgVXedzxo6dk9P6eHn5xWcwiRu5l8p0QhwZs/Wll1a6TPT77oXrdaqguwaYfwisPOzrv/nmyg5i/TUGITMHFgCYXRCJz5ZVLFiUtWOIefXV/z1I4P8EI2u5iQjQoK+Xl9cGtVgHyLEVC8aCcH22RSeh2d+nyf/CUNw/APDjkQbN3ouZVmpgYdOxJMSpzAzWPjPrX2YdOEC0dgmcnT/PgTUcg0s5R2UbJL4vhHFMTwFpxD0r7P6IREw/eDCzYeKSCRNmdqtlG36ye8V1XUQikROHDx++MLyvP+rq6o4zDOObyWSyK+KzsLAQzHzj3Llz+wpIUqk+oF0bUoNyERH1a2UtX748OmrUqF8WFxef0tnZ2cHB9KoLIoKUss+aor1x7rnnSiFEWWZQTOq72Vrr0VnCA2DYsGF+L0pe9FE0oRuvvvrq/8Tj8S3FxcVZEwnHccDMI6LR6MpNmzYNhVLtdQbZ1NT0g3g8/vCwYcO6PkN7ezssy7p88+bNNWH5/li9evVYKeWtSN1rZk5HfO/1PO/a3jwdA4XZBwljRvn4xTPC+wZK6XGLL1JCppSpAyIBKSMAVIOCqBrYuicAVq8yZwe7BGuD8iQ27X7fzTGV80/V0lwjhDlCaz9rsOAgV7OApTm0qR0ZCIU7tfIaw4XYhTDArJ5pPX7P0FhXAFqa1m4E+7+RInvcSz2LAmTcXlZRe0SVakvTqgfB6jsi4zNo7UFK80wWPKiIbAvydiGM0kMKlSCECTB/a8DPUx/s3Pn7TsH4cTc1wbor55kZW9qa3pNT3nRvDBsW9UDUnj2UBEFQJNUnMzb2Slll7Q+kMGo5qwduGgZJMahANK15DFgUZ3qFOPj+J8bjkW7NB3JWqJyqvWvb9vc2btz4/vD+3mhoaDjBtu3VlmWNTiaTMAwDxcXFiMfjP5w9e/YPw/KZtLS0tJqmmZWCAQCdnZ0wTfPTmzZt+kjWjgwaGhomlpSUbCoqKlrS0dGR0Fp/yjCM1zPP5boupJSfaGhoGLBSJaKxvu9XZLpmU+uEJhEN2qXJzEVKqVGZlm8qj7RIqdxz2K677jrHdd2rHMfZkalU065frfWxUspV999//9WDaXW2fv36Ux588MGbGhoaen1Qr7766nhnZ+clyWTyLyUlJWBmKKWgtTaklP9dV1d3XviY3mBmKigo+O9oNDohHo+DmWHbNqSUvtb6s3Pnzn0hfMxgCe4VR5j5jtGVCwdlqY4bt+SE0nG1t5HWWwk4VWsXQtgIyrOpWyTHanY2Lu8xGK8vHOZ/gnl3dlPpYHIhSCwrK1t4YsaOLMoqaz4kYWwwjOgErdynIOgKIpk8NJAxiIQA46rQoUPGjh2r9hLjF93yHCGgIe7EI0NbzUly8kta+48JGVaqPkAYBaIVpeNrbxiMtTj2+EUV5RW1N40ZV3N2eF8mo5u236y0+r2QhwLcWXsAyS+UV9RemiXcD2WVtV8TwlioVXrpjCCkBaXdH7Q2rf7vkPjho8W9mr3nu/9eAST1b4Bl3Sy4gfDqq5sdQfKJcBCZZg8EUTO2ovbLWTsyKC+vLSurqP0NCfNLQdS7+jqB/pzdis4HgNmjKhYOuPygz+JUIWRRVmoSM4hEAezuTRh6tC7q6uqWFRcX33Dw4MGs7cyMVMeYOBF9r7i4+GfnnXdetlAGf/rTn+Ynk8mfCSHKOzs7UVBQACklksnkD2fNmvXFsHxPbNq06UvRaPQH6YIOSH0O27ZBRC4RfcfzvNWe57Vpra1hw4ad7Pv+HAAfLykpGdHR0ZFMJpNXzJkzZ8WmTZvWRiKR+Znfq7CwEK7rblZKfX7OnDk5z+42bty4LBqN3tDenl3hMBqNgpmfcRznA/Pmzcs5cCpNfX390mg0emO4d2ssFoPWuuHAgQMLBhLFumnTprNM06wzDKO8p3sYiUTgOM6DRHSvYRj3T5s2rdeepevXrz82Eolc4Pt+jRBiARFFlFKnVldXvxaWzaS+vn6MaZprY7HYefv27YPWGgUFBSCiNqXUh2fMmNFnZ4oNGzaURSKRHwshFqXvSzQahRDC833/6pkzZ94ZPiZHqKyi5jEIeX7QUDm0UxhgrV0i+hUz39taKP7aV7DM8ccvGpbw+BwBnguBDxOZI4OBWwRhQ6wfA+hbLY0rHgofOxDKxtfeSTA+pnV21pgQJljzdiYsEyp+H+AlfL9YSpvPZtDHAdQYMgLlJ/+hhJ71xvY1jaWVtS8Q0WnclRMbpKaxpp/6ZN22q+neIWkjl0lp6fwRZMq/gaiCdaq6k+ZXnKg7ac/L64e8ZOhxx314tKv0WiHl+UplOzGCqkIGmPVfGfwHIcXWHa+v+Edv8SIjRy4qtGL0PkBXA3QJCbPUczum7mxZ3+dvOnHiROtg58TfQFqXaZUEOFWqD8IB6atatq+6O3xMmPLxS74E8A+CwK2g8hIJE1q7P2htXP2VsPxQMbZi4WektH6m1aHnLXXPXvUS4sxc+9T2Rem4BfOEtOq69+cVICHAWv+Eoe8x4W4DAJfMMQLGQiL6hBDWeNYKWjtfam1ae2vZuJqvC8P6buZvnSo88XcifX1Lo/hzyC1O6CkwAUBpZW29IDE7Myofh961O1uaVmZ1SxuQQkVqILYsC7Ztw/f9f7muu8ayrMeJqC2RSOyPRqMnuK57kmma84QQF2VWzGHmpzzP+/7MmTNXZ520D9auXVsSjUafNU2zsr29vWs9jlNlC2OxGBKJRDsztzOzIYQ4tqCgQNi2jY6Ojlc8z/tkdXX1I0iVLzRN8wHXdZFpARYUFMBxnHbTNJ9yHOdJwzDIMIyW6dOn/ywts27duqI9e/ZERo0adZxlWR9h5qt834/1sIaadkNuFkL8mpm3HTx4sLmgoMCfM2fOvky55cuXR1OWpxg2bNhEZr6Yma/RWls9BSUVFhbCcZx6IcQdnuc9E4/H3aKiooP95eOuX7/+rMLCwl9JKc/q7OyE67pZa6vpiU48Hn/TNM0XtNavJZPJRsMwhNZaSSlLTNN8r+d5E03TLDMMA57nIRaL4cCBA3PmzJmzMeuCPbB69eqxJSUlv5JSzk4mk0gmk+nJR4KIbtFa/8+sWbOyAhtWrFghi4qK5pimeZNhGKceOHAAQggUFxfDdd3XHMf5zJw5czZnHjNA+lSoyBpwfQXQ3zXwF4LfhkNBSxqgGJFxBrM+nYjGkzCD95MBZk+BxBPE+O8djbtWDkU93fLjas9gjScAxLKjPIO1NIAAVruZ4IEhiWhU8JkIrL1HhfY/1ty87jUAGDu+9rOGsH6q/MyYKArKvWl/FwiPMPvPkTDGQPO/WppW/zRDcNCUj6/9Mkh+X6vActfa+8wRsbBSVFYuGqMIvwHJatZ+V0GMNCSMYB1SuwmC+BuDt4P1ywATIDSAKJFxGrM6jQgnkDCItQaEBJQzp6Vpbb/vwKRJk8ydu0/4DhO+QinXb+BpEADxb4Qyftzc/MduDcjLKhefB9JfIcj5wcDOQaoVc1yzWtratLpbju9QUlGxYKyC+BuIxmQWEtHaW9ratObbYfnBcZU5dtyeBmlYF+nQpCft0lbaSxDpoEY3i0IhrKJg7djdr7X6YlvTmt8AwLHHzT/J1vJpgAqz15lNMPuaSD4B1k+AEGcmp7XpzZuBR/xJk64y29p2FUuJEk3GKUz6w4LkZZkFWDJJvSN/JCHvEvrAc55nej0q1PXr1393xIgRX+9JoSKlzIgItm2nU1/gOA5830dJSUk6wR4HDx6E4zj7bNt+0HXdda+88srK6667rs/BvycaGhqm2ba9koiOaW9v77p+GsMw0pV4kHbp+r6/Win1xVmzZmW51TZu3PjzkpKST+3duxdKqa7zGIYBy7JgmibGjh2LHTt2bJg2bVpXJN6GDRt+XVBQ8HEE65yIx+PoSemlicViEEKgvb0dvu/D9/2/VldXn5M5E9qyZcu1pmnenkgk1LBhw2Q0GkVnZ2eWsg9TUFAArTX27NkD27Y5mUzWzpkzp9+SXCtWrBhWUlJyA4CrLMsqjMfj6aIaXfczVU2p615mopTqagwfjUbT926r7/vXzpw5M6cqJkuXLhUXXnjhZ5n5y6ZpliYSiS6vRyKRaAbQ4LpusxAChmEcI6U8X2t9gWEYcF0XsVgMvu9Da30PM39j5syZh9uFhMoqa58kYZ7dm0I99HMJkJCpATC1mQCCTM1vGQxGUH/USxKJFwDerFlubmviJ4YqUCRNaWXtF4Qwb2XtdVMOSE0Egg9GQSSm9sHAbSp54Bs7d97XVZJu5MRFhVYnrxLCnNGb9QYiGEYBXHf/3a2Nq7uXnxsEYybUjhQePyuEUcrKfzkZ9d53JKzTELJ8/OJPa+ArgkRZT4oVJCDSk5IeCFx/umviwsBTzOq61sZVOVfnKqtYXANBNxLo9CAgS6UsTe8gMW9k0i+CSQRvpnwfATOFMKygMEX6uvw4+f7XduxY06d3Z6goq6y5kchcmo4DYOZORer0nY11A1626I2ysoUnwpRbiYzx3ZUqgmc59f4RSRARNPNTWvN/tjWteCxTsrRy4aeksH+utZv6zVIQBcdCQEgbyo872k2Wt7XV7y6rqJ0KEg0gbQthB+fXPtKdm7JIbRPCBLOG8hNBvE+2VEBdXd1XCgoKvh6Px3NSfsxsmaa51zCMbcxMvu83+r7/z+Li4hdd131xxowZOVe66I3NmzdPsW37Z0R0mtYarut25VYahgHTNNMK7i9a659UVVWtCJ8DAO6+++6CsWPH/sqyrI8opdJBOl0ThNT/P+q67g0zZ87scuPU19cvklJe4DhOItdm3VprSUTCsiybmZtmz57900yF+sADD1ygtV6YSCR8rbXqKUWoJ7TW0jRNwzAMM5FI3LVgwYKcmwJs2LDhvdFo9NOe59XYtj0ieGh0l7JMk1aoqWIJXZWXXNd1iOgRKeVt06ZNa+g6YACsX7++wrKsTwL4qGEYlVJKmKYJKWW3z5CqsATHcfaYpvkIEd0xbdq0fsvz5QiVVtRuBOh8wM/pN03DICGAOEi8HMSL6d0A/wNCvCyVfrG5efu/gKcHdM6BMrai9rNCiBsEyWOZVWrgCDQ9kUhVUPKYSD5CUDc1b1/d430bddzc0YaO3iuEMZXZB7qUjAiqOEGDwA8oTV9ua1rxt9Dhg2LkuCUnmMJ/SsrIMew7S3c0rRoiS6d/SksvHkem+QkwXQFBlRToLjBSkcZdBJ7ALqsfwYCslecIYTyuGXebeOOPjY2P9DT698mECTOLk17xZSBcyqwvIDKCd45El3cjuGRQ4xnM0OxqIvNBYty5o/GNFUPh7ciVwEqVf4cQIwUZ0Nr9TUvjqk+E5Q6XMRW1EyXRT4nkNACp9c/UkBkU/U/dHv0iM/+c3eRdvRWUKKuo/S8QfZ2EpGBJI/vdgPabNKsftDYlfg1sdsrLaydAik9o7VHg3REqKFzWW6hR6lkhSEKwaNujQt2yZUvBnj17hvW2jhCmuLiYhBDx6urqnk3aIWLFihXDioqKPmJZ1gzXdc/0PK9ICOGbpvkagL8LITa+/vrrW66++up+B7IHH3ywBsDH4/H42cwsiCgRi8X+ppS699FHH125bNnhLbS/3dm8efM4Ipqmtf6gaZpljuMcp5Qakf7NKcA1TfNlIYTruu5rUspnCwoKnrzwwgv/Hj7fYPjf//3fY0eNGjXZdd2plmUd53leuVKqjJlZCJE0TfMVrfU2IvqzaZoP9rW+O1jKy2uHJ8iNSCNsqvQN6wiZnue1tq4bkrzXwVI6vvZkYr4MkOeA/VMZXACQByFeIuaniOTGHdtX/DlzItcTY8fOiUk79hkAi7X2jwMAgtjFRE9KEmuaty+vCx9zOJRV1vxMSPszSjl7FYxJgwnQOlyCtVx7MsOfQiQnMKsyMJdlzChSb4J4GaAOsHoDjGcgjYdbtq94rr97mhuL5LhxYpoi7zwieTrA48H6+NSCAQjyFQa2E9NzGni0rXllVseuo0lpZe03COLLgE4ITbXNR+6z0NjKmg8LknOZ9fvAeniQaSQbAX6BIDZ3St607/WVh4JCemHsuNrpJORVYP8DBDYZ8Ink88RcR2ysaW7+Y2v4mMOhR4X6TqC+vv4Yx3EihYWF6vHHH9+7bNmyQc3W6urqRkspyXVdb+HChW/p4PhWsmLFimFSypjjOBqp3qqRSMSfN2/enqEZOPpn/fr1MSFEcTwex9G+9ruB0tL5I1yDLMOS/huvrto9mHtXWTk50snDjwEAKjTa33zp8ANOwpSVLTwRBj0thF2kfOcHrc1HLqBmIIwdOyfmmeYwIf2MyXQBdm1r23P0rMGZ9sjKouD+iyTv2nbwKF67PxbJEeOc0Yab8HfuvC/33OnDYMKES4v3u/ECIW29K6r29RUU2BdjJtSOVB5JIX09oLzvAfKOVah58uR5Z1JaUbNWSnu+1u4eLemsttdXNoVl8uR5J9KbczhPnjx5hpzSykUfE8KYn6pm89u8Ms3zbiKvUPPkyXNUKK2sOZOA7wMMrTwX/uD7Z+bJ83Ykr1Dz5MlzxCkbX3MuQa4DYVQQPYy1LS2rnwvL5cnzTiavUPPkyXPEmDhxkTV2fO2XweI+EFew1mDWByDM74Vl8+R5p5MPSsqTJ8+gqKy8uMSFHNNTM+vy8toySFQBdDVInMvsg1lDyiiUcm5qbVr99fAxefK808kr1Dx58gyKsvG1vyAWl2vm/4NQfwfr3QBAJE8HYyqRMYqhkU6qF8IGs3oqLml6LjmEefK808gr1Dz/1qxdu7bE87xIYWHhgAo7AMDXv7cSb7w68L7KyhbSVrEDuTYVfztSXr7wgyzlAwAbQeWZ9FBCqfZeQUm9AIaQEbD2m7WkD+Qje/O8W8kr1Dz/zlBDQ8MGIcQFnuflnDAuhQCDsey76/Dqa28gYpthkT4hYVgAX9eyfdU94X3vBCZPXmq8uv2Fh4nk+8NdOLpDENIGa/0Cw7mqtXFdzjVv8+R5p5EPSsrzbw0zj4lGo8cYhjE61z9pGKMNwxwtSIwmyNFEA/sTZB7DjG7Nid8pvLLthauJjH6UKYGEkWpzpbZqqWfnlWmedzt5hZrn3xpmdl3XxWD+tFYIitIP/I+IBuxifjtQUXHJMUTyS0KYSP8FnT+CzjRCWAg6dcig/yTrK1saV8zIu3nz/DuQV6h58uTJGa3dJEH/p+8nbmLodcz6MbB6k5n3MusXGLyZ2fuZEFxlYtd5zY0r7wqfI0+edyv5NdQ8/85QfX39Y7Ztnx+P99gBqkfSrey+8711ePW1nYhEBraGKoQFhr66ZfvKX4b3vfOYbIw6rniEVoaQTsfBzF6refL8u5G3UPPkyXMYPOLv2rZh5+6mtW15ZZrn3528Qs2TJ0+ePHmGgLxCzZMnT548eYaAvELNkydPnjx5hoC8Qs2TJ0+ePHmGgLxCzZMnT548eYaAvELNkydPnjx5hoC8Qs2TJ0+ePHmGgLxCzZMnT548eYaAvELNkydPnjx5hoD/Dy+2EEHkbhWUAAAAAElFTkSuQmCC</t>
  </si>
  <si>
    <t>Itaú</t>
  </si>
  <si>
    <t>data:image/png;base64,iVBORw0KGgoAAAANSUhEUgAAAIcAAACHCAYAAAA850oKAAAAAXNSR0IArs4c6QAAAARnQU1BAACxjwv8YQUAAAAJcEhZcwAAEnQAABJ0Ad5mH3gAAAGHaVRYdFhNTDpjb20uYWRvYmUueG1wAAAAAA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RpZmY9Imh0dHA6Ly9ucy5hZG9iZS5jb20vdGlmZi8xLjAvIj48dGlmZjpPcmllbnRhdGlvbj4xPC90aWZmOk9yaWVudGF0aW9uPjwvcmRmOkRlc2NyaXB0aW9uPjwvcmRmOlJERj48L3g6eG1wbWV0YT4NCjw/eHBhY2tldCBlbmQ9J3cnPz4slJgLAAArnUlEQVR4Xu2deZRkWV3nP/ct8WKPXKqysjIyK7Orm71l34RGFgeRRg5nmAPI5oA6iojLKM20yDQKgiK2Mooo2IAIoqLDoCwODYPQbCKLQAvY3VCVe2Vl5RKRsbz34i13/nj3vnwVlZlVrZVVWWX8zomTVTdu/u43bt6493d/y/eJ733ve704jg3HcajX6wgh2NraYnV1FSklhw8fZmhoCIDl5WU6nQ6WZVGv18nlcvi+z9LSElEUUS6XOXr0KACbm5usra0BMD4+TqVSQUrJ4uIinueRy+WYmprCMAy63S6nTp0ijmOGhoY4fPgwAKurqzSbTQzDYGJigkKhQBRFLC4u0uv1KBQKA8z7hBmIjSiKjDiOTSmlaRiGKYQwDcMw4zg24zg2hRBnvXRf0zRNIYRpmqYppdy1bxzHZ+kFztGRHQ9If1/3zerIjjfAvH+YAcO86aabbrEsy7AsC9M0CcOQXq9HFEXYtk0ulwNI24UQWJaFbdtEUUSv1yMMQyzLol+HlBLbtrFtG4AgCOj1ehiGgW3bWJZ11niWZZHL5TAMI20HUh1xHKc6TNPEtu0B5n3ALKUkCAIpoigKDcMwXddlcXGROI6p1WocOXIEgLW1NTY2NhBCUK/XKRaLSCmZn5/H933y+TxTU1MIIWi325w6dQopJYcOHWJkZASAlZUVtra2ME2TyclJHMchDEPm5+cJw5BSqcTk5CRSShqNBqurq6C2yWq1CsDCwgKu62LbNtPT0xiGged5A8z7gNnzPAzDiAwhBACGYRDHMXEcAyCEQL+n23WbYRhIKYnjGCklhmGk7/X3FUKkfeM4Tvv2j5cds79vvw7TNHfUMcB8cTGLRqMRCiHMKIrwfR8g3XZksr0QhiEAjuNgmiZSSjzPSwHn83nIbIlktigAz/PSD6K3Myklvu8jpcQ0TRzHAbUlBkEAQC6Xw7Kss3QYhoHjOAghGGDeP8xCiEjcfffdYRzHZj6fZ3p6GoCtrS2Wl5eRUjI+Ps7w8DAAS0tLtFotLMtienoa27bp9XrMzc0RRRHVapWJiQkANjY20m2rXq9TqVQAmJubo9vt4jgO11xzDUIIut0uCwsLSCkZGRlhbGwM1DbZaDQwDINjx46Rz+eRUnLy5El6yvIfYN43zJEhpURKyYWK7i/UVpht65ed+mZFt+vtbC8d52vbS3bCsZuOnfpm5T8SZrGxsRGqq0x6LgkhME0TgCiK0l8yDAPDMEBtbVr0lhTHMVEUAWCaZto3q0OfvVLKtG92vN107DbeAPO+YY5EHMehEML0fZ/Z2VniOGZ4eJjx8XEAzpw5w9raGkIIjh07RrFYBODEiRP4vk+hUGBmZgaAdrvNwsICAEeOHEmt6OXlZZrNJqZpMjMzQy6XI4oiTpw4QRiGVCoVJicnAWg0GiwvLyOEYHJyMt0m5+fn6XQ65HI5rr32WgAGmPcHc7fbxTCMKFkuaiUJZd2Kvu1Jr2S9KmXGctb/1z+zq1BLVq/uGytDbafxtA79DdOi++oVP8C8v5jF4uJimPQzKZfLCCHo9Xp0Oh0AisViauF2Op3UuVKpVDAMgyiKaLVaSCnJ5XKUSiVQVq/rugCUSqXUKm+324RhiGmaVCoVhBCEYUi73UZKST6f1+5but0uvu8jhKBcLmNZFlJKWq0WkXLmDDBffMzKERYZnU6HVquF7/uUy2VKpRKWZdFut9na2kIIQalUolQq0ev1aLVadDodCoUCpVKJQqGA1hEqR0upVEIIQavVotVqYds2pVKJcrmM7/tsbW3hum46Xi6XS/vGcZzq0BPSbrdxHCdt73a7A8z7iLlYLFIsFjEs5aLVq1MqJ4huR21jenuyMq5bqYwdS7l0hXKs6C1N69BtURRhKJfubjr0eFJZ33o8jS3MuJAHmPcPcxzHCM/zQsMwTN/3WVtbS1fU8PAwQggajQatVgshBIcOHSKfzxPHMaurqwRBQC6X4/Dhwxgq6rexsYGUklqtRrVaRUrJxsYG3W4X0zQ5dOgQuVyOMAxZXV0liiIKhQKjo6MI5Rre3NwEYGRkhFKphJSSM2fO4Ps+lmUxNjaGaZoMMO8PZnWkRUYul8NWXjbf91OPnG5HnWu+72OqwJGjfPae5xGGIY7jpKtU6xBCYKuAUhzHqQ49Vi6Xo9fr4fs+URSl4xmGkerQ4+kP6XkeQRCQz+cHmPcRs+/7CY6bb775liiKjF6vRxAEaSfLsoj6XL3aYNIKskqjTORQfzC9hfrK2NF9pXIX93q9dEvM6ohUpNLpczkbhpF+uDiOGWC++Jgzi0WK7373u6GU0nQyyT6tVovTp08j+5JQTp06RbvdxtolCaVSqaT3dp2EIoRgfHyccrmMlJKlpSU8z8O27XOSUPQ2uVcSSrRL4swA88XFLKWMjCiKiKIoNYSEis7pdtT9WWS8bVEUYSoPnKmMmEgZMrovymMXhmHaZqg7dRAExH2RyjAM00DQXuPpb9oA8/5iFkIglpaWQsA0DIOSujsHQZDenfP5PDmViOK6bgqiWCymILrdLlJKLMtK7869Xg/P8wAoFArY6lztdDpEyprWV7EoilIduVwujT7q81rrsJTPoNPppB96gHl/MJ/lPnddl4WFBWKVX5h1666vryOUm1VbtbOzs3ieRyHj1m21WmmUcWxs7Cy3rk5COXbsWGpozc7OEoYh5XL5LLfuysoKABMTE2kSStYVfc0112AYBgPM+4PZdV3Ocp8bmcSSfpF9UT/9s1/0FiXV/TsrsbqDZ3Wcb7zdROsYYD53vIuBOcWxvr4eAqbupJVp5dl/Z0W39/fV0t+m++7076xk9WbfvxDdA8zn4uzHpGUvzKo9EnfddVcYx7FZyCShtFotlpaWkH1JKIuLi7RUEso111yDZVkEQcDJkyeJooharXZWEsrp06cBmJqaolwuQ18SyvHjx0GdsXNzc0gpGR0dPSsJZXNzE8MwmJmZwXEcpEqc8X2fYrE4wLx/mJNjZadVtZNk++k+eqXtJbvpuzc69LZ4Pl39MsB873Rkjx/RbDZDwIyiKLWctWMEZQ33VL5ioVDAVMki3W6XWFnf2nIOlTcPlQepLWdPefiEEBQKhfTc7be+pXLaaIdQPp/HUrGEbrebWt8612GAeX8wqwUSGZVKhWq1SrFYpNVq0Ww2iVSeovbZN5tNtra2cBwnbXddl0ajgeu6aVsul2Nra4tms4kQIm0Pw5Bms0mr1aJYLFKtVimXy7TbbZrNJr7vo3GYpkmz2aTZbGLbNtVqlUqlgud5NBoN2u12qneAeX8wax1pDqlendoJottRSSGmyoaWmaifpaKM2kKWKgkl21eqrUy3R8qJEymHi6kSTrL9dXtWrx7PzEQZB5j3B3OKb25uLgRMy7IYHh7GUHfxZrOJlJJqtZreuRuNRhovGB4exrZtgiBII4SO4zA0NIRQUb92uw2QfmOkihxqX//o6CiGCgDpCKFe8QDNZhPXdRFCMDQ0hOM4xHHM+vo6kYoLDDDvD2YpZWR4nke32yUIAgqFAo6qmXBdl263ixACx3HI5/NEysPmeR75fB7HcXAcB60jjuO0Xajzq9vtpmdrPp8nCAK63W4aZ9Bnph5Pf3g9qd1uF9d1yeVyOI5DoVDA9/0B5n3G7DgOhv6PZVn0VMQwUqHdvKq5CFQBjKGKc3IqDByoiJ/WIYRI+2YHj6Io7WuaJnkVvvZ9n0AV8+i+WR3Z8XSbp4JJA8z7izkIAkQYhqEQwvQ8L43Ylcvl9A68vr6eGj5HjhyhWCwSxzFLS0sEKglFRxnb7TarilJgZGQkvbefPn2aTqeDYRgcPXoUx3EIgoDl5WWiKKJYLKZu5GazmVIKjI2NpVnRy8vL6SRPTExgmiYDzPuD2U9C/5FhqMxkUxlNgQrA6HYypXO6zbIsYpWboA0s/V4Yhul1Srfpb0WoEl61Dj1e3JchrfvqNkPlKwRBQBCG2MpAM02TKAoJgwAhtjELIAwCwjDANM/GHAQBUm5jNg2DKAyJwhDD2MaMlIRBQBRtY7btJLoa9mE21OdOdJyLOVRpghrzlTDPYRgi2u12KIQwgyCg1WqBujsX1b3cdV08lXFUVtnUqFI+/aG1YdPLZFMXCgXyKurXUdnUQggqlQqmspBbKtHVtm0qinREn830ZWS3Wy1MQ1IuOOTVKicK6bY7SMDJ5bCUHyDyPDzfRwDFcgnMBLPbahFHEaZlki8rHWFAp5OMV8jnMXQtqdul10sWXbFcBsOEOMbttInjhPIgp+ZI9ny6buJ3KBYKCBVdbTeatLo+kuS6KVQG+EGe55bKkgcicc8996S1srrEf2tri1OnToHacvS2tbS0lCahHDt2LD3P5ufnieOYSqVyllv3zJkzoKJ+GpSO+jmOk9ISdLtdFhcXkVIyPDy87dY9vUJjs0EpbzM1M8Pius9n/nmOO75xkkbTw7YsiiWd5u/jqQ/r5As4+TyQhMqjIEAYBsVyGdNIdpuuStG37ByFUhGBwPdcfB3+LpWw7SSbqtNpEYfKmVUuYxgmYRDQ7XZASnL5PPm8TvPvgIi4z3iZG294AI+8XzIfJ0+cwO8FFIuFAzfPp0+fpqFqZScnJ7WjbO/YShzHTExMpBlKl8PnL8IuK1sh7/zEAn/9mZOsnG4CAoQAKZMXJG2Gcg1n24XqC5CNTOqCoN367tguIc64qPfSISW5Uo4fevgUr3rho3jIhGBlrUnOKTAzc/DmWcdWpqentYEcidOnT4eK5ifdyuJd6igjlcmk+wrlxAlVfaVQ+YtSOXv6dehzTiqHjR4vq8NQ5zJArWjzsS/P8vNv+QIn57egbEMu+Z0rQqIY2j5OwebVL34or3ruQ+h6IcLYu171Us9z/3gKx3ayj+d5zM3NEV9gDefJkyfx+pJQ2u12um2NjY0xOjoKF1DDWS6XmZqagrSG8xSj1TzfWA54/uv+gY1GFyo52DmudLBFAL0IOj3e+AtP4Vee/zDuuftuwujyz7M+0ur1emrPzM3N4fYn+1xsEbtE/+QOEcL+vqW8xemtgJ9482fUwnCuzIVBchKRM6GU49Vv+wwf/OzdjFQLyaK5CNI/d1ouZJ7PJ2JlZSUkYZZLLdZIpa6jIod6W+qpdHbdV6jKq54iLTNNk5yy1LM6crlcuoX5vk+cYbuRyqevddiWxVC1wM//4Rd42198A0YSQ++KFwG0fB5wn0N89nefhW1AeBnn2cpUz6VXV3VcKR2R0Ww206hfrVajVqth2zaNRiM1UnR7r9djc3OTra0tyuUytVqNcrlMs9lkc3OTIAjSvqi0+c3NTXK5XNruui6bm5u0221qtRpDQ0Pk8/m0r20arLkWf/25eSgloeirQiRQcvjOXWf41J1rVC/zPEdRxNDQELVajTAM2dzcpNFoUCqVqKkqutQJJjIpY3rFaQMpK7pdGzC79ZUqwpftq7c4Pd5OOoqOyR1fX+DM6eaVZXxeiIjkZvORL55QDdtz1C/9c3ex57n/iNHt2rgFEJ1OJxRCmL1ej62tLeI4plAopFeiTqdDNyHzoKpyCaSUbG5uEqqqKx0h9DyPlqIJKJfLFJRTqtVq4SX0hQwNDWGpOo5Go0EURTiOk34LClbEz73t87z1A99KbI2rTdyAh9/vEB967RMpOnkKxaRM4VLPs+u6qTOuWq2m8Z1Go6GPmMgoFAqpl01H9+I4pqjK8DXwTqeDbdsUCgWKxWLqpev1ehSLRQqqZkLrEKrmolgsEqkoo3bK6DF1hDAMw7QNYbCy0d72N1xtYhi0Oj0ajRbIyzfPhmGk41kqQ6xYLBKoaK7ruhj6jqtXZy6XS7civR05KmKn24IgwFS0haaKFej3crlcaizF6g5uZOpFdd8gUy9qquSUOI5BGVxXs0gElipmvlzzLPtC9lqHpegvbdtGnDx5Mozj2MzlcoyPj2MYBq1Wi/X1daSK+uk78Orqqr4DMz4+Tk7VcK6srBCr3UZ73bTxBHD48GHK5TJxHLOysoKvqsCPHj2KaZp0u11WV1cRAurjh/nZt3+F2z7wNagmMYOrSryAB0yP8OV3PB8ReqycPnPJ51mq5CJdDLW+vk673UYIwdjYWOohNXoqsVWvGm2Y6HYy6WuRqsIOgiDtaynXbvaapb/5WofWqc/AXqZK3FCeul6vh+95xFKS8LpfzSLI2TamkXzuSz3P/TpiRd3QU3kg+mXos0afY66q09TtUkpc18V1XSzLolQqkc/n8RQXlfbeFVVNp+4rpUzPwkDVhHZVtlJRRQH1eD11nhaLJRVu7129NgfJrbDT6RCESVbYpZ/nIkKIVIeh6mkLhQI9VXvrui4HihgfgKDDj77x4/zVJ+agnJypV5X4EfeZqPDBX/1+jo4NMzKaHA+Xcp7llUiMrwZGppHWq1fiOAZ5eea5X0dWb1bHgSPGLzkGL7n1Dt730X+9Ov0cfsh9J2vc/ps/xFDJAcMGLv08ByrrjCuFGB8k01MT/MJtX+cdf/nlq/i2MsrX3/ViYr/D7HxCVH8p51le2cT45+q62kQI5U7fRXaau4s/z9uyU/uBI8avFixe+pbP8t4PX6XHihdyv6khPvnbP0ylYBPL5A93qed5Nx2Z8SJjaGiI4eFhyuUyGxsbrK2tEYYhw8PDDA8PI6VkbW2N9fV1CoVC2t5qtVhbW6PT6aRtjuOwvr6eMtTo9l6vx9raGpubm5TLZYaHh6nVajQaDdbW1vA8L+1rWmaSx7nLt+CKF2UIbqyvEwbB5Ztn00zHy+VyabvruqyvryeRYo1ZGzLacs2KXsl6Vcp9JWw/d8u72kTqrf6yzvMVRoyPlBwerfGyt32Jd3/wm1ftsXL/Y8N8/g/+MzkjptFMIqOXcp7lFUmM324RS4lt59jOKr/aRGKouhLbsi/PPF+JxPi2ZSOEchBdxSKBMEiippdjnrVhKzO3HD1edg0cOGJ8S/q84Lf+H3/58RNJxvnVJn7IfeoVPvzaJ3J4uEq5Wrss89y+EonxhWEQx+GePoArWwRSCuW1TPIyLsc8GxdAjG/of/R6PfL5fBr10+0oYymfz6e/6KnK8aKK5mpAYRimOlAZ0L4iIdE6NFDf93FUtpL+sL1eDxnHmKZ97qWlU4BWCdql5GcvB0J1EhIC6+z3O5c4a10K6BSTsVslaBchPjc3FCRCQL6Qv2zz7KvMdB3ljVToxFeP/yiozMADRYwPkqn6EX7uHV/jT/7qq4n7XAoMI+Zp19/FSKlLFBnYdsQ35yb4xtwUWCGEFsfHV3ncfWaJQgPDjNnsFvn4nfcjio3tRbRfEguITJ75iG8wVHKRUlBwevzt176P1c2hBKMW5T7/6m0vgMBlcSmJrl7KedbH0RVFjB8GIVKCEJlvXGxgC8mtP/EB3vfqd/EXN93Gn/3Pd/OCx38Zuir20s3zlOvv4b23vIv333Qb73v1u/i9n/wrbCFh/+q2EhFAq8KLnvBP/N2v/xF/9so/5b2/9m4edt85Os0yGDsb15ZpYojkEnCp51kH3PYaTwiBUS6XqVQqOI6TXnOCIKCiWOdiVcKvr0q6hkJfq7rdLpVKhVqthmVZaV+pUtGq1Wp6NWu1WjgqA7pQKLC1tUVLXaOr1SrVWg1DQNDzz3IQSSnwPRu6pC8/sLftEiEJQxM6mfc9OzmZ9tt26RY4Pr3IrS/9APiAAb/3/qfw8re8lE5sgrmd6p+IIJYxzWaTXtC7LPNcqyVGsO5rmia1Wo1KpUJXPYuu3W5jHD16lImJCWq1GqdOnWJpaYler0e9XqderxMrdpnl5WVKpRITExOMj4+zsbHB4uIim5ubaB2FQoHl5WWWlpYQKmmlXq/jeR5LS0usrKwwPDxMvV7n8OHDrK6upnQDExMTTExMkLMtOu3WOd7DWIrEDlGv/oMiZvs9ZNJ/5+9sRqSA0IKenbxCK2m7UIlMhopd/vyX3sHYdBsK8Ad/+2R+6Y9eBLkArOhcfWpXPrW8TM/3L8s81+t1bNtmaWmJpaUlHMdJ57+lSPdXVla23efGASNsvyDRhuhWGd9zztolotggaJVgqwyes213xAK6haS9Z1MuuIyNbDJ+aINqqZMskq0yhOa5tko3D1vK4NwqgZfn0OEz/MOd1/G6dzyNn/n95/Hz73h+osN3to3TqN/u2Tmh6XLM8046UhwHiRhfCKgWc/z4Wz7Ln/3ddxL3eWSSs0K++MY38fCZRfCACrzuz5/Ba9/xIh7/+K/yY0/4Cvc/fIofuP4uCAAT1tslPvyVhxHnBJ//l+O865M3gNMjh+TRxxe48VFf5xHXLTA9skYt30UISdsvcNeZcT725et5zycfT9stQNGF2MCQgpuf9QnuM3GGuAdGXvLBL17Ph7/waIhUQnRgUb9mgf/57I9hCbW9GfDmDz+VuxbHk93ED7nf5BCf+p0bKectwiiZh0s5z7r/Tu9n2iNLO74KO5C3yEtM2A6SwrE6+UKJ87vPJfRsHjh5ip96zqdhE3BJdo8QRksdXnLj56AMZcPjXX//ZAhsXv7sj3Lry/4GQ0jQ5oBMzqUjcYdrJ9e48TH/wouf9CWe/9s/zcnVQ5DrIWLB8274Mg9+8GJi25RhabXIh+94HFST+AjdAuNDW/z0Mz+rSh+ThfoXn3s0d52cAicAFUw7fPgwkd9hee7cZJ/9nme5B3lLlszfYJdVtZNk++k+u634rOymr1+HSM+Fnfvfa+lXIyRza4cwLPVGD9bOFJlbrtFo5sEi2Zk24DHXn+RdP/dOHDOEyEACW508bAEtoA3drK9F6Y9iA79lJn1aIFsQnnOsqM/ej0/Jfs/zXpI9fg4UMT5SUnQMXnLrp3nfR+8+z7FyI699+4u54Yav8JInfZn7HVrhhgfcDWHybd3olPjoVx9CnBN87s5rue0TTwAz4lBtiw/e9Mf8093X8rEvP4S7Vkdp+jZDVsyPPOJOfuNFH2S00El2lRI88/Uv5yOfezRGyeUzv34rNzzou8mNqAK/+p5n8Mb3PwcqCYMwbp6H3vck//gbv4UjosRwNuHJv/ZKPvPNB0DJBTfkvlM1Pv6G/8RQOY9hJSGCSznP8kokxq9Uq5imQa/vKruzCCh6fO5b9+EnX/sK/vD2J4N2itow2xjhx37/J3jJG346WRgFD+yQtW6Rp77+F3nlH/0Yn/r8I1k6OU177RCLZ0b44w8+nXd+6nGJHpnYC0998HdAGuc/5S5UhEDGkq2trcs2z9UrlRgfKc92gu0lUoAdQqVLLu+ftU2bRoxd7kC1A3k/6SuS3/E3higON3jGUz/Hm17+bj70a7/Hl279Db72J6/iRx/7lcSmILFD6qNNMCNk/5X03ymXe56zOrJ6jQwxvrG4uMjCwgKbm5vU63Wmp6dxHIf5+Xnm5uYwTZPp6WmmpqZotVrMz8+zvLzM6Ogo09PTjIyMsLi4mD7sbmpqKjVs5+fnmZ+fR2e21+t1Njc3mZubY3V1laNHjzI9PU2lUmF+fp6F+Xl6YUS5UuMs5r/ziZA7+rrOWWKhAd08L3zaHXz+zW/iI695K6967id41uO+waMfNMvDHrjIsYnNswxVy4xA3Ass5xP1R5mcOobj5Jmbu/TzrIucpqenmZ6exlc0lgsLC9RqNY4dO0a9XudgEeO7XWIJpso3uOji5nn18z7C+26+jYdOLia2QwTShZNzI3zpn4/zryfHIVOqu9dxstNuskd3Jck3vFhMHtHpeZdhnq9YYnwgjjKBqn+jxFKc/cdz8zz2+rt4/Qv/z7ab3YEPffEhPPlXf4WH3vwabvilW3jN+58NeXUl7pP+ppwVn+MBjbTPYw+RSDzPJ4zCyzfPF0CMb+jtaXh4mIWFBebm5vA8j5mZGWZmZoiiiLm5Oebn56lUKszMzFCv1zlz5gxzc3Osr68zNTXFzMwMpVKJubk5ZmdnAVId3W6Xubk5FhcXGR0dZWZmhrGxMZaXl5mbm6PVaqktbgbHNmm3trYJYC9QRPY7K6Fke0lLZKRu8mc/5msY+eQKSwG+euIYz/3tn+Ezd96frW6BMDLpxco26ZfYwNd/eJm8HlBfTTyueoG4BWZGN8g5kfLn7yDCIAojFhbmL9s8z8zMYFkWs7OzzM7O4jgOMzMzTE9P02w2mZ+fZ3FxkQNHjJ+k7vcHq84vXk/lgAgggJkjG/zQg+5O8ioCC4yY+khz256wYHFtmKBZSW4yPRukwdMfcWeiI/vHFTEENqcb1eTIEYk/5Icf+S1+4FF3wsYQbNa4dmaB17/gQ4lL4zznSxhsO8QuxzzrnSPcgxjf0OeV53mUSiUqilC9oyiBhEqGrVQqBEGQtufz+TSaq9uCIEBHeaWiGegoWqFKpUKpVMLzPDqK/0qPZ2saI/VIb9t29j7s+8WME09mT/3hYsjJmPe84l185M1v5heffTt08yysD23bEy488fq7ef6N/0A173J8bJ3ffNl7+Zmn3ZEcO9ndw0h2jju+fd22lRtCzXb50Kveyvt+5a28+5ffzmfe8Js89LrFxIW/K/zE5iiXyxiXaZ47ap719TU7nuM4qQ7j1KlTLC4u0mw2qdfraen+4uIii4uLiWU9OUm9XqetmHNXVlY4dOgQU1NTjIyMsLy8zOLiIq7rMjk5yeTkJEKIVEehUGBycpKJiQk2NzdZWFhgbW2N8fFxJicnqVQqad9eGFOqVO7d4sj7fOPEFF+dm4Ky+sMEiQv9GU/8Jo+/LmHv+8svPIpe10hsihCGci7v/4XbuPPW1/LVN7+Wm1/4f5PFs9PQeZ+/+fyjOLk4sj1GD4bzLi986hd5ydM/R/1ok1Yzx6lmJfG27iRSYpkm9ckp8vn8ZZvnMAxTHUEQsLi4yPLyMrVajXq9zsTEBEasyiD1PRnlvtV3ZN2WfK5Meb5q19tZvMPVs7+v/pm9U+v2OI6JZax8X/2HvqRWdqGaeCYpQ9HpbZ/1Rozn5bnpPc/lTKsMI0AxOTqIlT+t4PP171zHL9/2PALDgCH1vgnHZpoMTXrc9d0j3PyeZyWLZwioQrngJXaFHbC2OcR/+8OXcHqrkoxR2h4DC05vlXnO7/wsf3rH42AswSoqYJtnG64Skme7iGTuLvk89+nYaTyAA0eMP1It8OP/6/O89+++nbjPYwPTjHjF0z/N9PAGvdAk70R87GsP5PavPhScxAWMkNAu8X3H53jZjZ/mEdfOUcr12OyVeOft3897bn9CEhXt5nnSQ77NS576eR40tYxjhaxsVfnst6/jttt/gFPrQ/yP536YsXIb05T889wk7/nU45NUPwG0ijxgZpGffNodPPzaeYbyXTbdEv949zW855OP5667j/Pgh36L//qkLxIHBrEBb7/9SZw4NZaM7yVR2U//7o9Qyhm4fmLjXep5Nq5EYnzCLi9+0+287+9Pns3s08kk7ErA6W17PrPiORBaWMUulhXR823iyIJCxoPaLYAU2EUX04jwfCf5vbyfeFw7xUSvJPl/0Tv7qPEcCCxE3idnB/R6OaSf2+7r58DV+SUyabPCRKcX8sDpGn/9K4/l8Mgwh8cSBqVLPc9XLDH+tUeK5577pW4S4Kq0odpOFkf/wiCxDSh3CBF4gU1sSrWIMn2KLhRdgljghXaSsVVtJ99sIaHc2R6n0LcwUGNUOkgzxo8spBVBRbnp1RFEVWGtdJJUQY01khwdzVMtJN/8f6/0z52WC5nn88mBI8avlfN8c67FDf/9bwmlBHPf1u/lkabHG17xeF75X66n3d2OxF7qebauRGL8rhfwmAdN8YMPm4K2f65teiVLL6J2qMQLnvogcvmkYPlyzXN0JRLj67S517z40Vh5O3mQzdWyQFouP3XjfZkZS6iZdps7LsE89x8xul0bt3AAifFdRdh+aKjAm/73v/L6t/9TcmuxjXPP/itJ1jv84BOu429+/al4rS38IOF6vdzzzJVEjG8owvZTpze55UWP4jUvuwG6Pegk5+oVJ70oWRg3HOf9t9zIUKVIs9U+MPOsPat6vOAgE+NLFWXEtPB7Aa9/6WN53+tu5P6TQ9B0YcsDL4QgSibeD5NXL0radmvPtu3Wfm909BSGc9oj8CPoBNBwqToWv/iih/HBNz6TsaE8nU5SonhQ5tm5UojxZR9h+9raOt1um9FqAc8o8dF/XOJjX/we35pdY80NiBGYlpmEUzKTrM9PCcRZIjbLxNDe31CXIBqYVnJknaXDVH2RxJHiwhAC09TnuCROyxi3dURRRNkUTI/mefIjj/Ocp9yfBx4bZuXUEp2uh+M4B26edyPG3/O5snKHlPmtrS1s276kKfNCGNz3umvSZNx7vneCjVaXXL7AxOQUwhC0mk3OqOLvQ2OHqQ2PgJSsLC/TUUXJE1NT2LkcPc9jeXEx+UNWKhw5ehQQNDY3WD9zBiFgbPwo5WoVGcUsLy3iuS45J0d96hiGaeJ2OqwsLxHHkqHhYUYPK5rq1RWCTovhisOx6eNpKOB73/teejQcxHne2NjAVNloenGYr3rVq26xbduwMywwPRUi1tsRKuM5UOFkW3E/ROqOrbejrA7tvtV9yYSk9T3dUuHk/vGMTMGvEIJczkYYSb5kFIUQhdSKOUYreUbLeUoWFExJ0YKhUp5D1SK1vE3JAkdEVPIWI+U8hypFyragaELekAwVHUYreUZKeYoWFAxJ0RbbOhyLogV5I6KatxkpFxitFCmr8QoWDBUdDlWLDBVzqq/ENgUYSWllLJOtPVBPQDjI86x1yCT0Lw8UMb48D2G767rYts2xY9OYpoHreSztgPnMmTU2Ny8+5iAMWchgrtfroFzR58M8rR4Z7nnegZ9ndeM5WMT4/TqyerM6LCvJ3DZ3wSwUr9jFxrz7eOfHbGZoEHbScRDn+cAR4+stkV0I2w3lDhaqWn2AeX8wHzhifHlhhO2cPHmSnsqqHmDeN8wHlRh/W3Zq36ltL9kJx246duqblf9ImA8cMf5uOnYbb4B53zBvJ/v4vs/s7CzxBSb7nDhxAt/3KfQloSTPTYEjR46kVvT5klAqlQqT6jFejUaD5eVlhBBp3iOqqqvT6ZDL5bj22mtBhaUHmC8+5m4S49lO9lFGCIayXLOiV7JelfIyE7brFT/AvL+YDxQxvjwPYbtlWUgpabVaRMohNMB88TErR9gBI8Y/D2G7bu8qxrsB5v3BrKO8B4oYXxtcMmN96/E0tjAM074DzPuHOY4PIDF+ew/Cdl/RL4+NjWEqquYB5ouPWR1pB48Y39iDsN1Tj/DOq+rxAeb9wewrHnTz5ptvviWKkmfaB5nEEEulmPkZV682mLSCrNKo79npjuOkW6ivjB3dVyp3ca/XS7fErI4oilIdIuNyNjLJLLHKxh5gvriYM4tFHihifL1N7kXYHkVRUlOrXNEDzPuD+cAR4+tA0F7j6W/aAPP+YhZCIJaWlkLANAyDkro7B0GQ3p3z+Tw5lYjium4KoqieyxIryiCZpYxUhTmeokMsqKRY1B0+Uta0vopFKjFWqjNYRx/1ea11WMpn0FEUAqZpDjDvE+az3Oeu67KwsEAcxwwNDZ3l1tXPL52cnEyt2tnZWby+Gs6WIlWXqoYz69bVSSjHjh1LDa3Z2VlCVcOZdeuurKwAMDExkSahZF3R11xzDYZhMMC8P5jd/lpZY48Sf9kX9dM/+0VvUVLdv7MS70LzsNd4u4nWMcB87ngXA3OK4yAR4+v+O71/IboHmM/F2Y9Jy16YVfu9zz5vHQDC9pMnT+L7/gVncg8w/5swJ8fKTqtqJ8n20330SttLdtN3b3TobfF8uvplgPne6cgePweKGF+eh7BdW98612GAeX8wqwVysIjxq+chbG80GrTb7VTvAPP+YNY6DhwxflZHVq8ez8xEGQeY9wdzim9ubi4ETMuyGB4exlB38WaziVQ1lfrO3Wg00njB8PAwtm0TBEEaIXQcJ6UJaLfbtNvJc0j0N0aqyKH29Y+OjmKoAJCOEOoVj6oDdV0XIQRDQ0M4quh3fX2dSMUFBpj3B7OUMjpYxPgXQNheKBTwfX+AeZ8xOweSGP88hO2eCiYNMO8v5iAIEGEYplSTOmJXLpfTO/D6+npq+Bw5coRisUisnoEaqCQUHWVst9tpif/IyEh6bz99+jSdTgfDMDh69CiO4xAEAcvLy0RRRLFYTN3IzWaTtbU1AMbGxtKs6OXl5XSSJyYmME2TAeb9wewnof/owBHj6xUd7kHYrg20Aeb9xWzedNNNt4RhaPQUBaGTuTdnB9Jbov7lSBlXOVWTqT+YUGenpaKRuq+l6kL15OjxcpnMpJ5KYjHUNmcqSzo7XnZLHGDeP8y5XE6Ke+65J62V1SX+W1tbKbvt2NhYum0tqUdeW5bFsWPH0vNsfn6eOI6pVCpnuXXPnDkDKupXUQz/OurnOE5KS9DtdlNG3uHh4XSrPX36NA1Vwzk5OUlBJc7Mzc0RKMNugHl/MEspo4NFjN+nY6fxzEw53wBzIv19LwZmOIDE+MYehO0aeKgcSlkdO423m44B5r0xKxwHjxi/sQdhe7fbJZfLcfz4cYTi4xxgvviY3f5kn4st+hvTL3KHCOFufbOS7aN1XGzZDcd/JMxZOXDE+NYuhO3aWt9JR/94A8znjnehmO2DTIwf7ULYXiwWUx1tVa01wHzxMZcOMjG+6Nv6dHukjC79jRpgTmS/MMMBJsZnB8L2QHF56vGCIBhg3gfM6og5mxjfdV1c10VKSTFD2O6qSJ6dIWwPVM1FEAQUM4TtWoehsp90jMB1XTwvoXfWY/q+j+u6RKrIt6AyoLQOK0PYHoYhruviqzzMYrE4wLyPmD3PS56YKqWMoiiKDMOIDMOIgEhKGUkpIyBt121RFEUqMBMJIaI4jtP3dN9sW1aHbs/qyI63m47seFEUpToGmPcHs2ma8f8H8M6FWyLfs1MAAAAASUVORK5CYII=</t>
  </si>
  <si>
    <t>Evadin</t>
  </si>
  <si>
    <t>data:image/png;base64,iVBORw0KGgoAAAANSUhEUgAAAlAAAAE4CAIAAAAbz1q4AAAAAXNSR0IArs4c6QAAAARnQU1BAACxjwv8YQUAAAAJcEhZcwAAEnQAABJ0Ad5mH3gAAP+lSURBVHhe7H0HgBxJdXanSZuDclrlnLN0unzcHSYdYLLJhgNjwCYYTDLpTHTAP7YJJplkDLbBGI7LOsU7ne50ujvlHFfSSpt3Yof/e696Znp6d3Znpnt2V9J8euqtrul+9erVq3qVulu2LEuqoIIKKqiggmsdiv23ggoqqKCCCq5pVBxeBRVUUEEF1wUqDq+CCiqooILrAhWHV0EFFVRQwXWBisOroIIKKqjgukDF4VVQQQUVVHBdoOLwKqigggoquC5QcXgVVFBBBRVcF6g4vAoqqKCCCq4LVBxeBRVUUEEF1wUqDq+CCiqooILrAhWHV0EFFVRQwXWBisOroIIKKqjgukDF4VVQQQUVVHBdoOLwKqigggoquC5QcXgVVFBBBRVcF6g4vAoqqKCCCq4LePzieeVr6RUUhoyZiYA4qmo2DBimJMuSIkumJcmwTfwXwAUyXQZSFEvGifgpc0EhsKyeZHdPPBZLxuPJjoQejyWNhN4XTaaSuh5P9iR10zS7ehJSLNUVT8mm2d2XUEyzvS9hGIZlmLGEoVhWSjeSyRQkxMUJXAa+sqyaZiyaMJBIVuaCgRooy6GgpgU1yqIsBVU1EFRNBYqQasJBS1NkS6qqCeuK0hDUApoSDmqRcEANB6oiwVBYC4YCtTjVlNpISAlq4apgVTgQDgfrw4GamhCukWrDxanKBtQOgThI+bK4XKB7FJBJkQp3l0UYkaKAkBIEF9fY16evrKCCIlCKyQ4Jbw7PojpeQQWDAfaFtg9NHto+nNCRYxCvihaTLRCtJExRZhc4JBKp3st9Z853XO6K9nTHenoTvdE4nBkCXV2x7t54FyiWTPQlYolUPJ6KJVNwaYqqqNQUy4ppIWEFkiiSyqlTJElnyexQ2dfIuAb/4WxEq41rKGSZFAdh6SKWnHNFORFZKxbEnysh/kMwVTaESPCpJAzcjARHq8MV8gX4CR6GfQtFSDrVQYOlM5gNHS0ZUhq4la63EEqqakNVCG4yUhWqqg5V10aaq0KNNeGa2nBdc3VjJFBTV11bE65urBpfHWqqjdSNqYazBbehQCmmjwyWgVUBgQzb+YnICiooHFz/7LB/qDi8ouB/AfiNUdWycO9eBKiJxl/2cHlhJi71XbnUfa4reqWjr7e990pPrL0r1na5t729r60n1tsV7YsmOnpilm6oqqzBY5LPgj8g70VNK6WAfwTysGBpuylyt9TuwqVBFBpwsP9AkriaPARdzGGKFL/ypeyJKcL+D2aIxy1wSBiZcQxnLx0uGkid7iUJ4G9luCmkLbiJrgCEQjbhxxDHKVGehTw4ihhxC66n+0gRGKEiQLfQ/eheUIbY/REgOwhn8IiWwacKugHEEekY6BLohq4qYyOhSH1VfX1VQ0P1uPrImHF1jQ1VYxqqGmsjjc01k+qrmsfXB5qrScjBgOQhMudFiF1BBUNiNDq8iu1eSxAtr7CHgZpv/CCGIgP9WoBpRpPtrV1nLve2wZNd6LrU3dd2qaftSu+5yz2dGKV1Rzt7Y5ppqoqiSRYGehCFPBmGZezByKXxcAFHSkxISyF2ZAiQfJwBDtgZwa8sGhs6h0HU8NvxfFk6zLA5sJ+j0RaGoYKTAH7DT+DlrDkDKKRggA2S4OlceE1yTmnJiK1h4sQpA4nGKZOLpd9ELP6IUzqnv6QB+oF+TfOj/5k+B64UYqeVlwF8OQ++yRcKFwihKKgbcMc6M0YAR92SkpbUWFfVBL84pnZqfTWc4sRxNc3NdWObasaPqZk6qSE8vs7mmxfOxB3IZGoQZHJRwbWGshRrxeFVkAbGBGg7xCjB2Yg4whgKsLvJY4tJ/cKZjrPnO8619bRf6jp7qetia/fZKz1XOqNdl7t7YwlNljVFwsgMrSkNzmQZzgwOjT0auTQwzjEpSgsta7rVEy0gxfMpQFc7ItPB3ABdZJ9TMNPQ0yF7mX0OZD0HXZnzE4Bfxam40w+IVtuuiRmBSIi08lkJQE7SHKbDQF5BMOiPTCr41cnMhWz2RYAOXBB8yjaCEEXT0h6PF00T3QMMGelIs6xSCuNV3YJTbOYx4sRxdVPG1Y+f0jh5fP3YMbWTxtXNmtigjqslhgPBxJCbuiYMSCKEEc5YN7Lz4WIILoBrxPx5BVc9BrRLr/Dm8CpreFcz7AbLBloTdnggis5nbZYUS507eeXYhc7L59pPt/WcP9tx5lJ366Wujo7evu6opioBDEhoDlGCe4NDY8cmyZpKDs1uLdOgtNLnIkFnWCBXyqHR//r+PD1iUIYiWlziGzKZ6s+35HxleBaCTJYzgUGQblJQ3DAFhRyghXEh+UKMEXFm8KklxWkgrYxtrGme1DijuWba1OaJ42onThszZWzd7OljlMYqwScXPD9q6OTVkBAkoUlg9t9wdarKQvZXUwVXG0bjlObV6vBK1mMJuvK/zAZFpkFCQCTtkjn9E/+Ybir6wTDinbFjRy4eO99x6VzH6Qudp892nLrS3XWhq6svDucVkCUNXW0ZLYwCEtOOOAVHMUFGB5r64xRwRmbGYRpBDpRiBdcYUOIwAB6B8VSt2OQpySZ3iOD9MLBH60PRGBvSuNCg7bCSbiEsJS1LCQQmjWuYMLFhzuSmqVPqJ09unjK+fsHMscEJ9XYSOSALY8OCCbpsvoKrEJU1vAqyNRl/MzM5iHS5EBEjLrZ/yms6Zl/i6KELR860nzt9+czZ9sNn289fpgnJZDwJxxaES1OUgGVhiCamH4kfNVzpshdpCfYUhbD4hSJ5DUylrjdF8GXXkMMrJBu2lq5DwDDg0sgAMBQzaf+rYZqaosDVwQBMC/G0WCis1AY7Rl5+pFgxU6qbKQR0M4lumCwncYumTWqunTqlac6Uphkzxk6Z2Dh7+thpLU309MXAcCQhzDUfBv+1gmFFWQqi4vCuKqCwoHJYgpi9EUB/GBD+Dw2GbsA5DWAuhtF7qXff0YsnT7TBsR090Xb0Ylf7xc7OnmhI5hEbLbDJqirDw4lVNdyULmCEHWVNLVJuCuJHcZUdL0TNvcgdU8G1CyprYQ0odz5S0adjcBQtj8sesndxmP/bdzAoSMuFGA6aOggBiTbOJCSpoSo8tWXsrKnNc2aNnT65afb0MXNnjZfqBvCCQiCCbhDnAPfJyKrJSVM8TsmzFvaQTAVlQa5h+ARvDq+yhje8QFnJPA/Ee+JRQ/F/oDqp672XevYfbTt+9MLJ8+37j18+de5K26XuVDwRVhR7Q78Ct0ieDb5N3ER2kGl9hFGIM4Rdttc/xomMQdm3O64e5K6rGYUo43qEKHmntbhso0BkOPS/nZsvSgRmzC7QMCxd11OqaiSNmCzXVoemTGleNHPcnOljZ7aMmTtv0tQZzVIQNSAXaMrE3AP42E0iceVABSOByhqef/Bfj2UHuaL+YpvmhZ795zsOHrp44HDrmeMXtUjo4Pn2y60d8d5YQFVo3KbIATi1gKqinFUamdmTRgSeY0QUfsq4ugoquOqARoz6beSrRF+QTuHA0DvUDTRSetLQLdovmjRMDAfHj2uY3TJ2/syx8+dNmNEyduXc8dIY92ZRDCOpTlDrWHF7I4HKGt7VDeiZ/AqIu5DiKCCcDZcEDdrEr/0L2zT7zna+cPrKC/vPHTnUevzM5efOkmOrNs2gYQTg3/hZawzdVAzi6AaRCgVMxIiFNO4I01wN9WcpgiD6thV4w4AarNSQ4YBdZVjZNEQDwdq5KvGWGUU3RCdPLBLCJxo6/mEsaCZUJaEbkbrqOZOaFs2buHj+hNkt45YvnKQN/LwEJ2EnV0FZURYNVxzecAF6Fn6Fagv7GPZPdnz/VTfdiJ7v3He6/em9p48cbj1y/NK+i11KNF6VTGkYrmlwagrNSaIC475s9XOulziRXrbILKuIoyjASu2t4KoGmbPDwsmq0yZNBk9/+Igr05ZvH+0f7EVB3Uii5plW1JKqqiPzWsYsmjNx0bwJc2aNX7l0qms50E6GqjNXapBY/8OQEjWatuqgakuSRm/5ofgKikNZlObN4VXW8IoAVzDUBPyDm6K6kVuirZ3PnW1/9vlzBw+cO3r8wjPnuqxoLGIaqGTk2EDBgGKZ9F6p/JZAhen8NXPqClCZcyg/qwqKRT5dkrIrKDdcFp6B0P4gdi6uTx/JdymySo9JmLplJTEWTOpJVY0ljYb66kWzxi9aMnXJrHFLFk6eNm9C7q4W1G6xG5m7s8LhkS/knyooFpU1PP/gvx4HA6WG/7mJxpJnT17ec/DCC/vOHTl49tkTlzuisepYIihJajgQQJXT0DOkuocbxUNLdJeoQhWMKogKhGKxq1KlG3HVAiXIi38WrQnIsmGKUypbeDFZ0lMGjQItKWlaSUWdMbl56byJyxZNWjh30tplU6UG55Py4GXxm1HdVb+CglBZwxsVEOoSkxjOAIehTFokoILqV1RtPc+evrJn98l9L5w5cOLSvtbOUCpZndTVID3gRitwqBqqbIr7WbPEQnAUEbwqcXU5vLRqrlGI7OUWCJeaCOZAzLdlQdek78dPmVuupuK95oC6TIvcFn2Sid9uSnGogPgrTkGmXUfRDTXg9nSaCE2ZVtS0GhprlyycsnLhpAULJm9YPKVmWpPg6sBAluECZEAqlIAdcb2iLPmvOLyC4VQUgpbjlX1QIr1CywkrdqZjz/G23btP7Nt/du/RS+e6ehujcRq9qbKm0PKbXX9s+05bua1SMENANIXpQAWjClwsNtAtQX+ehwU0r4Wi7A9RsBmIfhGBZrmztzjZVjD8EDWRCoWPGYhKOmCAgatNkz6XmOIn5WOWFQqHls6fsnLplEVzJ65ZMWPMdKf/o0cJFfA3OTncrJv0sAQYgtCw6AbvLLue3wtalmpQWcMrFKQnWCc9kU1hmSYbnbZo9p5sf+JY29O7jx/ad2b3ibbu7mhdIhlSFS2kabKsBOi5ADF64xp1XcCDbV0NEL6NOyrc6yfTcDaCg0HYAF2c025eP7YxqsHFUiK4NMkeTIsGfyk9bkkJS9KCgUXzJ69b0bJowZQblk2tc4//cBcbD0h2rNM7beO6QmUNb+QgRloimHVysTPtTx6+uPvJYy88f2r3icvxvmi1rgdVRQ1ocHKqiWGfQlOScI1ZHSMkHOZ13K5ltOHUgW2H6UHtgPpJX0Kg6x0DXz4rDm5ubhTAD80TrfjAJmi7AneHEKBPove7O+h6bQdqHvLI34hAy4gIYSY8fTY0BhAXKRargf5w6gQggewgIXPqDADe073GIAyYu7fUAEBNBr1QTU8ZSd1ImlKfJFVVhVfOn7xy2dRVS6dtWj1daqoRtzJ43AcmhkmbX2wtX2eorOH5A2GLA2Lgnxwxl7qfPHLp6SePPrP31O7jbd3t3bWWGdCUID0moNCXb6APcGA75wDvOoHJ083pr3Ga/C5BX+EzO/+QYx/C0uy8c5gO6dOMTkQpZMxSxGfvhY/hox2maGJCU4oiTBwR5NsY9AuZOf4zRAAuikP0DiniPgDhGhYECbJLsiNFAHchDV1Rx4Y0U+HXQqIDqChV4YCqaZtWTqfrHNj6zAk7xIB4imnGE3rSMKlp4xzAT/b2xdlx0U5ezoK9hGQTf/w1e+ogu3mg/b90A/7D9MSt6VNmnAbnIw38JDLGLOwwBynz4i7E0Wn6Mtuo6ZDlRfHpSIAu5tudkdcH6Pl3LgD7iUBkn70YNbiKouiGwVtgyP9ZUq9hjR1Tv2Z5y9rlLSuXTFuydLIUDtiMbGRUzCCDcSjUdXqNoCw5uv4cnug0kfGxCeI0oNoVEqqwZ8xzdP2D72ze+/zpXQdaz13uqo/GtXAAvfUA2g/qfAGZFoHNLlO3Mzyz54xr0DQLAOmWM87VngKkHPqb1hRfg7/i17S2aI+A0CMcD53T4gdt/+bP6dG3SQHaPkC/IhpnOl0mGyhqcmdwWkpYlSPhIKimNhyJBINV4eZwoLYmFAgFampCdVUBNRRsDGlKKBAJaiFcENJCQRqm45K6UAApNjVVGwm9uj6soCVCuYf6vZvKd6QMItNKxlLJlCEbRntfUtWNS9GkDk8Z161YsieesgyjN54yE6nOhB6PJXFxR3csEU9F++Jt8VQimkzGU3198Wgi1RVNSLoRgOcj7hZlgN8rp1gmfWiXumz0yAstRPLznbwqnXV+9EeUDogUzWWAaKc9UwlSFbBvA8fM3RnHef1A2LOtDGHFQmesFFtvZNYIGaaZStH6H81/SvL8WRPWL5u2cvXMG1e0OCc/mQFu4Vd9Cg5osmAn6G0DqAauiYSrGEI/PsObw7sapzSFlZAtciDddnIXOY1o8sknjj6779yOp0/uOXA20BMNBJQALCmo4SZ+dxEGamkORcKDuvOiLKbhBzKZpUEMn/Ho1m77RCS0yU6LnjGEa6EHgC0Mg038hY51TdEVJaGotZpSFdDCQbWmOlxfE6mri5y/0tPYUDW2NlLbUN1UH66pizSFg1UNkWpcUF/VVB1srI1EqkNSfYQS8w0wGJETsgKOGQj9q1UR1sJX0oYF1lUmxjvQG+iM9fbEu7uil6OJns5YX1+iqyfaG0u2t/d1dcc7OqJt0Xh3ex8Gmp2d0WgiQe8Tl2WNuysqDVrIIyLjqoqhpIJhI/lGGp2SiFS4VLNEWvjP54jJZuQ6g7ACZ9aFpkQgA8TYGmSt0VvQrGTSwOg/alrVtVXrl0xbu3bmuqXTFq1scbwIFBdb5O3QA6MbuVo507qqUVnD8wOogLTRIN1WZZ1c6+GLO545+fSeUzuePna6tTOsyRHTDAQ0jOQUVTFRuQ2DqrslmYhhn2ffebWDyl/YAOdIZIuaLdEzBRzxg0PclQkzSGM8JEOE+CS2joNhGqiqmppSFEtVGgJadSRQXxNubKiBD2tsrp3UVN00qXFMY2RMdbgB8Y1V1VUhetVFcR1YIQOO9Jk1Km0Ft2cyxQE4VTqzfbANEp7PITjCYr8cYhCNtjt9a+bPQHCyExjk4lyIVCiAUJoPBLBtljeCUoCtNytJWiwccKOYfkDuECaZ8asgB88CkGrrae+MXrjc09EV6+qOXemKtrd1X7jc19bRe7Ez2nOlp607aiRSVE3gEWn4SGNH9ouyElBULi+VR+csHCNrJEXJwvnCDf0zUSyf0Q1qlJFLg9dLqN9nwvOlMIw3zYSmLZ4x7oYNc1cvmXrrxtmuJ/+ISEXXBCpreINB5CJTkQZG7q99yd27T+x69vTOPSef3ntSjyerVDkICqLy4mee34H9cFNoj+rI3yGSp8+GSCsvyqGy0u2C85N2U3TCf21vxwuQaebiR5I+Jwc4UYRLMy34MBqewaWhrqKKoqOgqXFVrQ8G6sNaQ0P12KaaprF1U8bUjpvcOH5c7cT6qrH1VY1NVWp1WKoK2hyHQE7qPLfDzTpkg7TwAcIxCHvAKQJO2xBHcY24zN4XwEzAXMSLUwpT0L5S+DzEiFPAngAvGE5J+gO/Zn4SYXG9AILIoM7deYHMBQhANgiMnwQHxAud4JQi0pHieqElBMUF4if8FUkgRJ1CBbnllPiCwRFPdVzquXCp+1J735XL3a0dfZfOd7Ze6T13uafzYldbZ68uSQF0H+ER4fxoxhQDRPq0IrqRPD7MLVQhkgAJlpYQoDDVSaqZdJvIAw4ikoJXPVDvNFVGQXMzJFQjVohRcPhj6Ohg6End6rakaZOablg3e8PK6TevnlHf0kyXZsF3ZhQowgJODY9elEXIa8LhIQuiehNkKalLQR4HoBagPok1C0bqQvcjTx176umT2588dvjclYhhhBXaPkcPx9GwjzMEa6CjfYttJRSZyey1UrUAyilXCcodHYUORNfSbvQ54/SH2nx4NUsM0TBSo76nrPSFAqFIuKU+Mrm5esLY+jFTmlvG1U2a1jxlXK1iWOObqkJ1kfwf53Qio2EPsNdoeWQmPhmIgCDkBSQg8oUjrhdxIufiArqeW39xGa4RYfGruCBzFMj8BAiHKuDMk4iDQSLgvFeAEqVGjcK4nfxrmi2O+AlHKhR4DHbt+VIHBCsRqZv2Ao+AkE38lLkrc7GA61RgwEjCgJG56Iydv9B14lJ3x6WuC5e7z57uOHO5+3xrZ9uVXrjDEOqgJNG4EDlTMSykaVJUXJpZAXP6agFNyVDqSAomCvPLzLJwDMmQV7yrECIvlC0uYgpw1iinWSAK/ctkUk+YVp9h1tdVr98476aVLTevmz1h7nj7IgLfJcxJAD3TAFeNTG9vNKIspXkNTGmi24tiI8OnsOiiOpR1/uCFHXvIw23bfbzjSne1IgVCWggVLKDZORe2JUBs0jVHRHKd8hEe1J0XHiUkG4De0EgqkgJl8uvkxShNx0GnFYVEIJAIBVsaqqeMqZ4yvn7CpMaWlrEtUxunjq2d0FQtjanmvrsL6UECRgzEnbNe7lYpW5rstDLI9pfT05t0ZXrqD/FoEcQ1dg8JUZlAmWUuCEIMHHPlMY2suaKDgiyIXAA0LGDYeWeFZPTAc/sULguYM/HPVKc8aVlW95mOU2cun2ntam3vOX2++8SJS+faui9c6IgmUmEa7SgYHdKgUFM0eEKco6RQauh5odZTjlBMostbvuyMEEQBkhYH0l86Urx60DKMVMqMG0afJYcjofXLp9+6cc6N62dPXTCRrxYQHLkPBwjVjU6MxinN0eDw2Mq56EXzRDiy98z2Xce27Dy667lTyWiiSrGCAS2o0RuYacxnkH1kX1B5FYHKql/FFpGAOz5PE5AucZQ97xEhf0YrBYlUSlbiQS0WCs5pqG4ZWzt5ctOUKU2zZo1vmdY0vbkm3FwthQeceGSG5NW4Gy74I2UK8CnCFJ9fpBLB/AEnS9HoEyhVDpQKDKeiqWRfgrZF6kZ3XEdT2xtLdqYM1UA/wIzFk6I7BAVGe+PiJpyTjdGmO/PBR/Zxtm1s2jQPR0NV6oIamu90OdAtFBkJwkDhd01VrYsEMNhJqNJETQsFVYxxGmvDiK+qCihBTQpr9kCwFIhUxSRgVjaCfZYb6QXIIeREiYhyR7mIAFIgMxDx+du1nvipE5ePn7ly4VLX8fOdp45dPHGh69y59riuh2QpZJpKQAtgmBcK4Eiqy4peQC+VZLCD2bAICC5Dchg1ILWy5FSo8GIwTkVKJWnNL6qbciS8afHU225bcPOGuZOdIz+03kmD9hvTzaMPo9Hh2aYxUnCowzL3PnnyyadPPLbz8O4D5wPxRESWAgEVfo7qlyyqF+7gmSJR8XCkV7sOrdPRYvnIAIqLzFs0F3RO8TTvwQH6MS0st2d0uQA8m4RBG62uwbfpBoZtclc42FRTNXtszYxJjZNmjJszY9ysueNmNlRHxtbkcWxQmIl2mlYUoD2kJdgLfQJCABpYpCXBEX1JsdMEmscFqmpfDPA14k6urSJ/dhbotGTdp4zE5d7eaLK9L9HZE+vrTfT1xqPxVDyWiCb1y1f64vFUoi/RHUt1xZNwaH19CSOpx+IpjCrUZKozqad0QyVJMIogKXg9F3/Jl1ELgdERRKU2li+iPw5R8ROGH5IUzP2ydkI3oDpcZyq0QpYBseLyoi4DsxHvK0aSiNH5i27woBxPhN8QGVLVak0Jh2kDcU11WA2o4epQQygQjgRrIsH6hqpgOFBbG2oMaujvV+GsJozjhNpIXU2otqFaqgtlVF0MuLgGgaMESVbYBtU4DMh4WCbWIMU1dlZZEyJs38iGgP/5Sr8jevTE5WOtnWfOXD5+7NLhs+3nz1w+d6UnrMpiajSg0hohhoO5XpCRkQ2AGAQ2vXSQE+dwvtRHG4TAIKp3XBntbKRBL/w0EgkjapqBmsj6lTNfdMPcm9fOnDBvgn0BwXE94CzEEUNZBEBdy81qcfBybx6I6kE1m2sIxENYFfOWGJ9RQ5u+0nruieM7nj7+2PbDz+w/GzSMsCwFA7Qgl64/fBm3HekwIvkU56OiUIsBSU3rFrR6gVNoCe2unSPOEA60o59+xTgBji1lWhjN4tiravW1kUkNVdOnNk+eNX7h1ObZs8bOGldXPa5WqgrR7QOAEhkCSIpSRQOMhgwtvKMhYxntoxiO2DGUC7qHLhtU/zCAeMqIpXoSemdP/MqV3itX+i519nW09fT0RHu7otPnTOi40tvRGevoirZFk31d0d4oHFusqy8B96BoqoojD/wFITH7CK8F/tAkHAktqAlvZYf5nx01IDgbhcHFhDSAmLwMnL+J8CBC4B8uEP9FLcYRdUWc0eCd/vKeHmZFR0syuEMCwqg0HArUVYUidVXVNeGmqtDY2nBDc01DQ6ShvrqpNlzVWN1YF5nSVNNYFw6MqaHKOBiowmIkCqPkXLPgLBUBMZQ2m6uowZCAmmaWTLTRfFYA8lxnWRcOXDh0rv3s6SuHjl44curK0XPtly92BgNKmOY+ZU1TAuQB0wUry7Qni2+0BaYAyyOOdvyohxA4/YfEzg9YRSqlJwyzTzera6tv2jT/lnUz77p5QdWEOvsKAre9QgvQAAinIjCsa35lUb43h1emKU1oW8zOQ78wSjTraua9A9a+nce37Dr26I4jew6dDxl6xDID4YCm0dcGKCcolXTR83m/sAgABeuzLIovDSS8WKuHY+NhEbRlwLVJOo3aTF03eyMhdPanNdXMnNw0ddaEhTPGzJ0zfu6E+lBzzQC+TU/5YsG2dqlusIisMmr98irPor1F3bHLsdTl9r6LF7rPtXXDpXVe6r7S1Xelo+9Kd6ytO9ad0BVdV/iJaRKTPwvI8tKud3pbBTdhOKeGTGx1oKEVtWVcWe3CzpQ5wWkhgC06H53x/eG8MoMM64FuzHdt2ZHJSG7tdsvDThHX4C+aNBMH7iEZaPG4vUf11mFgspyQ5VpFaWiqbaiLNDfXjK+tGjexbnxjdX1jzbiGquYxNVPG1VdNqLV3CQ0AIRD5YZqqMgw6I+fo6LEhQeGBioPTU/azZMs6e/DCwaMXjp+6fPTIpedOXz5zqi2WTEXQM7asAOy0KoRBoej/kP8jbVDlIqlIHh+qxnBAFPKQyqMipYtoNQe1iHZ7mgnd6EsZ48Y13HrTgts2zL7thjlSY7W4mog7UKQH3IdWBkeq1CK9MmOw1qN0jD6HZ1u/CNgZPrLn9NYnjz6y5dDufafVlB5R5WBA452ViqnxW50oF07TH31IWxuLysicZrKM/whzVuwYBLKn9IQ27ZOkOUkzBZLk7mBgXFV4+vjaWTPGz5k3cf68iQsm1TdPbJBqXLsi04kigCASBdEYkU7YtoqHEDtHRAfQlvUl+rribdFE67muc60d5891tF/uudTR09oZv9ze2xpNBONJKZGSdR0lqWj0Zg9yW0z4L/wXK4TVgvaIvakNJCjkF4mLiVb80xSewRZ1dXSbxIiD3A9pmFVI2qOmPmOPUClfRT+yVfJKL/QKG6QBIo5Mli7Lpm4mJLk2pDWNqWtsrJ46vmH8mNpJk+rGN9TAGqePqZ0woV5qdD405gT7XVFWVMKOUi4CfD8Egp2k2KFqGrNy23bqUs/zB1uPnmo7dPTSC0daT55su9jZVy1ZAU0NWKZGf8j0bG4slDgMjPQlWQjxB7llpEE1isWm4iY5ZQvDvqQeN61eSZ43Y/ydty++ddWM5ZtmZ1w+Spsu5GIaJoxGh1eiaQ4IYTjZHF440Prwk8ce23Jw595TZixepSlhVcFITsZYDjWSv0pFFonSo0oL6+TOYxngg9ap8eB2BSHRnEBkqk4IkPmJALXPlCNugNi9obtNGyb4s5MJWekNB1uaahdMbmyZO2nZoskL54yfOQntiPO1s4DQJPNMc7bnKEQfVkA0DSJ1IZKA0x7wI/2WXwG4uCeO0VjrpZ7Tp9tPnbvSdr7zwsXO85f7znTC2SWC0YSc1JEOuiX00BVKT7g09mfEnaapSQb+VCaSYuGzIlErTFv0EGGa9Pg/xh70gktqqUlQuiqd2UwuRBZwysrkqBGDM3mHZkcBoCVqzshlUSuQbtoANkIa8ZD60tNZdtso8pDRMAO3i0LgpzFha2S0OCJal+hNbyjbFFJT1fHNtY3j6meNq580uWHKhPrx4+omT2qaOakxOM5lwy4MpTn8DgEgqt0H4qyRzbOdoyclpuiIBhqD9iUO7jt/4MSlQ8cuPXfowuEj569c6QmH1LBJ38WDB1Rpeyjbmw2uE+KcFIMjGbMN/AQIkUYhhGAgaIbgqHT8q2kYcH5RS04FtE3Lpt928/y7Ns4dO6/fcw4ukA34m+GyqG94HZ6wRRFg0yQ3QGqy85Y633X/9sOP7Tjy6BNHYp291aoc0tRgkIZydJtQKGmWTrImJaSweYxKiFxDfvbTpqg9lBFyQrTygXjqPUu0qYS+qWUkTLO9KjKtsXbRpPrZ8yYtXTJtwexxM6c05r5bIQOhgqGAq6hRoPaLUofFI5x5TovUiysG6jQkUsmO6OmOvjPHLx8933HhzJXW1vazl3pOdEaj0XgomlAMQ0F3hN44Rc8S0yZyUbJENo9+EK1GWnJK3ZUPnIibRawQL5chRdhNsePm9KngWUE+kPLT+swoD7DVJqJwwm26CALULxMBjnXeDoUjwHcw6I/4HUB1hxcEwdIxVoQXpClTS0qiY6coE5tqJ46vnz6xcfL0MS0TGiaOr5s1uXn8rDH2E2Nu0DQsjJcAA0YIxqzxfiiRKYMf3IY8wgXa1jWgSfSPoQ2iz+87f/Dohf0HW/ceuXD48PlYMlktyRq6bkEaAdLbRrm3YPdfM5xxQPoDJzQ6IAoo/YfgCNph0iEdk2iIUkavJTU01925cS6c3+03zZOq0ysjJgpQTL1w3wKqFpuS/Mm7L0zc8Obwip3SFHZAOoUtphvWeGrL1sPbdx75v62HWs9dqVWlkKKE4eT4tQLp68WlaQiRy6KQAeA1HagYNoEagkrICgdDricwKCOFLnBS15NGTzgQqK5aPqVx3qwJi5e3LF04cd6kRmlMrc3EBrUZtjmVXqkoab5XkAOplNkRhRs7cfjikZOXz5++cu5Cx6nW7mPRWLgnpqZS6CtrKkbZlkrg1wvTSI34MSf857IpXDBRlED/OzKl7AwUzHj0I5P1UQqnfELtmYJwYsDIIUF30X9YCvV64b4Mk4aD8IgpA74woSlmQo8pSkNN1eSJ9TMnNM6YM37a2NqpU5rnzRjTOGMsc3EC3ISJCIF4zQkQS9Rwh2ST6Z8GAdolmj9we9m+Mx3PHG49ePD8Cy+c23u09XRrR8iy6MVMkhRE9y6gcXtGY130GGl9navFKIVQg1NAxAj1DBBJ7RV6KEnDiqUMjPyWzp989y0L7rx5wfSlU+wrAShNeDsaUnNfwCNIoU5p/MGwOTzRK0w7OUk69MypzTuOPPTYvj0Hz1dJZkhTwhpNWdqXoOuEMQL6biW26eUBqSptFEIu0h5CwpGzJimQ+dV5Gf2E/lLKslIpI2laPcHArAmNi6aPmb9wyvIV01fNHBOZVM8ve3QAjYDNgrlxpUq7OpGo+C0/6Mo0Byf64lfaek6c6zxyou348bZzZ9pOnu041B2TMWKLJfiLtZomHJsi02KI6C8D1EIpsBsQTTaiqRJla7cpFVRQBMhFiMFaxnZgRfRYBuyKzIwmR3mOFG4Q48KkqugYdijq5MbqSdPGzpvWNHPWuGkTG2dPHzt91lgp0u9xGowkeSmYWuShwYMVCEPVSsxCceVFICsfI6kfOXjhuRfOPH+wdc8LZw6eapOi8aCmRNDah7QgrqcJYQYSRwh3i+NVByE2yoBWFmjpIWWa8aTeZ1hVddW337zgxTfNu/32RdnvGRk6OTzR4nnBaHR4pAwH7IbYESBkhU5e6rl/84E/bD64ddeRZDJZa0qhEO09oS1DuAzahOnT/kyaQqGZqlHTSyI5qOAdGWO9UedU5Dbzi31GD1Hhn66bKd1AFY3JcqI6smxK86I5ExYtbVm9fMrcqU1Sfc78JL0yCX/AR9Q6JIsAnfLcowD4i1kaEC7gG3CSbjDSlzkRT3Vc7DrU1nfo2VMnjl88efbK8XOdp3tikWhcMwwN/kxTeduIjG4qffOIc0b/EMtujLiL5PgnGp4i47TXLp0s9QKzuqmgEJAur3NwZYFp8TIt24+BhlWVTYO0w+ZEWwrJ3xDs3hWZIq0LWrqRgi9MGbqmJC0pZlgT6qomtoxZ2DJ25uxxs6Y0z50xbvLcsXn2jrL6RaJOiBl+e3841QKH/8OVdDEkEvup+AYbl49eenrfub0Hzj37/NlnD55LxhNVshSU5YCmON5cyDex/FlkBBCpAC6RRhZU3cl5i8YZJ4p4zydaK8tKJvSEbnapysqF0156y4IX37Zogmu1r7+GC0VZlEBNsx0sBY570TKK7KHHRvsTIC5LbFp7Hj/4wI6jDz6+//iZy/WqHIEFoC/ESuTiJxMmTnQ531K6jsoGIR4I2USYu28UQZ6NREUmFLYA3bRSCd0wjF5Vk6vCy6c1LZg3adWqWWuXTJ4wpbHfdx0BUoMbSAXuRDyvjbonekxCJwjgV7FcQTEcmQEEON95+FLP/n3nDh+9cPLkpSOtXcev9ERiiYCuw7FhFE3P5PIHz7gCO4HTtDCZtBDAkaMyBzvGvoYOLikqqKAgwHhETcpYFJkc4oU3cdiW0+T6g/wggRYIxXsVDNosAy8Yl5RJTdUzZ45fMHPc7JljZ80Yu2LWeHViPV+eATdc1LdD1WbnSmIIhydk4HjqhqaPbrgF6zl1ZdcLZ5/bf+7pvaeeOdSa6o3Rtjv0IenNvRq9lQBdYm4EqU/JOaU88DqOTA8A5MnpiCCjfKEWF0hLkp7SY6bVmzTqxze87OaFf3TLgjU3z8u2MLSkyjlERD4+bpRFA94cnnNKE2zEuIQm5WjR+H9/s+fXv9u75eljIcPAQCbE3wWnxCjDfIMIIF+ZI6EQXYwEoCju1/B4VEI3R7yfDKKjO5pETzOWSMhqn2VNmdi0euHklYunLF0ydfnyFiliOzlUKTYdO/9DQCgB11N94AcTSUe5NS0Wbz/fvf/Ulef3nTtx7MLRE5deuNidisZr4kkNw7VgAAmrtN1fRg8aDKmPJm7MaH5wDHJN5ifBcUhWPmG40hkO2GVxncNpYzBPZ5uQxYDtbPqy7O3pMN1L/+l39E15kzPGgqZhJlQ1ZphhTZs5a/yimeMXLprUMnXMmnkTq6c28p0Z4HZUPfZtcD/UxcysTuEXYp4HkJ+lJYEzkkldJ9p2Pn/m2RfO7dp7ev+hc1IiGVaVIL8oQ6FdOVw3mTkF3D3R0QGhXpE7F/gnHqNLZsqgB9tTZjKg3bJm9kvuXHLPLfOlsZm9CAbtU4IyB9MhY1Sv4cF1wzhos58iJVJf+/sHvv+fO7VUsjqgws3ZmwAh/YDKGnEIBTjlyqiECjgdAKAsRVa55uj8nvK4LPea1qQx9asXTlm1avriBZNWrZmZ+zlsXjlw6hj1h8rbPhsYWS05xEqk2s607zve9ty+c0cPnT9ytv3gpe5QNB6wzKCCmqhq8G0Yu6VrDkEoXORi4J5pBRVcu4DZO2ePuEUW3T5+zR498JNU5KRuqaHgjEkNCxdMWbpw4syWsWvmTwpNcbtA2omCv6hHQzdi/CEnTaV0RSC3q3ruyMWndp/Y9cK53XtOHD1zOWIaEUWG76MFnsy79wZMhX6x80OHdHDEQY4Efpqno2R+OTv0nkga8ZTeLSmLZ014yYuWvPqOxWPn2+8zs2hJ1R6XD4xR6fC47EWrSu2puv33z/3pZ35VHY9X1UYo8xBYdJFUmeY5UfZD28owwjYs/u82Hf5JROJo0WocvZJOkuNJvaq+ZtXCyatXTl+1cMq6tTOlWscbTCyT57xZJ+JoxzNDgXQkX8sh3uOVA12Pnu/ae6r9mWdPHT3SeuDoRbi3SCwe1HUtoNHeaFp1o3EfySi42NkRqwXpLLEh0rwRAhlhrlpc9RlwwGEQFZQNVAfxR1QEmqLhMP1AVYW8l0Kts4kKTq8s0tFGB7S4bkSCgTnTxy1bOHnBwkkL50xcsmDiQJ+4SpdhTk0Xx0zbCB+JoaG9BmGxv0Td5YsY8dTeZ07vef7UjqdPPb33VGd3b7WqhOD/AipcYLbOEjdnBYBDoVGVyIcdN3IgQShP7AiEPCSw3d1H5yKWNLoNs2lcwyvuWPryOxYuXj+LfrKRVmMOypIpbw7PMKgUaRqTvPHf3vfb7/z75qn1Ebv9FUdhCiIVETNKIASDRPhLlcEejFHJsZimQXMhScNK6GZK1ZbMm7Ru5fTlCyffuGZG1eT+EyADQazuOrOPAIIU2c/DXek5dKbj6b1n9u0/d+johT2tnVJPX00yRa9+0BSYvsrTkrYOs1q1s0AQ2qWw45x+5VNxYwUVXG8QtQHI1G0B6gZS9aAwHez6Qr1VqjT2jrOUadGOGEma0FizeCGGgJMXzZ6wYtnUxqlNdH0GaNzR1sOx0XoVz3+Cn11JESCnSoEBZllyKmbsdPuWPSeffubUtmdP7j9+sZZfgRYMB0JwlrTwzjskaNsMcSYXDv6gka3dQpG2JkWLJHINIekvg1SPLkUiqffqphIO3XP7klfds2rVDbPpN8mUk4aU87L1suTIm8MzDSpjSKZpn/nUf//PL7Y2NVTTfNqIF0BhoA1g6XlzmBHENpKpZNJIyFKPKU9url2zdNr6dbPWrpg+c/FkcYsAxuOUvyFVJ8rb1kSuoVtGz4krTx9r2/vs6UMHzz53ou1kV199PBkxLSVI75MJQB4F/TtWpLAhz/BQ0qMFV4FVFYxroDiuMmQrI0OcimIYMN7+lZ0kRoMGvRPC0K0E3JJBLyGbO3fymnkTFi6asnxZy8wFE3IbPXZv5PaYC44IA85LnOB7OU1HQ2Gae584vmvPyR27T+x+/nQiFq+W4BQUevmL6P6Sz8PRn/bBEzhzBM6uLU8m4ES62YzHkz1JIzKh6aNvvvENb99E2TF07hDwBTQk8D9Xnh0e1C0pv/nZEx/+3C8nNteoKcMIqCO8y2hAdYswZVZ0QDgKytWNBIg2N+sJLbBk9oQbN85ZubTlptXT5SbxElWGeLgE+WK/yOtwtNHK/nVA0Lwm+mG4jBFPtp5u3/Xc2b17T+8/fH7vycvJvlitYagBeq0/DeNwDXiL0bGQE0cyZlrQHkl9VlBBBVQZqQ6KXjJ1kdEqJHUa/4EMI6lqs2eMWzNv4uIV01fMmzRv6WQpkB2v2F1k0YAM2G6IODSnqOxICyPFlE6L/Y5H4C8cvrht17HtT5944pkTFy5318lSUFVC/OYzm+OQrQS3KyMPEoP0CWWaKbM7llTHNPzwC3+89Jb51FGg1g8XjEKHx/PU5qW+Wbd/cWpYoxcPGMwtbRwjhPTEBc1g4CiGWRzmE3p8lb+LHzXMmoba9Sum37By+uqVM+avnEZ3ZcGDVyCTnYyuECDDFSDudpCQk3H9Us8T5OFa7/vR1qreKE3NqzJMNABTFtMR4AwTV+0OID9yJEwBp075BT9PoASucvihhtGCa6A4rheglWQnZzcF9hHWyAMstM1oUxQFA8AkOsNJPWZJCVmeOX382oWTVy6dunz+5NmrW2xWWeSWPw0SOIAWQEyboSVAcyqSE+2D460UydauzbuOb9t9YtuTR46duVynymhbQgFVy+yEF8C9YIUzO8Bt44jXIsoWNW6sPZpg0y3rYlfs/e+564N/eSf9LDRcBkE9OTxL12VN+9Bf/mzbI3vD4h0HpFkcR0ijnBeLXkrG7oJtlJ8ckHTTSsAcTanPsKZMar553ey1q2fctHJ6XUvuRLzLCgXAVhSAMD72TJRT/own+71sfq32PljhcwfOPb33zJ6D57vbeyIBJWSa1VUhHg1nwJpy2qUIcxZs2DFO9hVUUMGwg+ogNdDcAnAMV1+umI5z6mfTKf2hJ2lpCjRpWHFZTpnS/Jnj12Dwt2TK2hUzJs7OeTUavS8QN2ZaAME506XONA5Z5J52Rh974tgTu0889sSRo8cuVKlylSwHAzTtSR+TATd22JmVv1Hi82w12aJQG3u+M/qxD770Xe+7jff/Q8jMoMI3eBvhoSvS1jfrps+11ITpSS8gI/9IgDKjyLLBr2YwrRQMLpaMaWoc1jZj/E0b56xb0XLL6pnSmMyr2WliQoYf0vktcCR9P5B7o5Ih+7NnMgFHJrvjTzx7av+Bczt2n3ruwJm2jt4ayQrTHhM5CIuDmdFzcOwZR04zAl5KepRgpFXoJ66B4riO4GrZ0q2CDRHub510Ab8iDS0NnB+9FN7C+E8NaEsWTNmwvGX58mk3L52mZB+EF7NKzBeNBtqcIdpn4brwP512NLlt2+GtTxx97Mljh0+31VpGGM4vpNG7PrnDjZEoNUduDzo6YJpnuuNbf/UXUxZPyaNQr/Do8KRvfePBb3/vkdqqYLl6DUI6cHYGnKcCnAsMuJKmQY/HpcxoKLB8/pRb189Cr2r9xtmO/T/8PCkATyYeEKS5Au74DAjbMhx9DcM8/Myp3c+dfnLv6d0vnD17oaNWlsJwtZFASFFUdNeE7+dpSepSIUbTlJQ+So2sggoqKCeokU3XfTEvair0+eJk0kxaZp9hjWmsXbt8+rqV09csb5m/yjH5ab+XEqE8rZMAmNMTXwq/ngJIN1bR5JYth3bsPvHgtkMnTl2kNT9NDdPjfo5pT4SoiRJ/RDgTmz7l4PAAQ5RpC6b+4j/eZ5/7Da8O784Xf73vQrsa0khlvjfoxBN/BFuWk7TPswo0UOdT8S5m3YiZUkJTVy+aevPaWTeun7Nk/Uy6wAa9f1Yx0h4OABO4Pd20Pz7i/MlGTl46j1/evufk7n1nd+06duh0W0A3ImQ2cjCIrpNM/pPyzu/P5Pvsl7BQKuxNTe4O5LAcDrCOrikMuwrLiGuvdCoYEHZTIDrVPMVIZow/3Dgg2jCspGFSOyZJCUteMG8SGrFVy6bdsmq6nH1HicBAVkN7YUS7Y7c2nBxiHNWlK/7QtkPbdh55ePvh1osdtYpMr3oJ0of+0s6YOZNw/U7pyHHlBs/QneyKv3D/x2qmN9uRvsKbw0vo01d8oqU6YGmqrWUfQb0i2ZTpHZXQOC1vgj0SwalkpSwrkeANlqq6ctG0m9fNvGH9nGUbnA8zAumsOQsM+RVZhrRUliw2aQGpOeSPJXfvOfPsMye27jn1zHOnYrFEtWUGVXoPrKaiUIS/BQeRBNsE/00H2PVljtnkK6iggusPmTbAbm+5pRANjh3jgGmhB6/rGAIancHgvClNa5e3bNo0/5ZlUyJTsnsOqHGBqwOoKaNePU+B8i+8pmN7QRuOsK6fPdr2wOaDj289uPVQa013bzgUCGHkF6Rxi2iu0GWnpovaXr8b9kGAdliRr3RGf/aj9y1fO8OO9BWeHN6urYffce93m+qr6PkE3xcYIZmqKEbmZSSWkTITuh7XzT5FXT5r/O03L9i4dtZKODmUrg2arKSTvNt/UZImRQueZBCCCH1n2rc8feKpp09uffrE8ZOX6GXniqyF1CB6QeJFCf3LPpOCiGZbyQYyR/zNvW94kJHumsFIaLFcGCWlcy2p9JqCaG0sC64vmTIxBOxWlDGNdeuXTd2wfu4ta1omzh7n2Ldp8H5+S1YVOiKC7xW/OUFtEjVG6TYzlnjmubOPPbLvkR1H9p1qazT0UEALhMQ7nGRTlemJh/7tXplAwkl93dE//fMXv+fPbrcjfYUnh/fTf9/6D1/736qaSKHDO86PjUyyIkacOnmg2BSZvv2NYZxh9urWnJaxt980f9O6ORs3zZZCmc8OiDstKWXY85M6vB4/yOICSehIoLPv6X3nH9t+5Jk9J544ejEYS+iWVaXQ7l4M9FVVJdVotM+TR5rc8ynDrqEKKqiggnyQaTGGWi3REJmmqcdTSd3s1bRQffX6uRM2bJx3+/qZLQsmZlo8amWt7PeVBkDalVLY+QHOtp7fP3l880PPP/TMyb727jrLClQF0R7SI4Ti+swRoLtF2wtwjEgtc0GxIIFJ9Hhcv/mmRV/7xp/Y8b7Ck8P74qf+67e/fSoUCQym3AzoGs4TpchjcBFL3RHoCGG7DCzTQpHG0aMxrbFjG+7eOOeGG+bduWmu1BDhW9CbMWiq0x7G8ZcE6IEVFJ5C7/UBELDlsZOxcan74T2nd2w9tPO50/tPX65LJcMyvbOO3tlK05SWScVPMti304iR5aI1OU+j+xJv8wbOyTWFEVFjmTBKSudaUum1Bm4p7alFAj2cR3F8iv+pBL0ZqheOsCqyacGkDRvm3rZ+1uwlk9ObyQXQrvE0Gf6LFgxHNJ72vnryoxSgcV/aFkyz9eil3z168NHH9+081FobjYWDWpCGfQotsuEC5pOWKQ0Wii4ocPzjAm6HRCZlavq8yT/7xZ/b8b7Ck8N7x9u+c+CF0/QMNbInFmYHAekIbsOweHoQCVMc3WLhfnRfjKQR1/WoYcnVkVtWz7rtpnkv3ji3Ouc5OaeoCHNypoHRPL+SQJymxUiPxnrOtD/+zKltmw/s3Hf2dGt7fTIZCAXEUhxdKS7m8uPLOYlMOvavpCc+imsqqKCCCoYN6bbODqYHCQQOiFfbp+iB97glLVgw9Y61szaum7X25rnZG2ktR1LQ0ImOOzwit8B0wQCtWjbqxHNn/7D5wEOb9+85dL5WkSKKHA6o1IZnL+HNejiHqzMMizeql95UclN8rjN6bO9XpFC/WTrP8OTwXvXH37h0+jKNspC9Arw67VZCjnCDSBTuL2XQJyQMIyYrKxdMue3WhXetnz1jZXZjrmXotH5GbsyOcSPjk6BlGp+lr+uMfvjTv9ry/JkrHT31KT2gqfTpKZqaHrCACVlN9L8AP+UToDB4u7tElF60oxUjosYy4dornQrKAlfjk68t4vYL4zQjkUok9LgkxRRl2dzJt90478aNc5auy+xaZ7sTAwN+DHkgS+QBDA0BkVI6sWji0Uf3//7RAw/uOJzs7K0OKKEgvRIRQzpa9NFpp2i2hS8NEATDEMO80B3bs+PzVc6XO/oETw7vj+74Uk9PH33qAi7ezOtIbCAhMRlt0IC8O57qTRrjJjTdfcuCWzfOufGW+Y5H5fiLixh0izU53EhlM1CpML9skXRGH9p2eOuu44/vPHz6dNvYCE1AK+iP4CckLRgIbhVcpcgxhlyTS8el6y/+OC7I2g9H0lnuBQBH5GBErEXINki6/eUUoBsZg/w6SG7s2x1JOxnmS7SC0QRel1EU0zAVVdb1pKzo0XjUklKBwNql02/fNOfWDXNmLJliX03gTXzZknZAxKEpxjABYcdq3/EXzj/48PO/23xg3+HzdYoVCQYCGn2s3cw82VxarUF1o2Gieakr9vijnx43ucGO9w+eHN7NG/6GPu8k6sGQGUQ6VG1oQJ0MBf/q3jvuvHVhTU6WeKwNTXE3gVxUSrwAhTVIqsyk4UisO75566HHnzq+ZceRY2cu1SlKWJFCUD+cJYqJ1CfYKmLmdJCSKF0RBWBI9Yx+lFU/BYLUmF51oFpoLwBzhcxRsW1t9Fec27eIE4TEf96ELU7oGhFFl9DBtCx6S06ptXcopEXLRVo2Mtp8IHHSItFl6TD95bsojiMFD/v33J8oLH4W4MyLgKiGdKUzBtfn9g8qGG2wC46HFqLE0vEoyaRuJOPJXlXVwqEbV8+8c9PcO25cUDfN+aUzvlwwEd8uFcUtDAbx4iee0+MfJKm9738f2f+Hh1545JnjWixOm/5CAVVNv8waEPcWDk6irbNv80OfHO/6AJMf8OTwblr/6eLqAJJSJCtlmPU12x/563SUOKa5CG8HQFMY5Amliy8PZLoYSeOJxw8+ipHc9kMHTlxs4BenBgOaptGzI1lWxJtLSECUVgVXLUTvlaZN6OldLkuyXvZRmYIV9oxTshm6hf4gju6DETHSVyEId0a7pKgu0w8cY8HJIRHao6sb1XVVPBE+LJYDYdjbxVOpRIqkAtC6cDSfMGRZVkk+irHQuvAt+E8dcVlGH4+OYp8CTiA79IArNQ21S8V9pC3+SjAzowSYP18lwBqjW/jLJ5w+/Vg231+BP7ANwdFByZSdsB+YAyzctFIper6rx7DGja2//aYFL7phzs23LJAi9tZ3+lpaOkRHMcITLXN6L2gaaXswrd3bj97/2P7fPvhcR3t3naaENVULamxWBdsMUiFzty63Rx999JMTHA8d+gW281Jx07rPZPJbEDg/9FnV2uqdj30CSrKLwQmoGD2IpC4F+WF2NT3PaZnPbT+25cljD209tO/IuYgkRVR+fiCg2SygVhFKi1SUaIWjdH2VGWXKbwYjn3HYg0ENMO2T5gA9VJkGey3awEQh0zJkydQ0XVVAKUVB292sqTUhLRzQqkJabVWgOhQMB9W62oga1EJVoZqqoFoVagwFamvCWlBtqK8KVgfHjan55Cf+88TR1oDjUy9+YQB9IguqEo8lX/XS1cvXzDSSOq6hvJpSX1/cLl80X4Z5JaVLuokYM6F3JQ1y5obV0RNHA9MbQwUz+pIpxBuxZDKRShlWLJ6Ej8RPiml0pUxd11UaJ8uojirSBFeFPCWdoo6i64gAKhfSTq8F0KHwlquCkQJZTG7ABS5N+gkGAPsxTVrwM0yM/JbOmnjnLQtuu3HefMcuCqpjNPDg0od90vBOsHDANgzbS54/0Pr7R/f9zyP7Lpy+VC32BhYIMLYdXt+jj35q9Dm89Z+xQwWC8zOow6OOp93nZJw+0PrY1kMPbz2467nTaioVwZA5jIEcvQgVXRkTvVsqjIIVWkFpoFLCf+4qDghRjPg1ExgQzCMHNmcbNoP+BUodVqsnpWu1NVXwSdWhmrDaUBWurg6FwsFIbSRSFx5fX11dE6quCddUB2vqw41BLaKqkZBWXRWk5WH0XjW1BFP5xt8/8O/ffwRs6aS//P6C+FvdPfGv/O0b73rFCjuyTEgZUjzV15Po6Ym19yU6u2O9XbGO9t6LPbHWM+0nWjtPnmtvu9iJbic6lyFNCQYDXE6cfyqnERrtCWMZiZSvQZADs1Up62YKzg8mgQ5QJHTTujl33rrgZTfP18bViQskdKmozKns7Zgs2BeC4N5oxGKPAj/43h8++cShYPaZ6aEAxte0w3Mlbas+dannd1sOPb7lwEO7jhtdPaFQICJLIVUxaQ+L/fwDyS36nlwI4kYXhrNSlK5E/1Cu/CJvUDexpxBn1ZFdKJ8voDD1VkSADkCOSDQAE0MxGqvxMIxPRRg1joduDRiCoWSdZUrcrN546v333vn2P7tNxBUJJAHedueUxjY0+ce1FB2mTHLORO145Zknjr/1bf/SVI9mn/09GOTkqnSklZQDjNU6Y6n7Pvual756NXWuMyCtpUGWz6ciCxkgHqCYftnJgNojuoRbrqFyktQP7T375POnH350/7bnTjaYZlU4oIhl9UzSA6biHSIX4G1nMJ2KMDCcch44XEGpIB2zPmFoXKyojxj6oz4mU0Y8aXQb5vTp41920/w7bl+0JLvPExCl4IBu2I86oFDsd4DI737vj57beSAY5i/HFQJwtR3e6JzS9MvhUSVUTu0//6P/efrhLQfPnGmrU+WwSstyMtVhsno2br6ex4Ac4P8Voy83oGeqFbwyZBgWKgaXAyyTRugGLY3BO5DvojBFwnvBjxlovflxFQNXynJKkhs0BaOx6qpwpD7SUBVqrgo21FfVj6trrg42NlQ1NtXOndTw/k//6vypi2rmyVm2T0VWznVF9z78yarJ9SQQG4z4vcyQpc7o1FvumxHKtPJsj2UCmCtWV2/ivs++lhyeUHQ++NniD5ir3Jgrff/2iyf/9afbkl29DZGATK0bx5fD8YCnmDqDYdn2xhLyNKxJO9HQHeEPpVaqv0eIQoQWqRyFmkVngsKo97pB77rqS5lyOLhpw/w/unHuPbcvlNKvtIZz5LLgaXcqKb6NArhZec+9P3j2ycPBcAkjvGvT4aWnNCle/cF3N3/1vv9ubqpRgxpvnuPG0lY8jnwZwMHhQclJCUmHGeVSDBcCzNrkvRvwah19CXivlCxrktTQUN1YV9U8pnZcXaShsaaxIdzYUF1fHYrURGprgjW1kfE14Zq6SFV1UKpLvyhnUMxe+teTwqrtz2AetNsZiek9weCeHX8jpVLckRyulo4SUe+46yvxjh5ZlZUhn70pBgMYCWXV6upLOzz6DOaIg7LMu9x5fkWS/vvnT3zhnx6Qu3trq0Lc+0lXTx9BAw16jy59S9JI6wmJwN3p9KotBGmCB+3D8JjBdQKu6TYyYQQUSzZpEGjEU30Ghn3WgunjX3LH4rtvWzRrxTS+CL/pjjorXKZ677t/sHdXaQ7vWl7D496Bpv38R1u/8vXf1lWFKJI6+OjfVQx6KIjScymJlWpDaNi2Xb66WJXiJu5tExPDjGraD//hLWPqIhMmNUg00VcIOF0CB8QZuudoQyESvJeYUZGVLfc/9/6P/gT+0hYSv/I0XTKaXHnjon/55pv5Yp7oG6YRHnKtfPIjP3/4wWdDkRDpAYkXqb8iQEoeVQ5Ppu1jKAvxRCxAJaJKKf3v/u6Bf/nR5klVASWQ3oknitUn5dBGWY18XkfKjMaTAVkOyBLcH8yEXuZOn7UB0ZW2bdkGwwIMKYm4rIJCYNdBGlXzKhLNsKEJTySNqG4G6qruvnHhi29feOtNcyX6KiqrnopglDq84Wo1BgZUx3t4YMUQxRTjOkSyC6TR8WgEFb5nGhqwmCyxKdjkiAegMtIaB+mMduGTCima9Ik+MW1T53gyXDojzRZBght605aE7vW0qWMXr5s5YcFEeDvuLQmCH0AHRWeHZEimTi81RRiROGYEJkm5fAHhsYi7wt6Ozh7fdijIxuAE+vhxw7wx82FMeq0RMxkekqS162YnDCiQdkX6SPmR/pFqx8gS183M+x/YBoyUYanyhz/+kid//WF1bGNfX9z+VZiibYzeAG4YxpnWlYT+62+96+gTX/jNT9//d1983V984O6XvXzdnBWzQk0Nl5PG2Z74pb5EZ1+ipy8RiyboSQ5YnYligoVnTI4FogAZox0DOSkyHVPBIIAxUj3mPRMAvVfF0jStJhIcV1dVbxibH9pz7/u+966P/pIutfU5lIEPDY+358XwOjzkgjUi7C0LblagUp4BpkaaaLRO0FMOPNMQgBLYORFRQLQmUFRaOYhEB5d0xQ0Tt0SkQMGf/pr0YnVDpzfsJfRYPNUXTfR2RRUdLTfdZ19ZIAFk7pauG8tmjRcighzlwyH4MJJNoUGAkJ9+SWdEkEC/MIksSb/beTS3P8gNlyIlTWnd8ukckU5oGHHjypZeakSL19ugdHVAS3cvoHM4P1VRAzS4Qg7GzJuw+Q8fveWPVl/sSSjIEBUNyJ+cgQvUbaaMDjS3deG5y6e+6J5Vb33XrX/zhVf96Pt/+ugDHz3w7N8e2/rZ3/70A3//5Tf95V++5CUvWzN72Qyloe5CTD/fm4AjxEA5CkeY0o1EirhxAVJloR4VvwSL5GWxhfFVMDBQ+tS42FZLzo/qIFcHU1bkcDjYUBNqDvNzO+jdDm/dLBbDLBxpzVLpldvpU97iwJNUpuuRRtG0XQ2gilMkDQ2qg6iNuNp5E1VOGBo6vzJtCsHox7BQpdEypPSu3lhXZ/RyZ9/5eOpISuoIhtERbpk1cf3aOXe9bPVb3nn7lz7xqo4AbS6nyp9mOjQ5mrKkac1fOIkEEQXnokyBusIFkCwr0fOdbRfa2d0hsQzIZqRQYCatFhTH0x+SzKaZY4J11UibBnnQeUYz3ig/qOz5bz9hRg9BSNMwLfPrX3ntl/76nnPdCZr89AvkhPCHe1S0kI+gkSYqEdHuSk3h2csm3/HSZW95582fve+Pf/zDd295+GOHn//yvkc/9csfve++z73mne+76/abFo2bOzmuBU53xS70Ja9EE9298Vg0ntTBCrUACXCFqGAwcI9HWK0gYaEUKboL/CvF4D9OBXmBx9vzAo1n6ayzD56DhwgMAWq8YKpKOLTl8U+R1YrUcVDUX/9852fv+5+6zPrN1QjKjegzps9FXtzxQDZEsC+zI+17+HoM0wx0pgzTQPNimLoi06ZHUzIsK4V+qiQ11VU1NNY0j61788tWjpvSNKExMq4mHK4LSzXQpLtD89KX/0P7uTZNdNsLBwSjBx+ttt7Ef3733Ys3zPZ7eQkVRvnFj7d/6Su/qasNOzcjoCeeNMzpc6f8/Od/xgYjoocTEEZ9+9u/e/CZY4FIkAQoRnPFgZiPtk0r+cBtHEqKOq/Kc48fetV7vzelKkDdVkTAYIoysIGA7sXlvuS//9u9q9bPGkgVYu0/vWuGVEcJUzxRf1jnD1w4cqb9/JnLx8917j91+dT+04rJW2Ac9lYK/MjsVY14LHnbi5Z/+euvp7UMMcIjnVx7a3iZoS4F7LhBQd0BxbK6o0n7VMzI8UYsLaBdC3Zj54DVQU6C+hTIFi+liQBFUU550g+gI6nQiqWMC9HUiYTZqgakutqxk8YsXjr9ljuWvfJ1m97/wZe86KWr3/TO2z/20Zd//Ytv+OG/3fvYf33o8M7PH9/31d07P/vw7z/yix+9+6V/vHrt+pnT5k0MT26UaiPUDbZorpMecgNhRChJi2eOo48JAtS9tduGggiXm1LMkhcv5jfPioLzjZCC9Oi2I6GgSj6czrJIJo1NG+dwkHQ13MTSrF7WkiSNFam0QSk/0j+6tTSayK74tFXSNM2lN8/7/ffvPRU3LFq7ZfPG0StQT+jIh34CIAmenKQeNEgALQlNF0E2Nnj6OqawfHrCYdKCiTffuegN77z5k595xU+/986GsQ26boo0CgXlmjPuzB0ZSQUZJSAgyAvKpVJPDo8+SU6tNuyb/LIdOyi4pSV7tM8FeFWc6o44vYqBfImXPbJC+B/VDhDcDr30kE8N+sJtrDfR2xu3+CWt+DWa1F9/z7r9j37yzGOfOLzlE48/9LFf/fcH//m77/zCV1730Y+++I1v23Tf377mLz509+vfsunOV6xYvWHWhAUTFQzj7ETFMYfgbUFkejgIkqT5S6amUuTx3FcPTiQhcmXR/kmMwPwHybb5qWOhgGq5TEmWE6a5dpnjXUcjgY3rZ6WStGk4W6Ce6eoGLFwYlaIo3KOau37W/d/+03NJkx8n4F+dXqEcYJOmjiP3HSmMdMUIw5aNzD/7U67uU9Ru4Sec8gX9gK45z9qaGAgiL9RyCbawAtzIhkBVFxWMO5b2bRWMYrBxlIoQvRuUDIZXgAc2GjdgJ3YIgJXw4OOasRUyfZ574fETRXCVMFN6PKlHO/s62/tOxo3eqsi8hVPveeW6r37utWpDDblC0wpY1r6Tl7SxtVJjhJY5TR1E+x5xzKxe2AEXiXihyfzEil+5fFqKkuNBHlf0gggFpMpoIGZNH8fZ6sfcI0nS/l0n1FiMek7O+SW2i25FXbOad6y47hoeYitdsWBiVzjIGzWL0duglB/p6uCSZJQS795EbzWZmn/D7J995Y1n+xIKunE+QFQi1oY7UQdxAQ1AdCP/1P8Cu2uNeJJ8YFiWbln1Yxu6TPlMLNURpe5pPKXzRlCLO7XiMjCgLV32I4nXLzJ5Z7VnT0tDuTTpyeFpAdUkixm08vZDcVePOFyaF6f9i8OOpwdmQfTMimnBy/XGU+3R5MVYKqpqH/irV/74J39++oGP7Xn8kz/8yXs/+flX3fHq1Sk08SnqEatBbeu+s1JfgqoTtMRjZ5uz3cYCIjAgDf4rN9SWubSluVsN0DiFGRdKuNewrFhy0Wzeookov/HY9kNVwfQT5ZmGQ5Z03Vg8bQw94mOn2i9fw0CGKdVXzZ8yRtfRtDvU4o2uFVg0Q4M2n47m+hcv+eJHX3GxK0ZjJwGU5tWZ255Y6qP33vbc7i88/4ePf/Pv3nLvn921bt08ra72XF+yrSfR1ZeM9SVTuiGDMOSj6dNMngctZhF5XXvHEYMnh4cCxqifejdK4b0bmkxLwzEdPzoBWTPyUr2Fd88c0zGC4BTg4wwzHk10d8daUSUsuWXR9De8+ZZ/+sqbnnn4Uy/s/sJb375p2dqZ0vh6myEbvnicE/cqihLs7jty9BLt6UcLK5wcFCsWKnA6BKWnmPKRqI1jaic01RoYqXDXtlDii5OWtGgOOzximCk7P0iSfr/5YJhmyUCUgg1+p9+GDXPtU/o1N1PDRpK0einNBtNZRi3eKD/SP2b0M8qJqoki6Sb6aoZpvv4dN778ZWt7uzFe5zpCKuP6UjRwGx350C9RL5RV/2DlgLrZR1VbqprccPOdi9/9vjv+37+8dfMjHz/23Jf/72fv/9wnX/Xq126YMn9au6We646iX9vbF0/Ekyb8n+gXUbXJtA+sCoGMWjIx1wKcKhXkBR5vzwtvDo/2RMgKWufCpzTLl5WyAO6cfTnNYIiGj4+0TkAmiyCGIDGa8Uie6U3ITfV33r3y85969eP/+5EDu7/w85++5yMfefGtL1lWO4nfAOkmTgAsaVxIawFVqvLgYwcolpwcCiedoq9YPK05ZSJ5qm0FE12ckqVpLWNtLn4BxoMMRhP7D59T6JP3IqlslhOWtFFskxnB1oFLY92qmUmM8ICsWjzRtQNR9zHCUxUVQdP42tdeW9cyAf0D9OWoMMnHXH05ppXIzIvNnEWnKjOXT7vndes+/ul7/vNn73l+9+f3PfaZf/2Ht/3Z++5af8MCuanuTF/ySm+ipzcZi9OKOeWflgCJC82F0h9RtSsYbnhzeMKKyaALLzxnu5WZVXfEjSrIMj2pzbVW9Npgr7QkF0/2xpKXu6NnosbEGRNf/yc3fusf33r8ic9tffCvvviV1738Desnzh6H4V46g5mVNhdlc00qRIsRULc9cRinaPX7XeyZxF41SZqzYJKu6yLFwsnA4FWSli2czNL5JB71kyj7jzx2sEZMgcH/gzgI4G+Pad18w2yWvAw6KZAwdpGkm1ZO7Stq4XMoyo+0YbjEuDqIzQND9n9755UUBnw4pZxwfooF9Qbte92peKOsPIUJ5jZ4UaO5UtNyoBWaULvpjgV/+t7bv/HPb9364MeO77nvv3/0Z5/+5D0vfdmaMS3jLyWM893xjmgi1hNL0b5QmhWTDf6k+LUDp0oFeYHH2/PCq8MrASNcyK5yyQfxE429FBkWrsrJlNHXG78UTV5MWbMXT/+z9975i5+8//izX/ivX73/w3/1khtuXyjVhe13a4FSKerKEZNB0iBsWjkDnKlCweGFAnuePXn60AVZzjyDL9pGPwi9bJZl+aJpekKnjZdpHRRAMgayaiBQNaGOK7kvkO1xsyQ99PjBiCaEZGHTgJedMKZeG8tf5KKusfh5eAmtEnr6ptkwY2xVXTV1eIROPA/1rlnQlI8RntTw1Y/f094dpR1P12xu2bvDMtGbtI/0kSspqM1bPf1Vb9jwN1949W//6wMHn71v+28/+tUvveENb7114tzJ1N1EjS9hkwvZzbVsOMMAXxwe2oXCQIUlRvYCmVn1gjl4BNLOpE+tmUMWqpbpmklHenAnmdR7e+MX++JtCWPeqjkf+OBL/vdnHzj8zH0//vd70ZtbsrJFUhT6DI5N3CILi6SXX3NbaWdwQHLnGneGQ9pjm3lWM3ONj8RYsXBCVNPQDJECCiV01aXp08R8puCWyUXJJEuaRhv8MMLbfihIT2Eye8AuBSuVMtat5q9wIXlxy/ATS8gyyevnTUwZtEOBtAcUp0M35Uf6xxx1XSUE+6fPWUBh5j1vXLd47bx4kl4JRCQUWQRE/WRtuFLxSFn1ZwKDgiyhHxNBovsHQ1D4iQjEiKyKji8CJpybOXb2uLtftuJDf/VH//WT97SmeOhKDUVhqQuIyyGJaKboKAL27yONTF5ISsdpafB4e14M4wgPBcPVgfr0AxWSqWr2BHcZgY4V7ShLJ2T7J+qEQiwFTZiZpM9Axy73xC9byoKVs//iL17y+59/8MAz9/3wu29/67tumbOU15NsQ6N7ab6TDF1YfDoMIp9XNMKq8viTx+wT/0GqHz+lKREKFjVAAdAtXSwW8GwH4BMU9cLxy10dvapYtgTAHlokDycnTOumVfxAAq2mlNs28oCaGDu4bOXMVIKebUYM2iyhnJLp2gTqF6oAygt6k6Sffe31XTrPCUNf5WrERhQip2JCHuBc2wERpp4RAuli19Q7N8xLJZJFKwSXmzwuxF0gpCjYoldwzRqT//DF4RWsb7qQ2lmV3QyN/TP9IEmqwqgjYy5lgiwrKR3mwg/Gsg2h2dKNeFLv7olf6Iq1SerS1bM//LFX/N+v/nL/7s//4HvvfMs7b561ZDI9aqSL6cp+C3IQ3nUslHL1RqJYgaC67Znjdoz7es+E0oanjwSXTG6k961wxSmEgKQlvV98bRxMXGxLJi73hx7bV0M9DifsB5v6LGvDKh7h4Xfe9T4CxEIK3LBxVtLQqaHS6PUCoiUrmfIjnaJLkquMLNMw1PF1n3jvi7piCacaCwYNhOwb3cy9UVaYwqSC+bk4OImY5L/A9ZMkve5Vq/vieqFJZwB9Bqi5prqCLjv6Xagj9jsCi2RVFjhVKsgLypUjXxxegUBnhEpLUeT2RMqOcyAY0MxMR8lH5KqO+lUYo6SMRDTZ3RU93xXvCYVWb1zwiY/fs/nXH9m/63Pf+bd3vvGtm2YunESOTWLfhjYO7gE+smzFYAP+2JLUVOrIc2eHaBJt4JpiCOLz+GzB7PGpzCNlBQz1cFFXKDSdFvCgkOLTzaEsxFjx0e1HQiF+1boALkGNVhVZN8Kh0MR543ldhC8lOFkNF+EAy7TMZfMntldVUdMDCXnCzQtd86DGxdDf8me3V49pMP15FP1qB6zIuPWuxcnqcAmzWXBy1F9HQ2RYiWTKTOqKYaBpYitluAyrv5FdD2Y3KDw5PO6W4z+3pAWBCgbXUoNBwDCLScSTt/PD4wnelAwH+GtwGNnoST3aF+/oS57qikv1tbe+eNUXP/e6XX/4+LPbP/PP//yW1/7Jxklzx9OgE7fRM6S4md91BlFVlQgGKqT1jdx5hZxQQkRTH9t2iM9d1/cnHqIWTsgLK3jBwmkGPS1rvy2JAlwG+cg0rWmNNVJDNUlFiunHuQjKyq/gaFjbnz6mBR2vlyUlwNuZyZS+UnwSKMlVWh+5ZTwQBEDqNeEVk5vo1WykMRFbOuVH+se0oq5OYnsjJUn/+MlXtkWTor0oBlfDGl5xJJv8nMOr71gapWeDilIIRIXZKVbSiDTX3nrnSrOu5nRntD1KX/5KJXXUUmqIhc7Amao211YRpkjwKCrFouBUqSAv8Hh7XnhyeMGqMLeWaEZZm4ODKgA9Xy2j4XJdnO7sKKbupUBEw40/3OuxDMNI9Ma7epMXe+KXUtbEmRPe/Pbb/uUrf3Jy1xe2PvLxL3/5NS99zZrGlmZhFEQ04cCKpsEcCwzKuGDFk66GBns7jD7DiryZl/FoPyBEKr4nmBf0Mk/CyiWTyIkgTVSRIbdrWlbKtOZParBvEMrxCc/tOKrpOk8NpoETshMplTRuWcMOLxyggihpTdQf2OJBGdKqJVMxOCYjy+inVLr2EeD1PMla+6KF8xdO01PUx7LH9dcrROV5/StW96To0aAigKuhOVmmOZZI6Etffe2OR//6xM4v/OvX/+Qtb79txpxJF3UJDV13XzIRTRgmrw5B2ziiBcMJNSN0Xv59EqManhqvAJpL6LBwiIYjW87peW0RQ5yyvxUN2lZpxfri3b2JC4nU2d5kzfjGO16+5jOfuOcPv/rLg3vu+69ffeCDH7r7xpcsleojNIYzxWocT1oKAotMOBOTiez/q1fKVR0aet6XoQW1Xc+cwAW0HYZNPPcuT8QcpeXTx3QHyPuhb6CYBlKG3gch0zBaZk9gIR0K8UgsyYM7D1epkMShCsqyhF5RwrRWr57FMf3uHSmSpA0b56aSKbQfaDlcWiqW8iOtDVfqVy9J0j984uWXYknac0EeUGRvSHD/VVztYuiRshIUJgrs08WhZIL7MY2lG2aG62vMEvZhUQUEGxZb16XGqk13L/ngh+762S/+/NAzX3zkvz/0qb++55a7VgTqa850xdv7EtHuaBKDP53Wm5E09FnK4xAFwalSQV5QDgkJnhweimvQejusME2jtrn2Fa/e8DeffNXvfvqB4/u+/MDvPnLf377m1W/cMN1ekINLxMDfIEOxi2T0iG/D1OidK0HTeH7XSRIP3bHirBM5ylAG6RhFpXkVlNv4+jGN9QYGUuRqBh2sALKcShkL504kTlTTMvxLoxz84bEDIX4To90ZIlASGOFFFXXJ8il86oST1fCTtH7JlF5FpZ4zSiajpZLoeoI5c9X0davnpKIJLujrLPdOYMjL7upNL18VS+h27S5RHxY1ZXCiqRSFLWPy/Il//MYNX/na6zc//PHjT33he//vHW97712zF02/bEmt3fGezmg8ljDoy7e4HNfnplqiDFcZPDk8agDEoUSkp7a9c7KkRFK//eZFn/zsK1/5hvWzl0y20JqjTYJBZBbkAFgbgho/MSNWYey59RGh3AzDAukhd3q1ZkSVN2+nV65IJDtaV9eNg5DIlCtr6Rjxcgeub8umNdG8B0195FnDI09o/6qb1qKF7PDodnpgwAOlpULpX+o5duqSGtDIfzgrnCzrKWMxXKzGm</t>
  </si>
  <si>
    <t>hml</t>
  </si>
  <si>
    <t>prd</t>
  </si>
  <si>
    <t>DECIMAL</t>
  </si>
  <si>
    <t>NUMERIC</t>
  </si>
  <si>
    <t>Interbase</t>
  </si>
  <si>
    <t>SQL Anywhere</t>
  </si>
  <si>
    <t>Informix</t>
  </si>
  <si>
    <t>Oracle</t>
  </si>
  <si>
    <t>DB2</t>
  </si>
  <si>
    <t>BLOB SUB_TYPE TEXT</t>
  </si>
  <si>
    <t>BLOB</t>
  </si>
  <si>
    <t>ST_GEOMETRY</t>
  </si>
  <si>
    <t>LONG VARCHAR</t>
  </si>
  <si>
    <t>LONG BINARY</t>
  </si>
  <si>
    <t>LVARCHAR</t>
  </si>
  <si>
    <t>DATETIME YEAR TO FRACTION</t>
  </si>
  <si>
    <t>CLOB</t>
  </si>
  <si>
    <t>RAW</t>
  </si>
  <si>
    <t>NUMBER</t>
  </si>
  <si>
    <t>BINARY_DOUBLE</t>
  </si>
  <si>
    <t>SDO_GEOMETRY</t>
  </si>
  <si>
    <t>NVARCHAR2</t>
  </si>
  <si>
    <t>BINARY_FLOAT</t>
  </si>
  <si>
    <t>VARCHAR2</t>
  </si>
  <si>
    <t>XMLTYPE</t>
  </si>
  <si>
    <t>GRAPHIC</t>
  </si>
  <si>
    <t>VARGRAPHIC</t>
  </si>
  <si>
    <t>CPF</t>
  </si>
  <si>
    <t>CNPJ</t>
  </si>
  <si>
    <t>RAIZ/CPF/CNPJ</t>
  </si>
  <si>
    <t>X</t>
  </si>
  <si>
    <t>CREDIT CARD</t>
  </si>
  <si>
    <t>RENAVAM</t>
  </si>
  <si>
    <t>EAN-8</t>
  </si>
  <si>
    <t>EAN-13</t>
  </si>
  <si>
    <t>ISBN-10</t>
  </si>
  <si>
    <t>ISBN-13</t>
  </si>
  <si>
    <t>ISSN</t>
  </si>
  <si>
    <t>RAIZ CNPJ</t>
  </si>
  <si>
    <t>Directory</t>
  </si>
  <si>
    <t>Value</t>
  </si>
  <si>
    <t>6;7;8;9;2;3;4;5;6;7;8;9</t>
  </si>
  <si>
    <t>5;6;7;8;9;2;3;4;5;6;7;8;9</t>
  </si>
  <si>
    <t>2;1;2;1;2;1;2;1;2;1;2;1;2;1;2;1</t>
  </si>
  <si>
    <t>3;2;9;8;7;6;5;4;3;2</t>
  </si>
  <si>
    <t>3;1;3;1;3;1;3;1;3;1;3;1</t>
  </si>
  <si>
    <t>10;9;8;7;6;5;4;3;2</t>
  </si>
  <si>
    <t>8;7;6;5;4;3;2</t>
  </si>
  <si>
    <t>Cat</t>
  </si>
  <si>
    <t>Typ</t>
  </si>
  <si>
    <t>Msk</t>
  </si>
  <si>
    <t>Dmn</t>
  </si>
  <si>
    <t>Sys</t>
  </si>
  <si>
    <t>Mnu</t>
  </si>
  <si>
    <t>Usr</t>
  </si>
  <si>
    <t>Db</t>
  </si>
  <si>
    <t>Tbl</t>
  </si>
  <si>
    <t>Col</t>
  </si>
  <si>
    <t>Idx</t>
  </si>
  <si>
    <t>Ses</t>
  </si>
  <si>
    <t>Trs</t>
  </si>
  <si>
    <t>Ope</t>
  </si>
  <si>
    <t>Uni</t>
  </si>
  <si>
    <t>Prefix</t>
  </si>
  <si>
    <t>sgsi</t>
  </si>
  <si>
    <t>CEP (BR)</t>
  </si>
  <si>
    <t>NIS/PIS/PASEP</t>
  </si>
  <si>
    <t>CNH</t>
  </si>
  <si>
    <t>CAEPF</t>
  </si>
  <si>
    <t>3;1;3;1;3;1;3</t>
  </si>
  <si>
    <t>numeric(p,s)</t>
  </si>
  <si>
    <t>nchar(n)</t>
  </si>
  <si>
    <t>varchar(n)</t>
  </si>
  <si>
    <t>varbinary(n)</t>
  </si>
  <si>
    <t>nvarchar(n)</t>
  </si>
  <si>
    <t>Engines</t>
  </si>
  <si>
    <t>Conditions</t>
  </si>
  <si>
    <t>Eng</t>
  </si>
  <si>
    <t>Idk</t>
  </si>
  <si>
    <t>Cnd</t>
  </si>
  <si>
    <t>SGBD's</t>
  </si>
  <si>
    <t>SGBD's x Tipos</t>
  </si>
  <si>
    <t>Bancos-de-dados</t>
  </si>
  <si>
    <t>int (4 bytes)</t>
  </si>
  <si>
    <t>char(n)</t>
  </si>
  <si>
    <t>datetime2(s)</t>
  </si>
  <si>
    <t>datetimeoffset(s)</t>
  </si>
  <si>
    <t>decimal(p ,s)</t>
  </si>
  <si>
    <t>float(n)</t>
  </si>
  <si>
    <t>time(s)</t>
  </si>
  <si>
    <t>SoftLab</t>
  </si>
  <si>
    <t>&lt;</t>
  </si>
  <si>
    <t>&gt;</t>
  </si>
  <si>
    <t>disabled</t>
  </si>
  <si>
    <t>enabled</t>
  </si>
  <si>
    <t>hidden</t>
  </si>
  <si>
    <t>visible</t>
  </si>
  <si>
    <t>readonly</t>
  </si>
  <si>
    <t>required</t>
  </si>
  <si>
    <t>value</t>
  </si>
  <si>
    <t>placeholder</t>
  </si>
  <si>
    <t>Define o texto placeholder (dica)</t>
  </si>
  <si>
    <t>title</t>
  </si>
  <si>
    <t>Define o texto tooltip ao passar o mouse</t>
  </si>
  <si>
    <t>class</t>
  </si>
  <si>
    <t>Define classes CSS aplicadas dinamicamente</t>
  </si>
  <si>
    <t>style</t>
  </si>
  <si>
    <t>Define estilos CSS inline aplicados dinamicamente</t>
  </si>
  <si>
    <t>max</t>
  </si>
  <si>
    <t>min</t>
  </si>
  <si>
    <t>maxlength</t>
  </si>
  <si>
    <t>Define número máximo de caracteres</t>
  </si>
  <si>
    <t>minlength</t>
  </si>
  <si>
    <t>Define número mínimo de caracteres</t>
  </si>
  <si>
    <t>step</t>
  </si>
  <si>
    <t>Define o incremento para campos numéricos</t>
  </si>
  <si>
    <t>patternTitle</t>
  </si>
  <si>
    <t>Define mensagem explicativa para falha no pattern</t>
  </si>
  <si>
    <t>aria-label</t>
  </si>
  <si>
    <t>Define rótulo acessível para leitores de tela</t>
  </si>
  <si>
    <t>mask</t>
  </si>
  <si>
    <t>Define a máscara de formatação aplicada ao campo</t>
  </si>
  <si>
    <t>Desabilita o elemento HTML</t>
  </si>
  <si>
    <t>Habilita o  elemento HTML</t>
  </si>
  <si>
    <t>Esconde o  elemento HTML</t>
  </si>
  <si>
    <t>Mostra o  elemento HTML</t>
  </si>
  <si>
    <t>Torna o  elemento HTML somente leitura</t>
  </si>
  <si>
    <t>Torna o  elemento HTML obrigatório</t>
  </si>
  <si>
    <t>Define o valor do  elemento HTML</t>
  </si>
  <si>
    <t>Define valor máximo</t>
  </si>
  <si>
    <t>Define valor mínimo</t>
  </si>
  <si>
    <t>Prp</t>
  </si>
  <si>
    <t>Properties</t>
  </si>
  <si>
    <t>#PropertyName</t>
  </si>
  <si>
    <t>Behaviors</t>
  </si>
  <si>
    <t>Bhv</t>
  </si>
  <si>
    <t>Propriedades HTML</t>
  </si>
  <si>
    <t>Periodicity</t>
  </si>
  <si>
    <t>Fone (BR)</t>
  </si>
  <si>
    <t>Celular (BR)</t>
  </si>
  <si>
    <t>Placa Veicular (BR)</t>
  </si>
  <si>
    <t>Placa MERCOSUL</t>
  </si>
  <si>
    <t>Título de Eleitor</t>
  </si>
  <si>
    <t>Raíz CNPJ</t>
  </si>
  <si>
    <t>Credit Card</t>
  </si>
  <si>
    <t>CheckDigitModule</t>
  </si>
  <si>
    <t>CheckDigitFactors</t>
  </si>
  <si>
    <t>CheckDigitGreaterThanNine</t>
  </si>
  <si>
    <t>Data Source=localhost,1433;Initial Catalog=crudex-dev;Integrated Security=SSPI;Encrypt=yes;TrustServerCertificate=yes;Persist Security Info=False;Connect Timeout=30;</t>
  </si>
  <si>
    <t>Data Source=localhost,1433;Initial Catalog=crudex-hml;Integrated Security=SSPI;Encrypt=yes;TrustServerCertificate=yes;Persist Security Info=False;Connect Timeout=30;</t>
  </si>
  <si>
    <t>Data Source=localhost,1433;Initial Catalog=crudex-prd;Integrated Security=SSPI;Encrypt=yes;TrustServerCertificate=yes;Persist Security Info=False;Connect Timeout=30;</t>
  </si>
  <si>
    <t>CanCreate</t>
  </si>
  <si>
    <t>CanRead</t>
  </si>
  <si>
    <t>CanUpdate</t>
  </si>
  <si>
    <t>CanDelete</t>
  </si>
  <si>
    <t>(</t>
  </si>
  <si>
    <t>)</t>
  </si>
  <si>
    <t>Connector</t>
  </si>
  <si>
    <t>=</t>
  </si>
  <si>
    <t>Exp</t>
  </si>
  <si>
    <t>Includes</t>
  </si>
  <si>
    <t>Inc</t>
  </si>
  <si>
    <t>EngineId</t>
  </si>
  <si>
    <t>Manutenção</t>
  </si>
  <si>
    <t>Manutenção de Tabelas</t>
  </si>
  <si>
    <t>Manutenção de Cadastros</t>
  </si>
  <si>
    <t>Manutenção de Tabelas Associativas</t>
  </si>
  <si>
    <t>ExpressionId</t>
  </si>
  <si>
    <t>PropertyId</t>
  </si>
  <si>
    <t>Provider</t>
  </si>
  <si>
    <t>Microsoft.Data.SqlClient</t>
  </si>
  <si>
    <t>MySql.Data.MySqlClient</t>
  </si>
  <si>
    <t>Npgsql</t>
  </si>
  <si>
    <t>FirebirdSql.Data.FirebirdClient</t>
  </si>
  <si>
    <t>Sap.Data.SQLAnywhere</t>
  </si>
  <si>
    <t>IBM.Data.Informix</t>
  </si>
  <si>
    <t>AskDirectory</t>
  </si>
  <si>
    <t>Permissions</t>
  </si>
  <si>
    <t>Operações CRUD</t>
  </si>
  <si>
    <t>Transações CRUD</t>
  </si>
  <si>
    <t>#ExpressionName</t>
  </si>
  <si>
    <t>#TableAlias</t>
  </si>
  <si>
    <t>Ref</t>
  </si>
  <si>
    <t>References</t>
  </si>
  <si>
    <t>Interval</t>
  </si>
  <si>
    <t>TimeOfDay</t>
  </si>
  <si>
    <t>DayOfMonth</t>
  </si>
  <si>
    <t>NextRunDate</t>
  </si>
  <si>
    <t>IsFirstOrLastDay</t>
  </si>
  <si>
    <t>IsBusinessDays</t>
  </si>
  <si>
    <t>IsRunOnce</t>
  </si>
  <si>
    <t>Script</t>
  </si>
  <si>
    <t>IsBefore</t>
  </si>
  <si>
    <t>AND;OR</t>
  </si>
  <si>
    <t>CRUD Operation</t>
  </si>
  <si>
    <t>bigint (8 bytes)</t>
  </si>
  <si>
    <t>tinyint (1 byte)</t>
  </si>
  <si>
    <t>bit (1 bit)</t>
  </si>
  <si>
    <t>smallint (2 bytes)</t>
  </si>
  <si>
    <t>Schedulers</t>
  </si>
  <si>
    <t>Sch</t>
  </si>
  <si>
    <t>Scripts</t>
  </si>
  <si>
    <t>Scr</t>
  </si>
  <si>
    <t>LeftParenthesis</t>
  </si>
  <si>
    <t>RightParenthesis</t>
  </si>
  <si>
    <t>Left Parenthesis</t>
  </si>
  <si>
    <t>Right Parenthesis</t>
  </si>
  <si>
    <t>ValidChars</t>
  </si>
  <si>
    <t>MySqlConnector</t>
  </si>
  <si>
    <t>InterBaseSql.Data.InterBaseClient</t>
  </si>
  <si>
    <t>Oracle.ManagedDataAccess.Core</t>
  </si>
  <si>
    <t>Net.IBM.Data.Db2</t>
  </si>
  <si>
    <t>AskListable</t>
  </si>
  <si>
    <t>AskEncrypted</t>
  </si>
  <si>
    <t>IsRequired</t>
  </si>
  <si>
    <t>IsFilterable</t>
  </si>
  <si>
    <t>IsEditable</t>
  </si>
  <si>
    <t>IsGridable</t>
  </si>
  <si>
    <t>IsInWords</t>
  </si>
  <si>
    <t>IsEncrypted</t>
  </si>
  <si>
    <t>IsListable</t>
  </si>
  <si>
    <t>IsBirectional</t>
  </si>
  <si>
    <t>LeftColumnId</t>
  </si>
  <si>
    <t>RightColumnId</t>
  </si>
  <si>
    <t>Symbol</t>
  </si>
  <si>
    <t>Arity</t>
  </si>
  <si>
    <t>≤</t>
  </si>
  <si>
    <t>≠</t>
  </si>
  <si>
    <t>≥</t>
  </si>
  <si>
    <t>∈</t>
  </si>
  <si>
    <t>∉</t>
  </si>
  <si>
    <t>⊃</t>
  </si>
  <si>
    <t>⊅</t>
  </si>
  <si>
    <t>∃</t>
  </si>
  <si>
    <t>∄</t>
  </si>
  <si>
    <t>∅</t>
  </si>
  <si>
    <t>⊗</t>
  </si>
  <si>
    <t>Modificators</t>
  </si>
  <si>
    <t>10;9;8;7;6;5;4;3;2|11;10;9;8;7;6;5;4;3;2</t>
  </si>
  <si>
    <t>5;4;3;2;9;8;7;6;5;4;3;2|6;5;4;3;2;9;8;7;6;5;4;3;2</t>
  </si>
  <si>
    <t>ComparatorId</t>
  </si>
  <si>
    <t>Comparators</t>
  </si>
  <si>
    <t>Cmp</t>
  </si>
  <si>
    <t>Comparadores</t>
  </si>
  <si>
    <t>Categorias x Comparadores</t>
  </si>
  <si>
    <t>999.999.999-99</t>
  </si>
  <si>
    <t>99.999.999/9999-99</t>
  </si>
  <si>
    <t>999.99.999/999-99</t>
  </si>
  <si>
    <t>9999 9999 9999 9999</t>
  </si>
  <si>
    <t>9 999999 999999</t>
  </si>
  <si>
    <t>9-9999-9999-9</t>
  </si>
  <si>
    <t>999-99-999-9999-9</t>
  </si>
  <si>
    <t>9999-999X</t>
  </si>
  <si>
    <t>99999-999</t>
  </si>
  <si>
    <t>(99) 9999-9999</t>
  </si>
  <si>
    <t>(99) 9 9999-9999</t>
  </si>
  <si>
    <t>AAA-9999</t>
  </si>
  <si>
    <t>AAA9X99</t>
  </si>
  <si>
    <t>999.99999.99-9</t>
  </si>
  <si>
    <t>9999 9999 9999</t>
  </si>
  <si>
    <t>Prm</t>
  </si>
  <si>
    <t>Sch001</t>
  </si>
  <si>
    <t>day</t>
  </si>
  <si>
    <t>Snp0001</t>
  </si>
  <si>
    <t>SELECT * FROM Tables</t>
  </si>
  <si>
    <t>update</t>
  </si>
  <si>
    <t>{}</t>
  </si>
  <si>
    <t>http://teste.com</t>
  </si>
  <si>
    <t>Method</t>
  </si>
  <si>
    <t>GET</t>
  </si>
  <si>
    <t>Fetch Method</t>
  </si>
  <si>
    <t>GET;POST;PUT;DELETE;PATCH</t>
  </si>
  <si>
    <t>#ComparatorDescription</t>
  </si>
  <si>
    <t>Domínios x Máscaras</t>
  </si>
  <si>
    <t>Categorias</t>
  </si>
  <si>
    <t>Domínios</t>
  </si>
  <si>
    <t>Máscaras</t>
  </si>
  <si>
    <t>Conexões</t>
  </si>
  <si>
    <t>Colunas</t>
  </si>
  <si>
    <t>Índices</t>
  </si>
  <si>
    <t>Não-chaves</t>
  </si>
  <si>
    <t>Unicidades</t>
  </si>
  <si>
    <t>Condições</t>
  </si>
  <si>
    <t>Referências</t>
  </si>
  <si>
    <t>Permissões</t>
  </si>
  <si>
    <t>Propriedades</t>
  </si>
  <si>
    <t>Comportamentos</t>
  </si>
  <si>
    <t>Agendamentos</t>
  </si>
  <si>
    <t>Sessões</t>
  </si>
  <si>
    <t>Transações</t>
  </si>
  <si>
    <t>Operações</t>
  </si>
  <si>
    <t>Expressões</t>
  </si>
  <si>
    <t>Categorias de Tipos</t>
  </si>
  <si>
    <t>Domínios de Colunas</t>
  </si>
  <si>
    <t>Máscaras de Edição</t>
  </si>
  <si>
    <t>Menus Agrupadores de Opções</t>
  </si>
  <si>
    <t>Colunas de Tabelas</t>
  </si>
  <si>
    <t>Índices de Tabelas</t>
  </si>
  <si>
    <t>Chaves de Índices</t>
  </si>
  <si>
    <t>Colunas Não-Chaves de Índices</t>
  </si>
  <si>
    <t>Unicidades Cruzadas Entre Tabelas</t>
  </si>
  <si>
    <t>Expressões Lógicas</t>
  </si>
  <si>
    <t>Condições de Expressões Lógicas</t>
  </si>
  <si>
    <t>Permissões de Acesso de Usuários</t>
  </si>
  <si>
    <t>Comportamentos de Formulários</t>
  </si>
  <si>
    <t>Sessões de Logins</t>
  </si>
  <si>
    <t>left</t>
  </si>
  <si>
    <t>left;upper</t>
  </si>
  <si>
    <t>ListValues</t>
  </si>
  <si>
    <t>Mask Modificators</t>
  </si>
  <si>
    <t>left;right;upper;lower;space</t>
  </si>
  <si>
    <t>second;minute;hour;day;week;month;year</t>
  </si>
  <si>
    <t>Logical Connector</t>
  </si>
  <si>
    <t>Mappings</t>
  </si>
  <si>
    <t>Map</t>
  </si>
  <si>
    <t>Maskings</t>
  </si>
  <si>
    <t>Mkg</t>
  </si>
  <si>
    <t>Rules</t>
  </si>
  <si>
    <t>Rul</t>
  </si>
  <si>
    <t>#RightTableAlias</t>
  </si>
  <si>
    <t>#LeftTableAlias</t>
  </si>
  <si>
    <t>#LeftColumnName</t>
  </si>
  <si>
    <t>#RightColumnName</t>
  </si>
  <si>
    <t>#ComparatorSymbol</t>
  </si>
  <si>
    <t>URL</t>
  </si>
  <si>
    <t>URL's</t>
  </si>
  <si>
    <t>Snipers</t>
  </si>
  <si>
    <t>Snp</t>
  </si>
  <si>
    <t>IsVirtual</t>
  </si>
  <si>
    <t>Cadastro</t>
  </si>
  <si>
    <t>Associação</t>
  </si>
  <si>
    <t>Manutenção de Tabelas de Definição</t>
  </si>
  <si>
    <t>Definição</t>
  </si>
  <si>
    <t>Expressions</t>
  </si>
  <si>
    <t>Expression 0001</t>
  </si>
  <si>
    <t>RightValues</t>
  </si>
  <si>
    <t>MySql.Data</t>
  </si>
  <si>
    <t>MC.Sap.Data.SQLAnywhere</t>
  </si>
  <si>
    <t>Informix.Net.Core</t>
  </si>
  <si>
    <t xml:space="preserve"> 2.1.0.1</t>
  </si>
  <si>
    <t>PackageName</t>
  </si>
  <si>
    <t>PackageVersion</t>
  </si>
  <si>
    <t>Oracle.ManagedDataAccess.Client</t>
  </si>
  <si>
    <t>IBM.Data.Db2</t>
  </si>
  <si>
    <t>Mask</t>
  </si>
  <si>
    <t>IsForwardHoliday</t>
  </si>
  <si>
    <t>*Id</t>
  </si>
  <si>
    <t>Referencekeys</t>
  </si>
  <si>
    <t>Rfk</t>
  </si>
  <si>
    <t>Chaves de referências</t>
  </si>
  <si>
    <t>Referências entre tabelas</t>
  </si>
  <si>
    <t>Chaves de índices</t>
  </si>
  <si>
    <t>FkTableId</t>
  </si>
  <si>
    <t>#FkTableName</t>
  </si>
  <si>
    <t>PkTableId</t>
  </si>
  <si>
    <t>#PkTableName</t>
  </si>
  <si>
    <t>IsParentChildren</t>
  </si>
  <si>
    <t>ReferenceId</t>
  </si>
  <si>
    <t>#ReferenceName</t>
  </si>
  <si>
    <t>FkColumnId</t>
  </si>
  <si>
    <t>#FkColumnName</t>
  </si>
  <si>
    <t>Menor</t>
  </si>
  <si>
    <t>Igual</t>
  </si>
  <si>
    <t>Diferente</t>
  </si>
  <si>
    <t>Maior</t>
  </si>
  <si>
    <t>In</t>
  </si>
  <si>
    <t>Not In</t>
  </si>
  <si>
    <t>Like</t>
  </si>
  <si>
    <t>Not Like</t>
  </si>
  <si>
    <t>Between</t>
  </si>
  <si>
    <t>Not Between</t>
  </si>
  <si>
    <t>Is Null</t>
  </si>
  <si>
    <t>Is Not Null</t>
  </si>
  <si>
    <t>Menor ou Igual</t>
  </si>
  <si>
    <t>Maior ou Igual</t>
  </si>
  <si>
    <t>Owners</t>
  </si>
  <si>
    <t>Own</t>
  </si>
  <si>
    <t>Proprietários CRUDEX</t>
  </si>
  <si>
    <t>#OwnerName</t>
  </si>
  <si>
    <t>OwnertId</t>
  </si>
  <si>
    <t xml:space="preserve">AskDatabasePath </t>
  </si>
  <si>
    <t>Desenvolvimento</t>
  </si>
  <si>
    <t>Produção</t>
  </si>
  <si>
    <t>Homologação</t>
  </si>
  <si>
    <t>Environments</t>
  </si>
  <si>
    <t>Env</t>
  </si>
  <si>
    <t>Ambientes de trabalho</t>
  </si>
  <si>
    <t>Regras</t>
  </si>
  <si>
    <t>Proprietários</t>
  </si>
  <si>
    <t>browse/crudex/Msk</t>
  </si>
  <si>
    <t>browse/crudex/Mkg</t>
  </si>
  <si>
    <t>browse/crudex/Cat</t>
  </si>
  <si>
    <t>browse/crudex/Cmp</t>
  </si>
  <si>
    <t>browse/crudex/Rul</t>
  </si>
  <si>
    <t>browse/crudex/Eng</t>
  </si>
  <si>
    <t>browse/crudex/Typ</t>
  </si>
  <si>
    <t>browse/crudex/Map</t>
  </si>
  <si>
    <t>browse/crudex/Own</t>
  </si>
  <si>
    <t>browse/crudex/Dmn</t>
  </si>
  <si>
    <t>browse/crudex/Sys</t>
  </si>
  <si>
    <t>browse/crudex/Mnu</t>
  </si>
  <si>
    <t>browse/crudex/Tbl</t>
  </si>
  <si>
    <t>browse/crudex/Col</t>
  </si>
  <si>
    <t>browse/crudex/Idx</t>
  </si>
  <si>
    <t>browse/crudex/Idk</t>
  </si>
  <si>
    <t>browse/crudex/Inc</t>
  </si>
  <si>
    <t>browse/crudex/Uni</t>
  </si>
  <si>
    <t>browse/crudex/Exp</t>
  </si>
  <si>
    <t>browse/crudex/Cnd</t>
  </si>
  <si>
    <t>browse/crudex/Ref</t>
  </si>
  <si>
    <t>browse/crudex/Rfk</t>
  </si>
  <si>
    <t>browse/crudex/Usr</t>
  </si>
  <si>
    <t>browse/crudex/Prm</t>
  </si>
  <si>
    <t>browse/crudex/Prp</t>
  </si>
  <si>
    <t>browse/crudex/Bhv</t>
  </si>
  <si>
    <t>browse/crudex/Sch</t>
  </si>
  <si>
    <t>browse/crudex/Snp</t>
  </si>
  <si>
    <t>browse/crudex/Scr</t>
  </si>
  <si>
    <t>browse/crudex/Url</t>
  </si>
  <si>
    <t>browse/crudex/Ses</t>
  </si>
  <si>
    <t>browse/crudex/Trs</t>
  </si>
  <si>
    <t>browse/crudex/Ope</t>
  </si>
  <si>
    <t>browse/crudex/Db</t>
  </si>
  <si>
    <t>browse/crudex/Con</t>
  </si>
  <si>
    <t>Ambientes</t>
  </si>
  <si>
    <t>browse/crudex/Env</t>
  </si>
  <si>
    <t>IMAGE</t>
  </si>
  <si>
    <t>MONEY</t>
  </si>
  <si>
    <t>VARIANT</t>
  </si>
  <si>
    <t>NVARCHAR(15)</t>
  </si>
  <si>
    <t>NVARCHAR(20)</t>
  </si>
  <si>
    <t>NVARCHAR(25)</t>
  </si>
  <si>
    <t>NVARCHAR(50)</t>
  </si>
  <si>
    <t>NVARCHAR(256)</t>
  </si>
  <si>
    <t>NVARCHAR(max)</t>
  </si>
  <si>
    <t>NCHAR(1)</t>
  </si>
  <si>
    <t>VARCHAR(15)</t>
  </si>
  <si>
    <t>VARCHAR(20)</t>
  </si>
  <si>
    <t>VARCHAR(25)</t>
  </si>
  <si>
    <t>VARCHAR(50)</t>
  </si>
  <si>
    <t>VARCHAR(256)</t>
  </si>
  <si>
    <t>VARCHAR(max)</t>
  </si>
  <si>
    <t>CHAR(1)</t>
  </si>
  <si>
    <t>IsAutoincrement</t>
  </si>
  <si>
    <t>IsOrdenable</t>
  </si>
  <si>
    <t>ConnectionId</t>
  </si>
  <si>
    <t>#ConnectionName</t>
  </si>
  <si>
    <t>EnvironmentId</t>
  </si>
  <si>
    <t>#EnvironmentName</t>
  </si>
  <si>
    <t>Str</t>
  </si>
  <si>
    <t>Strings de conexão</t>
  </si>
  <si>
    <t>Strings</t>
  </si>
  <si>
    <t>ElseValue</t>
  </si>
  <si>
    <t>IsRelational</t>
  </si>
  <si>
    <t>Mascaramentos</t>
  </si>
  <si>
    <t>numeric(p,0)</t>
  </si>
  <si>
    <t>decimal(p,0)</t>
  </si>
  <si>
    <t>IsMergeableCrudex</t>
  </si>
  <si>
    <t>Identities</t>
  </si>
  <si>
    <t>Id</t>
  </si>
  <si>
    <t>Colunas de incremento automático</t>
  </si>
  <si>
    <t>CurrentValue</t>
  </si>
  <si>
    <t>#TableId</t>
  </si>
  <si>
    <t>Primarykey</t>
  </si>
  <si>
    <t>{"Id" : 1}</t>
  </si>
  <si>
    <t>Values</t>
  </si>
  <si>
    <t>Val</t>
  </si>
  <si>
    <t>Valores de colunas virtuais</t>
  </si>
  <si>
    <t>Agendamentos de Rotinas</t>
  </si>
  <si>
    <t>Snipers Pré/Pós CRUD de Rotinas</t>
  </si>
  <si>
    <t>Scripts de Rotinas</t>
  </si>
  <si>
    <t>URL's de Rotinas</t>
  </si>
  <si>
    <t>Calls</t>
  </si>
  <si>
    <t>Cal</t>
  </si>
  <si>
    <t>CanDevEnvironment</t>
  </si>
  <si>
    <t>CanHmlEnvironment</t>
  </si>
  <si>
    <t>CanPrdEnvironment</t>
  </si>
  <si>
    <t>IsPrimarykey</t>
  </si>
  <si>
    <t>AskUnique</t>
  </si>
  <si>
    <t>RequireGroup</t>
  </si>
  <si>
    <t>Connections</t>
  </si>
  <si>
    <t>Conexões a bancos-de-dados</t>
  </si>
  <si>
    <t>Con</t>
  </si>
  <si>
    <t>SQL</t>
  </si>
  <si>
    <t>create;update;delete</t>
  </si>
  <si>
    <t>IsIndexable</t>
  </si>
  <si>
    <t>rowversion</t>
  </si>
  <si>
    <t>binary(n)</t>
  </si>
  <si>
    <t>bytea</t>
  </si>
  <si>
    <t>double precision</t>
  </si>
  <si>
    <t>ltree</t>
  </si>
  <si>
    <t>integer</t>
  </si>
  <si>
    <t>jsonb</t>
  </si>
  <si>
    <t>uuid</t>
  </si>
  <si>
    <t>BLOB SUB_TYPE BINARY</t>
  </si>
  <si>
    <t>BLOB SUB_TYPE TEXT CHARACTER SET UTF8</t>
  </si>
  <si>
    <t>CHAR(36) CHARACTER SET ASCII</t>
  </si>
  <si>
    <t>BLOB SUB_TYPE 1 CHARACTER SET UTF8</t>
  </si>
  <si>
    <t>BLOB SUB_TYPE 1</t>
  </si>
  <si>
    <t>BIT</t>
  </si>
  <si>
    <t>LONG NVARCHAR</t>
  </si>
  <si>
    <t>SMALLMONEY</t>
  </si>
  <si>
    <t>UNIQUEIDENTIFIER</t>
  </si>
  <si>
    <t>SMALLFLOAT</t>
  </si>
  <si>
    <t>DATETIME YEAR TO MINUTE</t>
  </si>
  <si>
    <t>NCLOB</t>
  </si>
  <si>
    <t>DBCLOB</t>
  </si>
  <si>
    <t>CHAR CHARACTER SET OCTETS</t>
  </si>
  <si>
    <t>CHAR CHARACTER SET UTF8</t>
  </si>
  <si>
    <t>VARCHAR CHARACTER SET UTF8</t>
  </si>
  <si>
    <t>VARCHAR CHARACTER SET OCTETS</t>
  </si>
  <si>
    <t>CHAR FOR BIT DATA</t>
  </si>
  <si>
    <t>VARCHAR FOR BIT DATA</t>
  </si>
  <si>
    <t>timestamp without time zone</t>
  </si>
  <si>
    <t>timestamp with time zone</t>
  </si>
  <si>
    <t>time without time zone</t>
  </si>
  <si>
    <t>DATETIME HOUR TO FRACTION</t>
  </si>
  <si>
    <t>Complement</t>
  </si>
  <si>
    <t>without time zone</t>
  </si>
  <si>
    <t>CHARACTER SET UTF8</t>
  </si>
  <si>
    <t>CHARACTER SET ASCII</t>
  </si>
  <si>
    <t>FOR BIT DATA</t>
  </si>
  <si>
    <t>SchedulerId</t>
  </si>
  <si>
    <t>#SchedulerName</t>
  </si>
  <si>
    <t>SniperId</t>
  </si>
  <si>
    <t>#SniperName</t>
  </si>
  <si>
    <t>BigId</t>
  </si>
  <si>
    <t>IntId</t>
  </si>
  <si>
    <t>SmallId</t>
  </si>
  <si>
    <t>TinyId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</si>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</sst>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quotePrefix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3" fillId="0" borderId="0" xfId="0" applyFont="1" applyAlignment="1">
      <alignment vertical="center" wrapText="1"/>
    </xf>
    <xf numFmtId="0" fontId="1" fillId="0" borderId="0" xfId="0" applyFont="1"/>
    <xf numFmtId="0" fontId="0" fillId="2" borderId="0" xfId="0" applyFill="1"/>
    <xf numFmtId="0" fontId="0" fillId="2" borderId="0" xfId="0" quotePrefix="1" applyFill="1"/>
    <xf numFmtId="0" fontId="0" fillId="3" borderId="0" xfId="0" applyFill="1"/>
    <xf numFmtId="0" fontId="0" fillId="3" borderId="0" xfId="0" quotePrefix="1" applyFill="1"/>
    <xf numFmtId="1" fontId="0" fillId="0" borderId="0" xfId="0" applyNumberFormat="1"/>
    <xf numFmtId="3" fontId="0" fillId="0" borderId="0" xfId="0" applyNumberFormat="1" applyAlignment="1">
      <alignment horizontal="left"/>
    </xf>
    <xf numFmtId="20" fontId="0" fillId="0" borderId="0" xfId="0" applyNumberFormat="1"/>
    <xf numFmtId="0" fontId="4" fillId="0" borderId="0" xfId="1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609600</xdr:colOff>
          <xdr:row>18</xdr:row>
          <xdr:rowOff>38100</xdr:rowOff>
        </xdr:from>
        <xdr:to>
          <xdr:col>6</xdr:col>
          <xdr:colOff>739140</xdr:colOff>
          <xdr:row>21</xdr:row>
          <xdr:rowOff>137160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Recalcular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9</xdr:row>
      <xdr:rowOff>7620</xdr:rowOff>
    </xdr:from>
    <xdr:to>
      <xdr:col>9</xdr:col>
      <xdr:colOff>396240</xdr:colOff>
      <xdr:row>10</xdr:row>
      <xdr:rowOff>76200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1FB4AF2-A87F-3053-7A0E-6CD36C70A64E}"/>
            </a:ext>
          </a:extLst>
        </xdr:cNvPr>
        <xdr:cNvSpPr txBox="1"/>
      </xdr:nvSpPr>
      <xdr:spPr>
        <a:xfrm>
          <a:off x="6248400" y="1653540"/>
          <a:ext cx="348234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EditMask: cada # é um caracter alfanumérico ou especial.</a:t>
          </a:r>
          <a:endParaRPr lang="pt-BR" sz="1100"/>
        </a:p>
      </xdr:txBody>
    </xdr:sp>
    <xdr:clientData/>
  </xdr:twoCellAnchor>
  <xdr:twoCellAnchor>
    <xdr:from>
      <xdr:col>6</xdr:col>
      <xdr:colOff>586740</xdr:colOff>
      <xdr:row>10</xdr:row>
      <xdr:rowOff>129540</xdr:rowOff>
    </xdr:from>
    <xdr:to>
      <xdr:col>11</xdr:col>
      <xdr:colOff>1211580</xdr:colOff>
      <xdr:row>13</xdr:row>
      <xdr:rowOff>15240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CDD915D-38D8-4428-B576-3780A8283064}"/>
            </a:ext>
          </a:extLst>
        </xdr:cNvPr>
        <xdr:cNvSpPr txBox="1"/>
      </xdr:nvSpPr>
      <xdr:spPr>
        <a:xfrm>
          <a:off x="6240780" y="1958340"/>
          <a:ext cx="6758940" cy="434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ValidMask: 0 = numérico com zeros à esquerda; 9 = numérico; A = alfabético; X = alfanumérico; # = alfanumérico ou especial.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://tes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128F-0540-4A14-86D5-4B63388C5B19}">
  <sheetPr codeName="planCategories"/>
  <dimension ref="A1:M13"/>
  <sheetViews>
    <sheetView workbookViewId="0">
      <pane ySplit="3" topLeftCell="A4" activePane="bottomLeft" state="frozen"/>
      <selection pane="bottomLeft" activeCell="C21" sqref="C21"/>
    </sheetView>
  </sheetViews>
  <sheetFormatPr defaultColWidth="11.6640625" defaultRowHeight="14.4"/>
  <cols>
    <col min="1" max="1" width="6.21875" bestFit="1" customWidth="1"/>
    <col min="2" max="2" width="14" bestFit="1" customWidth="1"/>
    <col min="3" max="3" width="11.77734375" bestFit="1" customWidth="1"/>
    <col min="4" max="4" width="12.21875" bestFit="1" customWidth="1"/>
    <col min="5" max="5" width="12.5546875" bestFit="1" customWidth="1"/>
    <col min="6" max="9" width="11.77734375" bestFit="1" customWidth="1"/>
    <col min="10" max="10" width="12.5546875" style="6" bestFit="1" customWidth="1"/>
    <col min="11" max="11" width="11.77734375" bestFit="1" customWidth="1"/>
    <col min="12" max="12" width="11.77734375" customWidth="1"/>
    <col min="13" max="13" width="11.77734375" bestFit="1" customWidth="1"/>
  </cols>
  <sheetData>
    <row r="1" spans="1:13" s="1" customFormat="1">
      <c r="A1" s="1" t="s">
        <v>535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118</v>
      </c>
      <c r="G1" s="1" t="s">
        <v>1</v>
      </c>
      <c r="H1" s="1" t="s">
        <v>115</v>
      </c>
      <c r="I1" s="1" t="s">
        <v>22</v>
      </c>
      <c r="J1" s="1" t="s">
        <v>402</v>
      </c>
      <c r="K1" s="1" t="s">
        <v>401</v>
      </c>
      <c r="L1" s="1" t="s">
        <v>667</v>
      </c>
      <c r="M1" s="1" t="s">
        <v>633</v>
      </c>
    </row>
    <row r="2" spans="1:13" s="1" customFormat="1">
      <c r="A2" s="1">
        <v>58</v>
      </c>
      <c r="B2" s="1">
        <v>9</v>
      </c>
      <c r="C2" s="1">
        <v>5</v>
      </c>
      <c r="D2" s="1">
        <v>5</v>
      </c>
      <c r="E2" s="1">
        <v>5</v>
      </c>
      <c r="F2" s="1">
        <v>5</v>
      </c>
      <c r="G2" s="1">
        <v>5</v>
      </c>
      <c r="H2" s="1">
        <v>5</v>
      </c>
      <c r="I2" s="1">
        <v>5</v>
      </c>
      <c r="J2" s="1">
        <v>5</v>
      </c>
      <c r="K2" s="1">
        <v>5</v>
      </c>
      <c r="L2" s="1">
        <v>5</v>
      </c>
      <c r="M2" s="1">
        <v>5</v>
      </c>
    </row>
    <row r="3" spans="1:13" s="1" customFormat="1">
      <c r="A3" s="1" t="str" cm="1">
        <f t="array" ref="A3">GetValue("Dmn","Name",A2)</f>
        <v>TinyId</v>
      </c>
      <c r="B3" s="1" t="str" cm="1">
        <f t="array" ref="B3">GetValue("Dmn","Name",B2)</f>
        <v>NVARCHAR(15)</v>
      </c>
      <c r="C3" s="1" t="str" cm="1">
        <f t="array" ref="C3">GetValue("Dmn","Name",C2)</f>
        <v>Boolean</v>
      </c>
      <c r="D3" s="1" t="str" cm="1">
        <f t="array" ref="D3">GetValue("Dmn","Name",D2)</f>
        <v>Boolean</v>
      </c>
      <c r="E3" s="1" t="str" cm="1">
        <f t="array" ref="E3">GetValue("Dmn","Name",E2)</f>
        <v>Boolean</v>
      </c>
      <c r="F3" s="1" t="str" cm="1">
        <f t="array" ref="F3">GetValue("Dmn","Name",F2)</f>
        <v>Boolean</v>
      </c>
      <c r="G3" s="1" t="str" cm="1">
        <f t="array" ref="G3">GetValue("Dmn","Name",G2)</f>
        <v>Boolean</v>
      </c>
      <c r="H3" s="1" t="str" cm="1">
        <f t="array" ref="H3">GetValue("Dmn","Name",H2)</f>
        <v>Boolean</v>
      </c>
      <c r="I3" s="1" t="str" cm="1">
        <f t="array" ref="I3">GetValue("Dmn","Name",I2)</f>
        <v>Boolean</v>
      </c>
      <c r="J3" s="1" t="str" cm="1">
        <f t="array" ref="J3">GetValue("Dmn","Name",J2)</f>
        <v>Boolean</v>
      </c>
      <c r="K3" s="1" t="str" cm="1">
        <f t="array" ref="K3">GetValue("Dmn","Name",K2)</f>
        <v>Boolean</v>
      </c>
      <c r="L3" s="1" t="str" cm="1">
        <f t="array" ref="L3">GetValue("Dmn","Name",L2)</f>
        <v>Boolean</v>
      </c>
      <c r="M3" s="1" t="str" cm="1">
        <f t="array" ref="M3">GetValue("Dmn","Name",M2)</f>
        <v>Boolean</v>
      </c>
    </row>
    <row r="4" spans="1:13">
      <c r="A4">
        <f>ROW(A4)-3</f>
        <v>1</v>
      </c>
      <c r="B4" t="s">
        <v>5</v>
      </c>
      <c r="C4" t="b">
        <v>1</v>
      </c>
      <c r="D4" t="b">
        <v>1</v>
      </c>
      <c r="E4" t="b">
        <v>1</v>
      </c>
      <c r="F4" t="b">
        <v>0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</row>
    <row r="5" spans="1:13">
      <c r="A5">
        <f t="shared" ref="A5:A13" si="0">ROW(A5)-3</f>
        <v>2</v>
      </c>
      <c r="B5" t="s">
        <v>139</v>
      </c>
      <c r="C5" t="b">
        <v>1</v>
      </c>
      <c r="D5" t="b">
        <v>1</v>
      </c>
      <c r="E5" t="b">
        <v>1</v>
      </c>
      <c r="F5" t="b">
        <v>1</v>
      </c>
      <c r="G5" t="b">
        <v>0</v>
      </c>
      <c r="H5" t="b">
        <v>1</v>
      </c>
      <c r="I5" t="b">
        <v>1</v>
      </c>
      <c r="J5" t="b">
        <v>0</v>
      </c>
      <c r="K5" t="b">
        <v>0</v>
      </c>
      <c r="L5" t="b">
        <v>1</v>
      </c>
      <c r="M5" t="b">
        <v>1</v>
      </c>
    </row>
    <row r="6" spans="1:13">
      <c r="A6">
        <f t="shared" si="0"/>
        <v>3</v>
      </c>
      <c r="B6" t="s">
        <v>8</v>
      </c>
      <c r="C6" t="b">
        <v>1</v>
      </c>
      <c r="D6" t="b">
        <v>1</v>
      </c>
      <c r="E6" t="b">
        <v>1</v>
      </c>
      <c r="F6" t="b">
        <v>0</v>
      </c>
      <c r="G6" t="b">
        <v>0</v>
      </c>
      <c r="H6" t="b">
        <v>1</v>
      </c>
      <c r="I6" t="b">
        <v>1</v>
      </c>
      <c r="J6" t="b">
        <v>0</v>
      </c>
      <c r="K6" t="b">
        <v>0</v>
      </c>
      <c r="L6" t="b">
        <v>1</v>
      </c>
      <c r="M6" t="b">
        <v>1</v>
      </c>
    </row>
    <row r="7" spans="1:13">
      <c r="A7">
        <f t="shared" si="0"/>
        <v>4</v>
      </c>
      <c r="B7" t="s">
        <v>9</v>
      </c>
      <c r="C7" t="b">
        <v>1</v>
      </c>
      <c r="D7" t="b">
        <v>1</v>
      </c>
      <c r="E7" t="b">
        <v>1</v>
      </c>
      <c r="F7" t="b">
        <v>0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b">
        <v>1</v>
      </c>
      <c r="M7" t="b">
        <v>1</v>
      </c>
    </row>
    <row r="8" spans="1:13">
      <c r="A8">
        <f t="shared" si="0"/>
        <v>5</v>
      </c>
      <c r="B8" t="s">
        <v>11</v>
      </c>
      <c r="C8" t="b">
        <v>1</v>
      </c>
      <c r="D8" t="b">
        <v>1</v>
      </c>
      <c r="E8" t="b">
        <v>1</v>
      </c>
      <c r="F8" t="b">
        <v>0</v>
      </c>
      <c r="G8" t="b">
        <v>0</v>
      </c>
      <c r="H8" t="b">
        <v>1</v>
      </c>
      <c r="I8" t="b">
        <v>1</v>
      </c>
      <c r="J8" t="b">
        <v>0</v>
      </c>
      <c r="K8" t="b">
        <v>0</v>
      </c>
      <c r="L8" t="b">
        <v>1</v>
      </c>
      <c r="M8" t="b">
        <v>1</v>
      </c>
    </row>
    <row r="9" spans="1:13">
      <c r="A9">
        <f t="shared" si="0"/>
        <v>6</v>
      </c>
      <c r="B9" t="s">
        <v>6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</row>
    <row r="10" spans="1:13">
      <c r="A10">
        <f t="shared" si="0"/>
        <v>7</v>
      </c>
      <c r="B10" t="s">
        <v>10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  <c r="L10" t="b">
        <v>0</v>
      </c>
      <c r="M10" t="b">
        <v>1</v>
      </c>
    </row>
    <row r="11" spans="1:13">
      <c r="A11">
        <f t="shared" si="0"/>
        <v>8</v>
      </c>
      <c r="B11" t="s">
        <v>12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</row>
    <row r="12" spans="1:13">
      <c r="A12">
        <f t="shared" si="0"/>
        <v>9</v>
      </c>
      <c r="B12" t="s">
        <v>13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</row>
    <row r="13" spans="1:13">
      <c r="A13">
        <f t="shared" si="0"/>
        <v>10</v>
      </c>
      <c r="B13" t="s">
        <v>14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Recalcule">
                <anchor moveWithCells="1" sizeWithCells="1">
                  <from>
                    <xdr:col>4</xdr:col>
                    <xdr:colOff>609600</xdr:colOff>
                    <xdr:row>18</xdr:row>
                    <xdr:rowOff>38100</xdr:rowOff>
                  </from>
                  <to>
                    <xdr:col>6</xdr:col>
                    <xdr:colOff>739140</xdr:colOff>
                    <xdr:row>21</xdr:row>
                    <xdr:rowOff>137160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C2BC-8D90-42DB-A81A-6E5CF4C471F6}">
  <sheetPr codeName="Planilha1"/>
  <dimension ref="A1:E17"/>
  <sheetViews>
    <sheetView workbookViewId="0">
      <pane ySplit="3" topLeftCell="A4" activePane="bottomLeft" state="frozen"/>
      <selection pane="bottomLeft" activeCell="A3" sqref="A3"/>
    </sheetView>
  </sheetViews>
  <sheetFormatPr defaultColWidth="9.109375" defaultRowHeight="14.4"/>
  <cols>
    <col min="1" max="1" width="6.21875" bestFit="1" customWidth="1"/>
    <col min="2" max="2" width="9.33203125" style="6" bestFit="1" customWidth="1"/>
    <col min="3" max="3" width="14" bestFit="1" customWidth="1"/>
    <col min="4" max="4" width="7.88671875" bestFit="1" customWidth="1"/>
    <col min="5" max="5" width="11.77734375" bestFit="1" customWidth="1"/>
  </cols>
  <sheetData>
    <row r="1" spans="1:5" s="1" customFormat="1">
      <c r="A1" s="1" t="s">
        <v>535</v>
      </c>
      <c r="B1" s="1" t="s">
        <v>413</v>
      </c>
      <c r="C1" s="1" t="s">
        <v>63</v>
      </c>
      <c r="D1" s="1" t="s">
        <v>414</v>
      </c>
      <c r="E1" s="1" t="s">
        <v>642</v>
      </c>
    </row>
    <row r="2" spans="1:5" s="1" customFormat="1">
      <c r="A2" s="1">
        <v>58</v>
      </c>
      <c r="B2" s="1">
        <v>15</v>
      </c>
      <c r="C2" s="1">
        <v>10</v>
      </c>
      <c r="D2" s="1">
        <v>5</v>
      </c>
      <c r="E2" s="1">
        <v>5</v>
      </c>
    </row>
    <row r="3" spans="1:5" s="1" customFormat="1">
      <c r="A3" s="1" t="str" cm="1">
        <f t="array" ref="A3">GetValue("Dmn","Name",A2)</f>
        <v>TinyId</v>
      </c>
      <c r="B3" s="1" t="str" cm="1">
        <f t="array" ref="B3">GetValue("Dmn","Name",B2)</f>
        <v>NCHAR(1)</v>
      </c>
      <c r="C3" s="1" t="str" cm="1">
        <f t="array" ref="C3">GetValue("Dmn","Name",C2)</f>
        <v>NVARCHAR(20)</v>
      </c>
      <c r="D3" s="1" t="str" cm="1">
        <f t="array" ref="D3">GetValue("Dmn","Name",D2)</f>
        <v>Boolean</v>
      </c>
      <c r="E3" s="1" t="str" cm="1">
        <f t="array" ref="E3">GetValue("Dmn","Name",E2)</f>
        <v>Boolean</v>
      </c>
    </row>
    <row r="4" spans="1:5">
      <c r="A4">
        <f>ROW(A4)-3</f>
        <v>1</v>
      </c>
      <c r="B4" s="6" t="s">
        <v>280</v>
      </c>
      <c r="C4" t="s">
        <v>550</v>
      </c>
      <c r="D4">
        <v>2</v>
      </c>
      <c r="E4" t="b">
        <v>1</v>
      </c>
    </row>
    <row r="5" spans="1:5">
      <c r="A5">
        <f t="shared" ref="A5:A17" si="0">ROW(A5)-3</f>
        <v>2</v>
      </c>
      <c r="B5" s="6" t="s">
        <v>415</v>
      </c>
      <c r="C5" t="s">
        <v>562</v>
      </c>
      <c r="D5">
        <v>2</v>
      </c>
      <c r="E5" t="b">
        <v>1</v>
      </c>
    </row>
    <row r="6" spans="1:5">
      <c r="A6">
        <f t="shared" si="0"/>
        <v>3</v>
      </c>
      <c r="B6" s="6" t="s">
        <v>347</v>
      </c>
      <c r="C6" t="s">
        <v>551</v>
      </c>
      <c r="D6">
        <v>2</v>
      </c>
      <c r="E6" t="b">
        <v>0</v>
      </c>
    </row>
    <row r="7" spans="1:5">
      <c r="A7">
        <f t="shared" si="0"/>
        <v>4</v>
      </c>
      <c r="B7" s="6" t="s">
        <v>416</v>
      </c>
      <c r="C7" t="s">
        <v>552</v>
      </c>
      <c r="D7">
        <v>2</v>
      </c>
      <c r="E7" t="b">
        <v>0</v>
      </c>
    </row>
    <row r="8" spans="1:5">
      <c r="A8">
        <f t="shared" si="0"/>
        <v>5</v>
      </c>
      <c r="B8" s="6" t="s">
        <v>417</v>
      </c>
      <c r="C8" t="s">
        <v>563</v>
      </c>
      <c r="D8">
        <v>2</v>
      </c>
      <c r="E8" t="b">
        <v>1</v>
      </c>
    </row>
    <row r="9" spans="1:5">
      <c r="A9">
        <f t="shared" si="0"/>
        <v>6</v>
      </c>
      <c r="B9" s="6" t="s">
        <v>281</v>
      </c>
      <c r="C9" t="s">
        <v>553</v>
      </c>
      <c r="D9">
        <v>2</v>
      </c>
      <c r="E9" t="b">
        <v>1</v>
      </c>
    </row>
    <row r="10" spans="1:5">
      <c r="A10">
        <f t="shared" si="0"/>
        <v>7</v>
      </c>
      <c r="B10" s="6" t="s">
        <v>418</v>
      </c>
      <c r="C10" t="s">
        <v>554</v>
      </c>
      <c r="E10" t="b">
        <v>0</v>
      </c>
    </row>
    <row r="11" spans="1:5">
      <c r="A11">
        <f t="shared" si="0"/>
        <v>8</v>
      </c>
      <c r="B11" s="6" t="s">
        <v>419</v>
      </c>
      <c r="C11" t="s">
        <v>555</v>
      </c>
      <c r="E11" t="b">
        <v>0</v>
      </c>
    </row>
    <row r="12" spans="1:5">
      <c r="A12">
        <f t="shared" si="0"/>
        <v>9</v>
      </c>
      <c r="B12" s="6" t="s">
        <v>420</v>
      </c>
      <c r="C12" t="s">
        <v>556</v>
      </c>
      <c r="D12">
        <v>2</v>
      </c>
      <c r="E12" t="b">
        <v>0</v>
      </c>
    </row>
    <row r="13" spans="1:5">
      <c r="A13">
        <f t="shared" si="0"/>
        <v>10</v>
      </c>
      <c r="B13" s="6" t="s">
        <v>421</v>
      </c>
      <c r="C13" t="s">
        <v>557</v>
      </c>
      <c r="D13">
        <v>2</v>
      </c>
      <c r="E13" t="b">
        <v>0</v>
      </c>
    </row>
    <row r="14" spans="1:5">
      <c r="A14">
        <f t="shared" si="0"/>
        <v>11</v>
      </c>
      <c r="B14" s="6" t="s">
        <v>422</v>
      </c>
      <c r="C14" t="s">
        <v>558</v>
      </c>
      <c r="D14">
        <v>3</v>
      </c>
      <c r="E14" t="b">
        <v>1</v>
      </c>
    </row>
    <row r="15" spans="1:5">
      <c r="A15">
        <f t="shared" si="0"/>
        <v>12</v>
      </c>
      <c r="B15" s="6" t="s">
        <v>423</v>
      </c>
      <c r="C15" t="s">
        <v>559</v>
      </c>
      <c r="D15">
        <v>3</v>
      </c>
      <c r="E15" t="b">
        <v>1</v>
      </c>
    </row>
    <row r="16" spans="1:5">
      <c r="A16">
        <f t="shared" si="0"/>
        <v>13</v>
      </c>
      <c r="B16" s="6" t="s">
        <v>424</v>
      </c>
      <c r="C16" t="s">
        <v>560</v>
      </c>
      <c r="D16">
        <v>1</v>
      </c>
      <c r="E16" t="b">
        <v>0</v>
      </c>
    </row>
    <row r="17" spans="1:5">
      <c r="A17">
        <f t="shared" si="0"/>
        <v>14</v>
      </c>
      <c r="B17" s="6" t="s">
        <v>425</v>
      </c>
      <c r="C17" t="s">
        <v>561</v>
      </c>
      <c r="D17">
        <v>1</v>
      </c>
      <c r="E17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4F83-C16E-49A0-9BFC-C5FEA1E820A5}">
  <sheetPr codeName="Planilha8"/>
  <dimension ref="A1:XFD71"/>
  <sheetViews>
    <sheetView workbookViewId="0">
      <pane ySplit="3" topLeftCell="A4" activePane="bottomLeft" state="frozen"/>
      <selection pane="bottomLeft" activeCell="C3" sqref="C3"/>
    </sheetView>
  </sheetViews>
  <sheetFormatPr defaultColWidth="10.44140625" defaultRowHeight="14.4"/>
  <cols>
    <col min="1" max="1" width="6.21875" bestFit="1" customWidth="1"/>
    <col min="2" max="2" width="10.21875" bestFit="1" customWidth="1"/>
    <col min="3" max="3" width="14.6640625" bestFit="1" customWidth="1"/>
    <col min="4" max="4" width="12.77734375" bestFit="1" customWidth="1"/>
    <col min="5" max="5" width="18.6640625" style="6" bestFit="1" customWidth="1"/>
    <col min="6" max="6" width="21.88671875" bestFit="1" customWidth="1"/>
  </cols>
  <sheetData>
    <row r="1" spans="1:16384" s="1" customFormat="1">
      <c r="A1" s="1" t="s">
        <v>535</v>
      </c>
      <c r="B1" s="1" t="s">
        <v>15</v>
      </c>
      <c r="C1" s="1" t="s">
        <v>104</v>
      </c>
      <c r="D1" s="1" t="s">
        <v>429</v>
      </c>
      <c r="E1" s="1" t="s">
        <v>512</v>
      </c>
      <c r="F1" s="1" t="s">
        <v>461</v>
      </c>
    </row>
    <row r="2" spans="1:16384" s="1" customFormat="1">
      <c r="A2" s="1">
        <v>58</v>
      </c>
      <c r="B2" s="1">
        <v>58</v>
      </c>
      <c r="C2" s="1" cm="1">
        <f t="array" ref="C2">GetDomainId("Cat","Name")</f>
        <v>9</v>
      </c>
      <c r="D2" s="1">
        <v>58</v>
      </c>
      <c r="E2" s="1" cm="1">
        <f t="array" ref="E2">GetDomainId("Cmp","Symbol")</f>
        <v>15</v>
      </c>
      <c r="F2" s="1" cm="1">
        <f t="array" ref="F2">GetDomainId("Cmp","Description")</f>
        <v>10</v>
      </c>
    </row>
    <row r="3" spans="1:16384" s="1" customFormat="1">
      <c r="A3" s="1" t="str" cm="1">
        <f t="array" ref="A3">GetValue("Dmn","Name",A2)</f>
        <v>TinyId</v>
      </c>
      <c r="B3" s="1" t="str" cm="1">
        <f t="array" ref="B3">GetValue("Dmn","Name",B2)</f>
        <v>TinyId</v>
      </c>
      <c r="C3" s="1" t="str" cm="1">
        <f t="array" ref="C3">GetValue("Dmn","Name",C2)</f>
        <v>NVARCHAR(15)</v>
      </c>
      <c r="D3" s="1" t="str" cm="1">
        <f t="array" ref="D3">GetValue("Dmn","Name",D2)</f>
        <v>TinyId</v>
      </c>
      <c r="E3" s="1" t="str" cm="1">
        <f t="array" ref="E3">GetValue("Dmn","Name",E2)</f>
        <v>NCHAR(1)</v>
      </c>
      <c r="F3" s="1" t="str" cm="1">
        <f t="array" ref="F3">GetValue("Dmn","Name",F2)</f>
        <v>NVARCHAR(20)</v>
      </c>
      <c r="G3" s="1" t="str" cm="1">
        <f t="array" ref="G3">GetValue("Dmn","Name",G2)</f>
        <v/>
      </c>
      <c r="H3" s="1" t="str" cm="1">
        <f t="array" ref="H3">GetValue("Dmn","Name",H2)</f>
        <v/>
      </c>
      <c r="I3" s="1" t="str" cm="1">
        <f t="array" ref="I3">GetValue("Dmn","Name",I2)</f>
        <v/>
      </c>
      <c r="J3" s="1" t="str" cm="1">
        <f t="array" ref="J3">GetValue("Dmn","Name",J2)</f>
        <v/>
      </c>
      <c r="K3" s="1" t="str" cm="1">
        <f t="array" ref="K3">GetValue("Dmn","Name",K2)</f>
        <v/>
      </c>
      <c r="L3" s="1" t="str" cm="1">
        <f t="array" ref="L3">GetValue("Dmn","Name",L2)</f>
        <v/>
      </c>
      <c r="M3" s="1" t="str" cm="1">
        <f t="array" ref="M3">GetValue("Dmn","Name",M2)</f>
        <v/>
      </c>
      <c r="N3" s="1" t="str" cm="1">
        <f t="array" ref="N3">GetValue("Dmn","Name",N2)</f>
        <v/>
      </c>
      <c r="O3" s="1" t="str" cm="1">
        <f t="array" ref="O3">GetValue("Dmn","Name",O2)</f>
        <v/>
      </c>
      <c r="P3" s="1" t="str" cm="1">
        <f t="array" ref="P3">GetValue("Dmn","Name",P2)</f>
        <v/>
      </c>
      <c r="Q3" s="1" t="str" cm="1">
        <f t="array" ref="Q3">GetValue("Dmn","Name",Q2)</f>
        <v/>
      </c>
      <c r="R3" s="1" t="str" cm="1">
        <f t="array" ref="R3">GetValue("Dmn","Name",R2)</f>
        <v/>
      </c>
      <c r="S3" s="1" t="str" cm="1">
        <f t="array" ref="S3">GetValue("Dmn","Name",S2)</f>
        <v/>
      </c>
      <c r="T3" s="1" t="str" cm="1">
        <f t="array" ref="T3">GetValue("Dmn","Name",T2)</f>
        <v/>
      </c>
      <c r="U3" s="1" t="str" cm="1">
        <f t="array" ref="U3">GetValue("Dmn","Name",U2)</f>
        <v/>
      </c>
      <c r="V3" s="1" t="str" cm="1">
        <f t="array" ref="V3">GetValue("Dmn","Name",V2)</f>
        <v/>
      </c>
      <c r="W3" s="1" t="str" cm="1">
        <f t="array" ref="W3">GetValue("Dmn","Name",W2)</f>
        <v/>
      </c>
      <c r="X3" s="1" t="str" cm="1">
        <f t="array" ref="X3">GetValue("Dmn","Name",X2)</f>
        <v/>
      </c>
      <c r="Y3" s="1" t="str" cm="1">
        <f t="array" ref="Y3">GetValue("Dmn","Name",Y2)</f>
        <v/>
      </c>
      <c r="Z3" s="1" t="str" cm="1">
        <f t="array" ref="Z3">GetValue("Dmn","Name",Z2)</f>
        <v/>
      </c>
      <c r="AA3" s="1" t="str" cm="1">
        <f t="array" ref="AA3">GetValue("Dmn","Name",AA2)</f>
        <v/>
      </c>
      <c r="AB3" s="1" t="str" cm="1">
        <f t="array" ref="AB3">GetValue("Dmn","Name",AB2)</f>
        <v/>
      </c>
      <c r="AC3" s="1" t="str" cm="1">
        <f t="array" ref="AC3">GetValue("Dmn","Name",AC2)</f>
        <v/>
      </c>
      <c r="AD3" s="1" t="str" cm="1">
        <f t="array" ref="AD3">GetValue("Dmn","Name",AD2)</f>
        <v/>
      </c>
      <c r="AE3" s="1" t="str" cm="1">
        <f t="array" ref="AE3">GetValue("Dmn","Name",AE2)</f>
        <v/>
      </c>
      <c r="AF3" s="1" t="str" cm="1">
        <f t="array" ref="AF3">GetValue("Dmn","Name",AF2)</f>
        <v/>
      </c>
      <c r="AG3" s="1" t="str" cm="1">
        <f t="array" ref="AG3">GetValue("Dmn","Name",AG2)</f>
        <v/>
      </c>
      <c r="AH3" s="1" t="str" cm="1">
        <f t="array" ref="AH3">GetValue("Dmn","Name",AH2)</f>
        <v/>
      </c>
      <c r="AI3" s="1" t="str" cm="1">
        <f t="array" ref="AI3">GetValue("Dmn","Name",AI2)</f>
        <v/>
      </c>
      <c r="AJ3" s="1" t="str" cm="1">
        <f t="array" ref="AJ3">GetValue("Dmn","Name",AJ2)</f>
        <v/>
      </c>
      <c r="AK3" s="1" t="str" cm="1">
        <f t="array" ref="AK3">GetValue("Dmn","Name",AK2)</f>
        <v/>
      </c>
      <c r="AL3" s="1" t="str" cm="1">
        <f t="array" ref="AL3">GetValue("Dmn","Name",AL2)</f>
        <v/>
      </c>
      <c r="AM3" s="1" t="str" cm="1">
        <f t="array" ref="AM3">GetValue("Dmn","Name",AM2)</f>
        <v/>
      </c>
      <c r="AN3" s="1" t="str" cm="1">
        <f t="array" ref="AN3">GetValue("Dmn","Name",AN2)</f>
        <v/>
      </c>
      <c r="AO3" s="1" t="str" cm="1">
        <f t="array" ref="AO3">GetValue("Dmn","Name",AO2)</f>
        <v/>
      </c>
      <c r="AP3" s="1" t="str" cm="1">
        <f t="array" ref="AP3">GetValue("Dmn","Name",AP2)</f>
        <v/>
      </c>
      <c r="AQ3" s="1" t="str" cm="1">
        <f t="array" ref="AQ3">GetValue("Dmn","Name",AQ2)</f>
        <v/>
      </c>
      <c r="AR3" s="1" t="str" cm="1">
        <f t="array" ref="AR3">GetValue("Dmn","Name",AR2)</f>
        <v/>
      </c>
      <c r="AS3" s="1" t="str" cm="1">
        <f t="array" ref="AS3">GetValue("Dmn","Name",AS2)</f>
        <v/>
      </c>
      <c r="AT3" s="1" t="str" cm="1">
        <f t="array" ref="AT3">GetValue("Dmn","Name",AT2)</f>
        <v/>
      </c>
      <c r="AU3" s="1" t="str" cm="1">
        <f t="array" ref="AU3">GetValue("Dmn","Name",AU2)</f>
        <v/>
      </c>
      <c r="AV3" s="1" t="str" cm="1">
        <f t="array" ref="AV3">GetValue("Dmn","Name",AV2)</f>
        <v/>
      </c>
      <c r="AW3" s="1" t="str" cm="1">
        <f t="array" ref="AW3">GetValue("Dmn","Name",AW2)</f>
        <v/>
      </c>
      <c r="AX3" s="1" t="str" cm="1">
        <f t="array" ref="AX3">GetValue("Dmn","Name",AX2)</f>
        <v/>
      </c>
      <c r="AY3" s="1" t="str" cm="1">
        <f t="array" ref="AY3">GetValue("Dmn","Name",AY2)</f>
        <v/>
      </c>
      <c r="AZ3" s="1" t="str" cm="1">
        <f t="array" ref="AZ3">GetValue("Dmn","Name",AZ2)</f>
        <v/>
      </c>
      <c r="BA3" s="1" t="str" cm="1">
        <f t="array" ref="BA3">GetValue("Dmn","Name",BA2)</f>
        <v/>
      </c>
      <c r="BB3" s="1" t="str" cm="1">
        <f t="array" ref="BB3">GetValue("Dmn","Name",BB2)</f>
        <v/>
      </c>
      <c r="BC3" s="1" t="str" cm="1">
        <f t="array" ref="BC3">GetValue("Dmn","Name",BC2)</f>
        <v/>
      </c>
      <c r="BD3" s="1" t="str" cm="1">
        <f t="array" ref="BD3">GetValue("Dmn","Name",BD2)</f>
        <v/>
      </c>
      <c r="BE3" s="1" t="str" cm="1">
        <f t="array" ref="BE3">GetValue("Dmn","Name",BE2)</f>
        <v/>
      </c>
      <c r="BF3" s="1" t="str" cm="1">
        <f t="array" ref="BF3">GetValue("Dmn","Name",BF2)</f>
        <v/>
      </c>
      <c r="BG3" s="1" t="str" cm="1">
        <f t="array" ref="BG3">GetValue("Dmn","Name",BG2)</f>
        <v/>
      </c>
      <c r="BH3" s="1" t="str" cm="1">
        <f t="array" ref="BH3">GetValue("Dmn","Name",BH2)</f>
        <v/>
      </c>
      <c r="BI3" s="1" t="str" cm="1">
        <f t="array" ref="BI3">GetValue("Dmn","Name",BI2)</f>
        <v/>
      </c>
      <c r="BJ3" s="1" t="str" cm="1">
        <f t="array" ref="BJ3">GetValue("Dmn","Name",BJ2)</f>
        <v/>
      </c>
      <c r="BK3" s="1" t="str" cm="1">
        <f t="array" ref="BK3">GetValue("Dmn","Name",BK2)</f>
        <v/>
      </c>
      <c r="BL3" s="1" t="str" cm="1">
        <f t="array" ref="BL3">GetValue("Dmn","Name",BL2)</f>
        <v/>
      </c>
      <c r="BM3" s="1" t="str" cm="1">
        <f t="array" ref="BM3">GetValue("Dmn","Name",BM2)</f>
        <v/>
      </c>
      <c r="BN3" s="1" t="str" cm="1">
        <f t="array" ref="BN3">GetValue("Dmn","Name",BN2)</f>
        <v/>
      </c>
      <c r="BO3" s="1" t="str" cm="1">
        <f t="array" ref="BO3">GetValue("Dmn","Name",BO2)</f>
        <v/>
      </c>
      <c r="BP3" s="1" t="str" cm="1">
        <f t="array" ref="BP3">GetValue("Dmn","Name",BP2)</f>
        <v/>
      </c>
      <c r="BQ3" s="1" t="str" cm="1">
        <f t="array" ref="BQ3">GetValue("Dmn","Name",BQ2)</f>
        <v/>
      </c>
      <c r="BR3" s="1" t="str" cm="1">
        <f t="array" ref="BR3">GetValue("Dmn","Name",BR2)</f>
        <v/>
      </c>
      <c r="BS3" s="1" t="str" cm="1">
        <f t="array" ref="BS3">GetValue("Dmn","Name",BS2)</f>
        <v/>
      </c>
      <c r="BT3" s="1" t="str" cm="1">
        <f t="array" ref="BT3">GetValue("Dmn","Name",BT2)</f>
        <v/>
      </c>
      <c r="BU3" s="1" t="str" cm="1">
        <f t="array" ref="BU3">GetValue("Dmn","Name",BU2)</f>
        <v/>
      </c>
      <c r="BV3" s="1" t="str" cm="1">
        <f t="array" ref="BV3">GetValue("Dmn","Name",BV2)</f>
        <v/>
      </c>
      <c r="BW3" s="1" t="str" cm="1">
        <f t="array" ref="BW3">GetValue("Dmn","Name",BW2)</f>
        <v/>
      </c>
      <c r="BX3" s="1" t="str" cm="1">
        <f t="array" ref="BX3">GetValue("Dmn","Name",BX2)</f>
        <v/>
      </c>
      <c r="BY3" s="1" t="str" cm="1">
        <f t="array" ref="BY3">GetValue("Dmn","Name",BY2)</f>
        <v/>
      </c>
      <c r="BZ3" s="1" t="str" cm="1">
        <f t="array" ref="BZ3">GetValue("Dmn","Name",BZ2)</f>
        <v/>
      </c>
      <c r="CA3" s="1" t="str" cm="1">
        <f t="array" ref="CA3">GetValue("Dmn","Name",CA2)</f>
        <v/>
      </c>
      <c r="CB3" s="1" t="str" cm="1">
        <f t="array" ref="CB3">GetValue("Dmn","Name",CB2)</f>
        <v/>
      </c>
      <c r="CC3" s="1" t="str" cm="1">
        <f t="array" ref="CC3">GetValue("Dmn","Name",CC2)</f>
        <v/>
      </c>
      <c r="CD3" s="1" t="str" cm="1">
        <f t="array" ref="CD3">GetValue("Dmn","Name",CD2)</f>
        <v/>
      </c>
      <c r="CE3" s="1" t="str" cm="1">
        <f t="array" ref="CE3">GetValue("Dmn","Name",CE2)</f>
        <v/>
      </c>
      <c r="CF3" s="1" t="str" cm="1">
        <f t="array" ref="CF3">GetValue("Dmn","Name",CF2)</f>
        <v/>
      </c>
      <c r="CG3" s="1" t="str" cm="1">
        <f t="array" ref="CG3">GetValue("Dmn","Name",CG2)</f>
        <v/>
      </c>
      <c r="CH3" s="1" t="str" cm="1">
        <f t="array" ref="CH3">GetValue("Dmn","Name",CH2)</f>
        <v/>
      </c>
      <c r="CI3" s="1" t="str" cm="1">
        <f t="array" ref="CI3">GetValue("Dmn","Name",CI2)</f>
        <v/>
      </c>
      <c r="CJ3" s="1" t="str" cm="1">
        <f t="array" ref="CJ3">GetValue("Dmn","Name",CJ2)</f>
        <v/>
      </c>
      <c r="CK3" s="1" t="str" cm="1">
        <f t="array" ref="CK3">GetValue("Dmn","Name",CK2)</f>
        <v/>
      </c>
      <c r="CL3" s="1" t="str" cm="1">
        <f t="array" ref="CL3">GetValue("Dmn","Name",CL2)</f>
        <v/>
      </c>
      <c r="CM3" s="1" t="str" cm="1">
        <f t="array" ref="CM3">GetValue("Dmn","Name",CM2)</f>
        <v/>
      </c>
      <c r="CN3" s="1" t="str" cm="1">
        <f t="array" ref="CN3">GetValue("Dmn","Name",CN2)</f>
        <v/>
      </c>
      <c r="CO3" s="1" t="str" cm="1">
        <f t="array" ref="CO3">GetValue("Dmn","Name",CO2)</f>
        <v/>
      </c>
      <c r="CP3" s="1" t="str" cm="1">
        <f t="array" ref="CP3">GetValue("Dmn","Name",CP2)</f>
        <v/>
      </c>
      <c r="CQ3" s="1" t="str" cm="1">
        <f t="array" ref="CQ3">GetValue("Dmn","Name",CQ2)</f>
        <v/>
      </c>
      <c r="CR3" s="1" t="str" cm="1">
        <f t="array" ref="CR3">GetValue("Dmn","Name",CR2)</f>
        <v/>
      </c>
      <c r="CS3" s="1" t="str" cm="1">
        <f t="array" ref="CS3">GetValue("Dmn","Name",CS2)</f>
        <v/>
      </c>
      <c r="CT3" s="1" t="str" cm="1">
        <f t="array" ref="CT3">GetValue("Dmn","Name",CT2)</f>
        <v/>
      </c>
      <c r="CU3" s="1" t="str" cm="1">
        <f t="array" ref="CU3">GetValue("Dmn","Name",CU2)</f>
        <v/>
      </c>
      <c r="CV3" s="1" t="str" cm="1">
        <f t="array" ref="CV3">GetValue("Dmn","Name",CV2)</f>
        <v/>
      </c>
      <c r="CW3" s="1" t="str" cm="1">
        <f t="array" ref="CW3">GetValue("Dmn","Name",CW2)</f>
        <v/>
      </c>
      <c r="CX3" s="1" t="str" cm="1">
        <f t="array" ref="CX3">GetValue("Dmn","Name",CX2)</f>
        <v/>
      </c>
      <c r="CY3" s="1" t="str" cm="1">
        <f t="array" ref="CY3">GetValue("Dmn","Name",CY2)</f>
        <v/>
      </c>
      <c r="CZ3" s="1" t="str" cm="1">
        <f t="array" ref="CZ3">GetValue("Dmn","Name",CZ2)</f>
        <v/>
      </c>
      <c r="DA3" s="1" t="str" cm="1">
        <f t="array" ref="DA3">GetValue("Dmn","Name",DA2)</f>
        <v/>
      </c>
      <c r="DB3" s="1" t="str" cm="1">
        <f t="array" ref="DB3">GetValue("Dmn","Name",DB2)</f>
        <v/>
      </c>
      <c r="DC3" s="1" t="str" cm="1">
        <f t="array" ref="DC3">GetValue("Dmn","Name",DC2)</f>
        <v/>
      </c>
      <c r="DD3" s="1" t="str" cm="1">
        <f t="array" ref="DD3">GetValue("Dmn","Name",DD2)</f>
        <v/>
      </c>
      <c r="DE3" s="1" t="str" cm="1">
        <f t="array" ref="DE3">GetValue("Dmn","Name",DE2)</f>
        <v/>
      </c>
      <c r="DF3" s="1" t="str" cm="1">
        <f t="array" ref="DF3">GetValue("Dmn","Name",DF2)</f>
        <v/>
      </c>
      <c r="DG3" s="1" t="str" cm="1">
        <f t="array" ref="DG3">GetValue("Dmn","Name",DG2)</f>
        <v/>
      </c>
      <c r="DH3" s="1" t="str" cm="1">
        <f t="array" ref="DH3">GetValue("Dmn","Name",DH2)</f>
        <v/>
      </c>
      <c r="DI3" s="1" t="str" cm="1">
        <f t="array" ref="DI3">GetValue("Dmn","Name",DI2)</f>
        <v/>
      </c>
      <c r="DJ3" s="1" t="str" cm="1">
        <f t="array" ref="DJ3">GetValue("Dmn","Name",DJ2)</f>
        <v/>
      </c>
      <c r="DK3" s="1" t="str" cm="1">
        <f t="array" ref="DK3">GetValue("Dmn","Name",DK2)</f>
        <v/>
      </c>
      <c r="DL3" s="1" t="str" cm="1">
        <f t="array" ref="DL3">GetValue("Dmn","Name",DL2)</f>
        <v/>
      </c>
      <c r="DM3" s="1" t="str" cm="1">
        <f t="array" ref="DM3">GetValue("Dmn","Name",DM2)</f>
        <v/>
      </c>
      <c r="DN3" s="1" t="str" cm="1">
        <f t="array" ref="DN3">GetValue("Dmn","Name",DN2)</f>
        <v/>
      </c>
      <c r="DO3" s="1" t="str" cm="1">
        <f t="array" ref="DO3">GetValue("Dmn","Name",DO2)</f>
        <v/>
      </c>
      <c r="DP3" s="1" t="str" cm="1">
        <f t="array" ref="DP3">GetValue("Dmn","Name",DP2)</f>
        <v/>
      </c>
      <c r="DQ3" s="1" t="str" cm="1">
        <f t="array" ref="DQ3">GetValue("Dmn","Name",DQ2)</f>
        <v/>
      </c>
      <c r="DR3" s="1" t="str" cm="1">
        <f t="array" ref="DR3">GetValue("Dmn","Name",DR2)</f>
        <v/>
      </c>
      <c r="DS3" s="1" t="str" cm="1">
        <f t="array" ref="DS3">GetValue("Dmn","Name",DS2)</f>
        <v/>
      </c>
      <c r="DT3" s="1" t="str" cm="1">
        <f t="array" ref="DT3">GetValue("Dmn","Name",DT2)</f>
        <v/>
      </c>
      <c r="DU3" s="1" t="str" cm="1">
        <f t="array" ref="DU3">GetValue("Dmn","Name",DU2)</f>
        <v/>
      </c>
      <c r="DV3" s="1" t="str" cm="1">
        <f t="array" ref="DV3">GetValue("Dmn","Name",DV2)</f>
        <v/>
      </c>
      <c r="DW3" s="1" t="str" cm="1">
        <f t="array" ref="DW3">GetValue("Dmn","Name",DW2)</f>
        <v/>
      </c>
      <c r="DX3" s="1" t="str" cm="1">
        <f t="array" ref="DX3">GetValue("Dmn","Name",DX2)</f>
        <v/>
      </c>
      <c r="DY3" s="1" t="str" cm="1">
        <f t="array" ref="DY3">GetValue("Dmn","Name",DY2)</f>
        <v/>
      </c>
      <c r="DZ3" s="1" t="str" cm="1">
        <f t="array" ref="DZ3">GetValue("Dmn","Name",DZ2)</f>
        <v/>
      </c>
      <c r="EA3" s="1" t="str" cm="1">
        <f t="array" ref="EA3">GetValue("Dmn","Name",EA2)</f>
        <v/>
      </c>
      <c r="EB3" s="1" t="str" cm="1">
        <f t="array" ref="EB3">GetValue("Dmn","Name",EB2)</f>
        <v/>
      </c>
      <c r="EC3" s="1" t="str" cm="1">
        <f t="array" ref="EC3">GetValue("Dmn","Name",EC2)</f>
        <v/>
      </c>
      <c r="ED3" s="1" t="str" cm="1">
        <f t="array" ref="ED3">GetValue("Dmn","Name",ED2)</f>
        <v/>
      </c>
      <c r="EE3" s="1" t="str" cm="1">
        <f t="array" ref="EE3">GetValue("Dmn","Name",EE2)</f>
        <v/>
      </c>
      <c r="EF3" s="1" t="str" cm="1">
        <f t="array" ref="EF3">GetValue("Dmn","Name",EF2)</f>
        <v/>
      </c>
      <c r="EG3" s="1" t="str" cm="1">
        <f t="array" ref="EG3">GetValue("Dmn","Name",EG2)</f>
        <v/>
      </c>
      <c r="EH3" s="1" t="str" cm="1">
        <f t="array" ref="EH3">GetValue("Dmn","Name",EH2)</f>
        <v/>
      </c>
      <c r="EI3" s="1" t="str" cm="1">
        <f t="array" ref="EI3">GetValue("Dmn","Name",EI2)</f>
        <v/>
      </c>
      <c r="EJ3" s="1" t="str" cm="1">
        <f t="array" ref="EJ3">GetValue("Dmn","Name",EJ2)</f>
        <v/>
      </c>
      <c r="EK3" s="1" t="str" cm="1">
        <f t="array" ref="EK3">GetValue("Dmn","Name",EK2)</f>
        <v/>
      </c>
      <c r="EL3" s="1" t="str" cm="1">
        <f t="array" ref="EL3">GetValue("Dmn","Name",EL2)</f>
        <v/>
      </c>
      <c r="EM3" s="1" t="str" cm="1">
        <f t="array" ref="EM3">GetValue("Dmn","Name",EM2)</f>
        <v/>
      </c>
      <c r="EN3" s="1" t="str" cm="1">
        <f t="array" ref="EN3">GetValue("Dmn","Name",EN2)</f>
        <v/>
      </c>
      <c r="EO3" s="1" t="str" cm="1">
        <f t="array" ref="EO3">GetValue("Dmn","Name",EO2)</f>
        <v/>
      </c>
      <c r="EP3" s="1" t="str" cm="1">
        <f t="array" ref="EP3">GetValue("Dmn","Name",EP2)</f>
        <v/>
      </c>
      <c r="EQ3" s="1" t="str" cm="1">
        <f t="array" ref="EQ3">GetValue("Dmn","Name",EQ2)</f>
        <v/>
      </c>
      <c r="ER3" s="1" t="str" cm="1">
        <f t="array" ref="ER3">GetValue("Dmn","Name",ER2)</f>
        <v/>
      </c>
      <c r="ES3" s="1" t="str" cm="1">
        <f t="array" ref="ES3">GetValue("Dmn","Name",ES2)</f>
        <v/>
      </c>
      <c r="ET3" s="1" t="str" cm="1">
        <f t="array" ref="ET3">GetValue("Dmn","Name",ET2)</f>
        <v/>
      </c>
      <c r="EU3" s="1" t="str" cm="1">
        <f t="array" ref="EU3">GetValue("Dmn","Name",EU2)</f>
        <v/>
      </c>
      <c r="EV3" s="1" t="str" cm="1">
        <f t="array" ref="EV3">GetValue("Dmn","Name",EV2)</f>
        <v/>
      </c>
      <c r="EW3" s="1" t="str" cm="1">
        <f t="array" ref="EW3">GetValue("Dmn","Name",EW2)</f>
        <v/>
      </c>
      <c r="EX3" s="1" t="str" cm="1">
        <f t="array" ref="EX3">GetValue("Dmn","Name",EX2)</f>
        <v/>
      </c>
      <c r="EY3" s="1" t="str" cm="1">
        <f t="array" ref="EY3">GetValue("Dmn","Name",EY2)</f>
        <v/>
      </c>
      <c r="EZ3" s="1" t="str" cm="1">
        <f t="array" ref="EZ3">GetValue("Dmn","Name",EZ2)</f>
        <v/>
      </c>
      <c r="FA3" s="1" t="str" cm="1">
        <f t="array" ref="FA3">GetValue("Dmn","Name",FA2)</f>
        <v/>
      </c>
      <c r="FB3" s="1" t="str" cm="1">
        <f t="array" ref="FB3">GetValue("Dmn","Name",FB2)</f>
        <v/>
      </c>
      <c r="FC3" s="1" t="str" cm="1">
        <f t="array" ref="FC3">GetValue("Dmn","Name",FC2)</f>
        <v/>
      </c>
      <c r="FD3" s="1" t="str" cm="1">
        <f t="array" ref="FD3">GetValue("Dmn","Name",FD2)</f>
        <v/>
      </c>
      <c r="FE3" s="1" t="str" cm="1">
        <f t="array" ref="FE3">GetValue("Dmn","Name",FE2)</f>
        <v/>
      </c>
      <c r="FF3" s="1" t="str" cm="1">
        <f t="array" ref="FF3">GetValue("Dmn","Name",FF2)</f>
        <v/>
      </c>
      <c r="FG3" s="1" t="str" cm="1">
        <f t="array" ref="FG3">GetValue("Dmn","Name",FG2)</f>
        <v/>
      </c>
      <c r="FH3" s="1" t="str" cm="1">
        <f t="array" ref="FH3">GetValue("Dmn","Name",FH2)</f>
        <v/>
      </c>
      <c r="FI3" s="1" t="str" cm="1">
        <f t="array" ref="FI3">GetValue("Dmn","Name",FI2)</f>
        <v/>
      </c>
      <c r="FJ3" s="1" t="str" cm="1">
        <f t="array" ref="FJ3">GetValue("Dmn","Name",FJ2)</f>
        <v/>
      </c>
      <c r="FK3" s="1" t="str" cm="1">
        <f t="array" ref="FK3">GetValue("Dmn","Name",FK2)</f>
        <v/>
      </c>
      <c r="FL3" s="1" t="str" cm="1">
        <f t="array" ref="FL3">GetValue("Dmn","Name",FL2)</f>
        <v/>
      </c>
      <c r="FM3" s="1" t="str" cm="1">
        <f t="array" ref="FM3">GetValue("Dmn","Name",FM2)</f>
        <v/>
      </c>
      <c r="FN3" s="1" t="str" cm="1">
        <f t="array" ref="FN3">GetValue("Dmn","Name",FN2)</f>
        <v/>
      </c>
      <c r="FO3" s="1" t="str" cm="1">
        <f t="array" ref="FO3">GetValue("Dmn","Name",FO2)</f>
        <v/>
      </c>
      <c r="FP3" s="1" t="str" cm="1">
        <f t="array" ref="FP3">GetValue("Dmn","Name",FP2)</f>
        <v/>
      </c>
      <c r="FQ3" s="1" t="str" cm="1">
        <f t="array" ref="FQ3">GetValue("Dmn","Name",FQ2)</f>
        <v/>
      </c>
      <c r="FR3" s="1" t="str" cm="1">
        <f t="array" ref="FR3">GetValue("Dmn","Name",FR2)</f>
        <v/>
      </c>
      <c r="FS3" s="1" t="str" cm="1">
        <f t="array" ref="FS3">GetValue("Dmn","Name",FS2)</f>
        <v/>
      </c>
      <c r="FT3" s="1" t="str" cm="1">
        <f t="array" ref="FT3">GetValue("Dmn","Name",FT2)</f>
        <v/>
      </c>
      <c r="FU3" s="1" t="str" cm="1">
        <f t="array" ref="FU3">GetValue("Dmn","Name",FU2)</f>
        <v/>
      </c>
      <c r="FV3" s="1" t="str" cm="1">
        <f t="array" ref="FV3">GetValue("Dmn","Name",FV2)</f>
        <v/>
      </c>
      <c r="FW3" s="1" t="str" cm="1">
        <f t="array" ref="FW3">GetValue("Dmn","Name",FW2)</f>
        <v/>
      </c>
      <c r="FX3" s="1" t="str" cm="1">
        <f t="array" ref="FX3">GetValue("Dmn","Name",FX2)</f>
        <v/>
      </c>
      <c r="FY3" s="1" t="str" cm="1">
        <f t="array" ref="FY3">GetValue("Dmn","Name",FY2)</f>
        <v/>
      </c>
      <c r="FZ3" s="1" t="str" cm="1">
        <f t="array" ref="FZ3">GetValue("Dmn","Name",FZ2)</f>
        <v/>
      </c>
      <c r="GA3" s="1" t="str" cm="1">
        <f t="array" ref="GA3">GetValue("Dmn","Name",GA2)</f>
        <v/>
      </c>
      <c r="GB3" s="1" t="str" cm="1">
        <f t="array" ref="GB3">GetValue("Dmn","Name",GB2)</f>
        <v/>
      </c>
      <c r="GC3" s="1" t="str" cm="1">
        <f t="array" ref="GC3">GetValue("Dmn","Name",GC2)</f>
        <v/>
      </c>
      <c r="GD3" s="1" t="str" cm="1">
        <f t="array" ref="GD3">GetValue("Dmn","Name",GD2)</f>
        <v/>
      </c>
      <c r="GE3" s="1" t="str" cm="1">
        <f t="array" ref="GE3">GetValue("Dmn","Name",GE2)</f>
        <v/>
      </c>
      <c r="GF3" s="1" t="str" cm="1">
        <f t="array" ref="GF3">GetValue("Dmn","Name",GF2)</f>
        <v/>
      </c>
      <c r="GG3" s="1" t="str" cm="1">
        <f t="array" ref="GG3">GetValue("Dmn","Name",GG2)</f>
        <v/>
      </c>
      <c r="GH3" s="1" t="str" cm="1">
        <f t="array" ref="GH3">GetValue("Dmn","Name",GH2)</f>
        <v/>
      </c>
      <c r="GI3" s="1" t="str" cm="1">
        <f t="array" ref="GI3">GetValue("Dmn","Name",GI2)</f>
        <v/>
      </c>
      <c r="GJ3" s="1" t="str" cm="1">
        <f t="array" ref="GJ3">GetValue("Dmn","Name",GJ2)</f>
        <v/>
      </c>
      <c r="GK3" s="1" t="str" cm="1">
        <f t="array" ref="GK3">GetValue("Dmn","Name",GK2)</f>
        <v/>
      </c>
      <c r="GL3" s="1" t="str" cm="1">
        <f t="array" ref="GL3">GetValue("Dmn","Name",GL2)</f>
        <v/>
      </c>
      <c r="GM3" s="1" t="str" cm="1">
        <f t="array" ref="GM3">GetValue("Dmn","Name",GM2)</f>
        <v/>
      </c>
      <c r="GN3" s="1" t="str" cm="1">
        <f t="array" ref="GN3">GetValue("Dmn","Name",GN2)</f>
        <v/>
      </c>
      <c r="GO3" s="1" t="str" cm="1">
        <f t="array" ref="GO3">GetValue("Dmn","Name",GO2)</f>
        <v/>
      </c>
      <c r="GP3" s="1" t="str" cm="1">
        <f t="array" ref="GP3">GetValue("Dmn","Name",GP2)</f>
        <v/>
      </c>
      <c r="GQ3" s="1" t="str" cm="1">
        <f t="array" ref="GQ3">GetValue("Dmn","Name",GQ2)</f>
        <v/>
      </c>
      <c r="GR3" s="1" t="str" cm="1">
        <f t="array" ref="GR3">GetValue("Dmn","Name",GR2)</f>
        <v/>
      </c>
      <c r="GS3" s="1" t="str" cm="1">
        <f t="array" ref="GS3">GetValue("Dmn","Name",GS2)</f>
        <v/>
      </c>
      <c r="GT3" s="1" t="str" cm="1">
        <f t="array" ref="GT3">GetValue("Dmn","Name",GT2)</f>
        <v/>
      </c>
      <c r="GU3" s="1" t="str" cm="1">
        <f t="array" ref="GU3">GetValue("Dmn","Name",GU2)</f>
        <v/>
      </c>
      <c r="GV3" s="1" t="str" cm="1">
        <f t="array" ref="GV3">GetValue("Dmn","Name",GV2)</f>
        <v/>
      </c>
      <c r="GW3" s="1" t="str" cm="1">
        <f t="array" ref="GW3">GetValue("Dmn","Name",GW2)</f>
        <v/>
      </c>
      <c r="GX3" s="1" t="str" cm="1">
        <f t="array" ref="GX3">GetValue("Dmn","Name",GX2)</f>
        <v/>
      </c>
      <c r="GY3" s="1" t="str" cm="1">
        <f t="array" ref="GY3">GetValue("Dmn","Name",GY2)</f>
        <v/>
      </c>
      <c r="GZ3" s="1" t="str" cm="1">
        <f t="array" ref="GZ3">GetValue("Dmn","Name",GZ2)</f>
        <v/>
      </c>
      <c r="HA3" s="1" t="str" cm="1">
        <f t="array" ref="HA3">GetValue("Dmn","Name",HA2)</f>
        <v/>
      </c>
      <c r="HB3" s="1" t="str" cm="1">
        <f t="array" ref="HB3">GetValue("Dmn","Name",HB2)</f>
        <v/>
      </c>
      <c r="HC3" s="1" t="str" cm="1">
        <f t="array" ref="HC3">GetValue("Dmn","Name",HC2)</f>
        <v/>
      </c>
      <c r="HD3" s="1" t="str" cm="1">
        <f t="array" ref="HD3">GetValue("Dmn","Name",HD2)</f>
        <v/>
      </c>
      <c r="HE3" s="1" t="str" cm="1">
        <f t="array" ref="HE3">GetValue("Dmn","Name",HE2)</f>
        <v/>
      </c>
      <c r="HF3" s="1" t="str" cm="1">
        <f t="array" ref="HF3">GetValue("Dmn","Name",HF2)</f>
        <v/>
      </c>
      <c r="HG3" s="1" t="str" cm="1">
        <f t="array" ref="HG3">GetValue("Dmn","Name",HG2)</f>
        <v/>
      </c>
      <c r="HH3" s="1" t="str" cm="1">
        <f t="array" ref="HH3">GetValue("Dmn","Name",HH2)</f>
        <v/>
      </c>
      <c r="HI3" s="1" t="str" cm="1">
        <f t="array" ref="HI3">GetValue("Dmn","Name",HI2)</f>
        <v/>
      </c>
      <c r="HJ3" s="1" t="str" cm="1">
        <f t="array" ref="HJ3">GetValue("Dmn","Name",HJ2)</f>
        <v/>
      </c>
      <c r="HK3" s="1" t="str" cm="1">
        <f t="array" ref="HK3">GetValue("Dmn","Name",HK2)</f>
        <v/>
      </c>
      <c r="HL3" s="1" t="str" cm="1">
        <f t="array" ref="HL3">GetValue("Dmn","Name",HL2)</f>
        <v/>
      </c>
      <c r="HM3" s="1" t="str" cm="1">
        <f t="array" ref="HM3">GetValue("Dmn","Name",HM2)</f>
        <v/>
      </c>
      <c r="HN3" s="1" t="str" cm="1">
        <f t="array" ref="HN3">GetValue("Dmn","Name",HN2)</f>
        <v/>
      </c>
      <c r="HO3" s="1" t="str" cm="1">
        <f t="array" ref="HO3">GetValue("Dmn","Name",HO2)</f>
        <v/>
      </c>
      <c r="HP3" s="1" t="str" cm="1">
        <f t="array" ref="HP3">GetValue("Dmn","Name",HP2)</f>
        <v/>
      </c>
      <c r="HQ3" s="1" t="str" cm="1">
        <f t="array" ref="HQ3">GetValue("Dmn","Name",HQ2)</f>
        <v/>
      </c>
      <c r="HR3" s="1" t="str" cm="1">
        <f t="array" ref="HR3">GetValue("Dmn","Name",HR2)</f>
        <v/>
      </c>
      <c r="HS3" s="1" t="str" cm="1">
        <f t="array" ref="HS3">GetValue("Dmn","Name",HS2)</f>
        <v/>
      </c>
      <c r="HT3" s="1" t="str" cm="1">
        <f t="array" ref="HT3">GetValue("Dmn","Name",HT2)</f>
        <v/>
      </c>
      <c r="HU3" s="1" t="str" cm="1">
        <f t="array" ref="HU3">GetValue("Dmn","Name",HU2)</f>
        <v/>
      </c>
      <c r="HV3" s="1" t="str" cm="1">
        <f t="array" ref="HV3">GetValue("Dmn","Name",HV2)</f>
        <v/>
      </c>
      <c r="HW3" s="1" t="str" cm="1">
        <f t="array" ref="HW3">GetValue("Dmn","Name",HW2)</f>
        <v/>
      </c>
      <c r="HX3" s="1" t="str" cm="1">
        <f t="array" ref="HX3">GetValue("Dmn","Name",HX2)</f>
        <v/>
      </c>
      <c r="HY3" s="1" t="str" cm="1">
        <f t="array" ref="HY3">GetValue("Dmn","Name",HY2)</f>
        <v/>
      </c>
      <c r="HZ3" s="1" t="str" cm="1">
        <f t="array" ref="HZ3">GetValue("Dmn","Name",HZ2)</f>
        <v/>
      </c>
      <c r="IA3" s="1" t="str" cm="1">
        <f t="array" ref="IA3">GetValue("Dmn","Name",IA2)</f>
        <v/>
      </c>
      <c r="IB3" s="1" t="str" cm="1">
        <f t="array" ref="IB3">GetValue("Dmn","Name",IB2)</f>
        <v/>
      </c>
      <c r="IC3" s="1" t="str" cm="1">
        <f t="array" ref="IC3">GetValue("Dmn","Name",IC2)</f>
        <v/>
      </c>
      <c r="ID3" s="1" t="str" cm="1">
        <f t="array" ref="ID3">GetValue("Dmn","Name",ID2)</f>
        <v/>
      </c>
      <c r="IE3" s="1" t="str" cm="1">
        <f t="array" ref="IE3">GetValue("Dmn","Name",IE2)</f>
        <v/>
      </c>
      <c r="IF3" s="1" t="str" cm="1">
        <f t="array" ref="IF3">GetValue("Dmn","Name",IF2)</f>
        <v/>
      </c>
      <c r="IG3" s="1" t="str" cm="1">
        <f t="array" ref="IG3">GetValue("Dmn","Name",IG2)</f>
        <v/>
      </c>
      <c r="IH3" s="1" t="str" cm="1">
        <f t="array" ref="IH3">GetValue("Dmn","Name",IH2)</f>
        <v/>
      </c>
      <c r="II3" s="1" t="str" cm="1">
        <f t="array" ref="II3">GetValue("Dmn","Name",II2)</f>
        <v/>
      </c>
      <c r="IJ3" s="1" t="str" cm="1">
        <f t="array" ref="IJ3">GetValue("Dmn","Name",IJ2)</f>
        <v/>
      </c>
      <c r="IK3" s="1" t="str" cm="1">
        <f t="array" ref="IK3">GetValue("Dmn","Name",IK2)</f>
        <v/>
      </c>
      <c r="IL3" s="1" t="str" cm="1">
        <f t="array" ref="IL3">GetValue("Dmn","Name",IL2)</f>
        <v/>
      </c>
      <c r="IM3" s="1" t="str" cm="1">
        <f t="array" ref="IM3">GetValue("Dmn","Name",IM2)</f>
        <v/>
      </c>
      <c r="IN3" s="1" t="str" cm="1">
        <f t="array" ref="IN3">GetValue("Dmn","Name",IN2)</f>
        <v/>
      </c>
      <c r="IO3" s="1" t="str" cm="1">
        <f t="array" ref="IO3">GetValue("Dmn","Name",IO2)</f>
        <v/>
      </c>
      <c r="IP3" s="1" t="str" cm="1">
        <f t="array" ref="IP3">GetValue("Dmn","Name",IP2)</f>
        <v/>
      </c>
      <c r="IQ3" s="1" t="str" cm="1">
        <f t="array" ref="IQ3">GetValue("Dmn","Name",IQ2)</f>
        <v/>
      </c>
      <c r="IR3" s="1" t="str" cm="1">
        <f t="array" ref="IR3">GetValue("Dmn","Name",IR2)</f>
        <v/>
      </c>
      <c r="IS3" s="1" t="str" cm="1">
        <f t="array" ref="IS3">GetValue("Dmn","Name",IS2)</f>
        <v/>
      </c>
      <c r="IT3" s="1" t="str" cm="1">
        <f t="array" ref="IT3">GetValue("Dmn","Name",IT2)</f>
        <v/>
      </c>
      <c r="IU3" s="1" t="str" cm="1">
        <f t="array" ref="IU3">GetValue("Dmn","Name",IU2)</f>
        <v/>
      </c>
      <c r="IV3" s="1" t="str" cm="1">
        <f t="array" ref="IV3">GetValue("Dmn","Name",IV2)</f>
        <v/>
      </c>
      <c r="IW3" s="1" t="str" cm="1">
        <f t="array" ref="IW3">GetValue("Dmn","Name",IW2)</f>
        <v/>
      </c>
      <c r="IX3" s="1" t="str" cm="1">
        <f t="array" ref="IX3">GetValue("Dmn","Name",IX2)</f>
        <v/>
      </c>
      <c r="IY3" s="1" t="str" cm="1">
        <f t="array" ref="IY3">GetValue("Dmn","Name",IY2)</f>
        <v/>
      </c>
      <c r="IZ3" s="1" t="str" cm="1">
        <f t="array" ref="IZ3">GetValue("Dmn","Name",IZ2)</f>
        <v/>
      </c>
      <c r="JA3" s="1" t="str" cm="1">
        <f t="array" ref="JA3">GetValue("Dmn","Name",JA2)</f>
        <v/>
      </c>
      <c r="JB3" s="1" t="str" cm="1">
        <f t="array" ref="JB3">GetValue("Dmn","Name",JB2)</f>
        <v/>
      </c>
      <c r="JC3" s="1" t="str" cm="1">
        <f t="array" ref="JC3">GetValue("Dmn","Name",JC2)</f>
        <v/>
      </c>
      <c r="JD3" s="1" t="str" cm="1">
        <f t="array" ref="JD3">GetValue("Dmn","Name",JD2)</f>
        <v/>
      </c>
      <c r="JE3" s="1" t="str" cm="1">
        <f t="array" ref="JE3">GetValue("Dmn","Name",JE2)</f>
        <v/>
      </c>
      <c r="JF3" s="1" t="str" cm="1">
        <f t="array" ref="JF3">GetValue("Dmn","Name",JF2)</f>
        <v/>
      </c>
      <c r="JG3" s="1" t="str" cm="1">
        <f t="array" ref="JG3">GetValue("Dmn","Name",JG2)</f>
        <v/>
      </c>
      <c r="JH3" s="1" t="str" cm="1">
        <f t="array" ref="JH3">GetValue("Dmn","Name",JH2)</f>
        <v/>
      </c>
      <c r="JI3" s="1" t="str" cm="1">
        <f t="array" ref="JI3">GetValue("Dmn","Name",JI2)</f>
        <v/>
      </c>
      <c r="JJ3" s="1" t="str" cm="1">
        <f t="array" ref="JJ3">GetValue("Dmn","Name",JJ2)</f>
        <v/>
      </c>
      <c r="JK3" s="1" t="str" cm="1">
        <f t="array" ref="JK3">GetValue("Dmn","Name",JK2)</f>
        <v/>
      </c>
      <c r="JL3" s="1" t="str" cm="1">
        <f t="array" ref="JL3">GetValue("Dmn","Name",JL2)</f>
        <v/>
      </c>
      <c r="JM3" s="1" t="str" cm="1">
        <f t="array" ref="JM3">GetValue("Dmn","Name",JM2)</f>
        <v/>
      </c>
      <c r="JN3" s="1" t="str" cm="1">
        <f t="array" ref="JN3">GetValue("Dmn","Name",JN2)</f>
        <v/>
      </c>
      <c r="JO3" s="1" t="str" cm="1">
        <f t="array" ref="JO3">GetValue("Dmn","Name",JO2)</f>
        <v/>
      </c>
      <c r="JP3" s="1" t="str" cm="1">
        <f t="array" ref="JP3">GetValue("Dmn","Name",JP2)</f>
        <v/>
      </c>
      <c r="JQ3" s="1" t="str" cm="1">
        <f t="array" ref="JQ3">GetValue("Dmn","Name",JQ2)</f>
        <v/>
      </c>
      <c r="JR3" s="1" t="str" cm="1">
        <f t="array" ref="JR3">GetValue("Dmn","Name",JR2)</f>
        <v/>
      </c>
      <c r="JS3" s="1" t="str" cm="1">
        <f t="array" ref="JS3">GetValue("Dmn","Name",JS2)</f>
        <v/>
      </c>
      <c r="JT3" s="1" t="str" cm="1">
        <f t="array" ref="JT3">GetValue("Dmn","Name",JT2)</f>
        <v/>
      </c>
      <c r="JU3" s="1" t="str" cm="1">
        <f t="array" ref="JU3">GetValue("Dmn","Name",JU2)</f>
        <v/>
      </c>
      <c r="JV3" s="1" t="str" cm="1">
        <f t="array" ref="JV3">GetValue("Dmn","Name",JV2)</f>
        <v/>
      </c>
      <c r="JW3" s="1" t="str" cm="1">
        <f t="array" ref="JW3">GetValue("Dmn","Name",JW2)</f>
        <v/>
      </c>
      <c r="JX3" s="1" t="str" cm="1">
        <f t="array" ref="JX3">GetValue("Dmn","Name",JX2)</f>
        <v/>
      </c>
      <c r="JY3" s="1" t="str" cm="1">
        <f t="array" ref="JY3">GetValue("Dmn","Name",JY2)</f>
        <v/>
      </c>
      <c r="JZ3" s="1" t="str" cm="1">
        <f t="array" ref="JZ3">GetValue("Dmn","Name",JZ2)</f>
        <v/>
      </c>
      <c r="KA3" s="1" t="str" cm="1">
        <f t="array" ref="KA3">GetValue("Dmn","Name",KA2)</f>
        <v/>
      </c>
      <c r="KB3" s="1" t="str" cm="1">
        <f t="array" ref="KB3">GetValue("Dmn","Name",KB2)</f>
        <v/>
      </c>
      <c r="KC3" s="1" t="str" cm="1">
        <f t="array" ref="KC3">GetValue("Dmn","Name",KC2)</f>
        <v/>
      </c>
      <c r="KD3" s="1" t="str" cm="1">
        <f t="array" ref="KD3">GetValue("Dmn","Name",KD2)</f>
        <v/>
      </c>
      <c r="KE3" s="1" t="str" cm="1">
        <f t="array" ref="KE3">GetValue("Dmn","Name",KE2)</f>
        <v/>
      </c>
      <c r="KF3" s="1" t="str" cm="1">
        <f t="array" ref="KF3">GetValue("Dmn","Name",KF2)</f>
        <v/>
      </c>
      <c r="KG3" s="1" t="str" cm="1">
        <f t="array" ref="KG3">GetValue("Dmn","Name",KG2)</f>
        <v/>
      </c>
      <c r="KH3" s="1" t="str" cm="1">
        <f t="array" ref="KH3">GetValue("Dmn","Name",KH2)</f>
        <v/>
      </c>
      <c r="KI3" s="1" t="str" cm="1">
        <f t="array" ref="KI3">GetValue("Dmn","Name",KI2)</f>
        <v/>
      </c>
      <c r="KJ3" s="1" t="str" cm="1">
        <f t="array" ref="KJ3">GetValue("Dmn","Name",KJ2)</f>
        <v/>
      </c>
      <c r="KK3" s="1" t="str" cm="1">
        <f t="array" ref="KK3">GetValue("Dmn","Name",KK2)</f>
        <v/>
      </c>
      <c r="KL3" s="1" t="str" cm="1">
        <f t="array" ref="KL3">GetValue("Dmn","Name",KL2)</f>
        <v/>
      </c>
      <c r="KM3" s="1" t="str" cm="1">
        <f t="array" ref="KM3">GetValue("Dmn","Name",KM2)</f>
        <v/>
      </c>
      <c r="KN3" s="1" t="str" cm="1">
        <f t="array" ref="KN3">GetValue("Dmn","Name",KN2)</f>
        <v/>
      </c>
      <c r="KO3" s="1" t="str" cm="1">
        <f t="array" ref="KO3">GetValue("Dmn","Name",KO2)</f>
        <v/>
      </c>
      <c r="KP3" s="1" t="str" cm="1">
        <f t="array" ref="KP3">GetValue("Dmn","Name",KP2)</f>
        <v/>
      </c>
      <c r="KQ3" s="1" t="str" cm="1">
        <f t="array" ref="KQ3">GetValue("Dmn","Name",KQ2)</f>
        <v/>
      </c>
      <c r="KR3" s="1" t="str" cm="1">
        <f t="array" ref="KR3">GetValue("Dmn","Name",KR2)</f>
        <v/>
      </c>
      <c r="KS3" s="1" t="str" cm="1">
        <f t="array" ref="KS3">GetValue("Dmn","Name",KS2)</f>
        <v/>
      </c>
      <c r="KT3" s="1" t="str" cm="1">
        <f t="array" ref="KT3">GetValue("Dmn","Name",KT2)</f>
        <v/>
      </c>
      <c r="KU3" s="1" t="str" cm="1">
        <f t="array" ref="KU3">GetValue("Dmn","Name",KU2)</f>
        <v/>
      </c>
      <c r="KV3" s="1" t="str" cm="1">
        <f t="array" ref="KV3">GetValue("Dmn","Name",KV2)</f>
        <v/>
      </c>
      <c r="KW3" s="1" t="str" cm="1">
        <f t="array" ref="KW3">GetValue("Dmn","Name",KW2)</f>
        <v/>
      </c>
      <c r="KX3" s="1" t="str" cm="1">
        <f t="array" ref="KX3">GetValue("Dmn","Name",KX2)</f>
        <v/>
      </c>
      <c r="KY3" s="1" t="str" cm="1">
        <f t="array" ref="KY3">GetValue("Dmn","Name",KY2)</f>
        <v/>
      </c>
      <c r="KZ3" s="1" t="str" cm="1">
        <f t="array" ref="KZ3">GetValue("Dmn","Name",KZ2)</f>
        <v/>
      </c>
      <c r="LA3" s="1" t="str" cm="1">
        <f t="array" ref="LA3">GetValue("Dmn","Name",LA2)</f>
        <v/>
      </c>
      <c r="LB3" s="1" t="str" cm="1">
        <f t="array" ref="LB3">GetValue("Dmn","Name",LB2)</f>
        <v/>
      </c>
      <c r="LC3" s="1" t="str" cm="1">
        <f t="array" ref="LC3">GetValue("Dmn","Name",LC2)</f>
        <v/>
      </c>
      <c r="LD3" s="1" t="str" cm="1">
        <f t="array" ref="LD3">GetValue("Dmn","Name",LD2)</f>
        <v/>
      </c>
      <c r="LE3" s="1" t="str" cm="1">
        <f t="array" ref="LE3">GetValue("Dmn","Name",LE2)</f>
        <v/>
      </c>
      <c r="LF3" s="1" t="str" cm="1">
        <f t="array" ref="LF3">GetValue("Dmn","Name",LF2)</f>
        <v/>
      </c>
      <c r="LG3" s="1" t="str" cm="1">
        <f t="array" ref="LG3">GetValue("Dmn","Name",LG2)</f>
        <v/>
      </c>
      <c r="LH3" s="1" t="str" cm="1">
        <f t="array" ref="LH3">GetValue("Dmn","Name",LH2)</f>
        <v/>
      </c>
      <c r="LI3" s="1" t="str" cm="1">
        <f t="array" ref="LI3">GetValue("Dmn","Name",LI2)</f>
        <v/>
      </c>
      <c r="LJ3" s="1" t="str" cm="1">
        <f t="array" ref="LJ3">GetValue("Dmn","Name",LJ2)</f>
        <v/>
      </c>
      <c r="LK3" s="1" t="str" cm="1">
        <f t="array" ref="LK3">GetValue("Dmn","Name",LK2)</f>
        <v/>
      </c>
      <c r="LL3" s="1" t="str" cm="1">
        <f t="array" ref="LL3">GetValue("Dmn","Name",LL2)</f>
        <v/>
      </c>
      <c r="LM3" s="1" t="str" cm="1">
        <f t="array" ref="LM3">GetValue("Dmn","Name",LM2)</f>
        <v/>
      </c>
      <c r="LN3" s="1" t="str" cm="1">
        <f t="array" ref="LN3">GetValue("Dmn","Name",LN2)</f>
        <v/>
      </c>
      <c r="LO3" s="1" t="str" cm="1">
        <f t="array" ref="LO3">GetValue("Dmn","Name",LO2)</f>
        <v/>
      </c>
      <c r="LP3" s="1" t="str" cm="1">
        <f t="array" ref="LP3">GetValue("Dmn","Name",LP2)</f>
        <v/>
      </c>
      <c r="LQ3" s="1" t="str" cm="1">
        <f t="array" ref="LQ3">GetValue("Dmn","Name",LQ2)</f>
        <v/>
      </c>
      <c r="LR3" s="1" t="str" cm="1">
        <f t="array" ref="LR3">GetValue("Dmn","Name",LR2)</f>
        <v/>
      </c>
      <c r="LS3" s="1" t="str" cm="1">
        <f t="array" ref="LS3">GetValue("Dmn","Name",LS2)</f>
        <v/>
      </c>
      <c r="LT3" s="1" t="str" cm="1">
        <f t="array" ref="LT3">GetValue("Dmn","Name",LT2)</f>
        <v/>
      </c>
      <c r="LU3" s="1" t="str" cm="1">
        <f t="array" ref="LU3">GetValue("Dmn","Name",LU2)</f>
        <v/>
      </c>
      <c r="LV3" s="1" t="str" cm="1">
        <f t="array" ref="LV3">GetValue("Dmn","Name",LV2)</f>
        <v/>
      </c>
      <c r="LW3" s="1" t="str" cm="1">
        <f t="array" ref="LW3">GetValue("Dmn","Name",LW2)</f>
        <v/>
      </c>
      <c r="LX3" s="1" t="str" cm="1">
        <f t="array" ref="LX3">GetValue("Dmn","Name",LX2)</f>
        <v/>
      </c>
      <c r="LY3" s="1" t="str" cm="1">
        <f t="array" ref="LY3">GetValue("Dmn","Name",LY2)</f>
        <v/>
      </c>
      <c r="LZ3" s="1" t="str" cm="1">
        <f t="array" ref="LZ3">GetValue("Dmn","Name",LZ2)</f>
        <v/>
      </c>
      <c r="MA3" s="1" t="str" cm="1">
        <f t="array" ref="MA3">GetValue("Dmn","Name",MA2)</f>
        <v/>
      </c>
      <c r="MB3" s="1" t="str" cm="1">
        <f t="array" ref="MB3">GetValue("Dmn","Name",MB2)</f>
        <v/>
      </c>
      <c r="MC3" s="1" t="str" cm="1">
        <f t="array" ref="MC3">GetValue("Dmn","Name",MC2)</f>
        <v/>
      </c>
      <c r="MD3" s="1" t="str" cm="1">
        <f t="array" ref="MD3">GetValue("Dmn","Name",MD2)</f>
        <v/>
      </c>
      <c r="ME3" s="1" t="str" cm="1">
        <f t="array" ref="ME3">GetValue("Dmn","Name",ME2)</f>
        <v/>
      </c>
      <c r="MF3" s="1" t="str" cm="1">
        <f t="array" ref="MF3">GetValue("Dmn","Name",MF2)</f>
        <v/>
      </c>
      <c r="MG3" s="1" t="str" cm="1">
        <f t="array" ref="MG3">GetValue("Dmn","Name",MG2)</f>
        <v/>
      </c>
      <c r="MH3" s="1" t="str" cm="1">
        <f t="array" ref="MH3">GetValue("Dmn","Name",MH2)</f>
        <v/>
      </c>
      <c r="MI3" s="1" t="str" cm="1">
        <f t="array" ref="MI3">GetValue("Dmn","Name",MI2)</f>
        <v/>
      </c>
      <c r="MJ3" s="1" t="str" cm="1">
        <f t="array" ref="MJ3">GetValue("Dmn","Name",MJ2)</f>
        <v/>
      </c>
      <c r="MK3" s="1" t="str" cm="1">
        <f t="array" ref="MK3">GetValue("Dmn","Name",MK2)</f>
        <v/>
      </c>
      <c r="ML3" s="1" t="str" cm="1">
        <f t="array" ref="ML3">GetValue("Dmn","Name",ML2)</f>
        <v/>
      </c>
      <c r="MM3" s="1" t="str" cm="1">
        <f t="array" ref="MM3">GetValue("Dmn","Name",MM2)</f>
        <v/>
      </c>
      <c r="MN3" s="1" t="str" cm="1">
        <f t="array" ref="MN3">GetValue("Dmn","Name",MN2)</f>
        <v/>
      </c>
      <c r="MO3" s="1" t="str" cm="1">
        <f t="array" ref="MO3">GetValue("Dmn","Name",MO2)</f>
        <v/>
      </c>
      <c r="MP3" s="1" t="str" cm="1">
        <f t="array" ref="MP3">GetValue("Dmn","Name",MP2)</f>
        <v/>
      </c>
      <c r="MQ3" s="1" t="str" cm="1">
        <f t="array" ref="MQ3">GetValue("Dmn","Name",MQ2)</f>
        <v/>
      </c>
      <c r="MR3" s="1" t="str" cm="1">
        <f t="array" ref="MR3">GetValue("Dmn","Name",MR2)</f>
        <v/>
      </c>
      <c r="MS3" s="1" t="str" cm="1">
        <f t="array" ref="MS3">GetValue("Dmn","Name",MS2)</f>
        <v/>
      </c>
      <c r="MT3" s="1" t="str" cm="1">
        <f t="array" ref="MT3">GetValue("Dmn","Name",MT2)</f>
        <v/>
      </c>
      <c r="MU3" s="1" t="str" cm="1">
        <f t="array" ref="MU3">GetValue("Dmn","Name",MU2)</f>
        <v/>
      </c>
      <c r="MV3" s="1" t="str" cm="1">
        <f t="array" ref="MV3">GetValue("Dmn","Name",MV2)</f>
        <v/>
      </c>
      <c r="MW3" s="1" t="str" cm="1">
        <f t="array" ref="MW3">GetValue("Dmn","Name",MW2)</f>
        <v/>
      </c>
      <c r="MX3" s="1" t="str" cm="1">
        <f t="array" ref="MX3">GetValue("Dmn","Name",MX2)</f>
        <v/>
      </c>
      <c r="MY3" s="1" t="str" cm="1">
        <f t="array" ref="MY3">GetValue("Dmn","Name",MY2)</f>
        <v/>
      </c>
      <c r="MZ3" s="1" t="str" cm="1">
        <f t="array" ref="MZ3">GetValue("Dmn","Name",MZ2)</f>
        <v/>
      </c>
      <c r="NA3" s="1" t="str" cm="1">
        <f t="array" ref="NA3">GetValue("Dmn","Name",NA2)</f>
        <v/>
      </c>
      <c r="NB3" s="1" t="str" cm="1">
        <f t="array" ref="NB3">GetValue("Dmn","Name",NB2)</f>
        <v/>
      </c>
      <c r="NC3" s="1" t="str" cm="1">
        <f t="array" ref="NC3">GetValue("Dmn","Name",NC2)</f>
        <v/>
      </c>
      <c r="ND3" s="1" t="str" cm="1">
        <f t="array" ref="ND3">GetValue("Dmn","Name",ND2)</f>
        <v/>
      </c>
      <c r="NE3" s="1" t="str" cm="1">
        <f t="array" ref="NE3">GetValue("Dmn","Name",NE2)</f>
        <v/>
      </c>
      <c r="NF3" s="1" t="str" cm="1">
        <f t="array" ref="NF3">GetValue("Dmn","Name",NF2)</f>
        <v/>
      </c>
      <c r="NG3" s="1" t="str" cm="1">
        <f t="array" ref="NG3">GetValue("Dmn","Name",NG2)</f>
        <v/>
      </c>
      <c r="NH3" s="1" t="str" cm="1">
        <f t="array" ref="NH3">GetValue("Dmn","Name",NH2)</f>
        <v/>
      </c>
      <c r="NI3" s="1" t="str" cm="1">
        <f t="array" ref="NI3">GetValue("Dmn","Name",NI2)</f>
        <v/>
      </c>
      <c r="NJ3" s="1" t="str" cm="1">
        <f t="array" ref="NJ3">GetValue("Dmn","Name",NJ2)</f>
        <v/>
      </c>
      <c r="NK3" s="1" t="str" cm="1">
        <f t="array" ref="NK3">GetValue("Dmn","Name",NK2)</f>
        <v/>
      </c>
      <c r="NL3" s="1" t="str" cm="1">
        <f t="array" ref="NL3">GetValue("Dmn","Name",NL2)</f>
        <v/>
      </c>
      <c r="NM3" s="1" t="str" cm="1">
        <f t="array" ref="NM3">GetValue("Dmn","Name",NM2)</f>
        <v/>
      </c>
      <c r="NN3" s="1" t="str" cm="1">
        <f t="array" ref="NN3">GetValue("Dmn","Name",NN2)</f>
        <v/>
      </c>
      <c r="NO3" s="1" t="str" cm="1">
        <f t="array" ref="NO3">GetValue("Dmn","Name",NO2)</f>
        <v/>
      </c>
      <c r="NP3" s="1" t="str" cm="1">
        <f t="array" ref="NP3">GetValue("Dmn","Name",NP2)</f>
        <v/>
      </c>
      <c r="NQ3" s="1" t="str" cm="1">
        <f t="array" ref="NQ3">GetValue("Dmn","Name",NQ2)</f>
        <v/>
      </c>
      <c r="NR3" s="1" t="str" cm="1">
        <f t="array" ref="NR3">GetValue("Dmn","Name",NR2)</f>
        <v/>
      </c>
      <c r="NS3" s="1" t="str" cm="1">
        <f t="array" ref="NS3">GetValue("Dmn","Name",NS2)</f>
        <v/>
      </c>
      <c r="NT3" s="1" t="str" cm="1">
        <f t="array" ref="NT3">GetValue("Dmn","Name",NT2)</f>
        <v/>
      </c>
      <c r="NU3" s="1" t="str" cm="1">
        <f t="array" ref="NU3">GetValue("Dmn","Name",NU2)</f>
        <v/>
      </c>
      <c r="NV3" s="1" t="str" cm="1">
        <f t="array" ref="NV3">GetValue("Dmn","Name",NV2)</f>
        <v/>
      </c>
      <c r="NW3" s="1" t="str" cm="1">
        <f t="array" ref="NW3">GetValue("Dmn","Name",NW2)</f>
        <v/>
      </c>
      <c r="NX3" s="1" t="str" cm="1">
        <f t="array" ref="NX3">GetValue("Dmn","Name",NX2)</f>
        <v/>
      </c>
      <c r="NY3" s="1" t="str" cm="1">
        <f t="array" ref="NY3">GetValue("Dmn","Name",NY2)</f>
        <v/>
      </c>
      <c r="NZ3" s="1" t="str" cm="1">
        <f t="array" ref="NZ3">GetValue("Dmn","Name",NZ2)</f>
        <v/>
      </c>
      <c r="OA3" s="1" t="str" cm="1">
        <f t="array" ref="OA3">GetValue("Dmn","Name",OA2)</f>
        <v/>
      </c>
      <c r="OB3" s="1" t="str" cm="1">
        <f t="array" ref="OB3">GetValue("Dmn","Name",OB2)</f>
        <v/>
      </c>
      <c r="OC3" s="1" t="str" cm="1">
        <f t="array" ref="OC3">GetValue("Dmn","Name",OC2)</f>
        <v/>
      </c>
      <c r="OD3" s="1" t="str" cm="1">
        <f t="array" ref="OD3">GetValue("Dmn","Name",OD2)</f>
        <v/>
      </c>
      <c r="OE3" s="1" t="str" cm="1">
        <f t="array" ref="OE3">GetValue("Dmn","Name",OE2)</f>
        <v/>
      </c>
      <c r="OF3" s="1" t="str" cm="1">
        <f t="array" ref="OF3">GetValue("Dmn","Name",OF2)</f>
        <v/>
      </c>
      <c r="OG3" s="1" t="str" cm="1">
        <f t="array" ref="OG3">GetValue("Dmn","Name",OG2)</f>
        <v/>
      </c>
      <c r="OH3" s="1" t="str" cm="1">
        <f t="array" ref="OH3">GetValue("Dmn","Name",OH2)</f>
        <v/>
      </c>
      <c r="OI3" s="1" t="str" cm="1">
        <f t="array" ref="OI3">GetValue("Dmn","Name",OI2)</f>
        <v/>
      </c>
      <c r="OJ3" s="1" t="str" cm="1">
        <f t="array" ref="OJ3">GetValue("Dmn","Name",OJ2)</f>
        <v/>
      </c>
      <c r="OK3" s="1" t="str" cm="1">
        <f t="array" ref="OK3">GetValue("Dmn","Name",OK2)</f>
        <v/>
      </c>
      <c r="OL3" s="1" t="str" cm="1">
        <f t="array" ref="OL3">GetValue("Dmn","Name",OL2)</f>
        <v/>
      </c>
      <c r="OM3" s="1" t="str" cm="1">
        <f t="array" ref="OM3">GetValue("Dmn","Name",OM2)</f>
        <v/>
      </c>
      <c r="ON3" s="1" t="str" cm="1">
        <f t="array" ref="ON3">GetValue("Dmn","Name",ON2)</f>
        <v/>
      </c>
      <c r="OO3" s="1" t="str" cm="1">
        <f t="array" ref="OO3">GetValue("Dmn","Name",OO2)</f>
        <v/>
      </c>
      <c r="OP3" s="1" t="str" cm="1">
        <f t="array" ref="OP3">GetValue("Dmn","Name",OP2)</f>
        <v/>
      </c>
      <c r="OQ3" s="1" t="str" cm="1">
        <f t="array" ref="OQ3">GetValue("Dmn","Name",OQ2)</f>
        <v/>
      </c>
      <c r="OR3" s="1" t="str" cm="1">
        <f t="array" ref="OR3">GetValue("Dmn","Name",OR2)</f>
        <v/>
      </c>
      <c r="OS3" s="1" t="str" cm="1">
        <f t="array" ref="OS3">GetValue("Dmn","Name",OS2)</f>
        <v/>
      </c>
      <c r="OT3" s="1" t="str" cm="1">
        <f t="array" ref="OT3">GetValue("Dmn","Name",OT2)</f>
        <v/>
      </c>
      <c r="OU3" s="1" t="str" cm="1">
        <f t="array" ref="OU3">GetValue("Dmn","Name",OU2)</f>
        <v/>
      </c>
      <c r="OV3" s="1" t="str" cm="1">
        <f t="array" ref="OV3">GetValue("Dmn","Name",OV2)</f>
        <v/>
      </c>
      <c r="OW3" s="1" t="str" cm="1">
        <f t="array" ref="OW3">GetValue("Dmn","Name",OW2)</f>
        <v/>
      </c>
      <c r="OX3" s="1" t="str" cm="1">
        <f t="array" ref="OX3">GetValue("Dmn","Name",OX2)</f>
        <v/>
      </c>
      <c r="OY3" s="1" t="str" cm="1">
        <f t="array" ref="OY3">GetValue("Dmn","Name",OY2)</f>
        <v/>
      </c>
      <c r="OZ3" s="1" t="str" cm="1">
        <f t="array" ref="OZ3">GetValue("Dmn","Name",OZ2)</f>
        <v/>
      </c>
      <c r="PA3" s="1" t="str" cm="1">
        <f t="array" ref="PA3">GetValue("Dmn","Name",PA2)</f>
        <v/>
      </c>
      <c r="PB3" s="1" t="str" cm="1">
        <f t="array" ref="PB3">GetValue("Dmn","Name",PB2)</f>
        <v/>
      </c>
      <c r="PC3" s="1" t="str" cm="1">
        <f t="array" ref="PC3">GetValue("Dmn","Name",PC2)</f>
        <v/>
      </c>
      <c r="PD3" s="1" t="str" cm="1">
        <f t="array" ref="PD3">GetValue("Dmn","Name",PD2)</f>
        <v/>
      </c>
      <c r="PE3" s="1" t="str" cm="1">
        <f t="array" ref="PE3">GetValue("Dmn","Name",PE2)</f>
        <v/>
      </c>
      <c r="PF3" s="1" t="str" cm="1">
        <f t="array" ref="PF3">GetValue("Dmn","Name",PF2)</f>
        <v/>
      </c>
      <c r="PG3" s="1" t="str" cm="1">
        <f t="array" ref="PG3">GetValue("Dmn","Name",PG2)</f>
        <v/>
      </c>
      <c r="PH3" s="1" t="str" cm="1">
        <f t="array" ref="PH3">GetValue("Dmn","Name",PH2)</f>
        <v/>
      </c>
      <c r="PI3" s="1" t="str" cm="1">
        <f t="array" ref="PI3">GetValue("Dmn","Name",PI2)</f>
        <v/>
      </c>
      <c r="PJ3" s="1" t="str" cm="1">
        <f t="array" ref="PJ3">GetValue("Dmn","Name",PJ2)</f>
        <v/>
      </c>
      <c r="PK3" s="1" t="str" cm="1">
        <f t="array" ref="PK3">GetValue("Dmn","Name",PK2)</f>
        <v/>
      </c>
      <c r="PL3" s="1" t="str" cm="1">
        <f t="array" ref="PL3">GetValue("Dmn","Name",PL2)</f>
        <v/>
      </c>
      <c r="PM3" s="1" t="str" cm="1">
        <f t="array" ref="PM3">GetValue("Dmn","Name",PM2)</f>
        <v/>
      </c>
      <c r="PN3" s="1" t="str" cm="1">
        <f t="array" ref="PN3">GetValue("Dmn","Name",PN2)</f>
        <v/>
      </c>
      <c r="PO3" s="1" t="str" cm="1">
        <f t="array" ref="PO3">GetValue("Dmn","Name",PO2)</f>
        <v/>
      </c>
      <c r="PP3" s="1" t="str" cm="1">
        <f t="array" ref="PP3">GetValue("Dmn","Name",PP2)</f>
        <v/>
      </c>
      <c r="PQ3" s="1" t="str" cm="1">
        <f t="array" ref="PQ3">GetValue("Dmn","Name",PQ2)</f>
        <v/>
      </c>
      <c r="PR3" s="1" t="str" cm="1">
        <f t="array" ref="PR3">GetValue("Dmn","Name",PR2)</f>
        <v/>
      </c>
      <c r="PS3" s="1" t="str" cm="1">
        <f t="array" ref="PS3">GetValue("Dmn","Name",PS2)</f>
        <v/>
      </c>
      <c r="PT3" s="1" t="str" cm="1">
        <f t="array" ref="PT3">GetValue("Dmn","Name",PT2)</f>
        <v/>
      </c>
      <c r="PU3" s="1" t="str" cm="1">
        <f t="array" ref="PU3">GetValue("Dmn","Name",PU2)</f>
        <v/>
      </c>
      <c r="PV3" s="1" t="str" cm="1">
        <f t="array" ref="PV3">GetValue("Dmn","Name",PV2)</f>
        <v/>
      </c>
      <c r="PW3" s="1" t="str" cm="1">
        <f t="array" ref="PW3">GetValue("Dmn","Name",PW2)</f>
        <v/>
      </c>
      <c r="PX3" s="1" t="str" cm="1">
        <f t="array" ref="PX3">GetValue("Dmn","Name",PX2)</f>
        <v/>
      </c>
      <c r="PY3" s="1" t="str" cm="1">
        <f t="array" ref="PY3">GetValue("Dmn","Name",PY2)</f>
        <v/>
      </c>
      <c r="PZ3" s="1" t="str" cm="1">
        <f t="array" ref="PZ3">GetValue("Dmn","Name",PZ2)</f>
        <v/>
      </c>
      <c r="QA3" s="1" t="str" cm="1">
        <f t="array" ref="QA3">GetValue("Dmn","Name",QA2)</f>
        <v/>
      </c>
      <c r="QB3" s="1" t="str" cm="1">
        <f t="array" ref="QB3">GetValue("Dmn","Name",QB2)</f>
        <v/>
      </c>
      <c r="QC3" s="1" t="str" cm="1">
        <f t="array" ref="QC3">GetValue("Dmn","Name",QC2)</f>
        <v/>
      </c>
      <c r="QD3" s="1" t="str" cm="1">
        <f t="array" ref="QD3">GetValue("Dmn","Name",QD2)</f>
        <v/>
      </c>
      <c r="QE3" s="1" t="str" cm="1">
        <f t="array" ref="QE3">GetValue("Dmn","Name",QE2)</f>
        <v/>
      </c>
      <c r="QF3" s="1" t="str" cm="1">
        <f t="array" ref="QF3">GetValue("Dmn","Name",QF2)</f>
        <v/>
      </c>
      <c r="QG3" s="1" t="str" cm="1">
        <f t="array" ref="QG3">GetValue("Dmn","Name",QG2)</f>
        <v/>
      </c>
      <c r="QH3" s="1" t="str" cm="1">
        <f t="array" ref="QH3">GetValue("Dmn","Name",QH2)</f>
        <v/>
      </c>
      <c r="QI3" s="1" t="str" cm="1">
        <f t="array" ref="QI3">GetValue("Dmn","Name",QI2)</f>
        <v/>
      </c>
      <c r="QJ3" s="1" t="str" cm="1">
        <f t="array" ref="QJ3">GetValue("Dmn","Name",QJ2)</f>
        <v/>
      </c>
      <c r="QK3" s="1" t="str" cm="1">
        <f t="array" ref="QK3">GetValue("Dmn","Name",QK2)</f>
        <v/>
      </c>
      <c r="QL3" s="1" t="str" cm="1">
        <f t="array" ref="QL3">GetValue("Dmn","Name",QL2)</f>
        <v/>
      </c>
      <c r="QM3" s="1" t="str" cm="1">
        <f t="array" ref="QM3">GetValue("Dmn","Name",QM2)</f>
        <v/>
      </c>
      <c r="QN3" s="1" t="str" cm="1">
        <f t="array" ref="QN3">GetValue("Dmn","Name",QN2)</f>
        <v/>
      </c>
      <c r="QO3" s="1" t="str" cm="1">
        <f t="array" ref="QO3">GetValue("Dmn","Name",QO2)</f>
        <v/>
      </c>
      <c r="QP3" s="1" t="str" cm="1">
        <f t="array" ref="QP3">GetValue("Dmn","Name",QP2)</f>
        <v/>
      </c>
      <c r="QQ3" s="1" t="str" cm="1">
        <f t="array" ref="QQ3">GetValue("Dmn","Name",QQ2)</f>
        <v/>
      </c>
      <c r="QR3" s="1" t="str" cm="1">
        <f t="array" ref="QR3">GetValue("Dmn","Name",QR2)</f>
        <v/>
      </c>
      <c r="QS3" s="1" t="str" cm="1">
        <f t="array" ref="QS3">GetValue("Dmn","Name",QS2)</f>
        <v/>
      </c>
      <c r="QT3" s="1" t="str" cm="1">
        <f t="array" ref="QT3">GetValue("Dmn","Name",QT2)</f>
        <v/>
      </c>
      <c r="QU3" s="1" t="str" cm="1">
        <f t="array" ref="QU3">GetValue("Dmn","Name",QU2)</f>
        <v/>
      </c>
      <c r="QV3" s="1" t="str" cm="1">
        <f t="array" ref="QV3">GetValue("Dmn","Name",QV2)</f>
        <v/>
      </c>
      <c r="QW3" s="1" t="str" cm="1">
        <f t="array" ref="QW3">GetValue("Dmn","Name",QW2)</f>
        <v/>
      </c>
      <c r="QX3" s="1" t="str" cm="1">
        <f t="array" ref="QX3">GetValue("Dmn","Name",QX2)</f>
        <v/>
      </c>
      <c r="QY3" s="1" t="str" cm="1">
        <f t="array" ref="QY3">GetValue("Dmn","Name",QY2)</f>
        <v/>
      </c>
      <c r="QZ3" s="1" t="str" cm="1">
        <f t="array" ref="QZ3">GetValue("Dmn","Name",QZ2)</f>
        <v/>
      </c>
      <c r="RA3" s="1" t="str" cm="1">
        <f t="array" ref="RA3">GetValue("Dmn","Name",RA2)</f>
        <v/>
      </c>
      <c r="RB3" s="1" t="str" cm="1">
        <f t="array" ref="RB3">GetValue("Dmn","Name",RB2)</f>
        <v/>
      </c>
      <c r="RC3" s="1" t="str" cm="1">
        <f t="array" ref="RC3">GetValue("Dmn","Name",RC2)</f>
        <v/>
      </c>
      <c r="RD3" s="1" t="str" cm="1">
        <f t="array" ref="RD3">GetValue("Dmn","Name",RD2)</f>
        <v/>
      </c>
      <c r="RE3" s="1" t="str" cm="1">
        <f t="array" ref="RE3">GetValue("Dmn","Name",RE2)</f>
        <v/>
      </c>
      <c r="RF3" s="1" t="str" cm="1">
        <f t="array" ref="RF3">GetValue("Dmn","Name",RF2)</f>
        <v/>
      </c>
      <c r="RG3" s="1" t="str" cm="1">
        <f t="array" ref="RG3">GetValue("Dmn","Name",RG2)</f>
        <v/>
      </c>
      <c r="RH3" s="1" t="str" cm="1">
        <f t="array" ref="RH3">GetValue("Dmn","Name",RH2)</f>
        <v/>
      </c>
      <c r="RI3" s="1" t="str" cm="1">
        <f t="array" ref="RI3">GetValue("Dmn","Name",RI2)</f>
        <v/>
      </c>
      <c r="RJ3" s="1" t="str" cm="1">
        <f t="array" ref="RJ3">GetValue("Dmn","Name",RJ2)</f>
        <v/>
      </c>
      <c r="RK3" s="1" t="str" cm="1">
        <f t="array" ref="RK3">GetValue("Dmn","Name",RK2)</f>
        <v/>
      </c>
      <c r="RL3" s="1" t="str" cm="1">
        <f t="array" ref="RL3">GetValue("Dmn","Name",RL2)</f>
        <v/>
      </c>
      <c r="RM3" s="1" t="str" cm="1">
        <f t="array" ref="RM3">GetValue("Dmn","Name",RM2)</f>
        <v/>
      </c>
      <c r="RN3" s="1" t="str" cm="1">
        <f t="array" ref="RN3">GetValue("Dmn","Name",RN2)</f>
        <v/>
      </c>
      <c r="RO3" s="1" t="str" cm="1">
        <f t="array" ref="RO3">GetValue("Dmn","Name",RO2)</f>
        <v/>
      </c>
      <c r="RP3" s="1" t="str" cm="1">
        <f t="array" ref="RP3">GetValue("Dmn","Name",RP2)</f>
        <v/>
      </c>
      <c r="RQ3" s="1" t="str" cm="1">
        <f t="array" ref="RQ3">GetValue("Dmn","Name",RQ2)</f>
        <v/>
      </c>
      <c r="RR3" s="1" t="str" cm="1">
        <f t="array" ref="RR3">GetValue("Dmn","Name",RR2)</f>
        <v/>
      </c>
      <c r="RS3" s="1" t="str" cm="1">
        <f t="array" ref="RS3">GetValue("Dmn","Name",RS2)</f>
        <v/>
      </c>
      <c r="RT3" s="1" t="str" cm="1">
        <f t="array" ref="RT3">GetValue("Dmn","Name",RT2)</f>
        <v/>
      </c>
      <c r="RU3" s="1" t="str" cm="1">
        <f t="array" ref="RU3">GetValue("Dmn","Name",RU2)</f>
        <v/>
      </c>
      <c r="RV3" s="1" t="str" cm="1">
        <f t="array" ref="RV3">GetValue("Dmn","Name",RV2)</f>
        <v/>
      </c>
      <c r="RW3" s="1" t="str" cm="1">
        <f t="array" ref="RW3">GetValue("Dmn","Name",RW2)</f>
        <v/>
      </c>
      <c r="RX3" s="1" t="str" cm="1">
        <f t="array" ref="RX3">GetValue("Dmn","Name",RX2)</f>
        <v/>
      </c>
      <c r="RY3" s="1" t="str" cm="1">
        <f t="array" ref="RY3">GetValue("Dmn","Name",RY2)</f>
        <v/>
      </c>
      <c r="RZ3" s="1" t="str" cm="1">
        <f t="array" ref="RZ3">GetValue("Dmn","Name",RZ2)</f>
        <v/>
      </c>
      <c r="SA3" s="1" t="str" cm="1">
        <f t="array" ref="SA3">GetValue("Dmn","Name",SA2)</f>
        <v/>
      </c>
      <c r="SB3" s="1" t="str" cm="1">
        <f t="array" ref="SB3">GetValue("Dmn","Name",SB2)</f>
        <v/>
      </c>
      <c r="SC3" s="1" t="str" cm="1">
        <f t="array" ref="SC3">GetValue("Dmn","Name",SC2)</f>
        <v/>
      </c>
      <c r="SD3" s="1" t="str" cm="1">
        <f t="array" ref="SD3">GetValue("Dmn","Name",SD2)</f>
        <v/>
      </c>
      <c r="SE3" s="1" t="str" cm="1">
        <f t="array" ref="SE3">GetValue("Dmn","Name",SE2)</f>
        <v/>
      </c>
      <c r="SF3" s="1" t="str" cm="1">
        <f t="array" ref="SF3">GetValue("Dmn","Name",SF2)</f>
        <v/>
      </c>
      <c r="SG3" s="1" t="str" cm="1">
        <f t="array" ref="SG3">GetValue("Dmn","Name",SG2)</f>
        <v/>
      </c>
      <c r="SH3" s="1" t="str" cm="1">
        <f t="array" ref="SH3">GetValue("Dmn","Name",SH2)</f>
        <v/>
      </c>
      <c r="SI3" s="1" t="str" cm="1">
        <f t="array" ref="SI3">GetValue("Dmn","Name",SI2)</f>
        <v/>
      </c>
      <c r="SJ3" s="1" t="str" cm="1">
        <f t="array" ref="SJ3">GetValue("Dmn","Name",SJ2)</f>
        <v/>
      </c>
      <c r="SK3" s="1" t="str" cm="1">
        <f t="array" ref="SK3">GetValue("Dmn","Name",SK2)</f>
        <v/>
      </c>
      <c r="SL3" s="1" t="str" cm="1">
        <f t="array" ref="SL3">GetValue("Dmn","Name",SL2)</f>
        <v/>
      </c>
      <c r="SM3" s="1" t="str" cm="1">
        <f t="array" ref="SM3">GetValue("Dmn","Name",SM2)</f>
        <v/>
      </c>
      <c r="SN3" s="1" t="str" cm="1">
        <f t="array" ref="SN3">GetValue("Dmn","Name",SN2)</f>
        <v/>
      </c>
      <c r="SO3" s="1" t="str" cm="1">
        <f t="array" ref="SO3">GetValue("Dmn","Name",SO2)</f>
        <v/>
      </c>
      <c r="SP3" s="1" t="str" cm="1">
        <f t="array" ref="SP3">GetValue("Dmn","Name",SP2)</f>
        <v/>
      </c>
      <c r="SQ3" s="1" t="str" cm="1">
        <f t="array" ref="SQ3">GetValue("Dmn","Name",SQ2)</f>
        <v/>
      </c>
      <c r="SR3" s="1" t="str" cm="1">
        <f t="array" ref="SR3">GetValue("Dmn","Name",SR2)</f>
        <v/>
      </c>
      <c r="SS3" s="1" t="str" cm="1">
        <f t="array" ref="SS3">GetValue("Dmn","Name",SS2)</f>
        <v/>
      </c>
      <c r="ST3" s="1" t="str" cm="1">
        <f t="array" ref="ST3">GetValue("Dmn","Name",ST2)</f>
        <v/>
      </c>
      <c r="SU3" s="1" t="str" cm="1">
        <f t="array" ref="SU3">GetValue("Dmn","Name",SU2)</f>
        <v/>
      </c>
      <c r="SV3" s="1" t="str" cm="1">
        <f t="array" ref="SV3">GetValue("Dmn","Name",SV2)</f>
        <v/>
      </c>
      <c r="SW3" s="1" t="str" cm="1">
        <f t="array" ref="SW3">GetValue("Dmn","Name",SW2)</f>
        <v/>
      </c>
      <c r="SX3" s="1" t="str" cm="1">
        <f t="array" ref="SX3">GetValue("Dmn","Name",SX2)</f>
        <v/>
      </c>
      <c r="SY3" s="1" t="str" cm="1">
        <f t="array" ref="SY3">GetValue("Dmn","Name",SY2)</f>
        <v/>
      </c>
      <c r="SZ3" s="1" t="str" cm="1">
        <f t="array" ref="SZ3">GetValue("Dmn","Name",SZ2)</f>
        <v/>
      </c>
      <c r="TA3" s="1" t="str" cm="1">
        <f t="array" ref="TA3">GetValue("Dmn","Name",TA2)</f>
        <v/>
      </c>
      <c r="TB3" s="1" t="str" cm="1">
        <f t="array" ref="TB3">GetValue("Dmn","Name",TB2)</f>
        <v/>
      </c>
      <c r="TC3" s="1" t="str" cm="1">
        <f t="array" ref="TC3">GetValue("Dmn","Name",TC2)</f>
        <v/>
      </c>
      <c r="TD3" s="1" t="str" cm="1">
        <f t="array" ref="TD3">GetValue("Dmn","Name",TD2)</f>
        <v/>
      </c>
      <c r="TE3" s="1" t="str" cm="1">
        <f t="array" ref="TE3">GetValue("Dmn","Name",TE2)</f>
        <v/>
      </c>
      <c r="TF3" s="1" t="str" cm="1">
        <f t="array" ref="TF3">GetValue("Dmn","Name",TF2)</f>
        <v/>
      </c>
      <c r="TG3" s="1" t="str" cm="1">
        <f t="array" ref="TG3">GetValue("Dmn","Name",TG2)</f>
        <v/>
      </c>
      <c r="TH3" s="1" t="str" cm="1">
        <f t="array" ref="TH3">GetValue("Dmn","Name",TH2)</f>
        <v/>
      </c>
      <c r="TI3" s="1" t="str" cm="1">
        <f t="array" ref="TI3">GetValue("Dmn","Name",TI2)</f>
        <v/>
      </c>
      <c r="TJ3" s="1" t="str" cm="1">
        <f t="array" ref="TJ3">GetValue("Dmn","Name",TJ2)</f>
        <v/>
      </c>
      <c r="TK3" s="1" t="str" cm="1">
        <f t="array" ref="TK3">GetValue("Dmn","Name",TK2)</f>
        <v/>
      </c>
      <c r="TL3" s="1" t="str" cm="1">
        <f t="array" ref="TL3">GetValue("Dmn","Name",TL2)</f>
        <v/>
      </c>
      <c r="TM3" s="1" t="str" cm="1">
        <f t="array" ref="TM3">GetValue("Dmn","Name",TM2)</f>
        <v/>
      </c>
      <c r="TN3" s="1" t="str" cm="1">
        <f t="array" ref="TN3">GetValue("Dmn","Name",TN2)</f>
        <v/>
      </c>
      <c r="TO3" s="1" t="str" cm="1">
        <f t="array" ref="TO3">GetValue("Dmn","Name",TO2)</f>
        <v/>
      </c>
      <c r="TP3" s="1" t="str" cm="1">
        <f t="array" ref="TP3">GetValue("Dmn","Name",TP2)</f>
        <v/>
      </c>
      <c r="TQ3" s="1" t="str" cm="1">
        <f t="array" ref="TQ3">GetValue("Dmn","Name",TQ2)</f>
        <v/>
      </c>
      <c r="TR3" s="1" t="str" cm="1">
        <f t="array" ref="TR3">GetValue("Dmn","Name",TR2)</f>
        <v/>
      </c>
      <c r="TS3" s="1" t="str" cm="1">
        <f t="array" ref="TS3">GetValue("Dmn","Name",TS2)</f>
        <v/>
      </c>
      <c r="TT3" s="1" t="str" cm="1">
        <f t="array" ref="TT3">GetValue("Dmn","Name",TT2)</f>
        <v/>
      </c>
      <c r="TU3" s="1" t="str" cm="1">
        <f t="array" ref="TU3">GetValue("Dmn","Name",TU2)</f>
        <v/>
      </c>
      <c r="TV3" s="1" t="str" cm="1">
        <f t="array" ref="TV3">GetValue("Dmn","Name",TV2)</f>
        <v/>
      </c>
      <c r="TW3" s="1" t="str" cm="1">
        <f t="array" ref="TW3">GetValue("Dmn","Name",TW2)</f>
        <v/>
      </c>
      <c r="TX3" s="1" t="str" cm="1">
        <f t="array" ref="TX3">GetValue("Dmn","Name",TX2)</f>
        <v/>
      </c>
      <c r="TY3" s="1" t="str" cm="1">
        <f t="array" ref="TY3">GetValue("Dmn","Name",TY2)</f>
        <v/>
      </c>
      <c r="TZ3" s="1" t="str" cm="1">
        <f t="array" ref="TZ3">GetValue("Dmn","Name",TZ2)</f>
        <v/>
      </c>
      <c r="UA3" s="1" t="str" cm="1">
        <f t="array" ref="UA3">GetValue("Dmn","Name",UA2)</f>
        <v/>
      </c>
      <c r="UB3" s="1" t="str" cm="1">
        <f t="array" ref="UB3">GetValue("Dmn","Name",UB2)</f>
        <v/>
      </c>
      <c r="UC3" s="1" t="str" cm="1">
        <f t="array" ref="UC3">GetValue("Dmn","Name",UC2)</f>
        <v/>
      </c>
      <c r="UD3" s="1" t="str" cm="1">
        <f t="array" ref="UD3">GetValue("Dmn","Name",UD2)</f>
        <v/>
      </c>
      <c r="UE3" s="1" t="str" cm="1">
        <f t="array" ref="UE3">GetValue("Dmn","Name",UE2)</f>
        <v/>
      </c>
      <c r="UF3" s="1" t="str" cm="1">
        <f t="array" ref="UF3">GetValue("Dmn","Name",UF2)</f>
        <v/>
      </c>
      <c r="UG3" s="1" t="str" cm="1">
        <f t="array" ref="UG3">GetValue("Dmn","Name",UG2)</f>
        <v/>
      </c>
      <c r="UH3" s="1" t="str" cm="1">
        <f t="array" ref="UH3">GetValue("Dmn","Name",UH2)</f>
        <v/>
      </c>
      <c r="UI3" s="1" t="str" cm="1">
        <f t="array" ref="UI3">GetValue("Dmn","Name",UI2)</f>
        <v/>
      </c>
      <c r="UJ3" s="1" t="str" cm="1">
        <f t="array" ref="UJ3">GetValue("Dmn","Name",UJ2)</f>
        <v/>
      </c>
      <c r="UK3" s="1" t="str" cm="1">
        <f t="array" ref="UK3">GetValue("Dmn","Name",UK2)</f>
        <v/>
      </c>
      <c r="UL3" s="1" t="str" cm="1">
        <f t="array" ref="UL3">GetValue("Dmn","Name",UL2)</f>
        <v/>
      </c>
      <c r="UM3" s="1" t="str" cm="1">
        <f t="array" ref="UM3">GetValue("Dmn","Name",UM2)</f>
        <v/>
      </c>
      <c r="UN3" s="1" t="str" cm="1">
        <f t="array" ref="UN3">GetValue("Dmn","Name",UN2)</f>
        <v/>
      </c>
      <c r="UO3" s="1" t="str" cm="1">
        <f t="array" ref="UO3">GetValue("Dmn","Name",UO2)</f>
        <v/>
      </c>
      <c r="UP3" s="1" t="str" cm="1">
        <f t="array" ref="UP3">GetValue("Dmn","Name",UP2)</f>
        <v/>
      </c>
      <c r="UQ3" s="1" t="str" cm="1">
        <f t="array" ref="UQ3">GetValue("Dmn","Name",UQ2)</f>
        <v/>
      </c>
      <c r="UR3" s="1" t="str" cm="1">
        <f t="array" ref="UR3">GetValue("Dmn","Name",UR2)</f>
        <v/>
      </c>
      <c r="US3" s="1" t="str" cm="1">
        <f t="array" ref="US3">GetValue("Dmn","Name",US2)</f>
        <v/>
      </c>
      <c r="UT3" s="1" t="str" cm="1">
        <f t="array" ref="UT3">GetValue("Dmn","Name",UT2)</f>
        <v/>
      </c>
      <c r="UU3" s="1" t="str" cm="1">
        <f t="array" ref="UU3">GetValue("Dmn","Name",UU2)</f>
        <v/>
      </c>
      <c r="UV3" s="1" t="str" cm="1">
        <f t="array" ref="UV3">GetValue("Dmn","Name",UV2)</f>
        <v/>
      </c>
      <c r="UW3" s="1" t="str" cm="1">
        <f t="array" ref="UW3">GetValue("Dmn","Name",UW2)</f>
        <v/>
      </c>
      <c r="UX3" s="1" t="str" cm="1">
        <f t="array" ref="UX3">GetValue("Dmn","Name",UX2)</f>
        <v/>
      </c>
      <c r="UY3" s="1" t="str" cm="1">
        <f t="array" ref="UY3">GetValue("Dmn","Name",UY2)</f>
        <v/>
      </c>
      <c r="UZ3" s="1" t="str" cm="1">
        <f t="array" ref="UZ3">GetValue("Dmn","Name",UZ2)</f>
        <v/>
      </c>
      <c r="VA3" s="1" t="str" cm="1">
        <f t="array" ref="VA3">GetValue("Dmn","Name",VA2)</f>
        <v/>
      </c>
      <c r="VB3" s="1" t="str" cm="1">
        <f t="array" ref="VB3">GetValue("Dmn","Name",VB2)</f>
        <v/>
      </c>
      <c r="VC3" s="1" t="str" cm="1">
        <f t="array" ref="VC3">GetValue("Dmn","Name",VC2)</f>
        <v/>
      </c>
      <c r="VD3" s="1" t="str" cm="1">
        <f t="array" ref="VD3">GetValue("Dmn","Name",VD2)</f>
        <v/>
      </c>
      <c r="VE3" s="1" t="str" cm="1">
        <f t="array" ref="VE3">GetValue("Dmn","Name",VE2)</f>
        <v/>
      </c>
      <c r="VF3" s="1" t="str" cm="1">
        <f t="array" ref="VF3">GetValue("Dmn","Name",VF2)</f>
        <v/>
      </c>
      <c r="VG3" s="1" t="str" cm="1">
        <f t="array" ref="VG3">GetValue("Dmn","Name",VG2)</f>
        <v/>
      </c>
      <c r="VH3" s="1" t="str" cm="1">
        <f t="array" ref="VH3">GetValue("Dmn","Name",VH2)</f>
        <v/>
      </c>
      <c r="VI3" s="1" t="str" cm="1">
        <f t="array" ref="VI3">GetValue("Dmn","Name",VI2)</f>
        <v/>
      </c>
      <c r="VJ3" s="1" t="str" cm="1">
        <f t="array" ref="VJ3">GetValue("Dmn","Name",VJ2)</f>
        <v/>
      </c>
      <c r="VK3" s="1" t="str" cm="1">
        <f t="array" ref="VK3">GetValue("Dmn","Name",VK2)</f>
        <v/>
      </c>
      <c r="VL3" s="1" t="str" cm="1">
        <f t="array" ref="VL3">GetValue("Dmn","Name",VL2)</f>
        <v/>
      </c>
      <c r="VM3" s="1" t="str" cm="1">
        <f t="array" ref="VM3">GetValue("Dmn","Name",VM2)</f>
        <v/>
      </c>
      <c r="VN3" s="1" t="str" cm="1">
        <f t="array" ref="VN3">GetValue("Dmn","Name",VN2)</f>
        <v/>
      </c>
      <c r="VO3" s="1" t="str" cm="1">
        <f t="array" ref="VO3">GetValue("Dmn","Name",VO2)</f>
        <v/>
      </c>
      <c r="VP3" s="1" t="str" cm="1">
        <f t="array" ref="VP3">GetValue("Dmn","Name",VP2)</f>
        <v/>
      </c>
      <c r="VQ3" s="1" t="str" cm="1">
        <f t="array" ref="VQ3">GetValue("Dmn","Name",VQ2)</f>
        <v/>
      </c>
      <c r="VR3" s="1" t="str" cm="1">
        <f t="array" ref="VR3">GetValue("Dmn","Name",VR2)</f>
        <v/>
      </c>
      <c r="VS3" s="1" t="str" cm="1">
        <f t="array" ref="VS3">GetValue("Dmn","Name",VS2)</f>
        <v/>
      </c>
      <c r="VT3" s="1" t="str" cm="1">
        <f t="array" ref="VT3">GetValue("Dmn","Name",VT2)</f>
        <v/>
      </c>
      <c r="VU3" s="1" t="str" cm="1">
        <f t="array" ref="VU3">GetValue("Dmn","Name",VU2)</f>
        <v/>
      </c>
      <c r="VV3" s="1" t="str" cm="1">
        <f t="array" ref="VV3">GetValue("Dmn","Name",VV2)</f>
        <v/>
      </c>
      <c r="VW3" s="1" t="str" cm="1">
        <f t="array" ref="VW3">GetValue("Dmn","Name",VW2)</f>
        <v/>
      </c>
      <c r="VX3" s="1" t="str" cm="1">
        <f t="array" ref="VX3">GetValue("Dmn","Name",VX2)</f>
        <v/>
      </c>
      <c r="VY3" s="1" t="str" cm="1">
        <f t="array" ref="VY3">GetValue("Dmn","Name",VY2)</f>
        <v/>
      </c>
      <c r="VZ3" s="1" t="str" cm="1">
        <f t="array" ref="VZ3">GetValue("Dmn","Name",VZ2)</f>
        <v/>
      </c>
      <c r="WA3" s="1" t="str" cm="1">
        <f t="array" ref="WA3">GetValue("Dmn","Name",WA2)</f>
        <v/>
      </c>
      <c r="WB3" s="1" t="str" cm="1">
        <f t="array" ref="WB3">GetValue("Dmn","Name",WB2)</f>
        <v/>
      </c>
      <c r="WC3" s="1" t="str" cm="1">
        <f t="array" ref="WC3">GetValue("Dmn","Name",WC2)</f>
        <v/>
      </c>
      <c r="WD3" s="1" t="str" cm="1">
        <f t="array" ref="WD3">GetValue("Dmn","Name",WD2)</f>
        <v/>
      </c>
      <c r="WE3" s="1" t="str" cm="1">
        <f t="array" ref="WE3">GetValue("Dmn","Name",WE2)</f>
        <v/>
      </c>
      <c r="WF3" s="1" t="str" cm="1">
        <f t="array" ref="WF3">GetValue("Dmn","Name",WF2)</f>
        <v/>
      </c>
      <c r="WG3" s="1" t="str" cm="1">
        <f t="array" ref="WG3">GetValue("Dmn","Name",WG2)</f>
        <v/>
      </c>
      <c r="WH3" s="1" t="str" cm="1">
        <f t="array" ref="WH3">GetValue("Dmn","Name",WH2)</f>
        <v/>
      </c>
      <c r="WI3" s="1" t="str" cm="1">
        <f t="array" ref="WI3">GetValue("Dmn","Name",WI2)</f>
        <v/>
      </c>
      <c r="WJ3" s="1" t="str" cm="1">
        <f t="array" ref="WJ3">GetValue("Dmn","Name",WJ2)</f>
        <v/>
      </c>
      <c r="WK3" s="1" t="str" cm="1">
        <f t="array" ref="WK3">GetValue("Dmn","Name",WK2)</f>
        <v/>
      </c>
      <c r="WL3" s="1" t="str" cm="1">
        <f t="array" ref="WL3">GetValue("Dmn","Name",WL2)</f>
        <v/>
      </c>
      <c r="WM3" s="1" t="str" cm="1">
        <f t="array" ref="WM3">GetValue("Dmn","Name",WM2)</f>
        <v/>
      </c>
      <c r="WN3" s="1" t="str" cm="1">
        <f t="array" ref="WN3">GetValue("Dmn","Name",WN2)</f>
        <v/>
      </c>
      <c r="WO3" s="1" t="str" cm="1">
        <f t="array" ref="WO3">GetValue("Dmn","Name",WO2)</f>
        <v/>
      </c>
      <c r="WP3" s="1" t="str" cm="1">
        <f t="array" ref="WP3">GetValue("Dmn","Name",WP2)</f>
        <v/>
      </c>
      <c r="WQ3" s="1" t="str" cm="1">
        <f t="array" ref="WQ3">GetValue("Dmn","Name",WQ2)</f>
        <v/>
      </c>
      <c r="WR3" s="1" t="str" cm="1">
        <f t="array" ref="WR3">GetValue("Dmn","Name",WR2)</f>
        <v/>
      </c>
      <c r="WS3" s="1" t="str" cm="1">
        <f t="array" ref="WS3">GetValue("Dmn","Name",WS2)</f>
        <v/>
      </c>
      <c r="WT3" s="1" t="str" cm="1">
        <f t="array" ref="WT3">GetValue("Dmn","Name",WT2)</f>
        <v/>
      </c>
      <c r="WU3" s="1" t="str" cm="1">
        <f t="array" ref="WU3">GetValue("Dmn","Name",WU2)</f>
        <v/>
      </c>
      <c r="WV3" s="1" t="str" cm="1">
        <f t="array" ref="WV3">GetValue("Dmn","Name",WV2)</f>
        <v/>
      </c>
      <c r="WW3" s="1" t="str" cm="1">
        <f t="array" ref="WW3">GetValue("Dmn","Name",WW2)</f>
        <v/>
      </c>
      <c r="WX3" s="1" t="str" cm="1">
        <f t="array" ref="WX3">GetValue("Dmn","Name",WX2)</f>
        <v/>
      </c>
      <c r="WY3" s="1" t="str" cm="1">
        <f t="array" ref="WY3">GetValue("Dmn","Name",WY2)</f>
        <v/>
      </c>
      <c r="WZ3" s="1" t="str" cm="1">
        <f t="array" ref="WZ3">GetValue("Dmn","Name",WZ2)</f>
        <v/>
      </c>
      <c r="XA3" s="1" t="str" cm="1">
        <f t="array" ref="XA3">GetValue("Dmn","Name",XA2)</f>
        <v/>
      </c>
      <c r="XB3" s="1" t="str" cm="1">
        <f t="array" ref="XB3">GetValue("Dmn","Name",XB2)</f>
        <v/>
      </c>
      <c r="XC3" s="1" t="str" cm="1">
        <f t="array" ref="XC3">GetValue("Dmn","Name",XC2)</f>
        <v/>
      </c>
      <c r="XD3" s="1" t="str" cm="1">
        <f t="array" ref="XD3">GetValue("Dmn","Name",XD2)</f>
        <v/>
      </c>
      <c r="XE3" s="1" t="str" cm="1">
        <f t="array" ref="XE3">GetValue("Dmn","Name",XE2)</f>
        <v/>
      </c>
      <c r="XF3" s="1" t="str" cm="1">
        <f t="array" ref="XF3">GetValue("Dmn","Name",XF2)</f>
        <v/>
      </c>
      <c r="XG3" s="1" t="str" cm="1">
        <f t="array" ref="XG3">GetValue("Dmn","Name",XG2)</f>
        <v/>
      </c>
      <c r="XH3" s="1" t="str" cm="1">
        <f t="array" ref="XH3">GetValue("Dmn","Name",XH2)</f>
        <v/>
      </c>
      <c r="XI3" s="1" t="str" cm="1">
        <f t="array" ref="XI3">GetValue("Dmn","Name",XI2)</f>
        <v/>
      </c>
      <c r="XJ3" s="1" t="str" cm="1">
        <f t="array" ref="XJ3">GetValue("Dmn","Name",XJ2)</f>
        <v/>
      </c>
      <c r="XK3" s="1" t="str" cm="1">
        <f t="array" ref="XK3">GetValue("Dmn","Name",XK2)</f>
        <v/>
      </c>
      <c r="XL3" s="1" t="str" cm="1">
        <f t="array" ref="XL3">GetValue("Dmn","Name",XL2)</f>
        <v/>
      </c>
      <c r="XM3" s="1" t="str" cm="1">
        <f t="array" ref="XM3">GetValue("Dmn","Name",XM2)</f>
        <v/>
      </c>
      <c r="XN3" s="1" t="str" cm="1">
        <f t="array" ref="XN3">GetValue("Dmn","Name",XN2)</f>
        <v/>
      </c>
      <c r="XO3" s="1" t="str" cm="1">
        <f t="array" ref="XO3">GetValue("Dmn","Name",XO2)</f>
        <v/>
      </c>
      <c r="XP3" s="1" t="str" cm="1">
        <f t="array" ref="XP3">GetValue("Dmn","Name",XP2)</f>
        <v/>
      </c>
      <c r="XQ3" s="1" t="str" cm="1">
        <f t="array" ref="XQ3">GetValue("Dmn","Name",XQ2)</f>
        <v/>
      </c>
      <c r="XR3" s="1" t="str" cm="1">
        <f t="array" ref="XR3">GetValue("Dmn","Name",XR2)</f>
        <v/>
      </c>
      <c r="XS3" s="1" t="str" cm="1">
        <f t="array" ref="XS3">GetValue("Dmn","Name",XS2)</f>
        <v/>
      </c>
      <c r="XT3" s="1" t="str" cm="1">
        <f t="array" ref="XT3">GetValue("Dmn","Name",XT2)</f>
        <v/>
      </c>
      <c r="XU3" s="1" t="str" cm="1">
        <f t="array" ref="XU3">GetValue("Dmn","Name",XU2)</f>
        <v/>
      </c>
      <c r="XV3" s="1" t="str" cm="1">
        <f t="array" ref="XV3">GetValue("Dmn","Name",XV2)</f>
        <v/>
      </c>
      <c r="XW3" s="1" t="str" cm="1">
        <f t="array" ref="XW3">GetValue("Dmn","Name",XW2)</f>
        <v/>
      </c>
      <c r="XX3" s="1" t="str" cm="1">
        <f t="array" ref="XX3">GetValue("Dmn","Name",XX2)</f>
        <v/>
      </c>
      <c r="XY3" s="1" t="str" cm="1">
        <f t="array" ref="XY3">GetValue("Dmn","Name",XY2)</f>
        <v/>
      </c>
      <c r="XZ3" s="1" t="str" cm="1">
        <f t="array" ref="XZ3">GetValue("Dmn","Name",XZ2)</f>
        <v/>
      </c>
      <c r="YA3" s="1" t="str" cm="1">
        <f t="array" ref="YA3">GetValue("Dmn","Name",YA2)</f>
        <v/>
      </c>
      <c r="YB3" s="1" t="str" cm="1">
        <f t="array" ref="YB3">GetValue("Dmn","Name",YB2)</f>
        <v/>
      </c>
      <c r="YC3" s="1" t="str" cm="1">
        <f t="array" ref="YC3">GetValue("Dmn","Name",YC2)</f>
        <v/>
      </c>
      <c r="YD3" s="1" t="str" cm="1">
        <f t="array" ref="YD3">GetValue("Dmn","Name",YD2)</f>
        <v/>
      </c>
      <c r="YE3" s="1" t="str" cm="1">
        <f t="array" ref="YE3">GetValue("Dmn","Name",YE2)</f>
        <v/>
      </c>
      <c r="YF3" s="1" t="str" cm="1">
        <f t="array" ref="YF3">GetValue("Dmn","Name",YF2)</f>
        <v/>
      </c>
      <c r="YG3" s="1" t="str" cm="1">
        <f t="array" ref="YG3">GetValue("Dmn","Name",YG2)</f>
        <v/>
      </c>
      <c r="YH3" s="1" t="str" cm="1">
        <f t="array" ref="YH3">GetValue("Dmn","Name",YH2)</f>
        <v/>
      </c>
      <c r="YI3" s="1" t="str" cm="1">
        <f t="array" ref="YI3">GetValue("Dmn","Name",YI2)</f>
        <v/>
      </c>
      <c r="YJ3" s="1" t="str" cm="1">
        <f t="array" ref="YJ3">GetValue("Dmn","Name",YJ2)</f>
        <v/>
      </c>
      <c r="YK3" s="1" t="str" cm="1">
        <f t="array" ref="YK3">GetValue("Dmn","Name",YK2)</f>
        <v/>
      </c>
      <c r="YL3" s="1" t="str" cm="1">
        <f t="array" ref="YL3">GetValue("Dmn","Name",YL2)</f>
        <v/>
      </c>
      <c r="YM3" s="1" t="str" cm="1">
        <f t="array" ref="YM3">GetValue("Dmn","Name",YM2)</f>
        <v/>
      </c>
      <c r="YN3" s="1" t="str" cm="1">
        <f t="array" ref="YN3">GetValue("Dmn","Name",YN2)</f>
        <v/>
      </c>
      <c r="YO3" s="1" t="str" cm="1">
        <f t="array" ref="YO3">GetValue("Dmn","Name",YO2)</f>
        <v/>
      </c>
      <c r="YP3" s="1" t="str" cm="1">
        <f t="array" ref="YP3">GetValue("Dmn","Name",YP2)</f>
        <v/>
      </c>
      <c r="YQ3" s="1" t="str" cm="1">
        <f t="array" ref="YQ3">GetValue("Dmn","Name",YQ2)</f>
        <v/>
      </c>
      <c r="YR3" s="1" t="str" cm="1">
        <f t="array" ref="YR3">GetValue("Dmn","Name",YR2)</f>
        <v/>
      </c>
      <c r="YS3" s="1" t="str" cm="1">
        <f t="array" ref="YS3">GetValue("Dmn","Name",YS2)</f>
        <v/>
      </c>
      <c r="YT3" s="1" t="str" cm="1">
        <f t="array" ref="YT3">GetValue("Dmn","Name",YT2)</f>
        <v/>
      </c>
      <c r="YU3" s="1" t="str" cm="1">
        <f t="array" ref="YU3">GetValue("Dmn","Name",YU2)</f>
        <v/>
      </c>
      <c r="YV3" s="1" t="str" cm="1">
        <f t="array" ref="YV3">GetValue("Dmn","Name",YV2)</f>
        <v/>
      </c>
      <c r="YW3" s="1" t="str" cm="1">
        <f t="array" ref="YW3">GetValue("Dmn","Name",YW2)</f>
        <v/>
      </c>
      <c r="YX3" s="1" t="str" cm="1">
        <f t="array" ref="YX3">GetValue("Dmn","Name",YX2)</f>
        <v/>
      </c>
      <c r="YY3" s="1" t="str" cm="1">
        <f t="array" ref="YY3">GetValue("Dmn","Name",YY2)</f>
        <v/>
      </c>
      <c r="YZ3" s="1" t="str" cm="1">
        <f t="array" ref="YZ3">GetValue("Dmn","Name",YZ2)</f>
        <v/>
      </c>
      <c r="ZA3" s="1" t="str" cm="1">
        <f t="array" ref="ZA3">GetValue("Dmn","Name",ZA2)</f>
        <v/>
      </c>
      <c r="ZB3" s="1" t="str" cm="1">
        <f t="array" ref="ZB3">GetValue("Dmn","Name",ZB2)</f>
        <v/>
      </c>
      <c r="ZC3" s="1" t="str" cm="1">
        <f t="array" ref="ZC3">GetValue("Dmn","Name",ZC2)</f>
        <v/>
      </c>
      <c r="ZD3" s="1" t="str" cm="1">
        <f t="array" ref="ZD3">GetValue("Dmn","Name",ZD2)</f>
        <v/>
      </c>
      <c r="ZE3" s="1" t="str" cm="1">
        <f t="array" ref="ZE3">GetValue("Dmn","Name",ZE2)</f>
        <v/>
      </c>
      <c r="ZF3" s="1" t="str" cm="1">
        <f t="array" ref="ZF3">GetValue("Dmn","Name",ZF2)</f>
        <v/>
      </c>
      <c r="ZG3" s="1" t="str" cm="1">
        <f t="array" ref="ZG3">GetValue("Dmn","Name",ZG2)</f>
        <v/>
      </c>
      <c r="ZH3" s="1" t="str" cm="1">
        <f t="array" ref="ZH3">GetValue("Dmn","Name",ZH2)</f>
        <v/>
      </c>
      <c r="ZI3" s="1" t="str" cm="1">
        <f t="array" ref="ZI3">GetValue("Dmn","Name",ZI2)</f>
        <v/>
      </c>
      <c r="ZJ3" s="1" t="str" cm="1">
        <f t="array" ref="ZJ3">GetValue("Dmn","Name",ZJ2)</f>
        <v/>
      </c>
      <c r="ZK3" s="1" t="str" cm="1">
        <f t="array" ref="ZK3">GetValue("Dmn","Name",ZK2)</f>
        <v/>
      </c>
      <c r="ZL3" s="1" t="str" cm="1">
        <f t="array" ref="ZL3">GetValue("Dmn","Name",ZL2)</f>
        <v/>
      </c>
      <c r="ZM3" s="1" t="str" cm="1">
        <f t="array" ref="ZM3">GetValue("Dmn","Name",ZM2)</f>
        <v/>
      </c>
      <c r="ZN3" s="1" t="str" cm="1">
        <f t="array" ref="ZN3">GetValue("Dmn","Name",ZN2)</f>
        <v/>
      </c>
      <c r="ZO3" s="1" t="str" cm="1">
        <f t="array" ref="ZO3">GetValue("Dmn","Name",ZO2)</f>
        <v/>
      </c>
      <c r="ZP3" s="1" t="str" cm="1">
        <f t="array" ref="ZP3">GetValue("Dmn","Name",ZP2)</f>
        <v/>
      </c>
      <c r="ZQ3" s="1" t="str" cm="1">
        <f t="array" ref="ZQ3">GetValue("Dmn","Name",ZQ2)</f>
        <v/>
      </c>
      <c r="ZR3" s="1" t="str" cm="1">
        <f t="array" ref="ZR3">GetValue("Dmn","Name",ZR2)</f>
        <v/>
      </c>
      <c r="ZS3" s="1" t="str" cm="1">
        <f t="array" ref="ZS3">GetValue("Dmn","Name",ZS2)</f>
        <v/>
      </c>
      <c r="ZT3" s="1" t="str" cm="1">
        <f t="array" ref="ZT3">GetValue("Dmn","Name",ZT2)</f>
        <v/>
      </c>
      <c r="ZU3" s="1" t="str" cm="1">
        <f t="array" ref="ZU3">GetValue("Dmn","Name",ZU2)</f>
        <v/>
      </c>
      <c r="ZV3" s="1" t="str" cm="1">
        <f t="array" ref="ZV3">GetValue("Dmn","Name",ZV2)</f>
        <v/>
      </c>
      <c r="ZW3" s="1" t="str" cm="1">
        <f t="array" ref="ZW3">GetValue("Dmn","Name",ZW2)</f>
        <v/>
      </c>
      <c r="ZX3" s="1" t="str" cm="1">
        <f t="array" ref="ZX3">GetValue("Dmn","Name",ZX2)</f>
        <v/>
      </c>
      <c r="ZY3" s="1" t="str" cm="1">
        <f t="array" ref="ZY3">GetValue("Dmn","Name",ZY2)</f>
        <v/>
      </c>
      <c r="ZZ3" s="1" t="str" cm="1">
        <f t="array" ref="ZZ3">GetValue("Dmn","Name",ZZ2)</f>
        <v/>
      </c>
      <c r="AAA3" s="1" t="str" cm="1">
        <f t="array" ref="AAA3">GetValue("Dmn","Name",AAA2)</f>
        <v/>
      </c>
      <c r="AAB3" s="1" t="str" cm="1">
        <f t="array" ref="AAB3">GetValue("Dmn","Name",AAB2)</f>
        <v/>
      </c>
      <c r="AAC3" s="1" t="str" cm="1">
        <f t="array" ref="AAC3">GetValue("Dmn","Name",AAC2)</f>
        <v/>
      </c>
      <c r="AAD3" s="1" t="str" cm="1">
        <f t="array" ref="AAD3">GetValue("Dmn","Name",AAD2)</f>
        <v/>
      </c>
      <c r="AAE3" s="1" t="str" cm="1">
        <f t="array" ref="AAE3">GetValue("Dmn","Name",AAE2)</f>
        <v/>
      </c>
      <c r="AAF3" s="1" t="str" cm="1">
        <f t="array" ref="AAF3">GetValue("Dmn","Name",AAF2)</f>
        <v/>
      </c>
      <c r="AAG3" s="1" t="str" cm="1">
        <f t="array" ref="AAG3">GetValue("Dmn","Name",AAG2)</f>
        <v/>
      </c>
      <c r="AAH3" s="1" t="str" cm="1">
        <f t="array" ref="AAH3">GetValue("Dmn","Name",AAH2)</f>
        <v/>
      </c>
      <c r="AAI3" s="1" t="str" cm="1">
        <f t="array" ref="AAI3">GetValue("Dmn","Name",AAI2)</f>
        <v/>
      </c>
      <c r="AAJ3" s="1" t="str" cm="1">
        <f t="array" ref="AAJ3">GetValue("Dmn","Name",AAJ2)</f>
        <v/>
      </c>
      <c r="AAK3" s="1" t="str" cm="1">
        <f t="array" ref="AAK3">GetValue("Dmn","Name",AAK2)</f>
        <v/>
      </c>
      <c r="AAL3" s="1" t="str" cm="1">
        <f t="array" ref="AAL3">GetValue("Dmn","Name",AAL2)</f>
        <v/>
      </c>
      <c r="AAM3" s="1" t="str" cm="1">
        <f t="array" ref="AAM3">GetValue("Dmn","Name",AAM2)</f>
        <v/>
      </c>
      <c r="AAN3" s="1" t="str" cm="1">
        <f t="array" ref="AAN3">GetValue("Dmn","Name",AAN2)</f>
        <v/>
      </c>
      <c r="AAO3" s="1" t="str" cm="1">
        <f t="array" ref="AAO3">GetValue("Dmn","Name",AAO2)</f>
        <v/>
      </c>
      <c r="AAP3" s="1" t="str" cm="1">
        <f t="array" ref="AAP3">GetValue("Dmn","Name",AAP2)</f>
        <v/>
      </c>
      <c r="AAQ3" s="1" t="str" cm="1">
        <f t="array" ref="AAQ3">GetValue("Dmn","Name",AAQ2)</f>
        <v/>
      </c>
      <c r="AAR3" s="1" t="str" cm="1">
        <f t="array" ref="AAR3">GetValue("Dmn","Name",AAR2)</f>
        <v/>
      </c>
      <c r="AAS3" s="1" t="str" cm="1">
        <f t="array" ref="AAS3">GetValue("Dmn","Name",AAS2)</f>
        <v/>
      </c>
      <c r="AAT3" s="1" t="str" cm="1">
        <f t="array" ref="AAT3">GetValue("Dmn","Name",AAT2)</f>
        <v/>
      </c>
      <c r="AAU3" s="1" t="str" cm="1">
        <f t="array" ref="AAU3">GetValue("Dmn","Name",AAU2)</f>
        <v/>
      </c>
      <c r="AAV3" s="1" t="str" cm="1">
        <f t="array" ref="AAV3">GetValue("Dmn","Name",AAV2)</f>
        <v/>
      </c>
      <c r="AAW3" s="1" t="str" cm="1">
        <f t="array" ref="AAW3">GetValue("Dmn","Name",AAW2)</f>
        <v/>
      </c>
      <c r="AAX3" s="1" t="str" cm="1">
        <f t="array" ref="AAX3">GetValue("Dmn","Name",AAX2)</f>
        <v/>
      </c>
      <c r="AAY3" s="1" t="str" cm="1">
        <f t="array" ref="AAY3">GetValue("Dmn","Name",AAY2)</f>
        <v/>
      </c>
      <c r="AAZ3" s="1" t="str" cm="1">
        <f t="array" ref="AAZ3">GetValue("Dmn","Name",AAZ2)</f>
        <v/>
      </c>
      <c r="ABA3" s="1" t="str" cm="1">
        <f t="array" ref="ABA3">GetValue("Dmn","Name",ABA2)</f>
        <v/>
      </c>
      <c r="ABB3" s="1" t="str" cm="1">
        <f t="array" ref="ABB3">GetValue("Dmn","Name",ABB2)</f>
        <v/>
      </c>
      <c r="ABC3" s="1" t="str" cm="1">
        <f t="array" ref="ABC3">GetValue("Dmn","Name",ABC2)</f>
        <v/>
      </c>
      <c r="ABD3" s="1" t="str" cm="1">
        <f t="array" ref="ABD3">GetValue("Dmn","Name",ABD2)</f>
        <v/>
      </c>
      <c r="ABE3" s="1" t="str" cm="1">
        <f t="array" ref="ABE3">GetValue("Dmn","Name",ABE2)</f>
        <v/>
      </c>
      <c r="ABF3" s="1" t="str" cm="1">
        <f t="array" ref="ABF3">GetValue("Dmn","Name",ABF2)</f>
        <v/>
      </c>
      <c r="ABG3" s="1" t="str" cm="1">
        <f t="array" ref="ABG3">GetValue("Dmn","Name",ABG2)</f>
        <v/>
      </c>
      <c r="ABH3" s="1" t="str" cm="1">
        <f t="array" ref="ABH3">GetValue("Dmn","Name",ABH2)</f>
        <v/>
      </c>
      <c r="ABI3" s="1" t="str" cm="1">
        <f t="array" ref="ABI3">GetValue("Dmn","Name",ABI2)</f>
        <v/>
      </c>
      <c r="ABJ3" s="1" t="str" cm="1">
        <f t="array" ref="ABJ3">GetValue("Dmn","Name",ABJ2)</f>
        <v/>
      </c>
      <c r="ABK3" s="1" t="str" cm="1">
        <f t="array" ref="ABK3">GetValue("Dmn","Name",ABK2)</f>
        <v/>
      </c>
      <c r="ABL3" s="1" t="str" cm="1">
        <f t="array" ref="ABL3">GetValue("Dmn","Name",ABL2)</f>
        <v/>
      </c>
      <c r="ABM3" s="1" t="str" cm="1">
        <f t="array" ref="ABM3">GetValue("Dmn","Name",ABM2)</f>
        <v/>
      </c>
      <c r="ABN3" s="1" t="str" cm="1">
        <f t="array" ref="ABN3">GetValue("Dmn","Name",ABN2)</f>
        <v/>
      </c>
      <c r="ABO3" s="1" t="str" cm="1">
        <f t="array" ref="ABO3">GetValue("Dmn","Name",ABO2)</f>
        <v/>
      </c>
      <c r="ABP3" s="1" t="str" cm="1">
        <f t="array" ref="ABP3">GetValue("Dmn","Name",ABP2)</f>
        <v/>
      </c>
      <c r="ABQ3" s="1" t="str" cm="1">
        <f t="array" ref="ABQ3">GetValue("Dmn","Name",ABQ2)</f>
        <v/>
      </c>
      <c r="ABR3" s="1" t="str" cm="1">
        <f t="array" ref="ABR3">GetValue("Dmn","Name",ABR2)</f>
        <v/>
      </c>
      <c r="ABS3" s="1" t="str" cm="1">
        <f t="array" ref="ABS3">GetValue("Dmn","Name",ABS2)</f>
        <v/>
      </c>
      <c r="ABT3" s="1" t="str" cm="1">
        <f t="array" ref="ABT3">GetValue("Dmn","Name",ABT2)</f>
        <v/>
      </c>
      <c r="ABU3" s="1" t="str" cm="1">
        <f t="array" ref="ABU3">GetValue("Dmn","Name",ABU2)</f>
        <v/>
      </c>
      <c r="ABV3" s="1" t="str" cm="1">
        <f t="array" ref="ABV3">GetValue("Dmn","Name",ABV2)</f>
        <v/>
      </c>
      <c r="ABW3" s="1" t="str" cm="1">
        <f t="array" ref="ABW3">GetValue("Dmn","Name",ABW2)</f>
        <v/>
      </c>
      <c r="ABX3" s="1" t="str" cm="1">
        <f t="array" ref="ABX3">GetValue("Dmn","Name",ABX2)</f>
        <v/>
      </c>
      <c r="ABY3" s="1" t="str" cm="1">
        <f t="array" ref="ABY3">GetValue("Dmn","Name",ABY2)</f>
        <v/>
      </c>
      <c r="ABZ3" s="1" t="str" cm="1">
        <f t="array" ref="ABZ3">GetValue("Dmn","Name",ABZ2)</f>
        <v/>
      </c>
      <c r="ACA3" s="1" t="str" cm="1">
        <f t="array" ref="ACA3">GetValue("Dmn","Name",ACA2)</f>
        <v/>
      </c>
      <c r="ACB3" s="1" t="str" cm="1">
        <f t="array" ref="ACB3">GetValue("Dmn","Name",ACB2)</f>
        <v/>
      </c>
      <c r="ACC3" s="1" t="str" cm="1">
        <f t="array" ref="ACC3">GetValue("Dmn","Name",ACC2)</f>
        <v/>
      </c>
      <c r="ACD3" s="1" t="str" cm="1">
        <f t="array" ref="ACD3">GetValue("Dmn","Name",ACD2)</f>
        <v/>
      </c>
      <c r="ACE3" s="1" t="str" cm="1">
        <f t="array" ref="ACE3">GetValue("Dmn","Name",ACE2)</f>
        <v/>
      </c>
      <c r="ACF3" s="1" t="str" cm="1">
        <f t="array" ref="ACF3">GetValue("Dmn","Name",ACF2)</f>
        <v/>
      </c>
      <c r="ACG3" s="1" t="str" cm="1">
        <f t="array" ref="ACG3">GetValue("Dmn","Name",ACG2)</f>
        <v/>
      </c>
      <c r="ACH3" s="1" t="str" cm="1">
        <f t="array" ref="ACH3">GetValue("Dmn","Name",ACH2)</f>
        <v/>
      </c>
      <c r="ACI3" s="1" t="str" cm="1">
        <f t="array" ref="ACI3">GetValue("Dmn","Name",ACI2)</f>
        <v/>
      </c>
      <c r="ACJ3" s="1" t="str" cm="1">
        <f t="array" ref="ACJ3">GetValue("Dmn","Name",ACJ2)</f>
        <v/>
      </c>
      <c r="ACK3" s="1" t="str" cm="1">
        <f t="array" ref="ACK3">GetValue("Dmn","Name",ACK2)</f>
        <v/>
      </c>
      <c r="ACL3" s="1" t="str" cm="1">
        <f t="array" ref="ACL3">GetValue("Dmn","Name",ACL2)</f>
        <v/>
      </c>
      <c r="ACM3" s="1" t="str" cm="1">
        <f t="array" ref="ACM3">GetValue("Dmn","Name",ACM2)</f>
        <v/>
      </c>
      <c r="ACN3" s="1" t="str" cm="1">
        <f t="array" ref="ACN3">GetValue("Dmn","Name",ACN2)</f>
        <v/>
      </c>
      <c r="ACO3" s="1" t="str" cm="1">
        <f t="array" ref="ACO3">GetValue("Dmn","Name",ACO2)</f>
        <v/>
      </c>
      <c r="ACP3" s="1" t="str" cm="1">
        <f t="array" ref="ACP3">GetValue("Dmn","Name",ACP2)</f>
        <v/>
      </c>
      <c r="ACQ3" s="1" t="str" cm="1">
        <f t="array" ref="ACQ3">GetValue("Dmn","Name",ACQ2)</f>
        <v/>
      </c>
      <c r="ACR3" s="1" t="str" cm="1">
        <f t="array" ref="ACR3">GetValue("Dmn","Name",ACR2)</f>
        <v/>
      </c>
      <c r="ACS3" s="1" t="str" cm="1">
        <f t="array" ref="ACS3">GetValue("Dmn","Name",ACS2)</f>
        <v/>
      </c>
      <c r="ACT3" s="1" t="str" cm="1">
        <f t="array" ref="ACT3">GetValue("Dmn","Name",ACT2)</f>
        <v/>
      </c>
      <c r="ACU3" s="1" t="str" cm="1">
        <f t="array" ref="ACU3">GetValue("Dmn","Name",ACU2)</f>
        <v/>
      </c>
      <c r="ACV3" s="1" t="str" cm="1">
        <f t="array" ref="ACV3">GetValue("Dmn","Name",ACV2)</f>
        <v/>
      </c>
      <c r="ACW3" s="1" t="str" cm="1">
        <f t="array" ref="ACW3">GetValue("Dmn","Name",ACW2)</f>
        <v/>
      </c>
      <c r="ACX3" s="1" t="str" cm="1">
        <f t="array" ref="ACX3">GetValue("Dmn","Name",ACX2)</f>
        <v/>
      </c>
      <c r="ACY3" s="1" t="str" cm="1">
        <f t="array" ref="ACY3">GetValue("Dmn","Name",ACY2)</f>
        <v/>
      </c>
      <c r="ACZ3" s="1" t="str" cm="1">
        <f t="array" ref="ACZ3">GetValue("Dmn","Name",ACZ2)</f>
        <v/>
      </c>
      <c r="ADA3" s="1" t="str" cm="1">
        <f t="array" ref="ADA3">GetValue("Dmn","Name",ADA2)</f>
        <v/>
      </c>
      <c r="ADB3" s="1" t="str" cm="1">
        <f t="array" ref="ADB3">GetValue("Dmn","Name",ADB2)</f>
        <v/>
      </c>
      <c r="ADC3" s="1" t="str" cm="1">
        <f t="array" ref="ADC3">GetValue("Dmn","Name",ADC2)</f>
        <v/>
      </c>
      <c r="ADD3" s="1" t="str" cm="1">
        <f t="array" ref="ADD3">GetValue("Dmn","Name",ADD2)</f>
        <v/>
      </c>
      <c r="ADE3" s="1" t="str" cm="1">
        <f t="array" ref="ADE3">GetValue("Dmn","Name",ADE2)</f>
        <v/>
      </c>
      <c r="ADF3" s="1" t="str" cm="1">
        <f t="array" ref="ADF3">GetValue("Dmn","Name",ADF2)</f>
        <v/>
      </c>
      <c r="ADG3" s="1" t="str" cm="1">
        <f t="array" ref="ADG3">GetValue("Dmn","Name",ADG2)</f>
        <v/>
      </c>
      <c r="ADH3" s="1" t="str" cm="1">
        <f t="array" ref="ADH3">GetValue("Dmn","Name",ADH2)</f>
        <v/>
      </c>
      <c r="ADI3" s="1" t="str" cm="1">
        <f t="array" ref="ADI3">GetValue("Dmn","Name",ADI2)</f>
        <v/>
      </c>
      <c r="ADJ3" s="1" t="str" cm="1">
        <f t="array" ref="ADJ3">GetValue("Dmn","Name",ADJ2)</f>
        <v/>
      </c>
      <c r="ADK3" s="1" t="str" cm="1">
        <f t="array" ref="ADK3">GetValue("Dmn","Name",ADK2)</f>
        <v/>
      </c>
      <c r="ADL3" s="1" t="str" cm="1">
        <f t="array" ref="ADL3">GetValue("Dmn","Name",ADL2)</f>
        <v/>
      </c>
      <c r="ADM3" s="1" t="str" cm="1">
        <f t="array" ref="ADM3">GetValue("Dmn","Name",ADM2)</f>
        <v/>
      </c>
      <c r="ADN3" s="1" t="str" cm="1">
        <f t="array" ref="ADN3">GetValue("Dmn","Name",ADN2)</f>
        <v/>
      </c>
      <c r="ADO3" s="1" t="str" cm="1">
        <f t="array" ref="ADO3">GetValue("Dmn","Name",ADO2)</f>
        <v/>
      </c>
      <c r="ADP3" s="1" t="str" cm="1">
        <f t="array" ref="ADP3">GetValue("Dmn","Name",ADP2)</f>
        <v/>
      </c>
      <c r="ADQ3" s="1" t="str" cm="1">
        <f t="array" ref="ADQ3">GetValue("Dmn","Name",ADQ2)</f>
        <v/>
      </c>
      <c r="ADR3" s="1" t="str" cm="1">
        <f t="array" ref="ADR3">GetValue("Dmn","Name",ADR2)</f>
        <v/>
      </c>
      <c r="ADS3" s="1" t="str" cm="1">
        <f t="array" ref="ADS3">GetValue("Dmn","Name",ADS2)</f>
        <v/>
      </c>
      <c r="ADT3" s="1" t="str" cm="1">
        <f t="array" ref="ADT3">GetValue("Dmn","Name",ADT2)</f>
        <v/>
      </c>
      <c r="ADU3" s="1" t="str" cm="1">
        <f t="array" ref="ADU3">GetValue("Dmn","Name",ADU2)</f>
        <v/>
      </c>
      <c r="ADV3" s="1" t="str" cm="1">
        <f t="array" ref="ADV3">GetValue("Dmn","Name",ADV2)</f>
        <v/>
      </c>
      <c r="ADW3" s="1" t="str" cm="1">
        <f t="array" ref="ADW3">GetValue("Dmn","Name",ADW2)</f>
        <v/>
      </c>
      <c r="ADX3" s="1" t="str" cm="1">
        <f t="array" ref="ADX3">GetValue("Dmn","Name",ADX2)</f>
        <v/>
      </c>
      <c r="ADY3" s="1" t="str" cm="1">
        <f t="array" ref="ADY3">GetValue("Dmn","Name",ADY2)</f>
        <v/>
      </c>
      <c r="ADZ3" s="1" t="str" cm="1">
        <f t="array" ref="ADZ3">GetValue("Dmn","Name",ADZ2)</f>
        <v/>
      </c>
      <c r="AEA3" s="1" t="str" cm="1">
        <f t="array" ref="AEA3">GetValue("Dmn","Name",AEA2)</f>
        <v/>
      </c>
      <c r="AEB3" s="1" t="str" cm="1">
        <f t="array" ref="AEB3">GetValue("Dmn","Name",AEB2)</f>
        <v/>
      </c>
      <c r="AEC3" s="1" t="str" cm="1">
        <f t="array" ref="AEC3">GetValue("Dmn","Name",AEC2)</f>
        <v/>
      </c>
      <c r="AED3" s="1" t="str" cm="1">
        <f t="array" ref="AED3">GetValue("Dmn","Name",AED2)</f>
        <v/>
      </c>
      <c r="AEE3" s="1" t="str" cm="1">
        <f t="array" ref="AEE3">GetValue("Dmn","Name",AEE2)</f>
        <v/>
      </c>
      <c r="AEF3" s="1" t="str" cm="1">
        <f t="array" ref="AEF3">GetValue("Dmn","Name",AEF2)</f>
        <v/>
      </c>
      <c r="AEG3" s="1" t="str" cm="1">
        <f t="array" ref="AEG3">GetValue("Dmn","Name",AEG2)</f>
        <v/>
      </c>
      <c r="AEH3" s="1" t="str" cm="1">
        <f t="array" ref="AEH3">GetValue("Dmn","Name",AEH2)</f>
        <v/>
      </c>
      <c r="AEI3" s="1" t="str" cm="1">
        <f t="array" ref="AEI3">GetValue("Dmn","Name",AEI2)</f>
        <v/>
      </c>
      <c r="AEJ3" s="1" t="str" cm="1">
        <f t="array" ref="AEJ3">GetValue("Dmn","Name",AEJ2)</f>
        <v/>
      </c>
      <c r="AEK3" s="1" t="str" cm="1">
        <f t="array" ref="AEK3">GetValue("Dmn","Name",AEK2)</f>
        <v/>
      </c>
      <c r="AEL3" s="1" t="str" cm="1">
        <f t="array" ref="AEL3">GetValue("Dmn","Name",AEL2)</f>
        <v/>
      </c>
      <c r="AEM3" s="1" t="str" cm="1">
        <f t="array" ref="AEM3">GetValue("Dmn","Name",AEM2)</f>
        <v/>
      </c>
      <c r="AEN3" s="1" t="str" cm="1">
        <f t="array" ref="AEN3">GetValue("Dmn","Name",AEN2)</f>
        <v/>
      </c>
      <c r="AEO3" s="1" t="str" cm="1">
        <f t="array" ref="AEO3">GetValue("Dmn","Name",AEO2)</f>
        <v/>
      </c>
      <c r="AEP3" s="1" t="str" cm="1">
        <f t="array" ref="AEP3">GetValue("Dmn","Name",AEP2)</f>
        <v/>
      </c>
      <c r="AEQ3" s="1" t="str" cm="1">
        <f t="array" ref="AEQ3">GetValue("Dmn","Name",AEQ2)</f>
        <v/>
      </c>
      <c r="AER3" s="1" t="str" cm="1">
        <f t="array" ref="AER3">GetValue("Dmn","Name",AER2)</f>
        <v/>
      </c>
      <c r="AES3" s="1" t="str" cm="1">
        <f t="array" ref="AES3">GetValue("Dmn","Name",AES2)</f>
        <v/>
      </c>
      <c r="AET3" s="1" t="str" cm="1">
        <f t="array" ref="AET3">GetValue("Dmn","Name",AET2)</f>
        <v/>
      </c>
      <c r="AEU3" s="1" t="str" cm="1">
        <f t="array" ref="AEU3">GetValue("Dmn","Name",AEU2)</f>
        <v/>
      </c>
      <c r="AEV3" s="1" t="str" cm="1">
        <f t="array" ref="AEV3">GetValue("Dmn","Name",AEV2)</f>
        <v/>
      </c>
      <c r="AEW3" s="1" t="str" cm="1">
        <f t="array" ref="AEW3">GetValue("Dmn","Name",AEW2)</f>
        <v/>
      </c>
      <c r="AEX3" s="1" t="str" cm="1">
        <f t="array" ref="AEX3">GetValue("Dmn","Name",AEX2)</f>
        <v/>
      </c>
      <c r="AEY3" s="1" t="str" cm="1">
        <f t="array" ref="AEY3">GetValue("Dmn","Name",AEY2)</f>
        <v/>
      </c>
      <c r="AEZ3" s="1" t="str" cm="1">
        <f t="array" ref="AEZ3">GetValue("Dmn","Name",AEZ2)</f>
        <v/>
      </c>
      <c r="AFA3" s="1" t="str" cm="1">
        <f t="array" ref="AFA3">GetValue("Dmn","Name",AFA2)</f>
        <v/>
      </c>
      <c r="AFB3" s="1" t="str" cm="1">
        <f t="array" ref="AFB3">GetValue("Dmn","Name",AFB2)</f>
        <v/>
      </c>
      <c r="AFC3" s="1" t="str" cm="1">
        <f t="array" ref="AFC3">GetValue("Dmn","Name",AFC2)</f>
        <v/>
      </c>
      <c r="AFD3" s="1" t="str" cm="1">
        <f t="array" ref="AFD3">GetValue("Dmn","Name",AFD2)</f>
        <v/>
      </c>
      <c r="AFE3" s="1" t="str" cm="1">
        <f t="array" ref="AFE3">GetValue("Dmn","Name",AFE2)</f>
        <v/>
      </c>
      <c r="AFF3" s="1" t="str" cm="1">
        <f t="array" ref="AFF3">GetValue("Dmn","Name",AFF2)</f>
        <v/>
      </c>
      <c r="AFG3" s="1" t="str" cm="1">
        <f t="array" ref="AFG3">GetValue("Dmn","Name",AFG2)</f>
        <v/>
      </c>
      <c r="AFH3" s="1" t="str" cm="1">
        <f t="array" ref="AFH3">GetValue("Dmn","Name",AFH2)</f>
        <v/>
      </c>
      <c r="AFI3" s="1" t="str" cm="1">
        <f t="array" ref="AFI3">GetValue("Dmn","Name",AFI2)</f>
        <v/>
      </c>
      <c r="AFJ3" s="1" t="str" cm="1">
        <f t="array" ref="AFJ3">GetValue("Dmn","Name",AFJ2)</f>
        <v/>
      </c>
      <c r="AFK3" s="1" t="str" cm="1">
        <f t="array" ref="AFK3">GetValue("Dmn","Name",AFK2)</f>
        <v/>
      </c>
      <c r="AFL3" s="1" t="str" cm="1">
        <f t="array" ref="AFL3">GetValue("Dmn","Name",AFL2)</f>
        <v/>
      </c>
      <c r="AFM3" s="1" t="str" cm="1">
        <f t="array" ref="AFM3">GetValue("Dmn","Name",AFM2)</f>
        <v/>
      </c>
      <c r="AFN3" s="1" t="str" cm="1">
        <f t="array" ref="AFN3">GetValue("Dmn","Name",AFN2)</f>
        <v/>
      </c>
      <c r="AFO3" s="1" t="str" cm="1">
        <f t="array" ref="AFO3">GetValue("Dmn","Name",AFO2)</f>
        <v/>
      </c>
      <c r="AFP3" s="1" t="str" cm="1">
        <f t="array" ref="AFP3">GetValue("Dmn","Name",AFP2)</f>
        <v/>
      </c>
      <c r="AFQ3" s="1" t="str" cm="1">
        <f t="array" ref="AFQ3">GetValue("Dmn","Name",AFQ2)</f>
        <v/>
      </c>
      <c r="AFR3" s="1" t="str" cm="1">
        <f t="array" ref="AFR3">GetValue("Dmn","Name",AFR2)</f>
        <v/>
      </c>
      <c r="AFS3" s="1" t="str" cm="1">
        <f t="array" ref="AFS3">GetValue("Dmn","Name",AFS2)</f>
        <v/>
      </c>
      <c r="AFT3" s="1" t="str" cm="1">
        <f t="array" ref="AFT3">GetValue("Dmn","Name",AFT2)</f>
        <v/>
      </c>
      <c r="AFU3" s="1" t="str" cm="1">
        <f t="array" ref="AFU3">GetValue("Dmn","Name",AFU2)</f>
        <v/>
      </c>
      <c r="AFV3" s="1" t="str" cm="1">
        <f t="array" ref="AFV3">GetValue("Dmn","Name",AFV2)</f>
        <v/>
      </c>
      <c r="AFW3" s="1" t="str" cm="1">
        <f t="array" ref="AFW3">GetValue("Dmn","Name",AFW2)</f>
        <v/>
      </c>
      <c r="AFX3" s="1" t="str" cm="1">
        <f t="array" ref="AFX3">GetValue("Dmn","Name",AFX2)</f>
        <v/>
      </c>
      <c r="AFY3" s="1" t="str" cm="1">
        <f t="array" ref="AFY3">GetValue("Dmn","Name",AFY2)</f>
        <v/>
      </c>
      <c r="AFZ3" s="1" t="str" cm="1">
        <f t="array" ref="AFZ3">GetValue("Dmn","Name",AFZ2)</f>
        <v/>
      </c>
      <c r="AGA3" s="1" t="str" cm="1">
        <f t="array" ref="AGA3">GetValue("Dmn","Name",AGA2)</f>
        <v/>
      </c>
      <c r="AGB3" s="1" t="str" cm="1">
        <f t="array" ref="AGB3">GetValue("Dmn","Name",AGB2)</f>
        <v/>
      </c>
      <c r="AGC3" s="1" t="str" cm="1">
        <f t="array" ref="AGC3">GetValue("Dmn","Name",AGC2)</f>
        <v/>
      </c>
      <c r="AGD3" s="1" t="str" cm="1">
        <f t="array" ref="AGD3">GetValue("Dmn","Name",AGD2)</f>
        <v/>
      </c>
      <c r="AGE3" s="1" t="str" cm="1">
        <f t="array" ref="AGE3">GetValue("Dmn","Name",AGE2)</f>
        <v/>
      </c>
      <c r="AGF3" s="1" t="str" cm="1">
        <f t="array" ref="AGF3">GetValue("Dmn","Name",AGF2)</f>
        <v/>
      </c>
      <c r="AGG3" s="1" t="str" cm="1">
        <f t="array" ref="AGG3">GetValue("Dmn","Name",AGG2)</f>
        <v/>
      </c>
      <c r="AGH3" s="1" t="str" cm="1">
        <f t="array" ref="AGH3">GetValue("Dmn","Name",AGH2)</f>
        <v/>
      </c>
      <c r="AGI3" s="1" t="str" cm="1">
        <f t="array" ref="AGI3">GetValue("Dmn","Name",AGI2)</f>
        <v/>
      </c>
      <c r="AGJ3" s="1" t="str" cm="1">
        <f t="array" ref="AGJ3">GetValue("Dmn","Name",AGJ2)</f>
        <v/>
      </c>
      <c r="AGK3" s="1" t="str" cm="1">
        <f t="array" ref="AGK3">GetValue("Dmn","Name",AGK2)</f>
        <v/>
      </c>
      <c r="AGL3" s="1" t="str" cm="1">
        <f t="array" ref="AGL3">GetValue("Dmn","Name",AGL2)</f>
        <v/>
      </c>
      <c r="AGM3" s="1" t="str" cm="1">
        <f t="array" ref="AGM3">GetValue("Dmn","Name",AGM2)</f>
        <v/>
      </c>
      <c r="AGN3" s="1" t="str" cm="1">
        <f t="array" ref="AGN3">GetValue("Dmn","Name",AGN2)</f>
        <v/>
      </c>
      <c r="AGO3" s="1" t="str" cm="1">
        <f t="array" ref="AGO3">GetValue("Dmn","Name",AGO2)</f>
        <v/>
      </c>
      <c r="AGP3" s="1" t="str" cm="1">
        <f t="array" ref="AGP3">GetValue("Dmn","Name",AGP2)</f>
        <v/>
      </c>
      <c r="AGQ3" s="1" t="str" cm="1">
        <f t="array" ref="AGQ3">GetValue("Dmn","Name",AGQ2)</f>
        <v/>
      </c>
      <c r="AGR3" s="1" t="str" cm="1">
        <f t="array" ref="AGR3">GetValue("Dmn","Name",AGR2)</f>
        <v/>
      </c>
      <c r="AGS3" s="1" t="str" cm="1">
        <f t="array" ref="AGS3">GetValue("Dmn","Name",AGS2)</f>
        <v/>
      </c>
      <c r="AGT3" s="1" t="str" cm="1">
        <f t="array" ref="AGT3">GetValue("Dmn","Name",AGT2)</f>
        <v/>
      </c>
      <c r="AGU3" s="1" t="str" cm="1">
        <f t="array" ref="AGU3">GetValue("Dmn","Name",AGU2)</f>
        <v/>
      </c>
      <c r="AGV3" s="1" t="str" cm="1">
        <f t="array" ref="AGV3">GetValue("Dmn","Name",AGV2)</f>
        <v/>
      </c>
      <c r="AGW3" s="1" t="str" cm="1">
        <f t="array" ref="AGW3">GetValue("Dmn","Name",AGW2)</f>
        <v/>
      </c>
      <c r="AGX3" s="1" t="str" cm="1">
        <f t="array" ref="AGX3">GetValue("Dmn","Name",AGX2)</f>
        <v/>
      </c>
      <c r="AGY3" s="1" t="str" cm="1">
        <f t="array" ref="AGY3">GetValue("Dmn","Name",AGY2)</f>
        <v/>
      </c>
      <c r="AGZ3" s="1" t="str" cm="1">
        <f t="array" ref="AGZ3">GetValue("Dmn","Name",AGZ2)</f>
        <v/>
      </c>
      <c r="AHA3" s="1" t="str" cm="1">
        <f t="array" ref="AHA3">GetValue("Dmn","Name",AHA2)</f>
        <v/>
      </c>
      <c r="AHB3" s="1" t="str" cm="1">
        <f t="array" ref="AHB3">GetValue("Dmn","Name",AHB2)</f>
        <v/>
      </c>
      <c r="AHC3" s="1" t="str" cm="1">
        <f t="array" ref="AHC3">GetValue("Dmn","Name",AHC2)</f>
        <v/>
      </c>
      <c r="AHD3" s="1" t="str" cm="1">
        <f t="array" ref="AHD3">GetValue("Dmn","Name",AHD2)</f>
        <v/>
      </c>
      <c r="AHE3" s="1" t="str" cm="1">
        <f t="array" ref="AHE3">GetValue("Dmn","Name",AHE2)</f>
        <v/>
      </c>
      <c r="AHF3" s="1" t="str" cm="1">
        <f t="array" ref="AHF3">GetValue("Dmn","Name",AHF2)</f>
        <v/>
      </c>
      <c r="AHG3" s="1" t="str" cm="1">
        <f t="array" ref="AHG3">GetValue("Dmn","Name",AHG2)</f>
        <v/>
      </c>
      <c r="AHH3" s="1" t="str" cm="1">
        <f t="array" ref="AHH3">GetValue("Dmn","Name",AHH2)</f>
        <v/>
      </c>
      <c r="AHI3" s="1" t="str" cm="1">
        <f t="array" ref="AHI3">GetValue("Dmn","Name",AHI2)</f>
        <v/>
      </c>
      <c r="AHJ3" s="1" t="str" cm="1">
        <f t="array" ref="AHJ3">GetValue("Dmn","Name",AHJ2)</f>
        <v/>
      </c>
      <c r="AHK3" s="1" t="str" cm="1">
        <f t="array" ref="AHK3">GetValue("Dmn","Name",AHK2)</f>
        <v/>
      </c>
      <c r="AHL3" s="1" t="str" cm="1">
        <f t="array" ref="AHL3">GetValue("Dmn","Name",AHL2)</f>
        <v/>
      </c>
      <c r="AHM3" s="1" t="str" cm="1">
        <f t="array" ref="AHM3">GetValue("Dmn","Name",AHM2)</f>
        <v/>
      </c>
      <c r="AHN3" s="1" t="str" cm="1">
        <f t="array" ref="AHN3">GetValue("Dmn","Name",AHN2)</f>
        <v/>
      </c>
      <c r="AHO3" s="1" t="str" cm="1">
        <f t="array" ref="AHO3">GetValue("Dmn","Name",AHO2)</f>
        <v/>
      </c>
      <c r="AHP3" s="1" t="str" cm="1">
        <f t="array" ref="AHP3">GetValue("Dmn","Name",AHP2)</f>
        <v/>
      </c>
      <c r="AHQ3" s="1" t="str" cm="1">
        <f t="array" ref="AHQ3">GetValue("Dmn","Name",AHQ2)</f>
        <v/>
      </c>
      <c r="AHR3" s="1" t="str" cm="1">
        <f t="array" ref="AHR3">GetValue("Dmn","Name",AHR2)</f>
        <v/>
      </c>
      <c r="AHS3" s="1" t="str" cm="1">
        <f t="array" ref="AHS3">GetValue("Dmn","Name",AHS2)</f>
        <v/>
      </c>
      <c r="AHT3" s="1" t="str" cm="1">
        <f t="array" ref="AHT3">GetValue("Dmn","Name",AHT2)</f>
        <v/>
      </c>
      <c r="AHU3" s="1" t="str" cm="1">
        <f t="array" ref="AHU3">GetValue("Dmn","Name",AHU2)</f>
        <v/>
      </c>
      <c r="AHV3" s="1" t="str" cm="1">
        <f t="array" ref="AHV3">GetValue("Dmn","Name",AHV2)</f>
        <v/>
      </c>
      <c r="AHW3" s="1" t="str" cm="1">
        <f t="array" ref="AHW3">GetValue("Dmn","Name",AHW2)</f>
        <v/>
      </c>
      <c r="AHX3" s="1" t="str" cm="1">
        <f t="array" ref="AHX3">GetValue("Dmn","Name",AHX2)</f>
        <v/>
      </c>
      <c r="AHY3" s="1" t="str" cm="1">
        <f t="array" ref="AHY3">GetValue("Dmn","Name",AHY2)</f>
        <v/>
      </c>
      <c r="AHZ3" s="1" t="str" cm="1">
        <f t="array" ref="AHZ3">GetValue("Dmn","Name",AHZ2)</f>
        <v/>
      </c>
      <c r="AIA3" s="1" t="str" cm="1">
        <f t="array" ref="AIA3">GetValue("Dmn","Name",AIA2)</f>
        <v/>
      </c>
      <c r="AIB3" s="1" t="str" cm="1">
        <f t="array" ref="AIB3">GetValue("Dmn","Name",AIB2)</f>
        <v/>
      </c>
      <c r="AIC3" s="1" t="str" cm="1">
        <f t="array" ref="AIC3">GetValue("Dmn","Name",AIC2)</f>
        <v/>
      </c>
      <c r="AID3" s="1" t="str" cm="1">
        <f t="array" ref="AID3">GetValue("Dmn","Name",AID2)</f>
        <v/>
      </c>
      <c r="AIE3" s="1" t="str" cm="1">
        <f t="array" ref="AIE3">GetValue("Dmn","Name",AIE2)</f>
        <v/>
      </c>
      <c r="AIF3" s="1" t="str" cm="1">
        <f t="array" ref="AIF3">GetValue("Dmn","Name",AIF2)</f>
        <v/>
      </c>
      <c r="AIG3" s="1" t="str" cm="1">
        <f t="array" ref="AIG3">GetValue("Dmn","Name",AIG2)</f>
        <v/>
      </c>
      <c r="AIH3" s="1" t="str" cm="1">
        <f t="array" ref="AIH3">GetValue("Dmn","Name",AIH2)</f>
        <v/>
      </c>
      <c r="AII3" s="1" t="str" cm="1">
        <f t="array" ref="AII3">GetValue("Dmn","Name",AII2)</f>
        <v/>
      </c>
      <c r="AIJ3" s="1" t="str" cm="1">
        <f t="array" ref="AIJ3">GetValue("Dmn","Name",AIJ2)</f>
        <v/>
      </c>
      <c r="AIK3" s="1" t="str" cm="1">
        <f t="array" ref="AIK3">GetValue("Dmn","Name",AIK2)</f>
        <v/>
      </c>
      <c r="AIL3" s="1" t="str" cm="1">
        <f t="array" ref="AIL3">GetValue("Dmn","Name",AIL2)</f>
        <v/>
      </c>
      <c r="AIM3" s="1" t="str" cm="1">
        <f t="array" ref="AIM3">GetValue("Dmn","Name",AIM2)</f>
        <v/>
      </c>
      <c r="AIN3" s="1" t="str" cm="1">
        <f t="array" ref="AIN3">GetValue("Dmn","Name",AIN2)</f>
        <v/>
      </c>
      <c r="AIO3" s="1" t="str" cm="1">
        <f t="array" ref="AIO3">GetValue("Dmn","Name",AIO2)</f>
        <v/>
      </c>
      <c r="AIP3" s="1" t="str" cm="1">
        <f t="array" ref="AIP3">GetValue("Dmn","Name",AIP2)</f>
        <v/>
      </c>
      <c r="AIQ3" s="1" t="str" cm="1">
        <f t="array" ref="AIQ3">GetValue("Dmn","Name",AIQ2)</f>
        <v/>
      </c>
      <c r="AIR3" s="1" t="str" cm="1">
        <f t="array" ref="AIR3">GetValue("Dmn","Name",AIR2)</f>
        <v/>
      </c>
      <c r="AIS3" s="1" t="str" cm="1">
        <f t="array" ref="AIS3">GetValue("Dmn","Name",AIS2)</f>
        <v/>
      </c>
      <c r="AIT3" s="1" t="str" cm="1">
        <f t="array" ref="AIT3">GetValue("Dmn","Name",AIT2)</f>
        <v/>
      </c>
      <c r="AIU3" s="1" t="str" cm="1">
        <f t="array" ref="AIU3">GetValue("Dmn","Name",AIU2)</f>
        <v/>
      </c>
      <c r="AIV3" s="1" t="str" cm="1">
        <f t="array" ref="AIV3">GetValue("Dmn","Name",AIV2)</f>
        <v/>
      </c>
      <c r="AIW3" s="1" t="str" cm="1">
        <f t="array" ref="AIW3">GetValue("Dmn","Name",AIW2)</f>
        <v/>
      </c>
      <c r="AIX3" s="1" t="str" cm="1">
        <f t="array" ref="AIX3">GetValue("Dmn","Name",AIX2)</f>
        <v/>
      </c>
      <c r="AIY3" s="1" t="str" cm="1">
        <f t="array" ref="AIY3">GetValue("Dmn","Name",AIY2)</f>
        <v/>
      </c>
      <c r="AIZ3" s="1" t="str" cm="1">
        <f t="array" ref="AIZ3">GetValue("Dmn","Name",AIZ2)</f>
        <v/>
      </c>
      <c r="AJA3" s="1" t="str" cm="1">
        <f t="array" ref="AJA3">GetValue("Dmn","Name",AJA2)</f>
        <v/>
      </c>
      <c r="AJB3" s="1" t="str" cm="1">
        <f t="array" ref="AJB3">GetValue("Dmn","Name",AJB2)</f>
        <v/>
      </c>
      <c r="AJC3" s="1" t="str" cm="1">
        <f t="array" ref="AJC3">GetValue("Dmn","Name",AJC2)</f>
        <v/>
      </c>
      <c r="AJD3" s="1" t="str" cm="1">
        <f t="array" ref="AJD3">GetValue("Dmn","Name",AJD2)</f>
        <v/>
      </c>
      <c r="AJE3" s="1" t="str" cm="1">
        <f t="array" ref="AJE3">GetValue("Dmn","Name",AJE2)</f>
        <v/>
      </c>
      <c r="AJF3" s="1" t="str" cm="1">
        <f t="array" ref="AJF3">GetValue("Dmn","Name",AJF2)</f>
        <v/>
      </c>
      <c r="AJG3" s="1" t="str" cm="1">
        <f t="array" ref="AJG3">GetValue("Dmn","Name",AJG2)</f>
        <v/>
      </c>
      <c r="AJH3" s="1" t="str" cm="1">
        <f t="array" ref="AJH3">GetValue("Dmn","Name",AJH2)</f>
        <v/>
      </c>
      <c r="AJI3" s="1" t="str" cm="1">
        <f t="array" ref="AJI3">GetValue("Dmn","Name",AJI2)</f>
        <v/>
      </c>
      <c r="AJJ3" s="1" t="str" cm="1">
        <f t="array" ref="AJJ3">GetValue("Dmn","Name",AJJ2)</f>
        <v/>
      </c>
      <c r="AJK3" s="1" t="str" cm="1">
        <f t="array" ref="AJK3">GetValue("Dmn","Name",AJK2)</f>
        <v/>
      </c>
      <c r="AJL3" s="1" t="str" cm="1">
        <f t="array" ref="AJL3">GetValue("Dmn","Name",AJL2)</f>
        <v/>
      </c>
      <c r="AJM3" s="1" t="str" cm="1">
        <f t="array" ref="AJM3">GetValue("Dmn","Name",AJM2)</f>
        <v/>
      </c>
      <c r="AJN3" s="1" t="str" cm="1">
        <f t="array" ref="AJN3">GetValue("Dmn","Name",AJN2)</f>
        <v/>
      </c>
      <c r="AJO3" s="1" t="str" cm="1">
        <f t="array" ref="AJO3">GetValue("Dmn","Name",AJO2)</f>
        <v/>
      </c>
      <c r="AJP3" s="1" t="str" cm="1">
        <f t="array" ref="AJP3">GetValue("Dmn","Name",AJP2)</f>
        <v/>
      </c>
      <c r="AJQ3" s="1" t="str" cm="1">
        <f t="array" ref="AJQ3">GetValue("Dmn","Name",AJQ2)</f>
        <v/>
      </c>
      <c r="AJR3" s="1" t="str" cm="1">
        <f t="array" ref="AJR3">GetValue("Dmn","Name",AJR2)</f>
        <v/>
      </c>
      <c r="AJS3" s="1" t="str" cm="1">
        <f t="array" ref="AJS3">GetValue("Dmn","Name",AJS2)</f>
        <v/>
      </c>
      <c r="AJT3" s="1" t="str" cm="1">
        <f t="array" ref="AJT3">GetValue("Dmn","Name",AJT2)</f>
        <v/>
      </c>
      <c r="AJU3" s="1" t="str" cm="1">
        <f t="array" ref="AJU3">GetValue("Dmn","Name",AJU2)</f>
        <v/>
      </c>
      <c r="AJV3" s="1" t="str" cm="1">
        <f t="array" ref="AJV3">GetValue("Dmn","Name",AJV2)</f>
        <v/>
      </c>
      <c r="AJW3" s="1" t="str" cm="1">
        <f t="array" ref="AJW3">GetValue("Dmn","Name",AJW2)</f>
        <v/>
      </c>
      <c r="AJX3" s="1" t="str" cm="1">
        <f t="array" ref="AJX3">GetValue("Dmn","Name",AJX2)</f>
        <v/>
      </c>
      <c r="AJY3" s="1" t="str" cm="1">
        <f t="array" ref="AJY3">GetValue("Dmn","Name",AJY2)</f>
        <v/>
      </c>
      <c r="AJZ3" s="1" t="str" cm="1">
        <f t="array" ref="AJZ3">GetValue("Dmn","Name",AJZ2)</f>
        <v/>
      </c>
      <c r="AKA3" s="1" t="str" cm="1">
        <f t="array" ref="AKA3">GetValue("Dmn","Name",AKA2)</f>
        <v/>
      </c>
      <c r="AKB3" s="1" t="str" cm="1">
        <f t="array" ref="AKB3">GetValue("Dmn","Name",AKB2)</f>
        <v/>
      </c>
      <c r="AKC3" s="1" t="str" cm="1">
        <f t="array" ref="AKC3">GetValue("Dmn","Name",AKC2)</f>
        <v/>
      </c>
      <c r="AKD3" s="1" t="str" cm="1">
        <f t="array" ref="AKD3">GetValue("Dmn","Name",AKD2)</f>
        <v/>
      </c>
      <c r="AKE3" s="1" t="str" cm="1">
        <f t="array" ref="AKE3">GetValue("Dmn","Name",AKE2)</f>
        <v/>
      </c>
      <c r="AKF3" s="1" t="str" cm="1">
        <f t="array" ref="AKF3">GetValue("Dmn","Name",AKF2)</f>
        <v/>
      </c>
      <c r="AKG3" s="1" t="str" cm="1">
        <f t="array" ref="AKG3">GetValue("Dmn","Name",AKG2)</f>
        <v/>
      </c>
      <c r="AKH3" s="1" t="str" cm="1">
        <f t="array" ref="AKH3">GetValue("Dmn","Name",AKH2)</f>
        <v/>
      </c>
      <c r="AKI3" s="1" t="str" cm="1">
        <f t="array" ref="AKI3">GetValue("Dmn","Name",AKI2)</f>
        <v/>
      </c>
      <c r="AKJ3" s="1" t="str" cm="1">
        <f t="array" ref="AKJ3">GetValue("Dmn","Name",AKJ2)</f>
        <v/>
      </c>
      <c r="AKK3" s="1" t="str" cm="1">
        <f t="array" ref="AKK3">GetValue("Dmn","Name",AKK2)</f>
        <v/>
      </c>
      <c r="AKL3" s="1" t="str" cm="1">
        <f t="array" ref="AKL3">GetValue("Dmn","Name",AKL2)</f>
        <v/>
      </c>
      <c r="AKM3" s="1" t="str" cm="1">
        <f t="array" ref="AKM3">GetValue("Dmn","Name",AKM2)</f>
        <v/>
      </c>
      <c r="AKN3" s="1" t="str" cm="1">
        <f t="array" ref="AKN3">GetValue("Dmn","Name",AKN2)</f>
        <v/>
      </c>
      <c r="AKO3" s="1" t="str" cm="1">
        <f t="array" ref="AKO3">GetValue("Dmn","Name",AKO2)</f>
        <v/>
      </c>
      <c r="AKP3" s="1" t="str" cm="1">
        <f t="array" ref="AKP3">GetValue("Dmn","Name",AKP2)</f>
        <v/>
      </c>
      <c r="AKQ3" s="1" t="str" cm="1">
        <f t="array" ref="AKQ3">GetValue("Dmn","Name",AKQ2)</f>
        <v/>
      </c>
      <c r="AKR3" s="1" t="str" cm="1">
        <f t="array" ref="AKR3">GetValue("Dmn","Name",AKR2)</f>
        <v/>
      </c>
      <c r="AKS3" s="1" t="str" cm="1">
        <f t="array" ref="AKS3">GetValue("Dmn","Name",AKS2)</f>
        <v/>
      </c>
      <c r="AKT3" s="1" t="str" cm="1">
        <f t="array" ref="AKT3">GetValue("Dmn","Name",AKT2)</f>
        <v/>
      </c>
      <c r="AKU3" s="1" t="str" cm="1">
        <f t="array" ref="AKU3">GetValue("Dmn","Name",AKU2)</f>
        <v/>
      </c>
      <c r="AKV3" s="1" t="str" cm="1">
        <f t="array" ref="AKV3">GetValue("Dmn","Name",AKV2)</f>
        <v/>
      </c>
      <c r="AKW3" s="1" t="str" cm="1">
        <f t="array" ref="AKW3">GetValue("Dmn","Name",AKW2)</f>
        <v/>
      </c>
      <c r="AKX3" s="1" t="str" cm="1">
        <f t="array" ref="AKX3">GetValue("Dmn","Name",AKX2)</f>
        <v/>
      </c>
      <c r="AKY3" s="1" t="str" cm="1">
        <f t="array" ref="AKY3">GetValue("Dmn","Name",AKY2)</f>
        <v/>
      </c>
      <c r="AKZ3" s="1" t="str" cm="1">
        <f t="array" ref="AKZ3">GetValue("Dmn","Name",AKZ2)</f>
        <v/>
      </c>
      <c r="ALA3" s="1" t="str" cm="1">
        <f t="array" ref="ALA3">GetValue("Dmn","Name",ALA2)</f>
        <v/>
      </c>
      <c r="ALB3" s="1" t="str" cm="1">
        <f t="array" ref="ALB3">GetValue("Dmn","Name",ALB2)</f>
        <v/>
      </c>
      <c r="ALC3" s="1" t="str" cm="1">
        <f t="array" ref="ALC3">GetValue("Dmn","Name",ALC2)</f>
        <v/>
      </c>
      <c r="ALD3" s="1" t="str" cm="1">
        <f t="array" ref="ALD3">GetValue("Dmn","Name",ALD2)</f>
        <v/>
      </c>
      <c r="ALE3" s="1" t="str" cm="1">
        <f t="array" ref="ALE3">GetValue("Dmn","Name",ALE2)</f>
        <v/>
      </c>
      <c r="ALF3" s="1" t="str" cm="1">
        <f t="array" ref="ALF3">GetValue("Dmn","Name",ALF2)</f>
        <v/>
      </c>
      <c r="ALG3" s="1" t="str" cm="1">
        <f t="array" ref="ALG3">GetValue("Dmn","Name",ALG2)</f>
        <v/>
      </c>
      <c r="ALH3" s="1" t="str" cm="1">
        <f t="array" ref="ALH3">GetValue("Dmn","Name",ALH2)</f>
        <v/>
      </c>
      <c r="ALI3" s="1" t="str" cm="1">
        <f t="array" ref="ALI3">GetValue("Dmn","Name",ALI2)</f>
        <v/>
      </c>
      <c r="ALJ3" s="1" t="str" cm="1">
        <f t="array" ref="ALJ3">GetValue("Dmn","Name",ALJ2)</f>
        <v/>
      </c>
      <c r="ALK3" s="1" t="str" cm="1">
        <f t="array" ref="ALK3">GetValue("Dmn","Name",ALK2)</f>
        <v/>
      </c>
      <c r="ALL3" s="1" t="str" cm="1">
        <f t="array" ref="ALL3">GetValue("Dmn","Name",ALL2)</f>
        <v/>
      </c>
      <c r="ALM3" s="1" t="str" cm="1">
        <f t="array" ref="ALM3">GetValue("Dmn","Name",ALM2)</f>
        <v/>
      </c>
      <c r="ALN3" s="1" t="str" cm="1">
        <f t="array" ref="ALN3">GetValue("Dmn","Name",ALN2)</f>
        <v/>
      </c>
      <c r="ALO3" s="1" t="str" cm="1">
        <f t="array" ref="ALO3">GetValue("Dmn","Name",ALO2)</f>
        <v/>
      </c>
      <c r="ALP3" s="1" t="str" cm="1">
        <f t="array" ref="ALP3">GetValue("Dmn","Name",ALP2)</f>
        <v/>
      </c>
      <c r="ALQ3" s="1" t="str" cm="1">
        <f t="array" ref="ALQ3">GetValue("Dmn","Name",ALQ2)</f>
        <v/>
      </c>
      <c r="ALR3" s="1" t="str" cm="1">
        <f t="array" ref="ALR3">GetValue("Dmn","Name",ALR2)</f>
        <v/>
      </c>
      <c r="ALS3" s="1" t="str" cm="1">
        <f t="array" ref="ALS3">GetValue("Dmn","Name",ALS2)</f>
        <v/>
      </c>
      <c r="ALT3" s="1" t="str" cm="1">
        <f t="array" ref="ALT3">GetValue("Dmn","Name",ALT2)</f>
        <v/>
      </c>
      <c r="ALU3" s="1" t="str" cm="1">
        <f t="array" ref="ALU3">GetValue("Dmn","Name",ALU2)</f>
        <v/>
      </c>
      <c r="ALV3" s="1" t="str" cm="1">
        <f t="array" ref="ALV3">GetValue("Dmn","Name",ALV2)</f>
        <v/>
      </c>
      <c r="ALW3" s="1" t="str" cm="1">
        <f t="array" ref="ALW3">GetValue("Dmn","Name",ALW2)</f>
        <v/>
      </c>
      <c r="ALX3" s="1" t="str" cm="1">
        <f t="array" ref="ALX3">GetValue("Dmn","Name",ALX2)</f>
        <v/>
      </c>
      <c r="ALY3" s="1" t="str" cm="1">
        <f t="array" ref="ALY3">GetValue("Dmn","Name",ALY2)</f>
        <v/>
      </c>
      <c r="ALZ3" s="1" t="str" cm="1">
        <f t="array" ref="ALZ3">GetValue("Dmn","Name",ALZ2)</f>
        <v/>
      </c>
      <c r="AMA3" s="1" t="str" cm="1">
        <f t="array" ref="AMA3">GetValue("Dmn","Name",AMA2)</f>
        <v/>
      </c>
      <c r="AMB3" s="1" t="str" cm="1">
        <f t="array" ref="AMB3">GetValue("Dmn","Name",AMB2)</f>
        <v/>
      </c>
      <c r="AMC3" s="1" t="str" cm="1">
        <f t="array" ref="AMC3">GetValue("Dmn","Name",AMC2)</f>
        <v/>
      </c>
      <c r="AMD3" s="1" t="str" cm="1">
        <f t="array" ref="AMD3">GetValue("Dmn","Name",AMD2)</f>
        <v/>
      </c>
      <c r="AME3" s="1" t="str" cm="1">
        <f t="array" ref="AME3">GetValue("Dmn","Name",AME2)</f>
        <v/>
      </c>
      <c r="AMF3" s="1" t="str" cm="1">
        <f t="array" ref="AMF3">GetValue("Dmn","Name",AMF2)</f>
        <v/>
      </c>
      <c r="AMG3" s="1" t="str" cm="1">
        <f t="array" ref="AMG3">GetValue("Dmn","Name",AMG2)</f>
        <v/>
      </c>
      <c r="AMH3" s="1" t="str" cm="1">
        <f t="array" ref="AMH3">GetValue("Dmn","Name",AMH2)</f>
        <v/>
      </c>
      <c r="AMI3" s="1" t="str" cm="1">
        <f t="array" ref="AMI3">GetValue("Dmn","Name",AMI2)</f>
        <v/>
      </c>
      <c r="AMJ3" s="1" t="str" cm="1">
        <f t="array" ref="AMJ3">GetValue("Dmn","Name",AMJ2)</f>
        <v/>
      </c>
      <c r="AMK3" s="1" t="str" cm="1">
        <f t="array" ref="AMK3">GetValue("Dmn","Name",AMK2)</f>
        <v/>
      </c>
      <c r="AML3" s="1" t="str" cm="1">
        <f t="array" ref="AML3">GetValue("Dmn","Name",AML2)</f>
        <v/>
      </c>
      <c r="AMM3" s="1" t="str" cm="1">
        <f t="array" ref="AMM3">GetValue("Dmn","Name",AMM2)</f>
        <v/>
      </c>
      <c r="AMN3" s="1" t="str" cm="1">
        <f t="array" ref="AMN3">GetValue("Dmn","Name",AMN2)</f>
        <v/>
      </c>
      <c r="AMO3" s="1" t="str" cm="1">
        <f t="array" ref="AMO3">GetValue("Dmn","Name",AMO2)</f>
        <v/>
      </c>
      <c r="AMP3" s="1" t="str" cm="1">
        <f t="array" ref="AMP3">GetValue("Dmn","Name",AMP2)</f>
        <v/>
      </c>
      <c r="AMQ3" s="1" t="str" cm="1">
        <f t="array" ref="AMQ3">GetValue("Dmn","Name",AMQ2)</f>
        <v/>
      </c>
      <c r="AMR3" s="1" t="str" cm="1">
        <f t="array" ref="AMR3">GetValue("Dmn","Name",AMR2)</f>
        <v/>
      </c>
      <c r="AMS3" s="1" t="str" cm="1">
        <f t="array" ref="AMS3">GetValue("Dmn","Name",AMS2)</f>
        <v/>
      </c>
      <c r="AMT3" s="1" t="str" cm="1">
        <f t="array" ref="AMT3">GetValue("Dmn","Name",AMT2)</f>
        <v/>
      </c>
      <c r="AMU3" s="1" t="str" cm="1">
        <f t="array" ref="AMU3">GetValue("Dmn","Name",AMU2)</f>
        <v/>
      </c>
      <c r="AMV3" s="1" t="str" cm="1">
        <f t="array" ref="AMV3">GetValue("Dmn","Name",AMV2)</f>
        <v/>
      </c>
      <c r="AMW3" s="1" t="str" cm="1">
        <f t="array" ref="AMW3">GetValue("Dmn","Name",AMW2)</f>
        <v/>
      </c>
      <c r="AMX3" s="1" t="str" cm="1">
        <f t="array" ref="AMX3">GetValue("Dmn","Name",AMX2)</f>
        <v/>
      </c>
      <c r="AMY3" s="1" t="str" cm="1">
        <f t="array" ref="AMY3">GetValue("Dmn","Name",AMY2)</f>
        <v/>
      </c>
      <c r="AMZ3" s="1" t="str" cm="1">
        <f t="array" ref="AMZ3">GetValue("Dmn","Name",AMZ2)</f>
        <v/>
      </c>
      <c r="ANA3" s="1" t="str" cm="1">
        <f t="array" ref="ANA3">GetValue("Dmn","Name",ANA2)</f>
        <v/>
      </c>
      <c r="ANB3" s="1" t="str" cm="1">
        <f t="array" ref="ANB3">GetValue("Dmn","Name",ANB2)</f>
        <v/>
      </c>
      <c r="ANC3" s="1" t="str" cm="1">
        <f t="array" ref="ANC3">GetValue("Dmn","Name",ANC2)</f>
        <v/>
      </c>
      <c r="AND3" s="1" t="str" cm="1">
        <f t="array" ref="AND3">GetValue("Dmn","Name",AND2)</f>
        <v/>
      </c>
      <c r="ANE3" s="1" t="str" cm="1">
        <f t="array" ref="ANE3">GetValue("Dmn","Name",ANE2)</f>
        <v/>
      </c>
      <c r="ANF3" s="1" t="str" cm="1">
        <f t="array" ref="ANF3">GetValue("Dmn","Name",ANF2)</f>
        <v/>
      </c>
      <c r="ANG3" s="1" t="str" cm="1">
        <f t="array" ref="ANG3">GetValue("Dmn","Name",ANG2)</f>
        <v/>
      </c>
      <c r="ANH3" s="1" t="str" cm="1">
        <f t="array" ref="ANH3">GetValue("Dmn","Name",ANH2)</f>
        <v/>
      </c>
      <c r="ANI3" s="1" t="str" cm="1">
        <f t="array" ref="ANI3">GetValue("Dmn","Name",ANI2)</f>
        <v/>
      </c>
      <c r="ANJ3" s="1" t="str" cm="1">
        <f t="array" ref="ANJ3">GetValue("Dmn","Name",ANJ2)</f>
        <v/>
      </c>
      <c r="ANK3" s="1" t="str" cm="1">
        <f t="array" ref="ANK3">GetValue("Dmn","Name",ANK2)</f>
        <v/>
      </c>
      <c r="ANL3" s="1" t="str" cm="1">
        <f t="array" ref="ANL3">GetValue("Dmn","Name",ANL2)</f>
        <v/>
      </c>
      <c r="ANM3" s="1" t="str" cm="1">
        <f t="array" ref="ANM3">GetValue("Dmn","Name",ANM2)</f>
        <v/>
      </c>
      <c r="ANN3" s="1" t="str" cm="1">
        <f t="array" ref="ANN3">GetValue("Dmn","Name",ANN2)</f>
        <v/>
      </c>
      <c r="ANO3" s="1" t="str" cm="1">
        <f t="array" ref="ANO3">GetValue("Dmn","Name",ANO2)</f>
        <v/>
      </c>
      <c r="ANP3" s="1" t="str" cm="1">
        <f t="array" ref="ANP3">GetValue("Dmn","Name",ANP2)</f>
        <v/>
      </c>
      <c r="ANQ3" s="1" t="str" cm="1">
        <f t="array" ref="ANQ3">GetValue("Dmn","Name",ANQ2)</f>
        <v/>
      </c>
      <c r="ANR3" s="1" t="str" cm="1">
        <f t="array" ref="ANR3">GetValue("Dmn","Name",ANR2)</f>
        <v/>
      </c>
      <c r="ANS3" s="1" t="str" cm="1">
        <f t="array" ref="ANS3">GetValue("Dmn","Name",ANS2)</f>
        <v/>
      </c>
      <c r="ANT3" s="1" t="str" cm="1">
        <f t="array" ref="ANT3">GetValue("Dmn","Name",ANT2)</f>
        <v/>
      </c>
      <c r="ANU3" s="1" t="str" cm="1">
        <f t="array" ref="ANU3">GetValue("Dmn","Name",ANU2)</f>
        <v/>
      </c>
      <c r="ANV3" s="1" t="str" cm="1">
        <f t="array" ref="ANV3">GetValue("Dmn","Name",ANV2)</f>
        <v/>
      </c>
      <c r="ANW3" s="1" t="str" cm="1">
        <f t="array" ref="ANW3">GetValue("Dmn","Name",ANW2)</f>
        <v/>
      </c>
      <c r="ANX3" s="1" t="str" cm="1">
        <f t="array" ref="ANX3">GetValue("Dmn","Name",ANX2)</f>
        <v/>
      </c>
      <c r="ANY3" s="1" t="str" cm="1">
        <f t="array" ref="ANY3">GetValue("Dmn","Name",ANY2)</f>
        <v/>
      </c>
      <c r="ANZ3" s="1" t="str" cm="1">
        <f t="array" ref="ANZ3">GetValue("Dmn","Name",ANZ2)</f>
        <v/>
      </c>
      <c r="AOA3" s="1" t="str" cm="1">
        <f t="array" ref="AOA3">GetValue("Dmn","Name",AOA2)</f>
        <v/>
      </c>
      <c r="AOB3" s="1" t="str" cm="1">
        <f t="array" ref="AOB3">GetValue("Dmn","Name",AOB2)</f>
        <v/>
      </c>
      <c r="AOC3" s="1" t="str" cm="1">
        <f t="array" ref="AOC3">GetValue("Dmn","Name",AOC2)</f>
        <v/>
      </c>
      <c r="AOD3" s="1" t="str" cm="1">
        <f t="array" ref="AOD3">GetValue("Dmn","Name",AOD2)</f>
        <v/>
      </c>
      <c r="AOE3" s="1" t="str" cm="1">
        <f t="array" ref="AOE3">GetValue("Dmn","Name",AOE2)</f>
        <v/>
      </c>
      <c r="AOF3" s="1" t="str" cm="1">
        <f t="array" ref="AOF3">GetValue("Dmn","Name",AOF2)</f>
        <v/>
      </c>
      <c r="AOG3" s="1" t="str" cm="1">
        <f t="array" ref="AOG3">GetValue("Dmn","Name",AOG2)</f>
        <v/>
      </c>
      <c r="AOH3" s="1" t="str" cm="1">
        <f t="array" ref="AOH3">GetValue("Dmn","Name",AOH2)</f>
        <v/>
      </c>
      <c r="AOI3" s="1" t="str" cm="1">
        <f t="array" ref="AOI3">GetValue("Dmn","Name",AOI2)</f>
        <v/>
      </c>
      <c r="AOJ3" s="1" t="str" cm="1">
        <f t="array" ref="AOJ3">GetValue("Dmn","Name",AOJ2)</f>
        <v/>
      </c>
      <c r="AOK3" s="1" t="str" cm="1">
        <f t="array" ref="AOK3">GetValue("Dmn","Name",AOK2)</f>
        <v/>
      </c>
      <c r="AOL3" s="1" t="str" cm="1">
        <f t="array" ref="AOL3">GetValue("Dmn","Name",AOL2)</f>
        <v/>
      </c>
      <c r="AOM3" s="1" t="str" cm="1">
        <f t="array" ref="AOM3">GetValue("Dmn","Name",AOM2)</f>
        <v/>
      </c>
      <c r="AON3" s="1" t="str" cm="1">
        <f t="array" ref="AON3">GetValue("Dmn","Name",AON2)</f>
        <v/>
      </c>
      <c r="AOO3" s="1" t="str" cm="1">
        <f t="array" ref="AOO3">GetValue("Dmn","Name",AOO2)</f>
        <v/>
      </c>
      <c r="AOP3" s="1" t="str" cm="1">
        <f t="array" ref="AOP3">GetValue("Dmn","Name",AOP2)</f>
        <v/>
      </c>
      <c r="AOQ3" s="1" t="str" cm="1">
        <f t="array" ref="AOQ3">GetValue("Dmn","Name",AOQ2)</f>
        <v/>
      </c>
      <c r="AOR3" s="1" t="str" cm="1">
        <f t="array" ref="AOR3">GetValue("Dmn","Name",AOR2)</f>
        <v/>
      </c>
      <c r="AOS3" s="1" t="str" cm="1">
        <f t="array" ref="AOS3">GetValue("Dmn","Name",AOS2)</f>
        <v/>
      </c>
      <c r="AOT3" s="1" t="str" cm="1">
        <f t="array" ref="AOT3">GetValue("Dmn","Name",AOT2)</f>
        <v/>
      </c>
      <c r="AOU3" s="1" t="str" cm="1">
        <f t="array" ref="AOU3">GetValue("Dmn","Name",AOU2)</f>
        <v/>
      </c>
      <c r="AOV3" s="1" t="str" cm="1">
        <f t="array" ref="AOV3">GetValue("Dmn","Name",AOV2)</f>
        <v/>
      </c>
      <c r="AOW3" s="1" t="str" cm="1">
        <f t="array" ref="AOW3">GetValue("Dmn","Name",AOW2)</f>
        <v/>
      </c>
      <c r="AOX3" s="1" t="str" cm="1">
        <f t="array" ref="AOX3">GetValue("Dmn","Name",AOX2)</f>
        <v/>
      </c>
      <c r="AOY3" s="1" t="str" cm="1">
        <f t="array" ref="AOY3">GetValue("Dmn","Name",AOY2)</f>
        <v/>
      </c>
      <c r="AOZ3" s="1" t="str" cm="1">
        <f t="array" ref="AOZ3">GetValue("Dmn","Name",AOZ2)</f>
        <v/>
      </c>
      <c r="APA3" s="1" t="str" cm="1">
        <f t="array" ref="APA3">GetValue("Dmn","Name",APA2)</f>
        <v/>
      </c>
      <c r="APB3" s="1" t="str" cm="1">
        <f t="array" ref="APB3">GetValue("Dmn","Name",APB2)</f>
        <v/>
      </c>
      <c r="APC3" s="1" t="str" cm="1">
        <f t="array" ref="APC3">GetValue("Dmn","Name",APC2)</f>
        <v/>
      </c>
      <c r="APD3" s="1" t="str" cm="1">
        <f t="array" ref="APD3">GetValue("Dmn","Name",APD2)</f>
        <v/>
      </c>
      <c r="APE3" s="1" t="str" cm="1">
        <f t="array" ref="APE3">GetValue("Dmn","Name",APE2)</f>
        <v/>
      </c>
      <c r="APF3" s="1" t="str" cm="1">
        <f t="array" ref="APF3">GetValue("Dmn","Name",APF2)</f>
        <v/>
      </c>
      <c r="APG3" s="1" t="str" cm="1">
        <f t="array" ref="APG3">GetValue("Dmn","Name",APG2)</f>
        <v/>
      </c>
      <c r="APH3" s="1" t="str" cm="1">
        <f t="array" ref="APH3">GetValue("Dmn","Name",APH2)</f>
        <v/>
      </c>
      <c r="API3" s="1" t="str" cm="1">
        <f t="array" ref="API3">GetValue("Dmn","Name",API2)</f>
        <v/>
      </c>
      <c r="APJ3" s="1" t="str" cm="1">
        <f t="array" ref="APJ3">GetValue("Dmn","Name",APJ2)</f>
        <v/>
      </c>
      <c r="APK3" s="1" t="str" cm="1">
        <f t="array" ref="APK3">GetValue("Dmn","Name",APK2)</f>
        <v/>
      </c>
      <c r="APL3" s="1" t="str" cm="1">
        <f t="array" ref="APL3">GetValue("Dmn","Name",APL2)</f>
        <v/>
      </c>
      <c r="APM3" s="1" t="str" cm="1">
        <f t="array" ref="APM3">GetValue("Dmn","Name",APM2)</f>
        <v/>
      </c>
      <c r="APN3" s="1" t="str" cm="1">
        <f t="array" ref="APN3">GetValue("Dmn","Name",APN2)</f>
        <v/>
      </c>
      <c r="APO3" s="1" t="str" cm="1">
        <f t="array" ref="APO3">GetValue("Dmn","Name",APO2)</f>
        <v/>
      </c>
      <c r="APP3" s="1" t="str" cm="1">
        <f t="array" ref="APP3">GetValue("Dmn","Name",APP2)</f>
        <v/>
      </c>
      <c r="APQ3" s="1" t="str" cm="1">
        <f t="array" ref="APQ3">GetValue("Dmn","Name",APQ2)</f>
        <v/>
      </c>
      <c r="APR3" s="1" t="str" cm="1">
        <f t="array" ref="APR3">GetValue("Dmn","Name",APR2)</f>
        <v/>
      </c>
      <c r="APS3" s="1" t="str" cm="1">
        <f t="array" ref="APS3">GetValue("Dmn","Name",APS2)</f>
        <v/>
      </c>
      <c r="APT3" s="1" t="str" cm="1">
        <f t="array" ref="APT3">GetValue("Dmn","Name",APT2)</f>
        <v/>
      </c>
      <c r="APU3" s="1" t="str" cm="1">
        <f t="array" ref="APU3">GetValue("Dmn","Name",APU2)</f>
        <v/>
      </c>
      <c r="APV3" s="1" t="str" cm="1">
        <f t="array" ref="APV3">GetValue("Dmn","Name",APV2)</f>
        <v/>
      </c>
      <c r="APW3" s="1" t="str" cm="1">
        <f t="array" ref="APW3">GetValue("Dmn","Name",APW2)</f>
        <v/>
      </c>
      <c r="APX3" s="1" t="str" cm="1">
        <f t="array" ref="APX3">GetValue("Dmn","Name",APX2)</f>
        <v/>
      </c>
      <c r="APY3" s="1" t="str" cm="1">
        <f t="array" ref="APY3">GetValue("Dmn","Name",APY2)</f>
        <v/>
      </c>
      <c r="APZ3" s="1" t="str" cm="1">
        <f t="array" ref="APZ3">GetValue("Dmn","Name",APZ2)</f>
        <v/>
      </c>
      <c r="AQA3" s="1" t="str" cm="1">
        <f t="array" ref="AQA3">GetValue("Dmn","Name",AQA2)</f>
        <v/>
      </c>
      <c r="AQB3" s="1" t="str" cm="1">
        <f t="array" ref="AQB3">GetValue("Dmn","Name",AQB2)</f>
        <v/>
      </c>
      <c r="AQC3" s="1" t="str" cm="1">
        <f t="array" ref="AQC3">GetValue("Dmn","Name",AQC2)</f>
        <v/>
      </c>
      <c r="AQD3" s="1" t="str" cm="1">
        <f t="array" ref="AQD3">GetValue("Dmn","Name",AQD2)</f>
        <v/>
      </c>
      <c r="AQE3" s="1" t="str" cm="1">
        <f t="array" ref="AQE3">GetValue("Dmn","Name",AQE2)</f>
        <v/>
      </c>
      <c r="AQF3" s="1" t="str" cm="1">
        <f t="array" ref="AQF3">GetValue("Dmn","Name",AQF2)</f>
        <v/>
      </c>
      <c r="AQG3" s="1" t="str" cm="1">
        <f t="array" ref="AQG3">GetValue("Dmn","Name",AQG2)</f>
        <v/>
      </c>
      <c r="AQH3" s="1" t="str" cm="1">
        <f t="array" ref="AQH3">GetValue("Dmn","Name",AQH2)</f>
        <v/>
      </c>
      <c r="AQI3" s="1" t="str" cm="1">
        <f t="array" ref="AQI3">GetValue("Dmn","Name",AQI2)</f>
        <v/>
      </c>
      <c r="AQJ3" s="1" t="str" cm="1">
        <f t="array" ref="AQJ3">GetValue("Dmn","Name",AQJ2)</f>
        <v/>
      </c>
      <c r="AQK3" s="1" t="str" cm="1">
        <f t="array" ref="AQK3">GetValue("Dmn","Name",AQK2)</f>
        <v/>
      </c>
      <c r="AQL3" s="1" t="str" cm="1">
        <f t="array" ref="AQL3">GetValue("Dmn","Name",AQL2)</f>
        <v/>
      </c>
      <c r="AQM3" s="1" t="str" cm="1">
        <f t="array" ref="AQM3">GetValue("Dmn","Name",AQM2)</f>
        <v/>
      </c>
      <c r="AQN3" s="1" t="str" cm="1">
        <f t="array" ref="AQN3">GetValue("Dmn","Name",AQN2)</f>
        <v/>
      </c>
      <c r="AQO3" s="1" t="str" cm="1">
        <f t="array" ref="AQO3">GetValue("Dmn","Name",AQO2)</f>
        <v/>
      </c>
      <c r="AQP3" s="1" t="str" cm="1">
        <f t="array" ref="AQP3">GetValue("Dmn","Name",AQP2)</f>
        <v/>
      </c>
      <c r="AQQ3" s="1" t="str" cm="1">
        <f t="array" ref="AQQ3">GetValue("Dmn","Name",AQQ2)</f>
        <v/>
      </c>
      <c r="AQR3" s="1" t="str" cm="1">
        <f t="array" ref="AQR3">GetValue("Dmn","Name",AQR2)</f>
        <v/>
      </c>
      <c r="AQS3" s="1" t="str" cm="1">
        <f t="array" ref="AQS3">GetValue("Dmn","Name",AQS2)</f>
        <v/>
      </c>
      <c r="AQT3" s="1" t="str" cm="1">
        <f t="array" ref="AQT3">GetValue("Dmn","Name",AQT2)</f>
        <v/>
      </c>
      <c r="AQU3" s="1" t="str" cm="1">
        <f t="array" ref="AQU3">GetValue("Dmn","Name",AQU2)</f>
        <v/>
      </c>
      <c r="AQV3" s="1" t="str" cm="1">
        <f t="array" ref="AQV3">GetValue("Dmn","Name",AQV2)</f>
        <v/>
      </c>
      <c r="AQW3" s="1" t="str" cm="1">
        <f t="array" ref="AQW3">GetValue("Dmn","Name",AQW2)</f>
        <v/>
      </c>
      <c r="AQX3" s="1" t="str" cm="1">
        <f t="array" ref="AQX3">GetValue("Dmn","Name",AQX2)</f>
        <v/>
      </c>
      <c r="AQY3" s="1" t="str" cm="1">
        <f t="array" ref="AQY3">GetValue("Dmn","Name",AQY2)</f>
        <v/>
      </c>
      <c r="AQZ3" s="1" t="str" cm="1">
        <f t="array" ref="AQZ3">GetValue("Dmn","Name",AQZ2)</f>
        <v/>
      </c>
      <c r="ARA3" s="1" t="str" cm="1">
        <f t="array" ref="ARA3">GetValue("Dmn","Name",ARA2)</f>
        <v/>
      </c>
      <c r="ARB3" s="1" t="str" cm="1">
        <f t="array" ref="ARB3">GetValue("Dmn","Name",ARB2)</f>
        <v/>
      </c>
      <c r="ARC3" s="1" t="str" cm="1">
        <f t="array" ref="ARC3">GetValue("Dmn","Name",ARC2)</f>
        <v/>
      </c>
      <c r="ARD3" s="1" t="str" cm="1">
        <f t="array" ref="ARD3">GetValue("Dmn","Name",ARD2)</f>
        <v/>
      </c>
      <c r="ARE3" s="1" t="str" cm="1">
        <f t="array" ref="ARE3">GetValue("Dmn","Name",ARE2)</f>
        <v/>
      </c>
      <c r="ARF3" s="1" t="str" cm="1">
        <f t="array" ref="ARF3">GetValue("Dmn","Name",ARF2)</f>
        <v/>
      </c>
      <c r="ARG3" s="1" t="str" cm="1">
        <f t="array" ref="ARG3">GetValue("Dmn","Name",ARG2)</f>
        <v/>
      </c>
      <c r="ARH3" s="1" t="str" cm="1">
        <f t="array" ref="ARH3">GetValue("Dmn","Name",ARH2)</f>
        <v/>
      </c>
      <c r="ARI3" s="1" t="str" cm="1">
        <f t="array" ref="ARI3">GetValue("Dmn","Name",ARI2)</f>
        <v/>
      </c>
      <c r="ARJ3" s="1" t="str" cm="1">
        <f t="array" ref="ARJ3">GetValue("Dmn","Name",ARJ2)</f>
        <v/>
      </c>
      <c r="ARK3" s="1" t="str" cm="1">
        <f t="array" ref="ARK3">GetValue("Dmn","Name",ARK2)</f>
        <v/>
      </c>
      <c r="ARL3" s="1" t="str" cm="1">
        <f t="array" ref="ARL3">GetValue("Dmn","Name",ARL2)</f>
        <v/>
      </c>
      <c r="ARM3" s="1" t="str" cm="1">
        <f t="array" ref="ARM3">GetValue("Dmn","Name",ARM2)</f>
        <v/>
      </c>
      <c r="ARN3" s="1" t="str" cm="1">
        <f t="array" ref="ARN3">GetValue("Dmn","Name",ARN2)</f>
        <v/>
      </c>
      <c r="ARO3" s="1" t="str" cm="1">
        <f t="array" ref="ARO3">GetValue("Dmn","Name",ARO2)</f>
        <v/>
      </c>
      <c r="ARP3" s="1" t="str" cm="1">
        <f t="array" ref="ARP3">GetValue("Dmn","Name",ARP2)</f>
        <v/>
      </c>
      <c r="ARQ3" s="1" t="str" cm="1">
        <f t="array" ref="ARQ3">GetValue("Dmn","Name",ARQ2)</f>
        <v/>
      </c>
      <c r="ARR3" s="1" t="str" cm="1">
        <f t="array" ref="ARR3">GetValue("Dmn","Name",ARR2)</f>
        <v/>
      </c>
      <c r="ARS3" s="1" t="str" cm="1">
        <f t="array" ref="ARS3">GetValue("Dmn","Name",ARS2)</f>
        <v/>
      </c>
      <c r="ART3" s="1" t="str" cm="1">
        <f t="array" ref="ART3">GetValue("Dmn","Name",ART2)</f>
        <v/>
      </c>
      <c r="ARU3" s="1" t="str" cm="1">
        <f t="array" ref="ARU3">GetValue("Dmn","Name",ARU2)</f>
        <v/>
      </c>
      <c r="ARV3" s="1" t="str" cm="1">
        <f t="array" ref="ARV3">GetValue("Dmn","Name",ARV2)</f>
        <v/>
      </c>
      <c r="ARW3" s="1" t="str" cm="1">
        <f t="array" ref="ARW3">GetValue("Dmn","Name",ARW2)</f>
        <v/>
      </c>
      <c r="ARX3" s="1" t="str" cm="1">
        <f t="array" ref="ARX3">GetValue("Dmn","Name",ARX2)</f>
        <v/>
      </c>
      <c r="ARY3" s="1" t="str" cm="1">
        <f t="array" ref="ARY3">GetValue("Dmn","Name",ARY2)</f>
        <v/>
      </c>
      <c r="ARZ3" s="1" t="str" cm="1">
        <f t="array" ref="ARZ3">GetValue("Dmn","Name",ARZ2)</f>
        <v/>
      </c>
      <c r="ASA3" s="1" t="str" cm="1">
        <f t="array" ref="ASA3">GetValue("Dmn","Name",ASA2)</f>
        <v/>
      </c>
      <c r="ASB3" s="1" t="str" cm="1">
        <f t="array" ref="ASB3">GetValue("Dmn","Name",ASB2)</f>
        <v/>
      </c>
      <c r="ASC3" s="1" t="str" cm="1">
        <f t="array" ref="ASC3">GetValue("Dmn","Name",ASC2)</f>
        <v/>
      </c>
      <c r="ASD3" s="1" t="str" cm="1">
        <f t="array" ref="ASD3">GetValue("Dmn","Name",ASD2)</f>
        <v/>
      </c>
      <c r="ASE3" s="1" t="str" cm="1">
        <f t="array" ref="ASE3">GetValue("Dmn","Name",ASE2)</f>
        <v/>
      </c>
      <c r="ASF3" s="1" t="str" cm="1">
        <f t="array" ref="ASF3">GetValue("Dmn","Name",ASF2)</f>
        <v/>
      </c>
      <c r="ASG3" s="1" t="str" cm="1">
        <f t="array" ref="ASG3">GetValue("Dmn","Name",ASG2)</f>
        <v/>
      </c>
      <c r="ASH3" s="1" t="str" cm="1">
        <f t="array" ref="ASH3">GetValue("Dmn","Name",ASH2)</f>
        <v/>
      </c>
      <c r="ASI3" s="1" t="str" cm="1">
        <f t="array" ref="ASI3">GetValue("Dmn","Name",ASI2)</f>
        <v/>
      </c>
      <c r="ASJ3" s="1" t="str" cm="1">
        <f t="array" ref="ASJ3">GetValue("Dmn","Name",ASJ2)</f>
        <v/>
      </c>
      <c r="ASK3" s="1" t="str" cm="1">
        <f t="array" ref="ASK3">GetValue("Dmn","Name",ASK2)</f>
        <v/>
      </c>
      <c r="ASL3" s="1" t="str" cm="1">
        <f t="array" ref="ASL3">GetValue("Dmn","Name",ASL2)</f>
        <v/>
      </c>
      <c r="ASM3" s="1" t="str" cm="1">
        <f t="array" ref="ASM3">GetValue("Dmn","Name",ASM2)</f>
        <v/>
      </c>
      <c r="ASN3" s="1" t="str" cm="1">
        <f t="array" ref="ASN3">GetValue("Dmn","Name",ASN2)</f>
        <v/>
      </c>
      <c r="ASO3" s="1" t="str" cm="1">
        <f t="array" ref="ASO3">GetValue("Dmn","Name",ASO2)</f>
        <v/>
      </c>
      <c r="ASP3" s="1" t="str" cm="1">
        <f t="array" ref="ASP3">GetValue("Dmn","Name",ASP2)</f>
        <v/>
      </c>
      <c r="ASQ3" s="1" t="str" cm="1">
        <f t="array" ref="ASQ3">GetValue("Dmn","Name",ASQ2)</f>
        <v/>
      </c>
      <c r="ASR3" s="1" t="str" cm="1">
        <f t="array" ref="ASR3">GetValue("Dmn","Name",ASR2)</f>
        <v/>
      </c>
      <c r="ASS3" s="1" t="str" cm="1">
        <f t="array" ref="ASS3">GetValue("Dmn","Name",ASS2)</f>
        <v/>
      </c>
      <c r="AST3" s="1" t="str" cm="1">
        <f t="array" ref="AST3">GetValue("Dmn","Name",AST2)</f>
        <v/>
      </c>
      <c r="ASU3" s="1" t="str" cm="1">
        <f t="array" ref="ASU3">GetValue("Dmn","Name",ASU2)</f>
        <v/>
      </c>
      <c r="ASV3" s="1" t="str" cm="1">
        <f t="array" ref="ASV3">GetValue("Dmn","Name",ASV2)</f>
        <v/>
      </c>
      <c r="ASW3" s="1" t="str" cm="1">
        <f t="array" ref="ASW3">GetValue("Dmn","Name",ASW2)</f>
        <v/>
      </c>
      <c r="ASX3" s="1" t="str" cm="1">
        <f t="array" ref="ASX3">GetValue("Dmn","Name",ASX2)</f>
        <v/>
      </c>
      <c r="ASY3" s="1" t="str" cm="1">
        <f t="array" ref="ASY3">GetValue("Dmn","Name",ASY2)</f>
        <v/>
      </c>
      <c r="ASZ3" s="1" t="str" cm="1">
        <f t="array" ref="ASZ3">GetValue("Dmn","Name",ASZ2)</f>
        <v/>
      </c>
      <c r="ATA3" s="1" t="str" cm="1">
        <f t="array" ref="ATA3">GetValue("Dmn","Name",ATA2)</f>
        <v/>
      </c>
      <c r="ATB3" s="1" t="str" cm="1">
        <f t="array" ref="ATB3">GetValue("Dmn","Name",ATB2)</f>
        <v/>
      </c>
      <c r="ATC3" s="1" t="str" cm="1">
        <f t="array" ref="ATC3">GetValue("Dmn","Name",ATC2)</f>
        <v/>
      </c>
      <c r="ATD3" s="1" t="str" cm="1">
        <f t="array" ref="ATD3">GetValue("Dmn","Name",ATD2)</f>
        <v/>
      </c>
      <c r="ATE3" s="1" t="str" cm="1">
        <f t="array" ref="ATE3">GetValue("Dmn","Name",ATE2)</f>
        <v/>
      </c>
      <c r="ATF3" s="1" t="str" cm="1">
        <f t="array" ref="ATF3">GetValue("Dmn","Name",ATF2)</f>
        <v/>
      </c>
      <c r="ATG3" s="1" t="str" cm="1">
        <f t="array" ref="ATG3">GetValue("Dmn","Name",ATG2)</f>
        <v/>
      </c>
      <c r="ATH3" s="1" t="str" cm="1">
        <f t="array" ref="ATH3">GetValue("Dmn","Name",ATH2)</f>
        <v/>
      </c>
      <c r="ATI3" s="1" t="str" cm="1">
        <f t="array" ref="ATI3">GetValue("Dmn","Name",ATI2)</f>
        <v/>
      </c>
      <c r="ATJ3" s="1" t="str" cm="1">
        <f t="array" ref="ATJ3">GetValue("Dmn","Name",ATJ2)</f>
        <v/>
      </c>
      <c r="ATK3" s="1" t="str" cm="1">
        <f t="array" ref="ATK3">GetValue("Dmn","Name",ATK2)</f>
        <v/>
      </c>
      <c r="ATL3" s="1" t="str" cm="1">
        <f t="array" ref="ATL3">GetValue("Dmn","Name",ATL2)</f>
        <v/>
      </c>
      <c r="ATM3" s="1" t="str" cm="1">
        <f t="array" ref="ATM3">GetValue("Dmn","Name",ATM2)</f>
        <v/>
      </c>
      <c r="ATN3" s="1" t="str" cm="1">
        <f t="array" ref="ATN3">GetValue("Dmn","Name",ATN2)</f>
        <v/>
      </c>
      <c r="ATO3" s="1" t="str" cm="1">
        <f t="array" ref="ATO3">GetValue("Dmn","Name",ATO2)</f>
        <v/>
      </c>
      <c r="ATP3" s="1" t="str" cm="1">
        <f t="array" ref="ATP3">GetValue("Dmn","Name",ATP2)</f>
        <v/>
      </c>
      <c r="ATQ3" s="1" t="str" cm="1">
        <f t="array" ref="ATQ3">GetValue("Dmn","Name",ATQ2)</f>
        <v/>
      </c>
      <c r="ATR3" s="1" t="str" cm="1">
        <f t="array" ref="ATR3">GetValue("Dmn","Name",ATR2)</f>
        <v/>
      </c>
      <c r="ATS3" s="1" t="str" cm="1">
        <f t="array" ref="ATS3">GetValue("Dmn","Name",ATS2)</f>
        <v/>
      </c>
      <c r="ATT3" s="1" t="str" cm="1">
        <f t="array" ref="ATT3">GetValue("Dmn","Name",ATT2)</f>
        <v/>
      </c>
      <c r="ATU3" s="1" t="str" cm="1">
        <f t="array" ref="ATU3">GetValue("Dmn","Name",ATU2)</f>
        <v/>
      </c>
      <c r="ATV3" s="1" t="str" cm="1">
        <f t="array" ref="ATV3">GetValue("Dmn","Name",ATV2)</f>
        <v/>
      </c>
      <c r="ATW3" s="1" t="str" cm="1">
        <f t="array" ref="ATW3">GetValue("Dmn","Name",ATW2)</f>
        <v/>
      </c>
      <c r="ATX3" s="1" t="str" cm="1">
        <f t="array" ref="ATX3">GetValue("Dmn","Name",ATX2)</f>
        <v/>
      </c>
      <c r="ATY3" s="1" t="str" cm="1">
        <f t="array" ref="ATY3">GetValue("Dmn","Name",ATY2)</f>
        <v/>
      </c>
      <c r="ATZ3" s="1" t="str" cm="1">
        <f t="array" ref="ATZ3">GetValue("Dmn","Name",ATZ2)</f>
        <v/>
      </c>
      <c r="AUA3" s="1" t="str" cm="1">
        <f t="array" ref="AUA3">GetValue("Dmn","Name",AUA2)</f>
        <v/>
      </c>
      <c r="AUB3" s="1" t="str" cm="1">
        <f t="array" ref="AUB3">GetValue("Dmn","Name",AUB2)</f>
        <v/>
      </c>
      <c r="AUC3" s="1" t="str" cm="1">
        <f t="array" ref="AUC3">GetValue("Dmn","Name",AUC2)</f>
        <v/>
      </c>
      <c r="AUD3" s="1" t="str" cm="1">
        <f t="array" ref="AUD3">GetValue("Dmn","Name",AUD2)</f>
        <v/>
      </c>
      <c r="AUE3" s="1" t="str" cm="1">
        <f t="array" ref="AUE3">GetValue("Dmn","Name",AUE2)</f>
        <v/>
      </c>
      <c r="AUF3" s="1" t="str" cm="1">
        <f t="array" ref="AUF3">GetValue("Dmn","Name",AUF2)</f>
        <v/>
      </c>
      <c r="AUG3" s="1" t="str" cm="1">
        <f t="array" ref="AUG3">GetValue("Dmn","Name",AUG2)</f>
        <v/>
      </c>
      <c r="AUH3" s="1" t="str" cm="1">
        <f t="array" ref="AUH3">GetValue("Dmn","Name",AUH2)</f>
        <v/>
      </c>
      <c r="AUI3" s="1" t="str" cm="1">
        <f t="array" ref="AUI3">GetValue("Dmn","Name",AUI2)</f>
        <v/>
      </c>
      <c r="AUJ3" s="1" t="str" cm="1">
        <f t="array" ref="AUJ3">GetValue("Dmn","Name",AUJ2)</f>
        <v/>
      </c>
      <c r="AUK3" s="1" t="str" cm="1">
        <f t="array" ref="AUK3">GetValue("Dmn","Name",AUK2)</f>
        <v/>
      </c>
      <c r="AUL3" s="1" t="str" cm="1">
        <f t="array" ref="AUL3">GetValue("Dmn","Name",AUL2)</f>
        <v/>
      </c>
      <c r="AUM3" s="1" t="str" cm="1">
        <f t="array" ref="AUM3">GetValue("Dmn","Name",AUM2)</f>
        <v/>
      </c>
      <c r="AUN3" s="1" t="str" cm="1">
        <f t="array" ref="AUN3">GetValue("Dmn","Name",AUN2)</f>
        <v/>
      </c>
      <c r="AUO3" s="1" t="str" cm="1">
        <f t="array" ref="AUO3">GetValue("Dmn","Name",AUO2)</f>
        <v/>
      </c>
      <c r="AUP3" s="1" t="str" cm="1">
        <f t="array" ref="AUP3">GetValue("Dmn","Name",AUP2)</f>
        <v/>
      </c>
      <c r="AUQ3" s="1" t="str" cm="1">
        <f t="array" ref="AUQ3">GetValue("Dmn","Name",AUQ2)</f>
        <v/>
      </c>
      <c r="AUR3" s="1" t="str" cm="1">
        <f t="array" ref="AUR3">GetValue("Dmn","Name",AUR2)</f>
        <v/>
      </c>
      <c r="AUS3" s="1" t="str" cm="1">
        <f t="array" ref="AUS3">GetValue("Dmn","Name",AUS2)</f>
        <v/>
      </c>
      <c r="AUT3" s="1" t="str" cm="1">
        <f t="array" ref="AUT3">GetValue("Dmn","Name",AUT2)</f>
        <v/>
      </c>
      <c r="AUU3" s="1" t="str" cm="1">
        <f t="array" ref="AUU3">GetValue("Dmn","Name",AUU2)</f>
        <v/>
      </c>
      <c r="AUV3" s="1" t="str" cm="1">
        <f t="array" ref="AUV3">GetValue("Dmn","Name",AUV2)</f>
        <v/>
      </c>
      <c r="AUW3" s="1" t="str" cm="1">
        <f t="array" ref="AUW3">GetValue("Dmn","Name",AUW2)</f>
        <v/>
      </c>
      <c r="AUX3" s="1" t="str" cm="1">
        <f t="array" ref="AUX3">GetValue("Dmn","Name",AUX2)</f>
        <v/>
      </c>
      <c r="AUY3" s="1" t="str" cm="1">
        <f t="array" ref="AUY3">GetValue("Dmn","Name",AUY2)</f>
        <v/>
      </c>
      <c r="AUZ3" s="1" t="str" cm="1">
        <f t="array" ref="AUZ3">GetValue("Dmn","Name",AUZ2)</f>
        <v/>
      </c>
      <c r="AVA3" s="1" t="str" cm="1">
        <f t="array" ref="AVA3">GetValue("Dmn","Name",AVA2)</f>
        <v/>
      </c>
      <c r="AVB3" s="1" t="str" cm="1">
        <f t="array" ref="AVB3">GetValue("Dmn","Name",AVB2)</f>
        <v/>
      </c>
      <c r="AVC3" s="1" t="str" cm="1">
        <f t="array" ref="AVC3">GetValue("Dmn","Name",AVC2)</f>
        <v/>
      </c>
      <c r="AVD3" s="1" t="str" cm="1">
        <f t="array" ref="AVD3">GetValue("Dmn","Name",AVD2)</f>
        <v/>
      </c>
      <c r="AVE3" s="1" t="str" cm="1">
        <f t="array" ref="AVE3">GetValue("Dmn","Name",AVE2)</f>
        <v/>
      </c>
      <c r="AVF3" s="1" t="str" cm="1">
        <f t="array" ref="AVF3">GetValue("Dmn","Name",AVF2)</f>
        <v/>
      </c>
      <c r="AVG3" s="1" t="str" cm="1">
        <f t="array" ref="AVG3">GetValue("Dmn","Name",AVG2)</f>
        <v/>
      </c>
      <c r="AVH3" s="1" t="str" cm="1">
        <f t="array" ref="AVH3">GetValue("Dmn","Name",AVH2)</f>
        <v/>
      </c>
      <c r="AVI3" s="1" t="str" cm="1">
        <f t="array" ref="AVI3">GetValue("Dmn","Name",AVI2)</f>
        <v/>
      </c>
      <c r="AVJ3" s="1" t="str" cm="1">
        <f t="array" ref="AVJ3">GetValue("Dmn","Name",AVJ2)</f>
        <v/>
      </c>
      <c r="AVK3" s="1" t="str" cm="1">
        <f t="array" ref="AVK3">GetValue("Dmn","Name",AVK2)</f>
        <v/>
      </c>
      <c r="AVL3" s="1" t="str" cm="1">
        <f t="array" ref="AVL3">GetValue("Dmn","Name",AVL2)</f>
        <v/>
      </c>
      <c r="AVM3" s="1" t="str" cm="1">
        <f t="array" ref="AVM3">GetValue("Dmn","Name",AVM2)</f>
        <v/>
      </c>
      <c r="AVN3" s="1" t="str" cm="1">
        <f t="array" ref="AVN3">GetValue("Dmn","Name",AVN2)</f>
        <v/>
      </c>
      <c r="AVO3" s="1" t="str" cm="1">
        <f t="array" ref="AVO3">GetValue("Dmn","Name",AVO2)</f>
        <v/>
      </c>
      <c r="AVP3" s="1" t="str" cm="1">
        <f t="array" ref="AVP3">GetValue("Dmn","Name",AVP2)</f>
        <v/>
      </c>
      <c r="AVQ3" s="1" t="str" cm="1">
        <f t="array" ref="AVQ3">GetValue("Dmn","Name",AVQ2)</f>
        <v/>
      </c>
      <c r="AVR3" s="1" t="str" cm="1">
        <f t="array" ref="AVR3">GetValue("Dmn","Name",AVR2)</f>
        <v/>
      </c>
      <c r="AVS3" s="1" t="str" cm="1">
        <f t="array" ref="AVS3">GetValue("Dmn","Name",AVS2)</f>
        <v/>
      </c>
      <c r="AVT3" s="1" t="str" cm="1">
        <f t="array" ref="AVT3">GetValue("Dmn","Name",AVT2)</f>
        <v/>
      </c>
      <c r="AVU3" s="1" t="str" cm="1">
        <f t="array" ref="AVU3">GetValue("Dmn","Name",AVU2)</f>
        <v/>
      </c>
      <c r="AVV3" s="1" t="str" cm="1">
        <f t="array" ref="AVV3">GetValue("Dmn","Name",AVV2)</f>
        <v/>
      </c>
      <c r="AVW3" s="1" t="str" cm="1">
        <f t="array" ref="AVW3">GetValue("Dmn","Name",AVW2)</f>
        <v/>
      </c>
      <c r="AVX3" s="1" t="str" cm="1">
        <f t="array" ref="AVX3">GetValue("Dmn","Name",AVX2)</f>
        <v/>
      </c>
      <c r="AVY3" s="1" t="str" cm="1">
        <f t="array" ref="AVY3">GetValue("Dmn","Name",AVY2)</f>
        <v/>
      </c>
      <c r="AVZ3" s="1" t="str" cm="1">
        <f t="array" ref="AVZ3">GetValue("Dmn","Name",AVZ2)</f>
        <v/>
      </c>
      <c r="AWA3" s="1" t="str" cm="1">
        <f t="array" ref="AWA3">GetValue("Dmn","Name",AWA2)</f>
        <v/>
      </c>
      <c r="AWB3" s="1" t="str" cm="1">
        <f t="array" ref="AWB3">GetValue("Dmn","Name",AWB2)</f>
        <v/>
      </c>
      <c r="AWC3" s="1" t="str" cm="1">
        <f t="array" ref="AWC3">GetValue("Dmn","Name",AWC2)</f>
        <v/>
      </c>
      <c r="AWD3" s="1" t="str" cm="1">
        <f t="array" ref="AWD3">GetValue("Dmn","Name",AWD2)</f>
        <v/>
      </c>
      <c r="AWE3" s="1" t="str" cm="1">
        <f t="array" ref="AWE3">GetValue("Dmn","Name",AWE2)</f>
        <v/>
      </c>
      <c r="AWF3" s="1" t="str" cm="1">
        <f t="array" ref="AWF3">GetValue("Dmn","Name",AWF2)</f>
        <v/>
      </c>
      <c r="AWG3" s="1" t="str" cm="1">
        <f t="array" ref="AWG3">GetValue("Dmn","Name",AWG2)</f>
        <v/>
      </c>
      <c r="AWH3" s="1" t="str" cm="1">
        <f t="array" ref="AWH3">GetValue("Dmn","Name",AWH2)</f>
        <v/>
      </c>
      <c r="AWI3" s="1" t="str" cm="1">
        <f t="array" ref="AWI3">GetValue("Dmn","Name",AWI2)</f>
        <v/>
      </c>
      <c r="AWJ3" s="1" t="str" cm="1">
        <f t="array" ref="AWJ3">GetValue("Dmn","Name",AWJ2)</f>
        <v/>
      </c>
      <c r="AWK3" s="1" t="str" cm="1">
        <f t="array" ref="AWK3">GetValue("Dmn","Name",AWK2)</f>
        <v/>
      </c>
      <c r="AWL3" s="1" t="str" cm="1">
        <f t="array" ref="AWL3">GetValue("Dmn","Name",AWL2)</f>
        <v/>
      </c>
      <c r="AWM3" s="1" t="str" cm="1">
        <f t="array" ref="AWM3">GetValue("Dmn","Name",AWM2)</f>
        <v/>
      </c>
      <c r="AWN3" s="1" t="str" cm="1">
        <f t="array" ref="AWN3">GetValue("Dmn","Name",AWN2)</f>
        <v/>
      </c>
      <c r="AWO3" s="1" t="str" cm="1">
        <f t="array" ref="AWO3">GetValue("Dmn","Name",AWO2)</f>
        <v/>
      </c>
      <c r="AWP3" s="1" t="str" cm="1">
        <f t="array" ref="AWP3">GetValue("Dmn","Name",AWP2)</f>
        <v/>
      </c>
      <c r="AWQ3" s="1" t="str" cm="1">
        <f t="array" ref="AWQ3">GetValue("Dmn","Name",AWQ2)</f>
        <v/>
      </c>
      <c r="AWR3" s="1" t="str" cm="1">
        <f t="array" ref="AWR3">GetValue("Dmn","Name",AWR2)</f>
        <v/>
      </c>
      <c r="AWS3" s="1" t="str" cm="1">
        <f t="array" ref="AWS3">GetValue("Dmn","Name",AWS2)</f>
        <v/>
      </c>
      <c r="AWT3" s="1" t="str" cm="1">
        <f t="array" ref="AWT3">GetValue("Dmn","Name",AWT2)</f>
        <v/>
      </c>
      <c r="AWU3" s="1" t="str" cm="1">
        <f t="array" ref="AWU3">GetValue("Dmn","Name",AWU2)</f>
        <v/>
      </c>
      <c r="AWV3" s="1" t="str" cm="1">
        <f t="array" ref="AWV3">GetValue("Dmn","Name",AWV2)</f>
        <v/>
      </c>
      <c r="AWW3" s="1" t="str" cm="1">
        <f t="array" ref="AWW3">GetValue("Dmn","Name",AWW2)</f>
        <v/>
      </c>
      <c r="AWX3" s="1" t="str" cm="1">
        <f t="array" ref="AWX3">GetValue("Dmn","Name",AWX2)</f>
        <v/>
      </c>
      <c r="AWY3" s="1" t="str" cm="1">
        <f t="array" ref="AWY3">GetValue("Dmn","Name",AWY2)</f>
        <v/>
      </c>
      <c r="AWZ3" s="1" t="str" cm="1">
        <f t="array" ref="AWZ3">GetValue("Dmn","Name",AWZ2)</f>
        <v/>
      </c>
      <c r="AXA3" s="1" t="str" cm="1">
        <f t="array" ref="AXA3">GetValue("Dmn","Name",AXA2)</f>
        <v/>
      </c>
      <c r="AXB3" s="1" t="str" cm="1">
        <f t="array" ref="AXB3">GetValue("Dmn","Name",AXB2)</f>
        <v/>
      </c>
      <c r="AXC3" s="1" t="str" cm="1">
        <f t="array" ref="AXC3">GetValue("Dmn","Name",AXC2)</f>
        <v/>
      </c>
      <c r="AXD3" s="1" t="str" cm="1">
        <f t="array" ref="AXD3">GetValue("Dmn","Name",AXD2)</f>
        <v/>
      </c>
      <c r="AXE3" s="1" t="str" cm="1">
        <f t="array" ref="AXE3">GetValue("Dmn","Name",AXE2)</f>
        <v/>
      </c>
      <c r="AXF3" s="1" t="str" cm="1">
        <f t="array" ref="AXF3">GetValue("Dmn","Name",AXF2)</f>
        <v/>
      </c>
      <c r="AXG3" s="1" t="str" cm="1">
        <f t="array" ref="AXG3">GetValue("Dmn","Name",AXG2)</f>
        <v/>
      </c>
      <c r="AXH3" s="1" t="str" cm="1">
        <f t="array" ref="AXH3">GetValue("Dmn","Name",AXH2)</f>
        <v/>
      </c>
      <c r="AXI3" s="1" t="str" cm="1">
        <f t="array" ref="AXI3">GetValue("Dmn","Name",AXI2)</f>
        <v/>
      </c>
      <c r="AXJ3" s="1" t="str" cm="1">
        <f t="array" ref="AXJ3">GetValue("Dmn","Name",AXJ2)</f>
        <v/>
      </c>
      <c r="AXK3" s="1" t="str" cm="1">
        <f t="array" ref="AXK3">GetValue("Dmn","Name",AXK2)</f>
        <v/>
      </c>
      <c r="AXL3" s="1" t="str" cm="1">
        <f t="array" ref="AXL3">GetValue("Dmn","Name",AXL2)</f>
        <v/>
      </c>
      <c r="AXM3" s="1" t="str" cm="1">
        <f t="array" ref="AXM3">GetValue("Dmn","Name",AXM2)</f>
        <v/>
      </c>
      <c r="AXN3" s="1" t="str" cm="1">
        <f t="array" ref="AXN3">GetValue("Dmn","Name",AXN2)</f>
        <v/>
      </c>
      <c r="AXO3" s="1" t="str" cm="1">
        <f t="array" ref="AXO3">GetValue("Dmn","Name",AXO2)</f>
        <v/>
      </c>
      <c r="AXP3" s="1" t="str" cm="1">
        <f t="array" ref="AXP3">GetValue("Dmn","Name",AXP2)</f>
        <v/>
      </c>
      <c r="AXQ3" s="1" t="str" cm="1">
        <f t="array" ref="AXQ3">GetValue("Dmn","Name",AXQ2)</f>
        <v/>
      </c>
      <c r="AXR3" s="1" t="str" cm="1">
        <f t="array" ref="AXR3">GetValue("Dmn","Name",AXR2)</f>
        <v/>
      </c>
      <c r="AXS3" s="1" t="str" cm="1">
        <f t="array" ref="AXS3">GetValue("Dmn","Name",AXS2)</f>
        <v/>
      </c>
      <c r="AXT3" s="1" t="str" cm="1">
        <f t="array" ref="AXT3">GetValue("Dmn","Name",AXT2)</f>
        <v/>
      </c>
      <c r="AXU3" s="1" t="str" cm="1">
        <f t="array" ref="AXU3">GetValue("Dmn","Name",AXU2)</f>
        <v/>
      </c>
      <c r="AXV3" s="1" t="str" cm="1">
        <f t="array" ref="AXV3">GetValue("Dmn","Name",AXV2)</f>
        <v/>
      </c>
      <c r="AXW3" s="1" t="str" cm="1">
        <f t="array" ref="AXW3">GetValue("Dmn","Name",AXW2)</f>
        <v/>
      </c>
      <c r="AXX3" s="1" t="str" cm="1">
        <f t="array" ref="AXX3">GetValue("Dmn","Name",AXX2)</f>
        <v/>
      </c>
      <c r="AXY3" s="1" t="str" cm="1">
        <f t="array" ref="AXY3">GetValue("Dmn","Name",AXY2)</f>
        <v/>
      </c>
      <c r="AXZ3" s="1" t="str" cm="1">
        <f t="array" ref="AXZ3">GetValue("Dmn","Name",AXZ2)</f>
        <v/>
      </c>
      <c r="AYA3" s="1" t="str" cm="1">
        <f t="array" ref="AYA3">GetValue("Dmn","Name",AYA2)</f>
        <v/>
      </c>
      <c r="AYB3" s="1" t="str" cm="1">
        <f t="array" ref="AYB3">GetValue("Dmn","Name",AYB2)</f>
        <v/>
      </c>
      <c r="AYC3" s="1" t="str" cm="1">
        <f t="array" ref="AYC3">GetValue("Dmn","Name",AYC2)</f>
        <v/>
      </c>
      <c r="AYD3" s="1" t="str" cm="1">
        <f t="array" ref="AYD3">GetValue("Dmn","Name",AYD2)</f>
        <v/>
      </c>
      <c r="AYE3" s="1" t="str" cm="1">
        <f t="array" ref="AYE3">GetValue("Dmn","Name",AYE2)</f>
        <v/>
      </c>
      <c r="AYF3" s="1" t="str" cm="1">
        <f t="array" ref="AYF3">GetValue("Dmn","Name",AYF2)</f>
        <v/>
      </c>
      <c r="AYG3" s="1" t="str" cm="1">
        <f t="array" ref="AYG3">GetValue("Dmn","Name",AYG2)</f>
        <v/>
      </c>
      <c r="AYH3" s="1" t="str" cm="1">
        <f t="array" ref="AYH3">GetValue("Dmn","Name",AYH2)</f>
        <v/>
      </c>
      <c r="AYI3" s="1" t="str" cm="1">
        <f t="array" ref="AYI3">GetValue("Dmn","Name",AYI2)</f>
        <v/>
      </c>
      <c r="AYJ3" s="1" t="str" cm="1">
        <f t="array" ref="AYJ3">GetValue("Dmn","Name",AYJ2)</f>
        <v/>
      </c>
      <c r="AYK3" s="1" t="str" cm="1">
        <f t="array" ref="AYK3">GetValue("Dmn","Name",AYK2)</f>
        <v/>
      </c>
      <c r="AYL3" s="1" t="str" cm="1">
        <f t="array" ref="AYL3">GetValue("Dmn","Name",AYL2)</f>
        <v/>
      </c>
      <c r="AYM3" s="1" t="str" cm="1">
        <f t="array" ref="AYM3">GetValue("Dmn","Name",AYM2)</f>
        <v/>
      </c>
      <c r="AYN3" s="1" t="str" cm="1">
        <f t="array" ref="AYN3">GetValue("Dmn","Name",AYN2)</f>
        <v/>
      </c>
      <c r="AYO3" s="1" t="str" cm="1">
        <f t="array" ref="AYO3">GetValue("Dmn","Name",AYO2)</f>
        <v/>
      </c>
      <c r="AYP3" s="1" t="str" cm="1">
        <f t="array" ref="AYP3">GetValue("Dmn","Name",AYP2)</f>
        <v/>
      </c>
      <c r="AYQ3" s="1" t="str" cm="1">
        <f t="array" ref="AYQ3">GetValue("Dmn","Name",AYQ2)</f>
        <v/>
      </c>
      <c r="AYR3" s="1" t="str" cm="1">
        <f t="array" ref="AYR3">GetValue("Dmn","Name",AYR2)</f>
        <v/>
      </c>
      <c r="AYS3" s="1" t="str" cm="1">
        <f t="array" ref="AYS3">GetValue("Dmn","Name",AYS2)</f>
        <v/>
      </c>
      <c r="AYT3" s="1" t="str" cm="1">
        <f t="array" ref="AYT3">GetValue("Dmn","Name",AYT2)</f>
        <v/>
      </c>
      <c r="AYU3" s="1" t="str" cm="1">
        <f t="array" ref="AYU3">GetValue("Dmn","Name",AYU2)</f>
        <v/>
      </c>
      <c r="AYV3" s="1" t="str" cm="1">
        <f t="array" ref="AYV3">GetValue("Dmn","Name",AYV2)</f>
        <v/>
      </c>
      <c r="AYW3" s="1" t="str" cm="1">
        <f t="array" ref="AYW3">GetValue("Dmn","Name",AYW2)</f>
        <v/>
      </c>
      <c r="AYX3" s="1" t="str" cm="1">
        <f t="array" ref="AYX3">GetValue("Dmn","Name",AYX2)</f>
        <v/>
      </c>
      <c r="AYY3" s="1" t="str" cm="1">
        <f t="array" ref="AYY3">GetValue("Dmn","Name",AYY2)</f>
        <v/>
      </c>
      <c r="AYZ3" s="1" t="str" cm="1">
        <f t="array" ref="AYZ3">GetValue("Dmn","Name",AYZ2)</f>
        <v/>
      </c>
      <c r="AZA3" s="1" t="str" cm="1">
        <f t="array" ref="AZA3">GetValue("Dmn","Name",AZA2)</f>
        <v/>
      </c>
      <c r="AZB3" s="1" t="str" cm="1">
        <f t="array" ref="AZB3">GetValue("Dmn","Name",AZB2)</f>
        <v/>
      </c>
      <c r="AZC3" s="1" t="str" cm="1">
        <f t="array" ref="AZC3">GetValue("Dmn","Name",AZC2)</f>
        <v/>
      </c>
      <c r="AZD3" s="1" t="str" cm="1">
        <f t="array" ref="AZD3">GetValue("Dmn","Name",AZD2)</f>
        <v/>
      </c>
      <c r="AZE3" s="1" t="str" cm="1">
        <f t="array" ref="AZE3">GetValue("Dmn","Name",AZE2)</f>
        <v/>
      </c>
      <c r="AZF3" s="1" t="str" cm="1">
        <f t="array" ref="AZF3">GetValue("Dmn","Name",AZF2)</f>
        <v/>
      </c>
      <c r="AZG3" s="1" t="str" cm="1">
        <f t="array" ref="AZG3">GetValue("Dmn","Name",AZG2)</f>
        <v/>
      </c>
      <c r="AZH3" s="1" t="str" cm="1">
        <f t="array" ref="AZH3">GetValue("Dmn","Name",AZH2)</f>
        <v/>
      </c>
      <c r="AZI3" s="1" t="str" cm="1">
        <f t="array" ref="AZI3">GetValue("Dmn","Name",AZI2)</f>
        <v/>
      </c>
      <c r="AZJ3" s="1" t="str" cm="1">
        <f t="array" ref="AZJ3">GetValue("Dmn","Name",AZJ2)</f>
        <v/>
      </c>
      <c r="AZK3" s="1" t="str" cm="1">
        <f t="array" ref="AZK3">GetValue("Dmn","Name",AZK2)</f>
        <v/>
      </c>
      <c r="AZL3" s="1" t="str" cm="1">
        <f t="array" ref="AZL3">GetValue("Dmn","Name",AZL2)</f>
        <v/>
      </c>
      <c r="AZM3" s="1" t="str" cm="1">
        <f t="array" ref="AZM3">GetValue("Dmn","Name",AZM2)</f>
        <v/>
      </c>
      <c r="AZN3" s="1" t="str" cm="1">
        <f t="array" ref="AZN3">GetValue("Dmn","Name",AZN2)</f>
        <v/>
      </c>
      <c r="AZO3" s="1" t="str" cm="1">
        <f t="array" ref="AZO3">GetValue("Dmn","Name",AZO2)</f>
        <v/>
      </c>
      <c r="AZP3" s="1" t="str" cm="1">
        <f t="array" ref="AZP3">GetValue("Dmn","Name",AZP2)</f>
        <v/>
      </c>
      <c r="AZQ3" s="1" t="str" cm="1">
        <f t="array" ref="AZQ3">GetValue("Dmn","Name",AZQ2)</f>
        <v/>
      </c>
      <c r="AZR3" s="1" t="str" cm="1">
        <f t="array" ref="AZR3">GetValue("Dmn","Name",AZR2)</f>
        <v/>
      </c>
      <c r="AZS3" s="1" t="str" cm="1">
        <f t="array" ref="AZS3">GetValue("Dmn","Name",AZS2)</f>
        <v/>
      </c>
      <c r="AZT3" s="1" t="str" cm="1">
        <f t="array" ref="AZT3">GetValue("Dmn","Name",AZT2)</f>
        <v/>
      </c>
      <c r="AZU3" s="1" t="str" cm="1">
        <f t="array" ref="AZU3">GetValue("Dmn","Name",AZU2)</f>
        <v/>
      </c>
      <c r="AZV3" s="1" t="str" cm="1">
        <f t="array" ref="AZV3">GetValue("Dmn","Name",AZV2)</f>
        <v/>
      </c>
      <c r="AZW3" s="1" t="str" cm="1">
        <f t="array" ref="AZW3">GetValue("Dmn","Name",AZW2)</f>
        <v/>
      </c>
      <c r="AZX3" s="1" t="str" cm="1">
        <f t="array" ref="AZX3">GetValue("Dmn","Name",AZX2)</f>
        <v/>
      </c>
      <c r="AZY3" s="1" t="str" cm="1">
        <f t="array" ref="AZY3">GetValue("Dmn","Name",AZY2)</f>
        <v/>
      </c>
      <c r="AZZ3" s="1" t="str" cm="1">
        <f t="array" ref="AZZ3">GetValue("Dmn","Name",AZZ2)</f>
        <v/>
      </c>
      <c r="BAA3" s="1" t="str" cm="1">
        <f t="array" ref="BAA3">GetValue("Dmn","Name",BAA2)</f>
        <v/>
      </c>
      <c r="BAB3" s="1" t="str" cm="1">
        <f t="array" ref="BAB3">GetValue("Dmn","Name",BAB2)</f>
        <v/>
      </c>
      <c r="BAC3" s="1" t="str" cm="1">
        <f t="array" ref="BAC3">GetValue("Dmn","Name",BAC2)</f>
        <v/>
      </c>
      <c r="BAD3" s="1" t="str" cm="1">
        <f t="array" ref="BAD3">GetValue("Dmn","Name",BAD2)</f>
        <v/>
      </c>
      <c r="BAE3" s="1" t="str" cm="1">
        <f t="array" ref="BAE3">GetValue("Dmn","Name",BAE2)</f>
        <v/>
      </c>
      <c r="BAF3" s="1" t="str" cm="1">
        <f t="array" ref="BAF3">GetValue("Dmn","Name",BAF2)</f>
        <v/>
      </c>
      <c r="BAG3" s="1" t="str" cm="1">
        <f t="array" ref="BAG3">GetValue("Dmn","Name",BAG2)</f>
        <v/>
      </c>
      <c r="BAH3" s="1" t="str" cm="1">
        <f t="array" ref="BAH3">GetValue("Dmn","Name",BAH2)</f>
        <v/>
      </c>
      <c r="BAI3" s="1" t="str" cm="1">
        <f t="array" ref="BAI3">GetValue("Dmn","Name",BAI2)</f>
        <v/>
      </c>
      <c r="BAJ3" s="1" t="str" cm="1">
        <f t="array" ref="BAJ3">GetValue("Dmn","Name",BAJ2)</f>
        <v/>
      </c>
      <c r="BAK3" s="1" t="str" cm="1">
        <f t="array" ref="BAK3">GetValue("Dmn","Name",BAK2)</f>
        <v/>
      </c>
      <c r="BAL3" s="1" t="str" cm="1">
        <f t="array" ref="BAL3">GetValue("Dmn","Name",BAL2)</f>
        <v/>
      </c>
      <c r="BAM3" s="1" t="str" cm="1">
        <f t="array" ref="BAM3">GetValue("Dmn","Name",BAM2)</f>
        <v/>
      </c>
      <c r="BAN3" s="1" t="str" cm="1">
        <f t="array" ref="BAN3">GetValue("Dmn","Name",BAN2)</f>
        <v/>
      </c>
      <c r="BAO3" s="1" t="str" cm="1">
        <f t="array" ref="BAO3">GetValue("Dmn","Name",BAO2)</f>
        <v/>
      </c>
      <c r="BAP3" s="1" t="str" cm="1">
        <f t="array" ref="BAP3">GetValue("Dmn","Name",BAP2)</f>
        <v/>
      </c>
      <c r="BAQ3" s="1" t="str" cm="1">
        <f t="array" ref="BAQ3">GetValue("Dmn","Name",BAQ2)</f>
        <v/>
      </c>
      <c r="BAR3" s="1" t="str" cm="1">
        <f t="array" ref="BAR3">GetValue("Dmn","Name",BAR2)</f>
        <v/>
      </c>
      <c r="BAS3" s="1" t="str" cm="1">
        <f t="array" ref="BAS3">GetValue("Dmn","Name",BAS2)</f>
        <v/>
      </c>
      <c r="BAT3" s="1" t="str" cm="1">
        <f t="array" ref="BAT3">GetValue("Dmn","Name",BAT2)</f>
        <v/>
      </c>
      <c r="BAU3" s="1" t="str" cm="1">
        <f t="array" ref="BAU3">GetValue("Dmn","Name",BAU2)</f>
        <v/>
      </c>
      <c r="BAV3" s="1" t="str" cm="1">
        <f t="array" ref="BAV3">GetValue("Dmn","Name",BAV2)</f>
        <v/>
      </c>
      <c r="BAW3" s="1" t="str" cm="1">
        <f t="array" ref="BAW3">GetValue("Dmn","Name",BAW2)</f>
        <v/>
      </c>
      <c r="BAX3" s="1" t="str" cm="1">
        <f t="array" ref="BAX3">GetValue("Dmn","Name",BAX2)</f>
        <v/>
      </c>
      <c r="BAY3" s="1" t="str" cm="1">
        <f t="array" ref="BAY3">GetValue("Dmn","Name",BAY2)</f>
        <v/>
      </c>
      <c r="BAZ3" s="1" t="str" cm="1">
        <f t="array" ref="BAZ3">GetValue("Dmn","Name",BAZ2)</f>
        <v/>
      </c>
      <c r="BBA3" s="1" t="str" cm="1">
        <f t="array" ref="BBA3">GetValue("Dmn","Name",BBA2)</f>
        <v/>
      </c>
      <c r="BBB3" s="1" t="str" cm="1">
        <f t="array" ref="BBB3">GetValue("Dmn","Name",BBB2)</f>
        <v/>
      </c>
      <c r="BBC3" s="1" t="str" cm="1">
        <f t="array" ref="BBC3">GetValue("Dmn","Name",BBC2)</f>
        <v/>
      </c>
      <c r="BBD3" s="1" t="str" cm="1">
        <f t="array" ref="BBD3">GetValue("Dmn","Name",BBD2)</f>
        <v/>
      </c>
      <c r="BBE3" s="1" t="str" cm="1">
        <f t="array" ref="BBE3">GetValue("Dmn","Name",BBE2)</f>
        <v/>
      </c>
      <c r="BBF3" s="1" t="str" cm="1">
        <f t="array" ref="BBF3">GetValue("Dmn","Name",BBF2)</f>
        <v/>
      </c>
      <c r="BBG3" s="1" t="str" cm="1">
        <f t="array" ref="BBG3">GetValue("Dmn","Name",BBG2)</f>
        <v/>
      </c>
      <c r="BBH3" s="1" t="str" cm="1">
        <f t="array" ref="BBH3">GetValue("Dmn","Name",BBH2)</f>
        <v/>
      </c>
      <c r="BBI3" s="1" t="str" cm="1">
        <f t="array" ref="BBI3">GetValue("Dmn","Name",BBI2)</f>
        <v/>
      </c>
      <c r="BBJ3" s="1" t="str" cm="1">
        <f t="array" ref="BBJ3">GetValue("Dmn","Name",BBJ2)</f>
        <v/>
      </c>
      <c r="BBK3" s="1" t="str" cm="1">
        <f t="array" ref="BBK3">GetValue("Dmn","Name",BBK2)</f>
        <v/>
      </c>
      <c r="BBL3" s="1" t="str" cm="1">
        <f t="array" ref="BBL3">GetValue("Dmn","Name",BBL2)</f>
        <v/>
      </c>
      <c r="BBM3" s="1" t="str" cm="1">
        <f t="array" ref="BBM3">GetValue("Dmn","Name",BBM2)</f>
        <v/>
      </c>
      <c r="BBN3" s="1" t="str" cm="1">
        <f t="array" ref="BBN3">GetValue("Dmn","Name",BBN2)</f>
        <v/>
      </c>
      <c r="BBO3" s="1" t="str" cm="1">
        <f t="array" ref="BBO3">GetValue("Dmn","Name",BBO2)</f>
        <v/>
      </c>
      <c r="BBP3" s="1" t="str" cm="1">
        <f t="array" ref="BBP3">GetValue("Dmn","Name",BBP2)</f>
        <v/>
      </c>
      <c r="BBQ3" s="1" t="str" cm="1">
        <f t="array" ref="BBQ3">GetValue("Dmn","Name",BBQ2)</f>
        <v/>
      </c>
      <c r="BBR3" s="1" t="str" cm="1">
        <f t="array" ref="BBR3">GetValue("Dmn","Name",BBR2)</f>
        <v/>
      </c>
      <c r="BBS3" s="1" t="str" cm="1">
        <f t="array" ref="BBS3">GetValue("Dmn","Name",BBS2)</f>
        <v/>
      </c>
      <c r="BBT3" s="1" t="str" cm="1">
        <f t="array" ref="BBT3">GetValue("Dmn","Name",BBT2)</f>
        <v/>
      </c>
      <c r="BBU3" s="1" t="str" cm="1">
        <f t="array" ref="BBU3">GetValue("Dmn","Name",BBU2)</f>
        <v/>
      </c>
      <c r="BBV3" s="1" t="str" cm="1">
        <f t="array" ref="BBV3">GetValue("Dmn","Name",BBV2)</f>
        <v/>
      </c>
      <c r="BBW3" s="1" t="str" cm="1">
        <f t="array" ref="BBW3">GetValue("Dmn","Name",BBW2)</f>
        <v/>
      </c>
      <c r="BBX3" s="1" t="str" cm="1">
        <f t="array" ref="BBX3">GetValue("Dmn","Name",BBX2)</f>
        <v/>
      </c>
      <c r="BBY3" s="1" t="str" cm="1">
        <f t="array" ref="BBY3">GetValue("Dmn","Name",BBY2)</f>
        <v/>
      </c>
      <c r="BBZ3" s="1" t="str" cm="1">
        <f t="array" ref="BBZ3">GetValue("Dmn","Name",BBZ2)</f>
        <v/>
      </c>
      <c r="BCA3" s="1" t="str" cm="1">
        <f t="array" ref="BCA3">GetValue("Dmn","Name",BCA2)</f>
        <v/>
      </c>
      <c r="BCB3" s="1" t="str" cm="1">
        <f t="array" ref="BCB3">GetValue("Dmn","Name",BCB2)</f>
        <v/>
      </c>
      <c r="BCC3" s="1" t="str" cm="1">
        <f t="array" ref="BCC3">GetValue("Dmn","Name",BCC2)</f>
        <v/>
      </c>
      <c r="BCD3" s="1" t="str" cm="1">
        <f t="array" ref="BCD3">GetValue("Dmn","Name",BCD2)</f>
        <v/>
      </c>
      <c r="BCE3" s="1" t="str" cm="1">
        <f t="array" ref="BCE3">GetValue("Dmn","Name",BCE2)</f>
        <v/>
      </c>
      <c r="BCF3" s="1" t="str" cm="1">
        <f t="array" ref="BCF3">GetValue("Dmn","Name",BCF2)</f>
        <v/>
      </c>
      <c r="BCG3" s="1" t="str" cm="1">
        <f t="array" ref="BCG3">GetValue("Dmn","Name",BCG2)</f>
        <v/>
      </c>
      <c r="BCH3" s="1" t="str" cm="1">
        <f t="array" ref="BCH3">GetValue("Dmn","Name",BCH2)</f>
        <v/>
      </c>
      <c r="BCI3" s="1" t="str" cm="1">
        <f t="array" ref="BCI3">GetValue("Dmn","Name",BCI2)</f>
        <v/>
      </c>
      <c r="BCJ3" s="1" t="str" cm="1">
        <f t="array" ref="BCJ3">GetValue("Dmn","Name",BCJ2)</f>
        <v/>
      </c>
      <c r="BCK3" s="1" t="str" cm="1">
        <f t="array" ref="BCK3">GetValue("Dmn","Name",BCK2)</f>
        <v/>
      </c>
      <c r="BCL3" s="1" t="str" cm="1">
        <f t="array" ref="BCL3">GetValue("Dmn","Name",BCL2)</f>
        <v/>
      </c>
      <c r="BCM3" s="1" t="str" cm="1">
        <f t="array" ref="BCM3">GetValue("Dmn","Name",BCM2)</f>
        <v/>
      </c>
      <c r="BCN3" s="1" t="str" cm="1">
        <f t="array" ref="BCN3">GetValue("Dmn","Name",BCN2)</f>
        <v/>
      </c>
      <c r="BCO3" s="1" t="str" cm="1">
        <f t="array" ref="BCO3">GetValue("Dmn","Name",BCO2)</f>
        <v/>
      </c>
      <c r="BCP3" s="1" t="str" cm="1">
        <f t="array" ref="BCP3">GetValue("Dmn","Name",BCP2)</f>
        <v/>
      </c>
      <c r="BCQ3" s="1" t="str" cm="1">
        <f t="array" ref="BCQ3">GetValue("Dmn","Name",BCQ2)</f>
        <v/>
      </c>
      <c r="BCR3" s="1" t="str" cm="1">
        <f t="array" ref="BCR3">GetValue("Dmn","Name",BCR2)</f>
        <v/>
      </c>
      <c r="BCS3" s="1" t="str" cm="1">
        <f t="array" ref="BCS3">GetValue("Dmn","Name",BCS2)</f>
        <v/>
      </c>
      <c r="BCT3" s="1" t="str" cm="1">
        <f t="array" ref="BCT3">GetValue("Dmn","Name",BCT2)</f>
        <v/>
      </c>
      <c r="BCU3" s="1" t="str" cm="1">
        <f t="array" ref="BCU3">GetValue("Dmn","Name",BCU2)</f>
        <v/>
      </c>
      <c r="BCV3" s="1" t="str" cm="1">
        <f t="array" ref="BCV3">GetValue("Dmn","Name",BCV2)</f>
        <v/>
      </c>
      <c r="BCW3" s="1" t="str" cm="1">
        <f t="array" ref="BCW3">GetValue("Dmn","Name",BCW2)</f>
        <v/>
      </c>
      <c r="BCX3" s="1" t="str" cm="1">
        <f t="array" ref="BCX3">GetValue("Dmn","Name",BCX2)</f>
        <v/>
      </c>
      <c r="BCY3" s="1" t="str" cm="1">
        <f t="array" ref="BCY3">GetValue("Dmn","Name",BCY2)</f>
        <v/>
      </c>
      <c r="BCZ3" s="1" t="str" cm="1">
        <f t="array" ref="BCZ3">GetValue("Dmn","Name",BCZ2)</f>
        <v/>
      </c>
      <c r="BDA3" s="1" t="str" cm="1">
        <f t="array" ref="BDA3">GetValue("Dmn","Name",BDA2)</f>
        <v/>
      </c>
      <c r="BDB3" s="1" t="str" cm="1">
        <f t="array" ref="BDB3">GetValue("Dmn","Name",BDB2)</f>
        <v/>
      </c>
      <c r="BDC3" s="1" t="str" cm="1">
        <f t="array" ref="BDC3">GetValue("Dmn","Name",BDC2)</f>
        <v/>
      </c>
      <c r="BDD3" s="1" t="str" cm="1">
        <f t="array" ref="BDD3">GetValue("Dmn","Name",BDD2)</f>
        <v/>
      </c>
      <c r="BDE3" s="1" t="str" cm="1">
        <f t="array" ref="BDE3">GetValue("Dmn","Name",BDE2)</f>
        <v/>
      </c>
      <c r="BDF3" s="1" t="str" cm="1">
        <f t="array" ref="BDF3">GetValue("Dmn","Name",BDF2)</f>
        <v/>
      </c>
      <c r="BDG3" s="1" t="str" cm="1">
        <f t="array" ref="BDG3">GetValue("Dmn","Name",BDG2)</f>
        <v/>
      </c>
      <c r="BDH3" s="1" t="str" cm="1">
        <f t="array" ref="BDH3">GetValue("Dmn","Name",BDH2)</f>
        <v/>
      </c>
      <c r="BDI3" s="1" t="str" cm="1">
        <f t="array" ref="BDI3">GetValue("Dmn","Name",BDI2)</f>
        <v/>
      </c>
      <c r="BDJ3" s="1" t="str" cm="1">
        <f t="array" ref="BDJ3">GetValue("Dmn","Name",BDJ2)</f>
        <v/>
      </c>
      <c r="BDK3" s="1" t="str" cm="1">
        <f t="array" ref="BDK3">GetValue("Dmn","Name",BDK2)</f>
        <v/>
      </c>
      <c r="BDL3" s="1" t="str" cm="1">
        <f t="array" ref="BDL3">GetValue("Dmn","Name",BDL2)</f>
        <v/>
      </c>
      <c r="BDM3" s="1" t="str" cm="1">
        <f t="array" ref="BDM3">GetValue("Dmn","Name",BDM2)</f>
        <v/>
      </c>
      <c r="BDN3" s="1" t="str" cm="1">
        <f t="array" ref="BDN3">GetValue("Dmn","Name",BDN2)</f>
        <v/>
      </c>
      <c r="BDO3" s="1" t="str" cm="1">
        <f t="array" ref="BDO3">GetValue("Dmn","Name",BDO2)</f>
        <v/>
      </c>
      <c r="BDP3" s="1" t="str" cm="1">
        <f t="array" ref="BDP3">GetValue("Dmn","Name",BDP2)</f>
        <v/>
      </c>
      <c r="BDQ3" s="1" t="str" cm="1">
        <f t="array" ref="BDQ3">GetValue("Dmn","Name",BDQ2)</f>
        <v/>
      </c>
      <c r="BDR3" s="1" t="str" cm="1">
        <f t="array" ref="BDR3">GetValue("Dmn","Name",BDR2)</f>
        <v/>
      </c>
      <c r="BDS3" s="1" t="str" cm="1">
        <f t="array" ref="BDS3">GetValue("Dmn","Name",BDS2)</f>
        <v/>
      </c>
      <c r="BDT3" s="1" t="str" cm="1">
        <f t="array" ref="BDT3">GetValue("Dmn","Name",BDT2)</f>
        <v/>
      </c>
      <c r="BDU3" s="1" t="str" cm="1">
        <f t="array" ref="BDU3">GetValue("Dmn","Name",BDU2)</f>
        <v/>
      </c>
      <c r="BDV3" s="1" t="str" cm="1">
        <f t="array" ref="BDV3">GetValue("Dmn","Name",BDV2)</f>
        <v/>
      </c>
      <c r="BDW3" s="1" t="str" cm="1">
        <f t="array" ref="BDW3">GetValue("Dmn","Name",BDW2)</f>
        <v/>
      </c>
      <c r="BDX3" s="1" t="str" cm="1">
        <f t="array" ref="BDX3">GetValue("Dmn","Name",BDX2)</f>
        <v/>
      </c>
      <c r="BDY3" s="1" t="str" cm="1">
        <f t="array" ref="BDY3">GetValue("Dmn","Name",BDY2)</f>
        <v/>
      </c>
      <c r="BDZ3" s="1" t="str" cm="1">
        <f t="array" ref="BDZ3">GetValue("Dmn","Name",BDZ2)</f>
        <v/>
      </c>
      <c r="BEA3" s="1" t="str" cm="1">
        <f t="array" ref="BEA3">GetValue("Dmn","Name",BEA2)</f>
        <v/>
      </c>
      <c r="BEB3" s="1" t="str" cm="1">
        <f t="array" ref="BEB3">GetValue("Dmn","Name",BEB2)</f>
        <v/>
      </c>
      <c r="BEC3" s="1" t="str" cm="1">
        <f t="array" ref="BEC3">GetValue("Dmn","Name",BEC2)</f>
        <v/>
      </c>
      <c r="BED3" s="1" t="str" cm="1">
        <f t="array" ref="BED3">GetValue("Dmn","Name",BED2)</f>
        <v/>
      </c>
      <c r="BEE3" s="1" t="str" cm="1">
        <f t="array" ref="BEE3">GetValue("Dmn","Name",BEE2)</f>
        <v/>
      </c>
      <c r="BEF3" s="1" t="str" cm="1">
        <f t="array" ref="BEF3">GetValue("Dmn","Name",BEF2)</f>
        <v/>
      </c>
      <c r="BEG3" s="1" t="str" cm="1">
        <f t="array" ref="BEG3">GetValue("Dmn","Name",BEG2)</f>
        <v/>
      </c>
      <c r="BEH3" s="1" t="str" cm="1">
        <f t="array" ref="BEH3">GetValue("Dmn","Name",BEH2)</f>
        <v/>
      </c>
      <c r="BEI3" s="1" t="str" cm="1">
        <f t="array" ref="BEI3">GetValue("Dmn","Name",BEI2)</f>
        <v/>
      </c>
      <c r="BEJ3" s="1" t="str" cm="1">
        <f t="array" ref="BEJ3">GetValue("Dmn","Name",BEJ2)</f>
        <v/>
      </c>
      <c r="BEK3" s="1" t="str" cm="1">
        <f t="array" ref="BEK3">GetValue("Dmn","Name",BEK2)</f>
        <v/>
      </c>
      <c r="BEL3" s="1" t="str" cm="1">
        <f t="array" ref="BEL3">GetValue("Dmn","Name",BEL2)</f>
        <v/>
      </c>
      <c r="BEM3" s="1" t="str" cm="1">
        <f t="array" ref="BEM3">GetValue("Dmn","Name",BEM2)</f>
        <v/>
      </c>
      <c r="BEN3" s="1" t="str" cm="1">
        <f t="array" ref="BEN3">GetValue("Dmn","Name",BEN2)</f>
        <v/>
      </c>
      <c r="BEO3" s="1" t="str" cm="1">
        <f t="array" ref="BEO3">GetValue("Dmn","Name",BEO2)</f>
        <v/>
      </c>
      <c r="BEP3" s="1" t="str" cm="1">
        <f t="array" ref="BEP3">GetValue("Dmn","Name",BEP2)</f>
        <v/>
      </c>
      <c r="BEQ3" s="1" t="str" cm="1">
        <f t="array" ref="BEQ3">GetValue("Dmn","Name",BEQ2)</f>
        <v/>
      </c>
      <c r="BER3" s="1" t="str" cm="1">
        <f t="array" ref="BER3">GetValue("Dmn","Name",BER2)</f>
        <v/>
      </c>
      <c r="BES3" s="1" t="str" cm="1">
        <f t="array" ref="BES3">GetValue("Dmn","Name",BES2)</f>
        <v/>
      </c>
      <c r="BET3" s="1" t="str" cm="1">
        <f t="array" ref="BET3">GetValue("Dmn","Name",BET2)</f>
        <v/>
      </c>
      <c r="BEU3" s="1" t="str" cm="1">
        <f t="array" ref="BEU3">GetValue("Dmn","Name",BEU2)</f>
        <v/>
      </c>
      <c r="BEV3" s="1" t="str" cm="1">
        <f t="array" ref="BEV3">GetValue("Dmn","Name",BEV2)</f>
        <v/>
      </c>
      <c r="BEW3" s="1" t="str" cm="1">
        <f t="array" ref="BEW3">GetValue("Dmn","Name",BEW2)</f>
        <v/>
      </c>
      <c r="BEX3" s="1" t="str" cm="1">
        <f t="array" ref="BEX3">GetValue("Dmn","Name",BEX2)</f>
        <v/>
      </c>
      <c r="BEY3" s="1" t="str" cm="1">
        <f t="array" ref="BEY3">GetValue("Dmn","Name",BEY2)</f>
        <v/>
      </c>
      <c r="BEZ3" s="1" t="str" cm="1">
        <f t="array" ref="BEZ3">GetValue("Dmn","Name",BEZ2)</f>
        <v/>
      </c>
      <c r="BFA3" s="1" t="str" cm="1">
        <f t="array" ref="BFA3">GetValue("Dmn","Name",BFA2)</f>
        <v/>
      </c>
      <c r="BFB3" s="1" t="str" cm="1">
        <f t="array" ref="BFB3">GetValue("Dmn","Name",BFB2)</f>
        <v/>
      </c>
      <c r="BFC3" s="1" t="str" cm="1">
        <f t="array" ref="BFC3">GetValue("Dmn","Name",BFC2)</f>
        <v/>
      </c>
      <c r="BFD3" s="1" t="str" cm="1">
        <f t="array" ref="BFD3">GetValue("Dmn","Name",BFD2)</f>
        <v/>
      </c>
      <c r="BFE3" s="1" t="str" cm="1">
        <f t="array" ref="BFE3">GetValue("Dmn","Name",BFE2)</f>
        <v/>
      </c>
      <c r="BFF3" s="1" t="str" cm="1">
        <f t="array" ref="BFF3">GetValue("Dmn","Name",BFF2)</f>
        <v/>
      </c>
      <c r="BFG3" s="1" t="str" cm="1">
        <f t="array" ref="BFG3">GetValue("Dmn","Name",BFG2)</f>
        <v/>
      </c>
      <c r="BFH3" s="1" t="str" cm="1">
        <f t="array" ref="BFH3">GetValue("Dmn","Name",BFH2)</f>
        <v/>
      </c>
      <c r="BFI3" s="1" t="str" cm="1">
        <f t="array" ref="BFI3">GetValue("Dmn","Name",BFI2)</f>
        <v/>
      </c>
      <c r="BFJ3" s="1" t="str" cm="1">
        <f t="array" ref="BFJ3">GetValue("Dmn","Name",BFJ2)</f>
        <v/>
      </c>
      <c r="BFK3" s="1" t="str" cm="1">
        <f t="array" ref="BFK3">GetValue("Dmn","Name",BFK2)</f>
        <v/>
      </c>
      <c r="BFL3" s="1" t="str" cm="1">
        <f t="array" ref="BFL3">GetValue("Dmn","Name",BFL2)</f>
        <v/>
      </c>
      <c r="BFM3" s="1" t="str" cm="1">
        <f t="array" ref="BFM3">GetValue("Dmn","Name",BFM2)</f>
        <v/>
      </c>
      <c r="BFN3" s="1" t="str" cm="1">
        <f t="array" ref="BFN3">GetValue("Dmn","Name",BFN2)</f>
        <v/>
      </c>
      <c r="BFO3" s="1" t="str" cm="1">
        <f t="array" ref="BFO3">GetValue("Dmn","Name",BFO2)</f>
        <v/>
      </c>
      <c r="BFP3" s="1" t="str" cm="1">
        <f t="array" ref="BFP3">GetValue("Dmn","Name",BFP2)</f>
        <v/>
      </c>
      <c r="BFQ3" s="1" t="str" cm="1">
        <f t="array" ref="BFQ3">GetValue("Dmn","Name",BFQ2)</f>
        <v/>
      </c>
      <c r="BFR3" s="1" t="str" cm="1">
        <f t="array" ref="BFR3">GetValue("Dmn","Name",BFR2)</f>
        <v/>
      </c>
      <c r="BFS3" s="1" t="str" cm="1">
        <f t="array" ref="BFS3">GetValue("Dmn","Name",BFS2)</f>
        <v/>
      </c>
      <c r="BFT3" s="1" t="str" cm="1">
        <f t="array" ref="BFT3">GetValue("Dmn","Name",BFT2)</f>
        <v/>
      </c>
      <c r="BFU3" s="1" t="str" cm="1">
        <f t="array" ref="BFU3">GetValue("Dmn","Name",BFU2)</f>
        <v/>
      </c>
      <c r="BFV3" s="1" t="str" cm="1">
        <f t="array" ref="BFV3">GetValue("Dmn","Name",BFV2)</f>
        <v/>
      </c>
      <c r="BFW3" s="1" t="str" cm="1">
        <f t="array" ref="BFW3">GetValue("Dmn","Name",BFW2)</f>
        <v/>
      </c>
      <c r="BFX3" s="1" t="str" cm="1">
        <f t="array" ref="BFX3">GetValue("Dmn","Name",BFX2)</f>
        <v/>
      </c>
      <c r="BFY3" s="1" t="str" cm="1">
        <f t="array" ref="BFY3">GetValue("Dmn","Name",BFY2)</f>
        <v/>
      </c>
      <c r="BFZ3" s="1" t="str" cm="1">
        <f t="array" ref="BFZ3">GetValue("Dmn","Name",BFZ2)</f>
        <v/>
      </c>
      <c r="BGA3" s="1" t="str" cm="1">
        <f t="array" ref="BGA3">GetValue("Dmn","Name",BGA2)</f>
        <v/>
      </c>
      <c r="BGB3" s="1" t="str" cm="1">
        <f t="array" ref="BGB3">GetValue("Dmn","Name",BGB2)</f>
        <v/>
      </c>
      <c r="BGC3" s="1" t="str" cm="1">
        <f t="array" ref="BGC3">GetValue("Dmn","Name",BGC2)</f>
        <v/>
      </c>
      <c r="BGD3" s="1" t="str" cm="1">
        <f t="array" ref="BGD3">GetValue("Dmn","Name",BGD2)</f>
        <v/>
      </c>
      <c r="BGE3" s="1" t="str" cm="1">
        <f t="array" ref="BGE3">GetValue("Dmn","Name",BGE2)</f>
        <v/>
      </c>
      <c r="BGF3" s="1" t="str" cm="1">
        <f t="array" ref="BGF3">GetValue("Dmn","Name",BGF2)</f>
        <v/>
      </c>
      <c r="BGG3" s="1" t="str" cm="1">
        <f t="array" ref="BGG3">GetValue("Dmn","Name",BGG2)</f>
        <v/>
      </c>
      <c r="BGH3" s="1" t="str" cm="1">
        <f t="array" ref="BGH3">GetValue("Dmn","Name",BGH2)</f>
        <v/>
      </c>
      <c r="BGI3" s="1" t="str" cm="1">
        <f t="array" ref="BGI3">GetValue("Dmn","Name",BGI2)</f>
        <v/>
      </c>
      <c r="BGJ3" s="1" t="str" cm="1">
        <f t="array" ref="BGJ3">GetValue("Dmn","Name",BGJ2)</f>
        <v/>
      </c>
      <c r="BGK3" s="1" t="str" cm="1">
        <f t="array" ref="BGK3">GetValue("Dmn","Name",BGK2)</f>
        <v/>
      </c>
      <c r="BGL3" s="1" t="str" cm="1">
        <f t="array" ref="BGL3">GetValue("Dmn","Name",BGL2)</f>
        <v/>
      </c>
      <c r="BGM3" s="1" t="str" cm="1">
        <f t="array" ref="BGM3">GetValue("Dmn","Name",BGM2)</f>
        <v/>
      </c>
      <c r="BGN3" s="1" t="str" cm="1">
        <f t="array" ref="BGN3">GetValue("Dmn","Name",BGN2)</f>
        <v/>
      </c>
      <c r="BGO3" s="1" t="str" cm="1">
        <f t="array" ref="BGO3">GetValue("Dmn","Name",BGO2)</f>
        <v/>
      </c>
      <c r="BGP3" s="1" t="str" cm="1">
        <f t="array" ref="BGP3">GetValue("Dmn","Name",BGP2)</f>
        <v/>
      </c>
      <c r="BGQ3" s="1" t="str" cm="1">
        <f t="array" ref="BGQ3">GetValue("Dmn","Name",BGQ2)</f>
        <v/>
      </c>
      <c r="BGR3" s="1" t="str" cm="1">
        <f t="array" ref="BGR3">GetValue("Dmn","Name",BGR2)</f>
        <v/>
      </c>
      <c r="BGS3" s="1" t="str" cm="1">
        <f t="array" ref="BGS3">GetValue("Dmn","Name",BGS2)</f>
        <v/>
      </c>
      <c r="BGT3" s="1" t="str" cm="1">
        <f t="array" ref="BGT3">GetValue("Dmn","Name",BGT2)</f>
        <v/>
      </c>
      <c r="BGU3" s="1" t="str" cm="1">
        <f t="array" ref="BGU3">GetValue("Dmn","Name",BGU2)</f>
        <v/>
      </c>
      <c r="BGV3" s="1" t="str" cm="1">
        <f t="array" ref="BGV3">GetValue("Dmn","Name",BGV2)</f>
        <v/>
      </c>
      <c r="BGW3" s="1" t="str" cm="1">
        <f t="array" ref="BGW3">GetValue("Dmn","Name",BGW2)</f>
        <v/>
      </c>
      <c r="BGX3" s="1" t="str" cm="1">
        <f t="array" ref="BGX3">GetValue("Dmn","Name",BGX2)</f>
        <v/>
      </c>
      <c r="BGY3" s="1" t="str" cm="1">
        <f t="array" ref="BGY3">GetValue("Dmn","Name",BGY2)</f>
        <v/>
      </c>
      <c r="BGZ3" s="1" t="str" cm="1">
        <f t="array" ref="BGZ3">GetValue("Dmn","Name",BGZ2)</f>
        <v/>
      </c>
      <c r="BHA3" s="1" t="str" cm="1">
        <f t="array" ref="BHA3">GetValue("Dmn","Name",BHA2)</f>
        <v/>
      </c>
      <c r="BHB3" s="1" t="str" cm="1">
        <f t="array" ref="BHB3">GetValue("Dmn","Name",BHB2)</f>
        <v/>
      </c>
      <c r="BHC3" s="1" t="str" cm="1">
        <f t="array" ref="BHC3">GetValue("Dmn","Name",BHC2)</f>
        <v/>
      </c>
      <c r="BHD3" s="1" t="str" cm="1">
        <f t="array" ref="BHD3">GetValue("Dmn","Name",BHD2)</f>
        <v/>
      </c>
      <c r="BHE3" s="1" t="str" cm="1">
        <f t="array" ref="BHE3">GetValue("Dmn","Name",BHE2)</f>
        <v/>
      </c>
      <c r="BHF3" s="1" t="str" cm="1">
        <f t="array" ref="BHF3">GetValue("Dmn","Name",BHF2)</f>
        <v/>
      </c>
      <c r="BHG3" s="1" t="str" cm="1">
        <f t="array" ref="BHG3">GetValue("Dmn","Name",BHG2)</f>
        <v/>
      </c>
      <c r="BHH3" s="1" t="str" cm="1">
        <f t="array" ref="BHH3">GetValue("Dmn","Name",BHH2)</f>
        <v/>
      </c>
      <c r="BHI3" s="1" t="str" cm="1">
        <f t="array" ref="BHI3">GetValue("Dmn","Name",BHI2)</f>
        <v/>
      </c>
      <c r="BHJ3" s="1" t="str" cm="1">
        <f t="array" ref="BHJ3">GetValue("Dmn","Name",BHJ2)</f>
        <v/>
      </c>
      <c r="BHK3" s="1" t="str" cm="1">
        <f t="array" ref="BHK3">GetValue("Dmn","Name",BHK2)</f>
        <v/>
      </c>
      <c r="BHL3" s="1" t="str" cm="1">
        <f t="array" ref="BHL3">GetValue("Dmn","Name",BHL2)</f>
        <v/>
      </c>
      <c r="BHM3" s="1" t="str" cm="1">
        <f t="array" ref="BHM3">GetValue("Dmn","Name",BHM2)</f>
        <v/>
      </c>
      <c r="BHN3" s="1" t="str" cm="1">
        <f t="array" ref="BHN3">GetValue("Dmn","Name",BHN2)</f>
        <v/>
      </c>
      <c r="BHO3" s="1" t="str" cm="1">
        <f t="array" ref="BHO3">GetValue("Dmn","Name",BHO2)</f>
        <v/>
      </c>
      <c r="BHP3" s="1" t="str" cm="1">
        <f t="array" ref="BHP3">GetValue("Dmn","Name",BHP2)</f>
        <v/>
      </c>
      <c r="BHQ3" s="1" t="str" cm="1">
        <f t="array" ref="BHQ3">GetValue("Dmn","Name",BHQ2)</f>
        <v/>
      </c>
      <c r="BHR3" s="1" t="str" cm="1">
        <f t="array" ref="BHR3">GetValue("Dmn","Name",BHR2)</f>
        <v/>
      </c>
      <c r="BHS3" s="1" t="str" cm="1">
        <f t="array" ref="BHS3">GetValue("Dmn","Name",BHS2)</f>
        <v/>
      </c>
      <c r="BHT3" s="1" t="str" cm="1">
        <f t="array" ref="BHT3">GetValue("Dmn","Name",BHT2)</f>
        <v/>
      </c>
      <c r="BHU3" s="1" t="str" cm="1">
        <f t="array" ref="BHU3">GetValue("Dmn","Name",BHU2)</f>
        <v/>
      </c>
      <c r="BHV3" s="1" t="str" cm="1">
        <f t="array" ref="BHV3">GetValue("Dmn","Name",BHV2)</f>
        <v/>
      </c>
      <c r="BHW3" s="1" t="str" cm="1">
        <f t="array" ref="BHW3">GetValue("Dmn","Name",BHW2)</f>
        <v/>
      </c>
      <c r="BHX3" s="1" t="str" cm="1">
        <f t="array" ref="BHX3">GetValue("Dmn","Name",BHX2)</f>
        <v/>
      </c>
      <c r="BHY3" s="1" t="str" cm="1">
        <f t="array" ref="BHY3">GetValue("Dmn","Name",BHY2)</f>
        <v/>
      </c>
      <c r="BHZ3" s="1" t="str" cm="1">
        <f t="array" ref="BHZ3">GetValue("Dmn","Name",BHZ2)</f>
        <v/>
      </c>
      <c r="BIA3" s="1" t="str" cm="1">
        <f t="array" ref="BIA3">GetValue("Dmn","Name",BIA2)</f>
        <v/>
      </c>
      <c r="BIB3" s="1" t="str" cm="1">
        <f t="array" ref="BIB3">GetValue("Dmn","Name",BIB2)</f>
        <v/>
      </c>
      <c r="BIC3" s="1" t="str" cm="1">
        <f t="array" ref="BIC3">GetValue("Dmn","Name",BIC2)</f>
        <v/>
      </c>
      <c r="BID3" s="1" t="str" cm="1">
        <f t="array" ref="BID3">GetValue("Dmn","Name",BID2)</f>
        <v/>
      </c>
      <c r="BIE3" s="1" t="str" cm="1">
        <f t="array" ref="BIE3">GetValue("Dmn","Name",BIE2)</f>
        <v/>
      </c>
      <c r="BIF3" s="1" t="str" cm="1">
        <f t="array" ref="BIF3">GetValue("Dmn","Name",BIF2)</f>
        <v/>
      </c>
      <c r="BIG3" s="1" t="str" cm="1">
        <f t="array" ref="BIG3">GetValue("Dmn","Name",BIG2)</f>
        <v/>
      </c>
      <c r="BIH3" s="1" t="str" cm="1">
        <f t="array" ref="BIH3">GetValue("Dmn","Name",BIH2)</f>
        <v/>
      </c>
      <c r="BII3" s="1" t="str" cm="1">
        <f t="array" ref="BII3">GetValue("Dmn","Name",BII2)</f>
        <v/>
      </c>
      <c r="BIJ3" s="1" t="str" cm="1">
        <f t="array" ref="BIJ3">GetValue("Dmn","Name",BIJ2)</f>
        <v/>
      </c>
      <c r="BIK3" s="1" t="str" cm="1">
        <f t="array" ref="BIK3">GetValue("Dmn","Name",BIK2)</f>
        <v/>
      </c>
      <c r="BIL3" s="1" t="str" cm="1">
        <f t="array" ref="BIL3">GetValue("Dmn","Name",BIL2)</f>
        <v/>
      </c>
      <c r="BIM3" s="1" t="str" cm="1">
        <f t="array" ref="BIM3">GetValue("Dmn","Name",BIM2)</f>
        <v/>
      </c>
      <c r="BIN3" s="1" t="str" cm="1">
        <f t="array" ref="BIN3">GetValue("Dmn","Name",BIN2)</f>
        <v/>
      </c>
      <c r="BIO3" s="1" t="str" cm="1">
        <f t="array" ref="BIO3">GetValue("Dmn","Name",BIO2)</f>
        <v/>
      </c>
      <c r="BIP3" s="1" t="str" cm="1">
        <f t="array" ref="BIP3">GetValue("Dmn","Name",BIP2)</f>
        <v/>
      </c>
      <c r="BIQ3" s="1" t="str" cm="1">
        <f t="array" ref="BIQ3">GetValue("Dmn","Name",BIQ2)</f>
        <v/>
      </c>
      <c r="BIR3" s="1" t="str" cm="1">
        <f t="array" ref="BIR3">GetValue("Dmn","Name",BIR2)</f>
        <v/>
      </c>
      <c r="BIS3" s="1" t="str" cm="1">
        <f t="array" ref="BIS3">GetValue("Dmn","Name",BIS2)</f>
        <v/>
      </c>
      <c r="BIT3" s="1" t="str" cm="1">
        <f t="array" ref="BIT3">GetValue("Dmn","Name",BIT2)</f>
        <v/>
      </c>
      <c r="BIU3" s="1" t="str" cm="1">
        <f t="array" ref="BIU3">GetValue("Dmn","Name",BIU2)</f>
        <v/>
      </c>
      <c r="BIV3" s="1" t="str" cm="1">
        <f t="array" ref="BIV3">GetValue("Dmn","Name",BIV2)</f>
        <v/>
      </c>
      <c r="BIW3" s="1" t="str" cm="1">
        <f t="array" ref="BIW3">GetValue("Dmn","Name",BIW2)</f>
        <v/>
      </c>
      <c r="BIX3" s="1" t="str" cm="1">
        <f t="array" ref="BIX3">GetValue("Dmn","Name",BIX2)</f>
        <v/>
      </c>
      <c r="BIY3" s="1" t="str" cm="1">
        <f t="array" ref="BIY3">GetValue("Dmn","Name",BIY2)</f>
        <v/>
      </c>
      <c r="BIZ3" s="1" t="str" cm="1">
        <f t="array" ref="BIZ3">GetValue("Dmn","Name",BIZ2)</f>
        <v/>
      </c>
      <c r="BJA3" s="1" t="str" cm="1">
        <f t="array" ref="BJA3">GetValue("Dmn","Name",BJA2)</f>
        <v/>
      </c>
      <c r="BJB3" s="1" t="str" cm="1">
        <f t="array" ref="BJB3">GetValue("Dmn","Name",BJB2)</f>
        <v/>
      </c>
      <c r="BJC3" s="1" t="str" cm="1">
        <f t="array" ref="BJC3">GetValue("Dmn","Name",BJC2)</f>
        <v/>
      </c>
      <c r="BJD3" s="1" t="str" cm="1">
        <f t="array" ref="BJD3">GetValue("Dmn","Name",BJD2)</f>
        <v/>
      </c>
      <c r="BJE3" s="1" t="str" cm="1">
        <f t="array" ref="BJE3">GetValue("Dmn","Name",BJE2)</f>
        <v/>
      </c>
      <c r="BJF3" s="1" t="str" cm="1">
        <f t="array" ref="BJF3">GetValue("Dmn","Name",BJF2)</f>
        <v/>
      </c>
      <c r="BJG3" s="1" t="str" cm="1">
        <f t="array" ref="BJG3">GetValue("Dmn","Name",BJG2)</f>
        <v/>
      </c>
      <c r="BJH3" s="1" t="str" cm="1">
        <f t="array" ref="BJH3">GetValue("Dmn","Name",BJH2)</f>
        <v/>
      </c>
      <c r="BJI3" s="1" t="str" cm="1">
        <f t="array" ref="BJI3">GetValue("Dmn","Name",BJI2)</f>
        <v/>
      </c>
      <c r="BJJ3" s="1" t="str" cm="1">
        <f t="array" ref="BJJ3">GetValue("Dmn","Name",BJJ2)</f>
        <v/>
      </c>
      <c r="BJK3" s="1" t="str" cm="1">
        <f t="array" ref="BJK3">GetValue("Dmn","Name",BJK2)</f>
        <v/>
      </c>
      <c r="BJL3" s="1" t="str" cm="1">
        <f t="array" ref="BJL3">GetValue("Dmn","Name",BJL2)</f>
        <v/>
      </c>
      <c r="BJM3" s="1" t="str" cm="1">
        <f t="array" ref="BJM3">GetValue("Dmn","Name",BJM2)</f>
        <v/>
      </c>
      <c r="BJN3" s="1" t="str" cm="1">
        <f t="array" ref="BJN3">GetValue("Dmn","Name",BJN2)</f>
        <v/>
      </c>
      <c r="BJO3" s="1" t="str" cm="1">
        <f t="array" ref="BJO3">GetValue("Dmn","Name",BJO2)</f>
        <v/>
      </c>
      <c r="BJP3" s="1" t="str" cm="1">
        <f t="array" ref="BJP3">GetValue("Dmn","Name",BJP2)</f>
        <v/>
      </c>
      <c r="BJQ3" s="1" t="str" cm="1">
        <f t="array" ref="BJQ3">GetValue("Dmn","Name",BJQ2)</f>
        <v/>
      </c>
      <c r="BJR3" s="1" t="str" cm="1">
        <f t="array" ref="BJR3">GetValue("Dmn","Name",BJR2)</f>
        <v/>
      </c>
      <c r="BJS3" s="1" t="str" cm="1">
        <f t="array" ref="BJS3">GetValue("Dmn","Name",BJS2)</f>
        <v/>
      </c>
      <c r="BJT3" s="1" t="str" cm="1">
        <f t="array" ref="BJT3">GetValue("Dmn","Name",BJT2)</f>
        <v/>
      </c>
      <c r="BJU3" s="1" t="str" cm="1">
        <f t="array" ref="BJU3">GetValue("Dmn","Name",BJU2)</f>
        <v/>
      </c>
      <c r="BJV3" s="1" t="str" cm="1">
        <f t="array" ref="BJV3">GetValue("Dmn","Name",BJV2)</f>
        <v/>
      </c>
      <c r="BJW3" s="1" t="str" cm="1">
        <f t="array" ref="BJW3">GetValue("Dmn","Name",BJW2)</f>
        <v/>
      </c>
      <c r="BJX3" s="1" t="str" cm="1">
        <f t="array" ref="BJX3">GetValue("Dmn","Name",BJX2)</f>
        <v/>
      </c>
      <c r="BJY3" s="1" t="str" cm="1">
        <f t="array" ref="BJY3">GetValue("Dmn","Name",BJY2)</f>
        <v/>
      </c>
      <c r="BJZ3" s="1" t="str" cm="1">
        <f t="array" ref="BJZ3">GetValue("Dmn","Name",BJZ2)</f>
        <v/>
      </c>
      <c r="BKA3" s="1" t="str" cm="1">
        <f t="array" ref="BKA3">GetValue("Dmn","Name",BKA2)</f>
        <v/>
      </c>
      <c r="BKB3" s="1" t="str" cm="1">
        <f t="array" ref="BKB3">GetValue("Dmn","Name",BKB2)</f>
        <v/>
      </c>
      <c r="BKC3" s="1" t="str" cm="1">
        <f t="array" ref="BKC3">GetValue("Dmn","Name",BKC2)</f>
        <v/>
      </c>
      <c r="BKD3" s="1" t="str" cm="1">
        <f t="array" ref="BKD3">GetValue("Dmn","Name",BKD2)</f>
        <v/>
      </c>
      <c r="BKE3" s="1" t="str" cm="1">
        <f t="array" ref="BKE3">GetValue("Dmn","Name",BKE2)</f>
        <v/>
      </c>
      <c r="BKF3" s="1" t="str" cm="1">
        <f t="array" ref="BKF3">GetValue("Dmn","Name",BKF2)</f>
        <v/>
      </c>
      <c r="BKG3" s="1" t="str" cm="1">
        <f t="array" ref="BKG3">GetValue("Dmn","Name",BKG2)</f>
        <v/>
      </c>
      <c r="BKH3" s="1" t="str" cm="1">
        <f t="array" ref="BKH3">GetValue("Dmn","Name",BKH2)</f>
        <v/>
      </c>
      <c r="BKI3" s="1" t="str" cm="1">
        <f t="array" ref="BKI3">GetValue("Dmn","Name",BKI2)</f>
        <v/>
      </c>
      <c r="BKJ3" s="1" t="str" cm="1">
        <f t="array" ref="BKJ3">GetValue("Dmn","Name",BKJ2)</f>
        <v/>
      </c>
      <c r="BKK3" s="1" t="str" cm="1">
        <f t="array" ref="BKK3">GetValue("Dmn","Name",BKK2)</f>
        <v/>
      </c>
      <c r="BKL3" s="1" t="str" cm="1">
        <f t="array" ref="BKL3">GetValue("Dmn","Name",BKL2)</f>
        <v/>
      </c>
      <c r="BKM3" s="1" t="str" cm="1">
        <f t="array" ref="BKM3">GetValue("Dmn","Name",BKM2)</f>
        <v/>
      </c>
      <c r="BKN3" s="1" t="str" cm="1">
        <f t="array" ref="BKN3">GetValue("Dmn","Name",BKN2)</f>
        <v/>
      </c>
      <c r="BKO3" s="1" t="str" cm="1">
        <f t="array" ref="BKO3">GetValue("Dmn","Name",BKO2)</f>
        <v/>
      </c>
      <c r="BKP3" s="1" t="str" cm="1">
        <f t="array" ref="BKP3">GetValue("Dmn","Name",BKP2)</f>
        <v/>
      </c>
      <c r="BKQ3" s="1" t="str" cm="1">
        <f t="array" ref="BKQ3">GetValue("Dmn","Name",BKQ2)</f>
        <v/>
      </c>
      <c r="BKR3" s="1" t="str" cm="1">
        <f t="array" ref="BKR3">GetValue("Dmn","Name",BKR2)</f>
        <v/>
      </c>
      <c r="BKS3" s="1" t="str" cm="1">
        <f t="array" ref="BKS3">GetValue("Dmn","Name",BKS2)</f>
        <v/>
      </c>
      <c r="BKT3" s="1" t="str" cm="1">
        <f t="array" ref="BKT3">GetValue("Dmn","Name",BKT2)</f>
        <v/>
      </c>
      <c r="BKU3" s="1" t="str" cm="1">
        <f t="array" ref="BKU3">GetValue("Dmn","Name",BKU2)</f>
        <v/>
      </c>
      <c r="BKV3" s="1" t="str" cm="1">
        <f t="array" ref="BKV3">GetValue("Dmn","Name",BKV2)</f>
        <v/>
      </c>
      <c r="BKW3" s="1" t="str" cm="1">
        <f t="array" ref="BKW3">GetValue("Dmn","Name",BKW2)</f>
        <v/>
      </c>
      <c r="BKX3" s="1" t="str" cm="1">
        <f t="array" ref="BKX3">GetValue("Dmn","Name",BKX2)</f>
        <v/>
      </c>
      <c r="BKY3" s="1" t="str" cm="1">
        <f t="array" ref="BKY3">GetValue("Dmn","Name",BKY2)</f>
        <v/>
      </c>
      <c r="BKZ3" s="1" t="str" cm="1">
        <f t="array" ref="BKZ3">GetValue("Dmn","Name",BKZ2)</f>
        <v/>
      </c>
      <c r="BLA3" s="1" t="str" cm="1">
        <f t="array" ref="BLA3">GetValue("Dmn","Name",BLA2)</f>
        <v/>
      </c>
      <c r="BLB3" s="1" t="str" cm="1">
        <f t="array" ref="BLB3">GetValue("Dmn","Name",BLB2)</f>
        <v/>
      </c>
      <c r="BLC3" s="1" t="str" cm="1">
        <f t="array" ref="BLC3">GetValue("Dmn","Name",BLC2)</f>
        <v/>
      </c>
      <c r="BLD3" s="1" t="str" cm="1">
        <f t="array" ref="BLD3">GetValue("Dmn","Name",BLD2)</f>
        <v/>
      </c>
      <c r="BLE3" s="1" t="str" cm="1">
        <f t="array" ref="BLE3">GetValue("Dmn","Name",BLE2)</f>
        <v/>
      </c>
      <c r="BLF3" s="1" t="str" cm="1">
        <f t="array" ref="BLF3">GetValue("Dmn","Name",BLF2)</f>
        <v/>
      </c>
      <c r="BLG3" s="1" t="str" cm="1">
        <f t="array" ref="BLG3">GetValue("Dmn","Name",BLG2)</f>
        <v/>
      </c>
      <c r="BLH3" s="1" t="str" cm="1">
        <f t="array" ref="BLH3">GetValue("Dmn","Name",BLH2)</f>
        <v/>
      </c>
      <c r="BLI3" s="1" t="str" cm="1">
        <f t="array" ref="BLI3">GetValue("Dmn","Name",BLI2)</f>
        <v/>
      </c>
      <c r="BLJ3" s="1" t="str" cm="1">
        <f t="array" ref="BLJ3">GetValue("Dmn","Name",BLJ2)</f>
        <v/>
      </c>
      <c r="BLK3" s="1" t="str" cm="1">
        <f t="array" ref="BLK3">GetValue("Dmn","Name",BLK2)</f>
        <v/>
      </c>
      <c r="BLL3" s="1" t="str" cm="1">
        <f t="array" ref="BLL3">GetValue("Dmn","Name",BLL2)</f>
        <v/>
      </c>
      <c r="BLM3" s="1" t="str" cm="1">
        <f t="array" ref="BLM3">GetValue("Dmn","Name",BLM2)</f>
        <v/>
      </c>
      <c r="BLN3" s="1" t="str" cm="1">
        <f t="array" ref="BLN3">GetValue("Dmn","Name",BLN2)</f>
        <v/>
      </c>
      <c r="BLO3" s="1" t="str" cm="1">
        <f t="array" ref="BLO3">GetValue("Dmn","Name",BLO2)</f>
        <v/>
      </c>
      <c r="BLP3" s="1" t="str" cm="1">
        <f t="array" ref="BLP3">GetValue("Dmn","Name",BLP2)</f>
        <v/>
      </c>
      <c r="BLQ3" s="1" t="str" cm="1">
        <f t="array" ref="BLQ3">GetValue("Dmn","Name",BLQ2)</f>
        <v/>
      </c>
      <c r="BLR3" s="1" t="str" cm="1">
        <f t="array" ref="BLR3">GetValue("Dmn","Name",BLR2)</f>
        <v/>
      </c>
      <c r="BLS3" s="1" t="str" cm="1">
        <f t="array" ref="BLS3">GetValue("Dmn","Name",BLS2)</f>
        <v/>
      </c>
      <c r="BLT3" s="1" t="str" cm="1">
        <f t="array" ref="BLT3">GetValue("Dmn","Name",BLT2)</f>
        <v/>
      </c>
      <c r="BLU3" s="1" t="str" cm="1">
        <f t="array" ref="BLU3">GetValue("Dmn","Name",BLU2)</f>
        <v/>
      </c>
      <c r="BLV3" s="1" t="str" cm="1">
        <f t="array" ref="BLV3">GetValue("Dmn","Name",BLV2)</f>
        <v/>
      </c>
      <c r="BLW3" s="1" t="str" cm="1">
        <f t="array" ref="BLW3">GetValue("Dmn","Name",BLW2)</f>
        <v/>
      </c>
      <c r="BLX3" s="1" t="str" cm="1">
        <f t="array" ref="BLX3">GetValue("Dmn","Name",BLX2)</f>
        <v/>
      </c>
      <c r="BLY3" s="1" t="str" cm="1">
        <f t="array" ref="BLY3">GetValue("Dmn","Name",BLY2)</f>
        <v/>
      </c>
      <c r="BLZ3" s="1" t="str" cm="1">
        <f t="array" ref="BLZ3">GetValue("Dmn","Name",BLZ2)</f>
        <v/>
      </c>
      <c r="BMA3" s="1" t="str" cm="1">
        <f t="array" ref="BMA3">GetValue("Dmn","Name",BMA2)</f>
        <v/>
      </c>
      <c r="BMB3" s="1" t="str" cm="1">
        <f t="array" ref="BMB3">GetValue("Dmn","Name",BMB2)</f>
        <v/>
      </c>
      <c r="BMC3" s="1" t="str" cm="1">
        <f t="array" ref="BMC3">GetValue("Dmn","Name",BMC2)</f>
        <v/>
      </c>
      <c r="BMD3" s="1" t="str" cm="1">
        <f t="array" ref="BMD3">GetValue("Dmn","Name",BMD2)</f>
        <v/>
      </c>
      <c r="BME3" s="1" t="str" cm="1">
        <f t="array" ref="BME3">GetValue("Dmn","Name",BME2)</f>
        <v/>
      </c>
      <c r="BMF3" s="1" t="str" cm="1">
        <f t="array" ref="BMF3">GetValue("Dmn","Name",BMF2)</f>
        <v/>
      </c>
      <c r="BMG3" s="1" t="str" cm="1">
        <f t="array" ref="BMG3">GetValue("Dmn","Name",BMG2)</f>
        <v/>
      </c>
      <c r="BMH3" s="1" t="str" cm="1">
        <f t="array" ref="BMH3">GetValue("Dmn","Name",BMH2)</f>
        <v/>
      </c>
      <c r="BMI3" s="1" t="str" cm="1">
        <f t="array" ref="BMI3">GetValue("Dmn","Name",BMI2)</f>
        <v/>
      </c>
      <c r="BMJ3" s="1" t="str" cm="1">
        <f t="array" ref="BMJ3">GetValue("Dmn","Name",BMJ2)</f>
        <v/>
      </c>
      <c r="BMK3" s="1" t="str" cm="1">
        <f t="array" ref="BMK3">GetValue("Dmn","Name",BMK2)</f>
        <v/>
      </c>
      <c r="BML3" s="1" t="str" cm="1">
        <f t="array" ref="BML3">GetValue("Dmn","Name",BML2)</f>
        <v/>
      </c>
      <c r="BMM3" s="1" t="str" cm="1">
        <f t="array" ref="BMM3">GetValue("Dmn","Name",BMM2)</f>
        <v/>
      </c>
      <c r="BMN3" s="1" t="str" cm="1">
        <f t="array" ref="BMN3">GetValue("Dmn","Name",BMN2)</f>
        <v/>
      </c>
      <c r="BMO3" s="1" t="str" cm="1">
        <f t="array" ref="BMO3">GetValue("Dmn","Name",BMO2)</f>
        <v/>
      </c>
      <c r="BMP3" s="1" t="str" cm="1">
        <f t="array" ref="BMP3">GetValue("Dmn","Name",BMP2)</f>
        <v/>
      </c>
      <c r="BMQ3" s="1" t="str" cm="1">
        <f t="array" ref="BMQ3">GetValue("Dmn","Name",BMQ2)</f>
        <v/>
      </c>
      <c r="BMR3" s="1" t="str" cm="1">
        <f t="array" ref="BMR3">GetValue("Dmn","Name",BMR2)</f>
        <v/>
      </c>
      <c r="BMS3" s="1" t="str" cm="1">
        <f t="array" ref="BMS3">GetValue("Dmn","Name",BMS2)</f>
        <v/>
      </c>
      <c r="BMT3" s="1" t="str" cm="1">
        <f t="array" ref="BMT3">GetValue("Dmn","Name",BMT2)</f>
        <v/>
      </c>
      <c r="BMU3" s="1" t="str" cm="1">
        <f t="array" ref="BMU3">GetValue("Dmn","Name",BMU2)</f>
        <v/>
      </c>
      <c r="BMV3" s="1" t="str" cm="1">
        <f t="array" ref="BMV3">GetValue("Dmn","Name",BMV2)</f>
        <v/>
      </c>
      <c r="BMW3" s="1" t="str" cm="1">
        <f t="array" ref="BMW3">GetValue("Dmn","Name",BMW2)</f>
        <v/>
      </c>
      <c r="BMX3" s="1" t="str" cm="1">
        <f t="array" ref="BMX3">GetValue("Dmn","Name",BMX2)</f>
        <v/>
      </c>
      <c r="BMY3" s="1" t="str" cm="1">
        <f t="array" ref="BMY3">GetValue("Dmn","Name",BMY2)</f>
        <v/>
      </c>
      <c r="BMZ3" s="1" t="str" cm="1">
        <f t="array" ref="BMZ3">GetValue("Dmn","Name",BMZ2)</f>
        <v/>
      </c>
      <c r="BNA3" s="1" t="str" cm="1">
        <f t="array" ref="BNA3">GetValue("Dmn","Name",BNA2)</f>
        <v/>
      </c>
      <c r="BNB3" s="1" t="str" cm="1">
        <f t="array" ref="BNB3">GetValue("Dmn","Name",BNB2)</f>
        <v/>
      </c>
      <c r="BNC3" s="1" t="str" cm="1">
        <f t="array" ref="BNC3">GetValue("Dmn","Name",BNC2)</f>
        <v/>
      </c>
      <c r="BND3" s="1" t="str" cm="1">
        <f t="array" ref="BND3">GetValue("Dmn","Name",BND2)</f>
        <v/>
      </c>
      <c r="BNE3" s="1" t="str" cm="1">
        <f t="array" ref="BNE3">GetValue("Dmn","Name",BNE2)</f>
        <v/>
      </c>
      <c r="BNF3" s="1" t="str" cm="1">
        <f t="array" ref="BNF3">GetValue("Dmn","Name",BNF2)</f>
        <v/>
      </c>
      <c r="BNG3" s="1" t="str" cm="1">
        <f t="array" ref="BNG3">GetValue("Dmn","Name",BNG2)</f>
        <v/>
      </c>
      <c r="BNH3" s="1" t="str" cm="1">
        <f t="array" ref="BNH3">GetValue("Dmn","Name",BNH2)</f>
        <v/>
      </c>
      <c r="BNI3" s="1" t="str" cm="1">
        <f t="array" ref="BNI3">GetValue("Dmn","Name",BNI2)</f>
        <v/>
      </c>
      <c r="BNJ3" s="1" t="str" cm="1">
        <f t="array" ref="BNJ3">GetValue("Dmn","Name",BNJ2)</f>
        <v/>
      </c>
      <c r="BNK3" s="1" t="str" cm="1">
        <f t="array" ref="BNK3">GetValue("Dmn","Name",BNK2)</f>
        <v/>
      </c>
      <c r="BNL3" s="1" t="str" cm="1">
        <f t="array" ref="BNL3">GetValue("Dmn","Name",BNL2)</f>
        <v/>
      </c>
      <c r="BNM3" s="1" t="str" cm="1">
        <f t="array" ref="BNM3">GetValue("Dmn","Name",BNM2)</f>
        <v/>
      </c>
      <c r="BNN3" s="1" t="str" cm="1">
        <f t="array" ref="BNN3">GetValue("Dmn","Name",BNN2)</f>
        <v/>
      </c>
      <c r="BNO3" s="1" t="str" cm="1">
        <f t="array" ref="BNO3">GetValue("Dmn","Name",BNO2)</f>
        <v/>
      </c>
      <c r="BNP3" s="1" t="str" cm="1">
        <f t="array" ref="BNP3">GetValue("Dmn","Name",BNP2)</f>
        <v/>
      </c>
      <c r="BNQ3" s="1" t="str" cm="1">
        <f t="array" ref="BNQ3">GetValue("Dmn","Name",BNQ2)</f>
        <v/>
      </c>
      <c r="BNR3" s="1" t="str" cm="1">
        <f t="array" ref="BNR3">GetValue("Dmn","Name",BNR2)</f>
        <v/>
      </c>
      <c r="BNS3" s="1" t="str" cm="1">
        <f t="array" ref="BNS3">GetValue("Dmn","Name",BNS2)</f>
        <v/>
      </c>
      <c r="BNT3" s="1" t="str" cm="1">
        <f t="array" ref="BNT3">GetValue("Dmn","Name",BNT2)</f>
        <v/>
      </c>
      <c r="BNU3" s="1" t="str" cm="1">
        <f t="array" ref="BNU3">GetValue("Dmn","Name",BNU2)</f>
        <v/>
      </c>
      <c r="BNV3" s="1" t="str" cm="1">
        <f t="array" ref="BNV3">GetValue("Dmn","Name",BNV2)</f>
        <v/>
      </c>
      <c r="BNW3" s="1" t="str" cm="1">
        <f t="array" ref="BNW3">GetValue("Dmn","Name",BNW2)</f>
        <v/>
      </c>
      <c r="BNX3" s="1" t="str" cm="1">
        <f t="array" ref="BNX3">GetValue("Dmn","Name",BNX2)</f>
        <v/>
      </c>
      <c r="BNY3" s="1" t="str" cm="1">
        <f t="array" ref="BNY3">GetValue("Dmn","Name",BNY2)</f>
        <v/>
      </c>
      <c r="BNZ3" s="1" t="str" cm="1">
        <f t="array" ref="BNZ3">GetValue("Dmn","Name",BNZ2)</f>
        <v/>
      </c>
      <c r="BOA3" s="1" t="str" cm="1">
        <f t="array" ref="BOA3">GetValue("Dmn","Name",BOA2)</f>
        <v/>
      </c>
      <c r="BOB3" s="1" t="str" cm="1">
        <f t="array" ref="BOB3">GetValue("Dmn","Name",BOB2)</f>
        <v/>
      </c>
      <c r="BOC3" s="1" t="str" cm="1">
        <f t="array" ref="BOC3">GetValue("Dmn","Name",BOC2)</f>
        <v/>
      </c>
      <c r="BOD3" s="1" t="str" cm="1">
        <f t="array" ref="BOD3">GetValue("Dmn","Name",BOD2)</f>
        <v/>
      </c>
      <c r="BOE3" s="1" t="str" cm="1">
        <f t="array" ref="BOE3">GetValue("Dmn","Name",BOE2)</f>
        <v/>
      </c>
      <c r="BOF3" s="1" t="str" cm="1">
        <f t="array" ref="BOF3">GetValue("Dmn","Name",BOF2)</f>
        <v/>
      </c>
      <c r="BOG3" s="1" t="str" cm="1">
        <f t="array" ref="BOG3">GetValue("Dmn","Name",BOG2)</f>
        <v/>
      </c>
      <c r="BOH3" s="1" t="str" cm="1">
        <f t="array" ref="BOH3">GetValue("Dmn","Name",BOH2)</f>
        <v/>
      </c>
      <c r="BOI3" s="1" t="str" cm="1">
        <f t="array" ref="BOI3">GetValue("Dmn","Name",BOI2)</f>
        <v/>
      </c>
      <c r="BOJ3" s="1" t="str" cm="1">
        <f t="array" ref="BOJ3">GetValue("Dmn","Name",BOJ2)</f>
        <v/>
      </c>
      <c r="BOK3" s="1" t="str" cm="1">
        <f t="array" ref="BOK3">GetValue("Dmn","Name",BOK2)</f>
        <v/>
      </c>
      <c r="BOL3" s="1" t="str" cm="1">
        <f t="array" ref="BOL3">GetValue("Dmn","Name",BOL2)</f>
        <v/>
      </c>
      <c r="BOM3" s="1" t="str" cm="1">
        <f t="array" ref="BOM3">GetValue("Dmn","Name",BOM2)</f>
        <v/>
      </c>
      <c r="BON3" s="1" t="str" cm="1">
        <f t="array" ref="BON3">GetValue("Dmn","Name",BON2)</f>
        <v/>
      </c>
      <c r="BOO3" s="1" t="str" cm="1">
        <f t="array" ref="BOO3">GetValue("Dmn","Name",BOO2)</f>
        <v/>
      </c>
      <c r="BOP3" s="1" t="str" cm="1">
        <f t="array" ref="BOP3">GetValue("Dmn","Name",BOP2)</f>
        <v/>
      </c>
      <c r="BOQ3" s="1" t="str" cm="1">
        <f t="array" ref="BOQ3">GetValue("Dmn","Name",BOQ2)</f>
        <v/>
      </c>
      <c r="BOR3" s="1" t="str" cm="1">
        <f t="array" ref="BOR3">GetValue("Dmn","Name",BOR2)</f>
        <v/>
      </c>
      <c r="BOS3" s="1" t="str" cm="1">
        <f t="array" ref="BOS3">GetValue("Dmn","Name",BOS2)</f>
        <v/>
      </c>
      <c r="BOT3" s="1" t="str" cm="1">
        <f t="array" ref="BOT3">GetValue("Dmn","Name",BOT2)</f>
        <v/>
      </c>
      <c r="BOU3" s="1" t="str" cm="1">
        <f t="array" ref="BOU3">GetValue("Dmn","Name",BOU2)</f>
        <v/>
      </c>
      <c r="BOV3" s="1" t="str" cm="1">
        <f t="array" ref="BOV3">GetValue("Dmn","Name",BOV2)</f>
        <v/>
      </c>
      <c r="BOW3" s="1" t="str" cm="1">
        <f t="array" ref="BOW3">GetValue("Dmn","Name",BOW2)</f>
        <v/>
      </c>
      <c r="BOX3" s="1" t="str" cm="1">
        <f t="array" ref="BOX3">GetValue("Dmn","Name",BOX2)</f>
        <v/>
      </c>
      <c r="BOY3" s="1" t="str" cm="1">
        <f t="array" ref="BOY3">GetValue("Dmn","Name",BOY2)</f>
        <v/>
      </c>
      <c r="BOZ3" s="1" t="str" cm="1">
        <f t="array" ref="BOZ3">GetValue("Dmn","Name",BOZ2)</f>
        <v/>
      </c>
      <c r="BPA3" s="1" t="str" cm="1">
        <f t="array" ref="BPA3">GetValue("Dmn","Name",BPA2)</f>
        <v/>
      </c>
      <c r="BPB3" s="1" t="str" cm="1">
        <f t="array" ref="BPB3">GetValue("Dmn","Name",BPB2)</f>
        <v/>
      </c>
      <c r="BPC3" s="1" t="str" cm="1">
        <f t="array" ref="BPC3">GetValue("Dmn","Name",BPC2)</f>
        <v/>
      </c>
      <c r="BPD3" s="1" t="str" cm="1">
        <f t="array" ref="BPD3">GetValue("Dmn","Name",BPD2)</f>
        <v/>
      </c>
      <c r="BPE3" s="1" t="str" cm="1">
        <f t="array" ref="BPE3">GetValue("Dmn","Name",BPE2)</f>
        <v/>
      </c>
      <c r="BPF3" s="1" t="str" cm="1">
        <f t="array" ref="BPF3">GetValue("Dmn","Name",BPF2)</f>
        <v/>
      </c>
      <c r="BPG3" s="1" t="str" cm="1">
        <f t="array" ref="BPG3">GetValue("Dmn","Name",BPG2)</f>
        <v/>
      </c>
      <c r="BPH3" s="1" t="str" cm="1">
        <f t="array" ref="BPH3">GetValue("Dmn","Name",BPH2)</f>
        <v/>
      </c>
      <c r="BPI3" s="1" t="str" cm="1">
        <f t="array" ref="BPI3">GetValue("Dmn","Name",BPI2)</f>
        <v/>
      </c>
      <c r="BPJ3" s="1" t="str" cm="1">
        <f t="array" ref="BPJ3">GetValue("Dmn","Name",BPJ2)</f>
        <v/>
      </c>
      <c r="BPK3" s="1" t="str" cm="1">
        <f t="array" ref="BPK3">GetValue("Dmn","Name",BPK2)</f>
        <v/>
      </c>
      <c r="BPL3" s="1" t="str" cm="1">
        <f t="array" ref="BPL3">GetValue("Dmn","Name",BPL2)</f>
        <v/>
      </c>
      <c r="BPM3" s="1" t="str" cm="1">
        <f t="array" ref="BPM3">GetValue("Dmn","Name",BPM2)</f>
        <v/>
      </c>
      <c r="BPN3" s="1" t="str" cm="1">
        <f t="array" ref="BPN3">GetValue("Dmn","Name",BPN2)</f>
        <v/>
      </c>
      <c r="BPO3" s="1" t="str" cm="1">
        <f t="array" ref="BPO3">GetValue("Dmn","Name",BPO2)</f>
        <v/>
      </c>
      <c r="BPP3" s="1" t="str" cm="1">
        <f t="array" ref="BPP3">GetValue("Dmn","Name",BPP2)</f>
        <v/>
      </c>
      <c r="BPQ3" s="1" t="str" cm="1">
        <f t="array" ref="BPQ3">GetValue("Dmn","Name",BPQ2)</f>
        <v/>
      </c>
      <c r="BPR3" s="1" t="str" cm="1">
        <f t="array" ref="BPR3">GetValue("Dmn","Name",BPR2)</f>
        <v/>
      </c>
      <c r="BPS3" s="1" t="str" cm="1">
        <f t="array" ref="BPS3">GetValue("Dmn","Name",BPS2)</f>
        <v/>
      </c>
      <c r="BPT3" s="1" t="str" cm="1">
        <f t="array" ref="BPT3">GetValue("Dmn","Name",BPT2)</f>
        <v/>
      </c>
      <c r="BPU3" s="1" t="str" cm="1">
        <f t="array" ref="BPU3">GetValue("Dmn","Name",BPU2)</f>
        <v/>
      </c>
      <c r="BPV3" s="1" t="str" cm="1">
        <f t="array" ref="BPV3">GetValue("Dmn","Name",BPV2)</f>
        <v/>
      </c>
      <c r="BPW3" s="1" t="str" cm="1">
        <f t="array" ref="BPW3">GetValue("Dmn","Name",BPW2)</f>
        <v/>
      </c>
      <c r="BPX3" s="1" t="str" cm="1">
        <f t="array" ref="BPX3">GetValue("Dmn","Name",BPX2)</f>
        <v/>
      </c>
      <c r="BPY3" s="1" t="str" cm="1">
        <f t="array" ref="BPY3">GetValue("Dmn","Name",BPY2)</f>
        <v/>
      </c>
      <c r="BPZ3" s="1" t="str" cm="1">
        <f t="array" ref="BPZ3">GetValue("Dmn","Name",BPZ2)</f>
        <v/>
      </c>
      <c r="BQA3" s="1" t="str" cm="1">
        <f t="array" ref="BQA3">GetValue("Dmn","Name",BQA2)</f>
        <v/>
      </c>
      <c r="BQB3" s="1" t="str" cm="1">
        <f t="array" ref="BQB3">GetValue("Dmn","Name",BQB2)</f>
        <v/>
      </c>
      <c r="BQC3" s="1" t="str" cm="1">
        <f t="array" ref="BQC3">GetValue("Dmn","Name",BQC2)</f>
        <v/>
      </c>
      <c r="BQD3" s="1" t="str" cm="1">
        <f t="array" ref="BQD3">GetValue("Dmn","Name",BQD2)</f>
        <v/>
      </c>
      <c r="BQE3" s="1" t="str" cm="1">
        <f t="array" ref="BQE3">GetValue("Dmn","Name",BQE2)</f>
        <v/>
      </c>
      <c r="BQF3" s="1" t="str" cm="1">
        <f t="array" ref="BQF3">GetValue("Dmn","Name",BQF2)</f>
        <v/>
      </c>
      <c r="BQG3" s="1" t="str" cm="1">
        <f t="array" ref="BQG3">GetValue("Dmn","Name",BQG2)</f>
        <v/>
      </c>
      <c r="BQH3" s="1" t="str" cm="1">
        <f t="array" ref="BQH3">GetValue("Dmn","Name",BQH2)</f>
        <v/>
      </c>
      <c r="BQI3" s="1" t="str" cm="1">
        <f t="array" ref="BQI3">GetValue("Dmn","Name",BQI2)</f>
        <v/>
      </c>
      <c r="BQJ3" s="1" t="str" cm="1">
        <f t="array" ref="BQJ3">GetValue("Dmn","Name",BQJ2)</f>
        <v/>
      </c>
      <c r="BQK3" s="1" t="str" cm="1">
        <f t="array" ref="BQK3">GetValue("Dmn","Name",BQK2)</f>
        <v/>
      </c>
      <c r="BQL3" s="1" t="str" cm="1">
        <f t="array" ref="BQL3">GetValue("Dmn","Name",BQL2)</f>
        <v/>
      </c>
      <c r="BQM3" s="1" t="str" cm="1">
        <f t="array" ref="BQM3">GetValue("Dmn","Name",BQM2)</f>
        <v/>
      </c>
      <c r="BQN3" s="1" t="str" cm="1">
        <f t="array" ref="BQN3">GetValue("Dmn","Name",BQN2)</f>
        <v/>
      </c>
      <c r="BQO3" s="1" t="str" cm="1">
        <f t="array" ref="BQO3">GetValue("Dmn","Name",BQO2)</f>
        <v/>
      </c>
      <c r="BQP3" s="1" t="str" cm="1">
        <f t="array" ref="BQP3">GetValue("Dmn","Name",BQP2)</f>
        <v/>
      </c>
      <c r="BQQ3" s="1" t="str" cm="1">
        <f t="array" ref="BQQ3">GetValue("Dmn","Name",BQQ2)</f>
        <v/>
      </c>
      <c r="BQR3" s="1" t="str" cm="1">
        <f t="array" ref="BQR3">GetValue("Dmn","Name",BQR2)</f>
        <v/>
      </c>
      <c r="BQS3" s="1" t="str" cm="1">
        <f t="array" ref="BQS3">GetValue("Dmn","Name",BQS2)</f>
        <v/>
      </c>
      <c r="BQT3" s="1" t="str" cm="1">
        <f t="array" ref="BQT3">GetValue("Dmn","Name",BQT2)</f>
        <v/>
      </c>
      <c r="BQU3" s="1" t="str" cm="1">
        <f t="array" ref="BQU3">GetValue("Dmn","Name",BQU2)</f>
        <v/>
      </c>
      <c r="BQV3" s="1" t="str" cm="1">
        <f t="array" ref="BQV3">GetValue("Dmn","Name",BQV2)</f>
        <v/>
      </c>
      <c r="BQW3" s="1" t="str" cm="1">
        <f t="array" ref="BQW3">GetValue("Dmn","Name",BQW2)</f>
        <v/>
      </c>
      <c r="BQX3" s="1" t="str" cm="1">
        <f t="array" ref="BQX3">GetValue("Dmn","Name",BQX2)</f>
        <v/>
      </c>
      <c r="BQY3" s="1" t="str" cm="1">
        <f t="array" ref="BQY3">GetValue("Dmn","Name",BQY2)</f>
        <v/>
      </c>
      <c r="BQZ3" s="1" t="str" cm="1">
        <f t="array" ref="BQZ3">GetValue("Dmn","Name",BQZ2)</f>
        <v/>
      </c>
      <c r="BRA3" s="1" t="str" cm="1">
        <f t="array" ref="BRA3">GetValue("Dmn","Name",BRA2)</f>
        <v/>
      </c>
      <c r="BRB3" s="1" t="str" cm="1">
        <f t="array" ref="BRB3">GetValue("Dmn","Name",BRB2)</f>
        <v/>
      </c>
      <c r="BRC3" s="1" t="str" cm="1">
        <f t="array" ref="BRC3">GetValue("Dmn","Name",BRC2)</f>
        <v/>
      </c>
      <c r="BRD3" s="1" t="str" cm="1">
        <f t="array" ref="BRD3">GetValue("Dmn","Name",BRD2)</f>
        <v/>
      </c>
      <c r="BRE3" s="1" t="str" cm="1">
        <f t="array" ref="BRE3">GetValue("Dmn","Name",BRE2)</f>
        <v/>
      </c>
      <c r="BRF3" s="1" t="str" cm="1">
        <f t="array" ref="BRF3">GetValue("Dmn","Name",BRF2)</f>
        <v/>
      </c>
      <c r="BRG3" s="1" t="str" cm="1">
        <f t="array" ref="BRG3">GetValue("Dmn","Name",BRG2)</f>
        <v/>
      </c>
      <c r="BRH3" s="1" t="str" cm="1">
        <f t="array" ref="BRH3">GetValue("Dmn","Name",BRH2)</f>
        <v/>
      </c>
      <c r="BRI3" s="1" t="str" cm="1">
        <f t="array" ref="BRI3">GetValue("Dmn","Name",BRI2)</f>
        <v/>
      </c>
      <c r="BRJ3" s="1" t="str" cm="1">
        <f t="array" ref="BRJ3">GetValue("Dmn","Name",BRJ2)</f>
        <v/>
      </c>
      <c r="BRK3" s="1" t="str" cm="1">
        <f t="array" ref="BRK3">GetValue("Dmn","Name",BRK2)</f>
        <v/>
      </c>
      <c r="BRL3" s="1" t="str" cm="1">
        <f t="array" ref="BRL3">GetValue("Dmn","Name",BRL2)</f>
        <v/>
      </c>
      <c r="BRM3" s="1" t="str" cm="1">
        <f t="array" ref="BRM3">GetValue("Dmn","Name",BRM2)</f>
        <v/>
      </c>
      <c r="BRN3" s="1" t="str" cm="1">
        <f t="array" ref="BRN3">GetValue("Dmn","Name",BRN2)</f>
        <v/>
      </c>
      <c r="BRO3" s="1" t="str" cm="1">
        <f t="array" ref="BRO3">GetValue("Dmn","Name",BRO2)</f>
        <v/>
      </c>
      <c r="BRP3" s="1" t="str" cm="1">
        <f t="array" ref="BRP3">GetValue("Dmn","Name",BRP2)</f>
        <v/>
      </c>
      <c r="BRQ3" s="1" t="str" cm="1">
        <f t="array" ref="BRQ3">GetValue("Dmn","Name",BRQ2)</f>
        <v/>
      </c>
      <c r="BRR3" s="1" t="str" cm="1">
        <f t="array" ref="BRR3">GetValue("Dmn","Name",BRR2)</f>
        <v/>
      </c>
      <c r="BRS3" s="1" t="str" cm="1">
        <f t="array" ref="BRS3">GetValue("Dmn","Name",BRS2)</f>
        <v/>
      </c>
      <c r="BRT3" s="1" t="str" cm="1">
        <f t="array" ref="BRT3">GetValue("Dmn","Name",BRT2)</f>
        <v/>
      </c>
      <c r="BRU3" s="1" t="str" cm="1">
        <f t="array" ref="BRU3">GetValue("Dmn","Name",BRU2)</f>
        <v/>
      </c>
      <c r="BRV3" s="1" t="str" cm="1">
        <f t="array" ref="BRV3">GetValue("Dmn","Name",BRV2)</f>
        <v/>
      </c>
      <c r="BRW3" s="1" t="str" cm="1">
        <f t="array" ref="BRW3">GetValue("Dmn","Name",BRW2)</f>
        <v/>
      </c>
      <c r="BRX3" s="1" t="str" cm="1">
        <f t="array" ref="BRX3">GetValue("Dmn","Name",BRX2)</f>
        <v/>
      </c>
      <c r="BRY3" s="1" t="str" cm="1">
        <f t="array" ref="BRY3">GetValue("Dmn","Name",BRY2)</f>
        <v/>
      </c>
      <c r="BRZ3" s="1" t="str" cm="1">
        <f t="array" ref="BRZ3">GetValue("Dmn","Name",BRZ2)</f>
        <v/>
      </c>
      <c r="BSA3" s="1" t="str" cm="1">
        <f t="array" ref="BSA3">GetValue("Dmn","Name",BSA2)</f>
        <v/>
      </c>
      <c r="BSB3" s="1" t="str" cm="1">
        <f t="array" ref="BSB3">GetValue("Dmn","Name",BSB2)</f>
        <v/>
      </c>
      <c r="BSC3" s="1" t="str" cm="1">
        <f t="array" ref="BSC3">GetValue("Dmn","Name",BSC2)</f>
        <v/>
      </c>
      <c r="BSD3" s="1" t="str" cm="1">
        <f t="array" ref="BSD3">GetValue("Dmn","Name",BSD2)</f>
        <v/>
      </c>
      <c r="BSE3" s="1" t="str" cm="1">
        <f t="array" ref="BSE3">GetValue("Dmn","Name",BSE2)</f>
        <v/>
      </c>
      <c r="BSF3" s="1" t="str" cm="1">
        <f t="array" ref="BSF3">GetValue("Dmn","Name",BSF2)</f>
        <v/>
      </c>
      <c r="BSG3" s="1" t="str" cm="1">
        <f t="array" ref="BSG3">GetValue("Dmn","Name",BSG2)</f>
        <v/>
      </c>
      <c r="BSH3" s="1" t="str" cm="1">
        <f t="array" ref="BSH3">GetValue("Dmn","Name",BSH2)</f>
        <v/>
      </c>
      <c r="BSI3" s="1" t="str" cm="1">
        <f t="array" ref="BSI3">GetValue("Dmn","Name",BSI2)</f>
        <v/>
      </c>
      <c r="BSJ3" s="1" t="str" cm="1">
        <f t="array" ref="BSJ3">GetValue("Dmn","Name",BSJ2)</f>
        <v/>
      </c>
      <c r="BSK3" s="1" t="str" cm="1">
        <f t="array" ref="BSK3">GetValue("Dmn","Name",BSK2)</f>
        <v/>
      </c>
      <c r="BSL3" s="1" t="str" cm="1">
        <f t="array" ref="BSL3">GetValue("Dmn","Name",BSL2)</f>
        <v/>
      </c>
      <c r="BSM3" s="1" t="str" cm="1">
        <f t="array" ref="BSM3">GetValue("Dmn","Name",BSM2)</f>
        <v/>
      </c>
      <c r="BSN3" s="1" t="str" cm="1">
        <f t="array" ref="BSN3">GetValue("Dmn","Name",BSN2)</f>
        <v/>
      </c>
      <c r="BSO3" s="1" t="str" cm="1">
        <f t="array" ref="BSO3">GetValue("Dmn","Name",BSO2)</f>
        <v/>
      </c>
      <c r="BSP3" s="1" t="str" cm="1">
        <f t="array" ref="BSP3">GetValue("Dmn","Name",BSP2)</f>
        <v/>
      </c>
      <c r="BSQ3" s="1" t="str" cm="1">
        <f t="array" ref="BSQ3">GetValue("Dmn","Name",BSQ2)</f>
        <v/>
      </c>
      <c r="BSR3" s="1" t="str" cm="1">
        <f t="array" ref="BSR3">GetValue("Dmn","Name",BSR2)</f>
        <v/>
      </c>
      <c r="BSS3" s="1" t="str" cm="1">
        <f t="array" ref="BSS3">GetValue("Dmn","Name",BSS2)</f>
        <v/>
      </c>
      <c r="BST3" s="1" t="str" cm="1">
        <f t="array" ref="BST3">GetValue("Dmn","Name",BST2)</f>
        <v/>
      </c>
      <c r="BSU3" s="1" t="str" cm="1">
        <f t="array" ref="BSU3">GetValue("Dmn","Name",BSU2)</f>
        <v/>
      </c>
      <c r="BSV3" s="1" t="str" cm="1">
        <f t="array" ref="BSV3">GetValue("Dmn","Name",BSV2)</f>
        <v/>
      </c>
      <c r="BSW3" s="1" t="str" cm="1">
        <f t="array" ref="BSW3">GetValue("Dmn","Name",BSW2)</f>
        <v/>
      </c>
      <c r="BSX3" s="1" t="str" cm="1">
        <f t="array" ref="BSX3">GetValue("Dmn","Name",BSX2)</f>
        <v/>
      </c>
      <c r="BSY3" s="1" t="str" cm="1">
        <f t="array" ref="BSY3">GetValue("Dmn","Name",BSY2)</f>
        <v/>
      </c>
      <c r="BSZ3" s="1" t="str" cm="1">
        <f t="array" ref="BSZ3">GetValue("Dmn","Name",BSZ2)</f>
        <v/>
      </c>
      <c r="BTA3" s="1" t="str" cm="1">
        <f t="array" ref="BTA3">GetValue("Dmn","Name",BTA2)</f>
        <v/>
      </c>
      <c r="BTB3" s="1" t="str" cm="1">
        <f t="array" ref="BTB3">GetValue("Dmn","Name",BTB2)</f>
        <v/>
      </c>
      <c r="BTC3" s="1" t="str" cm="1">
        <f t="array" ref="BTC3">GetValue("Dmn","Name",BTC2)</f>
        <v/>
      </c>
      <c r="BTD3" s="1" t="str" cm="1">
        <f t="array" ref="BTD3">GetValue("Dmn","Name",BTD2)</f>
        <v/>
      </c>
      <c r="BTE3" s="1" t="str" cm="1">
        <f t="array" ref="BTE3">GetValue("Dmn","Name",BTE2)</f>
        <v/>
      </c>
      <c r="BTF3" s="1" t="str" cm="1">
        <f t="array" ref="BTF3">GetValue("Dmn","Name",BTF2)</f>
        <v/>
      </c>
      <c r="BTG3" s="1" t="str" cm="1">
        <f t="array" ref="BTG3">GetValue("Dmn","Name",BTG2)</f>
        <v/>
      </c>
      <c r="BTH3" s="1" t="str" cm="1">
        <f t="array" ref="BTH3">GetValue("Dmn","Name",BTH2)</f>
        <v/>
      </c>
      <c r="BTI3" s="1" t="str" cm="1">
        <f t="array" ref="BTI3">GetValue("Dmn","Name",BTI2)</f>
        <v/>
      </c>
      <c r="BTJ3" s="1" t="str" cm="1">
        <f t="array" ref="BTJ3">GetValue("Dmn","Name",BTJ2)</f>
        <v/>
      </c>
      <c r="BTK3" s="1" t="str" cm="1">
        <f t="array" ref="BTK3">GetValue("Dmn","Name",BTK2)</f>
        <v/>
      </c>
      <c r="BTL3" s="1" t="str" cm="1">
        <f t="array" ref="BTL3">GetValue("Dmn","Name",BTL2)</f>
        <v/>
      </c>
      <c r="BTM3" s="1" t="str" cm="1">
        <f t="array" ref="BTM3">GetValue("Dmn","Name",BTM2)</f>
        <v/>
      </c>
      <c r="BTN3" s="1" t="str" cm="1">
        <f t="array" ref="BTN3">GetValue("Dmn","Name",BTN2)</f>
        <v/>
      </c>
      <c r="BTO3" s="1" t="str" cm="1">
        <f t="array" ref="BTO3">GetValue("Dmn","Name",BTO2)</f>
        <v/>
      </c>
      <c r="BTP3" s="1" t="str" cm="1">
        <f t="array" ref="BTP3">GetValue("Dmn","Name",BTP2)</f>
        <v/>
      </c>
      <c r="BTQ3" s="1" t="str" cm="1">
        <f t="array" ref="BTQ3">GetValue("Dmn","Name",BTQ2)</f>
        <v/>
      </c>
      <c r="BTR3" s="1" t="str" cm="1">
        <f t="array" ref="BTR3">GetValue("Dmn","Name",BTR2)</f>
        <v/>
      </c>
      <c r="BTS3" s="1" t="str" cm="1">
        <f t="array" ref="BTS3">GetValue("Dmn","Name",BTS2)</f>
        <v/>
      </c>
      <c r="BTT3" s="1" t="str" cm="1">
        <f t="array" ref="BTT3">GetValue("Dmn","Name",BTT2)</f>
        <v/>
      </c>
      <c r="BTU3" s="1" t="str" cm="1">
        <f t="array" ref="BTU3">GetValue("Dmn","Name",BTU2)</f>
        <v/>
      </c>
      <c r="BTV3" s="1" t="str" cm="1">
        <f t="array" ref="BTV3">GetValue("Dmn","Name",BTV2)</f>
        <v/>
      </c>
      <c r="BTW3" s="1" t="str" cm="1">
        <f t="array" ref="BTW3">GetValue("Dmn","Name",BTW2)</f>
        <v/>
      </c>
      <c r="BTX3" s="1" t="str" cm="1">
        <f t="array" ref="BTX3">GetValue("Dmn","Name",BTX2)</f>
        <v/>
      </c>
      <c r="BTY3" s="1" t="str" cm="1">
        <f t="array" ref="BTY3">GetValue("Dmn","Name",BTY2)</f>
        <v/>
      </c>
      <c r="BTZ3" s="1" t="str" cm="1">
        <f t="array" ref="BTZ3">GetValue("Dmn","Name",BTZ2)</f>
        <v/>
      </c>
      <c r="BUA3" s="1" t="str" cm="1">
        <f t="array" ref="BUA3">GetValue("Dmn","Name",BUA2)</f>
        <v/>
      </c>
      <c r="BUB3" s="1" t="str" cm="1">
        <f t="array" ref="BUB3">GetValue("Dmn","Name",BUB2)</f>
        <v/>
      </c>
      <c r="BUC3" s="1" t="str" cm="1">
        <f t="array" ref="BUC3">GetValue("Dmn","Name",BUC2)</f>
        <v/>
      </c>
      <c r="BUD3" s="1" t="str" cm="1">
        <f t="array" ref="BUD3">GetValue("Dmn","Name",BUD2)</f>
        <v/>
      </c>
      <c r="BUE3" s="1" t="str" cm="1">
        <f t="array" ref="BUE3">GetValue("Dmn","Name",BUE2)</f>
        <v/>
      </c>
      <c r="BUF3" s="1" t="str" cm="1">
        <f t="array" ref="BUF3">GetValue("Dmn","Name",BUF2)</f>
        <v/>
      </c>
      <c r="BUG3" s="1" t="str" cm="1">
        <f t="array" ref="BUG3">GetValue("Dmn","Name",BUG2)</f>
        <v/>
      </c>
      <c r="BUH3" s="1" t="str" cm="1">
        <f t="array" ref="BUH3">GetValue("Dmn","Name",BUH2)</f>
        <v/>
      </c>
      <c r="BUI3" s="1" t="str" cm="1">
        <f t="array" ref="BUI3">GetValue("Dmn","Name",BUI2)</f>
        <v/>
      </c>
      <c r="BUJ3" s="1" t="str" cm="1">
        <f t="array" ref="BUJ3">GetValue("Dmn","Name",BUJ2)</f>
        <v/>
      </c>
      <c r="BUK3" s="1" t="str" cm="1">
        <f t="array" ref="BUK3">GetValue("Dmn","Name",BUK2)</f>
        <v/>
      </c>
      <c r="BUL3" s="1" t="str" cm="1">
        <f t="array" ref="BUL3">GetValue("Dmn","Name",BUL2)</f>
        <v/>
      </c>
      <c r="BUM3" s="1" t="str" cm="1">
        <f t="array" ref="BUM3">GetValue("Dmn","Name",BUM2)</f>
        <v/>
      </c>
      <c r="BUN3" s="1" t="str" cm="1">
        <f t="array" ref="BUN3">GetValue("Dmn","Name",BUN2)</f>
        <v/>
      </c>
      <c r="BUO3" s="1" t="str" cm="1">
        <f t="array" ref="BUO3">GetValue("Dmn","Name",BUO2)</f>
        <v/>
      </c>
      <c r="BUP3" s="1" t="str" cm="1">
        <f t="array" ref="BUP3">GetValue("Dmn","Name",BUP2)</f>
        <v/>
      </c>
      <c r="BUQ3" s="1" t="str" cm="1">
        <f t="array" ref="BUQ3">GetValue("Dmn","Name",BUQ2)</f>
        <v/>
      </c>
      <c r="BUR3" s="1" t="str" cm="1">
        <f t="array" ref="BUR3">GetValue("Dmn","Name",BUR2)</f>
        <v/>
      </c>
      <c r="BUS3" s="1" t="str" cm="1">
        <f t="array" ref="BUS3">GetValue("Dmn","Name",BUS2)</f>
        <v/>
      </c>
      <c r="BUT3" s="1" t="str" cm="1">
        <f t="array" ref="BUT3">GetValue("Dmn","Name",BUT2)</f>
        <v/>
      </c>
      <c r="BUU3" s="1" t="str" cm="1">
        <f t="array" ref="BUU3">GetValue("Dmn","Name",BUU2)</f>
        <v/>
      </c>
      <c r="BUV3" s="1" t="str" cm="1">
        <f t="array" ref="BUV3">GetValue("Dmn","Name",BUV2)</f>
        <v/>
      </c>
      <c r="BUW3" s="1" t="str" cm="1">
        <f t="array" ref="BUW3">GetValue("Dmn","Name",BUW2)</f>
        <v/>
      </c>
      <c r="BUX3" s="1" t="str" cm="1">
        <f t="array" ref="BUX3">GetValue("Dmn","Name",BUX2)</f>
        <v/>
      </c>
      <c r="BUY3" s="1" t="str" cm="1">
        <f t="array" ref="BUY3">GetValue("Dmn","Name",BUY2)</f>
        <v/>
      </c>
      <c r="BUZ3" s="1" t="str" cm="1">
        <f t="array" ref="BUZ3">GetValue("Dmn","Name",BUZ2)</f>
        <v/>
      </c>
      <c r="BVA3" s="1" t="str" cm="1">
        <f t="array" ref="BVA3">GetValue("Dmn","Name",BVA2)</f>
        <v/>
      </c>
      <c r="BVB3" s="1" t="str" cm="1">
        <f t="array" ref="BVB3">GetValue("Dmn","Name",BVB2)</f>
        <v/>
      </c>
      <c r="BVC3" s="1" t="str" cm="1">
        <f t="array" ref="BVC3">GetValue("Dmn","Name",BVC2)</f>
        <v/>
      </c>
      <c r="BVD3" s="1" t="str" cm="1">
        <f t="array" ref="BVD3">GetValue("Dmn","Name",BVD2)</f>
        <v/>
      </c>
      <c r="BVE3" s="1" t="str" cm="1">
        <f t="array" ref="BVE3">GetValue("Dmn","Name",BVE2)</f>
        <v/>
      </c>
      <c r="BVF3" s="1" t="str" cm="1">
        <f t="array" ref="BVF3">GetValue("Dmn","Name",BVF2)</f>
        <v/>
      </c>
      <c r="BVG3" s="1" t="str" cm="1">
        <f t="array" ref="BVG3">GetValue("Dmn","Name",BVG2)</f>
        <v/>
      </c>
      <c r="BVH3" s="1" t="str" cm="1">
        <f t="array" ref="BVH3">GetValue("Dmn","Name",BVH2)</f>
        <v/>
      </c>
      <c r="BVI3" s="1" t="str" cm="1">
        <f t="array" ref="BVI3">GetValue("Dmn","Name",BVI2)</f>
        <v/>
      </c>
      <c r="BVJ3" s="1" t="str" cm="1">
        <f t="array" ref="BVJ3">GetValue("Dmn","Name",BVJ2)</f>
        <v/>
      </c>
      <c r="BVK3" s="1" t="str" cm="1">
        <f t="array" ref="BVK3">GetValue("Dmn","Name",BVK2)</f>
        <v/>
      </c>
      <c r="BVL3" s="1" t="str" cm="1">
        <f t="array" ref="BVL3">GetValue("Dmn","Name",BVL2)</f>
        <v/>
      </c>
      <c r="BVM3" s="1" t="str" cm="1">
        <f t="array" ref="BVM3">GetValue("Dmn","Name",BVM2)</f>
        <v/>
      </c>
      <c r="BVN3" s="1" t="str" cm="1">
        <f t="array" ref="BVN3">GetValue("Dmn","Name",BVN2)</f>
        <v/>
      </c>
      <c r="BVO3" s="1" t="str" cm="1">
        <f t="array" ref="BVO3">GetValue("Dmn","Name",BVO2)</f>
        <v/>
      </c>
      <c r="BVP3" s="1" t="str" cm="1">
        <f t="array" ref="BVP3">GetValue("Dmn","Name",BVP2)</f>
        <v/>
      </c>
      <c r="BVQ3" s="1" t="str" cm="1">
        <f t="array" ref="BVQ3">GetValue("Dmn","Name",BVQ2)</f>
        <v/>
      </c>
      <c r="BVR3" s="1" t="str" cm="1">
        <f t="array" ref="BVR3">GetValue("Dmn","Name",BVR2)</f>
        <v/>
      </c>
      <c r="BVS3" s="1" t="str" cm="1">
        <f t="array" ref="BVS3">GetValue("Dmn","Name",BVS2)</f>
        <v/>
      </c>
      <c r="BVT3" s="1" t="str" cm="1">
        <f t="array" ref="BVT3">GetValue("Dmn","Name",BVT2)</f>
        <v/>
      </c>
      <c r="BVU3" s="1" t="str" cm="1">
        <f t="array" ref="BVU3">GetValue("Dmn","Name",BVU2)</f>
        <v/>
      </c>
      <c r="BVV3" s="1" t="str" cm="1">
        <f t="array" ref="BVV3">GetValue("Dmn","Name",BVV2)</f>
        <v/>
      </c>
      <c r="BVW3" s="1" t="str" cm="1">
        <f t="array" ref="BVW3">GetValue("Dmn","Name",BVW2)</f>
        <v/>
      </c>
      <c r="BVX3" s="1" t="str" cm="1">
        <f t="array" ref="BVX3">GetValue("Dmn","Name",BVX2)</f>
        <v/>
      </c>
      <c r="BVY3" s="1" t="str" cm="1">
        <f t="array" ref="BVY3">GetValue("Dmn","Name",BVY2)</f>
        <v/>
      </c>
      <c r="BVZ3" s="1" t="str" cm="1">
        <f t="array" ref="BVZ3">GetValue("Dmn","Name",BVZ2)</f>
        <v/>
      </c>
      <c r="BWA3" s="1" t="str" cm="1">
        <f t="array" ref="BWA3">GetValue("Dmn","Name",BWA2)</f>
        <v/>
      </c>
      <c r="BWB3" s="1" t="str" cm="1">
        <f t="array" ref="BWB3">GetValue("Dmn","Name",BWB2)</f>
        <v/>
      </c>
      <c r="BWC3" s="1" t="str" cm="1">
        <f t="array" ref="BWC3">GetValue("Dmn","Name",BWC2)</f>
        <v/>
      </c>
      <c r="BWD3" s="1" t="str" cm="1">
        <f t="array" ref="BWD3">GetValue("Dmn","Name",BWD2)</f>
        <v/>
      </c>
      <c r="BWE3" s="1" t="str" cm="1">
        <f t="array" ref="BWE3">GetValue("Dmn","Name",BWE2)</f>
        <v/>
      </c>
      <c r="BWF3" s="1" t="str" cm="1">
        <f t="array" ref="BWF3">GetValue("Dmn","Name",BWF2)</f>
        <v/>
      </c>
      <c r="BWG3" s="1" t="str" cm="1">
        <f t="array" ref="BWG3">GetValue("Dmn","Name",BWG2)</f>
        <v/>
      </c>
      <c r="BWH3" s="1" t="str" cm="1">
        <f t="array" ref="BWH3">GetValue("Dmn","Name",BWH2)</f>
        <v/>
      </c>
      <c r="BWI3" s="1" t="str" cm="1">
        <f t="array" ref="BWI3">GetValue("Dmn","Name",BWI2)</f>
        <v/>
      </c>
      <c r="BWJ3" s="1" t="str" cm="1">
        <f t="array" ref="BWJ3">GetValue("Dmn","Name",BWJ2)</f>
        <v/>
      </c>
      <c r="BWK3" s="1" t="str" cm="1">
        <f t="array" ref="BWK3">GetValue("Dmn","Name",BWK2)</f>
        <v/>
      </c>
      <c r="BWL3" s="1" t="str" cm="1">
        <f t="array" ref="BWL3">GetValue("Dmn","Name",BWL2)</f>
        <v/>
      </c>
      <c r="BWM3" s="1" t="str" cm="1">
        <f t="array" ref="BWM3">GetValue("Dmn","Name",BWM2)</f>
        <v/>
      </c>
      <c r="BWN3" s="1" t="str" cm="1">
        <f t="array" ref="BWN3">GetValue("Dmn","Name",BWN2)</f>
        <v/>
      </c>
      <c r="BWO3" s="1" t="str" cm="1">
        <f t="array" ref="BWO3">GetValue("Dmn","Name",BWO2)</f>
        <v/>
      </c>
      <c r="BWP3" s="1" t="str" cm="1">
        <f t="array" ref="BWP3">GetValue("Dmn","Name",BWP2)</f>
        <v/>
      </c>
      <c r="BWQ3" s="1" t="str" cm="1">
        <f t="array" ref="BWQ3">GetValue("Dmn","Name",BWQ2)</f>
        <v/>
      </c>
      <c r="BWR3" s="1" t="str" cm="1">
        <f t="array" ref="BWR3">GetValue("Dmn","Name",BWR2)</f>
        <v/>
      </c>
      <c r="BWS3" s="1" t="str" cm="1">
        <f t="array" ref="BWS3">GetValue("Dmn","Name",BWS2)</f>
        <v/>
      </c>
      <c r="BWT3" s="1" t="str" cm="1">
        <f t="array" ref="BWT3">GetValue("Dmn","Name",BWT2)</f>
        <v/>
      </c>
      <c r="BWU3" s="1" t="str" cm="1">
        <f t="array" ref="BWU3">GetValue("Dmn","Name",BWU2)</f>
        <v/>
      </c>
      <c r="BWV3" s="1" t="str" cm="1">
        <f t="array" ref="BWV3">GetValue("Dmn","Name",BWV2)</f>
        <v/>
      </c>
      <c r="BWW3" s="1" t="str" cm="1">
        <f t="array" ref="BWW3">GetValue("Dmn","Name",BWW2)</f>
        <v/>
      </c>
      <c r="BWX3" s="1" t="str" cm="1">
        <f t="array" ref="BWX3">GetValue("Dmn","Name",BWX2)</f>
        <v/>
      </c>
      <c r="BWY3" s="1" t="str" cm="1">
        <f t="array" ref="BWY3">GetValue("Dmn","Name",BWY2)</f>
        <v/>
      </c>
      <c r="BWZ3" s="1" t="str" cm="1">
        <f t="array" ref="BWZ3">GetValue("Dmn","Name",BWZ2)</f>
        <v/>
      </c>
      <c r="BXA3" s="1" t="str" cm="1">
        <f t="array" ref="BXA3">GetValue("Dmn","Name",BXA2)</f>
        <v/>
      </c>
      <c r="BXB3" s="1" t="str" cm="1">
        <f t="array" ref="BXB3">GetValue("Dmn","Name",BXB2)</f>
        <v/>
      </c>
      <c r="BXC3" s="1" t="str" cm="1">
        <f t="array" ref="BXC3">GetValue("Dmn","Name",BXC2)</f>
        <v/>
      </c>
      <c r="BXD3" s="1" t="str" cm="1">
        <f t="array" ref="BXD3">GetValue("Dmn","Name",BXD2)</f>
        <v/>
      </c>
      <c r="BXE3" s="1" t="str" cm="1">
        <f t="array" ref="BXE3">GetValue("Dmn","Name",BXE2)</f>
        <v/>
      </c>
      <c r="BXF3" s="1" t="str" cm="1">
        <f t="array" ref="BXF3">GetValue("Dmn","Name",BXF2)</f>
        <v/>
      </c>
      <c r="BXG3" s="1" t="str" cm="1">
        <f t="array" ref="BXG3">GetValue("Dmn","Name",BXG2)</f>
        <v/>
      </c>
      <c r="BXH3" s="1" t="str" cm="1">
        <f t="array" ref="BXH3">GetValue("Dmn","Name",BXH2)</f>
        <v/>
      </c>
      <c r="BXI3" s="1" t="str" cm="1">
        <f t="array" ref="BXI3">GetValue("Dmn","Name",BXI2)</f>
        <v/>
      </c>
      <c r="BXJ3" s="1" t="str" cm="1">
        <f t="array" ref="BXJ3">GetValue("Dmn","Name",BXJ2)</f>
        <v/>
      </c>
      <c r="BXK3" s="1" t="str" cm="1">
        <f t="array" ref="BXK3">GetValue("Dmn","Name",BXK2)</f>
        <v/>
      </c>
      <c r="BXL3" s="1" t="str" cm="1">
        <f t="array" ref="BXL3">GetValue("Dmn","Name",BXL2)</f>
        <v/>
      </c>
      <c r="BXM3" s="1" t="str" cm="1">
        <f t="array" ref="BXM3">GetValue("Dmn","Name",BXM2)</f>
        <v/>
      </c>
      <c r="BXN3" s="1" t="str" cm="1">
        <f t="array" ref="BXN3">GetValue("Dmn","Name",BXN2)</f>
        <v/>
      </c>
      <c r="BXO3" s="1" t="str" cm="1">
        <f t="array" ref="BXO3">GetValue("Dmn","Name",BXO2)</f>
        <v/>
      </c>
      <c r="BXP3" s="1" t="str" cm="1">
        <f t="array" ref="BXP3">GetValue("Dmn","Name",BXP2)</f>
        <v/>
      </c>
      <c r="BXQ3" s="1" t="str" cm="1">
        <f t="array" ref="BXQ3">GetValue("Dmn","Name",BXQ2)</f>
        <v/>
      </c>
      <c r="BXR3" s="1" t="str" cm="1">
        <f t="array" ref="BXR3">GetValue("Dmn","Name",BXR2)</f>
        <v/>
      </c>
      <c r="BXS3" s="1" t="str" cm="1">
        <f t="array" ref="BXS3">GetValue("Dmn","Name",BXS2)</f>
        <v/>
      </c>
      <c r="BXT3" s="1" t="str" cm="1">
        <f t="array" ref="BXT3">GetValue("Dmn","Name",BXT2)</f>
        <v/>
      </c>
      <c r="BXU3" s="1" t="str" cm="1">
        <f t="array" ref="BXU3">GetValue("Dmn","Name",BXU2)</f>
        <v/>
      </c>
      <c r="BXV3" s="1" t="str" cm="1">
        <f t="array" ref="BXV3">GetValue("Dmn","Name",BXV2)</f>
        <v/>
      </c>
      <c r="BXW3" s="1" t="str" cm="1">
        <f t="array" ref="BXW3">GetValue("Dmn","Name",BXW2)</f>
        <v/>
      </c>
      <c r="BXX3" s="1" t="str" cm="1">
        <f t="array" ref="BXX3">GetValue("Dmn","Name",BXX2)</f>
        <v/>
      </c>
      <c r="BXY3" s="1" t="str" cm="1">
        <f t="array" ref="BXY3">GetValue("Dmn","Name",BXY2)</f>
        <v/>
      </c>
      <c r="BXZ3" s="1" t="str" cm="1">
        <f t="array" ref="BXZ3">GetValue("Dmn","Name",BXZ2)</f>
        <v/>
      </c>
      <c r="BYA3" s="1" t="str" cm="1">
        <f t="array" ref="BYA3">GetValue("Dmn","Name",BYA2)</f>
        <v/>
      </c>
      <c r="BYB3" s="1" t="str" cm="1">
        <f t="array" ref="BYB3">GetValue("Dmn","Name",BYB2)</f>
        <v/>
      </c>
      <c r="BYC3" s="1" t="str" cm="1">
        <f t="array" ref="BYC3">GetValue("Dmn","Name",BYC2)</f>
        <v/>
      </c>
      <c r="BYD3" s="1" t="str" cm="1">
        <f t="array" ref="BYD3">GetValue("Dmn","Name",BYD2)</f>
        <v/>
      </c>
      <c r="BYE3" s="1" t="str" cm="1">
        <f t="array" ref="BYE3">GetValue("Dmn","Name",BYE2)</f>
        <v/>
      </c>
      <c r="BYF3" s="1" t="str" cm="1">
        <f t="array" ref="BYF3">GetValue("Dmn","Name",BYF2)</f>
        <v/>
      </c>
      <c r="BYG3" s="1" t="str" cm="1">
        <f t="array" ref="BYG3">GetValue("Dmn","Name",BYG2)</f>
        <v/>
      </c>
      <c r="BYH3" s="1" t="str" cm="1">
        <f t="array" ref="BYH3">GetValue("Dmn","Name",BYH2)</f>
        <v/>
      </c>
      <c r="BYI3" s="1" t="str" cm="1">
        <f t="array" ref="BYI3">GetValue("Dmn","Name",BYI2)</f>
        <v/>
      </c>
      <c r="BYJ3" s="1" t="str" cm="1">
        <f t="array" ref="BYJ3">GetValue("Dmn","Name",BYJ2)</f>
        <v/>
      </c>
      <c r="BYK3" s="1" t="str" cm="1">
        <f t="array" ref="BYK3">GetValue("Dmn","Name",BYK2)</f>
        <v/>
      </c>
      <c r="BYL3" s="1" t="str" cm="1">
        <f t="array" ref="BYL3">GetValue("Dmn","Name",BYL2)</f>
        <v/>
      </c>
      <c r="BYM3" s="1" t="str" cm="1">
        <f t="array" ref="BYM3">GetValue("Dmn","Name",BYM2)</f>
        <v/>
      </c>
      <c r="BYN3" s="1" t="str" cm="1">
        <f t="array" ref="BYN3">GetValue("Dmn","Name",BYN2)</f>
        <v/>
      </c>
      <c r="BYO3" s="1" t="str" cm="1">
        <f t="array" ref="BYO3">GetValue("Dmn","Name",BYO2)</f>
        <v/>
      </c>
      <c r="BYP3" s="1" t="str" cm="1">
        <f t="array" ref="BYP3">GetValue("Dmn","Name",BYP2)</f>
        <v/>
      </c>
      <c r="BYQ3" s="1" t="str" cm="1">
        <f t="array" ref="BYQ3">GetValue("Dmn","Name",BYQ2)</f>
        <v/>
      </c>
      <c r="BYR3" s="1" t="str" cm="1">
        <f t="array" ref="BYR3">GetValue("Dmn","Name",BYR2)</f>
        <v/>
      </c>
      <c r="BYS3" s="1" t="str" cm="1">
        <f t="array" ref="BYS3">GetValue("Dmn","Name",BYS2)</f>
        <v/>
      </c>
      <c r="BYT3" s="1" t="str" cm="1">
        <f t="array" ref="BYT3">GetValue("Dmn","Name",BYT2)</f>
        <v/>
      </c>
      <c r="BYU3" s="1" t="str" cm="1">
        <f t="array" ref="BYU3">GetValue("Dmn","Name",BYU2)</f>
        <v/>
      </c>
      <c r="BYV3" s="1" t="str" cm="1">
        <f t="array" ref="BYV3">GetValue("Dmn","Name",BYV2)</f>
        <v/>
      </c>
      <c r="BYW3" s="1" t="str" cm="1">
        <f t="array" ref="BYW3">GetValue("Dmn","Name",BYW2)</f>
        <v/>
      </c>
      <c r="BYX3" s="1" t="str" cm="1">
        <f t="array" ref="BYX3">GetValue("Dmn","Name",BYX2)</f>
        <v/>
      </c>
      <c r="BYY3" s="1" t="str" cm="1">
        <f t="array" ref="BYY3">GetValue("Dmn","Name",BYY2)</f>
        <v/>
      </c>
      <c r="BYZ3" s="1" t="str" cm="1">
        <f t="array" ref="BYZ3">GetValue("Dmn","Name",BYZ2)</f>
        <v/>
      </c>
      <c r="BZA3" s="1" t="str" cm="1">
        <f t="array" ref="BZA3">GetValue("Dmn","Name",BZA2)</f>
        <v/>
      </c>
      <c r="BZB3" s="1" t="str" cm="1">
        <f t="array" ref="BZB3">GetValue("Dmn","Name",BZB2)</f>
        <v/>
      </c>
      <c r="BZC3" s="1" t="str" cm="1">
        <f t="array" ref="BZC3">GetValue("Dmn","Name",BZC2)</f>
        <v/>
      </c>
      <c r="BZD3" s="1" t="str" cm="1">
        <f t="array" ref="BZD3">GetValue("Dmn","Name",BZD2)</f>
        <v/>
      </c>
      <c r="BZE3" s="1" t="str" cm="1">
        <f t="array" ref="BZE3">GetValue("Dmn","Name",BZE2)</f>
        <v/>
      </c>
      <c r="BZF3" s="1" t="str" cm="1">
        <f t="array" ref="BZF3">GetValue("Dmn","Name",BZF2)</f>
        <v/>
      </c>
      <c r="BZG3" s="1" t="str" cm="1">
        <f t="array" ref="BZG3">GetValue("Dmn","Name",BZG2)</f>
        <v/>
      </c>
      <c r="BZH3" s="1" t="str" cm="1">
        <f t="array" ref="BZH3">GetValue("Dmn","Name",BZH2)</f>
        <v/>
      </c>
      <c r="BZI3" s="1" t="str" cm="1">
        <f t="array" ref="BZI3">GetValue("Dmn","Name",BZI2)</f>
        <v/>
      </c>
      <c r="BZJ3" s="1" t="str" cm="1">
        <f t="array" ref="BZJ3">GetValue("Dmn","Name",BZJ2)</f>
        <v/>
      </c>
      <c r="BZK3" s="1" t="str" cm="1">
        <f t="array" ref="BZK3">GetValue("Dmn","Name",BZK2)</f>
        <v/>
      </c>
      <c r="BZL3" s="1" t="str" cm="1">
        <f t="array" ref="BZL3">GetValue("Dmn","Name",BZL2)</f>
        <v/>
      </c>
      <c r="BZM3" s="1" t="str" cm="1">
        <f t="array" ref="BZM3">GetValue("Dmn","Name",BZM2)</f>
        <v/>
      </c>
      <c r="BZN3" s="1" t="str" cm="1">
        <f t="array" ref="BZN3">GetValue("Dmn","Name",BZN2)</f>
        <v/>
      </c>
      <c r="BZO3" s="1" t="str" cm="1">
        <f t="array" ref="BZO3">GetValue("Dmn","Name",BZO2)</f>
        <v/>
      </c>
      <c r="BZP3" s="1" t="str" cm="1">
        <f t="array" ref="BZP3">GetValue("Dmn","Name",BZP2)</f>
        <v/>
      </c>
      <c r="BZQ3" s="1" t="str" cm="1">
        <f t="array" ref="BZQ3">GetValue("Dmn","Name",BZQ2)</f>
        <v/>
      </c>
      <c r="BZR3" s="1" t="str" cm="1">
        <f t="array" ref="BZR3">GetValue("Dmn","Name",BZR2)</f>
        <v/>
      </c>
      <c r="BZS3" s="1" t="str" cm="1">
        <f t="array" ref="BZS3">GetValue("Dmn","Name",BZS2)</f>
        <v/>
      </c>
      <c r="BZT3" s="1" t="str" cm="1">
        <f t="array" ref="BZT3">GetValue("Dmn","Name",BZT2)</f>
        <v/>
      </c>
      <c r="BZU3" s="1" t="str" cm="1">
        <f t="array" ref="BZU3">GetValue("Dmn","Name",BZU2)</f>
        <v/>
      </c>
      <c r="BZV3" s="1" t="str" cm="1">
        <f t="array" ref="BZV3">GetValue("Dmn","Name",BZV2)</f>
        <v/>
      </c>
      <c r="BZW3" s="1" t="str" cm="1">
        <f t="array" ref="BZW3">GetValue("Dmn","Name",BZW2)</f>
        <v/>
      </c>
      <c r="BZX3" s="1" t="str" cm="1">
        <f t="array" ref="BZX3">GetValue("Dmn","Name",BZX2)</f>
        <v/>
      </c>
      <c r="BZY3" s="1" t="str" cm="1">
        <f t="array" ref="BZY3">GetValue("Dmn","Name",BZY2)</f>
        <v/>
      </c>
      <c r="BZZ3" s="1" t="str" cm="1">
        <f t="array" ref="BZZ3">GetValue("Dmn","Name",BZZ2)</f>
        <v/>
      </c>
      <c r="CAA3" s="1" t="str" cm="1">
        <f t="array" ref="CAA3">GetValue("Dmn","Name",CAA2)</f>
        <v/>
      </c>
      <c r="CAB3" s="1" t="str" cm="1">
        <f t="array" ref="CAB3">GetValue("Dmn","Name",CAB2)</f>
        <v/>
      </c>
      <c r="CAC3" s="1" t="str" cm="1">
        <f t="array" ref="CAC3">GetValue("Dmn","Name",CAC2)</f>
        <v/>
      </c>
      <c r="CAD3" s="1" t="str" cm="1">
        <f t="array" ref="CAD3">GetValue("Dmn","Name",CAD2)</f>
        <v/>
      </c>
      <c r="CAE3" s="1" t="str" cm="1">
        <f t="array" ref="CAE3">GetValue("Dmn","Name",CAE2)</f>
        <v/>
      </c>
      <c r="CAF3" s="1" t="str" cm="1">
        <f t="array" ref="CAF3">GetValue("Dmn","Name",CAF2)</f>
        <v/>
      </c>
      <c r="CAG3" s="1" t="str" cm="1">
        <f t="array" ref="CAG3">GetValue("Dmn","Name",CAG2)</f>
        <v/>
      </c>
      <c r="CAH3" s="1" t="str" cm="1">
        <f t="array" ref="CAH3">GetValue("Dmn","Name",CAH2)</f>
        <v/>
      </c>
      <c r="CAI3" s="1" t="str" cm="1">
        <f t="array" ref="CAI3">GetValue("Dmn","Name",CAI2)</f>
        <v/>
      </c>
      <c r="CAJ3" s="1" t="str" cm="1">
        <f t="array" ref="CAJ3">GetValue("Dmn","Name",CAJ2)</f>
        <v/>
      </c>
      <c r="CAK3" s="1" t="str" cm="1">
        <f t="array" ref="CAK3">GetValue("Dmn","Name",CAK2)</f>
        <v/>
      </c>
      <c r="CAL3" s="1" t="str" cm="1">
        <f t="array" ref="CAL3">GetValue("Dmn","Name",CAL2)</f>
        <v/>
      </c>
      <c r="CAM3" s="1" t="str" cm="1">
        <f t="array" ref="CAM3">GetValue("Dmn","Name",CAM2)</f>
        <v/>
      </c>
      <c r="CAN3" s="1" t="str" cm="1">
        <f t="array" ref="CAN3">GetValue("Dmn","Name",CAN2)</f>
        <v/>
      </c>
      <c r="CAO3" s="1" t="str" cm="1">
        <f t="array" ref="CAO3">GetValue("Dmn","Name",CAO2)</f>
        <v/>
      </c>
      <c r="CAP3" s="1" t="str" cm="1">
        <f t="array" ref="CAP3">GetValue("Dmn","Name",CAP2)</f>
        <v/>
      </c>
      <c r="CAQ3" s="1" t="str" cm="1">
        <f t="array" ref="CAQ3">GetValue("Dmn","Name",CAQ2)</f>
        <v/>
      </c>
      <c r="CAR3" s="1" t="str" cm="1">
        <f t="array" ref="CAR3">GetValue("Dmn","Name",CAR2)</f>
        <v/>
      </c>
      <c r="CAS3" s="1" t="str" cm="1">
        <f t="array" ref="CAS3">GetValue("Dmn","Name",CAS2)</f>
        <v/>
      </c>
      <c r="CAT3" s="1" t="str" cm="1">
        <f t="array" ref="CAT3">GetValue("Dmn","Name",CAT2)</f>
        <v/>
      </c>
      <c r="CAU3" s="1" t="str" cm="1">
        <f t="array" ref="CAU3">GetValue("Dmn","Name",CAU2)</f>
        <v/>
      </c>
      <c r="CAV3" s="1" t="str" cm="1">
        <f t="array" ref="CAV3">GetValue("Dmn","Name",CAV2)</f>
        <v/>
      </c>
      <c r="CAW3" s="1" t="str" cm="1">
        <f t="array" ref="CAW3">GetValue("Dmn","Name",CAW2)</f>
        <v/>
      </c>
      <c r="CAX3" s="1" t="str" cm="1">
        <f t="array" ref="CAX3">GetValue("Dmn","Name",CAX2)</f>
        <v/>
      </c>
      <c r="CAY3" s="1" t="str" cm="1">
        <f t="array" ref="CAY3">GetValue("Dmn","Name",CAY2)</f>
        <v/>
      </c>
      <c r="CAZ3" s="1" t="str" cm="1">
        <f t="array" ref="CAZ3">GetValue("Dmn","Name",CAZ2)</f>
        <v/>
      </c>
      <c r="CBA3" s="1" t="str" cm="1">
        <f t="array" ref="CBA3">GetValue("Dmn","Name",CBA2)</f>
        <v/>
      </c>
      <c r="CBB3" s="1" t="str" cm="1">
        <f t="array" ref="CBB3">GetValue("Dmn","Name",CBB2)</f>
        <v/>
      </c>
      <c r="CBC3" s="1" t="str" cm="1">
        <f t="array" ref="CBC3">GetValue("Dmn","Name",CBC2)</f>
        <v/>
      </c>
      <c r="CBD3" s="1" t="str" cm="1">
        <f t="array" ref="CBD3">GetValue("Dmn","Name",CBD2)</f>
        <v/>
      </c>
      <c r="CBE3" s="1" t="str" cm="1">
        <f t="array" ref="CBE3">GetValue("Dmn","Name",CBE2)</f>
        <v/>
      </c>
      <c r="CBF3" s="1" t="str" cm="1">
        <f t="array" ref="CBF3">GetValue("Dmn","Name",CBF2)</f>
        <v/>
      </c>
      <c r="CBG3" s="1" t="str" cm="1">
        <f t="array" ref="CBG3">GetValue("Dmn","Name",CBG2)</f>
        <v/>
      </c>
      <c r="CBH3" s="1" t="str" cm="1">
        <f t="array" ref="CBH3">GetValue("Dmn","Name",CBH2)</f>
        <v/>
      </c>
      <c r="CBI3" s="1" t="str" cm="1">
        <f t="array" ref="CBI3">GetValue("Dmn","Name",CBI2)</f>
        <v/>
      </c>
      <c r="CBJ3" s="1" t="str" cm="1">
        <f t="array" ref="CBJ3">GetValue("Dmn","Name",CBJ2)</f>
        <v/>
      </c>
      <c r="CBK3" s="1" t="str" cm="1">
        <f t="array" ref="CBK3">GetValue("Dmn","Name",CBK2)</f>
        <v/>
      </c>
      <c r="CBL3" s="1" t="str" cm="1">
        <f t="array" ref="CBL3">GetValue("Dmn","Name",CBL2)</f>
        <v/>
      </c>
      <c r="CBM3" s="1" t="str" cm="1">
        <f t="array" ref="CBM3">GetValue("Dmn","Name",CBM2)</f>
        <v/>
      </c>
      <c r="CBN3" s="1" t="str" cm="1">
        <f t="array" ref="CBN3">GetValue("Dmn","Name",CBN2)</f>
        <v/>
      </c>
      <c r="CBO3" s="1" t="str" cm="1">
        <f t="array" ref="CBO3">GetValue("Dmn","Name",CBO2)</f>
        <v/>
      </c>
      <c r="CBP3" s="1" t="str" cm="1">
        <f t="array" ref="CBP3">GetValue("Dmn","Name",CBP2)</f>
        <v/>
      </c>
      <c r="CBQ3" s="1" t="str" cm="1">
        <f t="array" ref="CBQ3">GetValue("Dmn","Name",CBQ2)</f>
        <v/>
      </c>
      <c r="CBR3" s="1" t="str" cm="1">
        <f t="array" ref="CBR3">GetValue("Dmn","Name",CBR2)</f>
        <v/>
      </c>
      <c r="CBS3" s="1" t="str" cm="1">
        <f t="array" ref="CBS3">GetValue("Dmn","Name",CBS2)</f>
        <v/>
      </c>
      <c r="CBT3" s="1" t="str" cm="1">
        <f t="array" ref="CBT3">GetValue("Dmn","Name",CBT2)</f>
        <v/>
      </c>
      <c r="CBU3" s="1" t="str" cm="1">
        <f t="array" ref="CBU3">GetValue("Dmn","Name",CBU2)</f>
        <v/>
      </c>
      <c r="CBV3" s="1" t="str" cm="1">
        <f t="array" ref="CBV3">GetValue("Dmn","Name",CBV2)</f>
        <v/>
      </c>
      <c r="CBW3" s="1" t="str" cm="1">
        <f t="array" ref="CBW3">GetValue("Dmn","Name",CBW2)</f>
        <v/>
      </c>
      <c r="CBX3" s="1" t="str" cm="1">
        <f t="array" ref="CBX3">GetValue("Dmn","Name",CBX2)</f>
        <v/>
      </c>
      <c r="CBY3" s="1" t="str" cm="1">
        <f t="array" ref="CBY3">GetValue("Dmn","Name",CBY2)</f>
        <v/>
      </c>
      <c r="CBZ3" s="1" t="str" cm="1">
        <f t="array" ref="CBZ3">GetValue("Dmn","Name",CBZ2)</f>
        <v/>
      </c>
      <c r="CCA3" s="1" t="str" cm="1">
        <f t="array" ref="CCA3">GetValue("Dmn","Name",CCA2)</f>
        <v/>
      </c>
      <c r="CCB3" s="1" t="str" cm="1">
        <f t="array" ref="CCB3">GetValue("Dmn","Name",CCB2)</f>
        <v/>
      </c>
      <c r="CCC3" s="1" t="str" cm="1">
        <f t="array" ref="CCC3">GetValue("Dmn","Name",CCC2)</f>
        <v/>
      </c>
      <c r="CCD3" s="1" t="str" cm="1">
        <f t="array" ref="CCD3">GetValue("Dmn","Name",CCD2)</f>
        <v/>
      </c>
      <c r="CCE3" s="1" t="str" cm="1">
        <f t="array" ref="CCE3">GetValue("Dmn","Name",CCE2)</f>
        <v/>
      </c>
      <c r="CCF3" s="1" t="str" cm="1">
        <f t="array" ref="CCF3">GetValue("Dmn","Name",CCF2)</f>
        <v/>
      </c>
      <c r="CCG3" s="1" t="str" cm="1">
        <f t="array" ref="CCG3">GetValue("Dmn","Name",CCG2)</f>
        <v/>
      </c>
      <c r="CCH3" s="1" t="str" cm="1">
        <f t="array" ref="CCH3">GetValue("Dmn","Name",CCH2)</f>
        <v/>
      </c>
      <c r="CCI3" s="1" t="str" cm="1">
        <f t="array" ref="CCI3">GetValue("Dmn","Name",CCI2)</f>
        <v/>
      </c>
      <c r="CCJ3" s="1" t="str" cm="1">
        <f t="array" ref="CCJ3">GetValue("Dmn","Name",CCJ2)</f>
        <v/>
      </c>
      <c r="CCK3" s="1" t="str" cm="1">
        <f t="array" ref="CCK3">GetValue("Dmn","Name",CCK2)</f>
        <v/>
      </c>
      <c r="CCL3" s="1" t="str" cm="1">
        <f t="array" ref="CCL3">GetValue("Dmn","Name",CCL2)</f>
        <v/>
      </c>
      <c r="CCM3" s="1" t="str" cm="1">
        <f t="array" ref="CCM3">GetValue("Dmn","Name",CCM2)</f>
        <v/>
      </c>
      <c r="CCN3" s="1" t="str" cm="1">
        <f t="array" ref="CCN3">GetValue("Dmn","Name",CCN2)</f>
        <v/>
      </c>
      <c r="CCO3" s="1" t="str" cm="1">
        <f t="array" ref="CCO3">GetValue("Dmn","Name",CCO2)</f>
        <v/>
      </c>
      <c r="CCP3" s="1" t="str" cm="1">
        <f t="array" ref="CCP3">GetValue("Dmn","Name",CCP2)</f>
        <v/>
      </c>
      <c r="CCQ3" s="1" t="str" cm="1">
        <f t="array" ref="CCQ3">GetValue("Dmn","Name",CCQ2)</f>
        <v/>
      </c>
      <c r="CCR3" s="1" t="str" cm="1">
        <f t="array" ref="CCR3">GetValue("Dmn","Name",CCR2)</f>
        <v/>
      </c>
      <c r="CCS3" s="1" t="str" cm="1">
        <f t="array" ref="CCS3">GetValue("Dmn","Name",CCS2)</f>
        <v/>
      </c>
      <c r="CCT3" s="1" t="str" cm="1">
        <f t="array" ref="CCT3">GetValue("Dmn","Name",CCT2)</f>
        <v/>
      </c>
      <c r="CCU3" s="1" t="str" cm="1">
        <f t="array" ref="CCU3">GetValue("Dmn","Name",CCU2)</f>
        <v/>
      </c>
      <c r="CCV3" s="1" t="str" cm="1">
        <f t="array" ref="CCV3">GetValue("Dmn","Name",CCV2)</f>
        <v/>
      </c>
      <c r="CCW3" s="1" t="str" cm="1">
        <f t="array" ref="CCW3">GetValue("Dmn","Name",CCW2)</f>
        <v/>
      </c>
      <c r="CCX3" s="1" t="str" cm="1">
        <f t="array" ref="CCX3">GetValue("Dmn","Name",CCX2)</f>
        <v/>
      </c>
      <c r="CCY3" s="1" t="str" cm="1">
        <f t="array" ref="CCY3">GetValue("Dmn","Name",CCY2)</f>
        <v/>
      </c>
      <c r="CCZ3" s="1" t="str" cm="1">
        <f t="array" ref="CCZ3">GetValue("Dmn","Name",CCZ2)</f>
        <v/>
      </c>
      <c r="CDA3" s="1" t="str" cm="1">
        <f t="array" ref="CDA3">GetValue("Dmn","Name",CDA2)</f>
        <v/>
      </c>
      <c r="CDB3" s="1" t="str" cm="1">
        <f t="array" ref="CDB3">GetValue("Dmn","Name",CDB2)</f>
        <v/>
      </c>
      <c r="CDC3" s="1" t="str" cm="1">
        <f t="array" ref="CDC3">GetValue("Dmn","Name",CDC2)</f>
        <v/>
      </c>
      <c r="CDD3" s="1" t="str" cm="1">
        <f t="array" ref="CDD3">GetValue("Dmn","Name",CDD2)</f>
        <v/>
      </c>
      <c r="CDE3" s="1" t="str" cm="1">
        <f t="array" ref="CDE3">GetValue("Dmn","Name",CDE2)</f>
        <v/>
      </c>
      <c r="CDF3" s="1" t="str" cm="1">
        <f t="array" ref="CDF3">GetValue("Dmn","Name",CDF2)</f>
        <v/>
      </c>
      <c r="CDG3" s="1" t="str" cm="1">
        <f t="array" ref="CDG3">GetValue("Dmn","Name",CDG2)</f>
        <v/>
      </c>
      <c r="CDH3" s="1" t="str" cm="1">
        <f t="array" ref="CDH3">GetValue("Dmn","Name",CDH2)</f>
        <v/>
      </c>
      <c r="CDI3" s="1" t="str" cm="1">
        <f t="array" ref="CDI3">GetValue("Dmn","Name",CDI2)</f>
        <v/>
      </c>
      <c r="CDJ3" s="1" t="str" cm="1">
        <f t="array" ref="CDJ3">GetValue("Dmn","Name",CDJ2)</f>
        <v/>
      </c>
      <c r="CDK3" s="1" t="str" cm="1">
        <f t="array" ref="CDK3">GetValue("Dmn","Name",CDK2)</f>
        <v/>
      </c>
      <c r="CDL3" s="1" t="str" cm="1">
        <f t="array" ref="CDL3">GetValue("Dmn","Name",CDL2)</f>
        <v/>
      </c>
      <c r="CDM3" s="1" t="str" cm="1">
        <f t="array" ref="CDM3">GetValue("Dmn","Name",CDM2)</f>
        <v/>
      </c>
      <c r="CDN3" s="1" t="str" cm="1">
        <f t="array" ref="CDN3">GetValue("Dmn","Name",CDN2)</f>
        <v/>
      </c>
      <c r="CDO3" s="1" t="str" cm="1">
        <f t="array" ref="CDO3">GetValue("Dmn","Name",CDO2)</f>
        <v/>
      </c>
      <c r="CDP3" s="1" t="str" cm="1">
        <f t="array" ref="CDP3">GetValue("Dmn","Name",CDP2)</f>
        <v/>
      </c>
      <c r="CDQ3" s="1" t="str" cm="1">
        <f t="array" ref="CDQ3">GetValue("Dmn","Name",CDQ2)</f>
        <v/>
      </c>
      <c r="CDR3" s="1" t="str" cm="1">
        <f t="array" ref="CDR3">GetValue("Dmn","Name",CDR2)</f>
        <v/>
      </c>
      <c r="CDS3" s="1" t="str" cm="1">
        <f t="array" ref="CDS3">GetValue("Dmn","Name",CDS2)</f>
        <v/>
      </c>
      <c r="CDT3" s="1" t="str" cm="1">
        <f t="array" ref="CDT3">GetValue("Dmn","Name",CDT2)</f>
        <v/>
      </c>
      <c r="CDU3" s="1" t="str" cm="1">
        <f t="array" ref="CDU3">GetValue("Dmn","Name",CDU2)</f>
        <v/>
      </c>
      <c r="CDV3" s="1" t="str" cm="1">
        <f t="array" ref="CDV3">GetValue("Dmn","Name",CDV2)</f>
        <v/>
      </c>
      <c r="CDW3" s="1" t="str" cm="1">
        <f t="array" ref="CDW3">GetValue("Dmn","Name",CDW2)</f>
        <v/>
      </c>
      <c r="CDX3" s="1" t="str" cm="1">
        <f t="array" ref="CDX3">GetValue("Dmn","Name",CDX2)</f>
        <v/>
      </c>
      <c r="CDY3" s="1" t="str" cm="1">
        <f t="array" ref="CDY3">GetValue("Dmn","Name",CDY2)</f>
        <v/>
      </c>
      <c r="CDZ3" s="1" t="str" cm="1">
        <f t="array" ref="CDZ3">GetValue("Dmn","Name",CDZ2)</f>
        <v/>
      </c>
      <c r="CEA3" s="1" t="str" cm="1">
        <f t="array" ref="CEA3">GetValue("Dmn","Name",CEA2)</f>
        <v/>
      </c>
      <c r="CEB3" s="1" t="str" cm="1">
        <f t="array" ref="CEB3">GetValue("Dmn","Name",CEB2)</f>
        <v/>
      </c>
      <c r="CEC3" s="1" t="str" cm="1">
        <f t="array" ref="CEC3">GetValue("Dmn","Name",CEC2)</f>
        <v/>
      </c>
      <c r="CED3" s="1" t="str" cm="1">
        <f t="array" ref="CED3">GetValue("Dmn","Name",CED2)</f>
        <v/>
      </c>
      <c r="CEE3" s="1" t="str" cm="1">
        <f t="array" ref="CEE3">GetValue("Dmn","Name",CEE2)</f>
        <v/>
      </c>
      <c r="CEF3" s="1" t="str" cm="1">
        <f t="array" ref="CEF3">GetValue("Dmn","Name",CEF2)</f>
        <v/>
      </c>
      <c r="CEG3" s="1" t="str" cm="1">
        <f t="array" ref="CEG3">GetValue("Dmn","Name",CEG2)</f>
        <v/>
      </c>
      <c r="CEH3" s="1" t="str" cm="1">
        <f t="array" ref="CEH3">GetValue("Dmn","Name",CEH2)</f>
        <v/>
      </c>
      <c r="CEI3" s="1" t="str" cm="1">
        <f t="array" ref="CEI3">GetValue("Dmn","Name",CEI2)</f>
        <v/>
      </c>
      <c r="CEJ3" s="1" t="str" cm="1">
        <f t="array" ref="CEJ3">GetValue("Dmn","Name",CEJ2)</f>
        <v/>
      </c>
      <c r="CEK3" s="1" t="str" cm="1">
        <f t="array" ref="CEK3">GetValue("Dmn","Name",CEK2)</f>
        <v/>
      </c>
      <c r="CEL3" s="1" t="str" cm="1">
        <f t="array" ref="CEL3">GetValue("Dmn","Name",CEL2)</f>
        <v/>
      </c>
      <c r="CEM3" s="1" t="str" cm="1">
        <f t="array" ref="CEM3">GetValue("Dmn","Name",CEM2)</f>
        <v/>
      </c>
      <c r="CEN3" s="1" t="str" cm="1">
        <f t="array" ref="CEN3">GetValue("Dmn","Name",CEN2)</f>
        <v/>
      </c>
      <c r="CEO3" s="1" t="str" cm="1">
        <f t="array" ref="CEO3">GetValue("Dmn","Name",CEO2)</f>
        <v/>
      </c>
      <c r="CEP3" s="1" t="str" cm="1">
        <f t="array" ref="CEP3">GetValue("Dmn","Name",CEP2)</f>
        <v/>
      </c>
      <c r="CEQ3" s="1" t="str" cm="1">
        <f t="array" ref="CEQ3">GetValue("Dmn","Name",CEQ2)</f>
        <v/>
      </c>
      <c r="CER3" s="1" t="str" cm="1">
        <f t="array" ref="CER3">GetValue("Dmn","Name",CER2)</f>
        <v/>
      </c>
      <c r="CES3" s="1" t="str" cm="1">
        <f t="array" ref="CES3">GetValue("Dmn","Name",CES2)</f>
        <v/>
      </c>
      <c r="CET3" s="1" t="str" cm="1">
        <f t="array" ref="CET3">GetValue("Dmn","Name",CET2)</f>
        <v/>
      </c>
      <c r="CEU3" s="1" t="str" cm="1">
        <f t="array" ref="CEU3">GetValue("Dmn","Name",CEU2)</f>
        <v/>
      </c>
      <c r="CEV3" s="1" t="str" cm="1">
        <f t="array" ref="CEV3">GetValue("Dmn","Name",CEV2)</f>
        <v/>
      </c>
      <c r="CEW3" s="1" t="str" cm="1">
        <f t="array" ref="CEW3">GetValue("Dmn","Name",CEW2)</f>
        <v/>
      </c>
      <c r="CEX3" s="1" t="str" cm="1">
        <f t="array" ref="CEX3">GetValue("Dmn","Name",CEX2)</f>
        <v/>
      </c>
      <c r="CEY3" s="1" t="str" cm="1">
        <f t="array" ref="CEY3">GetValue("Dmn","Name",CEY2)</f>
        <v/>
      </c>
      <c r="CEZ3" s="1" t="str" cm="1">
        <f t="array" ref="CEZ3">GetValue("Dmn","Name",CEZ2)</f>
        <v/>
      </c>
      <c r="CFA3" s="1" t="str" cm="1">
        <f t="array" ref="CFA3">GetValue("Dmn","Name",CFA2)</f>
        <v/>
      </c>
      <c r="CFB3" s="1" t="str" cm="1">
        <f t="array" ref="CFB3">GetValue("Dmn","Name",CFB2)</f>
        <v/>
      </c>
      <c r="CFC3" s="1" t="str" cm="1">
        <f t="array" ref="CFC3">GetValue("Dmn","Name",CFC2)</f>
        <v/>
      </c>
      <c r="CFD3" s="1" t="str" cm="1">
        <f t="array" ref="CFD3">GetValue("Dmn","Name",CFD2)</f>
        <v/>
      </c>
      <c r="CFE3" s="1" t="str" cm="1">
        <f t="array" ref="CFE3">GetValue("Dmn","Name",CFE2)</f>
        <v/>
      </c>
      <c r="CFF3" s="1" t="str" cm="1">
        <f t="array" ref="CFF3">GetValue("Dmn","Name",CFF2)</f>
        <v/>
      </c>
      <c r="CFG3" s="1" t="str" cm="1">
        <f t="array" ref="CFG3">GetValue("Dmn","Name",CFG2)</f>
        <v/>
      </c>
      <c r="CFH3" s="1" t="str" cm="1">
        <f t="array" ref="CFH3">GetValue("Dmn","Name",CFH2)</f>
        <v/>
      </c>
      <c r="CFI3" s="1" t="str" cm="1">
        <f t="array" ref="CFI3">GetValue("Dmn","Name",CFI2)</f>
        <v/>
      </c>
      <c r="CFJ3" s="1" t="str" cm="1">
        <f t="array" ref="CFJ3">GetValue("Dmn","Name",CFJ2)</f>
        <v/>
      </c>
      <c r="CFK3" s="1" t="str" cm="1">
        <f t="array" ref="CFK3">GetValue("Dmn","Name",CFK2)</f>
        <v/>
      </c>
      <c r="CFL3" s="1" t="str" cm="1">
        <f t="array" ref="CFL3">GetValue("Dmn","Name",CFL2)</f>
        <v/>
      </c>
      <c r="CFM3" s="1" t="str" cm="1">
        <f t="array" ref="CFM3">GetValue("Dmn","Name",CFM2)</f>
        <v/>
      </c>
      <c r="CFN3" s="1" t="str" cm="1">
        <f t="array" ref="CFN3">GetValue("Dmn","Name",CFN2)</f>
        <v/>
      </c>
      <c r="CFO3" s="1" t="str" cm="1">
        <f t="array" ref="CFO3">GetValue("Dmn","Name",CFO2)</f>
        <v/>
      </c>
      <c r="CFP3" s="1" t="str" cm="1">
        <f t="array" ref="CFP3">GetValue("Dmn","Name",CFP2)</f>
        <v/>
      </c>
      <c r="CFQ3" s="1" t="str" cm="1">
        <f t="array" ref="CFQ3">GetValue("Dmn","Name",CFQ2)</f>
        <v/>
      </c>
      <c r="CFR3" s="1" t="str" cm="1">
        <f t="array" ref="CFR3">GetValue("Dmn","Name",CFR2)</f>
        <v/>
      </c>
      <c r="CFS3" s="1" t="str" cm="1">
        <f t="array" ref="CFS3">GetValue("Dmn","Name",CFS2)</f>
        <v/>
      </c>
      <c r="CFT3" s="1" t="str" cm="1">
        <f t="array" ref="CFT3">GetValue("Dmn","Name",CFT2)</f>
        <v/>
      </c>
      <c r="CFU3" s="1" t="str" cm="1">
        <f t="array" ref="CFU3">GetValue("Dmn","Name",CFU2)</f>
        <v/>
      </c>
      <c r="CFV3" s="1" t="str" cm="1">
        <f t="array" ref="CFV3">GetValue("Dmn","Name",CFV2)</f>
        <v/>
      </c>
      <c r="CFW3" s="1" t="str" cm="1">
        <f t="array" ref="CFW3">GetValue("Dmn","Name",CFW2)</f>
        <v/>
      </c>
      <c r="CFX3" s="1" t="str" cm="1">
        <f t="array" ref="CFX3">GetValue("Dmn","Name",CFX2)</f>
        <v/>
      </c>
      <c r="CFY3" s="1" t="str" cm="1">
        <f t="array" ref="CFY3">GetValue("Dmn","Name",CFY2)</f>
        <v/>
      </c>
      <c r="CFZ3" s="1" t="str" cm="1">
        <f t="array" ref="CFZ3">GetValue("Dmn","Name",CFZ2)</f>
        <v/>
      </c>
      <c r="CGA3" s="1" t="str" cm="1">
        <f t="array" ref="CGA3">GetValue("Dmn","Name",CGA2)</f>
        <v/>
      </c>
      <c r="CGB3" s="1" t="str" cm="1">
        <f t="array" ref="CGB3">GetValue("Dmn","Name",CGB2)</f>
        <v/>
      </c>
      <c r="CGC3" s="1" t="str" cm="1">
        <f t="array" ref="CGC3">GetValue("Dmn","Name",CGC2)</f>
        <v/>
      </c>
      <c r="CGD3" s="1" t="str" cm="1">
        <f t="array" ref="CGD3">GetValue("Dmn","Name",CGD2)</f>
        <v/>
      </c>
      <c r="CGE3" s="1" t="str" cm="1">
        <f t="array" ref="CGE3">GetValue("Dmn","Name",CGE2)</f>
        <v/>
      </c>
      <c r="CGF3" s="1" t="str" cm="1">
        <f t="array" ref="CGF3">GetValue("Dmn","Name",CGF2)</f>
        <v/>
      </c>
      <c r="CGG3" s="1" t="str" cm="1">
        <f t="array" ref="CGG3">GetValue("Dmn","Name",CGG2)</f>
        <v/>
      </c>
      <c r="CGH3" s="1" t="str" cm="1">
        <f t="array" ref="CGH3">GetValue("Dmn","Name",CGH2)</f>
        <v/>
      </c>
      <c r="CGI3" s="1" t="str" cm="1">
        <f t="array" ref="CGI3">GetValue("Dmn","Name",CGI2)</f>
        <v/>
      </c>
      <c r="CGJ3" s="1" t="str" cm="1">
        <f t="array" ref="CGJ3">GetValue("Dmn","Name",CGJ2)</f>
        <v/>
      </c>
      <c r="CGK3" s="1" t="str" cm="1">
        <f t="array" ref="CGK3">GetValue("Dmn","Name",CGK2)</f>
        <v/>
      </c>
      <c r="CGL3" s="1" t="str" cm="1">
        <f t="array" ref="CGL3">GetValue("Dmn","Name",CGL2)</f>
        <v/>
      </c>
      <c r="CGM3" s="1" t="str" cm="1">
        <f t="array" ref="CGM3">GetValue("Dmn","Name",CGM2)</f>
        <v/>
      </c>
      <c r="CGN3" s="1" t="str" cm="1">
        <f t="array" ref="CGN3">GetValue("Dmn","Name",CGN2)</f>
        <v/>
      </c>
      <c r="CGO3" s="1" t="str" cm="1">
        <f t="array" ref="CGO3">GetValue("Dmn","Name",CGO2)</f>
        <v/>
      </c>
      <c r="CGP3" s="1" t="str" cm="1">
        <f t="array" ref="CGP3">GetValue("Dmn","Name",CGP2)</f>
        <v/>
      </c>
      <c r="CGQ3" s="1" t="str" cm="1">
        <f t="array" ref="CGQ3">GetValue("Dmn","Name",CGQ2)</f>
        <v/>
      </c>
      <c r="CGR3" s="1" t="str" cm="1">
        <f t="array" ref="CGR3">GetValue("Dmn","Name",CGR2)</f>
        <v/>
      </c>
      <c r="CGS3" s="1" t="str" cm="1">
        <f t="array" ref="CGS3">GetValue("Dmn","Name",CGS2)</f>
        <v/>
      </c>
      <c r="CGT3" s="1" t="str" cm="1">
        <f t="array" ref="CGT3">GetValue("Dmn","Name",CGT2)</f>
        <v/>
      </c>
      <c r="CGU3" s="1" t="str" cm="1">
        <f t="array" ref="CGU3">GetValue("Dmn","Name",CGU2)</f>
        <v/>
      </c>
      <c r="CGV3" s="1" t="str" cm="1">
        <f t="array" ref="CGV3">GetValue("Dmn","Name",CGV2)</f>
        <v/>
      </c>
      <c r="CGW3" s="1" t="str" cm="1">
        <f t="array" ref="CGW3">GetValue("Dmn","Name",CGW2)</f>
        <v/>
      </c>
      <c r="CGX3" s="1" t="str" cm="1">
        <f t="array" ref="CGX3">GetValue("Dmn","Name",CGX2)</f>
        <v/>
      </c>
      <c r="CGY3" s="1" t="str" cm="1">
        <f t="array" ref="CGY3">GetValue("Dmn","Name",CGY2)</f>
        <v/>
      </c>
      <c r="CGZ3" s="1" t="str" cm="1">
        <f t="array" ref="CGZ3">GetValue("Dmn","Name",CGZ2)</f>
        <v/>
      </c>
      <c r="CHA3" s="1" t="str" cm="1">
        <f t="array" ref="CHA3">GetValue("Dmn","Name",CHA2)</f>
        <v/>
      </c>
      <c r="CHB3" s="1" t="str" cm="1">
        <f t="array" ref="CHB3">GetValue("Dmn","Name",CHB2)</f>
        <v/>
      </c>
      <c r="CHC3" s="1" t="str" cm="1">
        <f t="array" ref="CHC3">GetValue("Dmn","Name",CHC2)</f>
        <v/>
      </c>
      <c r="CHD3" s="1" t="str" cm="1">
        <f t="array" ref="CHD3">GetValue("Dmn","Name",CHD2)</f>
        <v/>
      </c>
      <c r="CHE3" s="1" t="str" cm="1">
        <f t="array" ref="CHE3">GetValue("Dmn","Name",CHE2)</f>
        <v/>
      </c>
      <c r="CHF3" s="1" t="str" cm="1">
        <f t="array" ref="CHF3">GetValue("Dmn","Name",CHF2)</f>
        <v/>
      </c>
      <c r="CHG3" s="1" t="str" cm="1">
        <f t="array" ref="CHG3">GetValue("Dmn","Name",CHG2)</f>
        <v/>
      </c>
      <c r="CHH3" s="1" t="str" cm="1">
        <f t="array" ref="CHH3">GetValue("Dmn","Name",CHH2)</f>
        <v/>
      </c>
      <c r="CHI3" s="1" t="str" cm="1">
        <f t="array" ref="CHI3">GetValue("Dmn","Name",CHI2)</f>
        <v/>
      </c>
      <c r="CHJ3" s="1" t="str" cm="1">
        <f t="array" ref="CHJ3">GetValue("Dmn","Name",CHJ2)</f>
        <v/>
      </c>
      <c r="CHK3" s="1" t="str" cm="1">
        <f t="array" ref="CHK3">GetValue("Dmn","Name",CHK2)</f>
        <v/>
      </c>
      <c r="CHL3" s="1" t="str" cm="1">
        <f t="array" ref="CHL3">GetValue("Dmn","Name",CHL2)</f>
        <v/>
      </c>
      <c r="CHM3" s="1" t="str" cm="1">
        <f t="array" ref="CHM3">GetValue("Dmn","Name",CHM2)</f>
        <v/>
      </c>
      <c r="CHN3" s="1" t="str" cm="1">
        <f t="array" ref="CHN3">GetValue("Dmn","Name",CHN2)</f>
        <v/>
      </c>
      <c r="CHO3" s="1" t="str" cm="1">
        <f t="array" ref="CHO3">GetValue("Dmn","Name",CHO2)</f>
        <v/>
      </c>
      <c r="CHP3" s="1" t="str" cm="1">
        <f t="array" ref="CHP3">GetValue("Dmn","Name",CHP2)</f>
        <v/>
      </c>
      <c r="CHQ3" s="1" t="str" cm="1">
        <f t="array" ref="CHQ3">GetValue("Dmn","Name",CHQ2)</f>
        <v/>
      </c>
      <c r="CHR3" s="1" t="str" cm="1">
        <f t="array" ref="CHR3">GetValue("Dmn","Name",CHR2)</f>
        <v/>
      </c>
      <c r="CHS3" s="1" t="str" cm="1">
        <f t="array" ref="CHS3">GetValue("Dmn","Name",CHS2)</f>
        <v/>
      </c>
      <c r="CHT3" s="1" t="str" cm="1">
        <f t="array" ref="CHT3">GetValue("Dmn","Name",CHT2)</f>
        <v/>
      </c>
      <c r="CHU3" s="1" t="str" cm="1">
        <f t="array" ref="CHU3">GetValue("Dmn","Name",CHU2)</f>
        <v/>
      </c>
      <c r="CHV3" s="1" t="str" cm="1">
        <f t="array" ref="CHV3">GetValue("Dmn","Name",CHV2)</f>
        <v/>
      </c>
      <c r="CHW3" s="1" t="str" cm="1">
        <f t="array" ref="CHW3">GetValue("Dmn","Name",CHW2)</f>
        <v/>
      </c>
      <c r="CHX3" s="1" t="str" cm="1">
        <f t="array" ref="CHX3">GetValue("Dmn","Name",CHX2)</f>
        <v/>
      </c>
      <c r="CHY3" s="1" t="str" cm="1">
        <f t="array" ref="CHY3">GetValue("Dmn","Name",CHY2)</f>
        <v/>
      </c>
      <c r="CHZ3" s="1" t="str" cm="1">
        <f t="array" ref="CHZ3">GetValue("Dmn","Name",CHZ2)</f>
        <v/>
      </c>
      <c r="CIA3" s="1" t="str" cm="1">
        <f t="array" ref="CIA3">GetValue("Dmn","Name",CIA2)</f>
        <v/>
      </c>
      <c r="CIB3" s="1" t="str" cm="1">
        <f t="array" ref="CIB3">GetValue("Dmn","Name",CIB2)</f>
        <v/>
      </c>
      <c r="CIC3" s="1" t="str" cm="1">
        <f t="array" ref="CIC3">GetValue("Dmn","Name",CIC2)</f>
        <v/>
      </c>
      <c r="CID3" s="1" t="str" cm="1">
        <f t="array" ref="CID3">GetValue("Dmn","Name",CID2)</f>
        <v/>
      </c>
      <c r="CIE3" s="1" t="str" cm="1">
        <f t="array" ref="CIE3">GetValue("Dmn","Name",CIE2)</f>
        <v/>
      </c>
      <c r="CIF3" s="1" t="str" cm="1">
        <f t="array" ref="CIF3">GetValue("Dmn","Name",CIF2)</f>
        <v/>
      </c>
      <c r="CIG3" s="1" t="str" cm="1">
        <f t="array" ref="CIG3">GetValue("Dmn","Name",CIG2)</f>
        <v/>
      </c>
      <c r="CIH3" s="1" t="str" cm="1">
        <f t="array" ref="CIH3">GetValue("Dmn","Name",CIH2)</f>
        <v/>
      </c>
      <c r="CII3" s="1" t="str" cm="1">
        <f t="array" ref="CII3">GetValue("Dmn","Name",CII2)</f>
        <v/>
      </c>
      <c r="CIJ3" s="1" t="str" cm="1">
        <f t="array" ref="CIJ3">GetValue("Dmn","Name",CIJ2)</f>
        <v/>
      </c>
      <c r="CIK3" s="1" t="str" cm="1">
        <f t="array" ref="CIK3">GetValue("Dmn","Name",CIK2)</f>
        <v/>
      </c>
      <c r="CIL3" s="1" t="str" cm="1">
        <f t="array" ref="CIL3">GetValue("Dmn","Name",CIL2)</f>
        <v/>
      </c>
      <c r="CIM3" s="1" t="str" cm="1">
        <f t="array" ref="CIM3">GetValue("Dmn","Name",CIM2)</f>
        <v/>
      </c>
      <c r="CIN3" s="1" t="str" cm="1">
        <f t="array" ref="CIN3">GetValue("Dmn","Name",CIN2)</f>
        <v/>
      </c>
      <c r="CIO3" s="1" t="str" cm="1">
        <f t="array" ref="CIO3">GetValue("Dmn","Name",CIO2)</f>
        <v/>
      </c>
      <c r="CIP3" s="1" t="str" cm="1">
        <f t="array" ref="CIP3">GetValue("Dmn","Name",CIP2)</f>
        <v/>
      </c>
      <c r="CIQ3" s="1" t="str" cm="1">
        <f t="array" ref="CIQ3">GetValue("Dmn","Name",CIQ2)</f>
        <v/>
      </c>
      <c r="CIR3" s="1" t="str" cm="1">
        <f t="array" ref="CIR3">GetValue("Dmn","Name",CIR2)</f>
        <v/>
      </c>
      <c r="CIS3" s="1" t="str" cm="1">
        <f t="array" ref="CIS3">GetValue("Dmn","Name",CIS2)</f>
        <v/>
      </c>
      <c r="CIT3" s="1" t="str" cm="1">
        <f t="array" ref="CIT3">GetValue("Dmn","Name",CIT2)</f>
        <v/>
      </c>
      <c r="CIU3" s="1" t="str" cm="1">
        <f t="array" ref="CIU3">GetValue("Dmn","Name",CIU2)</f>
        <v/>
      </c>
      <c r="CIV3" s="1" t="str" cm="1">
        <f t="array" ref="CIV3">GetValue("Dmn","Name",CIV2)</f>
        <v/>
      </c>
      <c r="CIW3" s="1" t="str" cm="1">
        <f t="array" ref="CIW3">GetValue("Dmn","Name",CIW2)</f>
        <v/>
      </c>
      <c r="CIX3" s="1" t="str" cm="1">
        <f t="array" ref="CIX3">GetValue("Dmn","Name",CIX2)</f>
        <v/>
      </c>
      <c r="CIY3" s="1" t="str" cm="1">
        <f t="array" ref="CIY3">GetValue("Dmn","Name",CIY2)</f>
        <v/>
      </c>
      <c r="CIZ3" s="1" t="str" cm="1">
        <f t="array" ref="CIZ3">GetValue("Dmn","Name",CIZ2)</f>
        <v/>
      </c>
      <c r="CJA3" s="1" t="str" cm="1">
        <f t="array" ref="CJA3">GetValue("Dmn","Name",CJA2)</f>
        <v/>
      </c>
      <c r="CJB3" s="1" t="str" cm="1">
        <f t="array" ref="CJB3">GetValue("Dmn","Name",CJB2)</f>
        <v/>
      </c>
      <c r="CJC3" s="1" t="str" cm="1">
        <f t="array" ref="CJC3">GetValue("Dmn","Name",CJC2)</f>
        <v/>
      </c>
      <c r="CJD3" s="1" t="str" cm="1">
        <f t="array" ref="CJD3">GetValue("Dmn","Name",CJD2)</f>
        <v/>
      </c>
      <c r="CJE3" s="1" t="str" cm="1">
        <f t="array" ref="CJE3">GetValue("Dmn","Name",CJE2)</f>
        <v/>
      </c>
      <c r="CJF3" s="1" t="str" cm="1">
        <f t="array" ref="CJF3">GetValue("Dmn","Name",CJF2)</f>
        <v/>
      </c>
      <c r="CJG3" s="1" t="str" cm="1">
        <f t="array" ref="CJG3">GetValue("Dmn","Name",CJG2)</f>
        <v/>
      </c>
      <c r="CJH3" s="1" t="str" cm="1">
        <f t="array" ref="CJH3">GetValue("Dmn","Name",CJH2)</f>
        <v/>
      </c>
      <c r="CJI3" s="1" t="str" cm="1">
        <f t="array" ref="CJI3">GetValue("Dmn","Name",CJI2)</f>
        <v/>
      </c>
      <c r="CJJ3" s="1" t="str" cm="1">
        <f t="array" ref="CJJ3">GetValue("Dmn","Name",CJJ2)</f>
        <v/>
      </c>
      <c r="CJK3" s="1" t="str" cm="1">
        <f t="array" ref="CJK3">GetValue("Dmn","Name",CJK2)</f>
        <v/>
      </c>
      <c r="CJL3" s="1" t="str" cm="1">
        <f t="array" ref="CJL3">GetValue("Dmn","Name",CJL2)</f>
        <v/>
      </c>
      <c r="CJM3" s="1" t="str" cm="1">
        <f t="array" ref="CJM3">GetValue("Dmn","Name",CJM2)</f>
        <v/>
      </c>
      <c r="CJN3" s="1" t="str" cm="1">
        <f t="array" ref="CJN3">GetValue("Dmn","Name",CJN2)</f>
        <v/>
      </c>
      <c r="CJO3" s="1" t="str" cm="1">
        <f t="array" ref="CJO3">GetValue("Dmn","Name",CJO2)</f>
        <v/>
      </c>
      <c r="CJP3" s="1" t="str" cm="1">
        <f t="array" ref="CJP3">GetValue("Dmn","Name",CJP2)</f>
        <v/>
      </c>
      <c r="CJQ3" s="1" t="str" cm="1">
        <f t="array" ref="CJQ3">GetValue("Dmn","Name",CJQ2)</f>
        <v/>
      </c>
      <c r="CJR3" s="1" t="str" cm="1">
        <f t="array" ref="CJR3">GetValue("Dmn","Name",CJR2)</f>
        <v/>
      </c>
      <c r="CJS3" s="1" t="str" cm="1">
        <f t="array" ref="CJS3">GetValue("Dmn","Name",CJS2)</f>
        <v/>
      </c>
      <c r="CJT3" s="1" t="str" cm="1">
        <f t="array" ref="CJT3">GetValue("Dmn","Name",CJT2)</f>
        <v/>
      </c>
      <c r="CJU3" s="1" t="str" cm="1">
        <f t="array" ref="CJU3">GetValue("Dmn","Name",CJU2)</f>
        <v/>
      </c>
      <c r="CJV3" s="1" t="str" cm="1">
        <f t="array" ref="CJV3">GetValue("Dmn","Name",CJV2)</f>
        <v/>
      </c>
      <c r="CJW3" s="1" t="str" cm="1">
        <f t="array" ref="CJW3">GetValue("Dmn","Name",CJW2)</f>
        <v/>
      </c>
      <c r="CJX3" s="1" t="str" cm="1">
        <f t="array" ref="CJX3">GetValue("Dmn","Name",CJX2)</f>
        <v/>
      </c>
      <c r="CJY3" s="1" t="str" cm="1">
        <f t="array" ref="CJY3">GetValue("Dmn","Name",CJY2)</f>
        <v/>
      </c>
      <c r="CJZ3" s="1" t="str" cm="1">
        <f t="array" ref="CJZ3">GetValue("Dmn","Name",CJZ2)</f>
        <v/>
      </c>
      <c r="CKA3" s="1" t="str" cm="1">
        <f t="array" ref="CKA3">GetValue("Dmn","Name",CKA2)</f>
        <v/>
      </c>
      <c r="CKB3" s="1" t="str" cm="1">
        <f t="array" ref="CKB3">GetValue("Dmn","Name",CKB2)</f>
        <v/>
      </c>
      <c r="CKC3" s="1" t="str" cm="1">
        <f t="array" ref="CKC3">GetValue("Dmn","Name",CKC2)</f>
        <v/>
      </c>
      <c r="CKD3" s="1" t="str" cm="1">
        <f t="array" ref="CKD3">GetValue("Dmn","Name",CKD2)</f>
        <v/>
      </c>
      <c r="CKE3" s="1" t="str" cm="1">
        <f t="array" ref="CKE3">GetValue("Dmn","Name",CKE2)</f>
        <v/>
      </c>
      <c r="CKF3" s="1" t="str" cm="1">
        <f t="array" ref="CKF3">GetValue("Dmn","Name",CKF2)</f>
        <v/>
      </c>
      <c r="CKG3" s="1" t="str" cm="1">
        <f t="array" ref="CKG3">GetValue("Dmn","Name",CKG2)</f>
        <v/>
      </c>
      <c r="CKH3" s="1" t="str" cm="1">
        <f t="array" ref="CKH3">GetValue("Dmn","Name",CKH2)</f>
        <v/>
      </c>
      <c r="CKI3" s="1" t="str" cm="1">
        <f t="array" ref="CKI3">GetValue("Dmn","Name",CKI2)</f>
        <v/>
      </c>
      <c r="CKJ3" s="1" t="str" cm="1">
        <f t="array" ref="CKJ3">GetValue("Dmn","Name",CKJ2)</f>
        <v/>
      </c>
      <c r="CKK3" s="1" t="str" cm="1">
        <f t="array" ref="CKK3">GetValue("Dmn","Name",CKK2)</f>
        <v/>
      </c>
      <c r="CKL3" s="1" t="str" cm="1">
        <f t="array" ref="CKL3">GetValue("Dmn","Name",CKL2)</f>
        <v/>
      </c>
      <c r="CKM3" s="1" t="str" cm="1">
        <f t="array" ref="CKM3">GetValue("Dmn","Name",CKM2)</f>
        <v/>
      </c>
      <c r="CKN3" s="1" t="str" cm="1">
        <f t="array" ref="CKN3">GetValue("Dmn","Name",CKN2)</f>
        <v/>
      </c>
      <c r="CKO3" s="1" t="str" cm="1">
        <f t="array" ref="CKO3">GetValue("Dmn","Name",CKO2)</f>
        <v/>
      </c>
      <c r="CKP3" s="1" t="str" cm="1">
        <f t="array" ref="CKP3">GetValue("Dmn","Name",CKP2)</f>
        <v/>
      </c>
      <c r="CKQ3" s="1" t="str" cm="1">
        <f t="array" ref="CKQ3">GetValue("Dmn","Name",CKQ2)</f>
        <v/>
      </c>
      <c r="CKR3" s="1" t="str" cm="1">
        <f t="array" ref="CKR3">GetValue("Dmn","Name",CKR2)</f>
        <v/>
      </c>
      <c r="CKS3" s="1" t="str" cm="1">
        <f t="array" ref="CKS3">GetValue("Dmn","Name",CKS2)</f>
        <v/>
      </c>
      <c r="CKT3" s="1" t="str" cm="1">
        <f t="array" ref="CKT3">GetValue("Dmn","Name",CKT2)</f>
        <v/>
      </c>
      <c r="CKU3" s="1" t="str" cm="1">
        <f t="array" ref="CKU3">GetValue("Dmn","Name",CKU2)</f>
        <v/>
      </c>
      <c r="CKV3" s="1" t="str" cm="1">
        <f t="array" ref="CKV3">GetValue("Dmn","Name",CKV2)</f>
        <v/>
      </c>
      <c r="CKW3" s="1" t="str" cm="1">
        <f t="array" ref="CKW3">GetValue("Dmn","Name",CKW2)</f>
        <v/>
      </c>
      <c r="CKX3" s="1" t="str" cm="1">
        <f t="array" ref="CKX3">GetValue("Dmn","Name",CKX2)</f>
        <v/>
      </c>
      <c r="CKY3" s="1" t="str" cm="1">
        <f t="array" ref="CKY3">GetValue("Dmn","Name",CKY2)</f>
        <v/>
      </c>
      <c r="CKZ3" s="1" t="str" cm="1">
        <f t="array" ref="CKZ3">GetValue("Dmn","Name",CKZ2)</f>
        <v/>
      </c>
      <c r="CLA3" s="1" t="str" cm="1">
        <f t="array" ref="CLA3">GetValue("Dmn","Name",CLA2)</f>
        <v/>
      </c>
      <c r="CLB3" s="1" t="str" cm="1">
        <f t="array" ref="CLB3">GetValue("Dmn","Name",CLB2)</f>
        <v/>
      </c>
      <c r="CLC3" s="1" t="str" cm="1">
        <f t="array" ref="CLC3">GetValue("Dmn","Name",CLC2)</f>
        <v/>
      </c>
      <c r="CLD3" s="1" t="str" cm="1">
        <f t="array" ref="CLD3">GetValue("Dmn","Name",CLD2)</f>
        <v/>
      </c>
      <c r="CLE3" s="1" t="str" cm="1">
        <f t="array" ref="CLE3">GetValue("Dmn","Name",CLE2)</f>
        <v/>
      </c>
      <c r="CLF3" s="1" t="str" cm="1">
        <f t="array" ref="CLF3">GetValue("Dmn","Name",CLF2)</f>
        <v/>
      </c>
      <c r="CLG3" s="1" t="str" cm="1">
        <f t="array" ref="CLG3">GetValue("Dmn","Name",CLG2)</f>
        <v/>
      </c>
      <c r="CLH3" s="1" t="str" cm="1">
        <f t="array" ref="CLH3">GetValue("Dmn","Name",CLH2)</f>
        <v/>
      </c>
      <c r="CLI3" s="1" t="str" cm="1">
        <f t="array" ref="CLI3">GetValue("Dmn","Name",CLI2)</f>
        <v/>
      </c>
      <c r="CLJ3" s="1" t="str" cm="1">
        <f t="array" ref="CLJ3">GetValue("Dmn","Name",CLJ2)</f>
        <v/>
      </c>
      <c r="CLK3" s="1" t="str" cm="1">
        <f t="array" ref="CLK3">GetValue("Dmn","Name",CLK2)</f>
        <v/>
      </c>
      <c r="CLL3" s="1" t="str" cm="1">
        <f t="array" ref="CLL3">GetValue("Dmn","Name",CLL2)</f>
        <v/>
      </c>
      <c r="CLM3" s="1" t="str" cm="1">
        <f t="array" ref="CLM3">GetValue("Dmn","Name",CLM2)</f>
        <v/>
      </c>
      <c r="CLN3" s="1" t="str" cm="1">
        <f t="array" ref="CLN3">GetValue("Dmn","Name",CLN2)</f>
        <v/>
      </c>
      <c r="CLO3" s="1" t="str" cm="1">
        <f t="array" ref="CLO3">GetValue("Dmn","Name",CLO2)</f>
        <v/>
      </c>
      <c r="CLP3" s="1" t="str" cm="1">
        <f t="array" ref="CLP3">GetValue("Dmn","Name",CLP2)</f>
        <v/>
      </c>
      <c r="CLQ3" s="1" t="str" cm="1">
        <f t="array" ref="CLQ3">GetValue("Dmn","Name",CLQ2)</f>
        <v/>
      </c>
      <c r="CLR3" s="1" t="str" cm="1">
        <f t="array" ref="CLR3">GetValue("Dmn","Name",CLR2)</f>
        <v/>
      </c>
      <c r="CLS3" s="1" t="str" cm="1">
        <f t="array" ref="CLS3">GetValue("Dmn","Name",CLS2)</f>
        <v/>
      </c>
      <c r="CLT3" s="1" t="str" cm="1">
        <f t="array" ref="CLT3">GetValue("Dmn","Name",CLT2)</f>
        <v/>
      </c>
      <c r="CLU3" s="1" t="str" cm="1">
        <f t="array" ref="CLU3">GetValue("Dmn","Name",CLU2)</f>
        <v/>
      </c>
      <c r="CLV3" s="1" t="str" cm="1">
        <f t="array" ref="CLV3">GetValue("Dmn","Name",CLV2)</f>
        <v/>
      </c>
      <c r="CLW3" s="1" t="str" cm="1">
        <f t="array" ref="CLW3">GetValue("Dmn","Name",CLW2)</f>
        <v/>
      </c>
      <c r="CLX3" s="1" t="str" cm="1">
        <f t="array" ref="CLX3">GetValue("Dmn","Name",CLX2)</f>
        <v/>
      </c>
      <c r="CLY3" s="1" t="str" cm="1">
        <f t="array" ref="CLY3">GetValue("Dmn","Name",CLY2)</f>
        <v/>
      </c>
      <c r="CLZ3" s="1" t="str" cm="1">
        <f t="array" ref="CLZ3">GetValue("Dmn","Name",CLZ2)</f>
        <v/>
      </c>
      <c r="CMA3" s="1" t="str" cm="1">
        <f t="array" ref="CMA3">GetValue("Dmn","Name",CMA2)</f>
        <v/>
      </c>
      <c r="CMB3" s="1" t="str" cm="1">
        <f t="array" ref="CMB3">GetValue("Dmn","Name",CMB2)</f>
        <v/>
      </c>
      <c r="CMC3" s="1" t="str" cm="1">
        <f t="array" ref="CMC3">GetValue("Dmn","Name",CMC2)</f>
        <v/>
      </c>
      <c r="CMD3" s="1" t="str" cm="1">
        <f t="array" ref="CMD3">GetValue("Dmn","Name",CMD2)</f>
        <v/>
      </c>
      <c r="CME3" s="1" t="str" cm="1">
        <f t="array" ref="CME3">GetValue("Dmn","Name",CME2)</f>
        <v/>
      </c>
      <c r="CMF3" s="1" t="str" cm="1">
        <f t="array" ref="CMF3">GetValue("Dmn","Name",CMF2)</f>
        <v/>
      </c>
      <c r="CMG3" s="1" t="str" cm="1">
        <f t="array" ref="CMG3">GetValue("Dmn","Name",CMG2)</f>
        <v/>
      </c>
      <c r="CMH3" s="1" t="str" cm="1">
        <f t="array" ref="CMH3">GetValue("Dmn","Name",CMH2)</f>
        <v/>
      </c>
      <c r="CMI3" s="1" t="str" cm="1">
        <f t="array" ref="CMI3">GetValue("Dmn","Name",CMI2)</f>
        <v/>
      </c>
      <c r="CMJ3" s="1" t="str" cm="1">
        <f t="array" ref="CMJ3">GetValue("Dmn","Name",CMJ2)</f>
        <v/>
      </c>
      <c r="CMK3" s="1" t="str" cm="1">
        <f t="array" ref="CMK3">GetValue("Dmn","Name",CMK2)</f>
        <v/>
      </c>
      <c r="CML3" s="1" t="str" cm="1">
        <f t="array" ref="CML3">GetValue("Dmn","Name",CML2)</f>
        <v/>
      </c>
      <c r="CMM3" s="1" t="str" cm="1">
        <f t="array" ref="CMM3">GetValue("Dmn","Name",CMM2)</f>
        <v/>
      </c>
      <c r="CMN3" s="1" t="str" cm="1">
        <f t="array" ref="CMN3">GetValue("Dmn","Name",CMN2)</f>
        <v/>
      </c>
      <c r="CMO3" s="1" t="str" cm="1">
        <f t="array" ref="CMO3">GetValue("Dmn","Name",CMO2)</f>
        <v/>
      </c>
      <c r="CMP3" s="1" t="str" cm="1">
        <f t="array" ref="CMP3">GetValue("Dmn","Name",CMP2)</f>
        <v/>
      </c>
      <c r="CMQ3" s="1" t="str" cm="1">
        <f t="array" ref="CMQ3">GetValue("Dmn","Name",CMQ2)</f>
        <v/>
      </c>
      <c r="CMR3" s="1" t="str" cm="1">
        <f t="array" ref="CMR3">GetValue("Dmn","Name",CMR2)</f>
        <v/>
      </c>
      <c r="CMS3" s="1" t="str" cm="1">
        <f t="array" ref="CMS3">GetValue("Dmn","Name",CMS2)</f>
        <v/>
      </c>
      <c r="CMT3" s="1" t="str" cm="1">
        <f t="array" ref="CMT3">GetValue("Dmn","Name",CMT2)</f>
        <v/>
      </c>
      <c r="CMU3" s="1" t="str" cm="1">
        <f t="array" ref="CMU3">GetValue("Dmn","Name",CMU2)</f>
        <v/>
      </c>
      <c r="CMV3" s="1" t="str" cm="1">
        <f t="array" ref="CMV3">GetValue("Dmn","Name",CMV2)</f>
        <v/>
      </c>
      <c r="CMW3" s="1" t="str" cm="1">
        <f t="array" ref="CMW3">GetValue("Dmn","Name",CMW2)</f>
        <v/>
      </c>
      <c r="CMX3" s="1" t="str" cm="1">
        <f t="array" ref="CMX3">GetValue("Dmn","Name",CMX2)</f>
        <v/>
      </c>
      <c r="CMY3" s="1" t="str" cm="1">
        <f t="array" ref="CMY3">GetValue("Dmn","Name",CMY2)</f>
        <v/>
      </c>
      <c r="CMZ3" s="1" t="str" cm="1">
        <f t="array" ref="CMZ3">GetValue("Dmn","Name",CMZ2)</f>
        <v/>
      </c>
      <c r="CNA3" s="1" t="str" cm="1">
        <f t="array" ref="CNA3">GetValue("Dmn","Name",CNA2)</f>
        <v/>
      </c>
      <c r="CNB3" s="1" t="str" cm="1">
        <f t="array" ref="CNB3">GetValue("Dmn","Name",CNB2)</f>
        <v/>
      </c>
      <c r="CNC3" s="1" t="str" cm="1">
        <f t="array" ref="CNC3">GetValue("Dmn","Name",CNC2)</f>
        <v/>
      </c>
      <c r="CND3" s="1" t="str" cm="1">
        <f t="array" ref="CND3">GetValue("Dmn","Name",CND2)</f>
        <v/>
      </c>
      <c r="CNE3" s="1" t="str" cm="1">
        <f t="array" ref="CNE3">GetValue("Dmn","Name",CNE2)</f>
        <v/>
      </c>
      <c r="CNF3" s="1" t="str" cm="1">
        <f t="array" ref="CNF3">GetValue("Dmn","Name",CNF2)</f>
        <v/>
      </c>
      <c r="CNG3" s="1" t="str" cm="1">
        <f t="array" ref="CNG3">GetValue("Dmn","Name",CNG2)</f>
        <v/>
      </c>
      <c r="CNH3" s="1" t="str" cm="1">
        <f t="array" ref="CNH3">GetValue("Dmn","Name",CNH2)</f>
        <v/>
      </c>
      <c r="CNI3" s="1" t="str" cm="1">
        <f t="array" ref="CNI3">GetValue("Dmn","Name",CNI2)</f>
        <v/>
      </c>
      <c r="CNJ3" s="1" t="str" cm="1">
        <f t="array" ref="CNJ3">GetValue("Dmn","Name",CNJ2)</f>
        <v/>
      </c>
      <c r="CNK3" s="1" t="str" cm="1">
        <f t="array" ref="CNK3">GetValue("Dmn","Name",CNK2)</f>
        <v/>
      </c>
      <c r="CNL3" s="1" t="str" cm="1">
        <f t="array" ref="CNL3">GetValue("Dmn","Name",CNL2)</f>
        <v/>
      </c>
      <c r="CNM3" s="1" t="str" cm="1">
        <f t="array" ref="CNM3">GetValue("Dmn","Name",CNM2)</f>
        <v/>
      </c>
      <c r="CNN3" s="1" t="str" cm="1">
        <f t="array" ref="CNN3">GetValue("Dmn","Name",CNN2)</f>
        <v/>
      </c>
      <c r="CNO3" s="1" t="str" cm="1">
        <f t="array" ref="CNO3">GetValue("Dmn","Name",CNO2)</f>
        <v/>
      </c>
      <c r="CNP3" s="1" t="str" cm="1">
        <f t="array" ref="CNP3">GetValue("Dmn","Name",CNP2)</f>
        <v/>
      </c>
      <c r="CNQ3" s="1" t="str" cm="1">
        <f t="array" ref="CNQ3">GetValue("Dmn","Name",CNQ2)</f>
        <v/>
      </c>
      <c r="CNR3" s="1" t="str" cm="1">
        <f t="array" ref="CNR3">GetValue("Dmn","Name",CNR2)</f>
        <v/>
      </c>
      <c r="CNS3" s="1" t="str" cm="1">
        <f t="array" ref="CNS3">GetValue("Dmn","Name",CNS2)</f>
        <v/>
      </c>
      <c r="CNT3" s="1" t="str" cm="1">
        <f t="array" ref="CNT3">GetValue("Dmn","Name",CNT2)</f>
        <v/>
      </c>
      <c r="CNU3" s="1" t="str" cm="1">
        <f t="array" ref="CNU3">GetValue("Dmn","Name",CNU2)</f>
        <v/>
      </c>
      <c r="CNV3" s="1" t="str" cm="1">
        <f t="array" ref="CNV3">GetValue("Dmn","Name",CNV2)</f>
        <v/>
      </c>
      <c r="CNW3" s="1" t="str" cm="1">
        <f t="array" ref="CNW3">GetValue("Dmn","Name",CNW2)</f>
        <v/>
      </c>
      <c r="CNX3" s="1" t="str" cm="1">
        <f t="array" ref="CNX3">GetValue("Dmn","Name",CNX2)</f>
        <v/>
      </c>
      <c r="CNY3" s="1" t="str" cm="1">
        <f t="array" ref="CNY3">GetValue("Dmn","Name",CNY2)</f>
        <v/>
      </c>
      <c r="CNZ3" s="1" t="str" cm="1">
        <f t="array" ref="CNZ3">GetValue("Dmn","Name",CNZ2)</f>
        <v/>
      </c>
      <c r="COA3" s="1" t="str" cm="1">
        <f t="array" ref="COA3">GetValue("Dmn","Name",COA2)</f>
        <v/>
      </c>
      <c r="COB3" s="1" t="str" cm="1">
        <f t="array" ref="COB3">GetValue("Dmn","Name",COB2)</f>
        <v/>
      </c>
      <c r="COC3" s="1" t="str" cm="1">
        <f t="array" ref="COC3">GetValue("Dmn","Name",COC2)</f>
        <v/>
      </c>
      <c r="COD3" s="1" t="str" cm="1">
        <f t="array" ref="COD3">GetValue("Dmn","Name",COD2)</f>
        <v/>
      </c>
      <c r="COE3" s="1" t="str" cm="1">
        <f t="array" ref="COE3">GetValue("Dmn","Name",COE2)</f>
        <v/>
      </c>
      <c r="COF3" s="1" t="str" cm="1">
        <f t="array" ref="COF3">GetValue("Dmn","Name",COF2)</f>
        <v/>
      </c>
      <c r="COG3" s="1" t="str" cm="1">
        <f t="array" ref="COG3">GetValue("Dmn","Name",COG2)</f>
        <v/>
      </c>
      <c r="COH3" s="1" t="str" cm="1">
        <f t="array" ref="COH3">GetValue("Dmn","Name",COH2)</f>
        <v/>
      </c>
      <c r="COI3" s="1" t="str" cm="1">
        <f t="array" ref="COI3">GetValue("Dmn","Name",COI2)</f>
        <v/>
      </c>
      <c r="COJ3" s="1" t="str" cm="1">
        <f t="array" ref="COJ3">GetValue("Dmn","Name",COJ2)</f>
        <v/>
      </c>
      <c r="COK3" s="1" t="str" cm="1">
        <f t="array" ref="COK3">GetValue("Dmn","Name",COK2)</f>
        <v/>
      </c>
      <c r="COL3" s="1" t="str" cm="1">
        <f t="array" ref="COL3">GetValue("Dmn","Name",COL2)</f>
        <v/>
      </c>
      <c r="COM3" s="1" t="str" cm="1">
        <f t="array" ref="COM3">GetValue("Dmn","Name",COM2)</f>
        <v/>
      </c>
      <c r="CON3" s="1" t="str" cm="1">
        <f t="array" ref="CON3">GetValue("Dmn","Name",CON2)</f>
        <v/>
      </c>
      <c r="COO3" s="1" t="str" cm="1">
        <f t="array" ref="COO3">GetValue("Dmn","Name",COO2)</f>
        <v/>
      </c>
      <c r="COP3" s="1" t="str" cm="1">
        <f t="array" ref="COP3">GetValue("Dmn","Name",COP2)</f>
        <v/>
      </c>
      <c r="COQ3" s="1" t="str" cm="1">
        <f t="array" ref="COQ3">GetValue("Dmn","Name",COQ2)</f>
        <v/>
      </c>
      <c r="COR3" s="1" t="str" cm="1">
        <f t="array" ref="COR3">GetValue("Dmn","Name",COR2)</f>
        <v/>
      </c>
      <c r="COS3" s="1" t="str" cm="1">
        <f t="array" ref="COS3">GetValue("Dmn","Name",COS2)</f>
        <v/>
      </c>
      <c r="COT3" s="1" t="str" cm="1">
        <f t="array" ref="COT3">GetValue("Dmn","Name",COT2)</f>
        <v/>
      </c>
      <c r="COU3" s="1" t="str" cm="1">
        <f t="array" ref="COU3">GetValue("Dmn","Name",COU2)</f>
        <v/>
      </c>
      <c r="COV3" s="1" t="str" cm="1">
        <f t="array" ref="COV3">GetValue("Dmn","Name",COV2)</f>
        <v/>
      </c>
      <c r="COW3" s="1" t="str" cm="1">
        <f t="array" ref="COW3">GetValue("Dmn","Name",COW2)</f>
        <v/>
      </c>
      <c r="COX3" s="1" t="str" cm="1">
        <f t="array" ref="COX3">GetValue("Dmn","Name",COX2)</f>
        <v/>
      </c>
      <c r="COY3" s="1" t="str" cm="1">
        <f t="array" ref="COY3">GetValue("Dmn","Name",COY2)</f>
        <v/>
      </c>
      <c r="COZ3" s="1" t="str" cm="1">
        <f t="array" ref="COZ3">GetValue("Dmn","Name",COZ2)</f>
        <v/>
      </c>
      <c r="CPA3" s="1" t="str" cm="1">
        <f t="array" ref="CPA3">GetValue("Dmn","Name",CPA2)</f>
        <v/>
      </c>
      <c r="CPB3" s="1" t="str" cm="1">
        <f t="array" ref="CPB3">GetValue("Dmn","Name",CPB2)</f>
        <v/>
      </c>
      <c r="CPC3" s="1" t="str" cm="1">
        <f t="array" ref="CPC3">GetValue("Dmn","Name",CPC2)</f>
        <v/>
      </c>
      <c r="CPD3" s="1" t="str" cm="1">
        <f t="array" ref="CPD3">GetValue("Dmn","Name",CPD2)</f>
        <v/>
      </c>
      <c r="CPE3" s="1" t="str" cm="1">
        <f t="array" ref="CPE3">GetValue("Dmn","Name",CPE2)</f>
        <v/>
      </c>
      <c r="CPF3" s="1" t="str" cm="1">
        <f t="array" ref="CPF3">GetValue("Dmn","Name",CPF2)</f>
        <v/>
      </c>
      <c r="CPG3" s="1" t="str" cm="1">
        <f t="array" ref="CPG3">GetValue("Dmn","Name",CPG2)</f>
        <v/>
      </c>
      <c r="CPH3" s="1" t="str" cm="1">
        <f t="array" ref="CPH3">GetValue("Dmn","Name",CPH2)</f>
        <v/>
      </c>
      <c r="CPI3" s="1" t="str" cm="1">
        <f t="array" ref="CPI3">GetValue("Dmn","Name",CPI2)</f>
        <v/>
      </c>
      <c r="CPJ3" s="1" t="str" cm="1">
        <f t="array" ref="CPJ3">GetValue("Dmn","Name",CPJ2)</f>
        <v/>
      </c>
      <c r="CPK3" s="1" t="str" cm="1">
        <f t="array" ref="CPK3">GetValue("Dmn","Name",CPK2)</f>
        <v/>
      </c>
      <c r="CPL3" s="1" t="str" cm="1">
        <f t="array" ref="CPL3">GetValue("Dmn","Name",CPL2)</f>
        <v/>
      </c>
      <c r="CPM3" s="1" t="str" cm="1">
        <f t="array" ref="CPM3">GetValue("Dmn","Name",CPM2)</f>
        <v/>
      </c>
      <c r="CPN3" s="1" t="str" cm="1">
        <f t="array" ref="CPN3">GetValue("Dmn","Name",CPN2)</f>
        <v/>
      </c>
      <c r="CPO3" s="1" t="str" cm="1">
        <f t="array" ref="CPO3">GetValue("Dmn","Name",CPO2)</f>
        <v/>
      </c>
      <c r="CPP3" s="1" t="str" cm="1">
        <f t="array" ref="CPP3">GetValue("Dmn","Name",CPP2)</f>
        <v/>
      </c>
      <c r="CPQ3" s="1" t="str" cm="1">
        <f t="array" ref="CPQ3">GetValue("Dmn","Name",CPQ2)</f>
        <v/>
      </c>
      <c r="CPR3" s="1" t="str" cm="1">
        <f t="array" ref="CPR3">GetValue("Dmn","Name",CPR2)</f>
        <v/>
      </c>
      <c r="CPS3" s="1" t="str" cm="1">
        <f t="array" ref="CPS3">GetValue("Dmn","Name",CPS2)</f>
        <v/>
      </c>
      <c r="CPT3" s="1" t="str" cm="1">
        <f t="array" ref="CPT3">GetValue("Dmn","Name",CPT2)</f>
        <v/>
      </c>
      <c r="CPU3" s="1" t="str" cm="1">
        <f t="array" ref="CPU3">GetValue("Dmn","Name",CPU2)</f>
        <v/>
      </c>
      <c r="CPV3" s="1" t="str" cm="1">
        <f t="array" ref="CPV3">GetValue("Dmn","Name",CPV2)</f>
        <v/>
      </c>
      <c r="CPW3" s="1" t="str" cm="1">
        <f t="array" ref="CPW3">GetValue("Dmn","Name",CPW2)</f>
        <v/>
      </c>
      <c r="CPX3" s="1" t="str" cm="1">
        <f t="array" ref="CPX3">GetValue("Dmn","Name",CPX2)</f>
        <v/>
      </c>
      <c r="CPY3" s="1" t="str" cm="1">
        <f t="array" ref="CPY3">GetValue("Dmn","Name",CPY2)</f>
        <v/>
      </c>
      <c r="CPZ3" s="1" t="str" cm="1">
        <f t="array" ref="CPZ3">GetValue("Dmn","Name",CPZ2)</f>
        <v/>
      </c>
      <c r="CQA3" s="1" t="str" cm="1">
        <f t="array" ref="CQA3">GetValue("Dmn","Name",CQA2)</f>
        <v/>
      </c>
      <c r="CQB3" s="1" t="str" cm="1">
        <f t="array" ref="CQB3">GetValue("Dmn","Name",CQB2)</f>
        <v/>
      </c>
      <c r="CQC3" s="1" t="str" cm="1">
        <f t="array" ref="CQC3">GetValue("Dmn","Name",CQC2)</f>
        <v/>
      </c>
      <c r="CQD3" s="1" t="str" cm="1">
        <f t="array" ref="CQD3">GetValue("Dmn","Name",CQD2)</f>
        <v/>
      </c>
      <c r="CQE3" s="1" t="str" cm="1">
        <f t="array" ref="CQE3">GetValue("Dmn","Name",CQE2)</f>
        <v/>
      </c>
      <c r="CQF3" s="1" t="str" cm="1">
        <f t="array" ref="CQF3">GetValue("Dmn","Name",CQF2)</f>
        <v/>
      </c>
      <c r="CQG3" s="1" t="str" cm="1">
        <f t="array" ref="CQG3">GetValue("Dmn","Name",CQG2)</f>
        <v/>
      </c>
      <c r="CQH3" s="1" t="str" cm="1">
        <f t="array" ref="CQH3">GetValue("Dmn","Name",CQH2)</f>
        <v/>
      </c>
      <c r="CQI3" s="1" t="str" cm="1">
        <f t="array" ref="CQI3">GetValue("Dmn","Name",CQI2)</f>
        <v/>
      </c>
      <c r="CQJ3" s="1" t="str" cm="1">
        <f t="array" ref="CQJ3">GetValue("Dmn","Name",CQJ2)</f>
        <v/>
      </c>
      <c r="CQK3" s="1" t="str" cm="1">
        <f t="array" ref="CQK3">GetValue("Dmn","Name",CQK2)</f>
        <v/>
      </c>
      <c r="CQL3" s="1" t="str" cm="1">
        <f t="array" ref="CQL3">GetValue("Dmn","Name",CQL2)</f>
        <v/>
      </c>
      <c r="CQM3" s="1" t="str" cm="1">
        <f t="array" ref="CQM3">GetValue("Dmn","Name",CQM2)</f>
        <v/>
      </c>
      <c r="CQN3" s="1" t="str" cm="1">
        <f t="array" ref="CQN3">GetValue("Dmn","Name",CQN2)</f>
        <v/>
      </c>
      <c r="CQO3" s="1" t="str" cm="1">
        <f t="array" ref="CQO3">GetValue("Dmn","Name",CQO2)</f>
        <v/>
      </c>
      <c r="CQP3" s="1" t="str" cm="1">
        <f t="array" ref="CQP3">GetValue("Dmn","Name",CQP2)</f>
        <v/>
      </c>
      <c r="CQQ3" s="1" t="str" cm="1">
        <f t="array" ref="CQQ3">GetValue("Dmn","Name",CQQ2)</f>
        <v/>
      </c>
      <c r="CQR3" s="1" t="str" cm="1">
        <f t="array" ref="CQR3">GetValue("Dmn","Name",CQR2)</f>
        <v/>
      </c>
      <c r="CQS3" s="1" t="str" cm="1">
        <f t="array" ref="CQS3">GetValue("Dmn","Name",CQS2)</f>
        <v/>
      </c>
      <c r="CQT3" s="1" t="str" cm="1">
        <f t="array" ref="CQT3">GetValue("Dmn","Name",CQT2)</f>
        <v/>
      </c>
      <c r="CQU3" s="1" t="str" cm="1">
        <f t="array" ref="CQU3">GetValue("Dmn","Name",CQU2)</f>
        <v/>
      </c>
      <c r="CQV3" s="1" t="str" cm="1">
        <f t="array" ref="CQV3">GetValue("Dmn","Name",CQV2)</f>
        <v/>
      </c>
      <c r="CQW3" s="1" t="str" cm="1">
        <f t="array" ref="CQW3">GetValue("Dmn","Name",CQW2)</f>
        <v/>
      </c>
      <c r="CQX3" s="1" t="str" cm="1">
        <f t="array" ref="CQX3">GetValue("Dmn","Name",CQX2)</f>
        <v/>
      </c>
      <c r="CQY3" s="1" t="str" cm="1">
        <f t="array" ref="CQY3">GetValue("Dmn","Name",CQY2)</f>
        <v/>
      </c>
      <c r="CQZ3" s="1" t="str" cm="1">
        <f t="array" ref="CQZ3">GetValue("Dmn","Name",CQZ2)</f>
        <v/>
      </c>
      <c r="CRA3" s="1" t="str" cm="1">
        <f t="array" ref="CRA3">GetValue("Dmn","Name",CRA2)</f>
        <v/>
      </c>
      <c r="CRB3" s="1" t="str" cm="1">
        <f t="array" ref="CRB3">GetValue("Dmn","Name",CRB2)</f>
        <v/>
      </c>
      <c r="CRC3" s="1" t="str" cm="1">
        <f t="array" ref="CRC3">GetValue("Dmn","Name",CRC2)</f>
        <v/>
      </c>
      <c r="CRD3" s="1" t="str" cm="1">
        <f t="array" ref="CRD3">GetValue("Dmn","Name",CRD2)</f>
        <v/>
      </c>
      <c r="CRE3" s="1" t="str" cm="1">
        <f t="array" ref="CRE3">GetValue("Dmn","Name",CRE2)</f>
        <v/>
      </c>
      <c r="CRF3" s="1" t="str" cm="1">
        <f t="array" ref="CRF3">GetValue("Dmn","Name",CRF2)</f>
        <v/>
      </c>
      <c r="CRG3" s="1" t="str" cm="1">
        <f t="array" ref="CRG3">GetValue("Dmn","Name",CRG2)</f>
        <v/>
      </c>
      <c r="CRH3" s="1" t="str" cm="1">
        <f t="array" ref="CRH3">GetValue("Dmn","Name",CRH2)</f>
        <v/>
      </c>
      <c r="CRI3" s="1" t="str" cm="1">
        <f t="array" ref="CRI3">GetValue("Dmn","Name",CRI2)</f>
        <v/>
      </c>
      <c r="CRJ3" s="1" t="str" cm="1">
        <f t="array" ref="CRJ3">GetValue("Dmn","Name",CRJ2)</f>
        <v/>
      </c>
      <c r="CRK3" s="1" t="str" cm="1">
        <f t="array" ref="CRK3">GetValue("Dmn","Name",CRK2)</f>
        <v/>
      </c>
      <c r="CRL3" s="1" t="str" cm="1">
        <f t="array" ref="CRL3">GetValue("Dmn","Name",CRL2)</f>
        <v/>
      </c>
      <c r="CRM3" s="1" t="str" cm="1">
        <f t="array" ref="CRM3">GetValue("Dmn","Name",CRM2)</f>
        <v/>
      </c>
      <c r="CRN3" s="1" t="str" cm="1">
        <f t="array" ref="CRN3">GetValue("Dmn","Name",CRN2)</f>
        <v/>
      </c>
      <c r="CRO3" s="1" t="str" cm="1">
        <f t="array" ref="CRO3">GetValue("Dmn","Name",CRO2)</f>
        <v/>
      </c>
      <c r="CRP3" s="1" t="str" cm="1">
        <f t="array" ref="CRP3">GetValue("Dmn","Name",CRP2)</f>
        <v/>
      </c>
      <c r="CRQ3" s="1" t="str" cm="1">
        <f t="array" ref="CRQ3">GetValue("Dmn","Name",CRQ2)</f>
        <v/>
      </c>
      <c r="CRR3" s="1" t="str" cm="1">
        <f t="array" ref="CRR3">GetValue("Dmn","Name",CRR2)</f>
        <v/>
      </c>
      <c r="CRS3" s="1" t="str" cm="1">
        <f t="array" ref="CRS3">GetValue("Dmn","Name",CRS2)</f>
        <v/>
      </c>
      <c r="CRT3" s="1" t="str" cm="1">
        <f t="array" ref="CRT3">GetValue("Dmn","Name",CRT2)</f>
        <v/>
      </c>
      <c r="CRU3" s="1" t="str" cm="1">
        <f t="array" ref="CRU3">GetValue("Dmn","Name",CRU2)</f>
        <v/>
      </c>
      <c r="CRV3" s="1" t="str" cm="1">
        <f t="array" ref="CRV3">GetValue("Dmn","Name",CRV2)</f>
        <v/>
      </c>
      <c r="CRW3" s="1" t="str" cm="1">
        <f t="array" ref="CRW3">GetValue("Dmn","Name",CRW2)</f>
        <v/>
      </c>
      <c r="CRX3" s="1" t="str" cm="1">
        <f t="array" ref="CRX3">GetValue("Dmn","Name",CRX2)</f>
        <v/>
      </c>
      <c r="CRY3" s="1" t="str" cm="1">
        <f t="array" ref="CRY3">GetValue("Dmn","Name",CRY2)</f>
        <v/>
      </c>
      <c r="CRZ3" s="1" t="str" cm="1">
        <f t="array" ref="CRZ3">GetValue("Dmn","Name",CRZ2)</f>
        <v/>
      </c>
      <c r="CSA3" s="1" t="str" cm="1">
        <f t="array" ref="CSA3">GetValue("Dmn","Name",CSA2)</f>
        <v/>
      </c>
      <c r="CSB3" s="1" t="str" cm="1">
        <f t="array" ref="CSB3">GetValue("Dmn","Name",CSB2)</f>
        <v/>
      </c>
      <c r="CSC3" s="1" t="str" cm="1">
        <f t="array" ref="CSC3">GetValue("Dmn","Name",CSC2)</f>
        <v/>
      </c>
      <c r="CSD3" s="1" t="str" cm="1">
        <f t="array" ref="CSD3">GetValue("Dmn","Name",CSD2)</f>
        <v/>
      </c>
      <c r="CSE3" s="1" t="str" cm="1">
        <f t="array" ref="CSE3">GetValue("Dmn","Name",CSE2)</f>
        <v/>
      </c>
      <c r="CSF3" s="1" t="str" cm="1">
        <f t="array" ref="CSF3">GetValue("Dmn","Name",CSF2)</f>
        <v/>
      </c>
      <c r="CSG3" s="1" t="str" cm="1">
        <f t="array" ref="CSG3">GetValue("Dmn","Name",CSG2)</f>
        <v/>
      </c>
      <c r="CSH3" s="1" t="str" cm="1">
        <f t="array" ref="CSH3">GetValue("Dmn","Name",CSH2)</f>
        <v/>
      </c>
      <c r="CSI3" s="1" t="str" cm="1">
        <f t="array" ref="CSI3">GetValue("Dmn","Name",CSI2)</f>
        <v/>
      </c>
      <c r="CSJ3" s="1" t="str" cm="1">
        <f t="array" ref="CSJ3">GetValue("Dmn","Name",CSJ2)</f>
        <v/>
      </c>
      <c r="CSK3" s="1" t="str" cm="1">
        <f t="array" ref="CSK3">GetValue("Dmn","Name",CSK2)</f>
        <v/>
      </c>
      <c r="CSL3" s="1" t="str" cm="1">
        <f t="array" ref="CSL3">GetValue("Dmn","Name",CSL2)</f>
        <v/>
      </c>
      <c r="CSM3" s="1" t="str" cm="1">
        <f t="array" ref="CSM3">GetValue("Dmn","Name",CSM2)</f>
        <v/>
      </c>
      <c r="CSN3" s="1" t="str" cm="1">
        <f t="array" ref="CSN3">GetValue("Dmn","Name",CSN2)</f>
        <v/>
      </c>
      <c r="CSO3" s="1" t="str" cm="1">
        <f t="array" ref="CSO3">GetValue("Dmn","Name",CSO2)</f>
        <v/>
      </c>
      <c r="CSP3" s="1" t="str" cm="1">
        <f t="array" ref="CSP3">GetValue("Dmn","Name",CSP2)</f>
        <v/>
      </c>
      <c r="CSQ3" s="1" t="str" cm="1">
        <f t="array" ref="CSQ3">GetValue("Dmn","Name",CSQ2)</f>
        <v/>
      </c>
      <c r="CSR3" s="1" t="str" cm="1">
        <f t="array" ref="CSR3">GetValue("Dmn","Name",CSR2)</f>
        <v/>
      </c>
      <c r="CSS3" s="1" t="str" cm="1">
        <f t="array" ref="CSS3">GetValue("Dmn","Name",CSS2)</f>
        <v/>
      </c>
      <c r="CST3" s="1" t="str" cm="1">
        <f t="array" ref="CST3">GetValue("Dmn","Name",CST2)</f>
        <v/>
      </c>
      <c r="CSU3" s="1" t="str" cm="1">
        <f t="array" ref="CSU3">GetValue("Dmn","Name",CSU2)</f>
        <v/>
      </c>
      <c r="CSV3" s="1" t="str" cm="1">
        <f t="array" ref="CSV3">GetValue("Dmn","Name",CSV2)</f>
        <v/>
      </c>
      <c r="CSW3" s="1" t="str" cm="1">
        <f t="array" ref="CSW3">GetValue("Dmn","Name",CSW2)</f>
        <v/>
      </c>
      <c r="CSX3" s="1" t="str" cm="1">
        <f t="array" ref="CSX3">GetValue("Dmn","Name",CSX2)</f>
        <v/>
      </c>
      <c r="CSY3" s="1" t="str" cm="1">
        <f t="array" ref="CSY3">GetValue("Dmn","Name",CSY2)</f>
        <v/>
      </c>
      <c r="CSZ3" s="1" t="str" cm="1">
        <f t="array" ref="CSZ3">GetValue("Dmn","Name",CSZ2)</f>
        <v/>
      </c>
      <c r="CTA3" s="1" t="str" cm="1">
        <f t="array" ref="CTA3">GetValue("Dmn","Name",CTA2)</f>
        <v/>
      </c>
      <c r="CTB3" s="1" t="str" cm="1">
        <f t="array" ref="CTB3">GetValue("Dmn","Name",CTB2)</f>
        <v/>
      </c>
      <c r="CTC3" s="1" t="str" cm="1">
        <f t="array" ref="CTC3">GetValue("Dmn","Name",CTC2)</f>
        <v/>
      </c>
      <c r="CTD3" s="1" t="str" cm="1">
        <f t="array" ref="CTD3">GetValue("Dmn","Name",CTD2)</f>
        <v/>
      </c>
      <c r="CTE3" s="1" t="str" cm="1">
        <f t="array" ref="CTE3">GetValue("Dmn","Name",CTE2)</f>
        <v/>
      </c>
      <c r="CTF3" s="1" t="str" cm="1">
        <f t="array" ref="CTF3">GetValue("Dmn","Name",CTF2)</f>
        <v/>
      </c>
      <c r="CTG3" s="1" t="str" cm="1">
        <f t="array" ref="CTG3">GetValue("Dmn","Name",CTG2)</f>
        <v/>
      </c>
      <c r="CTH3" s="1" t="str" cm="1">
        <f t="array" ref="CTH3">GetValue("Dmn","Name",CTH2)</f>
        <v/>
      </c>
      <c r="CTI3" s="1" t="str" cm="1">
        <f t="array" ref="CTI3">GetValue("Dmn","Name",CTI2)</f>
        <v/>
      </c>
      <c r="CTJ3" s="1" t="str" cm="1">
        <f t="array" ref="CTJ3">GetValue("Dmn","Name",CTJ2)</f>
        <v/>
      </c>
      <c r="CTK3" s="1" t="str" cm="1">
        <f t="array" ref="CTK3">GetValue("Dmn","Name",CTK2)</f>
        <v/>
      </c>
      <c r="CTL3" s="1" t="str" cm="1">
        <f t="array" ref="CTL3">GetValue("Dmn","Name",CTL2)</f>
        <v/>
      </c>
      <c r="CTM3" s="1" t="str" cm="1">
        <f t="array" ref="CTM3">GetValue("Dmn","Name",CTM2)</f>
        <v/>
      </c>
      <c r="CTN3" s="1" t="str" cm="1">
        <f t="array" ref="CTN3">GetValue("Dmn","Name",CTN2)</f>
        <v/>
      </c>
      <c r="CTO3" s="1" t="str" cm="1">
        <f t="array" ref="CTO3">GetValue("Dmn","Name",CTO2)</f>
        <v/>
      </c>
      <c r="CTP3" s="1" t="str" cm="1">
        <f t="array" ref="CTP3">GetValue("Dmn","Name",CTP2)</f>
        <v/>
      </c>
      <c r="CTQ3" s="1" t="str" cm="1">
        <f t="array" ref="CTQ3">GetValue("Dmn","Name",CTQ2)</f>
        <v/>
      </c>
      <c r="CTR3" s="1" t="str" cm="1">
        <f t="array" ref="CTR3">GetValue("Dmn","Name",CTR2)</f>
        <v/>
      </c>
      <c r="CTS3" s="1" t="str" cm="1">
        <f t="array" ref="CTS3">GetValue("Dmn","Name",CTS2)</f>
        <v/>
      </c>
      <c r="CTT3" s="1" t="str" cm="1">
        <f t="array" ref="CTT3">GetValue("Dmn","Name",CTT2)</f>
        <v/>
      </c>
      <c r="CTU3" s="1" t="str" cm="1">
        <f t="array" ref="CTU3">GetValue("Dmn","Name",CTU2)</f>
        <v/>
      </c>
      <c r="CTV3" s="1" t="str" cm="1">
        <f t="array" ref="CTV3">GetValue("Dmn","Name",CTV2)</f>
        <v/>
      </c>
      <c r="CTW3" s="1" t="str" cm="1">
        <f t="array" ref="CTW3">GetValue("Dmn","Name",CTW2)</f>
        <v/>
      </c>
      <c r="CTX3" s="1" t="str" cm="1">
        <f t="array" ref="CTX3">GetValue("Dmn","Name",CTX2)</f>
        <v/>
      </c>
      <c r="CTY3" s="1" t="str" cm="1">
        <f t="array" ref="CTY3">GetValue("Dmn","Name",CTY2)</f>
        <v/>
      </c>
      <c r="CTZ3" s="1" t="str" cm="1">
        <f t="array" ref="CTZ3">GetValue("Dmn","Name",CTZ2)</f>
        <v/>
      </c>
      <c r="CUA3" s="1" t="str" cm="1">
        <f t="array" ref="CUA3">GetValue("Dmn","Name",CUA2)</f>
        <v/>
      </c>
      <c r="CUB3" s="1" t="str" cm="1">
        <f t="array" ref="CUB3">GetValue("Dmn","Name",CUB2)</f>
        <v/>
      </c>
      <c r="CUC3" s="1" t="str" cm="1">
        <f t="array" ref="CUC3">GetValue("Dmn","Name",CUC2)</f>
        <v/>
      </c>
      <c r="CUD3" s="1" t="str" cm="1">
        <f t="array" ref="CUD3">GetValue("Dmn","Name",CUD2)</f>
        <v/>
      </c>
      <c r="CUE3" s="1" t="str" cm="1">
        <f t="array" ref="CUE3">GetValue("Dmn","Name",CUE2)</f>
        <v/>
      </c>
      <c r="CUF3" s="1" t="str" cm="1">
        <f t="array" ref="CUF3">GetValue("Dmn","Name",CUF2)</f>
        <v/>
      </c>
      <c r="CUG3" s="1" t="str" cm="1">
        <f t="array" ref="CUG3">GetValue("Dmn","Name",CUG2)</f>
        <v/>
      </c>
      <c r="CUH3" s="1" t="str" cm="1">
        <f t="array" ref="CUH3">GetValue("Dmn","Name",CUH2)</f>
        <v/>
      </c>
      <c r="CUI3" s="1" t="str" cm="1">
        <f t="array" ref="CUI3">GetValue("Dmn","Name",CUI2)</f>
        <v/>
      </c>
      <c r="CUJ3" s="1" t="str" cm="1">
        <f t="array" ref="CUJ3">GetValue("Dmn","Name",CUJ2)</f>
        <v/>
      </c>
      <c r="CUK3" s="1" t="str" cm="1">
        <f t="array" ref="CUK3">GetValue("Dmn","Name",CUK2)</f>
        <v/>
      </c>
      <c r="CUL3" s="1" t="str" cm="1">
        <f t="array" ref="CUL3">GetValue("Dmn","Name",CUL2)</f>
        <v/>
      </c>
      <c r="CUM3" s="1" t="str" cm="1">
        <f t="array" ref="CUM3">GetValue("Dmn","Name",CUM2)</f>
        <v/>
      </c>
      <c r="CUN3" s="1" t="str" cm="1">
        <f t="array" ref="CUN3">GetValue("Dmn","Name",CUN2)</f>
        <v/>
      </c>
      <c r="CUO3" s="1" t="str" cm="1">
        <f t="array" ref="CUO3">GetValue("Dmn","Name",CUO2)</f>
        <v/>
      </c>
      <c r="CUP3" s="1" t="str" cm="1">
        <f t="array" ref="CUP3">GetValue("Dmn","Name",CUP2)</f>
        <v/>
      </c>
      <c r="CUQ3" s="1" t="str" cm="1">
        <f t="array" ref="CUQ3">GetValue("Dmn","Name",CUQ2)</f>
        <v/>
      </c>
      <c r="CUR3" s="1" t="str" cm="1">
        <f t="array" ref="CUR3">GetValue("Dmn","Name",CUR2)</f>
        <v/>
      </c>
      <c r="CUS3" s="1" t="str" cm="1">
        <f t="array" ref="CUS3">GetValue("Dmn","Name",CUS2)</f>
        <v/>
      </c>
      <c r="CUT3" s="1" t="str" cm="1">
        <f t="array" ref="CUT3">GetValue("Dmn","Name",CUT2)</f>
        <v/>
      </c>
      <c r="CUU3" s="1" t="str" cm="1">
        <f t="array" ref="CUU3">GetValue("Dmn","Name",CUU2)</f>
        <v/>
      </c>
      <c r="CUV3" s="1" t="str" cm="1">
        <f t="array" ref="CUV3">GetValue("Dmn","Name",CUV2)</f>
        <v/>
      </c>
      <c r="CUW3" s="1" t="str" cm="1">
        <f t="array" ref="CUW3">GetValue("Dmn","Name",CUW2)</f>
        <v/>
      </c>
      <c r="CUX3" s="1" t="str" cm="1">
        <f t="array" ref="CUX3">GetValue("Dmn","Name",CUX2)</f>
        <v/>
      </c>
      <c r="CUY3" s="1" t="str" cm="1">
        <f t="array" ref="CUY3">GetValue("Dmn","Name",CUY2)</f>
        <v/>
      </c>
      <c r="CUZ3" s="1" t="str" cm="1">
        <f t="array" ref="CUZ3">GetValue("Dmn","Name",CUZ2)</f>
        <v/>
      </c>
      <c r="CVA3" s="1" t="str" cm="1">
        <f t="array" ref="CVA3">GetValue("Dmn","Name",CVA2)</f>
        <v/>
      </c>
      <c r="CVB3" s="1" t="str" cm="1">
        <f t="array" ref="CVB3">GetValue("Dmn","Name",CVB2)</f>
        <v/>
      </c>
      <c r="CVC3" s="1" t="str" cm="1">
        <f t="array" ref="CVC3">GetValue("Dmn","Name",CVC2)</f>
        <v/>
      </c>
      <c r="CVD3" s="1" t="str" cm="1">
        <f t="array" ref="CVD3">GetValue("Dmn","Name",CVD2)</f>
        <v/>
      </c>
      <c r="CVE3" s="1" t="str" cm="1">
        <f t="array" ref="CVE3">GetValue("Dmn","Name",CVE2)</f>
        <v/>
      </c>
      <c r="CVF3" s="1" t="str" cm="1">
        <f t="array" ref="CVF3">GetValue("Dmn","Name",CVF2)</f>
        <v/>
      </c>
      <c r="CVG3" s="1" t="str" cm="1">
        <f t="array" ref="CVG3">GetValue("Dmn","Name",CVG2)</f>
        <v/>
      </c>
      <c r="CVH3" s="1" t="str" cm="1">
        <f t="array" ref="CVH3">GetValue("Dmn","Name",CVH2)</f>
        <v/>
      </c>
      <c r="CVI3" s="1" t="str" cm="1">
        <f t="array" ref="CVI3">GetValue("Dmn","Name",CVI2)</f>
        <v/>
      </c>
      <c r="CVJ3" s="1" t="str" cm="1">
        <f t="array" ref="CVJ3">GetValue("Dmn","Name",CVJ2)</f>
        <v/>
      </c>
      <c r="CVK3" s="1" t="str" cm="1">
        <f t="array" ref="CVK3">GetValue("Dmn","Name",CVK2)</f>
        <v/>
      </c>
      <c r="CVL3" s="1" t="str" cm="1">
        <f t="array" ref="CVL3">GetValue("Dmn","Name",CVL2)</f>
        <v/>
      </c>
      <c r="CVM3" s="1" t="str" cm="1">
        <f t="array" ref="CVM3">GetValue("Dmn","Name",CVM2)</f>
        <v/>
      </c>
      <c r="CVN3" s="1" t="str" cm="1">
        <f t="array" ref="CVN3">GetValue("Dmn","Name",CVN2)</f>
        <v/>
      </c>
      <c r="CVO3" s="1" t="str" cm="1">
        <f t="array" ref="CVO3">GetValue("Dmn","Name",CVO2)</f>
        <v/>
      </c>
      <c r="CVP3" s="1" t="str" cm="1">
        <f t="array" ref="CVP3">GetValue("Dmn","Name",CVP2)</f>
        <v/>
      </c>
      <c r="CVQ3" s="1" t="str" cm="1">
        <f t="array" ref="CVQ3">GetValue("Dmn","Name",CVQ2)</f>
        <v/>
      </c>
      <c r="CVR3" s="1" t="str" cm="1">
        <f t="array" ref="CVR3">GetValue("Dmn","Name",CVR2)</f>
        <v/>
      </c>
      <c r="CVS3" s="1" t="str" cm="1">
        <f t="array" ref="CVS3">GetValue("Dmn","Name",CVS2)</f>
        <v/>
      </c>
      <c r="CVT3" s="1" t="str" cm="1">
        <f t="array" ref="CVT3">GetValue("Dmn","Name",CVT2)</f>
        <v/>
      </c>
      <c r="CVU3" s="1" t="str" cm="1">
        <f t="array" ref="CVU3">GetValue("Dmn","Name",CVU2)</f>
        <v/>
      </c>
      <c r="CVV3" s="1" t="str" cm="1">
        <f t="array" ref="CVV3">GetValue("Dmn","Name",CVV2)</f>
        <v/>
      </c>
      <c r="CVW3" s="1" t="str" cm="1">
        <f t="array" ref="CVW3">GetValue("Dmn","Name",CVW2)</f>
        <v/>
      </c>
      <c r="CVX3" s="1" t="str" cm="1">
        <f t="array" ref="CVX3">GetValue("Dmn","Name",CVX2)</f>
        <v/>
      </c>
      <c r="CVY3" s="1" t="str" cm="1">
        <f t="array" ref="CVY3">GetValue("Dmn","Name",CVY2)</f>
        <v/>
      </c>
      <c r="CVZ3" s="1" t="str" cm="1">
        <f t="array" ref="CVZ3">GetValue("Dmn","Name",CVZ2)</f>
        <v/>
      </c>
      <c r="CWA3" s="1" t="str" cm="1">
        <f t="array" ref="CWA3">GetValue("Dmn","Name",CWA2)</f>
        <v/>
      </c>
      <c r="CWB3" s="1" t="str" cm="1">
        <f t="array" ref="CWB3">GetValue("Dmn","Name",CWB2)</f>
        <v/>
      </c>
      <c r="CWC3" s="1" t="str" cm="1">
        <f t="array" ref="CWC3">GetValue("Dmn","Name",CWC2)</f>
        <v/>
      </c>
      <c r="CWD3" s="1" t="str" cm="1">
        <f t="array" ref="CWD3">GetValue("Dmn","Name",CWD2)</f>
        <v/>
      </c>
      <c r="CWE3" s="1" t="str" cm="1">
        <f t="array" ref="CWE3">GetValue("Dmn","Name",CWE2)</f>
        <v/>
      </c>
      <c r="CWF3" s="1" t="str" cm="1">
        <f t="array" ref="CWF3">GetValue("Dmn","Name",CWF2)</f>
        <v/>
      </c>
      <c r="CWG3" s="1" t="str" cm="1">
        <f t="array" ref="CWG3">GetValue("Dmn","Name",CWG2)</f>
        <v/>
      </c>
      <c r="CWH3" s="1" t="str" cm="1">
        <f t="array" ref="CWH3">GetValue("Dmn","Name",CWH2)</f>
        <v/>
      </c>
      <c r="CWI3" s="1" t="str" cm="1">
        <f t="array" ref="CWI3">GetValue("Dmn","Name",CWI2)</f>
        <v/>
      </c>
      <c r="CWJ3" s="1" t="str" cm="1">
        <f t="array" ref="CWJ3">GetValue("Dmn","Name",CWJ2)</f>
        <v/>
      </c>
      <c r="CWK3" s="1" t="str" cm="1">
        <f t="array" ref="CWK3">GetValue("Dmn","Name",CWK2)</f>
        <v/>
      </c>
      <c r="CWL3" s="1" t="str" cm="1">
        <f t="array" ref="CWL3">GetValue("Dmn","Name",CWL2)</f>
        <v/>
      </c>
      <c r="CWM3" s="1" t="str" cm="1">
        <f t="array" ref="CWM3">GetValue("Dmn","Name",CWM2)</f>
        <v/>
      </c>
      <c r="CWN3" s="1" t="str" cm="1">
        <f t="array" ref="CWN3">GetValue("Dmn","Name",CWN2)</f>
        <v/>
      </c>
      <c r="CWO3" s="1" t="str" cm="1">
        <f t="array" ref="CWO3">GetValue("Dmn","Name",CWO2)</f>
        <v/>
      </c>
      <c r="CWP3" s="1" t="str" cm="1">
        <f t="array" ref="CWP3">GetValue("Dmn","Name",CWP2)</f>
        <v/>
      </c>
      <c r="CWQ3" s="1" t="str" cm="1">
        <f t="array" ref="CWQ3">GetValue("Dmn","Name",CWQ2)</f>
        <v/>
      </c>
      <c r="CWR3" s="1" t="str" cm="1">
        <f t="array" ref="CWR3">GetValue("Dmn","Name",CWR2)</f>
        <v/>
      </c>
      <c r="CWS3" s="1" t="str" cm="1">
        <f t="array" ref="CWS3">GetValue("Dmn","Name",CWS2)</f>
        <v/>
      </c>
      <c r="CWT3" s="1" t="str" cm="1">
        <f t="array" ref="CWT3">GetValue("Dmn","Name",CWT2)</f>
        <v/>
      </c>
      <c r="CWU3" s="1" t="str" cm="1">
        <f t="array" ref="CWU3">GetValue("Dmn","Name",CWU2)</f>
        <v/>
      </c>
      <c r="CWV3" s="1" t="str" cm="1">
        <f t="array" ref="CWV3">GetValue("Dmn","Name",CWV2)</f>
        <v/>
      </c>
      <c r="CWW3" s="1" t="str" cm="1">
        <f t="array" ref="CWW3">GetValue("Dmn","Name",CWW2)</f>
        <v/>
      </c>
      <c r="CWX3" s="1" t="str" cm="1">
        <f t="array" ref="CWX3">GetValue("Dmn","Name",CWX2)</f>
        <v/>
      </c>
      <c r="CWY3" s="1" t="str" cm="1">
        <f t="array" ref="CWY3">GetValue("Dmn","Name",CWY2)</f>
        <v/>
      </c>
      <c r="CWZ3" s="1" t="str" cm="1">
        <f t="array" ref="CWZ3">GetValue("Dmn","Name",CWZ2)</f>
        <v/>
      </c>
      <c r="CXA3" s="1" t="str" cm="1">
        <f t="array" ref="CXA3">GetValue("Dmn","Name",CXA2)</f>
        <v/>
      </c>
      <c r="CXB3" s="1" t="str" cm="1">
        <f t="array" ref="CXB3">GetValue("Dmn","Name",CXB2)</f>
        <v/>
      </c>
      <c r="CXC3" s="1" t="str" cm="1">
        <f t="array" ref="CXC3">GetValue("Dmn","Name",CXC2)</f>
        <v/>
      </c>
      <c r="CXD3" s="1" t="str" cm="1">
        <f t="array" ref="CXD3">GetValue("Dmn","Name",CXD2)</f>
        <v/>
      </c>
      <c r="CXE3" s="1" t="str" cm="1">
        <f t="array" ref="CXE3">GetValue("Dmn","Name",CXE2)</f>
        <v/>
      </c>
      <c r="CXF3" s="1" t="str" cm="1">
        <f t="array" ref="CXF3">GetValue("Dmn","Name",CXF2)</f>
        <v/>
      </c>
      <c r="CXG3" s="1" t="str" cm="1">
        <f t="array" ref="CXG3">GetValue("Dmn","Name",CXG2)</f>
        <v/>
      </c>
      <c r="CXH3" s="1" t="str" cm="1">
        <f t="array" ref="CXH3">GetValue("Dmn","Name",CXH2)</f>
        <v/>
      </c>
      <c r="CXI3" s="1" t="str" cm="1">
        <f t="array" ref="CXI3">GetValue("Dmn","Name",CXI2)</f>
        <v/>
      </c>
      <c r="CXJ3" s="1" t="str" cm="1">
        <f t="array" ref="CXJ3">GetValue("Dmn","Name",CXJ2)</f>
        <v/>
      </c>
      <c r="CXK3" s="1" t="str" cm="1">
        <f t="array" ref="CXK3">GetValue("Dmn","Name",CXK2)</f>
        <v/>
      </c>
      <c r="CXL3" s="1" t="str" cm="1">
        <f t="array" ref="CXL3">GetValue("Dmn","Name",CXL2)</f>
        <v/>
      </c>
      <c r="CXM3" s="1" t="str" cm="1">
        <f t="array" ref="CXM3">GetValue("Dmn","Name",CXM2)</f>
        <v/>
      </c>
      <c r="CXN3" s="1" t="str" cm="1">
        <f t="array" ref="CXN3">GetValue("Dmn","Name",CXN2)</f>
        <v/>
      </c>
      <c r="CXO3" s="1" t="str" cm="1">
        <f t="array" ref="CXO3">GetValue("Dmn","Name",CXO2)</f>
        <v/>
      </c>
      <c r="CXP3" s="1" t="str" cm="1">
        <f t="array" ref="CXP3">GetValue("Dmn","Name",CXP2)</f>
        <v/>
      </c>
      <c r="CXQ3" s="1" t="str" cm="1">
        <f t="array" ref="CXQ3">GetValue("Dmn","Name",CXQ2)</f>
        <v/>
      </c>
      <c r="CXR3" s="1" t="str" cm="1">
        <f t="array" ref="CXR3">GetValue("Dmn","Name",CXR2)</f>
        <v/>
      </c>
      <c r="CXS3" s="1" t="str" cm="1">
        <f t="array" ref="CXS3">GetValue("Dmn","Name",CXS2)</f>
        <v/>
      </c>
      <c r="CXT3" s="1" t="str" cm="1">
        <f t="array" ref="CXT3">GetValue("Dmn","Name",CXT2)</f>
        <v/>
      </c>
      <c r="CXU3" s="1" t="str" cm="1">
        <f t="array" ref="CXU3">GetValue("Dmn","Name",CXU2)</f>
        <v/>
      </c>
      <c r="CXV3" s="1" t="str" cm="1">
        <f t="array" ref="CXV3">GetValue("Dmn","Name",CXV2)</f>
        <v/>
      </c>
      <c r="CXW3" s="1" t="str" cm="1">
        <f t="array" ref="CXW3">GetValue("Dmn","Name",CXW2)</f>
        <v/>
      </c>
      <c r="CXX3" s="1" t="str" cm="1">
        <f t="array" ref="CXX3">GetValue("Dmn","Name",CXX2)</f>
        <v/>
      </c>
      <c r="CXY3" s="1" t="str" cm="1">
        <f t="array" ref="CXY3">GetValue("Dmn","Name",CXY2)</f>
        <v/>
      </c>
      <c r="CXZ3" s="1" t="str" cm="1">
        <f t="array" ref="CXZ3">GetValue("Dmn","Name",CXZ2)</f>
        <v/>
      </c>
      <c r="CYA3" s="1" t="str" cm="1">
        <f t="array" ref="CYA3">GetValue("Dmn","Name",CYA2)</f>
        <v/>
      </c>
      <c r="CYB3" s="1" t="str" cm="1">
        <f t="array" ref="CYB3">GetValue("Dmn","Name",CYB2)</f>
        <v/>
      </c>
      <c r="CYC3" s="1" t="str" cm="1">
        <f t="array" ref="CYC3">GetValue("Dmn","Name",CYC2)</f>
        <v/>
      </c>
      <c r="CYD3" s="1" t="str" cm="1">
        <f t="array" ref="CYD3">GetValue("Dmn","Name",CYD2)</f>
        <v/>
      </c>
      <c r="CYE3" s="1" t="str" cm="1">
        <f t="array" ref="CYE3">GetValue("Dmn","Name",CYE2)</f>
        <v/>
      </c>
      <c r="CYF3" s="1" t="str" cm="1">
        <f t="array" ref="CYF3">GetValue("Dmn","Name",CYF2)</f>
        <v/>
      </c>
      <c r="CYG3" s="1" t="str" cm="1">
        <f t="array" ref="CYG3">GetValue("Dmn","Name",CYG2)</f>
        <v/>
      </c>
      <c r="CYH3" s="1" t="str" cm="1">
        <f t="array" ref="CYH3">GetValue("Dmn","Name",CYH2)</f>
        <v/>
      </c>
      <c r="CYI3" s="1" t="str" cm="1">
        <f t="array" ref="CYI3">GetValue("Dmn","Name",CYI2)</f>
        <v/>
      </c>
      <c r="CYJ3" s="1" t="str" cm="1">
        <f t="array" ref="CYJ3">GetValue("Dmn","Name",CYJ2)</f>
        <v/>
      </c>
      <c r="CYK3" s="1" t="str" cm="1">
        <f t="array" ref="CYK3">GetValue("Dmn","Name",CYK2)</f>
        <v/>
      </c>
      <c r="CYL3" s="1" t="str" cm="1">
        <f t="array" ref="CYL3">GetValue("Dmn","Name",CYL2)</f>
        <v/>
      </c>
      <c r="CYM3" s="1" t="str" cm="1">
        <f t="array" ref="CYM3">GetValue("Dmn","Name",CYM2)</f>
        <v/>
      </c>
      <c r="CYN3" s="1" t="str" cm="1">
        <f t="array" ref="CYN3">GetValue("Dmn","Name",CYN2)</f>
        <v/>
      </c>
      <c r="CYO3" s="1" t="str" cm="1">
        <f t="array" ref="CYO3">GetValue("Dmn","Name",CYO2)</f>
        <v/>
      </c>
      <c r="CYP3" s="1" t="str" cm="1">
        <f t="array" ref="CYP3">GetValue("Dmn","Name",CYP2)</f>
        <v/>
      </c>
      <c r="CYQ3" s="1" t="str" cm="1">
        <f t="array" ref="CYQ3">GetValue("Dmn","Name",CYQ2)</f>
        <v/>
      </c>
      <c r="CYR3" s="1" t="str" cm="1">
        <f t="array" ref="CYR3">GetValue("Dmn","Name",CYR2)</f>
        <v/>
      </c>
      <c r="CYS3" s="1" t="str" cm="1">
        <f t="array" ref="CYS3">GetValue("Dmn","Name",CYS2)</f>
        <v/>
      </c>
      <c r="CYT3" s="1" t="str" cm="1">
        <f t="array" ref="CYT3">GetValue("Dmn","Name",CYT2)</f>
        <v/>
      </c>
      <c r="CYU3" s="1" t="str" cm="1">
        <f t="array" ref="CYU3">GetValue("Dmn","Name",CYU2)</f>
        <v/>
      </c>
      <c r="CYV3" s="1" t="str" cm="1">
        <f t="array" ref="CYV3">GetValue("Dmn","Name",CYV2)</f>
        <v/>
      </c>
      <c r="CYW3" s="1" t="str" cm="1">
        <f t="array" ref="CYW3">GetValue("Dmn","Name",CYW2)</f>
        <v/>
      </c>
      <c r="CYX3" s="1" t="str" cm="1">
        <f t="array" ref="CYX3">GetValue("Dmn","Name",CYX2)</f>
        <v/>
      </c>
      <c r="CYY3" s="1" t="str" cm="1">
        <f t="array" ref="CYY3">GetValue("Dmn","Name",CYY2)</f>
        <v/>
      </c>
      <c r="CYZ3" s="1" t="str" cm="1">
        <f t="array" ref="CYZ3">GetValue("Dmn","Name",CYZ2)</f>
        <v/>
      </c>
      <c r="CZA3" s="1" t="str" cm="1">
        <f t="array" ref="CZA3">GetValue("Dmn","Name",CZA2)</f>
        <v/>
      </c>
      <c r="CZB3" s="1" t="str" cm="1">
        <f t="array" ref="CZB3">GetValue("Dmn","Name",CZB2)</f>
        <v/>
      </c>
      <c r="CZC3" s="1" t="str" cm="1">
        <f t="array" ref="CZC3">GetValue("Dmn","Name",CZC2)</f>
        <v/>
      </c>
      <c r="CZD3" s="1" t="str" cm="1">
        <f t="array" ref="CZD3">GetValue("Dmn","Name",CZD2)</f>
        <v/>
      </c>
      <c r="CZE3" s="1" t="str" cm="1">
        <f t="array" ref="CZE3">GetValue("Dmn","Name",CZE2)</f>
        <v/>
      </c>
      <c r="CZF3" s="1" t="str" cm="1">
        <f t="array" ref="CZF3">GetValue("Dmn","Name",CZF2)</f>
        <v/>
      </c>
      <c r="CZG3" s="1" t="str" cm="1">
        <f t="array" ref="CZG3">GetValue("Dmn","Name",CZG2)</f>
        <v/>
      </c>
      <c r="CZH3" s="1" t="str" cm="1">
        <f t="array" ref="CZH3">GetValue("Dmn","Name",CZH2)</f>
        <v/>
      </c>
      <c r="CZI3" s="1" t="str" cm="1">
        <f t="array" ref="CZI3">GetValue("Dmn","Name",CZI2)</f>
        <v/>
      </c>
      <c r="CZJ3" s="1" t="str" cm="1">
        <f t="array" ref="CZJ3">GetValue("Dmn","Name",CZJ2)</f>
        <v/>
      </c>
      <c r="CZK3" s="1" t="str" cm="1">
        <f t="array" ref="CZK3">GetValue("Dmn","Name",CZK2)</f>
        <v/>
      </c>
      <c r="CZL3" s="1" t="str" cm="1">
        <f t="array" ref="CZL3">GetValue("Dmn","Name",CZL2)</f>
        <v/>
      </c>
      <c r="CZM3" s="1" t="str" cm="1">
        <f t="array" ref="CZM3">GetValue("Dmn","Name",CZM2)</f>
        <v/>
      </c>
      <c r="CZN3" s="1" t="str" cm="1">
        <f t="array" ref="CZN3">GetValue("Dmn","Name",CZN2)</f>
        <v/>
      </c>
      <c r="CZO3" s="1" t="str" cm="1">
        <f t="array" ref="CZO3">GetValue("Dmn","Name",CZO2)</f>
        <v/>
      </c>
      <c r="CZP3" s="1" t="str" cm="1">
        <f t="array" ref="CZP3">GetValue("Dmn","Name",CZP2)</f>
        <v/>
      </c>
      <c r="CZQ3" s="1" t="str" cm="1">
        <f t="array" ref="CZQ3">GetValue("Dmn","Name",CZQ2)</f>
        <v/>
      </c>
      <c r="CZR3" s="1" t="str" cm="1">
        <f t="array" ref="CZR3">GetValue("Dmn","Name",CZR2)</f>
        <v/>
      </c>
      <c r="CZS3" s="1" t="str" cm="1">
        <f t="array" ref="CZS3">GetValue("Dmn","Name",CZS2)</f>
        <v/>
      </c>
      <c r="CZT3" s="1" t="str" cm="1">
        <f t="array" ref="CZT3">GetValue("Dmn","Name",CZT2)</f>
        <v/>
      </c>
      <c r="CZU3" s="1" t="str" cm="1">
        <f t="array" ref="CZU3">GetValue("Dmn","Name",CZU2)</f>
        <v/>
      </c>
      <c r="CZV3" s="1" t="str" cm="1">
        <f t="array" ref="CZV3">GetValue("Dmn","Name",CZV2)</f>
        <v/>
      </c>
      <c r="CZW3" s="1" t="str" cm="1">
        <f t="array" ref="CZW3">GetValue("Dmn","Name",CZW2)</f>
        <v/>
      </c>
      <c r="CZX3" s="1" t="str" cm="1">
        <f t="array" ref="CZX3">GetValue("Dmn","Name",CZX2)</f>
        <v/>
      </c>
      <c r="CZY3" s="1" t="str" cm="1">
        <f t="array" ref="CZY3">GetValue("Dmn","Name",CZY2)</f>
        <v/>
      </c>
      <c r="CZZ3" s="1" t="str" cm="1">
        <f t="array" ref="CZZ3">GetValue("Dmn","Name",CZZ2)</f>
        <v/>
      </c>
      <c r="DAA3" s="1" t="str" cm="1">
        <f t="array" ref="DAA3">GetValue("Dmn","Name",DAA2)</f>
        <v/>
      </c>
      <c r="DAB3" s="1" t="str" cm="1">
        <f t="array" ref="DAB3">GetValue("Dmn","Name",DAB2)</f>
        <v/>
      </c>
      <c r="DAC3" s="1" t="str" cm="1">
        <f t="array" ref="DAC3">GetValue("Dmn","Name",DAC2)</f>
        <v/>
      </c>
      <c r="DAD3" s="1" t="str" cm="1">
        <f t="array" ref="DAD3">GetValue("Dmn","Name",DAD2)</f>
        <v/>
      </c>
      <c r="DAE3" s="1" t="str" cm="1">
        <f t="array" ref="DAE3">GetValue("Dmn","Name",DAE2)</f>
        <v/>
      </c>
      <c r="DAF3" s="1" t="str" cm="1">
        <f t="array" ref="DAF3">GetValue("Dmn","Name",DAF2)</f>
        <v/>
      </c>
      <c r="DAG3" s="1" t="str" cm="1">
        <f t="array" ref="DAG3">GetValue("Dmn","Name",DAG2)</f>
        <v/>
      </c>
      <c r="DAH3" s="1" t="str" cm="1">
        <f t="array" ref="DAH3">GetValue("Dmn","Name",DAH2)</f>
        <v/>
      </c>
      <c r="DAI3" s="1" t="str" cm="1">
        <f t="array" ref="DAI3">GetValue("Dmn","Name",DAI2)</f>
        <v/>
      </c>
      <c r="DAJ3" s="1" t="str" cm="1">
        <f t="array" ref="DAJ3">GetValue("Dmn","Name",DAJ2)</f>
        <v/>
      </c>
      <c r="DAK3" s="1" t="str" cm="1">
        <f t="array" ref="DAK3">GetValue("Dmn","Name",DAK2)</f>
        <v/>
      </c>
      <c r="DAL3" s="1" t="str" cm="1">
        <f t="array" ref="DAL3">GetValue("Dmn","Name",DAL2)</f>
        <v/>
      </c>
      <c r="DAM3" s="1" t="str" cm="1">
        <f t="array" ref="DAM3">GetValue("Dmn","Name",DAM2)</f>
        <v/>
      </c>
      <c r="DAN3" s="1" t="str" cm="1">
        <f t="array" ref="DAN3">GetValue("Dmn","Name",DAN2)</f>
        <v/>
      </c>
      <c r="DAO3" s="1" t="str" cm="1">
        <f t="array" ref="DAO3">GetValue("Dmn","Name",DAO2)</f>
        <v/>
      </c>
      <c r="DAP3" s="1" t="str" cm="1">
        <f t="array" ref="DAP3">GetValue("Dmn","Name",DAP2)</f>
        <v/>
      </c>
      <c r="DAQ3" s="1" t="str" cm="1">
        <f t="array" ref="DAQ3">GetValue("Dmn","Name",DAQ2)</f>
        <v/>
      </c>
      <c r="DAR3" s="1" t="str" cm="1">
        <f t="array" ref="DAR3">GetValue("Dmn","Name",DAR2)</f>
        <v/>
      </c>
      <c r="DAS3" s="1" t="str" cm="1">
        <f t="array" ref="DAS3">GetValue("Dmn","Name",DAS2)</f>
        <v/>
      </c>
      <c r="DAT3" s="1" t="str" cm="1">
        <f t="array" ref="DAT3">GetValue("Dmn","Name",DAT2)</f>
        <v/>
      </c>
      <c r="DAU3" s="1" t="str" cm="1">
        <f t="array" ref="DAU3">GetValue("Dmn","Name",DAU2)</f>
        <v/>
      </c>
      <c r="DAV3" s="1" t="str" cm="1">
        <f t="array" ref="DAV3">GetValue("Dmn","Name",DAV2)</f>
        <v/>
      </c>
      <c r="DAW3" s="1" t="str" cm="1">
        <f t="array" ref="DAW3">GetValue("Dmn","Name",DAW2)</f>
        <v/>
      </c>
      <c r="DAX3" s="1" t="str" cm="1">
        <f t="array" ref="DAX3">GetValue("Dmn","Name",DAX2)</f>
        <v/>
      </c>
      <c r="DAY3" s="1" t="str" cm="1">
        <f t="array" ref="DAY3">GetValue("Dmn","Name",DAY2)</f>
        <v/>
      </c>
      <c r="DAZ3" s="1" t="str" cm="1">
        <f t="array" ref="DAZ3">GetValue("Dmn","Name",DAZ2)</f>
        <v/>
      </c>
      <c r="DBA3" s="1" t="str" cm="1">
        <f t="array" ref="DBA3">GetValue("Dmn","Name",DBA2)</f>
        <v/>
      </c>
      <c r="DBB3" s="1" t="str" cm="1">
        <f t="array" ref="DBB3">GetValue("Dmn","Name",DBB2)</f>
        <v/>
      </c>
      <c r="DBC3" s="1" t="str" cm="1">
        <f t="array" ref="DBC3">GetValue("Dmn","Name",DBC2)</f>
        <v/>
      </c>
      <c r="DBD3" s="1" t="str" cm="1">
        <f t="array" ref="DBD3">GetValue("Dmn","Name",DBD2)</f>
        <v/>
      </c>
      <c r="DBE3" s="1" t="str" cm="1">
        <f t="array" ref="DBE3">GetValue("Dmn","Name",DBE2)</f>
        <v/>
      </c>
      <c r="DBF3" s="1" t="str" cm="1">
        <f t="array" ref="DBF3">GetValue("Dmn","Name",DBF2)</f>
        <v/>
      </c>
      <c r="DBG3" s="1" t="str" cm="1">
        <f t="array" ref="DBG3">GetValue("Dmn","Name",DBG2)</f>
        <v/>
      </c>
      <c r="DBH3" s="1" t="str" cm="1">
        <f t="array" ref="DBH3">GetValue("Dmn","Name",DBH2)</f>
        <v/>
      </c>
      <c r="DBI3" s="1" t="str" cm="1">
        <f t="array" ref="DBI3">GetValue("Dmn","Name",DBI2)</f>
        <v/>
      </c>
      <c r="DBJ3" s="1" t="str" cm="1">
        <f t="array" ref="DBJ3">GetValue("Dmn","Name",DBJ2)</f>
        <v/>
      </c>
      <c r="DBK3" s="1" t="str" cm="1">
        <f t="array" ref="DBK3">GetValue("Dmn","Name",DBK2)</f>
        <v/>
      </c>
      <c r="DBL3" s="1" t="str" cm="1">
        <f t="array" ref="DBL3">GetValue("Dmn","Name",DBL2)</f>
        <v/>
      </c>
      <c r="DBM3" s="1" t="str" cm="1">
        <f t="array" ref="DBM3">GetValue("Dmn","Name",DBM2)</f>
        <v/>
      </c>
      <c r="DBN3" s="1" t="str" cm="1">
        <f t="array" ref="DBN3">GetValue("Dmn","Name",DBN2)</f>
        <v/>
      </c>
      <c r="DBO3" s="1" t="str" cm="1">
        <f t="array" ref="DBO3">GetValue("Dmn","Name",DBO2)</f>
        <v/>
      </c>
      <c r="DBP3" s="1" t="str" cm="1">
        <f t="array" ref="DBP3">GetValue("Dmn","Name",DBP2)</f>
        <v/>
      </c>
      <c r="DBQ3" s="1" t="str" cm="1">
        <f t="array" ref="DBQ3">GetValue("Dmn","Name",DBQ2)</f>
        <v/>
      </c>
      <c r="DBR3" s="1" t="str" cm="1">
        <f t="array" ref="DBR3">GetValue("Dmn","Name",DBR2)</f>
        <v/>
      </c>
      <c r="DBS3" s="1" t="str" cm="1">
        <f t="array" ref="DBS3">GetValue("Dmn","Name",DBS2)</f>
        <v/>
      </c>
      <c r="DBT3" s="1" t="str" cm="1">
        <f t="array" ref="DBT3">GetValue("Dmn","Name",DBT2)</f>
        <v/>
      </c>
      <c r="DBU3" s="1" t="str" cm="1">
        <f t="array" ref="DBU3">GetValue("Dmn","Name",DBU2)</f>
        <v/>
      </c>
      <c r="DBV3" s="1" t="str" cm="1">
        <f t="array" ref="DBV3">GetValue("Dmn","Name",DBV2)</f>
        <v/>
      </c>
      <c r="DBW3" s="1" t="str" cm="1">
        <f t="array" ref="DBW3">GetValue("Dmn","Name",DBW2)</f>
        <v/>
      </c>
      <c r="DBX3" s="1" t="str" cm="1">
        <f t="array" ref="DBX3">GetValue("Dmn","Name",DBX2)</f>
        <v/>
      </c>
      <c r="DBY3" s="1" t="str" cm="1">
        <f t="array" ref="DBY3">GetValue("Dmn","Name",DBY2)</f>
        <v/>
      </c>
      <c r="DBZ3" s="1" t="str" cm="1">
        <f t="array" ref="DBZ3">GetValue("Dmn","Name",DBZ2)</f>
        <v/>
      </c>
      <c r="DCA3" s="1" t="str" cm="1">
        <f t="array" ref="DCA3">GetValue("Dmn","Name",DCA2)</f>
        <v/>
      </c>
      <c r="DCB3" s="1" t="str" cm="1">
        <f t="array" ref="DCB3">GetValue("Dmn","Name",DCB2)</f>
        <v/>
      </c>
      <c r="DCC3" s="1" t="str" cm="1">
        <f t="array" ref="DCC3">GetValue("Dmn","Name",DCC2)</f>
        <v/>
      </c>
      <c r="DCD3" s="1" t="str" cm="1">
        <f t="array" ref="DCD3">GetValue("Dmn","Name",DCD2)</f>
        <v/>
      </c>
      <c r="DCE3" s="1" t="str" cm="1">
        <f t="array" ref="DCE3">GetValue("Dmn","Name",DCE2)</f>
        <v/>
      </c>
      <c r="DCF3" s="1" t="str" cm="1">
        <f t="array" ref="DCF3">GetValue("Dmn","Name",DCF2)</f>
        <v/>
      </c>
      <c r="DCG3" s="1" t="str" cm="1">
        <f t="array" ref="DCG3">GetValue("Dmn","Name",DCG2)</f>
        <v/>
      </c>
      <c r="DCH3" s="1" t="str" cm="1">
        <f t="array" ref="DCH3">GetValue("Dmn","Name",DCH2)</f>
        <v/>
      </c>
      <c r="DCI3" s="1" t="str" cm="1">
        <f t="array" ref="DCI3">GetValue("Dmn","Name",DCI2)</f>
        <v/>
      </c>
      <c r="DCJ3" s="1" t="str" cm="1">
        <f t="array" ref="DCJ3">GetValue("Dmn","Name",DCJ2)</f>
        <v/>
      </c>
      <c r="DCK3" s="1" t="str" cm="1">
        <f t="array" ref="DCK3">GetValue("Dmn","Name",DCK2)</f>
        <v/>
      </c>
      <c r="DCL3" s="1" t="str" cm="1">
        <f t="array" ref="DCL3">GetValue("Dmn","Name",DCL2)</f>
        <v/>
      </c>
      <c r="DCM3" s="1" t="str" cm="1">
        <f t="array" ref="DCM3">GetValue("Dmn","Name",DCM2)</f>
        <v/>
      </c>
      <c r="DCN3" s="1" t="str" cm="1">
        <f t="array" ref="DCN3">GetValue("Dmn","Name",DCN2)</f>
        <v/>
      </c>
      <c r="DCO3" s="1" t="str" cm="1">
        <f t="array" ref="DCO3">GetValue("Dmn","Name",DCO2)</f>
        <v/>
      </c>
      <c r="DCP3" s="1" t="str" cm="1">
        <f t="array" ref="DCP3">GetValue("Dmn","Name",DCP2)</f>
        <v/>
      </c>
      <c r="DCQ3" s="1" t="str" cm="1">
        <f t="array" ref="DCQ3">GetValue("Dmn","Name",DCQ2)</f>
        <v/>
      </c>
      <c r="DCR3" s="1" t="str" cm="1">
        <f t="array" ref="DCR3">GetValue("Dmn","Name",DCR2)</f>
        <v/>
      </c>
      <c r="DCS3" s="1" t="str" cm="1">
        <f t="array" ref="DCS3">GetValue("Dmn","Name",DCS2)</f>
        <v/>
      </c>
      <c r="DCT3" s="1" t="str" cm="1">
        <f t="array" ref="DCT3">GetValue("Dmn","Name",DCT2)</f>
        <v/>
      </c>
      <c r="DCU3" s="1" t="str" cm="1">
        <f t="array" ref="DCU3">GetValue("Dmn","Name",DCU2)</f>
        <v/>
      </c>
      <c r="DCV3" s="1" t="str" cm="1">
        <f t="array" ref="DCV3">GetValue("Dmn","Name",DCV2)</f>
        <v/>
      </c>
      <c r="DCW3" s="1" t="str" cm="1">
        <f t="array" ref="DCW3">GetValue("Dmn","Name",DCW2)</f>
        <v/>
      </c>
      <c r="DCX3" s="1" t="str" cm="1">
        <f t="array" ref="DCX3">GetValue("Dmn","Name",DCX2)</f>
        <v/>
      </c>
      <c r="DCY3" s="1" t="str" cm="1">
        <f t="array" ref="DCY3">GetValue("Dmn","Name",DCY2)</f>
        <v/>
      </c>
      <c r="DCZ3" s="1" t="str" cm="1">
        <f t="array" ref="DCZ3">GetValue("Dmn","Name",DCZ2)</f>
        <v/>
      </c>
      <c r="DDA3" s="1" t="str" cm="1">
        <f t="array" ref="DDA3">GetValue("Dmn","Name",DDA2)</f>
        <v/>
      </c>
      <c r="DDB3" s="1" t="str" cm="1">
        <f t="array" ref="DDB3">GetValue("Dmn","Name",DDB2)</f>
        <v/>
      </c>
      <c r="DDC3" s="1" t="str" cm="1">
        <f t="array" ref="DDC3">GetValue("Dmn","Name",DDC2)</f>
        <v/>
      </c>
      <c r="DDD3" s="1" t="str" cm="1">
        <f t="array" ref="DDD3">GetValue("Dmn","Name",DDD2)</f>
        <v/>
      </c>
      <c r="DDE3" s="1" t="str" cm="1">
        <f t="array" ref="DDE3">GetValue("Dmn","Name",DDE2)</f>
        <v/>
      </c>
      <c r="DDF3" s="1" t="str" cm="1">
        <f t="array" ref="DDF3">GetValue("Dmn","Name",DDF2)</f>
        <v/>
      </c>
      <c r="DDG3" s="1" t="str" cm="1">
        <f t="array" ref="DDG3">GetValue("Dmn","Name",DDG2)</f>
        <v/>
      </c>
      <c r="DDH3" s="1" t="str" cm="1">
        <f t="array" ref="DDH3">GetValue("Dmn","Name",DDH2)</f>
        <v/>
      </c>
      <c r="DDI3" s="1" t="str" cm="1">
        <f t="array" ref="DDI3">GetValue("Dmn","Name",DDI2)</f>
        <v/>
      </c>
      <c r="DDJ3" s="1" t="str" cm="1">
        <f t="array" ref="DDJ3">GetValue("Dmn","Name",DDJ2)</f>
        <v/>
      </c>
      <c r="DDK3" s="1" t="str" cm="1">
        <f t="array" ref="DDK3">GetValue("Dmn","Name",DDK2)</f>
        <v/>
      </c>
      <c r="DDL3" s="1" t="str" cm="1">
        <f t="array" ref="DDL3">GetValue("Dmn","Name",DDL2)</f>
        <v/>
      </c>
      <c r="DDM3" s="1" t="str" cm="1">
        <f t="array" ref="DDM3">GetValue("Dmn","Name",DDM2)</f>
        <v/>
      </c>
      <c r="DDN3" s="1" t="str" cm="1">
        <f t="array" ref="DDN3">GetValue("Dmn","Name",DDN2)</f>
        <v/>
      </c>
      <c r="DDO3" s="1" t="str" cm="1">
        <f t="array" ref="DDO3">GetValue("Dmn","Name",DDO2)</f>
        <v/>
      </c>
      <c r="DDP3" s="1" t="str" cm="1">
        <f t="array" ref="DDP3">GetValue("Dmn","Name",DDP2)</f>
        <v/>
      </c>
      <c r="DDQ3" s="1" t="str" cm="1">
        <f t="array" ref="DDQ3">GetValue("Dmn","Name",DDQ2)</f>
        <v/>
      </c>
      <c r="DDR3" s="1" t="str" cm="1">
        <f t="array" ref="DDR3">GetValue("Dmn","Name",DDR2)</f>
        <v/>
      </c>
      <c r="DDS3" s="1" t="str" cm="1">
        <f t="array" ref="DDS3">GetValue("Dmn","Name",DDS2)</f>
        <v/>
      </c>
      <c r="DDT3" s="1" t="str" cm="1">
        <f t="array" ref="DDT3">GetValue("Dmn","Name",DDT2)</f>
        <v/>
      </c>
      <c r="DDU3" s="1" t="str" cm="1">
        <f t="array" ref="DDU3">GetValue("Dmn","Name",DDU2)</f>
        <v/>
      </c>
      <c r="DDV3" s="1" t="str" cm="1">
        <f t="array" ref="DDV3">GetValue("Dmn","Name",DDV2)</f>
        <v/>
      </c>
      <c r="DDW3" s="1" t="str" cm="1">
        <f t="array" ref="DDW3">GetValue("Dmn","Name",DDW2)</f>
        <v/>
      </c>
      <c r="DDX3" s="1" t="str" cm="1">
        <f t="array" ref="DDX3">GetValue("Dmn","Name",DDX2)</f>
        <v/>
      </c>
      <c r="DDY3" s="1" t="str" cm="1">
        <f t="array" ref="DDY3">GetValue("Dmn","Name",DDY2)</f>
        <v/>
      </c>
      <c r="DDZ3" s="1" t="str" cm="1">
        <f t="array" ref="DDZ3">GetValue("Dmn","Name",DDZ2)</f>
        <v/>
      </c>
      <c r="DEA3" s="1" t="str" cm="1">
        <f t="array" ref="DEA3">GetValue("Dmn","Name",DEA2)</f>
        <v/>
      </c>
      <c r="DEB3" s="1" t="str" cm="1">
        <f t="array" ref="DEB3">GetValue("Dmn","Name",DEB2)</f>
        <v/>
      </c>
      <c r="DEC3" s="1" t="str" cm="1">
        <f t="array" ref="DEC3">GetValue("Dmn","Name",DEC2)</f>
        <v/>
      </c>
      <c r="DED3" s="1" t="str" cm="1">
        <f t="array" ref="DED3">GetValue("Dmn","Name",DED2)</f>
        <v/>
      </c>
      <c r="DEE3" s="1" t="str" cm="1">
        <f t="array" ref="DEE3">GetValue("Dmn","Name",DEE2)</f>
        <v/>
      </c>
      <c r="DEF3" s="1" t="str" cm="1">
        <f t="array" ref="DEF3">GetValue("Dmn","Name",DEF2)</f>
        <v/>
      </c>
      <c r="DEG3" s="1" t="str" cm="1">
        <f t="array" ref="DEG3">GetValue("Dmn","Name",DEG2)</f>
        <v/>
      </c>
      <c r="DEH3" s="1" t="str" cm="1">
        <f t="array" ref="DEH3">GetValue("Dmn","Name",DEH2)</f>
        <v/>
      </c>
      <c r="DEI3" s="1" t="str" cm="1">
        <f t="array" ref="DEI3">GetValue("Dmn","Name",DEI2)</f>
        <v/>
      </c>
      <c r="DEJ3" s="1" t="str" cm="1">
        <f t="array" ref="DEJ3">GetValue("Dmn","Name",DEJ2)</f>
        <v/>
      </c>
      <c r="DEK3" s="1" t="str" cm="1">
        <f t="array" ref="DEK3">GetValue("Dmn","Name",DEK2)</f>
        <v/>
      </c>
      <c r="DEL3" s="1" t="str" cm="1">
        <f t="array" ref="DEL3">GetValue("Dmn","Name",DEL2)</f>
        <v/>
      </c>
      <c r="DEM3" s="1" t="str" cm="1">
        <f t="array" ref="DEM3">GetValue("Dmn","Name",DEM2)</f>
        <v/>
      </c>
      <c r="DEN3" s="1" t="str" cm="1">
        <f t="array" ref="DEN3">GetValue("Dmn","Name",DEN2)</f>
        <v/>
      </c>
      <c r="DEO3" s="1" t="str" cm="1">
        <f t="array" ref="DEO3">GetValue("Dmn","Name",DEO2)</f>
        <v/>
      </c>
      <c r="DEP3" s="1" t="str" cm="1">
        <f t="array" ref="DEP3">GetValue("Dmn","Name",DEP2)</f>
        <v/>
      </c>
      <c r="DEQ3" s="1" t="str" cm="1">
        <f t="array" ref="DEQ3">GetValue("Dmn","Name",DEQ2)</f>
        <v/>
      </c>
      <c r="DER3" s="1" t="str" cm="1">
        <f t="array" ref="DER3">GetValue("Dmn","Name",DER2)</f>
        <v/>
      </c>
      <c r="DES3" s="1" t="str" cm="1">
        <f t="array" ref="DES3">GetValue("Dmn","Name",DES2)</f>
        <v/>
      </c>
      <c r="DET3" s="1" t="str" cm="1">
        <f t="array" ref="DET3">GetValue("Dmn","Name",DET2)</f>
        <v/>
      </c>
      <c r="DEU3" s="1" t="str" cm="1">
        <f t="array" ref="DEU3">GetValue("Dmn","Name",DEU2)</f>
        <v/>
      </c>
      <c r="DEV3" s="1" t="str" cm="1">
        <f t="array" ref="DEV3">GetValue("Dmn","Name",DEV2)</f>
        <v/>
      </c>
      <c r="DEW3" s="1" t="str" cm="1">
        <f t="array" ref="DEW3">GetValue("Dmn","Name",DEW2)</f>
        <v/>
      </c>
      <c r="DEX3" s="1" t="str" cm="1">
        <f t="array" ref="DEX3">GetValue("Dmn","Name",DEX2)</f>
        <v/>
      </c>
      <c r="DEY3" s="1" t="str" cm="1">
        <f t="array" ref="DEY3">GetValue("Dmn","Name",DEY2)</f>
        <v/>
      </c>
      <c r="DEZ3" s="1" t="str" cm="1">
        <f t="array" ref="DEZ3">GetValue("Dmn","Name",DEZ2)</f>
        <v/>
      </c>
      <c r="DFA3" s="1" t="str" cm="1">
        <f t="array" ref="DFA3">GetValue("Dmn","Name",DFA2)</f>
        <v/>
      </c>
      <c r="DFB3" s="1" t="str" cm="1">
        <f t="array" ref="DFB3">GetValue("Dmn","Name",DFB2)</f>
        <v/>
      </c>
      <c r="DFC3" s="1" t="str" cm="1">
        <f t="array" ref="DFC3">GetValue("Dmn","Name",DFC2)</f>
        <v/>
      </c>
      <c r="DFD3" s="1" t="str" cm="1">
        <f t="array" ref="DFD3">GetValue("Dmn","Name",DFD2)</f>
        <v/>
      </c>
      <c r="DFE3" s="1" t="str" cm="1">
        <f t="array" ref="DFE3">GetValue("Dmn","Name",DFE2)</f>
        <v/>
      </c>
      <c r="DFF3" s="1" t="str" cm="1">
        <f t="array" ref="DFF3">GetValue("Dmn","Name",DFF2)</f>
        <v/>
      </c>
      <c r="DFG3" s="1" t="str" cm="1">
        <f t="array" ref="DFG3">GetValue("Dmn","Name",DFG2)</f>
        <v/>
      </c>
      <c r="DFH3" s="1" t="str" cm="1">
        <f t="array" ref="DFH3">GetValue("Dmn","Name",DFH2)</f>
        <v/>
      </c>
      <c r="DFI3" s="1" t="str" cm="1">
        <f t="array" ref="DFI3">GetValue("Dmn","Name",DFI2)</f>
        <v/>
      </c>
      <c r="DFJ3" s="1" t="str" cm="1">
        <f t="array" ref="DFJ3">GetValue("Dmn","Name",DFJ2)</f>
        <v/>
      </c>
      <c r="DFK3" s="1" t="str" cm="1">
        <f t="array" ref="DFK3">GetValue("Dmn","Name",DFK2)</f>
        <v/>
      </c>
      <c r="DFL3" s="1" t="str" cm="1">
        <f t="array" ref="DFL3">GetValue("Dmn","Name",DFL2)</f>
        <v/>
      </c>
      <c r="DFM3" s="1" t="str" cm="1">
        <f t="array" ref="DFM3">GetValue("Dmn","Name",DFM2)</f>
        <v/>
      </c>
      <c r="DFN3" s="1" t="str" cm="1">
        <f t="array" ref="DFN3">GetValue("Dmn","Name",DFN2)</f>
        <v/>
      </c>
      <c r="DFO3" s="1" t="str" cm="1">
        <f t="array" ref="DFO3">GetValue("Dmn","Name",DFO2)</f>
        <v/>
      </c>
      <c r="DFP3" s="1" t="str" cm="1">
        <f t="array" ref="DFP3">GetValue("Dmn","Name",DFP2)</f>
        <v/>
      </c>
      <c r="DFQ3" s="1" t="str" cm="1">
        <f t="array" ref="DFQ3">GetValue("Dmn","Name",DFQ2)</f>
        <v/>
      </c>
      <c r="DFR3" s="1" t="str" cm="1">
        <f t="array" ref="DFR3">GetValue("Dmn","Name",DFR2)</f>
        <v/>
      </c>
      <c r="DFS3" s="1" t="str" cm="1">
        <f t="array" ref="DFS3">GetValue("Dmn","Name",DFS2)</f>
        <v/>
      </c>
      <c r="DFT3" s="1" t="str" cm="1">
        <f t="array" ref="DFT3">GetValue("Dmn","Name",DFT2)</f>
        <v/>
      </c>
      <c r="DFU3" s="1" t="str" cm="1">
        <f t="array" ref="DFU3">GetValue("Dmn","Name",DFU2)</f>
        <v/>
      </c>
      <c r="DFV3" s="1" t="str" cm="1">
        <f t="array" ref="DFV3">GetValue("Dmn","Name",DFV2)</f>
        <v/>
      </c>
      <c r="DFW3" s="1" t="str" cm="1">
        <f t="array" ref="DFW3">GetValue("Dmn","Name",DFW2)</f>
        <v/>
      </c>
      <c r="DFX3" s="1" t="str" cm="1">
        <f t="array" ref="DFX3">GetValue("Dmn","Name",DFX2)</f>
        <v/>
      </c>
      <c r="DFY3" s="1" t="str" cm="1">
        <f t="array" ref="DFY3">GetValue("Dmn","Name",DFY2)</f>
        <v/>
      </c>
      <c r="DFZ3" s="1" t="str" cm="1">
        <f t="array" ref="DFZ3">GetValue("Dmn","Name",DFZ2)</f>
        <v/>
      </c>
      <c r="DGA3" s="1" t="str" cm="1">
        <f t="array" ref="DGA3">GetValue("Dmn","Name",DGA2)</f>
        <v/>
      </c>
      <c r="DGB3" s="1" t="str" cm="1">
        <f t="array" ref="DGB3">GetValue("Dmn","Name",DGB2)</f>
        <v/>
      </c>
      <c r="DGC3" s="1" t="str" cm="1">
        <f t="array" ref="DGC3">GetValue("Dmn","Name",DGC2)</f>
        <v/>
      </c>
      <c r="DGD3" s="1" t="str" cm="1">
        <f t="array" ref="DGD3">GetValue("Dmn","Name",DGD2)</f>
        <v/>
      </c>
      <c r="DGE3" s="1" t="str" cm="1">
        <f t="array" ref="DGE3">GetValue("Dmn","Name",DGE2)</f>
        <v/>
      </c>
      <c r="DGF3" s="1" t="str" cm="1">
        <f t="array" ref="DGF3">GetValue("Dmn","Name",DGF2)</f>
        <v/>
      </c>
      <c r="DGG3" s="1" t="str" cm="1">
        <f t="array" ref="DGG3">GetValue("Dmn","Name",DGG2)</f>
        <v/>
      </c>
      <c r="DGH3" s="1" t="str" cm="1">
        <f t="array" ref="DGH3">GetValue("Dmn","Name",DGH2)</f>
        <v/>
      </c>
      <c r="DGI3" s="1" t="str" cm="1">
        <f t="array" ref="DGI3">GetValue("Dmn","Name",DGI2)</f>
        <v/>
      </c>
      <c r="DGJ3" s="1" t="str" cm="1">
        <f t="array" ref="DGJ3">GetValue("Dmn","Name",DGJ2)</f>
        <v/>
      </c>
      <c r="DGK3" s="1" t="str" cm="1">
        <f t="array" ref="DGK3">GetValue("Dmn","Name",DGK2)</f>
        <v/>
      </c>
      <c r="DGL3" s="1" t="str" cm="1">
        <f t="array" ref="DGL3">GetValue("Dmn","Name",DGL2)</f>
        <v/>
      </c>
      <c r="DGM3" s="1" t="str" cm="1">
        <f t="array" ref="DGM3">GetValue("Dmn","Name",DGM2)</f>
        <v/>
      </c>
      <c r="DGN3" s="1" t="str" cm="1">
        <f t="array" ref="DGN3">GetValue("Dmn","Name",DGN2)</f>
        <v/>
      </c>
      <c r="DGO3" s="1" t="str" cm="1">
        <f t="array" ref="DGO3">GetValue("Dmn","Name",DGO2)</f>
        <v/>
      </c>
      <c r="DGP3" s="1" t="str" cm="1">
        <f t="array" ref="DGP3">GetValue("Dmn","Name",DGP2)</f>
        <v/>
      </c>
      <c r="DGQ3" s="1" t="str" cm="1">
        <f t="array" ref="DGQ3">GetValue("Dmn","Name",DGQ2)</f>
        <v/>
      </c>
      <c r="DGR3" s="1" t="str" cm="1">
        <f t="array" ref="DGR3">GetValue("Dmn","Name",DGR2)</f>
        <v/>
      </c>
      <c r="DGS3" s="1" t="str" cm="1">
        <f t="array" ref="DGS3">GetValue("Dmn","Name",DGS2)</f>
        <v/>
      </c>
      <c r="DGT3" s="1" t="str" cm="1">
        <f t="array" ref="DGT3">GetValue("Dmn","Name",DGT2)</f>
        <v/>
      </c>
      <c r="DGU3" s="1" t="str" cm="1">
        <f t="array" ref="DGU3">GetValue("Dmn","Name",DGU2)</f>
        <v/>
      </c>
      <c r="DGV3" s="1" t="str" cm="1">
        <f t="array" ref="DGV3">GetValue("Dmn","Name",DGV2)</f>
        <v/>
      </c>
      <c r="DGW3" s="1" t="str" cm="1">
        <f t="array" ref="DGW3">GetValue("Dmn","Name",DGW2)</f>
        <v/>
      </c>
      <c r="DGX3" s="1" t="str" cm="1">
        <f t="array" ref="DGX3">GetValue("Dmn","Name",DGX2)</f>
        <v/>
      </c>
      <c r="DGY3" s="1" t="str" cm="1">
        <f t="array" ref="DGY3">GetValue("Dmn","Name",DGY2)</f>
        <v/>
      </c>
      <c r="DGZ3" s="1" t="str" cm="1">
        <f t="array" ref="DGZ3">GetValue("Dmn","Name",DGZ2)</f>
        <v/>
      </c>
      <c r="DHA3" s="1" t="str" cm="1">
        <f t="array" ref="DHA3">GetValue("Dmn","Name",DHA2)</f>
        <v/>
      </c>
      <c r="DHB3" s="1" t="str" cm="1">
        <f t="array" ref="DHB3">GetValue("Dmn","Name",DHB2)</f>
        <v/>
      </c>
      <c r="DHC3" s="1" t="str" cm="1">
        <f t="array" ref="DHC3">GetValue("Dmn","Name",DHC2)</f>
        <v/>
      </c>
      <c r="DHD3" s="1" t="str" cm="1">
        <f t="array" ref="DHD3">GetValue("Dmn","Name",DHD2)</f>
        <v/>
      </c>
      <c r="DHE3" s="1" t="str" cm="1">
        <f t="array" ref="DHE3">GetValue("Dmn","Name",DHE2)</f>
        <v/>
      </c>
      <c r="DHF3" s="1" t="str" cm="1">
        <f t="array" ref="DHF3">GetValue("Dmn","Name",DHF2)</f>
        <v/>
      </c>
      <c r="DHG3" s="1" t="str" cm="1">
        <f t="array" ref="DHG3">GetValue("Dmn","Name",DHG2)</f>
        <v/>
      </c>
      <c r="DHH3" s="1" t="str" cm="1">
        <f t="array" ref="DHH3">GetValue("Dmn","Name",DHH2)</f>
        <v/>
      </c>
      <c r="DHI3" s="1" t="str" cm="1">
        <f t="array" ref="DHI3">GetValue("Dmn","Name",DHI2)</f>
        <v/>
      </c>
      <c r="DHJ3" s="1" t="str" cm="1">
        <f t="array" ref="DHJ3">GetValue("Dmn","Name",DHJ2)</f>
        <v/>
      </c>
      <c r="DHK3" s="1" t="str" cm="1">
        <f t="array" ref="DHK3">GetValue("Dmn","Name",DHK2)</f>
        <v/>
      </c>
      <c r="DHL3" s="1" t="str" cm="1">
        <f t="array" ref="DHL3">GetValue("Dmn","Name",DHL2)</f>
        <v/>
      </c>
      <c r="DHM3" s="1" t="str" cm="1">
        <f t="array" ref="DHM3">GetValue("Dmn","Name",DHM2)</f>
        <v/>
      </c>
      <c r="DHN3" s="1" t="str" cm="1">
        <f t="array" ref="DHN3">GetValue("Dmn","Name",DHN2)</f>
        <v/>
      </c>
      <c r="DHO3" s="1" t="str" cm="1">
        <f t="array" ref="DHO3">GetValue("Dmn","Name",DHO2)</f>
        <v/>
      </c>
      <c r="DHP3" s="1" t="str" cm="1">
        <f t="array" ref="DHP3">GetValue("Dmn","Name",DHP2)</f>
        <v/>
      </c>
      <c r="DHQ3" s="1" t="str" cm="1">
        <f t="array" ref="DHQ3">GetValue("Dmn","Name",DHQ2)</f>
        <v/>
      </c>
      <c r="DHR3" s="1" t="str" cm="1">
        <f t="array" ref="DHR3">GetValue("Dmn","Name",DHR2)</f>
        <v/>
      </c>
      <c r="DHS3" s="1" t="str" cm="1">
        <f t="array" ref="DHS3">GetValue("Dmn","Name",DHS2)</f>
        <v/>
      </c>
      <c r="DHT3" s="1" t="str" cm="1">
        <f t="array" ref="DHT3">GetValue("Dmn","Name",DHT2)</f>
        <v/>
      </c>
      <c r="DHU3" s="1" t="str" cm="1">
        <f t="array" ref="DHU3">GetValue("Dmn","Name",DHU2)</f>
        <v/>
      </c>
      <c r="DHV3" s="1" t="str" cm="1">
        <f t="array" ref="DHV3">GetValue("Dmn","Name",DHV2)</f>
        <v/>
      </c>
      <c r="DHW3" s="1" t="str" cm="1">
        <f t="array" ref="DHW3">GetValue("Dmn","Name",DHW2)</f>
        <v/>
      </c>
      <c r="DHX3" s="1" t="str" cm="1">
        <f t="array" ref="DHX3">GetValue("Dmn","Name",DHX2)</f>
        <v/>
      </c>
      <c r="DHY3" s="1" t="str" cm="1">
        <f t="array" ref="DHY3">GetValue("Dmn","Name",DHY2)</f>
        <v/>
      </c>
      <c r="DHZ3" s="1" t="str" cm="1">
        <f t="array" ref="DHZ3">GetValue("Dmn","Name",DHZ2)</f>
        <v/>
      </c>
      <c r="DIA3" s="1" t="str" cm="1">
        <f t="array" ref="DIA3">GetValue("Dmn","Name",DIA2)</f>
        <v/>
      </c>
      <c r="DIB3" s="1" t="str" cm="1">
        <f t="array" ref="DIB3">GetValue("Dmn","Name",DIB2)</f>
        <v/>
      </c>
      <c r="DIC3" s="1" t="str" cm="1">
        <f t="array" ref="DIC3">GetValue("Dmn","Name",DIC2)</f>
        <v/>
      </c>
      <c r="DID3" s="1" t="str" cm="1">
        <f t="array" ref="DID3">GetValue("Dmn","Name",DID2)</f>
        <v/>
      </c>
      <c r="DIE3" s="1" t="str" cm="1">
        <f t="array" ref="DIE3">GetValue("Dmn","Name",DIE2)</f>
        <v/>
      </c>
      <c r="DIF3" s="1" t="str" cm="1">
        <f t="array" ref="DIF3">GetValue("Dmn","Name",DIF2)</f>
        <v/>
      </c>
      <c r="DIG3" s="1" t="str" cm="1">
        <f t="array" ref="DIG3">GetValue("Dmn","Name",DIG2)</f>
        <v/>
      </c>
      <c r="DIH3" s="1" t="str" cm="1">
        <f t="array" ref="DIH3">GetValue("Dmn","Name",DIH2)</f>
        <v/>
      </c>
      <c r="DII3" s="1" t="str" cm="1">
        <f t="array" ref="DII3">GetValue("Dmn","Name",DII2)</f>
        <v/>
      </c>
      <c r="DIJ3" s="1" t="str" cm="1">
        <f t="array" ref="DIJ3">GetValue("Dmn","Name",DIJ2)</f>
        <v/>
      </c>
      <c r="DIK3" s="1" t="str" cm="1">
        <f t="array" ref="DIK3">GetValue("Dmn","Name",DIK2)</f>
        <v/>
      </c>
      <c r="DIL3" s="1" t="str" cm="1">
        <f t="array" ref="DIL3">GetValue("Dmn","Name",DIL2)</f>
        <v/>
      </c>
      <c r="DIM3" s="1" t="str" cm="1">
        <f t="array" ref="DIM3">GetValue("Dmn","Name",DIM2)</f>
        <v/>
      </c>
      <c r="DIN3" s="1" t="str" cm="1">
        <f t="array" ref="DIN3">GetValue("Dmn","Name",DIN2)</f>
        <v/>
      </c>
      <c r="DIO3" s="1" t="str" cm="1">
        <f t="array" ref="DIO3">GetValue("Dmn","Name",DIO2)</f>
        <v/>
      </c>
      <c r="DIP3" s="1" t="str" cm="1">
        <f t="array" ref="DIP3">GetValue("Dmn","Name",DIP2)</f>
        <v/>
      </c>
      <c r="DIQ3" s="1" t="str" cm="1">
        <f t="array" ref="DIQ3">GetValue("Dmn","Name",DIQ2)</f>
        <v/>
      </c>
      <c r="DIR3" s="1" t="str" cm="1">
        <f t="array" ref="DIR3">GetValue("Dmn","Name",DIR2)</f>
        <v/>
      </c>
      <c r="DIS3" s="1" t="str" cm="1">
        <f t="array" ref="DIS3">GetValue("Dmn","Name",DIS2)</f>
        <v/>
      </c>
      <c r="DIT3" s="1" t="str" cm="1">
        <f t="array" ref="DIT3">GetValue("Dmn","Name",DIT2)</f>
        <v/>
      </c>
      <c r="DIU3" s="1" t="str" cm="1">
        <f t="array" ref="DIU3">GetValue("Dmn","Name",DIU2)</f>
        <v/>
      </c>
      <c r="DIV3" s="1" t="str" cm="1">
        <f t="array" ref="DIV3">GetValue("Dmn","Name",DIV2)</f>
        <v/>
      </c>
      <c r="DIW3" s="1" t="str" cm="1">
        <f t="array" ref="DIW3">GetValue("Dmn","Name",DIW2)</f>
        <v/>
      </c>
      <c r="DIX3" s="1" t="str" cm="1">
        <f t="array" ref="DIX3">GetValue("Dmn","Name",DIX2)</f>
        <v/>
      </c>
      <c r="DIY3" s="1" t="str" cm="1">
        <f t="array" ref="DIY3">GetValue("Dmn","Name",DIY2)</f>
        <v/>
      </c>
      <c r="DIZ3" s="1" t="str" cm="1">
        <f t="array" ref="DIZ3">GetValue("Dmn","Name",DIZ2)</f>
        <v/>
      </c>
      <c r="DJA3" s="1" t="str" cm="1">
        <f t="array" ref="DJA3">GetValue("Dmn","Name",DJA2)</f>
        <v/>
      </c>
      <c r="DJB3" s="1" t="str" cm="1">
        <f t="array" ref="DJB3">GetValue("Dmn","Name",DJB2)</f>
        <v/>
      </c>
      <c r="DJC3" s="1" t="str" cm="1">
        <f t="array" ref="DJC3">GetValue("Dmn","Name",DJC2)</f>
        <v/>
      </c>
      <c r="DJD3" s="1" t="str" cm="1">
        <f t="array" ref="DJD3">GetValue("Dmn","Name",DJD2)</f>
        <v/>
      </c>
      <c r="DJE3" s="1" t="str" cm="1">
        <f t="array" ref="DJE3">GetValue("Dmn","Name",DJE2)</f>
        <v/>
      </c>
      <c r="DJF3" s="1" t="str" cm="1">
        <f t="array" ref="DJF3">GetValue("Dmn","Name",DJF2)</f>
        <v/>
      </c>
      <c r="DJG3" s="1" t="str" cm="1">
        <f t="array" ref="DJG3">GetValue("Dmn","Name",DJG2)</f>
        <v/>
      </c>
      <c r="DJH3" s="1" t="str" cm="1">
        <f t="array" ref="DJH3">GetValue("Dmn","Name",DJH2)</f>
        <v/>
      </c>
      <c r="DJI3" s="1" t="str" cm="1">
        <f t="array" ref="DJI3">GetValue("Dmn","Name",DJI2)</f>
        <v/>
      </c>
      <c r="DJJ3" s="1" t="str" cm="1">
        <f t="array" ref="DJJ3">GetValue("Dmn","Name",DJJ2)</f>
        <v/>
      </c>
      <c r="DJK3" s="1" t="str" cm="1">
        <f t="array" ref="DJK3">GetValue("Dmn","Name",DJK2)</f>
        <v/>
      </c>
      <c r="DJL3" s="1" t="str" cm="1">
        <f t="array" ref="DJL3">GetValue("Dmn","Name",DJL2)</f>
        <v/>
      </c>
      <c r="DJM3" s="1" t="str" cm="1">
        <f t="array" ref="DJM3">GetValue("Dmn","Name",DJM2)</f>
        <v/>
      </c>
      <c r="DJN3" s="1" t="str" cm="1">
        <f t="array" ref="DJN3">GetValue("Dmn","Name",DJN2)</f>
        <v/>
      </c>
      <c r="DJO3" s="1" t="str" cm="1">
        <f t="array" ref="DJO3">GetValue("Dmn","Name",DJO2)</f>
        <v/>
      </c>
      <c r="DJP3" s="1" t="str" cm="1">
        <f t="array" ref="DJP3">GetValue("Dmn","Name",DJP2)</f>
        <v/>
      </c>
      <c r="DJQ3" s="1" t="str" cm="1">
        <f t="array" ref="DJQ3">GetValue("Dmn","Name",DJQ2)</f>
        <v/>
      </c>
      <c r="DJR3" s="1" t="str" cm="1">
        <f t="array" ref="DJR3">GetValue("Dmn","Name",DJR2)</f>
        <v/>
      </c>
      <c r="DJS3" s="1" t="str" cm="1">
        <f t="array" ref="DJS3">GetValue("Dmn","Name",DJS2)</f>
        <v/>
      </c>
      <c r="DJT3" s="1" t="str" cm="1">
        <f t="array" ref="DJT3">GetValue("Dmn","Name",DJT2)</f>
        <v/>
      </c>
      <c r="DJU3" s="1" t="str" cm="1">
        <f t="array" ref="DJU3">GetValue("Dmn","Name",DJU2)</f>
        <v/>
      </c>
      <c r="DJV3" s="1" t="str" cm="1">
        <f t="array" ref="DJV3">GetValue("Dmn","Name",DJV2)</f>
        <v/>
      </c>
      <c r="DJW3" s="1" t="str" cm="1">
        <f t="array" ref="DJW3">GetValue("Dmn","Name",DJW2)</f>
        <v/>
      </c>
      <c r="DJX3" s="1" t="str" cm="1">
        <f t="array" ref="DJX3">GetValue("Dmn","Name",DJX2)</f>
        <v/>
      </c>
      <c r="DJY3" s="1" t="str" cm="1">
        <f t="array" ref="DJY3">GetValue("Dmn","Name",DJY2)</f>
        <v/>
      </c>
      <c r="DJZ3" s="1" t="str" cm="1">
        <f t="array" ref="DJZ3">GetValue("Dmn","Name",DJZ2)</f>
        <v/>
      </c>
      <c r="DKA3" s="1" t="str" cm="1">
        <f t="array" ref="DKA3">GetValue("Dmn","Name",DKA2)</f>
        <v/>
      </c>
      <c r="DKB3" s="1" t="str" cm="1">
        <f t="array" ref="DKB3">GetValue("Dmn","Name",DKB2)</f>
        <v/>
      </c>
      <c r="DKC3" s="1" t="str" cm="1">
        <f t="array" ref="DKC3">GetValue("Dmn","Name",DKC2)</f>
        <v/>
      </c>
      <c r="DKD3" s="1" t="str" cm="1">
        <f t="array" ref="DKD3">GetValue("Dmn","Name",DKD2)</f>
        <v/>
      </c>
      <c r="DKE3" s="1" t="str" cm="1">
        <f t="array" ref="DKE3">GetValue("Dmn","Name",DKE2)</f>
        <v/>
      </c>
      <c r="DKF3" s="1" t="str" cm="1">
        <f t="array" ref="DKF3">GetValue("Dmn","Name",DKF2)</f>
        <v/>
      </c>
      <c r="DKG3" s="1" t="str" cm="1">
        <f t="array" ref="DKG3">GetValue("Dmn","Name",DKG2)</f>
        <v/>
      </c>
      <c r="DKH3" s="1" t="str" cm="1">
        <f t="array" ref="DKH3">GetValue("Dmn","Name",DKH2)</f>
        <v/>
      </c>
      <c r="DKI3" s="1" t="str" cm="1">
        <f t="array" ref="DKI3">GetValue("Dmn","Name",DKI2)</f>
        <v/>
      </c>
      <c r="DKJ3" s="1" t="str" cm="1">
        <f t="array" ref="DKJ3">GetValue("Dmn","Name",DKJ2)</f>
        <v/>
      </c>
      <c r="DKK3" s="1" t="str" cm="1">
        <f t="array" ref="DKK3">GetValue("Dmn","Name",DKK2)</f>
        <v/>
      </c>
      <c r="DKL3" s="1" t="str" cm="1">
        <f t="array" ref="DKL3">GetValue("Dmn","Name",DKL2)</f>
        <v/>
      </c>
      <c r="DKM3" s="1" t="str" cm="1">
        <f t="array" ref="DKM3">GetValue("Dmn","Name",DKM2)</f>
        <v/>
      </c>
      <c r="DKN3" s="1" t="str" cm="1">
        <f t="array" ref="DKN3">GetValue("Dmn","Name",DKN2)</f>
        <v/>
      </c>
      <c r="DKO3" s="1" t="str" cm="1">
        <f t="array" ref="DKO3">GetValue("Dmn","Name",DKO2)</f>
        <v/>
      </c>
      <c r="DKP3" s="1" t="str" cm="1">
        <f t="array" ref="DKP3">GetValue("Dmn","Name",DKP2)</f>
        <v/>
      </c>
      <c r="DKQ3" s="1" t="str" cm="1">
        <f t="array" ref="DKQ3">GetValue("Dmn","Name",DKQ2)</f>
        <v/>
      </c>
      <c r="DKR3" s="1" t="str" cm="1">
        <f t="array" ref="DKR3">GetValue("Dmn","Name",DKR2)</f>
        <v/>
      </c>
      <c r="DKS3" s="1" t="str" cm="1">
        <f t="array" ref="DKS3">GetValue("Dmn","Name",DKS2)</f>
        <v/>
      </c>
      <c r="DKT3" s="1" t="str" cm="1">
        <f t="array" ref="DKT3">GetValue("Dmn","Name",DKT2)</f>
        <v/>
      </c>
      <c r="DKU3" s="1" t="str" cm="1">
        <f t="array" ref="DKU3">GetValue("Dmn","Name",DKU2)</f>
        <v/>
      </c>
      <c r="DKV3" s="1" t="str" cm="1">
        <f t="array" ref="DKV3">GetValue("Dmn","Name",DKV2)</f>
        <v/>
      </c>
      <c r="DKW3" s="1" t="str" cm="1">
        <f t="array" ref="DKW3">GetValue("Dmn","Name",DKW2)</f>
        <v/>
      </c>
      <c r="DKX3" s="1" t="str" cm="1">
        <f t="array" ref="DKX3">GetValue("Dmn","Name",DKX2)</f>
        <v/>
      </c>
      <c r="DKY3" s="1" t="str" cm="1">
        <f t="array" ref="DKY3">GetValue("Dmn","Name",DKY2)</f>
        <v/>
      </c>
      <c r="DKZ3" s="1" t="str" cm="1">
        <f t="array" ref="DKZ3">GetValue("Dmn","Name",DKZ2)</f>
        <v/>
      </c>
      <c r="DLA3" s="1" t="str" cm="1">
        <f t="array" ref="DLA3">GetValue("Dmn","Name",DLA2)</f>
        <v/>
      </c>
      <c r="DLB3" s="1" t="str" cm="1">
        <f t="array" ref="DLB3">GetValue("Dmn","Name",DLB2)</f>
        <v/>
      </c>
      <c r="DLC3" s="1" t="str" cm="1">
        <f t="array" ref="DLC3">GetValue("Dmn","Name",DLC2)</f>
        <v/>
      </c>
      <c r="DLD3" s="1" t="str" cm="1">
        <f t="array" ref="DLD3">GetValue("Dmn","Name",DLD2)</f>
        <v/>
      </c>
      <c r="DLE3" s="1" t="str" cm="1">
        <f t="array" ref="DLE3">GetValue("Dmn","Name",DLE2)</f>
        <v/>
      </c>
      <c r="DLF3" s="1" t="str" cm="1">
        <f t="array" ref="DLF3">GetValue("Dmn","Name",DLF2)</f>
        <v/>
      </c>
      <c r="DLG3" s="1" t="str" cm="1">
        <f t="array" ref="DLG3">GetValue("Dmn","Name",DLG2)</f>
        <v/>
      </c>
      <c r="DLH3" s="1" t="str" cm="1">
        <f t="array" ref="DLH3">GetValue("Dmn","Name",DLH2)</f>
        <v/>
      </c>
      <c r="DLI3" s="1" t="str" cm="1">
        <f t="array" ref="DLI3">GetValue("Dmn","Name",DLI2)</f>
        <v/>
      </c>
      <c r="DLJ3" s="1" t="str" cm="1">
        <f t="array" ref="DLJ3">GetValue("Dmn","Name",DLJ2)</f>
        <v/>
      </c>
      <c r="DLK3" s="1" t="str" cm="1">
        <f t="array" ref="DLK3">GetValue("Dmn","Name",DLK2)</f>
        <v/>
      </c>
      <c r="DLL3" s="1" t="str" cm="1">
        <f t="array" ref="DLL3">GetValue("Dmn","Name",DLL2)</f>
        <v/>
      </c>
      <c r="DLM3" s="1" t="str" cm="1">
        <f t="array" ref="DLM3">GetValue("Dmn","Name",DLM2)</f>
        <v/>
      </c>
      <c r="DLN3" s="1" t="str" cm="1">
        <f t="array" ref="DLN3">GetValue("Dmn","Name",DLN2)</f>
        <v/>
      </c>
      <c r="DLO3" s="1" t="str" cm="1">
        <f t="array" ref="DLO3">GetValue("Dmn","Name",DLO2)</f>
        <v/>
      </c>
      <c r="DLP3" s="1" t="str" cm="1">
        <f t="array" ref="DLP3">GetValue("Dmn","Name",DLP2)</f>
        <v/>
      </c>
      <c r="DLQ3" s="1" t="str" cm="1">
        <f t="array" ref="DLQ3">GetValue("Dmn","Name",DLQ2)</f>
        <v/>
      </c>
      <c r="DLR3" s="1" t="str" cm="1">
        <f t="array" ref="DLR3">GetValue("Dmn","Name",DLR2)</f>
        <v/>
      </c>
      <c r="DLS3" s="1" t="str" cm="1">
        <f t="array" ref="DLS3">GetValue("Dmn","Name",DLS2)</f>
        <v/>
      </c>
      <c r="DLT3" s="1" t="str" cm="1">
        <f t="array" ref="DLT3">GetValue("Dmn","Name",DLT2)</f>
        <v/>
      </c>
      <c r="DLU3" s="1" t="str" cm="1">
        <f t="array" ref="DLU3">GetValue("Dmn","Name",DLU2)</f>
        <v/>
      </c>
      <c r="DLV3" s="1" t="str" cm="1">
        <f t="array" ref="DLV3">GetValue("Dmn","Name",DLV2)</f>
        <v/>
      </c>
      <c r="DLW3" s="1" t="str" cm="1">
        <f t="array" ref="DLW3">GetValue("Dmn","Name",DLW2)</f>
        <v/>
      </c>
      <c r="DLX3" s="1" t="str" cm="1">
        <f t="array" ref="DLX3">GetValue("Dmn","Name",DLX2)</f>
        <v/>
      </c>
      <c r="DLY3" s="1" t="str" cm="1">
        <f t="array" ref="DLY3">GetValue("Dmn","Name",DLY2)</f>
        <v/>
      </c>
      <c r="DLZ3" s="1" t="str" cm="1">
        <f t="array" ref="DLZ3">GetValue("Dmn","Name",DLZ2)</f>
        <v/>
      </c>
      <c r="DMA3" s="1" t="str" cm="1">
        <f t="array" ref="DMA3">GetValue("Dmn","Name",DMA2)</f>
        <v/>
      </c>
      <c r="DMB3" s="1" t="str" cm="1">
        <f t="array" ref="DMB3">GetValue("Dmn","Name",DMB2)</f>
        <v/>
      </c>
      <c r="DMC3" s="1" t="str" cm="1">
        <f t="array" ref="DMC3">GetValue("Dmn","Name",DMC2)</f>
        <v/>
      </c>
      <c r="DMD3" s="1" t="str" cm="1">
        <f t="array" ref="DMD3">GetValue("Dmn","Name",DMD2)</f>
        <v/>
      </c>
      <c r="DME3" s="1" t="str" cm="1">
        <f t="array" ref="DME3">GetValue("Dmn","Name",DME2)</f>
        <v/>
      </c>
      <c r="DMF3" s="1" t="str" cm="1">
        <f t="array" ref="DMF3">GetValue("Dmn","Name",DMF2)</f>
        <v/>
      </c>
      <c r="DMG3" s="1" t="str" cm="1">
        <f t="array" ref="DMG3">GetValue("Dmn","Name",DMG2)</f>
        <v/>
      </c>
      <c r="DMH3" s="1" t="str" cm="1">
        <f t="array" ref="DMH3">GetValue("Dmn","Name",DMH2)</f>
        <v/>
      </c>
      <c r="DMI3" s="1" t="str" cm="1">
        <f t="array" ref="DMI3">GetValue("Dmn","Name",DMI2)</f>
        <v/>
      </c>
      <c r="DMJ3" s="1" t="str" cm="1">
        <f t="array" ref="DMJ3">GetValue("Dmn","Name",DMJ2)</f>
        <v/>
      </c>
      <c r="DMK3" s="1" t="str" cm="1">
        <f t="array" ref="DMK3">GetValue("Dmn","Name",DMK2)</f>
        <v/>
      </c>
      <c r="DML3" s="1" t="str" cm="1">
        <f t="array" ref="DML3">GetValue("Dmn","Name",DML2)</f>
        <v/>
      </c>
      <c r="DMM3" s="1" t="str" cm="1">
        <f t="array" ref="DMM3">GetValue("Dmn","Name",DMM2)</f>
        <v/>
      </c>
      <c r="DMN3" s="1" t="str" cm="1">
        <f t="array" ref="DMN3">GetValue("Dmn","Name",DMN2)</f>
        <v/>
      </c>
      <c r="DMO3" s="1" t="str" cm="1">
        <f t="array" ref="DMO3">GetValue("Dmn","Name",DMO2)</f>
        <v/>
      </c>
      <c r="DMP3" s="1" t="str" cm="1">
        <f t="array" ref="DMP3">GetValue("Dmn","Name",DMP2)</f>
        <v/>
      </c>
      <c r="DMQ3" s="1" t="str" cm="1">
        <f t="array" ref="DMQ3">GetValue("Dmn","Name",DMQ2)</f>
        <v/>
      </c>
      <c r="DMR3" s="1" t="str" cm="1">
        <f t="array" ref="DMR3">GetValue("Dmn","Name",DMR2)</f>
        <v/>
      </c>
      <c r="DMS3" s="1" t="str" cm="1">
        <f t="array" ref="DMS3">GetValue("Dmn","Name",DMS2)</f>
        <v/>
      </c>
      <c r="DMT3" s="1" t="str" cm="1">
        <f t="array" ref="DMT3">GetValue("Dmn","Name",DMT2)</f>
        <v/>
      </c>
      <c r="DMU3" s="1" t="str" cm="1">
        <f t="array" ref="DMU3">GetValue("Dmn","Name",DMU2)</f>
        <v/>
      </c>
      <c r="DMV3" s="1" t="str" cm="1">
        <f t="array" ref="DMV3">GetValue("Dmn","Name",DMV2)</f>
        <v/>
      </c>
      <c r="DMW3" s="1" t="str" cm="1">
        <f t="array" ref="DMW3">GetValue("Dmn","Name",DMW2)</f>
        <v/>
      </c>
      <c r="DMX3" s="1" t="str" cm="1">
        <f t="array" ref="DMX3">GetValue("Dmn","Name",DMX2)</f>
        <v/>
      </c>
      <c r="DMY3" s="1" t="str" cm="1">
        <f t="array" ref="DMY3">GetValue("Dmn","Name",DMY2)</f>
        <v/>
      </c>
      <c r="DMZ3" s="1" t="str" cm="1">
        <f t="array" ref="DMZ3">GetValue("Dmn","Name",DMZ2)</f>
        <v/>
      </c>
      <c r="DNA3" s="1" t="str" cm="1">
        <f t="array" ref="DNA3">GetValue("Dmn","Name",DNA2)</f>
        <v/>
      </c>
      <c r="DNB3" s="1" t="str" cm="1">
        <f t="array" ref="DNB3">GetValue("Dmn","Name",DNB2)</f>
        <v/>
      </c>
      <c r="DNC3" s="1" t="str" cm="1">
        <f t="array" ref="DNC3">GetValue("Dmn","Name",DNC2)</f>
        <v/>
      </c>
      <c r="DND3" s="1" t="str" cm="1">
        <f t="array" ref="DND3">GetValue("Dmn","Name",DND2)</f>
        <v/>
      </c>
      <c r="DNE3" s="1" t="str" cm="1">
        <f t="array" ref="DNE3">GetValue("Dmn","Name",DNE2)</f>
        <v/>
      </c>
      <c r="DNF3" s="1" t="str" cm="1">
        <f t="array" ref="DNF3">GetValue("Dmn","Name",DNF2)</f>
        <v/>
      </c>
      <c r="DNG3" s="1" t="str" cm="1">
        <f t="array" ref="DNG3">GetValue("Dmn","Name",DNG2)</f>
        <v/>
      </c>
      <c r="DNH3" s="1" t="str" cm="1">
        <f t="array" ref="DNH3">GetValue("Dmn","Name",DNH2)</f>
        <v/>
      </c>
      <c r="DNI3" s="1" t="str" cm="1">
        <f t="array" ref="DNI3">GetValue("Dmn","Name",DNI2)</f>
        <v/>
      </c>
      <c r="DNJ3" s="1" t="str" cm="1">
        <f t="array" ref="DNJ3">GetValue("Dmn","Name",DNJ2)</f>
        <v/>
      </c>
      <c r="DNK3" s="1" t="str" cm="1">
        <f t="array" ref="DNK3">GetValue("Dmn","Name",DNK2)</f>
        <v/>
      </c>
      <c r="DNL3" s="1" t="str" cm="1">
        <f t="array" ref="DNL3">GetValue("Dmn","Name",DNL2)</f>
        <v/>
      </c>
      <c r="DNM3" s="1" t="str" cm="1">
        <f t="array" ref="DNM3">GetValue("Dmn","Name",DNM2)</f>
        <v/>
      </c>
      <c r="DNN3" s="1" t="str" cm="1">
        <f t="array" ref="DNN3">GetValue("Dmn","Name",DNN2)</f>
        <v/>
      </c>
      <c r="DNO3" s="1" t="str" cm="1">
        <f t="array" ref="DNO3">GetValue("Dmn","Name",DNO2)</f>
        <v/>
      </c>
      <c r="DNP3" s="1" t="str" cm="1">
        <f t="array" ref="DNP3">GetValue("Dmn","Name",DNP2)</f>
        <v/>
      </c>
      <c r="DNQ3" s="1" t="str" cm="1">
        <f t="array" ref="DNQ3">GetValue("Dmn","Name",DNQ2)</f>
        <v/>
      </c>
      <c r="DNR3" s="1" t="str" cm="1">
        <f t="array" ref="DNR3">GetValue("Dmn","Name",DNR2)</f>
        <v/>
      </c>
      <c r="DNS3" s="1" t="str" cm="1">
        <f t="array" ref="DNS3">GetValue("Dmn","Name",DNS2)</f>
        <v/>
      </c>
      <c r="DNT3" s="1" t="str" cm="1">
        <f t="array" ref="DNT3">GetValue("Dmn","Name",DNT2)</f>
        <v/>
      </c>
      <c r="DNU3" s="1" t="str" cm="1">
        <f t="array" ref="DNU3">GetValue("Dmn","Name",DNU2)</f>
        <v/>
      </c>
      <c r="DNV3" s="1" t="str" cm="1">
        <f t="array" ref="DNV3">GetValue("Dmn","Name",DNV2)</f>
        <v/>
      </c>
      <c r="DNW3" s="1" t="str" cm="1">
        <f t="array" ref="DNW3">GetValue("Dmn","Name",DNW2)</f>
        <v/>
      </c>
      <c r="DNX3" s="1" t="str" cm="1">
        <f t="array" ref="DNX3">GetValue("Dmn","Name",DNX2)</f>
        <v/>
      </c>
      <c r="DNY3" s="1" t="str" cm="1">
        <f t="array" ref="DNY3">GetValue("Dmn","Name",DNY2)</f>
        <v/>
      </c>
      <c r="DNZ3" s="1" t="str" cm="1">
        <f t="array" ref="DNZ3">GetValue("Dmn","Name",DNZ2)</f>
        <v/>
      </c>
      <c r="DOA3" s="1" t="str" cm="1">
        <f t="array" ref="DOA3">GetValue("Dmn","Name",DOA2)</f>
        <v/>
      </c>
      <c r="DOB3" s="1" t="str" cm="1">
        <f t="array" ref="DOB3">GetValue("Dmn","Name",DOB2)</f>
        <v/>
      </c>
      <c r="DOC3" s="1" t="str" cm="1">
        <f t="array" ref="DOC3">GetValue("Dmn","Name",DOC2)</f>
        <v/>
      </c>
      <c r="DOD3" s="1" t="str" cm="1">
        <f t="array" ref="DOD3">GetValue("Dmn","Name",DOD2)</f>
        <v/>
      </c>
      <c r="DOE3" s="1" t="str" cm="1">
        <f t="array" ref="DOE3">GetValue("Dmn","Name",DOE2)</f>
        <v/>
      </c>
      <c r="DOF3" s="1" t="str" cm="1">
        <f t="array" ref="DOF3">GetValue("Dmn","Name",DOF2)</f>
        <v/>
      </c>
      <c r="DOG3" s="1" t="str" cm="1">
        <f t="array" ref="DOG3">GetValue("Dmn","Name",DOG2)</f>
        <v/>
      </c>
      <c r="DOH3" s="1" t="str" cm="1">
        <f t="array" ref="DOH3">GetValue("Dmn","Name",DOH2)</f>
        <v/>
      </c>
      <c r="DOI3" s="1" t="str" cm="1">
        <f t="array" ref="DOI3">GetValue("Dmn","Name",DOI2)</f>
        <v/>
      </c>
      <c r="DOJ3" s="1" t="str" cm="1">
        <f t="array" ref="DOJ3">GetValue("Dmn","Name",DOJ2)</f>
        <v/>
      </c>
      <c r="DOK3" s="1" t="str" cm="1">
        <f t="array" ref="DOK3">GetValue("Dmn","Name",DOK2)</f>
        <v/>
      </c>
      <c r="DOL3" s="1" t="str" cm="1">
        <f t="array" ref="DOL3">GetValue("Dmn","Name",DOL2)</f>
        <v/>
      </c>
      <c r="DOM3" s="1" t="str" cm="1">
        <f t="array" ref="DOM3">GetValue("Dmn","Name",DOM2)</f>
        <v/>
      </c>
      <c r="DON3" s="1" t="str" cm="1">
        <f t="array" ref="DON3">GetValue("Dmn","Name",DON2)</f>
        <v/>
      </c>
      <c r="DOO3" s="1" t="str" cm="1">
        <f t="array" ref="DOO3">GetValue("Dmn","Name",DOO2)</f>
        <v/>
      </c>
      <c r="DOP3" s="1" t="str" cm="1">
        <f t="array" ref="DOP3">GetValue("Dmn","Name",DOP2)</f>
        <v/>
      </c>
      <c r="DOQ3" s="1" t="str" cm="1">
        <f t="array" ref="DOQ3">GetValue("Dmn","Name",DOQ2)</f>
        <v/>
      </c>
      <c r="DOR3" s="1" t="str" cm="1">
        <f t="array" ref="DOR3">GetValue("Dmn","Name",DOR2)</f>
        <v/>
      </c>
      <c r="DOS3" s="1" t="str" cm="1">
        <f t="array" ref="DOS3">GetValue("Dmn","Name",DOS2)</f>
        <v/>
      </c>
      <c r="DOT3" s="1" t="str" cm="1">
        <f t="array" ref="DOT3">GetValue("Dmn","Name",DOT2)</f>
        <v/>
      </c>
      <c r="DOU3" s="1" t="str" cm="1">
        <f t="array" ref="DOU3">GetValue("Dmn","Name",DOU2)</f>
        <v/>
      </c>
      <c r="DOV3" s="1" t="str" cm="1">
        <f t="array" ref="DOV3">GetValue("Dmn","Name",DOV2)</f>
        <v/>
      </c>
      <c r="DOW3" s="1" t="str" cm="1">
        <f t="array" ref="DOW3">GetValue("Dmn","Name",DOW2)</f>
        <v/>
      </c>
      <c r="DOX3" s="1" t="str" cm="1">
        <f t="array" ref="DOX3">GetValue("Dmn","Name",DOX2)</f>
        <v/>
      </c>
      <c r="DOY3" s="1" t="str" cm="1">
        <f t="array" ref="DOY3">GetValue("Dmn","Name",DOY2)</f>
        <v/>
      </c>
      <c r="DOZ3" s="1" t="str" cm="1">
        <f t="array" ref="DOZ3">GetValue("Dmn","Name",DOZ2)</f>
        <v/>
      </c>
      <c r="DPA3" s="1" t="str" cm="1">
        <f t="array" ref="DPA3">GetValue("Dmn","Name",DPA2)</f>
        <v/>
      </c>
      <c r="DPB3" s="1" t="str" cm="1">
        <f t="array" ref="DPB3">GetValue("Dmn","Name",DPB2)</f>
        <v/>
      </c>
      <c r="DPC3" s="1" t="str" cm="1">
        <f t="array" ref="DPC3">GetValue("Dmn","Name",DPC2)</f>
        <v/>
      </c>
      <c r="DPD3" s="1" t="str" cm="1">
        <f t="array" ref="DPD3">GetValue("Dmn","Name",DPD2)</f>
        <v/>
      </c>
      <c r="DPE3" s="1" t="str" cm="1">
        <f t="array" ref="DPE3">GetValue("Dmn","Name",DPE2)</f>
        <v/>
      </c>
      <c r="DPF3" s="1" t="str" cm="1">
        <f t="array" ref="DPF3">GetValue("Dmn","Name",DPF2)</f>
        <v/>
      </c>
      <c r="DPG3" s="1" t="str" cm="1">
        <f t="array" ref="DPG3">GetValue("Dmn","Name",DPG2)</f>
        <v/>
      </c>
      <c r="DPH3" s="1" t="str" cm="1">
        <f t="array" ref="DPH3">GetValue("Dmn","Name",DPH2)</f>
        <v/>
      </c>
      <c r="DPI3" s="1" t="str" cm="1">
        <f t="array" ref="DPI3">GetValue("Dmn","Name",DPI2)</f>
        <v/>
      </c>
      <c r="DPJ3" s="1" t="str" cm="1">
        <f t="array" ref="DPJ3">GetValue("Dmn","Name",DPJ2)</f>
        <v/>
      </c>
      <c r="DPK3" s="1" t="str" cm="1">
        <f t="array" ref="DPK3">GetValue("Dmn","Name",DPK2)</f>
        <v/>
      </c>
      <c r="DPL3" s="1" t="str" cm="1">
        <f t="array" ref="DPL3">GetValue("Dmn","Name",DPL2)</f>
        <v/>
      </c>
      <c r="DPM3" s="1" t="str" cm="1">
        <f t="array" ref="DPM3">GetValue("Dmn","Name",DPM2)</f>
        <v/>
      </c>
      <c r="DPN3" s="1" t="str" cm="1">
        <f t="array" ref="DPN3">GetValue("Dmn","Name",DPN2)</f>
        <v/>
      </c>
      <c r="DPO3" s="1" t="str" cm="1">
        <f t="array" ref="DPO3">GetValue("Dmn","Name",DPO2)</f>
        <v/>
      </c>
      <c r="DPP3" s="1" t="str" cm="1">
        <f t="array" ref="DPP3">GetValue("Dmn","Name",DPP2)</f>
        <v/>
      </c>
      <c r="DPQ3" s="1" t="str" cm="1">
        <f t="array" ref="DPQ3">GetValue("Dmn","Name",DPQ2)</f>
        <v/>
      </c>
      <c r="DPR3" s="1" t="str" cm="1">
        <f t="array" ref="DPR3">GetValue("Dmn","Name",DPR2)</f>
        <v/>
      </c>
      <c r="DPS3" s="1" t="str" cm="1">
        <f t="array" ref="DPS3">GetValue("Dmn","Name",DPS2)</f>
        <v/>
      </c>
      <c r="DPT3" s="1" t="str" cm="1">
        <f t="array" ref="DPT3">GetValue("Dmn","Name",DPT2)</f>
        <v/>
      </c>
      <c r="DPU3" s="1" t="str" cm="1">
        <f t="array" ref="DPU3">GetValue("Dmn","Name",DPU2)</f>
        <v/>
      </c>
      <c r="DPV3" s="1" t="str" cm="1">
        <f t="array" ref="DPV3">GetValue("Dmn","Name",DPV2)</f>
        <v/>
      </c>
      <c r="DPW3" s="1" t="str" cm="1">
        <f t="array" ref="DPW3">GetValue("Dmn","Name",DPW2)</f>
        <v/>
      </c>
      <c r="DPX3" s="1" t="str" cm="1">
        <f t="array" ref="DPX3">GetValue("Dmn","Name",DPX2)</f>
        <v/>
      </c>
      <c r="DPY3" s="1" t="str" cm="1">
        <f t="array" ref="DPY3">GetValue("Dmn","Name",DPY2)</f>
        <v/>
      </c>
      <c r="DPZ3" s="1" t="str" cm="1">
        <f t="array" ref="DPZ3">GetValue("Dmn","Name",DPZ2)</f>
        <v/>
      </c>
      <c r="DQA3" s="1" t="str" cm="1">
        <f t="array" ref="DQA3">GetValue("Dmn","Name",DQA2)</f>
        <v/>
      </c>
      <c r="DQB3" s="1" t="str" cm="1">
        <f t="array" ref="DQB3">GetValue("Dmn","Name",DQB2)</f>
        <v/>
      </c>
      <c r="DQC3" s="1" t="str" cm="1">
        <f t="array" ref="DQC3">GetValue("Dmn","Name",DQC2)</f>
        <v/>
      </c>
      <c r="DQD3" s="1" t="str" cm="1">
        <f t="array" ref="DQD3">GetValue("Dmn","Name",DQD2)</f>
        <v/>
      </c>
      <c r="DQE3" s="1" t="str" cm="1">
        <f t="array" ref="DQE3">GetValue("Dmn","Name",DQE2)</f>
        <v/>
      </c>
      <c r="DQF3" s="1" t="str" cm="1">
        <f t="array" ref="DQF3">GetValue("Dmn","Name",DQF2)</f>
        <v/>
      </c>
      <c r="DQG3" s="1" t="str" cm="1">
        <f t="array" ref="DQG3">GetValue("Dmn","Name",DQG2)</f>
        <v/>
      </c>
      <c r="DQH3" s="1" t="str" cm="1">
        <f t="array" ref="DQH3">GetValue("Dmn","Name",DQH2)</f>
        <v/>
      </c>
      <c r="DQI3" s="1" t="str" cm="1">
        <f t="array" ref="DQI3">GetValue("Dmn","Name",DQI2)</f>
        <v/>
      </c>
      <c r="DQJ3" s="1" t="str" cm="1">
        <f t="array" ref="DQJ3">GetValue("Dmn","Name",DQJ2)</f>
        <v/>
      </c>
      <c r="DQK3" s="1" t="str" cm="1">
        <f t="array" ref="DQK3">GetValue("Dmn","Name",DQK2)</f>
        <v/>
      </c>
      <c r="DQL3" s="1" t="str" cm="1">
        <f t="array" ref="DQL3">GetValue("Dmn","Name",DQL2)</f>
        <v/>
      </c>
      <c r="DQM3" s="1" t="str" cm="1">
        <f t="array" ref="DQM3">GetValue("Dmn","Name",DQM2)</f>
        <v/>
      </c>
      <c r="DQN3" s="1" t="str" cm="1">
        <f t="array" ref="DQN3">GetValue("Dmn","Name",DQN2)</f>
        <v/>
      </c>
      <c r="DQO3" s="1" t="str" cm="1">
        <f t="array" ref="DQO3">GetValue("Dmn","Name",DQO2)</f>
        <v/>
      </c>
      <c r="DQP3" s="1" t="str" cm="1">
        <f t="array" ref="DQP3">GetValue("Dmn","Name",DQP2)</f>
        <v/>
      </c>
      <c r="DQQ3" s="1" t="str" cm="1">
        <f t="array" ref="DQQ3">GetValue("Dmn","Name",DQQ2)</f>
        <v/>
      </c>
      <c r="DQR3" s="1" t="str" cm="1">
        <f t="array" ref="DQR3">GetValue("Dmn","Name",DQR2)</f>
        <v/>
      </c>
      <c r="DQS3" s="1" t="str" cm="1">
        <f t="array" ref="DQS3">GetValue("Dmn","Name",DQS2)</f>
        <v/>
      </c>
      <c r="DQT3" s="1" t="str" cm="1">
        <f t="array" ref="DQT3">GetValue("Dmn","Name",DQT2)</f>
        <v/>
      </c>
      <c r="DQU3" s="1" t="str" cm="1">
        <f t="array" ref="DQU3">GetValue("Dmn","Name",DQU2)</f>
        <v/>
      </c>
      <c r="DQV3" s="1" t="str" cm="1">
        <f t="array" ref="DQV3">GetValue("Dmn","Name",DQV2)</f>
        <v/>
      </c>
      <c r="DQW3" s="1" t="str" cm="1">
        <f t="array" ref="DQW3">GetValue("Dmn","Name",DQW2)</f>
        <v/>
      </c>
      <c r="DQX3" s="1" t="str" cm="1">
        <f t="array" ref="DQX3">GetValue("Dmn","Name",DQX2)</f>
        <v/>
      </c>
      <c r="DQY3" s="1" t="str" cm="1">
        <f t="array" ref="DQY3">GetValue("Dmn","Name",DQY2)</f>
        <v/>
      </c>
      <c r="DQZ3" s="1" t="str" cm="1">
        <f t="array" ref="DQZ3">GetValue("Dmn","Name",DQZ2)</f>
        <v/>
      </c>
      <c r="DRA3" s="1" t="str" cm="1">
        <f t="array" ref="DRA3">GetValue("Dmn","Name",DRA2)</f>
        <v/>
      </c>
      <c r="DRB3" s="1" t="str" cm="1">
        <f t="array" ref="DRB3">GetValue("Dmn","Name",DRB2)</f>
        <v/>
      </c>
      <c r="DRC3" s="1" t="str" cm="1">
        <f t="array" ref="DRC3">GetValue("Dmn","Name",DRC2)</f>
        <v/>
      </c>
      <c r="DRD3" s="1" t="str" cm="1">
        <f t="array" ref="DRD3">GetValue("Dmn","Name",DRD2)</f>
        <v/>
      </c>
      <c r="DRE3" s="1" t="str" cm="1">
        <f t="array" ref="DRE3">GetValue("Dmn","Name",DRE2)</f>
        <v/>
      </c>
      <c r="DRF3" s="1" t="str" cm="1">
        <f t="array" ref="DRF3">GetValue("Dmn","Name",DRF2)</f>
        <v/>
      </c>
      <c r="DRG3" s="1" t="str" cm="1">
        <f t="array" ref="DRG3">GetValue("Dmn","Name",DRG2)</f>
        <v/>
      </c>
      <c r="DRH3" s="1" t="str" cm="1">
        <f t="array" ref="DRH3">GetValue("Dmn","Name",DRH2)</f>
        <v/>
      </c>
      <c r="DRI3" s="1" t="str" cm="1">
        <f t="array" ref="DRI3">GetValue("Dmn","Name",DRI2)</f>
        <v/>
      </c>
      <c r="DRJ3" s="1" t="str" cm="1">
        <f t="array" ref="DRJ3">GetValue("Dmn","Name",DRJ2)</f>
        <v/>
      </c>
      <c r="DRK3" s="1" t="str" cm="1">
        <f t="array" ref="DRK3">GetValue("Dmn","Name",DRK2)</f>
        <v/>
      </c>
      <c r="DRL3" s="1" t="str" cm="1">
        <f t="array" ref="DRL3">GetValue("Dmn","Name",DRL2)</f>
        <v/>
      </c>
      <c r="DRM3" s="1" t="str" cm="1">
        <f t="array" ref="DRM3">GetValue("Dmn","Name",DRM2)</f>
        <v/>
      </c>
      <c r="DRN3" s="1" t="str" cm="1">
        <f t="array" ref="DRN3">GetValue("Dmn","Name",DRN2)</f>
        <v/>
      </c>
      <c r="DRO3" s="1" t="str" cm="1">
        <f t="array" ref="DRO3">GetValue("Dmn","Name",DRO2)</f>
        <v/>
      </c>
      <c r="DRP3" s="1" t="str" cm="1">
        <f t="array" ref="DRP3">GetValue("Dmn","Name",DRP2)</f>
        <v/>
      </c>
      <c r="DRQ3" s="1" t="str" cm="1">
        <f t="array" ref="DRQ3">GetValue("Dmn","Name",DRQ2)</f>
        <v/>
      </c>
      <c r="DRR3" s="1" t="str" cm="1">
        <f t="array" ref="DRR3">GetValue("Dmn","Name",DRR2)</f>
        <v/>
      </c>
      <c r="DRS3" s="1" t="str" cm="1">
        <f t="array" ref="DRS3">GetValue("Dmn","Name",DRS2)</f>
        <v/>
      </c>
      <c r="DRT3" s="1" t="str" cm="1">
        <f t="array" ref="DRT3">GetValue("Dmn","Name",DRT2)</f>
        <v/>
      </c>
      <c r="DRU3" s="1" t="str" cm="1">
        <f t="array" ref="DRU3">GetValue("Dmn","Name",DRU2)</f>
        <v/>
      </c>
      <c r="DRV3" s="1" t="str" cm="1">
        <f t="array" ref="DRV3">GetValue("Dmn","Name",DRV2)</f>
        <v/>
      </c>
      <c r="DRW3" s="1" t="str" cm="1">
        <f t="array" ref="DRW3">GetValue("Dmn","Name",DRW2)</f>
        <v/>
      </c>
      <c r="DRX3" s="1" t="str" cm="1">
        <f t="array" ref="DRX3">GetValue("Dmn","Name",DRX2)</f>
        <v/>
      </c>
      <c r="DRY3" s="1" t="str" cm="1">
        <f t="array" ref="DRY3">GetValue("Dmn","Name",DRY2)</f>
        <v/>
      </c>
      <c r="DRZ3" s="1" t="str" cm="1">
        <f t="array" ref="DRZ3">GetValue("Dmn","Name",DRZ2)</f>
        <v/>
      </c>
      <c r="DSA3" s="1" t="str" cm="1">
        <f t="array" ref="DSA3">GetValue("Dmn","Name",DSA2)</f>
        <v/>
      </c>
      <c r="DSB3" s="1" t="str" cm="1">
        <f t="array" ref="DSB3">GetValue("Dmn","Name",DSB2)</f>
        <v/>
      </c>
      <c r="DSC3" s="1" t="str" cm="1">
        <f t="array" ref="DSC3">GetValue("Dmn","Name",DSC2)</f>
        <v/>
      </c>
      <c r="DSD3" s="1" t="str" cm="1">
        <f t="array" ref="DSD3">GetValue("Dmn","Name",DSD2)</f>
        <v/>
      </c>
      <c r="DSE3" s="1" t="str" cm="1">
        <f t="array" ref="DSE3">GetValue("Dmn","Name",DSE2)</f>
        <v/>
      </c>
      <c r="DSF3" s="1" t="str" cm="1">
        <f t="array" ref="DSF3">GetValue("Dmn","Name",DSF2)</f>
        <v/>
      </c>
      <c r="DSG3" s="1" t="str" cm="1">
        <f t="array" ref="DSG3">GetValue("Dmn","Name",DSG2)</f>
        <v/>
      </c>
      <c r="DSH3" s="1" t="str" cm="1">
        <f t="array" ref="DSH3">GetValue("Dmn","Name",DSH2)</f>
        <v/>
      </c>
      <c r="DSI3" s="1" t="str" cm="1">
        <f t="array" ref="DSI3">GetValue("Dmn","Name",DSI2)</f>
        <v/>
      </c>
      <c r="DSJ3" s="1" t="str" cm="1">
        <f t="array" ref="DSJ3">GetValue("Dmn","Name",DSJ2)</f>
        <v/>
      </c>
      <c r="DSK3" s="1" t="str" cm="1">
        <f t="array" ref="DSK3">GetValue("Dmn","Name",DSK2)</f>
        <v/>
      </c>
      <c r="DSL3" s="1" t="str" cm="1">
        <f t="array" ref="DSL3">GetValue("Dmn","Name",DSL2)</f>
        <v/>
      </c>
      <c r="DSM3" s="1" t="str" cm="1">
        <f t="array" ref="DSM3">GetValue("Dmn","Name",DSM2)</f>
        <v/>
      </c>
      <c r="DSN3" s="1" t="str" cm="1">
        <f t="array" ref="DSN3">GetValue("Dmn","Name",DSN2)</f>
        <v/>
      </c>
      <c r="DSO3" s="1" t="str" cm="1">
        <f t="array" ref="DSO3">GetValue("Dmn","Name",DSO2)</f>
        <v/>
      </c>
      <c r="DSP3" s="1" t="str" cm="1">
        <f t="array" ref="DSP3">GetValue("Dmn","Name",DSP2)</f>
        <v/>
      </c>
      <c r="DSQ3" s="1" t="str" cm="1">
        <f t="array" ref="DSQ3">GetValue("Dmn","Name",DSQ2)</f>
        <v/>
      </c>
      <c r="DSR3" s="1" t="str" cm="1">
        <f t="array" ref="DSR3">GetValue("Dmn","Name",DSR2)</f>
        <v/>
      </c>
      <c r="DSS3" s="1" t="str" cm="1">
        <f t="array" ref="DSS3">GetValue("Dmn","Name",DSS2)</f>
        <v/>
      </c>
      <c r="DST3" s="1" t="str" cm="1">
        <f t="array" ref="DST3">GetValue("Dmn","Name",DST2)</f>
        <v/>
      </c>
      <c r="DSU3" s="1" t="str" cm="1">
        <f t="array" ref="DSU3">GetValue("Dmn","Name",DSU2)</f>
        <v/>
      </c>
      <c r="DSV3" s="1" t="str" cm="1">
        <f t="array" ref="DSV3">GetValue("Dmn","Name",DSV2)</f>
        <v/>
      </c>
      <c r="DSW3" s="1" t="str" cm="1">
        <f t="array" ref="DSW3">GetValue("Dmn","Name",DSW2)</f>
        <v/>
      </c>
      <c r="DSX3" s="1" t="str" cm="1">
        <f t="array" ref="DSX3">GetValue("Dmn","Name",DSX2)</f>
        <v/>
      </c>
      <c r="DSY3" s="1" t="str" cm="1">
        <f t="array" ref="DSY3">GetValue("Dmn","Name",DSY2)</f>
        <v/>
      </c>
      <c r="DSZ3" s="1" t="str" cm="1">
        <f t="array" ref="DSZ3">GetValue("Dmn","Name",DSZ2)</f>
        <v/>
      </c>
      <c r="DTA3" s="1" t="str" cm="1">
        <f t="array" ref="DTA3">GetValue("Dmn","Name",DTA2)</f>
        <v/>
      </c>
      <c r="DTB3" s="1" t="str" cm="1">
        <f t="array" ref="DTB3">GetValue("Dmn","Name",DTB2)</f>
        <v/>
      </c>
      <c r="DTC3" s="1" t="str" cm="1">
        <f t="array" ref="DTC3">GetValue("Dmn","Name",DTC2)</f>
        <v/>
      </c>
      <c r="DTD3" s="1" t="str" cm="1">
        <f t="array" ref="DTD3">GetValue("Dmn","Name",DTD2)</f>
        <v/>
      </c>
      <c r="DTE3" s="1" t="str" cm="1">
        <f t="array" ref="DTE3">GetValue("Dmn","Name",DTE2)</f>
        <v/>
      </c>
      <c r="DTF3" s="1" t="str" cm="1">
        <f t="array" ref="DTF3">GetValue("Dmn","Name",DTF2)</f>
        <v/>
      </c>
      <c r="DTG3" s="1" t="str" cm="1">
        <f t="array" ref="DTG3">GetValue("Dmn","Name",DTG2)</f>
        <v/>
      </c>
      <c r="DTH3" s="1" t="str" cm="1">
        <f t="array" ref="DTH3">GetValue("Dmn","Name",DTH2)</f>
        <v/>
      </c>
      <c r="DTI3" s="1" t="str" cm="1">
        <f t="array" ref="DTI3">GetValue("Dmn","Name",DTI2)</f>
        <v/>
      </c>
      <c r="DTJ3" s="1" t="str" cm="1">
        <f t="array" ref="DTJ3">GetValue("Dmn","Name",DTJ2)</f>
        <v/>
      </c>
      <c r="DTK3" s="1" t="str" cm="1">
        <f t="array" ref="DTK3">GetValue("Dmn","Name",DTK2)</f>
        <v/>
      </c>
      <c r="DTL3" s="1" t="str" cm="1">
        <f t="array" ref="DTL3">GetValue("Dmn","Name",DTL2)</f>
        <v/>
      </c>
      <c r="DTM3" s="1" t="str" cm="1">
        <f t="array" ref="DTM3">GetValue("Dmn","Name",DTM2)</f>
        <v/>
      </c>
      <c r="DTN3" s="1" t="str" cm="1">
        <f t="array" ref="DTN3">GetValue("Dmn","Name",DTN2)</f>
        <v/>
      </c>
      <c r="DTO3" s="1" t="str" cm="1">
        <f t="array" ref="DTO3">GetValue("Dmn","Name",DTO2)</f>
        <v/>
      </c>
      <c r="DTP3" s="1" t="str" cm="1">
        <f t="array" ref="DTP3">GetValue("Dmn","Name",DTP2)</f>
        <v/>
      </c>
      <c r="DTQ3" s="1" t="str" cm="1">
        <f t="array" ref="DTQ3">GetValue("Dmn","Name",DTQ2)</f>
        <v/>
      </c>
      <c r="DTR3" s="1" t="str" cm="1">
        <f t="array" ref="DTR3">GetValue("Dmn","Name",DTR2)</f>
        <v/>
      </c>
      <c r="DTS3" s="1" t="str" cm="1">
        <f t="array" ref="DTS3">GetValue("Dmn","Name",DTS2)</f>
        <v/>
      </c>
      <c r="DTT3" s="1" t="str" cm="1">
        <f t="array" ref="DTT3">GetValue("Dmn","Name",DTT2)</f>
        <v/>
      </c>
      <c r="DTU3" s="1" t="str" cm="1">
        <f t="array" ref="DTU3">GetValue("Dmn","Name",DTU2)</f>
        <v/>
      </c>
      <c r="DTV3" s="1" t="str" cm="1">
        <f t="array" ref="DTV3">GetValue("Dmn","Name",DTV2)</f>
        <v/>
      </c>
      <c r="DTW3" s="1" t="str" cm="1">
        <f t="array" ref="DTW3">GetValue("Dmn","Name",DTW2)</f>
        <v/>
      </c>
      <c r="DTX3" s="1" t="str" cm="1">
        <f t="array" ref="DTX3">GetValue("Dmn","Name",DTX2)</f>
        <v/>
      </c>
      <c r="DTY3" s="1" t="str" cm="1">
        <f t="array" ref="DTY3">GetValue("Dmn","Name",DTY2)</f>
        <v/>
      </c>
      <c r="DTZ3" s="1" t="str" cm="1">
        <f t="array" ref="DTZ3">GetValue("Dmn","Name",DTZ2)</f>
        <v/>
      </c>
      <c r="DUA3" s="1" t="str" cm="1">
        <f t="array" ref="DUA3">GetValue("Dmn","Name",DUA2)</f>
        <v/>
      </c>
      <c r="DUB3" s="1" t="str" cm="1">
        <f t="array" ref="DUB3">GetValue("Dmn","Name",DUB2)</f>
        <v/>
      </c>
      <c r="DUC3" s="1" t="str" cm="1">
        <f t="array" ref="DUC3">GetValue("Dmn","Name",DUC2)</f>
        <v/>
      </c>
      <c r="DUD3" s="1" t="str" cm="1">
        <f t="array" ref="DUD3">GetValue("Dmn","Name",DUD2)</f>
        <v/>
      </c>
      <c r="DUE3" s="1" t="str" cm="1">
        <f t="array" ref="DUE3">GetValue("Dmn","Name",DUE2)</f>
        <v/>
      </c>
      <c r="DUF3" s="1" t="str" cm="1">
        <f t="array" ref="DUF3">GetValue("Dmn","Name",DUF2)</f>
        <v/>
      </c>
      <c r="DUG3" s="1" t="str" cm="1">
        <f t="array" ref="DUG3">GetValue("Dmn","Name",DUG2)</f>
        <v/>
      </c>
      <c r="DUH3" s="1" t="str" cm="1">
        <f t="array" ref="DUH3">GetValue("Dmn","Name",DUH2)</f>
        <v/>
      </c>
      <c r="DUI3" s="1" t="str" cm="1">
        <f t="array" ref="DUI3">GetValue("Dmn","Name",DUI2)</f>
        <v/>
      </c>
      <c r="DUJ3" s="1" t="str" cm="1">
        <f t="array" ref="DUJ3">GetValue("Dmn","Name",DUJ2)</f>
        <v/>
      </c>
      <c r="DUK3" s="1" t="str" cm="1">
        <f t="array" ref="DUK3">GetValue("Dmn","Name",DUK2)</f>
        <v/>
      </c>
      <c r="DUL3" s="1" t="str" cm="1">
        <f t="array" ref="DUL3">GetValue("Dmn","Name",DUL2)</f>
        <v/>
      </c>
      <c r="DUM3" s="1" t="str" cm="1">
        <f t="array" ref="DUM3">GetValue("Dmn","Name",DUM2)</f>
        <v/>
      </c>
      <c r="DUN3" s="1" t="str" cm="1">
        <f t="array" ref="DUN3">GetValue("Dmn","Name",DUN2)</f>
        <v/>
      </c>
      <c r="DUO3" s="1" t="str" cm="1">
        <f t="array" ref="DUO3">GetValue("Dmn","Name",DUO2)</f>
        <v/>
      </c>
      <c r="DUP3" s="1" t="str" cm="1">
        <f t="array" ref="DUP3">GetValue("Dmn","Name",DUP2)</f>
        <v/>
      </c>
      <c r="DUQ3" s="1" t="str" cm="1">
        <f t="array" ref="DUQ3">GetValue("Dmn","Name",DUQ2)</f>
        <v/>
      </c>
      <c r="DUR3" s="1" t="str" cm="1">
        <f t="array" ref="DUR3">GetValue("Dmn","Name",DUR2)</f>
        <v/>
      </c>
      <c r="DUS3" s="1" t="str" cm="1">
        <f t="array" ref="DUS3">GetValue("Dmn","Name",DUS2)</f>
        <v/>
      </c>
      <c r="DUT3" s="1" t="str" cm="1">
        <f t="array" ref="DUT3">GetValue("Dmn","Name",DUT2)</f>
        <v/>
      </c>
      <c r="DUU3" s="1" t="str" cm="1">
        <f t="array" ref="DUU3">GetValue("Dmn","Name",DUU2)</f>
        <v/>
      </c>
      <c r="DUV3" s="1" t="str" cm="1">
        <f t="array" ref="DUV3">GetValue("Dmn","Name",DUV2)</f>
        <v/>
      </c>
      <c r="DUW3" s="1" t="str" cm="1">
        <f t="array" ref="DUW3">GetValue("Dmn","Name",DUW2)</f>
        <v/>
      </c>
      <c r="DUX3" s="1" t="str" cm="1">
        <f t="array" ref="DUX3">GetValue("Dmn","Name",DUX2)</f>
        <v/>
      </c>
      <c r="DUY3" s="1" t="str" cm="1">
        <f t="array" ref="DUY3">GetValue("Dmn","Name",DUY2)</f>
        <v/>
      </c>
      <c r="DUZ3" s="1" t="str" cm="1">
        <f t="array" ref="DUZ3">GetValue("Dmn","Name",DUZ2)</f>
        <v/>
      </c>
      <c r="DVA3" s="1" t="str" cm="1">
        <f t="array" ref="DVA3">GetValue("Dmn","Name",DVA2)</f>
        <v/>
      </c>
      <c r="DVB3" s="1" t="str" cm="1">
        <f t="array" ref="DVB3">GetValue("Dmn","Name",DVB2)</f>
        <v/>
      </c>
      <c r="DVC3" s="1" t="str" cm="1">
        <f t="array" ref="DVC3">GetValue("Dmn","Name",DVC2)</f>
        <v/>
      </c>
      <c r="DVD3" s="1" t="str" cm="1">
        <f t="array" ref="DVD3">GetValue("Dmn","Name",DVD2)</f>
        <v/>
      </c>
      <c r="DVE3" s="1" t="str" cm="1">
        <f t="array" ref="DVE3">GetValue("Dmn","Name",DVE2)</f>
        <v/>
      </c>
      <c r="DVF3" s="1" t="str" cm="1">
        <f t="array" ref="DVF3">GetValue("Dmn","Name",DVF2)</f>
        <v/>
      </c>
      <c r="DVG3" s="1" t="str" cm="1">
        <f t="array" ref="DVG3">GetValue("Dmn","Name",DVG2)</f>
        <v/>
      </c>
      <c r="DVH3" s="1" t="str" cm="1">
        <f t="array" ref="DVH3">GetValue("Dmn","Name",DVH2)</f>
        <v/>
      </c>
      <c r="DVI3" s="1" t="str" cm="1">
        <f t="array" ref="DVI3">GetValue("Dmn","Name",DVI2)</f>
        <v/>
      </c>
      <c r="DVJ3" s="1" t="str" cm="1">
        <f t="array" ref="DVJ3">GetValue("Dmn","Name",DVJ2)</f>
        <v/>
      </c>
      <c r="DVK3" s="1" t="str" cm="1">
        <f t="array" ref="DVK3">GetValue("Dmn","Name",DVK2)</f>
        <v/>
      </c>
      <c r="DVL3" s="1" t="str" cm="1">
        <f t="array" ref="DVL3">GetValue("Dmn","Name",DVL2)</f>
        <v/>
      </c>
      <c r="DVM3" s="1" t="str" cm="1">
        <f t="array" ref="DVM3">GetValue("Dmn","Name",DVM2)</f>
        <v/>
      </c>
      <c r="DVN3" s="1" t="str" cm="1">
        <f t="array" ref="DVN3">GetValue("Dmn","Name",DVN2)</f>
        <v/>
      </c>
      <c r="DVO3" s="1" t="str" cm="1">
        <f t="array" ref="DVO3">GetValue("Dmn","Name",DVO2)</f>
        <v/>
      </c>
      <c r="DVP3" s="1" t="str" cm="1">
        <f t="array" ref="DVP3">GetValue("Dmn","Name",DVP2)</f>
        <v/>
      </c>
      <c r="DVQ3" s="1" t="str" cm="1">
        <f t="array" ref="DVQ3">GetValue("Dmn","Name",DVQ2)</f>
        <v/>
      </c>
      <c r="DVR3" s="1" t="str" cm="1">
        <f t="array" ref="DVR3">GetValue("Dmn","Name",DVR2)</f>
        <v/>
      </c>
      <c r="DVS3" s="1" t="str" cm="1">
        <f t="array" ref="DVS3">GetValue("Dmn","Name",DVS2)</f>
        <v/>
      </c>
      <c r="DVT3" s="1" t="str" cm="1">
        <f t="array" ref="DVT3">GetValue("Dmn","Name",DVT2)</f>
        <v/>
      </c>
      <c r="DVU3" s="1" t="str" cm="1">
        <f t="array" ref="DVU3">GetValue("Dmn","Name",DVU2)</f>
        <v/>
      </c>
      <c r="DVV3" s="1" t="str" cm="1">
        <f t="array" ref="DVV3">GetValue("Dmn","Name",DVV2)</f>
        <v/>
      </c>
      <c r="DVW3" s="1" t="str" cm="1">
        <f t="array" ref="DVW3">GetValue("Dmn","Name",DVW2)</f>
        <v/>
      </c>
      <c r="DVX3" s="1" t="str" cm="1">
        <f t="array" ref="DVX3">GetValue("Dmn","Name",DVX2)</f>
        <v/>
      </c>
      <c r="DVY3" s="1" t="str" cm="1">
        <f t="array" ref="DVY3">GetValue("Dmn","Name",DVY2)</f>
        <v/>
      </c>
      <c r="DVZ3" s="1" t="str" cm="1">
        <f t="array" ref="DVZ3">GetValue("Dmn","Name",DVZ2)</f>
        <v/>
      </c>
      <c r="DWA3" s="1" t="str" cm="1">
        <f t="array" ref="DWA3">GetValue("Dmn","Name",DWA2)</f>
        <v/>
      </c>
      <c r="DWB3" s="1" t="str" cm="1">
        <f t="array" ref="DWB3">GetValue("Dmn","Name",DWB2)</f>
        <v/>
      </c>
      <c r="DWC3" s="1" t="str" cm="1">
        <f t="array" ref="DWC3">GetValue("Dmn","Name",DWC2)</f>
        <v/>
      </c>
      <c r="DWD3" s="1" t="str" cm="1">
        <f t="array" ref="DWD3">GetValue("Dmn","Name",DWD2)</f>
        <v/>
      </c>
      <c r="DWE3" s="1" t="str" cm="1">
        <f t="array" ref="DWE3">GetValue("Dmn","Name",DWE2)</f>
        <v/>
      </c>
      <c r="DWF3" s="1" t="str" cm="1">
        <f t="array" ref="DWF3">GetValue("Dmn","Name",DWF2)</f>
        <v/>
      </c>
      <c r="DWG3" s="1" t="str" cm="1">
        <f t="array" ref="DWG3">GetValue("Dmn","Name",DWG2)</f>
        <v/>
      </c>
      <c r="DWH3" s="1" t="str" cm="1">
        <f t="array" ref="DWH3">GetValue("Dmn","Name",DWH2)</f>
        <v/>
      </c>
      <c r="DWI3" s="1" t="str" cm="1">
        <f t="array" ref="DWI3">GetValue("Dmn","Name",DWI2)</f>
        <v/>
      </c>
      <c r="DWJ3" s="1" t="str" cm="1">
        <f t="array" ref="DWJ3">GetValue("Dmn","Name",DWJ2)</f>
        <v/>
      </c>
      <c r="DWK3" s="1" t="str" cm="1">
        <f t="array" ref="DWK3">GetValue("Dmn","Name",DWK2)</f>
        <v/>
      </c>
      <c r="DWL3" s="1" t="str" cm="1">
        <f t="array" ref="DWL3">GetValue("Dmn","Name",DWL2)</f>
        <v/>
      </c>
      <c r="DWM3" s="1" t="str" cm="1">
        <f t="array" ref="DWM3">GetValue("Dmn","Name",DWM2)</f>
        <v/>
      </c>
      <c r="DWN3" s="1" t="str" cm="1">
        <f t="array" ref="DWN3">GetValue("Dmn","Name",DWN2)</f>
        <v/>
      </c>
      <c r="DWO3" s="1" t="str" cm="1">
        <f t="array" ref="DWO3">GetValue("Dmn","Name",DWO2)</f>
        <v/>
      </c>
      <c r="DWP3" s="1" t="str" cm="1">
        <f t="array" ref="DWP3">GetValue("Dmn","Name",DWP2)</f>
        <v/>
      </c>
      <c r="DWQ3" s="1" t="str" cm="1">
        <f t="array" ref="DWQ3">GetValue("Dmn","Name",DWQ2)</f>
        <v/>
      </c>
      <c r="DWR3" s="1" t="str" cm="1">
        <f t="array" ref="DWR3">GetValue("Dmn","Name",DWR2)</f>
        <v/>
      </c>
      <c r="DWS3" s="1" t="str" cm="1">
        <f t="array" ref="DWS3">GetValue("Dmn","Name",DWS2)</f>
        <v/>
      </c>
      <c r="DWT3" s="1" t="str" cm="1">
        <f t="array" ref="DWT3">GetValue("Dmn","Name",DWT2)</f>
        <v/>
      </c>
      <c r="DWU3" s="1" t="str" cm="1">
        <f t="array" ref="DWU3">GetValue("Dmn","Name",DWU2)</f>
        <v/>
      </c>
      <c r="DWV3" s="1" t="str" cm="1">
        <f t="array" ref="DWV3">GetValue("Dmn","Name",DWV2)</f>
        <v/>
      </c>
      <c r="DWW3" s="1" t="str" cm="1">
        <f t="array" ref="DWW3">GetValue("Dmn","Name",DWW2)</f>
        <v/>
      </c>
      <c r="DWX3" s="1" t="str" cm="1">
        <f t="array" ref="DWX3">GetValue("Dmn","Name",DWX2)</f>
        <v/>
      </c>
      <c r="DWY3" s="1" t="str" cm="1">
        <f t="array" ref="DWY3">GetValue("Dmn","Name",DWY2)</f>
        <v/>
      </c>
      <c r="DWZ3" s="1" t="str" cm="1">
        <f t="array" ref="DWZ3">GetValue("Dmn","Name",DWZ2)</f>
        <v/>
      </c>
      <c r="DXA3" s="1" t="str" cm="1">
        <f t="array" ref="DXA3">GetValue("Dmn","Name",DXA2)</f>
        <v/>
      </c>
      <c r="DXB3" s="1" t="str" cm="1">
        <f t="array" ref="DXB3">GetValue("Dmn","Name",DXB2)</f>
        <v/>
      </c>
      <c r="DXC3" s="1" t="str" cm="1">
        <f t="array" ref="DXC3">GetValue("Dmn","Name",DXC2)</f>
        <v/>
      </c>
      <c r="DXD3" s="1" t="str" cm="1">
        <f t="array" ref="DXD3">GetValue("Dmn","Name",DXD2)</f>
        <v/>
      </c>
      <c r="DXE3" s="1" t="str" cm="1">
        <f t="array" ref="DXE3">GetValue("Dmn","Name",DXE2)</f>
        <v/>
      </c>
      <c r="DXF3" s="1" t="str" cm="1">
        <f t="array" ref="DXF3">GetValue("Dmn","Name",DXF2)</f>
        <v/>
      </c>
      <c r="DXG3" s="1" t="str" cm="1">
        <f t="array" ref="DXG3">GetValue("Dmn","Name",DXG2)</f>
        <v/>
      </c>
      <c r="DXH3" s="1" t="str" cm="1">
        <f t="array" ref="DXH3">GetValue("Dmn","Name",DXH2)</f>
        <v/>
      </c>
      <c r="DXI3" s="1" t="str" cm="1">
        <f t="array" ref="DXI3">GetValue("Dmn","Name",DXI2)</f>
        <v/>
      </c>
      <c r="DXJ3" s="1" t="str" cm="1">
        <f t="array" ref="DXJ3">GetValue("Dmn","Name",DXJ2)</f>
        <v/>
      </c>
      <c r="DXK3" s="1" t="str" cm="1">
        <f t="array" ref="DXK3">GetValue("Dmn","Name",DXK2)</f>
        <v/>
      </c>
      <c r="DXL3" s="1" t="str" cm="1">
        <f t="array" ref="DXL3">GetValue("Dmn","Name",DXL2)</f>
        <v/>
      </c>
      <c r="DXM3" s="1" t="str" cm="1">
        <f t="array" ref="DXM3">GetValue("Dmn","Name",DXM2)</f>
        <v/>
      </c>
      <c r="DXN3" s="1" t="str" cm="1">
        <f t="array" ref="DXN3">GetValue("Dmn","Name",DXN2)</f>
        <v/>
      </c>
      <c r="DXO3" s="1" t="str" cm="1">
        <f t="array" ref="DXO3">GetValue("Dmn","Name",DXO2)</f>
        <v/>
      </c>
      <c r="DXP3" s="1" t="str" cm="1">
        <f t="array" ref="DXP3">GetValue("Dmn","Name",DXP2)</f>
        <v/>
      </c>
      <c r="DXQ3" s="1" t="str" cm="1">
        <f t="array" ref="DXQ3">GetValue("Dmn","Name",DXQ2)</f>
        <v/>
      </c>
      <c r="DXR3" s="1" t="str" cm="1">
        <f t="array" ref="DXR3">GetValue("Dmn","Name",DXR2)</f>
        <v/>
      </c>
      <c r="DXS3" s="1" t="str" cm="1">
        <f t="array" ref="DXS3">GetValue("Dmn","Name",DXS2)</f>
        <v/>
      </c>
      <c r="DXT3" s="1" t="str" cm="1">
        <f t="array" ref="DXT3">GetValue("Dmn","Name",DXT2)</f>
        <v/>
      </c>
      <c r="DXU3" s="1" t="str" cm="1">
        <f t="array" ref="DXU3">GetValue("Dmn","Name",DXU2)</f>
        <v/>
      </c>
      <c r="DXV3" s="1" t="str" cm="1">
        <f t="array" ref="DXV3">GetValue("Dmn","Name",DXV2)</f>
        <v/>
      </c>
      <c r="DXW3" s="1" t="str" cm="1">
        <f t="array" ref="DXW3">GetValue("Dmn","Name",DXW2)</f>
        <v/>
      </c>
      <c r="DXX3" s="1" t="str" cm="1">
        <f t="array" ref="DXX3">GetValue("Dmn","Name",DXX2)</f>
        <v/>
      </c>
      <c r="DXY3" s="1" t="str" cm="1">
        <f t="array" ref="DXY3">GetValue("Dmn","Name",DXY2)</f>
        <v/>
      </c>
      <c r="DXZ3" s="1" t="str" cm="1">
        <f t="array" ref="DXZ3">GetValue("Dmn","Name",DXZ2)</f>
        <v/>
      </c>
      <c r="DYA3" s="1" t="str" cm="1">
        <f t="array" ref="DYA3">GetValue("Dmn","Name",DYA2)</f>
        <v/>
      </c>
      <c r="DYB3" s="1" t="str" cm="1">
        <f t="array" ref="DYB3">GetValue("Dmn","Name",DYB2)</f>
        <v/>
      </c>
      <c r="DYC3" s="1" t="str" cm="1">
        <f t="array" ref="DYC3">GetValue("Dmn","Name",DYC2)</f>
        <v/>
      </c>
      <c r="DYD3" s="1" t="str" cm="1">
        <f t="array" ref="DYD3">GetValue("Dmn","Name",DYD2)</f>
        <v/>
      </c>
      <c r="DYE3" s="1" t="str" cm="1">
        <f t="array" ref="DYE3">GetValue("Dmn","Name",DYE2)</f>
        <v/>
      </c>
      <c r="DYF3" s="1" t="str" cm="1">
        <f t="array" ref="DYF3">GetValue("Dmn","Name",DYF2)</f>
        <v/>
      </c>
      <c r="DYG3" s="1" t="str" cm="1">
        <f t="array" ref="DYG3">GetValue("Dmn","Name",DYG2)</f>
        <v/>
      </c>
      <c r="DYH3" s="1" t="str" cm="1">
        <f t="array" ref="DYH3">GetValue("Dmn","Name",DYH2)</f>
        <v/>
      </c>
      <c r="DYI3" s="1" t="str" cm="1">
        <f t="array" ref="DYI3">GetValue("Dmn","Name",DYI2)</f>
        <v/>
      </c>
      <c r="DYJ3" s="1" t="str" cm="1">
        <f t="array" ref="DYJ3">GetValue("Dmn","Name",DYJ2)</f>
        <v/>
      </c>
      <c r="DYK3" s="1" t="str" cm="1">
        <f t="array" ref="DYK3">GetValue("Dmn","Name",DYK2)</f>
        <v/>
      </c>
      <c r="DYL3" s="1" t="str" cm="1">
        <f t="array" ref="DYL3">GetValue("Dmn","Name",DYL2)</f>
        <v/>
      </c>
      <c r="DYM3" s="1" t="str" cm="1">
        <f t="array" ref="DYM3">GetValue("Dmn","Name",DYM2)</f>
        <v/>
      </c>
      <c r="DYN3" s="1" t="str" cm="1">
        <f t="array" ref="DYN3">GetValue("Dmn","Name",DYN2)</f>
        <v/>
      </c>
      <c r="DYO3" s="1" t="str" cm="1">
        <f t="array" ref="DYO3">GetValue("Dmn","Name",DYO2)</f>
        <v/>
      </c>
      <c r="DYP3" s="1" t="str" cm="1">
        <f t="array" ref="DYP3">GetValue("Dmn","Name",DYP2)</f>
        <v/>
      </c>
      <c r="DYQ3" s="1" t="str" cm="1">
        <f t="array" ref="DYQ3">GetValue("Dmn","Name",DYQ2)</f>
        <v/>
      </c>
      <c r="DYR3" s="1" t="str" cm="1">
        <f t="array" ref="DYR3">GetValue("Dmn","Name",DYR2)</f>
        <v/>
      </c>
      <c r="DYS3" s="1" t="str" cm="1">
        <f t="array" ref="DYS3">GetValue("Dmn","Name",DYS2)</f>
        <v/>
      </c>
      <c r="DYT3" s="1" t="str" cm="1">
        <f t="array" ref="DYT3">GetValue("Dmn","Name",DYT2)</f>
        <v/>
      </c>
      <c r="DYU3" s="1" t="str" cm="1">
        <f t="array" ref="DYU3">GetValue("Dmn","Name",DYU2)</f>
        <v/>
      </c>
      <c r="DYV3" s="1" t="str" cm="1">
        <f t="array" ref="DYV3">GetValue("Dmn","Name",DYV2)</f>
        <v/>
      </c>
      <c r="DYW3" s="1" t="str" cm="1">
        <f t="array" ref="DYW3">GetValue("Dmn","Name",DYW2)</f>
        <v/>
      </c>
      <c r="DYX3" s="1" t="str" cm="1">
        <f t="array" ref="DYX3">GetValue("Dmn","Name",DYX2)</f>
        <v/>
      </c>
      <c r="DYY3" s="1" t="str" cm="1">
        <f t="array" ref="DYY3">GetValue("Dmn","Name",DYY2)</f>
        <v/>
      </c>
      <c r="DYZ3" s="1" t="str" cm="1">
        <f t="array" ref="DYZ3">GetValue("Dmn","Name",DYZ2)</f>
        <v/>
      </c>
      <c r="DZA3" s="1" t="str" cm="1">
        <f t="array" ref="DZA3">GetValue("Dmn","Name",DZA2)</f>
        <v/>
      </c>
      <c r="DZB3" s="1" t="str" cm="1">
        <f t="array" ref="DZB3">GetValue("Dmn","Name",DZB2)</f>
        <v/>
      </c>
      <c r="DZC3" s="1" t="str" cm="1">
        <f t="array" ref="DZC3">GetValue("Dmn","Name",DZC2)</f>
        <v/>
      </c>
      <c r="DZD3" s="1" t="str" cm="1">
        <f t="array" ref="DZD3">GetValue("Dmn","Name",DZD2)</f>
        <v/>
      </c>
      <c r="DZE3" s="1" t="str" cm="1">
        <f t="array" ref="DZE3">GetValue("Dmn","Name",DZE2)</f>
        <v/>
      </c>
      <c r="DZF3" s="1" t="str" cm="1">
        <f t="array" ref="DZF3">GetValue("Dmn","Name",DZF2)</f>
        <v/>
      </c>
      <c r="DZG3" s="1" t="str" cm="1">
        <f t="array" ref="DZG3">GetValue("Dmn","Name",DZG2)</f>
        <v/>
      </c>
      <c r="DZH3" s="1" t="str" cm="1">
        <f t="array" ref="DZH3">GetValue("Dmn","Name",DZH2)</f>
        <v/>
      </c>
      <c r="DZI3" s="1" t="str" cm="1">
        <f t="array" ref="DZI3">GetValue("Dmn","Name",DZI2)</f>
        <v/>
      </c>
      <c r="DZJ3" s="1" t="str" cm="1">
        <f t="array" ref="DZJ3">GetValue("Dmn","Name",DZJ2)</f>
        <v/>
      </c>
      <c r="DZK3" s="1" t="str" cm="1">
        <f t="array" ref="DZK3">GetValue("Dmn","Name",DZK2)</f>
        <v/>
      </c>
      <c r="DZL3" s="1" t="str" cm="1">
        <f t="array" ref="DZL3">GetValue("Dmn","Name",DZL2)</f>
        <v/>
      </c>
      <c r="DZM3" s="1" t="str" cm="1">
        <f t="array" ref="DZM3">GetValue("Dmn","Name",DZM2)</f>
        <v/>
      </c>
      <c r="DZN3" s="1" t="str" cm="1">
        <f t="array" ref="DZN3">GetValue("Dmn","Name",DZN2)</f>
        <v/>
      </c>
      <c r="DZO3" s="1" t="str" cm="1">
        <f t="array" ref="DZO3">GetValue("Dmn","Name",DZO2)</f>
        <v/>
      </c>
      <c r="DZP3" s="1" t="str" cm="1">
        <f t="array" ref="DZP3">GetValue("Dmn","Name",DZP2)</f>
        <v/>
      </c>
      <c r="DZQ3" s="1" t="str" cm="1">
        <f t="array" ref="DZQ3">GetValue("Dmn","Name",DZQ2)</f>
        <v/>
      </c>
      <c r="DZR3" s="1" t="str" cm="1">
        <f t="array" ref="DZR3">GetValue("Dmn","Name",DZR2)</f>
        <v/>
      </c>
      <c r="DZS3" s="1" t="str" cm="1">
        <f t="array" ref="DZS3">GetValue("Dmn","Name",DZS2)</f>
        <v/>
      </c>
      <c r="DZT3" s="1" t="str" cm="1">
        <f t="array" ref="DZT3">GetValue("Dmn","Name",DZT2)</f>
        <v/>
      </c>
      <c r="DZU3" s="1" t="str" cm="1">
        <f t="array" ref="DZU3">GetValue("Dmn","Name",DZU2)</f>
        <v/>
      </c>
      <c r="DZV3" s="1" t="str" cm="1">
        <f t="array" ref="DZV3">GetValue("Dmn","Name",DZV2)</f>
        <v/>
      </c>
      <c r="DZW3" s="1" t="str" cm="1">
        <f t="array" ref="DZW3">GetValue("Dmn","Name",DZW2)</f>
        <v/>
      </c>
      <c r="DZX3" s="1" t="str" cm="1">
        <f t="array" ref="DZX3">GetValue("Dmn","Name",DZX2)</f>
        <v/>
      </c>
      <c r="DZY3" s="1" t="str" cm="1">
        <f t="array" ref="DZY3">GetValue("Dmn","Name",DZY2)</f>
        <v/>
      </c>
      <c r="DZZ3" s="1" t="str" cm="1">
        <f t="array" ref="DZZ3">GetValue("Dmn","Name",DZZ2)</f>
        <v/>
      </c>
      <c r="EAA3" s="1" t="str" cm="1">
        <f t="array" ref="EAA3">GetValue("Dmn","Name",EAA2)</f>
        <v/>
      </c>
      <c r="EAB3" s="1" t="str" cm="1">
        <f t="array" ref="EAB3">GetValue("Dmn","Name",EAB2)</f>
        <v/>
      </c>
      <c r="EAC3" s="1" t="str" cm="1">
        <f t="array" ref="EAC3">GetValue("Dmn","Name",EAC2)</f>
        <v/>
      </c>
      <c r="EAD3" s="1" t="str" cm="1">
        <f t="array" ref="EAD3">GetValue("Dmn","Name",EAD2)</f>
        <v/>
      </c>
      <c r="EAE3" s="1" t="str" cm="1">
        <f t="array" ref="EAE3">GetValue("Dmn","Name",EAE2)</f>
        <v/>
      </c>
      <c r="EAF3" s="1" t="str" cm="1">
        <f t="array" ref="EAF3">GetValue("Dmn","Name",EAF2)</f>
        <v/>
      </c>
      <c r="EAG3" s="1" t="str" cm="1">
        <f t="array" ref="EAG3">GetValue("Dmn","Name",EAG2)</f>
        <v/>
      </c>
      <c r="EAH3" s="1" t="str" cm="1">
        <f t="array" ref="EAH3">GetValue("Dmn","Name",EAH2)</f>
        <v/>
      </c>
      <c r="EAI3" s="1" t="str" cm="1">
        <f t="array" ref="EAI3">GetValue("Dmn","Name",EAI2)</f>
        <v/>
      </c>
      <c r="EAJ3" s="1" t="str" cm="1">
        <f t="array" ref="EAJ3">GetValue("Dmn","Name",EAJ2)</f>
        <v/>
      </c>
      <c r="EAK3" s="1" t="str" cm="1">
        <f t="array" ref="EAK3">GetValue("Dmn","Name",EAK2)</f>
        <v/>
      </c>
      <c r="EAL3" s="1" t="str" cm="1">
        <f t="array" ref="EAL3">GetValue("Dmn","Name",EAL2)</f>
        <v/>
      </c>
      <c r="EAM3" s="1" t="str" cm="1">
        <f t="array" ref="EAM3">GetValue("Dmn","Name",EAM2)</f>
        <v/>
      </c>
      <c r="EAN3" s="1" t="str" cm="1">
        <f t="array" ref="EAN3">GetValue("Dmn","Name",EAN2)</f>
        <v/>
      </c>
      <c r="EAO3" s="1" t="str" cm="1">
        <f t="array" ref="EAO3">GetValue("Dmn","Name",EAO2)</f>
        <v/>
      </c>
      <c r="EAP3" s="1" t="str" cm="1">
        <f t="array" ref="EAP3">GetValue("Dmn","Name",EAP2)</f>
        <v/>
      </c>
      <c r="EAQ3" s="1" t="str" cm="1">
        <f t="array" ref="EAQ3">GetValue("Dmn","Name",EAQ2)</f>
        <v/>
      </c>
      <c r="EAR3" s="1" t="str" cm="1">
        <f t="array" ref="EAR3">GetValue("Dmn","Name",EAR2)</f>
        <v/>
      </c>
      <c r="EAS3" s="1" t="str" cm="1">
        <f t="array" ref="EAS3">GetValue("Dmn","Name",EAS2)</f>
        <v/>
      </c>
      <c r="EAT3" s="1" t="str" cm="1">
        <f t="array" ref="EAT3">GetValue("Dmn","Name",EAT2)</f>
        <v/>
      </c>
      <c r="EAU3" s="1" t="str" cm="1">
        <f t="array" ref="EAU3">GetValue("Dmn","Name",EAU2)</f>
        <v/>
      </c>
      <c r="EAV3" s="1" t="str" cm="1">
        <f t="array" ref="EAV3">GetValue("Dmn","Name",EAV2)</f>
        <v/>
      </c>
      <c r="EAW3" s="1" t="str" cm="1">
        <f t="array" ref="EAW3">GetValue("Dmn","Name",EAW2)</f>
        <v/>
      </c>
      <c r="EAX3" s="1" t="str" cm="1">
        <f t="array" ref="EAX3">GetValue("Dmn","Name",EAX2)</f>
        <v/>
      </c>
      <c r="EAY3" s="1" t="str" cm="1">
        <f t="array" ref="EAY3">GetValue("Dmn","Name",EAY2)</f>
        <v/>
      </c>
      <c r="EAZ3" s="1" t="str" cm="1">
        <f t="array" ref="EAZ3">GetValue("Dmn","Name",EAZ2)</f>
        <v/>
      </c>
      <c r="EBA3" s="1" t="str" cm="1">
        <f t="array" ref="EBA3">GetValue("Dmn","Name",EBA2)</f>
        <v/>
      </c>
      <c r="EBB3" s="1" t="str" cm="1">
        <f t="array" ref="EBB3">GetValue("Dmn","Name",EBB2)</f>
        <v/>
      </c>
      <c r="EBC3" s="1" t="str" cm="1">
        <f t="array" ref="EBC3">GetValue("Dmn","Name",EBC2)</f>
        <v/>
      </c>
      <c r="EBD3" s="1" t="str" cm="1">
        <f t="array" ref="EBD3">GetValue("Dmn","Name",EBD2)</f>
        <v/>
      </c>
      <c r="EBE3" s="1" t="str" cm="1">
        <f t="array" ref="EBE3">GetValue("Dmn","Name",EBE2)</f>
        <v/>
      </c>
      <c r="EBF3" s="1" t="str" cm="1">
        <f t="array" ref="EBF3">GetValue("Dmn","Name",EBF2)</f>
        <v/>
      </c>
      <c r="EBG3" s="1" t="str" cm="1">
        <f t="array" ref="EBG3">GetValue("Dmn","Name",EBG2)</f>
        <v/>
      </c>
      <c r="EBH3" s="1" t="str" cm="1">
        <f t="array" ref="EBH3">GetValue("Dmn","Name",EBH2)</f>
        <v/>
      </c>
      <c r="EBI3" s="1" t="str" cm="1">
        <f t="array" ref="EBI3">GetValue("Dmn","Name",EBI2)</f>
        <v/>
      </c>
      <c r="EBJ3" s="1" t="str" cm="1">
        <f t="array" ref="EBJ3">GetValue("Dmn","Name",EBJ2)</f>
        <v/>
      </c>
      <c r="EBK3" s="1" t="str" cm="1">
        <f t="array" ref="EBK3">GetValue("Dmn","Name",EBK2)</f>
        <v/>
      </c>
      <c r="EBL3" s="1" t="str" cm="1">
        <f t="array" ref="EBL3">GetValue("Dmn","Name",EBL2)</f>
        <v/>
      </c>
      <c r="EBM3" s="1" t="str" cm="1">
        <f t="array" ref="EBM3">GetValue("Dmn","Name",EBM2)</f>
        <v/>
      </c>
      <c r="EBN3" s="1" t="str" cm="1">
        <f t="array" ref="EBN3">GetValue("Dmn","Name",EBN2)</f>
        <v/>
      </c>
      <c r="EBO3" s="1" t="str" cm="1">
        <f t="array" ref="EBO3">GetValue("Dmn","Name",EBO2)</f>
        <v/>
      </c>
      <c r="EBP3" s="1" t="str" cm="1">
        <f t="array" ref="EBP3">GetValue("Dmn","Name",EBP2)</f>
        <v/>
      </c>
      <c r="EBQ3" s="1" t="str" cm="1">
        <f t="array" ref="EBQ3">GetValue("Dmn","Name",EBQ2)</f>
        <v/>
      </c>
      <c r="EBR3" s="1" t="str" cm="1">
        <f t="array" ref="EBR3">GetValue("Dmn","Name",EBR2)</f>
        <v/>
      </c>
      <c r="EBS3" s="1" t="str" cm="1">
        <f t="array" ref="EBS3">GetValue("Dmn","Name",EBS2)</f>
        <v/>
      </c>
      <c r="EBT3" s="1" t="str" cm="1">
        <f t="array" ref="EBT3">GetValue("Dmn","Name",EBT2)</f>
        <v/>
      </c>
      <c r="EBU3" s="1" t="str" cm="1">
        <f t="array" ref="EBU3">GetValue("Dmn","Name",EBU2)</f>
        <v/>
      </c>
      <c r="EBV3" s="1" t="str" cm="1">
        <f t="array" ref="EBV3">GetValue("Dmn","Name",EBV2)</f>
        <v/>
      </c>
      <c r="EBW3" s="1" t="str" cm="1">
        <f t="array" ref="EBW3">GetValue("Dmn","Name",EBW2)</f>
        <v/>
      </c>
      <c r="EBX3" s="1" t="str" cm="1">
        <f t="array" ref="EBX3">GetValue("Dmn","Name",EBX2)</f>
        <v/>
      </c>
      <c r="EBY3" s="1" t="str" cm="1">
        <f t="array" ref="EBY3">GetValue("Dmn","Name",EBY2)</f>
        <v/>
      </c>
      <c r="EBZ3" s="1" t="str" cm="1">
        <f t="array" ref="EBZ3">GetValue("Dmn","Name",EBZ2)</f>
        <v/>
      </c>
      <c r="ECA3" s="1" t="str" cm="1">
        <f t="array" ref="ECA3">GetValue("Dmn","Name",ECA2)</f>
        <v/>
      </c>
      <c r="ECB3" s="1" t="str" cm="1">
        <f t="array" ref="ECB3">GetValue("Dmn","Name",ECB2)</f>
        <v/>
      </c>
      <c r="ECC3" s="1" t="str" cm="1">
        <f t="array" ref="ECC3">GetValue("Dmn","Name",ECC2)</f>
        <v/>
      </c>
      <c r="ECD3" s="1" t="str" cm="1">
        <f t="array" ref="ECD3">GetValue("Dmn","Name",ECD2)</f>
        <v/>
      </c>
      <c r="ECE3" s="1" t="str" cm="1">
        <f t="array" ref="ECE3">GetValue("Dmn","Name",ECE2)</f>
        <v/>
      </c>
      <c r="ECF3" s="1" t="str" cm="1">
        <f t="array" ref="ECF3">GetValue("Dmn","Name",ECF2)</f>
        <v/>
      </c>
      <c r="ECG3" s="1" t="str" cm="1">
        <f t="array" ref="ECG3">GetValue("Dmn","Name",ECG2)</f>
        <v/>
      </c>
      <c r="ECH3" s="1" t="str" cm="1">
        <f t="array" ref="ECH3">GetValue("Dmn","Name",ECH2)</f>
        <v/>
      </c>
      <c r="ECI3" s="1" t="str" cm="1">
        <f t="array" ref="ECI3">GetValue("Dmn","Name",ECI2)</f>
        <v/>
      </c>
      <c r="ECJ3" s="1" t="str" cm="1">
        <f t="array" ref="ECJ3">GetValue("Dmn","Name",ECJ2)</f>
        <v/>
      </c>
      <c r="ECK3" s="1" t="str" cm="1">
        <f t="array" ref="ECK3">GetValue("Dmn","Name",ECK2)</f>
        <v/>
      </c>
      <c r="ECL3" s="1" t="str" cm="1">
        <f t="array" ref="ECL3">GetValue("Dmn","Name",ECL2)</f>
        <v/>
      </c>
      <c r="ECM3" s="1" t="str" cm="1">
        <f t="array" ref="ECM3">GetValue("Dmn","Name",ECM2)</f>
        <v/>
      </c>
      <c r="ECN3" s="1" t="str" cm="1">
        <f t="array" ref="ECN3">GetValue("Dmn","Name",ECN2)</f>
        <v/>
      </c>
      <c r="ECO3" s="1" t="str" cm="1">
        <f t="array" ref="ECO3">GetValue("Dmn","Name",ECO2)</f>
        <v/>
      </c>
      <c r="ECP3" s="1" t="str" cm="1">
        <f t="array" ref="ECP3">GetValue("Dmn","Name",ECP2)</f>
        <v/>
      </c>
      <c r="ECQ3" s="1" t="str" cm="1">
        <f t="array" ref="ECQ3">GetValue("Dmn","Name",ECQ2)</f>
        <v/>
      </c>
      <c r="ECR3" s="1" t="str" cm="1">
        <f t="array" ref="ECR3">GetValue("Dmn","Name",ECR2)</f>
        <v/>
      </c>
      <c r="ECS3" s="1" t="str" cm="1">
        <f t="array" ref="ECS3">GetValue("Dmn","Name",ECS2)</f>
        <v/>
      </c>
      <c r="ECT3" s="1" t="str" cm="1">
        <f t="array" ref="ECT3">GetValue("Dmn","Name",ECT2)</f>
        <v/>
      </c>
      <c r="ECU3" s="1" t="str" cm="1">
        <f t="array" ref="ECU3">GetValue("Dmn","Name",ECU2)</f>
        <v/>
      </c>
      <c r="ECV3" s="1" t="str" cm="1">
        <f t="array" ref="ECV3">GetValue("Dmn","Name",ECV2)</f>
        <v/>
      </c>
      <c r="ECW3" s="1" t="str" cm="1">
        <f t="array" ref="ECW3">GetValue("Dmn","Name",ECW2)</f>
        <v/>
      </c>
      <c r="ECX3" s="1" t="str" cm="1">
        <f t="array" ref="ECX3">GetValue("Dmn","Name",ECX2)</f>
        <v/>
      </c>
      <c r="ECY3" s="1" t="str" cm="1">
        <f t="array" ref="ECY3">GetValue("Dmn","Name",ECY2)</f>
        <v/>
      </c>
      <c r="ECZ3" s="1" t="str" cm="1">
        <f t="array" ref="ECZ3">GetValue("Dmn","Name",ECZ2)</f>
        <v/>
      </c>
      <c r="EDA3" s="1" t="str" cm="1">
        <f t="array" ref="EDA3">GetValue("Dmn","Name",EDA2)</f>
        <v/>
      </c>
      <c r="EDB3" s="1" t="str" cm="1">
        <f t="array" ref="EDB3">GetValue("Dmn","Name",EDB2)</f>
        <v/>
      </c>
      <c r="EDC3" s="1" t="str" cm="1">
        <f t="array" ref="EDC3">GetValue("Dmn","Name",EDC2)</f>
        <v/>
      </c>
      <c r="EDD3" s="1" t="str" cm="1">
        <f t="array" ref="EDD3">GetValue("Dmn","Name",EDD2)</f>
        <v/>
      </c>
      <c r="EDE3" s="1" t="str" cm="1">
        <f t="array" ref="EDE3">GetValue("Dmn","Name",EDE2)</f>
        <v/>
      </c>
      <c r="EDF3" s="1" t="str" cm="1">
        <f t="array" ref="EDF3">GetValue("Dmn","Name",EDF2)</f>
        <v/>
      </c>
      <c r="EDG3" s="1" t="str" cm="1">
        <f t="array" ref="EDG3">GetValue("Dmn","Name",EDG2)</f>
        <v/>
      </c>
      <c r="EDH3" s="1" t="str" cm="1">
        <f t="array" ref="EDH3">GetValue("Dmn","Name",EDH2)</f>
        <v/>
      </c>
      <c r="EDI3" s="1" t="str" cm="1">
        <f t="array" ref="EDI3">GetValue("Dmn","Name",EDI2)</f>
        <v/>
      </c>
      <c r="EDJ3" s="1" t="str" cm="1">
        <f t="array" ref="EDJ3">GetValue("Dmn","Name",EDJ2)</f>
        <v/>
      </c>
      <c r="EDK3" s="1" t="str" cm="1">
        <f t="array" ref="EDK3">GetValue("Dmn","Name",EDK2)</f>
        <v/>
      </c>
      <c r="EDL3" s="1" t="str" cm="1">
        <f t="array" ref="EDL3">GetValue("Dmn","Name",EDL2)</f>
        <v/>
      </c>
      <c r="EDM3" s="1" t="str" cm="1">
        <f t="array" ref="EDM3">GetValue("Dmn","Name",EDM2)</f>
        <v/>
      </c>
      <c r="EDN3" s="1" t="str" cm="1">
        <f t="array" ref="EDN3">GetValue("Dmn","Name",EDN2)</f>
        <v/>
      </c>
      <c r="EDO3" s="1" t="str" cm="1">
        <f t="array" ref="EDO3">GetValue("Dmn","Name",EDO2)</f>
        <v/>
      </c>
      <c r="EDP3" s="1" t="str" cm="1">
        <f t="array" ref="EDP3">GetValue("Dmn","Name",EDP2)</f>
        <v/>
      </c>
      <c r="EDQ3" s="1" t="str" cm="1">
        <f t="array" ref="EDQ3">GetValue("Dmn","Name",EDQ2)</f>
        <v/>
      </c>
      <c r="EDR3" s="1" t="str" cm="1">
        <f t="array" ref="EDR3">GetValue("Dmn","Name",EDR2)</f>
        <v/>
      </c>
      <c r="EDS3" s="1" t="str" cm="1">
        <f t="array" ref="EDS3">GetValue("Dmn","Name",EDS2)</f>
        <v/>
      </c>
      <c r="EDT3" s="1" t="str" cm="1">
        <f t="array" ref="EDT3">GetValue("Dmn","Name",EDT2)</f>
        <v/>
      </c>
      <c r="EDU3" s="1" t="str" cm="1">
        <f t="array" ref="EDU3">GetValue("Dmn","Name",EDU2)</f>
        <v/>
      </c>
      <c r="EDV3" s="1" t="str" cm="1">
        <f t="array" ref="EDV3">GetValue("Dmn","Name",EDV2)</f>
        <v/>
      </c>
      <c r="EDW3" s="1" t="str" cm="1">
        <f t="array" ref="EDW3">GetValue("Dmn","Name",EDW2)</f>
        <v/>
      </c>
      <c r="EDX3" s="1" t="str" cm="1">
        <f t="array" ref="EDX3">GetValue("Dmn","Name",EDX2)</f>
        <v/>
      </c>
      <c r="EDY3" s="1" t="str" cm="1">
        <f t="array" ref="EDY3">GetValue("Dmn","Name",EDY2)</f>
        <v/>
      </c>
      <c r="EDZ3" s="1" t="str" cm="1">
        <f t="array" ref="EDZ3">GetValue("Dmn","Name",EDZ2)</f>
        <v/>
      </c>
      <c r="EEA3" s="1" t="str" cm="1">
        <f t="array" ref="EEA3">GetValue("Dmn","Name",EEA2)</f>
        <v/>
      </c>
      <c r="EEB3" s="1" t="str" cm="1">
        <f t="array" ref="EEB3">GetValue("Dmn","Name",EEB2)</f>
        <v/>
      </c>
      <c r="EEC3" s="1" t="str" cm="1">
        <f t="array" ref="EEC3">GetValue("Dmn","Name",EEC2)</f>
        <v/>
      </c>
      <c r="EED3" s="1" t="str" cm="1">
        <f t="array" ref="EED3">GetValue("Dmn","Name",EED2)</f>
        <v/>
      </c>
      <c r="EEE3" s="1" t="str" cm="1">
        <f t="array" ref="EEE3">GetValue("Dmn","Name",EEE2)</f>
        <v/>
      </c>
      <c r="EEF3" s="1" t="str" cm="1">
        <f t="array" ref="EEF3">GetValue("Dmn","Name",EEF2)</f>
        <v/>
      </c>
      <c r="EEG3" s="1" t="str" cm="1">
        <f t="array" ref="EEG3">GetValue("Dmn","Name",EEG2)</f>
        <v/>
      </c>
      <c r="EEH3" s="1" t="str" cm="1">
        <f t="array" ref="EEH3">GetValue("Dmn","Name",EEH2)</f>
        <v/>
      </c>
      <c r="EEI3" s="1" t="str" cm="1">
        <f t="array" ref="EEI3">GetValue("Dmn","Name",EEI2)</f>
        <v/>
      </c>
      <c r="EEJ3" s="1" t="str" cm="1">
        <f t="array" ref="EEJ3">GetValue("Dmn","Name",EEJ2)</f>
        <v/>
      </c>
      <c r="EEK3" s="1" t="str" cm="1">
        <f t="array" ref="EEK3">GetValue("Dmn","Name",EEK2)</f>
        <v/>
      </c>
      <c r="EEL3" s="1" t="str" cm="1">
        <f t="array" ref="EEL3">GetValue("Dmn","Name",EEL2)</f>
        <v/>
      </c>
      <c r="EEM3" s="1" t="str" cm="1">
        <f t="array" ref="EEM3">GetValue("Dmn","Name",EEM2)</f>
        <v/>
      </c>
      <c r="EEN3" s="1" t="str" cm="1">
        <f t="array" ref="EEN3">GetValue("Dmn","Name",EEN2)</f>
        <v/>
      </c>
      <c r="EEO3" s="1" t="str" cm="1">
        <f t="array" ref="EEO3">GetValue("Dmn","Name",EEO2)</f>
        <v/>
      </c>
      <c r="EEP3" s="1" t="str" cm="1">
        <f t="array" ref="EEP3">GetValue("Dmn","Name",EEP2)</f>
        <v/>
      </c>
      <c r="EEQ3" s="1" t="str" cm="1">
        <f t="array" ref="EEQ3">GetValue("Dmn","Name",EEQ2)</f>
        <v/>
      </c>
      <c r="EER3" s="1" t="str" cm="1">
        <f t="array" ref="EER3">GetValue("Dmn","Name",EER2)</f>
        <v/>
      </c>
      <c r="EES3" s="1" t="str" cm="1">
        <f t="array" ref="EES3">GetValue("Dmn","Name",EES2)</f>
        <v/>
      </c>
      <c r="EET3" s="1" t="str" cm="1">
        <f t="array" ref="EET3">GetValue("Dmn","Name",EET2)</f>
        <v/>
      </c>
      <c r="EEU3" s="1" t="str" cm="1">
        <f t="array" ref="EEU3">GetValue("Dmn","Name",EEU2)</f>
        <v/>
      </c>
      <c r="EEV3" s="1" t="str" cm="1">
        <f t="array" ref="EEV3">GetValue("Dmn","Name",EEV2)</f>
        <v/>
      </c>
      <c r="EEW3" s="1" t="str" cm="1">
        <f t="array" ref="EEW3">GetValue("Dmn","Name",EEW2)</f>
        <v/>
      </c>
      <c r="EEX3" s="1" t="str" cm="1">
        <f t="array" ref="EEX3">GetValue("Dmn","Name",EEX2)</f>
        <v/>
      </c>
      <c r="EEY3" s="1" t="str" cm="1">
        <f t="array" ref="EEY3">GetValue("Dmn","Name",EEY2)</f>
        <v/>
      </c>
      <c r="EEZ3" s="1" t="str" cm="1">
        <f t="array" ref="EEZ3">GetValue("Dmn","Name",EEZ2)</f>
        <v/>
      </c>
      <c r="EFA3" s="1" t="str" cm="1">
        <f t="array" ref="EFA3">GetValue("Dmn","Name",EFA2)</f>
        <v/>
      </c>
      <c r="EFB3" s="1" t="str" cm="1">
        <f t="array" ref="EFB3">GetValue("Dmn","Name",EFB2)</f>
        <v/>
      </c>
      <c r="EFC3" s="1" t="str" cm="1">
        <f t="array" ref="EFC3">GetValue("Dmn","Name",EFC2)</f>
        <v/>
      </c>
      <c r="EFD3" s="1" t="str" cm="1">
        <f t="array" ref="EFD3">GetValue("Dmn","Name",EFD2)</f>
        <v/>
      </c>
      <c r="EFE3" s="1" t="str" cm="1">
        <f t="array" ref="EFE3">GetValue("Dmn","Name",EFE2)</f>
        <v/>
      </c>
      <c r="EFF3" s="1" t="str" cm="1">
        <f t="array" ref="EFF3">GetValue("Dmn","Name",EFF2)</f>
        <v/>
      </c>
      <c r="EFG3" s="1" t="str" cm="1">
        <f t="array" ref="EFG3">GetValue("Dmn","Name",EFG2)</f>
        <v/>
      </c>
      <c r="EFH3" s="1" t="str" cm="1">
        <f t="array" ref="EFH3">GetValue("Dmn","Name",EFH2)</f>
        <v/>
      </c>
      <c r="EFI3" s="1" t="str" cm="1">
        <f t="array" ref="EFI3">GetValue("Dmn","Name",EFI2)</f>
        <v/>
      </c>
      <c r="EFJ3" s="1" t="str" cm="1">
        <f t="array" ref="EFJ3">GetValue("Dmn","Name",EFJ2)</f>
        <v/>
      </c>
      <c r="EFK3" s="1" t="str" cm="1">
        <f t="array" ref="EFK3">GetValue("Dmn","Name",EFK2)</f>
        <v/>
      </c>
      <c r="EFL3" s="1" t="str" cm="1">
        <f t="array" ref="EFL3">GetValue("Dmn","Name",EFL2)</f>
        <v/>
      </c>
      <c r="EFM3" s="1" t="str" cm="1">
        <f t="array" ref="EFM3">GetValue("Dmn","Name",EFM2)</f>
        <v/>
      </c>
      <c r="EFN3" s="1" t="str" cm="1">
        <f t="array" ref="EFN3">GetValue("Dmn","Name",EFN2)</f>
        <v/>
      </c>
      <c r="EFO3" s="1" t="str" cm="1">
        <f t="array" ref="EFO3">GetValue("Dmn","Name",EFO2)</f>
        <v/>
      </c>
      <c r="EFP3" s="1" t="str" cm="1">
        <f t="array" ref="EFP3">GetValue("Dmn","Name",EFP2)</f>
        <v/>
      </c>
      <c r="EFQ3" s="1" t="str" cm="1">
        <f t="array" ref="EFQ3">GetValue("Dmn","Name",EFQ2)</f>
        <v/>
      </c>
      <c r="EFR3" s="1" t="str" cm="1">
        <f t="array" ref="EFR3">GetValue("Dmn","Name",EFR2)</f>
        <v/>
      </c>
      <c r="EFS3" s="1" t="str" cm="1">
        <f t="array" ref="EFS3">GetValue("Dmn","Name",EFS2)</f>
        <v/>
      </c>
      <c r="EFT3" s="1" t="str" cm="1">
        <f t="array" ref="EFT3">GetValue("Dmn","Name",EFT2)</f>
        <v/>
      </c>
      <c r="EFU3" s="1" t="str" cm="1">
        <f t="array" ref="EFU3">GetValue("Dmn","Name",EFU2)</f>
        <v/>
      </c>
      <c r="EFV3" s="1" t="str" cm="1">
        <f t="array" ref="EFV3">GetValue("Dmn","Name",EFV2)</f>
        <v/>
      </c>
      <c r="EFW3" s="1" t="str" cm="1">
        <f t="array" ref="EFW3">GetValue("Dmn","Name",EFW2)</f>
        <v/>
      </c>
      <c r="EFX3" s="1" t="str" cm="1">
        <f t="array" ref="EFX3">GetValue("Dmn","Name",EFX2)</f>
        <v/>
      </c>
      <c r="EFY3" s="1" t="str" cm="1">
        <f t="array" ref="EFY3">GetValue("Dmn","Name",EFY2)</f>
        <v/>
      </c>
      <c r="EFZ3" s="1" t="str" cm="1">
        <f t="array" ref="EFZ3">GetValue("Dmn","Name",EFZ2)</f>
        <v/>
      </c>
      <c r="EGA3" s="1" t="str" cm="1">
        <f t="array" ref="EGA3">GetValue("Dmn","Name",EGA2)</f>
        <v/>
      </c>
      <c r="EGB3" s="1" t="str" cm="1">
        <f t="array" ref="EGB3">GetValue("Dmn","Name",EGB2)</f>
        <v/>
      </c>
      <c r="EGC3" s="1" t="str" cm="1">
        <f t="array" ref="EGC3">GetValue("Dmn","Name",EGC2)</f>
        <v/>
      </c>
      <c r="EGD3" s="1" t="str" cm="1">
        <f t="array" ref="EGD3">GetValue("Dmn","Name",EGD2)</f>
        <v/>
      </c>
      <c r="EGE3" s="1" t="str" cm="1">
        <f t="array" ref="EGE3">GetValue("Dmn","Name",EGE2)</f>
        <v/>
      </c>
      <c r="EGF3" s="1" t="str" cm="1">
        <f t="array" ref="EGF3">GetValue("Dmn","Name",EGF2)</f>
        <v/>
      </c>
      <c r="EGG3" s="1" t="str" cm="1">
        <f t="array" ref="EGG3">GetValue("Dmn","Name",EGG2)</f>
        <v/>
      </c>
      <c r="EGH3" s="1" t="str" cm="1">
        <f t="array" ref="EGH3">GetValue("Dmn","Name",EGH2)</f>
        <v/>
      </c>
      <c r="EGI3" s="1" t="str" cm="1">
        <f t="array" ref="EGI3">GetValue("Dmn","Name",EGI2)</f>
        <v/>
      </c>
      <c r="EGJ3" s="1" t="str" cm="1">
        <f t="array" ref="EGJ3">GetValue("Dmn","Name",EGJ2)</f>
        <v/>
      </c>
      <c r="EGK3" s="1" t="str" cm="1">
        <f t="array" ref="EGK3">GetValue("Dmn","Name",EGK2)</f>
        <v/>
      </c>
      <c r="EGL3" s="1" t="str" cm="1">
        <f t="array" ref="EGL3">GetValue("Dmn","Name",EGL2)</f>
        <v/>
      </c>
      <c r="EGM3" s="1" t="str" cm="1">
        <f t="array" ref="EGM3">GetValue("Dmn","Name",EGM2)</f>
        <v/>
      </c>
      <c r="EGN3" s="1" t="str" cm="1">
        <f t="array" ref="EGN3">GetValue("Dmn","Name",EGN2)</f>
        <v/>
      </c>
      <c r="EGO3" s="1" t="str" cm="1">
        <f t="array" ref="EGO3">GetValue("Dmn","Name",EGO2)</f>
        <v/>
      </c>
      <c r="EGP3" s="1" t="str" cm="1">
        <f t="array" ref="EGP3">GetValue("Dmn","Name",EGP2)</f>
        <v/>
      </c>
      <c r="EGQ3" s="1" t="str" cm="1">
        <f t="array" ref="EGQ3">GetValue("Dmn","Name",EGQ2)</f>
        <v/>
      </c>
      <c r="EGR3" s="1" t="str" cm="1">
        <f t="array" ref="EGR3">GetValue("Dmn","Name",EGR2)</f>
        <v/>
      </c>
      <c r="EGS3" s="1" t="str" cm="1">
        <f t="array" ref="EGS3">GetValue("Dmn","Name",EGS2)</f>
        <v/>
      </c>
      <c r="EGT3" s="1" t="str" cm="1">
        <f t="array" ref="EGT3">GetValue("Dmn","Name",EGT2)</f>
        <v/>
      </c>
      <c r="EGU3" s="1" t="str" cm="1">
        <f t="array" ref="EGU3">GetValue("Dmn","Name",EGU2)</f>
        <v/>
      </c>
      <c r="EGV3" s="1" t="str" cm="1">
        <f t="array" ref="EGV3">GetValue("Dmn","Name",EGV2)</f>
        <v/>
      </c>
      <c r="EGW3" s="1" t="str" cm="1">
        <f t="array" ref="EGW3">GetValue("Dmn","Name",EGW2)</f>
        <v/>
      </c>
      <c r="EGX3" s="1" t="str" cm="1">
        <f t="array" ref="EGX3">GetValue("Dmn","Name",EGX2)</f>
        <v/>
      </c>
      <c r="EGY3" s="1" t="str" cm="1">
        <f t="array" ref="EGY3">GetValue("Dmn","Name",EGY2)</f>
        <v/>
      </c>
      <c r="EGZ3" s="1" t="str" cm="1">
        <f t="array" ref="EGZ3">GetValue("Dmn","Name",EGZ2)</f>
        <v/>
      </c>
      <c r="EHA3" s="1" t="str" cm="1">
        <f t="array" ref="EHA3">GetValue("Dmn","Name",EHA2)</f>
        <v/>
      </c>
      <c r="EHB3" s="1" t="str" cm="1">
        <f t="array" ref="EHB3">GetValue("Dmn","Name",EHB2)</f>
        <v/>
      </c>
      <c r="EHC3" s="1" t="str" cm="1">
        <f t="array" ref="EHC3">GetValue("Dmn","Name",EHC2)</f>
        <v/>
      </c>
      <c r="EHD3" s="1" t="str" cm="1">
        <f t="array" ref="EHD3">GetValue("Dmn","Name",EHD2)</f>
        <v/>
      </c>
      <c r="EHE3" s="1" t="str" cm="1">
        <f t="array" ref="EHE3">GetValue("Dmn","Name",EHE2)</f>
        <v/>
      </c>
      <c r="EHF3" s="1" t="str" cm="1">
        <f t="array" ref="EHF3">GetValue("Dmn","Name",EHF2)</f>
        <v/>
      </c>
      <c r="EHG3" s="1" t="str" cm="1">
        <f t="array" ref="EHG3">GetValue("Dmn","Name",EHG2)</f>
        <v/>
      </c>
      <c r="EHH3" s="1" t="str" cm="1">
        <f t="array" ref="EHH3">GetValue("Dmn","Name",EHH2)</f>
        <v/>
      </c>
      <c r="EHI3" s="1" t="str" cm="1">
        <f t="array" ref="EHI3">GetValue("Dmn","Name",EHI2)</f>
        <v/>
      </c>
      <c r="EHJ3" s="1" t="str" cm="1">
        <f t="array" ref="EHJ3">GetValue("Dmn","Name",EHJ2)</f>
        <v/>
      </c>
      <c r="EHK3" s="1" t="str" cm="1">
        <f t="array" ref="EHK3">GetValue("Dmn","Name",EHK2)</f>
        <v/>
      </c>
      <c r="EHL3" s="1" t="str" cm="1">
        <f t="array" ref="EHL3">GetValue("Dmn","Name",EHL2)</f>
        <v/>
      </c>
      <c r="EHM3" s="1" t="str" cm="1">
        <f t="array" ref="EHM3">GetValue("Dmn","Name",EHM2)</f>
        <v/>
      </c>
      <c r="EHN3" s="1" t="str" cm="1">
        <f t="array" ref="EHN3">GetValue("Dmn","Name",EHN2)</f>
        <v/>
      </c>
      <c r="EHO3" s="1" t="str" cm="1">
        <f t="array" ref="EHO3">GetValue("Dmn","Name",EHO2)</f>
        <v/>
      </c>
      <c r="EHP3" s="1" t="str" cm="1">
        <f t="array" ref="EHP3">GetValue("Dmn","Name",EHP2)</f>
        <v/>
      </c>
      <c r="EHQ3" s="1" t="str" cm="1">
        <f t="array" ref="EHQ3">GetValue("Dmn","Name",EHQ2)</f>
        <v/>
      </c>
      <c r="EHR3" s="1" t="str" cm="1">
        <f t="array" ref="EHR3">GetValue("Dmn","Name",EHR2)</f>
        <v/>
      </c>
      <c r="EHS3" s="1" t="str" cm="1">
        <f t="array" ref="EHS3">GetValue("Dmn","Name",EHS2)</f>
        <v/>
      </c>
      <c r="EHT3" s="1" t="str" cm="1">
        <f t="array" ref="EHT3">GetValue("Dmn","Name",EHT2)</f>
        <v/>
      </c>
      <c r="EHU3" s="1" t="str" cm="1">
        <f t="array" ref="EHU3">GetValue("Dmn","Name",EHU2)</f>
        <v/>
      </c>
      <c r="EHV3" s="1" t="str" cm="1">
        <f t="array" ref="EHV3">GetValue("Dmn","Name",EHV2)</f>
        <v/>
      </c>
      <c r="EHW3" s="1" t="str" cm="1">
        <f t="array" ref="EHW3">GetValue("Dmn","Name",EHW2)</f>
        <v/>
      </c>
      <c r="EHX3" s="1" t="str" cm="1">
        <f t="array" ref="EHX3">GetValue("Dmn","Name",EHX2)</f>
        <v/>
      </c>
      <c r="EHY3" s="1" t="str" cm="1">
        <f t="array" ref="EHY3">GetValue("Dmn","Name",EHY2)</f>
        <v/>
      </c>
      <c r="EHZ3" s="1" t="str" cm="1">
        <f t="array" ref="EHZ3">GetValue("Dmn","Name",EHZ2)</f>
        <v/>
      </c>
      <c r="EIA3" s="1" t="str" cm="1">
        <f t="array" ref="EIA3">GetValue("Dmn","Name",EIA2)</f>
        <v/>
      </c>
      <c r="EIB3" s="1" t="str" cm="1">
        <f t="array" ref="EIB3">GetValue("Dmn","Name",EIB2)</f>
        <v/>
      </c>
      <c r="EIC3" s="1" t="str" cm="1">
        <f t="array" ref="EIC3">GetValue("Dmn","Name",EIC2)</f>
        <v/>
      </c>
      <c r="EID3" s="1" t="str" cm="1">
        <f t="array" ref="EID3">GetValue("Dmn","Name",EID2)</f>
        <v/>
      </c>
      <c r="EIE3" s="1" t="str" cm="1">
        <f t="array" ref="EIE3">GetValue("Dmn","Name",EIE2)</f>
        <v/>
      </c>
      <c r="EIF3" s="1" t="str" cm="1">
        <f t="array" ref="EIF3">GetValue("Dmn","Name",EIF2)</f>
        <v/>
      </c>
      <c r="EIG3" s="1" t="str" cm="1">
        <f t="array" ref="EIG3">GetValue("Dmn","Name",EIG2)</f>
        <v/>
      </c>
      <c r="EIH3" s="1" t="str" cm="1">
        <f t="array" ref="EIH3">GetValue("Dmn","Name",EIH2)</f>
        <v/>
      </c>
      <c r="EII3" s="1" t="str" cm="1">
        <f t="array" ref="EII3">GetValue("Dmn","Name",EII2)</f>
        <v/>
      </c>
      <c r="EIJ3" s="1" t="str" cm="1">
        <f t="array" ref="EIJ3">GetValue("Dmn","Name",EIJ2)</f>
        <v/>
      </c>
      <c r="EIK3" s="1" t="str" cm="1">
        <f t="array" ref="EIK3">GetValue("Dmn","Name",EIK2)</f>
        <v/>
      </c>
      <c r="EIL3" s="1" t="str" cm="1">
        <f t="array" ref="EIL3">GetValue("Dmn","Name",EIL2)</f>
        <v/>
      </c>
      <c r="EIM3" s="1" t="str" cm="1">
        <f t="array" ref="EIM3">GetValue("Dmn","Name",EIM2)</f>
        <v/>
      </c>
      <c r="EIN3" s="1" t="str" cm="1">
        <f t="array" ref="EIN3">GetValue("Dmn","Name",EIN2)</f>
        <v/>
      </c>
      <c r="EIO3" s="1" t="str" cm="1">
        <f t="array" ref="EIO3">GetValue("Dmn","Name",EIO2)</f>
        <v/>
      </c>
      <c r="EIP3" s="1" t="str" cm="1">
        <f t="array" ref="EIP3">GetValue("Dmn","Name",EIP2)</f>
        <v/>
      </c>
      <c r="EIQ3" s="1" t="str" cm="1">
        <f t="array" ref="EIQ3">GetValue("Dmn","Name",EIQ2)</f>
        <v/>
      </c>
      <c r="EIR3" s="1" t="str" cm="1">
        <f t="array" ref="EIR3">GetValue("Dmn","Name",EIR2)</f>
        <v/>
      </c>
      <c r="EIS3" s="1" t="str" cm="1">
        <f t="array" ref="EIS3">GetValue("Dmn","Name",EIS2)</f>
        <v/>
      </c>
      <c r="EIT3" s="1" t="str" cm="1">
        <f t="array" ref="EIT3">GetValue("Dmn","Name",EIT2)</f>
        <v/>
      </c>
      <c r="EIU3" s="1" t="str" cm="1">
        <f t="array" ref="EIU3">GetValue("Dmn","Name",EIU2)</f>
        <v/>
      </c>
      <c r="EIV3" s="1" t="str" cm="1">
        <f t="array" ref="EIV3">GetValue("Dmn","Name",EIV2)</f>
        <v/>
      </c>
      <c r="EIW3" s="1" t="str" cm="1">
        <f t="array" ref="EIW3">GetValue("Dmn","Name",EIW2)</f>
        <v/>
      </c>
      <c r="EIX3" s="1" t="str" cm="1">
        <f t="array" ref="EIX3">GetValue("Dmn","Name",EIX2)</f>
        <v/>
      </c>
      <c r="EIY3" s="1" t="str" cm="1">
        <f t="array" ref="EIY3">GetValue("Dmn","Name",EIY2)</f>
        <v/>
      </c>
      <c r="EIZ3" s="1" t="str" cm="1">
        <f t="array" ref="EIZ3">GetValue("Dmn","Name",EIZ2)</f>
        <v/>
      </c>
      <c r="EJA3" s="1" t="str" cm="1">
        <f t="array" ref="EJA3">GetValue("Dmn","Name",EJA2)</f>
        <v/>
      </c>
      <c r="EJB3" s="1" t="str" cm="1">
        <f t="array" ref="EJB3">GetValue("Dmn","Name",EJB2)</f>
        <v/>
      </c>
      <c r="EJC3" s="1" t="str" cm="1">
        <f t="array" ref="EJC3">GetValue("Dmn","Name",EJC2)</f>
        <v/>
      </c>
      <c r="EJD3" s="1" t="str" cm="1">
        <f t="array" ref="EJD3">GetValue("Dmn","Name",EJD2)</f>
        <v/>
      </c>
      <c r="EJE3" s="1" t="str" cm="1">
        <f t="array" ref="EJE3">GetValue("Dmn","Name",EJE2)</f>
        <v/>
      </c>
      <c r="EJF3" s="1" t="str" cm="1">
        <f t="array" ref="EJF3">GetValue("Dmn","Name",EJF2)</f>
        <v/>
      </c>
      <c r="EJG3" s="1" t="str" cm="1">
        <f t="array" ref="EJG3">GetValue("Dmn","Name",EJG2)</f>
        <v/>
      </c>
      <c r="EJH3" s="1" t="str" cm="1">
        <f t="array" ref="EJH3">GetValue("Dmn","Name",EJH2)</f>
        <v/>
      </c>
      <c r="EJI3" s="1" t="str" cm="1">
        <f t="array" ref="EJI3">GetValue("Dmn","Name",EJI2)</f>
        <v/>
      </c>
      <c r="EJJ3" s="1" t="str" cm="1">
        <f t="array" ref="EJJ3">GetValue("Dmn","Name",EJJ2)</f>
        <v/>
      </c>
      <c r="EJK3" s="1" t="str" cm="1">
        <f t="array" ref="EJK3">GetValue("Dmn","Name",EJK2)</f>
        <v/>
      </c>
      <c r="EJL3" s="1" t="str" cm="1">
        <f t="array" ref="EJL3">GetValue("Dmn","Name",EJL2)</f>
        <v/>
      </c>
      <c r="EJM3" s="1" t="str" cm="1">
        <f t="array" ref="EJM3">GetValue("Dmn","Name",EJM2)</f>
        <v/>
      </c>
      <c r="EJN3" s="1" t="str" cm="1">
        <f t="array" ref="EJN3">GetValue("Dmn","Name",EJN2)</f>
        <v/>
      </c>
      <c r="EJO3" s="1" t="str" cm="1">
        <f t="array" ref="EJO3">GetValue("Dmn","Name",EJO2)</f>
        <v/>
      </c>
      <c r="EJP3" s="1" t="str" cm="1">
        <f t="array" ref="EJP3">GetValue("Dmn","Name",EJP2)</f>
        <v/>
      </c>
      <c r="EJQ3" s="1" t="str" cm="1">
        <f t="array" ref="EJQ3">GetValue("Dmn","Name",EJQ2)</f>
        <v/>
      </c>
      <c r="EJR3" s="1" t="str" cm="1">
        <f t="array" ref="EJR3">GetValue("Dmn","Name",EJR2)</f>
        <v/>
      </c>
      <c r="EJS3" s="1" t="str" cm="1">
        <f t="array" ref="EJS3">GetValue("Dmn","Name",EJS2)</f>
        <v/>
      </c>
      <c r="EJT3" s="1" t="str" cm="1">
        <f t="array" ref="EJT3">GetValue("Dmn","Name",EJT2)</f>
        <v/>
      </c>
      <c r="EJU3" s="1" t="str" cm="1">
        <f t="array" ref="EJU3">GetValue("Dmn","Name",EJU2)</f>
        <v/>
      </c>
      <c r="EJV3" s="1" t="str" cm="1">
        <f t="array" ref="EJV3">GetValue("Dmn","Name",EJV2)</f>
        <v/>
      </c>
      <c r="EJW3" s="1" t="str" cm="1">
        <f t="array" ref="EJW3">GetValue("Dmn","Name",EJW2)</f>
        <v/>
      </c>
      <c r="EJX3" s="1" t="str" cm="1">
        <f t="array" ref="EJX3">GetValue("Dmn","Name",EJX2)</f>
        <v/>
      </c>
      <c r="EJY3" s="1" t="str" cm="1">
        <f t="array" ref="EJY3">GetValue("Dmn","Name",EJY2)</f>
        <v/>
      </c>
      <c r="EJZ3" s="1" t="str" cm="1">
        <f t="array" ref="EJZ3">GetValue("Dmn","Name",EJZ2)</f>
        <v/>
      </c>
      <c r="EKA3" s="1" t="str" cm="1">
        <f t="array" ref="EKA3">GetValue("Dmn","Name",EKA2)</f>
        <v/>
      </c>
      <c r="EKB3" s="1" t="str" cm="1">
        <f t="array" ref="EKB3">GetValue("Dmn","Name",EKB2)</f>
        <v/>
      </c>
      <c r="EKC3" s="1" t="str" cm="1">
        <f t="array" ref="EKC3">GetValue("Dmn","Name",EKC2)</f>
        <v/>
      </c>
      <c r="EKD3" s="1" t="str" cm="1">
        <f t="array" ref="EKD3">GetValue("Dmn","Name",EKD2)</f>
        <v/>
      </c>
      <c r="EKE3" s="1" t="str" cm="1">
        <f t="array" ref="EKE3">GetValue("Dmn","Name",EKE2)</f>
        <v/>
      </c>
      <c r="EKF3" s="1" t="str" cm="1">
        <f t="array" ref="EKF3">GetValue("Dmn","Name",EKF2)</f>
        <v/>
      </c>
      <c r="EKG3" s="1" t="str" cm="1">
        <f t="array" ref="EKG3">GetValue("Dmn","Name",EKG2)</f>
        <v/>
      </c>
      <c r="EKH3" s="1" t="str" cm="1">
        <f t="array" ref="EKH3">GetValue("Dmn","Name",EKH2)</f>
        <v/>
      </c>
      <c r="EKI3" s="1" t="str" cm="1">
        <f t="array" ref="EKI3">GetValue("Dmn","Name",EKI2)</f>
        <v/>
      </c>
      <c r="EKJ3" s="1" t="str" cm="1">
        <f t="array" ref="EKJ3">GetValue("Dmn","Name",EKJ2)</f>
        <v/>
      </c>
      <c r="EKK3" s="1" t="str" cm="1">
        <f t="array" ref="EKK3">GetValue("Dmn","Name",EKK2)</f>
        <v/>
      </c>
      <c r="EKL3" s="1" t="str" cm="1">
        <f t="array" ref="EKL3">GetValue("Dmn","Name",EKL2)</f>
        <v/>
      </c>
      <c r="EKM3" s="1" t="str" cm="1">
        <f t="array" ref="EKM3">GetValue("Dmn","Name",EKM2)</f>
        <v/>
      </c>
      <c r="EKN3" s="1" t="str" cm="1">
        <f t="array" ref="EKN3">GetValue("Dmn","Name",EKN2)</f>
        <v/>
      </c>
      <c r="EKO3" s="1" t="str" cm="1">
        <f t="array" ref="EKO3">GetValue("Dmn","Name",EKO2)</f>
        <v/>
      </c>
      <c r="EKP3" s="1" t="str" cm="1">
        <f t="array" ref="EKP3">GetValue("Dmn","Name",EKP2)</f>
        <v/>
      </c>
      <c r="EKQ3" s="1" t="str" cm="1">
        <f t="array" ref="EKQ3">GetValue("Dmn","Name",EKQ2)</f>
        <v/>
      </c>
      <c r="EKR3" s="1" t="str" cm="1">
        <f t="array" ref="EKR3">GetValue("Dmn","Name",EKR2)</f>
        <v/>
      </c>
      <c r="EKS3" s="1" t="str" cm="1">
        <f t="array" ref="EKS3">GetValue("Dmn","Name",EKS2)</f>
        <v/>
      </c>
      <c r="EKT3" s="1" t="str" cm="1">
        <f t="array" ref="EKT3">GetValue("Dmn","Name",EKT2)</f>
        <v/>
      </c>
      <c r="EKU3" s="1" t="str" cm="1">
        <f t="array" ref="EKU3">GetValue("Dmn","Name",EKU2)</f>
        <v/>
      </c>
      <c r="EKV3" s="1" t="str" cm="1">
        <f t="array" ref="EKV3">GetValue("Dmn","Name",EKV2)</f>
        <v/>
      </c>
      <c r="EKW3" s="1" t="str" cm="1">
        <f t="array" ref="EKW3">GetValue("Dmn","Name",EKW2)</f>
        <v/>
      </c>
      <c r="EKX3" s="1" t="str" cm="1">
        <f t="array" ref="EKX3">GetValue("Dmn","Name",EKX2)</f>
        <v/>
      </c>
      <c r="EKY3" s="1" t="str" cm="1">
        <f t="array" ref="EKY3">GetValue("Dmn","Name",EKY2)</f>
        <v/>
      </c>
      <c r="EKZ3" s="1" t="str" cm="1">
        <f t="array" ref="EKZ3">GetValue("Dmn","Name",EKZ2)</f>
        <v/>
      </c>
      <c r="ELA3" s="1" t="str" cm="1">
        <f t="array" ref="ELA3">GetValue("Dmn","Name",ELA2)</f>
        <v/>
      </c>
      <c r="ELB3" s="1" t="str" cm="1">
        <f t="array" ref="ELB3">GetValue("Dmn","Name",ELB2)</f>
        <v/>
      </c>
      <c r="ELC3" s="1" t="str" cm="1">
        <f t="array" ref="ELC3">GetValue("Dmn","Name",ELC2)</f>
        <v/>
      </c>
      <c r="ELD3" s="1" t="str" cm="1">
        <f t="array" ref="ELD3">GetValue("Dmn","Name",ELD2)</f>
        <v/>
      </c>
      <c r="ELE3" s="1" t="str" cm="1">
        <f t="array" ref="ELE3">GetValue("Dmn","Name",ELE2)</f>
        <v/>
      </c>
      <c r="ELF3" s="1" t="str" cm="1">
        <f t="array" ref="ELF3">GetValue("Dmn","Name",ELF2)</f>
        <v/>
      </c>
      <c r="ELG3" s="1" t="str" cm="1">
        <f t="array" ref="ELG3">GetValue("Dmn","Name",ELG2)</f>
        <v/>
      </c>
      <c r="ELH3" s="1" t="str" cm="1">
        <f t="array" ref="ELH3">GetValue("Dmn","Name",ELH2)</f>
        <v/>
      </c>
      <c r="ELI3" s="1" t="str" cm="1">
        <f t="array" ref="ELI3">GetValue("Dmn","Name",ELI2)</f>
        <v/>
      </c>
      <c r="ELJ3" s="1" t="str" cm="1">
        <f t="array" ref="ELJ3">GetValue("Dmn","Name",ELJ2)</f>
        <v/>
      </c>
      <c r="ELK3" s="1" t="str" cm="1">
        <f t="array" ref="ELK3">GetValue("Dmn","Name",ELK2)</f>
        <v/>
      </c>
      <c r="ELL3" s="1" t="str" cm="1">
        <f t="array" ref="ELL3">GetValue("Dmn","Name",ELL2)</f>
        <v/>
      </c>
      <c r="ELM3" s="1" t="str" cm="1">
        <f t="array" ref="ELM3">GetValue("Dmn","Name",ELM2)</f>
        <v/>
      </c>
      <c r="ELN3" s="1" t="str" cm="1">
        <f t="array" ref="ELN3">GetValue("Dmn","Name",ELN2)</f>
        <v/>
      </c>
      <c r="ELO3" s="1" t="str" cm="1">
        <f t="array" ref="ELO3">GetValue("Dmn","Name",ELO2)</f>
        <v/>
      </c>
      <c r="ELP3" s="1" t="str" cm="1">
        <f t="array" ref="ELP3">GetValue("Dmn","Name",ELP2)</f>
        <v/>
      </c>
      <c r="ELQ3" s="1" t="str" cm="1">
        <f t="array" ref="ELQ3">GetValue("Dmn","Name",ELQ2)</f>
        <v/>
      </c>
      <c r="ELR3" s="1" t="str" cm="1">
        <f t="array" ref="ELR3">GetValue("Dmn","Name",ELR2)</f>
        <v/>
      </c>
      <c r="ELS3" s="1" t="str" cm="1">
        <f t="array" ref="ELS3">GetValue("Dmn","Name",ELS2)</f>
        <v/>
      </c>
      <c r="ELT3" s="1" t="str" cm="1">
        <f t="array" ref="ELT3">GetValue("Dmn","Name",ELT2)</f>
        <v/>
      </c>
      <c r="ELU3" s="1" t="str" cm="1">
        <f t="array" ref="ELU3">GetValue("Dmn","Name",ELU2)</f>
        <v/>
      </c>
      <c r="ELV3" s="1" t="str" cm="1">
        <f t="array" ref="ELV3">GetValue("Dmn","Name",ELV2)</f>
        <v/>
      </c>
      <c r="ELW3" s="1" t="str" cm="1">
        <f t="array" ref="ELW3">GetValue("Dmn","Name",ELW2)</f>
        <v/>
      </c>
      <c r="ELX3" s="1" t="str" cm="1">
        <f t="array" ref="ELX3">GetValue("Dmn","Name",ELX2)</f>
        <v/>
      </c>
      <c r="ELY3" s="1" t="str" cm="1">
        <f t="array" ref="ELY3">GetValue("Dmn","Name",ELY2)</f>
        <v/>
      </c>
      <c r="ELZ3" s="1" t="str" cm="1">
        <f t="array" ref="ELZ3">GetValue("Dmn","Name",ELZ2)</f>
        <v/>
      </c>
      <c r="EMA3" s="1" t="str" cm="1">
        <f t="array" ref="EMA3">GetValue("Dmn","Name",EMA2)</f>
        <v/>
      </c>
      <c r="EMB3" s="1" t="str" cm="1">
        <f t="array" ref="EMB3">GetValue("Dmn","Name",EMB2)</f>
        <v/>
      </c>
      <c r="EMC3" s="1" t="str" cm="1">
        <f t="array" ref="EMC3">GetValue("Dmn","Name",EMC2)</f>
        <v/>
      </c>
      <c r="EMD3" s="1" t="str" cm="1">
        <f t="array" ref="EMD3">GetValue("Dmn","Name",EMD2)</f>
        <v/>
      </c>
      <c r="EME3" s="1" t="str" cm="1">
        <f t="array" ref="EME3">GetValue("Dmn","Name",EME2)</f>
        <v/>
      </c>
      <c r="EMF3" s="1" t="str" cm="1">
        <f t="array" ref="EMF3">GetValue("Dmn","Name",EMF2)</f>
        <v/>
      </c>
      <c r="EMG3" s="1" t="str" cm="1">
        <f t="array" ref="EMG3">GetValue("Dmn","Name",EMG2)</f>
        <v/>
      </c>
      <c r="EMH3" s="1" t="str" cm="1">
        <f t="array" ref="EMH3">GetValue("Dmn","Name",EMH2)</f>
        <v/>
      </c>
      <c r="EMI3" s="1" t="str" cm="1">
        <f t="array" ref="EMI3">GetValue("Dmn","Name",EMI2)</f>
        <v/>
      </c>
      <c r="EMJ3" s="1" t="str" cm="1">
        <f t="array" ref="EMJ3">GetValue("Dmn","Name",EMJ2)</f>
        <v/>
      </c>
      <c r="EMK3" s="1" t="str" cm="1">
        <f t="array" ref="EMK3">GetValue("Dmn","Name",EMK2)</f>
        <v/>
      </c>
      <c r="EML3" s="1" t="str" cm="1">
        <f t="array" ref="EML3">GetValue("Dmn","Name",EML2)</f>
        <v/>
      </c>
      <c r="EMM3" s="1" t="str" cm="1">
        <f t="array" ref="EMM3">GetValue("Dmn","Name",EMM2)</f>
        <v/>
      </c>
      <c r="EMN3" s="1" t="str" cm="1">
        <f t="array" ref="EMN3">GetValue("Dmn","Name",EMN2)</f>
        <v/>
      </c>
      <c r="EMO3" s="1" t="str" cm="1">
        <f t="array" ref="EMO3">GetValue("Dmn","Name",EMO2)</f>
        <v/>
      </c>
      <c r="EMP3" s="1" t="str" cm="1">
        <f t="array" ref="EMP3">GetValue("Dmn","Name",EMP2)</f>
        <v/>
      </c>
      <c r="EMQ3" s="1" t="str" cm="1">
        <f t="array" ref="EMQ3">GetValue("Dmn","Name",EMQ2)</f>
        <v/>
      </c>
      <c r="EMR3" s="1" t="str" cm="1">
        <f t="array" ref="EMR3">GetValue("Dmn","Name",EMR2)</f>
        <v/>
      </c>
      <c r="EMS3" s="1" t="str" cm="1">
        <f t="array" ref="EMS3">GetValue("Dmn","Name",EMS2)</f>
        <v/>
      </c>
      <c r="EMT3" s="1" t="str" cm="1">
        <f t="array" ref="EMT3">GetValue("Dmn","Name",EMT2)</f>
        <v/>
      </c>
      <c r="EMU3" s="1" t="str" cm="1">
        <f t="array" ref="EMU3">GetValue("Dmn","Name",EMU2)</f>
        <v/>
      </c>
      <c r="EMV3" s="1" t="str" cm="1">
        <f t="array" ref="EMV3">GetValue("Dmn","Name",EMV2)</f>
        <v/>
      </c>
      <c r="EMW3" s="1" t="str" cm="1">
        <f t="array" ref="EMW3">GetValue("Dmn","Name",EMW2)</f>
        <v/>
      </c>
      <c r="EMX3" s="1" t="str" cm="1">
        <f t="array" ref="EMX3">GetValue("Dmn","Name",EMX2)</f>
        <v/>
      </c>
      <c r="EMY3" s="1" t="str" cm="1">
        <f t="array" ref="EMY3">GetValue("Dmn","Name",EMY2)</f>
        <v/>
      </c>
      <c r="EMZ3" s="1" t="str" cm="1">
        <f t="array" ref="EMZ3">GetValue("Dmn","Name",EMZ2)</f>
        <v/>
      </c>
      <c r="ENA3" s="1" t="str" cm="1">
        <f t="array" ref="ENA3">GetValue("Dmn","Name",ENA2)</f>
        <v/>
      </c>
      <c r="ENB3" s="1" t="str" cm="1">
        <f t="array" ref="ENB3">GetValue("Dmn","Name",ENB2)</f>
        <v/>
      </c>
      <c r="ENC3" s="1" t="str" cm="1">
        <f t="array" ref="ENC3">GetValue("Dmn","Name",ENC2)</f>
        <v/>
      </c>
      <c r="END3" s="1" t="str" cm="1">
        <f t="array" ref="END3">GetValue("Dmn","Name",END2)</f>
        <v/>
      </c>
      <c r="ENE3" s="1" t="str" cm="1">
        <f t="array" ref="ENE3">GetValue("Dmn","Name",ENE2)</f>
        <v/>
      </c>
      <c r="ENF3" s="1" t="str" cm="1">
        <f t="array" ref="ENF3">GetValue("Dmn","Name",ENF2)</f>
        <v/>
      </c>
      <c r="ENG3" s="1" t="str" cm="1">
        <f t="array" ref="ENG3">GetValue("Dmn","Name",ENG2)</f>
        <v/>
      </c>
      <c r="ENH3" s="1" t="str" cm="1">
        <f t="array" ref="ENH3">GetValue("Dmn","Name",ENH2)</f>
        <v/>
      </c>
      <c r="ENI3" s="1" t="str" cm="1">
        <f t="array" ref="ENI3">GetValue("Dmn","Name",ENI2)</f>
        <v/>
      </c>
      <c r="ENJ3" s="1" t="str" cm="1">
        <f t="array" ref="ENJ3">GetValue("Dmn","Name",ENJ2)</f>
        <v/>
      </c>
      <c r="ENK3" s="1" t="str" cm="1">
        <f t="array" ref="ENK3">GetValue("Dmn","Name",ENK2)</f>
        <v/>
      </c>
      <c r="ENL3" s="1" t="str" cm="1">
        <f t="array" ref="ENL3">GetValue("Dmn","Name",ENL2)</f>
        <v/>
      </c>
      <c r="ENM3" s="1" t="str" cm="1">
        <f t="array" ref="ENM3">GetValue("Dmn","Name",ENM2)</f>
        <v/>
      </c>
      <c r="ENN3" s="1" t="str" cm="1">
        <f t="array" ref="ENN3">GetValue("Dmn","Name",ENN2)</f>
        <v/>
      </c>
      <c r="ENO3" s="1" t="str" cm="1">
        <f t="array" ref="ENO3">GetValue("Dmn","Name",ENO2)</f>
        <v/>
      </c>
      <c r="ENP3" s="1" t="str" cm="1">
        <f t="array" ref="ENP3">GetValue("Dmn","Name",ENP2)</f>
        <v/>
      </c>
      <c r="ENQ3" s="1" t="str" cm="1">
        <f t="array" ref="ENQ3">GetValue("Dmn","Name",ENQ2)</f>
        <v/>
      </c>
      <c r="ENR3" s="1" t="str" cm="1">
        <f t="array" ref="ENR3">GetValue("Dmn","Name",ENR2)</f>
        <v/>
      </c>
      <c r="ENS3" s="1" t="str" cm="1">
        <f t="array" ref="ENS3">GetValue("Dmn","Name",ENS2)</f>
        <v/>
      </c>
      <c r="ENT3" s="1" t="str" cm="1">
        <f t="array" ref="ENT3">GetValue("Dmn","Name",ENT2)</f>
        <v/>
      </c>
      <c r="ENU3" s="1" t="str" cm="1">
        <f t="array" ref="ENU3">GetValue("Dmn","Name",ENU2)</f>
        <v/>
      </c>
      <c r="ENV3" s="1" t="str" cm="1">
        <f t="array" ref="ENV3">GetValue("Dmn","Name",ENV2)</f>
        <v/>
      </c>
      <c r="ENW3" s="1" t="str" cm="1">
        <f t="array" ref="ENW3">GetValue("Dmn","Name",ENW2)</f>
        <v/>
      </c>
      <c r="ENX3" s="1" t="str" cm="1">
        <f t="array" ref="ENX3">GetValue("Dmn","Name",ENX2)</f>
        <v/>
      </c>
      <c r="ENY3" s="1" t="str" cm="1">
        <f t="array" ref="ENY3">GetValue("Dmn","Name",ENY2)</f>
        <v/>
      </c>
      <c r="ENZ3" s="1" t="str" cm="1">
        <f t="array" ref="ENZ3">GetValue("Dmn","Name",ENZ2)</f>
        <v/>
      </c>
      <c r="EOA3" s="1" t="str" cm="1">
        <f t="array" ref="EOA3">GetValue("Dmn","Name",EOA2)</f>
        <v/>
      </c>
      <c r="EOB3" s="1" t="str" cm="1">
        <f t="array" ref="EOB3">GetValue("Dmn","Name",EOB2)</f>
        <v/>
      </c>
      <c r="EOC3" s="1" t="str" cm="1">
        <f t="array" ref="EOC3">GetValue("Dmn","Name",EOC2)</f>
        <v/>
      </c>
      <c r="EOD3" s="1" t="str" cm="1">
        <f t="array" ref="EOD3">GetValue("Dmn","Name",EOD2)</f>
        <v/>
      </c>
      <c r="EOE3" s="1" t="str" cm="1">
        <f t="array" ref="EOE3">GetValue("Dmn","Name",EOE2)</f>
        <v/>
      </c>
      <c r="EOF3" s="1" t="str" cm="1">
        <f t="array" ref="EOF3">GetValue("Dmn","Name",EOF2)</f>
        <v/>
      </c>
      <c r="EOG3" s="1" t="str" cm="1">
        <f t="array" ref="EOG3">GetValue("Dmn","Name",EOG2)</f>
        <v/>
      </c>
      <c r="EOH3" s="1" t="str" cm="1">
        <f t="array" ref="EOH3">GetValue("Dmn","Name",EOH2)</f>
        <v/>
      </c>
      <c r="EOI3" s="1" t="str" cm="1">
        <f t="array" ref="EOI3">GetValue("Dmn","Name",EOI2)</f>
        <v/>
      </c>
      <c r="EOJ3" s="1" t="str" cm="1">
        <f t="array" ref="EOJ3">GetValue("Dmn","Name",EOJ2)</f>
        <v/>
      </c>
      <c r="EOK3" s="1" t="str" cm="1">
        <f t="array" ref="EOK3">GetValue("Dmn","Name",EOK2)</f>
        <v/>
      </c>
      <c r="EOL3" s="1" t="str" cm="1">
        <f t="array" ref="EOL3">GetValue("Dmn","Name",EOL2)</f>
        <v/>
      </c>
      <c r="EOM3" s="1" t="str" cm="1">
        <f t="array" ref="EOM3">GetValue("Dmn","Name",EOM2)</f>
        <v/>
      </c>
      <c r="EON3" s="1" t="str" cm="1">
        <f t="array" ref="EON3">GetValue("Dmn","Name",EON2)</f>
        <v/>
      </c>
      <c r="EOO3" s="1" t="str" cm="1">
        <f t="array" ref="EOO3">GetValue("Dmn","Name",EOO2)</f>
        <v/>
      </c>
      <c r="EOP3" s="1" t="str" cm="1">
        <f t="array" ref="EOP3">GetValue("Dmn","Name",EOP2)</f>
        <v/>
      </c>
      <c r="EOQ3" s="1" t="str" cm="1">
        <f t="array" ref="EOQ3">GetValue("Dmn","Name",EOQ2)</f>
        <v/>
      </c>
      <c r="EOR3" s="1" t="str" cm="1">
        <f t="array" ref="EOR3">GetValue("Dmn","Name",EOR2)</f>
        <v/>
      </c>
      <c r="EOS3" s="1" t="str" cm="1">
        <f t="array" ref="EOS3">GetValue("Dmn","Name",EOS2)</f>
        <v/>
      </c>
      <c r="EOT3" s="1" t="str" cm="1">
        <f t="array" ref="EOT3">GetValue("Dmn","Name",EOT2)</f>
        <v/>
      </c>
      <c r="EOU3" s="1" t="str" cm="1">
        <f t="array" ref="EOU3">GetValue("Dmn","Name",EOU2)</f>
        <v/>
      </c>
      <c r="EOV3" s="1" t="str" cm="1">
        <f t="array" ref="EOV3">GetValue("Dmn","Name",EOV2)</f>
        <v/>
      </c>
      <c r="EOW3" s="1" t="str" cm="1">
        <f t="array" ref="EOW3">GetValue("Dmn","Name",EOW2)</f>
        <v/>
      </c>
      <c r="EOX3" s="1" t="str" cm="1">
        <f t="array" ref="EOX3">GetValue("Dmn","Name",EOX2)</f>
        <v/>
      </c>
      <c r="EOY3" s="1" t="str" cm="1">
        <f t="array" ref="EOY3">GetValue("Dmn","Name",EOY2)</f>
        <v/>
      </c>
      <c r="EOZ3" s="1" t="str" cm="1">
        <f t="array" ref="EOZ3">GetValue("Dmn","Name",EOZ2)</f>
        <v/>
      </c>
      <c r="EPA3" s="1" t="str" cm="1">
        <f t="array" ref="EPA3">GetValue("Dmn","Name",EPA2)</f>
        <v/>
      </c>
      <c r="EPB3" s="1" t="str" cm="1">
        <f t="array" ref="EPB3">GetValue("Dmn","Name",EPB2)</f>
        <v/>
      </c>
      <c r="EPC3" s="1" t="str" cm="1">
        <f t="array" ref="EPC3">GetValue("Dmn","Name",EPC2)</f>
        <v/>
      </c>
      <c r="EPD3" s="1" t="str" cm="1">
        <f t="array" ref="EPD3">GetValue("Dmn","Name",EPD2)</f>
        <v/>
      </c>
      <c r="EPE3" s="1" t="str" cm="1">
        <f t="array" ref="EPE3">GetValue("Dmn","Name",EPE2)</f>
        <v/>
      </c>
      <c r="EPF3" s="1" t="str" cm="1">
        <f t="array" ref="EPF3">GetValue("Dmn","Name",EPF2)</f>
        <v/>
      </c>
      <c r="EPG3" s="1" t="str" cm="1">
        <f t="array" ref="EPG3">GetValue("Dmn","Name",EPG2)</f>
        <v/>
      </c>
      <c r="EPH3" s="1" t="str" cm="1">
        <f t="array" ref="EPH3">GetValue("Dmn","Name",EPH2)</f>
        <v/>
      </c>
      <c r="EPI3" s="1" t="str" cm="1">
        <f t="array" ref="EPI3">GetValue("Dmn","Name",EPI2)</f>
        <v/>
      </c>
      <c r="EPJ3" s="1" t="str" cm="1">
        <f t="array" ref="EPJ3">GetValue("Dmn","Name",EPJ2)</f>
        <v/>
      </c>
      <c r="EPK3" s="1" t="str" cm="1">
        <f t="array" ref="EPK3">GetValue("Dmn","Name",EPK2)</f>
        <v/>
      </c>
      <c r="EPL3" s="1" t="str" cm="1">
        <f t="array" ref="EPL3">GetValue("Dmn","Name",EPL2)</f>
        <v/>
      </c>
      <c r="EPM3" s="1" t="str" cm="1">
        <f t="array" ref="EPM3">GetValue("Dmn","Name",EPM2)</f>
        <v/>
      </c>
      <c r="EPN3" s="1" t="str" cm="1">
        <f t="array" ref="EPN3">GetValue("Dmn","Name",EPN2)</f>
        <v/>
      </c>
      <c r="EPO3" s="1" t="str" cm="1">
        <f t="array" ref="EPO3">GetValue("Dmn","Name",EPO2)</f>
        <v/>
      </c>
      <c r="EPP3" s="1" t="str" cm="1">
        <f t="array" ref="EPP3">GetValue("Dmn","Name",EPP2)</f>
        <v/>
      </c>
      <c r="EPQ3" s="1" t="str" cm="1">
        <f t="array" ref="EPQ3">GetValue("Dmn","Name",EPQ2)</f>
        <v/>
      </c>
      <c r="EPR3" s="1" t="str" cm="1">
        <f t="array" ref="EPR3">GetValue("Dmn","Name",EPR2)</f>
        <v/>
      </c>
      <c r="EPS3" s="1" t="str" cm="1">
        <f t="array" ref="EPS3">GetValue("Dmn","Name",EPS2)</f>
        <v/>
      </c>
      <c r="EPT3" s="1" t="str" cm="1">
        <f t="array" ref="EPT3">GetValue("Dmn","Name",EPT2)</f>
        <v/>
      </c>
      <c r="EPU3" s="1" t="str" cm="1">
        <f t="array" ref="EPU3">GetValue("Dmn","Name",EPU2)</f>
        <v/>
      </c>
      <c r="EPV3" s="1" t="str" cm="1">
        <f t="array" ref="EPV3">GetValue("Dmn","Name",EPV2)</f>
        <v/>
      </c>
      <c r="EPW3" s="1" t="str" cm="1">
        <f t="array" ref="EPW3">GetValue("Dmn","Name",EPW2)</f>
        <v/>
      </c>
      <c r="EPX3" s="1" t="str" cm="1">
        <f t="array" ref="EPX3">GetValue("Dmn","Name",EPX2)</f>
        <v/>
      </c>
      <c r="EPY3" s="1" t="str" cm="1">
        <f t="array" ref="EPY3">GetValue("Dmn","Name",EPY2)</f>
        <v/>
      </c>
      <c r="EPZ3" s="1" t="str" cm="1">
        <f t="array" ref="EPZ3">GetValue("Dmn","Name",EPZ2)</f>
        <v/>
      </c>
      <c r="EQA3" s="1" t="str" cm="1">
        <f t="array" ref="EQA3">GetValue("Dmn","Name",EQA2)</f>
        <v/>
      </c>
      <c r="EQB3" s="1" t="str" cm="1">
        <f t="array" ref="EQB3">GetValue("Dmn","Name",EQB2)</f>
        <v/>
      </c>
      <c r="EQC3" s="1" t="str" cm="1">
        <f t="array" ref="EQC3">GetValue("Dmn","Name",EQC2)</f>
        <v/>
      </c>
      <c r="EQD3" s="1" t="str" cm="1">
        <f t="array" ref="EQD3">GetValue("Dmn","Name",EQD2)</f>
        <v/>
      </c>
      <c r="EQE3" s="1" t="str" cm="1">
        <f t="array" ref="EQE3">GetValue("Dmn","Name",EQE2)</f>
        <v/>
      </c>
      <c r="EQF3" s="1" t="str" cm="1">
        <f t="array" ref="EQF3">GetValue("Dmn","Name",EQF2)</f>
        <v/>
      </c>
      <c r="EQG3" s="1" t="str" cm="1">
        <f t="array" ref="EQG3">GetValue("Dmn","Name",EQG2)</f>
        <v/>
      </c>
      <c r="EQH3" s="1" t="str" cm="1">
        <f t="array" ref="EQH3">GetValue("Dmn","Name",EQH2)</f>
        <v/>
      </c>
      <c r="EQI3" s="1" t="str" cm="1">
        <f t="array" ref="EQI3">GetValue("Dmn","Name",EQI2)</f>
        <v/>
      </c>
      <c r="EQJ3" s="1" t="str" cm="1">
        <f t="array" ref="EQJ3">GetValue("Dmn","Name",EQJ2)</f>
        <v/>
      </c>
      <c r="EQK3" s="1" t="str" cm="1">
        <f t="array" ref="EQK3">GetValue("Dmn","Name",EQK2)</f>
        <v/>
      </c>
      <c r="EQL3" s="1" t="str" cm="1">
        <f t="array" ref="EQL3">GetValue("Dmn","Name",EQL2)</f>
        <v/>
      </c>
      <c r="EQM3" s="1" t="str" cm="1">
        <f t="array" ref="EQM3">GetValue("Dmn","Name",EQM2)</f>
        <v/>
      </c>
      <c r="EQN3" s="1" t="str" cm="1">
        <f t="array" ref="EQN3">GetValue("Dmn","Name",EQN2)</f>
        <v/>
      </c>
      <c r="EQO3" s="1" t="str" cm="1">
        <f t="array" ref="EQO3">GetValue("Dmn","Name",EQO2)</f>
        <v/>
      </c>
      <c r="EQP3" s="1" t="str" cm="1">
        <f t="array" ref="EQP3">GetValue("Dmn","Name",EQP2)</f>
        <v/>
      </c>
      <c r="EQQ3" s="1" t="str" cm="1">
        <f t="array" ref="EQQ3">GetValue("Dmn","Name",EQQ2)</f>
        <v/>
      </c>
      <c r="EQR3" s="1" t="str" cm="1">
        <f t="array" ref="EQR3">GetValue("Dmn","Name",EQR2)</f>
        <v/>
      </c>
      <c r="EQS3" s="1" t="str" cm="1">
        <f t="array" ref="EQS3">GetValue("Dmn","Name",EQS2)</f>
        <v/>
      </c>
      <c r="EQT3" s="1" t="str" cm="1">
        <f t="array" ref="EQT3">GetValue("Dmn","Name",EQT2)</f>
        <v/>
      </c>
      <c r="EQU3" s="1" t="str" cm="1">
        <f t="array" ref="EQU3">GetValue("Dmn","Name",EQU2)</f>
        <v/>
      </c>
      <c r="EQV3" s="1" t="str" cm="1">
        <f t="array" ref="EQV3">GetValue("Dmn","Name",EQV2)</f>
        <v/>
      </c>
      <c r="EQW3" s="1" t="str" cm="1">
        <f t="array" ref="EQW3">GetValue("Dmn","Name",EQW2)</f>
        <v/>
      </c>
      <c r="EQX3" s="1" t="str" cm="1">
        <f t="array" ref="EQX3">GetValue("Dmn","Name",EQX2)</f>
        <v/>
      </c>
      <c r="EQY3" s="1" t="str" cm="1">
        <f t="array" ref="EQY3">GetValue("Dmn","Name",EQY2)</f>
        <v/>
      </c>
      <c r="EQZ3" s="1" t="str" cm="1">
        <f t="array" ref="EQZ3">GetValue("Dmn","Name",EQZ2)</f>
        <v/>
      </c>
      <c r="ERA3" s="1" t="str" cm="1">
        <f t="array" ref="ERA3">GetValue("Dmn","Name",ERA2)</f>
        <v/>
      </c>
      <c r="ERB3" s="1" t="str" cm="1">
        <f t="array" ref="ERB3">GetValue("Dmn","Name",ERB2)</f>
        <v/>
      </c>
      <c r="ERC3" s="1" t="str" cm="1">
        <f t="array" ref="ERC3">GetValue("Dmn","Name",ERC2)</f>
        <v/>
      </c>
      <c r="ERD3" s="1" t="str" cm="1">
        <f t="array" ref="ERD3">GetValue("Dmn","Name",ERD2)</f>
        <v/>
      </c>
      <c r="ERE3" s="1" t="str" cm="1">
        <f t="array" ref="ERE3">GetValue("Dmn","Name",ERE2)</f>
        <v/>
      </c>
      <c r="ERF3" s="1" t="str" cm="1">
        <f t="array" ref="ERF3">GetValue("Dmn","Name",ERF2)</f>
        <v/>
      </c>
      <c r="ERG3" s="1" t="str" cm="1">
        <f t="array" ref="ERG3">GetValue("Dmn","Name",ERG2)</f>
        <v/>
      </c>
      <c r="ERH3" s="1" t="str" cm="1">
        <f t="array" ref="ERH3">GetValue("Dmn","Name",ERH2)</f>
        <v/>
      </c>
      <c r="ERI3" s="1" t="str" cm="1">
        <f t="array" ref="ERI3">GetValue("Dmn","Name",ERI2)</f>
        <v/>
      </c>
      <c r="ERJ3" s="1" t="str" cm="1">
        <f t="array" ref="ERJ3">GetValue("Dmn","Name",ERJ2)</f>
        <v/>
      </c>
      <c r="ERK3" s="1" t="str" cm="1">
        <f t="array" ref="ERK3">GetValue("Dmn","Name",ERK2)</f>
        <v/>
      </c>
      <c r="ERL3" s="1" t="str" cm="1">
        <f t="array" ref="ERL3">GetValue("Dmn","Name",ERL2)</f>
        <v/>
      </c>
      <c r="ERM3" s="1" t="str" cm="1">
        <f t="array" ref="ERM3">GetValue("Dmn","Name",ERM2)</f>
        <v/>
      </c>
      <c r="ERN3" s="1" t="str" cm="1">
        <f t="array" ref="ERN3">GetValue("Dmn","Name",ERN2)</f>
        <v/>
      </c>
      <c r="ERO3" s="1" t="str" cm="1">
        <f t="array" ref="ERO3">GetValue("Dmn","Name",ERO2)</f>
        <v/>
      </c>
      <c r="ERP3" s="1" t="str" cm="1">
        <f t="array" ref="ERP3">GetValue("Dmn","Name",ERP2)</f>
        <v/>
      </c>
      <c r="ERQ3" s="1" t="str" cm="1">
        <f t="array" ref="ERQ3">GetValue("Dmn","Name",ERQ2)</f>
        <v/>
      </c>
      <c r="ERR3" s="1" t="str" cm="1">
        <f t="array" ref="ERR3">GetValue("Dmn","Name",ERR2)</f>
        <v/>
      </c>
      <c r="ERS3" s="1" t="str" cm="1">
        <f t="array" ref="ERS3">GetValue("Dmn","Name",ERS2)</f>
        <v/>
      </c>
      <c r="ERT3" s="1" t="str" cm="1">
        <f t="array" ref="ERT3">GetValue("Dmn","Name",ERT2)</f>
        <v/>
      </c>
      <c r="ERU3" s="1" t="str" cm="1">
        <f t="array" ref="ERU3">GetValue("Dmn","Name",ERU2)</f>
        <v/>
      </c>
      <c r="ERV3" s="1" t="str" cm="1">
        <f t="array" ref="ERV3">GetValue("Dmn","Name",ERV2)</f>
        <v/>
      </c>
      <c r="ERW3" s="1" t="str" cm="1">
        <f t="array" ref="ERW3">GetValue("Dmn","Name",ERW2)</f>
        <v/>
      </c>
      <c r="ERX3" s="1" t="str" cm="1">
        <f t="array" ref="ERX3">GetValue("Dmn","Name",ERX2)</f>
        <v/>
      </c>
      <c r="ERY3" s="1" t="str" cm="1">
        <f t="array" ref="ERY3">GetValue("Dmn","Name",ERY2)</f>
        <v/>
      </c>
      <c r="ERZ3" s="1" t="str" cm="1">
        <f t="array" ref="ERZ3">GetValue("Dmn","Name",ERZ2)</f>
        <v/>
      </c>
      <c r="ESA3" s="1" t="str" cm="1">
        <f t="array" ref="ESA3">GetValue("Dmn","Name",ESA2)</f>
        <v/>
      </c>
      <c r="ESB3" s="1" t="str" cm="1">
        <f t="array" ref="ESB3">GetValue("Dmn","Name",ESB2)</f>
        <v/>
      </c>
      <c r="ESC3" s="1" t="str" cm="1">
        <f t="array" ref="ESC3">GetValue("Dmn","Name",ESC2)</f>
        <v/>
      </c>
      <c r="ESD3" s="1" t="str" cm="1">
        <f t="array" ref="ESD3">GetValue("Dmn","Name",ESD2)</f>
        <v/>
      </c>
      <c r="ESE3" s="1" t="str" cm="1">
        <f t="array" ref="ESE3">GetValue("Dmn","Name",ESE2)</f>
        <v/>
      </c>
      <c r="ESF3" s="1" t="str" cm="1">
        <f t="array" ref="ESF3">GetValue("Dmn","Name",ESF2)</f>
        <v/>
      </c>
      <c r="ESG3" s="1" t="str" cm="1">
        <f t="array" ref="ESG3">GetValue("Dmn","Name",ESG2)</f>
        <v/>
      </c>
      <c r="ESH3" s="1" t="str" cm="1">
        <f t="array" ref="ESH3">GetValue("Dmn","Name",ESH2)</f>
        <v/>
      </c>
      <c r="ESI3" s="1" t="str" cm="1">
        <f t="array" ref="ESI3">GetValue("Dmn","Name",ESI2)</f>
        <v/>
      </c>
      <c r="ESJ3" s="1" t="str" cm="1">
        <f t="array" ref="ESJ3">GetValue("Dmn","Name",ESJ2)</f>
        <v/>
      </c>
      <c r="ESK3" s="1" t="str" cm="1">
        <f t="array" ref="ESK3">GetValue("Dmn","Name",ESK2)</f>
        <v/>
      </c>
      <c r="ESL3" s="1" t="str" cm="1">
        <f t="array" ref="ESL3">GetValue("Dmn","Name",ESL2)</f>
        <v/>
      </c>
      <c r="ESM3" s="1" t="str" cm="1">
        <f t="array" ref="ESM3">GetValue("Dmn","Name",ESM2)</f>
        <v/>
      </c>
      <c r="ESN3" s="1" t="str" cm="1">
        <f t="array" ref="ESN3">GetValue("Dmn","Name",ESN2)</f>
        <v/>
      </c>
      <c r="ESO3" s="1" t="str" cm="1">
        <f t="array" ref="ESO3">GetValue("Dmn","Name",ESO2)</f>
        <v/>
      </c>
      <c r="ESP3" s="1" t="str" cm="1">
        <f t="array" ref="ESP3">GetValue("Dmn","Name",ESP2)</f>
        <v/>
      </c>
      <c r="ESQ3" s="1" t="str" cm="1">
        <f t="array" ref="ESQ3">GetValue("Dmn","Name",ESQ2)</f>
        <v/>
      </c>
      <c r="ESR3" s="1" t="str" cm="1">
        <f t="array" ref="ESR3">GetValue("Dmn","Name",ESR2)</f>
        <v/>
      </c>
      <c r="ESS3" s="1" t="str" cm="1">
        <f t="array" ref="ESS3">GetValue("Dmn","Name",ESS2)</f>
        <v/>
      </c>
      <c r="EST3" s="1" t="str" cm="1">
        <f t="array" ref="EST3">GetValue("Dmn","Name",EST2)</f>
        <v/>
      </c>
      <c r="ESU3" s="1" t="str" cm="1">
        <f t="array" ref="ESU3">GetValue("Dmn","Name",ESU2)</f>
        <v/>
      </c>
      <c r="ESV3" s="1" t="str" cm="1">
        <f t="array" ref="ESV3">GetValue("Dmn","Name",ESV2)</f>
        <v/>
      </c>
      <c r="ESW3" s="1" t="str" cm="1">
        <f t="array" ref="ESW3">GetValue("Dmn","Name",ESW2)</f>
        <v/>
      </c>
      <c r="ESX3" s="1" t="str" cm="1">
        <f t="array" ref="ESX3">GetValue("Dmn","Name",ESX2)</f>
        <v/>
      </c>
      <c r="ESY3" s="1" t="str" cm="1">
        <f t="array" ref="ESY3">GetValue("Dmn","Name",ESY2)</f>
        <v/>
      </c>
      <c r="ESZ3" s="1" t="str" cm="1">
        <f t="array" ref="ESZ3">GetValue("Dmn","Name",ESZ2)</f>
        <v/>
      </c>
      <c r="ETA3" s="1" t="str" cm="1">
        <f t="array" ref="ETA3">GetValue("Dmn","Name",ETA2)</f>
        <v/>
      </c>
      <c r="ETB3" s="1" t="str" cm="1">
        <f t="array" ref="ETB3">GetValue("Dmn","Name",ETB2)</f>
        <v/>
      </c>
      <c r="ETC3" s="1" t="str" cm="1">
        <f t="array" ref="ETC3">GetValue("Dmn","Name",ETC2)</f>
        <v/>
      </c>
      <c r="ETD3" s="1" t="str" cm="1">
        <f t="array" ref="ETD3">GetValue("Dmn","Name",ETD2)</f>
        <v/>
      </c>
      <c r="ETE3" s="1" t="str" cm="1">
        <f t="array" ref="ETE3">GetValue("Dmn","Name",ETE2)</f>
        <v/>
      </c>
      <c r="ETF3" s="1" t="str" cm="1">
        <f t="array" ref="ETF3">GetValue("Dmn","Name",ETF2)</f>
        <v/>
      </c>
      <c r="ETG3" s="1" t="str" cm="1">
        <f t="array" ref="ETG3">GetValue("Dmn","Name",ETG2)</f>
        <v/>
      </c>
      <c r="ETH3" s="1" t="str" cm="1">
        <f t="array" ref="ETH3">GetValue("Dmn","Name",ETH2)</f>
        <v/>
      </c>
      <c r="ETI3" s="1" t="str" cm="1">
        <f t="array" ref="ETI3">GetValue("Dmn","Name",ETI2)</f>
        <v/>
      </c>
      <c r="ETJ3" s="1" t="str" cm="1">
        <f t="array" ref="ETJ3">GetValue("Dmn","Name",ETJ2)</f>
        <v/>
      </c>
      <c r="ETK3" s="1" t="str" cm="1">
        <f t="array" ref="ETK3">GetValue("Dmn","Name",ETK2)</f>
        <v/>
      </c>
      <c r="ETL3" s="1" t="str" cm="1">
        <f t="array" ref="ETL3">GetValue("Dmn","Name",ETL2)</f>
        <v/>
      </c>
      <c r="ETM3" s="1" t="str" cm="1">
        <f t="array" ref="ETM3">GetValue("Dmn","Name",ETM2)</f>
        <v/>
      </c>
      <c r="ETN3" s="1" t="str" cm="1">
        <f t="array" ref="ETN3">GetValue("Dmn","Name",ETN2)</f>
        <v/>
      </c>
      <c r="ETO3" s="1" t="str" cm="1">
        <f t="array" ref="ETO3">GetValue("Dmn","Name",ETO2)</f>
        <v/>
      </c>
      <c r="ETP3" s="1" t="str" cm="1">
        <f t="array" ref="ETP3">GetValue("Dmn","Name",ETP2)</f>
        <v/>
      </c>
      <c r="ETQ3" s="1" t="str" cm="1">
        <f t="array" ref="ETQ3">GetValue("Dmn","Name",ETQ2)</f>
        <v/>
      </c>
      <c r="ETR3" s="1" t="str" cm="1">
        <f t="array" ref="ETR3">GetValue("Dmn","Name",ETR2)</f>
        <v/>
      </c>
      <c r="ETS3" s="1" t="str" cm="1">
        <f t="array" ref="ETS3">GetValue("Dmn","Name",ETS2)</f>
        <v/>
      </c>
      <c r="ETT3" s="1" t="str" cm="1">
        <f t="array" ref="ETT3">GetValue("Dmn","Name",ETT2)</f>
        <v/>
      </c>
      <c r="ETU3" s="1" t="str" cm="1">
        <f t="array" ref="ETU3">GetValue("Dmn","Name",ETU2)</f>
        <v/>
      </c>
      <c r="ETV3" s="1" t="str" cm="1">
        <f t="array" ref="ETV3">GetValue("Dmn","Name",ETV2)</f>
        <v/>
      </c>
      <c r="ETW3" s="1" t="str" cm="1">
        <f t="array" ref="ETW3">GetValue("Dmn","Name",ETW2)</f>
        <v/>
      </c>
      <c r="ETX3" s="1" t="str" cm="1">
        <f t="array" ref="ETX3">GetValue("Dmn","Name",ETX2)</f>
        <v/>
      </c>
      <c r="ETY3" s="1" t="str" cm="1">
        <f t="array" ref="ETY3">GetValue("Dmn","Name",ETY2)</f>
        <v/>
      </c>
      <c r="ETZ3" s="1" t="str" cm="1">
        <f t="array" ref="ETZ3">GetValue("Dmn","Name",ETZ2)</f>
        <v/>
      </c>
      <c r="EUA3" s="1" t="str" cm="1">
        <f t="array" ref="EUA3">GetValue("Dmn","Name",EUA2)</f>
        <v/>
      </c>
      <c r="EUB3" s="1" t="str" cm="1">
        <f t="array" ref="EUB3">GetValue("Dmn","Name",EUB2)</f>
        <v/>
      </c>
      <c r="EUC3" s="1" t="str" cm="1">
        <f t="array" ref="EUC3">GetValue("Dmn","Name",EUC2)</f>
        <v/>
      </c>
      <c r="EUD3" s="1" t="str" cm="1">
        <f t="array" ref="EUD3">GetValue("Dmn","Name",EUD2)</f>
        <v/>
      </c>
      <c r="EUE3" s="1" t="str" cm="1">
        <f t="array" ref="EUE3">GetValue("Dmn","Name",EUE2)</f>
        <v/>
      </c>
      <c r="EUF3" s="1" t="str" cm="1">
        <f t="array" ref="EUF3">GetValue("Dmn","Name",EUF2)</f>
        <v/>
      </c>
      <c r="EUG3" s="1" t="str" cm="1">
        <f t="array" ref="EUG3">GetValue("Dmn","Name",EUG2)</f>
        <v/>
      </c>
      <c r="EUH3" s="1" t="str" cm="1">
        <f t="array" ref="EUH3">GetValue("Dmn","Name",EUH2)</f>
        <v/>
      </c>
      <c r="EUI3" s="1" t="str" cm="1">
        <f t="array" ref="EUI3">GetValue("Dmn","Name",EUI2)</f>
        <v/>
      </c>
      <c r="EUJ3" s="1" t="str" cm="1">
        <f t="array" ref="EUJ3">GetValue("Dmn","Name",EUJ2)</f>
        <v/>
      </c>
      <c r="EUK3" s="1" t="str" cm="1">
        <f t="array" ref="EUK3">GetValue("Dmn","Name",EUK2)</f>
        <v/>
      </c>
      <c r="EUL3" s="1" t="str" cm="1">
        <f t="array" ref="EUL3">GetValue("Dmn","Name",EUL2)</f>
        <v/>
      </c>
      <c r="EUM3" s="1" t="str" cm="1">
        <f t="array" ref="EUM3">GetValue("Dmn","Name",EUM2)</f>
        <v/>
      </c>
      <c r="EUN3" s="1" t="str" cm="1">
        <f t="array" ref="EUN3">GetValue("Dmn","Name",EUN2)</f>
        <v/>
      </c>
      <c r="EUO3" s="1" t="str" cm="1">
        <f t="array" ref="EUO3">GetValue("Dmn","Name",EUO2)</f>
        <v/>
      </c>
      <c r="EUP3" s="1" t="str" cm="1">
        <f t="array" ref="EUP3">GetValue("Dmn","Name",EUP2)</f>
        <v/>
      </c>
      <c r="EUQ3" s="1" t="str" cm="1">
        <f t="array" ref="EUQ3">GetValue("Dmn","Name",EUQ2)</f>
        <v/>
      </c>
      <c r="EUR3" s="1" t="str" cm="1">
        <f t="array" ref="EUR3">GetValue("Dmn","Name",EUR2)</f>
        <v/>
      </c>
      <c r="EUS3" s="1" t="str" cm="1">
        <f t="array" ref="EUS3">GetValue("Dmn","Name",EUS2)</f>
        <v/>
      </c>
      <c r="EUT3" s="1" t="str" cm="1">
        <f t="array" ref="EUT3">GetValue("Dmn","Name",EUT2)</f>
        <v/>
      </c>
      <c r="EUU3" s="1" t="str" cm="1">
        <f t="array" ref="EUU3">GetValue("Dmn","Name",EUU2)</f>
        <v/>
      </c>
      <c r="EUV3" s="1" t="str" cm="1">
        <f t="array" ref="EUV3">GetValue("Dmn","Name",EUV2)</f>
        <v/>
      </c>
      <c r="EUW3" s="1" t="str" cm="1">
        <f t="array" ref="EUW3">GetValue("Dmn","Name",EUW2)</f>
        <v/>
      </c>
      <c r="EUX3" s="1" t="str" cm="1">
        <f t="array" ref="EUX3">GetValue("Dmn","Name",EUX2)</f>
        <v/>
      </c>
      <c r="EUY3" s="1" t="str" cm="1">
        <f t="array" ref="EUY3">GetValue("Dmn","Name",EUY2)</f>
        <v/>
      </c>
      <c r="EUZ3" s="1" t="str" cm="1">
        <f t="array" ref="EUZ3">GetValue("Dmn","Name",EUZ2)</f>
        <v/>
      </c>
      <c r="EVA3" s="1" t="str" cm="1">
        <f t="array" ref="EVA3">GetValue("Dmn","Name",EVA2)</f>
        <v/>
      </c>
      <c r="EVB3" s="1" t="str" cm="1">
        <f t="array" ref="EVB3">GetValue("Dmn","Name",EVB2)</f>
        <v/>
      </c>
      <c r="EVC3" s="1" t="str" cm="1">
        <f t="array" ref="EVC3">GetValue("Dmn","Name",EVC2)</f>
        <v/>
      </c>
      <c r="EVD3" s="1" t="str" cm="1">
        <f t="array" ref="EVD3">GetValue("Dmn","Name",EVD2)</f>
        <v/>
      </c>
      <c r="EVE3" s="1" t="str" cm="1">
        <f t="array" ref="EVE3">GetValue("Dmn","Name",EVE2)</f>
        <v/>
      </c>
      <c r="EVF3" s="1" t="str" cm="1">
        <f t="array" ref="EVF3">GetValue("Dmn","Name",EVF2)</f>
        <v/>
      </c>
      <c r="EVG3" s="1" t="str" cm="1">
        <f t="array" ref="EVG3">GetValue("Dmn","Name",EVG2)</f>
        <v/>
      </c>
      <c r="EVH3" s="1" t="str" cm="1">
        <f t="array" ref="EVH3">GetValue("Dmn","Name",EVH2)</f>
        <v/>
      </c>
      <c r="EVI3" s="1" t="str" cm="1">
        <f t="array" ref="EVI3">GetValue("Dmn","Name",EVI2)</f>
        <v/>
      </c>
      <c r="EVJ3" s="1" t="str" cm="1">
        <f t="array" ref="EVJ3">GetValue("Dmn","Name",EVJ2)</f>
        <v/>
      </c>
      <c r="EVK3" s="1" t="str" cm="1">
        <f t="array" ref="EVK3">GetValue("Dmn","Name",EVK2)</f>
        <v/>
      </c>
      <c r="EVL3" s="1" t="str" cm="1">
        <f t="array" ref="EVL3">GetValue("Dmn","Name",EVL2)</f>
        <v/>
      </c>
      <c r="EVM3" s="1" t="str" cm="1">
        <f t="array" ref="EVM3">GetValue("Dmn","Name",EVM2)</f>
        <v/>
      </c>
      <c r="EVN3" s="1" t="str" cm="1">
        <f t="array" ref="EVN3">GetValue("Dmn","Name",EVN2)</f>
        <v/>
      </c>
      <c r="EVO3" s="1" t="str" cm="1">
        <f t="array" ref="EVO3">GetValue("Dmn","Name",EVO2)</f>
        <v/>
      </c>
      <c r="EVP3" s="1" t="str" cm="1">
        <f t="array" ref="EVP3">GetValue("Dmn","Name",EVP2)</f>
        <v/>
      </c>
      <c r="EVQ3" s="1" t="str" cm="1">
        <f t="array" ref="EVQ3">GetValue("Dmn","Name",EVQ2)</f>
        <v/>
      </c>
      <c r="EVR3" s="1" t="str" cm="1">
        <f t="array" ref="EVR3">GetValue("Dmn","Name",EVR2)</f>
        <v/>
      </c>
      <c r="EVS3" s="1" t="str" cm="1">
        <f t="array" ref="EVS3">GetValue("Dmn","Name",EVS2)</f>
        <v/>
      </c>
      <c r="EVT3" s="1" t="str" cm="1">
        <f t="array" ref="EVT3">GetValue("Dmn","Name",EVT2)</f>
        <v/>
      </c>
      <c r="EVU3" s="1" t="str" cm="1">
        <f t="array" ref="EVU3">GetValue("Dmn","Name",EVU2)</f>
        <v/>
      </c>
      <c r="EVV3" s="1" t="str" cm="1">
        <f t="array" ref="EVV3">GetValue("Dmn","Name",EVV2)</f>
        <v/>
      </c>
      <c r="EVW3" s="1" t="str" cm="1">
        <f t="array" ref="EVW3">GetValue("Dmn","Name",EVW2)</f>
        <v/>
      </c>
      <c r="EVX3" s="1" t="str" cm="1">
        <f t="array" ref="EVX3">GetValue("Dmn","Name",EVX2)</f>
        <v/>
      </c>
      <c r="EVY3" s="1" t="str" cm="1">
        <f t="array" ref="EVY3">GetValue("Dmn","Name",EVY2)</f>
        <v/>
      </c>
      <c r="EVZ3" s="1" t="str" cm="1">
        <f t="array" ref="EVZ3">GetValue("Dmn","Name",EVZ2)</f>
        <v/>
      </c>
      <c r="EWA3" s="1" t="str" cm="1">
        <f t="array" ref="EWA3">GetValue("Dmn","Name",EWA2)</f>
        <v/>
      </c>
      <c r="EWB3" s="1" t="str" cm="1">
        <f t="array" ref="EWB3">GetValue("Dmn","Name",EWB2)</f>
        <v/>
      </c>
      <c r="EWC3" s="1" t="str" cm="1">
        <f t="array" ref="EWC3">GetValue("Dmn","Name",EWC2)</f>
        <v/>
      </c>
      <c r="EWD3" s="1" t="str" cm="1">
        <f t="array" ref="EWD3">GetValue("Dmn","Name",EWD2)</f>
        <v/>
      </c>
      <c r="EWE3" s="1" t="str" cm="1">
        <f t="array" ref="EWE3">GetValue("Dmn","Name",EWE2)</f>
        <v/>
      </c>
      <c r="EWF3" s="1" t="str" cm="1">
        <f t="array" ref="EWF3">GetValue("Dmn","Name",EWF2)</f>
        <v/>
      </c>
      <c r="EWG3" s="1" t="str" cm="1">
        <f t="array" ref="EWG3">GetValue("Dmn","Name",EWG2)</f>
        <v/>
      </c>
      <c r="EWH3" s="1" t="str" cm="1">
        <f t="array" ref="EWH3">GetValue("Dmn","Name",EWH2)</f>
        <v/>
      </c>
      <c r="EWI3" s="1" t="str" cm="1">
        <f t="array" ref="EWI3">GetValue("Dmn","Name",EWI2)</f>
        <v/>
      </c>
      <c r="EWJ3" s="1" t="str" cm="1">
        <f t="array" ref="EWJ3">GetValue("Dmn","Name",EWJ2)</f>
        <v/>
      </c>
      <c r="EWK3" s="1" t="str" cm="1">
        <f t="array" ref="EWK3">GetValue("Dmn","Name",EWK2)</f>
        <v/>
      </c>
      <c r="EWL3" s="1" t="str" cm="1">
        <f t="array" ref="EWL3">GetValue("Dmn","Name",EWL2)</f>
        <v/>
      </c>
      <c r="EWM3" s="1" t="str" cm="1">
        <f t="array" ref="EWM3">GetValue("Dmn","Name",EWM2)</f>
        <v/>
      </c>
      <c r="EWN3" s="1" t="str" cm="1">
        <f t="array" ref="EWN3">GetValue("Dmn","Name",EWN2)</f>
        <v/>
      </c>
      <c r="EWO3" s="1" t="str" cm="1">
        <f t="array" ref="EWO3">GetValue("Dmn","Name",EWO2)</f>
        <v/>
      </c>
      <c r="EWP3" s="1" t="str" cm="1">
        <f t="array" ref="EWP3">GetValue("Dmn","Name",EWP2)</f>
        <v/>
      </c>
      <c r="EWQ3" s="1" t="str" cm="1">
        <f t="array" ref="EWQ3">GetValue("Dmn","Name",EWQ2)</f>
        <v/>
      </c>
      <c r="EWR3" s="1" t="str" cm="1">
        <f t="array" ref="EWR3">GetValue("Dmn","Name",EWR2)</f>
        <v/>
      </c>
      <c r="EWS3" s="1" t="str" cm="1">
        <f t="array" ref="EWS3">GetValue("Dmn","Name",EWS2)</f>
        <v/>
      </c>
      <c r="EWT3" s="1" t="str" cm="1">
        <f t="array" ref="EWT3">GetValue("Dmn","Name",EWT2)</f>
        <v/>
      </c>
      <c r="EWU3" s="1" t="str" cm="1">
        <f t="array" ref="EWU3">GetValue("Dmn","Name",EWU2)</f>
        <v/>
      </c>
      <c r="EWV3" s="1" t="str" cm="1">
        <f t="array" ref="EWV3">GetValue("Dmn","Name",EWV2)</f>
        <v/>
      </c>
      <c r="EWW3" s="1" t="str" cm="1">
        <f t="array" ref="EWW3">GetValue("Dmn","Name",EWW2)</f>
        <v/>
      </c>
      <c r="EWX3" s="1" t="str" cm="1">
        <f t="array" ref="EWX3">GetValue("Dmn","Name",EWX2)</f>
        <v/>
      </c>
      <c r="EWY3" s="1" t="str" cm="1">
        <f t="array" ref="EWY3">GetValue("Dmn","Name",EWY2)</f>
        <v/>
      </c>
      <c r="EWZ3" s="1" t="str" cm="1">
        <f t="array" ref="EWZ3">GetValue("Dmn","Name",EWZ2)</f>
        <v/>
      </c>
      <c r="EXA3" s="1" t="str" cm="1">
        <f t="array" ref="EXA3">GetValue("Dmn","Name",EXA2)</f>
        <v/>
      </c>
      <c r="EXB3" s="1" t="str" cm="1">
        <f t="array" ref="EXB3">GetValue("Dmn","Name",EXB2)</f>
        <v/>
      </c>
      <c r="EXC3" s="1" t="str" cm="1">
        <f t="array" ref="EXC3">GetValue("Dmn","Name",EXC2)</f>
        <v/>
      </c>
      <c r="EXD3" s="1" t="str" cm="1">
        <f t="array" ref="EXD3">GetValue("Dmn","Name",EXD2)</f>
        <v/>
      </c>
      <c r="EXE3" s="1" t="str" cm="1">
        <f t="array" ref="EXE3">GetValue("Dmn","Name",EXE2)</f>
        <v/>
      </c>
      <c r="EXF3" s="1" t="str" cm="1">
        <f t="array" ref="EXF3">GetValue("Dmn","Name",EXF2)</f>
        <v/>
      </c>
      <c r="EXG3" s="1" t="str" cm="1">
        <f t="array" ref="EXG3">GetValue("Dmn","Name",EXG2)</f>
        <v/>
      </c>
      <c r="EXH3" s="1" t="str" cm="1">
        <f t="array" ref="EXH3">GetValue("Dmn","Name",EXH2)</f>
        <v/>
      </c>
      <c r="EXI3" s="1" t="str" cm="1">
        <f t="array" ref="EXI3">GetValue("Dmn","Name",EXI2)</f>
        <v/>
      </c>
      <c r="EXJ3" s="1" t="str" cm="1">
        <f t="array" ref="EXJ3">GetValue("Dmn","Name",EXJ2)</f>
        <v/>
      </c>
      <c r="EXK3" s="1" t="str" cm="1">
        <f t="array" ref="EXK3">GetValue("Dmn","Name",EXK2)</f>
        <v/>
      </c>
      <c r="EXL3" s="1" t="str" cm="1">
        <f t="array" ref="EXL3">GetValue("Dmn","Name",EXL2)</f>
        <v/>
      </c>
      <c r="EXM3" s="1" t="str" cm="1">
        <f t="array" ref="EXM3">GetValue("Dmn","Name",EXM2)</f>
        <v/>
      </c>
      <c r="EXN3" s="1" t="str" cm="1">
        <f t="array" ref="EXN3">GetValue("Dmn","Name",EXN2)</f>
        <v/>
      </c>
      <c r="EXO3" s="1" t="str" cm="1">
        <f t="array" ref="EXO3">GetValue("Dmn","Name",EXO2)</f>
        <v/>
      </c>
      <c r="EXP3" s="1" t="str" cm="1">
        <f t="array" ref="EXP3">GetValue("Dmn","Name",EXP2)</f>
        <v/>
      </c>
      <c r="EXQ3" s="1" t="str" cm="1">
        <f t="array" ref="EXQ3">GetValue("Dmn","Name",EXQ2)</f>
        <v/>
      </c>
      <c r="EXR3" s="1" t="str" cm="1">
        <f t="array" ref="EXR3">GetValue("Dmn","Name",EXR2)</f>
        <v/>
      </c>
      <c r="EXS3" s="1" t="str" cm="1">
        <f t="array" ref="EXS3">GetValue("Dmn","Name",EXS2)</f>
        <v/>
      </c>
      <c r="EXT3" s="1" t="str" cm="1">
        <f t="array" ref="EXT3">GetValue("Dmn","Name",EXT2)</f>
        <v/>
      </c>
      <c r="EXU3" s="1" t="str" cm="1">
        <f t="array" ref="EXU3">GetValue("Dmn","Name",EXU2)</f>
        <v/>
      </c>
      <c r="EXV3" s="1" t="str" cm="1">
        <f t="array" ref="EXV3">GetValue("Dmn","Name",EXV2)</f>
        <v/>
      </c>
      <c r="EXW3" s="1" t="str" cm="1">
        <f t="array" ref="EXW3">GetValue("Dmn","Name",EXW2)</f>
        <v/>
      </c>
      <c r="EXX3" s="1" t="str" cm="1">
        <f t="array" ref="EXX3">GetValue("Dmn","Name",EXX2)</f>
        <v/>
      </c>
      <c r="EXY3" s="1" t="str" cm="1">
        <f t="array" ref="EXY3">GetValue("Dmn","Name",EXY2)</f>
        <v/>
      </c>
      <c r="EXZ3" s="1" t="str" cm="1">
        <f t="array" ref="EXZ3">GetValue("Dmn","Name",EXZ2)</f>
        <v/>
      </c>
      <c r="EYA3" s="1" t="str" cm="1">
        <f t="array" ref="EYA3">GetValue("Dmn","Name",EYA2)</f>
        <v/>
      </c>
      <c r="EYB3" s="1" t="str" cm="1">
        <f t="array" ref="EYB3">GetValue("Dmn","Name",EYB2)</f>
        <v/>
      </c>
      <c r="EYC3" s="1" t="str" cm="1">
        <f t="array" ref="EYC3">GetValue("Dmn","Name",EYC2)</f>
        <v/>
      </c>
      <c r="EYD3" s="1" t="str" cm="1">
        <f t="array" ref="EYD3">GetValue("Dmn","Name",EYD2)</f>
        <v/>
      </c>
      <c r="EYE3" s="1" t="str" cm="1">
        <f t="array" ref="EYE3">GetValue("Dmn","Name",EYE2)</f>
        <v/>
      </c>
      <c r="EYF3" s="1" t="str" cm="1">
        <f t="array" ref="EYF3">GetValue("Dmn","Name",EYF2)</f>
        <v/>
      </c>
      <c r="EYG3" s="1" t="str" cm="1">
        <f t="array" ref="EYG3">GetValue("Dmn","Name",EYG2)</f>
        <v/>
      </c>
      <c r="EYH3" s="1" t="str" cm="1">
        <f t="array" ref="EYH3">GetValue("Dmn","Name",EYH2)</f>
        <v/>
      </c>
      <c r="EYI3" s="1" t="str" cm="1">
        <f t="array" ref="EYI3">GetValue("Dmn","Name",EYI2)</f>
        <v/>
      </c>
      <c r="EYJ3" s="1" t="str" cm="1">
        <f t="array" ref="EYJ3">GetValue("Dmn","Name",EYJ2)</f>
        <v/>
      </c>
      <c r="EYK3" s="1" t="str" cm="1">
        <f t="array" ref="EYK3">GetValue("Dmn","Name",EYK2)</f>
        <v/>
      </c>
      <c r="EYL3" s="1" t="str" cm="1">
        <f t="array" ref="EYL3">GetValue("Dmn","Name",EYL2)</f>
        <v/>
      </c>
      <c r="EYM3" s="1" t="str" cm="1">
        <f t="array" ref="EYM3">GetValue("Dmn","Name",EYM2)</f>
        <v/>
      </c>
      <c r="EYN3" s="1" t="str" cm="1">
        <f t="array" ref="EYN3">GetValue("Dmn","Name",EYN2)</f>
        <v/>
      </c>
      <c r="EYO3" s="1" t="str" cm="1">
        <f t="array" ref="EYO3">GetValue("Dmn","Name",EYO2)</f>
        <v/>
      </c>
      <c r="EYP3" s="1" t="str" cm="1">
        <f t="array" ref="EYP3">GetValue("Dmn","Name",EYP2)</f>
        <v/>
      </c>
      <c r="EYQ3" s="1" t="str" cm="1">
        <f t="array" ref="EYQ3">GetValue("Dmn","Name",EYQ2)</f>
        <v/>
      </c>
      <c r="EYR3" s="1" t="str" cm="1">
        <f t="array" ref="EYR3">GetValue("Dmn","Name",EYR2)</f>
        <v/>
      </c>
      <c r="EYS3" s="1" t="str" cm="1">
        <f t="array" ref="EYS3">GetValue("Dmn","Name",EYS2)</f>
        <v/>
      </c>
      <c r="EYT3" s="1" t="str" cm="1">
        <f t="array" ref="EYT3">GetValue("Dmn","Name",EYT2)</f>
        <v/>
      </c>
      <c r="EYU3" s="1" t="str" cm="1">
        <f t="array" ref="EYU3">GetValue("Dmn","Name",EYU2)</f>
        <v/>
      </c>
      <c r="EYV3" s="1" t="str" cm="1">
        <f t="array" ref="EYV3">GetValue("Dmn","Name",EYV2)</f>
        <v/>
      </c>
      <c r="EYW3" s="1" t="str" cm="1">
        <f t="array" ref="EYW3">GetValue("Dmn","Name",EYW2)</f>
        <v/>
      </c>
      <c r="EYX3" s="1" t="str" cm="1">
        <f t="array" ref="EYX3">GetValue("Dmn","Name",EYX2)</f>
        <v/>
      </c>
      <c r="EYY3" s="1" t="str" cm="1">
        <f t="array" ref="EYY3">GetValue("Dmn","Name",EYY2)</f>
        <v/>
      </c>
      <c r="EYZ3" s="1" t="str" cm="1">
        <f t="array" ref="EYZ3">GetValue("Dmn","Name",EYZ2)</f>
        <v/>
      </c>
      <c r="EZA3" s="1" t="str" cm="1">
        <f t="array" ref="EZA3">GetValue("Dmn","Name",EZA2)</f>
        <v/>
      </c>
      <c r="EZB3" s="1" t="str" cm="1">
        <f t="array" ref="EZB3">GetValue("Dmn","Name",EZB2)</f>
        <v/>
      </c>
      <c r="EZC3" s="1" t="str" cm="1">
        <f t="array" ref="EZC3">GetValue("Dmn","Name",EZC2)</f>
        <v/>
      </c>
      <c r="EZD3" s="1" t="str" cm="1">
        <f t="array" ref="EZD3">GetValue("Dmn","Name",EZD2)</f>
        <v/>
      </c>
      <c r="EZE3" s="1" t="str" cm="1">
        <f t="array" ref="EZE3">GetValue("Dmn","Name",EZE2)</f>
        <v/>
      </c>
      <c r="EZF3" s="1" t="str" cm="1">
        <f t="array" ref="EZF3">GetValue("Dmn","Name",EZF2)</f>
        <v/>
      </c>
      <c r="EZG3" s="1" t="str" cm="1">
        <f t="array" ref="EZG3">GetValue("Dmn","Name",EZG2)</f>
        <v/>
      </c>
      <c r="EZH3" s="1" t="str" cm="1">
        <f t="array" ref="EZH3">GetValue("Dmn","Name",EZH2)</f>
        <v/>
      </c>
      <c r="EZI3" s="1" t="str" cm="1">
        <f t="array" ref="EZI3">GetValue("Dmn","Name",EZI2)</f>
        <v/>
      </c>
      <c r="EZJ3" s="1" t="str" cm="1">
        <f t="array" ref="EZJ3">GetValue("Dmn","Name",EZJ2)</f>
        <v/>
      </c>
      <c r="EZK3" s="1" t="str" cm="1">
        <f t="array" ref="EZK3">GetValue("Dmn","Name",EZK2)</f>
        <v/>
      </c>
      <c r="EZL3" s="1" t="str" cm="1">
        <f t="array" ref="EZL3">GetValue("Dmn","Name",EZL2)</f>
        <v/>
      </c>
      <c r="EZM3" s="1" t="str" cm="1">
        <f t="array" ref="EZM3">GetValue("Dmn","Name",EZM2)</f>
        <v/>
      </c>
      <c r="EZN3" s="1" t="str" cm="1">
        <f t="array" ref="EZN3">GetValue("Dmn","Name",EZN2)</f>
        <v/>
      </c>
      <c r="EZO3" s="1" t="str" cm="1">
        <f t="array" ref="EZO3">GetValue("Dmn","Name",EZO2)</f>
        <v/>
      </c>
      <c r="EZP3" s="1" t="str" cm="1">
        <f t="array" ref="EZP3">GetValue("Dmn","Name",EZP2)</f>
        <v/>
      </c>
      <c r="EZQ3" s="1" t="str" cm="1">
        <f t="array" ref="EZQ3">GetValue("Dmn","Name",EZQ2)</f>
        <v/>
      </c>
      <c r="EZR3" s="1" t="str" cm="1">
        <f t="array" ref="EZR3">GetValue("Dmn","Name",EZR2)</f>
        <v/>
      </c>
      <c r="EZS3" s="1" t="str" cm="1">
        <f t="array" ref="EZS3">GetValue("Dmn","Name",EZS2)</f>
        <v/>
      </c>
      <c r="EZT3" s="1" t="str" cm="1">
        <f t="array" ref="EZT3">GetValue("Dmn","Name",EZT2)</f>
        <v/>
      </c>
      <c r="EZU3" s="1" t="str" cm="1">
        <f t="array" ref="EZU3">GetValue("Dmn","Name",EZU2)</f>
        <v/>
      </c>
      <c r="EZV3" s="1" t="str" cm="1">
        <f t="array" ref="EZV3">GetValue("Dmn","Name",EZV2)</f>
        <v/>
      </c>
      <c r="EZW3" s="1" t="str" cm="1">
        <f t="array" ref="EZW3">GetValue("Dmn","Name",EZW2)</f>
        <v/>
      </c>
      <c r="EZX3" s="1" t="str" cm="1">
        <f t="array" ref="EZX3">GetValue("Dmn","Name",EZX2)</f>
        <v/>
      </c>
      <c r="EZY3" s="1" t="str" cm="1">
        <f t="array" ref="EZY3">GetValue("Dmn","Name",EZY2)</f>
        <v/>
      </c>
      <c r="EZZ3" s="1" t="str" cm="1">
        <f t="array" ref="EZZ3">GetValue("Dmn","Name",EZZ2)</f>
        <v/>
      </c>
      <c r="FAA3" s="1" t="str" cm="1">
        <f t="array" ref="FAA3">GetValue("Dmn","Name",FAA2)</f>
        <v/>
      </c>
      <c r="FAB3" s="1" t="str" cm="1">
        <f t="array" ref="FAB3">GetValue("Dmn","Name",FAB2)</f>
        <v/>
      </c>
      <c r="FAC3" s="1" t="str" cm="1">
        <f t="array" ref="FAC3">GetValue("Dmn","Name",FAC2)</f>
        <v/>
      </c>
      <c r="FAD3" s="1" t="str" cm="1">
        <f t="array" ref="FAD3">GetValue("Dmn","Name",FAD2)</f>
        <v/>
      </c>
      <c r="FAE3" s="1" t="str" cm="1">
        <f t="array" ref="FAE3">GetValue("Dmn","Name",FAE2)</f>
        <v/>
      </c>
      <c r="FAF3" s="1" t="str" cm="1">
        <f t="array" ref="FAF3">GetValue("Dmn","Name",FAF2)</f>
        <v/>
      </c>
      <c r="FAG3" s="1" t="str" cm="1">
        <f t="array" ref="FAG3">GetValue("Dmn","Name",FAG2)</f>
        <v/>
      </c>
      <c r="FAH3" s="1" t="str" cm="1">
        <f t="array" ref="FAH3">GetValue("Dmn","Name",FAH2)</f>
        <v/>
      </c>
      <c r="FAI3" s="1" t="str" cm="1">
        <f t="array" ref="FAI3">GetValue("Dmn","Name",FAI2)</f>
        <v/>
      </c>
      <c r="FAJ3" s="1" t="str" cm="1">
        <f t="array" ref="FAJ3">GetValue("Dmn","Name",FAJ2)</f>
        <v/>
      </c>
      <c r="FAK3" s="1" t="str" cm="1">
        <f t="array" ref="FAK3">GetValue("Dmn","Name",FAK2)</f>
        <v/>
      </c>
      <c r="FAL3" s="1" t="str" cm="1">
        <f t="array" ref="FAL3">GetValue("Dmn","Name",FAL2)</f>
        <v/>
      </c>
      <c r="FAM3" s="1" t="str" cm="1">
        <f t="array" ref="FAM3">GetValue("Dmn","Name",FAM2)</f>
        <v/>
      </c>
      <c r="FAN3" s="1" t="str" cm="1">
        <f t="array" ref="FAN3">GetValue("Dmn","Name",FAN2)</f>
        <v/>
      </c>
      <c r="FAO3" s="1" t="str" cm="1">
        <f t="array" ref="FAO3">GetValue("Dmn","Name",FAO2)</f>
        <v/>
      </c>
      <c r="FAP3" s="1" t="str" cm="1">
        <f t="array" ref="FAP3">GetValue("Dmn","Name",FAP2)</f>
        <v/>
      </c>
      <c r="FAQ3" s="1" t="str" cm="1">
        <f t="array" ref="FAQ3">GetValue("Dmn","Name",FAQ2)</f>
        <v/>
      </c>
      <c r="FAR3" s="1" t="str" cm="1">
        <f t="array" ref="FAR3">GetValue("Dmn","Name",FAR2)</f>
        <v/>
      </c>
      <c r="FAS3" s="1" t="str" cm="1">
        <f t="array" ref="FAS3">GetValue("Dmn","Name",FAS2)</f>
        <v/>
      </c>
      <c r="FAT3" s="1" t="str" cm="1">
        <f t="array" ref="FAT3">GetValue("Dmn","Name",FAT2)</f>
        <v/>
      </c>
      <c r="FAU3" s="1" t="str" cm="1">
        <f t="array" ref="FAU3">GetValue("Dmn","Name",FAU2)</f>
        <v/>
      </c>
      <c r="FAV3" s="1" t="str" cm="1">
        <f t="array" ref="FAV3">GetValue("Dmn","Name",FAV2)</f>
        <v/>
      </c>
      <c r="FAW3" s="1" t="str" cm="1">
        <f t="array" ref="FAW3">GetValue("Dmn","Name",FAW2)</f>
        <v/>
      </c>
      <c r="FAX3" s="1" t="str" cm="1">
        <f t="array" ref="FAX3">GetValue("Dmn","Name",FAX2)</f>
        <v/>
      </c>
      <c r="FAY3" s="1" t="str" cm="1">
        <f t="array" ref="FAY3">GetValue("Dmn","Name",FAY2)</f>
        <v/>
      </c>
      <c r="FAZ3" s="1" t="str" cm="1">
        <f t="array" ref="FAZ3">GetValue("Dmn","Name",FAZ2)</f>
        <v/>
      </c>
      <c r="FBA3" s="1" t="str" cm="1">
        <f t="array" ref="FBA3">GetValue("Dmn","Name",FBA2)</f>
        <v/>
      </c>
      <c r="FBB3" s="1" t="str" cm="1">
        <f t="array" ref="FBB3">GetValue("Dmn","Name",FBB2)</f>
        <v/>
      </c>
      <c r="FBC3" s="1" t="str" cm="1">
        <f t="array" ref="FBC3">GetValue("Dmn","Name",FBC2)</f>
        <v/>
      </c>
      <c r="FBD3" s="1" t="str" cm="1">
        <f t="array" ref="FBD3">GetValue("Dmn","Name",FBD2)</f>
        <v/>
      </c>
      <c r="FBE3" s="1" t="str" cm="1">
        <f t="array" ref="FBE3">GetValue("Dmn","Name",FBE2)</f>
        <v/>
      </c>
      <c r="FBF3" s="1" t="str" cm="1">
        <f t="array" ref="FBF3">GetValue("Dmn","Name",FBF2)</f>
        <v/>
      </c>
      <c r="FBG3" s="1" t="str" cm="1">
        <f t="array" ref="FBG3">GetValue("Dmn","Name",FBG2)</f>
        <v/>
      </c>
      <c r="FBH3" s="1" t="str" cm="1">
        <f t="array" ref="FBH3">GetValue("Dmn","Name",FBH2)</f>
        <v/>
      </c>
      <c r="FBI3" s="1" t="str" cm="1">
        <f t="array" ref="FBI3">GetValue("Dmn","Name",FBI2)</f>
        <v/>
      </c>
      <c r="FBJ3" s="1" t="str" cm="1">
        <f t="array" ref="FBJ3">GetValue("Dmn","Name",FBJ2)</f>
        <v/>
      </c>
      <c r="FBK3" s="1" t="str" cm="1">
        <f t="array" ref="FBK3">GetValue("Dmn","Name",FBK2)</f>
        <v/>
      </c>
      <c r="FBL3" s="1" t="str" cm="1">
        <f t="array" ref="FBL3">GetValue("Dmn","Name",FBL2)</f>
        <v/>
      </c>
      <c r="FBM3" s="1" t="str" cm="1">
        <f t="array" ref="FBM3">GetValue("Dmn","Name",FBM2)</f>
        <v/>
      </c>
      <c r="FBN3" s="1" t="str" cm="1">
        <f t="array" ref="FBN3">GetValue("Dmn","Name",FBN2)</f>
        <v/>
      </c>
      <c r="FBO3" s="1" t="str" cm="1">
        <f t="array" ref="FBO3">GetValue("Dmn","Name",FBO2)</f>
        <v/>
      </c>
      <c r="FBP3" s="1" t="str" cm="1">
        <f t="array" ref="FBP3">GetValue("Dmn","Name",FBP2)</f>
        <v/>
      </c>
      <c r="FBQ3" s="1" t="str" cm="1">
        <f t="array" ref="FBQ3">GetValue("Dmn","Name",FBQ2)</f>
        <v/>
      </c>
      <c r="FBR3" s="1" t="str" cm="1">
        <f t="array" ref="FBR3">GetValue("Dmn","Name",FBR2)</f>
        <v/>
      </c>
      <c r="FBS3" s="1" t="str" cm="1">
        <f t="array" ref="FBS3">GetValue("Dmn","Name",FBS2)</f>
        <v/>
      </c>
      <c r="FBT3" s="1" t="str" cm="1">
        <f t="array" ref="FBT3">GetValue("Dmn","Name",FBT2)</f>
        <v/>
      </c>
      <c r="FBU3" s="1" t="str" cm="1">
        <f t="array" ref="FBU3">GetValue("Dmn","Name",FBU2)</f>
        <v/>
      </c>
      <c r="FBV3" s="1" t="str" cm="1">
        <f t="array" ref="FBV3">GetValue("Dmn","Name",FBV2)</f>
        <v/>
      </c>
      <c r="FBW3" s="1" t="str" cm="1">
        <f t="array" ref="FBW3">GetValue("Dmn","Name",FBW2)</f>
        <v/>
      </c>
      <c r="FBX3" s="1" t="str" cm="1">
        <f t="array" ref="FBX3">GetValue("Dmn","Name",FBX2)</f>
        <v/>
      </c>
      <c r="FBY3" s="1" t="str" cm="1">
        <f t="array" ref="FBY3">GetValue("Dmn","Name",FBY2)</f>
        <v/>
      </c>
      <c r="FBZ3" s="1" t="str" cm="1">
        <f t="array" ref="FBZ3">GetValue("Dmn","Name",FBZ2)</f>
        <v/>
      </c>
      <c r="FCA3" s="1" t="str" cm="1">
        <f t="array" ref="FCA3">GetValue("Dmn","Name",FCA2)</f>
        <v/>
      </c>
      <c r="FCB3" s="1" t="str" cm="1">
        <f t="array" ref="FCB3">GetValue("Dmn","Name",FCB2)</f>
        <v/>
      </c>
      <c r="FCC3" s="1" t="str" cm="1">
        <f t="array" ref="FCC3">GetValue("Dmn","Name",FCC2)</f>
        <v/>
      </c>
      <c r="FCD3" s="1" t="str" cm="1">
        <f t="array" ref="FCD3">GetValue("Dmn","Name",FCD2)</f>
        <v/>
      </c>
      <c r="FCE3" s="1" t="str" cm="1">
        <f t="array" ref="FCE3">GetValue("Dmn","Name",FCE2)</f>
        <v/>
      </c>
      <c r="FCF3" s="1" t="str" cm="1">
        <f t="array" ref="FCF3">GetValue("Dmn","Name",FCF2)</f>
        <v/>
      </c>
      <c r="FCG3" s="1" t="str" cm="1">
        <f t="array" ref="FCG3">GetValue("Dmn","Name",FCG2)</f>
        <v/>
      </c>
      <c r="FCH3" s="1" t="str" cm="1">
        <f t="array" ref="FCH3">GetValue("Dmn","Name",FCH2)</f>
        <v/>
      </c>
      <c r="FCI3" s="1" t="str" cm="1">
        <f t="array" ref="FCI3">GetValue("Dmn","Name",FCI2)</f>
        <v/>
      </c>
      <c r="FCJ3" s="1" t="str" cm="1">
        <f t="array" ref="FCJ3">GetValue("Dmn","Name",FCJ2)</f>
        <v/>
      </c>
      <c r="FCK3" s="1" t="str" cm="1">
        <f t="array" ref="FCK3">GetValue("Dmn","Name",FCK2)</f>
        <v/>
      </c>
      <c r="FCL3" s="1" t="str" cm="1">
        <f t="array" ref="FCL3">GetValue("Dmn","Name",FCL2)</f>
        <v/>
      </c>
      <c r="FCM3" s="1" t="str" cm="1">
        <f t="array" ref="FCM3">GetValue("Dmn","Name",FCM2)</f>
        <v/>
      </c>
      <c r="FCN3" s="1" t="str" cm="1">
        <f t="array" ref="FCN3">GetValue("Dmn","Name",FCN2)</f>
        <v/>
      </c>
      <c r="FCO3" s="1" t="str" cm="1">
        <f t="array" ref="FCO3">GetValue("Dmn","Name",FCO2)</f>
        <v/>
      </c>
      <c r="FCP3" s="1" t="str" cm="1">
        <f t="array" ref="FCP3">GetValue("Dmn","Name",FCP2)</f>
        <v/>
      </c>
      <c r="FCQ3" s="1" t="str" cm="1">
        <f t="array" ref="FCQ3">GetValue("Dmn","Name",FCQ2)</f>
        <v/>
      </c>
      <c r="FCR3" s="1" t="str" cm="1">
        <f t="array" ref="FCR3">GetValue("Dmn","Name",FCR2)</f>
        <v/>
      </c>
      <c r="FCS3" s="1" t="str" cm="1">
        <f t="array" ref="FCS3">GetValue("Dmn","Name",FCS2)</f>
        <v/>
      </c>
      <c r="FCT3" s="1" t="str" cm="1">
        <f t="array" ref="FCT3">GetValue("Dmn","Name",FCT2)</f>
        <v/>
      </c>
      <c r="FCU3" s="1" t="str" cm="1">
        <f t="array" ref="FCU3">GetValue("Dmn","Name",FCU2)</f>
        <v/>
      </c>
      <c r="FCV3" s="1" t="str" cm="1">
        <f t="array" ref="FCV3">GetValue("Dmn","Name",FCV2)</f>
        <v/>
      </c>
      <c r="FCW3" s="1" t="str" cm="1">
        <f t="array" ref="FCW3">GetValue("Dmn","Name",FCW2)</f>
        <v/>
      </c>
      <c r="FCX3" s="1" t="str" cm="1">
        <f t="array" ref="FCX3">GetValue("Dmn","Name",FCX2)</f>
        <v/>
      </c>
      <c r="FCY3" s="1" t="str" cm="1">
        <f t="array" ref="FCY3">GetValue("Dmn","Name",FCY2)</f>
        <v/>
      </c>
      <c r="FCZ3" s="1" t="str" cm="1">
        <f t="array" ref="FCZ3">GetValue("Dmn","Name",FCZ2)</f>
        <v/>
      </c>
      <c r="FDA3" s="1" t="str" cm="1">
        <f t="array" ref="FDA3">GetValue("Dmn","Name",FDA2)</f>
        <v/>
      </c>
      <c r="FDB3" s="1" t="str" cm="1">
        <f t="array" ref="FDB3">GetValue("Dmn","Name",FDB2)</f>
        <v/>
      </c>
      <c r="FDC3" s="1" t="str" cm="1">
        <f t="array" ref="FDC3">GetValue("Dmn","Name",FDC2)</f>
        <v/>
      </c>
      <c r="FDD3" s="1" t="str" cm="1">
        <f t="array" ref="FDD3">GetValue("Dmn","Name",FDD2)</f>
        <v/>
      </c>
      <c r="FDE3" s="1" t="str" cm="1">
        <f t="array" ref="FDE3">GetValue("Dmn","Name",FDE2)</f>
        <v/>
      </c>
      <c r="FDF3" s="1" t="str" cm="1">
        <f t="array" ref="FDF3">GetValue("Dmn","Name",FDF2)</f>
        <v/>
      </c>
      <c r="FDG3" s="1" t="str" cm="1">
        <f t="array" ref="FDG3">GetValue("Dmn","Name",FDG2)</f>
        <v/>
      </c>
      <c r="FDH3" s="1" t="str" cm="1">
        <f t="array" ref="FDH3">GetValue("Dmn","Name",FDH2)</f>
        <v/>
      </c>
      <c r="FDI3" s="1" t="str" cm="1">
        <f t="array" ref="FDI3">GetValue("Dmn","Name",FDI2)</f>
        <v/>
      </c>
      <c r="FDJ3" s="1" t="str" cm="1">
        <f t="array" ref="FDJ3">GetValue("Dmn","Name",FDJ2)</f>
        <v/>
      </c>
      <c r="FDK3" s="1" t="str" cm="1">
        <f t="array" ref="FDK3">GetValue("Dmn","Name",FDK2)</f>
        <v/>
      </c>
      <c r="FDL3" s="1" t="str" cm="1">
        <f t="array" ref="FDL3">GetValue("Dmn","Name",FDL2)</f>
        <v/>
      </c>
      <c r="FDM3" s="1" t="str" cm="1">
        <f t="array" ref="FDM3">GetValue("Dmn","Name",FDM2)</f>
        <v/>
      </c>
      <c r="FDN3" s="1" t="str" cm="1">
        <f t="array" ref="FDN3">GetValue("Dmn","Name",FDN2)</f>
        <v/>
      </c>
      <c r="FDO3" s="1" t="str" cm="1">
        <f t="array" ref="FDO3">GetValue("Dmn","Name",FDO2)</f>
        <v/>
      </c>
      <c r="FDP3" s="1" t="str" cm="1">
        <f t="array" ref="FDP3">GetValue("Dmn","Name",FDP2)</f>
        <v/>
      </c>
      <c r="FDQ3" s="1" t="str" cm="1">
        <f t="array" ref="FDQ3">GetValue("Dmn","Name",FDQ2)</f>
        <v/>
      </c>
      <c r="FDR3" s="1" t="str" cm="1">
        <f t="array" ref="FDR3">GetValue("Dmn","Name",FDR2)</f>
        <v/>
      </c>
      <c r="FDS3" s="1" t="str" cm="1">
        <f t="array" ref="FDS3">GetValue("Dmn","Name",FDS2)</f>
        <v/>
      </c>
      <c r="FDT3" s="1" t="str" cm="1">
        <f t="array" ref="FDT3">GetValue("Dmn","Name",FDT2)</f>
        <v/>
      </c>
      <c r="FDU3" s="1" t="str" cm="1">
        <f t="array" ref="FDU3">GetValue("Dmn","Name",FDU2)</f>
        <v/>
      </c>
      <c r="FDV3" s="1" t="str" cm="1">
        <f t="array" ref="FDV3">GetValue("Dmn","Name",FDV2)</f>
        <v/>
      </c>
      <c r="FDW3" s="1" t="str" cm="1">
        <f t="array" ref="FDW3">GetValue("Dmn","Name",FDW2)</f>
        <v/>
      </c>
      <c r="FDX3" s="1" t="str" cm="1">
        <f t="array" ref="FDX3">GetValue("Dmn","Name",FDX2)</f>
        <v/>
      </c>
      <c r="FDY3" s="1" t="str" cm="1">
        <f t="array" ref="FDY3">GetValue("Dmn","Name",FDY2)</f>
        <v/>
      </c>
      <c r="FDZ3" s="1" t="str" cm="1">
        <f t="array" ref="FDZ3">GetValue("Dmn","Name",FDZ2)</f>
        <v/>
      </c>
      <c r="FEA3" s="1" t="str" cm="1">
        <f t="array" ref="FEA3">GetValue("Dmn","Name",FEA2)</f>
        <v/>
      </c>
      <c r="FEB3" s="1" t="str" cm="1">
        <f t="array" ref="FEB3">GetValue("Dmn","Name",FEB2)</f>
        <v/>
      </c>
      <c r="FEC3" s="1" t="str" cm="1">
        <f t="array" ref="FEC3">GetValue("Dmn","Name",FEC2)</f>
        <v/>
      </c>
      <c r="FED3" s="1" t="str" cm="1">
        <f t="array" ref="FED3">GetValue("Dmn","Name",FED2)</f>
        <v/>
      </c>
      <c r="FEE3" s="1" t="str" cm="1">
        <f t="array" ref="FEE3">GetValue("Dmn","Name",FEE2)</f>
        <v/>
      </c>
      <c r="FEF3" s="1" t="str" cm="1">
        <f t="array" ref="FEF3">GetValue("Dmn","Name",FEF2)</f>
        <v/>
      </c>
      <c r="FEG3" s="1" t="str" cm="1">
        <f t="array" ref="FEG3">GetValue("Dmn","Name",FEG2)</f>
        <v/>
      </c>
      <c r="FEH3" s="1" t="str" cm="1">
        <f t="array" ref="FEH3">GetValue("Dmn","Name",FEH2)</f>
        <v/>
      </c>
      <c r="FEI3" s="1" t="str" cm="1">
        <f t="array" ref="FEI3">GetValue("Dmn","Name",FEI2)</f>
        <v/>
      </c>
      <c r="FEJ3" s="1" t="str" cm="1">
        <f t="array" ref="FEJ3">GetValue("Dmn","Name",FEJ2)</f>
        <v/>
      </c>
      <c r="FEK3" s="1" t="str" cm="1">
        <f t="array" ref="FEK3">GetValue("Dmn","Name",FEK2)</f>
        <v/>
      </c>
      <c r="FEL3" s="1" t="str" cm="1">
        <f t="array" ref="FEL3">GetValue("Dmn","Name",FEL2)</f>
        <v/>
      </c>
      <c r="FEM3" s="1" t="str" cm="1">
        <f t="array" ref="FEM3">GetValue("Dmn","Name",FEM2)</f>
        <v/>
      </c>
      <c r="FEN3" s="1" t="str" cm="1">
        <f t="array" ref="FEN3">GetValue("Dmn","Name",FEN2)</f>
        <v/>
      </c>
      <c r="FEO3" s="1" t="str" cm="1">
        <f t="array" ref="FEO3">GetValue("Dmn","Name",FEO2)</f>
        <v/>
      </c>
      <c r="FEP3" s="1" t="str" cm="1">
        <f t="array" ref="FEP3">GetValue("Dmn","Name",FEP2)</f>
        <v/>
      </c>
      <c r="FEQ3" s="1" t="str" cm="1">
        <f t="array" ref="FEQ3">GetValue("Dmn","Name",FEQ2)</f>
        <v/>
      </c>
      <c r="FER3" s="1" t="str" cm="1">
        <f t="array" ref="FER3">GetValue("Dmn","Name",FER2)</f>
        <v/>
      </c>
      <c r="FES3" s="1" t="str" cm="1">
        <f t="array" ref="FES3">GetValue("Dmn","Name",FES2)</f>
        <v/>
      </c>
      <c r="FET3" s="1" t="str" cm="1">
        <f t="array" ref="FET3">GetValue("Dmn","Name",FET2)</f>
        <v/>
      </c>
      <c r="FEU3" s="1" t="str" cm="1">
        <f t="array" ref="FEU3">GetValue("Dmn","Name",FEU2)</f>
        <v/>
      </c>
      <c r="FEV3" s="1" t="str" cm="1">
        <f t="array" ref="FEV3">GetValue("Dmn","Name",FEV2)</f>
        <v/>
      </c>
      <c r="FEW3" s="1" t="str" cm="1">
        <f t="array" ref="FEW3">GetValue("Dmn","Name",FEW2)</f>
        <v/>
      </c>
      <c r="FEX3" s="1" t="str" cm="1">
        <f t="array" ref="FEX3">GetValue("Dmn","Name",FEX2)</f>
        <v/>
      </c>
      <c r="FEY3" s="1" t="str" cm="1">
        <f t="array" ref="FEY3">GetValue("Dmn","Name",FEY2)</f>
        <v/>
      </c>
      <c r="FEZ3" s="1" t="str" cm="1">
        <f t="array" ref="FEZ3">GetValue("Dmn","Name",FEZ2)</f>
        <v/>
      </c>
      <c r="FFA3" s="1" t="str" cm="1">
        <f t="array" ref="FFA3">GetValue("Dmn","Name",FFA2)</f>
        <v/>
      </c>
      <c r="FFB3" s="1" t="str" cm="1">
        <f t="array" ref="FFB3">GetValue("Dmn","Name",FFB2)</f>
        <v/>
      </c>
      <c r="FFC3" s="1" t="str" cm="1">
        <f t="array" ref="FFC3">GetValue("Dmn","Name",FFC2)</f>
        <v/>
      </c>
      <c r="FFD3" s="1" t="str" cm="1">
        <f t="array" ref="FFD3">GetValue("Dmn","Name",FFD2)</f>
        <v/>
      </c>
      <c r="FFE3" s="1" t="str" cm="1">
        <f t="array" ref="FFE3">GetValue("Dmn","Name",FFE2)</f>
        <v/>
      </c>
      <c r="FFF3" s="1" t="str" cm="1">
        <f t="array" ref="FFF3">GetValue("Dmn","Name",FFF2)</f>
        <v/>
      </c>
      <c r="FFG3" s="1" t="str" cm="1">
        <f t="array" ref="FFG3">GetValue("Dmn","Name",FFG2)</f>
        <v/>
      </c>
      <c r="FFH3" s="1" t="str" cm="1">
        <f t="array" ref="FFH3">GetValue("Dmn","Name",FFH2)</f>
        <v/>
      </c>
      <c r="FFI3" s="1" t="str" cm="1">
        <f t="array" ref="FFI3">GetValue("Dmn","Name",FFI2)</f>
        <v/>
      </c>
      <c r="FFJ3" s="1" t="str" cm="1">
        <f t="array" ref="FFJ3">GetValue("Dmn","Name",FFJ2)</f>
        <v/>
      </c>
      <c r="FFK3" s="1" t="str" cm="1">
        <f t="array" ref="FFK3">GetValue("Dmn","Name",FFK2)</f>
        <v/>
      </c>
      <c r="FFL3" s="1" t="str" cm="1">
        <f t="array" ref="FFL3">GetValue("Dmn","Name",FFL2)</f>
        <v/>
      </c>
      <c r="FFM3" s="1" t="str" cm="1">
        <f t="array" ref="FFM3">GetValue("Dmn","Name",FFM2)</f>
        <v/>
      </c>
      <c r="FFN3" s="1" t="str" cm="1">
        <f t="array" ref="FFN3">GetValue("Dmn","Name",FFN2)</f>
        <v/>
      </c>
      <c r="FFO3" s="1" t="str" cm="1">
        <f t="array" ref="FFO3">GetValue("Dmn","Name",FFO2)</f>
        <v/>
      </c>
      <c r="FFP3" s="1" t="str" cm="1">
        <f t="array" ref="FFP3">GetValue("Dmn","Name",FFP2)</f>
        <v/>
      </c>
      <c r="FFQ3" s="1" t="str" cm="1">
        <f t="array" ref="FFQ3">GetValue("Dmn","Name",FFQ2)</f>
        <v/>
      </c>
      <c r="FFR3" s="1" t="str" cm="1">
        <f t="array" ref="FFR3">GetValue("Dmn","Name",FFR2)</f>
        <v/>
      </c>
      <c r="FFS3" s="1" t="str" cm="1">
        <f t="array" ref="FFS3">GetValue("Dmn","Name",FFS2)</f>
        <v/>
      </c>
      <c r="FFT3" s="1" t="str" cm="1">
        <f t="array" ref="FFT3">GetValue("Dmn","Name",FFT2)</f>
        <v/>
      </c>
      <c r="FFU3" s="1" t="str" cm="1">
        <f t="array" ref="FFU3">GetValue("Dmn","Name",FFU2)</f>
        <v/>
      </c>
      <c r="FFV3" s="1" t="str" cm="1">
        <f t="array" ref="FFV3">GetValue("Dmn","Name",FFV2)</f>
        <v/>
      </c>
      <c r="FFW3" s="1" t="str" cm="1">
        <f t="array" ref="FFW3">GetValue("Dmn","Name",FFW2)</f>
        <v/>
      </c>
      <c r="FFX3" s="1" t="str" cm="1">
        <f t="array" ref="FFX3">GetValue("Dmn","Name",FFX2)</f>
        <v/>
      </c>
      <c r="FFY3" s="1" t="str" cm="1">
        <f t="array" ref="FFY3">GetValue("Dmn","Name",FFY2)</f>
        <v/>
      </c>
      <c r="FFZ3" s="1" t="str" cm="1">
        <f t="array" ref="FFZ3">GetValue("Dmn","Name",FFZ2)</f>
        <v/>
      </c>
      <c r="FGA3" s="1" t="str" cm="1">
        <f t="array" ref="FGA3">GetValue("Dmn","Name",FGA2)</f>
        <v/>
      </c>
      <c r="FGB3" s="1" t="str" cm="1">
        <f t="array" ref="FGB3">GetValue("Dmn","Name",FGB2)</f>
        <v/>
      </c>
      <c r="FGC3" s="1" t="str" cm="1">
        <f t="array" ref="FGC3">GetValue("Dmn","Name",FGC2)</f>
        <v/>
      </c>
      <c r="FGD3" s="1" t="str" cm="1">
        <f t="array" ref="FGD3">GetValue("Dmn","Name",FGD2)</f>
        <v/>
      </c>
      <c r="FGE3" s="1" t="str" cm="1">
        <f t="array" ref="FGE3">GetValue("Dmn","Name",FGE2)</f>
        <v/>
      </c>
      <c r="FGF3" s="1" t="str" cm="1">
        <f t="array" ref="FGF3">GetValue("Dmn","Name",FGF2)</f>
        <v/>
      </c>
      <c r="FGG3" s="1" t="str" cm="1">
        <f t="array" ref="FGG3">GetValue("Dmn","Name",FGG2)</f>
        <v/>
      </c>
      <c r="FGH3" s="1" t="str" cm="1">
        <f t="array" ref="FGH3">GetValue("Dmn","Name",FGH2)</f>
        <v/>
      </c>
      <c r="FGI3" s="1" t="str" cm="1">
        <f t="array" ref="FGI3">GetValue("Dmn","Name",FGI2)</f>
        <v/>
      </c>
      <c r="FGJ3" s="1" t="str" cm="1">
        <f t="array" ref="FGJ3">GetValue("Dmn","Name",FGJ2)</f>
        <v/>
      </c>
      <c r="FGK3" s="1" t="str" cm="1">
        <f t="array" ref="FGK3">GetValue("Dmn","Name",FGK2)</f>
        <v/>
      </c>
      <c r="FGL3" s="1" t="str" cm="1">
        <f t="array" ref="FGL3">GetValue("Dmn","Name",FGL2)</f>
        <v/>
      </c>
      <c r="FGM3" s="1" t="str" cm="1">
        <f t="array" ref="FGM3">GetValue("Dmn","Name",FGM2)</f>
        <v/>
      </c>
      <c r="FGN3" s="1" t="str" cm="1">
        <f t="array" ref="FGN3">GetValue("Dmn","Name",FGN2)</f>
        <v/>
      </c>
      <c r="FGO3" s="1" t="str" cm="1">
        <f t="array" ref="FGO3">GetValue("Dmn","Name",FGO2)</f>
        <v/>
      </c>
      <c r="FGP3" s="1" t="str" cm="1">
        <f t="array" ref="FGP3">GetValue("Dmn","Name",FGP2)</f>
        <v/>
      </c>
      <c r="FGQ3" s="1" t="str" cm="1">
        <f t="array" ref="FGQ3">GetValue("Dmn","Name",FGQ2)</f>
        <v/>
      </c>
      <c r="FGR3" s="1" t="str" cm="1">
        <f t="array" ref="FGR3">GetValue("Dmn","Name",FGR2)</f>
        <v/>
      </c>
      <c r="FGS3" s="1" t="str" cm="1">
        <f t="array" ref="FGS3">GetValue("Dmn","Name",FGS2)</f>
        <v/>
      </c>
      <c r="FGT3" s="1" t="str" cm="1">
        <f t="array" ref="FGT3">GetValue("Dmn","Name",FGT2)</f>
        <v/>
      </c>
      <c r="FGU3" s="1" t="str" cm="1">
        <f t="array" ref="FGU3">GetValue("Dmn","Name",FGU2)</f>
        <v/>
      </c>
      <c r="FGV3" s="1" t="str" cm="1">
        <f t="array" ref="FGV3">GetValue("Dmn","Name",FGV2)</f>
        <v/>
      </c>
      <c r="FGW3" s="1" t="str" cm="1">
        <f t="array" ref="FGW3">GetValue("Dmn","Name",FGW2)</f>
        <v/>
      </c>
      <c r="FGX3" s="1" t="str" cm="1">
        <f t="array" ref="FGX3">GetValue("Dmn","Name",FGX2)</f>
        <v/>
      </c>
      <c r="FGY3" s="1" t="str" cm="1">
        <f t="array" ref="FGY3">GetValue("Dmn","Name",FGY2)</f>
        <v/>
      </c>
      <c r="FGZ3" s="1" t="str" cm="1">
        <f t="array" ref="FGZ3">GetValue("Dmn","Name",FGZ2)</f>
        <v/>
      </c>
      <c r="FHA3" s="1" t="str" cm="1">
        <f t="array" ref="FHA3">GetValue("Dmn","Name",FHA2)</f>
        <v/>
      </c>
      <c r="FHB3" s="1" t="str" cm="1">
        <f t="array" ref="FHB3">GetValue("Dmn","Name",FHB2)</f>
        <v/>
      </c>
      <c r="FHC3" s="1" t="str" cm="1">
        <f t="array" ref="FHC3">GetValue("Dmn","Name",FHC2)</f>
        <v/>
      </c>
      <c r="FHD3" s="1" t="str" cm="1">
        <f t="array" ref="FHD3">GetValue("Dmn","Name",FHD2)</f>
        <v/>
      </c>
      <c r="FHE3" s="1" t="str" cm="1">
        <f t="array" ref="FHE3">GetValue("Dmn","Name",FHE2)</f>
        <v/>
      </c>
      <c r="FHF3" s="1" t="str" cm="1">
        <f t="array" ref="FHF3">GetValue("Dmn","Name",FHF2)</f>
        <v/>
      </c>
      <c r="FHG3" s="1" t="str" cm="1">
        <f t="array" ref="FHG3">GetValue("Dmn","Name",FHG2)</f>
        <v/>
      </c>
      <c r="FHH3" s="1" t="str" cm="1">
        <f t="array" ref="FHH3">GetValue("Dmn","Name",FHH2)</f>
        <v/>
      </c>
      <c r="FHI3" s="1" t="str" cm="1">
        <f t="array" ref="FHI3">GetValue("Dmn","Name",FHI2)</f>
        <v/>
      </c>
      <c r="FHJ3" s="1" t="str" cm="1">
        <f t="array" ref="FHJ3">GetValue("Dmn","Name",FHJ2)</f>
        <v/>
      </c>
      <c r="FHK3" s="1" t="str" cm="1">
        <f t="array" ref="FHK3">GetValue("Dmn","Name",FHK2)</f>
        <v/>
      </c>
      <c r="FHL3" s="1" t="str" cm="1">
        <f t="array" ref="FHL3">GetValue("Dmn","Name",FHL2)</f>
        <v/>
      </c>
      <c r="FHM3" s="1" t="str" cm="1">
        <f t="array" ref="FHM3">GetValue("Dmn","Name",FHM2)</f>
        <v/>
      </c>
      <c r="FHN3" s="1" t="str" cm="1">
        <f t="array" ref="FHN3">GetValue("Dmn","Name",FHN2)</f>
        <v/>
      </c>
      <c r="FHO3" s="1" t="str" cm="1">
        <f t="array" ref="FHO3">GetValue("Dmn","Name",FHO2)</f>
        <v/>
      </c>
      <c r="FHP3" s="1" t="str" cm="1">
        <f t="array" ref="FHP3">GetValue("Dmn","Name",FHP2)</f>
        <v/>
      </c>
      <c r="FHQ3" s="1" t="str" cm="1">
        <f t="array" ref="FHQ3">GetValue("Dmn","Name",FHQ2)</f>
        <v/>
      </c>
      <c r="FHR3" s="1" t="str" cm="1">
        <f t="array" ref="FHR3">GetValue("Dmn","Name",FHR2)</f>
        <v/>
      </c>
      <c r="FHS3" s="1" t="str" cm="1">
        <f t="array" ref="FHS3">GetValue("Dmn","Name",FHS2)</f>
        <v/>
      </c>
      <c r="FHT3" s="1" t="str" cm="1">
        <f t="array" ref="FHT3">GetValue("Dmn","Name",FHT2)</f>
        <v/>
      </c>
      <c r="FHU3" s="1" t="str" cm="1">
        <f t="array" ref="FHU3">GetValue("Dmn","Name",FHU2)</f>
        <v/>
      </c>
      <c r="FHV3" s="1" t="str" cm="1">
        <f t="array" ref="FHV3">GetValue("Dmn","Name",FHV2)</f>
        <v/>
      </c>
      <c r="FHW3" s="1" t="str" cm="1">
        <f t="array" ref="FHW3">GetValue("Dmn","Name",FHW2)</f>
        <v/>
      </c>
      <c r="FHX3" s="1" t="str" cm="1">
        <f t="array" ref="FHX3">GetValue("Dmn","Name",FHX2)</f>
        <v/>
      </c>
      <c r="FHY3" s="1" t="str" cm="1">
        <f t="array" ref="FHY3">GetValue("Dmn","Name",FHY2)</f>
        <v/>
      </c>
      <c r="FHZ3" s="1" t="str" cm="1">
        <f t="array" ref="FHZ3">GetValue("Dmn","Name",FHZ2)</f>
        <v/>
      </c>
      <c r="FIA3" s="1" t="str" cm="1">
        <f t="array" ref="FIA3">GetValue("Dmn","Name",FIA2)</f>
        <v/>
      </c>
      <c r="FIB3" s="1" t="str" cm="1">
        <f t="array" ref="FIB3">GetValue("Dmn","Name",FIB2)</f>
        <v/>
      </c>
      <c r="FIC3" s="1" t="str" cm="1">
        <f t="array" ref="FIC3">GetValue("Dmn","Name",FIC2)</f>
        <v/>
      </c>
      <c r="FID3" s="1" t="str" cm="1">
        <f t="array" ref="FID3">GetValue("Dmn","Name",FID2)</f>
        <v/>
      </c>
      <c r="FIE3" s="1" t="str" cm="1">
        <f t="array" ref="FIE3">GetValue("Dmn","Name",FIE2)</f>
        <v/>
      </c>
      <c r="FIF3" s="1" t="str" cm="1">
        <f t="array" ref="FIF3">GetValue("Dmn","Name",FIF2)</f>
        <v/>
      </c>
      <c r="FIG3" s="1" t="str" cm="1">
        <f t="array" ref="FIG3">GetValue("Dmn","Name",FIG2)</f>
        <v/>
      </c>
      <c r="FIH3" s="1" t="str" cm="1">
        <f t="array" ref="FIH3">GetValue("Dmn","Name",FIH2)</f>
        <v/>
      </c>
      <c r="FII3" s="1" t="str" cm="1">
        <f t="array" ref="FII3">GetValue("Dmn","Name",FII2)</f>
        <v/>
      </c>
      <c r="FIJ3" s="1" t="str" cm="1">
        <f t="array" ref="FIJ3">GetValue("Dmn","Name",FIJ2)</f>
        <v/>
      </c>
      <c r="FIK3" s="1" t="str" cm="1">
        <f t="array" ref="FIK3">GetValue("Dmn","Name",FIK2)</f>
        <v/>
      </c>
      <c r="FIL3" s="1" t="str" cm="1">
        <f t="array" ref="FIL3">GetValue("Dmn","Name",FIL2)</f>
        <v/>
      </c>
      <c r="FIM3" s="1" t="str" cm="1">
        <f t="array" ref="FIM3">GetValue("Dmn","Name",FIM2)</f>
        <v/>
      </c>
      <c r="FIN3" s="1" t="str" cm="1">
        <f t="array" ref="FIN3">GetValue("Dmn","Name",FIN2)</f>
        <v/>
      </c>
      <c r="FIO3" s="1" t="str" cm="1">
        <f t="array" ref="FIO3">GetValue("Dmn","Name",FIO2)</f>
        <v/>
      </c>
      <c r="FIP3" s="1" t="str" cm="1">
        <f t="array" ref="FIP3">GetValue("Dmn","Name",FIP2)</f>
        <v/>
      </c>
      <c r="FIQ3" s="1" t="str" cm="1">
        <f t="array" ref="FIQ3">GetValue("Dmn","Name",FIQ2)</f>
        <v/>
      </c>
      <c r="FIR3" s="1" t="str" cm="1">
        <f t="array" ref="FIR3">GetValue("Dmn","Name",FIR2)</f>
        <v/>
      </c>
      <c r="FIS3" s="1" t="str" cm="1">
        <f t="array" ref="FIS3">GetValue("Dmn","Name",FIS2)</f>
        <v/>
      </c>
      <c r="FIT3" s="1" t="str" cm="1">
        <f t="array" ref="FIT3">GetValue("Dmn","Name",FIT2)</f>
        <v/>
      </c>
      <c r="FIU3" s="1" t="str" cm="1">
        <f t="array" ref="FIU3">GetValue("Dmn","Name",FIU2)</f>
        <v/>
      </c>
      <c r="FIV3" s="1" t="str" cm="1">
        <f t="array" ref="FIV3">GetValue("Dmn","Name",FIV2)</f>
        <v/>
      </c>
      <c r="FIW3" s="1" t="str" cm="1">
        <f t="array" ref="FIW3">GetValue("Dmn","Name",FIW2)</f>
        <v/>
      </c>
      <c r="FIX3" s="1" t="str" cm="1">
        <f t="array" ref="FIX3">GetValue("Dmn","Name",FIX2)</f>
        <v/>
      </c>
      <c r="FIY3" s="1" t="str" cm="1">
        <f t="array" ref="FIY3">GetValue("Dmn","Name",FIY2)</f>
        <v/>
      </c>
      <c r="FIZ3" s="1" t="str" cm="1">
        <f t="array" ref="FIZ3">GetValue("Dmn","Name",FIZ2)</f>
        <v/>
      </c>
      <c r="FJA3" s="1" t="str" cm="1">
        <f t="array" ref="FJA3">GetValue("Dmn","Name",FJA2)</f>
        <v/>
      </c>
      <c r="FJB3" s="1" t="str" cm="1">
        <f t="array" ref="FJB3">GetValue("Dmn","Name",FJB2)</f>
        <v/>
      </c>
      <c r="FJC3" s="1" t="str" cm="1">
        <f t="array" ref="FJC3">GetValue("Dmn","Name",FJC2)</f>
        <v/>
      </c>
      <c r="FJD3" s="1" t="str" cm="1">
        <f t="array" ref="FJD3">GetValue("Dmn","Name",FJD2)</f>
        <v/>
      </c>
      <c r="FJE3" s="1" t="str" cm="1">
        <f t="array" ref="FJE3">GetValue("Dmn","Name",FJE2)</f>
        <v/>
      </c>
      <c r="FJF3" s="1" t="str" cm="1">
        <f t="array" ref="FJF3">GetValue("Dmn","Name",FJF2)</f>
        <v/>
      </c>
      <c r="FJG3" s="1" t="str" cm="1">
        <f t="array" ref="FJG3">GetValue("Dmn","Name",FJG2)</f>
        <v/>
      </c>
      <c r="FJH3" s="1" t="str" cm="1">
        <f t="array" ref="FJH3">GetValue("Dmn","Name",FJH2)</f>
        <v/>
      </c>
      <c r="FJI3" s="1" t="str" cm="1">
        <f t="array" ref="FJI3">GetValue("Dmn","Name",FJI2)</f>
        <v/>
      </c>
      <c r="FJJ3" s="1" t="str" cm="1">
        <f t="array" ref="FJJ3">GetValue("Dmn","Name",FJJ2)</f>
        <v/>
      </c>
      <c r="FJK3" s="1" t="str" cm="1">
        <f t="array" ref="FJK3">GetValue("Dmn","Name",FJK2)</f>
        <v/>
      </c>
      <c r="FJL3" s="1" t="str" cm="1">
        <f t="array" ref="FJL3">GetValue("Dmn","Name",FJL2)</f>
        <v/>
      </c>
      <c r="FJM3" s="1" t="str" cm="1">
        <f t="array" ref="FJM3">GetValue("Dmn","Name",FJM2)</f>
        <v/>
      </c>
      <c r="FJN3" s="1" t="str" cm="1">
        <f t="array" ref="FJN3">GetValue("Dmn","Name",FJN2)</f>
        <v/>
      </c>
      <c r="FJO3" s="1" t="str" cm="1">
        <f t="array" ref="FJO3">GetValue("Dmn","Name",FJO2)</f>
        <v/>
      </c>
      <c r="FJP3" s="1" t="str" cm="1">
        <f t="array" ref="FJP3">GetValue("Dmn","Name",FJP2)</f>
        <v/>
      </c>
      <c r="FJQ3" s="1" t="str" cm="1">
        <f t="array" ref="FJQ3">GetValue("Dmn","Name",FJQ2)</f>
        <v/>
      </c>
      <c r="FJR3" s="1" t="str" cm="1">
        <f t="array" ref="FJR3">GetValue("Dmn","Name",FJR2)</f>
        <v/>
      </c>
      <c r="FJS3" s="1" t="str" cm="1">
        <f t="array" ref="FJS3">GetValue("Dmn","Name",FJS2)</f>
        <v/>
      </c>
      <c r="FJT3" s="1" t="str" cm="1">
        <f t="array" ref="FJT3">GetValue("Dmn","Name",FJT2)</f>
        <v/>
      </c>
      <c r="FJU3" s="1" t="str" cm="1">
        <f t="array" ref="FJU3">GetValue("Dmn","Name",FJU2)</f>
        <v/>
      </c>
      <c r="FJV3" s="1" t="str" cm="1">
        <f t="array" ref="FJV3">GetValue("Dmn","Name",FJV2)</f>
        <v/>
      </c>
      <c r="FJW3" s="1" t="str" cm="1">
        <f t="array" ref="FJW3">GetValue("Dmn","Name",FJW2)</f>
        <v/>
      </c>
      <c r="FJX3" s="1" t="str" cm="1">
        <f t="array" ref="FJX3">GetValue("Dmn","Name",FJX2)</f>
        <v/>
      </c>
      <c r="FJY3" s="1" t="str" cm="1">
        <f t="array" ref="FJY3">GetValue("Dmn","Name",FJY2)</f>
        <v/>
      </c>
      <c r="FJZ3" s="1" t="str" cm="1">
        <f t="array" ref="FJZ3">GetValue("Dmn","Name",FJZ2)</f>
        <v/>
      </c>
      <c r="FKA3" s="1" t="str" cm="1">
        <f t="array" ref="FKA3">GetValue("Dmn","Name",FKA2)</f>
        <v/>
      </c>
      <c r="FKB3" s="1" t="str" cm="1">
        <f t="array" ref="FKB3">GetValue("Dmn","Name",FKB2)</f>
        <v/>
      </c>
      <c r="FKC3" s="1" t="str" cm="1">
        <f t="array" ref="FKC3">GetValue("Dmn","Name",FKC2)</f>
        <v/>
      </c>
      <c r="FKD3" s="1" t="str" cm="1">
        <f t="array" ref="FKD3">GetValue("Dmn","Name",FKD2)</f>
        <v/>
      </c>
      <c r="FKE3" s="1" t="str" cm="1">
        <f t="array" ref="FKE3">GetValue("Dmn","Name",FKE2)</f>
        <v/>
      </c>
      <c r="FKF3" s="1" t="str" cm="1">
        <f t="array" ref="FKF3">GetValue("Dmn","Name",FKF2)</f>
        <v/>
      </c>
      <c r="FKG3" s="1" t="str" cm="1">
        <f t="array" ref="FKG3">GetValue("Dmn","Name",FKG2)</f>
        <v/>
      </c>
      <c r="FKH3" s="1" t="str" cm="1">
        <f t="array" ref="FKH3">GetValue("Dmn","Name",FKH2)</f>
        <v/>
      </c>
      <c r="FKI3" s="1" t="str" cm="1">
        <f t="array" ref="FKI3">GetValue("Dmn","Name",FKI2)</f>
        <v/>
      </c>
      <c r="FKJ3" s="1" t="str" cm="1">
        <f t="array" ref="FKJ3">GetValue("Dmn","Name",FKJ2)</f>
        <v/>
      </c>
      <c r="FKK3" s="1" t="str" cm="1">
        <f t="array" ref="FKK3">GetValue("Dmn","Name",FKK2)</f>
        <v/>
      </c>
      <c r="FKL3" s="1" t="str" cm="1">
        <f t="array" ref="FKL3">GetValue("Dmn","Name",FKL2)</f>
        <v/>
      </c>
      <c r="FKM3" s="1" t="str" cm="1">
        <f t="array" ref="FKM3">GetValue("Dmn","Name",FKM2)</f>
        <v/>
      </c>
      <c r="FKN3" s="1" t="str" cm="1">
        <f t="array" ref="FKN3">GetValue("Dmn","Name",FKN2)</f>
        <v/>
      </c>
      <c r="FKO3" s="1" t="str" cm="1">
        <f t="array" ref="FKO3">GetValue("Dmn","Name",FKO2)</f>
        <v/>
      </c>
      <c r="FKP3" s="1" t="str" cm="1">
        <f t="array" ref="FKP3">GetValue("Dmn","Name",FKP2)</f>
        <v/>
      </c>
      <c r="FKQ3" s="1" t="str" cm="1">
        <f t="array" ref="FKQ3">GetValue("Dmn","Name",FKQ2)</f>
        <v/>
      </c>
      <c r="FKR3" s="1" t="str" cm="1">
        <f t="array" ref="FKR3">GetValue("Dmn","Name",FKR2)</f>
        <v/>
      </c>
      <c r="FKS3" s="1" t="str" cm="1">
        <f t="array" ref="FKS3">GetValue("Dmn","Name",FKS2)</f>
        <v/>
      </c>
      <c r="FKT3" s="1" t="str" cm="1">
        <f t="array" ref="FKT3">GetValue("Dmn","Name",FKT2)</f>
        <v/>
      </c>
      <c r="FKU3" s="1" t="str" cm="1">
        <f t="array" ref="FKU3">GetValue("Dmn","Name",FKU2)</f>
        <v/>
      </c>
      <c r="FKV3" s="1" t="str" cm="1">
        <f t="array" ref="FKV3">GetValue("Dmn","Name",FKV2)</f>
        <v/>
      </c>
      <c r="FKW3" s="1" t="str" cm="1">
        <f t="array" ref="FKW3">GetValue("Dmn","Name",FKW2)</f>
        <v/>
      </c>
      <c r="FKX3" s="1" t="str" cm="1">
        <f t="array" ref="FKX3">GetValue("Dmn","Name",FKX2)</f>
        <v/>
      </c>
      <c r="FKY3" s="1" t="str" cm="1">
        <f t="array" ref="FKY3">GetValue("Dmn","Name",FKY2)</f>
        <v/>
      </c>
      <c r="FKZ3" s="1" t="str" cm="1">
        <f t="array" ref="FKZ3">GetValue("Dmn","Name",FKZ2)</f>
        <v/>
      </c>
      <c r="FLA3" s="1" t="str" cm="1">
        <f t="array" ref="FLA3">GetValue("Dmn","Name",FLA2)</f>
        <v/>
      </c>
      <c r="FLB3" s="1" t="str" cm="1">
        <f t="array" ref="FLB3">GetValue("Dmn","Name",FLB2)</f>
        <v/>
      </c>
      <c r="FLC3" s="1" t="str" cm="1">
        <f t="array" ref="FLC3">GetValue("Dmn","Name",FLC2)</f>
        <v/>
      </c>
      <c r="FLD3" s="1" t="str" cm="1">
        <f t="array" ref="FLD3">GetValue("Dmn","Name",FLD2)</f>
        <v/>
      </c>
      <c r="FLE3" s="1" t="str" cm="1">
        <f t="array" ref="FLE3">GetValue("Dmn","Name",FLE2)</f>
        <v/>
      </c>
      <c r="FLF3" s="1" t="str" cm="1">
        <f t="array" ref="FLF3">GetValue("Dmn","Name",FLF2)</f>
        <v/>
      </c>
      <c r="FLG3" s="1" t="str" cm="1">
        <f t="array" ref="FLG3">GetValue("Dmn","Name",FLG2)</f>
        <v/>
      </c>
      <c r="FLH3" s="1" t="str" cm="1">
        <f t="array" ref="FLH3">GetValue("Dmn","Name",FLH2)</f>
        <v/>
      </c>
      <c r="FLI3" s="1" t="str" cm="1">
        <f t="array" ref="FLI3">GetValue("Dmn","Name",FLI2)</f>
        <v/>
      </c>
      <c r="FLJ3" s="1" t="str" cm="1">
        <f t="array" ref="FLJ3">GetValue("Dmn","Name",FLJ2)</f>
        <v/>
      </c>
      <c r="FLK3" s="1" t="str" cm="1">
        <f t="array" ref="FLK3">GetValue("Dmn","Name",FLK2)</f>
        <v/>
      </c>
      <c r="FLL3" s="1" t="str" cm="1">
        <f t="array" ref="FLL3">GetValue("Dmn","Name",FLL2)</f>
        <v/>
      </c>
      <c r="FLM3" s="1" t="str" cm="1">
        <f t="array" ref="FLM3">GetValue("Dmn","Name",FLM2)</f>
        <v/>
      </c>
      <c r="FLN3" s="1" t="str" cm="1">
        <f t="array" ref="FLN3">GetValue("Dmn","Name",FLN2)</f>
        <v/>
      </c>
      <c r="FLO3" s="1" t="str" cm="1">
        <f t="array" ref="FLO3">GetValue("Dmn","Name",FLO2)</f>
        <v/>
      </c>
      <c r="FLP3" s="1" t="str" cm="1">
        <f t="array" ref="FLP3">GetValue("Dmn","Name",FLP2)</f>
        <v/>
      </c>
      <c r="FLQ3" s="1" t="str" cm="1">
        <f t="array" ref="FLQ3">GetValue("Dmn","Name",FLQ2)</f>
        <v/>
      </c>
      <c r="FLR3" s="1" t="str" cm="1">
        <f t="array" ref="FLR3">GetValue("Dmn","Name",FLR2)</f>
        <v/>
      </c>
      <c r="FLS3" s="1" t="str" cm="1">
        <f t="array" ref="FLS3">GetValue("Dmn","Name",FLS2)</f>
        <v/>
      </c>
      <c r="FLT3" s="1" t="str" cm="1">
        <f t="array" ref="FLT3">GetValue("Dmn","Name",FLT2)</f>
        <v/>
      </c>
      <c r="FLU3" s="1" t="str" cm="1">
        <f t="array" ref="FLU3">GetValue("Dmn","Name",FLU2)</f>
        <v/>
      </c>
      <c r="FLV3" s="1" t="str" cm="1">
        <f t="array" ref="FLV3">GetValue("Dmn","Name",FLV2)</f>
        <v/>
      </c>
      <c r="FLW3" s="1" t="str" cm="1">
        <f t="array" ref="FLW3">GetValue("Dmn","Name",FLW2)</f>
        <v/>
      </c>
      <c r="FLX3" s="1" t="str" cm="1">
        <f t="array" ref="FLX3">GetValue("Dmn","Name",FLX2)</f>
        <v/>
      </c>
      <c r="FLY3" s="1" t="str" cm="1">
        <f t="array" ref="FLY3">GetValue("Dmn","Name",FLY2)</f>
        <v/>
      </c>
      <c r="FLZ3" s="1" t="str" cm="1">
        <f t="array" ref="FLZ3">GetValue("Dmn","Name",FLZ2)</f>
        <v/>
      </c>
      <c r="FMA3" s="1" t="str" cm="1">
        <f t="array" ref="FMA3">GetValue("Dmn","Name",FMA2)</f>
        <v/>
      </c>
      <c r="FMB3" s="1" t="str" cm="1">
        <f t="array" ref="FMB3">GetValue("Dmn","Name",FMB2)</f>
        <v/>
      </c>
      <c r="FMC3" s="1" t="str" cm="1">
        <f t="array" ref="FMC3">GetValue("Dmn","Name",FMC2)</f>
        <v/>
      </c>
      <c r="FMD3" s="1" t="str" cm="1">
        <f t="array" ref="FMD3">GetValue("Dmn","Name",FMD2)</f>
        <v/>
      </c>
      <c r="FME3" s="1" t="str" cm="1">
        <f t="array" ref="FME3">GetValue("Dmn","Name",FME2)</f>
        <v/>
      </c>
      <c r="FMF3" s="1" t="str" cm="1">
        <f t="array" ref="FMF3">GetValue("Dmn","Name",FMF2)</f>
        <v/>
      </c>
      <c r="FMG3" s="1" t="str" cm="1">
        <f t="array" ref="FMG3">GetValue("Dmn","Name",FMG2)</f>
        <v/>
      </c>
      <c r="FMH3" s="1" t="str" cm="1">
        <f t="array" ref="FMH3">GetValue("Dmn","Name",FMH2)</f>
        <v/>
      </c>
      <c r="FMI3" s="1" t="str" cm="1">
        <f t="array" ref="FMI3">GetValue("Dmn","Name",FMI2)</f>
        <v/>
      </c>
      <c r="FMJ3" s="1" t="str" cm="1">
        <f t="array" ref="FMJ3">GetValue("Dmn","Name",FMJ2)</f>
        <v/>
      </c>
      <c r="FMK3" s="1" t="str" cm="1">
        <f t="array" ref="FMK3">GetValue("Dmn","Name",FMK2)</f>
        <v/>
      </c>
      <c r="FML3" s="1" t="str" cm="1">
        <f t="array" ref="FML3">GetValue("Dmn","Name",FML2)</f>
        <v/>
      </c>
      <c r="FMM3" s="1" t="str" cm="1">
        <f t="array" ref="FMM3">GetValue("Dmn","Name",FMM2)</f>
        <v/>
      </c>
      <c r="FMN3" s="1" t="str" cm="1">
        <f t="array" ref="FMN3">GetValue("Dmn","Name",FMN2)</f>
        <v/>
      </c>
      <c r="FMO3" s="1" t="str" cm="1">
        <f t="array" ref="FMO3">GetValue("Dmn","Name",FMO2)</f>
        <v/>
      </c>
      <c r="FMP3" s="1" t="str" cm="1">
        <f t="array" ref="FMP3">GetValue("Dmn","Name",FMP2)</f>
        <v/>
      </c>
      <c r="FMQ3" s="1" t="str" cm="1">
        <f t="array" ref="FMQ3">GetValue("Dmn","Name",FMQ2)</f>
        <v/>
      </c>
      <c r="FMR3" s="1" t="str" cm="1">
        <f t="array" ref="FMR3">GetValue("Dmn","Name",FMR2)</f>
        <v/>
      </c>
      <c r="FMS3" s="1" t="str" cm="1">
        <f t="array" ref="FMS3">GetValue("Dmn","Name",FMS2)</f>
        <v/>
      </c>
      <c r="FMT3" s="1" t="str" cm="1">
        <f t="array" ref="FMT3">GetValue("Dmn","Name",FMT2)</f>
        <v/>
      </c>
      <c r="FMU3" s="1" t="str" cm="1">
        <f t="array" ref="FMU3">GetValue("Dmn","Name",FMU2)</f>
        <v/>
      </c>
      <c r="FMV3" s="1" t="str" cm="1">
        <f t="array" ref="FMV3">GetValue("Dmn","Name",FMV2)</f>
        <v/>
      </c>
      <c r="FMW3" s="1" t="str" cm="1">
        <f t="array" ref="FMW3">GetValue("Dmn","Name",FMW2)</f>
        <v/>
      </c>
      <c r="FMX3" s="1" t="str" cm="1">
        <f t="array" ref="FMX3">GetValue("Dmn","Name",FMX2)</f>
        <v/>
      </c>
      <c r="FMY3" s="1" t="str" cm="1">
        <f t="array" ref="FMY3">GetValue("Dmn","Name",FMY2)</f>
        <v/>
      </c>
      <c r="FMZ3" s="1" t="str" cm="1">
        <f t="array" ref="FMZ3">GetValue("Dmn","Name",FMZ2)</f>
        <v/>
      </c>
      <c r="FNA3" s="1" t="str" cm="1">
        <f t="array" ref="FNA3">GetValue("Dmn","Name",FNA2)</f>
        <v/>
      </c>
      <c r="FNB3" s="1" t="str" cm="1">
        <f t="array" ref="FNB3">GetValue("Dmn","Name",FNB2)</f>
        <v/>
      </c>
      <c r="FNC3" s="1" t="str" cm="1">
        <f t="array" ref="FNC3">GetValue("Dmn","Name",FNC2)</f>
        <v/>
      </c>
      <c r="FND3" s="1" t="str" cm="1">
        <f t="array" ref="FND3">GetValue("Dmn","Name",FND2)</f>
        <v/>
      </c>
      <c r="FNE3" s="1" t="str" cm="1">
        <f t="array" ref="FNE3">GetValue("Dmn","Name",FNE2)</f>
        <v/>
      </c>
      <c r="FNF3" s="1" t="str" cm="1">
        <f t="array" ref="FNF3">GetValue("Dmn","Name",FNF2)</f>
        <v/>
      </c>
      <c r="FNG3" s="1" t="str" cm="1">
        <f t="array" ref="FNG3">GetValue("Dmn","Name",FNG2)</f>
        <v/>
      </c>
      <c r="FNH3" s="1" t="str" cm="1">
        <f t="array" ref="FNH3">GetValue("Dmn","Name",FNH2)</f>
        <v/>
      </c>
      <c r="FNI3" s="1" t="str" cm="1">
        <f t="array" ref="FNI3">GetValue("Dmn","Name",FNI2)</f>
        <v/>
      </c>
      <c r="FNJ3" s="1" t="str" cm="1">
        <f t="array" ref="FNJ3">GetValue("Dmn","Name",FNJ2)</f>
        <v/>
      </c>
      <c r="FNK3" s="1" t="str" cm="1">
        <f t="array" ref="FNK3">GetValue("Dmn","Name",FNK2)</f>
        <v/>
      </c>
      <c r="FNL3" s="1" t="str" cm="1">
        <f t="array" ref="FNL3">GetValue("Dmn","Name",FNL2)</f>
        <v/>
      </c>
      <c r="FNM3" s="1" t="str" cm="1">
        <f t="array" ref="FNM3">GetValue("Dmn","Name",FNM2)</f>
        <v/>
      </c>
      <c r="FNN3" s="1" t="str" cm="1">
        <f t="array" ref="FNN3">GetValue("Dmn","Name",FNN2)</f>
        <v/>
      </c>
      <c r="FNO3" s="1" t="str" cm="1">
        <f t="array" ref="FNO3">GetValue("Dmn","Name",FNO2)</f>
        <v/>
      </c>
      <c r="FNP3" s="1" t="str" cm="1">
        <f t="array" ref="FNP3">GetValue("Dmn","Name",FNP2)</f>
        <v/>
      </c>
      <c r="FNQ3" s="1" t="str" cm="1">
        <f t="array" ref="FNQ3">GetValue("Dmn","Name",FNQ2)</f>
        <v/>
      </c>
      <c r="FNR3" s="1" t="str" cm="1">
        <f t="array" ref="FNR3">GetValue("Dmn","Name",FNR2)</f>
        <v/>
      </c>
      <c r="FNS3" s="1" t="str" cm="1">
        <f t="array" ref="FNS3">GetValue("Dmn","Name",FNS2)</f>
        <v/>
      </c>
      <c r="FNT3" s="1" t="str" cm="1">
        <f t="array" ref="FNT3">GetValue("Dmn","Name",FNT2)</f>
        <v/>
      </c>
      <c r="FNU3" s="1" t="str" cm="1">
        <f t="array" ref="FNU3">GetValue("Dmn","Name",FNU2)</f>
        <v/>
      </c>
      <c r="FNV3" s="1" t="str" cm="1">
        <f t="array" ref="FNV3">GetValue("Dmn","Name",FNV2)</f>
        <v/>
      </c>
      <c r="FNW3" s="1" t="str" cm="1">
        <f t="array" ref="FNW3">GetValue("Dmn","Name",FNW2)</f>
        <v/>
      </c>
      <c r="FNX3" s="1" t="str" cm="1">
        <f t="array" ref="FNX3">GetValue("Dmn","Name",FNX2)</f>
        <v/>
      </c>
      <c r="FNY3" s="1" t="str" cm="1">
        <f t="array" ref="FNY3">GetValue("Dmn","Name",FNY2)</f>
        <v/>
      </c>
      <c r="FNZ3" s="1" t="str" cm="1">
        <f t="array" ref="FNZ3">GetValue("Dmn","Name",FNZ2)</f>
        <v/>
      </c>
      <c r="FOA3" s="1" t="str" cm="1">
        <f t="array" ref="FOA3">GetValue("Dmn","Name",FOA2)</f>
        <v/>
      </c>
      <c r="FOB3" s="1" t="str" cm="1">
        <f t="array" ref="FOB3">GetValue("Dmn","Name",FOB2)</f>
        <v/>
      </c>
      <c r="FOC3" s="1" t="str" cm="1">
        <f t="array" ref="FOC3">GetValue("Dmn","Name",FOC2)</f>
        <v/>
      </c>
      <c r="FOD3" s="1" t="str" cm="1">
        <f t="array" ref="FOD3">GetValue("Dmn","Name",FOD2)</f>
        <v/>
      </c>
      <c r="FOE3" s="1" t="str" cm="1">
        <f t="array" ref="FOE3">GetValue("Dmn","Name",FOE2)</f>
        <v/>
      </c>
      <c r="FOF3" s="1" t="str" cm="1">
        <f t="array" ref="FOF3">GetValue("Dmn","Name",FOF2)</f>
        <v/>
      </c>
      <c r="FOG3" s="1" t="str" cm="1">
        <f t="array" ref="FOG3">GetValue("Dmn","Name",FOG2)</f>
        <v/>
      </c>
      <c r="FOH3" s="1" t="str" cm="1">
        <f t="array" ref="FOH3">GetValue("Dmn","Name",FOH2)</f>
        <v/>
      </c>
      <c r="FOI3" s="1" t="str" cm="1">
        <f t="array" ref="FOI3">GetValue("Dmn","Name",FOI2)</f>
        <v/>
      </c>
      <c r="FOJ3" s="1" t="str" cm="1">
        <f t="array" ref="FOJ3">GetValue("Dmn","Name",FOJ2)</f>
        <v/>
      </c>
      <c r="FOK3" s="1" t="str" cm="1">
        <f t="array" ref="FOK3">GetValue("Dmn","Name",FOK2)</f>
        <v/>
      </c>
      <c r="FOL3" s="1" t="str" cm="1">
        <f t="array" ref="FOL3">GetValue("Dmn","Name",FOL2)</f>
        <v/>
      </c>
      <c r="FOM3" s="1" t="str" cm="1">
        <f t="array" ref="FOM3">GetValue("Dmn","Name",FOM2)</f>
        <v/>
      </c>
      <c r="FON3" s="1" t="str" cm="1">
        <f t="array" ref="FON3">GetValue("Dmn","Name",FON2)</f>
        <v/>
      </c>
      <c r="FOO3" s="1" t="str" cm="1">
        <f t="array" ref="FOO3">GetValue("Dmn","Name",FOO2)</f>
        <v/>
      </c>
      <c r="FOP3" s="1" t="str" cm="1">
        <f t="array" ref="FOP3">GetValue("Dmn","Name",FOP2)</f>
        <v/>
      </c>
      <c r="FOQ3" s="1" t="str" cm="1">
        <f t="array" ref="FOQ3">GetValue("Dmn","Name",FOQ2)</f>
        <v/>
      </c>
      <c r="FOR3" s="1" t="str" cm="1">
        <f t="array" ref="FOR3">GetValue("Dmn","Name",FOR2)</f>
        <v/>
      </c>
      <c r="FOS3" s="1" t="str" cm="1">
        <f t="array" ref="FOS3">GetValue("Dmn","Name",FOS2)</f>
        <v/>
      </c>
      <c r="FOT3" s="1" t="str" cm="1">
        <f t="array" ref="FOT3">GetValue("Dmn","Name",FOT2)</f>
        <v/>
      </c>
      <c r="FOU3" s="1" t="str" cm="1">
        <f t="array" ref="FOU3">GetValue("Dmn","Name",FOU2)</f>
        <v/>
      </c>
      <c r="FOV3" s="1" t="str" cm="1">
        <f t="array" ref="FOV3">GetValue("Dmn","Name",FOV2)</f>
        <v/>
      </c>
      <c r="FOW3" s="1" t="str" cm="1">
        <f t="array" ref="FOW3">GetValue("Dmn","Name",FOW2)</f>
        <v/>
      </c>
      <c r="FOX3" s="1" t="str" cm="1">
        <f t="array" ref="FOX3">GetValue("Dmn","Name",FOX2)</f>
        <v/>
      </c>
      <c r="FOY3" s="1" t="str" cm="1">
        <f t="array" ref="FOY3">GetValue("Dmn","Name",FOY2)</f>
        <v/>
      </c>
      <c r="FOZ3" s="1" t="str" cm="1">
        <f t="array" ref="FOZ3">GetValue("Dmn","Name",FOZ2)</f>
        <v/>
      </c>
      <c r="FPA3" s="1" t="str" cm="1">
        <f t="array" ref="FPA3">GetValue("Dmn","Name",FPA2)</f>
        <v/>
      </c>
      <c r="FPB3" s="1" t="str" cm="1">
        <f t="array" ref="FPB3">GetValue("Dmn","Name",FPB2)</f>
        <v/>
      </c>
      <c r="FPC3" s="1" t="str" cm="1">
        <f t="array" ref="FPC3">GetValue("Dmn","Name",FPC2)</f>
        <v/>
      </c>
      <c r="FPD3" s="1" t="str" cm="1">
        <f t="array" ref="FPD3">GetValue("Dmn","Name",FPD2)</f>
        <v/>
      </c>
      <c r="FPE3" s="1" t="str" cm="1">
        <f t="array" ref="FPE3">GetValue("Dmn","Name",FPE2)</f>
        <v/>
      </c>
      <c r="FPF3" s="1" t="str" cm="1">
        <f t="array" ref="FPF3">GetValue("Dmn","Name",FPF2)</f>
        <v/>
      </c>
      <c r="FPG3" s="1" t="str" cm="1">
        <f t="array" ref="FPG3">GetValue("Dmn","Name",FPG2)</f>
        <v/>
      </c>
      <c r="FPH3" s="1" t="str" cm="1">
        <f t="array" ref="FPH3">GetValue("Dmn","Name",FPH2)</f>
        <v/>
      </c>
      <c r="FPI3" s="1" t="str" cm="1">
        <f t="array" ref="FPI3">GetValue("Dmn","Name",FPI2)</f>
        <v/>
      </c>
      <c r="FPJ3" s="1" t="str" cm="1">
        <f t="array" ref="FPJ3">GetValue("Dmn","Name",FPJ2)</f>
        <v/>
      </c>
      <c r="FPK3" s="1" t="str" cm="1">
        <f t="array" ref="FPK3">GetValue("Dmn","Name",FPK2)</f>
        <v/>
      </c>
      <c r="FPL3" s="1" t="str" cm="1">
        <f t="array" ref="FPL3">GetValue("Dmn","Name",FPL2)</f>
        <v/>
      </c>
      <c r="FPM3" s="1" t="str" cm="1">
        <f t="array" ref="FPM3">GetValue("Dmn","Name",FPM2)</f>
        <v/>
      </c>
      <c r="FPN3" s="1" t="str" cm="1">
        <f t="array" ref="FPN3">GetValue("Dmn","Name",FPN2)</f>
        <v/>
      </c>
      <c r="FPO3" s="1" t="str" cm="1">
        <f t="array" ref="FPO3">GetValue("Dmn","Name",FPO2)</f>
        <v/>
      </c>
      <c r="FPP3" s="1" t="str" cm="1">
        <f t="array" ref="FPP3">GetValue("Dmn","Name",FPP2)</f>
        <v/>
      </c>
      <c r="FPQ3" s="1" t="str" cm="1">
        <f t="array" ref="FPQ3">GetValue("Dmn","Name",FPQ2)</f>
        <v/>
      </c>
      <c r="FPR3" s="1" t="str" cm="1">
        <f t="array" ref="FPR3">GetValue("Dmn","Name",FPR2)</f>
        <v/>
      </c>
      <c r="FPS3" s="1" t="str" cm="1">
        <f t="array" ref="FPS3">GetValue("Dmn","Name",FPS2)</f>
        <v/>
      </c>
      <c r="FPT3" s="1" t="str" cm="1">
        <f t="array" ref="FPT3">GetValue("Dmn","Name",FPT2)</f>
        <v/>
      </c>
      <c r="FPU3" s="1" t="str" cm="1">
        <f t="array" ref="FPU3">GetValue("Dmn","Name",FPU2)</f>
        <v/>
      </c>
      <c r="FPV3" s="1" t="str" cm="1">
        <f t="array" ref="FPV3">GetValue("Dmn","Name",FPV2)</f>
        <v/>
      </c>
      <c r="FPW3" s="1" t="str" cm="1">
        <f t="array" ref="FPW3">GetValue("Dmn","Name",FPW2)</f>
        <v/>
      </c>
      <c r="FPX3" s="1" t="str" cm="1">
        <f t="array" ref="FPX3">GetValue("Dmn","Name",FPX2)</f>
        <v/>
      </c>
      <c r="FPY3" s="1" t="str" cm="1">
        <f t="array" ref="FPY3">GetValue("Dmn","Name",FPY2)</f>
        <v/>
      </c>
      <c r="FPZ3" s="1" t="str" cm="1">
        <f t="array" ref="FPZ3">GetValue("Dmn","Name",FPZ2)</f>
        <v/>
      </c>
      <c r="FQA3" s="1" t="str" cm="1">
        <f t="array" ref="FQA3">GetValue("Dmn","Name",FQA2)</f>
        <v/>
      </c>
      <c r="FQB3" s="1" t="str" cm="1">
        <f t="array" ref="FQB3">GetValue("Dmn","Name",FQB2)</f>
        <v/>
      </c>
      <c r="FQC3" s="1" t="str" cm="1">
        <f t="array" ref="FQC3">GetValue("Dmn","Name",FQC2)</f>
        <v/>
      </c>
      <c r="FQD3" s="1" t="str" cm="1">
        <f t="array" ref="FQD3">GetValue("Dmn","Name",FQD2)</f>
        <v/>
      </c>
      <c r="FQE3" s="1" t="str" cm="1">
        <f t="array" ref="FQE3">GetValue("Dmn","Name",FQE2)</f>
        <v/>
      </c>
      <c r="FQF3" s="1" t="str" cm="1">
        <f t="array" ref="FQF3">GetValue("Dmn","Name",FQF2)</f>
        <v/>
      </c>
      <c r="FQG3" s="1" t="str" cm="1">
        <f t="array" ref="FQG3">GetValue("Dmn","Name",FQG2)</f>
        <v/>
      </c>
      <c r="FQH3" s="1" t="str" cm="1">
        <f t="array" ref="FQH3">GetValue("Dmn","Name",FQH2)</f>
        <v/>
      </c>
      <c r="FQI3" s="1" t="str" cm="1">
        <f t="array" ref="FQI3">GetValue("Dmn","Name",FQI2)</f>
        <v/>
      </c>
      <c r="FQJ3" s="1" t="str" cm="1">
        <f t="array" ref="FQJ3">GetValue("Dmn","Name",FQJ2)</f>
        <v/>
      </c>
      <c r="FQK3" s="1" t="str" cm="1">
        <f t="array" ref="FQK3">GetValue("Dmn","Name",FQK2)</f>
        <v/>
      </c>
      <c r="FQL3" s="1" t="str" cm="1">
        <f t="array" ref="FQL3">GetValue("Dmn","Name",FQL2)</f>
        <v/>
      </c>
      <c r="FQM3" s="1" t="str" cm="1">
        <f t="array" ref="FQM3">GetValue("Dmn","Name",FQM2)</f>
        <v/>
      </c>
      <c r="FQN3" s="1" t="str" cm="1">
        <f t="array" ref="FQN3">GetValue("Dmn","Name",FQN2)</f>
        <v/>
      </c>
      <c r="FQO3" s="1" t="str" cm="1">
        <f t="array" ref="FQO3">GetValue("Dmn","Name",FQO2)</f>
        <v/>
      </c>
      <c r="FQP3" s="1" t="str" cm="1">
        <f t="array" ref="FQP3">GetValue("Dmn","Name",FQP2)</f>
        <v/>
      </c>
      <c r="FQQ3" s="1" t="str" cm="1">
        <f t="array" ref="FQQ3">GetValue("Dmn","Name",FQQ2)</f>
        <v/>
      </c>
      <c r="FQR3" s="1" t="str" cm="1">
        <f t="array" ref="FQR3">GetValue("Dmn","Name",FQR2)</f>
        <v/>
      </c>
      <c r="FQS3" s="1" t="str" cm="1">
        <f t="array" ref="FQS3">GetValue("Dmn","Name",FQS2)</f>
        <v/>
      </c>
      <c r="FQT3" s="1" t="str" cm="1">
        <f t="array" ref="FQT3">GetValue("Dmn","Name",FQT2)</f>
        <v/>
      </c>
      <c r="FQU3" s="1" t="str" cm="1">
        <f t="array" ref="FQU3">GetValue("Dmn","Name",FQU2)</f>
        <v/>
      </c>
      <c r="FQV3" s="1" t="str" cm="1">
        <f t="array" ref="FQV3">GetValue("Dmn","Name",FQV2)</f>
        <v/>
      </c>
      <c r="FQW3" s="1" t="str" cm="1">
        <f t="array" ref="FQW3">GetValue("Dmn","Name",FQW2)</f>
        <v/>
      </c>
      <c r="FQX3" s="1" t="str" cm="1">
        <f t="array" ref="FQX3">GetValue("Dmn","Name",FQX2)</f>
        <v/>
      </c>
      <c r="FQY3" s="1" t="str" cm="1">
        <f t="array" ref="FQY3">GetValue("Dmn","Name",FQY2)</f>
        <v/>
      </c>
      <c r="FQZ3" s="1" t="str" cm="1">
        <f t="array" ref="FQZ3">GetValue("Dmn","Name",FQZ2)</f>
        <v/>
      </c>
      <c r="FRA3" s="1" t="str" cm="1">
        <f t="array" ref="FRA3">GetValue("Dmn","Name",FRA2)</f>
        <v/>
      </c>
      <c r="FRB3" s="1" t="str" cm="1">
        <f t="array" ref="FRB3">GetValue("Dmn","Name",FRB2)</f>
        <v/>
      </c>
      <c r="FRC3" s="1" t="str" cm="1">
        <f t="array" ref="FRC3">GetValue("Dmn","Name",FRC2)</f>
        <v/>
      </c>
      <c r="FRD3" s="1" t="str" cm="1">
        <f t="array" ref="FRD3">GetValue("Dmn","Name",FRD2)</f>
        <v/>
      </c>
      <c r="FRE3" s="1" t="str" cm="1">
        <f t="array" ref="FRE3">GetValue("Dmn","Name",FRE2)</f>
        <v/>
      </c>
      <c r="FRF3" s="1" t="str" cm="1">
        <f t="array" ref="FRF3">GetValue("Dmn","Name",FRF2)</f>
        <v/>
      </c>
      <c r="FRG3" s="1" t="str" cm="1">
        <f t="array" ref="FRG3">GetValue("Dmn","Name",FRG2)</f>
        <v/>
      </c>
      <c r="FRH3" s="1" t="str" cm="1">
        <f t="array" ref="FRH3">GetValue("Dmn","Name",FRH2)</f>
        <v/>
      </c>
      <c r="FRI3" s="1" t="str" cm="1">
        <f t="array" ref="FRI3">GetValue("Dmn","Name",FRI2)</f>
        <v/>
      </c>
      <c r="FRJ3" s="1" t="str" cm="1">
        <f t="array" ref="FRJ3">GetValue("Dmn","Name",FRJ2)</f>
        <v/>
      </c>
      <c r="FRK3" s="1" t="str" cm="1">
        <f t="array" ref="FRK3">GetValue("Dmn","Name",FRK2)</f>
        <v/>
      </c>
      <c r="FRL3" s="1" t="str" cm="1">
        <f t="array" ref="FRL3">GetValue("Dmn","Name",FRL2)</f>
        <v/>
      </c>
      <c r="FRM3" s="1" t="str" cm="1">
        <f t="array" ref="FRM3">GetValue("Dmn","Name",FRM2)</f>
        <v/>
      </c>
      <c r="FRN3" s="1" t="str" cm="1">
        <f t="array" ref="FRN3">GetValue("Dmn","Name",FRN2)</f>
        <v/>
      </c>
      <c r="FRO3" s="1" t="str" cm="1">
        <f t="array" ref="FRO3">GetValue("Dmn","Name",FRO2)</f>
        <v/>
      </c>
      <c r="FRP3" s="1" t="str" cm="1">
        <f t="array" ref="FRP3">GetValue("Dmn","Name",FRP2)</f>
        <v/>
      </c>
      <c r="FRQ3" s="1" t="str" cm="1">
        <f t="array" ref="FRQ3">GetValue("Dmn","Name",FRQ2)</f>
        <v/>
      </c>
      <c r="FRR3" s="1" t="str" cm="1">
        <f t="array" ref="FRR3">GetValue("Dmn","Name",FRR2)</f>
        <v/>
      </c>
      <c r="FRS3" s="1" t="str" cm="1">
        <f t="array" ref="FRS3">GetValue("Dmn","Name",FRS2)</f>
        <v/>
      </c>
      <c r="FRT3" s="1" t="str" cm="1">
        <f t="array" ref="FRT3">GetValue("Dmn","Name",FRT2)</f>
        <v/>
      </c>
      <c r="FRU3" s="1" t="str" cm="1">
        <f t="array" ref="FRU3">GetValue("Dmn","Name",FRU2)</f>
        <v/>
      </c>
      <c r="FRV3" s="1" t="str" cm="1">
        <f t="array" ref="FRV3">GetValue("Dmn","Name",FRV2)</f>
        <v/>
      </c>
      <c r="FRW3" s="1" t="str" cm="1">
        <f t="array" ref="FRW3">GetValue("Dmn","Name",FRW2)</f>
        <v/>
      </c>
      <c r="FRX3" s="1" t="str" cm="1">
        <f t="array" ref="FRX3">GetValue("Dmn","Name",FRX2)</f>
        <v/>
      </c>
      <c r="FRY3" s="1" t="str" cm="1">
        <f t="array" ref="FRY3">GetValue("Dmn","Name",FRY2)</f>
        <v/>
      </c>
      <c r="FRZ3" s="1" t="str" cm="1">
        <f t="array" ref="FRZ3">GetValue("Dmn","Name",FRZ2)</f>
        <v/>
      </c>
      <c r="FSA3" s="1" t="str" cm="1">
        <f t="array" ref="FSA3">GetValue("Dmn","Name",FSA2)</f>
        <v/>
      </c>
      <c r="FSB3" s="1" t="str" cm="1">
        <f t="array" ref="FSB3">GetValue("Dmn","Name",FSB2)</f>
        <v/>
      </c>
      <c r="FSC3" s="1" t="str" cm="1">
        <f t="array" ref="FSC3">GetValue("Dmn","Name",FSC2)</f>
        <v/>
      </c>
      <c r="FSD3" s="1" t="str" cm="1">
        <f t="array" ref="FSD3">GetValue("Dmn","Name",FSD2)</f>
        <v/>
      </c>
      <c r="FSE3" s="1" t="str" cm="1">
        <f t="array" ref="FSE3">GetValue("Dmn","Name",FSE2)</f>
        <v/>
      </c>
      <c r="FSF3" s="1" t="str" cm="1">
        <f t="array" ref="FSF3">GetValue("Dmn","Name",FSF2)</f>
        <v/>
      </c>
      <c r="FSG3" s="1" t="str" cm="1">
        <f t="array" ref="FSG3">GetValue("Dmn","Name",FSG2)</f>
        <v/>
      </c>
      <c r="FSH3" s="1" t="str" cm="1">
        <f t="array" ref="FSH3">GetValue("Dmn","Name",FSH2)</f>
        <v/>
      </c>
      <c r="FSI3" s="1" t="str" cm="1">
        <f t="array" ref="FSI3">GetValue("Dmn","Name",FSI2)</f>
        <v/>
      </c>
      <c r="FSJ3" s="1" t="str" cm="1">
        <f t="array" ref="FSJ3">GetValue("Dmn","Name",FSJ2)</f>
        <v/>
      </c>
      <c r="FSK3" s="1" t="str" cm="1">
        <f t="array" ref="FSK3">GetValue("Dmn","Name",FSK2)</f>
        <v/>
      </c>
      <c r="FSL3" s="1" t="str" cm="1">
        <f t="array" ref="FSL3">GetValue("Dmn","Name",FSL2)</f>
        <v/>
      </c>
      <c r="FSM3" s="1" t="str" cm="1">
        <f t="array" ref="FSM3">GetValue("Dmn","Name",FSM2)</f>
        <v/>
      </c>
      <c r="FSN3" s="1" t="str" cm="1">
        <f t="array" ref="FSN3">GetValue("Dmn","Name",FSN2)</f>
        <v/>
      </c>
      <c r="FSO3" s="1" t="str" cm="1">
        <f t="array" ref="FSO3">GetValue("Dmn","Name",FSO2)</f>
        <v/>
      </c>
      <c r="FSP3" s="1" t="str" cm="1">
        <f t="array" ref="FSP3">GetValue("Dmn","Name",FSP2)</f>
        <v/>
      </c>
      <c r="FSQ3" s="1" t="str" cm="1">
        <f t="array" ref="FSQ3">GetValue("Dmn","Name",FSQ2)</f>
        <v/>
      </c>
      <c r="FSR3" s="1" t="str" cm="1">
        <f t="array" ref="FSR3">GetValue("Dmn","Name",FSR2)</f>
        <v/>
      </c>
      <c r="FSS3" s="1" t="str" cm="1">
        <f t="array" ref="FSS3">GetValue("Dmn","Name",FSS2)</f>
        <v/>
      </c>
      <c r="FST3" s="1" t="str" cm="1">
        <f t="array" ref="FST3">GetValue("Dmn","Name",FST2)</f>
        <v/>
      </c>
      <c r="FSU3" s="1" t="str" cm="1">
        <f t="array" ref="FSU3">GetValue("Dmn","Name",FSU2)</f>
        <v/>
      </c>
      <c r="FSV3" s="1" t="str" cm="1">
        <f t="array" ref="FSV3">GetValue("Dmn","Name",FSV2)</f>
        <v/>
      </c>
      <c r="FSW3" s="1" t="str" cm="1">
        <f t="array" ref="FSW3">GetValue("Dmn","Name",FSW2)</f>
        <v/>
      </c>
      <c r="FSX3" s="1" t="str" cm="1">
        <f t="array" ref="FSX3">GetValue("Dmn","Name",FSX2)</f>
        <v/>
      </c>
      <c r="FSY3" s="1" t="str" cm="1">
        <f t="array" ref="FSY3">GetValue("Dmn","Name",FSY2)</f>
        <v/>
      </c>
      <c r="FSZ3" s="1" t="str" cm="1">
        <f t="array" ref="FSZ3">GetValue("Dmn","Name",FSZ2)</f>
        <v/>
      </c>
      <c r="FTA3" s="1" t="str" cm="1">
        <f t="array" ref="FTA3">GetValue("Dmn","Name",FTA2)</f>
        <v/>
      </c>
      <c r="FTB3" s="1" t="str" cm="1">
        <f t="array" ref="FTB3">GetValue("Dmn","Name",FTB2)</f>
        <v/>
      </c>
      <c r="FTC3" s="1" t="str" cm="1">
        <f t="array" ref="FTC3">GetValue("Dmn","Name",FTC2)</f>
        <v/>
      </c>
      <c r="FTD3" s="1" t="str" cm="1">
        <f t="array" ref="FTD3">GetValue("Dmn","Name",FTD2)</f>
        <v/>
      </c>
      <c r="FTE3" s="1" t="str" cm="1">
        <f t="array" ref="FTE3">GetValue("Dmn","Name",FTE2)</f>
        <v/>
      </c>
      <c r="FTF3" s="1" t="str" cm="1">
        <f t="array" ref="FTF3">GetValue("Dmn","Name",FTF2)</f>
        <v/>
      </c>
      <c r="FTG3" s="1" t="str" cm="1">
        <f t="array" ref="FTG3">GetValue("Dmn","Name",FTG2)</f>
        <v/>
      </c>
      <c r="FTH3" s="1" t="str" cm="1">
        <f t="array" ref="FTH3">GetValue("Dmn","Name",FTH2)</f>
        <v/>
      </c>
      <c r="FTI3" s="1" t="str" cm="1">
        <f t="array" ref="FTI3">GetValue("Dmn","Name",FTI2)</f>
        <v/>
      </c>
      <c r="FTJ3" s="1" t="str" cm="1">
        <f t="array" ref="FTJ3">GetValue("Dmn","Name",FTJ2)</f>
        <v/>
      </c>
      <c r="FTK3" s="1" t="str" cm="1">
        <f t="array" ref="FTK3">GetValue("Dmn","Name",FTK2)</f>
        <v/>
      </c>
      <c r="FTL3" s="1" t="str" cm="1">
        <f t="array" ref="FTL3">GetValue("Dmn","Name",FTL2)</f>
        <v/>
      </c>
      <c r="FTM3" s="1" t="str" cm="1">
        <f t="array" ref="FTM3">GetValue("Dmn","Name",FTM2)</f>
        <v/>
      </c>
      <c r="FTN3" s="1" t="str" cm="1">
        <f t="array" ref="FTN3">GetValue("Dmn","Name",FTN2)</f>
        <v/>
      </c>
      <c r="FTO3" s="1" t="str" cm="1">
        <f t="array" ref="FTO3">GetValue("Dmn","Name",FTO2)</f>
        <v/>
      </c>
      <c r="FTP3" s="1" t="str" cm="1">
        <f t="array" ref="FTP3">GetValue("Dmn","Name",FTP2)</f>
        <v/>
      </c>
      <c r="FTQ3" s="1" t="str" cm="1">
        <f t="array" ref="FTQ3">GetValue("Dmn","Name",FTQ2)</f>
        <v/>
      </c>
      <c r="FTR3" s="1" t="str" cm="1">
        <f t="array" ref="FTR3">GetValue("Dmn","Name",FTR2)</f>
        <v/>
      </c>
      <c r="FTS3" s="1" t="str" cm="1">
        <f t="array" ref="FTS3">GetValue("Dmn","Name",FTS2)</f>
        <v/>
      </c>
      <c r="FTT3" s="1" t="str" cm="1">
        <f t="array" ref="FTT3">GetValue("Dmn","Name",FTT2)</f>
        <v/>
      </c>
      <c r="FTU3" s="1" t="str" cm="1">
        <f t="array" ref="FTU3">GetValue("Dmn","Name",FTU2)</f>
        <v/>
      </c>
      <c r="FTV3" s="1" t="str" cm="1">
        <f t="array" ref="FTV3">GetValue("Dmn","Name",FTV2)</f>
        <v/>
      </c>
      <c r="FTW3" s="1" t="str" cm="1">
        <f t="array" ref="FTW3">GetValue("Dmn","Name",FTW2)</f>
        <v/>
      </c>
      <c r="FTX3" s="1" t="str" cm="1">
        <f t="array" ref="FTX3">GetValue("Dmn","Name",FTX2)</f>
        <v/>
      </c>
      <c r="FTY3" s="1" t="str" cm="1">
        <f t="array" ref="FTY3">GetValue("Dmn","Name",FTY2)</f>
        <v/>
      </c>
      <c r="FTZ3" s="1" t="str" cm="1">
        <f t="array" ref="FTZ3">GetValue("Dmn","Name",FTZ2)</f>
        <v/>
      </c>
      <c r="FUA3" s="1" t="str" cm="1">
        <f t="array" ref="FUA3">GetValue("Dmn","Name",FUA2)</f>
        <v/>
      </c>
      <c r="FUB3" s="1" t="str" cm="1">
        <f t="array" ref="FUB3">GetValue("Dmn","Name",FUB2)</f>
        <v/>
      </c>
      <c r="FUC3" s="1" t="str" cm="1">
        <f t="array" ref="FUC3">GetValue("Dmn","Name",FUC2)</f>
        <v/>
      </c>
      <c r="FUD3" s="1" t="str" cm="1">
        <f t="array" ref="FUD3">GetValue("Dmn","Name",FUD2)</f>
        <v/>
      </c>
      <c r="FUE3" s="1" t="str" cm="1">
        <f t="array" ref="FUE3">GetValue("Dmn","Name",FUE2)</f>
        <v/>
      </c>
      <c r="FUF3" s="1" t="str" cm="1">
        <f t="array" ref="FUF3">GetValue("Dmn","Name",FUF2)</f>
        <v/>
      </c>
      <c r="FUG3" s="1" t="str" cm="1">
        <f t="array" ref="FUG3">GetValue("Dmn","Name",FUG2)</f>
        <v/>
      </c>
      <c r="FUH3" s="1" t="str" cm="1">
        <f t="array" ref="FUH3">GetValue("Dmn","Name",FUH2)</f>
        <v/>
      </c>
      <c r="FUI3" s="1" t="str" cm="1">
        <f t="array" ref="FUI3">GetValue("Dmn","Name",FUI2)</f>
        <v/>
      </c>
      <c r="FUJ3" s="1" t="str" cm="1">
        <f t="array" ref="FUJ3">GetValue("Dmn","Name",FUJ2)</f>
        <v/>
      </c>
      <c r="FUK3" s="1" t="str" cm="1">
        <f t="array" ref="FUK3">GetValue("Dmn","Name",FUK2)</f>
        <v/>
      </c>
      <c r="FUL3" s="1" t="str" cm="1">
        <f t="array" ref="FUL3">GetValue("Dmn","Name",FUL2)</f>
        <v/>
      </c>
      <c r="FUM3" s="1" t="str" cm="1">
        <f t="array" ref="FUM3">GetValue("Dmn","Name",FUM2)</f>
        <v/>
      </c>
      <c r="FUN3" s="1" t="str" cm="1">
        <f t="array" ref="FUN3">GetValue("Dmn","Name",FUN2)</f>
        <v/>
      </c>
      <c r="FUO3" s="1" t="str" cm="1">
        <f t="array" ref="FUO3">GetValue("Dmn","Name",FUO2)</f>
        <v/>
      </c>
      <c r="FUP3" s="1" t="str" cm="1">
        <f t="array" ref="FUP3">GetValue("Dmn","Name",FUP2)</f>
        <v/>
      </c>
      <c r="FUQ3" s="1" t="str" cm="1">
        <f t="array" ref="FUQ3">GetValue("Dmn","Name",FUQ2)</f>
        <v/>
      </c>
      <c r="FUR3" s="1" t="str" cm="1">
        <f t="array" ref="FUR3">GetValue("Dmn","Name",FUR2)</f>
        <v/>
      </c>
      <c r="FUS3" s="1" t="str" cm="1">
        <f t="array" ref="FUS3">GetValue("Dmn","Name",FUS2)</f>
        <v/>
      </c>
      <c r="FUT3" s="1" t="str" cm="1">
        <f t="array" ref="FUT3">GetValue("Dmn","Name",FUT2)</f>
        <v/>
      </c>
      <c r="FUU3" s="1" t="str" cm="1">
        <f t="array" ref="FUU3">GetValue("Dmn","Name",FUU2)</f>
        <v/>
      </c>
      <c r="FUV3" s="1" t="str" cm="1">
        <f t="array" ref="FUV3">GetValue("Dmn","Name",FUV2)</f>
        <v/>
      </c>
      <c r="FUW3" s="1" t="str" cm="1">
        <f t="array" ref="FUW3">GetValue("Dmn","Name",FUW2)</f>
        <v/>
      </c>
      <c r="FUX3" s="1" t="str" cm="1">
        <f t="array" ref="FUX3">GetValue("Dmn","Name",FUX2)</f>
        <v/>
      </c>
      <c r="FUY3" s="1" t="str" cm="1">
        <f t="array" ref="FUY3">GetValue("Dmn","Name",FUY2)</f>
        <v/>
      </c>
      <c r="FUZ3" s="1" t="str" cm="1">
        <f t="array" ref="FUZ3">GetValue("Dmn","Name",FUZ2)</f>
        <v/>
      </c>
      <c r="FVA3" s="1" t="str" cm="1">
        <f t="array" ref="FVA3">GetValue("Dmn","Name",FVA2)</f>
        <v/>
      </c>
      <c r="FVB3" s="1" t="str" cm="1">
        <f t="array" ref="FVB3">GetValue("Dmn","Name",FVB2)</f>
        <v/>
      </c>
      <c r="FVC3" s="1" t="str" cm="1">
        <f t="array" ref="FVC3">GetValue("Dmn","Name",FVC2)</f>
        <v/>
      </c>
      <c r="FVD3" s="1" t="str" cm="1">
        <f t="array" ref="FVD3">GetValue("Dmn","Name",FVD2)</f>
        <v/>
      </c>
      <c r="FVE3" s="1" t="str" cm="1">
        <f t="array" ref="FVE3">GetValue("Dmn","Name",FVE2)</f>
        <v/>
      </c>
      <c r="FVF3" s="1" t="str" cm="1">
        <f t="array" ref="FVF3">GetValue("Dmn","Name",FVF2)</f>
        <v/>
      </c>
      <c r="FVG3" s="1" t="str" cm="1">
        <f t="array" ref="FVG3">GetValue("Dmn","Name",FVG2)</f>
        <v/>
      </c>
      <c r="FVH3" s="1" t="str" cm="1">
        <f t="array" ref="FVH3">GetValue("Dmn","Name",FVH2)</f>
        <v/>
      </c>
      <c r="FVI3" s="1" t="str" cm="1">
        <f t="array" ref="FVI3">GetValue("Dmn","Name",FVI2)</f>
        <v/>
      </c>
      <c r="FVJ3" s="1" t="str" cm="1">
        <f t="array" ref="FVJ3">GetValue("Dmn","Name",FVJ2)</f>
        <v/>
      </c>
      <c r="FVK3" s="1" t="str" cm="1">
        <f t="array" ref="FVK3">GetValue("Dmn","Name",FVK2)</f>
        <v/>
      </c>
      <c r="FVL3" s="1" t="str" cm="1">
        <f t="array" ref="FVL3">GetValue("Dmn","Name",FVL2)</f>
        <v/>
      </c>
      <c r="FVM3" s="1" t="str" cm="1">
        <f t="array" ref="FVM3">GetValue("Dmn","Name",FVM2)</f>
        <v/>
      </c>
      <c r="FVN3" s="1" t="str" cm="1">
        <f t="array" ref="FVN3">GetValue("Dmn","Name",FVN2)</f>
        <v/>
      </c>
      <c r="FVO3" s="1" t="str" cm="1">
        <f t="array" ref="FVO3">GetValue("Dmn","Name",FVO2)</f>
        <v/>
      </c>
      <c r="FVP3" s="1" t="str" cm="1">
        <f t="array" ref="FVP3">GetValue("Dmn","Name",FVP2)</f>
        <v/>
      </c>
      <c r="FVQ3" s="1" t="str" cm="1">
        <f t="array" ref="FVQ3">GetValue("Dmn","Name",FVQ2)</f>
        <v/>
      </c>
      <c r="FVR3" s="1" t="str" cm="1">
        <f t="array" ref="FVR3">GetValue("Dmn","Name",FVR2)</f>
        <v/>
      </c>
      <c r="FVS3" s="1" t="str" cm="1">
        <f t="array" ref="FVS3">GetValue("Dmn","Name",FVS2)</f>
        <v/>
      </c>
      <c r="FVT3" s="1" t="str" cm="1">
        <f t="array" ref="FVT3">GetValue("Dmn","Name",FVT2)</f>
        <v/>
      </c>
      <c r="FVU3" s="1" t="str" cm="1">
        <f t="array" ref="FVU3">GetValue("Dmn","Name",FVU2)</f>
        <v/>
      </c>
      <c r="FVV3" s="1" t="str" cm="1">
        <f t="array" ref="FVV3">GetValue("Dmn","Name",FVV2)</f>
        <v/>
      </c>
      <c r="FVW3" s="1" t="str" cm="1">
        <f t="array" ref="FVW3">GetValue("Dmn","Name",FVW2)</f>
        <v/>
      </c>
      <c r="FVX3" s="1" t="str" cm="1">
        <f t="array" ref="FVX3">GetValue("Dmn","Name",FVX2)</f>
        <v/>
      </c>
      <c r="FVY3" s="1" t="str" cm="1">
        <f t="array" ref="FVY3">GetValue("Dmn","Name",FVY2)</f>
        <v/>
      </c>
      <c r="FVZ3" s="1" t="str" cm="1">
        <f t="array" ref="FVZ3">GetValue("Dmn","Name",FVZ2)</f>
        <v/>
      </c>
      <c r="FWA3" s="1" t="str" cm="1">
        <f t="array" ref="FWA3">GetValue("Dmn","Name",FWA2)</f>
        <v/>
      </c>
      <c r="FWB3" s="1" t="str" cm="1">
        <f t="array" ref="FWB3">GetValue("Dmn","Name",FWB2)</f>
        <v/>
      </c>
      <c r="FWC3" s="1" t="str" cm="1">
        <f t="array" ref="FWC3">GetValue("Dmn","Name",FWC2)</f>
        <v/>
      </c>
      <c r="FWD3" s="1" t="str" cm="1">
        <f t="array" ref="FWD3">GetValue("Dmn","Name",FWD2)</f>
        <v/>
      </c>
      <c r="FWE3" s="1" t="str" cm="1">
        <f t="array" ref="FWE3">GetValue("Dmn","Name",FWE2)</f>
        <v/>
      </c>
      <c r="FWF3" s="1" t="str" cm="1">
        <f t="array" ref="FWF3">GetValue("Dmn","Name",FWF2)</f>
        <v/>
      </c>
      <c r="FWG3" s="1" t="str" cm="1">
        <f t="array" ref="FWG3">GetValue("Dmn","Name",FWG2)</f>
        <v/>
      </c>
      <c r="FWH3" s="1" t="str" cm="1">
        <f t="array" ref="FWH3">GetValue("Dmn","Name",FWH2)</f>
        <v/>
      </c>
      <c r="FWI3" s="1" t="str" cm="1">
        <f t="array" ref="FWI3">GetValue("Dmn","Name",FWI2)</f>
        <v/>
      </c>
      <c r="FWJ3" s="1" t="str" cm="1">
        <f t="array" ref="FWJ3">GetValue("Dmn","Name",FWJ2)</f>
        <v/>
      </c>
      <c r="FWK3" s="1" t="str" cm="1">
        <f t="array" ref="FWK3">GetValue("Dmn","Name",FWK2)</f>
        <v/>
      </c>
      <c r="FWL3" s="1" t="str" cm="1">
        <f t="array" ref="FWL3">GetValue("Dmn","Name",FWL2)</f>
        <v/>
      </c>
      <c r="FWM3" s="1" t="str" cm="1">
        <f t="array" ref="FWM3">GetValue("Dmn","Name",FWM2)</f>
        <v/>
      </c>
      <c r="FWN3" s="1" t="str" cm="1">
        <f t="array" ref="FWN3">GetValue("Dmn","Name",FWN2)</f>
        <v/>
      </c>
      <c r="FWO3" s="1" t="str" cm="1">
        <f t="array" ref="FWO3">GetValue("Dmn","Name",FWO2)</f>
        <v/>
      </c>
      <c r="FWP3" s="1" t="str" cm="1">
        <f t="array" ref="FWP3">GetValue("Dmn","Name",FWP2)</f>
        <v/>
      </c>
      <c r="FWQ3" s="1" t="str" cm="1">
        <f t="array" ref="FWQ3">GetValue("Dmn","Name",FWQ2)</f>
        <v/>
      </c>
      <c r="FWR3" s="1" t="str" cm="1">
        <f t="array" ref="FWR3">GetValue("Dmn","Name",FWR2)</f>
        <v/>
      </c>
      <c r="FWS3" s="1" t="str" cm="1">
        <f t="array" ref="FWS3">GetValue("Dmn","Name",FWS2)</f>
        <v/>
      </c>
      <c r="FWT3" s="1" t="str" cm="1">
        <f t="array" ref="FWT3">GetValue("Dmn","Name",FWT2)</f>
        <v/>
      </c>
      <c r="FWU3" s="1" t="str" cm="1">
        <f t="array" ref="FWU3">GetValue("Dmn","Name",FWU2)</f>
        <v/>
      </c>
      <c r="FWV3" s="1" t="str" cm="1">
        <f t="array" ref="FWV3">GetValue("Dmn","Name",FWV2)</f>
        <v/>
      </c>
      <c r="FWW3" s="1" t="str" cm="1">
        <f t="array" ref="FWW3">GetValue("Dmn","Name",FWW2)</f>
        <v/>
      </c>
      <c r="FWX3" s="1" t="str" cm="1">
        <f t="array" ref="FWX3">GetValue("Dmn","Name",FWX2)</f>
        <v/>
      </c>
      <c r="FWY3" s="1" t="str" cm="1">
        <f t="array" ref="FWY3">GetValue("Dmn","Name",FWY2)</f>
        <v/>
      </c>
      <c r="FWZ3" s="1" t="str" cm="1">
        <f t="array" ref="FWZ3">GetValue("Dmn","Name",FWZ2)</f>
        <v/>
      </c>
      <c r="FXA3" s="1" t="str" cm="1">
        <f t="array" ref="FXA3">GetValue("Dmn","Name",FXA2)</f>
        <v/>
      </c>
      <c r="FXB3" s="1" t="str" cm="1">
        <f t="array" ref="FXB3">GetValue("Dmn","Name",FXB2)</f>
        <v/>
      </c>
      <c r="FXC3" s="1" t="str" cm="1">
        <f t="array" ref="FXC3">GetValue("Dmn","Name",FXC2)</f>
        <v/>
      </c>
      <c r="FXD3" s="1" t="str" cm="1">
        <f t="array" ref="FXD3">GetValue("Dmn","Name",FXD2)</f>
        <v/>
      </c>
      <c r="FXE3" s="1" t="str" cm="1">
        <f t="array" ref="FXE3">GetValue("Dmn","Name",FXE2)</f>
        <v/>
      </c>
      <c r="FXF3" s="1" t="str" cm="1">
        <f t="array" ref="FXF3">GetValue("Dmn","Name",FXF2)</f>
        <v/>
      </c>
      <c r="FXG3" s="1" t="str" cm="1">
        <f t="array" ref="FXG3">GetValue("Dmn","Name",FXG2)</f>
        <v/>
      </c>
      <c r="FXH3" s="1" t="str" cm="1">
        <f t="array" ref="FXH3">GetValue("Dmn","Name",FXH2)</f>
        <v/>
      </c>
      <c r="FXI3" s="1" t="str" cm="1">
        <f t="array" ref="FXI3">GetValue("Dmn","Name",FXI2)</f>
        <v/>
      </c>
      <c r="FXJ3" s="1" t="str" cm="1">
        <f t="array" ref="FXJ3">GetValue("Dmn","Name",FXJ2)</f>
        <v/>
      </c>
      <c r="FXK3" s="1" t="str" cm="1">
        <f t="array" ref="FXK3">GetValue("Dmn","Name",FXK2)</f>
        <v/>
      </c>
      <c r="FXL3" s="1" t="str" cm="1">
        <f t="array" ref="FXL3">GetValue("Dmn","Name",FXL2)</f>
        <v/>
      </c>
      <c r="FXM3" s="1" t="str" cm="1">
        <f t="array" ref="FXM3">GetValue("Dmn","Name",FXM2)</f>
        <v/>
      </c>
      <c r="FXN3" s="1" t="str" cm="1">
        <f t="array" ref="FXN3">GetValue("Dmn","Name",FXN2)</f>
        <v/>
      </c>
      <c r="FXO3" s="1" t="str" cm="1">
        <f t="array" ref="FXO3">GetValue("Dmn","Name",FXO2)</f>
        <v/>
      </c>
      <c r="FXP3" s="1" t="str" cm="1">
        <f t="array" ref="FXP3">GetValue("Dmn","Name",FXP2)</f>
        <v/>
      </c>
      <c r="FXQ3" s="1" t="str" cm="1">
        <f t="array" ref="FXQ3">GetValue("Dmn","Name",FXQ2)</f>
        <v/>
      </c>
      <c r="FXR3" s="1" t="str" cm="1">
        <f t="array" ref="FXR3">GetValue("Dmn","Name",FXR2)</f>
        <v/>
      </c>
      <c r="FXS3" s="1" t="str" cm="1">
        <f t="array" ref="FXS3">GetValue("Dmn","Name",FXS2)</f>
        <v/>
      </c>
      <c r="FXT3" s="1" t="str" cm="1">
        <f t="array" ref="FXT3">GetValue("Dmn","Name",FXT2)</f>
        <v/>
      </c>
      <c r="FXU3" s="1" t="str" cm="1">
        <f t="array" ref="FXU3">GetValue("Dmn","Name",FXU2)</f>
        <v/>
      </c>
      <c r="FXV3" s="1" t="str" cm="1">
        <f t="array" ref="FXV3">GetValue("Dmn","Name",FXV2)</f>
        <v/>
      </c>
      <c r="FXW3" s="1" t="str" cm="1">
        <f t="array" ref="FXW3">GetValue("Dmn","Name",FXW2)</f>
        <v/>
      </c>
      <c r="FXX3" s="1" t="str" cm="1">
        <f t="array" ref="FXX3">GetValue("Dmn","Name",FXX2)</f>
        <v/>
      </c>
      <c r="FXY3" s="1" t="str" cm="1">
        <f t="array" ref="FXY3">GetValue("Dmn","Name",FXY2)</f>
        <v/>
      </c>
      <c r="FXZ3" s="1" t="str" cm="1">
        <f t="array" ref="FXZ3">GetValue("Dmn","Name",FXZ2)</f>
        <v/>
      </c>
      <c r="FYA3" s="1" t="str" cm="1">
        <f t="array" ref="FYA3">GetValue("Dmn","Name",FYA2)</f>
        <v/>
      </c>
      <c r="FYB3" s="1" t="str" cm="1">
        <f t="array" ref="FYB3">GetValue("Dmn","Name",FYB2)</f>
        <v/>
      </c>
      <c r="FYC3" s="1" t="str" cm="1">
        <f t="array" ref="FYC3">GetValue("Dmn","Name",FYC2)</f>
        <v/>
      </c>
      <c r="FYD3" s="1" t="str" cm="1">
        <f t="array" ref="FYD3">GetValue("Dmn","Name",FYD2)</f>
        <v/>
      </c>
      <c r="FYE3" s="1" t="str" cm="1">
        <f t="array" ref="FYE3">GetValue("Dmn","Name",FYE2)</f>
        <v/>
      </c>
      <c r="FYF3" s="1" t="str" cm="1">
        <f t="array" ref="FYF3">GetValue("Dmn","Name",FYF2)</f>
        <v/>
      </c>
      <c r="FYG3" s="1" t="str" cm="1">
        <f t="array" ref="FYG3">GetValue("Dmn","Name",FYG2)</f>
        <v/>
      </c>
      <c r="FYH3" s="1" t="str" cm="1">
        <f t="array" ref="FYH3">GetValue("Dmn","Name",FYH2)</f>
        <v/>
      </c>
      <c r="FYI3" s="1" t="str" cm="1">
        <f t="array" ref="FYI3">GetValue("Dmn","Name",FYI2)</f>
        <v/>
      </c>
      <c r="FYJ3" s="1" t="str" cm="1">
        <f t="array" ref="FYJ3">GetValue("Dmn","Name",FYJ2)</f>
        <v/>
      </c>
      <c r="FYK3" s="1" t="str" cm="1">
        <f t="array" ref="FYK3">GetValue("Dmn","Name",FYK2)</f>
        <v/>
      </c>
      <c r="FYL3" s="1" t="str" cm="1">
        <f t="array" ref="FYL3">GetValue("Dmn","Name",FYL2)</f>
        <v/>
      </c>
      <c r="FYM3" s="1" t="str" cm="1">
        <f t="array" ref="FYM3">GetValue("Dmn","Name",FYM2)</f>
        <v/>
      </c>
      <c r="FYN3" s="1" t="str" cm="1">
        <f t="array" ref="FYN3">GetValue("Dmn","Name",FYN2)</f>
        <v/>
      </c>
      <c r="FYO3" s="1" t="str" cm="1">
        <f t="array" ref="FYO3">GetValue("Dmn","Name",FYO2)</f>
        <v/>
      </c>
      <c r="FYP3" s="1" t="str" cm="1">
        <f t="array" ref="FYP3">GetValue("Dmn","Name",FYP2)</f>
        <v/>
      </c>
      <c r="FYQ3" s="1" t="str" cm="1">
        <f t="array" ref="FYQ3">GetValue("Dmn","Name",FYQ2)</f>
        <v/>
      </c>
      <c r="FYR3" s="1" t="str" cm="1">
        <f t="array" ref="FYR3">GetValue("Dmn","Name",FYR2)</f>
        <v/>
      </c>
      <c r="FYS3" s="1" t="str" cm="1">
        <f t="array" ref="FYS3">GetValue("Dmn","Name",FYS2)</f>
        <v/>
      </c>
      <c r="FYT3" s="1" t="str" cm="1">
        <f t="array" ref="FYT3">GetValue("Dmn","Name",FYT2)</f>
        <v/>
      </c>
      <c r="FYU3" s="1" t="str" cm="1">
        <f t="array" ref="FYU3">GetValue("Dmn","Name",FYU2)</f>
        <v/>
      </c>
      <c r="FYV3" s="1" t="str" cm="1">
        <f t="array" ref="FYV3">GetValue("Dmn","Name",FYV2)</f>
        <v/>
      </c>
      <c r="FYW3" s="1" t="str" cm="1">
        <f t="array" ref="FYW3">GetValue("Dmn","Name",FYW2)</f>
        <v/>
      </c>
      <c r="FYX3" s="1" t="str" cm="1">
        <f t="array" ref="FYX3">GetValue("Dmn","Name",FYX2)</f>
        <v/>
      </c>
      <c r="FYY3" s="1" t="str" cm="1">
        <f t="array" ref="FYY3">GetValue("Dmn","Name",FYY2)</f>
        <v/>
      </c>
      <c r="FYZ3" s="1" t="str" cm="1">
        <f t="array" ref="FYZ3">GetValue("Dmn","Name",FYZ2)</f>
        <v/>
      </c>
      <c r="FZA3" s="1" t="str" cm="1">
        <f t="array" ref="FZA3">GetValue("Dmn","Name",FZA2)</f>
        <v/>
      </c>
      <c r="FZB3" s="1" t="str" cm="1">
        <f t="array" ref="FZB3">GetValue("Dmn","Name",FZB2)</f>
        <v/>
      </c>
      <c r="FZC3" s="1" t="str" cm="1">
        <f t="array" ref="FZC3">GetValue("Dmn","Name",FZC2)</f>
        <v/>
      </c>
      <c r="FZD3" s="1" t="str" cm="1">
        <f t="array" ref="FZD3">GetValue("Dmn","Name",FZD2)</f>
        <v/>
      </c>
      <c r="FZE3" s="1" t="str" cm="1">
        <f t="array" ref="FZE3">GetValue("Dmn","Name",FZE2)</f>
        <v/>
      </c>
      <c r="FZF3" s="1" t="str" cm="1">
        <f t="array" ref="FZF3">GetValue("Dmn","Name",FZF2)</f>
        <v/>
      </c>
      <c r="FZG3" s="1" t="str" cm="1">
        <f t="array" ref="FZG3">GetValue("Dmn","Name",FZG2)</f>
        <v/>
      </c>
      <c r="FZH3" s="1" t="str" cm="1">
        <f t="array" ref="FZH3">GetValue("Dmn","Name",FZH2)</f>
        <v/>
      </c>
      <c r="FZI3" s="1" t="str" cm="1">
        <f t="array" ref="FZI3">GetValue("Dmn","Name",FZI2)</f>
        <v/>
      </c>
      <c r="FZJ3" s="1" t="str" cm="1">
        <f t="array" ref="FZJ3">GetValue("Dmn","Name",FZJ2)</f>
        <v/>
      </c>
      <c r="FZK3" s="1" t="str" cm="1">
        <f t="array" ref="FZK3">GetValue("Dmn","Name",FZK2)</f>
        <v/>
      </c>
      <c r="FZL3" s="1" t="str" cm="1">
        <f t="array" ref="FZL3">GetValue("Dmn","Name",FZL2)</f>
        <v/>
      </c>
      <c r="FZM3" s="1" t="str" cm="1">
        <f t="array" ref="FZM3">GetValue("Dmn","Name",FZM2)</f>
        <v/>
      </c>
      <c r="FZN3" s="1" t="str" cm="1">
        <f t="array" ref="FZN3">GetValue("Dmn","Name",FZN2)</f>
        <v/>
      </c>
      <c r="FZO3" s="1" t="str" cm="1">
        <f t="array" ref="FZO3">GetValue("Dmn","Name",FZO2)</f>
        <v/>
      </c>
      <c r="FZP3" s="1" t="str" cm="1">
        <f t="array" ref="FZP3">GetValue("Dmn","Name",FZP2)</f>
        <v/>
      </c>
      <c r="FZQ3" s="1" t="str" cm="1">
        <f t="array" ref="FZQ3">GetValue("Dmn","Name",FZQ2)</f>
        <v/>
      </c>
      <c r="FZR3" s="1" t="str" cm="1">
        <f t="array" ref="FZR3">GetValue("Dmn","Name",FZR2)</f>
        <v/>
      </c>
      <c r="FZS3" s="1" t="str" cm="1">
        <f t="array" ref="FZS3">GetValue("Dmn","Name",FZS2)</f>
        <v/>
      </c>
      <c r="FZT3" s="1" t="str" cm="1">
        <f t="array" ref="FZT3">GetValue("Dmn","Name",FZT2)</f>
        <v/>
      </c>
      <c r="FZU3" s="1" t="str" cm="1">
        <f t="array" ref="FZU3">GetValue("Dmn","Name",FZU2)</f>
        <v/>
      </c>
      <c r="FZV3" s="1" t="str" cm="1">
        <f t="array" ref="FZV3">GetValue("Dmn","Name",FZV2)</f>
        <v/>
      </c>
      <c r="FZW3" s="1" t="str" cm="1">
        <f t="array" ref="FZW3">GetValue("Dmn","Name",FZW2)</f>
        <v/>
      </c>
      <c r="FZX3" s="1" t="str" cm="1">
        <f t="array" ref="FZX3">GetValue("Dmn","Name",FZX2)</f>
        <v/>
      </c>
      <c r="FZY3" s="1" t="str" cm="1">
        <f t="array" ref="FZY3">GetValue("Dmn","Name",FZY2)</f>
        <v/>
      </c>
      <c r="FZZ3" s="1" t="str" cm="1">
        <f t="array" ref="FZZ3">GetValue("Dmn","Name",FZZ2)</f>
        <v/>
      </c>
      <c r="GAA3" s="1" t="str" cm="1">
        <f t="array" ref="GAA3">GetValue("Dmn","Name",GAA2)</f>
        <v/>
      </c>
      <c r="GAB3" s="1" t="str" cm="1">
        <f t="array" ref="GAB3">GetValue("Dmn","Name",GAB2)</f>
        <v/>
      </c>
      <c r="GAC3" s="1" t="str" cm="1">
        <f t="array" ref="GAC3">GetValue("Dmn","Name",GAC2)</f>
        <v/>
      </c>
      <c r="GAD3" s="1" t="str" cm="1">
        <f t="array" ref="GAD3">GetValue("Dmn","Name",GAD2)</f>
        <v/>
      </c>
      <c r="GAE3" s="1" t="str" cm="1">
        <f t="array" ref="GAE3">GetValue("Dmn","Name",GAE2)</f>
        <v/>
      </c>
      <c r="GAF3" s="1" t="str" cm="1">
        <f t="array" ref="GAF3">GetValue("Dmn","Name",GAF2)</f>
        <v/>
      </c>
      <c r="GAG3" s="1" t="str" cm="1">
        <f t="array" ref="GAG3">GetValue("Dmn","Name",GAG2)</f>
        <v/>
      </c>
      <c r="GAH3" s="1" t="str" cm="1">
        <f t="array" ref="GAH3">GetValue("Dmn","Name",GAH2)</f>
        <v/>
      </c>
      <c r="GAI3" s="1" t="str" cm="1">
        <f t="array" ref="GAI3">GetValue("Dmn","Name",GAI2)</f>
        <v/>
      </c>
      <c r="GAJ3" s="1" t="str" cm="1">
        <f t="array" ref="GAJ3">GetValue("Dmn","Name",GAJ2)</f>
        <v/>
      </c>
      <c r="GAK3" s="1" t="str" cm="1">
        <f t="array" ref="GAK3">GetValue("Dmn","Name",GAK2)</f>
        <v/>
      </c>
      <c r="GAL3" s="1" t="str" cm="1">
        <f t="array" ref="GAL3">GetValue("Dmn","Name",GAL2)</f>
        <v/>
      </c>
      <c r="GAM3" s="1" t="str" cm="1">
        <f t="array" ref="GAM3">GetValue("Dmn","Name",GAM2)</f>
        <v/>
      </c>
      <c r="GAN3" s="1" t="str" cm="1">
        <f t="array" ref="GAN3">GetValue("Dmn","Name",GAN2)</f>
        <v/>
      </c>
      <c r="GAO3" s="1" t="str" cm="1">
        <f t="array" ref="GAO3">GetValue("Dmn","Name",GAO2)</f>
        <v/>
      </c>
      <c r="GAP3" s="1" t="str" cm="1">
        <f t="array" ref="GAP3">GetValue("Dmn","Name",GAP2)</f>
        <v/>
      </c>
      <c r="GAQ3" s="1" t="str" cm="1">
        <f t="array" ref="GAQ3">GetValue("Dmn","Name",GAQ2)</f>
        <v/>
      </c>
      <c r="GAR3" s="1" t="str" cm="1">
        <f t="array" ref="GAR3">GetValue("Dmn","Name",GAR2)</f>
        <v/>
      </c>
      <c r="GAS3" s="1" t="str" cm="1">
        <f t="array" ref="GAS3">GetValue("Dmn","Name",GAS2)</f>
        <v/>
      </c>
      <c r="GAT3" s="1" t="str" cm="1">
        <f t="array" ref="GAT3">GetValue("Dmn","Name",GAT2)</f>
        <v/>
      </c>
      <c r="GAU3" s="1" t="str" cm="1">
        <f t="array" ref="GAU3">GetValue("Dmn","Name",GAU2)</f>
        <v/>
      </c>
      <c r="GAV3" s="1" t="str" cm="1">
        <f t="array" ref="GAV3">GetValue("Dmn","Name",GAV2)</f>
        <v/>
      </c>
      <c r="GAW3" s="1" t="str" cm="1">
        <f t="array" ref="GAW3">GetValue("Dmn","Name",GAW2)</f>
        <v/>
      </c>
      <c r="GAX3" s="1" t="str" cm="1">
        <f t="array" ref="GAX3">GetValue("Dmn","Name",GAX2)</f>
        <v/>
      </c>
      <c r="GAY3" s="1" t="str" cm="1">
        <f t="array" ref="GAY3">GetValue("Dmn","Name",GAY2)</f>
        <v/>
      </c>
      <c r="GAZ3" s="1" t="str" cm="1">
        <f t="array" ref="GAZ3">GetValue("Dmn","Name",GAZ2)</f>
        <v/>
      </c>
      <c r="GBA3" s="1" t="str" cm="1">
        <f t="array" ref="GBA3">GetValue("Dmn","Name",GBA2)</f>
        <v/>
      </c>
      <c r="GBB3" s="1" t="str" cm="1">
        <f t="array" ref="GBB3">GetValue("Dmn","Name",GBB2)</f>
        <v/>
      </c>
      <c r="GBC3" s="1" t="str" cm="1">
        <f t="array" ref="GBC3">GetValue("Dmn","Name",GBC2)</f>
        <v/>
      </c>
      <c r="GBD3" s="1" t="str" cm="1">
        <f t="array" ref="GBD3">GetValue("Dmn","Name",GBD2)</f>
        <v/>
      </c>
      <c r="GBE3" s="1" t="str" cm="1">
        <f t="array" ref="GBE3">GetValue("Dmn","Name",GBE2)</f>
        <v/>
      </c>
      <c r="GBF3" s="1" t="str" cm="1">
        <f t="array" ref="GBF3">GetValue("Dmn","Name",GBF2)</f>
        <v/>
      </c>
      <c r="GBG3" s="1" t="str" cm="1">
        <f t="array" ref="GBG3">GetValue("Dmn","Name",GBG2)</f>
        <v/>
      </c>
      <c r="GBH3" s="1" t="str" cm="1">
        <f t="array" ref="GBH3">GetValue("Dmn","Name",GBH2)</f>
        <v/>
      </c>
      <c r="GBI3" s="1" t="str" cm="1">
        <f t="array" ref="GBI3">GetValue("Dmn","Name",GBI2)</f>
        <v/>
      </c>
      <c r="GBJ3" s="1" t="str" cm="1">
        <f t="array" ref="GBJ3">GetValue("Dmn","Name",GBJ2)</f>
        <v/>
      </c>
      <c r="GBK3" s="1" t="str" cm="1">
        <f t="array" ref="GBK3">GetValue("Dmn","Name",GBK2)</f>
        <v/>
      </c>
      <c r="GBL3" s="1" t="str" cm="1">
        <f t="array" ref="GBL3">GetValue("Dmn","Name",GBL2)</f>
        <v/>
      </c>
      <c r="GBM3" s="1" t="str" cm="1">
        <f t="array" ref="GBM3">GetValue("Dmn","Name",GBM2)</f>
        <v/>
      </c>
      <c r="GBN3" s="1" t="str" cm="1">
        <f t="array" ref="GBN3">GetValue("Dmn","Name",GBN2)</f>
        <v/>
      </c>
      <c r="GBO3" s="1" t="str" cm="1">
        <f t="array" ref="GBO3">GetValue("Dmn","Name",GBO2)</f>
        <v/>
      </c>
      <c r="GBP3" s="1" t="str" cm="1">
        <f t="array" ref="GBP3">GetValue("Dmn","Name",GBP2)</f>
        <v/>
      </c>
      <c r="GBQ3" s="1" t="str" cm="1">
        <f t="array" ref="GBQ3">GetValue("Dmn","Name",GBQ2)</f>
        <v/>
      </c>
      <c r="GBR3" s="1" t="str" cm="1">
        <f t="array" ref="GBR3">GetValue("Dmn","Name",GBR2)</f>
        <v/>
      </c>
      <c r="GBS3" s="1" t="str" cm="1">
        <f t="array" ref="GBS3">GetValue("Dmn","Name",GBS2)</f>
        <v/>
      </c>
      <c r="GBT3" s="1" t="str" cm="1">
        <f t="array" ref="GBT3">GetValue("Dmn","Name",GBT2)</f>
        <v/>
      </c>
      <c r="GBU3" s="1" t="str" cm="1">
        <f t="array" ref="GBU3">GetValue("Dmn","Name",GBU2)</f>
        <v/>
      </c>
      <c r="GBV3" s="1" t="str" cm="1">
        <f t="array" ref="GBV3">GetValue("Dmn","Name",GBV2)</f>
        <v/>
      </c>
      <c r="GBW3" s="1" t="str" cm="1">
        <f t="array" ref="GBW3">GetValue("Dmn","Name",GBW2)</f>
        <v/>
      </c>
      <c r="GBX3" s="1" t="str" cm="1">
        <f t="array" ref="GBX3">GetValue("Dmn","Name",GBX2)</f>
        <v/>
      </c>
      <c r="GBY3" s="1" t="str" cm="1">
        <f t="array" ref="GBY3">GetValue("Dmn","Name",GBY2)</f>
        <v/>
      </c>
      <c r="GBZ3" s="1" t="str" cm="1">
        <f t="array" ref="GBZ3">GetValue("Dmn","Name",GBZ2)</f>
        <v/>
      </c>
      <c r="GCA3" s="1" t="str" cm="1">
        <f t="array" ref="GCA3">GetValue("Dmn","Name",GCA2)</f>
        <v/>
      </c>
      <c r="GCB3" s="1" t="str" cm="1">
        <f t="array" ref="GCB3">GetValue("Dmn","Name",GCB2)</f>
        <v/>
      </c>
      <c r="GCC3" s="1" t="str" cm="1">
        <f t="array" ref="GCC3">GetValue("Dmn","Name",GCC2)</f>
        <v/>
      </c>
      <c r="GCD3" s="1" t="str" cm="1">
        <f t="array" ref="GCD3">GetValue("Dmn","Name",GCD2)</f>
        <v/>
      </c>
      <c r="GCE3" s="1" t="str" cm="1">
        <f t="array" ref="GCE3">GetValue("Dmn","Name",GCE2)</f>
        <v/>
      </c>
      <c r="GCF3" s="1" t="str" cm="1">
        <f t="array" ref="GCF3">GetValue("Dmn","Name",GCF2)</f>
        <v/>
      </c>
      <c r="GCG3" s="1" t="str" cm="1">
        <f t="array" ref="GCG3">GetValue("Dmn","Name",GCG2)</f>
        <v/>
      </c>
      <c r="GCH3" s="1" t="str" cm="1">
        <f t="array" ref="GCH3">GetValue("Dmn","Name",GCH2)</f>
        <v/>
      </c>
      <c r="GCI3" s="1" t="str" cm="1">
        <f t="array" ref="GCI3">GetValue("Dmn","Name",GCI2)</f>
        <v/>
      </c>
      <c r="GCJ3" s="1" t="str" cm="1">
        <f t="array" ref="GCJ3">GetValue("Dmn","Name",GCJ2)</f>
        <v/>
      </c>
      <c r="GCK3" s="1" t="str" cm="1">
        <f t="array" ref="GCK3">GetValue("Dmn","Name",GCK2)</f>
        <v/>
      </c>
      <c r="GCL3" s="1" t="str" cm="1">
        <f t="array" ref="GCL3">GetValue("Dmn","Name",GCL2)</f>
        <v/>
      </c>
      <c r="GCM3" s="1" t="str" cm="1">
        <f t="array" ref="GCM3">GetValue("Dmn","Name",GCM2)</f>
        <v/>
      </c>
      <c r="GCN3" s="1" t="str" cm="1">
        <f t="array" ref="GCN3">GetValue("Dmn","Name",GCN2)</f>
        <v/>
      </c>
      <c r="GCO3" s="1" t="str" cm="1">
        <f t="array" ref="GCO3">GetValue("Dmn","Name",GCO2)</f>
        <v/>
      </c>
      <c r="GCP3" s="1" t="str" cm="1">
        <f t="array" ref="GCP3">GetValue("Dmn","Name",GCP2)</f>
        <v/>
      </c>
      <c r="GCQ3" s="1" t="str" cm="1">
        <f t="array" ref="GCQ3">GetValue("Dmn","Name",GCQ2)</f>
        <v/>
      </c>
      <c r="GCR3" s="1" t="str" cm="1">
        <f t="array" ref="GCR3">GetValue("Dmn","Name",GCR2)</f>
        <v/>
      </c>
      <c r="GCS3" s="1" t="str" cm="1">
        <f t="array" ref="GCS3">GetValue("Dmn","Name",GCS2)</f>
        <v/>
      </c>
      <c r="GCT3" s="1" t="str" cm="1">
        <f t="array" ref="GCT3">GetValue("Dmn","Name",GCT2)</f>
        <v/>
      </c>
      <c r="GCU3" s="1" t="str" cm="1">
        <f t="array" ref="GCU3">GetValue("Dmn","Name",GCU2)</f>
        <v/>
      </c>
      <c r="GCV3" s="1" t="str" cm="1">
        <f t="array" ref="GCV3">GetValue("Dmn","Name",GCV2)</f>
        <v/>
      </c>
      <c r="GCW3" s="1" t="str" cm="1">
        <f t="array" ref="GCW3">GetValue("Dmn","Name",GCW2)</f>
        <v/>
      </c>
      <c r="GCX3" s="1" t="str" cm="1">
        <f t="array" ref="GCX3">GetValue("Dmn","Name",GCX2)</f>
        <v/>
      </c>
      <c r="GCY3" s="1" t="str" cm="1">
        <f t="array" ref="GCY3">GetValue("Dmn","Name",GCY2)</f>
        <v/>
      </c>
      <c r="GCZ3" s="1" t="str" cm="1">
        <f t="array" ref="GCZ3">GetValue("Dmn","Name",GCZ2)</f>
        <v/>
      </c>
      <c r="GDA3" s="1" t="str" cm="1">
        <f t="array" ref="GDA3">GetValue("Dmn","Name",GDA2)</f>
        <v/>
      </c>
      <c r="GDB3" s="1" t="str" cm="1">
        <f t="array" ref="GDB3">GetValue("Dmn","Name",GDB2)</f>
        <v/>
      </c>
      <c r="GDC3" s="1" t="str" cm="1">
        <f t="array" ref="GDC3">GetValue("Dmn","Name",GDC2)</f>
        <v/>
      </c>
      <c r="GDD3" s="1" t="str" cm="1">
        <f t="array" ref="GDD3">GetValue("Dmn","Name",GDD2)</f>
        <v/>
      </c>
      <c r="GDE3" s="1" t="str" cm="1">
        <f t="array" ref="GDE3">GetValue("Dmn","Name",GDE2)</f>
        <v/>
      </c>
      <c r="GDF3" s="1" t="str" cm="1">
        <f t="array" ref="GDF3">GetValue("Dmn","Name",GDF2)</f>
        <v/>
      </c>
      <c r="GDG3" s="1" t="str" cm="1">
        <f t="array" ref="GDG3">GetValue("Dmn","Name",GDG2)</f>
        <v/>
      </c>
      <c r="GDH3" s="1" t="str" cm="1">
        <f t="array" ref="GDH3">GetValue("Dmn","Name",GDH2)</f>
        <v/>
      </c>
      <c r="GDI3" s="1" t="str" cm="1">
        <f t="array" ref="GDI3">GetValue("Dmn","Name",GDI2)</f>
        <v/>
      </c>
      <c r="GDJ3" s="1" t="str" cm="1">
        <f t="array" ref="GDJ3">GetValue("Dmn","Name",GDJ2)</f>
        <v/>
      </c>
      <c r="GDK3" s="1" t="str" cm="1">
        <f t="array" ref="GDK3">GetValue("Dmn","Name",GDK2)</f>
        <v/>
      </c>
      <c r="GDL3" s="1" t="str" cm="1">
        <f t="array" ref="GDL3">GetValue("Dmn","Name",GDL2)</f>
        <v/>
      </c>
      <c r="GDM3" s="1" t="str" cm="1">
        <f t="array" ref="GDM3">GetValue("Dmn","Name",GDM2)</f>
        <v/>
      </c>
      <c r="GDN3" s="1" t="str" cm="1">
        <f t="array" ref="GDN3">GetValue("Dmn","Name",GDN2)</f>
        <v/>
      </c>
      <c r="GDO3" s="1" t="str" cm="1">
        <f t="array" ref="GDO3">GetValue("Dmn","Name",GDO2)</f>
        <v/>
      </c>
      <c r="GDP3" s="1" t="str" cm="1">
        <f t="array" ref="GDP3">GetValue("Dmn","Name",GDP2)</f>
        <v/>
      </c>
      <c r="GDQ3" s="1" t="str" cm="1">
        <f t="array" ref="GDQ3">GetValue("Dmn","Name",GDQ2)</f>
        <v/>
      </c>
      <c r="GDR3" s="1" t="str" cm="1">
        <f t="array" ref="GDR3">GetValue("Dmn","Name",GDR2)</f>
        <v/>
      </c>
      <c r="GDS3" s="1" t="str" cm="1">
        <f t="array" ref="GDS3">GetValue("Dmn","Name",GDS2)</f>
        <v/>
      </c>
      <c r="GDT3" s="1" t="str" cm="1">
        <f t="array" ref="GDT3">GetValue("Dmn","Name",GDT2)</f>
        <v/>
      </c>
      <c r="GDU3" s="1" t="str" cm="1">
        <f t="array" ref="GDU3">GetValue("Dmn","Name",GDU2)</f>
        <v/>
      </c>
      <c r="GDV3" s="1" t="str" cm="1">
        <f t="array" ref="GDV3">GetValue("Dmn","Name",GDV2)</f>
        <v/>
      </c>
      <c r="GDW3" s="1" t="str" cm="1">
        <f t="array" ref="GDW3">GetValue("Dmn","Name",GDW2)</f>
        <v/>
      </c>
      <c r="GDX3" s="1" t="str" cm="1">
        <f t="array" ref="GDX3">GetValue("Dmn","Name",GDX2)</f>
        <v/>
      </c>
      <c r="GDY3" s="1" t="str" cm="1">
        <f t="array" ref="GDY3">GetValue("Dmn","Name",GDY2)</f>
        <v/>
      </c>
      <c r="GDZ3" s="1" t="str" cm="1">
        <f t="array" ref="GDZ3">GetValue("Dmn","Name",GDZ2)</f>
        <v/>
      </c>
      <c r="GEA3" s="1" t="str" cm="1">
        <f t="array" ref="GEA3">GetValue("Dmn","Name",GEA2)</f>
        <v/>
      </c>
      <c r="GEB3" s="1" t="str" cm="1">
        <f t="array" ref="GEB3">GetValue("Dmn","Name",GEB2)</f>
        <v/>
      </c>
      <c r="GEC3" s="1" t="str" cm="1">
        <f t="array" ref="GEC3">GetValue("Dmn","Name",GEC2)</f>
        <v/>
      </c>
      <c r="GED3" s="1" t="str" cm="1">
        <f t="array" ref="GED3">GetValue("Dmn","Name",GED2)</f>
        <v/>
      </c>
      <c r="GEE3" s="1" t="str" cm="1">
        <f t="array" ref="GEE3">GetValue("Dmn","Name",GEE2)</f>
        <v/>
      </c>
      <c r="GEF3" s="1" t="str" cm="1">
        <f t="array" ref="GEF3">GetValue("Dmn","Name",GEF2)</f>
        <v/>
      </c>
      <c r="GEG3" s="1" t="str" cm="1">
        <f t="array" ref="GEG3">GetValue("Dmn","Name",GEG2)</f>
        <v/>
      </c>
      <c r="GEH3" s="1" t="str" cm="1">
        <f t="array" ref="GEH3">GetValue("Dmn","Name",GEH2)</f>
        <v/>
      </c>
      <c r="GEI3" s="1" t="str" cm="1">
        <f t="array" ref="GEI3">GetValue("Dmn","Name",GEI2)</f>
        <v/>
      </c>
      <c r="GEJ3" s="1" t="str" cm="1">
        <f t="array" ref="GEJ3">GetValue("Dmn","Name",GEJ2)</f>
        <v/>
      </c>
      <c r="GEK3" s="1" t="str" cm="1">
        <f t="array" ref="GEK3">GetValue("Dmn","Name",GEK2)</f>
        <v/>
      </c>
      <c r="GEL3" s="1" t="str" cm="1">
        <f t="array" ref="GEL3">GetValue("Dmn","Name",GEL2)</f>
        <v/>
      </c>
      <c r="GEM3" s="1" t="str" cm="1">
        <f t="array" ref="GEM3">GetValue("Dmn","Name",GEM2)</f>
        <v/>
      </c>
      <c r="GEN3" s="1" t="str" cm="1">
        <f t="array" ref="GEN3">GetValue("Dmn","Name",GEN2)</f>
        <v/>
      </c>
      <c r="GEO3" s="1" t="str" cm="1">
        <f t="array" ref="GEO3">GetValue("Dmn","Name",GEO2)</f>
        <v/>
      </c>
      <c r="GEP3" s="1" t="str" cm="1">
        <f t="array" ref="GEP3">GetValue("Dmn","Name",GEP2)</f>
        <v/>
      </c>
      <c r="GEQ3" s="1" t="str" cm="1">
        <f t="array" ref="GEQ3">GetValue("Dmn","Name",GEQ2)</f>
        <v/>
      </c>
      <c r="GER3" s="1" t="str" cm="1">
        <f t="array" ref="GER3">GetValue("Dmn","Name",GER2)</f>
        <v/>
      </c>
      <c r="GES3" s="1" t="str" cm="1">
        <f t="array" ref="GES3">GetValue("Dmn","Name",GES2)</f>
        <v/>
      </c>
      <c r="GET3" s="1" t="str" cm="1">
        <f t="array" ref="GET3">GetValue("Dmn","Name",GET2)</f>
        <v/>
      </c>
      <c r="GEU3" s="1" t="str" cm="1">
        <f t="array" ref="GEU3">GetValue("Dmn","Name",GEU2)</f>
        <v/>
      </c>
      <c r="GEV3" s="1" t="str" cm="1">
        <f t="array" ref="GEV3">GetValue("Dmn","Name",GEV2)</f>
        <v/>
      </c>
      <c r="GEW3" s="1" t="str" cm="1">
        <f t="array" ref="GEW3">GetValue("Dmn","Name",GEW2)</f>
        <v/>
      </c>
      <c r="GEX3" s="1" t="str" cm="1">
        <f t="array" ref="GEX3">GetValue("Dmn","Name",GEX2)</f>
        <v/>
      </c>
      <c r="GEY3" s="1" t="str" cm="1">
        <f t="array" ref="GEY3">GetValue("Dmn","Name",GEY2)</f>
        <v/>
      </c>
      <c r="GEZ3" s="1" t="str" cm="1">
        <f t="array" ref="GEZ3">GetValue("Dmn","Name",GEZ2)</f>
        <v/>
      </c>
      <c r="GFA3" s="1" t="str" cm="1">
        <f t="array" ref="GFA3">GetValue("Dmn","Name",GFA2)</f>
        <v/>
      </c>
      <c r="GFB3" s="1" t="str" cm="1">
        <f t="array" ref="GFB3">GetValue("Dmn","Name",GFB2)</f>
        <v/>
      </c>
      <c r="GFC3" s="1" t="str" cm="1">
        <f t="array" ref="GFC3">GetValue("Dmn","Name",GFC2)</f>
        <v/>
      </c>
      <c r="GFD3" s="1" t="str" cm="1">
        <f t="array" ref="GFD3">GetValue("Dmn","Name",GFD2)</f>
        <v/>
      </c>
      <c r="GFE3" s="1" t="str" cm="1">
        <f t="array" ref="GFE3">GetValue("Dmn","Name",GFE2)</f>
        <v/>
      </c>
      <c r="GFF3" s="1" t="str" cm="1">
        <f t="array" ref="GFF3">GetValue("Dmn","Name",GFF2)</f>
        <v/>
      </c>
      <c r="GFG3" s="1" t="str" cm="1">
        <f t="array" ref="GFG3">GetValue("Dmn","Name",GFG2)</f>
        <v/>
      </c>
      <c r="GFH3" s="1" t="str" cm="1">
        <f t="array" ref="GFH3">GetValue("Dmn","Name",GFH2)</f>
        <v/>
      </c>
      <c r="GFI3" s="1" t="str" cm="1">
        <f t="array" ref="GFI3">GetValue("Dmn","Name",GFI2)</f>
        <v/>
      </c>
      <c r="GFJ3" s="1" t="str" cm="1">
        <f t="array" ref="GFJ3">GetValue("Dmn","Name",GFJ2)</f>
        <v/>
      </c>
      <c r="GFK3" s="1" t="str" cm="1">
        <f t="array" ref="GFK3">GetValue("Dmn","Name",GFK2)</f>
        <v/>
      </c>
      <c r="GFL3" s="1" t="str" cm="1">
        <f t="array" ref="GFL3">GetValue("Dmn","Name",GFL2)</f>
        <v/>
      </c>
      <c r="GFM3" s="1" t="str" cm="1">
        <f t="array" ref="GFM3">GetValue("Dmn","Name",GFM2)</f>
        <v/>
      </c>
      <c r="GFN3" s="1" t="str" cm="1">
        <f t="array" ref="GFN3">GetValue("Dmn","Name",GFN2)</f>
        <v/>
      </c>
      <c r="GFO3" s="1" t="str" cm="1">
        <f t="array" ref="GFO3">GetValue("Dmn","Name",GFO2)</f>
        <v/>
      </c>
      <c r="GFP3" s="1" t="str" cm="1">
        <f t="array" ref="GFP3">GetValue("Dmn","Name",GFP2)</f>
        <v/>
      </c>
      <c r="GFQ3" s="1" t="str" cm="1">
        <f t="array" ref="GFQ3">GetValue("Dmn","Name",GFQ2)</f>
        <v/>
      </c>
      <c r="GFR3" s="1" t="str" cm="1">
        <f t="array" ref="GFR3">GetValue("Dmn","Name",GFR2)</f>
        <v/>
      </c>
      <c r="GFS3" s="1" t="str" cm="1">
        <f t="array" ref="GFS3">GetValue("Dmn","Name",GFS2)</f>
        <v/>
      </c>
      <c r="GFT3" s="1" t="str" cm="1">
        <f t="array" ref="GFT3">GetValue("Dmn","Name",GFT2)</f>
        <v/>
      </c>
      <c r="GFU3" s="1" t="str" cm="1">
        <f t="array" ref="GFU3">GetValue("Dmn","Name",GFU2)</f>
        <v/>
      </c>
      <c r="GFV3" s="1" t="str" cm="1">
        <f t="array" ref="GFV3">GetValue("Dmn","Name",GFV2)</f>
        <v/>
      </c>
      <c r="GFW3" s="1" t="str" cm="1">
        <f t="array" ref="GFW3">GetValue("Dmn","Name",GFW2)</f>
        <v/>
      </c>
      <c r="GFX3" s="1" t="str" cm="1">
        <f t="array" ref="GFX3">GetValue("Dmn","Name",GFX2)</f>
        <v/>
      </c>
      <c r="GFY3" s="1" t="str" cm="1">
        <f t="array" ref="GFY3">GetValue("Dmn","Name",GFY2)</f>
        <v/>
      </c>
      <c r="GFZ3" s="1" t="str" cm="1">
        <f t="array" ref="GFZ3">GetValue("Dmn","Name",GFZ2)</f>
        <v/>
      </c>
      <c r="GGA3" s="1" t="str" cm="1">
        <f t="array" ref="GGA3">GetValue("Dmn","Name",GGA2)</f>
        <v/>
      </c>
      <c r="GGB3" s="1" t="str" cm="1">
        <f t="array" ref="GGB3">GetValue("Dmn","Name",GGB2)</f>
        <v/>
      </c>
      <c r="GGC3" s="1" t="str" cm="1">
        <f t="array" ref="GGC3">GetValue("Dmn","Name",GGC2)</f>
        <v/>
      </c>
      <c r="GGD3" s="1" t="str" cm="1">
        <f t="array" ref="GGD3">GetValue("Dmn","Name",GGD2)</f>
        <v/>
      </c>
      <c r="GGE3" s="1" t="str" cm="1">
        <f t="array" ref="GGE3">GetValue("Dmn","Name",GGE2)</f>
        <v/>
      </c>
      <c r="GGF3" s="1" t="str" cm="1">
        <f t="array" ref="GGF3">GetValue("Dmn","Name",GGF2)</f>
        <v/>
      </c>
      <c r="GGG3" s="1" t="str" cm="1">
        <f t="array" ref="GGG3">GetValue("Dmn","Name",GGG2)</f>
        <v/>
      </c>
      <c r="GGH3" s="1" t="str" cm="1">
        <f t="array" ref="GGH3">GetValue("Dmn","Name",GGH2)</f>
        <v/>
      </c>
      <c r="GGI3" s="1" t="str" cm="1">
        <f t="array" ref="GGI3">GetValue("Dmn","Name",GGI2)</f>
        <v/>
      </c>
      <c r="GGJ3" s="1" t="str" cm="1">
        <f t="array" ref="GGJ3">GetValue("Dmn","Name",GGJ2)</f>
        <v/>
      </c>
      <c r="GGK3" s="1" t="str" cm="1">
        <f t="array" ref="GGK3">GetValue("Dmn","Name",GGK2)</f>
        <v/>
      </c>
      <c r="GGL3" s="1" t="str" cm="1">
        <f t="array" ref="GGL3">GetValue("Dmn","Name",GGL2)</f>
        <v/>
      </c>
      <c r="GGM3" s="1" t="str" cm="1">
        <f t="array" ref="GGM3">GetValue("Dmn","Name",GGM2)</f>
        <v/>
      </c>
      <c r="GGN3" s="1" t="str" cm="1">
        <f t="array" ref="GGN3">GetValue("Dmn","Name",GGN2)</f>
        <v/>
      </c>
      <c r="GGO3" s="1" t="str" cm="1">
        <f t="array" ref="GGO3">GetValue("Dmn","Name",GGO2)</f>
        <v/>
      </c>
      <c r="GGP3" s="1" t="str" cm="1">
        <f t="array" ref="GGP3">GetValue("Dmn","Name",GGP2)</f>
        <v/>
      </c>
      <c r="GGQ3" s="1" t="str" cm="1">
        <f t="array" ref="GGQ3">GetValue("Dmn","Name",GGQ2)</f>
        <v/>
      </c>
      <c r="GGR3" s="1" t="str" cm="1">
        <f t="array" ref="GGR3">GetValue("Dmn","Name",GGR2)</f>
        <v/>
      </c>
      <c r="GGS3" s="1" t="str" cm="1">
        <f t="array" ref="GGS3">GetValue("Dmn","Name",GGS2)</f>
        <v/>
      </c>
      <c r="GGT3" s="1" t="str" cm="1">
        <f t="array" ref="GGT3">GetValue("Dmn","Name",GGT2)</f>
        <v/>
      </c>
      <c r="GGU3" s="1" t="str" cm="1">
        <f t="array" ref="GGU3">GetValue("Dmn","Name",GGU2)</f>
        <v/>
      </c>
      <c r="GGV3" s="1" t="str" cm="1">
        <f t="array" ref="GGV3">GetValue("Dmn","Name",GGV2)</f>
        <v/>
      </c>
      <c r="GGW3" s="1" t="str" cm="1">
        <f t="array" ref="GGW3">GetValue("Dmn","Name",GGW2)</f>
        <v/>
      </c>
      <c r="GGX3" s="1" t="str" cm="1">
        <f t="array" ref="GGX3">GetValue("Dmn","Name",GGX2)</f>
        <v/>
      </c>
      <c r="GGY3" s="1" t="str" cm="1">
        <f t="array" ref="GGY3">GetValue("Dmn","Name",GGY2)</f>
        <v/>
      </c>
      <c r="GGZ3" s="1" t="str" cm="1">
        <f t="array" ref="GGZ3">GetValue("Dmn","Name",GGZ2)</f>
        <v/>
      </c>
      <c r="GHA3" s="1" t="str" cm="1">
        <f t="array" ref="GHA3">GetValue("Dmn","Name",GHA2)</f>
        <v/>
      </c>
      <c r="GHB3" s="1" t="str" cm="1">
        <f t="array" ref="GHB3">GetValue("Dmn","Name",GHB2)</f>
        <v/>
      </c>
      <c r="GHC3" s="1" t="str" cm="1">
        <f t="array" ref="GHC3">GetValue("Dmn","Name",GHC2)</f>
        <v/>
      </c>
      <c r="GHD3" s="1" t="str" cm="1">
        <f t="array" ref="GHD3">GetValue("Dmn","Name",GHD2)</f>
        <v/>
      </c>
      <c r="GHE3" s="1" t="str" cm="1">
        <f t="array" ref="GHE3">GetValue("Dmn","Name",GHE2)</f>
        <v/>
      </c>
      <c r="GHF3" s="1" t="str" cm="1">
        <f t="array" ref="GHF3">GetValue("Dmn","Name",GHF2)</f>
        <v/>
      </c>
      <c r="GHG3" s="1" t="str" cm="1">
        <f t="array" ref="GHG3">GetValue("Dmn","Name",GHG2)</f>
        <v/>
      </c>
      <c r="GHH3" s="1" t="str" cm="1">
        <f t="array" ref="GHH3">GetValue("Dmn","Name",GHH2)</f>
        <v/>
      </c>
      <c r="GHI3" s="1" t="str" cm="1">
        <f t="array" ref="GHI3">GetValue("Dmn","Name",GHI2)</f>
        <v/>
      </c>
      <c r="GHJ3" s="1" t="str" cm="1">
        <f t="array" ref="GHJ3">GetValue("Dmn","Name",GHJ2)</f>
        <v/>
      </c>
      <c r="GHK3" s="1" t="str" cm="1">
        <f t="array" ref="GHK3">GetValue("Dmn","Name",GHK2)</f>
        <v/>
      </c>
      <c r="GHL3" s="1" t="str" cm="1">
        <f t="array" ref="GHL3">GetValue("Dmn","Name",GHL2)</f>
        <v/>
      </c>
      <c r="GHM3" s="1" t="str" cm="1">
        <f t="array" ref="GHM3">GetValue("Dmn","Name",GHM2)</f>
        <v/>
      </c>
      <c r="GHN3" s="1" t="str" cm="1">
        <f t="array" ref="GHN3">GetValue("Dmn","Name",GHN2)</f>
        <v/>
      </c>
      <c r="GHO3" s="1" t="str" cm="1">
        <f t="array" ref="GHO3">GetValue("Dmn","Name",GHO2)</f>
        <v/>
      </c>
      <c r="GHP3" s="1" t="str" cm="1">
        <f t="array" ref="GHP3">GetValue("Dmn","Name",GHP2)</f>
        <v/>
      </c>
      <c r="GHQ3" s="1" t="str" cm="1">
        <f t="array" ref="GHQ3">GetValue("Dmn","Name",GHQ2)</f>
        <v/>
      </c>
      <c r="GHR3" s="1" t="str" cm="1">
        <f t="array" ref="GHR3">GetValue("Dmn","Name",GHR2)</f>
        <v/>
      </c>
      <c r="GHS3" s="1" t="str" cm="1">
        <f t="array" ref="GHS3">GetValue("Dmn","Name",GHS2)</f>
        <v/>
      </c>
      <c r="GHT3" s="1" t="str" cm="1">
        <f t="array" ref="GHT3">GetValue("Dmn","Name",GHT2)</f>
        <v/>
      </c>
      <c r="GHU3" s="1" t="str" cm="1">
        <f t="array" ref="GHU3">GetValue("Dmn","Name",GHU2)</f>
        <v/>
      </c>
      <c r="GHV3" s="1" t="str" cm="1">
        <f t="array" ref="GHV3">GetValue("Dmn","Name",GHV2)</f>
        <v/>
      </c>
      <c r="GHW3" s="1" t="str" cm="1">
        <f t="array" ref="GHW3">GetValue("Dmn","Name",GHW2)</f>
        <v/>
      </c>
      <c r="GHX3" s="1" t="str" cm="1">
        <f t="array" ref="GHX3">GetValue("Dmn","Name",GHX2)</f>
        <v/>
      </c>
      <c r="GHY3" s="1" t="str" cm="1">
        <f t="array" ref="GHY3">GetValue("Dmn","Name",GHY2)</f>
        <v/>
      </c>
      <c r="GHZ3" s="1" t="str" cm="1">
        <f t="array" ref="GHZ3">GetValue("Dmn","Name",GHZ2)</f>
        <v/>
      </c>
      <c r="GIA3" s="1" t="str" cm="1">
        <f t="array" ref="GIA3">GetValue("Dmn","Name",GIA2)</f>
        <v/>
      </c>
      <c r="GIB3" s="1" t="str" cm="1">
        <f t="array" ref="GIB3">GetValue("Dmn","Name",GIB2)</f>
        <v/>
      </c>
      <c r="GIC3" s="1" t="str" cm="1">
        <f t="array" ref="GIC3">GetValue("Dmn","Name",GIC2)</f>
        <v/>
      </c>
      <c r="GID3" s="1" t="str" cm="1">
        <f t="array" ref="GID3">GetValue("Dmn","Name",GID2)</f>
        <v/>
      </c>
      <c r="GIE3" s="1" t="str" cm="1">
        <f t="array" ref="GIE3">GetValue("Dmn","Name",GIE2)</f>
        <v/>
      </c>
      <c r="GIF3" s="1" t="str" cm="1">
        <f t="array" ref="GIF3">GetValue("Dmn","Name",GIF2)</f>
        <v/>
      </c>
      <c r="GIG3" s="1" t="str" cm="1">
        <f t="array" ref="GIG3">GetValue("Dmn","Name",GIG2)</f>
        <v/>
      </c>
      <c r="GIH3" s="1" t="str" cm="1">
        <f t="array" ref="GIH3">GetValue("Dmn","Name",GIH2)</f>
        <v/>
      </c>
      <c r="GII3" s="1" t="str" cm="1">
        <f t="array" ref="GII3">GetValue("Dmn","Name",GII2)</f>
        <v/>
      </c>
      <c r="GIJ3" s="1" t="str" cm="1">
        <f t="array" ref="GIJ3">GetValue("Dmn","Name",GIJ2)</f>
        <v/>
      </c>
      <c r="GIK3" s="1" t="str" cm="1">
        <f t="array" ref="GIK3">GetValue("Dmn","Name",GIK2)</f>
        <v/>
      </c>
      <c r="GIL3" s="1" t="str" cm="1">
        <f t="array" ref="GIL3">GetValue("Dmn","Name",GIL2)</f>
        <v/>
      </c>
      <c r="GIM3" s="1" t="str" cm="1">
        <f t="array" ref="GIM3">GetValue("Dmn","Name",GIM2)</f>
        <v/>
      </c>
      <c r="GIN3" s="1" t="str" cm="1">
        <f t="array" ref="GIN3">GetValue("Dmn","Name",GIN2)</f>
        <v/>
      </c>
      <c r="GIO3" s="1" t="str" cm="1">
        <f t="array" ref="GIO3">GetValue("Dmn","Name",GIO2)</f>
        <v/>
      </c>
      <c r="GIP3" s="1" t="str" cm="1">
        <f t="array" ref="GIP3">GetValue("Dmn","Name",GIP2)</f>
        <v/>
      </c>
      <c r="GIQ3" s="1" t="str" cm="1">
        <f t="array" ref="GIQ3">GetValue("Dmn","Name",GIQ2)</f>
        <v/>
      </c>
      <c r="GIR3" s="1" t="str" cm="1">
        <f t="array" ref="GIR3">GetValue("Dmn","Name",GIR2)</f>
        <v/>
      </c>
      <c r="GIS3" s="1" t="str" cm="1">
        <f t="array" ref="GIS3">GetValue("Dmn","Name",GIS2)</f>
        <v/>
      </c>
      <c r="GIT3" s="1" t="str" cm="1">
        <f t="array" ref="GIT3">GetValue("Dmn","Name",GIT2)</f>
        <v/>
      </c>
      <c r="GIU3" s="1" t="str" cm="1">
        <f t="array" ref="GIU3">GetValue("Dmn","Name",GIU2)</f>
        <v/>
      </c>
      <c r="GIV3" s="1" t="str" cm="1">
        <f t="array" ref="GIV3">GetValue("Dmn","Name",GIV2)</f>
        <v/>
      </c>
      <c r="GIW3" s="1" t="str" cm="1">
        <f t="array" ref="GIW3">GetValue("Dmn","Name",GIW2)</f>
        <v/>
      </c>
      <c r="GIX3" s="1" t="str" cm="1">
        <f t="array" ref="GIX3">GetValue("Dmn","Name",GIX2)</f>
        <v/>
      </c>
      <c r="GIY3" s="1" t="str" cm="1">
        <f t="array" ref="GIY3">GetValue("Dmn","Name",GIY2)</f>
        <v/>
      </c>
      <c r="GIZ3" s="1" t="str" cm="1">
        <f t="array" ref="GIZ3">GetValue("Dmn","Name",GIZ2)</f>
        <v/>
      </c>
      <c r="GJA3" s="1" t="str" cm="1">
        <f t="array" ref="GJA3">GetValue("Dmn","Name",GJA2)</f>
        <v/>
      </c>
      <c r="GJB3" s="1" t="str" cm="1">
        <f t="array" ref="GJB3">GetValue("Dmn","Name",GJB2)</f>
        <v/>
      </c>
      <c r="GJC3" s="1" t="str" cm="1">
        <f t="array" ref="GJC3">GetValue("Dmn","Name",GJC2)</f>
        <v/>
      </c>
      <c r="GJD3" s="1" t="str" cm="1">
        <f t="array" ref="GJD3">GetValue("Dmn","Name",GJD2)</f>
        <v/>
      </c>
      <c r="GJE3" s="1" t="str" cm="1">
        <f t="array" ref="GJE3">GetValue("Dmn","Name",GJE2)</f>
        <v/>
      </c>
      <c r="GJF3" s="1" t="str" cm="1">
        <f t="array" ref="GJF3">GetValue("Dmn","Name",GJF2)</f>
        <v/>
      </c>
      <c r="GJG3" s="1" t="str" cm="1">
        <f t="array" ref="GJG3">GetValue("Dmn","Name",GJG2)</f>
        <v/>
      </c>
      <c r="GJH3" s="1" t="str" cm="1">
        <f t="array" ref="GJH3">GetValue("Dmn","Name",GJH2)</f>
        <v/>
      </c>
      <c r="GJI3" s="1" t="str" cm="1">
        <f t="array" ref="GJI3">GetValue("Dmn","Name",GJI2)</f>
        <v/>
      </c>
      <c r="GJJ3" s="1" t="str" cm="1">
        <f t="array" ref="GJJ3">GetValue("Dmn","Name",GJJ2)</f>
        <v/>
      </c>
      <c r="GJK3" s="1" t="str" cm="1">
        <f t="array" ref="GJK3">GetValue("Dmn","Name",GJK2)</f>
        <v/>
      </c>
      <c r="GJL3" s="1" t="str" cm="1">
        <f t="array" ref="GJL3">GetValue("Dmn","Name",GJL2)</f>
        <v/>
      </c>
      <c r="GJM3" s="1" t="str" cm="1">
        <f t="array" ref="GJM3">GetValue("Dmn","Name",GJM2)</f>
        <v/>
      </c>
      <c r="GJN3" s="1" t="str" cm="1">
        <f t="array" ref="GJN3">GetValue("Dmn","Name",GJN2)</f>
        <v/>
      </c>
      <c r="GJO3" s="1" t="str" cm="1">
        <f t="array" ref="GJO3">GetValue("Dmn","Name",GJO2)</f>
        <v/>
      </c>
      <c r="GJP3" s="1" t="str" cm="1">
        <f t="array" ref="GJP3">GetValue("Dmn","Name",GJP2)</f>
        <v/>
      </c>
      <c r="GJQ3" s="1" t="str" cm="1">
        <f t="array" ref="GJQ3">GetValue("Dmn","Name",GJQ2)</f>
        <v/>
      </c>
      <c r="GJR3" s="1" t="str" cm="1">
        <f t="array" ref="GJR3">GetValue("Dmn","Name",GJR2)</f>
        <v/>
      </c>
      <c r="GJS3" s="1" t="str" cm="1">
        <f t="array" ref="GJS3">GetValue("Dmn","Name",GJS2)</f>
        <v/>
      </c>
      <c r="GJT3" s="1" t="str" cm="1">
        <f t="array" ref="GJT3">GetValue("Dmn","Name",GJT2)</f>
        <v/>
      </c>
      <c r="GJU3" s="1" t="str" cm="1">
        <f t="array" ref="GJU3">GetValue("Dmn","Name",GJU2)</f>
        <v/>
      </c>
      <c r="GJV3" s="1" t="str" cm="1">
        <f t="array" ref="GJV3">GetValue("Dmn","Name",GJV2)</f>
        <v/>
      </c>
      <c r="GJW3" s="1" t="str" cm="1">
        <f t="array" ref="GJW3">GetValue("Dmn","Name",GJW2)</f>
        <v/>
      </c>
      <c r="GJX3" s="1" t="str" cm="1">
        <f t="array" ref="GJX3">GetValue("Dmn","Name",GJX2)</f>
        <v/>
      </c>
      <c r="GJY3" s="1" t="str" cm="1">
        <f t="array" ref="GJY3">GetValue("Dmn","Name",GJY2)</f>
        <v/>
      </c>
      <c r="GJZ3" s="1" t="str" cm="1">
        <f t="array" ref="GJZ3">GetValue("Dmn","Name",GJZ2)</f>
        <v/>
      </c>
      <c r="GKA3" s="1" t="str" cm="1">
        <f t="array" ref="GKA3">GetValue("Dmn","Name",GKA2)</f>
        <v/>
      </c>
      <c r="GKB3" s="1" t="str" cm="1">
        <f t="array" ref="GKB3">GetValue("Dmn","Name",GKB2)</f>
        <v/>
      </c>
      <c r="GKC3" s="1" t="str" cm="1">
        <f t="array" ref="GKC3">GetValue("Dmn","Name",GKC2)</f>
        <v/>
      </c>
      <c r="GKD3" s="1" t="str" cm="1">
        <f t="array" ref="GKD3">GetValue("Dmn","Name",GKD2)</f>
        <v/>
      </c>
      <c r="GKE3" s="1" t="str" cm="1">
        <f t="array" ref="GKE3">GetValue("Dmn","Name",GKE2)</f>
        <v/>
      </c>
      <c r="GKF3" s="1" t="str" cm="1">
        <f t="array" ref="GKF3">GetValue("Dmn","Name",GKF2)</f>
        <v/>
      </c>
      <c r="GKG3" s="1" t="str" cm="1">
        <f t="array" ref="GKG3">GetValue("Dmn","Name",GKG2)</f>
        <v/>
      </c>
      <c r="GKH3" s="1" t="str" cm="1">
        <f t="array" ref="GKH3">GetValue("Dmn","Name",GKH2)</f>
        <v/>
      </c>
      <c r="GKI3" s="1" t="str" cm="1">
        <f t="array" ref="GKI3">GetValue("Dmn","Name",GKI2)</f>
        <v/>
      </c>
      <c r="GKJ3" s="1" t="str" cm="1">
        <f t="array" ref="GKJ3">GetValue("Dmn","Name",GKJ2)</f>
        <v/>
      </c>
      <c r="GKK3" s="1" t="str" cm="1">
        <f t="array" ref="GKK3">GetValue("Dmn","Name",GKK2)</f>
        <v/>
      </c>
      <c r="GKL3" s="1" t="str" cm="1">
        <f t="array" ref="GKL3">GetValue("Dmn","Name",GKL2)</f>
        <v/>
      </c>
      <c r="GKM3" s="1" t="str" cm="1">
        <f t="array" ref="GKM3">GetValue("Dmn","Name",GKM2)</f>
        <v/>
      </c>
      <c r="GKN3" s="1" t="str" cm="1">
        <f t="array" ref="GKN3">GetValue("Dmn","Name",GKN2)</f>
        <v/>
      </c>
      <c r="GKO3" s="1" t="str" cm="1">
        <f t="array" ref="GKO3">GetValue("Dmn","Name",GKO2)</f>
        <v/>
      </c>
      <c r="GKP3" s="1" t="str" cm="1">
        <f t="array" ref="GKP3">GetValue("Dmn","Name",GKP2)</f>
        <v/>
      </c>
      <c r="GKQ3" s="1" t="str" cm="1">
        <f t="array" ref="GKQ3">GetValue("Dmn","Name",GKQ2)</f>
        <v/>
      </c>
      <c r="GKR3" s="1" t="str" cm="1">
        <f t="array" ref="GKR3">GetValue("Dmn","Name",GKR2)</f>
        <v/>
      </c>
      <c r="GKS3" s="1" t="str" cm="1">
        <f t="array" ref="GKS3">GetValue("Dmn","Name",GKS2)</f>
        <v/>
      </c>
      <c r="GKT3" s="1" t="str" cm="1">
        <f t="array" ref="GKT3">GetValue("Dmn","Name",GKT2)</f>
        <v/>
      </c>
      <c r="GKU3" s="1" t="str" cm="1">
        <f t="array" ref="GKU3">GetValue("Dmn","Name",GKU2)</f>
        <v/>
      </c>
      <c r="GKV3" s="1" t="str" cm="1">
        <f t="array" ref="GKV3">GetValue("Dmn","Name",GKV2)</f>
        <v/>
      </c>
      <c r="GKW3" s="1" t="str" cm="1">
        <f t="array" ref="GKW3">GetValue("Dmn","Name",GKW2)</f>
        <v/>
      </c>
      <c r="GKX3" s="1" t="str" cm="1">
        <f t="array" ref="GKX3">GetValue("Dmn","Name",GKX2)</f>
        <v/>
      </c>
      <c r="GKY3" s="1" t="str" cm="1">
        <f t="array" ref="GKY3">GetValue("Dmn","Name",GKY2)</f>
        <v/>
      </c>
      <c r="GKZ3" s="1" t="str" cm="1">
        <f t="array" ref="GKZ3">GetValue("Dmn","Name",GKZ2)</f>
        <v/>
      </c>
      <c r="GLA3" s="1" t="str" cm="1">
        <f t="array" ref="GLA3">GetValue("Dmn","Name",GLA2)</f>
        <v/>
      </c>
      <c r="GLB3" s="1" t="str" cm="1">
        <f t="array" ref="GLB3">GetValue("Dmn","Name",GLB2)</f>
        <v/>
      </c>
      <c r="GLC3" s="1" t="str" cm="1">
        <f t="array" ref="GLC3">GetValue("Dmn","Name",GLC2)</f>
        <v/>
      </c>
      <c r="GLD3" s="1" t="str" cm="1">
        <f t="array" ref="GLD3">GetValue("Dmn","Name",GLD2)</f>
        <v/>
      </c>
      <c r="GLE3" s="1" t="str" cm="1">
        <f t="array" ref="GLE3">GetValue("Dmn","Name",GLE2)</f>
        <v/>
      </c>
      <c r="GLF3" s="1" t="str" cm="1">
        <f t="array" ref="GLF3">GetValue("Dmn","Name",GLF2)</f>
        <v/>
      </c>
      <c r="GLG3" s="1" t="str" cm="1">
        <f t="array" ref="GLG3">GetValue("Dmn","Name",GLG2)</f>
        <v/>
      </c>
      <c r="GLH3" s="1" t="str" cm="1">
        <f t="array" ref="GLH3">GetValue("Dmn","Name",GLH2)</f>
        <v/>
      </c>
      <c r="GLI3" s="1" t="str" cm="1">
        <f t="array" ref="GLI3">GetValue("Dmn","Name",GLI2)</f>
        <v/>
      </c>
      <c r="GLJ3" s="1" t="str" cm="1">
        <f t="array" ref="GLJ3">GetValue("Dmn","Name",GLJ2)</f>
        <v/>
      </c>
      <c r="GLK3" s="1" t="str" cm="1">
        <f t="array" ref="GLK3">GetValue("Dmn","Name",GLK2)</f>
        <v/>
      </c>
      <c r="GLL3" s="1" t="str" cm="1">
        <f t="array" ref="GLL3">GetValue("Dmn","Name",GLL2)</f>
        <v/>
      </c>
      <c r="GLM3" s="1" t="str" cm="1">
        <f t="array" ref="GLM3">GetValue("Dmn","Name",GLM2)</f>
        <v/>
      </c>
      <c r="GLN3" s="1" t="str" cm="1">
        <f t="array" ref="GLN3">GetValue("Dmn","Name",GLN2)</f>
        <v/>
      </c>
      <c r="GLO3" s="1" t="str" cm="1">
        <f t="array" ref="GLO3">GetValue("Dmn","Name",GLO2)</f>
        <v/>
      </c>
      <c r="GLP3" s="1" t="str" cm="1">
        <f t="array" ref="GLP3">GetValue("Dmn","Name",GLP2)</f>
        <v/>
      </c>
      <c r="GLQ3" s="1" t="str" cm="1">
        <f t="array" ref="GLQ3">GetValue("Dmn","Name",GLQ2)</f>
        <v/>
      </c>
      <c r="GLR3" s="1" t="str" cm="1">
        <f t="array" ref="GLR3">GetValue("Dmn","Name",GLR2)</f>
        <v/>
      </c>
      <c r="GLS3" s="1" t="str" cm="1">
        <f t="array" ref="GLS3">GetValue("Dmn","Name",GLS2)</f>
        <v/>
      </c>
      <c r="GLT3" s="1" t="str" cm="1">
        <f t="array" ref="GLT3">GetValue("Dmn","Name",GLT2)</f>
        <v/>
      </c>
      <c r="GLU3" s="1" t="str" cm="1">
        <f t="array" ref="GLU3">GetValue("Dmn","Name",GLU2)</f>
        <v/>
      </c>
      <c r="GLV3" s="1" t="str" cm="1">
        <f t="array" ref="GLV3">GetValue("Dmn","Name",GLV2)</f>
        <v/>
      </c>
      <c r="GLW3" s="1" t="str" cm="1">
        <f t="array" ref="GLW3">GetValue("Dmn","Name",GLW2)</f>
        <v/>
      </c>
      <c r="GLX3" s="1" t="str" cm="1">
        <f t="array" ref="GLX3">GetValue("Dmn","Name",GLX2)</f>
        <v/>
      </c>
      <c r="GLY3" s="1" t="str" cm="1">
        <f t="array" ref="GLY3">GetValue("Dmn","Name",GLY2)</f>
        <v/>
      </c>
      <c r="GLZ3" s="1" t="str" cm="1">
        <f t="array" ref="GLZ3">GetValue("Dmn","Name",GLZ2)</f>
        <v/>
      </c>
      <c r="GMA3" s="1" t="str" cm="1">
        <f t="array" ref="GMA3">GetValue("Dmn","Name",GMA2)</f>
        <v/>
      </c>
      <c r="GMB3" s="1" t="str" cm="1">
        <f t="array" ref="GMB3">GetValue("Dmn","Name",GMB2)</f>
        <v/>
      </c>
      <c r="GMC3" s="1" t="str" cm="1">
        <f t="array" ref="GMC3">GetValue("Dmn","Name",GMC2)</f>
        <v/>
      </c>
      <c r="GMD3" s="1" t="str" cm="1">
        <f t="array" ref="GMD3">GetValue("Dmn","Name",GMD2)</f>
        <v/>
      </c>
      <c r="GME3" s="1" t="str" cm="1">
        <f t="array" ref="GME3">GetValue("Dmn","Name",GME2)</f>
        <v/>
      </c>
      <c r="GMF3" s="1" t="str" cm="1">
        <f t="array" ref="GMF3">GetValue("Dmn","Name",GMF2)</f>
        <v/>
      </c>
      <c r="GMG3" s="1" t="str" cm="1">
        <f t="array" ref="GMG3">GetValue("Dmn","Name",GMG2)</f>
        <v/>
      </c>
      <c r="GMH3" s="1" t="str" cm="1">
        <f t="array" ref="GMH3">GetValue("Dmn","Name",GMH2)</f>
        <v/>
      </c>
      <c r="GMI3" s="1" t="str" cm="1">
        <f t="array" ref="GMI3">GetValue("Dmn","Name",GMI2)</f>
        <v/>
      </c>
      <c r="GMJ3" s="1" t="str" cm="1">
        <f t="array" ref="GMJ3">GetValue("Dmn","Name",GMJ2)</f>
        <v/>
      </c>
      <c r="GMK3" s="1" t="str" cm="1">
        <f t="array" ref="GMK3">GetValue("Dmn","Name",GMK2)</f>
        <v/>
      </c>
      <c r="GML3" s="1" t="str" cm="1">
        <f t="array" ref="GML3">GetValue("Dmn","Name",GML2)</f>
        <v/>
      </c>
      <c r="GMM3" s="1" t="str" cm="1">
        <f t="array" ref="GMM3">GetValue("Dmn","Name",GMM2)</f>
        <v/>
      </c>
      <c r="GMN3" s="1" t="str" cm="1">
        <f t="array" ref="GMN3">GetValue("Dmn","Name",GMN2)</f>
        <v/>
      </c>
      <c r="GMO3" s="1" t="str" cm="1">
        <f t="array" ref="GMO3">GetValue("Dmn","Name",GMO2)</f>
        <v/>
      </c>
      <c r="GMP3" s="1" t="str" cm="1">
        <f t="array" ref="GMP3">GetValue("Dmn","Name",GMP2)</f>
        <v/>
      </c>
      <c r="GMQ3" s="1" t="str" cm="1">
        <f t="array" ref="GMQ3">GetValue("Dmn","Name",GMQ2)</f>
        <v/>
      </c>
      <c r="GMR3" s="1" t="str" cm="1">
        <f t="array" ref="GMR3">GetValue("Dmn","Name",GMR2)</f>
        <v/>
      </c>
      <c r="GMS3" s="1" t="str" cm="1">
        <f t="array" ref="GMS3">GetValue("Dmn","Name",GMS2)</f>
        <v/>
      </c>
      <c r="GMT3" s="1" t="str" cm="1">
        <f t="array" ref="GMT3">GetValue("Dmn","Name",GMT2)</f>
        <v/>
      </c>
      <c r="GMU3" s="1" t="str" cm="1">
        <f t="array" ref="GMU3">GetValue("Dmn","Name",GMU2)</f>
        <v/>
      </c>
      <c r="GMV3" s="1" t="str" cm="1">
        <f t="array" ref="GMV3">GetValue("Dmn","Name",GMV2)</f>
        <v/>
      </c>
      <c r="GMW3" s="1" t="str" cm="1">
        <f t="array" ref="GMW3">GetValue("Dmn","Name",GMW2)</f>
        <v/>
      </c>
      <c r="GMX3" s="1" t="str" cm="1">
        <f t="array" ref="GMX3">GetValue("Dmn","Name",GMX2)</f>
        <v/>
      </c>
      <c r="GMY3" s="1" t="str" cm="1">
        <f t="array" ref="GMY3">GetValue("Dmn","Name",GMY2)</f>
        <v/>
      </c>
      <c r="GMZ3" s="1" t="str" cm="1">
        <f t="array" ref="GMZ3">GetValue("Dmn","Name",GMZ2)</f>
        <v/>
      </c>
      <c r="GNA3" s="1" t="str" cm="1">
        <f t="array" ref="GNA3">GetValue("Dmn","Name",GNA2)</f>
        <v/>
      </c>
      <c r="GNB3" s="1" t="str" cm="1">
        <f t="array" ref="GNB3">GetValue("Dmn","Name",GNB2)</f>
        <v/>
      </c>
      <c r="GNC3" s="1" t="str" cm="1">
        <f t="array" ref="GNC3">GetValue("Dmn","Name",GNC2)</f>
        <v/>
      </c>
      <c r="GND3" s="1" t="str" cm="1">
        <f t="array" ref="GND3">GetValue("Dmn","Name",GND2)</f>
        <v/>
      </c>
      <c r="GNE3" s="1" t="str" cm="1">
        <f t="array" ref="GNE3">GetValue("Dmn","Name",GNE2)</f>
        <v/>
      </c>
      <c r="GNF3" s="1" t="str" cm="1">
        <f t="array" ref="GNF3">GetValue("Dmn","Name",GNF2)</f>
        <v/>
      </c>
      <c r="GNG3" s="1" t="str" cm="1">
        <f t="array" ref="GNG3">GetValue("Dmn","Name",GNG2)</f>
        <v/>
      </c>
      <c r="GNH3" s="1" t="str" cm="1">
        <f t="array" ref="GNH3">GetValue("Dmn","Name",GNH2)</f>
        <v/>
      </c>
      <c r="GNI3" s="1" t="str" cm="1">
        <f t="array" ref="GNI3">GetValue("Dmn","Name",GNI2)</f>
        <v/>
      </c>
      <c r="GNJ3" s="1" t="str" cm="1">
        <f t="array" ref="GNJ3">GetValue("Dmn","Name",GNJ2)</f>
        <v/>
      </c>
      <c r="GNK3" s="1" t="str" cm="1">
        <f t="array" ref="GNK3">GetValue("Dmn","Name",GNK2)</f>
        <v/>
      </c>
      <c r="GNL3" s="1" t="str" cm="1">
        <f t="array" ref="GNL3">GetValue("Dmn","Name",GNL2)</f>
        <v/>
      </c>
      <c r="GNM3" s="1" t="str" cm="1">
        <f t="array" ref="GNM3">GetValue("Dmn","Name",GNM2)</f>
        <v/>
      </c>
      <c r="GNN3" s="1" t="str" cm="1">
        <f t="array" ref="GNN3">GetValue("Dmn","Name",GNN2)</f>
        <v/>
      </c>
      <c r="GNO3" s="1" t="str" cm="1">
        <f t="array" ref="GNO3">GetValue("Dmn","Name",GNO2)</f>
        <v/>
      </c>
      <c r="GNP3" s="1" t="str" cm="1">
        <f t="array" ref="GNP3">GetValue("Dmn","Name",GNP2)</f>
        <v/>
      </c>
      <c r="GNQ3" s="1" t="str" cm="1">
        <f t="array" ref="GNQ3">GetValue("Dmn","Name",GNQ2)</f>
        <v/>
      </c>
      <c r="GNR3" s="1" t="str" cm="1">
        <f t="array" ref="GNR3">GetValue("Dmn","Name",GNR2)</f>
        <v/>
      </c>
      <c r="GNS3" s="1" t="str" cm="1">
        <f t="array" ref="GNS3">GetValue("Dmn","Name",GNS2)</f>
        <v/>
      </c>
      <c r="GNT3" s="1" t="str" cm="1">
        <f t="array" ref="GNT3">GetValue("Dmn","Name",GNT2)</f>
        <v/>
      </c>
      <c r="GNU3" s="1" t="str" cm="1">
        <f t="array" ref="GNU3">GetValue("Dmn","Name",GNU2)</f>
        <v/>
      </c>
      <c r="GNV3" s="1" t="str" cm="1">
        <f t="array" ref="GNV3">GetValue("Dmn","Name",GNV2)</f>
        <v/>
      </c>
      <c r="GNW3" s="1" t="str" cm="1">
        <f t="array" ref="GNW3">GetValue("Dmn","Name",GNW2)</f>
        <v/>
      </c>
      <c r="GNX3" s="1" t="str" cm="1">
        <f t="array" ref="GNX3">GetValue("Dmn","Name",GNX2)</f>
        <v/>
      </c>
      <c r="GNY3" s="1" t="str" cm="1">
        <f t="array" ref="GNY3">GetValue("Dmn","Name",GNY2)</f>
        <v/>
      </c>
      <c r="GNZ3" s="1" t="str" cm="1">
        <f t="array" ref="GNZ3">GetValue("Dmn","Name",GNZ2)</f>
        <v/>
      </c>
      <c r="GOA3" s="1" t="str" cm="1">
        <f t="array" ref="GOA3">GetValue("Dmn","Name",GOA2)</f>
        <v/>
      </c>
      <c r="GOB3" s="1" t="str" cm="1">
        <f t="array" ref="GOB3">GetValue("Dmn","Name",GOB2)</f>
        <v/>
      </c>
      <c r="GOC3" s="1" t="str" cm="1">
        <f t="array" ref="GOC3">GetValue("Dmn","Name",GOC2)</f>
        <v/>
      </c>
      <c r="GOD3" s="1" t="str" cm="1">
        <f t="array" ref="GOD3">GetValue("Dmn","Name",GOD2)</f>
        <v/>
      </c>
      <c r="GOE3" s="1" t="str" cm="1">
        <f t="array" ref="GOE3">GetValue("Dmn","Name",GOE2)</f>
        <v/>
      </c>
      <c r="GOF3" s="1" t="str" cm="1">
        <f t="array" ref="GOF3">GetValue("Dmn","Name",GOF2)</f>
        <v/>
      </c>
      <c r="GOG3" s="1" t="str" cm="1">
        <f t="array" ref="GOG3">GetValue("Dmn","Name",GOG2)</f>
        <v/>
      </c>
      <c r="GOH3" s="1" t="str" cm="1">
        <f t="array" ref="GOH3">GetValue("Dmn","Name",GOH2)</f>
        <v/>
      </c>
      <c r="GOI3" s="1" t="str" cm="1">
        <f t="array" ref="GOI3">GetValue("Dmn","Name",GOI2)</f>
        <v/>
      </c>
      <c r="GOJ3" s="1" t="str" cm="1">
        <f t="array" ref="GOJ3">GetValue("Dmn","Name",GOJ2)</f>
        <v/>
      </c>
      <c r="GOK3" s="1" t="str" cm="1">
        <f t="array" ref="GOK3">GetValue("Dmn","Name",GOK2)</f>
        <v/>
      </c>
      <c r="GOL3" s="1" t="str" cm="1">
        <f t="array" ref="GOL3">GetValue("Dmn","Name",GOL2)</f>
        <v/>
      </c>
      <c r="GOM3" s="1" t="str" cm="1">
        <f t="array" ref="GOM3">GetValue("Dmn","Name",GOM2)</f>
        <v/>
      </c>
      <c r="GON3" s="1" t="str" cm="1">
        <f t="array" ref="GON3">GetValue("Dmn","Name",GON2)</f>
        <v/>
      </c>
      <c r="GOO3" s="1" t="str" cm="1">
        <f t="array" ref="GOO3">GetValue("Dmn","Name",GOO2)</f>
        <v/>
      </c>
      <c r="GOP3" s="1" t="str" cm="1">
        <f t="array" ref="GOP3">GetValue("Dmn","Name",GOP2)</f>
        <v/>
      </c>
      <c r="GOQ3" s="1" t="str" cm="1">
        <f t="array" ref="GOQ3">GetValue("Dmn","Name",GOQ2)</f>
        <v/>
      </c>
      <c r="GOR3" s="1" t="str" cm="1">
        <f t="array" ref="GOR3">GetValue("Dmn","Name",GOR2)</f>
        <v/>
      </c>
      <c r="GOS3" s="1" t="str" cm="1">
        <f t="array" ref="GOS3">GetValue("Dmn","Name",GOS2)</f>
        <v/>
      </c>
      <c r="GOT3" s="1" t="str" cm="1">
        <f t="array" ref="GOT3">GetValue("Dmn","Name",GOT2)</f>
        <v/>
      </c>
      <c r="GOU3" s="1" t="str" cm="1">
        <f t="array" ref="GOU3">GetValue("Dmn","Name",GOU2)</f>
        <v/>
      </c>
      <c r="GOV3" s="1" t="str" cm="1">
        <f t="array" ref="GOV3">GetValue("Dmn","Name",GOV2)</f>
        <v/>
      </c>
      <c r="GOW3" s="1" t="str" cm="1">
        <f t="array" ref="GOW3">GetValue("Dmn","Name",GOW2)</f>
        <v/>
      </c>
      <c r="GOX3" s="1" t="str" cm="1">
        <f t="array" ref="GOX3">GetValue("Dmn","Name",GOX2)</f>
        <v/>
      </c>
      <c r="GOY3" s="1" t="str" cm="1">
        <f t="array" ref="GOY3">GetValue("Dmn","Name",GOY2)</f>
        <v/>
      </c>
      <c r="GOZ3" s="1" t="str" cm="1">
        <f t="array" ref="GOZ3">GetValue("Dmn","Name",GOZ2)</f>
        <v/>
      </c>
      <c r="GPA3" s="1" t="str" cm="1">
        <f t="array" ref="GPA3">GetValue("Dmn","Name",GPA2)</f>
        <v/>
      </c>
      <c r="GPB3" s="1" t="str" cm="1">
        <f t="array" ref="GPB3">GetValue("Dmn","Name",GPB2)</f>
        <v/>
      </c>
      <c r="GPC3" s="1" t="str" cm="1">
        <f t="array" ref="GPC3">GetValue("Dmn","Name",GPC2)</f>
        <v/>
      </c>
      <c r="GPD3" s="1" t="str" cm="1">
        <f t="array" ref="GPD3">GetValue("Dmn","Name",GPD2)</f>
        <v/>
      </c>
      <c r="GPE3" s="1" t="str" cm="1">
        <f t="array" ref="GPE3">GetValue("Dmn","Name",GPE2)</f>
        <v/>
      </c>
      <c r="GPF3" s="1" t="str" cm="1">
        <f t="array" ref="GPF3">GetValue("Dmn","Name",GPF2)</f>
        <v/>
      </c>
      <c r="GPG3" s="1" t="str" cm="1">
        <f t="array" ref="GPG3">GetValue("Dmn","Name",GPG2)</f>
        <v/>
      </c>
      <c r="GPH3" s="1" t="str" cm="1">
        <f t="array" ref="GPH3">GetValue("Dmn","Name",GPH2)</f>
        <v/>
      </c>
      <c r="GPI3" s="1" t="str" cm="1">
        <f t="array" ref="GPI3">GetValue("Dmn","Name",GPI2)</f>
        <v/>
      </c>
      <c r="GPJ3" s="1" t="str" cm="1">
        <f t="array" ref="GPJ3">GetValue("Dmn","Name",GPJ2)</f>
        <v/>
      </c>
      <c r="GPK3" s="1" t="str" cm="1">
        <f t="array" ref="GPK3">GetValue("Dmn","Name",GPK2)</f>
        <v/>
      </c>
      <c r="GPL3" s="1" t="str" cm="1">
        <f t="array" ref="GPL3">GetValue("Dmn","Name",GPL2)</f>
        <v/>
      </c>
      <c r="GPM3" s="1" t="str" cm="1">
        <f t="array" ref="GPM3">GetValue("Dmn","Name",GPM2)</f>
        <v/>
      </c>
      <c r="GPN3" s="1" t="str" cm="1">
        <f t="array" ref="GPN3">GetValue("Dmn","Name",GPN2)</f>
        <v/>
      </c>
      <c r="GPO3" s="1" t="str" cm="1">
        <f t="array" ref="GPO3">GetValue("Dmn","Name",GPO2)</f>
        <v/>
      </c>
      <c r="GPP3" s="1" t="str" cm="1">
        <f t="array" ref="GPP3">GetValue("Dmn","Name",GPP2)</f>
        <v/>
      </c>
      <c r="GPQ3" s="1" t="str" cm="1">
        <f t="array" ref="GPQ3">GetValue("Dmn","Name",GPQ2)</f>
        <v/>
      </c>
      <c r="GPR3" s="1" t="str" cm="1">
        <f t="array" ref="GPR3">GetValue("Dmn","Name",GPR2)</f>
        <v/>
      </c>
      <c r="GPS3" s="1" t="str" cm="1">
        <f t="array" ref="GPS3">GetValue("Dmn","Name",GPS2)</f>
        <v/>
      </c>
      <c r="GPT3" s="1" t="str" cm="1">
        <f t="array" ref="GPT3">GetValue("Dmn","Name",GPT2)</f>
        <v/>
      </c>
      <c r="GPU3" s="1" t="str" cm="1">
        <f t="array" ref="GPU3">GetValue("Dmn","Name",GPU2)</f>
        <v/>
      </c>
      <c r="GPV3" s="1" t="str" cm="1">
        <f t="array" ref="GPV3">GetValue("Dmn","Name",GPV2)</f>
        <v/>
      </c>
      <c r="GPW3" s="1" t="str" cm="1">
        <f t="array" ref="GPW3">GetValue("Dmn","Name",GPW2)</f>
        <v/>
      </c>
      <c r="GPX3" s="1" t="str" cm="1">
        <f t="array" ref="GPX3">GetValue("Dmn","Name",GPX2)</f>
        <v/>
      </c>
      <c r="GPY3" s="1" t="str" cm="1">
        <f t="array" ref="GPY3">GetValue("Dmn","Name",GPY2)</f>
        <v/>
      </c>
      <c r="GPZ3" s="1" t="str" cm="1">
        <f t="array" ref="GPZ3">GetValue("Dmn","Name",GPZ2)</f>
        <v/>
      </c>
      <c r="GQA3" s="1" t="str" cm="1">
        <f t="array" ref="GQA3">GetValue("Dmn","Name",GQA2)</f>
        <v/>
      </c>
      <c r="GQB3" s="1" t="str" cm="1">
        <f t="array" ref="GQB3">GetValue("Dmn","Name",GQB2)</f>
        <v/>
      </c>
      <c r="GQC3" s="1" t="str" cm="1">
        <f t="array" ref="GQC3">GetValue("Dmn","Name",GQC2)</f>
        <v/>
      </c>
      <c r="GQD3" s="1" t="str" cm="1">
        <f t="array" ref="GQD3">GetValue("Dmn","Name",GQD2)</f>
        <v/>
      </c>
      <c r="GQE3" s="1" t="str" cm="1">
        <f t="array" ref="GQE3">GetValue("Dmn","Name",GQE2)</f>
        <v/>
      </c>
      <c r="GQF3" s="1" t="str" cm="1">
        <f t="array" ref="GQF3">GetValue("Dmn","Name",GQF2)</f>
        <v/>
      </c>
      <c r="GQG3" s="1" t="str" cm="1">
        <f t="array" ref="GQG3">GetValue("Dmn","Name",GQG2)</f>
        <v/>
      </c>
      <c r="GQH3" s="1" t="str" cm="1">
        <f t="array" ref="GQH3">GetValue("Dmn","Name",GQH2)</f>
        <v/>
      </c>
      <c r="GQI3" s="1" t="str" cm="1">
        <f t="array" ref="GQI3">GetValue("Dmn","Name",GQI2)</f>
        <v/>
      </c>
      <c r="GQJ3" s="1" t="str" cm="1">
        <f t="array" ref="GQJ3">GetValue("Dmn","Name",GQJ2)</f>
        <v/>
      </c>
      <c r="GQK3" s="1" t="str" cm="1">
        <f t="array" ref="GQK3">GetValue("Dmn","Name",GQK2)</f>
        <v/>
      </c>
      <c r="GQL3" s="1" t="str" cm="1">
        <f t="array" ref="GQL3">GetValue("Dmn","Name",GQL2)</f>
        <v/>
      </c>
      <c r="GQM3" s="1" t="str" cm="1">
        <f t="array" ref="GQM3">GetValue("Dmn","Name",GQM2)</f>
        <v/>
      </c>
      <c r="GQN3" s="1" t="str" cm="1">
        <f t="array" ref="GQN3">GetValue("Dmn","Name",GQN2)</f>
        <v/>
      </c>
      <c r="GQO3" s="1" t="str" cm="1">
        <f t="array" ref="GQO3">GetValue("Dmn","Name",GQO2)</f>
        <v/>
      </c>
      <c r="GQP3" s="1" t="str" cm="1">
        <f t="array" ref="GQP3">GetValue("Dmn","Name",GQP2)</f>
        <v/>
      </c>
      <c r="GQQ3" s="1" t="str" cm="1">
        <f t="array" ref="GQQ3">GetValue("Dmn","Name",GQQ2)</f>
        <v/>
      </c>
      <c r="GQR3" s="1" t="str" cm="1">
        <f t="array" ref="GQR3">GetValue("Dmn","Name",GQR2)</f>
        <v/>
      </c>
      <c r="GQS3" s="1" t="str" cm="1">
        <f t="array" ref="GQS3">GetValue("Dmn","Name",GQS2)</f>
        <v/>
      </c>
      <c r="GQT3" s="1" t="str" cm="1">
        <f t="array" ref="GQT3">GetValue("Dmn","Name",GQT2)</f>
        <v/>
      </c>
      <c r="GQU3" s="1" t="str" cm="1">
        <f t="array" ref="GQU3">GetValue("Dmn","Name",GQU2)</f>
        <v/>
      </c>
      <c r="GQV3" s="1" t="str" cm="1">
        <f t="array" ref="GQV3">GetValue("Dmn","Name",GQV2)</f>
        <v/>
      </c>
      <c r="GQW3" s="1" t="str" cm="1">
        <f t="array" ref="GQW3">GetValue("Dmn","Name",GQW2)</f>
        <v/>
      </c>
      <c r="GQX3" s="1" t="str" cm="1">
        <f t="array" ref="GQX3">GetValue("Dmn","Name",GQX2)</f>
        <v/>
      </c>
      <c r="GQY3" s="1" t="str" cm="1">
        <f t="array" ref="GQY3">GetValue("Dmn","Name",GQY2)</f>
        <v/>
      </c>
      <c r="GQZ3" s="1" t="str" cm="1">
        <f t="array" ref="GQZ3">GetValue("Dmn","Name",GQZ2)</f>
        <v/>
      </c>
      <c r="GRA3" s="1" t="str" cm="1">
        <f t="array" ref="GRA3">GetValue("Dmn","Name",GRA2)</f>
        <v/>
      </c>
      <c r="GRB3" s="1" t="str" cm="1">
        <f t="array" ref="GRB3">GetValue("Dmn","Name",GRB2)</f>
        <v/>
      </c>
      <c r="GRC3" s="1" t="str" cm="1">
        <f t="array" ref="GRC3">GetValue("Dmn","Name",GRC2)</f>
        <v/>
      </c>
      <c r="GRD3" s="1" t="str" cm="1">
        <f t="array" ref="GRD3">GetValue("Dmn","Name",GRD2)</f>
        <v/>
      </c>
      <c r="GRE3" s="1" t="str" cm="1">
        <f t="array" ref="GRE3">GetValue("Dmn","Name",GRE2)</f>
        <v/>
      </c>
      <c r="GRF3" s="1" t="str" cm="1">
        <f t="array" ref="GRF3">GetValue("Dmn","Name",GRF2)</f>
        <v/>
      </c>
      <c r="GRG3" s="1" t="str" cm="1">
        <f t="array" ref="GRG3">GetValue("Dmn","Name",GRG2)</f>
        <v/>
      </c>
      <c r="GRH3" s="1" t="str" cm="1">
        <f t="array" ref="GRH3">GetValue("Dmn","Name",GRH2)</f>
        <v/>
      </c>
      <c r="GRI3" s="1" t="str" cm="1">
        <f t="array" ref="GRI3">GetValue("Dmn","Name",GRI2)</f>
        <v/>
      </c>
      <c r="GRJ3" s="1" t="str" cm="1">
        <f t="array" ref="GRJ3">GetValue("Dmn","Name",GRJ2)</f>
        <v/>
      </c>
      <c r="GRK3" s="1" t="str" cm="1">
        <f t="array" ref="GRK3">GetValue("Dmn","Name",GRK2)</f>
        <v/>
      </c>
      <c r="GRL3" s="1" t="str" cm="1">
        <f t="array" ref="GRL3">GetValue("Dmn","Name",GRL2)</f>
        <v/>
      </c>
      <c r="GRM3" s="1" t="str" cm="1">
        <f t="array" ref="GRM3">GetValue("Dmn","Name",GRM2)</f>
        <v/>
      </c>
      <c r="GRN3" s="1" t="str" cm="1">
        <f t="array" ref="GRN3">GetValue("Dmn","Name",GRN2)</f>
        <v/>
      </c>
      <c r="GRO3" s="1" t="str" cm="1">
        <f t="array" ref="GRO3">GetValue("Dmn","Name",GRO2)</f>
        <v/>
      </c>
      <c r="GRP3" s="1" t="str" cm="1">
        <f t="array" ref="GRP3">GetValue("Dmn","Name",GRP2)</f>
        <v/>
      </c>
      <c r="GRQ3" s="1" t="str" cm="1">
        <f t="array" ref="GRQ3">GetValue("Dmn","Name",GRQ2)</f>
        <v/>
      </c>
      <c r="GRR3" s="1" t="str" cm="1">
        <f t="array" ref="GRR3">GetValue("Dmn","Name",GRR2)</f>
        <v/>
      </c>
      <c r="GRS3" s="1" t="str" cm="1">
        <f t="array" ref="GRS3">GetValue("Dmn","Name",GRS2)</f>
        <v/>
      </c>
      <c r="GRT3" s="1" t="str" cm="1">
        <f t="array" ref="GRT3">GetValue("Dmn","Name",GRT2)</f>
        <v/>
      </c>
      <c r="GRU3" s="1" t="str" cm="1">
        <f t="array" ref="GRU3">GetValue("Dmn","Name",GRU2)</f>
        <v/>
      </c>
      <c r="GRV3" s="1" t="str" cm="1">
        <f t="array" ref="GRV3">GetValue("Dmn","Name",GRV2)</f>
        <v/>
      </c>
      <c r="GRW3" s="1" t="str" cm="1">
        <f t="array" ref="GRW3">GetValue("Dmn","Name",GRW2)</f>
        <v/>
      </c>
      <c r="GRX3" s="1" t="str" cm="1">
        <f t="array" ref="GRX3">GetValue("Dmn","Name",GRX2)</f>
        <v/>
      </c>
      <c r="GRY3" s="1" t="str" cm="1">
        <f t="array" ref="GRY3">GetValue("Dmn","Name",GRY2)</f>
        <v/>
      </c>
      <c r="GRZ3" s="1" t="str" cm="1">
        <f t="array" ref="GRZ3">GetValue("Dmn","Name",GRZ2)</f>
        <v/>
      </c>
      <c r="GSA3" s="1" t="str" cm="1">
        <f t="array" ref="GSA3">GetValue("Dmn","Name",GSA2)</f>
        <v/>
      </c>
      <c r="GSB3" s="1" t="str" cm="1">
        <f t="array" ref="GSB3">GetValue("Dmn","Name",GSB2)</f>
        <v/>
      </c>
      <c r="GSC3" s="1" t="str" cm="1">
        <f t="array" ref="GSC3">GetValue("Dmn","Name",GSC2)</f>
        <v/>
      </c>
      <c r="GSD3" s="1" t="str" cm="1">
        <f t="array" ref="GSD3">GetValue("Dmn","Name",GSD2)</f>
        <v/>
      </c>
      <c r="GSE3" s="1" t="str" cm="1">
        <f t="array" ref="GSE3">GetValue("Dmn","Name",GSE2)</f>
        <v/>
      </c>
      <c r="GSF3" s="1" t="str" cm="1">
        <f t="array" ref="GSF3">GetValue("Dmn","Name",GSF2)</f>
        <v/>
      </c>
      <c r="GSG3" s="1" t="str" cm="1">
        <f t="array" ref="GSG3">GetValue("Dmn","Name",GSG2)</f>
        <v/>
      </c>
      <c r="GSH3" s="1" t="str" cm="1">
        <f t="array" ref="GSH3">GetValue("Dmn","Name",GSH2)</f>
        <v/>
      </c>
      <c r="GSI3" s="1" t="str" cm="1">
        <f t="array" ref="GSI3">GetValue("Dmn","Name",GSI2)</f>
        <v/>
      </c>
      <c r="GSJ3" s="1" t="str" cm="1">
        <f t="array" ref="GSJ3">GetValue("Dmn","Name",GSJ2)</f>
        <v/>
      </c>
      <c r="GSK3" s="1" t="str" cm="1">
        <f t="array" ref="GSK3">GetValue("Dmn","Name",GSK2)</f>
        <v/>
      </c>
      <c r="GSL3" s="1" t="str" cm="1">
        <f t="array" ref="GSL3">GetValue("Dmn","Name",GSL2)</f>
        <v/>
      </c>
      <c r="GSM3" s="1" t="str" cm="1">
        <f t="array" ref="GSM3">GetValue("Dmn","Name",GSM2)</f>
        <v/>
      </c>
      <c r="GSN3" s="1" t="str" cm="1">
        <f t="array" ref="GSN3">GetValue("Dmn","Name",GSN2)</f>
        <v/>
      </c>
      <c r="GSO3" s="1" t="str" cm="1">
        <f t="array" ref="GSO3">GetValue("Dmn","Name",GSO2)</f>
        <v/>
      </c>
      <c r="GSP3" s="1" t="str" cm="1">
        <f t="array" ref="GSP3">GetValue("Dmn","Name",GSP2)</f>
        <v/>
      </c>
      <c r="GSQ3" s="1" t="str" cm="1">
        <f t="array" ref="GSQ3">GetValue("Dmn","Name",GSQ2)</f>
        <v/>
      </c>
      <c r="GSR3" s="1" t="str" cm="1">
        <f t="array" ref="GSR3">GetValue("Dmn","Name",GSR2)</f>
        <v/>
      </c>
      <c r="GSS3" s="1" t="str" cm="1">
        <f t="array" ref="GSS3">GetValue("Dmn","Name",GSS2)</f>
        <v/>
      </c>
      <c r="GST3" s="1" t="str" cm="1">
        <f t="array" ref="GST3">GetValue("Dmn","Name",GST2)</f>
        <v/>
      </c>
      <c r="GSU3" s="1" t="str" cm="1">
        <f t="array" ref="GSU3">GetValue("Dmn","Name",GSU2)</f>
        <v/>
      </c>
      <c r="GSV3" s="1" t="str" cm="1">
        <f t="array" ref="GSV3">GetValue("Dmn","Name",GSV2)</f>
        <v/>
      </c>
      <c r="GSW3" s="1" t="str" cm="1">
        <f t="array" ref="GSW3">GetValue("Dmn","Name",GSW2)</f>
        <v/>
      </c>
      <c r="GSX3" s="1" t="str" cm="1">
        <f t="array" ref="GSX3">GetValue("Dmn","Name",GSX2)</f>
        <v/>
      </c>
      <c r="GSY3" s="1" t="str" cm="1">
        <f t="array" ref="GSY3">GetValue("Dmn","Name",GSY2)</f>
        <v/>
      </c>
      <c r="GSZ3" s="1" t="str" cm="1">
        <f t="array" ref="GSZ3">GetValue("Dmn","Name",GSZ2)</f>
        <v/>
      </c>
      <c r="GTA3" s="1" t="str" cm="1">
        <f t="array" ref="GTA3">GetValue("Dmn","Name",GTA2)</f>
        <v/>
      </c>
      <c r="GTB3" s="1" t="str" cm="1">
        <f t="array" ref="GTB3">GetValue("Dmn","Name",GTB2)</f>
        <v/>
      </c>
      <c r="GTC3" s="1" t="str" cm="1">
        <f t="array" ref="GTC3">GetValue("Dmn","Name",GTC2)</f>
        <v/>
      </c>
      <c r="GTD3" s="1" t="str" cm="1">
        <f t="array" ref="GTD3">GetValue("Dmn","Name",GTD2)</f>
        <v/>
      </c>
      <c r="GTE3" s="1" t="str" cm="1">
        <f t="array" ref="GTE3">GetValue("Dmn","Name",GTE2)</f>
        <v/>
      </c>
      <c r="GTF3" s="1" t="str" cm="1">
        <f t="array" ref="GTF3">GetValue("Dmn","Name",GTF2)</f>
        <v/>
      </c>
      <c r="GTG3" s="1" t="str" cm="1">
        <f t="array" ref="GTG3">GetValue("Dmn","Name",GTG2)</f>
        <v/>
      </c>
      <c r="GTH3" s="1" t="str" cm="1">
        <f t="array" ref="GTH3">GetValue("Dmn","Name",GTH2)</f>
        <v/>
      </c>
      <c r="GTI3" s="1" t="str" cm="1">
        <f t="array" ref="GTI3">GetValue("Dmn","Name",GTI2)</f>
        <v/>
      </c>
      <c r="GTJ3" s="1" t="str" cm="1">
        <f t="array" ref="GTJ3">GetValue("Dmn","Name",GTJ2)</f>
        <v/>
      </c>
      <c r="GTK3" s="1" t="str" cm="1">
        <f t="array" ref="GTK3">GetValue("Dmn","Name",GTK2)</f>
        <v/>
      </c>
      <c r="GTL3" s="1" t="str" cm="1">
        <f t="array" ref="GTL3">GetValue("Dmn","Name",GTL2)</f>
        <v/>
      </c>
      <c r="GTM3" s="1" t="str" cm="1">
        <f t="array" ref="GTM3">GetValue("Dmn","Name",GTM2)</f>
        <v/>
      </c>
      <c r="GTN3" s="1" t="str" cm="1">
        <f t="array" ref="GTN3">GetValue("Dmn","Name",GTN2)</f>
        <v/>
      </c>
      <c r="GTO3" s="1" t="str" cm="1">
        <f t="array" ref="GTO3">GetValue("Dmn","Name",GTO2)</f>
        <v/>
      </c>
      <c r="GTP3" s="1" t="str" cm="1">
        <f t="array" ref="GTP3">GetValue("Dmn","Name",GTP2)</f>
        <v/>
      </c>
      <c r="GTQ3" s="1" t="str" cm="1">
        <f t="array" ref="GTQ3">GetValue("Dmn","Name",GTQ2)</f>
        <v/>
      </c>
      <c r="GTR3" s="1" t="str" cm="1">
        <f t="array" ref="GTR3">GetValue("Dmn","Name",GTR2)</f>
        <v/>
      </c>
      <c r="GTS3" s="1" t="str" cm="1">
        <f t="array" ref="GTS3">GetValue("Dmn","Name",GTS2)</f>
        <v/>
      </c>
      <c r="GTT3" s="1" t="str" cm="1">
        <f t="array" ref="GTT3">GetValue("Dmn","Name",GTT2)</f>
        <v/>
      </c>
      <c r="GTU3" s="1" t="str" cm="1">
        <f t="array" ref="GTU3">GetValue("Dmn","Name",GTU2)</f>
        <v/>
      </c>
      <c r="GTV3" s="1" t="str" cm="1">
        <f t="array" ref="GTV3">GetValue("Dmn","Name",GTV2)</f>
        <v/>
      </c>
      <c r="GTW3" s="1" t="str" cm="1">
        <f t="array" ref="GTW3">GetValue("Dmn","Name",GTW2)</f>
        <v/>
      </c>
      <c r="GTX3" s="1" t="str" cm="1">
        <f t="array" ref="GTX3">GetValue("Dmn","Name",GTX2)</f>
        <v/>
      </c>
      <c r="GTY3" s="1" t="str" cm="1">
        <f t="array" ref="GTY3">GetValue("Dmn","Name",GTY2)</f>
        <v/>
      </c>
      <c r="GTZ3" s="1" t="str" cm="1">
        <f t="array" ref="GTZ3">GetValue("Dmn","Name",GTZ2)</f>
        <v/>
      </c>
      <c r="GUA3" s="1" t="str" cm="1">
        <f t="array" ref="GUA3">GetValue("Dmn","Name",GUA2)</f>
        <v/>
      </c>
      <c r="GUB3" s="1" t="str" cm="1">
        <f t="array" ref="GUB3">GetValue("Dmn","Name",GUB2)</f>
        <v/>
      </c>
      <c r="GUC3" s="1" t="str" cm="1">
        <f t="array" ref="GUC3">GetValue("Dmn","Name",GUC2)</f>
        <v/>
      </c>
      <c r="GUD3" s="1" t="str" cm="1">
        <f t="array" ref="GUD3">GetValue("Dmn","Name",GUD2)</f>
        <v/>
      </c>
      <c r="GUE3" s="1" t="str" cm="1">
        <f t="array" ref="GUE3">GetValue("Dmn","Name",GUE2)</f>
        <v/>
      </c>
      <c r="GUF3" s="1" t="str" cm="1">
        <f t="array" ref="GUF3">GetValue("Dmn","Name",GUF2)</f>
        <v/>
      </c>
      <c r="GUG3" s="1" t="str" cm="1">
        <f t="array" ref="GUG3">GetValue("Dmn","Name",GUG2)</f>
        <v/>
      </c>
      <c r="GUH3" s="1" t="str" cm="1">
        <f t="array" ref="GUH3">GetValue("Dmn","Name",GUH2)</f>
        <v/>
      </c>
      <c r="GUI3" s="1" t="str" cm="1">
        <f t="array" ref="GUI3">GetValue("Dmn","Name",GUI2)</f>
        <v/>
      </c>
      <c r="GUJ3" s="1" t="str" cm="1">
        <f t="array" ref="GUJ3">GetValue("Dmn","Name",GUJ2)</f>
        <v/>
      </c>
      <c r="GUK3" s="1" t="str" cm="1">
        <f t="array" ref="GUK3">GetValue("Dmn","Name",GUK2)</f>
        <v/>
      </c>
      <c r="GUL3" s="1" t="str" cm="1">
        <f t="array" ref="GUL3">GetValue("Dmn","Name",GUL2)</f>
        <v/>
      </c>
      <c r="GUM3" s="1" t="str" cm="1">
        <f t="array" ref="GUM3">GetValue("Dmn","Name",GUM2)</f>
        <v/>
      </c>
      <c r="GUN3" s="1" t="str" cm="1">
        <f t="array" ref="GUN3">GetValue("Dmn","Name",GUN2)</f>
        <v/>
      </c>
      <c r="GUO3" s="1" t="str" cm="1">
        <f t="array" ref="GUO3">GetValue("Dmn","Name",GUO2)</f>
        <v/>
      </c>
      <c r="GUP3" s="1" t="str" cm="1">
        <f t="array" ref="GUP3">GetValue("Dmn","Name",GUP2)</f>
        <v/>
      </c>
      <c r="GUQ3" s="1" t="str" cm="1">
        <f t="array" ref="GUQ3">GetValue("Dmn","Name",GUQ2)</f>
        <v/>
      </c>
      <c r="GUR3" s="1" t="str" cm="1">
        <f t="array" ref="GUR3">GetValue("Dmn","Name",GUR2)</f>
        <v/>
      </c>
      <c r="GUS3" s="1" t="str" cm="1">
        <f t="array" ref="GUS3">GetValue("Dmn","Name",GUS2)</f>
        <v/>
      </c>
      <c r="GUT3" s="1" t="str" cm="1">
        <f t="array" ref="GUT3">GetValue("Dmn","Name",GUT2)</f>
        <v/>
      </c>
      <c r="GUU3" s="1" t="str" cm="1">
        <f t="array" ref="GUU3">GetValue("Dmn","Name",GUU2)</f>
        <v/>
      </c>
      <c r="GUV3" s="1" t="str" cm="1">
        <f t="array" ref="GUV3">GetValue("Dmn","Name",GUV2)</f>
        <v/>
      </c>
      <c r="GUW3" s="1" t="str" cm="1">
        <f t="array" ref="GUW3">GetValue("Dmn","Name",GUW2)</f>
        <v/>
      </c>
      <c r="GUX3" s="1" t="str" cm="1">
        <f t="array" ref="GUX3">GetValue("Dmn","Name",GUX2)</f>
        <v/>
      </c>
      <c r="GUY3" s="1" t="str" cm="1">
        <f t="array" ref="GUY3">GetValue("Dmn","Name",GUY2)</f>
        <v/>
      </c>
      <c r="GUZ3" s="1" t="str" cm="1">
        <f t="array" ref="GUZ3">GetValue("Dmn","Name",GUZ2)</f>
        <v/>
      </c>
      <c r="GVA3" s="1" t="str" cm="1">
        <f t="array" ref="GVA3">GetValue("Dmn","Name",GVA2)</f>
        <v/>
      </c>
      <c r="GVB3" s="1" t="str" cm="1">
        <f t="array" ref="GVB3">GetValue("Dmn","Name",GVB2)</f>
        <v/>
      </c>
      <c r="GVC3" s="1" t="str" cm="1">
        <f t="array" ref="GVC3">GetValue("Dmn","Name",GVC2)</f>
        <v/>
      </c>
      <c r="GVD3" s="1" t="str" cm="1">
        <f t="array" ref="GVD3">GetValue("Dmn","Name",GVD2)</f>
        <v/>
      </c>
      <c r="GVE3" s="1" t="str" cm="1">
        <f t="array" ref="GVE3">GetValue("Dmn","Name",GVE2)</f>
        <v/>
      </c>
      <c r="GVF3" s="1" t="str" cm="1">
        <f t="array" ref="GVF3">GetValue("Dmn","Name",GVF2)</f>
        <v/>
      </c>
      <c r="GVG3" s="1" t="str" cm="1">
        <f t="array" ref="GVG3">GetValue("Dmn","Name",GVG2)</f>
        <v/>
      </c>
      <c r="GVH3" s="1" t="str" cm="1">
        <f t="array" ref="GVH3">GetValue("Dmn","Name",GVH2)</f>
        <v/>
      </c>
      <c r="GVI3" s="1" t="str" cm="1">
        <f t="array" ref="GVI3">GetValue("Dmn","Name",GVI2)</f>
        <v/>
      </c>
      <c r="GVJ3" s="1" t="str" cm="1">
        <f t="array" ref="GVJ3">GetValue("Dmn","Name",GVJ2)</f>
        <v/>
      </c>
      <c r="GVK3" s="1" t="str" cm="1">
        <f t="array" ref="GVK3">GetValue("Dmn","Name",GVK2)</f>
        <v/>
      </c>
      <c r="GVL3" s="1" t="str" cm="1">
        <f t="array" ref="GVL3">GetValue("Dmn","Name",GVL2)</f>
        <v/>
      </c>
      <c r="GVM3" s="1" t="str" cm="1">
        <f t="array" ref="GVM3">GetValue("Dmn","Name",GVM2)</f>
        <v/>
      </c>
      <c r="GVN3" s="1" t="str" cm="1">
        <f t="array" ref="GVN3">GetValue("Dmn","Name",GVN2)</f>
        <v/>
      </c>
      <c r="GVO3" s="1" t="str" cm="1">
        <f t="array" ref="GVO3">GetValue("Dmn","Name",GVO2)</f>
        <v/>
      </c>
      <c r="GVP3" s="1" t="str" cm="1">
        <f t="array" ref="GVP3">GetValue("Dmn","Name",GVP2)</f>
        <v/>
      </c>
      <c r="GVQ3" s="1" t="str" cm="1">
        <f t="array" ref="GVQ3">GetValue("Dmn","Name",GVQ2)</f>
        <v/>
      </c>
      <c r="GVR3" s="1" t="str" cm="1">
        <f t="array" ref="GVR3">GetValue("Dmn","Name",GVR2)</f>
        <v/>
      </c>
      <c r="GVS3" s="1" t="str" cm="1">
        <f t="array" ref="GVS3">GetValue("Dmn","Name",GVS2)</f>
        <v/>
      </c>
      <c r="GVT3" s="1" t="str" cm="1">
        <f t="array" ref="GVT3">GetValue("Dmn","Name",GVT2)</f>
        <v/>
      </c>
      <c r="GVU3" s="1" t="str" cm="1">
        <f t="array" ref="GVU3">GetValue("Dmn","Name",GVU2)</f>
        <v/>
      </c>
      <c r="GVV3" s="1" t="str" cm="1">
        <f t="array" ref="GVV3">GetValue("Dmn","Name",GVV2)</f>
        <v/>
      </c>
      <c r="GVW3" s="1" t="str" cm="1">
        <f t="array" ref="GVW3">GetValue("Dmn","Name",GVW2)</f>
        <v/>
      </c>
      <c r="GVX3" s="1" t="str" cm="1">
        <f t="array" ref="GVX3">GetValue("Dmn","Name",GVX2)</f>
        <v/>
      </c>
      <c r="GVY3" s="1" t="str" cm="1">
        <f t="array" ref="GVY3">GetValue("Dmn","Name",GVY2)</f>
        <v/>
      </c>
      <c r="GVZ3" s="1" t="str" cm="1">
        <f t="array" ref="GVZ3">GetValue("Dmn","Name",GVZ2)</f>
        <v/>
      </c>
      <c r="GWA3" s="1" t="str" cm="1">
        <f t="array" ref="GWA3">GetValue("Dmn","Name",GWA2)</f>
        <v/>
      </c>
      <c r="GWB3" s="1" t="str" cm="1">
        <f t="array" ref="GWB3">GetValue("Dmn","Name",GWB2)</f>
        <v/>
      </c>
      <c r="GWC3" s="1" t="str" cm="1">
        <f t="array" ref="GWC3">GetValue("Dmn","Name",GWC2)</f>
        <v/>
      </c>
      <c r="GWD3" s="1" t="str" cm="1">
        <f t="array" ref="GWD3">GetValue("Dmn","Name",GWD2)</f>
        <v/>
      </c>
      <c r="GWE3" s="1" t="str" cm="1">
        <f t="array" ref="GWE3">GetValue("Dmn","Name",GWE2)</f>
        <v/>
      </c>
      <c r="GWF3" s="1" t="str" cm="1">
        <f t="array" ref="GWF3">GetValue("Dmn","Name",GWF2)</f>
        <v/>
      </c>
      <c r="GWG3" s="1" t="str" cm="1">
        <f t="array" ref="GWG3">GetValue("Dmn","Name",GWG2)</f>
        <v/>
      </c>
      <c r="GWH3" s="1" t="str" cm="1">
        <f t="array" ref="GWH3">GetValue("Dmn","Name",GWH2)</f>
        <v/>
      </c>
      <c r="GWI3" s="1" t="str" cm="1">
        <f t="array" ref="GWI3">GetValue("Dmn","Name",GWI2)</f>
        <v/>
      </c>
      <c r="GWJ3" s="1" t="str" cm="1">
        <f t="array" ref="GWJ3">GetValue("Dmn","Name",GWJ2)</f>
        <v/>
      </c>
      <c r="GWK3" s="1" t="str" cm="1">
        <f t="array" ref="GWK3">GetValue("Dmn","Name",GWK2)</f>
        <v/>
      </c>
      <c r="GWL3" s="1" t="str" cm="1">
        <f t="array" ref="GWL3">GetValue("Dmn","Name",GWL2)</f>
        <v/>
      </c>
      <c r="GWM3" s="1" t="str" cm="1">
        <f t="array" ref="GWM3">GetValue("Dmn","Name",GWM2)</f>
        <v/>
      </c>
      <c r="GWN3" s="1" t="str" cm="1">
        <f t="array" ref="GWN3">GetValue("Dmn","Name",GWN2)</f>
        <v/>
      </c>
      <c r="GWO3" s="1" t="str" cm="1">
        <f t="array" ref="GWO3">GetValue("Dmn","Name",GWO2)</f>
        <v/>
      </c>
      <c r="GWP3" s="1" t="str" cm="1">
        <f t="array" ref="GWP3">GetValue("Dmn","Name",GWP2)</f>
        <v/>
      </c>
      <c r="GWQ3" s="1" t="str" cm="1">
        <f t="array" ref="GWQ3">GetValue("Dmn","Name",GWQ2)</f>
        <v/>
      </c>
      <c r="GWR3" s="1" t="str" cm="1">
        <f t="array" ref="GWR3">GetValue("Dmn","Name",GWR2)</f>
        <v/>
      </c>
      <c r="GWS3" s="1" t="str" cm="1">
        <f t="array" ref="GWS3">GetValue("Dmn","Name",GWS2)</f>
        <v/>
      </c>
      <c r="GWT3" s="1" t="str" cm="1">
        <f t="array" ref="GWT3">GetValue("Dmn","Name",GWT2)</f>
        <v/>
      </c>
      <c r="GWU3" s="1" t="str" cm="1">
        <f t="array" ref="GWU3">GetValue("Dmn","Name",GWU2)</f>
        <v/>
      </c>
      <c r="GWV3" s="1" t="str" cm="1">
        <f t="array" ref="GWV3">GetValue("Dmn","Name",GWV2)</f>
        <v/>
      </c>
      <c r="GWW3" s="1" t="str" cm="1">
        <f t="array" ref="GWW3">GetValue("Dmn","Name",GWW2)</f>
        <v/>
      </c>
      <c r="GWX3" s="1" t="str" cm="1">
        <f t="array" ref="GWX3">GetValue("Dmn","Name",GWX2)</f>
        <v/>
      </c>
      <c r="GWY3" s="1" t="str" cm="1">
        <f t="array" ref="GWY3">GetValue("Dmn","Name",GWY2)</f>
        <v/>
      </c>
      <c r="GWZ3" s="1" t="str" cm="1">
        <f t="array" ref="GWZ3">GetValue("Dmn","Name",GWZ2)</f>
        <v/>
      </c>
      <c r="GXA3" s="1" t="str" cm="1">
        <f t="array" ref="GXA3">GetValue("Dmn","Name",GXA2)</f>
        <v/>
      </c>
      <c r="GXB3" s="1" t="str" cm="1">
        <f t="array" ref="GXB3">GetValue("Dmn","Name",GXB2)</f>
        <v/>
      </c>
      <c r="GXC3" s="1" t="str" cm="1">
        <f t="array" ref="GXC3">GetValue("Dmn","Name",GXC2)</f>
        <v/>
      </c>
      <c r="GXD3" s="1" t="str" cm="1">
        <f t="array" ref="GXD3">GetValue("Dmn","Name",GXD2)</f>
        <v/>
      </c>
      <c r="GXE3" s="1" t="str" cm="1">
        <f t="array" ref="GXE3">GetValue("Dmn","Name",GXE2)</f>
        <v/>
      </c>
      <c r="GXF3" s="1" t="str" cm="1">
        <f t="array" ref="GXF3">GetValue("Dmn","Name",GXF2)</f>
        <v/>
      </c>
      <c r="GXG3" s="1" t="str" cm="1">
        <f t="array" ref="GXG3">GetValue("Dmn","Name",GXG2)</f>
        <v/>
      </c>
      <c r="GXH3" s="1" t="str" cm="1">
        <f t="array" ref="GXH3">GetValue("Dmn","Name",GXH2)</f>
        <v/>
      </c>
      <c r="GXI3" s="1" t="str" cm="1">
        <f t="array" ref="GXI3">GetValue("Dmn","Name",GXI2)</f>
        <v/>
      </c>
      <c r="GXJ3" s="1" t="str" cm="1">
        <f t="array" ref="GXJ3">GetValue("Dmn","Name",GXJ2)</f>
        <v/>
      </c>
      <c r="GXK3" s="1" t="str" cm="1">
        <f t="array" ref="GXK3">GetValue("Dmn","Name",GXK2)</f>
        <v/>
      </c>
      <c r="GXL3" s="1" t="str" cm="1">
        <f t="array" ref="GXL3">GetValue("Dmn","Name",GXL2)</f>
        <v/>
      </c>
      <c r="GXM3" s="1" t="str" cm="1">
        <f t="array" ref="GXM3">GetValue("Dmn","Name",GXM2)</f>
        <v/>
      </c>
      <c r="GXN3" s="1" t="str" cm="1">
        <f t="array" ref="GXN3">GetValue("Dmn","Name",GXN2)</f>
        <v/>
      </c>
      <c r="GXO3" s="1" t="str" cm="1">
        <f t="array" ref="GXO3">GetValue("Dmn","Name",GXO2)</f>
        <v/>
      </c>
      <c r="GXP3" s="1" t="str" cm="1">
        <f t="array" ref="GXP3">GetValue("Dmn","Name",GXP2)</f>
        <v/>
      </c>
      <c r="GXQ3" s="1" t="str" cm="1">
        <f t="array" ref="GXQ3">GetValue("Dmn","Name",GXQ2)</f>
        <v/>
      </c>
      <c r="GXR3" s="1" t="str" cm="1">
        <f t="array" ref="GXR3">GetValue("Dmn","Name",GXR2)</f>
        <v/>
      </c>
      <c r="GXS3" s="1" t="str" cm="1">
        <f t="array" ref="GXS3">GetValue("Dmn","Name",GXS2)</f>
        <v/>
      </c>
      <c r="GXT3" s="1" t="str" cm="1">
        <f t="array" ref="GXT3">GetValue("Dmn","Name",GXT2)</f>
        <v/>
      </c>
      <c r="GXU3" s="1" t="str" cm="1">
        <f t="array" ref="GXU3">GetValue("Dmn","Name",GXU2)</f>
        <v/>
      </c>
      <c r="GXV3" s="1" t="str" cm="1">
        <f t="array" ref="GXV3">GetValue("Dmn","Name",GXV2)</f>
        <v/>
      </c>
      <c r="GXW3" s="1" t="str" cm="1">
        <f t="array" ref="GXW3">GetValue("Dmn","Name",GXW2)</f>
        <v/>
      </c>
      <c r="GXX3" s="1" t="str" cm="1">
        <f t="array" ref="GXX3">GetValue("Dmn","Name",GXX2)</f>
        <v/>
      </c>
      <c r="GXY3" s="1" t="str" cm="1">
        <f t="array" ref="GXY3">GetValue("Dmn","Name",GXY2)</f>
        <v/>
      </c>
      <c r="GXZ3" s="1" t="str" cm="1">
        <f t="array" ref="GXZ3">GetValue("Dmn","Name",GXZ2)</f>
        <v/>
      </c>
      <c r="GYA3" s="1" t="str" cm="1">
        <f t="array" ref="GYA3">GetValue("Dmn","Name",GYA2)</f>
        <v/>
      </c>
      <c r="GYB3" s="1" t="str" cm="1">
        <f t="array" ref="GYB3">GetValue("Dmn","Name",GYB2)</f>
        <v/>
      </c>
      <c r="GYC3" s="1" t="str" cm="1">
        <f t="array" ref="GYC3">GetValue("Dmn","Name",GYC2)</f>
        <v/>
      </c>
      <c r="GYD3" s="1" t="str" cm="1">
        <f t="array" ref="GYD3">GetValue("Dmn","Name",GYD2)</f>
        <v/>
      </c>
      <c r="GYE3" s="1" t="str" cm="1">
        <f t="array" ref="GYE3">GetValue("Dmn","Name",GYE2)</f>
        <v/>
      </c>
      <c r="GYF3" s="1" t="str" cm="1">
        <f t="array" ref="GYF3">GetValue("Dmn","Name",GYF2)</f>
        <v/>
      </c>
      <c r="GYG3" s="1" t="str" cm="1">
        <f t="array" ref="GYG3">GetValue("Dmn","Name",GYG2)</f>
        <v/>
      </c>
      <c r="GYH3" s="1" t="str" cm="1">
        <f t="array" ref="GYH3">GetValue("Dmn","Name",GYH2)</f>
        <v/>
      </c>
      <c r="GYI3" s="1" t="str" cm="1">
        <f t="array" ref="GYI3">GetValue("Dmn","Name",GYI2)</f>
        <v/>
      </c>
      <c r="GYJ3" s="1" t="str" cm="1">
        <f t="array" ref="GYJ3">GetValue("Dmn","Name",GYJ2)</f>
        <v/>
      </c>
      <c r="GYK3" s="1" t="str" cm="1">
        <f t="array" ref="GYK3">GetValue("Dmn","Name",GYK2)</f>
        <v/>
      </c>
      <c r="GYL3" s="1" t="str" cm="1">
        <f t="array" ref="GYL3">GetValue("Dmn","Name",GYL2)</f>
        <v/>
      </c>
      <c r="GYM3" s="1" t="str" cm="1">
        <f t="array" ref="GYM3">GetValue("Dmn","Name",GYM2)</f>
        <v/>
      </c>
      <c r="GYN3" s="1" t="str" cm="1">
        <f t="array" ref="GYN3">GetValue("Dmn","Name",GYN2)</f>
        <v/>
      </c>
      <c r="GYO3" s="1" t="str" cm="1">
        <f t="array" ref="GYO3">GetValue("Dmn","Name",GYO2)</f>
        <v/>
      </c>
      <c r="GYP3" s="1" t="str" cm="1">
        <f t="array" ref="GYP3">GetValue("Dmn","Name",GYP2)</f>
        <v/>
      </c>
      <c r="GYQ3" s="1" t="str" cm="1">
        <f t="array" ref="GYQ3">GetValue("Dmn","Name",GYQ2)</f>
        <v/>
      </c>
      <c r="GYR3" s="1" t="str" cm="1">
        <f t="array" ref="GYR3">GetValue("Dmn","Name",GYR2)</f>
        <v/>
      </c>
      <c r="GYS3" s="1" t="str" cm="1">
        <f t="array" ref="GYS3">GetValue("Dmn","Name",GYS2)</f>
        <v/>
      </c>
      <c r="GYT3" s="1" t="str" cm="1">
        <f t="array" ref="GYT3">GetValue("Dmn","Name",GYT2)</f>
        <v/>
      </c>
      <c r="GYU3" s="1" t="str" cm="1">
        <f t="array" ref="GYU3">GetValue("Dmn","Name",GYU2)</f>
        <v/>
      </c>
      <c r="GYV3" s="1" t="str" cm="1">
        <f t="array" ref="GYV3">GetValue("Dmn","Name",GYV2)</f>
        <v/>
      </c>
      <c r="GYW3" s="1" t="str" cm="1">
        <f t="array" ref="GYW3">GetValue("Dmn","Name",GYW2)</f>
        <v/>
      </c>
      <c r="GYX3" s="1" t="str" cm="1">
        <f t="array" ref="GYX3">GetValue("Dmn","Name",GYX2)</f>
        <v/>
      </c>
      <c r="GYY3" s="1" t="str" cm="1">
        <f t="array" ref="GYY3">GetValue("Dmn","Name",GYY2)</f>
        <v/>
      </c>
      <c r="GYZ3" s="1" t="str" cm="1">
        <f t="array" ref="GYZ3">GetValue("Dmn","Name",GYZ2)</f>
        <v/>
      </c>
      <c r="GZA3" s="1" t="str" cm="1">
        <f t="array" ref="GZA3">GetValue("Dmn","Name",GZA2)</f>
        <v/>
      </c>
      <c r="GZB3" s="1" t="str" cm="1">
        <f t="array" ref="GZB3">GetValue("Dmn","Name",GZB2)</f>
        <v/>
      </c>
      <c r="GZC3" s="1" t="str" cm="1">
        <f t="array" ref="GZC3">GetValue("Dmn","Name",GZC2)</f>
        <v/>
      </c>
      <c r="GZD3" s="1" t="str" cm="1">
        <f t="array" ref="GZD3">GetValue("Dmn","Name",GZD2)</f>
        <v/>
      </c>
      <c r="GZE3" s="1" t="str" cm="1">
        <f t="array" ref="GZE3">GetValue("Dmn","Name",GZE2)</f>
        <v/>
      </c>
      <c r="GZF3" s="1" t="str" cm="1">
        <f t="array" ref="GZF3">GetValue("Dmn","Name",GZF2)</f>
        <v/>
      </c>
      <c r="GZG3" s="1" t="str" cm="1">
        <f t="array" ref="GZG3">GetValue("Dmn","Name",GZG2)</f>
        <v/>
      </c>
      <c r="GZH3" s="1" t="str" cm="1">
        <f t="array" ref="GZH3">GetValue("Dmn","Name",GZH2)</f>
        <v/>
      </c>
      <c r="GZI3" s="1" t="str" cm="1">
        <f t="array" ref="GZI3">GetValue("Dmn","Name",GZI2)</f>
        <v/>
      </c>
      <c r="GZJ3" s="1" t="str" cm="1">
        <f t="array" ref="GZJ3">GetValue("Dmn","Name",GZJ2)</f>
        <v/>
      </c>
      <c r="GZK3" s="1" t="str" cm="1">
        <f t="array" ref="GZK3">GetValue("Dmn","Name",GZK2)</f>
        <v/>
      </c>
      <c r="GZL3" s="1" t="str" cm="1">
        <f t="array" ref="GZL3">GetValue("Dmn","Name",GZL2)</f>
        <v/>
      </c>
      <c r="GZM3" s="1" t="str" cm="1">
        <f t="array" ref="GZM3">GetValue("Dmn","Name",GZM2)</f>
        <v/>
      </c>
      <c r="GZN3" s="1" t="str" cm="1">
        <f t="array" ref="GZN3">GetValue("Dmn","Name",GZN2)</f>
        <v/>
      </c>
      <c r="GZO3" s="1" t="str" cm="1">
        <f t="array" ref="GZO3">GetValue("Dmn","Name",GZO2)</f>
        <v/>
      </c>
      <c r="GZP3" s="1" t="str" cm="1">
        <f t="array" ref="GZP3">GetValue("Dmn","Name",GZP2)</f>
        <v/>
      </c>
      <c r="GZQ3" s="1" t="str" cm="1">
        <f t="array" ref="GZQ3">GetValue("Dmn","Name",GZQ2)</f>
        <v/>
      </c>
      <c r="GZR3" s="1" t="str" cm="1">
        <f t="array" ref="GZR3">GetValue("Dmn","Name",GZR2)</f>
        <v/>
      </c>
      <c r="GZS3" s="1" t="str" cm="1">
        <f t="array" ref="GZS3">GetValue("Dmn","Name",GZS2)</f>
        <v/>
      </c>
      <c r="GZT3" s="1" t="str" cm="1">
        <f t="array" ref="GZT3">GetValue("Dmn","Name",GZT2)</f>
        <v/>
      </c>
      <c r="GZU3" s="1" t="str" cm="1">
        <f t="array" ref="GZU3">GetValue("Dmn","Name",GZU2)</f>
        <v/>
      </c>
      <c r="GZV3" s="1" t="str" cm="1">
        <f t="array" ref="GZV3">GetValue("Dmn","Name",GZV2)</f>
        <v/>
      </c>
      <c r="GZW3" s="1" t="str" cm="1">
        <f t="array" ref="GZW3">GetValue("Dmn","Name",GZW2)</f>
        <v/>
      </c>
      <c r="GZX3" s="1" t="str" cm="1">
        <f t="array" ref="GZX3">GetValue("Dmn","Name",GZX2)</f>
        <v/>
      </c>
      <c r="GZY3" s="1" t="str" cm="1">
        <f t="array" ref="GZY3">GetValue("Dmn","Name",GZY2)</f>
        <v/>
      </c>
      <c r="GZZ3" s="1" t="str" cm="1">
        <f t="array" ref="GZZ3">GetValue("Dmn","Name",GZZ2)</f>
        <v/>
      </c>
      <c r="HAA3" s="1" t="str" cm="1">
        <f t="array" ref="HAA3">GetValue("Dmn","Name",HAA2)</f>
        <v/>
      </c>
      <c r="HAB3" s="1" t="str" cm="1">
        <f t="array" ref="HAB3">GetValue("Dmn","Name",HAB2)</f>
        <v/>
      </c>
      <c r="HAC3" s="1" t="str" cm="1">
        <f t="array" ref="HAC3">GetValue("Dmn","Name",HAC2)</f>
        <v/>
      </c>
      <c r="HAD3" s="1" t="str" cm="1">
        <f t="array" ref="HAD3">GetValue("Dmn","Name",HAD2)</f>
        <v/>
      </c>
      <c r="HAE3" s="1" t="str" cm="1">
        <f t="array" ref="HAE3">GetValue("Dmn","Name",HAE2)</f>
        <v/>
      </c>
      <c r="HAF3" s="1" t="str" cm="1">
        <f t="array" ref="HAF3">GetValue("Dmn","Name",HAF2)</f>
        <v/>
      </c>
      <c r="HAG3" s="1" t="str" cm="1">
        <f t="array" ref="HAG3">GetValue("Dmn","Name",HAG2)</f>
        <v/>
      </c>
      <c r="HAH3" s="1" t="str" cm="1">
        <f t="array" ref="HAH3">GetValue("Dmn","Name",HAH2)</f>
        <v/>
      </c>
      <c r="HAI3" s="1" t="str" cm="1">
        <f t="array" ref="HAI3">GetValue("Dmn","Name",HAI2)</f>
        <v/>
      </c>
      <c r="HAJ3" s="1" t="str" cm="1">
        <f t="array" ref="HAJ3">GetValue("Dmn","Name",HAJ2)</f>
        <v/>
      </c>
      <c r="HAK3" s="1" t="str" cm="1">
        <f t="array" ref="HAK3">GetValue("Dmn","Name",HAK2)</f>
        <v/>
      </c>
      <c r="HAL3" s="1" t="str" cm="1">
        <f t="array" ref="HAL3">GetValue("Dmn","Name",HAL2)</f>
        <v/>
      </c>
      <c r="HAM3" s="1" t="str" cm="1">
        <f t="array" ref="HAM3">GetValue("Dmn","Name",HAM2)</f>
        <v/>
      </c>
      <c r="HAN3" s="1" t="str" cm="1">
        <f t="array" ref="HAN3">GetValue("Dmn","Name",HAN2)</f>
        <v/>
      </c>
      <c r="HAO3" s="1" t="str" cm="1">
        <f t="array" ref="HAO3">GetValue("Dmn","Name",HAO2)</f>
        <v/>
      </c>
      <c r="HAP3" s="1" t="str" cm="1">
        <f t="array" ref="HAP3">GetValue("Dmn","Name",HAP2)</f>
        <v/>
      </c>
      <c r="HAQ3" s="1" t="str" cm="1">
        <f t="array" ref="HAQ3">GetValue("Dmn","Name",HAQ2)</f>
        <v/>
      </c>
      <c r="HAR3" s="1" t="str" cm="1">
        <f t="array" ref="HAR3">GetValue("Dmn","Name",HAR2)</f>
        <v/>
      </c>
      <c r="HAS3" s="1" t="str" cm="1">
        <f t="array" ref="HAS3">GetValue("Dmn","Name",HAS2)</f>
        <v/>
      </c>
      <c r="HAT3" s="1" t="str" cm="1">
        <f t="array" ref="HAT3">GetValue("Dmn","Name",HAT2)</f>
        <v/>
      </c>
      <c r="HAU3" s="1" t="str" cm="1">
        <f t="array" ref="HAU3">GetValue("Dmn","Name",HAU2)</f>
        <v/>
      </c>
      <c r="HAV3" s="1" t="str" cm="1">
        <f t="array" ref="HAV3">GetValue("Dmn","Name",HAV2)</f>
        <v/>
      </c>
      <c r="HAW3" s="1" t="str" cm="1">
        <f t="array" ref="HAW3">GetValue("Dmn","Name",HAW2)</f>
        <v/>
      </c>
      <c r="HAX3" s="1" t="str" cm="1">
        <f t="array" ref="HAX3">GetValue("Dmn","Name",HAX2)</f>
        <v/>
      </c>
      <c r="HAY3" s="1" t="str" cm="1">
        <f t="array" ref="HAY3">GetValue("Dmn","Name",HAY2)</f>
        <v/>
      </c>
      <c r="HAZ3" s="1" t="str" cm="1">
        <f t="array" ref="HAZ3">GetValue("Dmn","Name",HAZ2)</f>
        <v/>
      </c>
      <c r="HBA3" s="1" t="str" cm="1">
        <f t="array" ref="HBA3">GetValue("Dmn","Name",HBA2)</f>
        <v/>
      </c>
      <c r="HBB3" s="1" t="str" cm="1">
        <f t="array" ref="HBB3">GetValue("Dmn","Name",HBB2)</f>
        <v/>
      </c>
      <c r="HBC3" s="1" t="str" cm="1">
        <f t="array" ref="HBC3">GetValue("Dmn","Name",HBC2)</f>
        <v/>
      </c>
      <c r="HBD3" s="1" t="str" cm="1">
        <f t="array" ref="HBD3">GetValue("Dmn","Name",HBD2)</f>
        <v/>
      </c>
      <c r="HBE3" s="1" t="str" cm="1">
        <f t="array" ref="HBE3">GetValue("Dmn","Name",HBE2)</f>
        <v/>
      </c>
      <c r="HBF3" s="1" t="str" cm="1">
        <f t="array" ref="HBF3">GetValue("Dmn","Name",HBF2)</f>
        <v/>
      </c>
      <c r="HBG3" s="1" t="str" cm="1">
        <f t="array" ref="HBG3">GetValue("Dmn","Name",HBG2)</f>
        <v/>
      </c>
      <c r="HBH3" s="1" t="str" cm="1">
        <f t="array" ref="HBH3">GetValue("Dmn","Name",HBH2)</f>
        <v/>
      </c>
      <c r="HBI3" s="1" t="str" cm="1">
        <f t="array" ref="HBI3">GetValue("Dmn","Name",HBI2)</f>
        <v/>
      </c>
      <c r="HBJ3" s="1" t="str" cm="1">
        <f t="array" ref="HBJ3">GetValue("Dmn","Name",HBJ2)</f>
        <v/>
      </c>
      <c r="HBK3" s="1" t="str" cm="1">
        <f t="array" ref="HBK3">GetValue("Dmn","Name",HBK2)</f>
        <v/>
      </c>
      <c r="HBL3" s="1" t="str" cm="1">
        <f t="array" ref="HBL3">GetValue("Dmn","Name",HBL2)</f>
        <v/>
      </c>
      <c r="HBM3" s="1" t="str" cm="1">
        <f t="array" ref="HBM3">GetValue("Dmn","Name",HBM2)</f>
        <v/>
      </c>
      <c r="HBN3" s="1" t="str" cm="1">
        <f t="array" ref="HBN3">GetValue("Dmn","Name",HBN2)</f>
        <v/>
      </c>
      <c r="HBO3" s="1" t="str" cm="1">
        <f t="array" ref="HBO3">GetValue("Dmn","Name",HBO2)</f>
        <v/>
      </c>
      <c r="HBP3" s="1" t="str" cm="1">
        <f t="array" ref="HBP3">GetValue("Dmn","Name",HBP2)</f>
        <v/>
      </c>
      <c r="HBQ3" s="1" t="str" cm="1">
        <f t="array" ref="HBQ3">GetValue("Dmn","Name",HBQ2)</f>
        <v/>
      </c>
      <c r="HBR3" s="1" t="str" cm="1">
        <f t="array" ref="HBR3">GetValue("Dmn","Name",HBR2)</f>
        <v/>
      </c>
      <c r="HBS3" s="1" t="str" cm="1">
        <f t="array" ref="HBS3">GetValue("Dmn","Name",HBS2)</f>
        <v/>
      </c>
      <c r="HBT3" s="1" t="str" cm="1">
        <f t="array" ref="HBT3">GetValue("Dmn","Name",HBT2)</f>
        <v/>
      </c>
      <c r="HBU3" s="1" t="str" cm="1">
        <f t="array" ref="HBU3">GetValue("Dmn","Name",HBU2)</f>
        <v/>
      </c>
      <c r="HBV3" s="1" t="str" cm="1">
        <f t="array" ref="HBV3">GetValue("Dmn","Name",HBV2)</f>
        <v/>
      </c>
      <c r="HBW3" s="1" t="str" cm="1">
        <f t="array" ref="HBW3">GetValue("Dmn","Name",HBW2)</f>
        <v/>
      </c>
      <c r="HBX3" s="1" t="str" cm="1">
        <f t="array" ref="HBX3">GetValue("Dmn","Name",HBX2)</f>
        <v/>
      </c>
      <c r="HBY3" s="1" t="str" cm="1">
        <f t="array" ref="HBY3">GetValue("Dmn","Name",HBY2)</f>
        <v/>
      </c>
      <c r="HBZ3" s="1" t="str" cm="1">
        <f t="array" ref="HBZ3">GetValue("Dmn","Name",HBZ2)</f>
        <v/>
      </c>
      <c r="HCA3" s="1" t="str" cm="1">
        <f t="array" ref="HCA3">GetValue("Dmn","Name",HCA2)</f>
        <v/>
      </c>
      <c r="HCB3" s="1" t="str" cm="1">
        <f t="array" ref="HCB3">GetValue("Dmn","Name",HCB2)</f>
        <v/>
      </c>
      <c r="HCC3" s="1" t="str" cm="1">
        <f t="array" ref="HCC3">GetValue("Dmn","Name",HCC2)</f>
        <v/>
      </c>
      <c r="HCD3" s="1" t="str" cm="1">
        <f t="array" ref="HCD3">GetValue("Dmn","Name",HCD2)</f>
        <v/>
      </c>
      <c r="HCE3" s="1" t="str" cm="1">
        <f t="array" ref="HCE3">GetValue("Dmn","Name",HCE2)</f>
        <v/>
      </c>
      <c r="HCF3" s="1" t="str" cm="1">
        <f t="array" ref="HCF3">GetValue("Dmn","Name",HCF2)</f>
        <v/>
      </c>
      <c r="HCG3" s="1" t="str" cm="1">
        <f t="array" ref="HCG3">GetValue("Dmn","Name",HCG2)</f>
        <v/>
      </c>
      <c r="HCH3" s="1" t="str" cm="1">
        <f t="array" ref="HCH3">GetValue("Dmn","Name",HCH2)</f>
        <v/>
      </c>
      <c r="HCI3" s="1" t="str" cm="1">
        <f t="array" ref="HCI3">GetValue("Dmn","Name",HCI2)</f>
        <v/>
      </c>
      <c r="HCJ3" s="1" t="str" cm="1">
        <f t="array" ref="HCJ3">GetValue("Dmn","Name",HCJ2)</f>
        <v/>
      </c>
      <c r="HCK3" s="1" t="str" cm="1">
        <f t="array" ref="HCK3">GetValue("Dmn","Name",HCK2)</f>
        <v/>
      </c>
      <c r="HCL3" s="1" t="str" cm="1">
        <f t="array" ref="HCL3">GetValue("Dmn","Name",HCL2)</f>
        <v/>
      </c>
      <c r="HCM3" s="1" t="str" cm="1">
        <f t="array" ref="HCM3">GetValue("Dmn","Name",HCM2)</f>
        <v/>
      </c>
      <c r="HCN3" s="1" t="str" cm="1">
        <f t="array" ref="HCN3">GetValue("Dmn","Name",HCN2)</f>
        <v/>
      </c>
      <c r="HCO3" s="1" t="str" cm="1">
        <f t="array" ref="HCO3">GetValue("Dmn","Name",HCO2)</f>
        <v/>
      </c>
      <c r="HCP3" s="1" t="str" cm="1">
        <f t="array" ref="HCP3">GetValue("Dmn","Name",HCP2)</f>
        <v/>
      </c>
      <c r="HCQ3" s="1" t="str" cm="1">
        <f t="array" ref="HCQ3">GetValue("Dmn","Name",HCQ2)</f>
        <v/>
      </c>
      <c r="HCR3" s="1" t="str" cm="1">
        <f t="array" ref="HCR3">GetValue("Dmn","Name",HCR2)</f>
        <v/>
      </c>
      <c r="HCS3" s="1" t="str" cm="1">
        <f t="array" ref="HCS3">GetValue("Dmn","Name",HCS2)</f>
        <v/>
      </c>
      <c r="HCT3" s="1" t="str" cm="1">
        <f t="array" ref="HCT3">GetValue("Dmn","Name",HCT2)</f>
        <v/>
      </c>
      <c r="HCU3" s="1" t="str" cm="1">
        <f t="array" ref="HCU3">GetValue("Dmn","Name",HCU2)</f>
        <v/>
      </c>
      <c r="HCV3" s="1" t="str" cm="1">
        <f t="array" ref="HCV3">GetValue("Dmn","Name",HCV2)</f>
        <v/>
      </c>
      <c r="HCW3" s="1" t="str" cm="1">
        <f t="array" ref="HCW3">GetValue("Dmn","Name",HCW2)</f>
        <v/>
      </c>
      <c r="HCX3" s="1" t="str" cm="1">
        <f t="array" ref="HCX3">GetValue("Dmn","Name",HCX2)</f>
        <v/>
      </c>
      <c r="HCY3" s="1" t="str" cm="1">
        <f t="array" ref="HCY3">GetValue("Dmn","Name",HCY2)</f>
        <v/>
      </c>
      <c r="HCZ3" s="1" t="str" cm="1">
        <f t="array" ref="HCZ3">GetValue("Dmn","Name",HCZ2)</f>
        <v/>
      </c>
      <c r="HDA3" s="1" t="str" cm="1">
        <f t="array" ref="HDA3">GetValue("Dmn","Name",HDA2)</f>
        <v/>
      </c>
      <c r="HDB3" s="1" t="str" cm="1">
        <f t="array" ref="HDB3">GetValue("Dmn","Name",HDB2)</f>
        <v/>
      </c>
      <c r="HDC3" s="1" t="str" cm="1">
        <f t="array" ref="HDC3">GetValue("Dmn","Name",HDC2)</f>
        <v/>
      </c>
      <c r="HDD3" s="1" t="str" cm="1">
        <f t="array" ref="HDD3">GetValue("Dmn","Name",HDD2)</f>
        <v/>
      </c>
      <c r="HDE3" s="1" t="str" cm="1">
        <f t="array" ref="HDE3">GetValue("Dmn","Name",HDE2)</f>
        <v/>
      </c>
      <c r="HDF3" s="1" t="str" cm="1">
        <f t="array" ref="HDF3">GetValue("Dmn","Name",HDF2)</f>
        <v/>
      </c>
      <c r="HDG3" s="1" t="str" cm="1">
        <f t="array" ref="HDG3">GetValue("Dmn","Name",HDG2)</f>
        <v/>
      </c>
      <c r="HDH3" s="1" t="str" cm="1">
        <f t="array" ref="HDH3">GetValue("Dmn","Name",HDH2)</f>
        <v/>
      </c>
      <c r="HDI3" s="1" t="str" cm="1">
        <f t="array" ref="HDI3">GetValue("Dmn","Name",HDI2)</f>
        <v/>
      </c>
      <c r="HDJ3" s="1" t="str" cm="1">
        <f t="array" ref="HDJ3">GetValue("Dmn","Name",HDJ2)</f>
        <v/>
      </c>
      <c r="HDK3" s="1" t="str" cm="1">
        <f t="array" ref="HDK3">GetValue("Dmn","Name",HDK2)</f>
        <v/>
      </c>
      <c r="HDL3" s="1" t="str" cm="1">
        <f t="array" ref="HDL3">GetValue("Dmn","Name",HDL2)</f>
        <v/>
      </c>
      <c r="HDM3" s="1" t="str" cm="1">
        <f t="array" ref="HDM3">GetValue("Dmn","Name",HDM2)</f>
        <v/>
      </c>
      <c r="HDN3" s="1" t="str" cm="1">
        <f t="array" ref="HDN3">GetValue("Dmn","Name",HDN2)</f>
        <v/>
      </c>
      <c r="HDO3" s="1" t="str" cm="1">
        <f t="array" ref="HDO3">GetValue("Dmn","Name",HDO2)</f>
        <v/>
      </c>
      <c r="HDP3" s="1" t="str" cm="1">
        <f t="array" ref="HDP3">GetValue("Dmn","Name",HDP2)</f>
        <v/>
      </c>
      <c r="HDQ3" s="1" t="str" cm="1">
        <f t="array" ref="HDQ3">GetValue("Dmn","Name",HDQ2)</f>
        <v/>
      </c>
      <c r="HDR3" s="1" t="str" cm="1">
        <f t="array" ref="HDR3">GetValue("Dmn","Name",HDR2)</f>
        <v/>
      </c>
      <c r="HDS3" s="1" t="str" cm="1">
        <f t="array" ref="HDS3">GetValue("Dmn","Name",HDS2)</f>
        <v/>
      </c>
      <c r="HDT3" s="1" t="str" cm="1">
        <f t="array" ref="HDT3">GetValue("Dmn","Name",HDT2)</f>
        <v/>
      </c>
      <c r="HDU3" s="1" t="str" cm="1">
        <f t="array" ref="HDU3">GetValue("Dmn","Name",HDU2)</f>
        <v/>
      </c>
      <c r="HDV3" s="1" t="str" cm="1">
        <f t="array" ref="HDV3">GetValue("Dmn","Name",HDV2)</f>
        <v/>
      </c>
      <c r="HDW3" s="1" t="str" cm="1">
        <f t="array" ref="HDW3">GetValue("Dmn","Name",HDW2)</f>
        <v/>
      </c>
      <c r="HDX3" s="1" t="str" cm="1">
        <f t="array" ref="HDX3">GetValue("Dmn","Name",HDX2)</f>
        <v/>
      </c>
      <c r="HDY3" s="1" t="str" cm="1">
        <f t="array" ref="HDY3">GetValue("Dmn","Name",HDY2)</f>
        <v/>
      </c>
      <c r="HDZ3" s="1" t="str" cm="1">
        <f t="array" ref="HDZ3">GetValue("Dmn","Name",HDZ2)</f>
        <v/>
      </c>
      <c r="HEA3" s="1" t="str" cm="1">
        <f t="array" ref="HEA3">GetValue("Dmn","Name",HEA2)</f>
        <v/>
      </c>
      <c r="HEB3" s="1" t="str" cm="1">
        <f t="array" ref="HEB3">GetValue("Dmn","Name",HEB2)</f>
        <v/>
      </c>
      <c r="HEC3" s="1" t="str" cm="1">
        <f t="array" ref="HEC3">GetValue("Dmn","Name",HEC2)</f>
        <v/>
      </c>
      <c r="HED3" s="1" t="str" cm="1">
        <f t="array" ref="HED3">GetValue("Dmn","Name",HED2)</f>
        <v/>
      </c>
      <c r="HEE3" s="1" t="str" cm="1">
        <f t="array" ref="HEE3">GetValue("Dmn","Name",HEE2)</f>
        <v/>
      </c>
      <c r="HEF3" s="1" t="str" cm="1">
        <f t="array" ref="HEF3">GetValue("Dmn","Name",HEF2)</f>
        <v/>
      </c>
      <c r="HEG3" s="1" t="str" cm="1">
        <f t="array" ref="HEG3">GetValue("Dmn","Name",HEG2)</f>
        <v/>
      </c>
      <c r="HEH3" s="1" t="str" cm="1">
        <f t="array" ref="HEH3">GetValue("Dmn","Name",HEH2)</f>
        <v/>
      </c>
      <c r="HEI3" s="1" t="str" cm="1">
        <f t="array" ref="HEI3">GetValue("Dmn","Name",HEI2)</f>
        <v/>
      </c>
      <c r="HEJ3" s="1" t="str" cm="1">
        <f t="array" ref="HEJ3">GetValue("Dmn","Name",HEJ2)</f>
        <v/>
      </c>
      <c r="HEK3" s="1" t="str" cm="1">
        <f t="array" ref="HEK3">GetValue("Dmn","Name",HEK2)</f>
        <v/>
      </c>
      <c r="HEL3" s="1" t="str" cm="1">
        <f t="array" ref="HEL3">GetValue("Dmn","Name",HEL2)</f>
        <v/>
      </c>
      <c r="HEM3" s="1" t="str" cm="1">
        <f t="array" ref="HEM3">GetValue("Dmn","Name",HEM2)</f>
        <v/>
      </c>
      <c r="HEN3" s="1" t="str" cm="1">
        <f t="array" ref="HEN3">GetValue("Dmn","Name",HEN2)</f>
        <v/>
      </c>
      <c r="HEO3" s="1" t="str" cm="1">
        <f t="array" ref="HEO3">GetValue("Dmn","Name",HEO2)</f>
        <v/>
      </c>
      <c r="HEP3" s="1" t="str" cm="1">
        <f t="array" ref="HEP3">GetValue("Dmn","Name",HEP2)</f>
        <v/>
      </c>
      <c r="HEQ3" s="1" t="str" cm="1">
        <f t="array" ref="HEQ3">GetValue("Dmn","Name",HEQ2)</f>
        <v/>
      </c>
      <c r="HER3" s="1" t="str" cm="1">
        <f t="array" ref="HER3">GetValue("Dmn","Name",HER2)</f>
        <v/>
      </c>
      <c r="HES3" s="1" t="str" cm="1">
        <f t="array" ref="HES3">GetValue("Dmn","Name",HES2)</f>
        <v/>
      </c>
      <c r="HET3" s="1" t="str" cm="1">
        <f t="array" ref="HET3">GetValue("Dmn","Name",HET2)</f>
        <v/>
      </c>
      <c r="HEU3" s="1" t="str" cm="1">
        <f t="array" ref="HEU3">GetValue("Dmn","Name",HEU2)</f>
        <v/>
      </c>
      <c r="HEV3" s="1" t="str" cm="1">
        <f t="array" ref="HEV3">GetValue("Dmn","Name",HEV2)</f>
        <v/>
      </c>
      <c r="HEW3" s="1" t="str" cm="1">
        <f t="array" ref="HEW3">GetValue("Dmn","Name",HEW2)</f>
        <v/>
      </c>
      <c r="HEX3" s="1" t="str" cm="1">
        <f t="array" ref="HEX3">GetValue("Dmn","Name",HEX2)</f>
        <v/>
      </c>
      <c r="HEY3" s="1" t="str" cm="1">
        <f t="array" ref="HEY3">GetValue("Dmn","Name",HEY2)</f>
        <v/>
      </c>
      <c r="HEZ3" s="1" t="str" cm="1">
        <f t="array" ref="HEZ3">GetValue("Dmn","Name",HEZ2)</f>
        <v/>
      </c>
      <c r="HFA3" s="1" t="str" cm="1">
        <f t="array" ref="HFA3">GetValue("Dmn","Name",HFA2)</f>
        <v/>
      </c>
      <c r="HFB3" s="1" t="str" cm="1">
        <f t="array" ref="HFB3">GetValue("Dmn","Name",HFB2)</f>
        <v/>
      </c>
      <c r="HFC3" s="1" t="str" cm="1">
        <f t="array" ref="HFC3">GetValue("Dmn","Name",HFC2)</f>
        <v/>
      </c>
      <c r="HFD3" s="1" t="str" cm="1">
        <f t="array" ref="HFD3">GetValue("Dmn","Name",HFD2)</f>
        <v/>
      </c>
      <c r="HFE3" s="1" t="str" cm="1">
        <f t="array" ref="HFE3">GetValue("Dmn","Name",HFE2)</f>
        <v/>
      </c>
      <c r="HFF3" s="1" t="str" cm="1">
        <f t="array" ref="HFF3">GetValue("Dmn","Name",HFF2)</f>
        <v/>
      </c>
      <c r="HFG3" s="1" t="str" cm="1">
        <f t="array" ref="HFG3">GetValue("Dmn","Name",HFG2)</f>
        <v/>
      </c>
      <c r="HFH3" s="1" t="str" cm="1">
        <f t="array" ref="HFH3">GetValue("Dmn","Name",HFH2)</f>
        <v/>
      </c>
      <c r="HFI3" s="1" t="str" cm="1">
        <f t="array" ref="HFI3">GetValue("Dmn","Name",HFI2)</f>
        <v/>
      </c>
      <c r="HFJ3" s="1" t="str" cm="1">
        <f t="array" ref="HFJ3">GetValue("Dmn","Name",HFJ2)</f>
        <v/>
      </c>
      <c r="HFK3" s="1" t="str" cm="1">
        <f t="array" ref="HFK3">GetValue("Dmn","Name",HFK2)</f>
        <v/>
      </c>
      <c r="HFL3" s="1" t="str" cm="1">
        <f t="array" ref="HFL3">GetValue("Dmn","Name",HFL2)</f>
        <v/>
      </c>
      <c r="HFM3" s="1" t="str" cm="1">
        <f t="array" ref="HFM3">GetValue("Dmn","Name",HFM2)</f>
        <v/>
      </c>
      <c r="HFN3" s="1" t="str" cm="1">
        <f t="array" ref="HFN3">GetValue("Dmn","Name",HFN2)</f>
        <v/>
      </c>
      <c r="HFO3" s="1" t="str" cm="1">
        <f t="array" ref="HFO3">GetValue("Dmn","Name",HFO2)</f>
        <v/>
      </c>
      <c r="HFP3" s="1" t="str" cm="1">
        <f t="array" ref="HFP3">GetValue("Dmn","Name",HFP2)</f>
        <v/>
      </c>
      <c r="HFQ3" s="1" t="str" cm="1">
        <f t="array" ref="HFQ3">GetValue("Dmn","Name",HFQ2)</f>
        <v/>
      </c>
      <c r="HFR3" s="1" t="str" cm="1">
        <f t="array" ref="HFR3">GetValue("Dmn","Name",HFR2)</f>
        <v/>
      </c>
      <c r="HFS3" s="1" t="str" cm="1">
        <f t="array" ref="HFS3">GetValue("Dmn","Name",HFS2)</f>
        <v/>
      </c>
      <c r="HFT3" s="1" t="str" cm="1">
        <f t="array" ref="HFT3">GetValue("Dmn","Name",HFT2)</f>
        <v/>
      </c>
      <c r="HFU3" s="1" t="str" cm="1">
        <f t="array" ref="HFU3">GetValue("Dmn","Name",HFU2)</f>
        <v/>
      </c>
      <c r="HFV3" s="1" t="str" cm="1">
        <f t="array" ref="HFV3">GetValue("Dmn","Name",HFV2)</f>
        <v/>
      </c>
      <c r="HFW3" s="1" t="str" cm="1">
        <f t="array" ref="HFW3">GetValue("Dmn","Name",HFW2)</f>
        <v/>
      </c>
      <c r="HFX3" s="1" t="str" cm="1">
        <f t="array" ref="HFX3">GetValue("Dmn","Name",HFX2)</f>
        <v/>
      </c>
      <c r="HFY3" s="1" t="str" cm="1">
        <f t="array" ref="HFY3">GetValue("Dmn","Name",HFY2)</f>
        <v/>
      </c>
      <c r="HFZ3" s="1" t="str" cm="1">
        <f t="array" ref="HFZ3">GetValue("Dmn","Name",HFZ2)</f>
        <v/>
      </c>
      <c r="HGA3" s="1" t="str" cm="1">
        <f t="array" ref="HGA3">GetValue("Dmn","Name",HGA2)</f>
        <v/>
      </c>
      <c r="HGB3" s="1" t="str" cm="1">
        <f t="array" ref="HGB3">GetValue("Dmn","Name",HGB2)</f>
        <v/>
      </c>
      <c r="HGC3" s="1" t="str" cm="1">
        <f t="array" ref="HGC3">GetValue("Dmn","Name",HGC2)</f>
        <v/>
      </c>
      <c r="HGD3" s="1" t="str" cm="1">
        <f t="array" ref="HGD3">GetValue("Dmn","Name",HGD2)</f>
        <v/>
      </c>
      <c r="HGE3" s="1" t="str" cm="1">
        <f t="array" ref="HGE3">GetValue("Dmn","Name",HGE2)</f>
        <v/>
      </c>
      <c r="HGF3" s="1" t="str" cm="1">
        <f t="array" ref="HGF3">GetValue("Dmn","Name",HGF2)</f>
        <v/>
      </c>
      <c r="HGG3" s="1" t="str" cm="1">
        <f t="array" ref="HGG3">GetValue("Dmn","Name",HGG2)</f>
        <v/>
      </c>
      <c r="HGH3" s="1" t="str" cm="1">
        <f t="array" ref="HGH3">GetValue("Dmn","Name",HGH2)</f>
        <v/>
      </c>
      <c r="HGI3" s="1" t="str" cm="1">
        <f t="array" ref="HGI3">GetValue("Dmn","Name",HGI2)</f>
        <v/>
      </c>
      <c r="HGJ3" s="1" t="str" cm="1">
        <f t="array" ref="HGJ3">GetValue("Dmn","Name",HGJ2)</f>
        <v/>
      </c>
      <c r="HGK3" s="1" t="str" cm="1">
        <f t="array" ref="HGK3">GetValue("Dmn","Name",HGK2)</f>
        <v/>
      </c>
      <c r="HGL3" s="1" t="str" cm="1">
        <f t="array" ref="HGL3">GetValue("Dmn","Name",HGL2)</f>
        <v/>
      </c>
      <c r="HGM3" s="1" t="str" cm="1">
        <f t="array" ref="HGM3">GetValue("Dmn","Name",HGM2)</f>
        <v/>
      </c>
      <c r="HGN3" s="1" t="str" cm="1">
        <f t="array" ref="HGN3">GetValue("Dmn","Name",HGN2)</f>
        <v/>
      </c>
      <c r="HGO3" s="1" t="str" cm="1">
        <f t="array" ref="HGO3">GetValue("Dmn","Name",HGO2)</f>
        <v/>
      </c>
      <c r="HGP3" s="1" t="str" cm="1">
        <f t="array" ref="HGP3">GetValue("Dmn","Name",HGP2)</f>
        <v/>
      </c>
      <c r="HGQ3" s="1" t="str" cm="1">
        <f t="array" ref="HGQ3">GetValue("Dmn","Name",HGQ2)</f>
        <v/>
      </c>
      <c r="HGR3" s="1" t="str" cm="1">
        <f t="array" ref="HGR3">GetValue("Dmn","Name",HGR2)</f>
        <v/>
      </c>
      <c r="HGS3" s="1" t="str" cm="1">
        <f t="array" ref="HGS3">GetValue("Dmn","Name",HGS2)</f>
        <v/>
      </c>
      <c r="HGT3" s="1" t="str" cm="1">
        <f t="array" ref="HGT3">GetValue("Dmn","Name",HGT2)</f>
        <v/>
      </c>
      <c r="HGU3" s="1" t="str" cm="1">
        <f t="array" ref="HGU3">GetValue("Dmn","Name",HGU2)</f>
        <v/>
      </c>
      <c r="HGV3" s="1" t="str" cm="1">
        <f t="array" ref="HGV3">GetValue("Dmn","Name",HGV2)</f>
        <v/>
      </c>
      <c r="HGW3" s="1" t="str" cm="1">
        <f t="array" ref="HGW3">GetValue("Dmn","Name",HGW2)</f>
        <v/>
      </c>
      <c r="HGX3" s="1" t="str" cm="1">
        <f t="array" ref="HGX3">GetValue("Dmn","Name",HGX2)</f>
        <v/>
      </c>
      <c r="HGY3" s="1" t="str" cm="1">
        <f t="array" ref="HGY3">GetValue("Dmn","Name",HGY2)</f>
        <v/>
      </c>
      <c r="HGZ3" s="1" t="str" cm="1">
        <f t="array" ref="HGZ3">GetValue("Dmn","Name",HGZ2)</f>
        <v/>
      </c>
      <c r="HHA3" s="1" t="str" cm="1">
        <f t="array" ref="HHA3">GetValue("Dmn","Name",HHA2)</f>
        <v/>
      </c>
      <c r="HHB3" s="1" t="str" cm="1">
        <f t="array" ref="HHB3">GetValue("Dmn","Name",HHB2)</f>
        <v/>
      </c>
      <c r="HHC3" s="1" t="str" cm="1">
        <f t="array" ref="HHC3">GetValue("Dmn","Name",HHC2)</f>
        <v/>
      </c>
      <c r="HHD3" s="1" t="str" cm="1">
        <f t="array" ref="HHD3">GetValue("Dmn","Name",HHD2)</f>
        <v/>
      </c>
      <c r="HHE3" s="1" t="str" cm="1">
        <f t="array" ref="HHE3">GetValue("Dmn","Name",HHE2)</f>
        <v/>
      </c>
      <c r="HHF3" s="1" t="str" cm="1">
        <f t="array" ref="HHF3">GetValue("Dmn","Name",HHF2)</f>
        <v/>
      </c>
      <c r="HHG3" s="1" t="str" cm="1">
        <f t="array" ref="HHG3">GetValue("Dmn","Name",HHG2)</f>
        <v/>
      </c>
      <c r="HHH3" s="1" t="str" cm="1">
        <f t="array" ref="HHH3">GetValue("Dmn","Name",HHH2)</f>
        <v/>
      </c>
      <c r="HHI3" s="1" t="str" cm="1">
        <f t="array" ref="HHI3">GetValue("Dmn","Name",HHI2)</f>
        <v/>
      </c>
      <c r="HHJ3" s="1" t="str" cm="1">
        <f t="array" ref="HHJ3">GetValue("Dmn","Name",HHJ2)</f>
        <v/>
      </c>
      <c r="HHK3" s="1" t="str" cm="1">
        <f t="array" ref="HHK3">GetValue("Dmn","Name",HHK2)</f>
        <v/>
      </c>
      <c r="HHL3" s="1" t="str" cm="1">
        <f t="array" ref="HHL3">GetValue("Dmn","Name",HHL2)</f>
        <v/>
      </c>
      <c r="HHM3" s="1" t="str" cm="1">
        <f t="array" ref="HHM3">GetValue("Dmn","Name",HHM2)</f>
        <v/>
      </c>
      <c r="HHN3" s="1" t="str" cm="1">
        <f t="array" ref="HHN3">GetValue("Dmn","Name",HHN2)</f>
        <v/>
      </c>
      <c r="HHO3" s="1" t="str" cm="1">
        <f t="array" ref="HHO3">GetValue("Dmn","Name",HHO2)</f>
        <v/>
      </c>
      <c r="HHP3" s="1" t="str" cm="1">
        <f t="array" ref="HHP3">GetValue("Dmn","Name",HHP2)</f>
        <v/>
      </c>
      <c r="HHQ3" s="1" t="str" cm="1">
        <f t="array" ref="HHQ3">GetValue("Dmn","Name",HHQ2)</f>
        <v/>
      </c>
      <c r="HHR3" s="1" t="str" cm="1">
        <f t="array" ref="HHR3">GetValue("Dmn","Name",HHR2)</f>
        <v/>
      </c>
      <c r="HHS3" s="1" t="str" cm="1">
        <f t="array" ref="HHS3">GetValue("Dmn","Name",HHS2)</f>
        <v/>
      </c>
      <c r="HHT3" s="1" t="str" cm="1">
        <f t="array" ref="HHT3">GetValue("Dmn","Name",HHT2)</f>
        <v/>
      </c>
      <c r="HHU3" s="1" t="str" cm="1">
        <f t="array" ref="HHU3">GetValue("Dmn","Name",HHU2)</f>
        <v/>
      </c>
      <c r="HHV3" s="1" t="str" cm="1">
        <f t="array" ref="HHV3">GetValue("Dmn","Name",HHV2)</f>
        <v/>
      </c>
      <c r="HHW3" s="1" t="str" cm="1">
        <f t="array" ref="HHW3">GetValue("Dmn","Name",HHW2)</f>
        <v/>
      </c>
      <c r="HHX3" s="1" t="str" cm="1">
        <f t="array" ref="HHX3">GetValue("Dmn","Name",HHX2)</f>
        <v/>
      </c>
      <c r="HHY3" s="1" t="str" cm="1">
        <f t="array" ref="HHY3">GetValue("Dmn","Name",HHY2)</f>
        <v/>
      </c>
      <c r="HHZ3" s="1" t="str" cm="1">
        <f t="array" ref="HHZ3">GetValue("Dmn","Name",HHZ2)</f>
        <v/>
      </c>
      <c r="HIA3" s="1" t="str" cm="1">
        <f t="array" ref="HIA3">GetValue("Dmn","Name",HIA2)</f>
        <v/>
      </c>
      <c r="HIB3" s="1" t="str" cm="1">
        <f t="array" ref="HIB3">GetValue("Dmn","Name",HIB2)</f>
        <v/>
      </c>
      <c r="HIC3" s="1" t="str" cm="1">
        <f t="array" ref="HIC3">GetValue("Dmn","Name",HIC2)</f>
        <v/>
      </c>
      <c r="HID3" s="1" t="str" cm="1">
        <f t="array" ref="HID3">GetValue("Dmn","Name",HID2)</f>
        <v/>
      </c>
      <c r="HIE3" s="1" t="str" cm="1">
        <f t="array" ref="HIE3">GetValue("Dmn","Name",HIE2)</f>
        <v/>
      </c>
      <c r="HIF3" s="1" t="str" cm="1">
        <f t="array" ref="HIF3">GetValue("Dmn","Name",HIF2)</f>
        <v/>
      </c>
      <c r="HIG3" s="1" t="str" cm="1">
        <f t="array" ref="HIG3">GetValue("Dmn","Name",HIG2)</f>
        <v/>
      </c>
      <c r="HIH3" s="1" t="str" cm="1">
        <f t="array" ref="HIH3">GetValue("Dmn","Name",HIH2)</f>
        <v/>
      </c>
      <c r="HII3" s="1" t="str" cm="1">
        <f t="array" ref="HII3">GetValue("Dmn","Name",HII2)</f>
        <v/>
      </c>
      <c r="HIJ3" s="1" t="str" cm="1">
        <f t="array" ref="HIJ3">GetValue("Dmn","Name",HIJ2)</f>
        <v/>
      </c>
      <c r="HIK3" s="1" t="str" cm="1">
        <f t="array" ref="HIK3">GetValue("Dmn","Name",HIK2)</f>
        <v/>
      </c>
      <c r="HIL3" s="1" t="str" cm="1">
        <f t="array" ref="HIL3">GetValue("Dmn","Name",HIL2)</f>
        <v/>
      </c>
      <c r="HIM3" s="1" t="str" cm="1">
        <f t="array" ref="HIM3">GetValue("Dmn","Name",HIM2)</f>
        <v/>
      </c>
      <c r="HIN3" s="1" t="str" cm="1">
        <f t="array" ref="HIN3">GetValue("Dmn","Name",HIN2)</f>
        <v/>
      </c>
      <c r="HIO3" s="1" t="str" cm="1">
        <f t="array" ref="HIO3">GetValue("Dmn","Name",HIO2)</f>
        <v/>
      </c>
      <c r="HIP3" s="1" t="str" cm="1">
        <f t="array" ref="HIP3">GetValue("Dmn","Name",HIP2)</f>
        <v/>
      </c>
      <c r="HIQ3" s="1" t="str" cm="1">
        <f t="array" ref="HIQ3">GetValue("Dmn","Name",HIQ2)</f>
        <v/>
      </c>
      <c r="HIR3" s="1" t="str" cm="1">
        <f t="array" ref="HIR3">GetValue("Dmn","Name",HIR2)</f>
        <v/>
      </c>
      <c r="HIS3" s="1" t="str" cm="1">
        <f t="array" ref="HIS3">GetValue("Dmn","Name",HIS2)</f>
        <v/>
      </c>
      <c r="HIT3" s="1" t="str" cm="1">
        <f t="array" ref="HIT3">GetValue("Dmn","Name",HIT2)</f>
        <v/>
      </c>
      <c r="HIU3" s="1" t="str" cm="1">
        <f t="array" ref="HIU3">GetValue("Dmn","Name",HIU2)</f>
        <v/>
      </c>
      <c r="HIV3" s="1" t="str" cm="1">
        <f t="array" ref="HIV3">GetValue("Dmn","Name",HIV2)</f>
        <v/>
      </c>
      <c r="HIW3" s="1" t="str" cm="1">
        <f t="array" ref="HIW3">GetValue("Dmn","Name",HIW2)</f>
        <v/>
      </c>
      <c r="HIX3" s="1" t="str" cm="1">
        <f t="array" ref="HIX3">GetValue("Dmn","Name",HIX2)</f>
        <v/>
      </c>
      <c r="HIY3" s="1" t="str" cm="1">
        <f t="array" ref="HIY3">GetValue("Dmn","Name",HIY2)</f>
        <v/>
      </c>
      <c r="HIZ3" s="1" t="str" cm="1">
        <f t="array" ref="HIZ3">GetValue("Dmn","Name",HIZ2)</f>
        <v/>
      </c>
      <c r="HJA3" s="1" t="str" cm="1">
        <f t="array" ref="HJA3">GetValue("Dmn","Name",HJA2)</f>
        <v/>
      </c>
      <c r="HJB3" s="1" t="str" cm="1">
        <f t="array" ref="HJB3">GetValue("Dmn","Name",HJB2)</f>
        <v/>
      </c>
      <c r="HJC3" s="1" t="str" cm="1">
        <f t="array" ref="HJC3">GetValue("Dmn","Name",HJC2)</f>
        <v/>
      </c>
      <c r="HJD3" s="1" t="str" cm="1">
        <f t="array" ref="HJD3">GetValue("Dmn","Name",HJD2)</f>
        <v/>
      </c>
      <c r="HJE3" s="1" t="str" cm="1">
        <f t="array" ref="HJE3">GetValue("Dmn","Name",HJE2)</f>
        <v/>
      </c>
      <c r="HJF3" s="1" t="str" cm="1">
        <f t="array" ref="HJF3">GetValue("Dmn","Name",HJF2)</f>
        <v/>
      </c>
      <c r="HJG3" s="1" t="str" cm="1">
        <f t="array" ref="HJG3">GetValue("Dmn","Name",HJG2)</f>
        <v/>
      </c>
      <c r="HJH3" s="1" t="str" cm="1">
        <f t="array" ref="HJH3">GetValue("Dmn","Name",HJH2)</f>
        <v/>
      </c>
      <c r="HJI3" s="1" t="str" cm="1">
        <f t="array" ref="HJI3">GetValue("Dmn","Name",HJI2)</f>
        <v/>
      </c>
      <c r="HJJ3" s="1" t="str" cm="1">
        <f t="array" ref="HJJ3">GetValue("Dmn","Name",HJJ2)</f>
        <v/>
      </c>
      <c r="HJK3" s="1" t="str" cm="1">
        <f t="array" ref="HJK3">GetValue("Dmn","Name",HJK2)</f>
        <v/>
      </c>
      <c r="HJL3" s="1" t="str" cm="1">
        <f t="array" ref="HJL3">GetValue("Dmn","Name",HJL2)</f>
        <v/>
      </c>
      <c r="HJM3" s="1" t="str" cm="1">
        <f t="array" ref="HJM3">GetValue("Dmn","Name",HJM2)</f>
        <v/>
      </c>
      <c r="HJN3" s="1" t="str" cm="1">
        <f t="array" ref="HJN3">GetValue("Dmn","Name",HJN2)</f>
        <v/>
      </c>
      <c r="HJO3" s="1" t="str" cm="1">
        <f t="array" ref="HJO3">GetValue("Dmn","Name",HJO2)</f>
        <v/>
      </c>
      <c r="HJP3" s="1" t="str" cm="1">
        <f t="array" ref="HJP3">GetValue("Dmn","Name",HJP2)</f>
        <v/>
      </c>
      <c r="HJQ3" s="1" t="str" cm="1">
        <f t="array" ref="HJQ3">GetValue("Dmn","Name",HJQ2)</f>
        <v/>
      </c>
      <c r="HJR3" s="1" t="str" cm="1">
        <f t="array" ref="HJR3">GetValue("Dmn","Name",HJR2)</f>
        <v/>
      </c>
      <c r="HJS3" s="1" t="str" cm="1">
        <f t="array" ref="HJS3">GetValue("Dmn","Name",HJS2)</f>
        <v/>
      </c>
      <c r="HJT3" s="1" t="str" cm="1">
        <f t="array" ref="HJT3">GetValue("Dmn","Name",HJT2)</f>
        <v/>
      </c>
      <c r="HJU3" s="1" t="str" cm="1">
        <f t="array" ref="HJU3">GetValue("Dmn","Name",HJU2)</f>
        <v/>
      </c>
      <c r="HJV3" s="1" t="str" cm="1">
        <f t="array" ref="HJV3">GetValue("Dmn","Name",HJV2)</f>
        <v/>
      </c>
      <c r="HJW3" s="1" t="str" cm="1">
        <f t="array" ref="HJW3">GetValue("Dmn","Name",HJW2)</f>
        <v/>
      </c>
      <c r="HJX3" s="1" t="str" cm="1">
        <f t="array" ref="HJX3">GetValue("Dmn","Name",HJX2)</f>
        <v/>
      </c>
      <c r="HJY3" s="1" t="str" cm="1">
        <f t="array" ref="HJY3">GetValue("Dmn","Name",HJY2)</f>
        <v/>
      </c>
      <c r="HJZ3" s="1" t="str" cm="1">
        <f t="array" ref="HJZ3">GetValue("Dmn","Name",HJZ2)</f>
        <v/>
      </c>
      <c r="HKA3" s="1" t="str" cm="1">
        <f t="array" ref="HKA3">GetValue("Dmn","Name",HKA2)</f>
        <v/>
      </c>
      <c r="HKB3" s="1" t="str" cm="1">
        <f t="array" ref="HKB3">GetValue("Dmn","Name",HKB2)</f>
        <v/>
      </c>
      <c r="HKC3" s="1" t="str" cm="1">
        <f t="array" ref="HKC3">GetValue("Dmn","Name",HKC2)</f>
        <v/>
      </c>
      <c r="HKD3" s="1" t="str" cm="1">
        <f t="array" ref="HKD3">GetValue("Dmn","Name",HKD2)</f>
        <v/>
      </c>
      <c r="HKE3" s="1" t="str" cm="1">
        <f t="array" ref="HKE3">GetValue("Dmn","Name",HKE2)</f>
        <v/>
      </c>
      <c r="HKF3" s="1" t="str" cm="1">
        <f t="array" ref="HKF3">GetValue("Dmn","Name",HKF2)</f>
        <v/>
      </c>
      <c r="HKG3" s="1" t="str" cm="1">
        <f t="array" ref="HKG3">GetValue("Dmn","Name",HKG2)</f>
        <v/>
      </c>
      <c r="HKH3" s="1" t="str" cm="1">
        <f t="array" ref="HKH3">GetValue("Dmn","Name",HKH2)</f>
        <v/>
      </c>
      <c r="HKI3" s="1" t="str" cm="1">
        <f t="array" ref="HKI3">GetValue("Dmn","Name",HKI2)</f>
        <v/>
      </c>
      <c r="HKJ3" s="1" t="str" cm="1">
        <f t="array" ref="HKJ3">GetValue("Dmn","Name",HKJ2)</f>
        <v/>
      </c>
      <c r="HKK3" s="1" t="str" cm="1">
        <f t="array" ref="HKK3">GetValue("Dmn","Name",HKK2)</f>
        <v/>
      </c>
      <c r="HKL3" s="1" t="str" cm="1">
        <f t="array" ref="HKL3">GetValue("Dmn","Name",HKL2)</f>
        <v/>
      </c>
      <c r="HKM3" s="1" t="str" cm="1">
        <f t="array" ref="HKM3">GetValue("Dmn","Name",HKM2)</f>
        <v/>
      </c>
      <c r="HKN3" s="1" t="str" cm="1">
        <f t="array" ref="HKN3">GetValue("Dmn","Name",HKN2)</f>
        <v/>
      </c>
      <c r="HKO3" s="1" t="str" cm="1">
        <f t="array" ref="HKO3">GetValue("Dmn","Name",HKO2)</f>
        <v/>
      </c>
      <c r="HKP3" s="1" t="str" cm="1">
        <f t="array" ref="HKP3">GetValue("Dmn","Name",HKP2)</f>
        <v/>
      </c>
      <c r="HKQ3" s="1" t="str" cm="1">
        <f t="array" ref="HKQ3">GetValue("Dmn","Name",HKQ2)</f>
        <v/>
      </c>
      <c r="HKR3" s="1" t="str" cm="1">
        <f t="array" ref="HKR3">GetValue("Dmn","Name",HKR2)</f>
        <v/>
      </c>
      <c r="HKS3" s="1" t="str" cm="1">
        <f t="array" ref="HKS3">GetValue("Dmn","Name",HKS2)</f>
        <v/>
      </c>
      <c r="HKT3" s="1" t="str" cm="1">
        <f t="array" ref="HKT3">GetValue("Dmn","Name",HKT2)</f>
        <v/>
      </c>
      <c r="HKU3" s="1" t="str" cm="1">
        <f t="array" ref="HKU3">GetValue("Dmn","Name",HKU2)</f>
        <v/>
      </c>
      <c r="HKV3" s="1" t="str" cm="1">
        <f t="array" ref="HKV3">GetValue("Dmn","Name",HKV2)</f>
        <v/>
      </c>
      <c r="HKW3" s="1" t="str" cm="1">
        <f t="array" ref="HKW3">GetValue("Dmn","Name",HKW2)</f>
        <v/>
      </c>
      <c r="HKX3" s="1" t="str" cm="1">
        <f t="array" ref="HKX3">GetValue("Dmn","Name",HKX2)</f>
        <v/>
      </c>
      <c r="HKY3" s="1" t="str" cm="1">
        <f t="array" ref="HKY3">GetValue("Dmn","Name",HKY2)</f>
        <v/>
      </c>
      <c r="HKZ3" s="1" t="str" cm="1">
        <f t="array" ref="HKZ3">GetValue("Dmn","Name",HKZ2)</f>
        <v/>
      </c>
      <c r="HLA3" s="1" t="str" cm="1">
        <f t="array" ref="HLA3">GetValue("Dmn","Name",HLA2)</f>
        <v/>
      </c>
      <c r="HLB3" s="1" t="str" cm="1">
        <f t="array" ref="HLB3">GetValue("Dmn","Name",HLB2)</f>
        <v/>
      </c>
      <c r="HLC3" s="1" t="str" cm="1">
        <f t="array" ref="HLC3">GetValue("Dmn","Name",HLC2)</f>
        <v/>
      </c>
      <c r="HLD3" s="1" t="str" cm="1">
        <f t="array" ref="HLD3">GetValue("Dmn","Name",HLD2)</f>
        <v/>
      </c>
      <c r="HLE3" s="1" t="str" cm="1">
        <f t="array" ref="HLE3">GetValue("Dmn","Name",HLE2)</f>
        <v/>
      </c>
      <c r="HLF3" s="1" t="str" cm="1">
        <f t="array" ref="HLF3">GetValue("Dmn","Name",HLF2)</f>
        <v/>
      </c>
      <c r="HLG3" s="1" t="str" cm="1">
        <f t="array" ref="HLG3">GetValue("Dmn","Name",HLG2)</f>
        <v/>
      </c>
      <c r="HLH3" s="1" t="str" cm="1">
        <f t="array" ref="HLH3">GetValue("Dmn","Name",HLH2)</f>
        <v/>
      </c>
      <c r="HLI3" s="1" t="str" cm="1">
        <f t="array" ref="HLI3">GetValue("Dmn","Name",HLI2)</f>
        <v/>
      </c>
      <c r="HLJ3" s="1" t="str" cm="1">
        <f t="array" ref="HLJ3">GetValue("Dmn","Name",HLJ2)</f>
        <v/>
      </c>
      <c r="HLK3" s="1" t="str" cm="1">
        <f t="array" ref="HLK3">GetValue("Dmn","Name",HLK2)</f>
        <v/>
      </c>
      <c r="HLL3" s="1" t="str" cm="1">
        <f t="array" ref="HLL3">GetValue("Dmn","Name",HLL2)</f>
        <v/>
      </c>
      <c r="HLM3" s="1" t="str" cm="1">
        <f t="array" ref="HLM3">GetValue("Dmn","Name",HLM2)</f>
        <v/>
      </c>
      <c r="HLN3" s="1" t="str" cm="1">
        <f t="array" ref="HLN3">GetValue("Dmn","Name",HLN2)</f>
        <v/>
      </c>
      <c r="HLO3" s="1" t="str" cm="1">
        <f t="array" ref="HLO3">GetValue("Dmn","Name",HLO2)</f>
        <v/>
      </c>
      <c r="HLP3" s="1" t="str" cm="1">
        <f t="array" ref="HLP3">GetValue("Dmn","Name",HLP2)</f>
        <v/>
      </c>
      <c r="HLQ3" s="1" t="str" cm="1">
        <f t="array" ref="HLQ3">GetValue("Dmn","Name",HLQ2)</f>
        <v/>
      </c>
      <c r="HLR3" s="1" t="str" cm="1">
        <f t="array" ref="HLR3">GetValue("Dmn","Name",HLR2)</f>
        <v/>
      </c>
      <c r="HLS3" s="1" t="str" cm="1">
        <f t="array" ref="HLS3">GetValue("Dmn","Name",HLS2)</f>
        <v/>
      </c>
      <c r="HLT3" s="1" t="str" cm="1">
        <f t="array" ref="HLT3">GetValue("Dmn","Name",HLT2)</f>
        <v/>
      </c>
      <c r="HLU3" s="1" t="str" cm="1">
        <f t="array" ref="HLU3">GetValue("Dmn","Name",HLU2)</f>
        <v/>
      </c>
      <c r="HLV3" s="1" t="str" cm="1">
        <f t="array" ref="HLV3">GetValue("Dmn","Name",HLV2)</f>
        <v/>
      </c>
      <c r="HLW3" s="1" t="str" cm="1">
        <f t="array" ref="HLW3">GetValue("Dmn","Name",HLW2)</f>
        <v/>
      </c>
      <c r="HLX3" s="1" t="str" cm="1">
        <f t="array" ref="HLX3">GetValue("Dmn","Name",HLX2)</f>
        <v/>
      </c>
      <c r="HLY3" s="1" t="str" cm="1">
        <f t="array" ref="HLY3">GetValue("Dmn","Name",HLY2)</f>
        <v/>
      </c>
      <c r="HLZ3" s="1" t="str" cm="1">
        <f t="array" ref="HLZ3">GetValue("Dmn","Name",HLZ2)</f>
        <v/>
      </c>
      <c r="HMA3" s="1" t="str" cm="1">
        <f t="array" ref="HMA3">GetValue("Dmn","Name",HMA2)</f>
        <v/>
      </c>
      <c r="HMB3" s="1" t="str" cm="1">
        <f t="array" ref="HMB3">GetValue("Dmn","Name",HMB2)</f>
        <v/>
      </c>
      <c r="HMC3" s="1" t="str" cm="1">
        <f t="array" ref="HMC3">GetValue("Dmn","Name",HMC2)</f>
        <v/>
      </c>
      <c r="HMD3" s="1" t="str" cm="1">
        <f t="array" ref="HMD3">GetValue("Dmn","Name",HMD2)</f>
        <v/>
      </c>
      <c r="HME3" s="1" t="str" cm="1">
        <f t="array" ref="HME3">GetValue("Dmn","Name",HME2)</f>
        <v/>
      </c>
      <c r="HMF3" s="1" t="str" cm="1">
        <f t="array" ref="HMF3">GetValue("Dmn","Name",HMF2)</f>
        <v/>
      </c>
      <c r="HMG3" s="1" t="str" cm="1">
        <f t="array" ref="HMG3">GetValue("Dmn","Name",HMG2)</f>
        <v/>
      </c>
      <c r="HMH3" s="1" t="str" cm="1">
        <f t="array" ref="HMH3">GetValue("Dmn","Name",HMH2)</f>
        <v/>
      </c>
      <c r="HMI3" s="1" t="str" cm="1">
        <f t="array" ref="HMI3">GetValue("Dmn","Name",HMI2)</f>
        <v/>
      </c>
      <c r="HMJ3" s="1" t="str" cm="1">
        <f t="array" ref="HMJ3">GetValue("Dmn","Name",HMJ2)</f>
        <v/>
      </c>
      <c r="HMK3" s="1" t="str" cm="1">
        <f t="array" ref="HMK3">GetValue("Dmn","Name",HMK2)</f>
        <v/>
      </c>
      <c r="HML3" s="1" t="str" cm="1">
        <f t="array" ref="HML3">GetValue("Dmn","Name",HML2)</f>
        <v/>
      </c>
      <c r="HMM3" s="1" t="str" cm="1">
        <f t="array" ref="HMM3">GetValue("Dmn","Name",HMM2)</f>
        <v/>
      </c>
      <c r="HMN3" s="1" t="str" cm="1">
        <f t="array" ref="HMN3">GetValue("Dmn","Name",HMN2)</f>
        <v/>
      </c>
      <c r="HMO3" s="1" t="str" cm="1">
        <f t="array" ref="HMO3">GetValue("Dmn","Name",HMO2)</f>
        <v/>
      </c>
      <c r="HMP3" s="1" t="str" cm="1">
        <f t="array" ref="HMP3">GetValue("Dmn","Name",HMP2)</f>
        <v/>
      </c>
      <c r="HMQ3" s="1" t="str" cm="1">
        <f t="array" ref="HMQ3">GetValue("Dmn","Name",HMQ2)</f>
        <v/>
      </c>
      <c r="HMR3" s="1" t="str" cm="1">
        <f t="array" ref="HMR3">GetValue("Dmn","Name",HMR2)</f>
        <v/>
      </c>
      <c r="HMS3" s="1" t="str" cm="1">
        <f t="array" ref="HMS3">GetValue("Dmn","Name",HMS2)</f>
        <v/>
      </c>
      <c r="HMT3" s="1" t="str" cm="1">
        <f t="array" ref="HMT3">GetValue("Dmn","Name",HMT2)</f>
        <v/>
      </c>
      <c r="HMU3" s="1" t="str" cm="1">
        <f t="array" ref="HMU3">GetValue("Dmn","Name",HMU2)</f>
        <v/>
      </c>
      <c r="HMV3" s="1" t="str" cm="1">
        <f t="array" ref="HMV3">GetValue("Dmn","Name",HMV2)</f>
        <v/>
      </c>
      <c r="HMW3" s="1" t="str" cm="1">
        <f t="array" ref="HMW3">GetValue("Dmn","Name",HMW2)</f>
        <v/>
      </c>
      <c r="HMX3" s="1" t="str" cm="1">
        <f t="array" ref="HMX3">GetValue("Dmn","Name",HMX2)</f>
        <v/>
      </c>
      <c r="HMY3" s="1" t="str" cm="1">
        <f t="array" ref="HMY3">GetValue("Dmn","Name",HMY2)</f>
        <v/>
      </c>
      <c r="HMZ3" s="1" t="str" cm="1">
        <f t="array" ref="HMZ3">GetValue("Dmn","Name",HMZ2)</f>
        <v/>
      </c>
      <c r="HNA3" s="1" t="str" cm="1">
        <f t="array" ref="HNA3">GetValue("Dmn","Name",HNA2)</f>
        <v/>
      </c>
      <c r="HNB3" s="1" t="str" cm="1">
        <f t="array" ref="HNB3">GetValue("Dmn","Name",HNB2)</f>
        <v/>
      </c>
      <c r="HNC3" s="1" t="str" cm="1">
        <f t="array" ref="HNC3">GetValue("Dmn","Name",HNC2)</f>
        <v/>
      </c>
      <c r="HND3" s="1" t="str" cm="1">
        <f t="array" ref="HND3">GetValue("Dmn","Name",HND2)</f>
        <v/>
      </c>
      <c r="HNE3" s="1" t="str" cm="1">
        <f t="array" ref="HNE3">GetValue("Dmn","Name",HNE2)</f>
        <v/>
      </c>
      <c r="HNF3" s="1" t="str" cm="1">
        <f t="array" ref="HNF3">GetValue("Dmn","Name",HNF2)</f>
        <v/>
      </c>
      <c r="HNG3" s="1" t="str" cm="1">
        <f t="array" ref="HNG3">GetValue("Dmn","Name",HNG2)</f>
        <v/>
      </c>
      <c r="HNH3" s="1" t="str" cm="1">
        <f t="array" ref="HNH3">GetValue("Dmn","Name",HNH2)</f>
        <v/>
      </c>
      <c r="HNI3" s="1" t="str" cm="1">
        <f t="array" ref="HNI3">GetValue("Dmn","Name",HNI2)</f>
        <v/>
      </c>
      <c r="HNJ3" s="1" t="str" cm="1">
        <f t="array" ref="HNJ3">GetValue("Dmn","Name",HNJ2)</f>
        <v/>
      </c>
      <c r="HNK3" s="1" t="str" cm="1">
        <f t="array" ref="HNK3">GetValue("Dmn","Name",HNK2)</f>
        <v/>
      </c>
      <c r="HNL3" s="1" t="str" cm="1">
        <f t="array" ref="HNL3">GetValue("Dmn","Name",HNL2)</f>
        <v/>
      </c>
      <c r="HNM3" s="1" t="str" cm="1">
        <f t="array" ref="HNM3">GetValue("Dmn","Name",HNM2)</f>
        <v/>
      </c>
      <c r="HNN3" s="1" t="str" cm="1">
        <f t="array" ref="HNN3">GetValue("Dmn","Name",HNN2)</f>
        <v/>
      </c>
      <c r="HNO3" s="1" t="str" cm="1">
        <f t="array" ref="HNO3">GetValue("Dmn","Name",HNO2)</f>
        <v/>
      </c>
      <c r="HNP3" s="1" t="str" cm="1">
        <f t="array" ref="HNP3">GetValue("Dmn","Name",HNP2)</f>
        <v/>
      </c>
      <c r="HNQ3" s="1" t="str" cm="1">
        <f t="array" ref="HNQ3">GetValue("Dmn","Name",HNQ2)</f>
        <v/>
      </c>
      <c r="HNR3" s="1" t="str" cm="1">
        <f t="array" ref="HNR3">GetValue("Dmn","Name",HNR2)</f>
        <v/>
      </c>
      <c r="HNS3" s="1" t="str" cm="1">
        <f t="array" ref="HNS3">GetValue("Dmn","Name",HNS2)</f>
        <v/>
      </c>
      <c r="HNT3" s="1" t="str" cm="1">
        <f t="array" ref="HNT3">GetValue("Dmn","Name",HNT2)</f>
        <v/>
      </c>
      <c r="HNU3" s="1" t="str" cm="1">
        <f t="array" ref="HNU3">GetValue("Dmn","Name",HNU2)</f>
        <v/>
      </c>
      <c r="HNV3" s="1" t="str" cm="1">
        <f t="array" ref="HNV3">GetValue("Dmn","Name",HNV2)</f>
        <v/>
      </c>
      <c r="HNW3" s="1" t="str" cm="1">
        <f t="array" ref="HNW3">GetValue("Dmn","Name",HNW2)</f>
        <v/>
      </c>
      <c r="HNX3" s="1" t="str" cm="1">
        <f t="array" ref="HNX3">GetValue("Dmn","Name",HNX2)</f>
        <v/>
      </c>
      <c r="HNY3" s="1" t="str" cm="1">
        <f t="array" ref="HNY3">GetValue("Dmn","Name",HNY2)</f>
        <v/>
      </c>
      <c r="HNZ3" s="1" t="str" cm="1">
        <f t="array" ref="HNZ3">GetValue("Dmn","Name",HNZ2)</f>
        <v/>
      </c>
      <c r="HOA3" s="1" t="str" cm="1">
        <f t="array" ref="HOA3">GetValue("Dmn","Name",HOA2)</f>
        <v/>
      </c>
      <c r="HOB3" s="1" t="str" cm="1">
        <f t="array" ref="HOB3">GetValue("Dmn","Name",HOB2)</f>
        <v/>
      </c>
      <c r="HOC3" s="1" t="str" cm="1">
        <f t="array" ref="HOC3">GetValue("Dmn","Name",HOC2)</f>
        <v/>
      </c>
      <c r="HOD3" s="1" t="str" cm="1">
        <f t="array" ref="HOD3">GetValue("Dmn","Name",HOD2)</f>
        <v/>
      </c>
      <c r="HOE3" s="1" t="str" cm="1">
        <f t="array" ref="HOE3">GetValue("Dmn","Name",HOE2)</f>
        <v/>
      </c>
      <c r="HOF3" s="1" t="str" cm="1">
        <f t="array" ref="HOF3">GetValue("Dmn","Name",HOF2)</f>
        <v/>
      </c>
      <c r="HOG3" s="1" t="str" cm="1">
        <f t="array" ref="HOG3">GetValue("Dmn","Name",HOG2)</f>
        <v/>
      </c>
      <c r="HOH3" s="1" t="str" cm="1">
        <f t="array" ref="HOH3">GetValue("Dmn","Name",HOH2)</f>
        <v/>
      </c>
      <c r="HOI3" s="1" t="str" cm="1">
        <f t="array" ref="HOI3">GetValue("Dmn","Name",HOI2)</f>
        <v/>
      </c>
      <c r="HOJ3" s="1" t="str" cm="1">
        <f t="array" ref="HOJ3">GetValue("Dmn","Name",HOJ2)</f>
        <v/>
      </c>
      <c r="HOK3" s="1" t="str" cm="1">
        <f t="array" ref="HOK3">GetValue("Dmn","Name",HOK2)</f>
        <v/>
      </c>
      <c r="HOL3" s="1" t="str" cm="1">
        <f t="array" ref="HOL3">GetValue("Dmn","Name",HOL2)</f>
        <v/>
      </c>
      <c r="HOM3" s="1" t="str" cm="1">
        <f t="array" ref="HOM3">GetValue("Dmn","Name",HOM2)</f>
        <v/>
      </c>
      <c r="HON3" s="1" t="str" cm="1">
        <f t="array" ref="HON3">GetValue("Dmn","Name",HON2)</f>
        <v/>
      </c>
      <c r="HOO3" s="1" t="str" cm="1">
        <f t="array" ref="HOO3">GetValue("Dmn","Name",HOO2)</f>
        <v/>
      </c>
      <c r="HOP3" s="1" t="str" cm="1">
        <f t="array" ref="HOP3">GetValue("Dmn","Name",HOP2)</f>
        <v/>
      </c>
      <c r="HOQ3" s="1" t="str" cm="1">
        <f t="array" ref="HOQ3">GetValue("Dmn","Name",HOQ2)</f>
        <v/>
      </c>
      <c r="HOR3" s="1" t="str" cm="1">
        <f t="array" ref="HOR3">GetValue("Dmn","Name",HOR2)</f>
        <v/>
      </c>
      <c r="HOS3" s="1" t="str" cm="1">
        <f t="array" ref="HOS3">GetValue("Dmn","Name",HOS2)</f>
        <v/>
      </c>
      <c r="HOT3" s="1" t="str" cm="1">
        <f t="array" ref="HOT3">GetValue("Dmn","Name",HOT2)</f>
        <v/>
      </c>
      <c r="HOU3" s="1" t="str" cm="1">
        <f t="array" ref="HOU3">GetValue("Dmn","Name",HOU2)</f>
        <v/>
      </c>
      <c r="HOV3" s="1" t="str" cm="1">
        <f t="array" ref="HOV3">GetValue("Dmn","Name",HOV2)</f>
        <v/>
      </c>
      <c r="HOW3" s="1" t="str" cm="1">
        <f t="array" ref="HOW3">GetValue("Dmn","Name",HOW2)</f>
        <v/>
      </c>
      <c r="HOX3" s="1" t="str" cm="1">
        <f t="array" ref="HOX3">GetValue("Dmn","Name",HOX2)</f>
        <v/>
      </c>
      <c r="HOY3" s="1" t="str" cm="1">
        <f t="array" ref="HOY3">GetValue("Dmn","Name",HOY2)</f>
        <v/>
      </c>
      <c r="HOZ3" s="1" t="str" cm="1">
        <f t="array" ref="HOZ3">GetValue("Dmn","Name",HOZ2)</f>
        <v/>
      </c>
      <c r="HPA3" s="1" t="str" cm="1">
        <f t="array" ref="HPA3">GetValue("Dmn","Name",HPA2)</f>
        <v/>
      </c>
      <c r="HPB3" s="1" t="str" cm="1">
        <f t="array" ref="HPB3">GetValue("Dmn","Name",HPB2)</f>
        <v/>
      </c>
      <c r="HPC3" s="1" t="str" cm="1">
        <f t="array" ref="HPC3">GetValue("Dmn","Name",HPC2)</f>
        <v/>
      </c>
      <c r="HPD3" s="1" t="str" cm="1">
        <f t="array" ref="HPD3">GetValue("Dmn","Name",HPD2)</f>
        <v/>
      </c>
      <c r="HPE3" s="1" t="str" cm="1">
        <f t="array" ref="HPE3">GetValue("Dmn","Name",HPE2)</f>
        <v/>
      </c>
      <c r="HPF3" s="1" t="str" cm="1">
        <f t="array" ref="HPF3">GetValue("Dmn","Name",HPF2)</f>
        <v/>
      </c>
      <c r="HPG3" s="1" t="str" cm="1">
        <f t="array" ref="HPG3">GetValue("Dmn","Name",HPG2)</f>
        <v/>
      </c>
      <c r="HPH3" s="1" t="str" cm="1">
        <f t="array" ref="HPH3">GetValue("Dmn","Name",HPH2)</f>
        <v/>
      </c>
      <c r="HPI3" s="1" t="str" cm="1">
        <f t="array" ref="HPI3">GetValue("Dmn","Name",HPI2)</f>
        <v/>
      </c>
      <c r="HPJ3" s="1" t="str" cm="1">
        <f t="array" ref="HPJ3">GetValue("Dmn","Name",HPJ2)</f>
        <v/>
      </c>
      <c r="HPK3" s="1" t="str" cm="1">
        <f t="array" ref="HPK3">GetValue("Dmn","Name",HPK2)</f>
        <v/>
      </c>
      <c r="HPL3" s="1" t="str" cm="1">
        <f t="array" ref="HPL3">GetValue("Dmn","Name",HPL2)</f>
        <v/>
      </c>
      <c r="HPM3" s="1" t="str" cm="1">
        <f t="array" ref="HPM3">GetValue("Dmn","Name",HPM2)</f>
        <v/>
      </c>
      <c r="HPN3" s="1" t="str" cm="1">
        <f t="array" ref="HPN3">GetValue("Dmn","Name",HPN2)</f>
        <v/>
      </c>
      <c r="HPO3" s="1" t="str" cm="1">
        <f t="array" ref="HPO3">GetValue("Dmn","Name",HPO2)</f>
        <v/>
      </c>
      <c r="HPP3" s="1" t="str" cm="1">
        <f t="array" ref="HPP3">GetValue("Dmn","Name",HPP2)</f>
        <v/>
      </c>
      <c r="HPQ3" s="1" t="str" cm="1">
        <f t="array" ref="HPQ3">GetValue("Dmn","Name",HPQ2)</f>
        <v/>
      </c>
      <c r="HPR3" s="1" t="str" cm="1">
        <f t="array" ref="HPR3">GetValue("Dmn","Name",HPR2)</f>
        <v/>
      </c>
      <c r="HPS3" s="1" t="str" cm="1">
        <f t="array" ref="HPS3">GetValue("Dmn","Name",HPS2)</f>
        <v/>
      </c>
      <c r="HPT3" s="1" t="str" cm="1">
        <f t="array" ref="HPT3">GetValue("Dmn","Name",HPT2)</f>
        <v/>
      </c>
      <c r="HPU3" s="1" t="str" cm="1">
        <f t="array" ref="HPU3">GetValue("Dmn","Name",HPU2)</f>
        <v/>
      </c>
      <c r="HPV3" s="1" t="str" cm="1">
        <f t="array" ref="HPV3">GetValue("Dmn","Name",HPV2)</f>
        <v/>
      </c>
      <c r="HPW3" s="1" t="str" cm="1">
        <f t="array" ref="HPW3">GetValue("Dmn","Name",HPW2)</f>
        <v/>
      </c>
      <c r="HPX3" s="1" t="str" cm="1">
        <f t="array" ref="HPX3">GetValue("Dmn","Name",HPX2)</f>
        <v/>
      </c>
      <c r="HPY3" s="1" t="str" cm="1">
        <f t="array" ref="HPY3">GetValue("Dmn","Name",HPY2)</f>
        <v/>
      </c>
      <c r="HPZ3" s="1" t="str" cm="1">
        <f t="array" ref="HPZ3">GetValue("Dmn","Name",HPZ2)</f>
        <v/>
      </c>
      <c r="HQA3" s="1" t="str" cm="1">
        <f t="array" ref="HQA3">GetValue("Dmn","Name",HQA2)</f>
        <v/>
      </c>
      <c r="HQB3" s="1" t="str" cm="1">
        <f t="array" ref="HQB3">GetValue("Dmn","Name",HQB2)</f>
        <v/>
      </c>
      <c r="HQC3" s="1" t="str" cm="1">
        <f t="array" ref="HQC3">GetValue("Dmn","Name",HQC2)</f>
        <v/>
      </c>
      <c r="HQD3" s="1" t="str" cm="1">
        <f t="array" ref="HQD3">GetValue("Dmn","Name",HQD2)</f>
        <v/>
      </c>
      <c r="HQE3" s="1" t="str" cm="1">
        <f t="array" ref="HQE3">GetValue("Dmn","Name",HQE2)</f>
        <v/>
      </c>
      <c r="HQF3" s="1" t="str" cm="1">
        <f t="array" ref="HQF3">GetValue("Dmn","Name",HQF2)</f>
        <v/>
      </c>
      <c r="HQG3" s="1" t="str" cm="1">
        <f t="array" ref="HQG3">GetValue("Dmn","Name",HQG2)</f>
        <v/>
      </c>
      <c r="HQH3" s="1" t="str" cm="1">
        <f t="array" ref="HQH3">GetValue("Dmn","Name",HQH2)</f>
        <v/>
      </c>
      <c r="HQI3" s="1" t="str" cm="1">
        <f t="array" ref="HQI3">GetValue("Dmn","Name",HQI2)</f>
        <v/>
      </c>
      <c r="HQJ3" s="1" t="str" cm="1">
        <f t="array" ref="HQJ3">GetValue("Dmn","Name",HQJ2)</f>
        <v/>
      </c>
      <c r="HQK3" s="1" t="str" cm="1">
        <f t="array" ref="HQK3">GetValue("Dmn","Name",HQK2)</f>
        <v/>
      </c>
      <c r="HQL3" s="1" t="str" cm="1">
        <f t="array" ref="HQL3">GetValue("Dmn","Name",HQL2)</f>
        <v/>
      </c>
      <c r="HQM3" s="1" t="str" cm="1">
        <f t="array" ref="HQM3">GetValue("Dmn","Name",HQM2)</f>
        <v/>
      </c>
      <c r="HQN3" s="1" t="str" cm="1">
        <f t="array" ref="HQN3">GetValue("Dmn","Name",HQN2)</f>
        <v/>
      </c>
      <c r="HQO3" s="1" t="str" cm="1">
        <f t="array" ref="HQO3">GetValue("Dmn","Name",HQO2)</f>
        <v/>
      </c>
      <c r="HQP3" s="1" t="str" cm="1">
        <f t="array" ref="HQP3">GetValue("Dmn","Name",HQP2)</f>
        <v/>
      </c>
      <c r="HQQ3" s="1" t="str" cm="1">
        <f t="array" ref="HQQ3">GetValue("Dmn","Name",HQQ2)</f>
        <v/>
      </c>
      <c r="HQR3" s="1" t="str" cm="1">
        <f t="array" ref="HQR3">GetValue("Dmn","Name",HQR2)</f>
        <v/>
      </c>
      <c r="HQS3" s="1" t="str" cm="1">
        <f t="array" ref="HQS3">GetValue("Dmn","Name",HQS2)</f>
        <v/>
      </c>
      <c r="HQT3" s="1" t="str" cm="1">
        <f t="array" ref="HQT3">GetValue("Dmn","Name",HQT2)</f>
        <v/>
      </c>
      <c r="HQU3" s="1" t="str" cm="1">
        <f t="array" ref="HQU3">GetValue("Dmn","Name",HQU2)</f>
        <v/>
      </c>
      <c r="HQV3" s="1" t="str" cm="1">
        <f t="array" ref="HQV3">GetValue("Dmn","Name",HQV2)</f>
        <v/>
      </c>
      <c r="HQW3" s="1" t="str" cm="1">
        <f t="array" ref="HQW3">GetValue("Dmn","Name",HQW2)</f>
        <v/>
      </c>
      <c r="HQX3" s="1" t="str" cm="1">
        <f t="array" ref="HQX3">GetValue("Dmn","Name",HQX2)</f>
        <v/>
      </c>
      <c r="HQY3" s="1" t="str" cm="1">
        <f t="array" ref="HQY3">GetValue("Dmn","Name",HQY2)</f>
        <v/>
      </c>
      <c r="HQZ3" s="1" t="str" cm="1">
        <f t="array" ref="HQZ3">GetValue("Dmn","Name",HQZ2)</f>
        <v/>
      </c>
      <c r="HRA3" s="1" t="str" cm="1">
        <f t="array" ref="HRA3">GetValue("Dmn","Name",HRA2)</f>
        <v/>
      </c>
      <c r="HRB3" s="1" t="str" cm="1">
        <f t="array" ref="HRB3">GetValue("Dmn","Name",HRB2)</f>
        <v/>
      </c>
      <c r="HRC3" s="1" t="str" cm="1">
        <f t="array" ref="HRC3">GetValue("Dmn","Name",HRC2)</f>
        <v/>
      </c>
      <c r="HRD3" s="1" t="str" cm="1">
        <f t="array" ref="HRD3">GetValue("Dmn","Name",HRD2)</f>
        <v/>
      </c>
      <c r="HRE3" s="1" t="str" cm="1">
        <f t="array" ref="HRE3">GetValue("Dmn","Name",HRE2)</f>
        <v/>
      </c>
      <c r="HRF3" s="1" t="str" cm="1">
        <f t="array" ref="HRF3">GetValue("Dmn","Name",HRF2)</f>
        <v/>
      </c>
      <c r="HRG3" s="1" t="str" cm="1">
        <f t="array" ref="HRG3">GetValue("Dmn","Name",HRG2)</f>
        <v/>
      </c>
      <c r="HRH3" s="1" t="str" cm="1">
        <f t="array" ref="HRH3">GetValue("Dmn","Name",HRH2)</f>
        <v/>
      </c>
      <c r="HRI3" s="1" t="str" cm="1">
        <f t="array" ref="HRI3">GetValue("Dmn","Name",HRI2)</f>
        <v/>
      </c>
      <c r="HRJ3" s="1" t="str" cm="1">
        <f t="array" ref="HRJ3">GetValue("Dmn","Name",HRJ2)</f>
        <v/>
      </c>
      <c r="HRK3" s="1" t="str" cm="1">
        <f t="array" ref="HRK3">GetValue("Dmn","Name",HRK2)</f>
        <v/>
      </c>
      <c r="HRL3" s="1" t="str" cm="1">
        <f t="array" ref="HRL3">GetValue("Dmn","Name",HRL2)</f>
        <v/>
      </c>
      <c r="HRM3" s="1" t="str" cm="1">
        <f t="array" ref="HRM3">GetValue("Dmn","Name",HRM2)</f>
        <v/>
      </c>
      <c r="HRN3" s="1" t="str" cm="1">
        <f t="array" ref="HRN3">GetValue("Dmn","Name",HRN2)</f>
        <v/>
      </c>
      <c r="HRO3" s="1" t="str" cm="1">
        <f t="array" ref="HRO3">GetValue("Dmn","Name",HRO2)</f>
        <v/>
      </c>
      <c r="HRP3" s="1" t="str" cm="1">
        <f t="array" ref="HRP3">GetValue("Dmn","Name",HRP2)</f>
        <v/>
      </c>
      <c r="HRQ3" s="1" t="str" cm="1">
        <f t="array" ref="HRQ3">GetValue("Dmn","Name",HRQ2)</f>
        <v/>
      </c>
      <c r="HRR3" s="1" t="str" cm="1">
        <f t="array" ref="HRR3">GetValue("Dmn","Name",HRR2)</f>
        <v/>
      </c>
      <c r="HRS3" s="1" t="str" cm="1">
        <f t="array" ref="HRS3">GetValue("Dmn","Name",HRS2)</f>
        <v/>
      </c>
      <c r="HRT3" s="1" t="str" cm="1">
        <f t="array" ref="HRT3">GetValue("Dmn","Name",HRT2)</f>
        <v/>
      </c>
      <c r="HRU3" s="1" t="str" cm="1">
        <f t="array" ref="HRU3">GetValue("Dmn","Name",HRU2)</f>
        <v/>
      </c>
      <c r="HRV3" s="1" t="str" cm="1">
        <f t="array" ref="HRV3">GetValue("Dmn","Name",HRV2)</f>
        <v/>
      </c>
      <c r="HRW3" s="1" t="str" cm="1">
        <f t="array" ref="HRW3">GetValue("Dmn","Name",HRW2)</f>
        <v/>
      </c>
      <c r="HRX3" s="1" t="str" cm="1">
        <f t="array" ref="HRX3">GetValue("Dmn","Name",HRX2)</f>
        <v/>
      </c>
      <c r="HRY3" s="1" t="str" cm="1">
        <f t="array" ref="HRY3">GetValue("Dmn","Name",HRY2)</f>
        <v/>
      </c>
      <c r="HRZ3" s="1" t="str" cm="1">
        <f t="array" ref="HRZ3">GetValue("Dmn","Name",HRZ2)</f>
        <v/>
      </c>
      <c r="HSA3" s="1" t="str" cm="1">
        <f t="array" ref="HSA3">GetValue("Dmn","Name",HSA2)</f>
        <v/>
      </c>
      <c r="HSB3" s="1" t="str" cm="1">
        <f t="array" ref="HSB3">GetValue("Dmn","Name",HSB2)</f>
        <v/>
      </c>
      <c r="HSC3" s="1" t="str" cm="1">
        <f t="array" ref="HSC3">GetValue("Dmn","Name",HSC2)</f>
        <v/>
      </c>
      <c r="HSD3" s="1" t="str" cm="1">
        <f t="array" ref="HSD3">GetValue("Dmn","Name",HSD2)</f>
        <v/>
      </c>
      <c r="HSE3" s="1" t="str" cm="1">
        <f t="array" ref="HSE3">GetValue("Dmn","Name",HSE2)</f>
        <v/>
      </c>
      <c r="HSF3" s="1" t="str" cm="1">
        <f t="array" ref="HSF3">GetValue("Dmn","Name",HSF2)</f>
        <v/>
      </c>
      <c r="HSG3" s="1" t="str" cm="1">
        <f t="array" ref="HSG3">GetValue("Dmn","Name",HSG2)</f>
        <v/>
      </c>
      <c r="HSH3" s="1" t="str" cm="1">
        <f t="array" ref="HSH3">GetValue("Dmn","Name",HSH2)</f>
        <v/>
      </c>
      <c r="HSI3" s="1" t="str" cm="1">
        <f t="array" ref="HSI3">GetValue("Dmn","Name",HSI2)</f>
        <v/>
      </c>
      <c r="HSJ3" s="1" t="str" cm="1">
        <f t="array" ref="HSJ3">GetValue("Dmn","Name",HSJ2)</f>
        <v/>
      </c>
      <c r="HSK3" s="1" t="str" cm="1">
        <f t="array" ref="HSK3">GetValue("Dmn","Name",HSK2)</f>
        <v/>
      </c>
      <c r="HSL3" s="1" t="str" cm="1">
        <f t="array" ref="HSL3">GetValue("Dmn","Name",HSL2)</f>
        <v/>
      </c>
      <c r="HSM3" s="1" t="str" cm="1">
        <f t="array" ref="HSM3">GetValue("Dmn","Name",HSM2)</f>
        <v/>
      </c>
      <c r="HSN3" s="1" t="str" cm="1">
        <f t="array" ref="HSN3">GetValue("Dmn","Name",HSN2)</f>
        <v/>
      </c>
      <c r="HSO3" s="1" t="str" cm="1">
        <f t="array" ref="HSO3">GetValue("Dmn","Name",HSO2)</f>
        <v/>
      </c>
      <c r="HSP3" s="1" t="str" cm="1">
        <f t="array" ref="HSP3">GetValue("Dmn","Name",HSP2)</f>
        <v/>
      </c>
      <c r="HSQ3" s="1" t="str" cm="1">
        <f t="array" ref="HSQ3">GetValue("Dmn","Name",HSQ2)</f>
        <v/>
      </c>
      <c r="HSR3" s="1" t="str" cm="1">
        <f t="array" ref="HSR3">GetValue("Dmn","Name",HSR2)</f>
        <v/>
      </c>
      <c r="HSS3" s="1" t="str" cm="1">
        <f t="array" ref="HSS3">GetValue("Dmn","Name",HSS2)</f>
        <v/>
      </c>
      <c r="HST3" s="1" t="str" cm="1">
        <f t="array" ref="HST3">GetValue("Dmn","Name",HST2)</f>
        <v/>
      </c>
      <c r="HSU3" s="1" t="str" cm="1">
        <f t="array" ref="HSU3">GetValue("Dmn","Name",HSU2)</f>
        <v/>
      </c>
      <c r="HSV3" s="1" t="str" cm="1">
        <f t="array" ref="HSV3">GetValue("Dmn","Name",HSV2)</f>
        <v/>
      </c>
      <c r="HSW3" s="1" t="str" cm="1">
        <f t="array" ref="HSW3">GetValue("Dmn","Name",HSW2)</f>
        <v/>
      </c>
      <c r="HSX3" s="1" t="str" cm="1">
        <f t="array" ref="HSX3">GetValue("Dmn","Name",HSX2)</f>
        <v/>
      </c>
      <c r="HSY3" s="1" t="str" cm="1">
        <f t="array" ref="HSY3">GetValue("Dmn","Name",HSY2)</f>
        <v/>
      </c>
      <c r="HSZ3" s="1" t="str" cm="1">
        <f t="array" ref="HSZ3">GetValue("Dmn","Name",HSZ2)</f>
        <v/>
      </c>
      <c r="HTA3" s="1" t="str" cm="1">
        <f t="array" ref="HTA3">GetValue("Dmn","Name",HTA2)</f>
        <v/>
      </c>
      <c r="HTB3" s="1" t="str" cm="1">
        <f t="array" ref="HTB3">GetValue("Dmn","Name",HTB2)</f>
        <v/>
      </c>
      <c r="HTC3" s="1" t="str" cm="1">
        <f t="array" ref="HTC3">GetValue("Dmn","Name",HTC2)</f>
        <v/>
      </c>
      <c r="HTD3" s="1" t="str" cm="1">
        <f t="array" ref="HTD3">GetValue("Dmn","Name",HTD2)</f>
        <v/>
      </c>
      <c r="HTE3" s="1" t="str" cm="1">
        <f t="array" ref="HTE3">GetValue("Dmn","Name",HTE2)</f>
        <v/>
      </c>
      <c r="HTF3" s="1" t="str" cm="1">
        <f t="array" ref="HTF3">GetValue("Dmn","Name",HTF2)</f>
        <v/>
      </c>
      <c r="HTG3" s="1" t="str" cm="1">
        <f t="array" ref="HTG3">GetValue("Dmn","Name",HTG2)</f>
        <v/>
      </c>
      <c r="HTH3" s="1" t="str" cm="1">
        <f t="array" ref="HTH3">GetValue("Dmn","Name",HTH2)</f>
        <v/>
      </c>
      <c r="HTI3" s="1" t="str" cm="1">
        <f t="array" ref="HTI3">GetValue("Dmn","Name",HTI2)</f>
        <v/>
      </c>
      <c r="HTJ3" s="1" t="str" cm="1">
        <f t="array" ref="HTJ3">GetValue("Dmn","Name",HTJ2)</f>
        <v/>
      </c>
      <c r="HTK3" s="1" t="str" cm="1">
        <f t="array" ref="HTK3">GetValue("Dmn","Name",HTK2)</f>
        <v/>
      </c>
      <c r="HTL3" s="1" t="str" cm="1">
        <f t="array" ref="HTL3">GetValue("Dmn","Name",HTL2)</f>
        <v/>
      </c>
      <c r="HTM3" s="1" t="str" cm="1">
        <f t="array" ref="HTM3">GetValue("Dmn","Name",HTM2)</f>
        <v/>
      </c>
      <c r="HTN3" s="1" t="str" cm="1">
        <f t="array" ref="HTN3">GetValue("Dmn","Name",HTN2)</f>
        <v/>
      </c>
      <c r="HTO3" s="1" t="str" cm="1">
        <f t="array" ref="HTO3">GetValue("Dmn","Name",HTO2)</f>
        <v/>
      </c>
      <c r="HTP3" s="1" t="str" cm="1">
        <f t="array" ref="HTP3">GetValue("Dmn","Name",HTP2)</f>
        <v/>
      </c>
      <c r="HTQ3" s="1" t="str" cm="1">
        <f t="array" ref="HTQ3">GetValue("Dmn","Name",HTQ2)</f>
        <v/>
      </c>
      <c r="HTR3" s="1" t="str" cm="1">
        <f t="array" ref="HTR3">GetValue("Dmn","Name",HTR2)</f>
        <v/>
      </c>
      <c r="HTS3" s="1" t="str" cm="1">
        <f t="array" ref="HTS3">GetValue("Dmn","Name",HTS2)</f>
        <v/>
      </c>
      <c r="HTT3" s="1" t="str" cm="1">
        <f t="array" ref="HTT3">GetValue("Dmn","Name",HTT2)</f>
        <v/>
      </c>
      <c r="HTU3" s="1" t="str" cm="1">
        <f t="array" ref="HTU3">GetValue("Dmn","Name",HTU2)</f>
        <v/>
      </c>
      <c r="HTV3" s="1" t="str" cm="1">
        <f t="array" ref="HTV3">GetValue("Dmn","Name",HTV2)</f>
        <v/>
      </c>
      <c r="HTW3" s="1" t="str" cm="1">
        <f t="array" ref="HTW3">GetValue("Dmn","Name",HTW2)</f>
        <v/>
      </c>
      <c r="HTX3" s="1" t="str" cm="1">
        <f t="array" ref="HTX3">GetValue("Dmn","Name",HTX2)</f>
        <v/>
      </c>
      <c r="HTY3" s="1" t="str" cm="1">
        <f t="array" ref="HTY3">GetValue("Dmn","Name",HTY2)</f>
        <v/>
      </c>
      <c r="HTZ3" s="1" t="str" cm="1">
        <f t="array" ref="HTZ3">GetValue("Dmn","Name",HTZ2)</f>
        <v/>
      </c>
      <c r="HUA3" s="1" t="str" cm="1">
        <f t="array" ref="HUA3">GetValue("Dmn","Name",HUA2)</f>
        <v/>
      </c>
      <c r="HUB3" s="1" t="str" cm="1">
        <f t="array" ref="HUB3">GetValue("Dmn","Name",HUB2)</f>
        <v/>
      </c>
      <c r="HUC3" s="1" t="str" cm="1">
        <f t="array" ref="HUC3">GetValue("Dmn","Name",HUC2)</f>
        <v/>
      </c>
      <c r="HUD3" s="1" t="str" cm="1">
        <f t="array" ref="HUD3">GetValue("Dmn","Name",HUD2)</f>
        <v/>
      </c>
      <c r="HUE3" s="1" t="str" cm="1">
        <f t="array" ref="HUE3">GetValue("Dmn","Name",HUE2)</f>
        <v/>
      </c>
      <c r="HUF3" s="1" t="str" cm="1">
        <f t="array" ref="HUF3">GetValue("Dmn","Name",HUF2)</f>
        <v/>
      </c>
      <c r="HUG3" s="1" t="str" cm="1">
        <f t="array" ref="HUG3">GetValue("Dmn","Name",HUG2)</f>
        <v/>
      </c>
      <c r="HUH3" s="1" t="str" cm="1">
        <f t="array" ref="HUH3">GetValue("Dmn","Name",HUH2)</f>
        <v/>
      </c>
      <c r="HUI3" s="1" t="str" cm="1">
        <f t="array" ref="HUI3">GetValue("Dmn","Name",HUI2)</f>
        <v/>
      </c>
      <c r="HUJ3" s="1" t="str" cm="1">
        <f t="array" ref="HUJ3">GetValue("Dmn","Name",HUJ2)</f>
        <v/>
      </c>
      <c r="HUK3" s="1" t="str" cm="1">
        <f t="array" ref="HUK3">GetValue("Dmn","Name",HUK2)</f>
        <v/>
      </c>
      <c r="HUL3" s="1" t="str" cm="1">
        <f t="array" ref="HUL3">GetValue("Dmn","Name",HUL2)</f>
        <v/>
      </c>
      <c r="HUM3" s="1" t="str" cm="1">
        <f t="array" ref="HUM3">GetValue("Dmn","Name",HUM2)</f>
        <v/>
      </c>
      <c r="HUN3" s="1" t="str" cm="1">
        <f t="array" ref="HUN3">GetValue("Dmn","Name",HUN2)</f>
        <v/>
      </c>
      <c r="HUO3" s="1" t="str" cm="1">
        <f t="array" ref="HUO3">GetValue("Dmn","Name",HUO2)</f>
        <v/>
      </c>
      <c r="HUP3" s="1" t="str" cm="1">
        <f t="array" ref="HUP3">GetValue("Dmn","Name",HUP2)</f>
        <v/>
      </c>
      <c r="HUQ3" s="1" t="str" cm="1">
        <f t="array" ref="HUQ3">GetValue("Dmn","Name",HUQ2)</f>
        <v/>
      </c>
      <c r="HUR3" s="1" t="str" cm="1">
        <f t="array" ref="HUR3">GetValue("Dmn","Name",HUR2)</f>
        <v/>
      </c>
      <c r="HUS3" s="1" t="str" cm="1">
        <f t="array" ref="HUS3">GetValue("Dmn","Name",HUS2)</f>
        <v/>
      </c>
      <c r="HUT3" s="1" t="str" cm="1">
        <f t="array" ref="HUT3">GetValue("Dmn","Name",HUT2)</f>
        <v/>
      </c>
      <c r="HUU3" s="1" t="str" cm="1">
        <f t="array" ref="HUU3">GetValue("Dmn","Name",HUU2)</f>
        <v/>
      </c>
      <c r="HUV3" s="1" t="str" cm="1">
        <f t="array" ref="HUV3">GetValue("Dmn","Name",HUV2)</f>
        <v/>
      </c>
      <c r="HUW3" s="1" t="str" cm="1">
        <f t="array" ref="HUW3">GetValue("Dmn","Name",HUW2)</f>
        <v/>
      </c>
      <c r="HUX3" s="1" t="str" cm="1">
        <f t="array" ref="HUX3">GetValue("Dmn","Name",HUX2)</f>
        <v/>
      </c>
      <c r="HUY3" s="1" t="str" cm="1">
        <f t="array" ref="HUY3">GetValue("Dmn","Name",HUY2)</f>
        <v/>
      </c>
      <c r="HUZ3" s="1" t="str" cm="1">
        <f t="array" ref="HUZ3">GetValue("Dmn","Name",HUZ2)</f>
        <v/>
      </c>
      <c r="HVA3" s="1" t="str" cm="1">
        <f t="array" ref="HVA3">GetValue("Dmn","Name",HVA2)</f>
        <v/>
      </c>
      <c r="HVB3" s="1" t="str" cm="1">
        <f t="array" ref="HVB3">GetValue("Dmn","Name",HVB2)</f>
        <v/>
      </c>
      <c r="HVC3" s="1" t="str" cm="1">
        <f t="array" ref="HVC3">GetValue("Dmn","Name",HVC2)</f>
        <v/>
      </c>
      <c r="HVD3" s="1" t="str" cm="1">
        <f t="array" ref="HVD3">GetValue("Dmn","Name",HVD2)</f>
        <v/>
      </c>
      <c r="HVE3" s="1" t="str" cm="1">
        <f t="array" ref="HVE3">GetValue("Dmn","Name",HVE2)</f>
        <v/>
      </c>
      <c r="HVF3" s="1" t="str" cm="1">
        <f t="array" ref="HVF3">GetValue("Dmn","Name",HVF2)</f>
        <v/>
      </c>
      <c r="HVG3" s="1" t="str" cm="1">
        <f t="array" ref="HVG3">GetValue("Dmn","Name",HVG2)</f>
        <v/>
      </c>
      <c r="HVH3" s="1" t="str" cm="1">
        <f t="array" ref="HVH3">GetValue("Dmn","Name",HVH2)</f>
        <v/>
      </c>
      <c r="HVI3" s="1" t="str" cm="1">
        <f t="array" ref="HVI3">GetValue("Dmn","Name",HVI2)</f>
        <v/>
      </c>
      <c r="HVJ3" s="1" t="str" cm="1">
        <f t="array" ref="HVJ3">GetValue("Dmn","Name",HVJ2)</f>
        <v/>
      </c>
      <c r="HVK3" s="1" t="str" cm="1">
        <f t="array" ref="HVK3">GetValue("Dmn","Name",HVK2)</f>
        <v/>
      </c>
      <c r="HVL3" s="1" t="str" cm="1">
        <f t="array" ref="HVL3">GetValue("Dmn","Name",HVL2)</f>
        <v/>
      </c>
      <c r="HVM3" s="1" t="str" cm="1">
        <f t="array" ref="HVM3">GetValue("Dmn","Name",HVM2)</f>
        <v/>
      </c>
      <c r="HVN3" s="1" t="str" cm="1">
        <f t="array" ref="HVN3">GetValue("Dmn","Name",HVN2)</f>
        <v/>
      </c>
      <c r="HVO3" s="1" t="str" cm="1">
        <f t="array" ref="HVO3">GetValue("Dmn","Name",HVO2)</f>
        <v/>
      </c>
      <c r="HVP3" s="1" t="str" cm="1">
        <f t="array" ref="HVP3">GetValue("Dmn","Name",HVP2)</f>
        <v/>
      </c>
      <c r="HVQ3" s="1" t="str" cm="1">
        <f t="array" ref="HVQ3">GetValue("Dmn","Name",HVQ2)</f>
        <v/>
      </c>
      <c r="HVR3" s="1" t="str" cm="1">
        <f t="array" ref="HVR3">GetValue("Dmn","Name",HVR2)</f>
        <v/>
      </c>
      <c r="HVS3" s="1" t="str" cm="1">
        <f t="array" ref="HVS3">GetValue("Dmn","Name",HVS2)</f>
        <v/>
      </c>
      <c r="HVT3" s="1" t="str" cm="1">
        <f t="array" ref="HVT3">GetValue("Dmn","Name",HVT2)</f>
        <v/>
      </c>
      <c r="HVU3" s="1" t="str" cm="1">
        <f t="array" ref="HVU3">GetValue("Dmn","Name",HVU2)</f>
        <v/>
      </c>
      <c r="HVV3" s="1" t="str" cm="1">
        <f t="array" ref="HVV3">GetValue("Dmn","Name",HVV2)</f>
        <v/>
      </c>
      <c r="HVW3" s="1" t="str" cm="1">
        <f t="array" ref="HVW3">GetValue("Dmn","Name",HVW2)</f>
        <v/>
      </c>
      <c r="HVX3" s="1" t="str" cm="1">
        <f t="array" ref="HVX3">GetValue("Dmn","Name",HVX2)</f>
        <v/>
      </c>
      <c r="HVY3" s="1" t="str" cm="1">
        <f t="array" ref="HVY3">GetValue("Dmn","Name",HVY2)</f>
        <v/>
      </c>
      <c r="HVZ3" s="1" t="str" cm="1">
        <f t="array" ref="HVZ3">GetValue("Dmn","Name",HVZ2)</f>
        <v/>
      </c>
      <c r="HWA3" s="1" t="str" cm="1">
        <f t="array" ref="HWA3">GetValue("Dmn","Name",HWA2)</f>
        <v/>
      </c>
      <c r="HWB3" s="1" t="str" cm="1">
        <f t="array" ref="HWB3">GetValue("Dmn","Name",HWB2)</f>
        <v/>
      </c>
      <c r="HWC3" s="1" t="str" cm="1">
        <f t="array" ref="HWC3">GetValue("Dmn","Name",HWC2)</f>
        <v/>
      </c>
      <c r="HWD3" s="1" t="str" cm="1">
        <f t="array" ref="HWD3">GetValue("Dmn","Name",HWD2)</f>
        <v/>
      </c>
      <c r="HWE3" s="1" t="str" cm="1">
        <f t="array" ref="HWE3">GetValue("Dmn","Name",HWE2)</f>
        <v/>
      </c>
      <c r="HWF3" s="1" t="str" cm="1">
        <f t="array" ref="HWF3">GetValue("Dmn","Name",HWF2)</f>
        <v/>
      </c>
      <c r="HWG3" s="1" t="str" cm="1">
        <f t="array" ref="HWG3">GetValue("Dmn","Name",HWG2)</f>
        <v/>
      </c>
      <c r="HWH3" s="1" t="str" cm="1">
        <f t="array" ref="HWH3">GetValue("Dmn","Name",HWH2)</f>
        <v/>
      </c>
      <c r="HWI3" s="1" t="str" cm="1">
        <f t="array" ref="HWI3">GetValue("Dmn","Name",HWI2)</f>
        <v/>
      </c>
      <c r="HWJ3" s="1" t="str" cm="1">
        <f t="array" ref="HWJ3">GetValue("Dmn","Name",HWJ2)</f>
        <v/>
      </c>
      <c r="HWK3" s="1" t="str" cm="1">
        <f t="array" ref="HWK3">GetValue("Dmn","Name",HWK2)</f>
        <v/>
      </c>
      <c r="HWL3" s="1" t="str" cm="1">
        <f t="array" ref="HWL3">GetValue("Dmn","Name",HWL2)</f>
        <v/>
      </c>
      <c r="HWM3" s="1" t="str" cm="1">
        <f t="array" ref="HWM3">GetValue("Dmn","Name",HWM2)</f>
        <v/>
      </c>
      <c r="HWN3" s="1" t="str" cm="1">
        <f t="array" ref="HWN3">GetValue("Dmn","Name",HWN2)</f>
        <v/>
      </c>
      <c r="HWO3" s="1" t="str" cm="1">
        <f t="array" ref="HWO3">GetValue("Dmn","Name",HWO2)</f>
        <v/>
      </c>
      <c r="HWP3" s="1" t="str" cm="1">
        <f t="array" ref="HWP3">GetValue("Dmn","Name",HWP2)</f>
        <v/>
      </c>
      <c r="HWQ3" s="1" t="str" cm="1">
        <f t="array" ref="HWQ3">GetValue("Dmn","Name",HWQ2)</f>
        <v/>
      </c>
      <c r="HWR3" s="1" t="str" cm="1">
        <f t="array" ref="HWR3">GetValue("Dmn","Name",HWR2)</f>
        <v/>
      </c>
      <c r="HWS3" s="1" t="str" cm="1">
        <f t="array" ref="HWS3">GetValue("Dmn","Name",HWS2)</f>
        <v/>
      </c>
      <c r="HWT3" s="1" t="str" cm="1">
        <f t="array" ref="HWT3">GetValue("Dmn","Name",HWT2)</f>
        <v/>
      </c>
      <c r="HWU3" s="1" t="str" cm="1">
        <f t="array" ref="HWU3">GetValue("Dmn","Name",HWU2)</f>
        <v/>
      </c>
      <c r="HWV3" s="1" t="str" cm="1">
        <f t="array" ref="HWV3">GetValue("Dmn","Name",HWV2)</f>
        <v/>
      </c>
      <c r="HWW3" s="1" t="str" cm="1">
        <f t="array" ref="HWW3">GetValue("Dmn","Name",HWW2)</f>
        <v/>
      </c>
      <c r="HWX3" s="1" t="str" cm="1">
        <f t="array" ref="HWX3">GetValue("Dmn","Name",HWX2)</f>
        <v/>
      </c>
      <c r="HWY3" s="1" t="str" cm="1">
        <f t="array" ref="HWY3">GetValue("Dmn","Name",HWY2)</f>
        <v/>
      </c>
      <c r="HWZ3" s="1" t="str" cm="1">
        <f t="array" ref="HWZ3">GetValue("Dmn","Name",HWZ2)</f>
        <v/>
      </c>
      <c r="HXA3" s="1" t="str" cm="1">
        <f t="array" ref="HXA3">GetValue("Dmn","Name",HXA2)</f>
        <v/>
      </c>
      <c r="HXB3" s="1" t="str" cm="1">
        <f t="array" ref="HXB3">GetValue("Dmn","Name",HXB2)</f>
        <v/>
      </c>
      <c r="HXC3" s="1" t="str" cm="1">
        <f t="array" ref="HXC3">GetValue("Dmn","Name",HXC2)</f>
        <v/>
      </c>
      <c r="HXD3" s="1" t="str" cm="1">
        <f t="array" ref="HXD3">GetValue("Dmn","Name",HXD2)</f>
        <v/>
      </c>
      <c r="HXE3" s="1" t="str" cm="1">
        <f t="array" ref="HXE3">GetValue("Dmn","Name",HXE2)</f>
        <v/>
      </c>
      <c r="HXF3" s="1" t="str" cm="1">
        <f t="array" ref="HXF3">GetValue("Dmn","Name",HXF2)</f>
        <v/>
      </c>
      <c r="HXG3" s="1" t="str" cm="1">
        <f t="array" ref="HXG3">GetValue("Dmn","Name",HXG2)</f>
        <v/>
      </c>
      <c r="HXH3" s="1" t="str" cm="1">
        <f t="array" ref="HXH3">GetValue("Dmn","Name",HXH2)</f>
        <v/>
      </c>
      <c r="HXI3" s="1" t="str" cm="1">
        <f t="array" ref="HXI3">GetValue("Dmn","Name",HXI2)</f>
        <v/>
      </c>
      <c r="HXJ3" s="1" t="str" cm="1">
        <f t="array" ref="HXJ3">GetValue("Dmn","Name",HXJ2)</f>
        <v/>
      </c>
      <c r="HXK3" s="1" t="str" cm="1">
        <f t="array" ref="HXK3">GetValue("Dmn","Name",HXK2)</f>
        <v/>
      </c>
      <c r="HXL3" s="1" t="str" cm="1">
        <f t="array" ref="HXL3">GetValue("Dmn","Name",HXL2)</f>
        <v/>
      </c>
      <c r="HXM3" s="1" t="str" cm="1">
        <f t="array" ref="HXM3">GetValue("Dmn","Name",HXM2)</f>
        <v/>
      </c>
      <c r="HXN3" s="1" t="str" cm="1">
        <f t="array" ref="HXN3">GetValue("Dmn","Name",HXN2)</f>
        <v/>
      </c>
      <c r="HXO3" s="1" t="str" cm="1">
        <f t="array" ref="HXO3">GetValue("Dmn","Name",HXO2)</f>
        <v/>
      </c>
      <c r="HXP3" s="1" t="str" cm="1">
        <f t="array" ref="HXP3">GetValue("Dmn","Name",HXP2)</f>
        <v/>
      </c>
      <c r="HXQ3" s="1" t="str" cm="1">
        <f t="array" ref="HXQ3">GetValue("Dmn","Name",HXQ2)</f>
        <v/>
      </c>
      <c r="HXR3" s="1" t="str" cm="1">
        <f t="array" ref="HXR3">GetValue("Dmn","Name",HXR2)</f>
        <v/>
      </c>
      <c r="HXS3" s="1" t="str" cm="1">
        <f t="array" ref="HXS3">GetValue("Dmn","Name",HXS2)</f>
        <v/>
      </c>
      <c r="HXT3" s="1" t="str" cm="1">
        <f t="array" ref="HXT3">GetValue("Dmn","Name",HXT2)</f>
        <v/>
      </c>
      <c r="HXU3" s="1" t="str" cm="1">
        <f t="array" ref="HXU3">GetValue("Dmn","Name",HXU2)</f>
        <v/>
      </c>
      <c r="HXV3" s="1" t="str" cm="1">
        <f t="array" ref="HXV3">GetValue("Dmn","Name",HXV2)</f>
        <v/>
      </c>
      <c r="HXW3" s="1" t="str" cm="1">
        <f t="array" ref="HXW3">GetValue("Dmn","Name",HXW2)</f>
        <v/>
      </c>
      <c r="HXX3" s="1" t="str" cm="1">
        <f t="array" ref="HXX3">GetValue("Dmn","Name",HXX2)</f>
        <v/>
      </c>
      <c r="HXY3" s="1" t="str" cm="1">
        <f t="array" ref="HXY3">GetValue("Dmn","Name",HXY2)</f>
        <v/>
      </c>
      <c r="HXZ3" s="1" t="str" cm="1">
        <f t="array" ref="HXZ3">GetValue("Dmn","Name",HXZ2)</f>
        <v/>
      </c>
      <c r="HYA3" s="1" t="str" cm="1">
        <f t="array" ref="HYA3">GetValue("Dmn","Name",HYA2)</f>
        <v/>
      </c>
      <c r="HYB3" s="1" t="str" cm="1">
        <f t="array" ref="HYB3">GetValue("Dmn","Name",HYB2)</f>
        <v/>
      </c>
      <c r="HYC3" s="1" t="str" cm="1">
        <f t="array" ref="HYC3">GetValue("Dmn","Name",HYC2)</f>
        <v/>
      </c>
      <c r="HYD3" s="1" t="str" cm="1">
        <f t="array" ref="HYD3">GetValue("Dmn","Name",HYD2)</f>
        <v/>
      </c>
      <c r="HYE3" s="1" t="str" cm="1">
        <f t="array" ref="HYE3">GetValue("Dmn","Name",HYE2)</f>
        <v/>
      </c>
      <c r="HYF3" s="1" t="str" cm="1">
        <f t="array" ref="HYF3">GetValue("Dmn","Name",HYF2)</f>
        <v/>
      </c>
      <c r="HYG3" s="1" t="str" cm="1">
        <f t="array" ref="HYG3">GetValue("Dmn","Name",HYG2)</f>
        <v/>
      </c>
      <c r="HYH3" s="1" t="str" cm="1">
        <f t="array" ref="HYH3">GetValue("Dmn","Name",HYH2)</f>
        <v/>
      </c>
      <c r="HYI3" s="1" t="str" cm="1">
        <f t="array" ref="HYI3">GetValue("Dmn","Name",HYI2)</f>
        <v/>
      </c>
      <c r="HYJ3" s="1" t="str" cm="1">
        <f t="array" ref="HYJ3">GetValue("Dmn","Name",HYJ2)</f>
        <v/>
      </c>
      <c r="HYK3" s="1" t="str" cm="1">
        <f t="array" ref="HYK3">GetValue("Dmn","Name",HYK2)</f>
        <v/>
      </c>
      <c r="HYL3" s="1" t="str" cm="1">
        <f t="array" ref="HYL3">GetValue("Dmn","Name",HYL2)</f>
        <v/>
      </c>
      <c r="HYM3" s="1" t="str" cm="1">
        <f t="array" ref="HYM3">GetValue("Dmn","Name",HYM2)</f>
        <v/>
      </c>
      <c r="HYN3" s="1" t="str" cm="1">
        <f t="array" ref="HYN3">GetValue("Dmn","Name",HYN2)</f>
        <v/>
      </c>
      <c r="HYO3" s="1" t="str" cm="1">
        <f t="array" ref="HYO3">GetValue("Dmn","Name",HYO2)</f>
        <v/>
      </c>
      <c r="HYP3" s="1" t="str" cm="1">
        <f t="array" ref="HYP3">GetValue("Dmn","Name",HYP2)</f>
        <v/>
      </c>
      <c r="HYQ3" s="1" t="str" cm="1">
        <f t="array" ref="HYQ3">GetValue("Dmn","Name",HYQ2)</f>
        <v/>
      </c>
      <c r="HYR3" s="1" t="str" cm="1">
        <f t="array" ref="HYR3">GetValue("Dmn","Name",HYR2)</f>
        <v/>
      </c>
      <c r="HYS3" s="1" t="str" cm="1">
        <f t="array" ref="HYS3">GetValue("Dmn","Name",HYS2)</f>
        <v/>
      </c>
      <c r="HYT3" s="1" t="str" cm="1">
        <f t="array" ref="HYT3">GetValue("Dmn","Name",HYT2)</f>
        <v/>
      </c>
      <c r="HYU3" s="1" t="str" cm="1">
        <f t="array" ref="HYU3">GetValue("Dmn","Name",HYU2)</f>
        <v/>
      </c>
      <c r="HYV3" s="1" t="str" cm="1">
        <f t="array" ref="HYV3">GetValue("Dmn","Name",HYV2)</f>
        <v/>
      </c>
      <c r="HYW3" s="1" t="str" cm="1">
        <f t="array" ref="HYW3">GetValue("Dmn","Name",HYW2)</f>
        <v/>
      </c>
      <c r="HYX3" s="1" t="str" cm="1">
        <f t="array" ref="HYX3">GetValue("Dmn","Name",HYX2)</f>
        <v/>
      </c>
      <c r="HYY3" s="1" t="str" cm="1">
        <f t="array" ref="HYY3">GetValue("Dmn","Name",HYY2)</f>
        <v/>
      </c>
      <c r="HYZ3" s="1" t="str" cm="1">
        <f t="array" ref="HYZ3">GetValue("Dmn","Name",HYZ2)</f>
        <v/>
      </c>
      <c r="HZA3" s="1" t="str" cm="1">
        <f t="array" ref="HZA3">GetValue("Dmn","Name",HZA2)</f>
        <v/>
      </c>
      <c r="HZB3" s="1" t="str" cm="1">
        <f t="array" ref="HZB3">GetValue("Dmn","Name",HZB2)</f>
        <v/>
      </c>
      <c r="HZC3" s="1" t="str" cm="1">
        <f t="array" ref="HZC3">GetValue("Dmn","Name",HZC2)</f>
        <v/>
      </c>
      <c r="HZD3" s="1" t="str" cm="1">
        <f t="array" ref="HZD3">GetValue("Dmn","Name",HZD2)</f>
        <v/>
      </c>
      <c r="HZE3" s="1" t="str" cm="1">
        <f t="array" ref="HZE3">GetValue("Dmn","Name",HZE2)</f>
        <v/>
      </c>
      <c r="HZF3" s="1" t="str" cm="1">
        <f t="array" ref="HZF3">GetValue("Dmn","Name",HZF2)</f>
        <v/>
      </c>
      <c r="HZG3" s="1" t="str" cm="1">
        <f t="array" ref="HZG3">GetValue("Dmn","Name",HZG2)</f>
        <v/>
      </c>
      <c r="HZH3" s="1" t="str" cm="1">
        <f t="array" ref="HZH3">GetValue("Dmn","Name",HZH2)</f>
        <v/>
      </c>
      <c r="HZI3" s="1" t="str" cm="1">
        <f t="array" ref="HZI3">GetValue("Dmn","Name",HZI2)</f>
        <v/>
      </c>
      <c r="HZJ3" s="1" t="str" cm="1">
        <f t="array" ref="HZJ3">GetValue("Dmn","Name",HZJ2)</f>
        <v/>
      </c>
      <c r="HZK3" s="1" t="str" cm="1">
        <f t="array" ref="HZK3">GetValue("Dmn","Name",HZK2)</f>
        <v/>
      </c>
      <c r="HZL3" s="1" t="str" cm="1">
        <f t="array" ref="HZL3">GetValue("Dmn","Name",HZL2)</f>
        <v/>
      </c>
      <c r="HZM3" s="1" t="str" cm="1">
        <f t="array" ref="HZM3">GetValue("Dmn","Name",HZM2)</f>
        <v/>
      </c>
      <c r="HZN3" s="1" t="str" cm="1">
        <f t="array" ref="HZN3">GetValue("Dmn","Name",HZN2)</f>
        <v/>
      </c>
      <c r="HZO3" s="1" t="str" cm="1">
        <f t="array" ref="HZO3">GetValue("Dmn","Name",HZO2)</f>
        <v/>
      </c>
      <c r="HZP3" s="1" t="str" cm="1">
        <f t="array" ref="HZP3">GetValue("Dmn","Name",HZP2)</f>
        <v/>
      </c>
      <c r="HZQ3" s="1" t="str" cm="1">
        <f t="array" ref="HZQ3">GetValue("Dmn","Name",HZQ2)</f>
        <v/>
      </c>
      <c r="HZR3" s="1" t="str" cm="1">
        <f t="array" ref="HZR3">GetValue("Dmn","Name",HZR2)</f>
        <v/>
      </c>
      <c r="HZS3" s="1" t="str" cm="1">
        <f t="array" ref="HZS3">GetValue("Dmn","Name",HZS2)</f>
        <v/>
      </c>
      <c r="HZT3" s="1" t="str" cm="1">
        <f t="array" ref="HZT3">GetValue("Dmn","Name",HZT2)</f>
        <v/>
      </c>
      <c r="HZU3" s="1" t="str" cm="1">
        <f t="array" ref="HZU3">GetValue("Dmn","Name",HZU2)</f>
        <v/>
      </c>
      <c r="HZV3" s="1" t="str" cm="1">
        <f t="array" ref="HZV3">GetValue("Dmn","Name",HZV2)</f>
        <v/>
      </c>
      <c r="HZW3" s="1" t="str" cm="1">
        <f t="array" ref="HZW3">GetValue("Dmn","Name",HZW2)</f>
        <v/>
      </c>
      <c r="HZX3" s="1" t="str" cm="1">
        <f t="array" ref="HZX3">GetValue("Dmn","Name",HZX2)</f>
        <v/>
      </c>
      <c r="HZY3" s="1" t="str" cm="1">
        <f t="array" ref="HZY3">GetValue("Dmn","Name",HZY2)</f>
        <v/>
      </c>
      <c r="HZZ3" s="1" t="str" cm="1">
        <f t="array" ref="HZZ3">GetValue("Dmn","Name",HZZ2)</f>
        <v/>
      </c>
      <c r="IAA3" s="1" t="str" cm="1">
        <f t="array" ref="IAA3">GetValue("Dmn","Name",IAA2)</f>
        <v/>
      </c>
      <c r="IAB3" s="1" t="str" cm="1">
        <f t="array" ref="IAB3">GetValue("Dmn","Name",IAB2)</f>
        <v/>
      </c>
      <c r="IAC3" s="1" t="str" cm="1">
        <f t="array" ref="IAC3">GetValue("Dmn","Name",IAC2)</f>
        <v/>
      </c>
      <c r="IAD3" s="1" t="str" cm="1">
        <f t="array" ref="IAD3">GetValue("Dmn","Name",IAD2)</f>
        <v/>
      </c>
      <c r="IAE3" s="1" t="str" cm="1">
        <f t="array" ref="IAE3">GetValue("Dmn","Name",IAE2)</f>
        <v/>
      </c>
      <c r="IAF3" s="1" t="str" cm="1">
        <f t="array" ref="IAF3">GetValue("Dmn","Name",IAF2)</f>
        <v/>
      </c>
      <c r="IAG3" s="1" t="str" cm="1">
        <f t="array" ref="IAG3">GetValue("Dmn","Name",IAG2)</f>
        <v/>
      </c>
      <c r="IAH3" s="1" t="str" cm="1">
        <f t="array" ref="IAH3">GetValue("Dmn","Name",IAH2)</f>
        <v/>
      </c>
      <c r="IAI3" s="1" t="str" cm="1">
        <f t="array" ref="IAI3">GetValue("Dmn","Name",IAI2)</f>
        <v/>
      </c>
      <c r="IAJ3" s="1" t="str" cm="1">
        <f t="array" ref="IAJ3">GetValue("Dmn","Name",IAJ2)</f>
        <v/>
      </c>
      <c r="IAK3" s="1" t="str" cm="1">
        <f t="array" ref="IAK3">GetValue("Dmn","Name",IAK2)</f>
        <v/>
      </c>
      <c r="IAL3" s="1" t="str" cm="1">
        <f t="array" ref="IAL3">GetValue("Dmn","Name",IAL2)</f>
        <v/>
      </c>
      <c r="IAM3" s="1" t="str" cm="1">
        <f t="array" ref="IAM3">GetValue("Dmn","Name",IAM2)</f>
        <v/>
      </c>
      <c r="IAN3" s="1" t="str" cm="1">
        <f t="array" ref="IAN3">GetValue("Dmn","Name",IAN2)</f>
        <v/>
      </c>
      <c r="IAO3" s="1" t="str" cm="1">
        <f t="array" ref="IAO3">GetValue("Dmn","Name",IAO2)</f>
        <v/>
      </c>
      <c r="IAP3" s="1" t="str" cm="1">
        <f t="array" ref="IAP3">GetValue("Dmn","Name",IAP2)</f>
        <v/>
      </c>
      <c r="IAQ3" s="1" t="str" cm="1">
        <f t="array" ref="IAQ3">GetValue("Dmn","Name",IAQ2)</f>
        <v/>
      </c>
      <c r="IAR3" s="1" t="str" cm="1">
        <f t="array" ref="IAR3">GetValue("Dmn","Name",IAR2)</f>
        <v/>
      </c>
      <c r="IAS3" s="1" t="str" cm="1">
        <f t="array" ref="IAS3">GetValue("Dmn","Name",IAS2)</f>
        <v/>
      </c>
      <c r="IAT3" s="1" t="str" cm="1">
        <f t="array" ref="IAT3">GetValue("Dmn","Name",IAT2)</f>
        <v/>
      </c>
      <c r="IAU3" s="1" t="str" cm="1">
        <f t="array" ref="IAU3">GetValue("Dmn","Name",IAU2)</f>
        <v/>
      </c>
      <c r="IAV3" s="1" t="str" cm="1">
        <f t="array" ref="IAV3">GetValue("Dmn","Name",IAV2)</f>
        <v/>
      </c>
      <c r="IAW3" s="1" t="str" cm="1">
        <f t="array" ref="IAW3">GetValue("Dmn","Name",IAW2)</f>
        <v/>
      </c>
      <c r="IAX3" s="1" t="str" cm="1">
        <f t="array" ref="IAX3">GetValue("Dmn","Name",IAX2)</f>
        <v/>
      </c>
      <c r="IAY3" s="1" t="str" cm="1">
        <f t="array" ref="IAY3">GetValue("Dmn","Name",IAY2)</f>
        <v/>
      </c>
      <c r="IAZ3" s="1" t="str" cm="1">
        <f t="array" ref="IAZ3">GetValue("Dmn","Name",IAZ2)</f>
        <v/>
      </c>
      <c r="IBA3" s="1" t="str" cm="1">
        <f t="array" ref="IBA3">GetValue("Dmn","Name",IBA2)</f>
        <v/>
      </c>
      <c r="IBB3" s="1" t="str" cm="1">
        <f t="array" ref="IBB3">GetValue("Dmn","Name",IBB2)</f>
        <v/>
      </c>
      <c r="IBC3" s="1" t="str" cm="1">
        <f t="array" ref="IBC3">GetValue("Dmn","Name",IBC2)</f>
        <v/>
      </c>
      <c r="IBD3" s="1" t="str" cm="1">
        <f t="array" ref="IBD3">GetValue("Dmn","Name",IBD2)</f>
        <v/>
      </c>
      <c r="IBE3" s="1" t="str" cm="1">
        <f t="array" ref="IBE3">GetValue("Dmn","Name",IBE2)</f>
        <v/>
      </c>
      <c r="IBF3" s="1" t="str" cm="1">
        <f t="array" ref="IBF3">GetValue("Dmn","Name",IBF2)</f>
        <v/>
      </c>
      <c r="IBG3" s="1" t="str" cm="1">
        <f t="array" ref="IBG3">GetValue("Dmn","Name",IBG2)</f>
        <v/>
      </c>
      <c r="IBH3" s="1" t="str" cm="1">
        <f t="array" ref="IBH3">GetValue("Dmn","Name",IBH2)</f>
        <v/>
      </c>
      <c r="IBI3" s="1" t="str" cm="1">
        <f t="array" ref="IBI3">GetValue("Dmn","Name",IBI2)</f>
        <v/>
      </c>
      <c r="IBJ3" s="1" t="str" cm="1">
        <f t="array" ref="IBJ3">GetValue("Dmn","Name",IBJ2)</f>
        <v/>
      </c>
      <c r="IBK3" s="1" t="str" cm="1">
        <f t="array" ref="IBK3">GetValue("Dmn","Name",IBK2)</f>
        <v/>
      </c>
      <c r="IBL3" s="1" t="str" cm="1">
        <f t="array" ref="IBL3">GetValue("Dmn","Name",IBL2)</f>
        <v/>
      </c>
      <c r="IBM3" s="1" t="str" cm="1">
        <f t="array" ref="IBM3">GetValue("Dmn","Name",IBM2)</f>
        <v/>
      </c>
      <c r="IBN3" s="1" t="str" cm="1">
        <f t="array" ref="IBN3">GetValue("Dmn","Name",IBN2)</f>
        <v/>
      </c>
      <c r="IBO3" s="1" t="str" cm="1">
        <f t="array" ref="IBO3">GetValue("Dmn","Name",IBO2)</f>
        <v/>
      </c>
      <c r="IBP3" s="1" t="str" cm="1">
        <f t="array" ref="IBP3">GetValue("Dmn","Name",IBP2)</f>
        <v/>
      </c>
      <c r="IBQ3" s="1" t="str" cm="1">
        <f t="array" ref="IBQ3">GetValue("Dmn","Name",IBQ2)</f>
        <v/>
      </c>
      <c r="IBR3" s="1" t="str" cm="1">
        <f t="array" ref="IBR3">GetValue("Dmn","Name",IBR2)</f>
        <v/>
      </c>
      <c r="IBS3" s="1" t="str" cm="1">
        <f t="array" ref="IBS3">GetValue("Dmn","Name",IBS2)</f>
        <v/>
      </c>
      <c r="IBT3" s="1" t="str" cm="1">
        <f t="array" ref="IBT3">GetValue("Dmn","Name",IBT2)</f>
        <v/>
      </c>
      <c r="IBU3" s="1" t="str" cm="1">
        <f t="array" ref="IBU3">GetValue("Dmn","Name",IBU2)</f>
        <v/>
      </c>
      <c r="IBV3" s="1" t="str" cm="1">
        <f t="array" ref="IBV3">GetValue("Dmn","Name",IBV2)</f>
        <v/>
      </c>
      <c r="IBW3" s="1" t="str" cm="1">
        <f t="array" ref="IBW3">GetValue("Dmn","Name",IBW2)</f>
        <v/>
      </c>
      <c r="IBX3" s="1" t="str" cm="1">
        <f t="array" ref="IBX3">GetValue("Dmn","Name",IBX2)</f>
        <v/>
      </c>
      <c r="IBY3" s="1" t="str" cm="1">
        <f t="array" ref="IBY3">GetValue("Dmn","Name",IBY2)</f>
        <v/>
      </c>
      <c r="IBZ3" s="1" t="str" cm="1">
        <f t="array" ref="IBZ3">GetValue("Dmn","Name",IBZ2)</f>
        <v/>
      </c>
      <c r="ICA3" s="1" t="str" cm="1">
        <f t="array" ref="ICA3">GetValue("Dmn","Name",ICA2)</f>
        <v/>
      </c>
      <c r="ICB3" s="1" t="str" cm="1">
        <f t="array" ref="ICB3">GetValue("Dmn","Name",ICB2)</f>
        <v/>
      </c>
      <c r="ICC3" s="1" t="str" cm="1">
        <f t="array" ref="ICC3">GetValue("Dmn","Name",ICC2)</f>
        <v/>
      </c>
      <c r="ICD3" s="1" t="str" cm="1">
        <f t="array" ref="ICD3">GetValue("Dmn","Name",ICD2)</f>
        <v/>
      </c>
      <c r="ICE3" s="1" t="str" cm="1">
        <f t="array" ref="ICE3">GetValue("Dmn","Name",ICE2)</f>
        <v/>
      </c>
      <c r="ICF3" s="1" t="str" cm="1">
        <f t="array" ref="ICF3">GetValue("Dmn","Name",ICF2)</f>
        <v/>
      </c>
      <c r="ICG3" s="1" t="str" cm="1">
        <f t="array" ref="ICG3">GetValue("Dmn","Name",ICG2)</f>
        <v/>
      </c>
      <c r="ICH3" s="1" t="str" cm="1">
        <f t="array" ref="ICH3">GetValue("Dmn","Name",ICH2)</f>
        <v/>
      </c>
      <c r="ICI3" s="1" t="str" cm="1">
        <f t="array" ref="ICI3">GetValue("Dmn","Name",ICI2)</f>
        <v/>
      </c>
      <c r="ICJ3" s="1" t="str" cm="1">
        <f t="array" ref="ICJ3">GetValue("Dmn","Name",ICJ2)</f>
        <v/>
      </c>
      <c r="ICK3" s="1" t="str" cm="1">
        <f t="array" ref="ICK3">GetValue("Dmn","Name",ICK2)</f>
        <v/>
      </c>
      <c r="ICL3" s="1" t="str" cm="1">
        <f t="array" ref="ICL3">GetValue("Dmn","Name",ICL2)</f>
        <v/>
      </c>
      <c r="ICM3" s="1" t="str" cm="1">
        <f t="array" ref="ICM3">GetValue("Dmn","Name",ICM2)</f>
        <v/>
      </c>
      <c r="ICN3" s="1" t="str" cm="1">
        <f t="array" ref="ICN3">GetValue("Dmn","Name",ICN2)</f>
        <v/>
      </c>
      <c r="ICO3" s="1" t="str" cm="1">
        <f t="array" ref="ICO3">GetValue("Dmn","Name",ICO2)</f>
        <v/>
      </c>
      <c r="ICP3" s="1" t="str" cm="1">
        <f t="array" ref="ICP3">GetValue("Dmn","Name",ICP2)</f>
        <v/>
      </c>
      <c r="ICQ3" s="1" t="str" cm="1">
        <f t="array" ref="ICQ3">GetValue("Dmn","Name",ICQ2)</f>
        <v/>
      </c>
      <c r="ICR3" s="1" t="str" cm="1">
        <f t="array" ref="ICR3">GetValue("Dmn","Name",ICR2)</f>
        <v/>
      </c>
      <c r="ICS3" s="1" t="str" cm="1">
        <f t="array" ref="ICS3">GetValue("Dmn","Name",ICS2)</f>
        <v/>
      </c>
      <c r="ICT3" s="1" t="str" cm="1">
        <f t="array" ref="ICT3">GetValue("Dmn","Name",ICT2)</f>
        <v/>
      </c>
      <c r="ICU3" s="1" t="str" cm="1">
        <f t="array" ref="ICU3">GetValue("Dmn","Name",ICU2)</f>
        <v/>
      </c>
      <c r="ICV3" s="1" t="str" cm="1">
        <f t="array" ref="ICV3">GetValue("Dmn","Name",ICV2)</f>
        <v/>
      </c>
      <c r="ICW3" s="1" t="str" cm="1">
        <f t="array" ref="ICW3">GetValue("Dmn","Name",ICW2)</f>
        <v/>
      </c>
      <c r="ICX3" s="1" t="str" cm="1">
        <f t="array" ref="ICX3">GetValue("Dmn","Name",ICX2)</f>
        <v/>
      </c>
      <c r="ICY3" s="1" t="str" cm="1">
        <f t="array" ref="ICY3">GetValue("Dmn","Name",ICY2)</f>
        <v/>
      </c>
      <c r="ICZ3" s="1" t="str" cm="1">
        <f t="array" ref="ICZ3">GetValue("Dmn","Name",ICZ2)</f>
        <v/>
      </c>
      <c r="IDA3" s="1" t="str" cm="1">
        <f t="array" ref="IDA3">GetValue("Dmn","Name",IDA2)</f>
        <v/>
      </c>
      <c r="IDB3" s="1" t="str" cm="1">
        <f t="array" ref="IDB3">GetValue("Dmn","Name",IDB2)</f>
        <v/>
      </c>
      <c r="IDC3" s="1" t="str" cm="1">
        <f t="array" ref="IDC3">GetValue("Dmn","Name",IDC2)</f>
        <v/>
      </c>
      <c r="IDD3" s="1" t="str" cm="1">
        <f t="array" ref="IDD3">GetValue("Dmn","Name",IDD2)</f>
        <v/>
      </c>
      <c r="IDE3" s="1" t="str" cm="1">
        <f t="array" ref="IDE3">GetValue("Dmn","Name",IDE2)</f>
        <v/>
      </c>
      <c r="IDF3" s="1" t="str" cm="1">
        <f t="array" ref="IDF3">GetValue("Dmn","Name",IDF2)</f>
        <v/>
      </c>
      <c r="IDG3" s="1" t="str" cm="1">
        <f t="array" ref="IDG3">GetValue("Dmn","Name",IDG2)</f>
        <v/>
      </c>
      <c r="IDH3" s="1" t="str" cm="1">
        <f t="array" ref="IDH3">GetValue("Dmn","Name",IDH2)</f>
        <v/>
      </c>
      <c r="IDI3" s="1" t="str" cm="1">
        <f t="array" ref="IDI3">GetValue("Dmn","Name",IDI2)</f>
        <v/>
      </c>
      <c r="IDJ3" s="1" t="str" cm="1">
        <f t="array" ref="IDJ3">GetValue("Dmn","Name",IDJ2)</f>
        <v/>
      </c>
      <c r="IDK3" s="1" t="str" cm="1">
        <f t="array" ref="IDK3">GetValue("Dmn","Name",IDK2)</f>
        <v/>
      </c>
      <c r="IDL3" s="1" t="str" cm="1">
        <f t="array" ref="IDL3">GetValue("Dmn","Name",IDL2)</f>
        <v/>
      </c>
      <c r="IDM3" s="1" t="str" cm="1">
        <f t="array" ref="IDM3">GetValue("Dmn","Name",IDM2)</f>
        <v/>
      </c>
      <c r="IDN3" s="1" t="str" cm="1">
        <f t="array" ref="IDN3">GetValue("Dmn","Name",IDN2)</f>
        <v/>
      </c>
      <c r="IDO3" s="1" t="str" cm="1">
        <f t="array" ref="IDO3">GetValue("Dmn","Name",IDO2)</f>
        <v/>
      </c>
      <c r="IDP3" s="1" t="str" cm="1">
        <f t="array" ref="IDP3">GetValue("Dmn","Name",IDP2)</f>
        <v/>
      </c>
      <c r="IDQ3" s="1" t="str" cm="1">
        <f t="array" ref="IDQ3">GetValue("Dmn","Name",IDQ2)</f>
        <v/>
      </c>
      <c r="IDR3" s="1" t="str" cm="1">
        <f t="array" ref="IDR3">GetValue("Dmn","Name",IDR2)</f>
        <v/>
      </c>
      <c r="IDS3" s="1" t="str" cm="1">
        <f t="array" ref="IDS3">GetValue("Dmn","Name",IDS2)</f>
        <v/>
      </c>
      <c r="IDT3" s="1" t="str" cm="1">
        <f t="array" ref="IDT3">GetValue("Dmn","Name",IDT2)</f>
        <v/>
      </c>
      <c r="IDU3" s="1" t="str" cm="1">
        <f t="array" ref="IDU3">GetValue("Dmn","Name",IDU2)</f>
        <v/>
      </c>
      <c r="IDV3" s="1" t="str" cm="1">
        <f t="array" ref="IDV3">GetValue("Dmn","Name",IDV2)</f>
        <v/>
      </c>
      <c r="IDW3" s="1" t="str" cm="1">
        <f t="array" ref="IDW3">GetValue("Dmn","Name",IDW2)</f>
        <v/>
      </c>
      <c r="IDX3" s="1" t="str" cm="1">
        <f t="array" ref="IDX3">GetValue("Dmn","Name",IDX2)</f>
        <v/>
      </c>
      <c r="IDY3" s="1" t="str" cm="1">
        <f t="array" ref="IDY3">GetValue("Dmn","Name",IDY2)</f>
        <v/>
      </c>
      <c r="IDZ3" s="1" t="str" cm="1">
        <f t="array" ref="IDZ3">GetValue("Dmn","Name",IDZ2)</f>
        <v/>
      </c>
      <c r="IEA3" s="1" t="str" cm="1">
        <f t="array" ref="IEA3">GetValue("Dmn","Name",IEA2)</f>
        <v/>
      </c>
      <c r="IEB3" s="1" t="str" cm="1">
        <f t="array" ref="IEB3">GetValue("Dmn","Name",IEB2)</f>
        <v/>
      </c>
      <c r="IEC3" s="1" t="str" cm="1">
        <f t="array" ref="IEC3">GetValue("Dmn","Name",IEC2)</f>
        <v/>
      </c>
      <c r="IED3" s="1" t="str" cm="1">
        <f t="array" ref="IED3">GetValue("Dmn","Name",IED2)</f>
        <v/>
      </c>
      <c r="IEE3" s="1" t="str" cm="1">
        <f t="array" ref="IEE3">GetValue("Dmn","Name",IEE2)</f>
        <v/>
      </c>
      <c r="IEF3" s="1" t="str" cm="1">
        <f t="array" ref="IEF3">GetValue("Dmn","Name",IEF2)</f>
        <v/>
      </c>
      <c r="IEG3" s="1" t="str" cm="1">
        <f t="array" ref="IEG3">GetValue("Dmn","Name",IEG2)</f>
        <v/>
      </c>
      <c r="IEH3" s="1" t="str" cm="1">
        <f t="array" ref="IEH3">GetValue("Dmn","Name",IEH2)</f>
        <v/>
      </c>
      <c r="IEI3" s="1" t="str" cm="1">
        <f t="array" ref="IEI3">GetValue("Dmn","Name",IEI2)</f>
        <v/>
      </c>
      <c r="IEJ3" s="1" t="str" cm="1">
        <f t="array" ref="IEJ3">GetValue("Dmn","Name",IEJ2)</f>
        <v/>
      </c>
      <c r="IEK3" s="1" t="str" cm="1">
        <f t="array" ref="IEK3">GetValue("Dmn","Name",IEK2)</f>
        <v/>
      </c>
      <c r="IEL3" s="1" t="str" cm="1">
        <f t="array" ref="IEL3">GetValue("Dmn","Name",IEL2)</f>
        <v/>
      </c>
      <c r="IEM3" s="1" t="str" cm="1">
        <f t="array" ref="IEM3">GetValue("Dmn","Name",IEM2)</f>
        <v/>
      </c>
      <c r="IEN3" s="1" t="str" cm="1">
        <f t="array" ref="IEN3">GetValue("Dmn","Name",IEN2)</f>
        <v/>
      </c>
      <c r="IEO3" s="1" t="str" cm="1">
        <f t="array" ref="IEO3">GetValue("Dmn","Name",IEO2)</f>
        <v/>
      </c>
      <c r="IEP3" s="1" t="str" cm="1">
        <f t="array" ref="IEP3">GetValue("Dmn","Name",IEP2)</f>
        <v/>
      </c>
      <c r="IEQ3" s="1" t="str" cm="1">
        <f t="array" ref="IEQ3">GetValue("Dmn","Name",IEQ2)</f>
        <v/>
      </c>
      <c r="IER3" s="1" t="str" cm="1">
        <f t="array" ref="IER3">GetValue("Dmn","Name",IER2)</f>
        <v/>
      </c>
      <c r="IES3" s="1" t="str" cm="1">
        <f t="array" ref="IES3">GetValue("Dmn","Name",IES2)</f>
        <v/>
      </c>
      <c r="IET3" s="1" t="str" cm="1">
        <f t="array" ref="IET3">GetValue("Dmn","Name",IET2)</f>
        <v/>
      </c>
      <c r="IEU3" s="1" t="str" cm="1">
        <f t="array" ref="IEU3">GetValue("Dmn","Name",IEU2)</f>
        <v/>
      </c>
      <c r="IEV3" s="1" t="str" cm="1">
        <f t="array" ref="IEV3">GetValue("Dmn","Name",IEV2)</f>
        <v/>
      </c>
      <c r="IEW3" s="1" t="str" cm="1">
        <f t="array" ref="IEW3">GetValue("Dmn","Name",IEW2)</f>
        <v/>
      </c>
      <c r="IEX3" s="1" t="str" cm="1">
        <f t="array" ref="IEX3">GetValue("Dmn","Name",IEX2)</f>
        <v/>
      </c>
      <c r="IEY3" s="1" t="str" cm="1">
        <f t="array" ref="IEY3">GetValue("Dmn","Name",IEY2)</f>
        <v/>
      </c>
      <c r="IEZ3" s="1" t="str" cm="1">
        <f t="array" ref="IEZ3">GetValue("Dmn","Name",IEZ2)</f>
        <v/>
      </c>
      <c r="IFA3" s="1" t="str" cm="1">
        <f t="array" ref="IFA3">GetValue("Dmn","Name",IFA2)</f>
        <v/>
      </c>
      <c r="IFB3" s="1" t="str" cm="1">
        <f t="array" ref="IFB3">GetValue("Dmn","Name",IFB2)</f>
        <v/>
      </c>
      <c r="IFC3" s="1" t="str" cm="1">
        <f t="array" ref="IFC3">GetValue("Dmn","Name",IFC2)</f>
        <v/>
      </c>
      <c r="IFD3" s="1" t="str" cm="1">
        <f t="array" ref="IFD3">GetValue("Dmn","Name",IFD2)</f>
        <v/>
      </c>
      <c r="IFE3" s="1" t="str" cm="1">
        <f t="array" ref="IFE3">GetValue("Dmn","Name",IFE2)</f>
        <v/>
      </c>
      <c r="IFF3" s="1" t="str" cm="1">
        <f t="array" ref="IFF3">GetValue("Dmn","Name",IFF2)</f>
        <v/>
      </c>
      <c r="IFG3" s="1" t="str" cm="1">
        <f t="array" ref="IFG3">GetValue("Dmn","Name",IFG2)</f>
        <v/>
      </c>
      <c r="IFH3" s="1" t="str" cm="1">
        <f t="array" ref="IFH3">GetValue("Dmn","Name",IFH2)</f>
        <v/>
      </c>
      <c r="IFI3" s="1" t="str" cm="1">
        <f t="array" ref="IFI3">GetValue("Dmn","Name",IFI2)</f>
        <v/>
      </c>
      <c r="IFJ3" s="1" t="str" cm="1">
        <f t="array" ref="IFJ3">GetValue("Dmn","Name",IFJ2)</f>
        <v/>
      </c>
      <c r="IFK3" s="1" t="str" cm="1">
        <f t="array" ref="IFK3">GetValue("Dmn","Name",IFK2)</f>
        <v/>
      </c>
      <c r="IFL3" s="1" t="str" cm="1">
        <f t="array" ref="IFL3">GetValue("Dmn","Name",IFL2)</f>
        <v/>
      </c>
      <c r="IFM3" s="1" t="str" cm="1">
        <f t="array" ref="IFM3">GetValue("Dmn","Name",IFM2)</f>
        <v/>
      </c>
      <c r="IFN3" s="1" t="str" cm="1">
        <f t="array" ref="IFN3">GetValue("Dmn","Name",IFN2)</f>
        <v/>
      </c>
      <c r="IFO3" s="1" t="str" cm="1">
        <f t="array" ref="IFO3">GetValue("Dmn","Name",IFO2)</f>
        <v/>
      </c>
      <c r="IFP3" s="1" t="str" cm="1">
        <f t="array" ref="IFP3">GetValue("Dmn","Name",IFP2)</f>
        <v/>
      </c>
      <c r="IFQ3" s="1" t="str" cm="1">
        <f t="array" ref="IFQ3">GetValue("Dmn","Name",IFQ2)</f>
        <v/>
      </c>
      <c r="IFR3" s="1" t="str" cm="1">
        <f t="array" ref="IFR3">GetValue("Dmn","Name",IFR2)</f>
        <v/>
      </c>
      <c r="IFS3" s="1" t="str" cm="1">
        <f t="array" ref="IFS3">GetValue("Dmn","Name",IFS2)</f>
        <v/>
      </c>
      <c r="IFT3" s="1" t="str" cm="1">
        <f t="array" ref="IFT3">GetValue("Dmn","Name",IFT2)</f>
        <v/>
      </c>
      <c r="IFU3" s="1" t="str" cm="1">
        <f t="array" ref="IFU3">GetValue("Dmn","Name",IFU2)</f>
        <v/>
      </c>
      <c r="IFV3" s="1" t="str" cm="1">
        <f t="array" ref="IFV3">GetValue("Dmn","Name",IFV2)</f>
        <v/>
      </c>
      <c r="IFW3" s="1" t="str" cm="1">
        <f t="array" ref="IFW3">GetValue("Dmn","Name",IFW2)</f>
        <v/>
      </c>
      <c r="IFX3" s="1" t="str" cm="1">
        <f t="array" ref="IFX3">GetValue("Dmn","Name",IFX2)</f>
        <v/>
      </c>
      <c r="IFY3" s="1" t="str" cm="1">
        <f t="array" ref="IFY3">GetValue("Dmn","Name",IFY2)</f>
        <v/>
      </c>
      <c r="IFZ3" s="1" t="str" cm="1">
        <f t="array" ref="IFZ3">GetValue("Dmn","Name",IFZ2)</f>
        <v/>
      </c>
      <c r="IGA3" s="1" t="str" cm="1">
        <f t="array" ref="IGA3">GetValue("Dmn","Name",IGA2)</f>
        <v/>
      </c>
      <c r="IGB3" s="1" t="str" cm="1">
        <f t="array" ref="IGB3">GetValue("Dmn","Name",IGB2)</f>
        <v/>
      </c>
      <c r="IGC3" s="1" t="str" cm="1">
        <f t="array" ref="IGC3">GetValue("Dmn","Name",IGC2)</f>
        <v/>
      </c>
      <c r="IGD3" s="1" t="str" cm="1">
        <f t="array" ref="IGD3">GetValue("Dmn","Name",IGD2)</f>
        <v/>
      </c>
      <c r="IGE3" s="1" t="str" cm="1">
        <f t="array" ref="IGE3">GetValue("Dmn","Name",IGE2)</f>
        <v/>
      </c>
      <c r="IGF3" s="1" t="str" cm="1">
        <f t="array" ref="IGF3">GetValue("Dmn","Name",IGF2)</f>
        <v/>
      </c>
      <c r="IGG3" s="1" t="str" cm="1">
        <f t="array" ref="IGG3">GetValue("Dmn","Name",IGG2)</f>
        <v/>
      </c>
      <c r="IGH3" s="1" t="str" cm="1">
        <f t="array" ref="IGH3">GetValue("Dmn","Name",IGH2)</f>
        <v/>
      </c>
      <c r="IGI3" s="1" t="str" cm="1">
        <f t="array" ref="IGI3">GetValue("Dmn","Name",IGI2)</f>
        <v/>
      </c>
      <c r="IGJ3" s="1" t="str" cm="1">
        <f t="array" ref="IGJ3">GetValue("Dmn","Name",IGJ2)</f>
        <v/>
      </c>
      <c r="IGK3" s="1" t="str" cm="1">
        <f t="array" ref="IGK3">GetValue("Dmn","Name",IGK2)</f>
        <v/>
      </c>
      <c r="IGL3" s="1" t="str" cm="1">
        <f t="array" ref="IGL3">GetValue("Dmn","Name",IGL2)</f>
        <v/>
      </c>
      <c r="IGM3" s="1" t="str" cm="1">
        <f t="array" ref="IGM3">GetValue("Dmn","Name",IGM2)</f>
        <v/>
      </c>
      <c r="IGN3" s="1" t="str" cm="1">
        <f t="array" ref="IGN3">GetValue("Dmn","Name",IGN2)</f>
        <v/>
      </c>
      <c r="IGO3" s="1" t="str" cm="1">
        <f t="array" ref="IGO3">GetValue("Dmn","Name",IGO2)</f>
        <v/>
      </c>
      <c r="IGP3" s="1" t="str" cm="1">
        <f t="array" ref="IGP3">GetValue("Dmn","Name",IGP2)</f>
        <v/>
      </c>
      <c r="IGQ3" s="1" t="str" cm="1">
        <f t="array" ref="IGQ3">GetValue("Dmn","Name",IGQ2)</f>
        <v/>
      </c>
      <c r="IGR3" s="1" t="str" cm="1">
        <f t="array" ref="IGR3">GetValue("Dmn","Name",IGR2)</f>
        <v/>
      </c>
      <c r="IGS3" s="1" t="str" cm="1">
        <f t="array" ref="IGS3">GetValue("Dmn","Name",IGS2)</f>
        <v/>
      </c>
      <c r="IGT3" s="1" t="str" cm="1">
        <f t="array" ref="IGT3">GetValue("Dmn","Name",IGT2)</f>
        <v/>
      </c>
      <c r="IGU3" s="1" t="str" cm="1">
        <f t="array" ref="IGU3">GetValue("Dmn","Name",IGU2)</f>
        <v/>
      </c>
      <c r="IGV3" s="1" t="str" cm="1">
        <f t="array" ref="IGV3">GetValue("Dmn","Name",IGV2)</f>
        <v/>
      </c>
      <c r="IGW3" s="1" t="str" cm="1">
        <f t="array" ref="IGW3">GetValue("Dmn","Name",IGW2)</f>
        <v/>
      </c>
      <c r="IGX3" s="1" t="str" cm="1">
        <f t="array" ref="IGX3">GetValue("Dmn","Name",IGX2)</f>
        <v/>
      </c>
      <c r="IGY3" s="1" t="str" cm="1">
        <f t="array" ref="IGY3">GetValue("Dmn","Name",IGY2)</f>
        <v/>
      </c>
      <c r="IGZ3" s="1" t="str" cm="1">
        <f t="array" ref="IGZ3">GetValue("Dmn","Name",IGZ2)</f>
        <v/>
      </c>
      <c r="IHA3" s="1" t="str" cm="1">
        <f t="array" ref="IHA3">GetValue("Dmn","Name",IHA2)</f>
        <v/>
      </c>
      <c r="IHB3" s="1" t="str" cm="1">
        <f t="array" ref="IHB3">GetValue("Dmn","Name",IHB2)</f>
        <v/>
      </c>
      <c r="IHC3" s="1" t="str" cm="1">
        <f t="array" ref="IHC3">GetValue("Dmn","Name",IHC2)</f>
        <v/>
      </c>
      <c r="IHD3" s="1" t="str" cm="1">
        <f t="array" ref="IHD3">GetValue("Dmn","Name",IHD2)</f>
        <v/>
      </c>
      <c r="IHE3" s="1" t="str" cm="1">
        <f t="array" ref="IHE3">GetValue("Dmn","Name",IHE2)</f>
        <v/>
      </c>
      <c r="IHF3" s="1" t="str" cm="1">
        <f t="array" ref="IHF3">GetValue("Dmn","Name",IHF2)</f>
        <v/>
      </c>
      <c r="IHG3" s="1" t="str" cm="1">
        <f t="array" ref="IHG3">GetValue("Dmn","Name",IHG2)</f>
        <v/>
      </c>
      <c r="IHH3" s="1" t="str" cm="1">
        <f t="array" ref="IHH3">GetValue("Dmn","Name",IHH2)</f>
        <v/>
      </c>
      <c r="IHI3" s="1" t="str" cm="1">
        <f t="array" ref="IHI3">GetValue("Dmn","Name",IHI2)</f>
        <v/>
      </c>
      <c r="IHJ3" s="1" t="str" cm="1">
        <f t="array" ref="IHJ3">GetValue("Dmn","Name",IHJ2)</f>
        <v/>
      </c>
      <c r="IHK3" s="1" t="str" cm="1">
        <f t="array" ref="IHK3">GetValue("Dmn","Name",IHK2)</f>
        <v/>
      </c>
      <c r="IHL3" s="1" t="str" cm="1">
        <f t="array" ref="IHL3">GetValue("Dmn","Name",IHL2)</f>
        <v/>
      </c>
      <c r="IHM3" s="1" t="str" cm="1">
        <f t="array" ref="IHM3">GetValue("Dmn","Name",IHM2)</f>
        <v/>
      </c>
      <c r="IHN3" s="1" t="str" cm="1">
        <f t="array" ref="IHN3">GetValue("Dmn","Name",IHN2)</f>
        <v/>
      </c>
      <c r="IHO3" s="1" t="str" cm="1">
        <f t="array" ref="IHO3">GetValue("Dmn","Name",IHO2)</f>
        <v/>
      </c>
      <c r="IHP3" s="1" t="str" cm="1">
        <f t="array" ref="IHP3">GetValue("Dmn","Name",IHP2)</f>
        <v/>
      </c>
      <c r="IHQ3" s="1" t="str" cm="1">
        <f t="array" ref="IHQ3">GetValue("Dmn","Name",IHQ2)</f>
        <v/>
      </c>
      <c r="IHR3" s="1" t="str" cm="1">
        <f t="array" ref="IHR3">GetValue("Dmn","Name",IHR2)</f>
        <v/>
      </c>
      <c r="IHS3" s="1" t="str" cm="1">
        <f t="array" ref="IHS3">GetValue("Dmn","Name",IHS2)</f>
        <v/>
      </c>
      <c r="IHT3" s="1" t="str" cm="1">
        <f t="array" ref="IHT3">GetValue("Dmn","Name",IHT2)</f>
        <v/>
      </c>
      <c r="IHU3" s="1" t="str" cm="1">
        <f t="array" ref="IHU3">GetValue("Dmn","Name",IHU2)</f>
        <v/>
      </c>
      <c r="IHV3" s="1" t="str" cm="1">
        <f t="array" ref="IHV3">GetValue("Dmn","Name",IHV2)</f>
        <v/>
      </c>
      <c r="IHW3" s="1" t="str" cm="1">
        <f t="array" ref="IHW3">GetValue("Dmn","Name",IHW2)</f>
        <v/>
      </c>
      <c r="IHX3" s="1" t="str" cm="1">
        <f t="array" ref="IHX3">GetValue("Dmn","Name",IHX2)</f>
        <v/>
      </c>
      <c r="IHY3" s="1" t="str" cm="1">
        <f t="array" ref="IHY3">GetValue("Dmn","Name",IHY2)</f>
        <v/>
      </c>
      <c r="IHZ3" s="1" t="str" cm="1">
        <f t="array" ref="IHZ3">GetValue("Dmn","Name",IHZ2)</f>
        <v/>
      </c>
      <c r="IIA3" s="1" t="str" cm="1">
        <f t="array" ref="IIA3">GetValue("Dmn","Name",IIA2)</f>
        <v/>
      </c>
      <c r="IIB3" s="1" t="str" cm="1">
        <f t="array" ref="IIB3">GetValue("Dmn","Name",IIB2)</f>
        <v/>
      </c>
      <c r="IIC3" s="1" t="str" cm="1">
        <f t="array" ref="IIC3">GetValue("Dmn","Name",IIC2)</f>
        <v/>
      </c>
      <c r="IID3" s="1" t="str" cm="1">
        <f t="array" ref="IID3">GetValue("Dmn","Name",IID2)</f>
        <v/>
      </c>
      <c r="IIE3" s="1" t="str" cm="1">
        <f t="array" ref="IIE3">GetValue("Dmn","Name",IIE2)</f>
        <v/>
      </c>
      <c r="IIF3" s="1" t="str" cm="1">
        <f t="array" ref="IIF3">GetValue("Dmn","Name",IIF2)</f>
        <v/>
      </c>
      <c r="IIG3" s="1" t="str" cm="1">
        <f t="array" ref="IIG3">GetValue("Dmn","Name",IIG2)</f>
        <v/>
      </c>
      <c r="IIH3" s="1" t="str" cm="1">
        <f t="array" ref="IIH3">GetValue("Dmn","Name",IIH2)</f>
        <v/>
      </c>
      <c r="III3" s="1" t="str" cm="1">
        <f t="array" ref="III3">GetValue("Dmn","Name",III2)</f>
        <v/>
      </c>
      <c r="IIJ3" s="1" t="str" cm="1">
        <f t="array" ref="IIJ3">GetValue("Dmn","Name",IIJ2)</f>
        <v/>
      </c>
      <c r="IIK3" s="1" t="str" cm="1">
        <f t="array" ref="IIK3">GetValue("Dmn","Name",IIK2)</f>
        <v/>
      </c>
      <c r="IIL3" s="1" t="str" cm="1">
        <f t="array" ref="IIL3">GetValue("Dmn","Name",IIL2)</f>
        <v/>
      </c>
      <c r="IIM3" s="1" t="str" cm="1">
        <f t="array" ref="IIM3">GetValue("Dmn","Name",IIM2)</f>
        <v/>
      </c>
      <c r="IIN3" s="1" t="str" cm="1">
        <f t="array" ref="IIN3">GetValue("Dmn","Name",IIN2)</f>
        <v/>
      </c>
      <c r="IIO3" s="1" t="str" cm="1">
        <f t="array" ref="IIO3">GetValue("Dmn","Name",IIO2)</f>
        <v/>
      </c>
      <c r="IIP3" s="1" t="str" cm="1">
        <f t="array" ref="IIP3">GetValue("Dmn","Name",IIP2)</f>
        <v/>
      </c>
      <c r="IIQ3" s="1" t="str" cm="1">
        <f t="array" ref="IIQ3">GetValue("Dmn","Name",IIQ2)</f>
        <v/>
      </c>
      <c r="IIR3" s="1" t="str" cm="1">
        <f t="array" ref="IIR3">GetValue("Dmn","Name",IIR2)</f>
        <v/>
      </c>
      <c r="IIS3" s="1" t="str" cm="1">
        <f t="array" ref="IIS3">GetValue("Dmn","Name",IIS2)</f>
        <v/>
      </c>
      <c r="IIT3" s="1" t="str" cm="1">
        <f t="array" ref="IIT3">GetValue("Dmn","Name",IIT2)</f>
        <v/>
      </c>
      <c r="IIU3" s="1" t="str" cm="1">
        <f t="array" ref="IIU3">GetValue("Dmn","Name",IIU2)</f>
        <v/>
      </c>
      <c r="IIV3" s="1" t="str" cm="1">
        <f t="array" ref="IIV3">GetValue("Dmn","Name",IIV2)</f>
        <v/>
      </c>
      <c r="IIW3" s="1" t="str" cm="1">
        <f t="array" ref="IIW3">GetValue("Dmn","Name",IIW2)</f>
        <v/>
      </c>
      <c r="IIX3" s="1" t="str" cm="1">
        <f t="array" ref="IIX3">GetValue("Dmn","Name",IIX2)</f>
        <v/>
      </c>
      <c r="IIY3" s="1" t="str" cm="1">
        <f t="array" ref="IIY3">GetValue("Dmn","Name",IIY2)</f>
        <v/>
      </c>
      <c r="IIZ3" s="1" t="str" cm="1">
        <f t="array" ref="IIZ3">GetValue("Dmn","Name",IIZ2)</f>
        <v/>
      </c>
      <c r="IJA3" s="1" t="str" cm="1">
        <f t="array" ref="IJA3">GetValue("Dmn","Name",IJA2)</f>
        <v/>
      </c>
      <c r="IJB3" s="1" t="str" cm="1">
        <f t="array" ref="IJB3">GetValue("Dmn","Name",IJB2)</f>
        <v/>
      </c>
      <c r="IJC3" s="1" t="str" cm="1">
        <f t="array" ref="IJC3">GetValue("Dmn","Name",IJC2)</f>
        <v/>
      </c>
      <c r="IJD3" s="1" t="str" cm="1">
        <f t="array" ref="IJD3">GetValue("Dmn","Name",IJD2)</f>
        <v/>
      </c>
      <c r="IJE3" s="1" t="str" cm="1">
        <f t="array" ref="IJE3">GetValue("Dmn","Name",IJE2)</f>
        <v/>
      </c>
      <c r="IJF3" s="1" t="str" cm="1">
        <f t="array" ref="IJF3">GetValue("Dmn","Name",IJF2)</f>
        <v/>
      </c>
      <c r="IJG3" s="1" t="str" cm="1">
        <f t="array" ref="IJG3">GetValue("Dmn","Name",IJG2)</f>
        <v/>
      </c>
      <c r="IJH3" s="1" t="str" cm="1">
        <f t="array" ref="IJH3">GetValue("Dmn","Name",IJH2)</f>
        <v/>
      </c>
      <c r="IJI3" s="1" t="str" cm="1">
        <f t="array" ref="IJI3">GetValue("Dmn","Name",IJI2)</f>
        <v/>
      </c>
      <c r="IJJ3" s="1" t="str" cm="1">
        <f t="array" ref="IJJ3">GetValue("Dmn","Name",IJJ2)</f>
        <v/>
      </c>
      <c r="IJK3" s="1" t="str" cm="1">
        <f t="array" ref="IJK3">GetValue("Dmn","Name",IJK2)</f>
        <v/>
      </c>
      <c r="IJL3" s="1" t="str" cm="1">
        <f t="array" ref="IJL3">GetValue("Dmn","Name",IJL2)</f>
        <v/>
      </c>
      <c r="IJM3" s="1" t="str" cm="1">
        <f t="array" ref="IJM3">GetValue("Dmn","Name",IJM2)</f>
        <v/>
      </c>
      <c r="IJN3" s="1" t="str" cm="1">
        <f t="array" ref="IJN3">GetValue("Dmn","Name",IJN2)</f>
        <v/>
      </c>
      <c r="IJO3" s="1" t="str" cm="1">
        <f t="array" ref="IJO3">GetValue("Dmn","Name",IJO2)</f>
        <v/>
      </c>
      <c r="IJP3" s="1" t="str" cm="1">
        <f t="array" ref="IJP3">GetValue("Dmn","Name",IJP2)</f>
        <v/>
      </c>
      <c r="IJQ3" s="1" t="str" cm="1">
        <f t="array" ref="IJQ3">GetValue("Dmn","Name",IJQ2)</f>
        <v/>
      </c>
      <c r="IJR3" s="1" t="str" cm="1">
        <f t="array" ref="IJR3">GetValue("Dmn","Name",IJR2)</f>
        <v/>
      </c>
      <c r="IJS3" s="1" t="str" cm="1">
        <f t="array" ref="IJS3">GetValue("Dmn","Name",IJS2)</f>
        <v/>
      </c>
      <c r="IJT3" s="1" t="str" cm="1">
        <f t="array" ref="IJT3">GetValue("Dmn","Name",IJT2)</f>
        <v/>
      </c>
      <c r="IJU3" s="1" t="str" cm="1">
        <f t="array" ref="IJU3">GetValue("Dmn","Name",IJU2)</f>
        <v/>
      </c>
      <c r="IJV3" s="1" t="str" cm="1">
        <f t="array" ref="IJV3">GetValue("Dmn","Name",IJV2)</f>
        <v/>
      </c>
      <c r="IJW3" s="1" t="str" cm="1">
        <f t="array" ref="IJW3">GetValue("Dmn","Name",IJW2)</f>
        <v/>
      </c>
      <c r="IJX3" s="1" t="str" cm="1">
        <f t="array" ref="IJX3">GetValue("Dmn","Name",IJX2)</f>
        <v/>
      </c>
      <c r="IJY3" s="1" t="str" cm="1">
        <f t="array" ref="IJY3">GetValue("Dmn","Name",IJY2)</f>
        <v/>
      </c>
      <c r="IJZ3" s="1" t="str" cm="1">
        <f t="array" ref="IJZ3">GetValue("Dmn","Name",IJZ2)</f>
        <v/>
      </c>
      <c r="IKA3" s="1" t="str" cm="1">
        <f t="array" ref="IKA3">GetValue("Dmn","Name",IKA2)</f>
        <v/>
      </c>
      <c r="IKB3" s="1" t="str" cm="1">
        <f t="array" ref="IKB3">GetValue("Dmn","Name",IKB2)</f>
        <v/>
      </c>
      <c r="IKC3" s="1" t="str" cm="1">
        <f t="array" ref="IKC3">GetValue("Dmn","Name",IKC2)</f>
        <v/>
      </c>
      <c r="IKD3" s="1" t="str" cm="1">
        <f t="array" ref="IKD3">GetValue("Dmn","Name",IKD2)</f>
        <v/>
      </c>
      <c r="IKE3" s="1" t="str" cm="1">
        <f t="array" ref="IKE3">GetValue("Dmn","Name",IKE2)</f>
        <v/>
      </c>
      <c r="IKF3" s="1" t="str" cm="1">
        <f t="array" ref="IKF3">GetValue("Dmn","Name",IKF2)</f>
        <v/>
      </c>
      <c r="IKG3" s="1" t="str" cm="1">
        <f t="array" ref="IKG3">GetValue("Dmn","Name",IKG2)</f>
        <v/>
      </c>
      <c r="IKH3" s="1" t="str" cm="1">
        <f t="array" ref="IKH3">GetValue("Dmn","Name",IKH2)</f>
        <v/>
      </c>
      <c r="IKI3" s="1" t="str" cm="1">
        <f t="array" ref="IKI3">GetValue("Dmn","Name",IKI2)</f>
        <v/>
      </c>
      <c r="IKJ3" s="1" t="str" cm="1">
        <f t="array" ref="IKJ3">GetValue("Dmn","Name",IKJ2)</f>
        <v/>
      </c>
      <c r="IKK3" s="1" t="str" cm="1">
        <f t="array" ref="IKK3">GetValue("Dmn","Name",IKK2)</f>
        <v/>
      </c>
      <c r="IKL3" s="1" t="str" cm="1">
        <f t="array" ref="IKL3">GetValue("Dmn","Name",IKL2)</f>
        <v/>
      </c>
      <c r="IKM3" s="1" t="str" cm="1">
        <f t="array" ref="IKM3">GetValue("Dmn","Name",IKM2)</f>
        <v/>
      </c>
      <c r="IKN3" s="1" t="str" cm="1">
        <f t="array" ref="IKN3">GetValue("Dmn","Name",IKN2)</f>
        <v/>
      </c>
      <c r="IKO3" s="1" t="str" cm="1">
        <f t="array" ref="IKO3">GetValue("Dmn","Name",IKO2)</f>
        <v/>
      </c>
      <c r="IKP3" s="1" t="str" cm="1">
        <f t="array" ref="IKP3">GetValue("Dmn","Name",IKP2)</f>
        <v/>
      </c>
      <c r="IKQ3" s="1" t="str" cm="1">
        <f t="array" ref="IKQ3">GetValue("Dmn","Name",IKQ2)</f>
        <v/>
      </c>
      <c r="IKR3" s="1" t="str" cm="1">
        <f t="array" ref="IKR3">GetValue("Dmn","Name",IKR2)</f>
        <v/>
      </c>
      <c r="IKS3" s="1" t="str" cm="1">
        <f t="array" ref="IKS3">GetValue("Dmn","Name",IKS2)</f>
        <v/>
      </c>
      <c r="IKT3" s="1" t="str" cm="1">
        <f t="array" ref="IKT3">GetValue("Dmn","Name",IKT2)</f>
        <v/>
      </c>
      <c r="IKU3" s="1" t="str" cm="1">
        <f t="array" ref="IKU3">GetValue("Dmn","Name",IKU2)</f>
        <v/>
      </c>
      <c r="IKV3" s="1" t="str" cm="1">
        <f t="array" ref="IKV3">GetValue("Dmn","Name",IKV2)</f>
        <v/>
      </c>
      <c r="IKW3" s="1" t="str" cm="1">
        <f t="array" ref="IKW3">GetValue("Dmn","Name",IKW2)</f>
        <v/>
      </c>
      <c r="IKX3" s="1" t="str" cm="1">
        <f t="array" ref="IKX3">GetValue("Dmn","Name",IKX2)</f>
        <v/>
      </c>
      <c r="IKY3" s="1" t="str" cm="1">
        <f t="array" ref="IKY3">GetValue("Dmn","Name",IKY2)</f>
        <v/>
      </c>
      <c r="IKZ3" s="1" t="str" cm="1">
        <f t="array" ref="IKZ3">GetValue("Dmn","Name",IKZ2)</f>
        <v/>
      </c>
      <c r="ILA3" s="1" t="str" cm="1">
        <f t="array" ref="ILA3">GetValue("Dmn","Name",ILA2)</f>
        <v/>
      </c>
      <c r="ILB3" s="1" t="str" cm="1">
        <f t="array" ref="ILB3">GetValue("Dmn","Name",ILB2)</f>
        <v/>
      </c>
      <c r="ILC3" s="1" t="str" cm="1">
        <f t="array" ref="ILC3">GetValue("Dmn","Name",ILC2)</f>
        <v/>
      </c>
      <c r="ILD3" s="1" t="str" cm="1">
        <f t="array" ref="ILD3">GetValue("Dmn","Name",ILD2)</f>
        <v/>
      </c>
      <c r="ILE3" s="1" t="str" cm="1">
        <f t="array" ref="ILE3">GetValue("Dmn","Name",ILE2)</f>
        <v/>
      </c>
      <c r="ILF3" s="1" t="str" cm="1">
        <f t="array" ref="ILF3">GetValue("Dmn","Name",ILF2)</f>
        <v/>
      </c>
      <c r="ILG3" s="1" t="str" cm="1">
        <f t="array" ref="ILG3">GetValue("Dmn","Name",ILG2)</f>
        <v/>
      </c>
      <c r="ILH3" s="1" t="str" cm="1">
        <f t="array" ref="ILH3">GetValue("Dmn","Name",ILH2)</f>
        <v/>
      </c>
      <c r="ILI3" s="1" t="str" cm="1">
        <f t="array" ref="ILI3">GetValue("Dmn","Name",ILI2)</f>
        <v/>
      </c>
      <c r="ILJ3" s="1" t="str" cm="1">
        <f t="array" ref="ILJ3">GetValue("Dmn","Name",ILJ2)</f>
        <v/>
      </c>
      <c r="ILK3" s="1" t="str" cm="1">
        <f t="array" ref="ILK3">GetValue("Dmn","Name",ILK2)</f>
        <v/>
      </c>
      <c r="ILL3" s="1" t="str" cm="1">
        <f t="array" ref="ILL3">GetValue("Dmn","Name",ILL2)</f>
        <v/>
      </c>
      <c r="ILM3" s="1" t="str" cm="1">
        <f t="array" ref="ILM3">GetValue("Dmn","Name",ILM2)</f>
        <v/>
      </c>
      <c r="ILN3" s="1" t="str" cm="1">
        <f t="array" ref="ILN3">GetValue("Dmn","Name",ILN2)</f>
        <v/>
      </c>
      <c r="ILO3" s="1" t="str" cm="1">
        <f t="array" ref="ILO3">GetValue("Dmn","Name",ILO2)</f>
        <v/>
      </c>
      <c r="ILP3" s="1" t="str" cm="1">
        <f t="array" ref="ILP3">GetValue("Dmn","Name",ILP2)</f>
        <v/>
      </c>
      <c r="ILQ3" s="1" t="str" cm="1">
        <f t="array" ref="ILQ3">GetValue("Dmn","Name",ILQ2)</f>
        <v/>
      </c>
      <c r="ILR3" s="1" t="str" cm="1">
        <f t="array" ref="ILR3">GetValue("Dmn","Name",ILR2)</f>
        <v/>
      </c>
      <c r="ILS3" s="1" t="str" cm="1">
        <f t="array" ref="ILS3">GetValue("Dmn","Name",ILS2)</f>
        <v/>
      </c>
      <c r="ILT3" s="1" t="str" cm="1">
        <f t="array" ref="ILT3">GetValue("Dmn","Name",ILT2)</f>
        <v/>
      </c>
      <c r="ILU3" s="1" t="str" cm="1">
        <f t="array" ref="ILU3">GetValue("Dmn","Name",ILU2)</f>
        <v/>
      </c>
      <c r="ILV3" s="1" t="str" cm="1">
        <f t="array" ref="ILV3">GetValue("Dmn","Name",ILV2)</f>
        <v/>
      </c>
      <c r="ILW3" s="1" t="str" cm="1">
        <f t="array" ref="ILW3">GetValue("Dmn","Name",ILW2)</f>
        <v/>
      </c>
      <c r="ILX3" s="1" t="str" cm="1">
        <f t="array" ref="ILX3">GetValue("Dmn","Name",ILX2)</f>
        <v/>
      </c>
      <c r="ILY3" s="1" t="str" cm="1">
        <f t="array" ref="ILY3">GetValue("Dmn","Name",ILY2)</f>
        <v/>
      </c>
      <c r="ILZ3" s="1" t="str" cm="1">
        <f t="array" ref="ILZ3">GetValue("Dmn","Name",ILZ2)</f>
        <v/>
      </c>
      <c r="IMA3" s="1" t="str" cm="1">
        <f t="array" ref="IMA3">GetValue("Dmn","Name",IMA2)</f>
        <v/>
      </c>
      <c r="IMB3" s="1" t="str" cm="1">
        <f t="array" ref="IMB3">GetValue("Dmn","Name",IMB2)</f>
        <v/>
      </c>
      <c r="IMC3" s="1" t="str" cm="1">
        <f t="array" ref="IMC3">GetValue("Dmn","Name",IMC2)</f>
        <v/>
      </c>
      <c r="IMD3" s="1" t="str" cm="1">
        <f t="array" ref="IMD3">GetValue("Dmn","Name",IMD2)</f>
        <v/>
      </c>
      <c r="IME3" s="1" t="str" cm="1">
        <f t="array" ref="IME3">GetValue("Dmn","Name",IME2)</f>
        <v/>
      </c>
      <c r="IMF3" s="1" t="str" cm="1">
        <f t="array" ref="IMF3">GetValue("Dmn","Name",IMF2)</f>
        <v/>
      </c>
      <c r="IMG3" s="1" t="str" cm="1">
        <f t="array" ref="IMG3">GetValue("Dmn","Name",IMG2)</f>
        <v/>
      </c>
      <c r="IMH3" s="1" t="str" cm="1">
        <f t="array" ref="IMH3">GetValue("Dmn","Name",IMH2)</f>
        <v/>
      </c>
      <c r="IMI3" s="1" t="str" cm="1">
        <f t="array" ref="IMI3">GetValue("Dmn","Name",IMI2)</f>
        <v/>
      </c>
      <c r="IMJ3" s="1" t="str" cm="1">
        <f t="array" ref="IMJ3">GetValue("Dmn","Name",IMJ2)</f>
        <v/>
      </c>
      <c r="IMK3" s="1" t="str" cm="1">
        <f t="array" ref="IMK3">GetValue("Dmn","Name",IMK2)</f>
        <v/>
      </c>
      <c r="IML3" s="1" t="str" cm="1">
        <f t="array" ref="IML3">GetValue("Dmn","Name",IML2)</f>
        <v/>
      </c>
      <c r="IMM3" s="1" t="str" cm="1">
        <f t="array" ref="IMM3">GetValue("Dmn","Name",IMM2)</f>
        <v/>
      </c>
      <c r="IMN3" s="1" t="str" cm="1">
        <f t="array" ref="IMN3">GetValue("Dmn","Name",IMN2)</f>
        <v/>
      </c>
      <c r="IMO3" s="1" t="str" cm="1">
        <f t="array" ref="IMO3">GetValue("Dmn","Name",IMO2)</f>
        <v/>
      </c>
      <c r="IMP3" s="1" t="str" cm="1">
        <f t="array" ref="IMP3">GetValue("Dmn","Name",IMP2)</f>
        <v/>
      </c>
      <c r="IMQ3" s="1" t="str" cm="1">
        <f t="array" ref="IMQ3">GetValue("Dmn","Name",IMQ2)</f>
        <v/>
      </c>
      <c r="IMR3" s="1" t="str" cm="1">
        <f t="array" ref="IMR3">GetValue("Dmn","Name",IMR2)</f>
        <v/>
      </c>
      <c r="IMS3" s="1" t="str" cm="1">
        <f t="array" ref="IMS3">GetValue("Dmn","Name",IMS2)</f>
        <v/>
      </c>
      <c r="IMT3" s="1" t="str" cm="1">
        <f t="array" ref="IMT3">GetValue("Dmn","Name",IMT2)</f>
        <v/>
      </c>
      <c r="IMU3" s="1" t="str" cm="1">
        <f t="array" ref="IMU3">GetValue("Dmn","Name",IMU2)</f>
        <v/>
      </c>
      <c r="IMV3" s="1" t="str" cm="1">
        <f t="array" ref="IMV3">GetValue("Dmn","Name",IMV2)</f>
        <v/>
      </c>
      <c r="IMW3" s="1" t="str" cm="1">
        <f t="array" ref="IMW3">GetValue("Dmn","Name",IMW2)</f>
        <v/>
      </c>
      <c r="IMX3" s="1" t="str" cm="1">
        <f t="array" ref="IMX3">GetValue("Dmn","Name",IMX2)</f>
        <v/>
      </c>
      <c r="IMY3" s="1" t="str" cm="1">
        <f t="array" ref="IMY3">GetValue("Dmn","Name",IMY2)</f>
        <v/>
      </c>
      <c r="IMZ3" s="1" t="str" cm="1">
        <f t="array" ref="IMZ3">GetValue("Dmn","Name",IMZ2)</f>
        <v/>
      </c>
      <c r="INA3" s="1" t="str" cm="1">
        <f t="array" ref="INA3">GetValue("Dmn","Name",INA2)</f>
        <v/>
      </c>
      <c r="INB3" s="1" t="str" cm="1">
        <f t="array" ref="INB3">GetValue("Dmn","Name",INB2)</f>
        <v/>
      </c>
      <c r="INC3" s="1" t="str" cm="1">
        <f t="array" ref="INC3">GetValue("Dmn","Name",INC2)</f>
        <v/>
      </c>
      <c r="IND3" s="1" t="str" cm="1">
        <f t="array" ref="IND3">GetValue("Dmn","Name",IND2)</f>
        <v/>
      </c>
      <c r="INE3" s="1" t="str" cm="1">
        <f t="array" ref="INE3">GetValue("Dmn","Name",INE2)</f>
        <v/>
      </c>
      <c r="INF3" s="1" t="str" cm="1">
        <f t="array" ref="INF3">GetValue("Dmn","Name",INF2)</f>
        <v/>
      </c>
      <c r="ING3" s="1" t="str" cm="1">
        <f t="array" ref="ING3">GetValue("Dmn","Name",ING2)</f>
        <v/>
      </c>
      <c r="INH3" s="1" t="str" cm="1">
        <f t="array" ref="INH3">GetValue("Dmn","Name",INH2)</f>
        <v/>
      </c>
      <c r="INI3" s="1" t="str" cm="1">
        <f t="array" ref="INI3">GetValue("Dmn","Name",INI2)</f>
        <v/>
      </c>
      <c r="INJ3" s="1" t="str" cm="1">
        <f t="array" ref="INJ3">GetValue("Dmn","Name",INJ2)</f>
        <v/>
      </c>
      <c r="INK3" s="1" t="str" cm="1">
        <f t="array" ref="INK3">GetValue("Dmn","Name",INK2)</f>
        <v/>
      </c>
      <c r="INL3" s="1" t="str" cm="1">
        <f t="array" ref="INL3">GetValue("Dmn","Name",INL2)</f>
        <v/>
      </c>
      <c r="INM3" s="1" t="str" cm="1">
        <f t="array" ref="INM3">GetValue("Dmn","Name",INM2)</f>
        <v/>
      </c>
      <c r="INN3" s="1" t="str" cm="1">
        <f t="array" ref="INN3">GetValue("Dmn","Name",INN2)</f>
        <v/>
      </c>
      <c r="INO3" s="1" t="str" cm="1">
        <f t="array" ref="INO3">GetValue("Dmn","Name",INO2)</f>
        <v/>
      </c>
      <c r="INP3" s="1" t="str" cm="1">
        <f t="array" ref="INP3">GetValue("Dmn","Name",INP2)</f>
        <v/>
      </c>
      <c r="INQ3" s="1" t="str" cm="1">
        <f t="array" ref="INQ3">GetValue("Dmn","Name",INQ2)</f>
        <v/>
      </c>
      <c r="INR3" s="1" t="str" cm="1">
        <f t="array" ref="INR3">GetValue("Dmn","Name",INR2)</f>
        <v/>
      </c>
      <c r="INS3" s="1" t="str" cm="1">
        <f t="array" ref="INS3">GetValue("Dmn","Name",INS2)</f>
        <v/>
      </c>
      <c r="INT3" s="1" t="str" cm="1">
        <f t="array" ref="INT3">GetValue("Dmn","Name",INT2)</f>
        <v/>
      </c>
      <c r="INU3" s="1" t="str" cm="1">
        <f t="array" ref="INU3">GetValue("Dmn","Name",INU2)</f>
        <v/>
      </c>
      <c r="INV3" s="1" t="str" cm="1">
        <f t="array" ref="INV3">GetValue("Dmn","Name",INV2)</f>
        <v/>
      </c>
      <c r="INW3" s="1" t="str" cm="1">
        <f t="array" ref="INW3">GetValue("Dmn","Name",INW2)</f>
        <v/>
      </c>
      <c r="INX3" s="1" t="str" cm="1">
        <f t="array" ref="INX3">GetValue("Dmn","Name",INX2)</f>
        <v/>
      </c>
      <c r="INY3" s="1" t="str" cm="1">
        <f t="array" ref="INY3">GetValue("Dmn","Name",INY2)</f>
        <v/>
      </c>
      <c r="INZ3" s="1" t="str" cm="1">
        <f t="array" ref="INZ3">GetValue("Dmn","Name",INZ2)</f>
        <v/>
      </c>
      <c r="IOA3" s="1" t="str" cm="1">
        <f t="array" ref="IOA3">GetValue("Dmn","Name",IOA2)</f>
        <v/>
      </c>
      <c r="IOB3" s="1" t="str" cm="1">
        <f t="array" ref="IOB3">GetValue("Dmn","Name",IOB2)</f>
        <v/>
      </c>
      <c r="IOC3" s="1" t="str" cm="1">
        <f t="array" ref="IOC3">GetValue("Dmn","Name",IOC2)</f>
        <v/>
      </c>
      <c r="IOD3" s="1" t="str" cm="1">
        <f t="array" ref="IOD3">GetValue("Dmn","Name",IOD2)</f>
        <v/>
      </c>
      <c r="IOE3" s="1" t="str" cm="1">
        <f t="array" ref="IOE3">GetValue("Dmn","Name",IOE2)</f>
        <v/>
      </c>
      <c r="IOF3" s="1" t="str" cm="1">
        <f t="array" ref="IOF3">GetValue("Dmn","Name",IOF2)</f>
        <v/>
      </c>
      <c r="IOG3" s="1" t="str" cm="1">
        <f t="array" ref="IOG3">GetValue("Dmn","Name",IOG2)</f>
        <v/>
      </c>
      <c r="IOH3" s="1" t="str" cm="1">
        <f t="array" ref="IOH3">GetValue("Dmn","Name",IOH2)</f>
        <v/>
      </c>
      <c r="IOI3" s="1" t="str" cm="1">
        <f t="array" ref="IOI3">GetValue("Dmn","Name",IOI2)</f>
        <v/>
      </c>
      <c r="IOJ3" s="1" t="str" cm="1">
        <f t="array" ref="IOJ3">GetValue("Dmn","Name",IOJ2)</f>
        <v/>
      </c>
      <c r="IOK3" s="1" t="str" cm="1">
        <f t="array" ref="IOK3">GetValue("Dmn","Name",IOK2)</f>
        <v/>
      </c>
      <c r="IOL3" s="1" t="str" cm="1">
        <f t="array" ref="IOL3">GetValue("Dmn","Name",IOL2)</f>
        <v/>
      </c>
      <c r="IOM3" s="1" t="str" cm="1">
        <f t="array" ref="IOM3">GetValue("Dmn","Name",IOM2)</f>
        <v/>
      </c>
      <c r="ION3" s="1" t="str" cm="1">
        <f t="array" ref="ION3">GetValue("Dmn","Name",ION2)</f>
        <v/>
      </c>
      <c r="IOO3" s="1" t="str" cm="1">
        <f t="array" ref="IOO3">GetValue("Dmn","Name",IOO2)</f>
        <v/>
      </c>
      <c r="IOP3" s="1" t="str" cm="1">
        <f t="array" ref="IOP3">GetValue("Dmn","Name",IOP2)</f>
        <v/>
      </c>
      <c r="IOQ3" s="1" t="str" cm="1">
        <f t="array" ref="IOQ3">GetValue("Dmn","Name",IOQ2)</f>
        <v/>
      </c>
      <c r="IOR3" s="1" t="str" cm="1">
        <f t="array" ref="IOR3">GetValue("Dmn","Name",IOR2)</f>
        <v/>
      </c>
      <c r="IOS3" s="1" t="str" cm="1">
        <f t="array" ref="IOS3">GetValue("Dmn","Name",IOS2)</f>
        <v/>
      </c>
      <c r="IOT3" s="1" t="str" cm="1">
        <f t="array" ref="IOT3">GetValue("Dmn","Name",IOT2)</f>
        <v/>
      </c>
      <c r="IOU3" s="1" t="str" cm="1">
        <f t="array" ref="IOU3">GetValue("Dmn","Name",IOU2)</f>
        <v/>
      </c>
      <c r="IOV3" s="1" t="str" cm="1">
        <f t="array" ref="IOV3">GetValue("Dmn","Name",IOV2)</f>
        <v/>
      </c>
      <c r="IOW3" s="1" t="str" cm="1">
        <f t="array" ref="IOW3">GetValue("Dmn","Name",IOW2)</f>
        <v/>
      </c>
      <c r="IOX3" s="1" t="str" cm="1">
        <f t="array" ref="IOX3">GetValue("Dmn","Name",IOX2)</f>
        <v/>
      </c>
      <c r="IOY3" s="1" t="str" cm="1">
        <f t="array" ref="IOY3">GetValue("Dmn","Name",IOY2)</f>
        <v/>
      </c>
      <c r="IOZ3" s="1" t="str" cm="1">
        <f t="array" ref="IOZ3">GetValue("Dmn","Name",IOZ2)</f>
        <v/>
      </c>
      <c r="IPA3" s="1" t="str" cm="1">
        <f t="array" ref="IPA3">GetValue("Dmn","Name",IPA2)</f>
        <v/>
      </c>
      <c r="IPB3" s="1" t="str" cm="1">
        <f t="array" ref="IPB3">GetValue("Dmn","Name",IPB2)</f>
        <v/>
      </c>
      <c r="IPC3" s="1" t="str" cm="1">
        <f t="array" ref="IPC3">GetValue("Dmn","Name",IPC2)</f>
        <v/>
      </c>
      <c r="IPD3" s="1" t="str" cm="1">
        <f t="array" ref="IPD3">GetValue("Dmn","Name",IPD2)</f>
        <v/>
      </c>
      <c r="IPE3" s="1" t="str" cm="1">
        <f t="array" ref="IPE3">GetValue("Dmn","Name",IPE2)</f>
        <v/>
      </c>
      <c r="IPF3" s="1" t="str" cm="1">
        <f t="array" ref="IPF3">GetValue("Dmn","Name",IPF2)</f>
        <v/>
      </c>
      <c r="IPG3" s="1" t="str" cm="1">
        <f t="array" ref="IPG3">GetValue("Dmn","Name",IPG2)</f>
        <v/>
      </c>
      <c r="IPH3" s="1" t="str" cm="1">
        <f t="array" ref="IPH3">GetValue("Dmn","Name",IPH2)</f>
        <v/>
      </c>
      <c r="IPI3" s="1" t="str" cm="1">
        <f t="array" ref="IPI3">GetValue("Dmn","Name",IPI2)</f>
        <v/>
      </c>
      <c r="IPJ3" s="1" t="str" cm="1">
        <f t="array" ref="IPJ3">GetValue("Dmn","Name",IPJ2)</f>
        <v/>
      </c>
      <c r="IPK3" s="1" t="str" cm="1">
        <f t="array" ref="IPK3">GetValue("Dmn","Name",IPK2)</f>
        <v/>
      </c>
      <c r="IPL3" s="1" t="str" cm="1">
        <f t="array" ref="IPL3">GetValue("Dmn","Name",IPL2)</f>
        <v/>
      </c>
      <c r="IPM3" s="1" t="str" cm="1">
        <f t="array" ref="IPM3">GetValue("Dmn","Name",IPM2)</f>
        <v/>
      </c>
      <c r="IPN3" s="1" t="str" cm="1">
        <f t="array" ref="IPN3">GetValue("Dmn","Name",IPN2)</f>
        <v/>
      </c>
      <c r="IPO3" s="1" t="str" cm="1">
        <f t="array" ref="IPO3">GetValue("Dmn","Name",IPO2)</f>
        <v/>
      </c>
      <c r="IPP3" s="1" t="str" cm="1">
        <f t="array" ref="IPP3">GetValue("Dmn","Name",IPP2)</f>
        <v/>
      </c>
      <c r="IPQ3" s="1" t="str" cm="1">
        <f t="array" ref="IPQ3">GetValue("Dmn","Name",IPQ2)</f>
        <v/>
      </c>
      <c r="IPR3" s="1" t="str" cm="1">
        <f t="array" ref="IPR3">GetValue("Dmn","Name",IPR2)</f>
        <v/>
      </c>
      <c r="IPS3" s="1" t="str" cm="1">
        <f t="array" ref="IPS3">GetValue("Dmn","Name",IPS2)</f>
        <v/>
      </c>
      <c r="IPT3" s="1" t="str" cm="1">
        <f t="array" ref="IPT3">GetValue("Dmn","Name",IPT2)</f>
        <v/>
      </c>
      <c r="IPU3" s="1" t="str" cm="1">
        <f t="array" ref="IPU3">GetValue("Dmn","Name",IPU2)</f>
        <v/>
      </c>
      <c r="IPV3" s="1" t="str" cm="1">
        <f t="array" ref="IPV3">GetValue("Dmn","Name",IPV2)</f>
        <v/>
      </c>
      <c r="IPW3" s="1" t="str" cm="1">
        <f t="array" ref="IPW3">GetValue("Dmn","Name",IPW2)</f>
        <v/>
      </c>
      <c r="IPX3" s="1" t="str" cm="1">
        <f t="array" ref="IPX3">GetValue("Dmn","Name",IPX2)</f>
        <v/>
      </c>
      <c r="IPY3" s="1" t="str" cm="1">
        <f t="array" ref="IPY3">GetValue("Dmn","Name",IPY2)</f>
        <v/>
      </c>
      <c r="IPZ3" s="1" t="str" cm="1">
        <f t="array" ref="IPZ3">GetValue("Dmn","Name",IPZ2)</f>
        <v/>
      </c>
      <c r="IQA3" s="1" t="str" cm="1">
        <f t="array" ref="IQA3">GetValue("Dmn","Name",IQA2)</f>
        <v/>
      </c>
      <c r="IQB3" s="1" t="str" cm="1">
        <f t="array" ref="IQB3">GetValue("Dmn","Name",IQB2)</f>
        <v/>
      </c>
      <c r="IQC3" s="1" t="str" cm="1">
        <f t="array" ref="IQC3">GetValue("Dmn","Name",IQC2)</f>
        <v/>
      </c>
      <c r="IQD3" s="1" t="str" cm="1">
        <f t="array" ref="IQD3">GetValue("Dmn","Name",IQD2)</f>
        <v/>
      </c>
      <c r="IQE3" s="1" t="str" cm="1">
        <f t="array" ref="IQE3">GetValue("Dmn","Name",IQE2)</f>
        <v/>
      </c>
      <c r="IQF3" s="1" t="str" cm="1">
        <f t="array" ref="IQF3">GetValue("Dmn","Name",IQF2)</f>
        <v/>
      </c>
      <c r="IQG3" s="1" t="str" cm="1">
        <f t="array" ref="IQG3">GetValue("Dmn","Name",IQG2)</f>
        <v/>
      </c>
      <c r="IQH3" s="1" t="str" cm="1">
        <f t="array" ref="IQH3">GetValue("Dmn","Name",IQH2)</f>
        <v/>
      </c>
      <c r="IQI3" s="1" t="str" cm="1">
        <f t="array" ref="IQI3">GetValue("Dmn","Name",IQI2)</f>
        <v/>
      </c>
      <c r="IQJ3" s="1" t="str" cm="1">
        <f t="array" ref="IQJ3">GetValue("Dmn","Name",IQJ2)</f>
        <v/>
      </c>
      <c r="IQK3" s="1" t="str" cm="1">
        <f t="array" ref="IQK3">GetValue("Dmn","Name",IQK2)</f>
        <v/>
      </c>
      <c r="IQL3" s="1" t="str" cm="1">
        <f t="array" ref="IQL3">GetValue("Dmn","Name",IQL2)</f>
        <v/>
      </c>
      <c r="IQM3" s="1" t="str" cm="1">
        <f t="array" ref="IQM3">GetValue("Dmn","Name",IQM2)</f>
        <v/>
      </c>
      <c r="IQN3" s="1" t="str" cm="1">
        <f t="array" ref="IQN3">GetValue("Dmn","Name",IQN2)</f>
        <v/>
      </c>
      <c r="IQO3" s="1" t="str" cm="1">
        <f t="array" ref="IQO3">GetValue("Dmn","Name",IQO2)</f>
        <v/>
      </c>
      <c r="IQP3" s="1" t="str" cm="1">
        <f t="array" ref="IQP3">GetValue("Dmn","Name",IQP2)</f>
        <v/>
      </c>
      <c r="IQQ3" s="1" t="str" cm="1">
        <f t="array" ref="IQQ3">GetValue("Dmn","Name",IQQ2)</f>
        <v/>
      </c>
      <c r="IQR3" s="1" t="str" cm="1">
        <f t="array" ref="IQR3">GetValue("Dmn","Name",IQR2)</f>
        <v/>
      </c>
      <c r="IQS3" s="1" t="str" cm="1">
        <f t="array" ref="IQS3">GetValue("Dmn","Name",IQS2)</f>
        <v/>
      </c>
      <c r="IQT3" s="1" t="str" cm="1">
        <f t="array" ref="IQT3">GetValue("Dmn","Name",IQT2)</f>
        <v/>
      </c>
      <c r="IQU3" s="1" t="str" cm="1">
        <f t="array" ref="IQU3">GetValue("Dmn","Name",IQU2)</f>
        <v/>
      </c>
      <c r="IQV3" s="1" t="str" cm="1">
        <f t="array" ref="IQV3">GetValue("Dmn","Name",IQV2)</f>
        <v/>
      </c>
      <c r="IQW3" s="1" t="str" cm="1">
        <f t="array" ref="IQW3">GetValue("Dmn","Name",IQW2)</f>
        <v/>
      </c>
      <c r="IQX3" s="1" t="str" cm="1">
        <f t="array" ref="IQX3">GetValue("Dmn","Name",IQX2)</f>
        <v/>
      </c>
      <c r="IQY3" s="1" t="str" cm="1">
        <f t="array" ref="IQY3">GetValue("Dmn","Name",IQY2)</f>
        <v/>
      </c>
      <c r="IQZ3" s="1" t="str" cm="1">
        <f t="array" ref="IQZ3">GetValue("Dmn","Name",IQZ2)</f>
        <v/>
      </c>
      <c r="IRA3" s="1" t="str" cm="1">
        <f t="array" ref="IRA3">GetValue("Dmn","Name",IRA2)</f>
        <v/>
      </c>
      <c r="IRB3" s="1" t="str" cm="1">
        <f t="array" ref="IRB3">GetValue("Dmn","Name",IRB2)</f>
        <v/>
      </c>
      <c r="IRC3" s="1" t="str" cm="1">
        <f t="array" ref="IRC3">GetValue("Dmn","Name",IRC2)</f>
        <v/>
      </c>
      <c r="IRD3" s="1" t="str" cm="1">
        <f t="array" ref="IRD3">GetValue("Dmn","Name",IRD2)</f>
        <v/>
      </c>
      <c r="IRE3" s="1" t="str" cm="1">
        <f t="array" ref="IRE3">GetValue("Dmn","Name",IRE2)</f>
        <v/>
      </c>
      <c r="IRF3" s="1" t="str" cm="1">
        <f t="array" ref="IRF3">GetValue("Dmn","Name",IRF2)</f>
        <v/>
      </c>
      <c r="IRG3" s="1" t="str" cm="1">
        <f t="array" ref="IRG3">GetValue("Dmn","Name",IRG2)</f>
        <v/>
      </c>
      <c r="IRH3" s="1" t="str" cm="1">
        <f t="array" ref="IRH3">GetValue("Dmn","Name",IRH2)</f>
        <v/>
      </c>
      <c r="IRI3" s="1" t="str" cm="1">
        <f t="array" ref="IRI3">GetValue("Dmn","Name",IRI2)</f>
        <v/>
      </c>
      <c r="IRJ3" s="1" t="str" cm="1">
        <f t="array" ref="IRJ3">GetValue("Dmn","Name",IRJ2)</f>
        <v/>
      </c>
      <c r="IRK3" s="1" t="str" cm="1">
        <f t="array" ref="IRK3">GetValue("Dmn","Name",IRK2)</f>
        <v/>
      </c>
      <c r="IRL3" s="1" t="str" cm="1">
        <f t="array" ref="IRL3">GetValue("Dmn","Name",IRL2)</f>
        <v/>
      </c>
      <c r="IRM3" s="1" t="str" cm="1">
        <f t="array" ref="IRM3">GetValue("Dmn","Name",IRM2)</f>
        <v/>
      </c>
      <c r="IRN3" s="1" t="str" cm="1">
        <f t="array" ref="IRN3">GetValue("Dmn","Name",IRN2)</f>
        <v/>
      </c>
      <c r="IRO3" s="1" t="str" cm="1">
        <f t="array" ref="IRO3">GetValue("Dmn","Name",IRO2)</f>
        <v/>
      </c>
      <c r="IRP3" s="1" t="str" cm="1">
        <f t="array" ref="IRP3">GetValue("Dmn","Name",IRP2)</f>
        <v/>
      </c>
      <c r="IRQ3" s="1" t="str" cm="1">
        <f t="array" ref="IRQ3">GetValue("Dmn","Name",IRQ2)</f>
        <v/>
      </c>
      <c r="IRR3" s="1" t="str" cm="1">
        <f t="array" ref="IRR3">GetValue("Dmn","Name",IRR2)</f>
        <v/>
      </c>
      <c r="IRS3" s="1" t="str" cm="1">
        <f t="array" ref="IRS3">GetValue("Dmn","Name",IRS2)</f>
        <v/>
      </c>
      <c r="IRT3" s="1" t="str" cm="1">
        <f t="array" ref="IRT3">GetValue("Dmn","Name",IRT2)</f>
        <v/>
      </c>
      <c r="IRU3" s="1" t="str" cm="1">
        <f t="array" ref="IRU3">GetValue("Dmn","Name",IRU2)</f>
        <v/>
      </c>
      <c r="IRV3" s="1" t="str" cm="1">
        <f t="array" ref="IRV3">GetValue("Dmn","Name",IRV2)</f>
        <v/>
      </c>
      <c r="IRW3" s="1" t="str" cm="1">
        <f t="array" ref="IRW3">GetValue("Dmn","Name",IRW2)</f>
        <v/>
      </c>
      <c r="IRX3" s="1" t="str" cm="1">
        <f t="array" ref="IRX3">GetValue("Dmn","Name",IRX2)</f>
        <v/>
      </c>
      <c r="IRY3" s="1" t="str" cm="1">
        <f t="array" ref="IRY3">GetValue("Dmn","Name",IRY2)</f>
        <v/>
      </c>
      <c r="IRZ3" s="1" t="str" cm="1">
        <f t="array" ref="IRZ3">GetValue("Dmn","Name",IRZ2)</f>
        <v/>
      </c>
      <c r="ISA3" s="1" t="str" cm="1">
        <f t="array" ref="ISA3">GetValue("Dmn","Name",ISA2)</f>
        <v/>
      </c>
      <c r="ISB3" s="1" t="str" cm="1">
        <f t="array" ref="ISB3">GetValue("Dmn","Name",ISB2)</f>
        <v/>
      </c>
      <c r="ISC3" s="1" t="str" cm="1">
        <f t="array" ref="ISC3">GetValue("Dmn","Name",ISC2)</f>
        <v/>
      </c>
      <c r="ISD3" s="1" t="str" cm="1">
        <f t="array" ref="ISD3">GetValue("Dmn","Name",ISD2)</f>
        <v/>
      </c>
      <c r="ISE3" s="1" t="str" cm="1">
        <f t="array" ref="ISE3">GetValue("Dmn","Name",ISE2)</f>
        <v/>
      </c>
      <c r="ISF3" s="1" t="str" cm="1">
        <f t="array" ref="ISF3">GetValue("Dmn","Name",ISF2)</f>
        <v/>
      </c>
      <c r="ISG3" s="1" t="str" cm="1">
        <f t="array" ref="ISG3">GetValue("Dmn","Name",ISG2)</f>
        <v/>
      </c>
      <c r="ISH3" s="1" t="str" cm="1">
        <f t="array" ref="ISH3">GetValue("Dmn","Name",ISH2)</f>
        <v/>
      </c>
      <c r="ISI3" s="1" t="str" cm="1">
        <f t="array" ref="ISI3">GetValue("Dmn","Name",ISI2)</f>
        <v/>
      </c>
      <c r="ISJ3" s="1" t="str" cm="1">
        <f t="array" ref="ISJ3">GetValue("Dmn","Name",ISJ2)</f>
        <v/>
      </c>
      <c r="ISK3" s="1" t="str" cm="1">
        <f t="array" ref="ISK3">GetValue("Dmn","Name",ISK2)</f>
        <v/>
      </c>
      <c r="ISL3" s="1" t="str" cm="1">
        <f t="array" ref="ISL3">GetValue("Dmn","Name",ISL2)</f>
        <v/>
      </c>
      <c r="ISM3" s="1" t="str" cm="1">
        <f t="array" ref="ISM3">GetValue("Dmn","Name",ISM2)</f>
        <v/>
      </c>
      <c r="ISN3" s="1" t="str" cm="1">
        <f t="array" ref="ISN3">GetValue("Dmn","Name",ISN2)</f>
        <v/>
      </c>
      <c r="ISO3" s="1" t="str" cm="1">
        <f t="array" ref="ISO3">GetValue("Dmn","Name",ISO2)</f>
        <v/>
      </c>
      <c r="ISP3" s="1" t="str" cm="1">
        <f t="array" ref="ISP3">GetValue("Dmn","Name",ISP2)</f>
        <v/>
      </c>
      <c r="ISQ3" s="1" t="str" cm="1">
        <f t="array" ref="ISQ3">GetValue("Dmn","Name",ISQ2)</f>
        <v/>
      </c>
      <c r="ISR3" s="1" t="str" cm="1">
        <f t="array" ref="ISR3">GetValue("Dmn","Name",ISR2)</f>
        <v/>
      </c>
      <c r="ISS3" s="1" t="str" cm="1">
        <f t="array" ref="ISS3">GetValue("Dmn","Name",ISS2)</f>
        <v/>
      </c>
      <c r="IST3" s="1" t="str" cm="1">
        <f t="array" ref="IST3">GetValue("Dmn","Name",IST2)</f>
        <v/>
      </c>
      <c r="ISU3" s="1" t="str" cm="1">
        <f t="array" ref="ISU3">GetValue("Dmn","Name",ISU2)</f>
        <v/>
      </c>
      <c r="ISV3" s="1" t="str" cm="1">
        <f t="array" ref="ISV3">GetValue("Dmn","Name",ISV2)</f>
        <v/>
      </c>
      <c r="ISW3" s="1" t="str" cm="1">
        <f t="array" ref="ISW3">GetValue("Dmn","Name",ISW2)</f>
        <v/>
      </c>
      <c r="ISX3" s="1" t="str" cm="1">
        <f t="array" ref="ISX3">GetValue("Dmn","Name",ISX2)</f>
        <v/>
      </c>
      <c r="ISY3" s="1" t="str" cm="1">
        <f t="array" ref="ISY3">GetValue("Dmn","Name",ISY2)</f>
        <v/>
      </c>
      <c r="ISZ3" s="1" t="str" cm="1">
        <f t="array" ref="ISZ3">GetValue("Dmn","Name",ISZ2)</f>
        <v/>
      </c>
      <c r="ITA3" s="1" t="str" cm="1">
        <f t="array" ref="ITA3">GetValue("Dmn","Name",ITA2)</f>
        <v/>
      </c>
      <c r="ITB3" s="1" t="str" cm="1">
        <f t="array" ref="ITB3">GetValue("Dmn","Name",ITB2)</f>
        <v/>
      </c>
      <c r="ITC3" s="1" t="str" cm="1">
        <f t="array" ref="ITC3">GetValue("Dmn","Name",ITC2)</f>
        <v/>
      </c>
      <c r="ITD3" s="1" t="str" cm="1">
        <f t="array" ref="ITD3">GetValue("Dmn","Name",ITD2)</f>
        <v/>
      </c>
      <c r="ITE3" s="1" t="str" cm="1">
        <f t="array" ref="ITE3">GetValue("Dmn","Name",ITE2)</f>
        <v/>
      </c>
      <c r="ITF3" s="1" t="str" cm="1">
        <f t="array" ref="ITF3">GetValue("Dmn","Name",ITF2)</f>
        <v/>
      </c>
      <c r="ITG3" s="1" t="str" cm="1">
        <f t="array" ref="ITG3">GetValue("Dmn","Name",ITG2)</f>
        <v/>
      </c>
      <c r="ITH3" s="1" t="str" cm="1">
        <f t="array" ref="ITH3">GetValue("Dmn","Name",ITH2)</f>
        <v/>
      </c>
      <c r="ITI3" s="1" t="str" cm="1">
        <f t="array" ref="ITI3">GetValue("Dmn","Name",ITI2)</f>
        <v/>
      </c>
      <c r="ITJ3" s="1" t="str" cm="1">
        <f t="array" ref="ITJ3">GetValue("Dmn","Name",ITJ2)</f>
        <v/>
      </c>
      <c r="ITK3" s="1" t="str" cm="1">
        <f t="array" ref="ITK3">GetValue("Dmn","Name",ITK2)</f>
        <v/>
      </c>
      <c r="ITL3" s="1" t="str" cm="1">
        <f t="array" ref="ITL3">GetValue("Dmn","Name",ITL2)</f>
        <v/>
      </c>
      <c r="ITM3" s="1" t="str" cm="1">
        <f t="array" ref="ITM3">GetValue("Dmn","Name",ITM2)</f>
        <v/>
      </c>
      <c r="ITN3" s="1" t="str" cm="1">
        <f t="array" ref="ITN3">GetValue("Dmn","Name",ITN2)</f>
        <v/>
      </c>
      <c r="ITO3" s="1" t="str" cm="1">
        <f t="array" ref="ITO3">GetValue("Dmn","Name",ITO2)</f>
        <v/>
      </c>
      <c r="ITP3" s="1" t="str" cm="1">
        <f t="array" ref="ITP3">GetValue("Dmn","Name",ITP2)</f>
        <v/>
      </c>
      <c r="ITQ3" s="1" t="str" cm="1">
        <f t="array" ref="ITQ3">GetValue("Dmn","Name",ITQ2)</f>
        <v/>
      </c>
      <c r="ITR3" s="1" t="str" cm="1">
        <f t="array" ref="ITR3">GetValue("Dmn","Name",ITR2)</f>
        <v/>
      </c>
      <c r="ITS3" s="1" t="str" cm="1">
        <f t="array" ref="ITS3">GetValue("Dmn","Name",ITS2)</f>
        <v/>
      </c>
      <c r="ITT3" s="1" t="str" cm="1">
        <f t="array" ref="ITT3">GetValue("Dmn","Name",ITT2)</f>
        <v/>
      </c>
      <c r="ITU3" s="1" t="str" cm="1">
        <f t="array" ref="ITU3">GetValue("Dmn","Name",ITU2)</f>
        <v/>
      </c>
      <c r="ITV3" s="1" t="str" cm="1">
        <f t="array" ref="ITV3">GetValue("Dmn","Name",ITV2)</f>
        <v/>
      </c>
      <c r="ITW3" s="1" t="str" cm="1">
        <f t="array" ref="ITW3">GetValue("Dmn","Name",ITW2)</f>
        <v/>
      </c>
      <c r="ITX3" s="1" t="str" cm="1">
        <f t="array" ref="ITX3">GetValue("Dmn","Name",ITX2)</f>
        <v/>
      </c>
      <c r="ITY3" s="1" t="str" cm="1">
        <f t="array" ref="ITY3">GetValue("Dmn","Name",ITY2)</f>
        <v/>
      </c>
      <c r="ITZ3" s="1" t="str" cm="1">
        <f t="array" ref="ITZ3">GetValue("Dmn","Name",ITZ2)</f>
        <v/>
      </c>
      <c r="IUA3" s="1" t="str" cm="1">
        <f t="array" ref="IUA3">GetValue("Dmn","Name",IUA2)</f>
        <v/>
      </c>
      <c r="IUB3" s="1" t="str" cm="1">
        <f t="array" ref="IUB3">GetValue("Dmn","Name",IUB2)</f>
        <v/>
      </c>
      <c r="IUC3" s="1" t="str" cm="1">
        <f t="array" ref="IUC3">GetValue("Dmn","Name",IUC2)</f>
        <v/>
      </c>
      <c r="IUD3" s="1" t="str" cm="1">
        <f t="array" ref="IUD3">GetValue("Dmn","Name",IUD2)</f>
        <v/>
      </c>
      <c r="IUE3" s="1" t="str" cm="1">
        <f t="array" ref="IUE3">GetValue("Dmn","Name",IUE2)</f>
        <v/>
      </c>
      <c r="IUF3" s="1" t="str" cm="1">
        <f t="array" ref="IUF3">GetValue("Dmn","Name",IUF2)</f>
        <v/>
      </c>
      <c r="IUG3" s="1" t="str" cm="1">
        <f t="array" ref="IUG3">GetValue("Dmn","Name",IUG2)</f>
        <v/>
      </c>
      <c r="IUH3" s="1" t="str" cm="1">
        <f t="array" ref="IUH3">GetValue("Dmn","Name",IUH2)</f>
        <v/>
      </c>
      <c r="IUI3" s="1" t="str" cm="1">
        <f t="array" ref="IUI3">GetValue("Dmn","Name",IUI2)</f>
        <v/>
      </c>
      <c r="IUJ3" s="1" t="str" cm="1">
        <f t="array" ref="IUJ3">GetValue("Dmn","Name",IUJ2)</f>
        <v/>
      </c>
      <c r="IUK3" s="1" t="str" cm="1">
        <f t="array" ref="IUK3">GetValue("Dmn","Name",IUK2)</f>
        <v/>
      </c>
      <c r="IUL3" s="1" t="str" cm="1">
        <f t="array" ref="IUL3">GetValue("Dmn","Name",IUL2)</f>
        <v/>
      </c>
      <c r="IUM3" s="1" t="str" cm="1">
        <f t="array" ref="IUM3">GetValue("Dmn","Name",IUM2)</f>
        <v/>
      </c>
      <c r="IUN3" s="1" t="str" cm="1">
        <f t="array" ref="IUN3">GetValue("Dmn","Name",IUN2)</f>
        <v/>
      </c>
      <c r="IUO3" s="1" t="str" cm="1">
        <f t="array" ref="IUO3">GetValue("Dmn","Name",IUO2)</f>
        <v/>
      </c>
      <c r="IUP3" s="1" t="str" cm="1">
        <f t="array" ref="IUP3">GetValue("Dmn","Name",IUP2)</f>
        <v/>
      </c>
      <c r="IUQ3" s="1" t="str" cm="1">
        <f t="array" ref="IUQ3">GetValue("Dmn","Name",IUQ2)</f>
        <v/>
      </c>
      <c r="IUR3" s="1" t="str" cm="1">
        <f t="array" ref="IUR3">GetValue("Dmn","Name",IUR2)</f>
        <v/>
      </c>
      <c r="IUS3" s="1" t="str" cm="1">
        <f t="array" ref="IUS3">GetValue("Dmn","Name",IUS2)</f>
        <v/>
      </c>
      <c r="IUT3" s="1" t="str" cm="1">
        <f t="array" ref="IUT3">GetValue("Dmn","Name",IUT2)</f>
        <v/>
      </c>
      <c r="IUU3" s="1" t="str" cm="1">
        <f t="array" ref="IUU3">GetValue("Dmn","Name",IUU2)</f>
        <v/>
      </c>
      <c r="IUV3" s="1" t="str" cm="1">
        <f t="array" ref="IUV3">GetValue("Dmn","Name",IUV2)</f>
        <v/>
      </c>
      <c r="IUW3" s="1" t="str" cm="1">
        <f t="array" ref="IUW3">GetValue("Dmn","Name",IUW2)</f>
        <v/>
      </c>
      <c r="IUX3" s="1" t="str" cm="1">
        <f t="array" ref="IUX3">GetValue("Dmn","Name",IUX2)</f>
        <v/>
      </c>
      <c r="IUY3" s="1" t="str" cm="1">
        <f t="array" ref="IUY3">GetValue("Dmn","Name",IUY2)</f>
        <v/>
      </c>
      <c r="IUZ3" s="1" t="str" cm="1">
        <f t="array" ref="IUZ3">GetValue("Dmn","Name",IUZ2)</f>
        <v/>
      </c>
      <c r="IVA3" s="1" t="str" cm="1">
        <f t="array" ref="IVA3">GetValue("Dmn","Name",IVA2)</f>
        <v/>
      </c>
      <c r="IVB3" s="1" t="str" cm="1">
        <f t="array" ref="IVB3">GetValue("Dmn","Name",IVB2)</f>
        <v/>
      </c>
      <c r="IVC3" s="1" t="str" cm="1">
        <f t="array" ref="IVC3">GetValue("Dmn","Name",IVC2)</f>
        <v/>
      </c>
      <c r="IVD3" s="1" t="str" cm="1">
        <f t="array" ref="IVD3">GetValue("Dmn","Name",IVD2)</f>
        <v/>
      </c>
      <c r="IVE3" s="1" t="str" cm="1">
        <f t="array" ref="IVE3">GetValue("Dmn","Name",IVE2)</f>
        <v/>
      </c>
      <c r="IVF3" s="1" t="str" cm="1">
        <f t="array" ref="IVF3">GetValue("Dmn","Name",IVF2)</f>
        <v/>
      </c>
      <c r="IVG3" s="1" t="str" cm="1">
        <f t="array" ref="IVG3">GetValue("Dmn","Name",IVG2)</f>
        <v/>
      </c>
      <c r="IVH3" s="1" t="str" cm="1">
        <f t="array" ref="IVH3">GetValue("Dmn","Name",IVH2)</f>
        <v/>
      </c>
      <c r="IVI3" s="1" t="str" cm="1">
        <f t="array" ref="IVI3">GetValue("Dmn","Name",IVI2)</f>
        <v/>
      </c>
      <c r="IVJ3" s="1" t="str" cm="1">
        <f t="array" ref="IVJ3">GetValue("Dmn","Name",IVJ2)</f>
        <v/>
      </c>
      <c r="IVK3" s="1" t="str" cm="1">
        <f t="array" ref="IVK3">GetValue("Dmn","Name",IVK2)</f>
        <v/>
      </c>
      <c r="IVL3" s="1" t="str" cm="1">
        <f t="array" ref="IVL3">GetValue("Dmn","Name",IVL2)</f>
        <v/>
      </c>
      <c r="IVM3" s="1" t="str" cm="1">
        <f t="array" ref="IVM3">GetValue("Dmn","Name",IVM2)</f>
        <v/>
      </c>
      <c r="IVN3" s="1" t="str" cm="1">
        <f t="array" ref="IVN3">GetValue("Dmn","Name",IVN2)</f>
        <v/>
      </c>
      <c r="IVO3" s="1" t="str" cm="1">
        <f t="array" ref="IVO3">GetValue("Dmn","Name",IVO2)</f>
        <v/>
      </c>
      <c r="IVP3" s="1" t="str" cm="1">
        <f t="array" ref="IVP3">GetValue("Dmn","Name",IVP2)</f>
        <v/>
      </c>
      <c r="IVQ3" s="1" t="str" cm="1">
        <f t="array" ref="IVQ3">GetValue("Dmn","Name",IVQ2)</f>
        <v/>
      </c>
      <c r="IVR3" s="1" t="str" cm="1">
        <f t="array" ref="IVR3">GetValue("Dmn","Name",IVR2)</f>
        <v/>
      </c>
      <c r="IVS3" s="1" t="str" cm="1">
        <f t="array" ref="IVS3">GetValue("Dmn","Name",IVS2)</f>
        <v/>
      </c>
      <c r="IVT3" s="1" t="str" cm="1">
        <f t="array" ref="IVT3">GetValue("Dmn","Name",IVT2)</f>
        <v/>
      </c>
      <c r="IVU3" s="1" t="str" cm="1">
        <f t="array" ref="IVU3">GetValue("Dmn","Name",IVU2)</f>
        <v/>
      </c>
      <c r="IVV3" s="1" t="str" cm="1">
        <f t="array" ref="IVV3">GetValue("Dmn","Name",IVV2)</f>
        <v/>
      </c>
      <c r="IVW3" s="1" t="str" cm="1">
        <f t="array" ref="IVW3">GetValue("Dmn","Name",IVW2)</f>
        <v/>
      </c>
      <c r="IVX3" s="1" t="str" cm="1">
        <f t="array" ref="IVX3">GetValue("Dmn","Name",IVX2)</f>
        <v/>
      </c>
      <c r="IVY3" s="1" t="str" cm="1">
        <f t="array" ref="IVY3">GetValue("Dmn","Name",IVY2)</f>
        <v/>
      </c>
      <c r="IVZ3" s="1" t="str" cm="1">
        <f t="array" ref="IVZ3">GetValue("Dmn","Name",IVZ2)</f>
        <v/>
      </c>
      <c r="IWA3" s="1" t="str" cm="1">
        <f t="array" ref="IWA3">GetValue("Dmn","Name",IWA2)</f>
        <v/>
      </c>
      <c r="IWB3" s="1" t="str" cm="1">
        <f t="array" ref="IWB3">GetValue("Dmn","Name",IWB2)</f>
        <v/>
      </c>
      <c r="IWC3" s="1" t="str" cm="1">
        <f t="array" ref="IWC3">GetValue("Dmn","Name",IWC2)</f>
        <v/>
      </c>
      <c r="IWD3" s="1" t="str" cm="1">
        <f t="array" ref="IWD3">GetValue("Dmn","Name",IWD2)</f>
        <v/>
      </c>
      <c r="IWE3" s="1" t="str" cm="1">
        <f t="array" ref="IWE3">GetValue("Dmn","Name",IWE2)</f>
        <v/>
      </c>
      <c r="IWF3" s="1" t="str" cm="1">
        <f t="array" ref="IWF3">GetValue("Dmn","Name",IWF2)</f>
        <v/>
      </c>
      <c r="IWG3" s="1" t="str" cm="1">
        <f t="array" ref="IWG3">GetValue("Dmn","Name",IWG2)</f>
        <v/>
      </c>
      <c r="IWH3" s="1" t="str" cm="1">
        <f t="array" ref="IWH3">GetValue("Dmn","Name",IWH2)</f>
        <v/>
      </c>
      <c r="IWI3" s="1" t="str" cm="1">
        <f t="array" ref="IWI3">GetValue("Dmn","Name",IWI2)</f>
        <v/>
      </c>
      <c r="IWJ3" s="1" t="str" cm="1">
        <f t="array" ref="IWJ3">GetValue("Dmn","Name",IWJ2)</f>
        <v/>
      </c>
      <c r="IWK3" s="1" t="str" cm="1">
        <f t="array" ref="IWK3">GetValue("Dmn","Name",IWK2)</f>
        <v/>
      </c>
      <c r="IWL3" s="1" t="str" cm="1">
        <f t="array" ref="IWL3">GetValue("Dmn","Name",IWL2)</f>
        <v/>
      </c>
      <c r="IWM3" s="1" t="str" cm="1">
        <f t="array" ref="IWM3">GetValue("Dmn","Name",IWM2)</f>
        <v/>
      </c>
      <c r="IWN3" s="1" t="str" cm="1">
        <f t="array" ref="IWN3">GetValue("Dmn","Name",IWN2)</f>
        <v/>
      </c>
      <c r="IWO3" s="1" t="str" cm="1">
        <f t="array" ref="IWO3">GetValue("Dmn","Name",IWO2)</f>
        <v/>
      </c>
      <c r="IWP3" s="1" t="str" cm="1">
        <f t="array" ref="IWP3">GetValue("Dmn","Name",IWP2)</f>
        <v/>
      </c>
      <c r="IWQ3" s="1" t="str" cm="1">
        <f t="array" ref="IWQ3">GetValue("Dmn","Name",IWQ2)</f>
        <v/>
      </c>
      <c r="IWR3" s="1" t="str" cm="1">
        <f t="array" ref="IWR3">GetValue("Dmn","Name",IWR2)</f>
        <v/>
      </c>
      <c r="IWS3" s="1" t="str" cm="1">
        <f t="array" ref="IWS3">GetValue("Dmn","Name",IWS2)</f>
        <v/>
      </c>
      <c r="IWT3" s="1" t="str" cm="1">
        <f t="array" ref="IWT3">GetValue("Dmn","Name",IWT2)</f>
        <v/>
      </c>
      <c r="IWU3" s="1" t="str" cm="1">
        <f t="array" ref="IWU3">GetValue("Dmn","Name",IWU2)</f>
        <v/>
      </c>
      <c r="IWV3" s="1" t="str" cm="1">
        <f t="array" ref="IWV3">GetValue("Dmn","Name",IWV2)</f>
        <v/>
      </c>
      <c r="IWW3" s="1" t="str" cm="1">
        <f t="array" ref="IWW3">GetValue("Dmn","Name",IWW2)</f>
        <v/>
      </c>
      <c r="IWX3" s="1" t="str" cm="1">
        <f t="array" ref="IWX3">GetValue("Dmn","Name",IWX2)</f>
        <v/>
      </c>
      <c r="IWY3" s="1" t="str" cm="1">
        <f t="array" ref="IWY3">GetValue("Dmn","Name",IWY2)</f>
        <v/>
      </c>
      <c r="IWZ3" s="1" t="str" cm="1">
        <f t="array" ref="IWZ3">GetValue("Dmn","Name",IWZ2)</f>
        <v/>
      </c>
      <c r="IXA3" s="1" t="str" cm="1">
        <f t="array" ref="IXA3">GetValue("Dmn","Name",IXA2)</f>
        <v/>
      </c>
      <c r="IXB3" s="1" t="str" cm="1">
        <f t="array" ref="IXB3">GetValue("Dmn","Name",IXB2)</f>
        <v/>
      </c>
      <c r="IXC3" s="1" t="str" cm="1">
        <f t="array" ref="IXC3">GetValue("Dmn","Name",IXC2)</f>
        <v/>
      </c>
      <c r="IXD3" s="1" t="str" cm="1">
        <f t="array" ref="IXD3">GetValue("Dmn","Name",IXD2)</f>
        <v/>
      </c>
      <c r="IXE3" s="1" t="str" cm="1">
        <f t="array" ref="IXE3">GetValue("Dmn","Name",IXE2)</f>
        <v/>
      </c>
      <c r="IXF3" s="1" t="str" cm="1">
        <f t="array" ref="IXF3">GetValue("Dmn","Name",IXF2)</f>
        <v/>
      </c>
      <c r="IXG3" s="1" t="str" cm="1">
        <f t="array" ref="IXG3">GetValue("Dmn","Name",IXG2)</f>
        <v/>
      </c>
      <c r="IXH3" s="1" t="str" cm="1">
        <f t="array" ref="IXH3">GetValue("Dmn","Name",IXH2)</f>
        <v/>
      </c>
      <c r="IXI3" s="1" t="str" cm="1">
        <f t="array" ref="IXI3">GetValue("Dmn","Name",IXI2)</f>
        <v/>
      </c>
      <c r="IXJ3" s="1" t="str" cm="1">
        <f t="array" ref="IXJ3">GetValue("Dmn","Name",IXJ2)</f>
        <v/>
      </c>
      <c r="IXK3" s="1" t="str" cm="1">
        <f t="array" ref="IXK3">GetValue("Dmn","Name",IXK2)</f>
        <v/>
      </c>
      <c r="IXL3" s="1" t="str" cm="1">
        <f t="array" ref="IXL3">GetValue("Dmn","Name",IXL2)</f>
        <v/>
      </c>
      <c r="IXM3" s="1" t="str" cm="1">
        <f t="array" ref="IXM3">GetValue("Dmn","Name",IXM2)</f>
        <v/>
      </c>
      <c r="IXN3" s="1" t="str" cm="1">
        <f t="array" ref="IXN3">GetValue("Dmn","Name",IXN2)</f>
        <v/>
      </c>
      <c r="IXO3" s="1" t="str" cm="1">
        <f t="array" ref="IXO3">GetValue("Dmn","Name",IXO2)</f>
        <v/>
      </c>
      <c r="IXP3" s="1" t="str" cm="1">
        <f t="array" ref="IXP3">GetValue("Dmn","Name",IXP2)</f>
        <v/>
      </c>
      <c r="IXQ3" s="1" t="str" cm="1">
        <f t="array" ref="IXQ3">GetValue("Dmn","Name",IXQ2)</f>
        <v/>
      </c>
      <c r="IXR3" s="1" t="str" cm="1">
        <f t="array" ref="IXR3">GetValue("Dmn","Name",IXR2)</f>
        <v/>
      </c>
      <c r="IXS3" s="1" t="str" cm="1">
        <f t="array" ref="IXS3">GetValue("Dmn","Name",IXS2)</f>
        <v/>
      </c>
      <c r="IXT3" s="1" t="str" cm="1">
        <f t="array" ref="IXT3">GetValue("Dmn","Name",IXT2)</f>
        <v/>
      </c>
      <c r="IXU3" s="1" t="str" cm="1">
        <f t="array" ref="IXU3">GetValue("Dmn","Name",IXU2)</f>
        <v/>
      </c>
      <c r="IXV3" s="1" t="str" cm="1">
        <f t="array" ref="IXV3">GetValue("Dmn","Name",IXV2)</f>
        <v/>
      </c>
      <c r="IXW3" s="1" t="str" cm="1">
        <f t="array" ref="IXW3">GetValue("Dmn","Name",IXW2)</f>
        <v/>
      </c>
      <c r="IXX3" s="1" t="str" cm="1">
        <f t="array" ref="IXX3">GetValue("Dmn","Name",IXX2)</f>
        <v/>
      </c>
      <c r="IXY3" s="1" t="str" cm="1">
        <f t="array" ref="IXY3">GetValue("Dmn","Name",IXY2)</f>
        <v/>
      </c>
      <c r="IXZ3" s="1" t="str" cm="1">
        <f t="array" ref="IXZ3">GetValue("Dmn","Name",IXZ2)</f>
        <v/>
      </c>
      <c r="IYA3" s="1" t="str" cm="1">
        <f t="array" ref="IYA3">GetValue("Dmn","Name",IYA2)</f>
        <v/>
      </c>
      <c r="IYB3" s="1" t="str" cm="1">
        <f t="array" ref="IYB3">GetValue("Dmn","Name",IYB2)</f>
        <v/>
      </c>
      <c r="IYC3" s="1" t="str" cm="1">
        <f t="array" ref="IYC3">GetValue("Dmn","Name",IYC2)</f>
        <v/>
      </c>
      <c r="IYD3" s="1" t="str" cm="1">
        <f t="array" ref="IYD3">GetValue("Dmn","Name",IYD2)</f>
        <v/>
      </c>
      <c r="IYE3" s="1" t="str" cm="1">
        <f t="array" ref="IYE3">GetValue("Dmn","Name",IYE2)</f>
        <v/>
      </c>
      <c r="IYF3" s="1" t="str" cm="1">
        <f t="array" ref="IYF3">GetValue("Dmn","Name",IYF2)</f>
        <v/>
      </c>
      <c r="IYG3" s="1" t="str" cm="1">
        <f t="array" ref="IYG3">GetValue("Dmn","Name",IYG2)</f>
        <v/>
      </c>
      <c r="IYH3" s="1" t="str" cm="1">
        <f t="array" ref="IYH3">GetValue("Dmn","Name",IYH2)</f>
        <v/>
      </c>
      <c r="IYI3" s="1" t="str" cm="1">
        <f t="array" ref="IYI3">GetValue("Dmn","Name",IYI2)</f>
        <v/>
      </c>
      <c r="IYJ3" s="1" t="str" cm="1">
        <f t="array" ref="IYJ3">GetValue("Dmn","Name",IYJ2)</f>
        <v/>
      </c>
      <c r="IYK3" s="1" t="str" cm="1">
        <f t="array" ref="IYK3">GetValue("Dmn","Name",IYK2)</f>
        <v/>
      </c>
      <c r="IYL3" s="1" t="str" cm="1">
        <f t="array" ref="IYL3">GetValue("Dmn","Name",IYL2)</f>
        <v/>
      </c>
      <c r="IYM3" s="1" t="str" cm="1">
        <f t="array" ref="IYM3">GetValue("Dmn","Name",IYM2)</f>
        <v/>
      </c>
      <c r="IYN3" s="1" t="str" cm="1">
        <f t="array" ref="IYN3">GetValue("Dmn","Name",IYN2)</f>
        <v/>
      </c>
      <c r="IYO3" s="1" t="str" cm="1">
        <f t="array" ref="IYO3">GetValue("Dmn","Name",IYO2)</f>
        <v/>
      </c>
      <c r="IYP3" s="1" t="str" cm="1">
        <f t="array" ref="IYP3">GetValue("Dmn","Name",IYP2)</f>
        <v/>
      </c>
      <c r="IYQ3" s="1" t="str" cm="1">
        <f t="array" ref="IYQ3">GetValue("Dmn","Name",IYQ2)</f>
        <v/>
      </c>
      <c r="IYR3" s="1" t="str" cm="1">
        <f t="array" ref="IYR3">GetValue("Dmn","Name",IYR2)</f>
        <v/>
      </c>
      <c r="IYS3" s="1" t="str" cm="1">
        <f t="array" ref="IYS3">GetValue("Dmn","Name",IYS2)</f>
        <v/>
      </c>
      <c r="IYT3" s="1" t="str" cm="1">
        <f t="array" ref="IYT3">GetValue("Dmn","Name",IYT2)</f>
        <v/>
      </c>
      <c r="IYU3" s="1" t="str" cm="1">
        <f t="array" ref="IYU3">GetValue("Dmn","Name",IYU2)</f>
        <v/>
      </c>
      <c r="IYV3" s="1" t="str" cm="1">
        <f t="array" ref="IYV3">GetValue("Dmn","Name",IYV2)</f>
        <v/>
      </c>
      <c r="IYW3" s="1" t="str" cm="1">
        <f t="array" ref="IYW3">GetValue("Dmn","Name",IYW2)</f>
        <v/>
      </c>
      <c r="IYX3" s="1" t="str" cm="1">
        <f t="array" ref="IYX3">GetValue("Dmn","Name",IYX2)</f>
        <v/>
      </c>
      <c r="IYY3" s="1" t="str" cm="1">
        <f t="array" ref="IYY3">GetValue("Dmn","Name",IYY2)</f>
        <v/>
      </c>
      <c r="IYZ3" s="1" t="str" cm="1">
        <f t="array" ref="IYZ3">GetValue("Dmn","Name",IYZ2)</f>
        <v/>
      </c>
      <c r="IZA3" s="1" t="str" cm="1">
        <f t="array" ref="IZA3">GetValue("Dmn","Name",IZA2)</f>
        <v/>
      </c>
      <c r="IZB3" s="1" t="str" cm="1">
        <f t="array" ref="IZB3">GetValue("Dmn","Name",IZB2)</f>
        <v/>
      </c>
      <c r="IZC3" s="1" t="str" cm="1">
        <f t="array" ref="IZC3">GetValue("Dmn","Name",IZC2)</f>
        <v/>
      </c>
      <c r="IZD3" s="1" t="str" cm="1">
        <f t="array" ref="IZD3">GetValue("Dmn","Name",IZD2)</f>
        <v/>
      </c>
      <c r="IZE3" s="1" t="str" cm="1">
        <f t="array" ref="IZE3">GetValue("Dmn","Name",IZE2)</f>
        <v/>
      </c>
      <c r="IZF3" s="1" t="str" cm="1">
        <f t="array" ref="IZF3">GetValue("Dmn","Name",IZF2)</f>
        <v/>
      </c>
      <c r="IZG3" s="1" t="str" cm="1">
        <f t="array" ref="IZG3">GetValue("Dmn","Name",IZG2)</f>
        <v/>
      </c>
      <c r="IZH3" s="1" t="str" cm="1">
        <f t="array" ref="IZH3">GetValue("Dmn","Name",IZH2)</f>
        <v/>
      </c>
      <c r="IZI3" s="1" t="str" cm="1">
        <f t="array" ref="IZI3">GetValue("Dmn","Name",IZI2)</f>
        <v/>
      </c>
      <c r="IZJ3" s="1" t="str" cm="1">
        <f t="array" ref="IZJ3">GetValue("Dmn","Name",IZJ2)</f>
        <v/>
      </c>
      <c r="IZK3" s="1" t="str" cm="1">
        <f t="array" ref="IZK3">GetValue("Dmn","Name",IZK2)</f>
        <v/>
      </c>
      <c r="IZL3" s="1" t="str" cm="1">
        <f t="array" ref="IZL3">GetValue("Dmn","Name",IZL2)</f>
        <v/>
      </c>
      <c r="IZM3" s="1" t="str" cm="1">
        <f t="array" ref="IZM3">GetValue("Dmn","Name",IZM2)</f>
        <v/>
      </c>
      <c r="IZN3" s="1" t="str" cm="1">
        <f t="array" ref="IZN3">GetValue("Dmn","Name",IZN2)</f>
        <v/>
      </c>
      <c r="IZO3" s="1" t="str" cm="1">
        <f t="array" ref="IZO3">GetValue("Dmn","Name",IZO2)</f>
        <v/>
      </c>
      <c r="IZP3" s="1" t="str" cm="1">
        <f t="array" ref="IZP3">GetValue("Dmn","Name",IZP2)</f>
        <v/>
      </c>
      <c r="IZQ3" s="1" t="str" cm="1">
        <f t="array" ref="IZQ3">GetValue("Dmn","Name",IZQ2)</f>
        <v/>
      </c>
      <c r="IZR3" s="1" t="str" cm="1">
        <f t="array" ref="IZR3">GetValue("Dmn","Name",IZR2)</f>
        <v/>
      </c>
      <c r="IZS3" s="1" t="str" cm="1">
        <f t="array" ref="IZS3">GetValue("Dmn","Name",IZS2)</f>
        <v/>
      </c>
      <c r="IZT3" s="1" t="str" cm="1">
        <f t="array" ref="IZT3">GetValue("Dmn","Name",IZT2)</f>
        <v/>
      </c>
      <c r="IZU3" s="1" t="str" cm="1">
        <f t="array" ref="IZU3">GetValue("Dmn","Name",IZU2)</f>
        <v/>
      </c>
      <c r="IZV3" s="1" t="str" cm="1">
        <f t="array" ref="IZV3">GetValue("Dmn","Name",IZV2)</f>
        <v/>
      </c>
      <c r="IZW3" s="1" t="str" cm="1">
        <f t="array" ref="IZW3">GetValue("Dmn","Name",IZW2)</f>
        <v/>
      </c>
      <c r="IZX3" s="1" t="str" cm="1">
        <f t="array" ref="IZX3">GetValue("Dmn","Name",IZX2)</f>
        <v/>
      </c>
      <c r="IZY3" s="1" t="str" cm="1">
        <f t="array" ref="IZY3">GetValue("Dmn","Name",IZY2)</f>
        <v/>
      </c>
      <c r="IZZ3" s="1" t="str" cm="1">
        <f t="array" ref="IZZ3">GetValue("Dmn","Name",IZZ2)</f>
        <v/>
      </c>
      <c r="JAA3" s="1" t="str" cm="1">
        <f t="array" ref="JAA3">GetValue("Dmn","Name",JAA2)</f>
        <v/>
      </c>
      <c r="JAB3" s="1" t="str" cm="1">
        <f t="array" ref="JAB3">GetValue("Dmn","Name",JAB2)</f>
        <v/>
      </c>
      <c r="JAC3" s="1" t="str" cm="1">
        <f t="array" ref="JAC3">GetValue("Dmn","Name",JAC2)</f>
        <v/>
      </c>
      <c r="JAD3" s="1" t="str" cm="1">
        <f t="array" ref="JAD3">GetValue("Dmn","Name",JAD2)</f>
        <v/>
      </c>
      <c r="JAE3" s="1" t="str" cm="1">
        <f t="array" ref="JAE3">GetValue("Dmn","Name",JAE2)</f>
        <v/>
      </c>
      <c r="JAF3" s="1" t="str" cm="1">
        <f t="array" ref="JAF3">GetValue("Dmn","Name",JAF2)</f>
        <v/>
      </c>
      <c r="JAG3" s="1" t="str" cm="1">
        <f t="array" ref="JAG3">GetValue("Dmn","Name",JAG2)</f>
        <v/>
      </c>
      <c r="JAH3" s="1" t="str" cm="1">
        <f t="array" ref="JAH3">GetValue("Dmn","Name",JAH2)</f>
        <v/>
      </c>
      <c r="JAI3" s="1" t="str" cm="1">
        <f t="array" ref="JAI3">GetValue("Dmn","Name",JAI2)</f>
        <v/>
      </c>
      <c r="JAJ3" s="1" t="str" cm="1">
        <f t="array" ref="JAJ3">GetValue("Dmn","Name",JAJ2)</f>
        <v/>
      </c>
      <c r="JAK3" s="1" t="str" cm="1">
        <f t="array" ref="JAK3">GetValue("Dmn","Name",JAK2)</f>
        <v/>
      </c>
      <c r="JAL3" s="1" t="str" cm="1">
        <f t="array" ref="JAL3">GetValue("Dmn","Name",JAL2)</f>
        <v/>
      </c>
      <c r="JAM3" s="1" t="str" cm="1">
        <f t="array" ref="JAM3">GetValue("Dmn","Name",JAM2)</f>
        <v/>
      </c>
      <c r="JAN3" s="1" t="str" cm="1">
        <f t="array" ref="JAN3">GetValue("Dmn","Name",JAN2)</f>
        <v/>
      </c>
      <c r="JAO3" s="1" t="str" cm="1">
        <f t="array" ref="JAO3">GetValue("Dmn","Name",JAO2)</f>
        <v/>
      </c>
      <c r="JAP3" s="1" t="str" cm="1">
        <f t="array" ref="JAP3">GetValue("Dmn","Name",JAP2)</f>
        <v/>
      </c>
      <c r="JAQ3" s="1" t="str" cm="1">
        <f t="array" ref="JAQ3">GetValue("Dmn","Name",JAQ2)</f>
        <v/>
      </c>
      <c r="JAR3" s="1" t="str" cm="1">
        <f t="array" ref="JAR3">GetValue("Dmn","Name",JAR2)</f>
        <v/>
      </c>
      <c r="JAS3" s="1" t="str" cm="1">
        <f t="array" ref="JAS3">GetValue("Dmn","Name",JAS2)</f>
        <v/>
      </c>
      <c r="JAT3" s="1" t="str" cm="1">
        <f t="array" ref="JAT3">GetValue("Dmn","Name",JAT2)</f>
        <v/>
      </c>
      <c r="JAU3" s="1" t="str" cm="1">
        <f t="array" ref="JAU3">GetValue("Dmn","Name",JAU2)</f>
        <v/>
      </c>
      <c r="JAV3" s="1" t="str" cm="1">
        <f t="array" ref="JAV3">GetValue("Dmn","Name",JAV2)</f>
        <v/>
      </c>
      <c r="JAW3" s="1" t="str" cm="1">
        <f t="array" ref="JAW3">GetValue("Dmn","Name",JAW2)</f>
        <v/>
      </c>
      <c r="JAX3" s="1" t="str" cm="1">
        <f t="array" ref="JAX3">GetValue("Dmn","Name",JAX2)</f>
        <v/>
      </c>
      <c r="JAY3" s="1" t="str" cm="1">
        <f t="array" ref="JAY3">GetValue("Dmn","Name",JAY2)</f>
        <v/>
      </c>
      <c r="JAZ3" s="1" t="str" cm="1">
        <f t="array" ref="JAZ3">GetValue("Dmn","Name",JAZ2)</f>
        <v/>
      </c>
      <c r="JBA3" s="1" t="str" cm="1">
        <f t="array" ref="JBA3">GetValue("Dmn","Name",JBA2)</f>
        <v/>
      </c>
      <c r="JBB3" s="1" t="str" cm="1">
        <f t="array" ref="JBB3">GetValue("Dmn","Name",JBB2)</f>
        <v/>
      </c>
      <c r="JBC3" s="1" t="str" cm="1">
        <f t="array" ref="JBC3">GetValue("Dmn","Name",JBC2)</f>
        <v/>
      </c>
      <c r="JBD3" s="1" t="str" cm="1">
        <f t="array" ref="JBD3">GetValue("Dmn","Name",JBD2)</f>
        <v/>
      </c>
      <c r="JBE3" s="1" t="str" cm="1">
        <f t="array" ref="JBE3">GetValue("Dmn","Name",JBE2)</f>
        <v/>
      </c>
      <c r="JBF3" s="1" t="str" cm="1">
        <f t="array" ref="JBF3">GetValue("Dmn","Name",JBF2)</f>
        <v/>
      </c>
      <c r="JBG3" s="1" t="str" cm="1">
        <f t="array" ref="JBG3">GetValue("Dmn","Name",JBG2)</f>
        <v/>
      </c>
      <c r="JBH3" s="1" t="str" cm="1">
        <f t="array" ref="JBH3">GetValue("Dmn","Name",JBH2)</f>
        <v/>
      </c>
      <c r="JBI3" s="1" t="str" cm="1">
        <f t="array" ref="JBI3">GetValue("Dmn","Name",JBI2)</f>
        <v/>
      </c>
      <c r="JBJ3" s="1" t="str" cm="1">
        <f t="array" ref="JBJ3">GetValue("Dmn","Name",JBJ2)</f>
        <v/>
      </c>
      <c r="JBK3" s="1" t="str" cm="1">
        <f t="array" ref="JBK3">GetValue("Dmn","Name",JBK2)</f>
        <v/>
      </c>
      <c r="JBL3" s="1" t="str" cm="1">
        <f t="array" ref="JBL3">GetValue("Dmn","Name",JBL2)</f>
        <v/>
      </c>
      <c r="JBM3" s="1" t="str" cm="1">
        <f t="array" ref="JBM3">GetValue("Dmn","Name",JBM2)</f>
        <v/>
      </c>
      <c r="JBN3" s="1" t="str" cm="1">
        <f t="array" ref="JBN3">GetValue("Dmn","Name",JBN2)</f>
        <v/>
      </c>
      <c r="JBO3" s="1" t="str" cm="1">
        <f t="array" ref="JBO3">GetValue("Dmn","Name",JBO2)</f>
        <v/>
      </c>
      <c r="JBP3" s="1" t="str" cm="1">
        <f t="array" ref="JBP3">GetValue("Dmn","Name",JBP2)</f>
        <v/>
      </c>
      <c r="JBQ3" s="1" t="str" cm="1">
        <f t="array" ref="JBQ3">GetValue("Dmn","Name",JBQ2)</f>
        <v/>
      </c>
      <c r="JBR3" s="1" t="str" cm="1">
        <f t="array" ref="JBR3">GetValue("Dmn","Name",JBR2)</f>
        <v/>
      </c>
      <c r="JBS3" s="1" t="str" cm="1">
        <f t="array" ref="JBS3">GetValue("Dmn","Name",JBS2)</f>
        <v/>
      </c>
      <c r="JBT3" s="1" t="str" cm="1">
        <f t="array" ref="JBT3">GetValue("Dmn","Name",JBT2)</f>
        <v/>
      </c>
      <c r="JBU3" s="1" t="str" cm="1">
        <f t="array" ref="JBU3">GetValue("Dmn","Name",JBU2)</f>
        <v/>
      </c>
      <c r="JBV3" s="1" t="str" cm="1">
        <f t="array" ref="JBV3">GetValue("Dmn","Name",JBV2)</f>
        <v/>
      </c>
      <c r="JBW3" s="1" t="str" cm="1">
        <f t="array" ref="JBW3">GetValue("Dmn","Name",JBW2)</f>
        <v/>
      </c>
      <c r="JBX3" s="1" t="str" cm="1">
        <f t="array" ref="JBX3">GetValue("Dmn","Name",JBX2)</f>
        <v/>
      </c>
      <c r="JBY3" s="1" t="str" cm="1">
        <f t="array" ref="JBY3">GetValue("Dmn","Name",JBY2)</f>
        <v/>
      </c>
      <c r="JBZ3" s="1" t="str" cm="1">
        <f t="array" ref="JBZ3">GetValue("Dmn","Name",JBZ2)</f>
        <v/>
      </c>
      <c r="JCA3" s="1" t="str" cm="1">
        <f t="array" ref="JCA3">GetValue("Dmn","Name",JCA2)</f>
        <v/>
      </c>
      <c r="JCB3" s="1" t="str" cm="1">
        <f t="array" ref="JCB3">GetValue("Dmn","Name",JCB2)</f>
        <v/>
      </c>
      <c r="JCC3" s="1" t="str" cm="1">
        <f t="array" ref="JCC3">GetValue("Dmn","Name",JCC2)</f>
        <v/>
      </c>
      <c r="JCD3" s="1" t="str" cm="1">
        <f t="array" ref="JCD3">GetValue("Dmn","Name",JCD2)</f>
        <v/>
      </c>
      <c r="JCE3" s="1" t="str" cm="1">
        <f t="array" ref="JCE3">GetValue("Dmn","Name",JCE2)</f>
        <v/>
      </c>
      <c r="JCF3" s="1" t="str" cm="1">
        <f t="array" ref="JCF3">GetValue("Dmn","Name",JCF2)</f>
        <v/>
      </c>
      <c r="JCG3" s="1" t="str" cm="1">
        <f t="array" ref="JCG3">GetValue("Dmn","Name",JCG2)</f>
        <v/>
      </c>
      <c r="JCH3" s="1" t="str" cm="1">
        <f t="array" ref="JCH3">GetValue("Dmn","Name",JCH2)</f>
        <v/>
      </c>
      <c r="JCI3" s="1" t="str" cm="1">
        <f t="array" ref="JCI3">GetValue("Dmn","Name",JCI2)</f>
        <v/>
      </c>
      <c r="JCJ3" s="1" t="str" cm="1">
        <f t="array" ref="JCJ3">GetValue("Dmn","Name",JCJ2)</f>
        <v/>
      </c>
      <c r="JCK3" s="1" t="str" cm="1">
        <f t="array" ref="JCK3">GetValue("Dmn","Name",JCK2)</f>
        <v/>
      </c>
      <c r="JCL3" s="1" t="str" cm="1">
        <f t="array" ref="JCL3">GetValue("Dmn","Name",JCL2)</f>
        <v/>
      </c>
      <c r="JCM3" s="1" t="str" cm="1">
        <f t="array" ref="JCM3">GetValue("Dmn","Name",JCM2)</f>
        <v/>
      </c>
      <c r="JCN3" s="1" t="str" cm="1">
        <f t="array" ref="JCN3">GetValue("Dmn","Name",JCN2)</f>
        <v/>
      </c>
      <c r="JCO3" s="1" t="str" cm="1">
        <f t="array" ref="JCO3">GetValue("Dmn","Name",JCO2)</f>
        <v/>
      </c>
      <c r="JCP3" s="1" t="str" cm="1">
        <f t="array" ref="JCP3">GetValue("Dmn","Name",JCP2)</f>
        <v/>
      </c>
      <c r="JCQ3" s="1" t="str" cm="1">
        <f t="array" ref="JCQ3">GetValue("Dmn","Name",JCQ2)</f>
        <v/>
      </c>
      <c r="JCR3" s="1" t="str" cm="1">
        <f t="array" ref="JCR3">GetValue("Dmn","Name",JCR2)</f>
        <v/>
      </c>
      <c r="JCS3" s="1" t="str" cm="1">
        <f t="array" ref="JCS3">GetValue("Dmn","Name",JCS2)</f>
        <v/>
      </c>
      <c r="JCT3" s="1" t="str" cm="1">
        <f t="array" ref="JCT3">GetValue("Dmn","Name",JCT2)</f>
        <v/>
      </c>
      <c r="JCU3" s="1" t="str" cm="1">
        <f t="array" ref="JCU3">GetValue("Dmn","Name",JCU2)</f>
        <v/>
      </c>
      <c r="JCV3" s="1" t="str" cm="1">
        <f t="array" ref="JCV3">GetValue("Dmn","Name",JCV2)</f>
        <v/>
      </c>
      <c r="JCW3" s="1" t="str" cm="1">
        <f t="array" ref="JCW3">GetValue("Dmn","Name",JCW2)</f>
        <v/>
      </c>
      <c r="JCX3" s="1" t="str" cm="1">
        <f t="array" ref="JCX3">GetValue("Dmn","Name",JCX2)</f>
        <v/>
      </c>
      <c r="JCY3" s="1" t="str" cm="1">
        <f t="array" ref="JCY3">GetValue("Dmn","Name",JCY2)</f>
        <v/>
      </c>
      <c r="JCZ3" s="1" t="str" cm="1">
        <f t="array" ref="JCZ3">GetValue("Dmn","Name",JCZ2)</f>
        <v/>
      </c>
      <c r="JDA3" s="1" t="str" cm="1">
        <f t="array" ref="JDA3">GetValue("Dmn","Name",JDA2)</f>
        <v/>
      </c>
      <c r="JDB3" s="1" t="str" cm="1">
        <f t="array" ref="JDB3">GetValue("Dmn","Name",JDB2)</f>
        <v/>
      </c>
      <c r="JDC3" s="1" t="str" cm="1">
        <f t="array" ref="JDC3">GetValue("Dmn","Name",JDC2)</f>
        <v/>
      </c>
      <c r="JDD3" s="1" t="str" cm="1">
        <f t="array" ref="JDD3">GetValue("Dmn","Name",JDD2)</f>
        <v/>
      </c>
      <c r="JDE3" s="1" t="str" cm="1">
        <f t="array" ref="JDE3">GetValue("Dmn","Name",JDE2)</f>
        <v/>
      </c>
      <c r="JDF3" s="1" t="str" cm="1">
        <f t="array" ref="JDF3">GetValue("Dmn","Name",JDF2)</f>
        <v/>
      </c>
      <c r="JDG3" s="1" t="str" cm="1">
        <f t="array" ref="JDG3">GetValue("Dmn","Name",JDG2)</f>
        <v/>
      </c>
      <c r="JDH3" s="1" t="str" cm="1">
        <f t="array" ref="JDH3">GetValue("Dmn","Name",JDH2)</f>
        <v/>
      </c>
      <c r="JDI3" s="1" t="str" cm="1">
        <f t="array" ref="JDI3">GetValue("Dmn","Name",JDI2)</f>
        <v/>
      </c>
      <c r="JDJ3" s="1" t="str" cm="1">
        <f t="array" ref="JDJ3">GetValue("Dmn","Name",JDJ2)</f>
        <v/>
      </c>
      <c r="JDK3" s="1" t="str" cm="1">
        <f t="array" ref="JDK3">GetValue("Dmn","Name",JDK2)</f>
        <v/>
      </c>
      <c r="JDL3" s="1" t="str" cm="1">
        <f t="array" ref="JDL3">GetValue("Dmn","Name",JDL2)</f>
        <v/>
      </c>
      <c r="JDM3" s="1" t="str" cm="1">
        <f t="array" ref="JDM3">GetValue("Dmn","Name",JDM2)</f>
        <v/>
      </c>
      <c r="JDN3" s="1" t="str" cm="1">
        <f t="array" ref="JDN3">GetValue("Dmn","Name",JDN2)</f>
        <v/>
      </c>
      <c r="JDO3" s="1" t="str" cm="1">
        <f t="array" ref="JDO3">GetValue("Dmn","Name",JDO2)</f>
        <v/>
      </c>
      <c r="JDP3" s="1" t="str" cm="1">
        <f t="array" ref="JDP3">GetValue("Dmn","Name",JDP2)</f>
        <v/>
      </c>
      <c r="JDQ3" s="1" t="str" cm="1">
        <f t="array" ref="JDQ3">GetValue("Dmn","Name",JDQ2)</f>
        <v/>
      </c>
      <c r="JDR3" s="1" t="str" cm="1">
        <f t="array" ref="JDR3">GetValue("Dmn","Name",JDR2)</f>
        <v/>
      </c>
      <c r="JDS3" s="1" t="str" cm="1">
        <f t="array" ref="JDS3">GetValue("Dmn","Name",JDS2)</f>
        <v/>
      </c>
      <c r="JDT3" s="1" t="str" cm="1">
        <f t="array" ref="JDT3">GetValue("Dmn","Name",JDT2)</f>
        <v/>
      </c>
      <c r="JDU3" s="1" t="str" cm="1">
        <f t="array" ref="JDU3">GetValue("Dmn","Name",JDU2)</f>
        <v/>
      </c>
      <c r="JDV3" s="1" t="str" cm="1">
        <f t="array" ref="JDV3">GetValue("Dmn","Name",JDV2)</f>
        <v/>
      </c>
      <c r="JDW3" s="1" t="str" cm="1">
        <f t="array" ref="JDW3">GetValue("Dmn","Name",JDW2)</f>
        <v/>
      </c>
      <c r="JDX3" s="1" t="str" cm="1">
        <f t="array" ref="JDX3">GetValue("Dmn","Name",JDX2)</f>
        <v/>
      </c>
      <c r="JDY3" s="1" t="str" cm="1">
        <f t="array" ref="JDY3">GetValue("Dmn","Name",JDY2)</f>
        <v/>
      </c>
      <c r="JDZ3" s="1" t="str" cm="1">
        <f t="array" ref="JDZ3">GetValue("Dmn","Name",JDZ2)</f>
        <v/>
      </c>
      <c r="JEA3" s="1" t="str" cm="1">
        <f t="array" ref="JEA3">GetValue("Dmn","Name",JEA2)</f>
        <v/>
      </c>
      <c r="JEB3" s="1" t="str" cm="1">
        <f t="array" ref="JEB3">GetValue("Dmn","Name",JEB2)</f>
        <v/>
      </c>
      <c r="JEC3" s="1" t="str" cm="1">
        <f t="array" ref="JEC3">GetValue("Dmn","Name",JEC2)</f>
        <v/>
      </c>
      <c r="JED3" s="1" t="str" cm="1">
        <f t="array" ref="JED3">GetValue("Dmn","Name",JED2)</f>
        <v/>
      </c>
      <c r="JEE3" s="1" t="str" cm="1">
        <f t="array" ref="JEE3">GetValue("Dmn","Name",JEE2)</f>
        <v/>
      </c>
      <c r="JEF3" s="1" t="str" cm="1">
        <f t="array" ref="JEF3">GetValue("Dmn","Name",JEF2)</f>
        <v/>
      </c>
      <c r="JEG3" s="1" t="str" cm="1">
        <f t="array" ref="JEG3">GetValue("Dmn","Name",JEG2)</f>
        <v/>
      </c>
      <c r="JEH3" s="1" t="str" cm="1">
        <f t="array" ref="JEH3">GetValue("Dmn","Name",JEH2)</f>
        <v/>
      </c>
      <c r="JEI3" s="1" t="str" cm="1">
        <f t="array" ref="JEI3">GetValue("Dmn","Name",JEI2)</f>
        <v/>
      </c>
      <c r="JEJ3" s="1" t="str" cm="1">
        <f t="array" ref="JEJ3">GetValue("Dmn","Name",JEJ2)</f>
        <v/>
      </c>
      <c r="JEK3" s="1" t="str" cm="1">
        <f t="array" ref="JEK3">GetValue("Dmn","Name",JEK2)</f>
        <v/>
      </c>
      <c r="JEL3" s="1" t="str" cm="1">
        <f t="array" ref="JEL3">GetValue("Dmn","Name",JEL2)</f>
        <v/>
      </c>
      <c r="JEM3" s="1" t="str" cm="1">
        <f t="array" ref="JEM3">GetValue("Dmn","Name",JEM2)</f>
        <v/>
      </c>
      <c r="JEN3" s="1" t="str" cm="1">
        <f t="array" ref="JEN3">GetValue("Dmn","Name",JEN2)</f>
        <v/>
      </c>
      <c r="JEO3" s="1" t="str" cm="1">
        <f t="array" ref="JEO3">GetValue("Dmn","Name",JEO2)</f>
        <v/>
      </c>
      <c r="JEP3" s="1" t="str" cm="1">
        <f t="array" ref="JEP3">GetValue("Dmn","Name",JEP2)</f>
        <v/>
      </c>
      <c r="JEQ3" s="1" t="str" cm="1">
        <f t="array" ref="JEQ3">GetValue("Dmn","Name",JEQ2)</f>
        <v/>
      </c>
      <c r="JER3" s="1" t="str" cm="1">
        <f t="array" ref="JER3">GetValue("Dmn","Name",JER2)</f>
        <v/>
      </c>
      <c r="JES3" s="1" t="str" cm="1">
        <f t="array" ref="JES3">GetValue("Dmn","Name",JES2)</f>
        <v/>
      </c>
      <c r="JET3" s="1" t="str" cm="1">
        <f t="array" ref="JET3">GetValue("Dmn","Name",JET2)</f>
        <v/>
      </c>
      <c r="JEU3" s="1" t="str" cm="1">
        <f t="array" ref="JEU3">GetValue("Dmn","Name",JEU2)</f>
        <v/>
      </c>
      <c r="JEV3" s="1" t="str" cm="1">
        <f t="array" ref="JEV3">GetValue("Dmn","Name",JEV2)</f>
        <v/>
      </c>
      <c r="JEW3" s="1" t="str" cm="1">
        <f t="array" ref="JEW3">GetValue("Dmn","Name",JEW2)</f>
        <v/>
      </c>
      <c r="JEX3" s="1" t="str" cm="1">
        <f t="array" ref="JEX3">GetValue("Dmn","Name",JEX2)</f>
        <v/>
      </c>
      <c r="JEY3" s="1" t="str" cm="1">
        <f t="array" ref="JEY3">GetValue("Dmn","Name",JEY2)</f>
        <v/>
      </c>
      <c r="JEZ3" s="1" t="str" cm="1">
        <f t="array" ref="JEZ3">GetValue("Dmn","Name",JEZ2)</f>
        <v/>
      </c>
      <c r="JFA3" s="1" t="str" cm="1">
        <f t="array" ref="JFA3">GetValue("Dmn","Name",JFA2)</f>
        <v/>
      </c>
      <c r="JFB3" s="1" t="str" cm="1">
        <f t="array" ref="JFB3">GetValue("Dmn","Name",JFB2)</f>
        <v/>
      </c>
      <c r="JFC3" s="1" t="str" cm="1">
        <f t="array" ref="JFC3">GetValue("Dmn","Name",JFC2)</f>
        <v/>
      </c>
      <c r="JFD3" s="1" t="str" cm="1">
        <f t="array" ref="JFD3">GetValue("Dmn","Name",JFD2)</f>
        <v/>
      </c>
      <c r="JFE3" s="1" t="str" cm="1">
        <f t="array" ref="JFE3">GetValue("Dmn","Name",JFE2)</f>
        <v/>
      </c>
      <c r="JFF3" s="1" t="str" cm="1">
        <f t="array" ref="JFF3">GetValue("Dmn","Name",JFF2)</f>
        <v/>
      </c>
      <c r="JFG3" s="1" t="str" cm="1">
        <f t="array" ref="JFG3">GetValue("Dmn","Name",JFG2)</f>
        <v/>
      </c>
      <c r="JFH3" s="1" t="str" cm="1">
        <f t="array" ref="JFH3">GetValue("Dmn","Name",JFH2)</f>
        <v/>
      </c>
      <c r="JFI3" s="1" t="str" cm="1">
        <f t="array" ref="JFI3">GetValue("Dmn","Name",JFI2)</f>
        <v/>
      </c>
      <c r="JFJ3" s="1" t="str" cm="1">
        <f t="array" ref="JFJ3">GetValue("Dmn","Name",JFJ2)</f>
        <v/>
      </c>
      <c r="JFK3" s="1" t="str" cm="1">
        <f t="array" ref="JFK3">GetValue("Dmn","Name",JFK2)</f>
        <v/>
      </c>
      <c r="JFL3" s="1" t="str" cm="1">
        <f t="array" ref="JFL3">GetValue("Dmn","Name",JFL2)</f>
        <v/>
      </c>
      <c r="JFM3" s="1" t="str" cm="1">
        <f t="array" ref="JFM3">GetValue("Dmn","Name",JFM2)</f>
        <v/>
      </c>
      <c r="JFN3" s="1" t="str" cm="1">
        <f t="array" ref="JFN3">GetValue("Dmn","Name",JFN2)</f>
        <v/>
      </c>
      <c r="JFO3" s="1" t="str" cm="1">
        <f t="array" ref="JFO3">GetValue("Dmn","Name",JFO2)</f>
        <v/>
      </c>
      <c r="JFP3" s="1" t="str" cm="1">
        <f t="array" ref="JFP3">GetValue("Dmn","Name",JFP2)</f>
        <v/>
      </c>
      <c r="JFQ3" s="1" t="str" cm="1">
        <f t="array" ref="JFQ3">GetValue("Dmn","Name",JFQ2)</f>
        <v/>
      </c>
      <c r="JFR3" s="1" t="str" cm="1">
        <f t="array" ref="JFR3">GetValue("Dmn","Name",JFR2)</f>
        <v/>
      </c>
      <c r="JFS3" s="1" t="str" cm="1">
        <f t="array" ref="JFS3">GetValue("Dmn","Name",JFS2)</f>
        <v/>
      </c>
      <c r="JFT3" s="1" t="str" cm="1">
        <f t="array" ref="JFT3">GetValue("Dmn","Name",JFT2)</f>
        <v/>
      </c>
      <c r="JFU3" s="1" t="str" cm="1">
        <f t="array" ref="JFU3">GetValue("Dmn","Name",JFU2)</f>
        <v/>
      </c>
      <c r="JFV3" s="1" t="str" cm="1">
        <f t="array" ref="JFV3">GetValue("Dmn","Name",JFV2)</f>
        <v/>
      </c>
      <c r="JFW3" s="1" t="str" cm="1">
        <f t="array" ref="JFW3">GetValue("Dmn","Name",JFW2)</f>
        <v/>
      </c>
      <c r="JFX3" s="1" t="str" cm="1">
        <f t="array" ref="JFX3">GetValue("Dmn","Name",JFX2)</f>
        <v/>
      </c>
      <c r="JFY3" s="1" t="str" cm="1">
        <f t="array" ref="JFY3">GetValue("Dmn","Name",JFY2)</f>
        <v/>
      </c>
      <c r="JFZ3" s="1" t="str" cm="1">
        <f t="array" ref="JFZ3">GetValue("Dmn","Name",JFZ2)</f>
        <v/>
      </c>
      <c r="JGA3" s="1" t="str" cm="1">
        <f t="array" ref="JGA3">GetValue("Dmn","Name",JGA2)</f>
        <v/>
      </c>
      <c r="JGB3" s="1" t="str" cm="1">
        <f t="array" ref="JGB3">GetValue("Dmn","Name",JGB2)</f>
        <v/>
      </c>
      <c r="JGC3" s="1" t="str" cm="1">
        <f t="array" ref="JGC3">GetValue("Dmn","Name",JGC2)</f>
        <v/>
      </c>
      <c r="JGD3" s="1" t="str" cm="1">
        <f t="array" ref="JGD3">GetValue("Dmn","Name",JGD2)</f>
        <v/>
      </c>
      <c r="JGE3" s="1" t="str" cm="1">
        <f t="array" ref="JGE3">GetValue("Dmn","Name",JGE2)</f>
        <v/>
      </c>
      <c r="JGF3" s="1" t="str" cm="1">
        <f t="array" ref="JGF3">GetValue("Dmn","Name",JGF2)</f>
        <v/>
      </c>
      <c r="JGG3" s="1" t="str" cm="1">
        <f t="array" ref="JGG3">GetValue("Dmn","Name",JGG2)</f>
        <v/>
      </c>
      <c r="JGH3" s="1" t="str" cm="1">
        <f t="array" ref="JGH3">GetValue("Dmn","Name",JGH2)</f>
        <v/>
      </c>
      <c r="JGI3" s="1" t="str" cm="1">
        <f t="array" ref="JGI3">GetValue("Dmn","Name",JGI2)</f>
        <v/>
      </c>
      <c r="JGJ3" s="1" t="str" cm="1">
        <f t="array" ref="JGJ3">GetValue("Dmn","Name",JGJ2)</f>
        <v/>
      </c>
      <c r="JGK3" s="1" t="str" cm="1">
        <f t="array" ref="JGK3">GetValue("Dmn","Name",JGK2)</f>
        <v/>
      </c>
      <c r="JGL3" s="1" t="str" cm="1">
        <f t="array" ref="JGL3">GetValue("Dmn","Name",JGL2)</f>
        <v/>
      </c>
      <c r="JGM3" s="1" t="str" cm="1">
        <f t="array" ref="JGM3">GetValue("Dmn","Name",JGM2)</f>
        <v/>
      </c>
      <c r="JGN3" s="1" t="str" cm="1">
        <f t="array" ref="JGN3">GetValue("Dmn","Name",JGN2)</f>
        <v/>
      </c>
      <c r="JGO3" s="1" t="str" cm="1">
        <f t="array" ref="JGO3">GetValue("Dmn","Name",JGO2)</f>
        <v/>
      </c>
      <c r="JGP3" s="1" t="str" cm="1">
        <f t="array" ref="JGP3">GetValue("Dmn","Name",JGP2)</f>
        <v/>
      </c>
      <c r="JGQ3" s="1" t="str" cm="1">
        <f t="array" ref="JGQ3">GetValue("Dmn","Name",JGQ2)</f>
        <v/>
      </c>
      <c r="JGR3" s="1" t="str" cm="1">
        <f t="array" ref="JGR3">GetValue("Dmn","Name",JGR2)</f>
        <v/>
      </c>
      <c r="JGS3" s="1" t="str" cm="1">
        <f t="array" ref="JGS3">GetValue("Dmn","Name",JGS2)</f>
        <v/>
      </c>
      <c r="JGT3" s="1" t="str" cm="1">
        <f t="array" ref="JGT3">GetValue("Dmn","Name",JGT2)</f>
        <v/>
      </c>
      <c r="JGU3" s="1" t="str" cm="1">
        <f t="array" ref="JGU3">GetValue("Dmn","Name",JGU2)</f>
        <v/>
      </c>
      <c r="JGV3" s="1" t="str" cm="1">
        <f t="array" ref="JGV3">GetValue("Dmn","Name",JGV2)</f>
        <v/>
      </c>
      <c r="JGW3" s="1" t="str" cm="1">
        <f t="array" ref="JGW3">GetValue("Dmn","Name",JGW2)</f>
        <v/>
      </c>
      <c r="JGX3" s="1" t="str" cm="1">
        <f t="array" ref="JGX3">GetValue("Dmn","Name",JGX2)</f>
        <v/>
      </c>
      <c r="JGY3" s="1" t="str" cm="1">
        <f t="array" ref="JGY3">GetValue("Dmn","Name",JGY2)</f>
        <v/>
      </c>
      <c r="JGZ3" s="1" t="str" cm="1">
        <f t="array" ref="JGZ3">GetValue("Dmn","Name",JGZ2)</f>
        <v/>
      </c>
      <c r="JHA3" s="1" t="str" cm="1">
        <f t="array" ref="JHA3">GetValue("Dmn","Name",JHA2)</f>
        <v/>
      </c>
      <c r="JHB3" s="1" t="str" cm="1">
        <f t="array" ref="JHB3">GetValue("Dmn","Name",JHB2)</f>
        <v/>
      </c>
      <c r="JHC3" s="1" t="str" cm="1">
        <f t="array" ref="JHC3">GetValue("Dmn","Name",JHC2)</f>
        <v/>
      </c>
      <c r="JHD3" s="1" t="str" cm="1">
        <f t="array" ref="JHD3">GetValue("Dmn","Name",JHD2)</f>
        <v/>
      </c>
      <c r="JHE3" s="1" t="str" cm="1">
        <f t="array" ref="JHE3">GetValue("Dmn","Name",JHE2)</f>
        <v/>
      </c>
      <c r="JHF3" s="1" t="str" cm="1">
        <f t="array" ref="JHF3">GetValue("Dmn","Name",JHF2)</f>
        <v/>
      </c>
      <c r="JHG3" s="1" t="str" cm="1">
        <f t="array" ref="JHG3">GetValue("Dmn","Name",JHG2)</f>
        <v/>
      </c>
      <c r="JHH3" s="1" t="str" cm="1">
        <f t="array" ref="JHH3">GetValue("Dmn","Name",JHH2)</f>
        <v/>
      </c>
      <c r="JHI3" s="1" t="str" cm="1">
        <f t="array" ref="JHI3">GetValue("Dmn","Name",JHI2)</f>
        <v/>
      </c>
      <c r="JHJ3" s="1" t="str" cm="1">
        <f t="array" ref="JHJ3">GetValue("Dmn","Name",JHJ2)</f>
        <v/>
      </c>
      <c r="JHK3" s="1" t="str" cm="1">
        <f t="array" ref="JHK3">GetValue("Dmn","Name",JHK2)</f>
        <v/>
      </c>
      <c r="JHL3" s="1" t="str" cm="1">
        <f t="array" ref="JHL3">GetValue("Dmn","Name",JHL2)</f>
        <v/>
      </c>
      <c r="JHM3" s="1" t="str" cm="1">
        <f t="array" ref="JHM3">GetValue("Dmn","Name",JHM2)</f>
        <v/>
      </c>
      <c r="JHN3" s="1" t="str" cm="1">
        <f t="array" ref="JHN3">GetValue("Dmn","Name",JHN2)</f>
        <v/>
      </c>
      <c r="JHO3" s="1" t="str" cm="1">
        <f t="array" ref="JHO3">GetValue("Dmn","Name",JHO2)</f>
        <v/>
      </c>
      <c r="JHP3" s="1" t="str" cm="1">
        <f t="array" ref="JHP3">GetValue("Dmn","Name",JHP2)</f>
        <v/>
      </c>
      <c r="JHQ3" s="1" t="str" cm="1">
        <f t="array" ref="JHQ3">GetValue("Dmn","Name",JHQ2)</f>
        <v/>
      </c>
      <c r="JHR3" s="1" t="str" cm="1">
        <f t="array" ref="JHR3">GetValue("Dmn","Name",JHR2)</f>
        <v/>
      </c>
      <c r="JHS3" s="1" t="str" cm="1">
        <f t="array" ref="JHS3">GetValue("Dmn","Name",JHS2)</f>
        <v/>
      </c>
      <c r="JHT3" s="1" t="str" cm="1">
        <f t="array" ref="JHT3">GetValue("Dmn","Name",JHT2)</f>
        <v/>
      </c>
      <c r="JHU3" s="1" t="str" cm="1">
        <f t="array" ref="JHU3">GetValue("Dmn","Name",JHU2)</f>
        <v/>
      </c>
      <c r="JHV3" s="1" t="str" cm="1">
        <f t="array" ref="JHV3">GetValue("Dmn","Name",JHV2)</f>
        <v/>
      </c>
      <c r="JHW3" s="1" t="str" cm="1">
        <f t="array" ref="JHW3">GetValue("Dmn","Name",JHW2)</f>
        <v/>
      </c>
      <c r="JHX3" s="1" t="str" cm="1">
        <f t="array" ref="JHX3">GetValue("Dmn","Name",JHX2)</f>
        <v/>
      </c>
      <c r="JHY3" s="1" t="str" cm="1">
        <f t="array" ref="JHY3">GetValue("Dmn","Name",JHY2)</f>
        <v/>
      </c>
      <c r="JHZ3" s="1" t="str" cm="1">
        <f t="array" ref="JHZ3">GetValue("Dmn","Name",JHZ2)</f>
        <v/>
      </c>
      <c r="JIA3" s="1" t="str" cm="1">
        <f t="array" ref="JIA3">GetValue("Dmn","Name",JIA2)</f>
        <v/>
      </c>
      <c r="JIB3" s="1" t="str" cm="1">
        <f t="array" ref="JIB3">GetValue("Dmn","Name",JIB2)</f>
        <v/>
      </c>
      <c r="JIC3" s="1" t="str" cm="1">
        <f t="array" ref="JIC3">GetValue("Dmn","Name",JIC2)</f>
        <v/>
      </c>
      <c r="JID3" s="1" t="str" cm="1">
        <f t="array" ref="JID3">GetValue("Dmn","Name",JID2)</f>
        <v/>
      </c>
      <c r="JIE3" s="1" t="str" cm="1">
        <f t="array" ref="JIE3">GetValue("Dmn","Name",JIE2)</f>
        <v/>
      </c>
      <c r="JIF3" s="1" t="str" cm="1">
        <f t="array" ref="JIF3">GetValue("Dmn","Name",JIF2)</f>
        <v/>
      </c>
      <c r="JIG3" s="1" t="str" cm="1">
        <f t="array" ref="JIG3">GetValue("Dmn","Name",JIG2)</f>
        <v/>
      </c>
      <c r="JIH3" s="1" t="str" cm="1">
        <f t="array" ref="JIH3">GetValue("Dmn","Name",JIH2)</f>
        <v/>
      </c>
      <c r="JII3" s="1" t="str" cm="1">
        <f t="array" ref="JII3">GetValue("Dmn","Name",JII2)</f>
        <v/>
      </c>
      <c r="JIJ3" s="1" t="str" cm="1">
        <f t="array" ref="JIJ3">GetValue("Dmn","Name",JIJ2)</f>
        <v/>
      </c>
      <c r="JIK3" s="1" t="str" cm="1">
        <f t="array" ref="JIK3">GetValue("Dmn","Name",JIK2)</f>
        <v/>
      </c>
      <c r="JIL3" s="1" t="str" cm="1">
        <f t="array" ref="JIL3">GetValue("Dmn","Name",JIL2)</f>
        <v/>
      </c>
      <c r="JIM3" s="1" t="str" cm="1">
        <f t="array" ref="JIM3">GetValue("Dmn","Name",JIM2)</f>
        <v/>
      </c>
      <c r="JIN3" s="1" t="str" cm="1">
        <f t="array" ref="JIN3">GetValue("Dmn","Name",JIN2)</f>
        <v/>
      </c>
      <c r="JIO3" s="1" t="str" cm="1">
        <f t="array" ref="JIO3">GetValue("Dmn","Name",JIO2)</f>
        <v/>
      </c>
      <c r="JIP3" s="1" t="str" cm="1">
        <f t="array" ref="JIP3">GetValue("Dmn","Name",JIP2)</f>
        <v/>
      </c>
      <c r="JIQ3" s="1" t="str" cm="1">
        <f t="array" ref="JIQ3">GetValue("Dmn","Name",JIQ2)</f>
        <v/>
      </c>
      <c r="JIR3" s="1" t="str" cm="1">
        <f t="array" ref="JIR3">GetValue("Dmn","Name",JIR2)</f>
        <v/>
      </c>
      <c r="JIS3" s="1" t="str" cm="1">
        <f t="array" ref="JIS3">GetValue("Dmn","Name",JIS2)</f>
        <v/>
      </c>
      <c r="JIT3" s="1" t="str" cm="1">
        <f t="array" ref="JIT3">GetValue("Dmn","Name",JIT2)</f>
        <v/>
      </c>
      <c r="JIU3" s="1" t="str" cm="1">
        <f t="array" ref="JIU3">GetValue("Dmn","Name",JIU2)</f>
        <v/>
      </c>
      <c r="JIV3" s="1" t="str" cm="1">
        <f t="array" ref="JIV3">GetValue("Dmn","Name",JIV2)</f>
        <v/>
      </c>
      <c r="JIW3" s="1" t="str" cm="1">
        <f t="array" ref="JIW3">GetValue("Dmn","Name",JIW2)</f>
        <v/>
      </c>
      <c r="JIX3" s="1" t="str" cm="1">
        <f t="array" ref="JIX3">GetValue("Dmn","Name",JIX2)</f>
        <v/>
      </c>
      <c r="JIY3" s="1" t="str" cm="1">
        <f t="array" ref="JIY3">GetValue("Dmn","Name",JIY2)</f>
        <v/>
      </c>
      <c r="JIZ3" s="1" t="str" cm="1">
        <f t="array" ref="JIZ3">GetValue("Dmn","Name",JIZ2)</f>
        <v/>
      </c>
      <c r="JJA3" s="1" t="str" cm="1">
        <f t="array" ref="JJA3">GetValue("Dmn","Name",JJA2)</f>
        <v/>
      </c>
      <c r="JJB3" s="1" t="str" cm="1">
        <f t="array" ref="JJB3">GetValue("Dmn","Name",JJB2)</f>
        <v/>
      </c>
      <c r="JJC3" s="1" t="str" cm="1">
        <f t="array" ref="JJC3">GetValue("Dmn","Name",JJC2)</f>
        <v/>
      </c>
      <c r="JJD3" s="1" t="str" cm="1">
        <f t="array" ref="JJD3">GetValue("Dmn","Name",JJD2)</f>
        <v/>
      </c>
      <c r="JJE3" s="1" t="str" cm="1">
        <f t="array" ref="JJE3">GetValue("Dmn","Name",JJE2)</f>
        <v/>
      </c>
      <c r="JJF3" s="1" t="str" cm="1">
        <f t="array" ref="JJF3">GetValue("Dmn","Name",JJF2)</f>
        <v/>
      </c>
      <c r="JJG3" s="1" t="str" cm="1">
        <f t="array" ref="JJG3">GetValue("Dmn","Name",JJG2)</f>
        <v/>
      </c>
      <c r="JJH3" s="1" t="str" cm="1">
        <f t="array" ref="JJH3">GetValue("Dmn","Name",JJH2)</f>
        <v/>
      </c>
      <c r="JJI3" s="1" t="str" cm="1">
        <f t="array" ref="JJI3">GetValue("Dmn","Name",JJI2)</f>
        <v/>
      </c>
      <c r="JJJ3" s="1" t="str" cm="1">
        <f t="array" ref="JJJ3">GetValue("Dmn","Name",JJJ2)</f>
        <v/>
      </c>
      <c r="JJK3" s="1" t="str" cm="1">
        <f t="array" ref="JJK3">GetValue("Dmn","Name",JJK2)</f>
        <v/>
      </c>
      <c r="JJL3" s="1" t="str" cm="1">
        <f t="array" ref="JJL3">GetValue("Dmn","Name",JJL2)</f>
        <v/>
      </c>
      <c r="JJM3" s="1" t="str" cm="1">
        <f t="array" ref="JJM3">GetValue("Dmn","Name",JJM2)</f>
        <v/>
      </c>
      <c r="JJN3" s="1" t="str" cm="1">
        <f t="array" ref="JJN3">GetValue("Dmn","Name",JJN2)</f>
        <v/>
      </c>
      <c r="JJO3" s="1" t="str" cm="1">
        <f t="array" ref="JJO3">GetValue("Dmn","Name",JJO2)</f>
        <v/>
      </c>
      <c r="JJP3" s="1" t="str" cm="1">
        <f t="array" ref="JJP3">GetValue("Dmn","Name",JJP2)</f>
        <v/>
      </c>
      <c r="JJQ3" s="1" t="str" cm="1">
        <f t="array" ref="JJQ3">GetValue("Dmn","Name",JJQ2)</f>
        <v/>
      </c>
      <c r="JJR3" s="1" t="str" cm="1">
        <f t="array" ref="JJR3">GetValue("Dmn","Name",JJR2)</f>
        <v/>
      </c>
      <c r="JJS3" s="1" t="str" cm="1">
        <f t="array" ref="JJS3">GetValue("Dmn","Name",JJS2)</f>
        <v/>
      </c>
      <c r="JJT3" s="1" t="str" cm="1">
        <f t="array" ref="JJT3">GetValue("Dmn","Name",JJT2)</f>
        <v/>
      </c>
      <c r="JJU3" s="1" t="str" cm="1">
        <f t="array" ref="JJU3">GetValue("Dmn","Name",JJU2)</f>
        <v/>
      </c>
      <c r="JJV3" s="1" t="str" cm="1">
        <f t="array" ref="JJV3">GetValue("Dmn","Name",JJV2)</f>
        <v/>
      </c>
      <c r="JJW3" s="1" t="str" cm="1">
        <f t="array" ref="JJW3">GetValue("Dmn","Name",JJW2)</f>
        <v/>
      </c>
      <c r="JJX3" s="1" t="str" cm="1">
        <f t="array" ref="JJX3">GetValue("Dmn","Name",JJX2)</f>
        <v/>
      </c>
      <c r="JJY3" s="1" t="str" cm="1">
        <f t="array" ref="JJY3">GetValue("Dmn","Name",JJY2)</f>
        <v/>
      </c>
      <c r="JJZ3" s="1" t="str" cm="1">
        <f t="array" ref="JJZ3">GetValue("Dmn","Name",JJZ2)</f>
        <v/>
      </c>
      <c r="JKA3" s="1" t="str" cm="1">
        <f t="array" ref="JKA3">GetValue("Dmn","Name",JKA2)</f>
        <v/>
      </c>
      <c r="JKB3" s="1" t="str" cm="1">
        <f t="array" ref="JKB3">GetValue("Dmn","Name",JKB2)</f>
        <v/>
      </c>
      <c r="JKC3" s="1" t="str" cm="1">
        <f t="array" ref="JKC3">GetValue("Dmn","Name",JKC2)</f>
        <v/>
      </c>
      <c r="JKD3" s="1" t="str" cm="1">
        <f t="array" ref="JKD3">GetValue("Dmn","Name",JKD2)</f>
        <v/>
      </c>
      <c r="JKE3" s="1" t="str" cm="1">
        <f t="array" ref="JKE3">GetValue("Dmn","Name",JKE2)</f>
        <v/>
      </c>
      <c r="JKF3" s="1" t="str" cm="1">
        <f t="array" ref="JKF3">GetValue("Dmn","Name",JKF2)</f>
        <v/>
      </c>
      <c r="JKG3" s="1" t="str" cm="1">
        <f t="array" ref="JKG3">GetValue("Dmn","Name",JKG2)</f>
        <v/>
      </c>
      <c r="JKH3" s="1" t="str" cm="1">
        <f t="array" ref="JKH3">GetValue("Dmn","Name",JKH2)</f>
        <v/>
      </c>
      <c r="JKI3" s="1" t="str" cm="1">
        <f t="array" ref="JKI3">GetValue("Dmn","Name",JKI2)</f>
        <v/>
      </c>
      <c r="JKJ3" s="1" t="str" cm="1">
        <f t="array" ref="JKJ3">GetValue("Dmn","Name",JKJ2)</f>
        <v/>
      </c>
      <c r="JKK3" s="1" t="str" cm="1">
        <f t="array" ref="JKK3">GetValue("Dmn","Name",JKK2)</f>
        <v/>
      </c>
      <c r="JKL3" s="1" t="str" cm="1">
        <f t="array" ref="JKL3">GetValue("Dmn","Name",JKL2)</f>
        <v/>
      </c>
      <c r="JKM3" s="1" t="str" cm="1">
        <f t="array" ref="JKM3">GetValue("Dmn","Name",JKM2)</f>
        <v/>
      </c>
      <c r="JKN3" s="1" t="str" cm="1">
        <f t="array" ref="JKN3">GetValue("Dmn","Name",JKN2)</f>
        <v/>
      </c>
      <c r="JKO3" s="1" t="str" cm="1">
        <f t="array" ref="JKO3">GetValue("Dmn","Name",JKO2)</f>
        <v/>
      </c>
      <c r="JKP3" s="1" t="str" cm="1">
        <f t="array" ref="JKP3">GetValue("Dmn","Name",JKP2)</f>
        <v/>
      </c>
      <c r="JKQ3" s="1" t="str" cm="1">
        <f t="array" ref="JKQ3">GetValue("Dmn","Name",JKQ2)</f>
        <v/>
      </c>
      <c r="JKR3" s="1" t="str" cm="1">
        <f t="array" ref="JKR3">GetValue("Dmn","Name",JKR2)</f>
        <v/>
      </c>
      <c r="JKS3" s="1" t="str" cm="1">
        <f t="array" ref="JKS3">GetValue("Dmn","Name",JKS2)</f>
        <v/>
      </c>
      <c r="JKT3" s="1" t="str" cm="1">
        <f t="array" ref="JKT3">GetValue("Dmn","Name",JKT2)</f>
        <v/>
      </c>
      <c r="JKU3" s="1" t="str" cm="1">
        <f t="array" ref="JKU3">GetValue("Dmn","Name",JKU2)</f>
        <v/>
      </c>
      <c r="JKV3" s="1" t="str" cm="1">
        <f t="array" ref="JKV3">GetValue("Dmn","Name",JKV2)</f>
        <v/>
      </c>
      <c r="JKW3" s="1" t="str" cm="1">
        <f t="array" ref="JKW3">GetValue("Dmn","Name",JKW2)</f>
        <v/>
      </c>
      <c r="JKX3" s="1" t="str" cm="1">
        <f t="array" ref="JKX3">GetValue("Dmn","Name",JKX2)</f>
        <v/>
      </c>
      <c r="JKY3" s="1" t="str" cm="1">
        <f t="array" ref="JKY3">GetValue("Dmn","Name",JKY2)</f>
        <v/>
      </c>
      <c r="JKZ3" s="1" t="str" cm="1">
        <f t="array" ref="JKZ3">GetValue("Dmn","Name",JKZ2)</f>
        <v/>
      </c>
      <c r="JLA3" s="1" t="str" cm="1">
        <f t="array" ref="JLA3">GetValue("Dmn","Name",JLA2)</f>
        <v/>
      </c>
      <c r="JLB3" s="1" t="str" cm="1">
        <f t="array" ref="JLB3">GetValue("Dmn","Name",JLB2)</f>
        <v/>
      </c>
      <c r="JLC3" s="1" t="str" cm="1">
        <f t="array" ref="JLC3">GetValue("Dmn","Name",JLC2)</f>
        <v/>
      </c>
      <c r="JLD3" s="1" t="str" cm="1">
        <f t="array" ref="JLD3">GetValue("Dmn","Name",JLD2)</f>
        <v/>
      </c>
      <c r="JLE3" s="1" t="str" cm="1">
        <f t="array" ref="JLE3">GetValue("Dmn","Name",JLE2)</f>
        <v/>
      </c>
      <c r="JLF3" s="1" t="str" cm="1">
        <f t="array" ref="JLF3">GetValue("Dmn","Name",JLF2)</f>
        <v/>
      </c>
      <c r="JLG3" s="1" t="str" cm="1">
        <f t="array" ref="JLG3">GetValue("Dmn","Name",JLG2)</f>
        <v/>
      </c>
      <c r="JLH3" s="1" t="str" cm="1">
        <f t="array" ref="JLH3">GetValue("Dmn","Name",JLH2)</f>
        <v/>
      </c>
      <c r="JLI3" s="1" t="str" cm="1">
        <f t="array" ref="JLI3">GetValue("Dmn","Name",JLI2)</f>
        <v/>
      </c>
      <c r="JLJ3" s="1" t="str" cm="1">
        <f t="array" ref="JLJ3">GetValue("Dmn","Name",JLJ2)</f>
        <v/>
      </c>
      <c r="JLK3" s="1" t="str" cm="1">
        <f t="array" ref="JLK3">GetValue("Dmn","Name",JLK2)</f>
        <v/>
      </c>
      <c r="JLL3" s="1" t="str" cm="1">
        <f t="array" ref="JLL3">GetValue("Dmn","Name",JLL2)</f>
        <v/>
      </c>
      <c r="JLM3" s="1" t="str" cm="1">
        <f t="array" ref="JLM3">GetValue("Dmn","Name",JLM2)</f>
        <v/>
      </c>
      <c r="JLN3" s="1" t="str" cm="1">
        <f t="array" ref="JLN3">GetValue("Dmn","Name",JLN2)</f>
        <v/>
      </c>
      <c r="JLO3" s="1" t="str" cm="1">
        <f t="array" ref="JLO3">GetValue("Dmn","Name",JLO2)</f>
        <v/>
      </c>
      <c r="JLP3" s="1" t="str" cm="1">
        <f t="array" ref="JLP3">GetValue("Dmn","Name",JLP2)</f>
        <v/>
      </c>
      <c r="JLQ3" s="1" t="str" cm="1">
        <f t="array" ref="JLQ3">GetValue("Dmn","Name",JLQ2)</f>
        <v/>
      </c>
      <c r="JLR3" s="1" t="str" cm="1">
        <f t="array" ref="JLR3">GetValue("Dmn","Name",JLR2)</f>
        <v/>
      </c>
      <c r="JLS3" s="1" t="str" cm="1">
        <f t="array" ref="JLS3">GetValue("Dmn","Name",JLS2)</f>
        <v/>
      </c>
      <c r="JLT3" s="1" t="str" cm="1">
        <f t="array" ref="JLT3">GetValue("Dmn","Name",JLT2)</f>
        <v/>
      </c>
      <c r="JLU3" s="1" t="str" cm="1">
        <f t="array" ref="JLU3">GetValue("Dmn","Name",JLU2)</f>
        <v/>
      </c>
      <c r="JLV3" s="1" t="str" cm="1">
        <f t="array" ref="JLV3">GetValue("Dmn","Name",JLV2)</f>
        <v/>
      </c>
      <c r="JLW3" s="1" t="str" cm="1">
        <f t="array" ref="JLW3">GetValue("Dmn","Name",JLW2)</f>
        <v/>
      </c>
      <c r="JLX3" s="1" t="str" cm="1">
        <f t="array" ref="JLX3">GetValue("Dmn","Name",JLX2)</f>
        <v/>
      </c>
      <c r="JLY3" s="1" t="str" cm="1">
        <f t="array" ref="JLY3">GetValue("Dmn","Name",JLY2)</f>
        <v/>
      </c>
      <c r="JLZ3" s="1" t="str" cm="1">
        <f t="array" ref="JLZ3">GetValue("Dmn","Name",JLZ2)</f>
        <v/>
      </c>
      <c r="JMA3" s="1" t="str" cm="1">
        <f t="array" ref="JMA3">GetValue("Dmn","Name",JMA2)</f>
        <v/>
      </c>
      <c r="JMB3" s="1" t="str" cm="1">
        <f t="array" ref="JMB3">GetValue("Dmn","Name",JMB2)</f>
        <v/>
      </c>
      <c r="JMC3" s="1" t="str" cm="1">
        <f t="array" ref="JMC3">GetValue("Dmn","Name",JMC2)</f>
        <v/>
      </c>
      <c r="JMD3" s="1" t="str" cm="1">
        <f t="array" ref="JMD3">GetValue("Dmn","Name",JMD2)</f>
        <v/>
      </c>
      <c r="JME3" s="1" t="str" cm="1">
        <f t="array" ref="JME3">GetValue("Dmn","Name",JME2)</f>
        <v/>
      </c>
      <c r="JMF3" s="1" t="str" cm="1">
        <f t="array" ref="JMF3">GetValue("Dmn","Name",JMF2)</f>
        <v/>
      </c>
      <c r="JMG3" s="1" t="str" cm="1">
        <f t="array" ref="JMG3">GetValue("Dmn","Name",JMG2)</f>
        <v/>
      </c>
      <c r="JMH3" s="1" t="str" cm="1">
        <f t="array" ref="JMH3">GetValue("Dmn","Name",JMH2)</f>
        <v/>
      </c>
      <c r="JMI3" s="1" t="str" cm="1">
        <f t="array" ref="JMI3">GetValue("Dmn","Name",JMI2)</f>
        <v/>
      </c>
      <c r="JMJ3" s="1" t="str" cm="1">
        <f t="array" ref="JMJ3">GetValue("Dmn","Name",JMJ2)</f>
        <v/>
      </c>
      <c r="JMK3" s="1" t="str" cm="1">
        <f t="array" ref="JMK3">GetValue("Dmn","Name",JMK2)</f>
        <v/>
      </c>
      <c r="JML3" s="1" t="str" cm="1">
        <f t="array" ref="JML3">GetValue("Dmn","Name",JML2)</f>
        <v/>
      </c>
      <c r="JMM3" s="1" t="str" cm="1">
        <f t="array" ref="JMM3">GetValue("Dmn","Name",JMM2)</f>
        <v/>
      </c>
      <c r="JMN3" s="1" t="str" cm="1">
        <f t="array" ref="JMN3">GetValue("Dmn","Name",JMN2)</f>
        <v/>
      </c>
      <c r="JMO3" s="1" t="str" cm="1">
        <f t="array" ref="JMO3">GetValue("Dmn","Name",JMO2)</f>
        <v/>
      </c>
      <c r="JMP3" s="1" t="str" cm="1">
        <f t="array" ref="JMP3">GetValue("Dmn","Name",JMP2)</f>
        <v/>
      </c>
      <c r="JMQ3" s="1" t="str" cm="1">
        <f t="array" ref="JMQ3">GetValue("Dmn","Name",JMQ2)</f>
        <v/>
      </c>
      <c r="JMR3" s="1" t="str" cm="1">
        <f t="array" ref="JMR3">GetValue("Dmn","Name",JMR2)</f>
        <v/>
      </c>
      <c r="JMS3" s="1" t="str" cm="1">
        <f t="array" ref="JMS3">GetValue("Dmn","Name",JMS2)</f>
        <v/>
      </c>
      <c r="JMT3" s="1" t="str" cm="1">
        <f t="array" ref="JMT3">GetValue("Dmn","Name",JMT2)</f>
        <v/>
      </c>
      <c r="JMU3" s="1" t="str" cm="1">
        <f t="array" ref="JMU3">GetValue("Dmn","Name",JMU2)</f>
        <v/>
      </c>
      <c r="JMV3" s="1" t="str" cm="1">
        <f t="array" ref="JMV3">GetValue("Dmn","Name",JMV2)</f>
        <v/>
      </c>
      <c r="JMW3" s="1" t="str" cm="1">
        <f t="array" ref="JMW3">GetValue("Dmn","Name",JMW2)</f>
        <v/>
      </c>
      <c r="JMX3" s="1" t="str" cm="1">
        <f t="array" ref="JMX3">GetValue("Dmn","Name",JMX2)</f>
        <v/>
      </c>
      <c r="JMY3" s="1" t="str" cm="1">
        <f t="array" ref="JMY3">GetValue("Dmn","Name",JMY2)</f>
        <v/>
      </c>
      <c r="JMZ3" s="1" t="str" cm="1">
        <f t="array" ref="JMZ3">GetValue("Dmn","Name",JMZ2)</f>
        <v/>
      </c>
      <c r="JNA3" s="1" t="str" cm="1">
        <f t="array" ref="JNA3">GetValue("Dmn","Name",JNA2)</f>
        <v/>
      </c>
      <c r="JNB3" s="1" t="str" cm="1">
        <f t="array" ref="JNB3">GetValue("Dmn","Name",JNB2)</f>
        <v/>
      </c>
      <c r="JNC3" s="1" t="str" cm="1">
        <f t="array" ref="JNC3">GetValue("Dmn","Name",JNC2)</f>
        <v/>
      </c>
      <c r="JND3" s="1" t="str" cm="1">
        <f t="array" ref="JND3">GetValue("Dmn","Name",JND2)</f>
        <v/>
      </c>
      <c r="JNE3" s="1" t="str" cm="1">
        <f t="array" ref="JNE3">GetValue("Dmn","Name",JNE2)</f>
        <v/>
      </c>
      <c r="JNF3" s="1" t="str" cm="1">
        <f t="array" ref="JNF3">GetValue("Dmn","Name",JNF2)</f>
        <v/>
      </c>
      <c r="JNG3" s="1" t="str" cm="1">
        <f t="array" ref="JNG3">GetValue("Dmn","Name",JNG2)</f>
        <v/>
      </c>
      <c r="JNH3" s="1" t="str" cm="1">
        <f t="array" ref="JNH3">GetValue("Dmn","Name",JNH2)</f>
        <v/>
      </c>
      <c r="JNI3" s="1" t="str" cm="1">
        <f t="array" ref="JNI3">GetValue("Dmn","Name",JNI2)</f>
        <v/>
      </c>
      <c r="JNJ3" s="1" t="str" cm="1">
        <f t="array" ref="JNJ3">GetValue("Dmn","Name",JNJ2)</f>
        <v/>
      </c>
      <c r="JNK3" s="1" t="str" cm="1">
        <f t="array" ref="JNK3">GetValue("Dmn","Name",JNK2)</f>
        <v/>
      </c>
      <c r="JNL3" s="1" t="str" cm="1">
        <f t="array" ref="JNL3">GetValue("Dmn","Name",JNL2)</f>
        <v/>
      </c>
      <c r="JNM3" s="1" t="str" cm="1">
        <f t="array" ref="JNM3">GetValue("Dmn","Name",JNM2)</f>
        <v/>
      </c>
      <c r="JNN3" s="1" t="str" cm="1">
        <f t="array" ref="JNN3">GetValue("Dmn","Name",JNN2)</f>
        <v/>
      </c>
      <c r="JNO3" s="1" t="str" cm="1">
        <f t="array" ref="JNO3">GetValue("Dmn","Name",JNO2)</f>
        <v/>
      </c>
      <c r="JNP3" s="1" t="str" cm="1">
        <f t="array" ref="JNP3">GetValue("Dmn","Name",JNP2)</f>
        <v/>
      </c>
      <c r="JNQ3" s="1" t="str" cm="1">
        <f t="array" ref="JNQ3">GetValue("Dmn","Name",JNQ2)</f>
        <v/>
      </c>
      <c r="JNR3" s="1" t="str" cm="1">
        <f t="array" ref="JNR3">GetValue("Dmn","Name",JNR2)</f>
        <v/>
      </c>
      <c r="JNS3" s="1" t="str" cm="1">
        <f t="array" ref="JNS3">GetValue("Dmn","Name",JNS2)</f>
        <v/>
      </c>
      <c r="JNT3" s="1" t="str" cm="1">
        <f t="array" ref="JNT3">GetValue("Dmn","Name",JNT2)</f>
        <v/>
      </c>
      <c r="JNU3" s="1" t="str" cm="1">
        <f t="array" ref="JNU3">GetValue("Dmn","Name",JNU2)</f>
        <v/>
      </c>
      <c r="JNV3" s="1" t="str" cm="1">
        <f t="array" ref="JNV3">GetValue("Dmn","Name",JNV2)</f>
        <v/>
      </c>
      <c r="JNW3" s="1" t="str" cm="1">
        <f t="array" ref="JNW3">GetValue("Dmn","Name",JNW2)</f>
        <v/>
      </c>
      <c r="JNX3" s="1" t="str" cm="1">
        <f t="array" ref="JNX3">GetValue("Dmn","Name",JNX2)</f>
        <v/>
      </c>
      <c r="JNY3" s="1" t="str" cm="1">
        <f t="array" ref="JNY3">GetValue("Dmn","Name",JNY2)</f>
        <v/>
      </c>
      <c r="JNZ3" s="1" t="str" cm="1">
        <f t="array" ref="JNZ3">GetValue("Dmn","Name",JNZ2)</f>
        <v/>
      </c>
      <c r="JOA3" s="1" t="str" cm="1">
        <f t="array" ref="JOA3">GetValue("Dmn","Name",JOA2)</f>
        <v/>
      </c>
      <c r="JOB3" s="1" t="str" cm="1">
        <f t="array" ref="JOB3">GetValue("Dmn","Name",JOB2)</f>
        <v/>
      </c>
      <c r="JOC3" s="1" t="str" cm="1">
        <f t="array" ref="JOC3">GetValue("Dmn","Name",JOC2)</f>
        <v/>
      </c>
      <c r="JOD3" s="1" t="str" cm="1">
        <f t="array" ref="JOD3">GetValue("Dmn","Name",JOD2)</f>
        <v/>
      </c>
      <c r="JOE3" s="1" t="str" cm="1">
        <f t="array" ref="JOE3">GetValue("Dmn","Name",JOE2)</f>
        <v/>
      </c>
      <c r="JOF3" s="1" t="str" cm="1">
        <f t="array" ref="JOF3">GetValue("Dmn","Name",JOF2)</f>
        <v/>
      </c>
      <c r="JOG3" s="1" t="str" cm="1">
        <f t="array" ref="JOG3">GetValue("Dmn","Name",JOG2)</f>
        <v/>
      </c>
      <c r="JOH3" s="1" t="str" cm="1">
        <f t="array" ref="JOH3">GetValue("Dmn","Name",JOH2)</f>
        <v/>
      </c>
      <c r="JOI3" s="1" t="str" cm="1">
        <f t="array" ref="JOI3">GetValue("Dmn","Name",JOI2)</f>
        <v/>
      </c>
      <c r="JOJ3" s="1" t="str" cm="1">
        <f t="array" ref="JOJ3">GetValue("Dmn","Name",JOJ2)</f>
        <v/>
      </c>
      <c r="JOK3" s="1" t="str" cm="1">
        <f t="array" ref="JOK3">GetValue("Dmn","Name",JOK2)</f>
        <v/>
      </c>
      <c r="JOL3" s="1" t="str" cm="1">
        <f t="array" ref="JOL3">GetValue("Dmn","Name",JOL2)</f>
        <v/>
      </c>
      <c r="JOM3" s="1" t="str" cm="1">
        <f t="array" ref="JOM3">GetValue("Dmn","Name",JOM2)</f>
        <v/>
      </c>
      <c r="JON3" s="1" t="str" cm="1">
        <f t="array" ref="JON3">GetValue("Dmn","Name",JON2)</f>
        <v/>
      </c>
      <c r="JOO3" s="1" t="str" cm="1">
        <f t="array" ref="JOO3">GetValue("Dmn","Name",JOO2)</f>
        <v/>
      </c>
      <c r="JOP3" s="1" t="str" cm="1">
        <f t="array" ref="JOP3">GetValue("Dmn","Name",JOP2)</f>
        <v/>
      </c>
      <c r="JOQ3" s="1" t="str" cm="1">
        <f t="array" ref="JOQ3">GetValue("Dmn","Name",JOQ2)</f>
        <v/>
      </c>
      <c r="JOR3" s="1" t="str" cm="1">
        <f t="array" ref="JOR3">GetValue("Dmn","Name",JOR2)</f>
        <v/>
      </c>
      <c r="JOS3" s="1" t="str" cm="1">
        <f t="array" ref="JOS3">GetValue("Dmn","Name",JOS2)</f>
        <v/>
      </c>
      <c r="JOT3" s="1" t="str" cm="1">
        <f t="array" ref="JOT3">GetValue("Dmn","Name",JOT2)</f>
        <v/>
      </c>
      <c r="JOU3" s="1" t="str" cm="1">
        <f t="array" ref="JOU3">GetValue("Dmn","Name",JOU2)</f>
        <v/>
      </c>
      <c r="JOV3" s="1" t="str" cm="1">
        <f t="array" ref="JOV3">GetValue("Dmn","Name",JOV2)</f>
        <v/>
      </c>
      <c r="JOW3" s="1" t="str" cm="1">
        <f t="array" ref="JOW3">GetValue("Dmn","Name",JOW2)</f>
        <v/>
      </c>
      <c r="JOX3" s="1" t="str" cm="1">
        <f t="array" ref="JOX3">GetValue("Dmn","Name",JOX2)</f>
        <v/>
      </c>
      <c r="JOY3" s="1" t="str" cm="1">
        <f t="array" ref="JOY3">GetValue("Dmn","Name",JOY2)</f>
        <v/>
      </c>
      <c r="JOZ3" s="1" t="str" cm="1">
        <f t="array" ref="JOZ3">GetValue("Dmn","Name",JOZ2)</f>
        <v/>
      </c>
      <c r="JPA3" s="1" t="str" cm="1">
        <f t="array" ref="JPA3">GetValue("Dmn","Name",JPA2)</f>
        <v/>
      </c>
      <c r="JPB3" s="1" t="str" cm="1">
        <f t="array" ref="JPB3">GetValue("Dmn","Name",JPB2)</f>
        <v/>
      </c>
      <c r="JPC3" s="1" t="str" cm="1">
        <f t="array" ref="JPC3">GetValue("Dmn","Name",JPC2)</f>
        <v/>
      </c>
      <c r="JPD3" s="1" t="str" cm="1">
        <f t="array" ref="JPD3">GetValue("Dmn","Name",JPD2)</f>
        <v/>
      </c>
      <c r="JPE3" s="1" t="str" cm="1">
        <f t="array" ref="JPE3">GetValue("Dmn","Name",JPE2)</f>
        <v/>
      </c>
      <c r="JPF3" s="1" t="str" cm="1">
        <f t="array" ref="JPF3">GetValue("Dmn","Name",JPF2)</f>
        <v/>
      </c>
      <c r="JPG3" s="1" t="str" cm="1">
        <f t="array" ref="JPG3">GetValue("Dmn","Name",JPG2)</f>
        <v/>
      </c>
      <c r="JPH3" s="1" t="str" cm="1">
        <f t="array" ref="JPH3">GetValue("Dmn","Name",JPH2)</f>
        <v/>
      </c>
      <c r="JPI3" s="1" t="str" cm="1">
        <f t="array" ref="JPI3">GetValue("Dmn","Name",JPI2)</f>
        <v/>
      </c>
      <c r="JPJ3" s="1" t="str" cm="1">
        <f t="array" ref="JPJ3">GetValue("Dmn","Name",JPJ2)</f>
        <v/>
      </c>
      <c r="JPK3" s="1" t="str" cm="1">
        <f t="array" ref="JPK3">GetValue("Dmn","Name",JPK2)</f>
        <v/>
      </c>
      <c r="JPL3" s="1" t="str" cm="1">
        <f t="array" ref="JPL3">GetValue("Dmn","Name",JPL2)</f>
        <v/>
      </c>
      <c r="JPM3" s="1" t="str" cm="1">
        <f t="array" ref="JPM3">GetValue("Dmn","Name",JPM2)</f>
        <v/>
      </c>
      <c r="JPN3" s="1" t="str" cm="1">
        <f t="array" ref="JPN3">GetValue("Dmn","Name",JPN2)</f>
        <v/>
      </c>
      <c r="JPO3" s="1" t="str" cm="1">
        <f t="array" ref="JPO3">GetValue("Dmn","Name",JPO2)</f>
        <v/>
      </c>
      <c r="JPP3" s="1" t="str" cm="1">
        <f t="array" ref="JPP3">GetValue("Dmn","Name",JPP2)</f>
        <v/>
      </c>
      <c r="JPQ3" s="1" t="str" cm="1">
        <f t="array" ref="JPQ3">GetValue("Dmn","Name",JPQ2)</f>
        <v/>
      </c>
      <c r="JPR3" s="1" t="str" cm="1">
        <f t="array" ref="JPR3">GetValue("Dmn","Name",JPR2)</f>
        <v/>
      </c>
      <c r="JPS3" s="1" t="str" cm="1">
        <f t="array" ref="JPS3">GetValue("Dmn","Name",JPS2)</f>
        <v/>
      </c>
      <c r="JPT3" s="1" t="str" cm="1">
        <f t="array" ref="JPT3">GetValue("Dmn","Name",JPT2)</f>
        <v/>
      </c>
      <c r="JPU3" s="1" t="str" cm="1">
        <f t="array" ref="JPU3">GetValue("Dmn","Name",JPU2)</f>
        <v/>
      </c>
      <c r="JPV3" s="1" t="str" cm="1">
        <f t="array" ref="JPV3">GetValue("Dmn","Name",JPV2)</f>
        <v/>
      </c>
      <c r="JPW3" s="1" t="str" cm="1">
        <f t="array" ref="JPW3">GetValue("Dmn","Name",JPW2)</f>
        <v/>
      </c>
      <c r="JPX3" s="1" t="str" cm="1">
        <f t="array" ref="JPX3">GetValue("Dmn","Name",JPX2)</f>
        <v/>
      </c>
      <c r="JPY3" s="1" t="str" cm="1">
        <f t="array" ref="JPY3">GetValue("Dmn","Name",JPY2)</f>
        <v/>
      </c>
      <c r="JPZ3" s="1" t="str" cm="1">
        <f t="array" ref="JPZ3">GetValue("Dmn","Name",JPZ2)</f>
        <v/>
      </c>
      <c r="JQA3" s="1" t="str" cm="1">
        <f t="array" ref="JQA3">GetValue("Dmn","Name",JQA2)</f>
        <v/>
      </c>
      <c r="JQB3" s="1" t="str" cm="1">
        <f t="array" ref="JQB3">GetValue("Dmn","Name",JQB2)</f>
        <v/>
      </c>
      <c r="JQC3" s="1" t="str" cm="1">
        <f t="array" ref="JQC3">GetValue("Dmn","Name",JQC2)</f>
        <v/>
      </c>
      <c r="JQD3" s="1" t="str" cm="1">
        <f t="array" ref="JQD3">GetValue("Dmn","Name",JQD2)</f>
        <v/>
      </c>
      <c r="JQE3" s="1" t="str" cm="1">
        <f t="array" ref="JQE3">GetValue("Dmn","Name",JQE2)</f>
        <v/>
      </c>
      <c r="JQF3" s="1" t="str" cm="1">
        <f t="array" ref="JQF3">GetValue("Dmn","Name",JQF2)</f>
        <v/>
      </c>
      <c r="JQG3" s="1" t="str" cm="1">
        <f t="array" ref="JQG3">GetValue("Dmn","Name",JQG2)</f>
        <v/>
      </c>
      <c r="JQH3" s="1" t="str" cm="1">
        <f t="array" ref="JQH3">GetValue("Dmn","Name",JQH2)</f>
        <v/>
      </c>
      <c r="JQI3" s="1" t="str" cm="1">
        <f t="array" ref="JQI3">GetValue("Dmn","Name",JQI2)</f>
        <v/>
      </c>
      <c r="JQJ3" s="1" t="str" cm="1">
        <f t="array" ref="JQJ3">GetValue("Dmn","Name",JQJ2)</f>
        <v/>
      </c>
      <c r="JQK3" s="1" t="str" cm="1">
        <f t="array" ref="JQK3">GetValue("Dmn","Name",JQK2)</f>
        <v/>
      </c>
      <c r="JQL3" s="1" t="str" cm="1">
        <f t="array" ref="JQL3">GetValue("Dmn","Name",JQL2)</f>
        <v/>
      </c>
      <c r="JQM3" s="1" t="str" cm="1">
        <f t="array" ref="JQM3">GetValue("Dmn","Name",JQM2)</f>
        <v/>
      </c>
      <c r="JQN3" s="1" t="str" cm="1">
        <f t="array" ref="JQN3">GetValue("Dmn","Name",JQN2)</f>
        <v/>
      </c>
      <c r="JQO3" s="1" t="str" cm="1">
        <f t="array" ref="JQO3">GetValue("Dmn","Name",JQO2)</f>
        <v/>
      </c>
      <c r="JQP3" s="1" t="str" cm="1">
        <f t="array" ref="JQP3">GetValue("Dmn","Name",JQP2)</f>
        <v/>
      </c>
      <c r="JQQ3" s="1" t="str" cm="1">
        <f t="array" ref="JQQ3">GetValue("Dmn","Name",JQQ2)</f>
        <v/>
      </c>
      <c r="JQR3" s="1" t="str" cm="1">
        <f t="array" ref="JQR3">GetValue("Dmn","Name",JQR2)</f>
        <v/>
      </c>
      <c r="JQS3" s="1" t="str" cm="1">
        <f t="array" ref="JQS3">GetValue("Dmn","Name",JQS2)</f>
        <v/>
      </c>
      <c r="JQT3" s="1" t="str" cm="1">
        <f t="array" ref="JQT3">GetValue("Dmn","Name",JQT2)</f>
        <v/>
      </c>
      <c r="JQU3" s="1" t="str" cm="1">
        <f t="array" ref="JQU3">GetValue("Dmn","Name",JQU2)</f>
        <v/>
      </c>
      <c r="JQV3" s="1" t="str" cm="1">
        <f t="array" ref="JQV3">GetValue("Dmn","Name",JQV2)</f>
        <v/>
      </c>
      <c r="JQW3" s="1" t="str" cm="1">
        <f t="array" ref="JQW3">GetValue("Dmn","Name",JQW2)</f>
        <v/>
      </c>
      <c r="JQX3" s="1" t="str" cm="1">
        <f t="array" ref="JQX3">GetValue("Dmn","Name",JQX2)</f>
        <v/>
      </c>
      <c r="JQY3" s="1" t="str" cm="1">
        <f t="array" ref="JQY3">GetValue("Dmn","Name",JQY2)</f>
        <v/>
      </c>
      <c r="JQZ3" s="1" t="str" cm="1">
        <f t="array" ref="JQZ3">GetValue("Dmn","Name",JQZ2)</f>
        <v/>
      </c>
      <c r="JRA3" s="1" t="str" cm="1">
        <f t="array" ref="JRA3">GetValue("Dmn","Name",JRA2)</f>
        <v/>
      </c>
      <c r="JRB3" s="1" t="str" cm="1">
        <f t="array" ref="JRB3">GetValue("Dmn","Name",JRB2)</f>
        <v/>
      </c>
      <c r="JRC3" s="1" t="str" cm="1">
        <f t="array" ref="JRC3">GetValue("Dmn","Name",JRC2)</f>
        <v/>
      </c>
      <c r="JRD3" s="1" t="str" cm="1">
        <f t="array" ref="JRD3">GetValue("Dmn","Name",JRD2)</f>
        <v/>
      </c>
      <c r="JRE3" s="1" t="str" cm="1">
        <f t="array" ref="JRE3">GetValue("Dmn","Name",JRE2)</f>
        <v/>
      </c>
      <c r="JRF3" s="1" t="str" cm="1">
        <f t="array" ref="JRF3">GetValue("Dmn","Name",JRF2)</f>
        <v/>
      </c>
      <c r="JRG3" s="1" t="str" cm="1">
        <f t="array" ref="JRG3">GetValue("Dmn","Name",JRG2)</f>
        <v/>
      </c>
      <c r="JRH3" s="1" t="str" cm="1">
        <f t="array" ref="JRH3">GetValue("Dmn","Name",JRH2)</f>
        <v/>
      </c>
      <c r="JRI3" s="1" t="str" cm="1">
        <f t="array" ref="JRI3">GetValue("Dmn","Name",JRI2)</f>
        <v/>
      </c>
      <c r="JRJ3" s="1" t="str" cm="1">
        <f t="array" ref="JRJ3">GetValue("Dmn","Name",JRJ2)</f>
        <v/>
      </c>
      <c r="JRK3" s="1" t="str" cm="1">
        <f t="array" ref="JRK3">GetValue("Dmn","Name",JRK2)</f>
        <v/>
      </c>
      <c r="JRL3" s="1" t="str" cm="1">
        <f t="array" ref="JRL3">GetValue("Dmn","Name",JRL2)</f>
        <v/>
      </c>
      <c r="JRM3" s="1" t="str" cm="1">
        <f t="array" ref="JRM3">GetValue("Dmn","Name",JRM2)</f>
        <v/>
      </c>
      <c r="JRN3" s="1" t="str" cm="1">
        <f t="array" ref="JRN3">GetValue("Dmn","Name",JRN2)</f>
        <v/>
      </c>
      <c r="JRO3" s="1" t="str" cm="1">
        <f t="array" ref="JRO3">GetValue("Dmn","Name",JRO2)</f>
        <v/>
      </c>
      <c r="JRP3" s="1" t="str" cm="1">
        <f t="array" ref="JRP3">GetValue("Dmn","Name",JRP2)</f>
        <v/>
      </c>
      <c r="JRQ3" s="1" t="str" cm="1">
        <f t="array" ref="JRQ3">GetValue("Dmn","Name",JRQ2)</f>
        <v/>
      </c>
      <c r="JRR3" s="1" t="str" cm="1">
        <f t="array" ref="JRR3">GetValue("Dmn","Name",JRR2)</f>
        <v/>
      </c>
      <c r="JRS3" s="1" t="str" cm="1">
        <f t="array" ref="JRS3">GetValue("Dmn","Name",JRS2)</f>
        <v/>
      </c>
      <c r="JRT3" s="1" t="str" cm="1">
        <f t="array" ref="JRT3">GetValue("Dmn","Name",JRT2)</f>
        <v/>
      </c>
      <c r="JRU3" s="1" t="str" cm="1">
        <f t="array" ref="JRU3">GetValue("Dmn","Name",JRU2)</f>
        <v/>
      </c>
      <c r="JRV3" s="1" t="str" cm="1">
        <f t="array" ref="JRV3">GetValue("Dmn","Name",JRV2)</f>
        <v/>
      </c>
      <c r="JRW3" s="1" t="str" cm="1">
        <f t="array" ref="JRW3">GetValue("Dmn","Name",JRW2)</f>
        <v/>
      </c>
      <c r="JRX3" s="1" t="str" cm="1">
        <f t="array" ref="JRX3">GetValue("Dmn","Name",JRX2)</f>
        <v/>
      </c>
      <c r="JRY3" s="1" t="str" cm="1">
        <f t="array" ref="JRY3">GetValue("Dmn","Name",JRY2)</f>
        <v/>
      </c>
      <c r="JRZ3" s="1" t="str" cm="1">
        <f t="array" ref="JRZ3">GetValue("Dmn","Name",JRZ2)</f>
        <v/>
      </c>
      <c r="JSA3" s="1" t="str" cm="1">
        <f t="array" ref="JSA3">GetValue("Dmn","Name",JSA2)</f>
        <v/>
      </c>
      <c r="JSB3" s="1" t="str" cm="1">
        <f t="array" ref="JSB3">GetValue("Dmn","Name",JSB2)</f>
        <v/>
      </c>
      <c r="JSC3" s="1" t="str" cm="1">
        <f t="array" ref="JSC3">GetValue("Dmn","Name",JSC2)</f>
        <v/>
      </c>
      <c r="JSD3" s="1" t="str" cm="1">
        <f t="array" ref="JSD3">GetValue("Dmn","Name",JSD2)</f>
        <v/>
      </c>
      <c r="JSE3" s="1" t="str" cm="1">
        <f t="array" ref="JSE3">GetValue("Dmn","Name",JSE2)</f>
        <v/>
      </c>
      <c r="JSF3" s="1" t="str" cm="1">
        <f t="array" ref="JSF3">GetValue("Dmn","Name",JSF2)</f>
        <v/>
      </c>
      <c r="JSG3" s="1" t="str" cm="1">
        <f t="array" ref="JSG3">GetValue("Dmn","Name",JSG2)</f>
        <v/>
      </c>
      <c r="JSH3" s="1" t="str" cm="1">
        <f t="array" ref="JSH3">GetValue("Dmn","Name",JSH2)</f>
        <v/>
      </c>
      <c r="JSI3" s="1" t="str" cm="1">
        <f t="array" ref="JSI3">GetValue("Dmn","Name",JSI2)</f>
        <v/>
      </c>
      <c r="JSJ3" s="1" t="str" cm="1">
        <f t="array" ref="JSJ3">GetValue("Dmn","Name",JSJ2)</f>
        <v/>
      </c>
      <c r="JSK3" s="1" t="str" cm="1">
        <f t="array" ref="JSK3">GetValue("Dmn","Name",JSK2)</f>
        <v/>
      </c>
      <c r="JSL3" s="1" t="str" cm="1">
        <f t="array" ref="JSL3">GetValue("Dmn","Name",JSL2)</f>
        <v/>
      </c>
      <c r="JSM3" s="1" t="str" cm="1">
        <f t="array" ref="JSM3">GetValue("Dmn","Name",JSM2)</f>
        <v/>
      </c>
      <c r="JSN3" s="1" t="str" cm="1">
        <f t="array" ref="JSN3">GetValue("Dmn","Name",JSN2)</f>
        <v/>
      </c>
      <c r="JSO3" s="1" t="str" cm="1">
        <f t="array" ref="JSO3">GetValue("Dmn","Name",JSO2)</f>
        <v/>
      </c>
      <c r="JSP3" s="1" t="str" cm="1">
        <f t="array" ref="JSP3">GetValue("Dmn","Name",JSP2)</f>
        <v/>
      </c>
      <c r="JSQ3" s="1" t="str" cm="1">
        <f t="array" ref="JSQ3">GetValue("Dmn","Name",JSQ2)</f>
        <v/>
      </c>
      <c r="JSR3" s="1" t="str" cm="1">
        <f t="array" ref="JSR3">GetValue("Dmn","Name",JSR2)</f>
        <v/>
      </c>
      <c r="JSS3" s="1" t="str" cm="1">
        <f t="array" ref="JSS3">GetValue("Dmn","Name",JSS2)</f>
        <v/>
      </c>
      <c r="JST3" s="1" t="str" cm="1">
        <f t="array" ref="JST3">GetValue("Dmn","Name",JST2)</f>
        <v/>
      </c>
      <c r="JSU3" s="1" t="str" cm="1">
        <f t="array" ref="JSU3">GetValue("Dmn","Name",JSU2)</f>
        <v/>
      </c>
      <c r="JSV3" s="1" t="str" cm="1">
        <f t="array" ref="JSV3">GetValue("Dmn","Name",JSV2)</f>
        <v/>
      </c>
      <c r="JSW3" s="1" t="str" cm="1">
        <f t="array" ref="JSW3">GetValue("Dmn","Name",JSW2)</f>
        <v/>
      </c>
      <c r="JSX3" s="1" t="str" cm="1">
        <f t="array" ref="JSX3">GetValue("Dmn","Name",JSX2)</f>
        <v/>
      </c>
      <c r="JSY3" s="1" t="str" cm="1">
        <f t="array" ref="JSY3">GetValue("Dmn","Name",JSY2)</f>
        <v/>
      </c>
      <c r="JSZ3" s="1" t="str" cm="1">
        <f t="array" ref="JSZ3">GetValue("Dmn","Name",JSZ2)</f>
        <v/>
      </c>
      <c r="JTA3" s="1" t="str" cm="1">
        <f t="array" ref="JTA3">GetValue("Dmn","Name",JTA2)</f>
        <v/>
      </c>
      <c r="JTB3" s="1" t="str" cm="1">
        <f t="array" ref="JTB3">GetValue("Dmn","Name",JTB2)</f>
        <v/>
      </c>
      <c r="JTC3" s="1" t="str" cm="1">
        <f t="array" ref="JTC3">GetValue("Dmn","Name",JTC2)</f>
        <v/>
      </c>
      <c r="JTD3" s="1" t="str" cm="1">
        <f t="array" ref="JTD3">GetValue("Dmn","Name",JTD2)</f>
        <v/>
      </c>
      <c r="JTE3" s="1" t="str" cm="1">
        <f t="array" ref="JTE3">GetValue("Dmn","Name",JTE2)</f>
        <v/>
      </c>
      <c r="JTF3" s="1" t="str" cm="1">
        <f t="array" ref="JTF3">GetValue("Dmn","Name",JTF2)</f>
        <v/>
      </c>
      <c r="JTG3" s="1" t="str" cm="1">
        <f t="array" ref="JTG3">GetValue("Dmn","Name",JTG2)</f>
        <v/>
      </c>
      <c r="JTH3" s="1" t="str" cm="1">
        <f t="array" ref="JTH3">GetValue("Dmn","Name",JTH2)</f>
        <v/>
      </c>
      <c r="JTI3" s="1" t="str" cm="1">
        <f t="array" ref="JTI3">GetValue("Dmn","Name",JTI2)</f>
        <v/>
      </c>
      <c r="JTJ3" s="1" t="str" cm="1">
        <f t="array" ref="JTJ3">GetValue("Dmn","Name",JTJ2)</f>
        <v/>
      </c>
      <c r="JTK3" s="1" t="str" cm="1">
        <f t="array" ref="JTK3">GetValue("Dmn","Name",JTK2)</f>
        <v/>
      </c>
      <c r="JTL3" s="1" t="str" cm="1">
        <f t="array" ref="JTL3">GetValue("Dmn","Name",JTL2)</f>
        <v/>
      </c>
      <c r="JTM3" s="1" t="str" cm="1">
        <f t="array" ref="JTM3">GetValue("Dmn","Name",JTM2)</f>
        <v/>
      </c>
      <c r="JTN3" s="1" t="str" cm="1">
        <f t="array" ref="JTN3">GetValue("Dmn","Name",JTN2)</f>
        <v/>
      </c>
      <c r="JTO3" s="1" t="str" cm="1">
        <f t="array" ref="JTO3">GetValue("Dmn","Name",JTO2)</f>
        <v/>
      </c>
      <c r="JTP3" s="1" t="str" cm="1">
        <f t="array" ref="JTP3">GetValue("Dmn","Name",JTP2)</f>
        <v/>
      </c>
      <c r="JTQ3" s="1" t="str" cm="1">
        <f t="array" ref="JTQ3">GetValue("Dmn","Name",JTQ2)</f>
        <v/>
      </c>
      <c r="JTR3" s="1" t="str" cm="1">
        <f t="array" ref="JTR3">GetValue("Dmn","Name",JTR2)</f>
        <v/>
      </c>
      <c r="JTS3" s="1" t="str" cm="1">
        <f t="array" ref="JTS3">GetValue("Dmn","Name",JTS2)</f>
        <v/>
      </c>
      <c r="JTT3" s="1" t="str" cm="1">
        <f t="array" ref="JTT3">GetValue("Dmn","Name",JTT2)</f>
        <v/>
      </c>
      <c r="JTU3" s="1" t="str" cm="1">
        <f t="array" ref="JTU3">GetValue("Dmn","Name",JTU2)</f>
        <v/>
      </c>
      <c r="JTV3" s="1" t="str" cm="1">
        <f t="array" ref="JTV3">GetValue("Dmn","Name",JTV2)</f>
        <v/>
      </c>
      <c r="JTW3" s="1" t="str" cm="1">
        <f t="array" ref="JTW3">GetValue("Dmn","Name",JTW2)</f>
        <v/>
      </c>
      <c r="JTX3" s="1" t="str" cm="1">
        <f t="array" ref="JTX3">GetValue("Dmn","Name",JTX2)</f>
        <v/>
      </c>
      <c r="JTY3" s="1" t="str" cm="1">
        <f t="array" ref="JTY3">GetValue("Dmn","Name",JTY2)</f>
        <v/>
      </c>
      <c r="JTZ3" s="1" t="str" cm="1">
        <f t="array" ref="JTZ3">GetValue("Dmn","Name",JTZ2)</f>
        <v/>
      </c>
      <c r="JUA3" s="1" t="str" cm="1">
        <f t="array" ref="JUA3">GetValue("Dmn","Name",JUA2)</f>
        <v/>
      </c>
      <c r="JUB3" s="1" t="str" cm="1">
        <f t="array" ref="JUB3">GetValue("Dmn","Name",JUB2)</f>
        <v/>
      </c>
      <c r="JUC3" s="1" t="str" cm="1">
        <f t="array" ref="JUC3">GetValue("Dmn","Name",JUC2)</f>
        <v/>
      </c>
      <c r="JUD3" s="1" t="str" cm="1">
        <f t="array" ref="JUD3">GetValue("Dmn","Name",JUD2)</f>
        <v/>
      </c>
      <c r="JUE3" s="1" t="str" cm="1">
        <f t="array" ref="JUE3">GetValue("Dmn","Name",JUE2)</f>
        <v/>
      </c>
      <c r="JUF3" s="1" t="str" cm="1">
        <f t="array" ref="JUF3">GetValue("Dmn","Name",JUF2)</f>
        <v/>
      </c>
      <c r="JUG3" s="1" t="str" cm="1">
        <f t="array" ref="JUG3">GetValue("Dmn","Name",JUG2)</f>
        <v/>
      </c>
      <c r="JUH3" s="1" t="str" cm="1">
        <f t="array" ref="JUH3">GetValue("Dmn","Name",JUH2)</f>
        <v/>
      </c>
      <c r="JUI3" s="1" t="str" cm="1">
        <f t="array" ref="JUI3">GetValue("Dmn","Name",JUI2)</f>
        <v/>
      </c>
      <c r="JUJ3" s="1" t="str" cm="1">
        <f t="array" ref="JUJ3">GetValue("Dmn","Name",JUJ2)</f>
        <v/>
      </c>
      <c r="JUK3" s="1" t="str" cm="1">
        <f t="array" ref="JUK3">GetValue("Dmn","Name",JUK2)</f>
        <v/>
      </c>
      <c r="JUL3" s="1" t="str" cm="1">
        <f t="array" ref="JUL3">GetValue("Dmn","Name",JUL2)</f>
        <v/>
      </c>
      <c r="JUM3" s="1" t="str" cm="1">
        <f t="array" ref="JUM3">GetValue("Dmn","Name",JUM2)</f>
        <v/>
      </c>
      <c r="JUN3" s="1" t="str" cm="1">
        <f t="array" ref="JUN3">GetValue("Dmn","Name",JUN2)</f>
        <v/>
      </c>
      <c r="JUO3" s="1" t="str" cm="1">
        <f t="array" ref="JUO3">GetValue("Dmn","Name",JUO2)</f>
        <v/>
      </c>
      <c r="JUP3" s="1" t="str" cm="1">
        <f t="array" ref="JUP3">GetValue("Dmn","Name",JUP2)</f>
        <v/>
      </c>
      <c r="JUQ3" s="1" t="str" cm="1">
        <f t="array" ref="JUQ3">GetValue("Dmn","Name",JUQ2)</f>
        <v/>
      </c>
      <c r="JUR3" s="1" t="str" cm="1">
        <f t="array" ref="JUR3">GetValue("Dmn","Name",JUR2)</f>
        <v/>
      </c>
      <c r="JUS3" s="1" t="str" cm="1">
        <f t="array" ref="JUS3">GetValue("Dmn","Name",JUS2)</f>
        <v/>
      </c>
      <c r="JUT3" s="1" t="str" cm="1">
        <f t="array" ref="JUT3">GetValue("Dmn","Name",JUT2)</f>
        <v/>
      </c>
      <c r="JUU3" s="1" t="str" cm="1">
        <f t="array" ref="JUU3">GetValue("Dmn","Name",JUU2)</f>
        <v/>
      </c>
      <c r="JUV3" s="1" t="str" cm="1">
        <f t="array" ref="JUV3">GetValue("Dmn","Name",JUV2)</f>
        <v/>
      </c>
      <c r="JUW3" s="1" t="str" cm="1">
        <f t="array" ref="JUW3">GetValue("Dmn","Name",JUW2)</f>
        <v/>
      </c>
      <c r="JUX3" s="1" t="str" cm="1">
        <f t="array" ref="JUX3">GetValue("Dmn","Name",JUX2)</f>
        <v/>
      </c>
      <c r="JUY3" s="1" t="str" cm="1">
        <f t="array" ref="JUY3">GetValue("Dmn","Name",JUY2)</f>
        <v/>
      </c>
      <c r="JUZ3" s="1" t="str" cm="1">
        <f t="array" ref="JUZ3">GetValue("Dmn","Name",JUZ2)</f>
        <v/>
      </c>
      <c r="JVA3" s="1" t="str" cm="1">
        <f t="array" ref="JVA3">GetValue("Dmn","Name",JVA2)</f>
        <v/>
      </c>
      <c r="JVB3" s="1" t="str" cm="1">
        <f t="array" ref="JVB3">GetValue("Dmn","Name",JVB2)</f>
        <v/>
      </c>
      <c r="JVC3" s="1" t="str" cm="1">
        <f t="array" ref="JVC3">GetValue("Dmn","Name",JVC2)</f>
        <v/>
      </c>
      <c r="JVD3" s="1" t="str" cm="1">
        <f t="array" ref="JVD3">GetValue("Dmn","Name",JVD2)</f>
        <v/>
      </c>
      <c r="JVE3" s="1" t="str" cm="1">
        <f t="array" ref="JVE3">GetValue("Dmn","Name",JVE2)</f>
        <v/>
      </c>
      <c r="JVF3" s="1" t="str" cm="1">
        <f t="array" ref="JVF3">GetValue("Dmn","Name",JVF2)</f>
        <v/>
      </c>
      <c r="JVG3" s="1" t="str" cm="1">
        <f t="array" ref="JVG3">GetValue("Dmn","Name",JVG2)</f>
        <v/>
      </c>
      <c r="JVH3" s="1" t="str" cm="1">
        <f t="array" ref="JVH3">GetValue("Dmn","Name",JVH2)</f>
        <v/>
      </c>
      <c r="JVI3" s="1" t="str" cm="1">
        <f t="array" ref="JVI3">GetValue("Dmn","Name",JVI2)</f>
        <v/>
      </c>
      <c r="JVJ3" s="1" t="str" cm="1">
        <f t="array" ref="JVJ3">GetValue("Dmn","Name",JVJ2)</f>
        <v/>
      </c>
      <c r="JVK3" s="1" t="str" cm="1">
        <f t="array" ref="JVK3">GetValue("Dmn","Name",JVK2)</f>
        <v/>
      </c>
      <c r="JVL3" s="1" t="str" cm="1">
        <f t="array" ref="JVL3">GetValue("Dmn","Name",JVL2)</f>
        <v/>
      </c>
      <c r="JVM3" s="1" t="str" cm="1">
        <f t="array" ref="JVM3">GetValue("Dmn","Name",JVM2)</f>
        <v/>
      </c>
      <c r="JVN3" s="1" t="str" cm="1">
        <f t="array" ref="JVN3">GetValue("Dmn","Name",JVN2)</f>
        <v/>
      </c>
      <c r="JVO3" s="1" t="str" cm="1">
        <f t="array" ref="JVO3">GetValue("Dmn","Name",JVO2)</f>
        <v/>
      </c>
      <c r="JVP3" s="1" t="str" cm="1">
        <f t="array" ref="JVP3">GetValue("Dmn","Name",JVP2)</f>
        <v/>
      </c>
      <c r="JVQ3" s="1" t="str" cm="1">
        <f t="array" ref="JVQ3">GetValue("Dmn","Name",JVQ2)</f>
        <v/>
      </c>
      <c r="JVR3" s="1" t="str" cm="1">
        <f t="array" ref="JVR3">GetValue("Dmn","Name",JVR2)</f>
        <v/>
      </c>
      <c r="JVS3" s="1" t="str" cm="1">
        <f t="array" ref="JVS3">GetValue("Dmn","Name",JVS2)</f>
        <v/>
      </c>
      <c r="JVT3" s="1" t="str" cm="1">
        <f t="array" ref="JVT3">GetValue("Dmn","Name",JVT2)</f>
        <v/>
      </c>
      <c r="JVU3" s="1" t="str" cm="1">
        <f t="array" ref="JVU3">GetValue("Dmn","Name",JVU2)</f>
        <v/>
      </c>
      <c r="JVV3" s="1" t="str" cm="1">
        <f t="array" ref="JVV3">GetValue("Dmn","Name",JVV2)</f>
        <v/>
      </c>
      <c r="JVW3" s="1" t="str" cm="1">
        <f t="array" ref="JVW3">GetValue("Dmn","Name",JVW2)</f>
        <v/>
      </c>
      <c r="JVX3" s="1" t="str" cm="1">
        <f t="array" ref="JVX3">GetValue("Dmn","Name",JVX2)</f>
        <v/>
      </c>
      <c r="JVY3" s="1" t="str" cm="1">
        <f t="array" ref="JVY3">GetValue("Dmn","Name",JVY2)</f>
        <v/>
      </c>
      <c r="JVZ3" s="1" t="str" cm="1">
        <f t="array" ref="JVZ3">GetValue("Dmn","Name",JVZ2)</f>
        <v/>
      </c>
      <c r="JWA3" s="1" t="str" cm="1">
        <f t="array" ref="JWA3">GetValue("Dmn","Name",JWA2)</f>
        <v/>
      </c>
      <c r="JWB3" s="1" t="str" cm="1">
        <f t="array" ref="JWB3">GetValue("Dmn","Name",JWB2)</f>
        <v/>
      </c>
      <c r="JWC3" s="1" t="str" cm="1">
        <f t="array" ref="JWC3">GetValue("Dmn","Name",JWC2)</f>
        <v/>
      </c>
      <c r="JWD3" s="1" t="str" cm="1">
        <f t="array" ref="JWD3">GetValue("Dmn","Name",JWD2)</f>
        <v/>
      </c>
      <c r="JWE3" s="1" t="str" cm="1">
        <f t="array" ref="JWE3">GetValue("Dmn","Name",JWE2)</f>
        <v/>
      </c>
      <c r="JWF3" s="1" t="str" cm="1">
        <f t="array" ref="JWF3">GetValue("Dmn","Name",JWF2)</f>
        <v/>
      </c>
      <c r="JWG3" s="1" t="str" cm="1">
        <f t="array" ref="JWG3">GetValue("Dmn","Name",JWG2)</f>
        <v/>
      </c>
      <c r="JWH3" s="1" t="str" cm="1">
        <f t="array" ref="JWH3">GetValue("Dmn","Name",JWH2)</f>
        <v/>
      </c>
      <c r="JWI3" s="1" t="str" cm="1">
        <f t="array" ref="JWI3">GetValue("Dmn","Name",JWI2)</f>
        <v/>
      </c>
      <c r="JWJ3" s="1" t="str" cm="1">
        <f t="array" ref="JWJ3">GetValue("Dmn","Name",JWJ2)</f>
        <v/>
      </c>
      <c r="JWK3" s="1" t="str" cm="1">
        <f t="array" ref="JWK3">GetValue("Dmn","Name",JWK2)</f>
        <v/>
      </c>
      <c r="JWL3" s="1" t="str" cm="1">
        <f t="array" ref="JWL3">GetValue("Dmn","Name",JWL2)</f>
        <v/>
      </c>
      <c r="JWM3" s="1" t="str" cm="1">
        <f t="array" ref="JWM3">GetValue("Dmn","Name",JWM2)</f>
        <v/>
      </c>
      <c r="JWN3" s="1" t="str" cm="1">
        <f t="array" ref="JWN3">GetValue("Dmn","Name",JWN2)</f>
        <v/>
      </c>
      <c r="JWO3" s="1" t="str" cm="1">
        <f t="array" ref="JWO3">GetValue("Dmn","Name",JWO2)</f>
        <v/>
      </c>
      <c r="JWP3" s="1" t="str" cm="1">
        <f t="array" ref="JWP3">GetValue("Dmn","Name",JWP2)</f>
        <v/>
      </c>
      <c r="JWQ3" s="1" t="str" cm="1">
        <f t="array" ref="JWQ3">GetValue("Dmn","Name",JWQ2)</f>
        <v/>
      </c>
      <c r="JWR3" s="1" t="str" cm="1">
        <f t="array" ref="JWR3">GetValue("Dmn","Name",JWR2)</f>
        <v/>
      </c>
      <c r="JWS3" s="1" t="str" cm="1">
        <f t="array" ref="JWS3">GetValue("Dmn","Name",JWS2)</f>
        <v/>
      </c>
      <c r="JWT3" s="1" t="str" cm="1">
        <f t="array" ref="JWT3">GetValue("Dmn","Name",JWT2)</f>
        <v/>
      </c>
      <c r="JWU3" s="1" t="str" cm="1">
        <f t="array" ref="JWU3">GetValue("Dmn","Name",JWU2)</f>
        <v/>
      </c>
      <c r="JWV3" s="1" t="str" cm="1">
        <f t="array" ref="JWV3">GetValue("Dmn","Name",JWV2)</f>
        <v/>
      </c>
      <c r="JWW3" s="1" t="str" cm="1">
        <f t="array" ref="JWW3">GetValue("Dmn","Name",JWW2)</f>
        <v/>
      </c>
      <c r="JWX3" s="1" t="str" cm="1">
        <f t="array" ref="JWX3">GetValue("Dmn","Name",JWX2)</f>
        <v/>
      </c>
      <c r="JWY3" s="1" t="str" cm="1">
        <f t="array" ref="JWY3">GetValue("Dmn","Name",JWY2)</f>
        <v/>
      </c>
      <c r="JWZ3" s="1" t="str" cm="1">
        <f t="array" ref="JWZ3">GetValue("Dmn","Name",JWZ2)</f>
        <v/>
      </c>
      <c r="JXA3" s="1" t="str" cm="1">
        <f t="array" ref="JXA3">GetValue("Dmn","Name",JXA2)</f>
        <v/>
      </c>
      <c r="JXB3" s="1" t="str" cm="1">
        <f t="array" ref="JXB3">GetValue("Dmn","Name",JXB2)</f>
        <v/>
      </c>
      <c r="JXC3" s="1" t="str" cm="1">
        <f t="array" ref="JXC3">GetValue("Dmn","Name",JXC2)</f>
        <v/>
      </c>
      <c r="JXD3" s="1" t="str" cm="1">
        <f t="array" ref="JXD3">GetValue("Dmn","Name",JXD2)</f>
        <v/>
      </c>
      <c r="JXE3" s="1" t="str" cm="1">
        <f t="array" ref="JXE3">GetValue("Dmn","Name",JXE2)</f>
        <v/>
      </c>
      <c r="JXF3" s="1" t="str" cm="1">
        <f t="array" ref="JXF3">GetValue("Dmn","Name",JXF2)</f>
        <v/>
      </c>
      <c r="JXG3" s="1" t="str" cm="1">
        <f t="array" ref="JXG3">GetValue("Dmn","Name",JXG2)</f>
        <v/>
      </c>
      <c r="JXH3" s="1" t="str" cm="1">
        <f t="array" ref="JXH3">GetValue("Dmn","Name",JXH2)</f>
        <v/>
      </c>
      <c r="JXI3" s="1" t="str" cm="1">
        <f t="array" ref="JXI3">GetValue("Dmn","Name",JXI2)</f>
        <v/>
      </c>
      <c r="JXJ3" s="1" t="str" cm="1">
        <f t="array" ref="JXJ3">GetValue("Dmn","Name",JXJ2)</f>
        <v/>
      </c>
      <c r="JXK3" s="1" t="str" cm="1">
        <f t="array" ref="JXK3">GetValue("Dmn","Name",JXK2)</f>
        <v/>
      </c>
      <c r="JXL3" s="1" t="str" cm="1">
        <f t="array" ref="JXL3">GetValue("Dmn","Name",JXL2)</f>
        <v/>
      </c>
      <c r="JXM3" s="1" t="str" cm="1">
        <f t="array" ref="JXM3">GetValue("Dmn","Name",JXM2)</f>
        <v/>
      </c>
      <c r="JXN3" s="1" t="str" cm="1">
        <f t="array" ref="JXN3">GetValue("Dmn","Name",JXN2)</f>
        <v/>
      </c>
      <c r="JXO3" s="1" t="str" cm="1">
        <f t="array" ref="JXO3">GetValue("Dmn","Name",JXO2)</f>
        <v/>
      </c>
      <c r="JXP3" s="1" t="str" cm="1">
        <f t="array" ref="JXP3">GetValue("Dmn","Name",JXP2)</f>
        <v/>
      </c>
      <c r="JXQ3" s="1" t="str" cm="1">
        <f t="array" ref="JXQ3">GetValue("Dmn","Name",JXQ2)</f>
        <v/>
      </c>
      <c r="JXR3" s="1" t="str" cm="1">
        <f t="array" ref="JXR3">GetValue("Dmn","Name",JXR2)</f>
        <v/>
      </c>
      <c r="JXS3" s="1" t="str" cm="1">
        <f t="array" ref="JXS3">GetValue("Dmn","Name",JXS2)</f>
        <v/>
      </c>
      <c r="JXT3" s="1" t="str" cm="1">
        <f t="array" ref="JXT3">GetValue("Dmn","Name",JXT2)</f>
        <v/>
      </c>
      <c r="JXU3" s="1" t="str" cm="1">
        <f t="array" ref="JXU3">GetValue("Dmn","Name",JXU2)</f>
        <v/>
      </c>
      <c r="JXV3" s="1" t="str" cm="1">
        <f t="array" ref="JXV3">GetValue("Dmn","Name",JXV2)</f>
        <v/>
      </c>
      <c r="JXW3" s="1" t="str" cm="1">
        <f t="array" ref="JXW3">GetValue("Dmn","Name",JXW2)</f>
        <v/>
      </c>
      <c r="JXX3" s="1" t="str" cm="1">
        <f t="array" ref="JXX3">GetValue("Dmn","Name",JXX2)</f>
        <v/>
      </c>
      <c r="JXY3" s="1" t="str" cm="1">
        <f t="array" ref="JXY3">GetValue("Dmn","Name",JXY2)</f>
        <v/>
      </c>
      <c r="JXZ3" s="1" t="str" cm="1">
        <f t="array" ref="JXZ3">GetValue("Dmn","Name",JXZ2)</f>
        <v/>
      </c>
      <c r="JYA3" s="1" t="str" cm="1">
        <f t="array" ref="JYA3">GetValue("Dmn","Name",JYA2)</f>
        <v/>
      </c>
      <c r="JYB3" s="1" t="str" cm="1">
        <f t="array" ref="JYB3">GetValue("Dmn","Name",JYB2)</f>
        <v/>
      </c>
      <c r="JYC3" s="1" t="str" cm="1">
        <f t="array" ref="JYC3">GetValue("Dmn","Name",JYC2)</f>
        <v/>
      </c>
      <c r="JYD3" s="1" t="str" cm="1">
        <f t="array" ref="JYD3">GetValue("Dmn","Name",JYD2)</f>
        <v/>
      </c>
      <c r="JYE3" s="1" t="str" cm="1">
        <f t="array" ref="JYE3">GetValue("Dmn","Name",JYE2)</f>
        <v/>
      </c>
      <c r="JYF3" s="1" t="str" cm="1">
        <f t="array" ref="JYF3">GetValue("Dmn","Name",JYF2)</f>
        <v/>
      </c>
      <c r="JYG3" s="1" t="str" cm="1">
        <f t="array" ref="JYG3">GetValue("Dmn","Name",JYG2)</f>
        <v/>
      </c>
      <c r="JYH3" s="1" t="str" cm="1">
        <f t="array" ref="JYH3">GetValue("Dmn","Name",JYH2)</f>
        <v/>
      </c>
      <c r="JYI3" s="1" t="str" cm="1">
        <f t="array" ref="JYI3">GetValue("Dmn","Name",JYI2)</f>
        <v/>
      </c>
      <c r="JYJ3" s="1" t="str" cm="1">
        <f t="array" ref="JYJ3">GetValue("Dmn","Name",JYJ2)</f>
        <v/>
      </c>
      <c r="JYK3" s="1" t="str" cm="1">
        <f t="array" ref="JYK3">GetValue("Dmn","Name",JYK2)</f>
        <v/>
      </c>
      <c r="JYL3" s="1" t="str" cm="1">
        <f t="array" ref="JYL3">GetValue("Dmn","Name",JYL2)</f>
        <v/>
      </c>
      <c r="JYM3" s="1" t="str" cm="1">
        <f t="array" ref="JYM3">GetValue("Dmn","Name",JYM2)</f>
        <v/>
      </c>
      <c r="JYN3" s="1" t="str" cm="1">
        <f t="array" ref="JYN3">GetValue("Dmn","Name",JYN2)</f>
        <v/>
      </c>
      <c r="JYO3" s="1" t="str" cm="1">
        <f t="array" ref="JYO3">GetValue("Dmn","Name",JYO2)</f>
        <v/>
      </c>
      <c r="JYP3" s="1" t="str" cm="1">
        <f t="array" ref="JYP3">GetValue("Dmn","Name",JYP2)</f>
        <v/>
      </c>
      <c r="JYQ3" s="1" t="str" cm="1">
        <f t="array" ref="JYQ3">GetValue("Dmn","Name",JYQ2)</f>
        <v/>
      </c>
      <c r="JYR3" s="1" t="str" cm="1">
        <f t="array" ref="JYR3">GetValue("Dmn","Name",JYR2)</f>
        <v/>
      </c>
      <c r="JYS3" s="1" t="str" cm="1">
        <f t="array" ref="JYS3">GetValue("Dmn","Name",JYS2)</f>
        <v/>
      </c>
      <c r="JYT3" s="1" t="str" cm="1">
        <f t="array" ref="JYT3">GetValue("Dmn","Name",JYT2)</f>
        <v/>
      </c>
      <c r="JYU3" s="1" t="str" cm="1">
        <f t="array" ref="JYU3">GetValue("Dmn","Name",JYU2)</f>
        <v/>
      </c>
      <c r="JYV3" s="1" t="str" cm="1">
        <f t="array" ref="JYV3">GetValue("Dmn","Name",JYV2)</f>
        <v/>
      </c>
      <c r="JYW3" s="1" t="str" cm="1">
        <f t="array" ref="JYW3">GetValue("Dmn","Name",JYW2)</f>
        <v/>
      </c>
      <c r="JYX3" s="1" t="str" cm="1">
        <f t="array" ref="JYX3">GetValue("Dmn","Name",JYX2)</f>
        <v/>
      </c>
      <c r="JYY3" s="1" t="str" cm="1">
        <f t="array" ref="JYY3">GetValue("Dmn","Name",JYY2)</f>
        <v/>
      </c>
      <c r="JYZ3" s="1" t="str" cm="1">
        <f t="array" ref="JYZ3">GetValue("Dmn","Name",JYZ2)</f>
        <v/>
      </c>
      <c r="JZA3" s="1" t="str" cm="1">
        <f t="array" ref="JZA3">GetValue("Dmn","Name",JZA2)</f>
        <v/>
      </c>
      <c r="JZB3" s="1" t="str" cm="1">
        <f t="array" ref="JZB3">GetValue("Dmn","Name",JZB2)</f>
        <v/>
      </c>
      <c r="JZC3" s="1" t="str" cm="1">
        <f t="array" ref="JZC3">GetValue("Dmn","Name",JZC2)</f>
        <v/>
      </c>
      <c r="JZD3" s="1" t="str" cm="1">
        <f t="array" ref="JZD3">GetValue("Dmn","Name",JZD2)</f>
        <v/>
      </c>
      <c r="JZE3" s="1" t="str" cm="1">
        <f t="array" ref="JZE3">GetValue("Dmn","Name",JZE2)</f>
        <v/>
      </c>
      <c r="JZF3" s="1" t="str" cm="1">
        <f t="array" ref="JZF3">GetValue("Dmn","Name",JZF2)</f>
        <v/>
      </c>
      <c r="JZG3" s="1" t="str" cm="1">
        <f t="array" ref="JZG3">GetValue("Dmn","Name",JZG2)</f>
        <v/>
      </c>
      <c r="JZH3" s="1" t="str" cm="1">
        <f t="array" ref="JZH3">GetValue("Dmn","Name",JZH2)</f>
        <v/>
      </c>
      <c r="JZI3" s="1" t="str" cm="1">
        <f t="array" ref="JZI3">GetValue("Dmn","Name",JZI2)</f>
        <v/>
      </c>
      <c r="JZJ3" s="1" t="str" cm="1">
        <f t="array" ref="JZJ3">GetValue("Dmn","Name",JZJ2)</f>
        <v/>
      </c>
      <c r="JZK3" s="1" t="str" cm="1">
        <f t="array" ref="JZK3">GetValue("Dmn","Name",JZK2)</f>
        <v/>
      </c>
      <c r="JZL3" s="1" t="str" cm="1">
        <f t="array" ref="JZL3">GetValue("Dmn","Name",JZL2)</f>
        <v/>
      </c>
      <c r="JZM3" s="1" t="str" cm="1">
        <f t="array" ref="JZM3">GetValue("Dmn","Name",JZM2)</f>
        <v/>
      </c>
      <c r="JZN3" s="1" t="str" cm="1">
        <f t="array" ref="JZN3">GetValue("Dmn","Name",JZN2)</f>
        <v/>
      </c>
      <c r="JZO3" s="1" t="str" cm="1">
        <f t="array" ref="JZO3">GetValue("Dmn","Name",JZO2)</f>
        <v/>
      </c>
      <c r="JZP3" s="1" t="str" cm="1">
        <f t="array" ref="JZP3">GetValue("Dmn","Name",JZP2)</f>
        <v/>
      </c>
      <c r="JZQ3" s="1" t="str" cm="1">
        <f t="array" ref="JZQ3">GetValue("Dmn","Name",JZQ2)</f>
        <v/>
      </c>
      <c r="JZR3" s="1" t="str" cm="1">
        <f t="array" ref="JZR3">GetValue("Dmn","Name",JZR2)</f>
        <v/>
      </c>
      <c r="JZS3" s="1" t="str" cm="1">
        <f t="array" ref="JZS3">GetValue("Dmn","Name",JZS2)</f>
        <v/>
      </c>
      <c r="JZT3" s="1" t="str" cm="1">
        <f t="array" ref="JZT3">GetValue("Dmn","Name",JZT2)</f>
        <v/>
      </c>
      <c r="JZU3" s="1" t="str" cm="1">
        <f t="array" ref="JZU3">GetValue("Dmn","Name",JZU2)</f>
        <v/>
      </c>
      <c r="JZV3" s="1" t="str" cm="1">
        <f t="array" ref="JZV3">GetValue("Dmn","Name",JZV2)</f>
        <v/>
      </c>
      <c r="JZW3" s="1" t="str" cm="1">
        <f t="array" ref="JZW3">GetValue("Dmn","Name",JZW2)</f>
        <v/>
      </c>
      <c r="JZX3" s="1" t="str" cm="1">
        <f t="array" ref="JZX3">GetValue("Dmn","Name",JZX2)</f>
        <v/>
      </c>
      <c r="JZY3" s="1" t="str" cm="1">
        <f t="array" ref="JZY3">GetValue("Dmn","Name",JZY2)</f>
        <v/>
      </c>
      <c r="JZZ3" s="1" t="str" cm="1">
        <f t="array" ref="JZZ3">GetValue("Dmn","Name",JZZ2)</f>
        <v/>
      </c>
      <c r="KAA3" s="1" t="str" cm="1">
        <f t="array" ref="KAA3">GetValue("Dmn","Name",KAA2)</f>
        <v/>
      </c>
      <c r="KAB3" s="1" t="str" cm="1">
        <f t="array" ref="KAB3">GetValue("Dmn","Name",KAB2)</f>
        <v/>
      </c>
      <c r="KAC3" s="1" t="str" cm="1">
        <f t="array" ref="KAC3">GetValue("Dmn","Name",KAC2)</f>
        <v/>
      </c>
      <c r="KAD3" s="1" t="str" cm="1">
        <f t="array" ref="KAD3">GetValue("Dmn","Name",KAD2)</f>
        <v/>
      </c>
      <c r="KAE3" s="1" t="str" cm="1">
        <f t="array" ref="KAE3">GetValue("Dmn","Name",KAE2)</f>
        <v/>
      </c>
      <c r="KAF3" s="1" t="str" cm="1">
        <f t="array" ref="KAF3">GetValue("Dmn","Name",KAF2)</f>
        <v/>
      </c>
      <c r="KAG3" s="1" t="str" cm="1">
        <f t="array" ref="KAG3">GetValue("Dmn","Name",KAG2)</f>
        <v/>
      </c>
      <c r="KAH3" s="1" t="str" cm="1">
        <f t="array" ref="KAH3">GetValue("Dmn","Name",KAH2)</f>
        <v/>
      </c>
      <c r="KAI3" s="1" t="str" cm="1">
        <f t="array" ref="KAI3">GetValue("Dmn","Name",KAI2)</f>
        <v/>
      </c>
      <c r="KAJ3" s="1" t="str" cm="1">
        <f t="array" ref="KAJ3">GetValue("Dmn","Name",KAJ2)</f>
        <v/>
      </c>
      <c r="KAK3" s="1" t="str" cm="1">
        <f t="array" ref="KAK3">GetValue("Dmn","Name",KAK2)</f>
        <v/>
      </c>
      <c r="KAL3" s="1" t="str" cm="1">
        <f t="array" ref="KAL3">GetValue("Dmn","Name",KAL2)</f>
        <v/>
      </c>
      <c r="KAM3" s="1" t="str" cm="1">
        <f t="array" ref="KAM3">GetValue("Dmn","Name",KAM2)</f>
        <v/>
      </c>
      <c r="KAN3" s="1" t="str" cm="1">
        <f t="array" ref="KAN3">GetValue("Dmn","Name",KAN2)</f>
        <v/>
      </c>
      <c r="KAO3" s="1" t="str" cm="1">
        <f t="array" ref="KAO3">GetValue("Dmn","Name",KAO2)</f>
        <v/>
      </c>
      <c r="KAP3" s="1" t="str" cm="1">
        <f t="array" ref="KAP3">GetValue("Dmn","Name",KAP2)</f>
        <v/>
      </c>
      <c r="KAQ3" s="1" t="str" cm="1">
        <f t="array" ref="KAQ3">GetValue("Dmn","Name",KAQ2)</f>
        <v/>
      </c>
      <c r="KAR3" s="1" t="str" cm="1">
        <f t="array" ref="KAR3">GetValue("Dmn","Name",KAR2)</f>
        <v/>
      </c>
      <c r="KAS3" s="1" t="str" cm="1">
        <f t="array" ref="KAS3">GetValue("Dmn","Name",KAS2)</f>
        <v/>
      </c>
      <c r="KAT3" s="1" t="str" cm="1">
        <f t="array" ref="KAT3">GetValue("Dmn","Name",KAT2)</f>
        <v/>
      </c>
      <c r="KAU3" s="1" t="str" cm="1">
        <f t="array" ref="KAU3">GetValue("Dmn","Name",KAU2)</f>
        <v/>
      </c>
      <c r="KAV3" s="1" t="str" cm="1">
        <f t="array" ref="KAV3">GetValue("Dmn","Name",KAV2)</f>
        <v/>
      </c>
      <c r="KAW3" s="1" t="str" cm="1">
        <f t="array" ref="KAW3">GetValue("Dmn","Name",KAW2)</f>
        <v/>
      </c>
      <c r="KAX3" s="1" t="str" cm="1">
        <f t="array" ref="KAX3">GetValue("Dmn","Name",KAX2)</f>
        <v/>
      </c>
      <c r="KAY3" s="1" t="str" cm="1">
        <f t="array" ref="KAY3">GetValue("Dmn","Name",KAY2)</f>
        <v/>
      </c>
      <c r="KAZ3" s="1" t="str" cm="1">
        <f t="array" ref="KAZ3">GetValue("Dmn","Name",KAZ2)</f>
        <v/>
      </c>
      <c r="KBA3" s="1" t="str" cm="1">
        <f t="array" ref="KBA3">GetValue("Dmn","Name",KBA2)</f>
        <v/>
      </c>
      <c r="KBB3" s="1" t="str" cm="1">
        <f t="array" ref="KBB3">GetValue("Dmn","Name",KBB2)</f>
        <v/>
      </c>
      <c r="KBC3" s="1" t="str" cm="1">
        <f t="array" ref="KBC3">GetValue("Dmn","Name",KBC2)</f>
        <v/>
      </c>
      <c r="KBD3" s="1" t="str" cm="1">
        <f t="array" ref="KBD3">GetValue("Dmn","Name",KBD2)</f>
        <v/>
      </c>
      <c r="KBE3" s="1" t="str" cm="1">
        <f t="array" ref="KBE3">GetValue("Dmn","Name",KBE2)</f>
        <v/>
      </c>
      <c r="KBF3" s="1" t="str" cm="1">
        <f t="array" ref="KBF3">GetValue("Dmn","Name",KBF2)</f>
        <v/>
      </c>
      <c r="KBG3" s="1" t="str" cm="1">
        <f t="array" ref="KBG3">GetValue("Dmn","Name",KBG2)</f>
        <v/>
      </c>
      <c r="KBH3" s="1" t="str" cm="1">
        <f t="array" ref="KBH3">GetValue("Dmn","Name",KBH2)</f>
        <v/>
      </c>
      <c r="KBI3" s="1" t="str" cm="1">
        <f t="array" ref="KBI3">GetValue("Dmn","Name",KBI2)</f>
        <v/>
      </c>
      <c r="KBJ3" s="1" t="str" cm="1">
        <f t="array" ref="KBJ3">GetValue("Dmn","Name",KBJ2)</f>
        <v/>
      </c>
      <c r="KBK3" s="1" t="str" cm="1">
        <f t="array" ref="KBK3">GetValue("Dmn","Name",KBK2)</f>
        <v/>
      </c>
      <c r="KBL3" s="1" t="str" cm="1">
        <f t="array" ref="KBL3">GetValue("Dmn","Name",KBL2)</f>
        <v/>
      </c>
      <c r="KBM3" s="1" t="str" cm="1">
        <f t="array" ref="KBM3">GetValue("Dmn","Name",KBM2)</f>
        <v/>
      </c>
      <c r="KBN3" s="1" t="str" cm="1">
        <f t="array" ref="KBN3">GetValue("Dmn","Name",KBN2)</f>
        <v/>
      </c>
      <c r="KBO3" s="1" t="str" cm="1">
        <f t="array" ref="KBO3">GetValue("Dmn","Name",KBO2)</f>
        <v/>
      </c>
      <c r="KBP3" s="1" t="str" cm="1">
        <f t="array" ref="KBP3">GetValue("Dmn","Name",KBP2)</f>
        <v/>
      </c>
      <c r="KBQ3" s="1" t="str" cm="1">
        <f t="array" ref="KBQ3">GetValue("Dmn","Name",KBQ2)</f>
        <v/>
      </c>
      <c r="KBR3" s="1" t="str" cm="1">
        <f t="array" ref="KBR3">GetValue("Dmn","Name",KBR2)</f>
        <v/>
      </c>
      <c r="KBS3" s="1" t="str" cm="1">
        <f t="array" ref="KBS3">GetValue("Dmn","Name",KBS2)</f>
        <v/>
      </c>
      <c r="KBT3" s="1" t="str" cm="1">
        <f t="array" ref="KBT3">GetValue("Dmn","Name",KBT2)</f>
        <v/>
      </c>
      <c r="KBU3" s="1" t="str" cm="1">
        <f t="array" ref="KBU3">GetValue("Dmn","Name",KBU2)</f>
        <v/>
      </c>
      <c r="KBV3" s="1" t="str" cm="1">
        <f t="array" ref="KBV3">GetValue("Dmn","Name",KBV2)</f>
        <v/>
      </c>
      <c r="KBW3" s="1" t="str" cm="1">
        <f t="array" ref="KBW3">GetValue("Dmn","Name",KBW2)</f>
        <v/>
      </c>
      <c r="KBX3" s="1" t="str" cm="1">
        <f t="array" ref="KBX3">GetValue("Dmn","Name",KBX2)</f>
        <v/>
      </c>
      <c r="KBY3" s="1" t="str" cm="1">
        <f t="array" ref="KBY3">GetValue("Dmn","Name",KBY2)</f>
        <v/>
      </c>
      <c r="KBZ3" s="1" t="str" cm="1">
        <f t="array" ref="KBZ3">GetValue("Dmn","Name",KBZ2)</f>
        <v/>
      </c>
      <c r="KCA3" s="1" t="str" cm="1">
        <f t="array" ref="KCA3">GetValue("Dmn","Name",KCA2)</f>
        <v/>
      </c>
      <c r="KCB3" s="1" t="str" cm="1">
        <f t="array" ref="KCB3">GetValue("Dmn","Name",KCB2)</f>
        <v/>
      </c>
      <c r="KCC3" s="1" t="str" cm="1">
        <f t="array" ref="KCC3">GetValue("Dmn","Name",KCC2)</f>
        <v/>
      </c>
      <c r="KCD3" s="1" t="str" cm="1">
        <f t="array" ref="KCD3">GetValue("Dmn","Name",KCD2)</f>
        <v/>
      </c>
      <c r="KCE3" s="1" t="str" cm="1">
        <f t="array" ref="KCE3">GetValue("Dmn","Name",KCE2)</f>
        <v/>
      </c>
      <c r="KCF3" s="1" t="str" cm="1">
        <f t="array" ref="KCF3">GetValue("Dmn","Name",KCF2)</f>
        <v/>
      </c>
      <c r="KCG3" s="1" t="str" cm="1">
        <f t="array" ref="KCG3">GetValue("Dmn","Name",KCG2)</f>
        <v/>
      </c>
      <c r="KCH3" s="1" t="str" cm="1">
        <f t="array" ref="KCH3">GetValue("Dmn","Name",KCH2)</f>
        <v/>
      </c>
      <c r="KCI3" s="1" t="str" cm="1">
        <f t="array" ref="KCI3">GetValue("Dmn","Name",KCI2)</f>
        <v/>
      </c>
      <c r="KCJ3" s="1" t="str" cm="1">
        <f t="array" ref="KCJ3">GetValue("Dmn","Name",KCJ2)</f>
        <v/>
      </c>
      <c r="KCK3" s="1" t="str" cm="1">
        <f t="array" ref="KCK3">GetValue("Dmn","Name",KCK2)</f>
        <v/>
      </c>
      <c r="KCL3" s="1" t="str" cm="1">
        <f t="array" ref="KCL3">GetValue("Dmn","Name",KCL2)</f>
        <v/>
      </c>
      <c r="KCM3" s="1" t="str" cm="1">
        <f t="array" ref="KCM3">GetValue("Dmn","Name",KCM2)</f>
        <v/>
      </c>
      <c r="KCN3" s="1" t="str" cm="1">
        <f t="array" ref="KCN3">GetValue("Dmn","Name",KCN2)</f>
        <v/>
      </c>
      <c r="KCO3" s="1" t="str" cm="1">
        <f t="array" ref="KCO3">GetValue("Dmn","Name",KCO2)</f>
        <v/>
      </c>
      <c r="KCP3" s="1" t="str" cm="1">
        <f t="array" ref="KCP3">GetValue("Dmn","Name",KCP2)</f>
        <v/>
      </c>
      <c r="KCQ3" s="1" t="str" cm="1">
        <f t="array" ref="KCQ3">GetValue("Dmn","Name",KCQ2)</f>
        <v/>
      </c>
      <c r="KCR3" s="1" t="str" cm="1">
        <f t="array" ref="KCR3">GetValue("Dmn","Name",KCR2)</f>
        <v/>
      </c>
      <c r="KCS3" s="1" t="str" cm="1">
        <f t="array" ref="KCS3">GetValue("Dmn","Name",KCS2)</f>
        <v/>
      </c>
      <c r="KCT3" s="1" t="str" cm="1">
        <f t="array" ref="KCT3">GetValue("Dmn","Name",KCT2)</f>
        <v/>
      </c>
      <c r="KCU3" s="1" t="str" cm="1">
        <f t="array" ref="KCU3">GetValue("Dmn","Name",KCU2)</f>
        <v/>
      </c>
      <c r="KCV3" s="1" t="str" cm="1">
        <f t="array" ref="KCV3">GetValue("Dmn","Name",KCV2)</f>
        <v/>
      </c>
      <c r="KCW3" s="1" t="str" cm="1">
        <f t="array" ref="KCW3">GetValue("Dmn","Name",KCW2)</f>
        <v/>
      </c>
      <c r="KCX3" s="1" t="str" cm="1">
        <f t="array" ref="KCX3">GetValue("Dmn","Name",KCX2)</f>
        <v/>
      </c>
      <c r="KCY3" s="1" t="str" cm="1">
        <f t="array" ref="KCY3">GetValue("Dmn","Name",KCY2)</f>
        <v/>
      </c>
      <c r="KCZ3" s="1" t="str" cm="1">
        <f t="array" ref="KCZ3">GetValue("Dmn","Name",KCZ2)</f>
        <v/>
      </c>
      <c r="KDA3" s="1" t="str" cm="1">
        <f t="array" ref="KDA3">GetValue("Dmn","Name",KDA2)</f>
        <v/>
      </c>
      <c r="KDB3" s="1" t="str" cm="1">
        <f t="array" ref="KDB3">GetValue("Dmn","Name",KDB2)</f>
        <v/>
      </c>
      <c r="KDC3" s="1" t="str" cm="1">
        <f t="array" ref="KDC3">GetValue("Dmn","Name",KDC2)</f>
        <v/>
      </c>
      <c r="KDD3" s="1" t="str" cm="1">
        <f t="array" ref="KDD3">GetValue("Dmn","Name",KDD2)</f>
        <v/>
      </c>
      <c r="KDE3" s="1" t="str" cm="1">
        <f t="array" ref="KDE3">GetValue("Dmn","Name",KDE2)</f>
        <v/>
      </c>
      <c r="KDF3" s="1" t="str" cm="1">
        <f t="array" ref="KDF3">GetValue("Dmn","Name",KDF2)</f>
        <v/>
      </c>
      <c r="KDG3" s="1" t="str" cm="1">
        <f t="array" ref="KDG3">GetValue("Dmn","Name",KDG2)</f>
        <v/>
      </c>
      <c r="KDH3" s="1" t="str" cm="1">
        <f t="array" ref="KDH3">GetValue("Dmn","Name",KDH2)</f>
        <v/>
      </c>
      <c r="KDI3" s="1" t="str" cm="1">
        <f t="array" ref="KDI3">GetValue("Dmn","Name",KDI2)</f>
        <v/>
      </c>
      <c r="KDJ3" s="1" t="str" cm="1">
        <f t="array" ref="KDJ3">GetValue("Dmn","Name",KDJ2)</f>
        <v/>
      </c>
      <c r="KDK3" s="1" t="str" cm="1">
        <f t="array" ref="KDK3">GetValue("Dmn","Name",KDK2)</f>
        <v/>
      </c>
      <c r="KDL3" s="1" t="str" cm="1">
        <f t="array" ref="KDL3">GetValue("Dmn","Name",KDL2)</f>
        <v/>
      </c>
      <c r="KDM3" s="1" t="str" cm="1">
        <f t="array" ref="KDM3">GetValue("Dmn","Name",KDM2)</f>
        <v/>
      </c>
      <c r="KDN3" s="1" t="str" cm="1">
        <f t="array" ref="KDN3">GetValue("Dmn","Name",KDN2)</f>
        <v/>
      </c>
      <c r="KDO3" s="1" t="str" cm="1">
        <f t="array" ref="KDO3">GetValue("Dmn","Name",KDO2)</f>
        <v/>
      </c>
      <c r="KDP3" s="1" t="str" cm="1">
        <f t="array" ref="KDP3">GetValue("Dmn","Name",KDP2)</f>
        <v/>
      </c>
      <c r="KDQ3" s="1" t="str" cm="1">
        <f t="array" ref="KDQ3">GetValue("Dmn","Name",KDQ2)</f>
        <v/>
      </c>
      <c r="KDR3" s="1" t="str" cm="1">
        <f t="array" ref="KDR3">GetValue("Dmn","Name",KDR2)</f>
        <v/>
      </c>
      <c r="KDS3" s="1" t="str" cm="1">
        <f t="array" ref="KDS3">GetValue("Dmn","Name",KDS2)</f>
        <v/>
      </c>
      <c r="KDT3" s="1" t="str" cm="1">
        <f t="array" ref="KDT3">GetValue("Dmn","Name",KDT2)</f>
        <v/>
      </c>
      <c r="KDU3" s="1" t="str" cm="1">
        <f t="array" ref="KDU3">GetValue("Dmn","Name",KDU2)</f>
        <v/>
      </c>
      <c r="KDV3" s="1" t="str" cm="1">
        <f t="array" ref="KDV3">GetValue("Dmn","Name",KDV2)</f>
        <v/>
      </c>
      <c r="KDW3" s="1" t="str" cm="1">
        <f t="array" ref="KDW3">GetValue("Dmn","Name",KDW2)</f>
        <v/>
      </c>
      <c r="KDX3" s="1" t="str" cm="1">
        <f t="array" ref="KDX3">GetValue("Dmn","Name",KDX2)</f>
        <v/>
      </c>
      <c r="KDY3" s="1" t="str" cm="1">
        <f t="array" ref="KDY3">GetValue("Dmn","Name",KDY2)</f>
        <v/>
      </c>
      <c r="KDZ3" s="1" t="str" cm="1">
        <f t="array" ref="KDZ3">GetValue("Dmn","Name",KDZ2)</f>
        <v/>
      </c>
      <c r="KEA3" s="1" t="str" cm="1">
        <f t="array" ref="KEA3">GetValue("Dmn","Name",KEA2)</f>
        <v/>
      </c>
      <c r="KEB3" s="1" t="str" cm="1">
        <f t="array" ref="KEB3">GetValue("Dmn","Name",KEB2)</f>
        <v/>
      </c>
      <c r="KEC3" s="1" t="str" cm="1">
        <f t="array" ref="KEC3">GetValue("Dmn","Name",KEC2)</f>
        <v/>
      </c>
      <c r="KED3" s="1" t="str" cm="1">
        <f t="array" ref="KED3">GetValue("Dmn","Name",KED2)</f>
        <v/>
      </c>
      <c r="KEE3" s="1" t="str" cm="1">
        <f t="array" ref="KEE3">GetValue("Dmn","Name",KEE2)</f>
        <v/>
      </c>
      <c r="KEF3" s="1" t="str" cm="1">
        <f t="array" ref="KEF3">GetValue("Dmn","Name",KEF2)</f>
        <v/>
      </c>
      <c r="KEG3" s="1" t="str" cm="1">
        <f t="array" ref="KEG3">GetValue("Dmn","Name",KEG2)</f>
        <v/>
      </c>
      <c r="KEH3" s="1" t="str" cm="1">
        <f t="array" ref="KEH3">GetValue("Dmn","Name",KEH2)</f>
        <v/>
      </c>
      <c r="KEI3" s="1" t="str" cm="1">
        <f t="array" ref="KEI3">GetValue("Dmn","Name",KEI2)</f>
        <v/>
      </c>
      <c r="KEJ3" s="1" t="str" cm="1">
        <f t="array" ref="KEJ3">GetValue("Dmn","Name",KEJ2)</f>
        <v/>
      </c>
      <c r="KEK3" s="1" t="str" cm="1">
        <f t="array" ref="KEK3">GetValue("Dmn","Name",KEK2)</f>
        <v/>
      </c>
      <c r="KEL3" s="1" t="str" cm="1">
        <f t="array" ref="KEL3">GetValue("Dmn","Name",KEL2)</f>
        <v/>
      </c>
      <c r="KEM3" s="1" t="str" cm="1">
        <f t="array" ref="KEM3">GetValue("Dmn","Name",KEM2)</f>
        <v/>
      </c>
      <c r="KEN3" s="1" t="str" cm="1">
        <f t="array" ref="KEN3">GetValue("Dmn","Name",KEN2)</f>
        <v/>
      </c>
      <c r="KEO3" s="1" t="str" cm="1">
        <f t="array" ref="KEO3">GetValue("Dmn","Name",KEO2)</f>
        <v/>
      </c>
      <c r="KEP3" s="1" t="str" cm="1">
        <f t="array" ref="KEP3">GetValue("Dmn","Name",KEP2)</f>
        <v/>
      </c>
      <c r="KEQ3" s="1" t="str" cm="1">
        <f t="array" ref="KEQ3">GetValue("Dmn","Name",KEQ2)</f>
        <v/>
      </c>
      <c r="KER3" s="1" t="str" cm="1">
        <f t="array" ref="KER3">GetValue("Dmn","Name",KER2)</f>
        <v/>
      </c>
      <c r="KES3" s="1" t="str" cm="1">
        <f t="array" ref="KES3">GetValue("Dmn","Name",KES2)</f>
        <v/>
      </c>
      <c r="KET3" s="1" t="str" cm="1">
        <f t="array" ref="KET3">GetValue("Dmn","Name",KET2)</f>
        <v/>
      </c>
      <c r="KEU3" s="1" t="str" cm="1">
        <f t="array" ref="KEU3">GetValue("Dmn","Name",KEU2)</f>
        <v/>
      </c>
      <c r="KEV3" s="1" t="str" cm="1">
        <f t="array" ref="KEV3">GetValue("Dmn","Name",KEV2)</f>
        <v/>
      </c>
      <c r="KEW3" s="1" t="str" cm="1">
        <f t="array" ref="KEW3">GetValue("Dmn","Name",KEW2)</f>
        <v/>
      </c>
      <c r="KEX3" s="1" t="str" cm="1">
        <f t="array" ref="KEX3">GetValue("Dmn","Name",KEX2)</f>
        <v/>
      </c>
      <c r="KEY3" s="1" t="str" cm="1">
        <f t="array" ref="KEY3">GetValue("Dmn","Name",KEY2)</f>
        <v/>
      </c>
      <c r="KEZ3" s="1" t="str" cm="1">
        <f t="array" ref="KEZ3">GetValue("Dmn","Name",KEZ2)</f>
        <v/>
      </c>
      <c r="KFA3" s="1" t="str" cm="1">
        <f t="array" ref="KFA3">GetValue("Dmn","Name",KFA2)</f>
        <v/>
      </c>
      <c r="KFB3" s="1" t="str" cm="1">
        <f t="array" ref="KFB3">GetValue("Dmn","Name",KFB2)</f>
        <v/>
      </c>
      <c r="KFC3" s="1" t="str" cm="1">
        <f t="array" ref="KFC3">GetValue("Dmn","Name",KFC2)</f>
        <v/>
      </c>
      <c r="KFD3" s="1" t="str" cm="1">
        <f t="array" ref="KFD3">GetValue("Dmn","Name",KFD2)</f>
        <v/>
      </c>
      <c r="KFE3" s="1" t="str" cm="1">
        <f t="array" ref="KFE3">GetValue("Dmn","Name",KFE2)</f>
        <v/>
      </c>
      <c r="KFF3" s="1" t="str" cm="1">
        <f t="array" ref="KFF3">GetValue("Dmn","Name",KFF2)</f>
        <v/>
      </c>
      <c r="KFG3" s="1" t="str" cm="1">
        <f t="array" ref="KFG3">GetValue("Dmn","Name",KFG2)</f>
        <v/>
      </c>
      <c r="KFH3" s="1" t="str" cm="1">
        <f t="array" ref="KFH3">GetValue("Dmn","Name",KFH2)</f>
        <v/>
      </c>
      <c r="KFI3" s="1" t="str" cm="1">
        <f t="array" ref="KFI3">GetValue("Dmn","Name",KFI2)</f>
        <v/>
      </c>
      <c r="KFJ3" s="1" t="str" cm="1">
        <f t="array" ref="KFJ3">GetValue("Dmn","Name",KFJ2)</f>
        <v/>
      </c>
      <c r="KFK3" s="1" t="str" cm="1">
        <f t="array" ref="KFK3">GetValue("Dmn","Name",KFK2)</f>
        <v/>
      </c>
      <c r="KFL3" s="1" t="str" cm="1">
        <f t="array" ref="KFL3">GetValue("Dmn","Name",KFL2)</f>
        <v/>
      </c>
      <c r="KFM3" s="1" t="str" cm="1">
        <f t="array" ref="KFM3">GetValue("Dmn","Name",KFM2)</f>
        <v/>
      </c>
      <c r="KFN3" s="1" t="str" cm="1">
        <f t="array" ref="KFN3">GetValue("Dmn","Name",KFN2)</f>
        <v/>
      </c>
      <c r="KFO3" s="1" t="str" cm="1">
        <f t="array" ref="KFO3">GetValue("Dmn","Name",KFO2)</f>
        <v/>
      </c>
      <c r="KFP3" s="1" t="str" cm="1">
        <f t="array" ref="KFP3">GetValue("Dmn","Name",KFP2)</f>
        <v/>
      </c>
      <c r="KFQ3" s="1" t="str" cm="1">
        <f t="array" ref="KFQ3">GetValue("Dmn","Name",KFQ2)</f>
        <v/>
      </c>
      <c r="KFR3" s="1" t="str" cm="1">
        <f t="array" ref="KFR3">GetValue("Dmn","Name",KFR2)</f>
        <v/>
      </c>
      <c r="KFS3" s="1" t="str" cm="1">
        <f t="array" ref="KFS3">GetValue("Dmn","Name",KFS2)</f>
        <v/>
      </c>
      <c r="KFT3" s="1" t="str" cm="1">
        <f t="array" ref="KFT3">GetValue("Dmn","Name",KFT2)</f>
        <v/>
      </c>
      <c r="KFU3" s="1" t="str" cm="1">
        <f t="array" ref="KFU3">GetValue("Dmn","Name",KFU2)</f>
        <v/>
      </c>
      <c r="KFV3" s="1" t="str" cm="1">
        <f t="array" ref="KFV3">GetValue("Dmn","Name",KFV2)</f>
        <v/>
      </c>
      <c r="KFW3" s="1" t="str" cm="1">
        <f t="array" ref="KFW3">GetValue("Dmn","Name",KFW2)</f>
        <v/>
      </c>
      <c r="KFX3" s="1" t="str" cm="1">
        <f t="array" ref="KFX3">GetValue("Dmn","Name",KFX2)</f>
        <v/>
      </c>
      <c r="KFY3" s="1" t="str" cm="1">
        <f t="array" ref="KFY3">GetValue("Dmn","Name",KFY2)</f>
        <v/>
      </c>
      <c r="KFZ3" s="1" t="str" cm="1">
        <f t="array" ref="KFZ3">GetValue("Dmn","Name",KFZ2)</f>
        <v/>
      </c>
      <c r="KGA3" s="1" t="str" cm="1">
        <f t="array" ref="KGA3">GetValue("Dmn","Name",KGA2)</f>
        <v/>
      </c>
      <c r="KGB3" s="1" t="str" cm="1">
        <f t="array" ref="KGB3">GetValue("Dmn","Name",KGB2)</f>
        <v/>
      </c>
      <c r="KGC3" s="1" t="str" cm="1">
        <f t="array" ref="KGC3">GetValue("Dmn","Name",KGC2)</f>
        <v/>
      </c>
      <c r="KGD3" s="1" t="str" cm="1">
        <f t="array" ref="KGD3">GetValue("Dmn","Name",KGD2)</f>
        <v/>
      </c>
      <c r="KGE3" s="1" t="str" cm="1">
        <f t="array" ref="KGE3">GetValue("Dmn","Name",KGE2)</f>
        <v/>
      </c>
      <c r="KGF3" s="1" t="str" cm="1">
        <f t="array" ref="KGF3">GetValue("Dmn","Name",KGF2)</f>
        <v/>
      </c>
      <c r="KGG3" s="1" t="str" cm="1">
        <f t="array" ref="KGG3">GetValue("Dmn","Name",KGG2)</f>
        <v/>
      </c>
      <c r="KGH3" s="1" t="str" cm="1">
        <f t="array" ref="KGH3">GetValue("Dmn","Name",KGH2)</f>
        <v/>
      </c>
      <c r="KGI3" s="1" t="str" cm="1">
        <f t="array" ref="KGI3">GetValue("Dmn","Name",KGI2)</f>
        <v/>
      </c>
      <c r="KGJ3" s="1" t="str" cm="1">
        <f t="array" ref="KGJ3">GetValue("Dmn","Name",KGJ2)</f>
        <v/>
      </c>
      <c r="KGK3" s="1" t="str" cm="1">
        <f t="array" ref="KGK3">GetValue("Dmn","Name",KGK2)</f>
        <v/>
      </c>
      <c r="KGL3" s="1" t="str" cm="1">
        <f t="array" ref="KGL3">GetValue("Dmn","Name",KGL2)</f>
        <v/>
      </c>
      <c r="KGM3" s="1" t="str" cm="1">
        <f t="array" ref="KGM3">GetValue("Dmn","Name",KGM2)</f>
        <v/>
      </c>
      <c r="KGN3" s="1" t="str" cm="1">
        <f t="array" ref="KGN3">GetValue("Dmn","Name",KGN2)</f>
        <v/>
      </c>
      <c r="KGO3" s="1" t="str" cm="1">
        <f t="array" ref="KGO3">GetValue("Dmn","Name",KGO2)</f>
        <v/>
      </c>
      <c r="KGP3" s="1" t="str" cm="1">
        <f t="array" ref="KGP3">GetValue("Dmn","Name",KGP2)</f>
        <v/>
      </c>
      <c r="KGQ3" s="1" t="str" cm="1">
        <f t="array" ref="KGQ3">GetValue("Dmn","Name",KGQ2)</f>
        <v/>
      </c>
      <c r="KGR3" s="1" t="str" cm="1">
        <f t="array" ref="KGR3">GetValue("Dmn","Name",KGR2)</f>
        <v/>
      </c>
      <c r="KGS3" s="1" t="str" cm="1">
        <f t="array" ref="KGS3">GetValue("Dmn","Name",KGS2)</f>
        <v/>
      </c>
      <c r="KGT3" s="1" t="str" cm="1">
        <f t="array" ref="KGT3">GetValue("Dmn","Name",KGT2)</f>
        <v/>
      </c>
      <c r="KGU3" s="1" t="str" cm="1">
        <f t="array" ref="KGU3">GetValue("Dmn","Name",KGU2)</f>
        <v/>
      </c>
      <c r="KGV3" s="1" t="str" cm="1">
        <f t="array" ref="KGV3">GetValue("Dmn","Name",KGV2)</f>
        <v/>
      </c>
      <c r="KGW3" s="1" t="str" cm="1">
        <f t="array" ref="KGW3">GetValue("Dmn","Name",KGW2)</f>
        <v/>
      </c>
      <c r="KGX3" s="1" t="str" cm="1">
        <f t="array" ref="KGX3">GetValue("Dmn","Name",KGX2)</f>
        <v/>
      </c>
      <c r="KGY3" s="1" t="str" cm="1">
        <f t="array" ref="KGY3">GetValue("Dmn","Name",KGY2)</f>
        <v/>
      </c>
      <c r="KGZ3" s="1" t="str" cm="1">
        <f t="array" ref="KGZ3">GetValue("Dmn","Name",KGZ2)</f>
        <v/>
      </c>
      <c r="KHA3" s="1" t="str" cm="1">
        <f t="array" ref="KHA3">GetValue("Dmn","Name",KHA2)</f>
        <v/>
      </c>
      <c r="KHB3" s="1" t="str" cm="1">
        <f t="array" ref="KHB3">GetValue("Dmn","Name",KHB2)</f>
        <v/>
      </c>
      <c r="KHC3" s="1" t="str" cm="1">
        <f t="array" ref="KHC3">GetValue("Dmn","Name",KHC2)</f>
        <v/>
      </c>
      <c r="KHD3" s="1" t="str" cm="1">
        <f t="array" ref="KHD3">GetValue("Dmn","Name",KHD2)</f>
        <v/>
      </c>
      <c r="KHE3" s="1" t="str" cm="1">
        <f t="array" ref="KHE3">GetValue("Dmn","Name",KHE2)</f>
        <v/>
      </c>
      <c r="KHF3" s="1" t="str" cm="1">
        <f t="array" ref="KHF3">GetValue("Dmn","Name",KHF2)</f>
        <v/>
      </c>
      <c r="KHG3" s="1" t="str" cm="1">
        <f t="array" ref="KHG3">GetValue("Dmn","Name",KHG2)</f>
        <v/>
      </c>
      <c r="KHH3" s="1" t="str" cm="1">
        <f t="array" ref="KHH3">GetValue("Dmn","Name",KHH2)</f>
        <v/>
      </c>
      <c r="KHI3" s="1" t="str" cm="1">
        <f t="array" ref="KHI3">GetValue("Dmn","Name",KHI2)</f>
        <v/>
      </c>
      <c r="KHJ3" s="1" t="str" cm="1">
        <f t="array" ref="KHJ3">GetValue("Dmn","Name",KHJ2)</f>
        <v/>
      </c>
      <c r="KHK3" s="1" t="str" cm="1">
        <f t="array" ref="KHK3">GetValue("Dmn","Name",KHK2)</f>
        <v/>
      </c>
      <c r="KHL3" s="1" t="str" cm="1">
        <f t="array" ref="KHL3">GetValue("Dmn","Name",KHL2)</f>
        <v/>
      </c>
      <c r="KHM3" s="1" t="str" cm="1">
        <f t="array" ref="KHM3">GetValue("Dmn","Name",KHM2)</f>
        <v/>
      </c>
      <c r="KHN3" s="1" t="str" cm="1">
        <f t="array" ref="KHN3">GetValue("Dmn","Name",KHN2)</f>
        <v/>
      </c>
      <c r="KHO3" s="1" t="str" cm="1">
        <f t="array" ref="KHO3">GetValue("Dmn","Name",KHO2)</f>
        <v/>
      </c>
      <c r="KHP3" s="1" t="str" cm="1">
        <f t="array" ref="KHP3">GetValue("Dmn","Name",KHP2)</f>
        <v/>
      </c>
      <c r="KHQ3" s="1" t="str" cm="1">
        <f t="array" ref="KHQ3">GetValue("Dmn","Name",KHQ2)</f>
        <v/>
      </c>
      <c r="KHR3" s="1" t="str" cm="1">
        <f t="array" ref="KHR3">GetValue("Dmn","Name",KHR2)</f>
        <v/>
      </c>
      <c r="KHS3" s="1" t="str" cm="1">
        <f t="array" ref="KHS3">GetValue("Dmn","Name",KHS2)</f>
        <v/>
      </c>
      <c r="KHT3" s="1" t="str" cm="1">
        <f t="array" ref="KHT3">GetValue("Dmn","Name",KHT2)</f>
        <v/>
      </c>
      <c r="KHU3" s="1" t="str" cm="1">
        <f t="array" ref="KHU3">GetValue("Dmn","Name",KHU2)</f>
        <v/>
      </c>
      <c r="KHV3" s="1" t="str" cm="1">
        <f t="array" ref="KHV3">GetValue("Dmn","Name",KHV2)</f>
        <v/>
      </c>
      <c r="KHW3" s="1" t="str" cm="1">
        <f t="array" ref="KHW3">GetValue("Dmn","Name",KHW2)</f>
        <v/>
      </c>
      <c r="KHX3" s="1" t="str" cm="1">
        <f t="array" ref="KHX3">GetValue("Dmn","Name",KHX2)</f>
        <v/>
      </c>
      <c r="KHY3" s="1" t="str" cm="1">
        <f t="array" ref="KHY3">GetValue("Dmn","Name",KHY2)</f>
        <v/>
      </c>
      <c r="KHZ3" s="1" t="str" cm="1">
        <f t="array" ref="KHZ3">GetValue("Dmn","Name",KHZ2)</f>
        <v/>
      </c>
      <c r="KIA3" s="1" t="str" cm="1">
        <f t="array" ref="KIA3">GetValue("Dmn","Name",KIA2)</f>
        <v/>
      </c>
      <c r="KIB3" s="1" t="str" cm="1">
        <f t="array" ref="KIB3">GetValue("Dmn","Name",KIB2)</f>
        <v/>
      </c>
      <c r="KIC3" s="1" t="str" cm="1">
        <f t="array" ref="KIC3">GetValue("Dmn","Name",KIC2)</f>
        <v/>
      </c>
      <c r="KID3" s="1" t="str" cm="1">
        <f t="array" ref="KID3">GetValue("Dmn","Name",KID2)</f>
        <v/>
      </c>
      <c r="KIE3" s="1" t="str" cm="1">
        <f t="array" ref="KIE3">GetValue("Dmn","Name",KIE2)</f>
        <v/>
      </c>
      <c r="KIF3" s="1" t="str" cm="1">
        <f t="array" ref="KIF3">GetValue("Dmn","Name",KIF2)</f>
        <v/>
      </c>
      <c r="KIG3" s="1" t="str" cm="1">
        <f t="array" ref="KIG3">GetValue("Dmn","Name",KIG2)</f>
        <v/>
      </c>
      <c r="KIH3" s="1" t="str" cm="1">
        <f t="array" ref="KIH3">GetValue("Dmn","Name",KIH2)</f>
        <v/>
      </c>
      <c r="KII3" s="1" t="str" cm="1">
        <f t="array" ref="KII3">GetValue("Dmn","Name",KII2)</f>
        <v/>
      </c>
      <c r="KIJ3" s="1" t="str" cm="1">
        <f t="array" ref="KIJ3">GetValue("Dmn","Name",KIJ2)</f>
        <v/>
      </c>
      <c r="KIK3" s="1" t="str" cm="1">
        <f t="array" ref="KIK3">GetValue("Dmn","Name",KIK2)</f>
        <v/>
      </c>
      <c r="KIL3" s="1" t="str" cm="1">
        <f t="array" ref="KIL3">GetValue("Dmn","Name",KIL2)</f>
        <v/>
      </c>
      <c r="KIM3" s="1" t="str" cm="1">
        <f t="array" ref="KIM3">GetValue("Dmn","Name",KIM2)</f>
        <v/>
      </c>
      <c r="KIN3" s="1" t="str" cm="1">
        <f t="array" ref="KIN3">GetValue("Dmn","Name",KIN2)</f>
        <v/>
      </c>
      <c r="KIO3" s="1" t="str" cm="1">
        <f t="array" ref="KIO3">GetValue("Dmn","Name",KIO2)</f>
        <v/>
      </c>
      <c r="KIP3" s="1" t="str" cm="1">
        <f t="array" ref="KIP3">GetValue("Dmn","Name",KIP2)</f>
        <v/>
      </c>
      <c r="KIQ3" s="1" t="str" cm="1">
        <f t="array" ref="KIQ3">GetValue("Dmn","Name",KIQ2)</f>
        <v/>
      </c>
      <c r="KIR3" s="1" t="str" cm="1">
        <f t="array" ref="KIR3">GetValue("Dmn","Name",KIR2)</f>
        <v/>
      </c>
      <c r="KIS3" s="1" t="str" cm="1">
        <f t="array" ref="KIS3">GetValue("Dmn","Name",KIS2)</f>
        <v/>
      </c>
      <c r="KIT3" s="1" t="str" cm="1">
        <f t="array" ref="KIT3">GetValue("Dmn","Name",KIT2)</f>
        <v/>
      </c>
      <c r="KIU3" s="1" t="str" cm="1">
        <f t="array" ref="KIU3">GetValue("Dmn","Name",KIU2)</f>
        <v/>
      </c>
      <c r="KIV3" s="1" t="str" cm="1">
        <f t="array" ref="KIV3">GetValue("Dmn","Name",KIV2)</f>
        <v/>
      </c>
      <c r="KIW3" s="1" t="str" cm="1">
        <f t="array" ref="KIW3">GetValue("Dmn","Name",KIW2)</f>
        <v/>
      </c>
      <c r="KIX3" s="1" t="str" cm="1">
        <f t="array" ref="KIX3">GetValue("Dmn","Name",KIX2)</f>
        <v/>
      </c>
      <c r="KIY3" s="1" t="str" cm="1">
        <f t="array" ref="KIY3">GetValue("Dmn","Name",KIY2)</f>
        <v/>
      </c>
      <c r="KIZ3" s="1" t="str" cm="1">
        <f t="array" ref="KIZ3">GetValue("Dmn","Name",KIZ2)</f>
        <v/>
      </c>
      <c r="KJA3" s="1" t="str" cm="1">
        <f t="array" ref="KJA3">GetValue("Dmn","Name",KJA2)</f>
        <v/>
      </c>
      <c r="KJB3" s="1" t="str" cm="1">
        <f t="array" ref="KJB3">GetValue("Dmn","Name",KJB2)</f>
        <v/>
      </c>
      <c r="KJC3" s="1" t="str" cm="1">
        <f t="array" ref="KJC3">GetValue("Dmn","Name",KJC2)</f>
        <v/>
      </c>
      <c r="KJD3" s="1" t="str" cm="1">
        <f t="array" ref="KJD3">GetValue("Dmn","Name",KJD2)</f>
        <v/>
      </c>
      <c r="KJE3" s="1" t="str" cm="1">
        <f t="array" ref="KJE3">GetValue("Dmn","Name",KJE2)</f>
        <v/>
      </c>
      <c r="KJF3" s="1" t="str" cm="1">
        <f t="array" ref="KJF3">GetValue("Dmn","Name",KJF2)</f>
        <v/>
      </c>
      <c r="KJG3" s="1" t="str" cm="1">
        <f t="array" ref="KJG3">GetValue("Dmn","Name",KJG2)</f>
        <v/>
      </c>
      <c r="KJH3" s="1" t="str" cm="1">
        <f t="array" ref="KJH3">GetValue("Dmn","Name",KJH2)</f>
        <v/>
      </c>
      <c r="KJI3" s="1" t="str" cm="1">
        <f t="array" ref="KJI3">GetValue("Dmn","Name",KJI2)</f>
        <v/>
      </c>
      <c r="KJJ3" s="1" t="str" cm="1">
        <f t="array" ref="KJJ3">GetValue("Dmn","Name",KJJ2)</f>
        <v/>
      </c>
      <c r="KJK3" s="1" t="str" cm="1">
        <f t="array" ref="KJK3">GetValue("Dmn","Name",KJK2)</f>
        <v/>
      </c>
      <c r="KJL3" s="1" t="str" cm="1">
        <f t="array" ref="KJL3">GetValue("Dmn","Name",KJL2)</f>
        <v/>
      </c>
      <c r="KJM3" s="1" t="str" cm="1">
        <f t="array" ref="KJM3">GetValue("Dmn","Name",KJM2)</f>
        <v/>
      </c>
      <c r="KJN3" s="1" t="str" cm="1">
        <f t="array" ref="KJN3">GetValue("Dmn","Name",KJN2)</f>
        <v/>
      </c>
      <c r="KJO3" s="1" t="str" cm="1">
        <f t="array" ref="KJO3">GetValue("Dmn","Name",KJO2)</f>
        <v/>
      </c>
      <c r="KJP3" s="1" t="str" cm="1">
        <f t="array" ref="KJP3">GetValue("Dmn","Name",KJP2)</f>
        <v/>
      </c>
      <c r="KJQ3" s="1" t="str" cm="1">
        <f t="array" ref="KJQ3">GetValue("Dmn","Name",KJQ2)</f>
        <v/>
      </c>
      <c r="KJR3" s="1" t="str" cm="1">
        <f t="array" ref="KJR3">GetValue("Dmn","Name",KJR2)</f>
        <v/>
      </c>
      <c r="KJS3" s="1" t="str" cm="1">
        <f t="array" ref="KJS3">GetValue("Dmn","Name",KJS2)</f>
        <v/>
      </c>
      <c r="KJT3" s="1" t="str" cm="1">
        <f t="array" ref="KJT3">GetValue("Dmn","Name",KJT2)</f>
        <v/>
      </c>
      <c r="KJU3" s="1" t="str" cm="1">
        <f t="array" ref="KJU3">GetValue("Dmn","Name",KJU2)</f>
        <v/>
      </c>
      <c r="KJV3" s="1" t="str" cm="1">
        <f t="array" ref="KJV3">GetValue("Dmn","Name",KJV2)</f>
        <v/>
      </c>
      <c r="KJW3" s="1" t="str" cm="1">
        <f t="array" ref="KJW3">GetValue("Dmn","Name",KJW2)</f>
        <v/>
      </c>
      <c r="KJX3" s="1" t="str" cm="1">
        <f t="array" ref="KJX3">GetValue("Dmn","Name",KJX2)</f>
        <v/>
      </c>
      <c r="KJY3" s="1" t="str" cm="1">
        <f t="array" ref="KJY3">GetValue("Dmn","Name",KJY2)</f>
        <v/>
      </c>
      <c r="KJZ3" s="1" t="str" cm="1">
        <f t="array" ref="KJZ3">GetValue("Dmn","Name",KJZ2)</f>
        <v/>
      </c>
      <c r="KKA3" s="1" t="str" cm="1">
        <f t="array" ref="KKA3">GetValue("Dmn","Name",KKA2)</f>
        <v/>
      </c>
      <c r="KKB3" s="1" t="str" cm="1">
        <f t="array" ref="KKB3">GetValue("Dmn","Name",KKB2)</f>
        <v/>
      </c>
      <c r="KKC3" s="1" t="str" cm="1">
        <f t="array" ref="KKC3">GetValue("Dmn","Name",KKC2)</f>
        <v/>
      </c>
      <c r="KKD3" s="1" t="str" cm="1">
        <f t="array" ref="KKD3">GetValue("Dmn","Name",KKD2)</f>
        <v/>
      </c>
      <c r="KKE3" s="1" t="str" cm="1">
        <f t="array" ref="KKE3">GetValue("Dmn","Name",KKE2)</f>
        <v/>
      </c>
      <c r="KKF3" s="1" t="str" cm="1">
        <f t="array" ref="KKF3">GetValue("Dmn","Name",KKF2)</f>
        <v/>
      </c>
      <c r="KKG3" s="1" t="str" cm="1">
        <f t="array" ref="KKG3">GetValue("Dmn","Name",KKG2)</f>
        <v/>
      </c>
      <c r="KKH3" s="1" t="str" cm="1">
        <f t="array" ref="KKH3">GetValue("Dmn","Name",KKH2)</f>
        <v/>
      </c>
      <c r="KKI3" s="1" t="str" cm="1">
        <f t="array" ref="KKI3">GetValue("Dmn","Name",KKI2)</f>
        <v/>
      </c>
      <c r="KKJ3" s="1" t="str" cm="1">
        <f t="array" ref="KKJ3">GetValue("Dmn","Name",KKJ2)</f>
        <v/>
      </c>
      <c r="KKK3" s="1" t="str" cm="1">
        <f t="array" ref="KKK3">GetValue("Dmn","Name",KKK2)</f>
        <v/>
      </c>
      <c r="KKL3" s="1" t="str" cm="1">
        <f t="array" ref="KKL3">GetValue("Dmn","Name",KKL2)</f>
        <v/>
      </c>
      <c r="KKM3" s="1" t="str" cm="1">
        <f t="array" ref="KKM3">GetValue("Dmn","Name",KKM2)</f>
        <v/>
      </c>
      <c r="KKN3" s="1" t="str" cm="1">
        <f t="array" ref="KKN3">GetValue("Dmn","Name",KKN2)</f>
        <v/>
      </c>
      <c r="KKO3" s="1" t="str" cm="1">
        <f t="array" ref="KKO3">GetValue("Dmn","Name",KKO2)</f>
        <v/>
      </c>
      <c r="KKP3" s="1" t="str" cm="1">
        <f t="array" ref="KKP3">GetValue("Dmn","Name",KKP2)</f>
        <v/>
      </c>
      <c r="KKQ3" s="1" t="str" cm="1">
        <f t="array" ref="KKQ3">GetValue("Dmn","Name",KKQ2)</f>
        <v/>
      </c>
      <c r="KKR3" s="1" t="str" cm="1">
        <f t="array" ref="KKR3">GetValue("Dmn","Name",KKR2)</f>
        <v/>
      </c>
      <c r="KKS3" s="1" t="str" cm="1">
        <f t="array" ref="KKS3">GetValue("Dmn","Name",KKS2)</f>
        <v/>
      </c>
      <c r="KKT3" s="1" t="str" cm="1">
        <f t="array" ref="KKT3">GetValue("Dmn","Name",KKT2)</f>
        <v/>
      </c>
      <c r="KKU3" s="1" t="str" cm="1">
        <f t="array" ref="KKU3">GetValue("Dmn","Name",KKU2)</f>
        <v/>
      </c>
      <c r="KKV3" s="1" t="str" cm="1">
        <f t="array" ref="KKV3">GetValue("Dmn","Name",KKV2)</f>
        <v/>
      </c>
      <c r="KKW3" s="1" t="str" cm="1">
        <f t="array" ref="KKW3">GetValue("Dmn","Name",KKW2)</f>
        <v/>
      </c>
      <c r="KKX3" s="1" t="str" cm="1">
        <f t="array" ref="KKX3">GetValue("Dmn","Name",KKX2)</f>
        <v/>
      </c>
      <c r="KKY3" s="1" t="str" cm="1">
        <f t="array" ref="KKY3">GetValue("Dmn","Name",KKY2)</f>
        <v/>
      </c>
      <c r="KKZ3" s="1" t="str" cm="1">
        <f t="array" ref="KKZ3">GetValue("Dmn","Name",KKZ2)</f>
        <v/>
      </c>
      <c r="KLA3" s="1" t="str" cm="1">
        <f t="array" ref="KLA3">GetValue("Dmn","Name",KLA2)</f>
        <v/>
      </c>
      <c r="KLB3" s="1" t="str" cm="1">
        <f t="array" ref="KLB3">GetValue("Dmn","Name",KLB2)</f>
        <v/>
      </c>
      <c r="KLC3" s="1" t="str" cm="1">
        <f t="array" ref="KLC3">GetValue("Dmn","Name",KLC2)</f>
        <v/>
      </c>
      <c r="KLD3" s="1" t="str" cm="1">
        <f t="array" ref="KLD3">GetValue("Dmn","Name",KLD2)</f>
        <v/>
      </c>
      <c r="KLE3" s="1" t="str" cm="1">
        <f t="array" ref="KLE3">GetValue("Dmn","Name",KLE2)</f>
        <v/>
      </c>
      <c r="KLF3" s="1" t="str" cm="1">
        <f t="array" ref="KLF3">GetValue("Dmn","Name",KLF2)</f>
        <v/>
      </c>
      <c r="KLG3" s="1" t="str" cm="1">
        <f t="array" ref="KLG3">GetValue("Dmn","Name",KLG2)</f>
        <v/>
      </c>
      <c r="KLH3" s="1" t="str" cm="1">
        <f t="array" ref="KLH3">GetValue("Dmn","Name",KLH2)</f>
        <v/>
      </c>
      <c r="KLI3" s="1" t="str" cm="1">
        <f t="array" ref="KLI3">GetValue("Dmn","Name",KLI2)</f>
        <v/>
      </c>
      <c r="KLJ3" s="1" t="str" cm="1">
        <f t="array" ref="KLJ3">GetValue("Dmn","Name",KLJ2)</f>
        <v/>
      </c>
      <c r="KLK3" s="1" t="str" cm="1">
        <f t="array" ref="KLK3">GetValue("Dmn","Name",KLK2)</f>
        <v/>
      </c>
      <c r="KLL3" s="1" t="str" cm="1">
        <f t="array" ref="KLL3">GetValue("Dmn","Name",KLL2)</f>
        <v/>
      </c>
      <c r="KLM3" s="1" t="str" cm="1">
        <f t="array" ref="KLM3">GetValue("Dmn","Name",KLM2)</f>
        <v/>
      </c>
      <c r="KLN3" s="1" t="str" cm="1">
        <f t="array" ref="KLN3">GetValue("Dmn","Name",KLN2)</f>
        <v/>
      </c>
      <c r="KLO3" s="1" t="str" cm="1">
        <f t="array" ref="KLO3">GetValue("Dmn","Name",KLO2)</f>
        <v/>
      </c>
      <c r="KLP3" s="1" t="str" cm="1">
        <f t="array" ref="KLP3">GetValue("Dmn","Name",KLP2)</f>
        <v/>
      </c>
      <c r="KLQ3" s="1" t="str" cm="1">
        <f t="array" ref="KLQ3">GetValue("Dmn","Name",KLQ2)</f>
        <v/>
      </c>
      <c r="KLR3" s="1" t="str" cm="1">
        <f t="array" ref="KLR3">GetValue("Dmn","Name",KLR2)</f>
        <v/>
      </c>
      <c r="KLS3" s="1" t="str" cm="1">
        <f t="array" ref="KLS3">GetValue("Dmn","Name",KLS2)</f>
        <v/>
      </c>
      <c r="KLT3" s="1" t="str" cm="1">
        <f t="array" ref="KLT3">GetValue("Dmn","Name",KLT2)</f>
        <v/>
      </c>
      <c r="KLU3" s="1" t="str" cm="1">
        <f t="array" ref="KLU3">GetValue("Dmn","Name",KLU2)</f>
        <v/>
      </c>
      <c r="KLV3" s="1" t="str" cm="1">
        <f t="array" ref="KLV3">GetValue("Dmn","Name",KLV2)</f>
        <v/>
      </c>
      <c r="KLW3" s="1" t="str" cm="1">
        <f t="array" ref="KLW3">GetValue("Dmn","Name",KLW2)</f>
        <v/>
      </c>
      <c r="KLX3" s="1" t="str" cm="1">
        <f t="array" ref="KLX3">GetValue("Dmn","Name",KLX2)</f>
        <v/>
      </c>
      <c r="KLY3" s="1" t="str" cm="1">
        <f t="array" ref="KLY3">GetValue("Dmn","Name",KLY2)</f>
        <v/>
      </c>
      <c r="KLZ3" s="1" t="str" cm="1">
        <f t="array" ref="KLZ3">GetValue("Dmn","Name",KLZ2)</f>
        <v/>
      </c>
      <c r="KMA3" s="1" t="str" cm="1">
        <f t="array" ref="KMA3">GetValue("Dmn","Name",KMA2)</f>
        <v/>
      </c>
      <c r="KMB3" s="1" t="str" cm="1">
        <f t="array" ref="KMB3">GetValue("Dmn","Name",KMB2)</f>
        <v/>
      </c>
      <c r="KMC3" s="1" t="str" cm="1">
        <f t="array" ref="KMC3">GetValue("Dmn","Name",KMC2)</f>
        <v/>
      </c>
      <c r="KMD3" s="1" t="str" cm="1">
        <f t="array" ref="KMD3">GetValue("Dmn","Name",KMD2)</f>
        <v/>
      </c>
      <c r="KME3" s="1" t="str" cm="1">
        <f t="array" ref="KME3">GetValue("Dmn","Name",KME2)</f>
        <v/>
      </c>
      <c r="KMF3" s="1" t="str" cm="1">
        <f t="array" ref="KMF3">GetValue("Dmn","Name",KMF2)</f>
        <v/>
      </c>
      <c r="KMG3" s="1" t="str" cm="1">
        <f t="array" ref="KMG3">GetValue("Dmn","Name",KMG2)</f>
        <v/>
      </c>
      <c r="KMH3" s="1" t="str" cm="1">
        <f t="array" ref="KMH3">GetValue("Dmn","Name",KMH2)</f>
        <v/>
      </c>
      <c r="KMI3" s="1" t="str" cm="1">
        <f t="array" ref="KMI3">GetValue("Dmn","Name",KMI2)</f>
        <v/>
      </c>
      <c r="KMJ3" s="1" t="str" cm="1">
        <f t="array" ref="KMJ3">GetValue("Dmn","Name",KMJ2)</f>
        <v/>
      </c>
      <c r="KMK3" s="1" t="str" cm="1">
        <f t="array" ref="KMK3">GetValue("Dmn","Name",KMK2)</f>
        <v/>
      </c>
      <c r="KML3" s="1" t="str" cm="1">
        <f t="array" ref="KML3">GetValue("Dmn","Name",KML2)</f>
        <v/>
      </c>
      <c r="KMM3" s="1" t="str" cm="1">
        <f t="array" ref="KMM3">GetValue("Dmn","Name",KMM2)</f>
        <v/>
      </c>
      <c r="KMN3" s="1" t="str" cm="1">
        <f t="array" ref="KMN3">GetValue("Dmn","Name",KMN2)</f>
        <v/>
      </c>
      <c r="KMO3" s="1" t="str" cm="1">
        <f t="array" ref="KMO3">GetValue("Dmn","Name",KMO2)</f>
        <v/>
      </c>
      <c r="KMP3" s="1" t="str" cm="1">
        <f t="array" ref="KMP3">GetValue("Dmn","Name",KMP2)</f>
        <v/>
      </c>
      <c r="KMQ3" s="1" t="str" cm="1">
        <f t="array" ref="KMQ3">GetValue("Dmn","Name",KMQ2)</f>
        <v/>
      </c>
      <c r="KMR3" s="1" t="str" cm="1">
        <f t="array" ref="KMR3">GetValue("Dmn","Name",KMR2)</f>
        <v/>
      </c>
      <c r="KMS3" s="1" t="str" cm="1">
        <f t="array" ref="KMS3">GetValue("Dmn","Name",KMS2)</f>
        <v/>
      </c>
      <c r="KMT3" s="1" t="str" cm="1">
        <f t="array" ref="KMT3">GetValue("Dmn","Name",KMT2)</f>
        <v/>
      </c>
      <c r="KMU3" s="1" t="str" cm="1">
        <f t="array" ref="KMU3">GetValue("Dmn","Name",KMU2)</f>
        <v/>
      </c>
      <c r="KMV3" s="1" t="str" cm="1">
        <f t="array" ref="KMV3">GetValue("Dmn","Name",KMV2)</f>
        <v/>
      </c>
      <c r="KMW3" s="1" t="str" cm="1">
        <f t="array" ref="KMW3">GetValue("Dmn","Name",KMW2)</f>
        <v/>
      </c>
      <c r="KMX3" s="1" t="str" cm="1">
        <f t="array" ref="KMX3">GetValue("Dmn","Name",KMX2)</f>
        <v/>
      </c>
      <c r="KMY3" s="1" t="str" cm="1">
        <f t="array" ref="KMY3">GetValue("Dmn","Name",KMY2)</f>
        <v/>
      </c>
      <c r="KMZ3" s="1" t="str" cm="1">
        <f t="array" ref="KMZ3">GetValue("Dmn","Name",KMZ2)</f>
        <v/>
      </c>
      <c r="KNA3" s="1" t="str" cm="1">
        <f t="array" ref="KNA3">GetValue("Dmn","Name",KNA2)</f>
        <v/>
      </c>
      <c r="KNB3" s="1" t="str" cm="1">
        <f t="array" ref="KNB3">GetValue("Dmn","Name",KNB2)</f>
        <v/>
      </c>
      <c r="KNC3" s="1" t="str" cm="1">
        <f t="array" ref="KNC3">GetValue("Dmn","Name",KNC2)</f>
        <v/>
      </c>
      <c r="KND3" s="1" t="str" cm="1">
        <f t="array" ref="KND3">GetValue("Dmn","Name",KND2)</f>
        <v/>
      </c>
      <c r="KNE3" s="1" t="str" cm="1">
        <f t="array" ref="KNE3">GetValue("Dmn","Name",KNE2)</f>
        <v/>
      </c>
      <c r="KNF3" s="1" t="str" cm="1">
        <f t="array" ref="KNF3">GetValue("Dmn","Name",KNF2)</f>
        <v/>
      </c>
      <c r="KNG3" s="1" t="str" cm="1">
        <f t="array" ref="KNG3">GetValue("Dmn","Name",KNG2)</f>
        <v/>
      </c>
      <c r="KNH3" s="1" t="str" cm="1">
        <f t="array" ref="KNH3">GetValue("Dmn","Name",KNH2)</f>
        <v/>
      </c>
      <c r="KNI3" s="1" t="str" cm="1">
        <f t="array" ref="KNI3">GetValue("Dmn","Name",KNI2)</f>
        <v/>
      </c>
      <c r="KNJ3" s="1" t="str" cm="1">
        <f t="array" ref="KNJ3">GetValue("Dmn","Name",KNJ2)</f>
        <v/>
      </c>
      <c r="KNK3" s="1" t="str" cm="1">
        <f t="array" ref="KNK3">GetValue("Dmn","Name",KNK2)</f>
        <v/>
      </c>
      <c r="KNL3" s="1" t="str" cm="1">
        <f t="array" ref="KNL3">GetValue("Dmn","Name",KNL2)</f>
        <v/>
      </c>
      <c r="KNM3" s="1" t="str" cm="1">
        <f t="array" ref="KNM3">GetValue("Dmn","Name",KNM2)</f>
        <v/>
      </c>
      <c r="KNN3" s="1" t="str" cm="1">
        <f t="array" ref="KNN3">GetValue("Dmn","Name",KNN2)</f>
        <v/>
      </c>
      <c r="KNO3" s="1" t="str" cm="1">
        <f t="array" ref="KNO3">GetValue("Dmn","Name",KNO2)</f>
        <v/>
      </c>
      <c r="KNP3" s="1" t="str" cm="1">
        <f t="array" ref="KNP3">GetValue("Dmn","Name",KNP2)</f>
        <v/>
      </c>
      <c r="KNQ3" s="1" t="str" cm="1">
        <f t="array" ref="KNQ3">GetValue("Dmn","Name",KNQ2)</f>
        <v/>
      </c>
      <c r="KNR3" s="1" t="str" cm="1">
        <f t="array" ref="KNR3">GetValue("Dmn","Name",KNR2)</f>
        <v/>
      </c>
      <c r="KNS3" s="1" t="str" cm="1">
        <f t="array" ref="KNS3">GetValue("Dmn","Name",KNS2)</f>
        <v/>
      </c>
      <c r="KNT3" s="1" t="str" cm="1">
        <f t="array" ref="KNT3">GetValue("Dmn","Name",KNT2)</f>
        <v/>
      </c>
      <c r="KNU3" s="1" t="str" cm="1">
        <f t="array" ref="KNU3">GetValue("Dmn","Name",KNU2)</f>
        <v/>
      </c>
      <c r="KNV3" s="1" t="str" cm="1">
        <f t="array" ref="KNV3">GetValue("Dmn","Name",KNV2)</f>
        <v/>
      </c>
      <c r="KNW3" s="1" t="str" cm="1">
        <f t="array" ref="KNW3">GetValue("Dmn","Name",KNW2)</f>
        <v/>
      </c>
      <c r="KNX3" s="1" t="str" cm="1">
        <f t="array" ref="KNX3">GetValue("Dmn","Name",KNX2)</f>
        <v/>
      </c>
      <c r="KNY3" s="1" t="str" cm="1">
        <f t="array" ref="KNY3">GetValue("Dmn","Name",KNY2)</f>
        <v/>
      </c>
      <c r="KNZ3" s="1" t="str" cm="1">
        <f t="array" ref="KNZ3">GetValue("Dmn","Name",KNZ2)</f>
        <v/>
      </c>
      <c r="KOA3" s="1" t="str" cm="1">
        <f t="array" ref="KOA3">GetValue("Dmn","Name",KOA2)</f>
        <v/>
      </c>
      <c r="KOB3" s="1" t="str" cm="1">
        <f t="array" ref="KOB3">GetValue("Dmn","Name",KOB2)</f>
        <v/>
      </c>
      <c r="KOC3" s="1" t="str" cm="1">
        <f t="array" ref="KOC3">GetValue("Dmn","Name",KOC2)</f>
        <v/>
      </c>
      <c r="KOD3" s="1" t="str" cm="1">
        <f t="array" ref="KOD3">GetValue("Dmn","Name",KOD2)</f>
        <v/>
      </c>
      <c r="KOE3" s="1" t="str" cm="1">
        <f t="array" ref="KOE3">GetValue("Dmn","Name",KOE2)</f>
        <v/>
      </c>
      <c r="KOF3" s="1" t="str" cm="1">
        <f t="array" ref="KOF3">GetValue("Dmn","Name",KOF2)</f>
        <v/>
      </c>
      <c r="KOG3" s="1" t="str" cm="1">
        <f t="array" ref="KOG3">GetValue("Dmn","Name",KOG2)</f>
        <v/>
      </c>
      <c r="KOH3" s="1" t="str" cm="1">
        <f t="array" ref="KOH3">GetValue("Dmn","Name",KOH2)</f>
        <v/>
      </c>
      <c r="KOI3" s="1" t="str" cm="1">
        <f t="array" ref="KOI3">GetValue("Dmn","Name",KOI2)</f>
        <v/>
      </c>
      <c r="KOJ3" s="1" t="str" cm="1">
        <f t="array" ref="KOJ3">GetValue("Dmn","Name",KOJ2)</f>
        <v/>
      </c>
      <c r="KOK3" s="1" t="str" cm="1">
        <f t="array" ref="KOK3">GetValue("Dmn","Name",KOK2)</f>
        <v/>
      </c>
      <c r="KOL3" s="1" t="str" cm="1">
        <f t="array" ref="KOL3">GetValue("Dmn","Name",KOL2)</f>
        <v/>
      </c>
      <c r="KOM3" s="1" t="str" cm="1">
        <f t="array" ref="KOM3">GetValue("Dmn","Name",KOM2)</f>
        <v/>
      </c>
      <c r="KON3" s="1" t="str" cm="1">
        <f t="array" ref="KON3">GetValue("Dmn","Name",KON2)</f>
        <v/>
      </c>
      <c r="KOO3" s="1" t="str" cm="1">
        <f t="array" ref="KOO3">GetValue("Dmn","Name",KOO2)</f>
        <v/>
      </c>
      <c r="KOP3" s="1" t="str" cm="1">
        <f t="array" ref="KOP3">GetValue("Dmn","Name",KOP2)</f>
        <v/>
      </c>
      <c r="KOQ3" s="1" t="str" cm="1">
        <f t="array" ref="KOQ3">GetValue("Dmn","Name",KOQ2)</f>
        <v/>
      </c>
      <c r="KOR3" s="1" t="str" cm="1">
        <f t="array" ref="KOR3">GetValue("Dmn","Name",KOR2)</f>
        <v/>
      </c>
      <c r="KOS3" s="1" t="str" cm="1">
        <f t="array" ref="KOS3">GetValue("Dmn","Name",KOS2)</f>
        <v/>
      </c>
      <c r="KOT3" s="1" t="str" cm="1">
        <f t="array" ref="KOT3">GetValue("Dmn","Name",KOT2)</f>
        <v/>
      </c>
      <c r="KOU3" s="1" t="str" cm="1">
        <f t="array" ref="KOU3">GetValue("Dmn","Name",KOU2)</f>
        <v/>
      </c>
      <c r="KOV3" s="1" t="str" cm="1">
        <f t="array" ref="KOV3">GetValue("Dmn","Name",KOV2)</f>
        <v/>
      </c>
      <c r="KOW3" s="1" t="str" cm="1">
        <f t="array" ref="KOW3">GetValue("Dmn","Name",KOW2)</f>
        <v/>
      </c>
      <c r="KOX3" s="1" t="str" cm="1">
        <f t="array" ref="KOX3">GetValue("Dmn","Name",KOX2)</f>
        <v/>
      </c>
      <c r="KOY3" s="1" t="str" cm="1">
        <f t="array" ref="KOY3">GetValue("Dmn","Name",KOY2)</f>
        <v/>
      </c>
      <c r="KOZ3" s="1" t="str" cm="1">
        <f t="array" ref="KOZ3">GetValue("Dmn","Name",KOZ2)</f>
        <v/>
      </c>
      <c r="KPA3" s="1" t="str" cm="1">
        <f t="array" ref="KPA3">GetValue("Dmn","Name",KPA2)</f>
        <v/>
      </c>
      <c r="KPB3" s="1" t="str" cm="1">
        <f t="array" ref="KPB3">GetValue("Dmn","Name",KPB2)</f>
        <v/>
      </c>
      <c r="KPC3" s="1" t="str" cm="1">
        <f t="array" ref="KPC3">GetValue("Dmn","Name",KPC2)</f>
        <v/>
      </c>
      <c r="KPD3" s="1" t="str" cm="1">
        <f t="array" ref="KPD3">GetValue("Dmn","Name",KPD2)</f>
        <v/>
      </c>
      <c r="KPE3" s="1" t="str" cm="1">
        <f t="array" ref="KPE3">GetValue("Dmn","Name",KPE2)</f>
        <v/>
      </c>
      <c r="KPF3" s="1" t="str" cm="1">
        <f t="array" ref="KPF3">GetValue("Dmn","Name",KPF2)</f>
        <v/>
      </c>
      <c r="KPG3" s="1" t="str" cm="1">
        <f t="array" ref="KPG3">GetValue("Dmn","Name",KPG2)</f>
        <v/>
      </c>
      <c r="KPH3" s="1" t="str" cm="1">
        <f t="array" ref="KPH3">GetValue("Dmn","Name",KPH2)</f>
        <v/>
      </c>
      <c r="KPI3" s="1" t="str" cm="1">
        <f t="array" ref="KPI3">GetValue("Dmn","Name",KPI2)</f>
        <v/>
      </c>
      <c r="KPJ3" s="1" t="str" cm="1">
        <f t="array" ref="KPJ3">GetValue("Dmn","Name",KPJ2)</f>
        <v/>
      </c>
      <c r="KPK3" s="1" t="str" cm="1">
        <f t="array" ref="KPK3">GetValue("Dmn","Name",KPK2)</f>
        <v/>
      </c>
      <c r="KPL3" s="1" t="str" cm="1">
        <f t="array" ref="KPL3">GetValue("Dmn","Name",KPL2)</f>
        <v/>
      </c>
      <c r="KPM3" s="1" t="str" cm="1">
        <f t="array" ref="KPM3">GetValue("Dmn","Name",KPM2)</f>
        <v/>
      </c>
      <c r="KPN3" s="1" t="str" cm="1">
        <f t="array" ref="KPN3">GetValue("Dmn","Name",KPN2)</f>
        <v/>
      </c>
      <c r="KPO3" s="1" t="str" cm="1">
        <f t="array" ref="KPO3">GetValue("Dmn","Name",KPO2)</f>
        <v/>
      </c>
      <c r="KPP3" s="1" t="str" cm="1">
        <f t="array" ref="KPP3">GetValue("Dmn","Name",KPP2)</f>
        <v/>
      </c>
      <c r="KPQ3" s="1" t="str" cm="1">
        <f t="array" ref="KPQ3">GetValue("Dmn","Name",KPQ2)</f>
        <v/>
      </c>
      <c r="KPR3" s="1" t="str" cm="1">
        <f t="array" ref="KPR3">GetValue("Dmn","Name",KPR2)</f>
        <v/>
      </c>
      <c r="KPS3" s="1" t="str" cm="1">
        <f t="array" ref="KPS3">GetValue("Dmn","Name",KPS2)</f>
        <v/>
      </c>
      <c r="KPT3" s="1" t="str" cm="1">
        <f t="array" ref="KPT3">GetValue("Dmn","Name",KPT2)</f>
        <v/>
      </c>
      <c r="KPU3" s="1" t="str" cm="1">
        <f t="array" ref="KPU3">GetValue("Dmn","Name",KPU2)</f>
        <v/>
      </c>
      <c r="KPV3" s="1" t="str" cm="1">
        <f t="array" ref="KPV3">GetValue("Dmn","Name",KPV2)</f>
        <v/>
      </c>
      <c r="KPW3" s="1" t="str" cm="1">
        <f t="array" ref="KPW3">GetValue("Dmn","Name",KPW2)</f>
        <v/>
      </c>
      <c r="KPX3" s="1" t="str" cm="1">
        <f t="array" ref="KPX3">GetValue("Dmn","Name",KPX2)</f>
        <v/>
      </c>
      <c r="KPY3" s="1" t="str" cm="1">
        <f t="array" ref="KPY3">GetValue("Dmn","Name",KPY2)</f>
        <v/>
      </c>
      <c r="KPZ3" s="1" t="str" cm="1">
        <f t="array" ref="KPZ3">GetValue("Dmn","Name",KPZ2)</f>
        <v/>
      </c>
      <c r="KQA3" s="1" t="str" cm="1">
        <f t="array" ref="KQA3">GetValue("Dmn","Name",KQA2)</f>
        <v/>
      </c>
      <c r="KQB3" s="1" t="str" cm="1">
        <f t="array" ref="KQB3">GetValue("Dmn","Name",KQB2)</f>
        <v/>
      </c>
      <c r="KQC3" s="1" t="str" cm="1">
        <f t="array" ref="KQC3">GetValue("Dmn","Name",KQC2)</f>
        <v/>
      </c>
      <c r="KQD3" s="1" t="str" cm="1">
        <f t="array" ref="KQD3">GetValue("Dmn","Name",KQD2)</f>
        <v/>
      </c>
      <c r="KQE3" s="1" t="str" cm="1">
        <f t="array" ref="KQE3">GetValue("Dmn","Name",KQE2)</f>
        <v/>
      </c>
      <c r="KQF3" s="1" t="str" cm="1">
        <f t="array" ref="KQF3">GetValue("Dmn","Name",KQF2)</f>
        <v/>
      </c>
      <c r="KQG3" s="1" t="str" cm="1">
        <f t="array" ref="KQG3">GetValue("Dmn","Name",KQG2)</f>
        <v/>
      </c>
      <c r="KQH3" s="1" t="str" cm="1">
        <f t="array" ref="KQH3">GetValue("Dmn","Name",KQH2)</f>
        <v/>
      </c>
      <c r="KQI3" s="1" t="str" cm="1">
        <f t="array" ref="KQI3">GetValue("Dmn","Name",KQI2)</f>
        <v/>
      </c>
      <c r="KQJ3" s="1" t="str" cm="1">
        <f t="array" ref="KQJ3">GetValue("Dmn","Name",KQJ2)</f>
        <v/>
      </c>
      <c r="KQK3" s="1" t="str" cm="1">
        <f t="array" ref="KQK3">GetValue("Dmn","Name",KQK2)</f>
        <v/>
      </c>
      <c r="KQL3" s="1" t="str" cm="1">
        <f t="array" ref="KQL3">GetValue("Dmn","Name",KQL2)</f>
        <v/>
      </c>
      <c r="KQM3" s="1" t="str" cm="1">
        <f t="array" ref="KQM3">GetValue("Dmn","Name",KQM2)</f>
        <v/>
      </c>
      <c r="KQN3" s="1" t="str" cm="1">
        <f t="array" ref="KQN3">GetValue("Dmn","Name",KQN2)</f>
        <v/>
      </c>
      <c r="KQO3" s="1" t="str" cm="1">
        <f t="array" ref="KQO3">GetValue("Dmn","Name",KQO2)</f>
        <v/>
      </c>
      <c r="KQP3" s="1" t="str" cm="1">
        <f t="array" ref="KQP3">GetValue("Dmn","Name",KQP2)</f>
        <v/>
      </c>
      <c r="KQQ3" s="1" t="str" cm="1">
        <f t="array" ref="KQQ3">GetValue("Dmn","Name",KQQ2)</f>
        <v/>
      </c>
      <c r="KQR3" s="1" t="str" cm="1">
        <f t="array" ref="KQR3">GetValue("Dmn","Name",KQR2)</f>
        <v/>
      </c>
      <c r="KQS3" s="1" t="str" cm="1">
        <f t="array" ref="KQS3">GetValue("Dmn","Name",KQS2)</f>
        <v/>
      </c>
      <c r="KQT3" s="1" t="str" cm="1">
        <f t="array" ref="KQT3">GetValue("Dmn","Name",KQT2)</f>
        <v/>
      </c>
      <c r="KQU3" s="1" t="str" cm="1">
        <f t="array" ref="KQU3">GetValue("Dmn","Name",KQU2)</f>
        <v/>
      </c>
      <c r="KQV3" s="1" t="str" cm="1">
        <f t="array" ref="KQV3">GetValue("Dmn","Name",KQV2)</f>
        <v/>
      </c>
      <c r="KQW3" s="1" t="str" cm="1">
        <f t="array" ref="KQW3">GetValue("Dmn","Name",KQW2)</f>
        <v/>
      </c>
      <c r="KQX3" s="1" t="str" cm="1">
        <f t="array" ref="KQX3">GetValue("Dmn","Name",KQX2)</f>
        <v/>
      </c>
      <c r="KQY3" s="1" t="str" cm="1">
        <f t="array" ref="KQY3">GetValue("Dmn","Name",KQY2)</f>
        <v/>
      </c>
      <c r="KQZ3" s="1" t="str" cm="1">
        <f t="array" ref="KQZ3">GetValue("Dmn","Name",KQZ2)</f>
        <v/>
      </c>
      <c r="KRA3" s="1" t="str" cm="1">
        <f t="array" ref="KRA3">GetValue("Dmn","Name",KRA2)</f>
        <v/>
      </c>
      <c r="KRB3" s="1" t="str" cm="1">
        <f t="array" ref="KRB3">GetValue("Dmn","Name",KRB2)</f>
        <v/>
      </c>
      <c r="KRC3" s="1" t="str" cm="1">
        <f t="array" ref="KRC3">GetValue("Dmn","Name",KRC2)</f>
        <v/>
      </c>
      <c r="KRD3" s="1" t="str" cm="1">
        <f t="array" ref="KRD3">GetValue("Dmn","Name",KRD2)</f>
        <v/>
      </c>
      <c r="KRE3" s="1" t="str" cm="1">
        <f t="array" ref="KRE3">GetValue("Dmn","Name",KRE2)</f>
        <v/>
      </c>
      <c r="KRF3" s="1" t="str" cm="1">
        <f t="array" ref="KRF3">GetValue("Dmn","Name",KRF2)</f>
        <v/>
      </c>
      <c r="KRG3" s="1" t="str" cm="1">
        <f t="array" ref="KRG3">GetValue("Dmn","Name",KRG2)</f>
        <v/>
      </c>
      <c r="KRH3" s="1" t="str" cm="1">
        <f t="array" ref="KRH3">GetValue("Dmn","Name",KRH2)</f>
        <v/>
      </c>
      <c r="KRI3" s="1" t="str" cm="1">
        <f t="array" ref="KRI3">GetValue("Dmn","Name",KRI2)</f>
        <v/>
      </c>
      <c r="KRJ3" s="1" t="str" cm="1">
        <f t="array" ref="KRJ3">GetValue("Dmn","Name",KRJ2)</f>
        <v/>
      </c>
      <c r="KRK3" s="1" t="str" cm="1">
        <f t="array" ref="KRK3">GetValue("Dmn","Name",KRK2)</f>
        <v/>
      </c>
      <c r="KRL3" s="1" t="str" cm="1">
        <f t="array" ref="KRL3">GetValue("Dmn","Name",KRL2)</f>
        <v/>
      </c>
      <c r="KRM3" s="1" t="str" cm="1">
        <f t="array" ref="KRM3">GetValue("Dmn","Name",KRM2)</f>
        <v/>
      </c>
      <c r="KRN3" s="1" t="str" cm="1">
        <f t="array" ref="KRN3">GetValue("Dmn","Name",KRN2)</f>
        <v/>
      </c>
      <c r="KRO3" s="1" t="str" cm="1">
        <f t="array" ref="KRO3">GetValue("Dmn","Name",KRO2)</f>
        <v/>
      </c>
      <c r="KRP3" s="1" t="str" cm="1">
        <f t="array" ref="KRP3">GetValue("Dmn","Name",KRP2)</f>
        <v/>
      </c>
      <c r="KRQ3" s="1" t="str" cm="1">
        <f t="array" ref="KRQ3">GetValue("Dmn","Name",KRQ2)</f>
        <v/>
      </c>
      <c r="KRR3" s="1" t="str" cm="1">
        <f t="array" ref="KRR3">GetValue("Dmn","Name",KRR2)</f>
        <v/>
      </c>
      <c r="KRS3" s="1" t="str" cm="1">
        <f t="array" ref="KRS3">GetValue("Dmn","Name",KRS2)</f>
        <v/>
      </c>
      <c r="KRT3" s="1" t="str" cm="1">
        <f t="array" ref="KRT3">GetValue("Dmn","Name",KRT2)</f>
        <v/>
      </c>
      <c r="KRU3" s="1" t="str" cm="1">
        <f t="array" ref="KRU3">GetValue("Dmn","Name",KRU2)</f>
        <v/>
      </c>
      <c r="KRV3" s="1" t="str" cm="1">
        <f t="array" ref="KRV3">GetValue("Dmn","Name",KRV2)</f>
        <v/>
      </c>
      <c r="KRW3" s="1" t="str" cm="1">
        <f t="array" ref="KRW3">GetValue("Dmn","Name",KRW2)</f>
        <v/>
      </c>
      <c r="KRX3" s="1" t="str" cm="1">
        <f t="array" ref="KRX3">GetValue("Dmn","Name",KRX2)</f>
        <v/>
      </c>
      <c r="KRY3" s="1" t="str" cm="1">
        <f t="array" ref="KRY3">GetValue("Dmn","Name",KRY2)</f>
        <v/>
      </c>
      <c r="KRZ3" s="1" t="str" cm="1">
        <f t="array" ref="KRZ3">GetValue("Dmn","Name",KRZ2)</f>
        <v/>
      </c>
      <c r="KSA3" s="1" t="str" cm="1">
        <f t="array" ref="KSA3">GetValue("Dmn","Name",KSA2)</f>
        <v/>
      </c>
      <c r="KSB3" s="1" t="str" cm="1">
        <f t="array" ref="KSB3">GetValue("Dmn","Name",KSB2)</f>
        <v/>
      </c>
      <c r="KSC3" s="1" t="str" cm="1">
        <f t="array" ref="KSC3">GetValue("Dmn","Name",KSC2)</f>
        <v/>
      </c>
      <c r="KSD3" s="1" t="str" cm="1">
        <f t="array" ref="KSD3">GetValue("Dmn","Name",KSD2)</f>
        <v/>
      </c>
      <c r="KSE3" s="1" t="str" cm="1">
        <f t="array" ref="KSE3">GetValue("Dmn","Name",KSE2)</f>
        <v/>
      </c>
      <c r="KSF3" s="1" t="str" cm="1">
        <f t="array" ref="KSF3">GetValue("Dmn","Name",KSF2)</f>
        <v/>
      </c>
      <c r="KSG3" s="1" t="str" cm="1">
        <f t="array" ref="KSG3">GetValue("Dmn","Name",KSG2)</f>
        <v/>
      </c>
      <c r="KSH3" s="1" t="str" cm="1">
        <f t="array" ref="KSH3">GetValue("Dmn","Name",KSH2)</f>
        <v/>
      </c>
      <c r="KSI3" s="1" t="str" cm="1">
        <f t="array" ref="KSI3">GetValue("Dmn","Name",KSI2)</f>
        <v/>
      </c>
      <c r="KSJ3" s="1" t="str" cm="1">
        <f t="array" ref="KSJ3">GetValue("Dmn","Name",KSJ2)</f>
        <v/>
      </c>
      <c r="KSK3" s="1" t="str" cm="1">
        <f t="array" ref="KSK3">GetValue("Dmn","Name",KSK2)</f>
        <v/>
      </c>
      <c r="KSL3" s="1" t="str" cm="1">
        <f t="array" ref="KSL3">GetValue("Dmn","Name",KSL2)</f>
        <v/>
      </c>
      <c r="KSM3" s="1" t="str" cm="1">
        <f t="array" ref="KSM3">GetValue("Dmn","Name",KSM2)</f>
        <v/>
      </c>
      <c r="KSN3" s="1" t="str" cm="1">
        <f t="array" ref="KSN3">GetValue("Dmn","Name",KSN2)</f>
        <v/>
      </c>
      <c r="KSO3" s="1" t="str" cm="1">
        <f t="array" ref="KSO3">GetValue("Dmn","Name",KSO2)</f>
        <v/>
      </c>
      <c r="KSP3" s="1" t="str" cm="1">
        <f t="array" ref="KSP3">GetValue("Dmn","Name",KSP2)</f>
        <v/>
      </c>
      <c r="KSQ3" s="1" t="str" cm="1">
        <f t="array" ref="KSQ3">GetValue("Dmn","Name",KSQ2)</f>
        <v/>
      </c>
      <c r="KSR3" s="1" t="str" cm="1">
        <f t="array" ref="KSR3">GetValue("Dmn","Name",KSR2)</f>
        <v/>
      </c>
      <c r="KSS3" s="1" t="str" cm="1">
        <f t="array" ref="KSS3">GetValue("Dmn","Name",KSS2)</f>
        <v/>
      </c>
      <c r="KST3" s="1" t="str" cm="1">
        <f t="array" ref="KST3">GetValue("Dmn","Name",KST2)</f>
        <v/>
      </c>
      <c r="KSU3" s="1" t="str" cm="1">
        <f t="array" ref="KSU3">GetValue("Dmn","Name",KSU2)</f>
        <v/>
      </c>
      <c r="KSV3" s="1" t="str" cm="1">
        <f t="array" ref="KSV3">GetValue("Dmn","Name",KSV2)</f>
        <v/>
      </c>
      <c r="KSW3" s="1" t="str" cm="1">
        <f t="array" ref="KSW3">GetValue("Dmn","Name",KSW2)</f>
        <v/>
      </c>
      <c r="KSX3" s="1" t="str" cm="1">
        <f t="array" ref="KSX3">GetValue("Dmn","Name",KSX2)</f>
        <v/>
      </c>
      <c r="KSY3" s="1" t="str" cm="1">
        <f t="array" ref="KSY3">GetValue("Dmn","Name",KSY2)</f>
        <v/>
      </c>
      <c r="KSZ3" s="1" t="str" cm="1">
        <f t="array" ref="KSZ3">GetValue("Dmn","Name",KSZ2)</f>
        <v/>
      </c>
      <c r="KTA3" s="1" t="str" cm="1">
        <f t="array" ref="KTA3">GetValue("Dmn","Name",KTA2)</f>
        <v/>
      </c>
      <c r="KTB3" s="1" t="str" cm="1">
        <f t="array" ref="KTB3">GetValue("Dmn","Name",KTB2)</f>
        <v/>
      </c>
      <c r="KTC3" s="1" t="str" cm="1">
        <f t="array" ref="KTC3">GetValue("Dmn","Name",KTC2)</f>
        <v/>
      </c>
      <c r="KTD3" s="1" t="str" cm="1">
        <f t="array" ref="KTD3">GetValue("Dmn","Name",KTD2)</f>
        <v/>
      </c>
      <c r="KTE3" s="1" t="str" cm="1">
        <f t="array" ref="KTE3">GetValue("Dmn","Name",KTE2)</f>
        <v/>
      </c>
      <c r="KTF3" s="1" t="str" cm="1">
        <f t="array" ref="KTF3">GetValue("Dmn","Name",KTF2)</f>
        <v/>
      </c>
      <c r="KTG3" s="1" t="str" cm="1">
        <f t="array" ref="KTG3">GetValue("Dmn","Name",KTG2)</f>
        <v/>
      </c>
      <c r="KTH3" s="1" t="str" cm="1">
        <f t="array" ref="KTH3">GetValue("Dmn","Name",KTH2)</f>
        <v/>
      </c>
      <c r="KTI3" s="1" t="str" cm="1">
        <f t="array" ref="KTI3">GetValue("Dmn","Name",KTI2)</f>
        <v/>
      </c>
      <c r="KTJ3" s="1" t="str" cm="1">
        <f t="array" ref="KTJ3">GetValue("Dmn","Name",KTJ2)</f>
        <v/>
      </c>
      <c r="KTK3" s="1" t="str" cm="1">
        <f t="array" ref="KTK3">GetValue("Dmn","Name",KTK2)</f>
        <v/>
      </c>
      <c r="KTL3" s="1" t="str" cm="1">
        <f t="array" ref="KTL3">GetValue("Dmn","Name",KTL2)</f>
        <v/>
      </c>
      <c r="KTM3" s="1" t="str" cm="1">
        <f t="array" ref="KTM3">GetValue("Dmn","Name",KTM2)</f>
        <v/>
      </c>
      <c r="KTN3" s="1" t="str" cm="1">
        <f t="array" ref="KTN3">GetValue("Dmn","Name",KTN2)</f>
        <v/>
      </c>
      <c r="KTO3" s="1" t="str" cm="1">
        <f t="array" ref="KTO3">GetValue("Dmn","Name",KTO2)</f>
        <v/>
      </c>
      <c r="KTP3" s="1" t="str" cm="1">
        <f t="array" ref="KTP3">GetValue("Dmn","Name",KTP2)</f>
        <v/>
      </c>
      <c r="KTQ3" s="1" t="str" cm="1">
        <f t="array" ref="KTQ3">GetValue("Dmn","Name",KTQ2)</f>
        <v/>
      </c>
      <c r="KTR3" s="1" t="str" cm="1">
        <f t="array" ref="KTR3">GetValue("Dmn","Name",KTR2)</f>
        <v/>
      </c>
      <c r="KTS3" s="1" t="str" cm="1">
        <f t="array" ref="KTS3">GetValue("Dmn","Name",KTS2)</f>
        <v/>
      </c>
      <c r="KTT3" s="1" t="str" cm="1">
        <f t="array" ref="KTT3">GetValue("Dmn","Name",KTT2)</f>
        <v/>
      </c>
      <c r="KTU3" s="1" t="str" cm="1">
        <f t="array" ref="KTU3">GetValue("Dmn","Name",KTU2)</f>
        <v/>
      </c>
      <c r="KTV3" s="1" t="str" cm="1">
        <f t="array" ref="KTV3">GetValue("Dmn","Name",KTV2)</f>
        <v/>
      </c>
      <c r="KTW3" s="1" t="str" cm="1">
        <f t="array" ref="KTW3">GetValue("Dmn","Name",KTW2)</f>
        <v/>
      </c>
      <c r="KTX3" s="1" t="str" cm="1">
        <f t="array" ref="KTX3">GetValue("Dmn","Name",KTX2)</f>
        <v/>
      </c>
      <c r="KTY3" s="1" t="str" cm="1">
        <f t="array" ref="KTY3">GetValue("Dmn","Name",KTY2)</f>
        <v/>
      </c>
      <c r="KTZ3" s="1" t="str" cm="1">
        <f t="array" ref="KTZ3">GetValue("Dmn","Name",KTZ2)</f>
        <v/>
      </c>
      <c r="KUA3" s="1" t="str" cm="1">
        <f t="array" ref="KUA3">GetValue("Dmn","Name",KUA2)</f>
        <v/>
      </c>
      <c r="KUB3" s="1" t="str" cm="1">
        <f t="array" ref="KUB3">GetValue("Dmn","Name",KUB2)</f>
        <v/>
      </c>
      <c r="KUC3" s="1" t="str" cm="1">
        <f t="array" ref="KUC3">GetValue("Dmn","Name",KUC2)</f>
        <v/>
      </c>
      <c r="KUD3" s="1" t="str" cm="1">
        <f t="array" ref="KUD3">GetValue("Dmn","Name",KUD2)</f>
        <v/>
      </c>
      <c r="KUE3" s="1" t="str" cm="1">
        <f t="array" ref="KUE3">GetValue("Dmn","Name",KUE2)</f>
        <v/>
      </c>
      <c r="KUF3" s="1" t="str" cm="1">
        <f t="array" ref="KUF3">GetValue("Dmn","Name",KUF2)</f>
        <v/>
      </c>
      <c r="KUG3" s="1" t="str" cm="1">
        <f t="array" ref="KUG3">GetValue("Dmn","Name",KUG2)</f>
        <v/>
      </c>
      <c r="KUH3" s="1" t="str" cm="1">
        <f t="array" ref="KUH3">GetValue("Dmn","Name",KUH2)</f>
        <v/>
      </c>
      <c r="KUI3" s="1" t="str" cm="1">
        <f t="array" ref="KUI3">GetValue("Dmn","Name",KUI2)</f>
        <v/>
      </c>
      <c r="KUJ3" s="1" t="str" cm="1">
        <f t="array" ref="KUJ3">GetValue("Dmn","Name",KUJ2)</f>
        <v/>
      </c>
      <c r="KUK3" s="1" t="str" cm="1">
        <f t="array" ref="KUK3">GetValue("Dmn","Name",KUK2)</f>
        <v/>
      </c>
      <c r="KUL3" s="1" t="str" cm="1">
        <f t="array" ref="KUL3">GetValue("Dmn","Name",KUL2)</f>
        <v/>
      </c>
      <c r="KUM3" s="1" t="str" cm="1">
        <f t="array" ref="KUM3">GetValue("Dmn","Name",KUM2)</f>
        <v/>
      </c>
      <c r="KUN3" s="1" t="str" cm="1">
        <f t="array" ref="KUN3">GetValue("Dmn","Name",KUN2)</f>
        <v/>
      </c>
      <c r="KUO3" s="1" t="str" cm="1">
        <f t="array" ref="KUO3">GetValue("Dmn","Name",KUO2)</f>
        <v/>
      </c>
      <c r="KUP3" s="1" t="str" cm="1">
        <f t="array" ref="KUP3">GetValue("Dmn","Name",KUP2)</f>
        <v/>
      </c>
      <c r="KUQ3" s="1" t="str" cm="1">
        <f t="array" ref="KUQ3">GetValue("Dmn","Name",KUQ2)</f>
        <v/>
      </c>
      <c r="KUR3" s="1" t="str" cm="1">
        <f t="array" ref="KUR3">GetValue("Dmn","Name",KUR2)</f>
        <v/>
      </c>
      <c r="KUS3" s="1" t="str" cm="1">
        <f t="array" ref="KUS3">GetValue("Dmn","Name",KUS2)</f>
        <v/>
      </c>
      <c r="KUT3" s="1" t="str" cm="1">
        <f t="array" ref="KUT3">GetValue("Dmn","Name",KUT2)</f>
        <v/>
      </c>
      <c r="KUU3" s="1" t="str" cm="1">
        <f t="array" ref="KUU3">GetValue("Dmn","Name",KUU2)</f>
        <v/>
      </c>
      <c r="KUV3" s="1" t="str" cm="1">
        <f t="array" ref="KUV3">GetValue("Dmn","Name",KUV2)</f>
        <v/>
      </c>
      <c r="KUW3" s="1" t="str" cm="1">
        <f t="array" ref="KUW3">GetValue("Dmn","Name",KUW2)</f>
        <v/>
      </c>
      <c r="KUX3" s="1" t="str" cm="1">
        <f t="array" ref="KUX3">GetValue("Dmn","Name",KUX2)</f>
        <v/>
      </c>
      <c r="KUY3" s="1" t="str" cm="1">
        <f t="array" ref="KUY3">GetValue("Dmn","Name",KUY2)</f>
        <v/>
      </c>
      <c r="KUZ3" s="1" t="str" cm="1">
        <f t="array" ref="KUZ3">GetValue("Dmn","Name",KUZ2)</f>
        <v/>
      </c>
      <c r="KVA3" s="1" t="str" cm="1">
        <f t="array" ref="KVA3">GetValue("Dmn","Name",KVA2)</f>
        <v/>
      </c>
      <c r="KVB3" s="1" t="str" cm="1">
        <f t="array" ref="KVB3">GetValue("Dmn","Name",KVB2)</f>
        <v/>
      </c>
      <c r="KVC3" s="1" t="str" cm="1">
        <f t="array" ref="KVC3">GetValue("Dmn","Name",KVC2)</f>
        <v/>
      </c>
      <c r="KVD3" s="1" t="str" cm="1">
        <f t="array" ref="KVD3">GetValue("Dmn","Name",KVD2)</f>
        <v/>
      </c>
      <c r="KVE3" s="1" t="str" cm="1">
        <f t="array" ref="KVE3">GetValue("Dmn","Name",KVE2)</f>
        <v/>
      </c>
      <c r="KVF3" s="1" t="str" cm="1">
        <f t="array" ref="KVF3">GetValue("Dmn","Name",KVF2)</f>
        <v/>
      </c>
      <c r="KVG3" s="1" t="str" cm="1">
        <f t="array" ref="KVG3">GetValue("Dmn","Name",KVG2)</f>
        <v/>
      </c>
      <c r="KVH3" s="1" t="str" cm="1">
        <f t="array" ref="KVH3">GetValue("Dmn","Name",KVH2)</f>
        <v/>
      </c>
      <c r="KVI3" s="1" t="str" cm="1">
        <f t="array" ref="KVI3">GetValue("Dmn","Name",KVI2)</f>
        <v/>
      </c>
      <c r="KVJ3" s="1" t="str" cm="1">
        <f t="array" ref="KVJ3">GetValue("Dmn","Name",KVJ2)</f>
        <v/>
      </c>
      <c r="KVK3" s="1" t="str" cm="1">
        <f t="array" ref="KVK3">GetValue("Dmn","Name",KVK2)</f>
        <v/>
      </c>
      <c r="KVL3" s="1" t="str" cm="1">
        <f t="array" ref="KVL3">GetValue("Dmn","Name",KVL2)</f>
        <v/>
      </c>
      <c r="KVM3" s="1" t="str" cm="1">
        <f t="array" ref="KVM3">GetValue("Dmn","Name",KVM2)</f>
        <v/>
      </c>
      <c r="KVN3" s="1" t="str" cm="1">
        <f t="array" ref="KVN3">GetValue("Dmn","Name",KVN2)</f>
        <v/>
      </c>
      <c r="KVO3" s="1" t="str" cm="1">
        <f t="array" ref="KVO3">GetValue("Dmn","Name",KVO2)</f>
        <v/>
      </c>
      <c r="KVP3" s="1" t="str" cm="1">
        <f t="array" ref="KVP3">GetValue("Dmn","Name",KVP2)</f>
        <v/>
      </c>
      <c r="KVQ3" s="1" t="str" cm="1">
        <f t="array" ref="KVQ3">GetValue("Dmn","Name",KVQ2)</f>
        <v/>
      </c>
      <c r="KVR3" s="1" t="str" cm="1">
        <f t="array" ref="KVR3">GetValue("Dmn","Name",KVR2)</f>
        <v/>
      </c>
      <c r="KVS3" s="1" t="str" cm="1">
        <f t="array" ref="KVS3">GetValue("Dmn","Name",KVS2)</f>
        <v/>
      </c>
      <c r="KVT3" s="1" t="str" cm="1">
        <f t="array" ref="KVT3">GetValue("Dmn","Name",KVT2)</f>
        <v/>
      </c>
      <c r="KVU3" s="1" t="str" cm="1">
        <f t="array" ref="KVU3">GetValue("Dmn","Name",KVU2)</f>
        <v/>
      </c>
      <c r="KVV3" s="1" t="str" cm="1">
        <f t="array" ref="KVV3">GetValue("Dmn","Name",KVV2)</f>
        <v/>
      </c>
      <c r="KVW3" s="1" t="str" cm="1">
        <f t="array" ref="KVW3">GetValue("Dmn","Name",KVW2)</f>
        <v/>
      </c>
      <c r="KVX3" s="1" t="str" cm="1">
        <f t="array" ref="KVX3">GetValue("Dmn","Name",KVX2)</f>
        <v/>
      </c>
      <c r="KVY3" s="1" t="str" cm="1">
        <f t="array" ref="KVY3">GetValue("Dmn","Name",KVY2)</f>
        <v/>
      </c>
      <c r="KVZ3" s="1" t="str" cm="1">
        <f t="array" ref="KVZ3">GetValue("Dmn","Name",KVZ2)</f>
        <v/>
      </c>
      <c r="KWA3" s="1" t="str" cm="1">
        <f t="array" ref="KWA3">GetValue("Dmn","Name",KWA2)</f>
        <v/>
      </c>
      <c r="KWB3" s="1" t="str" cm="1">
        <f t="array" ref="KWB3">GetValue("Dmn","Name",KWB2)</f>
        <v/>
      </c>
      <c r="KWC3" s="1" t="str" cm="1">
        <f t="array" ref="KWC3">GetValue("Dmn","Name",KWC2)</f>
        <v/>
      </c>
      <c r="KWD3" s="1" t="str" cm="1">
        <f t="array" ref="KWD3">GetValue("Dmn","Name",KWD2)</f>
        <v/>
      </c>
      <c r="KWE3" s="1" t="str" cm="1">
        <f t="array" ref="KWE3">GetValue("Dmn","Name",KWE2)</f>
        <v/>
      </c>
      <c r="KWF3" s="1" t="str" cm="1">
        <f t="array" ref="KWF3">GetValue("Dmn","Name",KWF2)</f>
        <v/>
      </c>
      <c r="KWG3" s="1" t="str" cm="1">
        <f t="array" ref="KWG3">GetValue("Dmn","Name",KWG2)</f>
        <v/>
      </c>
      <c r="KWH3" s="1" t="str" cm="1">
        <f t="array" ref="KWH3">GetValue("Dmn","Name",KWH2)</f>
        <v/>
      </c>
      <c r="KWI3" s="1" t="str" cm="1">
        <f t="array" ref="KWI3">GetValue("Dmn","Name",KWI2)</f>
        <v/>
      </c>
      <c r="KWJ3" s="1" t="str" cm="1">
        <f t="array" ref="KWJ3">GetValue("Dmn","Name",KWJ2)</f>
        <v/>
      </c>
      <c r="KWK3" s="1" t="str" cm="1">
        <f t="array" ref="KWK3">GetValue("Dmn","Name",KWK2)</f>
        <v/>
      </c>
      <c r="KWL3" s="1" t="str" cm="1">
        <f t="array" ref="KWL3">GetValue("Dmn","Name",KWL2)</f>
        <v/>
      </c>
      <c r="KWM3" s="1" t="str" cm="1">
        <f t="array" ref="KWM3">GetValue("Dmn","Name",KWM2)</f>
        <v/>
      </c>
      <c r="KWN3" s="1" t="str" cm="1">
        <f t="array" ref="KWN3">GetValue("Dmn","Name",KWN2)</f>
        <v/>
      </c>
      <c r="KWO3" s="1" t="str" cm="1">
        <f t="array" ref="KWO3">GetValue("Dmn","Name",KWO2)</f>
        <v/>
      </c>
      <c r="KWP3" s="1" t="str" cm="1">
        <f t="array" ref="KWP3">GetValue("Dmn","Name",KWP2)</f>
        <v/>
      </c>
      <c r="KWQ3" s="1" t="str" cm="1">
        <f t="array" ref="KWQ3">GetValue("Dmn","Name",KWQ2)</f>
        <v/>
      </c>
      <c r="KWR3" s="1" t="str" cm="1">
        <f t="array" ref="KWR3">GetValue("Dmn","Name",KWR2)</f>
        <v/>
      </c>
      <c r="KWS3" s="1" t="str" cm="1">
        <f t="array" ref="KWS3">GetValue("Dmn","Name",KWS2)</f>
        <v/>
      </c>
      <c r="KWT3" s="1" t="str" cm="1">
        <f t="array" ref="KWT3">GetValue("Dmn","Name",KWT2)</f>
        <v/>
      </c>
      <c r="KWU3" s="1" t="str" cm="1">
        <f t="array" ref="KWU3">GetValue("Dmn","Name",KWU2)</f>
        <v/>
      </c>
      <c r="KWV3" s="1" t="str" cm="1">
        <f t="array" ref="KWV3">GetValue("Dmn","Name",KWV2)</f>
        <v/>
      </c>
      <c r="KWW3" s="1" t="str" cm="1">
        <f t="array" ref="KWW3">GetValue("Dmn","Name",KWW2)</f>
        <v/>
      </c>
      <c r="KWX3" s="1" t="str" cm="1">
        <f t="array" ref="KWX3">GetValue("Dmn","Name",KWX2)</f>
        <v/>
      </c>
      <c r="KWY3" s="1" t="str" cm="1">
        <f t="array" ref="KWY3">GetValue("Dmn","Name",KWY2)</f>
        <v/>
      </c>
      <c r="KWZ3" s="1" t="str" cm="1">
        <f t="array" ref="KWZ3">GetValue("Dmn","Name",KWZ2)</f>
        <v/>
      </c>
      <c r="KXA3" s="1" t="str" cm="1">
        <f t="array" ref="KXA3">GetValue("Dmn","Name",KXA2)</f>
        <v/>
      </c>
      <c r="KXB3" s="1" t="str" cm="1">
        <f t="array" ref="KXB3">GetValue("Dmn","Name",KXB2)</f>
        <v/>
      </c>
      <c r="KXC3" s="1" t="str" cm="1">
        <f t="array" ref="KXC3">GetValue("Dmn","Name",KXC2)</f>
        <v/>
      </c>
      <c r="KXD3" s="1" t="str" cm="1">
        <f t="array" ref="KXD3">GetValue("Dmn","Name",KXD2)</f>
        <v/>
      </c>
      <c r="KXE3" s="1" t="str" cm="1">
        <f t="array" ref="KXE3">GetValue("Dmn","Name",KXE2)</f>
        <v/>
      </c>
      <c r="KXF3" s="1" t="str" cm="1">
        <f t="array" ref="KXF3">GetValue("Dmn","Name",KXF2)</f>
        <v/>
      </c>
      <c r="KXG3" s="1" t="str" cm="1">
        <f t="array" ref="KXG3">GetValue("Dmn","Name",KXG2)</f>
        <v/>
      </c>
      <c r="KXH3" s="1" t="str" cm="1">
        <f t="array" ref="KXH3">GetValue("Dmn","Name",KXH2)</f>
        <v/>
      </c>
      <c r="KXI3" s="1" t="str" cm="1">
        <f t="array" ref="KXI3">GetValue("Dmn","Name",KXI2)</f>
        <v/>
      </c>
      <c r="KXJ3" s="1" t="str" cm="1">
        <f t="array" ref="KXJ3">GetValue("Dmn","Name",KXJ2)</f>
        <v/>
      </c>
      <c r="KXK3" s="1" t="str" cm="1">
        <f t="array" ref="KXK3">GetValue("Dmn","Name",KXK2)</f>
        <v/>
      </c>
      <c r="KXL3" s="1" t="str" cm="1">
        <f t="array" ref="KXL3">GetValue("Dmn","Name",KXL2)</f>
        <v/>
      </c>
      <c r="KXM3" s="1" t="str" cm="1">
        <f t="array" ref="KXM3">GetValue("Dmn","Name",KXM2)</f>
        <v/>
      </c>
      <c r="KXN3" s="1" t="str" cm="1">
        <f t="array" ref="KXN3">GetValue("Dmn","Name",KXN2)</f>
        <v/>
      </c>
      <c r="KXO3" s="1" t="str" cm="1">
        <f t="array" ref="KXO3">GetValue("Dmn","Name",KXO2)</f>
        <v/>
      </c>
      <c r="KXP3" s="1" t="str" cm="1">
        <f t="array" ref="KXP3">GetValue("Dmn","Name",KXP2)</f>
        <v/>
      </c>
      <c r="KXQ3" s="1" t="str" cm="1">
        <f t="array" ref="KXQ3">GetValue("Dmn","Name",KXQ2)</f>
        <v/>
      </c>
      <c r="KXR3" s="1" t="str" cm="1">
        <f t="array" ref="KXR3">GetValue("Dmn","Name",KXR2)</f>
        <v/>
      </c>
      <c r="KXS3" s="1" t="str" cm="1">
        <f t="array" ref="KXS3">GetValue("Dmn","Name",KXS2)</f>
        <v/>
      </c>
      <c r="KXT3" s="1" t="str" cm="1">
        <f t="array" ref="KXT3">GetValue("Dmn","Name",KXT2)</f>
        <v/>
      </c>
      <c r="KXU3" s="1" t="str" cm="1">
        <f t="array" ref="KXU3">GetValue("Dmn","Name",KXU2)</f>
        <v/>
      </c>
      <c r="KXV3" s="1" t="str" cm="1">
        <f t="array" ref="KXV3">GetValue("Dmn","Name",KXV2)</f>
        <v/>
      </c>
      <c r="KXW3" s="1" t="str" cm="1">
        <f t="array" ref="KXW3">GetValue("Dmn","Name",KXW2)</f>
        <v/>
      </c>
      <c r="KXX3" s="1" t="str" cm="1">
        <f t="array" ref="KXX3">GetValue("Dmn","Name",KXX2)</f>
        <v/>
      </c>
      <c r="KXY3" s="1" t="str" cm="1">
        <f t="array" ref="KXY3">GetValue("Dmn","Name",KXY2)</f>
        <v/>
      </c>
      <c r="KXZ3" s="1" t="str" cm="1">
        <f t="array" ref="KXZ3">GetValue("Dmn","Name",KXZ2)</f>
        <v/>
      </c>
      <c r="KYA3" s="1" t="str" cm="1">
        <f t="array" ref="KYA3">GetValue("Dmn","Name",KYA2)</f>
        <v/>
      </c>
      <c r="KYB3" s="1" t="str" cm="1">
        <f t="array" ref="KYB3">GetValue("Dmn","Name",KYB2)</f>
        <v/>
      </c>
      <c r="KYC3" s="1" t="str" cm="1">
        <f t="array" ref="KYC3">GetValue("Dmn","Name",KYC2)</f>
        <v/>
      </c>
      <c r="KYD3" s="1" t="str" cm="1">
        <f t="array" ref="KYD3">GetValue("Dmn","Name",KYD2)</f>
        <v/>
      </c>
      <c r="KYE3" s="1" t="str" cm="1">
        <f t="array" ref="KYE3">GetValue("Dmn","Name",KYE2)</f>
        <v/>
      </c>
      <c r="KYF3" s="1" t="str" cm="1">
        <f t="array" ref="KYF3">GetValue("Dmn","Name",KYF2)</f>
        <v/>
      </c>
      <c r="KYG3" s="1" t="str" cm="1">
        <f t="array" ref="KYG3">GetValue("Dmn","Name",KYG2)</f>
        <v/>
      </c>
      <c r="KYH3" s="1" t="str" cm="1">
        <f t="array" ref="KYH3">GetValue("Dmn","Name",KYH2)</f>
        <v/>
      </c>
      <c r="KYI3" s="1" t="str" cm="1">
        <f t="array" ref="KYI3">GetValue("Dmn","Name",KYI2)</f>
        <v/>
      </c>
      <c r="KYJ3" s="1" t="str" cm="1">
        <f t="array" ref="KYJ3">GetValue("Dmn","Name",KYJ2)</f>
        <v/>
      </c>
      <c r="KYK3" s="1" t="str" cm="1">
        <f t="array" ref="KYK3">GetValue("Dmn","Name",KYK2)</f>
        <v/>
      </c>
      <c r="KYL3" s="1" t="str" cm="1">
        <f t="array" ref="KYL3">GetValue("Dmn","Name",KYL2)</f>
        <v/>
      </c>
      <c r="KYM3" s="1" t="str" cm="1">
        <f t="array" ref="KYM3">GetValue("Dmn","Name",KYM2)</f>
        <v/>
      </c>
      <c r="KYN3" s="1" t="str" cm="1">
        <f t="array" ref="KYN3">GetValue("Dmn","Name",KYN2)</f>
        <v/>
      </c>
      <c r="KYO3" s="1" t="str" cm="1">
        <f t="array" ref="KYO3">GetValue("Dmn","Name",KYO2)</f>
        <v/>
      </c>
      <c r="KYP3" s="1" t="str" cm="1">
        <f t="array" ref="KYP3">GetValue("Dmn","Name",KYP2)</f>
        <v/>
      </c>
      <c r="KYQ3" s="1" t="str" cm="1">
        <f t="array" ref="KYQ3">GetValue("Dmn","Name",KYQ2)</f>
        <v/>
      </c>
      <c r="KYR3" s="1" t="str" cm="1">
        <f t="array" ref="KYR3">GetValue("Dmn","Name",KYR2)</f>
        <v/>
      </c>
      <c r="KYS3" s="1" t="str" cm="1">
        <f t="array" ref="KYS3">GetValue("Dmn","Name",KYS2)</f>
        <v/>
      </c>
      <c r="KYT3" s="1" t="str" cm="1">
        <f t="array" ref="KYT3">GetValue("Dmn","Name",KYT2)</f>
        <v/>
      </c>
      <c r="KYU3" s="1" t="str" cm="1">
        <f t="array" ref="KYU3">GetValue("Dmn","Name",KYU2)</f>
        <v/>
      </c>
      <c r="KYV3" s="1" t="str" cm="1">
        <f t="array" ref="KYV3">GetValue("Dmn","Name",KYV2)</f>
        <v/>
      </c>
      <c r="KYW3" s="1" t="str" cm="1">
        <f t="array" ref="KYW3">GetValue("Dmn","Name",KYW2)</f>
        <v/>
      </c>
      <c r="KYX3" s="1" t="str" cm="1">
        <f t="array" ref="KYX3">GetValue("Dmn","Name",KYX2)</f>
        <v/>
      </c>
      <c r="KYY3" s="1" t="str" cm="1">
        <f t="array" ref="KYY3">GetValue("Dmn","Name",KYY2)</f>
        <v/>
      </c>
      <c r="KYZ3" s="1" t="str" cm="1">
        <f t="array" ref="KYZ3">GetValue("Dmn","Name",KYZ2)</f>
        <v/>
      </c>
      <c r="KZA3" s="1" t="str" cm="1">
        <f t="array" ref="KZA3">GetValue("Dmn","Name",KZA2)</f>
        <v/>
      </c>
      <c r="KZB3" s="1" t="str" cm="1">
        <f t="array" ref="KZB3">GetValue("Dmn","Name",KZB2)</f>
        <v/>
      </c>
      <c r="KZC3" s="1" t="str" cm="1">
        <f t="array" ref="KZC3">GetValue("Dmn","Name",KZC2)</f>
        <v/>
      </c>
      <c r="KZD3" s="1" t="str" cm="1">
        <f t="array" ref="KZD3">GetValue("Dmn","Name",KZD2)</f>
        <v/>
      </c>
      <c r="KZE3" s="1" t="str" cm="1">
        <f t="array" ref="KZE3">GetValue("Dmn","Name",KZE2)</f>
        <v/>
      </c>
      <c r="KZF3" s="1" t="str" cm="1">
        <f t="array" ref="KZF3">GetValue("Dmn","Name",KZF2)</f>
        <v/>
      </c>
      <c r="KZG3" s="1" t="str" cm="1">
        <f t="array" ref="KZG3">GetValue("Dmn","Name",KZG2)</f>
        <v/>
      </c>
      <c r="KZH3" s="1" t="str" cm="1">
        <f t="array" ref="KZH3">GetValue("Dmn","Name",KZH2)</f>
        <v/>
      </c>
      <c r="KZI3" s="1" t="str" cm="1">
        <f t="array" ref="KZI3">GetValue("Dmn","Name",KZI2)</f>
        <v/>
      </c>
      <c r="KZJ3" s="1" t="str" cm="1">
        <f t="array" ref="KZJ3">GetValue("Dmn","Name",KZJ2)</f>
        <v/>
      </c>
      <c r="KZK3" s="1" t="str" cm="1">
        <f t="array" ref="KZK3">GetValue("Dmn","Name",KZK2)</f>
        <v/>
      </c>
      <c r="KZL3" s="1" t="str" cm="1">
        <f t="array" ref="KZL3">GetValue("Dmn","Name",KZL2)</f>
        <v/>
      </c>
      <c r="KZM3" s="1" t="str" cm="1">
        <f t="array" ref="KZM3">GetValue("Dmn","Name",KZM2)</f>
        <v/>
      </c>
      <c r="KZN3" s="1" t="str" cm="1">
        <f t="array" ref="KZN3">GetValue("Dmn","Name",KZN2)</f>
        <v/>
      </c>
      <c r="KZO3" s="1" t="str" cm="1">
        <f t="array" ref="KZO3">GetValue("Dmn","Name",KZO2)</f>
        <v/>
      </c>
      <c r="KZP3" s="1" t="str" cm="1">
        <f t="array" ref="KZP3">GetValue("Dmn","Name",KZP2)</f>
        <v/>
      </c>
      <c r="KZQ3" s="1" t="str" cm="1">
        <f t="array" ref="KZQ3">GetValue("Dmn","Name",KZQ2)</f>
        <v/>
      </c>
      <c r="KZR3" s="1" t="str" cm="1">
        <f t="array" ref="KZR3">GetValue("Dmn","Name",KZR2)</f>
        <v/>
      </c>
      <c r="KZS3" s="1" t="str" cm="1">
        <f t="array" ref="KZS3">GetValue("Dmn","Name",KZS2)</f>
        <v/>
      </c>
      <c r="KZT3" s="1" t="str" cm="1">
        <f t="array" ref="KZT3">GetValue("Dmn","Name",KZT2)</f>
        <v/>
      </c>
      <c r="KZU3" s="1" t="str" cm="1">
        <f t="array" ref="KZU3">GetValue("Dmn","Name",KZU2)</f>
        <v/>
      </c>
      <c r="KZV3" s="1" t="str" cm="1">
        <f t="array" ref="KZV3">GetValue("Dmn","Name",KZV2)</f>
        <v/>
      </c>
      <c r="KZW3" s="1" t="str" cm="1">
        <f t="array" ref="KZW3">GetValue("Dmn","Name",KZW2)</f>
        <v/>
      </c>
      <c r="KZX3" s="1" t="str" cm="1">
        <f t="array" ref="KZX3">GetValue("Dmn","Name",KZX2)</f>
        <v/>
      </c>
      <c r="KZY3" s="1" t="str" cm="1">
        <f t="array" ref="KZY3">GetValue("Dmn","Name",KZY2)</f>
        <v/>
      </c>
      <c r="KZZ3" s="1" t="str" cm="1">
        <f t="array" ref="KZZ3">GetValue("Dmn","Name",KZZ2)</f>
        <v/>
      </c>
      <c r="LAA3" s="1" t="str" cm="1">
        <f t="array" ref="LAA3">GetValue("Dmn","Name",LAA2)</f>
        <v/>
      </c>
      <c r="LAB3" s="1" t="str" cm="1">
        <f t="array" ref="LAB3">GetValue("Dmn","Name",LAB2)</f>
        <v/>
      </c>
      <c r="LAC3" s="1" t="str" cm="1">
        <f t="array" ref="LAC3">GetValue("Dmn","Name",LAC2)</f>
        <v/>
      </c>
      <c r="LAD3" s="1" t="str" cm="1">
        <f t="array" ref="LAD3">GetValue("Dmn","Name",LAD2)</f>
        <v/>
      </c>
      <c r="LAE3" s="1" t="str" cm="1">
        <f t="array" ref="LAE3">GetValue("Dmn","Name",LAE2)</f>
        <v/>
      </c>
      <c r="LAF3" s="1" t="str" cm="1">
        <f t="array" ref="LAF3">GetValue("Dmn","Name",LAF2)</f>
        <v/>
      </c>
      <c r="LAG3" s="1" t="str" cm="1">
        <f t="array" ref="LAG3">GetValue("Dmn","Name",LAG2)</f>
        <v/>
      </c>
      <c r="LAH3" s="1" t="str" cm="1">
        <f t="array" ref="LAH3">GetValue("Dmn","Name",LAH2)</f>
        <v/>
      </c>
      <c r="LAI3" s="1" t="str" cm="1">
        <f t="array" ref="LAI3">GetValue("Dmn","Name",LAI2)</f>
        <v/>
      </c>
      <c r="LAJ3" s="1" t="str" cm="1">
        <f t="array" ref="LAJ3">GetValue("Dmn","Name",LAJ2)</f>
        <v/>
      </c>
      <c r="LAK3" s="1" t="str" cm="1">
        <f t="array" ref="LAK3">GetValue("Dmn","Name",LAK2)</f>
        <v/>
      </c>
      <c r="LAL3" s="1" t="str" cm="1">
        <f t="array" ref="LAL3">GetValue("Dmn","Name",LAL2)</f>
        <v/>
      </c>
      <c r="LAM3" s="1" t="str" cm="1">
        <f t="array" ref="LAM3">GetValue("Dmn","Name",LAM2)</f>
        <v/>
      </c>
      <c r="LAN3" s="1" t="str" cm="1">
        <f t="array" ref="LAN3">GetValue("Dmn","Name",LAN2)</f>
        <v/>
      </c>
      <c r="LAO3" s="1" t="str" cm="1">
        <f t="array" ref="LAO3">GetValue("Dmn","Name",LAO2)</f>
        <v/>
      </c>
      <c r="LAP3" s="1" t="str" cm="1">
        <f t="array" ref="LAP3">GetValue("Dmn","Name",LAP2)</f>
        <v/>
      </c>
      <c r="LAQ3" s="1" t="str" cm="1">
        <f t="array" ref="LAQ3">GetValue("Dmn","Name",LAQ2)</f>
        <v/>
      </c>
      <c r="LAR3" s="1" t="str" cm="1">
        <f t="array" ref="LAR3">GetValue("Dmn","Name",LAR2)</f>
        <v/>
      </c>
      <c r="LAS3" s="1" t="str" cm="1">
        <f t="array" ref="LAS3">GetValue("Dmn","Name",LAS2)</f>
        <v/>
      </c>
      <c r="LAT3" s="1" t="str" cm="1">
        <f t="array" ref="LAT3">GetValue("Dmn","Name",LAT2)</f>
        <v/>
      </c>
      <c r="LAU3" s="1" t="str" cm="1">
        <f t="array" ref="LAU3">GetValue("Dmn","Name",LAU2)</f>
        <v/>
      </c>
      <c r="LAV3" s="1" t="str" cm="1">
        <f t="array" ref="LAV3">GetValue("Dmn","Name",LAV2)</f>
        <v/>
      </c>
      <c r="LAW3" s="1" t="str" cm="1">
        <f t="array" ref="LAW3">GetValue("Dmn","Name",LAW2)</f>
        <v/>
      </c>
      <c r="LAX3" s="1" t="str" cm="1">
        <f t="array" ref="LAX3">GetValue("Dmn","Name",LAX2)</f>
        <v/>
      </c>
      <c r="LAY3" s="1" t="str" cm="1">
        <f t="array" ref="LAY3">GetValue("Dmn","Name",LAY2)</f>
        <v/>
      </c>
      <c r="LAZ3" s="1" t="str" cm="1">
        <f t="array" ref="LAZ3">GetValue("Dmn","Name",LAZ2)</f>
        <v/>
      </c>
      <c r="LBA3" s="1" t="str" cm="1">
        <f t="array" ref="LBA3">GetValue("Dmn","Name",LBA2)</f>
        <v/>
      </c>
      <c r="LBB3" s="1" t="str" cm="1">
        <f t="array" ref="LBB3">GetValue("Dmn","Name",LBB2)</f>
        <v/>
      </c>
      <c r="LBC3" s="1" t="str" cm="1">
        <f t="array" ref="LBC3">GetValue("Dmn","Name",LBC2)</f>
        <v/>
      </c>
      <c r="LBD3" s="1" t="str" cm="1">
        <f t="array" ref="LBD3">GetValue("Dmn","Name",LBD2)</f>
        <v/>
      </c>
      <c r="LBE3" s="1" t="str" cm="1">
        <f t="array" ref="LBE3">GetValue("Dmn","Name",LBE2)</f>
        <v/>
      </c>
      <c r="LBF3" s="1" t="str" cm="1">
        <f t="array" ref="LBF3">GetValue("Dmn","Name",LBF2)</f>
        <v/>
      </c>
      <c r="LBG3" s="1" t="str" cm="1">
        <f t="array" ref="LBG3">GetValue("Dmn","Name",LBG2)</f>
        <v/>
      </c>
      <c r="LBH3" s="1" t="str" cm="1">
        <f t="array" ref="LBH3">GetValue("Dmn","Name",LBH2)</f>
        <v/>
      </c>
      <c r="LBI3" s="1" t="str" cm="1">
        <f t="array" ref="LBI3">GetValue("Dmn","Name",LBI2)</f>
        <v/>
      </c>
      <c r="LBJ3" s="1" t="str" cm="1">
        <f t="array" ref="LBJ3">GetValue("Dmn","Name",LBJ2)</f>
        <v/>
      </c>
      <c r="LBK3" s="1" t="str" cm="1">
        <f t="array" ref="LBK3">GetValue("Dmn","Name",LBK2)</f>
        <v/>
      </c>
      <c r="LBL3" s="1" t="str" cm="1">
        <f t="array" ref="LBL3">GetValue("Dmn","Name",LBL2)</f>
        <v/>
      </c>
      <c r="LBM3" s="1" t="str" cm="1">
        <f t="array" ref="LBM3">GetValue("Dmn","Name",LBM2)</f>
        <v/>
      </c>
      <c r="LBN3" s="1" t="str" cm="1">
        <f t="array" ref="LBN3">GetValue("Dmn","Name",LBN2)</f>
        <v/>
      </c>
      <c r="LBO3" s="1" t="str" cm="1">
        <f t="array" ref="LBO3">GetValue("Dmn","Name",LBO2)</f>
        <v/>
      </c>
      <c r="LBP3" s="1" t="str" cm="1">
        <f t="array" ref="LBP3">GetValue("Dmn","Name",LBP2)</f>
        <v/>
      </c>
      <c r="LBQ3" s="1" t="str" cm="1">
        <f t="array" ref="LBQ3">GetValue("Dmn","Name",LBQ2)</f>
        <v/>
      </c>
      <c r="LBR3" s="1" t="str" cm="1">
        <f t="array" ref="LBR3">GetValue("Dmn","Name",LBR2)</f>
        <v/>
      </c>
      <c r="LBS3" s="1" t="str" cm="1">
        <f t="array" ref="LBS3">GetValue("Dmn","Name",LBS2)</f>
        <v/>
      </c>
      <c r="LBT3" s="1" t="str" cm="1">
        <f t="array" ref="LBT3">GetValue("Dmn","Name",LBT2)</f>
        <v/>
      </c>
      <c r="LBU3" s="1" t="str" cm="1">
        <f t="array" ref="LBU3">GetValue("Dmn","Name",LBU2)</f>
        <v/>
      </c>
      <c r="LBV3" s="1" t="str" cm="1">
        <f t="array" ref="LBV3">GetValue("Dmn","Name",LBV2)</f>
        <v/>
      </c>
      <c r="LBW3" s="1" t="str" cm="1">
        <f t="array" ref="LBW3">GetValue("Dmn","Name",LBW2)</f>
        <v/>
      </c>
      <c r="LBX3" s="1" t="str" cm="1">
        <f t="array" ref="LBX3">GetValue("Dmn","Name",LBX2)</f>
        <v/>
      </c>
      <c r="LBY3" s="1" t="str" cm="1">
        <f t="array" ref="LBY3">GetValue("Dmn","Name",LBY2)</f>
        <v/>
      </c>
      <c r="LBZ3" s="1" t="str" cm="1">
        <f t="array" ref="LBZ3">GetValue("Dmn","Name",LBZ2)</f>
        <v/>
      </c>
      <c r="LCA3" s="1" t="str" cm="1">
        <f t="array" ref="LCA3">GetValue("Dmn","Name",LCA2)</f>
        <v/>
      </c>
      <c r="LCB3" s="1" t="str" cm="1">
        <f t="array" ref="LCB3">GetValue("Dmn","Name",LCB2)</f>
        <v/>
      </c>
      <c r="LCC3" s="1" t="str" cm="1">
        <f t="array" ref="LCC3">GetValue("Dmn","Name",LCC2)</f>
        <v/>
      </c>
      <c r="LCD3" s="1" t="str" cm="1">
        <f t="array" ref="LCD3">GetValue("Dmn","Name",LCD2)</f>
        <v/>
      </c>
      <c r="LCE3" s="1" t="str" cm="1">
        <f t="array" ref="LCE3">GetValue("Dmn","Name",LCE2)</f>
        <v/>
      </c>
      <c r="LCF3" s="1" t="str" cm="1">
        <f t="array" ref="LCF3">GetValue("Dmn","Name",LCF2)</f>
        <v/>
      </c>
      <c r="LCG3" s="1" t="str" cm="1">
        <f t="array" ref="LCG3">GetValue("Dmn","Name",LCG2)</f>
        <v/>
      </c>
      <c r="LCH3" s="1" t="str" cm="1">
        <f t="array" ref="LCH3">GetValue("Dmn","Name",LCH2)</f>
        <v/>
      </c>
      <c r="LCI3" s="1" t="str" cm="1">
        <f t="array" ref="LCI3">GetValue("Dmn","Name",LCI2)</f>
        <v/>
      </c>
      <c r="LCJ3" s="1" t="str" cm="1">
        <f t="array" ref="LCJ3">GetValue("Dmn","Name",LCJ2)</f>
        <v/>
      </c>
      <c r="LCK3" s="1" t="str" cm="1">
        <f t="array" ref="LCK3">GetValue("Dmn","Name",LCK2)</f>
        <v/>
      </c>
      <c r="LCL3" s="1" t="str" cm="1">
        <f t="array" ref="LCL3">GetValue("Dmn","Name",LCL2)</f>
        <v/>
      </c>
      <c r="LCM3" s="1" t="str" cm="1">
        <f t="array" ref="LCM3">GetValue("Dmn","Name",LCM2)</f>
        <v/>
      </c>
      <c r="LCN3" s="1" t="str" cm="1">
        <f t="array" ref="LCN3">GetValue("Dmn","Name",LCN2)</f>
        <v/>
      </c>
      <c r="LCO3" s="1" t="str" cm="1">
        <f t="array" ref="LCO3">GetValue("Dmn","Name",LCO2)</f>
        <v/>
      </c>
      <c r="LCP3" s="1" t="str" cm="1">
        <f t="array" ref="LCP3">GetValue("Dmn","Name",LCP2)</f>
        <v/>
      </c>
      <c r="LCQ3" s="1" t="str" cm="1">
        <f t="array" ref="LCQ3">GetValue("Dmn","Name",LCQ2)</f>
        <v/>
      </c>
      <c r="LCR3" s="1" t="str" cm="1">
        <f t="array" ref="LCR3">GetValue("Dmn","Name",LCR2)</f>
        <v/>
      </c>
      <c r="LCS3" s="1" t="str" cm="1">
        <f t="array" ref="LCS3">GetValue("Dmn","Name",LCS2)</f>
        <v/>
      </c>
      <c r="LCT3" s="1" t="str" cm="1">
        <f t="array" ref="LCT3">GetValue("Dmn","Name",LCT2)</f>
        <v/>
      </c>
      <c r="LCU3" s="1" t="str" cm="1">
        <f t="array" ref="LCU3">GetValue("Dmn","Name",LCU2)</f>
        <v/>
      </c>
      <c r="LCV3" s="1" t="str" cm="1">
        <f t="array" ref="LCV3">GetValue("Dmn","Name",LCV2)</f>
        <v/>
      </c>
      <c r="LCW3" s="1" t="str" cm="1">
        <f t="array" ref="LCW3">GetValue("Dmn","Name",LCW2)</f>
        <v/>
      </c>
      <c r="LCX3" s="1" t="str" cm="1">
        <f t="array" ref="LCX3">GetValue("Dmn","Name",LCX2)</f>
        <v/>
      </c>
      <c r="LCY3" s="1" t="str" cm="1">
        <f t="array" ref="LCY3">GetValue("Dmn","Name",LCY2)</f>
        <v/>
      </c>
      <c r="LCZ3" s="1" t="str" cm="1">
        <f t="array" ref="LCZ3">GetValue("Dmn","Name",LCZ2)</f>
        <v/>
      </c>
      <c r="LDA3" s="1" t="str" cm="1">
        <f t="array" ref="LDA3">GetValue("Dmn","Name",LDA2)</f>
        <v/>
      </c>
      <c r="LDB3" s="1" t="str" cm="1">
        <f t="array" ref="LDB3">GetValue("Dmn","Name",LDB2)</f>
        <v/>
      </c>
      <c r="LDC3" s="1" t="str" cm="1">
        <f t="array" ref="LDC3">GetValue("Dmn","Name",LDC2)</f>
        <v/>
      </c>
      <c r="LDD3" s="1" t="str" cm="1">
        <f t="array" ref="LDD3">GetValue("Dmn","Name",LDD2)</f>
        <v/>
      </c>
      <c r="LDE3" s="1" t="str" cm="1">
        <f t="array" ref="LDE3">GetValue("Dmn","Name",LDE2)</f>
        <v/>
      </c>
      <c r="LDF3" s="1" t="str" cm="1">
        <f t="array" ref="LDF3">GetValue("Dmn","Name",LDF2)</f>
        <v/>
      </c>
      <c r="LDG3" s="1" t="str" cm="1">
        <f t="array" ref="LDG3">GetValue("Dmn","Name",LDG2)</f>
        <v/>
      </c>
      <c r="LDH3" s="1" t="str" cm="1">
        <f t="array" ref="LDH3">GetValue("Dmn","Name",LDH2)</f>
        <v/>
      </c>
      <c r="LDI3" s="1" t="str" cm="1">
        <f t="array" ref="LDI3">GetValue("Dmn","Name",LDI2)</f>
        <v/>
      </c>
      <c r="LDJ3" s="1" t="str" cm="1">
        <f t="array" ref="LDJ3">GetValue("Dmn","Name",LDJ2)</f>
        <v/>
      </c>
      <c r="LDK3" s="1" t="str" cm="1">
        <f t="array" ref="LDK3">GetValue("Dmn","Name",LDK2)</f>
        <v/>
      </c>
      <c r="LDL3" s="1" t="str" cm="1">
        <f t="array" ref="LDL3">GetValue("Dmn","Name",LDL2)</f>
        <v/>
      </c>
      <c r="LDM3" s="1" t="str" cm="1">
        <f t="array" ref="LDM3">GetValue("Dmn","Name",LDM2)</f>
        <v/>
      </c>
      <c r="LDN3" s="1" t="str" cm="1">
        <f t="array" ref="LDN3">GetValue("Dmn","Name",LDN2)</f>
        <v/>
      </c>
      <c r="LDO3" s="1" t="str" cm="1">
        <f t="array" ref="LDO3">GetValue("Dmn","Name",LDO2)</f>
        <v/>
      </c>
      <c r="LDP3" s="1" t="str" cm="1">
        <f t="array" ref="LDP3">GetValue("Dmn","Name",LDP2)</f>
        <v/>
      </c>
      <c r="LDQ3" s="1" t="str" cm="1">
        <f t="array" ref="LDQ3">GetValue("Dmn","Name",LDQ2)</f>
        <v/>
      </c>
      <c r="LDR3" s="1" t="str" cm="1">
        <f t="array" ref="LDR3">GetValue("Dmn","Name",LDR2)</f>
        <v/>
      </c>
      <c r="LDS3" s="1" t="str" cm="1">
        <f t="array" ref="LDS3">GetValue("Dmn","Name",LDS2)</f>
        <v/>
      </c>
      <c r="LDT3" s="1" t="str" cm="1">
        <f t="array" ref="LDT3">GetValue("Dmn","Name",LDT2)</f>
        <v/>
      </c>
      <c r="LDU3" s="1" t="str" cm="1">
        <f t="array" ref="LDU3">GetValue("Dmn","Name",LDU2)</f>
        <v/>
      </c>
      <c r="LDV3" s="1" t="str" cm="1">
        <f t="array" ref="LDV3">GetValue("Dmn","Name",LDV2)</f>
        <v/>
      </c>
      <c r="LDW3" s="1" t="str" cm="1">
        <f t="array" ref="LDW3">GetValue("Dmn","Name",LDW2)</f>
        <v/>
      </c>
      <c r="LDX3" s="1" t="str" cm="1">
        <f t="array" ref="LDX3">GetValue("Dmn","Name",LDX2)</f>
        <v/>
      </c>
      <c r="LDY3" s="1" t="str" cm="1">
        <f t="array" ref="LDY3">GetValue("Dmn","Name",LDY2)</f>
        <v/>
      </c>
      <c r="LDZ3" s="1" t="str" cm="1">
        <f t="array" ref="LDZ3">GetValue("Dmn","Name",LDZ2)</f>
        <v/>
      </c>
      <c r="LEA3" s="1" t="str" cm="1">
        <f t="array" ref="LEA3">GetValue("Dmn","Name",LEA2)</f>
        <v/>
      </c>
      <c r="LEB3" s="1" t="str" cm="1">
        <f t="array" ref="LEB3">GetValue("Dmn","Name",LEB2)</f>
        <v/>
      </c>
      <c r="LEC3" s="1" t="str" cm="1">
        <f t="array" ref="LEC3">GetValue("Dmn","Name",LEC2)</f>
        <v/>
      </c>
      <c r="LED3" s="1" t="str" cm="1">
        <f t="array" ref="LED3">GetValue("Dmn","Name",LED2)</f>
        <v/>
      </c>
      <c r="LEE3" s="1" t="str" cm="1">
        <f t="array" ref="LEE3">GetValue("Dmn","Name",LEE2)</f>
        <v/>
      </c>
      <c r="LEF3" s="1" t="str" cm="1">
        <f t="array" ref="LEF3">GetValue("Dmn","Name",LEF2)</f>
        <v/>
      </c>
      <c r="LEG3" s="1" t="str" cm="1">
        <f t="array" ref="LEG3">GetValue("Dmn","Name",LEG2)</f>
        <v/>
      </c>
      <c r="LEH3" s="1" t="str" cm="1">
        <f t="array" ref="LEH3">GetValue("Dmn","Name",LEH2)</f>
        <v/>
      </c>
      <c r="LEI3" s="1" t="str" cm="1">
        <f t="array" ref="LEI3">GetValue("Dmn","Name",LEI2)</f>
        <v/>
      </c>
      <c r="LEJ3" s="1" t="str" cm="1">
        <f t="array" ref="LEJ3">GetValue("Dmn","Name",LEJ2)</f>
        <v/>
      </c>
      <c r="LEK3" s="1" t="str" cm="1">
        <f t="array" ref="LEK3">GetValue("Dmn","Name",LEK2)</f>
        <v/>
      </c>
      <c r="LEL3" s="1" t="str" cm="1">
        <f t="array" ref="LEL3">GetValue("Dmn","Name",LEL2)</f>
        <v/>
      </c>
      <c r="LEM3" s="1" t="str" cm="1">
        <f t="array" ref="LEM3">GetValue("Dmn","Name",LEM2)</f>
        <v/>
      </c>
      <c r="LEN3" s="1" t="str" cm="1">
        <f t="array" ref="LEN3">GetValue("Dmn","Name",LEN2)</f>
        <v/>
      </c>
      <c r="LEO3" s="1" t="str" cm="1">
        <f t="array" ref="LEO3">GetValue("Dmn","Name",LEO2)</f>
        <v/>
      </c>
      <c r="LEP3" s="1" t="str" cm="1">
        <f t="array" ref="LEP3">GetValue("Dmn","Name",LEP2)</f>
        <v/>
      </c>
      <c r="LEQ3" s="1" t="str" cm="1">
        <f t="array" ref="LEQ3">GetValue("Dmn","Name",LEQ2)</f>
        <v/>
      </c>
      <c r="LER3" s="1" t="str" cm="1">
        <f t="array" ref="LER3">GetValue("Dmn","Name",LER2)</f>
        <v/>
      </c>
      <c r="LES3" s="1" t="str" cm="1">
        <f t="array" ref="LES3">GetValue("Dmn","Name",LES2)</f>
        <v/>
      </c>
      <c r="LET3" s="1" t="str" cm="1">
        <f t="array" ref="LET3">GetValue("Dmn","Name",LET2)</f>
        <v/>
      </c>
      <c r="LEU3" s="1" t="str" cm="1">
        <f t="array" ref="LEU3">GetValue("Dmn","Name",LEU2)</f>
        <v/>
      </c>
      <c r="LEV3" s="1" t="str" cm="1">
        <f t="array" ref="LEV3">GetValue("Dmn","Name",LEV2)</f>
        <v/>
      </c>
      <c r="LEW3" s="1" t="str" cm="1">
        <f t="array" ref="LEW3">GetValue("Dmn","Name",LEW2)</f>
        <v/>
      </c>
      <c r="LEX3" s="1" t="str" cm="1">
        <f t="array" ref="LEX3">GetValue("Dmn","Name",LEX2)</f>
        <v/>
      </c>
      <c r="LEY3" s="1" t="str" cm="1">
        <f t="array" ref="LEY3">GetValue("Dmn","Name",LEY2)</f>
        <v/>
      </c>
      <c r="LEZ3" s="1" t="str" cm="1">
        <f t="array" ref="LEZ3">GetValue("Dmn","Name",LEZ2)</f>
        <v/>
      </c>
      <c r="LFA3" s="1" t="str" cm="1">
        <f t="array" ref="LFA3">GetValue("Dmn","Name",LFA2)</f>
        <v/>
      </c>
      <c r="LFB3" s="1" t="str" cm="1">
        <f t="array" ref="LFB3">GetValue("Dmn","Name",LFB2)</f>
        <v/>
      </c>
      <c r="LFC3" s="1" t="str" cm="1">
        <f t="array" ref="LFC3">GetValue("Dmn","Name",LFC2)</f>
        <v/>
      </c>
      <c r="LFD3" s="1" t="str" cm="1">
        <f t="array" ref="LFD3">GetValue("Dmn","Name",LFD2)</f>
        <v/>
      </c>
      <c r="LFE3" s="1" t="str" cm="1">
        <f t="array" ref="LFE3">GetValue("Dmn","Name",LFE2)</f>
        <v/>
      </c>
      <c r="LFF3" s="1" t="str" cm="1">
        <f t="array" ref="LFF3">GetValue("Dmn","Name",LFF2)</f>
        <v/>
      </c>
      <c r="LFG3" s="1" t="str" cm="1">
        <f t="array" ref="LFG3">GetValue("Dmn","Name",LFG2)</f>
        <v/>
      </c>
      <c r="LFH3" s="1" t="str" cm="1">
        <f t="array" ref="LFH3">GetValue("Dmn","Name",LFH2)</f>
        <v/>
      </c>
      <c r="LFI3" s="1" t="str" cm="1">
        <f t="array" ref="LFI3">GetValue("Dmn","Name",LFI2)</f>
        <v/>
      </c>
      <c r="LFJ3" s="1" t="str" cm="1">
        <f t="array" ref="LFJ3">GetValue("Dmn","Name",LFJ2)</f>
        <v/>
      </c>
      <c r="LFK3" s="1" t="str" cm="1">
        <f t="array" ref="LFK3">GetValue("Dmn","Name",LFK2)</f>
        <v/>
      </c>
      <c r="LFL3" s="1" t="str" cm="1">
        <f t="array" ref="LFL3">GetValue("Dmn","Name",LFL2)</f>
        <v/>
      </c>
      <c r="LFM3" s="1" t="str" cm="1">
        <f t="array" ref="LFM3">GetValue("Dmn","Name",LFM2)</f>
        <v/>
      </c>
      <c r="LFN3" s="1" t="str" cm="1">
        <f t="array" ref="LFN3">GetValue("Dmn","Name",LFN2)</f>
        <v/>
      </c>
      <c r="LFO3" s="1" t="str" cm="1">
        <f t="array" ref="LFO3">GetValue("Dmn","Name",LFO2)</f>
        <v/>
      </c>
      <c r="LFP3" s="1" t="str" cm="1">
        <f t="array" ref="LFP3">GetValue("Dmn","Name",LFP2)</f>
        <v/>
      </c>
      <c r="LFQ3" s="1" t="str" cm="1">
        <f t="array" ref="LFQ3">GetValue("Dmn","Name",LFQ2)</f>
        <v/>
      </c>
      <c r="LFR3" s="1" t="str" cm="1">
        <f t="array" ref="LFR3">GetValue("Dmn","Name",LFR2)</f>
        <v/>
      </c>
      <c r="LFS3" s="1" t="str" cm="1">
        <f t="array" ref="LFS3">GetValue("Dmn","Name",LFS2)</f>
        <v/>
      </c>
      <c r="LFT3" s="1" t="str" cm="1">
        <f t="array" ref="LFT3">GetValue("Dmn","Name",LFT2)</f>
        <v/>
      </c>
      <c r="LFU3" s="1" t="str" cm="1">
        <f t="array" ref="LFU3">GetValue("Dmn","Name",LFU2)</f>
        <v/>
      </c>
      <c r="LFV3" s="1" t="str" cm="1">
        <f t="array" ref="LFV3">GetValue("Dmn","Name",LFV2)</f>
        <v/>
      </c>
      <c r="LFW3" s="1" t="str" cm="1">
        <f t="array" ref="LFW3">GetValue("Dmn","Name",LFW2)</f>
        <v/>
      </c>
      <c r="LFX3" s="1" t="str" cm="1">
        <f t="array" ref="LFX3">GetValue("Dmn","Name",LFX2)</f>
        <v/>
      </c>
      <c r="LFY3" s="1" t="str" cm="1">
        <f t="array" ref="LFY3">GetValue("Dmn","Name",LFY2)</f>
        <v/>
      </c>
      <c r="LFZ3" s="1" t="str" cm="1">
        <f t="array" ref="LFZ3">GetValue("Dmn","Name",LFZ2)</f>
        <v/>
      </c>
      <c r="LGA3" s="1" t="str" cm="1">
        <f t="array" ref="LGA3">GetValue("Dmn","Name",LGA2)</f>
        <v/>
      </c>
      <c r="LGB3" s="1" t="str" cm="1">
        <f t="array" ref="LGB3">GetValue("Dmn","Name",LGB2)</f>
        <v/>
      </c>
      <c r="LGC3" s="1" t="str" cm="1">
        <f t="array" ref="LGC3">GetValue("Dmn","Name",LGC2)</f>
        <v/>
      </c>
      <c r="LGD3" s="1" t="str" cm="1">
        <f t="array" ref="LGD3">GetValue("Dmn","Name",LGD2)</f>
        <v/>
      </c>
      <c r="LGE3" s="1" t="str" cm="1">
        <f t="array" ref="LGE3">GetValue("Dmn","Name",LGE2)</f>
        <v/>
      </c>
      <c r="LGF3" s="1" t="str" cm="1">
        <f t="array" ref="LGF3">GetValue("Dmn","Name",LGF2)</f>
        <v/>
      </c>
      <c r="LGG3" s="1" t="str" cm="1">
        <f t="array" ref="LGG3">GetValue("Dmn","Name",LGG2)</f>
        <v/>
      </c>
      <c r="LGH3" s="1" t="str" cm="1">
        <f t="array" ref="LGH3">GetValue("Dmn","Name",LGH2)</f>
        <v/>
      </c>
      <c r="LGI3" s="1" t="str" cm="1">
        <f t="array" ref="LGI3">GetValue("Dmn","Name",LGI2)</f>
        <v/>
      </c>
      <c r="LGJ3" s="1" t="str" cm="1">
        <f t="array" ref="LGJ3">GetValue("Dmn","Name",LGJ2)</f>
        <v/>
      </c>
      <c r="LGK3" s="1" t="str" cm="1">
        <f t="array" ref="LGK3">GetValue("Dmn","Name",LGK2)</f>
        <v/>
      </c>
      <c r="LGL3" s="1" t="str" cm="1">
        <f t="array" ref="LGL3">GetValue("Dmn","Name",LGL2)</f>
        <v/>
      </c>
      <c r="LGM3" s="1" t="str" cm="1">
        <f t="array" ref="LGM3">GetValue("Dmn","Name",LGM2)</f>
        <v/>
      </c>
      <c r="LGN3" s="1" t="str" cm="1">
        <f t="array" ref="LGN3">GetValue("Dmn","Name",LGN2)</f>
        <v/>
      </c>
      <c r="LGO3" s="1" t="str" cm="1">
        <f t="array" ref="LGO3">GetValue("Dmn","Name",LGO2)</f>
        <v/>
      </c>
      <c r="LGP3" s="1" t="str" cm="1">
        <f t="array" ref="LGP3">GetValue("Dmn","Name",LGP2)</f>
        <v/>
      </c>
      <c r="LGQ3" s="1" t="str" cm="1">
        <f t="array" ref="LGQ3">GetValue("Dmn","Name",LGQ2)</f>
        <v/>
      </c>
      <c r="LGR3" s="1" t="str" cm="1">
        <f t="array" ref="LGR3">GetValue("Dmn","Name",LGR2)</f>
        <v/>
      </c>
      <c r="LGS3" s="1" t="str" cm="1">
        <f t="array" ref="LGS3">GetValue("Dmn","Name",LGS2)</f>
        <v/>
      </c>
      <c r="LGT3" s="1" t="str" cm="1">
        <f t="array" ref="LGT3">GetValue("Dmn","Name",LGT2)</f>
        <v/>
      </c>
      <c r="LGU3" s="1" t="str" cm="1">
        <f t="array" ref="LGU3">GetValue("Dmn","Name",LGU2)</f>
        <v/>
      </c>
      <c r="LGV3" s="1" t="str" cm="1">
        <f t="array" ref="LGV3">GetValue("Dmn","Name",LGV2)</f>
        <v/>
      </c>
      <c r="LGW3" s="1" t="str" cm="1">
        <f t="array" ref="LGW3">GetValue("Dmn","Name",LGW2)</f>
        <v/>
      </c>
      <c r="LGX3" s="1" t="str" cm="1">
        <f t="array" ref="LGX3">GetValue("Dmn","Name",LGX2)</f>
        <v/>
      </c>
      <c r="LGY3" s="1" t="str" cm="1">
        <f t="array" ref="LGY3">GetValue("Dmn","Name",LGY2)</f>
        <v/>
      </c>
      <c r="LGZ3" s="1" t="str" cm="1">
        <f t="array" ref="LGZ3">GetValue("Dmn","Name",LGZ2)</f>
        <v/>
      </c>
      <c r="LHA3" s="1" t="str" cm="1">
        <f t="array" ref="LHA3">GetValue("Dmn","Name",LHA2)</f>
        <v/>
      </c>
      <c r="LHB3" s="1" t="str" cm="1">
        <f t="array" ref="LHB3">GetValue("Dmn","Name",LHB2)</f>
        <v/>
      </c>
      <c r="LHC3" s="1" t="str" cm="1">
        <f t="array" ref="LHC3">GetValue("Dmn","Name",LHC2)</f>
        <v/>
      </c>
      <c r="LHD3" s="1" t="str" cm="1">
        <f t="array" ref="LHD3">GetValue("Dmn","Name",LHD2)</f>
        <v/>
      </c>
      <c r="LHE3" s="1" t="str" cm="1">
        <f t="array" ref="LHE3">GetValue("Dmn","Name",LHE2)</f>
        <v/>
      </c>
      <c r="LHF3" s="1" t="str" cm="1">
        <f t="array" ref="LHF3">GetValue("Dmn","Name",LHF2)</f>
        <v/>
      </c>
      <c r="LHG3" s="1" t="str" cm="1">
        <f t="array" ref="LHG3">GetValue("Dmn","Name",LHG2)</f>
        <v/>
      </c>
      <c r="LHH3" s="1" t="str" cm="1">
        <f t="array" ref="LHH3">GetValue("Dmn","Name",LHH2)</f>
        <v/>
      </c>
      <c r="LHI3" s="1" t="str" cm="1">
        <f t="array" ref="LHI3">GetValue("Dmn","Name",LHI2)</f>
        <v/>
      </c>
      <c r="LHJ3" s="1" t="str" cm="1">
        <f t="array" ref="LHJ3">GetValue("Dmn","Name",LHJ2)</f>
        <v/>
      </c>
      <c r="LHK3" s="1" t="str" cm="1">
        <f t="array" ref="LHK3">GetValue("Dmn","Name",LHK2)</f>
        <v/>
      </c>
      <c r="LHL3" s="1" t="str" cm="1">
        <f t="array" ref="LHL3">GetValue("Dmn","Name",LHL2)</f>
        <v/>
      </c>
      <c r="LHM3" s="1" t="str" cm="1">
        <f t="array" ref="LHM3">GetValue("Dmn","Name",LHM2)</f>
        <v/>
      </c>
      <c r="LHN3" s="1" t="str" cm="1">
        <f t="array" ref="LHN3">GetValue("Dmn","Name",LHN2)</f>
        <v/>
      </c>
      <c r="LHO3" s="1" t="str" cm="1">
        <f t="array" ref="LHO3">GetValue("Dmn","Name",LHO2)</f>
        <v/>
      </c>
      <c r="LHP3" s="1" t="str" cm="1">
        <f t="array" ref="LHP3">GetValue("Dmn","Name",LHP2)</f>
        <v/>
      </c>
      <c r="LHQ3" s="1" t="str" cm="1">
        <f t="array" ref="LHQ3">GetValue("Dmn","Name",LHQ2)</f>
        <v/>
      </c>
      <c r="LHR3" s="1" t="str" cm="1">
        <f t="array" ref="LHR3">GetValue("Dmn","Name",LHR2)</f>
        <v/>
      </c>
      <c r="LHS3" s="1" t="str" cm="1">
        <f t="array" ref="LHS3">GetValue("Dmn","Name",LHS2)</f>
        <v/>
      </c>
      <c r="LHT3" s="1" t="str" cm="1">
        <f t="array" ref="LHT3">GetValue("Dmn","Name",LHT2)</f>
        <v/>
      </c>
      <c r="LHU3" s="1" t="str" cm="1">
        <f t="array" ref="LHU3">GetValue("Dmn","Name",LHU2)</f>
        <v/>
      </c>
      <c r="LHV3" s="1" t="str" cm="1">
        <f t="array" ref="LHV3">GetValue("Dmn","Name",LHV2)</f>
        <v/>
      </c>
      <c r="LHW3" s="1" t="str" cm="1">
        <f t="array" ref="LHW3">GetValue("Dmn","Name",LHW2)</f>
        <v/>
      </c>
      <c r="LHX3" s="1" t="str" cm="1">
        <f t="array" ref="LHX3">GetValue("Dmn","Name",LHX2)</f>
        <v/>
      </c>
      <c r="LHY3" s="1" t="str" cm="1">
        <f t="array" ref="LHY3">GetValue("Dmn","Name",LHY2)</f>
        <v/>
      </c>
      <c r="LHZ3" s="1" t="str" cm="1">
        <f t="array" ref="LHZ3">GetValue("Dmn","Name",LHZ2)</f>
        <v/>
      </c>
      <c r="LIA3" s="1" t="str" cm="1">
        <f t="array" ref="LIA3">GetValue("Dmn","Name",LIA2)</f>
        <v/>
      </c>
      <c r="LIB3" s="1" t="str" cm="1">
        <f t="array" ref="LIB3">GetValue("Dmn","Name",LIB2)</f>
        <v/>
      </c>
      <c r="LIC3" s="1" t="str" cm="1">
        <f t="array" ref="LIC3">GetValue("Dmn","Name",LIC2)</f>
        <v/>
      </c>
      <c r="LID3" s="1" t="str" cm="1">
        <f t="array" ref="LID3">GetValue("Dmn","Name",LID2)</f>
        <v/>
      </c>
      <c r="LIE3" s="1" t="str" cm="1">
        <f t="array" ref="LIE3">GetValue("Dmn","Name",LIE2)</f>
        <v/>
      </c>
      <c r="LIF3" s="1" t="str" cm="1">
        <f t="array" ref="LIF3">GetValue("Dmn","Name",LIF2)</f>
        <v/>
      </c>
      <c r="LIG3" s="1" t="str" cm="1">
        <f t="array" ref="LIG3">GetValue("Dmn","Name",LIG2)</f>
        <v/>
      </c>
      <c r="LIH3" s="1" t="str" cm="1">
        <f t="array" ref="LIH3">GetValue("Dmn","Name",LIH2)</f>
        <v/>
      </c>
      <c r="LII3" s="1" t="str" cm="1">
        <f t="array" ref="LII3">GetValue("Dmn","Name",LII2)</f>
        <v/>
      </c>
      <c r="LIJ3" s="1" t="str" cm="1">
        <f t="array" ref="LIJ3">GetValue("Dmn","Name",LIJ2)</f>
        <v/>
      </c>
      <c r="LIK3" s="1" t="str" cm="1">
        <f t="array" ref="LIK3">GetValue("Dmn","Name",LIK2)</f>
        <v/>
      </c>
      <c r="LIL3" s="1" t="str" cm="1">
        <f t="array" ref="LIL3">GetValue("Dmn","Name",LIL2)</f>
        <v/>
      </c>
      <c r="LIM3" s="1" t="str" cm="1">
        <f t="array" ref="LIM3">GetValue("Dmn","Name",LIM2)</f>
        <v/>
      </c>
      <c r="LIN3" s="1" t="str" cm="1">
        <f t="array" ref="LIN3">GetValue("Dmn","Name",LIN2)</f>
        <v/>
      </c>
      <c r="LIO3" s="1" t="str" cm="1">
        <f t="array" ref="LIO3">GetValue("Dmn","Name",LIO2)</f>
        <v/>
      </c>
      <c r="LIP3" s="1" t="str" cm="1">
        <f t="array" ref="LIP3">GetValue("Dmn","Name",LIP2)</f>
        <v/>
      </c>
      <c r="LIQ3" s="1" t="str" cm="1">
        <f t="array" ref="LIQ3">GetValue("Dmn","Name",LIQ2)</f>
        <v/>
      </c>
      <c r="LIR3" s="1" t="str" cm="1">
        <f t="array" ref="LIR3">GetValue("Dmn","Name",LIR2)</f>
        <v/>
      </c>
      <c r="LIS3" s="1" t="str" cm="1">
        <f t="array" ref="LIS3">GetValue("Dmn","Name",LIS2)</f>
        <v/>
      </c>
      <c r="LIT3" s="1" t="str" cm="1">
        <f t="array" ref="LIT3">GetValue("Dmn","Name",LIT2)</f>
        <v/>
      </c>
      <c r="LIU3" s="1" t="str" cm="1">
        <f t="array" ref="LIU3">GetValue("Dmn","Name",LIU2)</f>
        <v/>
      </c>
      <c r="LIV3" s="1" t="str" cm="1">
        <f t="array" ref="LIV3">GetValue("Dmn","Name",LIV2)</f>
        <v/>
      </c>
      <c r="LIW3" s="1" t="str" cm="1">
        <f t="array" ref="LIW3">GetValue("Dmn","Name",LIW2)</f>
        <v/>
      </c>
      <c r="LIX3" s="1" t="str" cm="1">
        <f t="array" ref="LIX3">GetValue("Dmn","Name",LIX2)</f>
        <v/>
      </c>
      <c r="LIY3" s="1" t="str" cm="1">
        <f t="array" ref="LIY3">GetValue("Dmn","Name",LIY2)</f>
        <v/>
      </c>
      <c r="LIZ3" s="1" t="str" cm="1">
        <f t="array" ref="LIZ3">GetValue("Dmn","Name",LIZ2)</f>
        <v/>
      </c>
      <c r="LJA3" s="1" t="str" cm="1">
        <f t="array" ref="LJA3">GetValue("Dmn","Name",LJA2)</f>
        <v/>
      </c>
      <c r="LJB3" s="1" t="str" cm="1">
        <f t="array" ref="LJB3">GetValue("Dmn","Name",LJB2)</f>
        <v/>
      </c>
      <c r="LJC3" s="1" t="str" cm="1">
        <f t="array" ref="LJC3">GetValue("Dmn","Name",LJC2)</f>
        <v/>
      </c>
      <c r="LJD3" s="1" t="str" cm="1">
        <f t="array" ref="LJD3">GetValue("Dmn","Name",LJD2)</f>
        <v/>
      </c>
      <c r="LJE3" s="1" t="str" cm="1">
        <f t="array" ref="LJE3">GetValue("Dmn","Name",LJE2)</f>
        <v/>
      </c>
      <c r="LJF3" s="1" t="str" cm="1">
        <f t="array" ref="LJF3">GetValue("Dmn","Name",LJF2)</f>
        <v/>
      </c>
      <c r="LJG3" s="1" t="str" cm="1">
        <f t="array" ref="LJG3">GetValue("Dmn","Name",LJG2)</f>
        <v/>
      </c>
      <c r="LJH3" s="1" t="str" cm="1">
        <f t="array" ref="LJH3">GetValue("Dmn","Name",LJH2)</f>
        <v/>
      </c>
      <c r="LJI3" s="1" t="str" cm="1">
        <f t="array" ref="LJI3">GetValue("Dmn","Name",LJI2)</f>
        <v/>
      </c>
      <c r="LJJ3" s="1" t="str" cm="1">
        <f t="array" ref="LJJ3">GetValue("Dmn","Name",LJJ2)</f>
        <v/>
      </c>
      <c r="LJK3" s="1" t="str" cm="1">
        <f t="array" ref="LJK3">GetValue("Dmn","Name",LJK2)</f>
        <v/>
      </c>
      <c r="LJL3" s="1" t="str" cm="1">
        <f t="array" ref="LJL3">GetValue("Dmn","Name",LJL2)</f>
        <v/>
      </c>
      <c r="LJM3" s="1" t="str" cm="1">
        <f t="array" ref="LJM3">GetValue("Dmn","Name",LJM2)</f>
        <v/>
      </c>
      <c r="LJN3" s="1" t="str" cm="1">
        <f t="array" ref="LJN3">GetValue("Dmn","Name",LJN2)</f>
        <v/>
      </c>
      <c r="LJO3" s="1" t="str" cm="1">
        <f t="array" ref="LJO3">GetValue("Dmn","Name",LJO2)</f>
        <v/>
      </c>
      <c r="LJP3" s="1" t="str" cm="1">
        <f t="array" ref="LJP3">GetValue("Dmn","Name",LJP2)</f>
        <v/>
      </c>
      <c r="LJQ3" s="1" t="str" cm="1">
        <f t="array" ref="LJQ3">GetValue("Dmn","Name",LJQ2)</f>
        <v/>
      </c>
      <c r="LJR3" s="1" t="str" cm="1">
        <f t="array" ref="LJR3">GetValue("Dmn","Name",LJR2)</f>
        <v/>
      </c>
      <c r="LJS3" s="1" t="str" cm="1">
        <f t="array" ref="LJS3">GetValue("Dmn","Name",LJS2)</f>
        <v/>
      </c>
      <c r="LJT3" s="1" t="str" cm="1">
        <f t="array" ref="LJT3">GetValue("Dmn","Name",LJT2)</f>
        <v/>
      </c>
      <c r="LJU3" s="1" t="str" cm="1">
        <f t="array" ref="LJU3">GetValue("Dmn","Name",LJU2)</f>
        <v/>
      </c>
      <c r="LJV3" s="1" t="str" cm="1">
        <f t="array" ref="LJV3">GetValue("Dmn","Name",LJV2)</f>
        <v/>
      </c>
      <c r="LJW3" s="1" t="str" cm="1">
        <f t="array" ref="LJW3">GetValue("Dmn","Name",LJW2)</f>
        <v/>
      </c>
      <c r="LJX3" s="1" t="str" cm="1">
        <f t="array" ref="LJX3">GetValue("Dmn","Name",LJX2)</f>
        <v/>
      </c>
      <c r="LJY3" s="1" t="str" cm="1">
        <f t="array" ref="LJY3">GetValue("Dmn","Name",LJY2)</f>
        <v/>
      </c>
      <c r="LJZ3" s="1" t="str" cm="1">
        <f t="array" ref="LJZ3">GetValue("Dmn","Name",LJZ2)</f>
        <v/>
      </c>
      <c r="LKA3" s="1" t="str" cm="1">
        <f t="array" ref="LKA3">GetValue("Dmn","Name",LKA2)</f>
        <v/>
      </c>
      <c r="LKB3" s="1" t="str" cm="1">
        <f t="array" ref="LKB3">GetValue("Dmn","Name",LKB2)</f>
        <v/>
      </c>
      <c r="LKC3" s="1" t="str" cm="1">
        <f t="array" ref="LKC3">GetValue("Dmn","Name",LKC2)</f>
        <v/>
      </c>
      <c r="LKD3" s="1" t="str" cm="1">
        <f t="array" ref="LKD3">GetValue("Dmn","Name",LKD2)</f>
        <v/>
      </c>
      <c r="LKE3" s="1" t="str" cm="1">
        <f t="array" ref="LKE3">GetValue("Dmn","Name",LKE2)</f>
        <v/>
      </c>
      <c r="LKF3" s="1" t="str" cm="1">
        <f t="array" ref="LKF3">GetValue("Dmn","Name",LKF2)</f>
        <v/>
      </c>
      <c r="LKG3" s="1" t="str" cm="1">
        <f t="array" ref="LKG3">GetValue("Dmn","Name",LKG2)</f>
        <v/>
      </c>
      <c r="LKH3" s="1" t="str" cm="1">
        <f t="array" ref="LKH3">GetValue("Dmn","Name",LKH2)</f>
        <v/>
      </c>
      <c r="LKI3" s="1" t="str" cm="1">
        <f t="array" ref="LKI3">GetValue("Dmn","Name",LKI2)</f>
        <v/>
      </c>
      <c r="LKJ3" s="1" t="str" cm="1">
        <f t="array" ref="LKJ3">GetValue("Dmn","Name",LKJ2)</f>
        <v/>
      </c>
      <c r="LKK3" s="1" t="str" cm="1">
        <f t="array" ref="LKK3">GetValue("Dmn","Name",LKK2)</f>
        <v/>
      </c>
      <c r="LKL3" s="1" t="str" cm="1">
        <f t="array" ref="LKL3">GetValue("Dmn","Name",LKL2)</f>
        <v/>
      </c>
      <c r="LKM3" s="1" t="str" cm="1">
        <f t="array" ref="LKM3">GetValue("Dmn","Name",LKM2)</f>
        <v/>
      </c>
      <c r="LKN3" s="1" t="str" cm="1">
        <f t="array" ref="LKN3">GetValue("Dmn","Name",LKN2)</f>
        <v/>
      </c>
      <c r="LKO3" s="1" t="str" cm="1">
        <f t="array" ref="LKO3">GetValue("Dmn","Name",LKO2)</f>
        <v/>
      </c>
      <c r="LKP3" s="1" t="str" cm="1">
        <f t="array" ref="LKP3">GetValue("Dmn","Name",LKP2)</f>
        <v/>
      </c>
      <c r="LKQ3" s="1" t="str" cm="1">
        <f t="array" ref="LKQ3">GetValue("Dmn","Name",LKQ2)</f>
        <v/>
      </c>
      <c r="LKR3" s="1" t="str" cm="1">
        <f t="array" ref="LKR3">GetValue("Dmn","Name",LKR2)</f>
        <v/>
      </c>
      <c r="LKS3" s="1" t="str" cm="1">
        <f t="array" ref="LKS3">GetValue("Dmn","Name",LKS2)</f>
        <v/>
      </c>
      <c r="LKT3" s="1" t="str" cm="1">
        <f t="array" ref="LKT3">GetValue("Dmn","Name",LKT2)</f>
        <v/>
      </c>
      <c r="LKU3" s="1" t="str" cm="1">
        <f t="array" ref="LKU3">GetValue("Dmn","Name",LKU2)</f>
        <v/>
      </c>
      <c r="LKV3" s="1" t="str" cm="1">
        <f t="array" ref="LKV3">GetValue("Dmn","Name",LKV2)</f>
        <v/>
      </c>
      <c r="LKW3" s="1" t="str" cm="1">
        <f t="array" ref="LKW3">GetValue("Dmn","Name",LKW2)</f>
        <v/>
      </c>
      <c r="LKX3" s="1" t="str" cm="1">
        <f t="array" ref="LKX3">GetValue("Dmn","Name",LKX2)</f>
        <v/>
      </c>
      <c r="LKY3" s="1" t="str" cm="1">
        <f t="array" ref="LKY3">GetValue("Dmn","Name",LKY2)</f>
        <v/>
      </c>
      <c r="LKZ3" s="1" t="str" cm="1">
        <f t="array" ref="LKZ3">GetValue("Dmn","Name",LKZ2)</f>
        <v/>
      </c>
      <c r="LLA3" s="1" t="str" cm="1">
        <f t="array" ref="LLA3">GetValue("Dmn","Name",LLA2)</f>
        <v/>
      </c>
      <c r="LLB3" s="1" t="str" cm="1">
        <f t="array" ref="LLB3">GetValue("Dmn","Name",LLB2)</f>
        <v/>
      </c>
      <c r="LLC3" s="1" t="str" cm="1">
        <f t="array" ref="LLC3">GetValue("Dmn","Name",LLC2)</f>
        <v/>
      </c>
      <c r="LLD3" s="1" t="str" cm="1">
        <f t="array" ref="LLD3">GetValue("Dmn","Name",LLD2)</f>
        <v/>
      </c>
      <c r="LLE3" s="1" t="str" cm="1">
        <f t="array" ref="LLE3">GetValue("Dmn","Name",LLE2)</f>
        <v/>
      </c>
      <c r="LLF3" s="1" t="str" cm="1">
        <f t="array" ref="LLF3">GetValue("Dmn","Name",LLF2)</f>
        <v/>
      </c>
      <c r="LLG3" s="1" t="str" cm="1">
        <f t="array" ref="LLG3">GetValue("Dmn","Name",LLG2)</f>
        <v/>
      </c>
      <c r="LLH3" s="1" t="str" cm="1">
        <f t="array" ref="LLH3">GetValue("Dmn","Name",LLH2)</f>
        <v/>
      </c>
      <c r="LLI3" s="1" t="str" cm="1">
        <f t="array" ref="LLI3">GetValue("Dmn","Name",LLI2)</f>
        <v/>
      </c>
      <c r="LLJ3" s="1" t="str" cm="1">
        <f t="array" ref="LLJ3">GetValue("Dmn","Name",LLJ2)</f>
        <v/>
      </c>
      <c r="LLK3" s="1" t="str" cm="1">
        <f t="array" ref="LLK3">GetValue("Dmn","Name",LLK2)</f>
        <v/>
      </c>
      <c r="LLL3" s="1" t="str" cm="1">
        <f t="array" ref="LLL3">GetValue("Dmn","Name",LLL2)</f>
        <v/>
      </c>
      <c r="LLM3" s="1" t="str" cm="1">
        <f t="array" ref="LLM3">GetValue("Dmn","Name",LLM2)</f>
        <v/>
      </c>
      <c r="LLN3" s="1" t="str" cm="1">
        <f t="array" ref="LLN3">GetValue("Dmn","Name",LLN2)</f>
        <v/>
      </c>
      <c r="LLO3" s="1" t="str" cm="1">
        <f t="array" ref="LLO3">GetValue("Dmn","Name",LLO2)</f>
        <v/>
      </c>
      <c r="LLP3" s="1" t="str" cm="1">
        <f t="array" ref="LLP3">GetValue("Dmn","Name",LLP2)</f>
        <v/>
      </c>
      <c r="LLQ3" s="1" t="str" cm="1">
        <f t="array" ref="LLQ3">GetValue("Dmn","Name",LLQ2)</f>
        <v/>
      </c>
      <c r="LLR3" s="1" t="str" cm="1">
        <f t="array" ref="LLR3">GetValue("Dmn","Name",LLR2)</f>
        <v/>
      </c>
      <c r="LLS3" s="1" t="str" cm="1">
        <f t="array" ref="LLS3">GetValue("Dmn","Name",LLS2)</f>
        <v/>
      </c>
      <c r="LLT3" s="1" t="str" cm="1">
        <f t="array" ref="LLT3">GetValue("Dmn","Name",LLT2)</f>
        <v/>
      </c>
      <c r="LLU3" s="1" t="str" cm="1">
        <f t="array" ref="LLU3">GetValue("Dmn","Name",LLU2)</f>
        <v/>
      </c>
      <c r="LLV3" s="1" t="str" cm="1">
        <f t="array" ref="LLV3">GetValue("Dmn","Name",LLV2)</f>
        <v/>
      </c>
      <c r="LLW3" s="1" t="str" cm="1">
        <f t="array" ref="LLW3">GetValue("Dmn","Name",LLW2)</f>
        <v/>
      </c>
      <c r="LLX3" s="1" t="str" cm="1">
        <f t="array" ref="LLX3">GetValue("Dmn","Name",LLX2)</f>
        <v/>
      </c>
      <c r="LLY3" s="1" t="str" cm="1">
        <f t="array" ref="LLY3">GetValue("Dmn","Name",LLY2)</f>
        <v/>
      </c>
      <c r="LLZ3" s="1" t="str" cm="1">
        <f t="array" ref="LLZ3">GetValue("Dmn","Name",LLZ2)</f>
        <v/>
      </c>
      <c r="LMA3" s="1" t="str" cm="1">
        <f t="array" ref="LMA3">GetValue("Dmn","Name",LMA2)</f>
        <v/>
      </c>
      <c r="LMB3" s="1" t="str" cm="1">
        <f t="array" ref="LMB3">GetValue("Dmn","Name",LMB2)</f>
        <v/>
      </c>
      <c r="LMC3" s="1" t="str" cm="1">
        <f t="array" ref="LMC3">GetValue("Dmn","Name",LMC2)</f>
        <v/>
      </c>
      <c r="LMD3" s="1" t="str" cm="1">
        <f t="array" ref="LMD3">GetValue("Dmn","Name",LMD2)</f>
        <v/>
      </c>
      <c r="LME3" s="1" t="str" cm="1">
        <f t="array" ref="LME3">GetValue("Dmn","Name",LME2)</f>
        <v/>
      </c>
      <c r="LMF3" s="1" t="str" cm="1">
        <f t="array" ref="LMF3">GetValue("Dmn","Name",LMF2)</f>
        <v/>
      </c>
      <c r="LMG3" s="1" t="str" cm="1">
        <f t="array" ref="LMG3">GetValue("Dmn","Name",LMG2)</f>
        <v/>
      </c>
      <c r="LMH3" s="1" t="str" cm="1">
        <f t="array" ref="LMH3">GetValue("Dmn","Name",LMH2)</f>
        <v/>
      </c>
      <c r="LMI3" s="1" t="str" cm="1">
        <f t="array" ref="LMI3">GetValue("Dmn","Name",LMI2)</f>
        <v/>
      </c>
      <c r="LMJ3" s="1" t="str" cm="1">
        <f t="array" ref="LMJ3">GetValue("Dmn","Name",LMJ2)</f>
        <v/>
      </c>
      <c r="LMK3" s="1" t="str" cm="1">
        <f t="array" ref="LMK3">GetValue("Dmn","Name",LMK2)</f>
        <v/>
      </c>
      <c r="LML3" s="1" t="str" cm="1">
        <f t="array" ref="LML3">GetValue("Dmn","Name",LML2)</f>
        <v/>
      </c>
      <c r="LMM3" s="1" t="str" cm="1">
        <f t="array" ref="LMM3">GetValue("Dmn","Name",LMM2)</f>
        <v/>
      </c>
      <c r="LMN3" s="1" t="str" cm="1">
        <f t="array" ref="LMN3">GetValue("Dmn","Name",LMN2)</f>
        <v/>
      </c>
      <c r="LMO3" s="1" t="str" cm="1">
        <f t="array" ref="LMO3">GetValue("Dmn","Name",LMO2)</f>
        <v/>
      </c>
      <c r="LMP3" s="1" t="str" cm="1">
        <f t="array" ref="LMP3">GetValue("Dmn","Name",LMP2)</f>
        <v/>
      </c>
      <c r="LMQ3" s="1" t="str" cm="1">
        <f t="array" ref="LMQ3">GetValue("Dmn","Name",LMQ2)</f>
        <v/>
      </c>
      <c r="LMR3" s="1" t="str" cm="1">
        <f t="array" ref="LMR3">GetValue("Dmn","Name",LMR2)</f>
        <v/>
      </c>
      <c r="LMS3" s="1" t="str" cm="1">
        <f t="array" ref="LMS3">GetValue("Dmn","Name",LMS2)</f>
        <v/>
      </c>
      <c r="LMT3" s="1" t="str" cm="1">
        <f t="array" ref="LMT3">GetValue("Dmn","Name",LMT2)</f>
        <v/>
      </c>
      <c r="LMU3" s="1" t="str" cm="1">
        <f t="array" ref="LMU3">GetValue("Dmn","Name",LMU2)</f>
        <v/>
      </c>
      <c r="LMV3" s="1" t="str" cm="1">
        <f t="array" ref="LMV3">GetValue("Dmn","Name",LMV2)</f>
        <v/>
      </c>
      <c r="LMW3" s="1" t="str" cm="1">
        <f t="array" ref="LMW3">GetValue("Dmn","Name",LMW2)</f>
        <v/>
      </c>
      <c r="LMX3" s="1" t="str" cm="1">
        <f t="array" ref="LMX3">GetValue("Dmn","Name",LMX2)</f>
        <v/>
      </c>
      <c r="LMY3" s="1" t="str" cm="1">
        <f t="array" ref="LMY3">GetValue("Dmn","Name",LMY2)</f>
        <v/>
      </c>
      <c r="LMZ3" s="1" t="str" cm="1">
        <f t="array" ref="LMZ3">GetValue("Dmn","Name",LMZ2)</f>
        <v/>
      </c>
      <c r="LNA3" s="1" t="str" cm="1">
        <f t="array" ref="LNA3">GetValue("Dmn","Name",LNA2)</f>
        <v/>
      </c>
      <c r="LNB3" s="1" t="str" cm="1">
        <f t="array" ref="LNB3">GetValue("Dmn","Name",LNB2)</f>
        <v/>
      </c>
      <c r="LNC3" s="1" t="str" cm="1">
        <f t="array" ref="LNC3">GetValue("Dmn","Name",LNC2)</f>
        <v/>
      </c>
      <c r="LND3" s="1" t="str" cm="1">
        <f t="array" ref="LND3">GetValue("Dmn","Name",LND2)</f>
        <v/>
      </c>
      <c r="LNE3" s="1" t="str" cm="1">
        <f t="array" ref="LNE3">GetValue("Dmn","Name",LNE2)</f>
        <v/>
      </c>
      <c r="LNF3" s="1" t="str" cm="1">
        <f t="array" ref="LNF3">GetValue("Dmn","Name",LNF2)</f>
        <v/>
      </c>
      <c r="LNG3" s="1" t="str" cm="1">
        <f t="array" ref="LNG3">GetValue("Dmn","Name",LNG2)</f>
        <v/>
      </c>
      <c r="LNH3" s="1" t="str" cm="1">
        <f t="array" ref="LNH3">GetValue("Dmn","Name",LNH2)</f>
        <v/>
      </c>
      <c r="LNI3" s="1" t="str" cm="1">
        <f t="array" ref="LNI3">GetValue("Dmn","Name",LNI2)</f>
        <v/>
      </c>
      <c r="LNJ3" s="1" t="str" cm="1">
        <f t="array" ref="LNJ3">GetValue("Dmn","Name",LNJ2)</f>
        <v/>
      </c>
      <c r="LNK3" s="1" t="str" cm="1">
        <f t="array" ref="LNK3">GetValue("Dmn","Name",LNK2)</f>
        <v/>
      </c>
      <c r="LNL3" s="1" t="str" cm="1">
        <f t="array" ref="LNL3">GetValue("Dmn","Name",LNL2)</f>
        <v/>
      </c>
      <c r="LNM3" s="1" t="str" cm="1">
        <f t="array" ref="LNM3">GetValue("Dmn","Name",LNM2)</f>
        <v/>
      </c>
      <c r="LNN3" s="1" t="str" cm="1">
        <f t="array" ref="LNN3">GetValue("Dmn","Name",LNN2)</f>
        <v/>
      </c>
      <c r="LNO3" s="1" t="str" cm="1">
        <f t="array" ref="LNO3">GetValue("Dmn","Name",LNO2)</f>
        <v/>
      </c>
      <c r="LNP3" s="1" t="str" cm="1">
        <f t="array" ref="LNP3">GetValue("Dmn","Name",LNP2)</f>
        <v/>
      </c>
      <c r="LNQ3" s="1" t="str" cm="1">
        <f t="array" ref="LNQ3">GetValue("Dmn","Name",LNQ2)</f>
        <v/>
      </c>
      <c r="LNR3" s="1" t="str" cm="1">
        <f t="array" ref="LNR3">GetValue("Dmn","Name",LNR2)</f>
        <v/>
      </c>
      <c r="LNS3" s="1" t="str" cm="1">
        <f t="array" ref="LNS3">GetValue("Dmn","Name",LNS2)</f>
        <v/>
      </c>
      <c r="LNT3" s="1" t="str" cm="1">
        <f t="array" ref="LNT3">GetValue("Dmn","Name",LNT2)</f>
        <v/>
      </c>
      <c r="LNU3" s="1" t="str" cm="1">
        <f t="array" ref="LNU3">GetValue("Dmn","Name",LNU2)</f>
        <v/>
      </c>
      <c r="LNV3" s="1" t="str" cm="1">
        <f t="array" ref="LNV3">GetValue("Dmn","Name",LNV2)</f>
        <v/>
      </c>
      <c r="LNW3" s="1" t="str" cm="1">
        <f t="array" ref="LNW3">GetValue("Dmn","Name",LNW2)</f>
        <v/>
      </c>
      <c r="LNX3" s="1" t="str" cm="1">
        <f t="array" ref="LNX3">GetValue("Dmn","Name",LNX2)</f>
        <v/>
      </c>
      <c r="LNY3" s="1" t="str" cm="1">
        <f t="array" ref="LNY3">GetValue("Dmn","Name",LNY2)</f>
        <v/>
      </c>
      <c r="LNZ3" s="1" t="str" cm="1">
        <f t="array" ref="LNZ3">GetValue("Dmn","Name",LNZ2)</f>
        <v/>
      </c>
      <c r="LOA3" s="1" t="str" cm="1">
        <f t="array" ref="LOA3">GetValue("Dmn","Name",LOA2)</f>
        <v/>
      </c>
      <c r="LOB3" s="1" t="str" cm="1">
        <f t="array" ref="LOB3">GetValue("Dmn","Name",LOB2)</f>
        <v/>
      </c>
      <c r="LOC3" s="1" t="str" cm="1">
        <f t="array" ref="LOC3">GetValue("Dmn","Name",LOC2)</f>
        <v/>
      </c>
      <c r="LOD3" s="1" t="str" cm="1">
        <f t="array" ref="LOD3">GetValue("Dmn","Name",LOD2)</f>
        <v/>
      </c>
      <c r="LOE3" s="1" t="str" cm="1">
        <f t="array" ref="LOE3">GetValue("Dmn","Name",LOE2)</f>
        <v/>
      </c>
      <c r="LOF3" s="1" t="str" cm="1">
        <f t="array" ref="LOF3">GetValue("Dmn","Name",LOF2)</f>
        <v/>
      </c>
      <c r="LOG3" s="1" t="str" cm="1">
        <f t="array" ref="LOG3">GetValue("Dmn","Name",LOG2)</f>
        <v/>
      </c>
      <c r="LOH3" s="1" t="str" cm="1">
        <f t="array" ref="LOH3">GetValue("Dmn","Name",LOH2)</f>
        <v/>
      </c>
      <c r="LOI3" s="1" t="str" cm="1">
        <f t="array" ref="LOI3">GetValue("Dmn","Name",LOI2)</f>
        <v/>
      </c>
      <c r="LOJ3" s="1" t="str" cm="1">
        <f t="array" ref="LOJ3">GetValue("Dmn","Name",LOJ2)</f>
        <v/>
      </c>
      <c r="LOK3" s="1" t="str" cm="1">
        <f t="array" ref="LOK3">GetValue("Dmn","Name",LOK2)</f>
        <v/>
      </c>
      <c r="LOL3" s="1" t="str" cm="1">
        <f t="array" ref="LOL3">GetValue("Dmn","Name",LOL2)</f>
        <v/>
      </c>
      <c r="LOM3" s="1" t="str" cm="1">
        <f t="array" ref="LOM3">GetValue("Dmn","Name",LOM2)</f>
        <v/>
      </c>
      <c r="LON3" s="1" t="str" cm="1">
        <f t="array" ref="LON3">GetValue("Dmn","Name",LON2)</f>
        <v/>
      </c>
      <c r="LOO3" s="1" t="str" cm="1">
        <f t="array" ref="LOO3">GetValue("Dmn","Name",LOO2)</f>
        <v/>
      </c>
      <c r="LOP3" s="1" t="str" cm="1">
        <f t="array" ref="LOP3">GetValue("Dmn","Name",LOP2)</f>
        <v/>
      </c>
      <c r="LOQ3" s="1" t="str" cm="1">
        <f t="array" ref="LOQ3">GetValue("Dmn","Name",LOQ2)</f>
        <v/>
      </c>
      <c r="LOR3" s="1" t="str" cm="1">
        <f t="array" ref="LOR3">GetValue("Dmn","Name",LOR2)</f>
        <v/>
      </c>
      <c r="LOS3" s="1" t="str" cm="1">
        <f t="array" ref="LOS3">GetValue("Dmn","Name",LOS2)</f>
        <v/>
      </c>
      <c r="LOT3" s="1" t="str" cm="1">
        <f t="array" ref="LOT3">GetValue("Dmn","Name",LOT2)</f>
        <v/>
      </c>
      <c r="LOU3" s="1" t="str" cm="1">
        <f t="array" ref="LOU3">GetValue("Dmn","Name",LOU2)</f>
        <v/>
      </c>
      <c r="LOV3" s="1" t="str" cm="1">
        <f t="array" ref="LOV3">GetValue("Dmn","Name",LOV2)</f>
        <v/>
      </c>
      <c r="LOW3" s="1" t="str" cm="1">
        <f t="array" ref="LOW3">GetValue("Dmn","Name",LOW2)</f>
        <v/>
      </c>
      <c r="LOX3" s="1" t="str" cm="1">
        <f t="array" ref="LOX3">GetValue("Dmn","Name",LOX2)</f>
        <v/>
      </c>
      <c r="LOY3" s="1" t="str" cm="1">
        <f t="array" ref="LOY3">GetValue("Dmn","Name",LOY2)</f>
        <v/>
      </c>
      <c r="LOZ3" s="1" t="str" cm="1">
        <f t="array" ref="LOZ3">GetValue("Dmn","Name",LOZ2)</f>
        <v/>
      </c>
      <c r="LPA3" s="1" t="str" cm="1">
        <f t="array" ref="LPA3">GetValue("Dmn","Name",LPA2)</f>
        <v/>
      </c>
      <c r="LPB3" s="1" t="str" cm="1">
        <f t="array" ref="LPB3">GetValue("Dmn","Name",LPB2)</f>
        <v/>
      </c>
      <c r="LPC3" s="1" t="str" cm="1">
        <f t="array" ref="LPC3">GetValue("Dmn","Name",LPC2)</f>
        <v/>
      </c>
      <c r="LPD3" s="1" t="str" cm="1">
        <f t="array" ref="LPD3">GetValue("Dmn","Name",LPD2)</f>
        <v/>
      </c>
      <c r="LPE3" s="1" t="str" cm="1">
        <f t="array" ref="LPE3">GetValue("Dmn","Name",LPE2)</f>
        <v/>
      </c>
      <c r="LPF3" s="1" t="str" cm="1">
        <f t="array" ref="LPF3">GetValue("Dmn","Name",LPF2)</f>
        <v/>
      </c>
      <c r="LPG3" s="1" t="str" cm="1">
        <f t="array" ref="LPG3">GetValue("Dmn","Name",LPG2)</f>
        <v/>
      </c>
      <c r="LPH3" s="1" t="str" cm="1">
        <f t="array" ref="LPH3">GetValue("Dmn","Name",LPH2)</f>
        <v/>
      </c>
      <c r="LPI3" s="1" t="str" cm="1">
        <f t="array" ref="LPI3">GetValue("Dmn","Name",LPI2)</f>
        <v/>
      </c>
      <c r="LPJ3" s="1" t="str" cm="1">
        <f t="array" ref="LPJ3">GetValue("Dmn","Name",LPJ2)</f>
        <v/>
      </c>
      <c r="LPK3" s="1" t="str" cm="1">
        <f t="array" ref="LPK3">GetValue("Dmn","Name",LPK2)</f>
        <v/>
      </c>
      <c r="LPL3" s="1" t="str" cm="1">
        <f t="array" ref="LPL3">GetValue("Dmn","Name",LPL2)</f>
        <v/>
      </c>
      <c r="LPM3" s="1" t="str" cm="1">
        <f t="array" ref="LPM3">GetValue("Dmn","Name",LPM2)</f>
        <v/>
      </c>
      <c r="LPN3" s="1" t="str" cm="1">
        <f t="array" ref="LPN3">GetValue("Dmn","Name",LPN2)</f>
        <v/>
      </c>
      <c r="LPO3" s="1" t="str" cm="1">
        <f t="array" ref="LPO3">GetValue("Dmn","Name",LPO2)</f>
        <v/>
      </c>
      <c r="LPP3" s="1" t="str" cm="1">
        <f t="array" ref="LPP3">GetValue("Dmn","Name",LPP2)</f>
        <v/>
      </c>
      <c r="LPQ3" s="1" t="str" cm="1">
        <f t="array" ref="LPQ3">GetValue("Dmn","Name",LPQ2)</f>
        <v/>
      </c>
      <c r="LPR3" s="1" t="str" cm="1">
        <f t="array" ref="LPR3">GetValue("Dmn","Name",LPR2)</f>
        <v/>
      </c>
      <c r="LPS3" s="1" t="str" cm="1">
        <f t="array" ref="LPS3">GetValue("Dmn","Name",LPS2)</f>
        <v/>
      </c>
      <c r="LPT3" s="1" t="str" cm="1">
        <f t="array" ref="LPT3">GetValue("Dmn","Name",LPT2)</f>
        <v/>
      </c>
      <c r="LPU3" s="1" t="str" cm="1">
        <f t="array" ref="LPU3">GetValue("Dmn","Name",LPU2)</f>
        <v/>
      </c>
      <c r="LPV3" s="1" t="str" cm="1">
        <f t="array" ref="LPV3">GetValue("Dmn","Name",LPV2)</f>
        <v/>
      </c>
      <c r="LPW3" s="1" t="str" cm="1">
        <f t="array" ref="LPW3">GetValue("Dmn","Name",LPW2)</f>
        <v/>
      </c>
      <c r="LPX3" s="1" t="str" cm="1">
        <f t="array" ref="LPX3">GetValue("Dmn","Name",LPX2)</f>
        <v/>
      </c>
      <c r="LPY3" s="1" t="str" cm="1">
        <f t="array" ref="LPY3">GetValue("Dmn","Name",LPY2)</f>
        <v/>
      </c>
      <c r="LPZ3" s="1" t="str" cm="1">
        <f t="array" ref="LPZ3">GetValue("Dmn","Name",LPZ2)</f>
        <v/>
      </c>
      <c r="LQA3" s="1" t="str" cm="1">
        <f t="array" ref="LQA3">GetValue("Dmn","Name",LQA2)</f>
        <v/>
      </c>
      <c r="LQB3" s="1" t="str" cm="1">
        <f t="array" ref="LQB3">GetValue("Dmn","Name",LQB2)</f>
        <v/>
      </c>
      <c r="LQC3" s="1" t="str" cm="1">
        <f t="array" ref="LQC3">GetValue("Dmn","Name",LQC2)</f>
        <v/>
      </c>
      <c r="LQD3" s="1" t="str" cm="1">
        <f t="array" ref="LQD3">GetValue("Dmn","Name",LQD2)</f>
        <v/>
      </c>
      <c r="LQE3" s="1" t="str" cm="1">
        <f t="array" ref="LQE3">GetValue("Dmn","Name",LQE2)</f>
        <v/>
      </c>
      <c r="LQF3" s="1" t="str" cm="1">
        <f t="array" ref="LQF3">GetValue("Dmn","Name",LQF2)</f>
        <v/>
      </c>
      <c r="LQG3" s="1" t="str" cm="1">
        <f t="array" ref="LQG3">GetValue("Dmn","Name",LQG2)</f>
        <v/>
      </c>
      <c r="LQH3" s="1" t="str" cm="1">
        <f t="array" ref="LQH3">GetValue("Dmn","Name",LQH2)</f>
        <v/>
      </c>
      <c r="LQI3" s="1" t="str" cm="1">
        <f t="array" ref="LQI3">GetValue("Dmn","Name",LQI2)</f>
        <v/>
      </c>
      <c r="LQJ3" s="1" t="str" cm="1">
        <f t="array" ref="LQJ3">GetValue("Dmn","Name",LQJ2)</f>
        <v/>
      </c>
      <c r="LQK3" s="1" t="str" cm="1">
        <f t="array" ref="LQK3">GetValue("Dmn","Name",LQK2)</f>
        <v/>
      </c>
      <c r="LQL3" s="1" t="str" cm="1">
        <f t="array" ref="LQL3">GetValue("Dmn","Name",LQL2)</f>
        <v/>
      </c>
      <c r="LQM3" s="1" t="str" cm="1">
        <f t="array" ref="LQM3">GetValue("Dmn","Name",LQM2)</f>
        <v/>
      </c>
      <c r="LQN3" s="1" t="str" cm="1">
        <f t="array" ref="LQN3">GetValue("Dmn","Name",LQN2)</f>
        <v/>
      </c>
      <c r="LQO3" s="1" t="str" cm="1">
        <f t="array" ref="LQO3">GetValue("Dmn","Name",LQO2)</f>
        <v/>
      </c>
      <c r="LQP3" s="1" t="str" cm="1">
        <f t="array" ref="LQP3">GetValue("Dmn","Name",LQP2)</f>
        <v/>
      </c>
      <c r="LQQ3" s="1" t="str" cm="1">
        <f t="array" ref="LQQ3">GetValue("Dmn","Name",LQQ2)</f>
        <v/>
      </c>
      <c r="LQR3" s="1" t="str" cm="1">
        <f t="array" ref="LQR3">GetValue("Dmn","Name",LQR2)</f>
        <v/>
      </c>
      <c r="LQS3" s="1" t="str" cm="1">
        <f t="array" ref="LQS3">GetValue("Dmn","Name",LQS2)</f>
        <v/>
      </c>
      <c r="LQT3" s="1" t="str" cm="1">
        <f t="array" ref="LQT3">GetValue("Dmn","Name",LQT2)</f>
        <v/>
      </c>
      <c r="LQU3" s="1" t="str" cm="1">
        <f t="array" ref="LQU3">GetValue("Dmn","Name",LQU2)</f>
        <v/>
      </c>
      <c r="LQV3" s="1" t="str" cm="1">
        <f t="array" ref="LQV3">GetValue("Dmn","Name",LQV2)</f>
        <v/>
      </c>
      <c r="LQW3" s="1" t="str" cm="1">
        <f t="array" ref="LQW3">GetValue("Dmn","Name",LQW2)</f>
        <v/>
      </c>
      <c r="LQX3" s="1" t="str" cm="1">
        <f t="array" ref="LQX3">GetValue("Dmn","Name",LQX2)</f>
        <v/>
      </c>
      <c r="LQY3" s="1" t="str" cm="1">
        <f t="array" ref="LQY3">GetValue("Dmn","Name",LQY2)</f>
        <v/>
      </c>
      <c r="LQZ3" s="1" t="str" cm="1">
        <f t="array" ref="LQZ3">GetValue("Dmn","Name",LQZ2)</f>
        <v/>
      </c>
      <c r="LRA3" s="1" t="str" cm="1">
        <f t="array" ref="LRA3">GetValue("Dmn","Name",LRA2)</f>
        <v/>
      </c>
      <c r="LRB3" s="1" t="str" cm="1">
        <f t="array" ref="LRB3">GetValue("Dmn","Name",LRB2)</f>
        <v/>
      </c>
      <c r="LRC3" s="1" t="str" cm="1">
        <f t="array" ref="LRC3">GetValue("Dmn","Name",LRC2)</f>
        <v/>
      </c>
      <c r="LRD3" s="1" t="str" cm="1">
        <f t="array" ref="LRD3">GetValue("Dmn","Name",LRD2)</f>
        <v/>
      </c>
      <c r="LRE3" s="1" t="str" cm="1">
        <f t="array" ref="LRE3">GetValue("Dmn","Name",LRE2)</f>
        <v/>
      </c>
      <c r="LRF3" s="1" t="str" cm="1">
        <f t="array" ref="LRF3">GetValue("Dmn","Name",LRF2)</f>
        <v/>
      </c>
      <c r="LRG3" s="1" t="str" cm="1">
        <f t="array" ref="LRG3">GetValue("Dmn","Name",LRG2)</f>
        <v/>
      </c>
      <c r="LRH3" s="1" t="str" cm="1">
        <f t="array" ref="LRH3">GetValue("Dmn","Name",LRH2)</f>
        <v/>
      </c>
      <c r="LRI3" s="1" t="str" cm="1">
        <f t="array" ref="LRI3">GetValue("Dmn","Name",LRI2)</f>
        <v/>
      </c>
      <c r="LRJ3" s="1" t="str" cm="1">
        <f t="array" ref="LRJ3">GetValue("Dmn","Name",LRJ2)</f>
        <v/>
      </c>
      <c r="LRK3" s="1" t="str" cm="1">
        <f t="array" ref="LRK3">GetValue("Dmn","Name",LRK2)</f>
        <v/>
      </c>
      <c r="LRL3" s="1" t="str" cm="1">
        <f t="array" ref="LRL3">GetValue("Dmn","Name",LRL2)</f>
        <v/>
      </c>
      <c r="LRM3" s="1" t="str" cm="1">
        <f t="array" ref="LRM3">GetValue("Dmn","Name",LRM2)</f>
        <v/>
      </c>
      <c r="LRN3" s="1" t="str" cm="1">
        <f t="array" ref="LRN3">GetValue("Dmn","Name",LRN2)</f>
        <v/>
      </c>
      <c r="LRO3" s="1" t="str" cm="1">
        <f t="array" ref="LRO3">GetValue("Dmn","Name",LRO2)</f>
        <v/>
      </c>
      <c r="LRP3" s="1" t="str" cm="1">
        <f t="array" ref="LRP3">GetValue("Dmn","Name",LRP2)</f>
        <v/>
      </c>
      <c r="LRQ3" s="1" t="str" cm="1">
        <f t="array" ref="LRQ3">GetValue("Dmn","Name",LRQ2)</f>
        <v/>
      </c>
      <c r="LRR3" s="1" t="str" cm="1">
        <f t="array" ref="LRR3">GetValue("Dmn","Name",LRR2)</f>
        <v/>
      </c>
      <c r="LRS3" s="1" t="str" cm="1">
        <f t="array" ref="LRS3">GetValue("Dmn","Name",LRS2)</f>
        <v/>
      </c>
      <c r="LRT3" s="1" t="str" cm="1">
        <f t="array" ref="LRT3">GetValue("Dmn","Name",LRT2)</f>
        <v/>
      </c>
      <c r="LRU3" s="1" t="str" cm="1">
        <f t="array" ref="LRU3">GetValue("Dmn","Name",LRU2)</f>
        <v/>
      </c>
      <c r="LRV3" s="1" t="str" cm="1">
        <f t="array" ref="LRV3">GetValue("Dmn","Name",LRV2)</f>
        <v/>
      </c>
      <c r="LRW3" s="1" t="str" cm="1">
        <f t="array" ref="LRW3">GetValue("Dmn","Name",LRW2)</f>
        <v/>
      </c>
      <c r="LRX3" s="1" t="str" cm="1">
        <f t="array" ref="LRX3">GetValue("Dmn","Name",LRX2)</f>
        <v/>
      </c>
      <c r="LRY3" s="1" t="str" cm="1">
        <f t="array" ref="LRY3">GetValue("Dmn","Name",LRY2)</f>
        <v/>
      </c>
      <c r="LRZ3" s="1" t="str" cm="1">
        <f t="array" ref="LRZ3">GetValue("Dmn","Name",LRZ2)</f>
        <v/>
      </c>
      <c r="LSA3" s="1" t="str" cm="1">
        <f t="array" ref="LSA3">GetValue("Dmn","Name",LSA2)</f>
        <v/>
      </c>
      <c r="LSB3" s="1" t="str" cm="1">
        <f t="array" ref="LSB3">GetValue("Dmn","Name",LSB2)</f>
        <v/>
      </c>
      <c r="LSC3" s="1" t="str" cm="1">
        <f t="array" ref="LSC3">GetValue("Dmn","Name",LSC2)</f>
        <v/>
      </c>
      <c r="LSD3" s="1" t="str" cm="1">
        <f t="array" ref="LSD3">GetValue("Dmn","Name",LSD2)</f>
        <v/>
      </c>
      <c r="LSE3" s="1" t="str" cm="1">
        <f t="array" ref="LSE3">GetValue("Dmn","Name",LSE2)</f>
        <v/>
      </c>
      <c r="LSF3" s="1" t="str" cm="1">
        <f t="array" ref="LSF3">GetValue("Dmn","Name",LSF2)</f>
        <v/>
      </c>
      <c r="LSG3" s="1" t="str" cm="1">
        <f t="array" ref="LSG3">GetValue("Dmn","Name",LSG2)</f>
        <v/>
      </c>
      <c r="LSH3" s="1" t="str" cm="1">
        <f t="array" ref="LSH3">GetValue("Dmn","Name",LSH2)</f>
        <v/>
      </c>
      <c r="LSI3" s="1" t="str" cm="1">
        <f t="array" ref="LSI3">GetValue("Dmn","Name",LSI2)</f>
        <v/>
      </c>
      <c r="LSJ3" s="1" t="str" cm="1">
        <f t="array" ref="LSJ3">GetValue("Dmn","Name",LSJ2)</f>
        <v/>
      </c>
      <c r="LSK3" s="1" t="str" cm="1">
        <f t="array" ref="LSK3">GetValue("Dmn","Name",LSK2)</f>
        <v/>
      </c>
      <c r="LSL3" s="1" t="str" cm="1">
        <f t="array" ref="LSL3">GetValue("Dmn","Name",LSL2)</f>
        <v/>
      </c>
      <c r="LSM3" s="1" t="str" cm="1">
        <f t="array" ref="LSM3">GetValue("Dmn","Name",LSM2)</f>
        <v/>
      </c>
      <c r="LSN3" s="1" t="str" cm="1">
        <f t="array" ref="LSN3">GetValue("Dmn","Name",LSN2)</f>
        <v/>
      </c>
      <c r="LSO3" s="1" t="str" cm="1">
        <f t="array" ref="LSO3">GetValue("Dmn","Name",LSO2)</f>
        <v/>
      </c>
      <c r="LSP3" s="1" t="str" cm="1">
        <f t="array" ref="LSP3">GetValue("Dmn","Name",LSP2)</f>
        <v/>
      </c>
      <c r="LSQ3" s="1" t="str" cm="1">
        <f t="array" ref="LSQ3">GetValue("Dmn","Name",LSQ2)</f>
        <v/>
      </c>
      <c r="LSR3" s="1" t="str" cm="1">
        <f t="array" ref="LSR3">GetValue("Dmn","Name",LSR2)</f>
        <v/>
      </c>
      <c r="LSS3" s="1" t="str" cm="1">
        <f t="array" ref="LSS3">GetValue("Dmn","Name",LSS2)</f>
        <v/>
      </c>
      <c r="LST3" s="1" t="str" cm="1">
        <f t="array" ref="LST3">GetValue("Dmn","Name",LST2)</f>
        <v/>
      </c>
      <c r="LSU3" s="1" t="str" cm="1">
        <f t="array" ref="LSU3">GetValue("Dmn","Name",LSU2)</f>
        <v/>
      </c>
      <c r="LSV3" s="1" t="str" cm="1">
        <f t="array" ref="LSV3">GetValue("Dmn","Name",LSV2)</f>
        <v/>
      </c>
      <c r="LSW3" s="1" t="str" cm="1">
        <f t="array" ref="LSW3">GetValue("Dmn","Name",LSW2)</f>
        <v/>
      </c>
      <c r="LSX3" s="1" t="str" cm="1">
        <f t="array" ref="LSX3">GetValue("Dmn","Name",LSX2)</f>
        <v/>
      </c>
      <c r="LSY3" s="1" t="str" cm="1">
        <f t="array" ref="LSY3">GetValue("Dmn","Name",LSY2)</f>
        <v/>
      </c>
      <c r="LSZ3" s="1" t="str" cm="1">
        <f t="array" ref="LSZ3">GetValue("Dmn","Name",LSZ2)</f>
        <v/>
      </c>
      <c r="LTA3" s="1" t="str" cm="1">
        <f t="array" ref="LTA3">GetValue("Dmn","Name",LTA2)</f>
        <v/>
      </c>
      <c r="LTB3" s="1" t="str" cm="1">
        <f t="array" ref="LTB3">GetValue("Dmn","Name",LTB2)</f>
        <v/>
      </c>
      <c r="LTC3" s="1" t="str" cm="1">
        <f t="array" ref="LTC3">GetValue("Dmn","Name",LTC2)</f>
        <v/>
      </c>
      <c r="LTD3" s="1" t="str" cm="1">
        <f t="array" ref="LTD3">GetValue("Dmn","Name",LTD2)</f>
        <v/>
      </c>
      <c r="LTE3" s="1" t="str" cm="1">
        <f t="array" ref="LTE3">GetValue("Dmn","Name",LTE2)</f>
        <v/>
      </c>
      <c r="LTF3" s="1" t="str" cm="1">
        <f t="array" ref="LTF3">GetValue("Dmn","Name",LTF2)</f>
        <v/>
      </c>
      <c r="LTG3" s="1" t="str" cm="1">
        <f t="array" ref="LTG3">GetValue("Dmn","Name",LTG2)</f>
        <v/>
      </c>
      <c r="LTH3" s="1" t="str" cm="1">
        <f t="array" ref="LTH3">GetValue("Dmn","Name",LTH2)</f>
        <v/>
      </c>
      <c r="LTI3" s="1" t="str" cm="1">
        <f t="array" ref="LTI3">GetValue("Dmn","Name",LTI2)</f>
        <v/>
      </c>
      <c r="LTJ3" s="1" t="str" cm="1">
        <f t="array" ref="LTJ3">GetValue("Dmn","Name",LTJ2)</f>
        <v/>
      </c>
      <c r="LTK3" s="1" t="str" cm="1">
        <f t="array" ref="LTK3">GetValue("Dmn","Name",LTK2)</f>
        <v/>
      </c>
      <c r="LTL3" s="1" t="str" cm="1">
        <f t="array" ref="LTL3">GetValue("Dmn","Name",LTL2)</f>
        <v/>
      </c>
      <c r="LTM3" s="1" t="str" cm="1">
        <f t="array" ref="LTM3">GetValue("Dmn","Name",LTM2)</f>
        <v/>
      </c>
      <c r="LTN3" s="1" t="str" cm="1">
        <f t="array" ref="LTN3">GetValue("Dmn","Name",LTN2)</f>
        <v/>
      </c>
      <c r="LTO3" s="1" t="str" cm="1">
        <f t="array" ref="LTO3">GetValue("Dmn","Name",LTO2)</f>
        <v/>
      </c>
      <c r="LTP3" s="1" t="str" cm="1">
        <f t="array" ref="LTP3">GetValue("Dmn","Name",LTP2)</f>
        <v/>
      </c>
      <c r="LTQ3" s="1" t="str" cm="1">
        <f t="array" ref="LTQ3">GetValue("Dmn","Name",LTQ2)</f>
        <v/>
      </c>
      <c r="LTR3" s="1" t="str" cm="1">
        <f t="array" ref="LTR3">GetValue("Dmn","Name",LTR2)</f>
        <v/>
      </c>
      <c r="LTS3" s="1" t="str" cm="1">
        <f t="array" ref="LTS3">GetValue("Dmn","Name",LTS2)</f>
        <v/>
      </c>
      <c r="LTT3" s="1" t="str" cm="1">
        <f t="array" ref="LTT3">GetValue("Dmn","Name",LTT2)</f>
        <v/>
      </c>
      <c r="LTU3" s="1" t="str" cm="1">
        <f t="array" ref="LTU3">GetValue("Dmn","Name",LTU2)</f>
        <v/>
      </c>
      <c r="LTV3" s="1" t="str" cm="1">
        <f t="array" ref="LTV3">GetValue("Dmn","Name",LTV2)</f>
        <v/>
      </c>
      <c r="LTW3" s="1" t="str" cm="1">
        <f t="array" ref="LTW3">GetValue("Dmn","Name",LTW2)</f>
        <v/>
      </c>
      <c r="LTX3" s="1" t="str" cm="1">
        <f t="array" ref="LTX3">GetValue("Dmn","Name",LTX2)</f>
        <v/>
      </c>
      <c r="LTY3" s="1" t="str" cm="1">
        <f t="array" ref="LTY3">GetValue("Dmn","Name",LTY2)</f>
        <v/>
      </c>
      <c r="LTZ3" s="1" t="str" cm="1">
        <f t="array" ref="LTZ3">GetValue("Dmn","Name",LTZ2)</f>
        <v/>
      </c>
      <c r="LUA3" s="1" t="str" cm="1">
        <f t="array" ref="LUA3">GetValue("Dmn","Name",LUA2)</f>
        <v/>
      </c>
      <c r="LUB3" s="1" t="str" cm="1">
        <f t="array" ref="LUB3">GetValue("Dmn","Name",LUB2)</f>
        <v/>
      </c>
      <c r="LUC3" s="1" t="str" cm="1">
        <f t="array" ref="LUC3">GetValue("Dmn","Name",LUC2)</f>
        <v/>
      </c>
      <c r="LUD3" s="1" t="str" cm="1">
        <f t="array" ref="LUD3">GetValue("Dmn","Name",LUD2)</f>
        <v/>
      </c>
      <c r="LUE3" s="1" t="str" cm="1">
        <f t="array" ref="LUE3">GetValue("Dmn","Name",LUE2)</f>
        <v/>
      </c>
      <c r="LUF3" s="1" t="str" cm="1">
        <f t="array" ref="LUF3">GetValue("Dmn","Name",LUF2)</f>
        <v/>
      </c>
      <c r="LUG3" s="1" t="str" cm="1">
        <f t="array" ref="LUG3">GetValue("Dmn","Name",LUG2)</f>
        <v/>
      </c>
      <c r="LUH3" s="1" t="str" cm="1">
        <f t="array" ref="LUH3">GetValue("Dmn","Name",LUH2)</f>
        <v/>
      </c>
      <c r="LUI3" s="1" t="str" cm="1">
        <f t="array" ref="LUI3">GetValue("Dmn","Name",LUI2)</f>
        <v/>
      </c>
      <c r="LUJ3" s="1" t="str" cm="1">
        <f t="array" ref="LUJ3">GetValue("Dmn","Name",LUJ2)</f>
        <v/>
      </c>
      <c r="LUK3" s="1" t="str" cm="1">
        <f t="array" ref="LUK3">GetValue("Dmn","Name",LUK2)</f>
        <v/>
      </c>
      <c r="LUL3" s="1" t="str" cm="1">
        <f t="array" ref="LUL3">GetValue("Dmn","Name",LUL2)</f>
        <v/>
      </c>
      <c r="LUM3" s="1" t="str" cm="1">
        <f t="array" ref="LUM3">GetValue("Dmn","Name",LUM2)</f>
        <v/>
      </c>
      <c r="LUN3" s="1" t="str" cm="1">
        <f t="array" ref="LUN3">GetValue("Dmn","Name",LUN2)</f>
        <v/>
      </c>
      <c r="LUO3" s="1" t="str" cm="1">
        <f t="array" ref="LUO3">GetValue("Dmn","Name",LUO2)</f>
        <v/>
      </c>
      <c r="LUP3" s="1" t="str" cm="1">
        <f t="array" ref="LUP3">GetValue("Dmn","Name",LUP2)</f>
        <v/>
      </c>
      <c r="LUQ3" s="1" t="str" cm="1">
        <f t="array" ref="LUQ3">GetValue("Dmn","Name",LUQ2)</f>
        <v/>
      </c>
      <c r="LUR3" s="1" t="str" cm="1">
        <f t="array" ref="LUR3">GetValue("Dmn","Name",LUR2)</f>
        <v/>
      </c>
      <c r="LUS3" s="1" t="str" cm="1">
        <f t="array" ref="LUS3">GetValue("Dmn","Name",LUS2)</f>
        <v/>
      </c>
      <c r="LUT3" s="1" t="str" cm="1">
        <f t="array" ref="LUT3">GetValue("Dmn","Name",LUT2)</f>
        <v/>
      </c>
      <c r="LUU3" s="1" t="str" cm="1">
        <f t="array" ref="LUU3">GetValue("Dmn","Name",LUU2)</f>
        <v/>
      </c>
      <c r="LUV3" s="1" t="str" cm="1">
        <f t="array" ref="LUV3">GetValue("Dmn","Name",LUV2)</f>
        <v/>
      </c>
      <c r="LUW3" s="1" t="str" cm="1">
        <f t="array" ref="LUW3">GetValue("Dmn","Name",LUW2)</f>
        <v/>
      </c>
      <c r="LUX3" s="1" t="str" cm="1">
        <f t="array" ref="LUX3">GetValue("Dmn","Name",LUX2)</f>
        <v/>
      </c>
      <c r="LUY3" s="1" t="str" cm="1">
        <f t="array" ref="LUY3">GetValue("Dmn","Name",LUY2)</f>
        <v/>
      </c>
      <c r="LUZ3" s="1" t="str" cm="1">
        <f t="array" ref="LUZ3">GetValue("Dmn","Name",LUZ2)</f>
        <v/>
      </c>
      <c r="LVA3" s="1" t="str" cm="1">
        <f t="array" ref="LVA3">GetValue("Dmn","Name",LVA2)</f>
        <v/>
      </c>
      <c r="LVB3" s="1" t="str" cm="1">
        <f t="array" ref="LVB3">GetValue("Dmn","Name",LVB2)</f>
        <v/>
      </c>
      <c r="LVC3" s="1" t="str" cm="1">
        <f t="array" ref="LVC3">GetValue("Dmn","Name",LVC2)</f>
        <v/>
      </c>
      <c r="LVD3" s="1" t="str" cm="1">
        <f t="array" ref="LVD3">GetValue("Dmn","Name",LVD2)</f>
        <v/>
      </c>
      <c r="LVE3" s="1" t="str" cm="1">
        <f t="array" ref="LVE3">GetValue("Dmn","Name",LVE2)</f>
        <v/>
      </c>
      <c r="LVF3" s="1" t="str" cm="1">
        <f t="array" ref="LVF3">GetValue("Dmn","Name",LVF2)</f>
        <v/>
      </c>
      <c r="LVG3" s="1" t="str" cm="1">
        <f t="array" ref="LVG3">GetValue("Dmn","Name",LVG2)</f>
        <v/>
      </c>
      <c r="LVH3" s="1" t="str" cm="1">
        <f t="array" ref="LVH3">GetValue("Dmn","Name",LVH2)</f>
        <v/>
      </c>
      <c r="LVI3" s="1" t="str" cm="1">
        <f t="array" ref="LVI3">GetValue("Dmn","Name",LVI2)</f>
        <v/>
      </c>
      <c r="LVJ3" s="1" t="str" cm="1">
        <f t="array" ref="LVJ3">GetValue("Dmn","Name",LVJ2)</f>
        <v/>
      </c>
      <c r="LVK3" s="1" t="str" cm="1">
        <f t="array" ref="LVK3">GetValue("Dmn","Name",LVK2)</f>
        <v/>
      </c>
      <c r="LVL3" s="1" t="str" cm="1">
        <f t="array" ref="LVL3">GetValue("Dmn","Name",LVL2)</f>
        <v/>
      </c>
      <c r="LVM3" s="1" t="str" cm="1">
        <f t="array" ref="LVM3">GetValue("Dmn","Name",LVM2)</f>
        <v/>
      </c>
      <c r="LVN3" s="1" t="str" cm="1">
        <f t="array" ref="LVN3">GetValue("Dmn","Name",LVN2)</f>
        <v/>
      </c>
      <c r="LVO3" s="1" t="str" cm="1">
        <f t="array" ref="LVO3">GetValue("Dmn","Name",LVO2)</f>
        <v/>
      </c>
      <c r="LVP3" s="1" t="str" cm="1">
        <f t="array" ref="LVP3">GetValue("Dmn","Name",LVP2)</f>
        <v/>
      </c>
      <c r="LVQ3" s="1" t="str" cm="1">
        <f t="array" ref="LVQ3">GetValue("Dmn","Name",LVQ2)</f>
        <v/>
      </c>
      <c r="LVR3" s="1" t="str" cm="1">
        <f t="array" ref="LVR3">GetValue("Dmn","Name",LVR2)</f>
        <v/>
      </c>
      <c r="LVS3" s="1" t="str" cm="1">
        <f t="array" ref="LVS3">GetValue("Dmn","Name",LVS2)</f>
        <v/>
      </c>
      <c r="LVT3" s="1" t="str" cm="1">
        <f t="array" ref="LVT3">GetValue("Dmn","Name",LVT2)</f>
        <v/>
      </c>
      <c r="LVU3" s="1" t="str" cm="1">
        <f t="array" ref="LVU3">GetValue("Dmn","Name",LVU2)</f>
        <v/>
      </c>
      <c r="LVV3" s="1" t="str" cm="1">
        <f t="array" ref="LVV3">GetValue("Dmn","Name",LVV2)</f>
        <v/>
      </c>
      <c r="LVW3" s="1" t="str" cm="1">
        <f t="array" ref="LVW3">GetValue("Dmn","Name",LVW2)</f>
        <v/>
      </c>
      <c r="LVX3" s="1" t="str" cm="1">
        <f t="array" ref="LVX3">GetValue("Dmn","Name",LVX2)</f>
        <v/>
      </c>
      <c r="LVY3" s="1" t="str" cm="1">
        <f t="array" ref="LVY3">GetValue("Dmn","Name",LVY2)</f>
        <v/>
      </c>
      <c r="LVZ3" s="1" t="str" cm="1">
        <f t="array" ref="LVZ3">GetValue("Dmn","Name",LVZ2)</f>
        <v/>
      </c>
      <c r="LWA3" s="1" t="str" cm="1">
        <f t="array" ref="LWA3">GetValue("Dmn","Name",LWA2)</f>
        <v/>
      </c>
      <c r="LWB3" s="1" t="str" cm="1">
        <f t="array" ref="LWB3">GetValue("Dmn","Name",LWB2)</f>
        <v/>
      </c>
      <c r="LWC3" s="1" t="str" cm="1">
        <f t="array" ref="LWC3">GetValue("Dmn","Name",LWC2)</f>
        <v/>
      </c>
      <c r="LWD3" s="1" t="str" cm="1">
        <f t="array" ref="LWD3">GetValue("Dmn","Name",LWD2)</f>
        <v/>
      </c>
      <c r="LWE3" s="1" t="str" cm="1">
        <f t="array" ref="LWE3">GetValue("Dmn","Name",LWE2)</f>
        <v/>
      </c>
      <c r="LWF3" s="1" t="str" cm="1">
        <f t="array" ref="LWF3">GetValue("Dmn","Name",LWF2)</f>
        <v/>
      </c>
      <c r="LWG3" s="1" t="str" cm="1">
        <f t="array" ref="LWG3">GetValue("Dmn","Name",LWG2)</f>
        <v/>
      </c>
      <c r="LWH3" s="1" t="str" cm="1">
        <f t="array" ref="LWH3">GetValue("Dmn","Name",LWH2)</f>
        <v/>
      </c>
      <c r="LWI3" s="1" t="str" cm="1">
        <f t="array" ref="LWI3">GetValue("Dmn","Name",LWI2)</f>
        <v/>
      </c>
      <c r="LWJ3" s="1" t="str" cm="1">
        <f t="array" ref="LWJ3">GetValue("Dmn","Name",LWJ2)</f>
        <v/>
      </c>
      <c r="LWK3" s="1" t="str" cm="1">
        <f t="array" ref="LWK3">GetValue("Dmn","Name",LWK2)</f>
        <v/>
      </c>
      <c r="LWL3" s="1" t="str" cm="1">
        <f t="array" ref="LWL3">GetValue("Dmn","Name",LWL2)</f>
        <v/>
      </c>
      <c r="LWM3" s="1" t="str" cm="1">
        <f t="array" ref="LWM3">GetValue("Dmn","Name",LWM2)</f>
        <v/>
      </c>
      <c r="LWN3" s="1" t="str" cm="1">
        <f t="array" ref="LWN3">GetValue("Dmn","Name",LWN2)</f>
        <v/>
      </c>
      <c r="LWO3" s="1" t="str" cm="1">
        <f t="array" ref="LWO3">GetValue("Dmn","Name",LWO2)</f>
        <v/>
      </c>
      <c r="LWP3" s="1" t="str" cm="1">
        <f t="array" ref="LWP3">GetValue("Dmn","Name",LWP2)</f>
        <v/>
      </c>
      <c r="LWQ3" s="1" t="str" cm="1">
        <f t="array" ref="LWQ3">GetValue("Dmn","Name",LWQ2)</f>
        <v/>
      </c>
      <c r="LWR3" s="1" t="str" cm="1">
        <f t="array" ref="LWR3">GetValue("Dmn","Name",LWR2)</f>
        <v/>
      </c>
      <c r="LWS3" s="1" t="str" cm="1">
        <f t="array" ref="LWS3">GetValue("Dmn","Name",LWS2)</f>
        <v/>
      </c>
      <c r="LWT3" s="1" t="str" cm="1">
        <f t="array" ref="LWT3">GetValue("Dmn","Name",LWT2)</f>
        <v/>
      </c>
      <c r="LWU3" s="1" t="str" cm="1">
        <f t="array" ref="LWU3">GetValue("Dmn","Name",LWU2)</f>
        <v/>
      </c>
      <c r="LWV3" s="1" t="str" cm="1">
        <f t="array" ref="LWV3">GetValue("Dmn","Name",LWV2)</f>
        <v/>
      </c>
      <c r="LWW3" s="1" t="str" cm="1">
        <f t="array" ref="LWW3">GetValue("Dmn","Name",LWW2)</f>
        <v/>
      </c>
      <c r="LWX3" s="1" t="str" cm="1">
        <f t="array" ref="LWX3">GetValue("Dmn","Name",LWX2)</f>
        <v/>
      </c>
      <c r="LWY3" s="1" t="str" cm="1">
        <f t="array" ref="LWY3">GetValue("Dmn","Name",LWY2)</f>
        <v/>
      </c>
      <c r="LWZ3" s="1" t="str" cm="1">
        <f t="array" ref="LWZ3">GetValue("Dmn","Name",LWZ2)</f>
        <v/>
      </c>
      <c r="LXA3" s="1" t="str" cm="1">
        <f t="array" ref="LXA3">GetValue("Dmn","Name",LXA2)</f>
        <v/>
      </c>
      <c r="LXB3" s="1" t="str" cm="1">
        <f t="array" ref="LXB3">GetValue("Dmn","Name",LXB2)</f>
        <v/>
      </c>
      <c r="LXC3" s="1" t="str" cm="1">
        <f t="array" ref="LXC3">GetValue("Dmn","Name",LXC2)</f>
        <v/>
      </c>
      <c r="LXD3" s="1" t="str" cm="1">
        <f t="array" ref="LXD3">GetValue("Dmn","Name",LXD2)</f>
        <v/>
      </c>
      <c r="LXE3" s="1" t="str" cm="1">
        <f t="array" ref="LXE3">GetValue("Dmn","Name",LXE2)</f>
        <v/>
      </c>
      <c r="LXF3" s="1" t="str" cm="1">
        <f t="array" ref="LXF3">GetValue("Dmn","Name",LXF2)</f>
        <v/>
      </c>
      <c r="LXG3" s="1" t="str" cm="1">
        <f t="array" ref="LXG3">GetValue("Dmn","Name",LXG2)</f>
        <v/>
      </c>
      <c r="LXH3" s="1" t="str" cm="1">
        <f t="array" ref="LXH3">GetValue("Dmn","Name",LXH2)</f>
        <v/>
      </c>
      <c r="LXI3" s="1" t="str" cm="1">
        <f t="array" ref="LXI3">GetValue("Dmn","Name",LXI2)</f>
        <v/>
      </c>
      <c r="LXJ3" s="1" t="str" cm="1">
        <f t="array" ref="LXJ3">GetValue("Dmn","Name",LXJ2)</f>
        <v/>
      </c>
      <c r="LXK3" s="1" t="str" cm="1">
        <f t="array" ref="LXK3">GetValue("Dmn","Name",LXK2)</f>
        <v/>
      </c>
      <c r="LXL3" s="1" t="str" cm="1">
        <f t="array" ref="LXL3">GetValue("Dmn","Name",LXL2)</f>
        <v/>
      </c>
      <c r="LXM3" s="1" t="str" cm="1">
        <f t="array" ref="LXM3">GetValue("Dmn","Name",LXM2)</f>
        <v/>
      </c>
      <c r="LXN3" s="1" t="str" cm="1">
        <f t="array" ref="LXN3">GetValue("Dmn","Name",LXN2)</f>
        <v/>
      </c>
      <c r="LXO3" s="1" t="str" cm="1">
        <f t="array" ref="LXO3">GetValue("Dmn","Name",LXO2)</f>
        <v/>
      </c>
      <c r="LXP3" s="1" t="str" cm="1">
        <f t="array" ref="LXP3">GetValue("Dmn","Name",LXP2)</f>
        <v/>
      </c>
      <c r="LXQ3" s="1" t="str" cm="1">
        <f t="array" ref="LXQ3">GetValue("Dmn","Name",LXQ2)</f>
        <v/>
      </c>
      <c r="LXR3" s="1" t="str" cm="1">
        <f t="array" ref="LXR3">GetValue("Dmn","Name",LXR2)</f>
        <v/>
      </c>
      <c r="LXS3" s="1" t="str" cm="1">
        <f t="array" ref="LXS3">GetValue("Dmn","Name",LXS2)</f>
        <v/>
      </c>
      <c r="LXT3" s="1" t="str" cm="1">
        <f t="array" ref="LXT3">GetValue("Dmn","Name",LXT2)</f>
        <v/>
      </c>
      <c r="LXU3" s="1" t="str" cm="1">
        <f t="array" ref="LXU3">GetValue("Dmn","Name",LXU2)</f>
        <v/>
      </c>
      <c r="LXV3" s="1" t="str" cm="1">
        <f t="array" ref="LXV3">GetValue("Dmn","Name",LXV2)</f>
        <v/>
      </c>
      <c r="LXW3" s="1" t="str" cm="1">
        <f t="array" ref="LXW3">GetValue("Dmn","Name",LXW2)</f>
        <v/>
      </c>
      <c r="LXX3" s="1" t="str" cm="1">
        <f t="array" ref="LXX3">GetValue("Dmn","Name",LXX2)</f>
        <v/>
      </c>
      <c r="LXY3" s="1" t="str" cm="1">
        <f t="array" ref="LXY3">GetValue("Dmn","Name",LXY2)</f>
        <v/>
      </c>
      <c r="LXZ3" s="1" t="str" cm="1">
        <f t="array" ref="LXZ3">GetValue("Dmn","Name",LXZ2)</f>
        <v/>
      </c>
      <c r="LYA3" s="1" t="str" cm="1">
        <f t="array" ref="LYA3">GetValue("Dmn","Name",LYA2)</f>
        <v/>
      </c>
      <c r="LYB3" s="1" t="str" cm="1">
        <f t="array" ref="LYB3">GetValue("Dmn","Name",LYB2)</f>
        <v/>
      </c>
      <c r="LYC3" s="1" t="str" cm="1">
        <f t="array" ref="LYC3">GetValue("Dmn","Name",LYC2)</f>
        <v/>
      </c>
      <c r="LYD3" s="1" t="str" cm="1">
        <f t="array" ref="LYD3">GetValue("Dmn","Name",LYD2)</f>
        <v/>
      </c>
      <c r="LYE3" s="1" t="str" cm="1">
        <f t="array" ref="LYE3">GetValue("Dmn","Name",LYE2)</f>
        <v/>
      </c>
      <c r="LYF3" s="1" t="str" cm="1">
        <f t="array" ref="LYF3">GetValue("Dmn","Name",LYF2)</f>
        <v/>
      </c>
      <c r="LYG3" s="1" t="str" cm="1">
        <f t="array" ref="LYG3">GetValue("Dmn","Name",LYG2)</f>
        <v/>
      </c>
      <c r="LYH3" s="1" t="str" cm="1">
        <f t="array" ref="LYH3">GetValue("Dmn","Name",LYH2)</f>
        <v/>
      </c>
      <c r="LYI3" s="1" t="str" cm="1">
        <f t="array" ref="LYI3">GetValue("Dmn","Name",LYI2)</f>
        <v/>
      </c>
      <c r="LYJ3" s="1" t="str" cm="1">
        <f t="array" ref="LYJ3">GetValue("Dmn","Name",LYJ2)</f>
        <v/>
      </c>
      <c r="LYK3" s="1" t="str" cm="1">
        <f t="array" ref="LYK3">GetValue("Dmn","Name",LYK2)</f>
        <v/>
      </c>
      <c r="LYL3" s="1" t="str" cm="1">
        <f t="array" ref="LYL3">GetValue("Dmn","Name",LYL2)</f>
        <v/>
      </c>
      <c r="LYM3" s="1" t="str" cm="1">
        <f t="array" ref="LYM3">GetValue("Dmn","Name",LYM2)</f>
        <v/>
      </c>
      <c r="LYN3" s="1" t="str" cm="1">
        <f t="array" ref="LYN3">GetValue("Dmn","Name",LYN2)</f>
        <v/>
      </c>
      <c r="LYO3" s="1" t="str" cm="1">
        <f t="array" ref="LYO3">GetValue("Dmn","Name",LYO2)</f>
        <v/>
      </c>
      <c r="LYP3" s="1" t="str" cm="1">
        <f t="array" ref="LYP3">GetValue("Dmn","Name",LYP2)</f>
        <v/>
      </c>
      <c r="LYQ3" s="1" t="str" cm="1">
        <f t="array" ref="LYQ3">GetValue("Dmn","Name",LYQ2)</f>
        <v/>
      </c>
      <c r="LYR3" s="1" t="str" cm="1">
        <f t="array" ref="LYR3">GetValue("Dmn","Name",LYR2)</f>
        <v/>
      </c>
      <c r="LYS3" s="1" t="str" cm="1">
        <f t="array" ref="LYS3">GetValue("Dmn","Name",LYS2)</f>
        <v/>
      </c>
      <c r="LYT3" s="1" t="str" cm="1">
        <f t="array" ref="LYT3">GetValue("Dmn","Name",LYT2)</f>
        <v/>
      </c>
      <c r="LYU3" s="1" t="str" cm="1">
        <f t="array" ref="LYU3">GetValue("Dmn","Name",LYU2)</f>
        <v/>
      </c>
      <c r="LYV3" s="1" t="str" cm="1">
        <f t="array" ref="LYV3">GetValue("Dmn","Name",LYV2)</f>
        <v/>
      </c>
      <c r="LYW3" s="1" t="str" cm="1">
        <f t="array" ref="LYW3">GetValue("Dmn","Name",LYW2)</f>
        <v/>
      </c>
      <c r="LYX3" s="1" t="str" cm="1">
        <f t="array" ref="LYX3">GetValue("Dmn","Name",LYX2)</f>
        <v/>
      </c>
      <c r="LYY3" s="1" t="str" cm="1">
        <f t="array" ref="LYY3">GetValue("Dmn","Name",LYY2)</f>
        <v/>
      </c>
      <c r="LYZ3" s="1" t="str" cm="1">
        <f t="array" ref="LYZ3">GetValue("Dmn","Name",LYZ2)</f>
        <v/>
      </c>
      <c r="LZA3" s="1" t="str" cm="1">
        <f t="array" ref="LZA3">GetValue("Dmn","Name",LZA2)</f>
        <v/>
      </c>
      <c r="LZB3" s="1" t="str" cm="1">
        <f t="array" ref="LZB3">GetValue("Dmn","Name",LZB2)</f>
        <v/>
      </c>
      <c r="LZC3" s="1" t="str" cm="1">
        <f t="array" ref="LZC3">GetValue("Dmn","Name",LZC2)</f>
        <v/>
      </c>
      <c r="LZD3" s="1" t="str" cm="1">
        <f t="array" ref="LZD3">GetValue("Dmn","Name",LZD2)</f>
        <v/>
      </c>
      <c r="LZE3" s="1" t="str" cm="1">
        <f t="array" ref="LZE3">GetValue("Dmn","Name",LZE2)</f>
        <v/>
      </c>
      <c r="LZF3" s="1" t="str" cm="1">
        <f t="array" ref="LZF3">GetValue("Dmn","Name",LZF2)</f>
        <v/>
      </c>
      <c r="LZG3" s="1" t="str" cm="1">
        <f t="array" ref="LZG3">GetValue("Dmn","Name",LZG2)</f>
        <v/>
      </c>
      <c r="LZH3" s="1" t="str" cm="1">
        <f t="array" ref="LZH3">GetValue("Dmn","Name",LZH2)</f>
        <v/>
      </c>
      <c r="LZI3" s="1" t="str" cm="1">
        <f t="array" ref="LZI3">GetValue("Dmn","Name",LZI2)</f>
        <v/>
      </c>
      <c r="LZJ3" s="1" t="str" cm="1">
        <f t="array" ref="LZJ3">GetValue("Dmn","Name",LZJ2)</f>
        <v/>
      </c>
      <c r="LZK3" s="1" t="str" cm="1">
        <f t="array" ref="LZK3">GetValue("Dmn","Name",LZK2)</f>
        <v/>
      </c>
      <c r="LZL3" s="1" t="str" cm="1">
        <f t="array" ref="LZL3">GetValue("Dmn","Name",LZL2)</f>
        <v/>
      </c>
      <c r="LZM3" s="1" t="str" cm="1">
        <f t="array" ref="LZM3">GetValue("Dmn","Name",LZM2)</f>
        <v/>
      </c>
      <c r="LZN3" s="1" t="str" cm="1">
        <f t="array" ref="LZN3">GetValue("Dmn","Name",LZN2)</f>
        <v/>
      </c>
      <c r="LZO3" s="1" t="str" cm="1">
        <f t="array" ref="LZO3">GetValue("Dmn","Name",LZO2)</f>
        <v/>
      </c>
      <c r="LZP3" s="1" t="str" cm="1">
        <f t="array" ref="LZP3">GetValue("Dmn","Name",LZP2)</f>
        <v/>
      </c>
      <c r="LZQ3" s="1" t="str" cm="1">
        <f t="array" ref="LZQ3">GetValue("Dmn","Name",LZQ2)</f>
        <v/>
      </c>
      <c r="LZR3" s="1" t="str" cm="1">
        <f t="array" ref="LZR3">GetValue("Dmn","Name",LZR2)</f>
        <v/>
      </c>
      <c r="LZS3" s="1" t="str" cm="1">
        <f t="array" ref="LZS3">GetValue("Dmn","Name",LZS2)</f>
        <v/>
      </c>
      <c r="LZT3" s="1" t="str" cm="1">
        <f t="array" ref="LZT3">GetValue("Dmn","Name",LZT2)</f>
        <v/>
      </c>
      <c r="LZU3" s="1" t="str" cm="1">
        <f t="array" ref="LZU3">GetValue("Dmn","Name",LZU2)</f>
        <v/>
      </c>
      <c r="LZV3" s="1" t="str" cm="1">
        <f t="array" ref="LZV3">GetValue("Dmn","Name",LZV2)</f>
        <v/>
      </c>
      <c r="LZW3" s="1" t="str" cm="1">
        <f t="array" ref="LZW3">GetValue("Dmn","Name",LZW2)</f>
        <v/>
      </c>
      <c r="LZX3" s="1" t="str" cm="1">
        <f t="array" ref="LZX3">GetValue("Dmn","Name",LZX2)</f>
        <v/>
      </c>
      <c r="LZY3" s="1" t="str" cm="1">
        <f t="array" ref="LZY3">GetValue("Dmn","Name",LZY2)</f>
        <v/>
      </c>
      <c r="LZZ3" s="1" t="str" cm="1">
        <f t="array" ref="LZZ3">GetValue("Dmn","Name",LZZ2)</f>
        <v/>
      </c>
      <c r="MAA3" s="1" t="str" cm="1">
        <f t="array" ref="MAA3">GetValue("Dmn","Name",MAA2)</f>
        <v/>
      </c>
      <c r="MAB3" s="1" t="str" cm="1">
        <f t="array" ref="MAB3">GetValue("Dmn","Name",MAB2)</f>
        <v/>
      </c>
      <c r="MAC3" s="1" t="str" cm="1">
        <f t="array" ref="MAC3">GetValue("Dmn","Name",MAC2)</f>
        <v/>
      </c>
      <c r="MAD3" s="1" t="str" cm="1">
        <f t="array" ref="MAD3">GetValue("Dmn","Name",MAD2)</f>
        <v/>
      </c>
      <c r="MAE3" s="1" t="str" cm="1">
        <f t="array" ref="MAE3">GetValue("Dmn","Name",MAE2)</f>
        <v/>
      </c>
      <c r="MAF3" s="1" t="str" cm="1">
        <f t="array" ref="MAF3">GetValue("Dmn","Name",MAF2)</f>
        <v/>
      </c>
      <c r="MAG3" s="1" t="str" cm="1">
        <f t="array" ref="MAG3">GetValue("Dmn","Name",MAG2)</f>
        <v/>
      </c>
      <c r="MAH3" s="1" t="str" cm="1">
        <f t="array" ref="MAH3">GetValue("Dmn","Name",MAH2)</f>
        <v/>
      </c>
      <c r="MAI3" s="1" t="str" cm="1">
        <f t="array" ref="MAI3">GetValue("Dmn","Name",MAI2)</f>
        <v/>
      </c>
      <c r="MAJ3" s="1" t="str" cm="1">
        <f t="array" ref="MAJ3">GetValue("Dmn","Name",MAJ2)</f>
        <v/>
      </c>
      <c r="MAK3" s="1" t="str" cm="1">
        <f t="array" ref="MAK3">GetValue("Dmn","Name",MAK2)</f>
        <v/>
      </c>
      <c r="MAL3" s="1" t="str" cm="1">
        <f t="array" ref="MAL3">GetValue("Dmn","Name",MAL2)</f>
        <v/>
      </c>
      <c r="MAM3" s="1" t="str" cm="1">
        <f t="array" ref="MAM3">GetValue("Dmn","Name",MAM2)</f>
        <v/>
      </c>
      <c r="MAN3" s="1" t="str" cm="1">
        <f t="array" ref="MAN3">GetValue("Dmn","Name",MAN2)</f>
        <v/>
      </c>
      <c r="MAO3" s="1" t="str" cm="1">
        <f t="array" ref="MAO3">GetValue("Dmn","Name",MAO2)</f>
        <v/>
      </c>
      <c r="MAP3" s="1" t="str" cm="1">
        <f t="array" ref="MAP3">GetValue("Dmn","Name",MAP2)</f>
        <v/>
      </c>
      <c r="MAQ3" s="1" t="str" cm="1">
        <f t="array" ref="MAQ3">GetValue("Dmn","Name",MAQ2)</f>
        <v/>
      </c>
      <c r="MAR3" s="1" t="str" cm="1">
        <f t="array" ref="MAR3">GetValue("Dmn","Name",MAR2)</f>
        <v/>
      </c>
      <c r="MAS3" s="1" t="str" cm="1">
        <f t="array" ref="MAS3">GetValue("Dmn","Name",MAS2)</f>
        <v/>
      </c>
      <c r="MAT3" s="1" t="str" cm="1">
        <f t="array" ref="MAT3">GetValue("Dmn","Name",MAT2)</f>
        <v/>
      </c>
      <c r="MAU3" s="1" t="str" cm="1">
        <f t="array" ref="MAU3">GetValue("Dmn","Name",MAU2)</f>
        <v/>
      </c>
      <c r="MAV3" s="1" t="str" cm="1">
        <f t="array" ref="MAV3">GetValue("Dmn","Name",MAV2)</f>
        <v/>
      </c>
      <c r="MAW3" s="1" t="str" cm="1">
        <f t="array" ref="MAW3">GetValue("Dmn","Name",MAW2)</f>
        <v/>
      </c>
      <c r="MAX3" s="1" t="str" cm="1">
        <f t="array" ref="MAX3">GetValue("Dmn","Name",MAX2)</f>
        <v/>
      </c>
      <c r="MAY3" s="1" t="str" cm="1">
        <f t="array" ref="MAY3">GetValue("Dmn","Name",MAY2)</f>
        <v/>
      </c>
      <c r="MAZ3" s="1" t="str" cm="1">
        <f t="array" ref="MAZ3">GetValue("Dmn","Name",MAZ2)</f>
        <v/>
      </c>
      <c r="MBA3" s="1" t="str" cm="1">
        <f t="array" ref="MBA3">GetValue("Dmn","Name",MBA2)</f>
        <v/>
      </c>
      <c r="MBB3" s="1" t="str" cm="1">
        <f t="array" ref="MBB3">GetValue("Dmn","Name",MBB2)</f>
        <v/>
      </c>
      <c r="MBC3" s="1" t="str" cm="1">
        <f t="array" ref="MBC3">GetValue("Dmn","Name",MBC2)</f>
        <v/>
      </c>
      <c r="MBD3" s="1" t="str" cm="1">
        <f t="array" ref="MBD3">GetValue("Dmn","Name",MBD2)</f>
        <v/>
      </c>
      <c r="MBE3" s="1" t="str" cm="1">
        <f t="array" ref="MBE3">GetValue("Dmn","Name",MBE2)</f>
        <v/>
      </c>
      <c r="MBF3" s="1" t="str" cm="1">
        <f t="array" ref="MBF3">GetValue("Dmn","Name",MBF2)</f>
        <v/>
      </c>
      <c r="MBG3" s="1" t="str" cm="1">
        <f t="array" ref="MBG3">GetValue("Dmn","Name",MBG2)</f>
        <v/>
      </c>
      <c r="MBH3" s="1" t="str" cm="1">
        <f t="array" ref="MBH3">GetValue("Dmn","Name",MBH2)</f>
        <v/>
      </c>
      <c r="MBI3" s="1" t="str" cm="1">
        <f t="array" ref="MBI3">GetValue("Dmn","Name",MBI2)</f>
        <v/>
      </c>
      <c r="MBJ3" s="1" t="str" cm="1">
        <f t="array" ref="MBJ3">GetValue("Dmn","Name",MBJ2)</f>
        <v/>
      </c>
      <c r="MBK3" s="1" t="str" cm="1">
        <f t="array" ref="MBK3">GetValue("Dmn","Name",MBK2)</f>
        <v/>
      </c>
      <c r="MBL3" s="1" t="str" cm="1">
        <f t="array" ref="MBL3">GetValue("Dmn","Name",MBL2)</f>
        <v/>
      </c>
      <c r="MBM3" s="1" t="str" cm="1">
        <f t="array" ref="MBM3">GetValue("Dmn","Name",MBM2)</f>
        <v/>
      </c>
      <c r="MBN3" s="1" t="str" cm="1">
        <f t="array" ref="MBN3">GetValue("Dmn","Name",MBN2)</f>
        <v/>
      </c>
      <c r="MBO3" s="1" t="str" cm="1">
        <f t="array" ref="MBO3">GetValue("Dmn","Name",MBO2)</f>
        <v/>
      </c>
      <c r="MBP3" s="1" t="str" cm="1">
        <f t="array" ref="MBP3">GetValue("Dmn","Name",MBP2)</f>
        <v/>
      </c>
      <c r="MBQ3" s="1" t="str" cm="1">
        <f t="array" ref="MBQ3">GetValue("Dmn","Name",MBQ2)</f>
        <v/>
      </c>
      <c r="MBR3" s="1" t="str" cm="1">
        <f t="array" ref="MBR3">GetValue("Dmn","Name",MBR2)</f>
        <v/>
      </c>
      <c r="MBS3" s="1" t="str" cm="1">
        <f t="array" ref="MBS3">GetValue("Dmn","Name",MBS2)</f>
        <v/>
      </c>
      <c r="MBT3" s="1" t="str" cm="1">
        <f t="array" ref="MBT3">GetValue("Dmn","Name",MBT2)</f>
        <v/>
      </c>
      <c r="MBU3" s="1" t="str" cm="1">
        <f t="array" ref="MBU3">GetValue("Dmn","Name",MBU2)</f>
        <v/>
      </c>
      <c r="MBV3" s="1" t="str" cm="1">
        <f t="array" ref="MBV3">GetValue("Dmn","Name",MBV2)</f>
        <v/>
      </c>
      <c r="MBW3" s="1" t="str" cm="1">
        <f t="array" ref="MBW3">GetValue("Dmn","Name",MBW2)</f>
        <v/>
      </c>
      <c r="MBX3" s="1" t="str" cm="1">
        <f t="array" ref="MBX3">GetValue("Dmn","Name",MBX2)</f>
        <v/>
      </c>
      <c r="MBY3" s="1" t="str" cm="1">
        <f t="array" ref="MBY3">GetValue("Dmn","Name",MBY2)</f>
        <v/>
      </c>
      <c r="MBZ3" s="1" t="str" cm="1">
        <f t="array" ref="MBZ3">GetValue("Dmn","Name",MBZ2)</f>
        <v/>
      </c>
      <c r="MCA3" s="1" t="str" cm="1">
        <f t="array" ref="MCA3">GetValue("Dmn","Name",MCA2)</f>
        <v/>
      </c>
      <c r="MCB3" s="1" t="str" cm="1">
        <f t="array" ref="MCB3">GetValue("Dmn","Name",MCB2)</f>
        <v/>
      </c>
      <c r="MCC3" s="1" t="str" cm="1">
        <f t="array" ref="MCC3">GetValue("Dmn","Name",MCC2)</f>
        <v/>
      </c>
      <c r="MCD3" s="1" t="str" cm="1">
        <f t="array" ref="MCD3">GetValue("Dmn","Name",MCD2)</f>
        <v/>
      </c>
      <c r="MCE3" s="1" t="str" cm="1">
        <f t="array" ref="MCE3">GetValue("Dmn","Name",MCE2)</f>
        <v/>
      </c>
      <c r="MCF3" s="1" t="str" cm="1">
        <f t="array" ref="MCF3">GetValue("Dmn","Name",MCF2)</f>
        <v/>
      </c>
      <c r="MCG3" s="1" t="str" cm="1">
        <f t="array" ref="MCG3">GetValue("Dmn","Name",MCG2)</f>
        <v/>
      </c>
      <c r="MCH3" s="1" t="str" cm="1">
        <f t="array" ref="MCH3">GetValue("Dmn","Name",MCH2)</f>
        <v/>
      </c>
      <c r="MCI3" s="1" t="str" cm="1">
        <f t="array" ref="MCI3">GetValue("Dmn","Name",MCI2)</f>
        <v/>
      </c>
      <c r="MCJ3" s="1" t="str" cm="1">
        <f t="array" ref="MCJ3">GetValue("Dmn","Name",MCJ2)</f>
        <v/>
      </c>
      <c r="MCK3" s="1" t="str" cm="1">
        <f t="array" ref="MCK3">GetValue("Dmn","Name",MCK2)</f>
        <v/>
      </c>
      <c r="MCL3" s="1" t="str" cm="1">
        <f t="array" ref="MCL3">GetValue("Dmn","Name",MCL2)</f>
        <v/>
      </c>
      <c r="MCM3" s="1" t="str" cm="1">
        <f t="array" ref="MCM3">GetValue("Dmn","Name",MCM2)</f>
        <v/>
      </c>
      <c r="MCN3" s="1" t="str" cm="1">
        <f t="array" ref="MCN3">GetValue("Dmn","Name",MCN2)</f>
        <v/>
      </c>
      <c r="MCO3" s="1" t="str" cm="1">
        <f t="array" ref="MCO3">GetValue("Dmn","Name",MCO2)</f>
        <v/>
      </c>
      <c r="MCP3" s="1" t="str" cm="1">
        <f t="array" ref="MCP3">GetValue("Dmn","Name",MCP2)</f>
        <v/>
      </c>
      <c r="MCQ3" s="1" t="str" cm="1">
        <f t="array" ref="MCQ3">GetValue("Dmn","Name",MCQ2)</f>
        <v/>
      </c>
      <c r="MCR3" s="1" t="str" cm="1">
        <f t="array" ref="MCR3">GetValue("Dmn","Name",MCR2)</f>
        <v/>
      </c>
      <c r="MCS3" s="1" t="str" cm="1">
        <f t="array" ref="MCS3">GetValue("Dmn","Name",MCS2)</f>
        <v/>
      </c>
      <c r="MCT3" s="1" t="str" cm="1">
        <f t="array" ref="MCT3">GetValue("Dmn","Name",MCT2)</f>
        <v/>
      </c>
      <c r="MCU3" s="1" t="str" cm="1">
        <f t="array" ref="MCU3">GetValue("Dmn","Name",MCU2)</f>
        <v/>
      </c>
      <c r="MCV3" s="1" t="str" cm="1">
        <f t="array" ref="MCV3">GetValue("Dmn","Name",MCV2)</f>
        <v/>
      </c>
      <c r="MCW3" s="1" t="str" cm="1">
        <f t="array" ref="MCW3">GetValue("Dmn","Name",MCW2)</f>
        <v/>
      </c>
      <c r="MCX3" s="1" t="str" cm="1">
        <f t="array" ref="MCX3">GetValue("Dmn","Name",MCX2)</f>
        <v/>
      </c>
      <c r="MCY3" s="1" t="str" cm="1">
        <f t="array" ref="MCY3">GetValue("Dmn","Name",MCY2)</f>
        <v/>
      </c>
      <c r="MCZ3" s="1" t="str" cm="1">
        <f t="array" ref="MCZ3">GetValue("Dmn","Name",MCZ2)</f>
        <v/>
      </c>
      <c r="MDA3" s="1" t="str" cm="1">
        <f t="array" ref="MDA3">GetValue("Dmn","Name",MDA2)</f>
        <v/>
      </c>
      <c r="MDB3" s="1" t="str" cm="1">
        <f t="array" ref="MDB3">GetValue("Dmn","Name",MDB2)</f>
        <v/>
      </c>
      <c r="MDC3" s="1" t="str" cm="1">
        <f t="array" ref="MDC3">GetValue("Dmn","Name",MDC2)</f>
        <v/>
      </c>
      <c r="MDD3" s="1" t="str" cm="1">
        <f t="array" ref="MDD3">GetValue("Dmn","Name",MDD2)</f>
        <v/>
      </c>
      <c r="MDE3" s="1" t="str" cm="1">
        <f t="array" ref="MDE3">GetValue("Dmn","Name",MDE2)</f>
        <v/>
      </c>
      <c r="MDF3" s="1" t="str" cm="1">
        <f t="array" ref="MDF3">GetValue("Dmn","Name",MDF2)</f>
        <v/>
      </c>
      <c r="MDG3" s="1" t="str" cm="1">
        <f t="array" ref="MDG3">GetValue("Dmn","Name",MDG2)</f>
        <v/>
      </c>
      <c r="MDH3" s="1" t="str" cm="1">
        <f t="array" ref="MDH3">GetValue("Dmn","Name",MDH2)</f>
        <v/>
      </c>
      <c r="MDI3" s="1" t="str" cm="1">
        <f t="array" ref="MDI3">GetValue("Dmn","Name",MDI2)</f>
        <v/>
      </c>
      <c r="MDJ3" s="1" t="str" cm="1">
        <f t="array" ref="MDJ3">GetValue("Dmn","Name",MDJ2)</f>
        <v/>
      </c>
      <c r="MDK3" s="1" t="str" cm="1">
        <f t="array" ref="MDK3">GetValue("Dmn","Name",MDK2)</f>
        <v/>
      </c>
      <c r="MDL3" s="1" t="str" cm="1">
        <f t="array" ref="MDL3">GetValue("Dmn","Name",MDL2)</f>
        <v/>
      </c>
      <c r="MDM3" s="1" t="str" cm="1">
        <f t="array" ref="MDM3">GetValue("Dmn","Name",MDM2)</f>
        <v/>
      </c>
      <c r="MDN3" s="1" t="str" cm="1">
        <f t="array" ref="MDN3">GetValue("Dmn","Name",MDN2)</f>
        <v/>
      </c>
      <c r="MDO3" s="1" t="str" cm="1">
        <f t="array" ref="MDO3">GetValue("Dmn","Name",MDO2)</f>
        <v/>
      </c>
      <c r="MDP3" s="1" t="str" cm="1">
        <f t="array" ref="MDP3">GetValue("Dmn","Name",MDP2)</f>
        <v/>
      </c>
      <c r="MDQ3" s="1" t="str" cm="1">
        <f t="array" ref="MDQ3">GetValue("Dmn","Name",MDQ2)</f>
        <v/>
      </c>
      <c r="MDR3" s="1" t="str" cm="1">
        <f t="array" ref="MDR3">GetValue("Dmn","Name",MDR2)</f>
        <v/>
      </c>
      <c r="MDS3" s="1" t="str" cm="1">
        <f t="array" ref="MDS3">GetValue("Dmn","Name",MDS2)</f>
        <v/>
      </c>
      <c r="MDT3" s="1" t="str" cm="1">
        <f t="array" ref="MDT3">GetValue("Dmn","Name",MDT2)</f>
        <v/>
      </c>
      <c r="MDU3" s="1" t="str" cm="1">
        <f t="array" ref="MDU3">GetValue("Dmn","Name",MDU2)</f>
        <v/>
      </c>
      <c r="MDV3" s="1" t="str" cm="1">
        <f t="array" ref="MDV3">GetValue("Dmn","Name",MDV2)</f>
        <v/>
      </c>
      <c r="MDW3" s="1" t="str" cm="1">
        <f t="array" ref="MDW3">GetValue("Dmn","Name",MDW2)</f>
        <v/>
      </c>
      <c r="MDX3" s="1" t="str" cm="1">
        <f t="array" ref="MDX3">GetValue("Dmn","Name",MDX2)</f>
        <v/>
      </c>
      <c r="MDY3" s="1" t="str" cm="1">
        <f t="array" ref="MDY3">GetValue("Dmn","Name",MDY2)</f>
        <v/>
      </c>
      <c r="MDZ3" s="1" t="str" cm="1">
        <f t="array" ref="MDZ3">GetValue("Dmn","Name",MDZ2)</f>
        <v/>
      </c>
      <c r="MEA3" s="1" t="str" cm="1">
        <f t="array" ref="MEA3">GetValue("Dmn","Name",MEA2)</f>
        <v/>
      </c>
      <c r="MEB3" s="1" t="str" cm="1">
        <f t="array" ref="MEB3">GetValue("Dmn","Name",MEB2)</f>
        <v/>
      </c>
      <c r="MEC3" s="1" t="str" cm="1">
        <f t="array" ref="MEC3">GetValue("Dmn","Name",MEC2)</f>
        <v/>
      </c>
      <c r="MED3" s="1" t="str" cm="1">
        <f t="array" ref="MED3">GetValue("Dmn","Name",MED2)</f>
        <v/>
      </c>
      <c r="MEE3" s="1" t="str" cm="1">
        <f t="array" ref="MEE3">GetValue("Dmn","Name",MEE2)</f>
        <v/>
      </c>
      <c r="MEF3" s="1" t="str" cm="1">
        <f t="array" ref="MEF3">GetValue("Dmn","Name",MEF2)</f>
        <v/>
      </c>
      <c r="MEG3" s="1" t="str" cm="1">
        <f t="array" ref="MEG3">GetValue("Dmn","Name",MEG2)</f>
        <v/>
      </c>
      <c r="MEH3" s="1" t="str" cm="1">
        <f t="array" ref="MEH3">GetValue("Dmn","Name",MEH2)</f>
        <v/>
      </c>
      <c r="MEI3" s="1" t="str" cm="1">
        <f t="array" ref="MEI3">GetValue("Dmn","Name",MEI2)</f>
        <v/>
      </c>
      <c r="MEJ3" s="1" t="str" cm="1">
        <f t="array" ref="MEJ3">GetValue("Dmn","Name",MEJ2)</f>
        <v/>
      </c>
      <c r="MEK3" s="1" t="str" cm="1">
        <f t="array" ref="MEK3">GetValue("Dmn","Name",MEK2)</f>
        <v/>
      </c>
      <c r="MEL3" s="1" t="str" cm="1">
        <f t="array" ref="MEL3">GetValue("Dmn","Name",MEL2)</f>
        <v/>
      </c>
      <c r="MEM3" s="1" t="str" cm="1">
        <f t="array" ref="MEM3">GetValue("Dmn","Name",MEM2)</f>
        <v/>
      </c>
      <c r="MEN3" s="1" t="str" cm="1">
        <f t="array" ref="MEN3">GetValue("Dmn","Name",MEN2)</f>
        <v/>
      </c>
      <c r="MEO3" s="1" t="str" cm="1">
        <f t="array" ref="MEO3">GetValue("Dmn","Name",MEO2)</f>
        <v/>
      </c>
      <c r="MEP3" s="1" t="str" cm="1">
        <f t="array" ref="MEP3">GetValue("Dmn","Name",MEP2)</f>
        <v/>
      </c>
      <c r="MEQ3" s="1" t="str" cm="1">
        <f t="array" ref="MEQ3">GetValue("Dmn","Name",MEQ2)</f>
        <v/>
      </c>
      <c r="MER3" s="1" t="str" cm="1">
        <f t="array" ref="MER3">GetValue("Dmn","Name",MER2)</f>
        <v/>
      </c>
      <c r="MES3" s="1" t="str" cm="1">
        <f t="array" ref="MES3">GetValue("Dmn","Name",MES2)</f>
        <v/>
      </c>
      <c r="MET3" s="1" t="str" cm="1">
        <f t="array" ref="MET3">GetValue("Dmn","Name",MET2)</f>
        <v/>
      </c>
      <c r="MEU3" s="1" t="str" cm="1">
        <f t="array" ref="MEU3">GetValue("Dmn","Name",MEU2)</f>
        <v/>
      </c>
      <c r="MEV3" s="1" t="str" cm="1">
        <f t="array" ref="MEV3">GetValue("Dmn","Name",MEV2)</f>
        <v/>
      </c>
      <c r="MEW3" s="1" t="str" cm="1">
        <f t="array" ref="MEW3">GetValue("Dmn","Name",MEW2)</f>
        <v/>
      </c>
      <c r="MEX3" s="1" t="str" cm="1">
        <f t="array" ref="MEX3">GetValue("Dmn","Name",MEX2)</f>
        <v/>
      </c>
      <c r="MEY3" s="1" t="str" cm="1">
        <f t="array" ref="MEY3">GetValue("Dmn","Name",MEY2)</f>
        <v/>
      </c>
      <c r="MEZ3" s="1" t="str" cm="1">
        <f t="array" ref="MEZ3">GetValue("Dmn","Name",MEZ2)</f>
        <v/>
      </c>
      <c r="MFA3" s="1" t="str" cm="1">
        <f t="array" ref="MFA3">GetValue("Dmn","Name",MFA2)</f>
        <v/>
      </c>
      <c r="MFB3" s="1" t="str" cm="1">
        <f t="array" ref="MFB3">GetValue("Dmn","Name",MFB2)</f>
        <v/>
      </c>
      <c r="MFC3" s="1" t="str" cm="1">
        <f t="array" ref="MFC3">GetValue("Dmn","Name",MFC2)</f>
        <v/>
      </c>
      <c r="MFD3" s="1" t="str" cm="1">
        <f t="array" ref="MFD3">GetValue("Dmn","Name",MFD2)</f>
        <v/>
      </c>
      <c r="MFE3" s="1" t="str" cm="1">
        <f t="array" ref="MFE3">GetValue("Dmn","Name",MFE2)</f>
        <v/>
      </c>
      <c r="MFF3" s="1" t="str" cm="1">
        <f t="array" ref="MFF3">GetValue("Dmn","Name",MFF2)</f>
        <v/>
      </c>
      <c r="MFG3" s="1" t="str" cm="1">
        <f t="array" ref="MFG3">GetValue("Dmn","Name",MFG2)</f>
        <v/>
      </c>
      <c r="MFH3" s="1" t="str" cm="1">
        <f t="array" ref="MFH3">GetValue("Dmn","Name",MFH2)</f>
        <v/>
      </c>
      <c r="MFI3" s="1" t="str" cm="1">
        <f t="array" ref="MFI3">GetValue("Dmn","Name",MFI2)</f>
        <v/>
      </c>
      <c r="MFJ3" s="1" t="str" cm="1">
        <f t="array" ref="MFJ3">GetValue("Dmn","Name",MFJ2)</f>
        <v/>
      </c>
      <c r="MFK3" s="1" t="str" cm="1">
        <f t="array" ref="MFK3">GetValue("Dmn","Name",MFK2)</f>
        <v/>
      </c>
      <c r="MFL3" s="1" t="str" cm="1">
        <f t="array" ref="MFL3">GetValue("Dmn","Name",MFL2)</f>
        <v/>
      </c>
      <c r="MFM3" s="1" t="str" cm="1">
        <f t="array" ref="MFM3">GetValue("Dmn","Name",MFM2)</f>
        <v/>
      </c>
      <c r="MFN3" s="1" t="str" cm="1">
        <f t="array" ref="MFN3">GetValue("Dmn","Name",MFN2)</f>
        <v/>
      </c>
      <c r="MFO3" s="1" t="str" cm="1">
        <f t="array" ref="MFO3">GetValue("Dmn","Name",MFO2)</f>
        <v/>
      </c>
      <c r="MFP3" s="1" t="str" cm="1">
        <f t="array" ref="MFP3">GetValue("Dmn","Name",MFP2)</f>
        <v/>
      </c>
      <c r="MFQ3" s="1" t="str" cm="1">
        <f t="array" ref="MFQ3">GetValue("Dmn","Name",MFQ2)</f>
        <v/>
      </c>
      <c r="MFR3" s="1" t="str" cm="1">
        <f t="array" ref="MFR3">GetValue("Dmn","Name",MFR2)</f>
        <v/>
      </c>
      <c r="MFS3" s="1" t="str" cm="1">
        <f t="array" ref="MFS3">GetValue("Dmn","Name",MFS2)</f>
        <v/>
      </c>
      <c r="MFT3" s="1" t="str" cm="1">
        <f t="array" ref="MFT3">GetValue("Dmn","Name",MFT2)</f>
        <v/>
      </c>
      <c r="MFU3" s="1" t="str" cm="1">
        <f t="array" ref="MFU3">GetValue("Dmn","Name",MFU2)</f>
        <v/>
      </c>
      <c r="MFV3" s="1" t="str" cm="1">
        <f t="array" ref="MFV3">GetValue("Dmn","Name",MFV2)</f>
        <v/>
      </c>
      <c r="MFW3" s="1" t="str" cm="1">
        <f t="array" ref="MFW3">GetValue("Dmn","Name",MFW2)</f>
        <v/>
      </c>
      <c r="MFX3" s="1" t="str" cm="1">
        <f t="array" ref="MFX3">GetValue("Dmn","Name",MFX2)</f>
        <v/>
      </c>
      <c r="MFY3" s="1" t="str" cm="1">
        <f t="array" ref="MFY3">GetValue("Dmn","Name",MFY2)</f>
        <v/>
      </c>
      <c r="MFZ3" s="1" t="str" cm="1">
        <f t="array" ref="MFZ3">GetValue("Dmn","Name",MFZ2)</f>
        <v/>
      </c>
      <c r="MGA3" s="1" t="str" cm="1">
        <f t="array" ref="MGA3">GetValue("Dmn","Name",MGA2)</f>
        <v/>
      </c>
      <c r="MGB3" s="1" t="str" cm="1">
        <f t="array" ref="MGB3">GetValue("Dmn","Name",MGB2)</f>
        <v/>
      </c>
      <c r="MGC3" s="1" t="str" cm="1">
        <f t="array" ref="MGC3">GetValue("Dmn","Name",MGC2)</f>
        <v/>
      </c>
      <c r="MGD3" s="1" t="str" cm="1">
        <f t="array" ref="MGD3">GetValue("Dmn","Name",MGD2)</f>
        <v/>
      </c>
      <c r="MGE3" s="1" t="str" cm="1">
        <f t="array" ref="MGE3">GetValue("Dmn","Name",MGE2)</f>
        <v/>
      </c>
      <c r="MGF3" s="1" t="str" cm="1">
        <f t="array" ref="MGF3">GetValue("Dmn","Name",MGF2)</f>
        <v/>
      </c>
      <c r="MGG3" s="1" t="str" cm="1">
        <f t="array" ref="MGG3">GetValue("Dmn","Name",MGG2)</f>
        <v/>
      </c>
      <c r="MGH3" s="1" t="str" cm="1">
        <f t="array" ref="MGH3">GetValue("Dmn","Name",MGH2)</f>
        <v/>
      </c>
      <c r="MGI3" s="1" t="str" cm="1">
        <f t="array" ref="MGI3">GetValue("Dmn","Name",MGI2)</f>
        <v/>
      </c>
      <c r="MGJ3" s="1" t="str" cm="1">
        <f t="array" ref="MGJ3">GetValue("Dmn","Name",MGJ2)</f>
        <v/>
      </c>
      <c r="MGK3" s="1" t="str" cm="1">
        <f t="array" ref="MGK3">GetValue("Dmn","Name",MGK2)</f>
        <v/>
      </c>
      <c r="MGL3" s="1" t="str" cm="1">
        <f t="array" ref="MGL3">GetValue("Dmn","Name",MGL2)</f>
        <v/>
      </c>
      <c r="MGM3" s="1" t="str" cm="1">
        <f t="array" ref="MGM3">GetValue("Dmn","Name",MGM2)</f>
        <v/>
      </c>
      <c r="MGN3" s="1" t="str" cm="1">
        <f t="array" ref="MGN3">GetValue("Dmn","Name",MGN2)</f>
        <v/>
      </c>
      <c r="MGO3" s="1" t="str" cm="1">
        <f t="array" ref="MGO3">GetValue("Dmn","Name",MGO2)</f>
        <v/>
      </c>
      <c r="MGP3" s="1" t="str" cm="1">
        <f t="array" ref="MGP3">GetValue("Dmn","Name",MGP2)</f>
        <v/>
      </c>
      <c r="MGQ3" s="1" t="str" cm="1">
        <f t="array" ref="MGQ3">GetValue("Dmn","Name",MGQ2)</f>
        <v/>
      </c>
      <c r="MGR3" s="1" t="str" cm="1">
        <f t="array" ref="MGR3">GetValue("Dmn","Name",MGR2)</f>
        <v/>
      </c>
      <c r="MGS3" s="1" t="str" cm="1">
        <f t="array" ref="MGS3">GetValue("Dmn","Name",MGS2)</f>
        <v/>
      </c>
      <c r="MGT3" s="1" t="str" cm="1">
        <f t="array" ref="MGT3">GetValue("Dmn","Name",MGT2)</f>
        <v/>
      </c>
      <c r="MGU3" s="1" t="str" cm="1">
        <f t="array" ref="MGU3">GetValue("Dmn","Name",MGU2)</f>
        <v/>
      </c>
      <c r="MGV3" s="1" t="str" cm="1">
        <f t="array" ref="MGV3">GetValue("Dmn","Name",MGV2)</f>
        <v/>
      </c>
      <c r="MGW3" s="1" t="str" cm="1">
        <f t="array" ref="MGW3">GetValue("Dmn","Name",MGW2)</f>
        <v/>
      </c>
      <c r="MGX3" s="1" t="str" cm="1">
        <f t="array" ref="MGX3">GetValue("Dmn","Name",MGX2)</f>
        <v/>
      </c>
      <c r="MGY3" s="1" t="str" cm="1">
        <f t="array" ref="MGY3">GetValue("Dmn","Name",MGY2)</f>
        <v/>
      </c>
      <c r="MGZ3" s="1" t="str" cm="1">
        <f t="array" ref="MGZ3">GetValue("Dmn","Name",MGZ2)</f>
        <v/>
      </c>
      <c r="MHA3" s="1" t="str" cm="1">
        <f t="array" ref="MHA3">GetValue("Dmn","Name",MHA2)</f>
        <v/>
      </c>
      <c r="MHB3" s="1" t="str" cm="1">
        <f t="array" ref="MHB3">GetValue("Dmn","Name",MHB2)</f>
        <v/>
      </c>
      <c r="MHC3" s="1" t="str" cm="1">
        <f t="array" ref="MHC3">GetValue("Dmn","Name",MHC2)</f>
        <v/>
      </c>
      <c r="MHD3" s="1" t="str" cm="1">
        <f t="array" ref="MHD3">GetValue("Dmn","Name",MHD2)</f>
        <v/>
      </c>
      <c r="MHE3" s="1" t="str" cm="1">
        <f t="array" ref="MHE3">GetValue("Dmn","Name",MHE2)</f>
        <v/>
      </c>
      <c r="MHF3" s="1" t="str" cm="1">
        <f t="array" ref="MHF3">GetValue("Dmn","Name",MHF2)</f>
        <v/>
      </c>
      <c r="MHG3" s="1" t="str" cm="1">
        <f t="array" ref="MHG3">GetValue("Dmn","Name",MHG2)</f>
        <v/>
      </c>
      <c r="MHH3" s="1" t="str" cm="1">
        <f t="array" ref="MHH3">GetValue("Dmn","Name",MHH2)</f>
        <v/>
      </c>
      <c r="MHI3" s="1" t="str" cm="1">
        <f t="array" ref="MHI3">GetValue("Dmn","Name",MHI2)</f>
        <v/>
      </c>
      <c r="MHJ3" s="1" t="str" cm="1">
        <f t="array" ref="MHJ3">GetValue("Dmn","Name",MHJ2)</f>
        <v/>
      </c>
      <c r="MHK3" s="1" t="str" cm="1">
        <f t="array" ref="MHK3">GetValue("Dmn","Name",MHK2)</f>
        <v/>
      </c>
      <c r="MHL3" s="1" t="str" cm="1">
        <f t="array" ref="MHL3">GetValue("Dmn","Name",MHL2)</f>
        <v/>
      </c>
      <c r="MHM3" s="1" t="str" cm="1">
        <f t="array" ref="MHM3">GetValue("Dmn","Name",MHM2)</f>
        <v/>
      </c>
      <c r="MHN3" s="1" t="str" cm="1">
        <f t="array" ref="MHN3">GetValue("Dmn","Name",MHN2)</f>
        <v/>
      </c>
      <c r="MHO3" s="1" t="str" cm="1">
        <f t="array" ref="MHO3">GetValue("Dmn","Name",MHO2)</f>
        <v/>
      </c>
      <c r="MHP3" s="1" t="str" cm="1">
        <f t="array" ref="MHP3">GetValue("Dmn","Name",MHP2)</f>
        <v/>
      </c>
      <c r="MHQ3" s="1" t="str" cm="1">
        <f t="array" ref="MHQ3">GetValue("Dmn","Name",MHQ2)</f>
        <v/>
      </c>
      <c r="MHR3" s="1" t="str" cm="1">
        <f t="array" ref="MHR3">GetValue("Dmn","Name",MHR2)</f>
        <v/>
      </c>
      <c r="MHS3" s="1" t="str" cm="1">
        <f t="array" ref="MHS3">GetValue("Dmn","Name",MHS2)</f>
        <v/>
      </c>
      <c r="MHT3" s="1" t="str" cm="1">
        <f t="array" ref="MHT3">GetValue("Dmn","Name",MHT2)</f>
        <v/>
      </c>
      <c r="MHU3" s="1" t="str" cm="1">
        <f t="array" ref="MHU3">GetValue("Dmn","Name",MHU2)</f>
        <v/>
      </c>
      <c r="MHV3" s="1" t="str" cm="1">
        <f t="array" ref="MHV3">GetValue("Dmn","Name",MHV2)</f>
        <v/>
      </c>
      <c r="MHW3" s="1" t="str" cm="1">
        <f t="array" ref="MHW3">GetValue("Dmn","Name",MHW2)</f>
        <v/>
      </c>
      <c r="MHX3" s="1" t="str" cm="1">
        <f t="array" ref="MHX3">GetValue("Dmn","Name",MHX2)</f>
        <v/>
      </c>
      <c r="MHY3" s="1" t="str" cm="1">
        <f t="array" ref="MHY3">GetValue("Dmn","Name",MHY2)</f>
        <v/>
      </c>
      <c r="MHZ3" s="1" t="str" cm="1">
        <f t="array" ref="MHZ3">GetValue("Dmn","Name",MHZ2)</f>
        <v/>
      </c>
      <c r="MIA3" s="1" t="str" cm="1">
        <f t="array" ref="MIA3">GetValue("Dmn","Name",MIA2)</f>
        <v/>
      </c>
      <c r="MIB3" s="1" t="str" cm="1">
        <f t="array" ref="MIB3">GetValue("Dmn","Name",MIB2)</f>
        <v/>
      </c>
      <c r="MIC3" s="1" t="str" cm="1">
        <f t="array" ref="MIC3">GetValue("Dmn","Name",MIC2)</f>
        <v/>
      </c>
      <c r="MID3" s="1" t="str" cm="1">
        <f t="array" ref="MID3">GetValue("Dmn","Name",MID2)</f>
        <v/>
      </c>
      <c r="MIE3" s="1" t="str" cm="1">
        <f t="array" ref="MIE3">GetValue("Dmn","Name",MIE2)</f>
        <v/>
      </c>
      <c r="MIF3" s="1" t="str" cm="1">
        <f t="array" ref="MIF3">GetValue("Dmn","Name",MIF2)</f>
        <v/>
      </c>
      <c r="MIG3" s="1" t="str" cm="1">
        <f t="array" ref="MIG3">GetValue("Dmn","Name",MIG2)</f>
        <v/>
      </c>
      <c r="MIH3" s="1" t="str" cm="1">
        <f t="array" ref="MIH3">GetValue("Dmn","Name",MIH2)</f>
        <v/>
      </c>
      <c r="MII3" s="1" t="str" cm="1">
        <f t="array" ref="MII3">GetValue("Dmn","Name",MII2)</f>
        <v/>
      </c>
      <c r="MIJ3" s="1" t="str" cm="1">
        <f t="array" ref="MIJ3">GetValue("Dmn","Name",MIJ2)</f>
        <v/>
      </c>
      <c r="MIK3" s="1" t="str" cm="1">
        <f t="array" ref="MIK3">GetValue("Dmn","Name",MIK2)</f>
        <v/>
      </c>
      <c r="MIL3" s="1" t="str" cm="1">
        <f t="array" ref="MIL3">GetValue("Dmn","Name",MIL2)</f>
        <v/>
      </c>
      <c r="MIM3" s="1" t="str" cm="1">
        <f t="array" ref="MIM3">GetValue("Dmn","Name",MIM2)</f>
        <v/>
      </c>
      <c r="MIN3" s="1" t="str" cm="1">
        <f t="array" ref="MIN3">GetValue("Dmn","Name",MIN2)</f>
        <v/>
      </c>
      <c r="MIO3" s="1" t="str" cm="1">
        <f t="array" ref="MIO3">GetValue("Dmn","Name",MIO2)</f>
        <v/>
      </c>
      <c r="MIP3" s="1" t="str" cm="1">
        <f t="array" ref="MIP3">GetValue("Dmn","Name",MIP2)</f>
        <v/>
      </c>
      <c r="MIQ3" s="1" t="str" cm="1">
        <f t="array" ref="MIQ3">GetValue("Dmn","Name",MIQ2)</f>
        <v/>
      </c>
      <c r="MIR3" s="1" t="str" cm="1">
        <f t="array" ref="MIR3">GetValue("Dmn","Name",MIR2)</f>
        <v/>
      </c>
      <c r="MIS3" s="1" t="str" cm="1">
        <f t="array" ref="MIS3">GetValue("Dmn","Name",MIS2)</f>
        <v/>
      </c>
      <c r="MIT3" s="1" t="str" cm="1">
        <f t="array" ref="MIT3">GetValue("Dmn","Name",MIT2)</f>
        <v/>
      </c>
      <c r="MIU3" s="1" t="str" cm="1">
        <f t="array" ref="MIU3">GetValue("Dmn","Name",MIU2)</f>
        <v/>
      </c>
      <c r="MIV3" s="1" t="str" cm="1">
        <f t="array" ref="MIV3">GetValue("Dmn","Name",MIV2)</f>
        <v/>
      </c>
      <c r="MIW3" s="1" t="str" cm="1">
        <f t="array" ref="MIW3">GetValue("Dmn","Name",MIW2)</f>
        <v/>
      </c>
      <c r="MIX3" s="1" t="str" cm="1">
        <f t="array" ref="MIX3">GetValue("Dmn","Name",MIX2)</f>
        <v/>
      </c>
      <c r="MIY3" s="1" t="str" cm="1">
        <f t="array" ref="MIY3">GetValue("Dmn","Name",MIY2)</f>
        <v/>
      </c>
      <c r="MIZ3" s="1" t="str" cm="1">
        <f t="array" ref="MIZ3">GetValue("Dmn","Name",MIZ2)</f>
        <v/>
      </c>
      <c r="MJA3" s="1" t="str" cm="1">
        <f t="array" ref="MJA3">GetValue("Dmn","Name",MJA2)</f>
        <v/>
      </c>
      <c r="MJB3" s="1" t="str" cm="1">
        <f t="array" ref="MJB3">GetValue("Dmn","Name",MJB2)</f>
        <v/>
      </c>
      <c r="MJC3" s="1" t="str" cm="1">
        <f t="array" ref="MJC3">GetValue("Dmn","Name",MJC2)</f>
        <v/>
      </c>
      <c r="MJD3" s="1" t="str" cm="1">
        <f t="array" ref="MJD3">GetValue("Dmn","Name",MJD2)</f>
        <v/>
      </c>
      <c r="MJE3" s="1" t="str" cm="1">
        <f t="array" ref="MJE3">GetValue("Dmn","Name",MJE2)</f>
        <v/>
      </c>
      <c r="MJF3" s="1" t="str" cm="1">
        <f t="array" ref="MJF3">GetValue("Dmn","Name",MJF2)</f>
        <v/>
      </c>
      <c r="MJG3" s="1" t="str" cm="1">
        <f t="array" ref="MJG3">GetValue("Dmn","Name",MJG2)</f>
        <v/>
      </c>
      <c r="MJH3" s="1" t="str" cm="1">
        <f t="array" ref="MJH3">GetValue("Dmn","Name",MJH2)</f>
        <v/>
      </c>
      <c r="MJI3" s="1" t="str" cm="1">
        <f t="array" ref="MJI3">GetValue("Dmn","Name",MJI2)</f>
        <v/>
      </c>
      <c r="MJJ3" s="1" t="str" cm="1">
        <f t="array" ref="MJJ3">GetValue("Dmn","Name",MJJ2)</f>
        <v/>
      </c>
      <c r="MJK3" s="1" t="str" cm="1">
        <f t="array" ref="MJK3">GetValue("Dmn","Name",MJK2)</f>
        <v/>
      </c>
      <c r="MJL3" s="1" t="str" cm="1">
        <f t="array" ref="MJL3">GetValue("Dmn","Name",MJL2)</f>
        <v/>
      </c>
      <c r="MJM3" s="1" t="str" cm="1">
        <f t="array" ref="MJM3">GetValue("Dmn","Name",MJM2)</f>
        <v/>
      </c>
      <c r="MJN3" s="1" t="str" cm="1">
        <f t="array" ref="MJN3">GetValue("Dmn","Name",MJN2)</f>
        <v/>
      </c>
      <c r="MJO3" s="1" t="str" cm="1">
        <f t="array" ref="MJO3">GetValue("Dmn","Name",MJO2)</f>
        <v/>
      </c>
      <c r="MJP3" s="1" t="str" cm="1">
        <f t="array" ref="MJP3">GetValue("Dmn","Name",MJP2)</f>
        <v/>
      </c>
      <c r="MJQ3" s="1" t="str" cm="1">
        <f t="array" ref="MJQ3">GetValue("Dmn","Name",MJQ2)</f>
        <v/>
      </c>
      <c r="MJR3" s="1" t="str" cm="1">
        <f t="array" ref="MJR3">GetValue("Dmn","Name",MJR2)</f>
        <v/>
      </c>
      <c r="MJS3" s="1" t="str" cm="1">
        <f t="array" ref="MJS3">GetValue("Dmn","Name",MJS2)</f>
        <v/>
      </c>
      <c r="MJT3" s="1" t="str" cm="1">
        <f t="array" ref="MJT3">GetValue("Dmn","Name",MJT2)</f>
        <v/>
      </c>
      <c r="MJU3" s="1" t="str" cm="1">
        <f t="array" ref="MJU3">GetValue("Dmn","Name",MJU2)</f>
        <v/>
      </c>
      <c r="MJV3" s="1" t="str" cm="1">
        <f t="array" ref="MJV3">GetValue("Dmn","Name",MJV2)</f>
        <v/>
      </c>
      <c r="MJW3" s="1" t="str" cm="1">
        <f t="array" ref="MJW3">GetValue("Dmn","Name",MJW2)</f>
        <v/>
      </c>
      <c r="MJX3" s="1" t="str" cm="1">
        <f t="array" ref="MJX3">GetValue("Dmn","Name",MJX2)</f>
        <v/>
      </c>
      <c r="MJY3" s="1" t="str" cm="1">
        <f t="array" ref="MJY3">GetValue("Dmn","Name",MJY2)</f>
        <v/>
      </c>
      <c r="MJZ3" s="1" t="str" cm="1">
        <f t="array" ref="MJZ3">GetValue("Dmn","Name",MJZ2)</f>
        <v/>
      </c>
      <c r="MKA3" s="1" t="str" cm="1">
        <f t="array" ref="MKA3">GetValue("Dmn","Name",MKA2)</f>
        <v/>
      </c>
      <c r="MKB3" s="1" t="str" cm="1">
        <f t="array" ref="MKB3">GetValue("Dmn","Name",MKB2)</f>
        <v/>
      </c>
      <c r="MKC3" s="1" t="str" cm="1">
        <f t="array" ref="MKC3">GetValue("Dmn","Name",MKC2)</f>
        <v/>
      </c>
      <c r="MKD3" s="1" t="str" cm="1">
        <f t="array" ref="MKD3">GetValue("Dmn","Name",MKD2)</f>
        <v/>
      </c>
      <c r="MKE3" s="1" t="str" cm="1">
        <f t="array" ref="MKE3">GetValue("Dmn","Name",MKE2)</f>
        <v/>
      </c>
      <c r="MKF3" s="1" t="str" cm="1">
        <f t="array" ref="MKF3">GetValue("Dmn","Name",MKF2)</f>
        <v/>
      </c>
      <c r="MKG3" s="1" t="str" cm="1">
        <f t="array" ref="MKG3">GetValue("Dmn","Name",MKG2)</f>
        <v/>
      </c>
      <c r="MKH3" s="1" t="str" cm="1">
        <f t="array" ref="MKH3">GetValue("Dmn","Name",MKH2)</f>
        <v/>
      </c>
      <c r="MKI3" s="1" t="str" cm="1">
        <f t="array" ref="MKI3">GetValue("Dmn","Name",MKI2)</f>
        <v/>
      </c>
      <c r="MKJ3" s="1" t="str" cm="1">
        <f t="array" ref="MKJ3">GetValue("Dmn","Name",MKJ2)</f>
        <v/>
      </c>
      <c r="MKK3" s="1" t="str" cm="1">
        <f t="array" ref="MKK3">GetValue("Dmn","Name",MKK2)</f>
        <v/>
      </c>
      <c r="MKL3" s="1" t="str" cm="1">
        <f t="array" ref="MKL3">GetValue("Dmn","Name",MKL2)</f>
        <v/>
      </c>
      <c r="MKM3" s="1" t="str" cm="1">
        <f t="array" ref="MKM3">GetValue("Dmn","Name",MKM2)</f>
        <v/>
      </c>
      <c r="MKN3" s="1" t="str" cm="1">
        <f t="array" ref="MKN3">GetValue("Dmn","Name",MKN2)</f>
        <v/>
      </c>
      <c r="MKO3" s="1" t="str" cm="1">
        <f t="array" ref="MKO3">GetValue("Dmn","Name",MKO2)</f>
        <v/>
      </c>
      <c r="MKP3" s="1" t="str" cm="1">
        <f t="array" ref="MKP3">GetValue("Dmn","Name",MKP2)</f>
        <v/>
      </c>
      <c r="MKQ3" s="1" t="str" cm="1">
        <f t="array" ref="MKQ3">GetValue("Dmn","Name",MKQ2)</f>
        <v/>
      </c>
      <c r="MKR3" s="1" t="str" cm="1">
        <f t="array" ref="MKR3">GetValue("Dmn","Name",MKR2)</f>
        <v/>
      </c>
      <c r="MKS3" s="1" t="str" cm="1">
        <f t="array" ref="MKS3">GetValue("Dmn","Name",MKS2)</f>
        <v/>
      </c>
      <c r="MKT3" s="1" t="str" cm="1">
        <f t="array" ref="MKT3">GetValue("Dmn","Name",MKT2)</f>
        <v/>
      </c>
      <c r="MKU3" s="1" t="str" cm="1">
        <f t="array" ref="MKU3">GetValue("Dmn","Name",MKU2)</f>
        <v/>
      </c>
      <c r="MKV3" s="1" t="str" cm="1">
        <f t="array" ref="MKV3">GetValue("Dmn","Name",MKV2)</f>
        <v/>
      </c>
      <c r="MKW3" s="1" t="str" cm="1">
        <f t="array" ref="MKW3">GetValue("Dmn","Name",MKW2)</f>
        <v/>
      </c>
      <c r="MKX3" s="1" t="str" cm="1">
        <f t="array" ref="MKX3">GetValue("Dmn","Name",MKX2)</f>
        <v/>
      </c>
      <c r="MKY3" s="1" t="str" cm="1">
        <f t="array" ref="MKY3">GetValue("Dmn","Name",MKY2)</f>
        <v/>
      </c>
      <c r="MKZ3" s="1" t="str" cm="1">
        <f t="array" ref="MKZ3">GetValue("Dmn","Name",MKZ2)</f>
        <v/>
      </c>
      <c r="MLA3" s="1" t="str" cm="1">
        <f t="array" ref="MLA3">GetValue("Dmn","Name",MLA2)</f>
        <v/>
      </c>
      <c r="MLB3" s="1" t="str" cm="1">
        <f t="array" ref="MLB3">GetValue("Dmn","Name",MLB2)</f>
        <v/>
      </c>
      <c r="MLC3" s="1" t="str" cm="1">
        <f t="array" ref="MLC3">GetValue("Dmn","Name",MLC2)</f>
        <v/>
      </c>
      <c r="MLD3" s="1" t="str" cm="1">
        <f t="array" ref="MLD3">GetValue("Dmn","Name",MLD2)</f>
        <v/>
      </c>
      <c r="MLE3" s="1" t="str" cm="1">
        <f t="array" ref="MLE3">GetValue("Dmn","Name",MLE2)</f>
        <v/>
      </c>
      <c r="MLF3" s="1" t="str" cm="1">
        <f t="array" ref="MLF3">GetValue("Dmn","Name",MLF2)</f>
        <v/>
      </c>
      <c r="MLG3" s="1" t="str" cm="1">
        <f t="array" ref="MLG3">GetValue("Dmn","Name",MLG2)</f>
        <v/>
      </c>
      <c r="MLH3" s="1" t="str" cm="1">
        <f t="array" ref="MLH3">GetValue("Dmn","Name",MLH2)</f>
        <v/>
      </c>
      <c r="MLI3" s="1" t="str" cm="1">
        <f t="array" ref="MLI3">GetValue("Dmn","Name",MLI2)</f>
        <v/>
      </c>
      <c r="MLJ3" s="1" t="str" cm="1">
        <f t="array" ref="MLJ3">GetValue("Dmn","Name",MLJ2)</f>
        <v/>
      </c>
      <c r="MLK3" s="1" t="str" cm="1">
        <f t="array" ref="MLK3">GetValue("Dmn","Name",MLK2)</f>
        <v/>
      </c>
      <c r="MLL3" s="1" t="str" cm="1">
        <f t="array" ref="MLL3">GetValue("Dmn","Name",MLL2)</f>
        <v/>
      </c>
      <c r="MLM3" s="1" t="str" cm="1">
        <f t="array" ref="MLM3">GetValue("Dmn","Name",MLM2)</f>
        <v/>
      </c>
      <c r="MLN3" s="1" t="str" cm="1">
        <f t="array" ref="MLN3">GetValue("Dmn","Name",MLN2)</f>
        <v/>
      </c>
      <c r="MLO3" s="1" t="str" cm="1">
        <f t="array" ref="MLO3">GetValue("Dmn","Name",MLO2)</f>
        <v/>
      </c>
      <c r="MLP3" s="1" t="str" cm="1">
        <f t="array" ref="MLP3">GetValue("Dmn","Name",MLP2)</f>
        <v/>
      </c>
      <c r="MLQ3" s="1" t="str" cm="1">
        <f t="array" ref="MLQ3">GetValue("Dmn","Name",MLQ2)</f>
        <v/>
      </c>
      <c r="MLR3" s="1" t="str" cm="1">
        <f t="array" ref="MLR3">GetValue("Dmn","Name",MLR2)</f>
        <v/>
      </c>
      <c r="MLS3" s="1" t="str" cm="1">
        <f t="array" ref="MLS3">GetValue("Dmn","Name",MLS2)</f>
        <v/>
      </c>
      <c r="MLT3" s="1" t="str" cm="1">
        <f t="array" ref="MLT3">GetValue("Dmn","Name",MLT2)</f>
        <v/>
      </c>
      <c r="MLU3" s="1" t="str" cm="1">
        <f t="array" ref="MLU3">GetValue("Dmn","Name",MLU2)</f>
        <v/>
      </c>
      <c r="MLV3" s="1" t="str" cm="1">
        <f t="array" ref="MLV3">GetValue("Dmn","Name",MLV2)</f>
        <v/>
      </c>
      <c r="MLW3" s="1" t="str" cm="1">
        <f t="array" ref="MLW3">GetValue("Dmn","Name",MLW2)</f>
        <v/>
      </c>
      <c r="MLX3" s="1" t="str" cm="1">
        <f t="array" ref="MLX3">GetValue("Dmn","Name",MLX2)</f>
        <v/>
      </c>
      <c r="MLY3" s="1" t="str" cm="1">
        <f t="array" ref="MLY3">GetValue("Dmn","Name",MLY2)</f>
        <v/>
      </c>
      <c r="MLZ3" s="1" t="str" cm="1">
        <f t="array" ref="MLZ3">GetValue("Dmn","Name",MLZ2)</f>
        <v/>
      </c>
      <c r="MMA3" s="1" t="str" cm="1">
        <f t="array" ref="MMA3">GetValue("Dmn","Name",MMA2)</f>
        <v/>
      </c>
      <c r="MMB3" s="1" t="str" cm="1">
        <f t="array" ref="MMB3">GetValue("Dmn","Name",MMB2)</f>
        <v/>
      </c>
      <c r="MMC3" s="1" t="str" cm="1">
        <f t="array" ref="MMC3">GetValue("Dmn","Name",MMC2)</f>
        <v/>
      </c>
      <c r="MMD3" s="1" t="str" cm="1">
        <f t="array" ref="MMD3">GetValue("Dmn","Name",MMD2)</f>
        <v/>
      </c>
      <c r="MME3" s="1" t="str" cm="1">
        <f t="array" ref="MME3">GetValue("Dmn","Name",MME2)</f>
        <v/>
      </c>
      <c r="MMF3" s="1" t="str" cm="1">
        <f t="array" ref="MMF3">GetValue("Dmn","Name",MMF2)</f>
        <v/>
      </c>
      <c r="MMG3" s="1" t="str" cm="1">
        <f t="array" ref="MMG3">GetValue("Dmn","Name",MMG2)</f>
        <v/>
      </c>
      <c r="MMH3" s="1" t="str" cm="1">
        <f t="array" ref="MMH3">GetValue("Dmn","Name",MMH2)</f>
        <v/>
      </c>
      <c r="MMI3" s="1" t="str" cm="1">
        <f t="array" ref="MMI3">GetValue("Dmn","Name",MMI2)</f>
        <v/>
      </c>
      <c r="MMJ3" s="1" t="str" cm="1">
        <f t="array" ref="MMJ3">GetValue("Dmn","Name",MMJ2)</f>
        <v/>
      </c>
      <c r="MMK3" s="1" t="str" cm="1">
        <f t="array" ref="MMK3">GetValue("Dmn","Name",MMK2)</f>
        <v/>
      </c>
      <c r="MML3" s="1" t="str" cm="1">
        <f t="array" ref="MML3">GetValue("Dmn","Name",MML2)</f>
        <v/>
      </c>
      <c r="MMM3" s="1" t="str" cm="1">
        <f t="array" ref="MMM3">GetValue("Dmn","Name",MMM2)</f>
        <v/>
      </c>
      <c r="MMN3" s="1" t="str" cm="1">
        <f t="array" ref="MMN3">GetValue("Dmn","Name",MMN2)</f>
        <v/>
      </c>
      <c r="MMO3" s="1" t="str" cm="1">
        <f t="array" ref="MMO3">GetValue("Dmn","Name",MMO2)</f>
        <v/>
      </c>
      <c r="MMP3" s="1" t="str" cm="1">
        <f t="array" ref="MMP3">GetValue("Dmn","Name",MMP2)</f>
        <v/>
      </c>
      <c r="MMQ3" s="1" t="str" cm="1">
        <f t="array" ref="MMQ3">GetValue("Dmn","Name",MMQ2)</f>
        <v/>
      </c>
      <c r="MMR3" s="1" t="str" cm="1">
        <f t="array" ref="MMR3">GetValue("Dmn","Name",MMR2)</f>
        <v/>
      </c>
      <c r="MMS3" s="1" t="str" cm="1">
        <f t="array" ref="MMS3">GetValue("Dmn","Name",MMS2)</f>
        <v/>
      </c>
      <c r="MMT3" s="1" t="str" cm="1">
        <f t="array" ref="MMT3">GetValue("Dmn","Name",MMT2)</f>
        <v/>
      </c>
      <c r="MMU3" s="1" t="str" cm="1">
        <f t="array" ref="MMU3">GetValue("Dmn","Name",MMU2)</f>
        <v/>
      </c>
      <c r="MMV3" s="1" t="str" cm="1">
        <f t="array" ref="MMV3">GetValue("Dmn","Name",MMV2)</f>
        <v/>
      </c>
      <c r="MMW3" s="1" t="str" cm="1">
        <f t="array" ref="MMW3">GetValue("Dmn","Name",MMW2)</f>
        <v/>
      </c>
      <c r="MMX3" s="1" t="str" cm="1">
        <f t="array" ref="MMX3">GetValue("Dmn","Name",MMX2)</f>
        <v/>
      </c>
      <c r="MMY3" s="1" t="str" cm="1">
        <f t="array" ref="MMY3">GetValue("Dmn","Name",MMY2)</f>
        <v/>
      </c>
      <c r="MMZ3" s="1" t="str" cm="1">
        <f t="array" ref="MMZ3">GetValue("Dmn","Name",MMZ2)</f>
        <v/>
      </c>
      <c r="MNA3" s="1" t="str" cm="1">
        <f t="array" ref="MNA3">GetValue("Dmn","Name",MNA2)</f>
        <v/>
      </c>
      <c r="MNB3" s="1" t="str" cm="1">
        <f t="array" ref="MNB3">GetValue("Dmn","Name",MNB2)</f>
        <v/>
      </c>
      <c r="MNC3" s="1" t="str" cm="1">
        <f t="array" ref="MNC3">GetValue("Dmn","Name",MNC2)</f>
        <v/>
      </c>
      <c r="MND3" s="1" t="str" cm="1">
        <f t="array" ref="MND3">GetValue("Dmn","Name",MND2)</f>
        <v/>
      </c>
      <c r="MNE3" s="1" t="str" cm="1">
        <f t="array" ref="MNE3">GetValue("Dmn","Name",MNE2)</f>
        <v/>
      </c>
      <c r="MNF3" s="1" t="str" cm="1">
        <f t="array" ref="MNF3">GetValue("Dmn","Name",MNF2)</f>
        <v/>
      </c>
      <c r="MNG3" s="1" t="str" cm="1">
        <f t="array" ref="MNG3">GetValue("Dmn","Name",MNG2)</f>
        <v/>
      </c>
      <c r="MNH3" s="1" t="str" cm="1">
        <f t="array" ref="MNH3">GetValue("Dmn","Name",MNH2)</f>
        <v/>
      </c>
      <c r="MNI3" s="1" t="str" cm="1">
        <f t="array" ref="MNI3">GetValue("Dmn","Name",MNI2)</f>
        <v/>
      </c>
      <c r="MNJ3" s="1" t="str" cm="1">
        <f t="array" ref="MNJ3">GetValue("Dmn","Name",MNJ2)</f>
        <v/>
      </c>
      <c r="MNK3" s="1" t="str" cm="1">
        <f t="array" ref="MNK3">GetValue("Dmn","Name",MNK2)</f>
        <v/>
      </c>
      <c r="MNL3" s="1" t="str" cm="1">
        <f t="array" ref="MNL3">GetValue("Dmn","Name",MNL2)</f>
        <v/>
      </c>
      <c r="MNM3" s="1" t="str" cm="1">
        <f t="array" ref="MNM3">GetValue("Dmn","Name",MNM2)</f>
        <v/>
      </c>
      <c r="MNN3" s="1" t="str" cm="1">
        <f t="array" ref="MNN3">GetValue("Dmn","Name",MNN2)</f>
        <v/>
      </c>
      <c r="MNO3" s="1" t="str" cm="1">
        <f t="array" ref="MNO3">GetValue("Dmn","Name",MNO2)</f>
        <v/>
      </c>
      <c r="MNP3" s="1" t="str" cm="1">
        <f t="array" ref="MNP3">GetValue("Dmn","Name",MNP2)</f>
        <v/>
      </c>
      <c r="MNQ3" s="1" t="str" cm="1">
        <f t="array" ref="MNQ3">GetValue("Dmn","Name",MNQ2)</f>
        <v/>
      </c>
      <c r="MNR3" s="1" t="str" cm="1">
        <f t="array" ref="MNR3">GetValue("Dmn","Name",MNR2)</f>
        <v/>
      </c>
      <c r="MNS3" s="1" t="str" cm="1">
        <f t="array" ref="MNS3">GetValue("Dmn","Name",MNS2)</f>
        <v/>
      </c>
      <c r="MNT3" s="1" t="str" cm="1">
        <f t="array" ref="MNT3">GetValue("Dmn","Name",MNT2)</f>
        <v/>
      </c>
      <c r="MNU3" s="1" t="str" cm="1">
        <f t="array" ref="MNU3">GetValue("Dmn","Name",MNU2)</f>
        <v/>
      </c>
      <c r="MNV3" s="1" t="str" cm="1">
        <f t="array" ref="MNV3">GetValue("Dmn","Name",MNV2)</f>
        <v/>
      </c>
      <c r="MNW3" s="1" t="str" cm="1">
        <f t="array" ref="MNW3">GetValue("Dmn","Name",MNW2)</f>
        <v/>
      </c>
      <c r="MNX3" s="1" t="str" cm="1">
        <f t="array" ref="MNX3">GetValue("Dmn","Name",MNX2)</f>
        <v/>
      </c>
      <c r="MNY3" s="1" t="str" cm="1">
        <f t="array" ref="MNY3">GetValue("Dmn","Name",MNY2)</f>
        <v/>
      </c>
      <c r="MNZ3" s="1" t="str" cm="1">
        <f t="array" ref="MNZ3">GetValue("Dmn","Name",MNZ2)</f>
        <v/>
      </c>
      <c r="MOA3" s="1" t="str" cm="1">
        <f t="array" ref="MOA3">GetValue("Dmn","Name",MOA2)</f>
        <v/>
      </c>
      <c r="MOB3" s="1" t="str" cm="1">
        <f t="array" ref="MOB3">GetValue("Dmn","Name",MOB2)</f>
        <v/>
      </c>
      <c r="MOC3" s="1" t="str" cm="1">
        <f t="array" ref="MOC3">GetValue("Dmn","Name",MOC2)</f>
        <v/>
      </c>
      <c r="MOD3" s="1" t="str" cm="1">
        <f t="array" ref="MOD3">GetValue("Dmn","Name",MOD2)</f>
        <v/>
      </c>
      <c r="MOE3" s="1" t="str" cm="1">
        <f t="array" ref="MOE3">GetValue("Dmn","Name",MOE2)</f>
        <v/>
      </c>
      <c r="MOF3" s="1" t="str" cm="1">
        <f t="array" ref="MOF3">GetValue("Dmn","Name",MOF2)</f>
        <v/>
      </c>
      <c r="MOG3" s="1" t="str" cm="1">
        <f t="array" ref="MOG3">GetValue("Dmn","Name",MOG2)</f>
        <v/>
      </c>
      <c r="MOH3" s="1" t="str" cm="1">
        <f t="array" ref="MOH3">GetValue("Dmn","Name",MOH2)</f>
        <v/>
      </c>
      <c r="MOI3" s="1" t="str" cm="1">
        <f t="array" ref="MOI3">GetValue("Dmn","Name",MOI2)</f>
        <v/>
      </c>
      <c r="MOJ3" s="1" t="str" cm="1">
        <f t="array" ref="MOJ3">GetValue("Dmn","Name",MOJ2)</f>
        <v/>
      </c>
      <c r="MOK3" s="1" t="str" cm="1">
        <f t="array" ref="MOK3">GetValue("Dmn","Name",MOK2)</f>
        <v/>
      </c>
      <c r="MOL3" s="1" t="str" cm="1">
        <f t="array" ref="MOL3">GetValue("Dmn","Name",MOL2)</f>
        <v/>
      </c>
      <c r="MOM3" s="1" t="str" cm="1">
        <f t="array" ref="MOM3">GetValue("Dmn","Name",MOM2)</f>
        <v/>
      </c>
      <c r="MON3" s="1" t="str" cm="1">
        <f t="array" ref="MON3">GetValue("Dmn","Name",MON2)</f>
        <v/>
      </c>
      <c r="MOO3" s="1" t="str" cm="1">
        <f t="array" ref="MOO3">GetValue("Dmn","Name",MOO2)</f>
        <v/>
      </c>
      <c r="MOP3" s="1" t="str" cm="1">
        <f t="array" ref="MOP3">GetValue("Dmn","Name",MOP2)</f>
        <v/>
      </c>
      <c r="MOQ3" s="1" t="str" cm="1">
        <f t="array" ref="MOQ3">GetValue("Dmn","Name",MOQ2)</f>
        <v/>
      </c>
      <c r="MOR3" s="1" t="str" cm="1">
        <f t="array" ref="MOR3">GetValue("Dmn","Name",MOR2)</f>
        <v/>
      </c>
      <c r="MOS3" s="1" t="str" cm="1">
        <f t="array" ref="MOS3">GetValue("Dmn","Name",MOS2)</f>
        <v/>
      </c>
      <c r="MOT3" s="1" t="str" cm="1">
        <f t="array" ref="MOT3">GetValue("Dmn","Name",MOT2)</f>
        <v/>
      </c>
      <c r="MOU3" s="1" t="str" cm="1">
        <f t="array" ref="MOU3">GetValue("Dmn","Name",MOU2)</f>
        <v/>
      </c>
      <c r="MOV3" s="1" t="str" cm="1">
        <f t="array" ref="MOV3">GetValue("Dmn","Name",MOV2)</f>
        <v/>
      </c>
      <c r="MOW3" s="1" t="str" cm="1">
        <f t="array" ref="MOW3">GetValue("Dmn","Name",MOW2)</f>
        <v/>
      </c>
      <c r="MOX3" s="1" t="str" cm="1">
        <f t="array" ref="MOX3">GetValue("Dmn","Name",MOX2)</f>
        <v/>
      </c>
      <c r="MOY3" s="1" t="str" cm="1">
        <f t="array" ref="MOY3">GetValue("Dmn","Name",MOY2)</f>
        <v/>
      </c>
      <c r="MOZ3" s="1" t="str" cm="1">
        <f t="array" ref="MOZ3">GetValue("Dmn","Name",MOZ2)</f>
        <v/>
      </c>
      <c r="MPA3" s="1" t="str" cm="1">
        <f t="array" ref="MPA3">GetValue("Dmn","Name",MPA2)</f>
        <v/>
      </c>
      <c r="MPB3" s="1" t="str" cm="1">
        <f t="array" ref="MPB3">GetValue("Dmn","Name",MPB2)</f>
        <v/>
      </c>
      <c r="MPC3" s="1" t="str" cm="1">
        <f t="array" ref="MPC3">GetValue("Dmn","Name",MPC2)</f>
        <v/>
      </c>
      <c r="MPD3" s="1" t="str" cm="1">
        <f t="array" ref="MPD3">GetValue("Dmn","Name",MPD2)</f>
        <v/>
      </c>
      <c r="MPE3" s="1" t="str" cm="1">
        <f t="array" ref="MPE3">GetValue("Dmn","Name",MPE2)</f>
        <v/>
      </c>
      <c r="MPF3" s="1" t="str" cm="1">
        <f t="array" ref="MPF3">GetValue("Dmn","Name",MPF2)</f>
        <v/>
      </c>
      <c r="MPG3" s="1" t="str" cm="1">
        <f t="array" ref="MPG3">GetValue("Dmn","Name",MPG2)</f>
        <v/>
      </c>
      <c r="MPH3" s="1" t="str" cm="1">
        <f t="array" ref="MPH3">GetValue("Dmn","Name",MPH2)</f>
        <v/>
      </c>
      <c r="MPI3" s="1" t="str" cm="1">
        <f t="array" ref="MPI3">GetValue("Dmn","Name",MPI2)</f>
        <v/>
      </c>
      <c r="MPJ3" s="1" t="str" cm="1">
        <f t="array" ref="MPJ3">GetValue("Dmn","Name",MPJ2)</f>
        <v/>
      </c>
      <c r="MPK3" s="1" t="str" cm="1">
        <f t="array" ref="MPK3">GetValue("Dmn","Name",MPK2)</f>
        <v/>
      </c>
      <c r="MPL3" s="1" t="str" cm="1">
        <f t="array" ref="MPL3">GetValue("Dmn","Name",MPL2)</f>
        <v/>
      </c>
      <c r="MPM3" s="1" t="str" cm="1">
        <f t="array" ref="MPM3">GetValue("Dmn","Name",MPM2)</f>
        <v/>
      </c>
      <c r="MPN3" s="1" t="str" cm="1">
        <f t="array" ref="MPN3">GetValue("Dmn","Name",MPN2)</f>
        <v/>
      </c>
      <c r="MPO3" s="1" t="str" cm="1">
        <f t="array" ref="MPO3">GetValue("Dmn","Name",MPO2)</f>
        <v/>
      </c>
      <c r="MPP3" s="1" t="str" cm="1">
        <f t="array" ref="MPP3">GetValue("Dmn","Name",MPP2)</f>
        <v/>
      </c>
      <c r="MPQ3" s="1" t="str" cm="1">
        <f t="array" ref="MPQ3">GetValue("Dmn","Name",MPQ2)</f>
        <v/>
      </c>
      <c r="MPR3" s="1" t="str" cm="1">
        <f t="array" ref="MPR3">GetValue("Dmn","Name",MPR2)</f>
        <v/>
      </c>
      <c r="MPS3" s="1" t="str" cm="1">
        <f t="array" ref="MPS3">GetValue("Dmn","Name",MPS2)</f>
        <v/>
      </c>
      <c r="MPT3" s="1" t="str" cm="1">
        <f t="array" ref="MPT3">GetValue("Dmn","Name",MPT2)</f>
        <v/>
      </c>
      <c r="MPU3" s="1" t="str" cm="1">
        <f t="array" ref="MPU3">GetValue("Dmn","Name",MPU2)</f>
        <v/>
      </c>
      <c r="MPV3" s="1" t="str" cm="1">
        <f t="array" ref="MPV3">GetValue("Dmn","Name",MPV2)</f>
        <v/>
      </c>
      <c r="MPW3" s="1" t="str" cm="1">
        <f t="array" ref="MPW3">GetValue("Dmn","Name",MPW2)</f>
        <v/>
      </c>
      <c r="MPX3" s="1" t="str" cm="1">
        <f t="array" ref="MPX3">GetValue("Dmn","Name",MPX2)</f>
        <v/>
      </c>
      <c r="MPY3" s="1" t="str" cm="1">
        <f t="array" ref="MPY3">GetValue("Dmn","Name",MPY2)</f>
        <v/>
      </c>
      <c r="MPZ3" s="1" t="str" cm="1">
        <f t="array" ref="MPZ3">GetValue("Dmn","Name",MPZ2)</f>
        <v/>
      </c>
      <c r="MQA3" s="1" t="str" cm="1">
        <f t="array" ref="MQA3">GetValue("Dmn","Name",MQA2)</f>
        <v/>
      </c>
      <c r="MQB3" s="1" t="str" cm="1">
        <f t="array" ref="MQB3">GetValue("Dmn","Name",MQB2)</f>
        <v/>
      </c>
      <c r="MQC3" s="1" t="str" cm="1">
        <f t="array" ref="MQC3">GetValue("Dmn","Name",MQC2)</f>
        <v/>
      </c>
      <c r="MQD3" s="1" t="str" cm="1">
        <f t="array" ref="MQD3">GetValue("Dmn","Name",MQD2)</f>
        <v/>
      </c>
      <c r="MQE3" s="1" t="str" cm="1">
        <f t="array" ref="MQE3">GetValue("Dmn","Name",MQE2)</f>
        <v/>
      </c>
      <c r="MQF3" s="1" t="str" cm="1">
        <f t="array" ref="MQF3">GetValue("Dmn","Name",MQF2)</f>
        <v/>
      </c>
      <c r="MQG3" s="1" t="str" cm="1">
        <f t="array" ref="MQG3">GetValue("Dmn","Name",MQG2)</f>
        <v/>
      </c>
      <c r="MQH3" s="1" t="str" cm="1">
        <f t="array" ref="MQH3">GetValue("Dmn","Name",MQH2)</f>
        <v/>
      </c>
      <c r="MQI3" s="1" t="str" cm="1">
        <f t="array" ref="MQI3">GetValue("Dmn","Name",MQI2)</f>
        <v/>
      </c>
      <c r="MQJ3" s="1" t="str" cm="1">
        <f t="array" ref="MQJ3">GetValue("Dmn","Name",MQJ2)</f>
        <v/>
      </c>
      <c r="MQK3" s="1" t="str" cm="1">
        <f t="array" ref="MQK3">GetValue("Dmn","Name",MQK2)</f>
        <v/>
      </c>
      <c r="MQL3" s="1" t="str" cm="1">
        <f t="array" ref="MQL3">GetValue("Dmn","Name",MQL2)</f>
        <v/>
      </c>
      <c r="MQM3" s="1" t="str" cm="1">
        <f t="array" ref="MQM3">GetValue("Dmn","Name",MQM2)</f>
        <v/>
      </c>
      <c r="MQN3" s="1" t="str" cm="1">
        <f t="array" ref="MQN3">GetValue("Dmn","Name",MQN2)</f>
        <v/>
      </c>
      <c r="MQO3" s="1" t="str" cm="1">
        <f t="array" ref="MQO3">GetValue("Dmn","Name",MQO2)</f>
        <v/>
      </c>
      <c r="MQP3" s="1" t="str" cm="1">
        <f t="array" ref="MQP3">GetValue("Dmn","Name",MQP2)</f>
        <v/>
      </c>
      <c r="MQQ3" s="1" t="str" cm="1">
        <f t="array" ref="MQQ3">GetValue("Dmn","Name",MQQ2)</f>
        <v/>
      </c>
      <c r="MQR3" s="1" t="str" cm="1">
        <f t="array" ref="MQR3">GetValue("Dmn","Name",MQR2)</f>
        <v/>
      </c>
      <c r="MQS3" s="1" t="str" cm="1">
        <f t="array" ref="MQS3">GetValue("Dmn","Name",MQS2)</f>
        <v/>
      </c>
      <c r="MQT3" s="1" t="str" cm="1">
        <f t="array" ref="MQT3">GetValue("Dmn","Name",MQT2)</f>
        <v/>
      </c>
      <c r="MQU3" s="1" t="str" cm="1">
        <f t="array" ref="MQU3">GetValue("Dmn","Name",MQU2)</f>
        <v/>
      </c>
      <c r="MQV3" s="1" t="str" cm="1">
        <f t="array" ref="MQV3">GetValue("Dmn","Name",MQV2)</f>
        <v/>
      </c>
      <c r="MQW3" s="1" t="str" cm="1">
        <f t="array" ref="MQW3">GetValue("Dmn","Name",MQW2)</f>
        <v/>
      </c>
      <c r="MQX3" s="1" t="str" cm="1">
        <f t="array" ref="MQX3">GetValue("Dmn","Name",MQX2)</f>
        <v/>
      </c>
      <c r="MQY3" s="1" t="str" cm="1">
        <f t="array" ref="MQY3">GetValue("Dmn","Name",MQY2)</f>
        <v/>
      </c>
      <c r="MQZ3" s="1" t="str" cm="1">
        <f t="array" ref="MQZ3">GetValue("Dmn","Name",MQZ2)</f>
        <v/>
      </c>
      <c r="MRA3" s="1" t="str" cm="1">
        <f t="array" ref="MRA3">GetValue("Dmn","Name",MRA2)</f>
        <v/>
      </c>
      <c r="MRB3" s="1" t="str" cm="1">
        <f t="array" ref="MRB3">GetValue("Dmn","Name",MRB2)</f>
        <v/>
      </c>
      <c r="MRC3" s="1" t="str" cm="1">
        <f t="array" ref="MRC3">GetValue("Dmn","Name",MRC2)</f>
        <v/>
      </c>
      <c r="MRD3" s="1" t="str" cm="1">
        <f t="array" ref="MRD3">GetValue("Dmn","Name",MRD2)</f>
        <v/>
      </c>
      <c r="MRE3" s="1" t="str" cm="1">
        <f t="array" ref="MRE3">GetValue("Dmn","Name",MRE2)</f>
        <v/>
      </c>
      <c r="MRF3" s="1" t="str" cm="1">
        <f t="array" ref="MRF3">GetValue("Dmn","Name",MRF2)</f>
        <v/>
      </c>
      <c r="MRG3" s="1" t="str" cm="1">
        <f t="array" ref="MRG3">GetValue("Dmn","Name",MRG2)</f>
        <v/>
      </c>
      <c r="MRH3" s="1" t="str" cm="1">
        <f t="array" ref="MRH3">GetValue("Dmn","Name",MRH2)</f>
        <v/>
      </c>
      <c r="MRI3" s="1" t="str" cm="1">
        <f t="array" ref="MRI3">GetValue("Dmn","Name",MRI2)</f>
        <v/>
      </c>
      <c r="MRJ3" s="1" t="str" cm="1">
        <f t="array" ref="MRJ3">GetValue("Dmn","Name",MRJ2)</f>
        <v/>
      </c>
      <c r="MRK3" s="1" t="str" cm="1">
        <f t="array" ref="MRK3">GetValue("Dmn","Name",MRK2)</f>
        <v/>
      </c>
      <c r="MRL3" s="1" t="str" cm="1">
        <f t="array" ref="MRL3">GetValue("Dmn","Name",MRL2)</f>
        <v/>
      </c>
      <c r="MRM3" s="1" t="str" cm="1">
        <f t="array" ref="MRM3">GetValue("Dmn","Name",MRM2)</f>
        <v/>
      </c>
      <c r="MRN3" s="1" t="str" cm="1">
        <f t="array" ref="MRN3">GetValue("Dmn","Name",MRN2)</f>
        <v/>
      </c>
      <c r="MRO3" s="1" t="str" cm="1">
        <f t="array" ref="MRO3">GetValue("Dmn","Name",MRO2)</f>
        <v/>
      </c>
      <c r="MRP3" s="1" t="str" cm="1">
        <f t="array" ref="MRP3">GetValue("Dmn","Name",MRP2)</f>
        <v/>
      </c>
      <c r="MRQ3" s="1" t="str" cm="1">
        <f t="array" ref="MRQ3">GetValue("Dmn","Name",MRQ2)</f>
        <v/>
      </c>
      <c r="MRR3" s="1" t="str" cm="1">
        <f t="array" ref="MRR3">GetValue("Dmn","Name",MRR2)</f>
        <v/>
      </c>
      <c r="MRS3" s="1" t="str" cm="1">
        <f t="array" ref="MRS3">GetValue("Dmn","Name",MRS2)</f>
        <v/>
      </c>
      <c r="MRT3" s="1" t="str" cm="1">
        <f t="array" ref="MRT3">GetValue("Dmn","Name",MRT2)</f>
        <v/>
      </c>
      <c r="MRU3" s="1" t="str" cm="1">
        <f t="array" ref="MRU3">GetValue("Dmn","Name",MRU2)</f>
        <v/>
      </c>
      <c r="MRV3" s="1" t="str" cm="1">
        <f t="array" ref="MRV3">GetValue("Dmn","Name",MRV2)</f>
        <v/>
      </c>
      <c r="MRW3" s="1" t="str" cm="1">
        <f t="array" ref="MRW3">GetValue("Dmn","Name",MRW2)</f>
        <v/>
      </c>
      <c r="MRX3" s="1" t="str" cm="1">
        <f t="array" ref="MRX3">GetValue("Dmn","Name",MRX2)</f>
        <v/>
      </c>
      <c r="MRY3" s="1" t="str" cm="1">
        <f t="array" ref="MRY3">GetValue("Dmn","Name",MRY2)</f>
        <v/>
      </c>
      <c r="MRZ3" s="1" t="str" cm="1">
        <f t="array" ref="MRZ3">GetValue("Dmn","Name",MRZ2)</f>
        <v/>
      </c>
      <c r="MSA3" s="1" t="str" cm="1">
        <f t="array" ref="MSA3">GetValue("Dmn","Name",MSA2)</f>
        <v/>
      </c>
      <c r="MSB3" s="1" t="str" cm="1">
        <f t="array" ref="MSB3">GetValue("Dmn","Name",MSB2)</f>
        <v/>
      </c>
      <c r="MSC3" s="1" t="str" cm="1">
        <f t="array" ref="MSC3">GetValue("Dmn","Name",MSC2)</f>
        <v/>
      </c>
      <c r="MSD3" s="1" t="str" cm="1">
        <f t="array" ref="MSD3">GetValue("Dmn","Name",MSD2)</f>
        <v/>
      </c>
      <c r="MSE3" s="1" t="str" cm="1">
        <f t="array" ref="MSE3">GetValue("Dmn","Name",MSE2)</f>
        <v/>
      </c>
      <c r="MSF3" s="1" t="str" cm="1">
        <f t="array" ref="MSF3">GetValue("Dmn","Name",MSF2)</f>
        <v/>
      </c>
      <c r="MSG3" s="1" t="str" cm="1">
        <f t="array" ref="MSG3">GetValue("Dmn","Name",MSG2)</f>
        <v/>
      </c>
      <c r="MSH3" s="1" t="str" cm="1">
        <f t="array" ref="MSH3">GetValue("Dmn","Name",MSH2)</f>
        <v/>
      </c>
      <c r="MSI3" s="1" t="str" cm="1">
        <f t="array" ref="MSI3">GetValue("Dmn","Name",MSI2)</f>
        <v/>
      </c>
      <c r="MSJ3" s="1" t="str" cm="1">
        <f t="array" ref="MSJ3">GetValue("Dmn","Name",MSJ2)</f>
        <v/>
      </c>
      <c r="MSK3" s="1" t="str" cm="1">
        <f t="array" ref="MSK3">GetValue("Dmn","Name",MSK2)</f>
        <v/>
      </c>
      <c r="MSL3" s="1" t="str" cm="1">
        <f t="array" ref="MSL3">GetValue("Dmn","Name",MSL2)</f>
        <v/>
      </c>
      <c r="MSM3" s="1" t="str" cm="1">
        <f t="array" ref="MSM3">GetValue("Dmn","Name",MSM2)</f>
        <v/>
      </c>
      <c r="MSN3" s="1" t="str" cm="1">
        <f t="array" ref="MSN3">GetValue("Dmn","Name",MSN2)</f>
        <v/>
      </c>
      <c r="MSO3" s="1" t="str" cm="1">
        <f t="array" ref="MSO3">GetValue("Dmn","Name",MSO2)</f>
        <v/>
      </c>
      <c r="MSP3" s="1" t="str" cm="1">
        <f t="array" ref="MSP3">GetValue("Dmn","Name",MSP2)</f>
        <v/>
      </c>
      <c r="MSQ3" s="1" t="str" cm="1">
        <f t="array" ref="MSQ3">GetValue("Dmn","Name",MSQ2)</f>
        <v/>
      </c>
      <c r="MSR3" s="1" t="str" cm="1">
        <f t="array" ref="MSR3">GetValue("Dmn","Name",MSR2)</f>
        <v/>
      </c>
      <c r="MSS3" s="1" t="str" cm="1">
        <f t="array" ref="MSS3">GetValue("Dmn","Name",MSS2)</f>
        <v/>
      </c>
      <c r="MST3" s="1" t="str" cm="1">
        <f t="array" ref="MST3">GetValue("Dmn","Name",MST2)</f>
        <v/>
      </c>
      <c r="MSU3" s="1" t="str" cm="1">
        <f t="array" ref="MSU3">GetValue("Dmn","Name",MSU2)</f>
        <v/>
      </c>
      <c r="MSV3" s="1" t="str" cm="1">
        <f t="array" ref="MSV3">GetValue("Dmn","Name",MSV2)</f>
        <v/>
      </c>
      <c r="MSW3" s="1" t="str" cm="1">
        <f t="array" ref="MSW3">GetValue("Dmn","Name",MSW2)</f>
        <v/>
      </c>
      <c r="MSX3" s="1" t="str" cm="1">
        <f t="array" ref="MSX3">GetValue("Dmn","Name",MSX2)</f>
        <v/>
      </c>
      <c r="MSY3" s="1" t="str" cm="1">
        <f t="array" ref="MSY3">GetValue("Dmn","Name",MSY2)</f>
        <v/>
      </c>
      <c r="MSZ3" s="1" t="str" cm="1">
        <f t="array" ref="MSZ3">GetValue("Dmn","Name",MSZ2)</f>
        <v/>
      </c>
      <c r="MTA3" s="1" t="str" cm="1">
        <f t="array" ref="MTA3">GetValue("Dmn","Name",MTA2)</f>
        <v/>
      </c>
      <c r="MTB3" s="1" t="str" cm="1">
        <f t="array" ref="MTB3">GetValue("Dmn","Name",MTB2)</f>
        <v/>
      </c>
      <c r="MTC3" s="1" t="str" cm="1">
        <f t="array" ref="MTC3">GetValue("Dmn","Name",MTC2)</f>
        <v/>
      </c>
      <c r="MTD3" s="1" t="str" cm="1">
        <f t="array" ref="MTD3">GetValue("Dmn","Name",MTD2)</f>
        <v/>
      </c>
      <c r="MTE3" s="1" t="str" cm="1">
        <f t="array" ref="MTE3">GetValue("Dmn","Name",MTE2)</f>
        <v/>
      </c>
      <c r="MTF3" s="1" t="str" cm="1">
        <f t="array" ref="MTF3">GetValue("Dmn","Name",MTF2)</f>
        <v/>
      </c>
      <c r="MTG3" s="1" t="str" cm="1">
        <f t="array" ref="MTG3">GetValue("Dmn","Name",MTG2)</f>
        <v/>
      </c>
      <c r="MTH3" s="1" t="str" cm="1">
        <f t="array" ref="MTH3">GetValue("Dmn","Name",MTH2)</f>
        <v/>
      </c>
      <c r="MTI3" s="1" t="str" cm="1">
        <f t="array" ref="MTI3">GetValue("Dmn","Name",MTI2)</f>
        <v/>
      </c>
      <c r="MTJ3" s="1" t="str" cm="1">
        <f t="array" ref="MTJ3">GetValue("Dmn","Name",MTJ2)</f>
        <v/>
      </c>
      <c r="MTK3" s="1" t="str" cm="1">
        <f t="array" ref="MTK3">GetValue("Dmn","Name",MTK2)</f>
        <v/>
      </c>
      <c r="MTL3" s="1" t="str" cm="1">
        <f t="array" ref="MTL3">GetValue("Dmn","Name",MTL2)</f>
        <v/>
      </c>
      <c r="MTM3" s="1" t="str" cm="1">
        <f t="array" ref="MTM3">GetValue("Dmn","Name",MTM2)</f>
        <v/>
      </c>
      <c r="MTN3" s="1" t="str" cm="1">
        <f t="array" ref="MTN3">GetValue("Dmn","Name",MTN2)</f>
        <v/>
      </c>
      <c r="MTO3" s="1" t="str" cm="1">
        <f t="array" ref="MTO3">GetValue("Dmn","Name",MTO2)</f>
        <v/>
      </c>
      <c r="MTP3" s="1" t="str" cm="1">
        <f t="array" ref="MTP3">GetValue("Dmn","Name",MTP2)</f>
        <v/>
      </c>
      <c r="MTQ3" s="1" t="str" cm="1">
        <f t="array" ref="MTQ3">GetValue("Dmn","Name",MTQ2)</f>
        <v/>
      </c>
      <c r="MTR3" s="1" t="str" cm="1">
        <f t="array" ref="MTR3">GetValue("Dmn","Name",MTR2)</f>
        <v/>
      </c>
      <c r="MTS3" s="1" t="str" cm="1">
        <f t="array" ref="MTS3">GetValue("Dmn","Name",MTS2)</f>
        <v/>
      </c>
      <c r="MTT3" s="1" t="str" cm="1">
        <f t="array" ref="MTT3">GetValue("Dmn","Name",MTT2)</f>
        <v/>
      </c>
      <c r="MTU3" s="1" t="str" cm="1">
        <f t="array" ref="MTU3">GetValue("Dmn","Name",MTU2)</f>
        <v/>
      </c>
      <c r="MTV3" s="1" t="str" cm="1">
        <f t="array" ref="MTV3">GetValue("Dmn","Name",MTV2)</f>
        <v/>
      </c>
      <c r="MTW3" s="1" t="str" cm="1">
        <f t="array" ref="MTW3">GetValue("Dmn","Name",MTW2)</f>
        <v/>
      </c>
      <c r="MTX3" s="1" t="str" cm="1">
        <f t="array" ref="MTX3">GetValue("Dmn","Name",MTX2)</f>
        <v/>
      </c>
      <c r="MTY3" s="1" t="str" cm="1">
        <f t="array" ref="MTY3">GetValue("Dmn","Name",MTY2)</f>
        <v/>
      </c>
      <c r="MTZ3" s="1" t="str" cm="1">
        <f t="array" ref="MTZ3">GetValue("Dmn","Name",MTZ2)</f>
        <v/>
      </c>
      <c r="MUA3" s="1" t="str" cm="1">
        <f t="array" ref="MUA3">GetValue("Dmn","Name",MUA2)</f>
        <v/>
      </c>
      <c r="MUB3" s="1" t="str" cm="1">
        <f t="array" ref="MUB3">GetValue("Dmn","Name",MUB2)</f>
        <v/>
      </c>
      <c r="MUC3" s="1" t="str" cm="1">
        <f t="array" ref="MUC3">GetValue("Dmn","Name",MUC2)</f>
        <v/>
      </c>
      <c r="MUD3" s="1" t="str" cm="1">
        <f t="array" ref="MUD3">GetValue("Dmn","Name",MUD2)</f>
        <v/>
      </c>
      <c r="MUE3" s="1" t="str" cm="1">
        <f t="array" ref="MUE3">GetValue("Dmn","Name",MUE2)</f>
        <v/>
      </c>
      <c r="MUF3" s="1" t="str" cm="1">
        <f t="array" ref="MUF3">GetValue("Dmn","Name",MUF2)</f>
        <v/>
      </c>
      <c r="MUG3" s="1" t="str" cm="1">
        <f t="array" ref="MUG3">GetValue("Dmn","Name",MUG2)</f>
        <v/>
      </c>
      <c r="MUH3" s="1" t="str" cm="1">
        <f t="array" ref="MUH3">GetValue("Dmn","Name",MUH2)</f>
        <v/>
      </c>
      <c r="MUI3" s="1" t="str" cm="1">
        <f t="array" ref="MUI3">GetValue("Dmn","Name",MUI2)</f>
        <v/>
      </c>
      <c r="MUJ3" s="1" t="str" cm="1">
        <f t="array" ref="MUJ3">GetValue("Dmn","Name",MUJ2)</f>
        <v/>
      </c>
      <c r="MUK3" s="1" t="str" cm="1">
        <f t="array" ref="MUK3">GetValue("Dmn","Name",MUK2)</f>
        <v/>
      </c>
      <c r="MUL3" s="1" t="str" cm="1">
        <f t="array" ref="MUL3">GetValue("Dmn","Name",MUL2)</f>
        <v/>
      </c>
      <c r="MUM3" s="1" t="str" cm="1">
        <f t="array" ref="MUM3">GetValue("Dmn","Name",MUM2)</f>
        <v/>
      </c>
      <c r="MUN3" s="1" t="str" cm="1">
        <f t="array" ref="MUN3">GetValue("Dmn","Name",MUN2)</f>
        <v/>
      </c>
      <c r="MUO3" s="1" t="str" cm="1">
        <f t="array" ref="MUO3">GetValue("Dmn","Name",MUO2)</f>
        <v/>
      </c>
      <c r="MUP3" s="1" t="str" cm="1">
        <f t="array" ref="MUP3">GetValue("Dmn","Name",MUP2)</f>
        <v/>
      </c>
      <c r="MUQ3" s="1" t="str" cm="1">
        <f t="array" ref="MUQ3">GetValue("Dmn","Name",MUQ2)</f>
        <v/>
      </c>
      <c r="MUR3" s="1" t="str" cm="1">
        <f t="array" ref="MUR3">GetValue("Dmn","Name",MUR2)</f>
        <v/>
      </c>
      <c r="MUS3" s="1" t="str" cm="1">
        <f t="array" ref="MUS3">GetValue("Dmn","Name",MUS2)</f>
        <v/>
      </c>
      <c r="MUT3" s="1" t="str" cm="1">
        <f t="array" ref="MUT3">GetValue("Dmn","Name",MUT2)</f>
        <v/>
      </c>
      <c r="MUU3" s="1" t="str" cm="1">
        <f t="array" ref="MUU3">GetValue("Dmn","Name",MUU2)</f>
        <v/>
      </c>
      <c r="MUV3" s="1" t="str" cm="1">
        <f t="array" ref="MUV3">GetValue("Dmn","Name",MUV2)</f>
        <v/>
      </c>
      <c r="MUW3" s="1" t="str" cm="1">
        <f t="array" ref="MUW3">GetValue("Dmn","Name",MUW2)</f>
        <v/>
      </c>
      <c r="MUX3" s="1" t="str" cm="1">
        <f t="array" ref="MUX3">GetValue("Dmn","Name",MUX2)</f>
        <v/>
      </c>
      <c r="MUY3" s="1" t="str" cm="1">
        <f t="array" ref="MUY3">GetValue("Dmn","Name",MUY2)</f>
        <v/>
      </c>
      <c r="MUZ3" s="1" t="str" cm="1">
        <f t="array" ref="MUZ3">GetValue("Dmn","Name",MUZ2)</f>
        <v/>
      </c>
      <c r="MVA3" s="1" t="str" cm="1">
        <f t="array" ref="MVA3">GetValue("Dmn","Name",MVA2)</f>
        <v/>
      </c>
      <c r="MVB3" s="1" t="str" cm="1">
        <f t="array" ref="MVB3">GetValue("Dmn","Name",MVB2)</f>
        <v/>
      </c>
      <c r="MVC3" s="1" t="str" cm="1">
        <f t="array" ref="MVC3">GetValue("Dmn","Name",MVC2)</f>
        <v/>
      </c>
      <c r="MVD3" s="1" t="str" cm="1">
        <f t="array" ref="MVD3">GetValue("Dmn","Name",MVD2)</f>
        <v/>
      </c>
      <c r="MVE3" s="1" t="str" cm="1">
        <f t="array" ref="MVE3">GetValue("Dmn","Name",MVE2)</f>
        <v/>
      </c>
      <c r="MVF3" s="1" t="str" cm="1">
        <f t="array" ref="MVF3">GetValue("Dmn","Name",MVF2)</f>
        <v/>
      </c>
      <c r="MVG3" s="1" t="str" cm="1">
        <f t="array" ref="MVG3">GetValue("Dmn","Name",MVG2)</f>
        <v/>
      </c>
      <c r="MVH3" s="1" t="str" cm="1">
        <f t="array" ref="MVH3">GetValue("Dmn","Name",MVH2)</f>
        <v/>
      </c>
      <c r="MVI3" s="1" t="str" cm="1">
        <f t="array" ref="MVI3">GetValue("Dmn","Name",MVI2)</f>
        <v/>
      </c>
      <c r="MVJ3" s="1" t="str" cm="1">
        <f t="array" ref="MVJ3">GetValue("Dmn","Name",MVJ2)</f>
        <v/>
      </c>
      <c r="MVK3" s="1" t="str" cm="1">
        <f t="array" ref="MVK3">GetValue("Dmn","Name",MVK2)</f>
        <v/>
      </c>
      <c r="MVL3" s="1" t="str" cm="1">
        <f t="array" ref="MVL3">GetValue("Dmn","Name",MVL2)</f>
        <v/>
      </c>
      <c r="MVM3" s="1" t="str" cm="1">
        <f t="array" ref="MVM3">GetValue("Dmn","Name",MVM2)</f>
        <v/>
      </c>
      <c r="MVN3" s="1" t="str" cm="1">
        <f t="array" ref="MVN3">GetValue("Dmn","Name",MVN2)</f>
        <v/>
      </c>
      <c r="MVO3" s="1" t="str" cm="1">
        <f t="array" ref="MVO3">GetValue("Dmn","Name",MVO2)</f>
        <v/>
      </c>
      <c r="MVP3" s="1" t="str" cm="1">
        <f t="array" ref="MVP3">GetValue("Dmn","Name",MVP2)</f>
        <v/>
      </c>
      <c r="MVQ3" s="1" t="str" cm="1">
        <f t="array" ref="MVQ3">GetValue("Dmn","Name",MVQ2)</f>
        <v/>
      </c>
      <c r="MVR3" s="1" t="str" cm="1">
        <f t="array" ref="MVR3">GetValue("Dmn","Name",MVR2)</f>
        <v/>
      </c>
      <c r="MVS3" s="1" t="str" cm="1">
        <f t="array" ref="MVS3">GetValue("Dmn","Name",MVS2)</f>
        <v/>
      </c>
      <c r="MVT3" s="1" t="str" cm="1">
        <f t="array" ref="MVT3">GetValue("Dmn","Name",MVT2)</f>
        <v/>
      </c>
      <c r="MVU3" s="1" t="str" cm="1">
        <f t="array" ref="MVU3">GetValue("Dmn","Name",MVU2)</f>
        <v/>
      </c>
      <c r="MVV3" s="1" t="str" cm="1">
        <f t="array" ref="MVV3">GetValue("Dmn","Name",MVV2)</f>
        <v/>
      </c>
      <c r="MVW3" s="1" t="str" cm="1">
        <f t="array" ref="MVW3">GetValue("Dmn","Name",MVW2)</f>
        <v/>
      </c>
      <c r="MVX3" s="1" t="str" cm="1">
        <f t="array" ref="MVX3">GetValue("Dmn","Name",MVX2)</f>
        <v/>
      </c>
      <c r="MVY3" s="1" t="str" cm="1">
        <f t="array" ref="MVY3">GetValue("Dmn","Name",MVY2)</f>
        <v/>
      </c>
      <c r="MVZ3" s="1" t="str" cm="1">
        <f t="array" ref="MVZ3">GetValue("Dmn","Name",MVZ2)</f>
        <v/>
      </c>
      <c r="MWA3" s="1" t="str" cm="1">
        <f t="array" ref="MWA3">GetValue("Dmn","Name",MWA2)</f>
        <v/>
      </c>
      <c r="MWB3" s="1" t="str" cm="1">
        <f t="array" ref="MWB3">GetValue("Dmn","Name",MWB2)</f>
        <v/>
      </c>
      <c r="MWC3" s="1" t="str" cm="1">
        <f t="array" ref="MWC3">GetValue("Dmn","Name",MWC2)</f>
        <v/>
      </c>
      <c r="MWD3" s="1" t="str" cm="1">
        <f t="array" ref="MWD3">GetValue("Dmn","Name",MWD2)</f>
        <v/>
      </c>
      <c r="MWE3" s="1" t="str" cm="1">
        <f t="array" ref="MWE3">GetValue("Dmn","Name",MWE2)</f>
        <v/>
      </c>
      <c r="MWF3" s="1" t="str" cm="1">
        <f t="array" ref="MWF3">GetValue("Dmn","Name",MWF2)</f>
        <v/>
      </c>
      <c r="MWG3" s="1" t="str" cm="1">
        <f t="array" ref="MWG3">GetValue("Dmn","Name",MWG2)</f>
        <v/>
      </c>
      <c r="MWH3" s="1" t="str" cm="1">
        <f t="array" ref="MWH3">GetValue("Dmn","Name",MWH2)</f>
        <v/>
      </c>
      <c r="MWI3" s="1" t="str" cm="1">
        <f t="array" ref="MWI3">GetValue("Dmn","Name",MWI2)</f>
        <v/>
      </c>
      <c r="MWJ3" s="1" t="str" cm="1">
        <f t="array" ref="MWJ3">GetValue("Dmn","Name",MWJ2)</f>
        <v/>
      </c>
      <c r="MWK3" s="1" t="str" cm="1">
        <f t="array" ref="MWK3">GetValue("Dmn","Name",MWK2)</f>
        <v/>
      </c>
      <c r="MWL3" s="1" t="str" cm="1">
        <f t="array" ref="MWL3">GetValue("Dmn","Name",MWL2)</f>
        <v/>
      </c>
      <c r="MWM3" s="1" t="str" cm="1">
        <f t="array" ref="MWM3">GetValue("Dmn","Name",MWM2)</f>
        <v/>
      </c>
      <c r="MWN3" s="1" t="str" cm="1">
        <f t="array" ref="MWN3">GetValue("Dmn","Name",MWN2)</f>
        <v/>
      </c>
      <c r="MWO3" s="1" t="str" cm="1">
        <f t="array" ref="MWO3">GetValue("Dmn","Name",MWO2)</f>
        <v/>
      </c>
      <c r="MWP3" s="1" t="str" cm="1">
        <f t="array" ref="MWP3">GetValue("Dmn","Name",MWP2)</f>
        <v/>
      </c>
      <c r="MWQ3" s="1" t="str" cm="1">
        <f t="array" ref="MWQ3">GetValue("Dmn","Name",MWQ2)</f>
        <v/>
      </c>
      <c r="MWR3" s="1" t="str" cm="1">
        <f t="array" ref="MWR3">GetValue("Dmn","Name",MWR2)</f>
        <v/>
      </c>
      <c r="MWS3" s="1" t="str" cm="1">
        <f t="array" ref="MWS3">GetValue("Dmn","Name",MWS2)</f>
        <v/>
      </c>
      <c r="MWT3" s="1" t="str" cm="1">
        <f t="array" ref="MWT3">GetValue("Dmn","Name",MWT2)</f>
        <v/>
      </c>
      <c r="MWU3" s="1" t="str" cm="1">
        <f t="array" ref="MWU3">GetValue("Dmn","Name",MWU2)</f>
        <v/>
      </c>
      <c r="MWV3" s="1" t="str" cm="1">
        <f t="array" ref="MWV3">GetValue("Dmn","Name",MWV2)</f>
        <v/>
      </c>
      <c r="MWW3" s="1" t="str" cm="1">
        <f t="array" ref="MWW3">GetValue("Dmn","Name",MWW2)</f>
        <v/>
      </c>
      <c r="MWX3" s="1" t="str" cm="1">
        <f t="array" ref="MWX3">GetValue("Dmn","Name",MWX2)</f>
        <v/>
      </c>
      <c r="MWY3" s="1" t="str" cm="1">
        <f t="array" ref="MWY3">GetValue("Dmn","Name",MWY2)</f>
        <v/>
      </c>
      <c r="MWZ3" s="1" t="str" cm="1">
        <f t="array" ref="MWZ3">GetValue("Dmn","Name",MWZ2)</f>
        <v/>
      </c>
      <c r="MXA3" s="1" t="str" cm="1">
        <f t="array" ref="MXA3">GetValue("Dmn","Name",MXA2)</f>
        <v/>
      </c>
      <c r="MXB3" s="1" t="str" cm="1">
        <f t="array" ref="MXB3">GetValue("Dmn","Name",MXB2)</f>
        <v/>
      </c>
      <c r="MXC3" s="1" t="str" cm="1">
        <f t="array" ref="MXC3">GetValue("Dmn","Name",MXC2)</f>
        <v/>
      </c>
      <c r="MXD3" s="1" t="str" cm="1">
        <f t="array" ref="MXD3">GetValue("Dmn","Name",MXD2)</f>
        <v/>
      </c>
      <c r="MXE3" s="1" t="str" cm="1">
        <f t="array" ref="MXE3">GetValue("Dmn","Name",MXE2)</f>
        <v/>
      </c>
      <c r="MXF3" s="1" t="str" cm="1">
        <f t="array" ref="MXF3">GetValue("Dmn","Name",MXF2)</f>
        <v/>
      </c>
      <c r="MXG3" s="1" t="str" cm="1">
        <f t="array" ref="MXG3">GetValue("Dmn","Name",MXG2)</f>
        <v/>
      </c>
      <c r="MXH3" s="1" t="str" cm="1">
        <f t="array" ref="MXH3">GetValue("Dmn","Name",MXH2)</f>
        <v/>
      </c>
      <c r="MXI3" s="1" t="str" cm="1">
        <f t="array" ref="MXI3">GetValue("Dmn","Name",MXI2)</f>
        <v/>
      </c>
      <c r="MXJ3" s="1" t="str" cm="1">
        <f t="array" ref="MXJ3">GetValue("Dmn","Name",MXJ2)</f>
        <v/>
      </c>
      <c r="MXK3" s="1" t="str" cm="1">
        <f t="array" ref="MXK3">GetValue("Dmn","Name",MXK2)</f>
        <v/>
      </c>
      <c r="MXL3" s="1" t="str" cm="1">
        <f t="array" ref="MXL3">GetValue("Dmn","Name",MXL2)</f>
        <v/>
      </c>
      <c r="MXM3" s="1" t="str" cm="1">
        <f t="array" ref="MXM3">GetValue("Dmn","Name",MXM2)</f>
        <v/>
      </c>
      <c r="MXN3" s="1" t="str" cm="1">
        <f t="array" ref="MXN3">GetValue("Dmn","Name",MXN2)</f>
        <v/>
      </c>
      <c r="MXO3" s="1" t="str" cm="1">
        <f t="array" ref="MXO3">GetValue("Dmn","Name",MXO2)</f>
        <v/>
      </c>
      <c r="MXP3" s="1" t="str" cm="1">
        <f t="array" ref="MXP3">GetValue("Dmn","Name",MXP2)</f>
        <v/>
      </c>
      <c r="MXQ3" s="1" t="str" cm="1">
        <f t="array" ref="MXQ3">GetValue("Dmn","Name",MXQ2)</f>
        <v/>
      </c>
      <c r="MXR3" s="1" t="str" cm="1">
        <f t="array" ref="MXR3">GetValue("Dmn","Name",MXR2)</f>
        <v/>
      </c>
      <c r="MXS3" s="1" t="str" cm="1">
        <f t="array" ref="MXS3">GetValue("Dmn","Name",MXS2)</f>
        <v/>
      </c>
      <c r="MXT3" s="1" t="str" cm="1">
        <f t="array" ref="MXT3">GetValue("Dmn","Name",MXT2)</f>
        <v/>
      </c>
      <c r="MXU3" s="1" t="str" cm="1">
        <f t="array" ref="MXU3">GetValue("Dmn","Name",MXU2)</f>
        <v/>
      </c>
      <c r="MXV3" s="1" t="str" cm="1">
        <f t="array" ref="MXV3">GetValue("Dmn","Name",MXV2)</f>
        <v/>
      </c>
      <c r="MXW3" s="1" t="str" cm="1">
        <f t="array" ref="MXW3">GetValue("Dmn","Name",MXW2)</f>
        <v/>
      </c>
      <c r="MXX3" s="1" t="str" cm="1">
        <f t="array" ref="MXX3">GetValue("Dmn","Name",MXX2)</f>
        <v/>
      </c>
      <c r="MXY3" s="1" t="str" cm="1">
        <f t="array" ref="MXY3">GetValue("Dmn","Name",MXY2)</f>
        <v/>
      </c>
      <c r="MXZ3" s="1" t="str" cm="1">
        <f t="array" ref="MXZ3">GetValue("Dmn","Name",MXZ2)</f>
        <v/>
      </c>
      <c r="MYA3" s="1" t="str" cm="1">
        <f t="array" ref="MYA3">GetValue("Dmn","Name",MYA2)</f>
        <v/>
      </c>
      <c r="MYB3" s="1" t="str" cm="1">
        <f t="array" ref="MYB3">GetValue("Dmn","Name",MYB2)</f>
        <v/>
      </c>
      <c r="MYC3" s="1" t="str" cm="1">
        <f t="array" ref="MYC3">GetValue("Dmn","Name",MYC2)</f>
        <v/>
      </c>
      <c r="MYD3" s="1" t="str" cm="1">
        <f t="array" ref="MYD3">GetValue("Dmn","Name",MYD2)</f>
        <v/>
      </c>
      <c r="MYE3" s="1" t="str" cm="1">
        <f t="array" ref="MYE3">GetValue("Dmn","Name",MYE2)</f>
        <v/>
      </c>
      <c r="MYF3" s="1" t="str" cm="1">
        <f t="array" ref="MYF3">GetValue("Dmn","Name",MYF2)</f>
        <v/>
      </c>
      <c r="MYG3" s="1" t="str" cm="1">
        <f t="array" ref="MYG3">GetValue("Dmn","Name",MYG2)</f>
        <v/>
      </c>
      <c r="MYH3" s="1" t="str" cm="1">
        <f t="array" ref="MYH3">GetValue("Dmn","Name",MYH2)</f>
        <v/>
      </c>
      <c r="MYI3" s="1" t="str" cm="1">
        <f t="array" ref="MYI3">GetValue("Dmn","Name",MYI2)</f>
        <v/>
      </c>
      <c r="MYJ3" s="1" t="str" cm="1">
        <f t="array" ref="MYJ3">GetValue("Dmn","Name",MYJ2)</f>
        <v/>
      </c>
      <c r="MYK3" s="1" t="str" cm="1">
        <f t="array" ref="MYK3">GetValue("Dmn","Name",MYK2)</f>
        <v/>
      </c>
      <c r="MYL3" s="1" t="str" cm="1">
        <f t="array" ref="MYL3">GetValue("Dmn","Name",MYL2)</f>
        <v/>
      </c>
      <c r="MYM3" s="1" t="str" cm="1">
        <f t="array" ref="MYM3">GetValue("Dmn","Name",MYM2)</f>
        <v/>
      </c>
      <c r="MYN3" s="1" t="str" cm="1">
        <f t="array" ref="MYN3">GetValue("Dmn","Name",MYN2)</f>
        <v/>
      </c>
      <c r="MYO3" s="1" t="str" cm="1">
        <f t="array" ref="MYO3">GetValue("Dmn","Name",MYO2)</f>
        <v/>
      </c>
      <c r="MYP3" s="1" t="str" cm="1">
        <f t="array" ref="MYP3">GetValue("Dmn","Name",MYP2)</f>
        <v/>
      </c>
      <c r="MYQ3" s="1" t="str" cm="1">
        <f t="array" ref="MYQ3">GetValue("Dmn","Name",MYQ2)</f>
        <v/>
      </c>
      <c r="MYR3" s="1" t="str" cm="1">
        <f t="array" ref="MYR3">GetValue("Dmn","Name",MYR2)</f>
        <v/>
      </c>
      <c r="MYS3" s="1" t="str" cm="1">
        <f t="array" ref="MYS3">GetValue("Dmn","Name",MYS2)</f>
        <v/>
      </c>
      <c r="MYT3" s="1" t="str" cm="1">
        <f t="array" ref="MYT3">GetValue("Dmn","Name",MYT2)</f>
        <v/>
      </c>
      <c r="MYU3" s="1" t="str" cm="1">
        <f t="array" ref="MYU3">GetValue("Dmn","Name",MYU2)</f>
        <v/>
      </c>
      <c r="MYV3" s="1" t="str" cm="1">
        <f t="array" ref="MYV3">GetValue("Dmn","Name",MYV2)</f>
        <v/>
      </c>
      <c r="MYW3" s="1" t="str" cm="1">
        <f t="array" ref="MYW3">GetValue("Dmn","Name",MYW2)</f>
        <v/>
      </c>
      <c r="MYX3" s="1" t="str" cm="1">
        <f t="array" ref="MYX3">GetValue("Dmn","Name",MYX2)</f>
        <v/>
      </c>
      <c r="MYY3" s="1" t="str" cm="1">
        <f t="array" ref="MYY3">GetValue("Dmn","Name",MYY2)</f>
        <v/>
      </c>
      <c r="MYZ3" s="1" t="str" cm="1">
        <f t="array" ref="MYZ3">GetValue("Dmn","Name",MYZ2)</f>
        <v/>
      </c>
      <c r="MZA3" s="1" t="str" cm="1">
        <f t="array" ref="MZA3">GetValue("Dmn","Name",MZA2)</f>
        <v/>
      </c>
      <c r="MZB3" s="1" t="str" cm="1">
        <f t="array" ref="MZB3">GetValue("Dmn","Name",MZB2)</f>
        <v/>
      </c>
      <c r="MZC3" s="1" t="str" cm="1">
        <f t="array" ref="MZC3">GetValue("Dmn","Name",MZC2)</f>
        <v/>
      </c>
      <c r="MZD3" s="1" t="str" cm="1">
        <f t="array" ref="MZD3">GetValue("Dmn","Name",MZD2)</f>
        <v/>
      </c>
      <c r="MZE3" s="1" t="str" cm="1">
        <f t="array" ref="MZE3">GetValue("Dmn","Name",MZE2)</f>
        <v/>
      </c>
      <c r="MZF3" s="1" t="str" cm="1">
        <f t="array" ref="MZF3">GetValue("Dmn","Name",MZF2)</f>
        <v/>
      </c>
      <c r="MZG3" s="1" t="str" cm="1">
        <f t="array" ref="MZG3">GetValue("Dmn","Name",MZG2)</f>
        <v/>
      </c>
      <c r="MZH3" s="1" t="str" cm="1">
        <f t="array" ref="MZH3">GetValue("Dmn","Name",MZH2)</f>
        <v/>
      </c>
      <c r="MZI3" s="1" t="str" cm="1">
        <f t="array" ref="MZI3">GetValue("Dmn","Name",MZI2)</f>
        <v/>
      </c>
      <c r="MZJ3" s="1" t="str" cm="1">
        <f t="array" ref="MZJ3">GetValue("Dmn","Name",MZJ2)</f>
        <v/>
      </c>
      <c r="MZK3" s="1" t="str" cm="1">
        <f t="array" ref="MZK3">GetValue("Dmn","Name",MZK2)</f>
        <v/>
      </c>
      <c r="MZL3" s="1" t="str" cm="1">
        <f t="array" ref="MZL3">GetValue("Dmn","Name",MZL2)</f>
        <v/>
      </c>
      <c r="MZM3" s="1" t="str" cm="1">
        <f t="array" ref="MZM3">GetValue("Dmn","Name",MZM2)</f>
        <v/>
      </c>
      <c r="MZN3" s="1" t="str" cm="1">
        <f t="array" ref="MZN3">GetValue("Dmn","Name",MZN2)</f>
        <v/>
      </c>
      <c r="MZO3" s="1" t="str" cm="1">
        <f t="array" ref="MZO3">GetValue("Dmn","Name",MZO2)</f>
        <v/>
      </c>
      <c r="MZP3" s="1" t="str" cm="1">
        <f t="array" ref="MZP3">GetValue("Dmn","Name",MZP2)</f>
        <v/>
      </c>
      <c r="MZQ3" s="1" t="str" cm="1">
        <f t="array" ref="MZQ3">GetValue("Dmn","Name",MZQ2)</f>
        <v/>
      </c>
      <c r="MZR3" s="1" t="str" cm="1">
        <f t="array" ref="MZR3">GetValue("Dmn","Name",MZR2)</f>
        <v/>
      </c>
      <c r="MZS3" s="1" t="str" cm="1">
        <f t="array" ref="MZS3">GetValue("Dmn","Name",MZS2)</f>
        <v/>
      </c>
      <c r="MZT3" s="1" t="str" cm="1">
        <f t="array" ref="MZT3">GetValue("Dmn","Name",MZT2)</f>
        <v/>
      </c>
      <c r="MZU3" s="1" t="str" cm="1">
        <f t="array" ref="MZU3">GetValue("Dmn","Name",MZU2)</f>
        <v/>
      </c>
      <c r="MZV3" s="1" t="str" cm="1">
        <f t="array" ref="MZV3">GetValue("Dmn","Name",MZV2)</f>
        <v/>
      </c>
      <c r="MZW3" s="1" t="str" cm="1">
        <f t="array" ref="MZW3">GetValue("Dmn","Name",MZW2)</f>
        <v/>
      </c>
      <c r="MZX3" s="1" t="str" cm="1">
        <f t="array" ref="MZX3">GetValue("Dmn","Name",MZX2)</f>
        <v/>
      </c>
      <c r="MZY3" s="1" t="str" cm="1">
        <f t="array" ref="MZY3">GetValue("Dmn","Name",MZY2)</f>
        <v/>
      </c>
      <c r="MZZ3" s="1" t="str" cm="1">
        <f t="array" ref="MZZ3">GetValue("Dmn","Name",MZZ2)</f>
        <v/>
      </c>
      <c r="NAA3" s="1" t="str" cm="1">
        <f t="array" ref="NAA3">GetValue("Dmn","Name",NAA2)</f>
        <v/>
      </c>
      <c r="NAB3" s="1" t="str" cm="1">
        <f t="array" ref="NAB3">GetValue("Dmn","Name",NAB2)</f>
        <v/>
      </c>
      <c r="NAC3" s="1" t="str" cm="1">
        <f t="array" ref="NAC3">GetValue("Dmn","Name",NAC2)</f>
        <v/>
      </c>
      <c r="NAD3" s="1" t="str" cm="1">
        <f t="array" ref="NAD3">GetValue("Dmn","Name",NAD2)</f>
        <v/>
      </c>
      <c r="NAE3" s="1" t="str" cm="1">
        <f t="array" ref="NAE3">GetValue("Dmn","Name",NAE2)</f>
        <v/>
      </c>
      <c r="NAF3" s="1" t="str" cm="1">
        <f t="array" ref="NAF3">GetValue("Dmn","Name",NAF2)</f>
        <v/>
      </c>
      <c r="NAG3" s="1" t="str" cm="1">
        <f t="array" ref="NAG3">GetValue("Dmn","Name",NAG2)</f>
        <v/>
      </c>
      <c r="NAH3" s="1" t="str" cm="1">
        <f t="array" ref="NAH3">GetValue("Dmn","Name",NAH2)</f>
        <v/>
      </c>
      <c r="NAI3" s="1" t="str" cm="1">
        <f t="array" ref="NAI3">GetValue("Dmn","Name",NAI2)</f>
        <v/>
      </c>
      <c r="NAJ3" s="1" t="str" cm="1">
        <f t="array" ref="NAJ3">GetValue("Dmn","Name",NAJ2)</f>
        <v/>
      </c>
      <c r="NAK3" s="1" t="str" cm="1">
        <f t="array" ref="NAK3">GetValue("Dmn","Name",NAK2)</f>
        <v/>
      </c>
      <c r="NAL3" s="1" t="str" cm="1">
        <f t="array" ref="NAL3">GetValue("Dmn","Name",NAL2)</f>
        <v/>
      </c>
      <c r="NAM3" s="1" t="str" cm="1">
        <f t="array" ref="NAM3">GetValue("Dmn","Name",NAM2)</f>
        <v/>
      </c>
      <c r="NAN3" s="1" t="str" cm="1">
        <f t="array" ref="NAN3">GetValue("Dmn","Name",NAN2)</f>
        <v/>
      </c>
      <c r="NAO3" s="1" t="str" cm="1">
        <f t="array" ref="NAO3">GetValue("Dmn","Name",NAO2)</f>
        <v/>
      </c>
      <c r="NAP3" s="1" t="str" cm="1">
        <f t="array" ref="NAP3">GetValue("Dmn","Name",NAP2)</f>
        <v/>
      </c>
      <c r="NAQ3" s="1" t="str" cm="1">
        <f t="array" ref="NAQ3">GetValue("Dmn","Name",NAQ2)</f>
        <v/>
      </c>
      <c r="NAR3" s="1" t="str" cm="1">
        <f t="array" ref="NAR3">GetValue("Dmn","Name",NAR2)</f>
        <v/>
      </c>
      <c r="NAS3" s="1" t="str" cm="1">
        <f t="array" ref="NAS3">GetValue("Dmn","Name",NAS2)</f>
        <v/>
      </c>
      <c r="NAT3" s="1" t="str" cm="1">
        <f t="array" ref="NAT3">GetValue("Dmn","Name",NAT2)</f>
        <v/>
      </c>
      <c r="NAU3" s="1" t="str" cm="1">
        <f t="array" ref="NAU3">GetValue("Dmn","Name",NAU2)</f>
        <v/>
      </c>
      <c r="NAV3" s="1" t="str" cm="1">
        <f t="array" ref="NAV3">GetValue("Dmn","Name",NAV2)</f>
        <v/>
      </c>
      <c r="NAW3" s="1" t="str" cm="1">
        <f t="array" ref="NAW3">GetValue("Dmn","Name",NAW2)</f>
        <v/>
      </c>
      <c r="NAX3" s="1" t="str" cm="1">
        <f t="array" ref="NAX3">GetValue("Dmn","Name",NAX2)</f>
        <v/>
      </c>
      <c r="NAY3" s="1" t="str" cm="1">
        <f t="array" ref="NAY3">GetValue("Dmn","Name",NAY2)</f>
        <v/>
      </c>
      <c r="NAZ3" s="1" t="str" cm="1">
        <f t="array" ref="NAZ3">GetValue("Dmn","Name",NAZ2)</f>
        <v/>
      </c>
      <c r="NBA3" s="1" t="str" cm="1">
        <f t="array" ref="NBA3">GetValue("Dmn","Name",NBA2)</f>
        <v/>
      </c>
      <c r="NBB3" s="1" t="str" cm="1">
        <f t="array" ref="NBB3">GetValue("Dmn","Name",NBB2)</f>
        <v/>
      </c>
      <c r="NBC3" s="1" t="str" cm="1">
        <f t="array" ref="NBC3">GetValue("Dmn","Name",NBC2)</f>
        <v/>
      </c>
      <c r="NBD3" s="1" t="str" cm="1">
        <f t="array" ref="NBD3">GetValue("Dmn","Name",NBD2)</f>
        <v/>
      </c>
      <c r="NBE3" s="1" t="str" cm="1">
        <f t="array" ref="NBE3">GetValue("Dmn","Name",NBE2)</f>
        <v/>
      </c>
      <c r="NBF3" s="1" t="str" cm="1">
        <f t="array" ref="NBF3">GetValue("Dmn","Name",NBF2)</f>
        <v/>
      </c>
      <c r="NBG3" s="1" t="str" cm="1">
        <f t="array" ref="NBG3">GetValue("Dmn","Name",NBG2)</f>
        <v/>
      </c>
      <c r="NBH3" s="1" t="str" cm="1">
        <f t="array" ref="NBH3">GetValue("Dmn","Name",NBH2)</f>
        <v/>
      </c>
      <c r="NBI3" s="1" t="str" cm="1">
        <f t="array" ref="NBI3">GetValue("Dmn","Name",NBI2)</f>
        <v/>
      </c>
      <c r="NBJ3" s="1" t="str" cm="1">
        <f t="array" ref="NBJ3">GetValue("Dmn","Name",NBJ2)</f>
        <v/>
      </c>
      <c r="NBK3" s="1" t="str" cm="1">
        <f t="array" ref="NBK3">GetValue("Dmn","Name",NBK2)</f>
        <v/>
      </c>
      <c r="NBL3" s="1" t="str" cm="1">
        <f t="array" ref="NBL3">GetValue("Dmn","Name",NBL2)</f>
        <v/>
      </c>
      <c r="NBM3" s="1" t="str" cm="1">
        <f t="array" ref="NBM3">GetValue("Dmn","Name",NBM2)</f>
        <v/>
      </c>
      <c r="NBN3" s="1" t="str" cm="1">
        <f t="array" ref="NBN3">GetValue("Dmn","Name",NBN2)</f>
        <v/>
      </c>
      <c r="NBO3" s="1" t="str" cm="1">
        <f t="array" ref="NBO3">GetValue("Dmn","Name",NBO2)</f>
        <v/>
      </c>
      <c r="NBP3" s="1" t="str" cm="1">
        <f t="array" ref="NBP3">GetValue("Dmn","Name",NBP2)</f>
        <v/>
      </c>
      <c r="NBQ3" s="1" t="str" cm="1">
        <f t="array" ref="NBQ3">GetValue("Dmn","Name",NBQ2)</f>
        <v/>
      </c>
      <c r="NBR3" s="1" t="str" cm="1">
        <f t="array" ref="NBR3">GetValue("Dmn","Name",NBR2)</f>
        <v/>
      </c>
      <c r="NBS3" s="1" t="str" cm="1">
        <f t="array" ref="NBS3">GetValue("Dmn","Name",NBS2)</f>
        <v/>
      </c>
      <c r="NBT3" s="1" t="str" cm="1">
        <f t="array" ref="NBT3">GetValue("Dmn","Name",NBT2)</f>
        <v/>
      </c>
      <c r="NBU3" s="1" t="str" cm="1">
        <f t="array" ref="NBU3">GetValue("Dmn","Name",NBU2)</f>
        <v/>
      </c>
      <c r="NBV3" s="1" t="str" cm="1">
        <f t="array" ref="NBV3">GetValue("Dmn","Name",NBV2)</f>
        <v/>
      </c>
      <c r="NBW3" s="1" t="str" cm="1">
        <f t="array" ref="NBW3">GetValue("Dmn","Name",NBW2)</f>
        <v/>
      </c>
      <c r="NBX3" s="1" t="str" cm="1">
        <f t="array" ref="NBX3">GetValue("Dmn","Name",NBX2)</f>
        <v/>
      </c>
      <c r="NBY3" s="1" t="str" cm="1">
        <f t="array" ref="NBY3">GetValue("Dmn","Name",NBY2)</f>
        <v/>
      </c>
      <c r="NBZ3" s="1" t="str" cm="1">
        <f t="array" ref="NBZ3">GetValue("Dmn","Name",NBZ2)</f>
        <v/>
      </c>
      <c r="NCA3" s="1" t="str" cm="1">
        <f t="array" ref="NCA3">GetValue("Dmn","Name",NCA2)</f>
        <v/>
      </c>
      <c r="NCB3" s="1" t="str" cm="1">
        <f t="array" ref="NCB3">GetValue("Dmn","Name",NCB2)</f>
        <v/>
      </c>
      <c r="NCC3" s="1" t="str" cm="1">
        <f t="array" ref="NCC3">GetValue("Dmn","Name",NCC2)</f>
        <v/>
      </c>
      <c r="NCD3" s="1" t="str" cm="1">
        <f t="array" ref="NCD3">GetValue("Dmn","Name",NCD2)</f>
        <v/>
      </c>
      <c r="NCE3" s="1" t="str" cm="1">
        <f t="array" ref="NCE3">GetValue("Dmn","Name",NCE2)</f>
        <v/>
      </c>
      <c r="NCF3" s="1" t="str" cm="1">
        <f t="array" ref="NCF3">GetValue("Dmn","Name",NCF2)</f>
        <v/>
      </c>
      <c r="NCG3" s="1" t="str" cm="1">
        <f t="array" ref="NCG3">GetValue("Dmn","Name",NCG2)</f>
        <v/>
      </c>
      <c r="NCH3" s="1" t="str" cm="1">
        <f t="array" ref="NCH3">GetValue("Dmn","Name",NCH2)</f>
        <v/>
      </c>
      <c r="NCI3" s="1" t="str" cm="1">
        <f t="array" ref="NCI3">GetValue("Dmn","Name",NCI2)</f>
        <v/>
      </c>
      <c r="NCJ3" s="1" t="str" cm="1">
        <f t="array" ref="NCJ3">GetValue("Dmn","Name",NCJ2)</f>
        <v/>
      </c>
      <c r="NCK3" s="1" t="str" cm="1">
        <f t="array" ref="NCK3">GetValue("Dmn","Name",NCK2)</f>
        <v/>
      </c>
      <c r="NCL3" s="1" t="str" cm="1">
        <f t="array" ref="NCL3">GetValue("Dmn","Name",NCL2)</f>
        <v/>
      </c>
      <c r="NCM3" s="1" t="str" cm="1">
        <f t="array" ref="NCM3">GetValue("Dmn","Name",NCM2)</f>
        <v/>
      </c>
      <c r="NCN3" s="1" t="str" cm="1">
        <f t="array" ref="NCN3">GetValue("Dmn","Name",NCN2)</f>
        <v/>
      </c>
      <c r="NCO3" s="1" t="str" cm="1">
        <f t="array" ref="NCO3">GetValue("Dmn","Name",NCO2)</f>
        <v/>
      </c>
      <c r="NCP3" s="1" t="str" cm="1">
        <f t="array" ref="NCP3">GetValue("Dmn","Name",NCP2)</f>
        <v/>
      </c>
      <c r="NCQ3" s="1" t="str" cm="1">
        <f t="array" ref="NCQ3">GetValue("Dmn","Name",NCQ2)</f>
        <v/>
      </c>
      <c r="NCR3" s="1" t="str" cm="1">
        <f t="array" ref="NCR3">GetValue("Dmn","Name",NCR2)</f>
        <v/>
      </c>
      <c r="NCS3" s="1" t="str" cm="1">
        <f t="array" ref="NCS3">GetValue("Dmn","Name",NCS2)</f>
        <v/>
      </c>
      <c r="NCT3" s="1" t="str" cm="1">
        <f t="array" ref="NCT3">GetValue("Dmn","Name",NCT2)</f>
        <v/>
      </c>
      <c r="NCU3" s="1" t="str" cm="1">
        <f t="array" ref="NCU3">GetValue("Dmn","Name",NCU2)</f>
        <v/>
      </c>
      <c r="NCV3" s="1" t="str" cm="1">
        <f t="array" ref="NCV3">GetValue("Dmn","Name",NCV2)</f>
        <v/>
      </c>
      <c r="NCW3" s="1" t="str" cm="1">
        <f t="array" ref="NCW3">GetValue("Dmn","Name",NCW2)</f>
        <v/>
      </c>
      <c r="NCX3" s="1" t="str" cm="1">
        <f t="array" ref="NCX3">GetValue("Dmn","Name",NCX2)</f>
        <v/>
      </c>
      <c r="NCY3" s="1" t="str" cm="1">
        <f t="array" ref="NCY3">GetValue("Dmn","Name",NCY2)</f>
        <v/>
      </c>
      <c r="NCZ3" s="1" t="str" cm="1">
        <f t="array" ref="NCZ3">GetValue("Dmn","Name",NCZ2)</f>
        <v/>
      </c>
      <c r="NDA3" s="1" t="str" cm="1">
        <f t="array" ref="NDA3">GetValue("Dmn","Name",NDA2)</f>
        <v/>
      </c>
      <c r="NDB3" s="1" t="str" cm="1">
        <f t="array" ref="NDB3">GetValue("Dmn","Name",NDB2)</f>
        <v/>
      </c>
      <c r="NDC3" s="1" t="str" cm="1">
        <f t="array" ref="NDC3">GetValue("Dmn","Name",NDC2)</f>
        <v/>
      </c>
      <c r="NDD3" s="1" t="str" cm="1">
        <f t="array" ref="NDD3">GetValue("Dmn","Name",NDD2)</f>
        <v/>
      </c>
      <c r="NDE3" s="1" t="str" cm="1">
        <f t="array" ref="NDE3">GetValue("Dmn","Name",NDE2)</f>
        <v/>
      </c>
      <c r="NDF3" s="1" t="str" cm="1">
        <f t="array" ref="NDF3">GetValue("Dmn","Name",NDF2)</f>
        <v/>
      </c>
      <c r="NDG3" s="1" t="str" cm="1">
        <f t="array" ref="NDG3">GetValue("Dmn","Name",NDG2)</f>
        <v/>
      </c>
      <c r="NDH3" s="1" t="str" cm="1">
        <f t="array" ref="NDH3">GetValue("Dmn","Name",NDH2)</f>
        <v/>
      </c>
      <c r="NDI3" s="1" t="str" cm="1">
        <f t="array" ref="NDI3">GetValue("Dmn","Name",NDI2)</f>
        <v/>
      </c>
      <c r="NDJ3" s="1" t="str" cm="1">
        <f t="array" ref="NDJ3">GetValue("Dmn","Name",NDJ2)</f>
        <v/>
      </c>
      <c r="NDK3" s="1" t="str" cm="1">
        <f t="array" ref="NDK3">GetValue("Dmn","Name",NDK2)</f>
        <v/>
      </c>
      <c r="NDL3" s="1" t="str" cm="1">
        <f t="array" ref="NDL3">GetValue("Dmn","Name",NDL2)</f>
        <v/>
      </c>
      <c r="NDM3" s="1" t="str" cm="1">
        <f t="array" ref="NDM3">GetValue("Dmn","Name",NDM2)</f>
        <v/>
      </c>
      <c r="NDN3" s="1" t="str" cm="1">
        <f t="array" ref="NDN3">GetValue("Dmn","Name",NDN2)</f>
        <v/>
      </c>
      <c r="NDO3" s="1" t="str" cm="1">
        <f t="array" ref="NDO3">GetValue("Dmn","Name",NDO2)</f>
        <v/>
      </c>
      <c r="NDP3" s="1" t="str" cm="1">
        <f t="array" ref="NDP3">GetValue("Dmn","Name",NDP2)</f>
        <v/>
      </c>
      <c r="NDQ3" s="1" t="str" cm="1">
        <f t="array" ref="NDQ3">GetValue("Dmn","Name",NDQ2)</f>
        <v/>
      </c>
      <c r="NDR3" s="1" t="str" cm="1">
        <f t="array" ref="NDR3">GetValue("Dmn","Name",NDR2)</f>
        <v/>
      </c>
      <c r="NDS3" s="1" t="str" cm="1">
        <f t="array" ref="NDS3">GetValue("Dmn","Name",NDS2)</f>
        <v/>
      </c>
      <c r="NDT3" s="1" t="str" cm="1">
        <f t="array" ref="NDT3">GetValue("Dmn","Name",NDT2)</f>
        <v/>
      </c>
      <c r="NDU3" s="1" t="str" cm="1">
        <f t="array" ref="NDU3">GetValue("Dmn","Name",NDU2)</f>
        <v/>
      </c>
      <c r="NDV3" s="1" t="str" cm="1">
        <f t="array" ref="NDV3">GetValue("Dmn","Name",NDV2)</f>
        <v/>
      </c>
      <c r="NDW3" s="1" t="str" cm="1">
        <f t="array" ref="NDW3">GetValue("Dmn","Name",NDW2)</f>
        <v/>
      </c>
      <c r="NDX3" s="1" t="str" cm="1">
        <f t="array" ref="NDX3">GetValue("Dmn","Name",NDX2)</f>
        <v/>
      </c>
      <c r="NDY3" s="1" t="str" cm="1">
        <f t="array" ref="NDY3">GetValue("Dmn","Name",NDY2)</f>
        <v/>
      </c>
      <c r="NDZ3" s="1" t="str" cm="1">
        <f t="array" ref="NDZ3">GetValue("Dmn","Name",NDZ2)</f>
        <v/>
      </c>
      <c r="NEA3" s="1" t="str" cm="1">
        <f t="array" ref="NEA3">GetValue("Dmn","Name",NEA2)</f>
        <v/>
      </c>
      <c r="NEB3" s="1" t="str" cm="1">
        <f t="array" ref="NEB3">GetValue("Dmn","Name",NEB2)</f>
        <v/>
      </c>
      <c r="NEC3" s="1" t="str" cm="1">
        <f t="array" ref="NEC3">GetValue("Dmn","Name",NEC2)</f>
        <v/>
      </c>
      <c r="NED3" s="1" t="str" cm="1">
        <f t="array" ref="NED3">GetValue("Dmn","Name",NED2)</f>
        <v/>
      </c>
      <c r="NEE3" s="1" t="str" cm="1">
        <f t="array" ref="NEE3">GetValue("Dmn","Name",NEE2)</f>
        <v/>
      </c>
      <c r="NEF3" s="1" t="str" cm="1">
        <f t="array" ref="NEF3">GetValue("Dmn","Name",NEF2)</f>
        <v/>
      </c>
      <c r="NEG3" s="1" t="str" cm="1">
        <f t="array" ref="NEG3">GetValue("Dmn","Name",NEG2)</f>
        <v/>
      </c>
      <c r="NEH3" s="1" t="str" cm="1">
        <f t="array" ref="NEH3">GetValue("Dmn","Name",NEH2)</f>
        <v/>
      </c>
      <c r="NEI3" s="1" t="str" cm="1">
        <f t="array" ref="NEI3">GetValue("Dmn","Name",NEI2)</f>
        <v/>
      </c>
      <c r="NEJ3" s="1" t="str" cm="1">
        <f t="array" ref="NEJ3">GetValue("Dmn","Name",NEJ2)</f>
        <v/>
      </c>
      <c r="NEK3" s="1" t="str" cm="1">
        <f t="array" ref="NEK3">GetValue("Dmn","Name",NEK2)</f>
        <v/>
      </c>
      <c r="NEL3" s="1" t="str" cm="1">
        <f t="array" ref="NEL3">GetValue("Dmn","Name",NEL2)</f>
        <v/>
      </c>
      <c r="NEM3" s="1" t="str" cm="1">
        <f t="array" ref="NEM3">GetValue("Dmn","Name",NEM2)</f>
        <v/>
      </c>
      <c r="NEN3" s="1" t="str" cm="1">
        <f t="array" ref="NEN3">GetValue("Dmn","Name",NEN2)</f>
        <v/>
      </c>
      <c r="NEO3" s="1" t="str" cm="1">
        <f t="array" ref="NEO3">GetValue("Dmn","Name",NEO2)</f>
        <v/>
      </c>
      <c r="NEP3" s="1" t="str" cm="1">
        <f t="array" ref="NEP3">GetValue("Dmn","Name",NEP2)</f>
        <v/>
      </c>
      <c r="NEQ3" s="1" t="str" cm="1">
        <f t="array" ref="NEQ3">GetValue("Dmn","Name",NEQ2)</f>
        <v/>
      </c>
      <c r="NER3" s="1" t="str" cm="1">
        <f t="array" ref="NER3">GetValue("Dmn","Name",NER2)</f>
        <v/>
      </c>
      <c r="NES3" s="1" t="str" cm="1">
        <f t="array" ref="NES3">GetValue("Dmn","Name",NES2)</f>
        <v/>
      </c>
      <c r="NET3" s="1" t="str" cm="1">
        <f t="array" ref="NET3">GetValue("Dmn","Name",NET2)</f>
        <v/>
      </c>
      <c r="NEU3" s="1" t="str" cm="1">
        <f t="array" ref="NEU3">GetValue("Dmn","Name",NEU2)</f>
        <v/>
      </c>
      <c r="NEV3" s="1" t="str" cm="1">
        <f t="array" ref="NEV3">GetValue("Dmn","Name",NEV2)</f>
        <v/>
      </c>
      <c r="NEW3" s="1" t="str" cm="1">
        <f t="array" ref="NEW3">GetValue("Dmn","Name",NEW2)</f>
        <v/>
      </c>
      <c r="NEX3" s="1" t="str" cm="1">
        <f t="array" ref="NEX3">GetValue("Dmn","Name",NEX2)</f>
        <v/>
      </c>
      <c r="NEY3" s="1" t="str" cm="1">
        <f t="array" ref="NEY3">GetValue("Dmn","Name",NEY2)</f>
        <v/>
      </c>
      <c r="NEZ3" s="1" t="str" cm="1">
        <f t="array" ref="NEZ3">GetValue("Dmn","Name",NEZ2)</f>
        <v/>
      </c>
      <c r="NFA3" s="1" t="str" cm="1">
        <f t="array" ref="NFA3">GetValue("Dmn","Name",NFA2)</f>
        <v/>
      </c>
      <c r="NFB3" s="1" t="str" cm="1">
        <f t="array" ref="NFB3">GetValue("Dmn","Name",NFB2)</f>
        <v/>
      </c>
      <c r="NFC3" s="1" t="str" cm="1">
        <f t="array" ref="NFC3">GetValue("Dmn","Name",NFC2)</f>
        <v/>
      </c>
      <c r="NFD3" s="1" t="str" cm="1">
        <f t="array" ref="NFD3">GetValue("Dmn","Name",NFD2)</f>
        <v/>
      </c>
      <c r="NFE3" s="1" t="str" cm="1">
        <f t="array" ref="NFE3">GetValue("Dmn","Name",NFE2)</f>
        <v/>
      </c>
      <c r="NFF3" s="1" t="str" cm="1">
        <f t="array" ref="NFF3">GetValue("Dmn","Name",NFF2)</f>
        <v/>
      </c>
      <c r="NFG3" s="1" t="str" cm="1">
        <f t="array" ref="NFG3">GetValue("Dmn","Name",NFG2)</f>
        <v/>
      </c>
      <c r="NFH3" s="1" t="str" cm="1">
        <f t="array" ref="NFH3">GetValue("Dmn","Name",NFH2)</f>
        <v/>
      </c>
      <c r="NFI3" s="1" t="str" cm="1">
        <f t="array" ref="NFI3">GetValue("Dmn","Name",NFI2)</f>
        <v/>
      </c>
      <c r="NFJ3" s="1" t="str" cm="1">
        <f t="array" ref="NFJ3">GetValue("Dmn","Name",NFJ2)</f>
        <v/>
      </c>
      <c r="NFK3" s="1" t="str" cm="1">
        <f t="array" ref="NFK3">GetValue("Dmn","Name",NFK2)</f>
        <v/>
      </c>
      <c r="NFL3" s="1" t="str" cm="1">
        <f t="array" ref="NFL3">GetValue("Dmn","Name",NFL2)</f>
        <v/>
      </c>
      <c r="NFM3" s="1" t="str" cm="1">
        <f t="array" ref="NFM3">GetValue("Dmn","Name",NFM2)</f>
        <v/>
      </c>
      <c r="NFN3" s="1" t="str" cm="1">
        <f t="array" ref="NFN3">GetValue("Dmn","Name",NFN2)</f>
        <v/>
      </c>
      <c r="NFO3" s="1" t="str" cm="1">
        <f t="array" ref="NFO3">GetValue("Dmn","Name",NFO2)</f>
        <v/>
      </c>
      <c r="NFP3" s="1" t="str" cm="1">
        <f t="array" ref="NFP3">GetValue("Dmn","Name",NFP2)</f>
        <v/>
      </c>
      <c r="NFQ3" s="1" t="str" cm="1">
        <f t="array" ref="NFQ3">GetValue("Dmn","Name",NFQ2)</f>
        <v/>
      </c>
      <c r="NFR3" s="1" t="str" cm="1">
        <f t="array" ref="NFR3">GetValue("Dmn","Name",NFR2)</f>
        <v/>
      </c>
      <c r="NFS3" s="1" t="str" cm="1">
        <f t="array" ref="NFS3">GetValue("Dmn","Name",NFS2)</f>
        <v/>
      </c>
      <c r="NFT3" s="1" t="str" cm="1">
        <f t="array" ref="NFT3">GetValue("Dmn","Name",NFT2)</f>
        <v/>
      </c>
      <c r="NFU3" s="1" t="str" cm="1">
        <f t="array" ref="NFU3">GetValue("Dmn","Name",NFU2)</f>
        <v/>
      </c>
      <c r="NFV3" s="1" t="str" cm="1">
        <f t="array" ref="NFV3">GetValue("Dmn","Name",NFV2)</f>
        <v/>
      </c>
      <c r="NFW3" s="1" t="str" cm="1">
        <f t="array" ref="NFW3">GetValue("Dmn","Name",NFW2)</f>
        <v/>
      </c>
      <c r="NFX3" s="1" t="str" cm="1">
        <f t="array" ref="NFX3">GetValue("Dmn","Name",NFX2)</f>
        <v/>
      </c>
      <c r="NFY3" s="1" t="str" cm="1">
        <f t="array" ref="NFY3">GetValue("Dmn","Name",NFY2)</f>
        <v/>
      </c>
      <c r="NFZ3" s="1" t="str" cm="1">
        <f t="array" ref="NFZ3">GetValue("Dmn","Name",NFZ2)</f>
        <v/>
      </c>
      <c r="NGA3" s="1" t="str" cm="1">
        <f t="array" ref="NGA3">GetValue("Dmn","Name",NGA2)</f>
        <v/>
      </c>
      <c r="NGB3" s="1" t="str" cm="1">
        <f t="array" ref="NGB3">GetValue("Dmn","Name",NGB2)</f>
        <v/>
      </c>
      <c r="NGC3" s="1" t="str" cm="1">
        <f t="array" ref="NGC3">GetValue("Dmn","Name",NGC2)</f>
        <v/>
      </c>
      <c r="NGD3" s="1" t="str" cm="1">
        <f t="array" ref="NGD3">GetValue("Dmn","Name",NGD2)</f>
        <v/>
      </c>
      <c r="NGE3" s="1" t="str" cm="1">
        <f t="array" ref="NGE3">GetValue("Dmn","Name",NGE2)</f>
        <v/>
      </c>
      <c r="NGF3" s="1" t="str" cm="1">
        <f t="array" ref="NGF3">GetValue("Dmn","Name",NGF2)</f>
        <v/>
      </c>
      <c r="NGG3" s="1" t="str" cm="1">
        <f t="array" ref="NGG3">GetValue("Dmn","Name",NGG2)</f>
        <v/>
      </c>
      <c r="NGH3" s="1" t="str" cm="1">
        <f t="array" ref="NGH3">GetValue("Dmn","Name",NGH2)</f>
        <v/>
      </c>
      <c r="NGI3" s="1" t="str" cm="1">
        <f t="array" ref="NGI3">GetValue("Dmn","Name",NGI2)</f>
        <v/>
      </c>
      <c r="NGJ3" s="1" t="str" cm="1">
        <f t="array" ref="NGJ3">GetValue("Dmn","Name",NGJ2)</f>
        <v/>
      </c>
      <c r="NGK3" s="1" t="str" cm="1">
        <f t="array" ref="NGK3">GetValue("Dmn","Name",NGK2)</f>
        <v/>
      </c>
      <c r="NGL3" s="1" t="str" cm="1">
        <f t="array" ref="NGL3">GetValue("Dmn","Name",NGL2)</f>
        <v/>
      </c>
      <c r="NGM3" s="1" t="str" cm="1">
        <f t="array" ref="NGM3">GetValue("Dmn","Name",NGM2)</f>
        <v/>
      </c>
      <c r="NGN3" s="1" t="str" cm="1">
        <f t="array" ref="NGN3">GetValue("Dmn","Name",NGN2)</f>
        <v/>
      </c>
      <c r="NGO3" s="1" t="str" cm="1">
        <f t="array" ref="NGO3">GetValue("Dmn","Name",NGO2)</f>
        <v/>
      </c>
      <c r="NGP3" s="1" t="str" cm="1">
        <f t="array" ref="NGP3">GetValue("Dmn","Name",NGP2)</f>
        <v/>
      </c>
      <c r="NGQ3" s="1" t="str" cm="1">
        <f t="array" ref="NGQ3">GetValue("Dmn","Name",NGQ2)</f>
        <v/>
      </c>
      <c r="NGR3" s="1" t="str" cm="1">
        <f t="array" ref="NGR3">GetValue("Dmn","Name",NGR2)</f>
        <v/>
      </c>
      <c r="NGS3" s="1" t="str" cm="1">
        <f t="array" ref="NGS3">GetValue("Dmn","Name",NGS2)</f>
        <v/>
      </c>
      <c r="NGT3" s="1" t="str" cm="1">
        <f t="array" ref="NGT3">GetValue("Dmn","Name",NGT2)</f>
        <v/>
      </c>
      <c r="NGU3" s="1" t="str" cm="1">
        <f t="array" ref="NGU3">GetValue("Dmn","Name",NGU2)</f>
        <v/>
      </c>
      <c r="NGV3" s="1" t="str" cm="1">
        <f t="array" ref="NGV3">GetValue("Dmn","Name",NGV2)</f>
        <v/>
      </c>
      <c r="NGW3" s="1" t="str" cm="1">
        <f t="array" ref="NGW3">GetValue("Dmn","Name",NGW2)</f>
        <v/>
      </c>
      <c r="NGX3" s="1" t="str" cm="1">
        <f t="array" ref="NGX3">GetValue("Dmn","Name",NGX2)</f>
        <v/>
      </c>
      <c r="NGY3" s="1" t="str" cm="1">
        <f t="array" ref="NGY3">GetValue("Dmn","Name",NGY2)</f>
        <v/>
      </c>
      <c r="NGZ3" s="1" t="str" cm="1">
        <f t="array" ref="NGZ3">GetValue("Dmn","Name",NGZ2)</f>
        <v/>
      </c>
      <c r="NHA3" s="1" t="str" cm="1">
        <f t="array" ref="NHA3">GetValue("Dmn","Name",NHA2)</f>
        <v/>
      </c>
      <c r="NHB3" s="1" t="str" cm="1">
        <f t="array" ref="NHB3">GetValue("Dmn","Name",NHB2)</f>
        <v/>
      </c>
      <c r="NHC3" s="1" t="str" cm="1">
        <f t="array" ref="NHC3">GetValue("Dmn","Name",NHC2)</f>
        <v/>
      </c>
      <c r="NHD3" s="1" t="str" cm="1">
        <f t="array" ref="NHD3">GetValue("Dmn","Name",NHD2)</f>
        <v/>
      </c>
      <c r="NHE3" s="1" t="str" cm="1">
        <f t="array" ref="NHE3">GetValue("Dmn","Name",NHE2)</f>
        <v/>
      </c>
      <c r="NHF3" s="1" t="str" cm="1">
        <f t="array" ref="NHF3">GetValue("Dmn","Name",NHF2)</f>
        <v/>
      </c>
      <c r="NHG3" s="1" t="str" cm="1">
        <f t="array" ref="NHG3">GetValue("Dmn","Name",NHG2)</f>
        <v/>
      </c>
      <c r="NHH3" s="1" t="str" cm="1">
        <f t="array" ref="NHH3">GetValue("Dmn","Name",NHH2)</f>
        <v/>
      </c>
      <c r="NHI3" s="1" t="str" cm="1">
        <f t="array" ref="NHI3">GetValue("Dmn","Name",NHI2)</f>
        <v/>
      </c>
      <c r="NHJ3" s="1" t="str" cm="1">
        <f t="array" ref="NHJ3">GetValue("Dmn","Name",NHJ2)</f>
        <v/>
      </c>
      <c r="NHK3" s="1" t="str" cm="1">
        <f t="array" ref="NHK3">GetValue("Dmn","Name",NHK2)</f>
        <v/>
      </c>
      <c r="NHL3" s="1" t="str" cm="1">
        <f t="array" ref="NHL3">GetValue("Dmn","Name",NHL2)</f>
        <v/>
      </c>
      <c r="NHM3" s="1" t="str" cm="1">
        <f t="array" ref="NHM3">GetValue("Dmn","Name",NHM2)</f>
        <v/>
      </c>
      <c r="NHN3" s="1" t="str" cm="1">
        <f t="array" ref="NHN3">GetValue("Dmn","Name",NHN2)</f>
        <v/>
      </c>
      <c r="NHO3" s="1" t="str" cm="1">
        <f t="array" ref="NHO3">GetValue("Dmn","Name",NHO2)</f>
        <v/>
      </c>
      <c r="NHP3" s="1" t="str" cm="1">
        <f t="array" ref="NHP3">GetValue("Dmn","Name",NHP2)</f>
        <v/>
      </c>
      <c r="NHQ3" s="1" t="str" cm="1">
        <f t="array" ref="NHQ3">GetValue("Dmn","Name",NHQ2)</f>
        <v/>
      </c>
      <c r="NHR3" s="1" t="str" cm="1">
        <f t="array" ref="NHR3">GetValue("Dmn","Name",NHR2)</f>
        <v/>
      </c>
      <c r="NHS3" s="1" t="str" cm="1">
        <f t="array" ref="NHS3">GetValue("Dmn","Name",NHS2)</f>
        <v/>
      </c>
      <c r="NHT3" s="1" t="str" cm="1">
        <f t="array" ref="NHT3">GetValue("Dmn","Name",NHT2)</f>
        <v/>
      </c>
      <c r="NHU3" s="1" t="str" cm="1">
        <f t="array" ref="NHU3">GetValue("Dmn","Name",NHU2)</f>
        <v/>
      </c>
      <c r="NHV3" s="1" t="str" cm="1">
        <f t="array" ref="NHV3">GetValue("Dmn","Name",NHV2)</f>
        <v/>
      </c>
      <c r="NHW3" s="1" t="str" cm="1">
        <f t="array" ref="NHW3">GetValue("Dmn","Name",NHW2)</f>
        <v/>
      </c>
      <c r="NHX3" s="1" t="str" cm="1">
        <f t="array" ref="NHX3">GetValue("Dmn","Name",NHX2)</f>
        <v/>
      </c>
      <c r="NHY3" s="1" t="str" cm="1">
        <f t="array" ref="NHY3">GetValue("Dmn","Name",NHY2)</f>
        <v/>
      </c>
      <c r="NHZ3" s="1" t="str" cm="1">
        <f t="array" ref="NHZ3">GetValue("Dmn","Name",NHZ2)</f>
        <v/>
      </c>
      <c r="NIA3" s="1" t="str" cm="1">
        <f t="array" ref="NIA3">GetValue("Dmn","Name",NIA2)</f>
        <v/>
      </c>
      <c r="NIB3" s="1" t="str" cm="1">
        <f t="array" ref="NIB3">GetValue("Dmn","Name",NIB2)</f>
        <v/>
      </c>
      <c r="NIC3" s="1" t="str" cm="1">
        <f t="array" ref="NIC3">GetValue("Dmn","Name",NIC2)</f>
        <v/>
      </c>
      <c r="NID3" s="1" t="str" cm="1">
        <f t="array" ref="NID3">GetValue("Dmn","Name",NID2)</f>
        <v/>
      </c>
      <c r="NIE3" s="1" t="str" cm="1">
        <f t="array" ref="NIE3">GetValue("Dmn","Name",NIE2)</f>
        <v/>
      </c>
      <c r="NIF3" s="1" t="str" cm="1">
        <f t="array" ref="NIF3">GetValue("Dmn","Name",NIF2)</f>
        <v/>
      </c>
      <c r="NIG3" s="1" t="str" cm="1">
        <f t="array" ref="NIG3">GetValue("Dmn","Name",NIG2)</f>
        <v/>
      </c>
      <c r="NIH3" s="1" t="str" cm="1">
        <f t="array" ref="NIH3">GetValue("Dmn","Name",NIH2)</f>
        <v/>
      </c>
      <c r="NII3" s="1" t="str" cm="1">
        <f t="array" ref="NII3">GetValue("Dmn","Name",NII2)</f>
        <v/>
      </c>
      <c r="NIJ3" s="1" t="str" cm="1">
        <f t="array" ref="NIJ3">GetValue("Dmn","Name",NIJ2)</f>
        <v/>
      </c>
      <c r="NIK3" s="1" t="str" cm="1">
        <f t="array" ref="NIK3">GetValue("Dmn","Name",NIK2)</f>
        <v/>
      </c>
      <c r="NIL3" s="1" t="str" cm="1">
        <f t="array" ref="NIL3">GetValue("Dmn","Name",NIL2)</f>
        <v/>
      </c>
      <c r="NIM3" s="1" t="str" cm="1">
        <f t="array" ref="NIM3">GetValue("Dmn","Name",NIM2)</f>
        <v/>
      </c>
      <c r="NIN3" s="1" t="str" cm="1">
        <f t="array" ref="NIN3">GetValue("Dmn","Name",NIN2)</f>
        <v/>
      </c>
      <c r="NIO3" s="1" t="str" cm="1">
        <f t="array" ref="NIO3">GetValue("Dmn","Name",NIO2)</f>
        <v/>
      </c>
      <c r="NIP3" s="1" t="str" cm="1">
        <f t="array" ref="NIP3">GetValue("Dmn","Name",NIP2)</f>
        <v/>
      </c>
      <c r="NIQ3" s="1" t="str" cm="1">
        <f t="array" ref="NIQ3">GetValue("Dmn","Name",NIQ2)</f>
        <v/>
      </c>
      <c r="NIR3" s="1" t="str" cm="1">
        <f t="array" ref="NIR3">GetValue("Dmn","Name",NIR2)</f>
        <v/>
      </c>
      <c r="NIS3" s="1" t="str" cm="1">
        <f t="array" ref="NIS3">GetValue("Dmn","Name",NIS2)</f>
        <v/>
      </c>
      <c r="NIT3" s="1" t="str" cm="1">
        <f t="array" ref="NIT3">GetValue("Dmn","Name",NIT2)</f>
        <v/>
      </c>
      <c r="NIU3" s="1" t="str" cm="1">
        <f t="array" ref="NIU3">GetValue("Dmn","Name",NIU2)</f>
        <v/>
      </c>
      <c r="NIV3" s="1" t="str" cm="1">
        <f t="array" ref="NIV3">GetValue("Dmn","Name",NIV2)</f>
        <v/>
      </c>
      <c r="NIW3" s="1" t="str" cm="1">
        <f t="array" ref="NIW3">GetValue("Dmn","Name",NIW2)</f>
        <v/>
      </c>
      <c r="NIX3" s="1" t="str" cm="1">
        <f t="array" ref="NIX3">GetValue("Dmn","Name",NIX2)</f>
        <v/>
      </c>
      <c r="NIY3" s="1" t="str" cm="1">
        <f t="array" ref="NIY3">GetValue("Dmn","Name",NIY2)</f>
        <v/>
      </c>
      <c r="NIZ3" s="1" t="str" cm="1">
        <f t="array" ref="NIZ3">GetValue("Dmn","Name",NIZ2)</f>
        <v/>
      </c>
      <c r="NJA3" s="1" t="str" cm="1">
        <f t="array" ref="NJA3">GetValue("Dmn","Name",NJA2)</f>
        <v/>
      </c>
      <c r="NJB3" s="1" t="str" cm="1">
        <f t="array" ref="NJB3">GetValue("Dmn","Name",NJB2)</f>
        <v/>
      </c>
      <c r="NJC3" s="1" t="str" cm="1">
        <f t="array" ref="NJC3">GetValue("Dmn","Name",NJC2)</f>
        <v/>
      </c>
      <c r="NJD3" s="1" t="str" cm="1">
        <f t="array" ref="NJD3">GetValue("Dmn","Name",NJD2)</f>
        <v/>
      </c>
      <c r="NJE3" s="1" t="str" cm="1">
        <f t="array" ref="NJE3">GetValue("Dmn","Name",NJE2)</f>
        <v/>
      </c>
      <c r="NJF3" s="1" t="str" cm="1">
        <f t="array" ref="NJF3">GetValue("Dmn","Name",NJF2)</f>
        <v/>
      </c>
      <c r="NJG3" s="1" t="str" cm="1">
        <f t="array" ref="NJG3">GetValue("Dmn","Name",NJG2)</f>
        <v/>
      </c>
      <c r="NJH3" s="1" t="str" cm="1">
        <f t="array" ref="NJH3">GetValue("Dmn","Name",NJH2)</f>
        <v/>
      </c>
      <c r="NJI3" s="1" t="str" cm="1">
        <f t="array" ref="NJI3">GetValue("Dmn","Name",NJI2)</f>
        <v/>
      </c>
      <c r="NJJ3" s="1" t="str" cm="1">
        <f t="array" ref="NJJ3">GetValue("Dmn","Name",NJJ2)</f>
        <v/>
      </c>
      <c r="NJK3" s="1" t="str" cm="1">
        <f t="array" ref="NJK3">GetValue("Dmn","Name",NJK2)</f>
        <v/>
      </c>
      <c r="NJL3" s="1" t="str" cm="1">
        <f t="array" ref="NJL3">GetValue("Dmn","Name",NJL2)</f>
        <v/>
      </c>
      <c r="NJM3" s="1" t="str" cm="1">
        <f t="array" ref="NJM3">GetValue("Dmn","Name",NJM2)</f>
        <v/>
      </c>
      <c r="NJN3" s="1" t="str" cm="1">
        <f t="array" ref="NJN3">GetValue("Dmn","Name",NJN2)</f>
        <v/>
      </c>
      <c r="NJO3" s="1" t="str" cm="1">
        <f t="array" ref="NJO3">GetValue("Dmn","Name",NJO2)</f>
        <v/>
      </c>
      <c r="NJP3" s="1" t="str" cm="1">
        <f t="array" ref="NJP3">GetValue("Dmn","Name",NJP2)</f>
        <v/>
      </c>
      <c r="NJQ3" s="1" t="str" cm="1">
        <f t="array" ref="NJQ3">GetValue("Dmn","Name",NJQ2)</f>
        <v/>
      </c>
      <c r="NJR3" s="1" t="str" cm="1">
        <f t="array" ref="NJR3">GetValue("Dmn","Name",NJR2)</f>
        <v/>
      </c>
      <c r="NJS3" s="1" t="str" cm="1">
        <f t="array" ref="NJS3">GetValue("Dmn","Name",NJS2)</f>
        <v/>
      </c>
      <c r="NJT3" s="1" t="str" cm="1">
        <f t="array" ref="NJT3">GetValue("Dmn","Name",NJT2)</f>
        <v/>
      </c>
      <c r="NJU3" s="1" t="str" cm="1">
        <f t="array" ref="NJU3">GetValue("Dmn","Name",NJU2)</f>
        <v/>
      </c>
      <c r="NJV3" s="1" t="str" cm="1">
        <f t="array" ref="NJV3">GetValue("Dmn","Name",NJV2)</f>
        <v/>
      </c>
      <c r="NJW3" s="1" t="str" cm="1">
        <f t="array" ref="NJW3">GetValue("Dmn","Name",NJW2)</f>
        <v/>
      </c>
      <c r="NJX3" s="1" t="str" cm="1">
        <f t="array" ref="NJX3">GetValue("Dmn","Name",NJX2)</f>
        <v/>
      </c>
      <c r="NJY3" s="1" t="str" cm="1">
        <f t="array" ref="NJY3">GetValue("Dmn","Name",NJY2)</f>
        <v/>
      </c>
      <c r="NJZ3" s="1" t="str" cm="1">
        <f t="array" ref="NJZ3">GetValue("Dmn","Name",NJZ2)</f>
        <v/>
      </c>
      <c r="NKA3" s="1" t="str" cm="1">
        <f t="array" ref="NKA3">GetValue("Dmn","Name",NKA2)</f>
        <v/>
      </c>
      <c r="NKB3" s="1" t="str" cm="1">
        <f t="array" ref="NKB3">GetValue("Dmn","Name",NKB2)</f>
        <v/>
      </c>
      <c r="NKC3" s="1" t="str" cm="1">
        <f t="array" ref="NKC3">GetValue("Dmn","Name",NKC2)</f>
        <v/>
      </c>
      <c r="NKD3" s="1" t="str" cm="1">
        <f t="array" ref="NKD3">GetValue("Dmn","Name",NKD2)</f>
        <v/>
      </c>
      <c r="NKE3" s="1" t="str" cm="1">
        <f t="array" ref="NKE3">GetValue("Dmn","Name",NKE2)</f>
        <v/>
      </c>
      <c r="NKF3" s="1" t="str" cm="1">
        <f t="array" ref="NKF3">GetValue("Dmn","Name",NKF2)</f>
        <v/>
      </c>
      <c r="NKG3" s="1" t="str" cm="1">
        <f t="array" ref="NKG3">GetValue("Dmn","Name",NKG2)</f>
        <v/>
      </c>
      <c r="NKH3" s="1" t="str" cm="1">
        <f t="array" ref="NKH3">GetValue("Dmn","Name",NKH2)</f>
        <v/>
      </c>
      <c r="NKI3" s="1" t="str" cm="1">
        <f t="array" ref="NKI3">GetValue("Dmn","Name",NKI2)</f>
        <v/>
      </c>
      <c r="NKJ3" s="1" t="str" cm="1">
        <f t="array" ref="NKJ3">GetValue("Dmn","Name",NKJ2)</f>
        <v/>
      </c>
      <c r="NKK3" s="1" t="str" cm="1">
        <f t="array" ref="NKK3">GetValue("Dmn","Name",NKK2)</f>
        <v/>
      </c>
      <c r="NKL3" s="1" t="str" cm="1">
        <f t="array" ref="NKL3">GetValue("Dmn","Name",NKL2)</f>
        <v/>
      </c>
      <c r="NKM3" s="1" t="str" cm="1">
        <f t="array" ref="NKM3">GetValue("Dmn","Name",NKM2)</f>
        <v/>
      </c>
      <c r="NKN3" s="1" t="str" cm="1">
        <f t="array" ref="NKN3">GetValue("Dmn","Name",NKN2)</f>
        <v/>
      </c>
      <c r="NKO3" s="1" t="str" cm="1">
        <f t="array" ref="NKO3">GetValue("Dmn","Name",NKO2)</f>
        <v/>
      </c>
      <c r="NKP3" s="1" t="str" cm="1">
        <f t="array" ref="NKP3">GetValue("Dmn","Name",NKP2)</f>
        <v/>
      </c>
      <c r="NKQ3" s="1" t="str" cm="1">
        <f t="array" ref="NKQ3">GetValue("Dmn","Name",NKQ2)</f>
        <v/>
      </c>
      <c r="NKR3" s="1" t="str" cm="1">
        <f t="array" ref="NKR3">GetValue("Dmn","Name",NKR2)</f>
        <v/>
      </c>
      <c r="NKS3" s="1" t="str" cm="1">
        <f t="array" ref="NKS3">GetValue("Dmn","Name",NKS2)</f>
        <v/>
      </c>
      <c r="NKT3" s="1" t="str" cm="1">
        <f t="array" ref="NKT3">GetValue("Dmn","Name",NKT2)</f>
        <v/>
      </c>
      <c r="NKU3" s="1" t="str" cm="1">
        <f t="array" ref="NKU3">GetValue("Dmn","Name",NKU2)</f>
        <v/>
      </c>
      <c r="NKV3" s="1" t="str" cm="1">
        <f t="array" ref="NKV3">GetValue("Dmn","Name",NKV2)</f>
        <v/>
      </c>
      <c r="NKW3" s="1" t="str" cm="1">
        <f t="array" ref="NKW3">GetValue("Dmn","Name",NKW2)</f>
        <v/>
      </c>
      <c r="NKX3" s="1" t="str" cm="1">
        <f t="array" ref="NKX3">GetValue("Dmn","Name",NKX2)</f>
        <v/>
      </c>
      <c r="NKY3" s="1" t="str" cm="1">
        <f t="array" ref="NKY3">GetValue("Dmn","Name",NKY2)</f>
        <v/>
      </c>
      <c r="NKZ3" s="1" t="str" cm="1">
        <f t="array" ref="NKZ3">GetValue("Dmn","Name",NKZ2)</f>
        <v/>
      </c>
      <c r="NLA3" s="1" t="str" cm="1">
        <f t="array" ref="NLA3">GetValue("Dmn","Name",NLA2)</f>
        <v/>
      </c>
      <c r="NLB3" s="1" t="str" cm="1">
        <f t="array" ref="NLB3">GetValue("Dmn","Name",NLB2)</f>
        <v/>
      </c>
      <c r="NLC3" s="1" t="str" cm="1">
        <f t="array" ref="NLC3">GetValue("Dmn","Name",NLC2)</f>
        <v/>
      </c>
      <c r="NLD3" s="1" t="str" cm="1">
        <f t="array" ref="NLD3">GetValue("Dmn","Name",NLD2)</f>
        <v/>
      </c>
      <c r="NLE3" s="1" t="str" cm="1">
        <f t="array" ref="NLE3">GetValue("Dmn","Name",NLE2)</f>
        <v/>
      </c>
      <c r="NLF3" s="1" t="str" cm="1">
        <f t="array" ref="NLF3">GetValue("Dmn","Name",NLF2)</f>
        <v/>
      </c>
      <c r="NLG3" s="1" t="str" cm="1">
        <f t="array" ref="NLG3">GetValue("Dmn","Name",NLG2)</f>
        <v/>
      </c>
      <c r="NLH3" s="1" t="str" cm="1">
        <f t="array" ref="NLH3">GetValue("Dmn","Name",NLH2)</f>
        <v/>
      </c>
      <c r="NLI3" s="1" t="str" cm="1">
        <f t="array" ref="NLI3">GetValue("Dmn","Name",NLI2)</f>
        <v/>
      </c>
      <c r="NLJ3" s="1" t="str" cm="1">
        <f t="array" ref="NLJ3">GetValue("Dmn","Name",NLJ2)</f>
        <v/>
      </c>
      <c r="NLK3" s="1" t="str" cm="1">
        <f t="array" ref="NLK3">GetValue("Dmn","Name",NLK2)</f>
        <v/>
      </c>
      <c r="NLL3" s="1" t="str" cm="1">
        <f t="array" ref="NLL3">GetValue("Dmn","Name",NLL2)</f>
        <v/>
      </c>
      <c r="NLM3" s="1" t="str" cm="1">
        <f t="array" ref="NLM3">GetValue("Dmn","Name",NLM2)</f>
        <v/>
      </c>
      <c r="NLN3" s="1" t="str" cm="1">
        <f t="array" ref="NLN3">GetValue("Dmn","Name",NLN2)</f>
        <v/>
      </c>
      <c r="NLO3" s="1" t="str" cm="1">
        <f t="array" ref="NLO3">GetValue("Dmn","Name",NLO2)</f>
        <v/>
      </c>
      <c r="NLP3" s="1" t="str" cm="1">
        <f t="array" ref="NLP3">GetValue("Dmn","Name",NLP2)</f>
        <v/>
      </c>
      <c r="NLQ3" s="1" t="str" cm="1">
        <f t="array" ref="NLQ3">GetValue("Dmn","Name",NLQ2)</f>
        <v/>
      </c>
      <c r="NLR3" s="1" t="str" cm="1">
        <f t="array" ref="NLR3">GetValue("Dmn","Name",NLR2)</f>
        <v/>
      </c>
      <c r="NLS3" s="1" t="str" cm="1">
        <f t="array" ref="NLS3">GetValue("Dmn","Name",NLS2)</f>
        <v/>
      </c>
      <c r="NLT3" s="1" t="str" cm="1">
        <f t="array" ref="NLT3">GetValue("Dmn","Name",NLT2)</f>
        <v/>
      </c>
      <c r="NLU3" s="1" t="str" cm="1">
        <f t="array" ref="NLU3">GetValue("Dmn","Name",NLU2)</f>
        <v/>
      </c>
      <c r="NLV3" s="1" t="str" cm="1">
        <f t="array" ref="NLV3">GetValue("Dmn","Name",NLV2)</f>
        <v/>
      </c>
      <c r="NLW3" s="1" t="str" cm="1">
        <f t="array" ref="NLW3">GetValue("Dmn","Name",NLW2)</f>
        <v/>
      </c>
      <c r="NLX3" s="1" t="str" cm="1">
        <f t="array" ref="NLX3">GetValue("Dmn","Name",NLX2)</f>
        <v/>
      </c>
      <c r="NLY3" s="1" t="str" cm="1">
        <f t="array" ref="NLY3">GetValue("Dmn","Name",NLY2)</f>
        <v/>
      </c>
      <c r="NLZ3" s="1" t="str" cm="1">
        <f t="array" ref="NLZ3">GetValue("Dmn","Name",NLZ2)</f>
        <v/>
      </c>
      <c r="NMA3" s="1" t="str" cm="1">
        <f t="array" ref="NMA3">GetValue("Dmn","Name",NMA2)</f>
        <v/>
      </c>
      <c r="NMB3" s="1" t="str" cm="1">
        <f t="array" ref="NMB3">GetValue("Dmn","Name",NMB2)</f>
        <v/>
      </c>
      <c r="NMC3" s="1" t="str" cm="1">
        <f t="array" ref="NMC3">GetValue("Dmn","Name",NMC2)</f>
        <v/>
      </c>
      <c r="NMD3" s="1" t="str" cm="1">
        <f t="array" ref="NMD3">GetValue("Dmn","Name",NMD2)</f>
        <v/>
      </c>
      <c r="NME3" s="1" t="str" cm="1">
        <f t="array" ref="NME3">GetValue("Dmn","Name",NME2)</f>
        <v/>
      </c>
      <c r="NMF3" s="1" t="str" cm="1">
        <f t="array" ref="NMF3">GetValue("Dmn","Name",NMF2)</f>
        <v/>
      </c>
      <c r="NMG3" s="1" t="str" cm="1">
        <f t="array" ref="NMG3">GetValue("Dmn","Name",NMG2)</f>
        <v/>
      </c>
      <c r="NMH3" s="1" t="str" cm="1">
        <f t="array" ref="NMH3">GetValue("Dmn","Name",NMH2)</f>
        <v/>
      </c>
      <c r="NMI3" s="1" t="str" cm="1">
        <f t="array" ref="NMI3">GetValue("Dmn","Name",NMI2)</f>
        <v/>
      </c>
      <c r="NMJ3" s="1" t="str" cm="1">
        <f t="array" ref="NMJ3">GetValue("Dmn","Name",NMJ2)</f>
        <v/>
      </c>
      <c r="NMK3" s="1" t="str" cm="1">
        <f t="array" ref="NMK3">GetValue("Dmn","Name",NMK2)</f>
        <v/>
      </c>
      <c r="NML3" s="1" t="str" cm="1">
        <f t="array" ref="NML3">GetValue("Dmn","Name",NML2)</f>
        <v/>
      </c>
      <c r="NMM3" s="1" t="str" cm="1">
        <f t="array" ref="NMM3">GetValue("Dmn","Name",NMM2)</f>
        <v/>
      </c>
      <c r="NMN3" s="1" t="str" cm="1">
        <f t="array" ref="NMN3">GetValue("Dmn","Name",NMN2)</f>
        <v/>
      </c>
      <c r="NMO3" s="1" t="str" cm="1">
        <f t="array" ref="NMO3">GetValue("Dmn","Name",NMO2)</f>
        <v/>
      </c>
      <c r="NMP3" s="1" t="str" cm="1">
        <f t="array" ref="NMP3">GetValue("Dmn","Name",NMP2)</f>
        <v/>
      </c>
      <c r="NMQ3" s="1" t="str" cm="1">
        <f t="array" ref="NMQ3">GetValue("Dmn","Name",NMQ2)</f>
        <v/>
      </c>
      <c r="NMR3" s="1" t="str" cm="1">
        <f t="array" ref="NMR3">GetValue("Dmn","Name",NMR2)</f>
        <v/>
      </c>
      <c r="NMS3" s="1" t="str" cm="1">
        <f t="array" ref="NMS3">GetValue("Dmn","Name",NMS2)</f>
        <v/>
      </c>
      <c r="NMT3" s="1" t="str" cm="1">
        <f t="array" ref="NMT3">GetValue("Dmn","Name",NMT2)</f>
        <v/>
      </c>
      <c r="NMU3" s="1" t="str" cm="1">
        <f t="array" ref="NMU3">GetValue("Dmn","Name",NMU2)</f>
        <v/>
      </c>
      <c r="NMV3" s="1" t="str" cm="1">
        <f t="array" ref="NMV3">GetValue("Dmn","Name",NMV2)</f>
        <v/>
      </c>
      <c r="NMW3" s="1" t="str" cm="1">
        <f t="array" ref="NMW3">GetValue("Dmn","Name",NMW2)</f>
        <v/>
      </c>
      <c r="NMX3" s="1" t="str" cm="1">
        <f t="array" ref="NMX3">GetValue("Dmn","Name",NMX2)</f>
        <v/>
      </c>
      <c r="NMY3" s="1" t="str" cm="1">
        <f t="array" ref="NMY3">GetValue("Dmn","Name",NMY2)</f>
        <v/>
      </c>
      <c r="NMZ3" s="1" t="str" cm="1">
        <f t="array" ref="NMZ3">GetValue("Dmn","Name",NMZ2)</f>
        <v/>
      </c>
      <c r="NNA3" s="1" t="str" cm="1">
        <f t="array" ref="NNA3">GetValue("Dmn","Name",NNA2)</f>
        <v/>
      </c>
      <c r="NNB3" s="1" t="str" cm="1">
        <f t="array" ref="NNB3">GetValue("Dmn","Name",NNB2)</f>
        <v/>
      </c>
      <c r="NNC3" s="1" t="str" cm="1">
        <f t="array" ref="NNC3">GetValue("Dmn","Name",NNC2)</f>
        <v/>
      </c>
      <c r="NND3" s="1" t="str" cm="1">
        <f t="array" ref="NND3">GetValue("Dmn","Name",NND2)</f>
        <v/>
      </c>
      <c r="NNE3" s="1" t="str" cm="1">
        <f t="array" ref="NNE3">GetValue("Dmn","Name",NNE2)</f>
        <v/>
      </c>
      <c r="NNF3" s="1" t="str" cm="1">
        <f t="array" ref="NNF3">GetValue("Dmn","Name",NNF2)</f>
        <v/>
      </c>
      <c r="NNG3" s="1" t="str" cm="1">
        <f t="array" ref="NNG3">GetValue("Dmn","Name",NNG2)</f>
        <v/>
      </c>
      <c r="NNH3" s="1" t="str" cm="1">
        <f t="array" ref="NNH3">GetValue("Dmn","Name",NNH2)</f>
        <v/>
      </c>
      <c r="NNI3" s="1" t="str" cm="1">
        <f t="array" ref="NNI3">GetValue("Dmn","Name",NNI2)</f>
        <v/>
      </c>
      <c r="NNJ3" s="1" t="str" cm="1">
        <f t="array" ref="NNJ3">GetValue("Dmn","Name",NNJ2)</f>
        <v/>
      </c>
      <c r="NNK3" s="1" t="str" cm="1">
        <f t="array" ref="NNK3">GetValue("Dmn","Name",NNK2)</f>
        <v/>
      </c>
      <c r="NNL3" s="1" t="str" cm="1">
        <f t="array" ref="NNL3">GetValue("Dmn","Name",NNL2)</f>
        <v/>
      </c>
      <c r="NNM3" s="1" t="str" cm="1">
        <f t="array" ref="NNM3">GetValue("Dmn","Name",NNM2)</f>
        <v/>
      </c>
      <c r="NNN3" s="1" t="str" cm="1">
        <f t="array" ref="NNN3">GetValue("Dmn","Name",NNN2)</f>
        <v/>
      </c>
      <c r="NNO3" s="1" t="str" cm="1">
        <f t="array" ref="NNO3">GetValue("Dmn","Name",NNO2)</f>
        <v/>
      </c>
      <c r="NNP3" s="1" t="str" cm="1">
        <f t="array" ref="NNP3">GetValue("Dmn","Name",NNP2)</f>
        <v/>
      </c>
      <c r="NNQ3" s="1" t="str" cm="1">
        <f t="array" ref="NNQ3">GetValue("Dmn","Name",NNQ2)</f>
        <v/>
      </c>
      <c r="NNR3" s="1" t="str" cm="1">
        <f t="array" ref="NNR3">GetValue("Dmn","Name",NNR2)</f>
        <v/>
      </c>
      <c r="NNS3" s="1" t="str" cm="1">
        <f t="array" ref="NNS3">GetValue("Dmn","Name",NNS2)</f>
        <v/>
      </c>
      <c r="NNT3" s="1" t="str" cm="1">
        <f t="array" ref="NNT3">GetValue("Dmn","Name",NNT2)</f>
        <v/>
      </c>
      <c r="NNU3" s="1" t="str" cm="1">
        <f t="array" ref="NNU3">GetValue("Dmn","Name",NNU2)</f>
        <v/>
      </c>
      <c r="NNV3" s="1" t="str" cm="1">
        <f t="array" ref="NNV3">GetValue("Dmn","Name",NNV2)</f>
        <v/>
      </c>
      <c r="NNW3" s="1" t="str" cm="1">
        <f t="array" ref="NNW3">GetValue("Dmn","Name",NNW2)</f>
        <v/>
      </c>
      <c r="NNX3" s="1" t="str" cm="1">
        <f t="array" ref="NNX3">GetValue("Dmn","Name",NNX2)</f>
        <v/>
      </c>
      <c r="NNY3" s="1" t="str" cm="1">
        <f t="array" ref="NNY3">GetValue("Dmn","Name",NNY2)</f>
        <v/>
      </c>
      <c r="NNZ3" s="1" t="str" cm="1">
        <f t="array" ref="NNZ3">GetValue("Dmn","Name",NNZ2)</f>
        <v/>
      </c>
      <c r="NOA3" s="1" t="str" cm="1">
        <f t="array" ref="NOA3">GetValue("Dmn","Name",NOA2)</f>
        <v/>
      </c>
      <c r="NOB3" s="1" t="str" cm="1">
        <f t="array" ref="NOB3">GetValue("Dmn","Name",NOB2)</f>
        <v/>
      </c>
      <c r="NOC3" s="1" t="str" cm="1">
        <f t="array" ref="NOC3">GetValue("Dmn","Name",NOC2)</f>
        <v/>
      </c>
      <c r="NOD3" s="1" t="str" cm="1">
        <f t="array" ref="NOD3">GetValue("Dmn","Name",NOD2)</f>
        <v/>
      </c>
      <c r="NOE3" s="1" t="str" cm="1">
        <f t="array" ref="NOE3">GetValue("Dmn","Name",NOE2)</f>
        <v/>
      </c>
      <c r="NOF3" s="1" t="str" cm="1">
        <f t="array" ref="NOF3">GetValue("Dmn","Name",NOF2)</f>
        <v/>
      </c>
      <c r="NOG3" s="1" t="str" cm="1">
        <f t="array" ref="NOG3">GetValue("Dmn","Name",NOG2)</f>
        <v/>
      </c>
      <c r="NOH3" s="1" t="str" cm="1">
        <f t="array" ref="NOH3">GetValue("Dmn","Name",NOH2)</f>
        <v/>
      </c>
      <c r="NOI3" s="1" t="str" cm="1">
        <f t="array" ref="NOI3">GetValue("Dmn","Name",NOI2)</f>
        <v/>
      </c>
      <c r="NOJ3" s="1" t="str" cm="1">
        <f t="array" ref="NOJ3">GetValue("Dmn","Name",NOJ2)</f>
        <v/>
      </c>
      <c r="NOK3" s="1" t="str" cm="1">
        <f t="array" ref="NOK3">GetValue("Dmn","Name",NOK2)</f>
        <v/>
      </c>
      <c r="NOL3" s="1" t="str" cm="1">
        <f t="array" ref="NOL3">GetValue("Dmn","Name",NOL2)</f>
        <v/>
      </c>
      <c r="NOM3" s="1" t="str" cm="1">
        <f t="array" ref="NOM3">GetValue("Dmn","Name",NOM2)</f>
        <v/>
      </c>
      <c r="NON3" s="1" t="str" cm="1">
        <f t="array" ref="NON3">GetValue("Dmn","Name",NON2)</f>
        <v/>
      </c>
      <c r="NOO3" s="1" t="str" cm="1">
        <f t="array" ref="NOO3">GetValue("Dmn","Name",NOO2)</f>
        <v/>
      </c>
      <c r="NOP3" s="1" t="str" cm="1">
        <f t="array" ref="NOP3">GetValue("Dmn","Name",NOP2)</f>
        <v/>
      </c>
      <c r="NOQ3" s="1" t="str" cm="1">
        <f t="array" ref="NOQ3">GetValue("Dmn","Name",NOQ2)</f>
        <v/>
      </c>
      <c r="NOR3" s="1" t="str" cm="1">
        <f t="array" ref="NOR3">GetValue("Dmn","Name",NOR2)</f>
        <v/>
      </c>
      <c r="NOS3" s="1" t="str" cm="1">
        <f t="array" ref="NOS3">GetValue("Dmn","Name",NOS2)</f>
        <v/>
      </c>
      <c r="NOT3" s="1" t="str" cm="1">
        <f t="array" ref="NOT3">GetValue("Dmn","Name",NOT2)</f>
        <v/>
      </c>
      <c r="NOU3" s="1" t="str" cm="1">
        <f t="array" ref="NOU3">GetValue("Dmn","Name",NOU2)</f>
        <v/>
      </c>
      <c r="NOV3" s="1" t="str" cm="1">
        <f t="array" ref="NOV3">GetValue("Dmn","Name",NOV2)</f>
        <v/>
      </c>
      <c r="NOW3" s="1" t="str" cm="1">
        <f t="array" ref="NOW3">GetValue("Dmn","Name",NOW2)</f>
        <v/>
      </c>
      <c r="NOX3" s="1" t="str" cm="1">
        <f t="array" ref="NOX3">GetValue("Dmn","Name",NOX2)</f>
        <v/>
      </c>
      <c r="NOY3" s="1" t="str" cm="1">
        <f t="array" ref="NOY3">GetValue("Dmn","Name",NOY2)</f>
        <v/>
      </c>
      <c r="NOZ3" s="1" t="str" cm="1">
        <f t="array" ref="NOZ3">GetValue("Dmn","Name",NOZ2)</f>
        <v/>
      </c>
      <c r="NPA3" s="1" t="str" cm="1">
        <f t="array" ref="NPA3">GetValue("Dmn","Name",NPA2)</f>
        <v/>
      </c>
      <c r="NPB3" s="1" t="str" cm="1">
        <f t="array" ref="NPB3">GetValue("Dmn","Name",NPB2)</f>
        <v/>
      </c>
      <c r="NPC3" s="1" t="str" cm="1">
        <f t="array" ref="NPC3">GetValue("Dmn","Name",NPC2)</f>
        <v/>
      </c>
      <c r="NPD3" s="1" t="str" cm="1">
        <f t="array" ref="NPD3">GetValue("Dmn","Name",NPD2)</f>
        <v/>
      </c>
      <c r="NPE3" s="1" t="str" cm="1">
        <f t="array" ref="NPE3">GetValue("Dmn","Name",NPE2)</f>
        <v/>
      </c>
      <c r="NPF3" s="1" t="str" cm="1">
        <f t="array" ref="NPF3">GetValue("Dmn","Name",NPF2)</f>
        <v/>
      </c>
      <c r="NPG3" s="1" t="str" cm="1">
        <f t="array" ref="NPG3">GetValue("Dmn","Name",NPG2)</f>
        <v/>
      </c>
      <c r="NPH3" s="1" t="str" cm="1">
        <f t="array" ref="NPH3">GetValue("Dmn","Name",NPH2)</f>
        <v/>
      </c>
      <c r="NPI3" s="1" t="str" cm="1">
        <f t="array" ref="NPI3">GetValue("Dmn","Name",NPI2)</f>
        <v/>
      </c>
      <c r="NPJ3" s="1" t="str" cm="1">
        <f t="array" ref="NPJ3">GetValue("Dmn","Name",NPJ2)</f>
        <v/>
      </c>
      <c r="NPK3" s="1" t="str" cm="1">
        <f t="array" ref="NPK3">GetValue("Dmn","Name",NPK2)</f>
        <v/>
      </c>
      <c r="NPL3" s="1" t="str" cm="1">
        <f t="array" ref="NPL3">GetValue("Dmn","Name",NPL2)</f>
        <v/>
      </c>
      <c r="NPM3" s="1" t="str" cm="1">
        <f t="array" ref="NPM3">GetValue("Dmn","Name",NPM2)</f>
        <v/>
      </c>
      <c r="NPN3" s="1" t="str" cm="1">
        <f t="array" ref="NPN3">GetValue("Dmn","Name",NPN2)</f>
        <v/>
      </c>
      <c r="NPO3" s="1" t="str" cm="1">
        <f t="array" ref="NPO3">GetValue("Dmn","Name",NPO2)</f>
        <v/>
      </c>
      <c r="NPP3" s="1" t="str" cm="1">
        <f t="array" ref="NPP3">GetValue("Dmn","Name",NPP2)</f>
        <v/>
      </c>
      <c r="NPQ3" s="1" t="str" cm="1">
        <f t="array" ref="NPQ3">GetValue("Dmn","Name",NPQ2)</f>
        <v/>
      </c>
      <c r="NPR3" s="1" t="str" cm="1">
        <f t="array" ref="NPR3">GetValue("Dmn","Name",NPR2)</f>
        <v/>
      </c>
      <c r="NPS3" s="1" t="str" cm="1">
        <f t="array" ref="NPS3">GetValue("Dmn","Name",NPS2)</f>
        <v/>
      </c>
      <c r="NPT3" s="1" t="str" cm="1">
        <f t="array" ref="NPT3">GetValue("Dmn","Name",NPT2)</f>
        <v/>
      </c>
      <c r="NPU3" s="1" t="str" cm="1">
        <f t="array" ref="NPU3">GetValue("Dmn","Name",NPU2)</f>
        <v/>
      </c>
      <c r="NPV3" s="1" t="str" cm="1">
        <f t="array" ref="NPV3">GetValue("Dmn","Name",NPV2)</f>
        <v/>
      </c>
      <c r="NPW3" s="1" t="str" cm="1">
        <f t="array" ref="NPW3">GetValue("Dmn","Name",NPW2)</f>
        <v/>
      </c>
      <c r="NPX3" s="1" t="str" cm="1">
        <f t="array" ref="NPX3">GetValue("Dmn","Name",NPX2)</f>
        <v/>
      </c>
      <c r="NPY3" s="1" t="str" cm="1">
        <f t="array" ref="NPY3">GetValue("Dmn","Name",NPY2)</f>
        <v/>
      </c>
      <c r="NPZ3" s="1" t="str" cm="1">
        <f t="array" ref="NPZ3">GetValue("Dmn","Name",NPZ2)</f>
        <v/>
      </c>
      <c r="NQA3" s="1" t="str" cm="1">
        <f t="array" ref="NQA3">GetValue("Dmn","Name",NQA2)</f>
        <v/>
      </c>
      <c r="NQB3" s="1" t="str" cm="1">
        <f t="array" ref="NQB3">GetValue("Dmn","Name",NQB2)</f>
        <v/>
      </c>
      <c r="NQC3" s="1" t="str" cm="1">
        <f t="array" ref="NQC3">GetValue("Dmn","Name",NQC2)</f>
        <v/>
      </c>
      <c r="NQD3" s="1" t="str" cm="1">
        <f t="array" ref="NQD3">GetValue("Dmn","Name",NQD2)</f>
        <v/>
      </c>
      <c r="NQE3" s="1" t="str" cm="1">
        <f t="array" ref="NQE3">GetValue("Dmn","Name",NQE2)</f>
        <v/>
      </c>
      <c r="NQF3" s="1" t="str" cm="1">
        <f t="array" ref="NQF3">GetValue("Dmn","Name",NQF2)</f>
        <v/>
      </c>
      <c r="NQG3" s="1" t="str" cm="1">
        <f t="array" ref="NQG3">GetValue("Dmn","Name",NQG2)</f>
        <v/>
      </c>
      <c r="NQH3" s="1" t="str" cm="1">
        <f t="array" ref="NQH3">GetValue("Dmn","Name",NQH2)</f>
        <v/>
      </c>
      <c r="NQI3" s="1" t="str" cm="1">
        <f t="array" ref="NQI3">GetValue("Dmn","Name",NQI2)</f>
        <v/>
      </c>
      <c r="NQJ3" s="1" t="str" cm="1">
        <f t="array" ref="NQJ3">GetValue("Dmn","Name",NQJ2)</f>
        <v/>
      </c>
      <c r="NQK3" s="1" t="str" cm="1">
        <f t="array" ref="NQK3">GetValue("Dmn","Name",NQK2)</f>
        <v/>
      </c>
      <c r="NQL3" s="1" t="str" cm="1">
        <f t="array" ref="NQL3">GetValue("Dmn","Name",NQL2)</f>
        <v/>
      </c>
      <c r="NQM3" s="1" t="str" cm="1">
        <f t="array" ref="NQM3">GetValue("Dmn","Name",NQM2)</f>
        <v/>
      </c>
      <c r="NQN3" s="1" t="str" cm="1">
        <f t="array" ref="NQN3">GetValue("Dmn","Name",NQN2)</f>
        <v/>
      </c>
      <c r="NQO3" s="1" t="str" cm="1">
        <f t="array" ref="NQO3">GetValue("Dmn","Name",NQO2)</f>
        <v/>
      </c>
      <c r="NQP3" s="1" t="str" cm="1">
        <f t="array" ref="NQP3">GetValue("Dmn","Name",NQP2)</f>
        <v/>
      </c>
      <c r="NQQ3" s="1" t="str" cm="1">
        <f t="array" ref="NQQ3">GetValue("Dmn","Name",NQQ2)</f>
        <v/>
      </c>
      <c r="NQR3" s="1" t="str" cm="1">
        <f t="array" ref="NQR3">GetValue("Dmn","Name",NQR2)</f>
        <v/>
      </c>
      <c r="NQS3" s="1" t="str" cm="1">
        <f t="array" ref="NQS3">GetValue("Dmn","Name",NQS2)</f>
        <v/>
      </c>
      <c r="NQT3" s="1" t="str" cm="1">
        <f t="array" ref="NQT3">GetValue("Dmn","Name",NQT2)</f>
        <v/>
      </c>
      <c r="NQU3" s="1" t="str" cm="1">
        <f t="array" ref="NQU3">GetValue("Dmn","Name",NQU2)</f>
        <v/>
      </c>
      <c r="NQV3" s="1" t="str" cm="1">
        <f t="array" ref="NQV3">GetValue("Dmn","Name",NQV2)</f>
        <v/>
      </c>
      <c r="NQW3" s="1" t="str" cm="1">
        <f t="array" ref="NQW3">GetValue("Dmn","Name",NQW2)</f>
        <v/>
      </c>
      <c r="NQX3" s="1" t="str" cm="1">
        <f t="array" ref="NQX3">GetValue("Dmn","Name",NQX2)</f>
        <v/>
      </c>
      <c r="NQY3" s="1" t="str" cm="1">
        <f t="array" ref="NQY3">GetValue("Dmn","Name",NQY2)</f>
        <v/>
      </c>
      <c r="NQZ3" s="1" t="str" cm="1">
        <f t="array" ref="NQZ3">GetValue("Dmn","Name",NQZ2)</f>
        <v/>
      </c>
      <c r="NRA3" s="1" t="str" cm="1">
        <f t="array" ref="NRA3">GetValue("Dmn","Name",NRA2)</f>
        <v/>
      </c>
      <c r="NRB3" s="1" t="str" cm="1">
        <f t="array" ref="NRB3">GetValue("Dmn","Name",NRB2)</f>
        <v/>
      </c>
      <c r="NRC3" s="1" t="str" cm="1">
        <f t="array" ref="NRC3">GetValue("Dmn","Name",NRC2)</f>
        <v/>
      </c>
      <c r="NRD3" s="1" t="str" cm="1">
        <f t="array" ref="NRD3">GetValue("Dmn","Name",NRD2)</f>
        <v/>
      </c>
      <c r="NRE3" s="1" t="str" cm="1">
        <f t="array" ref="NRE3">GetValue("Dmn","Name",NRE2)</f>
        <v/>
      </c>
      <c r="NRF3" s="1" t="str" cm="1">
        <f t="array" ref="NRF3">GetValue("Dmn","Name",NRF2)</f>
        <v/>
      </c>
      <c r="NRG3" s="1" t="str" cm="1">
        <f t="array" ref="NRG3">GetValue("Dmn","Name",NRG2)</f>
        <v/>
      </c>
      <c r="NRH3" s="1" t="str" cm="1">
        <f t="array" ref="NRH3">GetValue("Dmn","Name",NRH2)</f>
        <v/>
      </c>
      <c r="NRI3" s="1" t="str" cm="1">
        <f t="array" ref="NRI3">GetValue("Dmn","Name",NRI2)</f>
        <v/>
      </c>
      <c r="NRJ3" s="1" t="str" cm="1">
        <f t="array" ref="NRJ3">GetValue("Dmn","Name",NRJ2)</f>
        <v/>
      </c>
      <c r="NRK3" s="1" t="str" cm="1">
        <f t="array" ref="NRK3">GetValue("Dmn","Name",NRK2)</f>
        <v/>
      </c>
      <c r="NRL3" s="1" t="str" cm="1">
        <f t="array" ref="NRL3">GetValue("Dmn","Name",NRL2)</f>
        <v/>
      </c>
      <c r="NRM3" s="1" t="str" cm="1">
        <f t="array" ref="NRM3">GetValue("Dmn","Name",NRM2)</f>
        <v/>
      </c>
      <c r="NRN3" s="1" t="str" cm="1">
        <f t="array" ref="NRN3">GetValue("Dmn","Name",NRN2)</f>
        <v/>
      </c>
      <c r="NRO3" s="1" t="str" cm="1">
        <f t="array" ref="NRO3">GetValue("Dmn","Name",NRO2)</f>
        <v/>
      </c>
      <c r="NRP3" s="1" t="str" cm="1">
        <f t="array" ref="NRP3">GetValue("Dmn","Name",NRP2)</f>
        <v/>
      </c>
      <c r="NRQ3" s="1" t="str" cm="1">
        <f t="array" ref="NRQ3">GetValue("Dmn","Name",NRQ2)</f>
        <v/>
      </c>
      <c r="NRR3" s="1" t="str" cm="1">
        <f t="array" ref="NRR3">GetValue("Dmn","Name",NRR2)</f>
        <v/>
      </c>
      <c r="NRS3" s="1" t="str" cm="1">
        <f t="array" ref="NRS3">GetValue("Dmn","Name",NRS2)</f>
        <v/>
      </c>
      <c r="NRT3" s="1" t="str" cm="1">
        <f t="array" ref="NRT3">GetValue("Dmn","Name",NRT2)</f>
        <v/>
      </c>
      <c r="NRU3" s="1" t="str" cm="1">
        <f t="array" ref="NRU3">GetValue("Dmn","Name",NRU2)</f>
        <v/>
      </c>
      <c r="NRV3" s="1" t="str" cm="1">
        <f t="array" ref="NRV3">GetValue("Dmn","Name",NRV2)</f>
        <v/>
      </c>
      <c r="NRW3" s="1" t="str" cm="1">
        <f t="array" ref="NRW3">GetValue("Dmn","Name",NRW2)</f>
        <v/>
      </c>
      <c r="NRX3" s="1" t="str" cm="1">
        <f t="array" ref="NRX3">GetValue("Dmn","Name",NRX2)</f>
        <v/>
      </c>
      <c r="NRY3" s="1" t="str" cm="1">
        <f t="array" ref="NRY3">GetValue("Dmn","Name",NRY2)</f>
        <v/>
      </c>
      <c r="NRZ3" s="1" t="str" cm="1">
        <f t="array" ref="NRZ3">GetValue("Dmn","Name",NRZ2)</f>
        <v/>
      </c>
      <c r="NSA3" s="1" t="str" cm="1">
        <f t="array" ref="NSA3">GetValue("Dmn","Name",NSA2)</f>
        <v/>
      </c>
      <c r="NSB3" s="1" t="str" cm="1">
        <f t="array" ref="NSB3">GetValue("Dmn","Name",NSB2)</f>
        <v/>
      </c>
      <c r="NSC3" s="1" t="str" cm="1">
        <f t="array" ref="NSC3">GetValue("Dmn","Name",NSC2)</f>
        <v/>
      </c>
      <c r="NSD3" s="1" t="str" cm="1">
        <f t="array" ref="NSD3">GetValue("Dmn","Name",NSD2)</f>
        <v/>
      </c>
      <c r="NSE3" s="1" t="str" cm="1">
        <f t="array" ref="NSE3">GetValue("Dmn","Name",NSE2)</f>
        <v/>
      </c>
      <c r="NSF3" s="1" t="str" cm="1">
        <f t="array" ref="NSF3">GetValue("Dmn","Name",NSF2)</f>
        <v/>
      </c>
      <c r="NSG3" s="1" t="str" cm="1">
        <f t="array" ref="NSG3">GetValue("Dmn","Name",NSG2)</f>
        <v/>
      </c>
      <c r="NSH3" s="1" t="str" cm="1">
        <f t="array" ref="NSH3">GetValue("Dmn","Name",NSH2)</f>
        <v/>
      </c>
      <c r="NSI3" s="1" t="str" cm="1">
        <f t="array" ref="NSI3">GetValue("Dmn","Name",NSI2)</f>
        <v/>
      </c>
      <c r="NSJ3" s="1" t="str" cm="1">
        <f t="array" ref="NSJ3">GetValue("Dmn","Name",NSJ2)</f>
        <v/>
      </c>
      <c r="NSK3" s="1" t="str" cm="1">
        <f t="array" ref="NSK3">GetValue("Dmn","Name",NSK2)</f>
        <v/>
      </c>
      <c r="NSL3" s="1" t="str" cm="1">
        <f t="array" ref="NSL3">GetValue("Dmn","Name",NSL2)</f>
        <v/>
      </c>
      <c r="NSM3" s="1" t="str" cm="1">
        <f t="array" ref="NSM3">GetValue("Dmn","Name",NSM2)</f>
        <v/>
      </c>
      <c r="NSN3" s="1" t="str" cm="1">
        <f t="array" ref="NSN3">GetValue("Dmn","Name",NSN2)</f>
        <v/>
      </c>
      <c r="NSO3" s="1" t="str" cm="1">
        <f t="array" ref="NSO3">GetValue("Dmn","Name",NSO2)</f>
        <v/>
      </c>
      <c r="NSP3" s="1" t="str" cm="1">
        <f t="array" ref="NSP3">GetValue("Dmn","Name",NSP2)</f>
        <v/>
      </c>
      <c r="NSQ3" s="1" t="str" cm="1">
        <f t="array" ref="NSQ3">GetValue("Dmn","Name",NSQ2)</f>
        <v/>
      </c>
      <c r="NSR3" s="1" t="str" cm="1">
        <f t="array" ref="NSR3">GetValue("Dmn","Name",NSR2)</f>
        <v/>
      </c>
      <c r="NSS3" s="1" t="str" cm="1">
        <f t="array" ref="NSS3">GetValue("Dmn","Name",NSS2)</f>
        <v/>
      </c>
      <c r="NST3" s="1" t="str" cm="1">
        <f t="array" ref="NST3">GetValue("Dmn","Name",NST2)</f>
        <v/>
      </c>
      <c r="NSU3" s="1" t="str" cm="1">
        <f t="array" ref="NSU3">GetValue("Dmn","Name",NSU2)</f>
        <v/>
      </c>
      <c r="NSV3" s="1" t="str" cm="1">
        <f t="array" ref="NSV3">GetValue("Dmn","Name",NSV2)</f>
        <v/>
      </c>
      <c r="NSW3" s="1" t="str" cm="1">
        <f t="array" ref="NSW3">GetValue("Dmn","Name",NSW2)</f>
        <v/>
      </c>
      <c r="NSX3" s="1" t="str" cm="1">
        <f t="array" ref="NSX3">GetValue("Dmn","Name",NSX2)</f>
        <v/>
      </c>
      <c r="NSY3" s="1" t="str" cm="1">
        <f t="array" ref="NSY3">GetValue("Dmn","Name",NSY2)</f>
        <v/>
      </c>
      <c r="NSZ3" s="1" t="str" cm="1">
        <f t="array" ref="NSZ3">GetValue("Dmn","Name",NSZ2)</f>
        <v/>
      </c>
      <c r="NTA3" s="1" t="str" cm="1">
        <f t="array" ref="NTA3">GetValue("Dmn","Name",NTA2)</f>
        <v/>
      </c>
      <c r="NTB3" s="1" t="str" cm="1">
        <f t="array" ref="NTB3">GetValue("Dmn","Name",NTB2)</f>
        <v/>
      </c>
      <c r="NTC3" s="1" t="str" cm="1">
        <f t="array" ref="NTC3">GetValue("Dmn","Name",NTC2)</f>
        <v/>
      </c>
      <c r="NTD3" s="1" t="str" cm="1">
        <f t="array" ref="NTD3">GetValue("Dmn","Name",NTD2)</f>
        <v/>
      </c>
      <c r="NTE3" s="1" t="str" cm="1">
        <f t="array" ref="NTE3">GetValue("Dmn","Name",NTE2)</f>
        <v/>
      </c>
      <c r="NTF3" s="1" t="str" cm="1">
        <f t="array" ref="NTF3">GetValue("Dmn","Name",NTF2)</f>
        <v/>
      </c>
      <c r="NTG3" s="1" t="str" cm="1">
        <f t="array" ref="NTG3">GetValue("Dmn","Name",NTG2)</f>
        <v/>
      </c>
      <c r="NTH3" s="1" t="str" cm="1">
        <f t="array" ref="NTH3">GetValue("Dmn","Name",NTH2)</f>
        <v/>
      </c>
      <c r="NTI3" s="1" t="str" cm="1">
        <f t="array" ref="NTI3">GetValue("Dmn","Name",NTI2)</f>
        <v/>
      </c>
      <c r="NTJ3" s="1" t="str" cm="1">
        <f t="array" ref="NTJ3">GetValue("Dmn","Name",NTJ2)</f>
        <v/>
      </c>
      <c r="NTK3" s="1" t="str" cm="1">
        <f t="array" ref="NTK3">GetValue("Dmn","Name",NTK2)</f>
        <v/>
      </c>
      <c r="NTL3" s="1" t="str" cm="1">
        <f t="array" ref="NTL3">GetValue("Dmn","Name",NTL2)</f>
        <v/>
      </c>
      <c r="NTM3" s="1" t="str" cm="1">
        <f t="array" ref="NTM3">GetValue("Dmn","Name",NTM2)</f>
        <v/>
      </c>
      <c r="NTN3" s="1" t="str" cm="1">
        <f t="array" ref="NTN3">GetValue("Dmn","Name",NTN2)</f>
        <v/>
      </c>
      <c r="NTO3" s="1" t="str" cm="1">
        <f t="array" ref="NTO3">GetValue("Dmn","Name",NTO2)</f>
        <v/>
      </c>
      <c r="NTP3" s="1" t="str" cm="1">
        <f t="array" ref="NTP3">GetValue("Dmn","Name",NTP2)</f>
        <v/>
      </c>
      <c r="NTQ3" s="1" t="str" cm="1">
        <f t="array" ref="NTQ3">GetValue("Dmn","Name",NTQ2)</f>
        <v/>
      </c>
      <c r="NTR3" s="1" t="str" cm="1">
        <f t="array" ref="NTR3">GetValue("Dmn","Name",NTR2)</f>
        <v/>
      </c>
      <c r="NTS3" s="1" t="str" cm="1">
        <f t="array" ref="NTS3">GetValue("Dmn","Name",NTS2)</f>
        <v/>
      </c>
      <c r="NTT3" s="1" t="str" cm="1">
        <f t="array" ref="NTT3">GetValue("Dmn","Name",NTT2)</f>
        <v/>
      </c>
      <c r="NTU3" s="1" t="str" cm="1">
        <f t="array" ref="NTU3">GetValue("Dmn","Name",NTU2)</f>
        <v/>
      </c>
      <c r="NTV3" s="1" t="str" cm="1">
        <f t="array" ref="NTV3">GetValue("Dmn","Name",NTV2)</f>
        <v/>
      </c>
      <c r="NTW3" s="1" t="str" cm="1">
        <f t="array" ref="NTW3">GetValue("Dmn","Name",NTW2)</f>
        <v/>
      </c>
      <c r="NTX3" s="1" t="str" cm="1">
        <f t="array" ref="NTX3">GetValue("Dmn","Name",NTX2)</f>
        <v/>
      </c>
      <c r="NTY3" s="1" t="str" cm="1">
        <f t="array" ref="NTY3">GetValue("Dmn","Name",NTY2)</f>
        <v/>
      </c>
      <c r="NTZ3" s="1" t="str" cm="1">
        <f t="array" ref="NTZ3">GetValue("Dmn","Name",NTZ2)</f>
        <v/>
      </c>
      <c r="NUA3" s="1" t="str" cm="1">
        <f t="array" ref="NUA3">GetValue("Dmn","Name",NUA2)</f>
        <v/>
      </c>
      <c r="NUB3" s="1" t="str" cm="1">
        <f t="array" ref="NUB3">GetValue("Dmn","Name",NUB2)</f>
        <v/>
      </c>
      <c r="NUC3" s="1" t="str" cm="1">
        <f t="array" ref="NUC3">GetValue("Dmn","Name",NUC2)</f>
        <v/>
      </c>
      <c r="NUD3" s="1" t="str" cm="1">
        <f t="array" ref="NUD3">GetValue("Dmn","Name",NUD2)</f>
        <v/>
      </c>
      <c r="NUE3" s="1" t="str" cm="1">
        <f t="array" ref="NUE3">GetValue("Dmn","Name",NUE2)</f>
        <v/>
      </c>
      <c r="NUF3" s="1" t="str" cm="1">
        <f t="array" ref="NUF3">GetValue("Dmn","Name",NUF2)</f>
        <v/>
      </c>
      <c r="NUG3" s="1" t="str" cm="1">
        <f t="array" ref="NUG3">GetValue("Dmn","Name",NUG2)</f>
        <v/>
      </c>
      <c r="NUH3" s="1" t="str" cm="1">
        <f t="array" ref="NUH3">GetValue("Dmn","Name",NUH2)</f>
        <v/>
      </c>
      <c r="NUI3" s="1" t="str" cm="1">
        <f t="array" ref="NUI3">GetValue("Dmn","Name",NUI2)</f>
        <v/>
      </c>
      <c r="NUJ3" s="1" t="str" cm="1">
        <f t="array" ref="NUJ3">GetValue("Dmn","Name",NUJ2)</f>
        <v/>
      </c>
      <c r="NUK3" s="1" t="str" cm="1">
        <f t="array" ref="NUK3">GetValue("Dmn","Name",NUK2)</f>
        <v/>
      </c>
      <c r="NUL3" s="1" t="str" cm="1">
        <f t="array" ref="NUL3">GetValue("Dmn","Name",NUL2)</f>
        <v/>
      </c>
      <c r="NUM3" s="1" t="str" cm="1">
        <f t="array" ref="NUM3">GetValue("Dmn","Name",NUM2)</f>
        <v/>
      </c>
      <c r="NUN3" s="1" t="str" cm="1">
        <f t="array" ref="NUN3">GetValue("Dmn","Name",NUN2)</f>
        <v/>
      </c>
      <c r="NUO3" s="1" t="str" cm="1">
        <f t="array" ref="NUO3">GetValue("Dmn","Name",NUO2)</f>
        <v/>
      </c>
      <c r="NUP3" s="1" t="str" cm="1">
        <f t="array" ref="NUP3">GetValue("Dmn","Name",NUP2)</f>
        <v/>
      </c>
      <c r="NUQ3" s="1" t="str" cm="1">
        <f t="array" ref="NUQ3">GetValue("Dmn","Name",NUQ2)</f>
        <v/>
      </c>
      <c r="NUR3" s="1" t="str" cm="1">
        <f t="array" ref="NUR3">GetValue("Dmn","Name",NUR2)</f>
        <v/>
      </c>
      <c r="NUS3" s="1" t="str" cm="1">
        <f t="array" ref="NUS3">GetValue("Dmn","Name",NUS2)</f>
        <v/>
      </c>
      <c r="NUT3" s="1" t="str" cm="1">
        <f t="array" ref="NUT3">GetValue("Dmn","Name",NUT2)</f>
        <v/>
      </c>
      <c r="NUU3" s="1" t="str" cm="1">
        <f t="array" ref="NUU3">GetValue("Dmn","Name",NUU2)</f>
        <v/>
      </c>
      <c r="NUV3" s="1" t="str" cm="1">
        <f t="array" ref="NUV3">GetValue("Dmn","Name",NUV2)</f>
        <v/>
      </c>
      <c r="NUW3" s="1" t="str" cm="1">
        <f t="array" ref="NUW3">GetValue("Dmn","Name",NUW2)</f>
        <v/>
      </c>
      <c r="NUX3" s="1" t="str" cm="1">
        <f t="array" ref="NUX3">GetValue("Dmn","Name",NUX2)</f>
        <v/>
      </c>
      <c r="NUY3" s="1" t="str" cm="1">
        <f t="array" ref="NUY3">GetValue("Dmn","Name",NUY2)</f>
        <v/>
      </c>
      <c r="NUZ3" s="1" t="str" cm="1">
        <f t="array" ref="NUZ3">GetValue("Dmn","Name",NUZ2)</f>
        <v/>
      </c>
      <c r="NVA3" s="1" t="str" cm="1">
        <f t="array" ref="NVA3">GetValue("Dmn","Name",NVA2)</f>
        <v/>
      </c>
      <c r="NVB3" s="1" t="str" cm="1">
        <f t="array" ref="NVB3">GetValue("Dmn","Name",NVB2)</f>
        <v/>
      </c>
      <c r="NVC3" s="1" t="str" cm="1">
        <f t="array" ref="NVC3">GetValue("Dmn","Name",NVC2)</f>
        <v/>
      </c>
      <c r="NVD3" s="1" t="str" cm="1">
        <f t="array" ref="NVD3">GetValue("Dmn","Name",NVD2)</f>
        <v/>
      </c>
      <c r="NVE3" s="1" t="str" cm="1">
        <f t="array" ref="NVE3">GetValue("Dmn","Name",NVE2)</f>
        <v/>
      </c>
      <c r="NVF3" s="1" t="str" cm="1">
        <f t="array" ref="NVF3">GetValue("Dmn","Name",NVF2)</f>
        <v/>
      </c>
      <c r="NVG3" s="1" t="str" cm="1">
        <f t="array" ref="NVG3">GetValue("Dmn","Name",NVG2)</f>
        <v/>
      </c>
      <c r="NVH3" s="1" t="str" cm="1">
        <f t="array" ref="NVH3">GetValue("Dmn","Name",NVH2)</f>
        <v/>
      </c>
      <c r="NVI3" s="1" t="str" cm="1">
        <f t="array" ref="NVI3">GetValue("Dmn","Name",NVI2)</f>
        <v/>
      </c>
      <c r="NVJ3" s="1" t="str" cm="1">
        <f t="array" ref="NVJ3">GetValue("Dmn","Name",NVJ2)</f>
        <v/>
      </c>
      <c r="NVK3" s="1" t="str" cm="1">
        <f t="array" ref="NVK3">GetValue("Dmn","Name",NVK2)</f>
        <v/>
      </c>
      <c r="NVL3" s="1" t="str" cm="1">
        <f t="array" ref="NVL3">GetValue("Dmn","Name",NVL2)</f>
        <v/>
      </c>
      <c r="NVM3" s="1" t="str" cm="1">
        <f t="array" ref="NVM3">GetValue("Dmn","Name",NVM2)</f>
        <v/>
      </c>
      <c r="NVN3" s="1" t="str" cm="1">
        <f t="array" ref="NVN3">GetValue("Dmn","Name",NVN2)</f>
        <v/>
      </c>
      <c r="NVO3" s="1" t="str" cm="1">
        <f t="array" ref="NVO3">GetValue("Dmn","Name",NVO2)</f>
        <v/>
      </c>
      <c r="NVP3" s="1" t="str" cm="1">
        <f t="array" ref="NVP3">GetValue("Dmn","Name",NVP2)</f>
        <v/>
      </c>
      <c r="NVQ3" s="1" t="str" cm="1">
        <f t="array" ref="NVQ3">GetValue("Dmn","Name",NVQ2)</f>
        <v/>
      </c>
      <c r="NVR3" s="1" t="str" cm="1">
        <f t="array" ref="NVR3">GetValue("Dmn","Name",NVR2)</f>
        <v/>
      </c>
      <c r="NVS3" s="1" t="str" cm="1">
        <f t="array" ref="NVS3">GetValue("Dmn","Name",NVS2)</f>
        <v/>
      </c>
      <c r="NVT3" s="1" t="str" cm="1">
        <f t="array" ref="NVT3">GetValue("Dmn","Name",NVT2)</f>
        <v/>
      </c>
      <c r="NVU3" s="1" t="str" cm="1">
        <f t="array" ref="NVU3">GetValue("Dmn","Name",NVU2)</f>
        <v/>
      </c>
      <c r="NVV3" s="1" t="str" cm="1">
        <f t="array" ref="NVV3">GetValue("Dmn","Name",NVV2)</f>
        <v/>
      </c>
      <c r="NVW3" s="1" t="str" cm="1">
        <f t="array" ref="NVW3">GetValue("Dmn","Name",NVW2)</f>
        <v/>
      </c>
      <c r="NVX3" s="1" t="str" cm="1">
        <f t="array" ref="NVX3">GetValue("Dmn","Name",NVX2)</f>
        <v/>
      </c>
      <c r="NVY3" s="1" t="str" cm="1">
        <f t="array" ref="NVY3">GetValue("Dmn","Name",NVY2)</f>
        <v/>
      </c>
      <c r="NVZ3" s="1" t="str" cm="1">
        <f t="array" ref="NVZ3">GetValue("Dmn","Name",NVZ2)</f>
        <v/>
      </c>
      <c r="NWA3" s="1" t="str" cm="1">
        <f t="array" ref="NWA3">GetValue("Dmn","Name",NWA2)</f>
        <v/>
      </c>
      <c r="NWB3" s="1" t="str" cm="1">
        <f t="array" ref="NWB3">GetValue("Dmn","Name",NWB2)</f>
        <v/>
      </c>
      <c r="NWC3" s="1" t="str" cm="1">
        <f t="array" ref="NWC3">GetValue("Dmn","Name",NWC2)</f>
        <v/>
      </c>
      <c r="NWD3" s="1" t="str" cm="1">
        <f t="array" ref="NWD3">GetValue("Dmn","Name",NWD2)</f>
        <v/>
      </c>
      <c r="NWE3" s="1" t="str" cm="1">
        <f t="array" ref="NWE3">GetValue("Dmn","Name",NWE2)</f>
        <v/>
      </c>
      <c r="NWF3" s="1" t="str" cm="1">
        <f t="array" ref="NWF3">GetValue("Dmn","Name",NWF2)</f>
        <v/>
      </c>
      <c r="NWG3" s="1" t="str" cm="1">
        <f t="array" ref="NWG3">GetValue("Dmn","Name",NWG2)</f>
        <v/>
      </c>
      <c r="NWH3" s="1" t="str" cm="1">
        <f t="array" ref="NWH3">GetValue("Dmn","Name",NWH2)</f>
        <v/>
      </c>
      <c r="NWI3" s="1" t="str" cm="1">
        <f t="array" ref="NWI3">GetValue("Dmn","Name",NWI2)</f>
        <v/>
      </c>
      <c r="NWJ3" s="1" t="str" cm="1">
        <f t="array" ref="NWJ3">GetValue("Dmn","Name",NWJ2)</f>
        <v/>
      </c>
      <c r="NWK3" s="1" t="str" cm="1">
        <f t="array" ref="NWK3">GetValue("Dmn","Name",NWK2)</f>
        <v/>
      </c>
      <c r="NWL3" s="1" t="str" cm="1">
        <f t="array" ref="NWL3">GetValue("Dmn","Name",NWL2)</f>
        <v/>
      </c>
      <c r="NWM3" s="1" t="str" cm="1">
        <f t="array" ref="NWM3">GetValue("Dmn","Name",NWM2)</f>
        <v/>
      </c>
      <c r="NWN3" s="1" t="str" cm="1">
        <f t="array" ref="NWN3">GetValue("Dmn","Name",NWN2)</f>
        <v/>
      </c>
      <c r="NWO3" s="1" t="str" cm="1">
        <f t="array" ref="NWO3">GetValue("Dmn","Name",NWO2)</f>
        <v/>
      </c>
      <c r="NWP3" s="1" t="str" cm="1">
        <f t="array" ref="NWP3">GetValue("Dmn","Name",NWP2)</f>
        <v/>
      </c>
      <c r="NWQ3" s="1" t="str" cm="1">
        <f t="array" ref="NWQ3">GetValue("Dmn","Name",NWQ2)</f>
        <v/>
      </c>
      <c r="NWR3" s="1" t="str" cm="1">
        <f t="array" ref="NWR3">GetValue("Dmn","Name",NWR2)</f>
        <v/>
      </c>
      <c r="NWS3" s="1" t="str" cm="1">
        <f t="array" ref="NWS3">GetValue("Dmn","Name",NWS2)</f>
        <v/>
      </c>
      <c r="NWT3" s="1" t="str" cm="1">
        <f t="array" ref="NWT3">GetValue("Dmn","Name",NWT2)</f>
        <v/>
      </c>
      <c r="NWU3" s="1" t="str" cm="1">
        <f t="array" ref="NWU3">GetValue("Dmn","Name",NWU2)</f>
        <v/>
      </c>
      <c r="NWV3" s="1" t="str" cm="1">
        <f t="array" ref="NWV3">GetValue("Dmn","Name",NWV2)</f>
        <v/>
      </c>
      <c r="NWW3" s="1" t="str" cm="1">
        <f t="array" ref="NWW3">GetValue("Dmn","Name",NWW2)</f>
        <v/>
      </c>
      <c r="NWX3" s="1" t="str" cm="1">
        <f t="array" ref="NWX3">GetValue("Dmn","Name",NWX2)</f>
        <v/>
      </c>
      <c r="NWY3" s="1" t="str" cm="1">
        <f t="array" ref="NWY3">GetValue("Dmn","Name",NWY2)</f>
        <v/>
      </c>
      <c r="NWZ3" s="1" t="str" cm="1">
        <f t="array" ref="NWZ3">GetValue("Dmn","Name",NWZ2)</f>
        <v/>
      </c>
      <c r="NXA3" s="1" t="str" cm="1">
        <f t="array" ref="NXA3">GetValue("Dmn","Name",NXA2)</f>
        <v/>
      </c>
      <c r="NXB3" s="1" t="str" cm="1">
        <f t="array" ref="NXB3">GetValue("Dmn","Name",NXB2)</f>
        <v/>
      </c>
      <c r="NXC3" s="1" t="str" cm="1">
        <f t="array" ref="NXC3">GetValue("Dmn","Name",NXC2)</f>
        <v/>
      </c>
      <c r="NXD3" s="1" t="str" cm="1">
        <f t="array" ref="NXD3">GetValue("Dmn","Name",NXD2)</f>
        <v/>
      </c>
      <c r="NXE3" s="1" t="str" cm="1">
        <f t="array" ref="NXE3">GetValue("Dmn","Name",NXE2)</f>
        <v/>
      </c>
      <c r="NXF3" s="1" t="str" cm="1">
        <f t="array" ref="NXF3">GetValue("Dmn","Name",NXF2)</f>
        <v/>
      </c>
      <c r="NXG3" s="1" t="str" cm="1">
        <f t="array" ref="NXG3">GetValue("Dmn","Name",NXG2)</f>
        <v/>
      </c>
      <c r="NXH3" s="1" t="str" cm="1">
        <f t="array" ref="NXH3">GetValue("Dmn","Name",NXH2)</f>
        <v/>
      </c>
      <c r="NXI3" s="1" t="str" cm="1">
        <f t="array" ref="NXI3">GetValue("Dmn","Name",NXI2)</f>
        <v/>
      </c>
      <c r="NXJ3" s="1" t="str" cm="1">
        <f t="array" ref="NXJ3">GetValue("Dmn","Name",NXJ2)</f>
        <v/>
      </c>
      <c r="NXK3" s="1" t="str" cm="1">
        <f t="array" ref="NXK3">GetValue("Dmn","Name",NXK2)</f>
        <v/>
      </c>
      <c r="NXL3" s="1" t="str" cm="1">
        <f t="array" ref="NXL3">GetValue("Dmn","Name",NXL2)</f>
        <v/>
      </c>
      <c r="NXM3" s="1" t="str" cm="1">
        <f t="array" ref="NXM3">GetValue("Dmn","Name",NXM2)</f>
        <v/>
      </c>
      <c r="NXN3" s="1" t="str" cm="1">
        <f t="array" ref="NXN3">GetValue("Dmn","Name",NXN2)</f>
        <v/>
      </c>
      <c r="NXO3" s="1" t="str" cm="1">
        <f t="array" ref="NXO3">GetValue("Dmn","Name",NXO2)</f>
        <v/>
      </c>
      <c r="NXP3" s="1" t="str" cm="1">
        <f t="array" ref="NXP3">GetValue("Dmn","Name",NXP2)</f>
        <v/>
      </c>
      <c r="NXQ3" s="1" t="str" cm="1">
        <f t="array" ref="NXQ3">GetValue("Dmn","Name",NXQ2)</f>
        <v/>
      </c>
      <c r="NXR3" s="1" t="str" cm="1">
        <f t="array" ref="NXR3">GetValue("Dmn","Name",NXR2)</f>
        <v/>
      </c>
      <c r="NXS3" s="1" t="str" cm="1">
        <f t="array" ref="NXS3">GetValue("Dmn","Name",NXS2)</f>
        <v/>
      </c>
      <c r="NXT3" s="1" t="str" cm="1">
        <f t="array" ref="NXT3">GetValue("Dmn","Name",NXT2)</f>
        <v/>
      </c>
      <c r="NXU3" s="1" t="str" cm="1">
        <f t="array" ref="NXU3">GetValue("Dmn","Name",NXU2)</f>
        <v/>
      </c>
      <c r="NXV3" s="1" t="str" cm="1">
        <f t="array" ref="NXV3">GetValue("Dmn","Name",NXV2)</f>
        <v/>
      </c>
      <c r="NXW3" s="1" t="str" cm="1">
        <f t="array" ref="NXW3">GetValue("Dmn","Name",NXW2)</f>
        <v/>
      </c>
      <c r="NXX3" s="1" t="str" cm="1">
        <f t="array" ref="NXX3">GetValue("Dmn","Name",NXX2)</f>
        <v/>
      </c>
      <c r="NXY3" s="1" t="str" cm="1">
        <f t="array" ref="NXY3">GetValue("Dmn","Name",NXY2)</f>
        <v/>
      </c>
      <c r="NXZ3" s="1" t="str" cm="1">
        <f t="array" ref="NXZ3">GetValue("Dmn","Name",NXZ2)</f>
        <v/>
      </c>
      <c r="NYA3" s="1" t="str" cm="1">
        <f t="array" ref="NYA3">GetValue("Dmn","Name",NYA2)</f>
        <v/>
      </c>
      <c r="NYB3" s="1" t="str" cm="1">
        <f t="array" ref="NYB3">GetValue("Dmn","Name",NYB2)</f>
        <v/>
      </c>
      <c r="NYC3" s="1" t="str" cm="1">
        <f t="array" ref="NYC3">GetValue("Dmn","Name",NYC2)</f>
        <v/>
      </c>
      <c r="NYD3" s="1" t="str" cm="1">
        <f t="array" ref="NYD3">GetValue("Dmn","Name",NYD2)</f>
        <v/>
      </c>
      <c r="NYE3" s="1" t="str" cm="1">
        <f t="array" ref="NYE3">GetValue("Dmn","Name",NYE2)</f>
        <v/>
      </c>
      <c r="NYF3" s="1" t="str" cm="1">
        <f t="array" ref="NYF3">GetValue("Dmn","Name",NYF2)</f>
        <v/>
      </c>
      <c r="NYG3" s="1" t="str" cm="1">
        <f t="array" ref="NYG3">GetValue("Dmn","Name",NYG2)</f>
        <v/>
      </c>
      <c r="NYH3" s="1" t="str" cm="1">
        <f t="array" ref="NYH3">GetValue("Dmn","Name",NYH2)</f>
        <v/>
      </c>
      <c r="NYI3" s="1" t="str" cm="1">
        <f t="array" ref="NYI3">GetValue("Dmn","Name",NYI2)</f>
        <v/>
      </c>
      <c r="NYJ3" s="1" t="str" cm="1">
        <f t="array" ref="NYJ3">GetValue("Dmn","Name",NYJ2)</f>
        <v/>
      </c>
      <c r="NYK3" s="1" t="str" cm="1">
        <f t="array" ref="NYK3">GetValue("Dmn","Name",NYK2)</f>
        <v/>
      </c>
      <c r="NYL3" s="1" t="str" cm="1">
        <f t="array" ref="NYL3">GetValue("Dmn","Name",NYL2)</f>
        <v/>
      </c>
      <c r="NYM3" s="1" t="str" cm="1">
        <f t="array" ref="NYM3">GetValue("Dmn","Name",NYM2)</f>
        <v/>
      </c>
      <c r="NYN3" s="1" t="str" cm="1">
        <f t="array" ref="NYN3">GetValue("Dmn","Name",NYN2)</f>
        <v/>
      </c>
      <c r="NYO3" s="1" t="str" cm="1">
        <f t="array" ref="NYO3">GetValue("Dmn","Name",NYO2)</f>
        <v/>
      </c>
      <c r="NYP3" s="1" t="str" cm="1">
        <f t="array" ref="NYP3">GetValue("Dmn","Name",NYP2)</f>
        <v/>
      </c>
      <c r="NYQ3" s="1" t="str" cm="1">
        <f t="array" ref="NYQ3">GetValue("Dmn","Name",NYQ2)</f>
        <v/>
      </c>
      <c r="NYR3" s="1" t="str" cm="1">
        <f t="array" ref="NYR3">GetValue("Dmn","Name",NYR2)</f>
        <v/>
      </c>
      <c r="NYS3" s="1" t="str" cm="1">
        <f t="array" ref="NYS3">GetValue("Dmn","Name",NYS2)</f>
        <v/>
      </c>
      <c r="NYT3" s="1" t="str" cm="1">
        <f t="array" ref="NYT3">GetValue("Dmn","Name",NYT2)</f>
        <v/>
      </c>
      <c r="NYU3" s="1" t="str" cm="1">
        <f t="array" ref="NYU3">GetValue("Dmn","Name",NYU2)</f>
        <v/>
      </c>
      <c r="NYV3" s="1" t="str" cm="1">
        <f t="array" ref="NYV3">GetValue("Dmn","Name",NYV2)</f>
        <v/>
      </c>
      <c r="NYW3" s="1" t="str" cm="1">
        <f t="array" ref="NYW3">GetValue("Dmn","Name",NYW2)</f>
        <v/>
      </c>
      <c r="NYX3" s="1" t="str" cm="1">
        <f t="array" ref="NYX3">GetValue("Dmn","Name",NYX2)</f>
        <v/>
      </c>
      <c r="NYY3" s="1" t="str" cm="1">
        <f t="array" ref="NYY3">GetValue("Dmn","Name",NYY2)</f>
        <v/>
      </c>
      <c r="NYZ3" s="1" t="str" cm="1">
        <f t="array" ref="NYZ3">GetValue("Dmn","Name",NYZ2)</f>
        <v/>
      </c>
      <c r="NZA3" s="1" t="str" cm="1">
        <f t="array" ref="NZA3">GetValue("Dmn","Name",NZA2)</f>
        <v/>
      </c>
      <c r="NZB3" s="1" t="str" cm="1">
        <f t="array" ref="NZB3">GetValue("Dmn","Name",NZB2)</f>
        <v/>
      </c>
      <c r="NZC3" s="1" t="str" cm="1">
        <f t="array" ref="NZC3">GetValue("Dmn","Name",NZC2)</f>
        <v/>
      </c>
      <c r="NZD3" s="1" t="str" cm="1">
        <f t="array" ref="NZD3">GetValue("Dmn","Name",NZD2)</f>
        <v/>
      </c>
      <c r="NZE3" s="1" t="str" cm="1">
        <f t="array" ref="NZE3">GetValue("Dmn","Name",NZE2)</f>
        <v/>
      </c>
      <c r="NZF3" s="1" t="str" cm="1">
        <f t="array" ref="NZF3">GetValue("Dmn","Name",NZF2)</f>
        <v/>
      </c>
      <c r="NZG3" s="1" t="str" cm="1">
        <f t="array" ref="NZG3">GetValue("Dmn","Name",NZG2)</f>
        <v/>
      </c>
      <c r="NZH3" s="1" t="str" cm="1">
        <f t="array" ref="NZH3">GetValue("Dmn","Name",NZH2)</f>
        <v/>
      </c>
      <c r="NZI3" s="1" t="str" cm="1">
        <f t="array" ref="NZI3">GetValue("Dmn","Name",NZI2)</f>
        <v/>
      </c>
      <c r="NZJ3" s="1" t="str" cm="1">
        <f t="array" ref="NZJ3">GetValue("Dmn","Name",NZJ2)</f>
        <v/>
      </c>
      <c r="NZK3" s="1" t="str" cm="1">
        <f t="array" ref="NZK3">GetValue("Dmn","Name",NZK2)</f>
        <v/>
      </c>
      <c r="NZL3" s="1" t="str" cm="1">
        <f t="array" ref="NZL3">GetValue("Dmn","Name",NZL2)</f>
        <v/>
      </c>
      <c r="NZM3" s="1" t="str" cm="1">
        <f t="array" ref="NZM3">GetValue("Dmn","Name",NZM2)</f>
        <v/>
      </c>
      <c r="NZN3" s="1" t="str" cm="1">
        <f t="array" ref="NZN3">GetValue("Dmn","Name",NZN2)</f>
        <v/>
      </c>
      <c r="NZO3" s="1" t="str" cm="1">
        <f t="array" ref="NZO3">GetValue("Dmn","Name",NZO2)</f>
        <v/>
      </c>
      <c r="NZP3" s="1" t="str" cm="1">
        <f t="array" ref="NZP3">GetValue("Dmn","Name",NZP2)</f>
        <v/>
      </c>
      <c r="NZQ3" s="1" t="str" cm="1">
        <f t="array" ref="NZQ3">GetValue("Dmn","Name",NZQ2)</f>
        <v/>
      </c>
      <c r="NZR3" s="1" t="str" cm="1">
        <f t="array" ref="NZR3">GetValue("Dmn","Name",NZR2)</f>
        <v/>
      </c>
      <c r="NZS3" s="1" t="str" cm="1">
        <f t="array" ref="NZS3">GetValue("Dmn","Name",NZS2)</f>
        <v/>
      </c>
      <c r="NZT3" s="1" t="str" cm="1">
        <f t="array" ref="NZT3">GetValue("Dmn","Name",NZT2)</f>
        <v/>
      </c>
      <c r="NZU3" s="1" t="str" cm="1">
        <f t="array" ref="NZU3">GetValue("Dmn","Name",NZU2)</f>
        <v/>
      </c>
      <c r="NZV3" s="1" t="str" cm="1">
        <f t="array" ref="NZV3">GetValue("Dmn","Name",NZV2)</f>
        <v/>
      </c>
      <c r="NZW3" s="1" t="str" cm="1">
        <f t="array" ref="NZW3">GetValue("Dmn","Name",NZW2)</f>
        <v/>
      </c>
      <c r="NZX3" s="1" t="str" cm="1">
        <f t="array" ref="NZX3">GetValue("Dmn","Name",NZX2)</f>
        <v/>
      </c>
      <c r="NZY3" s="1" t="str" cm="1">
        <f t="array" ref="NZY3">GetValue("Dmn","Name",NZY2)</f>
        <v/>
      </c>
      <c r="NZZ3" s="1" t="str" cm="1">
        <f t="array" ref="NZZ3">GetValue("Dmn","Name",NZZ2)</f>
        <v/>
      </c>
      <c r="OAA3" s="1" t="str" cm="1">
        <f t="array" ref="OAA3">GetValue("Dmn","Name",OAA2)</f>
        <v/>
      </c>
      <c r="OAB3" s="1" t="str" cm="1">
        <f t="array" ref="OAB3">GetValue("Dmn","Name",OAB2)</f>
        <v/>
      </c>
      <c r="OAC3" s="1" t="str" cm="1">
        <f t="array" ref="OAC3">GetValue("Dmn","Name",OAC2)</f>
        <v/>
      </c>
      <c r="OAD3" s="1" t="str" cm="1">
        <f t="array" ref="OAD3">GetValue("Dmn","Name",OAD2)</f>
        <v/>
      </c>
      <c r="OAE3" s="1" t="str" cm="1">
        <f t="array" ref="OAE3">GetValue("Dmn","Name",OAE2)</f>
        <v/>
      </c>
      <c r="OAF3" s="1" t="str" cm="1">
        <f t="array" ref="OAF3">GetValue("Dmn","Name",OAF2)</f>
        <v/>
      </c>
      <c r="OAG3" s="1" t="str" cm="1">
        <f t="array" ref="OAG3">GetValue("Dmn","Name",OAG2)</f>
        <v/>
      </c>
      <c r="OAH3" s="1" t="str" cm="1">
        <f t="array" ref="OAH3">GetValue("Dmn","Name",OAH2)</f>
        <v/>
      </c>
      <c r="OAI3" s="1" t="str" cm="1">
        <f t="array" ref="OAI3">GetValue("Dmn","Name",OAI2)</f>
        <v/>
      </c>
      <c r="OAJ3" s="1" t="str" cm="1">
        <f t="array" ref="OAJ3">GetValue("Dmn","Name",OAJ2)</f>
        <v/>
      </c>
      <c r="OAK3" s="1" t="str" cm="1">
        <f t="array" ref="OAK3">GetValue("Dmn","Name",OAK2)</f>
        <v/>
      </c>
      <c r="OAL3" s="1" t="str" cm="1">
        <f t="array" ref="OAL3">GetValue("Dmn","Name",OAL2)</f>
        <v/>
      </c>
      <c r="OAM3" s="1" t="str" cm="1">
        <f t="array" ref="OAM3">GetValue("Dmn","Name",OAM2)</f>
        <v/>
      </c>
      <c r="OAN3" s="1" t="str" cm="1">
        <f t="array" ref="OAN3">GetValue("Dmn","Name",OAN2)</f>
        <v/>
      </c>
      <c r="OAO3" s="1" t="str" cm="1">
        <f t="array" ref="OAO3">GetValue("Dmn","Name",OAO2)</f>
        <v/>
      </c>
      <c r="OAP3" s="1" t="str" cm="1">
        <f t="array" ref="OAP3">GetValue("Dmn","Name",OAP2)</f>
        <v/>
      </c>
      <c r="OAQ3" s="1" t="str" cm="1">
        <f t="array" ref="OAQ3">GetValue("Dmn","Name",OAQ2)</f>
        <v/>
      </c>
      <c r="OAR3" s="1" t="str" cm="1">
        <f t="array" ref="OAR3">GetValue("Dmn","Name",OAR2)</f>
        <v/>
      </c>
      <c r="OAS3" s="1" t="str" cm="1">
        <f t="array" ref="OAS3">GetValue("Dmn","Name",OAS2)</f>
        <v/>
      </c>
      <c r="OAT3" s="1" t="str" cm="1">
        <f t="array" ref="OAT3">GetValue("Dmn","Name",OAT2)</f>
        <v/>
      </c>
      <c r="OAU3" s="1" t="str" cm="1">
        <f t="array" ref="OAU3">GetValue("Dmn","Name",OAU2)</f>
        <v/>
      </c>
      <c r="OAV3" s="1" t="str" cm="1">
        <f t="array" ref="OAV3">GetValue("Dmn","Name",OAV2)</f>
        <v/>
      </c>
      <c r="OAW3" s="1" t="str" cm="1">
        <f t="array" ref="OAW3">GetValue("Dmn","Name",OAW2)</f>
        <v/>
      </c>
      <c r="OAX3" s="1" t="str" cm="1">
        <f t="array" ref="OAX3">GetValue("Dmn","Name",OAX2)</f>
        <v/>
      </c>
      <c r="OAY3" s="1" t="str" cm="1">
        <f t="array" ref="OAY3">GetValue("Dmn","Name",OAY2)</f>
        <v/>
      </c>
      <c r="OAZ3" s="1" t="str" cm="1">
        <f t="array" ref="OAZ3">GetValue("Dmn","Name",OAZ2)</f>
        <v/>
      </c>
      <c r="OBA3" s="1" t="str" cm="1">
        <f t="array" ref="OBA3">GetValue("Dmn","Name",OBA2)</f>
        <v/>
      </c>
      <c r="OBB3" s="1" t="str" cm="1">
        <f t="array" ref="OBB3">GetValue("Dmn","Name",OBB2)</f>
        <v/>
      </c>
      <c r="OBC3" s="1" t="str" cm="1">
        <f t="array" ref="OBC3">GetValue("Dmn","Name",OBC2)</f>
        <v/>
      </c>
      <c r="OBD3" s="1" t="str" cm="1">
        <f t="array" ref="OBD3">GetValue("Dmn","Name",OBD2)</f>
        <v/>
      </c>
      <c r="OBE3" s="1" t="str" cm="1">
        <f t="array" ref="OBE3">GetValue("Dmn","Name",OBE2)</f>
        <v/>
      </c>
      <c r="OBF3" s="1" t="str" cm="1">
        <f t="array" ref="OBF3">GetValue("Dmn","Name",OBF2)</f>
        <v/>
      </c>
      <c r="OBG3" s="1" t="str" cm="1">
        <f t="array" ref="OBG3">GetValue("Dmn","Name",OBG2)</f>
        <v/>
      </c>
      <c r="OBH3" s="1" t="str" cm="1">
        <f t="array" ref="OBH3">GetValue("Dmn","Name",OBH2)</f>
        <v/>
      </c>
      <c r="OBI3" s="1" t="str" cm="1">
        <f t="array" ref="OBI3">GetValue("Dmn","Name",OBI2)</f>
        <v/>
      </c>
      <c r="OBJ3" s="1" t="str" cm="1">
        <f t="array" ref="OBJ3">GetValue("Dmn","Name",OBJ2)</f>
        <v/>
      </c>
      <c r="OBK3" s="1" t="str" cm="1">
        <f t="array" ref="OBK3">GetValue("Dmn","Name",OBK2)</f>
        <v/>
      </c>
      <c r="OBL3" s="1" t="str" cm="1">
        <f t="array" ref="OBL3">GetValue("Dmn","Name",OBL2)</f>
        <v/>
      </c>
      <c r="OBM3" s="1" t="str" cm="1">
        <f t="array" ref="OBM3">GetValue("Dmn","Name",OBM2)</f>
        <v/>
      </c>
      <c r="OBN3" s="1" t="str" cm="1">
        <f t="array" ref="OBN3">GetValue("Dmn","Name",OBN2)</f>
        <v/>
      </c>
      <c r="OBO3" s="1" t="str" cm="1">
        <f t="array" ref="OBO3">GetValue("Dmn","Name",OBO2)</f>
        <v/>
      </c>
      <c r="OBP3" s="1" t="str" cm="1">
        <f t="array" ref="OBP3">GetValue("Dmn","Name",OBP2)</f>
        <v/>
      </c>
      <c r="OBQ3" s="1" t="str" cm="1">
        <f t="array" ref="OBQ3">GetValue("Dmn","Name",OBQ2)</f>
        <v/>
      </c>
      <c r="OBR3" s="1" t="str" cm="1">
        <f t="array" ref="OBR3">GetValue("Dmn","Name",OBR2)</f>
        <v/>
      </c>
      <c r="OBS3" s="1" t="str" cm="1">
        <f t="array" ref="OBS3">GetValue("Dmn","Name",OBS2)</f>
        <v/>
      </c>
      <c r="OBT3" s="1" t="str" cm="1">
        <f t="array" ref="OBT3">GetValue("Dmn","Name",OBT2)</f>
        <v/>
      </c>
      <c r="OBU3" s="1" t="str" cm="1">
        <f t="array" ref="OBU3">GetValue("Dmn","Name",OBU2)</f>
        <v/>
      </c>
      <c r="OBV3" s="1" t="str" cm="1">
        <f t="array" ref="OBV3">GetValue("Dmn","Name",OBV2)</f>
        <v/>
      </c>
      <c r="OBW3" s="1" t="str" cm="1">
        <f t="array" ref="OBW3">GetValue("Dmn","Name",OBW2)</f>
        <v/>
      </c>
      <c r="OBX3" s="1" t="str" cm="1">
        <f t="array" ref="OBX3">GetValue("Dmn","Name",OBX2)</f>
        <v/>
      </c>
      <c r="OBY3" s="1" t="str" cm="1">
        <f t="array" ref="OBY3">GetValue("Dmn","Name",OBY2)</f>
        <v/>
      </c>
      <c r="OBZ3" s="1" t="str" cm="1">
        <f t="array" ref="OBZ3">GetValue("Dmn","Name",OBZ2)</f>
        <v/>
      </c>
      <c r="OCA3" s="1" t="str" cm="1">
        <f t="array" ref="OCA3">GetValue("Dmn","Name",OCA2)</f>
        <v/>
      </c>
      <c r="OCB3" s="1" t="str" cm="1">
        <f t="array" ref="OCB3">GetValue("Dmn","Name",OCB2)</f>
        <v/>
      </c>
      <c r="OCC3" s="1" t="str" cm="1">
        <f t="array" ref="OCC3">GetValue("Dmn","Name",OCC2)</f>
        <v/>
      </c>
      <c r="OCD3" s="1" t="str" cm="1">
        <f t="array" ref="OCD3">GetValue("Dmn","Name",OCD2)</f>
        <v/>
      </c>
      <c r="OCE3" s="1" t="str" cm="1">
        <f t="array" ref="OCE3">GetValue("Dmn","Name",OCE2)</f>
        <v/>
      </c>
      <c r="OCF3" s="1" t="str" cm="1">
        <f t="array" ref="OCF3">GetValue("Dmn","Name",OCF2)</f>
        <v/>
      </c>
      <c r="OCG3" s="1" t="str" cm="1">
        <f t="array" ref="OCG3">GetValue("Dmn","Name",OCG2)</f>
        <v/>
      </c>
      <c r="OCH3" s="1" t="str" cm="1">
        <f t="array" ref="OCH3">GetValue("Dmn","Name",OCH2)</f>
        <v/>
      </c>
      <c r="OCI3" s="1" t="str" cm="1">
        <f t="array" ref="OCI3">GetValue("Dmn","Name",OCI2)</f>
        <v/>
      </c>
      <c r="OCJ3" s="1" t="str" cm="1">
        <f t="array" ref="OCJ3">GetValue("Dmn","Name",OCJ2)</f>
        <v/>
      </c>
      <c r="OCK3" s="1" t="str" cm="1">
        <f t="array" ref="OCK3">GetValue("Dmn","Name",OCK2)</f>
        <v/>
      </c>
      <c r="OCL3" s="1" t="str" cm="1">
        <f t="array" ref="OCL3">GetValue("Dmn","Name",OCL2)</f>
        <v/>
      </c>
      <c r="OCM3" s="1" t="str" cm="1">
        <f t="array" ref="OCM3">GetValue("Dmn","Name",OCM2)</f>
        <v/>
      </c>
      <c r="OCN3" s="1" t="str" cm="1">
        <f t="array" ref="OCN3">GetValue("Dmn","Name",OCN2)</f>
        <v/>
      </c>
      <c r="OCO3" s="1" t="str" cm="1">
        <f t="array" ref="OCO3">GetValue("Dmn","Name",OCO2)</f>
        <v/>
      </c>
      <c r="OCP3" s="1" t="str" cm="1">
        <f t="array" ref="OCP3">GetValue("Dmn","Name",OCP2)</f>
        <v/>
      </c>
      <c r="OCQ3" s="1" t="str" cm="1">
        <f t="array" ref="OCQ3">GetValue("Dmn","Name",OCQ2)</f>
        <v/>
      </c>
      <c r="OCR3" s="1" t="str" cm="1">
        <f t="array" ref="OCR3">GetValue("Dmn","Name",OCR2)</f>
        <v/>
      </c>
      <c r="OCS3" s="1" t="str" cm="1">
        <f t="array" ref="OCS3">GetValue("Dmn","Name",OCS2)</f>
        <v/>
      </c>
      <c r="OCT3" s="1" t="str" cm="1">
        <f t="array" ref="OCT3">GetValue("Dmn","Name",OCT2)</f>
        <v/>
      </c>
      <c r="OCU3" s="1" t="str" cm="1">
        <f t="array" ref="OCU3">GetValue("Dmn","Name",OCU2)</f>
        <v/>
      </c>
      <c r="OCV3" s="1" t="str" cm="1">
        <f t="array" ref="OCV3">GetValue("Dmn","Name",OCV2)</f>
        <v/>
      </c>
      <c r="OCW3" s="1" t="str" cm="1">
        <f t="array" ref="OCW3">GetValue("Dmn","Name",OCW2)</f>
        <v/>
      </c>
      <c r="OCX3" s="1" t="str" cm="1">
        <f t="array" ref="OCX3">GetValue("Dmn","Name",OCX2)</f>
        <v/>
      </c>
      <c r="OCY3" s="1" t="str" cm="1">
        <f t="array" ref="OCY3">GetValue("Dmn","Name",OCY2)</f>
        <v/>
      </c>
      <c r="OCZ3" s="1" t="str" cm="1">
        <f t="array" ref="OCZ3">GetValue("Dmn","Name",OCZ2)</f>
        <v/>
      </c>
      <c r="ODA3" s="1" t="str" cm="1">
        <f t="array" ref="ODA3">GetValue("Dmn","Name",ODA2)</f>
        <v/>
      </c>
      <c r="ODB3" s="1" t="str" cm="1">
        <f t="array" ref="ODB3">GetValue("Dmn","Name",ODB2)</f>
        <v/>
      </c>
      <c r="ODC3" s="1" t="str" cm="1">
        <f t="array" ref="ODC3">GetValue("Dmn","Name",ODC2)</f>
        <v/>
      </c>
      <c r="ODD3" s="1" t="str" cm="1">
        <f t="array" ref="ODD3">GetValue("Dmn","Name",ODD2)</f>
        <v/>
      </c>
      <c r="ODE3" s="1" t="str" cm="1">
        <f t="array" ref="ODE3">GetValue("Dmn","Name",ODE2)</f>
        <v/>
      </c>
      <c r="ODF3" s="1" t="str" cm="1">
        <f t="array" ref="ODF3">GetValue("Dmn","Name",ODF2)</f>
        <v/>
      </c>
      <c r="ODG3" s="1" t="str" cm="1">
        <f t="array" ref="ODG3">GetValue("Dmn","Name",ODG2)</f>
        <v/>
      </c>
      <c r="ODH3" s="1" t="str" cm="1">
        <f t="array" ref="ODH3">GetValue("Dmn","Name",ODH2)</f>
        <v/>
      </c>
      <c r="ODI3" s="1" t="str" cm="1">
        <f t="array" ref="ODI3">GetValue("Dmn","Name",ODI2)</f>
        <v/>
      </c>
      <c r="ODJ3" s="1" t="str" cm="1">
        <f t="array" ref="ODJ3">GetValue("Dmn","Name",ODJ2)</f>
        <v/>
      </c>
      <c r="ODK3" s="1" t="str" cm="1">
        <f t="array" ref="ODK3">GetValue("Dmn","Name",ODK2)</f>
        <v/>
      </c>
      <c r="ODL3" s="1" t="str" cm="1">
        <f t="array" ref="ODL3">GetValue("Dmn","Name",ODL2)</f>
        <v/>
      </c>
      <c r="ODM3" s="1" t="str" cm="1">
        <f t="array" ref="ODM3">GetValue("Dmn","Name",ODM2)</f>
        <v/>
      </c>
      <c r="ODN3" s="1" t="str" cm="1">
        <f t="array" ref="ODN3">GetValue("Dmn","Name",ODN2)</f>
        <v/>
      </c>
      <c r="ODO3" s="1" t="str" cm="1">
        <f t="array" ref="ODO3">GetValue("Dmn","Name",ODO2)</f>
        <v/>
      </c>
      <c r="ODP3" s="1" t="str" cm="1">
        <f t="array" ref="ODP3">GetValue("Dmn","Name",ODP2)</f>
        <v/>
      </c>
      <c r="ODQ3" s="1" t="str" cm="1">
        <f t="array" ref="ODQ3">GetValue("Dmn","Name",ODQ2)</f>
        <v/>
      </c>
      <c r="ODR3" s="1" t="str" cm="1">
        <f t="array" ref="ODR3">GetValue("Dmn","Name",ODR2)</f>
        <v/>
      </c>
      <c r="ODS3" s="1" t="str" cm="1">
        <f t="array" ref="ODS3">GetValue("Dmn","Name",ODS2)</f>
        <v/>
      </c>
      <c r="ODT3" s="1" t="str" cm="1">
        <f t="array" ref="ODT3">GetValue("Dmn","Name",ODT2)</f>
        <v/>
      </c>
      <c r="ODU3" s="1" t="str" cm="1">
        <f t="array" ref="ODU3">GetValue("Dmn","Name",ODU2)</f>
        <v/>
      </c>
      <c r="ODV3" s="1" t="str" cm="1">
        <f t="array" ref="ODV3">GetValue("Dmn","Name",ODV2)</f>
        <v/>
      </c>
      <c r="ODW3" s="1" t="str" cm="1">
        <f t="array" ref="ODW3">GetValue("Dmn","Name",ODW2)</f>
        <v/>
      </c>
      <c r="ODX3" s="1" t="str" cm="1">
        <f t="array" ref="ODX3">GetValue("Dmn","Name",ODX2)</f>
        <v/>
      </c>
      <c r="ODY3" s="1" t="str" cm="1">
        <f t="array" ref="ODY3">GetValue("Dmn","Name",ODY2)</f>
        <v/>
      </c>
      <c r="ODZ3" s="1" t="str" cm="1">
        <f t="array" ref="ODZ3">GetValue("Dmn","Name",ODZ2)</f>
        <v/>
      </c>
      <c r="OEA3" s="1" t="str" cm="1">
        <f t="array" ref="OEA3">GetValue("Dmn","Name",OEA2)</f>
        <v/>
      </c>
      <c r="OEB3" s="1" t="str" cm="1">
        <f t="array" ref="OEB3">GetValue("Dmn","Name",OEB2)</f>
        <v/>
      </c>
      <c r="OEC3" s="1" t="str" cm="1">
        <f t="array" ref="OEC3">GetValue("Dmn","Name",OEC2)</f>
        <v/>
      </c>
      <c r="OED3" s="1" t="str" cm="1">
        <f t="array" ref="OED3">GetValue("Dmn","Name",OED2)</f>
        <v/>
      </c>
      <c r="OEE3" s="1" t="str" cm="1">
        <f t="array" ref="OEE3">GetValue("Dmn","Name",OEE2)</f>
        <v/>
      </c>
      <c r="OEF3" s="1" t="str" cm="1">
        <f t="array" ref="OEF3">GetValue("Dmn","Name",OEF2)</f>
        <v/>
      </c>
      <c r="OEG3" s="1" t="str" cm="1">
        <f t="array" ref="OEG3">GetValue("Dmn","Name",OEG2)</f>
        <v/>
      </c>
      <c r="OEH3" s="1" t="str" cm="1">
        <f t="array" ref="OEH3">GetValue("Dmn","Name",OEH2)</f>
        <v/>
      </c>
      <c r="OEI3" s="1" t="str" cm="1">
        <f t="array" ref="OEI3">GetValue("Dmn","Name",OEI2)</f>
        <v/>
      </c>
      <c r="OEJ3" s="1" t="str" cm="1">
        <f t="array" ref="OEJ3">GetValue("Dmn","Name",OEJ2)</f>
        <v/>
      </c>
      <c r="OEK3" s="1" t="str" cm="1">
        <f t="array" ref="OEK3">GetValue("Dmn","Name",OEK2)</f>
        <v/>
      </c>
      <c r="OEL3" s="1" t="str" cm="1">
        <f t="array" ref="OEL3">GetValue("Dmn","Name",OEL2)</f>
        <v/>
      </c>
      <c r="OEM3" s="1" t="str" cm="1">
        <f t="array" ref="OEM3">GetValue("Dmn","Name",OEM2)</f>
        <v/>
      </c>
      <c r="OEN3" s="1" t="str" cm="1">
        <f t="array" ref="OEN3">GetValue("Dmn","Name",OEN2)</f>
        <v/>
      </c>
      <c r="OEO3" s="1" t="str" cm="1">
        <f t="array" ref="OEO3">GetValue("Dmn","Name",OEO2)</f>
        <v/>
      </c>
      <c r="OEP3" s="1" t="str" cm="1">
        <f t="array" ref="OEP3">GetValue("Dmn","Name",OEP2)</f>
        <v/>
      </c>
      <c r="OEQ3" s="1" t="str" cm="1">
        <f t="array" ref="OEQ3">GetValue("Dmn","Name",OEQ2)</f>
        <v/>
      </c>
      <c r="OER3" s="1" t="str" cm="1">
        <f t="array" ref="OER3">GetValue("Dmn","Name",OER2)</f>
        <v/>
      </c>
      <c r="OES3" s="1" t="str" cm="1">
        <f t="array" ref="OES3">GetValue("Dmn","Name",OES2)</f>
        <v/>
      </c>
      <c r="OET3" s="1" t="str" cm="1">
        <f t="array" ref="OET3">GetValue("Dmn","Name",OET2)</f>
        <v/>
      </c>
      <c r="OEU3" s="1" t="str" cm="1">
        <f t="array" ref="OEU3">GetValue("Dmn","Name",OEU2)</f>
        <v/>
      </c>
      <c r="OEV3" s="1" t="str" cm="1">
        <f t="array" ref="OEV3">GetValue("Dmn","Name",OEV2)</f>
        <v/>
      </c>
      <c r="OEW3" s="1" t="str" cm="1">
        <f t="array" ref="OEW3">GetValue("Dmn","Name",OEW2)</f>
        <v/>
      </c>
      <c r="OEX3" s="1" t="str" cm="1">
        <f t="array" ref="OEX3">GetValue("Dmn","Name",OEX2)</f>
        <v/>
      </c>
      <c r="OEY3" s="1" t="str" cm="1">
        <f t="array" ref="OEY3">GetValue("Dmn","Name",OEY2)</f>
        <v/>
      </c>
      <c r="OEZ3" s="1" t="str" cm="1">
        <f t="array" ref="OEZ3">GetValue("Dmn","Name",OEZ2)</f>
        <v/>
      </c>
      <c r="OFA3" s="1" t="str" cm="1">
        <f t="array" ref="OFA3">GetValue("Dmn","Name",OFA2)</f>
        <v/>
      </c>
      <c r="OFB3" s="1" t="str" cm="1">
        <f t="array" ref="OFB3">GetValue("Dmn","Name",OFB2)</f>
        <v/>
      </c>
      <c r="OFC3" s="1" t="str" cm="1">
        <f t="array" ref="OFC3">GetValue("Dmn","Name",OFC2)</f>
        <v/>
      </c>
      <c r="OFD3" s="1" t="str" cm="1">
        <f t="array" ref="OFD3">GetValue("Dmn","Name",OFD2)</f>
        <v/>
      </c>
      <c r="OFE3" s="1" t="str" cm="1">
        <f t="array" ref="OFE3">GetValue("Dmn","Name",OFE2)</f>
        <v/>
      </c>
      <c r="OFF3" s="1" t="str" cm="1">
        <f t="array" ref="OFF3">GetValue("Dmn","Name",OFF2)</f>
        <v/>
      </c>
      <c r="OFG3" s="1" t="str" cm="1">
        <f t="array" ref="OFG3">GetValue("Dmn","Name",OFG2)</f>
        <v/>
      </c>
      <c r="OFH3" s="1" t="str" cm="1">
        <f t="array" ref="OFH3">GetValue("Dmn","Name",OFH2)</f>
        <v/>
      </c>
      <c r="OFI3" s="1" t="str" cm="1">
        <f t="array" ref="OFI3">GetValue("Dmn","Name",OFI2)</f>
        <v/>
      </c>
      <c r="OFJ3" s="1" t="str" cm="1">
        <f t="array" ref="OFJ3">GetValue("Dmn","Name",OFJ2)</f>
        <v/>
      </c>
      <c r="OFK3" s="1" t="str" cm="1">
        <f t="array" ref="OFK3">GetValue("Dmn","Name",OFK2)</f>
        <v/>
      </c>
      <c r="OFL3" s="1" t="str" cm="1">
        <f t="array" ref="OFL3">GetValue("Dmn","Name",OFL2)</f>
        <v/>
      </c>
      <c r="OFM3" s="1" t="str" cm="1">
        <f t="array" ref="OFM3">GetValue("Dmn","Name",OFM2)</f>
        <v/>
      </c>
      <c r="OFN3" s="1" t="str" cm="1">
        <f t="array" ref="OFN3">GetValue("Dmn","Name",OFN2)</f>
        <v/>
      </c>
      <c r="OFO3" s="1" t="str" cm="1">
        <f t="array" ref="OFO3">GetValue("Dmn","Name",OFO2)</f>
        <v/>
      </c>
      <c r="OFP3" s="1" t="str" cm="1">
        <f t="array" ref="OFP3">GetValue("Dmn","Name",OFP2)</f>
        <v/>
      </c>
      <c r="OFQ3" s="1" t="str" cm="1">
        <f t="array" ref="OFQ3">GetValue("Dmn","Name",OFQ2)</f>
        <v/>
      </c>
      <c r="OFR3" s="1" t="str" cm="1">
        <f t="array" ref="OFR3">GetValue("Dmn","Name",OFR2)</f>
        <v/>
      </c>
      <c r="OFS3" s="1" t="str" cm="1">
        <f t="array" ref="OFS3">GetValue("Dmn","Name",OFS2)</f>
        <v/>
      </c>
      <c r="OFT3" s="1" t="str" cm="1">
        <f t="array" ref="OFT3">GetValue("Dmn","Name",OFT2)</f>
        <v/>
      </c>
      <c r="OFU3" s="1" t="str" cm="1">
        <f t="array" ref="OFU3">GetValue("Dmn","Name",OFU2)</f>
        <v/>
      </c>
      <c r="OFV3" s="1" t="str" cm="1">
        <f t="array" ref="OFV3">GetValue("Dmn","Name",OFV2)</f>
        <v/>
      </c>
      <c r="OFW3" s="1" t="str" cm="1">
        <f t="array" ref="OFW3">GetValue("Dmn","Name",OFW2)</f>
        <v/>
      </c>
      <c r="OFX3" s="1" t="str" cm="1">
        <f t="array" ref="OFX3">GetValue("Dmn","Name",OFX2)</f>
        <v/>
      </c>
      <c r="OFY3" s="1" t="str" cm="1">
        <f t="array" ref="OFY3">GetValue("Dmn","Name",OFY2)</f>
        <v/>
      </c>
      <c r="OFZ3" s="1" t="str" cm="1">
        <f t="array" ref="OFZ3">GetValue("Dmn","Name",OFZ2)</f>
        <v/>
      </c>
      <c r="OGA3" s="1" t="str" cm="1">
        <f t="array" ref="OGA3">GetValue("Dmn","Name",OGA2)</f>
        <v/>
      </c>
      <c r="OGB3" s="1" t="str" cm="1">
        <f t="array" ref="OGB3">GetValue("Dmn","Name",OGB2)</f>
        <v/>
      </c>
      <c r="OGC3" s="1" t="str" cm="1">
        <f t="array" ref="OGC3">GetValue("Dmn","Name",OGC2)</f>
        <v/>
      </c>
      <c r="OGD3" s="1" t="str" cm="1">
        <f t="array" ref="OGD3">GetValue("Dmn","Name",OGD2)</f>
        <v/>
      </c>
      <c r="OGE3" s="1" t="str" cm="1">
        <f t="array" ref="OGE3">GetValue("Dmn","Name",OGE2)</f>
        <v/>
      </c>
      <c r="OGF3" s="1" t="str" cm="1">
        <f t="array" ref="OGF3">GetValue("Dmn","Name",OGF2)</f>
        <v/>
      </c>
      <c r="OGG3" s="1" t="str" cm="1">
        <f t="array" ref="OGG3">GetValue("Dmn","Name",OGG2)</f>
        <v/>
      </c>
      <c r="OGH3" s="1" t="str" cm="1">
        <f t="array" ref="OGH3">GetValue("Dmn","Name",OGH2)</f>
        <v/>
      </c>
      <c r="OGI3" s="1" t="str" cm="1">
        <f t="array" ref="OGI3">GetValue("Dmn","Name",OGI2)</f>
        <v/>
      </c>
      <c r="OGJ3" s="1" t="str" cm="1">
        <f t="array" ref="OGJ3">GetValue("Dmn","Name",OGJ2)</f>
        <v/>
      </c>
      <c r="OGK3" s="1" t="str" cm="1">
        <f t="array" ref="OGK3">GetValue("Dmn","Name",OGK2)</f>
        <v/>
      </c>
      <c r="OGL3" s="1" t="str" cm="1">
        <f t="array" ref="OGL3">GetValue("Dmn","Name",OGL2)</f>
        <v/>
      </c>
      <c r="OGM3" s="1" t="str" cm="1">
        <f t="array" ref="OGM3">GetValue("Dmn","Name",OGM2)</f>
        <v/>
      </c>
      <c r="OGN3" s="1" t="str" cm="1">
        <f t="array" ref="OGN3">GetValue("Dmn","Name",OGN2)</f>
        <v/>
      </c>
      <c r="OGO3" s="1" t="str" cm="1">
        <f t="array" ref="OGO3">GetValue("Dmn","Name",OGO2)</f>
        <v/>
      </c>
      <c r="OGP3" s="1" t="str" cm="1">
        <f t="array" ref="OGP3">GetValue("Dmn","Name",OGP2)</f>
        <v/>
      </c>
      <c r="OGQ3" s="1" t="str" cm="1">
        <f t="array" ref="OGQ3">GetValue("Dmn","Name",OGQ2)</f>
        <v/>
      </c>
      <c r="OGR3" s="1" t="str" cm="1">
        <f t="array" ref="OGR3">GetValue("Dmn","Name",OGR2)</f>
        <v/>
      </c>
      <c r="OGS3" s="1" t="str" cm="1">
        <f t="array" ref="OGS3">GetValue("Dmn","Name",OGS2)</f>
        <v/>
      </c>
      <c r="OGT3" s="1" t="str" cm="1">
        <f t="array" ref="OGT3">GetValue("Dmn","Name",OGT2)</f>
        <v/>
      </c>
      <c r="OGU3" s="1" t="str" cm="1">
        <f t="array" ref="OGU3">GetValue("Dmn","Name",OGU2)</f>
        <v/>
      </c>
      <c r="OGV3" s="1" t="str" cm="1">
        <f t="array" ref="OGV3">GetValue("Dmn","Name",OGV2)</f>
        <v/>
      </c>
      <c r="OGW3" s="1" t="str" cm="1">
        <f t="array" ref="OGW3">GetValue("Dmn","Name",OGW2)</f>
        <v/>
      </c>
      <c r="OGX3" s="1" t="str" cm="1">
        <f t="array" ref="OGX3">GetValue("Dmn","Name",OGX2)</f>
        <v/>
      </c>
      <c r="OGY3" s="1" t="str" cm="1">
        <f t="array" ref="OGY3">GetValue("Dmn","Name",OGY2)</f>
        <v/>
      </c>
      <c r="OGZ3" s="1" t="str" cm="1">
        <f t="array" ref="OGZ3">GetValue("Dmn","Name",OGZ2)</f>
        <v/>
      </c>
      <c r="OHA3" s="1" t="str" cm="1">
        <f t="array" ref="OHA3">GetValue("Dmn","Name",OHA2)</f>
        <v/>
      </c>
      <c r="OHB3" s="1" t="str" cm="1">
        <f t="array" ref="OHB3">GetValue("Dmn","Name",OHB2)</f>
        <v/>
      </c>
      <c r="OHC3" s="1" t="str" cm="1">
        <f t="array" ref="OHC3">GetValue("Dmn","Name",OHC2)</f>
        <v/>
      </c>
      <c r="OHD3" s="1" t="str" cm="1">
        <f t="array" ref="OHD3">GetValue("Dmn","Name",OHD2)</f>
        <v/>
      </c>
      <c r="OHE3" s="1" t="str" cm="1">
        <f t="array" ref="OHE3">GetValue("Dmn","Name",OHE2)</f>
        <v/>
      </c>
      <c r="OHF3" s="1" t="str" cm="1">
        <f t="array" ref="OHF3">GetValue("Dmn","Name",OHF2)</f>
        <v/>
      </c>
      <c r="OHG3" s="1" t="str" cm="1">
        <f t="array" ref="OHG3">GetValue("Dmn","Name",OHG2)</f>
        <v/>
      </c>
      <c r="OHH3" s="1" t="str" cm="1">
        <f t="array" ref="OHH3">GetValue("Dmn","Name",OHH2)</f>
        <v/>
      </c>
      <c r="OHI3" s="1" t="str" cm="1">
        <f t="array" ref="OHI3">GetValue("Dmn","Name",OHI2)</f>
        <v/>
      </c>
      <c r="OHJ3" s="1" t="str" cm="1">
        <f t="array" ref="OHJ3">GetValue("Dmn","Name",OHJ2)</f>
        <v/>
      </c>
      <c r="OHK3" s="1" t="str" cm="1">
        <f t="array" ref="OHK3">GetValue("Dmn","Name",OHK2)</f>
        <v/>
      </c>
      <c r="OHL3" s="1" t="str" cm="1">
        <f t="array" ref="OHL3">GetValue("Dmn","Name",OHL2)</f>
        <v/>
      </c>
      <c r="OHM3" s="1" t="str" cm="1">
        <f t="array" ref="OHM3">GetValue("Dmn","Name",OHM2)</f>
        <v/>
      </c>
      <c r="OHN3" s="1" t="str" cm="1">
        <f t="array" ref="OHN3">GetValue("Dmn","Name",OHN2)</f>
        <v/>
      </c>
      <c r="OHO3" s="1" t="str" cm="1">
        <f t="array" ref="OHO3">GetValue("Dmn","Name",OHO2)</f>
        <v/>
      </c>
      <c r="OHP3" s="1" t="str" cm="1">
        <f t="array" ref="OHP3">GetValue("Dmn","Name",OHP2)</f>
        <v/>
      </c>
      <c r="OHQ3" s="1" t="str" cm="1">
        <f t="array" ref="OHQ3">GetValue("Dmn","Name",OHQ2)</f>
        <v/>
      </c>
      <c r="OHR3" s="1" t="str" cm="1">
        <f t="array" ref="OHR3">GetValue("Dmn","Name",OHR2)</f>
        <v/>
      </c>
      <c r="OHS3" s="1" t="str" cm="1">
        <f t="array" ref="OHS3">GetValue("Dmn","Name",OHS2)</f>
        <v/>
      </c>
      <c r="OHT3" s="1" t="str" cm="1">
        <f t="array" ref="OHT3">GetValue("Dmn","Name",OHT2)</f>
        <v/>
      </c>
      <c r="OHU3" s="1" t="str" cm="1">
        <f t="array" ref="OHU3">GetValue("Dmn","Name",OHU2)</f>
        <v/>
      </c>
      <c r="OHV3" s="1" t="str" cm="1">
        <f t="array" ref="OHV3">GetValue("Dmn","Name",OHV2)</f>
        <v/>
      </c>
      <c r="OHW3" s="1" t="str" cm="1">
        <f t="array" ref="OHW3">GetValue("Dmn","Name",OHW2)</f>
        <v/>
      </c>
      <c r="OHX3" s="1" t="str" cm="1">
        <f t="array" ref="OHX3">GetValue("Dmn","Name",OHX2)</f>
        <v/>
      </c>
      <c r="OHY3" s="1" t="str" cm="1">
        <f t="array" ref="OHY3">GetValue("Dmn","Name",OHY2)</f>
        <v/>
      </c>
      <c r="OHZ3" s="1" t="str" cm="1">
        <f t="array" ref="OHZ3">GetValue("Dmn","Name",OHZ2)</f>
        <v/>
      </c>
      <c r="OIA3" s="1" t="str" cm="1">
        <f t="array" ref="OIA3">GetValue("Dmn","Name",OIA2)</f>
        <v/>
      </c>
      <c r="OIB3" s="1" t="str" cm="1">
        <f t="array" ref="OIB3">GetValue("Dmn","Name",OIB2)</f>
        <v/>
      </c>
      <c r="OIC3" s="1" t="str" cm="1">
        <f t="array" ref="OIC3">GetValue("Dmn","Name",OIC2)</f>
        <v/>
      </c>
      <c r="OID3" s="1" t="str" cm="1">
        <f t="array" ref="OID3">GetValue("Dmn","Name",OID2)</f>
        <v/>
      </c>
      <c r="OIE3" s="1" t="str" cm="1">
        <f t="array" ref="OIE3">GetValue("Dmn","Name",OIE2)</f>
        <v/>
      </c>
      <c r="OIF3" s="1" t="str" cm="1">
        <f t="array" ref="OIF3">GetValue("Dmn","Name",OIF2)</f>
        <v/>
      </c>
      <c r="OIG3" s="1" t="str" cm="1">
        <f t="array" ref="OIG3">GetValue("Dmn","Name",OIG2)</f>
        <v/>
      </c>
      <c r="OIH3" s="1" t="str" cm="1">
        <f t="array" ref="OIH3">GetValue("Dmn","Name",OIH2)</f>
        <v/>
      </c>
      <c r="OII3" s="1" t="str" cm="1">
        <f t="array" ref="OII3">GetValue("Dmn","Name",OII2)</f>
        <v/>
      </c>
      <c r="OIJ3" s="1" t="str" cm="1">
        <f t="array" ref="OIJ3">GetValue("Dmn","Name",OIJ2)</f>
        <v/>
      </c>
      <c r="OIK3" s="1" t="str" cm="1">
        <f t="array" ref="OIK3">GetValue("Dmn","Name",OIK2)</f>
        <v/>
      </c>
      <c r="OIL3" s="1" t="str" cm="1">
        <f t="array" ref="OIL3">GetValue("Dmn","Name",OIL2)</f>
        <v/>
      </c>
      <c r="OIM3" s="1" t="str" cm="1">
        <f t="array" ref="OIM3">GetValue("Dmn","Name",OIM2)</f>
        <v/>
      </c>
      <c r="OIN3" s="1" t="str" cm="1">
        <f t="array" ref="OIN3">GetValue("Dmn","Name",OIN2)</f>
        <v/>
      </c>
      <c r="OIO3" s="1" t="str" cm="1">
        <f t="array" ref="OIO3">GetValue("Dmn","Name",OIO2)</f>
        <v/>
      </c>
      <c r="OIP3" s="1" t="str" cm="1">
        <f t="array" ref="OIP3">GetValue("Dmn","Name",OIP2)</f>
        <v/>
      </c>
      <c r="OIQ3" s="1" t="str" cm="1">
        <f t="array" ref="OIQ3">GetValue("Dmn","Name",OIQ2)</f>
        <v/>
      </c>
      <c r="OIR3" s="1" t="str" cm="1">
        <f t="array" ref="OIR3">GetValue("Dmn","Name",OIR2)</f>
        <v/>
      </c>
      <c r="OIS3" s="1" t="str" cm="1">
        <f t="array" ref="OIS3">GetValue("Dmn","Name",OIS2)</f>
        <v/>
      </c>
      <c r="OIT3" s="1" t="str" cm="1">
        <f t="array" ref="OIT3">GetValue("Dmn","Name",OIT2)</f>
        <v/>
      </c>
      <c r="OIU3" s="1" t="str" cm="1">
        <f t="array" ref="OIU3">GetValue("Dmn","Name",OIU2)</f>
        <v/>
      </c>
      <c r="OIV3" s="1" t="str" cm="1">
        <f t="array" ref="OIV3">GetValue("Dmn","Name",OIV2)</f>
        <v/>
      </c>
      <c r="OIW3" s="1" t="str" cm="1">
        <f t="array" ref="OIW3">GetValue("Dmn","Name",OIW2)</f>
        <v/>
      </c>
      <c r="OIX3" s="1" t="str" cm="1">
        <f t="array" ref="OIX3">GetValue("Dmn","Name",OIX2)</f>
        <v/>
      </c>
      <c r="OIY3" s="1" t="str" cm="1">
        <f t="array" ref="OIY3">GetValue("Dmn","Name",OIY2)</f>
        <v/>
      </c>
      <c r="OIZ3" s="1" t="str" cm="1">
        <f t="array" ref="OIZ3">GetValue("Dmn","Name",OIZ2)</f>
        <v/>
      </c>
      <c r="OJA3" s="1" t="str" cm="1">
        <f t="array" ref="OJA3">GetValue("Dmn","Name",OJA2)</f>
        <v/>
      </c>
      <c r="OJB3" s="1" t="str" cm="1">
        <f t="array" ref="OJB3">GetValue("Dmn","Name",OJB2)</f>
        <v/>
      </c>
      <c r="OJC3" s="1" t="str" cm="1">
        <f t="array" ref="OJC3">GetValue("Dmn","Name",OJC2)</f>
        <v/>
      </c>
      <c r="OJD3" s="1" t="str" cm="1">
        <f t="array" ref="OJD3">GetValue("Dmn","Name",OJD2)</f>
        <v/>
      </c>
      <c r="OJE3" s="1" t="str" cm="1">
        <f t="array" ref="OJE3">GetValue("Dmn","Name",OJE2)</f>
        <v/>
      </c>
      <c r="OJF3" s="1" t="str" cm="1">
        <f t="array" ref="OJF3">GetValue("Dmn","Name",OJF2)</f>
        <v/>
      </c>
      <c r="OJG3" s="1" t="str" cm="1">
        <f t="array" ref="OJG3">GetValue("Dmn","Name",OJG2)</f>
        <v/>
      </c>
      <c r="OJH3" s="1" t="str" cm="1">
        <f t="array" ref="OJH3">GetValue("Dmn","Name",OJH2)</f>
        <v/>
      </c>
      <c r="OJI3" s="1" t="str" cm="1">
        <f t="array" ref="OJI3">GetValue("Dmn","Name",OJI2)</f>
        <v/>
      </c>
      <c r="OJJ3" s="1" t="str" cm="1">
        <f t="array" ref="OJJ3">GetValue("Dmn","Name",OJJ2)</f>
        <v/>
      </c>
      <c r="OJK3" s="1" t="str" cm="1">
        <f t="array" ref="OJK3">GetValue("Dmn","Name",OJK2)</f>
        <v/>
      </c>
      <c r="OJL3" s="1" t="str" cm="1">
        <f t="array" ref="OJL3">GetValue("Dmn","Name",OJL2)</f>
        <v/>
      </c>
      <c r="OJM3" s="1" t="str" cm="1">
        <f t="array" ref="OJM3">GetValue("Dmn","Name",OJM2)</f>
        <v/>
      </c>
      <c r="OJN3" s="1" t="str" cm="1">
        <f t="array" ref="OJN3">GetValue("Dmn","Name",OJN2)</f>
        <v/>
      </c>
      <c r="OJO3" s="1" t="str" cm="1">
        <f t="array" ref="OJO3">GetValue("Dmn","Name",OJO2)</f>
        <v/>
      </c>
      <c r="OJP3" s="1" t="str" cm="1">
        <f t="array" ref="OJP3">GetValue("Dmn","Name",OJP2)</f>
        <v/>
      </c>
      <c r="OJQ3" s="1" t="str" cm="1">
        <f t="array" ref="OJQ3">GetValue("Dmn","Name",OJQ2)</f>
        <v/>
      </c>
      <c r="OJR3" s="1" t="str" cm="1">
        <f t="array" ref="OJR3">GetValue("Dmn","Name",OJR2)</f>
        <v/>
      </c>
      <c r="OJS3" s="1" t="str" cm="1">
        <f t="array" ref="OJS3">GetValue("Dmn","Name",OJS2)</f>
        <v/>
      </c>
      <c r="OJT3" s="1" t="str" cm="1">
        <f t="array" ref="OJT3">GetValue("Dmn","Name",OJT2)</f>
        <v/>
      </c>
      <c r="OJU3" s="1" t="str" cm="1">
        <f t="array" ref="OJU3">GetValue("Dmn","Name",OJU2)</f>
        <v/>
      </c>
      <c r="OJV3" s="1" t="str" cm="1">
        <f t="array" ref="OJV3">GetValue("Dmn","Name",OJV2)</f>
        <v/>
      </c>
      <c r="OJW3" s="1" t="str" cm="1">
        <f t="array" ref="OJW3">GetValue("Dmn","Name",OJW2)</f>
        <v/>
      </c>
      <c r="OJX3" s="1" t="str" cm="1">
        <f t="array" ref="OJX3">GetValue("Dmn","Name",OJX2)</f>
        <v/>
      </c>
      <c r="OJY3" s="1" t="str" cm="1">
        <f t="array" ref="OJY3">GetValue("Dmn","Name",OJY2)</f>
        <v/>
      </c>
      <c r="OJZ3" s="1" t="str" cm="1">
        <f t="array" ref="OJZ3">GetValue("Dmn","Name",OJZ2)</f>
        <v/>
      </c>
      <c r="OKA3" s="1" t="str" cm="1">
        <f t="array" ref="OKA3">GetValue("Dmn","Name",OKA2)</f>
        <v/>
      </c>
      <c r="OKB3" s="1" t="str" cm="1">
        <f t="array" ref="OKB3">GetValue("Dmn","Name",OKB2)</f>
        <v/>
      </c>
      <c r="OKC3" s="1" t="str" cm="1">
        <f t="array" ref="OKC3">GetValue("Dmn","Name",OKC2)</f>
        <v/>
      </c>
      <c r="OKD3" s="1" t="str" cm="1">
        <f t="array" ref="OKD3">GetValue("Dmn","Name",OKD2)</f>
        <v/>
      </c>
      <c r="OKE3" s="1" t="str" cm="1">
        <f t="array" ref="OKE3">GetValue("Dmn","Name",OKE2)</f>
        <v/>
      </c>
      <c r="OKF3" s="1" t="str" cm="1">
        <f t="array" ref="OKF3">GetValue("Dmn","Name",OKF2)</f>
        <v/>
      </c>
      <c r="OKG3" s="1" t="str" cm="1">
        <f t="array" ref="OKG3">GetValue("Dmn","Name",OKG2)</f>
        <v/>
      </c>
      <c r="OKH3" s="1" t="str" cm="1">
        <f t="array" ref="OKH3">GetValue("Dmn","Name",OKH2)</f>
        <v/>
      </c>
      <c r="OKI3" s="1" t="str" cm="1">
        <f t="array" ref="OKI3">GetValue("Dmn","Name",OKI2)</f>
        <v/>
      </c>
      <c r="OKJ3" s="1" t="str" cm="1">
        <f t="array" ref="OKJ3">GetValue("Dmn","Name",OKJ2)</f>
        <v/>
      </c>
      <c r="OKK3" s="1" t="str" cm="1">
        <f t="array" ref="OKK3">GetValue("Dmn","Name",OKK2)</f>
        <v/>
      </c>
      <c r="OKL3" s="1" t="str" cm="1">
        <f t="array" ref="OKL3">GetValue("Dmn","Name",OKL2)</f>
        <v/>
      </c>
      <c r="OKM3" s="1" t="str" cm="1">
        <f t="array" ref="OKM3">GetValue("Dmn","Name",OKM2)</f>
        <v/>
      </c>
      <c r="OKN3" s="1" t="str" cm="1">
        <f t="array" ref="OKN3">GetValue("Dmn","Name",OKN2)</f>
        <v/>
      </c>
      <c r="OKO3" s="1" t="str" cm="1">
        <f t="array" ref="OKO3">GetValue("Dmn","Name",OKO2)</f>
        <v/>
      </c>
      <c r="OKP3" s="1" t="str" cm="1">
        <f t="array" ref="OKP3">GetValue("Dmn","Name",OKP2)</f>
        <v/>
      </c>
      <c r="OKQ3" s="1" t="str" cm="1">
        <f t="array" ref="OKQ3">GetValue("Dmn","Name",OKQ2)</f>
        <v/>
      </c>
      <c r="OKR3" s="1" t="str" cm="1">
        <f t="array" ref="OKR3">GetValue("Dmn","Name",OKR2)</f>
        <v/>
      </c>
      <c r="OKS3" s="1" t="str" cm="1">
        <f t="array" ref="OKS3">GetValue("Dmn","Name",OKS2)</f>
        <v/>
      </c>
      <c r="OKT3" s="1" t="str" cm="1">
        <f t="array" ref="OKT3">GetValue("Dmn","Name",OKT2)</f>
        <v/>
      </c>
      <c r="OKU3" s="1" t="str" cm="1">
        <f t="array" ref="OKU3">GetValue("Dmn","Name",OKU2)</f>
        <v/>
      </c>
      <c r="OKV3" s="1" t="str" cm="1">
        <f t="array" ref="OKV3">GetValue("Dmn","Name",OKV2)</f>
        <v/>
      </c>
      <c r="OKW3" s="1" t="str" cm="1">
        <f t="array" ref="OKW3">GetValue("Dmn","Name",OKW2)</f>
        <v/>
      </c>
      <c r="OKX3" s="1" t="str" cm="1">
        <f t="array" ref="OKX3">GetValue("Dmn","Name",OKX2)</f>
        <v/>
      </c>
      <c r="OKY3" s="1" t="str" cm="1">
        <f t="array" ref="OKY3">GetValue("Dmn","Name",OKY2)</f>
        <v/>
      </c>
      <c r="OKZ3" s="1" t="str" cm="1">
        <f t="array" ref="OKZ3">GetValue("Dmn","Name",OKZ2)</f>
        <v/>
      </c>
      <c r="OLA3" s="1" t="str" cm="1">
        <f t="array" ref="OLA3">GetValue("Dmn","Name",OLA2)</f>
        <v/>
      </c>
      <c r="OLB3" s="1" t="str" cm="1">
        <f t="array" ref="OLB3">GetValue("Dmn","Name",OLB2)</f>
        <v/>
      </c>
      <c r="OLC3" s="1" t="str" cm="1">
        <f t="array" ref="OLC3">GetValue("Dmn","Name",OLC2)</f>
        <v/>
      </c>
      <c r="OLD3" s="1" t="str" cm="1">
        <f t="array" ref="OLD3">GetValue("Dmn","Name",OLD2)</f>
        <v/>
      </c>
      <c r="OLE3" s="1" t="str" cm="1">
        <f t="array" ref="OLE3">GetValue("Dmn","Name",OLE2)</f>
        <v/>
      </c>
      <c r="OLF3" s="1" t="str" cm="1">
        <f t="array" ref="OLF3">GetValue("Dmn","Name",OLF2)</f>
        <v/>
      </c>
      <c r="OLG3" s="1" t="str" cm="1">
        <f t="array" ref="OLG3">GetValue("Dmn","Name",OLG2)</f>
        <v/>
      </c>
      <c r="OLH3" s="1" t="str" cm="1">
        <f t="array" ref="OLH3">GetValue("Dmn","Name",OLH2)</f>
        <v/>
      </c>
      <c r="OLI3" s="1" t="str" cm="1">
        <f t="array" ref="OLI3">GetValue("Dmn","Name",OLI2)</f>
        <v/>
      </c>
      <c r="OLJ3" s="1" t="str" cm="1">
        <f t="array" ref="OLJ3">GetValue("Dmn","Name",OLJ2)</f>
        <v/>
      </c>
      <c r="OLK3" s="1" t="str" cm="1">
        <f t="array" ref="OLK3">GetValue("Dmn","Name",OLK2)</f>
        <v/>
      </c>
      <c r="OLL3" s="1" t="str" cm="1">
        <f t="array" ref="OLL3">GetValue("Dmn","Name",OLL2)</f>
        <v/>
      </c>
      <c r="OLM3" s="1" t="str" cm="1">
        <f t="array" ref="OLM3">GetValue("Dmn","Name",OLM2)</f>
        <v/>
      </c>
      <c r="OLN3" s="1" t="str" cm="1">
        <f t="array" ref="OLN3">GetValue("Dmn","Name",OLN2)</f>
        <v/>
      </c>
      <c r="OLO3" s="1" t="str" cm="1">
        <f t="array" ref="OLO3">GetValue("Dmn","Name",OLO2)</f>
        <v/>
      </c>
      <c r="OLP3" s="1" t="str" cm="1">
        <f t="array" ref="OLP3">GetValue("Dmn","Name",OLP2)</f>
        <v/>
      </c>
      <c r="OLQ3" s="1" t="str" cm="1">
        <f t="array" ref="OLQ3">GetValue("Dmn","Name",OLQ2)</f>
        <v/>
      </c>
      <c r="OLR3" s="1" t="str" cm="1">
        <f t="array" ref="OLR3">GetValue("Dmn","Name",OLR2)</f>
        <v/>
      </c>
      <c r="OLS3" s="1" t="str" cm="1">
        <f t="array" ref="OLS3">GetValue("Dmn","Name",OLS2)</f>
        <v/>
      </c>
      <c r="OLT3" s="1" t="str" cm="1">
        <f t="array" ref="OLT3">GetValue("Dmn","Name",OLT2)</f>
        <v/>
      </c>
      <c r="OLU3" s="1" t="str" cm="1">
        <f t="array" ref="OLU3">GetValue("Dmn","Name",OLU2)</f>
        <v/>
      </c>
      <c r="OLV3" s="1" t="str" cm="1">
        <f t="array" ref="OLV3">GetValue("Dmn","Name",OLV2)</f>
        <v/>
      </c>
      <c r="OLW3" s="1" t="str" cm="1">
        <f t="array" ref="OLW3">GetValue("Dmn","Name",OLW2)</f>
        <v/>
      </c>
      <c r="OLX3" s="1" t="str" cm="1">
        <f t="array" ref="OLX3">GetValue("Dmn","Name",OLX2)</f>
        <v/>
      </c>
      <c r="OLY3" s="1" t="str" cm="1">
        <f t="array" ref="OLY3">GetValue("Dmn","Name",OLY2)</f>
        <v/>
      </c>
      <c r="OLZ3" s="1" t="str" cm="1">
        <f t="array" ref="OLZ3">GetValue("Dmn","Name",OLZ2)</f>
        <v/>
      </c>
      <c r="OMA3" s="1" t="str" cm="1">
        <f t="array" ref="OMA3">GetValue("Dmn","Name",OMA2)</f>
        <v/>
      </c>
      <c r="OMB3" s="1" t="str" cm="1">
        <f t="array" ref="OMB3">GetValue("Dmn","Name",OMB2)</f>
        <v/>
      </c>
      <c r="OMC3" s="1" t="str" cm="1">
        <f t="array" ref="OMC3">GetValue("Dmn","Name",OMC2)</f>
        <v/>
      </c>
      <c r="OMD3" s="1" t="str" cm="1">
        <f t="array" ref="OMD3">GetValue("Dmn","Name",OMD2)</f>
        <v/>
      </c>
      <c r="OME3" s="1" t="str" cm="1">
        <f t="array" ref="OME3">GetValue("Dmn","Name",OME2)</f>
        <v/>
      </c>
      <c r="OMF3" s="1" t="str" cm="1">
        <f t="array" ref="OMF3">GetValue("Dmn","Name",OMF2)</f>
        <v/>
      </c>
      <c r="OMG3" s="1" t="str" cm="1">
        <f t="array" ref="OMG3">GetValue("Dmn","Name",OMG2)</f>
        <v/>
      </c>
      <c r="OMH3" s="1" t="str" cm="1">
        <f t="array" ref="OMH3">GetValue("Dmn","Name",OMH2)</f>
        <v/>
      </c>
      <c r="OMI3" s="1" t="str" cm="1">
        <f t="array" ref="OMI3">GetValue("Dmn","Name",OMI2)</f>
        <v/>
      </c>
      <c r="OMJ3" s="1" t="str" cm="1">
        <f t="array" ref="OMJ3">GetValue("Dmn","Name",OMJ2)</f>
        <v/>
      </c>
      <c r="OMK3" s="1" t="str" cm="1">
        <f t="array" ref="OMK3">GetValue("Dmn","Name",OMK2)</f>
        <v/>
      </c>
      <c r="OML3" s="1" t="str" cm="1">
        <f t="array" ref="OML3">GetValue("Dmn","Name",OML2)</f>
        <v/>
      </c>
      <c r="OMM3" s="1" t="str" cm="1">
        <f t="array" ref="OMM3">GetValue("Dmn","Name",OMM2)</f>
        <v/>
      </c>
      <c r="OMN3" s="1" t="str" cm="1">
        <f t="array" ref="OMN3">GetValue("Dmn","Name",OMN2)</f>
        <v/>
      </c>
      <c r="OMO3" s="1" t="str" cm="1">
        <f t="array" ref="OMO3">GetValue("Dmn","Name",OMO2)</f>
        <v/>
      </c>
      <c r="OMP3" s="1" t="str" cm="1">
        <f t="array" ref="OMP3">GetValue("Dmn","Name",OMP2)</f>
        <v/>
      </c>
      <c r="OMQ3" s="1" t="str" cm="1">
        <f t="array" ref="OMQ3">GetValue("Dmn","Name",OMQ2)</f>
        <v/>
      </c>
      <c r="OMR3" s="1" t="str" cm="1">
        <f t="array" ref="OMR3">GetValue("Dmn","Name",OMR2)</f>
        <v/>
      </c>
      <c r="OMS3" s="1" t="str" cm="1">
        <f t="array" ref="OMS3">GetValue("Dmn","Name",OMS2)</f>
        <v/>
      </c>
      <c r="OMT3" s="1" t="str" cm="1">
        <f t="array" ref="OMT3">GetValue("Dmn","Name",OMT2)</f>
        <v/>
      </c>
      <c r="OMU3" s="1" t="str" cm="1">
        <f t="array" ref="OMU3">GetValue("Dmn","Name",OMU2)</f>
        <v/>
      </c>
      <c r="OMV3" s="1" t="str" cm="1">
        <f t="array" ref="OMV3">GetValue("Dmn","Name",OMV2)</f>
        <v/>
      </c>
      <c r="OMW3" s="1" t="str" cm="1">
        <f t="array" ref="OMW3">GetValue("Dmn","Name",OMW2)</f>
        <v/>
      </c>
      <c r="OMX3" s="1" t="str" cm="1">
        <f t="array" ref="OMX3">GetValue("Dmn","Name",OMX2)</f>
        <v/>
      </c>
      <c r="OMY3" s="1" t="str" cm="1">
        <f t="array" ref="OMY3">GetValue("Dmn","Name",OMY2)</f>
        <v/>
      </c>
      <c r="OMZ3" s="1" t="str" cm="1">
        <f t="array" ref="OMZ3">GetValue("Dmn","Name",OMZ2)</f>
        <v/>
      </c>
      <c r="ONA3" s="1" t="str" cm="1">
        <f t="array" ref="ONA3">GetValue("Dmn","Name",ONA2)</f>
        <v/>
      </c>
      <c r="ONB3" s="1" t="str" cm="1">
        <f t="array" ref="ONB3">GetValue("Dmn","Name",ONB2)</f>
        <v/>
      </c>
      <c r="ONC3" s="1" t="str" cm="1">
        <f t="array" ref="ONC3">GetValue("Dmn","Name",ONC2)</f>
        <v/>
      </c>
      <c r="OND3" s="1" t="str" cm="1">
        <f t="array" ref="OND3">GetValue("Dmn","Name",OND2)</f>
        <v/>
      </c>
      <c r="ONE3" s="1" t="str" cm="1">
        <f t="array" ref="ONE3">GetValue("Dmn","Name",ONE2)</f>
        <v/>
      </c>
      <c r="ONF3" s="1" t="str" cm="1">
        <f t="array" ref="ONF3">GetValue("Dmn","Name",ONF2)</f>
        <v/>
      </c>
      <c r="ONG3" s="1" t="str" cm="1">
        <f t="array" ref="ONG3">GetValue("Dmn","Name",ONG2)</f>
        <v/>
      </c>
      <c r="ONH3" s="1" t="str" cm="1">
        <f t="array" ref="ONH3">GetValue("Dmn","Name",ONH2)</f>
        <v/>
      </c>
      <c r="ONI3" s="1" t="str" cm="1">
        <f t="array" ref="ONI3">GetValue("Dmn","Name",ONI2)</f>
        <v/>
      </c>
      <c r="ONJ3" s="1" t="str" cm="1">
        <f t="array" ref="ONJ3">GetValue("Dmn","Name",ONJ2)</f>
        <v/>
      </c>
      <c r="ONK3" s="1" t="str" cm="1">
        <f t="array" ref="ONK3">GetValue("Dmn","Name",ONK2)</f>
        <v/>
      </c>
      <c r="ONL3" s="1" t="str" cm="1">
        <f t="array" ref="ONL3">GetValue("Dmn","Name",ONL2)</f>
        <v/>
      </c>
      <c r="ONM3" s="1" t="str" cm="1">
        <f t="array" ref="ONM3">GetValue("Dmn","Name",ONM2)</f>
        <v/>
      </c>
      <c r="ONN3" s="1" t="str" cm="1">
        <f t="array" ref="ONN3">GetValue("Dmn","Name",ONN2)</f>
        <v/>
      </c>
      <c r="ONO3" s="1" t="str" cm="1">
        <f t="array" ref="ONO3">GetValue("Dmn","Name",ONO2)</f>
        <v/>
      </c>
      <c r="ONP3" s="1" t="str" cm="1">
        <f t="array" ref="ONP3">GetValue("Dmn","Name",ONP2)</f>
        <v/>
      </c>
      <c r="ONQ3" s="1" t="str" cm="1">
        <f t="array" ref="ONQ3">GetValue("Dmn","Name",ONQ2)</f>
        <v/>
      </c>
      <c r="ONR3" s="1" t="str" cm="1">
        <f t="array" ref="ONR3">GetValue("Dmn","Name",ONR2)</f>
        <v/>
      </c>
      <c r="ONS3" s="1" t="str" cm="1">
        <f t="array" ref="ONS3">GetValue("Dmn","Name",ONS2)</f>
        <v/>
      </c>
      <c r="ONT3" s="1" t="str" cm="1">
        <f t="array" ref="ONT3">GetValue("Dmn","Name",ONT2)</f>
        <v/>
      </c>
      <c r="ONU3" s="1" t="str" cm="1">
        <f t="array" ref="ONU3">GetValue("Dmn","Name",ONU2)</f>
        <v/>
      </c>
      <c r="ONV3" s="1" t="str" cm="1">
        <f t="array" ref="ONV3">GetValue("Dmn","Name",ONV2)</f>
        <v/>
      </c>
      <c r="ONW3" s="1" t="str" cm="1">
        <f t="array" ref="ONW3">GetValue("Dmn","Name",ONW2)</f>
        <v/>
      </c>
      <c r="ONX3" s="1" t="str" cm="1">
        <f t="array" ref="ONX3">GetValue("Dmn","Name",ONX2)</f>
        <v/>
      </c>
      <c r="ONY3" s="1" t="str" cm="1">
        <f t="array" ref="ONY3">GetValue("Dmn","Name",ONY2)</f>
        <v/>
      </c>
      <c r="ONZ3" s="1" t="str" cm="1">
        <f t="array" ref="ONZ3">GetValue("Dmn","Name",ONZ2)</f>
        <v/>
      </c>
      <c r="OOA3" s="1" t="str" cm="1">
        <f t="array" ref="OOA3">GetValue("Dmn","Name",OOA2)</f>
        <v/>
      </c>
      <c r="OOB3" s="1" t="str" cm="1">
        <f t="array" ref="OOB3">GetValue("Dmn","Name",OOB2)</f>
        <v/>
      </c>
      <c r="OOC3" s="1" t="str" cm="1">
        <f t="array" ref="OOC3">GetValue("Dmn","Name",OOC2)</f>
        <v/>
      </c>
      <c r="OOD3" s="1" t="str" cm="1">
        <f t="array" ref="OOD3">GetValue("Dmn","Name",OOD2)</f>
        <v/>
      </c>
      <c r="OOE3" s="1" t="str" cm="1">
        <f t="array" ref="OOE3">GetValue("Dmn","Name",OOE2)</f>
        <v/>
      </c>
      <c r="OOF3" s="1" t="str" cm="1">
        <f t="array" ref="OOF3">GetValue("Dmn","Name",OOF2)</f>
        <v/>
      </c>
      <c r="OOG3" s="1" t="str" cm="1">
        <f t="array" ref="OOG3">GetValue("Dmn","Name",OOG2)</f>
        <v/>
      </c>
      <c r="OOH3" s="1" t="str" cm="1">
        <f t="array" ref="OOH3">GetValue("Dmn","Name",OOH2)</f>
        <v/>
      </c>
      <c r="OOI3" s="1" t="str" cm="1">
        <f t="array" ref="OOI3">GetValue("Dmn","Name",OOI2)</f>
        <v/>
      </c>
      <c r="OOJ3" s="1" t="str" cm="1">
        <f t="array" ref="OOJ3">GetValue("Dmn","Name",OOJ2)</f>
        <v/>
      </c>
      <c r="OOK3" s="1" t="str" cm="1">
        <f t="array" ref="OOK3">GetValue("Dmn","Name",OOK2)</f>
        <v/>
      </c>
      <c r="OOL3" s="1" t="str" cm="1">
        <f t="array" ref="OOL3">GetValue("Dmn","Name",OOL2)</f>
        <v/>
      </c>
      <c r="OOM3" s="1" t="str" cm="1">
        <f t="array" ref="OOM3">GetValue("Dmn","Name",OOM2)</f>
        <v/>
      </c>
      <c r="OON3" s="1" t="str" cm="1">
        <f t="array" ref="OON3">GetValue("Dmn","Name",OON2)</f>
        <v/>
      </c>
      <c r="OOO3" s="1" t="str" cm="1">
        <f t="array" ref="OOO3">GetValue("Dmn","Name",OOO2)</f>
        <v/>
      </c>
      <c r="OOP3" s="1" t="str" cm="1">
        <f t="array" ref="OOP3">GetValue("Dmn","Name",OOP2)</f>
        <v/>
      </c>
      <c r="OOQ3" s="1" t="str" cm="1">
        <f t="array" ref="OOQ3">GetValue("Dmn","Name",OOQ2)</f>
        <v/>
      </c>
      <c r="OOR3" s="1" t="str" cm="1">
        <f t="array" ref="OOR3">GetValue("Dmn","Name",OOR2)</f>
        <v/>
      </c>
      <c r="OOS3" s="1" t="str" cm="1">
        <f t="array" ref="OOS3">GetValue("Dmn","Name",OOS2)</f>
        <v/>
      </c>
      <c r="OOT3" s="1" t="str" cm="1">
        <f t="array" ref="OOT3">GetValue("Dmn","Name",OOT2)</f>
        <v/>
      </c>
      <c r="OOU3" s="1" t="str" cm="1">
        <f t="array" ref="OOU3">GetValue("Dmn","Name",OOU2)</f>
        <v/>
      </c>
      <c r="OOV3" s="1" t="str" cm="1">
        <f t="array" ref="OOV3">GetValue("Dmn","Name",OOV2)</f>
        <v/>
      </c>
      <c r="OOW3" s="1" t="str" cm="1">
        <f t="array" ref="OOW3">GetValue("Dmn","Name",OOW2)</f>
        <v/>
      </c>
      <c r="OOX3" s="1" t="str" cm="1">
        <f t="array" ref="OOX3">GetValue("Dmn","Name",OOX2)</f>
        <v/>
      </c>
      <c r="OOY3" s="1" t="str" cm="1">
        <f t="array" ref="OOY3">GetValue("Dmn","Name",OOY2)</f>
        <v/>
      </c>
      <c r="OOZ3" s="1" t="str" cm="1">
        <f t="array" ref="OOZ3">GetValue("Dmn","Name",OOZ2)</f>
        <v/>
      </c>
      <c r="OPA3" s="1" t="str" cm="1">
        <f t="array" ref="OPA3">GetValue("Dmn","Name",OPA2)</f>
        <v/>
      </c>
      <c r="OPB3" s="1" t="str" cm="1">
        <f t="array" ref="OPB3">GetValue("Dmn","Name",OPB2)</f>
        <v/>
      </c>
      <c r="OPC3" s="1" t="str" cm="1">
        <f t="array" ref="OPC3">GetValue("Dmn","Name",OPC2)</f>
        <v/>
      </c>
      <c r="OPD3" s="1" t="str" cm="1">
        <f t="array" ref="OPD3">GetValue("Dmn","Name",OPD2)</f>
        <v/>
      </c>
      <c r="OPE3" s="1" t="str" cm="1">
        <f t="array" ref="OPE3">GetValue("Dmn","Name",OPE2)</f>
        <v/>
      </c>
      <c r="OPF3" s="1" t="str" cm="1">
        <f t="array" ref="OPF3">GetValue("Dmn","Name",OPF2)</f>
        <v/>
      </c>
      <c r="OPG3" s="1" t="str" cm="1">
        <f t="array" ref="OPG3">GetValue("Dmn","Name",OPG2)</f>
        <v/>
      </c>
      <c r="OPH3" s="1" t="str" cm="1">
        <f t="array" ref="OPH3">GetValue("Dmn","Name",OPH2)</f>
        <v/>
      </c>
      <c r="OPI3" s="1" t="str" cm="1">
        <f t="array" ref="OPI3">GetValue("Dmn","Name",OPI2)</f>
        <v/>
      </c>
      <c r="OPJ3" s="1" t="str" cm="1">
        <f t="array" ref="OPJ3">GetValue("Dmn","Name",OPJ2)</f>
        <v/>
      </c>
      <c r="OPK3" s="1" t="str" cm="1">
        <f t="array" ref="OPK3">GetValue("Dmn","Name",OPK2)</f>
        <v/>
      </c>
      <c r="OPL3" s="1" t="str" cm="1">
        <f t="array" ref="OPL3">GetValue("Dmn","Name",OPL2)</f>
        <v/>
      </c>
      <c r="OPM3" s="1" t="str" cm="1">
        <f t="array" ref="OPM3">GetValue("Dmn","Name",OPM2)</f>
        <v/>
      </c>
      <c r="OPN3" s="1" t="str" cm="1">
        <f t="array" ref="OPN3">GetValue("Dmn","Name",OPN2)</f>
        <v/>
      </c>
      <c r="OPO3" s="1" t="str" cm="1">
        <f t="array" ref="OPO3">GetValue("Dmn","Name",OPO2)</f>
        <v/>
      </c>
      <c r="OPP3" s="1" t="str" cm="1">
        <f t="array" ref="OPP3">GetValue("Dmn","Name",OPP2)</f>
        <v/>
      </c>
      <c r="OPQ3" s="1" t="str" cm="1">
        <f t="array" ref="OPQ3">GetValue("Dmn","Name",OPQ2)</f>
        <v/>
      </c>
      <c r="OPR3" s="1" t="str" cm="1">
        <f t="array" ref="OPR3">GetValue("Dmn","Name",OPR2)</f>
        <v/>
      </c>
      <c r="OPS3" s="1" t="str" cm="1">
        <f t="array" ref="OPS3">GetValue("Dmn","Name",OPS2)</f>
        <v/>
      </c>
      <c r="OPT3" s="1" t="str" cm="1">
        <f t="array" ref="OPT3">GetValue("Dmn","Name",OPT2)</f>
        <v/>
      </c>
      <c r="OPU3" s="1" t="str" cm="1">
        <f t="array" ref="OPU3">GetValue("Dmn","Name",OPU2)</f>
        <v/>
      </c>
      <c r="OPV3" s="1" t="str" cm="1">
        <f t="array" ref="OPV3">GetValue("Dmn","Name",OPV2)</f>
        <v/>
      </c>
      <c r="OPW3" s="1" t="str" cm="1">
        <f t="array" ref="OPW3">GetValue("Dmn","Name",OPW2)</f>
        <v/>
      </c>
      <c r="OPX3" s="1" t="str" cm="1">
        <f t="array" ref="OPX3">GetValue("Dmn","Name",OPX2)</f>
        <v/>
      </c>
      <c r="OPY3" s="1" t="str" cm="1">
        <f t="array" ref="OPY3">GetValue("Dmn","Name",OPY2)</f>
        <v/>
      </c>
      <c r="OPZ3" s="1" t="str" cm="1">
        <f t="array" ref="OPZ3">GetValue("Dmn","Name",OPZ2)</f>
        <v/>
      </c>
      <c r="OQA3" s="1" t="str" cm="1">
        <f t="array" ref="OQA3">GetValue("Dmn","Name",OQA2)</f>
        <v/>
      </c>
      <c r="OQB3" s="1" t="str" cm="1">
        <f t="array" ref="OQB3">GetValue("Dmn","Name",OQB2)</f>
        <v/>
      </c>
      <c r="OQC3" s="1" t="str" cm="1">
        <f t="array" ref="OQC3">GetValue("Dmn","Name",OQC2)</f>
        <v/>
      </c>
      <c r="OQD3" s="1" t="str" cm="1">
        <f t="array" ref="OQD3">GetValue("Dmn","Name",OQD2)</f>
        <v/>
      </c>
      <c r="OQE3" s="1" t="str" cm="1">
        <f t="array" ref="OQE3">GetValue("Dmn","Name",OQE2)</f>
        <v/>
      </c>
      <c r="OQF3" s="1" t="str" cm="1">
        <f t="array" ref="OQF3">GetValue("Dmn","Name",OQF2)</f>
        <v/>
      </c>
      <c r="OQG3" s="1" t="str" cm="1">
        <f t="array" ref="OQG3">GetValue("Dmn","Name",OQG2)</f>
        <v/>
      </c>
      <c r="OQH3" s="1" t="str" cm="1">
        <f t="array" ref="OQH3">GetValue("Dmn","Name",OQH2)</f>
        <v/>
      </c>
      <c r="OQI3" s="1" t="str" cm="1">
        <f t="array" ref="OQI3">GetValue("Dmn","Name",OQI2)</f>
        <v/>
      </c>
      <c r="OQJ3" s="1" t="str" cm="1">
        <f t="array" ref="OQJ3">GetValue("Dmn","Name",OQJ2)</f>
        <v/>
      </c>
      <c r="OQK3" s="1" t="str" cm="1">
        <f t="array" ref="OQK3">GetValue("Dmn","Name",OQK2)</f>
        <v/>
      </c>
      <c r="OQL3" s="1" t="str" cm="1">
        <f t="array" ref="OQL3">GetValue("Dmn","Name",OQL2)</f>
        <v/>
      </c>
      <c r="OQM3" s="1" t="str" cm="1">
        <f t="array" ref="OQM3">GetValue("Dmn","Name",OQM2)</f>
        <v/>
      </c>
      <c r="OQN3" s="1" t="str" cm="1">
        <f t="array" ref="OQN3">GetValue("Dmn","Name",OQN2)</f>
        <v/>
      </c>
      <c r="OQO3" s="1" t="str" cm="1">
        <f t="array" ref="OQO3">GetValue("Dmn","Name",OQO2)</f>
        <v/>
      </c>
      <c r="OQP3" s="1" t="str" cm="1">
        <f t="array" ref="OQP3">GetValue("Dmn","Name",OQP2)</f>
        <v/>
      </c>
      <c r="OQQ3" s="1" t="str" cm="1">
        <f t="array" ref="OQQ3">GetValue("Dmn","Name",OQQ2)</f>
        <v/>
      </c>
      <c r="OQR3" s="1" t="str" cm="1">
        <f t="array" ref="OQR3">GetValue("Dmn","Name",OQR2)</f>
        <v/>
      </c>
      <c r="OQS3" s="1" t="str" cm="1">
        <f t="array" ref="OQS3">GetValue("Dmn","Name",OQS2)</f>
        <v/>
      </c>
      <c r="OQT3" s="1" t="str" cm="1">
        <f t="array" ref="OQT3">GetValue("Dmn","Name",OQT2)</f>
        <v/>
      </c>
      <c r="OQU3" s="1" t="str" cm="1">
        <f t="array" ref="OQU3">GetValue("Dmn","Name",OQU2)</f>
        <v/>
      </c>
      <c r="OQV3" s="1" t="str" cm="1">
        <f t="array" ref="OQV3">GetValue("Dmn","Name",OQV2)</f>
        <v/>
      </c>
      <c r="OQW3" s="1" t="str" cm="1">
        <f t="array" ref="OQW3">GetValue("Dmn","Name",OQW2)</f>
        <v/>
      </c>
      <c r="OQX3" s="1" t="str" cm="1">
        <f t="array" ref="OQX3">GetValue("Dmn","Name",OQX2)</f>
        <v/>
      </c>
      <c r="OQY3" s="1" t="str" cm="1">
        <f t="array" ref="OQY3">GetValue("Dmn","Name",OQY2)</f>
        <v/>
      </c>
      <c r="OQZ3" s="1" t="str" cm="1">
        <f t="array" ref="OQZ3">GetValue("Dmn","Name",OQZ2)</f>
        <v/>
      </c>
      <c r="ORA3" s="1" t="str" cm="1">
        <f t="array" ref="ORA3">GetValue("Dmn","Name",ORA2)</f>
        <v/>
      </c>
      <c r="ORB3" s="1" t="str" cm="1">
        <f t="array" ref="ORB3">GetValue("Dmn","Name",ORB2)</f>
        <v/>
      </c>
      <c r="ORC3" s="1" t="str" cm="1">
        <f t="array" ref="ORC3">GetValue("Dmn","Name",ORC2)</f>
        <v/>
      </c>
      <c r="ORD3" s="1" t="str" cm="1">
        <f t="array" ref="ORD3">GetValue("Dmn","Name",ORD2)</f>
        <v/>
      </c>
      <c r="ORE3" s="1" t="str" cm="1">
        <f t="array" ref="ORE3">GetValue("Dmn","Name",ORE2)</f>
        <v/>
      </c>
      <c r="ORF3" s="1" t="str" cm="1">
        <f t="array" ref="ORF3">GetValue("Dmn","Name",ORF2)</f>
        <v/>
      </c>
      <c r="ORG3" s="1" t="str" cm="1">
        <f t="array" ref="ORG3">GetValue("Dmn","Name",ORG2)</f>
        <v/>
      </c>
      <c r="ORH3" s="1" t="str" cm="1">
        <f t="array" ref="ORH3">GetValue("Dmn","Name",ORH2)</f>
        <v/>
      </c>
      <c r="ORI3" s="1" t="str" cm="1">
        <f t="array" ref="ORI3">GetValue("Dmn","Name",ORI2)</f>
        <v/>
      </c>
      <c r="ORJ3" s="1" t="str" cm="1">
        <f t="array" ref="ORJ3">GetValue("Dmn","Name",ORJ2)</f>
        <v/>
      </c>
      <c r="ORK3" s="1" t="str" cm="1">
        <f t="array" ref="ORK3">GetValue("Dmn","Name",ORK2)</f>
        <v/>
      </c>
      <c r="ORL3" s="1" t="str" cm="1">
        <f t="array" ref="ORL3">GetValue("Dmn","Name",ORL2)</f>
        <v/>
      </c>
      <c r="ORM3" s="1" t="str" cm="1">
        <f t="array" ref="ORM3">GetValue("Dmn","Name",ORM2)</f>
        <v/>
      </c>
      <c r="ORN3" s="1" t="str" cm="1">
        <f t="array" ref="ORN3">GetValue("Dmn","Name",ORN2)</f>
        <v/>
      </c>
      <c r="ORO3" s="1" t="str" cm="1">
        <f t="array" ref="ORO3">GetValue("Dmn","Name",ORO2)</f>
        <v/>
      </c>
      <c r="ORP3" s="1" t="str" cm="1">
        <f t="array" ref="ORP3">GetValue("Dmn","Name",ORP2)</f>
        <v/>
      </c>
      <c r="ORQ3" s="1" t="str" cm="1">
        <f t="array" ref="ORQ3">GetValue("Dmn","Name",ORQ2)</f>
        <v/>
      </c>
      <c r="ORR3" s="1" t="str" cm="1">
        <f t="array" ref="ORR3">GetValue("Dmn","Name",ORR2)</f>
        <v/>
      </c>
      <c r="ORS3" s="1" t="str" cm="1">
        <f t="array" ref="ORS3">GetValue("Dmn","Name",ORS2)</f>
        <v/>
      </c>
      <c r="ORT3" s="1" t="str" cm="1">
        <f t="array" ref="ORT3">GetValue("Dmn","Name",ORT2)</f>
        <v/>
      </c>
      <c r="ORU3" s="1" t="str" cm="1">
        <f t="array" ref="ORU3">GetValue("Dmn","Name",ORU2)</f>
        <v/>
      </c>
      <c r="ORV3" s="1" t="str" cm="1">
        <f t="array" ref="ORV3">GetValue("Dmn","Name",ORV2)</f>
        <v/>
      </c>
      <c r="ORW3" s="1" t="str" cm="1">
        <f t="array" ref="ORW3">GetValue("Dmn","Name",ORW2)</f>
        <v/>
      </c>
      <c r="ORX3" s="1" t="str" cm="1">
        <f t="array" ref="ORX3">GetValue("Dmn","Name",ORX2)</f>
        <v/>
      </c>
      <c r="ORY3" s="1" t="str" cm="1">
        <f t="array" ref="ORY3">GetValue("Dmn","Name",ORY2)</f>
        <v/>
      </c>
      <c r="ORZ3" s="1" t="str" cm="1">
        <f t="array" ref="ORZ3">GetValue("Dmn","Name",ORZ2)</f>
        <v/>
      </c>
      <c r="OSA3" s="1" t="str" cm="1">
        <f t="array" ref="OSA3">GetValue("Dmn","Name",OSA2)</f>
        <v/>
      </c>
      <c r="OSB3" s="1" t="str" cm="1">
        <f t="array" ref="OSB3">GetValue("Dmn","Name",OSB2)</f>
        <v/>
      </c>
      <c r="OSC3" s="1" t="str" cm="1">
        <f t="array" ref="OSC3">GetValue("Dmn","Name",OSC2)</f>
        <v/>
      </c>
      <c r="OSD3" s="1" t="str" cm="1">
        <f t="array" ref="OSD3">GetValue("Dmn","Name",OSD2)</f>
        <v/>
      </c>
      <c r="OSE3" s="1" t="str" cm="1">
        <f t="array" ref="OSE3">GetValue("Dmn","Name",OSE2)</f>
        <v/>
      </c>
      <c r="OSF3" s="1" t="str" cm="1">
        <f t="array" ref="OSF3">GetValue("Dmn","Name",OSF2)</f>
        <v/>
      </c>
      <c r="OSG3" s="1" t="str" cm="1">
        <f t="array" ref="OSG3">GetValue("Dmn","Name",OSG2)</f>
        <v/>
      </c>
      <c r="OSH3" s="1" t="str" cm="1">
        <f t="array" ref="OSH3">GetValue("Dmn","Name",OSH2)</f>
        <v/>
      </c>
      <c r="OSI3" s="1" t="str" cm="1">
        <f t="array" ref="OSI3">GetValue("Dmn","Name",OSI2)</f>
        <v/>
      </c>
      <c r="OSJ3" s="1" t="str" cm="1">
        <f t="array" ref="OSJ3">GetValue("Dmn","Name",OSJ2)</f>
        <v/>
      </c>
      <c r="OSK3" s="1" t="str" cm="1">
        <f t="array" ref="OSK3">GetValue("Dmn","Name",OSK2)</f>
        <v/>
      </c>
      <c r="OSL3" s="1" t="str" cm="1">
        <f t="array" ref="OSL3">GetValue("Dmn","Name",OSL2)</f>
        <v/>
      </c>
      <c r="OSM3" s="1" t="str" cm="1">
        <f t="array" ref="OSM3">GetValue("Dmn","Name",OSM2)</f>
        <v/>
      </c>
      <c r="OSN3" s="1" t="str" cm="1">
        <f t="array" ref="OSN3">GetValue("Dmn","Name",OSN2)</f>
        <v/>
      </c>
      <c r="OSO3" s="1" t="str" cm="1">
        <f t="array" ref="OSO3">GetValue("Dmn","Name",OSO2)</f>
        <v/>
      </c>
      <c r="OSP3" s="1" t="str" cm="1">
        <f t="array" ref="OSP3">GetValue("Dmn","Name",OSP2)</f>
        <v/>
      </c>
      <c r="OSQ3" s="1" t="str" cm="1">
        <f t="array" ref="OSQ3">GetValue("Dmn","Name",OSQ2)</f>
        <v/>
      </c>
      <c r="OSR3" s="1" t="str" cm="1">
        <f t="array" ref="OSR3">GetValue("Dmn","Name",OSR2)</f>
        <v/>
      </c>
      <c r="OSS3" s="1" t="str" cm="1">
        <f t="array" ref="OSS3">GetValue("Dmn","Name",OSS2)</f>
        <v/>
      </c>
      <c r="OST3" s="1" t="str" cm="1">
        <f t="array" ref="OST3">GetValue("Dmn","Name",OST2)</f>
        <v/>
      </c>
      <c r="OSU3" s="1" t="str" cm="1">
        <f t="array" ref="OSU3">GetValue("Dmn","Name",OSU2)</f>
        <v/>
      </c>
      <c r="OSV3" s="1" t="str" cm="1">
        <f t="array" ref="OSV3">GetValue("Dmn","Name",OSV2)</f>
        <v/>
      </c>
      <c r="OSW3" s="1" t="str" cm="1">
        <f t="array" ref="OSW3">GetValue("Dmn","Name",OSW2)</f>
        <v/>
      </c>
      <c r="OSX3" s="1" t="str" cm="1">
        <f t="array" ref="OSX3">GetValue("Dmn","Name",OSX2)</f>
        <v/>
      </c>
      <c r="OSY3" s="1" t="str" cm="1">
        <f t="array" ref="OSY3">GetValue("Dmn","Name",OSY2)</f>
        <v/>
      </c>
      <c r="OSZ3" s="1" t="str" cm="1">
        <f t="array" ref="OSZ3">GetValue("Dmn","Name",OSZ2)</f>
        <v/>
      </c>
      <c r="OTA3" s="1" t="str" cm="1">
        <f t="array" ref="OTA3">GetValue("Dmn","Name",OTA2)</f>
        <v/>
      </c>
      <c r="OTB3" s="1" t="str" cm="1">
        <f t="array" ref="OTB3">GetValue("Dmn","Name",OTB2)</f>
        <v/>
      </c>
      <c r="OTC3" s="1" t="str" cm="1">
        <f t="array" ref="OTC3">GetValue("Dmn","Name",OTC2)</f>
        <v/>
      </c>
      <c r="OTD3" s="1" t="str" cm="1">
        <f t="array" ref="OTD3">GetValue("Dmn","Name",OTD2)</f>
        <v/>
      </c>
      <c r="OTE3" s="1" t="str" cm="1">
        <f t="array" ref="OTE3">GetValue("Dmn","Name",OTE2)</f>
        <v/>
      </c>
      <c r="OTF3" s="1" t="str" cm="1">
        <f t="array" ref="OTF3">GetValue("Dmn","Name",OTF2)</f>
        <v/>
      </c>
      <c r="OTG3" s="1" t="str" cm="1">
        <f t="array" ref="OTG3">GetValue("Dmn","Name",OTG2)</f>
        <v/>
      </c>
      <c r="OTH3" s="1" t="str" cm="1">
        <f t="array" ref="OTH3">GetValue("Dmn","Name",OTH2)</f>
        <v/>
      </c>
      <c r="OTI3" s="1" t="str" cm="1">
        <f t="array" ref="OTI3">GetValue("Dmn","Name",OTI2)</f>
        <v/>
      </c>
      <c r="OTJ3" s="1" t="str" cm="1">
        <f t="array" ref="OTJ3">GetValue("Dmn","Name",OTJ2)</f>
        <v/>
      </c>
      <c r="OTK3" s="1" t="str" cm="1">
        <f t="array" ref="OTK3">GetValue("Dmn","Name",OTK2)</f>
        <v/>
      </c>
      <c r="OTL3" s="1" t="str" cm="1">
        <f t="array" ref="OTL3">GetValue("Dmn","Name",OTL2)</f>
        <v/>
      </c>
      <c r="OTM3" s="1" t="str" cm="1">
        <f t="array" ref="OTM3">GetValue("Dmn","Name",OTM2)</f>
        <v/>
      </c>
      <c r="OTN3" s="1" t="str" cm="1">
        <f t="array" ref="OTN3">GetValue("Dmn","Name",OTN2)</f>
        <v/>
      </c>
      <c r="OTO3" s="1" t="str" cm="1">
        <f t="array" ref="OTO3">GetValue("Dmn","Name",OTO2)</f>
        <v/>
      </c>
      <c r="OTP3" s="1" t="str" cm="1">
        <f t="array" ref="OTP3">GetValue("Dmn","Name",OTP2)</f>
        <v/>
      </c>
      <c r="OTQ3" s="1" t="str" cm="1">
        <f t="array" ref="OTQ3">GetValue("Dmn","Name",OTQ2)</f>
        <v/>
      </c>
      <c r="OTR3" s="1" t="str" cm="1">
        <f t="array" ref="OTR3">GetValue("Dmn","Name",OTR2)</f>
        <v/>
      </c>
      <c r="OTS3" s="1" t="str" cm="1">
        <f t="array" ref="OTS3">GetValue("Dmn","Name",OTS2)</f>
        <v/>
      </c>
      <c r="OTT3" s="1" t="str" cm="1">
        <f t="array" ref="OTT3">GetValue("Dmn","Name",OTT2)</f>
        <v/>
      </c>
      <c r="OTU3" s="1" t="str" cm="1">
        <f t="array" ref="OTU3">GetValue("Dmn","Name",OTU2)</f>
        <v/>
      </c>
      <c r="OTV3" s="1" t="str" cm="1">
        <f t="array" ref="OTV3">GetValue("Dmn","Name",OTV2)</f>
        <v/>
      </c>
      <c r="OTW3" s="1" t="str" cm="1">
        <f t="array" ref="OTW3">GetValue("Dmn","Name",OTW2)</f>
        <v/>
      </c>
      <c r="OTX3" s="1" t="str" cm="1">
        <f t="array" ref="OTX3">GetValue("Dmn","Name",OTX2)</f>
        <v/>
      </c>
      <c r="OTY3" s="1" t="str" cm="1">
        <f t="array" ref="OTY3">GetValue("Dmn","Name",OTY2)</f>
        <v/>
      </c>
      <c r="OTZ3" s="1" t="str" cm="1">
        <f t="array" ref="OTZ3">GetValue("Dmn","Name",OTZ2)</f>
        <v/>
      </c>
      <c r="OUA3" s="1" t="str" cm="1">
        <f t="array" ref="OUA3">GetValue("Dmn","Name",OUA2)</f>
        <v/>
      </c>
      <c r="OUB3" s="1" t="str" cm="1">
        <f t="array" ref="OUB3">GetValue("Dmn","Name",OUB2)</f>
        <v/>
      </c>
      <c r="OUC3" s="1" t="str" cm="1">
        <f t="array" ref="OUC3">GetValue("Dmn","Name",OUC2)</f>
        <v/>
      </c>
      <c r="OUD3" s="1" t="str" cm="1">
        <f t="array" ref="OUD3">GetValue("Dmn","Name",OUD2)</f>
        <v/>
      </c>
      <c r="OUE3" s="1" t="str" cm="1">
        <f t="array" ref="OUE3">GetValue("Dmn","Name",OUE2)</f>
        <v/>
      </c>
      <c r="OUF3" s="1" t="str" cm="1">
        <f t="array" ref="OUF3">GetValue("Dmn","Name",OUF2)</f>
        <v/>
      </c>
      <c r="OUG3" s="1" t="str" cm="1">
        <f t="array" ref="OUG3">GetValue("Dmn","Name",OUG2)</f>
        <v/>
      </c>
      <c r="OUH3" s="1" t="str" cm="1">
        <f t="array" ref="OUH3">GetValue("Dmn","Name",OUH2)</f>
        <v/>
      </c>
      <c r="OUI3" s="1" t="str" cm="1">
        <f t="array" ref="OUI3">GetValue("Dmn","Name",OUI2)</f>
        <v/>
      </c>
      <c r="OUJ3" s="1" t="str" cm="1">
        <f t="array" ref="OUJ3">GetValue("Dmn","Name",OUJ2)</f>
        <v/>
      </c>
      <c r="OUK3" s="1" t="str" cm="1">
        <f t="array" ref="OUK3">GetValue("Dmn","Name",OUK2)</f>
        <v/>
      </c>
      <c r="OUL3" s="1" t="str" cm="1">
        <f t="array" ref="OUL3">GetValue("Dmn","Name",OUL2)</f>
        <v/>
      </c>
      <c r="OUM3" s="1" t="str" cm="1">
        <f t="array" ref="OUM3">GetValue("Dmn","Name",OUM2)</f>
        <v/>
      </c>
      <c r="OUN3" s="1" t="str" cm="1">
        <f t="array" ref="OUN3">GetValue("Dmn","Name",OUN2)</f>
        <v/>
      </c>
      <c r="OUO3" s="1" t="str" cm="1">
        <f t="array" ref="OUO3">GetValue("Dmn","Name",OUO2)</f>
        <v/>
      </c>
      <c r="OUP3" s="1" t="str" cm="1">
        <f t="array" ref="OUP3">GetValue("Dmn","Name",OUP2)</f>
        <v/>
      </c>
      <c r="OUQ3" s="1" t="str" cm="1">
        <f t="array" ref="OUQ3">GetValue("Dmn","Name",OUQ2)</f>
        <v/>
      </c>
      <c r="OUR3" s="1" t="str" cm="1">
        <f t="array" ref="OUR3">GetValue("Dmn","Name",OUR2)</f>
        <v/>
      </c>
      <c r="OUS3" s="1" t="str" cm="1">
        <f t="array" ref="OUS3">GetValue("Dmn","Name",OUS2)</f>
        <v/>
      </c>
      <c r="OUT3" s="1" t="str" cm="1">
        <f t="array" ref="OUT3">GetValue("Dmn","Name",OUT2)</f>
        <v/>
      </c>
      <c r="OUU3" s="1" t="str" cm="1">
        <f t="array" ref="OUU3">GetValue("Dmn","Name",OUU2)</f>
        <v/>
      </c>
      <c r="OUV3" s="1" t="str" cm="1">
        <f t="array" ref="OUV3">GetValue("Dmn","Name",OUV2)</f>
        <v/>
      </c>
      <c r="OUW3" s="1" t="str" cm="1">
        <f t="array" ref="OUW3">GetValue("Dmn","Name",OUW2)</f>
        <v/>
      </c>
      <c r="OUX3" s="1" t="str" cm="1">
        <f t="array" ref="OUX3">GetValue("Dmn","Name",OUX2)</f>
        <v/>
      </c>
      <c r="OUY3" s="1" t="str" cm="1">
        <f t="array" ref="OUY3">GetValue("Dmn","Name",OUY2)</f>
        <v/>
      </c>
      <c r="OUZ3" s="1" t="str" cm="1">
        <f t="array" ref="OUZ3">GetValue("Dmn","Name",OUZ2)</f>
        <v/>
      </c>
      <c r="OVA3" s="1" t="str" cm="1">
        <f t="array" ref="OVA3">GetValue("Dmn","Name",OVA2)</f>
        <v/>
      </c>
      <c r="OVB3" s="1" t="str" cm="1">
        <f t="array" ref="OVB3">GetValue("Dmn","Name",OVB2)</f>
        <v/>
      </c>
      <c r="OVC3" s="1" t="str" cm="1">
        <f t="array" ref="OVC3">GetValue("Dmn","Name",OVC2)</f>
        <v/>
      </c>
      <c r="OVD3" s="1" t="str" cm="1">
        <f t="array" ref="OVD3">GetValue("Dmn","Name",OVD2)</f>
        <v/>
      </c>
      <c r="OVE3" s="1" t="str" cm="1">
        <f t="array" ref="OVE3">GetValue("Dmn","Name",OVE2)</f>
        <v/>
      </c>
      <c r="OVF3" s="1" t="str" cm="1">
        <f t="array" ref="OVF3">GetValue("Dmn","Name",OVF2)</f>
        <v/>
      </c>
      <c r="OVG3" s="1" t="str" cm="1">
        <f t="array" ref="OVG3">GetValue("Dmn","Name",OVG2)</f>
        <v/>
      </c>
      <c r="OVH3" s="1" t="str" cm="1">
        <f t="array" ref="OVH3">GetValue("Dmn","Name",OVH2)</f>
        <v/>
      </c>
      <c r="OVI3" s="1" t="str" cm="1">
        <f t="array" ref="OVI3">GetValue("Dmn","Name",OVI2)</f>
        <v/>
      </c>
      <c r="OVJ3" s="1" t="str" cm="1">
        <f t="array" ref="OVJ3">GetValue("Dmn","Name",OVJ2)</f>
        <v/>
      </c>
      <c r="OVK3" s="1" t="str" cm="1">
        <f t="array" ref="OVK3">GetValue("Dmn","Name",OVK2)</f>
        <v/>
      </c>
      <c r="OVL3" s="1" t="str" cm="1">
        <f t="array" ref="OVL3">GetValue("Dmn","Name",OVL2)</f>
        <v/>
      </c>
      <c r="OVM3" s="1" t="str" cm="1">
        <f t="array" ref="OVM3">GetValue("Dmn","Name",OVM2)</f>
        <v/>
      </c>
      <c r="OVN3" s="1" t="str" cm="1">
        <f t="array" ref="OVN3">GetValue("Dmn","Name",OVN2)</f>
        <v/>
      </c>
      <c r="OVO3" s="1" t="str" cm="1">
        <f t="array" ref="OVO3">GetValue("Dmn","Name",OVO2)</f>
        <v/>
      </c>
      <c r="OVP3" s="1" t="str" cm="1">
        <f t="array" ref="OVP3">GetValue("Dmn","Name",OVP2)</f>
        <v/>
      </c>
      <c r="OVQ3" s="1" t="str" cm="1">
        <f t="array" ref="OVQ3">GetValue("Dmn","Name",OVQ2)</f>
        <v/>
      </c>
      <c r="OVR3" s="1" t="str" cm="1">
        <f t="array" ref="OVR3">GetValue("Dmn","Name",OVR2)</f>
        <v/>
      </c>
      <c r="OVS3" s="1" t="str" cm="1">
        <f t="array" ref="OVS3">GetValue("Dmn","Name",OVS2)</f>
        <v/>
      </c>
      <c r="OVT3" s="1" t="str" cm="1">
        <f t="array" ref="OVT3">GetValue("Dmn","Name",OVT2)</f>
        <v/>
      </c>
      <c r="OVU3" s="1" t="str" cm="1">
        <f t="array" ref="OVU3">GetValue("Dmn","Name",OVU2)</f>
        <v/>
      </c>
      <c r="OVV3" s="1" t="str" cm="1">
        <f t="array" ref="OVV3">GetValue("Dmn","Name",OVV2)</f>
        <v/>
      </c>
      <c r="OVW3" s="1" t="str" cm="1">
        <f t="array" ref="OVW3">GetValue("Dmn","Name",OVW2)</f>
        <v/>
      </c>
      <c r="OVX3" s="1" t="str" cm="1">
        <f t="array" ref="OVX3">GetValue("Dmn","Name",OVX2)</f>
        <v/>
      </c>
      <c r="OVY3" s="1" t="str" cm="1">
        <f t="array" ref="OVY3">GetValue("Dmn","Name",OVY2)</f>
        <v/>
      </c>
      <c r="OVZ3" s="1" t="str" cm="1">
        <f t="array" ref="OVZ3">GetValue("Dmn","Name",OVZ2)</f>
        <v/>
      </c>
      <c r="OWA3" s="1" t="str" cm="1">
        <f t="array" ref="OWA3">GetValue("Dmn","Name",OWA2)</f>
        <v/>
      </c>
      <c r="OWB3" s="1" t="str" cm="1">
        <f t="array" ref="OWB3">GetValue("Dmn","Name",OWB2)</f>
        <v/>
      </c>
      <c r="OWC3" s="1" t="str" cm="1">
        <f t="array" ref="OWC3">GetValue("Dmn","Name",OWC2)</f>
        <v/>
      </c>
      <c r="OWD3" s="1" t="str" cm="1">
        <f t="array" ref="OWD3">GetValue("Dmn","Name",OWD2)</f>
        <v/>
      </c>
      <c r="OWE3" s="1" t="str" cm="1">
        <f t="array" ref="OWE3">GetValue("Dmn","Name",OWE2)</f>
        <v/>
      </c>
      <c r="OWF3" s="1" t="str" cm="1">
        <f t="array" ref="OWF3">GetValue("Dmn","Name",OWF2)</f>
        <v/>
      </c>
      <c r="OWG3" s="1" t="str" cm="1">
        <f t="array" ref="OWG3">GetValue("Dmn","Name",OWG2)</f>
        <v/>
      </c>
      <c r="OWH3" s="1" t="str" cm="1">
        <f t="array" ref="OWH3">GetValue("Dmn","Name",OWH2)</f>
        <v/>
      </c>
      <c r="OWI3" s="1" t="str" cm="1">
        <f t="array" ref="OWI3">GetValue("Dmn","Name",OWI2)</f>
        <v/>
      </c>
      <c r="OWJ3" s="1" t="str" cm="1">
        <f t="array" ref="OWJ3">GetValue("Dmn","Name",OWJ2)</f>
        <v/>
      </c>
      <c r="OWK3" s="1" t="str" cm="1">
        <f t="array" ref="OWK3">GetValue("Dmn","Name",OWK2)</f>
        <v/>
      </c>
      <c r="OWL3" s="1" t="str" cm="1">
        <f t="array" ref="OWL3">GetValue("Dmn","Name",OWL2)</f>
        <v/>
      </c>
      <c r="OWM3" s="1" t="str" cm="1">
        <f t="array" ref="OWM3">GetValue("Dmn","Name",OWM2)</f>
        <v/>
      </c>
      <c r="OWN3" s="1" t="str" cm="1">
        <f t="array" ref="OWN3">GetValue("Dmn","Name",OWN2)</f>
        <v/>
      </c>
      <c r="OWO3" s="1" t="str" cm="1">
        <f t="array" ref="OWO3">GetValue("Dmn","Name",OWO2)</f>
        <v/>
      </c>
      <c r="OWP3" s="1" t="str" cm="1">
        <f t="array" ref="OWP3">GetValue("Dmn","Name",OWP2)</f>
        <v/>
      </c>
      <c r="OWQ3" s="1" t="str" cm="1">
        <f t="array" ref="OWQ3">GetValue("Dmn","Name",OWQ2)</f>
        <v/>
      </c>
      <c r="OWR3" s="1" t="str" cm="1">
        <f t="array" ref="OWR3">GetValue("Dmn","Name",OWR2)</f>
        <v/>
      </c>
      <c r="OWS3" s="1" t="str" cm="1">
        <f t="array" ref="OWS3">GetValue("Dmn","Name",OWS2)</f>
        <v/>
      </c>
      <c r="OWT3" s="1" t="str" cm="1">
        <f t="array" ref="OWT3">GetValue("Dmn","Name",OWT2)</f>
        <v/>
      </c>
      <c r="OWU3" s="1" t="str" cm="1">
        <f t="array" ref="OWU3">GetValue("Dmn","Name",OWU2)</f>
        <v/>
      </c>
      <c r="OWV3" s="1" t="str" cm="1">
        <f t="array" ref="OWV3">GetValue("Dmn","Name",OWV2)</f>
        <v/>
      </c>
      <c r="OWW3" s="1" t="str" cm="1">
        <f t="array" ref="OWW3">GetValue("Dmn","Name",OWW2)</f>
        <v/>
      </c>
      <c r="OWX3" s="1" t="str" cm="1">
        <f t="array" ref="OWX3">GetValue("Dmn","Name",OWX2)</f>
        <v/>
      </c>
      <c r="OWY3" s="1" t="str" cm="1">
        <f t="array" ref="OWY3">GetValue("Dmn","Name",OWY2)</f>
        <v/>
      </c>
      <c r="OWZ3" s="1" t="str" cm="1">
        <f t="array" ref="OWZ3">GetValue("Dmn","Name",OWZ2)</f>
        <v/>
      </c>
      <c r="OXA3" s="1" t="str" cm="1">
        <f t="array" ref="OXA3">GetValue("Dmn","Name",OXA2)</f>
        <v/>
      </c>
      <c r="OXB3" s="1" t="str" cm="1">
        <f t="array" ref="OXB3">GetValue("Dmn","Name",OXB2)</f>
        <v/>
      </c>
      <c r="OXC3" s="1" t="str" cm="1">
        <f t="array" ref="OXC3">GetValue("Dmn","Name",OXC2)</f>
        <v/>
      </c>
      <c r="OXD3" s="1" t="str" cm="1">
        <f t="array" ref="OXD3">GetValue("Dmn","Name",OXD2)</f>
        <v/>
      </c>
      <c r="OXE3" s="1" t="str" cm="1">
        <f t="array" ref="OXE3">GetValue("Dmn","Name",OXE2)</f>
        <v/>
      </c>
      <c r="OXF3" s="1" t="str" cm="1">
        <f t="array" ref="OXF3">GetValue("Dmn","Name",OXF2)</f>
        <v/>
      </c>
      <c r="OXG3" s="1" t="str" cm="1">
        <f t="array" ref="OXG3">GetValue("Dmn","Name",OXG2)</f>
        <v/>
      </c>
      <c r="OXH3" s="1" t="str" cm="1">
        <f t="array" ref="OXH3">GetValue("Dmn","Name",OXH2)</f>
        <v/>
      </c>
      <c r="OXI3" s="1" t="str" cm="1">
        <f t="array" ref="OXI3">GetValue("Dmn","Name",OXI2)</f>
        <v/>
      </c>
      <c r="OXJ3" s="1" t="str" cm="1">
        <f t="array" ref="OXJ3">GetValue("Dmn","Name",OXJ2)</f>
        <v/>
      </c>
      <c r="OXK3" s="1" t="str" cm="1">
        <f t="array" ref="OXK3">GetValue("Dmn","Name",OXK2)</f>
        <v/>
      </c>
      <c r="OXL3" s="1" t="str" cm="1">
        <f t="array" ref="OXL3">GetValue("Dmn","Name",OXL2)</f>
        <v/>
      </c>
      <c r="OXM3" s="1" t="str" cm="1">
        <f t="array" ref="OXM3">GetValue("Dmn","Name",OXM2)</f>
        <v/>
      </c>
      <c r="OXN3" s="1" t="str" cm="1">
        <f t="array" ref="OXN3">GetValue("Dmn","Name",OXN2)</f>
        <v/>
      </c>
      <c r="OXO3" s="1" t="str" cm="1">
        <f t="array" ref="OXO3">GetValue("Dmn","Name",OXO2)</f>
        <v/>
      </c>
      <c r="OXP3" s="1" t="str" cm="1">
        <f t="array" ref="OXP3">GetValue("Dmn","Name",OXP2)</f>
        <v/>
      </c>
      <c r="OXQ3" s="1" t="str" cm="1">
        <f t="array" ref="OXQ3">GetValue("Dmn","Name",OXQ2)</f>
        <v/>
      </c>
      <c r="OXR3" s="1" t="str" cm="1">
        <f t="array" ref="OXR3">GetValue("Dmn","Name",OXR2)</f>
        <v/>
      </c>
      <c r="OXS3" s="1" t="str" cm="1">
        <f t="array" ref="OXS3">GetValue("Dmn","Name",OXS2)</f>
        <v/>
      </c>
      <c r="OXT3" s="1" t="str" cm="1">
        <f t="array" ref="OXT3">GetValue("Dmn","Name",OXT2)</f>
        <v/>
      </c>
      <c r="OXU3" s="1" t="str" cm="1">
        <f t="array" ref="OXU3">GetValue("Dmn","Name",OXU2)</f>
        <v/>
      </c>
      <c r="OXV3" s="1" t="str" cm="1">
        <f t="array" ref="OXV3">GetValue("Dmn","Name",OXV2)</f>
        <v/>
      </c>
      <c r="OXW3" s="1" t="str" cm="1">
        <f t="array" ref="OXW3">GetValue("Dmn","Name",OXW2)</f>
        <v/>
      </c>
      <c r="OXX3" s="1" t="str" cm="1">
        <f t="array" ref="OXX3">GetValue("Dmn","Name",OXX2)</f>
        <v/>
      </c>
      <c r="OXY3" s="1" t="str" cm="1">
        <f t="array" ref="OXY3">GetValue("Dmn","Name",OXY2)</f>
        <v/>
      </c>
      <c r="OXZ3" s="1" t="str" cm="1">
        <f t="array" ref="OXZ3">GetValue("Dmn","Name",OXZ2)</f>
        <v/>
      </c>
      <c r="OYA3" s="1" t="str" cm="1">
        <f t="array" ref="OYA3">GetValue("Dmn","Name",OYA2)</f>
        <v/>
      </c>
      <c r="OYB3" s="1" t="str" cm="1">
        <f t="array" ref="OYB3">GetValue("Dmn","Name",OYB2)</f>
        <v/>
      </c>
      <c r="OYC3" s="1" t="str" cm="1">
        <f t="array" ref="OYC3">GetValue("Dmn","Name",OYC2)</f>
        <v/>
      </c>
      <c r="OYD3" s="1" t="str" cm="1">
        <f t="array" ref="OYD3">GetValue("Dmn","Name",OYD2)</f>
        <v/>
      </c>
      <c r="OYE3" s="1" t="str" cm="1">
        <f t="array" ref="OYE3">GetValue("Dmn","Name",OYE2)</f>
        <v/>
      </c>
      <c r="OYF3" s="1" t="str" cm="1">
        <f t="array" ref="OYF3">GetValue("Dmn","Name",OYF2)</f>
        <v/>
      </c>
      <c r="OYG3" s="1" t="str" cm="1">
        <f t="array" ref="OYG3">GetValue("Dmn","Name",OYG2)</f>
        <v/>
      </c>
      <c r="OYH3" s="1" t="str" cm="1">
        <f t="array" ref="OYH3">GetValue("Dmn","Name",OYH2)</f>
        <v/>
      </c>
      <c r="OYI3" s="1" t="str" cm="1">
        <f t="array" ref="OYI3">GetValue("Dmn","Name",OYI2)</f>
        <v/>
      </c>
      <c r="OYJ3" s="1" t="str" cm="1">
        <f t="array" ref="OYJ3">GetValue("Dmn","Name",OYJ2)</f>
        <v/>
      </c>
      <c r="OYK3" s="1" t="str" cm="1">
        <f t="array" ref="OYK3">GetValue("Dmn","Name",OYK2)</f>
        <v/>
      </c>
      <c r="OYL3" s="1" t="str" cm="1">
        <f t="array" ref="OYL3">GetValue("Dmn","Name",OYL2)</f>
        <v/>
      </c>
      <c r="OYM3" s="1" t="str" cm="1">
        <f t="array" ref="OYM3">GetValue("Dmn","Name",OYM2)</f>
        <v/>
      </c>
      <c r="OYN3" s="1" t="str" cm="1">
        <f t="array" ref="OYN3">GetValue("Dmn","Name",OYN2)</f>
        <v/>
      </c>
      <c r="OYO3" s="1" t="str" cm="1">
        <f t="array" ref="OYO3">GetValue("Dmn","Name",OYO2)</f>
        <v/>
      </c>
      <c r="OYP3" s="1" t="str" cm="1">
        <f t="array" ref="OYP3">GetValue("Dmn","Name",OYP2)</f>
        <v/>
      </c>
      <c r="OYQ3" s="1" t="str" cm="1">
        <f t="array" ref="OYQ3">GetValue("Dmn","Name",OYQ2)</f>
        <v/>
      </c>
      <c r="OYR3" s="1" t="str" cm="1">
        <f t="array" ref="OYR3">GetValue("Dmn","Name",OYR2)</f>
        <v/>
      </c>
      <c r="OYS3" s="1" t="str" cm="1">
        <f t="array" ref="OYS3">GetValue("Dmn","Name",OYS2)</f>
        <v/>
      </c>
      <c r="OYT3" s="1" t="str" cm="1">
        <f t="array" ref="OYT3">GetValue("Dmn","Name",OYT2)</f>
        <v/>
      </c>
      <c r="OYU3" s="1" t="str" cm="1">
        <f t="array" ref="OYU3">GetValue("Dmn","Name",OYU2)</f>
        <v/>
      </c>
      <c r="OYV3" s="1" t="str" cm="1">
        <f t="array" ref="OYV3">GetValue("Dmn","Name",OYV2)</f>
        <v/>
      </c>
      <c r="OYW3" s="1" t="str" cm="1">
        <f t="array" ref="OYW3">GetValue("Dmn","Name",OYW2)</f>
        <v/>
      </c>
      <c r="OYX3" s="1" t="str" cm="1">
        <f t="array" ref="OYX3">GetValue("Dmn","Name",OYX2)</f>
        <v/>
      </c>
      <c r="OYY3" s="1" t="str" cm="1">
        <f t="array" ref="OYY3">GetValue("Dmn","Name",OYY2)</f>
        <v/>
      </c>
      <c r="OYZ3" s="1" t="str" cm="1">
        <f t="array" ref="OYZ3">GetValue("Dmn","Name",OYZ2)</f>
        <v/>
      </c>
      <c r="OZA3" s="1" t="str" cm="1">
        <f t="array" ref="OZA3">GetValue("Dmn","Name",OZA2)</f>
        <v/>
      </c>
      <c r="OZB3" s="1" t="str" cm="1">
        <f t="array" ref="OZB3">GetValue("Dmn","Name",OZB2)</f>
        <v/>
      </c>
      <c r="OZC3" s="1" t="str" cm="1">
        <f t="array" ref="OZC3">GetValue("Dmn","Name",OZC2)</f>
        <v/>
      </c>
      <c r="OZD3" s="1" t="str" cm="1">
        <f t="array" ref="OZD3">GetValue("Dmn","Name",OZD2)</f>
        <v/>
      </c>
      <c r="OZE3" s="1" t="str" cm="1">
        <f t="array" ref="OZE3">GetValue("Dmn","Name",OZE2)</f>
        <v/>
      </c>
      <c r="OZF3" s="1" t="str" cm="1">
        <f t="array" ref="OZF3">GetValue("Dmn","Name",OZF2)</f>
        <v/>
      </c>
      <c r="OZG3" s="1" t="str" cm="1">
        <f t="array" ref="OZG3">GetValue("Dmn","Name",OZG2)</f>
        <v/>
      </c>
      <c r="OZH3" s="1" t="str" cm="1">
        <f t="array" ref="OZH3">GetValue("Dmn","Name",OZH2)</f>
        <v/>
      </c>
      <c r="OZI3" s="1" t="str" cm="1">
        <f t="array" ref="OZI3">GetValue("Dmn","Name",OZI2)</f>
        <v/>
      </c>
      <c r="OZJ3" s="1" t="str" cm="1">
        <f t="array" ref="OZJ3">GetValue("Dmn","Name",OZJ2)</f>
        <v/>
      </c>
      <c r="OZK3" s="1" t="str" cm="1">
        <f t="array" ref="OZK3">GetValue("Dmn","Name",OZK2)</f>
        <v/>
      </c>
      <c r="OZL3" s="1" t="str" cm="1">
        <f t="array" ref="OZL3">GetValue("Dmn","Name",OZL2)</f>
        <v/>
      </c>
      <c r="OZM3" s="1" t="str" cm="1">
        <f t="array" ref="OZM3">GetValue("Dmn","Name",OZM2)</f>
        <v/>
      </c>
      <c r="OZN3" s="1" t="str" cm="1">
        <f t="array" ref="OZN3">GetValue("Dmn","Name",OZN2)</f>
        <v/>
      </c>
      <c r="OZO3" s="1" t="str" cm="1">
        <f t="array" ref="OZO3">GetValue("Dmn","Name",OZO2)</f>
        <v/>
      </c>
      <c r="OZP3" s="1" t="str" cm="1">
        <f t="array" ref="OZP3">GetValue("Dmn","Name",OZP2)</f>
        <v/>
      </c>
      <c r="OZQ3" s="1" t="str" cm="1">
        <f t="array" ref="OZQ3">GetValue("Dmn","Name",OZQ2)</f>
        <v/>
      </c>
      <c r="OZR3" s="1" t="str" cm="1">
        <f t="array" ref="OZR3">GetValue("Dmn","Name",OZR2)</f>
        <v/>
      </c>
      <c r="OZS3" s="1" t="str" cm="1">
        <f t="array" ref="OZS3">GetValue("Dmn","Name",OZS2)</f>
        <v/>
      </c>
      <c r="OZT3" s="1" t="str" cm="1">
        <f t="array" ref="OZT3">GetValue("Dmn","Name",OZT2)</f>
        <v/>
      </c>
      <c r="OZU3" s="1" t="str" cm="1">
        <f t="array" ref="OZU3">GetValue("Dmn","Name",OZU2)</f>
        <v/>
      </c>
      <c r="OZV3" s="1" t="str" cm="1">
        <f t="array" ref="OZV3">GetValue("Dmn","Name",OZV2)</f>
        <v/>
      </c>
      <c r="OZW3" s="1" t="str" cm="1">
        <f t="array" ref="OZW3">GetValue("Dmn","Name",OZW2)</f>
        <v/>
      </c>
      <c r="OZX3" s="1" t="str" cm="1">
        <f t="array" ref="OZX3">GetValue("Dmn","Name",OZX2)</f>
        <v/>
      </c>
      <c r="OZY3" s="1" t="str" cm="1">
        <f t="array" ref="OZY3">GetValue("Dmn","Name",OZY2)</f>
        <v/>
      </c>
      <c r="OZZ3" s="1" t="str" cm="1">
        <f t="array" ref="OZZ3">GetValue("Dmn","Name",OZZ2)</f>
        <v/>
      </c>
      <c r="PAA3" s="1" t="str" cm="1">
        <f t="array" ref="PAA3">GetValue("Dmn","Name",PAA2)</f>
        <v/>
      </c>
      <c r="PAB3" s="1" t="str" cm="1">
        <f t="array" ref="PAB3">GetValue("Dmn","Name",PAB2)</f>
        <v/>
      </c>
      <c r="PAC3" s="1" t="str" cm="1">
        <f t="array" ref="PAC3">GetValue("Dmn","Name",PAC2)</f>
        <v/>
      </c>
      <c r="PAD3" s="1" t="str" cm="1">
        <f t="array" ref="PAD3">GetValue("Dmn","Name",PAD2)</f>
        <v/>
      </c>
      <c r="PAE3" s="1" t="str" cm="1">
        <f t="array" ref="PAE3">GetValue("Dmn","Name",PAE2)</f>
        <v/>
      </c>
      <c r="PAF3" s="1" t="str" cm="1">
        <f t="array" ref="PAF3">GetValue("Dmn","Name",PAF2)</f>
        <v/>
      </c>
      <c r="PAG3" s="1" t="str" cm="1">
        <f t="array" ref="PAG3">GetValue("Dmn","Name",PAG2)</f>
        <v/>
      </c>
      <c r="PAH3" s="1" t="str" cm="1">
        <f t="array" ref="PAH3">GetValue("Dmn","Name",PAH2)</f>
        <v/>
      </c>
      <c r="PAI3" s="1" t="str" cm="1">
        <f t="array" ref="PAI3">GetValue("Dmn","Name",PAI2)</f>
        <v/>
      </c>
      <c r="PAJ3" s="1" t="str" cm="1">
        <f t="array" ref="PAJ3">GetValue("Dmn","Name",PAJ2)</f>
        <v/>
      </c>
      <c r="PAK3" s="1" t="str" cm="1">
        <f t="array" ref="PAK3">GetValue("Dmn","Name",PAK2)</f>
        <v/>
      </c>
      <c r="PAL3" s="1" t="str" cm="1">
        <f t="array" ref="PAL3">GetValue("Dmn","Name",PAL2)</f>
        <v/>
      </c>
      <c r="PAM3" s="1" t="str" cm="1">
        <f t="array" ref="PAM3">GetValue("Dmn","Name",PAM2)</f>
        <v/>
      </c>
      <c r="PAN3" s="1" t="str" cm="1">
        <f t="array" ref="PAN3">GetValue("Dmn","Name",PAN2)</f>
        <v/>
      </c>
      <c r="PAO3" s="1" t="str" cm="1">
        <f t="array" ref="PAO3">GetValue("Dmn","Name",PAO2)</f>
        <v/>
      </c>
      <c r="PAP3" s="1" t="str" cm="1">
        <f t="array" ref="PAP3">GetValue("Dmn","Name",PAP2)</f>
        <v/>
      </c>
      <c r="PAQ3" s="1" t="str" cm="1">
        <f t="array" ref="PAQ3">GetValue("Dmn","Name",PAQ2)</f>
        <v/>
      </c>
      <c r="PAR3" s="1" t="str" cm="1">
        <f t="array" ref="PAR3">GetValue("Dmn","Name",PAR2)</f>
        <v/>
      </c>
      <c r="PAS3" s="1" t="str" cm="1">
        <f t="array" ref="PAS3">GetValue("Dmn","Name",PAS2)</f>
        <v/>
      </c>
      <c r="PAT3" s="1" t="str" cm="1">
        <f t="array" ref="PAT3">GetValue("Dmn","Name",PAT2)</f>
        <v/>
      </c>
      <c r="PAU3" s="1" t="str" cm="1">
        <f t="array" ref="PAU3">GetValue("Dmn","Name",PAU2)</f>
        <v/>
      </c>
      <c r="PAV3" s="1" t="str" cm="1">
        <f t="array" ref="PAV3">GetValue("Dmn","Name",PAV2)</f>
        <v/>
      </c>
      <c r="PAW3" s="1" t="str" cm="1">
        <f t="array" ref="PAW3">GetValue("Dmn","Name",PAW2)</f>
        <v/>
      </c>
      <c r="PAX3" s="1" t="str" cm="1">
        <f t="array" ref="PAX3">GetValue("Dmn","Name",PAX2)</f>
        <v/>
      </c>
      <c r="PAY3" s="1" t="str" cm="1">
        <f t="array" ref="PAY3">GetValue("Dmn","Name",PAY2)</f>
        <v/>
      </c>
      <c r="PAZ3" s="1" t="str" cm="1">
        <f t="array" ref="PAZ3">GetValue("Dmn","Name",PAZ2)</f>
        <v/>
      </c>
      <c r="PBA3" s="1" t="str" cm="1">
        <f t="array" ref="PBA3">GetValue("Dmn","Name",PBA2)</f>
        <v/>
      </c>
      <c r="PBB3" s="1" t="str" cm="1">
        <f t="array" ref="PBB3">GetValue("Dmn","Name",PBB2)</f>
        <v/>
      </c>
      <c r="PBC3" s="1" t="str" cm="1">
        <f t="array" ref="PBC3">GetValue("Dmn","Name",PBC2)</f>
        <v/>
      </c>
      <c r="PBD3" s="1" t="str" cm="1">
        <f t="array" ref="PBD3">GetValue("Dmn","Name",PBD2)</f>
        <v/>
      </c>
      <c r="PBE3" s="1" t="str" cm="1">
        <f t="array" ref="PBE3">GetValue("Dmn","Name",PBE2)</f>
        <v/>
      </c>
      <c r="PBF3" s="1" t="str" cm="1">
        <f t="array" ref="PBF3">GetValue("Dmn","Name",PBF2)</f>
        <v/>
      </c>
      <c r="PBG3" s="1" t="str" cm="1">
        <f t="array" ref="PBG3">GetValue("Dmn","Name",PBG2)</f>
        <v/>
      </c>
      <c r="PBH3" s="1" t="str" cm="1">
        <f t="array" ref="PBH3">GetValue("Dmn","Name",PBH2)</f>
        <v/>
      </c>
      <c r="PBI3" s="1" t="str" cm="1">
        <f t="array" ref="PBI3">GetValue("Dmn","Name",PBI2)</f>
        <v/>
      </c>
      <c r="PBJ3" s="1" t="str" cm="1">
        <f t="array" ref="PBJ3">GetValue("Dmn","Name",PBJ2)</f>
        <v/>
      </c>
      <c r="PBK3" s="1" t="str" cm="1">
        <f t="array" ref="PBK3">GetValue("Dmn","Name",PBK2)</f>
        <v/>
      </c>
      <c r="PBL3" s="1" t="str" cm="1">
        <f t="array" ref="PBL3">GetValue("Dmn","Name",PBL2)</f>
        <v/>
      </c>
      <c r="PBM3" s="1" t="str" cm="1">
        <f t="array" ref="PBM3">GetValue("Dmn","Name",PBM2)</f>
        <v/>
      </c>
      <c r="PBN3" s="1" t="str" cm="1">
        <f t="array" ref="PBN3">GetValue("Dmn","Name",PBN2)</f>
        <v/>
      </c>
      <c r="PBO3" s="1" t="str" cm="1">
        <f t="array" ref="PBO3">GetValue("Dmn","Name",PBO2)</f>
        <v/>
      </c>
      <c r="PBP3" s="1" t="str" cm="1">
        <f t="array" ref="PBP3">GetValue("Dmn","Name",PBP2)</f>
        <v/>
      </c>
      <c r="PBQ3" s="1" t="str" cm="1">
        <f t="array" ref="PBQ3">GetValue("Dmn","Name",PBQ2)</f>
        <v/>
      </c>
      <c r="PBR3" s="1" t="str" cm="1">
        <f t="array" ref="PBR3">GetValue("Dmn","Name",PBR2)</f>
        <v/>
      </c>
      <c r="PBS3" s="1" t="str" cm="1">
        <f t="array" ref="PBS3">GetValue("Dmn","Name",PBS2)</f>
        <v/>
      </c>
      <c r="PBT3" s="1" t="str" cm="1">
        <f t="array" ref="PBT3">GetValue("Dmn","Name",PBT2)</f>
        <v/>
      </c>
      <c r="PBU3" s="1" t="str" cm="1">
        <f t="array" ref="PBU3">GetValue("Dmn","Name",PBU2)</f>
        <v/>
      </c>
      <c r="PBV3" s="1" t="str" cm="1">
        <f t="array" ref="PBV3">GetValue("Dmn","Name",PBV2)</f>
        <v/>
      </c>
      <c r="PBW3" s="1" t="str" cm="1">
        <f t="array" ref="PBW3">GetValue("Dmn","Name",PBW2)</f>
        <v/>
      </c>
      <c r="PBX3" s="1" t="str" cm="1">
        <f t="array" ref="PBX3">GetValue("Dmn","Name",PBX2)</f>
        <v/>
      </c>
      <c r="PBY3" s="1" t="str" cm="1">
        <f t="array" ref="PBY3">GetValue("Dmn","Name",PBY2)</f>
        <v/>
      </c>
      <c r="PBZ3" s="1" t="str" cm="1">
        <f t="array" ref="PBZ3">GetValue("Dmn","Name",PBZ2)</f>
        <v/>
      </c>
      <c r="PCA3" s="1" t="str" cm="1">
        <f t="array" ref="PCA3">GetValue("Dmn","Name",PCA2)</f>
        <v/>
      </c>
      <c r="PCB3" s="1" t="str" cm="1">
        <f t="array" ref="PCB3">GetValue("Dmn","Name",PCB2)</f>
        <v/>
      </c>
      <c r="PCC3" s="1" t="str" cm="1">
        <f t="array" ref="PCC3">GetValue("Dmn","Name",PCC2)</f>
        <v/>
      </c>
      <c r="PCD3" s="1" t="str" cm="1">
        <f t="array" ref="PCD3">GetValue("Dmn","Name",PCD2)</f>
        <v/>
      </c>
      <c r="PCE3" s="1" t="str" cm="1">
        <f t="array" ref="PCE3">GetValue("Dmn","Name",PCE2)</f>
        <v/>
      </c>
      <c r="PCF3" s="1" t="str" cm="1">
        <f t="array" ref="PCF3">GetValue("Dmn","Name",PCF2)</f>
        <v/>
      </c>
      <c r="PCG3" s="1" t="str" cm="1">
        <f t="array" ref="PCG3">GetValue("Dmn","Name",PCG2)</f>
        <v/>
      </c>
      <c r="PCH3" s="1" t="str" cm="1">
        <f t="array" ref="PCH3">GetValue("Dmn","Name",PCH2)</f>
        <v/>
      </c>
      <c r="PCI3" s="1" t="str" cm="1">
        <f t="array" ref="PCI3">GetValue("Dmn","Name",PCI2)</f>
        <v/>
      </c>
      <c r="PCJ3" s="1" t="str" cm="1">
        <f t="array" ref="PCJ3">GetValue("Dmn","Name",PCJ2)</f>
        <v/>
      </c>
      <c r="PCK3" s="1" t="str" cm="1">
        <f t="array" ref="PCK3">GetValue("Dmn","Name",PCK2)</f>
        <v/>
      </c>
      <c r="PCL3" s="1" t="str" cm="1">
        <f t="array" ref="PCL3">GetValue("Dmn","Name",PCL2)</f>
        <v/>
      </c>
      <c r="PCM3" s="1" t="str" cm="1">
        <f t="array" ref="PCM3">GetValue("Dmn","Name",PCM2)</f>
        <v/>
      </c>
      <c r="PCN3" s="1" t="str" cm="1">
        <f t="array" ref="PCN3">GetValue("Dmn","Name",PCN2)</f>
        <v/>
      </c>
      <c r="PCO3" s="1" t="str" cm="1">
        <f t="array" ref="PCO3">GetValue("Dmn","Name",PCO2)</f>
        <v/>
      </c>
      <c r="PCP3" s="1" t="str" cm="1">
        <f t="array" ref="PCP3">GetValue("Dmn","Name",PCP2)</f>
        <v/>
      </c>
      <c r="PCQ3" s="1" t="str" cm="1">
        <f t="array" ref="PCQ3">GetValue("Dmn","Name",PCQ2)</f>
        <v/>
      </c>
      <c r="PCR3" s="1" t="str" cm="1">
        <f t="array" ref="PCR3">GetValue("Dmn","Name",PCR2)</f>
        <v/>
      </c>
      <c r="PCS3" s="1" t="str" cm="1">
        <f t="array" ref="PCS3">GetValue("Dmn","Name",PCS2)</f>
        <v/>
      </c>
      <c r="PCT3" s="1" t="str" cm="1">
        <f t="array" ref="PCT3">GetValue("Dmn","Name",PCT2)</f>
        <v/>
      </c>
      <c r="PCU3" s="1" t="str" cm="1">
        <f t="array" ref="PCU3">GetValue("Dmn","Name",PCU2)</f>
        <v/>
      </c>
      <c r="PCV3" s="1" t="str" cm="1">
        <f t="array" ref="PCV3">GetValue("Dmn","Name",PCV2)</f>
        <v/>
      </c>
      <c r="PCW3" s="1" t="str" cm="1">
        <f t="array" ref="PCW3">GetValue("Dmn","Name",PCW2)</f>
        <v/>
      </c>
      <c r="PCX3" s="1" t="str" cm="1">
        <f t="array" ref="PCX3">GetValue("Dmn","Name",PCX2)</f>
        <v/>
      </c>
      <c r="PCY3" s="1" t="str" cm="1">
        <f t="array" ref="PCY3">GetValue("Dmn","Name",PCY2)</f>
        <v/>
      </c>
      <c r="PCZ3" s="1" t="str" cm="1">
        <f t="array" ref="PCZ3">GetValue("Dmn","Name",PCZ2)</f>
        <v/>
      </c>
      <c r="PDA3" s="1" t="str" cm="1">
        <f t="array" ref="PDA3">GetValue("Dmn","Name",PDA2)</f>
        <v/>
      </c>
      <c r="PDB3" s="1" t="str" cm="1">
        <f t="array" ref="PDB3">GetValue("Dmn","Name",PDB2)</f>
        <v/>
      </c>
      <c r="PDC3" s="1" t="str" cm="1">
        <f t="array" ref="PDC3">GetValue("Dmn","Name",PDC2)</f>
        <v/>
      </c>
      <c r="PDD3" s="1" t="str" cm="1">
        <f t="array" ref="PDD3">GetValue("Dmn","Name",PDD2)</f>
        <v/>
      </c>
      <c r="PDE3" s="1" t="str" cm="1">
        <f t="array" ref="PDE3">GetValue("Dmn","Name",PDE2)</f>
        <v/>
      </c>
      <c r="PDF3" s="1" t="str" cm="1">
        <f t="array" ref="PDF3">GetValue("Dmn","Name",PDF2)</f>
        <v/>
      </c>
      <c r="PDG3" s="1" t="str" cm="1">
        <f t="array" ref="PDG3">GetValue("Dmn","Name",PDG2)</f>
        <v/>
      </c>
      <c r="PDH3" s="1" t="str" cm="1">
        <f t="array" ref="PDH3">GetValue("Dmn","Name",PDH2)</f>
        <v/>
      </c>
      <c r="PDI3" s="1" t="str" cm="1">
        <f t="array" ref="PDI3">GetValue("Dmn","Name",PDI2)</f>
        <v/>
      </c>
      <c r="PDJ3" s="1" t="str" cm="1">
        <f t="array" ref="PDJ3">GetValue("Dmn","Name",PDJ2)</f>
        <v/>
      </c>
      <c r="PDK3" s="1" t="str" cm="1">
        <f t="array" ref="PDK3">GetValue("Dmn","Name",PDK2)</f>
        <v/>
      </c>
      <c r="PDL3" s="1" t="str" cm="1">
        <f t="array" ref="PDL3">GetValue("Dmn","Name",PDL2)</f>
        <v/>
      </c>
      <c r="PDM3" s="1" t="str" cm="1">
        <f t="array" ref="PDM3">GetValue("Dmn","Name",PDM2)</f>
        <v/>
      </c>
      <c r="PDN3" s="1" t="str" cm="1">
        <f t="array" ref="PDN3">GetValue("Dmn","Name",PDN2)</f>
        <v/>
      </c>
      <c r="PDO3" s="1" t="str" cm="1">
        <f t="array" ref="PDO3">GetValue("Dmn","Name",PDO2)</f>
        <v/>
      </c>
      <c r="PDP3" s="1" t="str" cm="1">
        <f t="array" ref="PDP3">GetValue("Dmn","Name",PDP2)</f>
        <v/>
      </c>
      <c r="PDQ3" s="1" t="str" cm="1">
        <f t="array" ref="PDQ3">GetValue("Dmn","Name",PDQ2)</f>
        <v/>
      </c>
      <c r="PDR3" s="1" t="str" cm="1">
        <f t="array" ref="PDR3">GetValue("Dmn","Name",PDR2)</f>
        <v/>
      </c>
      <c r="PDS3" s="1" t="str" cm="1">
        <f t="array" ref="PDS3">GetValue("Dmn","Name",PDS2)</f>
        <v/>
      </c>
      <c r="PDT3" s="1" t="str" cm="1">
        <f t="array" ref="PDT3">GetValue("Dmn","Name",PDT2)</f>
        <v/>
      </c>
      <c r="PDU3" s="1" t="str" cm="1">
        <f t="array" ref="PDU3">GetValue("Dmn","Name",PDU2)</f>
        <v/>
      </c>
      <c r="PDV3" s="1" t="str" cm="1">
        <f t="array" ref="PDV3">GetValue("Dmn","Name",PDV2)</f>
        <v/>
      </c>
      <c r="PDW3" s="1" t="str" cm="1">
        <f t="array" ref="PDW3">GetValue("Dmn","Name",PDW2)</f>
        <v/>
      </c>
      <c r="PDX3" s="1" t="str" cm="1">
        <f t="array" ref="PDX3">GetValue("Dmn","Name",PDX2)</f>
        <v/>
      </c>
      <c r="PDY3" s="1" t="str" cm="1">
        <f t="array" ref="PDY3">GetValue("Dmn","Name",PDY2)</f>
        <v/>
      </c>
      <c r="PDZ3" s="1" t="str" cm="1">
        <f t="array" ref="PDZ3">GetValue("Dmn","Name",PDZ2)</f>
        <v/>
      </c>
      <c r="PEA3" s="1" t="str" cm="1">
        <f t="array" ref="PEA3">GetValue("Dmn","Name",PEA2)</f>
        <v/>
      </c>
      <c r="PEB3" s="1" t="str" cm="1">
        <f t="array" ref="PEB3">GetValue("Dmn","Name",PEB2)</f>
        <v/>
      </c>
      <c r="PEC3" s="1" t="str" cm="1">
        <f t="array" ref="PEC3">GetValue("Dmn","Name",PEC2)</f>
        <v/>
      </c>
      <c r="PED3" s="1" t="str" cm="1">
        <f t="array" ref="PED3">GetValue("Dmn","Name",PED2)</f>
        <v/>
      </c>
      <c r="PEE3" s="1" t="str" cm="1">
        <f t="array" ref="PEE3">GetValue("Dmn","Name",PEE2)</f>
        <v/>
      </c>
      <c r="PEF3" s="1" t="str" cm="1">
        <f t="array" ref="PEF3">GetValue("Dmn","Name",PEF2)</f>
        <v/>
      </c>
      <c r="PEG3" s="1" t="str" cm="1">
        <f t="array" ref="PEG3">GetValue("Dmn","Name",PEG2)</f>
        <v/>
      </c>
      <c r="PEH3" s="1" t="str" cm="1">
        <f t="array" ref="PEH3">GetValue("Dmn","Name",PEH2)</f>
        <v/>
      </c>
      <c r="PEI3" s="1" t="str" cm="1">
        <f t="array" ref="PEI3">GetValue("Dmn","Name",PEI2)</f>
        <v/>
      </c>
      <c r="PEJ3" s="1" t="str" cm="1">
        <f t="array" ref="PEJ3">GetValue("Dmn","Name",PEJ2)</f>
        <v/>
      </c>
      <c r="PEK3" s="1" t="str" cm="1">
        <f t="array" ref="PEK3">GetValue("Dmn","Name",PEK2)</f>
        <v/>
      </c>
      <c r="PEL3" s="1" t="str" cm="1">
        <f t="array" ref="PEL3">GetValue("Dmn","Name",PEL2)</f>
        <v/>
      </c>
      <c r="PEM3" s="1" t="str" cm="1">
        <f t="array" ref="PEM3">GetValue("Dmn","Name",PEM2)</f>
        <v/>
      </c>
      <c r="PEN3" s="1" t="str" cm="1">
        <f t="array" ref="PEN3">GetValue("Dmn","Name",PEN2)</f>
        <v/>
      </c>
      <c r="PEO3" s="1" t="str" cm="1">
        <f t="array" ref="PEO3">GetValue("Dmn","Name",PEO2)</f>
        <v/>
      </c>
      <c r="PEP3" s="1" t="str" cm="1">
        <f t="array" ref="PEP3">GetValue("Dmn","Name",PEP2)</f>
        <v/>
      </c>
      <c r="PEQ3" s="1" t="str" cm="1">
        <f t="array" ref="PEQ3">GetValue("Dmn","Name",PEQ2)</f>
        <v/>
      </c>
      <c r="PER3" s="1" t="str" cm="1">
        <f t="array" ref="PER3">GetValue("Dmn","Name",PER2)</f>
        <v/>
      </c>
      <c r="PES3" s="1" t="str" cm="1">
        <f t="array" ref="PES3">GetValue("Dmn","Name",PES2)</f>
        <v/>
      </c>
      <c r="PET3" s="1" t="str" cm="1">
        <f t="array" ref="PET3">GetValue("Dmn","Name",PET2)</f>
        <v/>
      </c>
      <c r="PEU3" s="1" t="str" cm="1">
        <f t="array" ref="PEU3">GetValue("Dmn","Name",PEU2)</f>
        <v/>
      </c>
      <c r="PEV3" s="1" t="str" cm="1">
        <f t="array" ref="PEV3">GetValue("Dmn","Name",PEV2)</f>
        <v/>
      </c>
      <c r="PEW3" s="1" t="str" cm="1">
        <f t="array" ref="PEW3">GetValue("Dmn","Name",PEW2)</f>
        <v/>
      </c>
      <c r="PEX3" s="1" t="str" cm="1">
        <f t="array" ref="PEX3">GetValue("Dmn","Name",PEX2)</f>
        <v/>
      </c>
      <c r="PEY3" s="1" t="str" cm="1">
        <f t="array" ref="PEY3">GetValue("Dmn","Name",PEY2)</f>
        <v/>
      </c>
      <c r="PEZ3" s="1" t="str" cm="1">
        <f t="array" ref="PEZ3">GetValue("Dmn","Name",PEZ2)</f>
        <v/>
      </c>
      <c r="PFA3" s="1" t="str" cm="1">
        <f t="array" ref="PFA3">GetValue("Dmn","Name",PFA2)</f>
        <v/>
      </c>
      <c r="PFB3" s="1" t="str" cm="1">
        <f t="array" ref="PFB3">GetValue("Dmn","Name",PFB2)</f>
        <v/>
      </c>
      <c r="PFC3" s="1" t="str" cm="1">
        <f t="array" ref="PFC3">GetValue("Dmn","Name",PFC2)</f>
        <v/>
      </c>
      <c r="PFD3" s="1" t="str" cm="1">
        <f t="array" ref="PFD3">GetValue("Dmn","Name",PFD2)</f>
        <v/>
      </c>
      <c r="PFE3" s="1" t="str" cm="1">
        <f t="array" ref="PFE3">GetValue("Dmn","Name",PFE2)</f>
        <v/>
      </c>
      <c r="PFF3" s="1" t="str" cm="1">
        <f t="array" ref="PFF3">GetValue("Dmn","Name",PFF2)</f>
        <v/>
      </c>
      <c r="PFG3" s="1" t="str" cm="1">
        <f t="array" ref="PFG3">GetValue("Dmn","Name",PFG2)</f>
        <v/>
      </c>
      <c r="PFH3" s="1" t="str" cm="1">
        <f t="array" ref="PFH3">GetValue("Dmn","Name",PFH2)</f>
        <v/>
      </c>
      <c r="PFI3" s="1" t="str" cm="1">
        <f t="array" ref="PFI3">GetValue("Dmn","Name",PFI2)</f>
        <v/>
      </c>
      <c r="PFJ3" s="1" t="str" cm="1">
        <f t="array" ref="PFJ3">GetValue("Dmn","Name",PFJ2)</f>
        <v/>
      </c>
      <c r="PFK3" s="1" t="str" cm="1">
        <f t="array" ref="PFK3">GetValue("Dmn","Name",PFK2)</f>
        <v/>
      </c>
      <c r="PFL3" s="1" t="str" cm="1">
        <f t="array" ref="PFL3">GetValue("Dmn","Name",PFL2)</f>
        <v/>
      </c>
      <c r="PFM3" s="1" t="str" cm="1">
        <f t="array" ref="PFM3">GetValue("Dmn","Name",PFM2)</f>
        <v/>
      </c>
      <c r="PFN3" s="1" t="str" cm="1">
        <f t="array" ref="PFN3">GetValue("Dmn","Name",PFN2)</f>
        <v/>
      </c>
      <c r="PFO3" s="1" t="str" cm="1">
        <f t="array" ref="PFO3">GetValue("Dmn","Name",PFO2)</f>
        <v/>
      </c>
      <c r="PFP3" s="1" t="str" cm="1">
        <f t="array" ref="PFP3">GetValue("Dmn","Name",PFP2)</f>
        <v/>
      </c>
      <c r="PFQ3" s="1" t="str" cm="1">
        <f t="array" ref="PFQ3">GetValue("Dmn","Name",PFQ2)</f>
        <v/>
      </c>
      <c r="PFR3" s="1" t="str" cm="1">
        <f t="array" ref="PFR3">GetValue("Dmn","Name",PFR2)</f>
        <v/>
      </c>
      <c r="PFS3" s="1" t="str" cm="1">
        <f t="array" ref="PFS3">GetValue("Dmn","Name",PFS2)</f>
        <v/>
      </c>
      <c r="PFT3" s="1" t="str" cm="1">
        <f t="array" ref="PFT3">GetValue("Dmn","Name",PFT2)</f>
        <v/>
      </c>
      <c r="PFU3" s="1" t="str" cm="1">
        <f t="array" ref="PFU3">GetValue("Dmn","Name",PFU2)</f>
        <v/>
      </c>
      <c r="PFV3" s="1" t="str" cm="1">
        <f t="array" ref="PFV3">GetValue("Dmn","Name",PFV2)</f>
        <v/>
      </c>
      <c r="PFW3" s="1" t="str" cm="1">
        <f t="array" ref="PFW3">GetValue("Dmn","Name",PFW2)</f>
        <v/>
      </c>
      <c r="PFX3" s="1" t="str" cm="1">
        <f t="array" ref="PFX3">GetValue("Dmn","Name",PFX2)</f>
        <v/>
      </c>
      <c r="PFY3" s="1" t="str" cm="1">
        <f t="array" ref="PFY3">GetValue("Dmn","Name",PFY2)</f>
        <v/>
      </c>
      <c r="PFZ3" s="1" t="str" cm="1">
        <f t="array" ref="PFZ3">GetValue("Dmn","Name",PFZ2)</f>
        <v/>
      </c>
      <c r="PGA3" s="1" t="str" cm="1">
        <f t="array" ref="PGA3">GetValue("Dmn","Name",PGA2)</f>
        <v/>
      </c>
      <c r="PGB3" s="1" t="str" cm="1">
        <f t="array" ref="PGB3">GetValue("Dmn","Name",PGB2)</f>
        <v/>
      </c>
      <c r="PGC3" s="1" t="str" cm="1">
        <f t="array" ref="PGC3">GetValue("Dmn","Name",PGC2)</f>
        <v/>
      </c>
      <c r="PGD3" s="1" t="str" cm="1">
        <f t="array" ref="PGD3">GetValue("Dmn","Name",PGD2)</f>
        <v/>
      </c>
      <c r="PGE3" s="1" t="str" cm="1">
        <f t="array" ref="PGE3">GetValue("Dmn","Name",PGE2)</f>
        <v/>
      </c>
      <c r="PGF3" s="1" t="str" cm="1">
        <f t="array" ref="PGF3">GetValue("Dmn","Name",PGF2)</f>
        <v/>
      </c>
      <c r="PGG3" s="1" t="str" cm="1">
        <f t="array" ref="PGG3">GetValue("Dmn","Name",PGG2)</f>
        <v/>
      </c>
      <c r="PGH3" s="1" t="str" cm="1">
        <f t="array" ref="PGH3">GetValue("Dmn","Name",PGH2)</f>
        <v/>
      </c>
      <c r="PGI3" s="1" t="str" cm="1">
        <f t="array" ref="PGI3">GetValue("Dmn","Name",PGI2)</f>
        <v/>
      </c>
      <c r="PGJ3" s="1" t="str" cm="1">
        <f t="array" ref="PGJ3">GetValue("Dmn","Name",PGJ2)</f>
        <v/>
      </c>
      <c r="PGK3" s="1" t="str" cm="1">
        <f t="array" ref="PGK3">GetValue("Dmn","Name",PGK2)</f>
        <v/>
      </c>
      <c r="PGL3" s="1" t="str" cm="1">
        <f t="array" ref="PGL3">GetValue("Dmn","Name",PGL2)</f>
        <v/>
      </c>
      <c r="PGM3" s="1" t="str" cm="1">
        <f t="array" ref="PGM3">GetValue("Dmn","Name",PGM2)</f>
        <v/>
      </c>
      <c r="PGN3" s="1" t="str" cm="1">
        <f t="array" ref="PGN3">GetValue("Dmn","Name",PGN2)</f>
        <v/>
      </c>
      <c r="PGO3" s="1" t="str" cm="1">
        <f t="array" ref="PGO3">GetValue("Dmn","Name",PGO2)</f>
        <v/>
      </c>
      <c r="PGP3" s="1" t="str" cm="1">
        <f t="array" ref="PGP3">GetValue("Dmn","Name",PGP2)</f>
        <v/>
      </c>
      <c r="PGQ3" s="1" t="str" cm="1">
        <f t="array" ref="PGQ3">GetValue("Dmn","Name",PGQ2)</f>
        <v/>
      </c>
      <c r="PGR3" s="1" t="str" cm="1">
        <f t="array" ref="PGR3">GetValue("Dmn","Name",PGR2)</f>
        <v/>
      </c>
      <c r="PGS3" s="1" t="str" cm="1">
        <f t="array" ref="PGS3">GetValue("Dmn","Name",PGS2)</f>
        <v/>
      </c>
      <c r="PGT3" s="1" t="str" cm="1">
        <f t="array" ref="PGT3">GetValue("Dmn","Name",PGT2)</f>
        <v/>
      </c>
      <c r="PGU3" s="1" t="str" cm="1">
        <f t="array" ref="PGU3">GetValue("Dmn","Name",PGU2)</f>
        <v/>
      </c>
      <c r="PGV3" s="1" t="str" cm="1">
        <f t="array" ref="PGV3">GetValue("Dmn","Name",PGV2)</f>
        <v/>
      </c>
      <c r="PGW3" s="1" t="str" cm="1">
        <f t="array" ref="PGW3">GetValue("Dmn","Name",PGW2)</f>
        <v/>
      </c>
      <c r="PGX3" s="1" t="str" cm="1">
        <f t="array" ref="PGX3">GetValue("Dmn","Name",PGX2)</f>
        <v/>
      </c>
      <c r="PGY3" s="1" t="str" cm="1">
        <f t="array" ref="PGY3">GetValue("Dmn","Name",PGY2)</f>
        <v/>
      </c>
      <c r="PGZ3" s="1" t="str" cm="1">
        <f t="array" ref="PGZ3">GetValue("Dmn","Name",PGZ2)</f>
        <v/>
      </c>
      <c r="PHA3" s="1" t="str" cm="1">
        <f t="array" ref="PHA3">GetValue("Dmn","Name",PHA2)</f>
        <v/>
      </c>
      <c r="PHB3" s="1" t="str" cm="1">
        <f t="array" ref="PHB3">GetValue("Dmn","Name",PHB2)</f>
        <v/>
      </c>
      <c r="PHC3" s="1" t="str" cm="1">
        <f t="array" ref="PHC3">GetValue("Dmn","Name",PHC2)</f>
        <v/>
      </c>
      <c r="PHD3" s="1" t="str" cm="1">
        <f t="array" ref="PHD3">GetValue("Dmn","Name",PHD2)</f>
        <v/>
      </c>
      <c r="PHE3" s="1" t="str" cm="1">
        <f t="array" ref="PHE3">GetValue("Dmn","Name",PHE2)</f>
        <v/>
      </c>
      <c r="PHF3" s="1" t="str" cm="1">
        <f t="array" ref="PHF3">GetValue("Dmn","Name",PHF2)</f>
        <v/>
      </c>
      <c r="PHG3" s="1" t="str" cm="1">
        <f t="array" ref="PHG3">GetValue("Dmn","Name",PHG2)</f>
        <v/>
      </c>
      <c r="PHH3" s="1" t="str" cm="1">
        <f t="array" ref="PHH3">GetValue("Dmn","Name",PHH2)</f>
        <v/>
      </c>
      <c r="PHI3" s="1" t="str" cm="1">
        <f t="array" ref="PHI3">GetValue("Dmn","Name",PHI2)</f>
        <v/>
      </c>
      <c r="PHJ3" s="1" t="str" cm="1">
        <f t="array" ref="PHJ3">GetValue("Dmn","Name",PHJ2)</f>
        <v/>
      </c>
      <c r="PHK3" s="1" t="str" cm="1">
        <f t="array" ref="PHK3">GetValue("Dmn","Name",PHK2)</f>
        <v/>
      </c>
      <c r="PHL3" s="1" t="str" cm="1">
        <f t="array" ref="PHL3">GetValue("Dmn","Name",PHL2)</f>
        <v/>
      </c>
      <c r="PHM3" s="1" t="str" cm="1">
        <f t="array" ref="PHM3">GetValue("Dmn","Name",PHM2)</f>
        <v/>
      </c>
      <c r="PHN3" s="1" t="str" cm="1">
        <f t="array" ref="PHN3">GetValue("Dmn","Name",PHN2)</f>
        <v/>
      </c>
      <c r="PHO3" s="1" t="str" cm="1">
        <f t="array" ref="PHO3">GetValue("Dmn","Name",PHO2)</f>
        <v/>
      </c>
      <c r="PHP3" s="1" t="str" cm="1">
        <f t="array" ref="PHP3">GetValue("Dmn","Name",PHP2)</f>
        <v/>
      </c>
      <c r="PHQ3" s="1" t="str" cm="1">
        <f t="array" ref="PHQ3">GetValue("Dmn","Name",PHQ2)</f>
        <v/>
      </c>
      <c r="PHR3" s="1" t="str" cm="1">
        <f t="array" ref="PHR3">GetValue("Dmn","Name",PHR2)</f>
        <v/>
      </c>
      <c r="PHS3" s="1" t="str" cm="1">
        <f t="array" ref="PHS3">GetValue("Dmn","Name",PHS2)</f>
        <v/>
      </c>
      <c r="PHT3" s="1" t="str" cm="1">
        <f t="array" ref="PHT3">GetValue("Dmn","Name",PHT2)</f>
        <v/>
      </c>
      <c r="PHU3" s="1" t="str" cm="1">
        <f t="array" ref="PHU3">GetValue("Dmn","Name",PHU2)</f>
        <v/>
      </c>
      <c r="PHV3" s="1" t="str" cm="1">
        <f t="array" ref="PHV3">GetValue("Dmn","Name",PHV2)</f>
        <v/>
      </c>
      <c r="PHW3" s="1" t="str" cm="1">
        <f t="array" ref="PHW3">GetValue("Dmn","Name",PHW2)</f>
        <v/>
      </c>
      <c r="PHX3" s="1" t="str" cm="1">
        <f t="array" ref="PHX3">GetValue("Dmn","Name",PHX2)</f>
        <v/>
      </c>
      <c r="PHY3" s="1" t="str" cm="1">
        <f t="array" ref="PHY3">GetValue("Dmn","Name",PHY2)</f>
        <v/>
      </c>
      <c r="PHZ3" s="1" t="str" cm="1">
        <f t="array" ref="PHZ3">GetValue("Dmn","Name",PHZ2)</f>
        <v/>
      </c>
      <c r="PIA3" s="1" t="str" cm="1">
        <f t="array" ref="PIA3">GetValue("Dmn","Name",PIA2)</f>
        <v/>
      </c>
      <c r="PIB3" s="1" t="str" cm="1">
        <f t="array" ref="PIB3">GetValue("Dmn","Name",PIB2)</f>
        <v/>
      </c>
      <c r="PIC3" s="1" t="str" cm="1">
        <f t="array" ref="PIC3">GetValue("Dmn","Name",PIC2)</f>
        <v/>
      </c>
      <c r="PID3" s="1" t="str" cm="1">
        <f t="array" ref="PID3">GetValue("Dmn","Name",PID2)</f>
        <v/>
      </c>
      <c r="PIE3" s="1" t="str" cm="1">
        <f t="array" ref="PIE3">GetValue("Dmn","Name",PIE2)</f>
        <v/>
      </c>
      <c r="PIF3" s="1" t="str" cm="1">
        <f t="array" ref="PIF3">GetValue("Dmn","Name",PIF2)</f>
        <v/>
      </c>
      <c r="PIG3" s="1" t="str" cm="1">
        <f t="array" ref="PIG3">GetValue("Dmn","Name",PIG2)</f>
        <v/>
      </c>
      <c r="PIH3" s="1" t="str" cm="1">
        <f t="array" ref="PIH3">GetValue("Dmn","Name",PIH2)</f>
        <v/>
      </c>
      <c r="PII3" s="1" t="str" cm="1">
        <f t="array" ref="PII3">GetValue("Dmn","Name",PII2)</f>
        <v/>
      </c>
      <c r="PIJ3" s="1" t="str" cm="1">
        <f t="array" ref="PIJ3">GetValue("Dmn","Name",PIJ2)</f>
        <v/>
      </c>
      <c r="PIK3" s="1" t="str" cm="1">
        <f t="array" ref="PIK3">GetValue("Dmn","Name",PIK2)</f>
        <v/>
      </c>
      <c r="PIL3" s="1" t="str" cm="1">
        <f t="array" ref="PIL3">GetValue("Dmn","Name",PIL2)</f>
        <v/>
      </c>
      <c r="PIM3" s="1" t="str" cm="1">
        <f t="array" ref="PIM3">GetValue("Dmn","Name",PIM2)</f>
        <v/>
      </c>
      <c r="PIN3" s="1" t="str" cm="1">
        <f t="array" ref="PIN3">GetValue("Dmn","Name",PIN2)</f>
        <v/>
      </c>
      <c r="PIO3" s="1" t="str" cm="1">
        <f t="array" ref="PIO3">GetValue("Dmn","Name",PIO2)</f>
        <v/>
      </c>
      <c r="PIP3" s="1" t="str" cm="1">
        <f t="array" ref="PIP3">GetValue("Dmn","Name",PIP2)</f>
        <v/>
      </c>
      <c r="PIQ3" s="1" t="str" cm="1">
        <f t="array" ref="PIQ3">GetValue("Dmn","Name",PIQ2)</f>
        <v/>
      </c>
      <c r="PIR3" s="1" t="str" cm="1">
        <f t="array" ref="PIR3">GetValue("Dmn","Name",PIR2)</f>
        <v/>
      </c>
      <c r="PIS3" s="1" t="str" cm="1">
        <f t="array" ref="PIS3">GetValue("Dmn","Name",PIS2)</f>
        <v/>
      </c>
      <c r="PIT3" s="1" t="str" cm="1">
        <f t="array" ref="PIT3">GetValue("Dmn","Name",PIT2)</f>
        <v/>
      </c>
      <c r="PIU3" s="1" t="str" cm="1">
        <f t="array" ref="PIU3">GetValue("Dmn","Name",PIU2)</f>
        <v/>
      </c>
      <c r="PIV3" s="1" t="str" cm="1">
        <f t="array" ref="PIV3">GetValue("Dmn","Name",PIV2)</f>
        <v/>
      </c>
      <c r="PIW3" s="1" t="str" cm="1">
        <f t="array" ref="PIW3">GetValue("Dmn","Name",PIW2)</f>
        <v/>
      </c>
      <c r="PIX3" s="1" t="str" cm="1">
        <f t="array" ref="PIX3">GetValue("Dmn","Name",PIX2)</f>
        <v/>
      </c>
      <c r="PIY3" s="1" t="str" cm="1">
        <f t="array" ref="PIY3">GetValue("Dmn","Name",PIY2)</f>
        <v/>
      </c>
      <c r="PIZ3" s="1" t="str" cm="1">
        <f t="array" ref="PIZ3">GetValue("Dmn","Name",PIZ2)</f>
        <v/>
      </c>
      <c r="PJA3" s="1" t="str" cm="1">
        <f t="array" ref="PJA3">GetValue("Dmn","Name",PJA2)</f>
        <v/>
      </c>
      <c r="PJB3" s="1" t="str" cm="1">
        <f t="array" ref="PJB3">GetValue("Dmn","Name",PJB2)</f>
        <v/>
      </c>
      <c r="PJC3" s="1" t="str" cm="1">
        <f t="array" ref="PJC3">GetValue("Dmn","Name",PJC2)</f>
        <v/>
      </c>
      <c r="PJD3" s="1" t="str" cm="1">
        <f t="array" ref="PJD3">GetValue("Dmn","Name",PJD2)</f>
        <v/>
      </c>
      <c r="PJE3" s="1" t="str" cm="1">
        <f t="array" ref="PJE3">GetValue("Dmn","Name",PJE2)</f>
        <v/>
      </c>
      <c r="PJF3" s="1" t="str" cm="1">
        <f t="array" ref="PJF3">GetValue("Dmn","Name",PJF2)</f>
        <v/>
      </c>
      <c r="PJG3" s="1" t="str" cm="1">
        <f t="array" ref="PJG3">GetValue("Dmn","Name",PJG2)</f>
        <v/>
      </c>
      <c r="PJH3" s="1" t="str" cm="1">
        <f t="array" ref="PJH3">GetValue("Dmn","Name",PJH2)</f>
        <v/>
      </c>
      <c r="PJI3" s="1" t="str" cm="1">
        <f t="array" ref="PJI3">GetValue("Dmn","Name",PJI2)</f>
        <v/>
      </c>
      <c r="PJJ3" s="1" t="str" cm="1">
        <f t="array" ref="PJJ3">GetValue("Dmn","Name",PJJ2)</f>
        <v/>
      </c>
      <c r="PJK3" s="1" t="str" cm="1">
        <f t="array" ref="PJK3">GetValue("Dmn","Name",PJK2)</f>
        <v/>
      </c>
      <c r="PJL3" s="1" t="str" cm="1">
        <f t="array" ref="PJL3">GetValue("Dmn","Name",PJL2)</f>
        <v/>
      </c>
      <c r="PJM3" s="1" t="str" cm="1">
        <f t="array" ref="PJM3">GetValue("Dmn","Name",PJM2)</f>
        <v/>
      </c>
      <c r="PJN3" s="1" t="str" cm="1">
        <f t="array" ref="PJN3">GetValue("Dmn","Name",PJN2)</f>
        <v/>
      </c>
      <c r="PJO3" s="1" t="str" cm="1">
        <f t="array" ref="PJO3">GetValue("Dmn","Name",PJO2)</f>
        <v/>
      </c>
      <c r="PJP3" s="1" t="str" cm="1">
        <f t="array" ref="PJP3">GetValue("Dmn","Name",PJP2)</f>
        <v/>
      </c>
      <c r="PJQ3" s="1" t="str" cm="1">
        <f t="array" ref="PJQ3">GetValue("Dmn","Name",PJQ2)</f>
        <v/>
      </c>
      <c r="PJR3" s="1" t="str" cm="1">
        <f t="array" ref="PJR3">GetValue("Dmn","Name",PJR2)</f>
        <v/>
      </c>
      <c r="PJS3" s="1" t="str" cm="1">
        <f t="array" ref="PJS3">GetValue("Dmn","Name",PJS2)</f>
        <v/>
      </c>
      <c r="PJT3" s="1" t="str" cm="1">
        <f t="array" ref="PJT3">GetValue("Dmn","Name",PJT2)</f>
        <v/>
      </c>
      <c r="PJU3" s="1" t="str" cm="1">
        <f t="array" ref="PJU3">GetValue("Dmn","Name",PJU2)</f>
        <v/>
      </c>
      <c r="PJV3" s="1" t="str" cm="1">
        <f t="array" ref="PJV3">GetValue("Dmn","Name",PJV2)</f>
        <v/>
      </c>
      <c r="PJW3" s="1" t="str" cm="1">
        <f t="array" ref="PJW3">GetValue("Dmn","Name",PJW2)</f>
        <v/>
      </c>
      <c r="PJX3" s="1" t="str" cm="1">
        <f t="array" ref="PJX3">GetValue("Dmn","Name",PJX2)</f>
        <v/>
      </c>
      <c r="PJY3" s="1" t="str" cm="1">
        <f t="array" ref="PJY3">GetValue("Dmn","Name",PJY2)</f>
        <v/>
      </c>
      <c r="PJZ3" s="1" t="str" cm="1">
        <f t="array" ref="PJZ3">GetValue("Dmn","Name",PJZ2)</f>
        <v/>
      </c>
      <c r="PKA3" s="1" t="str" cm="1">
        <f t="array" ref="PKA3">GetValue("Dmn","Name",PKA2)</f>
        <v/>
      </c>
      <c r="PKB3" s="1" t="str" cm="1">
        <f t="array" ref="PKB3">GetValue("Dmn","Name",PKB2)</f>
        <v/>
      </c>
      <c r="PKC3" s="1" t="str" cm="1">
        <f t="array" ref="PKC3">GetValue("Dmn","Name",PKC2)</f>
        <v/>
      </c>
      <c r="PKD3" s="1" t="str" cm="1">
        <f t="array" ref="PKD3">GetValue("Dmn","Name",PKD2)</f>
        <v/>
      </c>
      <c r="PKE3" s="1" t="str" cm="1">
        <f t="array" ref="PKE3">GetValue("Dmn","Name",PKE2)</f>
        <v/>
      </c>
      <c r="PKF3" s="1" t="str" cm="1">
        <f t="array" ref="PKF3">GetValue("Dmn","Name",PKF2)</f>
        <v/>
      </c>
      <c r="PKG3" s="1" t="str" cm="1">
        <f t="array" ref="PKG3">GetValue("Dmn","Name",PKG2)</f>
        <v/>
      </c>
      <c r="PKH3" s="1" t="str" cm="1">
        <f t="array" ref="PKH3">GetValue("Dmn","Name",PKH2)</f>
        <v/>
      </c>
      <c r="PKI3" s="1" t="str" cm="1">
        <f t="array" ref="PKI3">GetValue("Dmn","Name",PKI2)</f>
        <v/>
      </c>
      <c r="PKJ3" s="1" t="str" cm="1">
        <f t="array" ref="PKJ3">GetValue("Dmn","Name",PKJ2)</f>
        <v/>
      </c>
      <c r="PKK3" s="1" t="str" cm="1">
        <f t="array" ref="PKK3">GetValue("Dmn","Name",PKK2)</f>
        <v/>
      </c>
      <c r="PKL3" s="1" t="str" cm="1">
        <f t="array" ref="PKL3">GetValue("Dmn","Name",PKL2)</f>
        <v/>
      </c>
      <c r="PKM3" s="1" t="str" cm="1">
        <f t="array" ref="PKM3">GetValue("Dmn","Name",PKM2)</f>
        <v/>
      </c>
      <c r="PKN3" s="1" t="str" cm="1">
        <f t="array" ref="PKN3">GetValue("Dmn","Name",PKN2)</f>
        <v/>
      </c>
      <c r="PKO3" s="1" t="str" cm="1">
        <f t="array" ref="PKO3">GetValue("Dmn","Name",PKO2)</f>
        <v/>
      </c>
      <c r="PKP3" s="1" t="str" cm="1">
        <f t="array" ref="PKP3">GetValue("Dmn","Name",PKP2)</f>
        <v/>
      </c>
      <c r="PKQ3" s="1" t="str" cm="1">
        <f t="array" ref="PKQ3">GetValue("Dmn","Name",PKQ2)</f>
        <v/>
      </c>
      <c r="PKR3" s="1" t="str" cm="1">
        <f t="array" ref="PKR3">GetValue("Dmn","Name",PKR2)</f>
        <v/>
      </c>
      <c r="PKS3" s="1" t="str" cm="1">
        <f t="array" ref="PKS3">GetValue("Dmn","Name",PKS2)</f>
        <v/>
      </c>
      <c r="PKT3" s="1" t="str" cm="1">
        <f t="array" ref="PKT3">GetValue("Dmn","Name",PKT2)</f>
        <v/>
      </c>
      <c r="PKU3" s="1" t="str" cm="1">
        <f t="array" ref="PKU3">GetValue("Dmn","Name",PKU2)</f>
        <v/>
      </c>
      <c r="PKV3" s="1" t="str" cm="1">
        <f t="array" ref="PKV3">GetValue("Dmn","Name",PKV2)</f>
        <v/>
      </c>
      <c r="PKW3" s="1" t="str" cm="1">
        <f t="array" ref="PKW3">GetValue("Dmn","Name",PKW2)</f>
        <v/>
      </c>
      <c r="PKX3" s="1" t="str" cm="1">
        <f t="array" ref="PKX3">GetValue("Dmn","Name",PKX2)</f>
        <v/>
      </c>
      <c r="PKY3" s="1" t="str" cm="1">
        <f t="array" ref="PKY3">GetValue("Dmn","Name",PKY2)</f>
        <v/>
      </c>
      <c r="PKZ3" s="1" t="str" cm="1">
        <f t="array" ref="PKZ3">GetValue("Dmn","Name",PKZ2)</f>
        <v/>
      </c>
      <c r="PLA3" s="1" t="str" cm="1">
        <f t="array" ref="PLA3">GetValue("Dmn","Name",PLA2)</f>
        <v/>
      </c>
      <c r="PLB3" s="1" t="str" cm="1">
        <f t="array" ref="PLB3">GetValue("Dmn","Name",PLB2)</f>
        <v/>
      </c>
      <c r="PLC3" s="1" t="str" cm="1">
        <f t="array" ref="PLC3">GetValue("Dmn","Name",PLC2)</f>
        <v/>
      </c>
      <c r="PLD3" s="1" t="str" cm="1">
        <f t="array" ref="PLD3">GetValue("Dmn","Name",PLD2)</f>
        <v/>
      </c>
      <c r="PLE3" s="1" t="str" cm="1">
        <f t="array" ref="PLE3">GetValue("Dmn","Name",PLE2)</f>
        <v/>
      </c>
      <c r="PLF3" s="1" t="str" cm="1">
        <f t="array" ref="PLF3">GetValue("Dmn","Name",PLF2)</f>
        <v/>
      </c>
      <c r="PLG3" s="1" t="str" cm="1">
        <f t="array" ref="PLG3">GetValue("Dmn","Name",PLG2)</f>
        <v/>
      </c>
      <c r="PLH3" s="1" t="str" cm="1">
        <f t="array" ref="PLH3">GetValue("Dmn","Name",PLH2)</f>
        <v/>
      </c>
      <c r="PLI3" s="1" t="str" cm="1">
        <f t="array" ref="PLI3">GetValue("Dmn","Name",PLI2)</f>
        <v/>
      </c>
      <c r="PLJ3" s="1" t="str" cm="1">
        <f t="array" ref="PLJ3">GetValue("Dmn","Name",PLJ2)</f>
        <v/>
      </c>
      <c r="PLK3" s="1" t="str" cm="1">
        <f t="array" ref="PLK3">GetValue("Dmn","Name",PLK2)</f>
        <v/>
      </c>
      <c r="PLL3" s="1" t="str" cm="1">
        <f t="array" ref="PLL3">GetValue("Dmn","Name",PLL2)</f>
        <v/>
      </c>
      <c r="PLM3" s="1" t="str" cm="1">
        <f t="array" ref="PLM3">GetValue("Dmn","Name",PLM2)</f>
        <v/>
      </c>
      <c r="PLN3" s="1" t="str" cm="1">
        <f t="array" ref="PLN3">GetValue("Dmn","Name",PLN2)</f>
        <v/>
      </c>
      <c r="PLO3" s="1" t="str" cm="1">
        <f t="array" ref="PLO3">GetValue("Dmn","Name",PLO2)</f>
        <v/>
      </c>
      <c r="PLP3" s="1" t="str" cm="1">
        <f t="array" ref="PLP3">GetValue("Dmn","Name",PLP2)</f>
        <v/>
      </c>
      <c r="PLQ3" s="1" t="str" cm="1">
        <f t="array" ref="PLQ3">GetValue("Dmn","Name",PLQ2)</f>
        <v/>
      </c>
      <c r="PLR3" s="1" t="str" cm="1">
        <f t="array" ref="PLR3">GetValue("Dmn","Name",PLR2)</f>
        <v/>
      </c>
      <c r="PLS3" s="1" t="str" cm="1">
        <f t="array" ref="PLS3">GetValue("Dmn","Name",PLS2)</f>
        <v/>
      </c>
      <c r="PLT3" s="1" t="str" cm="1">
        <f t="array" ref="PLT3">GetValue("Dmn","Name",PLT2)</f>
        <v/>
      </c>
      <c r="PLU3" s="1" t="str" cm="1">
        <f t="array" ref="PLU3">GetValue("Dmn","Name",PLU2)</f>
        <v/>
      </c>
      <c r="PLV3" s="1" t="str" cm="1">
        <f t="array" ref="PLV3">GetValue("Dmn","Name",PLV2)</f>
        <v/>
      </c>
      <c r="PLW3" s="1" t="str" cm="1">
        <f t="array" ref="PLW3">GetValue("Dmn","Name",PLW2)</f>
        <v/>
      </c>
      <c r="PLX3" s="1" t="str" cm="1">
        <f t="array" ref="PLX3">GetValue("Dmn","Name",PLX2)</f>
        <v/>
      </c>
      <c r="PLY3" s="1" t="str" cm="1">
        <f t="array" ref="PLY3">GetValue("Dmn","Name",PLY2)</f>
        <v/>
      </c>
      <c r="PLZ3" s="1" t="str" cm="1">
        <f t="array" ref="PLZ3">GetValue("Dmn","Name",PLZ2)</f>
        <v/>
      </c>
      <c r="PMA3" s="1" t="str" cm="1">
        <f t="array" ref="PMA3">GetValue("Dmn","Name",PMA2)</f>
        <v/>
      </c>
      <c r="PMB3" s="1" t="str" cm="1">
        <f t="array" ref="PMB3">GetValue("Dmn","Name",PMB2)</f>
        <v/>
      </c>
      <c r="PMC3" s="1" t="str" cm="1">
        <f t="array" ref="PMC3">GetValue("Dmn","Name",PMC2)</f>
        <v/>
      </c>
      <c r="PMD3" s="1" t="str" cm="1">
        <f t="array" ref="PMD3">GetValue("Dmn","Name",PMD2)</f>
        <v/>
      </c>
      <c r="PME3" s="1" t="str" cm="1">
        <f t="array" ref="PME3">GetValue("Dmn","Name",PME2)</f>
        <v/>
      </c>
      <c r="PMF3" s="1" t="str" cm="1">
        <f t="array" ref="PMF3">GetValue("Dmn","Name",PMF2)</f>
        <v/>
      </c>
      <c r="PMG3" s="1" t="str" cm="1">
        <f t="array" ref="PMG3">GetValue("Dmn","Name",PMG2)</f>
        <v/>
      </c>
      <c r="PMH3" s="1" t="str" cm="1">
        <f t="array" ref="PMH3">GetValue("Dmn","Name",PMH2)</f>
        <v/>
      </c>
      <c r="PMI3" s="1" t="str" cm="1">
        <f t="array" ref="PMI3">GetValue("Dmn","Name",PMI2)</f>
        <v/>
      </c>
      <c r="PMJ3" s="1" t="str" cm="1">
        <f t="array" ref="PMJ3">GetValue("Dmn","Name",PMJ2)</f>
        <v/>
      </c>
      <c r="PMK3" s="1" t="str" cm="1">
        <f t="array" ref="PMK3">GetValue("Dmn","Name",PMK2)</f>
        <v/>
      </c>
      <c r="PML3" s="1" t="str" cm="1">
        <f t="array" ref="PML3">GetValue("Dmn","Name",PML2)</f>
        <v/>
      </c>
      <c r="PMM3" s="1" t="str" cm="1">
        <f t="array" ref="PMM3">GetValue("Dmn","Name",PMM2)</f>
        <v/>
      </c>
      <c r="PMN3" s="1" t="str" cm="1">
        <f t="array" ref="PMN3">GetValue("Dmn","Name",PMN2)</f>
        <v/>
      </c>
      <c r="PMO3" s="1" t="str" cm="1">
        <f t="array" ref="PMO3">GetValue("Dmn","Name",PMO2)</f>
        <v/>
      </c>
      <c r="PMP3" s="1" t="str" cm="1">
        <f t="array" ref="PMP3">GetValue("Dmn","Name",PMP2)</f>
        <v/>
      </c>
      <c r="PMQ3" s="1" t="str" cm="1">
        <f t="array" ref="PMQ3">GetValue("Dmn","Name",PMQ2)</f>
        <v/>
      </c>
      <c r="PMR3" s="1" t="str" cm="1">
        <f t="array" ref="PMR3">GetValue("Dmn","Name",PMR2)</f>
        <v/>
      </c>
      <c r="PMS3" s="1" t="str" cm="1">
        <f t="array" ref="PMS3">GetValue("Dmn","Name",PMS2)</f>
        <v/>
      </c>
      <c r="PMT3" s="1" t="str" cm="1">
        <f t="array" ref="PMT3">GetValue("Dmn","Name",PMT2)</f>
        <v/>
      </c>
      <c r="PMU3" s="1" t="str" cm="1">
        <f t="array" ref="PMU3">GetValue("Dmn","Name",PMU2)</f>
        <v/>
      </c>
      <c r="PMV3" s="1" t="str" cm="1">
        <f t="array" ref="PMV3">GetValue("Dmn","Name",PMV2)</f>
        <v/>
      </c>
      <c r="PMW3" s="1" t="str" cm="1">
        <f t="array" ref="PMW3">GetValue("Dmn","Name",PMW2)</f>
        <v/>
      </c>
      <c r="PMX3" s="1" t="str" cm="1">
        <f t="array" ref="PMX3">GetValue("Dmn","Name",PMX2)</f>
        <v/>
      </c>
      <c r="PMY3" s="1" t="str" cm="1">
        <f t="array" ref="PMY3">GetValue("Dmn","Name",PMY2)</f>
        <v/>
      </c>
      <c r="PMZ3" s="1" t="str" cm="1">
        <f t="array" ref="PMZ3">GetValue("Dmn","Name",PMZ2)</f>
        <v/>
      </c>
      <c r="PNA3" s="1" t="str" cm="1">
        <f t="array" ref="PNA3">GetValue("Dmn","Name",PNA2)</f>
        <v/>
      </c>
      <c r="PNB3" s="1" t="str" cm="1">
        <f t="array" ref="PNB3">GetValue("Dmn","Name",PNB2)</f>
        <v/>
      </c>
      <c r="PNC3" s="1" t="str" cm="1">
        <f t="array" ref="PNC3">GetValue("Dmn","Name",PNC2)</f>
        <v/>
      </c>
      <c r="PND3" s="1" t="str" cm="1">
        <f t="array" ref="PND3">GetValue("Dmn","Name",PND2)</f>
        <v/>
      </c>
      <c r="PNE3" s="1" t="str" cm="1">
        <f t="array" ref="PNE3">GetValue("Dmn","Name",PNE2)</f>
        <v/>
      </c>
      <c r="PNF3" s="1" t="str" cm="1">
        <f t="array" ref="PNF3">GetValue("Dmn","Name",PNF2)</f>
        <v/>
      </c>
      <c r="PNG3" s="1" t="str" cm="1">
        <f t="array" ref="PNG3">GetValue("Dmn","Name",PNG2)</f>
        <v/>
      </c>
      <c r="PNH3" s="1" t="str" cm="1">
        <f t="array" ref="PNH3">GetValue("Dmn","Name",PNH2)</f>
        <v/>
      </c>
      <c r="PNI3" s="1" t="str" cm="1">
        <f t="array" ref="PNI3">GetValue("Dmn","Name",PNI2)</f>
        <v/>
      </c>
      <c r="PNJ3" s="1" t="str" cm="1">
        <f t="array" ref="PNJ3">GetValue("Dmn","Name",PNJ2)</f>
        <v/>
      </c>
      <c r="PNK3" s="1" t="str" cm="1">
        <f t="array" ref="PNK3">GetValue("Dmn","Name",PNK2)</f>
        <v/>
      </c>
      <c r="PNL3" s="1" t="str" cm="1">
        <f t="array" ref="PNL3">GetValue("Dmn","Name",PNL2)</f>
        <v/>
      </c>
      <c r="PNM3" s="1" t="str" cm="1">
        <f t="array" ref="PNM3">GetValue("Dmn","Name",PNM2)</f>
        <v/>
      </c>
      <c r="PNN3" s="1" t="str" cm="1">
        <f t="array" ref="PNN3">GetValue("Dmn","Name",PNN2)</f>
        <v/>
      </c>
      <c r="PNO3" s="1" t="str" cm="1">
        <f t="array" ref="PNO3">GetValue("Dmn","Name",PNO2)</f>
        <v/>
      </c>
      <c r="PNP3" s="1" t="str" cm="1">
        <f t="array" ref="PNP3">GetValue("Dmn","Name",PNP2)</f>
        <v/>
      </c>
      <c r="PNQ3" s="1" t="str" cm="1">
        <f t="array" ref="PNQ3">GetValue("Dmn","Name",PNQ2)</f>
        <v/>
      </c>
      <c r="PNR3" s="1" t="str" cm="1">
        <f t="array" ref="PNR3">GetValue("Dmn","Name",PNR2)</f>
        <v/>
      </c>
      <c r="PNS3" s="1" t="str" cm="1">
        <f t="array" ref="PNS3">GetValue("Dmn","Name",PNS2)</f>
        <v/>
      </c>
      <c r="PNT3" s="1" t="str" cm="1">
        <f t="array" ref="PNT3">GetValue("Dmn","Name",PNT2)</f>
        <v/>
      </c>
      <c r="PNU3" s="1" t="str" cm="1">
        <f t="array" ref="PNU3">GetValue("Dmn","Name",PNU2)</f>
        <v/>
      </c>
      <c r="PNV3" s="1" t="str" cm="1">
        <f t="array" ref="PNV3">GetValue("Dmn","Name",PNV2)</f>
        <v/>
      </c>
      <c r="PNW3" s="1" t="str" cm="1">
        <f t="array" ref="PNW3">GetValue("Dmn","Name",PNW2)</f>
        <v/>
      </c>
      <c r="PNX3" s="1" t="str" cm="1">
        <f t="array" ref="PNX3">GetValue("Dmn","Name",PNX2)</f>
        <v/>
      </c>
      <c r="PNY3" s="1" t="str" cm="1">
        <f t="array" ref="PNY3">GetValue("Dmn","Name",PNY2)</f>
        <v/>
      </c>
      <c r="PNZ3" s="1" t="str" cm="1">
        <f t="array" ref="PNZ3">GetValue("Dmn","Name",PNZ2)</f>
        <v/>
      </c>
      <c r="POA3" s="1" t="str" cm="1">
        <f t="array" ref="POA3">GetValue("Dmn","Name",POA2)</f>
        <v/>
      </c>
      <c r="POB3" s="1" t="str" cm="1">
        <f t="array" ref="POB3">GetValue("Dmn","Name",POB2)</f>
        <v/>
      </c>
      <c r="POC3" s="1" t="str" cm="1">
        <f t="array" ref="POC3">GetValue("Dmn","Name",POC2)</f>
        <v/>
      </c>
      <c r="POD3" s="1" t="str" cm="1">
        <f t="array" ref="POD3">GetValue("Dmn","Name",POD2)</f>
        <v/>
      </c>
      <c r="POE3" s="1" t="str" cm="1">
        <f t="array" ref="POE3">GetValue("Dmn","Name",POE2)</f>
        <v/>
      </c>
      <c r="POF3" s="1" t="str" cm="1">
        <f t="array" ref="POF3">GetValue("Dmn","Name",POF2)</f>
        <v/>
      </c>
      <c r="POG3" s="1" t="str" cm="1">
        <f t="array" ref="POG3">GetValue("Dmn","Name",POG2)</f>
        <v/>
      </c>
      <c r="POH3" s="1" t="str" cm="1">
        <f t="array" ref="POH3">GetValue("Dmn","Name",POH2)</f>
        <v/>
      </c>
      <c r="POI3" s="1" t="str" cm="1">
        <f t="array" ref="POI3">GetValue("Dmn","Name",POI2)</f>
        <v/>
      </c>
      <c r="POJ3" s="1" t="str" cm="1">
        <f t="array" ref="POJ3">GetValue("Dmn","Name",POJ2)</f>
        <v/>
      </c>
      <c r="POK3" s="1" t="str" cm="1">
        <f t="array" ref="POK3">GetValue("Dmn","Name",POK2)</f>
        <v/>
      </c>
      <c r="POL3" s="1" t="str" cm="1">
        <f t="array" ref="POL3">GetValue("Dmn","Name",POL2)</f>
        <v/>
      </c>
      <c r="POM3" s="1" t="str" cm="1">
        <f t="array" ref="POM3">GetValue("Dmn","Name",POM2)</f>
        <v/>
      </c>
      <c r="PON3" s="1" t="str" cm="1">
        <f t="array" ref="PON3">GetValue("Dmn","Name",PON2)</f>
        <v/>
      </c>
      <c r="POO3" s="1" t="str" cm="1">
        <f t="array" ref="POO3">GetValue("Dmn","Name",POO2)</f>
        <v/>
      </c>
      <c r="POP3" s="1" t="str" cm="1">
        <f t="array" ref="POP3">GetValue("Dmn","Name",POP2)</f>
        <v/>
      </c>
      <c r="POQ3" s="1" t="str" cm="1">
        <f t="array" ref="POQ3">GetValue("Dmn","Name",POQ2)</f>
        <v/>
      </c>
      <c r="POR3" s="1" t="str" cm="1">
        <f t="array" ref="POR3">GetValue("Dmn","Name",POR2)</f>
        <v/>
      </c>
      <c r="POS3" s="1" t="str" cm="1">
        <f t="array" ref="POS3">GetValue("Dmn","Name",POS2)</f>
        <v/>
      </c>
      <c r="POT3" s="1" t="str" cm="1">
        <f t="array" ref="POT3">GetValue("Dmn","Name",POT2)</f>
        <v/>
      </c>
      <c r="POU3" s="1" t="str" cm="1">
        <f t="array" ref="POU3">GetValue("Dmn","Name",POU2)</f>
        <v/>
      </c>
      <c r="POV3" s="1" t="str" cm="1">
        <f t="array" ref="POV3">GetValue("Dmn","Name",POV2)</f>
        <v/>
      </c>
      <c r="POW3" s="1" t="str" cm="1">
        <f t="array" ref="POW3">GetValue("Dmn","Name",POW2)</f>
        <v/>
      </c>
      <c r="POX3" s="1" t="str" cm="1">
        <f t="array" ref="POX3">GetValue("Dmn","Name",POX2)</f>
        <v/>
      </c>
      <c r="POY3" s="1" t="str" cm="1">
        <f t="array" ref="POY3">GetValue("Dmn","Name",POY2)</f>
        <v/>
      </c>
      <c r="POZ3" s="1" t="str" cm="1">
        <f t="array" ref="POZ3">GetValue("Dmn","Name",POZ2)</f>
        <v/>
      </c>
      <c r="PPA3" s="1" t="str" cm="1">
        <f t="array" ref="PPA3">GetValue("Dmn","Name",PPA2)</f>
        <v/>
      </c>
      <c r="PPB3" s="1" t="str" cm="1">
        <f t="array" ref="PPB3">GetValue("Dmn","Name",PPB2)</f>
        <v/>
      </c>
      <c r="PPC3" s="1" t="str" cm="1">
        <f t="array" ref="PPC3">GetValue("Dmn","Name",PPC2)</f>
        <v/>
      </c>
      <c r="PPD3" s="1" t="str" cm="1">
        <f t="array" ref="PPD3">GetValue("Dmn","Name",PPD2)</f>
        <v/>
      </c>
      <c r="PPE3" s="1" t="str" cm="1">
        <f t="array" ref="PPE3">GetValue("Dmn","Name",PPE2)</f>
        <v/>
      </c>
      <c r="PPF3" s="1" t="str" cm="1">
        <f t="array" ref="PPF3">GetValue("Dmn","Name",PPF2)</f>
        <v/>
      </c>
      <c r="PPG3" s="1" t="str" cm="1">
        <f t="array" ref="PPG3">GetValue("Dmn","Name",PPG2)</f>
        <v/>
      </c>
      <c r="PPH3" s="1" t="str" cm="1">
        <f t="array" ref="PPH3">GetValue("Dmn","Name",PPH2)</f>
        <v/>
      </c>
      <c r="PPI3" s="1" t="str" cm="1">
        <f t="array" ref="PPI3">GetValue("Dmn","Name",PPI2)</f>
        <v/>
      </c>
      <c r="PPJ3" s="1" t="str" cm="1">
        <f t="array" ref="PPJ3">GetValue("Dmn","Name",PPJ2)</f>
        <v/>
      </c>
      <c r="PPK3" s="1" t="str" cm="1">
        <f t="array" ref="PPK3">GetValue("Dmn","Name",PPK2)</f>
        <v/>
      </c>
      <c r="PPL3" s="1" t="str" cm="1">
        <f t="array" ref="PPL3">GetValue("Dmn","Name",PPL2)</f>
        <v/>
      </c>
      <c r="PPM3" s="1" t="str" cm="1">
        <f t="array" ref="PPM3">GetValue("Dmn","Name",PPM2)</f>
        <v/>
      </c>
      <c r="PPN3" s="1" t="str" cm="1">
        <f t="array" ref="PPN3">GetValue("Dmn","Name",PPN2)</f>
        <v/>
      </c>
      <c r="PPO3" s="1" t="str" cm="1">
        <f t="array" ref="PPO3">GetValue("Dmn","Name",PPO2)</f>
        <v/>
      </c>
      <c r="PPP3" s="1" t="str" cm="1">
        <f t="array" ref="PPP3">GetValue("Dmn","Name",PPP2)</f>
        <v/>
      </c>
      <c r="PPQ3" s="1" t="str" cm="1">
        <f t="array" ref="PPQ3">GetValue("Dmn","Name",PPQ2)</f>
        <v/>
      </c>
      <c r="PPR3" s="1" t="str" cm="1">
        <f t="array" ref="PPR3">GetValue("Dmn","Name",PPR2)</f>
        <v/>
      </c>
      <c r="PPS3" s="1" t="str" cm="1">
        <f t="array" ref="PPS3">GetValue("Dmn","Name",PPS2)</f>
        <v/>
      </c>
      <c r="PPT3" s="1" t="str" cm="1">
        <f t="array" ref="PPT3">GetValue("Dmn","Name",PPT2)</f>
        <v/>
      </c>
      <c r="PPU3" s="1" t="str" cm="1">
        <f t="array" ref="PPU3">GetValue("Dmn","Name",PPU2)</f>
        <v/>
      </c>
      <c r="PPV3" s="1" t="str" cm="1">
        <f t="array" ref="PPV3">GetValue("Dmn","Name",PPV2)</f>
        <v/>
      </c>
      <c r="PPW3" s="1" t="str" cm="1">
        <f t="array" ref="PPW3">GetValue("Dmn","Name",PPW2)</f>
        <v/>
      </c>
      <c r="PPX3" s="1" t="str" cm="1">
        <f t="array" ref="PPX3">GetValue("Dmn","Name",PPX2)</f>
        <v/>
      </c>
      <c r="PPY3" s="1" t="str" cm="1">
        <f t="array" ref="PPY3">GetValue("Dmn","Name",PPY2)</f>
        <v/>
      </c>
      <c r="PPZ3" s="1" t="str" cm="1">
        <f t="array" ref="PPZ3">GetValue("Dmn","Name",PPZ2)</f>
        <v/>
      </c>
      <c r="PQA3" s="1" t="str" cm="1">
        <f t="array" ref="PQA3">GetValue("Dmn","Name",PQA2)</f>
        <v/>
      </c>
      <c r="PQB3" s="1" t="str" cm="1">
        <f t="array" ref="PQB3">GetValue("Dmn","Name",PQB2)</f>
        <v/>
      </c>
      <c r="PQC3" s="1" t="str" cm="1">
        <f t="array" ref="PQC3">GetValue("Dmn","Name",PQC2)</f>
        <v/>
      </c>
      <c r="PQD3" s="1" t="str" cm="1">
        <f t="array" ref="PQD3">GetValue("Dmn","Name",PQD2)</f>
        <v/>
      </c>
      <c r="PQE3" s="1" t="str" cm="1">
        <f t="array" ref="PQE3">GetValue("Dmn","Name",PQE2)</f>
        <v/>
      </c>
      <c r="PQF3" s="1" t="str" cm="1">
        <f t="array" ref="PQF3">GetValue("Dmn","Name",PQF2)</f>
        <v/>
      </c>
      <c r="PQG3" s="1" t="str" cm="1">
        <f t="array" ref="PQG3">GetValue("Dmn","Name",PQG2)</f>
        <v/>
      </c>
      <c r="PQH3" s="1" t="str" cm="1">
        <f t="array" ref="PQH3">GetValue("Dmn","Name",PQH2)</f>
        <v/>
      </c>
      <c r="PQI3" s="1" t="str" cm="1">
        <f t="array" ref="PQI3">GetValue("Dmn","Name",PQI2)</f>
        <v/>
      </c>
      <c r="PQJ3" s="1" t="str" cm="1">
        <f t="array" ref="PQJ3">GetValue("Dmn","Name",PQJ2)</f>
        <v/>
      </c>
      <c r="PQK3" s="1" t="str" cm="1">
        <f t="array" ref="PQK3">GetValue("Dmn","Name",PQK2)</f>
        <v/>
      </c>
      <c r="PQL3" s="1" t="str" cm="1">
        <f t="array" ref="PQL3">GetValue("Dmn","Name",PQL2)</f>
        <v/>
      </c>
      <c r="PQM3" s="1" t="str" cm="1">
        <f t="array" ref="PQM3">GetValue("Dmn","Name",PQM2)</f>
        <v/>
      </c>
      <c r="PQN3" s="1" t="str" cm="1">
        <f t="array" ref="PQN3">GetValue("Dmn","Name",PQN2)</f>
        <v/>
      </c>
      <c r="PQO3" s="1" t="str" cm="1">
        <f t="array" ref="PQO3">GetValue("Dmn","Name",PQO2)</f>
        <v/>
      </c>
      <c r="PQP3" s="1" t="str" cm="1">
        <f t="array" ref="PQP3">GetValue("Dmn","Name",PQP2)</f>
        <v/>
      </c>
      <c r="PQQ3" s="1" t="str" cm="1">
        <f t="array" ref="PQQ3">GetValue("Dmn","Name",PQQ2)</f>
        <v/>
      </c>
      <c r="PQR3" s="1" t="str" cm="1">
        <f t="array" ref="PQR3">GetValue("Dmn","Name",PQR2)</f>
        <v/>
      </c>
      <c r="PQS3" s="1" t="str" cm="1">
        <f t="array" ref="PQS3">GetValue("Dmn","Name",PQS2)</f>
        <v/>
      </c>
      <c r="PQT3" s="1" t="str" cm="1">
        <f t="array" ref="PQT3">GetValue("Dmn","Name",PQT2)</f>
        <v/>
      </c>
      <c r="PQU3" s="1" t="str" cm="1">
        <f t="array" ref="PQU3">GetValue("Dmn","Name",PQU2)</f>
        <v/>
      </c>
      <c r="PQV3" s="1" t="str" cm="1">
        <f t="array" ref="PQV3">GetValue("Dmn","Name",PQV2)</f>
        <v/>
      </c>
      <c r="PQW3" s="1" t="str" cm="1">
        <f t="array" ref="PQW3">GetValue("Dmn","Name",PQW2)</f>
        <v/>
      </c>
      <c r="PQX3" s="1" t="str" cm="1">
        <f t="array" ref="PQX3">GetValue("Dmn","Name",PQX2)</f>
        <v/>
      </c>
      <c r="PQY3" s="1" t="str" cm="1">
        <f t="array" ref="PQY3">GetValue("Dmn","Name",PQY2)</f>
        <v/>
      </c>
      <c r="PQZ3" s="1" t="str" cm="1">
        <f t="array" ref="PQZ3">GetValue("Dmn","Name",PQZ2)</f>
        <v/>
      </c>
      <c r="PRA3" s="1" t="str" cm="1">
        <f t="array" ref="PRA3">GetValue("Dmn","Name",PRA2)</f>
        <v/>
      </c>
      <c r="PRB3" s="1" t="str" cm="1">
        <f t="array" ref="PRB3">GetValue("Dmn","Name",PRB2)</f>
        <v/>
      </c>
      <c r="PRC3" s="1" t="str" cm="1">
        <f t="array" ref="PRC3">GetValue("Dmn","Name",PRC2)</f>
        <v/>
      </c>
      <c r="PRD3" s="1" t="str" cm="1">
        <f t="array" ref="PRD3">GetValue("Dmn","Name",PRD2)</f>
        <v/>
      </c>
      <c r="PRE3" s="1" t="str" cm="1">
        <f t="array" ref="PRE3">GetValue("Dmn","Name",PRE2)</f>
        <v/>
      </c>
      <c r="PRF3" s="1" t="str" cm="1">
        <f t="array" ref="PRF3">GetValue("Dmn","Name",PRF2)</f>
        <v/>
      </c>
      <c r="PRG3" s="1" t="str" cm="1">
        <f t="array" ref="PRG3">GetValue("Dmn","Name",PRG2)</f>
        <v/>
      </c>
      <c r="PRH3" s="1" t="str" cm="1">
        <f t="array" ref="PRH3">GetValue("Dmn","Name",PRH2)</f>
        <v/>
      </c>
      <c r="PRI3" s="1" t="str" cm="1">
        <f t="array" ref="PRI3">GetValue("Dmn","Name",PRI2)</f>
        <v/>
      </c>
      <c r="PRJ3" s="1" t="str" cm="1">
        <f t="array" ref="PRJ3">GetValue("Dmn","Name",PRJ2)</f>
        <v/>
      </c>
      <c r="PRK3" s="1" t="str" cm="1">
        <f t="array" ref="PRK3">GetValue("Dmn","Name",PRK2)</f>
        <v/>
      </c>
      <c r="PRL3" s="1" t="str" cm="1">
        <f t="array" ref="PRL3">GetValue("Dmn","Name",PRL2)</f>
        <v/>
      </c>
      <c r="PRM3" s="1" t="str" cm="1">
        <f t="array" ref="PRM3">GetValue("Dmn","Name",PRM2)</f>
        <v/>
      </c>
      <c r="PRN3" s="1" t="str" cm="1">
        <f t="array" ref="PRN3">GetValue("Dmn","Name",PRN2)</f>
        <v/>
      </c>
      <c r="PRO3" s="1" t="str" cm="1">
        <f t="array" ref="PRO3">GetValue("Dmn","Name",PRO2)</f>
        <v/>
      </c>
      <c r="PRP3" s="1" t="str" cm="1">
        <f t="array" ref="PRP3">GetValue("Dmn","Name",PRP2)</f>
        <v/>
      </c>
      <c r="PRQ3" s="1" t="str" cm="1">
        <f t="array" ref="PRQ3">GetValue("Dmn","Name",PRQ2)</f>
        <v/>
      </c>
      <c r="PRR3" s="1" t="str" cm="1">
        <f t="array" ref="PRR3">GetValue("Dmn","Name",PRR2)</f>
        <v/>
      </c>
      <c r="PRS3" s="1" t="str" cm="1">
        <f t="array" ref="PRS3">GetValue("Dmn","Name",PRS2)</f>
        <v/>
      </c>
      <c r="PRT3" s="1" t="str" cm="1">
        <f t="array" ref="PRT3">GetValue("Dmn","Name",PRT2)</f>
        <v/>
      </c>
      <c r="PRU3" s="1" t="str" cm="1">
        <f t="array" ref="PRU3">GetValue("Dmn","Name",PRU2)</f>
        <v/>
      </c>
      <c r="PRV3" s="1" t="str" cm="1">
        <f t="array" ref="PRV3">GetValue("Dmn","Name",PRV2)</f>
        <v/>
      </c>
      <c r="PRW3" s="1" t="str" cm="1">
        <f t="array" ref="PRW3">GetValue("Dmn","Name",PRW2)</f>
        <v/>
      </c>
      <c r="PRX3" s="1" t="str" cm="1">
        <f t="array" ref="PRX3">GetValue("Dmn","Name",PRX2)</f>
        <v/>
      </c>
      <c r="PRY3" s="1" t="str" cm="1">
        <f t="array" ref="PRY3">GetValue("Dmn","Name",PRY2)</f>
        <v/>
      </c>
      <c r="PRZ3" s="1" t="str" cm="1">
        <f t="array" ref="PRZ3">GetValue("Dmn","Name",PRZ2)</f>
        <v/>
      </c>
      <c r="PSA3" s="1" t="str" cm="1">
        <f t="array" ref="PSA3">GetValue("Dmn","Name",PSA2)</f>
        <v/>
      </c>
      <c r="PSB3" s="1" t="str" cm="1">
        <f t="array" ref="PSB3">GetValue("Dmn","Name",PSB2)</f>
        <v/>
      </c>
      <c r="PSC3" s="1" t="str" cm="1">
        <f t="array" ref="PSC3">GetValue("Dmn","Name",PSC2)</f>
        <v/>
      </c>
      <c r="PSD3" s="1" t="str" cm="1">
        <f t="array" ref="PSD3">GetValue("Dmn","Name",PSD2)</f>
        <v/>
      </c>
      <c r="PSE3" s="1" t="str" cm="1">
        <f t="array" ref="PSE3">GetValue("Dmn","Name",PSE2)</f>
        <v/>
      </c>
      <c r="PSF3" s="1" t="str" cm="1">
        <f t="array" ref="PSF3">GetValue("Dmn","Name",PSF2)</f>
        <v/>
      </c>
      <c r="PSG3" s="1" t="str" cm="1">
        <f t="array" ref="PSG3">GetValue("Dmn","Name",PSG2)</f>
        <v/>
      </c>
      <c r="PSH3" s="1" t="str" cm="1">
        <f t="array" ref="PSH3">GetValue("Dmn","Name",PSH2)</f>
        <v/>
      </c>
      <c r="PSI3" s="1" t="str" cm="1">
        <f t="array" ref="PSI3">GetValue("Dmn","Name",PSI2)</f>
        <v/>
      </c>
      <c r="PSJ3" s="1" t="str" cm="1">
        <f t="array" ref="PSJ3">GetValue("Dmn","Name",PSJ2)</f>
        <v/>
      </c>
      <c r="PSK3" s="1" t="str" cm="1">
        <f t="array" ref="PSK3">GetValue("Dmn","Name",PSK2)</f>
        <v/>
      </c>
      <c r="PSL3" s="1" t="str" cm="1">
        <f t="array" ref="PSL3">GetValue("Dmn","Name",PSL2)</f>
        <v/>
      </c>
      <c r="PSM3" s="1" t="str" cm="1">
        <f t="array" ref="PSM3">GetValue("Dmn","Name",PSM2)</f>
        <v/>
      </c>
      <c r="PSN3" s="1" t="str" cm="1">
        <f t="array" ref="PSN3">GetValue("Dmn","Name",PSN2)</f>
        <v/>
      </c>
      <c r="PSO3" s="1" t="str" cm="1">
        <f t="array" ref="PSO3">GetValue("Dmn","Name",PSO2)</f>
        <v/>
      </c>
      <c r="PSP3" s="1" t="str" cm="1">
        <f t="array" ref="PSP3">GetValue("Dmn","Name",PSP2)</f>
        <v/>
      </c>
      <c r="PSQ3" s="1" t="str" cm="1">
        <f t="array" ref="PSQ3">GetValue("Dmn","Name",PSQ2)</f>
        <v/>
      </c>
      <c r="PSR3" s="1" t="str" cm="1">
        <f t="array" ref="PSR3">GetValue("Dmn","Name",PSR2)</f>
        <v/>
      </c>
      <c r="PSS3" s="1" t="str" cm="1">
        <f t="array" ref="PSS3">GetValue("Dmn","Name",PSS2)</f>
        <v/>
      </c>
      <c r="PST3" s="1" t="str" cm="1">
        <f t="array" ref="PST3">GetValue("Dmn","Name",PST2)</f>
        <v/>
      </c>
      <c r="PSU3" s="1" t="str" cm="1">
        <f t="array" ref="PSU3">GetValue("Dmn","Name",PSU2)</f>
        <v/>
      </c>
      <c r="PSV3" s="1" t="str" cm="1">
        <f t="array" ref="PSV3">GetValue("Dmn","Name",PSV2)</f>
        <v/>
      </c>
      <c r="PSW3" s="1" t="str" cm="1">
        <f t="array" ref="PSW3">GetValue("Dmn","Name",PSW2)</f>
        <v/>
      </c>
      <c r="PSX3" s="1" t="str" cm="1">
        <f t="array" ref="PSX3">GetValue("Dmn","Name",PSX2)</f>
        <v/>
      </c>
      <c r="PSY3" s="1" t="str" cm="1">
        <f t="array" ref="PSY3">GetValue("Dmn","Name",PSY2)</f>
        <v/>
      </c>
      <c r="PSZ3" s="1" t="str" cm="1">
        <f t="array" ref="PSZ3">GetValue("Dmn","Name",PSZ2)</f>
        <v/>
      </c>
      <c r="PTA3" s="1" t="str" cm="1">
        <f t="array" ref="PTA3">GetValue("Dmn","Name",PTA2)</f>
        <v/>
      </c>
      <c r="PTB3" s="1" t="str" cm="1">
        <f t="array" ref="PTB3">GetValue("Dmn","Name",PTB2)</f>
        <v/>
      </c>
      <c r="PTC3" s="1" t="str" cm="1">
        <f t="array" ref="PTC3">GetValue("Dmn","Name",PTC2)</f>
        <v/>
      </c>
      <c r="PTD3" s="1" t="str" cm="1">
        <f t="array" ref="PTD3">GetValue("Dmn","Name",PTD2)</f>
        <v/>
      </c>
      <c r="PTE3" s="1" t="str" cm="1">
        <f t="array" ref="PTE3">GetValue("Dmn","Name",PTE2)</f>
        <v/>
      </c>
      <c r="PTF3" s="1" t="str" cm="1">
        <f t="array" ref="PTF3">GetValue("Dmn","Name",PTF2)</f>
        <v/>
      </c>
      <c r="PTG3" s="1" t="str" cm="1">
        <f t="array" ref="PTG3">GetValue("Dmn","Name",PTG2)</f>
        <v/>
      </c>
      <c r="PTH3" s="1" t="str" cm="1">
        <f t="array" ref="PTH3">GetValue("Dmn","Name",PTH2)</f>
        <v/>
      </c>
      <c r="PTI3" s="1" t="str" cm="1">
        <f t="array" ref="PTI3">GetValue("Dmn","Name",PTI2)</f>
        <v/>
      </c>
      <c r="PTJ3" s="1" t="str" cm="1">
        <f t="array" ref="PTJ3">GetValue("Dmn","Name",PTJ2)</f>
        <v/>
      </c>
      <c r="PTK3" s="1" t="str" cm="1">
        <f t="array" ref="PTK3">GetValue("Dmn","Name",PTK2)</f>
        <v/>
      </c>
      <c r="PTL3" s="1" t="str" cm="1">
        <f t="array" ref="PTL3">GetValue("Dmn","Name",PTL2)</f>
        <v/>
      </c>
      <c r="PTM3" s="1" t="str" cm="1">
        <f t="array" ref="PTM3">GetValue("Dmn","Name",PTM2)</f>
        <v/>
      </c>
      <c r="PTN3" s="1" t="str" cm="1">
        <f t="array" ref="PTN3">GetValue("Dmn","Name",PTN2)</f>
        <v/>
      </c>
      <c r="PTO3" s="1" t="str" cm="1">
        <f t="array" ref="PTO3">GetValue("Dmn","Name",PTO2)</f>
        <v/>
      </c>
      <c r="PTP3" s="1" t="str" cm="1">
        <f t="array" ref="PTP3">GetValue("Dmn","Name",PTP2)</f>
        <v/>
      </c>
      <c r="PTQ3" s="1" t="str" cm="1">
        <f t="array" ref="PTQ3">GetValue("Dmn","Name",PTQ2)</f>
        <v/>
      </c>
      <c r="PTR3" s="1" t="str" cm="1">
        <f t="array" ref="PTR3">GetValue("Dmn","Name",PTR2)</f>
        <v/>
      </c>
      <c r="PTS3" s="1" t="str" cm="1">
        <f t="array" ref="PTS3">GetValue("Dmn","Name",PTS2)</f>
        <v/>
      </c>
      <c r="PTT3" s="1" t="str" cm="1">
        <f t="array" ref="PTT3">GetValue("Dmn","Name",PTT2)</f>
        <v/>
      </c>
      <c r="PTU3" s="1" t="str" cm="1">
        <f t="array" ref="PTU3">GetValue("Dmn","Name",PTU2)</f>
        <v/>
      </c>
      <c r="PTV3" s="1" t="str" cm="1">
        <f t="array" ref="PTV3">GetValue("Dmn","Name",PTV2)</f>
        <v/>
      </c>
      <c r="PTW3" s="1" t="str" cm="1">
        <f t="array" ref="PTW3">GetValue("Dmn","Name",PTW2)</f>
        <v/>
      </c>
      <c r="PTX3" s="1" t="str" cm="1">
        <f t="array" ref="PTX3">GetValue("Dmn","Name",PTX2)</f>
        <v/>
      </c>
      <c r="PTY3" s="1" t="str" cm="1">
        <f t="array" ref="PTY3">GetValue("Dmn","Name",PTY2)</f>
        <v/>
      </c>
      <c r="PTZ3" s="1" t="str" cm="1">
        <f t="array" ref="PTZ3">GetValue("Dmn","Name",PTZ2)</f>
        <v/>
      </c>
      <c r="PUA3" s="1" t="str" cm="1">
        <f t="array" ref="PUA3">GetValue("Dmn","Name",PUA2)</f>
        <v/>
      </c>
      <c r="PUB3" s="1" t="str" cm="1">
        <f t="array" ref="PUB3">GetValue("Dmn","Name",PUB2)</f>
        <v/>
      </c>
      <c r="PUC3" s="1" t="str" cm="1">
        <f t="array" ref="PUC3">GetValue("Dmn","Name",PUC2)</f>
        <v/>
      </c>
      <c r="PUD3" s="1" t="str" cm="1">
        <f t="array" ref="PUD3">GetValue("Dmn","Name",PUD2)</f>
        <v/>
      </c>
      <c r="PUE3" s="1" t="str" cm="1">
        <f t="array" ref="PUE3">GetValue("Dmn","Name",PUE2)</f>
        <v/>
      </c>
      <c r="PUF3" s="1" t="str" cm="1">
        <f t="array" ref="PUF3">GetValue("Dmn","Name",PUF2)</f>
        <v/>
      </c>
      <c r="PUG3" s="1" t="str" cm="1">
        <f t="array" ref="PUG3">GetValue("Dmn","Name",PUG2)</f>
        <v/>
      </c>
      <c r="PUH3" s="1" t="str" cm="1">
        <f t="array" ref="PUH3">GetValue("Dmn","Name",PUH2)</f>
        <v/>
      </c>
      <c r="PUI3" s="1" t="str" cm="1">
        <f t="array" ref="PUI3">GetValue("Dmn","Name",PUI2)</f>
        <v/>
      </c>
      <c r="PUJ3" s="1" t="str" cm="1">
        <f t="array" ref="PUJ3">GetValue("Dmn","Name",PUJ2)</f>
        <v/>
      </c>
      <c r="PUK3" s="1" t="str" cm="1">
        <f t="array" ref="PUK3">GetValue("Dmn","Name",PUK2)</f>
        <v/>
      </c>
      <c r="PUL3" s="1" t="str" cm="1">
        <f t="array" ref="PUL3">GetValue("Dmn","Name",PUL2)</f>
        <v/>
      </c>
      <c r="PUM3" s="1" t="str" cm="1">
        <f t="array" ref="PUM3">GetValue("Dmn","Name",PUM2)</f>
        <v/>
      </c>
      <c r="PUN3" s="1" t="str" cm="1">
        <f t="array" ref="PUN3">GetValue("Dmn","Name",PUN2)</f>
        <v/>
      </c>
      <c r="PUO3" s="1" t="str" cm="1">
        <f t="array" ref="PUO3">GetValue("Dmn","Name",PUO2)</f>
        <v/>
      </c>
      <c r="PUP3" s="1" t="str" cm="1">
        <f t="array" ref="PUP3">GetValue("Dmn","Name",PUP2)</f>
        <v/>
      </c>
      <c r="PUQ3" s="1" t="str" cm="1">
        <f t="array" ref="PUQ3">GetValue("Dmn","Name",PUQ2)</f>
        <v/>
      </c>
      <c r="PUR3" s="1" t="str" cm="1">
        <f t="array" ref="PUR3">GetValue("Dmn","Name",PUR2)</f>
        <v/>
      </c>
      <c r="PUS3" s="1" t="str" cm="1">
        <f t="array" ref="PUS3">GetValue("Dmn","Name",PUS2)</f>
        <v/>
      </c>
      <c r="PUT3" s="1" t="str" cm="1">
        <f t="array" ref="PUT3">GetValue("Dmn","Name",PUT2)</f>
        <v/>
      </c>
      <c r="PUU3" s="1" t="str" cm="1">
        <f t="array" ref="PUU3">GetValue("Dmn","Name",PUU2)</f>
        <v/>
      </c>
      <c r="PUV3" s="1" t="str" cm="1">
        <f t="array" ref="PUV3">GetValue("Dmn","Name",PUV2)</f>
        <v/>
      </c>
      <c r="PUW3" s="1" t="str" cm="1">
        <f t="array" ref="PUW3">GetValue("Dmn","Name",PUW2)</f>
        <v/>
      </c>
      <c r="PUX3" s="1" t="str" cm="1">
        <f t="array" ref="PUX3">GetValue("Dmn","Name",PUX2)</f>
        <v/>
      </c>
      <c r="PUY3" s="1" t="str" cm="1">
        <f t="array" ref="PUY3">GetValue("Dmn","Name",PUY2)</f>
        <v/>
      </c>
      <c r="PUZ3" s="1" t="str" cm="1">
        <f t="array" ref="PUZ3">GetValue("Dmn","Name",PUZ2)</f>
        <v/>
      </c>
      <c r="PVA3" s="1" t="str" cm="1">
        <f t="array" ref="PVA3">GetValue("Dmn","Name",PVA2)</f>
        <v/>
      </c>
      <c r="PVB3" s="1" t="str" cm="1">
        <f t="array" ref="PVB3">GetValue("Dmn","Name",PVB2)</f>
        <v/>
      </c>
      <c r="PVC3" s="1" t="str" cm="1">
        <f t="array" ref="PVC3">GetValue("Dmn","Name",PVC2)</f>
        <v/>
      </c>
      <c r="PVD3" s="1" t="str" cm="1">
        <f t="array" ref="PVD3">GetValue("Dmn","Name",PVD2)</f>
        <v/>
      </c>
      <c r="PVE3" s="1" t="str" cm="1">
        <f t="array" ref="PVE3">GetValue("Dmn","Name",PVE2)</f>
        <v/>
      </c>
      <c r="PVF3" s="1" t="str" cm="1">
        <f t="array" ref="PVF3">GetValue("Dmn","Name",PVF2)</f>
        <v/>
      </c>
      <c r="PVG3" s="1" t="str" cm="1">
        <f t="array" ref="PVG3">GetValue("Dmn","Name",PVG2)</f>
        <v/>
      </c>
      <c r="PVH3" s="1" t="str" cm="1">
        <f t="array" ref="PVH3">GetValue("Dmn","Name",PVH2)</f>
        <v/>
      </c>
      <c r="PVI3" s="1" t="str" cm="1">
        <f t="array" ref="PVI3">GetValue("Dmn","Name",PVI2)</f>
        <v/>
      </c>
      <c r="PVJ3" s="1" t="str" cm="1">
        <f t="array" ref="PVJ3">GetValue("Dmn","Name",PVJ2)</f>
        <v/>
      </c>
      <c r="PVK3" s="1" t="str" cm="1">
        <f t="array" ref="PVK3">GetValue("Dmn","Name",PVK2)</f>
        <v/>
      </c>
      <c r="PVL3" s="1" t="str" cm="1">
        <f t="array" ref="PVL3">GetValue("Dmn","Name",PVL2)</f>
        <v/>
      </c>
      <c r="PVM3" s="1" t="str" cm="1">
        <f t="array" ref="PVM3">GetValue("Dmn","Name",PVM2)</f>
        <v/>
      </c>
      <c r="PVN3" s="1" t="str" cm="1">
        <f t="array" ref="PVN3">GetValue("Dmn","Name",PVN2)</f>
        <v/>
      </c>
      <c r="PVO3" s="1" t="str" cm="1">
        <f t="array" ref="PVO3">GetValue("Dmn","Name",PVO2)</f>
        <v/>
      </c>
      <c r="PVP3" s="1" t="str" cm="1">
        <f t="array" ref="PVP3">GetValue("Dmn","Name",PVP2)</f>
        <v/>
      </c>
      <c r="PVQ3" s="1" t="str" cm="1">
        <f t="array" ref="PVQ3">GetValue("Dmn","Name",PVQ2)</f>
        <v/>
      </c>
      <c r="PVR3" s="1" t="str" cm="1">
        <f t="array" ref="PVR3">GetValue("Dmn","Name",PVR2)</f>
        <v/>
      </c>
      <c r="PVS3" s="1" t="str" cm="1">
        <f t="array" ref="PVS3">GetValue("Dmn","Name",PVS2)</f>
        <v/>
      </c>
      <c r="PVT3" s="1" t="str" cm="1">
        <f t="array" ref="PVT3">GetValue("Dmn","Name",PVT2)</f>
        <v/>
      </c>
      <c r="PVU3" s="1" t="str" cm="1">
        <f t="array" ref="PVU3">GetValue("Dmn","Name",PVU2)</f>
        <v/>
      </c>
      <c r="PVV3" s="1" t="str" cm="1">
        <f t="array" ref="PVV3">GetValue("Dmn","Name",PVV2)</f>
        <v/>
      </c>
      <c r="PVW3" s="1" t="str" cm="1">
        <f t="array" ref="PVW3">GetValue("Dmn","Name",PVW2)</f>
        <v/>
      </c>
      <c r="PVX3" s="1" t="str" cm="1">
        <f t="array" ref="PVX3">GetValue("Dmn","Name",PVX2)</f>
        <v/>
      </c>
      <c r="PVY3" s="1" t="str" cm="1">
        <f t="array" ref="PVY3">GetValue("Dmn","Name",PVY2)</f>
        <v/>
      </c>
      <c r="PVZ3" s="1" t="str" cm="1">
        <f t="array" ref="PVZ3">GetValue("Dmn","Name",PVZ2)</f>
        <v/>
      </c>
      <c r="PWA3" s="1" t="str" cm="1">
        <f t="array" ref="PWA3">GetValue("Dmn","Name",PWA2)</f>
        <v/>
      </c>
      <c r="PWB3" s="1" t="str" cm="1">
        <f t="array" ref="PWB3">GetValue("Dmn","Name",PWB2)</f>
        <v/>
      </c>
      <c r="PWC3" s="1" t="str" cm="1">
        <f t="array" ref="PWC3">GetValue("Dmn","Name",PWC2)</f>
        <v/>
      </c>
      <c r="PWD3" s="1" t="str" cm="1">
        <f t="array" ref="PWD3">GetValue("Dmn","Name",PWD2)</f>
        <v/>
      </c>
      <c r="PWE3" s="1" t="str" cm="1">
        <f t="array" ref="PWE3">GetValue("Dmn","Name",PWE2)</f>
        <v/>
      </c>
      <c r="PWF3" s="1" t="str" cm="1">
        <f t="array" ref="PWF3">GetValue("Dmn","Name",PWF2)</f>
        <v/>
      </c>
      <c r="PWG3" s="1" t="str" cm="1">
        <f t="array" ref="PWG3">GetValue("Dmn","Name",PWG2)</f>
        <v/>
      </c>
      <c r="PWH3" s="1" t="str" cm="1">
        <f t="array" ref="PWH3">GetValue("Dmn","Name",PWH2)</f>
        <v/>
      </c>
      <c r="PWI3" s="1" t="str" cm="1">
        <f t="array" ref="PWI3">GetValue("Dmn","Name",PWI2)</f>
        <v/>
      </c>
      <c r="PWJ3" s="1" t="str" cm="1">
        <f t="array" ref="PWJ3">GetValue("Dmn","Name",PWJ2)</f>
        <v/>
      </c>
      <c r="PWK3" s="1" t="str" cm="1">
        <f t="array" ref="PWK3">GetValue("Dmn","Name",PWK2)</f>
        <v/>
      </c>
      <c r="PWL3" s="1" t="str" cm="1">
        <f t="array" ref="PWL3">GetValue("Dmn","Name",PWL2)</f>
        <v/>
      </c>
      <c r="PWM3" s="1" t="str" cm="1">
        <f t="array" ref="PWM3">GetValue("Dmn","Name",PWM2)</f>
        <v/>
      </c>
      <c r="PWN3" s="1" t="str" cm="1">
        <f t="array" ref="PWN3">GetValue("Dmn","Name",PWN2)</f>
        <v/>
      </c>
      <c r="PWO3" s="1" t="str" cm="1">
        <f t="array" ref="PWO3">GetValue("Dmn","Name",PWO2)</f>
        <v/>
      </c>
      <c r="PWP3" s="1" t="str" cm="1">
        <f t="array" ref="PWP3">GetValue("Dmn","Name",PWP2)</f>
        <v/>
      </c>
      <c r="PWQ3" s="1" t="str" cm="1">
        <f t="array" ref="PWQ3">GetValue("Dmn","Name",PWQ2)</f>
        <v/>
      </c>
      <c r="PWR3" s="1" t="str" cm="1">
        <f t="array" ref="PWR3">GetValue("Dmn","Name",PWR2)</f>
        <v/>
      </c>
      <c r="PWS3" s="1" t="str" cm="1">
        <f t="array" ref="PWS3">GetValue("Dmn","Name",PWS2)</f>
        <v/>
      </c>
      <c r="PWT3" s="1" t="str" cm="1">
        <f t="array" ref="PWT3">GetValue("Dmn","Name",PWT2)</f>
        <v/>
      </c>
      <c r="PWU3" s="1" t="str" cm="1">
        <f t="array" ref="PWU3">GetValue("Dmn","Name",PWU2)</f>
        <v/>
      </c>
      <c r="PWV3" s="1" t="str" cm="1">
        <f t="array" ref="PWV3">GetValue("Dmn","Name",PWV2)</f>
        <v/>
      </c>
      <c r="PWW3" s="1" t="str" cm="1">
        <f t="array" ref="PWW3">GetValue("Dmn","Name",PWW2)</f>
        <v/>
      </c>
      <c r="PWX3" s="1" t="str" cm="1">
        <f t="array" ref="PWX3">GetValue("Dmn","Name",PWX2)</f>
        <v/>
      </c>
      <c r="PWY3" s="1" t="str" cm="1">
        <f t="array" ref="PWY3">GetValue("Dmn","Name",PWY2)</f>
        <v/>
      </c>
      <c r="PWZ3" s="1" t="str" cm="1">
        <f t="array" ref="PWZ3">GetValue("Dmn","Name",PWZ2)</f>
        <v/>
      </c>
      <c r="PXA3" s="1" t="str" cm="1">
        <f t="array" ref="PXA3">GetValue("Dmn","Name",PXA2)</f>
        <v/>
      </c>
      <c r="PXB3" s="1" t="str" cm="1">
        <f t="array" ref="PXB3">GetValue("Dmn","Name",PXB2)</f>
        <v/>
      </c>
      <c r="PXC3" s="1" t="str" cm="1">
        <f t="array" ref="PXC3">GetValue("Dmn","Name",PXC2)</f>
        <v/>
      </c>
      <c r="PXD3" s="1" t="str" cm="1">
        <f t="array" ref="PXD3">GetValue("Dmn","Name",PXD2)</f>
        <v/>
      </c>
      <c r="PXE3" s="1" t="str" cm="1">
        <f t="array" ref="PXE3">GetValue("Dmn","Name",PXE2)</f>
        <v/>
      </c>
      <c r="PXF3" s="1" t="str" cm="1">
        <f t="array" ref="PXF3">GetValue("Dmn","Name",PXF2)</f>
        <v/>
      </c>
      <c r="PXG3" s="1" t="str" cm="1">
        <f t="array" ref="PXG3">GetValue("Dmn","Name",PXG2)</f>
        <v/>
      </c>
      <c r="PXH3" s="1" t="str" cm="1">
        <f t="array" ref="PXH3">GetValue("Dmn","Name",PXH2)</f>
        <v/>
      </c>
      <c r="PXI3" s="1" t="str" cm="1">
        <f t="array" ref="PXI3">GetValue("Dmn","Name",PXI2)</f>
        <v/>
      </c>
      <c r="PXJ3" s="1" t="str" cm="1">
        <f t="array" ref="PXJ3">GetValue("Dmn","Name",PXJ2)</f>
        <v/>
      </c>
      <c r="PXK3" s="1" t="str" cm="1">
        <f t="array" ref="PXK3">GetValue("Dmn","Name",PXK2)</f>
        <v/>
      </c>
      <c r="PXL3" s="1" t="str" cm="1">
        <f t="array" ref="PXL3">GetValue("Dmn","Name",PXL2)</f>
        <v/>
      </c>
      <c r="PXM3" s="1" t="str" cm="1">
        <f t="array" ref="PXM3">GetValue("Dmn","Name",PXM2)</f>
        <v/>
      </c>
      <c r="PXN3" s="1" t="str" cm="1">
        <f t="array" ref="PXN3">GetValue("Dmn","Name",PXN2)</f>
        <v/>
      </c>
      <c r="PXO3" s="1" t="str" cm="1">
        <f t="array" ref="PXO3">GetValue("Dmn","Name",PXO2)</f>
        <v/>
      </c>
      <c r="PXP3" s="1" t="str" cm="1">
        <f t="array" ref="PXP3">GetValue("Dmn","Name",PXP2)</f>
        <v/>
      </c>
      <c r="PXQ3" s="1" t="str" cm="1">
        <f t="array" ref="PXQ3">GetValue("Dmn","Name",PXQ2)</f>
        <v/>
      </c>
      <c r="PXR3" s="1" t="str" cm="1">
        <f t="array" ref="PXR3">GetValue("Dmn","Name",PXR2)</f>
        <v/>
      </c>
      <c r="PXS3" s="1" t="str" cm="1">
        <f t="array" ref="PXS3">GetValue("Dmn","Name",PXS2)</f>
        <v/>
      </c>
      <c r="PXT3" s="1" t="str" cm="1">
        <f t="array" ref="PXT3">GetValue("Dmn","Name",PXT2)</f>
        <v/>
      </c>
      <c r="PXU3" s="1" t="str" cm="1">
        <f t="array" ref="PXU3">GetValue("Dmn","Name",PXU2)</f>
        <v/>
      </c>
      <c r="PXV3" s="1" t="str" cm="1">
        <f t="array" ref="PXV3">GetValue("Dmn","Name",PXV2)</f>
        <v/>
      </c>
      <c r="PXW3" s="1" t="str" cm="1">
        <f t="array" ref="PXW3">GetValue("Dmn","Name",PXW2)</f>
        <v/>
      </c>
      <c r="PXX3" s="1" t="str" cm="1">
        <f t="array" ref="PXX3">GetValue("Dmn","Name",PXX2)</f>
        <v/>
      </c>
      <c r="PXY3" s="1" t="str" cm="1">
        <f t="array" ref="PXY3">GetValue("Dmn","Name",PXY2)</f>
        <v/>
      </c>
      <c r="PXZ3" s="1" t="str" cm="1">
        <f t="array" ref="PXZ3">GetValue("Dmn","Name",PXZ2)</f>
        <v/>
      </c>
      <c r="PYA3" s="1" t="str" cm="1">
        <f t="array" ref="PYA3">GetValue("Dmn","Name",PYA2)</f>
        <v/>
      </c>
      <c r="PYB3" s="1" t="str" cm="1">
        <f t="array" ref="PYB3">GetValue("Dmn","Name",PYB2)</f>
        <v/>
      </c>
      <c r="PYC3" s="1" t="str" cm="1">
        <f t="array" ref="PYC3">GetValue("Dmn","Name",PYC2)</f>
        <v/>
      </c>
      <c r="PYD3" s="1" t="str" cm="1">
        <f t="array" ref="PYD3">GetValue("Dmn","Name",PYD2)</f>
        <v/>
      </c>
      <c r="PYE3" s="1" t="str" cm="1">
        <f t="array" ref="PYE3">GetValue("Dmn","Name",PYE2)</f>
        <v/>
      </c>
      <c r="PYF3" s="1" t="str" cm="1">
        <f t="array" ref="PYF3">GetValue("Dmn","Name",PYF2)</f>
        <v/>
      </c>
      <c r="PYG3" s="1" t="str" cm="1">
        <f t="array" ref="PYG3">GetValue("Dmn","Name",PYG2)</f>
        <v/>
      </c>
      <c r="PYH3" s="1" t="str" cm="1">
        <f t="array" ref="PYH3">GetValue("Dmn","Name",PYH2)</f>
        <v/>
      </c>
      <c r="PYI3" s="1" t="str" cm="1">
        <f t="array" ref="PYI3">GetValue("Dmn","Name",PYI2)</f>
        <v/>
      </c>
      <c r="PYJ3" s="1" t="str" cm="1">
        <f t="array" ref="PYJ3">GetValue("Dmn","Name",PYJ2)</f>
        <v/>
      </c>
      <c r="PYK3" s="1" t="str" cm="1">
        <f t="array" ref="PYK3">GetValue("Dmn","Name",PYK2)</f>
        <v/>
      </c>
      <c r="PYL3" s="1" t="str" cm="1">
        <f t="array" ref="PYL3">GetValue("Dmn","Name",PYL2)</f>
        <v/>
      </c>
      <c r="PYM3" s="1" t="str" cm="1">
        <f t="array" ref="PYM3">GetValue("Dmn","Name",PYM2)</f>
        <v/>
      </c>
      <c r="PYN3" s="1" t="str" cm="1">
        <f t="array" ref="PYN3">GetValue("Dmn","Name",PYN2)</f>
        <v/>
      </c>
      <c r="PYO3" s="1" t="str" cm="1">
        <f t="array" ref="PYO3">GetValue("Dmn","Name",PYO2)</f>
        <v/>
      </c>
      <c r="PYP3" s="1" t="str" cm="1">
        <f t="array" ref="PYP3">GetValue("Dmn","Name",PYP2)</f>
        <v/>
      </c>
      <c r="PYQ3" s="1" t="str" cm="1">
        <f t="array" ref="PYQ3">GetValue("Dmn","Name",PYQ2)</f>
        <v/>
      </c>
      <c r="PYR3" s="1" t="str" cm="1">
        <f t="array" ref="PYR3">GetValue("Dmn","Name",PYR2)</f>
        <v/>
      </c>
      <c r="PYS3" s="1" t="str" cm="1">
        <f t="array" ref="PYS3">GetValue("Dmn","Name",PYS2)</f>
        <v/>
      </c>
      <c r="PYT3" s="1" t="str" cm="1">
        <f t="array" ref="PYT3">GetValue("Dmn","Name",PYT2)</f>
        <v/>
      </c>
      <c r="PYU3" s="1" t="str" cm="1">
        <f t="array" ref="PYU3">GetValue("Dmn","Name",PYU2)</f>
        <v/>
      </c>
      <c r="PYV3" s="1" t="str" cm="1">
        <f t="array" ref="PYV3">GetValue("Dmn","Name",PYV2)</f>
        <v/>
      </c>
      <c r="PYW3" s="1" t="str" cm="1">
        <f t="array" ref="PYW3">GetValue("Dmn","Name",PYW2)</f>
        <v/>
      </c>
      <c r="PYX3" s="1" t="str" cm="1">
        <f t="array" ref="PYX3">GetValue("Dmn","Name",PYX2)</f>
        <v/>
      </c>
      <c r="PYY3" s="1" t="str" cm="1">
        <f t="array" ref="PYY3">GetValue("Dmn","Name",PYY2)</f>
        <v/>
      </c>
      <c r="PYZ3" s="1" t="str" cm="1">
        <f t="array" ref="PYZ3">GetValue("Dmn","Name",PYZ2)</f>
        <v/>
      </c>
      <c r="PZA3" s="1" t="str" cm="1">
        <f t="array" ref="PZA3">GetValue("Dmn","Name",PZA2)</f>
        <v/>
      </c>
      <c r="PZB3" s="1" t="str" cm="1">
        <f t="array" ref="PZB3">GetValue("Dmn","Name",PZB2)</f>
        <v/>
      </c>
      <c r="PZC3" s="1" t="str" cm="1">
        <f t="array" ref="PZC3">GetValue("Dmn","Name",PZC2)</f>
        <v/>
      </c>
      <c r="PZD3" s="1" t="str" cm="1">
        <f t="array" ref="PZD3">GetValue("Dmn","Name",PZD2)</f>
        <v/>
      </c>
      <c r="PZE3" s="1" t="str" cm="1">
        <f t="array" ref="PZE3">GetValue("Dmn","Name",PZE2)</f>
        <v/>
      </c>
      <c r="PZF3" s="1" t="str" cm="1">
        <f t="array" ref="PZF3">GetValue("Dmn","Name",PZF2)</f>
        <v/>
      </c>
      <c r="PZG3" s="1" t="str" cm="1">
        <f t="array" ref="PZG3">GetValue("Dmn","Name",PZG2)</f>
        <v/>
      </c>
      <c r="PZH3" s="1" t="str" cm="1">
        <f t="array" ref="PZH3">GetValue("Dmn","Name",PZH2)</f>
        <v/>
      </c>
      <c r="PZI3" s="1" t="str" cm="1">
        <f t="array" ref="PZI3">GetValue("Dmn","Name",PZI2)</f>
        <v/>
      </c>
      <c r="PZJ3" s="1" t="str" cm="1">
        <f t="array" ref="PZJ3">GetValue("Dmn","Name",PZJ2)</f>
        <v/>
      </c>
      <c r="PZK3" s="1" t="str" cm="1">
        <f t="array" ref="PZK3">GetValue("Dmn","Name",PZK2)</f>
        <v/>
      </c>
      <c r="PZL3" s="1" t="str" cm="1">
        <f t="array" ref="PZL3">GetValue("Dmn","Name",PZL2)</f>
        <v/>
      </c>
      <c r="PZM3" s="1" t="str" cm="1">
        <f t="array" ref="PZM3">GetValue("Dmn","Name",PZM2)</f>
        <v/>
      </c>
      <c r="PZN3" s="1" t="str" cm="1">
        <f t="array" ref="PZN3">GetValue("Dmn","Name",PZN2)</f>
        <v/>
      </c>
      <c r="PZO3" s="1" t="str" cm="1">
        <f t="array" ref="PZO3">GetValue("Dmn","Name",PZO2)</f>
        <v/>
      </c>
      <c r="PZP3" s="1" t="str" cm="1">
        <f t="array" ref="PZP3">GetValue("Dmn","Name",PZP2)</f>
        <v/>
      </c>
      <c r="PZQ3" s="1" t="str" cm="1">
        <f t="array" ref="PZQ3">GetValue("Dmn","Name",PZQ2)</f>
        <v/>
      </c>
      <c r="PZR3" s="1" t="str" cm="1">
        <f t="array" ref="PZR3">GetValue("Dmn","Name",PZR2)</f>
        <v/>
      </c>
      <c r="PZS3" s="1" t="str" cm="1">
        <f t="array" ref="PZS3">GetValue("Dmn","Name",PZS2)</f>
        <v/>
      </c>
      <c r="PZT3" s="1" t="str" cm="1">
        <f t="array" ref="PZT3">GetValue("Dmn","Name",PZT2)</f>
        <v/>
      </c>
      <c r="PZU3" s="1" t="str" cm="1">
        <f t="array" ref="PZU3">GetValue("Dmn","Name",PZU2)</f>
        <v/>
      </c>
      <c r="PZV3" s="1" t="str" cm="1">
        <f t="array" ref="PZV3">GetValue("Dmn","Name",PZV2)</f>
        <v/>
      </c>
      <c r="PZW3" s="1" t="str" cm="1">
        <f t="array" ref="PZW3">GetValue("Dmn","Name",PZW2)</f>
        <v/>
      </c>
      <c r="PZX3" s="1" t="str" cm="1">
        <f t="array" ref="PZX3">GetValue("Dmn","Name",PZX2)</f>
        <v/>
      </c>
      <c r="PZY3" s="1" t="str" cm="1">
        <f t="array" ref="PZY3">GetValue("Dmn","Name",PZY2)</f>
        <v/>
      </c>
      <c r="PZZ3" s="1" t="str" cm="1">
        <f t="array" ref="PZZ3">GetValue("Dmn","Name",PZZ2)</f>
        <v/>
      </c>
      <c r="QAA3" s="1" t="str" cm="1">
        <f t="array" ref="QAA3">GetValue("Dmn","Name",QAA2)</f>
        <v/>
      </c>
      <c r="QAB3" s="1" t="str" cm="1">
        <f t="array" ref="QAB3">GetValue("Dmn","Name",QAB2)</f>
        <v/>
      </c>
      <c r="QAC3" s="1" t="str" cm="1">
        <f t="array" ref="QAC3">GetValue("Dmn","Name",QAC2)</f>
        <v/>
      </c>
      <c r="QAD3" s="1" t="str" cm="1">
        <f t="array" ref="QAD3">GetValue("Dmn","Name",QAD2)</f>
        <v/>
      </c>
      <c r="QAE3" s="1" t="str" cm="1">
        <f t="array" ref="QAE3">GetValue("Dmn","Name",QAE2)</f>
        <v/>
      </c>
      <c r="QAF3" s="1" t="str" cm="1">
        <f t="array" ref="QAF3">GetValue("Dmn","Name",QAF2)</f>
        <v/>
      </c>
      <c r="QAG3" s="1" t="str" cm="1">
        <f t="array" ref="QAG3">GetValue("Dmn","Name",QAG2)</f>
        <v/>
      </c>
      <c r="QAH3" s="1" t="str" cm="1">
        <f t="array" ref="QAH3">GetValue("Dmn","Name",QAH2)</f>
        <v/>
      </c>
      <c r="QAI3" s="1" t="str" cm="1">
        <f t="array" ref="QAI3">GetValue("Dmn","Name",QAI2)</f>
        <v/>
      </c>
      <c r="QAJ3" s="1" t="str" cm="1">
        <f t="array" ref="QAJ3">GetValue("Dmn","Name",QAJ2)</f>
        <v/>
      </c>
      <c r="QAK3" s="1" t="str" cm="1">
        <f t="array" ref="QAK3">GetValue("Dmn","Name",QAK2)</f>
        <v/>
      </c>
      <c r="QAL3" s="1" t="str" cm="1">
        <f t="array" ref="QAL3">GetValue("Dmn","Name",QAL2)</f>
        <v/>
      </c>
      <c r="QAM3" s="1" t="str" cm="1">
        <f t="array" ref="QAM3">GetValue("Dmn","Name",QAM2)</f>
        <v/>
      </c>
      <c r="QAN3" s="1" t="str" cm="1">
        <f t="array" ref="QAN3">GetValue("Dmn","Name",QAN2)</f>
        <v/>
      </c>
      <c r="QAO3" s="1" t="str" cm="1">
        <f t="array" ref="QAO3">GetValue("Dmn","Name",QAO2)</f>
        <v/>
      </c>
      <c r="QAP3" s="1" t="str" cm="1">
        <f t="array" ref="QAP3">GetValue("Dmn","Name",QAP2)</f>
        <v/>
      </c>
      <c r="QAQ3" s="1" t="str" cm="1">
        <f t="array" ref="QAQ3">GetValue("Dmn","Name",QAQ2)</f>
        <v/>
      </c>
      <c r="QAR3" s="1" t="str" cm="1">
        <f t="array" ref="QAR3">GetValue("Dmn","Name",QAR2)</f>
        <v/>
      </c>
      <c r="QAS3" s="1" t="str" cm="1">
        <f t="array" ref="QAS3">GetValue("Dmn","Name",QAS2)</f>
        <v/>
      </c>
      <c r="QAT3" s="1" t="str" cm="1">
        <f t="array" ref="QAT3">GetValue("Dmn","Name",QAT2)</f>
        <v/>
      </c>
      <c r="QAU3" s="1" t="str" cm="1">
        <f t="array" ref="QAU3">GetValue("Dmn","Name",QAU2)</f>
        <v/>
      </c>
      <c r="QAV3" s="1" t="str" cm="1">
        <f t="array" ref="QAV3">GetValue("Dmn","Name",QAV2)</f>
        <v/>
      </c>
      <c r="QAW3" s="1" t="str" cm="1">
        <f t="array" ref="QAW3">GetValue("Dmn","Name",QAW2)</f>
        <v/>
      </c>
      <c r="QAX3" s="1" t="str" cm="1">
        <f t="array" ref="QAX3">GetValue("Dmn","Name",QAX2)</f>
        <v/>
      </c>
      <c r="QAY3" s="1" t="str" cm="1">
        <f t="array" ref="QAY3">GetValue("Dmn","Name",QAY2)</f>
        <v/>
      </c>
      <c r="QAZ3" s="1" t="str" cm="1">
        <f t="array" ref="QAZ3">GetValue("Dmn","Name",QAZ2)</f>
        <v/>
      </c>
      <c r="QBA3" s="1" t="str" cm="1">
        <f t="array" ref="QBA3">GetValue("Dmn","Name",QBA2)</f>
        <v/>
      </c>
      <c r="QBB3" s="1" t="str" cm="1">
        <f t="array" ref="QBB3">GetValue("Dmn","Name",QBB2)</f>
        <v/>
      </c>
      <c r="QBC3" s="1" t="str" cm="1">
        <f t="array" ref="QBC3">GetValue("Dmn","Name",QBC2)</f>
        <v/>
      </c>
      <c r="QBD3" s="1" t="str" cm="1">
        <f t="array" ref="QBD3">GetValue("Dmn","Name",QBD2)</f>
        <v/>
      </c>
      <c r="QBE3" s="1" t="str" cm="1">
        <f t="array" ref="QBE3">GetValue("Dmn","Name",QBE2)</f>
        <v/>
      </c>
      <c r="QBF3" s="1" t="str" cm="1">
        <f t="array" ref="QBF3">GetValue("Dmn","Name",QBF2)</f>
        <v/>
      </c>
      <c r="QBG3" s="1" t="str" cm="1">
        <f t="array" ref="QBG3">GetValue("Dmn","Name",QBG2)</f>
        <v/>
      </c>
      <c r="QBH3" s="1" t="str" cm="1">
        <f t="array" ref="QBH3">GetValue("Dmn","Name",QBH2)</f>
        <v/>
      </c>
      <c r="QBI3" s="1" t="str" cm="1">
        <f t="array" ref="QBI3">GetValue("Dmn","Name",QBI2)</f>
        <v/>
      </c>
      <c r="QBJ3" s="1" t="str" cm="1">
        <f t="array" ref="QBJ3">GetValue("Dmn","Name",QBJ2)</f>
        <v/>
      </c>
      <c r="QBK3" s="1" t="str" cm="1">
        <f t="array" ref="QBK3">GetValue("Dmn","Name",QBK2)</f>
        <v/>
      </c>
      <c r="QBL3" s="1" t="str" cm="1">
        <f t="array" ref="QBL3">GetValue("Dmn","Name",QBL2)</f>
        <v/>
      </c>
      <c r="QBM3" s="1" t="str" cm="1">
        <f t="array" ref="QBM3">GetValue("Dmn","Name",QBM2)</f>
        <v/>
      </c>
      <c r="QBN3" s="1" t="str" cm="1">
        <f t="array" ref="QBN3">GetValue("Dmn","Name",QBN2)</f>
        <v/>
      </c>
      <c r="QBO3" s="1" t="str" cm="1">
        <f t="array" ref="QBO3">GetValue("Dmn","Name",QBO2)</f>
        <v/>
      </c>
      <c r="QBP3" s="1" t="str" cm="1">
        <f t="array" ref="QBP3">GetValue("Dmn","Name",QBP2)</f>
        <v/>
      </c>
      <c r="QBQ3" s="1" t="str" cm="1">
        <f t="array" ref="QBQ3">GetValue("Dmn","Name",QBQ2)</f>
        <v/>
      </c>
      <c r="QBR3" s="1" t="str" cm="1">
        <f t="array" ref="QBR3">GetValue("Dmn","Name",QBR2)</f>
        <v/>
      </c>
      <c r="QBS3" s="1" t="str" cm="1">
        <f t="array" ref="QBS3">GetValue("Dmn","Name",QBS2)</f>
        <v/>
      </c>
      <c r="QBT3" s="1" t="str" cm="1">
        <f t="array" ref="QBT3">GetValue("Dmn","Name",QBT2)</f>
        <v/>
      </c>
      <c r="QBU3" s="1" t="str" cm="1">
        <f t="array" ref="QBU3">GetValue("Dmn","Name",QBU2)</f>
        <v/>
      </c>
      <c r="QBV3" s="1" t="str" cm="1">
        <f t="array" ref="QBV3">GetValue("Dmn","Name",QBV2)</f>
        <v/>
      </c>
      <c r="QBW3" s="1" t="str" cm="1">
        <f t="array" ref="QBW3">GetValue("Dmn","Name",QBW2)</f>
        <v/>
      </c>
      <c r="QBX3" s="1" t="str" cm="1">
        <f t="array" ref="QBX3">GetValue("Dmn","Name",QBX2)</f>
        <v/>
      </c>
      <c r="QBY3" s="1" t="str" cm="1">
        <f t="array" ref="QBY3">GetValue("Dmn","Name",QBY2)</f>
        <v/>
      </c>
      <c r="QBZ3" s="1" t="str" cm="1">
        <f t="array" ref="QBZ3">GetValue("Dmn","Name",QBZ2)</f>
        <v/>
      </c>
      <c r="QCA3" s="1" t="str" cm="1">
        <f t="array" ref="QCA3">GetValue("Dmn","Name",QCA2)</f>
        <v/>
      </c>
      <c r="QCB3" s="1" t="str" cm="1">
        <f t="array" ref="QCB3">GetValue("Dmn","Name",QCB2)</f>
        <v/>
      </c>
      <c r="QCC3" s="1" t="str" cm="1">
        <f t="array" ref="QCC3">GetValue("Dmn","Name",QCC2)</f>
        <v/>
      </c>
      <c r="QCD3" s="1" t="str" cm="1">
        <f t="array" ref="QCD3">GetValue("Dmn","Name",QCD2)</f>
        <v/>
      </c>
      <c r="QCE3" s="1" t="str" cm="1">
        <f t="array" ref="QCE3">GetValue("Dmn","Name",QCE2)</f>
        <v/>
      </c>
      <c r="QCF3" s="1" t="str" cm="1">
        <f t="array" ref="QCF3">GetValue("Dmn","Name",QCF2)</f>
        <v/>
      </c>
      <c r="QCG3" s="1" t="str" cm="1">
        <f t="array" ref="QCG3">GetValue("Dmn","Name",QCG2)</f>
        <v/>
      </c>
      <c r="QCH3" s="1" t="str" cm="1">
        <f t="array" ref="QCH3">GetValue("Dmn","Name",QCH2)</f>
        <v/>
      </c>
      <c r="QCI3" s="1" t="str" cm="1">
        <f t="array" ref="QCI3">GetValue("Dmn","Name",QCI2)</f>
        <v/>
      </c>
      <c r="QCJ3" s="1" t="str" cm="1">
        <f t="array" ref="QCJ3">GetValue("Dmn","Name",QCJ2)</f>
        <v/>
      </c>
      <c r="QCK3" s="1" t="str" cm="1">
        <f t="array" ref="QCK3">GetValue("Dmn","Name",QCK2)</f>
        <v/>
      </c>
      <c r="QCL3" s="1" t="str" cm="1">
        <f t="array" ref="QCL3">GetValue("Dmn","Name",QCL2)</f>
        <v/>
      </c>
      <c r="QCM3" s="1" t="str" cm="1">
        <f t="array" ref="QCM3">GetValue("Dmn","Name",QCM2)</f>
        <v/>
      </c>
      <c r="QCN3" s="1" t="str" cm="1">
        <f t="array" ref="QCN3">GetValue("Dmn","Name",QCN2)</f>
        <v/>
      </c>
      <c r="QCO3" s="1" t="str" cm="1">
        <f t="array" ref="QCO3">GetValue("Dmn","Name",QCO2)</f>
        <v/>
      </c>
      <c r="QCP3" s="1" t="str" cm="1">
        <f t="array" ref="QCP3">GetValue("Dmn","Name",QCP2)</f>
        <v/>
      </c>
      <c r="QCQ3" s="1" t="str" cm="1">
        <f t="array" ref="QCQ3">GetValue("Dmn","Name",QCQ2)</f>
        <v/>
      </c>
      <c r="QCR3" s="1" t="str" cm="1">
        <f t="array" ref="QCR3">GetValue("Dmn","Name",QCR2)</f>
        <v/>
      </c>
      <c r="QCS3" s="1" t="str" cm="1">
        <f t="array" ref="QCS3">GetValue("Dmn","Name",QCS2)</f>
        <v/>
      </c>
      <c r="QCT3" s="1" t="str" cm="1">
        <f t="array" ref="QCT3">GetValue("Dmn","Name",QCT2)</f>
        <v/>
      </c>
      <c r="QCU3" s="1" t="str" cm="1">
        <f t="array" ref="QCU3">GetValue("Dmn","Name",QCU2)</f>
        <v/>
      </c>
      <c r="QCV3" s="1" t="str" cm="1">
        <f t="array" ref="QCV3">GetValue("Dmn","Name",QCV2)</f>
        <v/>
      </c>
      <c r="QCW3" s="1" t="str" cm="1">
        <f t="array" ref="QCW3">GetValue("Dmn","Name",QCW2)</f>
        <v/>
      </c>
      <c r="QCX3" s="1" t="str" cm="1">
        <f t="array" ref="QCX3">GetValue("Dmn","Name",QCX2)</f>
        <v/>
      </c>
      <c r="QCY3" s="1" t="str" cm="1">
        <f t="array" ref="QCY3">GetValue("Dmn","Name",QCY2)</f>
        <v/>
      </c>
      <c r="QCZ3" s="1" t="str" cm="1">
        <f t="array" ref="QCZ3">GetValue("Dmn","Name",QCZ2)</f>
        <v/>
      </c>
      <c r="QDA3" s="1" t="str" cm="1">
        <f t="array" ref="QDA3">GetValue("Dmn","Name",QDA2)</f>
        <v/>
      </c>
      <c r="QDB3" s="1" t="str" cm="1">
        <f t="array" ref="QDB3">GetValue("Dmn","Name",QDB2)</f>
        <v/>
      </c>
      <c r="QDC3" s="1" t="str" cm="1">
        <f t="array" ref="QDC3">GetValue("Dmn","Name",QDC2)</f>
        <v/>
      </c>
      <c r="QDD3" s="1" t="str" cm="1">
        <f t="array" ref="QDD3">GetValue("Dmn","Name",QDD2)</f>
        <v/>
      </c>
      <c r="QDE3" s="1" t="str" cm="1">
        <f t="array" ref="QDE3">GetValue("Dmn","Name",QDE2)</f>
        <v/>
      </c>
      <c r="QDF3" s="1" t="str" cm="1">
        <f t="array" ref="QDF3">GetValue("Dmn","Name",QDF2)</f>
        <v/>
      </c>
      <c r="QDG3" s="1" t="str" cm="1">
        <f t="array" ref="QDG3">GetValue("Dmn","Name",QDG2)</f>
        <v/>
      </c>
      <c r="QDH3" s="1" t="str" cm="1">
        <f t="array" ref="QDH3">GetValue("Dmn","Name",QDH2)</f>
        <v/>
      </c>
      <c r="QDI3" s="1" t="str" cm="1">
        <f t="array" ref="QDI3">GetValue("Dmn","Name",QDI2)</f>
        <v/>
      </c>
      <c r="QDJ3" s="1" t="str" cm="1">
        <f t="array" ref="QDJ3">GetValue("Dmn","Name",QDJ2)</f>
        <v/>
      </c>
      <c r="QDK3" s="1" t="str" cm="1">
        <f t="array" ref="QDK3">GetValue("Dmn","Name",QDK2)</f>
        <v/>
      </c>
      <c r="QDL3" s="1" t="str" cm="1">
        <f t="array" ref="QDL3">GetValue("Dmn","Name",QDL2)</f>
        <v/>
      </c>
      <c r="QDM3" s="1" t="str" cm="1">
        <f t="array" ref="QDM3">GetValue("Dmn","Name",QDM2)</f>
        <v/>
      </c>
      <c r="QDN3" s="1" t="str" cm="1">
        <f t="array" ref="QDN3">GetValue("Dmn","Name",QDN2)</f>
        <v/>
      </c>
      <c r="QDO3" s="1" t="str" cm="1">
        <f t="array" ref="QDO3">GetValue("Dmn","Name",QDO2)</f>
        <v/>
      </c>
      <c r="QDP3" s="1" t="str" cm="1">
        <f t="array" ref="QDP3">GetValue("Dmn","Name",QDP2)</f>
        <v/>
      </c>
      <c r="QDQ3" s="1" t="str" cm="1">
        <f t="array" ref="QDQ3">GetValue("Dmn","Name",QDQ2)</f>
        <v/>
      </c>
      <c r="QDR3" s="1" t="str" cm="1">
        <f t="array" ref="QDR3">GetValue("Dmn","Name",QDR2)</f>
        <v/>
      </c>
      <c r="QDS3" s="1" t="str" cm="1">
        <f t="array" ref="QDS3">GetValue("Dmn","Name",QDS2)</f>
        <v/>
      </c>
      <c r="QDT3" s="1" t="str" cm="1">
        <f t="array" ref="QDT3">GetValue("Dmn","Name",QDT2)</f>
        <v/>
      </c>
      <c r="QDU3" s="1" t="str" cm="1">
        <f t="array" ref="QDU3">GetValue("Dmn","Name",QDU2)</f>
        <v/>
      </c>
      <c r="QDV3" s="1" t="str" cm="1">
        <f t="array" ref="QDV3">GetValue("Dmn","Name",QDV2)</f>
        <v/>
      </c>
      <c r="QDW3" s="1" t="str" cm="1">
        <f t="array" ref="QDW3">GetValue("Dmn","Name",QDW2)</f>
        <v/>
      </c>
      <c r="QDX3" s="1" t="str" cm="1">
        <f t="array" ref="QDX3">GetValue("Dmn","Name",QDX2)</f>
        <v/>
      </c>
      <c r="QDY3" s="1" t="str" cm="1">
        <f t="array" ref="QDY3">GetValue("Dmn","Name",QDY2)</f>
        <v/>
      </c>
      <c r="QDZ3" s="1" t="str" cm="1">
        <f t="array" ref="QDZ3">GetValue("Dmn","Name",QDZ2)</f>
        <v/>
      </c>
      <c r="QEA3" s="1" t="str" cm="1">
        <f t="array" ref="QEA3">GetValue("Dmn","Name",QEA2)</f>
        <v/>
      </c>
      <c r="QEB3" s="1" t="str" cm="1">
        <f t="array" ref="QEB3">GetValue("Dmn","Name",QEB2)</f>
        <v/>
      </c>
      <c r="QEC3" s="1" t="str" cm="1">
        <f t="array" ref="QEC3">GetValue("Dmn","Name",QEC2)</f>
        <v/>
      </c>
      <c r="QED3" s="1" t="str" cm="1">
        <f t="array" ref="QED3">GetValue("Dmn","Name",QED2)</f>
        <v/>
      </c>
      <c r="QEE3" s="1" t="str" cm="1">
        <f t="array" ref="QEE3">GetValue("Dmn","Name",QEE2)</f>
        <v/>
      </c>
      <c r="QEF3" s="1" t="str" cm="1">
        <f t="array" ref="QEF3">GetValue("Dmn","Name",QEF2)</f>
        <v/>
      </c>
      <c r="QEG3" s="1" t="str" cm="1">
        <f t="array" ref="QEG3">GetValue("Dmn","Name",QEG2)</f>
        <v/>
      </c>
      <c r="QEH3" s="1" t="str" cm="1">
        <f t="array" ref="QEH3">GetValue("Dmn","Name",QEH2)</f>
        <v/>
      </c>
      <c r="QEI3" s="1" t="str" cm="1">
        <f t="array" ref="QEI3">GetValue("Dmn","Name",QEI2)</f>
        <v/>
      </c>
      <c r="QEJ3" s="1" t="str" cm="1">
        <f t="array" ref="QEJ3">GetValue("Dmn","Name",QEJ2)</f>
        <v/>
      </c>
      <c r="QEK3" s="1" t="str" cm="1">
        <f t="array" ref="QEK3">GetValue("Dmn","Name",QEK2)</f>
        <v/>
      </c>
      <c r="QEL3" s="1" t="str" cm="1">
        <f t="array" ref="QEL3">GetValue("Dmn","Name",QEL2)</f>
        <v/>
      </c>
      <c r="QEM3" s="1" t="str" cm="1">
        <f t="array" ref="QEM3">GetValue("Dmn","Name",QEM2)</f>
        <v/>
      </c>
      <c r="QEN3" s="1" t="str" cm="1">
        <f t="array" ref="QEN3">GetValue("Dmn","Name",QEN2)</f>
        <v/>
      </c>
      <c r="QEO3" s="1" t="str" cm="1">
        <f t="array" ref="QEO3">GetValue("Dmn","Name",QEO2)</f>
        <v/>
      </c>
      <c r="QEP3" s="1" t="str" cm="1">
        <f t="array" ref="QEP3">GetValue("Dmn","Name",QEP2)</f>
        <v/>
      </c>
      <c r="QEQ3" s="1" t="str" cm="1">
        <f t="array" ref="QEQ3">GetValue("Dmn","Name",QEQ2)</f>
        <v/>
      </c>
      <c r="QER3" s="1" t="str" cm="1">
        <f t="array" ref="QER3">GetValue("Dmn","Name",QER2)</f>
        <v/>
      </c>
      <c r="QES3" s="1" t="str" cm="1">
        <f t="array" ref="QES3">GetValue("Dmn","Name",QES2)</f>
        <v/>
      </c>
      <c r="QET3" s="1" t="str" cm="1">
        <f t="array" ref="QET3">GetValue("Dmn","Name",QET2)</f>
        <v/>
      </c>
      <c r="QEU3" s="1" t="str" cm="1">
        <f t="array" ref="QEU3">GetValue("Dmn","Name",QEU2)</f>
        <v/>
      </c>
      <c r="QEV3" s="1" t="str" cm="1">
        <f t="array" ref="QEV3">GetValue("Dmn","Name",QEV2)</f>
        <v/>
      </c>
      <c r="QEW3" s="1" t="str" cm="1">
        <f t="array" ref="QEW3">GetValue("Dmn","Name",QEW2)</f>
        <v/>
      </c>
      <c r="QEX3" s="1" t="str" cm="1">
        <f t="array" ref="QEX3">GetValue("Dmn","Name",QEX2)</f>
        <v/>
      </c>
      <c r="QEY3" s="1" t="str" cm="1">
        <f t="array" ref="QEY3">GetValue("Dmn","Name",QEY2)</f>
        <v/>
      </c>
      <c r="QEZ3" s="1" t="str" cm="1">
        <f t="array" ref="QEZ3">GetValue("Dmn","Name",QEZ2)</f>
        <v/>
      </c>
      <c r="QFA3" s="1" t="str" cm="1">
        <f t="array" ref="QFA3">GetValue("Dmn","Name",QFA2)</f>
        <v/>
      </c>
      <c r="QFB3" s="1" t="str" cm="1">
        <f t="array" ref="QFB3">GetValue("Dmn","Name",QFB2)</f>
        <v/>
      </c>
      <c r="QFC3" s="1" t="str" cm="1">
        <f t="array" ref="QFC3">GetValue("Dmn","Name",QFC2)</f>
        <v/>
      </c>
      <c r="QFD3" s="1" t="str" cm="1">
        <f t="array" ref="QFD3">GetValue("Dmn","Name",QFD2)</f>
        <v/>
      </c>
      <c r="QFE3" s="1" t="str" cm="1">
        <f t="array" ref="QFE3">GetValue("Dmn","Name",QFE2)</f>
        <v/>
      </c>
      <c r="QFF3" s="1" t="str" cm="1">
        <f t="array" ref="QFF3">GetValue("Dmn","Name",QFF2)</f>
        <v/>
      </c>
      <c r="QFG3" s="1" t="str" cm="1">
        <f t="array" ref="QFG3">GetValue("Dmn","Name",QFG2)</f>
        <v/>
      </c>
      <c r="QFH3" s="1" t="str" cm="1">
        <f t="array" ref="QFH3">GetValue("Dmn","Name",QFH2)</f>
        <v/>
      </c>
      <c r="QFI3" s="1" t="str" cm="1">
        <f t="array" ref="QFI3">GetValue("Dmn","Name",QFI2)</f>
        <v/>
      </c>
      <c r="QFJ3" s="1" t="str" cm="1">
        <f t="array" ref="QFJ3">GetValue("Dmn","Name",QFJ2)</f>
        <v/>
      </c>
      <c r="QFK3" s="1" t="str" cm="1">
        <f t="array" ref="QFK3">GetValue("Dmn","Name",QFK2)</f>
        <v/>
      </c>
      <c r="QFL3" s="1" t="str" cm="1">
        <f t="array" ref="QFL3">GetValue("Dmn","Name",QFL2)</f>
        <v/>
      </c>
      <c r="QFM3" s="1" t="str" cm="1">
        <f t="array" ref="QFM3">GetValue("Dmn","Name",QFM2)</f>
        <v/>
      </c>
      <c r="QFN3" s="1" t="str" cm="1">
        <f t="array" ref="QFN3">GetValue("Dmn","Name",QFN2)</f>
        <v/>
      </c>
      <c r="QFO3" s="1" t="str" cm="1">
        <f t="array" ref="QFO3">GetValue("Dmn","Name",QFO2)</f>
        <v/>
      </c>
      <c r="QFP3" s="1" t="str" cm="1">
        <f t="array" ref="QFP3">GetValue("Dmn","Name",QFP2)</f>
        <v/>
      </c>
      <c r="QFQ3" s="1" t="str" cm="1">
        <f t="array" ref="QFQ3">GetValue("Dmn","Name",QFQ2)</f>
        <v/>
      </c>
      <c r="QFR3" s="1" t="str" cm="1">
        <f t="array" ref="QFR3">GetValue("Dmn","Name",QFR2)</f>
        <v/>
      </c>
      <c r="QFS3" s="1" t="str" cm="1">
        <f t="array" ref="QFS3">GetValue("Dmn","Name",QFS2)</f>
        <v/>
      </c>
      <c r="QFT3" s="1" t="str" cm="1">
        <f t="array" ref="QFT3">GetValue("Dmn","Name",QFT2)</f>
        <v/>
      </c>
      <c r="QFU3" s="1" t="str" cm="1">
        <f t="array" ref="QFU3">GetValue("Dmn","Name",QFU2)</f>
        <v/>
      </c>
      <c r="QFV3" s="1" t="str" cm="1">
        <f t="array" ref="QFV3">GetValue("Dmn","Name",QFV2)</f>
        <v/>
      </c>
      <c r="QFW3" s="1" t="str" cm="1">
        <f t="array" ref="QFW3">GetValue("Dmn","Name",QFW2)</f>
        <v/>
      </c>
      <c r="QFX3" s="1" t="str" cm="1">
        <f t="array" ref="QFX3">GetValue("Dmn","Name",QFX2)</f>
        <v/>
      </c>
      <c r="QFY3" s="1" t="str" cm="1">
        <f t="array" ref="QFY3">GetValue("Dmn","Name",QFY2)</f>
        <v/>
      </c>
      <c r="QFZ3" s="1" t="str" cm="1">
        <f t="array" ref="QFZ3">GetValue("Dmn","Name",QFZ2)</f>
        <v/>
      </c>
      <c r="QGA3" s="1" t="str" cm="1">
        <f t="array" ref="QGA3">GetValue("Dmn","Name",QGA2)</f>
        <v/>
      </c>
      <c r="QGB3" s="1" t="str" cm="1">
        <f t="array" ref="QGB3">GetValue("Dmn","Name",QGB2)</f>
        <v/>
      </c>
      <c r="QGC3" s="1" t="str" cm="1">
        <f t="array" ref="QGC3">GetValue("Dmn","Name",QGC2)</f>
        <v/>
      </c>
      <c r="QGD3" s="1" t="str" cm="1">
        <f t="array" ref="QGD3">GetValue("Dmn","Name",QGD2)</f>
        <v/>
      </c>
      <c r="QGE3" s="1" t="str" cm="1">
        <f t="array" ref="QGE3">GetValue("Dmn","Name",QGE2)</f>
        <v/>
      </c>
      <c r="QGF3" s="1" t="str" cm="1">
        <f t="array" ref="QGF3">GetValue("Dmn","Name",QGF2)</f>
        <v/>
      </c>
      <c r="QGG3" s="1" t="str" cm="1">
        <f t="array" ref="QGG3">GetValue("Dmn","Name",QGG2)</f>
        <v/>
      </c>
      <c r="QGH3" s="1" t="str" cm="1">
        <f t="array" ref="QGH3">GetValue("Dmn","Name",QGH2)</f>
        <v/>
      </c>
      <c r="QGI3" s="1" t="str" cm="1">
        <f t="array" ref="QGI3">GetValue("Dmn","Name",QGI2)</f>
        <v/>
      </c>
      <c r="QGJ3" s="1" t="str" cm="1">
        <f t="array" ref="QGJ3">GetValue("Dmn","Name",QGJ2)</f>
        <v/>
      </c>
      <c r="QGK3" s="1" t="str" cm="1">
        <f t="array" ref="QGK3">GetValue("Dmn","Name",QGK2)</f>
        <v/>
      </c>
      <c r="QGL3" s="1" t="str" cm="1">
        <f t="array" ref="QGL3">GetValue("Dmn","Name",QGL2)</f>
        <v/>
      </c>
      <c r="QGM3" s="1" t="str" cm="1">
        <f t="array" ref="QGM3">GetValue("Dmn","Name",QGM2)</f>
        <v/>
      </c>
      <c r="QGN3" s="1" t="str" cm="1">
        <f t="array" ref="QGN3">GetValue("Dmn","Name",QGN2)</f>
        <v/>
      </c>
      <c r="QGO3" s="1" t="str" cm="1">
        <f t="array" ref="QGO3">GetValue("Dmn","Name",QGO2)</f>
        <v/>
      </c>
      <c r="QGP3" s="1" t="str" cm="1">
        <f t="array" ref="QGP3">GetValue("Dmn","Name",QGP2)</f>
        <v/>
      </c>
      <c r="QGQ3" s="1" t="str" cm="1">
        <f t="array" ref="QGQ3">GetValue("Dmn","Name",QGQ2)</f>
        <v/>
      </c>
      <c r="QGR3" s="1" t="str" cm="1">
        <f t="array" ref="QGR3">GetValue("Dmn","Name",QGR2)</f>
        <v/>
      </c>
      <c r="QGS3" s="1" t="str" cm="1">
        <f t="array" ref="QGS3">GetValue("Dmn","Name",QGS2)</f>
        <v/>
      </c>
      <c r="QGT3" s="1" t="str" cm="1">
        <f t="array" ref="QGT3">GetValue("Dmn","Name",QGT2)</f>
        <v/>
      </c>
      <c r="QGU3" s="1" t="str" cm="1">
        <f t="array" ref="QGU3">GetValue("Dmn","Name",QGU2)</f>
        <v/>
      </c>
      <c r="QGV3" s="1" t="str" cm="1">
        <f t="array" ref="QGV3">GetValue("Dmn","Name",QGV2)</f>
        <v/>
      </c>
      <c r="QGW3" s="1" t="str" cm="1">
        <f t="array" ref="QGW3">GetValue("Dmn","Name",QGW2)</f>
        <v/>
      </c>
      <c r="QGX3" s="1" t="str" cm="1">
        <f t="array" ref="QGX3">GetValue("Dmn","Name",QGX2)</f>
        <v/>
      </c>
      <c r="QGY3" s="1" t="str" cm="1">
        <f t="array" ref="QGY3">GetValue("Dmn","Name",QGY2)</f>
        <v/>
      </c>
      <c r="QGZ3" s="1" t="str" cm="1">
        <f t="array" ref="QGZ3">GetValue("Dmn","Name",QGZ2)</f>
        <v/>
      </c>
      <c r="QHA3" s="1" t="str" cm="1">
        <f t="array" ref="QHA3">GetValue("Dmn","Name",QHA2)</f>
        <v/>
      </c>
      <c r="QHB3" s="1" t="str" cm="1">
        <f t="array" ref="QHB3">GetValue("Dmn","Name",QHB2)</f>
        <v/>
      </c>
      <c r="QHC3" s="1" t="str" cm="1">
        <f t="array" ref="QHC3">GetValue("Dmn","Name",QHC2)</f>
        <v/>
      </c>
      <c r="QHD3" s="1" t="str" cm="1">
        <f t="array" ref="QHD3">GetValue("Dmn","Name",QHD2)</f>
        <v/>
      </c>
      <c r="QHE3" s="1" t="str" cm="1">
        <f t="array" ref="QHE3">GetValue("Dmn","Name",QHE2)</f>
        <v/>
      </c>
      <c r="QHF3" s="1" t="str" cm="1">
        <f t="array" ref="QHF3">GetValue("Dmn","Name",QHF2)</f>
        <v/>
      </c>
      <c r="QHG3" s="1" t="str" cm="1">
        <f t="array" ref="QHG3">GetValue("Dmn","Name",QHG2)</f>
        <v/>
      </c>
      <c r="QHH3" s="1" t="str" cm="1">
        <f t="array" ref="QHH3">GetValue("Dmn","Name",QHH2)</f>
        <v/>
      </c>
      <c r="QHI3" s="1" t="str" cm="1">
        <f t="array" ref="QHI3">GetValue("Dmn","Name",QHI2)</f>
        <v/>
      </c>
      <c r="QHJ3" s="1" t="str" cm="1">
        <f t="array" ref="QHJ3">GetValue("Dmn","Name",QHJ2)</f>
        <v/>
      </c>
      <c r="QHK3" s="1" t="str" cm="1">
        <f t="array" ref="QHK3">GetValue("Dmn","Name",QHK2)</f>
        <v/>
      </c>
      <c r="QHL3" s="1" t="str" cm="1">
        <f t="array" ref="QHL3">GetValue("Dmn","Name",QHL2)</f>
        <v/>
      </c>
      <c r="QHM3" s="1" t="str" cm="1">
        <f t="array" ref="QHM3">GetValue("Dmn","Name",QHM2)</f>
        <v/>
      </c>
      <c r="QHN3" s="1" t="str" cm="1">
        <f t="array" ref="QHN3">GetValue("Dmn","Name",QHN2)</f>
        <v/>
      </c>
      <c r="QHO3" s="1" t="str" cm="1">
        <f t="array" ref="QHO3">GetValue("Dmn","Name",QHO2)</f>
        <v/>
      </c>
      <c r="QHP3" s="1" t="str" cm="1">
        <f t="array" ref="QHP3">GetValue("Dmn","Name",QHP2)</f>
        <v/>
      </c>
      <c r="QHQ3" s="1" t="str" cm="1">
        <f t="array" ref="QHQ3">GetValue("Dmn","Name",QHQ2)</f>
        <v/>
      </c>
      <c r="QHR3" s="1" t="str" cm="1">
        <f t="array" ref="QHR3">GetValue("Dmn","Name",QHR2)</f>
        <v/>
      </c>
      <c r="QHS3" s="1" t="str" cm="1">
        <f t="array" ref="QHS3">GetValue("Dmn","Name",QHS2)</f>
        <v/>
      </c>
      <c r="QHT3" s="1" t="str" cm="1">
        <f t="array" ref="QHT3">GetValue("Dmn","Name",QHT2)</f>
        <v/>
      </c>
      <c r="QHU3" s="1" t="str" cm="1">
        <f t="array" ref="QHU3">GetValue("Dmn","Name",QHU2)</f>
        <v/>
      </c>
      <c r="QHV3" s="1" t="str" cm="1">
        <f t="array" ref="QHV3">GetValue("Dmn","Name",QHV2)</f>
        <v/>
      </c>
      <c r="QHW3" s="1" t="str" cm="1">
        <f t="array" ref="QHW3">GetValue("Dmn","Name",QHW2)</f>
        <v/>
      </c>
      <c r="QHX3" s="1" t="str" cm="1">
        <f t="array" ref="QHX3">GetValue("Dmn","Name",QHX2)</f>
        <v/>
      </c>
      <c r="QHY3" s="1" t="str" cm="1">
        <f t="array" ref="QHY3">GetValue("Dmn","Name",QHY2)</f>
        <v/>
      </c>
      <c r="QHZ3" s="1" t="str" cm="1">
        <f t="array" ref="QHZ3">GetValue("Dmn","Name",QHZ2)</f>
        <v/>
      </c>
      <c r="QIA3" s="1" t="str" cm="1">
        <f t="array" ref="QIA3">GetValue("Dmn","Name",QIA2)</f>
        <v/>
      </c>
      <c r="QIB3" s="1" t="str" cm="1">
        <f t="array" ref="QIB3">GetValue("Dmn","Name",QIB2)</f>
        <v/>
      </c>
      <c r="QIC3" s="1" t="str" cm="1">
        <f t="array" ref="QIC3">GetValue("Dmn","Name",QIC2)</f>
        <v/>
      </c>
      <c r="QID3" s="1" t="str" cm="1">
        <f t="array" ref="QID3">GetValue("Dmn","Name",QID2)</f>
        <v/>
      </c>
      <c r="QIE3" s="1" t="str" cm="1">
        <f t="array" ref="QIE3">GetValue("Dmn","Name",QIE2)</f>
        <v/>
      </c>
      <c r="QIF3" s="1" t="str" cm="1">
        <f t="array" ref="QIF3">GetValue("Dmn","Name",QIF2)</f>
        <v/>
      </c>
      <c r="QIG3" s="1" t="str" cm="1">
        <f t="array" ref="QIG3">GetValue("Dmn","Name",QIG2)</f>
        <v/>
      </c>
      <c r="QIH3" s="1" t="str" cm="1">
        <f t="array" ref="QIH3">GetValue("Dmn","Name",QIH2)</f>
        <v/>
      </c>
      <c r="QII3" s="1" t="str" cm="1">
        <f t="array" ref="QII3">GetValue("Dmn","Name",QII2)</f>
        <v/>
      </c>
      <c r="QIJ3" s="1" t="str" cm="1">
        <f t="array" ref="QIJ3">GetValue("Dmn","Name",QIJ2)</f>
        <v/>
      </c>
      <c r="QIK3" s="1" t="str" cm="1">
        <f t="array" ref="QIK3">GetValue("Dmn","Name",QIK2)</f>
        <v/>
      </c>
      <c r="QIL3" s="1" t="str" cm="1">
        <f t="array" ref="QIL3">GetValue("Dmn","Name",QIL2)</f>
        <v/>
      </c>
      <c r="QIM3" s="1" t="str" cm="1">
        <f t="array" ref="QIM3">GetValue("Dmn","Name",QIM2)</f>
        <v/>
      </c>
      <c r="QIN3" s="1" t="str" cm="1">
        <f t="array" ref="QIN3">GetValue("Dmn","Name",QIN2)</f>
        <v/>
      </c>
      <c r="QIO3" s="1" t="str" cm="1">
        <f t="array" ref="QIO3">GetValue("Dmn","Name",QIO2)</f>
        <v/>
      </c>
      <c r="QIP3" s="1" t="str" cm="1">
        <f t="array" ref="QIP3">GetValue("Dmn","Name",QIP2)</f>
        <v/>
      </c>
      <c r="QIQ3" s="1" t="str" cm="1">
        <f t="array" ref="QIQ3">GetValue("Dmn","Name",QIQ2)</f>
        <v/>
      </c>
      <c r="QIR3" s="1" t="str" cm="1">
        <f t="array" ref="QIR3">GetValue("Dmn","Name",QIR2)</f>
        <v/>
      </c>
      <c r="QIS3" s="1" t="str" cm="1">
        <f t="array" ref="QIS3">GetValue("Dmn","Name",QIS2)</f>
        <v/>
      </c>
      <c r="QIT3" s="1" t="str" cm="1">
        <f t="array" ref="QIT3">GetValue("Dmn","Name",QIT2)</f>
        <v/>
      </c>
      <c r="QIU3" s="1" t="str" cm="1">
        <f t="array" ref="QIU3">GetValue("Dmn","Name",QIU2)</f>
        <v/>
      </c>
      <c r="QIV3" s="1" t="str" cm="1">
        <f t="array" ref="QIV3">GetValue("Dmn","Name",QIV2)</f>
        <v/>
      </c>
      <c r="QIW3" s="1" t="str" cm="1">
        <f t="array" ref="QIW3">GetValue("Dmn","Name",QIW2)</f>
        <v/>
      </c>
      <c r="QIX3" s="1" t="str" cm="1">
        <f t="array" ref="QIX3">GetValue("Dmn","Name",QIX2)</f>
        <v/>
      </c>
      <c r="QIY3" s="1" t="str" cm="1">
        <f t="array" ref="QIY3">GetValue("Dmn","Name",QIY2)</f>
        <v/>
      </c>
      <c r="QIZ3" s="1" t="str" cm="1">
        <f t="array" ref="QIZ3">GetValue("Dmn","Name",QIZ2)</f>
        <v/>
      </c>
      <c r="QJA3" s="1" t="str" cm="1">
        <f t="array" ref="QJA3">GetValue("Dmn","Name",QJA2)</f>
        <v/>
      </c>
      <c r="QJB3" s="1" t="str" cm="1">
        <f t="array" ref="QJB3">GetValue("Dmn","Name",QJB2)</f>
        <v/>
      </c>
      <c r="QJC3" s="1" t="str" cm="1">
        <f t="array" ref="QJC3">GetValue("Dmn","Name",QJC2)</f>
        <v/>
      </c>
      <c r="QJD3" s="1" t="str" cm="1">
        <f t="array" ref="QJD3">GetValue("Dmn","Name",QJD2)</f>
        <v/>
      </c>
      <c r="QJE3" s="1" t="str" cm="1">
        <f t="array" ref="QJE3">GetValue("Dmn","Name",QJE2)</f>
        <v/>
      </c>
      <c r="QJF3" s="1" t="str" cm="1">
        <f t="array" ref="QJF3">GetValue("Dmn","Name",QJF2)</f>
        <v/>
      </c>
      <c r="QJG3" s="1" t="str" cm="1">
        <f t="array" ref="QJG3">GetValue("Dmn","Name",QJG2)</f>
        <v/>
      </c>
      <c r="QJH3" s="1" t="str" cm="1">
        <f t="array" ref="QJH3">GetValue("Dmn","Name",QJH2)</f>
        <v/>
      </c>
      <c r="QJI3" s="1" t="str" cm="1">
        <f t="array" ref="QJI3">GetValue("Dmn","Name",QJI2)</f>
        <v/>
      </c>
      <c r="QJJ3" s="1" t="str" cm="1">
        <f t="array" ref="QJJ3">GetValue("Dmn","Name",QJJ2)</f>
        <v/>
      </c>
      <c r="QJK3" s="1" t="str" cm="1">
        <f t="array" ref="QJK3">GetValue("Dmn","Name",QJK2)</f>
        <v/>
      </c>
      <c r="QJL3" s="1" t="str" cm="1">
        <f t="array" ref="QJL3">GetValue("Dmn","Name",QJL2)</f>
        <v/>
      </c>
      <c r="QJM3" s="1" t="str" cm="1">
        <f t="array" ref="QJM3">GetValue("Dmn","Name",QJM2)</f>
        <v/>
      </c>
      <c r="QJN3" s="1" t="str" cm="1">
        <f t="array" ref="QJN3">GetValue("Dmn","Name",QJN2)</f>
        <v/>
      </c>
      <c r="QJO3" s="1" t="str" cm="1">
        <f t="array" ref="QJO3">GetValue("Dmn","Name",QJO2)</f>
        <v/>
      </c>
      <c r="QJP3" s="1" t="str" cm="1">
        <f t="array" ref="QJP3">GetValue("Dmn","Name",QJP2)</f>
        <v/>
      </c>
      <c r="QJQ3" s="1" t="str" cm="1">
        <f t="array" ref="QJQ3">GetValue("Dmn","Name",QJQ2)</f>
        <v/>
      </c>
      <c r="QJR3" s="1" t="str" cm="1">
        <f t="array" ref="QJR3">GetValue("Dmn","Name",QJR2)</f>
        <v/>
      </c>
      <c r="QJS3" s="1" t="str" cm="1">
        <f t="array" ref="QJS3">GetValue("Dmn","Name",QJS2)</f>
        <v/>
      </c>
      <c r="QJT3" s="1" t="str" cm="1">
        <f t="array" ref="QJT3">GetValue("Dmn","Name",QJT2)</f>
        <v/>
      </c>
      <c r="QJU3" s="1" t="str" cm="1">
        <f t="array" ref="QJU3">GetValue("Dmn","Name",QJU2)</f>
        <v/>
      </c>
      <c r="QJV3" s="1" t="str" cm="1">
        <f t="array" ref="QJV3">GetValue("Dmn","Name",QJV2)</f>
        <v/>
      </c>
      <c r="QJW3" s="1" t="str" cm="1">
        <f t="array" ref="QJW3">GetValue("Dmn","Name",QJW2)</f>
        <v/>
      </c>
      <c r="QJX3" s="1" t="str" cm="1">
        <f t="array" ref="QJX3">GetValue("Dmn","Name",QJX2)</f>
        <v/>
      </c>
      <c r="QJY3" s="1" t="str" cm="1">
        <f t="array" ref="QJY3">GetValue("Dmn","Name",QJY2)</f>
        <v/>
      </c>
      <c r="QJZ3" s="1" t="str" cm="1">
        <f t="array" ref="QJZ3">GetValue("Dmn","Name",QJZ2)</f>
        <v/>
      </c>
      <c r="QKA3" s="1" t="str" cm="1">
        <f t="array" ref="QKA3">GetValue("Dmn","Name",QKA2)</f>
        <v/>
      </c>
      <c r="QKB3" s="1" t="str" cm="1">
        <f t="array" ref="QKB3">GetValue("Dmn","Name",QKB2)</f>
        <v/>
      </c>
      <c r="QKC3" s="1" t="str" cm="1">
        <f t="array" ref="QKC3">GetValue("Dmn","Name",QKC2)</f>
        <v/>
      </c>
      <c r="QKD3" s="1" t="str" cm="1">
        <f t="array" ref="QKD3">GetValue("Dmn","Name",QKD2)</f>
        <v/>
      </c>
      <c r="QKE3" s="1" t="str" cm="1">
        <f t="array" ref="QKE3">GetValue("Dmn","Name",QKE2)</f>
        <v/>
      </c>
      <c r="QKF3" s="1" t="str" cm="1">
        <f t="array" ref="QKF3">GetValue("Dmn","Name",QKF2)</f>
        <v/>
      </c>
      <c r="QKG3" s="1" t="str" cm="1">
        <f t="array" ref="QKG3">GetValue("Dmn","Name",QKG2)</f>
        <v/>
      </c>
      <c r="QKH3" s="1" t="str" cm="1">
        <f t="array" ref="QKH3">GetValue("Dmn","Name",QKH2)</f>
        <v/>
      </c>
      <c r="QKI3" s="1" t="str" cm="1">
        <f t="array" ref="QKI3">GetValue("Dmn","Name",QKI2)</f>
        <v/>
      </c>
      <c r="QKJ3" s="1" t="str" cm="1">
        <f t="array" ref="QKJ3">GetValue("Dmn","Name",QKJ2)</f>
        <v/>
      </c>
      <c r="QKK3" s="1" t="str" cm="1">
        <f t="array" ref="QKK3">GetValue("Dmn","Name",QKK2)</f>
        <v/>
      </c>
      <c r="QKL3" s="1" t="str" cm="1">
        <f t="array" ref="QKL3">GetValue("Dmn","Name",QKL2)</f>
        <v/>
      </c>
      <c r="QKM3" s="1" t="str" cm="1">
        <f t="array" ref="QKM3">GetValue("Dmn","Name",QKM2)</f>
        <v/>
      </c>
      <c r="QKN3" s="1" t="str" cm="1">
        <f t="array" ref="QKN3">GetValue("Dmn","Name",QKN2)</f>
        <v/>
      </c>
      <c r="QKO3" s="1" t="str" cm="1">
        <f t="array" ref="QKO3">GetValue("Dmn","Name",QKO2)</f>
        <v/>
      </c>
      <c r="QKP3" s="1" t="str" cm="1">
        <f t="array" ref="QKP3">GetValue("Dmn","Name",QKP2)</f>
        <v/>
      </c>
      <c r="QKQ3" s="1" t="str" cm="1">
        <f t="array" ref="QKQ3">GetValue("Dmn","Name",QKQ2)</f>
        <v/>
      </c>
      <c r="QKR3" s="1" t="str" cm="1">
        <f t="array" ref="QKR3">GetValue("Dmn","Name",QKR2)</f>
        <v/>
      </c>
      <c r="QKS3" s="1" t="str" cm="1">
        <f t="array" ref="QKS3">GetValue("Dmn","Name",QKS2)</f>
        <v/>
      </c>
      <c r="QKT3" s="1" t="str" cm="1">
        <f t="array" ref="QKT3">GetValue("Dmn","Name",QKT2)</f>
        <v/>
      </c>
      <c r="QKU3" s="1" t="str" cm="1">
        <f t="array" ref="QKU3">GetValue("Dmn","Name",QKU2)</f>
        <v/>
      </c>
      <c r="QKV3" s="1" t="str" cm="1">
        <f t="array" ref="QKV3">GetValue("Dmn","Name",QKV2)</f>
        <v/>
      </c>
      <c r="QKW3" s="1" t="str" cm="1">
        <f t="array" ref="QKW3">GetValue("Dmn","Name",QKW2)</f>
        <v/>
      </c>
      <c r="QKX3" s="1" t="str" cm="1">
        <f t="array" ref="QKX3">GetValue("Dmn","Name",QKX2)</f>
        <v/>
      </c>
      <c r="QKY3" s="1" t="str" cm="1">
        <f t="array" ref="QKY3">GetValue("Dmn","Name",QKY2)</f>
        <v/>
      </c>
      <c r="QKZ3" s="1" t="str" cm="1">
        <f t="array" ref="QKZ3">GetValue("Dmn","Name",QKZ2)</f>
        <v/>
      </c>
      <c r="QLA3" s="1" t="str" cm="1">
        <f t="array" ref="QLA3">GetValue("Dmn","Name",QLA2)</f>
        <v/>
      </c>
      <c r="QLB3" s="1" t="str" cm="1">
        <f t="array" ref="QLB3">GetValue("Dmn","Name",QLB2)</f>
        <v/>
      </c>
      <c r="QLC3" s="1" t="str" cm="1">
        <f t="array" ref="QLC3">GetValue("Dmn","Name",QLC2)</f>
        <v/>
      </c>
      <c r="QLD3" s="1" t="str" cm="1">
        <f t="array" ref="QLD3">GetValue("Dmn","Name",QLD2)</f>
        <v/>
      </c>
      <c r="QLE3" s="1" t="str" cm="1">
        <f t="array" ref="QLE3">GetValue("Dmn","Name",QLE2)</f>
        <v/>
      </c>
      <c r="QLF3" s="1" t="str" cm="1">
        <f t="array" ref="QLF3">GetValue("Dmn","Name",QLF2)</f>
        <v/>
      </c>
      <c r="QLG3" s="1" t="str" cm="1">
        <f t="array" ref="QLG3">GetValue("Dmn","Name",QLG2)</f>
        <v/>
      </c>
      <c r="QLH3" s="1" t="str" cm="1">
        <f t="array" ref="QLH3">GetValue("Dmn","Name",QLH2)</f>
        <v/>
      </c>
      <c r="QLI3" s="1" t="str" cm="1">
        <f t="array" ref="QLI3">GetValue("Dmn","Name",QLI2)</f>
        <v/>
      </c>
      <c r="QLJ3" s="1" t="str" cm="1">
        <f t="array" ref="QLJ3">GetValue("Dmn","Name",QLJ2)</f>
        <v/>
      </c>
      <c r="QLK3" s="1" t="str" cm="1">
        <f t="array" ref="QLK3">GetValue("Dmn","Name",QLK2)</f>
        <v/>
      </c>
      <c r="QLL3" s="1" t="str" cm="1">
        <f t="array" ref="QLL3">GetValue("Dmn","Name",QLL2)</f>
        <v/>
      </c>
      <c r="QLM3" s="1" t="str" cm="1">
        <f t="array" ref="QLM3">GetValue("Dmn","Name",QLM2)</f>
        <v/>
      </c>
      <c r="QLN3" s="1" t="str" cm="1">
        <f t="array" ref="QLN3">GetValue("Dmn","Name",QLN2)</f>
        <v/>
      </c>
      <c r="QLO3" s="1" t="str" cm="1">
        <f t="array" ref="QLO3">GetValue("Dmn","Name",QLO2)</f>
        <v/>
      </c>
      <c r="QLP3" s="1" t="str" cm="1">
        <f t="array" ref="QLP3">GetValue("Dmn","Name",QLP2)</f>
        <v/>
      </c>
      <c r="QLQ3" s="1" t="str" cm="1">
        <f t="array" ref="QLQ3">GetValue("Dmn","Name",QLQ2)</f>
        <v/>
      </c>
      <c r="QLR3" s="1" t="str" cm="1">
        <f t="array" ref="QLR3">GetValue("Dmn","Name",QLR2)</f>
        <v/>
      </c>
      <c r="QLS3" s="1" t="str" cm="1">
        <f t="array" ref="QLS3">GetValue("Dmn","Name",QLS2)</f>
        <v/>
      </c>
      <c r="QLT3" s="1" t="str" cm="1">
        <f t="array" ref="QLT3">GetValue("Dmn","Name",QLT2)</f>
        <v/>
      </c>
      <c r="QLU3" s="1" t="str" cm="1">
        <f t="array" ref="QLU3">GetValue("Dmn","Name",QLU2)</f>
        <v/>
      </c>
      <c r="QLV3" s="1" t="str" cm="1">
        <f t="array" ref="QLV3">GetValue("Dmn","Name",QLV2)</f>
        <v/>
      </c>
      <c r="QLW3" s="1" t="str" cm="1">
        <f t="array" ref="QLW3">GetValue("Dmn","Name",QLW2)</f>
        <v/>
      </c>
      <c r="QLX3" s="1" t="str" cm="1">
        <f t="array" ref="QLX3">GetValue("Dmn","Name",QLX2)</f>
        <v/>
      </c>
      <c r="QLY3" s="1" t="str" cm="1">
        <f t="array" ref="QLY3">GetValue("Dmn","Name",QLY2)</f>
        <v/>
      </c>
      <c r="QLZ3" s="1" t="str" cm="1">
        <f t="array" ref="QLZ3">GetValue("Dmn","Name",QLZ2)</f>
        <v/>
      </c>
      <c r="QMA3" s="1" t="str" cm="1">
        <f t="array" ref="QMA3">GetValue("Dmn","Name",QMA2)</f>
        <v/>
      </c>
      <c r="QMB3" s="1" t="str" cm="1">
        <f t="array" ref="QMB3">GetValue("Dmn","Name",QMB2)</f>
        <v/>
      </c>
      <c r="QMC3" s="1" t="str" cm="1">
        <f t="array" ref="QMC3">GetValue("Dmn","Name",QMC2)</f>
        <v/>
      </c>
      <c r="QMD3" s="1" t="str" cm="1">
        <f t="array" ref="QMD3">GetValue("Dmn","Name",QMD2)</f>
        <v/>
      </c>
      <c r="QME3" s="1" t="str" cm="1">
        <f t="array" ref="QME3">GetValue("Dmn","Name",QME2)</f>
        <v/>
      </c>
      <c r="QMF3" s="1" t="str" cm="1">
        <f t="array" ref="QMF3">GetValue("Dmn","Name",QMF2)</f>
        <v/>
      </c>
      <c r="QMG3" s="1" t="str" cm="1">
        <f t="array" ref="QMG3">GetValue("Dmn","Name",QMG2)</f>
        <v/>
      </c>
      <c r="QMH3" s="1" t="str" cm="1">
        <f t="array" ref="QMH3">GetValue("Dmn","Name",QMH2)</f>
        <v/>
      </c>
      <c r="QMI3" s="1" t="str" cm="1">
        <f t="array" ref="QMI3">GetValue("Dmn","Name",QMI2)</f>
        <v/>
      </c>
      <c r="QMJ3" s="1" t="str" cm="1">
        <f t="array" ref="QMJ3">GetValue("Dmn","Name",QMJ2)</f>
        <v/>
      </c>
      <c r="QMK3" s="1" t="str" cm="1">
        <f t="array" ref="QMK3">GetValue("Dmn","Name",QMK2)</f>
        <v/>
      </c>
      <c r="QML3" s="1" t="str" cm="1">
        <f t="array" ref="QML3">GetValue("Dmn","Name",QML2)</f>
        <v/>
      </c>
      <c r="QMM3" s="1" t="str" cm="1">
        <f t="array" ref="QMM3">GetValue("Dmn","Name",QMM2)</f>
        <v/>
      </c>
      <c r="QMN3" s="1" t="str" cm="1">
        <f t="array" ref="QMN3">GetValue("Dmn","Name",QMN2)</f>
        <v/>
      </c>
      <c r="QMO3" s="1" t="str" cm="1">
        <f t="array" ref="QMO3">GetValue("Dmn","Name",QMO2)</f>
        <v/>
      </c>
      <c r="QMP3" s="1" t="str" cm="1">
        <f t="array" ref="QMP3">GetValue("Dmn","Name",QMP2)</f>
        <v/>
      </c>
      <c r="QMQ3" s="1" t="str" cm="1">
        <f t="array" ref="QMQ3">GetValue("Dmn","Name",QMQ2)</f>
        <v/>
      </c>
      <c r="QMR3" s="1" t="str" cm="1">
        <f t="array" ref="QMR3">GetValue("Dmn","Name",QMR2)</f>
        <v/>
      </c>
      <c r="QMS3" s="1" t="str" cm="1">
        <f t="array" ref="QMS3">GetValue("Dmn","Name",QMS2)</f>
        <v/>
      </c>
      <c r="QMT3" s="1" t="str" cm="1">
        <f t="array" ref="QMT3">GetValue("Dmn","Name",QMT2)</f>
        <v/>
      </c>
      <c r="QMU3" s="1" t="str" cm="1">
        <f t="array" ref="QMU3">GetValue("Dmn","Name",QMU2)</f>
        <v/>
      </c>
      <c r="QMV3" s="1" t="str" cm="1">
        <f t="array" ref="QMV3">GetValue("Dmn","Name",QMV2)</f>
        <v/>
      </c>
      <c r="QMW3" s="1" t="str" cm="1">
        <f t="array" ref="QMW3">GetValue("Dmn","Name",QMW2)</f>
        <v/>
      </c>
      <c r="QMX3" s="1" t="str" cm="1">
        <f t="array" ref="QMX3">GetValue("Dmn","Name",QMX2)</f>
        <v/>
      </c>
      <c r="QMY3" s="1" t="str" cm="1">
        <f t="array" ref="QMY3">GetValue("Dmn","Name",QMY2)</f>
        <v/>
      </c>
      <c r="QMZ3" s="1" t="str" cm="1">
        <f t="array" ref="QMZ3">GetValue("Dmn","Name",QMZ2)</f>
        <v/>
      </c>
      <c r="QNA3" s="1" t="str" cm="1">
        <f t="array" ref="QNA3">GetValue("Dmn","Name",QNA2)</f>
        <v/>
      </c>
      <c r="QNB3" s="1" t="str" cm="1">
        <f t="array" ref="QNB3">GetValue("Dmn","Name",QNB2)</f>
        <v/>
      </c>
      <c r="QNC3" s="1" t="str" cm="1">
        <f t="array" ref="QNC3">GetValue("Dmn","Name",QNC2)</f>
        <v/>
      </c>
      <c r="QND3" s="1" t="str" cm="1">
        <f t="array" ref="QND3">GetValue("Dmn","Name",QND2)</f>
        <v/>
      </c>
      <c r="QNE3" s="1" t="str" cm="1">
        <f t="array" ref="QNE3">GetValue("Dmn","Name",QNE2)</f>
        <v/>
      </c>
      <c r="QNF3" s="1" t="str" cm="1">
        <f t="array" ref="QNF3">GetValue("Dmn","Name",QNF2)</f>
        <v/>
      </c>
      <c r="QNG3" s="1" t="str" cm="1">
        <f t="array" ref="QNG3">GetValue("Dmn","Name",QNG2)</f>
        <v/>
      </c>
      <c r="QNH3" s="1" t="str" cm="1">
        <f t="array" ref="QNH3">GetValue("Dmn","Name",QNH2)</f>
        <v/>
      </c>
      <c r="QNI3" s="1" t="str" cm="1">
        <f t="array" ref="QNI3">GetValue("Dmn","Name",QNI2)</f>
        <v/>
      </c>
      <c r="QNJ3" s="1" t="str" cm="1">
        <f t="array" ref="QNJ3">GetValue("Dmn","Name",QNJ2)</f>
        <v/>
      </c>
      <c r="QNK3" s="1" t="str" cm="1">
        <f t="array" ref="QNK3">GetValue("Dmn","Name",QNK2)</f>
        <v/>
      </c>
      <c r="QNL3" s="1" t="str" cm="1">
        <f t="array" ref="QNL3">GetValue("Dmn","Name",QNL2)</f>
        <v/>
      </c>
      <c r="QNM3" s="1" t="str" cm="1">
        <f t="array" ref="QNM3">GetValue("Dmn","Name",QNM2)</f>
        <v/>
      </c>
      <c r="QNN3" s="1" t="str" cm="1">
        <f t="array" ref="QNN3">GetValue("Dmn","Name",QNN2)</f>
        <v/>
      </c>
      <c r="QNO3" s="1" t="str" cm="1">
        <f t="array" ref="QNO3">GetValue("Dmn","Name",QNO2)</f>
        <v/>
      </c>
      <c r="QNP3" s="1" t="str" cm="1">
        <f t="array" ref="QNP3">GetValue("Dmn","Name",QNP2)</f>
        <v/>
      </c>
      <c r="QNQ3" s="1" t="str" cm="1">
        <f t="array" ref="QNQ3">GetValue("Dmn","Name",QNQ2)</f>
        <v/>
      </c>
      <c r="QNR3" s="1" t="str" cm="1">
        <f t="array" ref="QNR3">GetValue("Dmn","Name",QNR2)</f>
        <v/>
      </c>
      <c r="QNS3" s="1" t="str" cm="1">
        <f t="array" ref="QNS3">GetValue("Dmn","Name",QNS2)</f>
        <v/>
      </c>
      <c r="QNT3" s="1" t="str" cm="1">
        <f t="array" ref="QNT3">GetValue("Dmn","Name",QNT2)</f>
        <v/>
      </c>
      <c r="QNU3" s="1" t="str" cm="1">
        <f t="array" ref="QNU3">GetValue("Dmn","Name",QNU2)</f>
        <v/>
      </c>
      <c r="QNV3" s="1" t="str" cm="1">
        <f t="array" ref="QNV3">GetValue("Dmn","Name",QNV2)</f>
        <v/>
      </c>
      <c r="QNW3" s="1" t="str" cm="1">
        <f t="array" ref="QNW3">GetValue("Dmn","Name",QNW2)</f>
        <v/>
      </c>
      <c r="QNX3" s="1" t="str" cm="1">
        <f t="array" ref="QNX3">GetValue("Dmn","Name",QNX2)</f>
        <v/>
      </c>
      <c r="QNY3" s="1" t="str" cm="1">
        <f t="array" ref="QNY3">GetValue("Dmn","Name",QNY2)</f>
        <v/>
      </c>
      <c r="QNZ3" s="1" t="str" cm="1">
        <f t="array" ref="QNZ3">GetValue("Dmn","Name",QNZ2)</f>
        <v/>
      </c>
      <c r="QOA3" s="1" t="str" cm="1">
        <f t="array" ref="QOA3">GetValue("Dmn","Name",QOA2)</f>
        <v/>
      </c>
      <c r="QOB3" s="1" t="str" cm="1">
        <f t="array" ref="QOB3">GetValue("Dmn","Name",QOB2)</f>
        <v/>
      </c>
      <c r="QOC3" s="1" t="str" cm="1">
        <f t="array" ref="QOC3">GetValue("Dmn","Name",QOC2)</f>
        <v/>
      </c>
      <c r="QOD3" s="1" t="str" cm="1">
        <f t="array" ref="QOD3">GetValue("Dmn","Name",QOD2)</f>
        <v/>
      </c>
      <c r="QOE3" s="1" t="str" cm="1">
        <f t="array" ref="QOE3">GetValue("Dmn","Name",QOE2)</f>
        <v/>
      </c>
      <c r="QOF3" s="1" t="str" cm="1">
        <f t="array" ref="QOF3">GetValue("Dmn","Name",QOF2)</f>
        <v/>
      </c>
      <c r="QOG3" s="1" t="str" cm="1">
        <f t="array" ref="QOG3">GetValue("Dmn","Name",QOG2)</f>
        <v/>
      </c>
      <c r="QOH3" s="1" t="str" cm="1">
        <f t="array" ref="QOH3">GetValue("Dmn","Name",QOH2)</f>
        <v/>
      </c>
      <c r="QOI3" s="1" t="str" cm="1">
        <f t="array" ref="QOI3">GetValue("Dmn","Name",QOI2)</f>
        <v/>
      </c>
      <c r="QOJ3" s="1" t="str" cm="1">
        <f t="array" ref="QOJ3">GetValue("Dmn","Name",QOJ2)</f>
        <v/>
      </c>
      <c r="QOK3" s="1" t="str" cm="1">
        <f t="array" ref="QOK3">GetValue("Dmn","Name",QOK2)</f>
        <v/>
      </c>
      <c r="QOL3" s="1" t="str" cm="1">
        <f t="array" ref="QOL3">GetValue("Dmn","Name",QOL2)</f>
        <v/>
      </c>
      <c r="QOM3" s="1" t="str" cm="1">
        <f t="array" ref="QOM3">GetValue("Dmn","Name",QOM2)</f>
        <v/>
      </c>
      <c r="QON3" s="1" t="str" cm="1">
        <f t="array" ref="QON3">GetValue("Dmn","Name",QON2)</f>
        <v/>
      </c>
      <c r="QOO3" s="1" t="str" cm="1">
        <f t="array" ref="QOO3">GetValue("Dmn","Name",QOO2)</f>
        <v/>
      </c>
      <c r="QOP3" s="1" t="str" cm="1">
        <f t="array" ref="QOP3">GetValue("Dmn","Name",QOP2)</f>
        <v/>
      </c>
      <c r="QOQ3" s="1" t="str" cm="1">
        <f t="array" ref="QOQ3">GetValue("Dmn","Name",QOQ2)</f>
        <v/>
      </c>
      <c r="QOR3" s="1" t="str" cm="1">
        <f t="array" ref="QOR3">GetValue("Dmn","Name",QOR2)</f>
        <v/>
      </c>
      <c r="QOS3" s="1" t="str" cm="1">
        <f t="array" ref="QOS3">GetValue("Dmn","Name",QOS2)</f>
        <v/>
      </c>
      <c r="QOT3" s="1" t="str" cm="1">
        <f t="array" ref="QOT3">GetValue("Dmn","Name",QOT2)</f>
        <v/>
      </c>
      <c r="QOU3" s="1" t="str" cm="1">
        <f t="array" ref="QOU3">GetValue("Dmn","Name",QOU2)</f>
        <v/>
      </c>
      <c r="QOV3" s="1" t="str" cm="1">
        <f t="array" ref="QOV3">GetValue("Dmn","Name",QOV2)</f>
        <v/>
      </c>
      <c r="QOW3" s="1" t="str" cm="1">
        <f t="array" ref="QOW3">GetValue("Dmn","Name",QOW2)</f>
        <v/>
      </c>
      <c r="QOX3" s="1" t="str" cm="1">
        <f t="array" ref="QOX3">GetValue("Dmn","Name",QOX2)</f>
        <v/>
      </c>
      <c r="QOY3" s="1" t="str" cm="1">
        <f t="array" ref="QOY3">GetValue("Dmn","Name",QOY2)</f>
        <v/>
      </c>
      <c r="QOZ3" s="1" t="str" cm="1">
        <f t="array" ref="QOZ3">GetValue("Dmn","Name",QOZ2)</f>
        <v/>
      </c>
      <c r="QPA3" s="1" t="str" cm="1">
        <f t="array" ref="QPA3">GetValue("Dmn","Name",QPA2)</f>
        <v/>
      </c>
      <c r="QPB3" s="1" t="str" cm="1">
        <f t="array" ref="QPB3">GetValue("Dmn","Name",QPB2)</f>
        <v/>
      </c>
      <c r="QPC3" s="1" t="str" cm="1">
        <f t="array" ref="QPC3">GetValue("Dmn","Name",QPC2)</f>
        <v/>
      </c>
      <c r="QPD3" s="1" t="str" cm="1">
        <f t="array" ref="QPD3">GetValue("Dmn","Name",QPD2)</f>
        <v/>
      </c>
      <c r="QPE3" s="1" t="str" cm="1">
        <f t="array" ref="QPE3">GetValue("Dmn","Name",QPE2)</f>
        <v/>
      </c>
      <c r="QPF3" s="1" t="str" cm="1">
        <f t="array" ref="QPF3">GetValue("Dmn","Name",QPF2)</f>
        <v/>
      </c>
      <c r="QPG3" s="1" t="str" cm="1">
        <f t="array" ref="QPG3">GetValue("Dmn","Name",QPG2)</f>
        <v/>
      </c>
      <c r="QPH3" s="1" t="str" cm="1">
        <f t="array" ref="QPH3">GetValue("Dmn","Name",QPH2)</f>
        <v/>
      </c>
      <c r="QPI3" s="1" t="str" cm="1">
        <f t="array" ref="QPI3">GetValue("Dmn","Name",QPI2)</f>
        <v/>
      </c>
      <c r="QPJ3" s="1" t="str" cm="1">
        <f t="array" ref="QPJ3">GetValue("Dmn","Name",QPJ2)</f>
        <v/>
      </c>
      <c r="QPK3" s="1" t="str" cm="1">
        <f t="array" ref="QPK3">GetValue("Dmn","Name",QPK2)</f>
        <v/>
      </c>
      <c r="QPL3" s="1" t="str" cm="1">
        <f t="array" ref="QPL3">GetValue("Dmn","Name",QPL2)</f>
        <v/>
      </c>
      <c r="QPM3" s="1" t="str" cm="1">
        <f t="array" ref="QPM3">GetValue("Dmn","Name",QPM2)</f>
        <v/>
      </c>
      <c r="QPN3" s="1" t="str" cm="1">
        <f t="array" ref="QPN3">GetValue("Dmn","Name",QPN2)</f>
        <v/>
      </c>
      <c r="QPO3" s="1" t="str" cm="1">
        <f t="array" ref="QPO3">GetValue("Dmn","Name",QPO2)</f>
        <v/>
      </c>
      <c r="QPP3" s="1" t="str" cm="1">
        <f t="array" ref="QPP3">GetValue("Dmn","Name",QPP2)</f>
        <v/>
      </c>
      <c r="QPQ3" s="1" t="str" cm="1">
        <f t="array" ref="QPQ3">GetValue("Dmn","Name",QPQ2)</f>
        <v/>
      </c>
      <c r="QPR3" s="1" t="str" cm="1">
        <f t="array" ref="QPR3">GetValue("Dmn","Name",QPR2)</f>
        <v/>
      </c>
      <c r="QPS3" s="1" t="str" cm="1">
        <f t="array" ref="QPS3">GetValue("Dmn","Name",QPS2)</f>
        <v/>
      </c>
      <c r="QPT3" s="1" t="str" cm="1">
        <f t="array" ref="QPT3">GetValue("Dmn","Name",QPT2)</f>
        <v/>
      </c>
      <c r="QPU3" s="1" t="str" cm="1">
        <f t="array" ref="QPU3">GetValue("Dmn","Name",QPU2)</f>
        <v/>
      </c>
      <c r="QPV3" s="1" t="str" cm="1">
        <f t="array" ref="QPV3">GetValue("Dmn","Name",QPV2)</f>
        <v/>
      </c>
      <c r="QPW3" s="1" t="str" cm="1">
        <f t="array" ref="QPW3">GetValue("Dmn","Name",QPW2)</f>
        <v/>
      </c>
      <c r="QPX3" s="1" t="str" cm="1">
        <f t="array" ref="QPX3">GetValue("Dmn","Name",QPX2)</f>
        <v/>
      </c>
      <c r="QPY3" s="1" t="str" cm="1">
        <f t="array" ref="QPY3">GetValue("Dmn","Name",QPY2)</f>
        <v/>
      </c>
      <c r="QPZ3" s="1" t="str" cm="1">
        <f t="array" ref="QPZ3">GetValue("Dmn","Name",QPZ2)</f>
        <v/>
      </c>
      <c r="QQA3" s="1" t="str" cm="1">
        <f t="array" ref="QQA3">GetValue("Dmn","Name",QQA2)</f>
        <v/>
      </c>
      <c r="QQB3" s="1" t="str" cm="1">
        <f t="array" ref="QQB3">GetValue("Dmn","Name",QQB2)</f>
        <v/>
      </c>
      <c r="QQC3" s="1" t="str" cm="1">
        <f t="array" ref="QQC3">GetValue("Dmn","Name",QQC2)</f>
        <v/>
      </c>
      <c r="QQD3" s="1" t="str" cm="1">
        <f t="array" ref="QQD3">GetValue("Dmn","Name",QQD2)</f>
        <v/>
      </c>
      <c r="QQE3" s="1" t="str" cm="1">
        <f t="array" ref="QQE3">GetValue("Dmn","Name",QQE2)</f>
        <v/>
      </c>
      <c r="QQF3" s="1" t="str" cm="1">
        <f t="array" ref="QQF3">GetValue("Dmn","Name",QQF2)</f>
        <v/>
      </c>
      <c r="QQG3" s="1" t="str" cm="1">
        <f t="array" ref="QQG3">GetValue("Dmn","Name",QQG2)</f>
        <v/>
      </c>
      <c r="QQH3" s="1" t="str" cm="1">
        <f t="array" ref="QQH3">GetValue("Dmn","Name",QQH2)</f>
        <v/>
      </c>
      <c r="QQI3" s="1" t="str" cm="1">
        <f t="array" ref="QQI3">GetValue("Dmn","Name",QQI2)</f>
        <v/>
      </c>
      <c r="QQJ3" s="1" t="str" cm="1">
        <f t="array" ref="QQJ3">GetValue("Dmn","Name",QQJ2)</f>
        <v/>
      </c>
      <c r="QQK3" s="1" t="str" cm="1">
        <f t="array" ref="QQK3">GetValue("Dmn","Name",QQK2)</f>
        <v/>
      </c>
      <c r="QQL3" s="1" t="str" cm="1">
        <f t="array" ref="QQL3">GetValue("Dmn","Name",QQL2)</f>
        <v/>
      </c>
      <c r="QQM3" s="1" t="str" cm="1">
        <f t="array" ref="QQM3">GetValue("Dmn","Name",QQM2)</f>
        <v/>
      </c>
      <c r="QQN3" s="1" t="str" cm="1">
        <f t="array" ref="QQN3">GetValue("Dmn","Name",QQN2)</f>
        <v/>
      </c>
      <c r="QQO3" s="1" t="str" cm="1">
        <f t="array" ref="QQO3">GetValue("Dmn","Name",QQO2)</f>
        <v/>
      </c>
      <c r="QQP3" s="1" t="str" cm="1">
        <f t="array" ref="QQP3">GetValue("Dmn","Name",QQP2)</f>
        <v/>
      </c>
      <c r="QQQ3" s="1" t="str" cm="1">
        <f t="array" ref="QQQ3">GetValue("Dmn","Name",QQQ2)</f>
        <v/>
      </c>
      <c r="QQR3" s="1" t="str" cm="1">
        <f t="array" ref="QQR3">GetValue("Dmn","Name",QQR2)</f>
        <v/>
      </c>
      <c r="QQS3" s="1" t="str" cm="1">
        <f t="array" ref="QQS3">GetValue("Dmn","Name",QQS2)</f>
        <v/>
      </c>
      <c r="QQT3" s="1" t="str" cm="1">
        <f t="array" ref="QQT3">GetValue("Dmn","Name",QQT2)</f>
        <v/>
      </c>
      <c r="QQU3" s="1" t="str" cm="1">
        <f t="array" ref="QQU3">GetValue("Dmn","Name",QQU2)</f>
        <v/>
      </c>
      <c r="QQV3" s="1" t="str" cm="1">
        <f t="array" ref="QQV3">GetValue("Dmn","Name",QQV2)</f>
        <v/>
      </c>
      <c r="QQW3" s="1" t="str" cm="1">
        <f t="array" ref="QQW3">GetValue("Dmn","Name",QQW2)</f>
        <v/>
      </c>
      <c r="QQX3" s="1" t="str" cm="1">
        <f t="array" ref="QQX3">GetValue("Dmn","Name",QQX2)</f>
        <v/>
      </c>
      <c r="QQY3" s="1" t="str" cm="1">
        <f t="array" ref="QQY3">GetValue("Dmn","Name",QQY2)</f>
        <v/>
      </c>
      <c r="QQZ3" s="1" t="str" cm="1">
        <f t="array" ref="QQZ3">GetValue("Dmn","Name",QQZ2)</f>
        <v/>
      </c>
      <c r="QRA3" s="1" t="str" cm="1">
        <f t="array" ref="QRA3">GetValue("Dmn","Name",QRA2)</f>
        <v/>
      </c>
      <c r="QRB3" s="1" t="str" cm="1">
        <f t="array" ref="QRB3">GetValue("Dmn","Name",QRB2)</f>
        <v/>
      </c>
      <c r="QRC3" s="1" t="str" cm="1">
        <f t="array" ref="QRC3">GetValue("Dmn","Name",QRC2)</f>
        <v/>
      </c>
      <c r="QRD3" s="1" t="str" cm="1">
        <f t="array" ref="QRD3">GetValue("Dmn","Name",QRD2)</f>
        <v/>
      </c>
      <c r="QRE3" s="1" t="str" cm="1">
        <f t="array" ref="QRE3">GetValue("Dmn","Name",QRE2)</f>
        <v/>
      </c>
      <c r="QRF3" s="1" t="str" cm="1">
        <f t="array" ref="QRF3">GetValue("Dmn","Name",QRF2)</f>
        <v/>
      </c>
      <c r="QRG3" s="1" t="str" cm="1">
        <f t="array" ref="QRG3">GetValue("Dmn","Name",QRG2)</f>
        <v/>
      </c>
      <c r="QRH3" s="1" t="str" cm="1">
        <f t="array" ref="QRH3">GetValue("Dmn","Name",QRH2)</f>
        <v/>
      </c>
      <c r="QRI3" s="1" t="str" cm="1">
        <f t="array" ref="QRI3">GetValue("Dmn","Name",QRI2)</f>
        <v/>
      </c>
      <c r="QRJ3" s="1" t="str" cm="1">
        <f t="array" ref="QRJ3">GetValue("Dmn","Name",QRJ2)</f>
        <v/>
      </c>
      <c r="QRK3" s="1" t="str" cm="1">
        <f t="array" ref="QRK3">GetValue("Dmn","Name",QRK2)</f>
        <v/>
      </c>
      <c r="QRL3" s="1" t="str" cm="1">
        <f t="array" ref="QRL3">GetValue("Dmn","Name",QRL2)</f>
        <v/>
      </c>
      <c r="QRM3" s="1" t="str" cm="1">
        <f t="array" ref="QRM3">GetValue("Dmn","Name",QRM2)</f>
        <v/>
      </c>
      <c r="QRN3" s="1" t="str" cm="1">
        <f t="array" ref="QRN3">GetValue("Dmn","Name",QRN2)</f>
        <v/>
      </c>
      <c r="QRO3" s="1" t="str" cm="1">
        <f t="array" ref="QRO3">GetValue("Dmn","Name",QRO2)</f>
        <v/>
      </c>
      <c r="QRP3" s="1" t="str" cm="1">
        <f t="array" ref="QRP3">GetValue("Dmn","Name",QRP2)</f>
        <v/>
      </c>
      <c r="QRQ3" s="1" t="str" cm="1">
        <f t="array" ref="QRQ3">GetValue("Dmn","Name",QRQ2)</f>
        <v/>
      </c>
      <c r="QRR3" s="1" t="str" cm="1">
        <f t="array" ref="QRR3">GetValue("Dmn","Name",QRR2)</f>
        <v/>
      </c>
      <c r="QRS3" s="1" t="str" cm="1">
        <f t="array" ref="QRS3">GetValue("Dmn","Name",QRS2)</f>
        <v/>
      </c>
      <c r="QRT3" s="1" t="str" cm="1">
        <f t="array" ref="QRT3">GetValue("Dmn","Name",QRT2)</f>
        <v/>
      </c>
      <c r="QRU3" s="1" t="str" cm="1">
        <f t="array" ref="QRU3">GetValue("Dmn","Name",QRU2)</f>
        <v/>
      </c>
      <c r="QRV3" s="1" t="str" cm="1">
        <f t="array" ref="QRV3">GetValue("Dmn","Name",QRV2)</f>
        <v/>
      </c>
      <c r="QRW3" s="1" t="str" cm="1">
        <f t="array" ref="QRW3">GetValue("Dmn","Name",QRW2)</f>
        <v/>
      </c>
      <c r="QRX3" s="1" t="str" cm="1">
        <f t="array" ref="QRX3">GetValue("Dmn","Name",QRX2)</f>
        <v/>
      </c>
      <c r="QRY3" s="1" t="str" cm="1">
        <f t="array" ref="QRY3">GetValue("Dmn","Name",QRY2)</f>
        <v/>
      </c>
      <c r="QRZ3" s="1" t="str" cm="1">
        <f t="array" ref="QRZ3">GetValue("Dmn","Name",QRZ2)</f>
        <v/>
      </c>
      <c r="QSA3" s="1" t="str" cm="1">
        <f t="array" ref="QSA3">GetValue("Dmn","Name",QSA2)</f>
        <v/>
      </c>
      <c r="QSB3" s="1" t="str" cm="1">
        <f t="array" ref="QSB3">GetValue("Dmn","Name",QSB2)</f>
        <v/>
      </c>
      <c r="QSC3" s="1" t="str" cm="1">
        <f t="array" ref="QSC3">GetValue("Dmn","Name",QSC2)</f>
        <v/>
      </c>
      <c r="QSD3" s="1" t="str" cm="1">
        <f t="array" ref="QSD3">GetValue("Dmn","Name",QSD2)</f>
        <v/>
      </c>
      <c r="QSE3" s="1" t="str" cm="1">
        <f t="array" ref="QSE3">GetValue("Dmn","Name",QSE2)</f>
        <v/>
      </c>
      <c r="QSF3" s="1" t="str" cm="1">
        <f t="array" ref="QSF3">GetValue("Dmn","Name",QSF2)</f>
        <v/>
      </c>
      <c r="QSG3" s="1" t="str" cm="1">
        <f t="array" ref="QSG3">GetValue("Dmn","Name",QSG2)</f>
        <v/>
      </c>
      <c r="QSH3" s="1" t="str" cm="1">
        <f t="array" ref="QSH3">GetValue("Dmn","Name",QSH2)</f>
        <v/>
      </c>
      <c r="QSI3" s="1" t="str" cm="1">
        <f t="array" ref="QSI3">GetValue("Dmn","Name",QSI2)</f>
        <v/>
      </c>
      <c r="QSJ3" s="1" t="str" cm="1">
        <f t="array" ref="QSJ3">GetValue("Dmn","Name",QSJ2)</f>
        <v/>
      </c>
      <c r="QSK3" s="1" t="str" cm="1">
        <f t="array" ref="QSK3">GetValue("Dmn","Name",QSK2)</f>
        <v/>
      </c>
      <c r="QSL3" s="1" t="str" cm="1">
        <f t="array" ref="QSL3">GetValue("Dmn","Name",QSL2)</f>
        <v/>
      </c>
      <c r="QSM3" s="1" t="str" cm="1">
        <f t="array" ref="QSM3">GetValue("Dmn","Name",QSM2)</f>
        <v/>
      </c>
      <c r="QSN3" s="1" t="str" cm="1">
        <f t="array" ref="QSN3">GetValue("Dmn","Name",QSN2)</f>
        <v/>
      </c>
      <c r="QSO3" s="1" t="str" cm="1">
        <f t="array" ref="QSO3">GetValue("Dmn","Name",QSO2)</f>
        <v/>
      </c>
      <c r="QSP3" s="1" t="str" cm="1">
        <f t="array" ref="QSP3">GetValue("Dmn","Name",QSP2)</f>
        <v/>
      </c>
      <c r="QSQ3" s="1" t="str" cm="1">
        <f t="array" ref="QSQ3">GetValue("Dmn","Name",QSQ2)</f>
        <v/>
      </c>
      <c r="QSR3" s="1" t="str" cm="1">
        <f t="array" ref="QSR3">GetValue("Dmn","Name",QSR2)</f>
        <v/>
      </c>
      <c r="QSS3" s="1" t="str" cm="1">
        <f t="array" ref="QSS3">GetValue("Dmn","Name",QSS2)</f>
        <v/>
      </c>
      <c r="QST3" s="1" t="str" cm="1">
        <f t="array" ref="QST3">GetValue("Dmn","Name",QST2)</f>
        <v/>
      </c>
      <c r="QSU3" s="1" t="str" cm="1">
        <f t="array" ref="QSU3">GetValue("Dmn","Name",QSU2)</f>
        <v/>
      </c>
      <c r="QSV3" s="1" t="str" cm="1">
        <f t="array" ref="QSV3">GetValue("Dmn","Name",QSV2)</f>
        <v/>
      </c>
      <c r="QSW3" s="1" t="str" cm="1">
        <f t="array" ref="QSW3">GetValue("Dmn","Name",QSW2)</f>
        <v/>
      </c>
      <c r="QSX3" s="1" t="str" cm="1">
        <f t="array" ref="QSX3">GetValue("Dmn","Name",QSX2)</f>
        <v/>
      </c>
      <c r="QSY3" s="1" t="str" cm="1">
        <f t="array" ref="QSY3">GetValue("Dmn","Name",QSY2)</f>
        <v/>
      </c>
      <c r="QSZ3" s="1" t="str" cm="1">
        <f t="array" ref="QSZ3">GetValue("Dmn","Name",QSZ2)</f>
        <v/>
      </c>
      <c r="QTA3" s="1" t="str" cm="1">
        <f t="array" ref="QTA3">GetValue("Dmn","Name",QTA2)</f>
        <v/>
      </c>
      <c r="QTB3" s="1" t="str" cm="1">
        <f t="array" ref="QTB3">GetValue("Dmn","Name",QTB2)</f>
        <v/>
      </c>
      <c r="QTC3" s="1" t="str" cm="1">
        <f t="array" ref="QTC3">GetValue("Dmn","Name",QTC2)</f>
        <v/>
      </c>
      <c r="QTD3" s="1" t="str" cm="1">
        <f t="array" ref="QTD3">GetValue("Dmn","Name",QTD2)</f>
        <v/>
      </c>
      <c r="QTE3" s="1" t="str" cm="1">
        <f t="array" ref="QTE3">GetValue("Dmn","Name",QTE2)</f>
        <v/>
      </c>
      <c r="QTF3" s="1" t="str" cm="1">
        <f t="array" ref="QTF3">GetValue("Dmn","Name",QTF2)</f>
        <v/>
      </c>
      <c r="QTG3" s="1" t="str" cm="1">
        <f t="array" ref="QTG3">GetValue("Dmn","Name",QTG2)</f>
        <v/>
      </c>
      <c r="QTH3" s="1" t="str" cm="1">
        <f t="array" ref="QTH3">GetValue("Dmn","Name",QTH2)</f>
        <v/>
      </c>
      <c r="QTI3" s="1" t="str" cm="1">
        <f t="array" ref="QTI3">GetValue("Dmn","Name",QTI2)</f>
        <v/>
      </c>
      <c r="QTJ3" s="1" t="str" cm="1">
        <f t="array" ref="QTJ3">GetValue("Dmn","Name",QTJ2)</f>
        <v/>
      </c>
      <c r="QTK3" s="1" t="str" cm="1">
        <f t="array" ref="QTK3">GetValue("Dmn","Name",QTK2)</f>
        <v/>
      </c>
      <c r="QTL3" s="1" t="str" cm="1">
        <f t="array" ref="QTL3">GetValue("Dmn","Name",QTL2)</f>
        <v/>
      </c>
      <c r="QTM3" s="1" t="str" cm="1">
        <f t="array" ref="QTM3">GetValue("Dmn","Name",QTM2)</f>
        <v/>
      </c>
      <c r="QTN3" s="1" t="str" cm="1">
        <f t="array" ref="QTN3">GetValue("Dmn","Name",QTN2)</f>
        <v/>
      </c>
      <c r="QTO3" s="1" t="str" cm="1">
        <f t="array" ref="QTO3">GetValue("Dmn","Name",QTO2)</f>
        <v/>
      </c>
      <c r="QTP3" s="1" t="str" cm="1">
        <f t="array" ref="QTP3">GetValue("Dmn","Name",QTP2)</f>
        <v/>
      </c>
      <c r="QTQ3" s="1" t="str" cm="1">
        <f t="array" ref="QTQ3">GetValue("Dmn","Name",QTQ2)</f>
        <v/>
      </c>
      <c r="QTR3" s="1" t="str" cm="1">
        <f t="array" ref="QTR3">GetValue("Dmn","Name",QTR2)</f>
        <v/>
      </c>
      <c r="QTS3" s="1" t="str" cm="1">
        <f t="array" ref="QTS3">GetValue("Dmn","Name",QTS2)</f>
        <v/>
      </c>
      <c r="QTT3" s="1" t="str" cm="1">
        <f t="array" ref="QTT3">GetValue("Dmn","Name",QTT2)</f>
        <v/>
      </c>
      <c r="QTU3" s="1" t="str" cm="1">
        <f t="array" ref="QTU3">GetValue("Dmn","Name",QTU2)</f>
        <v/>
      </c>
      <c r="QTV3" s="1" t="str" cm="1">
        <f t="array" ref="QTV3">GetValue("Dmn","Name",QTV2)</f>
        <v/>
      </c>
      <c r="QTW3" s="1" t="str" cm="1">
        <f t="array" ref="QTW3">GetValue("Dmn","Name",QTW2)</f>
        <v/>
      </c>
      <c r="QTX3" s="1" t="str" cm="1">
        <f t="array" ref="QTX3">GetValue("Dmn","Name",QTX2)</f>
        <v/>
      </c>
      <c r="QTY3" s="1" t="str" cm="1">
        <f t="array" ref="QTY3">GetValue("Dmn","Name",QTY2)</f>
        <v/>
      </c>
      <c r="QTZ3" s="1" t="str" cm="1">
        <f t="array" ref="QTZ3">GetValue("Dmn","Name",QTZ2)</f>
        <v/>
      </c>
      <c r="QUA3" s="1" t="str" cm="1">
        <f t="array" ref="QUA3">GetValue("Dmn","Name",QUA2)</f>
        <v/>
      </c>
      <c r="QUB3" s="1" t="str" cm="1">
        <f t="array" ref="QUB3">GetValue("Dmn","Name",QUB2)</f>
        <v/>
      </c>
      <c r="QUC3" s="1" t="str" cm="1">
        <f t="array" ref="QUC3">GetValue("Dmn","Name",QUC2)</f>
        <v/>
      </c>
      <c r="QUD3" s="1" t="str" cm="1">
        <f t="array" ref="QUD3">GetValue("Dmn","Name",QUD2)</f>
        <v/>
      </c>
      <c r="QUE3" s="1" t="str" cm="1">
        <f t="array" ref="QUE3">GetValue("Dmn","Name",QUE2)</f>
        <v/>
      </c>
      <c r="QUF3" s="1" t="str" cm="1">
        <f t="array" ref="QUF3">GetValue("Dmn","Name",QUF2)</f>
        <v/>
      </c>
      <c r="QUG3" s="1" t="str" cm="1">
        <f t="array" ref="QUG3">GetValue("Dmn","Name",QUG2)</f>
        <v/>
      </c>
      <c r="QUH3" s="1" t="str" cm="1">
        <f t="array" ref="QUH3">GetValue("Dmn","Name",QUH2)</f>
        <v/>
      </c>
      <c r="QUI3" s="1" t="str" cm="1">
        <f t="array" ref="QUI3">GetValue("Dmn","Name",QUI2)</f>
        <v/>
      </c>
      <c r="QUJ3" s="1" t="str" cm="1">
        <f t="array" ref="QUJ3">GetValue("Dmn","Name",QUJ2)</f>
        <v/>
      </c>
      <c r="QUK3" s="1" t="str" cm="1">
        <f t="array" ref="QUK3">GetValue("Dmn","Name",QUK2)</f>
        <v/>
      </c>
      <c r="QUL3" s="1" t="str" cm="1">
        <f t="array" ref="QUL3">GetValue("Dmn","Name",QUL2)</f>
        <v/>
      </c>
      <c r="QUM3" s="1" t="str" cm="1">
        <f t="array" ref="QUM3">GetValue("Dmn","Name",QUM2)</f>
        <v/>
      </c>
      <c r="QUN3" s="1" t="str" cm="1">
        <f t="array" ref="QUN3">GetValue("Dmn","Name",QUN2)</f>
        <v/>
      </c>
      <c r="QUO3" s="1" t="str" cm="1">
        <f t="array" ref="QUO3">GetValue("Dmn","Name",QUO2)</f>
        <v/>
      </c>
      <c r="QUP3" s="1" t="str" cm="1">
        <f t="array" ref="QUP3">GetValue("Dmn","Name",QUP2)</f>
        <v/>
      </c>
      <c r="QUQ3" s="1" t="str" cm="1">
        <f t="array" ref="QUQ3">GetValue("Dmn","Name",QUQ2)</f>
        <v/>
      </c>
      <c r="QUR3" s="1" t="str" cm="1">
        <f t="array" ref="QUR3">GetValue("Dmn","Name",QUR2)</f>
        <v/>
      </c>
      <c r="QUS3" s="1" t="str" cm="1">
        <f t="array" ref="QUS3">GetValue("Dmn","Name",QUS2)</f>
        <v/>
      </c>
      <c r="QUT3" s="1" t="str" cm="1">
        <f t="array" ref="QUT3">GetValue("Dmn","Name",QUT2)</f>
        <v/>
      </c>
      <c r="QUU3" s="1" t="str" cm="1">
        <f t="array" ref="QUU3">GetValue("Dmn","Name",QUU2)</f>
        <v/>
      </c>
      <c r="QUV3" s="1" t="str" cm="1">
        <f t="array" ref="QUV3">GetValue("Dmn","Name",QUV2)</f>
        <v/>
      </c>
      <c r="QUW3" s="1" t="str" cm="1">
        <f t="array" ref="QUW3">GetValue("Dmn","Name",QUW2)</f>
        <v/>
      </c>
      <c r="QUX3" s="1" t="str" cm="1">
        <f t="array" ref="QUX3">GetValue("Dmn","Name",QUX2)</f>
        <v/>
      </c>
      <c r="QUY3" s="1" t="str" cm="1">
        <f t="array" ref="QUY3">GetValue("Dmn","Name",QUY2)</f>
        <v/>
      </c>
      <c r="QUZ3" s="1" t="str" cm="1">
        <f t="array" ref="QUZ3">GetValue("Dmn","Name",QUZ2)</f>
        <v/>
      </c>
      <c r="QVA3" s="1" t="str" cm="1">
        <f t="array" ref="QVA3">GetValue("Dmn","Name",QVA2)</f>
        <v/>
      </c>
      <c r="QVB3" s="1" t="str" cm="1">
        <f t="array" ref="QVB3">GetValue("Dmn","Name",QVB2)</f>
        <v/>
      </c>
      <c r="QVC3" s="1" t="str" cm="1">
        <f t="array" ref="QVC3">GetValue("Dmn","Name",QVC2)</f>
        <v/>
      </c>
      <c r="QVD3" s="1" t="str" cm="1">
        <f t="array" ref="QVD3">GetValue("Dmn","Name",QVD2)</f>
        <v/>
      </c>
      <c r="QVE3" s="1" t="str" cm="1">
        <f t="array" ref="QVE3">GetValue("Dmn","Name",QVE2)</f>
        <v/>
      </c>
      <c r="QVF3" s="1" t="str" cm="1">
        <f t="array" ref="QVF3">GetValue("Dmn","Name",QVF2)</f>
        <v/>
      </c>
      <c r="QVG3" s="1" t="str" cm="1">
        <f t="array" ref="QVG3">GetValue("Dmn","Name",QVG2)</f>
        <v/>
      </c>
      <c r="QVH3" s="1" t="str" cm="1">
        <f t="array" ref="QVH3">GetValue("Dmn","Name",QVH2)</f>
        <v/>
      </c>
      <c r="QVI3" s="1" t="str" cm="1">
        <f t="array" ref="QVI3">GetValue("Dmn","Name",QVI2)</f>
        <v/>
      </c>
      <c r="QVJ3" s="1" t="str" cm="1">
        <f t="array" ref="QVJ3">GetValue("Dmn","Name",QVJ2)</f>
        <v/>
      </c>
      <c r="QVK3" s="1" t="str" cm="1">
        <f t="array" ref="QVK3">GetValue("Dmn","Name",QVK2)</f>
        <v/>
      </c>
      <c r="QVL3" s="1" t="str" cm="1">
        <f t="array" ref="QVL3">GetValue("Dmn","Name",QVL2)</f>
        <v/>
      </c>
      <c r="QVM3" s="1" t="str" cm="1">
        <f t="array" ref="QVM3">GetValue("Dmn","Name",QVM2)</f>
        <v/>
      </c>
      <c r="QVN3" s="1" t="str" cm="1">
        <f t="array" ref="QVN3">GetValue("Dmn","Name",QVN2)</f>
        <v/>
      </c>
      <c r="QVO3" s="1" t="str" cm="1">
        <f t="array" ref="QVO3">GetValue("Dmn","Name",QVO2)</f>
        <v/>
      </c>
      <c r="QVP3" s="1" t="str" cm="1">
        <f t="array" ref="QVP3">GetValue("Dmn","Name",QVP2)</f>
        <v/>
      </c>
      <c r="QVQ3" s="1" t="str" cm="1">
        <f t="array" ref="QVQ3">GetValue("Dmn","Name",QVQ2)</f>
        <v/>
      </c>
      <c r="QVR3" s="1" t="str" cm="1">
        <f t="array" ref="QVR3">GetValue("Dmn","Name",QVR2)</f>
        <v/>
      </c>
      <c r="QVS3" s="1" t="str" cm="1">
        <f t="array" ref="QVS3">GetValue("Dmn","Name",QVS2)</f>
        <v/>
      </c>
      <c r="QVT3" s="1" t="str" cm="1">
        <f t="array" ref="QVT3">GetValue("Dmn","Name",QVT2)</f>
        <v/>
      </c>
      <c r="QVU3" s="1" t="str" cm="1">
        <f t="array" ref="QVU3">GetValue("Dmn","Name",QVU2)</f>
        <v/>
      </c>
      <c r="QVV3" s="1" t="str" cm="1">
        <f t="array" ref="QVV3">GetValue("Dmn","Name",QVV2)</f>
        <v/>
      </c>
      <c r="QVW3" s="1" t="str" cm="1">
        <f t="array" ref="QVW3">GetValue("Dmn","Name",QVW2)</f>
        <v/>
      </c>
      <c r="QVX3" s="1" t="str" cm="1">
        <f t="array" ref="QVX3">GetValue("Dmn","Name",QVX2)</f>
        <v/>
      </c>
      <c r="QVY3" s="1" t="str" cm="1">
        <f t="array" ref="QVY3">GetValue("Dmn","Name",QVY2)</f>
        <v/>
      </c>
      <c r="QVZ3" s="1" t="str" cm="1">
        <f t="array" ref="QVZ3">GetValue("Dmn","Name",QVZ2)</f>
        <v/>
      </c>
      <c r="QWA3" s="1" t="str" cm="1">
        <f t="array" ref="QWA3">GetValue("Dmn","Name",QWA2)</f>
        <v/>
      </c>
      <c r="QWB3" s="1" t="str" cm="1">
        <f t="array" ref="QWB3">GetValue("Dmn","Name",QWB2)</f>
        <v/>
      </c>
      <c r="QWC3" s="1" t="str" cm="1">
        <f t="array" ref="QWC3">GetValue("Dmn","Name",QWC2)</f>
        <v/>
      </c>
      <c r="QWD3" s="1" t="str" cm="1">
        <f t="array" ref="QWD3">GetValue("Dmn","Name",QWD2)</f>
        <v/>
      </c>
      <c r="QWE3" s="1" t="str" cm="1">
        <f t="array" ref="QWE3">GetValue("Dmn","Name",QWE2)</f>
        <v/>
      </c>
      <c r="QWF3" s="1" t="str" cm="1">
        <f t="array" ref="QWF3">GetValue("Dmn","Name",QWF2)</f>
        <v/>
      </c>
      <c r="QWG3" s="1" t="str" cm="1">
        <f t="array" ref="QWG3">GetValue("Dmn","Name",QWG2)</f>
        <v/>
      </c>
      <c r="QWH3" s="1" t="str" cm="1">
        <f t="array" ref="QWH3">GetValue("Dmn","Name",QWH2)</f>
        <v/>
      </c>
      <c r="QWI3" s="1" t="str" cm="1">
        <f t="array" ref="QWI3">GetValue("Dmn","Name",QWI2)</f>
        <v/>
      </c>
      <c r="QWJ3" s="1" t="str" cm="1">
        <f t="array" ref="QWJ3">GetValue("Dmn","Name",QWJ2)</f>
        <v/>
      </c>
      <c r="QWK3" s="1" t="str" cm="1">
        <f t="array" ref="QWK3">GetValue("Dmn","Name",QWK2)</f>
        <v/>
      </c>
      <c r="QWL3" s="1" t="str" cm="1">
        <f t="array" ref="QWL3">GetValue("Dmn","Name",QWL2)</f>
        <v/>
      </c>
      <c r="QWM3" s="1" t="str" cm="1">
        <f t="array" ref="QWM3">GetValue("Dmn","Name",QWM2)</f>
        <v/>
      </c>
      <c r="QWN3" s="1" t="str" cm="1">
        <f t="array" ref="QWN3">GetValue("Dmn","Name",QWN2)</f>
        <v/>
      </c>
      <c r="QWO3" s="1" t="str" cm="1">
        <f t="array" ref="QWO3">GetValue("Dmn","Name",QWO2)</f>
        <v/>
      </c>
      <c r="QWP3" s="1" t="str" cm="1">
        <f t="array" ref="QWP3">GetValue("Dmn","Name",QWP2)</f>
        <v/>
      </c>
      <c r="QWQ3" s="1" t="str" cm="1">
        <f t="array" ref="QWQ3">GetValue("Dmn","Name",QWQ2)</f>
        <v/>
      </c>
      <c r="QWR3" s="1" t="str" cm="1">
        <f t="array" ref="QWR3">GetValue("Dmn","Name",QWR2)</f>
        <v/>
      </c>
      <c r="QWS3" s="1" t="str" cm="1">
        <f t="array" ref="QWS3">GetValue("Dmn","Name",QWS2)</f>
        <v/>
      </c>
      <c r="QWT3" s="1" t="str" cm="1">
        <f t="array" ref="QWT3">GetValue("Dmn","Name",QWT2)</f>
        <v/>
      </c>
      <c r="QWU3" s="1" t="str" cm="1">
        <f t="array" ref="QWU3">GetValue("Dmn","Name",QWU2)</f>
        <v/>
      </c>
      <c r="QWV3" s="1" t="str" cm="1">
        <f t="array" ref="QWV3">GetValue("Dmn","Name",QWV2)</f>
        <v/>
      </c>
      <c r="QWW3" s="1" t="str" cm="1">
        <f t="array" ref="QWW3">GetValue("Dmn","Name",QWW2)</f>
        <v/>
      </c>
      <c r="QWX3" s="1" t="str" cm="1">
        <f t="array" ref="QWX3">GetValue("Dmn","Name",QWX2)</f>
        <v/>
      </c>
      <c r="QWY3" s="1" t="str" cm="1">
        <f t="array" ref="QWY3">GetValue("Dmn","Name",QWY2)</f>
        <v/>
      </c>
      <c r="QWZ3" s="1" t="str" cm="1">
        <f t="array" ref="QWZ3">GetValue("Dmn","Name",QWZ2)</f>
        <v/>
      </c>
      <c r="QXA3" s="1" t="str" cm="1">
        <f t="array" ref="QXA3">GetValue("Dmn","Name",QXA2)</f>
        <v/>
      </c>
      <c r="QXB3" s="1" t="str" cm="1">
        <f t="array" ref="QXB3">GetValue("Dmn","Name",QXB2)</f>
        <v/>
      </c>
      <c r="QXC3" s="1" t="str" cm="1">
        <f t="array" ref="QXC3">GetValue("Dmn","Name",QXC2)</f>
        <v/>
      </c>
      <c r="QXD3" s="1" t="str" cm="1">
        <f t="array" ref="QXD3">GetValue("Dmn","Name",QXD2)</f>
        <v/>
      </c>
      <c r="QXE3" s="1" t="str" cm="1">
        <f t="array" ref="QXE3">GetValue("Dmn","Name",QXE2)</f>
        <v/>
      </c>
      <c r="QXF3" s="1" t="str" cm="1">
        <f t="array" ref="QXF3">GetValue("Dmn","Name",QXF2)</f>
        <v/>
      </c>
      <c r="QXG3" s="1" t="str" cm="1">
        <f t="array" ref="QXG3">GetValue("Dmn","Name",QXG2)</f>
        <v/>
      </c>
      <c r="QXH3" s="1" t="str" cm="1">
        <f t="array" ref="QXH3">GetValue("Dmn","Name",QXH2)</f>
        <v/>
      </c>
      <c r="QXI3" s="1" t="str" cm="1">
        <f t="array" ref="QXI3">GetValue("Dmn","Name",QXI2)</f>
        <v/>
      </c>
      <c r="QXJ3" s="1" t="str" cm="1">
        <f t="array" ref="QXJ3">GetValue("Dmn","Name",QXJ2)</f>
        <v/>
      </c>
      <c r="QXK3" s="1" t="str" cm="1">
        <f t="array" ref="QXK3">GetValue("Dmn","Name",QXK2)</f>
        <v/>
      </c>
      <c r="QXL3" s="1" t="str" cm="1">
        <f t="array" ref="QXL3">GetValue("Dmn","Name",QXL2)</f>
        <v/>
      </c>
      <c r="QXM3" s="1" t="str" cm="1">
        <f t="array" ref="QXM3">GetValue("Dmn","Name",QXM2)</f>
        <v/>
      </c>
      <c r="QXN3" s="1" t="str" cm="1">
        <f t="array" ref="QXN3">GetValue("Dmn","Name",QXN2)</f>
        <v/>
      </c>
      <c r="QXO3" s="1" t="str" cm="1">
        <f t="array" ref="QXO3">GetValue("Dmn","Name",QXO2)</f>
        <v/>
      </c>
      <c r="QXP3" s="1" t="str" cm="1">
        <f t="array" ref="QXP3">GetValue("Dmn","Name",QXP2)</f>
        <v/>
      </c>
      <c r="QXQ3" s="1" t="str" cm="1">
        <f t="array" ref="QXQ3">GetValue("Dmn","Name",QXQ2)</f>
        <v/>
      </c>
      <c r="QXR3" s="1" t="str" cm="1">
        <f t="array" ref="QXR3">GetValue("Dmn","Name",QXR2)</f>
        <v/>
      </c>
      <c r="QXS3" s="1" t="str" cm="1">
        <f t="array" ref="QXS3">GetValue("Dmn","Name",QXS2)</f>
        <v/>
      </c>
      <c r="QXT3" s="1" t="str" cm="1">
        <f t="array" ref="QXT3">GetValue("Dmn","Name",QXT2)</f>
        <v/>
      </c>
      <c r="QXU3" s="1" t="str" cm="1">
        <f t="array" ref="QXU3">GetValue("Dmn","Name",QXU2)</f>
        <v/>
      </c>
      <c r="QXV3" s="1" t="str" cm="1">
        <f t="array" ref="QXV3">GetValue("Dmn","Name",QXV2)</f>
        <v/>
      </c>
      <c r="QXW3" s="1" t="str" cm="1">
        <f t="array" ref="QXW3">GetValue("Dmn","Name",QXW2)</f>
        <v/>
      </c>
      <c r="QXX3" s="1" t="str" cm="1">
        <f t="array" ref="QXX3">GetValue("Dmn","Name",QXX2)</f>
        <v/>
      </c>
      <c r="QXY3" s="1" t="str" cm="1">
        <f t="array" ref="QXY3">GetValue("Dmn","Name",QXY2)</f>
        <v/>
      </c>
      <c r="QXZ3" s="1" t="str" cm="1">
        <f t="array" ref="QXZ3">GetValue("Dmn","Name",QXZ2)</f>
        <v/>
      </c>
      <c r="QYA3" s="1" t="str" cm="1">
        <f t="array" ref="QYA3">GetValue("Dmn","Name",QYA2)</f>
        <v/>
      </c>
      <c r="QYB3" s="1" t="str" cm="1">
        <f t="array" ref="QYB3">GetValue("Dmn","Name",QYB2)</f>
        <v/>
      </c>
      <c r="QYC3" s="1" t="str" cm="1">
        <f t="array" ref="QYC3">GetValue("Dmn","Name",QYC2)</f>
        <v/>
      </c>
      <c r="QYD3" s="1" t="str" cm="1">
        <f t="array" ref="QYD3">GetValue("Dmn","Name",QYD2)</f>
        <v/>
      </c>
      <c r="QYE3" s="1" t="str" cm="1">
        <f t="array" ref="QYE3">GetValue("Dmn","Name",QYE2)</f>
        <v/>
      </c>
      <c r="QYF3" s="1" t="str" cm="1">
        <f t="array" ref="QYF3">GetValue("Dmn","Name",QYF2)</f>
        <v/>
      </c>
      <c r="QYG3" s="1" t="str" cm="1">
        <f t="array" ref="QYG3">GetValue("Dmn","Name",QYG2)</f>
        <v/>
      </c>
      <c r="QYH3" s="1" t="str" cm="1">
        <f t="array" ref="QYH3">GetValue("Dmn","Name",QYH2)</f>
        <v/>
      </c>
      <c r="QYI3" s="1" t="str" cm="1">
        <f t="array" ref="QYI3">GetValue("Dmn","Name",QYI2)</f>
        <v/>
      </c>
      <c r="QYJ3" s="1" t="str" cm="1">
        <f t="array" ref="QYJ3">GetValue("Dmn","Name",QYJ2)</f>
        <v/>
      </c>
      <c r="QYK3" s="1" t="str" cm="1">
        <f t="array" ref="QYK3">GetValue("Dmn","Name",QYK2)</f>
        <v/>
      </c>
      <c r="QYL3" s="1" t="str" cm="1">
        <f t="array" ref="QYL3">GetValue("Dmn","Name",QYL2)</f>
        <v/>
      </c>
      <c r="QYM3" s="1" t="str" cm="1">
        <f t="array" ref="QYM3">GetValue("Dmn","Name",QYM2)</f>
        <v/>
      </c>
      <c r="QYN3" s="1" t="str" cm="1">
        <f t="array" ref="QYN3">GetValue("Dmn","Name",QYN2)</f>
        <v/>
      </c>
      <c r="QYO3" s="1" t="str" cm="1">
        <f t="array" ref="QYO3">GetValue("Dmn","Name",QYO2)</f>
        <v/>
      </c>
      <c r="QYP3" s="1" t="str" cm="1">
        <f t="array" ref="QYP3">GetValue("Dmn","Name",QYP2)</f>
        <v/>
      </c>
      <c r="QYQ3" s="1" t="str" cm="1">
        <f t="array" ref="QYQ3">GetValue("Dmn","Name",QYQ2)</f>
        <v/>
      </c>
      <c r="QYR3" s="1" t="str" cm="1">
        <f t="array" ref="QYR3">GetValue("Dmn","Name",QYR2)</f>
        <v/>
      </c>
      <c r="QYS3" s="1" t="str" cm="1">
        <f t="array" ref="QYS3">GetValue("Dmn","Name",QYS2)</f>
        <v/>
      </c>
      <c r="QYT3" s="1" t="str" cm="1">
        <f t="array" ref="QYT3">GetValue("Dmn","Name",QYT2)</f>
        <v/>
      </c>
      <c r="QYU3" s="1" t="str" cm="1">
        <f t="array" ref="QYU3">GetValue("Dmn","Name",QYU2)</f>
        <v/>
      </c>
      <c r="QYV3" s="1" t="str" cm="1">
        <f t="array" ref="QYV3">GetValue("Dmn","Name",QYV2)</f>
        <v/>
      </c>
      <c r="QYW3" s="1" t="str" cm="1">
        <f t="array" ref="QYW3">GetValue("Dmn","Name",QYW2)</f>
        <v/>
      </c>
      <c r="QYX3" s="1" t="str" cm="1">
        <f t="array" ref="QYX3">GetValue("Dmn","Name",QYX2)</f>
        <v/>
      </c>
      <c r="QYY3" s="1" t="str" cm="1">
        <f t="array" ref="QYY3">GetValue("Dmn","Name",QYY2)</f>
        <v/>
      </c>
      <c r="QYZ3" s="1" t="str" cm="1">
        <f t="array" ref="QYZ3">GetValue("Dmn","Name",QYZ2)</f>
        <v/>
      </c>
      <c r="QZA3" s="1" t="str" cm="1">
        <f t="array" ref="QZA3">GetValue("Dmn","Name",QZA2)</f>
        <v/>
      </c>
      <c r="QZB3" s="1" t="str" cm="1">
        <f t="array" ref="QZB3">GetValue("Dmn","Name",QZB2)</f>
        <v/>
      </c>
      <c r="QZC3" s="1" t="str" cm="1">
        <f t="array" ref="QZC3">GetValue("Dmn","Name",QZC2)</f>
        <v/>
      </c>
      <c r="QZD3" s="1" t="str" cm="1">
        <f t="array" ref="QZD3">GetValue("Dmn","Name",QZD2)</f>
        <v/>
      </c>
      <c r="QZE3" s="1" t="str" cm="1">
        <f t="array" ref="QZE3">GetValue("Dmn","Name",QZE2)</f>
        <v/>
      </c>
      <c r="QZF3" s="1" t="str" cm="1">
        <f t="array" ref="QZF3">GetValue("Dmn","Name",QZF2)</f>
        <v/>
      </c>
      <c r="QZG3" s="1" t="str" cm="1">
        <f t="array" ref="QZG3">GetValue("Dmn","Name",QZG2)</f>
        <v/>
      </c>
      <c r="QZH3" s="1" t="str" cm="1">
        <f t="array" ref="QZH3">GetValue("Dmn","Name",QZH2)</f>
        <v/>
      </c>
      <c r="QZI3" s="1" t="str" cm="1">
        <f t="array" ref="QZI3">GetValue("Dmn","Name",QZI2)</f>
        <v/>
      </c>
      <c r="QZJ3" s="1" t="str" cm="1">
        <f t="array" ref="QZJ3">GetValue("Dmn","Name",QZJ2)</f>
        <v/>
      </c>
      <c r="QZK3" s="1" t="str" cm="1">
        <f t="array" ref="QZK3">GetValue("Dmn","Name",QZK2)</f>
        <v/>
      </c>
      <c r="QZL3" s="1" t="str" cm="1">
        <f t="array" ref="QZL3">GetValue("Dmn","Name",QZL2)</f>
        <v/>
      </c>
      <c r="QZM3" s="1" t="str" cm="1">
        <f t="array" ref="QZM3">GetValue("Dmn","Name",QZM2)</f>
        <v/>
      </c>
      <c r="QZN3" s="1" t="str" cm="1">
        <f t="array" ref="QZN3">GetValue("Dmn","Name",QZN2)</f>
        <v/>
      </c>
      <c r="QZO3" s="1" t="str" cm="1">
        <f t="array" ref="QZO3">GetValue("Dmn","Name",QZO2)</f>
        <v/>
      </c>
      <c r="QZP3" s="1" t="str" cm="1">
        <f t="array" ref="QZP3">GetValue("Dmn","Name",QZP2)</f>
        <v/>
      </c>
      <c r="QZQ3" s="1" t="str" cm="1">
        <f t="array" ref="QZQ3">GetValue("Dmn","Name",QZQ2)</f>
        <v/>
      </c>
      <c r="QZR3" s="1" t="str" cm="1">
        <f t="array" ref="QZR3">GetValue("Dmn","Name",QZR2)</f>
        <v/>
      </c>
      <c r="QZS3" s="1" t="str" cm="1">
        <f t="array" ref="QZS3">GetValue("Dmn","Name",QZS2)</f>
        <v/>
      </c>
      <c r="QZT3" s="1" t="str" cm="1">
        <f t="array" ref="QZT3">GetValue("Dmn","Name",QZT2)</f>
        <v/>
      </c>
      <c r="QZU3" s="1" t="str" cm="1">
        <f t="array" ref="QZU3">GetValue("Dmn","Name",QZU2)</f>
        <v/>
      </c>
      <c r="QZV3" s="1" t="str" cm="1">
        <f t="array" ref="QZV3">GetValue("Dmn","Name",QZV2)</f>
        <v/>
      </c>
      <c r="QZW3" s="1" t="str" cm="1">
        <f t="array" ref="QZW3">GetValue("Dmn","Name",QZW2)</f>
        <v/>
      </c>
      <c r="QZX3" s="1" t="str" cm="1">
        <f t="array" ref="QZX3">GetValue("Dmn","Name",QZX2)</f>
        <v/>
      </c>
      <c r="QZY3" s="1" t="str" cm="1">
        <f t="array" ref="QZY3">GetValue("Dmn","Name",QZY2)</f>
        <v/>
      </c>
      <c r="QZZ3" s="1" t="str" cm="1">
        <f t="array" ref="QZZ3">GetValue("Dmn","Name",QZZ2)</f>
        <v/>
      </c>
      <c r="RAA3" s="1" t="str" cm="1">
        <f t="array" ref="RAA3">GetValue("Dmn","Name",RAA2)</f>
        <v/>
      </c>
      <c r="RAB3" s="1" t="str" cm="1">
        <f t="array" ref="RAB3">GetValue("Dmn","Name",RAB2)</f>
        <v/>
      </c>
      <c r="RAC3" s="1" t="str" cm="1">
        <f t="array" ref="RAC3">GetValue("Dmn","Name",RAC2)</f>
        <v/>
      </c>
      <c r="RAD3" s="1" t="str" cm="1">
        <f t="array" ref="RAD3">GetValue("Dmn","Name",RAD2)</f>
        <v/>
      </c>
      <c r="RAE3" s="1" t="str" cm="1">
        <f t="array" ref="RAE3">GetValue("Dmn","Name",RAE2)</f>
        <v/>
      </c>
      <c r="RAF3" s="1" t="str" cm="1">
        <f t="array" ref="RAF3">GetValue("Dmn","Name",RAF2)</f>
        <v/>
      </c>
      <c r="RAG3" s="1" t="str" cm="1">
        <f t="array" ref="RAG3">GetValue("Dmn","Name",RAG2)</f>
        <v/>
      </c>
      <c r="RAH3" s="1" t="str" cm="1">
        <f t="array" ref="RAH3">GetValue("Dmn","Name",RAH2)</f>
        <v/>
      </c>
      <c r="RAI3" s="1" t="str" cm="1">
        <f t="array" ref="RAI3">GetValue("Dmn","Name",RAI2)</f>
        <v/>
      </c>
      <c r="RAJ3" s="1" t="str" cm="1">
        <f t="array" ref="RAJ3">GetValue("Dmn","Name",RAJ2)</f>
        <v/>
      </c>
      <c r="RAK3" s="1" t="str" cm="1">
        <f t="array" ref="RAK3">GetValue("Dmn","Name",RAK2)</f>
        <v/>
      </c>
      <c r="RAL3" s="1" t="str" cm="1">
        <f t="array" ref="RAL3">GetValue("Dmn","Name",RAL2)</f>
        <v/>
      </c>
      <c r="RAM3" s="1" t="str" cm="1">
        <f t="array" ref="RAM3">GetValue("Dmn","Name",RAM2)</f>
        <v/>
      </c>
      <c r="RAN3" s="1" t="str" cm="1">
        <f t="array" ref="RAN3">GetValue("Dmn","Name",RAN2)</f>
        <v/>
      </c>
      <c r="RAO3" s="1" t="str" cm="1">
        <f t="array" ref="RAO3">GetValue("Dmn","Name",RAO2)</f>
        <v/>
      </c>
      <c r="RAP3" s="1" t="str" cm="1">
        <f t="array" ref="RAP3">GetValue("Dmn","Name",RAP2)</f>
        <v/>
      </c>
      <c r="RAQ3" s="1" t="str" cm="1">
        <f t="array" ref="RAQ3">GetValue("Dmn","Name",RAQ2)</f>
        <v/>
      </c>
      <c r="RAR3" s="1" t="str" cm="1">
        <f t="array" ref="RAR3">GetValue("Dmn","Name",RAR2)</f>
        <v/>
      </c>
      <c r="RAS3" s="1" t="str" cm="1">
        <f t="array" ref="RAS3">GetValue("Dmn","Name",RAS2)</f>
        <v/>
      </c>
      <c r="RAT3" s="1" t="str" cm="1">
        <f t="array" ref="RAT3">GetValue("Dmn","Name",RAT2)</f>
        <v/>
      </c>
      <c r="RAU3" s="1" t="str" cm="1">
        <f t="array" ref="RAU3">GetValue("Dmn","Name",RAU2)</f>
        <v/>
      </c>
      <c r="RAV3" s="1" t="str" cm="1">
        <f t="array" ref="RAV3">GetValue("Dmn","Name",RAV2)</f>
        <v/>
      </c>
      <c r="RAW3" s="1" t="str" cm="1">
        <f t="array" ref="RAW3">GetValue("Dmn","Name",RAW2)</f>
        <v/>
      </c>
      <c r="RAX3" s="1" t="str" cm="1">
        <f t="array" ref="RAX3">GetValue("Dmn","Name",RAX2)</f>
        <v/>
      </c>
      <c r="RAY3" s="1" t="str" cm="1">
        <f t="array" ref="RAY3">GetValue("Dmn","Name",RAY2)</f>
        <v/>
      </c>
      <c r="RAZ3" s="1" t="str" cm="1">
        <f t="array" ref="RAZ3">GetValue("Dmn","Name",RAZ2)</f>
        <v/>
      </c>
      <c r="RBA3" s="1" t="str" cm="1">
        <f t="array" ref="RBA3">GetValue("Dmn","Name",RBA2)</f>
        <v/>
      </c>
      <c r="RBB3" s="1" t="str" cm="1">
        <f t="array" ref="RBB3">GetValue("Dmn","Name",RBB2)</f>
        <v/>
      </c>
      <c r="RBC3" s="1" t="str" cm="1">
        <f t="array" ref="RBC3">GetValue("Dmn","Name",RBC2)</f>
        <v/>
      </c>
      <c r="RBD3" s="1" t="str" cm="1">
        <f t="array" ref="RBD3">GetValue("Dmn","Name",RBD2)</f>
        <v/>
      </c>
      <c r="RBE3" s="1" t="str" cm="1">
        <f t="array" ref="RBE3">GetValue("Dmn","Name",RBE2)</f>
        <v/>
      </c>
      <c r="RBF3" s="1" t="str" cm="1">
        <f t="array" ref="RBF3">GetValue("Dmn","Name",RBF2)</f>
        <v/>
      </c>
      <c r="RBG3" s="1" t="str" cm="1">
        <f t="array" ref="RBG3">GetValue("Dmn","Name",RBG2)</f>
        <v/>
      </c>
      <c r="RBH3" s="1" t="str" cm="1">
        <f t="array" ref="RBH3">GetValue("Dmn","Name",RBH2)</f>
        <v/>
      </c>
      <c r="RBI3" s="1" t="str" cm="1">
        <f t="array" ref="RBI3">GetValue("Dmn","Name",RBI2)</f>
        <v/>
      </c>
      <c r="RBJ3" s="1" t="str" cm="1">
        <f t="array" ref="RBJ3">GetValue("Dmn","Name",RBJ2)</f>
        <v/>
      </c>
      <c r="RBK3" s="1" t="str" cm="1">
        <f t="array" ref="RBK3">GetValue("Dmn","Name",RBK2)</f>
        <v/>
      </c>
      <c r="RBL3" s="1" t="str" cm="1">
        <f t="array" ref="RBL3">GetValue("Dmn","Name",RBL2)</f>
        <v/>
      </c>
      <c r="RBM3" s="1" t="str" cm="1">
        <f t="array" ref="RBM3">GetValue("Dmn","Name",RBM2)</f>
        <v/>
      </c>
      <c r="RBN3" s="1" t="str" cm="1">
        <f t="array" ref="RBN3">GetValue("Dmn","Name",RBN2)</f>
        <v/>
      </c>
      <c r="RBO3" s="1" t="str" cm="1">
        <f t="array" ref="RBO3">GetValue("Dmn","Name",RBO2)</f>
        <v/>
      </c>
      <c r="RBP3" s="1" t="str" cm="1">
        <f t="array" ref="RBP3">GetValue("Dmn","Name",RBP2)</f>
        <v/>
      </c>
      <c r="RBQ3" s="1" t="str" cm="1">
        <f t="array" ref="RBQ3">GetValue("Dmn","Name",RBQ2)</f>
        <v/>
      </c>
      <c r="RBR3" s="1" t="str" cm="1">
        <f t="array" ref="RBR3">GetValue("Dmn","Name",RBR2)</f>
        <v/>
      </c>
      <c r="RBS3" s="1" t="str" cm="1">
        <f t="array" ref="RBS3">GetValue("Dmn","Name",RBS2)</f>
        <v/>
      </c>
      <c r="RBT3" s="1" t="str" cm="1">
        <f t="array" ref="RBT3">GetValue("Dmn","Name",RBT2)</f>
        <v/>
      </c>
      <c r="RBU3" s="1" t="str" cm="1">
        <f t="array" ref="RBU3">GetValue("Dmn","Name",RBU2)</f>
        <v/>
      </c>
      <c r="RBV3" s="1" t="str" cm="1">
        <f t="array" ref="RBV3">GetValue("Dmn","Name",RBV2)</f>
        <v/>
      </c>
      <c r="RBW3" s="1" t="str" cm="1">
        <f t="array" ref="RBW3">GetValue("Dmn","Name",RBW2)</f>
        <v/>
      </c>
      <c r="RBX3" s="1" t="str" cm="1">
        <f t="array" ref="RBX3">GetValue("Dmn","Name",RBX2)</f>
        <v/>
      </c>
      <c r="RBY3" s="1" t="str" cm="1">
        <f t="array" ref="RBY3">GetValue("Dmn","Name",RBY2)</f>
        <v/>
      </c>
      <c r="RBZ3" s="1" t="str" cm="1">
        <f t="array" ref="RBZ3">GetValue("Dmn","Name",RBZ2)</f>
        <v/>
      </c>
      <c r="RCA3" s="1" t="str" cm="1">
        <f t="array" ref="RCA3">GetValue("Dmn","Name",RCA2)</f>
        <v/>
      </c>
      <c r="RCB3" s="1" t="str" cm="1">
        <f t="array" ref="RCB3">GetValue("Dmn","Name",RCB2)</f>
        <v/>
      </c>
      <c r="RCC3" s="1" t="str" cm="1">
        <f t="array" ref="RCC3">GetValue("Dmn","Name",RCC2)</f>
        <v/>
      </c>
      <c r="RCD3" s="1" t="str" cm="1">
        <f t="array" ref="RCD3">GetValue("Dmn","Name",RCD2)</f>
        <v/>
      </c>
      <c r="RCE3" s="1" t="str" cm="1">
        <f t="array" ref="RCE3">GetValue("Dmn","Name",RCE2)</f>
        <v/>
      </c>
      <c r="RCF3" s="1" t="str" cm="1">
        <f t="array" ref="RCF3">GetValue("Dmn","Name",RCF2)</f>
        <v/>
      </c>
      <c r="RCG3" s="1" t="str" cm="1">
        <f t="array" ref="RCG3">GetValue("Dmn","Name",RCG2)</f>
        <v/>
      </c>
      <c r="RCH3" s="1" t="str" cm="1">
        <f t="array" ref="RCH3">GetValue("Dmn","Name",RCH2)</f>
        <v/>
      </c>
      <c r="RCI3" s="1" t="str" cm="1">
        <f t="array" ref="RCI3">GetValue("Dmn","Name",RCI2)</f>
        <v/>
      </c>
      <c r="RCJ3" s="1" t="str" cm="1">
        <f t="array" ref="RCJ3">GetValue("Dmn","Name",RCJ2)</f>
        <v/>
      </c>
      <c r="RCK3" s="1" t="str" cm="1">
        <f t="array" ref="RCK3">GetValue("Dmn","Name",RCK2)</f>
        <v/>
      </c>
      <c r="RCL3" s="1" t="str" cm="1">
        <f t="array" ref="RCL3">GetValue("Dmn","Name",RCL2)</f>
        <v/>
      </c>
      <c r="RCM3" s="1" t="str" cm="1">
        <f t="array" ref="RCM3">GetValue("Dmn","Name",RCM2)</f>
        <v/>
      </c>
      <c r="RCN3" s="1" t="str" cm="1">
        <f t="array" ref="RCN3">GetValue("Dmn","Name",RCN2)</f>
        <v/>
      </c>
      <c r="RCO3" s="1" t="str" cm="1">
        <f t="array" ref="RCO3">GetValue("Dmn","Name",RCO2)</f>
        <v/>
      </c>
      <c r="RCP3" s="1" t="str" cm="1">
        <f t="array" ref="RCP3">GetValue("Dmn","Name",RCP2)</f>
        <v/>
      </c>
      <c r="RCQ3" s="1" t="str" cm="1">
        <f t="array" ref="RCQ3">GetValue("Dmn","Name",RCQ2)</f>
        <v/>
      </c>
      <c r="RCR3" s="1" t="str" cm="1">
        <f t="array" ref="RCR3">GetValue("Dmn","Name",RCR2)</f>
        <v/>
      </c>
      <c r="RCS3" s="1" t="str" cm="1">
        <f t="array" ref="RCS3">GetValue("Dmn","Name",RCS2)</f>
        <v/>
      </c>
      <c r="RCT3" s="1" t="str" cm="1">
        <f t="array" ref="RCT3">GetValue("Dmn","Name",RCT2)</f>
        <v/>
      </c>
      <c r="RCU3" s="1" t="str" cm="1">
        <f t="array" ref="RCU3">GetValue("Dmn","Name",RCU2)</f>
        <v/>
      </c>
      <c r="RCV3" s="1" t="str" cm="1">
        <f t="array" ref="RCV3">GetValue("Dmn","Name",RCV2)</f>
        <v/>
      </c>
      <c r="RCW3" s="1" t="str" cm="1">
        <f t="array" ref="RCW3">GetValue("Dmn","Name",RCW2)</f>
        <v/>
      </c>
      <c r="RCX3" s="1" t="str" cm="1">
        <f t="array" ref="RCX3">GetValue("Dmn","Name",RCX2)</f>
        <v/>
      </c>
      <c r="RCY3" s="1" t="str" cm="1">
        <f t="array" ref="RCY3">GetValue("Dmn","Name",RCY2)</f>
        <v/>
      </c>
      <c r="RCZ3" s="1" t="str" cm="1">
        <f t="array" ref="RCZ3">GetValue("Dmn","Name",RCZ2)</f>
        <v/>
      </c>
      <c r="RDA3" s="1" t="str" cm="1">
        <f t="array" ref="RDA3">GetValue("Dmn","Name",RDA2)</f>
        <v/>
      </c>
      <c r="RDB3" s="1" t="str" cm="1">
        <f t="array" ref="RDB3">GetValue("Dmn","Name",RDB2)</f>
        <v/>
      </c>
      <c r="RDC3" s="1" t="str" cm="1">
        <f t="array" ref="RDC3">GetValue("Dmn","Name",RDC2)</f>
        <v/>
      </c>
      <c r="RDD3" s="1" t="str" cm="1">
        <f t="array" ref="RDD3">GetValue("Dmn","Name",RDD2)</f>
        <v/>
      </c>
      <c r="RDE3" s="1" t="str" cm="1">
        <f t="array" ref="RDE3">GetValue("Dmn","Name",RDE2)</f>
        <v/>
      </c>
      <c r="RDF3" s="1" t="str" cm="1">
        <f t="array" ref="RDF3">GetValue("Dmn","Name",RDF2)</f>
        <v/>
      </c>
      <c r="RDG3" s="1" t="str" cm="1">
        <f t="array" ref="RDG3">GetValue("Dmn","Name",RDG2)</f>
        <v/>
      </c>
      <c r="RDH3" s="1" t="str" cm="1">
        <f t="array" ref="RDH3">GetValue("Dmn","Name",RDH2)</f>
        <v/>
      </c>
      <c r="RDI3" s="1" t="str" cm="1">
        <f t="array" ref="RDI3">GetValue("Dmn","Name",RDI2)</f>
        <v/>
      </c>
      <c r="RDJ3" s="1" t="str" cm="1">
        <f t="array" ref="RDJ3">GetValue("Dmn","Name",RDJ2)</f>
        <v/>
      </c>
      <c r="RDK3" s="1" t="str" cm="1">
        <f t="array" ref="RDK3">GetValue("Dmn","Name",RDK2)</f>
        <v/>
      </c>
      <c r="RDL3" s="1" t="str" cm="1">
        <f t="array" ref="RDL3">GetValue("Dmn","Name",RDL2)</f>
        <v/>
      </c>
      <c r="RDM3" s="1" t="str" cm="1">
        <f t="array" ref="RDM3">GetValue("Dmn","Name",RDM2)</f>
        <v/>
      </c>
      <c r="RDN3" s="1" t="str" cm="1">
        <f t="array" ref="RDN3">GetValue("Dmn","Name",RDN2)</f>
        <v/>
      </c>
      <c r="RDO3" s="1" t="str" cm="1">
        <f t="array" ref="RDO3">GetValue("Dmn","Name",RDO2)</f>
        <v/>
      </c>
      <c r="RDP3" s="1" t="str" cm="1">
        <f t="array" ref="RDP3">GetValue("Dmn","Name",RDP2)</f>
        <v/>
      </c>
      <c r="RDQ3" s="1" t="str" cm="1">
        <f t="array" ref="RDQ3">GetValue("Dmn","Name",RDQ2)</f>
        <v/>
      </c>
      <c r="RDR3" s="1" t="str" cm="1">
        <f t="array" ref="RDR3">GetValue("Dmn","Name",RDR2)</f>
        <v/>
      </c>
      <c r="RDS3" s="1" t="str" cm="1">
        <f t="array" ref="RDS3">GetValue("Dmn","Name",RDS2)</f>
        <v/>
      </c>
      <c r="RDT3" s="1" t="str" cm="1">
        <f t="array" ref="RDT3">GetValue("Dmn","Name",RDT2)</f>
        <v/>
      </c>
      <c r="RDU3" s="1" t="str" cm="1">
        <f t="array" ref="RDU3">GetValue("Dmn","Name",RDU2)</f>
        <v/>
      </c>
      <c r="RDV3" s="1" t="str" cm="1">
        <f t="array" ref="RDV3">GetValue("Dmn","Name",RDV2)</f>
        <v/>
      </c>
      <c r="RDW3" s="1" t="str" cm="1">
        <f t="array" ref="RDW3">GetValue("Dmn","Name",RDW2)</f>
        <v/>
      </c>
      <c r="RDX3" s="1" t="str" cm="1">
        <f t="array" ref="RDX3">GetValue("Dmn","Name",RDX2)</f>
        <v/>
      </c>
      <c r="RDY3" s="1" t="str" cm="1">
        <f t="array" ref="RDY3">GetValue("Dmn","Name",RDY2)</f>
        <v/>
      </c>
      <c r="RDZ3" s="1" t="str" cm="1">
        <f t="array" ref="RDZ3">GetValue("Dmn","Name",RDZ2)</f>
        <v/>
      </c>
      <c r="REA3" s="1" t="str" cm="1">
        <f t="array" ref="REA3">GetValue("Dmn","Name",REA2)</f>
        <v/>
      </c>
      <c r="REB3" s="1" t="str" cm="1">
        <f t="array" ref="REB3">GetValue("Dmn","Name",REB2)</f>
        <v/>
      </c>
      <c r="REC3" s="1" t="str" cm="1">
        <f t="array" ref="REC3">GetValue("Dmn","Name",REC2)</f>
        <v/>
      </c>
      <c r="RED3" s="1" t="str" cm="1">
        <f t="array" ref="RED3">GetValue("Dmn","Name",RED2)</f>
        <v/>
      </c>
      <c r="REE3" s="1" t="str" cm="1">
        <f t="array" ref="REE3">GetValue("Dmn","Name",REE2)</f>
        <v/>
      </c>
      <c r="REF3" s="1" t="str" cm="1">
        <f t="array" ref="REF3">GetValue("Dmn","Name",REF2)</f>
        <v/>
      </c>
      <c r="REG3" s="1" t="str" cm="1">
        <f t="array" ref="REG3">GetValue("Dmn","Name",REG2)</f>
        <v/>
      </c>
      <c r="REH3" s="1" t="str" cm="1">
        <f t="array" ref="REH3">GetValue("Dmn","Name",REH2)</f>
        <v/>
      </c>
      <c r="REI3" s="1" t="str" cm="1">
        <f t="array" ref="REI3">GetValue("Dmn","Name",REI2)</f>
        <v/>
      </c>
      <c r="REJ3" s="1" t="str" cm="1">
        <f t="array" ref="REJ3">GetValue("Dmn","Name",REJ2)</f>
        <v/>
      </c>
      <c r="REK3" s="1" t="str" cm="1">
        <f t="array" ref="REK3">GetValue("Dmn","Name",REK2)</f>
        <v/>
      </c>
      <c r="REL3" s="1" t="str" cm="1">
        <f t="array" ref="REL3">GetValue("Dmn","Name",REL2)</f>
        <v/>
      </c>
      <c r="REM3" s="1" t="str" cm="1">
        <f t="array" ref="REM3">GetValue("Dmn","Name",REM2)</f>
        <v/>
      </c>
      <c r="REN3" s="1" t="str" cm="1">
        <f t="array" ref="REN3">GetValue("Dmn","Name",REN2)</f>
        <v/>
      </c>
      <c r="REO3" s="1" t="str" cm="1">
        <f t="array" ref="REO3">GetValue("Dmn","Name",REO2)</f>
        <v/>
      </c>
      <c r="REP3" s="1" t="str" cm="1">
        <f t="array" ref="REP3">GetValue("Dmn","Name",REP2)</f>
        <v/>
      </c>
      <c r="REQ3" s="1" t="str" cm="1">
        <f t="array" ref="REQ3">GetValue("Dmn","Name",REQ2)</f>
        <v/>
      </c>
      <c r="RER3" s="1" t="str" cm="1">
        <f t="array" ref="RER3">GetValue("Dmn","Name",RER2)</f>
        <v/>
      </c>
      <c r="RES3" s="1" t="str" cm="1">
        <f t="array" ref="RES3">GetValue("Dmn","Name",RES2)</f>
        <v/>
      </c>
      <c r="RET3" s="1" t="str" cm="1">
        <f t="array" ref="RET3">GetValue("Dmn","Name",RET2)</f>
        <v/>
      </c>
      <c r="REU3" s="1" t="str" cm="1">
        <f t="array" ref="REU3">GetValue("Dmn","Name",REU2)</f>
        <v/>
      </c>
      <c r="REV3" s="1" t="str" cm="1">
        <f t="array" ref="REV3">GetValue("Dmn","Name",REV2)</f>
        <v/>
      </c>
      <c r="REW3" s="1" t="str" cm="1">
        <f t="array" ref="REW3">GetValue("Dmn","Name",REW2)</f>
        <v/>
      </c>
      <c r="REX3" s="1" t="str" cm="1">
        <f t="array" ref="REX3">GetValue("Dmn","Name",REX2)</f>
        <v/>
      </c>
      <c r="REY3" s="1" t="str" cm="1">
        <f t="array" ref="REY3">GetValue("Dmn","Name",REY2)</f>
        <v/>
      </c>
      <c r="REZ3" s="1" t="str" cm="1">
        <f t="array" ref="REZ3">GetValue("Dmn","Name",REZ2)</f>
        <v/>
      </c>
      <c r="RFA3" s="1" t="str" cm="1">
        <f t="array" ref="RFA3">GetValue("Dmn","Name",RFA2)</f>
        <v/>
      </c>
      <c r="RFB3" s="1" t="str" cm="1">
        <f t="array" ref="RFB3">GetValue("Dmn","Name",RFB2)</f>
        <v/>
      </c>
      <c r="RFC3" s="1" t="str" cm="1">
        <f t="array" ref="RFC3">GetValue("Dmn","Name",RFC2)</f>
        <v/>
      </c>
      <c r="RFD3" s="1" t="str" cm="1">
        <f t="array" ref="RFD3">GetValue("Dmn","Name",RFD2)</f>
        <v/>
      </c>
      <c r="RFE3" s="1" t="str" cm="1">
        <f t="array" ref="RFE3">GetValue("Dmn","Name",RFE2)</f>
        <v/>
      </c>
      <c r="RFF3" s="1" t="str" cm="1">
        <f t="array" ref="RFF3">GetValue("Dmn","Name",RFF2)</f>
        <v/>
      </c>
      <c r="RFG3" s="1" t="str" cm="1">
        <f t="array" ref="RFG3">GetValue("Dmn","Name",RFG2)</f>
        <v/>
      </c>
      <c r="RFH3" s="1" t="str" cm="1">
        <f t="array" ref="RFH3">GetValue("Dmn","Name",RFH2)</f>
        <v/>
      </c>
      <c r="RFI3" s="1" t="str" cm="1">
        <f t="array" ref="RFI3">GetValue("Dmn","Name",RFI2)</f>
        <v/>
      </c>
      <c r="RFJ3" s="1" t="str" cm="1">
        <f t="array" ref="RFJ3">GetValue("Dmn","Name",RFJ2)</f>
        <v/>
      </c>
      <c r="RFK3" s="1" t="str" cm="1">
        <f t="array" ref="RFK3">GetValue("Dmn","Name",RFK2)</f>
        <v/>
      </c>
      <c r="RFL3" s="1" t="str" cm="1">
        <f t="array" ref="RFL3">GetValue("Dmn","Name",RFL2)</f>
        <v/>
      </c>
      <c r="RFM3" s="1" t="str" cm="1">
        <f t="array" ref="RFM3">GetValue("Dmn","Name",RFM2)</f>
        <v/>
      </c>
      <c r="RFN3" s="1" t="str" cm="1">
        <f t="array" ref="RFN3">GetValue("Dmn","Name",RFN2)</f>
        <v/>
      </c>
      <c r="RFO3" s="1" t="str" cm="1">
        <f t="array" ref="RFO3">GetValue("Dmn","Name",RFO2)</f>
        <v/>
      </c>
      <c r="RFP3" s="1" t="str" cm="1">
        <f t="array" ref="RFP3">GetValue("Dmn","Name",RFP2)</f>
        <v/>
      </c>
      <c r="RFQ3" s="1" t="str" cm="1">
        <f t="array" ref="RFQ3">GetValue("Dmn","Name",RFQ2)</f>
        <v/>
      </c>
      <c r="RFR3" s="1" t="str" cm="1">
        <f t="array" ref="RFR3">GetValue("Dmn","Name",RFR2)</f>
        <v/>
      </c>
      <c r="RFS3" s="1" t="str" cm="1">
        <f t="array" ref="RFS3">GetValue("Dmn","Name",RFS2)</f>
        <v/>
      </c>
      <c r="RFT3" s="1" t="str" cm="1">
        <f t="array" ref="RFT3">GetValue("Dmn","Name",RFT2)</f>
        <v/>
      </c>
      <c r="RFU3" s="1" t="str" cm="1">
        <f t="array" ref="RFU3">GetValue("Dmn","Name",RFU2)</f>
        <v/>
      </c>
      <c r="RFV3" s="1" t="str" cm="1">
        <f t="array" ref="RFV3">GetValue("Dmn","Name",RFV2)</f>
        <v/>
      </c>
      <c r="RFW3" s="1" t="str" cm="1">
        <f t="array" ref="RFW3">GetValue("Dmn","Name",RFW2)</f>
        <v/>
      </c>
      <c r="RFX3" s="1" t="str" cm="1">
        <f t="array" ref="RFX3">GetValue("Dmn","Name",RFX2)</f>
        <v/>
      </c>
      <c r="RFY3" s="1" t="str" cm="1">
        <f t="array" ref="RFY3">GetValue("Dmn","Name",RFY2)</f>
        <v/>
      </c>
      <c r="RFZ3" s="1" t="str" cm="1">
        <f t="array" ref="RFZ3">GetValue("Dmn","Name",RFZ2)</f>
        <v/>
      </c>
      <c r="RGA3" s="1" t="str" cm="1">
        <f t="array" ref="RGA3">GetValue("Dmn","Name",RGA2)</f>
        <v/>
      </c>
      <c r="RGB3" s="1" t="str" cm="1">
        <f t="array" ref="RGB3">GetValue("Dmn","Name",RGB2)</f>
        <v/>
      </c>
      <c r="RGC3" s="1" t="str" cm="1">
        <f t="array" ref="RGC3">GetValue("Dmn","Name",RGC2)</f>
        <v/>
      </c>
      <c r="RGD3" s="1" t="str" cm="1">
        <f t="array" ref="RGD3">GetValue("Dmn","Name",RGD2)</f>
        <v/>
      </c>
      <c r="RGE3" s="1" t="str" cm="1">
        <f t="array" ref="RGE3">GetValue("Dmn","Name",RGE2)</f>
        <v/>
      </c>
      <c r="RGF3" s="1" t="str" cm="1">
        <f t="array" ref="RGF3">GetValue("Dmn","Name",RGF2)</f>
        <v/>
      </c>
      <c r="RGG3" s="1" t="str" cm="1">
        <f t="array" ref="RGG3">GetValue("Dmn","Name",RGG2)</f>
        <v/>
      </c>
      <c r="RGH3" s="1" t="str" cm="1">
        <f t="array" ref="RGH3">GetValue("Dmn","Name",RGH2)</f>
        <v/>
      </c>
      <c r="RGI3" s="1" t="str" cm="1">
        <f t="array" ref="RGI3">GetValue("Dmn","Name",RGI2)</f>
        <v/>
      </c>
      <c r="RGJ3" s="1" t="str" cm="1">
        <f t="array" ref="RGJ3">GetValue("Dmn","Name",RGJ2)</f>
        <v/>
      </c>
      <c r="RGK3" s="1" t="str" cm="1">
        <f t="array" ref="RGK3">GetValue("Dmn","Name",RGK2)</f>
        <v/>
      </c>
      <c r="RGL3" s="1" t="str" cm="1">
        <f t="array" ref="RGL3">GetValue("Dmn","Name",RGL2)</f>
        <v/>
      </c>
      <c r="RGM3" s="1" t="str" cm="1">
        <f t="array" ref="RGM3">GetValue("Dmn","Name",RGM2)</f>
        <v/>
      </c>
      <c r="RGN3" s="1" t="str" cm="1">
        <f t="array" ref="RGN3">GetValue("Dmn","Name",RGN2)</f>
        <v/>
      </c>
      <c r="RGO3" s="1" t="str" cm="1">
        <f t="array" ref="RGO3">GetValue("Dmn","Name",RGO2)</f>
        <v/>
      </c>
      <c r="RGP3" s="1" t="str" cm="1">
        <f t="array" ref="RGP3">GetValue("Dmn","Name",RGP2)</f>
        <v/>
      </c>
      <c r="RGQ3" s="1" t="str" cm="1">
        <f t="array" ref="RGQ3">GetValue("Dmn","Name",RGQ2)</f>
        <v/>
      </c>
      <c r="RGR3" s="1" t="str" cm="1">
        <f t="array" ref="RGR3">GetValue("Dmn","Name",RGR2)</f>
        <v/>
      </c>
      <c r="RGS3" s="1" t="str" cm="1">
        <f t="array" ref="RGS3">GetValue("Dmn","Name",RGS2)</f>
        <v/>
      </c>
      <c r="RGT3" s="1" t="str" cm="1">
        <f t="array" ref="RGT3">GetValue("Dmn","Name",RGT2)</f>
        <v/>
      </c>
      <c r="RGU3" s="1" t="str" cm="1">
        <f t="array" ref="RGU3">GetValue("Dmn","Name",RGU2)</f>
        <v/>
      </c>
      <c r="RGV3" s="1" t="str" cm="1">
        <f t="array" ref="RGV3">GetValue("Dmn","Name",RGV2)</f>
        <v/>
      </c>
      <c r="RGW3" s="1" t="str" cm="1">
        <f t="array" ref="RGW3">GetValue("Dmn","Name",RGW2)</f>
        <v/>
      </c>
      <c r="RGX3" s="1" t="str" cm="1">
        <f t="array" ref="RGX3">GetValue("Dmn","Name",RGX2)</f>
        <v/>
      </c>
      <c r="RGY3" s="1" t="str" cm="1">
        <f t="array" ref="RGY3">GetValue("Dmn","Name",RGY2)</f>
        <v/>
      </c>
      <c r="RGZ3" s="1" t="str" cm="1">
        <f t="array" ref="RGZ3">GetValue("Dmn","Name",RGZ2)</f>
        <v/>
      </c>
      <c r="RHA3" s="1" t="str" cm="1">
        <f t="array" ref="RHA3">GetValue("Dmn","Name",RHA2)</f>
        <v/>
      </c>
      <c r="RHB3" s="1" t="str" cm="1">
        <f t="array" ref="RHB3">GetValue("Dmn","Name",RHB2)</f>
        <v/>
      </c>
      <c r="RHC3" s="1" t="str" cm="1">
        <f t="array" ref="RHC3">GetValue("Dmn","Name",RHC2)</f>
        <v/>
      </c>
      <c r="RHD3" s="1" t="str" cm="1">
        <f t="array" ref="RHD3">GetValue("Dmn","Name",RHD2)</f>
        <v/>
      </c>
      <c r="RHE3" s="1" t="str" cm="1">
        <f t="array" ref="RHE3">GetValue("Dmn","Name",RHE2)</f>
        <v/>
      </c>
      <c r="RHF3" s="1" t="str" cm="1">
        <f t="array" ref="RHF3">GetValue("Dmn","Name",RHF2)</f>
        <v/>
      </c>
      <c r="RHG3" s="1" t="str" cm="1">
        <f t="array" ref="RHG3">GetValue("Dmn","Name",RHG2)</f>
        <v/>
      </c>
      <c r="RHH3" s="1" t="str" cm="1">
        <f t="array" ref="RHH3">GetValue("Dmn","Name",RHH2)</f>
        <v/>
      </c>
      <c r="RHI3" s="1" t="str" cm="1">
        <f t="array" ref="RHI3">GetValue("Dmn","Name",RHI2)</f>
        <v/>
      </c>
      <c r="RHJ3" s="1" t="str" cm="1">
        <f t="array" ref="RHJ3">GetValue("Dmn","Name",RHJ2)</f>
        <v/>
      </c>
      <c r="RHK3" s="1" t="str" cm="1">
        <f t="array" ref="RHK3">GetValue("Dmn","Name",RHK2)</f>
        <v/>
      </c>
      <c r="RHL3" s="1" t="str" cm="1">
        <f t="array" ref="RHL3">GetValue("Dmn","Name",RHL2)</f>
        <v/>
      </c>
      <c r="RHM3" s="1" t="str" cm="1">
        <f t="array" ref="RHM3">GetValue("Dmn","Name",RHM2)</f>
        <v/>
      </c>
      <c r="RHN3" s="1" t="str" cm="1">
        <f t="array" ref="RHN3">GetValue("Dmn","Name",RHN2)</f>
        <v/>
      </c>
      <c r="RHO3" s="1" t="str" cm="1">
        <f t="array" ref="RHO3">GetValue("Dmn","Name",RHO2)</f>
        <v/>
      </c>
      <c r="RHP3" s="1" t="str" cm="1">
        <f t="array" ref="RHP3">GetValue("Dmn","Name",RHP2)</f>
        <v/>
      </c>
      <c r="RHQ3" s="1" t="str" cm="1">
        <f t="array" ref="RHQ3">GetValue("Dmn","Name",RHQ2)</f>
        <v/>
      </c>
      <c r="RHR3" s="1" t="str" cm="1">
        <f t="array" ref="RHR3">GetValue("Dmn","Name",RHR2)</f>
        <v/>
      </c>
      <c r="RHS3" s="1" t="str" cm="1">
        <f t="array" ref="RHS3">GetValue("Dmn","Name",RHS2)</f>
        <v/>
      </c>
      <c r="RHT3" s="1" t="str" cm="1">
        <f t="array" ref="RHT3">GetValue("Dmn","Name",RHT2)</f>
        <v/>
      </c>
      <c r="RHU3" s="1" t="str" cm="1">
        <f t="array" ref="RHU3">GetValue("Dmn","Name",RHU2)</f>
        <v/>
      </c>
      <c r="RHV3" s="1" t="str" cm="1">
        <f t="array" ref="RHV3">GetValue("Dmn","Name",RHV2)</f>
        <v/>
      </c>
      <c r="RHW3" s="1" t="str" cm="1">
        <f t="array" ref="RHW3">GetValue("Dmn","Name",RHW2)</f>
        <v/>
      </c>
      <c r="RHX3" s="1" t="str" cm="1">
        <f t="array" ref="RHX3">GetValue("Dmn","Name",RHX2)</f>
        <v/>
      </c>
      <c r="RHY3" s="1" t="str" cm="1">
        <f t="array" ref="RHY3">GetValue("Dmn","Name",RHY2)</f>
        <v/>
      </c>
      <c r="RHZ3" s="1" t="str" cm="1">
        <f t="array" ref="RHZ3">GetValue("Dmn","Name",RHZ2)</f>
        <v/>
      </c>
      <c r="RIA3" s="1" t="str" cm="1">
        <f t="array" ref="RIA3">GetValue("Dmn","Name",RIA2)</f>
        <v/>
      </c>
      <c r="RIB3" s="1" t="str" cm="1">
        <f t="array" ref="RIB3">GetValue("Dmn","Name",RIB2)</f>
        <v/>
      </c>
      <c r="RIC3" s="1" t="str" cm="1">
        <f t="array" ref="RIC3">GetValue("Dmn","Name",RIC2)</f>
        <v/>
      </c>
      <c r="RID3" s="1" t="str" cm="1">
        <f t="array" ref="RID3">GetValue("Dmn","Name",RID2)</f>
        <v/>
      </c>
      <c r="RIE3" s="1" t="str" cm="1">
        <f t="array" ref="RIE3">GetValue("Dmn","Name",RIE2)</f>
        <v/>
      </c>
      <c r="RIF3" s="1" t="str" cm="1">
        <f t="array" ref="RIF3">GetValue("Dmn","Name",RIF2)</f>
        <v/>
      </c>
      <c r="RIG3" s="1" t="str" cm="1">
        <f t="array" ref="RIG3">GetValue("Dmn","Name",RIG2)</f>
        <v/>
      </c>
      <c r="RIH3" s="1" t="str" cm="1">
        <f t="array" ref="RIH3">GetValue("Dmn","Name",RIH2)</f>
        <v/>
      </c>
      <c r="RII3" s="1" t="str" cm="1">
        <f t="array" ref="RII3">GetValue("Dmn","Name",RII2)</f>
        <v/>
      </c>
      <c r="RIJ3" s="1" t="str" cm="1">
        <f t="array" ref="RIJ3">GetValue("Dmn","Name",RIJ2)</f>
        <v/>
      </c>
      <c r="RIK3" s="1" t="str" cm="1">
        <f t="array" ref="RIK3">GetValue("Dmn","Name",RIK2)</f>
        <v/>
      </c>
      <c r="RIL3" s="1" t="str" cm="1">
        <f t="array" ref="RIL3">GetValue("Dmn","Name",RIL2)</f>
        <v/>
      </c>
      <c r="RIM3" s="1" t="str" cm="1">
        <f t="array" ref="RIM3">GetValue("Dmn","Name",RIM2)</f>
        <v/>
      </c>
      <c r="RIN3" s="1" t="str" cm="1">
        <f t="array" ref="RIN3">GetValue("Dmn","Name",RIN2)</f>
        <v/>
      </c>
      <c r="RIO3" s="1" t="str" cm="1">
        <f t="array" ref="RIO3">GetValue("Dmn","Name",RIO2)</f>
        <v/>
      </c>
      <c r="RIP3" s="1" t="str" cm="1">
        <f t="array" ref="RIP3">GetValue("Dmn","Name",RIP2)</f>
        <v/>
      </c>
      <c r="RIQ3" s="1" t="str" cm="1">
        <f t="array" ref="RIQ3">GetValue("Dmn","Name",RIQ2)</f>
        <v/>
      </c>
      <c r="RIR3" s="1" t="str" cm="1">
        <f t="array" ref="RIR3">GetValue("Dmn","Name",RIR2)</f>
        <v/>
      </c>
      <c r="RIS3" s="1" t="str" cm="1">
        <f t="array" ref="RIS3">GetValue("Dmn","Name",RIS2)</f>
        <v/>
      </c>
      <c r="RIT3" s="1" t="str" cm="1">
        <f t="array" ref="RIT3">GetValue("Dmn","Name",RIT2)</f>
        <v/>
      </c>
      <c r="RIU3" s="1" t="str" cm="1">
        <f t="array" ref="RIU3">GetValue("Dmn","Name",RIU2)</f>
        <v/>
      </c>
      <c r="RIV3" s="1" t="str" cm="1">
        <f t="array" ref="RIV3">GetValue("Dmn","Name",RIV2)</f>
        <v/>
      </c>
      <c r="RIW3" s="1" t="str" cm="1">
        <f t="array" ref="RIW3">GetValue("Dmn","Name",RIW2)</f>
        <v/>
      </c>
      <c r="RIX3" s="1" t="str" cm="1">
        <f t="array" ref="RIX3">GetValue("Dmn","Name",RIX2)</f>
        <v/>
      </c>
      <c r="RIY3" s="1" t="str" cm="1">
        <f t="array" ref="RIY3">GetValue("Dmn","Name",RIY2)</f>
        <v/>
      </c>
      <c r="RIZ3" s="1" t="str" cm="1">
        <f t="array" ref="RIZ3">GetValue("Dmn","Name",RIZ2)</f>
        <v/>
      </c>
      <c r="RJA3" s="1" t="str" cm="1">
        <f t="array" ref="RJA3">GetValue("Dmn","Name",RJA2)</f>
        <v/>
      </c>
      <c r="RJB3" s="1" t="str" cm="1">
        <f t="array" ref="RJB3">GetValue("Dmn","Name",RJB2)</f>
        <v/>
      </c>
      <c r="RJC3" s="1" t="str" cm="1">
        <f t="array" ref="RJC3">GetValue("Dmn","Name",RJC2)</f>
        <v/>
      </c>
      <c r="RJD3" s="1" t="str" cm="1">
        <f t="array" ref="RJD3">GetValue("Dmn","Name",RJD2)</f>
        <v/>
      </c>
      <c r="RJE3" s="1" t="str" cm="1">
        <f t="array" ref="RJE3">GetValue("Dmn","Name",RJE2)</f>
        <v/>
      </c>
      <c r="RJF3" s="1" t="str" cm="1">
        <f t="array" ref="RJF3">GetValue("Dmn","Name",RJF2)</f>
        <v/>
      </c>
      <c r="RJG3" s="1" t="str" cm="1">
        <f t="array" ref="RJG3">GetValue("Dmn","Name",RJG2)</f>
        <v/>
      </c>
      <c r="RJH3" s="1" t="str" cm="1">
        <f t="array" ref="RJH3">GetValue("Dmn","Name",RJH2)</f>
        <v/>
      </c>
      <c r="RJI3" s="1" t="str" cm="1">
        <f t="array" ref="RJI3">GetValue("Dmn","Name",RJI2)</f>
        <v/>
      </c>
      <c r="RJJ3" s="1" t="str" cm="1">
        <f t="array" ref="RJJ3">GetValue("Dmn","Name",RJJ2)</f>
        <v/>
      </c>
      <c r="RJK3" s="1" t="str" cm="1">
        <f t="array" ref="RJK3">GetValue("Dmn","Name",RJK2)</f>
        <v/>
      </c>
      <c r="RJL3" s="1" t="str" cm="1">
        <f t="array" ref="RJL3">GetValue("Dmn","Name",RJL2)</f>
        <v/>
      </c>
      <c r="RJM3" s="1" t="str" cm="1">
        <f t="array" ref="RJM3">GetValue("Dmn","Name",RJM2)</f>
        <v/>
      </c>
      <c r="RJN3" s="1" t="str" cm="1">
        <f t="array" ref="RJN3">GetValue("Dmn","Name",RJN2)</f>
        <v/>
      </c>
      <c r="RJO3" s="1" t="str" cm="1">
        <f t="array" ref="RJO3">GetValue("Dmn","Name",RJO2)</f>
        <v/>
      </c>
      <c r="RJP3" s="1" t="str" cm="1">
        <f t="array" ref="RJP3">GetValue("Dmn","Name",RJP2)</f>
        <v/>
      </c>
      <c r="RJQ3" s="1" t="str" cm="1">
        <f t="array" ref="RJQ3">GetValue("Dmn","Name",RJQ2)</f>
        <v/>
      </c>
      <c r="RJR3" s="1" t="str" cm="1">
        <f t="array" ref="RJR3">GetValue("Dmn","Name",RJR2)</f>
        <v/>
      </c>
      <c r="RJS3" s="1" t="str" cm="1">
        <f t="array" ref="RJS3">GetValue("Dmn","Name",RJS2)</f>
        <v/>
      </c>
      <c r="RJT3" s="1" t="str" cm="1">
        <f t="array" ref="RJT3">GetValue("Dmn","Name",RJT2)</f>
        <v/>
      </c>
      <c r="RJU3" s="1" t="str" cm="1">
        <f t="array" ref="RJU3">GetValue("Dmn","Name",RJU2)</f>
        <v/>
      </c>
      <c r="RJV3" s="1" t="str" cm="1">
        <f t="array" ref="RJV3">GetValue("Dmn","Name",RJV2)</f>
        <v/>
      </c>
      <c r="RJW3" s="1" t="str" cm="1">
        <f t="array" ref="RJW3">GetValue("Dmn","Name",RJW2)</f>
        <v/>
      </c>
      <c r="RJX3" s="1" t="str" cm="1">
        <f t="array" ref="RJX3">GetValue("Dmn","Name",RJX2)</f>
        <v/>
      </c>
      <c r="RJY3" s="1" t="str" cm="1">
        <f t="array" ref="RJY3">GetValue("Dmn","Name",RJY2)</f>
        <v/>
      </c>
      <c r="RJZ3" s="1" t="str" cm="1">
        <f t="array" ref="RJZ3">GetValue("Dmn","Name",RJZ2)</f>
        <v/>
      </c>
      <c r="RKA3" s="1" t="str" cm="1">
        <f t="array" ref="RKA3">GetValue("Dmn","Name",RKA2)</f>
        <v/>
      </c>
      <c r="RKB3" s="1" t="str" cm="1">
        <f t="array" ref="RKB3">GetValue("Dmn","Name",RKB2)</f>
        <v/>
      </c>
      <c r="RKC3" s="1" t="str" cm="1">
        <f t="array" ref="RKC3">GetValue("Dmn","Name",RKC2)</f>
        <v/>
      </c>
      <c r="RKD3" s="1" t="str" cm="1">
        <f t="array" ref="RKD3">GetValue("Dmn","Name",RKD2)</f>
        <v/>
      </c>
      <c r="RKE3" s="1" t="str" cm="1">
        <f t="array" ref="RKE3">GetValue("Dmn","Name",RKE2)</f>
        <v/>
      </c>
      <c r="RKF3" s="1" t="str" cm="1">
        <f t="array" ref="RKF3">GetValue("Dmn","Name",RKF2)</f>
        <v/>
      </c>
      <c r="RKG3" s="1" t="str" cm="1">
        <f t="array" ref="RKG3">GetValue("Dmn","Name",RKG2)</f>
        <v/>
      </c>
      <c r="RKH3" s="1" t="str" cm="1">
        <f t="array" ref="RKH3">GetValue("Dmn","Name",RKH2)</f>
        <v/>
      </c>
      <c r="RKI3" s="1" t="str" cm="1">
        <f t="array" ref="RKI3">GetValue("Dmn","Name",RKI2)</f>
        <v/>
      </c>
      <c r="RKJ3" s="1" t="str" cm="1">
        <f t="array" ref="RKJ3">GetValue("Dmn","Name",RKJ2)</f>
        <v/>
      </c>
      <c r="RKK3" s="1" t="str" cm="1">
        <f t="array" ref="RKK3">GetValue("Dmn","Name",RKK2)</f>
        <v/>
      </c>
      <c r="RKL3" s="1" t="str" cm="1">
        <f t="array" ref="RKL3">GetValue("Dmn","Name",RKL2)</f>
        <v/>
      </c>
      <c r="RKM3" s="1" t="str" cm="1">
        <f t="array" ref="RKM3">GetValue("Dmn","Name",RKM2)</f>
        <v/>
      </c>
      <c r="RKN3" s="1" t="str" cm="1">
        <f t="array" ref="RKN3">GetValue("Dmn","Name",RKN2)</f>
        <v/>
      </c>
      <c r="RKO3" s="1" t="str" cm="1">
        <f t="array" ref="RKO3">GetValue("Dmn","Name",RKO2)</f>
        <v/>
      </c>
      <c r="RKP3" s="1" t="str" cm="1">
        <f t="array" ref="RKP3">GetValue("Dmn","Name",RKP2)</f>
        <v/>
      </c>
      <c r="RKQ3" s="1" t="str" cm="1">
        <f t="array" ref="RKQ3">GetValue("Dmn","Name",RKQ2)</f>
        <v/>
      </c>
      <c r="RKR3" s="1" t="str" cm="1">
        <f t="array" ref="RKR3">GetValue("Dmn","Name",RKR2)</f>
        <v/>
      </c>
      <c r="RKS3" s="1" t="str" cm="1">
        <f t="array" ref="RKS3">GetValue("Dmn","Name",RKS2)</f>
        <v/>
      </c>
      <c r="RKT3" s="1" t="str" cm="1">
        <f t="array" ref="RKT3">GetValue("Dmn","Name",RKT2)</f>
        <v/>
      </c>
      <c r="RKU3" s="1" t="str" cm="1">
        <f t="array" ref="RKU3">GetValue("Dmn","Name",RKU2)</f>
        <v/>
      </c>
      <c r="RKV3" s="1" t="str" cm="1">
        <f t="array" ref="RKV3">GetValue("Dmn","Name",RKV2)</f>
        <v/>
      </c>
      <c r="RKW3" s="1" t="str" cm="1">
        <f t="array" ref="RKW3">GetValue("Dmn","Name",RKW2)</f>
        <v/>
      </c>
      <c r="RKX3" s="1" t="str" cm="1">
        <f t="array" ref="RKX3">GetValue("Dmn","Name",RKX2)</f>
        <v/>
      </c>
      <c r="RKY3" s="1" t="str" cm="1">
        <f t="array" ref="RKY3">GetValue("Dmn","Name",RKY2)</f>
        <v/>
      </c>
      <c r="RKZ3" s="1" t="str" cm="1">
        <f t="array" ref="RKZ3">GetValue("Dmn","Name",RKZ2)</f>
        <v/>
      </c>
      <c r="RLA3" s="1" t="str" cm="1">
        <f t="array" ref="RLA3">GetValue("Dmn","Name",RLA2)</f>
        <v/>
      </c>
      <c r="RLB3" s="1" t="str" cm="1">
        <f t="array" ref="RLB3">GetValue("Dmn","Name",RLB2)</f>
        <v/>
      </c>
      <c r="RLC3" s="1" t="str" cm="1">
        <f t="array" ref="RLC3">GetValue("Dmn","Name",RLC2)</f>
        <v/>
      </c>
      <c r="RLD3" s="1" t="str" cm="1">
        <f t="array" ref="RLD3">GetValue("Dmn","Name",RLD2)</f>
        <v/>
      </c>
      <c r="RLE3" s="1" t="str" cm="1">
        <f t="array" ref="RLE3">GetValue("Dmn","Name",RLE2)</f>
        <v/>
      </c>
      <c r="RLF3" s="1" t="str" cm="1">
        <f t="array" ref="RLF3">GetValue("Dmn","Name",RLF2)</f>
        <v/>
      </c>
      <c r="RLG3" s="1" t="str" cm="1">
        <f t="array" ref="RLG3">GetValue("Dmn","Name",RLG2)</f>
        <v/>
      </c>
      <c r="RLH3" s="1" t="str" cm="1">
        <f t="array" ref="RLH3">GetValue("Dmn","Name",RLH2)</f>
        <v/>
      </c>
      <c r="RLI3" s="1" t="str" cm="1">
        <f t="array" ref="RLI3">GetValue("Dmn","Name",RLI2)</f>
        <v/>
      </c>
      <c r="RLJ3" s="1" t="str" cm="1">
        <f t="array" ref="RLJ3">GetValue("Dmn","Name",RLJ2)</f>
        <v/>
      </c>
      <c r="RLK3" s="1" t="str" cm="1">
        <f t="array" ref="RLK3">GetValue("Dmn","Name",RLK2)</f>
        <v/>
      </c>
      <c r="RLL3" s="1" t="str" cm="1">
        <f t="array" ref="RLL3">GetValue("Dmn","Name",RLL2)</f>
        <v/>
      </c>
      <c r="RLM3" s="1" t="str" cm="1">
        <f t="array" ref="RLM3">GetValue("Dmn","Name",RLM2)</f>
        <v/>
      </c>
      <c r="RLN3" s="1" t="str" cm="1">
        <f t="array" ref="RLN3">GetValue("Dmn","Name",RLN2)</f>
        <v/>
      </c>
      <c r="RLO3" s="1" t="str" cm="1">
        <f t="array" ref="RLO3">GetValue("Dmn","Name",RLO2)</f>
        <v/>
      </c>
      <c r="RLP3" s="1" t="str" cm="1">
        <f t="array" ref="RLP3">GetValue("Dmn","Name",RLP2)</f>
        <v/>
      </c>
      <c r="RLQ3" s="1" t="str" cm="1">
        <f t="array" ref="RLQ3">GetValue("Dmn","Name",RLQ2)</f>
        <v/>
      </c>
      <c r="RLR3" s="1" t="str" cm="1">
        <f t="array" ref="RLR3">GetValue("Dmn","Name",RLR2)</f>
        <v/>
      </c>
      <c r="RLS3" s="1" t="str" cm="1">
        <f t="array" ref="RLS3">GetValue("Dmn","Name",RLS2)</f>
        <v/>
      </c>
      <c r="RLT3" s="1" t="str" cm="1">
        <f t="array" ref="RLT3">GetValue("Dmn","Name",RLT2)</f>
        <v/>
      </c>
      <c r="RLU3" s="1" t="str" cm="1">
        <f t="array" ref="RLU3">GetValue("Dmn","Name",RLU2)</f>
        <v/>
      </c>
      <c r="RLV3" s="1" t="str" cm="1">
        <f t="array" ref="RLV3">GetValue("Dmn","Name",RLV2)</f>
        <v/>
      </c>
      <c r="RLW3" s="1" t="str" cm="1">
        <f t="array" ref="RLW3">GetValue("Dmn","Name",RLW2)</f>
        <v/>
      </c>
      <c r="RLX3" s="1" t="str" cm="1">
        <f t="array" ref="RLX3">GetValue("Dmn","Name",RLX2)</f>
        <v/>
      </c>
      <c r="RLY3" s="1" t="str" cm="1">
        <f t="array" ref="RLY3">GetValue("Dmn","Name",RLY2)</f>
        <v/>
      </c>
      <c r="RLZ3" s="1" t="str" cm="1">
        <f t="array" ref="RLZ3">GetValue("Dmn","Name",RLZ2)</f>
        <v/>
      </c>
      <c r="RMA3" s="1" t="str" cm="1">
        <f t="array" ref="RMA3">GetValue("Dmn","Name",RMA2)</f>
        <v/>
      </c>
      <c r="RMB3" s="1" t="str" cm="1">
        <f t="array" ref="RMB3">GetValue("Dmn","Name",RMB2)</f>
        <v/>
      </c>
      <c r="RMC3" s="1" t="str" cm="1">
        <f t="array" ref="RMC3">GetValue("Dmn","Name",RMC2)</f>
        <v/>
      </c>
      <c r="RMD3" s="1" t="str" cm="1">
        <f t="array" ref="RMD3">GetValue("Dmn","Name",RMD2)</f>
        <v/>
      </c>
      <c r="RME3" s="1" t="str" cm="1">
        <f t="array" ref="RME3">GetValue("Dmn","Name",RME2)</f>
        <v/>
      </c>
      <c r="RMF3" s="1" t="str" cm="1">
        <f t="array" ref="RMF3">GetValue("Dmn","Name",RMF2)</f>
        <v/>
      </c>
      <c r="RMG3" s="1" t="str" cm="1">
        <f t="array" ref="RMG3">GetValue("Dmn","Name",RMG2)</f>
        <v/>
      </c>
      <c r="RMH3" s="1" t="str" cm="1">
        <f t="array" ref="RMH3">GetValue("Dmn","Name",RMH2)</f>
        <v/>
      </c>
      <c r="RMI3" s="1" t="str" cm="1">
        <f t="array" ref="RMI3">GetValue("Dmn","Name",RMI2)</f>
        <v/>
      </c>
      <c r="RMJ3" s="1" t="str" cm="1">
        <f t="array" ref="RMJ3">GetValue("Dmn","Name",RMJ2)</f>
        <v/>
      </c>
      <c r="RMK3" s="1" t="str" cm="1">
        <f t="array" ref="RMK3">GetValue("Dmn","Name",RMK2)</f>
        <v/>
      </c>
      <c r="RML3" s="1" t="str" cm="1">
        <f t="array" ref="RML3">GetValue("Dmn","Name",RML2)</f>
        <v/>
      </c>
      <c r="RMM3" s="1" t="str" cm="1">
        <f t="array" ref="RMM3">GetValue("Dmn","Name",RMM2)</f>
        <v/>
      </c>
      <c r="RMN3" s="1" t="str" cm="1">
        <f t="array" ref="RMN3">GetValue("Dmn","Name",RMN2)</f>
        <v/>
      </c>
      <c r="RMO3" s="1" t="str" cm="1">
        <f t="array" ref="RMO3">GetValue("Dmn","Name",RMO2)</f>
        <v/>
      </c>
      <c r="RMP3" s="1" t="str" cm="1">
        <f t="array" ref="RMP3">GetValue("Dmn","Name",RMP2)</f>
        <v/>
      </c>
      <c r="RMQ3" s="1" t="str" cm="1">
        <f t="array" ref="RMQ3">GetValue("Dmn","Name",RMQ2)</f>
        <v/>
      </c>
      <c r="RMR3" s="1" t="str" cm="1">
        <f t="array" ref="RMR3">GetValue("Dmn","Name",RMR2)</f>
        <v/>
      </c>
      <c r="RMS3" s="1" t="str" cm="1">
        <f t="array" ref="RMS3">GetValue("Dmn","Name",RMS2)</f>
        <v/>
      </c>
      <c r="RMT3" s="1" t="str" cm="1">
        <f t="array" ref="RMT3">GetValue("Dmn","Name",RMT2)</f>
        <v/>
      </c>
      <c r="RMU3" s="1" t="str" cm="1">
        <f t="array" ref="RMU3">GetValue("Dmn","Name",RMU2)</f>
        <v/>
      </c>
      <c r="RMV3" s="1" t="str" cm="1">
        <f t="array" ref="RMV3">GetValue("Dmn","Name",RMV2)</f>
        <v/>
      </c>
      <c r="RMW3" s="1" t="str" cm="1">
        <f t="array" ref="RMW3">GetValue("Dmn","Name",RMW2)</f>
        <v/>
      </c>
      <c r="RMX3" s="1" t="str" cm="1">
        <f t="array" ref="RMX3">GetValue("Dmn","Name",RMX2)</f>
        <v/>
      </c>
      <c r="RMY3" s="1" t="str" cm="1">
        <f t="array" ref="RMY3">GetValue("Dmn","Name",RMY2)</f>
        <v/>
      </c>
      <c r="RMZ3" s="1" t="str" cm="1">
        <f t="array" ref="RMZ3">GetValue("Dmn","Name",RMZ2)</f>
        <v/>
      </c>
      <c r="RNA3" s="1" t="str" cm="1">
        <f t="array" ref="RNA3">GetValue("Dmn","Name",RNA2)</f>
        <v/>
      </c>
      <c r="RNB3" s="1" t="str" cm="1">
        <f t="array" ref="RNB3">GetValue("Dmn","Name",RNB2)</f>
        <v/>
      </c>
      <c r="RNC3" s="1" t="str" cm="1">
        <f t="array" ref="RNC3">GetValue("Dmn","Name",RNC2)</f>
        <v/>
      </c>
      <c r="RND3" s="1" t="str" cm="1">
        <f t="array" ref="RND3">GetValue("Dmn","Name",RND2)</f>
        <v/>
      </c>
      <c r="RNE3" s="1" t="str" cm="1">
        <f t="array" ref="RNE3">GetValue("Dmn","Name",RNE2)</f>
        <v/>
      </c>
      <c r="RNF3" s="1" t="str" cm="1">
        <f t="array" ref="RNF3">GetValue("Dmn","Name",RNF2)</f>
        <v/>
      </c>
      <c r="RNG3" s="1" t="str" cm="1">
        <f t="array" ref="RNG3">GetValue("Dmn","Name",RNG2)</f>
        <v/>
      </c>
      <c r="RNH3" s="1" t="str" cm="1">
        <f t="array" ref="RNH3">GetValue("Dmn","Name",RNH2)</f>
        <v/>
      </c>
      <c r="RNI3" s="1" t="str" cm="1">
        <f t="array" ref="RNI3">GetValue("Dmn","Name",RNI2)</f>
        <v/>
      </c>
      <c r="RNJ3" s="1" t="str" cm="1">
        <f t="array" ref="RNJ3">GetValue("Dmn","Name",RNJ2)</f>
        <v/>
      </c>
      <c r="RNK3" s="1" t="str" cm="1">
        <f t="array" ref="RNK3">GetValue("Dmn","Name",RNK2)</f>
        <v/>
      </c>
      <c r="RNL3" s="1" t="str" cm="1">
        <f t="array" ref="RNL3">GetValue("Dmn","Name",RNL2)</f>
        <v/>
      </c>
      <c r="RNM3" s="1" t="str" cm="1">
        <f t="array" ref="RNM3">GetValue("Dmn","Name",RNM2)</f>
        <v/>
      </c>
      <c r="RNN3" s="1" t="str" cm="1">
        <f t="array" ref="RNN3">GetValue("Dmn","Name",RNN2)</f>
        <v/>
      </c>
      <c r="RNO3" s="1" t="str" cm="1">
        <f t="array" ref="RNO3">GetValue("Dmn","Name",RNO2)</f>
        <v/>
      </c>
      <c r="RNP3" s="1" t="str" cm="1">
        <f t="array" ref="RNP3">GetValue("Dmn","Name",RNP2)</f>
        <v/>
      </c>
      <c r="RNQ3" s="1" t="str" cm="1">
        <f t="array" ref="RNQ3">GetValue("Dmn","Name",RNQ2)</f>
        <v/>
      </c>
      <c r="RNR3" s="1" t="str" cm="1">
        <f t="array" ref="RNR3">GetValue("Dmn","Name",RNR2)</f>
        <v/>
      </c>
      <c r="RNS3" s="1" t="str" cm="1">
        <f t="array" ref="RNS3">GetValue("Dmn","Name",RNS2)</f>
        <v/>
      </c>
      <c r="RNT3" s="1" t="str" cm="1">
        <f t="array" ref="RNT3">GetValue("Dmn","Name",RNT2)</f>
        <v/>
      </c>
      <c r="RNU3" s="1" t="str" cm="1">
        <f t="array" ref="RNU3">GetValue("Dmn","Name",RNU2)</f>
        <v/>
      </c>
      <c r="RNV3" s="1" t="str" cm="1">
        <f t="array" ref="RNV3">GetValue("Dmn","Name",RNV2)</f>
        <v/>
      </c>
      <c r="RNW3" s="1" t="str" cm="1">
        <f t="array" ref="RNW3">GetValue("Dmn","Name",RNW2)</f>
        <v/>
      </c>
      <c r="RNX3" s="1" t="str" cm="1">
        <f t="array" ref="RNX3">GetValue("Dmn","Name",RNX2)</f>
        <v/>
      </c>
      <c r="RNY3" s="1" t="str" cm="1">
        <f t="array" ref="RNY3">GetValue("Dmn","Name",RNY2)</f>
        <v/>
      </c>
      <c r="RNZ3" s="1" t="str" cm="1">
        <f t="array" ref="RNZ3">GetValue("Dmn","Name",RNZ2)</f>
        <v/>
      </c>
      <c r="ROA3" s="1" t="str" cm="1">
        <f t="array" ref="ROA3">GetValue("Dmn","Name",ROA2)</f>
        <v/>
      </c>
      <c r="ROB3" s="1" t="str" cm="1">
        <f t="array" ref="ROB3">GetValue("Dmn","Name",ROB2)</f>
        <v/>
      </c>
      <c r="ROC3" s="1" t="str" cm="1">
        <f t="array" ref="ROC3">GetValue("Dmn","Name",ROC2)</f>
        <v/>
      </c>
      <c r="ROD3" s="1" t="str" cm="1">
        <f t="array" ref="ROD3">GetValue("Dmn","Name",ROD2)</f>
        <v/>
      </c>
      <c r="ROE3" s="1" t="str" cm="1">
        <f t="array" ref="ROE3">GetValue("Dmn","Name",ROE2)</f>
        <v/>
      </c>
      <c r="ROF3" s="1" t="str" cm="1">
        <f t="array" ref="ROF3">GetValue("Dmn","Name",ROF2)</f>
        <v/>
      </c>
      <c r="ROG3" s="1" t="str" cm="1">
        <f t="array" ref="ROG3">GetValue("Dmn","Name",ROG2)</f>
        <v/>
      </c>
      <c r="ROH3" s="1" t="str" cm="1">
        <f t="array" ref="ROH3">GetValue("Dmn","Name",ROH2)</f>
        <v/>
      </c>
      <c r="ROI3" s="1" t="str" cm="1">
        <f t="array" ref="ROI3">GetValue("Dmn","Name",ROI2)</f>
        <v/>
      </c>
      <c r="ROJ3" s="1" t="str" cm="1">
        <f t="array" ref="ROJ3">GetValue("Dmn","Name",ROJ2)</f>
        <v/>
      </c>
      <c r="ROK3" s="1" t="str" cm="1">
        <f t="array" ref="ROK3">GetValue("Dmn","Name",ROK2)</f>
        <v/>
      </c>
      <c r="ROL3" s="1" t="str" cm="1">
        <f t="array" ref="ROL3">GetValue("Dmn","Name",ROL2)</f>
        <v/>
      </c>
      <c r="ROM3" s="1" t="str" cm="1">
        <f t="array" ref="ROM3">GetValue("Dmn","Name",ROM2)</f>
        <v/>
      </c>
      <c r="RON3" s="1" t="str" cm="1">
        <f t="array" ref="RON3">GetValue("Dmn","Name",RON2)</f>
        <v/>
      </c>
      <c r="ROO3" s="1" t="str" cm="1">
        <f t="array" ref="ROO3">GetValue("Dmn","Name",ROO2)</f>
        <v/>
      </c>
      <c r="ROP3" s="1" t="str" cm="1">
        <f t="array" ref="ROP3">GetValue("Dmn","Name",ROP2)</f>
        <v/>
      </c>
      <c r="ROQ3" s="1" t="str" cm="1">
        <f t="array" ref="ROQ3">GetValue("Dmn","Name",ROQ2)</f>
        <v/>
      </c>
      <c r="ROR3" s="1" t="str" cm="1">
        <f t="array" ref="ROR3">GetValue("Dmn","Name",ROR2)</f>
        <v/>
      </c>
      <c r="ROS3" s="1" t="str" cm="1">
        <f t="array" ref="ROS3">GetValue("Dmn","Name",ROS2)</f>
        <v/>
      </c>
      <c r="ROT3" s="1" t="str" cm="1">
        <f t="array" ref="ROT3">GetValue("Dmn","Name",ROT2)</f>
        <v/>
      </c>
      <c r="ROU3" s="1" t="str" cm="1">
        <f t="array" ref="ROU3">GetValue("Dmn","Name",ROU2)</f>
        <v/>
      </c>
      <c r="ROV3" s="1" t="str" cm="1">
        <f t="array" ref="ROV3">GetValue("Dmn","Name",ROV2)</f>
        <v/>
      </c>
      <c r="ROW3" s="1" t="str" cm="1">
        <f t="array" ref="ROW3">GetValue("Dmn","Name",ROW2)</f>
        <v/>
      </c>
      <c r="ROX3" s="1" t="str" cm="1">
        <f t="array" ref="ROX3">GetValue("Dmn","Name",ROX2)</f>
        <v/>
      </c>
      <c r="ROY3" s="1" t="str" cm="1">
        <f t="array" ref="ROY3">GetValue("Dmn","Name",ROY2)</f>
        <v/>
      </c>
      <c r="ROZ3" s="1" t="str" cm="1">
        <f t="array" ref="ROZ3">GetValue("Dmn","Name",ROZ2)</f>
        <v/>
      </c>
      <c r="RPA3" s="1" t="str" cm="1">
        <f t="array" ref="RPA3">GetValue("Dmn","Name",RPA2)</f>
        <v/>
      </c>
      <c r="RPB3" s="1" t="str" cm="1">
        <f t="array" ref="RPB3">GetValue("Dmn","Name",RPB2)</f>
        <v/>
      </c>
      <c r="RPC3" s="1" t="str" cm="1">
        <f t="array" ref="RPC3">GetValue("Dmn","Name",RPC2)</f>
        <v/>
      </c>
      <c r="RPD3" s="1" t="str" cm="1">
        <f t="array" ref="RPD3">GetValue("Dmn","Name",RPD2)</f>
        <v/>
      </c>
      <c r="RPE3" s="1" t="str" cm="1">
        <f t="array" ref="RPE3">GetValue("Dmn","Name",RPE2)</f>
        <v/>
      </c>
      <c r="RPF3" s="1" t="str" cm="1">
        <f t="array" ref="RPF3">GetValue("Dmn","Name",RPF2)</f>
        <v/>
      </c>
      <c r="RPG3" s="1" t="str" cm="1">
        <f t="array" ref="RPG3">GetValue("Dmn","Name",RPG2)</f>
        <v/>
      </c>
      <c r="RPH3" s="1" t="str" cm="1">
        <f t="array" ref="RPH3">GetValue("Dmn","Name",RPH2)</f>
        <v/>
      </c>
      <c r="RPI3" s="1" t="str" cm="1">
        <f t="array" ref="RPI3">GetValue("Dmn","Name",RPI2)</f>
        <v/>
      </c>
      <c r="RPJ3" s="1" t="str" cm="1">
        <f t="array" ref="RPJ3">GetValue("Dmn","Name",RPJ2)</f>
        <v/>
      </c>
      <c r="RPK3" s="1" t="str" cm="1">
        <f t="array" ref="RPK3">GetValue("Dmn","Name",RPK2)</f>
        <v/>
      </c>
      <c r="RPL3" s="1" t="str" cm="1">
        <f t="array" ref="RPL3">GetValue("Dmn","Name",RPL2)</f>
        <v/>
      </c>
      <c r="RPM3" s="1" t="str" cm="1">
        <f t="array" ref="RPM3">GetValue("Dmn","Name",RPM2)</f>
        <v/>
      </c>
      <c r="RPN3" s="1" t="str" cm="1">
        <f t="array" ref="RPN3">GetValue("Dmn","Name",RPN2)</f>
        <v/>
      </c>
      <c r="RPO3" s="1" t="str" cm="1">
        <f t="array" ref="RPO3">GetValue("Dmn","Name",RPO2)</f>
        <v/>
      </c>
      <c r="RPP3" s="1" t="str" cm="1">
        <f t="array" ref="RPP3">GetValue("Dmn","Name",RPP2)</f>
        <v/>
      </c>
      <c r="RPQ3" s="1" t="str" cm="1">
        <f t="array" ref="RPQ3">GetValue("Dmn","Name",RPQ2)</f>
        <v/>
      </c>
      <c r="RPR3" s="1" t="str" cm="1">
        <f t="array" ref="RPR3">GetValue("Dmn","Name",RPR2)</f>
        <v/>
      </c>
      <c r="RPS3" s="1" t="str" cm="1">
        <f t="array" ref="RPS3">GetValue("Dmn","Name",RPS2)</f>
        <v/>
      </c>
      <c r="RPT3" s="1" t="str" cm="1">
        <f t="array" ref="RPT3">GetValue("Dmn","Name",RPT2)</f>
        <v/>
      </c>
      <c r="RPU3" s="1" t="str" cm="1">
        <f t="array" ref="RPU3">GetValue("Dmn","Name",RPU2)</f>
        <v/>
      </c>
      <c r="RPV3" s="1" t="str" cm="1">
        <f t="array" ref="RPV3">GetValue("Dmn","Name",RPV2)</f>
        <v/>
      </c>
      <c r="RPW3" s="1" t="str" cm="1">
        <f t="array" ref="RPW3">GetValue("Dmn","Name",RPW2)</f>
        <v/>
      </c>
      <c r="RPX3" s="1" t="str" cm="1">
        <f t="array" ref="RPX3">GetValue("Dmn","Name",RPX2)</f>
        <v/>
      </c>
      <c r="RPY3" s="1" t="str" cm="1">
        <f t="array" ref="RPY3">GetValue("Dmn","Name",RPY2)</f>
        <v/>
      </c>
      <c r="RPZ3" s="1" t="str" cm="1">
        <f t="array" ref="RPZ3">GetValue("Dmn","Name",RPZ2)</f>
        <v/>
      </c>
      <c r="RQA3" s="1" t="str" cm="1">
        <f t="array" ref="RQA3">GetValue("Dmn","Name",RQA2)</f>
        <v/>
      </c>
      <c r="RQB3" s="1" t="str" cm="1">
        <f t="array" ref="RQB3">GetValue("Dmn","Name",RQB2)</f>
        <v/>
      </c>
      <c r="RQC3" s="1" t="str" cm="1">
        <f t="array" ref="RQC3">GetValue("Dmn","Name",RQC2)</f>
        <v/>
      </c>
      <c r="RQD3" s="1" t="str" cm="1">
        <f t="array" ref="RQD3">GetValue("Dmn","Name",RQD2)</f>
        <v/>
      </c>
      <c r="RQE3" s="1" t="str" cm="1">
        <f t="array" ref="RQE3">GetValue("Dmn","Name",RQE2)</f>
        <v/>
      </c>
      <c r="RQF3" s="1" t="str" cm="1">
        <f t="array" ref="RQF3">GetValue("Dmn","Name",RQF2)</f>
        <v/>
      </c>
      <c r="RQG3" s="1" t="str" cm="1">
        <f t="array" ref="RQG3">GetValue("Dmn","Name",RQG2)</f>
        <v/>
      </c>
      <c r="RQH3" s="1" t="str" cm="1">
        <f t="array" ref="RQH3">GetValue("Dmn","Name",RQH2)</f>
        <v/>
      </c>
      <c r="RQI3" s="1" t="str" cm="1">
        <f t="array" ref="RQI3">GetValue("Dmn","Name",RQI2)</f>
        <v/>
      </c>
      <c r="RQJ3" s="1" t="str" cm="1">
        <f t="array" ref="RQJ3">GetValue("Dmn","Name",RQJ2)</f>
        <v/>
      </c>
      <c r="RQK3" s="1" t="str" cm="1">
        <f t="array" ref="RQK3">GetValue("Dmn","Name",RQK2)</f>
        <v/>
      </c>
      <c r="RQL3" s="1" t="str" cm="1">
        <f t="array" ref="RQL3">GetValue("Dmn","Name",RQL2)</f>
        <v/>
      </c>
      <c r="RQM3" s="1" t="str" cm="1">
        <f t="array" ref="RQM3">GetValue("Dmn","Name",RQM2)</f>
        <v/>
      </c>
      <c r="RQN3" s="1" t="str" cm="1">
        <f t="array" ref="RQN3">GetValue("Dmn","Name",RQN2)</f>
        <v/>
      </c>
      <c r="RQO3" s="1" t="str" cm="1">
        <f t="array" ref="RQO3">GetValue("Dmn","Name",RQO2)</f>
        <v/>
      </c>
      <c r="RQP3" s="1" t="str" cm="1">
        <f t="array" ref="RQP3">GetValue("Dmn","Name",RQP2)</f>
        <v/>
      </c>
      <c r="RQQ3" s="1" t="str" cm="1">
        <f t="array" ref="RQQ3">GetValue("Dmn","Name",RQQ2)</f>
        <v/>
      </c>
      <c r="RQR3" s="1" t="str" cm="1">
        <f t="array" ref="RQR3">GetValue("Dmn","Name",RQR2)</f>
        <v/>
      </c>
      <c r="RQS3" s="1" t="str" cm="1">
        <f t="array" ref="RQS3">GetValue("Dmn","Name",RQS2)</f>
        <v/>
      </c>
      <c r="RQT3" s="1" t="str" cm="1">
        <f t="array" ref="RQT3">GetValue("Dmn","Name",RQT2)</f>
        <v/>
      </c>
      <c r="RQU3" s="1" t="str" cm="1">
        <f t="array" ref="RQU3">GetValue("Dmn","Name",RQU2)</f>
        <v/>
      </c>
      <c r="RQV3" s="1" t="str" cm="1">
        <f t="array" ref="RQV3">GetValue("Dmn","Name",RQV2)</f>
        <v/>
      </c>
      <c r="RQW3" s="1" t="str" cm="1">
        <f t="array" ref="RQW3">GetValue("Dmn","Name",RQW2)</f>
        <v/>
      </c>
      <c r="RQX3" s="1" t="str" cm="1">
        <f t="array" ref="RQX3">GetValue("Dmn","Name",RQX2)</f>
        <v/>
      </c>
      <c r="RQY3" s="1" t="str" cm="1">
        <f t="array" ref="RQY3">GetValue("Dmn","Name",RQY2)</f>
        <v/>
      </c>
      <c r="RQZ3" s="1" t="str" cm="1">
        <f t="array" ref="RQZ3">GetValue("Dmn","Name",RQZ2)</f>
        <v/>
      </c>
      <c r="RRA3" s="1" t="str" cm="1">
        <f t="array" ref="RRA3">GetValue("Dmn","Name",RRA2)</f>
        <v/>
      </c>
      <c r="RRB3" s="1" t="str" cm="1">
        <f t="array" ref="RRB3">GetValue("Dmn","Name",RRB2)</f>
        <v/>
      </c>
      <c r="RRC3" s="1" t="str" cm="1">
        <f t="array" ref="RRC3">GetValue("Dmn","Name",RRC2)</f>
        <v/>
      </c>
      <c r="RRD3" s="1" t="str" cm="1">
        <f t="array" ref="RRD3">GetValue("Dmn","Name",RRD2)</f>
        <v/>
      </c>
      <c r="RRE3" s="1" t="str" cm="1">
        <f t="array" ref="RRE3">GetValue("Dmn","Name",RRE2)</f>
        <v/>
      </c>
      <c r="RRF3" s="1" t="str" cm="1">
        <f t="array" ref="RRF3">GetValue("Dmn","Name",RRF2)</f>
        <v/>
      </c>
      <c r="RRG3" s="1" t="str" cm="1">
        <f t="array" ref="RRG3">GetValue("Dmn","Name",RRG2)</f>
        <v/>
      </c>
      <c r="RRH3" s="1" t="str" cm="1">
        <f t="array" ref="RRH3">GetValue("Dmn","Name",RRH2)</f>
        <v/>
      </c>
      <c r="RRI3" s="1" t="str" cm="1">
        <f t="array" ref="RRI3">GetValue("Dmn","Name",RRI2)</f>
        <v/>
      </c>
      <c r="RRJ3" s="1" t="str" cm="1">
        <f t="array" ref="RRJ3">GetValue("Dmn","Name",RRJ2)</f>
        <v/>
      </c>
      <c r="RRK3" s="1" t="str" cm="1">
        <f t="array" ref="RRK3">GetValue("Dmn","Name",RRK2)</f>
        <v/>
      </c>
      <c r="RRL3" s="1" t="str" cm="1">
        <f t="array" ref="RRL3">GetValue("Dmn","Name",RRL2)</f>
        <v/>
      </c>
      <c r="RRM3" s="1" t="str" cm="1">
        <f t="array" ref="RRM3">GetValue("Dmn","Name",RRM2)</f>
        <v/>
      </c>
      <c r="RRN3" s="1" t="str" cm="1">
        <f t="array" ref="RRN3">GetValue("Dmn","Name",RRN2)</f>
        <v/>
      </c>
      <c r="RRO3" s="1" t="str" cm="1">
        <f t="array" ref="RRO3">GetValue("Dmn","Name",RRO2)</f>
        <v/>
      </c>
      <c r="RRP3" s="1" t="str" cm="1">
        <f t="array" ref="RRP3">GetValue("Dmn","Name",RRP2)</f>
        <v/>
      </c>
      <c r="RRQ3" s="1" t="str" cm="1">
        <f t="array" ref="RRQ3">GetValue("Dmn","Name",RRQ2)</f>
        <v/>
      </c>
      <c r="RRR3" s="1" t="str" cm="1">
        <f t="array" ref="RRR3">GetValue("Dmn","Name",RRR2)</f>
        <v/>
      </c>
      <c r="RRS3" s="1" t="str" cm="1">
        <f t="array" ref="RRS3">GetValue("Dmn","Name",RRS2)</f>
        <v/>
      </c>
      <c r="RRT3" s="1" t="str" cm="1">
        <f t="array" ref="RRT3">GetValue("Dmn","Name",RRT2)</f>
        <v/>
      </c>
      <c r="RRU3" s="1" t="str" cm="1">
        <f t="array" ref="RRU3">GetValue("Dmn","Name",RRU2)</f>
        <v/>
      </c>
      <c r="RRV3" s="1" t="str" cm="1">
        <f t="array" ref="RRV3">GetValue("Dmn","Name",RRV2)</f>
        <v/>
      </c>
      <c r="RRW3" s="1" t="str" cm="1">
        <f t="array" ref="RRW3">GetValue("Dmn","Name",RRW2)</f>
        <v/>
      </c>
      <c r="RRX3" s="1" t="str" cm="1">
        <f t="array" ref="RRX3">GetValue("Dmn","Name",RRX2)</f>
        <v/>
      </c>
      <c r="RRY3" s="1" t="str" cm="1">
        <f t="array" ref="RRY3">GetValue("Dmn","Name",RRY2)</f>
        <v/>
      </c>
      <c r="RRZ3" s="1" t="str" cm="1">
        <f t="array" ref="RRZ3">GetValue("Dmn","Name",RRZ2)</f>
        <v/>
      </c>
      <c r="RSA3" s="1" t="str" cm="1">
        <f t="array" ref="RSA3">GetValue("Dmn","Name",RSA2)</f>
        <v/>
      </c>
      <c r="RSB3" s="1" t="str" cm="1">
        <f t="array" ref="RSB3">GetValue("Dmn","Name",RSB2)</f>
        <v/>
      </c>
      <c r="RSC3" s="1" t="str" cm="1">
        <f t="array" ref="RSC3">GetValue("Dmn","Name",RSC2)</f>
        <v/>
      </c>
      <c r="RSD3" s="1" t="str" cm="1">
        <f t="array" ref="RSD3">GetValue("Dmn","Name",RSD2)</f>
        <v/>
      </c>
      <c r="RSE3" s="1" t="str" cm="1">
        <f t="array" ref="RSE3">GetValue("Dmn","Name",RSE2)</f>
        <v/>
      </c>
      <c r="RSF3" s="1" t="str" cm="1">
        <f t="array" ref="RSF3">GetValue("Dmn","Name",RSF2)</f>
        <v/>
      </c>
      <c r="RSG3" s="1" t="str" cm="1">
        <f t="array" ref="RSG3">GetValue("Dmn","Name",RSG2)</f>
        <v/>
      </c>
      <c r="RSH3" s="1" t="str" cm="1">
        <f t="array" ref="RSH3">GetValue("Dmn","Name",RSH2)</f>
        <v/>
      </c>
      <c r="RSI3" s="1" t="str" cm="1">
        <f t="array" ref="RSI3">GetValue("Dmn","Name",RSI2)</f>
        <v/>
      </c>
      <c r="RSJ3" s="1" t="str" cm="1">
        <f t="array" ref="RSJ3">GetValue("Dmn","Name",RSJ2)</f>
        <v/>
      </c>
      <c r="RSK3" s="1" t="str" cm="1">
        <f t="array" ref="RSK3">GetValue("Dmn","Name",RSK2)</f>
        <v/>
      </c>
      <c r="RSL3" s="1" t="str" cm="1">
        <f t="array" ref="RSL3">GetValue("Dmn","Name",RSL2)</f>
        <v/>
      </c>
      <c r="RSM3" s="1" t="str" cm="1">
        <f t="array" ref="RSM3">GetValue("Dmn","Name",RSM2)</f>
        <v/>
      </c>
      <c r="RSN3" s="1" t="str" cm="1">
        <f t="array" ref="RSN3">GetValue("Dmn","Name",RSN2)</f>
        <v/>
      </c>
      <c r="RSO3" s="1" t="str" cm="1">
        <f t="array" ref="RSO3">GetValue("Dmn","Name",RSO2)</f>
        <v/>
      </c>
      <c r="RSP3" s="1" t="str" cm="1">
        <f t="array" ref="RSP3">GetValue("Dmn","Name",RSP2)</f>
        <v/>
      </c>
      <c r="RSQ3" s="1" t="str" cm="1">
        <f t="array" ref="RSQ3">GetValue("Dmn","Name",RSQ2)</f>
        <v/>
      </c>
      <c r="RSR3" s="1" t="str" cm="1">
        <f t="array" ref="RSR3">GetValue("Dmn","Name",RSR2)</f>
        <v/>
      </c>
      <c r="RSS3" s="1" t="str" cm="1">
        <f t="array" ref="RSS3">GetValue("Dmn","Name",RSS2)</f>
        <v/>
      </c>
      <c r="RST3" s="1" t="str" cm="1">
        <f t="array" ref="RST3">GetValue("Dmn","Name",RST2)</f>
        <v/>
      </c>
      <c r="RSU3" s="1" t="str" cm="1">
        <f t="array" ref="RSU3">GetValue("Dmn","Name",RSU2)</f>
        <v/>
      </c>
      <c r="RSV3" s="1" t="str" cm="1">
        <f t="array" ref="RSV3">GetValue("Dmn","Name",RSV2)</f>
        <v/>
      </c>
      <c r="RSW3" s="1" t="str" cm="1">
        <f t="array" ref="RSW3">GetValue("Dmn","Name",RSW2)</f>
        <v/>
      </c>
      <c r="RSX3" s="1" t="str" cm="1">
        <f t="array" ref="RSX3">GetValue("Dmn","Name",RSX2)</f>
        <v/>
      </c>
      <c r="RSY3" s="1" t="str" cm="1">
        <f t="array" ref="RSY3">GetValue("Dmn","Name",RSY2)</f>
        <v/>
      </c>
      <c r="RSZ3" s="1" t="str" cm="1">
        <f t="array" ref="RSZ3">GetValue("Dmn","Name",RSZ2)</f>
        <v/>
      </c>
      <c r="RTA3" s="1" t="str" cm="1">
        <f t="array" ref="RTA3">GetValue("Dmn","Name",RTA2)</f>
        <v/>
      </c>
      <c r="RTB3" s="1" t="str" cm="1">
        <f t="array" ref="RTB3">GetValue("Dmn","Name",RTB2)</f>
        <v/>
      </c>
      <c r="RTC3" s="1" t="str" cm="1">
        <f t="array" ref="RTC3">GetValue("Dmn","Name",RTC2)</f>
        <v/>
      </c>
      <c r="RTD3" s="1" t="str" cm="1">
        <f t="array" ref="RTD3">GetValue("Dmn","Name",RTD2)</f>
        <v/>
      </c>
      <c r="RTE3" s="1" t="str" cm="1">
        <f t="array" ref="RTE3">GetValue("Dmn","Name",RTE2)</f>
        <v/>
      </c>
      <c r="RTF3" s="1" t="str" cm="1">
        <f t="array" ref="RTF3">GetValue("Dmn","Name",RTF2)</f>
        <v/>
      </c>
      <c r="RTG3" s="1" t="str" cm="1">
        <f t="array" ref="RTG3">GetValue("Dmn","Name",RTG2)</f>
        <v/>
      </c>
      <c r="RTH3" s="1" t="str" cm="1">
        <f t="array" ref="RTH3">GetValue("Dmn","Name",RTH2)</f>
        <v/>
      </c>
      <c r="RTI3" s="1" t="str" cm="1">
        <f t="array" ref="RTI3">GetValue("Dmn","Name",RTI2)</f>
        <v/>
      </c>
      <c r="RTJ3" s="1" t="str" cm="1">
        <f t="array" ref="RTJ3">GetValue("Dmn","Name",RTJ2)</f>
        <v/>
      </c>
      <c r="RTK3" s="1" t="str" cm="1">
        <f t="array" ref="RTK3">GetValue("Dmn","Name",RTK2)</f>
        <v/>
      </c>
      <c r="RTL3" s="1" t="str" cm="1">
        <f t="array" ref="RTL3">GetValue("Dmn","Name",RTL2)</f>
        <v/>
      </c>
      <c r="RTM3" s="1" t="str" cm="1">
        <f t="array" ref="RTM3">GetValue("Dmn","Name",RTM2)</f>
        <v/>
      </c>
      <c r="RTN3" s="1" t="str" cm="1">
        <f t="array" ref="RTN3">GetValue("Dmn","Name",RTN2)</f>
        <v/>
      </c>
      <c r="RTO3" s="1" t="str" cm="1">
        <f t="array" ref="RTO3">GetValue("Dmn","Name",RTO2)</f>
        <v/>
      </c>
      <c r="RTP3" s="1" t="str" cm="1">
        <f t="array" ref="RTP3">GetValue("Dmn","Name",RTP2)</f>
        <v/>
      </c>
      <c r="RTQ3" s="1" t="str" cm="1">
        <f t="array" ref="RTQ3">GetValue("Dmn","Name",RTQ2)</f>
        <v/>
      </c>
      <c r="RTR3" s="1" t="str" cm="1">
        <f t="array" ref="RTR3">GetValue("Dmn","Name",RTR2)</f>
        <v/>
      </c>
      <c r="RTS3" s="1" t="str" cm="1">
        <f t="array" ref="RTS3">GetValue("Dmn","Name",RTS2)</f>
        <v/>
      </c>
      <c r="RTT3" s="1" t="str" cm="1">
        <f t="array" ref="RTT3">GetValue("Dmn","Name",RTT2)</f>
        <v/>
      </c>
      <c r="RTU3" s="1" t="str" cm="1">
        <f t="array" ref="RTU3">GetValue("Dmn","Name",RTU2)</f>
        <v/>
      </c>
      <c r="RTV3" s="1" t="str" cm="1">
        <f t="array" ref="RTV3">GetValue("Dmn","Name",RTV2)</f>
        <v/>
      </c>
      <c r="RTW3" s="1" t="str" cm="1">
        <f t="array" ref="RTW3">GetValue("Dmn","Name",RTW2)</f>
        <v/>
      </c>
      <c r="RTX3" s="1" t="str" cm="1">
        <f t="array" ref="RTX3">GetValue("Dmn","Name",RTX2)</f>
        <v/>
      </c>
      <c r="RTY3" s="1" t="str" cm="1">
        <f t="array" ref="RTY3">GetValue("Dmn","Name",RTY2)</f>
        <v/>
      </c>
      <c r="RTZ3" s="1" t="str" cm="1">
        <f t="array" ref="RTZ3">GetValue("Dmn","Name",RTZ2)</f>
        <v/>
      </c>
      <c r="RUA3" s="1" t="str" cm="1">
        <f t="array" ref="RUA3">GetValue("Dmn","Name",RUA2)</f>
        <v/>
      </c>
      <c r="RUB3" s="1" t="str" cm="1">
        <f t="array" ref="RUB3">GetValue("Dmn","Name",RUB2)</f>
        <v/>
      </c>
      <c r="RUC3" s="1" t="str" cm="1">
        <f t="array" ref="RUC3">GetValue("Dmn","Name",RUC2)</f>
        <v/>
      </c>
      <c r="RUD3" s="1" t="str" cm="1">
        <f t="array" ref="RUD3">GetValue("Dmn","Name",RUD2)</f>
        <v/>
      </c>
      <c r="RUE3" s="1" t="str" cm="1">
        <f t="array" ref="RUE3">GetValue("Dmn","Name",RUE2)</f>
        <v/>
      </c>
      <c r="RUF3" s="1" t="str" cm="1">
        <f t="array" ref="RUF3">GetValue("Dmn","Name",RUF2)</f>
        <v/>
      </c>
      <c r="RUG3" s="1" t="str" cm="1">
        <f t="array" ref="RUG3">GetValue("Dmn","Name",RUG2)</f>
        <v/>
      </c>
      <c r="RUH3" s="1" t="str" cm="1">
        <f t="array" ref="RUH3">GetValue("Dmn","Name",RUH2)</f>
        <v/>
      </c>
      <c r="RUI3" s="1" t="str" cm="1">
        <f t="array" ref="RUI3">GetValue("Dmn","Name",RUI2)</f>
        <v/>
      </c>
      <c r="RUJ3" s="1" t="str" cm="1">
        <f t="array" ref="RUJ3">GetValue("Dmn","Name",RUJ2)</f>
        <v/>
      </c>
      <c r="RUK3" s="1" t="str" cm="1">
        <f t="array" ref="RUK3">GetValue("Dmn","Name",RUK2)</f>
        <v/>
      </c>
      <c r="RUL3" s="1" t="str" cm="1">
        <f t="array" ref="RUL3">GetValue("Dmn","Name",RUL2)</f>
        <v/>
      </c>
      <c r="RUM3" s="1" t="str" cm="1">
        <f t="array" ref="RUM3">GetValue("Dmn","Name",RUM2)</f>
        <v/>
      </c>
      <c r="RUN3" s="1" t="str" cm="1">
        <f t="array" ref="RUN3">GetValue("Dmn","Name",RUN2)</f>
        <v/>
      </c>
      <c r="RUO3" s="1" t="str" cm="1">
        <f t="array" ref="RUO3">GetValue("Dmn","Name",RUO2)</f>
        <v/>
      </c>
      <c r="RUP3" s="1" t="str" cm="1">
        <f t="array" ref="RUP3">GetValue("Dmn","Name",RUP2)</f>
        <v/>
      </c>
      <c r="RUQ3" s="1" t="str" cm="1">
        <f t="array" ref="RUQ3">GetValue("Dmn","Name",RUQ2)</f>
        <v/>
      </c>
      <c r="RUR3" s="1" t="str" cm="1">
        <f t="array" ref="RUR3">GetValue("Dmn","Name",RUR2)</f>
        <v/>
      </c>
      <c r="RUS3" s="1" t="str" cm="1">
        <f t="array" ref="RUS3">GetValue("Dmn","Name",RUS2)</f>
        <v/>
      </c>
      <c r="RUT3" s="1" t="str" cm="1">
        <f t="array" ref="RUT3">GetValue("Dmn","Name",RUT2)</f>
        <v/>
      </c>
      <c r="RUU3" s="1" t="str" cm="1">
        <f t="array" ref="RUU3">GetValue("Dmn","Name",RUU2)</f>
        <v/>
      </c>
      <c r="RUV3" s="1" t="str" cm="1">
        <f t="array" ref="RUV3">GetValue("Dmn","Name",RUV2)</f>
        <v/>
      </c>
      <c r="RUW3" s="1" t="str" cm="1">
        <f t="array" ref="RUW3">GetValue("Dmn","Name",RUW2)</f>
        <v/>
      </c>
      <c r="RUX3" s="1" t="str" cm="1">
        <f t="array" ref="RUX3">GetValue("Dmn","Name",RUX2)</f>
        <v/>
      </c>
      <c r="RUY3" s="1" t="str" cm="1">
        <f t="array" ref="RUY3">GetValue("Dmn","Name",RUY2)</f>
        <v/>
      </c>
      <c r="RUZ3" s="1" t="str" cm="1">
        <f t="array" ref="RUZ3">GetValue("Dmn","Name",RUZ2)</f>
        <v/>
      </c>
      <c r="RVA3" s="1" t="str" cm="1">
        <f t="array" ref="RVA3">GetValue("Dmn","Name",RVA2)</f>
        <v/>
      </c>
      <c r="RVB3" s="1" t="str" cm="1">
        <f t="array" ref="RVB3">GetValue("Dmn","Name",RVB2)</f>
        <v/>
      </c>
      <c r="RVC3" s="1" t="str" cm="1">
        <f t="array" ref="RVC3">GetValue("Dmn","Name",RVC2)</f>
        <v/>
      </c>
      <c r="RVD3" s="1" t="str" cm="1">
        <f t="array" ref="RVD3">GetValue("Dmn","Name",RVD2)</f>
        <v/>
      </c>
      <c r="RVE3" s="1" t="str" cm="1">
        <f t="array" ref="RVE3">GetValue("Dmn","Name",RVE2)</f>
        <v/>
      </c>
      <c r="RVF3" s="1" t="str" cm="1">
        <f t="array" ref="RVF3">GetValue("Dmn","Name",RVF2)</f>
        <v/>
      </c>
      <c r="RVG3" s="1" t="str" cm="1">
        <f t="array" ref="RVG3">GetValue("Dmn","Name",RVG2)</f>
        <v/>
      </c>
      <c r="RVH3" s="1" t="str" cm="1">
        <f t="array" ref="RVH3">GetValue("Dmn","Name",RVH2)</f>
        <v/>
      </c>
      <c r="RVI3" s="1" t="str" cm="1">
        <f t="array" ref="RVI3">GetValue("Dmn","Name",RVI2)</f>
        <v/>
      </c>
      <c r="RVJ3" s="1" t="str" cm="1">
        <f t="array" ref="RVJ3">GetValue("Dmn","Name",RVJ2)</f>
        <v/>
      </c>
      <c r="RVK3" s="1" t="str" cm="1">
        <f t="array" ref="RVK3">GetValue("Dmn","Name",RVK2)</f>
        <v/>
      </c>
      <c r="RVL3" s="1" t="str" cm="1">
        <f t="array" ref="RVL3">GetValue("Dmn","Name",RVL2)</f>
        <v/>
      </c>
      <c r="RVM3" s="1" t="str" cm="1">
        <f t="array" ref="RVM3">GetValue("Dmn","Name",RVM2)</f>
        <v/>
      </c>
      <c r="RVN3" s="1" t="str" cm="1">
        <f t="array" ref="RVN3">GetValue("Dmn","Name",RVN2)</f>
        <v/>
      </c>
      <c r="RVO3" s="1" t="str" cm="1">
        <f t="array" ref="RVO3">GetValue("Dmn","Name",RVO2)</f>
        <v/>
      </c>
      <c r="RVP3" s="1" t="str" cm="1">
        <f t="array" ref="RVP3">GetValue("Dmn","Name",RVP2)</f>
        <v/>
      </c>
      <c r="RVQ3" s="1" t="str" cm="1">
        <f t="array" ref="RVQ3">GetValue("Dmn","Name",RVQ2)</f>
        <v/>
      </c>
      <c r="RVR3" s="1" t="str" cm="1">
        <f t="array" ref="RVR3">GetValue("Dmn","Name",RVR2)</f>
        <v/>
      </c>
      <c r="RVS3" s="1" t="str" cm="1">
        <f t="array" ref="RVS3">GetValue("Dmn","Name",RVS2)</f>
        <v/>
      </c>
      <c r="RVT3" s="1" t="str" cm="1">
        <f t="array" ref="RVT3">GetValue("Dmn","Name",RVT2)</f>
        <v/>
      </c>
      <c r="RVU3" s="1" t="str" cm="1">
        <f t="array" ref="RVU3">GetValue("Dmn","Name",RVU2)</f>
        <v/>
      </c>
      <c r="RVV3" s="1" t="str" cm="1">
        <f t="array" ref="RVV3">GetValue("Dmn","Name",RVV2)</f>
        <v/>
      </c>
      <c r="RVW3" s="1" t="str" cm="1">
        <f t="array" ref="RVW3">GetValue("Dmn","Name",RVW2)</f>
        <v/>
      </c>
      <c r="RVX3" s="1" t="str" cm="1">
        <f t="array" ref="RVX3">GetValue("Dmn","Name",RVX2)</f>
        <v/>
      </c>
      <c r="RVY3" s="1" t="str" cm="1">
        <f t="array" ref="RVY3">GetValue("Dmn","Name",RVY2)</f>
        <v/>
      </c>
      <c r="RVZ3" s="1" t="str" cm="1">
        <f t="array" ref="RVZ3">GetValue("Dmn","Name",RVZ2)</f>
        <v/>
      </c>
      <c r="RWA3" s="1" t="str" cm="1">
        <f t="array" ref="RWA3">GetValue("Dmn","Name",RWA2)</f>
        <v/>
      </c>
      <c r="RWB3" s="1" t="str" cm="1">
        <f t="array" ref="RWB3">GetValue("Dmn","Name",RWB2)</f>
        <v/>
      </c>
      <c r="RWC3" s="1" t="str" cm="1">
        <f t="array" ref="RWC3">GetValue("Dmn","Name",RWC2)</f>
        <v/>
      </c>
      <c r="RWD3" s="1" t="str" cm="1">
        <f t="array" ref="RWD3">GetValue("Dmn","Name",RWD2)</f>
        <v/>
      </c>
      <c r="RWE3" s="1" t="str" cm="1">
        <f t="array" ref="RWE3">GetValue("Dmn","Name",RWE2)</f>
        <v/>
      </c>
      <c r="RWF3" s="1" t="str" cm="1">
        <f t="array" ref="RWF3">GetValue("Dmn","Name",RWF2)</f>
        <v/>
      </c>
      <c r="RWG3" s="1" t="str" cm="1">
        <f t="array" ref="RWG3">GetValue("Dmn","Name",RWG2)</f>
        <v/>
      </c>
      <c r="RWH3" s="1" t="str" cm="1">
        <f t="array" ref="RWH3">GetValue("Dmn","Name",RWH2)</f>
        <v/>
      </c>
      <c r="RWI3" s="1" t="str" cm="1">
        <f t="array" ref="RWI3">GetValue("Dmn","Name",RWI2)</f>
        <v/>
      </c>
      <c r="RWJ3" s="1" t="str" cm="1">
        <f t="array" ref="RWJ3">GetValue("Dmn","Name",RWJ2)</f>
        <v/>
      </c>
      <c r="RWK3" s="1" t="str" cm="1">
        <f t="array" ref="RWK3">GetValue("Dmn","Name",RWK2)</f>
        <v/>
      </c>
      <c r="RWL3" s="1" t="str" cm="1">
        <f t="array" ref="RWL3">GetValue("Dmn","Name",RWL2)</f>
        <v/>
      </c>
      <c r="RWM3" s="1" t="str" cm="1">
        <f t="array" ref="RWM3">GetValue("Dmn","Name",RWM2)</f>
        <v/>
      </c>
      <c r="RWN3" s="1" t="str" cm="1">
        <f t="array" ref="RWN3">GetValue("Dmn","Name",RWN2)</f>
        <v/>
      </c>
      <c r="RWO3" s="1" t="str" cm="1">
        <f t="array" ref="RWO3">GetValue("Dmn","Name",RWO2)</f>
        <v/>
      </c>
      <c r="RWP3" s="1" t="str" cm="1">
        <f t="array" ref="RWP3">GetValue("Dmn","Name",RWP2)</f>
        <v/>
      </c>
      <c r="RWQ3" s="1" t="str" cm="1">
        <f t="array" ref="RWQ3">GetValue("Dmn","Name",RWQ2)</f>
        <v/>
      </c>
      <c r="RWR3" s="1" t="str" cm="1">
        <f t="array" ref="RWR3">GetValue("Dmn","Name",RWR2)</f>
        <v/>
      </c>
      <c r="RWS3" s="1" t="str" cm="1">
        <f t="array" ref="RWS3">GetValue("Dmn","Name",RWS2)</f>
        <v/>
      </c>
      <c r="RWT3" s="1" t="str" cm="1">
        <f t="array" ref="RWT3">GetValue("Dmn","Name",RWT2)</f>
        <v/>
      </c>
      <c r="RWU3" s="1" t="str" cm="1">
        <f t="array" ref="RWU3">GetValue("Dmn","Name",RWU2)</f>
        <v/>
      </c>
      <c r="RWV3" s="1" t="str" cm="1">
        <f t="array" ref="RWV3">GetValue("Dmn","Name",RWV2)</f>
        <v/>
      </c>
      <c r="RWW3" s="1" t="str" cm="1">
        <f t="array" ref="RWW3">GetValue("Dmn","Name",RWW2)</f>
        <v/>
      </c>
      <c r="RWX3" s="1" t="str" cm="1">
        <f t="array" ref="RWX3">GetValue("Dmn","Name",RWX2)</f>
        <v/>
      </c>
      <c r="RWY3" s="1" t="str" cm="1">
        <f t="array" ref="RWY3">GetValue("Dmn","Name",RWY2)</f>
        <v/>
      </c>
      <c r="RWZ3" s="1" t="str" cm="1">
        <f t="array" ref="RWZ3">GetValue("Dmn","Name",RWZ2)</f>
        <v/>
      </c>
      <c r="RXA3" s="1" t="str" cm="1">
        <f t="array" ref="RXA3">GetValue("Dmn","Name",RXA2)</f>
        <v/>
      </c>
      <c r="RXB3" s="1" t="str" cm="1">
        <f t="array" ref="RXB3">GetValue("Dmn","Name",RXB2)</f>
        <v/>
      </c>
      <c r="RXC3" s="1" t="str" cm="1">
        <f t="array" ref="RXC3">GetValue("Dmn","Name",RXC2)</f>
        <v/>
      </c>
      <c r="RXD3" s="1" t="str" cm="1">
        <f t="array" ref="RXD3">GetValue("Dmn","Name",RXD2)</f>
        <v/>
      </c>
      <c r="RXE3" s="1" t="str" cm="1">
        <f t="array" ref="RXE3">GetValue("Dmn","Name",RXE2)</f>
        <v/>
      </c>
      <c r="RXF3" s="1" t="str" cm="1">
        <f t="array" ref="RXF3">GetValue("Dmn","Name",RXF2)</f>
        <v/>
      </c>
      <c r="RXG3" s="1" t="str" cm="1">
        <f t="array" ref="RXG3">GetValue("Dmn","Name",RXG2)</f>
        <v/>
      </c>
      <c r="RXH3" s="1" t="str" cm="1">
        <f t="array" ref="RXH3">GetValue("Dmn","Name",RXH2)</f>
        <v/>
      </c>
      <c r="RXI3" s="1" t="str" cm="1">
        <f t="array" ref="RXI3">GetValue("Dmn","Name",RXI2)</f>
        <v/>
      </c>
      <c r="RXJ3" s="1" t="str" cm="1">
        <f t="array" ref="RXJ3">GetValue("Dmn","Name",RXJ2)</f>
        <v/>
      </c>
      <c r="RXK3" s="1" t="str" cm="1">
        <f t="array" ref="RXK3">GetValue("Dmn","Name",RXK2)</f>
        <v/>
      </c>
      <c r="RXL3" s="1" t="str" cm="1">
        <f t="array" ref="RXL3">GetValue("Dmn","Name",RXL2)</f>
        <v/>
      </c>
      <c r="RXM3" s="1" t="str" cm="1">
        <f t="array" ref="RXM3">GetValue("Dmn","Name",RXM2)</f>
        <v/>
      </c>
      <c r="RXN3" s="1" t="str" cm="1">
        <f t="array" ref="RXN3">GetValue("Dmn","Name",RXN2)</f>
        <v/>
      </c>
      <c r="RXO3" s="1" t="str" cm="1">
        <f t="array" ref="RXO3">GetValue("Dmn","Name",RXO2)</f>
        <v/>
      </c>
      <c r="RXP3" s="1" t="str" cm="1">
        <f t="array" ref="RXP3">GetValue("Dmn","Name",RXP2)</f>
        <v/>
      </c>
      <c r="RXQ3" s="1" t="str" cm="1">
        <f t="array" ref="RXQ3">GetValue("Dmn","Name",RXQ2)</f>
        <v/>
      </c>
      <c r="RXR3" s="1" t="str" cm="1">
        <f t="array" ref="RXR3">GetValue("Dmn","Name",RXR2)</f>
        <v/>
      </c>
      <c r="RXS3" s="1" t="str" cm="1">
        <f t="array" ref="RXS3">GetValue("Dmn","Name",RXS2)</f>
        <v/>
      </c>
      <c r="RXT3" s="1" t="str" cm="1">
        <f t="array" ref="RXT3">GetValue("Dmn","Name",RXT2)</f>
        <v/>
      </c>
      <c r="RXU3" s="1" t="str" cm="1">
        <f t="array" ref="RXU3">GetValue("Dmn","Name",RXU2)</f>
        <v/>
      </c>
      <c r="RXV3" s="1" t="str" cm="1">
        <f t="array" ref="RXV3">GetValue("Dmn","Name",RXV2)</f>
        <v/>
      </c>
      <c r="RXW3" s="1" t="str" cm="1">
        <f t="array" ref="RXW3">GetValue("Dmn","Name",RXW2)</f>
        <v/>
      </c>
      <c r="RXX3" s="1" t="str" cm="1">
        <f t="array" ref="RXX3">GetValue("Dmn","Name",RXX2)</f>
        <v/>
      </c>
      <c r="RXY3" s="1" t="str" cm="1">
        <f t="array" ref="RXY3">GetValue("Dmn","Name",RXY2)</f>
        <v/>
      </c>
      <c r="RXZ3" s="1" t="str" cm="1">
        <f t="array" ref="RXZ3">GetValue("Dmn","Name",RXZ2)</f>
        <v/>
      </c>
      <c r="RYA3" s="1" t="str" cm="1">
        <f t="array" ref="RYA3">GetValue("Dmn","Name",RYA2)</f>
        <v/>
      </c>
      <c r="RYB3" s="1" t="str" cm="1">
        <f t="array" ref="RYB3">GetValue("Dmn","Name",RYB2)</f>
        <v/>
      </c>
      <c r="RYC3" s="1" t="str" cm="1">
        <f t="array" ref="RYC3">GetValue("Dmn","Name",RYC2)</f>
        <v/>
      </c>
      <c r="RYD3" s="1" t="str" cm="1">
        <f t="array" ref="RYD3">GetValue("Dmn","Name",RYD2)</f>
        <v/>
      </c>
      <c r="RYE3" s="1" t="str" cm="1">
        <f t="array" ref="RYE3">GetValue("Dmn","Name",RYE2)</f>
        <v/>
      </c>
      <c r="RYF3" s="1" t="str" cm="1">
        <f t="array" ref="RYF3">GetValue("Dmn","Name",RYF2)</f>
        <v/>
      </c>
      <c r="RYG3" s="1" t="str" cm="1">
        <f t="array" ref="RYG3">GetValue("Dmn","Name",RYG2)</f>
        <v/>
      </c>
      <c r="RYH3" s="1" t="str" cm="1">
        <f t="array" ref="RYH3">GetValue("Dmn","Name",RYH2)</f>
        <v/>
      </c>
      <c r="RYI3" s="1" t="str" cm="1">
        <f t="array" ref="RYI3">GetValue("Dmn","Name",RYI2)</f>
        <v/>
      </c>
      <c r="RYJ3" s="1" t="str" cm="1">
        <f t="array" ref="RYJ3">GetValue("Dmn","Name",RYJ2)</f>
        <v/>
      </c>
      <c r="RYK3" s="1" t="str" cm="1">
        <f t="array" ref="RYK3">GetValue("Dmn","Name",RYK2)</f>
        <v/>
      </c>
      <c r="RYL3" s="1" t="str" cm="1">
        <f t="array" ref="RYL3">GetValue("Dmn","Name",RYL2)</f>
        <v/>
      </c>
      <c r="RYM3" s="1" t="str" cm="1">
        <f t="array" ref="RYM3">GetValue("Dmn","Name",RYM2)</f>
        <v/>
      </c>
      <c r="RYN3" s="1" t="str" cm="1">
        <f t="array" ref="RYN3">GetValue("Dmn","Name",RYN2)</f>
        <v/>
      </c>
      <c r="RYO3" s="1" t="str" cm="1">
        <f t="array" ref="RYO3">GetValue("Dmn","Name",RYO2)</f>
        <v/>
      </c>
      <c r="RYP3" s="1" t="str" cm="1">
        <f t="array" ref="RYP3">GetValue("Dmn","Name",RYP2)</f>
        <v/>
      </c>
      <c r="RYQ3" s="1" t="str" cm="1">
        <f t="array" ref="RYQ3">GetValue("Dmn","Name",RYQ2)</f>
        <v/>
      </c>
      <c r="RYR3" s="1" t="str" cm="1">
        <f t="array" ref="RYR3">GetValue("Dmn","Name",RYR2)</f>
        <v/>
      </c>
      <c r="RYS3" s="1" t="str" cm="1">
        <f t="array" ref="RYS3">GetValue("Dmn","Name",RYS2)</f>
        <v/>
      </c>
      <c r="RYT3" s="1" t="str" cm="1">
        <f t="array" ref="RYT3">GetValue("Dmn","Name",RYT2)</f>
        <v/>
      </c>
      <c r="RYU3" s="1" t="str" cm="1">
        <f t="array" ref="RYU3">GetValue("Dmn","Name",RYU2)</f>
        <v/>
      </c>
      <c r="RYV3" s="1" t="str" cm="1">
        <f t="array" ref="RYV3">GetValue("Dmn","Name",RYV2)</f>
        <v/>
      </c>
      <c r="RYW3" s="1" t="str" cm="1">
        <f t="array" ref="RYW3">GetValue("Dmn","Name",RYW2)</f>
        <v/>
      </c>
      <c r="RYX3" s="1" t="str" cm="1">
        <f t="array" ref="RYX3">GetValue("Dmn","Name",RYX2)</f>
        <v/>
      </c>
      <c r="RYY3" s="1" t="str" cm="1">
        <f t="array" ref="RYY3">GetValue("Dmn","Name",RYY2)</f>
        <v/>
      </c>
      <c r="RYZ3" s="1" t="str" cm="1">
        <f t="array" ref="RYZ3">GetValue("Dmn","Name",RYZ2)</f>
        <v/>
      </c>
      <c r="RZA3" s="1" t="str" cm="1">
        <f t="array" ref="RZA3">GetValue("Dmn","Name",RZA2)</f>
        <v/>
      </c>
      <c r="RZB3" s="1" t="str" cm="1">
        <f t="array" ref="RZB3">GetValue("Dmn","Name",RZB2)</f>
        <v/>
      </c>
      <c r="RZC3" s="1" t="str" cm="1">
        <f t="array" ref="RZC3">GetValue("Dmn","Name",RZC2)</f>
        <v/>
      </c>
      <c r="RZD3" s="1" t="str" cm="1">
        <f t="array" ref="RZD3">GetValue("Dmn","Name",RZD2)</f>
        <v/>
      </c>
      <c r="RZE3" s="1" t="str" cm="1">
        <f t="array" ref="RZE3">GetValue("Dmn","Name",RZE2)</f>
        <v/>
      </c>
      <c r="RZF3" s="1" t="str" cm="1">
        <f t="array" ref="RZF3">GetValue("Dmn","Name",RZF2)</f>
        <v/>
      </c>
      <c r="RZG3" s="1" t="str" cm="1">
        <f t="array" ref="RZG3">GetValue("Dmn","Name",RZG2)</f>
        <v/>
      </c>
      <c r="RZH3" s="1" t="str" cm="1">
        <f t="array" ref="RZH3">GetValue("Dmn","Name",RZH2)</f>
        <v/>
      </c>
      <c r="RZI3" s="1" t="str" cm="1">
        <f t="array" ref="RZI3">GetValue("Dmn","Name",RZI2)</f>
        <v/>
      </c>
      <c r="RZJ3" s="1" t="str" cm="1">
        <f t="array" ref="RZJ3">GetValue("Dmn","Name",RZJ2)</f>
        <v/>
      </c>
      <c r="RZK3" s="1" t="str" cm="1">
        <f t="array" ref="RZK3">GetValue("Dmn","Name",RZK2)</f>
        <v/>
      </c>
      <c r="RZL3" s="1" t="str" cm="1">
        <f t="array" ref="RZL3">GetValue("Dmn","Name",RZL2)</f>
        <v/>
      </c>
      <c r="RZM3" s="1" t="str" cm="1">
        <f t="array" ref="RZM3">GetValue("Dmn","Name",RZM2)</f>
        <v/>
      </c>
      <c r="RZN3" s="1" t="str" cm="1">
        <f t="array" ref="RZN3">GetValue("Dmn","Name",RZN2)</f>
        <v/>
      </c>
      <c r="RZO3" s="1" t="str" cm="1">
        <f t="array" ref="RZO3">GetValue("Dmn","Name",RZO2)</f>
        <v/>
      </c>
      <c r="RZP3" s="1" t="str" cm="1">
        <f t="array" ref="RZP3">GetValue("Dmn","Name",RZP2)</f>
        <v/>
      </c>
      <c r="RZQ3" s="1" t="str" cm="1">
        <f t="array" ref="RZQ3">GetValue("Dmn","Name",RZQ2)</f>
        <v/>
      </c>
      <c r="RZR3" s="1" t="str" cm="1">
        <f t="array" ref="RZR3">GetValue("Dmn","Name",RZR2)</f>
        <v/>
      </c>
      <c r="RZS3" s="1" t="str" cm="1">
        <f t="array" ref="RZS3">GetValue("Dmn","Name",RZS2)</f>
        <v/>
      </c>
      <c r="RZT3" s="1" t="str" cm="1">
        <f t="array" ref="RZT3">GetValue("Dmn","Name",RZT2)</f>
        <v/>
      </c>
      <c r="RZU3" s="1" t="str" cm="1">
        <f t="array" ref="RZU3">GetValue("Dmn","Name",RZU2)</f>
        <v/>
      </c>
      <c r="RZV3" s="1" t="str" cm="1">
        <f t="array" ref="RZV3">GetValue("Dmn","Name",RZV2)</f>
        <v/>
      </c>
      <c r="RZW3" s="1" t="str" cm="1">
        <f t="array" ref="RZW3">GetValue("Dmn","Name",RZW2)</f>
        <v/>
      </c>
      <c r="RZX3" s="1" t="str" cm="1">
        <f t="array" ref="RZX3">GetValue("Dmn","Name",RZX2)</f>
        <v/>
      </c>
      <c r="RZY3" s="1" t="str" cm="1">
        <f t="array" ref="RZY3">GetValue("Dmn","Name",RZY2)</f>
        <v/>
      </c>
      <c r="RZZ3" s="1" t="str" cm="1">
        <f t="array" ref="RZZ3">GetValue("Dmn","Name",RZZ2)</f>
        <v/>
      </c>
      <c r="SAA3" s="1" t="str" cm="1">
        <f t="array" ref="SAA3">GetValue("Dmn","Name",SAA2)</f>
        <v/>
      </c>
      <c r="SAB3" s="1" t="str" cm="1">
        <f t="array" ref="SAB3">GetValue("Dmn","Name",SAB2)</f>
        <v/>
      </c>
      <c r="SAC3" s="1" t="str" cm="1">
        <f t="array" ref="SAC3">GetValue("Dmn","Name",SAC2)</f>
        <v/>
      </c>
      <c r="SAD3" s="1" t="str" cm="1">
        <f t="array" ref="SAD3">GetValue("Dmn","Name",SAD2)</f>
        <v/>
      </c>
      <c r="SAE3" s="1" t="str" cm="1">
        <f t="array" ref="SAE3">GetValue("Dmn","Name",SAE2)</f>
        <v/>
      </c>
      <c r="SAF3" s="1" t="str" cm="1">
        <f t="array" ref="SAF3">GetValue("Dmn","Name",SAF2)</f>
        <v/>
      </c>
      <c r="SAG3" s="1" t="str" cm="1">
        <f t="array" ref="SAG3">GetValue("Dmn","Name",SAG2)</f>
        <v/>
      </c>
      <c r="SAH3" s="1" t="str" cm="1">
        <f t="array" ref="SAH3">GetValue("Dmn","Name",SAH2)</f>
        <v/>
      </c>
      <c r="SAI3" s="1" t="str" cm="1">
        <f t="array" ref="SAI3">GetValue("Dmn","Name",SAI2)</f>
        <v/>
      </c>
      <c r="SAJ3" s="1" t="str" cm="1">
        <f t="array" ref="SAJ3">GetValue("Dmn","Name",SAJ2)</f>
        <v/>
      </c>
      <c r="SAK3" s="1" t="str" cm="1">
        <f t="array" ref="SAK3">GetValue("Dmn","Name",SAK2)</f>
        <v/>
      </c>
      <c r="SAL3" s="1" t="str" cm="1">
        <f t="array" ref="SAL3">GetValue("Dmn","Name",SAL2)</f>
        <v/>
      </c>
      <c r="SAM3" s="1" t="str" cm="1">
        <f t="array" ref="SAM3">GetValue("Dmn","Name",SAM2)</f>
        <v/>
      </c>
      <c r="SAN3" s="1" t="str" cm="1">
        <f t="array" ref="SAN3">GetValue("Dmn","Name",SAN2)</f>
        <v/>
      </c>
      <c r="SAO3" s="1" t="str" cm="1">
        <f t="array" ref="SAO3">GetValue("Dmn","Name",SAO2)</f>
        <v/>
      </c>
      <c r="SAP3" s="1" t="str" cm="1">
        <f t="array" ref="SAP3">GetValue("Dmn","Name",SAP2)</f>
        <v/>
      </c>
      <c r="SAQ3" s="1" t="str" cm="1">
        <f t="array" ref="SAQ3">GetValue("Dmn","Name",SAQ2)</f>
        <v/>
      </c>
      <c r="SAR3" s="1" t="str" cm="1">
        <f t="array" ref="SAR3">GetValue("Dmn","Name",SAR2)</f>
        <v/>
      </c>
      <c r="SAS3" s="1" t="str" cm="1">
        <f t="array" ref="SAS3">GetValue("Dmn","Name",SAS2)</f>
        <v/>
      </c>
      <c r="SAT3" s="1" t="str" cm="1">
        <f t="array" ref="SAT3">GetValue("Dmn","Name",SAT2)</f>
        <v/>
      </c>
      <c r="SAU3" s="1" t="str" cm="1">
        <f t="array" ref="SAU3">GetValue("Dmn","Name",SAU2)</f>
        <v/>
      </c>
      <c r="SAV3" s="1" t="str" cm="1">
        <f t="array" ref="SAV3">GetValue("Dmn","Name",SAV2)</f>
        <v/>
      </c>
      <c r="SAW3" s="1" t="str" cm="1">
        <f t="array" ref="SAW3">GetValue("Dmn","Name",SAW2)</f>
        <v/>
      </c>
      <c r="SAX3" s="1" t="str" cm="1">
        <f t="array" ref="SAX3">GetValue("Dmn","Name",SAX2)</f>
        <v/>
      </c>
      <c r="SAY3" s="1" t="str" cm="1">
        <f t="array" ref="SAY3">GetValue("Dmn","Name",SAY2)</f>
        <v/>
      </c>
      <c r="SAZ3" s="1" t="str" cm="1">
        <f t="array" ref="SAZ3">GetValue("Dmn","Name",SAZ2)</f>
        <v/>
      </c>
      <c r="SBA3" s="1" t="str" cm="1">
        <f t="array" ref="SBA3">GetValue("Dmn","Name",SBA2)</f>
        <v/>
      </c>
      <c r="SBB3" s="1" t="str" cm="1">
        <f t="array" ref="SBB3">GetValue("Dmn","Name",SBB2)</f>
        <v/>
      </c>
      <c r="SBC3" s="1" t="str" cm="1">
        <f t="array" ref="SBC3">GetValue("Dmn","Name",SBC2)</f>
        <v/>
      </c>
      <c r="SBD3" s="1" t="str" cm="1">
        <f t="array" ref="SBD3">GetValue("Dmn","Name",SBD2)</f>
        <v/>
      </c>
      <c r="SBE3" s="1" t="str" cm="1">
        <f t="array" ref="SBE3">GetValue("Dmn","Name",SBE2)</f>
        <v/>
      </c>
      <c r="SBF3" s="1" t="str" cm="1">
        <f t="array" ref="SBF3">GetValue("Dmn","Name",SBF2)</f>
        <v/>
      </c>
      <c r="SBG3" s="1" t="str" cm="1">
        <f t="array" ref="SBG3">GetValue("Dmn","Name",SBG2)</f>
        <v/>
      </c>
      <c r="SBH3" s="1" t="str" cm="1">
        <f t="array" ref="SBH3">GetValue("Dmn","Name",SBH2)</f>
        <v/>
      </c>
      <c r="SBI3" s="1" t="str" cm="1">
        <f t="array" ref="SBI3">GetValue("Dmn","Name",SBI2)</f>
        <v/>
      </c>
      <c r="SBJ3" s="1" t="str" cm="1">
        <f t="array" ref="SBJ3">GetValue("Dmn","Name",SBJ2)</f>
        <v/>
      </c>
      <c r="SBK3" s="1" t="str" cm="1">
        <f t="array" ref="SBK3">GetValue("Dmn","Name",SBK2)</f>
        <v/>
      </c>
      <c r="SBL3" s="1" t="str" cm="1">
        <f t="array" ref="SBL3">GetValue("Dmn","Name",SBL2)</f>
        <v/>
      </c>
      <c r="SBM3" s="1" t="str" cm="1">
        <f t="array" ref="SBM3">GetValue("Dmn","Name",SBM2)</f>
        <v/>
      </c>
      <c r="SBN3" s="1" t="str" cm="1">
        <f t="array" ref="SBN3">GetValue("Dmn","Name",SBN2)</f>
        <v/>
      </c>
      <c r="SBO3" s="1" t="str" cm="1">
        <f t="array" ref="SBO3">GetValue("Dmn","Name",SBO2)</f>
        <v/>
      </c>
      <c r="SBP3" s="1" t="str" cm="1">
        <f t="array" ref="SBP3">GetValue("Dmn","Name",SBP2)</f>
        <v/>
      </c>
      <c r="SBQ3" s="1" t="str" cm="1">
        <f t="array" ref="SBQ3">GetValue("Dmn","Name",SBQ2)</f>
        <v/>
      </c>
      <c r="SBR3" s="1" t="str" cm="1">
        <f t="array" ref="SBR3">GetValue("Dmn","Name",SBR2)</f>
        <v/>
      </c>
      <c r="SBS3" s="1" t="str" cm="1">
        <f t="array" ref="SBS3">GetValue("Dmn","Name",SBS2)</f>
        <v/>
      </c>
      <c r="SBT3" s="1" t="str" cm="1">
        <f t="array" ref="SBT3">GetValue("Dmn","Name",SBT2)</f>
        <v/>
      </c>
      <c r="SBU3" s="1" t="str" cm="1">
        <f t="array" ref="SBU3">GetValue("Dmn","Name",SBU2)</f>
        <v/>
      </c>
      <c r="SBV3" s="1" t="str" cm="1">
        <f t="array" ref="SBV3">GetValue("Dmn","Name",SBV2)</f>
        <v/>
      </c>
      <c r="SBW3" s="1" t="str" cm="1">
        <f t="array" ref="SBW3">GetValue("Dmn","Name",SBW2)</f>
        <v/>
      </c>
      <c r="SBX3" s="1" t="str" cm="1">
        <f t="array" ref="SBX3">GetValue("Dmn","Name",SBX2)</f>
        <v/>
      </c>
      <c r="SBY3" s="1" t="str" cm="1">
        <f t="array" ref="SBY3">GetValue("Dmn","Name",SBY2)</f>
        <v/>
      </c>
      <c r="SBZ3" s="1" t="str" cm="1">
        <f t="array" ref="SBZ3">GetValue("Dmn","Name",SBZ2)</f>
        <v/>
      </c>
      <c r="SCA3" s="1" t="str" cm="1">
        <f t="array" ref="SCA3">GetValue("Dmn","Name",SCA2)</f>
        <v/>
      </c>
      <c r="SCB3" s="1" t="str" cm="1">
        <f t="array" ref="SCB3">GetValue("Dmn","Name",SCB2)</f>
        <v/>
      </c>
      <c r="SCC3" s="1" t="str" cm="1">
        <f t="array" ref="SCC3">GetValue("Dmn","Name",SCC2)</f>
        <v/>
      </c>
      <c r="SCD3" s="1" t="str" cm="1">
        <f t="array" ref="SCD3">GetValue("Dmn","Name",SCD2)</f>
        <v/>
      </c>
      <c r="SCE3" s="1" t="str" cm="1">
        <f t="array" ref="SCE3">GetValue("Dmn","Name",SCE2)</f>
        <v/>
      </c>
      <c r="SCF3" s="1" t="str" cm="1">
        <f t="array" ref="SCF3">GetValue("Dmn","Name",SCF2)</f>
        <v/>
      </c>
      <c r="SCG3" s="1" t="str" cm="1">
        <f t="array" ref="SCG3">GetValue("Dmn","Name",SCG2)</f>
        <v/>
      </c>
      <c r="SCH3" s="1" t="str" cm="1">
        <f t="array" ref="SCH3">GetValue("Dmn","Name",SCH2)</f>
        <v/>
      </c>
      <c r="SCI3" s="1" t="str" cm="1">
        <f t="array" ref="SCI3">GetValue("Dmn","Name",SCI2)</f>
        <v/>
      </c>
      <c r="SCJ3" s="1" t="str" cm="1">
        <f t="array" ref="SCJ3">GetValue("Dmn","Name",SCJ2)</f>
        <v/>
      </c>
      <c r="SCK3" s="1" t="str" cm="1">
        <f t="array" ref="SCK3">GetValue("Dmn","Name",SCK2)</f>
        <v/>
      </c>
      <c r="SCL3" s="1" t="str" cm="1">
        <f t="array" ref="SCL3">GetValue("Dmn","Name",SCL2)</f>
        <v/>
      </c>
      <c r="SCM3" s="1" t="str" cm="1">
        <f t="array" ref="SCM3">GetValue("Dmn","Name",SCM2)</f>
        <v/>
      </c>
      <c r="SCN3" s="1" t="str" cm="1">
        <f t="array" ref="SCN3">GetValue("Dmn","Name",SCN2)</f>
        <v/>
      </c>
      <c r="SCO3" s="1" t="str" cm="1">
        <f t="array" ref="SCO3">GetValue("Dmn","Name",SCO2)</f>
        <v/>
      </c>
      <c r="SCP3" s="1" t="str" cm="1">
        <f t="array" ref="SCP3">GetValue("Dmn","Name",SCP2)</f>
        <v/>
      </c>
      <c r="SCQ3" s="1" t="str" cm="1">
        <f t="array" ref="SCQ3">GetValue("Dmn","Name",SCQ2)</f>
        <v/>
      </c>
      <c r="SCR3" s="1" t="str" cm="1">
        <f t="array" ref="SCR3">GetValue("Dmn","Name",SCR2)</f>
        <v/>
      </c>
      <c r="SCS3" s="1" t="str" cm="1">
        <f t="array" ref="SCS3">GetValue("Dmn","Name",SCS2)</f>
        <v/>
      </c>
      <c r="SCT3" s="1" t="str" cm="1">
        <f t="array" ref="SCT3">GetValue("Dmn","Name",SCT2)</f>
        <v/>
      </c>
      <c r="SCU3" s="1" t="str" cm="1">
        <f t="array" ref="SCU3">GetValue("Dmn","Name",SCU2)</f>
        <v/>
      </c>
      <c r="SCV3" s="1" t="str" cm="1">
        <f t="array" ref="SCV3">GetValue("Dmn","Name",SCV2)</f>
        <v/>
      </c>
      <c r="SCW3" s="1" t="str" cm="1">
        <f t="array" ref="SCW3">GetValue("Dmn","Name",SCW2)</f>
        <v/>
      </c>
      <c r="SCX3" s="1" t="str" cm="1">
        <f t="array" ref="SCX3">GetValue("Dmn","Name",SCX2)</f>
        <v/>
      </c>
      <c r="SCY3" s="1" t="str" cm="1">
        <f t="array" ref="SCY3">GetValue("Dmn","Name",SCY2)</f>
        <v/>
      </c>
      <c r="SCZ3" s="1" t="str" cm="1">
        <f t="array" ref="SCZ3">GetValue("Dmn","Name",SCZ2)</f>
        <v/>
      </c>
      <c r="SDA3" s="1" t="str" cm="1">
        <f t="array" ref="SDA3">GetValue("Dmn","Name",SDA2)</f>
        <v/>
      </c>
      <c r="SDB3" s="1" t="str" cm="1">
        <f t="array" ref="SDB3">GetValue("Dmn","Name",SDB2)</f>
        <v/>
      </c>
      <c r="SDC3" s="1" t="str" cm="1">
        <f t="array" ref="SDC3">GetValue("Dmn","Name",SDC2)</f>
        <v/>
      </c>
      <c r="SDD3" s="1" t="str" cm="1">
        <f t="array" ref="SDD3">GetValue("Dmn","Name",SDD2)</f>
        <v/>
      </c>
      <c r="SDE3" s="1" t="str" cm="1">
        <f t="array" ref="SDE3">GetValue("Dmn","Name",SDE2)</f>
        <v/>
      </c>
      <c r="SDF3" s="1" t="str" cm="1">
        <f t="array" ref="SDF3">GetValue("Dmn","Name",SDF2)</f>
        <v/>
      </c>
      <c r="SDG3" s="1" t="str" cm="1">
        <f t="array" ref="SDG3">GetValue("Dmn","Name",SDG2)</f>
        <v/>
      </c>
      <c r="SDH3" s="1" t="str" cm="1">
        <f t="array" ref="SDH3">GetValue("Dmn","Name",SDH2)</f>
        <v/>
      </c>
      <c r="SDI3" s="1" t="str" cm="1">
        <f t="array" ref="SDI3">GetValue("Dmn","Name",SDI2)</f>
        <v/>
      </c>
      <c r="SDJ3" s="1" t="str" cm="1">
        <f t="array" ref="SDJ3">GetValue("Dmn","Name",SDJ2)</f>
        <v/>
      </c>
      <c r="SDK3" s="1" t="str" cm="1">
        <f t="array" ref="SDK3">GetValue("Dmn","Name",SDK2)</f>
        <v/>
      </c>
      <c r="SDL3" s="1" t="str" cm="1">
        <f t="array" ref="SDL3">GetValue("Dmn","Name",SDL2)</f>
        <v/>
      </c>
      <c r="SDM3" s="1" t="str" cm="1">
        <f t="array" ref="SDM3">GetValue("Dmn","Name",SDM2)</f>
        <v/>
      </c>
      <c r="SDN3" s="1" t="str" cm="1">
        <f t="array" ref="SDN3">GetValue("Dmn","Name",SDN2)</f>
        <v/>
      </c>
      <c r="SDO3" s="1" t="str" cm="1">
        <f t="array" ref="SDO3">GetValue("Dmn","Name",SDO2)</f>
        <v/>
      </c>
      <c r="SDP3" s="1" t="str" cm="1">
        <f t="array" ref="SDP3">GetValue("Dmn","Name",SDP2)</f>
        <v/>
      </c>
      <c r="SDQ3" s="1" t="str" cm="1">
        <f t="array" ref="SDQ3">GetValue("Dmn","Name",SDQ2)</f>
        <v/>
      </c>
      <c r="SDR3" s="1" t="str" cm="1">
        <f t="array" ref="SDR3">GetValue("Dmn","Name",SDR2)</f>
        <v/>
      </c>
      <c r="SDS3" s="1" t="str" cm="1">
        <f t="array" ref="SDS3">GetValue("Dmn","Name",SDS2)</f>
        <v/>
      </c>
      <c r="SDT3" s="1" t="str" cm="1">
        <f t="array" ref="SDT3">GetValue("Dmn","Name",SDT2)</f>
        <v/>
      </c>
      <c r="SDU3" s="1" t="str" cm="1">
        <f t="array" ref="SDU3">GetValue("Dmn","Name",SDU2)</f>
        <v/>
      </c>
      <c r="SDV3" s="1" t="str" cm="1">
        <f t="array" ref="SDV3">GetValue("Dmn","Name",SDV2)</f>
        <v/>
      </c>
      <c r="SDW3" s="1" t="str" cm="1">
        <f t="array" ref="SDW3">GetValue("Dmn","Name",SDW2)</f>
        <v/>
      </c>
      <c r="SDX3" s="1" t="str" cm="1">
        <f t="array" ref="SDX3">GetValue("Dmn","Name",SDX2)</f>
        <v/>
      </c>
      <c r="SDY3" s="1" t="str" cm="1">
        <f t="array" ref="SDY3">GetValue("Dmn","Name",SDY2)</f>
        <v/>
      </c>
      <c r="SDZ3" s="1" t="str" cm="1">
        <f t="array" ref="SDZ3">GetValue("Dmn","Name",SDZ2)</f>
        <v/>
      </c>
      <c r="SEA3" s="1" t="str" cm="1">
        <f t="array" ref="SEA3">GetValue("Dmn","Name",SEA2)</f>
        <v/>
      </c>
      <c r="SEB3" s="1" t="str" cm="1">
        <f t="array" ref="SEB3">GetValue("Dmn","Name",SEB2)</f>
        <v/>
      </c>
      <c r="SEC3" s="1" t="str" cm="1">
        <f t="array" ref="SEC3">GetValue("Dmn","Name",SEC2)</f>
        <v/>
      </c>
      <c r="SED3" s="1" t="str" cm="1">
        <f t="array" ref="SED3">GetValue("Dmn","Name",SED2)</f>
        <v/>
      </c>
      <c r="SEE3" s="1" t="str" cm="1">
        <f t="array" ref="SEE3">GetValue("Dmn","Name",SEE2)</f>
        <v/>
      </c>
      <c r="SEF3" s="1" t="str" cm="1">
        <f t="array" ref="SEF3">GetValue("Dmn","Name",SEF2)</f>
        <v/>
      </c>
      <c r="SEG3" s="1" t="str" cm="1">
        <f t="array" ref="SEG3">GetValue("Dmn","Name",SEG2)</f>
        <v/>
      </c>
      <c r="SEH3" s="1" t="str" cm="1">
        <f t="array" ref="SEH3">GetValue("Dmn","Name",SEH2)</f>
        <v/>
      </c>
      <c r="SEI3" s="1" t="str" cm="1">
        <f t="array" ref="SEI3">GetValue("Dmn","Name",SEI2)</f>
        <v/>
      </c>
      <c r="SEJ3" s="1" t="str" cm="1">
        <f t="array" ref="SEJ3">GetValue("Dmn","Name",SEJ2)</f>
        <v/>
      </c>
      <c r="SEK3" s="1" t="str" cm="1">
        <f t="array" ref="SEK3">GetValue("Dmn","Name",SEK2)</f>
        <v/>
      </c>
      <c r="SEL3" s="1" t="str" cm="1">
        <f t="array" ref="SEL3">GetValue("Dmn","Name",SEL2)</f>
        <v/>
      </c>
      <c r="SEM3" s="1" t="str" cm="1">
        <f t="array" ref="SEM3">GetValue("Dmn","Name",SEM2)</f>
        <v/>
      </c>
      <c r="SEN3" s="1" t="str" cm="1">
        <f t="array" ref="SEN3">GetValue("Dmn","Name",SEN2)</f>
        <v/>
      </c>
      <c r="SEO3" s="1" t="str" cm="1">
        <f t="array" ref="SEO3">GetValue("Dmn","Name",SEO2)</f>
        <v/>
      </c>
      <c r="SEP3" s="1" t="str" cm="1">
        <f t="array" ref="SEP3">GetValue("Dmn","Name",SEP2)</f>
        <v/>
      </c>
      <c r="SEQ3" s="1" t="str" cm="1">
        <f t="array" ref="SEQ3">GetValue("Dmn","Name",SEQ2)</f>
        <v/>
      </c>
      <c r="SER3" s="1" t="str" cm="1">
        <f t="array" ref="SER3">GetValue("Dmn","Name",SER2)</f>
        <v/>
      </c>
      <c r="SES3" s="1" t="str" cm="1">
        <f t="array" ref="SES3">GetValue("Dmn","Name",SES2)</f>
        <v/>
      </c>
      <c r="SET3" s="1" t="str" cm="1">
        <f t="array" ref="SET3">GetValue("Dmn","Name",SET2)</f>
        <v/>
      </c>
      <c r="SEU3" s="1" t="str" cm="1">
        <f t="array" ref="SEU3">GetValue("Dmn","Name",SEU2)</f>
        <v/>
      </c>
      <c r="SEV3" s="1" t="str" cm="1">
        <f t="array" ref="SEV3">GetValue("Dmn","Name",SEV2)</f>
        <v/>
      </c>
      <c r="SEW3" s="1" t="str" cm="1">
        <f t="array" ref="SEW3">GetValue("Dmn","Name",SEW2)</f>
        <v/>
      </c>
      <c r="SEX3" s="1" t="str" cm="1">
        <f t="array" ref="SEX3">GetValue("Dmn","Name",SEX2)</f>
        <v/>
      </c>
      <c r="SEY3" s="1" t="str" cm="1">
        <f t="array" ref="SEY3">GetValue("Dmn","Name",SEY2)</f>
        <v/>
      </c>
      <c r="SEZ3" s="1" t="str" cm="1">
        <f t="array" ref="SEZ3">GetValue("Dmn","Name",SEZ2)</f>
        <v/>
      </c>
      <c r="SFA3" s="1" t="str" cm="1">
        <f t="array" ref="SFA3">GetValue("Dmn","Name",SFA2)</f>
        <v/>
      </c>
      <c r="SFB3" s="1" t="str" cm="1">
        <f t="array" ref="SFB3">GetValue("Dmn","Name",SFB2)</f>
        <v/>
      </c>
      <c r="SFC3" s="1" t="str" cm="1">
        <f t="array" ref="SFC3">GetValue("Dmn","Name",SFC2)</f>
        <v/>
      </c>
      <c r="SFD3" s="1" t="str" cm="1">
        <f t="array" ref="SFD3">GetValue("Dmn","Name",SFD2)</f>
        <v/>
      </c>
      <c r="SFE3" s="1" t="str" cm="1">
        <f t="array" ref="SFE3">GetValue("Dmn","Name",SFE2)</f>
        <v/>
      </c>
      <c r="SFF3" s="1" t="str" cm="1">
        <f t="array" ref="SFF3">GetValue("Dmn","Name",SFF2)</f>
        <v/>
      </c>
      <c r="SFG3" s="1" t="str" cm="1">
        <f t="array" ref="SFG3">GetValue("Dmn","Name",SFG2)</f>
        <v/>
      </c>
      <c r="SFH3" s="1" t="str" cm="1">
        <f t="array" ref="SFH3">GetValue("Dmn","Name",SFH2)</f>
        <v/>
      </c>
      <c r="SFI3" s="1" t="str" cm="1">
        <f t="array" ref="SFI3">GetValue("Dmn","Name",SFI2)</f>
        <v/>
      </c>
      <c r="SFJ3" s="1" t="str" cm="1">
        <f t="array" ref="SFJ3">GetValue("Dmn","Name",SFJ2)</f>
        <v/>
      </c>
      <c r="SFK3" s="1" t="str" cm="1">
        <f t="array" ref="SFK3">GetValue("Dmn","Name",SFK2)</f>
        <v/>
      </c>
      <c r="SFL3" s="1" t="str" cm="1">
        <f t="array" ref="SFL3">GetValue("Dmn","Name",SFL2)</f>
        <v/>
      </c>
      <c r="SFM3" s="1" t="str" cm="1">
        <f t="array" ref="SFM3">GetValue("Dmn","Name",SFM2)</f>
        <v/>
      </c>
      <c r="SFN3" s="1" t="str" cm="1">
        <f t="array" ref="SFN3">GetValue("Dmn","Name",SFN2)</f>
        <v/>
      </c>
      <c r="SFO3" s="1" t="str" cm="1">
        <f t="array" ref="SFO3">GetValue("Dmn","Name",SFO2)</f>
        <v/>
      </c>
      <c r="SFP3" s="1" t="str" cm="1">
        <f t="array" ref="SFP3">GetValue("Dmn","Name",SFP2)</f>
        <v/>
      </c>
      <c r="SFQ3" s="1" t="str" cm="1">
        <f t="array" ref="SFQ3">GetValue("Dmn","Name",SFQ2)</f>
        <v/>
      </c>
      <c r="SFR3" s="1" t="str" cm="1">
        <f t="array" ref="SFR3">GetValue("Dmn","Name",SFR2)</f>
        <v/>
      </c>
      <c r="SFS3" s="1" t="str" cm="1">
        <f t="array" ref="SFS3">GetValue("Dmn","Name",SFS2)</f>
        <v/>
      </c>
      <c r="SFT3" s="1" t="str" cm="1">
        <f t="array" ref="SFT3">GetValue("Dmn","Name",SFT2)</f>
        <v/>
      </c>
      <c r="SFU3" s="1" t="str" cm="1">
        <f t="array" ref="SFU3">GetValue("Dmn","Name",SFU2)</f>
        <v/>
      </c>
      <c r="SFV3" s="1" t="str" cm="1">
        <f t="array" ref="SFV3">GetValue("Dmn","Name",SFV2)</f>
        <v/>
      </c>
      <c r="SFW3" s="1" t="str" cm="1">
        <f t="array" ref="SFW3">GetValue("Dmn","Name",SFW2)</f>
        <v/>
      </c>
      <c r="SFX3" s="1" t="str" cm="1">
        <f t="array" ref="SFX3">GetValue("Dmn","Name",SFX2)</f>
        <v/>
      </c>
      <c r="SFY3" s="1" t="str" cm="1">
        <f t="array" ref="SFY3">GetValue("Dmn","Name",SFY2)</f>
        <v/>
      </c>
      <c r="SFZ3" s="1" t="str" cm="1">
        <f t="array" ref="SFZ3">GetValue("Dmn","Name",SFZ2)</f>
        <v/>
      </c>
      <c r="SGA3" s="1" t="str" cm="1">
        <f t="array" ref="SGA3">GetValue("Dmn","Name",SGA2)</f>
        <v/>
      </c>
      <c r="SGB3" s="1" t="str" cm="1">
        <f t="array" ref="SGB3">GetValue("Dmn","Name",SGB2)</f>
        <v/>
      </c>
      <c r="SGC3" s="1" t="str" cm="1">
        <f t="array" ref="SGC3">GetValue("Dmn","Name",SGC2)</f>
        <v/>
      </c>
      <c r="SGD3" s="1" t="str" cm="1">
        <f t="array" ref="SGD3">GetValue("Dmn","Name",SGD2)</f>
        <v/>
      </c>
      <c r="SGE3" s="1" t="str" cm="1">
        <f t="array" ref="SGE3">GetValue("Dmn","Name",SGE2)</f>
        <v/>
      </c>
      <c r="SGF3" s="1" t="str" cm="1">
        <f t="array" ref="SGF3">GetValue("Dmn","Name",SGF2)</f>
        <v/>
      </c>
      <c r="SGG3" s="1" t="str" cm="1">
        <f t="array" ref="SGG3">GetValue("Dmn","Name",SGG2)</f>
        <v/>
      </c>
      <c r="SGH3" s="1" t="str" cm="1">
        <f t="array" ref="SGH3">GetValue("Dmn","Name",SGH2)</f>
        <v/>
      </c>
      <c r="SGI3" s="1" t="str" cm="1">
        <f t="array" ref="SGI3">GetValue("Dmn","Name",SGI2)</f>
        <v/>
      </c>
      <c r="SGJ3" s="1" t="str" cm="1">
        <f t="array" ref="SGJ3">GetValue("Dmn","Name",SGJ2)</f>
        <v/>
      </c>
      <c r="SGK3" s="1" t="str" cm="1">
        <f t="array" ref="SGK3">GetValue("Dmn","Name",SGK2)</f>
        <v/>
      </c>
      <c r="SGL3" s="1" t="str" cm="1">
        <f t="array" ref="SGL3">GetValue("Dmn","Name",SGL2)</f>
        <v/>
      </c>
      <c r="SGM3" s="1" t="str" cm="1">
        <f t="array" ref="SGM3">GetValue("Dmn","Name",SGM2)</f>
        <v/>
      </c>
      <c r="SGN3" s="1" t="str" cm="1">
        <f t="array" ref="SGN3">GetValue("Dmn","Name",SGN2)</f>
        <v/>
      </c>
      <c r="SGO3" s="1" t="str" cm="1">
        <f t="array" ref="SGO3">GetValue("Dmn","Name",SGO2)</f>
        <v/>
      </c>
      <c r="SGP3" s="1" t="str" cm="1">
        <f t="array" ref="SGP3">GetValue("Dmn","Name",SGP2)</f>
        <v/>
      </c>
      <c r="SGQ3" s="1" t="str" cm="1">
        <f t="array" ref="SGQ3">GetValue("Dmn","Name",SGQ2)</f>
        <v/>
      </c>
      <c r="SGR3" s="1" t="str" cm="1">
        <f t="array" ref="SGR3">GetValue("Dmn","Name",SGR2)</f>
        <v/>
      </c>
      <c r="SGS3" s="1" t="str" cm="1">
        <f t="array" ref="SGS3">GetValue("Dmn","Name",SGS2)</f>
        <v/>
      </c>
      <c r="SGT3" s="1" t="str" cm="1">
        <f t="array" ref="SGT3">GetValue("Dmn","Name",SGT2)</f>
        <v/>
      </c>
      <c r="SGU3" s="1" t="str" cm="1">
        <f t="array" ref="SGU3">GetValue("Dmn","Name",SGU2)</f>
        <v/>
      </c>
      <c r="SGV3" s="1" t="str" cm="1">
        <f t="array" ref="SGV3">GetValue("Dmn","Name",SGV2)</f>
        <v/>
      </c>
      <c r="SGW3" s="1" t="str" cm="1">
        <f t="array" ref="SGW3">GetValue("Dmn","Name",SGW2)</f>
        <v/>
      </c>
      <c r="SGX3" s="1" t="str" cm="1">
        <f t="array" ref="SGX3">GetValue("Dmn","Name",SGX2)</f>
        <v/>
      </c>
      <c r="SGY3" s="1" t="str" cm="1">
        <f t="array" ref="SGY3">GetValue("Dmn","Name",SGY2)</f>
        <v/>
      </c>
      <c r="SGZ3" s="1" t="str" cm="1">
        <f t="array" ref="SGZ3">GetValue("Dmn","Name",SGZ2)</f>
        <v/>
      </c>
      <c r="SHA3" s="1" t="str" cm="1">
        <f t="array" ref="SHA3">GetValue("Dmn","Name",SHA2)</f>
        <v/>
      </c>
      <c r="SHB3" s="1" t="str" cm="1">
        <f t="array" ref="SHB3">GetValue("Dmn","Name",SHB2)</f>
        <v/>
      </c>
      <c r="SHC3" s="1" t="str" cm="1">
        <f t="array" ref="SHC3">GetValue("Dmn","Name",SHC2)</f>
        <v/>
      </c>
      <c r="SHD3" s="1" t="str" cm="1">
        <f t="array" ref="SHD3">GetValue("Dmn","Name",SHD2)</f>
        <v/>
      </c>
      <c r="SHE3" s="1" t="str" cm="1">
        <f t="array" ref="SHE3">GetValue("Dmn","Name",SHE2)</f>
        <v/>
      </c>
      <c r="SHF3" s="1" t="str" cm="1">
        <f t="array" ref="SHF3">GetValue("Dmn","Name",SHF2)</f>
        <v/>
      </c>
      <c r="SHG3" s="1" t="str" cm="1">
        <f t="array" ref="SHG3">GetValue("Dmn","Name",SHG2)</f>
        <v/>
      </c>
      <c r="SHH3" s="1" t="str" cm="1">
        <f t="array" ref="SHH3">GetValue("Dmn","Name",SHH2)</f>
        <v/>
      </c>
      <c r="SHI3" s="1" t="str" cm="1">
        <f t="array" ref="SHI3">GetValue("Dmn","Name",SHI2)</f>
        <v/>
      </c>
      <c r="SHJ3" s="1" t="str" cm="1">
        <f t="array" ref="SHJ3">GetValue("Dmn","Name",SHJ2)</f>
        <v/>
      </c>
      <c r="SHK3" s="1" t="str" cm="1">
        <f t="array" ref="SHK3">GetValue("Dmn","Name",SHK2)</f>
        <v/>
      </c>
      <c r="SHL3" s="1" t="str" cm="1">
        <f t="array" ref="SHL3">GetValue("Dmn","Name",SHL2)</f>
        <v/>
      </c>
      <c r="SHM3" s="1" t="str" cm="1">
        <f t="array" ref="SHM3">GetValue("Dmn","Name",SHM2)</f>
        <v/>
      </c>
      <c r="SHN3" s="1" t="str" cm="1">
        <f t="array" ref="SHN3">GetValue("Dmn","Name",SHN2)</f>
        <v/>
      </c>
      <c r="SHO3" s="1" t="str" cm="1">
        <f t="array" ref="SHO3">GetValue("Dmn","Name",SHO2)</f>
        <v/>
      </c>
      <c r="SHP3" s="1" t="str" cm="1">
        <f t="array" ref="SHP3">GetValue("Dmn","Name",SHP2)</f>
        <v/>
      </c>
      <c r="SHQ3" s="1" t="str" cm="1">
        <f t="array" ref="SHQ3">GetValue("Dmn","Name",SHQ2)</f>
        <v/>
      </c>
      <c r="SHR3" s="1" t="str" cm="1">
        <f t="array" ref="SHR3">GetValue("Dmn","Name",SHR2)</f>
        <v/>
      </c>
      <c r="SHS3" s="1" t="str" cm="1">
        <f t="array" ref="SHS3">GetValue("Dmn","Name",SHS2)</f>
        <v/>
      </c>
      <c r="SHT3" s="1" t="str" cm="1">
        <f t="array" ref="SHT3">GetValue("Dmn","Name",SHT2)</f>
        <v/>
      </c>
      <c r="SHU3" s="1" t="str" cm="1">
        <f t="array" ref="SHU3">GetValue("Dmn","Name",SHU2)</f>
        <v/>
      </c>
      <c r="SHV3" s="1" t="str" cm="1">
        <f t="array" ref="SHV3">GetValue("Dmn","Name",SHV2)</f>
        <v/>
      </c>
      <c r="SHW3" s="1" t="str" cm="1">
        <f t="array" ref="SHW3">GetValue("Dmn","Name",SHW2)</f>
        <v/>
      </c>
      <c r="SHX3" s="1" t="str" cm="1">
        <f t="array" ref="SHX3">GetValue("Dmn","Name",SHX2)</f>
        <v/>
      </c>
      <c r="SHY3" s="1" t="str" cm="1">
        <f t="array" ref="SHY3">GetValue("Dmn","Name",SHY2)</f>
        <v/>
      </c>
      <c r="SHZ3" s="1" t="str" cm="1">
        <f t="array" ref="SHZ3">GetValue("Dmn","Name",SHZ2)</f>
        <v/>
      </c>
      <c r="SIA3" s="1" t="str" cm="1">
        <f t="array" ref="SIA3">GetValue("Dmn","Name",SIA2)</f>
        <v/>
      </c>
      <c r="SIB3" s="1" t="str" cm="1">
        <f t="array" ref="SIB3">GetValue("Dmn","Name",SIB2)</f>
        <v/>
      </c>
      <c r="SIC3" s="1" t="str" cm="1">
        <f t="array" ref="SIC3">GetValue("Dmn","Name",SIC2)</f>
        <v/>
      </c>
      <c r="SID3" s="1" t="str" cm="1">
        <f t="array" ref="SID3">GetValue("Dmn","Name",SID2)</f>
        <v/>
      </c>
      <c r="SIE3" s="1" t="str" cm="1">
        <f t="array" ref="SIE3">GetValue("Dmn","Name",SIE2)</f>
        <v/>
      </c>
      <c r="SIF3" s="1" t="str" cm="1">
        <f t="array" ref="SIF3">GetValue("Dmn","Name",SIF2)</f>
        <v/>
      </c>
      <c r="SIG3" s="1" t="str" cm="1">
        <f t="array" ref="SIG3">GetValue("Dmn","Name",SIG2)</f>
        <v/>
      </c>
      <c r="SIH3" s="1" t="str" cm="1">
        <f t="array" ref="SIH3">GetValue("Dmn","Name",SIH2)</f>
        <v/>
      </c>
      <c r="SII3" s="1" t="str" cm="1">
        <f t="array" ref="SII3">GetValue("Dmn","Name",SII2)</f>
        <v/>
      </c>
      <c r="SIJ3" s="1" t="str" cm="1">
        <f t="array" ref="SIJ3">GetValue("Dmn","Name",SIJ2)</f>
        <v/>
      </c>
      <c r="SIK3" s="1" t="str" cm="1">
        <f t="array" ref="SIK3">GetValue("Dmn","Name",SIK2)</f>
        <v/>
      </c>
      <c r="SIL3" s="1" t="str" cm="1">
        <f t="array" ref="SIL3">GetValue("Dmn","Name",SIL2)</f>
        <v/>
      </c>
      <c r="SIM3" s="1" t="str" cm="1">
        <f t="array" ref="SIM3">GetValue("Dmn","Name",SIM2)</f>
        <v/>
      </c>
      <c r="SIN3" s="1" t="str" cm="1">
        <f t="array" ref="SIN3">GetValue("Dmn","Name",SIN2)</f>
        <v/>
      </c>
      <c r="SIO3" s="1" t="str" cm="1">
        <f t="array" ref="SIO3">GetValue("Dmn","Name",SIO2)</f>
        <v/>
      </c>
      <c r="SIP3" s="1" t="str" cm="1">
        <f t="array" ref="SIP3">GetValue("Dmn","Name",SIP2)</f>
        <v/>
      </c>
      <c r="SIQ3" s="1" t="str" cm="1">
        <f t="array" ref="SIQ3">GetValue("Dmn","Name",SIQ2)</f>
        <v/>
      </c>
      <c r="SIR3" s="1" t="str" cm="1">
        <f t="array" ref="SIR3">GetValue("Dmn","Name",SIR2)</f>
        <v/>
      </c>
      <c r="SIS3" s="1" t="str" cm="1">
        <f t="array" ref="SIS3">GetValue("Dmn","Name",SIS2)</f>
        <v/>
      </c>
      <c r="SIT3" s="1" t="str" cm="1">
        <f t="array" ref="SIT3">GetValue("Dmn","Name",SIT2)</f>
        <v/>
      </c>
      <c r="SIU3" s="1" t="str" cm="1">
        <f t="array" ref="SIU3">GetValue("Dmn","Name",SIU2)</f>
        <v/>
      </c>
      <c r="SIV3" s="1" t="str" cm="1">
        <f t="array" ref="SIV3">GetValue("Dmn","Name",SIV2)</f>
        <v/>
      </c>
      <c r="SIW3" s="1" t="str" cm="1">
        <f t="array" ref="SIW3">GetValue("Dmn","Name",SIW2)</f>
        <v/>
      </c>
      <c r="SIX3" s="1" t="str" cm="1">
        <f t="array" ref="SIX3">GetValue("Dmn","Name",SIX2)</f>
        <v/>
      </c>
      <c r="SIY3" s="1" t="str" cm="1">
        <f t="array" ref="SIY3">GetValue("Dmn","Name",SIY2)</f>
        <v/>
      </c>
      <c r="SIZ3" s="1" t="str" cm="1">
        <f t="array" ref="SIZ3">GetValue("Dmn","Name",SIZ2)</f>
        <v/>
      </c>
      <c r="SJA3" s="1" t="str" cm="1">
        <f t="array" ref="SJA3">GetValue("Dmn","Name",SJA2)</f>
        <v/>
      </c>
      <c r="SJB3" s="1" t="str" cm="1">
        <f t="array" ref="SJB3">GetValue("Dmn","Name",SJB2)</f>
        <v/>
      </c>
      <c r="SJC3" s="1" t="str" cm="1">
        <f t="array" ref="SJC3">GetValue("Dmn","Name",SJC2)</f>
        <v/>
      </c>
      <c r="SJD3" s="1" t="str" cm="1">
        <f t="array" ref="SJD3">GetValue("Dmn","Name",SJD2)</f>
        <v/>
      </c>
      <c r="SJE3" s="1" t="str" cm="1">
        <f t="array" ref="SJE3">GetValue("Dmn","Name",SJE2)</f>
        <v/>
      </c>
      <c r="SJF3" s="1" t="str" cm="1">
        <f t="array" ref="SJF3">GetValue("Dmn","Name",SJF2)</f>
        <v/>
      </c>
      <c r="SJG3" s="1" t="str" cm="1">
        <f t="array" ref="SJG3">GetValue("Dmn","Name",SJG2)</f>
        <v/>
      </c>
      <c r="SJH3" s="1" t="str" cm="1">
        <f t="array" ref="SJH3">GetValue("Dmn","Name",SJH2)</f>
        <v/>
      </c>
      <c r="SJI3" s="1" t="str" cm="1">
        <f t="array" ref="SJI3">GetValue("Dmn","Name",SJI2)</f>
        <v/>
      </c>
      <c r="SJJ3" s="1" t="str" cm="1">
        <f t="array" ref="SJJ3">GetValue("Dmn","Name",SJJ2)</f>
        <v/>
      </c>
      <c r="SJK3" s="1" t="str" cm="1">
        <f t="array" ref="SJK3">GetValue("Dmn","Name",SJK2)</f>
        <v/>
      </c>
      <c r="SJL3" s="1" t="str" cm="1">
        <f t="array" ref="SJL3">GetValue("Dmn","Name",SJL2)</f>
        <v/>
      </c>
      <c r="SJM3" s="1" t="str" cm="1">
        <f t="array" ref="SJM3">GetValue("Dmn","Name",SJM2)</f>
        <v/>
      </c>
      <c r="SJN3" s="1" t="str" cm="1">
        <f t="array" ref="SJN3">GetValue("Dmn","Name",SJN2)</f>
        <v/>
      </c>
      <c r="SJO3" s="1" t="str" cm="1">
        <f t="array" ref="SJO3">GetValue("Dmn","Name",SJO2)</f>
        <v/>
      </c>
      <c r="SJP3" s="1" t="str" cm="1">
        <f t="array" ref="SJP3">GetValue("Dmn","Name",SJP2)</f>
        <v/>
      </c>
      <c r="SJQ3" s="1" t="str" cm="1">
        <f t="array" ref="SJQ3">GetValue("Dmn","Name",SJQ2)</f>
        <v/>
      </c>
      <c r="SJR3" s="1" t="str" cm="1">
        <f t="array" ref="SJR3">GetValue("Dmn","Name",SJR2)</f>
        <v/>
      </c>
      <c r="SJS3" s="1" t="str" cm="1">
        <f t="array" ref="SJS3">GetValue("Dmn","Name",SJS2)</f>
        <v/>
      </c>
      <c r="SJT3" s="1" t="str" cm="1">
        <f t="array" ref="SJT3">GetValue("Dmn","Name",SJT2)</f>
        <v/>
      </c>
      <c r="SJU3" s="1" t="str" cm="1">
        <f t="array" ref="SJU3">GetValue("Dmn","Name",SJU2)</f>
        <v/>
      </c>
      <c r="SJV3" s="1" t="str" cm="1">
        <f t="array" ref="SJV3">GetValue("Dmn","Name",SJV2)</f>
        <v/>
      </c>
      <c r="SJW3" s="1" t="str" cm="1">
        <f t="array" ref="SJW3">GetValue("Dmn","Name",SJW2)</f>
        <v/>
      </c>
      <c r="SJX3" s="1" t="str" cm="1">
        <f t="array" ref="SJX3">GetValue("Dmn","Name",SJX2)</f>
        <v/>
      </c>
      <c r="SJY3" s="1" t="str" cm="1">
        <f t="array" ref="SJY3">GetValue("Dmn","Name",SJY2)</f>
        <v/>
      </c>
      <c r="SJZ3" s="1" t="str" cm="1">
        <f t="array" ref="SJZ3">GetValue("Dmn","Name",SJZ2)</f>
        <v/>
      </c>
      <c r="SKA3" s="1" t="str" cm="1">
        <f t="array" ref="SKA3">GetValue("Dmn","Name",SKA2)</f>
        <v/>
      </c>
      <c r="SKB3" s="1" t="str" cm="1">
        <f t="array" ref="SKB3">GetValue("Dmn","Name",SKB2)</f>
        <v/>
      </c>
      <c r="SKC3" s="1" t="str" cm="1">
        <f t="array" ref="SKC3">GetValue("Dmn","Name",SKC2)</f>
        <v/>
      </c>
      <c r="SKD3" s="1" t="str" cm="1">
        <f t="array" ref="SKD3">GetValue("Dmn","Name",SKD2)</f>
        <v/>
      </c>
      <c r="SKE3" s="1" t="str" cm="1">
        <f t="array" ref="SKE3">GetValue("Dmn","Name",SKE2)</f>
        <v/>
      </c>
      <c r="SKF3" s="1" t="str" cm="1">
        <f t="array" ref="SKF3">GetValue("Dmn","Name",SKF2)</f>
        <v/>
      </c>
      <c r="SKG3" s="1" t="str" cm="1">
        <f t="array" ref="SKG3">GetValue("Dmn","Name",SKG2)</f>
        <v/>
      </c>
      <c r="SKH3" s="1" t="str" cm="1">
        <f t="array" ref="SKH3">GetValue("Dmn","Name",SKH2)</f>
        <v/>
      </c>
      <c r="SKI3" s="1" t="str" cm="1">
        <f t="array" ref="SKI3">GetValue("Dmn","Name",SKI2)</f>
        <v/>
      </c>
      <c r="SKJ3" s="1" t="str" cm="1">
        <f t="array" ref="SKJ3">GetValue("Dmn","Name",SKJ2)</f>
        <v/>
      </c>
      <c r="SKK3" s="1" t="str" cm="1">
        <f t="array" ref="SKK3">GetValue("Dmn","Name",SKK2)</f>
        <v/>
      </c>
      <c r="SKL3" s="1" t="str" cm="1">
        <f t="array" ref="SKL3">GetValue("Dmn","Name",SKL2)</f>
        <v/>
      </c>
      <c r="SKM3" s="1" t="str" cm="1">
        <f t="array" ref="SKM3">GetValue("Dmn","Name",SKM2)</f>
        <v/>
      </c>
      <c r="SKN3" s="1" t="str" cm="1">
        <f t="array" ref="SKN3">GetValue("Dmn","Name",SKN2)</f>
        <v/>
      </c>
      <c r="SKO3" s="1" t="str" cm="1">
        <f t="array" ref="SKO3">GetValue("Dmn","Name",SKO2)</f>
        <v/>
      </c>
      <c r="SKP3" s="1" t="str" cm="1">
        <f t="array" ref="SKP3">GetValue("Dmn","Name",SKP2)</f>
        <v/>
      </c>
      <c r="SKQ3" s="1" t="str" cm="1">
        <f t="array" ref="SKQ3">GetValue("Dmn","Name",SKQ2)</f>
        <v/>
      </c>
      <c r="SKR3" s="1" t="str" cm="1">
        <f t="array" ref="SKR3">GetValue("Dmn","Name",SKR2)</f>
        <v/>
      </c>
      <c r="SKS3" s="1" t="str" cm="1">
        <f t="array" ref="SKS3">GetValue("Dmn","Name",SKS2)</f>
        <v/>
      </c>
      <c r="SKT3" s="1" t="str" cm="1">
        <f t="array" ref="SKT3">GetValue("Dmn","Name",SKT2)</f>
        <v/>
      </c>
      <c r="SKU3" s="1" t="str" cm="1">
        <f t="array" ref="SKU3">GetValue("Dmn","Name",SKU2)</f>
        <v/>
      </c>
      <c r="SKV3" s="1" t="str" cm="1">
        <f t="array" ref="SKV3">GetValue("Dmn","Name",SKV2)</f>
        <v/>
      </c>
      <c r="SKW3" s="1" t="str" cm="1">
        <f t="array" ref="SKW3">GetValue("Dmn","Name",SKW2)</f>
        <v/>
      </c>
      <c r="SKX3" s="1" t="str" cm="1">
        <f t="array" ref="SKX3">GetValue("Dmn","Name",SKX2)</f>
        <v/>
      </c>
      <c r="SKY3" s="1" t="str" cm="1">
        <f t="array" ref="SKY3">GetValue("Dmn","Name",SKY2)</f>
        <v/>
      </c>
      <c r="SKZ3" s="1" t="str" cm="1">
        <f t="array" ref="SKZ3">GetValue("Dmn","Name",SKZ2)</f>
        <v/>
      </c>
      <c r="SLA3" s="1" t="str" cm="1">
        <f t="array" ref="SLA3">GetValue("Dmn","Name",SLA2)</f>
        <v/>
      </c>
      <c r="SLB3" s="1" t="str" cm="1">
        <f t="array" ref="SLB3">GetValue("Dmn","Name",SLB2)</f>
        <v/>
      </c>
      <c r="SLC3" s="1" t="str" cm="1">
        <f t="array" ref="SLC3">GetValue("Dmn","Name",SLC2)</f>
        <v/>
      </c>
      <c r="SLD3" s="1" t="str" cm="1">
        <f t="array" ref="SLD3">GetValue("Dmn","Name",SLD2)</f>
        <v/>
      </c>
      <c r="SLE3" s="1" t="str" cm="1">
        <f t="array" ref="SLE3">GetValue("Dmn","Name",SLE2)</f>
        <v/>
      </c>
      <c r="SLF3" s="1" t="str" cm="1">
        <f t="array" ref="SLF3">GetValue("Dmn","Name",SLF2)</f>
        <v/>
      </c>
      <c r="SLG3" s="1" t="str" cm="1">
        <f t="array" ref="SLG3">GetValue("Dmn","Name",SLG2)</f>
        <v/>
      </c>
      <c r="SLH3" s="1" t="str" cm="1">
        <f t="array" ref="SLH3">GetValue("Dmn","Name",SLH2)</f>
        <v/>
      </c>
      <c r="SLI3" s="1" t="str" cm="1">
        <f t="array" ref="SLI3">GetValue("Dmn","Name",SLI2)</f>
        <v/>
      </c>
      <c r="SLJ3" s="1" t="str" cm="1">
        <f t="array" ref="SLJ3">GetValue("Dmn","Name",SLJ2)</f>
        <v/>
      </c>
      <c r="SLK3" s="1" t="str" cm="1">
        <f t="array" ref="SLK3">GetValue("Dmn","Name",SLK2)</f>
        <v/>
      </c>
      <c r="SLL3" s="1" t="str" cm="1">
        <f t="array" ref="SLL3">GetValue("Dmn","Name",SLL2)</f>
        <v/>
      </c>
      <c r="SLM3" s="1" t="str" cm="1">
        <f t="array" ref="SLM3">GetValue("Dmn","Name",SLM2)</f>
        <v/>
      </c>
      <c r="SLN3" s="1" t="str" cm="1">
        <f t="array" ref="SLN3">GetValue("Dmn","Name",SLN2)</f>
        <v/>
      </c>
      <c r="SLO3" s="1" t="str" cm="1">
        <f t="array" ref="SLO3">GetValue("Dmn","Name",SLO2)</f>
        <v/>
      </c>
      <c r="SLP3" s="1" t="str" cm="1">
        <f t="array" ref="SLP3">GetValue("Dmn","Name",SLP2)</f>
        <v/>
      </c>
      <c r="SLQ3" s="1" t="str" cm="1">
        <f t="array" ref="SLQ3">GetValue("Dmn","Name",SLQ2)</f>
        <v/>
      </c>
      <c r="SLR3" s="1" t="str" cm="1">
        <f t="array" ref="SLR3">GetValue("Dmn","Name",SLR2)</f>
        <v/>
      </c>
      <c r="SLS3" s="1" t="str" cm="1">
        <f t="array" ref="SLS3">GetValue("Dmn","Name",SLS2)</f>
        <v/>
      </c>
      <c r="SLT3" s="1" t="str" cm="1">
        <f t="array" ref="SLT3">GetValue("Dmn","Name",SLT2)</f>
        <v/>
      </c>
      <c r="SLU3" s="1" t="str" cm="1">
        <f t="array" ref="SLU3">GetValue("Dmn","Name",SLU2)</f>
        <v/>
      </c>
      <c r="SLV3" s="1" t="str" cm="1">
        <f t="array" ref="SLV3">GetValue("Dmn","Name",SLV2)</f>
        <v/>
      </c>
      <c r="SLW3" s="1" t="str" cm="1">
        <f t="array" ref="SLW3">GetValue("Dmn","Name",SLW2)</f>
        <v/>
      </c>
      <c r="SLX3" s="1" t="str" cm="1">
        <f t="array" ref="SLX3">GetValue("Dmn","Name",SLX2)</f>
        <v/>
      </c>
      <c r="SLY3" s="1" t="str" cm="1">
        <f t="array" ref="SLY3">GetValue("Dmn","Name",SLY2)</f>
        <v/>
      </c>
      <c r="SLZ3" s="1" t="str" cm="1">
        <f t="array" ref="SLZ3">GetValue("Dmn","Name",SLZ2)</f>
        <v/>
      </c>
      <c r="SMA3" s="1" t="str" cm="1">
        <f t="array" ref="SMA3">GetValue("Dmn","Name",SMA2)</f>
        <v/>
      </c>
      <c r="SMB3" s="1" t="str" cm="1">
        <f t="array" ref="SMB3">GetValue("Dmn","Name",SMB2)</f>
        <v/>
      </c>
      <c r="SMC3" s="1" t="str" cm="1">
        <f t="array" ref="SMC3">GetValue("Dmn","Name",SMC2)</f>
        <v/>
      </c>
      <c r="SMD3" s="1" t="str" cm="1">
        <f t="array" ref="SMD3">GetValue("Dmn","Name",SMD2)</f>
        <v/>
      </c>
      <c r="SME3" s="1" t="str" cm="1">
        <f t="array" ref="SME3">GetValue("Dmn","Name",SME2)</f>
        <v/>
      </c>
      <c r="SMF3" s="1" t="str" cm="1">
        <f t="array" ref="SMF3">GetValue("Dmn","Name",SMF2)</f>
        <v/>
      </c>
      <c r="SMG3" s="1" t="str" cm="1">
        <f t="array" ref="SMG3">GetValue("Dmn","Name",SMG2)</f>
        <v/>
      </c>
      <c r="SMH3" s="1" t="str" cm="1">
        <f t="array" ref="SMH3">GetValue("Dmn","Name",SMH2)</f>
        <v/>
      </c>
      <c r="SMI3" s="1" t="str" cm="1">
        <f t="array" ref="SMI3">GetValue("Dmn","Name",SMI2)</f>
        <v/>
      </c>
      <c r="SMJ3" s="1" t="str" cm="1">
        <f t="array" ref="SMJ3">GetValue("Dmn","Name",SMJ2)</f>
        <v/>
      </c>
      <c r="SMK3" s="1" t="str" cm="1">
        <f t="array" ref="SMK3">GetValue("Dmn","Name",SMK2)</f>
        <v/>
      </c>
      <c r="SML3" s="1" t="str" cm="1">
        <f t="array" ref="SML3">GetValue("Dmn","Name",SML2)</f>
        <v/>
      </c>
      <c r="SMM3" s="1" t="str" cm="1">
        <f t="array" ref="SMM3">GetValue("Dmn","Name",SMM2)</f>
        <v/>
      </c>
      <c r="SMN3" s="1" t="str" cm="1">
        <f t="array" ref="SMN3">GetValue("Dmn","Name",SMN2)</f>
        <v/>
      </c>
      <c r="SMO3" s="1" t="str" cm="1">
        <f t="array" ref="SMO3">GetValue("Dmn","Name",SMO2)</f>
        <v/>
      </c>
      <c r="SMP3" s="1" t="str" cm="1">
        <f t="array" ref="SMP3">GetValue("Dmn","Name",SMP2)</f>
        <v/>
      </c>
      <c r="SMQ3" s="1" t="str" cm="1">
        <f t="array" ref="SMQ3">GetValue("Dmn","Name",SMQ2)</f>
        <v/>
      </c>
      <c r="SMR3" s="1" t="str" cm="1">
        <f t="array" ref="SMR3">GetValue("Dmn","Name",SMR2)</f>
        <v/>
      </c>
      <c r="SMS3" s="1" t="str" cm="1">
        <f t="array" ref="SMS3">GetValue("Dmn","Name",SMS2)</f>
        <v/>
      </c>
      <c r="SMT3" s="1" t="str" cm="1">
        <f t="array" ref="SMT3">GetValue("Dmn","Name",SMT2)</f>
        <v/>
      </c>
      <c r="SMU3" s="1" t="str" cm="1">
        <f t="array" ref="SMU3">GetValue("Dmn","Name",SMU2)</f>
        <v/>
      </c>
      <c r="SMV3" s="1" t="str" cm="1">
        <f t="array" ref="SMV3">GetValue("Dmn","Name",SMV2)</f>
        <v/>
      </c>
      <c r="SMW3" s="1" t="str" cm="1">
        <f t="array" ref="SMW3">GetValue("Dmn","Name",SMW2)</f>
        <v/>
      </c>
      <c r="SMX3" s="1" t="str" cm="1">
        <f t="array" ref="SMX3">GetValue("Dmn","Name",SMX2)</f>
        <v/>
      </c>
      <c r="SMY3" s="1" t="str" cm="1">
        <f t="array" ref="SMY3">GetValue("Dmn","Name",SMY2)</f>
        <v/>
      </c>
      <c r="SMZ3" s="1" t="str" cm="1">
        <f t="array" ref="SMZ3">GetValue("Dmn","Name",SMZ2)</f>
        <v/>
      </c>
      <c r="SNA3" s="1" t="str" cm="1">
        <f t="array" ref="SNA3">GetValue("Dmn","Name",SNA2)</f>
        <v/>
      </c>
      <c r="SNB3" s="1" t="str" cm="1">
        <f t="array" ref="SNB3">GetValue("Dmn","Name",SNB2)</f>
        <v/>
      </c>
      <c r="SNC3" s="1" t="str" cm="1">
        <f t="array" ref="SNC3">GetValue("Dmn","Name",SNC2)</f>
        <v/>
      </c>
      <c r="SND3" s="1" t="str" cm="1">
        <f t="array" ref="SND3">GetValue("Dmn","Name",SND2)</f>
        <v/>
      </c>
      <c r="SNE3" s="1" t="str" cm="1">
        <f t="array" ref="SNE3">GetValue("Dmn","Name",SNE2)</f>
        <v/>
      </c>
      <c r="SNF3" s="1" t="str" cm="1">
        <f t="array" ref="SNF3">GetValue("Dmn","Name",SNF2)</f>
        <v/>
      </c>
      <c r="SNG3" s="1" t="str" cm="1">
        <f t="array" ref="SNG3">GetValue("Dmn","Name",SNG2)</f>
        <v/>
      </c>
      <c r="SNH3" s="1" t="str" cm="1">
        <f t="array" ref="SNH3">GetValue("Dmn","Name",SNH2)</f>
        <v/>
      </c>
      <c r="SNI3" s="1" t="str" cm="1">
        <f t="array" ref="SNI3">GetValue("Dmn","Name",SNI2)</f>
        <v/>
      </c>
      <c r="SNJ3" s="1" t="str" cm="1">
        <f t="array" ref="SNJ3">GetValue("Dmn","Name",SNJ2)</f>
        <v/>
      </c>
      <c r="SNK3" s="1" t="str" cm="1">
        <f t="array" ref="SNK3">GetValue("Dmn","Name",SNK2)</f>
        <v/>
      </c>
      <c r="SNL3" s="1" t="str" cm="1">
        <f t="array" ref="SNL3">GetValue("Dmn","Name",SNL2)</f>
        <v/>
      </c>
      <c r="SNM3" s="1" t="str" cm="1">
        <f t="array" ref="SNM3">GetValue("Dmn","Name",SNM2)</f>
        <v/>
      </c>
      <c r="SNN3" s="1" t="str" cm="1">
        <f t="array" ref="SNN3">GetValue("Dmn","Name",SNN2)</f>
        <v/>
      </c>
      <c r="SNO3" s="1" t="str" cm="1">
        <f t="array" ref="SNO3">GetValue("Dmn","Name",SNO2)</f>
        <v/>
      </c>
      <c r="SNP3" s="1" t="str" cm="1">
        <f t="array" ref="SNP3">GetValue("Dmn","Name",SNP2)</f>
        <v/>
      </c>
      <c r="SNQ3" s="1" t="str" cm="1">
        <f t="array" ref="SNQ3">GetValue("Dmn","Name",SNQ2)</f>
        <v/>
      </c>
      <c r="SNR3" s="1" t="str" cm="1">
        <f t="array" ref="SNR3">GetValue("Dmn","Name",SNR2)</f>
        <v/>
      </c>
      <c r="SNS3" s="1" t="str" cm="1">
        <f t="array" ref="SNS3">GetValue("Dmn","Name",SNS2)</f>
        <v/>
      </c>
      <c r="SNT3" s="1" t="str" cm="1">
        <f t="array" ref="SNT3">GetValue("Dmn","Name",SNT2)</f>
        <v/>
      </c>
      <c r="SNU3" s="1" t="str" cm="1">
        <f t="array" ref="SNU3">GetValue("Dmn","Name",SNU2)</f>
        <v/>
      </c>
      <c r="SNV3" s="1" t="str" cm="1">
        <f t="array" ref="SNV3">GetValue("Dmn","Name",SNV2)</f>
        <v/>
      </c>
      <c r="SNW3" s="1" t="str" cm="1">
        <f t="array" ref="SNW3">GetValue("Dmn","Name",SNW2)</f>
        <v/>
      </c>
      <c r="SNX3" s="1" t="str" cm="1">
        <f t="array" ref="SNX3">GetValue("Dmn","Name",SNX2)</f>
        <v/>
      </c>
      <c r="SNY3" s="1" t="str" cm="1">
        <f t="array" ref="SNY3">GetValue("Dmn","Name",SNY2)</f>
        <v/>
      </c>
      <c r="SNZ3" s="1" t="str" cm="1">
        <f t="array" ref="SNZ3">GetValue("Dmn","Name",SNZ2)</f>
        <v/>
      </c>
      <c r="SOA3" s="1" t="str" cm="1">
        <f t="array" ref="SOA3">GetValue("Dmn","Name",SOA2)</f>
        <v/>
      </c>
      <c r="SOB3" s="1" t="str" cm="1">
        <f t="array" ref="SOB3">GetValue("Dmn","Name",SOB2)</f>
        <v/>
      </c>
      <c r="SOC3" s="1" t="str" cm="1">
        <f t="array" ref="SOC3">GetValue("Dmn","Name",SOC2)</f>
        <v/>
      </c>
      <c r="SOD3" s="1" t="str" cm="1">
        <f t="array" ref="SOD3">GetValue("Dmn","Name",SOD2)</f>
        <v/>
      </c>
      <c r="SOE3" s="1" t="str" cm="1">
        <f t="array" ref="SOE3">GetValue("Dmn","Name",SOE2)</f>
        <v/>
      </c>
      <c r="SOF3" s="1" t="str" cm="1">
        <f t="array" ref="SOF3">GetValue("Dmn","Name",SOF2)</f>
        <v/>
      </c>
      <c r="SOG3" s="1" t="str" cm="1">
        <f t="array" ref="SOG3">GetValue("Dmn","Name",SOG2)</f>
        <v/>
      </c>
      <c r="SOH3" s="1" t="str" cm="1">
        <f t="array" ref="SOH3">GetValue("Dmn","Name",SOH2)</f>
        <v/>
      </c>
      <c r="SOI3" s="1" t="str" cm="1">
        <f t="array" ref="SOI3">GetValue("Dmn","Name",SOI2)</f>
        <v/>
      </c>
      <c r="SOJ3" s="1" t="str" cm="1">
        <f t="array" ref="SOJ3">GetValue("Dmn","Name",SOJ2)</f>
        <v/>
      </c>
      <c r="SOK3" s="1" t="str" cm="1">
        <f t="array" ref="SOK3">GetValue("Dmn","Name",SOK2)</f>
        <v/>
      </c>
      <c r="SOL3" s="1" t="str" cm="1">
        <f t="array" ref="SOL3">GetValue("Dmn","Name",SOL2)</f>
        <v/>
      </c>
      <c r="SOM3" s="1" t="str" cm="1">
        <f t="array" ref="SOM3">GetValue("Dmn","Name",SOM2)</f>
        <v/>
      </c>
      <c r="SON3" s="1" t="str" cm="1">
        <f t="array" ref="SON3">GetValue("Dmn","Name",SON2)</f>
        <v/>
      </c>
      <c r="SOO3" s="1" t="str" cm="1">
        <f t="array" ref="SOO3">GetValue("Dmn","Name",SOO2)</f>
        <v/>
      </c>
      <c r="SOP3" s="1" t="str" cm="1">
        <f t="array" ref="SOP3">GetValue("Dmn","Name",SOP2)</f>
        <v/>
      </c>
      <c r="SOQ3" s="1" t="str" cm="1">
        <f t="array" ref="SOQ3">GetValue("Dmn","Name",SOQ2)</f>
        <v/>
      </c>
      <c r="SOR3" s="1" t="str" cm="1">
        <f t="array" ref="SOR3">GetValue("Dmn","Name",SOR2)</f>
        <v/>
      </c>
      <c r="SOS3" s="1" t="str" cm="1">
        <f t="array" ref="SOS3">GetValue("Dmn","Name",SOS2)</f>
        <v/>
      </c>
      <c r="SOT3" s="1" t="str" cm="1">
        <f t="array" ref="SOT3">GetValue("Dmn","Name",SOT2)</f>
        <v/>
      </c>
      <c r="SOU3" s="1" t="str" cm="1">
        <f t="array" ref="SOU3">GetValue("Dmn","Name",SOU2)</f>
        <v/>
      </c>
      <c r="SOV3" s="1" t="str" cm="1">
        <f t="array" ref="SOV3">GetValue("Dmn","Name",SOV2)</f>
        <v/>
      </c>
      <c r="SOW3" s="1" t="str" cm="1">
        <f t="array" ref="SOW3">GetValue("Dmn","Name",SOW2)</f>
        <v/>
      </c>
      <c r="SOX3" s="1" t="str" cm="1">
        <f t="array" ref="SOX3">GetValue("Dmn","Name",SOX2)</f>
        <v/>
      </c>
      <c r="SOY3" s="1" t="str" cm="1">
        <f t="array" ref="SOY3">GetValue("Dmn","Name",SOY2)</f>
        <v/>
      </c>
      <c r="SOZ3" s="1" t="str" cm="1">
        <f t="array" ref="SOZ3">GetValue("Dmn","Name",SOZ2)</f>
        <v/>
      </c>
      <c r="SPA3" s="1" t="str" cm="1">
        <f t="array" ref="SPA3">GetValue("Dmn","Name",SPA2)</f>
        <v/>
      </c>
      <c r="SPB3" s="1" t="str" cm="1">
        <f t="array" ref="SPB3">GetValue("Dmn","Name",SPB2)</f>
        <v/>
      </c>
      <c r="SPC3" s="1" t="str" cm="1">
        <f t="array" ref="SPC3">GetValue("Dmn","Name",SPC2)</f>
        <v/>
      </c>
      <c r="SPD3" s="1" t="str" cm="1">
        <f t="array" ref="SPD3">GetValue("Dmn","Name",SPD2)</f>
        <v/>
      </c>
      <c r="SPE3" s="1" t="str" cm="1">
        <f t="array" ref="SPE3">GetValue("Dmn","Name",SPE2)</f>
        <v/>
      </c>
      <c r="SPF3" s="1" t="str" cm="1">
        <f t="array" ref="SPF3">GetValue("Dmn","Name",SPF2)</f>
        <v/>
      </c>
      <c r="SPG3" s="1" t="str" cm="1">
        <f t="array" ref="SPG3">GetValue("Dmn","Name",SPG2)</f>
        <v/>
      </c>
      <c r="SPH3" s="1" t="str" cm="1">
        <f t="array" ref="SPH3">GetValue("Dmn","Name",SPH2)</f>
        <v/>
      </c>
      <c r="SPI3" s="1" t="str" cm="1">
        <f t="array" ref="SPI3">GetValue("Dmn","Name",SPI2)</f>
        <v/>
      </c>
      <c r="SPJ3" s="1" t="str" cm="1">
        <f t="array" ref="SPJ3">GetValue("Dmn","Name",SPJ2)</f>
        <v/>
      </c>
      <c r="SPK3" s="1" t="str" cm="1">
        <f t="array" ref="SPK3">GetValue("Dmn","Name",SPK2)</f>
        <v/>
      </c>
      <c r="SPL3" s="1" t="str" cm="1">
        <f t="array" ref="SPL3">GetValue("Dmn","Name",SPL2)</f>
        <v/>
      </c>
      <c r="SPM3" s="1" t="str" cm="1">
        <f t="array" ref="SPM3">GetValue("Dmn","Name",SPM2)</f>
        <v/>
      </c>
      <c r="SPN3" s="1" t="str" cm="1">
        <f t="array" ref="SPN3">GetValue("Dmn","Name",SPN2)</f>
        <v/>
      </c>
      <c r="SPO3" s="1" t="str" cm="1">
        <f t="array" ref="SPO3">GetValue("Dmn","Name",SPO2)</f>
        <v/>
      </c>
      <c r="SPP3" s="1" t="str" cm="1">
        <f t="array" ref="SPP3">GetValue("Dmn","Name",SPP2)</f>
        <v/>
      </c>
      <c r="SPQ3" s="1" t="str" cm="1">
        <f t="array" ref="SPQ3">GetValue("Dmn","Name",SPQ2)</f>
        <v/>
      </c>
      <c r="SPR3" s="1" t="str" cm="1">
        <f t="array" ref="SPR3">GetValue("Dmn","Name",SPR2)</f>
        <v/>
      </c>
      <c r="SPS3" s="1" t="str" cm="1">
        <f t="array" ref="SPS3">GetValue("Dmn","Name",SPS2)</f>
        <v/>
      </c>
      <c r="SPT3" s="1" t="str" cm="1">
        <f t="array" ref="SPT3">GetValue("Dmn","Name",SPT2)</f>
        <v/>
      </c>
      <c r="SPU3" s="1" t="str" cm="1">
        <f t="array" ref="SPU3">GetValue("Dmn","Name",SPU2)</f>
        <v/>
      </c>
      <c r="SPV3" s="1" t="str" cm="1">
        <f t="array" ref="SPV3">GetValue("Dmn","Name",SPV2)</f>
        <v/>
      </c>
      <c r="SPW3" s="1" t="str" cm="1">
        <f t="array" ref="SPW3">GetValue("Dmn","Name",SPW2)</f>
        <v/>
      </c>
      <c r="SPX3" s="1" t="str" cm="1">
        <f t="array" ref="SPX3">GetValue("Dmn","Name",SPX2)</f>
        <v/>
      </c>
      <c r="SPY3" s="1" t="str" cm="1">
        <f t="array" ref="SPY3">GetValue("Dmn","Name",SPY2)</f>
        <v/>
      </c>
      <c r="SPZ3" s="1" t="str" cm="1">
        <f t="array" ref="SPZ3">GetValue("Dmn","Name",SPZ2)</f>
        <v/>
      </c>
      <c r="SQA3" s="1" t="str" cm="1">
        <f t="array" ref="SQA3">GetValue("Dmn","Name",SQA2)</f>
        <v/>
      </c>
      <c r="SQB3" s="1" t="str" cm="1">
        <f t="array" ref="SQB3">GetValue("Dmn","Name",SQB2)</f>
        <v/>
      </c>
      <c r="SQC3" s="1" t="str" cm="1">
        <f t="array" ref="SQC3">GetValue("Dmn","Name",SQC2)</f>
        <v/>
      </c>
      <c r="SQD3" s="1" t="str" cm="1">
        <f t="array" ref="SQD3">GetValue("Dmn","Name",SQD2)</f>
        <v/>
      </c>
      <c r="SQE3" s="1" t="str" cm="1">
        <f t="array" ref="SQE3">GetValue("Dmn","Name",SQE2)</f>
        <v/>
      </c>
      <c r="SQF3" s="1" t="str" cm="1">
        <f t="array" ref="SQF3">GetValue("Dmn","Name",SQF2)</f>
        <v/>
      </c>
      <c r="SQG3" s="1" t="str" cm="1">
        <f t="array" ref="SQG3">GetValue("Dmn","Name",SQG2)</f>
        <v/>
      </c>
      <c r="SQH3" s="1" t="str" cm="1">
        <f t="array" ref="SQH3">GetValue("Dmn","Name",SQH2)</f>
        <v/>
      </c>
      <c r="SQI3" s="1" t="str" cm="1">
        <f t="array" ref="SQI3">GetValue("Dmn","Name",SQI2)</f>
        <v/>
      </c>
      <c r="SQJ3" s="1" t="str" cm="1">
        <f t="array" ref="SQJ3">GetValue("Dmn","Name",SQJ2)</f>
        <v/>
      </c>
      <c r="SQK3" s="1" t="str" cm="1">
        <f t="array" ref="SQK3">GetValue("Dmn","Name",SQK2)</f>
        <v/>
      </c>
      <c r="SQL3" s="1" t="str" cm="1">
        <f t="array" ref="SQL3">GetValue("Dmn","Name",SQL2)</f>
        <v/>
      </c>
      <c r="SQM3" s="1" t="str" cm="1">
        <f t="array" ref="SQM3">GetValue("Dmn","Name",SQM2)</f>
        <v/>
      </c>
      <c r="SQN3" s="1" t="str" cm="1">
        <f t="array" ref="SQN3">GetValue("Dmn","Name",SQN2)</f>
        <v/>
      </c>
      <c r="SQO3" s="1" t="str" cm="1">
        <f t="array" ref="SQO3">GetValue("Dmn","Name",SQO2)</f>
        <v/>
      </c>
      <c r="SQP3" s="1" t="str" cm="1">
        <f t="array" ref="SQP3">GetValue("Dmn","Name",SQP2)</f>
        <v/>
      </c>
      <c r="SQQ3" s="1" t="str" cm="1">
        <f t="array" ref="SQQ3">GetValue("Dmn","Name",SQQ2)</f>
        <v/>
      </c>
      <c r="SQR3" s="1" t="str" cm="1">
        <f t="array" ref="SQR3">GetValue("Dmn","Name",SQR2)</f>
        <v/>
      </c>
      <c r="SQS3" s="1" t="str" cm="1">
        <f t="array" ref="SQS3">GetValue("Dmn","Name",SQS2)</f>
        <v/>
      </c>
      <c r="SQT3" s="1" t="str" cm="1">
        <f t="array" ref="SQT3">GetValue("Dmn","Name",SQT2)</f>
        <v/>
      </c>
      <c r="SQU3" s="1" t="str" cm="1">
        <f t="array" ref="SQU3">GetValue("Dmn","Name",SQU2)</f>
        <v/>
      </c>
      <c r="SQV3" s="1" t="str" cm="1">
        <f t="array" ref="SQV3">GetValue("Dmn","Name",SQV2)</f>
        <v/>
      </c>
      <c r="SQW3" s="1" t="str" cm="1">
        <f t="array" ref="SQW3">GetValue("Dmn","Name",SQW2)</f>
        <v/>
      </c>
      <c r="SQX3" s="1" t="str" cm="1">
        <f t="array" ref="SQX3">GetValue("Dmn","Name",SQX2)</f>
        <v/>
      </c>
      <c r="SQY3" s="1" t="str" cm="1">
        <f t="array" ref="SQY3">GetValue("Dmn","Name",SQY2)</f>
        <v/>
      </c>
      <c r="SQZ3" s="1" t="str" cm="1">
        <f t="array" ref="SQZ3">GetValue("Dmn","Name",SQZ2)</f>
        <v/>
      </c>
      <c r="SRA3" s="1" t="str" cm="1">
        <f t="array" ref="SRA3">GetValue("Dmn","Name",SRA2)</f>
        <v/>
      </c>
      <c r="SRB3" s="1" t="str" cm="1">
        <f t="array" ref="SRB3">GetValue("Dmn","Name",SRB2)</f>
        <v/>
      </c>
      <c r="SRC3" s="1" t="str" cm="1">
        <f t="array" ref="SRC3">GetValue("Dmn","Name",SRC2)</f>
        <v/>
      </c>
      <c r="SRD3" s="1" t="str" cm="1">
        <f t="array" ref="SRD3">GetValue("Dmn","Name",SRD2)</f>
        <v/>
      </c>
      <c r="SRE3" s="1" t="str" cm="1">
        <f t="array" ref="SRE3">GetValue("Dmn","Name",SRE2)</f>
        <v/>
      </c>
      <c r="SRF3" s="1" t="str" cm="1">
        <f t="array" ref="SRF3">GetValue("Dmn","Name",SRF2)</f>
        <v/>
      </c>
      <c r="SRG3" s="1" t="str" cm="1">
        <f t="array" ref="SRG3">GetValue("Dmn","Name",SRG2)</f>
        <v/>
      </c>
      <c r="SRH3" s="1" t="str" cm="1">
        <f t="array" ref="SRH3">GetValue("Dmn","Name",SRH2)</f>
        <v/>
      </c>
      <c r="SRI3" s="1" t="str" cm="1">
        <f t="array" ref="SRI3">GetValue("Dmn","Name",SRI2)</f>
        <v/>
      </c>
      <c r="SRJ3" s="1" t="str" cm="1">
        <f t="array" ref="SRJ3">GetValue("Dmn","Name",SRJ2)</f>
        <v/>
      </c>
      <c r="SRK3" s="1" t="str" cm="1">
        <f t="array" ref="SRK3">GetValue("Dmn","Name",SRK2)</f>
        <v/>
      </c>
      <c r="SRL3" s="1" t="str" cm="1">
        <f t="array" ref="SRL3">GetValue("Dmn","Name",SRL2)</f>
        <v/>
      </c>
      <c r="SRM3" s="1" t="str" cm="1">
        <f t="array" ref="SRM3">GetValue("Dmn","Name",SRM2)</f>
        <v/>
      </c>
      <c r="SRN3" s="1" t="str" cm="1">
        <f t="array" ref="SRN3">GetValue("Dmn","Name",SRN2)</f>
        <v/>
      </c>
      <c r="SRO3" s="1" t="str" cm="1">
        <f t="array" ref="SRO3">GetValue("Dmn","Name",SRO2)</f>
        <v/>
      </c>
      <c r="SRP3" s="1" t="str" cm="1">
        <f t="array" ref="SRP3">GetValue("Dmn","Name",SRP2)</f>
        <v/>
      </c>
      <c r="SRQ3" s="1" t="str" cm="1">
        <f t="array" ref="SRQ3">GetValue("Dmn","Name",SRQ2)</f>
        <v/>
      </c>
      <c r="SRR3" s="1" t="str" cm="1">
        <f t="array" ref="SRR3">GetValue("Dmn","Name",SRR2)</f>
        <v/>
      </c>
      <c r="SRS3" s="1" t="str" cm="1">
        <f t="array" ref="SRS3">GetValue("Dmn","Name",SRS2)</f>
        <v/>
      </c>
      <c r="SRT3" s="1" t="str" cm="1">
        <f t="array" ref="SRT3">GetValue("Dmn","Name",SRT2)</f>
        <v/>
      </c>
      <c r="SRU3" s="1" t="str" cm="1">
        <f t="array" ref="SRU3">GetValue("Dmn","Name",SRU2)</f>
        <v/>
      </c>
      <c r="SRV3" s="1" t="str" cm="1">
        <f t="array" ref="SRV3">GetValue("Dmn","Name",SRV2)</f>
        <v/>
      </c>
      <c r="SRW3" s="1" t="str" cm="1">
        <f t="array" ref="SRW3">GetValue("Dmn","Name",SRW2)</f>
        <v/>
      </c>
      <c r="SRX3" s="1" t="str" cm="1">
        <f t="array" ref="SRX3">GetValue("Dmn","Name",SRX2)</f>
        <v/>
      </c>
      <c r="SRY3" s="1" t="str" cm="1">
        <f t="array" ref="SRY3">GetValue("Dmn","Name",SRY2)</f>
        <v/>
      </c>
      <c r="SRZ3" s="1" t="str" cm="1">
        <f t="array" ref="SRZ3">GetValue("Dmn","Name",SRZ2)</f>
        <v/>
      </c>
      <c r="SSA3" s="1" t="str" cm="1">
        <f t="array" ref="SSA3">GetValue("Dmn","Name",SSA2)</f>
        <v/>
      </c>
      <c r="SSB3" s="1" t="str" cm="1">
        <f t="array" ref="SSB3">GetValue("Dmn","Name",SSB2)</f>
        <v/>
      </c>
      <c r="SSC3" s="1" t="str" cm="1">
        <f t="array" ref="SSC3">GetValue("Dmn","Name",SSC2)</f>
        <v/>
      </c>
      <c r="SSD3" s="1" t="str" cm="1">
        <f t="array" ref="SSD3">GetValue("Dmn","Name",SSD2)</f>
        <v/>
      </c>
      <c r="SSE3" s="1" t="str" cm="1">
        <f t="array" ref="SSE3">GetValue("Dmn","Name",SSE2)</f>
        <v/>
      </c>
      <c r="SSF3" s="1" t="str" cm="1">
        <f t="array" ref="SSF3">GetValue("Dmn","Name",SSF2)</f>
        <v/>
      </c>
      <c r="SSG3" s="1" t="str" cm="1">
        <f t="array" ref="SSG3">GetValue("Dmn","Name",SSG2)</f>
        <v/>
      </c>
      <c r="SSH3" s="1" t="str" cm="1">
        <f t="array" ref="SSH3">GetValue("Dmn","Name",SSH2)</f>
        <v/>
      </c>
      <c r="SSI3" s="1" t="str" cm="1">
        <f t="array" ref="SSI3">GetValue("Dmn","Name",SSI2)</f>
        <v/>
      </c>
      <c r="SSJ3" s="1" t="str" cm="1">
        <f t="array" ref="SSJ3">GetValue("Dmn","Name",SSJ2)</f>
        <v/>
      </c>
      <c r="SSK3" s="1" t="str" cm="1">
        <f t="array" ref="SSK3">GetValue("Dmn","Name",SSK2)</f>
        <v/>
      </c>
      <c r="SSL3" s="1" t="str" cm="1">
        <f t="array" ref="SSL3">GetValue("Dmn","Name",SSL2)</f>
        <v/>
      </c>
      <c r="SSM3" s="1" t="str" cm="1">
        <f t="array" ref="SSM3">GetValue("Dmn","Name",SSM2)</f>
        <v/>
      </c>
      <c r="SSN3" s="1" t="str" cm="1">
        <f t="array" ref="SSN3">GetValue("Dmn","Name",SSN2)</f>
        <v/>
      </c>
      <c r="SSO3" s="1" t="str" cm="1">
        <f t="array" ref="SSO3">GetValue("Dmn","Name",SSO2)</f>
        <v/>
      </c>
      <c r="SSP3" s="1" t="str" cm="1">
        <f t="array" ref="SSP3">GetValue("Dmn","Name",SSP2)</f>
        <v/>
      </c>
      <c r="SSQ3" s="1" t="str" cm="1">
        <f t="array" ref="SSQ3">GetValue("Dmn","Name",SSQ2)</f>
        <v/>
      </c>
      <c r="SSR3" s="1" t="str" cm="1">
        <f t="array" ref="SSR3">GetValue("Dmn","Name",SSR2)</f>
        <v/>
      </c>
      <c r="SSS3" s="1" t="str" cm="1">
        <f t="array" ref="SSS3">GetValue("Dmn","Name",SSS2)</f>
        <v/>
      </c>
      <c r="SST3" s="1" t="str" cm="1">
        <f t="array" ref="SST3">GetValue("Dmn","Name",SST2)</f>
        <v/>
      </c>
      <c r="SSU3" s="1" t="str" cm="1">
        <f t="array" ref="SSU3">GetValue("Dmn","Name",SSU2)</f>
        <v/>
      </c>
      <c r="SSV3" s="1" t="str" cm="1">
        <f t="array" ref="SSV3">GetValue("Dmn","Name",SSV2)</f>
        <v/>
      </c>
      <c r="SSW3" s="1" t="str" cm="1">
        <f t="array" ref="SSW3">GetValue("Dmn","Name",SSW2)</f>
        <v/>
      </c>
      <c r="SSX3" s="1" t="str" cm="1">
        <f t="array" ref="SSX3">GetValue("Dmn","Name",SSX2)</f>
        <v/>
      </c>
      <c r="SSY3" s="1" t="str" cm="1">
        <f t="array" ref="SSY3">GetValue("Dmn","Name",SSY2)</f>
        <v/>
      </c>
      <c r="SSZ3" s="1" t="str" cm="1">
        <f t="array" ref="SSZ3">GetValue("Dmn","Name",SSZ2)</f>
        <v/>
      </c>
      <c r="STA3" s="1" t="str" cm="1">
        <f t="array" ref="STA3">GetValue("Dmn","Name",STA2)</f>
        <v/>
      </c>
      <c r="STB3" s="1" t="str" cm="1">
        <f t="array" ref="STB3">GetValue("Dmn","Name",STB2)</f>
        <v/>
      </c>
      <c r="STC3" s="1" t="str" cm="1">
        <f t="array" ref="STC3">GetValue("Dmn","Name",STC2)</f>
        <v/>
      </c>
      <c r="STD3" s="1" t="str" cm="1">
        <f t="array" ref="STD3">GetValue("Dmn","Name",STD2)</f>
        <v/>
      </c>
      <c r="STE3" s="1" t="str" cm="1">
        <f t="array" ref="STE3">GetValue("Dmn","Name",STE2)</f>
        <v/>
      </c>
      <c r="STF3" s="1" t="str" cm="1">
        <f t="array" ref="STF3">GetValue("Dmn","Name",STF2)</f>
        <v/>
      </c>
      <c r="STG3" s="1" t="str" cm="1">
        <f t="array" ref="STG3">GetValue("Dmn","Name",STG2)</f>
        <v/>
      </c>
      <c r="STH3" s="1" t="str" cm="1">
        <f t="array" ref="STH3">GetValue("Dmn","Name",STH2)</f>
        <v/>
      </c>
      <c r="STI3" s="1" t="str" cm="1">
        <f t="array" ref="STI3">GetValue("Dmn","Name",STI2)</f>
        <v/>
      </c>
      <c r="STJ3" s="1" t="str" cm="1">
        <f t="array" ref="STJ3">GetValue("Dmn","Name",STJ2)</f>
        <v/>
      </c>
      <c r="STK3" s="1" t="str" cm="1">
        <f t="array" ref="STK3">GetValue("Dmn","Name",STK2)</f>
        <v/>
      </c>
      <c r="STL3" s="1" t="str" cm="1">
        <f t="array" ref="STL3">GetValue("Dmn","Name",STL2)</f>
        <v/>
      </c>
      <c r="STM3" s="1" t="str" cm="1">
        <f t="array" ref="STM3">GetValue("Dmn","Name",STM2)</f>
        <v/>
      </c>
      <c r="STN3" s="1" t="str" cm="1">
        <f t="array" ref="STN3">GetValue("Dmn","Name",STN2)</f>
        <v/>
      </c>
      <c r="STO3" s="1" t="str" cm="1">
        <f t="array" ref="STO3">GetValue("Dmn","Name",STO2)</f>
        <v/>
      </c>
      <c r="STP3" s="1" t="str" cm="1">
        <f t="array" ref="STP3">GetValue("Dmn","Name",STP2)</f>
        <v/>
      </c>
      <c r="STQ3" s="1" t="str" cm="1">
        <f t="array" ref="STQ3">GetValue("Dmn","Name",STQ2)</f>
        <v/>
      </c>
      <c r="STR3" s="1" t="str" cm="1">
        <f t="array" ref="STR3">GetValue("Dmn","Name",STR2)</f>
        <v/>
      </c>
      <c r="STS3" s="1" t="str" cm="1">
        <f t="array" ref="STS3">GetValue("Dmn","Name",STS2)</f>
        <v/>
      </c>
      <c r="STT3" s="1" t="str" cm="1">
        <f t="array" ref="STT3">GetValue("Dmn","Name",STT2)</f>
        <v/>
      </c>
      <c r="STU3" s="1" t="str" cm="1">
        <f t="array" ref="STU3">GetValue("Dmn","Name",STU2)</f>
        <v/>
      </c>
      <c r="STV3" s="1" t="str" cm="1">
        <f t="array" ref="STV3">GetValue("Dmn","Name",STV2)</f>
        <v/>
      </c>
      <c r="STW3" s="1" t="str" cm="1">
        <f t="array" ref="STW3">GetValue("Dmn","Name",STW2)</f>
        <v/>
      </c>
      <c r="STX3" s="1" t="str" cm="1">
        <f t="array" ref="STX3">GetValue("Dmn","Name",STX2)</f>
        <v/>
      </c>
      <c r="STY3" s="1" t="str" cm="1">
        <f t="array" ref="STY3">GetValue("Dmn","Name",STY2)</f>
        <v/>
      </c>
      <c r="STZ3" s="1" t="str" cm="1">
        <f t="array" ref="STZ3">GetValue("Dmn","Name",STZ2)</f>
        <v/>
      </c>
      <c r="SUA3" s="1" t="str" cm="1">
        <f t="array" ref="SUA3">GetValue("Dmn","Name",SUA2)</f>
        <v/>
      </c>
      <c r="SUB3" s="1" t="str" cm="1">
        <f t="array" ref="SUB3">GetValue("Dmn","Name",SUB2)</f>
        <v/>
      </c>
      <c r="SUC3" s="1" t="str" cm="1">
        <f t="array" ref="SUC3">GetValue("Dmn","Name",SUC2)</f>
        <v/>
      </c>
      <c r="SUD3" s="1" t="str" cm="1">
        <f t="array" ref="SUD3">GetValue("Dmn","Name",SUD2)</f>
        <v/>
      </c>
      <c r="SUE3" s="1" t="str" cm="1">
        <f t="array" ref="SUE3">GetValue("Dmn","Name",SUE2)</f>
        <v/>
      </c>
      <c r="SUF3" s="1" t="str" cm="1">
        <f t="array" ref="SUF3">GetValue("Dmn","Name",SUF2)</f>
        <v/>
      </c>
      <c r="SUG3" s="1" t="str" cm="1">
        <f t="array" ref="SUG3">GetValue("Dmn","Name",SUG2)</f>
        <v/>
      </c>
      <c r="SUH3" s="1" t="str" cm="1">
        <f t="array" ref="SUH3">GetValue("Dmn","Name",SUH2)</f>
        <v/>
      </c>
      <c r="SUI3" s="1" t="str" cm="1">
        <f t="array" ref="SUI3">GetValue("Dmn","Name",SUI2)</f>
        <v/>
      </c>
      <c r="SUJ3" s="1" t="str" cm="1">
        <f t="array" ref="SUJ3">GetValue("Dmn","Name",SUJ2)</f>
        <v/>
      </c>
      <c r="SUK3" s="1" t="str" cm="1">
        <f t="array" ref="SUK3">GetValue("Dmn","Name",SUK2)</f>
        <v/>
      </c>
      <c r="SUL3" s="1" t="str" cm="1">
        <f t="array" ref="SUL3">GetValue("Dmn","Name",SUL2)</f>
        <v/>
      </c>
      <c r="SUM3" s="1" t="str" cm="1">
        <f t="array" ref="SUM3">GetValue("Dmn","Name",SUM2)</f>
        <v/>
      </c>
      <c r="SUN3" s="1" t="str" cm="1">
        <f t="array" ref="SUN3">GetValue("Dmn","Name",SUN2)</f>
        <v/>
      </c>
      <c r="SUO3" s="1" t="str" cm="1">
        <f t="array" ref="SUO3">GetValue("Dmn","Name",SUO2)</f>
        <v/>
      </c>
      <c r="SUP3" s="1" t="str" cm="1">
        <f t="array" ref="SUP3">GetValue("Dmn","Name",SUP2)</f>
        <v/>
      </c>
      <c r="SUQ3" s="1" t="str" cm="1">
        <f t="array" ref="SUQ3">GetValue("Dmn","Name",SUQ2)</f>
        <v/>
      </c>
      <c r="SUR3" s="1" t="str" cm="1">
        <f t="array" ref="SUR3">GetValue("Dmn","Name",SUR2)</f>
        <v/>
      </c>
      <c r="SUS3" s="1" t="str" cm="1">
        <f t="array" ref="SUS3">GetValue("Dmn","Name",SUS2)</f>
        <v/>
      </c>
      <c r="SUT3" s="1" t="str" cm="1">
        <f t="array" ref="SUT3">GetValue("Dmn","Name",SUT2)</f>
        <v/>
      </c>
      <c r="SUU3" s="1" t="str" cm="1">
        <f t="array" ref="SUU3">GetValue("Dmn","Name",SUU2)</f>
        <v/>
      </c>
      <c r="SUV3" s="1" t="str" cm="1">
        <f t="array" ref="SUV3">GetValue("Dmn","Name",SUV2)</f>
        <v/>
      </c>
      <c r="SUW3" s="1" t="str" cm="1">
        <f t="array" ref="SUW3">GetValue("Dmn","Name",SUW2)</f>
        <v/>
      </c>
      <c r="SUX3" s="1" t="str" cm="1">
        <f t="array" ref="SUX3">GetValue("Dmn","Name",SUX2)</f>
        <v/>
      </c>
      <c r="SUY3" s="1" t="str" cm="1">
        <f t="array" ref="SUY3">GetValue("Dmn","Name",SUY2)</f>
        <v/>
      </c>
      <c r="SUZ3" s="1" t="str" cm="1">
        <f t="array" ref="SUZ3">GetValue("Dmn","Name",SUZ2)</f>
        <v/>
      </c>
      <c r="SVA3" s="1" t="str" cm="1">
        <f t="array" ref="SVA3">GetValue("Dmn","Name",SVA2)</f>
        <v/>
      </c>
      <c r="SVB3" s="1" t="str" cm="1">
        <f t="array" ref="SVB3">GetValue("Dmn","Name",SVB2)</f>
        <v/>
      </c>
      <c r="SVC3" s="1" t="str" cm="1">
        <f t="array" ref="SVC3">GetValue("Dmn","Name",SVC2)</f>
        <v/>
      </c>
      <c r="SVD3" s="1" t="str" cm="1">
        <f t="array" ref="SVD3">GetValue("Dmn","Name",SVD2)</f>
        <v/>
      </c>
      <c r="SVE3" s="1" t="str" cm="1">
        <f t="array" ref="SVE3">GetValue("Dmn","Name",SVE2)</f>
        <v/>
      </c>
      <c r="SVF3" s="1" t="str" cm="1">
        <f t="array" ref="SVF3">GetValue("Dmn","Name",SVF2)</f>
        <v/>
      </c>
      <c r="SVG3" s="1" t="str" cm="1">
        <f t="array" ref="SVG3">GetValue("Dmn","Name",SVG2)</f>
        <v/>
      </c>
      <c r="SVH3" s="1" t="str" cm="1">
        <f t="array" ref="SVH3">GetValue("Dmn","Name",SVH2)</f>
        <v/>
      </c>
      <c r="SVI3" s="1" t="str" cm="1">
        <f t="array" ref="SVI3">GetValue("Dmn","Name",SVI2)</f>
        <v/>
      </c>
      <c r="SVJ3" s="1" t="str" cm="1">
        <f t="array" ref="SVJ3">GetValue("Dmn","Name",SVJ2)</f>
        <v/>
      </c>
      <c r="SVK3" s="1" t="str" cm="1">
        <f t="array" ref="SVK3">GetValue("Dmn","Name",SVK2)</f>
        <v/>
      </c>
      <c r="SVL3" s="1" t="str" cm="1">
        <f t="array" ref="SVL3">GetValue("Dmn","Name",SVL2)</f>
        <v/>
      </c>
      <c r="SVM3" s="1" t="str" cm="1">
        <f t="array" ref="SVM3">GetValue("Dmn","Name",SVM2)</f>
        <v/>
      </c>
      <c r="SVN3" s="1" t="str" cm="1">
        <f t="array" ref="SVN3">GetValue("Dmn","Name",SVN2)</f>
        <v/>
      </c>
      <c r="SVO3" s="1" t="str" cm="1">
        <f t="array" ref="SVO3">GetValue("Dmn","Name",SVO2)</f>
        <v/>
      </c>
      <c r="SVP3" s="1" t="str" cm="1">
        <f t="array" ref="SVP3">GetValue("Dmn","Name",SVP2)</f>
        <v/>
      </c>
      <c r="SVQ3" s="1" t="str" cm="1">
        <f t="array" ref="SVQ3">GetValue("Dmn","Name",SVQ2)</f>
        <v/>
      </c>
      <c r="SVR3" s="1" t="str" cm="1">
        <f t="array" ref="SVR3">GetValue("Dmn","Name",SVR2)</f>
        <v/>
      </c>
      <c r="SVS3" s="1" t="str" cm="1">
        <f t="array" ref="SVS3">GetValue("Dmn","Name",SVS2)</f>
        <v/>
      </c>
      <c r="SVT3" s="1" t="str" cm="1">
        <f t="array" ref="SVT3">GetValue("Dmn","Name",SVT2)</f>
        <v/>
      </c>
      <c r="SVU3" s="1" t="str" cm="1">
        <f t="array" ref="SVU3">GetValue("Dmn","Name",SVU2)</f>
        <v/>
      </c>
      <c r="SVV3" s="1" t="str" cm="1">
        <f t="array" ref="SVV3">GetValue("Dmn","Name",SVV2)</f>
        <v/>
      </c>
      <c r="SVW3" s="1" t="str" cm="1">
        <f t="array" ref="SVW3">GetValue("Dmn","Name",SVW2)</f>
        <v/>
      </c>
      <c r="SVX3" s="1" t="str" cm="1">
        <f t="array" ref="SVX3">GetValue("Dmn","Name",SVX2)</f>
        <v/>
      </c>
      <c r="SVY3" s="1" t="str" cm="1">
        <f t="array" ref="SVY3">GetValue("Dmn","Name",SVY2)</f>
        <v/>
      </c>
      <c r="SVZ3" s="1" t="str" cm="1">
        <f t="array" ref="SVZ3">GetValue("Dmn","Name",SVZ2)</f>
        <v/>
      </c>
      <c r="SWA3" s="1" t="str" cm="1">
        <f t="array" ref="SWA3">GetValue("Dmn","Name",SWA2)</f>
        <v/>
      </c>
      <c r="SWB3" s="1" t="str" cm="1">
        <f t="array" ref="SWB3">GetValue("Dmn","Name",SWB2)</f>
        <v/>
      </c>
      <c r="SWC3" s="1" t="str" cm="1">
        <f t="array" ref="SWC3">GetValue("Dmn","Name",SWC2)</f>
        <v/>
      </c>
      <c r="SWD3" s="1" t="str" cm="1">
        <f t="array" ref="SWD3">GetValue("Dmn","Name",SWD2)</f>
        <v/>
      </c>
      <c r="SWE3" s="1" t="str" cm="1">
        <f t="array" ref="SWE3">GetValue("Dmn","Name",SWE2)</f>
        <v/>
      </c>
      <c r="SWF3" s="1" t="str" cm="1">
        <f t="array" ref="SWF3">GetValue("Dmn","Name",SWF2)</f>
        <v/>
      </c>
      <c r="SWG3" s="1" t="str" cm="1">
        <f t="array" ref="SWG3">GetValue("Dmn","Name",SWG2)</f>
        <v/>
      </c>
      <c r="SWH3" s="1" t="str" cm="1">
        <f t="array" ref="SWH3">GetValue("Dmn","Name",SWH2)</f>
        <v/>
      </c>
      <c r="SWI3" s="1" t="str" cm="1">
        <f t="array" ref="SWI3">GetValue("Dmn","Name",SWI2)</f>
        <v/>
      </c>
      <c r="SWJ3" s="1" t="str" cm="1">
        <f t="array" ref="SWJ3">GetValue("Dmn","Name",SWJ2)</f>
        <v/>
      </c>
      <c r="SWK3" s="1" t="str" cm="1">
        <f t="array" ref="SWK3">GetValue("Dmn","Name",SWK2)</f>
        <v/>
      </c>
      <c r="SWL3" s="1" t="str" cm="1">
        <f t="array" ref="SWL3">GetValue("Dmn","Name",SWL2)</f>
        <v/>
      </c>
      <c r="SWM3" s="1" t="str" cm="1">
        <f t="array" ref="SWM3">GetValue("Dmn","Name",SWM2)</f>
        <v/>
      </c>
      <c r="SWN3" s="1" t="str" cm="1">
        <f t="array" ref="SWN3">GetValue("Dmn","Name",SWN2)</f>
        <v/>
      </c>
      <c r="SWO3" s="1" t="str" cm="1">
        <f t="array" ref="SWO3">GetValue("Dmn","Name",SWO2)</f>
        <v/>
      </c>
      <c r="SWP3" s="1" t="str" cm="1">
        <f t="array" ref="SWP3">GetValue("Dmn","Name",SWP2)</f>
        <v/>
      </c>
      <c r="SWQ3" s="1" t="str" cm="1">
        <f t="array" ref="SWQ3">GetValue("Dmn","Name",SWQ2)</f>
        <v/>
      </c>
      <c r="SWR3" s="1" t="str" cm="1">
        <f t="array" ref="SWR3">GetValue("Dmn","Name",SWR2)</f>
        <v/>
      </c>
      <c r="SWS3" s="1" t="str" cm="1">
        <f t="array" ref="SWS3">GetValue("Dmn","Name",SWS2)</f>
        <v/>
      </c>
      <c r="SWT3" s="1" t="str" cm="1">
        <f t="array" ref="SWT3">GetValue("Dmn","Name",SWT2)</f>
        <v/>
      </c>
      <c r="SWU3" s="1" t="str" cm="1">
        <f t="array" ref="SWU3">GetValue("Dmn","Name",SWU2)</f>
        <v/>
      </c>
      <c r="SWV3" s="1" t="str" cm="1">
        <f t="array" ref="SWV3">GetValue("Dmn","Name",SWV2)</f>
        <v/>
      </c>
      <c r="SWW3" s="1" t="str" cm="1">
        <f t="array" ref="SWW3">GetValue("Dmn","Name",SWW2)</f>
        <v/>
      </c>
      <c r="SWX3" s="1" t="str" cm="1">
        <f t="array" ref="SWX3">GetValue("Dmn","Name",SWX2)</f>
        <v/>
      </c>
      <c r="SWY3" s="1" t="str" cm="1">
        <f t="array" ref="SWY3">GetValue("Dmn","Name",SWY2)</f>
        <v/>
      </c>
      <c r="SWZ3" s="1" t="str" cm="1">
        <f t="array" ref="SWZ3">GetValue("Dmn","Name",SWZ2)</f>
        <v/>
      </c>
      <c r="SXA3" s="1" t="str" cm="1">
        <f t="array" ref="SXA3">GetValue("Dmn","Name",SXA2)</f>
        <v/>
      </c>
      <c r="SXB3" s="1" t="str" cm="1">
        <f t="array" ref="SXB3">GetValue("Dmn","Name",SXB2)</f>
        <v/>
      </c>
      <c r="SXC3" s="1" t="str" cm="1">
        <f t="array" ref="SXC3">GetValue("Dmn","Name",SXC2)</f>
        <v/>
      </c>
      <c r="SXD3" s="1" t="str" cm="1">
        <f t="array" ref="SXD3">GetValue("Dmn","Name",SXD2)</f>
        <v/>
      </c>
      <c r="SXE3" s="1" t="str" cm="1">
        <f t="array" ref="SXE3">GetValue("Dmn","Name",SXE2)</f>
        <v/>
      </c>
      <c r="SXF3" s="1" t="str" cm="1">
        <f t="array" ref="SXF3">GetValue("Dmn","Name",SXF2)</f>
        <v/>
      </c>
      <c r="SXG3" s="1" t="str" cm="1">
        <f t="array" ref="SXG3">GetValue("Dmn","Name",SXG2)</f>
        <v/>
      </c>
      <c r="SXH3" s="1" t="str" cm="1">
        <f t="array" ref="SXH3">GetValue("Dmn","Name",SXH2)</f>
        <v/>
      </c>
      <c r="SXI3" s="1" t="str" cm="1">
        <f t="array" ref="SXI3">GetValue("Dmn","Name",SXI2)</f>
        <v/>
      </c>
      <c r="SXJ3" s="1" t="str" cm="1">
        <f t="array" ref="SXJ3">GetValue("Dmn","Name",SXJ2)</f>
        <v/>
      </c>
      <c r="SXK3" s="1" t="str" cm="1">
        <f t="array" ref="SXK3">GetValue("Dmn","Name",SXK2)</f>
        <v/>
      </c>
      <c r="SXL3" s="1" t="str" cm="1">
        <f t="array" ref="SXL3">GetValue("Dmn","Name",SXL2)</f>
        <v/>
      </c>
      <c r="SXM3" s="1" t="str" cm="1">
        <f t="array" ref="SXM3">GetValue("Dmn","Name",SXM2)</f>
        <v/>
      </c>
      <c r="SXN3" s="1" t="str" cm="1">
        <f t="array" ref="SXN3">GetValue("Dmn","Name",SXN2)</f>
        <v/>
      </c>
      <c r="SXO3" s="1" t="str" cm="1">
        <f t="array" ref="SXO3">GetValue("Dmn","Name",SXO2)</f>
        <v/>
      </c>
      <c r="SXP3" s="1" t="str" cm="1">
        <f t="array" ref="SXP3">GetValue("Dmn","Name",SXP2)</f>
        <v/>
      </c>
      <c r="SXQ3" s="1" t="str" cm="1">
        <f t="array" ref="SXQ3">GetValue("Dmn","Name",SXQ2)</f>
        <v/>
      </c>
      <c r="SXR3" s="1" t="str" cm="1">
        <f t="array" ref="SXR3">GetValue("Dmn","Name",SXR2)</f>
        <v/>
      </c>
      <c r="SXS3" s="1" t="str" cm="1">
        <f t="array" ref="SXS3">GetValue("Dmn","Name",SXS2)</f>
        <v/>
      </c>
      <c r="SXT3" s="1" t="str" cm="1">
        <f t="array" ref="SXT3">GetValue("Dmn","Name",SXT2)</f>
        <v/>
      </c>
      <c r="SXU3" s="1" t="str" cm="1">
        <f t="array" ref="SXU3">GetValue("Dmn","Name",SXU2)</f>
        <v/>
      </c>
      <c r="SXV3" s="1" t="str" cm="1">
        <f t="array" ref="SXV3">GetValue("Dmn","Name",SXV2)</f>
        <v/>
      </c>
      <c r="SXW3" s="1" t="str" cm="1">
        <f t="array" ref="SXW3">GetValue("Dmn","Name",SXW2)</f>
        <v/>
      </c>
      <c r="SXX3" s="1" t="str" cm="1">
        <f t="array" ref="SXX3">GetValue("Dmn","Name",SXX2)</f>
        <v/>
      </c>
      <c r="SXY3" s="1" t="str" cm="1">
        <f t="array" ref="SXY3">GetValue("Dmn","Name",SXY2)</f>
        <v/>
      </c>
      <c r="SXZ3" s="1" t="str" cm="1">
        <f t="array" ref="SXZ3">GetValue("Dmn","Name",SXZ2)</f>
        <v/>
      </c>
      <c r="SYA3" s="1" t="str" cm="1">
        <f t="array" ref="SYA3">GetValue("Dmn","Name",SYA2)</f>
        <v/>
      </c>
      <c r="SYB3" s="1" t="str" cm="1">
        <f t="array" ref="SYB3">GetValue("Dmn","Name",SYB2)</f>
        <v/>
      </c>
      <c r="SYC3" s="1" t="str" cm="1">
        <f t="array" ref="SYC3">GetValue("Dmn","Name",SYC2)</f>
        <v/>
      </c>
      <c r="SYD3" s="1" t="str" cm="1">
        <f t="array" ref="SYD3">GetValue("Dmn","Name",SYD2)</f>
        <v/>
      </c>
      <c r="SYE3" s="1" t="str" cm="1">
        <f t="array" ref="SYE3">GetValue("Dmn","Name",SYE2)</f>
        <v/>
      </c>
      <c r="SYF3" s="1" t="str" cm="1">
        <f t="array" ref="SYF3">GetValue("Dmn","Name",SYF2)</f>
        <v/>
      </c>
      <c r="SYG3" s="1" t="str" cm="1">
        <f t="array" ref="SYG3">GetValue("Dmn","Name",SYG2)</f>
        <v/>
      </c>
      <c r="SYH3" s="1" t="str" cm="1">
        <f t="array" ref="SYH3">GetValue("Dmn","Name",SYH2)</f>
        <v/>
      </c>
      <c r="SYI3" s="1" t="str" cm="1">
        <f t="array" ref="SYI3">GetValue("Dmn","Name",SYI2)</f>
        <v/>
      </c>
      <c r="SYJ3" s="1" t="str" cm="1">
        <f t="array" ref="SYJ3">GetValue("Dmn","Name",SYJ2)</f>
        <v/>
      </c>
      <c r="SYK3" s="1" t="str" cm="1">
        <f t="array" ref="SYK3">GetValue("Dmn","Name",SYK2)</f>
        <v/>
      </c>
      <c r="SYL3" s="1" t="str" cm="1">
        <f t="array" ref="SYL3">GetValue("Dmn","Name",SYL2)</f>
        <v/>
      </c>
      <c r="SYM3" s="1" t="str" cm="1">
        <f t="array" ref="SYM3">GetValue("Dmn","Name",SYM2)</f>
        <v/>
      </c>
      <c r="SYN3" s="1" t="str" cm="1">
        <f t="array" ref="SYN3">GetValue("Dmn","Name",SYN2)</f>
        <v/>
      </c>
      <c r="SYO3" s="1" t="str" cm="1">
        <f t="array" ref="SYO3">GetValue("Dmn","Name",SYO2)</f>
        <v/>
      </c>
      <c r="SYP3" s="1" t="str" cm="1">
        <f t="array" ref="SYP3">GetValue("Dmn","Name",SYP2)</f>
        <v/>
      </c>
      <c r="SYQ3" s="1" t="str" cm="1">
        <f t="array" ref="SYQ3">GetValue("Dmn","Name",SYQ2)</f>
        <v/>
      </c>
      <c r="SYR3" s="1" t="str" cm="1">
        <f t="array" ref="SYR3">GetValue("Dmn","Name",SYR2)</f>
        <v/>
      </c>
      <c r="SYS3" s="1" t="str" cm="1">
        <f t="array" ref="SYS3">GetValue("Dmn","Name",SYS2)</f>
        <v/>
      </c>
      <c r="SYT3" s="1" t="str" cm="1">
        <f t="array" ref="SYT3">GetValue("Dmn","Name",SYT2)</f>
        <v/>
      </c>
      <c r="SYU3" s="1" t="str" cm="1">
        <f t="array" ref="SYU3">GetValue("Dmn","Name",SYU2)</f>
        <v/>
      </c>
      <c r="SYV3" s="1" t="str" cm="1">
        <f t="array" ref="SYV3">GetValue("Dmn","Name",SYV2)</f>
        <v/>
      </c>
      <c r="SYW3" s="1" t="str" cm="1">
        <f t="array" ref="SYW3">GetValue("Dmn","Name",SYW2)</f>
        <v/>
      </c>
      <c r="SYX3" s="1" t="str" cm="1">
        <f t="array" ref="SYX3">GetValue("Dmn","Name",SYX2)</f>
        <v/>
      </c>
      <c r="SYY3" s="1" t="str" cm="1">
        <f t="array" ref="SYY3">GetValue("Dmn","Name",SYY2)</f>
        <v/>
      </c>
      <c r="SYZ3" s="1" t="str" cm="1">
        <f t="array" ref="SYZ3">GetValue("Dmn","Name",SYZ2)</f>
        <v/>
      </c>
      <c r="SZA3" s="1" t="str" cm="1">
        <f t="array" ref="SZA3">GetValue("Dmn","Name",SZA2)</f>
        <v/>
      </c>
      <c r="SZB3" s="1" t="str" cm="1">
        <f t="array" ref="SZB3">GetValue("Dmn","Name",SZB2)</f>
        <v/>
      </c>
      <c r="SZC3" s="1" t="str" cm="1">
        <f t="array" ref="SZC3">GetValue("Dmn","Name",SZC2)</f>
        <v/>
      </c>
      <c r="SZD3" s="1" t="str" cm="1">
        <f t="array" ref="SZD3">GetValue("Dmn","Name",SZD2)</f>
        <v/>
      </c>
      <c r="SZE3" s="1" t="str" cm="1">
        <f t="array" ref="SZE3">GetValue("Dmn","Name",SZE2)</f>
        <v/>
      </c>
      <c r="SZF3" s="1" t="str" cm="1">
        <f t="array" ref="SZF3">GetValue("Dmn","Name",SZF2)</f>
        <v/>
      </c>
      <c r="SZG3" s="1" t="str" cm="1">
        <f t="array" ref="SZG3">GetValue("Dmn","Name",SZG2)</f>
        <v/>
      </c>
      <c r="SZH3" s="1" t="str" cm="1">
        <f t="array" ref="SZH3">GetValue("Dmn","Name",SZH2)</f>
        <v/>
      </c>
      <c r="SZI3" s="1" t="str" cm="1">
        <f t="array" ref="SZI3">GetValue("Dmn","Name",SZI2)</f>
        <v/>
      </c>
      <c r="SZJ3" s="1" t="str" cm="1">
        <f t="array" ref="SZJ3">GetValue("Dmn","Name",SZJ2)</f>
        <v/>
      </c>
      <c r="SZK3" s="1" t="str" cm="1">
        <f t="array" ref="SZK3">GetValue("Dmn","Name",SZK2)</f>
        <v/>
      </c>
      <c r="SZL3" s="1" t="str" cm="1">
        <f t="array" ref="SZL3">GetValue("Dmn","Name",SZL2)</f>
        <v/>
      </c>
      <c r="SZM3" s="1" t="str" cm="1">
        <f t="array" ref="SZM3">GetValue("Dmn","Name",SZM2)</f>
        <v/>
      </c>
      <c r="SZN3" s="1" t="str" cm="1">
        <f t="array" ref="SZN3">GetValue("Dmn","Name",SZN2)</f>
        <v/>
      </c>
      <c r="SZO3" s="1" t="str" cm="1">
        <f t="array" ref="SZO3">GetValue("Dmn","Name",SZO2)</f>
        <v/>
      </c>
      <c r="SZP3" s="1" t="str" cm="1">
        <f t="array" ref="SZP3">GetValue("Dmn","Name",SZP2)</f>
        <v/>
      </c>
      <c r="SZQ3" s="1" t="str" cm="1">
        <f t="array" ref="SZQ3">GetValue("Dmn","Name",SZQ2)</f>
        <v/>
      </c>
      <c r="SZR3" s="1" t="str" cm="1">
        <f t="array" ref="SZR3">GetValue("Dmn","Name",SZR2)</f>
        <v/>
      </c>
      <c r="SZS3" s="1" t="str" cm="1">
        <f t="array" ref="SZS3">GetValue("Dmn","Name",SZS2)</f>
        <v/>
      </c>
      <c r="SZT3" s="1" t="str" cm="1">
        <f t="array" ref="SZT3">GetValue("Dmn","Name",SZT2)</f>
        <v/>
      </c>
      <c r="SZU3" s="1" t="str" cm="1">
        <f t="array" ref="SZU3">GetValue("Dmn","Name",SZU2)</f>
        <v/>
      </c>
      <c r="SZV3" s="1" t="str" cm="1">
        <f t="array" ref="SZV3">GetValue("Dmn","Name",SZV2)</f>
        <v/>
      </c>
      <c r="SZW3" s="1" t="str" cm="1">
        <f t="array" ref="SZW3">GetValue("Dmn","Name",SZW2)</f>
        <v/>
      </c>
      <c r="SZX3" s="1" t="str" cm="1">
        <f t="array" ref="SZX3">GetValue("Dmn","Name",SZX2)</f>
        <v/>
      </c>
      <c r="SZY3" s="1" t="str" cm="1">
        <f t="array" ref="SZY3">GetValue("Dmn","Name",SZY2)</f>
        <v/>
      </c>
      <c r="SZZ3" s="1" t="str" cm="1">
        <f t="array" ref="SZZ3">GetValue("Dmn","Name",SZZ2)</f>
        <v/>
      </c>
      <c r="TAA3" s="1" t="str" cm="1">
        <f t="array" ref="TAA3">GetValue("Dmn","Name",TAA2)</f>
        <v/>
      </c>
      <c r="TAB3" s="1" t="str" cm="1">
        <f t="array" ref="TAB3">GetValue("Dmn","Name",TAB2)</f>
        <v/>
      </c>
      <c r="TAC3" s="1" t="str" cm="1">
        <f t="array" ref="TAC3">GetValue("Dmn","Name",TAC2)</f>
        <v/>
      </c>
      <c r="TAD3" s="1" t="str" cm="1">
        <f t="array" ref="TAD3">GetValue("Dmn","Name",TAD2)</f>
        <v/>
      </c>
      <c r="TAE3" s="1" t="str" cm="1">
        <f t="array" ref="TAE3">GetValue("Dmn","Name",TAE2)</f>
        <v/>
      </c>
      <c r="TAF3" s="1" t="str" cm="1">
        <f t="array" ref="TAF3">GetValue("Dmn","Name",TAF2)</f>
        <v/>
      </c>
      <c r="TAG3" s="1" t="str" cm="1">
        <f t="array" ref="TAG3">GetValue("Dmn","Name",TAG2)</f>
        <v/>
      </c>
      <c r="TAH3" s="1" t="str" cm="1">
        <f t="array" ref="TAH3">GetValue("Dmn","Name",TAH2)</f>
        <v/>
      </c>
      <c r="TAI3" s="1" t="str" cm="1">
        <f t="array" ref="TAI3">GetValue("Dmn","Name",TAI2)</f>
        <v/>
      </c>
      <c r="TAJ3" s="1" t="str" cm="1">
        <f t="array" ref="TAJ3">GetValue("Dmn","Name",TAJ2)</f>
        <v/>
      </c>
      <c r="TAK3" s="1" t="str" cm="1">
        <f t="array" ref="TAK3">GetValue("Dmn","Name",TAK2)</f>
        <v/>
      </c>
      <c r="TAL3" s="1" t="str" cm="1">
        <f t="array" ref="TAL3">GetValue("Dmn","Name",TAL2)</f>
        <v/>
      </c>
      <c r="TAM3" s="1" t="str" cm="1">
        <f t="array" ref="TAM3">GetValue("Dmn","Name",TAM2)</f>
        <v/>
      </c>
      <c r="TAN3" s="1" t="str" cm="1">
        <f t="array" ref="TAN3">GetValue("Dmn","Name",TAN2)</f>
        <v/>
      </c>
      <c r="TAO3" s="1" t="str" cm="1">
        <f t="array" ref="TAO3">GetValue("Dmn","Name",TAO2)</f>
        <v/>
      </c>
      <c r="TAP3" s="1" t="str" cm="1">
        <f t="array" ref="TAP3">GetValue("Dmn","Name",TAP2)</f>
        <v/>
      </c>
      <c r="TAQ3" s="1" t="str" cm="1">
        <f t="array" ref="TAQ3">GetValue("Dmn","Name",TAQ2)</f>
        <v/>
      </c>
      <c r="TAR3" s="1" t="str" cm="1">
        <f t="array" ref="TAR3">GetValue("Dmn","Name",TAR2)</f>
        <v/>
      </c>
      <c r="TAS3" s="1" t="str" cm="1">
        <f t="array" ref="TAS3">GetValue("Dmn","Name",TAS2)</f>
        <v/>
      </c>
      <c r="TAT3" s="1" t="str" cm="1">
        <f t="array" ref="TAT3">GetValue("Dmn","Name",TAT2)</f>
        <v/>
      </c>
      <c r="TAU3" s="1" t="str" cm="1">
        <f t="array" ref="TAU3">GetValue("Dmn","Name",TAU2)</f>
        <v/>
      </c>
      <c r="TAV3" s="1" t="str" cm="1">
        <f t="array" ref="TAV3">GetValue("Dmn","Name",TAV2)</f>
        <v/>
      </c>
      <c r="TAW3" s="1" t="str" cm="1">
        <f t="array" ref="TAW3">GetValue("Dmn","Name",TAW2)</f>
        <v/>
      </c>
      <c r="TAX3" s="1" t="str" cm="1">
        <f t="array" ref="TAX3">GetValue("Dmn","Name",TAX2)</f>
        <v/>
      </c>
      <c r="TAY3" s="1" t="str" cm="1">
        <f t="array" ref="TAY3">GetValue("Dmn","Name",TAY2)</f>
        <v/>
      </c>
      <c r="TAZ3" s="1" t="str" cm="1">
        <f t="array" ref="TAZ3">GetValue("Dmn","Name",TAZ2)</f>
        <v/>
      </c>
      <c r="TBA3" s="1" t="str" cm="1">
        <f t="array" ref="TBA3">GetValue("Dmn","Name",TBA2)</f>
        <v/>
      </c>
      <c r="TBB3" s="1" t="str" cm="1">
        <f t="array" ref="TBB3">GetValue("Dmn","Name",TBB2)</f>
        <v/>
      </c>
      <c r="TBC3" s="1" t="str" cm="1">
        <f t="array" ref="TBC3">GetValue("Dmn","Name",TBC2)</f>
        <v/>
      </c>
      <c r="TBD3" s="1" t="str" cm="1">
        <f t="array" ref="TBD3">GetValue("Dmn","Name",TBD2)</f>
        <v/>
      </c>
      <c r="TBE3" s="1" t="str" cm="1">
        <f t="array" ref="TBE3">GetValue("Dmn","Name",TBE2)</f>
        <v/>
      </c>
      <c r="TBF3" s="1" t="str" cm="1">
        <f t="array" ref="TBF3">GetValue("Dmn","Name",TBF2)</f>
        <v/>
      </c>
      <c r="TBG3" s="1" t="str" cm="1">
        <f t="array" ref="TBG3">GetValue("Dmn","Name",TBG2)</f>
        <v/>
      </c>
      <c r="TBH3" s="1" t="str" cm="1">
        <f t="array" ref="TBH3">GetValue("Dmn","Name",TBH2)</f>
        <v/>
      </c>
      <c r="TBI3" s="1" t="str" cm="1">
        <f t="array" ref="TBI3">GetValue("Dmn","Name",TBI2)</f>
        <v/>
      </c>
      <c r="TBJ3" s="1" t="str" cm="1">
        <f t="array" ref="TBJ3">GetValue("Dmn","Name",TBJ2)</f>
        <v/>
      </c>
      <c r="TBK3" s="1" t="str" cm="1">
        <f t="array" ref="TBK3">GetValue("Dmn","Name",TBK2)</f>
        <v/>
      </c>
      <c r="TBL3" s="1" t="str" cm="1">
        <f t="array" ref="TBL3">GetValue("Dmn","Name",TBL2)</f>
        <v/>
      </c>
      <c r="TBM3" s="1" t="str" cm="1">
        <f t="array" ref="TBM3">GetValue("Dmn","Name",TBM2)</f>
        <v/>
      </c>
      <c r="TBN3" s="1" t="str" cm="1">
        <f t="array" ref="TBN3">GetValue("Dmn","Name",TBN2)</f>
        <v/>
      </c>
      <c r="TBO3" s="1" t="str" cm="1">
        <f t="array" ref="TBO3">GetValue("Dmn","Name",TBO2)</f>
        <v/>
      </c>
      <c r="TBP3" s="1" t="str" cm="1">
        <f t="array" ref="TBP3">GetValue("Dmn","Name",TBP2)</f>
        <v/>
      </c>
      <c r="TBQ3" s="1" t="str" cm="1">
        <f t="array" ref="TBQ3">GetValue("Dmn","Name",TBQ2)</f>
        <v/>
      </c>
      <c r="TBR3" s="1" t="str" cm="1">
        <f t="array" ref="TBR3">GetValue("Dmn","Name",TBR2)</f>
        <v/>
      </c>
      <c r="TBS3" s="1" t="str" cm="1">
        <f t="array" ref="TBS3">GetValue("Dmn","Name",TBS2)</f>
        <v/>
      </c>
      <c r="TBT3" s="1" t="str" cm="1">
        <f t="array" ref="TBT3">GetValue("Dmn","Name",TBT2)</f>
        <v/>
      </c>
      <c r="TBU3" s="1" t="str" cm="1">
        <f t="array" ref="TBU3">GetValue("Dmn","Name",TBU2)</f>
        <v/>
      </c>
      <c r="TBV3" s="1" t="str" cm="1">
        <f t="array" ref="TBV3">GetValue("Dmn","Name",TBV2)</f>
        <v/>
      </c>
      <c r="TBW3" s="1" t="str" cm="1">
        <f t="array" ref="TBW3">GetValue("Dmn","Name",TBW2)</f>
        <v/>
      </c>
      <c r="TBX3" s="1" t="str" cm="1">
        <f t="array" ref="TBX3">GetValue("Dmn","Name",TBX2)</f>
        <v/>
      </c>
      <c r="TBY3" s="1" t="str" cm="1">
        <f t="array" ref="TBY3">GetValue("Dmn","Name",TBY2)</f>
        <v/>
      </c>
      <c r="TBZ3" s="1" t="str" cm="1">
        <f t="array" ref="TBZ3">GetValue("Dmn","Name",TBZ2)</f>
        <v/>
      </c>
      <c r="TCA3" s="1" t="str" cm="1">
        <f t="array" ref="TCA3">GetValue("Dmn","Name",TCA2)</f>
        <v/>
      </c>
      <c r="TCB3" s="1" t="str" cm="1">
        <f t="array" ref="TCB3">GetValue("Dmn","Name",TCB2)</f>
        <v/>
      </c>
      <c r="TCC3" s="1" t="str" cm="1">
        <f t="array" ref="TCC3">GetValue("Dmn","Name",TCC2)</f>
        <v/>
      </c>
      <c r="TCD3" s="1" t="str" cm="1">
        <f t="array" ref="TCD3">GetValue("Dmn","Name",TCD2)</f>
        <v/>
      </c>
      <c r="TCE3" s="1" t="str" cm="1">
        <f t="array" ref="TCE3">GetValue("Dmn","Name",TCE2)</f>
        <v/>
      </c>
      <c r="TCF3" s="1" t="str" cm="1">
        <f t="array" ref="TCF3">GetValue("Dmn","Name",TCF2)</f>
        <v/>
      </c>
      <c r="TCG3" s="1" t="str" cm="1">
        <f t="array" ref="TCG3">GetValue("Dmn","Name",TCG2)</f>
        <v/>
      </c>
      <c r="TCH3" s="1" t="str" cm="1">
        <f t="array" ref="TCH3">GetValue("Dmn","Name",TCH2)</f>
        <v/>
      </c>
      <c r="TCI3" s="1" t="str" cm="1">
        <f t="array" ref="TCI3">GetValue("Dmn","Name",TCI2)</f>
        <v/>
      </c>
      <c r="TCJ3" s="1" t="str" cm="1">
        <f t="array" ref="TCJ3">GetValue("Dmn","Name",TCJ2)</f>
        <v/>
      </c>
      <c r="TCK3" s="1" t="str" cm="1">
        <f t="array" ref="TCK3">GetValue("Dmn","Name",TCK2)</f>
        <v/>
      </c>
      <c r="TCL3" s="1" t="str" cm="1">
        <f t="array" ref="TCL3">GetValue("Dmn","Name",TCL2)</f>
        <v/>
      </c>
      <c r="TCM3" s="1" t="str" cm="1">
        <f t="array" ref="TCM3">GetValue("Dmn","Name",TCM2)</f>
        <v/>
      </c>
      <c r="TCN3" s="1" t="str" cm="1">
        <f t="array" ref="TCN3">GetValue("Dmn","Name",TCN2)</f>
        <v/>
      </c>
      <c r="TCO3" s="1" t="str" cm="1">
        <f t="array" ref="TCO3">GetValue("Dmn","Name",TCO2)</f>
        <v/>
      </c>
      <c r="TCP3" s="1" t="str" cm="1">
        <f t="array" ref="TCP3">GetValue("Dmn","Name",TCP2)</f>
        <v/>
      </c>
      <c r="TCQ3" s="1" t="str" cm="1">
        <f t="array" ref="TCQ3">GetValue("Dmn","Name",TCQ2)</f>
        <v/>
      </c>
      <c r="TCR3" s="1" t="str" cm="1">
        <f t="array" ref="TCR3">GetValue("Dmn","Name",TCR2)</f>
        <v/>
      </c>
      <c r="TCS3" s="1" t="str" cm="1">
        <f t="array" ref="TCS3">GetValue("Dmn","Name",TCS2)</f>
        <v/>
      </c>
      <c r="TCT3" s="1" t="str" cm="1">
        <f t="array" ref="TCT3">GetValue("Dmn","Name",TCT2)</f>
        <v/>
      </c>
      <c r="TCU3" s="1" t="str" cm="1">
        <f t="array" ref="TCU3">GetValue("Dmn","Name",TCU2)</f>
        <v/>
      </c>
      <c r="TCV3" s="1" t="str" cm="1">
        <f t="array" ref="TCV3">GetValue("Dmn","Name",TCV2)</f>
        <v/>
      </c>
      <c r="TCW3" s="1" t="str" cm="1">
        <f t="array" ref="TCW3">GetValue("Dmn","Name",TCW2)</f>
        <v/>
      </c>
      <c r="TCX3" s="1" t="str" cm="1">
        <f t="array" ref="TCX3">GetValue("Dmn","Name",TCX2)</f>
        <v/>
      </c>
      <c r="TCY3" s="1" t="str" cm="1">
        <f t="array" ref="TCY3">GetValue("Dmn","Name",TCY2)</f>
        <v/>
      </c>
      <c r="TCZ3" s="1" t="str" cm="1">
        <f t="array" ref="TCZ3">GetValue("Dmn","Name",TCZ2)</f>
        <v/>
      </c>
      <c r="TDA3" s="1" t="str" cm="1">
        <f t="array" ref="TDA3">GetValue("Dmn","Name",TDA2)</f>
        <v/>
      </c>
      <c r="TDB3" s="1" t="str" cm="1">
        <f t="array" ref="TDB3">GetValue("Dmn","Name",TDB2)</f>
        <v/>
      </c>
      <c r="TDC3" s="1" t="str" cm="1">
        <f t="array" ref="TDC3">GetValue("Dmn","Name",TDC2)</f>
        <v/>
      </c>
      <c r="TDD3" s="1" t="str" cm="1">
        <f t="array" ref="TDD3">GetValue("Dmn","Name",TDD2)</f>
        <v/>
      </c>
      <c r="TDE3" s="1" t="str" cm="1">
        <f t="array" ref="TDE3">GetValue("Dmn","Name",TDE2)</f>
        <v/>
      </c>
      <c r="TDF3" s="1" t="str" cm="1">
        <f t="array" ref="TDF3">GetValue("Dmn","Name",TDF2)</f>
        <v/>
      </c>
      <c r="TDG3" s="1" t="str" cm="1">
        <f t="array" ref="TDG3">GetValue("Dmn","Name",TDG2)</f>
        <v/>
      </c>
      <c r="TDH3" s="1" t="str" cm="1">
        <f t="array" ref="TDH3">GetValue("Dmn","Name",TDH2)</f>
        <v/>
      </c>
      <c r="TDI3" s="1" t="str" cm="1">
        <f t="array" ref="TDI3">GetValue("Dmn","Name",TDI2)</f>
        <v/>
      </c>
      <c r="TDJ3" s="1" t="str" cm="1">
        <f t="array" ref="TDJ3">GetValue("Dmn","Name",TDJ2)</f>
        <v/>
      </c>
      <c r="TDK3" s="1" t="str" cm="1">
        <f t="array" ref="TDK3">GetValue("Dmn","Name",TDK2)</f>
        <v/>
      </c>
      <c r="TDL3" s="1" t="str" cm="1">
        <f t="array" ref="TDL3">GetValue("Dmn","Name",TDL2)</f>
        <v/>
      </c>
      <c r="TDM3" s="1" t="str" cm="1">
        <f t="array" ref="TDM3">GetValue("Dmn","Name",TDM2)</f>
        <v/>
      </c>
      <c r="TDN3" s="1" t="str" cm="1">
        <f t="array" ref="TDN3">GetValue("Dmn","Name",TDN2)</f>
        <v/>
      </c>
      <c r="TDO3" s="1" t="str" cm="1">
        <f t="array" ref="TDO3">GetValue("Dmn","Name",TDO2)</f>
        <v/>
      </c>
      <c r="TDP3" s="1" t="str" cm="1">
        <f t="array" ref="TDP3">GetValue("Dmn","Name",TDP2)</f>
        <v/>
      </c>
      <c r="TDQ3" s="1" t="str" cm="1">
        <f t="array" ref="TDQ3">GetValue("Dmn","Name",TDQ2)</f>
        <v/>
      </c>
      <c r="TDR3" s="1" t="str" cm="1">
        <f t="array" ref="TDR3">GetValue("Dmn","Name",TDR2)</f>
        <v/>
      </c>
      <c r="TDS3" s="1" t="str" cm="1">
        <f t="array" ref="TDS3">GetValue("Dmn","Name",TDS2)</f>
        <v/>
      </c>
      <c r="TDT3" s="1" t="str" cm="1">
        <f t="array" ref="TDT3">GetValue("Dmn","Name",TDT2)</f>
        <v/>
      </c>
      <c r="TDU3" s="1" t="str" cm="1">
        <f t="array" ref="TDU3">GetValue("Dmn","Name",TDU2)</f>
        <v/>
      </c>
      <c r="TDV3" s="1" t="str" cm="1">
        <f t="array" ref="TDV3">GetValue("Dmn","Name",TDV2)</f>
        <v/>
      </c>
      <c r="TDW3" s="1" t="str" cm="1">
        <f t="array" ref="TDW3">GetValue("Dmn","Name",TDW2)</f>
        <v/>
      </c>
      <c r="TDX3" s="1" t="str" cm="1">
        <f t="array" ref="TDX3">GetValue("Dmn","Name",TDX2)</f>
        <v/>
      </c>
      <c r="TDY3" s="1" t="str" cm="1">
        <f t="array" ref="TDY3">GetValue("Dmn","Name",TDY2)</f>
        <v/>
      </c>
      <c r="TDZ3" s="1" t="str" cm="1">
        <f t="array" ref="TDZ3">GetValue("Dmn","Name",TDZ2)</f>
        <v/>
      </c>
      <c r="TEA3" s="1" t="str" cm="1">
        <f t="array" ref="TEA3">GetValue("Dmn","Name",TEA2)</f>
        <v/>
      </c>
      <c r="TEB3" s="1" t="str" cm="1">
        <f t="array" ref="TEB3">GetValue("Dmn","Name",TEB2)</f>
        <v/>
      </c>
      <c r="TEC3" s="1" t="str" cm="1">
        <f t="array" ref="TEC3">GetValue("Dmn","Name",TEC2)</f>
        <v/>
      </c>
      <c r="TED3" s="1" t="str" cm="1">
        <f t="array" ref="TED3">GetValue("Dmn","Name",TED2)</f>
        <v/>
      </c>
      <c r="TEE3" s="1" t="str" cm="1">
        <f t="array" ref="TEE3">GetValue("Dmn","Name",TEE2)</f>
        <v/>
      </c>
      <c r="TEF3" s="1" t="str" cm="1">
        <f t="array" ref="TEF3">GetValue("Dmn","Name",TEF2)</f>
        <v/>
      </c>
      <c r="TEG3" s="1" t="str" cm="1">
        <f t="array" ref="TEG3">GetValue("Dmn","Name",TEG2)</f>
        <v/>
      </c>
      <c r="TEH3" s="1" t="str" cm="1">
        <f t="array" ref="TEH3">GetValue("Dmn","Name",TEH2)</f>
        <v/>
      </c>
      <c r="TEI3" s="1" t="str" cm="1">
        <f t="array" ref="TEI3">GetValue("Dmn","Name",TEI2)</f>
        <v/>
      </c>
      <c r="TEJ3" s="1" t="str" cm="1">
        <f t="array" ref="TEJ3">GetValue("Dmn","Name",TEJ2)</f>
        <v/>
      </c>
      <c r="TEK3" s="1" t="str" cm="1">
        <f t="array" ref="TEK3">GetValue("Dmn","Name",TEK2)</f>
        <v/>
      </c>
      <c r="TEL3" s="1" t="str" cm="1">
        <f t="array" ref="TEL3">GetValue("Dmn","Name",TEL2)</f>
        <v/>
      </c>
      <c r="TEM3" s="1" t="str" cm="1">
        <f t="array" ref="TEM3">GetValue("Dmn","Name",TEM2)</f>
        <v/>
      </c>
      <c r="TEN3" s="1" t="str" cm="1">
        <f t="array" ref="TEN3">GetValue("Dmn","Name",TEN2)</f>
        <v/>
      </c>
      <c r="TEO3" s="1" t="str" cm="1">
        <f t="array" ref="TEO3">GetValue("Dmn","Name",TEO2)</f>
        <v/>
      </c>
      <c r="TEP3" s="1" t="str" cm="1">
        <f t="array" ref="TEP3">GetValue("Dmn","Name",TEP2)</f>
        <v/>
      </c>
      <c r="TEQ3" s="1" t="str" cm="1">
        <f t="array" ref="TEQ3">GetValue("Dmn","Name",TEQ2)</f>
        <v/>
      </c>
      <c r="TER3" s="1" t="str" cm="1">
        <f t="array" ref="TER3">GetValue("Dmn","Name",TER2)</f>
        <v/>
      </c>
      <c r="TES3" s="1" t="str" cm="1">
        <f t="array" ref="TES3">GetValue("Dmn","Name",TES2)</f>
        <v/>
      </c>
      <c r="TET3" s="1" t="str" cm="1">
        <f t="array" ref="TET3">GetValue("Dmn","Name",TET2)</f>
        <v/>
      </c>
      <c r="TEU3" s="1" t="str" cm="1">
        <f t="array" ref="TEU3">GetValue("Dmn","Name",TEU2)</f>
        <v/>
      </c>
      <c r="TEV3" s="1" t="str" cm="1">
        <f t="array" ref="TEV3">GetValue("Dmn","Name",TEV2)</f>
        <v/>
      </c>
      <c r="TEW3" s="1" t="str" cm="1">
        <f t="array" ref="TEW3">GetValue("Dmn","Name",TEW2)</f>
        <v/>
      </c>
      <c r="TEX3" s="1" t="str" cm="1">
        <f t="array" ref="TEX3">GetValue("Dmn","Name",TEX2)</f>
        <v/>
      </c>
      <c r="TEY3" s="1" t="str" cm="1">
        <f t="array" ref="TEY3">GetValue("Dmn","Name",TEY2)</f>
        <v/>
      </c>
      <c r="TEZ3" s="1" t="str" cm="1">
        <f t="array" ref="TEZ3">GetValue("Dmn","Name",TEZ2)</f>
        <v/>
      </c>
      <c r="TFA3" s="1" t="str" cm="1">
        <f t="array" ref="TFA3">GetValue("Dmn","Name",TFA2)</f>
        <v/>
      </c>
      <c r="TFB3" s="1" t="str" cm="1">
        <f t="array" ref="TFB3">GetValue("Dmn","Name",TFB2)</f>
        <v/>
      </c>
      <c r="TFC3" s="1" t="str" cm="1">
        <f t="array" ref="TFC3">GetValue("Dmn","Name",TFC2)</f>
        <v/>
      </c>
      <c r="TFD3" s="1" t="str" cm="1">
        <f t="array" ref="TFD3">GetValue("Dmn","Name",TFD2)</f>
        <v/>
      </c>
      <c r="TFE3" s="1" t="str" cm="1">
        <f t="array" ref="TFE3">GetValue("Dmn","Name",TFE2)</f>
        <v/>
      </c>
      <c r="TFF3" s="1" t="str" cm="1">
        <f t="array" ref="TFF3">GetValue("Dmn","Name",TFF2)</f>
        <v/>
      </c>
      <c r="TFG3" s="1" t="str" cm="1">
        <f t="array" ref="TFG3">GetValue("Dmn","Name",TFG2)</f>
        <v/>
      </c>
      <c r="TFH3" s="1" t="str" cm="1">
        <f t="array" ref="TFH3">GetValue("Dmn","Name",TFH2)</f>
        <v/>
      </c>
      <c r="TFI3" s="1" t="str" cm="1">
        <f t="array" ref="TFI3">GetValue("Dmn","Name",TFI2)</f>
        <v/>
      </c>
      <c r="TFJ3" s="1" t="str" cm="1">
        <f t="array" ref="TFJ3">GetValue("Dmn","Name",TFJ2)</f>
        <v/>
      </c>
      <c r="TFK3" s="1" t="str" cm="1">
        <f t="array" ref="TFK3">GetValue("Dmn","Name",TFK2)</f>
        <v/>
      </c>
      <c r="TFL3" s="1" t="str" cm="1">
        <f t="array" ref="TFL3">GetValue("Dmn","Name",TFL2)</f>
        <v/>
      </c>
      <c r="TFM3" s="1" t="str" cm="1">
        <f t="array" ref="TFM3">GetValue("Dmn","Name",TFM2)</f>
        <v/>
      </c>
      <c r="TFN3" s="1" t="str" cm="1">
        <f t="array" ref="TFN3">GetValue("Dmn","Name",TFN2)</f>
        <v/>
      </c>
      <c r="TFO3" s="1" t="str" cm="1">
        <f t="array" ref="TFO3">GetValue("Dmn","Name",TFO2)</f>
        <v/>
      </c>
      <c r="TFP3" s="1" t="str" cm="1">
        <f t="array" ref="TFP3">GetValue("Dmn","Name",TFP2)</f>
        <v/>
      </c>
      <c r="TFQ3" s="1" t="str" cm="1">
        <f t="array" ref="TFQ3">GetValue("Dmn","Name",TFQ2)</f>
        <v/>
      </c>
      <c r="TFR3" s="1" t="str" cm="1">
        <f t="array" ref="TFR3">GetValue("Dmn","Name",TFR2)</f>
        <v/>
      </c>
      <c r="TFS3" s="1" t="str" cm="1">
        <f t="array" ref="TFS3">GetValue("Dmn","Name",TFS2)</f>
        <v/>
      </c>
      <c r="TFT3" s="1" t="str" cm="1">
        <f t="array" ref="TFT3">GetValue("Dmn","Name",TFT2)</f>
        <v/>
      </c>
      <c r="TFU3" s="1" t="str" cm="1">
        <f t="array" ref="TFU3">GetValue("Dmn","Name",TFU2)</f>
        <v/>
      </c>
      <c r="TFV3" s="1" t="str" cm="1">
        <f t="array" ref="TFV3">GetValue("Dmn","Name",TFV2)</f>
        <v/>
      </c>
      <c r="TFW3" s="1" t="str" cm="1">
        <f t="array" ref="TFW3">GetValue("Dmn","Name",TFW2)</f>
        <v/>
      </c>
      <c r="TFX3" s="1" t="str" cm="1">
        <f t="array" ref="TFX3">GetValue("Dmn","Name",TFX2)</f>
        <v/>
      </c>
      <c r="TFY3" s="1" t="str" cm="1">
        <f t="array" ref="TFY3">GetValue("Dmn","Name",TFY2)</f>
        <v/>
      </c>
      <c r="TFZ3" s="1" t="str" cm="1">
        <f t="array" ref="TFZ3">GetValue("Dmn","Name",TFZ2)</f>
        <v/>
      </c>
      <c r="TGA3" s="1" t="str" cm="1">
        <f t="array" ref="TGA3">GetValue("Dmn","Name",TGA2)</f>
        <v/>
      </c>
      <c r="TGB3" s="1" t="str" cm="1">
        <f t="array" ref="TGB3">GetValue("Dmn","Name",TGB2)</f>
        <v/>
      </c>
      <c r="TGC3" s="1" t="str" cm="1">
        <f t="array" ref="TGC3">GetValue("Dmn","Name",TGC2)</f>
        <v/>
      </c>
      <c r="TGD3" s="1" t="str" cm="1">
        <f t="array" ref="TGD3">GetValue("Dmn","Name",TGD2)</f>
        <v/>
      </c>
      <c r="TGE3" s="1" t="str" cm="1">
        <f t="array" ref="TGE3">GetValue("Dmn","Name",TGE2)</f>
        <v/>
      </c>
      <c r="TGF3" s="1" t="str" cm="1">
        <f t="array" ref="TGF3">GetValue("Dmn","Name",TGF2)</f>
        <v/>
      </c>
      <c r="TGG3" s="1" t="str" cm="1">
        <f t="array" ref="TGG3">GetValue("Dmn","Name",TGG2)</f>
        <v/>
      </c>
      <c r="TGH3" s="1" t="str" cm="1">
        <f t="array" ref="TGH3">GetValue("Dmn","Name",TGH2)</f>
        <v/>
      </c>
      <c r="TGI3" s="1" t="str" cm="1">
        <f t="array" ref="TGI3">GetValue("Dmn","Name",TGI2)</f>
        <v/>
      </c>
      <c r="TGJ3" s="1" t="str" cm="1">
        <f t="array" ref="TGJ3">GetValue("Dmn","Name",TGJ2)</f>
        <v/>
      </c>
      <c r="TGK3" s="1" t="str" cm="1">
        <f t="array" ref="TGK3">GetValue("Dmn","Name",TGK2)</f>
        <v/>
      </c>
      <c r="TGL3" s="1" t="str" cm="1">
        <f t="array" ref="TGL3">GetValue("Dmn","Name",TGL2)</f>
        <v/>
      </c>
      <c r="TGM3" s="1" t="str" cm="1">
        <f t="array" ref="TGM3">GetValue("Dmn","Name",TGM2)</f>
        <v/>
      </c>
      <c r="TGN3" s="1" t="str" cm="1">
        <f t="array" ref="TGN3">GetValue("Dmn","Name",TGN2)</f>
        <v/>
      </c>
      <c r="TGO3" s="1" t="str" cm="1">
        <f t="array" ref="TGO3">GetValue("Dmn","Name",TGO2)</f>
        <v/>
      </c>
      <c r="TGP3" s="1" t="str" cm="1">
        <f t="array" ref="TGP3">GetValue("Dmn","Name",TGP2)</f>
        <v/>
      </c>
      <c r="TGQ3" s="1" t="str" cm="1">
        <f t="array" ref="TGQ3">GetValue("Dmn","Name",TGQ2)</f>
        <v/>
      </c>
      <c r="TGR3" s="1" t="str" cm="1">
        <f t="array" ref="TGR3">GetValue("Dmn","Name",TGR2)</f>
        <v/>
      </c>
      <c r="TGS3" s="1" t="str" cm="1">
        <f t="array" ref="TGS3">GetValue("Dmn","Name",TGS2)</f>
        <v/>
      </c>
      <c r="TGT3" s="1" t="str" cm="1">
        <f t="array" ref="TGT3">GetValue("Dmn","Name",TGT2)</f>
        <v/>
      </c>
      <c r="TGU3" s="1" t="str" cm="1">
        <f t="array" ref="TGU3">GetValue("Dmn","Name",TGU2)</f>
        <v/>
      </c>
      <c r="TGV3" s="1" t="str" cm="1">
        <f t="array" ref="TGV3">GetValue("Dmn","Name",TGV2)</f>
        <v/>
      </c>
      <c r="TGW3" s="1" t="str" cm="1">
        <f t="array" ref="TGW3">GetValue("Dmn","Name",TGW2)</f>
        <v/>
      </c>
      <c r="TGX3" s="1" t="str" cm="1">
        <f t="array" ref="TGX3">GetValue("Dmn","Name",TGX2)</f>
        <v/>
      </c>
      <c r="TGY3" s="1" t="str" cm="1">
        <f t="array" ref="TGY3">GetValue("Dmn","Name",TGY2)</f>
        <v/>
      </c>
      <c r="TGZ3" s="1" t="str" cm="1">
        <f t="array" ref="TGZ3">GetValue("Dmn","Name",TGZ2)</f>
        <v/>
      </c>
      <c r="THA3" s="1" t="str" cm="1">
        <f t="array" ref="THA3">GetValue("Dmn","Name",THA2)</f>
        <v/>
      </c>
      <c r="THB3" s="1" t="str" cm="1">
        <f t="array" ref="THB3">GetValue("Dmn","Name",THB2)</f>
        <v/>
      </c>
      <c r="THC3" s="1" t="str" cm="1">
        <f t="array" ref="THC3">GetValue("Dmn","Name",THC2)</f>
        <v/>
      </c>
      <c r="THD3" s="1" t="str" cm="1">
        <f t="array" ref="THD3">GetValue("Dmn","Name",THD2)</f>
        <v/>
      </c>
      <c r="THE3" s="1" t="str" cm="1">
        <f t="array" ref="THE3">GetValue("Dmn","Name",THE2)</f>
        <v/>
      </c>
      <c r="THF3" s="1" t="str" cm="1">
        <f t="array" ref="THF3">GetValue("Dmn","Name",THF2)</f>
        <v/>
      </c>
      <c r="THG3" s="1" t="str" cm="1">
        <f t="array" ref="THG3">GetValue("Dmn","Name",THG2)</f>
        <v/>
      </c>
      <c r="THH3" s="1" t="str" cm="1">
        <f t="array" ref="THH3">GetValue("Dmn","Name",THH2)</f>
        <v/>
      </c>
      <c r="THI3" s="1" t="str" cm="1">
        <f t="array" ref="THI3">GetValue("Dmn","Name",THI2)</f>
        <v/>
      </c>
      <c r="THJ3" s="1" t="str" cm="1">
        <f t="array" ref="THJ3">GetValue("Dmn","Name",THJ2)</f>
        <v/>
      </c>
      <c r="THK3" s="1" t="str" cm="1">
        <f t="array" ref="THK3">GetValue("Dmn","Name",THK2)</f>
        <v/>
      </c>
      <c r="THL3" s="1" t="str" cm="1">
        <f t="array" ref="THL3">GetValue("Dmn","Name",THL2)</f>
        <v/>
      </c>
      <c r="THM3" s="1" t="str" cm="1">
        <f t="array" ref="THM3">GetValue("Dmn","Name",THM2)</f>
        <v/>
      </c>
      <c r="THN3" s="1" t="str" cm="1">
        <f t="array" ref="THN3">GetValue("Dmn","Name",THN2)</f>
        <v/>
      </c>
      <c r="THO3" s="1" t="str" cm="1">
        <f t="array" ref="THO3">GetValue("Dmn","Name",THO2)</f>
        <v/>
      </c>
      <c r="THP3" s="1" t="str" cm="1">
        <f t="array" ref="THP3">GetValue("Dmn","Name",THP2)</f>
        <v/>
      </c>
      <c r="THQ3" s="1" t="str" cm="1">
        <f t="array" ref="THQ3">GetValue("Dmn","Name",THQ2)</f>
        <v/>
      </c>
      <c r="THR3" s="1" t="str" cm="1">
        <f t="array" ref="THR3">GetValue("Dmn","Name",THR2)</f>
        <v/>
      </c>
      <c r="THS3" s="1" t="str" cm="1">
        <f t="array" ref="THS3">GetValue("Dmn","Name",THS2)</f>
        <v/>
      </c>
      <c r="THT3" s="1" t="str" cm="1">
        <f t="array" ref="THT3">GetValue("Dmn","Name",THT2)</f>
        <v/>
      </c>
      <c r="THU3" s="1" t="str" cm="1">
        <f t="array" ref="THU3">GetValue("Dmn","Name",THU2)</f>
        <v/>
      </c>
      <c r="THV3" s="1" t="str" cm="1">
        <f t="array" ref="THV3">GetValue("Dmn","Name",THV2)</f>
        <v/>
      </c>
      <c r="THW3" s="1" t="str" cm="1">
        <f t="array" ref="THW3">GetValue("Dmn","Name",THW2)</f>
        <v/>
      </c>
      <c r="THX3" s="1" t="str" cm="1">
        <f t="array" ref="THX3">GetValue("Dmn","Name",THX2)</f>
        <v/>
      </c>
      <c r="THY3" s="1" t="str" cm="1">
        <f t="array" ref="THY3">GetValue("Dmn","Name",THY2)</f>
        <v/>
      </c>
      <c r="THZ3" s="1" t="str" cm="1">
        <f t="array" ref="THZ3">GetValue("Dmn","Name",THZ2)</f>
        <v/>
      </c>
      <c r="TIA3" s="1" t="str" cm="1">
        <f t="array" ref="TIA3">GetValue("Dmn","Name",TIA2)</f>
        <v/>
      </c>
      <c r="TIB3" s="1" t="str" cm="1">
        <f t="array" ref="TIB3">GetValue("Dmn","Name",TIB2)</f>
        <v/>
      </c>
      <c r="TIC3" s="1" t="str" cm="1">
        <f t="array" ref="TIC3">GetValue("Dmn","Name",TIC2)</f>
        <v/>
      </c>
      <c r="TID3" s="1" t="str" cm="1">
        <f t="array" ref="TID3">GetValue("Dmn","Name",TID2)</f>
        <v/>
      </c>
      <c r="TIE3" s="1" t="str" cm="1">
        <f t="array" ref="TIE3">GetValue("Dmn","Name",TIE2)</f>
        <v/>
      </c>
      <c r="TIF3" s="1" t="str" cm="1">
        <f t="array" ref="TIF3">GetValue("Dmn","Name",TIF2)</f>
        <v/>
      </c>
      <c r="TIG3" s="1" t="str" cm="1">
        <f t="array" ref="TIG3">GetValue("Dmn","Name",TIG2)</f>
        <v/>
      </c>
      <c r="TIH3" s="1" t="str" cm="1">
        <f t="array" ref="TIH3">GetValue("Dmn","Name",TIH2)</f>
        <v/>
      </c>
      <c r="TII3" s="1" t="str" cm="1">
        <f t="array" ref="TII3">GetValue("Dmn","Name",TII2)</f>
        <v/>
      </c>
      <c r="TIJ3" s="1" t="str" cm="1">
        <f t="array" ref="TIJ3">GetValue("Dmn","Name",TIJ2)</f>
        <v/>
      </c>
      <c r="TIK3" s="1" t="str" cm="1">
        <f t="array" ref="TIK3">GetValue("Dmn","Name",TIK2)</f>
        <v/>
      </c>
      <c r="TIL3" s="1" t="str" cm="1">
        <f t="array" ref="TIL3">GetValue("Dmn","Name",TIL2)</f>
        <v/>
      </c>
      <c r="TIM3" s="1" t="str" cm="1">
        <f t="array" ref="TIM3">GetValue("Dmn","Name",TIM2)</f>
        <v/>
      </c>
      <c r="TIN3" s="1" t="str" cm="1">
        <f t="array" ref="TIN3">GetValue("Dmn","Name",TIN2)</f>
        <v/>
      </c>
      <c r="TIO3" s="1" t="str" cm="1">
        <f t="array" ref="TIO3">GetValue("Dmn","Name",TIO2)</f>
        <v/>
      </c>
      <c r="TIP3" s="1" t="str" cm="1">
        <f t="array" ref="TIP3">GetValue("Dmn","Name",TIP2)</f>
        <v/>
      </c>
      <c r="TIQ3" s="1" t="str" cm="1">
        <f t="array" ref="TIQ3">GetValue("Dmn","Name",TIQ2)</f>
        <v/>
      </c>
      <c r="TIR3" s="1" t="str" cm="1">
        <f t="array" ref="TIR3">GetValue("Dmn","Name",TIR2)</f>
        <v/>
      </c>
      <c r="TIS3" s="1" t="str" cm="1">
        <f t="array" ref="TIS3">GetValue("Dmn","Name",TIS2)</f>
        <v/>
      </c>
      <c r="TIT3" s="1" t="str" cm="1">
        <f t="array" ref="TIT3">GetValue("Dmn","Name",TIT2)</f>
        <v/>
      </c>
      <c r="TIU3" s="1" t="str" cm="1">
        <f t="array" ref="TIU3">GetValue("Dmn","Name",TIU2)</f>
        <v/>
      </c>
      <c r="TIV3" s="1" t="str" cm="1">
        <f t="array" ref="TIV3">GetValue("Dmn","Name",TIV2)</f>
        <v/>
      </c>
      <c r="TIW3" s="1" t="str" cm="1">
        <f t="array" ref="TIW3">GetValue("Dmn","Name",TIW2)</f>
        <v/>
      </c>
      <c r="TIX3" s="1" t="str" cm="1">
        <f t="array" ref="TIX3">GetValue("Dmn","Name",TIX2)</f>
        <v/>
      </c>
      <c r="TIY3" s="1" t="str" cm="1">
        <f t="array" ref="TIY3">GetValue("Dmn","Name",TIY2)</f>
        <v/>
      </c>
      <c r="TIZ3" s="1" t="str" cm="1">
        <f t="array" ref="TIZ3">GetValue("Dmn","Name",TIZ2)</f>
        <v/>
      </c>
      <c r="TJA3" s="1" t="str" cm="1">
        <f t="array" ref="TJA3">GetValue("Dmn","Name",TJA2)</f>
        <v/>
      </c>
      <c r="TJB3" s="1" t="str" cm="1">
        <f t="array" ref="TJB3">GetValue("Dmn","Name",TJB2)</f>
        <v/>
      </c>
      <c r="TJC3" s="1" t="str" cm="1">
        <f t="array" ref="TJC3">GetValue("Dmn","Name",TJC2)</f>
        <v/>
      </c>
      <c r="TJD3" s="1" t="str" cm="1">
        <f t="array" ref="TJD3">GetValue("Dmn","Name",TJD2)</f>
        <v/>
      </c>
      <c r="TJE3" s="1" t="str" cm="1">
        <f t="array" ref="TJE3">GetValue("Dmn","Name",TJE2)</f>
        <v/>
      </c>
      <c r="TJF3" s="1" t="str" cm="1">
        <f t="array" ref="TJF3">GetValue("Dmn","Name",TJF2)</f>
        <v/>
      </c>
      <c r="TJG3" s="1" t="str" cm="1">
        <f t="array" ref="TJG3">GetValue("Dmn","Name",TJG2)</f>
        <v/>
      </c>
      <c r="TJH3" s="1" t="str" cm="1">
        <f t="array" ref="TJH3">GetValue("Dmn","Name",TJH2)</f>
        <v/>
      </c>
      <c r="TJI3" s="1" t="str" cm="1">
        <f t="array" ref="TJI3">GetValue("Dmn","Name",TJI2)</f>
        <v/>
      </c>
      <c r="TJJ3" s="1" t="str" cm="1">
        <f t="array" ref="TJJ3">GetValue("Dmn","Name",TJJ2)</f>
        <v/>
      </c>
      <c r="TJK3" s="1" t="str" cm="1">
        <f t="array" ref="TJK3">GetValue("Dmn","Name",TJK2)</f>
        <v/>
      </c>
      <c r="TJL3" s="1" t="str" cm="1">
        <f t="array" ref="TJL3">GetValue("Dmn","Name",TJL2)</f>
        <v/>
      </c>
      <c r="TJM3" s="1" t="str" cm="1">
        <f t="array" ref="TJM3">GetValue("Dmn","Name",TJM2)</f>
        <v/>
      </c>
      <c r="TJN3" s="1" t="str" cm="1">
        <f t="array" ref="TJN3">GetValue("Dmn","Name",TJN2)</f>
        <v/>
      </c>
      <c r="TJO3" s="1" t="str" cm="1">
        <f t="array" ref="TJO3">GetValue("Dmn","Name",TJO2)</f>
        <v/>
      </c>
      <c r="TJP3" s="1" t="str" cm="1">
        <f t="array" ref="TJP3">GetValue("Dmn","Name",TJP2)</f>
        <v/>
      </c>
      <c r="TJQ3" s="1" t="str" cm="1">
        <f t="array" ref="TJQ3">GetValue("Dmn","Name",TJQ2)</f>
        <v/>
      </c>
      <c r="TJR3" s="1" t="str" cm="1">
        <f t="array" ref="TJR3">GetValue("Dmn","Name",TJR2)</f>
        <v/>
      </c>
      <c r="TJS3" s="1" t="str" cm="1">
        <f t="array" ref="TJS3">GetValue("Dmn","Name",TJS2)</f>
        <v/>
      </c>
      <c r="TJT3" s="1" t="str" cm="1">
        <f t="array" ref="TJT3">GetValue("Dmn","Name",TJT2)</f>
        <v/>
      </c>
      <c r="TJU3" s="1" t="str" cm="1">
        <f t="array" ref="TJU3">GetValue("Dmn","Name",TJU2)</f>
        <v/>
      </c>
      <c r="TJV3" s="1" t="str" cm="1">
        <f t="array" ref="TJV3">GetValue("Dmn","Name",TJV2)</f>
        <v/>
      </c>
      <c r="TJW3" s="1" t="str" cm="1">
        <f t="array" ref="TJW3">GetValue("Dmn","Name",TJW2)</f>
        <v/>
      </c>
      <c r="TJX3" s="1" t="str" cm="1">
        <f t="array" ref="TJX3">GetValue("Dmn","Name",TJX2)</f>
        <v/>
      </c>
      <c r="TJY3" s="1" t="str" cm="1">
        <f t="array" ref="TJY3">GetValue("Dmn","Name",TJY2)</f>
        <v/>
      </c>
      <c r="TJZ3" s="1" t="str" cm="1">
        <f t="array" ref="TJZ3">GetValue("Dmn","Name",TJZ2)</f>
        <v/>
      </c>
      <c r="TKA3" s="1" t="str" cm="1">
        <f t="array" ref="TKA3">GetValue("Dmn","Name",TKA2)</f>
        <v/>
      </c>
      <c r="TKB3" s="1" t="str" cm="1">
        <f t="array" ref="TKB3">GetValue("Dmn","Name",TKB2)</f>
        <v/>
      </c>
      <c r="TKC3" s="1" t="str" cm="1">
        <f t="array" ref="TKC3">GetValue("Dmn","Name",TKC2)</f>
        <v/>
      </c>
      <c r="TKD3" s="1" t="str" cm="1">
        <f t="array" ref="TKD3">GetValue("Dmn","Name",TKD2)</f>
        <v/>
      </c>
      <c r="TKE3" s="1" t="str" cm="1">
        <f t="array" ref="TKE3">GetValue("Dmn","Name",TKE2)</f>
        <v/>
      </c>
      <c r="TKF3" s="1" t="str" cm="1">
        <f t="array" ref="TKF3">GetValue("Dmn","Name",TKF2)</f>
        <v/>
      </c>
      <c r="TKG3" s="1" t="str" cm="1">
        <f t="array" ref="TKG3">GetValue("Dmn","Name",TKG2)</f>
        <v/>
      </c>
      <c r="TKH3" s="1" t="str" cm="1">
        <f t="array" ref="TKH3">GetValue("Dmn","Name",TKH2)</f>
        <v/>
      </c>
      <c r="TKI3" s="1" t="str" cm="1">
        <f t="array" ref="TKI3">GetValue("Dmn","Name",TKI2)</f>
        <v/>
      </c>
      <c r="TKJ3" s="1" t="str" cm="1">
        <f t="array" ref="TKJ3">GetValue("Dmn","Name",TKJ2)</f>
        <v/>
      </c>
      <c r="TKK3" s="1" t="str" cm="1">
        <f t="array" ref="TKK3">GetValue("Dmn","Name",TKK2)</f>
        <v/>
      </c>
      <c r="TKL3" s="1" t="str" cm="1">
        <f t="array" ref="TKL3">GetValue("Dmn","Name",TKL2)</f>
        <v/>
      </c>
      <c r="TKM3" s="1" t="str" cm="1">
        <f t="array" ref="TKM3">GetValue("Dmn","Name",TKM2)</f>
        <v/>
      </c>
      <c r="TKN3" s="1" t="str" cm="1">
        <f t="array" ref="TKN3">GetValue("Dmn","Name",TKN2)</f>
        <v/>
      </c>
      <c r="TKO3" s="1" t="str" cm="1">
        <f t="array" ref="TKO3">GetValue("Dmn","Name",TKO2)</f>
        <v/>
      </c>
      <c r="TKP3" s="1" t="str" cm="1">
        <f t="array" ref="TKP3">GetValue("Dmn","Name",TKP2)</f>
        <v/>
      </c>
      <c r="TKQ3" s="1" t="str" cm="1">
        <f t="array" ref="TKQ3">GetValue("Dmn","Name",TKQ2)</f>
        <v/>
      </c>
      <c r="TKR3" s="1" t="str" cm="1">
        <f t="array" ref="TKR3">GetValue("Dmn","Name",TKR2)</f>
        <v/>
      </c>
      <c r="TKS3" s="1" t="str" cm="1">
        <f t="array" ref="TKS3">GetValue("Dmn","Name",TKS2)</f>
        <v/>
      </c>
      <c r="TKT3" s="1" t="str" cm="1">
        <f t="array" ref="TKT3">GetValue("Dmn","Name",TKT2)</f>
        <v/>
      </c>
      <c r="TKU3" s="1" t="str" cm="1">
        <f t="array" ref="TKU3">GetValue("Dmn","Name",TKU2)</f>
        <v/>
      </c>
      <c r="TKV3" s="1" t="str" cm="1">
        <f t="array" ref="TKV3">GetValue("Dmn","Name",TKV2)</f>
        <v/>
      </c>
      <c r="TKW3" s="1" t="str" cm="1">
        <f t="array" ref="TKW3">GetValue("Dmn","Name",TKW2)</f>
        <v/>
      </c>
      <c r="TKX3" s="1" t="str" cm="1">
        <f t="array" ref="TKX3">GetValue("Dmn","Name",TKX2)</f>
        <v/>
      </c>
      <c r="TKY3" s="1" t="str" cm="1">
        <f t="array" ref="TKY3">GetValue("Dmn","Name",TKY2)</f>
        <v/>
      </c>
      <c r="TKZ3" s="1" t="str" cm="1">
        <f t="array" ref="TKZ3">GetValue("Dmn","Name",TKZ2)</f>
        <v/>
      </c>
      <c r="TLA3" s="1" t="str" cm="1">
        <f t="array" ref="TLA3">GetValue("Dmn","Name",TLA2)</f>
        <v/>
      </c>
      <c r="TLB3" s="1" t="str" cm="1">
        <f t="array" ref="TLB3">GetValue("Dmn","Name",TLB2)</f>
        <v/>
      </c>
      <c r="TLC3" s="1" t="str" cm="1">
        <f t="array" ref="TLC3">GetValue("Dmn","Name",TLC2)</f>
        <v/>
      </c>
      <c r="TLD3" s="1" t="str" cm="1">
        <f t="array" ref="TLD3">GetValue("Dmn","Name",TLD2)</f>
        <v/>
      </c>
      <c r="TLE3" s="1" t="str" cm="1">
        <f t="array" ref="TLE3">GetValue("Dmn","Name",TLE2)</f>
        <v/>
      </c>
      <c r="TLF3" s="1" t="str" cm="1">
        <f t="array" ref="TLF3">GetValue("Dmn","Name",TLF2)</f>
        <v/>
      </c>
      <c r="TLG3" s="1" t="str" cm="1">
        <f t="array" ref="TLG3">GetValue("Dmn","Name",TLG2)</f>
        <v/>
      </c>
      <c r="TLH3" s="1" t="str" cm="1">
        <f t="array" ref="TLH3">GetValue("Dmn","Name",TLH2)</f>
        <v/>
      </c>
      <c r="TLI3" s="1" t="str" cm="1">
        <f t="array" ref="TLI3">GetValue("Dmn","Name",TLI2)</f>
        <v/>
      </c>
      <c r="TLJ3" s="1" t="str" cm="1">
        <f t="array" ref="TLJ3">GetValue("Dmn","Name",TLJ2)</f>
        <v/>
      </c>
      <c r="TLK3" s="1" t="str" cm="1">
        <f t="array" ref="TLK3">GetValue("Dmn","Name",TLK2)</f>
        <v/>
      </c>
      <c r="TLL3" s="1" t="str" cm="1">
        <f t="array" ref="TLL3">GetValue("Dmn","Name",TLL2)</f>
        <v/>
      </c>
      <c r="TLM3" s="1" t="str" cm="1">
        <f t="array" ref="TLM3">GetValue("Dmn","Name",TLM2)</f>
        <v/>
      </c>
      <c r="TLN3" s="1" t="str" cm="1">
        <f t="array" ref="TLN3">GetValue("Dmn","Name",TLN2)</f>
        <v/>
      </c>
      <c r="TLO3" s="1" t="str" cm="1">
        <f t="array" ref="TLO3">GetValue("Dmn","Name",TLO2)</f>
        <v/>
      </c>
      <c r="TLP3" s="1" t="str" cm="1">
        <f t="array" ref="TLP3">GetValue("Dmn","Name",TLP2)</f>
        <v/>
      </c>
      <c r="TLQ3" s="1" t="str" cm="1">
        <f t="array" ref="TLQ3">GetValue("Dmn","Name",TLQ2)</f>
        <v/>
      </c>
      <c r="TLR3" s="1" t="str" cm="1">
        <f t="array" ref="TLR3">GetValue("Dmn","Name",TLR2)</f>
        <v/>
      </c>
      <c r="TLS3" s="1" t="str" cm="1">
        <f t="array" ref="TLS3">GetValue("Dmn","Name",TLS2)</f>
        <v/>
      </c>
      <c r="TLT3" s="1" t="str" cm="1">
        <f t="array" ref="TLT3">GetValue("Dmn","Name",TLT2)</f>
        <v/>
      </c>
      <c r="TLU3" s="1" t="str" cm="1">
        <f t="array" ref="TLU3">GetValue("Dmn","Name",TLU2)</f>
        <v/>
      </c>
      <c r="TLV3" s="1" t="str" cm="1">
        <f t="array" ref="TLV3">GetValue("Dmn","Name",TLV2)</f>
        <v/>
      </c>
      <c r="TLW3" s="1" t="str" cm="1">
        <f t="array" ref="TLW3">GetValue("Dmn","Name",TLW2)</f>
        <v/>
      </c>
      <c r="TLX3" s="1" t="str" cm="1">
        <f t="array" ref="TLX3">GetValue("Dmn","Name",TLX2)</f>
        <v/>
      </c>
      <c r="TLY3" s="1" t="str" cm="1">
        <f t="array" ref="TLY3">GetValue("Dmn","Name",TLY2)</f>
        <v/>
      </c>
      <c r="TLZ3" s="1" t="str" cm="1">
        <f t="array" ref="TLZ3">GetValue("Dmn","Name",TLZ2)</f>
        <v/>
      </c>
      <c r="TMA3" s="1" t="str" cm="1">
        <f t="array" ref="TMA3">GetValue("Dmn","Name",TMA2)</f>
        <v/>
      </c>
      <c r="TMB3" s="1" t="str" cm="1">
        <f t="array" ref="TMB3">GetValue("Dmn","Name",TMB2)</f>
        <v/>
      </c>
      <c r="TMC3" s="1" t="str" cm="1">
        <f t="array" ref="TMC3">GetValue("Dmn","Name",TMC2)</f>
        <v/>
      </c>
      <c r="TMD3" s="1" t="str" cm="1">
        <f t="array" ref="TMD3">GetValue("Dmn","Name",TMD2)</f>
        <v/>
      </c>
      <c r="TME3" s="1" t="str" cm="1">
        <f t="array" ref="TME3">GetValue("Dmn","Name",TME2)</f>
        <v/>
      </c>
      <c r="TMF3" s="1" t="str" cm="1">
        <f t="array" ref="TMF3">GetValue("Dmn","Name",TMF2)</f>
        <v/>
      </c>
      <c r="TMG3" s="1" t="str" cm="1">
        <f t="array" ref="TMG3">GetValue("Dmn","Name",TMG2)</f>
        <v/>
      </c>
      <c r="TMH3" s="1" t="str" cm="1">
        <f t="array" ref="TMH3">GetValue("Dmn","Name",TMH2)</f>
        <v/>
      </c>
      <c r="TMI3" s="1" t="str" cm="1">
        <f t="array" ref="TMI3">GetValue("Dmn","Name",TMI2)</f>
        <v/>
      </c>
      <c r="TMJ3" s="1" t="str" cm="1">
        <f t="array" ref="TMJ3">GetValue("Dmn","Name",TMJ2)</f>
        <v/>
      </c>
      <c r="TMK3" s="1" t="str" cm="1">
        <f t="array" ref="TMK3">GetValue("Dmn","Name",TMK2)</f>
        <v/>
      </c>
      <c r="TML3" s="1" t="str" cm="1">
        <f t="array" ref="TML3">GetValue("Dmn","Name",TML2)</f>
        <v/>
      </c>
      <c r="TMM3" s="1" t="str" cm="1">
        <f t="array" ref="TMM3">GetValue("Dmn","Name",TMM2)</f>
        <v/>
      </c>
      <c r="TMN3" s="1" t="str" cm="1">
        <f t="array" ref="TMN3">GetValue("Dmn","Name",TMN2)</f>
        <v/>
      </c>
      <c r="TMO3" s="1" t="str" cm="1">
        <f t="array" ref="TMO3">GetValue("Dmn","Name",TMO2)</f>
        <v/>
      </c>
      <c r="TMP3" s="1" t="str" cm="1">
        <f t="array" ref="TMP3">GetValue("Dmn","Name",TMP2)</f>
        <v/>
      </c>
      <c r="TMQ3" s="1" t="str" cm="1">
        <f t="array" ref="TMQ3">GetValue("Dmn","Name",TMQ2)</f>
        <v/>
      </c>
      <c r="TMR3" s="1" t="str" cm="1">
        <f t="array" ref="TMR3">GetValue("Dmn","Name",TMR2)</f>
        <v/>
      </c>
      <c r="TMS3" s="1" t="str" cm="1">
        <f t="array" ref="TMS3">GetValue("Dmn","Name",TMS2)</f>
        <v/>
      </c>
      <c r="TMT3" s="1" t="str" cm="1">
        <f t="array" ref="TMT3">GetValue("Dmn","Name",TMT2)</f>
        <v/>
      </c>
      <c r="TMU3" s="1" t="str" cm="1">
        <f t="array" ref="TMU3">GetValue("Dmn","Name",TMU2)</f>
        <v/>
      </c>
      <c r="TMV3" s="1" t="str" cm="1">
        <f t="array" ref="TMV3">GetValue("Dmn","Name",TMV2)</f>
        <v/>
      </c>
      <c r="TMW3" s="1" t="str" cm="1">
        <f t="array" ref="TMW3">GetValue("Dmn","Name",TMW2)</f>
        <v/>
      </c>
      <c r="TMX3" s="1" t="str" cm="1">
        <f t="array" ref="TMX3">GetValue("Dmn","Name",TMX2)</f>
        <v/>
      </c>
      <c r="TMY3" s="1" t="str" cm="1">
        <f t="array" ref="TMY3">GetValue("Dmn","Name",TMY2)</f>
        <v/>
      </c>
      <c r="TMZ3" s="1" t="str" cm="1">
        <f t="array" ref="TMZ3">GetValue("Dmn","Name",TMZ2)</f>
        <v/>
      </c>
      <c r="TNA3" s="1" t="str" cm="1">
        <f t="array" ref="TNA3">GetValue("Dmn","Name",TNA2)</f>
        <v/>
      </c>
      <c r="TNB3" s="1" t="str" cm="1">
        <f t="array" ref="TNB3">GetValue("Dmn","Name",TNB2)</f>
        <v/>
      </c>
      <c r="TNC3" s="1" t="str" cm="1">
        <f t="array" ref="TNC3">GetValue("Dmn","Name",TNC2)</f>
        <v/>
      </c>
      <c r="TND3" s="1" t="str" cm="1">
        <f t="array" ref="TND3">GetValue("Dmn","Name",TND2)</f>
        <v/>
      </c>
      <c r="TNE3" s="1" t="str" cm="1">
        <f t="array" ref="TNE3">GetValue("Dmn","Name",TNE2)</f>
        <v/>
      </c>
      <c r="TNF3" s="1" t="str" cm="1">
        <f t="array" ref="TNF3">GetValue("Dmn","Name",TNF2)</f>
        <v/>
      </c>
      <c r="TNG3" s="1" t="str" cm="1">
        <f t="array" ref="TNG3">GetValue("Dmn","Name",TNG2)</f>
        <v/>
      </c>
      <c r="TNH3" s="1" t="str" cm="1">
        <f t="array" ref="TNH3">GetValue("Dmn","Name",TNH2)</f>
        <v/>
      </c>
      <c r="TNI3" s="1" t="str" cm="1">
        <f t="array" ref="TNI3">GetValue("Dmn","Name",TNI2)</f>
        <v/>
      </c>
      <c r="TNJ3" s="1" t="str" cm="1">
        <f t="array" ref="TNJ3">GetValue("Dmn","Name",TNJ2)</f>
        <v/>
      </c>
      <c r="TNK3" s="1" t="str" cm="1">
        <f t="array" ref="TNK3">GetValue("Dmn","Name",TNK2)</f>
        <v/>
      </c>
      <c r="TNL3" s="1" t="str" cm="1">
        <f t="array" ref="TNL3">GetValue("Dmn","Name",TNL2)</f>
        <v/>
      </c>
      <c r="TNM3" s="1" t="str" cm="1">
        <f t="array" ref="TNM3">GetValue("Dmn","Name",TNM2)</f>
        <v/>
      </c>
      <c r="TNN3" s="1" t="str" cm="1">
        <f t="array" ref="TNN3">GetValue("Dmn","Name",TNN2)</f>
        <v/>
      </c>
      <c r="TNO3" s="1" t="str" cm="1">
        <f t="array" ref="TNO3">GetValue("Dmn","Name",TNO2)</f>
        <v/>
      </c>
      <c r="TNP3" s="1" t="str" cm="1">
        <f t="array" ref="TNP3">GetValue("Dmn","Name",TNP2)</f>
        <v/>
      </c>
      <c r="TNQ3" s="1" t="str" cm="1">
        <f t="array" ref="TNQ3">GetValue("Dmn","Name",TNQ2)</f>
        <v/>
      </c>
      <c r="TNR3" s="1" t="str" cm="1">
        <f t="array" ref="TNR3">GetValue("Dmn","Name",TNR2)</f>
        <v/>
      </c>
      <c r="TNS3" s="1" t="str" cm="1">
        <f t="array" ref="TNS3">GetValue("Dmn","Name",TNS2)</f>
        <v/>
      </c>
      <c r="TNT3" s="1" t="str" cm="1">
        <f t="array" ref="TNT3">GetValue("Dmn","Name",TNT2)</f>
        <v/>
      </c>
      <c r="TNU3" s="1" t="str" cm="1">
        <f t="array" ref="TNU3">GetValue("Dmn","Name",TNU2)</f>
        <v/>
      </c>
      <c r="TNV3" s="1" t="str" cm="1">
        <f t="array" ref="TNV3">GetValue("Dmn","Name",TNV2)</f>
        <v/>
      </c>
      <c r="TNW3" s="1" t="str" cm="1">
        <f t="array" ref="TNW3">GetValue("Dmn","Name",TNW2)</f>
        <v/>
      </c>
      <c r="TNX3" s="1" t="str" cm="1">
        <f t="array" ref="TNX3">GetValue("Dmn","Name",TNX2)</f>
        <v/>
      </c>
      <c r="TNY3" s="1" t="str" cm="1">
        <f t="array" ref="TNY3">GetValue("Dmn","Name",TNY2)</f>
        <v/>
      </c>
      <c r="TNZ3" s="1" t="str" cm="1">
        <f t="array" ref="TNZ3">GetValue("Dmn","Name",TNZ2)</f>
        <v/>
      </c>
      <c r="TOA3" s="1" t="str" cm="1">
        <f t="array" ref="TOA3">GetValue("Dmn","Name",TOA2)</f>
        <v/>
      </c>
      <c r="TOB3" s="1" t="str" cm="1">
        <f t="array" ref="TOB3">GetValue("Dmn","Name",TOB2)</f>
        <v/>
      </c>
      <c r="TOC3" s="1" t="str" cm="1">
        <f t="array" ref="TOC3">GetValue("Dmn","Name",TOC2)</f>
        <v/>
      </c>
      <c r="TOD3" s="1" t="str" cm="1">
        <f t="array" ref="TOD3">GetValue("Dmn","Name",TOD2)</f>
        <v/>
      </c>
      <c r="TOE3" s="1" t="str" cm="1">
        <f t="array" ref="TOE3">GetValue("Dmn","Name",TOE2)</f>
        <v/>
      </c>
      <c r="TOF3" s="1" t="str" cm="1">
        <f t="array" ref="TOF3">GetValue("Dmn","Name",TOF2)</f>
        <v/>
      </c>
      <c r="TOG3" s="1" t="str" cm="1">
        <f t="array" ref="TOG3">GetValue("Dmn","Name",TOG2)</f>
        <v/>
      </c>
      <c r="TOH3" s="1" t="str" cm="1">
        <f t="array" ref="TOH3">GetValue("Dmn","Name",TOH2)</f>
        <v/>
      </c>
      <c r="TOI3" s="1" t="str" cm="1">
        <f t="array" ref="TOI3">GetValue("Dmn","Name",TOI2)</f>
        <v/>
      </c>
      <c r="TOJ3" s="1" t="str" cm="1">
        <f t="array" ref="TOJ3">GetValue("Dmn","Name",TOJ2)</f>
        <v/>
      </c>
      <c r="TOK3" s="1" t="str" cm="1">
        <f t="array" ref="TOK3">GetValue("Dmn","Name",TOK2)</f>
        <v/>
      </c>
      <c r="TOL3" s="1" t="str" cm="1">
        <f t="array" ref="TOL3">GetValue("Dmn","Name",TOL2)</f>
        <v/>
      </c>
      <c r="TOM3" s="1" t="str" cm="1">
        <f t="array" ref="TOM3">GetValue("Dmn","Name",TOM2)</f>
        <v/>
      </c>
      <c r="TON3" s="1" t="str" cm="1">
        <f t="array" ref="TON3">GetValue("Dmn","Name",TON2)</f>
        <v/>
      </c>
      <c r="TOO3" s="1" t="str" cm="1">
        <f t="array" ref="TOO3">GetValue("Dmn","Name",TOO2)</f>
        <v/>
      </c>
      <c r="TOP3" s="1" t="str" cm="1">
        <f t="array" ref="TOP3">GetValue("Dmn","Name",TOP2)</f>
        <v/>
      </c>
      <c r="TOQ3" s="1" t="str" cm="1">
        <f t="array" ref="TOQ3">GetValue("Dmn","Name",TOQ2)</f>
        <v/>
      </c>
      <c r="TOR3" s="1" t="str" cm="1">
        <f t="array" ref="TOR3">GetValue("Dmn","Name",TOR2)</f>
        <v/>
      </c>
      <c r="TOS3" s="1" t="str" cm="1">
        <f t="array" ref="TOS3">GetValue("Dmn","Name",TOS2)</f>
        <v/>
      </c>
      <c r="TOT3" s="1" t="str" cm="1">
        <f t="array" ref="TOT3">GetValue("Dmn","Name",TOT2)</f>
        <v/>
      </c>
      <c r="TOU3" s="1" t="str" cm="1">
        <f t="array" ref="TOU3">GetValue("Dmn","Name",TOU2)</f>
        <v/>
      </c>
      <c r="TOV3" s="1" t="str" cm="1">
        <f t="array" ref="TOV3">GetValue("Dmn","Name",TOV2)</f>
        <v/>
      </c>
      <c r="TOW3" s="1" t="str" cm="1">
        <f t="array" ref="TOW3">GetValue("Dmn","Name",TOW2)</f>
        <v/>
      </c>
      <c r="TOX3" s="1" t="str" cm="1">
        <f t="array" ref="TOX3">GetValue("Dmn","Name",TOX2)</f>
        <v/>
      </c>
      <c r="TOY3" s="1" t="str" cm="1">
        <f t="array" ref="TOY3">GetValue("Dmn","Name",TOY2)</f>
        <v/>
      </c>
      <c r="TOZ3" s="1" t="str" cm="1">
        <f t="array" ref="TOZ3">GetValue("Dmn","Name",TOZ2)</f>
        <v/>
      </c>
      <c r="TPA3" s="1" t="str" cm="1">
        <f t="array" ref="TPA3">GetValue("Dmn","Name",TPA2)</f>
        <v/>
      </c>
      <c r="TPB3" s="1" t="str" cm="1">
        <f t="array" ref="TPB3">GetValue("Dmn","Name",TPB2)</f>
        <v/>
      </c>
      <c r="TPC3" s="1" t="str" cm="1">
        <f t="array" ref="TPC3">GetValue("Dmn","Name",TPC2)</f>
        <v/>
      </c>
      <c r="TPD3" s="1" t="str" cm="1">
        <f t="array" ref="TPD3">GetValue("Dmn","Name",TPD2)</f>
        <v/>
      </c>
      <c r="TPE3" s="1" t="str" cm="1">
        <f t="array" ref="TPE3">GetValue("Dmn","Name",TPE2)</f>
        <v/>
      </c>
      <c r="TPF3" s="1" t="str" cm="1">
        <f t="array" ref="TPF3">GetValue("Dmn","Name",TPF2)</f>
        <v/>
      </c>
      <c r="TPG3" s="1" t="str" cm="1">
        <f t="array" ref="TPG3">GetValue("Dmn","Name",TPG2)</f>
        <v/>
      </c>
      <c r="TPH3" s="1" t="str" cm="1">
        <f t="array" ref="TPH3">GetValue("Dmn","Name",TPH2)</f>
        <v/>
      </c>
      <c r="TPI3" s="1" t="str" cm="1">
        <f t="array" ref="TPI3">GetValue("Dmn","Name",TPI2)</f>
        <v/>
      </c>
      <c r="TPJ3" s="1" t="str" cm="1">
        <f t="array" ref="TPJ3">GetValue("Dmn","Name",TPJ2)</f>
        <v/>
      </c>
      <c r="TPK3" s="1" t="str" cm="1">
        <f t="array" ref="TPK3">GetValue("Dmn","Name",TPK2)</f>
        <v/>
      </c>
      <c r="TPL3" s="1" t="str" cm="1">
        <f t="array" ref="TPL3">GetValue("Dmn","Name",TPL2)</f>
        <v/>
      </c>
      <c r="TPM3" s="1" t="str" cm="1">
        <f t="array" ref="TPM3">GetValue("Dmn","Name",TPM2)</f>
        <v/>
      </c>
      <c r="TPN3" s="1" t="str" cm="1">
        <f t="array" ref="TPN3">GetValue("Dmn","Name",TPN2)</f>
        <v/>
      </c>
      <c r="TPO3" s="1" t="str" cm="1">
        <f t="array" ref="TPO3">GetValue("Dmn","Name",TPO2)</f>
        <v/>
      </c>
      <c r="TPP3" s="1" t="str" cm="1">
        <f t="array" ref="TPP3">GetValue("Dmn","Name",TPP2)</f>
        <v/>
      </c>
      <c r="TPQ3" s="1" t="str" cm="1">
        <f t="array" ref="TPQ3">GetValue("Dmn","Name",TPQ2)</f>
        <v/>
      </c>
      <c r="TPR3" s="1" t="str" cm="1">
        <f t="array" ref="TPR3">GetValue("Dmn","Name",TPR2)</f>
        <v/>
      </c>
      <c r="TPS3" s="1" t="str" cm="1">
        <f t="array" ref="TPS3">GetValue("Dmn","Name",TPS2)</f>
        <v/>
      </c>
      <c r="TPT3" s="1" t="str" cm="1">
        <f t="array" ref="TPT3">GetValue("Dmn","Name",TPT2)</f>
        <v/>
      </c>
      <c r="TPU3" s="1" t="str" cm="1">
        <f t="array" ref="TPU3">GetValue("Dmn","Name",TPU2)</f>
        <v/>
      </c>
      <c r="TPV3" s="1" t="str" cm="1">
        <f t="array" ref="TPV3">GetValue("Dmn","Name",TPV2)</f>
        <v/>
      </c>
      <c r="TPW3" s="1" t="str" cm="1">
        <f t="array" ref="TPW3">GetValue("Dmn","Name",TPW2)</f>
        <v/>
      </c>
      <c r="TPX3" s="1" t="str" cm="1">
        <f t="array" ref="TPX3">GetValue("Dmn","Name",TPX2)</f>
        <v/>
      </c>
      <c r="TPY3" s="1" t="str" cm="1">
        <f t="array" ref="TPY3">GetValue("Dmn","Name",TPY2)</f>
        <v/>
      </c>
      <c r="TPZ3" s="1" t="str" cm="1">
        <f t="array" ref="TPZ3">GetValue("Dmn","Name",TPZ2)</f>
        <v/>
      </c>
      <c r="TQA3" s="1" t="str" cm="1">
        <f t="array" ref="TQA3">GetValue("Dmn","Name",TQA2)</f>
        <v/>
      </c>
      <c r="TQB3" s="1" t="str" cm="1">
        <f t="array" ref="TQB3">GetValue("Dmn","Name",TQB2)</f>
        <v/>
      </c>
      <c r="TQC3" s="1" t="str" cm="1">
        <f t="array" ref="TQC3">GetValue("Dmn","Name",TQC2)</f>
        <v/>
      </c>
      <c r="TQD3" s="1" t="str" cm="1">
        <f t="array" ref="TQD3">GetValue("Dmn","Name",TQD2)</f>
        <v/>
      </c>
      <c r="TQE3" s="1" t="str" cm="1">
        <f t="array" ref="TQE3">GetValue("Dmn","Name",TQE2)</f>
        <v/>
      </c>
      <c r="TQF3" s="1" t="str" cm="1">
        <f t="array" ref="TQF3">GetValue("Dmn","Name",TQF2)</f>
        <v/>
      </c>
      <c r="TQG3" s="1" t="str" cm="1">
        <f t="array" ref="TQG3">GetValue("Dmn","Name",TQG2)</f>
        <v/>
      </c>
      <c r="TQH3" s="1" t="str" cm="1">
        <f t="array" ref="TQH3">GetValue("Dmn","Name",TQH2)</f>
        <v/>
      </c>
      <c r="TQI3" s="1" t="str" cm="1">
        <f t="array" ref="TQI3">GetValue("Dmn","Name",TQI2)</f>
        <v/>
      </c>
      <c r="TQJ3" s="1" t="str" cm="1">
        <f t="array" ref="TQJ3">GetValue("Dmn","Name",TQJ2)</f>
        <v/>
      </c>
      <c r="TQK3" s="1" t="str" cm="1">
        <f t="array" ref="TQK3">GetValue("Dmn","Name",TQK2)</f>
        <v/>
      </c>
      <c r="TQL3" s="1" t="str" cm="1">
        <f t="array" ref="TQL3">GetValue("Dmn","Name",TQL2)</f>
        <v/>
      </c>
      <c r="TQM3" s="1" t="str" cm="1">
        <f t="array" ref="TQM3">GetValue("Dmn","Name",TQM2)</f>
        <v/>
      </c>
      <c r="TQN3" s="1" t="str" cm="1">
        <f t="array" ref="TQN3">GetValue("Dmn","Name",TQN2)</f>
        <v/>
      </c>
      <c r="TQO3" s="1" t="str" cm="1">
        <f t="array" ref="TQO3">GetValue("Dmn","Name",TQO2)</f>
        <v/>
      </c>
      <c r="TQP3" s="1" t="str" cm="1">
        <f t="array" ref="TQP3">GetValue("Dmn","Name",TQP2)</f>
        <v/>
      </c>
      <c r="TQQ3" s="1" t="str" cm="1">
        <f t="array" ref="TQQ3">GetValue("Dmn","Name",TQQ2)</f>
        <v/>
      </c>
      <c r="TQR3" s="1" t="str" cm="1">
        <f t="array" ref="TQR3">GetValue("Dmn","Name",TQR2)</f>
        <v/>
      </c>
      <c r="TQS3" s="1" t="str" cm="1">
        <f t="array" ref="TQS3">GetValue("Dmn","Name",TQS2)</f>
        <v/>
      </c>
      <c r="TQT3" s="1" t="str" cm="1">
        <f t="array" ref="TQT3">GetValue("Dmn","Name",TQT2)</f>
        <v/>
      </c>
      <c r="TQU3" s="1" t="str" cm="1">
        <f t="array" ref="TQU3">GetValue("Dmn","Name",TQU2)</f>
        <v/>
      </c>
      <c r="TQV3" s="1" t="str" cm="1">
        <f t="array" ref="TQV3">GetValue("Dmn","Name",TQV2)</f>
        <v/>
      </c>
      <c r="TQW3" s="1" t="str" cm="1">
        <f t="array" ref="TQW3">GetValue("Dmn","Name",TQW2)</f>
        <v/>
      </c>
      <c r="TQX3" s="1" t="str" cm="1">
        <f t="array" ref="TQX3">GetValue("Dmn","Name",TQX2)</f>
        <v/>
      </c>
      <c r="TQY3" s="1" t="str" cm="1">
        <f t="array" ref="TQY3">GetValue("Dmn","Name",TQY2)</f>
        <v/>
      </c>
      <c r="TQZ3" s="1" t="str" cm="1">
        <f t="array" ref="TQZ3">GetValue("Dmn","Name",TQZ2)</f>
        <v/>
      </c>
      <c r="TRA3" s="1" t="str" cm="1">
        <f t="array" ref="TRA3">GetValue("Dmn","Name",TRA2)</f>
        <v/>
      </c>
      <c r="TRB3" s="1" t="str" cm="1">
        <f t="array" ref="TRB3">GetValue("Dmn","Name",TRB2)</f>
        <v/>
      </c>
      <c r="TRC3" s="1" t="str" cm="1">
        <f t="array" ref="TRC3">GetValue("Dmn","Name",TRC2)</f>
        <v/>
      </c>
      <c r="TRD3" s="1" t="str" cm="1">
        <f t="array" ref="TRD3">GetValue("Dmn","Name",TRD2)</f>
        <v/>
      </c>
      <c r="TRE3" s="1" t="str" cm="1">
        <f t="array" ref="TRE3">GetValue("Dmn","Name",TRE2)</f>
        <v/>
      </c>
      <c r="TRF3" s="1" t="str" cm="1">
        <f t="array" ref="TRF3">GetValue("Dmn","Name",TRF2)</f>
        <v/>
      </c>
      <c r="TRG3" s="1" t="str" cm="1">
        <f t="array" ref="TRG3">GetValue("Dmn","Name",TRG2)</f>
        <v/>
      </c>
      <c r="TRH3" s="1" t="str" cm="1">
        <f t="array" ref="TRH3">GetValue("Dmn","Name",TRH2)</f>
        <v/>
      </c>
      <c r="TRI3" s="1" t="str" cm="1">
        <f t="array" ref="TRI3">GetValue("Dmn","Name",TRI2)</f>
        <v/>
      </c>
      <c r="TRJ3" s="1" t="str" cm="1">
        <f t="array" ref="TRJ3">GetValue("Dmn","Name",TRJ2)</f>
        <v/>
      </c>
      <c r="TRK3" s="1" t="str" cm="1">
        <f t="array" ref="TRK3">GetValue("Dmn","Name",TRK2)</f>
        <v/>
      </c>
      <c r="TRL3" s="1" t="str" cm="1">
        <f t="array" ref="TRL3">GetValue("Dmn","Name",TRL2)</f>
        <v/>
      </c>
      <c r="TRM3" s="1" t="str" cm="1">
        <f t="array" ref="TRM3">GetValue("Dmn","Name",TRM2)</f>
        <v/>
      </c>
      <c r="TRN3" s="1" t="str" cm="1">
        <f t="array" ref="TRN3">GetValue("Dmn","Name",TRN2)</f>
        <v/>
      </c>
      <c r="TRO3" s="1" t="str" cm="1">
        <f t="array" ref="TRO3">GetValue("Dmn","Name",TRO2)</f>
        <v/>
      </c>
      <c r="TRP3" s="1" t="str" cm="1">
        <f t="array" ref="TRP3">GetValue("Dmn","Name",TRP2)</f>
        <v/>
      </c>
      <c r="TRQ3" s="1" t="str" cm="1">
        <f t="array" ref="TRQ3">GetValue("Dmn","Name",TRQ2)</f>
        <v/>
      </c>
      <c r="TRR3" s="1" t="str" cm="1">
        <f t="array" ref="TRR3">GetValue("Dmn","Name",TRR2)</f>
        <v/>
      </c>
      <c r="TRS3" s="1" t="str" cm="1">
        <f t="array" ref="TRS3">GetValue("Dmn","Name",TRS2)</f>
        <v/>
      </c>
      <c r="TRT3" s="1" t="str" cm="1">
        <f t="array" ref="TRT3">GetValue("Dmn","Name",TRT2)</f>
        <v/>
      </c>
      <c r="TRU3" s="1" t="str" cm="1">
        <f t="array" ref="TRU3">GetValue("Dmn","Name",TRU2)</f>
        <v/>
      </c>
      <c r="TRV3" s="1" t="str" cm="1">
        <f t="array" ref="TRV3">GetValue("Dmn","Name",TRV2)</f>
        <v/>
      </c>
      <c r="TRW3" s="1" t="str" cm="1">
        <f t="array" ref="TRW3">GetValue("Dmn","Name",TRW2)</f>
        <v/>
      </c>
      <c r="TRX3" s="1" t="str" cm="1">
        <f t="array" ref="TRX3">GetValue("Dmn","Name",TRX2)</f>
        <v/>
      </c>
      <c r="TRY3" s="1" t="str" cm="1">
        <f t="array" ref="TRY3">GetValue("Dmn","Name",TRY2)</f>
        <v/>
      </c>
      <c r="TRZ3" s="1" t="str" cm="1">
        <f t="array" ref="TRZ3">GetValue("Dmn","Name",TRZ2)</f>
        <v/>
      </c>
      <c r="TSA3" s="1" t="str" cm="1">
        <f t="array" ref="TSA3">GetValue("Dmn","Name",TSA2)</f>
        <v/>
      </c>
      <c r="TSB3" s="1" t="str" cm="1">
        <f t="array" ref="TSB3">GetValue("Dmn","Name",TSB2)</f>
        <v/>
      </c>
      <c r="TSC3" s="1" t="str" cm="1">
        <f t="array" ref="TSC3">GetValue("Dmn","Name",TSC2)</f>
        <v/>
      </c>
      <c r="TSD3" s="1" t="str" cm="1">
        <f t="array" ref="TSD3">GetValue("Dmn","Name",TSD2)</f>
        <v/>
      </c>
      <c r="TSE3" s="1" t="str" cm="1">
        <f t="array" ref="TSE3">GetValue("Dmn","Name",TSE2)</f>
        <v/>
      </c>
      <c r="TSF3" s="1" t="str" cm="1">
        <f t="array" ref="TSF3">GetValue("Dmn","Name",TSF2)</f>
        <v/>
      </c>
      <c r="TSG3" s="1" t="str" cm="1">
        <f t="array" ref="TSG3">GetValue("Dmn","Name",TSG2)</f>
        <v/>
      </c>
      <c r="TSH3" s="1" t="str" cm="1">
        <f t="array" ref="TSH3">GetValue("Dmn","Name",TSH2)</f>
        <v/>
      </c>
      <c r="TSI3" s="1" t="str" cm="1">
        <f t="array" ref="TSI3">GetValue("Dmn","Name",TSI2)</f>
        <v/>
      </c>
      <c r="TSJ3" s="1" t="str" cm="1">
        <f t="array" ref="TSJ3">GetValue("Dmn","Name",TSJ2)</f>
        <v/>
      </c>
      <c r="TSK3" s="1" t="str" cm="1">
        <f t="array" ref="TSK3">GetValue("Dmn","Name",TSK2)</f>
        <v/>
      </c>
      <c r="TSL3" s="1" t="str" cm="1">
        <f t="array" ref="TSL3">GetValue("Dmn","Name",TSL2)</f>
        <v/>
      </c>
      <c r="TSM3" s="1" t="str" cm="1">
        <f t="array" ref="TSM3">GetValue("Dmn","Name",TSM2)</f>
        <v/>
      </c>
      <c r="TSN3" s="1" t="str" cm="1">
        <f t="array" ref="TSN3">GetValue("Dmn","Name",TSN2)</f>
        <v/>
      </c>
      <c r="TSO3" s="1" t="str" cm="1">
        <f t="array" ref="TSO3">GetValue("Dmn","Name",TSO2)</f>
        <v/>
      </c>
      <c r="TSP3" s="1" t="str" cm="1">
        <f t="array" ref="TSP3">GetValue("Dmn","Name",TSP2)</f>
        <v/>
      </c>
      <c r="TSQ3" s="1" t="str" cm="1">
        <f t="array" ref="TSQ3">GetValue("Dmn","Name",TSQ2)</f>
        <v/>
      </c>
      <c r="TSR3" s="1" t="str" cm="1">
        <f t="array" ref="TSR3">GetValue("Dmn","Name",TSR2)</f>
        <v/>
      </c>
      <c r="TSS3" s="1" t="str" cm="1">
        <f t="array" ref="TSS3">GetValue("Dmn","Name",TSS2)</f>
        <v/>
      </c>
      <c r="TST3" s="1" t="str" cm="1">
        <f t="array" ref="TST3">GetValue("Dmn","Name",TST2)</f>
        <v/>
      </c>
      <c r="TSU3" s="1" t="str" cm="1">
        <f t="array" ref="TSU3">GetValue("Dmn","Name",TSU2)</f>
        <v/>
      </c>
      <c r="TSV3" s="1" t="str" cm="1">
        <f t="array" ref="TSV3">GetValue("Dmn","Name",TSV2)</f>
        <v/>
      </c>
      <c r="TSW3" s="1" t="str" cm="1">
        <f t="array" ref="TSW3">GetValue("Dmn","Name",TSW2)</f>
        <v/>
      </c>
      <c r="TSX3" s="1" t="str" cm="1">
        <f t="array" ref="TSX3">GetValue("Dmn","Name",TSX2)</f>
        <v/>
      </c>
      <c r="TSY3" s="1" t="str" cm="1">
        <f t="array" ref="TSY3">GetValue("Dmn","Name",TSY2)</f>
        <v/>
      </c>
      <c r="TSZ3" s="1" t="str" cm="1">
        <f t="array" ref="TSZ3">GetValue("Dmn","Name",TSZ2)</f>
        <v/>
      </c>
      <c r="TTA3" s="1" t="str" cm="1">
        <f t="array" ref="TTA3">GetValue("Dmn","Name",TTA2)</f>
        <v/>
      </c>
      <c r="TTB3" s="1" t="str" cm="1">
        <f t="array" ref="TTB3">GetValue("Dmn","Name",TTB2)</f>
        <v/>
      </c>
      <c r="TTC3" s="1" t="str" cm="1">
        <f t="array" ref="TTC3">GetValue("Dmn","Name",TTC2)</f>
        <v/>
      </c>
      <c r="TTD3" s="1" t="str" cm="1">
        <f t="array" ref="TTD3">GetValue("Dmn","Name",TTD2)</f>
        <v/>
      </c>
      <c r="TTE3" s="1" t="str" cm="1">
        <f t="array" ref="TTE3">GetValue("Dmn","Name",TTE2)</f>
        <v/>
      </c>
      <c r="TTF3" s="1" t="str" cm="1">
        <f t="array" ref="TTF3">GetValue("Dmn","Name",TTF2)</f>
        <v/>
      </c>
      <c r="TTG3" s="1" t="str" cm="1">
        <f t="array" ref="TTG3">GetValue("Dmn","Name",TTG2)</f>
        <v/>
      </c>
      <c r="TTH3" s="1" t="str" cm="1">
        <f t="array" ref="TTH3">GetValue("Dmn","Name",TTH2)</f>
        <v/>
      </c>
      <c r="TTI3" s="1" t="str" cm="1">
        <f t="array" ref="TTI3">GetValue("Dmn","Name",TTI2)</f>
        <v/>
      </c>
      <c r="TTJ3" s="1" t="str" cm="1">
        <f t="array" ref="TTJ3">GetValue("Dmn","Name",TTJ2)</f>
        <v/>
      </c>
      <c r="TTK3" s="1" t="str" cm="1">
        <f t="array" ref="TTK3">GetValue("Dmn","Name",TTK2)</f>
        <v/>
      </c>
      <c r="TTL3" s="1" t="str" cm="1">
        <f t="array" ref="TTL3">GetValue("Dmn","Name",TTL2)</f>
        <v/>
      </c>
      <c r="TTM3" s="1" t="str" cm="1">
        <f t="array" ref="TTM3">GetValue("Dmn","Name",TTM2)</f>
        <v/>
      </c>
      <c r="TTN3" s="1" t="str" cm="1">
        <f t="array" ref="TTN3">GetValue("Dmn","Name",TTN2)</f>
        <v/>
      </c>
      <c r="TTO3" s="1" t="str" cm="1">
        <f t="array" ref="TTO3">GetValue("Dmn","Name",TTO2)</f>
        <v/>
      </c>
      <c r="TTP3" s="1" t="str" cm="1">
        <f t="array" ref="TTP3">GetValue("Dmn","Name",TTP2)</f>
        <v/>
      </c>
      <c r="TTQ3" s="1" t="str" cm="1">
        <f t="array" ref="TTQ3">GetValue("Dmn","Name",TTQ2)</f>
        <v/>
      </c>
      <c r="TTR3" s="1" t="str" cm="1">
        <f t="array" ref="TTR3">GetValue("Dmn","Name",TTR2)</f>
        <v/>
      </c>
      <c r="TTS3" s="1" t="str" cm="1">
        <f t="array" ref="TTS3">GetValue("Dmn","Name",TTS2)</f>
        <v/>
      </c>
      <c r="TTT3" s="1" t="str" cm="1">
        <f t="array" ref="TTT3">GetValue("Dmn","Name",TTT2)</f>
        <v/>
      </c>
      <c r="TTU3" s="1" t="str" cm="1">
        <f t="array" ref="TTU3">GetValue("Dmn","Name",TTU2)</f>
        <v/>
      </c>
      <c r="TTV3" s="1" t="str" cm="1">
        <f t="array" ref="TTV3">GetValue("Dmn","Name",TTV2)</f>
        <v/>
      </c>
      <c r="TTW3" s="1" t="str" cm="1">
        <f t="array" ref="TTW3">GetValue("Dmn","Name",TTW2)</f>
        <v/>
      </c>
      <c r="TTX3" s="1" t="str" cm="1">
        <f t="array" ref="TTX3">GetValue("Dmn","Name",TTX2)</f>
        <v/>
      </c>
      <c r="TTY3" s="1" t="str" cm="1">
        <f t="array" ref="TTY3">GetValue("Dmn","Name",TTY2)</f>
        <v/>
      </c>
      <c r="TTZ3" s="1" t="str" cm="1">
        <f t="array" ref="TTZ3">GetValue("Dmn","Name",TTZ2)</f>
        <v/>
      </c>
      <c r="TUA3" s="1" t="str" cm="1">
        <f t="array" ref="TUA3">GetValue("Dmn","Name",TUA2)</f>
        <v/>
      </c>
      <c r="TUB3" s="1" t="str" cm="1">
        <f t="array" ref="TUB3">GetValue("Dmn","Name",TUB2)</f>
        <v/>
      </c>
      <c r="TUC3" s="1" t="str" cm="1">
        <f t="array" ref="TUC3">GetValue("Dmn","Name",TUC2)</f>
        <v/>
      </c>
      <c r="TUD3" s="1" t="str" cm="1">
        <f t="array" ref="TUD3">GetValue("Dmn","Name",TUD2)</f>
        <v/>
      </c>
      <c r="TUE3" s="1" t="str" cm="1">
        <f t="array" ref="TUE3">GetValue("Dmn","Name",TUE2)</f>
        <v/>
      </c>
      <c r="TUF3" s="1" t="str" cm="1">
        <f t="array" ref="TUF3">GetValue("Dmn","Name",TUF2)</f>
        <v/>
      </c>
      <c r="TUG3" s="1" t="str" cm="1">
        <f t="array" ref="TUG3">GetValue("Dmn","Name",TUG2)</f>
        <v/>
      </c>
      <c r="TUH3" s="1" t="str" cm="1">
        <f t="array" ref="TUH3">GetValue("Dmn","Name",TUH2)</f>
        <v/>
      </c>
      <c r="TUI3" s="1" t="str" cm="1">
        <f t="array" ref="TUI3">GetValue("Dmn","Name",TUI2)</f>
        <v/>
      </c>
      <c r="TUJ3" s="1" t="str" cm="1">
        <f t="array" ref="TUJ3">GetValue("Dmn","Name",TUJ2)</f>
        <v/>
      </c>
      <c r="TUK3" s="1" t="str" cm="1">
        <f t="array" ref="TUK3">GetValue("Dmn","Name",TUK2)</f>
        <v/>
      </c>
      <c r="TUL3" s="1" t="str" cm="1">
        <f t="array" ref="TUL3">GetValue("Dmn","Name",TUL2)</f>
        <v/>
      </c>
      <c r="TUM3" s="1" t="str" cm="1">
        <f t="array" ref="TUM3">GetValue("Dmn","Name",TUM2)</f>
        <v/>
      </c>
      <c r="TUN3" s="1" t="str" cm="1">
        <f t="array" ref="TUN3">GetValue("Dmn","Name",TUN2)</f>
        <v/>
      </c>
      <c r="TUO3" s="1" t="str" cm="1">
        <f t="array" ref="TUO3">GetValue("Dmn","Name",TUO2)</f>
        <v/>
      </c>
      <c r="TUP3" s="1" t="str" cm="1">
        <f t="array" ref="TUP3">GetValue("Dmn","Name",TUP2)</f>
        <v/>
      </c>
      <c r="TUQ3" s="1" t="str" cm="1">
        <f t="array" ref="TUQ3">GetValue("Dmn","Name",TUQ2)</f>
        <v/>
      </c>
      <c r="TUR3" s="1" t="str" cm="1">
        <f t="array" ref="TUR3">GetValue("Dmn","Name",TUR2)</f>
        <v/>
      </c>
      <c r="TUS3" s="1" t="str" cm="1">
        <f t="array" ref="TUS3">GetValue("Dmn","Name",TUS2)</f>
        <v/>
      </c>
      <c r="TUT3" s="1" t="str" cm="1">
        <f t="array" ref="TUT3">GetValue("Dmn","Name",TUT2)</f>
        <v/>
      </c>
      <c r="TUU3" s="1" t="str" cm="1">
        <f t="array" ref="TUU3">GetValue("Dmn","Name",TUU2)</f>
        <v/>
      </c>
      <c r="TUV3" s="1" t="str" cm="1">
        <f t="array" ref="TUV3">GetValue("Dmn","Name",TUV2)</f>
        <v/>
      </c>
      <c r="TUW3" s="1" t="str" cm="1">
        <f t="array" ref="TUW3">GetValue("Dmn","Name",TUW2)</f>
        <v/>
      </c>
      <c r="TUX3" s="1" t="str" cm="1">
        <f t="array" ref="TUX3">GetValue("Dmn","Name",TUX2)</f>
        <v/>
      </c>
      <c r="TUY3" s="1" t="str" cm="1">
        <f t="array" ref="TUY3">GetValue("Dmn","Name",TUY2)</f>
        <v/>
      </c>
      <c r="TUZ3" s="1" t="str" cm="1">
        <f t="array" ref="TUZ3">GetValue("Dmn","Name",TUZ2)</f>
        <v/>
      </c>
      <c r="TVA3" s="1" t="str" cm="1">
        <f t="array" ref="TVA3">GetValue("Dmn","Name",TVA2)</f>
        <v/>
      </c>
      <c r="TVB3" s="1" t="str" cm="1">
        <f t="array" ref="TVB3">GetValue("Dmn","Name",TVB2)</f>
        <v/>
      </c>
      <c r="TVC3" s="1" t="str" cm="1">
        <f t="array" ref="TVC3">GetValue("Dmn","Name",TVC2)</f>
        <v/>
      </c>
      <c r="TVD3" s="1" t="str" cm="1">
        <f t="array" ref="TVD3">GetValue("Dmn","Name",TVD2)</f>
        <v/>
      </c>
      <c r="TVE3" s="1" t="str" cm="1">
        <f t="array" ref="TVE3">GetValue("Dmn","Name",TVE2)</f>
        <v/>
      </c>
      <c r="TVF3" s="1" t="str" cm="1">
        <f t="array" ref="TVF3">GetValue("Dmn","Name",TVF2)</f>
        <v/>
      </c>
      <c r="TVG3" s="1" t="str" cm="1">
        <f t="array" ref="TVG3">GetValue("Dmn","Name",TVG2)</f>
        <v/>
      </c>
      <c r="TVH3" s="1" t="str" cm="1">
        <f t="array" ref="TVH3">GetValue("Dmn","Name",TVH2)</f>
        <v/>
      </c>
      <c r="TVI3" s="1" t="str" cm="1">
        <f t="array" ref="TVI3">GetValue("Dmn","Name",TVI2)</f>
        <v/>
      </c>
      <c r="TVJ3" s="1" t="str" cm="1">
        <f t="array" ref="TVJ3">GetValue("Dmn","Name",TVJ2)</f>
        <v/>
      </c>
      <c r="TVK3" s="1" t="str" cm="1">
        <f t="array" ref="TVK3">GetValue("Dmn","Name",TVK2)</f>
        <v/>
      </c>
      <c r="TVL3" s="1" t="str" cm="1">
        <f t="array" ref="TVL3">GetValue("Dmn","Name",TVL2)</f>
        <v/>
      </c>
      <c r="TVM3" s="1" t="str" cm="1">
        <f t="array" ref="TVM3">GetValue("Dmn","Name",TVM2)</f>
        <v/>
      </c>
      <c r="TVN3" s="1" t="str" cm="1">
        <f t="array" ref="TVN3">GetValue("Dmn","Name",TVN2)</f>
        <v/>
      </c>
      <c r="TVO3" s="1" t="str" cm="1">
        <f t="array" ref="TVO3">GetValue("Dmn","Name",TVO2)</f>
        <v/>
      </c>
      <c r="TVP3" s="1" t="str" cm="1">
        <f t="array" ref="TVP3">GetValue("Dmn","Name",TVP2)</f>
        <v/>
      </c>
      <c r="TVQ3" s="1" t="str" cm="1">
        <f t="array" ref="TVQ3">GetValue("Dmn","Name",TVQ2)</f>
        <v/>
      </c>
      <c r="TVR3" s="1" t="str" cm="1">
        <f t="array" ref="TVR3">GetValue("Dmn","Name",TVR2)</f>
        <v/>
      </c>
      <c r="TVS3" s="1" t="str" cm="1">
        <f t="array" ref="TVS3">GetValue("Dmn","Name",TVS2)</f>
        <v/>
      </c>
      <c r="TVT3" s="1" t="str" cm="1">
        <f t="array" ref="TVT3">GetValue("Dmn","Name",TVT2)</f>
        <v/>
      </c>
      <c r="TVU3" s="1" t="str" cm="1">
        <f t="array" ref="TVU3">GetValue("Dmn","Name",TVU2)</f>
        <v/>
      </c>
      <c r="TVV3" s="1" t="str" cm="1">
        <f t="array" ref="TVV3">GetValue("Dmn","Name",TVV2)</f>
        <v/>
      </c>
      <c r="TVW3" s="1" t="str" cm="1">
        <f t="array" ref="TVW3">GetValue("Dmn","Name",TVW2)</f>
        <v/>
      </c>
      <c r="TVX3" s="1" t="str" cm="1">
        <f t="array" ref="TVX3">GetValue("Dmn","Name",TVX2)</f>
        <v/>
      </c>
      <c r="TVY3" s="1" t="str" cm="1">
        <f t="array" ref="TVY3">GetValue("Dmn","Name",TVY2)</f>
        <v/>
      </c>
      <c r="TVZ3" s="1" t="str" cm="1">
        <f t="array" ref="TVZ3">GetValue("Dmn","Name",TVZ2)</f>
        <v/>
      </c>
      <c r="TWA3" s="1" t="str" cm="1">
        <f t="array" ref="TWA3">GetValue("Dmn","Name",TWA2)</f>
        <v/>
      </c>
      <c r="TWB3" s="1" t="str" cm="1">
        <f t="array" ref="TWB3">GetValue("Dmn","Name",TWB2)</f>
        <v/>
      </c>
      <c r="TWC3" s="1" t="str" cm="1">
        <f t="array" ref="TWC3">GetValue("Dmn","Name",TWC2)</f>
        <v/>
      </c>
      <c r="TWD3" s="1" t="str" cm="1">
        <f t="array" ref="TWD3">GetValue("Dmn","Name",TWD2)</f>
        <v/>
      </c>
      <c r="TWE3" s="1" t="str" cm="1">
        <f t="array" ref="TWE3">GetValue("Dmn","Name",TWE2)</f>
        <v/>
      </c>
      <c r="TWF3" s="1" t="str" cm="1">
        <f t="array" ref="TWF3">GetValue("Dmn","Name",TWF2)</f>
        <v/>
      </c>
      <c r="TWG3" s="1" t="str" cm="1">
        <f t="array" ref="TWG3">GetValue("Dmn","Name",TWG2)</f>
        <v/>
      </c>
      <c r="TWH3" s="1" t="str" cm="1">
        <f t="array" ref="TWH3">GetValue("Dmn","Name",TWH2)</f>
        <v/>
      </c>
      <c r="TWI3" s="1" t="str" cm="1">
        <f t="array" ref="TWI3">GetValue("Dmn","Name",TWI2)</f>
        <v/>
      </c>
      <c r="TWJ3" s="1" t="str" cm="1">
        <f t="array" ref="TWJ3">GetValue("Dmn","Name",TWJ2)</f>
        <v/>
      </c>
      <c r="TWK3" s="1" t="str" cm="1">
        <f t="array" ref="TWK3">GetValue("Dmn","Name",TWK2)</f>
        <v/>
      </c>
      <c r="TWL3" s="1" t="str" cm="1">
        <f t="array" ref="TWL3">GetValue("Dmn","Name",TWL2)</f>
        <v/>
      </c>
      <c r="TWM3" s="1" t="str" cm="1">
        <f t="array" ref="TWM3">GetValue("Dmn","Name",TWM2)</f>
        <v/>
      </c>
      <c r="TWN3" s="1" t="str" cm="1">
        <f t="array" ref="TWN3">GetValue("Dmn","Name",TWN2)</f>
        <v/>
      </c>
      <c r="TWO3" s="1" t="str" cm="1">
        <f t="array" ref="TWO3">GetValue("Dmn","Name",TWO2)</f>
        <v/>
      </c>
      <c r="TWP3" s="1" t="str" cm="1">
        <f t="array" ref="TWP3">GetValue("Dmn","Name",TWP2)</f>
        <v/>
      </c>
      <c r="TWQ3" s="1" t="str" cm="1">
        <f t="array" ref="TWQ3">GetValue("Dmn","Name",TWQ2)</f>
        <v/>
      </c>
      <c r="TWR3" s="1" t="str" cm="1">
        <f t="array" ref="TWR3">GetValue("Dmn","Name",TWR2)</f>
        <v/>
      </c>
      <c r="TWS3" s="1" t="str" cm="1">
        <f t="array" ref="TWS3">GetValue("Dmn","Name",TWS2)</f>
        <v/>
      </c>
      <c r="TWT3" s="1" t="str" cm="1">
        <f t="array" ref="TWT3">GetValue("Dmn","Name",TWT2)</f>
        <v/>
      </c>
      <c r="TWU3" s="1" t="str" cm="1">
        <f t="array" ref="TWU3">GetValue("Dmn","Name",TWU2)</f>
        <v/>
      </c>
      <c r="TWV3" s="1" t="str" cm="1">
        <f t="array" ref="TWV3">GetValue("Dmn","Name",TWV2)</f>
        <v/>
      </c>
      <c r="TWW3" s="1" t="str" cm="1">
        <f t="array" ref="TWW3">GetValue("Dmn","Name",TWW2)</f>
        <v/>
      </c>
      <c r="TWX3" s="1" t="str" cm="1">
        <f t="array" ref="TWX3">GetValue("Dmn","Name",TWX2)</f>
        <v/>
      </c>
      <c r="TWY3" s="1" t="str" cm="1">
        <f t="array" ref="TWY3">GetValue("Dmn","Name",TWY2)</f>
        <v/>
      </c>
      <c r="TWZ3" s="1" t="str" cm="1">
        <f t="array" ref="TWZ3">GetValue("Dmn","Name",TWZ2)</f>
        <v/>
      </c>
      <c r="TXA3" s="1" t="str" cm="1">
        <f t="array" ref="TXA3">GetValue("Dmn","Name",TXA2)</f>
        <v/>
      </c>
      <c r="TXB3" s="1" t="str" cm="1">
        <f t="array" ref="TXB3">GetValue("Dmn","Name",TXB2)</f>
        <v/>
      </c>
      <c r="TXC3" s="1" t="str" cm="1">
        <f t="array" ref="TXC3">GetValue("Dmn","Name",TXC2)</f>
        <v/>
      </c>
      <c r="TXD3" s="1" t="str" cm="1">
        <f t="array" ref="TXD3">GetValue("Dmn","Name",TXD2)</f>
        <v/>
      </c>
      <c r="TXE3" s="1" t="str" cm="1">
        <f t="array" ref="TXE3">GetValue("Dmn","Name",TXE2)</f>
        <v/>
      </c>
      <c r="TXF3" s="1" t="str" cm="1">
        <f t="array" ref="TXF3">GetValue("Dmn","Name",TXF2)</f>
        <v/>
      </c>
      <c r="TXG3" s="1" t="str" cm="1">
        <f t="array" ref="TXG3">GetValue("Dmn","Name",TXG2)</f>
        <v/>
      </c>
      <c r="TXH3" s="1" t="str" cm="1">
        <f t="array" ref="TXH3">GetValue("Dmn","Name",TXH2)</f>
        <v/>
      </c>
      <c r="TXI3" s="1" t="str" cm="1">
        <f t="array" ref="TXI3">GetValue("Dmn","Name",TXI2)</f>
        <v/>
      </c>
      <c r="TXJ3" s="1" t="str" cm="1">
        <f t="array" ref="TXJ3">GetValue("Dmn","Name",TXJ2)</f>
        <v/>
      </c>
      <c r="TXK3" s="1" t="str" cm="1">
        <f t="array" ref="TXK3">GetValue("Dmn","Name",TXK2)</f>
        <v/>
      </c>
      <c r="TXL3" s="1" t="str" cm="1">
        <f t="array" ref="TXL3">GetValue("Dmn","Name",TXL2)</f>
        <v/>
      </c>
      <c r="TXM3" s="1" t="str" cm="1">
        <f t="array" ref="TXM3">GetValue("Dmn","Name",TXM2)</f>
        <v/>
      </c>
      <c r="TXN3" s="1" t="str" cm="1">
        <f t="array" ref="TXN3">GetValue("Dmn","Name",TXN2)</f>
        <v/>
      </c>
      <c r="TXO3" s="1" t="str" cm="1">
        <f t="array" ref="TXO3">GetValue("Dmn","Name",TXO2)</f>
        <v/>
      </c>
      <c r="TXP3" s="1" t="str" cm="1">
        <f t="array" ref="TXP3">GetValue("Dmn","Name",TXP2)</f>
        <v/>
      </c>
      <c r="TXQ3" s="1" t="str" cm="1">
        <f t="array" ref="TXQ3">GetValue("Dmn","Name",TXQ2)</f>
        <v/>
      </c>
      <c r="TXR3" s="1" t="str" cm="1">
        <f t="array" ref="TXR3">GetValue("Dmn","Name",TXR2)</f>
        <v/>
      </c>
      <c r="TXS3" s="1" t="str" cm="1">
        <f t="array" ref="TXS3">GetValue("Dmn","Name",TXS2)</f>
        <v/>
      </c>
      <c r="TXT3" s="1" t="str" cm="1">
        <f t="array" ref="TXT3">GetValue("Dmn","Name",TXT2)</f>
        <v/>
      </c>
      <c r="TXU3" s="1" t="str" cm="1">
        <f t="array" ref="TXU3">GetValue("Dmn","Name",TXU2)</f>
        <v/>
      </c>
      <c r="TXV3" s="1" t="str" cm="1">
        <f t="array" ref="TXV3">GetValue("Dmn","Name",TXV2)</f>
        <v/>
      </c>
      <c r="TXW3" s="1" t="str" cm="1">
        <f t="array" ref="TXW3">GetValue("Dmn","Name",TXW2)</f>
        <v/>
      </c>
      <c r="TXX3" s="1" t="str" cm="1">
        <f t="array" ref="TXX3">GetValue("Dmn","Name",TXX2)</f>
        <v/>
      </c>
      <c r="TXY3" s="1" t="str" cm="1">
        <f t="array" ref="TXY3">GetValue("Dmn","Name",TXY2)</f>
        <v/>
      </c>
      <c r="TXZ3" s="1" t="str" cm="1">
        <f t="array" ref="TXZ3">GetValue("Dmn","Name",TXZ2)</f>
        <v/>
      </c>
      <c r="TYA3" s="1" t="str" cm="1">
        <f t="array" ref="TYA3">GetValue("Dmn","Name",TYA2)</f>
        <v/>
      </c>
      <c r="TYB3" s="1" t="str" cm="1">
        <f t="array" ref="TYB3">GetValue("Dmn","Name",TYB2)</f>
        <v/>
      </c>
      <c r="TYC3" s="1" t="str" cm="1">
        <f t="array" ref="TYC3">GetValue("Dmn","Name",TYC2)</f>
        <v/>
      </c>
      <c r="TYD3" s="1" t="str" cm="1">
        <f t="array" ref="TYD3">GetValue("Dmn","Name",TYD2)</f>
        <v/>
      </c>
      <c r="TYE3" s="1" t="str" cm="1">
        <f t="array" ref="TYE3">GetValue("Dmn","Name",TYE2)</f>
        <v/>
      </c>
      <c r="TYF3" s="1" t="str" cm="1">
        <f t="array" ref="TYF3">GetValue("Dmn","Name",TYF2)</f>
        <v/>
      </c>
      <c r="TYG3" s="1" t="str" cm="1">
        <f t="array" ref="TYG3">GetValue("Dmn","Name",TYG2)</f>
        <v/>
      </c>
      <c r="TYH3" s="1" t="str" cm="1">
        <f t="array" ref="TYH3">GetValue("Dmn","Name",TYH2)</f>
        <v/>
      </c>
      <c r="TYI3" s="1" t="str" cm="1">
        <f t="array" ref="TYI3">GetValue("Dmn","Name",TYI2)</f>
        <v/>
      </c>
      <c r="TYJ3" s="1" t="str" cm="1">
        <f t="array" ref="TYJ3">GetValue("Dmn","Name",TYJ2)</f>
        <v/>
      </c>
      <c r="TYK3" s="1" t="str" cm="1">
        <f t="array" ref="TYK3">GetValue("Dmn","Name",TYK2)</f>
        <v/>
      </c>
      <c r="TYL3" s="1" t="str" cm="1">
        <f t="array" ref="TYL3">GetValue("Dmn","Name",TYL2)</f>
        <v/>
      </c>
      <c r="TYM3" s="1" t="str" cm="1">
        <f t="array" ref="TYM3">GetValue("Dmn","Name",TYM2)</f>
        <v/>
      </c>
      <c r="TYN3" s="1" t="str" cm="1">
        <f t="array" ref="TYN3">GetValue("Dmn","Name",TYN2)</f>
        <v/>
      </c>
      <c r="TYO3" s="1" t="str" cm="1">
        <f t="array" ref="TYO3">GetValue("Dmn","Name",TYO2)</f>
        <v/>
      </c>
      <c r="TYP3" s="1" t="str" cm="1">
        <f t="array" ref="TYP3">GetValue("Dmn","Name",TYP2)</f>
        <v/>
      </c>
      <c r="TYQ3" s="1" t="str" cm="1">
        <f t="array" ref="TYQ3">GetValue("Dmn","Name",TYQ2)</f>
        <v/>
      </c>
      <c r="TYR3" s="1" t="str" cm="1">
        <f t="array" ref="TYR3">GetValue("Dmn","Name",TYR2)</f>
        <v/>
      </c>
      <c r="TYS3" s="1" t="str" cm="1">
        <f t="array" ref="TYS3">GetValue("Dmn","Name",TYS2)</f>
        <v/>
      </c>
      <c r="TYT3" s="1" t="str" cm="1">
        <f t="array" ref="TYT3">GetValue("Dmn","Name",TYT2)</f>
        <v/>
      </c>
      <c r="TYU3" s="1" t="str" cm="1">
        <f t="array" ref="TYU3">GetValue("Dmn","Name",TYU2)</f>
        <v/>
      </c>
      <c r="TYV3" s="1" t="str" cm="1">
        <f t="array" ref="TYV3">GetValue("Dmn","Name",TYV2)</f>
        <v/>
      </c>
      <c r="TYW3" s="1" t="str" cm="1">
        <f t="array" ref="TYW3">GetValue("Dmn","Name",TYW2)</f>
        <v/>
      </c>
      <c r="TYX3" s="1" t="str" cm="1">
        <f t="array" ref="TYX3">GetValue("Dmn","Name",TYX2)</f>
        <v/>
      </c>
      <c r="TYY3" s="1" t="str" cm="1">
        <f t="array" ref="TYY3">GetValue("Dmn","Name",TYY2)</f>
        <v/>
      </c>
      <c r="TYZ3" s="1" t="str" cm="1">
        <f t="array" ref="TYZ3">GetValue("Dmn","Name",TYZ2)</f>
        <v/>
      </c>
      <c r="TZA3" s="1" t="str" cm="1">
        <f t="array" ref="TZA3">GetValue("Dmn","Name",TZA2)</f>
        <v/>
      </c>
      <c r="TZB3" s="1" t="str" cm="1">
        <f t="array" ref="TZB3">GetValue("Dmn","Name",TZB2)</f>
        <v/>
      </c>
      <c r="TZC3" s="1" t="str" cm="1">
        <f t="array" ref="TZC3">GetValue("Dmn","Name",TZC2)</f>
        <v/>
      </c>
      <c r="TZD3" s="1" t="str" cm="1">
        <f t="array" ref="TZD3">GetValue("Dmn","Name",TZD2)</f>
        <v/>
      </c>
      <c r="TZE3" s="1" t="str" cm="1">
        <f t="array" ref="TZE3">GetValue("Dmn","Name",TZE2)</f>
        <v/>
      </c>
      <c r="TZF3" s="1" t="str" cm="1">
        <f t="array" ref="TZF3">GetValue("Dmn","Name",TZF2)</f>
        <v/>
      </c>
      <c r="TZG3" s="1" t="str" cm="1">
        <f t="array" ref="TZG3">GetValue("Dmn","Name",TZG2)</f>
        <v/>
      </c>
      <c r="TZH3" s="1" t="str" cm="1">
        <f t="array" ref="TZH3">GetValue("Dmn","Name",TZH2)</f>
        <v/>
      </c>
      <c r="TZI3" s="1" t="str" cm="1">
        <f t="array" ref="TZI3">GetValue("Dmn","Name",TZI2)</f>
        <v/>
      </c>
      <c r="TZJ3" s="1" t="str" cm="1">
        <f t="array" ref="TZJ3">GetValue("Dmn","Name",TZJ2)</f>
        <v/>
      </c>
      <c r="TZK3" s="1" t="str" cm="1">
        <f t="array" ref="TZK3">GetValue("Dmn","Name",TZK2)</f>
        <v/>
      </c>
      <c r="TZL3" s="1" t="str" cm="1">
        <f t="array" ref="TZL3">GetValue("Dmn","Name",TZL2)</f>
        <v/>
      </c>
      <c r="TZM3" s="1" t="str" cm="1">
        <f t="array" ref="TZM3">GetValue("Dmn","Name",TZM2)</f>
        <v/>
      </c>
      <c r="TZN3" s="1" t="str" cm="1">
        <f t="array" ref="TZN3">GetValue("Dmn","Name",TZN2)</f>
        <v/>
      </c>
      <c r="TZO3" s="1" t="str" cm="1">
        <f t="array" ref="TZO3">GetValue("Dmn","Name",TZO2)</f>
        <v/>
      </c>
      <c r="TZP3" s="1" t="str" cm="1">
        <f t="array" ref="TZP3">GetValue("Dmn","Name",TZP2)</f>
        <v/>
      </c>
      <c r="TZQ3" s="1" t="str" cm="1">
        <f t="array" ref="TZQ3">GetValue("Dmn","Name",TZQ2)</f>
        <v/>
      </c>
      <c r="TZR3" s="1" t="str" cm="1">
        <f t="array" ref="TZR3">GetValue("Dmn","Name",TZR2)</f>
        <v/>
      </c>
      <c r="TZS3" s="1" t="str" cm="1">
        <f t="array" ref="TZS3">GetValue("Dmn","Name",TZS2)</f>
        <v/>
      </c>
      <c r="TZT3" s="1" t="str" cm="1">
        <f t="array" ref="TZT3">GetValue("Dmn","Name",TZT2)</f>
        <v/>
      </c>
      <c r="TZU3" s="1" t="str" cm="1">
        <f t="array" ref="TZU3">GetValue("Dmn","Name",TZU2)</f>
        <v/>
      </c>
      <c r="TZV3" s="1" t="str" cm="1">
        <f t="array" ref="TZV3">GetValue("Dmn","Name",TZV2)</f>
        <v/>
      </c>
      <c r="TZW3" s="1" t="str" cm="1">
        <f t="array" ref="TZW3">GetValue("Dmn","Name",TZW2)</f>
        <v/>
      </c>
      <c r="TZX3" s="1" t="str" cm="1">
        <f t="array" ref="TZX3">GetValue("Dmn","Name",TZX2)</f>
        <v/>
      </c>
      <c r="TZY3" s="1" t="str" cm="1">
        <f t="array" ref="TZY3">GetValue("Dmn","Name",TZY2)</f>
        <v/>
      </c>
      <c r="TZZ3" s="1" t="str" cm="1">
        <f t="array" ref="TZZ3">GetValue("Dmn","Name",TZZ2)</f>
        <v/>
      </c>
      <c r="UAA3" s="1" t="str" cm="1">
        <f t="array" ref="UAA3">GetValue("Dmn","Name",UAA2)</f>
        <v/>
      </c>
      <c r="UAB3" s="1" t="str" cm="1">
        <f t="array" ref="UAB3">GetValue("Dmn","Name",UAB2)</f>
        <v/>
      </c>
      <c r="UAC3" s="1" t="str" cm="1">
        <f t="array" ref="UAC3">GetValue("Dmn","Name",UAC2)</f>
        <v/>
      </c>
      <c r="UAD3" s="1" t="str" cm="1">
        <f t="array" ref="UAD3">GetValue("Dmn","Name",UAD2)</f>
        <v/>
      </c>
      <c r="UAE3" s="1" t="str" cm="1">
        <f t="array" ref="UAE3">GetValue("Dmn","Name",UAE2)</f>
        <v/>
      </c>
      <c r="UAF3" s="1" t="str" cm="1">
        <f t="array" ref="UAF3">GetValue("Dmn","Name",UAF2)</f>
        <v/>
      </c>
      <c r="UAG3" s="1" t="str" cm="1">
        <f t="array" ref="UAG3">GetValue("Dmn","Name",UAG2)</f>
        <v/>
      </c>
      <c r="UAH3" s="1" t="str" cm="1">
        <f t="array" ref="UAH3">GetValue("Dmn","Name",UAH2)</f>
        <v/>
      </c>
      <c r="UAI3" s="1" t="str" cm="1">
        <f t="array" ref="UAI3">GetValue("Dmn","Name",UAI2)</f>
        <v/>
      </c>
      <c r="UAJ3" s="1" t="str" cm="1">
        <f t="array" ref="UAJ3">GetValue("Dmn","Name",UAJ2)</f>
        <v/>
      </c>
      <c r="UAK3" s="1" t="str" cm="1">
        <f t="array" ref="UAK3">GetValue("Dmn","Name",UAK2)</f>
        <v/>
      </c>
      <c r="UAL3" s="1" t="str" cm="1">
        <f t="array" ref="UAL3">GetValue("Dmn","Name",UAL2)</f>
        <v/>
      </c>
      <c r="UAM3" s="1" t="str" cm="1">
        <f t="array" ref="UAM3">GetValue("Dmn","Name",UAM2)</f>
        <v/>
      </c>
      <c r="UAN3" s="1" t="str" cm="1">
        <f t="array" ref="UAN3">GetValue("Dmn","Name",UAN2)</f>
        <v/>
      </c>
      <c r="UAO3" s="1" t="str" cm="1">
        <f t="array" ref="UAO3">GetValue("Dmn","Name",UAO2)</f>
        <v/>
      </c>
      <c r="UAP3" s="1" t="str" cm="1">
        <f t="array" ref="UAP3">GetValue("Dmn","Name",UAP2)</f>
        <v/>
      </c>
      <c r="UAQ3" s="1" t="str" cm="1">
        <f t="array" ref="UAQ3">GetValue("Dmn","Name",UAQ2)</f>
        <v/>
      </c>
      <c r="UAR3" s="1" t="str" cm="1">
        <f t="array" ref="UAR3">GetValue("Dmn","Name",UAR2)</f>
        <v/>
      </c>
      <c r="UAS3" s="1" t="str" cm="1">
        <f t="array" ref="UAS3">GetValue("Dmn","Name",UAS2)</f>
        <v/>
      </c>
      <c r="UAT3" s="1" t="str" cm="1">
        <f t="array" ref="UAT3">GetValue("Dmn","Name",UAT2)</f>
        <v/>
      </c>
      <c r="UAU3" s="1" t="str" cm="1">
        <f t="array" ref="UAU3">GetValue("Dmn","Name",UAU2)</f>
        <v/>
      </c>
      <c r="UAV3" s="1" t="str" cm="1">
        <f t="array" ref="UAV3">GetValue("Dmn","Name",UAV2)</f>
        <v/>
      </c>
      <c r="UAW3" s="1" t="str" cm="1">
        <f t="array" ref="UAW3">GetValue("Dmn","Name",UAW2)</f>
        <v/>
      </c>
      <c r="UAX3" s="1" t="str" cm="1">
        <f t="array" ref="UAX3">GetValue("Dmn","Name",UAX2)</f>
        <v/>
      </c>
      <c r="UAY3" s="1" t="str" cm="1">
        <f t="array" ref="UAY3">GetValue("Dmn","Name",UAY2)</f>
        <v/>
      </c>
      <c r="UAZ3" s="1" t="str" cm="1">
        <f t="array" ref="UAZ3">GetValue("Dmn","Name",UAZ2)</f>
        <v/>
      </c>
      <c r="UBA3" s="1" t="str" cm="1">
        <f t="array" ref="UBA3">GetValue("Dmn","Name",UBA2)</f>
        <v/>
      </c>
      <c r="UBB3" s="1" t="str" cm="1">
        <f t="array" ref="UBB3">GetValue("Dmn","Name",UBB2)</f>
        <v/>
      </c>
      <c r="UBC3" s="1" t="str" cm="1">
        <f t="array" ref="UBC3">GetValue("Dmn","Name",UBC2)</f>
        <v/>
      </c>
      <c r="UBD3" s="1" t="str" cm="1">
        <f t="array" ref="UBD3">GetValue("Dmn","Name",UBD2)</f>
        <v/>
      </c>
      <c r="UBE3" s="1" t="str" cm="1">
        <f t="array" ref="UBE3">GetValue("Dmn","Name",UBE2)</f>
        <v/>
      </c>
      <c r="UBF3" s="1" t="str" cm="1">
        <f t="array" ref="UBF3">GetValue("Dmn","Name",UBF2)</f>
        <v/>
      </c>
      <c r="UBG3" s="1" t="str" cm="1">
        <f t="array" ref="UBG3">GetValue("Dmn","Name",UBG2)</f>
        <v/>
      </c>
      <c r="UBH3" s="1" t="str" cm="1">
        <f t="array" ref="UBH3">GetValue("Dmn","Name",UBH2)</f>
        <v/>
      </c>
      <c r="UBI3" s="1" t="str" cm="1">
        <f t="array" ref="UBI3">GetValue("Dmn","Name",UBI2)</f>
        <v/>
      </c>
      <c r="UBJ3" s="1" t="str" cm="1">
        <f t="array" ref="UBJ3">GetValue("Dmn","Name",UBJ2)</f>
        <v/>
      </c>
      <c r="UBK3" s="1" t="str" cm="1">
        <f t="array" ref="UBK3">GetValue("Dmn","Name",UBK2)</f>
        <v/>
      </c>
      <c r="UBL3" s="1" t="str" cm="1">
        <f t="array" ref="UBL3">GetValue("Dmn","Name",UBL2)</f>
        <v/>
      </c>
      <c r="UBM3" s="1" t="str" cm="1">
        <f t="array" ref="UBM3">GetValue("Dmn","Name",UBM2)</f>
        <v/>
      </c>
      <c r="UBN3" s="1" t="str" cm="1">
        <f t="array" ref="UBN3">GetValue("Dmn","Name",UBN2)</f>
        <v/>
      </c>
      <c r="UBO3" s="1" t="str" cm="1">
        <f t="array" ref="UBO3">GetValue("Dmn","Name",UBO2)</f>
        <v/>
      </c>
      <c r="UBP3" s="1" t="str" cm="1">
        <f t="array" ref="UBP3">GetValue("Dmn","Name",UBP2)</f>
        <v/>
      </c>
      <c r="UBQ3" s="1" t="str" cm="1">
        <f t="array" ref="UBQ3">GetValue("Dmn","Name",UBQ2)</f>
        <v/>
      </c>
      <c r="UBR3" s="1" t="str" cm="1">
        <f t="array" ref="UBR3">GetValue("Dmn","Name",UBR2)</f>
        <v/>
      </c>
      <c r="UBS3" s="1" t="str" cm="1">
        <f t="array" ref="UBS3">GetValue("Dmn","Name",UBS2)</f>
        <v/>
      </c>
      <c r="UBT3" s="1" t="str" cm="1">
        <f t="array" ref="UBT3">GetValue("Dmn","Name",UBT2)</f>
        <v/>
      </c>
      <c r="UBU3" s="1" t="str" cm="1">
        <f t="array" ref="UBU3">GetValue("Dmn","Name",UBU2)</f>
        <v/>
      </c>
      <c r="UBV3" s="1" t="str" cm="1">
        <f t="array" ref="UBV3">GetValue("Dmn","Name",UBV2)</f>
        <v/>
      </c>
      <c r="UBW3" s="1" t="str" cm="1">
        <f t="array" ref="UBW3">GetValue("Dmn","Name",UBW2)</f>
        <v/>
      </c>
      <c r="UBX3" s="1" t="str" cm="1">
        <f t="array" ref="UBX3">GetValue("Dmn","Name",UBX2)</f>
        <v/>
      </c>
      <c r="UBY3" s="1" t="str" cm="1">
        <f t="array" ref="UBY3">GetValue("Dmn","Name",UBY2)</f>
        <v/>
      </c>
      <c r="UBZ3" s="1" t="str" cm="1">
        <f t="array" ref="UBZ3">GetValue("Dmn","Name",UBZ2)</f>
        <v/>
      </c>
      <c r="UCA3" s="1" t="str" cm="1">
        <f t="array" ref="UCA3">GetValue("Dmn","Name",UCA2)</f>
        <v/>
      </c>
      <c r="UCB3" s="1" t="str" cm="1">
        <f t="array" ref="UCB3">GetValue("Dmn","Name",UCB2)</f>
        <v/>
      </c>
      <c r="UCC3" s="1" t="str" cm="1">
        <f t="array" ref="UCC3">GetValue("Dmn","Name",UCC2)</f>
        <v/>
      </c>
      <c r="UCD3" s="1" t="str" cm="1">
        <f t="array" ref="UCD3">GetValue("Dmn","Name",UCD2)</f>
        <v/>
      </c>
      <c r="UCE3" s="1" t="str" cm="1">
        <f t="array" ref="UCE3">GetValue("Dmn","Name",UCE2)</f>
        <v/>
      </c>
      <c r="UCF3" s="1" t="str" cm="1">
        <f t="array" ref="UCF3">GetValue("Dmn","Name",UCF2)</f>
        <v/>
      </c>
      <c r="UCG3" s="1" t="str" cm="1">
        <f t="array" ref="UCG3">GetValue("Dmn","Name",UCG2)</f>
        <v/>
      </c>
      <c r="UCH3" s="1" t="str" cm="1">
        <f t="array" ref="UCH3">GetValue("Dmn","Name",UCH2)</f>
        <v/>
      </c>
      <c r="UCI3" s="1" t="str" cm="1">
        <f t="array" ref="UCI3">GetValue("Dmn","Name",UCI2)</f>
        <v/>
      </c>
      <c r="UCJ3" s="1" t="str" cm="1">
        <f t="array" ref="UCJ3">GetValue("Dmn","Name",UCJ2)</f>
        <v/>
      </c>
      <c r="UCK3" s="1" t="str" cm="1">
        <f t="array" ref="UCK3">GetValue("Dmn","Name",UCK2)</f>
        <v/>
      </c>
      <c r="UCL3" s="1" t="str" cm="1">
        <f t="array" ref="UCL3">GetValue("Dmn","Name",UCL2)</f>
        <v/>
      </c>
      <c r="UCM3" s="1" t="str" cm="1">
        <f t="array" ref="UCM3">GetValue("Dmn","Name",UCM2)</f>
        <v/>
      </c>
      <c r="UCN3" s="1" t="str" cm="1">
        <f t="array" ref="UCN3">GetValue("Dmn","Name",UCN2)</f>
        <v/>
      </c>
      <c r="UCO3" s="1" t="str" cm="1">
        <f t="array" ref="UCO3">GetValue("Dmn","Name",UCO2)</f>
        <v/>
      </c>
      <c r="UCP3" s="1" t="str" cm="1">
        <f t="array" ref="UCP3">GetValue("Dmn","Name",UCP2)</f>
        <v/>
      </c>
      <c r="UCQ3" s="1" t="str" cm="1">
        <f t="array" ref="UCQ3">GetValue("Dmn","Name",UCQ2)</f>
        <v/>
      </c>
      <c r="UCR3" s="1" t="str" cm="1">
        <f t="array" ref="UCR3">GetValue("Dmn","Name",UCR2)</f>
        <v/>
      </c>
      <c r="UCS3" s="1" t="str" cm="1">
        <f t="array" ref="UCS3">GetValue("Dmn","Name",UCS2)</f>
        <v/>
      </c>
      <c r="UCT3" s="1" t="str" cm="1">
        <f t="array" ref="UCT3">GetValue("Dmn","Name",UCT2)</f>
        <v/>
      </c>
      <c r="UCU3" s="1" t="str" cm="1">
        <f t="array" ref="UCU3">GetValue("Dmn","Name",UCU2)</f>
        <v/>
      </c>
      <c r="UCV3" s="1" t="str" cm="1">
        <f t="array" ref="UCV3">GetValue("Dmn","Name",UCV2)</f>
        <v/>
      </c>
      <c r="UCW3" s="1" t="str" cm="1">
        <f t="array" ref="UCW3">GetValue("Dmn","Name",UCW2)</f>
        <v/>
      </c>
      <c r="UCX3" s="1" t="str" cm="1">
        <f t="array" ref="UCX3">GetValue("Dmn","Name",UCX2)</f>
        <v/>
      </c>
      <c r="UCY3" s="1" t="str" cm="1">
        <f t="array" ref="UCY3">GetValue("Dmn","Name",UCY2)</f>
        <v/>
      </c>
      <c r="UCZ3" s="1" t="str" cm="1">
        <f t="array" ref="UCZ3">GetValue("Dmn","Name",UCZ2)</f>
        <v/>
      </c>
      <c r="UDA3" s="1" t="str" cm="1">
        <f t="array" ref="UDA3">GetValue("Dmn","Name",UDA2)</f>
        <v/>
      </c>
      <c r="UDB3" s="1" t="str" cm="1">
        <f t="array" ref="UDB3">GetValue("Dmn","Name",UDB2)</f>
        <v/>
      </c>
      <c r="UDC3" s="1" t="str" cm="1">
        <f t="array" ref="UDC3">GetValue("Dmn","Name",UDC2)</f>
        <v/>
      </c>
      <c r="UDD3" s="1" t="str" cm="1">
        <f t="array" ref="UDD3">GetValue("Dmn","Name",UDD2)</f>
        <v/>
      </c>
      <c r="UDE3" s="1" t="str" cm="1">
        <f t="array" ref="UDE3">GetValue("Dmn","Name",UDE2)</f>
        <v/>
      </c>
      <c r="UDF3" s="1" t="str" cm="1">
        <f t="array" ref="UDF3">GetValue("Dmn","Name",UDF2)</f>
        <v/>
      </c>
      <c r="UDG3" s="1" t="str" cm="1">
        <f t="array" ref="UDG3">GetValue("Dmn","Name",UDG2)</f>
        <v/>
      </c>
      <c r="UDH3" s="1" t="str" cm="1">
        <f t="array" ref="UDH3">GetValue("Dmn","Name",UDH2)</f>
        <v/>
      </c>
      <c r="UDI3" s="1" t="str" cm="1">
        <f t="array" ref="UDI3">GetValue("Dmn","Name",UDI2)</f>
        <v/>
      </c>
      <c r="UDJ3" s="1" t="str" cm="1">
        <f t="array" ref="UDJ3">GetValue("Dmn","Name",UDJ2)</f>
        <v/>
      </c>
      <c r="UDK3" s="1" t="str" cm="1">
        <f t="array" ref="UDK3">GetValue("Dmn","Name",UDK2)</f>
        <v/>
      </c>
      <c r="UDL3" s="1" t="str" cm="1">
        <f t="array" ref="UDL3">GetValue("Dmn","Name",UDL2)</f>
        <v/>
      </c>
      <c r="UDM3" s="1" t="str" cm="1">
        <f t="array" ref="UDM3">GetValue("Dmn","Name",UDM2)</f>
        <v/>
      </c>
      <c r="UDN3" s="1" t="str" cm="1">
        <f t="array" ref="UDN3">GetValue("Dmn","Name",UDN2)</f>
        <v/>
      </c>
      <c r="UDO3" s="1" t="str" cm="1">
        <f t="array" ref="UDO3">GetValue("Dmn","Name",UDO2)</f>
        <v/>
      </c>
      <c r="UDP3" s="1" t="str" cm="1">
        <f t="array" ref="UDP3">GetValue("Dmn","Name",UDP2)</f>
        <v/>
      </c>
      <c r="UDQ3" s="1" t="str" cm="1">
        <f t="array" ref="UDQ3">GetValue("Dmn","Name",UDQ2)</f>
        <v/>
      </c>
      <c r="UDR3" s="1" t="str" cm="1">
        <f t="array" ref="UDR3">GetValue("Dmn","Name",UDR2)</f>
        <v/>
      </c>
      <c r="UDS3" s="1" t="str" cm="1">
        <f t="array" ref="UDS3">GetValue("Dmn","Name",UDS2)</f>
        <v/>
      </c>
      <c r="UDT3" s="1" t="str" cm="1">
        <f t="array" ref="UDT3">GetValue("Dmn","Name",UDT2)</f>
        <v/>
      </c>
      <c r="UDU3" s="1" t="str" cm="1">
        <f t="array" ref="UDU3">GetValue("Dmn","Name",UDU2)</f>
        <v/>
      </c>
      <c r="UDV3" s="1" t="str" cm="1">
        <f t="array" ref="UDV3">GetValue("Dmn","Name",UDV2)</f>
        <v/>
      </c>
      <c r="UDW3" s="1" t="str" cm="1">
        <f t="array" ref="UDW3">GetValue("Dmn","Name",UDW2)</f>
        <v/>
      </c>
      <c r="UDX3" s="1" t="str" cm="1">
        <f t="array" ref="UDX3">GetValue("Dmn","Name",UDX2)</f>
        <v/>
      </c>
      <c r="UDY3" s="1" t="str" cm="1">
        <f t="array" ref="UDY3">GetValue("Dmn","Name",UDY2)</f>
        <v/>
      </c>
      <c r="UDZ3" s="1" t="str" cm="1">
        <f t="array" ref="UDZ3">GetValue("Dmn","Name",UDZ2)</f>
        <v/>
      </c>
      <c r="UEA3" s="1" t="str" cm="1">
        <f t="array" ref="UEA3">GetValue("Dmn","Name",UEA2)</f>
        <v/>
      </c>
      <c r="UEB3" s="1" t="str" cm="1">
        <f t="array" ref="UEB3">GetValue("Dmn","Name",UEB2)</f>
        <v/>
      </c>
      <c r="UEC3" s="1" t="str" cm="1">
        <f t="array" ref="UEC3">GetValue("Dmn","Name",UEC2)</f>
        <v/>
      </c>
      <c r="UED3" s="1" t="str" cm="1">
        <f t="array" ref="UED3">GetValue("Dmn","Name",UED2)</f>
        <v/>
      </c>
      <c r="UEE3" s="1" t="str" cm="1">
        <f t="array" ref="UEE3">GetValue("Dmn","Name",UEE2)</f>
        <v/>
      </c>
      <c r="UEF3" s="1" t="str" cm="1">
        <f t="array" ref="UEF3">GetValue("Dmn","Name",UEF2)</f>
        <v/>
      </c>
      <c r="UEG3" s="1" t="str" cm="1">
        <f t="array" ref="UEG3">GetValue("Dmn","Name",UEG2)</f>
        <v/>
      </c>
      <c r="UEH3" s="1" t="str" cm="1">
        <f t="array" ref="UEH3">GetValue("Dmn","Name",UEH2)</f>
        <v/>
      </c>
      <c r="UEI3" s="1" t="str" cm="1">
        <f t="array" ref="UEI3">GetValue("Dmn","Name",UEI2)</f>
        <v/>
      </c>
      <c r="UEJ3" s="1" t="str" cm="1">
        <f t="array" ref="UEJ3">GetValue("Dmn","Name",UEJ2)</f>
        <v/>
      </c>
      <c r="UEK3" s="1" t="str" cm="1">
        <f t="array" ref="UEK3">GetValue("Dmn","Name",UEK2)</f>
        <v/>
      </c>
      <c r="UEL3" s="1" t="str" cm="1">
        <f t="array" ref="UEL3">GetValue("Dmn","Name",UEL2)</f>
        <v/>
      </c>
      <c r="UEM3" s="1" t="str" cm="1">
        <f t="array" ref="UEM3">GetValue("Dmn","Name",UEM2)</f>
        <v/>
      </c>
      <c r="UEN3" s="1" t="str" cm="1">
        <f t="array" ref="UEN3">GetValue("Dmn","Name",UEN2)</f>
        <v/>
      </c>
      <c r="UEO3" s="1" t="str" cm="1">
        <f t="array" ref="UEO3">GetValue("Dmn","Name",UEO2)</f>
        <v/>
      </c>
      <c r="UEP3" s="1" t="str" cm="1">
        <f t="array" ref="UEP3">GetValue("Dmn","Name",UEP2)</f>
        <v/>
      </c>
      <c r="UEQ3" s="1" t="str" cm="1">
        <f t="array" ref="UEQ3">GetValue("Dmn","Name",UEQ2)</f>
        <v/>
      </c>
      <c r="UER3" s="1" t="str" cm="1">
        <f t="array" ref="UER3">GetValue("Dmn","Name",UER2)</f>
        <v/>
      </c>
      <c r="UES3" s="1" t="str" cm="1">
        <f t="array" ref="UES3">GetValue("Dmn","Name",UES2)</f>
        <v/>
      </c>
      <c r="UET3" s="1" t="str" cm="1">
        <f t="array" ref="UET3">GetValue("Dmn","Name",UET2)</f>
        <v/>
      </c>
      <c r="UEU3" s="1" t="str" cm="1">
        <f t="array" ref="UEU3">GetValue("Dmn","Name",UEU2)</f>
        <v/>
      </c>
      <c r="UEV3" s="1" t="str" cm="1">
        <f t="array" ref="UEV3">GetValue("Dmn","Name",UEV2)</f>
        <v/>
      </c>
      <c r="UEW3" s="1" t="str" cm="1">
        <f t="array" ref="UEW3">GetValue("Dmn","Name",UEW2)</f>
        <v/>
      </c>
      <c r="UEX3" s="1" t="str" cm="1">
        <f t="array" ref="UEX3">GetValue("Dmn","Name",UEX2)</f>
        <v/>
      </c>
      <c r="UEY3" s="1" t="str" cm="1">
        <f t="array" ref="UEY3">GetValue("Dmn","Name",UEY2)</f>
        <v/>
      </c>
      <c r="UEZ3" s="1" t="str" cm="1">
        <f t="array" ref="UEZ3">GetValue("Dmn","Name",UEZ2)</f>
        <v/>
      </c>
      <c r="UFA3" s="1" t="str" cm="1">
        <f t="array" ref="UFA3">GetValue("Dmn","Name",UFA2)</f>
        <v/>
      </c>
      <c r="UFB3" s="1" t="str" cm="1">
        <f t="array" ref="UFB3">GetValue("Dmn","Name",UFB2)</f>
        <v/>
      </c>
      <c r="UFC3" s="1" t="str" cm="1">
        <f t="array" ref="UFC3">GetValue("Dmn","Name",UFC2)</f>
        <v/>
      </c>
      <c r="UFD3" s="1" t="str" cm="1">
        <f t="array" ref="UFD3">GetValue("Dmn","Name",UFD2)</f>
        <v/>
      </c>
      <c r="UFE3" s="1" t="str" cm="1">
        <f t="array" ref="UFE3">GetValue("Dmn","Name",UFE2)</f>
        <v/>
      </c>
      <c r="UFF3" s="1" t="str" cm="1">
        <f t="array" ref="UFF3">GetValue("Dmn","Name",UFF2)</f>
        <v/>
      </c>
      <c r="UFG3" s="1" t="str" cm="1">
        <f t="array" ref="UFG3">GetValue("Dmn","Name",UFG2)</f>
        <v/>
      </c>
      <c r="UFH3" s="1" t="str" cm="1">
        <f t="array" ref="UFH3">GetValue("Dmn","Name",UFH2)</f>
        <v/>
      </c>
      <c r="UFI3" s="1" t="str" cm="1">
        <f t="array" ref="UFI3">GetValue("Dmn","Name",UFI2)</f>
        <v/>
      </c>
      <c r="UFJ3" s="1" t="str" cm="1">
        <f t="array" ref="UFJ3">GetValue("Dmn","Name",UFJ2)</f>
        <v/>
      </c>
      <c r="UFK3" s="1" t="str" cm="1">
        <f t="array" ref="UFK3">GetValue("Dmn","Name",UFK2)</f>
        <v/>
      </c>
      <c r="UFL3" s="1" t="str" cm="1">
        <f t="array" ref="UFL3">GetValue("Dmn","Name",UFL2)</f>
        <v/>
      </c>
      <c r="UFM3" s="1" t="str" cm="1">
        <f t="array" ref="UFM3">GetValue("Dmn","Name",UFM2)</f>
        <v/>
      </c>
      <c r="UFN3" s="1" t="str" cm="1">
        <f t="array" ref="UFN3">GetValue("Dmn","Name",UFN2)</f>
        <v/>
      </c>
      <c r="UFO3" s="1" t="str" cm="1">
        <f t="array" ref="UFO3">GetValue("Dmn","Name",UFO2)</f>
        <v/>
      </c>
      <c r="UFP3" s="1" t="str" cm="1">
        <f t="array" ref="UFP3">GetValue("Dmn","Name",UFP2)</f>
        <v/>
      </c>
      <c r="UFQ3" s="1" t="str" cm="1">
        <f t="array" ref="UFQ3">GetValue("Dmn","Name",UFQ2)</f>
        <v/>
      </c>
      <c r="UFR3" s="1" t="str" cm="1">
        <f t="array" ref="UFR3">GetValue("Dmn","Name",UFR2)</f>
        <v/>
      </c>
      <c r="UFS3" s="1" t="str" cm="1">
        <f t="array" ref="UFS3">GetValue("Dmn","Name",UFS2)</f>
        <v/>
      </c>
      <c r="UFT3" s="1" t="str" cm="1">
        <f t="array" ref="UFT3">GetValue("Dmn","Name",UFT2)</f>
        <v/>
      </c>
      <c r="UFU3" s="1" t="str" cm="1">
        <f t="array" ref="UFU3">GetValue("Dmn","Name",UFU2)</f>
        <v/>
      </c>
      <c r="UFV3" s="1" t="str" cm="1">
        <f t="array" ref="UFV3">GetValue("Dmn","Name",UFV2)</f>
        <v/>
      </c>
      <c r="UFW3" s="1" t="str" cm="1">
        <f t="array" ref="UFW3">GetValue("Dmn","Name",UFW2)</f>
        <v/>
      </c>
      <c r="UFX3" s="1" t="str" cm="1">
        <f t="array" ref="UFX3">GetValue("Dmn","Name",UFX2)</f>
        <v/>
      </c>
      <c r="UFY3" s="1" t="str" cm="1">
        <f t="array" ref="UFY3">GetValue("Dmn","Name",UFY2)</f>
        <v/>
      </c>
      <c r="UFZ3" s="1" t="str" cm="1">
        <f t="array" ref="UFZ3">GetValue("Dmn","Name",UFZ2)</f>
        <v/>
      </c>
      <c r="UGA3" s="1" t="str" cm="1">
        <f t="array" ref="UGA3">GetValue("Dmn","Name",UGA2)</f>
        <v/>
      </c>
      <c r="UGB3" s="1" t="str" cm="1">
        <f t="array" ref="UGB3">GetValue("Dmn","Name",UGB2)</f>
        <v/>
      </c>
      <c r="UGC3" s="1" t="str" cm="1">
        <f t="array" ref="UGC3">GetValue("Dmn","Name",UGC2)</f>
        <v/>
      </c>
      <c r="UGD3" s="1" t="str" cm="1">
        <f t="array" ref="UGD3">GetValue("Dmn","Name",UGD2)</f>
        <v/>
      </c>
      <c r="UGE3" s="1" t="str" cm="1">
        <f t="array" ref="UGE3">GetValue("Dmn","Name",UGE2)</f>
        <v/>
      </c>
      <c r="UGF3" s="1" t="str" cm="1">
        <f t="array" ref="UGF3">GetValue("Dmn","Name",UGF2)</f>
        <v/>
      </c>
      <c r="UGG3" s="1" t="str" cm="1">
        <f t="array" ref="UGG3">GetValue("Dmn","Name",UGG2)</f>
        <v/>
      </c>
      <c r="UGH3" s="1" t="str" cm="1">
        <f t="array" ref="UGH3">GetValue("Dmn","Name",UGH2)</f>
        <v/>
      </c>
      <c r="UGI3" s="1" t="str" cm="1">
        <f t="array" ref="UGI3">GetValue("Dmn","Name",UGI2)</f>
        <v/>
      </c>
      <c r="UGJ3" s="1" t="str" cm="1">
        <f t="array" ref="UGJ3">GetValue("Dmn","Name",UGJ2)</f>
        <v/>
      </c>
      <c r="UGK3" s="1" t="str" cm="1">
        <f t="array" ref="UGK3">GetValue("Dmn","Name",UGK2)</f>
        <v/>
      </c>
      <c r="UGL3" s="1" t="str" cm="1">
        <f t="array" ref="UGL3">GetValue("Dmn","Name",UGL2)</f>
        <v/>
      </c>
      <c r="UGM3" s="1" t="str" cm="1">
        <f t="array" ref="UGM3">GetValue("Dmn","Name",UGM2)</f>
        <v/>
      </c>
      <c r="UGN3" s="1" t="str" cm="1">
        <f t="array" ref="UGN3">GetValue("Dmn","Name",UGN2)</f>
        <v/>
      </c>
      <c r="UGO3" s="1" t="str" cm="1">
        <f t="array" ref="UGO3">GetValue("Dmn","Name",UGO2)</f>
        <v/>
      </c>
      <c r="UGP3" s="1" t="str" cm="1">
        <f t="array" ref="UGP3">GetValue("Dmn","Name",UGP2)</f>
        <v/>
      </c>
      <c r="UGQ3" s="1" t="str" cm="1">
        <f t="array" ref="UGQ3">GetValue("Dmn","Name",UGQ2)</f>
        <v/>
      </c>
      <c r="UGR3" s="1" t="str" cm="1">
        <f t="array" ref="UGR3">GetValue("Dmn","Name",UGR2)</f>
        <v/>
      </c>
      <c r="UGS3" s="1" t="str" cm="1">
        <f t="array" ref="UGS3">GetValue("Dmn","Name",UGS2)</f>
        <v/>
      </c>
      <c r="UGT3" s="1" t="str" cm="1">
        <f t="array" ref="UGT3">GetValue("Dmn","Name",UGT2)</f>
        <v/>
      </c>
      <c r="UGU3" s="1" t="str" cm="1">
        <f t="array" ref="UGU3">GetValue("Dmn","Name",UGU2)</f>
        <v/>
      </c>
      <c r="UGV3" s="1" t="str" cm="1">
        <f t="array" ref="UGV3">GetValue("Dmn","Name",UGV2)</f>
        <v/>
      </c>
      <c r="UGW3" s="1" t="str" cm="1">
        <f t="array" ref="UGW3">GetValue("Dmn","Name",UGW2)</f>
        <v/>
      </c>
      <c r="UGX3" s="1" t="str" cm="1">
        <f t="array" ref="UGX3">GetValue("Dmn","Name",UGX2)</f>
        <v/>
      </c>
      <c r="UGY3" s="1" t="str" cm="1">
        <f t="array" ref="UGY3">GetValue("Dmn","Name",UGY2)</f>
        <v/>
      </c>
      <c r="UGZ3" s="1" t="str" cm="1">
        <f t="array" ref="UGZ3">GetValue("Dmn","Name",UGZ2)</f>
        <v/>
      </c>
      <c r="UHA3" s="1" t="str" cm="1">
        <f t="array" ref="UHA3">GetValue("Dmn","Name",UHA2)</f>
        <v/>
      </c>
      <c r="UHB3" s="1" t="str" cm="1">
        <f t="array" ref="UHB3">GetValue("Dmn","Name",UHB2)</f>
        <v/>
      </c>
      <c r="UHC3" s="1" t="str" cm="1">
        <f t="array" ref="UHC3">GetValue("Dmn","Name",UHC2)</f>
        <v/>
      </c>
      <c r="UHD3" s="1" t="str" cm="1">
        <f t="array" ref="UHD3">GetValue("Dmn","Name",UHD2)</f>
        <v/>
      </c>
      <c r="UHE3" s="1" t="str" cm="1">
        <f t="array" ref="UHE3">GetValue("Dmn","Name",UHE2)</f>
        <v/>
      </c>
      <c r="UHF3" s="1" t="str" cm="1">
        <f t="array" ref="UHF3">GetValue("Dmn","Name",UHF2)</f>
        <v/>
      </c>
      <c r="UHG3" s="1" t="str" cm="1">
        <f t="array" ref="UHG3">GetValue("Dmn","Name",UHG2)</f>
        <v/>
      </c>
      <c r="UHH3" s="1" t="str" cm="1">
        <f t="array" ref="UHH3">GetValue("Dmn","Name",UHH2)</f>
        <v/>
      </c>
      <c r="UHI3" s="1" t="str" cm="1">
        <f t="array" ref="UHI3">GetValue("Dmn","Name",UHI2)</f>
        <v/>
      </c>
      <c r="UHJ3" s="1" t="str" cm="1">
        <f t="array" ref="UHJ3">GetValue("Dmn","Name",UHJ2)</f>
        <v/>
      </c>
      <c r="UHK3" s="1" t="str" cm="1">
        <f t="array" ref="UHK3">GetValue("Dmn","Name",UHK2)</f>
        <v/>
      </c>
      <c r="UHL3" s="1" t="str" cm="1">
        <f t="array" ref="UHL3">GetValue("Dmn","Name",UHL2)</f>
        <v/>
      </c>
      <c r="UHM3" s="1" t="str" cm="1">
        <f t="array" ref="UHM3">GetValue("Dmn","Name",UHM2)</f>
        <v/>
      </c>
      <c r="UHN3" s="1" t="str" cm="1">
        <f t="array" ref="UHN3">GetValue("Dmn","Name",UHN2)</f>
        <v/>
      </c>
      <c r="UHO3" s="1" t="str" cm="1">
        <f t="array" ref="UHO3">GetValue("Dmn","Name",UHO2)</f>
        <v/>
      </c>
      <c r="UHP3" s="1" t="str" cm="1">
        <f t="array" ref="UHP3">GetValue("Dmn","Name",UHP2)</f>
        <v/>
      </c>
      <c r="UHQ3" s="1" t="str" cm="1">
        <f t="array" ref="UHQ3">GetValue("Dmn","Name",UHQ2)</f>
        <v/>
      </c>
      <c r="UHR3" s="1" t="str" cm="1">
        <f t="array" ref="UHR3">GetValue("Dmn","Name",UHR2)</f>
        <v/>
      </c>
      <c r="UHS3" s="1" t="str" cm="1">
        <f t="array" ref="UHS3">GetValue("Dmn","Name",UHS2)</f>
        <v/>
      </c>
      <c r="UHT3" s="1" t="str" cm="1">
        <f t="array" ref="UHT3">GetValue("Dmn","Name",UHT2)</f>
        <v/>
      </c>
      <c r="UHU3" s="1" t="str" cm="1">
        <f t="array" ref="UHU3">GetValue("Dmn","Name",UHU2)</f>
        <v/>
      </c>
      <c r="UHV3" s="1" t="str" cm="1">
        <f t="array" ref="UHV3">GetValue("Dmn","Name",UHV2)</f>
        <v/>
      </c>
      <c r="UHW3" s="1" t="str" cm="1">
        <f t="array" ref="UHW3">GetValue("Dmn","Name",UHW2)</f>
        <v/>
      </c>
      <c r="UHX3" s="1" t="str" cm="1">
        <f t="array" ref="UHX3">GetValue("Dmn","Name",UHX2)</f>
        <v/>
      </c>
      <c r="UHY3" s="1" t="str" cm="1">
        <f t="array" ref="UHY3">GetValue("Dmn","Name",UHY2)</f>
        <v/>
      </c>
      <c r="UHZ3" s="1" t="str" cm="1">
        <f t="array" ref="UHZ3">GetValue("Dmn","Name",UHZ2)</f>
        <v/>
      </c>
      <c r="UIA3" s="1" t="str" cm="1">
        <f t="array" ref="UIA3">GetValue("Dmn","Name",UIA2)</f>
        <v/>
      </c>
      <c r="UIB3" s="1" t="str" cm="1">
        <f t="array" ref="UIB3">GetValue("Dmn","Name",UIB2)</f>
        <v/>
      </c>
      <c r="UIC3" s="1" t="str" cm="1">
        <f t="array" ref="UIC3">GetValue("Dmn","Name",UIC2)</f>
        <v/>
      </c>
      <c r="UID3" s="1" t="str" cm="1">
        <f t="array" ref="UID3">GetValue("Dmn","Name",UID2)</f>
        <v/>
      </c>
      <c r="UIE3" s="1" t="str" cm="1">
        <f t="array" ref="UIE3">GetValue("Dmn","Name",UIE2)</f>
        <v/>
      </c>
      <c r="UIF3" s="1" t="str" cm="1">
        <f t="array" ref="UIF3">GetValue("Dmn","Name",UIF2)</f>
        <v/>
      </c>
      <c r="UIG3" s="1" t="str" cm="1">
        <f t="array" ref="UIG3">GetValue("Dmn","Name",UIG2)</f>
        <v/>
      </c>
      <c r="UIH3" s="1" t="str" cm="1">
        <f t="array" ref="UIH3">GetValue("Dmn","Name",UIH2)</f>
        <v/>
      </c>
      <c r="UII3" s="1" t="str" cm="1">
        <f t="array" ref="UII3">GetValue("Dmn","Name",UII2)</f>
        <v/>
      </c>
      <c r="UIJ3" s="1" t="str" cm="1">
        <f t="array" ref="UIJ3">GetValue("Dmn","Name",UIJ2)</f>
        <v/>
      </c>
      <c r="UIK3" s="1" t="str" cm="1">
        <f t="array" ref="UIK3">GetValue("Dmn","Name",UIK2)</f>
        <v/>
      </c>
      <c r="UIL3" s="1" t="str" cm="1">
        <f t="array" ref="UIL3">GetValue("Dmn","Name",UIL2)</f>
        <v/>
      </c>
      <c r="UIM3" s="1" t="str" cm="1">
        <f t="array" ref="UIM3">GetValue("Dmn","Name",UIM2)</f>
        <v/>
      </c>
      <c r="UIN3" s="1" t="str" cm="1">
        <f t="array" ref="UIN3">GetValue("Dmn","Name",UIN2)</f>
        <v/>
      </c>
      <c r="UIO3" s="1" t="str" cm="1">
        <f t="array" ref="UIO3">GetValue("Dmn","Name",UIO2)</f>
        <v/>
      </c>
      <c r="UIP3" s="1" t="str" cm="1">
        <f t="array" ref="UIP3">GetValue("Dmn","Name",UIP2)</f>
        <v/>
      </c>
      <c r="UIQ3" s="1" t="str" cm="1">
        <f t="array" ref="UIQ3">GetValue("Dmn","Name",UIQ2)</f>
        <v/>
      </c>
      <c r="UIR3" s="1" t="str" cm="1">
        <f t="array" ref="UIR3">GetValue("Dmn","Name",UIR2)</f>
        <v/>
      </c>
      <c r="UIS3" s="1" t="str" cm="1">
        <f t="array" ref="UIS3">GetValue("Dmn","Name",UIS2)</f>
        <v/>
      </c>
      <c r="UIT3" s="1" t="str" cm="1">
        <f t="array" ref="UIT3">GetValue("Dmn","Name",UIT2)</f>
        <v/>
      </c>
      <c r="UIU3" s="1" t="str" cm="1">
        <f t="array" ref="UIU3">GetValue("Dmn","Name",UIU2)</f>
        <v/>
      </c>
      <c r="UIV3" s="1" t="str" cm="1">
        <f t="array" ref="UIV3">GetValue("Dmn","Name",UIV2)</f>
        <v/>
      </c>
      <c r="UIW3" s="1" t="str" cm="1">
        <f t="array" ref="UIW3">GetValue("Dmn","Name",UIW2)</f>
        <v/>
      </c>
      <c r="UIX3" s="1" t="str" cm="1">
        <f t="array" ref="UIX3">GetValue("Dmn","Name",UIX2)</f>
        <v/>
      </c>
      <c r="UIY3" s="1" t="str" cm="1">
        <f t="array" ref="UIY3">GetValue("Dmn","Name",UIY2)</f>
        <v/>
      </c>
      <c r="UIZ3" s="1" t="str" cm="1">
        <f t="array" ref="UIZ3">GetValue("Dmn","Name",UIZ2)</f>
        <v/>
      </c>
      <c r="UJA3" s="1" t="str" cm="1">
        <f t="array" ref="UJA3">GetValue("Dmn","Name",UJA2)</f>
        <v/>
      </c>
      <c r="UJB3" s="1" t="str" cm="1">
        <f t="array" ref="UJB3">GetValue("Dmn","Name",UJB2)</f>
        <v/>
      </c>
      <c r="UJC3" s="1" t="str" cm="1">
        <f t="array" ref="UJC3">GetValue("Dmn","Name",UJC2)</f>
        <v/>
      </c>
      <c r="UJD3" s="1" t="str" cm="1">
        <f t="array" ref="UJD3">GetValue("Dmn","Name",UJD2)</f>
        <v/>
      </c>
      <c r="UJE3" s="1" t="str" cm="1">
        <f t="array" ref="UJE3">GetValue("Dmn","Name",UJE2)</f>
        <v/>
      </c>
      <c r="UJF3" s="1" t="str" cm="1">
        <f t="array" ref="UJF3">GetValue("Dmn","Name",UJF2)</f>
        <v/>
      </c>
      <c r="UJG3" s="1" t="str" cm="1">
        <f t="array" ref="UJG3">GetValue("Dmn","Name",UJG2)</f>
        <v/>
      </c>
      <c r="UJH3" s="1" t="str" cm="1">
        <f t="array" ref="UJH3">GetValue("Dmn","Name",UJH2)</f>
        <v/>
      </c>
      <c r="UJI3" s="1" t="str" cm="1">
        <f t="array" ref="UJI3">GetValue("Dmn","Name",UJI2)</f>
        <v/>
      </c>
      <c r="UJJ3" s="1" t="str" cm="1">
        <f t="array" ref="UJJ3">GetValue("Dmn","Name",UJJ2)</f>
        <v/>
      </c>
      <c r="UJK3" s="1" t="str" cm="1">
        <f t="array" ref="UJK3">GetValue("Dmn","Name",UJK2)</f>
        <v/>
      </c>
      <c r="UJL3" s="1" t="str" cm="1">
        <f t="array" ref="UJL3">GetValue("Dmn","Name",UJL2)</f>
        <v/>
      </c>
      <c r="UJM3" s="1" t="str" cm="1">
        <f t="array" ref="UJM3">GetValue("Dmn","Name",UJM2)</f>
        <v/>
      </c>
      <c r="UJN3" s="1" t="str" cm="1">
        <f t="array" ref="UJN3">GetValue("Dmn","Name",UJN2)</f>
        <v/>
      </c>
      <c r="UJO3" s="1" t="str" cm="1">
        <f t="array" ref="UJO3">GetValue("Dmn","Name",UJO2)</f>
        <v/>
      </c>
      <c r="UJP3" s="1" t="str" cm="1">
        <f t="array" ref="UJP3">GetValue("Dmn","Name",UJP2)</f>
        <v/>
      </c>
      <c r="UJQ3" s="1" t="str" cm="1">
        <f t="array" ref="UJQ3">GetValue("Dmn","Name",UJQ2)</f>
        <v/>
      </c>
      <c r="UJR3" s="1" t="str" cm="1">
        <f t="array" ref="UJR3">GetValue("Dmn","Name",UJR2)</f>
        <v/>
      </c>
      <c r="UJS3" s="1" t="str" cm="1">
        <f t="array" ref="UJS3">GetValue("Dmn","Name",UJS2)</f>
        <v/>
      </c>
      <c r="UJT3" s="1" t="str" cm="1">
        <f t="array" ref="UJT3">GetValue("Dmn","Name",UJT2)</f>
        <v/>
      </c>
      <c r="UJU3" s="1" t="str" cm="1">
        <f t="array" ref="UJU3">GetValue("Dmn","Name",UJU2)</f>
        <v/>
      </c>
      <c r="UJV3" s="1" t="str" cm="1">
        <f t="array" ref="UJV3">GetValue("Dmn","Name",UJV2)</f>
        <v/>
      </c>
      <c r="UJW3" s="1" t="str" cm="1">
        <f t="array" ref="UJW3">GetValue("Dmn","Name",UJW2)</f>
        <v/>
      </c>
      <c r="UJX3" s="1" t="str" cm="1">
        <f t="array" ref="UJX3">GetValue("Dmn","Name",UJX2)</f>
        <v/>
      </c>
      <c r="UJY3" s="1" t="str" cm="1">
        <f t="array" ref="UJY3">GetValue("Dmn","Name",UJY2)</f>
        <v/>
      </c>
      <c r="UJZ3" s="1" t="str" cm="1">
        <f t="array" ref="UJZ3">GetValue("Dmn","Name",UJZ2)</f>
        <v/>
      </c>
      <c r="UKA3" s="1" t="str" cm="1">
        <f t="array" ref="UKA3">GetValue("Dmn","Name",UKA2)</f>
        <v/>
      </c>
      <c r="UKB3" s="1" t="str" cm="1">
        <f t="array" ref="UKB3">GetValue("Dmn","Name",UKB2)</f>
        <v/>
      </c>
      <c r="UKC3" s="1" t="str" cm="1">
        <f t="array" ref="UKC3">GetValue("Dmn","Name",UKC2)</f>
        <v/>
      </c>
      <c r="UKD3" s="1" t="str" cm="1">
        <f t="array" ref="UKD3">GetValue("Dmn","Name",UKD2)</f>
        <v/>
      </c>
      <c r="UKE3" s="1" t="str" cm="1">
        <f t="array" ref="UKE3">GetValue("Dmn","Name",UKE2)</f>
        <v/>
      </c>
      <c r="UKF3" s="1" t="str" cm="1">
        <f t="array" ref="UKF3">GetValue("Dmn","Name",UKF2)</f>
        <v/>
      </c>
      <c r="UKG3" s="1" t="str" cm="1">
        <f t="array" ref="UKG3">GetValue("Dmn","Name",UKG2)</f>
        <v/>
      </c>
      <c r="UKH3" s="1" t="str" cm="1">
        <f t="array" ref="UKH3">GetValue("Dmn","Name",UKH2)</f>
        <v/>
      </c>
      <c r="UKI3" s="1" t="str" cm="1">
        <f t="array" ref="UKI3">GetValue("Dmn","Name",UKI2)</f>
        <v/>
      </c>
      <c r="UKJ3" s="1" t="str" cm="1">
        <f t="array" ref="UKJ3">GetValue("Dmn","Name",UKJ2)</f>
        <v/>
      </c>
      <c r="UKK3" s="1" t="str" cm="1">
        <f t="array" ref="UKK3">GetValue("Dmn","Name",UKK2)</f>
        <v/>
      </c>
      <c r="UKL3" s="1" t="str" cm="1">
        <f t="array" ref="UKL3">GetValue("Dmn","Name",UKL2)</f>
        <v/>
      </c>
      <c r="UKM3" s="1" t="str" cm="1">
        <f t="array" ref="UKM3">GetValue("Dmn","Name",UKM2)</f>
        <v/>
      </c>
      <c r="UKN3" s="1" t="str" cm="1">
        <f t="array" ref="UKN3">GetValue("Dmn","Name",UKN2)</f>
        <v/>
      </c>
      <c r="UKO3" s="1" t="str" cm="1">
        <f t="array" ref="UKO3">GetValue("Dmn","Name",UKO2)</f>
        <v/>
      </c>
      <c r="UKP3" s="1" t="str" cm="1">
        <f t="array" ref="UKP3">GetValue("Dmn","Name",UKP2)</f>
        <v/>
      </c>
      <c r="UKQ3" s="1" t="str" cm="1">
        <f t="array" ref="UKQ3">GetValue("Dmn","Name",UKQ2)</f>
        <v/>
      </c>
      <c r="UKR3" s="1" t="str" cm="1">
        <f t="array" ref="UKR3">GetValue("Dmn","Name",UKR2)</f>
        <v/>
      </c>
      <c r="UKS3" s="1" t="str" cm="1">
        <f t="array" ref="UKS3">GetValue("Dmn","Name",UKS2)</f>
        <v/>
      </c>
      <c r="UKT3" s="1" t="str" cm="1">
        <f t="array" ref="UKT3">GetValue("Dmn","Name",UKT2)</f>
        <v/>
      </c>
      <c r="UKU3" s="1" t="str" cm="1">
        <f t="array" ref="UKU3">GetValue("Dmn","Name",UKU2)</f>
        <v/>
      </c>
      <c r="UKV3" s="1" t="str" cm="1">
        <f t="array" ref="UKV3">GetValue("Dmn","Name",UKV2)</f>
        <v/>
      </c>
      <c r="UKW3" s="1" t="str" cm="1">
        <f t="array" ref="UKW3">GetValue("Dmn","Name",UKW2)</f>
        <v/>
      </c>
      <c r="UKX3" s="1" t="str" cm="1">
        <f t="array" ref="UKX3">GetValue("Dmn","Name",UKX2)</f>
        <v/>
      </c>
      <c r="UKY3" s="1" t="str" cm="1">
        <f t="array" ref="UKY3">GetValue("Dmn","Name",UKY2)</f>
        <v/>
      </c>
      <c r="UKZ3" s="1" t="str" cm="1">
        <f t="array" ref="UKZ3">GetValue("Dmn","Name",UKZ2)</f>
        <v/>
      </c>
      <c r="ULA3" s="1" t="str" cm="1">
        <f t="array" ref="ULA3">GetValue("Dmn","Name",ULA2)</f>
        <v/>
      </c>
      <c r="ULB3" s="1" t="str" cm="1">
        <f t="array" ref="ULB3">GetValue("Dmn","Name",ULB2)</f>
        <v/>
      </c>
      <c r="ULC3" s="1" t="str" cm="1">
        <f t="array" ref="ULC3">GetValue("Dmn","Name",ULC2)</f>
        <v/>
      </c>
      <c r="ULD3" s="1" t="str" cm="1">
        <f t="array" ref="ULD3">GetValue("Dmn","Name",ULD2)</f>
        <v/>
      </c>
      <c r="ULE3" s="1" t="str" cm="1">
        <f t="array" ref="ULE3">GetValue("Dmn","Name",ULE2)</f>
        <v/>
      </c>
      <c r="ULF3" s="1" t="str" cm="1">
        <f t="array" ref="ULF3">GetValue("Dmn","Name",ULF2)</f>
        <v/>
      </c>
      <c r="ULG3" s="1" t="str" cm="1">
        <f t="array" ref="ULG3">GetValue("Dmn","Name",ULG2)</f>
        <v/>
      </c>
      <c r="ULH3" s="1" t="str" cm="1">
        <f t="array" ref="ULH3">GetValue("Dmn","Name",ULH2)</f>
        <v/>
      </c>
      <c r="ULI3" s="1" t="str" cm="1">
        <f t="array" ref="ULI3">GetValue("Dmn","Name",ULI2)</f>
        <v/>
      </c>
      <c r="ULJ3" s="1" t="str" cm="1">
        <f t="array" ref="ULJ3">GetValue("Dmn","Name",ULJ2)</f>
        <v/>
      </c>
      <c r="ULK3" s="1" t="str" cm="1">
        <f t="array" ref="ULK3">GetValue("Dmn","Name",ULK2)</f>
        <v/>
      </c>
      <c r="ULL3" s="1" t="str" cm="1">
        <f t="array" ref="ULL3">GetValue("Dmn","Name",ULL2)</f>
        <v/>
      </c>
      <c r="ULM3" s="1" t="str" cm="1">
        <f t="array" ref="ULM3">GetValue("Dmn","Name",ULM2)</f>
        <v/>
      </c>
      <c r="ULN3" s="1" t="str" cm="1">
        <f t="array" ref="ULN3">GetValue("Dmn","Name",ULN2)</f>
        <v/>
      </c>
      <c r="ULO3" s="1" t="str" cm="1">
        <f t="array" ref="ULO3">GetValue("Dmn","Name",ULO2)</f>
        <v/>
      </c>
      <c r="ULP3" s="1" t="str" cm="1">
        <f t="array" ref="ULP3">GetValue("Dmn","Name",ULP2)</f>
        <v/>
      </c>
      <c r="ULQ3" s="1" t="str" cm="1">
        <f t="array" ref="ULQ3">GetValue("Dmn","Name",ULQ2)</f>
        <v/>
      </c>
      <c r="ULR3" s="1" t="str" cm="1">
        <f t="array" ref="ULR3">GetValue("Dmn","Name",ULR2)</f>
        <v/>
      </c>
      <c r="ULS3" s="1" t="str" cm="1">
        <f t="array" ref="ULS3">GetValue("Dmn","Name",ULS2)</f>
        <v/>
      </c>
      <c r="ULT3" s="1" t="str" cm="1">
        <f t="array" ref="ULT3">GetValue("Dmn","Name",ULT2)</f>
        <v/>
      </c>
      <c r="ULU3" s="1" t="str" cm="1">
        <f t="array" ref="ULU3">GetValue("Dmn","Name",ULU2)</f>
        <v/>
      </c>
      <c r="ULV3" s="1" t="str" cm="1">
        <f t="array" ref="ULV3">GetValue("Dmn","Name",ULV2)</f>
        <v/>
      </c>
      <c r="ULW3" s="1" t="str" cm="1">
        <f t="array" ref="ULW3">GetValue("Dmn","Name",ULW2)</f>
        <v/>
      </c>
      <c r="ULX3" s="1" t="str" cm="1">
        <f t="array" ref="ULX3">GetValue("Dmn","Name",ULX2)</f>
        <v/>
      </c>
      <c r="ULY3" s="1" t="str" cm="1">
        <f t="array" ref="ULY3">GetValue("Dmn","Name",ULY2)</f>
        <v/>
      </c>
      <c r="ULZ3" s="1" t="str" cm="1">
        <f t="array" ref="ULZ3">GetValue("Dmn","Name",ULZ2)</f>
        <v/>
      </c>
      <c r="UMA3" s="1" t="str" cm="1">
        <f t="array" ref="UMA3">GetValue("Dmn","Name",UMA2)</f>
        <v/>
      </c>
      <c r="UMB3" s="1" t="str" cm="1">
        <f t="array" ref="UMB3">GetValue("Dmn","Name",UMB2)</f>
        <v/>
      </c>
      <c r="UMC3" s="1" t="str" cm="1">
        <f t="array" ref="UMC3">GetValue("Dmn","Name",UMC2)</f>
        <v/>
      </c>
      <c r="UMD3" s="1" t="str" cm="1">
        <f t="array" ref="UMD3">GetValue("Dmn","Name",UMD2)</f>
        <v/>
      </c>
      <c r="UME3" s="1" t="str" cm="1">
        <f t="array" ref="UME3">GetValue("Dmn","Name",UME2)</f>
        <v/>
      </c>
      <c r="UMF3" s="1" t="str" cm="1">
        <f t="array" ref="UMF3">GetValue("Dmn","Name",UMF2)</f>
        <v/>
      </c>
      <c r="UMG3" s="1" t="str" cm="1">
        <f t="array" ref="UMG3">GetValue("Dmn","Name",UMG2)</f>
        <v/>
      </c>
      <c r="UMH3" s="1" t="str" cm="1">
        <f t="array" ref="UMH3">GetValue("Dmn","Name",UMH2)</f>
        <v/>
      </c>
      <c r="UMI3" s="1" t="str" cm="1">
        <f t="array" ref="UMI3">GetValue("Dmn","Name",UMI2)</f>
        <v/>
      </c>
      <c r="UMJ3" s="1" t="str" cm="1">
        <f t="array" ref="UMJ3">GetValue("Dmn","Name",UMJ2)</f>
        <v/>
      </c>
      <c r="UMK3" s="1" t="str" cm="1">
        <f t="array" ref="UMK3">GetValue("Dmn","Name",UMK2)</f>
        <v/>
      </c>
      <c r="UML3" s="1" t="str" cm="1">
        <f t="array" ref="UML3">GetValue("Dmn","Name",UML2)</f>
        <v/>
      </c>
      <c r="UMM3" s="1" t="str" cm="1">
        <f t="array" ref="UMM3">GetValue("Dmn","Name",UMM2)</f>
        <v/>
      </c>
      <c r="UMN3" s="1" t="str" cm="1">
        <f t="array" ref="UMN3">GetValue("Dmn","Name",UMN2)</f>
        <v/>
      </c>
      <c r="UMO3" s="1" t="str" cm="1">
        <f t="array" ref="UMO3">GetValue("Dmn","Name",UMO2)</f>
        <v/>
      </c>
      <c r="UMP3" s="1" t="str" cm="1">
        <f t="array" ref="UMP3">GetValue("Dmn","Name",UMP2)</f>
        <v/>
      </c>
      <c r="UMQ3" s="1" t="str" cm="1">
        <f t="array" ref="UMQ3">GetValue("Dmn","Name",UMQ2)</f>
        <v/>
      </c>
      <c r="UMR3" s="1" t="str" cm="1">
        <f t="array" ref="UMR3">GetValue("Dmn","Name",UMR2)</f>
        <v/>
      </c>
      <c r="UMS3" s="1" t="str" cm="1">
        <f t="array" ref="UMS3">GetValue("Dmn","Name",UMS2)</f>
        <v/>
      </c>
      <c r="UMT3" s="1" t="str" cm="1">
        <f t="array" ref="UMT3">GetValue("Dmn","Name",UMT2)</f>
        <v/>
      </c>
      <c r="UMU3" s="1" t="str" cm="1">
        <f t="array" ref="UMU3">GetValue("Dmn","Name",UMU2)</f>
        <v/>
      </c>
      <c r="UMV3" s="1" t="str" cm="1">
        <f t="array" ref="UMV3">GetValue("Dmn","Name",UMV2)</f>
        <v/>
      </c>
      <c r="UMW3" s="1" t="str" cm="1">
        <f t="array" ref="UMW3">GetValue("Dmn","Name",UMW2)</f>
        <v/>
      </c>
      <c r="UMX3" s="1" t="str" cm="1">
        <f t="array" ref="UMX3">GetValue("Dmn","Name",UMX2)</f>
        <v/>
      </c>
      <c r="UMY3" s="1" t="str" cm="1">
        <f t="array" ref="UMY3">GetValue("Dmn","Name",UMY2)</f>
        <v/>
      </c>
      <c r="UMZ3" s="1" t="str" cm="1">
        <f t="array" ref="UMZ3">GetValue("Dmn","Name",UMZ2)</f>
        <v/>
      </c>
      <c r="UNA3" s="1" t="str" cm="1">
        <f t="array" ref="UNA3">GetValue("Dmn","Name",UNA2)</f>
        <v/>
      </c>
      <c r="UNB3" s="1" t="str" cm="1">
        <f t="array" ref="UNB3">GetValue("Dmn","Name",UNB2)</f>
        <v/>
      </c>
      <c r="UNC3" s="1" t="str" cm="1">
        <f t="array" ref="UNC3">GetValue("Dmn","Name",UNC2)</f>
        <v/>
      </c>
      <c r="UND3" s="1" t="str" cm="1">
        <f t="array" ref="UND3">GetValue("Dmn","Name",UND2)</f>
        <v/>
      </c>
      <c r="UNE3" s="1" t="str" cm="1">
        <f t="array" ref="UNE3">GetValue("Dmn","Name",UNE2)</f>
        <v/>
      </c>
      <c r="UNF3" s="1" t="str" cm="1">
        <f t="array" ref="UNF3">GetValue("Dmn","Name",UNF2)</f>
        <v/>
      </c>
      <c r="UNG3" s="1" t="str" cm="1">
        <f t="array" ref="UNG3">GetValue("Dmn","Name",UNG2)</f>
        <v/>
      </c>
      <c r="UNH3" s="1" t="str" cm="1">
        <f t="array" ref="UNH3">GetValue("Dmn","Name",UNH2)</f>
        <v/>
      </c>
      <c r="UNI3" s="1" t="str" cm="1">
        <f t="array" ref="UNI3">GetValue("Dmn","Name",UNI2)</f>
        <v/>
      </c>
      <c r="UNJ3" s="1" t="str" cm="1">
        <f t="array" ref="UNJ3">GetValue("Dmn","Name",UNJ2)</f>
        <v/>
      </c>
      <c r="UNK3" s="1" t="str" cm="1">
        <f t="array" ref="UNK3">GetValue("Dmn","Name",UNK2)</f>
        <v/>
      </c>
      <c r="UNL3" s="1" t="str" cm="1">
        <f t="array" ref="UNL3">GetValue("Dmn","Name",UNL2)</f>
        <v/>
      </c>
      <c r="UNM3" s="1" t="str" cm="1">
        <f t="array" ref="UNM3">GetValue("Dmn","Name",UNM2)</f>
        <v/>
      </c>
      <c r="UNN3" s="1" t="str" cm="1">
        <f t="array" ref="UNN3">GetValue("Dmn","Name",UNN2)</f>
        <v/>
      </c>
      <c r="UNO3" s="1" t="str" cm="1">
        <f t="array" ref="UNO3">GetValue("Dmn","Name",UNO2)</f>
        <v/>
      </c>
      <c r="UNP3" s="1" t="str" cm="1">
        <f t="array" ref="UNP3">GetValue("Dmn","Name",UNP2)</f>
        <v/>
      </c>
      <c r="UNQ3" s="1" t="str" cm="1">
        <f t="array" ref="UNQ3">GetValue("Dmn","Name",UNQ2)</f>
        <v/>
      </c>
      <c r="UNR3" s="1" t="str" cm="1">
        <f t="array" ref="UNR3">GetValue("Dmn","Name",UNR2)</f>
        <v/>
      </c>
      <c r="UNS3" s="1" t="str" cm="1">
        <f t="array" ref="UNS3">GetValue("Dmn","Name",UNS2)</f>
        <v/>
      </c>
      <c r="UNT3" s="1" t="str" cm="1">
        <f t="array" ref="UNT3">GetValue("Dmn","Name",UNT2)</f>
        <v/>
      </c>
      <c r="UNU3" s="1" t="str" cm="1">
        <f t="array" ref="UNU3">GetValue("Dmn","Name",UNU2)</f>
        <v/>
      </c>
      <c r="UNV3" s="1" t="str" cm="1">
        <f t="array" ref="UNV3">GetValue("Dmn","Name",UNV2)</f>
        <v/>
      </c>
      <c r="UNW3" s="1" t="str" cm="1">
        <f t="array" ref="UNW3">GetValue("Dmn","Name",UNW2)</f>
        <v/>
      </c>
      <c r="UNX3" s="1" t="str" cm="1">
        <f t="array" ref="UNX3">GetValue("Dmn","Name",UNX2)</f>
        <v/>
      </c>
      <c r="UNY3" s="1" t="str" cm="1">
        <f t="array" ref="UNY3">GetValue("Dmn","Name",UNY2)</f>
        <v/>
      </c>
      <c r="UNZ3" s="1" t="str" cm="1">
        <f t="array" ref="UNZ3">GetValue("Dmn","Name",UNZ2)</f>
        <v/>
      </c>
      <c r="UOA3" s="1" t="str" cm="1">
        <f t="array" ref="UOA3">GetValue("Dmn","Name",UOA2)</f>
        <v/>
      </c>
      <c r="UOB3" s="1" t="str" cm="1">
        <f t="array" ref="UOB3">GetValue("Dmn","Name",UOB2)</f>
        <v/>
      </c>
      <c r="UOC3" s="1" t="str" cm="1">
        <f t="array" ref="UOC3">GetValue("Dmn","Name",UOC2)</f>
        <v/>
      </c>
      <c r="UOD3" s="1" t="str" cm="1">
        <f t="array" ref="UOD3">GetValue("Dmn","Name",UOD2)</f>
        <v/>
      </c>
      <c r="UOE3" s="1" t="str" cm="1">
        <f t="array" ref="UOE3">GetValue("Dmn","Name",UOE2)</f>
        <v/>
      </c>
      <c r="UOF3" s="1" t="str" cm="1">
        <f t="array" ref="UOF3">GetValue("Dmn","Name",UOF2)</f>
        <v/>
      </c>
      <c r="UOG3" s="1" t="str" cm="1">
        <f t="array" ref="UOG3">GetValue("Dmn","Name",UOG2)</f>
        <v/>
      </c>
      <c r="UOH3" s="1" t="str" cm="1">
        <f t="array" ref="UOH3">GetValue("Dmn","Name",UOH2)</f>
        <v/>
      </c>
      <c r="UOI3" s="1" t="str" cm="1">
        <f t="array" ref="UOI3">GetValue("Dmn","Name",UOI2)</f>
        <v/>
      </c>
      <c r="UOJ3" s="1" t="str" cm="1">
        <f t="array" ref="UOJ3">GetValue("Dmn","Name",UOJ2)</f>
        <v/>
      </c>
      <c r="UOK3" s="1" t="str" cm="1">
        <f t="array" ref="UOK3">GetValue("Dmn","Name",UOK2)</f>
        <v/>
      </c>
      <c r="UOL3" s="1" t="str" cm="1">
        <f t="array" ref="UOL3">GetValue("Dmn","Name",UOL2)</f>
        <v/>
      </c>
      <c r="UOM3" s="1" t="str" cm="1">
        <f t="array" ref="UOM3">GetValue("Dmn","Name",UOM2)</f>
        <v/>
      </c>
      <c r="UON3" s="1" t="str" cm="1">
        <f t="array" ref="UON3">GetValue("Dmn","Name",UON2)</f>
        <v/>
      </c>
      <c r="UOO3" s="1" t="str" cm="1">
        <f t="array" ref="UOO3">GetValue("Dmn","Name",UOO2)</f>
        <v/>
      </c>
      <c r="UOP3" s="1" t="str" cm="1">
        <f t="array" ref="UOP3">GetValue("Dmn","Name",UOP2)</f>
        <v/>
      </c>
      <c r="UOQ3" s="1" t="str" cm="1">
        <f t="array" ref="UOQ3">GetValue("Dmn","Name",UOQ2)</f>
        <v/>
      </c>
      <c r="UOR3" s="1" t="str" cm="1">
        <f t="array" ref="UOR3">GetValue("Dmn","Name",UOR2)</f>
        <v/>
      </c>
      <c r="UOS3" s="1" t="str" cm="1">
        <f t="array" ref="UOS3">GetValue("Dmn","Name",UOS2)</f>
        <v/>
      </c>
      <c r="UOT3" s="1" t="str" cm="1">
        <f t="array" ref="UOT3">GetValue("Dmn","Name",UOT2)</f>
        <v/>
      </c>
      <c r="UOU3" s="1" t="str" cm="1">
        <f t="array" ref="UOU3">GetValue("Dmn","Name",UOU2)</f>
        <v/>
      </c>
      <c r="UOV3" s="1" t="str" cm="1">
        <f t="array" ref="UOV3">GetValue("Dmn","Name",UOV2)</f>
        <v/>
      </c>
      <c r="UOW3" s="1" t="str" cm="1">
        <f t="array" ref="UOW3">GetValue("Dmn","Name",UOW2)</f>
        <v/>
      </c>
      <c r="UOX3" s="1" t="str" cm="1">
        <f t="array" ref="UOX3">GetValue("Dmn","Name",UOX2)</f>
        <v/>
      </c>
      <c r="UOY3" s="1" t="str" cm="1">
        <f t="array" ref="UOY3">GetValue("Dmn","Name",UOY2)</f>
        <v/>
      </c>
      <c r="UOZ3" s="1" t="str" cm="1">
        <f t="array" ref="UOZ3">GetValue("Dmn","Name",UOZ2)</f>
        <v/>
      </c>
      <c r="UPA3" s="1" t="str" cm="1">
        <f t="array" ref="UPA3">GetValue("Dmn","Name",UPA2)</f>
        <v/>
      </c>
      <c r="UPB3" s="1" t="str" cm="1">
        <f t="array" ref="UPB3">GetValue("Dmn","Name",UPB2)</f>
        <v/>
      </c>
      <c r="UPC3" s="1" t="str" cm="1">
        <f t="array" ref="UPC3">GetValue("Dmn","Name",UPC2)</f>
        <v/>
      </c>
      <c r="UPD3" s="1" t="str" cm="1">
        <f t="array" ref="UPD3">GetValue("Dmn","Name",UPD2)</f>
        <v/>
      </c>
      <c r="UPE3" s="1" t="str" cm="1">
        <f t="array" ref="UPE3">GetValue("Dmn","Name",UPE2)</f>
        <v/>
      </c>
      <c r="UPF3" s="1" t="str" cm="1">
        <f t="array" ref="UPF3">GetValue("Dmn","Name",UPF2)</f>
        <v/>
      </c>
      <c r="UPG3" s="1" t="str" cm="1">
        <f t="array" ref="UPG3">GetValue("Dmn","Name",UPG2)</f>
        <v/>
      </c>
      <c r="UPH3" s="1" t="str" cm="1">
        <f t="array" ref="UPH3">GetValue("Dmn","Name",UPH2)</f>
        <v/>
      </c>
      <c r="UPI3" s="1" t="str" cm="1">
        <f t="array" ref="UPI3">GetValue("Dmn","Name",UPI2)</f>
        <v/>
      </c>
      <c r="UPJ3" s="1" t="str" cm="1">
        <f t="array" ref="UPJ3">GetValue("Dmn","Name",UPJ2)</f>
        <v/>
      </c>
      <c r="UPK3" s="1" t="str" cm="1">
        <f t="array" ref="UPK3">GetValue("Dmn","Name",UPK2)</f>
        <v/>
      </c>
      <c r="UPL3" s="1" t="str" cm="1">
        <f t="array" ref="UPL3">GetValue("Dmn","Name",UPL2)</f>
        <v/>
      </c>
      <c r="UPM3" s="1" t="str" cm="1">
        <f t="array" ref="UPM3">GetValue("Dmn","Name",UPM2)</f>
        <v/>
      </c>
      <c r="UPN3" s="1" t="str" cm="1">
        <f t="array" ref="UPN3">GetValue("Dmn","Name",UPN2)</f>
        <v/>
      </c>
      <c r="UPO3" s="1" t="str" cm="1">
        <f t="array" ref="UPO3">GetValue("Dmn","Name",UPO2)</f>
        <v/>
      </c>
      <c r="UPP3" s="1" t="str" cm="1">
        <f t="array" ref="UPP3">GetValue("Dmn","Name",UPP2)</f>
        <v/>
      </c>
      <c r="UPQ3" s="1" t="str" cm="1">
        <f t="array" ref="UPQ3">GetValue("Dmn","Name",UPQ2)</f>
        <v/>
      </c>
      <c r="UPR3" s="1" t="str" cm="1">
        <f t="array" ref="UPR3">GetValue("Dmn","Name",UPR2)</f>
        <v/>
      </c>
      <c r="UPS3" s="1" t="str" cm="1">
        <f t="array" ref="UPS3">GetValue("Dmn","Name",UPS2)</f>
        <v/>
      </c>
      <c r="UPT3" s="1" t="str" cm="1">
        <f t="array" ref="UPT3">GetValue("Dmn","Name",UPT2)</f>
        <v/>
      </c>
      <c r="UPU3" s="1" t="str" cm="1">
        <f t="array" ref="UPU3">GetValue("Dmn","Name",UPU2)</f>
        <v/>
      </c>
      <c r="UPV3" s="1" t="str" cm="1">
        <f t="array" ref="UPV3">GetValue("Dmn","Name",UPV2)</f>
        <v/>
      </c>
      <c r="UPW3" s="1" t="str" cm="1">
        <f t="array" ref="UPW3">GetValue("Dmn","Name",UPW2)</f>
        <v/>
      </c>
      <c r="UPX3" s="1" t="str" cm="1">
        <f t="array" ref="UPX3">GetValue("Dmn","Name",UPX2)</f>
        <v/>
      </c>
      <c r="UPY3" s="1" t="str" cm="1">
        <f t="array" ref="UPY3">GetValue("Dmn","Name",UPY2)</f>
        <v/>
      </c>
      <c r="UPZ3" s="1" t="str" cm="1">
        <f t="array" ref="UPZ3">GetValue("Dmn","Name",UPZ2)</f>
        <v/>
      </c>
      <c r="UQA3" s="1" t="str" cm="1">
        <f t="array" ref="UQA3">GetValue("Dmn","Name",UQA2)</f>
        <v/>
      </c>
      <c r="UQB3" s="1" t="str" cm="1">
        <f t="array" ref="UQB3">GetValue("Dmn","Name",UQB2)</f>
        <v/>
      </c>
      <c r="UQC3" s="1" t="str" cm="1">
        <f t="array" ref="UQC3">GetValue("Dmn","Name",UQC2)</f>
        <v/>
      </c>
      <c r="UQD3" s="1" t="str" cm="1">
        <f t="array" ref="UQD3">GetValue("Dmn","Name",UQD2)</f>
        <v/>
      </c>
      <c r="UQE3" s="1" t="str" cm="1">
        <f t="array" ref="UQE3">GetValue("Dmn","Name",UQE2)</f>
        <v/>
      </c>
      <c r="UQF3" s="1" t="str" cm="1">
        <f t="array" ref="UQF3">GetValue("Dmn","Name",UQF2)</f>
        <v/>
      </c>
      <c r="UQG3" s="1" t="str" cm="1">
        <f t="array" ref="UQG3">GetValue("Dmn","Name",UQG2)</f>
        <v/>
      </c>
      <c r="UQH3" s="1" t="str" cm="1">
        <f t="array" ref="UQH3">GetValue("Dmn","Name",UQH2)</f>
        <v/>
      </c>
      <c r="UQI3" s="1" t="str" cm="1">
        <f t="array" ref="UQI3">GetValue("Dmn","Name",UQI2)</f>
        <v/>
      </c>
      <c r="UQJ3" s="1" t="str" cm="1">
        <f t="array" ref="UQJ3">GetValue("Dmn","Name",UQJ2)</f>
        <v/>
      </c>
      <c r="UQK3" s="1" t="str" cm="1">
        <f t="array" ref="UQK3">GetValue("Dmn","Name",UQK2)</f>
        <v/>
      </c>
      <c r="UQL3" s="1" t="str" cm="1">
        <f t="array" ref="UQL3">GetValue("Dmn","Name",UQL2)</f>
        <v/>
      </c>
      <c r="UQM3" s="1" t="str" cm="1">
        <f t="array" ref="UQM3">GetValue("Dmn","Name",UQM2)</f>
        <v/>
      </c>
      <c r="UQN3" s="1" t="str" cm="1">
        <f t="array" ref="UQN3">GetValue("Dmn","Name",UQN2)</f>
        <v/>
      </c>
      <c r="UQO3" s="1" t="str" cm="1">
        <f t="array" ref="UQO3">GetValue("Dmn","Name",UQO2)</f>
        <v/>
      </c>
      <c r="UQP3" s="1" t="str" cm="1">
        <f t="array" ref="UQP3">GetValue("Dmn","Name",UQP2)</f>
        <v/>
      </c>
      <c r="UQQ3" s="1" t="str" cm="1">
        <f t="array" ref="UQQ3">GetValue("Dmn","Name",UQQ2)</f>
        <v/>
      </c>
      <c r="UQR3" s="1" t="str" cm="1">
        <f t="array" ref="UQR3">GetValue("Dmn","Name",UQR2)</f>
        <v/>
      </c>
      <c r="UQS3" s="1" t="str" cm="1">
        <f t="array" ref="UQS3">GetValue("Dmn","Name",UQS2)</f>
        <v/>
      </c>
      <c r="UQT3" s="1" t="str" cm="1">
        <f t="array" ref="UQT3">GetValue("Dmn","Name",UQT2)</f>
        <v/>
      </c>
      <c r="UQU3" s="1" t="str" cm="1">
        <f t="array" ref="UQU3">GetValue("Dmn","Name",UQU2)</f>
        <v/>
      </c>
      <c r="UQV3" s="1" t="str" cm="1">
        <f t="array" ref="UQV3">GetValue("Dmn","Name",UQV2)</f>
        <v/>
      </c>
      <c r="UQW3" s="1" t="str" cm="1">
        <f t="array" ref="UQW3">GetValue("Dmn","Name",UQW2)</f>
        <v/>
      </c>
      <c r="UQX3" s="1" t="str" cm="1">
        <f t="array" ref="UQX3">GetValue("Dmn","Name",UQX2)</f>
        <v/>
      </c>
      <c r="UQY3" s="1" t="str" cm="1">
        <f t="array" ref="UQY3">GetValue("Dmn","Name",UQY2)</f>
        <v/>
      </c>
      <c r="UQZ3" s="1" t="str" cm="1">
        <f t="array" ref="UQZ3">GetValue("Dmn","Name",UQZ2)</f>
        <v/>
      </c>
      <c r="URA3" s="1" t="str" cm="1">
        <f t="array" ref="URA3">GetValue("Dmn","Name",URA2)</f>
        <v/>
      </c>
      <c r="URB3" s="1" t="str" cm="1">
        <f t="array" ref="URB3">GetValue("Dmn","Name",URB2)</f>
        <v/>
      </c>
      <c r="URC3" s="1" t="str" cm="1">
        <f t="array" ref="URC3">GetValue("Dmn","Name",URC2)</f>
        <v/>
      </c>
      <c r="URD3" s="1" t="str" cm="1">
        <f t="array" ref="URD3">GetValue("Dmn","Name",URD2)</f>
        <v/>
      </c>
      <c r="URE3" s="1" t="str" cm="1">
        <f t="array" ref="URE3">GetValue("Dmn","Name",URE2)</f>
        <v/>
      </c>
      <c r="URF3" s="1" t="str" cm="1">
        <f t="array" ref="URF3">GetValue("Dmn","Name",URF2)</f>
        <v/>
      </c>
      <c r="URG3" s="1" t="str" cm="1">
        <f t="array" ref="URG3">GetValue("Dmn","Name",URG2)</f>
        <v/>
      </c>
      <c r="URH3" s="1" t="str" cm="1">
        <f t="array" ref="URH3">GetValue("Dmn","Name",URH2)</f>
        <v/>
      </c>
      <c r="URI3" s="1" t="str" cm="1">
        <f t="array" ref="URI3">GetValue("Dmn","Name",URI2)</f>
        <v/>
      </c>
      <c r="URJ3" s="1" t="str" cm="1">
        <f t="array" ref="URJ3">GetValue("Dmn","Name",URJ2)</f>
        <v/>
      </c>
      <c r="URK3" s="1" t="str" cm="1">
        <f t="array" ref="URK3">GetValue("Dmn","Name",URK2)</f>
        <v/>
      </c>
      <c r="URL3" s="1" t="str" cm="1">
        <f t="array" ref="URL3">GetValue("Dmn","Name",URL2)</f>
        <v/>
      </c>
      <c r="URM3" s="1" t="str" cm="1">
        <f t="array" ref="URM3">GetValue("Dmn","Name",URM2)</f>
        <v/>
      </c>
      <c r="URN3" s="1" t="str" cm="1">
        <f t="array" ref="URN3">GetValue("Dmn","Name",URN2)</f>
        <v/>
      </c>
      <c r="URO3" s="1" t="str" cm="1">
        <f t="array" ref="URO3">GetValue("Dmn","Name",URO2)</f>
        <v/>
      </c>
      <c r="URP3" s="1" t="str" cm="1">
        <f t="array" ref="URP3">GetValue("Dmn","Name",URP2)</f>
        <v/>
      </c>
      <c r="URQ3" s="1" t="str" cm="1">
        <f t="array" ref="URQ3">GetValue("Dmn","Name",URQ2)</f>
        <v/>
      </c>
      <c r="URR3" s="1" t="str" cm="1">
        <f t="array" ref="URR3">GetValue("Dmn","Name",URR2)</f>
        <v/>
      </c>
      <c r="URS3" s="1" t="str" cm="1">
        <f t="array" ref="URS3">GetValue("Dmn","Name",URS2)</f>
        <v/>
      </c>
      <c r="URT3" s="1" t="str" cm="1">
        <f t="array" ref="URT3">GetValue("Dmn","Name",URT2)</f>
        <v/>
      </c>
      <c r="URU3" s="1" t="str" cm="1">
        <f t="array" ref="URU3">GetValue("Dmn","Name",URU2)</f>
        <v/>
      </c>
      <c r="URV3" s="1" t="str" cm="1">
        <f t="array" ref="URV3">GetValue("Dmn","Name",URV2)</f>
        <v/>
      </c>
      <c r="URW3" s="1" t="str" cm="1">
        <f t="array" ref="URW3">GetValue("Dmn","Name",URW2)</f>
        <v/>
      </c>
      <c r="URX3" s="1" t="str" cm="1">
        <f t="array" ref="URX3">GetValue("Dmn","Name",URX2)</f>
        <v/>
      </c>
      <c r="URY3" s="1" t="str" cm="1">
        <f t="array" ref="URY3">GetValue("Dmn","Name",URY2)</f>
        <v/>
      </c>
      <c r="URZ3" s="1" t="str" cm="1">
        <f t="array" ref="URZ3">GetValue("Dmn","Name",URZ2)</f>
        <v/>
      </c>
      <c r="USA3" s="1" t="str" cm="1">
        <f t="array" ref="USA3">GetValue("Dmn","Name",USA2)</f>
        <v/>
      </c>
      <c r="USB3" s="1" t="str" cm="1">
        <f t="array" ref="USB3">GetValue("Dmn","Name",USB2)</f>
        <v/>
      </c>
      <c r="USC3" s="1" t="str" cm="1">
        <f t="array" ref="USC3">GetValue("Dmn","Name",USC2)</f>
        <v/>
      </c>
      <c r="USD3" s="1" t="str" cm="1">
        <f t="array" ref="USD3">GetValue("Dmn","Name",USD2)</f>
        <v/>
      </c>
      <c r="USE3" s="1" t="str" cm="1">
        <f t="array" ref="USE3">GetValue("Dmn","Name",USE2)</f>
        <v/>
      </c>
      <c r="USF3" s="1" t="str" cm="1">
        <f t="array" ref="USF3">GetValue("Dmn","Name",USF2)</f>
        <v/>
      </c>
      <c r="USG3" s="1" t="str" cm="1">
        <f t="array" ref="USG3">GetValue("Dmn","Name",USG2)</f>
        <v/>
      </c>
      <c r="USH3" s="1" t="str" cm="1">
        <f t="array" ref="USH3">GetValue("Dmn","Name",USH2)</f>
        <v/>
      </c>
      <c r="USI3" s="1" t="str" cm="1">
        <f t="array" ref="USI3">GetValue("Dmn","Name",USI2)</f>
        <v/>
      </c>
      <c r="USJ3" s="1" t="str" cm="1">
        <f t="array" ref="USJ3">GetValue("Dmn","Name",USJ2)</f>
        <v/>
      </c>
      <c r="USK3" s="1" t="str" cm="1">
        <f t="array" ref="USK3">GetValue("Dmn","Name",USK2)</f>
        <v/>
      </c>
      <c r="USL3" s="1" t="str" cm="1">
        <f t="array" ref="USL3">GetValue("Dmn","Name",USL2)</f>
        <v/>
      </c>
      <c r="USM3" s="1" t="str" cm="1">
        <f t="array" ref="USM3">GetValue("Dmn","Name",USM2)</f>
        <v/>
      </c>
      <c r="USN3" s="1" t="str" cm="1">
        <f t="array" ref="USN3">GetValue("Dmn","Name",USN2)</f>
        <v/>
      </c>
      <c r="USO3" s="1" t="str" cm="1">
        <f t="array" ref="USO3">GetValue("Dmn","Name",USO2)</f>
        <v/>
      </c>
      <c r="USP3" s="1" t="str" cm="1">
        <f t="array" ref="USP3">GetValue("Dmn","Name",USP2)</f>
        <v/>
      </c>
      <c r="USQ3" s="1" t="str" cm="1">
        <f t="array" ref="USQ3">GetValue("Dmn","Name",USQ2)</f>
        <v/>
      </c>
      <c r="USR3" s="1" t="str" cm="1">
        <f t="array" ref="USR3">GetValue("Dmn","Name",USR2)</f>
        <v/>
      </c>
      <c r="USS3" s="1" t="str" cm="1">
        <f t="array" ref="USS3">GetValue("Dmn","Name",USS2)</f>
        <v/>
      </c>
      <c r="UST3" s="1" t="str" cm="1">
        <f t="array" ref="UST3">GetValue("Dmn","Name",UST2)</f>
        <v/>
      </c>
      <c r="USU3" s="1" t="str" cm="1">
        <f t="array" ref="USU3">GetValue("Dmn","Name",USU2)</f>
        <v/>
      </c>
      <c r="USV3" s="1" t="str" cm="1">
        <f t="array" ref="USV3">GetValue("Dmn","Name",USV2)</f>
        <v/>
      </c>
      <c r="USW3" s="1" t="str" cm="1">
        <f t="array" ref="USW3">GetValue("Dmn","Name",USW2)</f>
        <v/>
      </c>
      <c r="USX3" s="1" t="str" cm="1">
        <f t="array" ref="USX3">GetValue("Dmn","Name",USX2)</f>
        <v/>
      </c>
      <c r="USY3" s="1" t="str" cm="1">
        <f t="array" ref="USY3">GetValue("Dmn","Name",USY2)</f>
        <v/>
      </c>
      <c r="USZ3" s="1" t="str" cm="1">
        <f t="array" ref="USZ3">GetValue("Dmn","Name",USZ2)</f>
        <v/>
      </c>
      <c r="UTA3" s="1" t="str" cm="1">
        <f t="array" ref="UTA3">GetValue("Dmn","Name",UTA2)</f>
        <v/>
      </c>
      <c r="UTB3" s="1" t="str" cm="1">
        <f t="array" ref="UTB3">GetValue("Dmn","Name",UTB2)</f>
        <v/>
      </c>
      <c r="UTC3" s="1" t="str" cm="1">
        <f t="array" ref="UTC3">GetValue("Dmn","Name",UTC2)</f>
        <v/>
      </c>
      <c r="UTD3" s="1" t="str" cm="1">
        <f t="array" ref="UTD3">GetValue("Dmn","Name",UTD2)</f>
        <v/>
      </c>
      <c r="UTE3" s="1" t="str" cm="1">
        <f t="array" ref="UTE3">GetValue("Dmn","Name",UTE2)</f>
        <v/>
      </c>
      <c r="UTF3" s="1" t="str" cm="1">
        <f t="array" ref="UTF3">GetValue("Dmn","Name",UTF2)</f>
        <v/>
      </c>
      <c r="UTG3" s="1" t="str" cm="1">
        <f t="array" ref="UTG3">GetValue("Dmn","Name",UTG2)</f>
        <v/>
      </c>
      <c r="UTH3" s="1" t="str" cm="1">
        <f t="array" ref="UTH3">GetValue("Dmn","Name",UTH2)</f>
        <v/>
      </c>
      <c r="UTI3" s="1" t="str" cm="1">
        <f t="array" ref="UTI3">GetValue("Dmn","Name",UTI2)</f>
        <v/>
      </c>
      <c r="UTJ3" s="1" t="str" cm="1">
        <f t="array" ref="UTJ3">GetValue("Dmn","Name",UTJ2)</f>
        <v/>
      </c>
      <c r="UTK3" s="1" t="str" cm="1">
        <f t="array" ref="UTK3">GetValue("Dmn","Name",UTK2)</f>
        <v/>
      </c>
      <c r="UTL3" s="1" t="str" cm="1">
        <f t="array" ref="UTL3">GetValue("Dmn","Name",UTL2)</f>
        <v/>
      </c>
      <c r="UTM3" s="1" t="str" cm="1">
        <f t="array" ref="UTM3">GetValue("Dmn","Name",UTM2)</f>
        <v/>
      </c>
      <c r="UTN3" s="1" t="str" cm="1">
        <f t="array" ref="UTN3">GetValue("Dmn","Name",UTN2)</f>
        <v/>
      </c>
      <c r="UTO3" s="1" t="str" cm="1">
        <f t="array" ref="UTO3">GetValue("Dmn","Name",UTO2)</f>
        <v/>
      </c>
      <c r="UTP3" s="1" t="str" cm="1">
        <f t="array" ref="UTP3">GetValue("Dmn","Name",UTP2)</f>
        <v/>
      </c>
      <c r="UTQ3" s="1" t="str" cm="1">
        <f t="array" ref="UTQ3">GetValue("Dmn","Name",UTQ2)</f>
        <v/>
      </c>
      <c r="UTR3" s="1" t="str" cm="1">
        <f t="array" ref="UTR3">GetValue("Dmn","Name",UTR2)</f>
        <v/>
      </c>
      <c r="UTS3" s="1" t="str" cm="1">
        <f t="array" ref="UTS3">GetValue("Dmn","Name",UTS2)</f>
        <v/>
      </c>
      <c r="UTT3" s="1" t="str" cm="1">
        <f t="array" ref="UTT3">GetValue("Dmn","Name",UTT2)</f>
        <v/>
      </c>
      <c r="UTU3" s="1" t="str" cm="1">
        <f t="array" ref="UTU3">GetValue("Dmn","Name",UTU2)</f>
        <v/>
      </c>
      <c r="UTV3" s="1" t="str" cm="1">
        <f t="array" ref="UTV3">GetValue("Dmn","Name",UTV2)</f>
        <v/>
      </c>
      <c r="UTW3" s="1" t="str" cm="1">
        <f t="array" ref="UTW3">GetValue("Dmn","Name",UTW2)</f>
        <v/>
      </c>
      <c r="UTX3" s="1" t="str" cm="1">
        <f t="array" ref="UTX3">GetValue("Dmn","Name",UTX2)</f>
        <v/>
      </c>
      <c r="UTY3" s="1" t="str" cm="1">
        <f t="array" ref="UTY3">GetValue("Dmn","Name",UTY2)</f>
        <v/>
      </c>
      <c r="UTZ3" s="1" t="str" cm="1">
        <f t="array" ref="UTZ3">GetValue("Dmn","Name",UTZ2)</f>
        <v/>
      </c>
      <c r="UUA3" s="1" t="str" cm="1">
        <f t="array" ref="UUA3">GetValue("Dmn","Name",UUA2)</f>
        <v/>
      </c>
      <c r="UUB3" s="1" t="str" cm="1">
        <f t="array" ref="UUB3">GetValue("Dmn","Name",UUB2)</f>
        <v/>
      </c>
      <c r="UUC3" s="1" t="str" cm="1">
        <f t="array" ref="UUC3">GetValue("Dmn","Name",UUC2)</f>
        <v/>
      </c>
      <c r="UUD3" s="1" t="str" cm="1">
        <f t="array" ref="UUD3">GetValue("Dmn","Name",UUD2)</f>
        <v/>
      </c>
      <c r="UUE3" s="1" t="str" cm="1">
        <f t="array" ref="UUE3">GetValue("Dmn","Name",UUE2)</f>
        <v/>
      </c>
      <c r="UUF3" s="1" t="str" cm="1">
        <f t="array" ref="UUF3">GetValue("Dmn","Name",UUF2)</f>
        <v/>
      </c>
      <c r="UUG3" s="1" t="str" cm="1">
        <f t="array" ref="UUG3">GetValue("Dmn","Name",UUG2)</f>
        <v/>
      </c>
      <c r="UUH3" s="1" t="str" cm="1">
        <f t="array" ref="UUH3">GetValue("Dmn","Name",UUH2)</f>
        <v/>
      </c>
      <c r="UUI3" s="1" t="str" cm="1">
        <f t="array" ref="UUI3">GetValue("Dmn","Name",UUI2)</f>
        <v/>
      </c>
      <c r="UUJ3" s="1" t="str" cm="1">
        <f t="array" ref="UUJ3">GetValue("Dmn","Name",UUJ2)</f>
        <v/>
      </c>
      <c r="UUK3" s="1" t="str" cm="1">
        <f t="array" ref="UUK3">GetValue("Dmn","Name",UUK2)</f>
        <v/>
      </c>
      <c r="UUL3" s="1" t="str" cm="1">
        <f t="array" ref="UUL3">GetValue("Dmn","Name",UUL2)</f>
        <v/>
      </c>
      <c r="UUM3" s="1" t="str" cm="1">
        <f t="array" ref="UUM3">GetValue("Dmn","Name",UUM2)</f>
        <v/>
      </c>
      <c r="UUN3" s="1" t="str" cm="1">
        <f t="array" ref="UUN3">GetValue("Dmn","Name",UUN2)</f>
        <v/>
      </c>
      <c r="UUO3" s="1" t="str" cm="1">
        <f t="array" ref="UUO3">GetValue("Dmn","Name",UUO2)</f>
        <v/>
      </c>
      <c r="UUP3" s="1" t="str" cm="1">
        <f t="array" ref="UUP3">GetValue("Dmn","Name",UUP2)</f>
        <v/>
      </c>
      <c r="UUQ3" s="1" t="str" cm="1">
        <f t="array" ref="UUQ3">GetValue("Dmn","Name",UUQ2)</f>
        <v/>
      </c>
      <c r="UUR3" s="1" t="str" cm="1">
        <f t="array" ref="UUR3">GetValue("Dmn","Name",UUR2)</f>
        <v/>
      </c>
      <c r="UUS3" s="1" t="str" cm="1">
        <f t="array" ref="UUS3">GetValue("Dmn","Name",UUS2)</f>
        <v/>
      </c>
      <c r="UUT3" s="1" t="str" cm="1">
        <f t="array" ref="UUT3">GetValue("Dmn","Name",UUT2)</f>
        <v/>
      </c>
      <c r="UUU3" s="1" t="str" cm="1">
        <f t="array" ref="UUU3">GetValue("Dmn","Name",UUU2)</f>
        <v/>
      </c>
      <c r="UUV3" s="1" t="str" cm="1">
        <f t="array" ref="UUV3">GetValue("Dmn","Name",UUV2)</f>
        <v/>
      </c>
      <c r="UUW3" s="1" t="str" cm="1">
        <f t="array" ref="UUW3">GetValue("Dmn","Name",UUW2)</f>
        <v/>
      </c>
      <c r="UUX3" s="1" t="str" cm="1">
        <f t="array" ref="UUX3">GetValue("Dmn","Name",UUX2)</f>
        <v/>
      </c>
      <c r="UUY3" s="1" t="str" cm="1">
        <f t="array" ref="UUY3">GetValue("Dmn","Name",UUY2)</f>
        <v/>
      </c>
      <c r="UUZ3" s="1" t="str" cm="1">
        <f t="array" ref="UUZ3">GetValue("Dmn","Name",UUZ2)</f>
        <v/>
      </c>
      <c r="UVA3" s="1" t="str" cm="1">
        <f t="array" ref="UVA3">GetValue("Dmn","Name",UVA2)</f>
        <v/>
      </c>
      <c r="UVB3" s="1" t="str" cm="1">
        <f t="array" ref="UVB3">GetValue("Dmn","Name",UVB2)</f>
        <v/>
      </c>
      <c r="UVC3" s="1" t="str" cm="1">
        <f t="array" ref="UVC3">GetValue("Dmn","Name",UVC2)</f>
        <v/>
      </c>
      <c r="UVD3" s="1" t="str" cm="1">
        <f t="array" ref="UVD3">GetValue("Dmn","Name",UVD2)</f>
        <v/>
      </c>
      <c r="UVE3" s="1" t="str" cm="1">
        <f t="array" ref="UVE3">GetValue("Dmn","Name",UVE2)</f>
        <v/>
      </c>
      <c r="UVF3" s="1" t="str" cm="1">
        <f t="array" ref="UVF3">GetValue("Dmn","Name",UVF2)</f>
        <v/>
      </c>
      <c r="UVG3" s="1" t="str" cm="1">
        <f t="array" ref="UVG3">GetValue("Dmn","Name",UVG2)</f>
        <v/>
      </c>
      <c r="UVH3" s="1" t="str" cm="1">
        <f t="array" ref="UVH3">GetValue("Dmn","Name",UVH2)</f>
        <v/>
      </c>
      <c r="UVI3" s="1" t="str" cm="1">
        <f t="array" ref="UVI3">GetValue("Dmn","Name",UVI2)</f>
        <v/>
      </c>
      <c r="UVJ3" s="1" t="str" cm="1">
        <f t="array" ref="UVJ3">GetValue("Dmn","Name",UVJ2)</f>
        <v/>
      </c>
      <c r="UVK3" s="1" t="str" cm="1">
        <f t="array" ref="UVK3">GetValue("Dmn","Name",UVK2)</f>
        <v/>
      </c>
      <c r="UVL3" s="1" t="str" cm="1">
        <f t="array" ref="UVL3">GetValue("Dmn","Name",UVL2)</f>
        <v/>
      </c>
      <c r="UVM3" s="1" t="str" cm="1">
        <f t="array" ref="UVM3">GetValue("Dmn","Name",UVM2)</f>
        <v/>
      </c>
      <c r="UVN3" s="1" t="str" cm="1">
        <f t="array" ref="UVN3">GetValue("Dmn","Name",UVN2)</f>
        <v/>
      </c>
      <c r="UVO3" s="1" t="str" cm="1">
        <f t="array" ref="UVO3">GetValue("Dmn","Name",UVO2)</f>
        <v/>
      </c>
      <c r="UVP3" s="1" t="str" cm="1">
        <f t="array" ref="UVP3">GetValue("Dmn","Name",UVP2)</f>
        <v/>
      </c>
      <c r="UVQ3" s="1" t="str" cm="1">
        <f t="array" ref="UVQ3">GetValue("Dmn","Name",UVQ2)</f>
        <v/>
      </c>
      <c r="UVR3" s="1" t="str" cm="1">
        <f t="array" ref="UVR3">GetValue("Dmn","Name",UVR2)</f>
        <v/>
      </c>
      <c r="UVS3" s="1" t="str" cm="1">
        <f t="array" ref="UVS3">GetValue("Dmn","Name",UVS2)</f>
        <v/>
      </c>
      <c r="UVT3" s="1" t="str" cm="1">
        <f t="array" ref="UVT3">GetValue("Dmn","Name",UVT2)</f>
        <v/>
      </c>
      <c r="UVU3" s="1" t="str" cm="1">
        <f t="array" ref="UVU3">GetValue("Dmn","Name",UVU2)</f>
        <v/>
      </c>
      <c r="UVV3" s="1" t="str" cm="1">
        <f t="array" ref="UVV3">GetValue("Dmn","Name",UVV2)</f>
        <v/>
      </c>
      <c r="UVW3" s="1" t="str" cm="1">
        <f t="array" ref="UVW3">GetValue("Dmn","Name",UVW2)</f>
        <v/>
      </c>
      <c r="UVX3" s="1" t="str" cm="1">
        <f t="array" ref="UVX3">GetValue("Dmn","Name",UVX2)</f>
        <v/>
      </c>
      <c r="UVY3" s="1" t="str" cm="1">
        <f t="array" ref="UVY3">GetValue("Dmn","Name",UVY2)</f>
        <v/>
      </c>
      <c r="UVZ3" s="1" t="str" cm="1">
        <f t="array" ref="UVZ3">GetValue("Dmn","Name",UVZ2)</f>
        <v/>
      </c>
      <c r="UWA3" s="1" t="str" cm="1">
        <f t="array" ref="UWA3">GetValue("Dmn","Name",UWA2)</f>
        <v/>
      </c>
      <c r="UWB3" s="1" t="str" cm="1">
        <f t="array" ref="UWB3">GetValue("Dmn","Name",UWB2)</f>
        <v/>
      </c>
      <c r="UWC3" s="1" t="str" cm="1">
        <f t="array" ref="UWC3">GetValue("Dmn","Name",UWC2)</f>
        <v/>
      </c>
      <c r="UWD3" s="1" t="str" cm="1">
        <f t="array" ref="UWD3">GetValue("Dmn","Name",UWD2)</f>
        <v/>
      </c>
      <c r="UWE3" s="1" t="str" cm="1">
        <f t="array" ref="UWE3">GetValue("Dmn","Name",UWE2)</f>
        <v/>
      </c>
      <c r="UWF3" s="1" t="str" cm="1">
        <f t="array" ref="UWF3">GetValue("Dmn","Name",UWF2)</f>
        <v/>
      </c>
      <c r="UWG3" s="1" t="str" cm="1">
        <f t="array" ref="UWG3">GetValue("Dmn","Name",UWG2)</f>
        <v/>
      </c>
      <c r="UWH3" s="1" t="str" cm="1">
        <f t="array" ref="UWH3">GetValue("Dmn","Name",UWH2)</f>
        <v/>
      </c>
      <c r="UWI3" s="1" t="str" cm="1">
        <f t="array" ref="UWI3">GetValue("Dmn","Name",UWI2)</f>
        <v/>
      </c>
      <c r="UWJ3" s="1" t="str" cm="1">
        <f t="array" ref="UWJ3">GetValue("Dmn","Name",UWJ2)</f>
        <v/>
      </c>
      <c r="UWK3" s="1" t="str" cm="1">
        <f t="array" ref="UWK3">GetValue("Dmn","Name",UWK2)</f>
        <v/>
      </c>
      <c r="UWL3" s="1" t="str" cm="1">
        <f t="array" ref="UWL3">GetValue("Dmn","Name",UWL2)</f>
        <v/>
      </c>
      <c r="UWM3" s="1" t="str" cm="1">
        <f t="array" ref="UWM3">GetValue("Dmn","Name",UWM2)</f>
        <v/>
      </c>
      <c r="UWN3" s="1" t="str" cm="1">
        <f t="array" ref="UWN3">GetValue("Dmn","Name",UWN2)</f>
        <v/>
      </c>
      <c r="UWO3" s="1" t="str" cm="1">
        <f t="array" ref="UWO3">GetValue("Dmn","Name",UWO2)</f>
        <v/>
      </c>
      <c r="UWP3" s="1" t="str" cm="1">
        <f t="array" ref="UWP3">GetValue("Dmn","Name",UWP2)</f>
        <v/>
      </c>
      <c r="UWQ3" s="1" t="str" cm="1">
        <f t="array" ref="UWQ3">GetValue("Dmn","Name",UWQ2)</f>
        <v/>
      </c>
      <c r="UWR3" s="1" t="str" cm="1">
        <f t="array" ref="UWR3">GetValue("Dmn","Name",UWR2)</f>
        <v/>
      </c>
      <c r="UWS3" s="1" t="str" cm="1">
        <f t="array" ref="UWS3">GetValue("Dmn","Name",UWS2)</f>
        <v/>
      </c>
      <c r="UWT3" s="1" t="str" cm="1">
        <f t="array" ref="UWT3">GetValue("Dmn","Name",UWT2)</f>
        <v/>
      </c>
      <c r="UWU3" s="1" t="str" cm="1">
        <f t="array" ref="UWU3">GetValue("Dmn","Name",UWU2)</f>
        <v/>
      </c>
      <c r="UWV3" s="1" t="str" cm="1">
        <f t="array" ref="UWV3">GetValue("Dmn","Name",UWV2)</f>
        <v/>
      </c>
      <c r="UWW3" s="1" t="str" cm="1">
        <f t="array" ref="UWW3">GetValue("Dmn","Name",UWW2)</f>
        <v/>
      </c>
      <c r="UWX3" s="1" t="str" cm="1">
        <f t="array" ref="UWX3">GetValue("Dmn","Name",UWX2)</f>
        <v/>
      </c>
      <c r="UWY3" s="1" t="str" cm="1">
        <f t="array" ref="UWY3">GetValue("Dmn","Name",UWY2)</f>
        <v/>
      </c>
      <c r="UWZ3" s="1" t="str" cm="1">
        <f t="array" ref="UWZ3">GetValue("Dmn","Name",UWZ2)</f>
        <v/>
      </c>
      <c r="UXA3" s="1" t="str" cm="1">
        <f t="array" ref="UXA3">GetValue("Dmn","Name",UXA2)</f>
        <v/>
      </c>
      <c r="UXB3" s="1" t="str" cm="1">
        <f t="array" ref="UXB3">GetValue("Dmn","Name",UXB2)</f>
        <v/>
      </c>
      <c r="UXC3" s="1" t="str" cm="1">
        <f t="array" ref="UXC3">GetValue("Dmn","Name",UXC2)</f>
        <v/>
      </c>
      <c r="UXD3" s="1" t="str" cm="1">
        <f t="array" ref="UXD3">GetValue("Dmn","Name",UXD2)</f>
        <v/>
      </c>
      <c r="UXE3" s="1" t="str" cm="1">
        <f t="array" ref="UXE3">GetValue("Dmn","Name",UXE2)</f>
        <v/>
      </c>
      <c r="UXF3" s="1" t="str" cm="1">
        <f t="array" ref="UXF3">GetValue("Dmn","Name",UXF2)</f>
        <v/>
      </c>
      <c r="UXG3" s="1" t="str" cm="1">
        <f t="array" ref="UXG3">GetValue("Dmn","Name",UXG2)</f>
        <v/>
      </c>
      <c r="UXH3" s="1" t="str" cm="1">
        <f t="array" ref="UXH3">GetValue("Dmn","Name",UXH2)</f>
        <v/>
      </c>
      <c r="UXI3" s="1" t="str" cm="1">
        <f t="array" ref="UXI3">GetValue("Dmn","Name",UXI2)</f>
        <v/>
      </c>
      <c r="UXJ3" s="1" t="str" cm="1">
        <f t="array" ref="UXJ3">GetValue("Dmn","Name",UXJ2)</f>
        <v/>
      </c>
      <c r="UXK3" s="1" t="str" cm="1">
        <f t="array" ref="UXK3">GetValue("Dmn","Name",UXK2)</f>
        <v/>
      </c>
      <c r="UXL3" s="1" t="str" cm="1">
        <f t="array" ref="UXL3">GetValue("Dmn","Name",UXL2)</f>
        <v/>
      </c>
      <c r="UXM3" s="1" t="str" cm="1">
        <f t="array" ref="UXM3">GetValue("Dmn","Name",UXM2)</f>
        <v/>
      </c>
      <c r="UXN3" s="1" t="str" cm="1">
        <f t="array" ref="UXN3">GetValue("Dmn","Name",UXN2)</f>
        <v/>
      </c>
      <c r="UXO3" s="1" t="str" cm="1">
        <f t="array" ref="UXO3">GetValue("Dmn","Name",UXO2)</f>
        <v/>
      </c>
      <c r="UXP3" s="1" t="str" cm="1">
        <f t="array" ref="UXP3">GetValue("Dmn","Name",UXP2)</f>
        <v/>
      </c>
      <c r="UXQ3" s="1" t="str" cm="1">
        <f t="array" ref="UXQ3">GetValue("Dmn","Name",UXQ2)</f>
        <v/>
      </c>
      <c r="UXR3" s="1" t="str" cm="1">
        <f t="array" ref="UXR3">GetValue("Dmn","Name",UXR2)</f>
        <v/>
      </c>
      <c r="UXS3" s="1" t="str" cm="1">
        <f t="array" ref="UXS3">GetValue("Dmn","Name",UXS2)</f>
        <v/>
      </c>
      <c r="UXT3" s="1" t="str" cm="1">
        <f t="array" ref="UXT3">GetValue("Dmn","Name",UXT2)</f>
        <v/>
      </c>
      <c r="UXU3" s="1" t="str" cm="1">
        <f t="array" ref="UXU3">GetValue("Dmn","Name",UXU2)</f>
        <v/>
      </c>
      <c r="UXV3" s="1" t="str" cm="1">
        <f t="array" ref="UXV3">GetValue("Dmn","Name",UXV2)</f>
        <v/>
      </c>
      <c r="UXW3" s="1" t="str" cm="1">
        <f t="array" ref="UXW3">GetValue("Dmn","Name",UXW2)</f>
        <v/>
      </c>
      <c r="UXX3" s="1" t="str" cm="1">
        <f t="array" ref="UXX3">GetValue("Dmn","Name",UXX2)</f>
        <v/>
      </c>
      <c r="UXY3" s="1" t="str" cm="1">
        <f t="array" ref="UXY3">GetValue("Dmn","Name",UXY2)</f>
        <v/>
      </c>
      <c r="UXZ3" s="1" t="str" cm="1">
        <f t="array" ref="UXZ3">GetValue("Dmn","Name",UXZ2)</f>
        <v/>
      </c>
      <c r="UYA3" s="1" t="str" cm="1">
        <f t="array" ref="UYA3">GetValue("Dmn","Name",UYA2)</f>
        <v/>
      </c>
      <c r="UYB3" s="1" t="str" cm="1">
        <f t="array" ref="UYB3">GetValue("Dmn","Name",UYB2)</f>
        <v/>
      </c>
      <c r="UYC3" s="1" t="str" cm="1">
        <f t="array" ref="UYC3">GetValue("Dmn","Name",UYC2)</f>
        <v/>
      </c>
      <c r="UYD3" s="1" t="str" cm="1">
        <f t="array" ref="UYD3">GetValue("Dmn","Name",UYD2)</f>
        <v/>
      </c>
      <c r="UYE3" s="1" t="str" cm="1">
        <f t="array" ref="UYE3">GetValue("Dmn","Name",UYE2)</f>
        <v/>
      </c>
      <c r="UYF3" s="1" t="str" cm="1">
        <f t="array" ref="UYF3">GetValue("Dmn","Name",UYF2)</f>
        <v/>
      </c>
      <c r="UYG3" s="1" t="str" cm="1">
        <f t="array" ref="UYG3">GetValue("Dmn","Name",UYG2)</f>
        <v/>
      </c>
      <c r="UYH3" s="1" t="str" cm="1">
        <f t="array" ref="UYH3">GetValue("Dmn","Name",UYH2)</f>
        <v/>
      </c>
      <c r="UYI3" s="1" t="str" cm="1">
        <f t="array" ref="UYI3">GetValue("Dmn","Name",UYI2)</f>
        <v/>
      </c>
      <c r="UYJ3" s="1" t="str" cm="1">
        <f t="array" ref="UYJ3">GetValue("Dmn","Name",UYJ2)</f>
        <v/>
      </c>
      <c r="UYK3" s="1" t="str" cm="1">
        <f t="array" ref="UYK3">GetValue("Dmn","Name",UYK2)</f>
        <v/>
      </c>
      <c r="UYL3" s="1" t="str" cm="1">
        <f t="array" ref="UYL3">GetValue("Dmn","Name",UYL2)</f>
        <v/>
      </c>
      <c r="UYM3" s="1" t="str" cm="1">
        <f t="array" ref="UYM3">GetValue("Dmn","Name",UYM2)</f>
        <v/>
      </c>
      <c r="UYN3" s="1" t="str" cm="1">
        <f t="array" ref="UYN3">GetValue("Dmn","Name",UYN2)</f>
        <v/>
      </c>
      <c r="UYO3" s="1" t="str" cm="1">
        <f t="array" ref="UYO3">GetValue("Dmn","Name",UYO2)</f>
        <v/>
      </c>
      <c r="UYP3" s="1" t="str" cm="1">
        <f t="array" ref="UYP3">GetValue("Dmn","Name",UYP2)</f>
        <v/>
      </c>
      <c r="UYQ3" s="1" t="str" cm="1">
        <f t="array" ref="UYQ3">GetValue("Dmn","Name",UYQ2)</f>
        <v/>
      </c>
      <c r="UYR3" s="1" t="str" cm="1">
        <f t="array" ref="UYR3">GetValue("Dmn","Name",UYR2)</f>
        <v/>
      </c>
      <c r="UYS3" s="1" t="str" cm="1">
        <f t="array" ref="UYS3">GetValue("Dmn","Name",UYS2)</f>
        <v/>
      </c>
      <c r="UYT3" s="1" t="str" cm="1">
        <f t="array" ref="UYT3">GetValue("Dmn","Name",UYT2)</f>
        <v/>
      </c>
      <c r="UYU3" s="1" t="str" cm="1">
        <f t="array" ref="UYU3">GetValue("Dmn","Name",UYU2)</f>
        <v/>
      </c>
      <c r="UYV3" s="1" t="str" cm="1">
        <f t="array" ref="UYV3">GetValue("Dmn","Name",UYV2)</f>
        <v/>
      </c>
      <c r="UYW3" s="1" t="str" cm="1">
        <f t="array" ref="UYW3">GetValue("Dmn","Name",UYW2)</f>
        <v/>
      </c>
      <c r="UYX3" s="1" t="str" cm="1">
        <f t="array" ref="UYX3">GetValue("Dmn","Name",UYX2)</f>
        <v/>
      </c>
      <c r="UYY3" s="1" t="str" cm="1">
        <f t="array" ref="UYY3">GetValue("Dmn","Name",UYY2)</f>
        <v/>
      </c>
      <c r="UYZ3" s="1" t="str" cm="1">
        <f t="array" ref="UYZ3">GetValue("Dmn","Name",UYZ2)</f>
        <v/>
      </c>
      <c r="UZA3" s="1" t="str" cm="1">
        <f t="array" ref="UZA3">GetValue("Dmn","Name",UZA2)</f>
        <v/>
      </c>
      <c r="UZB3" s="1" t="str" cm="1">
        <f t="array" ref="UZB3">GetValue("Dmn","Name",UZB2)</f>
        <v/>
      </c>
      <c r="UZC3" s="1" t="str" cm="1">
        <f t="array" ref="UZC3">GetValue("Dmn","Name",UZC2)</f>
        <v/>
      </c>
      <c r="UZD3" s="1" t="str" cm="1">
        <f t="array" ref="UZD3">GetValue("Dmn","Name",UZD2)</f>
        <v/>
      </c>
      <c r="UZE3" s="1" t="str" cm="1">
        <f t="array" ref="UZE3">GetValue("Dmn","Name",UZE2)</f>
        <v/>
      </c>
      <c r="UZF3" s="1" t="str" cm="1">
        <f t="array" ref="UZF3">GetValue("Dmn","Name",UZF2)</f>
        <v/>
      </c>
      <c r="UZG3" s="1" t="str" cm="1">
        <f t="array" ref="UZG3">GetValue("Dmn","Name",UZG2)</f>
        <v/>
      </c>
      <c r="UZH3" s="1" t="str" cm="1">
        <f t="array" ref="UZH3">GetValue("Dmn","Name",UZH2)</f>
        <v/>
      </c>
      <c r="UZI3" s="1" t="str" cm="1">
        <f t="array" ref="UZI3">GetValue("Dmn","Name",UZI2)</f>
        <v/>
      </c>
      <c r="UZJ3" s="1" t="str" cm="1">
        <f t="array" ref="UZJ3">GetValue("Dmn","Name",UZJ2)</f>
        <v/>
      </c>
      <c r="UZK3" s="1" t="str" cm="1">
        <f t="array" ref="UZK3">GetValue("Dmn","Name",UZK2)</f>
        <v/>
      </c>
      <c r="UZL3" s="1" t="str" cm="1">
        <f t="array" ref="UZL3">GetValue("Dmn","Name",UZL2)</f>
        <v/>
      </c>
      <c r="UZM3" s="1" t="str" cm="1">
        <f t="array" ref="UZM3">GetValue("Dmn","Name",UZM2)</f>
        <v/>
      </c>
      <c r="UZN3" s="1" t="str" cm="1">
        <f t="array" ref="UZN3">GetValue("Dmn","Name",UZN2)</f>
        <v/>
      </c>
      <c r="UZO3" s="1" t="str" cm="1">
        <f t="array" ref="UZO3">GetValue("Dmn","Name",UZO2)</f>
        <v/>
      </c>
      <c r="UZP3" s="1" t="str" cm="1">
        <f t="array" ref="UZP3">GetValue("Dmn","Name",UZP2)</f>
        <v/>
      </c>
      <c r="UZQ3" s="1" t="str" cm="1">
        <f t="array" ref="UZQ3">GetValue("Dmn","Name",UZQ2)</f>
        <v/>
      </c>
      <c r="UZR3" s="1" t="str" cm="1">
        <f t="array" ref="UZR3">GetValue("Dmn","Name",UZR2)</f>
        <v/>
      </c>
      <c r="UZS3" s="1" t="str" cm="1">
        <f t="array" ref="UZS3">GetValue("Dmn","Name",UZS2)</f>
        <v/>
      </c>
      <c r="UZT3" s="1" t="str" cm="1">
        <f t="array" ref="UZT3">GetValue("Dmn","Name",UZT2)</f>
        <v/>
      </c>
      <c r="UZU3" s="1" t="str" cm="1">
        <f t="array" ref="UZU3">GetValue("Dmn","Name",UZU2)</f>
        <v/>
      </c>
      <c r="UZV3" s="1" t="str" cm="1">
        <f t="array" ref="UZV3">GetValue("Dmn","Name",UZV2)</f>
        <v/>
      </c>
      <c r="UZW3" s="1" t="str" cm="1">
        <f t="array" ref="UZW3">GetValue("Dmn","Name",UZW2)</f>
        <v/>
      </c>
      <c r="UZX3" s="1" t="str" cm="1">
        <f t="array" ref="UZX3">GetValue("Dmn","Name",UZX2)</f>
        <v/>
      </c>
      <c r="UZY3" s="1" t="str" cm="1">
        <f t="array" ref="UZY3">GetValue("Dmn","Name",UZY2)</f>
        <v/>
      </c>
      <c r="UZZ3" s="1" t="str" cm="1">
        <f t="array" ref="UZZ3">GetValue("Dmn","Name",UZZ2)</f>
        <v/>
      </c>
      <c r="VAA3" s="1" t="str" cm="1">
        <f t="array" ref="VAA3">GetValue("Dmn","Name",VAA2)</f>
        <v/>
      </c>
      <c r="VAB3" s="1" t="str" cm="1">
        <f t="array" ref="VAB3">GetValue("Dmn","Name",VAB2)</f>
        <v/>
      </c>
      <c r="VAC3" s="1" t="str" cm="1">
        <f t="array" ref="VAC3">GetValue("Dmn","Name",VAC2)</f>
        <v/>
      </c>
      <c r="VAD3" s="1" t="str" cm="1">
        <f t="array" ref="VAD3">GetValue("Dmn","Name",VAD2)</f>
        <v/>
      </c>
      <c r="VAE3" s="1" t="str" cm="1">
        <f t="array" ref="VAE3">GetValue("Dmn","Name",VAE2)</f>
        <v/>
      </c>
      <c r="VAF3" s="1" t="str" cm="1">
        <f t="array" ref="VAF3">GetValue("Dmn","Name",VAF2)</f>
        <v/>
      </c>
      <c r="VAG3" s="1" t="str" cm="1">
        <f t="array" ref="VAG3">GetValue("Dmn","Name",VAG2)</f>
        <v/>
      </c>
      <c r="VAH3" s="1" t="str" cm="1">
        <f t="array" ref="VAH3">GetValue("Dmn","Name",VAH2)</f>
        <v/>
      </c>
      <c r="VAI3" s="1" t="str" cm="1">
        <f t="array" ref="VAI3">GetValue("Dmn","Name",VAI2)</f>
        <v/>
      </c>
      <c r="VAJ3" s="1" t="str" cm="1">
        <f t="array" ref="VAJ3">GetValue("Dmn","Name",VAJ2)</f>
        <v/>
      </c>
      <c r="VAK3" s="1" t="str" cm="1">
        <f t="array" ref="VAK3">GetValue("Dmn","Name",VAK2)</f>
        <v/>
      </c>
      <c r="VAL3" s="1" t="str" cm="1">
        <f t="array" ref="VAL3">GetValue("Dmn","Name",VAL2)</f>
        <v/>
      </c>
      <c r="VAM3" s="1" t="str" cm="1">
        <f t="array" ref="VAM3">GetValue("Dmn","Name",VAM2)</f>
        <v/>
      </c>
      <c r="VAN3" s="1" t="str" cm="1">
        <f t="array" ref="VAN3">GetValue("Dmn","Name",VAN2)</f>
        <v/>
      </c>
      <c r="VAO3" s="1" t="str" cm="1">
        <f t="array" ref="VAO3">GetValue("Dmn","Name",VAO2)</f>
        <v/>
      </c>
      <c r="VAP3" s="1" t="str" cm="1">
        <f t="array" ref="VAP3">GetValue("Dmn","Name",VAP2)</f>
        <v/>
      </c>
      <c r="VAQ3" s="1" t="str" cm="1">
        <f t="array" ref="VAQ3">GetValue("Dmn","Name",VAQ2)</f>
        <v/>
      </c>
      <c r="VAR3" s="1" t="str" cm="1">
        <f t="array" ref="VAR3">GetValue("Dmn","Name",VAR2)</f>
        <v/>
      </c>
      <c r="VAS3" s="1" t="str" cm="1">
        <f t="array" ref="VAS3">GetValue("Dmn","Name",VAS2)</f>
        <v/>
      </c>
      <c r="VAT3" s="1" t="str" cm="1">
        <f t="array" ref="VAT3">GetValue("Dmn","Name",VAT2)</f>
        <v/>
      </c>
      <c r="VAU3" s="1" t="str" cm="1">
        <f t="array" ref="VAU3">GetValue("Dmn","Name",VAU2)</f>
        <v/>
      </c>
      <c r="VAV3" s="1" t="str" cm="1">
        <f t="array" ref="VAV3">GetValue("Dmn","Name",VAV2)</f>
        <v/>
      </c>
      <c r="VAW3" s="1" t="str" cm="1">
        <f t="array" ref="VAW3">GetValue("Dmn","Name",VAW2)</f>
        <v/>
      </c>
      <c r="VAX3" s="1" t="str" cm="1">
        <f t="array" ref="VAX3">GetValue("Dmn","Name",VAX2)</f>
        <v/>
      </c>
      <c r="VAY3" s="1" t="str" cm="1">
        <f t="array" ref="VAY3">GetValue("Dmn","Name",VAY2)</f>
        <v/>
      </c>
      <c r="VAZ3" s="1" t="str" cm="1">
        <f t="array" ref="VAZ3">GetValue("Dmn","Name",VAZ2)</f>
        <v/>
      </c>
      <c r="VBA3" s="1" t="str" cm="1">
        <f t="array" ref="VBA3">GetValue("Dmn","Name",VBA2)</f>
        <v/>
      </c>
      <c r="VBB3" s="1" t="str" cm="1">
        <f t="array" ref="VBB3">GetValue("Dmn","Name",VBB2)</f>
        <v/>
      </c>
      <c r="VBC3" s="1" t="str" cm="1">
        <f t="array" ref="VBC3">GetValue("Dmn","Name",VBC2)</f>
        <v/>
      </c>
      <c r="VBD3" s="1" t="str" cm="1">
        <f t="array" ref="VBD3">GetValue("Dmn","Name",VBD2)</f>
        <v/>
      </c>
      <c r="VBE3" s="1" t="str" cm="1">
        <f t="array" ref="VBE3">GetValue("Dmn","Name",VBE2)</f>
        <v/>
      </c>
      <c r="VBF3" s="1" t="str" cm="1">
        <f t="array" ref="VBF3">GetValue("Dmn","Name",VBF2)</f>
        <v/>
      </c>
      <c r="VBG3" s="1" t="str" cm="1">
        <f t="array" ref="VBG3">GetValue("Dmn","Name",VBG2)</f>
        <v/>
      </c>
      <c r="VBH3" s="1" t="str" cm="1">
        <f t="array" ref="VBH3">GetValue("Dmn","Name",VBH2)</f>
        <v/>
      </c>
      <c r="VBI3" s="1" t="str" cm="1">
        <f t="array" ref="VBI3">GetValue("Dmn","Name",VBI2)</f>
        <v/>
      </c>
      <c r="VBJ3" s="1" t="str" cm="1">
        <f t="array" ref="VBJ3">GetValue("Dmn","Name",VBJ2)</f>
        <v/>
      </c>
      <c r="VBK3" s="1" t="str" cm="1">
        <f t="array" ref="VBK3">GetValue("Dmn","Name",VBK2)</f>
        <v/>
      </c>
      <c r="VBL3" s="1" t="str" cm="1">
        <f t="array" ref="VBL3">GetValue("Dmn","Name",VBL2)</f>
        <v/>
      </c>
      <c r="VBM3" s="1" t="str" cm="1">
        <f t="array" ref="VBM3">GetValue("Dmn","Name",VBM2)</f>
        <v/>
      </c>
      <c r="VBN3" s="1" t="str" cm="1">
        <f t="array" ref="VBN3">GetValue("Dmn","Name",VBN2)</f>
        <v/>
      </c>
      <c r="VBO3" s="1" t="str" cm="1">
        <f t="array" ref="VBO3">GetValue("Dmn","Name",VBO2)</f>
        <v/>
      </c>
      <c r="VBP3" s="1" t="str" cm="1">
        <f t="array" ref="VBP3">GetValue("Dmn","Name",VBP2)</f>
        <v/>
      </c>
      <c r="VBQ3" s="1" t="str" cm="1">
        <f t="array" ref="VBQ3">GetValue("Dmn","Name",VBQ2)</f>
        <v/>
      </c>
      <c r="VBR3" s="1" t="str" cm="1">
        <f t="array" ref="VBR3">GetValue("Dmn","Name",VBR2)</f>
        <v/>
      </c>
      <c r="VBS3" s="1" t="str" cm="1">
        <f t="array" ref="VBS3">GetValue("Dmn","Name",VBS2)</f>
        <v/>
      </c>
      <c r="VBT3" s="1" t="str" cm="1">
        <f t="array" ref="VBT3">GetValue("Dmn","Name",VBT2)</f>
        <v/>
      </c>
      <c r="VBU3" s="1" t="str" cm="1">
        <f t="array" ref="VBU3">GetValue("Dmn","Name",VBU2)</f>
        <v/>
      </c>
      <c r="VBV3" s="1" t="str" cm="1">
        <f t="array" ref="VBV3">GetValue("Dmn","Name",VBV2)</f>
        <v/>
      </c>
      <c r="VBW3" s="1" t="str" cm="1">
        <f t="array" ref="VBW3">GetValue("Dmn","Name",VBW2)</f>
        <v/>
      </c>
      <c r="VBX3" s="1" t="str" cm="1">
        <f t="array" ref="VBX3">GetValue("Dmn","Name",VBX2)</f>
        <v/>
      </c>
      <c r="VBY3" s="1" t="str" cm="1">
        <f t="array" ref="VBY3">GetValue("Dmn","Name",VBY2)</f>
        <v/>
      </c>
      <c r="VBZ3" s="1" t="str" cm="1">
        <f t="array" ref="VBZ3">GetValue("Dmn","Name",VBZ2)</f>
        <v/>
      </c>
      <c r="VCA3" s="1" t="str" cm="1">
        <f t="array" ref="VCA3">GetValue("Dmn","Name",VCA2)</f>
        <v/>
      </c>
      <c r="VCB3" s="1" t="str" cm="1">
        <f t="array" ref="VCB3">GetValue("Dmn","Name",VCB2)</f>
        <v/>
      </c>
      <c r="VCC3" s="1" t="str" cm="1">
        <f t="array" ref="VCC3">GetValue("Dmn","Name",VCC2)</f>
        <v/>
      </c>
      <c r="VCD3" s="1" t="str" cm="1">
        <f t="array" ref="VCD3">GetValue("Dmn","Name",VCD2)</f>
        <v/>
      </c>
      <c r="VCE3" s="1" t="str" cm="1">
        <f t="array" ref="VCE3">GetValue("Dmn","Name",VCE2)</f>
        <v/>
      </c>
      <c r="VCF3" s="1" t="str" cm="1">
        <f t="array" ref="VCF3">GetValue("Dmn","Name",VCF2)</f>
        <v/>
      </c>
      <c r="VCG3" s="1" t="str" cm="1">
        <f t="array" ref="VCG3">GetValue("Dmn","Name",VCG2)</f>
        <v/>
      </c>
      <c r="VCH3" s="1" t="str" cm="1">
        <f t="array" ref="VCH3">GetValue("Dmn","Name",VCH2)</f>
        <v/>
      </c>
      <c r="VCI3" s="1" t="str" cm="1">
        <f t="array" ref="VCI3">GetValue("Dmn","Name",VCI2)</f>
        <v/>
      </c>
      <c r="VCJ3" s="1" t="str" cm="1">
        <f t="array" ref="VCJ3">GetValue("Dmn","Name",VCJ2)</f>
        <v/>
      </c>
      <c r="VCK3" s="1" t="str" cm="1">
        <f t="array" ref="VCK3">GetValue("Dmn","Name",VCK2)</f>
        <v/>
      </c>
      <c r="VCL3" s="1" t="str" cm="1">
        <f t="array" ref="VCL3">GetValue("Dmn","Name",VCL2)</f>
        <v/>
      </c>
      <c r="VCM3" s="1" t="str" cm="1">
        <f t="array" ref="VCM3">GetValue("Dmn","Name",VCM2)</f>
        <v/>
      </c>
      <c r="VCN3" s="1" t="str" cm="1">
        <f t="array" ref="VCN3">GetValue("Dmn","Name",VCN2)</f>
        <v/>
      </c>
      <c r="VCO3" s="1" t="str" cm="1">
        <f t="array" ref="VCO3">GetValue("Dmn","Name",VCO2)</f>
        <v/>
      </c>
      <c r="VCP3" s="1" t="str" cm="1">
        <f t="array" ref="VCP3">GetValue("Dmn","Name",VCP2)</f>
        <v/>
      </c>
      <c r="VCQ3" s="1" t="str" cm="1">
        <f t="array" ref="VCQ3">GetValue("Dmn","Name",VCQ2)</f>
        <v/>
      </c>
      <c r="VCR3" s="1" t="str" cm="1">
        <f t="array" ref="VCR3">GetValue("Dmn","Name",VCR2)</f>
        <v/>
      </c>
      <c r="VCS3" s="1" t="str" cm="1">
        <f t="array" ref="VCS3">GetValue("Dmn","Name",VCS2)</f>
        <v/>
      </c>
      <c r="VCT3" s="1" t="str" cm="1">
        <f t="array" ref="VCT3">GetValue("Dmn","Name",VCT2)</f>
        <v/>
      </c>
      <c r="VCU3" s="1" t="str" cm="1">
        <f t="array" ref="VCU3">GetValue("Dmn","Name",VCU2)</f>
        <v/>
      </c>
      <c r="VCV3" s="1" t="str" cm="1">
        <f t="array" ref="VCV3">GetValue("Dmn","Name",VCV2)</f>
        <v/>
      </c>
      <c r="VCW3" s="1" t="str" cm="1">
        <f t="array" ref="VCW3">GetValue("Dmn","Name",VCW2)</f>
        <v/>
      </c>
      <c r="VCX3" s="1" t="str" cm="1">
        <f t="array" ref="VCX3">GetValue("Dmn","Name",VCX2)</f>
        <v/>
      </c>
      <c r="VCY3" s="1" t="str" cm="1">
        <f t="array" ref="VCY3">GetValue("Dmn","Name",VCY2)</f>
        <v/>
      </c>
      <c r="VCZ3" s="1" t="str" cm="1">
        <f t="array" ref="VCZ3">GetValue("Dmn","Name",VCZ2)</f>
        <v/>
      </c>
      <c r="VDA3" s="1" t="str" cm="1">
        <f t="array" ref="VDA3">GetValue("Dmn","Name",VDA2)</f>
        <v/>
      </c>
      <c r="VDB3" s="1" t="str" cm="1">
        <f t="array" ref="VDB3">GetValue("Dmn","Name",VDB2)</f>
        <v/>
      </c>
      <c r="VDC3" s="1" t="str" cm="1">
        <f t="array" ref="VDC3">GetValue("Dmn","Name",VDC2)</f>
        <v/>
      </c>
      <c r="VDD3" s="1" t="str" cm="1">
        <f t="array" ref="VDD3">GetValue("Dmn","Name",VDD2)</f>
        <v/>
      </c>
      <c r="VDE3" s="1" t="str" cm="1">
        <f t="array" ref="VDE3">GetValue("Dmn","Name",VDE2)</f>
        <v/>
      </c>
      <c r="VDF3" s="1" t="str" cm="1">
        <f t="array" ref="VDF3">GetValue("Dmn","Name",VDF2)</f>
        <v/>
      </c>
      <c r="VDG3" s="1" t="str" cm="1">
        <f t="array" ref="VDG3">GetValue("Dmn","Name",VDG2)</f>
        <v/>
      </c>
      <c r="VDH3" s="1" t="str" cm="1">
        <f t="array" ref="VDH3">GetValue("Dmn","Name",VDH2)</f>
        <v/>
      </c>
      <c r="VDI3" s="1" t="str" cm="1">
        <f t="array" ref="VDI3">GetValue("Dmn","Name",VDI2)</f>
        <v/>
      </c>
      <c r="VDJ3" s="1" t="str" cm="1">
        <f t="array" ref="VDJ3">GetValue("Dmn","Name",VDJ2)</f>
        <v/>
      </c>
      <c r="VDK3" s="1" t="str" cm="1">
        <f t="array" ref="VDK3">GetValue("Dmn","Name",VDK2)</f>
        <v/>
      </c>
      <c r="VDL3" s="1" t="str" cm="1">
        <f t="array" ref="VDL3">GetValue("Dmn","Name",VDL2)</f>
        <v/>
      </c>
      <c r="VDM3" s="1" t="str" cm="1">
        <f t="array" ref="VDM3">GetValue("Dmn","Name",VDM2)</f>
        <v/>
      </c>
      <c r="VDN3" s="1" t="str" cm="1">
        <f t="array" ref="VDN3">GetValue("Dmn","Name",VDN2)</f>
        <v/>
      </c>
      <c r="VDO3" s="1" t="str" cm="1">
        <f t="array" ref="VDO3">GetValue("Dmn","Name",VDO2)</f>
        <v/>
      </c>
      <c r="VDP3" s="1" t="str" cm="1">
        <f t="array" ref="VDP3">GetValue("Dmn","Name",VDP2)</f>
        <v/>
      </c>
      <c r="VDQ3" s="1" t="str" cm="1">
        <f t="array" ref="VDQ3">GetValue("Dmn","Name",VDQ2)</f>
        <v/>
      </c>
      <c r="VDR3" s="1" t="str" cm="1">
        <f t="array" ref="VDR3">GetValue("Dmn","Name",VDR2)</f>
        <v/>
      </c>
      <c r="VDS3" s="1" t="str" cm="1">
        <f t="array" ref="VDS3">GetValue("Dmn","Name",VDS2)</f>
        <v/>
      </c>
      <c r="VDT3" s="1" t="str" cm="1">
        <f t="array" ref="VDT3">GetValue("Dmn","Name",VDT2)</f>
        <v/>
      </c>
      <c r="VDU3" s="1" t="str" cm="1">
        <f t="array" ref="VDU3">GetValue("Dmn","Name",VDU2)</f>
        <v/>
      </c>
      <c r="VDV3" s="1" t="str" cm="1">
        <f t="array" ref="VDV3">GetValue("Dmn","Name",VDV2)</f>
        <v/>
      </c>
      <c r="VDW3" s="1" t="str" cm="1">
        <f t="array" ref="VDW3">GetValue("Dmn","Name",VDW2)</f>
        <v/>
      </c>
      <c r="VDX3" s="1" t="str" cm="1">
        <f t="array" ref="VDX3">GetValue("Dmn","Name",VDX2)</f>
        <v/>
      </c>
      <c r="VDY3" s="1" t="str" cm="1">
        <f t="array" ref="VDY3">GetValue("Dmn","Name",VDY2)</f>
        <v/>
      </c>
      <c r="VDZ3" s="1" t="str" cm="1">
        <f t="array" ref="VDZ3">GetValue("Dmn","Name",VDZ2)</f>
        <v/>
      </c>
      <c r="VEA3" s="1" t="str" cm="1">
        <f t="array" ref="VEA3">GetValue("Dmn","Name",VEA2)</f>
        <v/>
      </c>
      <c r="VEB3" s="1" t="str" cm="1">
        <f t="array" ref="VEB3">GetValue("Dmn","Name",VEB2)</f>
        <v/>
      </c>
      <c r="VEC3" s="1" t="str" cm="1">
        <f t="array" ref="VEC3">GetValue("Dmn","Name",VEC2)</f>
        <v/>
      </c>
      <c r="VED3" s="1" t="str" cm="1">
        <f t="array" ref="VED3">GetValue("Dmn","Name",VED2)</f>
        <v/>
      </c>
      <c r="VEE3" s="1" t="str" cm="1">
        <f t="array" ref="VEE3">GetValue("Dmn","Name",VEE2)</f>
        <v/>
      </c>
      <c r="VEF3" s="1" t="str" cm="1">
        <f t="array" ref="VEF3">GetValue("Dmn","Name",VEF2)</f>
        <v/>
      </c>
      <c r="VEG3" s="1" t="str" cm="1">
        <f t="array" ref="VEG3">GetValue("Dmn","Name",VEG2)</f>
        <v/>
      </c>
      <c r="VEH3" s="1" t="str" cm="1">
        <f t="array" ref="VEH3">GetValue("Dmn","Name",VEH2)</f>
        <v/>
      </c>
      <c r="VEI3" s="1" t="str" cm="1">
        <f t="array" ref="VEI3">GetValue("Dmn","Name",VEI2)</f>
        <v/>
      </c>
      <c r="VEJ3" s="1" t="str" cm="1">
        <f t="array" ref="VEJ3">GetValue("Dmn","Name",VEJ2)</f>
        <v/>
      </c>
      <c r="VEK3" s="1" t="str" cm="1">
        <f t="array" ref="VEK3">GetValue("Dmn","Name",VEK2)</f>
        <v/>
      </c>
      <c r="VEL3" s="1" t="str" cm="1">
        <f t="array" ref="VEL3">GetValue("Dmn","Name",VEL2)</f>
        <v/>
      </c>
      <c r="VEM3" s="1" t="str" cm="1">
        <f t="array" ref="VEM3">GetValue("Dmn","Name",VEM2)</f>
        <v/>
      </c>
      <c r="VEN3" s="1" t="str" cm="1">
        <f t="array" ref="VEN3">GetValue("Dmn","Name",VEN2)</f>
        <v/>
      </c>
      <c r="VEO3" s="1" t="str" cm="1">
        <f t="array" ref="VEO3">GetValue("Dmn","Name",VEO2)</f>
        <v/>
      </c>
      <c r="VEP3" s="1" t="str" cm="1">
        <f t="array" ref="VEP3">GetValue("Dmn","Name",VEP2)</f>
        <v/>
      </c>
      <c r="VEQ3" s="1" t="str" cm="1">
        <f t="array" ref="VEQ3">GetValue("Dmn","Name",VEQ2)</f>
        <v/>
      </c>
      <c r="VER3" s="1" t="str" cm="1">
        <f t="array" ref="VER3">GetValue("Dmn","Name",VER2)</f>
        <v/>
      </c>
      <c r="VES3" s="1" t="str" cm="1">
        <f t="array" ref="VES3">GetValue("Dmn","Name",VES2)</f>
        <v/>
      </c>
      <c r="VET3" s="1" t="str" cm="1">
        <f t="array" ref="VET3">GetValue("Dmn","Name",VET2)</f>
        <v/>
      </c>
      <c r="VEU3" s="1" t="str" cm="1">
        <f t="array" ref="VEU3">GetValue("Dmn","Name",VEU2)</f>
        <v/>
      </c>
      <c r="VEV3" s="1" t="str" cm="1">
        <f t="array" ref="VEV3">GetValue("Dmn","Name",VEV2)</f>
        <v/>
      </c>
      <c r="VEW3" s="1" t="str" cm="1">
        <f t="array" ref="VEW3">GetValue("Dmn","Name",VEW2)</f>
        <v/>
      </c>
      <c r="VEX3" s="1" t="str" cm="1">
        <f t="array" ref="VEX3">GetValue("Dmn","Name",VEX2)</f>
        <v/>
      </c>
      <c r="VEY3" s="1" t="str" cm="1">
        <f t="array" ref="VEY3">GetValue("Dmn","Name",VEY2)</f>
        <v/>
      </c>
      <c r="VEZ3" s="1" t="str" cm="1">
        <f t="array" ref="VEZ3">GetValue("Dmn","Name",VEZ2)</f>
        <v/>
      </c>
      <c r="VFA3" s="1" t="str" cm="1">
        <f t="array" ref="VFA3">GetValue("Dmn","Name",VFA2)</f>
        <v/>
      </c>
      <c r="VFB3" s="1" t="str" cm="1">
        <f t="array" ref="VFB3">GetValue("Dmn","Name",VFB2)</f>
        <v/>
      </c>
      <c r="VFC3" s="1" t="str" cm="1">
        <f t="array" ref="VFC3">GetValue("Dmn","Name",VFC2)</f>
        <v/>
      </c>
      <c r="VFD3" s="1" t="str" cm="1">
        <f t="array" ref="VFD3">GetValue("Dmn","Name",VFD2)</f>
        <v/>
      </c>
      <c r="VFE3" s="1" t="str" cm="1">
        <f t="array" ref="VFE3">GetValue("Dmn","Name",VFE2)</f>
        <v/>
      </c>
      <c r="VFF3" s="1" t="str" cm="1">
        <f t="array" ref="VFF3">GetValue("Dmn","Name",VFF2)</f>
        <v/>
      </c>
      <c r="VFG3" s="1" t="str" cm="1">
        <f t="array" ref="VFG3">GetValue("Dmn","Name",VFG2)</f>
        <v/>
      </c>
      <c r="VFH3" s="1" t="str" cm="1">
        <f t="array" ref="VFH3">GetValue("Dmn","Name",VFH2)</f>
        <v/>
      </c>
      <c r="VFI3" s="1" t="str" cm="1">
        <f t="array" ref="VFI3">GetValue("Dmn","Name",VFI2)</f>
        <v/>
      </c>
      <c r="VFJ3" s="1" t="str" cm="1">
        <f t="array" ref="VFJ3">GetValue("Dmn","Name",VFJ2)</f>
        <v/>
      </c>
      <c r="VFK3" s="1" t="str" cm="1">
        <f t="array" ref="VFK3">GetValue("Dmn","Name",VFK2)</f>
        <v/>
      </c>
      <c r="VFL3" s="1" t="str" cm="1">
        <f t="array" ref="VFL3">GetValue("Dmn","Name",VFL2)</f>
        <v/>
      </c>
      <c r="VFM3" s="1" t="str" cm="1">
        <f t="array" ref="VFM3">GetValue("Dmn","Name",VFM2)</f>
        <v/>
      </c>
      <c r="VFN3" s="1" t="str" cm="1">
        <f t="array" ref="VFN3">GetValue("Dmn","Name",VFN2)</f>
        <v/>
      </c>
      <c r="VFO3" s="1" t="str" cm="1">
        <f t="array" ref="VFO3">GetValue("Dmn","Name",VFO2)</f>
        <v/>
      </c>
      <c r="VFP3" s="1" t="str" cm="1">
        <f t="array" ref="VFP3">GetValue("Dmn","Name",VFP2)</f>
        <v/>
      </c>
      <c r="VFQ3" s="1" t="str" cm="1">
        <f t="array" ref="VFQ3">GetValue("Dmn","Name",VFQ2)</f>
        <v/>
      </c>
      <c r="VFR3" s="1" t="str" cm="1">
        <f t="array" ref="VFR3">GetValue("Dmn","Name",VFR2)</f>
        <v/>
      </c>
      <c r="VFS3" s="1" t="str" cm="1">
        <f t="array" ref="VFS3">GetValue("Dmn","Name",VFS2)</f>
        <v/>
      </c>
      <c r="VFT3" s="1" t="str" cm="1">
        <f t="array" ref="VFT3">GetValue("Dmn","Name",VFT2)</f>
        <v/>
      </c>
      <c r="VFU3" s="1" t="str" cm="1">
        <f t="array" ref="VFU3">GetValue("Dmn","Name",VFU2)</f>
        <v/>
      </c>
      <c r="VFV3" s="1" t="str" cm="1">
        <f t="array" ref="VFV3">GetValue("Dmn","Name",VFV2)</f>
        <v/>
      </c>
      <c r="VFW3" s="1" t="str" cm="1">
        <f t="array" ref="VFW3">GetValue("Dmn","Name",VFW2)</f>
        <v/>
      </c>
      <c r="VFX3" s="1" t="str" cm="1">
        <f t="array" ref="VFX3">GetValue("Dmn","Name",VFX2)</f>
        <v/>
      </c>
      <c r="VFY3" s="1" t="str" cm="1">
        <f t="array" ref="VFY3">GetValue("Dmn","Name",VFY2)</f>
        <v/>
      </c>
      <c r="VFZ3" s="1" t="str" cm="1">
        <f t="array" ref="VFZ3">GetValue("Dmn","Name",VFZ2)</f>
        <v/>
      </c>
      <c r="VGA3" s="1" t="str" cm="1">
        <f t="array" ref="VGA3">GetValue("Dmn","Name",VGA2)</f>
        <v/>
      </c>
      <c r="VGB3" s="1" t="str" cm="1">
        <f t="array" ref="VGB3">GetValue("Dmn","Name",VGB2)</f>
        <v/>
      </c>
      <c r="VGC3" s="1" t="str" cm="1">
        <f t="array" ref="VGC3">GetValue("Dmn","Name",VGC2)</f>
        <v/>
      </c>
      <c r="VGD3" s="1" t="str" cm="1">
        <f t="array" ref="VGD3">GetValue("Dmn","Name",VGD2)</f>
        <v/>
      </c>
      <c r="VGE3" s="1" t="str" cm="1">
        <f t="array" ref="VGE3">GetValue("Dmn","Name",VGE2)</f>
        <v/>
      </c>
      <c r="VGF3" s="1" t="str" cm="1">
        <f t="array" ref="VGF3">GetValue("Dmn","Name",VGF2)</f>
        <v/>
      </c>
      <c r="VGG3" s="1" t="str" cm="1">
        <f t="array" ref="VGG3">GetValue("Dmn","Name",VGG2)</f>
        <v/>
      </c>
      <c r="VGH3" s="1" t="str" cm="1">
        <f t="array" ref="VGH3">GetValue("Dmn","Name",VGH2)</f>
        <v/>
      </c>
      <c r="VGI3" s="1" t="str" cm="1">
        <f t="array" ref="VGI3">GetValue("Dmn","Name",VGI2)</f>
        <v/>
      </c>
      <c r="VGJ3" s="1" t="str" cm="1">
        <f t="array" ref="VGJ3">GetValue("Dmn","Name",VGJ2)</f>
        <v/>
      </c>
      <c r="VGK3" s="1" t="str" cm="1">
        <f t="array" ref="VGK3">GetValue("Dmn","Name",VGK2)</f>
        <v/>
      </c>
      <c r="VGL3" s="1" t="str" cm="1">
        <f t="array" ref="VGL3">GetValue("Dmn","Name",VGL2)</f>
        <v/>
      </c>
      <c r="VGM3" s="1" t="str" cm="1">
        <f t="array" ref="VGM3">GetValue("Dmn","Name",VGM2)</f>
        <v/>
      </c>
      <c r="VGN3" s="1" t="str" cm="1">
        <f t="array" ref="VGN3">GetValue("Dmn","Name",VGN2)</f>
        <v/>
      </c>
      <c r="VGO3" s="1" t="str" cm="1">
        <f t="array" ref="VGO3">GetValue("Dmn","Name",VGO2)</f>
        <v/>
      </c>
      <c r="VGP3" s="1" t="str" cm="1">
        <f t="array" ref="VGP3">GetValue("Dmn","Name",VGP2)</f>
        <v/>
      </c>
      <c r="VGQ3" s="1" t="str" cm="1">
        <f t="array" ref="VGQ3">GetValue("Dmn","Name",VGQ2)</f>
        <v/>
      </c>
      <c r="VGR3" s="1" t="str" cm="1">
        <f t="array" ref="VGR3">GetValue("Dmn","Name",VGR2)</f>
        <v/>
      </c>
      <c r="VGS3" s="1" t="str" cm="1">
        <f t="array" ref="VGS3">GetValue("Dmn","Name",VGS2)</f>
        <v/>
      </c>
      <c r="VGT3" s="1" t="str" cm="1">
        <f t="array" ref="VGT3">GetValue("Dmn","Name",VGT2)</f>
        <v/>
      </c>
      <c r="VGU3" s="1" t="str" cm="1">
        <f t="array" ref="VGU3">GetValue("Dmn","Name",VGU2)</f>
        <v/>
      </c>
      <c r="VGV3" s="1" t="str" cm="1">
        <f t="array" ref="VGV3">GetValue("Dmn","Name",VGV2)</f>
        <v/>
      </c>
      <c r="VGW3" s="1" t="str" cm="1">
        <f t="array" ref="VGW3">GetValue("Dmn","Name",VGW2)</f>
        <v/>
      </c>
      <c r="VGX3" s="1" t="str" cm="1">
        <f t="array" ref="VGX3">GetValue("Dmn","Name",VGX2)</f>
        <v/>
      </c>
      <c r="VGY3" s="1" t="str" cm="1">
        <f t="array" ref="VGY3">GetValue("Dmn","Name",VGY2)</f>
        <v/>
      </c>
      <c r="VGZ3" s="1" t="str" cm="1">
        <f t="array" ref="VGZ3">GetValue("Dmn","Name",VGZ2)</f>
        <v/>
      </c>
      <c r="VHA3" s="1" t="str" cm="1">
        <f t="array" ref="VHA3">GetValue("Dmn","Name",VHA2)</f>
        <v/>
      </c>
      <c r="VHB3" s="1" t="str" cm="1">
        <f t="array" ref="VHB3">GetValue("Dmn","Name",VHB2)</f>
        <v/>
      </c>
      <c r="VHC3" s="1" t="str" cm="1">
        <f t="array" ref="VHC3">GetValue("Dmn","Name",VHC2)</f>
        <v/>
      </c>
      <c r="VHD3" s="1" t="str" cm="1">
        <f t="array" ref="VHD3">GetValue("Dmn","Name",VHD2)</f>
        <v/>
      </c>
      <c r="VHE3" s="1" t="str" cm="1">
        <f t="array" ref="VHE3">GetValue("Dmn","Name",VHE2)</f>
        <v/>
      </c>
      <c r="VHF3" s="1" t="str" cm="1">
        <f t="array" ref="VHF3">GetValue("Dmn","Name",VHF2)</f>
        <v/>
      </c>
      <c r="VHG3" s="1" t="str" cm="1">
        <f t="array" ref="VHG3">GetValue("Dmn","Name",VHG2)</f>
        <v/>
      </c>
      <c r="VHH3" s="1" t="str" cm="1">
        <f t="array" ref="VHH3">GetValue("Dmn","Name",VHH2)</f>
        <v/>
      </c>
      <c r="VHI3" s="1" t="str" cm="1">
        <f t="array" ref="VHI3">GetValue("Dmn","Name",VHI2)</f>
        <v/>
      </c>
      <c r="VHJ3" s="1" t="str" cm="1">
        <f t="array" ref="VHJ3">GetValue("Dmn","Name",VHJ2)</f>
        <v/>
      </c>
      <c r="VHK3" s="1" t="str" cm="1">
        <f t="array" ref="VHK3">GetValue("Dmn","Name",VHK2)</f>
        <v/>
      </c>
      <c r="VHL3" s="1" t="str" cm="1">
        <f t="array" ref="VHL3">GetValue("Dmn","Name",VHL2)</f>
        <v/>
      </c>
      <c r="VHM3" s="1" t="str" cm="1">
        <f t="array" ref="VHM3">GetValue("Dmn","Name",VHM2)</f>
        <v/>
      </c>
      <c r="VHN3" s="1" t="str" cm="1">
        <f t="array" ref="VHN3">GetValue("Dmn","Name",VHN2)</f>
        <v/>
      </c>
      <c r="VHO3" s="1" t="str" cm="1">
        <f t="array" ref="VHO3">GetValue("Dmn","Name",VHO2)</f>
        <v/>
      </c>
      <c r="VHP3" s="1" t="str" cm="1">
        <f t="array" ref="VHP3">GetValue("Dmn","Name",VHP2)</f>
        <v/>
      </c>
      <c r="VHQ3" s="1" t="str" cm="1">
        <f t="array" ref="VHQ3">GetValue("Dmn","Name",VHQ2)</f>
        <v/>
      </c>
      <c r="VHR3" s="1" t="str" cm="1">
        <f t="array" ref="VHR3">GetValue("Dmn","Name",VHR2)</f>
        <v/>
      </c>
      <c r="VHS3" s="1" t="str" cm="1">
        <f t="array" ref="VHS3">GetValue("Dmn","Name",VHS2)</f>
        <v/>
      </c>
      <c r="VHT3" s="1" t="str" cm="1">
        <f t="array" ref="VHT3">GetValue("Dmn","Name",VHT2)</f>
        <v/>
      </c>
      <c r="VHU3" s="1" t="str" cm="1">
        <f t="array" ref="VHU3">GetValue("Dmn","Name",VHU2)</f>
        <v/>
      </c>
      <c r="VHV3" s="1" t="str" cm="1">
        <f t="array" ref="VHV3">GetValue("Dmn","Name",VHV2)</f>
        <v/>
      </c>
      <c r="VHW3" s="1" t="str" cm="1">
        <f t="array" ref="VHW3">GetValue("Dmn","Name",VHW2)</f>
        <v/>
      </c>
      <c r="VHX3" s="1" t="str" cm="1">
        <f t="array" ref="VHX3">GetValue("Dmn","Name",VHX2)</f>
        <v/>
      </c>
      <c r="VHY3" s="1" t="str" cm="1">
        <f t="array" ref="VHY3">GetValue("Dmn","Name",VHY2)</f>
        <v/>
      </c>
      <c r="VHZ3" s="1" t="str" cm="1">
        <f t="array" ref="VHZ3">GetValue("Dmn","Name",VHZ2)</f>
        <v/>
      </c>
      <c r="VIA3" s="1" t="str" cm="1">
        <f t="array" ref="VIA3">GetValue("Dmn","Name",VIA2)</f>
        <v/>
      </c>
      <c r="VIB3" s="1" t="str" cm="1">
        <f t="array" ref="VIB3">GetValue("Dmn","Name",VIB2)</f>
        <v/>
      </c>
      <c r="VIC3" s="1" t="str" cm="1">
        <f t="array" ref="VIC3">GetValue("Dmn","Name",VIC2)</f>
        <v/>
      </c>
      <c r="VID3" s="1" t="str" cm="1">
        <f t="array" ref="VID3">GetValue("Dmn","Name",VID2)</f>
        <v/>
      </c>
      <c r="VIE3" s="1" t="str" cm="1">
        <f t="array" ref="VIE3">GetValue("Dmn","Name",VIE2)</f>
        <v/>
      </c>
      <c r="VIF3" s="1" t="str" cm="1">
        <f t="array" ref="VIF3">GetValue("Dmn","Name",VIF2)</f>
        <v/>
      </c>
      <c r="VIG3" s="1" t="str" cm="1">
        <f t="array" ref="VIG3">GetValue("Dmn","Name",VIG2)</f>
        <v/>
      </c>
      <c r="VIH3" s="1" t="str" cm="1">
        <f t="array" ref="VIH3">GetValue("Dmn","Name",VIH2)</f>
        <v/>
      </c>
      <c r="VII3" s="1" t="str" cm="1">
        <f t="array" ref="VII3">GetValue("Dmn","Name",VII2)</f>
        <v/>
      </c>
      <c r="VIJ3" s="1" t="str" cm="1">
        <f t="array" ref="VIJ3">GetValue("Dmn","Name",VIJ2)</f>
        <v/>
      </c>
      <c r="VIK3" s="1" t="str" cm="1">
        <f t="array" ref="VIK3">GetValue("Dmn","Name",VIK2)</f>
        <v/>
      </c>
      <c r="VIL3" s="1" t="str" cm="1">
        <f t="array" ref="VIL3">GetValue("Dmn","Name",VIL2)</f>
        <v/>
      </c>
      <c r="VIM3" s="1" t="str" cm="1">
        <f t="array" ref="VIM3">GetValue("Dmn","Name",VIM2)</f>
        <v/>
      </c>
      <c r="VIN3" s="1" t="str" cm="1">
        <f t="array" ref="VIN3">GetValue("Dmn","Name",VIN2)</f>
        <v/>
      </c>
      <c r="VIO3" s="1" t="str" cm="1">
        <f t="array" ref="VIO3">GetValue("Dmn","Name",VIO2)</f>
        <v/>
      </c>
      <c r="VIP3" s="1" t="str" cm="1">
        <f t="array" ref="VIP3">GetValue("Dmn","Name",VIP2)</f>
        <v/>
      </c>
      <c r="VIQ3" s="1" t="str" cm="1">
        <f t="array" ref="VIQ3">GetValue("Dmn","Name",VIQ2)</f>
        <v/>
      </c>
      <c r="VIR3" s="1" t="str" cm="1">
        <f t="array" ref="VIR3">GetValue("Dmn","Name",VIR2)</f>
        <v/>
      </c>
      <c r="VIS3" s="1" t="str" cm="1">
        <f t="array" ref="VIS3">GetValue("Dmn","Name",VIS2)</f>
        <v/>
      </c>
      <c r="VIT3" s="1" t="str" cm="1">
        <f t="array" ref="VIT3">GetValue("Dmn","Name",VIT2)</f>
        <v/>
      </c>
      <c r="VIU3" s="1" t="str" cm="1">
        <f t="array" ref="VIU3">GetValue("Dmn","Name",VIU2)</f>
        <v/>
      </c>
      <c r="VIV3" s="1" t="str" cm="1">
        <f t="array" ref="VIV3">GetValue("Dmn","Name",VIV2)</f>
        <v/>
      </c>
      <c r="VIW3" s="1" t="str" cm="1">
        <f t="array" ref="VIW3">GetValue("Dmn","Name",VIW2)</f>
        <v/>
      </c>
      <c r="VIX3" s="1" t="str" cm="1">
        <f t="array" ref="VIX3">GetValue("Dmn","Name",VIX2)</f>
        <v/>
      </c>
      <c r="VIY3" s="1" t="str" cm="1">
        <f t="array" ref="VIY3">GetValue("Dmn","Name",VIY2)</f>
        <v/>
      </c>
      <c r="VIZ3" s="1" t="str" cm="1">
        <f t="array" ref="VIZ3">GetValue("Dmn","Name",VIZ2)</f>
        <v/>
      </c>
      <c r="VJA3" s="1" t="str" cm="1">
        <f t="array" ref="VJA3">GetValue("Dmn","Name",VJA2)</f>
        <v/>
      </c>
      <c r="VJB3" s="1" t="str" cm="1">
        <f t="array" ref="VJB3">GetValue("Dmn","Name",VJB2)</f>
        <v/>
      </c>
      <c r="VJC3" s="1" t="str" cm="1">
        <f t="array" ref="VJC3">GetValue("Dmn","Name",VJC2)</f>
        <v/>
      </c>
      <c r="VJD3" s="1" t="str" cm="1">
        <f t="array" ref="VJD3">GetValue("Dmn","Name",VJD2)</f>
        <v/>
      </c>
      <c r="VJE3" s="1" t="str" cm="1">
        <f t="array" ref="VJE3">GetValue("Dmn","Name",VJE2)</f>
        <v/>
      </c>
      <c r="VJF3" s="1" t="str" cm="1">
        <f t="array" ref="VJF3">GetValue("Dmn","Name",VJF2)</f>
        <v/>
      </c>
      <c r="VJG3" s="1" t="str" cm="1">
        <f t="array" ref="VJG3">GetValue("Dmn","Name",VJG2)</f>
        <v/>
      </c>
      <c r="VJH3" s="1" t="str" cm="1">
        <f t="array" ref="VJH3">GetValue("Dmn","Name",VJH2)</f>
        <v/>
      </c>
      <c r="VJI3" s="1" t="str" cm="1">
        <f t="array" ref="VJI3">GetValue("Dmn","Name",VJI2)</f>
        <v/>
      </c>
      <c r="VJJ3" s="1" t="str" cm="1">
        <f t="array" ref="VJJ3">GetValue("Dmn","Name",VJJ2)</f>
        <v/>
      </c>
      <c r="VJK3" s="1" t="str" cm="1">
        <f t="array" ref="VJK3">GetValue("Dmn","Name",VJK2)</f>
        <v/>
      </c>
      <c r="VJL3" s="1" t="str" cm="1">
        <f t="array" ref="VJL3">GetValue("Dmn","Name",VJL2)</f>
        <v/>
      </c>
      <c r="VJM3" s="1" t="str" cm="1">
        <f t="array" ref="VJM3">GetValue("Dmn","Name",VJM2)</f>
        <v/>
      </c>
      <c r="VJN3" s="1" t="str" cm="1">
        <f t="array" ref="VJN3">GetValue("Dmn","Name",VJN2)</f>
        <v/>
      </c>
      <c r="VJO3" s="1" t="str" cm="1">
        <f t="array" ref="VJO3">GetValue("Dmn","Name",VJO2)</f>
        <v/>
      </c>
      <c r="VJP3" s="1" t="str" cm="1">
        <f t="array" ref="VJP3">GetValue("Dmn","Name",VJP2)</f>
        <v/>
      </c>
      <c r="VJQ3" s="1" t="str" cm="1">
        <f t="array" ref="VJQ3">GetValue("Dmn","Name",VJQ2)</f>
        <v/>
      </c>
      <c r="VJR3" s="1" t="str" cm="1">
        <f t="array" ref="VJR3">GetValue("Dmn","Name",VJR2)</f>
        <v/>
      </c>
      <c r="VJS3" s="1" t="str" cm="1">
        <f t="array" ref="VJS3">GetValue("Dmn","Name",VJS2)</f>
        <v/>
      </c>
      <c r="VJT3" s="1" t="str" cm="1">
        <f t="array" ref="VJT3">GetValue("Dmn","Name",VJT2)</f>
        <v/>
      </c>
      <c r="VJU3" s="1" t="str" cm="1">
        <f t="array" ref="VJU3">GetValue("Dmn","Name",VJU2)</f>
        <v/>
      </c>
      <c r="VJV3" s="1" t="str" cm="1">
        <f t="array" ref="VJV3">GetValue("Dmn","Name",VJV2)</f>
        <v/>
      </c>
      <c r="VJW3" s="1" t="str" cm="1">
        <f t="array" ref="VJW3">GetValue("Dmn","Name",VJW2)</f>
        <v/>
      </c>
      <c r="VJX3" s="1" t="str" cm="1">
        <f t="array" ref="VJX3">GetValue("Dmn","Name",VJX2)</f>
        <v/>
      </c>
      <c r="VJY3" s="1" t="str" cm="1">
        <f t="array" ref="VJY3">GetValue("Dmn","Name",VJY2)</f>
        <v/>
      </c>
      <c r="VJZ3" s="1" t="str" cm="1">
        <f t="array" ref="VJZ3">GetValue("Dmn","Name",VJZ2)</f>
        <v/>
      </c>
      <c r="VKA3" s="1" t="str" cm="1">
        <f t="array" ref="VKA3">GetValue("Dmn","Name",VKA2)</f>
        <v/>
      </c>
      <c r="VKB3" s="1" t="str" cm="1">
        <f t="array" ref="VKB3">GetValue("Dmn","Name",VKB2)</f>
        <v/>
      </c>
      <c r="VKC3" s="1" t="str" cm="1">
        <f t="array" ref="VKC3">GetValue("Dmn","Name",VKC2)</f>
        <v/>
      </c>
      <c r="VKD3" s="1" t="str" cm="1">
        <f t="array" ref="VKD3">GetValue("Dmn","Name",VKD2)</f>
        <v/>
      </c>
      <c r="VKE3" s="1" t="str" cm="1">
        <f t="array" ref="VKE3">GetValue("Dmn","Name",VKE2)</f>
        <v/>
      </c>
      <c r="VKF3" s="1" t="str" cm="1">
        <f t="array" ref="VKF3">GetValue("Dmn","Name",VKF2)</f>
        <v/>
      </c>
      <c r="VKG3" s="1" t="str" cm="1">
        <f t="array" ref="VKG3">GetValue("Dmn","Name",VKG2)</f>
        <v/>
      </c>
      <c r="VKH3" s="1" t="str" cm="1">
        <f t="array" ref="VKH3">GetValue("Dmn","Name",VKH2)</f>
        <v/>
      </c>
      <c r="VKI3" s="1" t="str" cm="1">
        <f t="array" ref="VKI3">GetValue("Dmn","Name",VKI2)</f>
        <v/>
      </c>
      <c r="VKJ3" s="1" t="str" cm="1">
        <f t="array" ref="VKJ3">GetValue("Dmn","Name",VKJ2)</f>
        <v/>
      </c>
      <c r="VKK3" s="1" t="str" cm="1">
        <f t="array" ref="VKK3">GetValue("Dmn","Name",VKK2)</f>
        <v/>
      </c>
      <c r="VKL3" s="1" t="str" cm="1">
        <f t="array" ref="VKL3">GetValue("Dmn","Name",VKL2)</f>
        <v/>
      </c>
      <c r="VKM3" s="1" t="str" cm="1">
        <f t="array" ref="VKM3">GetValue("Dmn","Name",VKM2)</f>
        <v/>
      </c>
      <c r="VKN3" s="1" t="str" cm="1">
        <f t="array" ref="VKN3">GetValue("Dmn","Name",VKN2)</f>
        <v/>
      </c>
      <c r="VKO3" s="1" t="str" cm="1">
        <f t="array" ref="VKO3">GetValue("Dmn","Name",VKO2)</f>
        <v/>
      </c>
      <c r="VKP3" s="1" t="str" cm="1">
        <f t="array" ref="VKP3">GetValue("Dmn","Name",VKP2)</f>
        <v/>
      </c>
      <c r="VKQ3" s="1" t="str" cm="1">
        <f t="array" ref="VKQ3">GetValue("Dmn","Name",VKQ2)</f>
        <v/>
      </c>
      <c r="VKR3" s="1" t="str" cm="1">
        <f t="array" ref="VKR3">GetValue("Dmn","Name",VKR2)</f>
        <v/>
      </c>
      <c r="VKS3" s="1" t="str" cm="1">
        <f t="array" ref="VKS3">GetValue("Dmn","Name",VKS2)</f>
        <v/>
      </c>
      <c r="VKT3" s="1" t="str" cm="1">
        <f t="array" ref="VKT3">GetValue("Dmn","Name",VKT2)</f>
        <v/>
      </c>
      <c r="VKU3" s="1" t="str" cm="1">
        <f t="array" ref="VKU3">GetValue("Dmn","Name",VKU2)</f>
        <v/>
      </c>
      <c r="VKV3" s="1" t="str" cm="1">
        <f t="array" ref="VKV3">GetValue("Dmn","Name",VKV2)</f>
        <v/>
      </c>
      <c r="VKW3" s="1" t="str" cm="1">
        <f t="array" ref="VKW3">GetValue("Dmn","Name",VKW2)</f>
        <v/>
      </c>
      <c r="VKX3" s="1" t="str" cm="1">
        <f t="array" ref="VKX3">GetValue("Dmn","Name",VKX2)</f>
        <v/>
      </c>
      <c r="VKY3" s="1" t="str" cm="1">
        <f t="array" ref="VKY3">GetValue("Dmn","Name",VKY2)</f>
        <v/>
      </c>
      <c r="VKZ3" s="1" t="str" cm="1">
        <f t="array" ref="VKZ3">GetValue("Dmn","Name",VKZ2)</f>
        <v/>
      </c>
      <c r="VLA3" s="1" t="str" cm="1">
        <f t="array" ref="VLA3">GetValue("Dmn","Name",VLA2)</f>
        <v/>
      </c>
      <c r="VLB3" s="1" t="str" cm="1">
        <f t="array" ref="VLB3">GetValue("Dmn","Name",VLB2)</f>
        <v/>
      </c>
      <c r="VLC3" s="1" t="str" cm="1">
        <f t="array" ref="VLC3">GetValue("Dmn","Name",VLC2)</f>
        <v/>
      </c>
      <c r="VLD3" s="1" t="str" cm="1">
        <f t="array" ref="VLD3">GetValue("Dmn","Name",VLD2)</f>
        <v/>
      </c>
      <c r="VLE3" s="1" t="str" cm="1">
        <f t="array" ref="VLE3">GetValue("Dmn","Name",VLE2)</f>
        <v/>
      </c>
      <c r="VLF3" s="1" t="str" cm="1">
        <f t="array" ref="VLF3">GetValue("Dmn","Name",VLF2)</f>
        <v/>
      </c>
      <c r="VLG3" s="1" t="str" cm="1">
        <f t="array" ref="VLG3">GetValue("Dmn","Name",VLG2)</f>
        <v/>
      </c>
      <c r="VLH3" s="1" t="str" cm="1">
        <f t="array" ref="VLH3">GetValue("Dmn","Name",VLH2)</f>
        <v/>
      </c>
      <c r="VLI3" s="1" t="str" cm="1">
        <f t="array" ref="VLI3">GetValue("Dmn","Name",VLI2)</f>
        <v/>
      </c>
      <c r="VLJ3" s="1" t="str" cm="1">
        <f t="array" ref="VLJ3">GetValue("Dmn","Name",VLJ2)</f>
        <v/>
      </c>
      <c r="VLK3" s="1" t="str" cm="1">
        <f t="array" ref="VLK3">GetValue("Dmn","Name",VLK2)</f>
        <v/>
      </c>
      <c r="VLL3" s="1" t="str" cm="1">
        <f t="array" ref="VLL3">GetValue("Dmn","Name",VLL2)</f>
        <v/>
      </c>
      <c r="VLM3" s="1" t="str" cm="1">
        <f t="array" ref="VLM3">GetValue("Dmn","Name",VLM2)</f>
        <v/>
      </c>
      <c r="VLN3" s="1" t="str" cm="1">
        <f t="array" ref="VLN3">GetValue("Dmn","Name",VLN2)</f>
        <v/>
      </c>
      <c r="VLO3" s="1" t="str" cm="1">
        <f t="array" ref="VLO3">GetValue("Dmn","Name",VLO2)</f>
        <v/>
      </c>
      <c r="VLP3" s="1" t="str" cm="1">
        <f t="array" ref="VLP3">GetValue("Dmn","Name",VLP2)</f>
        <v/>
      </c>
      <c r="VLQ3" s="1" t="str" cm="1">
        <f t="array" ref="VLQ3">GetValue("Dmn","Name",VLQ2)</f>
        <v/>
      </c>
      <c r="VLR3" s="1" t="str" cm="1">
        <f t="array" ref="VLR3">GetValue("Dmn","Name",VLR2)</f>
        <v/>
      </c>
      <c r="VLS3" s="1" t="str" cm="1">
        <f t="array" ref="VLS3">GetValue("Dmn","Name",VLS2)</f>
        <v/>
      </c>
      <c r="VLT3" s="1" t="str" cm="1">
        <f t="array" ref="VLT3">GetValue("Dmn","Name",VLT2)</f>
        <v/>
      </c>
      <c r="VLU3" s="1" t="str" cm="1">
        <f t="array" ref="VLU3">GetValue("Dmn","Name",VLU2)</f>
        <v/>
      </c>
      <c r="VLV3" s="1" t="str" cm="1">
        <f t="array" ref="VLV3">GetValue("Dmn","Name",VLV2)</f>
        <v/>
      </c>
      <c r="VLW3" s="1" t="str" cm="1">
        <f t="array" ref="VLW3">GetValue("Dmn","Name",VLW2)</f>
        <v/>
      </c>
      <c r="VLX3" s="1" t="str" cm="1">
        <f t="array" ref="VLX3">GetValue("Dmn","Name",VLX2)</f>
        <v/>
      </c>
      <c r="VLY3" s="1" t="str" cm="1">
        <f t="array" ref="VLY3">GetValue("Dmn","Name",VLY2)</f>
        <v/>
      </c>
      <c r="VLZ3" s="1" t="str" cm="1">
        <f t="array" ref="VLZ3">GetValue("Dmn","Name",VLZ2)</f>
        <v/>
      </c>
      <c r="VMA3" s="1" t="str" cm="1">
        <f t="array" ref="VMA3">GetValue("Dmn","Name",VMA2)</f>
        <v/>
      </c>
      <c r="VMB3" s="1" t="str" cm="1">
        <f t="array" ref="VMB3">GetValue("Dmn","Name",VMB2)</f>
        <v/>
      </c>
      <c r="VMC3" s="1" t="str" cm="1">
        <f t="array" ref="VMC3">GetValue("Dmn","Name",VMC2)</f>
        <v/>
      </c>
      <c r="VMD3" s="1" t="str" cm="1">
        <f t="array" ref="VMD3">GetValue("Dmn","Name",VMD2)</f>
        <v/>
      </c>
      <c r="VME3" s="1" t="str" cm="1">
        <f t="array" ref="VME3">GetValue("Dmn","Name",VME2)</f>
        <v/>
      </c>
      <c r="VMF3" s="1" t="str" cm="1">
        <f t="array" ref="VMF3">GetValue("Dmn","Name",VMF2)</f>
        <v/>
      </c>
      <c r="VMG3" s="1" t="str" cm="1">
        <f t="array" ref="VMG3">GetValue("Dmn","Name",VMG2)</f>
        <v/>
      </c>
      <c r="VMH3" s="1" t="str" cm="1">
        <f t="array" ref="VMH3">GetValue("Dmn","Name",VMH2)</f>
        <v/>
      </c>
      <c r="VMI3" s="1" t="str" cm="1">
        <f t="array" ref="VMI3">GetValue("Dmn","Name",VMI2)</f>
        <v/>
      </c>
      <c r="VMJ3" s="1" t="str" cm="1">
        <f t="array" ref="VMJ3">GetValue("Dmn","Name",VMJ2)</f>
        <v/>
      </c>
      <c r="VMK3" s="1" t="str" cm="1">
        <f t="array" ref="VMK3">GetValue("Dmn","Name",VMK2)</f>
        <v/>
      </c>
      <c r="VML3" s="1" t="str" cm="1">
        <f t="array" ref="VML3">GetValue("Dmn","Name",VML2)</f>
        <v/>
      </c>
      <c r="VMM3" s="1" t="str" cm="1">
        <f t="array" ref="VMM3">GetValue("Dmn","Name",VMM2)</f>
        <v/>
      </c>
      <c r="VMN3" s="1" t="str" cm="1">
        <f t="array" ref="VMN3">GetValue("Dmn","Name",VMN2)</f>
        <v/>
      </c>
      <c r="VMO3" s="1" t="str" cm="1">
        <f t="array" ref="VMO3">GetValue("Dmn","Name",VMO2)</f>
        <v/>
      </c>
      <c r="VMP3" s="1" t="str" cm="1">
        <f t="array" ref="VMP3">GetValue("Dmn","Name",VMP2)</f>
        <v/>
      </c>
      <c r="VMQ3" s="1" t="str" cm="1">
        <f t="array" ref="VMQ3">GetValue("Dmn","Name",VMQ2)</f>
        <v/>
      </c>
      <c r="VMR3" s="1" t="str" cm="1">
        <f t="array" ref="VMR3">GetValue("Dmn","Name",VMR2)</f>
        <v/>
      </c>
      <c r="VMS3" s="1" t="str" cm="1">
        <f t="array" ref="VMS3">GetValue("Dmn","Name",VMS2)</f>
        <v/>
      </c>
      <c r="VMT3" s="1" t="str" cm="1">
        <f t="array" ref="VMT3">GetValue("Dmn","Name",VMT2)</f>
        <v/>
      </c>
      <c r="VMU3" s="1" t="str" cm="1">
        <f t="array" ref="VMU3">GetValue("Dmn","Name",VMU2)</f>
        <v/>
      </c>
      <c r="VMV3" s="1" t="str" cm="1">
        <f t="array" ref="VMV3">GetValue("Dmn","Name",VMV2)</f>
        <v/>
      </c>
      <c r="VMW3" s="1" t="str" cm="1">
        <f t="array" ref="VMW3">GetValue("Dmn","Name",VMW2)</f>
        <v/>
      </c>
      <c r="VMX3" s="1" t="str" cm="1">
        <f t="array" ref="VMX3">GetValue("Dmn","Name",VMX2)</f>
        <v/>
      </c>
      <c r="VMY3" s="1" t="str" cm="1">
        <f t="array" ref="VMY3">GetValue("Dmn","Name",VMY2)</f>
        <v/>
      </c>
      <c r="VMZ3" s="1" t="str" cm="1">
        <f t="array" ref="VMZ3">GetValue("Dmn","Name",VMZ2)</f>
        <v/>
      </c>
      <c r="VNA3" s="1" t="str" cm="1">
        <f t="array" ref="VNA3">GetValue("Dmn","Name",VNA2)</f>
        <v/>
      </c>
      <c r="VNB3" s="1" t="str" cm="1">
        <f t="array" ref="VNB3">GetValue("Dmn","Name",VNB2)</f>
        <v/>
      </c>
      <c r="VNC3" s="1" t="str" cm="1">
        <f t="array" ref="VNC3">GetValue("Dmn","Name",VNC2)</f>
        <v/>
      </c>
      <c r="VND3" s="1" t="str" cm="1">
        <f t="array" ref="VND3">GetValue("Dmn","Name",VND2)</f>
        <v/>
      </c>
      <c r="VNE3" s="1" t="str" cm="1">
        <f t="array" ref="VNE3">GetValue("Dmn","Name",VNE2)</f>
        <v/>
      </c>
      <c r="VNF3" s="1" t="str" cm="1">
        <f t="array" ref="VNF3">GetValue("Dmn","Name",VNF2)</f>
        <v/>
      </c>
      <c r="VNG3" s="1" t="str" cm="1">
        <f t="array" ref="VNG3">GetValue("Dmn","Name",VNG2)</f>
        <v/>
      </c>
      <c r="VNH3" s="1" t="str" cm="1">
        <f t="array" ref="VNH3">GetValue("Dmn","Name",VNH2)</f>
        <v/>
      </c>
      <c r="VNI3" s="1" t="str" cm="1">
        <f t="array" ref="VNI3">GetValue("Dmn","Name",VNI2)</f>
        <v/>
      </c>
      <c r="VNJ3" s="1" t="str" cm="1">
        <f t="array" ref="VNJ3">GetValue("Dmn","Name",VNJ2)</f>
        <v/>
      </c>
      <c r="VNK3" s="1" t="str" cm="1">
        <f t="array" ref="VNK3">GetValue("Dmn","Name",VNK2)</f>
        <v/>
      </c>
      <c r="VNL3" s="1" t="str" cm="1">
        <f t="array" ref="VNL3">GetValue("Dmn","Name",VNL2)</f>
        <v/>
      </c>
      <c r="VNM3" s="1" t="str" cm="1">
        <f t="array" ref="VNM3">GetValue("Dmn","Name",VNM2)</f>
        <v/>
      </c>
      <c r="VNN3" s="1" t="str" cm="1">
        <f t="array" ref="VNN3">GetValue("Dmn","Name",VNN2)</f>
        <v/>
      </c>
      <c r="VNO3" s="1" t="str" cm="1">
        <f t="array" ref="VNO3">GetValue("Dmn","Name",VNO2)</f>
        <v/>
      </c>
      <c r="VNP3" s="1" t="str" cm="1">
        <f t="array" ref="VNP3">GetValue("Dmn","Name",VNP2)</f>
        <v/>
      </c>
      <c r="VNQ3" s="1" t="str" cm="1">
        <f t="array" ref="VNQ3">GetValue("Dmn","Name",VNQ2)</f>
        <v/>
      </c>
      <c r="VNR3" s="1" t="str" cm="1">
        <f t="array" ref="VNR3">GetValue("Dmn","Name",VNR2)</f>
        <v/>
      </c>
      <c r="VNS3" s="1" t="str" cm="1">
        <f t="array" ref="VNS3">GetValue("Dmn","Name",VNS2)</f>
        <v/>
      </c>
      <c r="VNT3" s="1" t="str" cm="1">
        <f t="array" ref="VNT3">GetValue("Dmn","Name",VNT2)</f>
        <v/>
      </c>
      <c r="VNU3" s="1" t="str" cm="1">
        <f t="array" ref="VNU3">GetValue("Dmn","Name",VNU2)</f>
        <v/>
      </c>
      <c r="VNV3" s="1" t="str" cm="1">
        <f t="array" ref="VNV3">GetValue("Dmn","Name",VNV2)</f>
        <v/>
      </c>
      <c r="VNW3" s="1" t="str" cm="1">
        <f t="array" ref="VNW3">GetValue("Dmn","Name",VNW2)</f>
        <v/>
      </c>
      <c r="VNX3" s="1" t="str" cm="1">
        <f t="array" ref="VNX3">GetValue("Dmn","Name",VNX2)</f>
        <v/>
      </c>
      <c r="VNY3" s="1" t="str" cm="1">
        <f t="array" ref="VNY3">GetValue("Dmn","Name",VNY2)</f>
        <v/>
      </c>
      <c r="VNZ3" s="1" t="str" cm="1">
        <f t="array" ref="VNZ3">GetValue("Dmn","Name",VNZ2)</f>
        <v/>
      </c>
      <c r="VOA3" s="1" t="str" cm="1">
        <f t="array" ref="VOA3">GetValue("Dmn","Name",VOA2)</f>
        <v/>
      </c>
      <c r="VOB3" s="1" t="str" cm="1">
        <f t="array" ref="VOB3">GetValue("Dmn","Name",VOB2)</f>
        <v/>
      </c>
      <c r="VOC3" s="1" t="str" cm="1">
        <f t="array" ref="VOC3">GetValue("Dmn","Name",VOC2)</f>
        <v/>
      </c>
      <c r="VOD3" s="1" t="str" cm="1">
        <f t="array" ref="VOD3">GetValue("Dmn","Name",VOD2)</f>
        <v/>
      </c>
      <c r="VOE3" s="1" t="str" cm="1">
        <f t="array" ref="VOE3">GetValue("Dmn","Name",VOE2)</f>
        <v/>
      </c>
      <c r="VOF3" s="1" t="str" cm="1">
        <f t="array" ref="VOF3">GetValue("Dmn","Name",VOF2)</f>
        <v/>
      </c>
      <c r="VOG3" s="1" t="str" cm="1">
        <f t="array" ref="VOG3">GetValue("Dmn","Name",VOG2)</f>
        <v/>
      </c>
      <c r="VOH3" s="1" t="str" cm="1">
        <f t="array" ref="VOH3">GetValue("Dmn","Name",VOH2)</f>
        <v/>
      </c>
      <c r="VOI3" s="1" t="str" cm="1">
        <f t="array" ref="VOI3">GetValue("Dmn","Name",VOI2)</f>
        <v/>
      </c>
      <c r="VOJ3" s="1" t="str" cm="1">
        <f t="array" ref="VOJ3">GetValue("Dmn","Name",VOJ2)</f>
        <v/>
      </c>
      <c r="VOK3" s="1" t="str" cm="1">
        <f t="array" ref="VOK3">GetValue("Dmn","Name",VOK2)</f>
        <v/>
      </c>
      <c r="VOL3" s="1" t="str" cm="1">
        <f t="array" ref="VOL3">GetValue("Dmn","Name",VOL2)</f>
        <v/>
      </c>
      <c r="VOM3" s="1" t="str" cm="1">
        <f t="array" ref="VOM3">GetValue("Dmn","Name",VOM2)</f>
        <v/>
      </c>
      <c r="VON3" s="1" t="str" cm="1">
        <f t="array" ref="VON3">GetValue("Dmn","Name",VON2)</f>
        <v/>
      </c>
      <c r="VOO3" s="1" t="str" cm="1">
        <f t="array" ref="VOO3">GetValue("Dmn","Name",VOO2)</f>
        <v/>
      </c>
      <c r="VOP3" s="1" t="str" cm="1">
        <f t="array" ref="VOP3">GetValue("Dmn","Name",VOP2)</f>
        <v/>
      </c>
      <c r="VOQ3" s="1" t="str" cm="1">
        <f t="array" ref="VOQ3">GetValue("Dmn","Name",VOQ2)</f>
        <v/>
      </c>
      <c r="VOR3" s="1" t="str" cm="1">
        <f t="array" ref="VOR3">GetValue("Dmn","Name",VOR2)</f>
        <v/>
      </c>
      <c r="VOS3" s="1" t="str" cm="1">
        <f t="array" ref="VOS3">GetValue("Dmn","Name",VOS2)</f>
        <v/>
      </c>
      <c r="VOT3" s="1" t="str" cm="1">
        <f t="array" ref="VOT3">GetValue("Dmn","Name",VOT2)</f>
        <v/>
      </c>
      <c r="VOU3" s="1" t="str" cm="1">
        <f t="array" ref="VOU3">GetValue("Dmn","Name",VOU2)</f>
        <v/>
      </c>
      <c r="VOV3" s="1" t="str" cm="1">
        <f t="array" ref="VOV3">GetValue("Dmn","Name",VOV2)</f>
        <v/>
      </c>
      <c r="VOW3" s="1" t="str" cm="1">
        <f t="array" ref="VOW3">GetValue("Dmn","Name",VOW2)</f>
        <v/>
      </c>
      <c r="VOX3" s="1" t="str" cm="1">
        <f t="array" ref="VOX3">GetValue("Dmn","Name",VOX2)</f>
        <v/>
      </c>
      <c r="VOY3" s="1" t="str" cm="1">
        <f t="array" ref="VOY3">GetValue("Dmn","Name",VOY2)</f>
        <v/>
      </c>
      <c r="VOZ3" s="1" t="str" cm="1">
        <f t="array" ref="VOZ3">GetValue("Dmn","Name",VOZ2)</f>
        <v/>
      </c>
      <c r="VPA3" s="1" t="str" cm="1">
        <f t="array" ref="VPA3">GetValue("Dmn","Name",VPA2)</f>
        <v/>
      </c>
      <c r="VPB3" s="1" t="str" cm="1">
        <f t="array" ref="VPB3">GetValue("Dmn","Name",VPB2)</f>
        <v/>
      </c>
      <c r="VPC3" s="1" t="str" cm="1">
        <f t="array" ref="VPC3">GetValue("Dmn","Name",VPC2)</f>
        <v/>
      </c>
      <c r="VPD3" s="1" t="str" cm="1">
        <f t="array" ref="VPD3">GetValue("Dmn","Name",VPD2)</f>
        <v/>
      </c>
      <c r="VPE3" s="1" t="str" cm="1">
        <f t="array" ref="VPE3">GetValue("Dmn","Name",VPE2)</f>
        <v/>
      </c>
      <c r="VPF3" s="1" t="str" cm="1">
        <f t="array" ref="VPF3">GetValue("Dmn","Name",VPF2)</f>
        <v/>
      </c>
      <c r="VPG3" s="1" t="str" cm="1">
        <f t="array" ref="VPG3">GetValue("Dmn","Name",VPG2)</f>
        <v/>
      </c>
      <c r="VPH3" s="1" t="str" cm="1">
        <f t="array" ref="VPH3">GetValue("Dmn","Name",VPH2)</f>
        <v/>
      </c>
      <c r="VPI3" s="1" t="str" cm="1">
        <f t="array" ref="VPI3">GetValue("Dmn","Name",VPI2)</f>
        <v/>
      </c>
      <c r="VPJ3" s="1" t="str" cm="1">
        <f t="array" ref="VPJ3">GetValue("Dmn","Name",VPJ2)</f>
        <v/>
      </c>
      <c r="VPK3" s="1" t="str" cm="1">
        <f t="array" ref="VPK3">GetValue("Dmn","Name",VPK2)</f>
        <v/>
      </c>
      <c r="VPL3" s="1" t="str" cm="1">
        <f t="array" ref="VPL3">GetValue("Dmn","Name",VPL2)</f>
        <v/>
      </c>
      <c r="VPM3" s="1" t="str" cm="1">
        <f t="array" ref="VPM3">GetValue("Dmn","Name",VPM2)</f>
        <v/>
      </c>
      <c r="VPN3" s="1" t="str" cm="1">
        <f t="array" ref="VPN3">GetValue("Dmn","Name",VPN2)</f>
        <v/>
      </c>
      <c r="VPO3" s="1" t="str" cm="1">
        <f t="array" ref="VPO3">GetValue("Dmn","Name",VPO2)</f>
        <v/>
      </c>
      <c r="VPP3" s="1" t="str" cm="1">
        <f t="array" ref="VPP3">GetValue("Dmn","Name",VPP2)</f>
        <v/>
      </c>
      <c r="VPQ3" s="1" t="str" cm="1">
        <f t="array" ref="VPQ3">GetValue("Dmn","Name",VPQ2)</f>
        <v/>
      </c>
      <c r="VPR3" s="1" t="str" cm="1">
        <f t="array" ref="VPR3">GetValue("Dmn","Name",VPR2)</f>
        <v/>
      </c>
      <c r="VPS3" s="1" t="str" cm="1">
        <f t="array" ref="VPS3">GetValue("Dmn","Name",VPS2)</f>
        <v/>
      </c>
      <c r="VPT3" s="1" t="str" cm="1">
        <f t="array" ref="VPT3">GetValue("Dmn","Name",VPT2)</f>
        <v/>
      </c>
      <c r="VPU3" s="1" t="str" cm="1">
        <f t="array" ref="VPU3">GetValue("Dmn","Name",VPU2)</f>
        <v/>
      </c>
      <c r="VPV3" s="1" t="str" cm="1">
        <f t="array" ref="VPV3">GetValue("Dmn","Name",VPV2)</f>
        <v/>
      </c>
      <c r="VPW3" s="1" t="str" cm="1">
        <f t="array" ref="VPW3">GetValue("Dmn","Name",VPW2)</f>
        <v/>
      </c>
      <c r="VPX3" s="1" t="str" cm="1">
        <f t="array" ref="VPX3">GetValue("Dmn","Name",VPX2)</f>
        <v/>
      </c>
      <c r="VPY3" s="1" t="str" cm="1">
        <f t="array" ref="VPY3">GetValue("Dmn","Name",VPY2)</f>
        <v/>
      </c>
      <c r="VPZ3" s="1" t="str" cm="1">
        <f t="array" ref="VPZ3">GetValue("Dmn","Name",VPZ2)</f>
        <v/>
      </c>
      <c r="VQA3" s="1" t="str" cm="1">
        <f t="array" ref="VQA3">GetValue("Dmn","Name",VQA2)</f>
        <v/>
      </c>
      <c r="VQB3" s="1" t="str" cm="1">
        <f t="array" ref="VQB3">GetValue("Dmn","Name",VQB2)</f>
        <v/>
      </c>
      <c r="VQC3" s="1" t="str" cm="1">
        <f t="array" ref="VQC3">GetValue("Dmn","Name",VQC2)</f>
        <v/>
      </c>
      <c r="VQD3" s="1" t="str" cm="1">
        <f t="array" ref="VQD3">GetValue("Dmn","Name",VQD2)</f>
        <v/>
      </c>
      <c r="VQE3" s="1" t="str" cm="1">
        <f t="array" ref="VQE3">GetValue("Dmn","Name",VQE2)</f>
        <v/>
      </c>
      <c r="VQF3" s="1" t="str" cm="1">
        <f t="array" ref="VQF3">GetValue("Dmn","Name",VQF2)</f>
        <v/>
      </c>
      <c r="VQG3" s="1" t="str" cm="1">
        <f t="array" ref="VQG3">GetValue("Dmn","Name",VQG2)</f>
        <v/>
      </c>
      <c r="VQH3" s="1" t="str" cm="1">
        <f t="array" ref="VQH3">GetValue("Dmn","Name",VQH2)</f>
        <v/>
      </c>
      <c r="VQI3" s="1" t="str" cm="1">
        <f t="array" ref="VQI3">GetValue("Dmn","Name",VQI2)</f>
        <v/>
      </c>
      <c r="VQJ3" s="1" t="str" cm="1">
        <f t="array" ref="VQJ3">GetValue("Dmn","Name",VQJ2)</f>
        <v/>
      </c>
      <c r="VQK3" s="1" t="str" cm="1">
        <f t="array" ref="VQK3">GetValue("Dmn","Name",VQK2)</f>
        <v/>
      </c>
      <c r="VQL3" s="1" t="str" cm="1">
        <f t="array" ref="VQL3">GetValue("Dmn","Name",VQL2)</f>
        <v/>
      </c>
      <c r="VQM3" s="1" t="str" cm="1">
        <f t="array" ref="VQM3">GetValue("Dmn","Name",VQM2)</f>
        <v/>
      </c>
      <c r="VQN3" s="1" t="str" cm="1">
        <f t="array" ref="VQN3">GetValue("Dmn","Name",VQN2)</f>
        <v/>
      </c>
      <c r="VQO3" s="1" t="str" cm="1">
        <f t="array" ref="VQO3">GetValue("Dmn","Name",VQO2)</f>
        <v/>
      </c>
      <c r="VQP3" s="1" t="str" cm="1">
        <f t="array" ref="VQP3">GetValue("Dmn","Name",VQP2)</f>
        <v/>
      </c>
      <c r="VQQ3" s="1" t="str" cm="1">
        <f t="array" ref="VQQ3">GetValue("Dmn","Name",VQQ2)</f>
        <v/>
      </c>
      <c r="VQR3" s="1" t="str" cm="1">
        <f t="array" ref="VQR3">GetValue("Dmn","Name",VQR2)</f>
        <v/>
      </c>
      <c r="VQS3" s="1" t="str" cm="1">
        <f t="array" ref="VQS3">GetValue("Dmn","Name",VQS2)</f>
        <v/>
      </c>
      <c r="VQT3" s="1" t="str" cm="1">
        <f t="array" ref="VQT3">GetValue("Dmn","Name",VQT2)</f>
        <v/>
      </c>
      <c r="VQU3" s="1" t="str" cm="1">
        <f t="array" ref="VQU3">GetValue("Dmn","Name",VQU2)</f>
        <v/>
      </c>
      <c r="VQV3" s="1" t="str" cm="1">
        <f t="array" ref="VQV3">GetValue("Dmn","Name",VQV2)</f>
        <v/>
      </c>
      <c r="VQW3" s="1" t="str" cm="1">
        <f t="array" ref="VQW3">GetValue("Dmn","Name",VQW2)</f>
        <v/>
      </c>
      <c r="VQX3" s="1" t="str" cm="1">
        <f t="array" ref="VQX3">GetValue("Dmn","Name",VQX2)</f>
        <v/>
      </c>
      <c r="VQY3" s="1" t="str" cm="1">
        <f t="array" ref="VQY3">GetValue("Dmn","Name",VQY2)</f>
        <v/>
      </c>
      <c r="VQZ3" s="1" t="str" cm="1">
        <f t="array" ref="VQZ3">GetValue("Dmn","Name",VQZ2)</f>
        <v/>
      </c>
      <c r="VRA3" s="1" t="str" cm="1">
        <f t="array" ref="VRA3">GetValue("Dmn","Name",VRA2)</f>
        <v/>
      </c>
      <c r="VRB3" s="1" t="str" cm="1">
        <f t="array" ref="VRB3">GetValue("Dmn","Name",VRB2)</f>
        <v/>
      </c>
      <c r="VRC3" s="1" t="str" cm="1">
        <f t="array" ref="VRC3">GetValue("Dmn","Name",VRC2)</f>
        <v/>
      </c>
      <c r="VRD3" s="1" t="str" cm="1">
        <f t="array" ref="VRD3">GetValue("Dmn","Name",VRD2)</f>
        <v/>
      </c>
      <c r="VRE3" s="1" t="str" cm="1">
        <f t="array" ref="VRE3">GetValue("Dmn","Name",VRE2)</f>
        <v/>
      </c>
      <c r="VRF3" s="1" t="str" cm="1">
        <f t="array" ref="VRF3">GetValue("Dmn","Name",VRF2)</f>
        <v/>
      </c>
      <c r="VRG3" s="1" t="str" cm="1">
        <f t="array" ref="VRG3">GetValue("Dmn","Name",VRG2)</f>
        <v/>
      </c>
      <c r="VRH3" s="1" t="str" cm="1">
        <f t="array" ref="VRH3">GetValue("Dmn","Name",VRH2)</f>
        <v/>
      </c>
      <c r="VRI3" s="1" t="str" cm="1">
        <f t="array" ref="VRI3">GetValue("Dmn","Name",VRI2)</f>
        <v/>
      </c>
      <c r="VRJ3" s="1" t="str" cm="1">
        <f t="array" ref="VRJ3">GetValue("Dmn","Name",VRJ2)</f>
        <v/>
      </c>
      <c r="VRK3" s="1" t="str" cm="1">
        <f t="array" ref="VRK3">GetValue("Dmn","Name",VRK2)</f>
        <v/>
      </c>
      <c r="VRL3" s="1" t="str" cm="1">
        <f t="array" ref="VRL3">GetValue("Dmn","Name",VRL2)</f>
        <v/>
      </c>
      <c r="VRM3" s="1" t="str" cm="1">
        <f t="array" ref="VRM3">GetValue("Dmn","Name",VRM2)</f>
        <v/>
      </c>
      <c r="VRN3" s="1" t="str" cm="1">
        <f t="array" ref="VRN3">GetValue("Dmn","Name",VRN2)</f>
        <v/>
      </c>
      <c r="VRO3" s="1" t="str" cm="1">
        <f t="array" ref="VRO3">GetValue("Dmn","Name",VRO2)</f>
        <v/>
      </c>
      <c r="VRP3" s="1" t="str" cm="1">
        <f t="array" ref="VRP3">GetValue("Dmn","Name",VRP2)</f>
        <v/>
      </c>
      <c r="VRQ3" s="1" t="str" cm="1">
        <f t="array" ref="VRQ3">GetValue("Dmn","Name",VRQ2)</f>
        <v/>
      </c>
      <c r="VRR3" s="1" t="str" cm="1">
        <f t="array" ref="VRR3">GetValue("Dmn","Name",VRR2)</f>
        <v/>
      </c>
      <c r="VRS3" s="1" t="str" cm="1">
        <f t="array" ref="VRS3">GetValue("Dmn","Name",VRS2)</f>
        <v/>
      </c>
      <c r="VRT3" s="1" t="str" cm="1">
        <f t="array" ref="VRT3">GetValue("Dmn","Name",VRT2)</f>
        <v/>
      </c>
      <c r="VRU3" s="1" t="str" cm="1">
        <f t="array" ref="VRU3">GetValue("Dmn","Name",VRU2)</f>
        <v/>
      </c>
      <c r="VRV3" s="1" t="str" cm="1">
        <f t="array" ref="VRV3">GetValue("Dmn","Name",VRV2)</f>
        <v/>
      </c>
      <c r="VRW3" s="1" t="str" cm="1">
        <f t="array" ref="VRW3">GetValue("Dmn","Name",VRW2)</f>
        <v/>
      </c>
      <c r="VRX3" s="1" t="str" cm="1">
        <f t="array" ref="VRX3">GetValue("Dmn","Name",VRX2)</f>
        <v/>
      </c>
      <c r="VRY3" s="1" t="str" cm="1">
        <f t="array" ref="VRY3">GetValue("Dmn","Name",VRY2)</f>
        <v/>
      </c>
      <c r="VRZ3" s="1" t="str" cm="1">
        <f t="array" ref="VRZ3">GetValue("Dmn","Name",VRZ2)</f>
        <v/>
      </c>
      <c r="VSA3" s="1" t="str" cm="1">
        <f t="array" ref="VSA3">GetValue("Dmn","Name",VSA2)</f>
        <v/>
      </c>
      <c r="VSB3" s="1" t="str" cm="1">
        <f t="array" ref="VSB3">GetValue("Dmn","Name",VSB2)</f>
        <v/>
      </c>
      <c r="VSC3" s="1" t="str" cm="1">
        <f t="array" ref="VSC3">GetValue("Dmn","Name",VSC2)</f>
        <v/>
      </c>
      <c r="VSD3" s="1" t="str" cm="1">
        <f t="array" ref="VSD3">GetValue("Dmn","Name",VSD2)</f>
        <v/>
      </c>
      <c r="VSE3" s="1" t="str" cm="1">
        <f t="array" ref="VSE3">GetValue("Dmn","Name",VSE2)</f>
        <v/>
      </c>
      <c r="VSF3" s="1" t="str" cm="1">
        <f t="array" ref="VSF3">GetValue("Dmn","Name",VSF2)</f>
        <v/>
      </c>
      <c r="VSG3" s="1" t="str" cm="1">
        <f t="array" ref="VSG3">GetValue("Dmn","Name",VSG2)</f>
        <v/>
      </c>
      <c r="VSH3" s="1" t="str" cm="1">
        <f t="array" ref="VSH3">GetValue("Dmn","Name",VSH2)</f>
        <v/>
      </c>
      <c r="VSI3" s="1" t="str" cm="1">
        <f t="array" ref="VSI3">GetValue("Dmn","Name",VSI2)</f>
        <v/>
      </c>
      <c r="VSJ3" s="1" t="str" cm="1">
        <f t="array" ref="VSJ3">GetValue("Dmn","Name",VSJ2)</f>
        <v/>
      </c>
      <c r="VSK3" s="1" t="str" cm="1">
        <f t="array" ref="VSK3">GetValue("Dmn","Name",VSK2)</f>
        <v/>
      </c>
      <c r="VSL3" s="1" t="str" cm="1">
        <f t="array" ref="VSL3">GetValue("Dmn","Name",VSL2)</f>
        <v/>
      </c>
      <c r="VSM3" s="1" t="str" cm="1">
        <f t="array" ref="VSM3">GetValue("Dmn","Name",VSM2)</f>
        <v/>
      </c>
      <c r="VSN3" s="1" t="str" cm="1">
        <f t="array" ref="VSN3">GetValue("Dmn","Name",VSN2)</f>
        <v/>
      </c>
      <c r="VSO3" s="1" t="str" cm="1">
        <f t="array" ref="VSO3">GetValue("Dmn","Name",VSO2)</f>
        <v/>
      </c>
      <c r="VSP3" s="1" t="str" cm="1">
        <f t="array" ref="VSP3">GetValue("Dmn","Name",VSP2)</f>
        <v/>
      </c>
      <c r="VSQ3" s="1" t="str" cm="1">
        <f t="array" ref="VSQ3">GetValue("Dmn","Name",VSQ2)</f>
        <v/>
      </c>
      <c r="VSR3" s="1" t="str" cm="1">
        <f t="array" ref="VSR3">GetValue("Dmn","Name",VSR2)</f>
        <v/>
      </c>
      <c r="VSS3" s="1" t="str" cm="1">
        <f t="array" ref="VSS3">GetValue("Dmn","Name",VSS2)</f>
        <v/>
      </c>
      <c r="VST3" s="1" t="str" cm="1">
        <f t="array" ref="VST3">GetValue("Dmn","Name",VST2)</f>
        <v/>
      </c>
      <c r="VSU3" s="1" t="str" cm="1">
        <f t="array" ref="VSU3">GetValue("Dmn","Name",VSU2)</f>
        <v/>
      </c>
      <c r="VSV3" s="1" t="str" cm="1">
        <f t="array" ref="VSV3">GetValue("Dmn","Name",VSV2)</f>
        <v/>
      </c>
      <c r="VSW3" s="1" t="str" cm="1">
        <f t="array" ref="VSW3">GetValue("Dmn","Name",VSW2)</f>
        <v/>
      </c>
      <c r="VSX3" s="1" t="str" cm="1">
        <f t="array" ref="VSX3">GetValue("Dmn","Name",VSX2)</f>
        <v/>
      </c>
      <c r="VSY3" s="1" t="str" cm="1">
        <f t="array" ref="VSY3">GetValue("Dmn","Name",VSY2)</f>
        <v/>
      </c>
      <c r="VSZ3" s="1" t="str" cm="1">
        <f t="array" ref="VSZ3">GetValue("Dmn","Name",VSZ2)</f>
        <v/>
      </c>
      <c r="VTA3" s="1" t="str" cm="1">
        <f t="array" ref="VTA3">GetValue("Dmn","Name",VTA2)</f>
        <v/>
      </c>
      <c r="VTB3" s="1" t="str" cm="1">
        <f t="array" ref="VTB3">GetValue("Dmn","Name",VTB2)</f>
        <v/>
      </c>
      <c r="VTC3" s="1" t="str" cm="1">
        <f t="array" ref="VTC3">GetValue("Dmn","Name",VTC2)</f>
        <v/>
      </c>
      <c r="VTD3" s="1" t="str" cm="1">
        <f t="array" ref="VTD3">GetValue("Dmn","Name",VTD2)</f>
        <v/>
      </c>
      <c r="VTE3" s="1" t="str" cm="1">
        <f t="array" ref="VTE3">GetValue("Dmn","Name",VTE2)</f>
        <v/>
      </c>
      <c r="VTF3" s="1" t="str" cm="1">
        <f t="array" ref="VTF3">GetValue("Dmn","Name",VTF2)</f>
        <v/>
      </c>
      <c r="VTG3" s="1" t="str" cm="1">
        <f t="array" ref="VTG3">GetValue("Dmn","Name",VTG2)</f>
        <v/>
      </c>
      <c r="VTH3" s="1" t="str" cm="1">
        <f t="array" ref="VTH3">GetValue("Dmn","Name",VTH2)</f>
        <v/>
      </c>
      <c r="VTI3" s="1" t="str" cm="1">
        <f t="array" ref="VTI3">GetValue("Dmn","Name",VTI2)</f>
        <v/>
      </c>
      <c r="VTJ3" s="1" t="str" cm="1">
        <f t="array" ref="VTJ3">GetValue("Dmn","Name",VTJ2)</f>
        <v/>
      </c>
      <c r="VTK3" s="1" t="str" cm="1">
        <f t="array" ref="VTK3">GetValue("Dmn","Name",VTK2)</f>
        <v/>
      </c>
      <c r="VTL3" s="1" t="str" cm="1">
        <f t="array" ref="VTL3">GetValue("Dmn","Name",VTL2)</f>
        <v/>
      </c>
      <c r="VTM3" s="1" t="str" cm="1">
        <f t="array" ref="VTM3">GetValue("Dmn","Name",VTM2)</f>
        <v/>
      </c>
      <c r="VTN3" s="1" t="str" cm="1">
        <f t="array" ref="VTN3">GetValue("Dmn","Name",VTN2)</f>
        <v/>
      </c>
      <c r="VTO3" s="1" t="str" cm="1">
        <f t="array" ref="VTO3">GetValue("Dmn","Name",VTO2)</f>
        <v/>
      </c>
      <c r="VTP3" s="1" t="str" cm="1">
        <f t="array" ref="VTP3">GetValue("Dmn","Name",VTP2)</f>
        <v/>
      </c>
      <c r="VTQ3" s="1" t="str" cm="1">
        <f t="array" ref="VTQ3">GetValue("Dmn","Name",VTQ2)</f>
        <v/>
      </c>
      <c r="VTR3" s="1" t="str" cm="1">
        <f t="array" ref="VTR3">GetValue("Dmn","Name",VTR2)</f>
        <v/>
      </c>
      <c r="VTS3" s="1" t="str" cm="1">
        <f t="array" ref="VTS3">GetValue("Dmn","Name",VTS2)</f>
        <v/>
      </c>
      <c r="VTT3" s="1" t="str" cm="1">
        <f t="array" ref="VTT3">GetValue("Dmn","Name",VTT2)</f>
        <v/>
      </c>
      <c r="VTU3" s="1" t="str" cm="1">
        <f t="array" ref="VTU3">GetValue("Dmn","Name",VTU2)</f>
        <v/>
      </c>
      <c r="VTV3" s="1" t="str" cm="1">
        <f t="array" ref="VTV3">GetValue("Dmn","Name",VTV2)</f>
        <v/>
      </c>
      <c r="VTW3" s="1" t="str" cm="1">
        <f t="array" ref="VTW3">GetValue("Dmn","Name",VTW2)</f>
        <v/>
      </c>
      <c r="VTX3" s="1" t="str" cm="1">
        <f t="array" ref="VTX3">GetValue("Dmn","Name",VTX2)</f>
        <v/>
      </c>
      <c r="VTY3" s="1" t="str" cm="1">
        <f t="array" ref="VTY3">GetValue("Dmn","Name",VTY2)</f>
        <v/>
      </c>
      <c r="VTZ3" s="1" t="str" cm="1">
        <f t="array" ref="VTZ3">GetValue("Dmn","Name",VTZ2)</f>
        <v/>
      </c>
      <c r="VUA3" s="1" t="str" cm="1">
        <f t="array" ref="VUA3">GetValue("Dmn","Name",VUA2)</f>
        <v/>
      </c>
      <c r="VUB3" s="1" t="str" cm="1">
        <f t="array" ref="VUB3">GetValue("Dmn","Name",VUB2)</f>
        <v/>
      </c>
      <c r="VUC3" s="1" t="str" cm="1">
        <f t="array" ref="VUC3">GetValue("Dmn","Name",VUC2)</f>
        <v/>
      </c>
      <c r="VUD3" s="1" t="str" cm="1">
        <f t="array" ref="VUD3">GetValue("Dmn","Name",VUD2)</f>
        <v/>
      </c>
      <c r="VUE3" s="1" t="str" cm="1">
        <f t="array" ref="VUE3">GetValue("Dmn","Name",VUE2)</f>
        <v/>
      </c>
      <c r="VUF3" s="1" t="str" cm="1">
        <f t="array" ref="VUF3">GetValue("Dmn","Name",VUF2)</f>
        <v/>
      </c>
      <c r="VUG3" s="1" t="str" cm="1">
        <f t="array" ref="VUG3">GetValue("Dmn","Name",VUG2)</f>
        <v/>
      </c>
      <c r="VUH3" s="1" t="str" cm="1">
        <f t="array" ref="VUH3">GetValue("Dmn","Name",VUH2)</f>
        <v/>
      </c>
      <c r="VUI3" s="1" t="str" cm="1">
        <f t="array" ref="VUI3">GetValue("Dmn","Name",VUI2)</f>
        <v/>
      </c>
      <c r="VUJ3" s="1" t="str" cm="1">
        <f t="array" ref="VUJ3">GetValue("Dmn","Name",VUJ2)</f>
        <v/>
      </c>
      <c r="VUK3" s="1" t="str" cm="1">
        <f t="array" ref="VUK3">GetValue("Dmn","Name",VUK2)</f>
        <v/>
      </c>
      <c r="VUL3" s="1" t="str" cm="1">
        <f t="array" ref="VUL3">GetValue("Dmn","Name",VUL2)</f>
        <v/>
      </c>
      <c r="VUM3" s="1" t="str" cm="1">
        <f t="array" ref="VUM3">GetValue("Dmn","Name",VUM2)</f>
        <v/>
      </c>
      <c r="VUN3" s="1" t="str" cm="1">
        <f t="array" ref="VUN3">GetValue("Dmn","Name",VUN2)</f>
        <v/>
      </c>
      <c r="VUO3" s="1" t="str" cm="1">
        <f t="array" ref="VUO3">GetValue("Dmn","Name",VUO2)</f>
        <v/>
      </c>
      <c r="VUP3" s="1" t="str" cm="1">
        <f t="array" ref="VUP3">GetValue("Dmn","Name",VUP2)</f>
        <v/>
      </c>
      <c r="VUQ3" s="1" t="str" cm="1">
        <f t="array" ref="VUQ3">GetValue("Dmn","Name",VUQ2)</f>
        <v/>
      </c>
      <c r="VUR3" s="1" t="str" cm="1">
        <f t="array" ref="VUR3">GetValue("Dmn","Name",VUR2)</f>
        <v/>
      </c>
      <c r="VUS3" s="1" t="str" cm="1">
        <f t="array" ref="VUS3">GetValue("Dmn","Name",VUS2)</f>
        <v/>
      </c>
      <c r="VUT3" s="1" t="str" cm="1">
        <f t="array" ref="VUT3">GetValue("Dmn","Name",VUT2)</f>
        <v/>
      </c>
      <c r="VUU3" s="1" t="str" cm="1">
        <f t="array" ref="VUU3">GetValue("Dmn","Name",VUU2)</f>
        <v/>
      </c>
      <c r="VUV3" s="1" t="str" cm="1">
        <f t="array" ref="VUV3">GetValue("Dmn","Name",VUV2)</f>
        <v/>
      </c>
      <c r="VUW3" s="1" t="str" cm="1">
        <f t="array" ref="VUW3">GetValue("Dmn","Name",VUW2)</f>
        <v/>
      </c>
      <c r="VUX3" s="1" t="str" cm="1">
        <f t="array" ref="VUX3">GetValue("Dmn","Name",VUX2)</f>
        <v/>
      </c>
      <c r="VUY3" s="1" t="str" cm="1">
        <f t="array" ref="VUY3">GetValue("Dmn","Name",VUY2)</f>
        <v/>
      </c>
      <c r="VUZ3" s="1" t="str" cm="1">
        <f t="array" ref="VUZ3">GetValue("Dmn","Name",VUZ2)</f>
        <v/>
      </c>
      <c r="VVA3" s="1" t="str" cm="1">
        <f t="array" ref="VVA3">GetValue("Dmn","Name",VVA2)</f>
        <v/>
      </c>
      <c r="VVB3" s="1" t="str" cm="1">
        <f t="array" ref="VVB3">GetValue("Dmn","Name",VVB2)</f>
        <v/>
      </c>
      <c r="VVC3" s="1" t="str" cm="1">
        <f t="array" ref="VVC3">GetValue("Dmn","Name",VVC2)</f>
        <v/>
      </c>
      <c r="VVD3" s="1" t="str" cm="1">
        <f t="array" ref="VVD3">GetValue("Dmn","Name",VVD2)</f>
        <v/>
      </c>
      <c r="VVE3" s="1" t="str" cm="1">
        <f t="array" ref="VVE3">GetValue("Dmn","Name",VVE2)</f>
        <v/>
      </c>
      <c r="VVF3" s="1" t="str" cm="1">
        <f t="array" ref="VVF3">GetValue("Dmn","Name",VVF2)</f>
        <v/>
      </c>
      <c r="VVG3" s="1" t="str" cm="1">
        <f t="array" ref="VVG3">GetValue("Dmn","Name",VVG2)</f>
        <v/>
      </c>
      <c r="VVH3" s="1" t="str" cm="1">
        <f t="array" ref="VVH3">GetValue("Dmn","Name",VVH2)</f>
        <v/>
      </c>
      <c r="VVI3" s="1" t="str" cm="1">
        <f t="array" ref="VVI3">GetValue("Dmn","Name",VVI2)</f>
        <v/>
      </c>
      <c r="VVJ3" s="1" t="str" cm="1">
        <f t="array" ref="VVJ3">GetValue("Dmn","Name",VVJ2)</f>
        <v/>
      </c>
      <c r="VVK3" s="1" t="str" cm="1">
        <f t="array" ref="VVK3">GetValue("Dmn","Name",VVK2)</f>
        <v/>
      </c>
      <c r="VVL3" s="1" t="str" cm="1">
        <f t="array" ref="VVL3">GetValue("Dmn","Name",VVL2)</f>
        <v/>
      </c>
      <c r="VVM3" s="1" t="str" cm="1">
        <f t="array" ref="VVM3">GetValue("Dmn","Name",VVM2)</f>
        <v/>
      </c>
      <c r="VVN3" s="1" t="str" cm="1">
        <f t="array" ref="VVN3">GetValue("Dmn","Name",VVN2)</f>
        <v/>
      </c>
      <c r="VVO3" s="1" t="str" cm="1">
        <f t="array" ref="VVO3">GetValue("Dmn","Name",VVO2)</f>
        <v/>
      </c>
      <c r="VVP3" s="1" t="str" cm="1">
        <f t="array" ref="VVP3">GetValue("Dmn","Name",VVP2)</f>
        <v/>
      </c>
      <c r="VVQ3" s="1" t="str" cm="1">
        <f t="array" ref="VVQ3">GetValue("Dmn","Name",VVQ2)</f>
        <v/>
      </c>
      <c r="VVR3" s="1" t="str" cm="1">
        <f t="array" ref="VVR3">GetValue("Dmn","Name",VVR2)</f>
        <v/>
      </c>
      <c r="VVS3" s="1" t="str" cm="1">
        <f t="array" ref="VVS3">GetValue("Dmn","Name",VVS2)</f>
        <v/>
      </c>
      <c r="VVT3" s="1" t="str" cm="1">
        <f t="array" ref="VVT3">GetValue("Dmn","Name",VVT2)</f>
        <v/>
      </c>
      <c r="VVU3" s="1" t="str" cm="1">
        <f t="array" ref="VVU3">GetValue("Dmn","Name",VVU2)</f>
        <v/>
      </c>
      <c r="VVV3" s="1" t="str" cm="1">
        <f t="array" ref="VVV3">GetValue("Dmn","Name",VVV2)</f>
        <v/>
      </c>
      <c r="VVW3" s="1" t="str" cm="1">
        <f t="array" ref="VVW3">GetValue("Dmn","Name",VVW2)</f>
        <v/>
      </c>
      <c r="VVX3" s="1" t="str" cm="1">
        <f t="array" ref="VVX3">GetValue("Dmn","Name",VVX2)</f>
        <v/>
      </c>
      <c r="VVY3" s="1" t="str" cm="1">
        <f t="array" ref="VVY3">GetValue("Dmn","Name",VVY2)</f>
        <v/>
      </c>
      <c r="VVZ3" s="1" t="str" cm="1">
        <f t="array" ref="VVZ3">GetValue("Dmn","Name",VVZ2)</f>
        <v/>
      </c>
      <c r="VWA3" s="1" t="str" cm="1">
        <f t="array" ref="VWA3">GetValue("Dmn","Name",VWA2)</f>
        <v/>
      </c>
      <c r="VWB3" s="1" t="str" cm="1">
        <f t="array" ref="VWB3">GetValue("Dmn","Name",VWB2)</f>
        <v/>
      </c>
      <c r="VWC3" s="1" t="str" cm="1">
        <f t="array" ref="VWC3">GetValue("Dmn","Name",VWC2)</f>
        <v/>
      </c>
      <c r="VWD3" s="1" t="str" cm="1">
        <f t="array" ref="VWD3">GetValue("Dmn","Name",VWD2)</f>
        <v/>
      </c>
      <c r="VWE3" s="1" t="str" cm="1">
        <f t="array" ref="VWE3">GetValue("Dmn","Name",VWE2)</f>
        <v/>
      </c>
      <c r="VWF3" s="1" t="str" cm="1">
        <f t="array" ref="VWF3">GetValue("Dmn","Name",VWF2)</f>
        <v/>
      </c>
      <c r="VWG3" s="1" t="str" cm="1">
        <f t="array" ref="VWG3">GetValue("Dmn","Name",VWG2)</f>
        <v/>
      </c>
      <c r="VWH3" s="1" t="str" cm="1">
        <f t="array" ref="VWH3">GetValue("Dmn","Name",VWH2)</f>
        <v/>
      </c>
      <c r="VWI3" s="1" t="str" cm="1">
        <f t="array" ref="VWI3">GetValue("Dmn","Name",VWI2)</f>
        <v/>
      </c>
      <c r="VWJ3" s="1" t="str" cm="1">
        <f t="array" ref="VWJ3">GetValue("Dmn","Name",VWJ2)</f>
        <v/>
      </c>
      <c r="VWK3" s="1" t="str" cm="1">
        <f t="array" ref="VWK3">GetValue("Dmn","Name",VWK2)</f>
        <v/>
      </c>
      <c r="VWL3" s="1" t="str" cm="1">
        <f t="array" ref="VWL3">GetValue("Dmn","Name",VWL2)</f>
        <v/>
      </c>
      <c r="VWM3" s="1" t="str" cm="1">
        <f t="array" ref="VWM3">GetValue("Dmn","Name",VWM2)</f>
        <v/>
      </c>
      <c r="VWN3" s="1" t="str" cm="1">
        <f t="array" ref="VWN3">GetValue("Dmn","Name",VWN2)</f>
        <v/>
      </c>
      <c r="VWO3" s="1" t="str" cm="1">
        <f t="array" ref="VWO3">GetValue("Dmn","Name",VWO2)</f>
        <v/>
      </c>
      <c r="VWP3" s="1" t="str" cm="1">
        <f t="array" ref="VWP3">GetValue("Dmn","Name",VWP2)</f>
        <v/>
      </c>
      <c r="VWQ3" s="1" t="str" cm="1">
        <f t="array" ref="VWQ3">GetValue("Dmn","Name",VWQ2)</f>
        <v/>
      </c>
      <c r="VWR3" s="1" t="str" cm="1">
        <f t="array" ref="VWR3">GetValue("Dmn","Name",VWR2)</f>
        <v/>
      </c>
      <c r="VWS3" s="1" t="str" cm="1">
        <f t="array" ref="VWS3">GetValue("Dmn","Name",VWS2)</f>
        <v/>
      </c>
      <c r="VWT3" s="1" t="str" cm="1">
        <f t="array" ref="VWT3">GetValue("Dmn","Name",VWT2)</f>
        <v/>
      </c>
      <c r="VWU3" s="1" t="str" cm="1">
        <f t="array" ref="VWU3">GetValue("Dmn","Name",VWU2)</f>
        <v/>
      </c>
      <c r="VWV3" s="1" t="str" cm="1">
        <f t="array" ref="VWV3">GetValue("Dmn","Name",VWV2)</f>
        <v/>
      </c>
      <c r="VWW3" s="1" t="str" cm="1">
        <f t="array" ref="VWW3">GetValue("Dmn","Name",VWW2)</f>
        <v/>
      </c>
      <c r="VWX3" s="1" t="str" cm="1">
        <f t="array" ref="VWX3">GetValue("Dmn","Name",VWX2)</f>
        <v/>
      </c>
      <c r="VWY3" s="1" t="str" cm="1">
        <f t="array" ref="VWY3">GetValue("Dmn","Name",VWY2)</f>
        <v/>
      </c>
      <c r="VWZ3" s="1" t="str" cm="1">
        <f t="array" ref="VWZ3">GetValue("Dmn","Name",VWZ2)</f>
        <v/>
      </c>
      <c r="VXA3" s="1" t="str" cm="1">
        <f t="array" ref="VXA3">GetValue("Dmn","Name",VXA2)</f>
        <v/>
      </c>
      <c r="VXB3" s="1" t="str" cm="1">
        <f t="array" ref="VXB3">GetValue("Dmn","Name",VXB2)</f>
        <v/>
      </c>
      <c r="VXC3" s="1" t="str" cm="1">
        <f t="array" ref="VXC3">GetValue("Dmn","Name",VXC2)</f>
        <v/>
      </c>
      <c r="VXD3" s="1" t="str" cm="1">
        <f t="array" ref="VXD3">GetValue("Dmn","Name",VXD2)</f>
        <v/>
      </c>
      <c r="VXE3" s="1" t="str" cm="1">
        <f t="array" ref="VXE3">GetValue("Dmn","Name",VXE2)</f>
        <v/>
      </c>
      <c r="VXF3" s="1" t="str" cm="1">
        <f t="array" ref="VXF3">GetValue("Dmn","Name",VXF2)</f>
        <v/>
      </c>
      <c r="VXG3" s="1" t="str" cm="1">
        <f t="array" ref="VXG3">GetValue("Dmn","Name",VXG2)</f>
        <v/>
      </c>
      <c r="VXH3" s="1" t="str" cm="1">
        <f t="array" ref="VXH3">GetValue("Dmn","Name",VXH2)</f>
        <v/>
      </c>
      <c r="VXI3" s="1" t="str" cm="1">
        <f t="array" ref="VXI3">GetValue("Dmn","Name",VXI2)</f>
        <v/>
      </c>
      <c r="VXJ3" s="1" t="str" cm="1">
        <f t="array" ref="VXJ3">GetValue("Dmn","Name",VXJ2)</f>
        <v/>
      </c>
      <c r="VXK3" s="1" t="str" cm="1">
        <f t="array" ref="VXK3">GetValue("Dmn","Name",VXK2)</f>
        <v/>
      </c>
      <c r="VXL3" s="1" t="str" cm="1">
        <f t="array" ref="VXL3">GetValue("Dmn","Name",VXL2)</f>
        <v/>
      </c>
      <c r="VXM3" s="1" t="str" cm="1">
        <f t="array" ref="VXM3">GetValue("Dmn","Name",VXM2)</f>
        <v/>
      </c>
      <c r="VXN3" s="1" t="str" cm="1">
        <f t="array" ref="VXN3">GetValue("Dmn","Name",VXN2)</f>
        <v/>
      </c>
      <c r="VXO3" s="1" t="str" cm="1">
        <f t="array" ref="VXO3">GetValue("Dmn","Name",VXO2)</f>
        <v/>
      </c>
      <c r="VXP3" s="1" t="str" cm="1">
        <f t="array" ref="VXP3">GetValue("Dmn","Name",VXP2)</f>
        <v/>
      </c>
      <c r="VXQ3" s="1" t="str" cm="1">
        <f t="array" ref="VXQ3">GetValue("Dmn","Name",VXQ2)</f>
        <v/>
      </c>
      <c r="VXR3" s="1" t="str" cm="1">
        <f t="array" ref="VXR3">GetValue("Dmn","Name",VXR2)</f>
        <v/>
      </c>
      <c r="VXS3" s="1" t="str" cm="1">
        <f t="array" ref="VXS3">GetValue("Dmn","Name",VXS2)</f>
        <v/>
      </c>
      <c r="VXT3" s="1" t="str" cm="1">
        <f t="array" ref="VXT3">GetValue("Dmn","Name",VXT2)</f>
        <v/>
      </c>
      <c r="VXU3" s="1" t="str" cm="1">
        <f t="array" ref="VXU3">GetValue("Dmn","Name",VXU2)</f>
        <v/>
      </c>
      <c r="VXV3" s="1" t="str" cm="1">
        <f t="array" ref="VXV3">GetValue("Dmn","Name",VXV2)</f>
        <v/>
      </c>
      <c r="VXW3" s="1" t="str" cm="1">
        <f t="array" ref="VXW3">GetValue("Dmn","Name",VXW2)</f>
        <v/>
      </c>
      <c r="VXX3" s="1" t="str" cm="1">
        <f t="array" ref="VXX3">GetValue("Dmn","Name",VXX2)</f>
        <v/>
      </c>
      <c r="VXY3" s="1" t="str" cm="1">
        <f t="array" ref="VXY3">GetValue("Dmn","Name",VXY2)</f>
        <v/>
      </c>
      <c r="VXZ3" s="1" t="str" cm="1">
        <f t="array" ref="VXZ3">GetValue("Dmn","Name",VXZ2)</f>
        <v/>
      </c>
      <c r="VYA3" s="1" t="str" cm="1">
        <f t="array" ref="VYA3">GetValue("Dmn","Name",VYA2)</f>
        <v/>
      </c>
      <c r="VYB3" s="1" t="str" cm="1">
        <f t="array" ref="VYB3">GetValue("Dmn","Name",VYB2)</f>
        <v/>
      </c>
      <c r="VYC3" s="1" t="str" cm="1">
        <f t="array" ref="VYC3">GetValue("Dmn","Name",VYC2)</f>
        <v/>
      </c>
      <c r="VYD3" s="1" t="str" cm="1">
        <f t="array" ref="VYD3">GetValue("Dmn","Name",VYD2)</f>
        <v/>
      </c>
      <c r="VYE3" s="1" t="str" cm="1">
        <f t="array" ref="VYE3">GetValue("Dmn","Name",VYE2)</f>
        <v/>
      </c>
      <c r="VYF3" s="1" t="str" cm="1">
        <f t="array" ref="VYF3">GetValue("Dmn","Name",VYF2)</f>
        <v/>
      </c>
      <c r="VYG3" s="1" t="str" cm="1">
        <f t="array" ref="VYG3">GetValue("Dmn","Name",VYG2)</f>
        <v/>
      </c>
      <c r="VYH3" s="1" t="str" cm="1">
        <f t="array" ref="VYH3">GetValue("Dmn","Name",VYH2)</f>
        <v/>
      </c>
      <c r="VYI3" s="1" t="str" cm="1">
        <f t="array" ref="VYI3">GetValue("Dmn","Name",VYI2)</f>
        <v/>
      </c>
      <c r="VYJ3" s="1" t="str" cm="1">
        <f t="array" ref="VYJ3">GetValue("Dmn","Name",VYJ2)</f>
        <v/>
      </c>
      <c r="VYK3" s="1" t="str" cm="1">
        <f t="array" ref="VYK3">GetValue("Dmn","Name",VYK2)</f>
        <v/>
      </c>
      <c r="VYL3" s="1" t="str" cm="1">
        <f t="array" ref="VYL3">GetValue("Dmn","Name",VYL2)</f>
        <v/>
      </c>
      <c r="VYM3" s="1" t="str" cm="1">
        <f t="array" ref="VYM3">GetValue("Dmn","Name",VYM2)</f>
        <v/>
      </c>
      <c r="VYN3" s="1" t="str" cm="1">
        <f t="array" ref="VYN3">GetValue("Dmn","Name",VYN2)</f>
        <v/>
      </c>
      <c r="VYO3" s="1" t="str" cm="1">
        <f t="array" ref="VYO3">GetValue("Dmn","Name",VYO2)</f>
        <v/>
      </c>
      <c r="VYP3" s="1" t="str" cm="1">
        <f t="array" ref="VYP3">GetValue("Dmn","Name",VYP2)</f>
        <v/>
      </c>
      <c r="VYQ3" s="1" t="str" cm="1">
        <f t="array" ref="VYQ3">GetValue("Dmn","Name",VYQ2)</f>
        <v/>
      </c>
      <c r="VYR3" s="1" t="str" cm="1">
        <f t="array" ref="VYR3">GetValue("Dmn","Name",VYR2)</f>
        <v/>
      </c>
      <c r="VYS3" s="1" t="str" cm="1">
        <f t="array" ref="VYS3">GetValue("Dmn","Name",VYS2)</f>
        <v/>
      </c>
      <c r="VYT3" s="1" t="str" cm="1">
        <f t="array" ref="VYT3">GetValue("Dmn","Name",VYT2)</f>
        <v/>
      </c>
      <c r="VYU3" s="1" t="str" cm="1">
        <f t="array" ref="VYU3">GetValue("Dmn","Name",VYU2)</f>
        <v/>
      </c>
      <c r="VYV3" s="1" t="str" cm="1">
        <f t="array" ref="VYV3">GetValue("Dmn","Name",VYV2)</f>
        <v/>
      </c>
      <c r="VYW3" s="1" t="str" cm="1">
        <f t="array" ref="VYW3">GetValue("Dmn","Name",VYW2)</f>
        <v/>
      </c>
      <c r="VYX3" s="1" t="str" cm="1">
        <f t="array" ref="VYX3">GetValue("Dmn","Name",VYX2)</f>
        <v/>
      </c>
      <c r="VYY3" s="1" t="str" cm="1">
        <f t="array" ref="VYY3">GetValue("Dmn","Name",VYY2)</f>
        <v/>
      </c>
      <c r="VYZ3" s="1" t="str" cm="1">
        <f t="array" ref="VYZ3">GetValue("Dmn","Name",VYZ2)</f>
        <v/>
      </c>
      <c r="VZA3" s="1" t="str" cm="1">
        <f t="array" ref="VZA3">GetValue("Dmn","Name",VZA2)</f>
        <v/>
      </c>
      <c r="VZB3" s="1" t="str" cm="1">
        <f t="array" ref="VZB3">GetValue("Dmn","Name",VZB2)</f>
        <v/>
      </c>
      <c r="VZC3" s="1" t="str" cm="1">
        <f t="array" ref="VZC3">GetValue("Dmn","Name",VZC2)</f>
        <v/>
      </c>
      <c r="VZD3" s="1" t="str" cm="1">
        <f t="array" ref="VZD3">GetValue("Dmn","Name",VZD2)</f>
        <v/>
      </c>
      <c r="VZE3" s="1" t="str" cm="1">
        <f t="array" ref="VZE3">GetValue("Dmn","Name",VZE2)</f>
        <v/>
      </c>
      <c r="VZF3" s="1" t="str" cm="1">
        <f t="array" ref="VZF3">GetValue("Dmn","Name",VZF2)</f>
        <v/>
      </c>
      <c r="VZG3" s="1" t="str" cm="1">
        <f t="array" ref="VZG3">GetValue("Dmn","Name",VZG2)</f>
        <v/>
      </c>
      <c r="VZH3" s="1" t="str" cm="1">
        <f t="array" ref="VZH3">GetValue("Dmn","Name",VZH2)</f>
        <v/>
      </c>
      <c r="VZI3" s="1" t="str" cm="1">
        <f t="array" ref="VZI3">GetValue("Dmn","Name",VZI2)</f>
        <v/>
      </c>
      <c r="VZJ3" s="1" t="str" cm="1">
        <f t="array" ref="VZJ3">GetValue("Dmn","Name",VZJ2)</f>
        <v/>
      </c>
      <c r="VZK3" s="1" t="str" cm="1">
        <f t="array" ref="VZK3">GetValue("Dmn","Name",VZK2)</f>
        <v/>
      </c>
      <c r="VZL3" s="1" t="str" cm="1">
        <f t="array" ref="VZL3">GetValue("Dmn","Name",VZL2)</f>
        <v/>
      </c>
      <c r="VZM3" s="1" t="str" cm="1">
        <f t="array" ref="VZM3">GetValue("Dmn","Name",VZM2)</f>
        <v/>
      </c>
      <c r="VZN3" s="1" t="str" cm="1">
        <f t="array" ref="VZN3">GetValue("Dmn","Name",VZN2)</f>
        <v/>
      </c>
      <c r="VZO3" s="1" t="str" cm="1">
        <f t="array" ref="VZO3">GetValue("Dmn","Name",VZO2)</f>
        <v/>
      </c>
      <c r="VZP3" s="1" t="str" cm="1">
        <f t="array" ref="VZP3">GetValue("Dmn","Name",VZP2)</f>
        <v/>
      </c>
      <c r="VZQ3" s="1" t="str" cm="1">
        <f t="array" ref="VZQ3">GetValue("Dmn","Name",VZQ2)</f>
        <v/>
      </c>
      <c r="VZR3" s="1" t="str" cm="1">
        <f t="array" ref="VZR3">GetValue("Dmn","Name",VZR2)</f>
        <v/>
      </c>
      <c r="VZS3" s="1" t="str" cm="1">
        <f t="array" ref="VZS3">GetValue("Dmn","Name",VZS2)</f>
        <v/>
      </c>
      <c r="VZT3" s="1" t="str" cm="1">
        <f t="array" ref="VZT3">GetValue("Dmn","Name",VZT2)</f>
        <v/>
      </c>
      <c r="VZU3" s="1" t="str" cm="1">
        <f t="array" ref="VZU3">GetValue("Dmn","Name",VZU2)</f>
        <v/>
      </c>
      <c r="VZV3" s="1" t="str" cm="1">
        <f t="array" ref="VZV3">GetValue("Dmn","Name",VZV2)</f>
        <v/>
      </c>
      <c r="VZW3" s="1" t="str" cm="1">
        <f t="array" ref="VZW3">GetValue("Dmn","Name",VZW2)</f>
        <v/>
      </c>
      <c r="VZX3" s="1" t="str" cm="1">
        <f t="array" ref="VZX3">GetValue("Dmn","Name",VZX2)</f>
        <v/>
      </c>
      <c r="VZY3" s="1" t="str" cm="1">
        <f t="array" ref="VZY3">GetValue("Dmn","Name",VZY2)</f>
        <v/>
      </c>
      <c r="VZZ3" s="1" t="str" cm="1">
        <f t="array" ref="VZZ3">GetValue("Dmn","Name",VZZ2)</f>
        <v/>
      </c>
      <c r="WAA3" s="1" t="str" cm="1">
        <f t="array" ref="WAA3">GetValue("Dmn","Name",WAA2)</f>
        <v/>
      </c>
      <c r="WAB3" s="1" t="str" cm="1">
        <f t="array" ref="WAB3">GetValue("Dmn","Name",WAB2)</f>
        <v/>
      </c>
      <c r="WAC3" s="1" t="str" cm="1">
        <f t="array" ref="WAC3">GetValue("Dmn","Name",WAC2)</f>
        <v/>
      </c>
      <c r="WAD3" s="1" t="str" cm="1">
        <f t="array" ref="WAD3">GetValue("Dmn","Name",WAD2)</f>
        <v/>
      </c>
      <c r="WAE3" s="1" t="str" cm="1">
        <f t="array" ref="WAE3">GetValue("Dmn","Name",WAE2)</f>
        <v/>
      </c>
      <c r="WAF3" s="1" t="str" cm="1">
        <f t="array" ref="WAF3">GetValue("Dmn","Name",WAF2)</f>
        <v/>
      </c>
      <c r="WAG3" s="1" t="str" cm="1">
        <f t="array" ref="WAG3">GetValue("Dmn","Name",WAG2)</f>
        <v/>
      </c>
      <c r="WAH3" s="1" t="str" cm="1">
        <f t="array" ref="WAH3">GetValue("Dmn","Name",WAH2)</f>
        <v/>
      </c>
      <c r="WAI3" s="1" t="str" cm="1">
        <f t="array" ref="WAI3">GetValue("Dmn","Name",WAI2)</f>
        <v/>
      </c>
      <c r="WAJ3" s="1" t="str" cm="1">
        <f t="array" ref="WAJ3">GetValue("Dmn","Name",WAJ2)</f>
        <v/>
      </c>
      <c r="WAK3" s="1" t="str" cm="1">
        <f t="array" ref="WAK3">GetValue("Dmn","Name",WAK2)</f>
        <v/>
      </c>
      <c r="WAL3" s="1" t="str" cm="1">
        <f t="array" ref="WAL3">GetValue("Dmn","Name",WAL2)</f>
        <v/>
      </c>
      <c r="WAM3" s="1" t="str" cm="1">
        <f t="array" ref="WAM3">GetValue("Dmn","Name",WAM2)</f>
        <v/>
      </c>
      <c r="WAN3" s="1" t="str" cm="1">
        <f t="array" ref="WAN3">GetValue("Dmn","Name",WAN2)</f>
        <v/>
      </c>
      <c r="WAO3" s="1" t="str" cm="1">
        <f t="array" ref="WAO3">GetValue("Dmn","Name",WAO2)</f>
        <v/>
      </c>
      <c r="WAP3" s="1" t="str" cm="1">
        <f t="array" ref="WAP3">GetValue("Dmn","Name",WAP2)</f>
        <v/>
      </c>
      <c r="WAQ3" s="1" t="str" cm="1">
        <f t="array" ref="WAQ3">GetValue("Dmn","Name",WAQ2)</f>
        <v/>
      </c>
      <c r="WAR3" s="1" t="str" cm="1">
        <f t="array" ref="WAR3">GetValue("Dmn","Name",WAR2)</f>
        <v/>
      </c>
      <c r="WAS3" s="1" t="str" cm="1">
        <f t="array" ref="WAS3">GetValue("Dmn","Name",WAS2)</f>
        <v/>
      </c>
      <c r="WAT3" s="1" t="str" cm="1">
        <f t="array" ref="WAT3">GetValue("Dmn","Name",WAT2)</f>
        <v/>
      </c>
      <c r="WAU3" s="1" t="str" cm="1">
        <f t="array" ref="WAU3">GetValue("Dmn","Name",WAU2)</f>
        <v/>
      </c>
      <c r="WAV3" s="1" t="str" cm="1">
        <f t="array" ref="WAV3">GetValue("Dmn","Name",WAV2)</f>
        <v/>
      </c>
      <c r="WAW3" s="1" t="str" cm="1">
        <f t="array" ref="WAW3">GetValue("Dmn","Name",WAW2)</f>
        <v/>
      </c>
      <c r="WAX3" s="1" t="str" cm="1">
        <f t="array" ref="WAX3">GetValue("Dmn","Name",WAX2)</f>
        <v/>
      </c>
      <c r="WAY3" s="1" t="str" cm="1">
        <f t="array" ref="WAY3">GetValue("Dmn","Name",WAY2)</f>
        <v/>
      </c>
      <c r="WAZ3" s="1" t="str" cm="1">
        <f t="array" ref="WAZ3">GetValue("Dmn","Name",WAZ2)</f>
        <v/>
      </c>
      <c r="WBA3" s="1" t="str" cm="1">
        <f t="array" ref="WBA3">GetValue("Dmn","Name",WBA2)</f>
        <v/>
      </c>
      <c r="WBB3" s="1" t="str" cm="1">
        <f t="array" ref="WBB3">GetValue("Dmn","Name",WBB2)</f>
        <v/>
      </c>
      <c r="WBC3" s="1" t="str" cm="1">
        <f t="array" ref="WBC3">GetValue("Dmn","Name",WBC2)</f>
        <v/>
      </c>
      <c r="WBD3" s="1" t="str" cm="1">
        <f t="array" ref="WBD3">GetValue("Dmn","Name",WBD2)</f>
        <v/>
      </c>
      <c r="WBE3" s="1" t="str" cm="1">
        <f t="array" ref="WBE3">GetValue("Dmn","Name",WBE2)</f>
        <v/>
      </c>
      <c r="WBF3" s="1" t="str" cm="1">
        <f t="array" ref="WBF3">GetValue("Dmn","Name",WBF2)</f>
        <v/>
      </c>
      <c r="WBG3" s="1" t="str" cm="1">
        <f t="array" ref="WBG3">GetValue("Dmn","Name",WBG2)</f>
        <v/>
      </c>
      <c r="WBH3" s="1" t="str" cm="1">
        <f t="array" ref="WBH3">GetValue("Dmn","Name",WBH2)</f>
        <v/>
      </c>
      <c r="WBI3" s="1" t="str" cm="1">
        <f t="array" ref="WBI3">GetValue("Dmn","Name",WBI2)</f>
        <v/>
      </c>
      <c r="WBJ3" s="1" t="str" cm="1">
        <f t="array" ref="WBJ3">GetValue("Dmn","Name",WBJ2)</f>
        <v/>
      </c>
      <c r="WBK3" s="1" t="str" cm="1">
        <f t="array" ref="WBK3">GetValue("Dmn","Name",WBK2)</f>
        <v/>
      </c>
      <c r="WBL3" s="1" t="str" cm="1">
        <f t="array" ref="WBL3">GetValue("Dmn","Name",WBL2)</f>
        <v/>
      </c>
      <c r="WBM3" s="1" t="str" cm="1">
        <f t="array" ref="WBM3">GetValue("Dmn","Name",WBM2)</f>
        <v/>
      </c>
      <c r="WBN3" s="1" t="str" cm="1">
        <f t="array" ref="WBN3">GetValue("Dmn","Name",WBN2)</f>
        <v/>
      </c>
      <c r="WBO3" s="1" t="str" cm="1">
        <f t="array" ref="WBO3">GetValue("Dmn","Name",WBO2)</f>
        <v/>
      </c>
      <c r="WBP3" s="1" t="str" cm="1">
        <f t="array" ref="WBP3">GetValue("Dmn","Name",WBP2)</f>
        <v/>
      </c>
      <c r="WBQ3" s="1" t="str" cm="1">
        <f t="array" ref="WBQ3">GetValue("Dmn","Name",WBQ2)</f>
        <v/>
      </c>
      <c r="WBR3" s="1" t="str" cm="1">
        <f t="array" ref="WBR3">GetValue("Dmn","Name",WBR2)</f>
        <v/>
      </c>
      <c r="WBS3" s="1" t="str" cm="1">
        <f t="array" ref="WBS3">GetValue("Dmn","Name",WBS2)</f>
        <v/>
      </c>
      <c r="WBT3" s="1" t="str" cm="1">
        <f t="array" ref="WBT3">GetValue("Dmn","Name",WBT2)</f>
        <v/>
      </c>
      <c r="WBU3" s="1" t="str" cm="1">
        <f t="array" ref="WBU3">GetValue("Dmn","Name",WBU2)</f>
        <v/>
      </c>
      <c r="WBV3" s="1" t="str" cm="1">
        <f t="array" ref="WBV3">GetValue("Dmn","Name",WBV2)</f>
        <v/>
      </c>
      <c r="WBW3" s="1" t="str" cm="1">
        <f t="array" ref="WBW3">GetValue("Dmn","Name",WBW2)</f>
        <v/>
      </c>
      <c r="WBX3" s="1" t="str" cm="1">
        <f t="array" ref="WBX3">GetValue("Dmn","Name",WBX2)</f>
        <v/>
      </c>
      <c r="WBY3" s="1" t="str" cm="1">
        <f t="array" ref="WBY3">GetValue("Dmn","Name",WBY2)</f>
        <v/>
      </c>
      <c r="WBZ3" s="1" t="str" cm="1">
        <f t="array" ref="WBZ3">GetValue("Dmn","Name",WBZ2)</f>
        <v/>
      </c>
      <c r="WCA3" s="1" t="str" cm="1">
        <f t="array" ref="WCA3">GetValue("Dmn","Name",WCA2)</f>
        <v/>
      </c>
      <c r="WCB3" s="1" t="str" cm="1">
        <f t="array" ref="WCB3">GetValue("Dmn","Name",WCB2)</f>
        <v/>
      </c>
      <c r="WCC3" s="1" t="str" cm="1">
        <f t="array" ref="WCC3">GetValue("Dmn","Name",WCC2)</f>
        <v/>
      </c>
      <c r="WCD3" s="1" t="str" cm="1">
        <f t="array" ref="WCD3">GetValue("Dmn","Name",WCD2)</f>
        <v/>
      </c>
      <c r="WCE3" s="1" t="str" cm="1">
        <f t="array" ref="WCE3">GetValue("Dmn","Name",WCE2)</f>
        <v/>
      </c>
      <c r="WCF3" s="1" t="str" cm="1">
        <f t="array" ref="WCF3">GetValue("Dmn","Name",WCF2)</f>
        <v/>
      </c>
      <c r="WCG3" s="1" t="str" cm="1">
        <f t="array" ref="WCG3">GetValue("Dmn","Name",WCG2)</f>
        <v/>
      </c>
      <c r="WCH3" s="1" t="str" cm="1">
        <f t="array" ref="WCH3">GetValue("Dmn","Name",WCH2)</f>
        <v/>
      </c>
      <c r="WCI3" s="1" t="str" cm="1">
        <f t="array" ref="WCI3">GetValue("Dmn","Name",WCI2)</f>
        <v/>
      </c>
      <c r="WCJ3" s="1" t="str" cm="1">
        <f t="array" ref="WCJ3">GetValue("Dmn","Name",WCJ2)</f>
        <v/>
      </c>
      <c r="WCK3" s="1" t="str" cm="1">
        <f t="array" ref="WCK3">GetValue("Dmn","Name",WCK2)</f>
        <v/>
      </c>
      <c r="WCL3" s="1" t="str" cm="1">
        <f t="array" ref="WCL3">GetValue("Dmn","Name",WCL2)</f>
        <v/>
      </c>
      <c r="WCM3" s="1" t="str" cm="1">
        <f t="array" ref="WCM3">GetValue("Dmn","Name",WCM2)</f>
        <v/>
      </c>
      <c r="WCN3" s="1" t="str" cm="1">
        <f t="array" ref="WCN3">GetValue("Dmn","Name",WCN2)</f>
        <v/>
      </c>
      <c r="WCO3" s="1" t="str" cm="1">
        <f t="array" ref="WCO3">GetValue("Dmn","Name",WCO2)</f>
        <v/>
      </c>
      <c r="WCP3" s="1" t="str" cm="1">
        <f t="array" ref="WCP3">GetValue("Dmn","Name",WCP2)</f>
        <v/>
      </c>
      <c r="WCQ3" s="1" t="str" cm="1">
        <f t="array" ref="WCQ3">GetValue("Dmn","Name",WCQ2)</f>
        <v/>
      </c>
      <c r="WCR3" s="1" t="str" cm="1">
        <f t="array" ref="WCR3">GetValue("Dmn","Name",WCR2)</f>
        <v/>
      </c>
      <c r="WCS3" s="1" t="str" cm="1">
        <f t="array" ref="WCS3">GetValue("Dmn","Name",WCS2)</f>
        <v/>
      </c>
      <c r="WCT3" s="1" t="str" cm="1">
        <f t="array" ref="WCT3">GetValue("Dmn","Name",WCT2)</f>
        <v/>
      </c>
      <c r="WCU3" s="1" t="str" cm="1">
        <f t="array" ref="WCU3">GetValue("Dmn","Name",WCU2)</f>
        <v/>
      </c>
      <c r="WCV3" s="1" t="str" cm="1">
        <f t="array" ref="WCV3">GetValue("Dmn","Name",WCV2)</f>
        <v/>
      </c>
      <c r="WCW3" s="1" t="str" cm="1">
        <f t="array" ref="WCW3">GetValue("Dmn","Name",WCW2)</f>
        <v/>
      </c>
      <c r="WCX3" s="1" t="str" cm="1">
        <f t="array" ref="WCX3">GetValue("Dmn","Name",WCX2)</f>
        <v/>
      </c>
      <c r="WCY3" s="1" t="str" cm="1">
        <f t="array" ref="WCY3">GetValue("Dmn","Name",WCY2)</f>
        <v/>
      </c>
      <c r="WCZ3" s="1" t="str" cm="1">
        <f t="array" ref="WCZ3">GetValue("Dmn","Name",WCZ2)</f>
        <v/>
      </c>
      <c r="WDA3" s="1" t="str" cm="1">
        <f t="array" ref="WDA3">GetValue("Dmn","Name",WDA2)</f>
        <v/>
      </c>
      <c r="WDB3" s="1" t="str" cm="1">
        <f t="array" ref="WDB3">GetValue("Dmn","Name",WDB2)</f>
        <v/>
      </c>
      <c r="WDC3" s="1" t="str" cm="1">
        <f t="array" ref="WDC3">GetValue("Dmn","Name",WDC2)</f>
        <v/>
      </c>
      <c r="WDD3" s="1" t="str" cm="1">
        <f t="array" ref="WDD3">GetValue("Dmn","Name",WDD2)</f>
        <v/>
      </c>
      <c r="WDE3" s="1" t="str" cm="1">
        <f t="array" ref="WDE3">GetValue("Dmn","Name",WDE2)</f>
        <v/>
      </c>
      <c r="WDF3" s="1" t="str" cm="1">
        <f t="array" ref="WDF3">GetValue("Dmn","Name",WDF2)</f>
        <v/>
      </c>
      <c r="WDG3" s="1" t="str" cm="1">
        <f t="array" ref="WDG3">GetValue("Dmn","Name",WDG2)</f>
        <v/>
      </c>
      <c r="WDH3" s="1" t="str" cm="1">
        <f t="array" ref="WDH3">GetValue("Dmn","Name",WDH2)</f>
        <v/>
      </c>
      <c r="WDI3" s="1" t="str" cm="1">
        <f t="array" ref="WDI3">GetValue("Dmn","Name",WDI2)</f>
        <v/>
      </c>
      <c r="WDJ3" s="1" t="str" cm="1">
        <f t="array" ref="WDJ3">GetValue("Dmn","Name",WDJ2)</f>
        <v/>
      </c>
      <c r="WDK3" s="1" t="str" cm="1">
        <f t="array" ref="WDK3">GetValue("Dmn","Name",WDK2)</f>
        <v/>
      </c>
      <c r="WDL3" s="1" t="str" cm="1">
        <f t="array" ref="WDL3">GetValue("Dmn","Name",WDL2)</f>
        <v/>
      </c>
      <c r="WDM3" s="1" t="str" cm="1">
        <f t="array" ref="WDM3">GetValue("Dmn","Name",WDM2)</f>
        <v/>
      </c>
      <c r="WDN3" s="1" t="str" cm="1">
        <f t="array" ref="WDN3">GetValue("Dmn","Name",WDN2)</f>
        <v/>
      </c>
      <c r="WDO3" s="1" t="str" cm="1">
        <f t="array" ref="WDO3">GetValue("Dmn","Name",WDO2)</f>
        <v/>
      </c>
      <c r="WDP3" s="1" t="str" cm="1">
        <f t="array" ref="WDP3">GetValue("Dmn","Name",WDP2)</f>
        <v/>
      </c>
      <c r="WDQ3" s="1" t="str" cm="1">
        <f t="array" ref="WDQ3">GetValue("Dmn","Name",WDQ2)</f>
        <v/>
      </c>
      <c r="WDR3" s="1" t="str" cm="1">
        <f t="array" ref="WDR3">GetValue("Dmn","Name",WDR2)</f>
        <v/>
      </c>
      <c r="WDS3" s="1" t="str" cm="1">
        <f t="array" ref="WDS3">GetValue("Dmn","Name",WDS2)</f>
        <v/>
      </c>
      <c r="WDT3" s="1" t="str" cm="1">
        <f t="array" ref="WDT3">GetValue("Dmn","Name",WDT2)</f>
        <v/>
      </c>
      <c r="WDU3" s="1" t="str" cm="1">
        <f t="array" ref="WDU3">GetValue("Dmn","Name",WDU2)</f>
        <v/>
      </c>
      <c r="WDV3" s="1" t="str" cm="1">
        <f t="array" ref="WDV3">GetValue("Dmn","Name",WDV2)</f>
        <v/>
      </c>
      <c r="WDW3" s="1" t="str" cm="1">
        <f t="array" ref="WDW3">GetValue("Dmn","Name",WDW2)</f>
        <v/>
      </c>
      <c r="WDX3" s="1" t="str" cm="1">
        <f t="array" ref="WDX3">GetValue("Dmn","Name",WDX2)</f>
        <v/>
      </c>
      <c r="WDY3" s="1" t="str" cm="1">
        <f t="array" ref="WDY3">GetValue("Dmn","Name",WDY2)</f>
        <v/>
      </c>
      <c r="WDZ3" s="1" t="str" cm="1">
        <f t="array" ref="WDZ3">GetValue("Dmn","Name",WDZ2)</f>
        <v/>
      </c>
      <c r="WEA3" s="1" t="str" cm="1">
        <f t="array" ref="WEA3">GetValue("Dmn","Name",WEA2)</f>
        <v/>
      </c>
      <c r="WEB3" s="1" t="str" cm="1">
        <f t="array" ref="WEB3">GetValue("Dmn","Name",WEB2)</f>
        <v/>
      </c>
      <c r="WEC3" s="1" t="str" cm="1">
        <f t="array" ref="WEC3">GetValue("Dmn","Name",WEC2)</f>
        <v/>
      </c>
      <c r="WED3" s="1" t="str" cm="1">
        <f t="array" ref="WED3">GetValue("Dmn","Name",WED2)</f>
        <v/>
      </c>
      <c r="WEE3" s="1" t="str" cm="1">
        <f t="array" ref="WEE3">GetValue("Dmn","Name",WEE2)</f>
        <v/>
      </c>
      <c r="WEF3" s="1" t="str" cm="1">
        <f t="array" ref="WEF3">GetValue("Dmn","Name",WEF2)</f>
        <v/>
      </c>
      <c r="WEG3" s="1" t="str" cm="1">
        <f t="array" ref="WEG3">GetValue("Dmn","Name",WEG2)</f>
        <v/>
      </c>
      <c r="WEH3" s="1" t="str" cm="1">
        <f t="array" ref="WEH3">GetValue("Dmn","Name",WEH2)</f>
        <v/>
      </c>
      <c r="WEI3" s="1" t="str" cm="1">
        <f t="array" ref="WEI3">GetValue("Dmn","Name",WEI2)</f>
        <v/>
      </c>
      <c r="WEJ3" s="1" t="str" cm="1">
        <f t="array" ref="WEJ3">GetValue("Dmn","Name",WEJ2)</f>
        <v/>
      </c>
      <c r="WEK3" s="1" t="str" cm="1">
        <f t="array" ref="WEK3">GetValue("Dmn","Name",WEK2)</f>
        <v/>
      </c>
      <c r="WEL3" s="1" t="str" cm="1">
        <f t="array" ref="WEL3">GetValue("Dmn","Name",WEL2)</f>
        <v/>
      </c>
      <c r="WEM3" s="1" t="str" cm="1">
        <f t="array" ref="WEM3">GetValue("Dmn","Name",WEM2)</f>
        <v/>
      </c>
      <c r="WEN3" s="1" t="str" cm="1">
        <f t="array" ref="WEN3">GetValue("Dmn","Name",WEN2)</f>
        <v/>
      </c>
      <c r="WEO3" s="1" t="str" cm="1">
        <f t="array" ref="WEO3">GetValue("Dmn","Name",WEO2)</f>
        <v/>
      </c>
      <c r="WEP3" s="1" t="str" cm="1">
        <f t="array" ref="WEP3">GetValue("Dmn","Name",WEP2)</f>
        <v/>
      </c>
      <c r="WEQ3" s="1" t="str" cm="1">
        <f t="array" ref="WEQ3">GetValue("Dmn","Name",WEQ2)</f>
        <v/>
      </c>
      <c r="WER3" s="1" t="str" cm="1">
        <f t="array" ref="WER3">GetValue("Dmn","Name",WER2)</f>
        <v/>
      </c>
      <c r="WES3" s="1" t="str" cm="1">
        <f t="array" ref="WES3">GetValue("Dmn","Name",WES2)</f>
        <v/>
      </c>
      <c r="WET3" s="1" t="str" cm="1">
        <f t="array" ref="WET3">GetValue("Dmn","Name",WET2)</f>
        <v/>
      </c>
      <c r="WEU3" s="1" t="str" cm="1">
        <f t="array" ref="WEU3">GetValue("Dmn","Name",WEU2)</f>
        <v/>
      </c>
      <c r="WEV3" s="1" t="str" cm="1">
        <f t="array" ref="WEV3">GetValue("Dmn","Name",WEV2)</f>
        <v/>
      </c>
      <c r="WEW3" s="1" t="str" cm="1">
        <f t="array" ref="WEW3">GetValue("Dmn","Name",WEW2)</f>
        <v/>
      </c>
      <c r="WEX3" s="1" t="str" cm="1">
        <f t="array" ref="WEX3">GetValue("Dmn","Name",WEX2)</f>
        <v/>
      </c>
      <c r="WEY3" s="1" t="str" cm="1">
        <f t="array" ref="WEY3">GetValue("Dmn","Name",WEY2)</f>
        <v/>
      </c>
      <c r="WEZ3" s="1" t="str" cm="1">
        <f t="array" ref="WEZ3">GetValue("Dmn","Name",WEZ2)</f>
        <v/>
      </c>
      <c r="WFA3" s="1" t="str" cm="1">
        <f t="array" ref="WFA3">GetValue("Dmn","Name",WFA2)</f>
        <v/>
      </c>
      <c r="WFB3" s="1" t="str" cm="1">
        <f t="array" ref="WFB3">GetValue("Dmn","Name",WFB2)</f>
        <v/>
      </c>
      <c r="WFC3" s="1" t="str" cm="1">
        <f t="array" ref="WFC3">GetValue("Dmn","Name",WFC2)</f>
        <v/>
      </c>
      <c r="WFD3" s="1" t="str" cm="1">
        <f t="array" ref="WFD3">GetValue("Dmn","Name",WFD2)</f>
        <v/>
      </c>
      <c r="WFE3" s="1" t="str" cm="1">
        <f t="array" ref="WFE3">GetValue("Dmn","Name",WFE2)</f>
        <v/>
      </c>
      <c r="WFF3" s="1" t="str" cm="1">
        <f t="array" ref="WFF3">GetValue("Dmn","Name",WFF2)</f>
        <v/>
      </c>
      <c r="WFG3" s="1" t="str" cm="1">
        <f t="array" ref="WFG3">GetValue("Dmn","Name",WFG2)</f>
        <v/>
      </c>
      <c r="WFH3" s="1" t="str" cm="1">
        <f t="array" ref="WFH3">GetValue("Dmn","Name",WFH2)</f>
        <v/>
      </c>
      <c r="WFI3" s="1" t="str" cm="1">
        <f t="array" ref="WFI3">GetValue("Dmn","Name",WFI2)</f>
        <v/>
      </c>
      <c r="WFJ3" s="1" t="str" cm="1">
        <f t="array" ref="WFJ3">GetValue("Dmn","Name",WFJ2)</f>
        <v/>
      </c>
      <c r="WFK3" s="1" t="str" cm="1">
        <f t="array" ref="WFK3">GetValue("Dmn","Name",WFK2)</f>
        <v/>
      </c>
      <c r="WFL3" s="1" t="str" cm="1">
        <f t="array" ref="WFL3">GetValue("Dmn","Name",WFL2)</f>
        <v/>
      </c>
      <c r="WFM3" s="1" t="str" cm="1">
        <f t="array" ref="WFM3">GetValue("Dmn","Name",WFM2)</f>
        <v/>
      </c>
      <c r="WFN3" s="1" t="str" cm="1">
        <f t="array" ref="WFN3">GetValue("Dmn","Name",WFN2)</f>
        <v/>
      </c>
      <c r="WFO3" s="1" t="str" cm="1">
        <f t="array" ref="WFO3">GetValue("Dmn","Name",WFO2)</f>
        <v/>
      </c>
      <c r="WFP3" s="1" t="str" cm="1">
        <f t="array" ref="WFP3">GetValue("Dmn","Name",WFP2)</f>
        <v/>
      </c>
      <c r="WFQ3" s="1" t="str" cm="1">
        <f t="array" ref="WFQ3">GetValue("Dmn","Name",WFQ2)</f>
        <v/>
      </c>
      <c r="WFR3" s="1" t="str" cm="1">
        <f t="array" ref="WFR3">GetValue("Dmn","Name",WFR2)</f>
        <v/>
      </c>
      <c r="WFS3" s="1" t="str" cm="1">
        <f t="array" ref="WFS3">GetValue("Dmn","Name",WFS2)</f>
        <v/>
      </c>
      <c r="WFT3" s="1" t="str" cm="1">
        <f t="array" ref="WFT3">GetValue("Dmn","Name",WFT2)</f>
        <v/>
      </c>
      <c r="WFU3" s="1" t="str" cm="1">
        <f t="array" ref="WFU3">GetValue("Dmn","Name",WFU2)</f>
        <v/>
      </c>
      <c r="WFV3" s="1" t="str" cm="1">
        <f t="array" ref="WFV3">GetValue("Dmn","Name",WFV2)</f>
        <v/>
      </c>
      <c r="WFW3" s="1" t="str" cm="1">
        <f t="array" ref="WFW3">GetValue("Dmn","Name",WFW2)</f>
        <v/>
      </c>
      <c r="WFX3" s="1" t="str" cm="1">
        <f t="array" ref="WFX3">GetValue("Dmn","Name",WFX2)</f>
        <v/>
      </c>
      <c r="WFY3" s="1" t="str" cm="1">
        <f t="array" ref="WFY3">GetValue("Dmn","Name",WFY2)</f>
        <v/>
      </c>
      <c r="WFZ3" s="1" t="str" cm="1">
        <f t="array" ref="WFZ3">GetValue("Dmn","Name",WFZ2)</f>
        <v/>
      </c>
      <c r="WGA3" s="1" t="str" cm="1">
        <f t="array" ref="WGA3">GetValue("Dmn","Name",WGA2)</f>
        <v/>
      </c>
      <c r="WGB3" s="1" t="str" cm="1">
        <f t="array" ref="WGB3">GetValue("Dmn","Name",WGB2)</f>
        <v/>
      </c>
      <c r="WGC3" s="1" t="str" cm="1">
        <f t="array" ref="WGC3">GetValue("Dmn","Name",WGC2)</f>
        <v/>
      </c>
      <c r="WGD3" s="1" t="str" cm="1">
        <f t="array" ref="WGD3">GetValue("Dmn","Name",WGD2)</f>
        <v/>
      </c>
      <c r="WGE3" s="1" t="str" cm="1">
        <f t="array" ref="WGE3">GetValue("Dmn","Name",WGE2)</f>
        <v/>
      </c>
      <c r="WGF3" s="1" t="str" cm="1">
        <f t="array" ref="WGF3">GetValue("Dmn","Name",WGF2)</f>
        <v/>
      </c>
      <c r="WGG3" s="1" t="str" cm="1">
        <f t="array" ref="WGG3">GetValue("Dmn","Name",WGG2)</f>
        <v/>
      </c>
      <c r="WGH3" s="1" t="str" cm="1">
        <f t="array" ref="WGH3">GetValue("Dmn","Name",WGH2)</f>
        <v/>
      </c>
      <c r="WGI3" s="1" t="str" cm="1">
        <f t="array" ref="WGI3">GetValue("Dmn","Name",WGI2)</f>
        <v/>
      </c>
      <c r="WGJ3" s="1" t="str" cm="1">
        <f t="array" ref="WGJ3">GetValue("Dmn","Name",WGJ2)</f>
        <v/>
      </c>
      <c r="WGK3" s="1" t="str" cm="1">
        <f t="array" ref="WGK3">GetValue("Dmn","Name",WGK2)</f>
        <v/>
      </c>
      <c r="WGL3" s="1" t="str" cm="1">
        <f t="array" ref="WGL3">GetValue("Dmn","Name",WGL2)</f>
        <v/>
      </c>
      <c r="WGM3" s="1" t="str" cm="1">
        <f t="array" ref="WGM3">GetValue("Dmn","Name",WGM2)</f>
        <v/>
      </c>
      <c r="WGN3" s="1" t="str" cm="1">
        <f t="array" ref="WGN3">GetValue("Dmn","Name",WGN2)</f>
        <v/>
      </c>
      <c r="WGO3" s="1" t="str" cm="1">
        <f t="array" ref="WGO3">GetValue("Dmn","Name",WGO2)</f>
        <v/>
      </c>
      <c r="WGP3" s="1" t="str" cm="1">
        <f t="array" ref="WGP3">GetValue("Dmn","Name",WGP2)</f>
        <v/>
      </c>
      <c r="WGQ3" s="1" t="str" cm="1">
        <f t="array" ref="WGQ3">GetValue("Dmn","Name",WGQ2)</f>
        <v/>
      </c>
      <c r="WGR3" s="1" t="str" cm="1">
        <f t="array" ref="WGR3">GetValue("Dmn","Name",WGR2)</f>
        <v/>
      </c>
      <c r="WGS3" s="1" t="str" cm="1">
        <f t="array" ref="WGS3">GetValue("Dmn","Name",WGS2)</f>
        <v/>
      </c>
      <c r="WGT3" s="1" t="str" cm="1">
        <f t="array" ref="WGT3">GetValue("Dmn","Name",WGT2)</f>
        <v/>
      </c>
      <c r="WGU3" s="1" t="str" cm="1">
        <f t="array" ref="WGU3">GetValue("Dmn","Name",WGU2)</f>
        <v/>
      </c>
      <c r="WGV3" s="1" t="str" cm="1">
        <f t="array" ref="WGV3">GetValue("Dmn","Name",WGV2)</f>
        <v/>
      </c>
      <c r="WGW3" s="1" t="str" cm="1">
        <f t="array" ref="WGW3">GetValue("Dmn","Name",WGW2)</f>
        <v/>
      </c>
      <c r="WGX3" s="1" t="str" cm="1">
        <f t="array" ref="WGX3">GetValue("Dmn","Name",WGX2)</f>
        <v/>
      </c>
      <c r="WGY3" s="1" t="str" cm="1">
        <f t="array" ref="WGY3">GetValue("Dmn","Name",WGY2)</f>
        <v/>
      </c>
      <c r="WGZ3" s="1" t="str" cm="1">
        <f t="array" ref="WGZ3">GetValue("Dmn","Name",WGZ2)</f>
        <v/>
      </c>
      <c r="WHA3" s="1" t="str" cm="1">
        <f t="array" ref="WHA3">GetValue("Dmn","Name",WHA2)</f>
        <v/>
      </c>
      <c r="WHB3" s="1" t="str" cm="1">
        <f t="array" ref="WHB3">GetValue("Dmn","Name",WHB2)</f>
        <v/>
      </c>
      <c r="WHC3" s="1" t="str" cm="1">
        <f t="array" ref="WHC3">GetValue("Dmn","Name",WHC2)</f>
        <v/>
      </c>
      <c r="WHD3" s="1" t="str" cm="1">
        <f t="array" ref="WHD3">GetValue("Dmn","Name",WHD2)</f>
        <v/>
      </c>
      <c r="WHE3" s="1" t="str" cm="1">
        <f t="array" ref="WHE3">GetValue("Dmn","Name",WHE2)</f>
        <v/>
      </c>
      <c r="WHF3" s="1" t="str" cm="1">
        <f t="array" ref="WHF3">GetValue("Dmn","Name",WHF2)</f>
        <v/>
      </c>
      <c r="WHG3" s="1" t="str" cm="1">
        <f t="array" ref="WHG3">GetValue("Dmn","Name",WHG2)</f>
        <v/>
      </c>
      <c r="WHH3" s="1" t="str" cm="1">
        <f t="array" ref="WHH3">GetValue("Dmn","Name",WHH2)</f>
        <v/>
      </c>
      <c r="WHI3" s="1" t="str" cm="1">
        <f t="array" ref="WHI3">GetValue("Dmn","Name",WHI2)</f>
        <v/>
      </c>
      <c r="WHJ3" s="1" t="str" cm="1">
        <f t="array" ref="WHJ3">GetValue("Dmn","Name",WHJ2)</f>
        <v/>
      </c>
      <c r="WHK3" s="1" t="str" cm="1">
        <f t="array" ref="WHK3">GetValue("Dmn","Name",WHK2)</f>
        <v/>
      </c>
      <c r="WHL3" s="1" t="str" cm="1">
        <f t="array" ref="WHL3">GetValue("Dmn","Name",WHL2)</f>
        <v/>
      </c>
      <c r="WHM3" s="1" t="str" cm="1">
        <f t="array" ref="WHM3">GetValue("Dmn","Name",WHM2)</f>
        <v/>
      </c>
      <c r="WHN3" s="1" t="str" cm="1">
        <f t="array" ref="WHN3">GetValue("Dmn","Name",WHN2)</f>
        <v/>
      </c>
      <c r="WHO3" s="1" t="str" cm="1">
        <f t="array" ref="WHO3">GetValue("Dmn","Name",WHO2)</f>
        <v/>
      </c>
      <c r="WHP3" s="1" t="str" cm="1">
        <f t="array" ref="WHP3">GetValue("Dmn","Name",WHP2)</f>
        <v/>
      </c>
      <c r="WHQ3" s="1" t="str" cm="1">
        <f t="array" ref="WHQ3">GetValue("Dmn","Name",WHQ2)</f>
        <v/>
      </c>
      <c r="WHR3" s="1" t="str" cm="1">
        <f t="array" ref="WHR3">GetValue("Dmn","Name",WHR2)</f>
        <v/>
      </c>
      <c r="WHS3" s="1" t="str" cm="1">
        <f t="array" ref="WHS3">GetValue("Dmn","Name",WHS2)</f>
        <v/>
      </c>
      <c r="WHT3" s="1" t="str" cm="1">
        <f t="array" ref="WHT3">GetValue("Dmn","Name",WHT2)</f>
        <v/>
      </c>
      <c r="WHU3" s="1" t="str" cm="1">
        <f t="array" ref="WHU3">GetValue("Dmn","Name",WHU2)</f>
        <v/>
      </c>
      <c r="WHV3" s="1" t="str" cm="1">
        <f t="array" ref="WHV3">GetValue("Dmn","Name",WHV2)</f>
        <v/>
      </c>
      <c r="WHW3" s="1" t="str" cm="1">
        <f t="array" ref="WHW3">GetValue("Dmn","Name",WHW2)</f>
        <v/>
      </c>
      <c r="WHX3" s="1" t="str" cm="1">
        <f t="array" ref="WHX3">GetValue("Dmn","Name",WHX2)</f>
        <v/>
      </c>
      <c r="WHY3" s="1" t="str" cm="1">
        <f t="array" ref="WHY3">GetValue("Dmn","Name",WHY2)</f>
        <v/>
      </c>
      <c r="WHZ3" s="1" t="str" cm="1">
        <f t="array" ref="WHZ3">GetValue("Dmn","Name",WHZ2)</f>
        <v/>
      </c>
      <c r="WIA3" s="1" t="str" cm="1">
        <f t="array" ref="WIA3">GetValue("Dmn","Name",WIA2)</f>
        <v/>
      </c>
      <c r="WIB3" s="1" t="str" cm="1">
        <f t="array" ref="WIB3">GetValue("Dmn","Name",WIB2)</f>
        <v/>
      </c>
      <c r="WIC3" s="1" t="str" cm="1">
        <f t="array" ref="WIC3">GetValue("Dmn","Name",WIC2)</f>
        <v/>
      </c>
      <c r="WID3" s="1" t="str" cm="1">
        <f t="array" ref="WID3">GetValue("Dmn","Name",WID2)</f>
        <v/>
      </c>
      <c r="WIE3" s="1" t="str" cm="1">
        <f t="array" ref="WIE3">GetValue("Dmn","Name",WIE2)</f>
        <v/>
      </c>
      <c r="WIF3" s="1" t="str" cm="1">
        <f t="array" ref="WIF3">GetValue("Dmn","Name",WIF2)</f>
        <v/>
      </c>
      <c r="WIG3" s="1" t="str" cm="1">
        <f t="array" ref="WIG3">GetValue("Dmn","Name",WIG2)</f>
        <v/>
      </c>
      <c r="WIH3" s="1" t="str" cm="1">
        <f t="array" ref="WIH3">GetValue("Dmn","Name",WIH2)</f>
        <v/>
      </c>
      <c r="WII3" s="1" t="str" cm="1">
        <f t="array" ref="WII3">GetValue("Dmn","Name",WII2)</f>
        <v/>
      </c>
      <c r="WIJ3" s="1" t="str" cm="1">
        <f t="array" ref="WIJ3">GetValue("Dmn","Name",WIJ2)</f>
        <v/>
      </c>
      <c r="WIK3" s="1" t="str" cm="1">
        <f t="array" ref="WIK3">GetValue("Dmn","Name",WIK2)</f>
        <v/>
      </c>
      <c r="WIL3" s="1" t="str" cm="1">
        <f t="array" ref="WIL3">GetValue("Dmn","Name",WIL2)</f>
        <v/>
      </c>
      <c r="WIM3" s="1" t="str" cm="1">
        <f t="array" ref="WIM3">GetValue("Dmn","Name",WIM2)</f>
        <v/>
      </c>
      <c r="WIN3" s="1" t="str" cm="1">
        <f t="array" ref="WIN3">GetValue("Dmn","Name",WIN2)</f>
        <v/>
      </c>
      <c r="WIO3" s="1" t="str" cm="1">
        <f t="array" ref="WIO3">GetValue("Dmn","Name",WIO2)</f>
        <v/>
      </c>
      <c r="WIP3" s="1" t="str" cm="1">
        <f t="array" ref="WIP3">GetValue("Dmn","Name",WIP2)</f>
        <v/>
      </c>
      <c r="WIQ3" s="1" t="str" cm="1">
        <f t="array" ref="WIQ3">GetValue("Dmn","Name",WIQ2)</f>
        <v/>
      </c>
      <c r="WIR3" s="1" t="str" cm="1">
        <f t="array" ref="WIR3">GetValue("Dmn","Name",WIR2)</f>
        <v/>
      </c>
      <c r="WIS3" s="1" t="str" cm="1">
        <f t="array" ref="WIS3">GetValue("Dmn","Name",WIS2)</f>
        <v/>
      </c>
      <c r="WIT3" s="1" t="str" cm="1">
        <f t="array" ref="WIT3">GetValue("Dmn","Name",WIT2)</f>
        <v/>
      </c>
      <c r="WIU3" s="1" t="str" cm="1">
        <f t="array" ref="WIU3">GetValue("Dmn","Name",WIU2)</f>
        <v/>
      </c>
      <c r="WIV3" s="1" t="str" cm="1">
        <f t="array" ref="WIV3">GetValue("Dmn","Name",WIV2)</f>
        <v/>
      </c>
      <c r="WIW3" s="1" t="str" cm="1">
        <f t="array" ref="WIW3">GetValue("Dmn","Name",WIW2)</f>
        <v/>
      </c>
      <c r="WIX3" s="1" t="str" cm="1">
        <f t="array" ref="WIX3">GetValue("Dmn","Name",WIX2)</f>
        <v/>
      </c>
      <c r="WIY3" s="1" t="str" cm="1">
        <f t="array" ref="WIY3">GetValue("Dmn","Name",WIY2)</f>
        <v/>
      </c>
      <c r="WIZ3" s="1" t="str" cm="1">
        <f t="array" ref="WIZ3">GetValue("Dmn","Name",WIZ2)</f>
        <v/>
      </c>
      <c r="WJA3" s="1" t="str" cm="1">
        <f t="array" ref="WJA3">GetValue("Dmn","Name",WJA2)</f>
        <v/>
      </c>
      <c r="WJB3" s="1" t="str" cm="1">
        <f t="array" ref="WJB3">GetValue("Dmn","Name",WJB2)</f>
        <v/>
      </c>
      <c r="WJC3" s="1" t="str" cm="1">
        <f t="array" ref="WJC3">GetValue("Dmn","Name",WJC2)</f>
        <v/>
      </c>
      <c r="WJD3" s="1" t="str" cm="1">
        <f t="array" ref="WJD3">GetValue("Dmn","Name",WJD2)</f>
        <v/>
      </c>
      <c r="WJE3" s="1" t="str" cm="1">
        <f t="array" ref="WJE3">GetValue("Dmn","Name",WJE2)</f>
        <v/>
      </c>
      <c r="WJF3" s="1" t="str" cm="1">
        <f t="array" ref="WJF3">GetValue("Dmn","Name",WJF2)</f>
        <v/>
      </c>
      <c r="WJG3" s="1" t="str" cm="1">
        <f t="array" ref="WJG3">GetValue("Dmn","Name",WJG2)</f>
        <v/>
      </c>
      <c r="WJH3" s="1" t="str" cm="1">
        <f t="array" ref="WJH3">GetValue("Dmn","Name",WJH2)</f>
        <v/>
      </c>
      <c r="WJI3" s="1" t="str" cm="1">
        <f t="array" ref="WJI3">GetValue("Dmn","Name",WJI2)</f>
        <v/>
      </c>
      <c r="WJJ3" s="1" t="str" cm="1">
        <f t="array" ref="WJJ3">GetValue("Dmn","Name",WJJ2)</f>
        <v/>
      </c>
      <c r="WJK3" s="1" t="str" cm="1">
        <f t="array" ref="WJK3">GetValue("Dmn","Name",WJK2)</f>
        <v/>
      </c>
      <c r="WJL3" s="1" t="str" cm="1">
        <f t="array" ref="WJL3">GetValue("Dmn","Name",WJL2)</f>
        <v/>
      </c>
      <c r="WJM3" s="1" t="str" cm="1">
        <f t="array" ref="WJM3">GetValue("Dmn","Name",WJM2)</f>
        <v/>
      </c>
      <c r="WJN3" s="1" t="str" cm="1">
        <f t="array" ref="WJN3">GetValue("Dmn","Name",WJN2)</f>
        <v/>
      </c>
      <c r="WJO3" s="1" t="str" cm="1">
        <f t="array" ref="WJO3">GetValue("Dmn","Name",WJO2)</f>
        <v/>
      </c>
      <c r="WJP3" s="1" t="str" cm="1">
        <f t="array" ref="WJP3">GetValue("Dmn","Name",WJP2)</f>
        <v/>
      </c>
      <c r="WJQ3" s="1" t="str" cm="1">
        <f t="array" ref="WJQ3">GetValue("Dmn","Name",WJQ2)</f>
        <v/>
      </c>
      <c r="WJR3" s="1" t="str" cm="1">
        <f t="array" ref="WJR3">GetValue("Dmn","Name",WJR2)</f>
        <v/>
      </c>
      <c r="WJS3" s="1" t="str" cm="1">
        <f t="array" ref="WJS3">GetValue("Dmn","Name",WJS2)</f>
        <v/>
      </c>
      <c r="WJT3" s="1" t="str" cm="1">
        <f t="array" ref="WJT3">GetValue("Dmn","Name",WJT2)</f>
        <v/>
      </c>
      <c r="WJU3" s="1" t="str" cm="1">
        <f t="array" ref="WJU3">GetValue("Dmn","Name",WJU2)</f>
        <v/>
      </c>
      <c r="WJV3" s="1" t="str" cm="1">
        <f t="array" ref="WJV3">GetValue("Dmn","Name",WJV2)</f>
        <v/>
      </c>
      <c r="WJW3" s="1" t="str" cm="1">
        <f t="array" ref="WJW3">GetValue("Dmn","Name",WJW2)</f>
        <v/>
      </c>
      <c r="WJX3" s="1" t="str" cm="1">
        <f t="array" ref="WJX3">GetValue("Dmn","Name",WJX2)</f>
        <v/>
      </c>
      <c r="WJY3" s="1" t="str" cm="1">
        <f t="array" ref="WJY3">GetValue("Dmn","Name",WJY2)</f>
        <v/>
      </c>
      <c r="WJZ3" s="1" t="str" cm="1">
        <f t="array" ref="WJZ3">GetValue("Dmn","Name",WJZ2)</f>
        <v/>
      </c>
      <c r="WKA3" s="1" t="str" cm="1">
        <f t="array" ref="WKA3">GetValue("Dmn","Name",WKA2)</f>
        <v/>
      </c>
      <c r="WKB3" s="1" t="str" cm="1">
        <f t="array" ref="WKB3">GetValue("Dmn","Name",WKB2)</f>
        <v/>
      </c>
      <c r="WKC3" s="1" t="str" cm="1">
        <f t="array" ref="WKC3">GetValue("Dmn","Name",WKC2)</f>
        <v/>
      </c>
      <c r="WKD3" s="1" t="str" cm="1">
        <f t="array" ref="WKD3">GetValue("Dmn","Name",WKD2)</f>
        <v/>
      </c>
      <c r="WKE3" s="1" t="str" cm="1">
        <f t="array" ref="WKE3">GetValue("Dmn","Name",WKE2)</f>
        <v/>
      </c>
      <c r="WKF3" s="1" t="str" cm="1">
        <f t="array" ref="WKF3">GetValue("Dmn","Name",WKF2)</f>
        <v/>
      </c>
      <c r="WKG3" s="1" t="str" cm="1">
        <f t="array" ref="WKG3">GetValue("Dmn","Name",WKG2)</f>
        <v/>
      </c>
      <c r="WKH3" s="1" t="str" cm="1">
        <f t="array" ref="WKH3">GetValue("Dmn","Name",WKH2)</f>
        <v/>
      </c>
      <c r="WKI3" s="1" t="str" cm="1">
        <f t="array" ref="WKI3">GetValue("Dmn","Name",WKI2)</f>
        <v/>
      </c>
      <c r="WKJ3" s="1" t="str" cm="1">
        <f t="array" ref="WKJ3">GetValue("Dmn","Name",WKJ2)</f>
        <v/>
      </c>
      <c r="WKK3" s="1" t="str" cm="1">
        <f t="array" ref="WKK3">GetValue("Dmn","Name",WKK2)</f>
        <v/>
      </c>
      <c r="WKL3" s="1" t="str" cm="1">
        <f t="array" ref="WKL3">GetValue("Dmn","Name",WKL2)</f>
        <v/>
      </c>
      <c r="WKM3" s="1" t="str" cm="1">
        <f t="array" ref="WKM3">GetValue("Dmn","Name",WKM2)</f>
        <v/>
      </c>
      <c r="WKN3" s="1" t="str" cm="1">
        <f t="array" ref="WKN3">GetValue("Dmn","Name",WKN2)</f>
        <v/>
      </c>
      <c r="WKO3" s="1" t="str" cm="1">
        <f t="array" ref="WKO3">GetValue("Dmn","Name",WKO2)</f>
        <v/>
      </c>
      <c r="WKP3" s="1" t="str" cm="1">
        <f t="array" ref="WKP3">GetValue("Dmn","Name",WKP2)</f>
        <v/>
      </c>
      <c r="WKQ3" s="1" t="str" cm="1">
        <f t="array" ref="WKQ3">GetValue("Dmn","Name",WKQ2)</f>
        <v/>
      </c>
      <c r="WKR3" s="1" t="str" cm="1">
        <f t="array" ref="WKR3">GetValue("Dmn","Name",WKR2)</f>
        <v/>
      </c>
      <c r="WKS3" s="1" t="str" cm="1">
        <f t="array" ref="WKS3">GetValue("Dmn","Name",WKS2)</f>
        <v/>
      </c>
      <c r="WKT3" s="1" t="str" cm="1">
        <f t="array" ref="WKT3">GetValue("Dmn","Name",WKT2)</f>
        <v/>
      </c>
      <c r="WKU3" s="1" t="str" cm="1">
        <f t="array" ref="WKU3">GetValue("Dmn","Name",WKU2)</f>
        <v/>
      </c>
      <c r="WKV3" s="1" t="str" cm="1">
        <f t="array" ref="WKV3">GetValue("Dmn","Name",WKV2)</f>
        <v/>
      </c>
      <c r="WKW3" s="1" t="str" cm="1">
        <f t="array" ref="WKW3">GetValue("Dmn","Name",WKW2)</f>
        <v/>
      </c>
      <c r="WKX3" s="1" t="str" cm="1">
        <f t="array" ref="WKX3">GetValue("Dmn","Name",WKX2)</f>
        <v/>
      </c>
      <c r="WKY3" s="1" t="str" cm="1">
        <f t="array" ref="WKY3">GetValue("Dmn","Name",WKY2)</f>
        <v/>
      </c>
      <c r="WKZ3" s="1" t="str" cm="1">
        <f t="array" ref="WKZ3">GetValue("Dmn","Name",WKZ2)</f>
        <v/>
      </c>
      <c r="WLA3" s="1" t="str" cm="1">
        <f t="array" ref="WLA3">GetValue("Dmn","Name",WLA2)</f>
        <v/>
      </c>
      <c r="WLB3" s="1" t="str" cm="1">
        <f t="array" ref="WLB3">GetValue("Dmn","Name",WLB2)</f>
        <v/>
      </c>
      <c r="WLC3" s="1" t="str" cm="1">
        <f t="array" ref="WLC3">GetValue("Dmn","Name",WLC2)</f>
        <v/>
      </c>
      <c r="WLD3" s="1" t="str" cm="1">
        <f t="array" ref="WLD3">GetValue("Dmn","Name",WLD2)</f>
        <v/>
      </c>
      <c r="WLE3" s="1" t="str" cm="1">
        <f t="array" ref="WLE3">GetValue("Dmn","Name",WLE2)</f>
        <v/>
      </c>
      <c r="WLF3" s="1" t="str" cm="1">
        <f t="array" ref="WLF3">GetValue("Dmn","Name",WLF2)</f>
        <v/>
      </c>
      <c r="WLG3" s="1" t="str" cm="1">
        <f t="array" ref="WLG3">GetValue("Dmn","Name",WLG2)</f>
        <v/>
      </c>
      <c r="WLH3" s="1" t="str" cm="1">
        <f t="array" ref="WLH3">GetValue("Dmn","Name",WLH2)</f>
        <v/>
      </c>
      <c r="WLI3" s="1" t="str" cm="1">
        <f t="array" ref="WLI3">GetValue("Dmn","Name",WLI2)</f>
        <v/>
      </c>
      <c r="WLJ3" s="1" t="str" cm="1">
        <f t="array" ref="WLJ3">GetValue("Dmn","Name",WLJ2)</f>
        <v/>
      </c>
      <c r="WLK3" s="1" t="str" cm="1">
        <f t="array" ref="WLK3">GetValue("Dmn","Name",WLK2)</f>
        <v/>
      </c>
      <c r="WLL3" s="1" t="str" cm="1">
        <f t="array" ref="WLL3">GetValue("Dmn","Name",WLL2)</f>
        <v/>
      </c>
      <c r="WLM3" s="1" t="str" cm="1">
        <f t="array" ref="WLM3">GetValue("Dmn","Name",WLM2)</f>
        <v/>
      </c>
      <c r="WLN3" s="1" t="str" cm="1">
        <f t="array" ref="WLN3">GetValue("Dmn","Name",WLN2)</f>
        <v/>
      </c>
      <c r="WLO3" s="1" t="str" cm="1">
        <f t="array" ref="WLO3">GetValue("Dmn","Name",WLO2)</f>
        <v/>
      </c>
      <c r="WLP3" s="1" t="str" cm="1">
        <f t="array" ref="WLP3">GetValue("Dmn","Name",WLP2)</f>
        <v/>
      </c>
      <c r="WLQ3" s="1" t="str" cm="1">
        <f t="array" ref="WLQ3">GetValue("Dmn","Name",WLQ2)</f>
        <v/>
      </c>
      <c r="WLR3" s="1" t="str" cm="1">
        <f t="array" ref="WLR3">GetValue("Dmn","Name",WLR2)</f>
        <v/>
      </c>
      <c r="WLS3" s="1" t="str" cm="1">
        <f t="array" ref="WLS3">GetValue("Dmn","Name",WLS2)</f>
        <v/>
      </c>
      <c r="WLT3" s="1" t="str" cm="1">
        <f t="array" ref="WLT3">GetValue("Dmn","Name",WLT2)</f>
        <v/>
      </c>
      <c r="WLU3" s="1" t="str" cm="1">
        <f t="array" ref="WLU3">GetValue("Dmn","Name",WLU2)</f>
        <v/>
      </c>
      <c r="WLV3" s="1" t="str" cm="1">
        <f t="array" ref="WLV3">GetValue("Dmn","Name",WLV2)</f>
        <v/>
      </c>
      <c r="WLW3" s="1" t="str" cm="1">
        <f t="array" ref="WLW3">GetValue("Dmn","Name",WLW2)</f>
        <v/>
      </c>
      <c r="WLX3" s="1" t="str" cm="1">
        <f t="array" ref="WLX3">GetValue("Dmn","Name",WLX2)</f>
        <v/>
      </c>
      <c r="WLY3" s="1" t="str" cm="1">
        <f t="array" ref="WLY3">GetValue("Dmn","Name",WLY2)</f>
        <v/>
      </c>
      <c r="WLZ3" s="1" t="str" cm="1">
        <f t="array" ref="WLZ3">GetValue("Dmn","Name",WLZ2)</f>
        <v/>
      </c>
      <c r="WMA3" s="1" t="str" cm="1">
        <f t="array" ref="WMA3">GetValue("Dmn","Name",WMA2)</f>
        <v/>
      </c>
      <c r="WMB3" s="1" t="str" cm="1">
        <f t="array" ref="WMB3">GetValue("Dmn","Name",WMB2)</f>
        <v/>
      </c>
      <c r="WMC3" s="1" t="str" cm="1">
        <f t="array" ref="WMC3">GetValue("Dmn","Name",WMC2)</f>
        <v/>
      </c>
      <c r="WMD3" s="1" t="str" cm="1">
        <f t="array" ref="WMD3">GetValue("Dmn","Name",WMD2)</f>
        <v/>
      </c>
      <c r="WME3" s="1" t="str" cm="1">
        <f t="array" ref="WME3">GetValue("Dmn","Name",WME2)</f>
        <v/>
      </c>
      <c r="WMF3" s="1" t="str" cm="1">
        <f t="array" ref="WMF3">GetValue("Dmn","Name",WMF2)</f>
        <v/>
      </c>
      <c r="WMG3" s="1" t="str" cm="1">
        <f t="array" ref="WMG3">GetValue("Dmn","Name",WMG2)</f>
        <v/>
      </c>
      <c r="WMH3" s="1" t="str" cm="1">
        <f t="array" ref="WMH3">GetValue("Dmn","Name",WMH2)</f>
        <v/>
      </c>
      <c r="WMI3" s="1" t="str" cm="1">
        <f t="array" ref="WMI3">GetValue("Dmn","Name",WMI2)</f>
        <v/>
      </c>
      <c r="WMJ3" s="1" t="str" cm="1">
        <f t="array" ref="WMJ3">GetValue("Dmn","Name",WMJ2)</f>
        <v/>
      </c>
      <c r="WMK3" s="1" t="str" cm="1">
        <f t="array" ref="WMK3">GetValue("Dmn","Name",WMK2)</f>
        <v/>
      </c>
      <c r="WML3" s="1" t="str" cm="1">
        <f t="array" ref="WML3">GetValue("Dmn","Name",WML2)</f>
        <v/>
      </c>
      <c r="WMM3" s="1" t="str" cm="1">
        <f t="array" ref="WMM3">GetValue("Dmn","Name",WMM2)</f>
        <v/>
      </c>
      <c r="WMN3" s="1" t="str" cm="1">
        <f t="array" ref="WMN3">GetValue("Dmn","Name",WMN2)</f>
        <v/>
      </c>
      <c r="WMO3" s="1" t="str" cm="1">
        <f t="array" ref="WMO3">GetValue("Dmn","Name",WMO2)</f>
        <v/>
      </c>
      <c r="WMP3" s="1" t="str" cm="1">
        <f t="array" ref="WMP3">GetValue("Dmn","Name",WMP2)</f>
        <v/>
      </c>
      <c r="WMQ3" s="1" t="str" cm="1">
        <f t="array" ref="WMQ3">GetValue("Dmn","Name",WMQ2)</f>
        <v/>
      </c>
      <c r="WMR3" s="1" t="str" cm="1">
        <f t="array" ref="WMR3">GetValue("Dmn","Name",WMR2)</f>
        <v/>
      </c>
      <c r="WMS3" s="1" t="str" cm="1">
        <f t="array" ref="WMS3">GetValue("Dmn","Name",WMS2)</f>
        <v/>
      </c>
      <c r="WMT3" s="1" t="str" cm="1">
        <f t="array" ref="WMT3">GetValue("Dmn","Name",WMT2)</f>
        <v/>
      </c>
      <c r="WMU3" s="1" t="str" cm="1">
        <f t="array" ref="WMU3">GetValue("Dmn","Name",WMU2)</f>
        <v/>
      </c>
      <c r="WMV3" s="1" t="str" cm="1">
        <f t="array" ref="WMV3">GetValue("Dmn","Name",WMV2)</f>
        <v/>
      </c>
      <c r="WMW3" s="1" t="str" cm="1">
        <f t="array" ref="WMW3">GetValue("Dmn","Name",WMW2)</f>
        <v/>
      </c>
      <c r="WMX3" s="1" t="str" cm="1">
        <f t="array" ref="WMX3">GetValue("Dmn","Name",WMX2)</f>
        <v/>
      </c>
      <c r="WMY3" s="1" t="str" cm="1">
        <f t="array" ref="WMY3">GetValue("Dmn","Name",WMY2)</f>
        <v/>
      </c>
      <c r="WMZ3" s="1" t="str" cm="1">
        <f t="array" ref="WMZ3">GetValue("Dmn","Name",WMZ2)</f>
        <v/>
      </c>
      <c r="WNA3" s="1" t="str" cm="1">
        <f t="array" ref="WNA3">GetValue("Dmn","Name",WNA2)</f>
        <v/>
      </c>
      <c r="WNB3" s="1" t="str" cm="1">
        <f t="array" ref="WNB3">GetValue("Dmn","Name",WNB2)</f>
        <v/>
      </c>
      <c r="WNC3" s="1" t="str" cm="1">
        <f t="array" ref="WNC3">GetValue("Dmn","Name",WNC2)</f>
        <v/>
      </c>
      <c r="WND3" s="1" t="str" cm="1">
        <f t="array" ref="WND3">GetValue("Dmn","Name",WND2)</f>
        <v/>
      </c>
      <c r="WNE3" s="1" t="str" cm="1">
        <f t="array" ref="WNE3">GetValue("Dmn","Name",WNE2)</f>
        <v/>
      </c>
      <c r="WNF3" s="1" t="str" cm="1">
        <f t="array" ref="WNF3">GetValue("Dmn","Name",WNF2)</f>
        <v/>
      </c>
      <c r="WNG3" s="1" t="str" cm="1">
        <f t="array" ref="WNG3">GetValue("Dmn","Name",WNG2)</f>
        <v/>
      </c>
      <c r="WNH3" s="1" t="str" cm="1">
        <f t="array" ref="WNH3">GetValue("Dmn","Name",WNH2)</f>
        <v/>
      </c>
      <c r="WNI3" s="1" t="str" cm="1">
        <f t="array" ref="WNI3">GetValue("Dmn","Name",WNI2)</f>
        <v/>
      </c>
      <c r="WNJ3" s="1" t="str" cm="1">
        <f t="array" ref="WNJ3">GetValue("Dmn","Name",WNJ2)</f>
        <v/>
      </c>
      <c r="WNK3" s="1" t="str" cm="1">
        <f t="array" ref="WNK3">GetValue("Dmn","Name",WNK2)</f>
        <v/>
      </c>
      <c r="WNL3" s="1" t="str" cm="1">
        <f t="array" ref="WNL3">GetValue("Dmn","Name",WNL2)</f>
        <v/>
      </c>
      <c r="WNM3" s="1" t="str" cm="1">
        <f t="array" ref="WNM3">GetValue("Dmn","Name",WNM2)</f>
        <v/>
      </c>
      <c r="WNN3" s="1" t="str" cm="1">
        <f t="array" ref="WNN3">GetValue("Dmn","Name",WNN2)</f>
        <v/>
      </c>
      <c r="WNO3" s="1" t="str" cm="1">
        <f t="array" ref="WNO3">GetValue("Dmn","Name",WNO2)</f>
        <v/>
      </c>
      <c r="WNP3" s="1" t="str" cm="1">
        <f t="array" ref="WNP3">GetValue("Dmn","Name",WNP2)</f>
        <v/>
      </c>
      <c r="WNQ3" s="1" t="str" cm="1">
        <f t="array" ref="WNQ3">GetValue("Dmn","Name",WNQ2)</f>
        <v/>
      </c>
      <c r="WNR3" s="1" t="str" cm="1">
        <f t="array" ref="WNR3">GetValue("Dmn","Name",WNR2)</f>
        <v/>
      </c>
      <c r="WNS3" s="1" t="str" cm="1">
        <f t="array" ref="WNS3">GetValue("Dmn","Name",WNS2)</f>
        <v/>
      </c>
      <c r="WNT3" s="1" t="str" cm="1">
        <f t="array" ref="WNT3">GetValue("Dmn","Name",WNT2)</f>
        <v/>
      </c>
      <c r="WNU3" s="1" t="str" cm="1">
        <f t="array" ref="WNU3">GetValue("Dmn","Name",WNU2)</f>
        <v/>
      </c>
      <c r="WNV3" s="1" t="str" cm="1">
        <f t="array" ref="WNV3">GetValue("Dmn","Name",WNV2)</f>
        <v/>
      </c>
      <c r="WNW3" s="1" t="str" cm="1">
        <f t="array" ref="WNW3">GetValue("Dmn","Name",WNW2)</f>
        <v/>
      </c>
      <c r="WNX3" s="1" t="str" cm="1">
        <f t="array" ref="WNX3">GetValue("Dmn","Name",WNX2)</f>
        <v/>
      </c>
      <c r="WNY3" s="1" t="str" cm="1">
        <f t="array" ref="WNY3">GetValue("Dmn","Name",WNY2)</f>
        <v/>
      </c>
      <c r="WNZ3" s="1" t="str" cm="1">
        <f t="array" ref="WNZ3">GetValue("Dmn","Name",WNZ2)</f>
        <v/>
      </c>
      <c r="WOA3" s="1" t="str" cm="1">
        <f t="array" ref="WOA3">GetValue("Dmn","Name",WOA2)</f>
        <v/>
      </c>
      <c r="WOB3" s="1" t="str" cm="1">
        <f t="array" ref="WOB3">GetValue("Dmn","Name",WOB2)</f>
        <v/>
      </c>
      <c r="WOC3" s="1" t="str" cm="1">
        <f t="array" ref="WOC3">GetValue("Dmn","Name",WOC2)</f>
        <v/>
      </c>
      <c r="WOD3" s="1" t="str" cm="1">
        <f t="array" ref="WOD3">GetValue("Dmn","Name",WOD2)</f>
        <v/>
      </c>
      <c r="WOE3" s="1" t="str" cm="1">
        <f t="array" ref="WOE3">GetValue("Dmn","Name",WOE2)</f>
        <v/>
      </c>
      <c r="WOF3" s="1" t="str" cm="1">
        <f t="array" ref="WOF3">GetValue("Dmn","Name",WOF2)</f>
        <v/>
      </c>
      <c r="WOG3" s="1" t="str" cm="1">
        <f t="array" ref="WOG3">GetValue("Dmn","Name",WOG2)</f>
        <v/>
      </c>
      <c r="WOH3" s="1" t="str" cm="1">
        <f t="array" ref="WOH3">GetValue("Dmn","Name",WOH2)</f>
        <v/>
      </c>
      <c r="WOI3" s="1" t="str" cm="1">
        <f t="array" ref="WOI3">GetValue("Dmn","Name",WOI2)</f>
        <v/>
      </c>
      <c r="WOJ3" s="1" t="str" cm="1">
        <f t="array" ref="WOJ3">GetValue("Dmn","Name",WOJ2)</f>
        <v/>
      </c>
      <c r="WOK3" s="1" t="str" cm="1">
        <f t="array" ref="WOK3">GetValue("Dmn","Name",WOK2)</f>
        <v/>
      </c>
      <c r="WOL3" s="1" t="str" cm="1">
        <f t="array" ref="WOL3">GetValue("Dmn","Name",WOL2)</f>
        <v/>
      </c>
      <c r="WOM3" s="1" t="str" cm="1">
        <f t="array" ref="WOM3">GetValue("Dmn","Name",WOM2)</f>
        <v/>
      </c>
      <c r="WON3" s="1" t="str" cm="1">
        <f t="array" ref="WON3">GetValue("Dmn","Name",WON2)</f>
        <v/>
      </c>
      <c r="WOO3" s="1" t="str" cm="1">
        <f t="array" ref="WOO3">GetValue("Dmn","Name",WOO2)</f>
        <v/>
      </c>
      <c r="WOP3" s="1" t="str" cm="1">
        <f t="array" ref="WOP3">GetValue("Dmn","Name",WOP2)</f>
        <v/>
      </c>
      <c r="WOQ3" s="1" t="str" cm="1">
        <f t="array" ref="WOQ3">GetValue("Dmn","Name",WOQ2)</f>
        <v/>
      </c>
      <c r="WOR3" s="1" t="str" cm="1">
        <f t="array" ref="WOR3">GetValue("Dmn","Name",WOR2)</f>
        <v/>
      </c>
      <c r="WOS3" s="1" t="str" cm="1">
        <f t="array" ref="WOS3">GetValue("Dmn","Name",WOS2)</f>
        <v/>
      </c>
      <c r="WOT3" s="1" t="str" cm="1">
        <f t="array" ref="WOT3">GetValue("Dmn","Name",WOT2)</f>
        <v/>
      </c>
      <c r="WOU3" s="1" t="str" cm="1">
        <f t="array" ref="WOU3">GetValue("Dmn","Name",WOU2)</f>
        <v/>
      </c>
      <c r="WOV3" s="1" t="str" cm="1">
        <f t="array" ref="WOV3">GetValue("Dmn","Name",WOV2)</f>
        <v/>
      </c>
      <c r="WOW3" s="1" t="str" cm="1">
        <f t="array" ref="WOW3">GetValue("Dmn","Name",WOW2)</f>
        <v/>
      </c>
      <c r="WOX3" s="1" t="str" cm="1">
        <f t="array" ref="WOX3">GetValue("Dmn","Name",WOX2)</f>
        <v/>
      </c>
      <c r="WOY3" s="1" t="str" cm="1">
        <f t="array" ref="WOY3">GetValue("Dmn","Name",WOY2)</f>
        <v/>
      </c>
      <c r="WOZ3" s="1" t="str" cm="1">
        <f t="array" ref="WOZ3">GetValue("Dmn","Name",WOZ2)</f>
        <v/>
      </c>
      <c r="WPA3" s="1" t="str" cm="1">
        <f t="array" ref="WPA3">GetValue("Dmn","Name",WPA2)</f>
        <v/>
      </c>
      <c r="WPB3" s="1" t="str" cm="1">
        <f t="array" ref="WPB3">GetValue("Dmn","Name",WPB2)</f>
        <v/>
      </c>
      <c r="WPC3" s="1" t="str" cm="1">
        <f t="array" ref="WPC3">GetValue("Dmn","Name",WPC2)</f>
        <v/>
      </c>
      <c r="WPD3" s="1" t="str" cm="1">
        <f t="array" ref="WPD3">GetValue("Dmn","Name",WPD2)</f>
        <v/>
      </c>
      <c r="WPE3" s="1" t="str" cm="1">
        <f t="array" ref="WPE3">GetValue("Dmn","Name",WPE2)</f>
        <v/>
      </c>
      <c r="WPF3" s="1" t="str" cm="1">
        <f t="array" ref="WPF3">GetValue("Dmn","Name",WPF2)</f>
        <v/>
      </c>
      <c r="WPG3" s="1" t="str" cm="1">
        <f t="array" ref="WPG3">GetValue("Dmn","Name",WPG2)</f>
        <v/>
      </c>
      <c r="WPH3" s="1" t="str" cm="1">
        <f t="array" ref="WPH3">GetValue("Dmn","Name",WPH2)</f>
        <v/>
      </c>
      <c r="WPI3" s="1" t="str" cm="1">
        <f t="array" ref="WPI3">GetValue("Dmn","Name",WPI2)</f>
        <v/>
      </c>
      <c r="WPJ3" s="1" t="str" cm="1">
        <f t="array" ref="WPJ3">GetValue("Dmn","Name",WPJ2)</f>
        <v/>
      </c>
      <c r="WPK3" s="1" t="str" cm="1">
        <f t="array" ref="WPK3">GetValue("Dmn","Name",WPK2)</f>
        <v/>
      </c>
      <c r="WPL3" s="1" t="str" cm="1">
        <f t="array" ref="WPL3">GetValue("Dmn","Name",WPL2)</f>
        <v/>
      </c>
      <c r="WPM3" s="1" t="str" cm="1">
        <f t="array" ref="WPM3">GetValue("Dmn","Name",WPM2)</f>
        <v/>
      </c>
      <c r="WPN3" s="1" t="str" cm="1">
        <f t="array" ref="WPN3">GetValue("Dmn","Name",WPN2)</f>
        <v/>
      </c>
      <c r="WPO3" s="1" t="str" cm="1">
        <f t="array" ref="WPO3">GetValue("Dmn","Name",WPO2)</f>
        <v/>
      </c>
      <c r="WPP3" s="1" t="str" cm="1">
        <f t="array" ref="WPP3">GetValue("Dmn","Name",WPP2)</f>
        <v/>
      </c>
      <c r="WPQ3" s="1" t="str" cm="1">
        <f t="array" ref="WPQ3">GetValue("Dmn","Name",WPQ2)</f>
        <v/>
      </c>
      <c r="WPR3" s="1" t="str" cm="1">
        <f t="array" ref="WPR3">GetValue("Dmn","Name",WPR2)</f>
        <v/>
      </c>
      <c r="WPS3" s="1" t="str" cm="1">
        <f t="array" ref="WPS3">GetValue("Dmn","Name",WPS2)</f>
        <v/>
      </c>
      <c r="WPT3" s="1" t="str" cm="1">
        <f t="array" ref="WPT3">GetValue("Dmn","Name",WPT2)</f>
        <v/>
      </c>
      <c r="WPU3" s="1" t="str" cm="1">
        <f t="array" ref="WPU3">GetValue("Dmn","Name",WPU2)</f>
        <v/>
      </c>
      <c r="WPV3" s="1" t="str" cm="1">
        <f t="array" ref="WPV3">GetValue("Dmn","Name",WPV2)</f>
        <v/>
      </c>
      <c r="WPW3" s="1" t="str" cm="1">
        <f t="array" ref="WPW3">GetValue("Dmn","Name",WPW2)</f>
        <v/>
      </c>
      <c r="WPX3" s="1" t="str" cm="1">
        <f t="array" ref="WPX3">GetValue("Dmn","Name",WPX2)</f>
        <v/>
      </c>
      <c r="WPY3" s="1" t="str" cm="1">
        <f t="array" ref="WPY3">GetValue("Dmn","Name",WPY2)</f>
        <v/>
      </c>
      <c r="WPZ3" s="1" t="str" cm="1">
        <f t="array" ref="WPZ3">GetValue("Dmn","Name",WPZ2)</f>
        <v/>
      </c>
      <c r="WQA3" s="1" t="str" cm="1">
        <f t="array" ref="WQA3">GetValue("Dmn","Name",WQA2)</f>
        <v/>
      </c>
      <c r="WQB3" s="1" t="str" cm="1">
        <f t="array" ref="WQB3">GetValue("Dmn","Name",WQB2)</f>
        <v/>
      </c>
      <c r="WQC3" s="1" t="str" cm="1">
        <f t="array" ref="WQC3">GetValue("Dmn","Name",WQC2)</f>
        <v/>
      </c>
      <c r="WQD3" s="1" t="str" cm="1">
        <f t="array" ref="WQD3">GetValue("Dmn","Name",WQD2)</f>
        <v/>
      </c>
      <c r="WQE3" s="1" t="str" cm="1">
        <f t="array" ref="WQE3">GetValue("Dmn","Name",WQE2)</f>
        <v/>
      </c>
      <c r="WQF3" s="1" t="str" cm="1">
        <f t="array" ref="WQF3">GetValue("Dmn","Name",WQF2)</f>
        <v/>
      </c>
      <c r="WQG3" s="1" t="str" cm="1">
        <f t="array" ref="WQG3">GetValue("Dmn","Name",WQG2)</f>
        <v/>
      </c>
      <c r="WQH3" s="1" t="str" cm="1">
        <f t="array" ref="WQH3">GetValue("Dmn","Name",WQH2)</f>
        <v/>
      </c>
      <c r="WQI3" s="1" t="str" cm="1">
        <f t="array" ref="WQI3">GetValue("Dmn","Name",WQI2)</f>
        <v/>
      </c>
      <c r="WQJ3" s="1" t="str" cm="1">
        <f t="array" ref="WQJ3">GetValue("Dmn","Name",WQJ2)</f>
        <v/>
      </c>
      <c r="WQK3" s="1" t="str" cm="1">
        <f t="array" ref="WQK3">GetValue("Dmn","Name",WQK2)</f>
        <v/>
      </c>
      <c r="WQL3" s="1" t="str" cm="1">
        <f t="array" ref="WQL3">GetValue("Dmn","Name",WQL2)</f>
        <v/>
      </c>
      <c r="WQM3" s="1" t="str" cm="1">
        <f t="array" ref="WQM3">GetValue("Dmn","Name",WQM2)</f>
        <v/>
      </c>
      <c r="WQN3" s="1" t="str" cm="1">
        <f t="array" ref="WQN3">GetValue("Dmn","Name",WQN2)</f>
        <v/>
      </c>
      <c r="WQO3" s="1" t="str" cm="1">
        <f t="array" ref="WQO3">GetValue("Dmn","Name",WQO2)</f>
        <v/>
      </c>
      <c r="WQP3" s="1" t="str" cm="1">
        <f t="array" ref="WQP3">GetValue("Dmn","Name",WQP2)</f>
        <v/>
      </c>
      <c r="WQQ3" s="1" t="str" cm="1">
        <f t="array" ref="WQQ3">GetValue("Dmn","Name",WQQ2)</f>
        <v/>
      </c>
      <c r="WQR3" s="1" t="str" cm="1">
        <f t="array" ref="WQR3">GetValue("Dmn","Name",WQR2)</f>
        <v/>
      </c>
      <c r="WQS3" s="1" t="str" cm="1">
        <f t="array" ref="WQS3">GetValue("Dmn","Name",WQS2)</f>
        <v/>
      </c>
      <c r="WQT3" s="1" t="str" cm="1">
        <f t="array" ref="WQT3">GetValue("Dmn","Name",WQT2)</f>
        <v/>
      </c>
      <c r="WQU3" s="1" t="str" cm="1">
        <f t="array" ref="WQU3">GetValue("Dmn","Name",WQU2)</f>
        <v/>
      </c>
      <c r="WQV3" s="1" t="str" cm="1">
        <f t="array" ref="WQV3">GetValue("Dmn","Name",WQV2)</f>
        <v/>
      </c>
      <c r="WQW3" s="1" t="str" cm="1">
        <f t="array" ref="WQW3">GetValue("Dmn","Name",WQW2)</f>
        <v/>
      </c>
      <c r="WQX3" s="1" t="str" cm="1">
        <f t="array" ref="WQX3">GetValue("Dmn","Name",WQX2)</f>
        <v/>
      </c>
      <c r="WQY3" s="1" t="str" cm="1">
        <f t="array" ref="WQY3">GetValue("Dmn","Name",WQY2)</f>
        <v/>
      </c>
      <c r="WQZ3" s="1" t="str" cm="1">
        <f t="array" ref="WQZ3">GetValue("Dmn","Name",WQZ2)</f>
        <v/>
      </c>
      <c r="WRA3" s="1" t="str" cm="1">
        <f t="array" ref="WRA3">GetValue("Dmn","Name",WRA2)</f>
        <v/>
      </c>
      <c r="WRB3" s="1" t="str" cm="1">
        <f t="array" ref="WRB3">GetValue("Dmn","Name",WRB2)</f>
        <v/>
      </c>
      <c r="WRC3" s="1" t="str" cm="1">
        <f t="array" ref="WRC3">GetValue("Dmn","Name",WRC2)</f>
        <v/>
      </c>
      <c r="WRD3" s="1" t="str" cm="1">
        <f t="array" ref="WRD3">GetValue("Dmn","Name",WRD2)</f>
        <v/>
      </c>
      <c r="WRE3" s="1" t="str" cm="1">
        <f t="array" ref="WRE3">GetValue("Dmn","Name",WRE2)</f>
        <v/>
      </c>
      <c r="WRF3" s="1" t="str" cm="1">
        <f t="array" ref="WRF3">GetValue("Dmn","Name",WRF2)</f>
        <v/>
      </c>
      <c r="WRG3" s="1" t="str" cm="1">
        <f t="array" ref="WRG3">GetValue("Dmn","Name",WRG2)</f>
        <v/>
      </c>
      <c r="WRH3" s="1" t="str" cm="1">
        <f t="array" ref="WRH3">GetValue("Dmn","Name",WRH2)</f>
        <v/>
      </c>
      <c r="WRI3" s="1" t="str" cm="1">
        <f t="array" ref="WRI3">GetValue("Dmn","Name",WRI2)</f>
        <v/>
      </c>
      <c r="WRJ3" s="1" t="str" cm="1">
        <f t="array" ref="WRJ3">GetValue("Dmn","Name",WRJ2)</f>
        <v/>
      </c>
      <c r="WRK3" s="1" t="str" cm="1">
        <f t="array" ref="WRK3">GetValue("Dmn","Name",WRK2)</f>
        <v/>
      </c>
      <c r="WRL3" s="1" t="str" cm="1">
        <f t="array" ref="WRL3">GetValue("Dmn","Name",WRL2)</f>
        <v/>
      </c>
      <c r="WRM3" s="1" t="str" cm="1">
        <f t="array" ref="WRM3">GetValue("Dmn","Name",WRM2)</f>
        <v/>
      </c>
      <c r="WRN3" s="1" t="str" cm="1">
        <f t="array" ref="WRN3">GetValue("Dmn","Name",WRN2)</f>
        <v/>
      </c>
      <c r="WRO3" s="1" t="str" cm="1">
        <f t="array" ref="WRO3">GetValue("Dmn","Name",WRO2)</f>
        <v/>
      </c>
      <c r="WRP3" s="1" t="str" cm="1">
        <f t="array" ref="WRP3">GetValue("Dmn","Name",WRP2)</f>
        <v/>
      </c>
      <c r="WRQ3" s="1" t="str" cm="1">
        <f t="array" ref="WRQ3">GetValue("Dmn","Name",WRQ2)</f>
        <v/>
      </c>
      <c r="WRR3" s="1" t="str" cm="1">
        <f t="array" ref="WRR3">GetValue("Dmn","Name",WRR2)</f>
        <v/>
      </c>
      <c r="WRS3" s="1" t="str" cm="1">
        <f t="array" ref="WRS3">GetValue("Dmn","Name",WRS2)</f>
        <v/>
      </c>
      <c r="WRT3" s="1" t="str" cm="1">
        <f t="array" ref="WRT3">GetValue("Dmn","Name",WRT2)</f>
        <v/>
      </c>
      <c r="WRU3" s="1" t="str" cm="1">
        <f t="array" ref="WRU3">GetValue("Dmn","Name",WRU2)</f>
        <v/>
      </c>
      <c r="WRV3" s="1" t="str" cm="1">
        <f t="array" ref="WRV3">GetValue("Dmn","Name",WRV2)</f>
        <v/>
      </c>
      <c r="WRW3" s="1" t="str" cm="1">
        <f t="array" ref="WRW3">GetValue("Dmn","Name",WRW2)</f>
        <v/>
      </c>
      <c r="WRX3" s="1" t="str" cm="1">
        <f t="array" ref="WRX3">GetValue("Dmn","Name",WRX2)</f>
        <v/>
      </c>
      <c r="WRY3" s="1" t="str" cm="1">
        <f t="array" ref="WRY3">GetValue("Dmn","Name",WRY2)</f>
        <v/>
      </c>
      <c r="WRZ3" s="1" t="str" cm="1">
        <f t="array" ref="WRZ3">GetValue("Dmn","Name",WRZ2)</f>
        <v/>
      </c>
      <c r="WSA3" s="1" t="str" cm="1">
        <f t="array" ref="WSA3">GetValue("Dmn","Name",WSA2)</f>
        <v/>
      </c>
      <c r="WSB3" s="1" t="str" cm="1">
        <f t="array" ref="WSB3">GetValue("Dmn","Name",WSB2)</f>
        <v/>
      </c>
      <c r="WSC3" s="1" t="str" cm="1">
        <f t="array" ref="WSC3">GetValue("Dmn","Name",WSC2)</f>
        <v/>
      </c>
      <c r="WSD3" s="1" t="str" cm="1">
        <f t="array" ref="WSD3">GetValue("Dmn","Name",WSD2)</f>
        <v/>
      </c>
      <c r="WSE3" s="1" t="str" cm="1">
        <f t="array" ref="WSE3">GetValue("Dmn","Name",WSE2)</f>
        <v/>
      </c>
      <c r="WSF3" s="1" t="str" cm="1">
        <f t="array" ref="WSF3">GetValue("Dmn","Name",WSF2)</f>
        <v/>
      </c>
      <c r="WSG3" s="1" t="str" cm="1">
        <f t="array" ref="WSG3">GetValue("Dmn","Name",WSG2)</f>
        <v/>
      </c>
      <c r="WSH3" s="1" t="str" cm="1">
        <f t="array" ref="WSH3">GetValue("Dmn","Name",WSH2)</f>
        <v/>
      </c>
      <c r="WSI3" s="1" t="str" cm="1">
        <f t="array" ref="WSI3">GetValue("Dmn","Name",WSI2)</f>
        <v/>
      </c>
      <c r="WSJ3" s="1" t="str" cm="1">
        <f t="array" ref="WSJ3">GetValue("Dmn","Name",WSJ2)</f>
        <v/>
      </c>
      <c r="WSK3" s="1" t="str" cm="1">
        <f t="array" ref="WSK3">GetValue("Dmn","Name",WSK2)</f>
        <v/>
      </c>
      <c r="WSL3" s="1" t="str" cm="1">
        <f t="array" ref="WSL3">GetValue("Dmn","Name",WSL2)</f>
        <v/>
      </c>
      <c r="WSM3" s="1" t="str" cm="1">
        <f t="array" ref="WSM3">GetValue("Dmn","Name",WSM2)</f>
        <v/>
      </c>
      <c r="WSN3" s="1" t="str" cm="1">
        <f t="array" ref="WSN3">GetValue("Dmn","Name",WSN2)</f>
        <v/>
      </c>
      <c r="WSO3" s="1" t="str" cm="1">
        <f t="array" ref="WSO3">GetValue("Dmn","Name",WSO2)</f>
        <v/>
      </c>
      <c r="WSP3" s="1" t="str" cm="1">
        <f t="array" ref="WSP3">GetValue("Dmn","Name",WSP2)</f>
        <v/>
      </c>
      <c r="WSQ3" s="1" t="str" cm="1">
        <f t="array" ref="WSQ3">GetValue("Dmn","Name",WSQ2)</f>
        <v/>
      </c>
      <c r="WSR3" s="1" t="str" cm="1">
        <f t="array" ref="WSR3">GetValue("Dmn","Name",WSR2)</f>
        <v/>
      </c>
      <c r="WSS3" s="1" t="str" cm="1">
        <f t="array" ref="WSS3">GetValue("Dmn","Name",WSS2)</f>
        <v/>
      </c>
      <c r="WST3" s="1" t="str" cm="1">
        <f t="array" ref="WST3">GetValue("Dmn","Name",WST2)</f>
        <v/>
      </c>
      <c r="WSU3" s="1" t="str" cm="1">
        <f t="array" ref="WSU3">GetValue("Dmn","Name",WSU2)</f>
        <v/>
      </c>
      <c r="WSV3" s="1" t="str" cm="1">
        <f t="array" ref="WSV3">GetValue("Dmn","Name",WSV2)</f>
        <v/>
      </c>
      <c r="WSW3" s="1" t="str" cm="1">
        <f t="array" ref="WSW3">GetValue("Dmn","Name",WSW2)</f>
        <v/>
      </c>
      <c r="WSX3" s="1" t="str" cm="1">
        <f t="array" ref="WSX3">GetValue("Dmn","Name",WSX2)</f>
        <v/>
      </c>
      <c r="WSY3" s="1" t="str" cm="1">
        <f t="array" ref="WSY3">GetValue("Dmn","Name",WSY2)</f>
        <v/>
      </c>
      <c r="WSZ3" s="1" t="str" cm="1">
        <f t="array" ref="WSZ3">GetValue("Dmn","Name",WSZ2)</f>
        <v/>
      </c>
      <c r="WTA3" s="1" t="str" cm="1">
        <f t="array" ref="WTA3">GetValue("Dmn","Name",WTA2)</f>
        <v/>
      </c>
      <c r="WTB3" s="1" t="str" cm="1">
        <f t="array" ref="WTB3">GetValue("Dmn","Name",WTB2)</f>
        <v/>
      </c>
      <c r="WTC3" s="1" t="str" cm="1">
        <f t="array" ref="WTC3">GetValue("Dmn","Name",WTC2)</f>
        <v/>
      </c>
      <c r="WTD3" s="1" t="str" cm="1">
        <f t="array" ref="WTD3">GetValue("Dmn","Name",WTD2)</f>
        <v/>
      </c>
      <c r="WTE3" s="1" t="str" cm="1">
        <f t="array" ref="WTE3">GetValue("Dmn","Name",WTE2)</f>
        <v/>
      </c>
      <c r="WTF3" s="1" t="str" cm="1">
        <f t="array" ref="WTF3">GetValue("Dmn","Name",WTF2)</f>
        <v/>
      </c>
      <c r="WTG3" s="1" t="str" cm="1">
        <f t="array" ref="WTG3">GetValue("Dmn","Name",WTG2)</f>
        <v/>
      </c>
      <c r="WTH3" s="1" t="str" cm="1">
        <f t="array" ref="WTH3">GetValue("Dmn","Name",WTH2)</f>
        <v/>
      </c>
      <c r="WTI3" s="1" t="str" cm="1">
        <f t="array" ref="WTI3">GetValue("Dmn","Name",WTI2)</f>
        <v/>
      </c>
      <c r="WTJ3" s="1" t="str" cm="1">
        <f t="array" ref="WTJ3">GetValue("Dmn","Name",WTJ2)</f>
        <v/>
      </c>
      <c r="WTK3" s="1" t="str" cm="1">
        <f t="array" ref="WTK3">GetValue("Dmn","Name",WTK2)</f>
        <v/>
      </c>
      <c r="WTL3" s="1" t="str" cm="1">
        <f t="array" ref="WTL3">GetValue("Dmn","Name",WTL2)</f>
        <v/>
      </c>
      <c r="WTM3" s="1" t="str" cm="1">
        <f t="array" ref="WTM3">GetValue("Dmn","Name",WTM2)</f>
        <v/>
      </c>
      <c r="WTN3" s="1" t="str" cm="1">
        <f t="array" ref="WTN3">GetValue("Dmn","Name",WTN2)</f>
        <v/>
      </c>
      <c r="WTO3" s="1" t="str" cm="1">
        <f t="array" ref="WTO3">GetValue("Dmn","Name",WTO2)</f>
        <v/>
      </c>
      <c r="WTP3" s="1" t="str" cm="1">
        <f t="array" ref="WTP3">GetValue("Dmn","Name",WTP2)</f>
        <v/>
      </c>
      <c r="WTQ3" s="1" t="str" cm="1">
        <f t="array" ref="WTQ3">GetValue("Dmn","Name",WTQ2)</f>
        <v/>
      </c>
      <c r="WTR3" s="1" t="str" cm="1">
        <f t="array" ref="WTR3">GetValue("Dmn","Name",WTR2)</f>
        <v/>
      </c>
      <c r="WTS3" s="1" t="str" cm="1">
        <f t="array" ref="WTS3">GetValue("Dmn","Name",WTS2)</f>
        <v/>
      </c>
      <c r="WTT3" s="1" t="str" cm="1">
        <f t="array" ref="WTT3">GetValue("Dmn","Name",WTT2)</f>
        <v/>
      </c>
      <c r="WTU3" s="1" t="str" cm="1">
        <f t="array" ref="WTU3">GetValue("Dmn","Name",WTU2)</f>
        <v/>
      </c>
      <c r="WTV3" s="1" t="str" cm="1">
        <f t="array" ref="WTV3">GetValue("Dmn","Name",WTV2)</f>
        <v/>
      </c>
      <c r="WTW3" s="1" t="str" cm="1">
        <f t="array" ref="WTW3">GetValue("Dmn","Name",WTW2)</f>
        <v/>
      </c>
      <c r="WTX3" s="1" t="str" cm="1">
        <f t="array" ref="WTX3">GetValue("Dmn","Name",WTX2)</f>
        <v/>
      </c>
      <c r="WTY3" s="1" t="str" cm="1">
        <f t="array" ref="WTY3">GetValue("Dmn","Name",WTY2)</f>
        <v/>
      </c>
      <c r="WTZ3" s="1" t="str" cm="1">
        <f t="array" ref="WTZ3">GetValue("Dmn","Name",WTZ2)</f>
        <v/>
      </c>
      <c r="WUA3" s="1" t="str" cm="1">
        <f t="array" ref="WUA3">GetValue("Dmn","Name",WUA2)</f>
        <v/>
      </c>
      <c r="WUB3" s="1" t="str" cm="1">
        <f t="array" ref="WUB3">GetValue("Dmn","Name",WUB2)</f>
        <v/>
      </c>
      <c r="WUC3" s="1" t="str" cm="1">
        <f t="array" ref="WUC3">GetValue("Dmn","Name",WUC2)</f>
        <v/>
      </c>
      <c r="WUD3" s="1" t="str" cm="1">
        <f t="array" ref="WUD3">GetValue("Dmn","Name",WUD2)</f>
        <v/>
      </c>
      <c r="WUE3" s="1" t="str" cm="1">
        <f t="array" ref="WUE3">GetValue("Dmn","Name",WUE2)</f>
        <v/>
      </c>
      <c r="WUF3" s="1" t="str" cm="1">
        <f t="array" ref="WUF3">GetValue("Dmn","Name",WUF2)</f>
        <v/>
      </c>
      <c r="WUG3" s="1" t="str" cm="1">
        <f t="array" ref="WUG3">GetValue("Dmn","Name",WUG2)</f>
        <v/>
      </c>
      <c r="WUH3" s="1" t="str" cm="1">
        <f t="array" ref="WUH3">GetValue("Dmn","Name",WUH2)</f>
        <v/>
      </c>
      <c r="WUI3" s="1" t="str" cm="1">
        <f t="array" ref="WUI3">GetValue("Dmn","Name",WUI2)</f>
        <v/>
      </c>
      <c r="WUJ3" s="1" t="str" cm="1">
        <f t="array" ref="WUJ3">GetValue("Dmn","Name",WUJ2)</f>
        <v/>
      </c>
      <c r="WUK3" s="1" t="str" cm="1">
        <f t="array" ref="WUK3">GetValue("Dmn","Name",WUK2)</f>
        <v/>
      </c>
      <c r="WUL3" s="1" t="str" cm="1">
        <f t="array" ref="WUL3">GetValue("Dmn","Name",WUL2)</f>
        <v/>
      </c>
      <c r="WUM3" s="1" t="str" cm="1">
        <f t="array" ref="WUM3">GetValue("Dmn","Name",WUM2)</f>
        <v/>
      </c>
      <c r="WUN3" s="1" t="str" cm="1">
        <f t="array" ref="WUN3">GetValue("Dmn","Name",WUN2)</f>
        <v/>
      </c>
      <c r="WUO3" s="1" t="str" cm="1">
        <f t="array" ref="WUO3">GetValue("Dmn","Name",WUO2)</f>
        <v/>
      </c>
      <c r="WUP3" s="1" t="str" cm="1">
        <f t="array" ref="WUP3">GetValue("Dmn","Name",WUP2)</f>
        <v/>
      </c>
      <c r="WUQ3" s="1" t="str" cm="1">
        <f t="array" ref="WUQ3">GetValue("Dmn","Name",WUQ2)</f>
        <v/>
      </c>
      <c r="WUR3" s="1" t="str" cm="1">
        <f t="array" ref="WUR3">GetValue("Dmn","Name",WUR2)</f>
        <v/>
      </c>
      <c r="WUS3" s="1" t="str" cm="1">
        <f t="array" ref="WUS3">GetValue("Dmn","Name",WUS2)</f>
        <v/>
      </c>
      <c r="WUT3" s="1" t="str" cm="1">
        <f t="array" ref="WUT3">GetValue("Dmn","Name",WUT2)</f>
        <v/>
      </c>
      <c r="WUU3" s="1" t="str" cm="1">
        <f t="array" ref="WUU3">GetValue("Dmn","Name",WUU2)</f>
        <v/>
      </c>
      <c r="WUV3" s="1" t="str" cm="1">
        <f t="array" ref="WUV3">GetValue("Dmn","Name",WUV2)</f>
        <v/>
      </c>
      <c r="WUW3" s="1" t="str" cm="1">
        <f t="array" ref="WUW3">GetValue("Dmn","Name",WUW2)</f>
        <v/>
      </c>
      <c r="WUX3" s="1" t="str" cm="1">
        <f t="array" ref="WUX3">GetValue("Dmn","Name",WUX2)</f>
        <v/>
      </c>
      <c r="WUY3" s="1" t="str" cm="1">
        <f t="array" ref="WUY3">GetValue("Dmn","Name",WUY2)</f>
        <v/>
      </c>
      <c r="WUZ3" s="1" t="str" cm="1">
        <f t="array" ref="WUZ3">GetValue("Dmn","Name",WUZ2)</f>
        <v/>
      </c>
      <c r="WVA3" s="1" t="str" cm="1">
        <f t="array" ref="WVA3">GetValue("Dmn","Name",WVA2)</f>
        <v/>
      </c>
      <c r="WVB3" s="1" t="str" cm="1">
        <f t="array" ref="WVB3">GetValue("Dmn","Name",WVB2)</f>
        <v/>
      </c>
      <c r="WVC3" s="1" t="str" cm="1">
        <f t="array" ref="WVC3">GetValue("Dmn","Name",WVC2)</f>
        <v/>
      </c>
      <c r="WVD3" s="1" t="str" cm="1">
        <f t="array" ref="WVD3">GetValue("Dmn","Name",WVD2)</f>
        <v/>
      </c>
      <c r="WVE3" s="1" t="str" cm="1">
        <f t="array" ref="WVE3">GetValue("Dmn","Name",WVE2)</f>
        <v/>
      </c>
      <c r="WVF3" s="1" t="str" cm="1">
        <f t="array" ref="WVF3">GetValue("Dmn","Name",WVF2)</f>
        <v/>
      </c>
      <c r="WVG3" s="1" t="str" cm="1">
        <f t="array" ref="WVG3">GetValue("Dmn","Name",WVG2)</f>
        <v/>
      </c>
      <c r="WVH3" s="1" t="str" cm="1">
        <f t="array" ref="WVH3">GetValue("Dmn","Name",WVH2)</f>
        <v/>
      </c>
      <c r="WVI3" s="1" t="str" cm="1">
        <f t="array" ref="WVI3">GetValue("Dmn","Name",WVI2)</f>
        <v/>
      </c>
      <c r="WVJ3" s="1" t="str" cm="1">
        <f t="array" ref="WVJ3">GetValue("Dmn","Name",WVJ2)</f>
        <v/>
      </c>
      <c r="WVK3" s="1" t="str" cm="1">
        <f t="array" ref="WVK3">GetValue("Dmn","Name",WVK2)</f>
        <v/>
      </c>
      <c r="WVL3" s="1" t="str" cm="1">
        <f t="array" ref="WVL3">GetValue("Dmn","Name",WVL2)</f>
        <v/>
      </c>
      <c r="WVM3" s="1" t="str" cm="1">
        <f t="array" ref="WVM3">GetValue("Dmn","Name",WVM2)</f>
        <v/>
      </c>
      <c r="WVN3" s="1" t="str" cm="1">
        <f t="array" ref="WVN3">GetValue("Dmn","Name",WVN2)</f>
        <v/>
      </c>
      <c r="WVO3" s="1" t="str" cm="1">
        <f t="array" ref="WVO3">GetValue("Dmn","Name",WVO2)</f>
        <v/>
      </c>
      <c r="WVP3" s="1" t="str" cm="1">
        <f t="array" ref="WVP3">GetValue("Dmn","Name",WVP2)</f>
        <v/>
      </c>
      <c r="WVQ3" s="1" t="str" cm="1">
        <f t="array" ref="WVQ3">GetValue("Dmn","Name",WVQ2)</f>
        <v/>
      </c>
      <c r="WVR3" s="1" t="str" cm="1">
        <f t="array" ref="WVR3">GetValue("Dmn","Name",WVR2)</f>
        <v/>
      </c>
      <c r="WVS3" s="1" t="str" cm="1">
        <f t="array" ref="WVS3">GetValue("Dmn","Name",WVS2)</f>
        <v/>
      </c>
      <c r="WVT3" s="1" t="str" cm="1">
        <f t="array" ref="WVT3">GetValue("Dmn","Name",WVT2)</f>
        <v/>
      </c>
      <c r="WVU3" s="1" t="str" cm="1">
        <f t="array" ref="WVU3">GetValue("Dmn","Name",WVU2)</f>
        <v/>
      </c>
      <c r="WVV3" s="1" t="str" cm="1">
        <f t="array" ref="WVV3">GetValue("Dmn","Name",WVV2)</f>
        <v/>
      </c>
      <c r="WVW3" s="1" t="str" cm="1">
        <f t="array" ref="WVW3">GetValue("Dmn","Name",WVW2)</f>
        <v/>
      </c>
      <c r="WVX3" s="1" t="str" cm="1">
        <f t="array" ref="WVX3">GetValue("Dmn","Name",WVX2)</f>
        <v/>
      </c>
      <c r="WVY3" s="1" t="str" cm="1">
        <f t="array" ref="WVY3">GetValue("Dmn","Name",WVY2)</f>
        <v/>
      </c>
      <c r="WVZ3" s="1" t="str" cm="1">
        <f t="array" ref="WVZ3">GetValue("Dmn","Name",WVZ2)</f>
        <v/>
      </c>
      <c r="WWA3" s="1" t="str" cm="1">
        <f t="array" ref="WWA3">GetValue("Dmn","Name",WWA2)</f>
        <v/>
      </c>
      <c r="WWB3" s="1" t="str" cm="1">
        <f t="array" ref="WWB3">GetValue("Dmn","Name",WWB2)</f>
        <v/>
      </c>
      <c r="WWC3" s="1" t="str" cm="1">
        <f t="array" ref="WWC3">GetValue("Dmn","Name",WWC2)</f>
        <v/>
      </c>
      <c r="WWD3" s="1" t="str" cm="1">
        <f t="array" ref="WWD3">GetValue("Dmn","Name",WWD2)</f>
        <v/>
      </c>
      <c r="WWE3" s="1" t="str" cm="1">
        <f t="array" ref="WWE3">GetValue("Dmn","Name",WWE2)</f>
        <v/>
      </c>
      <c r="WWF3" s="1" t="str" cm="1">
        <f t="array" ref="WWF3">GetValue("Dmn","Name",WWF2)</f>
        <v/>
      </c>
      <c r="WWG3" s="1" t="str" cm="1">
        <f t="array" ref="WWG3">GetValue("Dmn","Name",WWG2)</f>
        <v/>
      </c>
      <c r="WWH3" s="1" t="str" cm="1">
        <f t="array" ref="WWH3">GetValue("Dmn","Name",WWH2)</f>
        <v/>
      </c>
      <c r="WWI3" s="1" t="str" cm="1">
        <f t="array" ref="WWI3">GetValue("Dmn","Name",WWI2)</f>
        <v/>
      </c>
      <c r="WWJ3" s="1" t="str" cm="1">
        <f t="array" ref="WWJ3">GetValue("Dmn","Name",WWJ2)</f>
        <v/>
      </c>
      <c r="WWK3" s="1" t="str" cm="1">
        <f t="array" ref="WWK3">GetValue("Dmn","Name",WWK2)</f>
        <v/>
      </c>
      <c r="WWL3" s="1" t="str" cm="1">
        <f t="array" ref="WWL3">GetValue("Dmn","Name",WWL2)</f>
        <v/>
      </c>
      <c r="WWM3" s="1" t="str" cm="1">
        <f t="array" ref="WWM3">GetValue("Dmn","Name",WWM2)</f>
        <v/>
      </c>
      <c r="WWN3" s="1" t="str" cm="1">
        <f t="array" ref="WWN3">GetValue("Dmn","Name",WWN2)</f>
        <v/>
      </c>
      <c r="WWO3" s="1" t="str" cm="1">
        <f t="array" ref="WWO3">GetValue("Dmn","Name",WWO2)</f>
        <v/>
      </c>
      <c r="WWP3" s="1" t="str" cm="1">
        <f t="array" ref="WWP3">GetValue("Dmn","Name",WWP2)</f>
        <v/>
      </c>
      <c r="WWQ3" s="1" t="str" cm="1">
        <f t="array" ref="WWQ3">GetValue("Dmn","Name",WWQ2)</f>
        <v/>
      </c>
      <c r="WWR3" s="1" t="str" cm="1">
        <f t="array" ref="WWR3">GetValue("Dmn","Name",WWR2)</f>
        <v/>
      </c>
      <c r="WWS3" s="1" t="str" cm="1">
        <f t="array" ref="WWS3">GetValue("Dmn","Name",WWS2)</f>
        <v/>
      </c>
      <c r="WWT3" s="1" t="str" cm="1">
        <f t="array" ref="WWT3">GetValue("Dmn","Name",WWT2)</f>
        <v/>
      </c>
      <c r="WWU3" s="1" t="str" cm="1">
        <f t="array" ref="WWU3">GetValue("Dmn","Name",WWU2)</f>
        <v/>
      </c>
      <c r="WWV3" s="1" t="str" cm="1">
        <f t="array" ref="WWV3">GetValue("Dmn","Name",WWV2)</f>
        <v/>
      </c>
      <c r="WWW3" s="1" t="str" cm="1">
        <f t="array" ref="WWW3">GetValue("Dmn","Name",WWW2)</f>
        <v/>
      </c>
      <c r="WWX3" s="1" t="str" cm="1">
        <f t="array" ref="WWX3">GetValue("Dmn","Name",WWX2)</f>
        <v/>
      </c>
      <c r="WWY3" s="1" t="str" cm="1">
        <f t="array" ref="WWY3">GetValue("Dmn","Name",WWY2)</f>
        <v/>
      </c>
      <c r="WWZ3" s="1" t="str" cm="1">
        <f t="array" ref="WWZ3">GetValue("Dmn","Name",WWZ2)</f>
        <v/>
      </c>
      <c r="WXA3" s="1" t="str" cm="1">
        <f t="array" ref="WXA3">GetValue("Dmn","Name",WXA2)</f>
        <v/>
      </c>
      <c r="WXB3" s="1" t="str" cm="1">
        <f t="array" ref="WXB3">GetValue("Dmn","Name",WXB2)</f>
        <v/>
      </c>
      <c r="WXC3" s="1" t="str" cm="1">
        <f t="array" ref="WXC3">GetValue("Dmn","Name",WXC2)</f>
        <v/>
      </c>
      <c r="WXD3" s="1" t="str" cm="1">
        <f t="array" ref="WXD3">GetValue("Dmn","Name",WXD2)</f>
        <v/>
      </c>
      <c r="WXE3" s="1" t="str" cm="1">
        <f t="array" ref="WXE3">GetValue("Dmn","Name",WXE2)</f>
        <v/>
      </c>
      <c r="WXF3" s="1" t="str" cm="1">
        <f t="array" ref="WXF3">GetValue("Dmn","Name",WXF2)</f>
        <v/>
      </c>
      <c r="WXG3" s="1" t="str" cm="1">
        <f t="array" ref="WXG3">GetValue("Dmn","Name",WXG2)</f>
        <v/>
      </c>
      <c r="WXH3" s="1" t="str" cm="1">
        <f t="array" ref="WXH3">GetValue("Dmn","Name",WXH2)</f>
        <v/>
      </c>
      <c r="WXI3" s="1" t="str" cm="1">
        <f t="array" ref="WXI3">GetValue("Dmn","Name",WXI2)</f>
        <v/>
      </c>
      <c r="WXJ3" s="1" t="str" cm="1">
        <f t="array" ref="WXJ3">GetValue("Dmn","Name",WXJ2)</f>
        <v/>
      </c>
      <c r="WXK3" s="1" t="str" cm="1">
        <f t="array" ref="WXK3">GetValue("Dmn","Name",WXK2)</f>
        <v/>
      </c>
      <c r="WXL3" s="1" t="str" cm="1">
        <f t="array" ref="WXL3">GetValue("Dmn","Name",WXL2)</f>
        <v/>
      </c>
      <c r="WXM3" s="1" t="str" cm="1">
        <f t="array" ref="WXM3">GetValue("Dmn","Name",WXM2)</f>
        <v/>
      </c>
      <c r="WXN3" s="1" t="str" cm="1">
        <f t="array" ref="WXN3">GetValue("Dmn","Name",WXN2)</f>
        <v/>
      </c>
      <c r="WXO3" s="1" t="str" cm="1">
        <f t="array" ref="WXO3">GetValue("Dmn","Name",WXO2)</f>
        <v/>
      </c>
      <c r="WXP3" s="1" t="str" cm="1">
        <f t="array" ref="WXP3">GetValue("Dmn","Name",WXP2)</f>
        <v/>
      </c>
      <c r="WXQ3" s="1" t="str" cm="1">
        <f t="array" ref="WXQ3">GetValue("Dmn","Name",WXQ2)</f>
        <v/>
      </c>
      <c r="WXR3" s="1" t="str" cm="1">
        <f t="array" ref="WXR3">GetValue("Dmn","Name",WXR2)</f>
        <v/>
      </c>
      <c r="WXS3" s="1" t="str" cm="1">
        <f t="array" ref="WXS3">GetValue("Dmn","Name",WXS2)</f>
        <v/>
      </c>
      <c r="WXT3" s="1" t="str" cm="1">
        <f t="array" ref="WXT3">GetValue("Dmn","Name",WXT2)</f>
        <v/>
      </c>
      <c r="WXU3" s="1" t="str" cm="1">
        <f t="array" ref="WXU3">GetValue("Dmn","Name",WXU2)</f>
        <v/>
      </c>
      <c r="WXV3" s="1" t="str" cm="1">
        <f t="array" ref="WXV3">GetValue("Dmn","Name",WXV2)</f>
        <v/>
      </c>
      <c r="WXW3" s="1" t="str" cm="1">
        <f t="array" ref="WXW3">GetValue("Dmn","Name",WXW2)</f>
        <v/>
      </c>
      <c r="WXX3" s="1" t="str" cm="1">
        <f t="array" ref="WXX3">GetValue("Dmn","Name",WXX2)</f>
        <v/>
      </c>
      <c r="WXY3" s="1" t="str" cm="1">
        <f t="array" ref="WXY3">GetValue("Dmn","Name",WXY2)</f>
        <v/>
      </c>
      <c r="WXZ3" s="1" t="str" cm="1">
        <f t="array" ref="WXZ3">GetValue("Dmn","Name",WXZ2)</f>
        <v/>
      </c>
      <c r="WYA3" s="1" t="str" cm="1">
        <f t="array" ref="WYA3">GetValue("Dmn","Name",WYA2)</f>
        <v/>
      </c>
      <c r="WYB3" s="1" t="str" cm="1">
        <f t="array" ref="WYB3">GetValue("Dmn","Name",WYB2)</f>
        <v/>
      </c>
      <c r="WYC3" s="1" t="str" cm="1">
        <f t="array" ref="WYC3">GetValue("Dmn","Name",WYC2)</f>
        <v/>
      </c>
      <c r="WYD3" s="1" t="str" cm="1">
        <f t="array" ref="WYD3">GetValue("Dmn","Name",WYD2)</f>
        <v/>
      </c>
      <c r="WYE3" s="1" t="str" cm="1">
        <f t="array" ref="WYE3">GetValue("Dmn","Name",WYE2)</f>
        <v/>
      </c>
      <c r="WYF3" s="1" t="str" cm="1">
        <f t="array" ref="WYF3">GetValue("Dmn","Name",WYF2)</f>
        <v/>
      </c>
      <c r="WYG3" s="1" t="str" cm="1">
        <f t="array" ref="WYG3">GetValue("Dmn","Name",WYG2)</f>
        <v/>
      </c>
      <c r="WYH3" s="1" t="str" cm="1">
        <f t="array" ref="WYH3">GetValue("Dmn","Name",WYH2)</f>
        <v/>
      </c>
      <c r="WYI3" s="1" t="str" cm="1">
        <f t="array" ref="WYI3">GetValue("Dmn","Name",WYI2)</f>
        <v/>
      </c>
      <c r="WYJ3" s="1" t="str" cm="1">
        <f t="array" ref="WYJ3">GetValue("Dmn","Name",WYJ2)</f>
        <v/>
      </c>
      <c r="WYK3" s="1" t="str" cm="1">
        <f t="array" ref="WYK3">GetValue("Dmn","Name",WYK2)</f>
        <v/>
      </c>
      <c r="WYL3" s="1" t="str" cm="1">
        <f t="array" ref="WYL3">GetValue("Dmn","Name",WYL2)</f>
        <v/>
      </c>
      <c r="WYM3" s="1" t="str" cm="1">
        <f t="array" ref="WYM3">GetValue("Dmn","Name",WYM2)</f>
        <v/>
      </c>
      <c r="WYN3" s="1" t="str" cm="1">
        <f t="array" ref="WYN3">GetValue("Dmn","Name",WYN2)</f>
        <v/>
      </c>
      <c r="WYO3" s="1" t="str" cm="1">
        <f t="array" ref="WYO3">GetValue("Dmn","Name",WYO2)</f>
        <v/>
      </c>
      <c r="WYP3" s="1" t="str" cm="1">
        <f t="array" ref="WYP3">GetValue("Dmn","Name",WYP2)</f>
        <v/>
      </c>
      <c r="WYQ3" s="1" t="str" cm="1">
        <f t="array" ref="WYQ3">GetValue("Dmn","Name",WYQ2)</f>
        <v/>
      </c>
      <c r="WYR3" s="1" t="str" cm="1">
        <f t="array" ref="WYR3">GetValue("Dmn","Name",WYR2)</f>
        <v/>
      </c>
      <c r="WYS3" s="1" t="str" cm="1">
        <f t="array" ref="WYS3">GetValue("Dmn","Name",WYS2)</f>
        <v/>
      </c>
      <c r="WYT3" s="1" t="str" cm="1">
        <f t="array" ref="WYT3">GetValue("Dmn","Name",WYT2)</f>
        <v/>
      </c>
      <c r="WYU3" s="1" t="str" cm="1">
        <f t="array" ref="WYU3">GetValue("Dmn","Name",WYU2)</f>
        <v/>
      </c>
      <c r="WYV3" s="1" t="str" cm="1">
        <f t="array" ref="WYV3">GetValue("Dmn","Name",WYV2)</f>
        <v/>
      </c>
      <c r="WYW3" s="1" t="str" cm="1">
        <f t="array" ref="WYW3">GetValue("Dmn","Name",WYW2)</f>
        <v/>
      </c>
      <c r="WYX3" s="1" t="str" cm="1">
        <f t="array" ref="WYX3">GetValue("Dmn","Name",WYX2)</f>
        <v/>
      </c>
      <c r="WYY3" s="1" t="str" cm="1">
        <f t="array" ref="WYY3">GetValue("Dmn","Name",WYY2)</f>
        <v/>
      </c>
      <c r="WYZ3" s="1" t="str" cm="1">
        <f t="array" ref="WYZ3">GetValue("Dmn","Name",WYZ2)</f>
        <v/>
      </c>
      <c r="WZA3" s="1" t="str" cm="1">
        <f t="array" ref="WZA3">GetValue("Dmn","Name",WZA2)</f>
        <v/>
      </c>
      <c r="WZB3" s="1" t="str" cm="1">
        <f t="array" ref="WZB3">GetValue("Dmn","Name",WZB2)</f>
        <v/>
      </c>
      <c r="WZC3" s="1" t="str" cm="1">
        <f t="array" ref="WZC3">GetValue("Dmn","Name",WZC2)</f>
        <v/>
      </c>
      <c r="WZD3" s="1" t="str" cm="1">
        <f t="array" ref="WZD3">GetValue("Dmn","Name",WZD2)</f>
        <v/>
      </c>
      <c r="WZE3" s="1" t="str" cm="1">
        <f t="array" ref="WZE3">GetValue("Dmn","Name",WZE2)</f>
        <v/>
      </c>
      <c r="WZF3" s="1" t="str" cm="1">
        <f t="array" ref="WZF3">GetValue("Dmn","Name",WZF2)</f>
        <v/>
      </c>
      <c r="WZG3" s="1" t="str" cm="1">
        <f t="array" ref="WZG3">GetValue("Dmn","Name",WZG2)</f>
        <v/>
      </c>
      <c r="WZH3" s="1" t="str" cm="1">
        <f t="array" ref="WZH3">GetValue("Dmn","Name",WZH2)</f>
        <v/>
      </c>
      <c r="WZI3" s="1" t="str" cm="1">
        <f t="array" ref="WZI3">GetValue("Dmn","Name",WZI2)</f>
        <v/>
      </c>
      <c r="WZJ3" s="1" t="str" cm="1">
        <f t="array" ref="WZJ3">GetValue("Dmn","Name",WZJ2)</f>
        <v/>
      </c>
      <c r="WZK3" s="1" t="str" cm="1">
        <f t="array" ref="WZK3">GetValue("Dmn","Name",WZK2)</f>
        <v/>
      </c>
      <c r="WZL3" s="1" t="str" cm="1">
        <f t="array" ref="WZL3">GetValue("Dmn","Name",WZL2)</f>
        <v/>
      </c>
      <c r="WZM3" s="1" t="str" cm="1">
        <f t="array" ref="WZM3">GetValue("Dmn","Name",WZM2)</f>
        <v/>
      </c>
      <c r="WZN3" s="1" t="str" cm="1">
        <f t="array" ref="WZN3">GetValue("Dmn","Name",WZN2)</f>
        <v/>
      </c>
      <c r="WZO3" s="1" t="str" cm="1">
        <f t="array" ref="WZO3">GetValue("Dmn","Name",WZO2)</f>
        <v/>
      </c>
      <c r="WZP3" s="1" t="str" cm="1">
        <f t="array" ref="WZP3">GetValue("Dmn","Name",WZP2)</f>
        <v/>
      </c>
      <c r="WZQ3" s="1" t="str" cm="1">
        <f t="array" ref="WZQ3">GetValue("Dmn","Name",WZQ2)</f>
        <v/>
      </c>
      <c r="WZR3" s="1" t="str" cm="1">
        <f t="array" ref="WZR3">GetValue("Dmn","Name",WZR2)</f>
        <v/>
      </c>
      <c r="WZS3" s="1" t="str" cm="1">
        <f t="array" ref="WZS3">GetValue("Dmn","Name",WZS2)</f>
        <v/>
      </c>
      <c r="WZT3" s="1" t="str" cm="1">
        <f t="array" ref="WZT3">GetValue("Dmn","Name",WZT2)</f>
        <v/>
      </c>
      <c r="WZU3" s="1" t="str" cm="1">
        <f t="array" ref="WZU3">GetValue("Dmn","Name",WZU2)</f>
        <v/>
      </c>
      <c r="WZV3" s="1" t="str" cm="1">
        <f t="array" ref="WZV3">GetValue("Dmn","Name",WZV2)</f>
        <v/>
      </c>
      <c r="WZW3" s="1" t="str" cm="1">
        <f t="array" ref="WZW3">GetValue("Dmn","Name",WZW2)</f>
        <v/>
      </c>
      <c r="WZX3" s="1" t="str" cm="1">
        <f t="array" ref="WZX3">GetValue("Dmn","Name",WZX2)</f>
        <v/>
      </c>
      <c r="WZY3" s="1" t="str" cm="1">
        <f t="array" ref="WZY3">GetValue("Dmn","Name",WZY2)</f>
        <v/>
      </c>
      <c r="WZZ3" s="1" t="str" cm="1">
        <f t="array" ref="WZZ3">GetValue("Dmn","Name",WZZ2)</f>
        <v/>
      </c>
      <c r="XAA3" s="1" t="str" cm="1">
        <f t="array" ref="XAA3">GetValue("Dmn","Name",XAA2)</f>
        <v/>
      </c>
      <c r="XAB3" s="1" t="str" cm="1">
        <f t="array" ref="XAB3">GetValue("Dmn","Name",XAB2)</f>
        <v/>
      </c>
      <c r="XAC3" s="1" t="str" cm="1">
        <f t="array" ref="XAC3">GetValue("Dmn","Name",XAC2)</f>
        <v/>
      </c>
      <c r="XAD3" s="1" t="str" cm="1">
        <f t="array" ref="XAD3">GetValue("Dmn","Name",XAD2)</f>
        <v/>
      </c>
      <c r="XAE3" s="1" t="str" cm="1">
        <f t="array" ref="XAE3">GetValue("Dmn","Name",XAE2)</f>
        <v/>
      </c>
      <c r="XAF3" s="1" t="str" cm="1">
        <f t="array" ref="XAF3">GetValue("Dmn","Name",XAF2)</f>
        <v/>
      </c>
      <c r="XAG3" s="1" t="str" cm="1">
        <f t="array" ref="XAG3">GetValue("Dmn","Name",XAG2)</f>
        <v/>
      </c>
      <c r="XAH3" s="1" t="str" cm="1">
        <f t="array" ref="XAH3">GetValue("Dmn","Name",XAH2)</f>
        <v/>
      </c>
      <c r="XAI3" s="1" t="str" cm="1">
        <f t="array" ref="XAI3">GetValue("Dmn","Name",XAI2)</f>
        <v/>
      </c>
      <c r="XAJ3" s="1" t="str" cm="1">
        <f t="array" ref="XAJ3">GetValue("Dmn","Name",XAJ2)</f>
        <v/>
      </c>
      <c r="XAK3" s="1" t="str" cm="1">
        <f t="array" ref="XAK3">GetValue("Dmn","Name",XAK2)</f>
        <v/>
      </c>
      <c r="XAL3" s="1" t="str" cm="1">
        <f t="array" ref="XAL3">GetValue("Dmn","Name",XAL2)</f>
        <v/>
      </c>
      <c r="XAM3" s="1" t="str" cm="1">
        <f t="array" ref="XAM3">GetValue("Dmn","Name",XAM2)</f>
        <v/>
      </c>
      <c r="XAN3" s="1" t="str" cm="1">
        <f t="array" ref="XAN3">GetValue("Dmn","Name",XAN2)</f>
        <v/>
      </c>
      <c r="XAO3" s="1" t="str" cm="1">
        <f t="array" ref="XAO3">GetValue("Dmn","Name",XAO2)</f>
        <v/>
      </c>
      <c r="XAP3" s="1" t="str" cm="1">
        <f t="array" ref="XAP3">GetValue("Dmn","Name",XAP2)</f>
        <v/>
      </c>
      <c r="XAQ3" s="1" t="str" cm="1">
        <f t="array" ref="XAQ3">GetValue("Dmn","Name",XAQ2)</f>
        <v/>
      </c>
      <c r="XAR3" s="1" t="str" cm="1">
        <f t="array" ref="XAR3">GetValue("Dmn","Name",XAR2)</f>
        <v/>
      </c>
      <c r="XAS3" s="1" t="str" cm="1">
        <f t="array" ref="XAS3">GetValue("Dmn","Name",XAS2)</f>
        <v/>
      </c>
      <c r="XAT3" s="1" t="str" cm="1">
        <f t="array" ref="XAT3">GetValue("Dmn","Name",XAT2)</f>
        <v/>
      </c>
      <c r="XAU3" s="1" t="str" cm="1">
        <f t="array" ref="XAU3">GetValue("Dmn","Name",XAU2)</f>
        <v/>
      </c>
      <c r="XAV3" s="1" t="str" cm="1">
        <f t="array" ref="XAV3">GetValue("Dmn","Name",XAV2)</f>
        <v/>
      </c>
      <c r="XAW3" s="1" t="str" cm="1">
        <f t="array" ref="XAW3">GetValue("Dmn","Name",XAW2)</f>
        <v/>
      </c>
      <c r="XAX3" s="1" t="str" cm="1">
        <f t="array" ref="XAX3">GetValue("Dmn","Name",XAX2)</f>
        <v/>
      </c>
      <c r="XAY3" s="1" t="str" cm="1">
        <f t="array" ref="XAY3">GetValue("Dmn","Name",XAY2)</f>
        <v/>
      </c>
      <c r="XAZ3" s="1" t="str" cm="1">
        <f t="array" ref="XAZ3">GetValue("Dmn","Name",XAZ2)</f>
        <v/>
      </c>
      <c r="XBA3" s="1" t="str" cm="1">
        <f t="array" ref="XBA3">GetValue("Dmn","Name",XBA2)</f>
        <v/>
      </c>
      <c r="XBB3" s="1" t="str" cm="1">
        <f t="array" ref="XBB3">GetValue("Dmn","Name",XBB2)</f>
        <v/>
      </c>
      <c r="XBC3" s="1" t="str" cm="1">
        <f t="array" ref="XBC3">GetValue("Dmn","Name",XBC2)</f>
        <v/>
      </c>
      <c r="XBD3" s="1" t="str" cm="1">
        <f t="array" ref="XBD3">GetValue("Dmn","Name",XBD2)</f>
        <v/>
      </c>
      <c r="XBE3" s="1" t="str" cm="1">
        <f t="array" ref="XBE3">GetValue("Dmn","Name",XBE2)</f>
        <v/>
      </c>
      <c r="XBF3" s="1" t="str" cm="1">
        <f t="array" ref="XBF3">GetValue("Dmn","Name",XBF2)</f>
        <v/>
      </c>
      <c r="XBG3" s="1" t="str" cm="1">
        <f t="array" ref="XBG3">GetValue("Dmn","Name",XBG2)</f>
        <v/>
      </c>
      <c r="XBH3" s="1" t="str" cm="1">
        <f t="array" ref="XBH3">GetValue("Dmn","Name",XBH2)</f>
        <v/>
      </c>
      <c r="XBI3" s="1" t="str" cm="1">
        <f t="array" ref="XBI3">GetValue("Dmn","Name",XBI2)</f>
        <v/>
      </c>
      <c r="XBJ3" s="1" t="str" cm="1">
        <f t="array" ref="XBJ3">GetValue("Dmn","Name",XBJ2)</f>
        <v/>
      </c>
      <c r="XBK3" s="1" t="str" cm="1">
        <f t="array" ref="XBK3">GetValue("Dmn","Name",XBK2)</f>
        <v/>
      </c>
      <c r="XBL3" s="1" t="str" cm="1">
        <f t="array" ref="XBL3">GetValue("Dmn","Name",XBL2)</f>
        <v/>
      </c>
      <c r="XBM3" s="1" t="str" cm="1">
        <f t="array" ref="XBM3">GetValue("Dmn","Name",XBM2)</f>
        <v/>
      </c>
      <c r="XBN3" s="1" t="str" cm="1">
        <f t="array" ref="XBN3">GetValue("Dmn","Name",XBN2)</f>
        <v/>
      </c>
      <c r="XBO3" s="1" t="str" cm="1">
        <f t="array" ref="XBO3">GetValue("Dmn","Name",XBO2)</f>
        <v/>
      </c>
      <c r="XBP3" s="1" t="str" cm="1">
        <f t="array" ref="XBP3">GetValue("Dmn","Name",XBP2)</f>
        <v/>
      </c>
      <c r="XBQ3" s="1" t="str" cm="1">
        <f t="array" ref="XBQ3">GetValue("Dmn","Name",XBQ2)</f>
        <v/>
      </c>
      <c r="XBR3" s="1" t="str" cm="1">
        <f t="array" ref="XBR3">GetValue("Dmn","Name",XBR2)</f>
        <v/>
      </c>
      <c r="XBS3" s="1" t="str" cm="1">
        <f t="array" ref="XBS3">GetValue("Dmn","Name",XBS2)</f>
        <v/>
      </c>
      <c r="XBT3" s="1" t="str" cm="1">
        <f t="array" ref="XBT3">GetValue("Dmn","Name",XBT2)</f>
        <v/>
      </c>
      <c r="XBU3" s="1" t="str" cm="1">
        <f t="array" ref="XBU3">GetValue("Dmn","Name",XBU2)</f>
        <v/>
      </c>
      <c r="XBV3" s="1" t="str" cm="1">
        <f t="array" ref="XBV3">GetValue("Dmn","Name",XBV2)</f>
        <v/>
      </c>
      <c r="XBW3" s="1" t="str" cm="1">
        <f t="array" ref="XBW3">GetValue("Dmn","Name",XBW2)</f>
        <v/>
      </c>
      <c r="XBX3" s="1" t="str" cm="1">
        <f t="array" ref="XBX3">GetValue("Dmn","Name",XBX2)</f>
        <v/>
      </c>
      <c r="XBY3" s="1" t="str" cm="1">
        <f t="array" ref="XBY3">GetValue("Dmn","Name",XBY2)</f>
        <v/>
      </c>
      <c r="XBZ3" s="1" t="str" cm="1">
        <f t="array" ref="XBZ3">GetValue("Dmn","Name",XBZ2)</f>
        <v/>
      </c>
      <c r="XCA3" s="1" t="str" cm="1">
        <f t="array" ref="XCA3">GetValue("Dmn","Name",XCA2)</f>
        <v/>
      </c>
      <c r="XCB3" s="1" t="str" cm="1">
        <f t="array" ref="XCB3">GetValue("Dmn","Name",XCB2)</f>
        <v/>
      </c>
      <c r="XCC3" s="1" t="str" cm="1">
        <f t="array" ref="XCC3">GetValue("Dmn","Name",XCC2)</f>
        <v/>
      </c>
      <c r="XCD3" s="1" t="str" cm="1">
        <f t="array" ref="XCD3">GetValue("Dmn","Name",XCD2)</f>
        <v/>
      </c>
      <c r="XCE3" s="1" t="str" cm="1">
        <f t="array" ref="XCE3">GetValue("Dmn","Name",XCE2)</f>
        <v/>
      </c>
      <c r="XCF3" s="1" t="str" cm="1">
        <f t="array" ref="XCF3">GetValue("Dmn","Name",XCF2)</f>
        <v/>
      </c>
      <c r="XCG3" s="1" t="str" cm="1">
        <f t="array" ref="XCG3">GetValue("Dmn","Name",XCG2)</f>
        <v/>
      </c>
      <c r="XCH3" s="1" t="str" cm="1">
        <f t="array" ref="XCH3">GetValue("Dmn","Name",XCH2)</f>
        <v/>
      </c>
      <c r="XCI3" s="1" t="str" cm="1">
        <f t="array" ref="XCI3">GetValue("Dmn","Name",XCI2)</f>
        <v/>
      </c>
      <c r="XCJ3" s="1" t="str" cm="1">
        <f t="array" ref="XCJ3">GetValue("Dmn","Name",XCJ2)</f>
        <v/>
      </c>
      <c r="XCK3" s="1" t="str" cm="1">
        <f t="array" ref="XCK3">GetValue("Dmn","Name",XCK2)</f>
        <v/>
      </c>
      <c r="XCL3" s="1" t="str" cm="1">
        <f t="array" ref="XCL3">GetValue("Dmn","Name",XCL2)</f>
        <v/>
      </c>
      <c r="XCM3" s="1" t="str" cm="1">
        <f t="array" ref="XCM3">GetValue("Dmn","Name",XCM2)</f>
        <v/>
      </c>
      <c r="XCN3" s="1" t="str" cm="1">
        <f t="array" ref="XCN3">GetValue("Dmn","Name",XCN2)</f>
        <v/>
      </c>
      <c r="XCO3" s="1" t="str" cm="1">
        <f t="array" ref="XCO3">GetValue("Dmn","Name",XCO2)</f>
        <v/>
      </c>
      <c r="XCP3" s="1" t="str" cm="1">
        <f t="array" ref="XCP3">GetValue("Dmn","Name",XCP2)</f>
        <v/>
      </c>
      <c r="XCQ3" s="1" t="str" cm="1">
        <f t="array" ref="XCQ3">GetValue("Dmn","Name",XCQ2)</f>
        <v/>
      </c>
      <c r="XCR3" s="1" t="str" cm="1">
        <f t="array" ref="XCR3">GetValue("Dmn","Name",XCR2)</f>
        <v/>
      </c>
      <c r="XCS3" s="1" t="str" cm="1">
        <f t="array" ref="XCS3">GetValue("Dmn","Name",XCS2)</f>
        <v/>
      </c>
      <c r="XCT3" s="1" t="str" cm="1">
        <f t="array" ref="XCT3">GetValue("Dmn","Name",XCT2)</f>
        <v/>
      </c>
      <c r="XCU3" s="1" t="str" cm="1">
        <f t="array" ref="XCU3">GetValue("Dmn","Name",XCU2)</f>
        <v/>
      </c>
      <c r="XCV3" s="1" t="str" cm="1">
        <f t="array" ref="XCV3">GetValue("Dmn","Name",XCV2)</f>
        <v/>
      </c>
      <c r="XCW3" s="1" t="str" cm="1">
        <f t="array" ref="XCW3">GetValue("Dmn","Name",XCW2)</f>
        <v/>
      </c>
      <c r="XCX3" s="1" t="str" cm="1">
        <f t="array" ref="XCX3">GetValue("Dmn","Name",XCX2)</f>
        <v/>
      </c>
      <c r="XCY3" s="1" t="str" cm="1">
        <f t="array" ref="XCY3">GetValue("Dmn","Name",XCY2)</f>
        <v/>
      </c>
      <c r="XCZ3" s="1" t="str" cm="1">
        <f t="array" ref="XCZ3">GetValue("Dmn","Name",XCZ2)</f>
        <v/>
      </c>
      <c r="XDA3" s="1" t="str" cm="1">
        <f t="array" ref="XDA3">GetValue("Dmn","Name",XDA2)</f>
        <v/>
      </c>
      <c r="XDB3" s="1" t="str" cm="1">
        <f t="array" ref="XDB3">GetValue("Dmn","Name",XDB2)</f>
        <v/>
      </c>
      <c r="XDC3" s="1" t="str" cm="1">
        <f t="array" ref="XDC3">GetValue("Dmn","Name",XDC2)</f>
        <v/>
      </c>
      <c r="XDD3" s="1" t="str" cm="1">
        <f t="array" ref="XDD3">GetValue("Dmn","Name",XDD2)</f>
        <v/>
      </c>
      <c r="XDE3" s="1" t="str" cm="1">
        <f t="array" ref="XDE3">GetValue("Dmn","Name",XDE2)</f>
        <v/>
      </c>
      <c r="XDF3" s="1" t="str" cm="1">
        <f t="array" ref="XDF3">GetValue("Dmn","Name",XDF2)</f>
        <v/>
      </c>
      <c r="XDG3" s="1" t="str" cm="1">
        <f t="array" ref="XDG3">GetValue("Dmn","Name",XDG2)</f>
        <v/>
      </c>
      <c r="XDH3" s="1" t="str" cm="1">
        <f t="array" ref="XDH3">GetValue("Dmn","Name",XDH2)</f>
        <v/>
      </c>
      <c r="XDI3" s="1" t="str" cm="1">
        <f t="array" ref="XDI3">GetValue("Dmn","Name",XDI2)</f>
        <v/>
      </c>
      <c r="XDJ3" s="1" t="str" cm="1">
        <f t="array" ref="XDJ3">GetValue("Dmn","Name",XDJ2)</f>
        <v/>
      </c>
      <c r="XDK3" s="1" t="str" cm="1">
        <f t="array" ref="XDK3">GetValue("Dmn","Name",XDK2)</f>
        <v/>
      </c>
      <c r="XDL3" s="1" t="str" cm="1">
        <f t="array" ref="XDL3">GetValue("Dmn","Name",XDL2)</f>
        <v/>
      </c>
      <c r="XDM3" s="1" t="str" cm="1">
        <f t="array" ref="XDM3">GetValue("Dmn","Name",XDM2)</f>
        <v/>
      </c>
      <c r="XDN3" s="1" t="str" cm="1">
        <f t="array" ref="XDN3">GetValue("Dmn","Name",XDN2)</f>
        <v/>
      </c>
      <c r="XDO3" s="1" t="str" cm="1">
        <f t="array" ref="XDO3">GetValue("Dmn","Name",XDO2)</f>
        <v/>
      </c>
      <c r="XDP3" s="1" t="str" cm="1">
        <f t="array" ref="XDP3">GetValue("Dmn","Name",XDP2)</f>
        <v/>
      </c>
      <c r="XDQ3" s="1" t="str" cm="1">
        <f t="array" ref="XDQ3">GetValue("Dmn","Name",XDQ2)</f>
        <v/>
      </c>
      <c r="XDR3" s="1" t="str" cm="1">
        <f t="array" ref="XDR3">GetValue("Dmn","Name",XDR2)</f>
        <v/>
      </c>
      <c r="XDS3" s="1" t="str" cm="1">
        <f t="array" ref="XDS3">GetValue("Dmn","Name",XDS2)</f>
        <v/>
      </c>
      <c r="XDT3" s="1" t="str" cm="1">
        <f t="array" ref="XDT3">GetValue("Dmn","Name",XDT2)</f>
        <v/>
      </c>
      <c r="XDU3" s="1" t="str" cm="1">
        <f t="array" ref="XDU3">GetValue("Dmn","Name",XDU2)</f>
        <v/>
      </c>
      <c r="XDV3" s="1" t="str" cm="1">
        <f t="array" ref="XDV3">GetValue("Dmn","Name",XDV2)</f>
        <v/>
      </c>
      <c r="XDW3" s="1" t="str" cm="1">
        <f t="array" ref="XDW3">GetValue("Dmn","Name",XDW2)</f>
        <v/>
      </c>
      <c r="XDX3" s="1" t="str" cm="1">
        <f t="array" ref="XDX3">GetValue("Dmn","Name",XDX2)</f>
        <v/>
      </c>
      <c r="XDY3" s="1" t="str" cm="1">
        <f t="array" ref="XDY3">GetValue("Dmn","Name",XDY2)</f>
        <v/>
      </c>
      <c r="XDZ3" s="1" t="str" cm="1">
        <f t="array" ref="XDZ3">GetValue("Dmn","Name",XDZ2)</f>
        <v/>
      </c>
      <c r="XEA3" s="1" t="str" cm="1">
        <f t="array" ref="XEA3">GetValue("Dmn","Name",XEA2)</f>
        <v/>
      </c>
      <c r="XEB3" s="1" t="str" cm="1">
        <f t="array" ref="XEB3">GetValue("Dmn","Name",XEB2)</f>
        <v/>
      </c>
      <c r="XEC3" s="1" t="str" cm="1">
        <f t="array" ref="XEC3">GetValue("Dmn","Name",XEC2)</f>
        <v/>
      </c>
      <c r="XED3" s="1" t="str" cm="1">
        <f t="array" ref="XED3">GetValue("Dmn","Name",XED2)</f>
        <v/>
      </c>
      <c r="XEE3" s="1" t="str" cm="1">
        <f t="array" ref="XEE3">GetValue("Dmn","Name",XEE2)</f>
        <v/>
      </c>
      <c r="XEF3" s="1" t="str" cm="1">
        <f t="array" ref="XEF3">GetValue("Dmn","Name",XEF2)</f>
        <v/>
      </c>
      <c r="XEG3" s="1" t="str" cm="1">
        <f t="array" ref="XEG3">GetValue("Dmn","Name",XEG2)</f>
        <v/>
      </c>
      <c r="XEH3" s="1" t="str" cm="1">
        <f t="array" ref="XEH3">GetValue("Dmn","Name",XEH2)</f>
        <v/>
      </c>
      <c r="XEI3" s="1" t="str" cm="1">
        <f t="array" ref="XEI3">GetValue("Dmn","Name",XEI2)</f>
        <v/>
      </c>
      <c r="XEJ3" s="1" t="str" cm="1">
        <f t="array" ref="XEJ3">GetValue("Dmn","Name",XEJ2)</f>
        <v/>
      </c>
      <c r="XEK3" s="1" t="str" cm="1">
        <f t="array" ref="XEK3">GetValue("Dmn","Name",XEK2)</f>
        <v/>
      </c>
      <c r="XEL3" s="1" t="str" cm="1">
        <f t="array" ref="XEL3">GetValue("Dmn","Name",XEL2)</f>
        <v/>
      </c>
      <c r="XEM3" s="1" t="str" cm="1">
        <f t="array" ref="XEM3">GetValue("Dmn","Name",XEM2)</f>
        <v/>
      </c>
      <c r="XEN3" s="1" t="str" cm="1">
        <f t="array" ref="XEN3">GetValue("Dmn","Name",XEN2)</f>
        <v/>
      </c>
      <c r="XEO3" s="1" t="str" cm="1">
        <f t="array" ref="XEO3">GetValue("Dmn","Name",XEO2)</f>
        <v/>
      </c>
      <c r="XEP3" s="1" t="str" cm="1">
        <f t="array" ref="XEP3">GetValue("Dmn","Name",XEP2)</f>
        <v/>
      </c>
      <c r="XEQ3" s="1" t="str" cm="1">
        <f t="array" ref="XEQ3">GetValue("Dmn","Name",XEQ2)</f>
        <v/>
      </c>
      <c r="XER3" s="1" t="str" cm="1">
        <f t="array" ref="XER3">GetValue("Dmn","Name",XER2)</f>
        <v/>
      </c>
      <c r="XES3" s="1" t="str" cm="1">
        <f t="array" ref="XES3">GetValue("Dmn","Name",XES2)</f>
        <v/>
      </c>
      <c r="XET3" s="1" t="str" cm="1">
        <f t="array" ref="XET3">GetValue("Dmn","Name",XET2)</f>
        <v/>
      </c>
      <c r="XEU3" s="1" t="str" cm="1">
        <f t="array" ref="XEU3">GetValue("Dmn","Name",XEU2)</f>
        <v/>
      </c>
      <c r="XEV3" s="1" t="str" cm="1">
        <f t="array" ref="XEV3">GetValue("Dmn","Name",XEV2)</f>
        <v/>
      </c>
      <c r="XEW3" s="1" t="str" cm="1">
        <f t="array" ref="XEW3">GetValue("Dmn","Name",XEW2)</f>
        <v/>
      </c>
      <c r="XEX3" s="1" t="str" cm="1">
        <f t="array" ref="XEX3">GetValue("Dmn","Name",XEX2)</f>
        <v/>
      </c>
      <c r="XEY3" s="1" t="str" cm="1">
        <f t="array" ref="XEY3">GetValue("Dmn","Name",XEY2)</f>
        <v/>
      </c>
      <c r="XEZ3" s="1" t="str" cm="1">
        <f t="array" ref="XEZ3">GetValue("Dmn","Name",XEZ2)</f>
        <v/>
      </c>
      <c r="XFA3" s="1" t="str" cm="1">
        <f t="array" ref="XFA3">GetValue("Dmn","Name",XFA2)</f>
        <v/>
      </c>
      <c r="XFB3" s="1" t="str" cm="1">
        <f t="array" ref="XFB3">GetValue("Dmn","Name",XFB2)</f>
        <v/>
      </c>
      <c r="XFC3" s="1" t="str" cm="1">
        <f t="array" ref="XFC3">GetValue("Dmn","Name",XFC2)</f>
        <v/>
      </c>
      <c r="XFD3" s="1" t="str" cm="1">
        <f t="array" ref="XFD3">GetValue("Dmn","Name",XFD2)</f>
        <v/>
      </c>
    </row>
    <row r="4" spans="1:16384">
      <c r="A4">
        <f>ROW(A4)-3</f>
        <v>1</v>
      </c>
      <c r="B4">
        <v>1</v>
      </c>
      <c r="C4" t="str" cm="1">
        <f t="array" ref="C4">GetValue("Cat","Name",B4)</f>
        <v>string</v>
      </c>
      <c r="D4">
        <v>1</v>
      </c>
      <c r="E4" s="6" t="str" cm="1">
        <f t="array" ref="E4">GetValue("Cmp","Symbol",D4)</f>
        <v>&lt;</v>
      </c>
      <c r="F4" t="str" cm="1">
        <f t="array" ref="F4">GetValue("Cmp","Description",D4)</f>
        <v>Menor</v>
      </c>
    </row>
    <row r="5" spans="1:16384">
      <c r="A5">
        <f t="shared" ref="A5:A68" si="0">ROW(A5)-3</f>
        <v>2</v>
      </c>
      <c r="B5">
        <v>1</v>
      </c>
      <c r="C5" t="str" cm="1">
        <f t="array" ref="C5">GetValue("Cat","Name",B5)</f>
        <v>string</v>
      </c>
      <c r="D5">
        <v>2</v>
      </c>
      <c r="E5" s="6" t="str" cm="1">
        <f t="array" ref="E5">GetValue("Cmp","Symbol",D5)</f>
        <v>≤</v>
      </c>
      <c r="F5" t="str" cm="1">
        <f t="array" ref="F5">GetValue("Cmp","Description",D5)</f>
        <v>Menor ou Igual</v>
      </c>
    </row>
    <row r="6" spans="1:16384">
      <c r="A6">
        <f t="shared" si="0"/>
        <v>3</v>
      </c>
      <c r="B6">
        <v>1</v>
      </c>
      <c r="C6" t="str" cm="1">
        <f t="array" ref="C6">GetValue("Cat","Name",B6)</f>
        <v>string</v>
      </c>
      <c r="D6">
        <v>3</v>
      </c>
      <c r="E6" s="6" t="str" cm="1">
        <f t="array" ref="E6">GetValue("Cmp","Symbol",D6)</f>
        <v>=</v>
      </c>
      <c r="F6" t="str" cm="1">
        <f t="array" ref="F6">GetValue("Cmp","Description",D6)</f>
        <v>Igual</v>
      </c>
    </row>
    <row r="7" spans="1:16384">
      <c r="A7">
        <f t="shared" si="0"/>
        <v>4</v>
      </c>
      <c r="B7">
        <v>1</v>
      </c>
      <c r="C7" t="str" cm="1">
        <f t="array" ref="C7">GetValue("Cat","Name",B7)</f>
        <v>string</v>
      </c>
      <c r="D7">
        <v>4</v>
      </c>
      <c r="E7" s="6" t="str" cm="1">
        <f t="array" ref="E7">GetValue("Cmp","Symbol",D7)</f>
        <v>≠</v>
      </c>
      <c r="F7" t="str" cm="1">
        <f t="array" ref="F7">GetValue("Cmp","Description",D7)</f>
        <v>Diferente</v>
      </c>
    </row>
    <row r="8" spans="1:16384">
      <c r="A8">
        <f t="shared" si="0"/>
        <v>5</v>
      </c>
      <c r="B8">
        <v>1</v>
      </c>
      <c r="C8" t="str" cm="1">
        <f t="array" ref="C8">GetValue("Cat","Name",B8)</f>
        <v>string</v>
      </c>
      <c r="D8">
        <v>5</v>
      </c>
      <c r="E8" s="6" t="str" cm="1">
        <f t="array" ref="E8">GetValue("Cmp","Symbol",D8)</f>
        <v>≥</v>
      </c>
      <c r="F8" t="str" cm="1">
        <f t="array" ref="F8">GetValue("Cmp","Description",D8)</f>
        <v>Maior ou Igual</v>
      </c>
    </row>
    <row r="9" spans="1:16384">
      <c r="A9">
        <f t="shared" si="0"/>
        <v>6</v>
      </c>
      <c r="B9">
        <v>1</v>
      </c>
      <c r="C9" t="str" cm="1">
        <f t="array" ref="C9">GetValue("Cat","Name",B9)</f>
        <v>string</v>
      </c>
      <c r="D9">
        <v>6</v>
      </c>
      <c r="E9" s="6" t="str" cm="1">
        <f t="array" ref="E9">GetValue("Cmp","Symbol",D9)</f>
        <v>&gt;</v>
      </c>
      <c r="F9" t="str" cm="1">
        <f t="array" ref="F9">GetValue("Cmp","Description",D9)</f>
        <v>Maior</v>
      </c>
    </row>
    <row r="10" spans="1:16384">
      <c r="A10">
        <f t="shared" si="0"/>
        <v>7</v>
      </c>
      <c r="B10">
        <v>1</v>
      </c>
      <c r="C10" t="str" cm="1">
        <f t="array" ref="C10">GetValue("Cat","Name",B10)</f>
        <v>string</v>
      </c>
      <c r="D10">
        <v>7</v>
      </c>
      <c r="E10" s="6" t="str" cm="1">
        <f t="array" ref="E10">GetValue("Cmp","Symbol",D10)</f>
        <v>∈</v>
      </c>
      <c r="F10" t="str" cm="1">
        <f t="array" ref="F10">GetValue("Cmp","Description",D10)</f>
        <v>In</v>
      </c>
    </row>
    <row r="11" spans="1:16384">
      <c r="A11">
        <f t="shared" si="0"/>
        <v>8</v>
      </c>
      <c r="B11">
        <v>1</v>
      </c>
      <c r="C11" t="str" cm="1">
        <f t="array" ref="C11">GetValue("Cat","Name",B11)</f>
        <v>string</v>
      </c>
      <c r="D11">
        <v>8</v>
      </c>
      <c r="E11" s="6" t="str" cm="1">
        <f t="array" ref="E11">GetValue("Cmp","Symbol",D11)</f>
        <v>∉</v>
      </c>
      <c r="F11" t="str" cm="1">
        <f t="array" ref="F11">GetValue("Cmp","Description",D11)</f>
        <v>Not In</v>
      </c>
    </row>
    <row r="12" spans="1:16384">
      <c r="A12">
        <f t="shared" si="0"/>
        <v>9</v>
      </c>
      <c r="B12">
        <v>1</v>
      </c>
      <c r="C12" t="str" cm="1">
        <f t="array" ref="C12">GetValue("Cat","Name",B12)</f>
        <v>string</v>
      </c>
      <c r="D12">
        <v>9</v>
      </c>
      <c r="E12" s="6" t="str" cm="1">
        <f t="array" ref="E12">GetValue("Cmp","Symbol",D12)</f>
        <v>⊃</v>
      </c>
      <c r="F12" t="str" cm="1">
        <f t="array" ref="F12">GetValue("Cmp","Description",D12)</f>
        <v>Like</v>
      </c>
    </row>
    <row r="13" spans="1:16384">
      <c r="A13">
        <f t="shared" si="0"/>
        <v>10</v>
      </c>
      <c r="B13">
        <v>1</v>
      </c>
      <c r="C13" t="str" cm="1">
        <f t="array" ref="C13">GetValue("Cat","Name",B13)</f>
        <v>string</v>
      </c>
      <c r="D13">
        <v>10</v>
      </c>
      <c r="E13" s="6" t="str" cm="1">
        <f t="array" ref="E13">GetValue("Cmp","Symbol",D13)</f>
        <v>⊅</v>
      </c>
      <c r="F13" t="str" cm="1">
        <f t="array" ref="F13">GetValue("Cmp","Description",D13)</f>
        <v>Not Like</v>
      </c>
    </row>
    <row r="14" spans="1:16384">
      <c r="A14">
        <f t="shared" si="0"/>
        <v>11</v>
      </c>
      <c r="B14">
        <v>1</v>
      </c>
      <c r="C14" t="str" cm="1">
        <f t="array" ref="C14">GetValue("Cat","Name",B14)</f>
        <v>string</v>
      </c>
      <c r="D14">
        <v>11</v>
      </c>
      <c r="E14" s="6" t="str" cm="1">
        <f t="array" ref="E14">GetValue("Cmp","Symbol",D14)</f>
        <v>∃</v>
      </c>
      <c r="F14" t="str" cm="1">
        <f t="array" ref="F14">GetValue("Cmp","Description",D14)</f>
        <v>Between</v>
      </c>
    </row>
    <row r="15" spans="1:16384">
      <c r="A15">
        <f t="shared" si="0"/>
        <v>12</v>
      </c>
      <c r="B15">
        <v>1</v>
      </c>
      <c r="C15" t="str" cm="1">
        <f t="array" ref="C15">GetValue("Cat","Name",B15)</f>
        <v>string</v>
      </c>
      <c r="D15">
        <v>12</v>
      </c>
      <c r="E15" s="6" t="str" cm="1">
        <f t="array" ref="E15">GetValue("Cmp","Symbol",D15)</f>
        <v>∄</v>
      </c>
      <c r="F15" t="str" cm="1">
        <f t="array" ref="F15">GetValue("Cmp","Description",D15)</f>
        <v>Not Between</v>
      </c>
    </row>
    <row r="16" spans="1:16384">
      <c r="A16">
        <f t="shared" si="0"/>
        <v>13</v>
      </c>
      <c r="B16">
        <v>1</v>
      </c>
      <c r="C16" t="str" cm="1">
        <f t="array" ref="C16">GetValue("Cat","Name",B16)</f>
        <v>string</v>
      </c>
      <c r="D16">
        <v>13</v>
      </c>
      <c r="E16" s="6" t="str" cm="1">
        <f t="array" ref="E16">GetValue("Cmp","Symbol",D16)</f>
        <v>∅</v>
      </c>
      <c r="F16" t="str" cm="1">
        <f t="array" ref="F16">GetValue("Cmp","Description",D16)</f>
        <v>Is Null</v>
      </c>
    </row>
    <row r="17" spans="1:6">
      <c r="A17">
        <f t="shared" si="0"/>
        <v>14</v>
      </c>
      <c r="B17">
        <v>1</v>
      </c>
      <c r="C17" t="str" cm="1">
        <f t="array" ref="C17">GetValue("Cat","Name",B17)</f>
        <v>string</v>
      </c>
      <c r="D17">
        <v>14</v>
      </c>
      <c r="E17" s="6" t="str" cm="1">
        <f t="array" ref="E17">GetValue("Cmp","Symbol",D17)</f>
        <v>⊗</v>
      </c>
      <c r="F17" t="str" cm="1">
        <f t="array" ref="F17">GetValue("Cmp","Description",D17)</f>
        <v>Is Not Null</v>
      </c>
    </row>
    <row r="18" spans="1:6">
      <c r="A18">
        <f t="shared" si="0"/>
        <v>15</v>
      </c>
      <c r="B18">
        <v>2</v>
      </c>
      <c r="C18" t="str" cm="1">
        <f t="array" ref="C18">GetValue("Cat","Name",B18)</f>
        <v>number</v>
      </c>
      <c r="D18">
        <v>1</v>
      </c>
      <c r="E18" s="6" t="str" cm="1">
        <f t="array" ref="E18">GetValue("Cmp","Symbol",D18)</f>
        <v>&lt;</v>
      </c>
      <c r="F18" t="str" cm="1">
        <f t="array" ref="F18">GetValue("Cmp","Description",D18)</f>
        <v>Menor</v>
      </c>
    </row>
    <row r="19" spans="1:6">
      <c r="A19">
        <f t="shared" si="0"/>
        <v>16</v>
      </c>
      <c r="B19">
        <v>2</v>
      </c>
      <c r="C19" t="str" cm="1">
        <f t="array" ref="C19">GetValue("Cat","Name",B19)</f>
        <v>number</v>
      </c>
      <c r="D19">
        <v>2</v>
      </c>
      <c r="E19" s="6" t="str" cm="1">
        <f t="array" ref="E19">GetValue("Cmp","Symbol",D19)</f>
        <v>≤</v>
      </c>
      <c r="F19" t="str" cm="1">
        <f t="array" ref="F19">GetValue("Cmp","Description",D19)</f>
        <v>Menor ou Igual</v>
      </c>
    </row>
    <row r="20" spans="1:6">
      <c r="A20">
        <f t="shared" si="0"/>
        <v>17</v>
      </c>
      <c r="B20">
        <v>2</v>
      </c>
      <c r="C20" t="str" cm="1">
        <f t="array" ref="C20">GetValue("Cat","Name",B20)</f>
        <v>number</v>
      </c>
      <c r="D20">
        <v>3</v>
      </c>
      <c r="E20" s="6" t="str" cm="1">
        <f t="array" ref="E20">GetValue("Cmp","Symbol",D20)</f>
        <v>=</v>
      </c>
      <c r="F20" t="str" cm="1">
        <f t="array" ref="F20">GetValue("Cmp","Description",D20)</f>
        <v>Igual</v>
      </c>
    </row>
    <row r="21" spans="1:6">
      <c r="A21">
        <f t="shared" si="0"/>
        <v>18</v>
      </c>
      <c r="B21">
        <v>2</v>
      </c>
      <c r="C21" t="str" cm="1">
        <f t="array" ref="C21">GetValue("Cat","Name",B21)</f>
        <v>number</v>
      </c>
      <c r="D21">
        <v>4</v>
      </c>
      <c r="E21" s="6" t="str" cm="1">
        <f t="array" ref="E21">GetValue("Cmp","Symbol",D21)</f>
        <v>≠</v>
      </c>
      <c r="F21" t="str" cm="1">
        <f t="array" ref="F21">GetValue("Cmp","Description",D21)</f>
        <v>Diferente</v>
      </c>
    </row>
    <row r="22" spans="1:6">
      <c r="A22">
        <f t="shared" si="0"/>
        <v>19</v>
      </c>
      <c r="B22">
        <v>2</v>
      </c>
      <c r="C22" t="str" cm="1">
        <f t="array" ref="C22">GetValue("Cat","Name",B22)</f>
        <v>number</v>
      </c>
      <c r="D22">
        <v>5</v>
      </c>
      <c r="E22" s="6" t="str" cm="1">
        <f t="array" ref="E22">GetValue("Cmp","Symbol",D22)</f>
        <v>≥</v>
      </c>
      <c r="F22" t="str" cm="1">
        <f t="array" ref="F22">GetValue("Cmp","Description",D22)</f>
        <v>Maior ou Igual</v>
      </c>
    </row>
    <row r="23" spans="1:6">
      <c r="A23">
        <f t="shared" si="0"/>
        <v>20</v>
      </c>
      <c r="B23">
        <v>2</v>
      </c>
      <c r="C23" t="str" cm="1">
        <f t="array" ref="C23">GetValue("Cat","Name",B23)</f>
        <v>number</v>
      </c>
      <c r="D23">
        <v>6</v>
      </c>
      <c r="E23" s="6" t="str" cm="1">
        <f t="array" ref="E23">GetValue("Cmp","Symbol",D23)</f>
        <v>&gt;</v>
      </c>
      <c r="F23" t="str" cm="1">
        <f t="array" ref="F23">GetValue("Cmp","Description",D23)</f>
        <v>Maior</v>
      </c>
    </row>
    <row r="24" spans="1:6">
      <c r="A24">
        <f t="shared" si="0"/>
        <v>21</v>
      </c>
      <c r="B24">
        <v>2</v>
      </c>
      <c r="C24" t="str" cm="1">
        <f t="array" ref="C24">GetValue("Cat","Name",B24)</f>
        <v>number</v>
      </c>
      <c r="D24">
        <v>7</v>
      </c>
      <c r="E24" s="6" t="str" cm="1">
        <f t="array" ref="E24">GetValue("Cmp","Symbol",D24)</f>
        <v>∈</v>
      </c>
      <c r="F24" t="str" cm="1">
        <f t="array" ref="F24">GetValue("Cmp","Description",D24)</f>
        <v>In</v>
      </c>
    </row>
    <row r="25" spans="1:6">
      <c r="A25">
        <f t="shared" si="0"/>
        <v>22</v>
      </c>
      <c r="B25">
        <v>2</v>
      </c>
      <c r="C25" t="str" cm="1">
        <f t="array" ref="C25">GetValue("Cat","Name",B25)</f>
        <v>number</v>
      </c>
      <c r="D25">
        <v>8</v>
      </c>
      <c r="E25" s="6" t="str" cm="1">
        <f t="array" ref="E25">GetValue("Cmp","Symbol",D25)</f>
        <v>∉</v>
      </c>
      <c r="F25" t="str" cm="1">
        <f t="array" ref="F25">GetValue("Cmp","Description",D25)</f>
        <v>Not In</v>
      </c>
    </row>
    <row r="26" spans="1:6">
      <c r="A26">
        <f t="shared" si="0"/>
        <v>23</v>
      </c>
      <c r="B26">
        <v>2</v>
      </c>
      <c r="C26" t="str" cm="1">
        <f t="array" ref="C26">GetValue("Cat","Name",B26)</f>
        <v>number</v>
      </c>
      <c r="D26">
        <v>11</v>
      </c>
      <c r="E26" s="6" t="str" cm="1">
        <f t="array" ref="E26">GetValue("Cmp","Symbol",D26)</f>
        <v>∃</v>
      </c>
      <c r="F26" t="str" cm="1">
        <f t="array" ref="F26">GetValue("Cmp","Description",D26)</f>
        <v>Between</v>
      </c>
    </row>
    <row r="27" spans="1:6">
      <c r="A27">
        <f t="shared" si="0"/>
        <v>24</v>
      </c>
      <c r="B27">
        <v>2</v>
      </c>
      <c r="C27" t="str" cm="1">
        <f t="array" ref="C27">GetValue("Cat","Name",B27)</f>
        <v>number</v>
      </c>
      <c r="D27">
        <v>12</v>
      </c>
      <c r="E27" s="6" t="str" cm="1">
        <f t="array" ref="E27">GetValue("Cmp","Symbol",D27)</f>
        <v>∄</v>
      </c>
      <c r="F27" t="str" cm="1">
        <f t="array" ref="F27">GetValue("Cmp","Description",D27)</f>
        <v>Not Between</v>
      </c>
    </row>
    <row r="28" spans="1:6">
      <c r="A28">
        <f t="shared" si="0"/>
        <v>25</v>
      </c>
      <c r="B28">
        <v>2</v>
      </c>
      <c r="C28" t="str" cm="1">
        <f t="array" ref="C28">GetValue("Cat","Name",B28)</f>
        <v>number</v>
      </c>
      <c r="D28">
        <v>13</v>
      </c>
      <c r="E28" s="6" t="str" cm="1">
        <f t="array" ref="E28">GetValue("Cmp","Symbol",D28)</f>
        <v>∅</v>
      </c>
      <c r="F28" t="str" cm="1">
        <f t="array" ref="F28">GetValue("Cmp","Description",D28)</f>
        <v>Is Null</v>
      </c>
    </row>
    <row r="29" spans="1:6">
      <c r="A29">
        <f t="shared" si="0"/>
        <v>26</v>
      </c>
      <c r="B29">
        <v>2</v>
      </c>
      <c r="C29" t="str" cm="1">
        <f t="array" ref="C29">GetValue("Cat","Name",B29)</f>
        <v>number</v>
      </c>
      <c r="D29">
        <v>14</v>
      </c>
      <c r="E29" s="6" t="str" cm="1">
        <f t="array" ref="E29">GetValue("Cmp","Symbol",D29)</f>
        <v>⊗</v>
      </c>
      <c r="F29" t="str" cm="1">
        <f t="array" ref="F29">GetValue("Cmp","Description",D29)</f>
        <v>Is Not Null</v>
      </c>
    </row>
    <row r="30" spans="1:6">
      <c r="A30">
        <f t="shared" si="0"/>
        <v>27</v>
      </c>
      <c r="B30">
        <v>3</v>
      </c>
      <c r="C30" t="str" cm="1">
        <f t="array" ref="C30">GetValue("Cat","Name",B30)</f>
        <v>date</v>
      </c>
      <c r="D30">
        <v>1</v>
      </c>
      <c r="E30" s="6" t="str" cm="1">
        <f t="array" ref="E30">GetValue("Cmp","Symbol",D30)</f>
        <v>&lt;</v>
      </c>
      <c r="F30" t="str" cm="1">
        <f t="array" ref="F30">GetValue("Cmp","Description",D30)</f>
        <v>Menor</v>
      </c>
    </row>
    <row r="31" spans="1:6">
      <c r="A31">
        <f t="shared" si="0"/>
        <v>28</v>
      </c>
      <c r="B31">
        <v>3</v>
      </c>
      <c r="C31" t="str" cm="1">
        <f t="array" ref="C31">GetValue("Cat","Name",B31)</f>
        <v>date</v>
      </c>
      <c r="D31">
        <v>2</v>
      </c>
      <c r="E31" s="6" t="str" cm="1">
        <f t="array" ref="E31">GetValue("Cmp","Symbol",D31)</f>
        <v>≤</v>
      </c>
      <c r="F31" t="str" cm="1">
        <f t="array" ref="F31">GetValue("Cmp","Description",D31)</f>
        <v>Menor ou Igual</v>
      </c>
    </row>
    <row r="32" spans="1:6">
      <c r="A32">
        <f t="shared" si="0"/>
        <v>29</v>
      </c>
      <c r="B32">
        <v>3</v>
      </c>
      <c r="C32" t="str" cm="1">
        <f t="array" ref="C32">GetValue("Cat","Name",B32)</f>
        <v>date</v>
      </c>
      <c r="D32">
        <v>3</v>
      </c>
      <c r="E32" s="6" t="str" cm="1">
        <f t="array" ref="E32">GetValue("Cmp","Symbol",D32)</f>
        <v>=</v>
      </c>
      <c r="F32" t="str" cm="1">
        <f t="array" ref="F32">GetValue("Cmp","Description",D32)</f>
        <v>Igual</v>
      </c>
    </row>
    <row r="33" spans="1:6">
      <c r="A33">
        <f t="shared" si="0"/>
        <v>30</v>
      </c>
      <c r="B33">
        <v>3</v>
      </c>
      <c r="C33" t="str" cm="1">
        <f t="array" ref="C33">GetValue("Cat","Name",B33)</f>
        <v>date</v>
      </c>
      <c r="D33">
        <v>4</v>
      </c>
      <c r="E33" s="6" t="str" cm="1">
        <f t="array" ref="E33">GetValue("Cmp","Symbol",D33)</f>
        <v>≠</v>
      </c>
      <c r="F33" t="str" cm="1">
        <f t="array" ref="F33">GetValue("Cmp","Description",D33)</f>
        <v>Diferente</v>
      </c>
    </row>
    <row r="34" spans="1:6">
      <c r="A34">
        <f t="shared" si="0"/>
        <v>31</v>
      </c>
      <c r="B34">
        <v>3</v>
      </c>
      <c r="C34" t="str" cm="1">
        <f t="array" ref="C34">GetValue("Cat","Name",B34)</f>
        <v>date</v>
      </c>
      <c r="D34">
        <v>5</v>
      </c>
      <c r="E34" s="6" t="str" cm="1">
        <f t="array" ref="E34">GetValue("Cmp","Symbol",D34)</f>
        <v>≥</v>
      </c>
      <c r="F34" t="str" cm="1">
        <f t="array" ref="F34">GetValue("Cmp","Description",D34)</f>
        <v>Maior ou Igual</v>
      </c>
    </row>
    <row r="35" spans="1:6">
      <c r="A35">
        <f t="shared" si="0"/>
        <v>32</v>
      </c>
      <c r="B35">
        <v>3</v>
      </c>
      <c r="C35" t="str" cm="1">
        <f t="array" ref="C35">GetValue("Cat","Name",B35)</f>
        <v>date</v>
      </c>
      <c r="D35">
        <v>6</v>
      </c>
      <c r="E35" s="6" t="str" cm="1">
        <f t="array" ref="E35">GetValue("Cmp","Symbol",D35)</f>
        <v>&gt;</v>
      </c>
      <c r="F35" t="str" cm="1">
        <f t="array" ref="F35">GetValue("Cmp","Description",D35)</f>
        <v>Maior</v>
      </c>
    </row>
    <row r="36" spans="1:6">
      <c r="A36">
        <f t="shared" si="0"/>
        <v>33</v>
      </c>
      <c r="B36">
        <v>3</v>
      </c>
      <c r="C36" t="str" cm="1">
        <f t="array" ref="C36">GetValue("Cat","Name",B36)</f>
        <v>date</v>
      </c>
      <c r="D36">
        <v>7</v>
      </c>
      <c r="E36" s="6" t="str" cm="1">
        <f t="array" ref="E36">GetValue("Cmp","Symbol",D36)</f>
        <v>∈</v>
      </c>
      <c r="F36" t="str" cm="1">
        <f t="array" ref="F36">GetValue("Cmp","Description",D36)</f>
        <v>In</v>
      </c>
    </row>
    <row r="37" spans="1:6">
      <c r="A37">
        <f t="shared" si="0"/>
        <v>34</v>
      </c>
      <c r="B37">
        <v>3</v>
      </c>
      <c r="C37" t="str" cm="1">
        <f t="array" ref="C37">GetValue("Cat","Name",B37)</f>
        <v>date</v>
      </c>
      <c r="D37">
        <v>8</v>
      </c>
      <c r="E37" s="6" t="str" cm="1">
        <f t="array" ref="E37">GetValue("Cmp","Symbol",D37)</f>
        <v>∉</v>
      </c>
      <c r="F37" t="str" cm="1">
        <f t="array" ref="F37">GetValue("Cmp","Description",D37)</f>
        <v>Not In</v>
      </c>
    </row>
    <row r="38" spans="1:6">
      <c r="A38">
        <f t="shared" si="0"/>
        <v>35</v>
      </c>
      <c r="B38">
        <v>3</v>
      </c>
      <c r="C38" t="str" cm="1">
        <f t="array" ref="C38">GetValue("Cat","Name",B38)</f>
        <v>date</v>
      </c>
      <c r="D38">
        <v>11</v>
      </c>
      <c r="E38" s="6" t="str" cm="1">
        <f t="array" ref="E38">GetValue("Cmp","Symbol",D38)</f>
        <v>∃</v>
      </c>
      <c r="F38" t="str" cm="1">
        <f t="array" ref="F38">GetValue("Cmp","Description",D38)</f>
        <v>Between</v>
      </c>
    </row>
    <row r="39" spans="1:6">
      <c r="A39">
        <f t="shared" si="0"/>
        <v>36</v>
      </c>
      <c r="B39">
        <v>3</v>
      </c>
      <c r="C39" t="str" cm="1">
        <f t="array" ref="C39">GetValue("Cat","Name",B39)</f>
        <v>date</v>
      </c>
      <c r="D39">
        <v>12</v>
      </c>
      <c r="E39" s="6" t="str" cm="1">
        <f t="array" ref="E39">GetValue("Cmp","Symbol",D39)</f>
        <v>∄</v>
      </c>
      <c r="F39" t="str" cm="1">
        <f t="array" ref="F39">GetValue("Cmp","Description",D39)</f>
        <v>Not Between</v>
      </c>
    </row>
    <row r="40" spans="1:6">
      <c r="A40">
        <f t="shared" si="0"/>
        <v>37</v>
      </c>
      <c r="B40">
        <v>3</v>
      </c>
      <c r="C40" t="str" cm="1">
        <f t="array" ref="C40">GetValue("Cat","Name",B40)</f>
        <v>date</v>
      </c>
      <c r="D40">
        <v>13</v>
      </c>
      <c r="E40" s="6" t="str" cm="1">
        <f t="array" ref="E40">GetValue("Cmp","Symbol",D40)</f>
        <v>∅</v>
      </c>
      <c r="F40" t="str" cm="1">
        <f t="array" ref="F40">GetValue("Cmp","Description",D40)</f>
        <v>Is Null</v>
      </c>
    </row>
    <row r="41" spans="1:6">
      <c r="A41">
        <f t="shared" si="0"/>
        <v>38</v>
      </c>
      <c r="B41">
        <v>3</v>
      </c>
      <c r="C41" t="str" cm="1">
        <f t="array" ref="C41">GetValue("Cat","Name",B41)</f>
        <v>date</v>
      </c>
      <c r="D41">
        <v>14</v>
      </c>
      <c r="E41" s="6" t="str" cm="1">
        <f t="array" ref="E41">GetValue("Cmp","Symbol",D41)</f>
        <v>⊗</v>
      </c>
      <c r="F41" t="str" cm="1">
        <f t="array" ref="F41">GetValue("Cmp","Description",D41)</f>
        <v>Is Not Null</v>
      </c>
    </row>
    <row r="42" spans="1:6">
      <c r="A42">
        <f t="shared" si="0"/>
        <v>39</v>
      </c>
      <c r="B42">
        <v>4</v>
      </c>
      <c r="C42" t="str" cm="1">
        <f t="array" ref="C42">GetValue("Cat","Name",B42)</f>
        <v>datetime</v>
      </c>
      <c r="D42">
        <v>1</v>
      </c>
      <c r="E42" s="6" t="str" cm="1">
        <f t="array" ref="E42">GetValue("Cmp","Symbol",D42)</f>
        <v>&lt;</v>
      </c>
      <c r="F42" t="str" cm="1">
        <f t="array" ref="F42">GetValue("Cmp","Description",D42)</f>
        <v>Menor</v>
      </c>
    </row>
    <row r="43" spans="1:6">
      <c r="A43">
        <f t="shared" si="0"/>
        <v>40</v>
      </c>
      <c r="B43">
        <v>4</v>
      </c>
      <c r="C43" t="str" cm="1">
        <f t="array" ref="C43">GetValue("Cat","Name",B43)</f>
        <v>datetime</v>
      </c>
      <c r="D43">
        <v>2</v>
      </c>
      <c r="E43" s="6" t="str" cm="1">
        <f t="array" ref="E43">GetValue("Cmp","Symbol",D43)</f>
        <v>≤</v>
      </c>
      <c r="F43" t="str" cm="1">
        <f t="array" ref="F43">GetValue("Cmp","Description",D43)</f>
        <v>Menor ou Igual</v>
      </c>
    </row>
    <row r="44" spans="1:6">
      <c r="A44">
        <f t="shared" si="0"/>
        <v>41</v>
      </c>
      <c r="B44">
        <v>4</v>
      </c>
      <c r="C44" t="str" cm="1">
        <f t="array" ref="C44">GetValue("Cat","Name",B44)</f>
        <v>datetime</v>
      </c>
      <c r="D44">
        <v>3</v>
      </c>
      <c r="E44" s="6" t="str" cm="1">
        <f t="array" ref="E44">GetValue("Cmp","Symbol",D44)</f>
        <v>=</v>
      </c>
      <c r="F44" t="str" cm="1">
        <f t="array" ref="F44">GetValue("Cmp","Description",D44)</f>
        <v>Igual</v>
      </c>
    </row>
    <row r="45" spans="1:6">
      <c r="A45">
        <f t="shared" si="0"/>
        <v>42</v>
      </c>
      <c r="B45">
        <v>4</v>
      </c>
      <c r="C45" t="str" cm="1">
        <f t="array" ref="C45">GetValue("Cat","Name",B45)</f>
        <v>datetime</v>
      </c>
      <c r="D45">
        <v>4</v>
      </c>
      <c r="E45" s="6" t="str" cm="1">
        <f t="array" ref="E45">GetValue("Cmp","Symbol",D45)</f>
        <v>≠</v>
      </c>
      <c r="F45" t="str" cm="1">
        <f t="array" ref="F45">GetValue("Cmp","Description",D45)</f>
        <v>Diferente</v>
      </c>
    </row>
    <row r="46" spans="1:6">
      <c r="A46">
        <f t="shared" si="0"/>
        <v>43</v>
      </c>
      <c r="B46">
        <v>4</v>
      </c>
      <c r="C46" t="str" cm="1">
        <f t="array" ref="C46">GetValue("Cat","Name",B46)</f>
        <v>datetime</v>
      </c>
      <c r="D46">
        <v>5</v>
      </c>
      <c r="E46" s="6" t="str" cm="1">
        <f t="array" ref="E46">GetValue("Cmp","Symbol",D46)</f>
        <v>≥</v>
      </c>
      <c r="F46" t="str" cm="1">
        <f t="array" ref="F46">GetValue("Cmp","Description",D46)</f>
        <v>Maior ou Igual</v>
      </c>
    </row>
    <row r="47" spans="1:6">
      <c r="A47">
        <f t="shared" si="0"/>
        <v>44</v>
      </c>
      <c r="B47">
        <v>4</v>
      </c>
      <c r="C47" t="str" cm="1">
        <f t="array" ref="C47">GetValue("Cat","Name",B47)</f>
        <v>datetime</v>
      </c>
      <c r="D47">
        <v>6</v>
      </c>
      <c r="E47" s="6" t="str" cm="1">
        <f t="array" ref="E47">GetValue("Cmp","Symbol",D47)</f>
        <v>&gt;</v>
      </c>
      <c r="F47" t="str" cm="1">
        <f t="array" ref="F47">GetValue("Cmp","Description",D47)</f>
        <v>Maior</v>
      </c>
    </row>
    <row r="48" spans="1:6">
      <c r="A48">
        <f t="shared" si="0"/>
        <v>45</v>
      </c>
      <c r="B48">
        <v>4</v>
      </c>
      <c r="C48" t="str" cm="1">
        <f t="array" ref="C48">GetValue("Cat","Name",B48)</f>
        <v>datetime</v>
      </c>
      <c r="D48">
        <v>7</v>
      </c>
      <c r="E48" s="6" t="str" cm="1">
        <f t="array" ref="E48">GetValue("Cmp","Symbol",D48)</f>
        <v>∈</v>
      </c>
      <c r="F48" t="str" cm="1">
        <f t="array" ref="F48">GetValue("Cmp","Description",D48)</f>
        <v>In</v>
      </c>
    </row>
    <row r="49" spans="1:6">
      <c r="A49">
        <f t="shared" si="0"/>
        <v>46</v>
      </c>
      <c r="B49">
        <v>4</v>
      </c>
      <c r="C49" t="str" cm="1">
        <f t="array" ref="C49">GetValue("Cat","Name",B49)</f>
        <v>datetime</v>
      </c>
      <c r="D49">
        <v>8</v>
      </c>
      <c r="E49" s="6" t="str" cm="1">
        <f t="array" ref="E49">GetValue("Cmp","Symbol",D49)</f>
        <v>∉</v>
      </c>
      <c r="F49" t="str" cm="1">
        <f t="array" ref="F49">GetValue("Cmp","Description",D49)</f>
        <v>Not In</v>
      </c>
    </row>
    <row r="50" spans="1:6">
      <c r="A50">
        <f t="shared" si="0"/>
        <v>47</v>
      </c>
      <c r="B50">
        <v>4</v>
      </c>
      <c r="C50" t="str" cm="1">
        <f t="array" ref="C50">GetValue("Cat","Name",B50)</f>
        <v>datetime</v>
      </c>
      <c r="D50">
        <v>11</v>
      </c>
      <c r="E50" s="6" t="str" cm="1">
        <f t="array" ref="E50">GetValue("Cmp","Symbol",D50)</f>
        <v>∃</v>
      </c>
      <c r="F50" t="str" cm="1">
        <f t="array" ref="F50">GetValue("Cmp","Description",D50)</f>
        <v>Between</v>
      </c>
    </row>
    <row r="51" spans="1:6">
      <c r="A51">
        <f t="shared" si="0"/>
        <v>48</v>
      </c>
      <c r="B51">
        <v>4</v>
      </c>
      <c r="C51" t="str" cm="1">
        <f t="array" ref="C51">GetValue("Cat","Name",B51)</f>
        <v>datetime</v>
      </c>
      <c r="D51">
        <v>12</v>
      </c>
      <c r="E51" s="6" t="str" cm="1">
        <f t="array" ref="E51">GetValue("Cmp","Symbol",D51)</f>
        <v>∄</v>
      </c>
      <c r="F51" t="str" cm="1">
        <f t="array" ref="F51">GetValue("Cmp","Description",D51)</f>
        <v>Not Between</v>
      </c>
    </row>
    <row r="52" spans="1:6">
      <c r="A52">
        <f t="shared" si="0"/>
        <v>49</v>
      </c>
      <c r="B52">
        <v>4</v>
      </c>
      <c r="C52" t="str" cm="1">
        <f t="array" ref="C52">GetValue("Cat","Name",B52)</f>
        <v>datetime</v>
      </c>
      <c r="D52">
        <v>13</v>
      </c>
      <c r="E52" s="6" t="str" cm="1">
        <f t="array" ref="E52">GetValue("Cmp","Symbol",D52)</f>
        <v>∅</v>
      </c>
      <c r="F52" t="str" cm="1">
        <f t="array" ref="F52">GetValue("Cmp","Description",D52)</f>
        <v>Is Null</v>
      </c>
    </row>
    <row r="53" spans="1:6">
      <c r="A53">
        <f t="shared" si="0"/>
        <v>50</v>
      </c>
      <c r="B53">
        <v>4</v>
      </c>
      <c r="C53" t="str" cm="1">
        <f t="array" ref="C53">GetValue("Cat","Name",B53)</f>
        <v>datetime</v>
      </c>
      <c r="D53">
        <v>14</v>
      </c>
      <c r="E53" s="6" t="str" cm="1">
        <f t="array" ref="E53">GetValue("Cmp","Symbol",D53)</f>
        <v>⊗</v>
      </c>
      <c r="F53" t="str" cm="1">
        <f t="array" ref="F53">GetValue("Cmp","Description",D53)</f>
        <v>Is Not Null</v>
      </c>
    </row>
    <row r="54" spans="1:6">
      <c r="A54">
        <f t="shared" si="0"/>
        <v>51</v>
      </c>
      <c r="B54">
        <v>5</v>
      </c>
      <c r="C54" t="str" cm="1">
        <f t="array" ref="C54">GetValue("Cat","Name",B54)</f>
        <v>time</v>
      </c>
      <c r="D54">
        <v>1</v>
      </c>
      <c r="E54" s="6" t="str" cm="1">
        <f t="array" ref="E54">GetValue("Cmp","Symbol",D54)</f>
        <v>&lt;</v>
      </c>
      <c r="F54" t="str" cm="1">
        <f t="array" ref="F54">GetValue("Cmp","Description",D54)</f>
        <v>Menor</v>
      </c>
    </row>
    <row r="55" spans="1:6">
      <c r="A55">
        <f t="shared" si="0"/>
        <v>52</v>
      </c>
      <c r="B55">
        <v>5</v>
      </c>
      <c r="C55" t="str" cm="1">
        <f t="array" ref="C55">GetValue("Cat","Name",B55)</f>
        <v>time</v>
      </c>
      <c r="D55">
        <v>2</v>
      </c>
      <c r="E55" s="6" t="str" cm="1">
        <f t="array" ref="E55">GetValue("Cmp","Symbol",D55)</f>
        <v>≤</v>
      </c>
      <c r="F55" t="str" cm="1">
        <f t="array" ref="F55">GetValue("Cmp","Description",D55)</f>
        <v>Menor ou Igual</v>
      </c>
    </row>
    <row r="56" spans="1:6">
      <c r="A56">
        <f t="shared" si="0"/>
        <v>53</v>
      </c>
      <c r="B56">
        <v>5</v>
      </c>
      <c r="C56" t="str" cm="1">
        <f t="array" ref="C56">GetValue("Cat","Name",B56)</f>
        <v>time</v>
      </c>
      <c r="D56">
        <v>3</v>
      </c>
      <c r="E56" s="6" t="str" cm="1">
        <f t="array" ref="E56">GetValue("Cmp","Symbol",D56)</f>
        <v>=</v>
      </c>
      <c r="F56" t="str" cm="1">
        <f t="array" ref="F56">GetValue("Cmp","Description",D56)</f>
        <v>Igual</v>
      </c>
    </row>
    <row r="57" spans="1:6">
      <c r="A57">
        <f t="shared" si="0"/>
        <v>54</v>
      </c>
      <c r="B57">
        <v>5</v>
      </c>
      <c r="C57" t="str" cm="1">
        <f t="array" ref="C57">GetValue("Cat","Name",B57)</f>
        <v>time</v>
      </c>
      <c r="D57">
        <v>4</v>
      </c>
      <c r="E57" s="6" t="str" cm="1">
        <f t="array" ref="E57">GetValue("Cmp","Symbol",D57)</f>
        <v>≠</v>
      </c>
      <c r="F57" t="str" cm="1">
        <f t="array" ref="F57">GetValue("Cmp","Description",D57)</f>
        <v>Diferente</v>
      </c>
    </row>
    <row r="58" spans="1:6">
      <c r="A58">
        <f t="shared" si="0"/>
        <v>55</v>
      </c>
      <c r="B58">
        <v>5</v>
      </c>
      <c r="C58" t="str" cm="1">
        <f t="array" ref="C58">GetValue("Cat","Name",B58)</f>
        <v>time</v>
      </c>
      <c r="D58">
        <v>5</v>
      </c>
      <c r="E58" s="6" t="str" cm="1">
        <f t="array" ref="E58">GetValue("Cmp","Symbol",D58)</f>
        <v>≥</v>
      </c>
      <c r="F58" t="str" cm="1">
        <f t="array" ref="F58">GetValue("Cmp","Description",D58)</f>
        <v>Maior ou Igual</v>
      </c>
    </row>
    <row r="59" spans="1:6">
      <c r="A59">
        <f t="shared" si="0"/>
        <v>56</v>
      </c>
      <c r="B59">
        <v>5</v>
      </c>
      <c r="C59" t="str" cm="1">
        <f t="array" ref="C59">GetValue("Cat","Name",B59)</f>
        <v>time</v>
      </c>
      <c r="D59">
        <v>6</v>
      </c>
      <c r="E59" s="6" t="str" cm="1">
        <f t="array" ref="E59">GetValue("Cmp","Symbol",D59)</f>
        <v>&gt;</v>
      </c>
      <c r="F59" t="str" cm="1">
        <f t="array" ref="F59">GetValue("Cmp","Description",D59)</f>
        <v>Maior</v>
      </c>
    </row>
    <row r="60" spans="1:6">
      <c r="A60">
        <f t="shared" si="0"/>
        <v>57</v>
      </c>
      <c r="B60">
        <v>5</v>
      </c>
      <c r="C60" t="str" cm="1">
        <f t="array" ref="C60">GetValue("Cat","Name",B60)</f>
        <v>time</v>
      </c>
      <c r="D60">
        <v>7</v>
      </c>
      <c r="E60" s="6" t="str" cm="1">
        <f t="array" ref="E60">GetValue("Cmp","Symbol",D60)</f>
        <v>∈</v>
      </c>
      <c r="F60" t="str" cm="1">
        <f t="array" ref="F60">GetValue("Cmp","Description",D60)</f>
        <v>In</v>
      </c>
    </row>
    <row r="61" spans="1:6">
      <c r="A61">
        <f t="shared" si="0"/>
        <v>58</v>
      </c>
      <c r="B61">
        <v>5</v>
      </c>
      <c r="C61" t="str" cm="1">
        <f t="array" ref="C61">GetValue("Cat","Name",B61)</f>
        <v>time</v>
      </c>
      <c r="D61">
        <v>8</v>
      </c>
      <c r="E61" s="6" t="str" cm="1">
        <f t="array" ref="E61">GetValue("Cmp","Symbol",D61)</f>
        <v>∉</v>
      </c>
      <c r="F61" t="str" cm="1">
        <f t="array" ref="F61">GetValue("Cmp","Description",D61)</f>
        <v>Not In</v>
      </c>
    </row>
    <row r="62" spans="1:6">
      <c r="A62">
        <f t="shared" si="0"/>
        <v>59</v>
      </c>
      <c r="B62">
        <v>5</v>
      </c>
      <c r="C62" t="str" cm="1">
        <f t="array" ref="C62">GetValue("Cat","Name",B62)</f>
        <v>time</v>
      </c>
      <c r="D62">
        <v>11</v>
      </c>
      <c r="E62" s="6" t="str" cm="1">
        <f t="array" ref="E62">GetValue("Cmp","Symbol",D62)</f>
        <v>∃</v>
      </c>
      <c r="F62" t="str" cm="1">
        <f t="array" ref="F62">GetValue("Cmp","Description",D62)</f>
        <v>Between</v>
      </c>
    </row>
    <row r="63" spans="1:6">
      <c r="A63">
        <f t="shared" si="0"/>
        <v>60</v>
      </c>
      <c r="B63">
        <v>5</v>
      </c>
      <c r="C63" t="str" cm="1">
        <f t="array" ref="C63">GetValue("Cat","Name",B63)</f>
        <v>time</v>
      </c>
      <c r="D63">
        <v>12</v>
      </c>
      <c r="E63" s="6" t="str" cm="1">
        <f t="array" ref="E63">GetValue("Cmp","Symbol",D63)</f>
        <v>∄</v>
      </c>
      <c r="F63" t="str" cm="1">
        <f t="array" ref="F63">GetValue("Cmp","Description",D63)</f>
        <v>Not Between</v>
      </c>
    </row>
    <row r="64" spans="1:6">
      <c r="A64">
        <f t="shared" si="0"/>
        <v>61</v>
      </c>
      <c r="B64">
        <v>5</v>
      </c>
      <c r="C64" t="str" cm="1">
        <f t="array" ref="C64">GetValue("Cat","Name",B64)</f>
        <v>time</v>
      </c>
      <c r="D64">
        <v>13</v>
      </c>
      <c r="E64" s="6" t="str" cm="1">
        <f t="array" ref="E64">GetValue("Cmp","Symbol",D64)</f>
        <v>∅</v>
      </c>
      <c r="F64" t="str" cm="1">
        <f t="array" ref="F64">GetValue("Cmp","Description",D64)</f>
        <v>Is Null</v>
      </c>
    </row>
    <row r="65" spans="1:6">
      <c r="A65">
        <f t="shared" si="0"/>
        <v>62</v>
      </c>
      <c r="B65">
        <v>5</v>
      </c>
      <c r="C65" t="str" cm="1">
        <f t="array" ref="C65">GetValue("Cat","Name",B65)</f>
        <v>time</v>
      </c>
      <c r="D65">
        <v>14</v>
      </c>
      <c r="E65" s="6" t="str" cm="1">
        <f t="array" ref="E65">GetValue("Cmp","Symbol",D65)</f>
        <v>⊗</v>
      </c>
      <c r="F65" t="str" cm="1">
        <f t="array" ref="F65">GetValue("Cmp","Description",D65)</f>
        <v>Is Not Null</v>
      </c>
    </row>
    <row r="66" spans="1:6">
      <c r="A66">
        <f t="shared" si="0"/>
        <v>63</v>
      </c>
      <c r="B66">
        <v>6</v>
      </c>
      <c r="C66" t="str" cm="1">
        <f t="array" ref="C66">GetValue("Cat","Name",B66)</f>
        <v>text</v>
      </c>
      <c r="D66">
        <v>9</v>
      </c>
      <c r="E66" s="6" t="str" cm="1">
        <f t="array" ref="E66">GetValue("Cmp","Symbol",D66)</f>
        <v>⊃</v>
      </c>
      <c r="F66" t="str" cm="1">
        <f t="array" ref="F66">GetValue("Cmp","Description",D66)</f>
        <v>Like</v>
      </c>
    </row>
    <row r="67" spans="1:6">
      <c r="A67">
        <f t="shared" si="0"/>
        <v>64</v>
      </c>
      <c r="B67">
        <v>6</v>
      </c>
      <c r="C67" t="str" cm="1">
        <f t="array" ref="C67">GetValue("Cat","Name",B67)</f>
        <v>text</v>
      </c>
      <c r="D67">
        <v>10</v>
      </c>
      <c r="E67" s="6" t="str" cm="1">
        <f t="array" ref="E67">GetValue("Cmp","Symbol",D67)</f>
        <v>⊅</v>
      </c>
      <c r="F67" t="str" cm="1">
        <f t="array" ref="F67">GetValue("Cmp","Description",D67)</f>
        <v>Not Like</v>
      </c>
    </row>
    <row r="68" spans="1:6">
      <c r="A68">
        <f t="shared" si="0"/>
        <v>65</v>
      </c>
      <c r="B68">
        <v>6</v>
      </c>
      <c r="C68" t="str" cm="1">
        <f t="array" ref="C68">GetValue("Cat","Name",B68)</f>
        <v>text</v>
      </c>
      <c r="D68">
        <v>13</v>
      </c>
      <c r="E68" s="6" t="str" cm="1">
        <f t="array" ref="E68">GetValue("Cmp","Symbol",D68)</f>
        <v>∅</v>
      </c>
      <c r="F68" t="str" cm="1">
        <f t="array" ref="F68">GetValue("Cmp","Description",D68)</f>
        <v>Is Null</v>
      </c>
    </row>
    <row r="69" spans="1:6">
      <c r="A69">
        <f t="shared" ref="A69:A71" si="1">ROW(A69)-3</f>
        <v>66</v>
      </c>
      <c r="B69">
        <v>6</v>
      </c>
      <c r="C69" t="str" cm="1">
        <f t="array" ref="C69">GetValue("Cat","Name",B69)</f>
        <v>text</v>
      </c>
      <c r="D69">
        <v>14</v>
      </c>
      <c r="E69" s="6" t="str" cm="1">
        <f t="array" ref="E69">GetValue("Cmp","Symbol",D69)</f>
        <v>⊗</v>
      </c>
      <c r="F69" t="str" cm="1">
        <f t="array" ref="F69">GetValue("Cmp","Description",D69)</f>
        <v>Is Not Null</v>
      </c>
    </row>
    <row r="70" spans="1:6">
      <c r="A70">
        <f t="shared" si="1"/>
        <v>67</v>
      </c>
      <c r="B70">
        <v>7</v>
      </c>
      <c r="C70" t="str" cm="1">
        <f t="array" ref="C70">GetValue("Cat","Name",B70)</f>
        <v>boolean</v>
      </c>
      <c r="D70">
        <v>3</v>
      </c>
      <c r="E70" s="6" t="str" cm="1">
        <f t="array" ref="E70">GetValue("Cmp","Symbol",D70)</f>
        <v>=</v>
      </c>
      <c r="F70" t="str" cm="1">
        <f t="array" ref="F70">GetValue("Cmp","Description",D70)</f>
        <v>Igual</v>
      </c>
    </row>
    <row r="71" spans="1:6">
      <c r="A71">
        <f t="shared" si="1"/>
        <v>68</v>
      </c>
      <c r="B71">
        <v>7</v>
      </c>
      <c r="C71" t="str" cm="1">
        <f t="array" ref="C71">GetValue("Cat","Name",B71)</f>
        <v>boolean</v>
      </c>
      <c r="D71">
        <v>4</v>
      </c>
      <c r="E71" s="6" t="str" cm="1">
        <f t="array" ref="E71">GetValue("Cmp","Symbol",D71)</f>
        <v>≠</v>
      </c>
      <c r="F71" t="str" cm="1">
        <f t="array" ref="F71">GetValue("Cmp","Description",D71)</f>
        <v>Diferente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2516-31F6-40D7-ABB9-F4E63E018310}">
  <sheetPr codeName="Planilha16"/>
  <dimension ref="A1:G13"/>
  <sheetViews>
    <sheetView workbookViewId="0">
      <pane ySplit="3" topLeftCell="A4" activePane="bottomLeft" state="frozen"/>
      <selection pane="bottomLeft" activeCell="A3" sqref="A3"/>
    </sheetView>
  </sheetViews>
  <sheetFormatPr defaultColWidth="12.77734375" defaultRowHeight="14.4"/>
  <cols>
    <col min="1" max="1" width="6.21875" bestFit="1" customWidth="1"/>
    <col min="2" max="2" width="14" bestFit="1" customWidth="1"/>
    <col min="3" max="3" width="29.77734375" bestFit="1" customWidth="1"/>
    <col min="4" max="4" width="29" bestFit="1" customWidth="1"/>
    <col min="5" max="5" width="14.44140625" bestFit="1" customWidth="1"/>
    <col min="6" max="7" width="11.77734375" bestFit="1" customWidth="1"/>
  </cols>
  <sheetData>
    <row r="1" spans="1:7" s="1" customFormat="1">
      <c r="A1" s="1" t="s">
        <v>535</v>
      </c>
      <c r="B1" s="1" t="s">
        <v>0</v>
      </c>
      <c r="C1" s="1" t="s">
        <v>358</v>
      </c>
      <c r="D1" s="1" t="s">
        <v>529</v>
      </c>
      <c r="E1" s="1" t="s">
        <v>530</v>
      </c>
      <c r="F1" s="1" t="s">
        <v>365</v>
      </c>
      <c r="G1" s="1" t="s">
        <v>23</v>
      </c>
    </row>
    <row r="2" spans="1:7" s="1" customFormat="1">
      <c r="A2" s="1">
        <v>58</v>
      </c>
      <c r="B2" s="1">
        <v>11</v>
      </c>
      <c r="C2" s="1">
        <v>12</v>
      </c>
      <c r="D2" s="1">
        <v>12</v>
      </c>
      <c r="E2" s="1">
        <v>10</v>
      </c>
      <c r="F2" s="1">
        <v>5</v>
      </c>
      <c r="G2" s="1">
        <v>5</v>
      </c>
    </row>
    <row r="3" spans="1:7" s="1" customFormat="1">
      <c r="A3" s="1" t="str" cm="1">
        <f t="array" ref="A3">GetValue("Dmn","Name",A2)</f>
        <v>TinyId</v>
      </c>
      <c r="B3" s="1" t="str" cm="1">
        <f t="array" ref="B3">GetValue("Dmn","Name",B2)</f>
        <v>NVARCHAR(25)</v>
      </c>
      <c r="C3" s="1" t="str" cm="1">
        <f t="array" ref="C3">GetValue("Dmn","Name",C2)</f>
        <v>NVARCHAR(50)</v>
      </c>
      <c r="D3" s="1" t="str" cm="1">
        <f t="array" ref="D3">GetValue("Dmn","Name",D2)</f>
        <v>NVARCHAR(50)</v>
      </c>
      <c r="E3" s="1" t="str" cm="1">
        <f t="array" ref="E3">GetValue("Dmn","Name",E2)</f>
        <v>NVARCHAR(20)</v>
      </c>
      <c r="F3" s="1" t="str" cm="1">
        <f t="array" ref="F3">GetValue("Dmn","Name",F2)</f>
        <v>Boolean</v>
      </c>
      <c r="G3" s="1" t="str" cm="1">
        <f t="array" ref="G3">GetValue("Dmn","Name",G2)</f>
        <v>Boolean</v>
      </c>
    </row>
    <row r="4" spans="1:7">
      <c r="A4">
        <f>ROW(A4)-3</f>
        <v>1</v>
      </c>
      <c r="B4" t="s">
        <v>146</v>
      </c>
      <c r="C4" t="s">
        <v>359</v>
      </c>
      <c r="D4" t="s">
        <v>359</v>
      </c>
      <c r="F4" t="b">
        <v>1</v>
      </c>
      <c r="G4" t="b">
        <v>1</v>
      </c>
    </row>
    <row r="5" spans="1:7">
      <c r="A5">
        <f t="shared" ref="A5:A13" si="0">ROW(A5)-3</f>
        <v>2</v>
      </c>
      <c r="B5" t="s">
        <v>147</v>
      </c>
      <c r="C5" t="s">
        <v>360</v>
      </c>
      <c r="D5" t="s">
        <v>525</v>
      </c>
      <c r="F5" t="b">
        <v>0</v>
      </c>
      <c r="G5" t="b">
        <v>0</v>
      </c>
    </row>
    <row r="6" spans="1:7">
      <c r="A6">
        <f t="shared" si="0"/>
        <v>3</v>
      </c>
      <c r="B6" t="s">
        <v>148</v>
      </c>
      <c r="C6" t="s">
        <v>397</v>
      </c>
      <c r="D6" t="s">
        <v>397</v>
      </c>
      <c r="F6" t="b">
        <v>0</v>
      </c>
      <c r="G6" t="b">
        <v>0</v>
      </c>
    </row>
    <row r="7" spans="1:7">
      <c r="A7">
        <f t="shared" si="0"/>
        <v>4</v>
      </c>
      <c r="B7" t="s">
        <v>149</v>
      </c>
      <c r="C7" t="s">
        <v>361</v>
      </c>
      <c r="D7" t="s">
        <v>361</v>
      </c>
      <c r="F7" t="b">
        <v>0</v>
      </c>
      <c r="G7" t="b">
        <v>0</v>
      </c>
    </row>
    <row r="8" spans="1:7">
      <c r="A8">
        <f t="shared" si="0"/>
        <v>5</v>
      </c>
      <c r="B8" t="s">
        <v>150</v>
      </c>
      <c r="C8" s="15" t="s">
        <v>362</v>
      </c>
      <c r="D8" t="s">
        <v>362</v>
      </c>
      <c r="F8" t="b">
        <v>1</v>
      </c>
      <c r="G8" t="b">
        <v>0</v>
      </c>
    </row>
    <row r="9" spans="1:7">
      <c r="A9">
        <f t="shared" si="0"/>
        <v>6</v>
      </c>
      <c r="B9" t="s">
        <v>193</v>
      </c>
      <c r="C9" s="15" t="s">
        <v>398</v>
      </c>
      <c r="D9" t="s">
        <v>398</v>
      </c>
      <c r="F9" t="b">
        <v>1</v>
      </c>
      <c r="G9" t="b">
        <v>0</v>
      </c>
    </row>
    <row r="10" spans="1:7">
      <c r="A10">
        <f t="shared" si="0"/>
        <v>7</v>
      </c>
      <c r="B10" t="s">
        <v>194</v>
      </c>
      <c r="C10" s="15" t="s">
        <v>363</v>
      </c>
      <c r="D10" t="s">
        <v>526</v>
      </c>
      <c r="E10" t="s">
        <v>528</v>
      </c>
      <c r="F10" t="b">
        <v>1</v>
      </c>
      <c r="G10" t="b">
        <v>0</v>
      </c>
    </row>
    <row r="11" spans="1:7">
      <c r="A11">
        <f t="shared" si="0"/>
        <v>8</v>
      </c>
      <c r="B11" t="s">
        <v>195</v>
      </c>
      <c r="C11" s="15" t="s">
        <v>364</v>
      </c>
      <c r="D11" t="s">
        <v>527</v>
      </c>
      <c r="F11" t="b">
        <v>0</v>
      </c>
      <c r="G11" t="b">
        <v>0</v>
      </c>
    </row>
    <row r="12" spans="1:7">
      <c r="A12">
        <f t="shared" si="0"/>
        <v>9</v>
      </c>
      <c r="B12" t="s">
        <v>196</v>
      </c>
      <c r="C12" s="15" t="s">
        <v>531</v>
      </c>
      <c r="D12" t="s">
        <v>399</v>
      </c>
      <c r="F12" t="b">
        <v>0</v>
      </c>
      <c r="G12" t="b">
        <v>0</v>
      </c>
    </row>
    <row r="13" spans="1:7">
      <c r="A13">
        <f t="shared" si="0"/>
        <v>10</v>
      </c>
      <c r="B13" t="s">
        <v>197</v>
      </c>
      <c r="C13" s="10" t="s">
        <v>532</v>
      </c>
      <c r="D13" t="s">
        <v>400</v>
      </c>
      <c r="F13" t="b">
        <v>0</v>
      </c>
      <c r="G13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6044-3AC9-4077-B77F-D29225EABD28}">
  <sheetPr codeName="planTypes"/>
  <dimension ref="A1:L44"/>
  <sheetViews>
    <sheetView zoomScaleNormal="100" workbookViewId="0">
      <pane ySplit="3" topLeftCell="A4" activePane="bottomLeft" state="frozen"/>
      <selection pane="bottomLeft" activeCell="C2" sqref="C2"/>
    </sheetView>
  </sheetViews>
  <sheetFormatPr defaultColWidth="10" defaultRowHeight="14.4"/>
  <cols>
    <col min="1" max="1" width="6.21875" bestFit="1" customWidth="1"/>
    <col min="2" max="2" width="10.5546875" bestFit="1" customWidth="1"/>
    <col min="3" max="3" width="14.6640625" bestFit="1" customWidth="1"/>
    <col min="4" max="4" width="15.21875" bestFit="1" customWidth="1"/>
    <col min="5" max="6" width="26.77734375" style="2" bestFit="1" customWidth="1"/>
    <col min="7" max="8" width="11.77734375" bestFit="1" customWidth="1"/>
    <col min="9" max="9" width="13.6640625" bestFit="1" customWidth="1"/>
    <col min="10" max="10" width="16.77734375" bestFit="1" customWidth="1"/>
    <col min="11" max="12" width="11.77734375" bestFit="1" customWidth="1"/>
    <col min="14" max="14" width="22.6640625" customWidth="1"/>
  </cols>
  <sheetData>
    <row r="1" spans="1:12" s="1" customFormat="1">
      <c r="A1" s="1" t="s">
        <v>535</v>
      </c>
      <c r="B1" s="1" t="s">
        <v>15</v>
      </c>
      <c r="C1" s="1" t="s">
        <v>104</v>
      </c>
      <c r="D1" s="1" t="s">
        <v>0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674</v>
      </c>
      <c r="L1" s="1" t="s">
        <v>23</v>
      </c>
    </row>
    <row r="2" spans="1:12" s="1" customFormat="1">
      <c r="A2" s="1">
        <v>58</v>
      </c>
      <c r="B2" s="1">
        <v>58</v>
      </c>
      <c r="C2" s="1" cm="1">
        <f t="array" ref="C2">GetDomainId("Cat","Name")</f>
        <v>9</v>
      </c>
      <c r="D2" s="1">
        <v>11</v>
      </c>
      <c r="E2" s="1">
        <v>24</v>
      </c>
      <c r="F2" s="1">
        <v>24</v>
      </c>
      <c r="G2" s="1">
        <v>5</v>
      </c>
      <c r="H2" s="1">
        <v>5</v>
      </c>
      <c r="I2" s="1">
        <v>5</v>
      </c>
      <c r="J2" s="1">
        <v>5</v>
      </c>
      <c r="K2" s="1">
        <v>5</v>
      </c>
      <c r="L2" s="1">
        <v>5</v>
      </c>
    </row>
    <row r="3" spans="1:12" s="1" customFormat="1">
      <c r="A3" s="1" t="str" cm="1">
        <f t="array" ref="A3">GetValue("Dmn","Name",A2)</f>
        <v>TinyId</v>
      </c>
      <c r="B3" s="1" t="str" cm="1">
        <f t="array" ref="B3">GetValue("Dmn","Name",B2)</f>
        <v>TinyId</v>
      </c>
      <c r="C3" s="1" t="str" cm="1">
        <f t="array" ref="C3">GetValue("Dmn","Name",C2)</f>
        <v>NVARCHAR(15)</v>
      </c>
      <c r="D3" s="1" t="str" cm="1">
        <f t="array" ref="D3">GetValue("Dmn","Name",D2)</f>
        <v>NVARCHAR(25)</v>
      </c>
      <c r="E3" s="1" t="str" cm="1">
        <f t="array" ref="E3">GetValue("Dmn","Name",E2)</f>
        <v>VARIANT</v>
      </c>
      <c r="F3" s="1" t="str" cm="1">
        <f t="array" ref="F3">GetValue("Dmn","Name",F2)</f>
        <v>VARIANT</v>
      </c>
      <c r="G3" s="1" t="str" cm="1">
        <f t="array" ref="G3">GetValue("Dmn","Name",G2)</f>
        <v>Boolean</v>
      </c>
      <c r="H3" s="1" t="str" cm="1">
        <f t="array" ref="H3">GetValue("Dmn","Name",H2)</f>
        <v>Boolean</v>
      </c>
      <c r="I3" s="1" t="str" cm="1">
        <f t="array" ref="I3">GetValue("Dmn","Name",I2)</f>
        <v>Boolean</v>
      </c>
      <c r="J3" s="1" t="str" cm="1">
        <f t="array" ref="J3">GetValue("Dmn","Name",J2)</f>
        <v>Boolean</v>
      </c>
      <c r="K3" s="1" t="str" cm="1">
        <f t="array" ref="K3">GetValue("Dmn","Name",K2)</f>
        <v>Boolean</v>
      </c>
      <c r="L3" s="1" t="str" cm="1">
        <f t="array" ref="L3">GetValue("Dmn","Name",L2)</f>
        <v>Boolean</v>
      </c>
    </row>
    <row r="4" spans="1:12">
      <c r="A4">
        <f>ROW(A4)-3</f>
        <v>1</v>
      </c>
      <c r="B4">
        <v>2</v>
      </c>
      <c r="C4" t="str" cm="1">
        <f t="array" ref="C4">GetValue("Cat","Name",B4)</f>
        <v>number</v>
      </c>
      <c r="D4" t="s">
        <v>384</v>
      </c>
      <c r="E4" s="5">
        <v>-9007199254740990</v>
      </c>
      <c r="F4" s="5">
        <v>9007199254740990</v>
      </c>
      <c r="G4" t="b">
        <v>0</v>
      </c>
      <c r="H4" t="b">
        <v>0</v>
      </c>
      <c r="I4" t="b">
        <v>1</v>
      </c>
      <c r="J4" t="b">
        <v>1</v>
      </c>
      <c r="K4" t="b">
        <v>1</v>
      </c>
      <c r="L4" t="b">
        <v>1</v>
      </c>
    </row>
    <row r="5" spans="1:12">
      <c r="A5">
        <f t="shared" ref="A5:A44" si="0">ROW(A5)-3</f>
        <v>2</v>
      </c>
      <c r="B5">
        <v>9</v>
      </c>
      <c r="C5" t="str" cm="1">
        <f t="array" ref="C5">GetValue("Cat","Name",B5)</f>
        <v>binary</v>
      </c>
      <c r="D5" t="s">
        <v>676</v>
      </c>
      <c r="E5" s="21"/>
      <c r="F5" s="2" t="s">
        <v>25</v>
      </c>
      <c r="G5" t="b">
        <v>1</v>
      </c>
      <c r="H5" t="b">
        <v>0</v>
      </c>
      <c r="I5" t="b">
        <v>0</v>
      </c>
      <c r="J5" t="b">
        <v>1</v>
      </c>
      <c r="K5" t="b">
        <v>0</v>
      </c>
      <c r="L5" t="b">
        <v>1</v>
      </c>
    </row>
    <row r="6" spans="1:12">
      <c r="A6">
        <f t="shared" si="0"/>
        <v>3</v>
      </c>
      <c r="B6">
        <v>7</v>
      </c>
      <c r="C6" t="str" cm="1">
        <f t="array" ref="C6">GetValue("Cat","Name",B6)</f>
        <v>boolean</v>
      </c>
      <c r="D6" t="s">
        <v>386</v>
      </c>
      <c r="E6" s="2" t="s">
        <v>25</v>
      </c>
      <c r="F6" s="2" t="s">
        <v>25</v>
      </c>
      <c r="G6" t="b">
        <v>0</v>
      </c>
      <c r="H6" t="b">
        <v>0</v>
      </c>
      <c r="I6" t="b">
        <v>1</v>
      </c>
      <c r="J6" t="b">
        <v>0</v>
      </c>
      <c r="K6" t="b">
        <v>1</v>
      </c>
      <c r="L6" t="b">
        <v>1</v>
      </c>
    </row>
    <row r="7" spans="1:12">
      <c r="A7">
        <f t="shared" si="0"/>
        <v>4</v>
      </c>
      <c r="B7">
        <v>1</v>
      </c>
      <c r="C7" t="str" cm="1">
        <f t="array" ref="C7">GetValue("Cat","Name",B7)</f>
        <v>string</v>
      </c>
      <c r="D7" t="s">
        <v>273</v>
      </c>
      <c r="E7" s="2" t="s">
        <v>25</v>
      </c>
      <c r="F7" s="2" t="s">
        <v>25</v>
      </c>
      <c r="G7" t="b">
        <v>1</v>
      </c>
      <c r="H7" t="b">
        <v>0</v>
      </c>
      <c r="I7" t="b">
        <v>1</v>
      </c>
      <c r="J7" t="b">
        <v>0</v>
      </c>
      <c r="K7" t="b">
        <v>1</v>
      </c>
      <c r="L7" t="b">
        <v>1</v>
      </c>
    </row>
    <row r="8" spans="1:12">
      <c r="A8">
        <f t="shared" si="0"/>
        <v>5</v>
      </c>
      <c r="B8">
        <v>3</v>
      </c>
      <c r="C8" t="str" cm="1">
        <f t="array" ref="C8">GetValue("Cat","Name",B8)</f>
        <v>date</v>
      </c>
      <c r="D8" t="s">
        <v>8</v>
      </c>
      <c r="E8" s="4" t="s">
        <v>129</v>
      </c>
      <c r="F8" s="4" t="s">
        <v>130</v>
      </c>
      <c r="G8" t="b">
        <v>0</v>
      </c>
      <c r="H8" t="b">
        <v>0</v>
      </c>
      <c r="I8" t="b">
        <v>1</v>
      </c>
      <c r="J8" t="b">
        <v>0</v>
      </c>
      <c r="K8" t="b">
        <v>1</v>
      </c>
      <c r="L8" t="b">
        <v>1</v>
      </c>
    </row>
    <row r="9" spans="1:12">
      <c r="A9">
        <f t="shared" si="0"/>
        <v>6</v>
      </c>
      <c r="B9">
        <v>4</v>
      </c>
      <c r="C9" t="str" cm="1">
        <f t="array" ref="C9">GetValue("Cat","Name",B9)</f>
        <v>datetime</v>
      </c>
      <c r="D9" t="s">
        <v>9</v>
      </c>
      <c r="E9" s="4" t="s">
        <v>131</v>
      </c>
      <c r="F9" s="4" t="s">
        <v>132</v>
      </c>
      <c r="G9" t="b">
        <v>0</v>
      </c>
      <c r="H9" t="b">
        <v>0</v>
      </c>
      <c r="I9" t="b">
        <v>1</v>
      </c>
      <c r="J9" t="b">
        <v>0</v>
      </c>
      <c r="K9" t="b">
        <v>1</v>
      </c>
      <c r="L9" t="b">
        <v>1</v>
      </c>
    </row>
    <row r="10" spans="1:12">
      <c r="A10">
        <f t="shared" si="0"/>
        <v>7</v>
      </c>
      <c r="B10">
        <v>4</v>
      </c>
      <c r="C10" t="str" cm="1">
        <f t="array" ref="C10">GetValue("Cat","Name",B10)</f>
        <v>datetime</v>
      </c>
      <c r="D10" t="s">
        <v>274</v>
      </c>
      <c r="E10" s="4" t="s">
        <v>133</v>
      </c>
      <c r="F10" s="4" t="s">
        <v>134</v>
      </c>
      <c r="G10" t="b">
        <v>0</v>
      </c>
      <c r="H10" t="b">
        <v>0</v>
      </c>
      <c r="I10" t="b">
        <v>1</v>
      </c>
      <c r="J10" t="b">
        <v>0</v>
      </c>
      <c r="K10" t="b">
        <v>1</v>
      </c>
      <c r="L10" t="b">
        <v>1</v>
      </c>
    </row>
    <row r="11" spans="1:12">
      <c r="A11">
        <f t="shared" si="0"/>
        <v>8</v>
      </c>
      <c r="B11">
        <v>4</v>
      </c>
      <c r="C11" t="str" cm="1">
        <f t="array" ref="C11">GetValue("Cat","Name",B11)</f>
        <v>datetime</v>
      </c>
      <c r="D11" t="s">
        <v>275</v>
      </c>
      <c r="E11" s="4" t="s">
        <v>133</v>
      </c>
      <c r="F11" s="4" t="s">
        <v>134</v>
      </c>
      <c r="G11" t="b">
        <v>0</v>
      </c>
      <c r="H11" t="b">
        <v>0</v>
      </c>
      <c r="I11" t="b">
        <v>1</v>
      </c>
      <c r="J11" t="b">
        <v>0</v>
      </c>
      <c r="K11" t="b">
        <v>1</v>
      </c>
      <c r="L11" t="b">
        <v>1</v>
      </c>
    </row>
    <row r="12" spans="1:12">
      <c r="A12">
        <f t="shared" si="0"/>
        <v>9</v>
      </c>
      <c r="B12">
        <v>2</v>
      </c>
      <c r="C12" t="str" cm="1">
        <f t="array" ref="C12">GetValue("Cat","Name",B12)</f>
        <v>number</v>
      </c>
      <c r="D12" t="s">
        <v>645</v>
      </c>
      <c r="E12" s="5">
        <v>-9007199254740990</v>
      </c>
      <c r="F12" s="5">
        <v>9007199254740990</v>
      </c>
      <c r="G12" t="b">
        <v>1</v>
      </c>
      <c r="H12" t="b">
        <v>0</v>
      </c>
      <c r="I12" t="b">
        <v>1</v>
      </c>
      <c r="J12" t="b">
        <v>1</v>
      </c>
      <c r="K12" t="b">
        <v>1</v>
      </c>
      <c r="L12" t="b">
        <v>1</v>
      </c>
    </row>
    <row r="13" spans="1:12">
      <c r="A13">
        <f t="shared" si="0"/>
        <v>10</v>
      </c>
      <c r="B13">
        <v>2</v>
      </c>
      <c r="C13" t="str" cm="1">
        <f t="array" ref="C13">GetValue("Cat","Name",B13)</f>
        <v>number</v>
      </c>
      <c r="D13" t="s">
        <v>276</v>
      </c>
      <c r="E13" s="5">
        <v>-9007199254740990</v>
      </c>
      <c r="F13" s="5">
        <v>9007199254740990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</row>
    <row r="14" spans="1:12">
      <c r="A14">
        <f t="shared" si="0"/>
        <v>11</v>
      </c>
      <c r="B14">
        <v>2</v>
      </c>
      <c r="C14" t="str" cm="1">
        <f t="array" ref="C14">GetValue("Cat","Name",B14)</f>
        <v>number</v>
      </c>
      <c r="D14" t="s">
        <v>277</v>
      </c>
      <c r="E14" s="5">
        <v>-9007199254740990</v>
      </c>
      <c r="F14" s="5">
        <v>9007199254740990</v>
      </c>
      <c r="G14" t="b">
        <v>0</v>
      </c>
      <c r="H14" t="b">
        <v>0</v>
      </c>
      <c r="I14" t="b">
        <v>1</v>
      </c>
      <c r="J14" t="b">
        <v>0</v>
      </c>
      <c r="K14" t="b">
        <v>1</v>
      </c>
      <c r="L14" t="b">
        <v>1</v>
      </c>
    </row>
    <row r="15" spans="1:12">
      <c r="A15">
        <f t="shared" si="0"/>
        <v>12</v>
      </c>
      <c r="B15">
        <v>6</v>
      </c>
      <c r="C15" t="str" cm="1">
        <f t="array" ref="C15">GetValue("Cat","Name",B15)</f>
        <v>text</v>
      </c>
      <c r="D15" t="s">
        <v>32</v>
      </c>
      <c r="E15" s="2" t="s">
        <v>25</v>
      </c>
      <c r="F15" s="2" t="s">
        <v>25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</row>
    <row r="16" spans="1:12">
      <c r="A16">
        <f t="shared" si="0"/>
        <v>13</v>
      </c>
      <c r="B16">
        <v>6</v>
      </c>
      <c r="C16" t="str" cm="1">
        <f t="array" ref="C16">GetValue("Cat","Name",B16)</f>
        <v>text</v>
      </c>
      <c r="D16" t="s">
        <v>33</v>
      </c>
      <c r="E16" s="2" t="s">
        <v>25</v>
      </c>
      <c r="F16" s="2" t="s">
        <v>25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</row>
    <row r="17" spans="1:12">
      <c r="A17">
        <f t="shared" si="0"/>
        <v>14</v>
      </c>
      <c r="B17">
        <v>1</v>
      </c>
      <c r="C17" t="str" cm="1">
        <f t="array" ref="C17">GetValue("Cat","Name",B17)</f>
        <v>string</v>
      </c>
      <c r="D17" t="s">
        <v>34</v>
      </c>
      <c r="E17" s="2" t="s">
        <v>25</v>
      </c>
      <c r="F17" s="2" t="s">
        <v>25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</row>
    <row r="18" spans="1:12">
      <c r="A18">
        <f t="shared" si="0"/>
        <v>15</v>
      </c>
      <c r="B18">
        <v>8</v>
      </c>
      <c r="C18" t="str" cm="1">
        <f t="array" ref="C18">GetValue("Cat","Name",B18)</f>
        <v>image</v>
      </c>
      <c r="D18" t="s">
        <v>12</v>
      </c>
      <c r="E18" s="2" t="s">
        <v>25</v>
      </c>
      <c r="F18" s="2" t="s">
        <v>25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1</v>
      </c>
    </row>
    <row r="19" spans="1:12">
      <c r="A19">
        <f t="shared" si="0"/>
        <v>16</v>
      </c>
      <c r="B19">
        <v>2</v>
      </c>
      <c r="C19" t="str" cm="1">
        <f t="array" ref="C19">GetValue("Cat","Name",B19)</f>
        <v>number</v>
      </c>
      <c r="D19" t="s">
        <v>272</v>
      </c>
      <c r="E19" s="2">
        <v>-2147483648</v>
      </c>
      <c r="F19" s="2">
        <v>2147483647</v>
      </c>
      <c r="G19" t="b">
        <v>0</v>
      </c>
      <c r="H19" t="b">
        <v>0</v>
      </c>
      <c r="I19" t="b">
        <v>1</v>
      </c>
      <c r="J19" t="b">
        <v>1</v>
      </c>
      <c r="K19" t="b">
        <v>1</v>
      </c>
      <c r="L19" t="b">
        <v>1</v>
      </c>
    </row>
    <row r="20" spans="1:12">
      <c r="A20">
        <f t="shared" si="0"/>
        <v>17</v>
      </c>
      <c r="B20">
        <v>2</v>
      </c>
      <c r="C20" t="str" cm="1">
        <f t="array" ref="C20">GetValue("Cat","Name",B20)</f>
        <v>number</v>
      </c>
      <c r="D20" t="s">
        <v>36</v>
      </c>
      <c r="E20" s="5">
        <v>-9007199254740990</v>
      </c>
      <c r="F20" s="5">
        <v>9007199254740990</v>
      </c>
      <c r="G20" t="b">
        <v>0</v>
      </c>
      <c r="H20" t="b">
        <v>0</v>
      </c>
      <c r="I20" t="b">
        <v>1</v>
      </c>
      <c r="J20" t="b">
        <v>0</v>
      </c>
      <c r="K20" t="b">
        <v>1</v>
      </c>
      <c r="L20" t="b">
        <v>0</v>
      </c>
    </row>
    <row r="21" spans="1:12">
      <c r="A21">
        <f t="shared" si="0"/>
        <v>18</v>
      </c>
      <c r="B21">
        <v>1</v>
      </c>
      <c r="C21" t="str" cm="1">
        <f t="array" ref="C21">GetValue("Cat","Name",B21)</f>
        <v>string</v>
      </c>
      <c r="D21" t="s">
        <v>260</v>
      </c>
      <c r="E21" s="2" t="s">
        <v>25</v>
      </c>
      <c r="F21" s="2" t="s">
        <v>25</v>
      </c>
      <c r="G21" t="b">
        <v>1</v>
      </c>
      <c r="H21" t="b">
        <v>0</v>
      </c>
      <c r="I21" t="b">
        <v>1</v>
      </c>
      <c r="J21" t="b">
        <v>0</v>
      </c>
      <c r="K21" t="b">
        <v>1</v>
      </c>
      <c r="L21" t="b">
        <v>1</v>
      </c>
    </row>
    <row r="22" spans="1:12">
      <c r="A22">
        <f t="shared" si="0"/>
        <v>19</v>
      </c>
      <c r="B22">
        <v>6</v>
      </c>
      <c r="C22" t="str" cm="1">
        <f t="array" ref="C22">GetValue("Cat","Name",B22)</f>
        <v>text</v>
      </c>
      <c r="D22" t="s">
        <v>38</v>
      </c>
      <c r="E22" s="2" t="s">
        <v>25</v>
      </c>
      <c r="F22" s="2" t="s">
        <v>25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1</v>
      </c>
    </row>
    <row r="23" spans="1:12">
      <c r="A23">
        <f t="shared" si="0"/>
        <v>20</v>
      </c>
      <c r="B23">
        <v>2</v>
      </c>
      <c r="C23" t="str" cm="1">
        <f t="array" ref="C23">GetValue("Cat","Name",B23)</f>
        <v>number</v>
      </c>
      <c r="D23" t="s">
        <v>644</v>
      </c>
      <c r="E23" s="5">
        <v>-9007199254740990</v>
      </c>
      <c r="F23" s="5">
        <v>9007199254740990</v>
      </c>
      <c r="G23" t="b">
        <v>1</v>
      </c>
      <c r="H23" t="b">
        <v>0</v>
      </c>
      <c r="I23" t="b">
        <v>1</v>
      </c>
      <c r="J23" t="b">
        <v>1</v>
      </c>
      <c r="K23" t="b">
        <v>1</v>
      </c>
      <c r="L23" t="b">
        <v>1</v>
      </c>
    </row>
    <row r="24" spans="1:12">
      <c r="A24">
        <f t="shared" si="0"/>
        <v>21</v>
      </c>
      <c r="B24">
        <v>2</v>
      </c>
      <c r="C24" t="str" cm="1">
        <f t="array" ref="C24">GetValue("Cat","Name",B24)</f>
        <v>number</v>
      </c>
      <c r="D24" t="s">
        <v>259</v>
      </c>
      <c r="E24" s="5">
        <v>-9007199254740990</v>
      </c>
      <c r="F24" s="5">
        <v>9007199254740990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</row>
    <row r="25" spans="1:12">
      <c r="A25">
        <f t="shared" si="0"/>
        <v>22</v>
      </c>
      <c r="B25">
        <v>1</v>
      </c>
      <c r="C25" t="str" cm="1">
        <f t="array" ref="C25">GetValue("Cat","Name",B25)</f>
        <v>string</v>
      </c>
      <c r="D25" t="s">
        <v>263</v>
      </c>
      <c r="E25" s="2" t="s">
        <v>25</v>
      </c>
      <c r="F25" s="2" t="s">
        <v>25</v>
      </c>
      <c r="G25" t="b">
        <v>1</v>
      </c>
      <c r="H25" t="b">
        <v>0</v>
      </c>
      <c r="I25" t="b">
        <v>1</v>
      </c>
      <c r="J25" t="b">
        <v>0</v>
      </c>
      <c r="K25" t="b">
        <v>1</v>
      </c>
      <c r="L25" t="b">
        <v>1</v>
      </c>
    </row>
    <row r="26" spans="1:12">
      <c r="A26">
        <f t="shared" si="0"/>
        <v>23</v>
      </c>
      <c r="B26">
        <v>6</v>
      </c>
      <c r="C26" t="str" cm="1">
        <f t="array" ref="C26">GetValue("Cat","Name",B26)</f>
        <v>text</v>
      </c>
      <c r="D26" t="s">
        <v>120</v>
      </c>
      <c r="E26" s="2" t="s">
        <v>25</v>
      </c>
      <c r="F26" s="2" t="s">
        <v>25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1</v>
      </c>
    </row>
    <row r="27" spans="1:12">
      <c r="A27">
        <f t="shared" si="0"/>
        <v>24</v>
      </c>
      <c r="B27">
        <v>2</v>
      </c>
      <c r="C27" t="str" cm="1">
        <f t="array" ref="C27">GetValue("Cat","Name",B27)</f>
        <v>number</v>
      </c>
      <c r="D27" t="s">
        <v>40</v>
      </c>
      <c r="E27" s="5">
        <v>-9007199254740990</v>
      </c>
      <c r="F27" s="5">
        <v>9007199254740990</v>
      </c>
      <c r="G27" t="b">
        <v>0</v>
      </c>
      <c r="H27" t="b">
        <v>0</v>
      </c>
      <c r="I27" t="b">
        <v>1</v>
      </c>
      <c r="J27" t="b">
        <v>0</v>
      </c>
      <c r="K27" t="b">
        <v>1</v>
      </c>
      <c r="L27" t="b">
        <v>1</v>
      </c>
    </row>
    <row r="28" spans="1:12">
      <c r="A28">
        <f t="shared" si="0"/>
        <v>25</v>
      </c>
      <c r="B28">
        <v>4</v>
      </c>
      <c r="C28" t="str" cm="1">
        <f t="array" ref="C28">GetValue("Cat","Name",B28)</f>
        <v>datetime</v>
      </c>
      <c r="D28" t="s">
        <v>41</v>
      </c>
      <c r="E28" s="4" t="s">
        <v>135</v>
      </c>
      <c r="F28" s="4" t="s">
        <v>136</v>
      </c>
      <c r="G28" t="b">
        <v>0</v>
      </c>
      <c r="H28" t="b">
        <v>0</v>
      </c>
      <c r="I28" t="b">
        <v>1</v>
      </c>
      <c r="J28" t="b">
        <v>0</v>
      </c>
      <c r="K28" t="b">
        <v>1</v>
      </c>
      <c r="L28" t="b">
        <v>1</v>
      </c>
    </row>
    <row r="29" spans="1:12">
      <c r="A29">
        <f t="shared" si="0"/>
        <v>26</v>
      </c>
      <c r="B29">
        <v>2</v>
      </c>
      <c r="C29" t="str" cm="1">
        <f t="array" ref="C29">GetValue("Cat","Name",B29)</f>
        <v>number</v>
      </c>
      <c r="D29" t="s">
        <v>387</v>
      </c>
      <c r="E29" s="2">
        <v>-32768</v>
      </c>
      <c r="F29" s="2">
        <v>32767</v>
      </c>
      <c r="G29" t="b">
        <v>0</v>
      </c>
      <c r="H29" t="b">
        <v>0</v>
      </c>
      <c r="I29" t="b">
        <v>1</v>
      </c>
      <c r="J29" t="b">
        <v>1</v>
      </c>
      <c r="K29" t="b">
        <v>1</v>
      </c>
      <c r="L29" t="b">
        <v>1</v>
      </c>
    </row>
    <row r="30" spans="1:12">
      <c r="A30">
        <f t="shared" si="0"/>
        <v>27</v>
      </c>
      <c r="B30">
        <v>2</v>
      </c>
      <c r="C30" t="str" cm="1">
        <f t="array" ref="C30">GetValue("Cat","Name",B30)</f>
        <v>number</v>
      </c>
      <c r="D30" t="s">
        <v>43</v>
      </c>
      <c r="E30" s="2">
        <v>-214748</v>
      </c>
      <c r="F30" s="2">
        <v>214748</v>
      </c>
      <c r="G30" t="b">
        <v>0</v>
      </c>
      <c r="H30" t="b">
        <v>0</v>
      </c>
      <c r="I30" t="b">
        <v>1</v>
      </c>
      <c r="J30" t="b">
        <v>0</v>
      </c>
      <c r="K30" t="b">
        <v>1</v>
      </c>
      <c r="L30" t="b">
        <v>1</v>
      </c>
    </row>
    <row r="31" spans="1:12">
      <c r="A31">
        <f t="shared" si="0"/>
        <v>28</v>
      </c>
      <c r="B31">
        <v>10</v>
      </c>
      <c r="C31" t="str" cm="1">
        <f t="array" ref="C31">GetValue("Cat","Name",B31)</f>
        <v>undefined</v>
      </c>
      <c r="D31" t="s">
        <v>44</v>
      </c>
      <c r="E31" s="2" t="s">
        <v>25</v>
      </c>
      <c r="F31" s="2" t="s">
        <v>25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1</v>
      </c>
    </row>
    <row r="32" spans="1:12">
      <c r="A32">
        <f t="shared" si="0"/>
        <v>29</v>
      </c>
      <c r="B32">
        <v>1</v>
      </c>
      <c r="C32" t="str" cm="1">
        <f t="array" ref="C32">GetValue("Cat","Name",B32)</f>
        <v>string</v>
      </c>
      <c r="D32" t="s">
        <v>45</v>
      </c>
      <c r="E32" s="2" t="s">
        <v>25</v>
      </c>
      <c r="F32" s="2" t="s">
        <v>25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</row>
    <row r="33" spans="1:12">
      <c r="A33">
        <f t="shared" si="0"/>
        <v>30</v>
      </c>
      <c r="B33">
        <v>6</v>
      </c>
      <c r="C33" t="str" cm="1">
        <f t="array" ref="C33">GetValue("Cat","Name",B33)</f>
        <v>text</v>
      </c>
      <c r="D33" t="s">
        <v>6</v>
      </c>
      <c r="E33" s="2" t="s">
        <v>25</v>
      </c>
      <c r="F33" s="2" t="s">
        <v>25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1</v>
      </c>
    </row>
    <row r="34" spans="1:12">
      <c r="A34">
        <f t="shared" si="0"/>
        <v>31</v>
      </c>
      <c r="B34">
        <v>5</v>
      </c>
      <c r="C34" t="str" cm="1">
        <f t="array" ref="C34">GetValue("Cat","Name",B34)</f>
        <v>time</v>
      </c>
      <c r="D34" t="s">
        <v>278</v>
      </c>
      <c r="E34" s="4" t="s">
        <v>137</v>
      </c>
      <c r="F34" s="4" t="s">
        <v>138</v>
      </c>
      <c r="G34" t="b">
        <v>0</v>
      </c>
      <c r="H34" t="b">
        <v>0</v>
      </c>
      <c r="I34" t="b">
        <v>1</v>
      </c>
      <c r="J34" t="b">
        <v>0</v>
      </c>
      <c r="K34" t="b">
        <v>1</v>
      </c>
      <c r="L34" t="b">
        <v>1</v>
      </c>
    </row>
    <row r="35" spans="1:12">
      <c r="A35">
        <f t="shared" si="0"/>
        <v>32</v>
      </c>
      <c r="B35">
        <v>4</v>
      </c>
      <c r="C35" t="str" cm="1">
        <f t="array" ref="C35">GetValue("Cat","Name",B35)</f>
        <v>datetime</v>
      </c>
      <c r="D35" t="s">
        <v>46</v>
      </c>
      <c r="E35" s="4" t="s">
        <v>25</v>
      </c>
      <c r="F35" s="4"/>
      <c r="G35" t="b">
        <v>0</v>
      </c>
      <c r="H35" t="b">
        <v>0</v>
      </c>
      <c r="I35" t="b">
        <v>1</v>
      </c>
      <c r="J35" t="b">
        <v>0</v>
      </c>
      <c r="K35" t="b">
        <v>1</v>
      </c>
      <c r="L35" t="b">
        <v>0</v>
      </c>
    </row>
    <row r="36" spans="1:12">
      <c r="A36">
        <f t="shared" si="0"/>
        <v>33</v>
      </c>
      <c r="B36">
        <v>2</v>
      </c>
      <c r="C36" t="str" cm="1">
        <f t="array" ref="C36">GetValue("Cat","Name",B36)</f>
        <v>number</v>
      </c>
      <c r="D36" t="s">
        <v>385</v>
      </c>
      <c r="E36" s="2">
        <v>0</v>
      </c>
      <c r="F36" s="2">
        <v>255</v>
      </c>
      <c r="G36" t="b">
        <v>0</v>
      </c>
      <c r="H36" t="b">
        <v>0</v>
      </c>
      <c r="I36" t="b">
        <v>1</v>
      </c>
      <c r="J36" t="b">
        <v>1</v>
      </c>
      <c r="K36" t="b">
        <v>1</v>
      </c>
      <c r="L36" t="b">
        <v>1</v>
      </c>
    </row>
    <row r="37" spans="1:12">
      <c r="A37">
        <f t="shared" si="0"/>
        <v>34</v>
      </c>
      <c r="B37">
        <v>1</v>
      </c>
      <c r="C37" t="str" cm="1">
        <f t="array" ref="C37">GetValue("Cat","Name",B37)</f>
        <v>string</v>
      </c>
      <c r="D37" t="s">
        <v>48</v>
      </c>
      <c r="E37" s="2" t="s">
        <v>25</v>
      </c>
      <c r="F37" s="2" t="s">
        <v>25</v>
      </c>
      <c r="G37" t="b">
        <v>0</v>
      </c>
      <c r="H37" t="b">
        <v>0</v>
      </c>
      <c r="I37" t="b">
        <v>1</v>
      </c>
      <c r="J37" t="b">
        <v>0</v>
      </c>
      <c r="K37" t="b">
        <v>1</v>
      </c>
      <c r="L37" t="b">
        <v>1</v>
      </c>
    </row>
    <row r="38" spans="1:12">
      <c r="A38">
        <f t="shared" si="0"/>
        <v>35</v>
      </c>
      <c r="B38">
        <v>9</v>
      </c>
      <c r="C38" t="str" cm="1">
        <f t="array" ref="C38">GetValue("Cat","Name",B38)</f>
        <v>binary</v>
      </c>
      <c r="D38" t="s">
        <v>262</v>
      </c>
      <c r="E38" s="2" t="s">
        <v>25</v>
      </c>
      <c r="F38" s="2" t="s">
        <v>25</v>
      </c>
      <c r="G38" t="b">
        <v>1</v>
      </c>
      <c r="H38" t="b">
        <v>0</v>
      </c>
      <c r="I38" t="b">
        <v>1</v>
      </c>
      <c r="J38" t="b">
        <v>0</v>
      </c>
      <c r="K38" t="b">
        <v>1</v>
      </c>
      <c r="L38" t="b">
        <v>1</v>
      </c>
    </row>
    <row r="39" spans="1:12">
      <c r="A39">
        <f t="shared" si="0"/>
        <v>36</v>
      </c>
      <c r="B39">
        <v>9</v>
      </c>
      <c r="C39" t="str" cm="1">
        <f t="array" ref="C39">GetValue("Cat","Name",B39)</f>
        <v>binary</v>
      </c>
      <c r="D39" t="s">
        <v>121</v>
      </c>
      <c r="E39" s="2" t="s">
        <v>25</v>
      </c>
      <c r="F39" s="2" t="s">
        <v>25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1</v>
      </c>
    </row>
    <row r="40" spans="1:12">
      <c r="A40">
        <f t="shared" si="0"/>
        <v>37</v>
      </c>
      <c r="B40">
        <v>1</v>
      </c>
      <c r="C40" t="str" cm="1">
        <f t="array" ref="C40">GetValue("Cat","Name",B40)</f>
        <v>string</v>
      </c>
      <c r="D40" t="s">
        <v>261</v>
      </c>
      <c r="E40" s="2" t="s">
        <v>25</v>
      </c>
      <c r="F40" s="2" t="s">
        <v>25</v>
      </c>
      <c r="G40" t="b">
        <v>1</v>
      </c>
      <c r="H40" t="b">
        <v>0</v>
      </c>
      <c r="I40" t="b">
        <v>1</v>
      </c>
      <c r="J40" t="b">
        <v>0</v>
      </c>
      <c r="K40" t="b">
        <v>1</v>
      </c>
      <c r="L40" t="b">
        <v>1</v>
      </c>
    </row>
    <row r="41" spans="1:12">
      <c r="A41">
        <f t="shared" si="0"/>
        <v>38</v>
      </c>
      <c r="B41">
        <v>6</v>
      </c>
      <c r="C41" t="str" cm="1">
        <f t="array" ref="C41">GetValue("Cat","Name",B41)</f>
        <v>text</v>
      </c>
      <c r="D41" t="s">
        <v>119</v>
      </c>
      <c r="E41" s="2" t="s">
        <v>25</v>
      </c>
      <c r="F41" s="2" t="s">
        <v>25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1</v>
      </c>
    </row>
    <row r="42" spans="1:12">
      <c r="A42">
        <f t="shared" si="0"/>
        <v>39</v>
      </c>
      <c r="B42">
        <v>6</v>
      </c>
      <c r="C42" t="str" cm="1">
        <f t="array" ref="C42">GetValue("Cat","Name",B42)</f>
        <v>text</v>
      </c>
      <c r="D42" t="s">
        <v>51</v>
      </c>
      <c r="E42" s="2" t="s">
        <v>25</v>
      </c>
      <c r="F42" s="2" t="s">
        <v>25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1</v>
      </c>
    </row>
    <row r="43" spans="1:12">
      <c r="A43">
        <f t="shared" si="0"/>
        <v>40</v>
      </c>
      <c r="B43">
        <v>6</v>
      </c>
      <c r="C43" t="str" cm="1">
        <f t="array" ref="C43">GetValue("Cat","Name",B43)</f>
        <v>text</v>
      </c>
      <c r="D43" t="s">
        <v>143</v>
      </c>
      <c r="E43" s="2" t="s">
        <v>25</v>
      </c>
      <c r="F43" s="2" t="s">
        <v>25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1</v>
      </c>
    </row>
    <row r="44" spans="1:12">
      <c r="A44">
        <f t="shared" si="0"/>
        <v>41</v>
      </c>
      <c r="B44">
        <v>9</v>
      </c>
      <c r="C44" t="str" cm="1">
        <f t="array" ref="C44">GetValue("Cat","Name",B44)</f>
        <v>binary</v>
      </c>
      <c r="D44" t="s">
        <v>675</v>
      </c>
      <c r="E44" s="2" t="s">
        <v>25</v>
      </c>
      <c r="F44" s="2" t="s">
        <v>25</v>
      </c>
      <c r="G44" t="b">
        <v>0</v>
      </c>
      <c r="H44" t="b">
        <v>0</v>
      </c>
      <c r="I44" t="b">
        <v>1</v>
      </c>
      <c r="J44" t="b">
        <v>0</v>
      </c>
      <c r="K44" t="b">
        <v>1</v>
      </c>
      <c r="L44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93B4-3301-4C52-855C-EF9CE5B02B00}">
  <sheetPr codeName="Planilha18"/>
  <dimension ref="A1:I413"/>
  <sheetViews>
    <sheetView zoomScaleNormal="100" workbookViewId="0">
      <pane ySplit="3" topLeftCell="A4" activePane="bottomLeft" state="frozen"/>
      <selection pane="bottomLeft" activeCell="C2" sqref="C2"/>
    </sheetView>
  </sheetViews>
  <sheetFormatPr defaultColWidth="11.44140625" defaultRowHeight="14.4"/>
  <cols>
    <col min="1" max="1" width="7.21875" bestFit="1" customWidth="1"/>
    <col min="2" max="2" width="8.33203125" bestFit="1" customWidth="1"/>
    <col min="3" max="3" width="14" bestFit="1" customWidth="1"/>
    <col min="4" max="4" width="6.77734375" bestFit="1" customWidth="1"/>
    <col min="5" max="5" width="15.21875" bestFit="1" customWidth="1"/>
    <col min="6" max="6" width="37.77734375" bestFit="1" customWidth="1"/>
    <col min="7" max="7" width="7" bestFit="1" customWidth="1"/>
    <col min="8" max="8" width="10.5546875" bestFit="1" customWidth="1"/>
    <col min="9" max="9" width="19.109375" bestFit="1" customWidth="1"/>
  </cols>
  <sheetData>
    <row r="1" spans="1:9" s="1" customFormat="1">
      <c r="A1" s="1" t="s">
        <v>535</v>
      </c>
      <c r="B1" s="7" t="s">
        <v>351</v>
      </c>
      <c r="C1" s="7" t="s">
        <v>178</v>
      </c>
      <c r="D1" s="7" t="s">
        <v>52</v>
      </c>
      <c r="E1" s="7" t="s">
        <v>105</v>
      </c>
      <c r="F1" s="7" t="s">
        <v>0</v>
      </c>
      <c r="G1" s="1" t="s">
        <v>54</v>
      </c>
      <c r="H1" s="1" t="s">
        <v>55</v>
      </c>
      <c r="I1" s="1" t="s">
        <v>706</v>
      </c>
    </row>
    <row r="2" spans="1:9" s="1" customFormat="1">
      <c r="A2" s="1">
        <v>57</v>
      </c>
      <c r="B2" s="25">
        <v>58</v>
      </c>
      <c r="C2" s="25" cm="1">
        <f t="array" ref="C2">GetDomainId("Eng","Name")</f>
        <v>11</v>
      </c>
      <c r="D2" s="25">
        <v>58</v>
      </c>
      <c r="E2" s="25" cm="1">
        <f t="array" ref="E2">GetDomainId("Typ","Name")</f>
        <v>11</v>
      </c>
      <c r="F2" s="25">
        <v>10</v>
      </c>
      <c r="G2" s="1">
        <v>2</v>
      </c>
      <c r="H2" s="1">
        <v>4</v>
      </c>
      <c r="I2" s="1">
        <v>11</v>
      </c>
    </row>
    <row r="3" spans="1:9" s="1" customFormat="1">
      <c r="A3" s="1" t="str" cm="1">
        <f t="array" ref="A3">GetValue("Dmn","Name",A2)</f>
        <v>SmallId</v>
      </c>
      <c r="B3" s="1" t="str" cm="1">
        <f t="array" ref="B3">GetValue("Dmn","Name",B2)</f>
        <v>TinyId</v>
      </c>
      <c r="C3" s="1" t="str" cm="1">
        <f t="array" ref="C3">GetValue("Dmn","Name",C2)</f>
        <v>NVARCHAR(25)</v>
      </c>
      <c r="D3" s="1" t="str" cm="1">
        <f t="array" ref="D3">GetValue("Dmn","Name",D2)</f>
        <v>TinyId</v>
      </c>
      <c r="E3" s="1" t="str" cm="1">
        <f t="array" ref="E3">GetValue("Dmn","Name",E2)</f>
        <v>NVARCHAR(25)</v>
      </c>
      <c r="F3" s="1" t="str" cm="1">
        <f t="array" ref="F3">GetValue("Dmn","Name",F2)</f>
        <v>NVARCHAR(20)</v>
      </c>
      <c r="G3" s="1" t="str" cm="1">
        <f t="array" ref="G3">GetValue("Dmn","Name",G2)</f>
        <v>Integer</v>
      </c>
      <c r="H3" s="1" t="str" cm="1">
        <f t="array" ref="H3">GetValue("Dmn","Name",H2)</f>
        <v>TinyInteger</v>
      </c>
      <c r="I3" s="1" t="str" cm="1">
        <f t="array" ref="I3">GetValue("Dmn","Name",I2)</f>
        <v>NVARCHAR(25)</v>
      </c>
    </row>
    <row r="4" spans="1:9">
      <c r="A4">
        <f>ROW(A4)-3</f>
        <v>1</v>
      </c>
      <c r="B4">
        <v>1</v>
      </c>
      <c r="C4" t="str" cm="1">
        <f t="array" ref="C4">GetValue("Eng","Name",B4)</f>
        <v>SQL Server</v>
      </c>
      <c r="D4">
        <v>1</v>
      </c>
      <c r="E4" t="str" cm="1">
        <f t="array" ref="E4">GetValue("Typ","Name",D4)</f>
        <v>bigint (8 bytes)</v>
      </c>
      <c r="F4" t="s">
        <v>24</v>
      </c>
    </row>
    <row r="5" spans="1:9">
      <c r="A5">
        <f t="shared" ref="A5:A70" si="0">ROW(A5)-3</f>
        <v>2</v>
      </c>
      <c r="B5">
        <v>1</v>
      </c>
      <c r="C5" t="str" cm="1">
        <f t="array" ref="C5">GetValue("Eng","Name",B5)</f>
        <v>SQL Server</v>
      </c>
      <c r="D5">
        <v>2</v>
      </c>
      <c r="E5" t="str" cm="1">
        <f t="array" ref="E5">GetValue("Typ","Name",D5)</f>
        <v>binary(n)</v>
      </c>
      <c r="F5" t="s">
        <v>13</v>
      </c>
    </row>
    <row r="6" spans="1:9">
      <c r="A6">
        <f t="shared" si="0"/>
        <v>3</v>
      </c>
      <c r="B6">
        <v>1</v>
      </c>
      <c r="C6" t="str" cm="1">
        <f t="array" ref="C6">GetValue("Eng","Name",B6)</f>
        <v>SQL Server</v>
      </c>
      <c r="D6">
        <v>3</v>
      </c>
      <c r="E6" t="str" cm="1">
        <f t="array" ref="E6">GetValue("Typ","Name",D6)</f>
        <v>bit (1 bit)</v>
      </c>
      <c r="F6" t="s">
        <v>26</v>
      </c>
    </row>
    <row r="7" spans="1:9">
      <c r="A7">
        <f t="shared" si="0"/>
        <v>4</v>
      </c>
      <c r="B7">
        <v>1</v>
      </c>
      <c r="C7" t="str" cm="1">
        <f t="array" ref="C7">GetValue("Eng","Name",B7)</f>
        <v>SQL Server</v>
      </c>
      <c r="D7">
        <v>4</v>
      </c>
      <c r="E7" t="str" cm="1">
        <f t="array" ref="E7">GetValue("Typ","Name",D7)</f>
        <v>char(n)</v>
      </c>
      <c r="F7" t="s">
        <v>27</v>
      </c>
    </row>
    <row r="8" spans="1:9">
      <c r="A8">
        <f t="shared" si="0"/>
        <v>5</v>
      </c>
      <c r="B8">
        <v>1</v>
      </c>
      <c r="C8" t="str" cm="1">
        <f t="array" ref="C8">GetValue("Eng","Name",B8)</f>
        <v>SQL Server</v>
      </c>
      <c r="D8">
        <v>5</v>
      </c>
      <c r="E8" t="str" cm="1">
        <f t="array" ref="E8">GetValue("Typ","Name",D8)</f>
        <v>date</v>
      </c>
      <c r="F8" t="s">
        <v>8</v>
      </c>
    </row>
    <row r="9" spans="1:9">
      <c r="A9">
        <f t="shared" si="0"/>
        <v>6</v>
      </c>
      <c r="B9">
        <v>1</v>
      </c>
      <c r="C9" t="str" cm="1">
        <f t="array" ref="C9">GetValue("Eng","Name",B9)</f>
        <v>SQL Server</v>
      </c>
      <c r="D9">
        <v>6</v>
      </c>
      <c r="E9" t="str" cm="1">
        <f t="array" ref="E9">GetValue("Typ","Name",D9)</f>
        <v>datetime</v>
      </c>
      <c r="F9" t="s">
        <v>9</v>
      </c>
    </row>
    <row r="10" spans="1:9">
      <c r="A10">
        <f t="shared" si="0"/>
        <v>7</v>
      </c>
      <c r="B10">
        <v>1</v>
      </c>
      <c r="C10" t="str" cm="1">
        <f t="array" ref="C10">GetValue("Eng","Name",B10)</f>
        <v>SQL Server</v>
      </c>
      <c r="D10">
        <v>7</v>
      </c>
      <c r="E10" t="str" cm="1">
        <f t="array" ref="E10">GetValue("Typ","Name",D10)</f>
        <v>datetime2(s)</v>
      </c>
      <c r="F10" t="s">
        <v>28</v>
      </c>
    </row>
    <row r="11" spans="1:9">
      <c r="A11">
        <f t="shared" si="0"/>
        <v>8</v>
      </c>
      <c r="B11">
        <v>1</v>
      </c>
      <c r="C11" t="str" cm="1">
        <f t="array" ref="C11">GetValue("Eng","Name",B11)</f>
        <v>SQL Server</v>
      </c>
      <c r="D11">
        <v>8</v>
      </c>
      <c r="E11" t="str" cm="1">
        <f t="array" ref="E11">GetValue("Typ","Name",D11)</f>
        <v>datetimeoffset(s)</v>
      </c>
      <c r="F11" t="s">
        <v>29</v>
      </c>
    </row>
    <row r="12" spans="1:9">
      <c r="A12">
        <f t="shared" si="0"/>
        <v>9</v>
      </c>
      <c r="B12">
        <v>1</v>
      </c>
      <c r="C12" t="str" cm="1">
        <f t="array" ref="C12">GetValue("Eng","Name",B12)</f>
        <v>SQL Server</v>
      </c>
      <c r="D12">
        <v>9</v>
      </c>
      <c r="E12" t="str" cm="1">
        <f t="array" ref="E12">GetValue("Typ","Name",D12)</f>
        <v>decimal(p,0)</v>
      </c>
      <c r="F12" t="s">
        <v>30</v>
      </c>
      <c r="H12">
        <v>0</v>
      </c>
    </row>
    <row r="13" spans="1:9">
      <c r="A13">
        <f t="shared" si="0"/>
        <v>10</v>
      </c>
      <c r="B13">
        <v>1</v>
      </c>
      <c r="C13" t="str" cm="1">
        <f t="array" ref="C13">GetValue("Eng","Name",B13)</f>
        <v>SQL Server</v>
      </c>
      <c r="D13">
        <v>10</v>
      </c>
      <c r="E13" t="str" cm="1">
        <f t="array" ref="E13">GetValue("Typ","Name",D13)</f>
        <v>decimal(p ,s)</v>
      </c>
      <c r="F13" t="s">
        <v>30</v>
      </c>
    </row>
    <row r="14" spans="1:9">
      <c r="A14">
        <f t="shared" si="0"/>
        <v>11</v>
      </c>
      <c r="B14">
        <v>1</v>
      </c>
      <c r="C14" t="str" cm="1">
        <f t="array" ref="C14">GetValue("Eng","Name",B14)</f>
        <v>SQL Server</v>
      </c>
      <c r="D14">
        <v>11</v>
      </c>
      <c r="E14" t="str" cm="1">
        <f t="array" ref="E14">GetValue("Typ","Name",D14)</f>
        <v>float(n)</v>
      </c>
      <c r="F14" t="s">
        <v>31</v>
      </c>
    </row>
    <row r="15" spans="1:9">
      <c r="A15">
        <f t="shared" si="0"/>
        <v>12</v>
      </c>
      <c r="B15">
        <v>1</v>
      </c>
      <c r="C15" t="str" cm="1">
        <f t="array" ref="C15">GetValue("Eng","Name",B15)</f>
        <v>SQL Server</v>
      </c>
      <c r="D15">
        <v>12</v>
      </c>
      <c r="E15" t="str" cm="1">
        <f t="array" ref="E15">GetValue("Typ","Name",D15)</f>
        <v>geography</v>
      </c>
      <c r="F15" t="s">
        <v>32</v>
      </c>
    </row>
    <row r="16" spans="1:9">
      <c r="A16">
        <f t="shared" si="0"/>
        <v>13</v>
      </c>
      <c r="B16">
        <v>1</v>
      </c>
      <c r="C16" t="str" cm="1">
        <f t="array" ref="C16">GetValue("Eng","Name",B16)</f>
        <v>SQL Server</v>
      </c>
      <c r="D16">
        <v>13</v>
      </c>
      <c r="E16" t="str" cm="1">
        <f t="array" ref="E16">GetValue("Typ","Name",D16)</f>
        <v>geometry</v>
      </c>
      <c r="F16" t="s">
        <v>33</v>
      </c>
    </row>
    <row r="17" spans="1:8">
      <c r="A17">
        <f t="shared" si="0"/>
        <v>14</v>
      </c>
      <c r="B17">
        <v>1</v>
      </c>
      <c r="C17" t="str" cm="1">
        <f t="array" ref="C17">GetValue("Eng","Name",B17)</f>
        <v>SQL Server</v>
      </c>
      <c r="D17">
        <v>14</v>
      </c>
      <c r="E17" t="str" cm="1">
        <f t="array" ref="E17">GetValue("Typ","Name",D17)</f>
        <v>hierarchyid</v>
      </c>
      <c r="F17" t="s">
        <v>34</v>
      </c>
    </row>
    <row r="18" spans="1:8">
      <c r="A18">
        <f t="shared" si="0"/>
        <v>15</v>
      </c>
      <c r="B18">
        <v>1</v>
      </c>
      <c r="C18" t="str" cm="1">
        <f t="array" ref="C18">GetValue("Eng","Name",B18)</f>
        <v>SQL Server</v>
      </c>
      <c r="D18">
        <v>15</v>
      </c>
      <c r="E18" t="str" cm="1">
        <f t="array" ref="E18">GetValue("Typ","Name",D18)</f>
        <v>image</v>
      </c>
      <c r="F18" t="s">
        <v>12</v>
      </c>
    </row>
    <row r="19" spans="1:8">
      <c r="A19">
        <f t="shared" si="0"/>
        <v>16</v>
      </c>
      <c r="B19">
        <v>1</v>
      </c>
      <c r="C19" t="str" cm="1">
        <f t="array" ref="C19">GetValue("Eng","Name",B19)</f>
        <v>SQL Server</v>
      </c>
      <c r="D19">
        <v>16</v>
      </c>
      <c r="E19" t="str" cm="1">
        <f t="array" ref="E19">GetValue("Typ","Name",D19)</f>
        <v>int (4 bytes)</v>
      </c>
      <c r="F19" t="s">
        <v>35</v>
      </c>
    </row>
    <row r="20" spans="1:8">
      <c r="A20">
        <f t="shared" si="0"/>
        <v>17</v>
      </c>
      <c r="B20">
        <v>1</v>
      </c>
      <c r="C20" t="str" cm="1">
        <f t="array" ref="C20">GetValue("Eng","Name",B20)</f>
        <v>SQL Server</v>
      </c>
      <c r="D20">
        <v>17</v>
      </c>
      <c r="E20" t="str" cm="1">
        <f t="array" ref="E20">GetValue("Typ","Name",D20)</f>
        <v>money</v>
      </c>
      <c r="F20" t="s">
        <v>36</v>
      </c>
    </row>
    <row r="21" spans="1:8">
      <c r="A21">
        <f t="shared" si="0"/>
        <v>18</v>
      </c>
      <c r="B21">
        <v>1</v>
      </c>
      <c r="C21" t="str" cm="1">
        <f t="array" ref="C21">GetValue("Eng","Name",B21)</f>
        <v>SQL Server</v>
      </c>
      <c r="D21">
        <v>18</v>
      </c>
      <c r="E21" t="str" cm="1">
        <f t="array" ref="E21">GetValue("Typ","Name",D21)</f>
        <v>nchar(n)</v>
      </c>
      <c r="F21" t="s">
        <v>37</v>
      </c>
    </row>
    <row r="22" spans="1:8">
      <c r="A22">
        <f t="shared" si="0"/>
        <v>19</v>
      </c>
      <c r="B22">
        <v>1</v>
      </c>
      <c r="C22" t="str" cm="1">
        <f t="array" ref="C22">GetValue("Eng","Name",B22)</f>
        <v>SQL Server</v>
      </c>
      <c r="D22">
        <v>19</v>
      </c>
      <c r="E22" t="str" cm="1">
        <f t="array" ref="E22">GetValue("Typ","Name",D22)</f>
        <v>ntext</v>
      </c>
      <c r="F22" t="s">
        <v>38</v>
      </c>
    </row>
    <row r="23" spans="1:8">
      <c r="A23">
        <f t="shared" si="0"/>
        <v>20</v>
      </c>
      <c r="B23">
        <v>1</v>
      </c>
      <c r="C23" t="str" cm="1">
        <f t="array" ref="C23">GetValue("Eng","Name",B23)</f>
        <v>SQL Server</v>
      </c>
      <c r="D23">
        <v>20</v>
      </c>
      <c r="E23" t="str" cm="1">
        <f t="array" ref="E23">GetValue("Typ","Name",D23)</f>
        <v>numeric(p,0)</v>
      </c>
      <c r="F23" t="s">
        <v>7</v>
      </c>
      <c r="H23">
        <v>0</v>
      </c>
    </row>
    <row r="24" spans="1:8">
      <c r="A24">
        <f t="shared" si="0"/>
        <v>21</v>
      </c>
      <c r="B24">
        <v>1</v>
      </c>
      <c r="C24" t="str" cm="1">
        <f t="array" ref="C24">GetValue("Eng","Name",B24)</f>
        <v>SQL Server</v>
      </c>
      <c r="D24">
        <v>21</v>
      </c>
      <c r="E24" t="str" cm="1">
        <f t="array" ref="E24">GetValue("Typ","Name",D24)</f>
        <v>numeric(p,s)</v>
      </c>
      <c r="F24" t="s">
        <v>7</v>
      </c>
    </row>
    <row r="25" spans="1:8">
      <c r="A25">
        <f t="shared" si="0"/>
        <v>22</v>
      </c>
      <c r="B25">
        <v>1</v>
      </c>
      <c r="C25" t="str" cm="1">
        <f t="array" ref="C25">GetValue("Eng","Name",B25)</f>
        <v>SQL Server</v>
      </c>
      <c r="D25">
        <v>22</v>
      </c>
      <c r="E25" t="str" cm="1">
        <f t="array" ref="E25">GetValue("Typ","Name",D25)</f>
        <v>nvarchar(n)</v>
      </c>
      <c r="F25" t="s">
        <v>39</v>
      </c>
    </row>
    <row r="26" spans="1:8">
      <c r="A26">
        <f t="shared" si="0"/>
        <v>23</v>
      </c>
      <c r="B26">
        <v>1</v>
      </c>
      <c r="C26" t="str" cm="1">
        <f t="array" ref="C26">GetValue("Eng","Name",B26)</f>
        <v>SQL Server</v>
      </c>
      <c r="D26">
        <v>23</v>
      </c>
      <c r="E26" t="str" cm="1">
        <f t="array" ref="E26">GetValue("Typ","Name",D26)</f>
        <v>nvarchar(max)</v>
      </c>
      <c r="F26" t="s">
        <v>120</v>
      </c>
    </row>
    <row r="27" spans="1:8">
      <c r="A27">
        <f t="shared" si="0"/>
        <v>24</v>
      </c>
      <c r="B27">
        <v>1</v>
      </c>
      <c r="C27" t="str" cm="1">
        <f t="array" ref="C27">GetValue("Eng","Name",B27)</f>
        <v>SQL Server</v>
      </c>
      <c r="D27">
        <v>24</v>
      </c>
      <c r="E27" t="str" cm="1">
        <f t="array" ref="E27">GetValue("Typ","Name",D27)</f>
        <v>real</v>
      </c>
      <c r="F27" t="s">
        <v>40</v>
      </c>
    </row>
    <row r="28" spans="1:8">
      <c r="A28">
        <f t="shared" si="0"/>
        <v>25</v>
      </c>
      <c r="B28">
        <v>1</v>
      </c>
      <c r="C28" t="str" cm="1">
        <f t="array" ref="C28">GetValue("Eng","Name",B28)</f>
        <v>SQL Server</v>
      </c>
      <c r="D28">
        <v>25</v>
      </c>
      <c r="E28" t="str" cm="1">
        <f t="array" ref="E28">GetValue("Typ","Name",D28)</f>
        <v>smalldatetime</v>
      </c>
      <c r="F28" t="s">
        <v>41</v>
      </c>
    </row>
    <row r="29" spans="1:8">
      <c r="A29">
        <f t="shared" si="0"/>
        <v>26</v>
      </c>
      <c r="B29">
        <v>1</v>
      </c>
      <c r="C29" t="str" cm="1">
        <f t="array" ref="C29">GetValue("Eng","Name",B29)</f>
        <v>SQL Server</v>
      </c>
      <c r="D29">
        <v>26</v>
      </c>
      <c r="E29" t="str" cm="1">
        <f t="array" ref="E29">GetValue("Typ","Name",D29)</f>
        <v>smallint (2 bytes)</v>
      </c>
      <c r="F29" t="s">
        <v>42</v>
      </c>
    </row>
    <row r="30" spans="1:8">
      <c r="A30">
        <f t="shared" si="0"/>
        <v>27</v>
      </c>
      <c r="B30">
        <v>1</v>
      </c>
      <c r="C30" t="str" cm="1">
        <f t="array" ref="C30">GetValue("Eng","Name",B30)</f>
        <v>SQL Server</v>
      </c>
      <c r="D30">
        <v>27</v>
      </c>
      <c r="E30" t="str" cm="1">
        <f t="array" ref="E30">GetValue("Typ","Name",D30)</f>
        <v>smallmoney</v>
      </c>
      <c r="F30" t="s">
        <v>43</v>
      </c>
    </row>
    <row r="31" spans="1:8">
      <c r="A31">
        <f t="shared" si="0"/>
        <v>28</v>
      </c>
      <c r="B31">
        <v>1</v>
      </c>
      <c r="C31" t="str" cm="1">
        <f t="array" ref="C31">GetValue("Eng","Name",B31)</f>
        <v>SQL Server</v>
      </c>
      <c r="D31">
        <v>28</v>
      </c>
      <c r="E31" t="str" cm="1">
        <f t="array" ref="E31">GetValue("Typ","Name",D31)</f>
        <v>sql_variant</v>
      </c>
      <c r="F31" t="s">
        <v>44</v>
      </c>
    </row>
    <row r="32" spans="1:8">
      <c r="A32">
        <f t="shared" si="0"/>
        <v>29</v>
      </c>
      <c r="B32">
        <v>1</v>
      </c>
      <c r="C32" t="str" cm="1">
        <f t="array" ref="C32">GetValue("Eng","Name",B32)</f>
        <v>SQL Server</v>
      </c>
      <c r="D32">
        <v>29</v>
      </c>
      <c r="E32" t="str" cm="1">
        <f t="array" ref="E32">GetValue("Typ","Name",D32)</f>
        <v>sysname</v>
      </c>
      <c r="F32" t="s">
        <v>45</v>
      </c>
    </row>
    <row r="33" spans="1:6">
      <c r="A33">
        <f t="shared" si="0"/>
        <v>30</v>
      </c>
      <c r="B33">
        <v>1</v>
      </c>
      <c r="C33" t="str" cm="1">
        <f t="array" ref="C33">GetValue("Eng","Name",B33)</f>
        <v>SQL Server</v>
      </c>
      <c r="D33">
        <v>30</v>
      </c>
      <c r="E33" t="str" cm="1">
        <f t="array" ref="E33">GetValue("Typ","Name",D33)</f>
        <v>text</v>
      </c>
      <c r="F33" t="s">
        <v>6</v>
      </c>
    </row>
    <row r="34" spans="1:6">
      <c r="A34">
        <f t="shared" si="0"/>
        <v>31</v>
      </c>
      <c r="B34">
        <v>1</v>
      </c>
      <c r="C34" t="str" cm="1">
        <f t="array" ref="C34">GetValue("Eng","Name",B34)</f>
        <v>SQL Server</v>
      </c>
      <c r="D34">
        <v>31</v>
      </c>
      <c r="E34" t="str" cm="1">
        <f t="array" ref="E34">GetValue("Typ","Name",D34)</f>
        <v>time(s)</v>
      </c>
      <c r="F34" t="s">
        <v>11</v>
      </c>
    </row>
    <row r="35" spans="1:6">
      <c r="A35">
        <f t="shared" si="0"/>
        <v>32</v>
      </c>
      <c r="B35">
        <v>1</v>
      </c>
      <c r="C35" t="str" cm="1">
        <f t="array" ref="C35">GetValue("Eng","Name",B35)</f>
        <v>SQL Server</v>
      </c>
      <c r="D35">
        <v>32</v>
      </c>
      <c r="E35" t="str" cm="1">
        <f t="array" ref="E35">GetValue("Typ","Name",D35)</f>
        <v>timestamp</v>
      </c>
      <c r="F35" t="s">
        <v>46</v>
      </c>
    </row>
    <row r="36" spans="1:6">
      <c r="A36">
        <f t="shared" si="0"/>
        <v>33</v>
      </c>
      <c r="B36">
        <v>1</v>
      </c>
      <c r="C36" t="str" cm="1">
        <f t="array" ref="C36">GetValue("Eng","Name",B36)</f>
        <v>SQL Server</v>
      </c>
      <c r="D36">
        <v>33</v>
      </c>
      <c r="E36" t="str" cm="1">
        <f t="array" ref="E36">GetValue("Typ","Name",D36)</f>
        <v>tinyint (1 byte)</v>
      </c>
      <c r="F36" t="s">
        <v>47</v>
      </c>
    </row>
    <row r="37" spans="1:6">
      <c r="A37">
        <f t="shared" si="0"/>
        <v>34</v>
      </c>
      <c r="B37">
        <v>1</v>
      </c>
      <c r="C37" t="str" cm="1">
        <f t="array" ref="C37">GetValue("Eng","Name",B37)</f>
        <v>SQL Server</v>
      </c>
      <c r="D37">
        <v>34</v>
      </c>
      <c r="E37" t="str" cm="1">
        <f t="array" ref="E37">GetValue("Typ","Name",D37)</f>
        <v>uniqueidentifier</v>
      </c>
      <c r="F37" t="s">
        <v>48</v>
      </c>
    </row>
    <row r="38" spans="1:6">
      <c r="A38">
        <f t="shared" si="0"/>
        <v>35</v>
      </c>
      <c r="B38">
        <v>1</v>
      </c>
      <c r="C38" t="str" cm="1">
        <f t="array" ref="C38">GetValue("Eng","Name",B38)</f>
        <v>SQL Server</v>
      </c>
      <c r="D38">
        <v>35</v>
      </c>
      <c r="E38" t="str" cm="1">
        <f t="array" ref="E38">GetValue("Typ","Name",D38)</f>
        <v>varbinary(n)</v>
      </c>
      <c r="F38" t="s">
        <v>49</v>
      </c>
    </row>
    <row r="39" spans="1:6">
      <c r="A39">
        <f t="shared" si="0"/>
        <v>36</v>
      </c>
      <c r="B39">
        <v>1</v>
      </c>
      <c r="C39" t="str" cm="1">
        <f t="array" ref="C39">GetValue("Eng","Name",B39)</f>
        <v>SQL Server</v>
      </c>
      <c r="D39">
        <v>36</v>
      </c>
      <c r="E39" t="str" cm="1">
        <f t="array" ref="E39">GetValue("Typ","Name",D39)</f>
        <v>varbinary(max)</v>
      </c>
      <c r="F39" t="s">
        <v>121</v>
      </c>
    </row>
    <row r="40" spans="1:6">
      <c r="A40">
        <f t="shared" si="0"/>
        <v>37</v>
      </c>
      <c r="B40">
        <v>1</v>
      </c>
      <c r="C40" t="str" cm="1">
        <f t="array" ref="C40">GetValue("Eng","Name",B40)</f>
        <v>SQL Server</v>
      </c>
      <c r="D40">
        <v>37</v>
      </c>
      <c r="E40" t="str" cm="1">
        <f t="array" ref="E40">GetValue("Typ","Name",D40)</f>
        <v>varchar(n)</v>
      </c>
      <c r="F40" t="s">
        <v>50</v>
      </c>
    </row>
    <row r="41" spans="1:6">
      <c r="A41">
        <f t="shared" si="0"/>
        <v>38</v>
      </c>
      <c r="B41">
        <v>1</v>
      </c>
      <c r="C41" t="str" cm="1">
        <f t="array" ref="C41">GetValue("Eng","Name",B41)</f>
        <v>SQL Server</v>
      </c>
      <c r="D41">
        <v>38</v>
      </c>
      <c r="E41" t="str" cm="1">
        <f t="array" ref="E41">GetValue("Typ","Name",D41)</f>
        <v>varchar(max)</v>
      </c>
      <c r="F41" t="s">
        <v>119</v>
      </c>
    </row>
    <row r="42" spans="1:6">
      <c r="A42">
        <f t="shared" si="0"/>
        <v>39</v>
      </c>
      <c r="B42">
        <v>1</v>
      </c>
      <c r="C42" t="str" cm="1">
        <f t="array" ref="C42">GetValue("Eng","Name",B42)</f>
        <v>SQL Server</v>
      </c>
      <c r="D42">
        <v>39</v>
      </c>
      <c r="E42" t="str" cm="1">
        <f t="array" ref="E42">GetValue("Typ","Name",D42)</f>
        <v>xml</v>
      </c>
      <c r="F42" t="s">
        <v>51</v>
      </c>
    </row>
    <row r="43" spans="1:6">
      <c r="A43">
        <f t="shared" si="0"/>
        <v>40</v>
      </c>
      <c r="B43">
        <v>1</v>
      </c>
      <c r="C43" t="str" cm="1">
        <f t="array" ref="C43">GetValue("Eng","Name",B43)</f>
        <v>SQL Server</v>
      </c>
      <c r="D43">
        <v>40</v>
      </c>
      <c r="E43" t="str" cm="1">
        <f t="array" ref="E43">GetValue("Typ","Name",D43)</f>
        <v>json</v>
      </c>
      <c r="F43" t="s">
        <v>120</v>
      </c>
    </row>
    <row r="44" spans="1:6">
      <c r="A44">
        <f t="shared" si="0"/>
        <v>41</v>
      </c>
      <c r="B44">
        <v>1</v>
      </c>
      <c r="C44" t="str" cm="1">
        <f t="array" ref="C44">GetValue("Eng","Name",B44)</f>
        <v>SQL Server</v>
      </c>
      <c r="D44">
        <v>41</v>
      </c>
      <c r="E44" t="str" cm="1">
        <f t="array" ref="E44">GetValue("Typ","Name",D44)</f>
        <v>rowversion</v>
      </c>
      <c r="F44" t="s">
        <v>675</v>
      </c>
    </row>
    <row r="45" spans="1:6">
      <c r="A45">
        <f t="shared" si="0"/>
        <v>42</v>
      </c>
      <c r="B45">
        <v>2</v>
      </c>
      <c r="C45" t="str" cm="1">
        <f t="array" ref="C45">GetValue("Eng","Name",B45)</f>
        <v>MySQL</v>
      </c>
      <c r="D45">
        <v>1</v>
      </c>
      <c r="E45" t="str" cm="1">
        <f t="array" ref="E45">GetValue("Typ","Name",D45)</f>
        <v>bigint (8 bytes)</v>
      </c>
      <c r="F45" t="s">
        <v>151</v>
      </c>
    </row>
    <row r="46" spans="1:6">
      <c r="A46">
        <f t="shared" si="0"/>
        <v>43</v>
      </c>
      <c r="B46">
        <v>2</v>
      </c>
      <c r="C46" t="str" cm="1">
        <f t="array" ref="C46">GetValue("Eng","Name",B46)</f>
        <v>MySQL</v>
      </c>
      <c r="D46">
        <v>2</v>
      </c>
      <c r="E46" t="str" cm="1">
        <f t="array" ref="E46">GetValue("Typ","Name",D46)</f>
        <v>binary(n)</v>
      </c>
      <c r="F46" t="s">
        <v>170</v>
      </c>
    </row>
    <row r="47" spans="1:6">
      <c r="A47">
        <f t="shared" si="0"/>
        <v>44</v>
      </c>
      <c r="B47">
        <v>2</v>
      </c>
      <c r="C47" t="str" cm="1">
        <f t="array" ref="C47">GetValue("Eng","Name",B47)</f>
        <v>MySQL</v>
      </c>
      <c r="D47">
        <v>3</v>
      </c>
      <c r="E47" t="str" cm="1">
        <f t="array" ref="E47">GetValue("Typ","Name",D47)</f>
        <v>bit (1 bit)</v>
      </c>
      <c r="F47" t="s">
        <v>166</v>
      </c>
    </row>
    <row r="48" spans="1:6">
      <c r="A48">
        <f t="shared" si="0"/>
        <v>45</v>
      </c>
      <c r="B48">
        <v>2</v>
      </c>
      <c r="C48" t="str" cm="1">
        <f t="array" ref="C48">GetValue("Eng","Name",B48)</f>
        <v>MySQL</v>
      </c>
      <c r="D48">
        <v>4</v>
      </c>
      <c r="E48" t="str" cm="1">
        <f t="array" ref="E48">GetValue("Typ","Name",D48)</f>
        <v>char(n)</v>
      </c>
      <c r="F48" t="s">
        <v>153</v>
      </c>
    </row>
    <row r="49" spans="1:8">
      <c r="A49">
        <f t="shared" si="0"/>
        <v>46</v>
      </c>
      <c r="B49">
        <v>2</v>
      </c>
      <c r="C49" t="str" cm="1">
        <f t="array" ref="C49">GetValue("Eng","Name",B49)</f>
        <v>MySQL</v>
      </c>
      <c r="D49">
        <v>5</v>
      </c>
      <c r="E49" t="str" cm="1">
        <f t="array" ref="E49">GetValue("Typ","Name",D49)</f>
        <v>date</v>
      </c>
      <c r="F49" t="s">
        <v>154</v>
      </c>
    </row>
    <row r="50" spans="1:8">
      <c r="A50">
        <f t="shared" si="0"/>
        <v>47</v>
      </c>
      <c r="B50">
        <v>2</v>
      </c>
      <c r="C50" t="str" cm="1">
        <f t="array" ref="C50">GetValue("Eng","Name",B50)</f>
        <v>MySQL</v>
      </c>
      <c r="D50">
        <v>6</v>
      </c>
      <c r="E50" t="str" cm="1">
        <f t="array" ref="E50">GetValue("Typ","Name",D50)</f>
        <v>datetime</v>
      </c>
      <c r="F50" t="s">
        <v>171</v>
      </c>
      <c r="G50">
        <v>3</v>
      </c>
    </row>
    <row r="51" spans="1:8">
      <c r="A51">
        <f t="shared" si="0"/>
        <v>48</v>
      </c>
      <c r="B51">
        <v>2</v>
      </c>
      <c r="C51" t="str" cm="1">
        <f t="array" ref="C51">GetValue("Eng","Name",B51)</f>
        <v>MySQL</v>
      </c>
      <c r="D51">
        <v>7</v>
      </c>
      <c r="E51" t="str" cm="1">
        <f t="array" ref="E51">GetValue("Typ","Name",D51)</f>
        <v>datetime2(s)</v>
      </c>
      <c r="F51" t="s">
        <v>171</v>
      </c>
    </row>
    <row r="52" spans="1:8">
      <c r="A52">
        <f t="shared" si="0"/>
        <v>49</v>
      </c>
      <c r="B52">
        <v>2</v>
      </c>
      <c r="C52" t="str" cm="1">
        <f t="array" ref="C52">GetValue("Eng","Name",B52)</f>
        <v>MySQL</v>
      </c>
      <c r="D52">
        <v>8</v>
      </c>
      <c r="E52" t="str" cm="1">
        <f t="array" ref="E52">GetValue("Typ","Name",D52)</f>
        <v>datetimeoffset(s)</v>
      </c>
      <c r="F52" t="s">
        <v>155</v>
      </c>
    </row>
    <row r="53" spans="1:8">
      <c r="A53">
        <f t="shared" si="0"/>
        <v>50</v>
      </c>
      <c r="B53">
        <v>2</v>
      </c>
      <c r="C53" t="str" cm="1">
        <f t="array" ref="C53">GetValue("Eng","Name",B53)</f>
        <v>MySQL</v>
      </c>
      <c r="D53">
        <v>9</v>
      </c>
      <c r="E53" t="str" cm="1">
        <f t="array" ref="E53">GetValue("Typ","Name",D53)</f>
        <v>decimal(p,0)</v>
      </c>
      <c r="F53" t="s">
        <v>191</v>
      </c>
      <c r="H53">
        <v>0</v>
      </c>
    </row>
    <row r="54" spans="1:8">
      <c r="A54">
        <f t="shared" si="0"/>
        <v>51</v>
      </c>
      <c r="B54">
        <v>2</v>
      </c>
      <c r="C54" t="str" cm="1">
        <f t="array" ref="C54">GetValue("Eng","Name",B54)</f>
        <v>MySQL</v>
      </c>
      <c r="D54">
        <v>10</v>
      </c>
      <c r="E54" t="str" cm="1">
        <f t="array" ref="E54">GetValue("Typ","Name",D54)</f>
        <v>decimal(p ,s)</v>
      </c>
      <c r="F54" t="s">
        <v>191</v>
      </c>
    </row>
    <row r="55" spans="1:8">
      <c r="A55">
        <f t="shared" si="0"/>
        <v>52</v>
      </c>
      <c r="B55">
        <v>2</v>
      </c>
      <c r="C55" t="str" cm="1">
        <f t="array" ref="C55">GetValue("Eng","Name",B55)</f>
        <v>MySQL</v>
      </c>
      <c r="D55">
        <v>11</v>
      </c>
      <c r="E55" t="str" cm="1">
        <f t="array" ref="E55">GetValue("Typ","Name",D55)</f>
        <v>float(n)</v>
      </c>
      <c r="F55" t="s">
        <v>157</v>
      </c>
    </row>
    <row r="56" spans="1:8">
      <c r="A56">
        <f t="shared" si="0"/>
        <v>53</v>
      </c>
      <c r="B56">
        <v>2</v>
      </c>
      <c r="C56" t="str" cm="1">
        <f t="array" ref="C56">GetValue("Eng","Name",B56)</f>
        <v>MySQL</v>
      </c>
      <c r="D56">
        <v>12</v>
      </c>
      <c r="E56" t="str" cm="1">
        <f t="array" ref="E56">GetValue("Typ","Name",D56)</f>
        <v>geography</v>
      </c>
      <c r="F56" t="s">
        <v>172</v>
      </c>
    </row>
    <row r="57" spans="1:8">
      <c r="A57">
        <f t="shared" si="0"/>
        <v>54</v>
      </c>
      <c r="B57">
        <v>2</v>
      </c>
      <c r="C57" t="str" cm="1">
        <f t="array" ref="C57">GetValue("Eng","Name",B57)</f>
        <v>MySQL</v>
      </c>
      <c r="D57">
        <v>13</v>
      </c>
      <c r="E57" t="str" cm="1">
        <f t="array" ref="E57">GetValue("Typ","Name",D57)</f>
        <v>geometry</v>
      </c>
      <c r="F57" t="s">
        <v>172</v>
      </c>
    </row>
    <row r="58" spans="1:8">
      <c r="A58">
        <f t="shared" si="0"/>
        <v>55</v>
      </c>
      <c r="B58">
        <v>2</v>
      </c>
      <c r="C58" t="str" cm="1">
        <f t="array" ref="C58">GetValue("Eng","Name",B58)</f>
        <v>MySQL</v>
      </c>
      <c r="D58">
        <v>14</v>
      </c>
      <c r="E58" t="str" cm="1">
        <f t="array" ref="E58">GetValue("Typ","Name",D58)</f>
        <v>hierarchyid</v>
      </c>
      <c r="F58" t="s">
        <v>161</v>
      </c>
      <c r="G58">
        <v>4000</v>
      </c>
    </row>
    <row r="59" spans="1:8">
      <c r="A59">
        <f t="shared" si="0"/>
        <v>56</v>
      </c>
      <c r="B59">
        <v>2</v>
      </c>
      <c r="C59" t="str" cm="1">
        <f t="array" ref="C59">GetValue("Eng","Name",B59)</f>
        <v>MySQL</v>
      </c>
      <c r="D59">
        <v>15</v>
      </c>
      <c r="E59" t="str" cm="1">
        <f t="array" ref="E59">GetValue("Typ","Name",D59)</f>
        <v>image</v>
      </c>
      <c r="F59" t="s">
        <v>173</v>
      </c>
    </row>
    <row r="60" spans="1:8">
      <c r="A60">
        <f t="shared" si="0"/>
        <v>57</v>
      </c>
      <c r="B60">
        <v>2</v>
      </c>
      <c r="C60" t="str" cm="1">
        <f t="array" ref="C60">GetValue("Eng","Name",B60)</f>
        <v>MySQL</v>
      </c>
      <c r="D60">
        <v>16</v>
      </c>
      <c r="E60" t="str" cm="1">
        <f t="array" ref="E60">GetValue("Typ","Name",D60)</f>
        <v>int (4 bytes)</v>
      </c>
      <c r="F60" t="s">
        <v>174</v>
      </c>
    </row>
    <row r="61" spans="1:8">
      <c r="A61">
        <f t="shared" si="0"/>
        <v>58</v>
      </c>
      <c r="B61">
        <v>2</v>
      </c>
      <c r="C61" t="str" cm="1">
        <f t="array" ref="C61">GetValue("Eng","Name",B61)</f>
        <v>MySQL</v>
      </c>
      <c r="D61">
        <v>17</v>
      </c>
      <c r="E61" t="str" cm="1">
        <f t="array" ref="E61">GetValue("Typ","Name",D61)</f>
        <v>money</v>
      </c>
      <c r="F61" t="s">
        <v>191</v>
      </c>
      <c r="G61">
        <v>19</v>
      </c>
      <c r="H61">
        <v>4</v>
      </c>
    </row>
    <row r="62" spans="1:8">
      <c r="A62">
        <f t="shared" si="0"/>
        <v>59</v>
      </c>
      <c r="B62">
        <v>2</v>
      </c>
      <c r="C62" t="str" cm="1">
        <f t="array" ref="C62">GetValue("Eng","Name",B62)</f>
        <v>MySQL</v>
      </c>
      <c r="D62">
        <v>18</v>
      </c>
      <c r="E62" t="str" cm="1">
        <f t="array" ref="E62">GetValue("Typ","Name",D62)</f>
        <v>nchar(n)</v>
      </c>
      <c r="F62" t="s">
        <v>167</v>
      </c>
    </row>
    <row r="63" spans="1:8">
      <c r="A63">
        <f t="shared" si="0"/>
        <v>60</v>
      </c>
      <c r="B63">
        <v>2</v>
      </c>
      <c r="C63" t="str" cm="1">
        <f t="array" ref="C63">GetValue("Eng","Name",B63)</f>
        <v>MySQL</v>
      </c>
      <c r="D63">
        <v>19</v>
      </c>
      <c r="E63" t="str" cm="1">
        <f t="array" ref="E63">GetValue("Typ","Name",D63)</f>
        <v>ntext</v>
      </c>
      <c r="F63" t="s">
        <v>175</v>
      </c>
    </row>
    <row r="64" spans="1:8">
      <c r="A64">
        <f t="shared" si="0"/>
        <v>61</v>
      </c>
      <c r="B64">
        <v>2</v>
      </c>
      <c r="C64" t="str" cm="1">
        <f t="array" ref="C64">GetValue("Eng","Name",B64)</f>
        <v>MySQL</v>
      </c>
      <c r="D64">
        <v>20</v>
      </c>
      <c r="E64" t="str" cm="1">
        <f t="array" ref="E64">GetValue("Typ","Name",D64)</f>
        <v>numeric(p,0)</v>
      </c>
      <c r="F64" t="s">
        <v>192</v>
      </c>
      <c r="H64">
        <v>0</v>
      </c>
    </row>
    <row r="65" spans="1:8">
      <c r="A65">
        <f t="shared" si="0"/>
        <v>62</v>
      </c>
      <c r="B65">
        <v>2</v>
      </c>
      <c r="C65" t="str" cm="1">
        <f t="array" ref="C65">GetValue("Eng","Name",B65)</f>
        <v>MySQL</v>
      </c>
      <c r="D65">
        <v>21</v>
      </c>
      <c r="E65" t="str" cm="1">
        <f t="array" ref="E65">GetValue("Typ","Name",D65)</f>
        <v>numeric(p,s)</v>
      </c>
      <c r="F65" t="s">
        <v>192</v>
      </c>
    </row>
    <row r="66" spans="1:8">
      <c r="A66">
        <f t="shared" si="0"/>
        <v>63</v>
      </c>
      <c r="B66">
        <v>2</v>
      </c>
      <c r="C66" t="str" cm="1">
        <f t="array" ref="C66">GetValue("Eng","Name",B66)</f>
        <v>MySQL</v>
      </c>
      <c r="D66">
        <v>22</v>
      </c>
      <c r="E66" t="str" cm="1">
        <f t="array" ref="E66">GetValue("Typ","Name",D66)</f>
        <v>nvarchar(n)</v>
      </c>
      <c r="F66" t="s">
        <v>169</v>
      </c>
    </row>
    <row r="67" spans="1:8">
      <c r="A67">
        <f t="shared" si="0"/>
        <v>64</v>
      </c>
      <c r="B67">
        <v>2</v>
      </c>
      <c r="C67" t="str" cm="1">
        <f t="array" ref="C67">GetValue("Eng","Name",B67)</f>
        <v>MySQL</v>
      </c>
      <c r="D67">
        <v>23</v>
      </c>
      <c r="E67" t="str" cm="1">
        <f t="array" ref="E67">GetValue("Typ","Name",D67)</f>
        <v>nvarchar(max)</v>
      </c>
      <c r="F67" t="s">
        <v>175</v>
      </c>
    </row>
    <row r="68" spans="1:8">
      <c r="A68">
        <f t="shared" si="0"/>
        <v>65</v>
      </c>
      <c r="B68">
        <v>2</v>
      </c>
      <c r="C68" t="str" cm="1">
        <f t="array" ref="C68">GetValue("Eng","Name",B68)</f>
        <v>MySQL</v>
      </c>
      <c r="D68">
        <v>24</v>
      </c>
      <c r="E68" t="str" cm="1">
        <f t="array" ref="E68">GetValue("Typ","Name",D68)</f>
        <v>real</v>
      </c>
      <c r="F68" t="s">
        <v>165</v>
      </c>
    </row>
    <row r="69" spans="1:8">
      <c r="A69">
        <f t="shared" si="0"/>
        <v>66</v>
      </c>
      <c r="B69">
        <v>2</v>
      </c>
      <c r="C69" t="str" cm="1">
        <f t="array" ref="C69">GetValue("Eng","Name",B69)</f>
        <v>MySQL</v>
      </c>
      <c r="D69">
        <v>25</v>
      </c>
      <c r="E69" t="str" cm="1">
        <f t="array" ref="E69">GetValue("Typ","Name",D69)</f>
        <v>smalldatetime</v>
      </c>
      <c r="F69" t="s">
        <v>171</v>
      </c>
      <c r="G69">
        <v>0</v>
      </c>
    </row>
    <row r="70" spans="1:8">
      <c r="A70">
        <f t="shared" si="0"/>
        <v>67</v>
      </c>
      <c r="B70">
        <v>2</v>
      </c>
      <c r="C70" t="str" cm="1">
        <f t="array" ref="C70">GetValue("Eng","Name",B70)</f>
        <v>MySQL</v>
      </c>
      <c r="D70">
        <v>26</v>
      </c>
      <c r="E70" t="str" cm="1">
        <f t="array" ref="E70">GetValue("Typ","Name",D70)</f>
        <v>smallint (2 bytes)</v>
      </c>
      <c r="F70" t="s">
        <v>152</v>
      </c>
    </row>
    <row r="71" spans="1:8">
      <c r="A71">
        <f t="shared" ref="A71:A134" si="1">ROW(A71)-3</f>
        <v>68</v>
      </c>
      <c r="B71">
        <v>2</v>
      </c>
      <c r="C71" t="str" cm="1">
        <f t="array" ref="C71">GetValue("Eng","Name",B71)</f>
        <v>MySQL</v>
      </c>
      <c r="D71">
        <v>27</v>
      </c>
      <c r="E71" t="str" cm="1">
        <f t="array" ref="E71">GetValue("Typ","Name",D71)</f>
        <v>smallmoney</v>
      </c>
      <c r="F71" t="s">
        <v>191</v>
      </c>
      <c r="G71">
        <v>10</v>
      </c>
      <c r="H71">
        <v>4</v>
      </c>
    </row>
    <row r="72" spans="1:8">
      <c r="A72">
        <f t="shared" si="1"/>
        <v>69</v>
      </c>
      <c r="B72">
        <v>2</v>
      </c>
      <c r="C72" t="str" cm="1">
        <f t="array" ref="C72">GetValue("Eng","Name",B72)</f>
        <v>MySQL</v>
      </c>
      <c r="D72">
        <v>28</v>
      </c>
      <c r="E72" t="str" cm="1">
        <f t="array" ref="E72">GetValue("Typ","Name",D72)</f>
        <v>sql_variant</v>
      </c>
      <c r="F72" t="s">
        <v>62</v>
      </c>
    </row>
    <row r="73" spans="1:8">
      <c r="A73">
        <f t="shared" si="1"/>
        <v>70</v>
      </c>
      <c r="B73">
        <v>2</v>
      </c>
      <c r="C73" t="str" cm="1">
        <f t="array" ref="C73">GetValue("Eng","Name",B73)</f>
        <v>MySQL</v>
      </c>
      <c r="D73">
        <v>29</v>
      </c>
      <c r="E73" t="str" cm="1">
        <f t="array" ref="E73">GetValue("Typ","Name",D73)</f>
        <v>sysname</v>
      </c>
      <c r="F73" t="s">
        <v>161</v>
      </c>
      <c r="G73">
        <v>128</v>
      </c>
    </row>
    <row r="74" spans="1:8">
      <c r="A74">
        <f t="shared" si="1"/>
        <v>71</v>
      </c>
      <c r="B74">
        <v>2</v>
      </c>
      <c r="C74" t="str" cm="1">
        <f t="array" ref="C74">GetValue("Eng","Name",B74)</f>
        <v>MySQL</v>
      </c>
      <c r="D74">
        <v>30</v>
      </c>
      <c r="E74" t="str" cm="1">
        <f t="array" ref="E74">GetValue("Typ","Name",D74)</f>
        <v>text</v>
      </c>
      <c r="F74" t="s">
        <v>175</v>
      </c>
    </row>
    <row r="75" spans="1:8">
      <c r="A75">
        <f t="shared" si="1"/>
        <v>72</v>
      </c>
      <c r="B75">
        <v>2</v>
      </c>
      <c r="C75" t="str" cm="1">
        <f t="array" ref="C75">GetValue("Eng","Name",B75)</f>
        <v>MySQL</v>
      </c>
      <c r="D75">
        <v>31</v>
      </c>
      <c r="E75" t="str" cm="1">
        <f t="array" ref="E75">GetValue("Typ","Name",D75)</f>
        <v>time(s)</v>
      </c>
      <c r="F75" t="s">
        <v>160</v>
      </c>
    </row>
    <row r="76" spans="1:8">
      <c r="A76">
        <f t="shared" si="1"/>
        <v>73</v>
      </c>
      <c r="B76">
        <v>2</v>
      </c>
      <c r="C76" t="str" cm="1">
        <f t="array" ref="C76">GetValue("Eng","Name",B76)</f>
        <v>MySQL</v>
      </c>
      <c r="D76">
        <v>32</v>
      </c>
      <c r="E76" t="str" cm="1">
        <f t="array" ref="E76">GetValue("Typ","Name",D76)</f>
        <v>timestamp</v>
      </c>
      <c r="F76" t="s">
        <v>170</v>
      </c>
      <c r="G76">
        <v>8</v>
      </c>
    </row>
    <row r="77" spans="1:8">
      <c r="A77">
        <f t="shared" si="1"/>
        <v>74</v>
      </c>
      <c r="B77">
        <v>2</v>
      </c>
      <c r="C77" t="str" cm="1">
        <f t="array" ref="C77">GetValue("Eng","Name",B77)</f>
        <v>MySQL</v>
      </c>
      <c r="D77">
        <v>33</v>
      </c>
      <c r="E77" t="str" cm="1">
        <f t="array" ref="E77">GetValue("Typ","Name",D77)</f>
        <v>tinyint (1 byte)</v>
      </c>
      <c r="F77" t="s">
        <v>176</v>
      </c>
    </row>
    <row r="78" spans="1:8">
      <c r="A78">
        <f t="shared" si="1"/>
        <v>75</v>
      </c>
      <c r="B78">
        <v>2</v>
      </c>
      <c r="C78" t="str" cm="1">
        <f t="array" ref="C78">GetValue("Eng","Name",B78)</f>
        <v>MySQL</v>
      </c>
      <c r="D78">
        <v>34</v>
      </c>
      <c r="E78" t="str" cm="1">
        <f t="array" ref="E78">GetValue("Typ","Name",D78)</f>
        <v>uniqueidentifier</v>
      </c>
      <c r="F78" t="s">
        <v>153</v>
      </c>
      <c r="G78">
        <v>36</v>
      </c>
    </row>
    <row r="79" spans="1:8">
      <c r="A79">
        <f t="shared" si="1"/>
        <v>76</v>
      </c>
      <c r="B79">
        <v>2</v>
      </c>
      <c r="C79" t="str" cm="1">
        <f t="array" ref="C79">GetValue("Eng","Name",B79)</f>
        <v>MySQL</v>
      </c>
      <c r="D79">
        <v>35</v>
      </c>
      <c r="E79" t="str" cm="1">
        <f t="array" ref="E79">GetValue("Typ","Name",D79)</f>
        <v>varbinary(n)</v>
      </c>
      <c r="F79" t="s">
        <v>177</v>
      </c>
    </row>
    <row r="80" spans="1:8">
      <c r="A80">
        <f t="shared" si="1"/>
        <v>77</v>
      </c>
      <c r="B80">
        <v>2</v>
      </c>
      <c r="C80" t="str" cm="1">
        <f t="array" ref="C80">GetValue("Eng","Name",B80)</f>
        <v>MySQL</v>
      </c>
      <c r="D80">
        <v>36</v>
      </c>
      <c r="E80" t="str" cm="1">
        <f t="array" ref="E80">GetValue("Typ","Name",D80)</f>
        <v>varbinary(max)</v>
      </c>
      <c r="F80" t="s">
        <v>173</v>
      </c>
    </row>
    <row r="81" spans="1:8">
      <c r="A81">
        <f t="shared" si="1"/>
        <v>78</v>
      </c>
      <c r="B81">
        <v>2</v>
      </c>
      <c r="C81" t="str" cm="1">
        <f t="array" ref="C81">GetValue("Eng","Name",B81)</f>
        <v>MySQL</v>
      </c>
      <c r="D81">
        <v>37</v>
      </c>
      <c r="E81" t="str" cm="1">
        <f t="array" ref="E81">GetValue("Typ","Name",D81)</f>
        <v>varchar(n)</v>
      </c>
      <c r="F81" t="s">
        <v>161</v>
      </c>
    </row>
    <row r="82" spans="1:8">
      <c r="A82">
        <f t="shared" si="1"/>
        <v>79</v>
      </c>
      <c r="B82">
        <v>2</v>
      </c>
      <c r="C82" t="str" cm="1">
        <f t="array" ref="C82">GetValue("Eng","Name",B82)</f>
        <v>MySQL</v>
      </c>
      <c r="D82">
        <v>38</v>
      </c>
      <c r="E82" t="str" cm="1">
        <f t="array" ref="E82">GetValue("Typ","Name",D82)</f>
        <v>varchar(max)</v>
      </c>
      <c r="F82" t="s">
        <v>175</v>
      </c>
    </row>
    <row r="83" spans="1:8">
      <c r="A83">
        <f t="shared" si="1"/>
        <v>80</v>
      </c>
      <c r="B83">
        <v>2</v>
      </c>
      <c r="C83" t="str" cm="1">
        <f t="array" ref="C83">GetValue("Eng","Name",B83)</f>
        <v>MySQL</v>
      </c>
      <c r="D83">
        <v>39</v>
      </c>
      <c r="E83" t="str" cm="1">
        <f t="array" ref="E83">GetValue("Typ","Name",D83)</f>
        <v>xml</v>
      </c>
      <c r="F83" t="s">
        <v>175</v>
      </c>
    </row>
    <row r="84" spans="1:8">
      <c r="A84">
        <f t="shared" si="1"/>
        <v>81</v>
      </c>
      <c r="B84">
        <v>2</v>
      </c>
      <c r="C84" t="str" cm="1">
        <f t="array" ref="C84">GetValue("Eng","Name",B84)</f>
        <v>MySQL</v>
      </c>
      <c r="D84">
        <v>40</v>
      </c>
      <c r="E84" t="str" cm="1">
        <f t="array" ref="E84">GetValue("Typ","Name",D84)</f>
        <v>json</v>
      </c>
      <c r="F84" t="s">
        <v>62</v>
      </c>
    </row>
    <row r="85" spans="1:8">
      <c r="A85">
        <f t="shared" si="1"/>
        <v>82</v>
      </c>
      <c r="B85">
        <v>2</v>
      </c>
      <c r="C85" t="str" cm="1">
        <f t="array" ref="C85">GetValue("Eng","Name",B85)</f>
        <v>MySQL</v>
      </c>
      <c r="D85">
        <v>41</v>
      </c>
      <c r="E85" t="str" cm="1">
        <f t="array" ref="E85">GetValue("Typ","Name",D85)</f>
        <v>rowversion</v>
      </c>
      <c r="F85" t="s">
        <v>170</v>
      </c>
      <c r="G85">
        <v>8</v>
      </c>
    </row>
    <row r="86" spans="1:8">
      <c r="A86">
        <f t="shared" si="1"/>
        <v>83</v>
      </c>
      <c r="B86">
        <v>3</v>
      </c>
      <c r="C86" t="str" cm="1">
        <f t="array" ref="C86">GetValue("Eng","Name",B86)</f>
        <v>MariaDB</v>
      </c>
      <c r="D86">
        <v>1</v>
      </c>
      <c r="E86" t="str" cm="1">
        <f t="array" ref="E86">GetValue("Typ","Name",D86)</f>
        <v>bigint (8 bytes)</v>
      </c>
      <c r="F86" t="s">
        <v>151</v>
      </c>
    </row>
    <row r="87" spans="1:8">
      <c r="A87">
        <f t="shared" si="1"/>
        <v>84</v>
      </c>
      <c r="B87">
        <v>3</v>
      </c>
      <c r="C87" t="str" cm="1">
        <f t="array" ref="C87">GetValue("Eng","Name",B87)</f>
        <v>MariaDB</v>
      </c>
      <c r="D87">
        <v>2</v>
      </c>
      <c r="E87" t="str" cm="1">
        <f t="array" ref="E87">GetValue("Typ","Name",D87)</f>
        <v>binary(n)</v>
      </c>
      <c r="F87" t="s">
        <v>170</v>
      </c>
    </row>
    <row r="88" spans="1:8">
      <c r="A88">
        <f t="shared" si="1"/>
        <v>85</v>
      </c>
      <c r="B88">
        <v>3</v>
      </c>
      <c r="C88" t="str" cm="1">
        <f t="array" ref="C88">GetValue("Eng","Name",B88)</f>
        <v>MariaDB</v>
      </c>
      <c r="D88">
        <v>3</v>
      </c>
      <c r="E88" t="str" cm="1">
        <f t="array" ref="E88">GetValue("Typ","Name",D88)</f>
        <v>bit (1 bit)</v>
      </c>
      <c r="F88" t="s">
        <v>166</v>
      </c>
    </row>
    <row r="89" spans="1:8">
      <c r="A89">
        <f t="shared" si="1"/>
        <v>86</v>
      </c>
      <c r="B89">
        <v>3</v>
      </c>
      <c r="C89" t="str" cm="1">
        <f t="array" ref="C89">GetValue("Eng","Name",B89)</f>
        <v>MariaDB</v>
      </c>
      <c r="D89">
        <v>4</v>
      </c>
      <c r="E89" t="str" cm="1">
        <f t="array" ref="E89">GetValue("Typ","Name",D89)</f>
        <v>char(n)</v>
      </c>
      <c r="F89" t="s">
        <v>153</v>
      </c>
    </row>
    <row r="90" spans="1:8">
      <c r="A90">
        <f t="shared" si="1"/>
        <v>87</v>
      </c>
      <c r="B90">
        <v>3</v>
      </c>
      <c r="C90" t="str" cm="1">
        <f t="array" ref="C90">GetValue("Eng","Name",B90)</f>
        <v>MariaDB</v>
      </c>
      <c r="D90">
        <v>5</v>
      </c>
      <c r="E90" t="str" cm="1">
        <f t="array" ref="E90">GetValue("Typ","Name",D90)</f>
        <v>date</v>
      </c>
      <c r="F90" t="s">
        <v>154</v>
      </c>
    </row>
    <row r="91" spans="1:8">
      <c r="A91">
        <f t="shared" si="1"/>
        <v>88</v>
      </c>
      <c r="B91">
        <v>3</v>
      </c>
      <c r="C91" t="str" cm="1">
        <f t="array" ref="C91">GetValue("Eng","Name",B91)</f>
        <v>MariaDB</v>
      </c>
      <c r="D91">
        <v>6</v>
      </c>
      <c r="E91" t="str" cm="1">
        <f t="array" ref="E91">GetValue("Typ","Name",D91)</f>
        <v>datetime</v>
      </c>
      <c r="F91" t="s">
        <v>171</v>
      </c>
      <c r="G91">
        <v>3</v>
      </c>
    </row>
    <row r="92" spans="1:8">
      <c r="A92">
        <f t="shared" si="1"/>
        <v>89</v>
      </c>
      <c r="B92">
        <v>3</v>
      </c>
      <c r="C92" t="str" cm="1">
        <f t="array" ref="C92">GetValue("Eng","Name",B92)</f>
        <v>MariaDB</v>
      </c>
      <c r="D92">
        <v>7</v>
      </c>
      <c r="E92" t="str" cm="1">
        <f t="array" ref="E92">GetValue("Typ","Name",D92)</f>
        <v>datetime2(s)</v>
      </c>
      <c r="F92" t="s">
        <v>171</v>
      </c>
    </row>
    <row r="93" spans="1:8">
      <c r="A93">
        <f t="shared" si="1"/>
        <v>90</v>
      </c>
      <c r="B93">
        <v>3</v>
      </c>
      <c r="C93" t="str" cm="1">
        <f t="array" ref="C93">GetValue("Eng","Name",B93)</f>
        <v>MariaDB</v>
      </c>
      <c r="D93">
        <v>8</v>
      </c>
      <c r="E93" t="str" cm="1">
        <f t="array" ref="E93">GetValue("Typ","Name",D93)</f>
        <v>datetimeoffset(s)</v>
      </c>
      <c r="F93" t="s">
        <v>155</v>
      </c>
    </row>
    <row r="94" spans="1:8">
      <c r="A94">
        <f t="shared" si="1"/>
        <v>91</v>
      </c>
      <c r="B94">
        <v>3</v>
      </c>
      <c r="C94" t="str" cm="1">
        <f t="array" ref="C94">GetValue("Eng","Name",B94)</f>
        <v>MariaDB</v>
      </c>
      <c r="D94">
        <v>9</v>
      </c>
      <c r="E94" t="str" cm="1">
        <f t="array" ref="E94">GetValue("Typ","Name",D94)</f>
        <v>decimal(p,0)</v>
      </c>
      <c r="F94" t="s">
        <v>191</v>
      </c>
      <c r="H94">
        <v>0</v>
      </c>
    </row>
    <row r="95" spans="1:8">
      <c r="A95">
        <f t="shared" si="1"/>
        <v>92</v>
      </c>
      <c r="B95">
        <v>3</v>
      </c>
      <c r="C95" t="str" cm="1">
        <f t="array" ref="C95">GetValue("Eng","Name",B95)</f>
        <v>MariaDB</v>
      </c>
      <c r="D95">
        <v>10</v>
      </c>
      <c r="E95" t="str" cm="1">
        <f t="array" ref="E95">GetValue("Typ","Name",D95)</f>
        <v>decimal(p ,s)</v>
      </c>
      <c r="F95" t="s">
        <v>191</v>
      </c>
    </row>
    <row r="96" spans="1:8">
      <c r="A96">
        <f t="shared" si="1"/>
        <v>93</v>
      </c>
      <c r="B96">
        <v>3</v>
      </c>
      <c r="C96" t="str" cm="1">
        <f t="array" ref="C96">GetValue("Eng","Name",B96)</f>
        <v>MariaDB</v>
      </c>
      <c r="D96">
        <v>11</v>
      </c>
      <c r="E96" t="str" cm="1">
        <f t="array" ref="E96">GetValue("Typ","Name",D96)</f>
        <v>float(n)</v>
      </c>
      <c r="F96" t="s">
        <v>157</v>
      </c>
    </row>
    <row r="97" spans="1:8">
      <c r="A97">
        <f t="shared" si="1"/>
        <v>94</v>
      </c>
      <c r="B97">
        <v>3</v>
      </c>
      <c r="C97" t="str" cm="1">
        <f t="array" ref="C97">GetValue("Eng","Name",B97)</f>
        <v>MariaDB</v>
      </c>
      <c r="D97">
        <v>12</v>
      </c>
      <c r="E97" t="str" cm="1">
        <f t="array" ref="E97">GetValue("Typ","Name",D97)</f>
        <v>geography</v>
      </c>
      <c r="F97" t="s">
        <v>172</v>
      </c>
    </row>
    <row r="98" spans="1:8">
      <c r="A98">
        <f t="shared" si="1"/>
        <v>95</v>
      </c>
      <c r="B98">
        <v>3</v>
      </c>
      <c r="C98" t="str" cm="1">
        <f t="array" ref="C98">GetValue("Eng","Name",B98)</f>
        <v>MariaDB</v>
      </c>
      <c r="D98">
        <v>13</v>
      </c>
      <c r="E98" t="str" cm="1">
        <f t="array" ref="E98">GetValue("Typ","Name",D98)</f>
        <v>geometry</v>
      </c>
      <c r="F98" t="s">
        <v>172</v>
      </c>
    </row>
    <row r="99" spans="1:8">
      <c r="A99">
        <f t="shared" si="1"/>
        <v>96</v>
      </c>
      <c r="B99">
        <v>3</v>
      </c>
      <c r="C99" t="str" cm="1">
        <f t="array" ref="C99">GetValue("Eng","Name",B99)</f>
        <v>MariaDB</v>
      </c>
      <c r="D99">
        <v>14</v>
      </c>
      <c r="E99" t="str" cm="1">
        <f t="array" ref="E99">GetValue("Typ","Name",D99)</f>
        <v>hierarchyid</v>
      </c>
      <c r="F99" t="s">
        <v>161</v>
      </c>
      <c r="G99">
        <v>4000</v>
      </c>
    </row>
    <row r="100" spans="1:8">
      <c r="A100">
        <f t="shared" si="1"/>
        <v>97</v>
      </c>
      <c r="B100">
        <v>3</v>
      </c>
      <c r="C100" t="str" cm="1">
        <f t="array" ref="C100">GetValue("Eng","Name",B100)</f>
        <v>MariaDB</v>
      </c>
      <c r="D100">
        <v>15</v>
      </c>
      <c r="E100" t="str" cm="1">
        <f t="array" ref="E100">GetValue("Typ","Name",D100)</f>
        <v>image</v>
      </c>
      <c r="F100" t="s">
        <v>173</v>
      </c>
    </row>
    <row r="101" spans="1:8">
      <c r="A101">
        <f t="shared" si="1"/>
        <v>98</v>
      </c>
      <c r="B101">
        <v>3</v>
      </c>
      <c r="C101" t="str" cm="1">
        <f t="array" ref="C101">GetValue("Eng","Name",B101)</f>
        <v>MariaDB</v>
      </c>
      <c r="D101">
        <v>16</v>
      </c>
      <c r="E101" t="str" cm="1">
        <f t="array" ref="E101">GetValue("Typ","Name",D101)</f>
        <v>int (4 bytes)</v>
      </c>
      <c r="F101" t="s">
        <v>174</v>
      </c>
    </row>
    <row r="102" spans="1:8">
      <c r="A102">
        <f t="shared" si="1"/>
        <v>99</v>
      </c>
      <c r="B102">
        <v>3</v>
      </c>
      <c r="C102" t="str" cm="1">
        <f t="array" ref="C102">GetValue("Eng","Name",B102)</f>
        <v>MariaDB</v>
      </c>
      <c r="D102">
        <v>17</v>
      </c>
      <c r="E102" t="str" cm="1">
        <f t="array" ref="E102">GetValue("Typ","Name",D102)</f>
        <v>money</v>
      </c>
      <c r="F102" t="s">
        <v>191</v>
      </c>
      <c r="G102">
        <v>19</v>
      </c>
      <c r="H102">
        <v>4</v>
      </c>
    </row>
    <row r="103" spans="1:8">
      <c r="A103">
        <f t="shared" si="1"/>
        <v>100</v>
      </c>
      <c r="B103">
        <v>3</v>
      </c>
      <c r="C103" t="str" cm="1">
        <f t="array" ref="C103">GetValue("Eng","Name",B103)</f>
        <v>MariaDB</v>
      </c>
      <c r="D103">
        <v>18</v>
      </c>
      <c r="E103" t="str" cm="1">
        <f t="array" ref="E103">GetValue("Typ","Name",D103)</f>
        <v>nchar(n)</v>
      </c>
      <c r="F103" t="s">
        <v>167</v>
      </c>
    </row>
    <row r="104" spans="1:8">
      <c r="A104">
        <f t="shared" si="1"/>
        <v>101</v>
      </c>
      <c r="B104">
        <v>3</v>
      </c>
      <c r="C104" t="str" cm="1">
        <f t="array" ref="C104">GetValue("Eng","Name",B104)</f>
        <v>MariaDB</v>
      </c>
      <c r="D104">
        <v>19</v>
      </c>
      <c r="E104" t="str" cm="1">
        <f t="array" ref="E104">GetValue("Typ","Name",D104)</f>
        <v>ntext</v>
      </c>
      <c r="F104" t="s">
        <v>175</v>
      </c>
    </row>
    <row r="105" spans="1:8">
      <c r="A105">
        <f t="shared" si="1"/>
        <v>102</v>
      </c>
      <c r="B105">
        <v>3</v>
      </c>
      <c r="C105" t="str" cm="1">
        <f t="array" ref="C105">GetValue("Eng","Name",B105)</f>
        <v>MariaDB</v>
      </c>
      <c r="D105">
        <v>20</v>
      </c>
      <c r="E105" t="str" cm="1">
        <f t="array" ref="E105">GetValue("Typ","Name",D105)</f>
        <v>numeric(p,0)</v>
      </c>
      <c r="F105" t="s">
        <v>192</v>
      </c>
      <c r="H105">
        <v>0</v>
      </c>
    </row>
    <row r="106" spans="1:8">
      <c r="A106">
        <f t="shared" si="1"/>
        <v>103</v>
      </c>
      <c r="B106">
        <v>3</v>
      </c>
      <c r="C106" t="str" cm="1">
        <f t="array" ref="C106">GetValue("Eng","Name",B106)</f>
        <v>MariaDB</v>
      </c>
      <c r="D106">
        <v>21</v>
      </c>
      <c r="E106" t="str" cm="1">
        <f t="array" ref="E106">GetValue("Typ","Name",D106)</f>
        <v>numeric(p,s)</v>
      </c>
      <c r="F106" t="s">
        <v>192</v>
      </c>
    </row>
    <row r="107" spans="1:8">
      <c r="A107">
        <f t="shared" si="1"/>
        <v>104</v>
      </c>
      <c r="B107">
        <v>3</v>
      </c>
      <c r="C107" t="str" cm="1">
        <f t="array" ref="C107">GetValue("Eng","Name",B107)</f>
        <v>MariaDB</v>
      </c>
      <c r="D107">
        <v>22</v>
      </c>
      <c r="E107" t="str" cm="1">
        <f t="array" ref="E107">GetValue("Typ","Name",D107)</f>
        <v>nvarchar(n)</v>
      </c>
      <c r="F107" t="s">
        <v>169</v>
      </c>
    </row>
    <row r="108" spans="1:8">
      <c r="A108">
        <f t="shared" si="1"/>
        <v>105</v>
      </c>
      <c r="B108">
        <v>3</v>
      </c>
      <c r="C108" t="str" cm="1">
        <f t="array" ref="C108">GetValue("Eng","Name",B108)</f>
        <v>MariaDB</v>
      </c>
      <c r="D108">
        <v>23</v>
      </c>
      <c r="E108" t="str" cm="1">
        <f t="array" ref="E108">GetValue("Typ","Name",D108)</f>
        <v>nvarchar(max)</v>
      </c>
      <c r="F108" t="s">
        <v>175</v>
      </c>
    </row>
    <row r="109" spans="1:8">
      <c r="A109">
        <f t="shared" si="1"/>
        <v>106</v>
      </c>
      <c r="B109">
        <v>3</v>
      </c>
      <c r="C109" t="str" cm="1">
        <f t="array" ref="C109">GetValue("Eng","Name",B109)</f>
        <v>MariaDB</v>
      </c>
      <c r="D109">
        <v>24</v>
      </c>
      <c r="E109" t="str" cm="1">
        <f t="array" ref="E109">GetValue("Typ","Name",D109)</f>
        <v>real</v>
      </c>
      <c r="F109" t="s">
        <v>165</v>
      </c>
    </row>
    <row r="110" spans="1:8">
      <c r="A110">
        <f t="shared" si="1"/>
        <v>107</v>
      </c>
      <c r="B110">
        <v>3</v>
      </c>
      <c r="C110" t="str" cm="1">
        <f t="array" ref="C110">GetValue("Eng","Name",B110)</f>
        <v>MariaDB</v>
      </c>
      <c r="D110">
        <v>25</v>
      </c>
      <c r="E110" t="str" cm="1">
        <f t="array" ref="E110">GetValue("Typ","Name",D110)</f>
        <v>smalldatetime</v>
      </c>
      <c r="F110" t="s">
        <v>171</v>
      </c>
      <c r="G110">
        <v>0</v>
      </c>
    </row>
    <row r="111" spans="1:8">
      <c r="A111">
        <f t="shared" si="1"/>
        <v>108</v>
      </c>
      <c r="B111">
        <v>3</v>
      </c>
      <c r="C111" t="str" cm="1">
        <f t="array" ref="C111">GetValue("Eng","Name",B111)</f>
        <v>MariaDB</v>
      </c>
      <c r="D111">
        <v>26</v>
      </c>
      <c r="E111" t="str" cm="1">
        <f t="array" ref="E111">GetValue("Typ","Name",D111)</f>
        <v>smallint (2 bytes)</v>
      </c>
      <c r="F111" t="s">
        <v>152</v>
      </c>
    </row>
    <row r="112" spans="1:8">
      <c r="A112">
        <f t="shared" si="1"/>
        <v>109</v>
      </c>
      <c r="B112">
        <v>3</v>
      </c>
      <c r="C112" t="str" cm="1">
        <f t="array" ref="C112">GetValue("Eng","Name",B112)</f>
        <v>MariaDB</v>
      </c>
      <c r="D112">
        <v>27</v>
      </c>
      <c r="E112" t="str" cm="1">
        <f t="array" ref="E112">GetValue("Typ","Name",D112)</f>
        <v>smallmoney</v>
      </c>
      <c r="F112" t="s">
        <v>191</v>
      </c>
      <c r="G112">
        <v>10</v>
      </c>
      <c r="H112">
        <v>4</v>
      </c>
    </row>
    <row r="113" spans="1:7">
      <c r="A113">
        <f t="shared" si="1"/>
        <v>110</v>
      </c>
      <c r="B113">
        <v>3</v>
      </c>
      <c r="C113" t="str" cm="1">
        <f t="array" ref="C113">GetValue("Eng","Name",B113)</f>
        <v>MariaDB</v>
      </c>
      <c r="D113">
        <v>28</v>
      </c>
      <c r="E113" t="str" cm="1">
        <f t="array" ref="E113">GetValue("Typ","Name",D113)</f>
        <v>sql_variant</v>
      </c>
      <c r="F113" t="s">
        <v>62</v>
      </c>
    </row>
    <row r="114" spans="1:7">
      <c r="A114">
        <f t="shared" si="1"/>
        <v>111</v>
      </c>
      <c r="B114">
        <v>3</v>
      </c>
      <c r="C114" t="str" cm="1">
        <f t="array" ref="C114">GetValue("Eng","Name",B114)</f>
        <v>MariaDB</v>
      </c>
      <c r="D114">
        <v>29</v>
      </c>
      <c r="E114" t="str" cm="1">
        <f t="array" ref="E114">GetValue("Typ","Name",D114)</f>
        <v>sysname</v>
      </c>
      <c r="F114" t="s">
        <v>161</v>
      </c>
      <c r="G114">
        <v>128</v>
      </c>
    </row>
    <row r="115" spans="1:7">
      <c r="A115">
        <f t="shared" si="1"/>
        <v>112</v>
      </c>
      <c r="B115">
        <v>3</v>
      </c>
      <c r="C115" t="str" cm="1">
        <f t="array" ref="C115">GetValue("Eng","Name",B115)</f>
        <v>MariaDB</v>
      </c>
      <c r="D115">
        <v>30</v>
      </c>
      <c r="E115" t="str" cm="1">
        <f t="array" ref="E115">GetValue("Typ","Name",D115)</f>
        <v>text</v>
      </c>
      <c r="F115" t="s">
        <v>175</v>
      </c>
    </row>
    <row r="116" spans="1:7">
      <c r="A116">
        <f t="shared" si="1"/>
        <v>113</v>
      </c>
      <c r="B116">
        <v>3</v>
      </c>
      <c r="C116" t="str" cm="1">
        <f t="array" ref="C116">GetValue("Eng","Name",B116)</f>
        <v>MariaDB</v>
      </c>
      <c r="D116">
        <v>31</v>
      </c>
      <c r="E116" t="str" cm="1">
        <f t="array" ref="E116">GetValue("Typ","Name",D116)</f>
        <v>time(s)</v>
      </c>
      <c r="F116" t="s">
        <v>160</v>
      </c>
    </row>
    <row r="117" spans="1:7">
      <c r="A117">
        <f t="shared" si="1"/>
        <v>114</v>
      </c>
      <c r="B117">
        <v>3</v>
      </c>
      <c r="C117" t="str" cm="1">
        <f t="array" ref="C117">GetValue("Eng","Name",B117)</f>
        <v>MariaDB</v>
      </c>
      <c r="D117">
        <v>32</v>
      </c>
      <c r="E117" t="str" cm="1">
        <f t="array" ref="E117">GetValue("Typ","Name",D117)</f>
        <v>timestamp</v>
      </c>
      <c r="F117" t="s">
        <v>170</v>
      </c>
      <c r="G117">
        <v>8</v>
      </c>
    </row>
    <row r="118" spans="1:7">
      <c r="A118">
        <f t="shared" si="1"/>
        <v>115</v>
      </c>
      <c r="B118">
        <v>3</v>
      </c>
      <c r="C118" t="str" cm="1">
        <f t="array" ref="C118">GetValue("Eng","Name",B118)</f>
        <v>MariaDB</v>
      </c>
      <c r="D118">
        <v>33</v>
      </c>
      <c r="E118" t="str" cm="1">
        <f t="array" ref="E118">GetValue("Typ","Name",D118)</f>
        <v>tinyint (1 byte)</v>
      </c>
      <c r="F118" t="s">
        <v>176</v>
      </c>
    </row>
    <row r="119" spans="1:7">
      <c r="A119">
        <f t="shared" si="1"/>
        <v>116</v>
      </c>
      <c r="B119">
        <v>3</v>
      </c>
      <c r="C119" t="str" cm="1">
        <f t="array" ref="C119">GetValue("Eng","Name",B119)</f>
        <v>MariaDB</v>
      </c>
      <c r="D119">
        <v>34</v>
      </c>
      <c r="E119" t="str" cm="1">
        <f t="array" ref="E119">GetValue("Typ","Name",D119)</f>
        <v>uniqueidentifier</v>
      </c>
      <c r="F119" t="s">
        <v>153</v>
      </c>
      <c r="G119">
        <v>36</v>
      </c>
    </row>
    <row r="120" spans="1:7">
      <c r="A120">
        <f t="shared" si="1"/>
        <v>117</v>
      </c>
      <c r="B120">
        <v>3</v>
      </c>
      <c r="C120" t="str" cm="1">
        <f t="array" ref="C120">GetValue("Eng","Name",B120)</f>
        <v>MariaDB</v>
      </c>
      <c r="D120">
        <v>35</v>
      </c>
      <c r="E120" t="str" cm="1">
        <f t="array" ref="E120">GetValue("Typ","Name",D120)</f>
        <v>varbinary(n)</v>
      </c>
      <c r="F120" t="s">
        <v>177</v>
      </c>
    </row>
    <row r="121" spans="1:7">
      <c r="A121">
        <f t="shared" si="1"/>
        <v>118</v>
      </c>
      <c r="B121">
        <v>3</v>
      </c>
      <c r="C121" t="str" cm="1">
        <f t="array" ref="C121">GetValue("Eng","Name",B121)</f>
        <v>MariaDB</v>
      </c>
      <c r="D121">
        <v>36</v>
      </c>
      <c r="E121" t="str" cm="1">
        <f t="array" ref="E121">GetValue("Typ","Name",D121)</f>
        <v>varbinary(max)</v>
      </c>
      <c r="F121" t="s">
        <v>173</v>
      </c>
    </row>
    <row r="122" spans="1:7">
      <c r="A122">
        <f t="shared" si="1"/>
        <v>119</v>
      </c>
      <c r="B122">
        <v>3</v>
      </c>
      <c r="C122" t="str" cm="1">
        <f t="array" ref="C122">GetValue("Eng","Name",B122)</f>
        <v>MariaDB</v>
      </c>
      <c r="D122">
        <v>37</v>
      </c>
      <c r="E122" t="str" cm="1">
        <f t="array" ref="E122">GetValue("Typ","Name",D122)</f>
        <v>varchar(n)</v>
      </c>
      <c r="F122" t="s">
        <v>161</v>
      </c>
    </row>
    <row r="123" spans="1:7">
      <c r="A123">
        <f t="shared" si="1"/>
        <v>120</v>
      </c>
      <c r="B123">
        <v>3</v>
      </c>
      <c r="C123" t="str" cm="1">
        <f t="array" ref="C123">GetValue("Eng","Name",B123)</f>
        <v>MariaDB</v>
      </c>
      <c r="D123">
        <v>38</v>
      </c>
      <c r="E123" t="str" cm="1">
        <f t="array" ref="E123">GetValue("Typ","Name",D123)</f>
        <v>varchar(max)</v>
      </c>
      <c r="F123" t="s">
        <v>175</v>
      </c>
    </row>
    <row r="124" spans="1:7">
      <c r="A124">
        <f t="shared" si="1"/>
        <v>121</v>
      </c>
      <c r="B124">
        <v>3</v>
      </c>
      <c r="C124" t="str" cm="1">
        <f t="array" ref="C124">GetValue("Eng","Name",B124)</f>
        <v>MariaDB</v>
      </c>
      <c r="D124">
        <v>39</v>
      </c>
      <c r="E124" t="str" cm="1">
        <f t="array" ref="E124">GetValue("Typ","Name",D124)</f>
        <v>xml</v>
      </c>
      <c r="F124" t="s">
        <v>175</v>
      </c>
    </row>
    <row r="125" spans="1:7">
      <c r="A125">
        <f t="shared" si="1"/>
        <v>122</v>
      </c>
      <c r="B125">
        <v>3</v>
      </c>
      <c r="C125" t="str" cm="1">
        <f t="array" ref="C125">GetValue("Eng","Name",B125)</f>
        <v>MariaDB</v>
      </c>
      <c r="D125">
        <v>40</v>
      </c>
      <c r="E125" t="str" cm="1">
        <f t="array" ref="E125">GetValue("Typ","Name",D125)</f>
        <v>json</v>
      </c>
      <c r="F125" t="s">
        <v>62</v>
      </c>
    </row>
    <row r="126" spans="1:7">
      <c r="A126">
        <f t="shared" si="1"/>
        <v>123</v>
      </c>
      <c r="B126">
        <v>3</v>
      </c>
      <c r="C126" t="str" cm="1">
        <f t="array" ref="C126">GetValue("Eng","Name",B126)</f>
        <v>MariaDB</v>
      </c>
      <c r="D126">
        <v>41</v>
      </c>
      <c r="E126" t="str" cm="1">
        <f t="array" ref="E126">GetValue("Typ","Name",D126)</f>
        <v>rowversion</v>
      </c>
      <c r="F126" t="s">
        <v>170</v>
      </c>
      <c r="G126">
        <v>8</v>
      </c>
    </row>
    <row r="127" spans="1:7">
      <c r="A127">
        <f t="shared" si="1"/>
        <v>124</v>
      </c>
      <c r="B127">
        <v>4</v>
      </c>
      <c r="C127" t="str" cm="1">
        <f t="array" ref="C127">GetValue("Eng","Name",B127)</f>
        <v>PostgreSQL</v>
      </c>
      <c r="D127">
        <v>1</v>
      </c>
      <c r="E127" t="str" cm="1">
        <f t="array" ref="E127">GetValue("Typ","Name",D127)</f>
        <v>bigint (8 bytes)</v>
      </c>
      <c r="F127" t="s">
        <v>24</v>
      </c>
    </row>
    <row r="128" spans="1:7">
      <c r="A128">
        <f t="shared" si="1"/>
        <v>125</v>
      </c>
      <c r="B128">
        <v>4</v>
      </c>
      <c r="C128" t="str" cm="1">
        <f t="array" ref="C128">GetValue("Eng","Name",B128)</f>
        <v>PostgreSQL</v>
      </c>
      <c r="D128">
        <v>2</v>
      </c>
      <c r="E128" t="str" cm="1">
        <f t="array" ref="E128">GetValue("Typ","Name",D128)</f>
        <v>binary(n)</v>
      </c>
      <c r="F128" t="s">
        <v>677</v>
      </c>
    </row>
    <row r="129" spans="1:9">
      <c r="A129">
        <f t="shared" si="1"/>
        <v>126</v>
      </c>
      <c r="B129">
        <v>4</v>
      </c>
      <c r="C129" t="str" cm="1">
        <f t="array" ref="C129">GetValue("Eng","Name",B129)</f>
        <v>PostgreSQL</v>
      </c>
      <c r="D129">
        <v>3</v>
      </c>
      <c r="E129" t="str" cm="1">
        <f t="array" ref="E129">GetValue("Typ","Name",D129)</f>
        <v>bit (1 bit)</v>
      </c>
      <c r="F129" t="s">
        <v>10</v>
      </c>
    </row>
    <row r="130" spans="1:9">
      <c r="A130">
        <f t="shared" si="1"/>
        <v>127</v>
      </c>
      <c r="B130">
        <v>4</v>
      </c>
      <c r="C130" t="str" cm="1">
        <f t="array" ref="C130">GetValue("Eng","Name",B130)</f>
        <v>PostgreSQL</v>
      </c>
      <c r="D130">
        <v>4</v>
      </c>
      <c r="E130" t="str" cm="1">
        <f t="array" ref="E130">GetValue("Typ","Name",D130)</f>
        <v>char(n)</v>
      </c>
      <c r="F130" t="s">
        <v>27</v>
      </c>
    </row>
    <row r="131" spans="1:9">
      <c r="A131">
        <f t="shared" si="1"/>
        <v>128</v>
      </c>
      <c r="B131">
        <v>4</v>
      </c>
      <c r="C131" t="str" cm="1">
        <f t="array" ref="C131">GetValue("Eng","Name",B131)</f>
        <v>PostgreSQL</v>
      </c>
      <c r="D131">
        <v>5</v>
      </c>
      <c r="E131" t="str" cm="1">
        <f t="array" ref="E131">GetValue("Typ","Name",D131)</f>
        <v>date</v>
      </c>
      <c r="F131" t="s">
        <v>8</v>
      </c>
    </row>
    <row r="132" spans="1:9">
      <c r="A132">
        <f t="shared" si="1"/>
        <v>129</v>
      </c>
      <c r="B132">
        <v>4</v>
      </c>
      <c r="C132" t="str" cm="1">
        <f t="array" ref="C132">GetValue("Eng","Name",B132)</f>
        <v>PostgreSQL</v>
      </c>
      <c r="D132">
        <v>6</v>
      </c>
      <c r="E132" t="str" cm="1">
        <f t="array" ref="E132">GetValue("Typ","Name",D132)</f>
        <v>datetime</v>
      </c>
      <c r="F132" t="s">
        <v>46</v>
      </c>
      <c r="G132">
        <v>3</v>
      </c>
      <c r="I132" t="s">
        <v>707</v>
      </c>
    </row>
    <row r="133" spans="1:9">
      <c r="A133">
        <f t="shared" si="1"/>
        <v>130</v>
      </c>
      <c r="B133">
        <v>4</v>
      </c>
      <c r="C133" t="str" cm="1">
        <f t="array" ref="C133">GetValue("Eng","Name",B133)</f>
        <v>PostgreSQL</v>
      </c>
      <c r="D133">
        <v>7</v>
      </c>
      <c r="E133" t="str" cm="1">
        <f t="array" ref="E133">GetValue("Typ","Name",D133)</f>
        <v>datetime2(s)</v>
      </c>
      <c r="F133" t="s">
        <v>702</v>
      </c>
    </row>
    <row r="134" spans="1:9">
      <c r="A134">
        <f t="shared" si="1"/>
        <v>131</v>
      </c>
      <c r="B134">
        <v>4</v>
      </c>
      <c r="C134" t="str" cm="1">
        <f t="array" ref="C134">GetValue("Eng","Name",B134)</f>
        <v>PostgreSQL</v>
      </c>
      <c r="D134">
        <v>8</v>
      </c>
      <c r="E134" t="str" cm="1">
        <f t="array" ref="E134">GetValue("Typ","Name",D134)</f>
        <v>datetimeoffset(s)</v>
      </c>
      <c r="F134" t="s">
        <v>703</v>
      </c>
    </row>
    <row r="135" spans="1:9">
      <c r="A135">
        <f t="shared" ref="A135:A198" si="2">ROW(A135)-3</f>
        <v>132</v>
      </c>
      <c r="B135">
        <v>4</v>
      </c>
      <c r="C135" t="str" cm="1">
        <f t="array" ref="C135">GetValue("Eng","Name",B135)</f>
        <v>PostgreSQL</v>
      </c>
      <c r="D135">
        <v>9</v>
      </c>
      <c r="E135" t="str" cm="1">
        <f t="array" ref="E135">GetValue("Typ","Name",D135)</f>
        <v>decimal(p,0)</v>
      </c>
      <c r="F135" t="s">
        <v>7</v>
      </c>
      <c r="H135">
        <v>0</v>
      </c>
    </row>
    <row r="136" spans="1:9">
      <c r="A136">
        <f t="shared" si="2"/>
        <v>133</v>
      </c>
      <c r="B136">
        <v>4</v>
      </c>
      <c r="C136" t="str" cm="1">
        <f t="array" ref="C136">GetValue("Eng","Name",B136)</f>
        <v>PostgreSQL</v>
      </c>
      <c r="D136">
        <v>10</v>
      </c>
      <c r="E136" t="str" cm="1">
        <f t="array" ref="E136">GetValue("Typ","Name",D136)</f>
        <v>decimal(p ,s)</v>
      </c>
      <c r="F136" t="s">
        <v>7</v>
      </c>
    </row>
    <row r="137" spans="1:9">
      <c r="A137">
        <f t="shared" si="2"/>
        <v>134</v>
      </c>
      <c r="B137">
        <v>4</v>
      </c>
      <c r="C137" t="str" cm="1">
        <f t="array" ref="C137">GetValue("Eng","Name",B137)</f>
        <v>PostgreSQL</v>
      </c>
      <c r="D137">
        <v>11</v>
      </c>
      <c r="E137" t="str" cm="1">
        <f t="array" ref="E137">GetValue("Typ","Name",D137)</f>
        <v>float(n)</v>
      </c>
      <c r="F137" t="s">
        <v>678</v>
      </c>
    </row>
    <row r="138" spans="1:9">
      <c r="A138">
        <f t="shared" si="2"/>
        <v>135</v>
      </c>
      <c r="B138">
        <v>4</v>
      </c>
      <c r="C138" t="str" cm="1">
        <f t="array" ref="C138">GetValue("Eng","Name",B138)</f>
        <v>PostgreSQL</v>
      </c>
      <c r="D138">
        <v>12</v>
      </c>
      <c r="E138" t="str" cm="1">
        <f t="array" ref="E138">GetValue("Typ","Name",D138)</f>
        <v>geography</v>
      </c>
      <c r="F138" t="s">
        <v>32</v>
      </c>
    </row>
    <row r="139" spans="1:9">
      <c r="A139">
        <f t="shared" si="2"/>
        <v>136</v>
      </c>
      <c r="B139">
        <v>4</v>
      </c>
      <c r="C139" t="str" cm="1">
        <f t="array" ref="C139">GetValue("Eng","Name",B139)</f>
        <v>PostgreSQL</v>
      </c>
      <c r="D139">
        <v>13</v>
      </c>
      <c r="E139" t="str" cm="1">
        <f t="array" ref="E139">GetValue("Typ","Name",D139)</f>
        <v>geometry</v>
      </c>
      <c r="F139" t="s">
        <v>33</v>
      </c>
    </row>
    <row r="140" spans="1:9">
      <c r="A140">
        <f t="shared" si="2"/>
        <v>137</v>
      </c>
      <c r="B140">
        <v>4</v>
      </c>
      <c r="C140" t="str" cm="1">
        <f t="array" ref="C140">GetValue("Eng","Name",B140)</f>
        <v>PostgreSQL</v>
      </c>
      <c r="D140">
        <v>14</v>
      </c>
      <c r="E140" t="str" cm="1">
        <f t="array" ref="E140">GetValue("Typ","Name",D140)</f>
        <v>hierarchyid</v>
      </c>
      <c r="F140" t="s">
        <v>679</v>
      </c>
    </row>
    <row r="141" spans="1:9">
      <c r="A141">
        <f t="shared" si="2"/>
        <v>138</v>
      </c>
      <c r="B141">
        <v>4</v>
      </c>
      <c r="C141" t="str" cm="1">
        <f t="array" ref="C141">GetValue("Eng","Name",B141)</f>
        <v>PostgreSQL</v>
      </c>
      <c r="D141">
        <v>15</v>
      </c>
      <c r="E141" t="str" cm="1">
        <f t="array" ref="E141">GetValue("Typ","Name",D141)</f>
        <v>image</v>
      </c>
      <c r="F141" t="s">
        <v>677</v>
      </c>
    </row>
    <row r="142" spans="1:9">
      <c r="A142">
        <f t="shared" si="2"/>
        <v>139</v>
      </c>
      <c r="B142">
        <v>4</v>
      </c>
      <c r="C142" t="str" cm="1">
        <f t="array" ref="C142">GetValue("Eng","Name",B142)</f>
        <v>PostgreSQL</v>
      </c>
      <c r="D142">
        <v>16</v>
      </c>
      <c r="E142" t="str" cm="1">
        <f t="array" ref="E142">GetValue("Typ","Name",D142)</f>
        <v>int (4 bytes)</v>
      </c>
      <c r="F142" t="s">
        <v>680</v>
      </c>
    </row>
    <row r="143" spans="1:9">
      <c r="A143">
        <f t="shared" si="2"/>
        <v>140</v>
      </c>
      <c r="B143">
        <v>4</v>
      </c>
      <c r="C143" t="str" cm="1">
        <f t="array" ref="C143">GetValue("Eng","Name",B143)</f>
        <v>PostgreSQL</v>
      </c>
      <c r="D143">
        <v>17</v>
      </c>
      <c r="E143" t="str" cm="1">
        <f t="array" ref="E143">GetValue("Typ","Name",D143)</f>
        <v>money</v>
      </c>
      <c r="F143" t="s">
        <v>7</v>
      </c>
      <c r="G143">
        <v>19</v>
      </c>
      <c r="H143">
        <v>4</v>
      </c>
    </row>
    <row r="144" spans="1:9">
      <c r="A144">
        <f t="shared" si="2"/>
        <v>141</v>
      </c>
      <c r="B144">
        <v>4</v>
      </c>
      <c r="C144" t="str" cm="1">
        <f t="array" ref="C144">GetValue("Eng","Name",B144)</f>
        <v>PostgreSQL</v>
      </c>
      <c r="D144">
        <v>18</v>
      </c>
      <c r="E144" t="str" cm="1">
        <f t="array" ref="E144">GetValue("Typ","Name",D144)</f>
        <v>nchar(n)</v>
      </c>
      <c r="F144" t="s">
        <v>27</v>
      </c>
    </row>
    <row r="145" spans="1:9">
      <c r="A145">
        <f t="shared" si="2"/>
        <v>142</v>
      </c>
      <c r="B145">
        <v>4</v>
      </c>
      <c r="C145" t="str" cm="1">
        <f t="array" ref="C145">GetValue("Eng","Name",B145)</f>
        <v>PostgreSQL</v>
      </c>
      <c r="D145">
        <v>19</v>
      </c>
      <c r="E145" t="str" cm="1">
        <f t="array" ref="E145">GetValue("Typ","Name",D145)</f>
        <v>ntext</v>
      </c>
      <c r="F145" t="s">
        <v>6</v>
      </c>
    </row>
    <row r="146" spans="1:9">
      <c r="A146">
        <f t="shared" si="2"/>
        <v>143</v>
      </c>
      <c r="B146">
        <v>4</v>
      </c>
      <c r="C146" t="str" cm="1">
        <f t="array" ref="C146">GetValue("Eng","Name",B146)</f>
        <v>PostgreSQL</v>
      </c>
      <c r="D146">
        <v>20</v>
      </c>
      <c r="E146" t="str" cm="1">
        <f t="array" ref="E146">GetValue("Typ","Name",D146)</f>
        <v>numeric(p,0)</v>
      </c>
      <c r="F146" t="s">
        <v>7</v>
      </c>
      <c r="H146">
        <v>0</v>
      </c>
    </row>
    <row r="147" spans="1:9">
      <c r="A147">
        <f t="shared" si="2"/>
        <v>144</v>
      </c>
      <c r="B147">
        <v>4</v>
      </c>
      <c r="C147" t="str" cm="1">
        <f t="array" ref="C147">GetValue("Eng","Name",B147)</f>
        <v>PostgreSQL</v>
      </c>
      <c r="D147">
        <v>21</v>
      </c>
      <c r="E147" t="str" cm="1">
        <f t="array" ref="E147">GetValue("Typ","Name",D147)</f>
        <v>numeric(p,s)</v>
      </c>
      <c r="F147" t="s">
        <v>7</v>
      </c>
    </row>
    <row r="148" spans="1:9">
      <c r="A148">
        <f t="shared" si="2"/>
        <v>145</v>
      </c>
      <c r="B148">
        <v>4</v>
      </c>
      <c r="C148" t="str" cm="1">
        <f t="array" ref="C148">GetValue("Eng","Name",B148)</f>
        <v>PostgreSQL</v>
      </c>
      <c r="D148">
        <v>22</v>
      </c>
      <c r="E148" t="str" cm="1">
        <f t="array" ref="E148">GetValue("Typ","Name",D148)</f>
        <v>nvarchar(n)</v>
      </c>
      <c r="F148" t="s">
        <v>50</v>
      </c>
    </row>
    <row r="149" spans="1:9">
      <c r="A149">
        <f t="shared" si="2"/>
        <v>146</v>
      </c>
      <c r="B149">
        <v>4</v>
      </c>
      <c r="C149" t="str" cm="1">
        <f t="array" ref="C149">GetValue("Eng","Name",B149)</f>
        <v>PostgreSQL</v>
      </c>
      <c r="D149">
        <v>23</v>
      </c>
      <c r="E149" t="str" cm="1">
        <f t="array" ref="E149">GetValue("Typ","Name",D149)</f>
        <v>nvarchar(max)</v>
      </c>
      <c r="F149" t="s">
        <v>6</v>
      </c>
    </row>
    <row r="150" spans="1:9">
      <c r="A150">
        <f t="shared" si="2"/>
        <v>147</v>
      </c>
      <c r="B150">
        <v>4</v>
      </c>
      <c r="C150" t="str" cm="1">
        <f t="array" ref="C150">GetValue("Eng","Name",B150)</f>
        <v>PostgreSQL</v>
      </c>
      <c r="D150">
        <v>24</v>
      </c>
      <c r="E150" t="str" cm="1">
        <f t="array" ref="E150">GetValue("Typ","Name",D150)</f>
        <v>real</v>
      </c>
      <c r="F150" t="s">
        <v>40</v>
      </c>
    </row>
    <row r="151" spans="1:9">
      <c r="A151">
        <f t="shared" si="2"/>
        <v>148</v>
      </c>
      <c r="B151">
        <v>4</v>
      </c>
      <c r="C151" t="str" cm="1">
        <f t="array" ref="C151">GetValue("Eng","Name",B151)</f>
        <v>PostgreSQL</v>
      </c>
      <c r="D151">
        <v>25</v>
      </c>
      <c r="E151" t="str" cm="1">
        <f t="array" ref="E151">GetValue("Typ","Name",D151)</f>
        <v>smalldatetime</v>
      </c>
      <c r="F151" t="s">
        <v>46</v>
      </c>
      <c r="G151">
        <v>0</v>
      </c>
      <c r="I151" t="s">
        <v>707</v>
      </c>
    </row>
    <row r="152" spans="1:9">
      <c r="A152">
        <f t="shared" si="2"/>
        <v>149</v>
      </c>
      <c r="B152">
        <v>4</v>
      </c>
      <c r="C152" t="str" cm="1">
        <f t="array" ref="C152">GetValue("Eng","Name",B152)</f>
        <v>PostgreSQL</v>
      </c>
      <c r="D152">
        <v>26</v>
      </c>
      <c r="E152" t="str" cm="1">
        <f t="array" ref="E152">GetValue("Typ","Name",D152)</f>
        <v>smallint (2 bytes)</v>
      </c>
      <c r="F152" t="s">
        <v>42</v>
      </c>
    </row>
    <row r="153" spans="1:9">
      <c r="A153">
        <f t="shared" si="2"/>
        <v>150</v>
      </c>
      <c r="B153">
        <v>4</v>
      </c>
      <c r="C153" t="str" cm="1">
        <f t="array" ref="C153">GetValue("Eng","Name",B153)</f>
        <v>PostgreSQL</v>
      </c>
      <c r="D153">
        <v>27</v>
      </c>
      <c r="E153" t="str" cm="1">
        <f t="array" ref="E153">GetValue("Typ","Name",D153)</f>
        <v>smallmoney</v>
      </c>
      <c r="F153" t="s">
        <v>7</v>
      </c>
      <c r="G153">
        <v>10</v>
      </c>
      <c r="H153">
        <v>4</v>
      </c>
    </row>
    <row r="154" spans="1:9">
      <c r="A154">
        <f t="shared" si="2"/>
        <v>151</v>
      </c>
      <c r="B154">
        <v>4</v>
      </c>
      <c r="C154" t="str" cm="1">
        <f t="array" ref="C154">GetValue("Eng","Name",B154)</f>
        <v>PostgreSQL</v>
      </c>
      <c r="D154">
        <v>28</v>
      </c>
      <c r="E154" t="str" cm="1">
        <f t="array" ref="E154">GetValue("Typ","Name",D154)</f>
        <v>sql_variant</v>
      </c>
      <c r="F154" t="s">
        <v>681</v>
      </c>
    </row>
    <row r="155" spans="1:9">
      <c r="A155">
        <f t="shared" si="2"/>
        <v>152</v>
      </c>
      <c r="B155">
        <v>4</v>
      </c>
      <c r="C155" t="str" cm="1">
        <f t="array" ref="C155">GetValue("Eng","Name",B155)</f>
        <v>PostgreSQL</v>
      </c>
      <c r="D155">
        <v>29</v>
      </c>
      <c r="E155" t="str" cm="1">
        <f t="array" ref="E155">GetValue("Typ","Name",D155)</f>
        <v>sysname</v>
      </c>
      <c r="F155" t="s">
        <v>50</v>
      </c>
      <c r="G155">
        <v>128</v>
      </c>
    </row>
    <row r="156" spans="1:9">
      <c r="A156">
        <f t="shared" si="2"/>
        <v>153</v>
      </c>
      <c r="B156">
        <v>4</v>
      </c>
      <c r="C156" t="str" cm="1">
        <f t="array" ref="C156">GetValue("Eng","Name",B156)</f>
        <v>PostgreSQL</v>
      </c>
      <c r="D156">
        <v>30</v>
      </c>
      <c r="E156" t="str" cm="1">
        <f t="array" ref="E156">GetValue("Typ","Name",D156)</f>
        <v>text</v>
      </c>
      <c r="F156" t="s">
        <v>6</v>
      </c>
    </row>
    <row r="157" spans="1:9">
      <c r="A157">
        <f t="shared" si="2"/>
        <v>154</v>
      </c>
      <c r="B157">
        <v>4</v>
      </c>
      <c r="C157" t="str" cm="1">
        <f t="array" ref="C157">GetValue("Eng","Name",B157)</f>
        <v>PostgreSQL</v>
      </c>
      <c r="D157">
        <v>31</v>
      </c>
      <c r="E157" t="str" cm="1">
        <f t="array" ref="E157">GetValue("Typ","Name",D157)</f>
        <v>time(s)</v>
      </c>
      <c r="F157" t="s">
        <v>704</v>
      </c>
    </row>
    <row r="158" spans="1:9">
      <c r="A158">
        <f t="shared" si="2"/>
        <v>155</v>
      </c>
      <c r="B158">
        <v>4</v>
      </c>
      <c r="C158" t="str" cm="1">
        <f t="array" ref="C158">GetValue("Eng","Name",B158)</f>
        <v>PostgreSQL</v>
      </c>
      <c r="D158">
        <v>32</v>
      </c>
      <c r="E158" t="str" cm="1">
        <f t="array" ref="E158">GetValue("Typ","Name",D158)</f>
        <v>timestamp</v>
      </c>
      <c r="F158" t="s">
        <v>677</v>
      </c>
    </row>
    <row r="159" spans="1:9">
      <c r="A159">
        <f t="shared" si="2"/>
        <v>156</v>
      </c>
      <c r="B159">
        <v>4</v>
      </c>
      <c r="C159" t="str" cm="1">
        <f t="array" ref="C159">GetValue("Eng","Name",B159)</f>
        <v>PostgreSQL</v>
      </c>
      <c r="D159">
        <v>33</v>
      </c>
      <c r="E159" t="str" cm="1">
        <f t="array" ref="E159">GetValue("Typ","Name",D159)</f>
        <v>tinyint (1 byte)</v>
      </c>
      <c r="F159" t="s">
        <v>42</v>
      </c>
    </row>
    <row r="160" spans="1:9">
      <c r="A160">
        <f t="shared" si="2"/>
        <v>157</v>
      </c>
      <c r="B160">
        <v>4</v>
      </c>
      <c r="C160" t="str" cm="1">
        <f t="array" ref="C160">GetValue("Eng","Name",B160)</f>
        <v>PostgreSQL</v>
      </c>
      <c r="D160">
        <v>34</v>
      </c>
      <c r="E160" t="str" cm="1">
        <f t="array" ref="E160">GetValue("Typ","Name",D160)</f>
        <v>uniqueidentifier</v>
      </c>
      <c r="F160" t="s">
        <v>682</v>
      </c>
    </row>
    <row r="161" spans="1:8">
      <c r="A161">
        <f t="shared" si="2"/>
        <v>158</v>
      </c>
      <c r="B161">
        <v>4</v>
      </c>
      <c r="C161" t="str" cm="1">
        <f t="array" ref="C161">GetValue("Eng","Name",B161)</f>
        <v>PostgreSQL</v>
      </c>
      <c r="D161">
        <v>35</v>
      </c>
      <c r="E161" t="str" cm="1">
        <f t="array" ref="E161">GetValue("Typ","Name",D161)</f>
        <v>varbinary(n)</v>
      </c>
      <c r="F161" t="s">
        <v>677</v>
      </c>
    </row>
    <row r="162" spans="1:8">
      <c r="A162">
        <f t="shared" si="2"/>
        <v>159</v>
      </c>
      <c r="B162">
        <v>4</v>
      </c>
      <c r="C162" t="str" cm="1">
        <f t="array" ref="C162">GetValue("Eng","Name",B162)</f>
        <v>PostgreSQL</v>
      </c>
      <c r="D162">
        <v>36</v>
      </c>
      <c r="E162" t="str" cm="1">
        <f t="array" ref="E162">GetValue("Typ","Name",D162)</f>
        <v>varbinary(max)</v>
      </c>
      <c r="F162" t="s">
        <v>677</v>
      </c>
    </row>
    <row r="163" spans="1:8">
      <c r="A163">
        <f t="shared" si="2"/>
        <v>160</v>
      </c>
      <c r="B163">
        <v>4</v>
      </c>
      <c r="C163" t="str" cm="1">
        <f t="array" ref="C163">GetValue("Eng","Name",B163)</f>
        <v>PostgreSQL</v>
      </c>
      <c r="D163">
        <v>37</v>
      </c>
      <c r="E163" t="str" cm="1">
        <f t="array" ref="E163">GetValue("Typ","Name",D163)</f>
        <v>varchar(n)</v>
      </c>
      <c r="F163" t="s">
        <v>50</v>
      </c>
    </row>
    <row r="164" spans="1:8">
      <c r="A164">
        <f t="shared" si="2"/>
        <v>161</v>
      </c>
      <c r="B164">
        <v>4</v>
      </c>
      <c r="C164" t="str" cm="1">
        <f t="array" ref="C164">GetValue("Eng","Name",B164)</f>
        <v>PostgreSQL</v>
      </c>
      <c r="D164">
        <v>38</v>
      </c>
      <c r="E164" t="str" cm="1">
        <f t="array" ref="E164">GetValue("Typ","Name",D164)</f>
        <v>varchar(max)</v>
      </c>
      <c r="F164" t="s">
        <v>6</v>
      </c>
    </row>
    <row r="165" spans="1:8">
      <c r="A165">
        <f t="shared" si="2"/>
        <v>162</v>
      </c>
      <c r="B165">
        <v>4</v>
      </c>
      <c r="C165" t="str" cm="1">
        <f t="array" ref="C165">GetValue("Eng","Name",B165)</f>
        <v>PostgreSQL</v>
      </c>
      <c r="D165">
        <v>39</v>
      </c>
      <c r="E165" t="str" cm="1">
        <f t="array" ref="E165">GetValue("Typ","Name",D165)</f>
        <v>xml</v>
      </c>
      <c r="F165" t="s">
        <v>51</v>
      </c>
    </row>
    <row r="166" spans="1:8">
      <c r="A166">
        <f t="shared" si="2"/>
        <v>163</v>
      </c>
      <c r="B166">
        <v>4</v>
      </c>
      <c r="C166" t="str" cm="1">
        <f t="array" ref="C166">GetValue("Eng","Name",B166)</f>
        <v>PostgreSQL</v>
      </c>
      <c r="D166">
        <v>40</v>
      </c>
      <c r="E166" t="str" cm="1">
        <f t="array" ref="E166">GetValue("Typ","Name",D166)</f>
        <v>json</v>
      </c>
      <c r="F166" t="s">
        <v>681</v>
      </c>
    </row>
    <row r="167" spans="1:8">
      <c r="A167">
        <f t="shared" si="2"/>
        <v>164</v>
      </c>
      <c r="B167">
        <v>4</v>
      </c>
      <c r="C167" t="str" cm="1">
        <f t="array" ref="C167">GetValue("Eng","Name",B167)</f>
        <v>PostgreSQL</v>
      </c>
      <c r="D167">
        <v>41</v>
      </c>
      <c r="E167" t="str" cm="1">
        <f t="array" ref="E167">GetValue("Typ","Name",D167)</f>
        <v>rowversion</v>
      </c>
      <c r="F167" t="s">
        <v>677</v>
      </c>
    </row>
    <row r="168" spans="1:8">
      <c r="A168">
        <f t="shared" si="2"/>
        <v>165</v>
      </c>
      <c r="B168">
        <v>5</v>
      </c>
      <c r="C168" t="str" cm="1">
        <f t="array" ref="C168">GetValue("Eng","Name",B168)</f>
        <v>Firebird</v>
      </c>
      <c r="D168">
        <v>1</v>
      </c>
      <c r="E168" t="str" cm="1">
        <f t="array" ref="E168">GetValue("Typ","Name",D168)</f>
        <v>bigint (8 bytes)</v>
      </c>
      <c r="F168" t="s">
        <v>151</v>
      </c>
    </row>
    <row r="169" spans="1:8">
      <c r="A169">
        <f t="shared" si="2"/>
        <v>166</v>
      </c>
      <c r="B169">
        <v>5</v>
      </c>
      <c r="C169" t="str" cm="1">
        <f t="array" ref="C169">GetValue("Eng","Name",B169)</f>
        <v>Firebird</v>
      </c>
      <c r="D169">
        <v>2</v>
      </c>
      <c r="E169" t="str" cm="1">
        <f t="array" ref="E169">GetValue("Typ","Name",D169)</f>
        <v>binary(n)</v>
      </c>
      <c r="F169" t="s">
        <v>696</v>
      </c>
    </row>
    <row r="170" spans="1:8">
      <c r="A170">
        <f t="shared" si="2"/>
        <v>167</v>
      </c>
      <c r="B170">
        <v>5</v>
      </c>
      <c r="C170" t="str" cm="1">
        <f t="array" ref="C170">GetValue("Eng","Name",B170)</f>
        <v>Firebird</v>
      </c>
      <c r="D170">
        <v>3</v>
      </c>
      <c r="E170" t="str" cm="1">
        <f t="array" ref="E170">GetValue("Typ","Name",D170)</f>
        <v>bit (1 bit)</v>
      </c>
      <c r="F170" t="s">
        <v>166</v>
      </c>
    </row>
    <row r="171" spans="1:8">
      <c r="A171">
        <f t="shared" si="2"/>
        <v>168</v>
      </c>
      <c r="B171">
        <v>5</v>
      </c>
      <c r="C171" t="str" cm="1">
        <f t="array" ref="C171">GetValue("Eng","Name",B171)</f>
        <v>Firebird</v>
      </c>
      <c r="D171">
        <v>4</v>
      </c>
      <c r="E171" t="str" cm="1">
        <f t="array" ref="E171">GetValue("Typ","Name",D171)</f>
        <v>char(n)</v>
      </c>
      <c r="F171" t="s">
        <v>153</v>
      </c>
    </row>
    <row r="172" spans="1:8">
      <c r="A172">
        <f t="shared" si="2"/>
        <v>169</v>
      </c>
      <c r="B172">
        <v>5</v>
      </c>
      <c r="C172" t="str" cm="1">
        <f t="array" ref="C172">GetValue("Eng","Name",B172)</f>
        <v>Firebird</v>
      </c>
      <c r="D172">
        <v>5</v>
      </c>
      <c r="E172" t="str" cm="1">
        <f t="array" ref="E172">GetValue("Typ","Name",D172)</f>
        <v>date</v>
      </c>
      <c r="F172" t="s">
        <v>154</v>
      </c>
    </row>
    <row r="173" spans="1:8">
      <c r="A173">
        <f t="shared" si="2"/>
        <v>170</v>
      </c>
      <c r="B173">
        <v>5</v>
      </c>
      <c r="C173" t="str" cm="1">
        <f t="array" ref="C173">GetValue("Eng","Name",B173)</f>
        <v>Firebird</v>
      </c>
      <c r="D173">
        <v>6</v>
      </c>
      <c r="E173" t="str" cm="1">
        <f t="array" ref="E173">GetValue("Typ","Name",D173)</f>
        <v>datetime</v>
      </c>
      <c r="F173" t="s">
        <v>155</v>
      </c>
    </row>
    <row r="174" spans="1:8">
      <c r="A174">
        <f t="shared" si="2"/>
        <v>171</v>
      </c>
      <c r="B174">
        <v>5</v>
      </c>
      <c r="C174" t="str" cm="1">
        <f t="array" ref="C174">GetValue("Eng","Name",B174)</f>
        <v>Firebird</v>
      </c>
      <c r="D174">
        <v>7</v>
      </c>
      <c r="E174" t="str" cm="1">
        <f t="array" ref="E174">GetValue("Typ","Name",D174)</f>
        <v>datetime2(s)</v>
      </c>
      <c r="F174" t="s">
        <v>155</v>
      </c>
    </row>
    <row r="175" spans="1:8">
      <c r="A175">
        <f t="shared" si="2"/>
        <v>172</v>
      </c>
      <c r="B175">
        <v>5</v>
      </c>
      <c r="C175" t="str" cm="1">
        <f t="array" ref="C175">GetValue("Eng","Name",B175)</f>
        <v>Firebird</v>
      </c>
      <c r="D175">
        <v>8</v>
      </c>
      <c r="E175" t="str" cm="1">
        <f t="array" ref="E175">GetValue("Typ","Name",D175)</f>
        <v>datetimeoffset(s)</v>
      </c>
      <c r="F175" t="s">
        <v>156</v>
      </c>
    </row>
    <row r="176" spans="1:8">
      <c r="A176">
        <f t="shared" si="2"/>
        <v>173</v>
      </c>
      <c r="B176">
        <v>5</v>
      </c>
      <c r="C176" t="str" cm="1">
        <f t="array" ref="C176">GetValue("Eng","Name",B176)</f>
        <v>Firebird</v>
      </c>
      <c r="D176">
        <v>9</v>
      </c>
      <c r="E176" t="str" cm="1">
        <f t="array" ref="E176">GetValue("Typ","Name",D176)</f>
        <v>decimal(p,0)</v>
      </c>
      <c r="F176" t="s">
        <v>191</v>
      </c>
      <c r="H176">
        <v>0</v>
      </c>
    </row>
    <row r="177" spans="1:8">
      <c r="A177">
        <f t="shared" si="2"/>
        <v>174</v>
      </c>
      <c r="B177">
        <v>5</v>
      </c>
      <c r="C177" t="str" cm="1">
        <f t="array" ref="C177">GetValue("Eng","Name",B177)</f>
        <v>Firebird</v>
      </c>
      <c r="D177">
        <v>10</v>
      </c>
      <c r="E177" t="str" cm="1">
        <f t="array" ref="E177">GetValue("Typ","Name",D177)</f>
        <v>decimal(p ,s)</v>
      </c>
      <c r="F177" t="s">
        <v>191</v>
      </c>
    </row>
    <row r="178" spans="1:8">
      <c r="A178">
        <f t="shared" si="2"/>
        <v>175</v>
      </c>
      <c r="B178">
        <v>5</v>
      </c>
      <c r="C178" t="str" cm="1">
        <f t="array" ref="C178">GetValue("Eng","Name",B178)</f>
        <v>Firebird</v>
      </c>
      <c r="D178">
        <v>11</v>
      </c>
      <c r="E178" t="str" cm="1">
        <f t="array" ref="E178">GetValue("Typ","Name",D178)</f>
        <v>float(n)</v>
      </c>
      <c r="F178" t="s">
        <v>163</v>
      </c>
    </row>
    <row r="179" spans="1:8">
      <c r="A179">
        <f t="shared" si="2"/>
        <v>176</v>
      </c>
      <c r="B179">
        <v>5</v>
      </c>
      <c r="C179" t="str" cm="1">
        <f t="array" ref="C179">GetValue("Eng","Name",B179)</f>
        <v>Firebird</v>
      </c>
      <c r="D179">
        <v>12</v>
      </c>
      <c r="E179" t="str" cm="1">
        <f t="array" ref="E179">GetValue("Typ","Name",D179)</f>
        <v>geography</v>
      </c>
      <c r="F179" t="s">
        <v>683</v>
      </c>
    </row>
    <row r="180" spans="1:8">
      <c r="A180">
        <f t="shared" si="2"/>
        <v>177</v>
      </c>
      <c r="B180">
        <v>5</v>
      </c>
      <c r="C180" t="str" cm="1">
        <f t="array" ref="C180">GetValue("Eng","Name",B180)</f>
        <v>Firebird</v>
      </c>
      <c r="D180">
        <v>13</v>
      </c>
      <c r="E180" t="str" cm="1">
        <f t="array" ref="E180">GetValue("Typ","Name",D180)</f>
        <v>geometry</v>
      </c>
      <c r="F180" t="s">
        <v>683</v>
      </c>
    </row>
    <row r="181" spans="1:8">
      <c r="A181">
        <f t="shared" si="2"/>
        <v>178</v>
      </c>
      <c r="B181">
        <v>5</v>
      </c>
      <c r="C181" t="str" cm="1">
        <f t="array" ref="C181">GetValue("Eng","Name",B181)</f>
        <v>Firebird</v>
      </c>
      <c r="D181">
        <v>14</v>
      </c>
      <c r="E181" t="str" cm="1">
        <f t="array" ref="E181">GetValue("Typ","Name",D181)</f>
        <v>hierarchyid</v>
      </c>
      <c r="F181" t="s">
        <v>161</v>
      </c>
      <c r="G181">
        <v>1024</v>
      </c>
    </row>
    <row r="182" spans="1:8">
      <c r="A182">
        <f t="shared" si="2"/>
        <v>179</v>
      </c>
      <c r="B182">
        <v>5</v>
      </c>
      <c r="C182" t="str" cm="1">
        <f t="array" ref="C182">GetValue("Eng","Name",B182)</f>
        <v>Firebird</v>
      </c>
      <c r="D182">
        <v>15</v>
      </c>
      <c r="E182" t="str" cm="1">
        <f t="array" ref="E182">GetValue("Typ","Name",D182)</f>
        <v>image</v>
      </c>
      <c r="F182" t="s">
        <v>683</v>
      </c>
    </row>
    <row r="183" spans="1:8">
      <c r="A183">
        <f t="shared" si="2"/>
        <v>180</v>
      </c>
      <c r="B183">
        <v>5</v>
      </c>
      <c r="C183" t="str" cm="1">
        <f t="array" ref="C183">GetValue("Eng","Name",B183)</f>
        <v>Firebird</v>
      </c>
      <c r="D183">
        <v>16</v>
      </c>
      <c r="E183" t="str" cm="1">
        <f t="array" ref="E183">GetValue("Typ","Name",D183)</f>
        <v>int (4 bytes)</v>
      </c>
      <c r="F183" t="s">
        <v>158</v>
      </c>
    </row>
    <row r="184" spans="1:8">
      <c r="A184">
        <f t="shared" si="2"/>
        <v>181</v>
      </c>
      <c r="B184">
        <v>5</v>
      </c>
      <c r="C184" t="str" cm="1">
        <f t="array" ref="C184">GetValue("Eng","Name",B184)</f>
        <v>Firebird</v>
      </c>
      <c r="D184">
        <v>17</v>
      </c>
      <c r="E184" t="str" cm="1">
        <f t="array" ref="E184">GetValue("Typ","Name",D184)</f>
        <v>money</v>
      </c>
      <c r="F184" t="s">
        <v>191</v>
      </c>
      <c r="G184">
        <v>19</v>
      </c>
      <c r="H184">
        <v>4</v>
      </c>
    </row>
    <row r="185" spans="1:8">
      <c r="A185">
        <f t="shared" si="2"/>
        <v>182</v>
      </c>
      <c r="B185">
        <v>5</v>
      </c>
      <c r="C185" t="str" cm="1">
        <f t="array" ref="C185">GetValue("Eng","Name",B185)</f>
        <v>Firebird</v>
      </c>
      <c r="D185">
        <v>18</v>
      </c>
      <c r="E185" t="str" cm="1">
        <f t="array" ref="E185">GetValue("Typ","Name",D185)</f>
        <v>nchar(n)</v>
      </c>
      <c r="F185" t="s">
        <v>697</v>
      </c>
    </row>
    <row r="186" spans="1:8">
      <c r="A186">
        <f t="shared" si="2"/>
        <v>183</v>
      </c>
      <c r="B186">
        <v>5</v>
      </c>
      <c r="C186" t="str" cm="1">
        <f t="array" ref="C186">GetValue("Eng","Name",B186)</f>
        <v>Firebird</v>
      </c>
      <c r="D186">
        <v>19</v>
      </c>
      <c r="E186" t="str" cm="1">
        <f t="array" ref="E186">GetValue("Typ","Name",D186)</f>
        <v>ntext</v>
      </c>
      <c r="F186" t="s">
        <v>684</v>
      </c>
    </row>
    <row r="187" spans="1:8">
      <c r="A187">
        <f t="shared" si="2"/>
        <v>184</v>
      </c>
      <c r="B187">
        <v>5</v>
      </c>
      <c r="C187" t="str" cm="1">
        <f t="array" ref="C187">GetValue("Eng","Name",B187)</f>
        <v>Firebird</v>
      </c>
      <c r="D187">
        <v>20</v>
      </c>
      <c r="E187" t="str" cm="1">
        <f t="array" ref="E187">GetValue("Typ","Name",D187)</f>
        <v>numeric(p,0)</v>
      </c>
      <c r="F187" t="s">
        <v>192</v>
      </c>
      <c r="H187">
        <v>0</v>
      </c>
    </row>
    <row r="188" spans="1:8">
      <c r="A188">
        <f t="shared" si="2"/>
        <v>185</v>
      </c>
      <c r="B188">
        <v>5</v>
      </c>
      <c r="C188" t="str" cm="1">
        <f t="array" ref="C188">GetValue("Eng","Name",B188)</f>
        <v>Firebird</v>
      </c>
      <c r="D188">
        <v>21</v>
      </c>
      <c r="E188" t="str" cm="1">
        <f t="array" ref="E188">GetValue("Typ","Name",D188)</f>
        <v>numeric(p,s)</v>
      </c>
      <c r="F188" t="s">
        <v>192</v>
      </c>
    </row>
    <row r="189" spans="1:8">
      <c r="A189">
        <f t="shared" si="2"/>
        <v>186</v>
      </c>
      <c r="B189">
        <v>5</v>
      </c>
      <c r="C189" t="str" cm="1">
        <f t="array" ref="C189">GetValue("Eng","Name",B189)</f>
        <v>Firebird</v>
      </c>
      <c r="D189">
        <v>22</v>
      </c>
      <c r="E189" t="str" cm="1">
        <f t="array" ref="E189">GetValue("Typ","Name",D189)</f>
        <v>nvarchar(n)</v>
      </c>
      <c r="F189" t="s">
        <v>698</v>
      </c>
    </row>
    <row r="190" spans="1:8">
      <c r="A190">
        <f t="shared" si="2"/>
        <v>187</v>
      </c>
      <c r="B190">
        <v>5</v>
      </c>
      <c r="C190" t="str" cm="1">
        <f t="array" ref="C190">GetValue("Eng","Name",B190)</f>
        <v>Firebird</v>
      </c>
      <c r="D190">
        <v>23</v>
      </c>
      <c r="E190" t="str" cm="1">
        <f t="array" ref="E190">GetValue("Typ","Name",D190)</f>
        <v>nvarchar(max)</v>
      </c>
      <c r="F190" t="s">
        <v>684</v>
      </c>
    </row>
    <row r="191" spans="1:8">
      <c r="A191">
        <f t="shared" si="2"/>
        <v>188</v>
      </c>
      <c r="B191">
        <v>5</v>
      </c>
      <c r="C191" t="str" cm="1">
        <f t="array" ref="C191">GetValue("Eng","Name",B191)</f>
        <v>Firebird</v>
      </c>
      <c r="D191">
        <v>24</v>
      </c>
      <c r="E191" t="str" cm="1">
        <f t="array" ref="E191">GetValue("Typ","Name",D191)</f>
        <v>real</v>
      </c>
      <c r="F191" t="s">
        <v>165</v>
      </c>
    </row>
    <row r="192" spans="1:8">
      <c r="A192">
        <f t="shared" si="2"/>
        <v>189</v>
      </c>
      <c r="B192">
        <v>5</v>
      </c>
      <c r="C192" t="str" cm="1">
        <f t="array" ref="C192">GetValue("Eng","Name",B192)</f>
        <v>Firebird</v>
      </c>
      <c r="D192">
        <v>25</v>
      </c>
      <c r="E192" t="str" cm="1">
        <f t="array" ref="E192">GetValue("Typ","Name",D192)</f>
        <v>smalldatetime</v>
      </c>
      <c r="F192" t="s">
        <v>155</v>
      </c>
    </row>
    <row r="193" spans="1:9">
      <c r="A193">
        <f t="shared" si="2"/>
        <v>190</v>
      </c>
      <c r="B193">
        <v>5</v>
      </c>
      <c r="C193" t="str" cm="1">
        <f t="array" ref="C193">GetValue("Eng","Name",B193)</f>
        <v>Firebird</v>
      </c>
      <c r="D193">
        <v>26</v>
      </c>
      <c r="E193" t="str" cm="1">
        <f t="array" ref="E193">GetValue("Typ","Name",D193)</f>
        <v>smallint (2 bytes)</v>
      </c>
      <c r="F193" t="s">
        <v>152</v>
      </c>
    </row>
    <row r="194" spans="1:9">
      <c r="A194">
        <f t="shared" si="2"/>
        <v>191</v>
      </c>
      <c r="B194">
        <v>5</v>
      </c>
      <c r="C194" t="str" cm="1">
        <f t="array" ref="C194">GetValue("Eng","Name",B194)</f>
        <v>Firebird</v>
      </c>
      <c r="D194">
        <v>27</v>
      </c>
      <c r="E194" t="str" cm="1">
        <f t="array" ref="E194">GetValue("Typ","Name",D194)</f>
        <v>smallmoney</v>
      </c>
      <c r="F194" t="s">
        <v>191</v>
      </c>
      <c r="G194">
        <v>10</v>
      </c>
      <c r="H194">
        <v>4</v>
      </c>
    </row>
    <row r="195" spans="1:9">
      <c r="A195">
        <f t="shared" si="2"/>
        <v>192</v>
      </c>
      <c r="B195">
        <v>5</v>
      </c>
      <c r="C195" t="str" cm="1">
        <f t="array" ref="C195">GetValue("Eng","Name",B195)</f>
        <v>Firebird</v>
      </c>
      <c r="D195">
        <v>28</v>
      </c>
      <c r="E195" t="str" cm="1">
        <f t="array" ref="E195">GetValue("Typ","Name",D195)</f>
        <v>sql_variant</v>
      </c>
      <c r="F195" t="s">
        <v>198</v>
      </c>
    </row>
    <row r="196" spans="1:9">
      <c r="A196">
        <f t="shared" si="2"/>
        <v>193</v>
      </c>
      <c r="B196">
        <v>5</v>
      </c>
      <c r="C196" t="str" cm="1">
        <f t="array" ref="C196">GetValue("Eng","Name",B196)</f>
        <v>Firebird</v>
      </c>
      <c r="D196">
        <v>29</v>
      </c>
      <c r="E196" t="str" cm="1">
        <f t="array" ref="E196">GetValue("Typ","Name",D196)</f>
        <v>sysname</v>
      </c>
      <c r="F196" t="s">
        <v>161</v>
      </c>
      <c r="G196">
        <v>128</v>
      </c>
      <c r="I196" t="s">
        <v>708</v>
      </c>
    </row>
    <row r="197" spans="1:9">
      <c r="A197">
        <f t="shared" si="2"/>
        <v>194</v>
      </c>
      <c r="B197">
        <v>5</v>
      </c>
      <c r="C197" t="str" cm="1">
        <f t="array" ref="C197">GetValue("Eng","Name",B197)</f>
        <v>Firebird</v>
      </c>
      <c r="D197">
        <v>30</v>
      </c>
      <c r="E197" t="str" cm="1">
        <f t="array" ref="E197">GetValue("Typ","Name",D197)</f>
        <v>text</v>
      </c>
      <c r="F197" t="s">
        <v>198</v>
      </c>
    </row>
    <row r="198" spans="1:9">
      <c r="A198">
        <f t="shared" si="2"/>
        <v>195</v>
      </c>
      <c r="B198">
        <v>5</v>
      </c>
      <c r="C198" t="str" cm="1">
        <f t="array" ref="C198">GetValue("Eng","Name",B198)</f>
        <v>Firebird</v>
      </c>
      <c r="D198">
        <v>31</v>
      </c>
      <c r="E198" t="str" cm="1">
        <f t="array" ref="E198">GetValue("Typ","Name",D198)</f>
        <v>time(s)</v>
      </c>
      <c r="F198" t="s">
        <v>160</v>
      </c>
    </row>
    <row r="199" spans="1:9">
      <c r="A199">
        <f t="shared" ref="A199:A262" si="3">ROW(A199)-3</f>
        <v>196</v>
      </c>
      <c r="B199">
        <v>5</v>
      </c>
      <c r="C199" t="str" cm="1">
        <f t="array" ref="C199">GetValue("Eng","Name",B199)</f>
        <v>Firebird</v>
      </c>
      <c r="D199">
        <v>32</v>
      </c>
      <c r="E199" t="str" cm="1">
        <f t="array" ref="E199">GetValue("Typ","Name",D199)</f>
        <v>timestamp</v>
      </c>
      <c r="F199" t="s">
        <v>151</v>
      </c>
    </row>
    <row r="200" spans="1:9">
      <c r="A200">
        <f t="shared" si="3"/>
        <v>197</v>
      </c>
      <c r="B200">
        <v>5</v>
      </c>
      <c r="C200" t="str" cm="1">
        <f t="array" ref="C200">GetValue("Eng","Name",B200)</f>
        <v>Firebird</v>
      </c>
      <c r="D200">
        <v>33</v>
      </c>
      <c r="E200" t="str" cm="1">
        <f t="array" ref="E200">GetValue("Typ","Name",D200)</f>
        <v>tinyint (1 byte)</v>
      </c>
      <c r="F200" t="s">
        <v>152</v>
      </c>
    </row>
    <row r="201" spans="1:9">
      <c r="A201">
        <f t="shared" si="3"/>
        <v>198</v>
      </c>
      <c r="B201">
        <v>5</v>
      </c>
      <c r="C201" t="str" cm="1">
        <f t="array" ref="C201">GetValue("Eng","Name",B201)</f>
        <v>Firebird</v>
      </c>
      <c r="D201">
        <v>34</v>
      </c>
      <c r="E201" t="str" cm="1">
        <f t="array" ref="E201">GetValue("Typ","Name",D201)</f>
        <v>uniqueidentifier</v>
      </c>
      <c r="F201" t="s">
        <v>153</v>
      </c>
      <c r="G201">
        <v>36</v>
      </c>
      <c r="I201" t="s">
        <v>709</v>
      </c>
    </row>
    <row r="202" spans="1:9">
      <c r="A202">
        <f t="shared" si="3"/>
        <v>199</v>
      </c>
      <c r="B202">
        <v>5</v>
      </c>
      <c r="C202" t="str" cm="1">
        <f t="array" ref="C202">GetValue("Eng","Name",B202)</f>
        <v>Firebird</v>
      </c>
      <c r="D202">
        <v>35</v>
      </c>
      <c r="E202" t="str" cm="1">
        <f t="array" ref="E202">GetValue("Typ","Name",D202)</f>
        <v>varbinary(n)</v>
      </c>
      <c r="F202" t="s">
        <v>699</v>
      </c>
    </row>
    <row r="203" spans="1:9">
      <c r="A203">
        <f t="shared" si="3"/>
        <v>200</v>
      </c>
      <c r="B203">
        <v>5</v>
      </c>
      <c r="C203" t="str" cm="1">
        <f t="array" ref="C203">GetValue("Eng","Name",B203)</f>
        <v>Firebird</v>
      </c>
      <c r="D203">
        <v>36</v>
      </c>
      <c r="E203" t="str" cm="1">
        <f t="array" ref="E203">GetValue("Typ","Name",D203)</f>
        <v>varbinary(max)</v>
      </c>
      <c r="F203" t="s">
        <v>683</v>
      </c>
    </row>
    <row r="204" spans="1:9">
      <c r="A204">
        <f t="shared" si="3"/>
        <v>201</v>
      </c>
      <c r="B204">
        <v>5</v>
      </c>
      <c r="C204" t="str" cm="1">
        <f t="array" ref="C204">GetValue("Eng","Name",B204)</f>
        <v>Firebird</v>
      </c>
      <c r="D204">
        <v>37</v>
      </c>
      <c r="E204" t="str" cm="1">
        <f t="array" ref="E204">GetValue("Typ","Name",D204)</f>
        <v>varchar(n)</v>
      </c>
      <c r="F204" t="s">
        <v>161</v>
      </c>
    </row>
    <row r="205" spans="1:9">
      <c r="A205">
        <f t="shared" si="3"/>
        <v>202</v>
      </c>
      <c r="B205">
        <v>5</v>
      </c>
      <c r="C205" t="str" cm="1">
        <f t="array" ref="C205">GetValue("Eng","Name",B205)</f>
        <v>Firebird</v>
      </c>
      <c r="D205">
        <v>38</v>
      </c>
      <c r="E205" t="str" cm="1">
        <f t="array" ref="E205">GetValue("Typ","Name",D205)</f>
        <v>varchar(max)</v>
      </c>
      <c r="F205" t="s">
        <v>198</v>
      </c>
    </row>
    <row r="206" spans="1:9">
      <c r="A206">
        <f t="shared" si="3"/>
        <v>203</v>
      </c>
      <c r="B206">
        <v>5</v>
      </c>
      <c r="C206" t="str" cm="1">
        <f t="array" ref="C206">GetValue("Eng","Name",B206)</f>
        <v>Firebird</v>
      </c>
      <c r="D206">
        <v>39</v>
      </c>
      <c r="E206" t="str" cm="1">
        <f t="array" ref="E206">GetValue("Typ","Name",D206)</f>
        <v>xml</v>
      </c>
      <c r="F206" t="s">
        <v>198</v>
      </c>
    </row>
    <row r="207" spans="1:9">
      <c r="A207">
        <f t="shared" si="3"/>
        <v>204</v>
      </c>
      <c r="B207">
        <v>5</v>
      </c>
      <c r="C207" t="str" cm="1">
        <f t="array" ref="C207">GetValue("Eng","Name",B207)</f>
        <v>Firebird</v>
      </c>
      <c r="D207">
        <v>40</v>
      </c>
      <c r="E207" t="str" cm="1">
        <f t="array" ref="E207">GetValue("Typ","Name",D207)</f>
        <v>json</v>
      </c>
      <c r="F207" t="s">
        <v>198</v>
      </c>
    </row>
    <row r="208" spans="1:9">
      <c r="A208">
        <f t="shared" si="3"/>
        <v>205</v>
      </c>
      <c r="B208">
        <v>5</v>
      </c>
      <c r="C208" t="str" cm="1">
        <f t="array" ref="C208">GetValue("Eng","Name",B208)</f>
        <v>Firebird</v>
      </c>
      <c r="D208">
        <v>41</v>
      </c>
      <c r="E208" t="str" cm="1">
        <f t="array" ref="E208">GetValue("Typ","Name",D208)</f>
        <v>rowversion</v>
      </c>
      <c r="F208" t="s">
        <v>151</v>
      </c>
    </row>
    <row r="209" spans="1:8">
      <c r="A209">
        <f t="shared" si="3"/>
        <v>206</v>
      </c>
      <c r="B209">
        <v>6</v>
      </c>
      <c r="C209" t="str" cm="1">
        <f t="array" ref="C209">GetValue("Eng","Name",B209)</f>
        <v>Interbase</v>
      </c>
      <c r="D209">
        <v>1</v>
      </c>
      <c r="E209" t="str" cm="1">
        <f t="array" ref="E209">GetValue("Typ","Name",D209)</f>
        <v>bigint (8 bytes)</v>
      </c>
      <c r="F209" t="s">
        <v>151</v>
      </c>
    </row>
    <row r="210" spans="1:8">
      <c r="A210">
        <f t="shared" si="3"/>
        <v>207</v>
      </c>
      <c r="B210">
        <v>6</v>
      </c>
      <c r="C210" t="str" cm="1">
        <f t="array" ref="C210">GetValue("Eng","Name",B210)</f>
        <v>Interbase</v>
      </c>
      <c r="D210">
        <v>2</v>
      </c>
      <c r="E210" t="str" cm="1">
        <f t="array" ref="E210">GetValue("Typ","Name",D210)</f>
        <v>binary(n)</v>
      </c>
      <c r="F210" t="s">
        <v>696</v>
      </c>
    </row>
    <row r="211" spans="1:8">
      <c r="A211">
        <f t="shared" si="3"/>
        <v>208</v>
      </c>
      <c r="B211">
        <v>6</v>
      </c>
      <c r="C211" t="str" cm="1">
        <f t="array" ref="C211">GetValue("Eng","Name",B211)</f>
        <v>Interbase</v>
      </c>
      <c r="D211">
        <v>3</v>
      </c>
      <c r="E211" t="str" cm="1">
        <f t="array" ref="E211">GetValue("Typ","Name",D211)</f>
        <v>bit (1 bit)</v>
      </c>
      <c r="F211" t="s">
        <v>166</v>
      </c>
    </row>
    <row r="212" spans="1:8">
      <c r="A212">
        <f t="shared" si="3"/>
        <v>209</v>
      </c>
      <c r="B212">
        <v>6</v>
      </c>
      <c r="C212" t="str" cm="1">
        <f t="array" ref="C212">GetValue("Eng","Name",B212)</f>
        <v>Interbase</v>
      </c>
      <c r="D212">
        <v>4</v>
      </c>
      <c r="E212" t="str" cm="1">
        <f t="array" ref="E212">GetValue("Typ","Name",D212)</f>
        <v>char(n)</v>
      </c>
      <c r="F212" t="s">
        <v>153</v>
      </c>
    </row>
    <row r="213" spans="1:8">
      <c r="A213">
        <f t="shared" si="3"/>
        <v>210</v>
      </c>
      <c r="B213">
        <v>6</v>
      </c>
      <c r="C213" t="str" cm="1">
        <f t="array" ref="C213">GetValue("Eng","Name",B213)</f>
        <v>Interbase</v>
      </c>
      <c r="D213">
        <v>5</v>
      </c>
      <c r="E213" t="str" cm="1">
        <f t="array" ref="E213">GetValue("Typ","Name",D213)</f>
        <v>date</v>
      </c>
      <c r="F213" t="s">
        <v>154</v>
      </c>
    </row>
    <row r="214" spans="1:8">
      <c r="A214">
        <f t="shared" si="3"/>
        <v>211</v>
      </c>
      <c r="B214">
        <v>6</v>
      </c>
      <c r="C214" t="str" cm="1">
        <f t="array" ref="C214">GetValue("Eng","Name",B214)</f>
        <v>Interbase</v>
      </c>
      <c r="D214">
        <v>6</v>
      </c>
      <c r="E214" t="str" cm="1">
        <f t="array" ref="E214">GetValue("Typ","Name",D214)</f>
        <v>datetime</v>
      </c>
      <c r="F214" t="s">
        <v>155</v>
      </c>
    </row>
    <row r="215" spans="1:8">
      <c r="A215">
        <f t="shared" si="3"/>
        <v>212</v>
      </c>
      <c r="B215">
        <v>6</v>
      </c>
      <c r="C215" t="str" cm="1">
        <f t="array" ref="C215">GetValue("Eng","Name",B215)</f>
        <v>Interbase</v>
      </c>
      <c r="D215">
        <v>7</v>
      </c>
      <c r="E215" t="str" cm="1">
        <f t="array" ref="E215">GetValue("Typ","Name",D215)</f>
        <v>datetime2(s)</v>
      </c>
      <c r="F215" t="s">
        <v>155</v>
      </c>
    </row>
    <row r="216" spans="1:8">
      <c r="A216">
        <f t="shared" si="3"/>
        <v>213</v>
      </c>
      <c r="B216">
        <v>6</v>
      </c>
      <c r="C216" t="str" cm="1">
        <f t="array" ref="C216">GetValue("Eng","Name",B216)</f>
        <v>Interbase</v>
      </c>
      <c r="D216">
        <v>8</v>
      </c>
      <c r="E216" t="str" cm="1">
        <f t="array" ref="E216">GetValue("Typ","Name",D216)</f>
        <v>datetimeoffset(s)</v>
      </c>
      <c r="F216" t="s">
        <v>155</v>
      </c>
    </row>
    <row r="217" spans="1:8">
      <c r="A217">
        <f t="shared" si="3"/>
        <v>214</v>
      </c>
      <c r="B217">
        <v>6</v>
      </c>
      <c r="C217" t="str" cm="1">
        <f t="array" ref="C217">GetValue("Eng","Name",B217)</f>
        <v>Interbase</v>
      </c>
      <c r="D217">
        <v>9</v>
      </c>
      <c r="E217" t="str" cm="1">
        <f t="array" ref="E217">GetValue("Typ","Name",D217)</f>
        <v>decimal(p,0)</v>
      </c>
      <c r="F217" t="s">
        <v>191</v>
      </c>
      <c r="H217">
        <v>0</v>
      </c>
    </row>
    <row r="218" spans="1:8">
      <c r="A218">
        <f t="shared" si="3"/>
        <v>215</v>
      </c>
      <c r="B218">
        <v>6</v>
      </c>
      <c r="C218" t="str" cm="1">
        <f t="array" ref="C218">GetValue("Eng","Name",B218)</f>
        <v>Interbase</v>
      </c>
      <c r="D218">
        <v>10</v>
      </c>
      <c r="E218" t="str" cm="1">
        <f t="array" ref="E218">GetValue("Typ","Name",D218)</f>
        <v>decimal(p ,s)</v>
      </c>
      <c r="F218" t="s">
        <v>191</v>
      </c>
    </row>
    <row r="219" spans="1:8">
      <c r="A219">
        <f t="shared" si="3"/>
        <v>216</v>
      </c>
      <c r="B219">
        <v>6</v>
      </c>
      <c r="C219" t="str" cm="1">
        <f t="array" ref="C219">GetValue("Eng","Name",B219)</f>
        <v>Interbase</v>
      </c>
      <c r="D219">
        <v>11</v>
      </c>
      <c r="E219" t="str" cm="1">
        <f t="array" ref="E219">GetValue("Typ","Name",D219)</f>
        <v>float(n)</v>
      </c>
      <c r="F219" t="s">
        <v>163</v>
      </c>
    </row>
    <row r="220" spans="1:8">
      <c r="A220">
        <f t="shared" si="3"/>
        <v>217</v>
      </c>
      <c r="B220">
        <v>6</v>
      </c>
      <c r="C220" t="str" cm="1">
        <f t="array" ref="C220">GetValue("Eng","Name",B220)</f>
        <v>Interbase</v>
      </c>
      <c r="D220">
        <v>12</v>
      </c>
      <c r="E220" t="str" cm="1">
        <f t="array" ref="E220">GetValue("Typ","Name",D220)</f>
        <v>geography</v>
      </c>
      <c r="F220" t="s">
        <v>164</v>
      </c>
    </row>
    <row r="221" spans="1:8">
      <c r="A221">
        <f t="shared" si="3"/>
        <v>218</v>
      </c>
      <c r="B221">
        <v>6</v>
      </c>
      <c r="C221" t="str" cm="1">
        <f t="array" ref="C221">GetValue("Eng","Name",B221)</f>
        <v>Interbase</v>
      </c>
      <c r="D221">
        <v>13</v>
      </c>
      <c r="E221" t="str" cm="1">
        <f t="array" ref="E221">GetValue("Typ","Name",D221)</f>
        <v>geometry</v>
      </c>
      <c r="F221" t="s">
        <v>164</v>
      </c>
    </row>
    <row r="222" spans="1:8">
      <c r="A222">
        <f t="shared" si="3"/>
        <v>219</v>
      </c>
      <c r="B222">
        <v>6</v>
      </c>
      <c r="C222" t="str" cm="1">
        <f t="array" ref="C222">GetValue("Eng","Name",B222)</f>
        <v>Interbase</v>
      </c>
      <c r="D222">
        <v>14</v>
      </c>
      <c r="E222" t="str" cm="1">
        <f t="array" ref="E222">GetValue("Typ","Name",D222)</f>
        <v>hierarchyid</v>
      </c>
      <c r="F222" t="s">
        <v>161</v>
      </c>
      <c r="G222">
        <v>1024</v>
      </c>
    </row>
    <row r="223" spans="1:8">
      <c r="A223">
        <f t="shared" si="3"/>
        <v>220</v>
      </c>
      <c r="B223">
        <v>6</v>
      </c>
      <c r="C223" t="str" cm="1">
        <f t="array" ref="C223">GetValue("Eng","Name",B223)</f>
        <v>Interbase</v>
      </c>
      <c r="D223">
        <v>15</v>
      </c>
      <c r="E223" t="str" cm="1">
        <f t="array" ref="E223">GetValue("Typ","Name",D223)</f>
        <v>image</v>
      </c>
      <c r="F223" t="s">
        <v>164</v>
      </c>
    </row>
    <row r="224" spans="1:8">
      <c r="A224">
        <f t="shared" si="3"/>
        <v>221</v>
      </c>
      <c r="B224">
        <v>6</v>
      </c>
      <c r="C224" t="str" cm="1">
        <f t="array" ref="C224">GetValue("Eng","Name",B224)</f>
        <v>Interbase</v>
      </c>
      <c r="D224">
        <v>16</v>
      </c>
      <c r="E224" t="str" cm="1">
        <f t="array" ref="E224">GetValue("Typ","Name",D224)</f>
        <v>int (4 bytes)</v>
      </c>
      <c r="F224" t="s">
        <v>158</v>
      </c>
    </row>
    <row r="225" spans="1:9">
      <c r="A225">
        <f t="shared" si="3"/>
        <v>222</v>
      </c>
      <c r="B225">
        <v>6</v>
      </c>
      <c r="C225" t="str" cm="1">
        <f t="array" ref="C225">GetValue("Eng","Name",B225)</f>
        <v>Interbase</v>
      </c>
      <c r="D225">
        <v>17</v>
      </c>
      <c r="E225" t="str" cm="1">
        <f t="array" ref="E225">GetValue("Typ","Name",D225)</f>
        <v>money</v>
      </c>
      <c r="F225" t="s">
        <v>191</v>
      </c>
      <c r="G225">
        <v>19</v>
      </c>
      <c r="H225">
        <v>4</v>
      </c>
    </row>
    <row r="226" spans="1:9">
      <c r="A226">
        <f t="shared" si="3"/>
        <v>223</v>
      </c>
      <c r="B226">
        <v>6</v>
      </c>
      <c r="C226" t="str" cm="1">
        <f t="array" ref="C226">GetValue("Eng","Name",B226)</f>
        <v>Interbase</v>
      </c>
      <c r="D226">
        <v>18</v>
      </c>
      <c r="E226" t="str" cm="1">
        <f t="array" ref="E226">GetValue("Typ","Name",D226)</f>
        <v>nchar(n)</v>
      </c>
      <c r="F226" t="s">
        <v>697</v>
      </c>
    </row>
    <row r="227" spans="1:9">
      <c r="A227">
        <f t="shared" si="3"/>
        <v>224</v>
      </c>
      <c r="B227">
        <v>6</v>
      </c>
      <c r="C227" t="str" cm="1">
        <f t="array" ref="C227">GetValue("Eng","Name",B227)</f>
        <v>Interbase</v>
      </c>
      <c r="D227">
        <v>19</v>
      </c>
      <c r="E227" t="str" cm="1">
        <f t="array" ref="E227">GetValue("Typ","Name",D227)</f>
        <v>ntext</v>
      </c>
      <c r="F227" t="s">
        <v>686</v>
      </c>
    </row>
    <row r="228" spans="1:9">
      <c r="A228">
        <f t="shared" si="3"/>
        <v>225</v>
      </c>
      <c r="B228">
        <v>6</v>
      </c>
      <c r="C228" t="str" cm="1">
        <f t="array" ref="C228">GetValue("Eng","Name",B228)</f>
        <v>Interbase</v>
      </c>
      <c r="D228">
        <v>20</v>
      </c>
      <c r="E228" t="str" cm="1">
        <f t="array" ref="E228">GetValue("Typ","Name",D228)</f>
        <v>numeric(p,0)</v>
      </c>
      <c r="F228" t="s">
        <v>192</v>
      </c>
      <c r="H228">
        <v>0</v>
      </c>
    </row>
    <row r="229" spans="1:9">
      <c r="A229">
        <f t="shared" si="3"/>
        <v>226</v>
      </c>
      <c r="B229">
        <v>6</v>
      </c>
      <c r="C229" t="str" cm="1">
        <f t="array" ref="C229">GetValue("Eng","Name",B229)</f>
        <v>Interbase</v>
      </c>
      <c r="D229">
        <v>21</v>
      </c>
      <c r="E229" t="str" cm="1">
        <f t="array" ref="E229">GetValue("Typ","Name",D229)</f>
        <v>numeric(p,s)</v>
      </c>
      <c r="F229" t="s">
        <v>192</v>
      </c>
    </row>
    <row r="230" spans="1:9">
      <c r="A230">
        <f t="shared" si="3"/>
        <v>227</v>
      </c>
      <c r="B230">
        <v>6</v>
      </c>
      <c r="C230" t="str" cm="1">
        <f t="array" ref="C230">GetValue("Eng","Name",B230)</f>
        <v>Interbase</v>
      </c>
      <c r="D230">
        <v>22</v>
      </c>
      <c r="E230" t="str" cm="1">
        <f t="array" ref="E230">GetValue("Typ","Name",D230)</f>
        <v>nvarchar(n)</v>
      </c>
      <c r="F230" t="s">
        <v>698</v>
      </c>
    </row>
    <row r="231" spans="1:9">
      <c r="A231">
        <f t="shared" si="3"/>
        <v>228</v>
      </c>
      <c r="B231">
        <v>6</v>
      </c>
      <c r="C231" t="str" cm="1">
        <f t="array" ref="C231">GetValue("Eng","Name",B231)</f>
        <v>Interbase</v>
      </c>
      <c r="D231">
        <v>23</v>
      </c>
      <c r="E231" t="str" cm="1">
        <f t="array" ref="E231">GetValue("Typ","Name",D231)</f>
        <v>nvarchar(max)</v>
      </c>
      <c r="F231" t="s">
        <v>686</v>
      </c>
    </row>
    <row r="232" spans="1:9">
      <c r="A232">
        <f t="shared" si="3"/>
        <v>229</v>
      </c>
      <c r="B232">
        <v>6</v>
      </c>
      <c r="C232" t="str" cm="1">
        <f t="array" ref="C232">GetValue("Eng","Name",B232)</f>
        <v>Interbase</v>
      </c>
      <c r="D232">
        <v>24</v>
      </c>
      <c r="E232" t="str" cm="1">
        <f t="array" ref="E232">GetValue("Typ","Name",D232)</f>
        <v>real</v>
      </c>
      <c r="F232" t="s">
        <v>165</v>
      </c>
    </row>
    <row r="233" spans="1:9">
      <c r="A233">
        <f t="shared" si="3"/>
        <v>230</v>
      </c>
      <c r="B233">
        <v>6</v>
      </c>
      <c r="C233" t="str" cm="1">
        <f t="array" ref="C233">GetValue("Eng","Name",B233)</f>
        <v>Interbase</v>
      </c>
      <c r="D233">
        <v>25</v>
      </c>
      <c r="E233" t="str" cm="1">
        <f t="array" ref="E233">GetValue("Typ","Name",D233)</f>
        <v>smalldatetime</v>
      </c>
      <c r="F233" t="s">
        <v>155</v>
      </c>
    </row>
    <row r="234" spans="1:9">
      <c r="A234">
        <f t="shared" si="3"/>
        <v>231</v>
      </c>
      <c r="B234">
        <v>6</v>
      </c>
      <c r="C234" t="str" cm="1">
        <f t="array" ref="C234">GetValue("Eng","Name",B234)</f>
        <v>Interbase</v>
      </c>
      <c r="D234">
        <v>26</v>
      </c>
      <c r="E234" t="str" cm="1">
        <f t="array" ref="E234">GetValue("Typ","Name",D234)</f>
        <v>smallint (2 bytes)</v>
      </c>
      <c r="F234" t="s">
        <v>152</v>
      </c>
    </row>
    <row r="235" spans="1:9">
      <c r="A235">
        <f t="shared" si="3"/>
        <v>232</v>
      </c>
      <c r="B235">
        <v>6</v>
      </c>
      <c r="C235" t="str" cm="1">
        <f t="array" ref="C235">GetValue("Eng","Name",B235)</f>
        <v>Interbase</v>
      </c>
      <c r="D235">
        <v>27</v>
      </c>
      <c r="E235" t="str" cm="1">
        <f t="array" ref="E235">GetValue("Typ","Name",D235)</f>
        <v>smallmoney</v>
      </c>
      <c r="F235" t="s">
        <v>191</v>
      </c>
      <c r="G235">
        <v>10</v>
      </c>
      <c r="H235">
        <v>4</v>
      </c>
    </row>
    <row r="236" spans="1:9">
      <c r="A236">
        <f t="shared" si="3"/>
        <v>233</v>
      </c>
      <c r="B236">
        <v>6</v>
      </c>
      <c r="C236" t="str" cm="1">
        <f t="array" ref="C236">GetValue("Eng","Name",B236)</f>
        <v>Interbase</v>
      </c>
      <c r="D236">
        <v>28</v>
      </c>
      <c r="E236" t="str" cm="1">
        <f t="array" ref="E236">GetValue("Typ","Name",D236)</f>
        <v>sql_variant</v>
      </c>
      <c r="F236" t="s">
        <v>687</v>
      </c>
    </row>
    <row r="237" spans="1:9">
      <c r="A237">
        <f t="shared" si="3"/>
        <v>234</v>
      </c>
      <c r="B237">
        <v>6</v>
      </c>
      <c r="C237" t="str" cm="1">
        <f t="array" ref="C237">GetValue("Eng","Name",B237)</f>
        <v>Interbase</v>
      </c>
      <c r="D237">
        <v>29</v>
      </c>
      <c r="E237" t="str" cm="1">
        <f t="array" ref="E237">GetValue("Typ","Name",D237)</f>
        <v>sysname</v>
      </c>
      <c r="F237" t="s">
        <v>161</v>
      </c>
      <c r="G237">
        <v>128</v>
      </c>
      <c r="I237" t="s">
        <v>708</v>
      </c>
    </row>
    <row r="238" spans="1:9">
      <c r="A238">
        <f t="shared" si="3"/>
        <v>235</v>
      </c>
      <c r="B238">
        <v>6</v>
      </c>
      <c r="C238" t="str" cm="1">
        <f t="array" ref="C238">GetValue("Eng","Name",B238)</f>
        <v>Interbase</v>
      </c>
      <c r="D238">
        <v>30</v>
      </c>
      <c r="E238" t="str" cm="1">
        <f t="array" ref="E238">GetValue("Typ","Name",D238)</f>
        <v>text</v>
      </c>
      <c r="F238" t="s">
        <v>687</v>
      </c>
    </row>
    <row r="239" spans="1:9">
      <c r="A239">
        <f t="shared" si="3"/>
        <v>236</v>
      </c>
      <c r="B239">
        <v>6</v>
      </c>
      <c r="C239" t="str" cm="1">
        <f t="array" ref="C239">GetValue("Eng","Name",B239)</f>
        <v>Interbase</v>
      </c>
      <c r="D239">
        <v>31</v>
      </c>
      <c r="E239" t="str" cm="1">
        <f t="array" ref="E239">GetValue("Typ","Name",D239)</f>
        <v>time(s)</v>
      </c>
      <c r="F239" t="s">
        <v>160</v>
      </c>
    </row>
    <row r="240" spans="1:9">
      <c r="A240">
        <f t="shared" si="3"/>
        <v>237</v>
      </c>
      <c r="B240">
        <v>6</v>
      </c>
      <c r="C240" t="str" cm="1">
        <f t="array" ref="C240">GetValue("Eng","Name",B240)</f>
        <v>Interbase</v>
      </c>
      <c r="D240">
        <v>32</v>
      </c>
      <c r="E240" t="str" cm="1">
        <f t="array" ref="E240">GetValue("Typ","Name",D240)</f>
        <v>timestamp</v>
      </c>
      <c r="F240" t="s">
        <v>151</v>
      </c>
    </row>
    <row r="241" spans="1:6">
      <c r="A241">
        <f t="shared" si="3"/>
        <v>238</v>
      </c>
      <c r="B241">
        <v>6</v>
      </c>
      <c r="C241" t="str" cm="1">
        <f t="array" ref="C241">GetValue("Eng","Name",B241)</f>
        <v>Interbase</v>
      </c>
      <c r="D241">
        <v>33</v>
      </c>
      <c r="E241" t="str" cm="1">
        <f t="array" ref="E241">GetValue("Typ","Name",D241)</f>
        <v>tinyint (1 byte)</v>
      </c>
      <c r="F241" t="s">
        <v>152</v>
      </c>
    </row>
    <row r="242" spans="1:6">
      <c r="A242">
        <f t="shared" si="3"/>
        <v>239</v>
      </c>
      <c r="B242">
        <v>6</v>
      </c>
      <c r="C242" t="str" cm="1">
        <f t="array" ref="C242">GetValue("Eng","Name",B242)</f>
        <v>Interbase</v>
      </c>
      <c r="D242">
        <v>34</v>
      </c>
      <c r="E242" t="str" cm="1">
        <f t="array" ref="E242">GetValue("Typ","Name",D242)</f>
        <v>uniqueidentifier</v>
      </c>
      <c r="F242" t="s">
        <v>685</v>
      </c>
    </row>
    <row r="243" spans="1:6">
      <c r="A243">
        <f t="shared" si="3"/>
        <v>240</v>
      </c>
      <c r="B243">
        <v>6</v>
      </c>
      <c r="C243" t="str" cm="1">
        <f t="array" ref="C243">GetValue("Eng","Name",B243)</f>
        <v>Interbase</v>
      </c>
      <c r="D243">
        <v>35</v>
      </c>
      <c r="E243" t="str" cm="1">
        <f t="array" ref="E243">GetValue("Typ","Name",D243)</f>
        <v>varbinary(n)</v>
      </c>
      <c r="F243" t="s">
        <v>699</v>
      </c>
    </row>
    <row r="244" spans="1:6">
      <c r="A244">
        <f t="shared" si="3"/>
        <v>241</v>
      </c>
      <c r="B244">
        <v>6</v>
      </c>
      <c r="C244" t="str" cm="1">
        <f t="array" ref="C244">GetValue("Eng","Name",B244)</f>
        <v>Interbase</v>
      </c>
      <c r="D244">
        <v>36</v>
      </c>
      <c r="E244" t="str" cm="1">
        <f t="array" ref="E244">GetValue("Typ","Name",D244)</f>
        <v>varbinary(max)</v>
      </c>
      <c r="F244" t="s">
        <v>164</v>
      </c>
    </row>
    <row r="245" spans="1:6">
      <c r="A245">
        <f t="shared" si="3"/>
        <v>242</v>
      </c>
      <c r="B245">
        <v>6</v>
      </c>
      <c r="C245" t="str" cm="1">
        <f t="array" ref="C245">GetValue("Eng","Name",B245)</f>
        <v>Interbase</v>
      </c>
      <c r="D245">
        <v>37</v>
      </c>
      <c r="E245" t="str" cm="1">
        <f t="array" ref="E245">GetValue("Typ","Name",D245)</f>
        <v>varchar(n)</v>
      </c>
      <c r="F245" t="s">
        <v>161</v>
      </c>
    </row>
    <row r="246" spans="1:6">
      <c r="A246">
        <f t="shared" si="3"/>
        <v>243</v>
      </c>
      <c r="B246">
        <v>6</v>
      </c>
      <c r="C246" t="str" cm="1">
        <f t="array" ref="C246">GetValue("Eng","Name",B246)</f>
        <v>Interbase</v>
      </c>
      <c r="D246">
        <v>38</v>
      </c>
      <c r="E246" t="str" cm="1">
        <f t="array" ref="E246">GetValue("Typ","Name",D246)</f>
        <v>varchar(max)</v>
      </c>
      <c r="F246" t="s">
        <v>687</v>
      </c>
    </row>
    <row r="247" spans="1:6">
      <c r="A247">
        <f t="shared" si="3"/>
        <v>244</v>
      </c>
      <c r="B247">
        <v>6</v>
      </c>
      <c r="C247" t="str" cm="1">
        <f t="array" ref="C247">GetValue("Eng","Name",B247)</f>
        <v>Interbase</v>
      </c>
      <c r="D247">
        <v>39</v>
      </c>
      <c r="E247" t="str" cm="1">
        <f t="array" ref="E247">GetValue("Typ","Name",D247)</f>
        <v>xml</v>
      </c>
      <c r="F247" t="s">
        <v>687</v>
      </c>
    </row>
    <row r="248" spans="1:6">
      <c r="A248">
        <f t="shared" si="3"/>
        <v>245</v>
      </c>
      <c r="B248">
        <v>6</v>
      </c>
      <c r="C248" t="str" cm="1">
        <f t="array" ref="C248">GetValue("Eng","Name",B248)</f>
        <v>Interbase</v>
      </c>
      <c r="D248">
        <v>40</v>
      </c>
      <c r="E248" t="str" cm="1">
        <f t="array" ref="E248">GetValue("Typ","Name",D248)</f>
        <v>json</v>
      </c>
      <c r="F248" t="s">
        <v>687</v>
      </c>
    </row>
    <row r="249" spans="1:6">
      <c r="A249">
        <f t="shared" si="3"/>
        <v>246</v>
      </c>
      <c r="B249">
        <v>6</v>
      </c>
      <c r="C249" t="str" cm="1">
        <f t="array" ref="C249">GetValue("Eng","Name",B249)</f>
        <v>Interbase</v>
      </c>
      <c r="D249">
        <v>41</v>
      </c>
      <c r="E249" t="str" cm="1">
        <f t="array" ref="E249">GetValue("Typ","Name",D249)</f>
        <v>rowversion</v>
      </c>
      <c r="F249" t="s">
        <v>151</v>
      </c>
    </row>
    <row r="250" spans="1:6">
      <c r="A250">
        <f t="shared" si="3"/>
        <v>247</v>
      </c>
      <c r="B250">
        <v>7</v>
      </c>
      <c r="C250" t="str" cm="1">
        <f t="array" ref="C250">GetValue("Eng","Name",B250)</f>
        <v>SQL Anywhere</v>
      </c>
      <c r="D250">
        <v>1</v>
      </c>
      <c r="E250" t="str" cm="1">
        <f t="array" ref="E250">GetValue("Typ","Name",D250)</f>
        <v>bigint (8 bytes)</v>
      </c>
      <c r="F250" t="s">
        <v>151</v>
      </c>
    </row>
    <row r="251" spans="1:6">
      <c r="A251">
        <f t="shared" si="3"/>
        <v>248</v>
      </c>
      <c r="B251">
        <v>7</v>
      </c>
      <c r="C251" t="str" cm="1">
        <f t="array" ref="C251">GetValue("Eng","Name",B251)</f>
        <v>SQL Anywhere</v>
      </c>
      <c r="D251">
        <v>2</v>
      </c>
      <c r="E251" t="str" cm="1">
        <f t="array" ref="E251">GetValue("Typ","Name",D251)</f>
        <v>binary(n)</v>
      </c>
      <c r="F251" t="s">
        <v>170</v>
      </c>
    </row>
    <row r="252" spans="1:6">
      <c r="A252">
        <f t="shared" si="3"/>
        <v>249</v>
      </c>
      <c r="B252">
        <v>7</v>
      </c>
      <c r="C252" t="str" cm="1">
        <f t="array" ref="C252">GetValue("Eng","Name",B252)</f>
        <v>SQL Anywhere</v>
      </c>
      <c r="D252">
        <v>3</v>
      </c>
      <c r="E252" t="str" cm="1">
        <f t="array" ref="E252">GetValue("Typ","Name",D252)</f>
        <v>bit (1 bit)</v>
      </c>
      <c r="F252" t="s">
        <v>688</v>
      </c>
    </row>
    <row r="253" spans="1:6">
      <c r="A253">
        <f t="shared" si="3"/>
        <v>250</v>
      </c>
      <c r="B253">
        <v>7</v>
      </c>
      <c r="C253" t="str" cm="1">
        <f t="array" ref="C253">GetValue("Eng","Name",B253)</f>
        <v>SQL Anywhere</v>
      </c>
      <c r="D253">
        <v>4</v>
      </c>
      <c r="E253" t="str" cm="1">
        <f t="array" ref="E253">GetValue("Typ","Name",D253)</f>
        <v>char(n)</v>
      </c>
      <c r="F253" t="s">
        <v>153</v>
      </c>
    </row>
    <row r="254" spans="1:6">
      <c r="A254">
        <f t="shared" si="3"/>
        <v>251</v>
      </c>
      <c r="B254">
        <v>7</v>
      </c>
      <c r="C254" t="str" cm="1">
        <f t="array" ref="C254">GetValue("Eng","Name",B254)</f>
        <v>SQL Anywhere</v>
      </c>
      <c r="D254">
        <v>5</v>
      </c>
      <c r="E254" t="str" cm="1">
        <f t="array" ref="E254">GetValue("Typ","Name",D254)</f>
        <v>date</v>
      </c>
      <c r="F254" t="s">
        <v>154</v>
      </c>
    </row>
    <row r="255" spans="1:6">
      <c r="A255">
        <f t="shared" si="3"/>
        <v>252</v>
      </c>
      <c r="B255">
        <v>7</v>
      </c>
      <c r="C255" t="str" cm="1">
        <f t="array" ref="C255">GetValue("Eng","Name",B255)</f>
        <v>SQL Anywhere</v>
      </c>
      <c r="D255">
        <v>6</v>
      </c>
      <c r="E255" t="str" cm="1">
        <f t="array" ref="E255">GetValue("Typ","Name",D255)</f>
        <v>datetime</v>
      </c>
      <c r="F255" t="s">
        <v>171</v>
      </c>
    </row>
    <row r="256" spans="1:6">
      <c r="A256">
        <f t="shared" si="3"/>
        <v>253</v>
      </c>
      <c r="B256">
        <v>7</v>
      </c>
      <c r="C256" t="str" cm="1">
        <f t="array" ref="C256">GetValue("Eng","Name",B256)</f>
        <v>SQL Anywhere</v>
      </c>
      <c r="D256">
        <v>7</v>
      </c>
      <c r="E256" t="str" cm="1">
        <f t="array" ref="E256">GetValue("Typ","Name",D256)</f>
        <v>datetime2(s)</v>
      </c>
      <c r="F256" t="s">
        <v>155</v>
      </c>
    </row>
    <row r="257" spans="1:8">
      <c r="A257">
        <f t="shared" si="3"/>
        <v>254</v>
      </c>
      <c r="B257">
        <v>7</v>
      </c>
      <c r="C257" t="str" cm="1">
        <f t="array" ref="C257">GetValue("Eng","Name",B257)</f>
        <v>SQL Anywhere</v>
      </c>
      <c r="D257">
        <v>8</v>
      </c>
      <c r="E257" t="str" cm="1">
        <f t="array" ref="E257">GetValue("Typ","Name",D257)</f>
        <v>datetimeoffset(s)</v>
      </c>
      <c r="F257" t="s">
        <v>156</v>
      </c>
    </row>
    <row r="258" spans="1:8">
      <c r="A258">
        <f t="shared" si="3"/>
        <v>255</v>
      </c>
      <c r="B258">
        <v>7</v>
      </c>
      <c r="C258" t="str" cm="1">
        <f t="array" ref="C258">GetValue("Eng","Name",B258)</f>
        <v>SQL Anywhere</v>
      </c>
      <c r="D258">
        <v>9</v>
      </c>
      <c r="E258" t="str" cm="1">
        <f t="array" ref="E258">GetValue("Typ","Name",D258)</f>
        <v>decimal(p,0)</v>
      </c>
      <c r="F258" t="s">
        <v>191</v>
      </c>
      <c r="H258">
        <v>0</v>
      </c>
    </row>
    <row r="259" spans="1:8">
      <c r="A259">
        <f t="shared" si="3"/>
        <v>256</v>
      </c>
      <c r="B259">
        <v>7</v>
      </c>
      <c r="C259" t="str" cm="1">
        <f t="array" ref="C259">GetValue("Eng","Name",B259)</f>
        <v>SQL Anywhere</v>
      </c>
      <c r="D259">
        <v>10</v>
      </c>
      <c r="E259" t="str" cm="1">
        <f t="array" ref="E259">GetValue("Typ","Name",D259)</f>
        <v>decimal(p ,s)</v>
      </c>
      <c r="F259" t="s">
        <v>191</v>
      </c>
    </row>
    <row r="260" spans="1:8">
      <c r="A260">
        <f t="shared" si="3"/>
        <v>257</v>
      </c>
      <c r="B260">
        <v>7</v>
      </c>
      <c r="C260" t="str" cm="1">
        <f t="array" ref="C260">GetValue("Eng","Name",B260)</f>
        <v>SQL Anywhere</v>
      </c>
      <c r="D260">
        <v>11</v>
      </c>
      <c r="E260" t="str" cm="1">
        <f t="array" ref="E260">GetValue("Typ","Name",D260)</f>
        <v>float(n)</v>
      </c>
      <c r="F260" t="s">
        <v>157</v>
      </c>
    </row>
    <row r="261" spans="1:8">
      <c r="A261">
        <f t="shared" si="3"/>
        <v>258</v>
      </c>
      <c r="B261">
        <v>7</v>
      </c>
      <c r="C261" t="str" cm="1">
        <f t="array" ref="C261">GetValue("Eng","Name",B261)</f>
        <v>SQL Anywhere</v>
      </c>
      <c r="D261">
        <v>12</v>
      </c>
      <c r="E261" t="str" cm="1">
        <f t="array" ref="E261">GetValue("Typ","Name",D261)</f>
        <v>geography</v>
      </c>
      <c r="F261" t="s">
        <v>200</v>
      </c>
    </row>
    <row r="262" spans="1:8">
      <c r="A262">
        <f t="shared" si="3"/>
        <v>259</v>
      </c>
      <c r="B262">
        <v>7</v>
      </c>
      <c r="C262" t="str" cm="1">
        <f t="array" ref="C262">GetValue("Eng","Name",B262)</f>
        <v>SQL Anywhere</v>
      </c>
      <c r="D262">
        <v>13</v>
      </c>
      <c r="E262" t="str" cm="1">
        <f t="array" ref="E262">GetValue("Typ","Name",D262)</f>
        <v>geometry</v>
      </c>
      <c r="F262" t="s">
        <v>200</v>
      </c>
    </row>
    <row r="263" spans="1:8">
      <c r="A263">
        <f t="shared" ref="A263:A326" si="4">ROW(A263)-3</f>
        <v>260</v>
      </c>
      <c r="B263">
        <v>7</v>
      </c>
      <c r="C263" t="str" cm="1">
        <f t="array" ref="C263">GetValue("Eng","Name",B263)</f>
        <v>SQL Anywhere</v>
      </c>
      <c r="D263">
        <v>14</v>
      </c>
      <c r="E263" t="str" cm="1">
        <f t="array" ref="E263">GetValue("Typ","Name",D263)</f>
        <v>hierarchyid</v>
      </c>
      <c r="F263" t="s">
        <v>201</v>
      </c>
    </row>
    <row r="264" spans="1:8">
      <c r="A264">
        <f t="shared" si="4"/>
        <v>261</v>
      </c>
      <c r="B264">
        <v>7</v>
      </c>
      <c r="C264" t="str" cm="1">
        <f t="array" ref="C264">GetValue("Eng","Name",B264)</f>
        <v>SQL Anywhere</v>
      </c>
      <c r="D264">
        <v>15</v>
      </c>
      <c r="E264" t="str" cm="1">
        <f t="array" ref="E264">GetValue("Typ","Name",D264)</f>
        <v>image</v>
      </c>
      <c r="F264" t="s">
        <v>202</v>
      </c>
    </row>
    <row r="265" spans="1:8">
      <c r="A265">
        <f t="shared" si="4"/>
        <v>262</v>
      </c>
      <c r="B265">
        <v>7</v>
      </c>
      <c r="C265" t="str" cm="1">
        <f t="array" ref="C265">GetValue("Eng","Name",B265)</f>
        <v>SQL Anywhere</v>
      </c>
      <c r="D265">
        <v>16</v>
      </c>
      <c r="E265" t="str" cm="1">
        <f t="array" ref="E265">GetValue("Typ","Name",D265)</f>
        <v>int (4 bytes)</v>
      </c>
      <c r="F265" t="s">
        <v>158</v>
      </c>
    </row>
    <row r="266" spans="1:8">
      <c r="A266">
        <f t="shared" si="4"/>
        <v>263</v>
      </c>
      <c r="B266">
        <v>7</v>
      </c>
      <c r="C266" t="str" cm="1">
        <f t="array" ref="C266">GetValue("Eng","Name",B266)</f>
        <v>SQL Anywhere</v>
      </c>
      <c r="D266">
        <v>17</v>
      </c>
      <c r="E266" t="str" cm="1">
        <f t="array" ref="E266">GetValue("Typ","Name",D266)</f>
        <v>money</v>
      </c>
      <c r="F266" t="s">
        <v>616</v>
      </c>
    </row>
    <row r="267" spans="1:8">
      <c r="A267">
        <f t="shared" si="4"/>
        <v>264</v>
      </c>
      <c r="B267">
        <v>7</v>
      </c>
      <c r="C267" t="str" cm="1">
        <f t="array" ref="C267">GetValue("Eng","Name",B267)</f>
        <v>SQL Anywhere</v>
      </c>
      <c r="D267">
        <v>18</v>
      </c>
      <c r="E267" t="str" cm="1">
        <f t="array" ref="E267">GetValue("Typ","Name",D267)</f>
        <v>nchar(n)</v>
      </c>
      <c r="F267" t="s">
        <v>167</v>
      </c>
    </row>
    <row r="268" spans="1:8">
      <c r="A268">
        <f t="shared" si="4"/>
        <v>265</v>
      </c>
      <c r="B268">
        <v>7</v>
      </c>
      <c r="C268" t="str" cm="1">
        <f t="array" ref="C268">GetValue("Eng","Name",B268)</f>
        <v>SQL Anywhere</v>
      </c>
      <c r="D268">
        <v>19</v>
      </c>
      <c r="E268" t="str" cm="1">
        <f t="array" ref="E268">GetValue("Typ","Name",D268)</f>
        <v>ntext</v>
      </c>
      <c r="F268" t="s">
        <v>689</v>
      </c>
    </row>
    <row r="269" spans="1:8">
      <c r="A269">
        <f t="shared" si="4"/>
        <v>266</v>
      </c>
      <c r="B269">
        <v>7</v>
      </c>
      <c r="C269" t="str" cm="1">
        <f t="array" ref="C269">GetValue("Eng","Name",B269)</f>
        <v>SQL Anywhere</v>
      </c>
      <c r="D269">
        <v>20</v>
      </c>
      <c r="E269" t="str" cm="1">
        <f t="array" ref="E269">GetValue("Typ","Name",D269)</f>
        <v>numeric(p,0)</v>
      </c>
      <c r="F269" t="s">
        <v>192</v>
      </c>
      <c r="H269">
        <v>0</v>
      </c>
    </row>
    <row r="270" spans="1:8">
      <c r="A270">
        <f t="shared" si="4"/>
        <v>267</v>
      </c>
      <c r="B270">
        <v>7</v>
      </c>
      <c r="C270" t="str" cm="1">
        <f t="array" ref="C270">GetValue("Eng","Name",B270)</f>
        <v>SQL Anywhere</v>
      </c>
      <c r="D270">
        <v>21</v>
      </c>
      <c r="E270" t="str" cm="1">
        <f t="array" ref="E270">GetValue("Typ","Name",D270)</f>
        <v>numeric(p,s)</v>
      </c>
      <c r="F270" t="s">
        <v>192</v>
      </c>
    </row>
    <row r="271" spans="1:8">
      <c r="A271">
        <f t="shared" si="4"/>
        <v>268</v>
      </c>
      <c r="B271">
        <v>7</v>
      </c>
      <c r="C271" t="str" cm="1">
        <f t="array" ref="C271">GetValue("Eng","Name",B271)</f>
        <v>SQL Anywhere</v>
      </c>
      <c r="D271">
        <v>22</v>
      </c>
      <c r="E271" t="str" cm="1">
        <f t="array" ref="E271">GetValue("Typ","Name",D271)</f>
        <v>nvarchar(n)</v>
      </c>
      <c r="F271" t="s">
        <v>169</v>
      </c>
    </row>
    <row r="272" spans="1:8">
      <c r="A272">
        <f t="shared" si="4"/>
        <v>269</v>
      </c>
      <c r="B272">
        <v>7</v>
      </c>
      <c r="C272" t="str" cm="1">
        <f t="array" ref="C272">GetValue("Eng","Name",B272)</f>
        <v>SQL Anywhere</v>
      </c>
      <c r="D272">
        <v>23</v>
      </c>
      <c r="E272" t="str" cm="1">
        <f t="array" ref="E272">GetValue("Typ","Name",D272)</f>
        <v>nvarchar(max)</v>
      </c>
      <c r="F272" t="s">
        <v>689</v>
      </c>
    </row>
    <row r="273" spans="1:7">
      <c r="A273">
        <f t="shared" si="4"/>
        <v>270</v>
      </c>
      <c r="B273">
        <v>7</v>
      </c>
      <c r="C273" t="str" cm="1">
        <f t="array" ref="C273">GetValue("Eng","Name",B273)</f>
        <v>SQL Anywhere</v>
      </c>
      <c r="D273">
        <v>24</v>
      </c>
      <c r="E273" t="str" cm="1">
        <f t="array" ref="E273">GetValue("Typ","Name",D273)</f>
        <v>real</v>
      </c>
      <c r="F273" t="s">
        <v>159</v>
      </c>
    </row>
    <row r="274" spans="1:7">
      <c r="A274">
        <f t="shared" si="4"/>
        <v>271</v>
      </c>
      <c r="B274">
        <v>7</v>
      </c>
      <c r="C274" t="str" cm="1">
        <f t="array" ref="C274">GetValue("Eng","Name",B274)</f>
        <v>SQL Anywhere</v>
      </c>
      <c r="D274">
        <v>25</v>
      </c>
      <c r="E274" t="str" cm="1">
        <f t="array" ref="E274">GetValue("Typ","Name",D274)</f>
        <v>smalldatetime</v>
      </c>
      <c r="F274" t="s">
        <v>171</v>
      </c>
    </row>
    <row r="275" spans="1:7">
      <c r="A275">
        <f t="shared" si="4"/>
        <v>272</v>
      </c>
      <c r="B275">
        <v>7</v>
      </c>
      <c r="C275" t="str" cm="1">
        <f t="array" ref="C275">GetValue("Eng","Name",B275)</f>
        <v>SQL Anywhere</v>
      </c>
      <c r="D275">
        <v>26</v>
      </c>
      <c r="E275" t="str" cm="1">
        <f t="array" ref="E275">GetValue("Typ","Name",D275)</f>
        <v>smallint (2 bytes)</v>
      </c>
      <c r="F275" t="s">
        <v>152</v>
      </c>
    </row>
    <row r="276" spans="1:7">
      <c r="A276">
        <f t="shared" si="4"/>
        <v>273</v>
      </c>
      <c r="B276">
        <v>7</v>
      </c>
      <c r="C276" t="str" cm="1">
        <f t="array" ref="C276">GetValue("Eng","Name",B276)</f>
        <v>SQL Anywhere</v>
      </c>
      <c r="D276">
        <v>27</v>
      </c>
      <c r="E276" t="str" cm="1">
        <f t="array" ref="E276">GetValue("Typ","Name",D276)</f>
        <v>smallmoney</v>
      </c>
      <c r="F276" t="s">
        <v>690</v>
      </c>
    </row>
    <row r="277" spans="1:7">
      <c r="A277">
        <f t="shared" si="4"/>
        <v>274</v>
      </c>
      <c r="B277">
        <v>7</v>
      </c>
      <c r="C277" t="str" cm="1">
        <f t="array" ref="C277">GetValue("Eng","Name",B277)</f>
        <v>SQL Anywhere</v>
      </c>
      <c r="D277">
        <v>28</v>
      </c>
      <c r="E277" t="str" cm="1">
        <f t="array" ref="E277">GetValue("Typ","Name",D277)</f>
        <v>sql_variant</v>
      </c>
      <c r="F277" t="s">
        <v>201</v>
      </c>
    </row>
    <row r="278" spans="1:7">
      <c r="A278">
        <f t="shared" si="4"/>
        <v>275</v>
      </c>
      <c r="B278">
        <v>7</v>
      </c>
      <c r="C278" t="str" cm="1">
        <f t="array" ref="C278">GetValue("Eng","Name",B278)</f>
        <v>SQL Anywhere</v>
      </c>
      <c r="D278">
        <v>29</v>
      </c>
      <c r="E278" t="str" cm="1">
        <f t="array" ref="E278">GetValue("Typ","Name",D278)</f>
        <v>sysname</v>
      </c>
      <c r="F278" t="s">
        <v>161</v>
      </c>
      <c r="G278">
        <v>128</v>
      </c>
    </row>
    <row r="279" spans="1:7">
      <c r="A279">
        <f t="shared" si="4"/>
        <v>276</v>
      </c>
      <c r="B279">
        <v>7</v>
      </c>
      <c r="C279" t="str" cm="1">
        <f t="array" ref="C279">GetValue("Eng","Name",B279)</f>
        <v>SQL Anywhere</v>
      </c>
      <c r="D279">
        <v>30</v>
      </c>
      <c r="E279" t="str" cm="1">
        <f t="array" ref="E279">GetValue("Typ","Name",D279)</f>
        <v>text</v>
      </c>
      <c r="F279" t="s">
        <v>201</v>
      </c>
    </row>
    <row r="280" spans="1:7">
      <c r="A280">
        <f t="shared" si="4"/>
        <v>277</v>
      </c>
      <c r="B280">
        <v>7</v>
      </c>
      <c r="C280" t="str" cm="1">
        <f t="array" ref="C280">GetValue("Eng","Name",B280)</f>
        <v>SQL Anywhere</v>
      </c>
      <c r="D280">
        <v>31</v>
      </c>
      <c r="E280" t="str" cm="1">
        <f t="array" ref="E280">GetValue("Typ","Name",D280)</f>
        <v>time(s)</v>
      </c>
      <c r="F280" t="s">
        <v>160</v>
      </c>
    </row>
    <row r="281" spans="1:7">
      <c r="A281">
        <f t="shared" si="4"/>
        <v>278</v>
      </c>
      <c r="B281">
        <v>7</v>
      </c>
      <c r="C281" t="str" cm="1">
        <f t="array" ref="C281">GetValue("Eng","Name",B281)</f>
        <v>SQL Anywhere</v>
      </c>
      <c r="D281">
        <v>32</v>
      </c>
      <c r="E281" t="str" cm="1">
        <f t="array" ref="E281">GetValue("Typ","Name",D281)</f>
        <v>timestamp</v>
      </c>
      <c r="F281" t="s">
        <v>170</v>
      </c>
      <c r="G281">
        <v>8</v>
      </c>
    </row>
    <row r="282" spans="1:7">
      <c r="A282">
        <f t="shared" si="4"/>
        <v>279</v>
      </c>
      <c r="B282">
        <v>7</v>
      </c>
      <c r="C282" t="str" cm="1">
        <f t="array" ref="C282">GetValue("Eng","Name",B282)</f>
        <v>SQL Anywhere</v>
      </c>
      <c r="D282">
        <v>33</v>
      </c>
      <c r="E282" t="str" cm="1">
        <f t="array" ref="E282">GetValue("Typ","Name",D282)</f>
        <v>tinyint (1 byte)</v>
      </c>
      <c r="F282" t="s">
        <v>176</v>
      </c>
    </row>
    <row r="283" spans="1:7">
      <c r="A283">
        <f t="shared" si="4"/>
        <v>280</v>
      </c>
      <c r="B283">
        <v>7</v>
      </c>
      <c r="C283" t="str" cm="1">
        <f t="array" ref="C283">GetValue("Eng","Name",B283)</f>
        <v>SQL Anywhere</v>
      </c>
      <c r="D283">
        <v>34</v>
      </c>
      <c r="E283" t="str" cm="1">
        <f t="array" ref="E283">GetValue("Typ","Name",D283)</f>
        <v>uniqueidentifier</v>
      </c>
      <c r="F283" t="s">
        <v>691</v>
      </c>
    </row>
    <row r="284" spans="1:7">
      <c r="A284">
        <f t="shared" si="4"/>
        <v>281</v>
      </c>
      <c r="B284">
        <v>7</v>
      </c>
      <c r="C284" t="str" cm="1">
        <f t="array" ref="C284">GetValue("Eng","Name",B284)</f>
        <v>SQL Anywhere</v>
      </c>
      <c r="D284">
        <v>35</v>
      </c>
      <c r="E284" t="str" cm="1">
        <f t="array" ref="E284">GetValue("Typ","Name",D284)</f>
        <v>varbinary(n)</v>
      </c>
      <c r="F284" t="s">
        <v>177</v>
      </c>
    </row>
    <row r="285" spans="1:7">
      <c r="A285">
        <f t="shared" si="4"/>
        <v>282</v>
      </c>
      <c r="B285">
        <v>7</v>
      </c>
      <c r="C285" t="str" cm="1">
        <f t="array" ref="C285">GetValue("Eng","Name",B285)</f>
        <v>SQL Anywhere</v>
      </c>
      <c r="D285">
        <v>36</v>
      </c>
      <c r="E285" t="str" cm="1">
        <f t="array" ref="E285">GetValue("Typ","Name",D285)</f>
        <v>varbinary(max)</v>
      </c>
      <c r="F285" t="s">
        <v>202</v>
      </c>
    </row>
    <row r="286" spans="1:7">
      <c r="A286">
        <f t="shared" si="4"/>
        <v>283</v>
      </c>
      <c r="B286">
        <v>7</v>
      </c>
      <c r="C286" t="str" cm="1">
        <f t="array" ref="C286">GetValue("Eng","Name",B286)</f>
        <v>SQL Anywhere</v>
      </c>
      <c r="D286">
        <v>37</v>
      </c>
      <c r="E286" t="str" cm="1">
        <f t="array" ref="E286">GetValue("Typ","Name",D286)</f>
        <v>varchar(n)</v>
      </c>
      <c r="F286" t="s">
        <v>161</v>
      </c>
    </row>
    <row r="287" spans="1:7">
      <c r="A287">
        <f t="shared" si="4"/>
        <v>284</v>
      </c>
      <c r="B287">
        <v>7</v>
      </c>
      <c r="C287" t="str" cm="1">
        <f t="array" ref="C287">GetValue("Eng","Name",B287)</f>
        <v>SQL Anywhere</v>
      </c>
      <c r="D287">
        <v>38</v>
      </c>
      <c r="E287" t="str" cm="1">
        <f t="array" ref="E287">GetValue("Typ","Name",D287)</f>
        <v>varchar(max)</v>
      </c>
      <c r="F287" t="s">
        <v>201</v>
      </c>
    </row>
    <row r="288" spans="1:7">
      <c r="A288">
        <f t="shared" si="4"/>
        <v>285</v>
      </c>
      <c r="B288">
        <v>7</v>
      </c>
      <c r="C288" t="str" cm="1">
        <f t="array" ref="C288">GetValue("Eng","Name",B288)</f>
        <v>SQL Anywhere</v>
      </c>
      <c r="D288">
        <v>39</v>
      </c>
      <c r="E288" t="str" cm="1">
        <f t="array" ref="E288">GetValue("Typ","Name",D288)</f>
        <v>xml</v>
      </c>
      <c r="F288" t="s">
        <v>201</v>
      </c>
    </row>
    <row r="289" spans="1:8">
      <c r="A289">
        <f t="shared" si="4"/>
        <v>286</v>
      </c>
      <c r="B289">
        <v>7</v>
      </c>
      <c r="C289" t="str" cm="1">
        <f t="array" ref="C289">GetValue("Eng","Name",B289)</f>
        <v>SQL Anywhere</v>
      </c>
      <c r="D289">
        <v>40</v>
      </c>
      <c r="E289" t="str" cm="1">
        <f t="array" ref="E289">GetValue("Typ","Name",D289)</f>
        <v>json</v>
      </c>
      <c r="F289" t="s">
        <v>201</v>
      </c>
    </row>
    <row r="290" spans="1:8">
      <c r="A290">
        <f t="shared" si="4"/>
        <v>287</v>
      </c>
      <c r="B290">
        <v>7</v>
      </c>
      <c r="C290" t="str" cm="1">
        <f t="array" ref="C290">GetValue("Eng","Name",B290)</f>
        <v>SQL Anywhere</v>
      </c>
      <c r="D290">
        <v>41</v>
      </c>
      <c r="E290" t="str" cm="1">
        <f t="array" ref="E290">GetValue("Typ","Name",D290)</f>
        <v>rowversion</v>
      </c>
      <c r="F290" t="s">
        <v>170</v>
      </c>
      <c r="G290">
        <v>8</v>
      </c>
    </row>
    <row r="291" spans="1:8">
      <c r="A291">
        <f t="shared" si="4"/>
        <v>288</v>
      </c>
      <c r="B291">
        <v>8</v>
      </c>
      <c r="C291" t="str" cm="1">
        <f t="array" ref="C291">GetValue("Eng","Name",B291)</f>
        <v>Informix</v>
      </c>
      <c r="D291">
        <v>1</v>
      </c>
      <c r="E291" t="str" cm="1">
        <f t="array" ref="E291">GetValue("Typ","Name",D291)</f>
        <v>bigint (8 bytes)</v>
      </c>
      <c r="F291" t="s">
        <v>151</v>
      </c>
    </row>
    <row r="292" spans="1:8">
      <c r="A292">
        <f t="shared" si="4"/>
        <v>289</v>
      </c>
      <c r="B292">
        <v>8</v>
      </c>
      <c r="C292" t="str" cm="1">
        <f t="array" ref="C292">GetValue("Eng","Name",B292)</f>
        <v>Informix</v>
      </c>
      <c r="D292">
        <v>2</v>
      </c>
      <c r="E292" t="str" cm="1">
        <f t="array" ref="E292">GetValue("Typ","Name",D292)</f>
        <v>binary(n)</v>
      </c>
      <c r="F292" t="s">
        <v>170</v>
      </c>
    </row>
    <row r="293" spans="1:8">
      <c r="A293">
        <f t="shared" si="4"/>
        <v>290</v>
      </c>
      <c r="B293">
        <v>8</v>
      </c>
      <c r="C293" t="str" cm="1">
        <f t="array" ref="C293">GetValue("Eng","Name",B293)</f>
        <v>Informix</v>
      </c>
      <c r="D293">
        <v>3</v>
      </c>
      <c r="E293" t="str" cm="1">
        <f t="array" ref="E293">GetValue("Typ","Name",D293)</f>
        <v>bit (1 bit)</v>
      </c>
      <c r="F293" t="s">
        <v>166</v>
      </c>
    </row>
    <row r="294" spans="1:8">
      <c r="A294">
        <f t="shared" si="4"/>
        <v>291</v>
      </c>
      <c r="B294">
        <v>8</v>
      </c>
      <c r="C294" t="str" cm="1">
        <f t="array" ref="C294">GetValue("Eng","Name",B294)</f>
        <v>Informix</v>
      </c>
      <c r="D294">
        <v>4</v>
      </c>
      <c r="E294" t="str" cm="1">
        <f t="array" ref="E294">GetValue("Typ","Name",D294)</f>
        <v>char(n)</v>
      </c>
      <c r="F294" t="s">
        <v>153</v>
      </c>
    </row>
    <row r="295" spans="1:8">
      <c r="A295">
        <f t="shared" si="4"/>
        <v>292</v>
      </c>
      <c r="B295">
        <v>8</v>
      </c>
      <c r="C295" t="str" cm="1">
        <f t="array" ref="C295">GetValue("Eng","Name",B295)</f>
        <v>Informix</v>
      </c>
      <c r="D295">
        <v>5</v>
      </c>
      <c r="E295" t="str" cm="1">
        <f t="array" ref="E295">GetValue("Typ","Name",D295)</f>
        <v>date</v>
      </c>
      <c r="F295" t="s">
        <v>154</v>
      </c>
    </row>
    <row r="296" spans="1:8">
      <c r="A296">
        <f t="shared" si="4"/>
        <v>293</v>
      </c>
      <c r="B296">
        <v>8</v>
      </c>
      <c r="C296" t="str" cm="1">
        <f t="array" ref="C296">GetValue("Eng","Name",B296)</f>
        <v>Informix</v>
      </c>
      <c r="D296">
        <v>6</v>
      </c>
      <c r="E296" t="str" cm="1">
        <f t="array" ref="E296">GetValue("Typ","Name",D296)</f>
        <v>datetime</v>
      </c>
      <c r="F296" t="s">
        <v>204</v>
      </c>
      <c r="G296">
        <v>3</v>
      </c>
    </row>
    <row r="297" spans="1:8">
      <c r="A297">
        <f t="shared" si="4"/>
        <v>294</v>
      </c>
      <c r="B297">
        <v>8</v>
      </c>
      <c r="C297" t="str" cm="1">
        <f t="array" ref="C297">GetValue("Eng","Name",B297)</f>
        <v>Informix</v>
      </c>
      <c r="D297">
        <v>7</v>
      </c>
      <c r="E297" t="str" cm="1">
        <f t="array" ref="E297">GetValue("Typ","Name",D297)</f>
        <v>datetime2(s)</v>
      </c>
      <c r="F297" t="s">
        <v>204</v>
      </c>
    </row>
    <row r="298" spans="1:8">
      <c r="A298">
        <f t="shared" si="4"/>
        <v>295</v>
      </c>
      <c r="B298">
        <v>8</v>
      </c>
      <c r="C298" t="str" cm="1">
        <f t="array" ref="C298">GetValue("Eng","Name",B298)</f>
        <v>Informix</v>
      </c>
      <c r="D298">
        <v>8</v>
      </c>
      <c r="E298" t="str" cm="1">
        <f t="array" ref="E298">GetValue("Typ","Name",D298)</f>
        <v>datetimeoffset(s)</v>
      </c>
      <c r="F298" t="s">
        <v>204</v>
      </c>
    </row>
    <row r="299" spans="1:8">
      <c r="A299">
        <f t="shared" si="4"/>
        <v>296</v>
      </c>
      <c r="B299">
        <v>8</v>
      </c>
      <c r="C299" t="str" cm="1">
        <f t="array" ref="C299">GetValue("Eng","Name",B299)</f>
        <v>Informix</v>
      </c>
      <c r="D299">
        <v>9</v>
      </c>
      <c r="E299" t="str" cm="1">
        <f t="array" ref="E299">GetValue("Typ","Name",D299)</f>
        <v>decimal(p,0)</v>
      </c>
      <c r="F299" t="s">
        <v>191</v>
      </c>
      <c r="H299">
        <v>0</v>
      </c>
    </row>
    <row r="300" spans="1:8">
      <c r="A300">
        <f t="shared" si="4"/>
        <v>297</v>
      </c>
      <c r="B300">
        <v>8</v>
      </c>
      <c r="C300" t="str" cm="1">
        <f t="array" ref="C300">GetValue("Eng","Name",B300)</f>
        <v>Informix</v>
      </c>
      <c r="D300">
        <v>10</v>
      </c>
      <c r="E300" t="str" cm="1">
        <f t="array" ref="E300">GetValue("Typ","Name",D300)</f>
        <v>decimal(p ,s)</v>
      </c>
      <c r="F300" t="s">
        <v>191</v>
      </c>
    </row>
    <row r="301" spans="1:8">
      <c r="A301">
        <f t="shared" si="4"/>
        <v>298</v>
      </c>
      <c r="B301">
        <v>8</v>
      </c>
      <c r="C301" t="str" cm="1">
        <f t="array" ref="C301">GetValue("Eng","Name",B301)</f>
        <v>Informix</v>
      </c>
      <c r="D301">
        <v>11</v>
      </c>
      <c r="E301" t="str" cm="1">
        <f t="array" ref="E301">GetValue("Typ","Name",D301)</f>
        <v>float(n)</v>
      </c>
      <c r="F301" t="s">
        <v>165</v>
      </c>
    </row>
    <row r="302" spans="1:8">
      <c r="A302">
        <f t="shared" si="4"/>
        <v>299</v>
      </c>
      <c r="B302">
        <v>8</v>
      </c>
      <c r="C302" t="str" cm="1">
        <f t="array" ref="C302">GetValue("Eng","Name",B302)</f>
        <v>Informix</v>
      </c>
      <c r="D302">
        <v>12</v>
      </c>
      <c r="E302" t="str" cm="1">
        <f t="array" ref="E302">GetValue("Typ","Name",D302)</f>
        <v>geography</v>
      </c>
      <c r="F302" t="s">
        <v>200</v>
      </c>
    </row>
    <row r="303" spans="1:8">
      <c r="A303">
        <f t="shared" si="4"/>
        <v>300</v>
      </c>
      <c r="B303">
        <v>8</v>
      </c>
      <c r="C303" t="str" cm="1">
        <f t="array" ref="C303">GetValue("Eng","Name",B303)</f>
        <v>Informix</v>
      </c>
      <c r="D303">
        <v>13</v>
      </c>
      <c r="E303" t="str" cm="1">
        <f t="array" ref="E303">GetValue("Typ","Name",D303)</f>
        <v>geometry</v>
      </c>
      <c r="F303" t="s">
        <v>200</v>
      </c>
    </row>
    <row r="304" spans="1:8">
      <c r="A304">
        <f t="shared" si="4"/>
        <v>301</v>
      </c>
      <c r="B304">
        <v>8</v>
      </c>
      <c r="C304" t="str" cm="1">
        <f t="array" ref="C304">GetValue("Eng","Name",B304)</f>
        <v>Informix</v>
      </c>
      <c r="D304">
        <v>14</v>
      </c>
      <c r="E304" t="str" cm="1">
        <f t="array" ref="E304">GetValue("Typ","Name",D304)</f>
        <v>hierarchyid</v>
      </c>
      <c r="F304" t="s">
        <v>203</v>
      </c>
      <c r="G304">
        <v>2048</v>
      </c>
    </row>
    <row r="305" spans="1:8">
      <c r="A305">
        <f t="shared" si="4"/>
        <v>302</v>
      </c>
      <c r="B305">
        <v>8</v>
      </c>
      <c r="C305" t="str" cm="1">
        <f t="array" ref="C305">GetValue("Eng","Name",B305)</f>
        <v>Informix</v>
      </c>
      <c r="D305">
        <v>15</v>
      </c>
      <c r="E305" t="str" cm="1">
        <f t="array" ref="E305">GetValue("Typ","Name",D305)</f>
        <v>image</v>
      </c>
      <c r="F305" t="s">
        <v>199</v>
      </c>
    </row>
    <row r="306" spans="1:8">
      <c r="A306">
        <f t="shared" si="4"/>
        <v>303</v>
      </c>
      <c r="B306">
        <v>8</v>
      </c>
      <c r="C306" t="str" cm="1">
        <f t="array" ref="C306">GetValue("Eng","Name",B306)</f>
        <v>Informix</v>
      </c>
      <c r="D306">
        <v>16</v>
      </c>
      <c r="E306" t="str" cm="1">
        <f t="array" ref="E306">GetValue("Typ","Name",D306)</f>
        <v>int (4 bytes)</v>
      </c>
      <c r="F306" t="s">
        <v>158</v>
      </c>
    </row>
    <row r="307" spans="1:8">
      <c r="A307">
        <f t="shared" si="4"/>
        <v>304</v>
      </c>
      <c r="B307">
        <v>8</v>
      </c>
      <c r="C307" t="str" cm="1">
        <f t="array" ref="C307">GetValue("Eng","Name",B307)</f>
        <v>Informix</v>
      </c>
      <c r="D307">
        <v>17</v>
      </c>
      <c r="E307" t="str" cm="1">
        <f t="array" ref="E307">GetValue("Typ","Name",D307)</f>
        <v>money</v>
      </c>
      <c r="F307" t="s">
        <v>616</v>
      </c>
      <c r="G307">
        <v>19</v>
      </c>
      <c r="H307">
        <v>4</v>
      </c>
    </row>
    <row r="308" spans="1:8">
      <c r="A308">
        <f t="shared" si="4"/>
        <v>305</v>
      </c>
      <c r="B308">
        <v>8</v>
      </c>
      <c r="C308" t="str" cm="1">
        <f t="array" ref="C308">GetValue("Eng","Name",B308)</f>
        <v>Informix</v>
      </c>
      <c r="D308">
        <v>18</v>
      </c>
      <c r="E308" t="str" cm="1">
        <f t="array" ref="E308">GetValue("Typ","Name",D308)</f>
        <v>nchar(n)</v>
      </c>
      <c r="F308" t="s">
        <v>167</v>
      </c>
    </row>
    <row r="309" spans="1:8">
      <c r="A309">
        <f t="shared" si="4"/>
        <v>306</v>
      </c>
      <c r="B309">
        <v>8</v>
      </c>
      <c r="C309" t="str" cm="1">
        <f t="array" ref="C309">GetValue("Eng","Name",B309)</f>
        <v>Informix</v>
      </c>
      <c r="D309">
        <v>19</v>
      </c>
      <c r="E309" t="str" cm="1">
        <f t="array" ref="E309">GetValue("Typ","Name",D309)</f>
        <v>ntext</v>
      </c>
      <c r="F309" t="s">
        <v>205</v>
      </c>
    </row>
    <row r="310" spans="1:8">
      <c r="A310">
        <f t="shared" si="4"/>
        <v>307</v>
      </c>
      <c r="B310">
        <v>8</v>
      </c>
      <c r="C310" t="str" cm="1">
        <f t="array" ref="C310">GetValue("Eng","Name",B310)</f>
        <v>Informix</v>
      </c>
      <c r="D310">
        <v>20</v>
      </c>
      <c r="E310" t="str" cm="1">
        <f t="array" ref="E310">GetValue("Typ","Name",D310)</f>
        <v>numeric(p,0)</v>
      </c>
      <c r="F310" t="s">
        <v>192</v>
      </c>
      <c r="H310">
        <v>0</v>
      </c>
    </row>
    <row r="311" spans="1:8">
      <c r="A311">
        <f t="shared" si="4"/>
        <v>308</v>
      </c>
      <c r="B311">
        <v>8</v>
      </c>
      <c r="C311" t="str" cm="1">
        <f t="array" ref="C311">GetValue("Eng","Name",B311)</f>
        <v>Informix</v>
      </c>
      <c r="D311">
        <v>21</v>
      </c>
      <c r="E311" t="str" cm="1">
        <f t="array" ref="E311">GetValue("Typ","Name",D311)</f>
        <v>numeric(p,s)</v>
      </c>
      <c r="F311" t="s">
        <v>192</v>
      </c>
    </row>
    <row r="312" spans="1:8">
      <c r="A312">
        <f t="shared" si="4"/>
        <v>309</v>
      </c>
      <c r="B312">
        <v>8</v>
      </c>
      <c r="C312" t="str" cm="1">
        <f t="array" ref="C312">GetValue("Eng","Name",B312)</f>
        <v>Informix</v>
      </c>
      <c r="D312">
        <v>22</v>
      </c>
      <c r="E312" t="str" cm="1">
        <f t="array" ref="E312">GetValue("Typ","Name",D312)</f>
        <v>nvarchar(n)</v>
      </c>
      <c r="F312" t="s">
        <v>169</v>
      </c>
    </row>
    <row r="313" spans="1:8">
      <c r="A313">
        <f t="shared" si="4"/>
        <v>310</v>
      </c>
      <c r="B313">
        <v>8</v>
      </c>
      <c r="C313" t="str" cm="1">
        <f t="array" ref="C313">GetValue("Eng","Name",B313)</f>
        <v>Informix</v>
      </c>
      <c r="D313">
        <v>23</v>
      </c>
      <c r="E313" t="str" cm="1">
        <f t="array" ref="E313">GetValue("Typ","Name",D313)</f>
        <v>nvarchar(max)</v>
      </c>
      <c r="F313" t="s">
        <v>205</v>
      </c>
    </row>
    <row r="314" spans="1:8">
      <c r="A314">
        <f t="shared" si="4"/>
        <v>311</v>
      </c>
      <c r="B314">
        <v>8</v>
      </c>
      <c r="C314" t="str" cm="1">
        <f t="array" ref="C314">GetValue("Eng","Name",B314)</f>
        <v>Informix</v>
      </c>
      <c r="D314">
        <v>24</v>
      </c>
      <c r="E314" t="str" cm="1">
        <f t="array" ref="E314">GetValue("Typ","Name",D314)</f>
        <v>real</v>
      </c>
      <c r="F314" t="s">
        <v>692</v>
      </c>
    </row>
    <row r="315" spans="1:8">
      <c r="A315">
        <f t="shared" si="4"/>
        <v>312</v>
      </c>
      <c r="B315">
        <v>8</v>
      </c>
      <c r="C315" t="str" cm="1">
        <f t="array" ref="C315">GetValue("Eng","Name",B315)</f>
        <v>Informix</v>
      </c>
      <c r="D315">
        <v>25</v>
      </c>
      <c r="E315" t="str" cm="1">
        <f t="array" ref="E315">GetValue("Typ","Name",D315)</f>
        <v>smalldatetime</v>
      </c>
      <c r="F315" t="s">
        <v>693</v>
      </c>
    </row>
    <row r="316" spans="1:8">
      <c r="A316">
        <f t="shared" si="4"/>
        <v>313</v>
      </c>
      <c r="B316">
        <v>8</v>
      </c>
      <c r="C316" t="str" cm="1">
        <f t="array" ref="C316">GetValue("Eng","Name",B316)</f>
        <v>Informix</v>
      </c>
      <c r="D316">
        <v>26</v>
      </c>
      <c r="E316" t="str" cm="1">
        <f t="array" ref="E316">GetValue("Typ","Name",D316)</f>
        <v>smallint (2 bytes)</v>
      </c>
      <c r="F316" t="s">
        <v>152</v>
      </c>
    </row>
    <row r="317" spans="1:8">
      <c r="A317">
        <f t="shared" si="4"/>
        <v>314</v>
      </c>
      <c r="B317">
        <v>8</v>
      </c>
      <c r="C317" t="str" cm="1">
        <f t="array" ref="C317">GetValue("Eng","Name",B317)</f>
        <v>Informix</v>
      </c>
      <c r="D317">
        <v>27</v>
      </c>
      <c r="E317" t="str" cm="1">
        <f t="array" ref="E317">GetValue("Typ","Name",D317)</f>
        <v>smallmoney</v>
      </c>
      <c r="F317" t="s">
        <v>616</v>
      </c>
      <c r="G317">
        <v>10</v>
      </c>
      <c r="H317">
        <v>4</v>
      </c>
    </row>
    <row r="318" spans="1:8">
      <c r="A318">
        <f t="shared" si="4"/>
        <v>315</v>
      </c>
      <c r="B318">
        <v>8</v>
      </c>
      <c r="C318" t="str" cm="1">
        <f t="array" ref="C318">GetValue("Eng","Name",B318)</f>
        <v>Informix</v>
      </c>
      <c r="D318">
        <v>28</v>
      </c>
      <c r="E318" t="str" cm="1">
        <f t="array" ref="E318">GetValue("Typ","Name",D318)</f>
        <v>sql_variant</v>
      </c>
      <c r="F318" t="s">
        <v>62</v>
      </c>
    </row>
    <row r="319" spans="1:8">
      <c r="A319">
        <f t="shared" si="4"/>
        <v>316</v>
      </c>
      <c r="B319">
        <v>8</v>
      </c>
      <c r="C319" t="str" cm="1">
        <f t="array" ref="C319">GetValue("Eng","Name",B319)</f>
        <v>Informix</v>
      </c>
      <c r="D319">
        <v>29</v>
      </c>
      <c r="E319" t="str" cm="1">
        <f t="array" ref="E319">GetValue("Typ","Name",D319)</f>
        <v>sysname</v>
      </c>
      <c r="F319" t="s">
        <v>161</v>
      </c>
      <c r="G319">
        <v>128</v>
      </c>
    </row>
    <row r="320" spans="1:8">
      <c r="A320">
        <f t="shared" si="4"/>
        <v>317</v>
      </c>
      <c r="B320">
        <v>8</v>
      </c>
      <c r="C320" t="str" cm="1">
        <f t="array" ref="C320">GetValue("Eng","Name",B320)</f>
        <v>Informix</v>
      </c>
      <c r="D320">
        <v>30</v>
      </c>
      <c r="E320" t="str" cm="1">
        <f t="array" ref="E320">GetValue("Typ","Name",D320)</f>
        <v>text</v>
      </c>
      <c r="F320" t="s">
        <v>168</v>
      </c>
    </row>
    <row r="321" spans="1:8">
      <c r="A321">
        <f t="shared" si="4"/>
        <v>318</v>
      </c>
      <c r="B321">
        <v>8</v>
      </c>
      <c r="C321" t="str" cm="1">
        <f t="array" ref="C321">GetValue("Eng","Name",B321)</f>
        <v>Informix</v>
      </c>
      <c r="D321">
        <v>31</v>
      </c>
      <c r="E321" t="str" cm="1">
        <f t="array" ref="E321">GetValue("Typ","Name",D321)</f>
        <v>time(s)</v>
      </c>
      <c r="F321" t="s">
        <v>705</v>
      </c>
    </row>
    <row r="322" spans="1:8">
      <c r="A322">
        <f t="shared" si="4"/>
        <v>319</v>
      </c>
      <c r="B322">
        <v>8</v>
      </c>
      <c r="C322" t="str" cm="1">
        <f t="array" ref="C322">GetValue("Eng","Name",B322)</f>
        <v>Informix</v>
      </c>
      <c r="D322">
        <v>32</v>
      </c>
      <c r="E322" t="str" cm="1">
        <f t="array" ref="E322">GetValue("Typ","Name",D322)</f>
        <v>timestamp</v>
      </c>
      <c r="F322" t="s">
        <v>151</v>
      </c>
    </row>
    <row r="323" spans="1:8">
      <c r="A323">
        <f t="shared" si="4"/>
        <v>320</v>
      </c>
      <c r="B323">
        <v>8</v>
      </c>
      <c r="C323" t="str" cm="1">
        <f t="array" ref="C323">GetValue("Eng","Name",B323)</f>
        <v>Informix</v>
      </c>
      <c r="D323">
        <v>33</v>
      </c>
      <c r="E323" t="str" cm="1">
        <f t="array" ref="E323">GetValue("Typ","Name",D323)</f>
        <v>tinyint (1 byte)</v>
      </c>
      <c r="F323" t="s">
        <v>152</v>
      </c>
    </row>
    <row r="324" spans="1:8">
      <c r="A324">
        <f t="shared" si="4"/>
        <v>321</v>
      </c>
      <c r="B324">
        <v>8</v>
      </c>
      <c r="C324" t="str" cm="1">
        <f t="array" ref="C324">GetValue("Eng","Name",B324)</f>
        <v>Informix</v>
      </c>
      <c r="D324">
        <v>34</v>
      </c>
      <c r="E324" t="str" cm="1">
        <f t="array" ref="E324">GetValue("Typ","Name",D324)</f>
        <v>uniqueidentifier</v>
      </c>
      <c r="F324" t="s">
        <v>153</v>
      </c>
      <c r="G324">
        <v>36</v>
      </c>
    </row>
    <row r="325" spans="1:8">
      <c r="A325">
        <f t="shared" si="4"/>
        <v>322</v>
      </c>
      <c r="B325">
        <v>8</v>
      </c>
      <c r="C325" t="str" cm="1">
        <f t="array" ref="C325">GetValue("Eng","Name",B325)</f>
        <v>Informix</v>
      </c>
      <c r="D325">
        <v>35</v>
      </c>
      <c r="E325" t="str" cm="1">
        <f t="array" ref="E325">GetValue("Typ","Name",D325)</f>
        <v>varbinary(n)</v>
      </c>
      <c r="F325" t="s">
        <v>177</v>
      </c>
    </row>
    <row r="326" spans="1:8">
      <c r="A326">
        <f t="shared" si="4"/>
        <v>323</v>
      </c>
      <c r="B326">
        <v>8</v>
      </c>
      <c r="C326" t="str" cm="1">
        <f t="array" ref="C326">GetValue("Eng","Name",B326)</f>
        <v>Informix</v>
      </c>
      <c r="D326">
        <v>36</v>
      </c>
      <c r="E326" t="str" cm="1">
        <f t="array" ref="E326">GetValue("Typ","Name",D326)</f>
        <v>varbinary(max)</v>
      </c>
      <c r="F326" t="s">
        <v>199</v>
      </c>
    </row>
    <row r="327" spans="1:8">
      <c r="A327">
        <f t="shared" ref="A327:A390" si="5">ROW(A327)-3</f>
        <v>324</v>
      </c>
      <c r="B327">
        <v>8</v>
      </c>
      <c r="C327" t="str" cm="1">
        <f t="array" ref="C327">GetValue("Eng","Name",B327)</f>
        <v>Informix</v>
      </c>
      <c r="D327">
        <v>37</v>
      </c>
      <c r="E327" t="str" cm="1">
        <f t="array" ref="E327">GetValue("Typ","Name",D327)</f>
        <v>varchar(n)</v>
      </c>
      <c r="F327" t="s">
        <v>161</v>
      </c>
    </row>
    <row r="328" spans="1:8">
      <c r="A328">
        <f t="shared" si="5"/>
        <v>325</v>
      </c>
      <c r="B328">
        <v>8</v>
      </c>
      <c r="C328" t="str" cm="1">
        <f t="array" ref="C328">GetValue("Eng","Name",B328)</f>
        <v>Informix</v>
      </c>
      <c r="D328">
        <v>38</v>
      </c>
      <c r="E328" t="str" cm="1">
        <f t="array" ref="E328">GetValue("Typ","Name",D328)</f>
        <v>varchar(max)</v>
      </c>
      <c r="F328" t="s">
        <v>203</v>
      </c>
    </row>
    <row r="329" spans="1:8">
      <c r="A329">
        <f t="shared" si="5"/>
        <v>326</v>
      </c>
      <c r="B329">
        <v>8</v>
      </c>
      <c r="C329" t="str" cm="1">
        <f t="array" ref="C329">GetValue("Eng","Name",B329)</f>
        <v>Informix</v>
      </c>
      <c r="D329">
        <v>39</v>
      </c>
      <c r="E329" t="str" cm="1">
        <f t="array" ref="E329">GetValue("Typ","Name",D329)</f>
        <v>xml</v>
      </c>
      <c r="F329" t="s">
        <v>205</v>
      </c>
    </row>
    <row r="330" spans="1:8">
      <c r="A330">
        <f t="shared" si="5"/>
        <v>327</v>
      </c>
      <c r="B330">
        <v>8</v>
      </c>
      <c r="C330" t="str" cm="1">
        <f t="array" ref="C330">GetValue("Eng","Name",B330)</f>
        <v>Informix</v>
      </c>
      <c r="D330">
        <v>40</v>
      </c>
      <c r="E330" t="str" cm="1">
        <f t="array" ref="E330">GetValue("Typ","Name",D330)</f>
        <v>json</v>
      </c>
      <c r="F330" t="s">
        <v>62</v>
      </c>
    </row>
    <row r="331" spans="1:8">
      <c r="A331">
        <f t="shared" si="5"/>
        <v>328</v>
      </c>
      <c r="B331">
        <v>8</v>
      </c>
      <c r="C331" t="str" cm="1">
        <f t="array" ref="C331">GetValue("Eng","Name",B331)</f>
        <v>Informix</v>
      </c>
      <c r="D331">
        <v>41</v>
      </c>
      <c r="E331" t="str" cm="1">
        <f t="array" ref="E331">GetValue("Typ","Name",D331)</f>
        <v>rowversion</v>
      </c>
      <c r="F331" t="s">
        <v>151</v>
      </c>
    </row>
    <row r="332" spans="1:8">
      <c r="A332">
        <f t="shared" si="5"/>
        <v>329</v>
      </c>
      <c r="B332">
        <v>9</v>
      </c>
      <c r="C332" t="str" cm="1">
        <f t="array" ref="C332">GetValue("Eng","Name",B332)</f>
        <v>Oracle</v>
      </c>
      <c r="D332">
        <v>1</v>
      </c>
      <c r="E332" t="str" cm="1">
        <f t="array" ref="E332">GetValue("Typ","Name",D332)</f>
        <v>bigint (8 bytes)</v>
      </c>
      <c r="F332" t="s">
        <v>207</v>
      </c>
      <c r="G332">
        <v>19</v>
      </c>
      <c r="H332">
        <v>0</v>
      </c>
    </row>
    <row r="333" spans="1:8">
      <c r="A333">
        <f t="shared" si="5"/>
        <v>330</v>
      </c>
      <c r="B333">
        <v>9</v>
      </c>
      <c r="C333" t="str" cm="1">
        <f t="array" ref="C333">GetValue("Eng","Name",B333)</f>
        <v>Oracle</v>
      </c>
      <c r="D333">
        <v>2</v>
      </c>
      <c r="E333" t="str" cm="1">
        <f t="array" ref="E333">GetValue("Typ","Name",D333)</f>
        <v>binary(n)</v>
      </c>
      <c r="F333" t="s">
        <v>206</v>
      </c>
    </row>
    <row r="334" spans="1:8">
      <c r="A334">
        <f t="shared" si="5"/>
        <v>331</v>
      </c>
      <c r="B334">
        <v>9</v>
      </c>
      <c r="C334" t="str" cm="1">
        <f t="array" ref="C334">GetValue("Eng","Name",B334)</f>
        <v>Oracle</v>
      </c>
      <c r="D334">
        <v>3</v>
      </c>
      <c r="E334" t="str" cm="1">
        <f t="array" ref="E334">GetValue("Typ","Name",D334)</f>
        <v>bit (1 bit)</v>
      </c>
      <c r="F334" t="s">
        <v>207</v>
      </c>
      <c r="G334">
        <v>1</v>
      </c>
      <c r="H334">
        <v>0</v>
      </c>
    </row>
    <row r="335" spans="1:8">
      <c r="A335">
        <f t="shared" si="5"/>
        <v>332</v>
      </c>
      <c r="B335">
        <v>9</v>
      </c>
      <c r="C335" t="str" cm="1">
        <f t="array" ref="C335">GetValue("Eng","Name",B335)</f>
        <v>Oracle</v>
      </c>
      <c r="D335">
        <v>4</v>
      </c>
      <c r="E335" t="str" cm="1">
        <f t="array" ref="E335">GetValue("Typ","Name",D335)</f>
        <v>char(n)</v>
      </c>
      <c r="F335" t="s">
        <v>153</v>
      </c>
    </row>
    <row r="336" spans="1:8">
      <c r="A336">
        <f t="shared" si="5"/>
        <v>333</v>
      </c>
      <c r="B336">
        <v>9</v>
      </c>
      <c r="C336" t="str" cm="1">
        <f t="array" ref="C336">GetValue("Eng","Name",B336)</f>
        <v>Oracle</v>
      </c>
      <c r="D336">
        <v>5</v>
      </c>
      <c r="E336" t="str" cm="1">
        <f t="array" ref="E336">GetValue("Typ","Name",D336)</f>
        <v>date</v>
      </c>
      <c r="F336" t="s">
        <v>154</v>
      </c>
    </row>
    <row r="337" spans="1:8">
      <c r="A337">
        <f t="shared" si="5"/>
        <v>334</v>
      </c>
      <c r="B337">
        <v>9</v>
      </c>
      <c r="C337" t="str" cm="1">
        <f t="array" ref="C337">GetValue("Eng","Name",B337)</f>
        <v>Oracle</v>
      </c>
      <c r="D337">
        <v>6</v>
      </c>
      <c r="E337" t="str" cm="1">
        <f t="array" ref="E337">GetValue("Typ","Name",D337)</f>
        <v>datetime</v>
      </c>
      <c r="F337" t="s">
        <v>155</v>
      </c>
      <c r="G337">
        <v>3</v>
      </c>
    </row>
    <row r="338" spans="1:8">
      <c r="A338">
        <f t="shared" si="5"/>
        <v>335</v>
      </c>
      <c r="B338">
        <v>9</v>
      </c>
      <c r="C338" t="str" cm="1">
        <f t="array" ref="C338">GetValue("Eng","Name",B338)</f>
        <v>Oracle</v>
      </c>
      <c r="D338">
        <v>7</v>
      </c>
      <c r="E338" t="str" cm="1">
        <f t="array" ref="E338">GetValue("Typ","Name",D338)</f>
        <v>datetime2(s)</v>
      </c>
      <c r="F338" t="s">
        <v>155</v>
      </c>
    </row>
    <row r="339" spans="1:8">
      <c r="A339">
        <f t="shared" si="5"/>
        <v>336</v>
      </c>
      <c r="B339">
        <v>9</v>
      </c>
      <c r="C339" t="str" cm="1">
        <f t="array" ref="C339">GetValue("Eng","Name",B339)</f>
        <v>Oracle</v>
      </c>
      <c r="D339">
        <v>8</v>
      </c>
      <c r="E339" t="str" cm="1">
        <f t="array" ref="E339">GetValue("Typ","Name",D339)</f>
        <v>datetimeoffset(s)</v>
      </c>
      <c r="F339" t="s">
        <v>156</v>
      </c>
    </row>
    <row r="340" spans="1:8">
      <c r="A340">
        <f t="shared" si="5"/>
        <v>337</v>
      </c>
      <c r="B340">
        <v>9</v>
      </c>
      <c r="C340" t="str" cm="1">
        <f t="array" ref="C340">GetValue("Eng","Name",B340)</f>
        <v>Oracle</v>
      </c>
      <c r="D340">
        <v>9</v>
      </c>
      <c r="E340" t="str" cm="1">
        <f t="array" ref="E340">GetValue("Typ","Name",D340)</f>
        <v>decimal(p,0)</v>
      </c>
      <c r="F340" t="s">
        <v>207</v>
      </c>
      <c r="H340">
        <v>0</v>
      </c>
    </row>
    <row r="341" spans="1:8">
      <c r="A341">
        <f t="shared" si="5"/>
        <v>338</v>
      </c>
      <c r="B341">
        <v>9</v>
      </c>
      <c r="C341" t="str" cm="1">
        <f t="array" ref="C341">GetValue("Eng","Name",B341)</f>
        <v>Oracle</v>
      </c>
      <c r="D341">
        <v>10</v>
      </c>
      <c r="E341" t="str" cm="1">
        <f t="array" ref="E341">GetValue("Typ","Name",D341)</f>
        <v>decimal(p ,s)</v>
      </c>
      <c r="F341" t="s">
        <v>207</v>
      </c>
    </row>
    <row r="342" spans="1:8">
      <c r="A342">
        <f t="shared" si="5"/>
        <v>339</v>
      </c>
      <c r="B342">
        <v>9</v>
      </c>
      <c r="C342" t="str" cm="1">
        <f t="array" ref="C342">GetValue("Eng","Name",B342)</f>
        <v>Oracle</v>
      </c>
      <c r="D342">
        <v>11</v>
      </c>
      <c r="E342" t="str" cm="1">
        <f t="array" ref="E342">GetValue("Typ","Name",D342)</f>
        <v>float(n)</v>
      </c>
      <c r="F342" t="s">
        <v>208</v>
      </c>
    </row>
    <row r="343" spans="1:8">
      <c r="A343">
        <f t="shared" si="5"/>
        <v>340</v>
      </c>
      <c r="B343">
        <v>9</v>
      </c>
      <c r="C343" t="str" cm="1">
        <f t="array" ref="C343">GetValue("Eng","Name",B343)</f>
        <v>Oracle</v>
      </c>
      <c r="D343">
        <v>12</v>
      </c>
      <c r="E343" t="str" cm="1">
        <f t="array" ref="E343">GetValue("Typ","Name",D343)</f>
        <v>geography</v>
      </c>
      <c r="F343" t="s">
        <v>209</v>
      </c>
    </row>
    <row r="344" spans="1:8">
      <c r="A344">
        <f t="shared" si="5"/>
        <v>341</v>
      </c>
      <c r="B344">
        <v>9</v>
      </c>
      <c r="C344" t="str" cm="1">
        <f t="array" ref="C344">GetValue("Eng","Name",B344)</f>
        <v>Oracle</v>
      </c>
      <c r="D344">
        <v>13</v>
      </c>
      <c r="E344" t="str" cm="1">
        <f t="array" ref="E344">GetValue("Typ","Name",D344)</f>
        <v>geometry</v>
      </c>
      <c r="F344" t="s">
        <v>209</v>
      </c>
    </row>
    <row r="345" spans="1:8">
      <c r="A345">
        <f t="shared" si="5"/>
        <v>342</v>
      </c>
      <c r="B345">
        <v>9</v>
      </c>
      <c r="C345" t="str" cm="1">
        <f t="array" ref="C345">GetValue("Eng","Name",B345)</f>
        <v>Oracle</v>
      </c>
      <c r="D345">
        <v>14</v>
      </c>
      <c r="E345" t="str" cm="1">
        <f t="array" ref="E345">GetValue("Typ","Name",D345)</f>
        <v>hierarchyid</v>
      </c>
      <c r="F345" t="s">
        <v>212</v>
      </c>
      <c r="G345">
        <v>4000</v>
      </c>
    </row>
    <row r="346" spans="1:8">
      <c r="A346">
        <f t="shared" si="5"/>
        <v>343</v>
      </c>
      <c r="B346">
        <v>9</v>
      </c>
      <c r="C346" t="str" cm="1">
        <f t="array" ref="C346">GetValue("Eng","Name",B346)</f>
        <v>Oracle</v>
      </c>
      <c r="D346">
        <v>15</v>
      </c>
      <c r="E346" t="str" cm="1">
        <f t="array" ref="E346">GetValue("Typ","Name",D346)</f>
        <v>image</v>
      </c>
      <c r="F346" t="s">
        <v>199</v>
      </c>
    </row>
    <row r="347" spans="1:8">
      <c r="A347">
        <f t="shared" si="5"/>
        <v>344</v>
      </c>
      <c r="B347">
        <v>9</v>
      </c>
      <c r="C347" t="str" cm="1">
        <f t="array" ref="C347">GetValue("Eng","Name",B347)</f>
        <v>Oracle</v>
      </c>
      <c r="D347">
        <v>16</v>
      </c>
      <c r="E347" t="str" cm="1">
        <f t="array" ref="E347">GetValue("Typ","Name",D347)</f>
        <v>int (4 bytes)</v>
      </c>
      <c r="F347" t="s">
        <v>207</v>
      </c>
      <c r="G347">
        <v>10</v>
      </c>
      <c r="H347">
        <v>0</v>
      </c>
    </row>
    <row r="348" spans="1:8">
      <c r="A348">
        <f t="shared" si="5"/>
        <v>345</v>
      </c>
      <c r="B348">
        <v>9</v>
      </c>
      <c r="C348" t="str" cm="1">
        <f t="array" ref="C348">GetValue("Eng","Name",B348)</f>
        <v>Oracle</v>
      </c>
      <c r="D348">
        <v>17</v>
      </c>
      <c r="E348" t="str" cm="1">
        <f t="array" ref="E348">GetValue("Typ","Name",D348)</f>
        <v>money</v>
      </c>
      <c r="F348" t="s">
        <v>207</v>
      </c>
      <c r="G348">
        <v>19</v>
      </c>
      <c r="H348">
        <v>4</v>
      </c>
    </row>
    <row r="349" spans="1:8">
      <c r="A349">
        <f t="shared" si="5"/>
        <v>346</v>
      </c>
      <c r="B349">
        <v>9</v>
      </c>
      <c r="C349" t="str" cm="1">
        <f t="array" ref="C349">GetValue("Eng","Name",B349)</f>
        <v>Oracle</v>
      </c>
      <c r="D349">
        <v>18</v>
      </c>
      <c r="E349" t="str" cm="1">
        <f t="array" ref="E349">GetValue("Typ","Name",D349)</f>
        <v>nchar(n)</v>
      </c>
      <c r="F349" t="s">
        <v>167</v>
      </c>
    </row>
    <row r="350" spans="1:8">
      <c r="A350">
        <f t="shared" si="5"/>
        <v>347</v>
      </c>
      <c r="B350">
        <v>9</v>
      </c>
      <c r="C350" t="str" cm="1">
        <f t="array" ref="C350">GetValue("Eng","Name",B350)</f>
        <v>Oracle</v>
      </c>
      <c r="D350">
        <v>19</v>
      </c>
      <c r="E350" t="str" cm="1">
        <f t="array" ref="E350">GetValue("Typ","Name",D350)</f>
        <v>ntext</v>
      </c>
      <c r="F350" t="s">
        <v>694</v>
      </c>
    </row>
    <row r="351" spans="1:8">
      <c r="A351">
        <f t="shared" si="5"/>
        <v>348</v>
      </c>
      <c r="B351">
        <v>9</v>
      </c>
      <c r="C351" t="str" cm="1">
        <f t="array" ref="C351">GetValue("Eng","Name",B351)</f>
        <v>Oracle</v>
      </c>
      <c r="D351">
        <v>20</v>
      </c>
      <c r="E351" t="str" cm="1">
        <f t="array" ref="E351">GetValue("Typ","Name",D351)</f>
        <v>numeric(p,0)</v>
      </c>
      <c r="F351" t="s">
        <v>207</v>
      </c>
      <c r="H351">
        <v>0</v>
      </c>
    </row>
    <row r="352" spans="1:8">
      <c r="A352">
        <f t="shared" si="5"/>
        <v>349</v>
      </c>
      <c r="B352">
        <v>9</v>
      </c>
      <c r="C352" t="str" cm="1">
        <f t="array" ref="C352">GetValue("Eng","Name",B352)</f>
        <v>Oracle</v>
      </c>
      <c r="D352">
        <v>21</v>
      </c>
      <c r="E352" t="str" cm="1">
        <f t="array" ref="E352">GetValue("Typ","Name",D352)</f>
        <v>numeric(p,s)</v>
      </c>
      <c r="F352" t="s">
        <v>207</v>
      </c>
    </row>
    <row r="353" spans="1:8">
      <c r="A353">
        <f t="shared" si="5"/>
        <v>350</v>
      </c>
      <c r="B353">
        <v>9</v>
      </c>
      <c r="C353" t="str" cm="1">
        <f t="array" ref="C353">GetValue("Eng","Name",B353)</f>
        <v>Oracle</v>
      </c>
      <c r="D353">
        <v>22</v>
      </c>
      <c r="E353" t="str" cm="1">
        <f t="array" ref="E353">GetValue("Typ","Name",D353)</f>
        <v>nvarchar(n)</v>
      </c>
      <c r="F353" t="s">
        <v>210</v>
      </c>
    </row>
    <row r="354" spans="1:8">
      <c r="A354">
        <f t="shared" si="5"/>
        <v>351</v>
      </c>
      <c r="B354">
        <v>9</v>
      </c>
      <c r="C354" t="str" cm="1">
        <f t="array" ref="C354">GetValue("Eng","Name",B354)</f>
        <v>Oracle</v>
      </c>
      <c r="D354">
        <v>23</v>
      </c>
      <c r="E354" t="str" cm="1">
        <f t="array" ref="E354">GetValue("Typ","Name",D354)</f>
        <v>nvarchar(max)</v>
      </c>
      <c r="F354" t="s">
        <v>694</v>
      </c>
    </row>
    <row r="355" spans="1:8">
      <c r="A355">
        <f t="shared" si="5"/>
        <v>352</v>
      </c>
      <c r="B355">
        <v>9</v>
      </c>
      <c r="C355" t="str" cm="1">
        <f t="array" ref="C355">GetValue("Eng","Name",B355)</f>
        <v>Oracle</v>
      </c>
      <c r="D355">
        <v>24</v>
      </c>
      <c r="E355" t="str" cm="1">
        <f t="array" ref="E355">GetValue("Typ","Name",D355)</f>
        <v>real</v>
      </c>
      <c r="F355" t="s">
        <v>211</v>
      </c>
    </row>
    <row r="356" spans="1:8">
      <c r="A356">
        <f t="shared" si="5"/>
        <v>353</v>
      </c>
      <c r="B356">
        <v>9</v>
      </c>
      <c r="C356" t="str" cm="1">
        <f t="array" ref="C356">GetValue("Eng","Name",B356)</f>
        <v>Oracle</v>
      </c>
      <c r="D356">
        <v>25</v>
      </c>
      <c r="E356" t="str" cm="1">
        <f t="array" ref="E356">GetValue("Typ","Name",D356)</f>
        <v>smalldatetime</v>
      </c>
      <c r="F356" t="s">
        <v>155</v>
      </c>
      <c r="G356">
        <v>0</v>
      </c>
    </row>
    <row r="357" spans="1:8" ht="13.95" customHeight="1">
      <c r="A357">
        <f t="shared" si="5"/>
        <v>354</v>
      </c>
      <c r="B357">
        <v>9</v>
      </c>
      <c r="C357" t="str" cm="1">
        <f t="array" ref="C357">GetValue("Eng","Name",B357)</f>
        <v>Oracle</v>
      </c>
      <c r="D357">
        <v>26</v>
      </c>
      <c r="E357" t="str" cm="1">
        <f t="array" ref="E357">GetValue("Typ","Name",D357)</f>
        <v>smallint (2 bytes)</v>
      </c>
      <c r="F357" t="s">
        <v>207</v>
      </c>
      <c r="G357">
        <v>5</v>
      </c>
      <c r="H357">
        <v>0</v>
      </c>
    </row>
    <row r="358" spans="1:8">
      <c r="A358">
        <f t="shared" si="5"/>
        <v>355</v>
      </c>
      <c r="B358">
        <v>9</v>
      </c>
      <c r="C358" t="str" cm="1">
        <f t="array" ref="C358">GetValue("Eng","Name",B358)</f>
        <v>Oracle</v>
      </c>
      <c r="D358">
        <v>27</v>
      </c>
      <c r="E358" t="str" cm="1">
        <f t="array" ref="E358">GetValue("Typ","Name",D358)</f>
        <v>smallmoney</v>
      </c>
      <c r="F358" t="s">
        <v>207</v>
      </c>
      <c r="G358">
        <v>10</v>
      </c>
      <c r="H358">
        <v>4</v>
      </c>
    </row>
    <row r="359" spans="1:8">
      <c r="A359">
        <f t="shared" si="5"/>
        <v>356</v>
      </c>
      <c r="B359">
        <v>9</v>
      </c>
      <c r="C359" t="str" cm="1">
        <f t="array" ref="C359">GetValue("Eng","Name",B359)</f>
        <v>Oracle</v>
      </c>
      <c r="D359">
        <v>28</v>
      </c>
      <c r="E359" t="str" cm="1">
        <f t="array" ref="E359">GetValue("Typ","Name",D359)</f>
        <v>sql_variant</v>
      </c>
      <c r="F359" t="s">
        <v>62</v>
      </c>
    </row>
    <row r="360" spans="1:8">
      <c r="A360">
        <f t="shared" si="5"/>
        <v>357</v>
      </c>
      <c r="B360">
        <v>9</v>
      </c>
      <c r="C360" t="str" cm="1">
        <f t="array" ref="C360">GetValue("Eng","Name",B360)</f>
        <v>Oracle</v>
      </c>
      <c r="D360">
        <v>29</v>
      </c>
      <c r="E360" t="str" cm="1">
        <f t="array" ref="E360">GetValue("Typ","Name",D360)</f>
        <v>sysname</v>
      </c>
      <c r="F360" t="s">
        <v>212</v>
      </c>
      <c r="G360">
        <v>128</v>
      </c>
    </row>
    <row r="361" spans="1:8">
      <c r="A361">
        <f t="shared" si="5"/>
        <v>358</v>
      </c>
      <c r="B361">
        <v>9</v>
      </c>
      <c r="C361" t="str" cm="1">
        <f t="array" ref="C361">GetValue("Eng","Name",B361)</f>
        <v>Oracle</v>
      </c>
      <c r="D361">
        <v>30</v>
      </c>
      <c r="E361" t="str" cm="1">
        <f t="array" ref="E361">GetValue("Typ","Name",D361)</f>
        <v>text</v>
      </c>
      <c r="F361" t="s">
        <v>205</v>
      </c>
    </row>
    <row r="362" spans="1:8">
      <c r="A362">
        <f t="shared" si="5"/>
        <v>359</v>
      </c>
      <c r="B362">
        <v>9</v>
      </c>
      <c r="C362" t="str" cm="1">
        <f t="array" ref="C362">GetValue("Eng","Name",B362)</f>
        <v>Oracle</v>
      </c>
      <c r="D362">
        <v>31</v>
      </c>
      <c r="E362" t="str" cm="1">
        <f t="array" ref="E362">GetValue("Typ","Name",D362)</f>
        <v>time(s)</v>
      </c>
      <c r="F362" t="s">
        <v>212</v>
      </c>
      <c r="G362">
        <v>16</v>
      </c>
    </row>
    <row r="363" spans="1:8">
      <c r="A363">
        <f t="shared" si="5"/>
        <v>360</v>
      </c>
      <c r="B363">
        <v>9</v>
      </c>
      <c r="C363" t="str" cm="1">
        <f t="array" ref="C363">GetValue("Eng","Name",B363)</f>
        <v>Oracle</v>
      </c>
      <c r="D363">
        <v>32</v>
      </c>
      <c r="E363" t="str" cm="1">
        <f t="array" ref="E363">GetValue("Typ","Name",D363)</f>
        <v>timestamp</v>
      </c>
      <c r="F363" t="s">
        <v>206</v>
      </c>
      <c r="G363">
        <v>8</v>
      </c>
    </row>
    <row r="364" spans="1:8">
      <c r="A364">
        <f t="shared" si="5"/>
        <v>361</v>
      </c>
      <c r="B364">
        <v>9</v>
      </c>
      <c r="C364" t="str" cm="1">
        <f t="array" ref="C364">GetValue("Eng","Name",B364)</f>
        <v>Oracle</v>
      </c>
      <c r="D364">
        <v>33</v>
      </c>
      <c r="E364" t="str" cm="1">
        <f t="array" ref="E364">GetValue("Typ","Name",D364)</f>
        <v>tinyint (1 byte)</v>
      </c>
      <c r="F364" t="s">
        <v>207</v>
      </c>
      <c r="G364">
        <v>3</v>
      </c>
      <c r="H364">
        <v>0</v>
      </c>
    </row>
    <row r="365" spans="1:8">
      <c r="A365">
        <f t="shared" si="5"/>
        <v>362</v>
      </c>
      <c r="B365">
        <v>9</v>
      </c>
      <c r="C365" t="str" cm="1">
        <f t="array" ref="C365">GetValue("Eng","Name",B365)</f>
        <v>Oracle</v>
      </c>
      <c r="D365">
        <v>34</v>
      </c>
      <c r="E365" t="str" cm="1">
        <f t="array" ref="E365">GetValue("Typ","Name",D365)</f>
        <v>uniqueidentifier</v>
      </c>
      <c r="F365" t="s">
        <v>206</v>
      </c>
      <c r="G365">
        <v>16</v>
      </c>
    </row>
    <row r="366" spans="1:8">
      <c r="A366">
        <f t="shared" si="5"/>
        <v>363</v>
      </c>
      <c r="B366">
        <v>9</v>
      </c>
      <c r="C366" t="str" cm="1">
        <f t="array" ref="C366">GetValue("Eng","Name",B366)</f>
        <v>Oracle</v>
      </c>
      <c r="D366">
        <v>35</v>
      </c>
      <c r="E366" t="str" cm="1">
        <f t="array" ref="E366">GetValue("Typ","Name",D366)</f>
        <v>varbinary(n)</v>
      </c>
      <c r="F366" t="s">
        <v>206</v>
      </c>
    </row>
    <row r="367" spans="1:8">
      <c r="A367">
        <f t="shared" si="5"/>
        <v>364</v>
      </c>
      <c r="B367">
        <v>9</v>
      </c>
      <c r="C367" t="str" cm="1">
        <f t="array" ref="C367">GetValue("Eng","Name",B367)</f>
        <v>Oracle</v>
      </c>
      <c r="D367">
        <v>36</v>
      </c>
      <c r="E367" t="str" cm="1">
        <f t="array" ref="E367">GetValue("Typ","Name",D367)</f>
        <v>varbinary(max)</v>
      </c>
      <c r="F367" t="s">
        <v>199</v>
      </c>
    </row>
    <row r="368" spans="1:8">
      <c r="A368">
        <f t="shared" si="5"/>
        <v>365</v>
      </c>
      <c r="B368">
        <v>9</v>
      </c>
      <c r="C368" t="str" cm="1">
        <f t="array" ref="C368">GetValue("Eng","Name",B368)</f>
        <v>Oracle</v>
      </c>
      <c r="D368">
        <v>37</v>
      </c>
      <c r="E368" t="str" cm="1">
        <f t="array" ref="E368">GetValue("Typ","Name",D368)</f>
        <v>varchar(n)</v>
      </c>
      <c r="F368" t="s">
        <v>212</v>
      </c>
    </row>
    <row r="369" spans="1:7">
      <c r="A369">
        <f t="shared" si="5"/>
        <v>366</v>
      </c>
      <c r="B369">
        <v>9</v>
      </c>
      <c r="C369" t="str" cm="1">
        <f t="array" ref="C369">GetValue("Eng","Name",B369)</f>
        <v>Oracle</v>
      </c>
      <c r="D369">
        <v>38</v>
      </c>
      <c r="E369" t="str" cm="1">
        <f t="array" ref="E369">GetValue("Typ","Name",D369)</f>
        <v>varchar(max)</v>
      </c>
      <c r="F369" t="s">
        <v>205</v>
      </c>
    </row>
    <row r="370" spans="1:7">
      <c r="A370">
        <f t="shared" si="5"/>
        <v>367</v>
      </c>
      <c r="B370">
        <v>9</v>
      </c>
      <c r="C370" t="str" cm="1">
        <f t="array" ref="C370">GetValue("Eng","Name",B370)</f>
        <v>Oracle</v>
      </c>
      <c r="D370">
        <v>39</v>
      </c>
      <c r="E370" t="str" cm="1">
        <f t="array" ref="E370">GetValue("Typ","Name",D370)</f>
        <v>xml</v>
      </c>
      <c r="F370" t="s">
        <v>213</v>
      </c>
    </row>
    <row r="371" spans="1:7">
      <c r="A371">
        <f t="shared" si="5"/>
        <v>368</v>
      </c>
      <c r="B371">
        <v>9</v>
      </c>
      <c r="C371" t="str" cm="1">
        <f t="array" ref="C371">GetValue("Eng","Name",B371)</f>
        <v>Oracle</v>
      </c>
      <c r="D371">
        <v>40</v>
      </c>
      <c r="E371" t="str" cm="1">
        <f t="array" ref="E371">GetValue("Typ","Name",D371)</f>
        <v>json</v>
      </c>
      <c r="F371" t="s">
        <v>62</v>
      </c>
    </row>
    <row r="372" spans="1:7">
      <c r="A372">
        <f t="shared" si="5"/>
        <v>369</v>
      </c>
      <c r="B372">
        <v>9</v>
      </c>
      <c r="C372" t="str" cm="1">
        <f t="array" ref="C372">GetValue("Eng","Name",B372)</f>
        <v>Oracle</v>
      </c>
      <c r="D372">
        <v>41</v>
      </c>
      <c r="E372" t="str" cm="1">
        <f t="array" ref="E372">GetValue("Typ","Name",D372)</f>
        <v>rowversion</v>
      </c>
      <c r="F372" t="s">
        <v>206</v>
      </c>
      <c r="G372">
        <v>8</v>
      </c>
    </row>
    <row r="373" spans="1:7">
      <c r="A373">
        <f t="shared" si="5"/>
        <v>370</v>
      </c>
      <c r="B373">
        <v>10</v>
      </c>
      <c r="C373" t="str" cm="1">
        <f t="array" ref="C373">GetValue("Eng","Name",B373)</f>
        <v>DB2</v>
      </c>
      <c r="D373">
        <v>1</v>
      </c>
      <c r="E373" t="str" cm="1">
        <f t="array" ref="E373">GetValue("Typ","Name",D373)</f>
        <v>bigint (8 bytes)</v>
      </c>
      <c r="F373" t="s">
        <v>151</v>
      </c>
    </row>
    <row r="374" spans="1:7">
      <c r="A374">
        <f t="shared" si="5"/>
        <v>371</v>
      </c>
      <c r="B374">
        <v>10</v>
      </c>
      <c r="C374" t="str" cm="1">
        <f t="array" ref="C374">GetValue("Eng","Name",B374)</f>
        <v>DB2</v>
      </c>
      <c r="D374">
        <v>2</v>
      </c>
      <c r="E374" t="str" cm="1">
        <f t="array" ref="E374">GetValue("Typ","Name",D374)</f>
        <v>binary(n)</v>
      </c>
      <c r="F374" t="s">
        <v>700</v>
      </c>
    </row>
    <row r="375" spans="1:7">
      <c r="A375">
        <f t="shared" si="5"/>
        <v>372</v>
      </c>
      <c r="B375">
        <v>10</v>
      </c>
      <c r="C375" t="str" cm="1">
        <f t="array" ref="C375">GetValue("Eng","Name",B375)</f>
        <v>DB2</v>
      </c>
      <c r="D375">
        <v>3</v>
      </c>
      <c r="E375" t="str" cm="1">
        <f t="array" ref="E375">GetValue("Typ","Name",D375)</f>
        <v>bit (1 bit)</v>
      </c>
      <c r="F375" t="s">
        <v>166</v>
      </c>
    </row>
    <row r="376" spans="1:7">
      <c r="A376">
        <f t="shared" si="5"/>
        <v>373</v>
      </c>
      <c r="B376">
        <v>10</v>
      </c>
      <c r="C376" t="str" cm="1">
        <f t="array" ref="C376">GetValue("Eng","Name",B376)</f>
        <v>DB2</v>
      </c>
      <c r="D376">
        <v>4</v>
      </c>
      <c r="E376" t="str" cm="1">
        <f t="array" ref="E376">GetValue("Typ","Name",D376)</f>
        <v>char(n)</v>
      </c>
      <c r="F376" t="s">
        <v>153</v>
      </c>
    </row>
    <row r="377" spans="1:7">
      <c r="A377">
        <f t="shared" si="5"/>
        <v>374</v>
      </c>
      <c r="B377">
        <v>10</v>
      </c>
      <c r="C377" t="str" cm="1">
        <f t="array" ref="C377">GetValue("Eng","Name",B377)</f>
        <v>DB2</v>
      </c>
      <c r="D377">
        <v>5</v>
      </c>
      <c r="E377" t="str" cm="1">
        <f t="array" ref="E377">GetValue("Typ","Name",D377)</f>
        <v>date</v>
      </c>
      <c r="F377" t="s">
        <v>154</v>
      </c>
    </row>
    <row r="378" spans="1:7">
      <c r="A378">
        <f t="shared" si="5"/>
        <v>375</v>
      </c>
      <c r="B378">
        <v>10</v>
      </c>
      <c r="C378" t="str" cm="1">
        <f t="array" ref="C378">GetValue("Eng","Name",B378)</f>
        <v>DB2</v>
      </c>
      <c r="D378">
        <v>6</v>
      </c>
      <c r="E378" t="str" cm="1">
        <f t="array" ref="E378">GetValue("Typ","Name",D378)</f>
        <v>datetime</v>
      </c>
      <c r="F378" t="s">
        <v>155</v>
      </c>
      <c r="G378">
        <v>3</v>
      </c>
    </row>
    <row r="379" spans="1:7">
      <c r="A379">
        <f t="shared" si="5"/>
        <v>376</v>
      </c>
      <c r="B379">
        <v>10</v>
      </c>
      <c r="C379" t="str" cm="1">
        <f t="array" ref="C379">GetValue("Eng","Name",B379)</f>
        <v>DB2</v>
      </c>
      <c r="D379">
        <v>7</v>
      </c>
      <c r="E379" t="str" cm="1">
        <f t="array" ref="E379">GetValue("Typ","Name",D379)</f>
        <v>datetime2(s)</v>
      </c>
      <c r="F379" t="s">
        <v>155</v>
      </c>
    </row>
    <row r="380" spans="1:7">
      <c r="A380">
        <f t="shared" si="5"/>
        <v>377</v>
      </c>
      <c r="B380">
        <v>10</v>
      </c>
      <c r="C380" t="str" cm="1">
        <f t="array" ref="C380">GetValue("Eng","Name",B380)</f>
        <v>DB2</v>
      </c>
      <c r="D380">
        <v>8</v>
      </c>
      <c r="E380" t="str" cm="1">
        <f t="array" ref="E380">GetValue("Typ","Name",D380)</f>
        <v>datetimeoffset(s)</v>
      </c>
      <c r="F380" t="s">
        <v>156</v>
      </c>
    </row>
    <row r="381" spans="1:7">
      <c r="A381">
        <f t="shared" si="5"/>
        <v>378</v>
      </c>
      <c r="B381">
        <v>10</v>
      </c>
      <c r="C381" t="str" cm="1">
        <f t="array" ref="C381">GetValue("Eng","Name",B381)</f>
        <v>DB2</v>
      </c>
      <c r="D381">
        <v>9</v>
      </c>
      <c r="E381" t="str" cm="1">
        <f t="array" ref="E381">GetValue("Typ","Name",D381)</f>
        <v>decimal(p,0)</v>
      </c>
      <c r="F381" t="s">
        <v>191</v>
      </c>
      <c r="G381">
        <v>0</v>
      </c>
    </row>
    <row r="382" spans="1:7">
      <c r="A382">
        <f t="shared" si="5"/>
        <v>379</v>
      </c>
      <c r="B382">
        <v>10</v>
      </c>
      <c r="C382" t="str" cm="1">
        <f t="array" ref="C382">GetValue("Eng","Name",B382)</f>
        <v>DB2</v>
      </c>
      <c r="D382">
        <v>10</v>
      </c>
      <c r="E382" t="str" cm="1">
        <f t="array" ref="E382">GetValue("Typ","Name",D382)</f>
        <v>decimal(p ,s)</v>
      </c>
      <c r="F382" t="s">
        <v>191</v>
      </c>
    </row>
    <row r="383" spans="1:7">
      <c r="A383">
        <f t="shared" si="5"/>
        <v>380</v>
      </c>
      <c r="B383">
        <v>10</v>
      </c>
      <c r="C383" t="str" cm="1">
        <f t="array" ref="C383">GetValue("Eng","Name",B383)</f>
        <v>DB2</v>
      </c>
      <c r="D383">
        <v>11</v>
      </c>
      <c r="E383" t="str" cm="1">
        <f t="array" ref="E383">GetValue("Typ","Name",D383)</f>
        <v>float(n)</v>
      </c>
      <c r="F383" t="s">
        <v>157</v>
      </c>
    </row>
    <row r="384" spans="1:7">
      <c r="A384">
        <f t="shared" si="5"/>
        <v>381</v>
      </c>
      <c r="B384">
        <v>10</v>
      </c>
      <c r="C384" t="str" cm="1">
        <f t="array" ref="C384">GetValue("Eng","Name",B384)</f>
        <v>DB2</v>
      </c>
      <c r="D384">
        <v>12</v>
      </c>
      <c r="E384" t="str" cm="1">
        <f t="array" ref="E384">GetValue("Typ","Name",D384)</f>
        <v>geography</v>
      </c>
      <c r="F384" t="s">
        <v>200</v>
      </c>
    </row>
    <row r="385" spans="1:8">
      <c r="A385">
        <f t="shared" si="5"/>
        <v>382</v>
      </c>
      <c r="B385">
        <v>10</v>
      </c>
      <c r="C385" t="str" cm="1">
        <f t="array" ref="C385">GetValue("Eng","Name",B385)</f>
        <v>DB2</v>
      </c>
      <c r="D385">
        <v>13</v>
      </c>
      <c r="E385" t="str" cm="1">
        <f t="array" ref="E385">GetValue("Typ","Name",D385)</f>
        <v>geometry</v>
      </c>
      <c r="F385" t="s">
        <v>200</v>
      </c>
    </row>
    <row r="386" spans="1:8">
      <c r="A386">
        <f t="shared" si="5"/>
        <v>383</v>
      </c>
      <c r="B386">
        <v>10</v>
      </c>
      <c r="C386" t="str" cm="1">
        <f t="array" ref="C386">GetValue("Eng","Name",B386)</f>
        <v>DB2</v>
      </c>
      <c r="D386">
        <v>14</v>
      </c>
      <c r="E386" t="str" cm="1">
        <f t="array" ref="E386">GetValue("Typ","Name",D386)</f>
        <v>hierarchyid</v>
      </c>
      <c r="F386" t="s">
        <v>161</v>
      </c>
      <c r="G386">
        <v>2048</v>
      </c>
    </row>
    <row r="387" spans="1:8">
      <c r="A387">
        <f t="shared" si="5"/>
        <v>384</v>
      </c>
      <c r="B387">
        <v>10</v>
      </c>
      <c r="C387" t="str" cm="1">
        <f t="array" ref="C387">GetValue("Eng","Name",B387)</f>
        <v>DB2</v>
      </c>
      <c r="D387">
        <v>15</v>
      </c>
      <c r="E387" t="str" cm="1">
        <f t="array" ref="E387">GetValue("Typ","Name",D387)</f>
        <v>image</v>
      </c>
      <c r="F387" t="s">
        <v>199</v>
      </c>
    </row>
    <row r="388" spans="1:8">
      <c r="A388">
        <f t="shared" si="5"/>
        <v>385</v>
      </c>
      <c r="B388">
        <v>10</v>
      </c>
      <c r="C388" t="str" cm="1">
        <f t="array" ref="C388">GetValue("Eng","Name",B388)</f>
        <v>DB2</v>
      </c>
      <c r="D388">
        <v>16</v>
      </c>
      <c r="E388" t="str" cm="1">
        <f t="array" ref="E388">GetValue("Typ","Name",D388)</f>
        <v>int (4 bytes)</v>
      </c>
      <c r="F388" t="s">
        <v>158</v>
      </c>
    </row>
    <row r="389" spans="1:8">
      <c r="A389">
        <f t="shared" si="5"/>
        <v>386</v>
      </c>
      <c r="B389">
        <v>10</v>
      </c>
      <c r="C389" t="str" cm="1">
        <f t="array" ref="C389">GetValue("Eng","Name",B389)</f>
        <v>DB2</v>
      </c>
      <c r="D389">
        <v>17</v>
      </c>
      <c r="E389" t="str" cm="1">
        <f t="array" ref="E389">GetValue("Typ","Name",D389)</f>
        <v>money</v>
      </c>
      <c r="F389" t="s">
        <v>191</v>
      </c>
      <c r="G389">
        <v>19</v>
      </c>
      <c r="H389">
        <v>4</v>
      </c>
    </row>
    <row r="390" spans="1:8">
      <c r="A390">
        <f t="shared" si="5"/>
        <v>387</v>
      </c>
      <c r="B390">
        <v>10</v>
      </c>
      <c r="C390" t="str" cm="1">
        <f t="array" ref="C390">GetValue("Eng","Name",B390)</f>
        <v>DB2</v>
      </c>
      <c r="D390">
        <v>18</v>
      </c>
      <c r="E390" t="str" cm="1">
        <f t="array" ref="E390">GetValue("Typ","Name",D390)</f>
        <v>nchar(n)</v>
      </c>
      <c r="F390" t="s">
        <v>214</v>
      </c>
    </row>
    <row r="391" spans="1:8">
      <c r="A391">
        <f t="shared" ref="A391:A413" si="6">ROW(A391)-3</f>
        <v>388</v>
      </c>
      <c r="B391">
        <v>10</v>
      </c>
      <c r="C391" t="str" cm="1">
        <f t="array" ref="C391">GetValue("Eng","Name",B391)</f>
        <v>DB2</v>
      </c>
      <c r="D391">
        <v>19</v>
      </c>
      <c r="E391" t="str" cm="1">
        <f t="array" ref="E391">GetValue("Typ","Name",D391)</f>
        <v>ntext</v>
      </c>
      <c r="F391" t="s">
        <v>695</v>
      </c>
    </row>
    <row r="392" spans="1:8">
      <c r="A392">
        <f t="shared" si="6"/>
        <v>389</v>
      </c>
      <c r="B392">
        <v>10</v>
      </c>
      <c r="C392" t="str" cm="1">
        <f t="array" ref="C392">GetValue("Eng","Name",B392)</f>
        <v>DB2</v>
      </c>
      <c r="D392">
        <v>20</v>
      </c>
      <c r="E392" t="str" cm="1">
        <f t="array" ref="E392">GetValue("Typ","Name",D392)</f>
        <v>numeric(p,0)</v>
      </c>
      <c r="F392" t="s">
        <v>192</v>
      </c>
      <c r="H392">
        <v>0</v>
      </c>
    </row>
    <row r="393" spans="1:8">
      <c r="A393">
        <f t="shared" si="6"/>
        <v>390</v>
      </c>
      <c r="B393">
        <v>10</v>
      </c>
      <c r="C393" t="str" cm="1">
        <f t="array" ref="C393">GetValue("Eng","Name",B393)</f>
        <v>DB2</v>
      </c>
      <c r="D393">
        <v>21</v>
      </c>
      <c r="E393" t="str" cm="1">
        <f t="array" ref="E393">GetValue("Typ","Name",D393)</f>
        <v>numeric(p,s)</v>
      </c>
      <c r="F393" t="s">
        <v>192</v>
      </c>
    </row>
    <row r="394" spans="1:8">
      <c r="A394">
        <f t="shared" si="6"/>
        <v>391</v>
      </c>
      <c r="B394">
        <v>10</v>
      </c>
      <c r="C394" t="str" cm="1">
        <f t="array" ref="C394">GetValue("Eng","Name",B394)</f>
        <v>DB2</v>
      </c>
      <c r="D394">
        <v>22</v>
      </c>
      <c r="E394" t="str" cm="1">
        <f t="array" ref="E394">GetValue("Typ","Name",D394)</f>
        <v>nvarchar(n)</v>
      </c>
      <c r="F394" t="s">
        <v>215</v>
      </c>
    </row>
    <row r="395" spans="1:8">
      <c r="A395">
        <f t="shared" si="6"/>
        <v>392</v>
      </c>
      <c r="B395">
        <v>10</v>
      </c>
      <c r="C395" t="str" cm="1">
        <f t="array" ref="C395">GetValue("Eng","Name",B395)</f>
        <v>DB2</v>
      </c>
      <c r="D395">
        <v>23</v>
      </c>
      <c r="E395" t="str" cm="1">
        <f t="array" ref="E395">GetValue("Typ","Name",D395)</f>
        <v>nvarchar(max)</v>
      </c>
      <c r="F395" t="s">
        <v>695</v>
      </c>
    </row>
    <row r="396" spans="1:8">
      <c r="A396">
        <f t="shared" si="6"/>
        <v>393</v>
      </c>
      <c r="B396">
        <v>10</v>
      </c>
      <c r="C396" t="str" cm="1">
        <f t="array" ref="C396">GetValue("Eng","Name",B396)</f>
        <v>DB2</v>
      </c>
      <c r="D396">
        <v>24</v>
      </c>
      <c r="E396" t="str" cm="1">
        <f t="array" ref="E396">GetValue("Typ","Name",D396)</f>
        <v>real</v>
      </c>
      <c r="F396" t="s">
        <v>159</v>
      </c>
    </row>
    <row r="397" spans="1:8">
      <c r="A397">
        <f t="shared" si="6"/>
        <v>394</v>
      </c>
      <c r="B397">
        <v>10</v>
      </c>
      <c r="C397" t="str" cm="1">
        <f t="array" ref="C397">GetValue("Eng","Name",B397)</f>
        <v>DB2</v>
      </c>
      <c r="D397">
        <v>25</v>
      </c>
      <c r="E397" t="str" cm="1">
        <f t="array" ref="E397">GetValue("Typ","Name",D397)</f>
        <v>smalldatetime</v>
      </c>
      <c r="F397" t="s">
        <v>155</v>
      </c>
      <c r="G397">
        <v>0</v>
      </c>
    </row>
    <row r="398" spans="1:8">
      <c r="A398">
        <f t="shared" si="6"/>
        <v>395</v>
      </c>
      <c r="B398">
        <v>10</v>
      </c>
      <c r="C398" t="str" cm="1">
        <f t="array" ref="C398">GetValue("Eng","Name",B398)</f>
        <v>DB2</v>
      </c>
      <c r="D398">
        <v>26</v>
      </c>
      <c r="E398" t="str" cm="1">
        <f t="array" ref="E398">GetValue("Typ","Name",D398)</f>
        <v>smallint (2 bytes)</v>
      </c>
      <c r="F398" t="s">
        <v>152</v>
      </c>
    </row>
    <row r="399" spans="1:8">
      <c r="A399">
        <f t="shared" si="6"/>
        <v>396</v>
      </c>
      <c r="B399">
        <v>10</v>
      </c>
      <c r="C399" t="str" cm="1">
        <f t="array" ref="C399">GetValue("Eng","Name",B399)</f>
        <v>DB2</v>
      </c>
      <c r="D399">
        <v>27</v>
      </c>
      <c r="E399" t="str" cm="1">
        <f t="array" ref="E399">GetValue("Typ","Name",D399)</f>
        <v>smallmoney</v>
      </c>
      <c r="F399" t="s">
        <v>191</v>
      </c>
      <c r="G399">
        <v>10</v>
      </c>
      <c r="H399">
        <v>4</v>
      </c>
    </row>
    <row r="400" spans="1:8">
      <c r="A400">
        <f t="shared" si="6"/>
        <v>397</v>
      </c>
      <c r="B400">
        <v>10</v>
      </c>
      <c r="C400" t="str" cm="1">
        <f t="array" ref="C400">GetValue("Eng","Name",B400)</f>
        <v>DB2</v>
      </c>
      <c r="D400">
        <v>28</v>
      </c>
      <c r="E400" t="str" cm="1">
        <f t="array" ref="E400">GetValue("Typ","Name",D400)</f>
        <v>sql_variant</v>
      </c>
      <c r="F400" t="s">
        <v>205</v>
      </c>
    </row>
    <row r="401" spans="1:9">
      <c r="A401">
        <f t="shared" si="6"/>
        <v>398</v>
      </c>
      <c r="B401">
        <v>10</v>
      </c>
      <c r="C401" t="str" cm="1">
        <f t="array" ref="C401">GetValue("Eng","Name",B401)</f>
        <v>DB2</v>
      </c>
      <c r="D401">
        <v>29</v>
      </c>
      <c r="E401" t="str" cm="1">
        <f t="array" ref="E401">GetValue("Typ","Name",D401)</f>
        <v>sysname</v>
      </c>
      <c r="F401" t="s">
        <v>161</v>
      </c>
      <c r="G401">
        <v>128</v>
      </c>
    </row>
    <row r="402" spans="1:9">
      <c r="A402">
        <f t="shared" si="6"/>
        <v>399</v>
      </c>
      <c r="B402">
        <v>10</v>
      </c>
      <c r="C402" t="str" cm="1">
        <f t="array" ref="C402">GetValue("Eng","Name",B402)</f>
        <v>DB2</v>
      </c>
      <c r="D402">
        <v>30</v>
      </c>
      <c r="E402" t="str" cm="1">
        <f t="array" ref="E402">GetValue("Typ","Name",D402)</f>
        <v>text</v>
      </c>
      <c r="F402" t="s">
        <v>205</v>
      </c>
    </row>
    <row r="403" spans="1:9">
      <c r="A403">
        <f t="shared" si="6"/>
        <v>400</v>
      </c>
      <c r="B403">
        <v>10</v>
      </c>
      <c r="C403" t="str" cm="1">
        <f t="array" ref="C403">GetValue("Eng","Name",B403)</f>
        <v>DB2</v>
      </c>
      <c r="D403">
        <v>31</v>
      </c>
      <c r="E403" t="str" cm="1">
        <f t="array" ref="E403">GetValue("Typ","Name",D403)</f>
        <v>time(s)</v>
      </c>
      <c r="F403" t="s">
        <v>160</v>
      </c>
    </row>
    <row r="404" spans="1:9">
      <c r="A404">
        <f t="shared" si="6"/>
        <v>401</v>
      </c>
      <c r="B404">
        <v>10</v>
      </c>
      <c r="C404" t="str" cm="1">
        <f t="array" ref="C404">GetValue("Eng","Name",B404)</f>
        <v>DB2</v>
      </c>
      <c r="D404">
        <v>32</v>
      </c>
      <c r="E404" t="str" cm="1">
        <f t="array" ref="E404">GetValue("Typ","Name",D404)</f>
        <v>timestamp</v>
      </c>
      <c r="F404" t="s">
        <v>153</v>
      </c>
      <c r="G404">
        <v>8</v>
      </c>
      <c r="I404" t="s">
        <v>710</v>
      </c>
    </row>
    <row r="405" spans="1:9">
      <c r="A405">
        <f t="shared" si="6"/>
        <v>402</v>
      </c>
      <c r="B405">
        <v>10</v>
      </c>
      <c r="C405" t="str" cm="1">
        <f t="array" ref="C405">GetValue("Eng","Name",B405)</f>
        <v>DB2</v>
      </c>
      <c r="D405">
        <v>33</v>
      </c>
      <c r="E405" t="str" cm="1">
        <f t="array" ref="E405">GetValue("Typ","Name",D405)</f>
        <v>tinyint (1 byte)</v>
      </c>
      <c r="F405" t="s">
        <v>152</v>
      </c>
    </row>
    <row r="406" spans="1:9">
      <c r="A406">
        <f t="shared" si="6"/>
        <v>403</v>
      </c>
      <c r="B406">
        <v>10</v>
      </c>
      <c r="C406" t="str" cm="1">
        <f t="array" ref="C406">GetValue("Eng","Name",B406)</f>
        <v>DB2</v>
      </c>
      <c r="D406">
        <v>34</v>
      </c>
      <c r="E406" t="str" cm="1">
        <f t="array" ref="E406">GetValue("Typ","Name",D406)</f>
        <v>uniqueidentifier</v>
      </c>
      <c r="F406" t="s">
        <v>153</v>
      </c>
      <c r="G406">
        <v>36</v>
      </c>
    </row>
    <row r="407" spans="1:9">
      <c r="A407">
        <f t="shared" si="6"/>
        <v>404</v>
      </c>
      <c r="B407">
        <v>10</v>
      </c>
      <c r="C407" t="str" cm="1">
        <f t="array" ref="C407">GetValue("Eng","Name",B407)</f>
        <v>DB2</v>
      </c>
      <c r="D407">
        <v>35</v>
      </c>
      <c r="E407" t="str" cm="1">
        <f t="array" ref="E407">GetValue("Typ","Name",D407)</f>
        <v>varbinary(n)</v>
      </c>
      <c r="F407" t="s">
        <v>701</v>
      </c>
    </row>
    <row r="408" spans="1:9">
      <c r="A408">
        <f t="shared" si="6"/>
        <v>405</v>
      </c>
      <c r="B408">
        <v>10</v>
      </c>
      <c r="C408" t="str" cm="1">
        <f t="array" ref="C408">GetValue("Eng","Name",B408)</f>
        <v>DB2</v>
      </c>
      <c r="D408">
        <v>36</v>
      </c>
      <c r="E408" t="str" cm="1">
        <f t="array" ref="E408">GetValue("Typ","Name",D408)</f>
        <v>varbinary(max)</v>
      </c>
      <c r="F408" t="s">
        <v>199</v>
      </c>
    </row>
    <row r="409" spans="1:9">
      <c r="A409">
        <f t="shared" si="6"/>
        <v>406</v>
      </c>
      <c r="B409">
        <v>10</v>
      </c>
      <c r="C409" t="str" cm="1">
        <f t="array" ref="C409">GetValue("Eng","Name",B409)</f>
        <v>DB2</v>
      </c>
      <c r="D409">
        <v>37</v>
      </c>
      <c r="E409" t="str" cm="1">
        <f t="array" ref="E409">GetValue("Typ","Name",D409)</f>
        <v>varchar(n)</v>
      </c>
      <c r="F409" t="s">
        <v>161</v>
      </c>
    </row>
    <row r="410" spans="1:9">
      <c r="A410">
        <f t="shared" si="6"/>
        <v>407</v>
      </c>
      <c r="B410">
        <v>10</v>
      </c>
      <c r="C410" t="str" cm="1">
        <f t="array" ref="C410">GetValue("Eng","Name",B410)</f>
        <v>DB2</v>
      </c>
      <c r="D410">
        <v>38</v>
      </c>
      <c r="E410" t="str" cm="1">
        <f t="array" ref="E410">GetValue("Typ","Name",D410)</f>
        <v>varchar(max)</v>
      </c>
      <c r="F410" t="s">
        <v>205</v>
      </c>
    </row>
    <row r="411" spans="1:9">
      <c r="A411">
        <f t="shared" si="6"/>
        <v>408</v>
      </c>
      <c r="B411">
        <v>10</v>
      </c>
      <c r="C411" t="str" cm="1">
        <f t="array" ref="C411">GetValue("Eng","Name",B411)</f>
        <v>DB2</v>
      </c>
      <c r="D411">
        <v>39</v>
      </c>
      <c r="E411" t="str" cm="1">
        <f t="array" ref="E411">GetValue("Typ","Name",D411)</f>
        <v>xml</v>
      </c>
      <c r="F411" t="s">
        <v>162</v>
      </c>
    </row>
    <row r="412" spans="1:9">
      <c r="A412">
        <f t="shared" si="6"/>
        <v>409</v>
      </c>
      <c r="B412">
        <v>10</v>
      </c>
      <c r="C412" t="str" cm="1">
        <f t="array" ref="C412">GetValue("Eng","Name",B412)</f>
        <v>DB2</v>
      </c>
      <c r="D412">
        <v>40</v>
      </c>
      <c r="E412" t="str" cm="1">
        <f t="array" ref="E412">GetValue("Typ","Name",D412)</f>
        <v>json</v>
      </c>
      <c r="F412" t="s">
        <v>205</v>
      </c>
    </row>
    <row r="413" spans="1:9">
      <c r="A413">
        <f t="shared" si="6"/>
        <v>410</v>
      </c>
      <c r="B413">
        <v>10</v>
      </c>
      <c r="C413" t="str" cm="1">
        <f t="array" ref="C413">GetValue("Eng","Name",B413)</f>
        <v>DB2</v>
      </c>
      <c r="D413">
        <v>41</v>
      </c>
      <c r="E413" t="str" cm="1">
        <f t="array" ref="E413">GetValue("Typ","Name",D413)</f>
        <v>rowversion</v>
      </c>
      <c r="F413" t="s">
        <v>151</v>
      </c>
    </row>
  </sheetData>
  <sortState xmlns:xlrd2="http://schemas.microsoft.com/office/spreadsheetml/2017/richdata2" ref="B4:F199">
    <sortCondition ref="D4:D199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75ED-4EC6-42E8-A441-6F54A9F43DE1}">
  <sheetPr codeName="Planilha11"/>
  <dimension ref="A1:G8"/>
  <sheetViews>
    <sheetView workbookViewId="0">
      <pane ySplit="3" topLeftCell="A4" activePane="bottomLeft" state="frozen"/>
      <selection pane="bottomLeft" activeCell="C2" sqref="C2"/>
    </sheetView>
  </sheetViews>
  <sheetFormatPr defaultRowHeight="14.4"/>
  <cols>
    <col min="1" max="1" width="7.21875" bestFit="1" customWidth="1"/>
    <col min="2" max="2" width="8.33203125" bestFit="1" customWidth="1"/>
    <col min="3" max="3" width="12.6640625" bestFit="1" customWidth="1"/>
    <col min="4" max="4" width="14" bestFit="1" customWidth="1"/>
    <col min="5" max="5" width="100.77734375" customWidth="1"/>
    <col min="6" max="6" width="16.21875" bestFit="1" customWidth="1"/>
    <col min="7" max="7" width="11.77734375" bestFit="1" customWidth="1"/>
  </cols>
  <sheetData>
    <row r="1" spans="1:7" s="1" customFormat="1">
      <c r="A1" s="1" t="s">
        <v>535</v>
      </c>
      <c r="B1" s="1" t="s">
        <v>351</v>
      </c>
      <c r="C1" s="1" t="s">
        <v>178</v>
      </c>
      <c r="D1" s="1" t="s">
        <v>0</v>
      </c>
      <c r="E1" s="1" t="s">
        <v>179</v>
      </c>
      <c r="F1" s="1" t="s">
        <v>569</v>
      </c>
      <c r="G1" s="1" t="s">
        <v>23</v>
      </c>
    </row>
    <row r="2" spans="1:7" s="1" customFormat="1">
      <c r="A2" s="1">
        <v>57</v>
      </c>
      <c r="B2" s="1">
        <v>58</v>
      </c>
      <c r="C2" s="1" cm="1">
        <f t="array" ref="C2">GetDomainId("Eng","Name")</f>
        <v>11</v>
      </c>
      <c r="D2" s="1">
        <v>11</v>
      </c>
      <c r="E2" s="1">
        <v>28</v>
      </c>
      <c r="F2" s="1">
        <v>5</v>
      </c>
      <c r="G2" s="1">
        <v>5</v>
      </c>
    </row>
    <row r="3" spans="1:7" s="1" customFormat="1">
      <c r="A3" s="1" t="str" cm="1">
        <f t="array" ref="A3">GetValue("Dmn","Name",A2)</f>
        <v>SmallId</v>
      </c>
      <c r="B3" s="1" t="str" cm="1">
        <f t="array" ref="B3">GetValue("Dmn","Name",B2)</f>
        <v>TinyId</v>
      </c>
      <c r="C3" s="1" t="str" cm="1">
        <f t="array" ref="C3">GetValue("Dmn","Name",C2)</f>
        <v>NVARCHAR(25)</v>
      </c>
      <c r="D3" s="1" t="str" cm="1">
        <f t="array" ref="D3">GetValue("Dmn","Name",D2)</f>
        <v>NVARCHAR(25)</v>
      </c>
      <c r="E3" s="1" t="str" cm="1">
        <f t="array" ref="E3">GetValue("Dmn","Name",E2)</f>
        <v>Periodicity</v>
      </c>
      <c r="F3" s="1" t="str" cm="1">
        <f t="array" ref="F3">GetValue("Dmn","Name",F2)</f>
        <v>Boolean</v>
      </c>
      <c r="G3" s="1" t="str" cm="1">
        <f t="array" ref="G3">GetValue("Dmn","Name",G2)</f>
        <v>Boolean</v>
      </c>
    </row>
    <row r="4" spans="1:7">
      <c r="A4">
        <f>ROW(A1)</f>
        <v>1</v>
      </c>
      <c r="B4">
        <v>1</v>
      </c>
      <c r="C4" t="str" cm="1">
        <f t="array" ref="C4">GetValue("Eng","Name",B4)</f>
        <v>SQL Server</v>
      </c>
      <c r="D4" t="s">
        <v>279</v>
      </c>
      <c r="E4" t="s">
        <v>180</v>
      </c>
      <c r="F4" t="b">
        <v>0</v>
      </c>
      <c r="G4" t="b">
        <v>1</v>
      </c>
    </row>
    <row r="5" spans="1:7">
      <c r="A5">
        <f>ROW(A2)</f>
        <v>2</v>
      </c>
      <c r="B5">
        <v>1</v>
      </c>
      <c r="C5" t="str" cm="1">
        <f t="array" ref="C5">GetValue("Eng","Name",B5)</f>
        <v>SQL Server</v>
      </c>
      <c r="D5" t="s">
        <v>181</v>
      </c>
      <c r="E5" t="s">
        <v>182</v>
      </c>
      <c r="F5" t="b">
        <v>0</v>
      </c>
      <c r="G5" t="b">
        <v>0</v>
      </c>
    </row>
    <row r="6" spans="1:7">
      <c r="A6">
        <f t="shared" ref="A6:A8" si="0">ROW(A4)</f>
        <v>4</v>
      </c>
      <c r="B6">
        <v>1</v>
      </c>
      <c r="C6" t="str" cm="1">
        <f t="array" ref="C6">GetValue("Eng","Name",B6)</f>
        <v>SQL Server</v>
      </c>
      <c r="D6" t="s">
        <v>183</v>
      </c>
      <c r="E6" t="s">
        <v>184</v>
      </c>
      <c r="F6" t="b">
        <v>0</v>
      </c>
      <c r="G6" t="b">
        <v>0</v>
      </c>
    </row>
    <row r="7" spans="1:7">
      <c r="A7">
        <f t="shared" si="0"/>
        <v>5</v>
      </c>
      <c r="B7">
        <v>1</v>
      </c>
      <c r="C7" t="str" cm="1">
        <f t="array" ref="C7">GetValue("Eng","Name",B7)</f>
        <v>SQL Server</v>
      </c>
      <c r="D7" t="s">
        <v>185</v>
      </c>
      <c r="E7" t="s">
        <v>186</v>
      </c>
      <c r="F7" t="b">
        <v>0</v>
      </c>
      <c r="G7" t="b">
        <v>0</v>
      </c>
    </row>
    <row r="8" spans="1:7">
      <c r="A8">
        <f t="shared" si="0"/>
        <v>6</v>
      </c>
      <c r="B8">
        <v>1</v>
      </c>
      <c r="C8" t="str" cm="1">
        <f t="array" ref="C8">GetValue("Eng","Name",B8)</f>
        <v>SQL Server</v>
      </c>
      <c r="D8" t="s">
        <v>187</v>
      </c>
      <c r="E8" t="s">
        <v>188</v>
      </c>
      <c r="F8" t="b">
        <v>0</v>
      </c>
      <c r="G8" t="b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5DC5-E5BB-49A9-898A-A8031B139200}">
  <sheetPr codeName="planDomains"/>
  <dimension ref="A1:N64"/>
  <sheetViews>
    <sheetView zoomScaleNormal="100" workbookViewId="0">
      <pane ySplit="3" topLeftCell="A4" activePane="bottomLeft" state="frozen"/>
      <selection pane="bottomLeft" activeCell="K65" sqref="K65"/>
    </sheetView>
  </sheetViews>
  <sheetFormatPr defaultColWidth="54.88671875" defaultRowHeight="14.4"/>
  <cols>
    <col min="1" max="1" width="5.21875" bestFit="1" customWidth="1"/>
    <col min="2" max="2" width="8.88671875" bestFit="1" customWidth="1"/>
    <col min="3" max="3" width="14" bestFit="1" customWidth="1"/>
    <col min="4" max="4" width="6.77734375" bestFit="1" customWidth="1"/>
    <col min="5" max="5" width="14.77734375" bestFit="1" customWidth="1"/>
    <col min="6" max="6" width="16.33203125" bestFit="1" customWidth="1"/>
    <col min="7" max="7" width="7" bestFit="1" customWidth="1"/>
    <col min="8" max="8" width="10.5546875" bestFit="1" customWidth="1"/>
    <col min="9" max="9" width="8.6640625" bestFit="1" customWidth="1"/>
    <col min="10" max="10" width="9.21875" bestFit="1" customWidth="1"/>
    <col min="11" max="11" width="9.5546875" bestFit="1" customWidth="1"/>
    <col min="12" max="12" width="15.5546875" bestFit="1" customWidth="1"/>
    <col min="13" max="13" width="36.33203125" bestFit="1" customWidth="1"/>
    <col min="14" max="14" width="24" bestFit="1" customWidth="1"/>
  </cols>
  <sheetData>
    <row r="1" spans="1:14" s="1" customFormat="1">
      <c r="A1" s="1" t="s">
        <v>535</v>
      </c>
      <c r="B1" s="1" t="s">
        <v>568</v>
      </c>
      <c r="C1" s="1" t="s">
        <v>567</v>
      </c>
      <c r="D1" s="1" t="s">
        <v>52</v>
      </c>
      <c r="E1" s="1" t="s">
        <v>105</v>
      </c>
      <c r="F1" s="1" t="s">
        <v>0</v>
      </c>
      <c r="G1" s="1" t="s">
        <v>54</v>
      </c>
      <c r="H1" s="1" t="s">
        <v>55</v>
      </c>
      <c r="I1" s="1" t="s">
        <v>56</v>
      </c>
      <c r="J1" s="1" t="s">
        <v>16</v>
      </c>
      <c r="K1" s="1" t="s">
        <v>17</v>
      </c>
      <c r="L1" s="1" t="s">
        <v>396</v>
      </c>
      <c r="M1" s="1" t="s">
        <v>99</v>
      </c>
      <c r="N1" s="1" t="s">
        <v>497</v>
      </c>
    </row>
    <row r="2" spans="1:14" s="1" customFormat="1">
      <c r="A2" s="1">
        <v>55</v>
      </c>
      <c r="B2" s="1">
        <v>57</v>
      </c>
      <c r="C2" s="1" cm="1">
        <f t="array" ref="C2">GetDomainId("Own","Name")</f>
        <v>11</v>
      </c>
      <c r="D2" s="1">
        <v>58</v>
      </c>
      <c r="E2" s="1" cm="1">
        <f t="array" ref="E2">GetDomainId("Typ","Name")</f>
        <v>11</v>
      </c>
      <c r="F2" s="1">
        <v>11</v>
      </c>
      <c r="G2" s="1">
        <v>2</v>
      </c>
      <c r="H2" s="1">
        <v>4</v>
      </c>
      <c r="I2" s="1">
        <v>24</v>
      </c>
      <c r="J2" s="1">
        <v>24</v>
      </c>
      <c r="K2" s="1">
        <v>24</v>
      </c>
      <c r="L2" s="1">
        <v>14</v>
      </c>
      <c r="M2" s="1">
        <v>14</v>
      </c>
      <c r="N2" s="1">
        <v>14</v>
      </c>
    </row>
    <row r="3" spans="1:14" s="1" customFormat="1">
      <c r="A3" s="1" t="str" cm="1">
        <f t="array" ref="A3">GetValue("Dmn","Name",A2)</f>
        <v>BigId</v>
      </c>
      <c r="B3" s="1" t="str" cm="1">
        <f t="array" ref="B3">GetValue("Dmn","Name",B2)</f>
        <v>SmallId</v>
      </c>
      <c r="C3" s="1" t="str" cm="1">
        <f t="array" ref="C3">GetValue("Dmn","Name",C2)</f>
        <v>NVARCHAR(25)</v>
      </c>
      <c r="D3" s="1" t="str" cm="1">
        <f t="array" ref="D3">GetValue("Dmn","Name",D2)</f>
        <v>TinyId</v>
      </c>
      <c r="E3" s="1" t="str" cm="1">
        <f t="array" ref="E3">GetValue("Dmn","Name",E2)</f>
        <v>NVARCHAR(25)</v>
      </c>
      <c r="F3" s="1" t="str" cm="1">
        <f t="array" ref="F3">GetValue("Dmn","Name",F2)</f>
        <v>NVARCHAR(25)</v>
      </c>
      <c r="G3" s="1" t="str" cm="1">
        <f t="array" ref="G3">GetValue("Dmn","Name",G2)</f>
        <v>Integer</v>
      </c>
      <c r="H3" s="1" t="str" cm="1">
        <f t="array" ref="H3">GetValue("Dmn","Name",H2)</f>
        <v>TinyInteger</v>
      </c>
      <c r="I3" s="1" t="str" cm="1">
        <f t="array" ref="I3">GetValue("Dmn","Name",I2)</f>
        <v>VARIANT</v>
      </c>
      <c r="J3" s="1" t="str" cm="1">
        <f t="array" ref="J3">GetValue("Dmn","Name",J2)</f>
        <v>VARIANT</v>
      </c>
      <c r="K3" s="1" t="str" cm="1">
        <f t="array" ref="K3">GetValue("Dmn","Name",K2)</f>
        <v>VARIANT</v>
      </c>
      <c r="L3" s="1" t="str" cm="1">
        <f t="array" ref="L3">GetValue("Dmn","Name",L2)</f>
        <v>NVARCHAR(max)</v>
      </c>
      <c r="M3" s="1" t="str" cm="1">
        <f t="array" ref="M3">GetValue("Dmn","Name",M2)</f>
        <v>NVARCHAR(max)</v>
      </c>
      <c r="N3" s="1" t="str" cm="1">
        <f t="array" ref="N3">GetValue("Dmn","Name",N2)</f>
        <v>NVARCHAR(max)</v>
      </c>
    </row>
    <row r="4" spans="1:14">
      <c r="A4">
        <f>ROW(A4)-3</f>
        <v>1</v>
      </c>
      <c r="B4">
        <v>1</v>
      </c>
      <c r="C4" t="str" cm="1">
        <f t="array" ref="C4">GetValue("Own","Name",B4)</f>
        <v>SoftLab</v>
      </c>
      <c r="D4">
        <v>1</v>
      </c>
      <c r="E4" t="str" cm="1">
        <f t="array" ref="E4">GetValue("Typ","Name",D4)</f>
        <v>bigint (8 bytes)</v>
      </c>
      <c r="F4" t="s">
        <v>57</v>
      </c>
      <c r="J4" s="3"/>
      <c r="K4" s="3"/>
    </row>
    <row r="5" spans="1:14">
      <c r="A5">
        <f t="shared" ref="A5:A64" si="0">ROW(A5)-3</f>
        <v>2</v>
      </c>
      <c r="B5">
        <v>1</v>
      </c>
      <c r="C5" t="str" cm="1">
        <f t="array" ref="C5">GetValue("Own","Name",B5)</f>
        <v>SoftLab</v>
      </c>
      <c r="D5">
        <v>16</v>
      </c>
      <c r="E5" t="str" cm="1">
        <f t="array" ref="E5">GetValue("Typ","Name",D5)</f>
        <v>int (4 bytes)</v>
      </c>
      <c r="F5" t="s">
        <v>58</v>
      </c>
    </row>
    <row r="6" spans="1:14">
      <c r="A6">
        <f t="shared" si="0"/>
        <v>3</v>
      </c>
      <c r="B6">
        <v>1</v>
      </c>
      <c r="C6" t="str" cm="1">
        <f t="array" ref="C6">GetValue("Own","Name",B6)</f>
        <v>SoftLab</v>
      </c>
      <c r="D6">
        <v>26</v>
      </c>
      <c r="E6" t="str" cm="1">
        <f t="array" ref="E6">GetValue("Typ","Name",D6)</f>
        <v>smallint (2 bytes)</v>
      </c>
      <c r="F6" t="s">
        <v>59</v>
      </c>
    </row>
    <row r="7" spans="1:14">
      <c r="A7">
        <f t="shared" si="0"/>
        <v>4</v>
      </c>
      <c r="B7">
        <v>1</v>
      </c>
      <c r="C7" t="str" cm="1">
        <f t="array" ref="C7">GetValue("Own","Name",B7)</f>
        <v>SoftLab</v>
      </c>
      <c r="D7">
        <v>33</v>
      </c>
      <c r="E7" t="str" cm="1">
        <f t="array" ref="E7">GetValue("Typ","Name",D7)</f>
        <v>tinyint (1 byte)</v>
      </c>
      <c r="F7" t="s">
        <v>60</v>
      </c>
    </row>
    <row r="8" spans="1:14">
      <c r="A8">
        <f t="shared" si="0"/>
        <v>5</v>
      </c>
      <c r="B8">
        <v>1</v>
      </c>
      <c r="C8" t="str" cm="1">
        <f t="array" ref="C8">GetValue("Own","Name",B8)</f>
        <v>SoftLab</v>
      </c>
      <c r="D8">
        <v>3</v>
      </c>
      <c r="E8" t="str" cm="1">
        <f t="array" ref="E8">GetValue("Typ","Name",D8)</f>
        <v>bit (1 bit)</v>
      </c>
      <c r="F8" t="s">
        <v>61</v>
      </c>
    </row>
    <row r="9" spans="1:14">
      <c r="A9">
        <f t="shared" si="0"/>
        <v>6</v>
      </c>
      <c r="B9">
        <v>1</v>
      </c>
      <c r="C9" t="str" cm="1">
        <f t="array" ref="C9">GetValue("Own","Name",B9)</f>
        <v>SoftLab</v>
      </c>
      <c r="D9">
        <v>5</v>
      </c>
      <c r="E9" t="str" cm="1">
        <f t="array" ref="E9">GetValue("Typ","Name",D9)</f>
        <v>date</v>
      </c>
      <c r="F9" t="s">
        <v>154</v>
      </c>
    </row>
    <row r="10" spans="1:14">
      <c r="A10">
        <f t="shared" si="0"/>
        <v>7</v>
      </c>
      <c r="B10">
        <v>1</v>
      </c>
      <c r="C10" t="str" cm="1">
        <f t="array" ref="C10">GetValue("Own","Name",B10)</f>
        <v>SoftLab</v>
      </c>
      <c r="D10">
        <v>31</v>
      </c>
      <c r="E10" t="str" cm="1">
        <f t="array" ref="E10">GetValue("Typ","Name",D10)</f>
        <v>time(s)</v>
      </c>
      <c r="F10" t="s">
        <v>160</v>
      </c>
    </row>
    <row r="11" spans="1:14">
      <c r="A11">
        <f t="shared" si="0"/>
        <v>8</v>
      </c>
      <c r="B11">
        <v>1</v>
      </c>
      <c r="C11" t="str" cm="1">
        <f t="array" ref="C11">GetValue("Own","Name",B11)</f>
        <v>SoftLab</v>
      </c>
      <c r="D11">
        <v>6</v>
      </c>
      <c r="E11" t="str" cm="1">
        <f t="array" ref="E11">GetValue("Typ","Name",D11)</f>
        <v>datetime</v>
      </c>
      <c r="F11" t="s">
        <v>171</v>
      </c>
    </row>
    <row r="12" spans="1:14">
      <c r="A12">
        <f t="shared" si="0"/>
        <v>9</v>
      </c>
      <c r="B12">
        <v>1</v>
      </c>
      <c r="C12" t="str" cm="1">
        <f t="array" ref="C12">GetValue("Own","Name",B12)</f>
        <v>SoftLab</v>
      </c>
      <c r="D12">
        <v>22</v>
      </c>
      <c r="E12" t="str" cm="1">
        <f t="array" ref="E12">GetValue("Typ","Name",D12)</f>
        <v>nvarchar(n)</v>
      </c>
      <c r="F12" t="s">
        <v>618</v>
      </c>
      <c r="G12">
        <v>15</v>
      </c>
    </row>
    <row r="13" spans="1:14">
      <c r="A13">
        <f t="shared" si="0"/>
        <v>10</v>
      </c>
      <c r="B13">
        <v>1</v>
      </c>
      <c r="C13" t="str" cm="1">
        <f t="array" ref="C13">GetValue("Own","Name",B13)</f>
        <v>SoftLab</v>
      </c>
      <c r="D13">
        <v>22</v>
      </c>
      <c r="E13" t="str" cm="1">
        <f t="array" ref="E13">GetValue("Typ","Name",D13)</f>
        <v>nvarchar(n)</v>
      </c>
      <c r="F13" t="s">
        <v>619</v>
      </c>
      <c r="G13">
        <v>20</v>
      </c>
    </row>
    <row r="14" spans="1:14">
      <c r="A14">
        <f t="shared" si="0"/>
        <v>11</v>
      </c>
      <c r="B14">
        <v>1</v>
      </c>
      <c r="C14" t="str" cm="1">
        <f t="array" ref="C14">GetValue("Own","Name",B14)</f>
        <v>SoftLab</v>
      </c>
      <c r="D14">
        <v>22</v>
      </c>
      <c r="E14" t="str" cm="1">
        <f t="array" ref="E14">GetValue("Typ","Name",D14)</f>
        <v>nvarchar(n)</v>
      </c>
      <c r="F14" t="s">
        <v>620</v>
      </c>
      <c r="G14">
        <v>25</v>
      </c>
    </row>
    <row r="15" spans="1:14">
      <c r="A15">
        <f t="shared" si="0"/>
        <v>12</v>
      </c>
      <c r="B15">
        <v>1</v>
      </c>
      <c r="C15" t="str" cm="1">
        <f t="array" ref="C15">GetValue("Own","Name",B15)</f>
        <v>SoftLab</v>
      </c>
      <c r="D15">
        <v>22</v>
      </c>
      <c r="E15" t="str" cm="1">
        <f t="array" ref="E15">GetValue("Typ","Name",D15)</f>
        <v>nvarchar(n)</v>
      </c>
      <c r="F15" t="s">
        <v>621</v>
      </c>
      <c r="G15">
        <v>50</v>
      </c>
    </row>
    <row r="16" spans="1:14">
      <c r="A16">
        <f t="shared" si="0"/>
        <v>13</v>
      </c>
      <c r="B16">
        <v>1</v>
      </c>
      <c r="C16" t="str" cm="1">
        <f t="array" ref="C16">GetValue("Own","Name",B16)</f>
        <v>SoftLab</v>
      </c>
      <c r="D16">
        <v>22</v>
      </c>
      <c r="E16" t="str" cm="1">
        <f t="array" ref="E16">GetValue("Typ","Name",D16)</f>
        <v>nvarchar(n)</v>
      </c>
      <c r="F16" t="s">
        <v>622</v>
      </c>
      <c r="G16">
        <v>256</v>
      </c>
    </row>
    <row r="17" spans="1:14">
      <c r="A17">
        <f t="shared" si="0"/>
        <v>14</v>
      </c>
      <c r="B17">
        <v>1</v>
      </c>
      <c r="C17" t="str" cm="1">
        <f t="array" ref="C17">GetValue("Own","Name",B17)</f>
        <v>SoftLab</v>
      </c>
      <c r="D17">
        <v>23</v>
      </c>
      <c r="E17" t="str" cm="1">
        <f t="array" ref="E17">GetValue("Typ","Name",D17)</f>
        <v>nvarchar(max)</v>
      </c>
      <c r="F17" t="s">
        <v>623</v>
      </c>
    </row>
    <row r="18" spans="1:14">
      <c r="A18">
        <f t="shared" si="0"/>
        <v>15</v>
      </c>
      <c r="B18">
        <v>1</v>
      </c>
      <c r="C18" t="str" cm="1">
        <f t="array" ref="C18">GetValue("Own","Name",B18)</f>
        <v>SoftLab</v>
      </c>
      <c r="D18">
        <v>18</v>
      </c>
      <c r="E18" t="str" cm="1">
        <f t="array" ref="E18">GetValue("Typ","Name",D18)</f>
        <v>nchar(n)</v>
      </c>
      <c r="F18" t="s">
        <v>624</v>
      </c>
      <c r="G18">
        <v>1</v>
      </c>
    </row>
    <row r="19" spans="1:14">
      <c r="A19">
        <f t="shared" si="0"/>
        <v>16</v>
      </c>
      <c r="B19">
        <v>1</v>
      </c>
      <c r="C19" t="str" cm="1">
        <f t="array" ref="C19">GetValue("Own","Name",B19)</f>
        <v>SoftLab</v>
      </c>
      <c r="D19">
        <v>37</v>
      </c>
      <c r="E19" t="str" cm="1">
        <f t="array" ref="E19">GetValue("Typ","Name",D19)</f>
        <v>varchar(n)</v>
      </c>
      <c r="F19" t="s">
        <v>625</v>
      </c>
      <c r="G19">
        <v>15</v>
      </c>
    </row>
    <row r="20" spans="1:14">
      <c r="A20">
        <f t="shared" si="0"/>
        <v>17</v>
      </c>
      <c r="B20">
        <v>1</v>
      </c>
      <c r="C20" t="str" cm="1">
        <f t="array" ref="C20">GetValue("Own","Name",B20)</f>
        <v>SoftLab</v>
      </c>
      <c r="D20">
        <v>37</v>
      </c>
      <c r="E20" t="str" cm="1">
        <f t="array" ref="E20">GetValue("Typ","Name",D20)</f>
        <v>varchar(n)</v>
      </c>
      <c r="F20" t="s">
        <v>626</v>
      </c>
      <c r="G20">
        <v>20</v>
      </c>
    </row>
    <row r="21" spans="1:14">
      <c r="A21">
        <f t="shared" si="0"/>
        <v>18</v>
      </c>
      <c r="B21">
        <v>1</v>
      </c>
      <c r="C21" t="str" cm="1">
        <f t="array" ref="C21">GetValue("Own","Name",B21)</f>
        <v>SoftLab</v>
      </c>
      <c r="D21">
        <v>37</v>
      </c>
      <c r="E21" t="str" cm="1">
        <f t="array" ref="E21">GetValue("Typ","Name",D21)</f>
        <v>varchar(n)</v>
      </c>
      <c r="F21" t="s">
        <v>627</v>
      </c>
      <c r="G21">
        <v>25</v>
      </c>
    </row>
    <row r="22" spans="1:14">
      <c r="A22">
        <f t="shared" si="0"/>
        <v>19</v>
      </c>
      <c r="B22">
        <v>1</v>
      </c>
      <c r="C22" t="str" cm="1">
        <f t="array" ref="C22">GetValue("Own","Name",B22)</f>
        <v>SoftLab</v>
      </c>
      <c r="D22">
        <v>37</v>
      </c>
      <c r="E22" t="str" cm="1">
        <f t="array" ref="E22">GetValue("Typ","Name",D22)</f>
        <v>varchar(n)</v>
      </c>
      <c r="F22" t="s">
        <v>628</v>
      </c>
      <c r="G22">
        <v>50</v>
      </c>
    </row>
    <row r="23" spans="1:14">
      <c r="A23">
        <f t="shared" si="0"/>
        <v>20</v>
      </c>
      <c r="B23">
        <v>1</v>
      </c>
      <c r="C23" t="str" cm="1">
        <f t="array" ref="C23">GetValue("Own","Name",B23)</f>
        <v>SoftLab</v>
      </c>
      <c r="D23">
        <v>37</v>
      </c>
      <c r="E23" t="str" cm="1">
        <f t="array" ref="E23">GetValue("Typ","Name",D23)</f>
        <v>varchar(n)</v>
      </c>
      <c r="F23" t="s">
        <v>629</v>
      </c>
      <c r="G23">
        <v>256</v>
      </c>
    </row>
    <row r="24" spans="1:14">
      <c r="A24">
        <f t="shared" si="0"/>
        <v>21</v>
      </c>
      <c r="B24">
        <v>1</v>
      </c>
      <c r="C24" t="str" cm="1">
        <f t="array" ref="C24">GetValue("Own","Name",B24)</f>
        <v>SoftLab</v>
      </c>
      <c r="D24">
        <v>38</v>
      </c>
      <c r="E24" t="str" cm="1">
        <f t="array" ref="E24">GetValue("Typ","Name",D24)</f>
        <v>varchar(max)</v>
      </c>
      <c r="F24" t="s">
        <v>630</v>
      </c>
      <c r="G24">
        <v>256</v>
      </c>
    </row>
    <row r="25" spans="1:14">
      <c r="A25">
        <f t="shared" si="0"/>
        <v>22</v>
      </c>
      <c r="B25">
        <v>1</v>
      </c>
      <c r="C25" t="str" cm="1">
        <f t="array" ref="C25">GetValue("Own","Name",B25)</f>
        <v>SoftLab</v>
      </c>
      <c r="D25">
        <v>4</v>
      </c>
      <c r="E25" t="str" cm="1">
        <f t="array" ref="E25">GetValue("Typ","Name",D25)</f>
        <v>char(n)</v>
      </c>
      <c r="F25" t="s">
        <v>631</v>
      </c>
      <c r="G25">
        <v>1</v>
      </c>
    </row>
    <row r="26" spans="1:14">
      <c r="A26">
        <f t="shared" si="0"/>
        <v>23</v>
      </c>
      <c r="B26">
        <v>1</v>
      </c>
      <c r="C26" t="str" cm="1">
        <f t="array" ref="C26">GetValue("Own","Name",B26)</f>
        <v>SoftLab</v>
      </c>
      <c r="D26">
        <v>10</v>
      </c>
      <c r="E26" t="str" cm="1">
        <f t="array" ref="E26">GetValue("Typ","Name",D26)</f>
        <v>decimal(p ,s)</v>
      </c>
      <c r="F26" t="s">
        <v>616</v>
      </c>
      <c r="G26">
        <v>19</v>
      </c>
      <c r="H26">
        <v>2</v>
      </c>
    </row>
    <row r="27" spans="1:14">
      <c r="A27">
        <f t="shared" si="0"/>
        <v>24</v>
      </c>
      <c r="B27">
        <v>1</v>
      </c>
      <c r="C27" t="str" cm="1">
        <f t="array" ref="C27">GetValue("Own","Name",B27)</f>
        <v>SoftLab</v>
      </c>
      <c r="D27">
        <v>23</v>
      </c>
      <c r="E27" t="str" cm="1">
        <f t="array" ref="E27">GetValue("Typ","Name",D27)</f>
        <v>nvarchar(max)</v>
      </c>
      <c r="F27" t="s">
        <v>617</v>
      </c>
    </row>
    <row r="28" spans="1:14">
      <c r="A28">
        <f t="shared" si="0"/>
        <v>25</v>
      </c>
      <c r="B28">
        <v>1</v>
      </c>
      <c r="C28" t="str" cm="1">
        <f t="array" ref="C28">GetValue("Own","Name",B28)</f>
        <v>SoftLab</v>
      </c>
      <c r="D28">
        <v>23</v>
      </c>
      <c r="E28" t="str" cm="1">
        <f t="array" ref="E28">GetValue("Typ","Name",D28)</f>
        <v>nvarchar(max)</v>
      </c>
      <c r="F28" t="s">
        <v>62</v>
      </c>
    </row>
    <row r="29" spans="1:14">
      <c r="A29">
        <f t="shared" si="0"/>
        <v>26</v>
      </c>
      <c r="B29">
        <v>1</v>
      </c>
      <c r="C29" t="str" cm="1">
        <f t="array" ref="C29">GetValue("Own","Name",B29)</f>
        <v>SoftLab</v>
      </c>
      <c r="D29">
        <v>36</v>
      </c>
      <c r="E29" t="str" cm="1">
        <f t="array" ref="E29">GetValue("Typ","Name",D29)</f>
        <v>varbinary(max)</v>
      </c>
      <c r="F29" t="s">
        <v>615</v>
      </c>
    </row>
    <row r="30" spans="1:14">
      <c r="A30">
        <f t="shared" si="0"/>
        <v>27</v>
      </c>
      <c r="B30">
        <v>1</v>
      </c>
      <c r="C30" t="str" cm="1">
        <f t="array" ref="C30">GetValue("Own","Name",B30)</f>
        <v>SoftLab</v>
      </c>
      <c r="D30">
        <v>22</v>
      </c>
      <c r="E30" t="str" cm="1">
        <f t="array" ref="E30">GetValue("Typ","Name",D30)</f>
        <v>nvarchar(n)</v>
      </c>
      <c r="F30" t="s">
        <v>383</v>
      </c>
      <c r="G30">
        <v>10</v>
      </c>
      <c r="M30" t="s">
        <v>673</v>
      </c>
    </row>
    <row r="31" spans="1:14">
      <c r="A31">
        <f t="shared" si="0"/>
        <v>28</v>
      </c>
      <c r="B31">
        <v>1</v>
      </c>
      <c r="C31" t="str" cm="1">
        <f t="array" ref="C31">GetValue("Own","Name",B31)</f>
        <v>SoftLab</v>
      </c>
      <c r="D31">
        <v>22</v>
      </c>
      <c r="E31" t="str" cm="1">
        <f t="array" ref="E31">GetValue("Typ","Name",D31)</f>
        <v>nvarchar(n)</v>
      </c>
      <c r="F31" t="s">
        <v>326</v>
      </c>
      <c r="G31">
        <v>10</v>
      </c>
      <c r="L31" s="10"/>
      <c r="M31" s="27" t="s">
        <v>500</v>
      </c>
      <c r="N31" s="27"/>
    </row>
    <row r="32" spans="1:14">
      <c r="A32">
        <f t="shared" si="0"/>
        <v>29</v>
      </c>
      <c r="B32">
        <v>1</v>
      </c>
      <c r="C32" t="str" cm="1">
        <f t="array" ref="C32">GetValue("Own","Name",B32)</f>
        <v>SoftLab</v>
      </c>
      <c r="D32">
        <v>22</v>
      </c>
      <c r="E32" t="str" cm="1">
        <f t="array" ref="E32">GetValue("Typ","Name",D32)</f>
        <v>nvarchar(n)</v>
      </c>
      <c r="F32" t="s">
        <v>501</v>
      </c>
      <c r="G32">
        <v>5</v>
      </c>
      <c r="L32" s="10"/>
      <c r="M32" s="27" t="s">
        <v>382</v>
      </c>
      <c r="N32" s="27"/>
    </row>
    <row r="33" spans="1:14">
      <c r="A33">
        <f t="shared" si="0"/>
        <v>30</v>
      </c>
      <c r="B33">
        <v>1</v>
      </c>
      <c r="C33" t="str" cm="1">
        <f t="array" ref="C33">GetValue("Own","Name",B33)</f>
        <v>SoftLab</v>
      </c>
      <c r="D33">
        <v>22</v>
      </c>
      <c r="E33" t="str" cm="1">
        <f t="array" ref="E33">GetValue("Typ","Name",D33)</f>
        <v>nvarchar(n)</v>
      </c>
      <c r="F33" t="s">
        <v>394</v>
      </c>
      <c r="G33">
        <v>10</v>
      </c>
      <c r="L33" s="10" t="s">
        <v>344</v>
      </c>
      <c r="M33" s="27"/>
      <c r="N33" s="27"/>
    </row>
    <row r="34" spans="1:14">
      <c r="A34">
        <f t="shared" si="0"/>
        <v>31</v>
      </c>
      <c r="B34">
        <v>1</v>
      </c>
      <c r="C34" t="str" cm="1">
        <f t="array" ref="C34">GetValue("Own","Name",B34)</f>
        <v>SoftLab</v>
      </c>
      <c r="D34">
        <v>22</v>
      </c>
      <c r="E34" t="str" cm="1">
        <f t="array" ref="E34">GetValue("Typ","Name",D34)</f>
        <v>nvarchar(n)</v>
      </c>
      <c r="F34" t="s">
        <v>395</v>
      </c>
      <c r="G34">
        <v>10</v>
      </c>
      <c r="L34" s="10" t="s">
        <v>345</v>
      </c>
      <c r="M34" s="27"/>
      <c r="N34" s="27"/>
    </row>
    <row r="35" spans="1:14">
      <c r="A35">
        <f t="shared" si="0"/>
        <v>32</v>
      </c>
      <c r="B35">
        <v>1</v>
      </c>
      <c r="C35" t="str" cm="1">
        <f t="array" ref="C35">GetValue("Own","Name",B35)</f>
        <v>SoftLab</v>
      </c>
      <c r="D35">
        <v>22</v>
      </c>
      <c r="E35" t="str" cm="1">
        <f t="array" ref="E35">GetValue("Typ","Name",D35)</f>
        <v>nvarchar(n)</v>
      </c>
      <c r="F35" t="s">
        <v>459</v>
      </c>
      <c r="G35">
        <v>10</v>
      </c>
      <c r="M35" t="s">
        <v>460</v>
      </c>
    </row>
    <row r="36" spans="1:14">
      <c r="A36">
        <f t="shared" si="0"/>
        <v>33</v>
      </c>
      <c r="B36">
        <v>1</v>
      </c>
      <c r="C36" t="str" cm="1">
        <f t="array" ref="C36">GetValue("Own","Name",B36)</f>
        <v>SoftLab</v>
      </c>
      <c r="D36">
        <v>23</v>
      </c>
      <c r="E36" t="str" cm="1">
        <f t="array" ref="E36">GetValue("Typ","Name",D36)</f>
        <v>nvarchar(max)</v>
      </c>
      <c r="F36" t="s">
        <v>498</v>
      </c>
      <c r="N36" t="s">
        <v>499</v>
      </c>
    </row>
    <row r="37" spans="1:14">
      <c r="A37">
        <f>ROW(A37)-3</f>
        <v>34</v>
      </c>
      <c r="B37">
        <v>1</v>
      </c>
      <c r="C37" t="str" cm="1">
        <f t="array" ref="C37">GetValue("Own","Name",B37)</f>
        <v>SoftLab</v>
      </c>
      <c r="D37">
        <v>23</v>
      </c>
      <c r="E37" t="str" cm="1">
        <f t="array" ref="E37">GetValue("Typ","Name",D37)</f>
        <v>nvarchar(max)</v>
      </c>
      <c r="F37" t="s">
        <v>497</v>
      </c>
      <c r="L37" s="10"/>
      <c r="M37" s="27"/>
      <c r="N37" s="27"/>
    </row>
    <row r="38" spans="1:14">
      <c r="A38">
        <f t="shared" si="0"/>
        <v>35</v>
      </c>
      <c r="B38">
        <v>1</v>
      </c>
      <c r="C38" t="str" cm="1">
        <f t="array" ref="C38">GetValue("Own","Name",B38)</f>
        <v>SoftLab</v>
      </c>
      <c r="D38">
        <v>18</v>
      </c>
      <c r="E38" t="str" cm="1">
        <f t="array" ref="E38">GetValue("Typ","Name",D38)</f>
        <v>nchar(n)</v>
      </c>
      <c r="F38" t="s">
        <v>332</v>
      </c>
      <c r="G38">
        <v>8</v>
      </c>
    </row>
    <row r="39" spans="1:14">
      <c r="A39">
        <f t="shared" si="0"/>
        <v>36</v>
      </c>
      <c r="B39">
        <v>1</v>
      </c>
      <c r="C39" t="str" cm="1">
        <f t="array" ref="C39">GetValue("Own","Name",B39)</f>
        <v>SoftLab</v>
      </c>
      <c r="D39">
        <v>18</v>
      </c>
      <c r="E39" t="str" cm="1">
        <f t="array" ref="E39">GetValue("Typ","Name",D39)</f>
        <v>nchar(n)</v>
      </c>
      <c r="F39" t="s">
        <v>216</v>
      </c>
      <c r="G39">
        <v>11</v>
      </c>
    </row>
    <row r="40" spans="1:14">
      <c r="A40">
        <f t="shared" si="0"/>
        <v>37</v>
      </c>
      <c r="B40">
        <v>1</v>
      </c>
      <c r="C40" t="str" cm="1">
        <f t="array" ref="C40">GetValue("Own","Name",B40)</f>
        <v>SoftLab</v>
      </c>
      <c r="D40">
        <v>18</v>
      </c>
      <c r="E40" t="str" cm="1">
        <f t="array" ref="E40">GetValue("Typ","Name",D40)</f>
        <v>nchar(n)</v>
      </c>
      <c r="F40" t="s">
        <v>217</v>
      </c>
      <c r="G40">
        <v>14</v>
      </c>
    </row>
    <row r="41" spans="1:14">
      <c r="A41">
        <f t="shared" si="0"/>
        <v>38</v>
      </c>
      <c r="B41">
        <v>1</v>
      </c>
      <c r="C41" t="str" cm="1">
        <f t="array" ref="C41">GetValue("Own","Name",B41)</f>
        <v>SoftLab</v>
      </c>
      <c r="D41">
        <v>22</v>
      </c>
      <c r="E41" t="str" cm="1">
        <f t="array" ref="E41">GetValue("Typ","Name",D41)</f>
        <v>nvarchar(n)</v>
      </c>
      <c r="F41" t="s">
        <v>218</v>
      </c>
      <c r="G41">
        <v>14</v>
      </c>
    </row>
    <row r="42" spans="1:14">
      <c r="A42">
        <f t="shared" si="0"/>
        <v>39</v>
      </c>
      <c r="B42">
        <v>1</v>
      </c>
      <c r="C42" t="str" cm="1">
        <f t="array" ref="C42">GetValue("Own","Name",B42)</f>
        <v>SoftLab</v>
      </c>
      <c r="D42">
        <v>22</v>
      </c>
      <c r="E42" t="str" cm="1">
        <f t="array" ref="E42">GetValue("Typ","Name",D42)</f>
        <v>nvarchar(n)</v>
      </c>
      <c r="F42" t="s">
        <v>257</v>
      </c>
      <c r="G42">
        <v>14</v>
      </c>
    </row>
    <row r="43" spans="1:14">
      <c r="A43">
        <f t="shared" si="0"/>
        <v>40</v>
      </c>
      <c r="B43">
        <v>1</v>
      </c>
      <c r="C43" t="str" cm="1">
        <f t="array" ref="C43">GetValue("Own","Name",B43)</f>
        <v>SoftLab</v>
      </c>
      <c r="D43">
        <v>22</v>
      </c>
      <c r="E43" t="str" cm="1">
        <f t="array" ref="E43">GetValue("Typ","Name",D43)</f>
        <v>nvarchar(n)</v>
      </c>
      <c r="F43" t="s">
        <v>220</v>
      </c>
      <c r="G43">
        <v>16</v>
      </c>
    </row>
    <row r="44" spans="1:14">
      <c r="A44">
        <f t="shared" si="0"/>
        <v>41</v>
      </c>
      <c r="B44">
        <v>1</v>
      </c>
      <c r="C44" t="str" cm="1">
        <f t="array" ref="C44">GetValue("Own","Name",B44)</f>
        <v>SoftLab</v>
      </c>
      <c r="D44">
        <v>22</v>
      </c>
      <c r="E44" t="str" cm="1">
        <f t="array" ref="E44">GetValue("Typ","Name",D44)</f>
        <v>nvarchar(n)</v>
      </c>
      <c r="F44" t="s">
        <v>221</v>
      </c>
      <c r="G44">
        <v>11</v>
      </c>
    </row>
    <row r="45" spans="1:14">
      <c r="A45">
        <f t="shared" si="0"/>
        <v>42</v>
      </c>
      <c r="B45">
        <v>1</v>
      </c>
      <c r="C45" t="str" cm="1">
        <f t="array" ref="C45">GetValue("Own","Name",B45)</f>
        <v>SoftLab</v>
      </c>
      <c r="D45">
        <v>22</v>
      </c>
      <c r="E45" t="str" cm="1">
        <f t="array" ref="E45">GetValue("Typ","Name",D45)</f>
        <v>nvarchar(n)</v>
      </c>
      <c r="F45" t="s">
        <v>222</v>
      </c>
      <c r="G45">
        <v>8</v>
      </c>
    </row>
    <row r="46" spans="1:14">
      <c r="A46">
        <f t="shared" si="0"/>
        <v>43</v>
      </c>
      <c r="B46">
        <v>1</v>
      </c>
      <c r="C46" t="str" cm="1">
        <f t="array" ref="C46">GetValue("Own","Name",B46)</f>
        <v>SoftLab</v>
      </c>
      <c r="D46">
        <v>22</v>
      </c>
      <c r="E46" t="str" cm="1">
        <f t="array" ref="E46">GetValue("Typ","Name",D46)</f>
        <v>nvarchar(n)</v>
      </c>
      <c r="F46" t="s">
        <v>224</v>
      </c>
      <c r="G46">
        <v>10</v>
      </c>
    </row>
    <row r="47" spans="1:14">
      <c r="A47">
        <f t="shared" si="0"/>
        <v>44</v>
      </c>
      <c r="B47">
        <v>1</v>
      </c>
      <c r="C47" t="str" cm="1">
        <f t="array" ref="C47">GetValue("Own","Name",B47)</f>
        <v>SoftLab</v>
      </c>
      <c r="D47">
        <v>22</v>
      </c>
      <c r="E47" t="str" cm="1">
        <f t="array" ref="E47">GetValue("Typ","Name",D47)</f>
        <v>nvarchar(n)</v>
      </c>
      <c r="F47" t="s">
        <v>225</v>
      </c>
      <c r="G47">
        <v>13</v>
      </c>
    </row>
    <row r="48" spans="1:14">
      <c r="A48">
        <f t="shared" si="0"/>
        <v>45</v>
      </c>
      <c r="B48">
        <v>1</v>
      </c>
      <c r="C48" t="str" cm="1">
        <f t="array" ref="C48">GetValue("Own","Name",B48)</f>
        <v>SoftLab</v>
      </c>
      <c r="D48">
        <v>22</v>
      </c>
      <c r="E48" t="str" cm="1">
        <f t="array" ref="E48">GetValue("Typ","Name",D48)</f>
        <v>nvarchar(n)</v>
      </c>
      <c r="F48" t="s">
        <v>226</v>
      </c>
      <c r="G48">
        <v>8</v>
      </c>
    </row>
    <row r="49" spans="1:14">
      <c r="A49">
        <f t="shared" si="0"/>
        <v>46</v>
      </c>
      <c r="B49">
        <v>1</v>
      </c>
      <c r="C49" t="str" cm="1">
        <f t="array" ref="C49">GetValue("Own","Name",B49)</f>
        <v>SoftLab</v>
      </c>
      <c r="D49">
        <v>22</v>
      </c>
      <c r="E49" t="str" cm="1">
        <f t="array" ref="E49">GetValue("Typ","Name",D49)</f>
        <v>nvarchar(n)</v>
      </c>
      <c r="F49" t="s">
        <v>254</v>
      </c>
      <c r="G49">
        <v>8</v>
      </c>
    </row>
    <row r="50" spans="1:14">
      <c r="A50">
        <f t="shared" si="0"/>
        <v>47</v>
      </c>
      <c r="B50">
        <v>1</v>
      </c>
      <c r="C50" t="str" cm="1">
        <f t="array" ref="C50">GetValue("Own","Name",B50)</f>
        <v>SoftLab</v>
      </c>
      <c r="D50">
        <v>22</v>
      </c>
      <c r="E50" t="str" cm="1">
        <f t="array" ref="E50">GetValue("Typ","Name",D50)</f>
        <v>nvarchar(n)</v>
      </c>
      <c r="F50" t="s">
        <v>255</v>
      </c>
      <c r="G50">
        <v>10</v>
      </c>
      <c r="L50" s="10"/>
      <c r="M50" s="27"/>
      <c r="N50" s="27"/>
    </row>
    <row r="51" spans="1:14">
      <c r="A51">
        <f t="shared" si="0"/>
        <v>48</v>
      </c>
      <c r="B51">
        <v>1</v>
      </c>
      <c r="C51" t="str" cm="1">
        <f t="array" ref="C51">GetValue("Own","Name",B51)</f>
        <v>SoftLab</v>
      </c>
      <c r="D51">
        <v>22</v>
      </c>
      <c r="E51" t="str" cm="1">
        <f t="array" ref="E51">GetValue("Typ","Name",D51)</f>
        <v>nvarchar(n)</v>
      </c>
      <c r="F51" t="s">
        <v>256</v>
      </c>
      <c r="G51">
        <v>11</v>
      </c>
      <c r="L51" s="10"/>
      <c r="M51" s="27"/>
      <c r="N51" s="27"/>
    </row>
    <row r="52" spans="1:14">
      <c r="A52">
        <f t="shared" si="0"/>
        <v>49</v>
      </c>
      <c r="B52">
        <v>1</v>
      </c>
      <c r="C52" t="str" cm="1">
        <f t="array" ref="C52">GetValue("Own","Name",B52)</f>
        <v>SoftLab</v>
      </c>
      <c r="D52">
        <v>22</v>
      </c>
      <c r="E52" t="str" cm="1">
        <f t="array" ref="E52">GetValue("Typ","Name",D52)</f>
        <v>nvarchar(n)</v>
      </c>
      <c r="F52" t="s">
        <v>327</v>
      </c>
      <c r="G52">
        <v>10</v>
      </c>
    </row>
    <row r="53" spans="1:14">
      <c r="A53">
        <f t="shared" si="0"/>
        <v>50</v>
      </c>
      <c r="B53">
        <v>1</v>
      </c>
      <c r="C53" t="str" cm="1">
        <f t="array" ref="C53">GetValue("Own","Name",B53)</f>
        <v>SoftLab</v>
      </c>
      <c r="D53">
        <v>22</v>
      </c>
      <c r="E53" t="str" cm="1">
        <f t="array" ref="E53">GetValue("Typ","Name",D53)</f>
        <v>nvarchar(n)</v>
      </c>
      <c r="F53" t="s">
        <v>328</v>
      </c>
      <c r="G53">
        <v>11</v>
      </c>
    </row>
    <row r="54" spans="1:14">
      <c r="A54">
        <f t="shared" si="0"/>
        <v>51</v>
      </c>
      <c r="B54">
        <v>1</v>
      </c>
      <c r="C54" t="str" cm="1">
        <f t="array" ref="C54">GetValue("Own","Name",B54)</f>
        <v>SoftLab</v>
      </c>
      <c r="D54">
        <v>22</v>
      </c>
      <c r="E54" t="str" cm="1">
        <f t="array" ref="E54">GetValue("Typ","Name",D54)</f>
        <v>nvarchar(n)</v>
      </c>
      <c r="F54" t="s">
        <v>329</v>
      </c>
      <c r="G54">
        <v>7</v>
      </c>
      <c r="L54" s="10"/>
      <c r="M54" s="27"/>
      <c r="N54" s="27"/>
    </row>
    <row r="55" spans="1:14">
      <c r="A55">
        <f t="shared" si="0"/>
        <v>52</v>
      </c>
      <c r="B55">
        <v>1</v>
      </c>
      <c r="C55" t="str" cm="1">
        <f t="array" ref="C55">GetValue("Own","Name",B55)</f>
        <v>SoftLab</v>
      </c>
      <c r="D55">
        <v>22</v>
      </c>
      <c r="E55" t="str" cm="1">
        <f t="array" ref="E55">GetValue("Typ","Name",D55)</f>
        <v>nvarchar(n)</v>
      </c>
      <c r="F55" t="s">
        <v>330</v>
      </c>
      <c r="G55">
        <v>7</v>
      </c>
      <c r="L55" s="10"/>
      <c r="M55" s="27"/>
      <c r="N55" s="27"/>
    </row>
    <row r="56" spans="1:14">
      <c r="A56">
        <f t="shared" si="0"/>
        <v>53</v>
      </c>
      <c r="B56">
        <v>1</v>
      </c>
      <c r="C56" t="str" cm="1">
        <f t="array" ref="C56">GetValue("Own","Name",B56)</f>
        <v>SoftLab</v>
      </c>
      <c r="D56">
        <v>22</v>
      </c>
      <c r="E56" t="str" cm="1">
        <f t="array" ref="E56">GetValue("Typ","Name",D56)</f>
        <v>nvarchar(n)</v>
      </c>
      <c r="F56" t="s">
        <v>331</v>
      </c>
      <c r="G56">
        <v>12</v>
      </c>
      <c r="L56" s="10"/>
      <c r="M56" s="27"/>
      <c r="N56" s="27"/>
    </row>
    <row r="57" spans="1:14">
      <c r="A57">
        <f t="shared" si="0"/>
        <v>54</v>
      </c>
      <c r="B57">
        <v>1</v>
      </c>
      <c r="C57" t="str" cm="1">
        <f t="array" ref="C57">GetValue("Own","Name",B57)</f>
        <v>SoftLab</v>
      </c>
      <c r="D57">
        <v>23</v>
      </c>
      <c r="E57" t="str" cm="1">
        <f t="array" ref="E57">GetValue("Typ","Name",D57)</f>
        <v>nvarchar(max)</v>
      </c>
      <c r="F57" t="s">
        <v>672</v>
      </c>
      <c r="G57">
        <v>12</v>
      </c>
      <c r="L57" s="10"/>
      <c r="M57" s="27"/>
      <c r="N57" s="27"/>
    </row>
    <row r="58" spans="1:14">
      <c r="A58">
        <f>ROW(A58)-3</f>
        <v>55</v>
      </c>
      <c r="B58">
        <v>1</v>
      </c>
      <c r="C58" t="str" cm="1">
        <f t="array" ref="C58">GetValue("Own","Name",B58)</f>
        <v>SoftLab</v>
      </c>
      <c r="D58">
        <v>1</v>
      </c>
      <c r="E58" t="str" cm="1">
        <f t="array" ref="E58">GetValue("Typ","Name",D58)</f>
        <v>bigint (8 bytes)</v>
      </c>
      <c r="F58" t="s">
        <v>715</v>
      </c>
      <c r="J58" s="3">
        <v>1</v>
      </c>
      <c r="K58" s="3"/>
    </row>
    <row r="59" spans="1:14">
      <c r="A59">
        <f t="shared" si="0"/>
        <v>56</v>
      </c>
      <c r="B59">
        <v>1</v>
      </c>
      <c r="C59" t="str" cm="1">
        <f t="array" ref="C59">GetValue("Own","Name",B59)</f>
        <v>SoftLab</v>
      </c>
      <c r="D59">
        <v>16</v>
      </c>
      <c r="E59" t="str" cm="1">
        <f t="array" ref="E59">GetValue("Typ","Name",D59)</f>
        <v>int (4 bytes)</v>
      </c>
      <c r="F59" t="s">
        <v>716</v>
      </c>
      <c r="J59">
        <v>1</v>
      </c>
    </row>
    <row r="60" spans="1:14">
      <c r="A60">
        <f t="shared" si="0"/>
        <v>57</v>
      </c>
      <c r="B60">
        <v>1</v>
      </c>
      <c r="C60" t="str" cm="1">
        <f t="array" ref="C60">GetValue("Own","Name",B60)</f>
        <v>SoftLab</v>
      </c>
      <c r="D60">
        <v>26</v>
      </c>
      <c r="E60" t="str" cm="1">
        <f t="array" ref="E60">GetValue("Typ","Name",D60)</f>
        <v>smallint (2 bytes)</v>
      </c>
      <c r="F60" t="s">
        <v>717</v>
      </c>
      <c r="J60">
        <v>1</v>
      </c>
    </row>
    <row r="61" spans="1:14">
      <c r="A61">
        <f t="shared" si="0"/>
        <v>58</v>
      </c>
      <c r="B61">
        <v>1</v>
      </c>
      <c r="C61" t="str" cm="1">
        <f t="array" ref="C61">GetValue("Own","Name",B61)</f>
        <v>SoftLab</v>
      </c>
      <c r="D61">
        <v>33</v>
      </c>
      <c r="E61" t="str" cm="1">
        <f t="array" ref="E61">GetValue("Typ","Name",D61)</f>
        <v>tinyint (1 byte)</v>
      </c>
      <c r="F61" t="s">
        <v>718</v>
      </c>
      <c r="J61">
        <v>1</v>
      </c>
    </row>
    <row r="62" spans="1:14">
      <c r="A62">
        <f t="shared" si="0"/>
        <v>59</v>
      </c>
      <c r="B62">
        <v>1</v>
      </c>
      <c r="C62" t="str" cm="1">
        <f t="array" ref="C62">GetValue("Own","Name",B62)</f>
        <v>SoftLab</v>
      </c>
      <c r="D62">
        <v>26</v>
      </c>
      <c r="E62" t="str" cm="1">
        <f t="array" ref="E62">GetValue("Typ","Name",D62)</f>
        <v>smallint (2 bytes)</v>
      </c>
      <c r="F62" t="s">
        <v>719</v>
      </c>
      <c r="J62">
        <v>1</v>
      </c>
    </row>
    <row r="63" spans="1:14">
      <c r="A63">
        <f t="shared" si="0"/>
        <v>60</v>
      </c>
      <c r="B63">
        <v>1</v>
      </c>
      <c r="C63" t="str" cm="1">
        <f t="array" ref="C63">GetValue("Own","Name",B63)</f>
        <v>SoftLab</v>
      </c>
      <c r="D63">
        <v>22</v>
      </c>
      <c r="E63" t="str" cm="1">
        <f t="array" ref="E63">GetValue("Typ","Name",D63)</f>
        <v>nvarchar(n)</v>
      </c>
      <c r="F63" t="s">
        <v>513</v>
      </c>
      <c r="G63">
        <v>256</v>
      </c>
    </row>
    <row r="64" spans="1:14">
      <c r="A64">
        <f t="shared" si="0"/>
        <v>61</v>
      </c>
      <c r="B64">
        <v>1</v>
      </c>
      <c r="C64" t="str" cm="1">
        <f t="array" ref="C64">GetValue("Own","Name",B64)</f>
        <v>SoftLab</v>
      </c>
      <c r="D64">
        <v>33</v>
      </c>
      <c r="E64" t="str" cm="1">
        <f t="array" ref="E64">GetValue("Typ","Name",D64)</f>
        <v>tinyint (1 byte)</v>
      </c>
      <c r="F64" t="s">
        <v>375</v>
      </c>
      <c r="J64">
        <v>1</v>
      </c>
      <c r="K64">
        <v>31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8707-C55C-4E4D-93EC-B0C65670F9FC}">
  <sheetPr codeName="Planilha3"/>
  <dimension ref="A1:F22"/>
  <sheetViews>
    <sheetView workbookViewId="0">
      <pane ySplit="3" topLeftCell="A4" activePane="bottomLeft" state="frozen"/>
      <selection pane="bottomLeft" activeCell="D4" sqref="D4"/>
    </sheetView>
  </sheetViews>
  <sheetFormatPr defaultColWidth="17.88671875" defaultRowHeight="14.4"/>
  <cols>
    <col min="1" max="1" width="5.21875" bestFit="1" customWidth="1"/>
    <col min="2" max="2" width="8.88671875" bestFit="1" customWidth="1"/>
    <col min="3" max="3" width="14" bestFit="1" customWidth="1"/>
    <col min="4" max="4" width="16.21875" bestFit="1" customWidth="1"/>
    <col min="5" max="5" width="18.5546875" style="2" bestFit="1" customWidth="1"/>
    <col min="6" max="6" width="15" bestFit="1" customWidth="1"/>
  </cols>
  <sheetData>
    <row r="1" spans="1:6" s="1" customFormat="1">
      <c r="A1" s="1" t="s">
        <v>535</v>
      </c>
      <c r="B1" s="1" t="s">
        <v>568</v>
      </c>
      <c r="C1" s="1" t="s">
        <v>567</v>
      </c>
      <c r="D1" s="13" t="s">
        <v>0</v>
      </c>
      <c r="E1" s="13" t="s">
        <v>533</v>
      </c>
      <c r="F1" s="1" t="s">
        <v>426</v>
      </c>
    </row>
    <row r="2" spans="1:6" s="1" customFormat="1">
      <c r="A2" s="1">
        <v>55</v>
      </c>
      <c r="B2" s="1">
        <v>57</v>
      </c>
      <c r="C2" s="1" cm="1">
        <f t="array" ref="C2">GetDomainId("Own","Name")</f>
        <v>11</v>
      </c>
      <c r="D2" s="26">
        <v>11</v>
      </c>
      <c r="E2" s="26">
        <v>13</v>
      </c>
      <c r="F2" s="1">
        <v>13</v>
      </c>
    </row>
    <row r="3" spans="1:6" s="1" customFormat="1">
      <c r="A3" s="1" t="str" cm="1">
        <f t="array" ref="A3">GetValue("Dmn","Name",A2)</f>
        <v>BigId</v>
      </c>
      <c r="B3" s="1" t="str" cm="1">
        <f t="array" ref="B3">GetValue("Dmn","Name",B2)</f>
        <v>SmallId</v>
      </c>
      <c r="C3" s="1" t="str" cm="1">
        <f t="array" ref="C3">GetValue("Dmn","Name",C2)</f>
        <v>NVARCHAR(25)</v>
      </c>
      <c r="D3" s="1" t="str" cm="1">
        <f t="array" ref="D3">GetValue("Dmn","Name",D2)</f>
        <v>NVARCHAR(25)</v>
      </c>
      <c r="E3" s="1" t="str" cm="1">
        <f t="array" ref="E3">GetValue("Dmn","Name",E2)</f>
        <v>NVARCHAR(256)</v>
      </c>
      <c r="F3" s="1" t="str" cm="1">
        <f t="array" ref="F3">GetValue("Dmn","Name",F2)</f>
        <v>NVARCHAR(256)</v>
      </c>
    </row>
    <row r="4" spans="1:6">
      <c r="A4">
        <f>ROW(A4)-3</f>
        <v>1</v>
      </c>
      <c r="B4">
        <v>1</v>
      </c>
      <c r="C4" t="str" cm="1">
        <f t="array" ref="C4">GetValue("Own","Name",B4)</f>
        <v>SoftLab</v>
      </c>
      <c r="D4" t="s">
        <v>227</v>
      </c>
      <c r="E4" s="22">
        <v>99999999</v>
      </c>
      <c r="F4" t="s">
        <v>495</v>
      </c>
    </row>
    <row r="5" spans="1:6">
      <c r="A5">
        <f t="shared" ref="A5:A22" si="0">ROW(A5)-3</f>
        <v>2</v>
      </c>
      <c r="B5">
        <v>1</v>
      </c>
      <c r="C5" t="str" cm="1">
        <f t="array" ref="C5">GetValue("Own","Name",B5)</f>
        <v>SoftLab</v>
      </c>
      <c r="D5" t="s">
        <v>216</v>
      </c>
      <c r="E5" s="2" t="s">
        <v>434</v>
      </c>
      <c r="F5" t="s">
        <v>495</v>
      </c>
    </row>
    <row r="6" spans="1:6">
      <c r="A6">
        <f t="shared" si="0"/>
        <v>3</v>
      </c>
      <c r="B6">
        <v>1</v>
      </c>
      <c r="C6" t="str" cm="1">
        <f t="array" ref="C6">GetValue("Own","Name",B6)</f>
        <v>SoftLab</v>
      </c>
      <c r="D6" t="s">
        <v>217</v>
      </c>
      <c r="E6" s="2" t="s">
        <v>435</v>
      </c>
      <c r="F6" t="s">
        <v>495</v>
      </c>
    </row>
    <row r="7" spans="1:6">
      <c r="A7">
        <f t="shared" si="0"/>
        <v>4</v>
      </c>
      <c r="B7">
        <v>1</v>
      </c>
      <c r="C7" t="str" cm="1">
        <f t="array" ref="C7">GetValue("Own","Name",B7)</f>
        <v>SoftLab</v>
      </c>
      <c r="D7" t="s">
        <v>257</v>
      </c>
      <c r="E7" s="2" t="s">
        <v>436</v>
      </c>
      <c r="F7" t="s">
        <v>495</v>
      </c>
    </row>
    <row r="8" spans="1:6">
      <c r="A8">
        <f t="shared" si="0"/>
        <v>5</v>
      </c>
      <c r="B8">
        <v>1</v>
      </c>
      <c r="C8" t="str" cm="1">
        <f t="array" ref="C8">GetValue("Own","Name",B8)</f>
        <v>SoftLab</v>
      </c>
      <c r="D8" t="s">
        <v>333</v>
      </c>
      <c r="E8" s="2" t="s">
        <v>437</v>
      </c>
      <c r="F8" t="s">
        <v>495</v>
      </c>
    </row>
    <row r="9" spans="1:6">
      <c r="A9">
        <f t="shared" si="0"/>
        <v>6</v>
      </c>
      <c r="B9">
        <v>1</v>
      </c>
      <c r="C9" t="str" cm="1">
        <f t="array" ref="C9">GetValue("Own","Name",B9)</f>
        <v>SoftLab</v>
      </c>
      <c r="D9" t="s">
        <v>221</v>
      </c>
      <c r="E9" s="2">
        <v>99999999999</v>
      </c>
      <c r="F9" t="s">
        <v>495</v>
      </c>
    </row>
    <row r="10" spans="1:6">
      <c r="A10">
        <f t="shared" si="0"/>
        <v>7</v>
      </c>
      <c r="B10">
        <v>1</v>
      </c>
      <c r="C10" t="str" cm="1">
        <f t="array" ref="C10">GetValue("Own","Name",B10)</f>
        <v>SoftLab</v>
      </c>
      <c r="D10" t="s">
        <v>222</v>
      </c>
      <c r="E10" s="2">
        <v>99999999</v>
      </c>
      <c r="F10" t="s">
        <v>495</v>
      </c>
    </row>
    <row r="11" spans="1:6">
      <c r="A11">
        <f t="shared" si="0"/>
        <v>8</v>
      </c>
      <c r="B11">
        <v>1</v>
      </c>
      <c r="C11" t="str" cm="1">
        <f t="array" ref="C11">GetValue("Own","Name",B11)</f>
        <v>SoftLab</v>
      </c>
      <c r="D11" t="s">
        <v>223</v>
      </c>
      <c r="E11" s="2" t="s">
        <v>438</v>
      </c>
      <c r="F11" t="s">
        <v>495</v>
      </c>
    </row>
    <row r="12" spans="1:6">
      <c r="A12">
        <f t="shared" si="0"/>
        <v>9</v>
      </c>
      <c r="B12">
        <v>1</v>
      </c>
      <c r="C12" t="str" cm="1">
        <f t="array" ref="C12">GetValue("Own","Name",B12)</f>
        <v>SoftLab</v>
      </c>
      <c r="D12" t="s">
        <v>224</v>
      </c>
      <c r="E12" s="2" t="s">
        <v>439</v>
      </c>
      <c r="F12" t="s">
        <v>495</v>
      </c>
    </row>
    <row r="13" spans="1:6">
      <c r="A13">
        <f t="shared" si="0"/>
        <v>10</v>
      </c>
      <c r="B13">
        <v>1</v>
      </c>
      <c r="C13" t="str" cm="1">
        <f t="array" ref="C13">GetValue("Own","Name",B13)</f>
        <v>SoftLab</v>
      </c>
      <c r="D13" t="s">
        <v>225</v>
      </c>
      <c r="E13" s="2" t="s">
        <v>440</v>
      </c>
      <c r="F13" t="s">
        <v>495</v>
      </c>
    </row>
    <row r="14" spans="1:6">
      <c r="A14">
        <f t="shared" si="0"/>
        <v>11</v>
      </c>
      <c r="B14">
        <v>1</v>
      </c>
      <c r="C14" t="str" cm="1">
        <f t="array" ref="C14">GetValue("Own","Name",B14)</f>
        <v>SoftLab</v>
      </c>
      <c r="D14" t="s">
        <v>226</v>
      </c>
      <c r="E14" s="2" t="s">
        <v>441</v>
      </c>
      <c r="F14" t="s">
        <v>496</v>
      </c>
    </row>
    <row r="15" spans="1:6">
      <c r="A15">
        <f t="shared" si="0"/>
        <v>12</v>
      </c>
      <c r="B15">
        <v>1</v>
      </c>
      <c r="C15" t="str" cm="1">
        <f t="array" ref="C15">GetValue("Own","Name",B15)</f>
        <v>SoftLab</v>
      </c>
      <c r="D15" t="s">
        <v>254</v>
      </c>
      <c r="E15" s="2" t="s">
        <v>442</v>
      </c>
      <c r="F15" t="s">
        <v>495</v>
      </c>
    </row>
    <row r="16" spans="1:6">
      <c r="A16">
        <f t="shared" si="0"/>
        <v>13</v>
      </c>
      <c r="B16">
        <v>1</v>
      </c>
      <c r="C16" t="str" cm="1">
        <f t="array" ref="C16">GetValue("Own","Name",B16)</f>
        <v>SoftLab</v>
      </c>
      <c r="D16" t="s">
        <v>327</v>
      </c>
      <c r="E16" s="2" t="s">
        <v>443</v>
      </c>
      <c r="F16" t="s">
        <v>495</v>
      </c>
    </row>
    <row r="17" spans="1:6">
      <c r="A17">
        <f t="shared" si="0"/>
        <v>14</v>
      </c>
      <c r="B17">
        <v>1</v>
      </c>
      <c r="C17" t="str" cm="1">
        <f t="array" ref="C17">GetValue("Own","Name",B17)</f>
        <v>SoftLab</v>
      </c>
      <c r="D17" t="s">
        <v>328</v>
      </c>
      <c r="E17" s="2" t="s">
        <v>444</v>
      </c>
      <c r="F17" t="s">
        <v>495</v>
      </c>
    </row>
    <row r="18" spans="1:6">
      <c r="A18">
        <f t="shared" si="0"/>
        <v>15</v>
      </c>
      <c r="B18">
        <v>1</v>
      </c>
      <c r="C18" t="str" cm="1">
        <f t="array" ref="C18">GetValue("Own","Name",B18)</f>
        <v>SoftLab</v>
      </c>
      <c r="D18" t="s">
        <v>329</v>
      </c>
      <c r="E18" s="4" t="s">
        <v>445</v>
      </c>
      <c r="F18" t="s">
        <v>496</v>
      </c>
    </row>
    <row r="19" spans="1:6">
      <c r="A19">
        <f t="shared" si="0"/>
        <v>16</v>
      </c>
      <c r="B19">
        <v>1</v>
      </c>
      <c r="C19" t="str" cm="1">
        <f t="array" ref="C19">GetValue("Own","Name",B19)</f>
        <v>SoftLab</v>
      </c>
      <c r="D19" t="s">
        <v>330</v>
      </c>
      <c r="E19" s="4" t="s">
        <v>446</v>
      </c>
      <c r="F19" t="s">
        <v>496</v>
      </c>
    </row>
    <row r="20" spans="1:6">
      <c r="A20">
        <f t="shared" si="0"/>
        <v>17</v>
      </c>
      <c r="B20">
        <v>1</v>
      </c>
      <c r="C20" t="str" cm="1">
        <f t="array" ref="C20">GetValue("Own","Name",B20)</f>
        <v>SoftLab</v>
      </c>
      <c r="D20" t="s">
        <v>255</v>
      </c>
      <c r="E20" s="2" t="s">
        <v>447</v>
      </c>
      <c r="F20" t="s">
        <v>495</v>
      </c>
    </row>
    <row r="21" spans="1:6">
      <c r="A21">
        <f t="shared" si="0"/>
        <v>18</v>
      </c>
      <c r="B21">
        <v>1</v>
      </c>
      <c r="C21" t="str" cm="1">
        <f t="array" ref="C21">GetValue("Own","Name",B21)</f>
        <v>SoftLab</v>
      </c>
      <c r="D21" t="s">
        <v>331</v>
      </c>
      <c r="E21" s="2" t="s">
        <v>448</v>
      </c>
      <c r="F21" t="s">
        <v>495</v>
      </c>
    </row>
    <row r="22" spans="1:6">
      <c r="A22">
        <f t="shared" si="0"/>
        <v>19</v>
      </c>
      <c r="B22">
        <v>1</v>
      </c>
      <c r="C22" t="str" cm="1">
        <f t="array" ref="C22">GetValue("Own","Name",B22)</f>
        <v>SoftLab</v>
      </c>
      <c r="D22" t="s">
        <v>256</v>
      </c>
      <c r="E22" s="2">
        <v>99999999999</v>
      </c>
      <c r="F22" t="s">
        <v>495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6F68-4B95-4743-B839-02341ABECD49}">
  <sheetPr codeName="Planilha2"/>
  <dimension ref="A1:H22"/>
  <sheetViews>
    <sheetView workbookViewId="0">
      <pane ySplit="3" topLeftCell="A4" activePane="bottomLeft" state="frozen"/>
      <selection pane="bottomLeft" activeCell="E2" sqref="E2"/>
    </sheetView>
  </sheetViews>
  <sheetFormatPr defaultColWidth="42.5546875" defaultRowHeight="14.4"/>
  <cols>
    <col min="1" max="1" width="5.21875" bestFit="1" customWidth="1"/>
    <col min="2" max="2" width="9.21875" bestFit="1" customWidth="1"/>
    <col min="3" max="3" width="16.33203125" bestFit="1" customWidth="1"/>
    <col min="4" max="4" width="7.21875" bestFit="1" customWidth="1"/>
    <col min="5" max="5" width="16.21875" bestFit="1" customWidth="1"/>
    <col min="6" max="6" width="16.5546875" bestFit="1" customWidth="1"/>
    <col min="7" max="7" width="40.44140625" bestFit="1" customWidth="1"/>
    <col min="8" max="8" width="24.5546875" style="12" bestFit="1" customWidth="1"/>
  </cols>
  <sheetData>
    <row r="1" spans="1:8" s="1" customFormat="1">
      <c r="A1" s="1" t="s">
        <v>535</v>
      </c>
      <c r="B1" s="1" t="s">
        <v>93</v>
      </c>
      <c r="C1" s="1" t="s">
        <v>111</v>
      </c>
      <c r="D1" s="1" t="s">
        <v>53</v>
      </c>
      <c r="E1" s="1" t="s">
        <v>106</v>
      </c>
      <c r="F1" s="8" t="s">
        <v>334</v>
      </c>
      <c r="G1" s="8" t="s">
        <v>335</v>
      </c>
      <c r="H1" s="9" t="s">
        <v>336</v>
      </c>
    </row>
    <row r="2" spans="1:8" s="1" customFormat="1">
      <c r="A2" s="1">
        <v>55</v>
      </c>
      <c r="B2" s="1">
        <v>55</v>
      </c>
      <c r="C2" s="1" cm="1">
        <f t="array" ref="C2">GetDomainId("Dmn","Name")</f>
        <v>11</v>
      </c>
      <c r="D2" s="1">
        <v>55</v>
      </c>
      <c r="E2" s="1" cm="1">
        <f t="array" ref="E2">GetDomainId("Msk","Name")</f>
        <v>11</v>
      </c>
      <c r="F2" s="8">
        <v>4</v>
      </c>
      <c r="G2" s="8">
        <v>14</v>
      </c>
      <c r="H2" s="8">
        <v>15</v>
      </c>
    </row>
    <row r="3" spans="1:8" s="1" customFormat="1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TinyInteger</v>
      </c>
      <c r="G3" s="1" t="str" cm="1">
        <f t="array" ref="G3">GetValue("Dmn","Name",G2)</f>
        <v>NVARCHAR(max)</v>
      </c>
      <c r="H3" s="1" t="str" cm="1">
        <f t="array" ref="H3">GetValue("Dmn","Name",H2)</f>
        <v>NCHAR(1)</v>
      </c>
    </row>
    <row r="4" spans="1:8">
      <c r="A4">
        <f>ROW(A4)-3</f>
        <v>1</v>
      </c>
      <c r="B4">
        <v>21</v>
      </c>
      <c r="C4" t="str" cm="1">
        <f t="array" ref="C4">GetValue("Dmn","Name",B4)</f>
        <v>VARCHAR(max)</v>
      </c>
      <c r="D4">
        <v>1</v>
      </c>
      <c r="E4" t="str" cm="1">
        <f t="array" ref="E4">GetValue("Msk","Name",D4)</f>
        <v>RAIZ CNPJ</v>
      </c>
    </row>
    <row r="5" spans="1:8">
      <c r="A5">
        <f t="shared" ref="A5:A22" si="0">ROW(A5)-3</f>
        <v>2</v>
      </c>
      <c r="B5">
        <v>22</v>
      </c>
      <c r="C5" t="str" cm="1">
        <f t="array" ref="C5">GetValue("Dmn","Name",B5)</f>
        <v>CHAR(1)</v>
      </c>
      <c r="D5">
        <v>2</v>
      </c>
      <c r="E5" t="str" cm="1">
        <f t="array" ref="E5">GetValue("Msk","Name",D5)</f>
        <v>CPF</v>
      </c>
      <c r="F5" s="10">
        <v>11</v>
      </c>
      <c r="G5" s="10" t="s">
        <v>427</v>
      </c>
      <c r="H5" s="11">
        <v>0</v>
      </c>
    </row>
    <row r="6" spans="1:8">
      <c r="A6">
        <f t="shared" si="0"/>
        <v>3</v>
      </c>
      <c r="B6">
        <v>23</v>
      </c>
      <c r="C6" t="str" cm="1">
        <f t="array" ref="C6">GetValue("Dmn","Name",B6)</f>
        <v>MONEY</v>
      </c>
      <c r="D6">
        <v>3</v>
      </c>
      <c r="E6" t="str" cm="1">
        <f t="array" ref="E6">GetValue("Msk","Name",D6)</f>
        <v>CNPJ</v>
      </c>
      <c r="F6" s="10">
        <v>11</v>
      </c>
      <c r="G6" s="10" t="s">
        <v>428</v>
      </c>
      <c r="H6" s="11">
        <v>0</v>
      </c>
    </row>
    <row r="7" spans="1:8">
      <c r="A7">
        <f t="shared" si="0"/>
        <v>4</v>
      </c>
      <c r="B7">
        <v>24</v>
      </c>
      <c r="C7" t="str" cm="1">
        <f t="array" ref="C7">GetValue("Dmn","Name",B7)</f>
        <v>VARIANT</v>
      </c>
      <c r="D7">
        <v>4</v>
      </c>
      <c r="E7" t="str" cm="1">
        <f t="array" ref="E7">GetValue("Msk","Name",D7)</f>
        <v>CAEPF</v>
      </c>
      <c r="F7" s="10">
        <v>11</v>
      </c>
      <c r="G7" s="10" t="s">
        <v>230</v>
      </c>
      <c r="H7" s="11">
        <v>0</v>
      </c>
    </row>
    <row r="8" spans="1:8">
      <c r="A8">
        <f t="shared" si="0"/>
        <v>5</v>
      </c>
      <c r="B8">
        <v>25</v>
      </c>
      <c r="C8" t="str" cm="1">
        <f t="array" ref="C8">GetValue("Dmn","Name",B8)</f>
        <v>JSON</v>
      </c>
      <c r="D8">
        <v>5</v>
      </c>
      <c r="E8" t="str" cm="1">
        <f t="array" ref="E8">GetValue("Msk","Name",D8)</f>
        <v>Credit Card</v>
      </c>
      <c r="F8" s="10">
        <v>11</v>
      </c>
      <c r="G8" s="10" t="s">
        <v>231</v>
      </c>
      <c r="H8" s="11">
        <v>0</v>
      </c>
    </row>
    <row r="9" spans="1:8">
      <c r="A9">
        <f t="shared" si="0"/>
        <v>6</v>
      </c>
      <c r="B9">
        <v>26</v>
      </c>
      <c r="C9" t="str" cm="1">
        <f t="array" ref="C9">GetValue("Dmn","Name",B9)</f>
        <v>IMAGE</v>
      </c>
      <c r="D9">
        <v>6</v>
      </c>
      <c r="E9" t="str" cm="1">
        <f t="array" ref="E9">GetValue("Msk","Name",D9)</f>
        <v>RENAVAM</v>
      </c>
      <c r="F9" s="10">
        <v>11</v>
      </c>
      <c r="G9" s="10" t="s">
        <v>230</v>
      </c>
      <c r="H9" s="11">
        <v>0</v>
      </c>
    </row>
    <row r="10" spans="1:8">
      <c r="A10">
        <f t="shared" si="0"/>
        <v>7</v>
      </c>
      <c r="B10">
        <v>27</v>
      </c>
      <c r="C10" t="str" cm="1">
        <f t="array" ref="C10">GetValue("Dmn","Name",B10)</f>
        <v>CRUD Operation</v>
      </c>
      <c r="D10">
        <v>7</v>
      </c>
      <c r="E10" t="str" cm="1">
        <f t="array" ref="E10">GetValue("Msk","Name",D10)</f>
        <v>EAN-8</v>
      </c>
      <c r="F10" s="10">
        <v>11</v>
      </c>
      <c r="G10" s="10" t="s">
        <v>231</v>
      </c>
      <c r="H10" s="11">
        <v>0</v>
      </c>
    </row>
    <row r="11" spans="1:8">
      <c r="A11">
        <f t="shared" si="0"/>
        <v>8</v>
      </c>
      <c r="B11">
        <v>28</v>
      </c>
      <c r="C11" t="str" cm="1">
        <f t="array" ref="C11">GetValue("Dmn","Name",B11)</f>
        <v>Periodicity</v>
      </c>
      <c r="D11">
        <v>8</v>
      </c>
      <c r="E11" t="str" cm="1">
        <f t="array" ref="E11">GetValue("Msk","Name",D11)</f>
        <v>EAN-13</v>
      </c>
      <c r="F11" s="10">
        <v>10</v>
      </c>
      <c r="G11" s="10" t="s">
        <v>232</v>
      </c>
      <c r="H11" s="12">
        <v>0</v>
      </c>
    </row>
    <row r="12" spans="1:8">
      <c r="A12">
        <f t="shared" si="0"/>
        <v>9</v>
      </c>
      <c r="B12">
        <v>30</v>
      </c>
      <c r="C12" t="str" cm="1">
        <f t="array" ref="C12">GetValue("Dmn","Name",B12)</f>
        <v>Left Parenthesis</v>
      </c>
      <c r="D12">
        <v>9</v>
      </c>
      <c r="E12" t="str" cm="1">
        <f t="array" ref="E12">GetValue("Msk","Name",D12)</f>
        <v>ISBN-10</v>
      </c>
      <c r="F12" s="10">
        <v>11</v>
      </c>
      <c r="G12" s="10" t="s">
        <v>233</v>
      </c>
      <c r="H12" s="12">
        <v>0</v>
      </c>
    </row>
    <row r="13" spans="1:8">
      <c r="A13">
        <f t="shared" si="0"/>
        <v>10</v>
      </c>
      <c r="B13">
        <v>31</v>
      </c>
      <c r="C13" t="str" cm="1">
        <f t="array" ref="C13">GetValue("Dmn","Name",B13)</f>
        <v>Right Parenthesis</v>
      </c>
      <c r="D13">
        <v>10</v>
      </c>
      <c r="E13" t="str" cm="1">
        <f t="array" ref="E13">GetValue("Msk","Name",D13)</f>
        <v>ISBN-13</v>
      </c>
      <c r="F13" s="10">
        <v>10</v>
      </c>
      <c r="G13" t="s">
        <v>258</v>
      </c>
      <c r="H13" s="12">
        <v>0</v>
      </c>
    </row>
    <row r="14" spans="1:8">
      <c r="A14">
        <f t="shared" si="0"/>
        <v>11</v>
      </c>
      <c r="B14">
        <v>31</v>
      </c>
      <c r="C14" t="str" cm="1">
        <f t="array" ref="C14">GetValue("Dmn","Name",B14)</f>
        <v>Right Parenthesis</v>
      </c>
      <c r="D14">
        <v>11</v>
      </c>
      <c r="E14" t="str" cm="1">
        <f t="array" ref="E14">GetValue("Msk","Name",D14)</f>
        <v>ISSN</v>
      </c>
      <c r="F14" s="10">
        <v>10</v>
      </c>
      <c r="G14" t="s">
        <v>234</v>
      </c>
      <c r="H14" s="12">
        <v>0</v>
      </c>
    </row>
    <row r="15" spans="1:8">
      <c r="A15">
        <f t="shared" si="0"/>
        <v>12</v>
      </c>
      <c r="B15">
        <v>32</v>
      </c>
      <c r="C15" t="str" cm="1">
        <f t="array" ref="C15">GetValue("Dmn","Name",B15)</f>
        <v>Fetch Method</v>
      </c>
      <c r="D15">
        <v>12</v>
      </c>
      <c r="E15" t="str" cm="1">
        <f t="array" ref="E15">GetValue("Msk","Name",D15)</f>
        <v>CEP (BR)</v>
      </c>
      <c r="F15" s="10">
        <v>11</v>
      </c>
      <c r="G15" s="10" t="s">
        <v>235</v>
      </c>
      <c r="H15" s="12" t="s">
        <v>219</v>
      </c>
    </row>
    <row r="16" spans="1:8">
      <c r="A16">
        <f t="shared" si="0"/>
        <v>13</v>
      </c>
      <c r="B16">
        <v>33</v>
      </c>
      <c r="C16" t="str" cm="1">
        <f t="array" ref="C16">GetValue("Dmn","Name",B16)</f>
        <v>Mask Modificators</v>
      </c>
      <c r="D16">
        <v>13</v>
      </c>
      <c r="E16" t="str" cm="1">
        <f t="array" ref="E16">GetValue("Msk","Name",D16)</f>
        <v>Fone (BR)</v>
      </c>
      <c r="F16" s="10">
        <v>10</v>
      </c>
      <c r="G16" t="s">
        <v>234</v>
      </c>
      <c r="H16" s="12">
        <v>0</v>
      </c>
    </row>
    <row r="17" spans="1:8">
      <c r="A17">
        <f t="shared" si="0"/>
        <v>14</v>
      </c>
      <c r="B17">
        <v>34</v>
      </c>
      <c r="C17" t="str" cm="1">
        <f t="array" ref="C17">GetValue("Dmn","Name",B17)</f>
        <v>ListValues</v>
      </c>
      <c r="D17">
        <v>14</v>
      </c>
      <c r="E17" t="str" cm="1">
        <f t="array" ref="E17">GetValue("Msk","Name",D17)</f>
        <v>Celular (BR)</v>
      </c>
      <c r="F17" s="10">
        <v>11</v>
      </c>
      <c r="G17" t="s">
        <v>236</v>
      </c>
      <c r="H17" s="12" t="s">
        <v>219</v>
      </c>
    </row>
    <row r="18" spans="1:8">
      <c r="A18">
        <f t="shared" si="0"/>
        <v>15</v>
      </c>
      <c r="B18">
        <v>34</v>
      </c>
      <c r="C18" t="str" cm="1">
        <f t="array" ref="C18">GetValue("Dmn","Name",B18)</f>
        <v>ListValues</v>
      </c>
      <c r="D18">
        <v>15</v>
      </c>
      <c r="E18" t="str" cm="1">
        <f t="array" ref="E18">GetValue("Msk","Name",D18)</f>
        <v>Placa Veicular (BR)</v>
      </c>
    </row>
    <row r="19" spans="1:8">
      <c r="A19">
        <f t="shared" si="0"/>
        <v>16</v>
      </c>
      <c r="B19">
        <v>34</v>
      </c>
      <c r="C19" t="str" cm="1">
        <f t="array" ref="C19">GetValue("Dmn","Name",B19)</f>
        <v>ListValues</v>
      </c>
      <c r="D19">
        <v>16</v>
      </c>
      <c r="E19" t="str" cm="1">
        <f t="array" ref="E19">GetValue("Msk","Name",D19)</f>
        <v>Placa MERCOSUL</v>
      </c>
    </row>
    <row r="20" spans="1:8">
      <c r="A20">
        <f t="shared" si="0"/>
        <v>17</v>
      </c>
      <c r="B20">
        <v>35</v>
      </c>
      <c r="C20" t="str" cm="1">
        <f t="array" ref="C20">GetValue("Dmn","Name",B20)</f>
        <v>Raíz CNPJ</v>
      </c>
      <c r="D20">
        <v>17</v>
      </c>
      <c r="E20" t="str" cm="1">
        <f t="array" ref="E20">GetValue("Msk","Name",D20)</f>
        <v>NIS/PIS/PASEP</v>
      </c>
    </row>
    <row r="21" spans="1:8">
      <c r="A21">
        <f t="shared" si="0"/>
        <v>18</v>
      </c>
      <c r="B21">
        <v>36</v>
      </c>
      <c r="C21" t="str" cm="1">
        <f t="array" ref="C21">GetValue("Dmn","Name",B21)</f>
        <v>CPF</v>
      </c>
      <c r="D21">
        <v>18</v>
      </c>
      <c r="E21" t="str" cm="1">
        <f t="array" ref="E21">GetValue("Msk","Name",D21)</f>
        <v>Título de Eleitor</v>
      </c>
    </row>
    <row r="22" spans="1:8">
      <c r="A22">
        <f t="shared" si="0"/>
        <v>19</v>
      </c>
      <c r="B22">
        <v>37</v>
      </c>
      <c r="C22" t="str" cm="1">
        <f t="array" ref="C22">GetValue("Dmn","Name",B22)</f>
        <v>CNPJ</v>
      </c>
      <c r="D22">
        <v>19</v>
      </c>
      <c r="E22" t="str" cm="1">
        <f t="array" ref="E22">GetValue("Msk","Name",D22)</f>
        <v>CNH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6EF2-7A0A-4FA6-A0DE-309DECFD9E70}">
  <sheetPr codeName="Planilha23"/>
  <dimension ref="A1:E4"/>
  <sheetViews>
    <sheetView workbookViewId="0">
      <pane ySplit="3" topLeftCell="A4" activePane="bottomLeft" state="frozen"/>
      <selection pane="bottomLeft" activeCell="C2" sqref="C2"/>
    </sheetView>
  </sheetViews>
  <sheetFormatPr defaultRowHeight="14.4"/>
  <cols>
    <col min="1" max="1" width="5.21875" bestFit="1" customWidth="1"/>
    <col min="2" max="2" width="8.88671875" bestFit="1" customWidth="1"/>
    <col min="3" max="5" width="14" bestFit="1" customWidth="1"/>
  </cols>
  <sheetData>
    <row r="1" spans="1:5" s="1" customFormat="1">
      <c r="A1" s="1" t="s">
        <v>535</v>
      </c>
      <c r="B1" s="1" t="s">
        <v>568</v>
      </c>
      <c r="C1" s="1" t="s">
        <v>567</v>
      </c>
      <c r="D1" s="1" t="s">
        <v>0</v>
      </c>
      <c r="E1" s="1" t="s">
        <v>63</v>
      </c>
    </row>
    <row r="2" spans="1:5" s="1" customFormat="1">
      <c r="A2" s="1">
        <v>55</v>
      </c>
      <c r="B2" s="1">
        <v>57</v>
      </c>
      <c r="C2" s="1" cm="1">
        <f t="array" ref="C2">GetDomainId("Own","Name")</f>
        <v>11</v>
      </c>
      <c r="D2" s="1">
        <v>11</v>
      </c>
      <c r="E2" s="1">
        <v>12</v>
      </c>
    </row>
    <row r="3" spans="1:5" s="1" customFormat="1">
      <c r="A3" s="1" t="str" cm="1">
        <f t="array" ref="A3">GetValue("Dmn","Name",A2)</f>
        <v>BigId</v>
      </c>
      <c r="B3" s="1" t="str" cm="1">
        <f t="array" ref="B3">GetValue("Dmn","Name",B2)</f>
        <v>SmallId</v>
      </c>
      <c r="C3" s="1" t="str" cm="1">
        <f t="array" ref="C3">GetValue("Dmn","Name",C2)</f>
        <v>NVARCHAR(25)</v>
      </c>
      <c r="D3" s="1" t="str" cm="1">
        <f t="array" ref="D3">GetValue("Dmn","Name",D2)</f>
        <v>NVARCHAR(25)</v>
      </c>
      <c r="E3" s="1" t="str" cm="1">
        <f t="array" ref="E3">GetValue("Dmn","Name",E2)</f>
        <v>NVARCHAR(50)</v>
      </c>
    </row>
    <row r="4" spans="1:5">
      <c r="A4">
        <f>ROW(A1)</f>
        <v>1</v>
      </c>
      <c r="B4">
        <v>1</v>
      </c>
      <c r="C4" t="str" cm="1">
        <f t="array" ref="C4">GetValue("Own","Name",B4)</f>
        <v>SoftLab</v>
      </c>
      <c r="D4" t="s">
        <v>116</v>
      </c>
      <c r="E4" t="s">
        <v>117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6EDB-15B6-45CA-833D-7B53402A0881}">
  <sheetPr codeName="Planilha9"/>
  <dimension ref="A1:E4"/>
  <sheetViews>
    <sheetView workbookViewId="0">
      <pane ySplit="3" topLeftCell="A4" activePane="bottomLeft" state="frozen"/>
      <selection pane="bottomLeft" activeCell="C2" sqref="C2"/>
    </sheetView>
  </sheetViews>
  <sheetFormatPr defaultRowHeight="14.4"/>
  <cols>
    <col min="1" max="1" width="5.21875" bestFit="1" customWidth="1"/>
    <col min="2" max="2" width="12.33203125" bestFit="1" customWidth="1"/>
    <col min="3" max="3" width="16.77734375" bestFit="1" customWidth="1"/>
    <col min="4" max="5" width="14" bestFit="1" customWidth="1"/>
  </cols>
  <sheetData>
    <row r="1" spans="1:5" s="1" customFormat="1">
      <c r="A1" s="1" t="s">
        <v>535</v>
      </c>
      <c r="B1" s="1" t="s">
        <v>634</v>
      </c>
      <c r="C1" s="1" t="s">
        <v>635</v>
      </c>
      <c r="D1" s="1" t="s">
        <v>0</v>
      </c>
      <c r="E1" s="1" t="s">
        <v>63</v>
      </c>
    </row>
    <row r="2" spans="1:5" s="1" customFormat="1">
      <c r="A2" s="1">
        <v>55</v>
      </c>
      <c r="B2" s="1">
        <v>55</v>
      </c>
      <c r="C2" s="1" cm="1">
        <f t="array" ref="C2">GetDomainId("Con","Name")</f>
        <v>11</v>
      </c>
      <c r="D2" s="1">
        <v>11</v>
      </c>
      <c r="E2" s="1">
        <v>12</v>
      </c>
    </row>
    <row r="3" spans="1:5" s="1" customFormat="1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NVARCHAR(25)</v>
      </c>
      <c r="E3" s="1" t="str" cm="1">
        <f t="array" ref="E3">GetValue("Dmn","Name",E2)</f>
        <v>NVARCHAR(50)</v>
      </c>
    </row>
    <row r="4" spans="1:5">
      <c r="A4">
        <f>ROW(A1)</f>
        <v>1</v>
      </c>
      <c r="B4">
        <v>1</v>
      </c>
      <c r="C4" t="str" cm="1">
        <f t="array" ref="C4">GetValue("Con","Name",B4)</f>
        <v>crudex</v>
      </c>
      <c r="D4" t="s">
        <v>116</v>
      </c>
      <c r="E4" t="s">
        <v>117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2DCBE-3B49-4726-81DC-87CCA19BC48E}">
  <sheetPr codeName="Planilha31"/>
  <dimension ref="A1:G6"/>
  <sheetViews>
    <sheetView workbookViewId="0">
      <pane ySplit="3" topLeftCell="A4" activePane="bottomLeft" state="frozen"/>
      <selection pane="bottomLeft" activeCell="H12" sqref="H12"/>
    </sheetView>
  </sheetViews>
  <sheetFormatPr defaultRowHeight="14.4"/>
  <cols>
    <col min="1" max="1" width="6.21875" bestFit="1" customWidth="1"/>
    <col min="2" max="2" width="8.88671875" bestFit="1" customWidth="1"/>
    <col min="3" max="3" width="14" bestFit="1" customWidth="1"/>
    <col min="4" max="4" width="9.21875" bestFit="1" customWidth="1"/>
    <col min="5" max="5" width="14" bestFit="1" customWidth="1"/>
    <col min="6" max="6" width="15.21875" bestFit="1" customWidth="1"/>
    <col min="7" max="7" width="11.77734375" bestFit="1" customWidth="1"/>
  </cols>
  <sheetData>
    <row r="1" spans="1:7" s="1" customFormat="1">
      <c r="A1" s="1" t="s">
        <v>535</v>
      </c>
      <c r="B1" s="1" t="s">
        <v>568</v>
      </c>
      <c r="C1" s="1" t="s">
        <v>567</v>
      </c>
      <c r="D1" s="1" t="s">
        <v>66</v>
      </c>
      <c r="E1" s="1" t="s">
        <v>0</v>
      </c>
      <c r="F1" s="1" t="s">
        <v>63</v>
      </c>
      <c r="G1" s="1" t="s">
        <v>403</v>
      </c>
    </row>
    <row r="2" spans="1:7" s="1" customFormat="1">
      <c r="A2" s="1">
        <v>58</v>
      </c>
      <c r="B2" s="1">
        <v>57</v>
      </c>
      <c r="C2" s="1" cm="1">
        <f t="array" ref="C2">GetDomainId("Own","Name")</f>
        <v>11</v>
      </c>
      <c r="D2" s="1">
        <v>59</v>
      </c>
      <c r="E2" s="1">
        <v>11</v>
      </c>
      <c r="F2" s="1">
        <v>12</v>
      </c>
      <c r="G2" s="1">
        <v>5</v>
      </c>
    </row>
    <row r="3" spans="1:7" s="1" customFormat="1">
      <c r="A3" s="1" t="str" cm="1">
        <f t="array" ref="A3">GetValue("Dmn","Name",A2)</f>
        <v>TinyId</v>
      </c>
      <c r="B3" s="1" t="str" cm="1">
        <f t="array" ref="B3">GetValue("Dmn","Name",B2)</f>
        <v>SmallId</v>
      </c>
      <c r="C3" s="1" t="str" cm="1">
        <f t="array" ref="C3">GetValue("Dmn","Name",C2)</f>
        <v>NVARCHAR(25)</v>
      </c>
      <c r="D3" s="1" t="str" cm="1">
        <f t="array" ref="D3">GetValue("Dmn","Name",D2)</f>
        <v>SEQUENCE</v>
      </c>
      <c r="E3" s="1" t="str" cm="1">
        <f t="array" ref="E3">GetValue("Dmn","Name",E2)</f>
        <v>NVARCHAR(25)</v>
      </c>
      <c r="F3" s="1" t="str" cm="1">
        <f t="array" ref="F3">GetValue("Dmn","Name",F2)</f>
        <v>NVARCHAR(50)</v>
      </c>
      <c r="G3" s="1" t="str" cm="1">
        <f t="array" ref="G3">GetValue("Dmn","Name",G2)</f>
        <v>Boolean</v>
      </c>
    </row>
    <row r="4" spans="1:7">
      <c r="A4">
        <f>ROW(A4)-3</f>
        <v>1</v>
      </c>
      <c r="B4">
        <v>1</v>
      </c>
      <c r="C4" t="str" cm="1">
        <f t="array" ref="C4">GetValue("Own","Name",B4)</f>
        <v>SoftLab</v>
      </c>
      <c r="D4">
        <v>10</v>
      </c>
      <c r="E4" t="s">
        <v>145</v>
      </c>
      <c r="F4" t="s">
        <v>570</v>
      </c>
      <c r="G4" t="b">
        <v>1</v>
      </c>
    </row>
    <row r="5" spans="1:7">
      <c r="A5">
        <f t="shared" ref="A5:A6" si="0">ROW(A5)-3</f>
        <v>2</v>
      </c>
      <c r="B5">
        <v>1</v>
      </c>
      <c r="C5" t="str" cm="1">
        <f t="array" ref="C5">GetValue("Own","Name",B5)</f>
        <v>SoftLab</v>
      </c>
      <c r="D5">
        <v>20</v>
      </c>
      <c r="E5" t="s">
        <v>189</v>
      </c>
      <c r="F5" t="s">
        <v>572</v>
      </c>
      <c r="G5" t="b">
        <v>1</v>
      </c>
    </row>
    <row r="6" spans="1:7">
      <c r="A6">
        <f t="shared" si="0"/>
        <v>3</v>
      </c>
      <c r="B6">
        <v>1</v>
      </c>
      <c r="C6" t="str" cm="1">
        <f t="array" ref="C6">GetValue("Own","Name",B6)</f>
        <v>SoftLab</v>
      </c>
      <c r="D6">
        <v>30</v>
      </c>
      <c r="E6" t="s">
        <v>190</v>
      </c>
      <c r="F6" t="s">
        <v>571</v>
      </c>
      <c r="G6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F3C8-1964-41D3-AF08-EE0CDFF562F1}">
  <sheetPr codeName="Planilha32"/>
  <dimension ref="A1:G6"/>
  <sheetViews>
    <sheetView workbookViewId="0">
      <pane ySplit="3" topLeftCell="A4" activePane="bottomLeft" state="frozen"/>
      <selection pane="bottomLeft" activeCell="F1" sqref="F1"/>
    </sheetView>
  </sheetViews>
  <sheetFormatPr defaultRowHeight="14.4"/>
  <cols>
    <col min="1" max="1" width="5.21875" bestFit="1" customWidth="1"/>
    <col min="2" max="2" width="12.33203125" bestFit="1" customWidth="1"/>
    <col min="3" max="3" width="16.77734375" bestFit="1" customWidth="1"/>
    <col min="4" max="4" width="13.6640625" bestFit="1" customWidth="1"/>
    <col min="5" max="5" width="18.109375" bestFit="1" customWidth="1"/>
    <col min="6" max="6" width="15" bestFit="1" customWidth="1"/>
    <col min="7" max="7" width="118.44140625" customWidth="1"/>
  </cols>
  <sheetData>
    <row r="1" spans="1:7" s="1" customFormat="1">
      <c r="A1" s="1" t="s">
        <v>535</v>
      </c>
      <c r="B1" s="1" t="s">
        <v>634</v>
      </c>
      <c r="C1" s="1" t="s">
        <v>635</v>
      </c>
      <c r="D1" s="1" t="s">
        <v>636</v>
      </c>
      <c r="E1" s="1" t="s">
        <v>637</v>
      </c>
      <c r="F1" s="1" t="s">
        <v>228</v>
      </c>
      <c r="G1" s="1" t="s">
        <v>144</v>
      </c>
    </row>
    <row r="2" spans="1:7" s="1" customFormat="1">
      <c r="A2" s="1">
        <v>55</v>
      </c>
      <c r="B2" s="1">
        <v>55</v>
      </c>
      <c r="C2" s="1" cm="1">
        <f t="array" ref="C2">GetDomainId("Dmn","Name")</f>
        <v>11</v>
      </c>
      <c r="D2" s="1">
        <v>58</v>
      </c>
      <c r="E2" s="1" cm="1">
        <f t="array" ref="E2">GetDomainId("Env","Name")</f>
        <v>11</v>
      </c>
      <c r="F2" s="1">
        <v>13</v>
      </c>
      <c r="G2" s="1">
        <v>14</v>
      </c>
    </row>
    <row r="3" spans="1:7" s="1" customFormat="1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TinyId</v>
      </c>
      <c r="E3" s="1" t="str" cm="1">
        <f t="array" ref="E3">GetValue("Dmn","Name",E2)</f>
        <v>NVARCHAR(25)</v>
      </c>
      <c r="F3" s="1" t="str" cm="1">
        <f t="array" ref="F3">GetValue("Dmn","Name",F2)</f>
        <v>NVARCHAR(256)</v>
      </c>
      <c r="G3" s="1" t="str" cm="1">
        <f t="array" ref="G3">GetValue("Dmn","Name",G2)</f>
        <v>NVARCHAR(max)</v>
      </c>
    </row>
    <row r="4" spans="1:7">
      <c r="A4">
        <f>ROW(A4)-3</f>
        <v>1</v>
      </c>
      <c r="B4">
        <v>1</v>
      </c>
      <c r="C4" t="str" cm="1">
        <f t="array" ref="C4">GetValue("Db","Name",B4)</f>
        <v>crudex</v>
      </c>
      <c r="D4">
        <v>1</v>
      </c>
      <c r="E4" t="str" cm="1">
        <f t="array" ref="E4">GetValue("Env","Name",D4)</f>
        <v>dev</v>
      </c>
      <c r="G4" t="s">
        <v>337</v>
      </c>
    </row>
    <row r="5" spans="1:7">
      <c r="A5">
        <f t="shared" ref="A5:A6" si="0">ROW(A5)-3</f>
        <v>2</v>
      </c>
      <c r="B5">
        <v>1</v>
      </c>
      <c r="C5" t="str" cm="1">
        <f t="array" ref="C5">GetValue("Db","Name",B5)</f>
        <v>crudex</v>
      </c>
      <c r="D5">
        <v>2</v>
      </c>
      <c r="E5" t="str" cm="1">
        <f t="array" ref="E5">GetValue("Env","Name",D5)</f>
        <v>hml</v>
      </c>
      <c r="G5" t="s">
        <v>338</v>
      </c>
    </row>
    <row r="6" spans="1:7">
      <c r="A6">
        <f t="shared" si="0"/>
        <v>3</v>
      </c>
      <c r="B6">
        <v>1</v>
      </c>
      <c r="C6" t="str" cm="1">
        <f t="array" ref="C6">GetValue("Db","Name",B6)</f>
        <v>crudex</v>
      </c>
      <c r="D6">
        <v>3</v>
      </c>
      <c r="E6" t="str" cm="1">
        <f t="array" ref="E6">GetValue("Env","Name",D6)</f>
        <v>prd</v>
      </c>
      <c r="G6" t="s">
        <v>339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FD4C-CA9F-4DEF-890B-3A1445ED515A}">
  <sheetPr codeName="Planilha5"/>
  <dimension ref="A1:H4"/>
  <sheetViews>
    <sheetView workbookViewId="0">
      <pane ySplit="3" topLeftCell="A4" activePane="bottomLeft" state="frozen"/>
      <selection pane="bottomLeft" activeCell="C2" sqref="C2"/>
    </sheetView>
  </sheetViews>
  <sheetFormatPr defaultRowHeight="14.4"/>
  <cols>
    <col min="1" max="1" width="5.21875" bestFit="1" customWidth="1"/>
    <col min="2" max="2" width="10.44140625" bestFit="1" customWidth="1"/>
    <col min="3" max="3" width="14.88671875" bestFit="1" customWidth="1"/>
    <col min="4" max="6" width="14" bestFit="1" customWidth="1"/>
    <col min="7" max="7" width="14.5546875" bestFit="1" customWidth="1"/>
    <col min="8" max="8" width="11.77734375" bestFit="1" customWidth="1"/>
  </cols>
  <sheetData>
    <row r="1" spans="1:8" s="1" customFormat="1">
      <c r="A1" s="1" t="s">
        <v>535</v>
      </c>
      <c r="B1" s="1" t="s">
        <v>81</v>
      </c>
      <c r="C1" s="1" t="s">
        <v>109</v>
      </c>
      <c r="D1" s="1" t="s">
        <v>252</v>
      </c>
      <c r="E1" s="1" t="s">
        <v>0</v>
      </c>
      <c r="F1" s="1" t="s">
        <v>63</v>
      </c>
      <c r="G1" s="1" t="s">
        <v>64</v>
      </c>
      <c r="H1" s="1" t="s">
        <v>23</v>
      </c>
    </row>
    <row r="2" spans="1:8" s="1" customFormat="1">
      <c r="A2" s="1">
        <v>55</v>
      </c>
      <c r="B2" s="1">
        <v>55</v>
      </c>
      <c r="C2" s="1" cm="1">
        <f t="array" ref="C2">GetDomainId("Db","Name")</f>
        <v>11</v>
      </c>
      <c r="D2" s="1">
        <v>9</v>
      </c>
      <c r="E2" s="1">
        <v>11</v>
      </c>
      <c r="F2" s="1">
        <v>12</v>
      </c>
      <c r="G2" s="1">
        <v>4</v>
      </c>
      <c r="H2" s="1">
        <v>5</v>
      </c>
    </row>
    <row r="3" spans="1:8" s="1" customFormat="1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NVARCHAR(15)</v>
      </c>
      <c r="E3" s="1" t="str" cm="1">
        <f t="array" ref="E3">GetValue("Dmn","Name",E2)</f>
        <v>NVARCHAR(25)</v>
      </c>
      <c r="F3" s="1" t="str" cm="1">
        <f t="array" ref="F3">GetValue("Dmn","Name",F2)</f>
        <v>NVARCHAR(50)</v>
      </c>
      <c r="G3" s="1" t="str" cm="1">
        <f t="array" ref="G3">GetValue("Dmn","Name",G2)</f>
        <v>TinyInteger</v>
      </c>
      <c r="H3" s="1" t="str" cm="1">
        <f t="array" ref="H3">GetValue("Dmn","Name",H2)</f>
        <v>Boolean</v>
      </c>
    </row>
    <row r="4" spans="1:8">
      <c r="A4">
        <f>ROW(A4)-3</f>
        <v>1</v>
      </c>
      <c r="B4">
        <v>1</v>
      </c>
      <c r="C4" t="str" cm="1">
        <f t="array" ref="C4">GetValue("Db","Name",B4)</f>
        <v>crudex</v>
      </c>
      <c r="D4" t="s">
        <v>253</v>
      </c>
      <c r="E4" t="s">
        <v>116</v>
      </c>
      <c r="F4" t="s">
        <v>117</v>
      </c>
      <c r="G4">
        <v>5</v>
      </c>
      <c r="H4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355A-002E-482B-A482-345E89FFFD83}">
  <sheetPr codeName="Planilha6"/>
  <dimension ref="A1:J43"/>
  <sheetViews>
    <sheetView workbookViewId="0">
      <pane ySplit="3" topLeftCell="A4" activePane="bottomLeft" state="frozen"/>
      <selection pane="bottomLeft" activeCell="C6" sqref="C6"/>
    </sheetView>
  </sheetViews>
  <sheetFormatPr defaultColWidth="8.33203125" defaultRowHeight="14.4"/>
  <cols>
    <col min="1" max="1" width="5.21875" bestFit="1" customWidth="1"/>
    <col min="2" max="2" width="8.77734375" bestFit="1" customWidth="1"/>
    <col min="3" max="3" width="13.21875" bestFit="1" customWidth="1"/>
    <col min="4" max="4" width="13.33203125" bestFit="1" customWidth="1"/>
    <col min="5" max="5" width="19.33203125" bestFit="1" customWidth="1"/>
    <col min="6" max="6" width="9.21875" bestFit="1" customWidth="1"/>
    <col min="7" max="7" width="19" bestFit="1" customWidth="1"/>
    <col min="8" max="8" width="31.6640625" bestFit="1" customWidth="1"/>
    <col min="9" max="9" width="18" bestFit="1" customWidth="1"/>
    <col min="10" max="10" width="11.77734375" bestFit="1" customWidth="1"/>
  </cols>
  <sheetData>
    <row r="1" spans="1:10" s="1" customFormat="1">
      <c r="A1" s="1" t="s">
        <v>535</v>
      </c>
      <c r="B1" s="1" t="s">
        <v>65</v>
      </c>
      <c r="C1" s="1" t="s">
        <v>108</v>
      </c>
      <c r="D1" s="1" t="s">
        <v>70</v>
      </c>
      <c r="E1" s="1" t="s">
        <v>114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23</v>
      </c>
    </row>
    <row r="2" spans="1:10" s="1" customFormat="1">
      <c r="A2" s="1">
        <v>55</v>
      </c>
      <c r="B2" s="1">
        <v>55</v>
      </c>
      <c r="C2" s="1" cm="1">
        <f t="array" ref="C2">GetDomainId("Sys","Name")</f>
        <v>11</v>
      </c>
      <c r="D2" s="1">
        <v>55</v>
      </c>
      <c r="E2" s="1" cm="1">
        <f t="array" ref="E2">GetDomainId("Mnu","Caption")</f>
        <v>10</v>
      </c>
      <c r="F2" s="1">
        <v>59</v>
      </c>
      <c r="G2" s="1">
        <v>10</v>
      </c>
      <c r="H2" s="1">
        <v>12</v>
      </c>
      <c r="I2" s="1">
        <v>12</v>
      </c>
      <c r="J2" s="1">
        <v>5</v>
      </c>
    </row>
    <row r="3" spans="1:10" s="1" customFormat="1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NVARCHAR(20)</v>
      </c>
      <c r="F3" s="1" t="str" cm="1">
        <f t="array" ref="F3">GetValue("Dmn","Name",F2)</f>
        <v>SEQUENCE</v>
      </c>
      <c r="G3" s="1" t="str" cm="1">
        <f t="array" ref="G3">GetValue("Dmn","Name",G2)</f>
        <v>NVARCHAR(20)</v>
      </c>
      <c r="H3" s="1" t="str" cm="1">
        <f t="array" ref="H3">GetValue("Dmn","Name",H2)</f>
        <v>NVARCHAR(50)</v>
      </c>
      <c r="I3" s="1" t="str" cm="1">
        <f t="array" ref="I3">GetValue("Dmn","Name",I2)</f>
        <v>NVARCHAR(50)</v>
      </c>
      <c r="J3" s="1" t="str" cm="1">
        <f t="array" ref="J3">GetValue("Dmn","Name",J2)</f>
        <v>Boolean</v>
      </c>
    </row>
    <row r="4" spans="1:10">
      <c r="A4">
        <f>ROW(A4)-3</f>
        <v>1</v>
      </c>
      <c r="B4">
        <v>1</v>
      </c>
      <c r="C4" t="str" cm="1">
        <f t="array" ref="C4">GetValue("Sys","Name",B4)</f>
        <v>crudex</v>
      </c>
      <c r="E4" t="str" cm="1">
        <f t="array" ref="E4">GetValue("Mnu","Caption",D4)</f>
        <v/>
      </c>
      <c r="F4">
        <v>5</v>
      </c>
      <c r="G4" t="s">
        <v>352</v>
      </c>
      <c r="H4" t="s">
        <v>353</v>
      </c>
      <c r="J4" t="b">
        <v>1</v>
      </c>
    </row>
    <row r="5" spans="1:10">
      <c r="A5">
        <f t="shared" ref="A5:A43" si="0">ROW(A5)-3</f>
        <v>2</v>
      </c>
      <c r="B5">
        <v>1</v>
      </c>
      <c r="C5" t="str" cm="1">
        <f t="array" ref="C5">GetValue("Sys","Name",B5)</f>
        <v>crudex</v>
      </c>
      <c r="D5">
        <v>1</v>
      </c>
      <c r="E5" t="str" cm="1">
        <f t="array" ref="E5">GetValue("Mnu","Caption",D5)</f>
        <v>Manutenção</v>
      </c>
      <c r="F5">
        <f>F4+5</f>
        <v>10</v>
      </c>
      <c r="G5" t="s">
        <v>518</v>
      </c>
      <c r="H5" t="s">
        <v>354</v>
      </c>
      <c r="J5" t="b">
        <v>1</v>
      </c>
    </row>
    <row r="6" spans="1:10">
      <c r="A6">
        <f t="shared" si="0"/>
        <v>3</v>
      </c>
      <c r="B6">
        <v>1</v>
      </c>
      <c r="C6" t="str" cm="1">
        <f t="array" ref="C6">GetValue("Sys","Name",B6)</f>
        <v>crudex</v>
      </c>
      <c r="D6">
        <v>1</v>
      </c>
      <c r="E6" t="str" cm="1">
        <f t="array" ref="E6">GetValue("Mnu","Caption",D6)</f>
        <v>Manutenção</v>
      </c>
      <c r="F6">
        <f t="shared" ref="F6:F43" si="1">F5+5</f>
        <v>15</v>
      </c>
      <c r="G6" t="s">
        <v>521</v>
      </c>
      <c r="H6" t="s">
        <v>520</v>
      </c>
      <c r="J6" t="b">
        <v>1</v>
      </c>
    </row>
    <row r="7" spans="1:10">
      <c r="A7">
        <f t="shared" si="0"/>
        <v>4</v>
      </c>
      <c r="B7">
        <v>1</v>
      </c>
      <c r="C7" t="str" cm="1">
        <f t="array" ref="C7">GetValue("Sys","Name",B7)</f>
        <v>crudex</v>
      </c>
      <c r="E7" t="str" cm="1">
        <f t="array" ref="E7">GetValue("Mnu","Caption",D7)</f>
        <v/>
      </c>
      <c r="F7">
        <f t="shared" si="1"/>
        <v>20</v>
      </c>
      <c r="G7" t="s">
        <v>519</v>
      </c>
      <c r="H7" t="s">
        <v>355</v>
      </c>
      <c r="J7" t="b">
        <v>1</v>
      </c>
    </row>
    <row r="8" spans="1:10">
      <c r="A8">
        <f t="shared" si="0"/>
        <v>5</v>
      </c>
      <c r="B8">
        <v>1</v>
      </c>
      <c r="C8" t="str" cm="1">
        <f t="array" ref="C8">GetValue("Sys","Name",B8)</f>
        <v>crudex</v>
      </c>
      <c r="D8">
        <v>1</v>
      </c>
      <c r="E8" t="str" cm="1">
        <f t="array" ref="E8">GetValue("Mnu","Caption",D8)</f>
        <v>Manutenção</v>
      </c>
      <c r="F8">
        <f t="shared" si="1"/>
        <v>25</v>
      </c>
      <c r="G8" t="s">
        <v>463</v>
      </c>
      <c r="H8" t="str">
        <f>E8&amp;" de "&amp;G8</f>
        <v>Manutenção de Categorias</v>
      </c>
      <c r="I8" t="s">
        <v>580</v>
      </c>
      <c r="J8" t="b">
        <v>1</v>
      </c>
    </row>
    <row r="9" spans="1:10">
      <c r="A9">
        <f t="shared" si="0"/>
        <v>6</v>
      </c>
      <c r="B9">
        <v>1</v>
      </c>
      <c r="C9" t="str" cm="1">
        <f t="array" ref="C9">GetValue("Sys","Name",B9)</f>
        <v>crudex</v>
      </c>
      <c r="D9">
        <v>1</v>
      </c>
      <c r="E9" t="str" cm="1">
        <f t="array" ref="E9">GetValue("Mnu","Caption",D9)</f>
        <v>Manutenção</v>
      </c>
      <c r="F9">
        <f t="shared" si="1"/>
        <v>30</v>
      </c>
      <c r="G9" t="s">
        <v>432</v>
      </c>
      <c r="H9" t="str">
        <f t="shared" ref="H9:H43" si="2">E9&amp;" de "&amp;G9</f>
        <v>Manutenção de Comparadores</v>
      </c>
      <c r="I9" t="s">
        <v>581</v>
      </c>
      <c r="J9" t="b">
        <v>1</v>
      </c>
    </row>
    <row r="10" spans="1:10">
      <c r="A10">
        <f t="shared" si="0"/>
        <v>7</v>
      </c>
      <c r="B10">
        <v>1</v>
      </c>
      <c r="C10" t="str" cm="1">
        <f t="array" ref="C10">GetValue("Sys","Name",B10)</f>
        <v>crudex</v>
      </c>
      <c r="D10">
        <v>1</v>
      </c>
      <c r="E10" t="str" cm="1">
        <f t="array" ref="E10">GetValue("Mnu","Caption",D10)</f>
        <v>Manutenção</v>
      </c>
      <c r="F10">
        <f t="shared" si="1"/>
        <v>35</v>
      </c>
      <c r="G10" t="s">
        <v>576</v>
      </c>
      <c r="H10" t="str">
        <f t="shared" si="2"/>
        <v>Manutenção de Regras</v>
      </c>
      <c r="I10" t="s">
        <v>582</v>
      </c>
      <c r="J10" t="b">
        <v>1</v>
      </c>
    </row>
    <row r="11" spans="1:10">
      <c r="A11">
        <f t="shared" si="0"/>
        <v>8</v>
      </c>
      <c r="B11">
        <v>1</v>
      </c>
      <c r="C11" t="str" cm="1">
        <f t="array" ref="C11">GetValue("Sys","Name",B11)</f>
        <v>crudex</v>
      </c>
      <c r="D11">
        <v>1</v>
      </c>
      <c r="E11" t="str" cm="1">
        <f t="array" ref="E11">GetValue("Mnu","Caption",D11)</f>
        <v>Manutenção</v>
      </c>
      <c r="F11">
        <f t="shared" si="1"/>
        <v>40</v>
      </c>
      <c r="G11" t="s">
        <v>269</v>
      </c>
      <c r="H11" t="str">
        <f t="shared" si="2"/>
        <v>Manutenção de SGBD's</v>
      </c>
      <c r="I11" t="s">
        <v>583</v>
      </c>
      <c r="J11" t="b">
        <v>1</v>
      </c>
    </row>
    <row r="12" spans="1:10">
      <c r="A12">
        <f t="shared" si="0"/>
        <v>9</v>
      </c>
      <c r="B12">
        <v>1</v>
      </c>
      <c r="C12" t="str" cm="1">
        <f t="array" ref="C12">GetValue("Sys","Name",B12)</f>
        <v>crudex</v>
      </c>
      <c r="D12">
        <v>1</v>
      </c>
      <c r="E12" t="str" cm="1">
        <f t="array" ref="E12">GetValue("Mnu","Caption",D12)</f>
        <v>Manutenção</v>
      </c>
      <c r="F12">
        <f t="shared" si="1"/>
        <v>45</v>
      </c>
      <c r="G12" t="s">
        <v>71</v>
      </c>
      <c r="H12" t="str">
        <f t="shared" si="2"/>
        <v>Manutenção de Tipos</v>
      </c>
      <c r="I12" t="s">
        <v>584</v>
      </c>
      <c r="J12" t="b">
        <v>1</v>
      </c>
    </row>
    <row r="13" spans="1:10">
      <c r="A13">
        <f t="shared" si="0"/>
        <v>10</v>
      </c>
      <c r="B13">
        <v>1</v>
      </c>
      <c r="C13" t="str" cm="1">
        <f t="array" ref="C13">GetValue("Sys","Name",B13)</f>
        <v>crudex</v>
      </c>
      <c r="D13">
        <v>1</v>
      </c>
      <c r="E13" t="str" cm="1">
        <f t="array" ref="E13">GetValue("Mnu","Caption",D13)</f>
        <v>Manutenção</v>
      </c>
      <c r="F13">
        <f t="shared" si="1"/>
        <v>50</v>
      </c>
      <c r="G13" t="s">
        <v>270</v>
      </c>
      <c r="H13" t="str">
        <f t="shared" si="2"/>
        <v>Manutenção de SGBD's x Tipos</v>
      </c>
      <c r="I13" t="s">
        <v>585</v>
      </c>
      <c r="J13" t="b">
        <v>1</v>
      </c>
    </row>
    <row r="14" spans="1:10">
      <c r="A14">
        <f t="shared" si="0"/>
        <v>11</v>
      </c>
      <c r="B14">
        <v>1</v>
      </c>
      <c r="C14" t="str" cm="1">
        <f t="array" ref="C14">GetValue("Sys","Name",B14)</f>
        <v>crudex</v>
      </c>
      <c r="D14">
        <v>1</v>
      </c>
      <c r="E14" t="str" cm="1">
        <f t="array" ref="E14">GetValue("Mnu","Caption",D14)</f>
        <v>Manutenção</v>
      </c>
      <c r="F14">
        <f t="shared" si="1"/>
        <v>55</v>
      </c>
      <c r="G14" t="s">
        <v>577</v>
      </c>
      <c r="H14" t="str">
        <f t="shared" si="2"/>
        <v>Manutenção de Proprietários</v>
      </c>
      <c r="I14" t="s">
        <v>586</v>
      </c>
      <c r="J14" t="b">
        <v>1</v>
      </c>
    </row>
    <row r="15" spans="1:10">
      <c r="A15">
        <f t="shared" si="0"/>
        <v>12</v>
      </c>
      <c r="B15">
        <v>1</v>
      </c>
      <c r="C15" t="str" cm="1">
        <f t="array" ref="C15">GetValue("Sys","Name",B15)</f>
        <v>crudex</v>
      </c>
      <c r="D15">
        <v>2</v>
      </c>
      <c r="E15" t="str" cm="1">
        <f t="array" ref="E15">GetValue("Mnu","Caption",D15)</f>
        <v>Cadastro</v>
      </c>
      <c r="F15">
        <f t="shared" si="1"/>
        <v>60</v>
      </c>
      <c r="G15" t="s">
        <v>464</v>
      </c>
      <c r="H15" t="str">
        <f t="shared" si="2"/>
        <v>Cadastro de Domínios</v>
      </c>
      <c r="I15" t="s">
        <v>587</v>
      </c>
      <c r="J15" t="b">
        <v>1</v>
      </c>
    </row>
    <row r="16" spans="1:10">
      <c r="A16">
        <f t="shared" si="0"/>
        <v>13</v>
      </c>
      <c r="B16">
        <v>1</v>
      </c>
      <c r="C16" t="str" cm="1">
        <f t="array" ref="C16">GetValue("Sys","Name",B16)</f>
        <v>crudex</v>
      </c>
      <c r="D16">
        <v>2</v>
      </c>
      <c r="E16" t="str" cm="1">
        <f t="array" ref="E16">GetValue("Mnu","Caption",D16)</f>
        <v>Cadastro</v>
      </c>
      <c r="F16">
        <f t="shared" si="1"/>
        <v>65</v>
      </c>
      <c r="G16" t="s">
        <v>465</v>
      </c>
      <c r="H16" t="str">
        <f t="shared" si="2"/>
        <v>Cadastro de Máscaras</v>
      </c>
      <c r="I16" t="s">
        <v>578</v>
      </c>
      <c r="J16" t="b">
        <v>1</v>
      </c>
    </row>
    <row r="17" spans="1:10">
      <c r="A17">
        <f t="shared" si="0"/>
        <v>14</v>
      </c>
      <c r="B17">
        <v>1</v>
      </c>
      <c r="C17" t="str" cm="1">
        <f t="array" ref="C17">GetValue("Sys","Name",B17)</f>
        <v>crudex</v>
      </c>
      <c r="D17">
        <v>2</v>
      </c>
      <c r="E17" t="str" cm="1">
        <f t="array" ref="E17">GetValue("Mnu","Caption",D17)</f>
        <v>Cadastro</v>
      </c>
      <c r="F17">
        <f t="shared" si="1"/>
        <v>70</v>
      </c>
      <c r="G17" t="s">
        <v>643</v>
      </c>
      <c r="H17" t="str">
        <f t="shared" si="2"/>
        <v>Cadastro de Mascaramentos</v>
      </c>
      <c r="I17" t="s">
        <v>579</v>
      </c>
      <c r="J17" t="b">
        <v>1</v>
      </c>
    </row>
    <row r="18" spans="1:10">
      <c r="A18">
        <f t="shared" si="0"/>
        <v>15</v>
      </c>
      <c r="B18">
        <v>1</v>
      </c>
      <c r="C18" t="str" cm="1">
        <f t="array" ref="C18">GetValue("Sys","Name",B18)</f>
        <v>crudex</v>
      </c>
      <c r="D18">
        <v>2</v>
      </c>
      <c r="E18" t="str" cm="1">
        <f t="array" ref="E18">GetValue("Mnu","Caption",D18)</f>
        <v>Cadastro</v>
      </c>
      <c r="F18">
        <f t="shared" si="1"/>
        <v>75</v>
      </c>
      <c r="G18" t="s">
        <v>271</v>
      </c>
      <c r="H18" t="str">
        <f t="shared" si="2"/>
        <v>Cadastro de Bancos-de-dados</v>
      </c>
      <c r="I18" t="s">
        <v>611</v>
      </c>
      <c r="J18" t="b">
        <v>1</v>
      </c>
    </row>
    <row r="19" spans="1:10">
      <c r="A19">
        <f t="shared" si="0"/>
        <v>16</v>
      </c>
      <c r="B19">
        <v>1</v>
      </c>
      <c r="C19" t="str" cm="1">
        <f t="array" ref="C19">GetValue("Sys","Name",B19)</f>
        <v>crudex</v>
      </c>
      <c r="D19">
        <v>2</v>
      </c>
      <c r="E19" t="str" cm="1">
        <f t="array" ref="E19">GetValue("Mnu","Caption",D19)</f>
        <v>Cadastro</v>
      </c>
      <c r="F19">
        <f>F17+5</f>
        <v>75</v>
      </c>
      <c r="G19" t="s">
        <v>613</v>
      </c>
      <c r="H19" t="s">
        <v>575</v>
      </c>
      <c r="I19" t="s">
        <v>614</v>
      </c>
      <c r="J19" t="b">
        <v>1</v>
      </c>
    </row>
    <row r="20" spans="1:10">
      <c r="A20">
        <f t="shared" si="0"/>
        <v>17</v>
      </c>
      <c r="B20">
        <v>1</v>
      </c>
      <c r="C20" t="str" cm="1">
        <f t="array" ref="C20">GetValue("Sys","Name",B20)</f>
        <v>crudex</v>
      </c>
      <c r="D20">
        <v>2</v>
      </c>
      <c r="E20" t="str" cm="1">
        <f t="array" ref="E20">GetValue("Mnu","Caption",D20)</f>
        <v>Cadastro</v>
      </c>
      <c r="F20">
        <f>F18+5</f>
        <v>80</v>
      </c>
      <c r="G20" t="s">
        <v>466</v>
      </c>
      <c r="H20" t="str">
        <f t="shared" si="2"/>
        <v>Cadastro de Conexões</v>
      </c>
      <c r="I20" t="s">
        <v>612</v>
      </c>
      <c r="J20" t="b">
        <v>1</v>
      </c>
    </row>
    <row r="21" spans="1:10">
      <c r="A21">
        <f t="shared" si="0"/>
        <v>18</v>
      </c>
      <c r="B21">
        <v>1</v>
      </c>
      <c r="C21" t="str" cm="1">
        <f t="array" ref="C21">GetValue("Sys","Name",B21)</f>
        <v>crudex</v>
      </c>
      <c r="D21">
        <v>3</v>
      </c>
      <c r="E21" t="str" cm="1">
        <f t="array" ref="E21">GetValue("Mnu","Caption",D21)</f>
        <v>Definição</v>
      </c>
      <c r="F21">
        <f>F20+5</f>
        <v>85</v>
      </c>
      <c r="G21" t="s">
        <v>75</v>
      </c>
      <c r="H21" t="str">
        <f t="shared" si="2"/>
        <v>Definição de Sistemas</v>
      </c>
      <c r="I21" t="s">
        <v>588</v>
      </c>
      <c r="J21" t="b">
        <v>1</v>
      </c>
    </row>
    <row r="22" spans="1:10">
      <c r="A22">
        <f t="shared" si="0"/>
        <v>19</v>
      </c>
      <c r="B22">
        <v>1</v>
      </c>
      <c r="C22" t="str" cm="1">
        <f t="array" ref="C22">GetValue("Sys","Name",B22)</f>
        <v>crudex</v>
      </c>
      <c r="D22">
        <v>3</v>
      </c>
      <c r="E22" t="str" cm="1">
        <f t="array" ref="E22">GetValue("Mnu","Caption",D22)</f>
        <v>Definição</v>
      </c>
      <c r="F22">
        <f>F21+5</f>
        <v>90</v>
      </c>
      <c r="G22" t="s">
        <v>74</v>
      </c>
      <c r="H22" t="str">
        <f t="shared" si="2"/>
        <v>Definição de Menus</v>
      </c>
      <c r="I22" t="s">
        <v>589</v>
      </c>
      <c r="J22" t="b">
        <v>1</v>
      </c>
    </row>
    <row r="23" spans="1:10">
      <c r="A23">
        <f t="shared" si="0"/>
        <v>20</v>
      </c>
      <c r="B23">
        <v>1</v>
      </c>
      <c r="C23" t="str" cm="1">
        <f t="array" ref="C23">GetValue("Sys","Name",B23)</f>
        <v>crudex</v>
      </c>
      <c r="D23">
        <v>3</v>
      </c>
      <c r="E23" t="str" cm="1">
        <f t="array" ref="E23">GetValue("Mnu","Caption",D23)</f>
        <v>Definição</v>
      </c>
      <c r="F23">
        <f>F22+5</f>
        <v>95</v>
      </c>
      <c r="G23" t="s">
        <v>73</v>
      </c>
      <c r="H23" t="str">
        <f t="shared" si="2"/>
        <v>Definição de Tabelas</v>
      </c>
      <c r="I23" t="s">
        <v>590</v>
      </c>
      <c r="J23" t="b">
        <v>1</v>
      </c>
    </row>
    <row r="24" spans="1:10">
      <c r="A24">
        <f t="shared" si="0"/>
        <v>21</v>
      </c>
      <c r="B24">
        <v>1</v>
      </c>
      <c r="C24" t="str" cm="1">
        <f t="array" ref="C24">GetValue("Sys","Name",B24)</f>
        <v>crudex</v>
      </c>
      <c r="D24">
        <v>3</v>
      </c>
      <c r="E24" t="str" cm="1">
        <f t="array" ref="E24">GetValue("Mnu","Caption",D24)</f>
        <v>Definição</v>
      </c>
      <c r="F24">
        <f t="shared" si="1"/>
        <v>100</v>
      </c>
      <c r="G24" t="s">
        <v>467</v>
      </c>
      <c r="H24" t="str">
        <f t="shared" si="2"/>
        <v>Definição de Colunas</v>
      </c>
      <c r="I24" t="s">
        <v>591</v>
      </c>
      <c r="J24" t="b">
        <v>1</v>
      </c>
    </row>
    <row r="25" spans="1:10">
      <c r="A25">
        <f t="shared" si="0"/>
        <v>22</v>
      </c>
      <c r="B25">
        <v>1</v>
      </c>
      <c r="C25" t="str" cm="1">
        <f t="array" ref="C25">GetValue("Sys","Name",B25)</f>
        <v>crudex</v>
      </c>
      <c r="D25">
        <v>3</v>
      </c>
      <c r="E25" t="str" cm="1">
        <f t="array" ref="E25">GetValue("Mnu","Caption",D25)</f>
        <v>Definição</v>
      </c>
      <c r="F25">
        <f t="shared" si="1"/>
        <v>105</v>
      </c>
      <c r="G25" t="s">
        <v>468</v>
      </c>
      <c r="H25" t="str">
        <f t="shared" si="2"/>
        <v>Definição de Índices</v>
      </c>
      <c r="I25" t="s">
        <v>592</v>
      </c>
      <c r="J25" t="b">
        <v>1</v>
      </c>
    </row>
    <row r="26" spans="1:10">
      <c r="A26">
        <f t="shared" si="0"/>
        <v>23</v>
      </c>
      <c r="B26">
        <v>1</v>
      </c>
      <c r="C26" t="str" cm="1">
        <f t="array" ref="C26">GetValue("Sys","Name",B26)</f>
        <v>crudex</v>
      </c>
      <c r="D26">
        <v>4</v>
      </c>
      <c r="E26" t="str" cm="1">
        <f t="array" ref="E26">GetValue("Mnu","Caption",D26)</f>
        <v>Associação</v>
      </c>
      <c r="F26">
        <f t="shared" si="1"/>
        <v>110</v>
      </c>
      <c r="G26" t="s">
        <v>540</v>
      </c>
      <c r="H26" t="str">
        <f t="shared" si="2"/>
        <v>Associação de Chaves de índices</v>
      </c>
      <c r="I26" t="s">
        <v>593</v>
      </c>
      <c r="J26" t="b">
        <v>1</v>
      </c>
    </row>
    <row r="27" spans="1:10">
      <c r="A27">
        <f t="shared" si="0"/>
        <v>24</v>
      </c>
      <c r="B27">
        <v>1</v>
      </c>
      <c r="C27" t="str" cm="1">
        <f t="array" ref="C27">GetValue("Sys","Name",B27)</f>
        <v>crudex</v>
      </c>
      <c r="D27">
        <v>4</v>
      </c>
      <c r="E27" t="str" cm="1">
        <f t="array" ref="E27">GetValue("Mnu","Caption",D27)</f>
        <v>Associação</v>
      </c>
      <c r="F27">
        <f t="shared" si="1"/>
        <v>115</v>
      </c>
      <c r="G27" t="s">
        <v>469</v>
      </c>
      <c r="H27" t="str">
        <f t="shared" si="2"/>
        <v>Associação de Não-chaves</v>
      </c>
      <c r="I27" t="s">
        <v>594</v>
      </c>
      <c r="J27" t="b">
        <v>1</v>
      </c>
    </row>
    <row r="28" spans="1:10">
      <c r="A28">
        <f t="shared" si="0"/>
        <v>25</v>
      </c>
      <c r="B28">
        <v>1</v>
      </c>
      <c r="C28" t="str" cm="1">
        <f t="array" ref="C28">GetValue("Sys","Name",B28)</f>
        <v>crudex</v>
      </c>
      <c r="D28">
        <v>4</v>
      </c>
      <c r="E28" t="str" cm="1">
        <f t="array" ref="E28">GetValue("Mnu","Caption",D28)</f>
        <v>Associação</v>
      </c>
      <c r="F28">
        <f t="shared" si="1"/>
        <v>120</v>
      </c>
      <c r="G28" t="s">
        <v>470</v>
      </c>
      <c r="H28" t="str">
        <f t="shared" si="2"/>
        <v>Associação de Unicidades</v>
      </c>
      <c r="I28" t="s">
        <v>595</v>
      </c>
      <c r="J28" t="b">
        <v>1</v>
      </c>
    </row>
    <row r="29" spans="1:10">
      <c r="A29">
        <f t="shared" si="0"/>
        <v>26</v>
      </c>
      <c r="B29">
        <v>1</v>
      </c>
      <c r="C29" t="str" cm="1">
        <f t="array" ref="C29">GetValue("Sys","Name",B29)</f>
        <v>crudex</v>
      </c>
      <c r="D29">
        <v>4</v>
      </c>
      <c r="E29" t="str" cm="1">
        <f t="array" ref="E29">GetValue("Mnu","Caption",D29)</f>
        <v>Associação</v>
      </c>
      <c r="F29">
        <f t="shared" si="1"/>
        <v>125</v>
      </c>
      <c r="G29" t="s">
        <v>480</v>
      </c>
      <c r="H29" t="str">
        <f t="shared" si="2"/>
        <v>Associação de Expressões</v>
      </c>
      <c r="I29" t="s">
        <v>596</v>
      </c>
      <c r="J29" t="b">
        <v>1</v>
      </c>
    </row>
    <row r="30" spans="1:10">
      <c r="A30">
        <f t="shared" si="0"/>
        <v>27</v>
      </c>
      <c r="B30">
        <v>1</v>
      </c>
      <c r="C30" t="str" cm="1">
        <f t="array" ref="C30">GetValue("Sys","Name",B30)</f>
        <v>crudex</v>
      </c>
      <c r="D30">
        <v>4</v>
      </c>
      <c r="E30" t="str" cm="1">
        <f t="array" ref="E30">GetValue("Mnu","Caption",D30)</f>
        <v>Associação</v>
      </c>
      <c r="F30">
        <f t="shared" si="1"/>
        <v>130</v>
      </c>
      <c r="G30" t="s">
        <v>471</v>
      </c>
      <c r="H30" t="str">
        <f t="shared" si="2"/>
        <v>Associação de Condições</v>
      </c>
      <c r="I30" t="s">
        <v>597</v>
      </c>
      <c r="J30" t="b">
        <v>1</v>
      </c>
    </row>
    <row r="31" spans="1:10">
      <c r="A31">
        <f t="shared" si="0"/>
        <v>28</v>
      </c>
      <c r="B31">
        <v>1</v>
      </c>
      <c r="C31" t="str" cm="1">
        <f t="array" ref="C31">GetValue("Sys","Name",B31)</f>
        <v>crudex</v>
      </c>
      <c r="D31">
        <v>4</v>
      </c>
      <c r="E31" t="str" cm="1">
        <f t="array" ref="E31">GetValue("Mnu","Caption",D31)</f>
        <v>Associação</v>
      </c>
      <c r="F31">
        <f t="shared" si="1"/>
        <v>135</v>
      </c>
      <c r="G31" t="s">
        <v>472</v>
      </c>
      <c r="H31" t="str">
        <f t="shared" si="2"/>
        <v>Associação de Referências</v>
      </c>
      <c r="I31" t="s">
        <v>598</v>
      </c>
      <c r="J31" t="b">
        <v>1</v>
      </c>
    </row>
    <row r="32" spans="1:10">
      <c r="A32">
        <f t="shared" si="0"/>
        <v>29</v>
      </c>
      <c r="B32">
        <v>1</v>
      </c>
      <c r="C32" t="str" cm="1">
        <f t="array" ref="C32">GetValue("Sys","Name",B32)</f>
        <v>crudex</v>
      </c>
      <c r="D32">
        <v>4</v>
      </c>
      <c r="E32" t="str" cm="1">
        <f t="array" ref="E32">GetValue("Mnu","Caption",D32)</f>
        <v>Associação</v>
      </c>
      <c r="F32">
        <f t="shared" si="1"/>
        <v>140</v>
      </c>
      <c r="G32" t="s">
        <v>538</v>
      </c>
      <c r="H32" t="str">
        <f t="shared" si="2"/>
        <v>Associação de Chaves de referências</v>
      </c>
      <c r="I32" t="s">
        <v>599</v>
      </c>
      <c r="J32" t="b">
        <v>1</v>
      </c>
    </row>
    <row r="33" spans="1:10">
      <c r="A33">
        <f t="shared" si="0"/>
        <v>30</v>
      </c>
      <c r="B33">
        <v>1</v>
      </c>
      <c r="C33" t="str" cm="1">
        <f t="array" ref="C33">GetValue("Sys","Name",B33)</f>
        <v>crudex</v>
      </c>
      <c r="D33">
        <v>4</v>
      </c>
      <c r="E33" t="str" cm="1">
        <f t="array" ref="E33">GetValue("Mnu","Caption",D33)</f>
        <v>Associação</v>
      </c>
      <c r="F33">
        <f t="shared" si="1"/>
        <v>145</v>
      </c>
      <c r="G33" t="s">
        <v>72</v>
      </c>
      <c r="H33" t="str">
        <f t="shared" si="2"/>
        <v>Associação de Usuários</v>
      </c>
      <c r="I33" t="s">
        <v>600</v>
      </c>
      <c r="J33" t="b">
        <v>1</v>
      </c>
    </row>
    <row r="34" spans="1:10">
      <c r="A34">
        <f t="shared" si="0"/>
        <v>31</v>
      </c>
      <c r="B34">
        <v>1</v>
      </c>
      <c r="C34" t="str" cm="1">
        <f t="array" ref="C34">GetValue("Sys","Name",B34)</f>
        <v>crudex</v>
      </c>
      <c r="D34">
        <v>4</v>
      </c>
      <c r="E34" t="str" cm="1">
        <f t="array" ref="E34">GetValue("Mnu","Caption",D34)</f>
        <v>Associação</v>
      </c>
      <c r="F34">
        <f t="shared" si="1"/>
        <v>150</v>
      </c>
      <c r="G34" t="s">
        <v>473</v>
      </c>
      <c r="H34" t="str">
        <f t="shared" si="2"/>
        <v>Associação de Permissões</v>
      </c>
      <c r="I34" t="s">
        <v>601</v>
      </c>
      <c r="J34" t="b">
        <v>1</v>
      </c>
    </row>
    <row r="35" spans="1:10">
      <c r="A35">
        <f t="shared" si="0"/>
        <v>32</v>
      </c>
      <c r="B35">
        <v>1</v>
      </c>
      <c r="C35" t="str" cm="1">
        <f t="array" ref="C35">GetValue("Sys","Name",B35)</f>
        <v>crudex</v>
      </c>
      <c r="D35">
        <v>4</v>
      </c>
      <c r="E35" t="str" cm="1">
        <f t="array" ref="E35">GetValue("Mnu","Caption",D35)</f>
        <v>Associação</v>
      </c>
      <c r="F35">
        <f t="shared" si="1"/>
        <v>155</v>
      </c>
      <c r="G35" t="s">
        <v>474</v>
      </c>
      <c r="H35" t="str">
        <f t="shared" si="2"/>
        <v>Associação de Propriedades</v>
      </c>
      <c r="I35" t="s">
        <v>602</v>
      </c>
      <c r="J35" t="b">
        <v>1</v>
      </c>
    </row>
    <row r="36" spans="1:10">
      <c r="A36">
        <f t="shared" si="0"/>
        <v>33</v>
      </c>
      <c r="B36">
        <v>1</v>
      </c>
      <c r="C36" t="str" cm="1">
        <f t="array" ref="C36">GetValue("Sys","Name",B36)</f>
        <v>crudex</v>
      </c>
      <c r="D36">
        <v>4</v>
      </c>
      <c r="E36" t="str" cm="1">
        <f t="array" ref="E36">GetValue("Mnu","Caption",D36)</f>
        <v>Associação</v>
      </c>
      <c r="F36">
        <f t="shared" si="1"/>
        <v>160</v>
      </c>
      <c r="G36" t="s">
        <v>475</v>
      </c>
      <c r="H36" t="str">
        <f t="shared" si="2"/>
        <v>Associação de Comportamentos</v>
      </c>
      <c r="I36" t="s">
        <v>603</v>
      </c>
      <c r="J36" t="b">
        <v>1</v>
      </c>
    </row>
    <row r="37" spans="1:10">
      <c r="A37">
        <f t="shared" si="0"/>
        <v>34</v>
      </c>
      <c r="B37">
        <v>1</v>
      </c>
      <c r="C37" t="str" cm="1">
        <f t="array" ref="C37">GetValue("Sys","Name",B37)</f>
        <v>crudex</v>
      </c>
      <c r="D37">
        <v>4</v>
      </c>
      <c r="E37" t="str" cm="1">
        <f t="array" ref="E37">GetValue("Mnu","Caption",D37)</f>
        <v>Associação</v>
      </c>
      <c r="F37">
        <f t="shared" si="1"/>
        <v>165</v>
      </c>
      <c r="G37" t="s">
        <v>476</v>
      </c>
      <c r="H37" t="str">
        <f t="shared" si="2"/>
        <v>Associação de Agendamentos</v>
      </c>
      <c r="I37" t="s">
        <v>604</v>
      </c>
      <c r="J37" t="b">
        <v>1</v>
      </c>
    </row>
    <row r="38" spans="1:10">
      <c r="A38">
        <f t="shared" si="0"/>
        <v>35</v>
      </c>
      <c r="B38">
        <v>1</v>
      </c>
      <c r="C38" t="str" cm="1">
        <f t="array" ref="C38">GetValue("Sys","Name",B38)</f>
        <v>crudex</v>
      </c>
      <c r="D38">
        <v>4</v>
      </c>
      <c r="E38" t="str" cm="1">
        <f t="array" ref="E38">GetValue("Mnu","Caption",D38)</f>
        <v>Associação</v>
      </c>
      <c r="F38">
        <f t="shared" si="1"/>
        <v>170</v>
      </c>
      <c r="G38" t="s">
        <v>515</v>
      </c>
      <c r="H38" t="str">
        <f t="shared" si="2"/>
        <v>Associação de Snipers</v>
      </c>
      <c r="I38" t="s">
        <v>605</v>
      </c>
      <c r="J38" t="b">
        <v>1</v>
      </c>
    </row>
    <row r="39" spans="1:10">
      <c r="A39">
        <f t="shared" si="0"/>
        <v>36</v>
      </c>
      <c r="B39">
        <v>1</v>
      </c>
      <c r="C39" t="str" cm="1">
        <f t="array" ref="C39">GetValue("Sys","Name",B39)</f>
        <v>crudex</v>
      </c>
      <c r="D39">
        <v>4</v>
      </c>
      <c r="E39" t="str" cm="1">
        <f t="array" ref="E39">GetValue("Mnu","Caption",D39)</f>
        <v>Associação</v>
      </c>
      <c r="F39">
        <f t="shared" si="1"/>
        <v>175</v>
      </c>
      <c r="G39" t="s">
        <v>390</v>
      </c>
      <c r="H39" t="str">
        <f t="shared" si="2"/>
        <v>Associação de Scripts</v>
      </c>
      <c r="I39" t="s">
        <v>606</v>
      </c>
      <c r="J39" t="b">
        <v>1</v>
      </c>
    </row>
    <row r="40" spans="1:10">
      <c r="A40">
        <f t="shared" si="0"/>
        <v>37</v>
      </c>
      <c r="B40">
        <v>1</v>
      </c>
      <c r="C40" t="str" cm="1">
        <f t="array" ref="C40">GetValue("Sys","Name",B40)</f>
        <v>crudex</v>
      </c>
      <c r="D40">
        <v>4</v>
      </c>
      <c r="E40" t="str" cm="1">
        <f t="array" ref="E40">GetValue("Mnu","Caption",D40)</f>
        <v>Associação</v>
      </c>
      <c r="F40">
        <f t="shared" si="1"/>
        <v>180</v>
      </c>
      <c r="G40" t="s">
        <v>514</v>
      </c>
      <c r="H40" t="str">
        <f t="shared" si="2"/>
        <v>Associação de URL's</v>
      </c>
      <c r="I40" t="s">
        <v>607</v>
      </c>
      <c r="J40" t="b">
        <v>1</v>
      </c>
    </row>
    <row r="41" spans="1:10">
      <c r="A41">
        <f t="shared" si="0"/>
        <v>38</v>
      </c>
      <c r="B41">
        <v>1</v>
      </c>
      <c r="C41" t="str" cm="1">
        <f t="array" ref="C41">GetValue("Sys","Name",B41)</f>
        <v>crudex</v>
      </c>
      <c r="D41">
        <v>4</v>
      </c>
      <c r="E41" t="str" cm="1">
        <f t="array" ref="E41">GetValue("Mnu","Caption",D41)</f>
        <v>Associação</v>
      </c>
      <c r="F41">
        <f t="shared" si="1"/>
        <v>185</v>
      </c>
      <c r="G41" t="s">
        <v>477</v>
      </c>
      <c r="H41" t="str">
        <f t="shared" si="2"/>
        <v>Associação de Sessões</v>
      </c>
      <c r="I41" t="s">
        <v>608</v>
      </c>
      <c r="J41" t="b">
        <v>1</v>
      </c>
    </row>
    <row r="42" spans="1:10">
      <c r="A42">
        <f t="shared" si="0"/>
        <v>39</v>
      </c>
      <c r="B42">
        <v>1</v>
      </c>
      <c r="C42" t="str" cm="1">
        <f t="array" ref="C42">GetValue("Sys","Name",B42)</f>
        <v>crudex</v>
      </c>
      <c r="D42">
        <v>4</v>
      </c>
      <c r="E42" t="str" cm="1">
        <f t="array" ref="E42">GetValue("Mnu","Caption",D42)</f>
        <v>Associação</v>
      </c>
      <c r="F42">
        <f t="shared" si="1"/>
        <v>190</v>
      </c>
      <c r="G42" t="s">
        <v>478</v>
      </c>
      <c r="H42" t="str">
        <f t="shared" si="2"/>
        <v>Associação de Transações</v>
      </c>
      <c r="I42" t="s">
        <v>609</v>
      </c>
      <c r="J42" t="b">
        <v>1</v>
      </c>
    </row>
    <row r="43" spans="1:10">
      <c r="A43">
        <f t="shared" si="0"/>
        <v>40</v>
      </c>
      <c r="B43">
        <v>1</v>
      </c>
      <c r="C43" t="str" cm="1">
        <f t="array" ref="C43">GetValue("Sys","Name",B43)</f>
        <v>crudex</v>
      </c>
      <c r="D43">
        <v>4</v>
      </c>
      <c r="E43" t="str" cm="1">
        <f t="array" ref="E43">GetValue("Mnu","Caption",D43)</f>
        <v>Associação</v>
      </c>
      <c r="F43">
        <f t="shared" si="1"/>
        <v>195</v>
      </c>
      <c r="G43" t="s">
        <v>479</v>
      </c>
      <c r="H43" t="str">
        <f t="shared" si="2"/>
        <v>Associação de Operações</v>
      </c>
      <c r="I43" t="s">
        <v>610</v>
      </c>
      <c r="J43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F3B4-9AEE-49A0-9C92-3C34E29F332D}">
  <sheetPr codeName="planTbl"/>
  <dimension ref="A1:G42"/>
  <sheetViews>
    <sheetView zoomScaleNormal="100" workbookViewId="0">
      <pane ySplit="3" topLeftCell="A22" activePane="bottomLeft" state="frozen"/>
      <selection pane="bottomLeft" activeCell="C3" sqref="C3"/>
    </sheetView>
  </sheetViews>
  <sheetFormatPr defaultColWidth="10.5546875" defaultRowHeight="14.4"/>
  <cols>
    <col min="1" max="1" width="5.21875" bestFit="1" customWidth="1"/>
    <col min="2" max="2" width="10.44140625" bestFit="1" customWidth="1"/>
    <col min="3" max="3" width="14.88671875" bestFit="1" customWidth="1"/>
    <col min="4" max="5" width="14" bestFit="1" customWidth="1"/>
    <col min="6" max="6" width="30.109375" bestFit="1" customWidth="1"/>
    <col min="7" max="7" width="17.44140625" bestFit="1" customWidth="1"/>
  </cols>
  <sheetData>
    <row r="1" spans="1:7" s="1" customFormat="1">
      <c r="A1" s="1" t="s">
        <v>535</v>
      </c>
      <c r="B1" s="1" t="s">
        <v>81</v>
      </c>
      <c r="C1" s="1" t="s">
        <v>109</v>
      </c>
      <c r="D1" s="1" t="s">
        <v>0</v>
      </c>
      <c r="E1" s="1" t="s">
        <v>80</v>
      </c>
      <c r="F1" s="1" t="s">
        <v>63</v>
      </c>
      <c r="G1" s="1" t="s">
        <v>646</v>
      </c>
    </row>
    <row r="2" spans="1:7" s="1" customFormat="1">
      <c r="A2" s="1">
        <v>55</v>
      </c>
      <c r="B2" s="1">
        <v>55</v>
      </c>
      <c r="C2" s="1" cm="1">
        <f t="array" ref="C2">GetDomainId("Db","Name")</f>
        <v>11</v>
      </c>
      <c r="D2" s="1">
        <v>11</v>
      </c>
      <c r="E2" s="1">
        <v>10</v>
      </c>
      <c r="F2" s="1">
        <v>12</v>
      </c>
      <c r="G2" s="1">
        <v>5</v>
      </c>
    </row>
    <row r="3" spans="1:7" s="1" customFormat="1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NVARCHAR(25)</v>
      </c>
      <c r="E3" s="1" t="str" cm="1">
        <f t="array" ref="E3">GetValue("Dmn","Name",E2)</f>
        <v>NVARCHAR(20)</v>
      </c>
      <c r="F3" s="1" t="str" cm="1">
        <f t="array" ref="F3">GetValue("Dmn","Name",F2)</f>
        <v>NVARCHAR(50)</v>
      </c>
      <c r="G3" s="1" t="str" cm="1">
        <f t="array" ref="G3">GetValue("Dmn","Name",G2)</f>
        <v>Boolean</v>
      </c>
    </row>
    <row r="4" spans="1:7">
      <c r="A4">
        <f>ROW(A4)-3</f>
        <v>1</v>
      </c>
      <c r="B4">
        <v>1</v>
      </c>
      <c r="C4" t="str" cm="1">
        <f t="array" ref="C4">GetValue("Db","Name",B4)</f>
        <v>crudex</v>
      </c>
      <c r="D4" t="s">
        <v>91</v>
      </c>
      <c r="E4" t="s">
        <v>237</v>
      </c>
      <c r="F4" t="s">
        <v>481</v>
      </c>
    </row>
    <row r="5" spans="1:7">
      <c r="A5">
        <f t="shared" ref="A5:A42" si="0">ROW(A5)-3</f>
        <v>2</v>
      </c>
      <c r="B5">
        <v>1</v>
      </c>
      <c r="C5" t="str" cm="1">
        <f t="array" ref="C5">GetValue("Db","Name",B5)</f>
        <v>crudex</v>
      </c>
      <c r="D5" t="s">
        <v>430</v>
      </c>
      <c r="E5" t="s">
        <v>431</v>
      </c>
      <c r="F5" t="s">
        <v>432</v>
      </c>
    </row>
    <row r="6" spans="1:7">
      <c r="A6">
        <f t="shared" si="0"/>
        <v>3</v>
      </c>
      <c r="B6">
        <v>1</v>
      </c>
      <c r="C6" t="str" cm="1">
        <f t="array" ref="C6">GetValue("Db","Name",B6)</f>
        <v>crudex</v>
      </c>
      <c r="D6" t="s">
        <v>506</v>
      </c>
      <c r="E6" t="s">
        <v>507</v>
      </c>
      <c r="F6" t="s">
        <v>433</v>
      </c>
    </row>
    <row r="7" spans="1:7">
      <c r="A7">
        <f t="shared" si="0"/>
        <v>4</v>
      </c>
      <c r="B7">
        <v>1</v>
      </c>
      <c r="C7" t="str" cm="1">
        <f t="array" ref="C7">GetValue("Db","Name",B7)</f>
        <v>crudex</v>
      </c>
      <c r="D7" t="s">
        <v>264</v>
      </c>
      <c r="E7" t="s">
        <v>266</v>
      </c>
      <c r="F7" t="s">
        <v>269</v>
      </c>
    </row>
    <row r="8" spans="1:7">
      <c r="A8">
        <f t="shared" si="0"/>
        <v>5</v>
      </c>
      <c r="B8">
        <v>1</v>
      </c>
      <c r="C8" t="str" cm="1">
        <f t="array" ref="C8">GetValue("Db","Name",B8)</f>
        <v>crudex</v>
      </c>
      <c r="D8" t="s">
        <v>82</v>
      </c>
      <c r="E8" t="s">
        <v>238</v>
      </c>
      <c r="F8" t="s">
        <v>71</v>
      </c>
    </row>
    <row r="9" spans="1:7">
      <c r="A9">
        <f t="shared" si="0"/>
        <v>6</v>
      </c>
      <c r="B9">
        <v>1</v>
      </c>
      <c r="C9" t="str" cm="1">
        <f t="array" ref="C9">GetValue("Db","Name",B9)</f>
        <v>crudex</v>
      </c>
      <c r="D9" t="s">
        <v>502</v>
      </c>
      <c r="E9" t="s">
        <v>503</v>
      </c>
      <c r="F9" t="s">
        <v>270</v>
      </c>
    </row>
    <row r="10" spans="1:7">
      <c r="A10">
        <f t="shared" si="0"/>
        <v>7</v>
      </c>
      <c r="B10">
        <v>1</v>
      </c>
      <c r="C10" t="str" cm="1">
        <f t="array" ref="C10">GetValue("Db","Name",B10)</f>
        <v>crudex</v>
      </c>
      <c r="D10" t="s">
        <v>564</v>
      </c>
      <c r="E10" t="s">
        <v>565</v>
      </c>
      <c r="F10" t="s">
        <v>566</v>
      </c>
    </row>
    <row r="11" spans="1:7">
      <c r="A11">
        <f t="shared" si="0"/>
        <v>8</v>
      </c>
      <c r="B11">
        <v>1</v>
      </c>
      <c r="C11" t="str" cm="1">
        <f t="array" ref="C11">GetValue("Db","Name",B11)</f>
        <v>crudex</v>
      </c>
      <c r="D11" t="s">
        <v>83</v>
      </c>
      <c r="E11" t="s">
        <v>240</v>
      </c>
      <c r="F11" t="s">
        <v>482</v>
      </c>
      <c r="G11" t="b">
        <v>1</v>
      </c>
    </row>
    <row r="12" spans="1:7">
      <c r="A12">
        <f t="shared" si="0"/>
        <v>9</v>
      </c>
      <c r="B12">
        <v>1</v>
      </c>
      <c r="C12" t="str" cm="1">
        <f t="array" ref="C12">GetValue("Db","Name",B12)</f>
        <v>crudex</v>
      </c>
      <c r="D12" t="s">
        <v>84</v>
      </c>
      <c r="E12" t="s">
        <v>239</v>
      </c>
      <c r="F12" t="s">
        <v>483</v>
      </c>
      <c r="G12" t="b">
        <v>1</v>
      </c>
    </row>
    <row r="13" spans="1:7">
      <c r="A13">
        <f t="shared" si="0"/>
        <v>10</v>
      </c>
      <c r="B13">
        <v>1</v>
      </c>
      <c r="C13" t="str" cm="1">
        <f t="array" ref="C13">GetValue("Db","Name",B13)</f>
        <v>crudex</v>
      </c>
      <c r="D13" t="s">
        <v>504</v>
      </c>
      <c r="E13" t="s">
        <v>505</v>
      </c>
      <c r="F13" t="s">
        <v>462</v>
      </c>
    </row>
    <row r="14" spans="1:7">
      <c r="A14">
        <f t="shared" si="0"/>
        <v>11</v>
      </c>
      <c r="B14">
        <v>1</v>
      </c>
      <c r="C14" t="str" cm="1">
        <f t="array" ref="C14">GetValue("Db","Name",B14)</f>
        <v>crudex</v>
      </c>
      <c r="D14" t="s">
        <v>669</v>
      </c>
      <c r="E14" t="s">
        <v>671</v>
      </c>
      <c r="F14" t="s">
        <v>670</v>
      </c>
      <c r="G14" t="b">
        <v>0</v>
      </c>
    </row>
    <row r="15" spans="1:7">
      <c r="A15">
        <f t="shared" si="0"/>
        <v>12</v>
      </c>
      <c r="B15">
        <v>1</v>
      </c>
      <c r="C15" t="str" cm="1">
        <f t="array" ref="C15">GetValue("Db","Name",B15)</f>
        <v>crudex</v>
      </c>
      <c r="D15" t="s">
        <v>87</v>
      </c>
      <c r="E15" t="s">
        <v>244</v>
      </c>
      <c r="F15" t="s">
        <v>271</v>
      </c>
      <c r="G15" t="b">
        <v>0</v>
      </c>
    </row>
    <row r="16" spans="1:7">
      <c r="A16">
        <f t="shared" si="0"/>
        <v>13</v>
      </c>
      <c r="B16">
        <v>1</v>
      </c>
      <c r="C16" t="str" cm="1">
        <f t="array" ref="C16">GetValue("Db","Name",B16)</f>
        <v>crudex</v>
      </c>
      <c r="D16" t="s">
        <v>573</v>
      </c>
      <c r="E16" t="s">
        <v>574</v>
      </c>
      <c r="F16" t="s">
        <v>575</v>
      </c>
      <c r="G16" t="b">
        <v>1</v>
      </c>
    </row>
    <row r="17" spans="1:6">
      <c r="A17">
        <f t="shared" si="0"/>
        <v>14</v>
      </c>
      <c r="B17">
        <v>1</v>
      </c>
      <c r="C17" t="str" cm="1">
        <f t="array" ref="C17">GetValue("Db","Name",B17)</f>
        <v>crudex</v>
      </c>
      <c r="D17" t="s">
        <v>640</v>
      </c>
      <c r="E17" t="s">
        <v>638</v>
      </c>
      <c r="F17" t="s">
        <v>639</v>
      </c>
    </row>
    <row r="18" spans="1:6">
      <c r="A18">
        <f t="shared" si="0"/>
        <v>15</v>
      </c>
      <c r="B18">
        <v>1</v>
      </c>
      <c r="C18" t="str" cm="1">
        <f t="array" ref="C18">GetValue("Db","Name",B18)</f>
        <v>crudex</v>
      </c>
      <c r="D18" t="s">
        <v>85</v>
      </c>
      <c r="E18" t="s">
        <v>241</v>
      </c>
      <c r="F18" t="s">
        <v>75</v>
      </c>
    </row>
    <row r="19" spans="1:6">
      <c r="A19">
        <f t="shared" si="0"/>
        <v>16</v>
      </c>
      <c r="B19">
        <v>1</v>
      </c>
      <c r="C19" t="str" cm="1">
        <f t="array" ref="C19">GetValue("Db","Name",B19)</f>
        <v>crudex</v>
      </c>
      <c r="D19" t="s">
        <v>74</v>
      </c>
      <c r="E19" t="s">
        <v>242</v>
      </c>
      <c r="F19" t="s">
        <v>484</v>
      </c>
    </row>
    <row r="20" spans="1:6">
      <c r="A20">
        <f t="shared" si="0"/>
        <v>17</v>
      </c>
      <c r="B20">
        <v>1</v>
      </c>
      <c r="C20" t="str" cm="1">
        <f t="array" ref="C20">GetValue("Db","Name",B20)</f>
        <v>crudex</v>
      </c>
      <c r="D20" t="s">
        <v>88</v>
      </c>
      <c r="E20" t="s">
        <v>245</v>
      </c>
      <c r="F20" t="s">
        <v>73</v>
      </c>
    </row>
    <row r="21" spans="1:6">
      <c r="A21">
        <f t="shared" si="0"/>
        <v>18</v>
      </c>
      <c r="B21">
        <v>1</v>
      </c>
      <c r="C21" t="str" cm="1">
        <f t="array" ref="C21">GetValue("Db","Name",B21)</f>
        <v>crudex</v>
      </c>
      <c r="D21" t="s">
        <v>89</v>
      </c>
      <c r="E21" t="s">
        <v>246</v>
      </c>
      <c r="F21" t="s">
        <v>485</v>
      </c>
    </row>
    <row r="22" spans="1:6">
      <c r="A22">
        <f t="shared" si="0"/>
        <v>19</v>
      </c>
      <c r="B22">
        <v>1</v>
      </c>
      <c r="C22" t="str" cm="1">
        <f t="array" ref="C22">GetValue("Db","Name",B22)</f>
        <v>crudex</v>
      </c>
      <c r="D22" t="s">
        <v>90</v>
      </c>
      <c r="E22" t="s">
        <v>247</v>
      </c>
      <c r="F22" t="s">
        <v>486</v>
      </c>
    </row>
    <row r="23" spans="1:6" ht="13.95" customHeight="1">
      <c r="A23">
        <f t="shared" si="0"/>
        <v>20</v>
      </c>
      <c r="B23">
        <v>1</v>
      </c>
      <c r="C23" t="str" cm="1">
        <f t="array" ref="C23">GetValue("Db","Name",B23)</f>
        <v>crudex</v>
      </c>
      <c r="D23" t="s">
        <v>98</v>
      </c>
      <c r="E23" t="s">
        <v>267</v>
      </c>
      <c r="F23" t="s">
        <v>487</v>
      </c>
    </row>
    <row r="24" spans="1:6" ht="13.95" customHeight="1">
      <c r="A24">
        <f t="shared" si="0"/>
        <v>21</v>
      </c>
      <c r="B24">
        <v>1</v>
      </c>
      <c r="C24" t="str" cm="1">
        <f t="array" ref="C24">GetValue("Db","Name",B24)</f>
        <v>crudex</v>
      </c>
      <c r="D24" t="s">
        <v>349</v>
      </c>
      <c r="E24" t="s">
        <v>350</v>
      </c>
      <c r="F24" t="s">
        <v>488</v>
      </c>
    </row>
    <row r="25" spans="1:6">
      <c r="A25">
        <f t="shared" si="0"/>
        <v>22</v>
      </c>
      <c r="B25">
        <v>1</v>
      </c>
      <c r="C25" t="str" cm="1">
        <f t="array" ref="C25">GetValue("Db","Name",B25)</f>
        <v>crudex</v>
      </c>
      <c r="D25" t="s">
        <v>140</v>
      </c>
      <c r="E25" t="s">
        <v>251</v>
      </c>
      <c r="F25" t="s">
        <v>489</v>
      </c>
    </row>
    <row r="26" spans="1:6">
      <c r="A26">
        <f t="shared" si="0"/>
        <v>23</v>
      </c>
      <c r="B26">
        <v>1</v>
      </c>
      <c r="C26" t="str" cm="1">
        <f t="array" ref="C26">GetValue("Db","Name",B26)</f>
        <v>crudex</v>
      </c>
      <c r="D26" t="s">
        <v>522</v>
      </c>
      <c r="E26" t="s">
        <v>348</v>
      </c>
      <c r="F26" t="s">
        <v>490</v>
      </c>
    </row>
    <row r="27" spans="1:6">
      <c r="A27">
        <f t="shared" si="0"/>
        <v>24</v>
      </c>
      <c r="B27">
        <v>1</v>
      </c>
      <c r="C27" t="str" cm="1">
        <f t="array" ref="C27">GetValue("Db","Name",B27)</f>
        <v>crudex</v>
      </c>
      <c r="D27" t="s">
        <v>265</v>
      </c>
      <c r="E27" t="s">
        <v>268</v>
      </c>
      <c r="F27" t="s">
        <v>491</v>
      </c>
    </row>
    <row r="28" spans="1:6">
      <c r="A28">
        <f t="shared" si="0"/>
        <v>25</v>
      </c>
      <c r="B28">
        <v>1</v>
      </c>
      <c r="C28" t="str" cm="1">
        <f t="array" ref="C28">GetValue("Db","Name",B28)</f>
        <v>crudex</v>
      </c>
      <c r="D28" t="s">
        <v>372</v>
      </c>
      <c r="E28" t="s">
        <v>371</v>
      </c>
      <c r="F28" t="s">
        <v>539</v>
      </c>
    </row>
    <row r="29" spans="1:6">
      <c r="A29">
        <f t="shared" si="0"/>
        <v>26</v>
      </c>
      <c r="B29">
        <v>1</v>
      </c>
      <c r="C29" t="str" cm="1">
        <f t="array" ref="C29">GetValue("Db","Name",B29)</f>
        <v>crudex</v>
      </c>
      <c r="D29" t="s">
        <v>536</v>
      </c>
      <c r="E29" t="s">
        <v>537</v>
      </c>
      <c r="F29" t="s">
        <v>538</v>
      </c>
    </row>
    <row r="30" spans="1:6">
      <c r="A30">
        <f t="shared" si="0"/>
        <v>27</v>
      </c>
      <c r="B30">
        <v>1</v>
      </c>
      <c r="C30" t="str" cm="1">
        <f t="array" ref="C30">GetValue("Db","Name",B30)</f>
        <v>crudex</v>
      </c>
      <c r="D30" t="s">
        <v>86</v>
      </c>
      <c r="E30" t="s">
        <v>243</v>
      </c>
      <c r="F30" t="s">
        <v>72</v>
      </c>
    </row>
    <row r="31" spans="1:6">
      <c r="A31">
        <f t="shared" si="0"/>
        <v>28</v>
      </c>
      <c r="B31">
        <v>1</v>
      </c>
      <c r="C31" t="str" cm="1">
        <f t="array" ref="C31">GetValue("Db","Name",B31)</f>
        <v>crudex</v>
      </c>
      <c r="D31" t="s">
        <v>366</v>
      </c>
      <c r="E31" t="s">
        <v>449</v>
      </c>
      <c r="F31" t="s">
        <v>492</v>
      </c>
    </row>
    <row r="32" spans="1:6">
      <c r="A32">
        <f t="shared" si="0"/>
        <v>29</v>
      </c>
      <c r="B32">
        <v>1</v>
      </c>
      <c r="C32" t="str" cm="1">
        <f t="array" ref="C32">GetValue("Db","Name",B32)</f>
        <v>crudex</v>
      </c>
      <c r="D32" t="s">
        <v>321</v>
      </c>
      <c r="E32" t="s">
        <v>320</v>
      </c>
      <c r="F32" t="s">
        <v>325</v>
      </c>
    </row>
    <row r="33" spans="1:6">
      <c r="A33">
        <f t="shared" si="0"/>
        <v>30</v>
      </c>
      <c r="B33">
        <v>1</v>
      </c>
      <c r="C33" t="str" cm="1">
        <f t="array" ref="C33">GetValue("Db","Name",B33)</f>
        <v>crudex</v>
      </c>
      <c r="D33" t="s">
        <v>323</v>
      </c>
      <c r="E33" t="s">
        <v>324</v>
      </c>
      <c r="F33" t="s">
        <v>493</v>
      </c>
    </row>
    <row r="34" spans="1:6">
      <c r="A34">
        <f t="shared" si="0"/>
        <v>31</v>
      </c>
      <c r="B34">
        <v>1</v>
      </c>
      <c r="C34" t="str" cm="1">
        <f t="array" ref="C34">GetValue("Db","Name",B34)</f>
        <v>crudex</v>
      </c>
      <c r="D34" t="s">
        <v>390</v>
      </c>
      <c r="E34" t="s">
        <v>391</v>
      </c>
      <c r="F34" t="s">
        <v>659</v>
      </c>
    </row>
    <row r="35" spans="1:6">
      <c r="A35">
        <f t="shared" si="0"/>
        <v>32</v>
      </c>
      <c r="B35">
        <v>1</v>
      </c>
      <c r="C35" t="str" cm="1">
        <f t="array" ref="C35">GetValue("Db","Name",B35)</f>
        <v>crudex</v>
      </c>
      <c r="D35" t="s">
        <v>661</v>
      </c>
      <c r="E35" t="s">
        <v>662</v>
      </c>
      <c r="F35" t="s">
        <v>660</v>
      </c>
    </row>
    <row r="36" spans="1:6">
      <c r="A36">
        <f t="shared" si="0"/>
        <v>33</v>
      </c>
      <c r="B36">
        <v>1</v>
      </c>
      <c r="C36" t="str" cm="1">
        <f t="array" ref="C36">GetValue("Db","Name",B36)</f>
        <v>crudex</v>
      </c>
      <c r="D36" t="s">
        <v>515</v>
      </c>
      <c r="E36" t="s">
        <v>516</v>
      </c>
      <c r="F36" t="s">
        <v>658</v>
      </c>
    </row>
    <row r="37" spans="1:6">
      <c r="A37">
        <f t="shared" si="0"/>
        <v>34</v>
      </c>
      <c r="B37">
        <v>1</v>
      </c>
      <c r="C37" t="str" cm="1">
        <f t="array" ref="C37">GetValue("Db","Name",B37)</f>
        <v>crudex</v>
      </c>
      <c r="D37" t="s">
        <v>388</v>
      </c>
      <c r="E37" t="s">
        <v>389</v>
      </c>
      <c r="F37" t="s">
        <v>657</v>
      </c>
    </row>
    <row r="38" spans="1:6">
      <c r="A38">
        <f t="shared" si="0"/>
        <v>35</v>
      </c>
      <c r="B38">
        <v>1</v>
      </c>
      <c r="C38" t="str" cm="1">
        <f t="array" ref="C38">GetValue("Db","Name",B38)</f>
        <v>crudex</v>
      </c>
      <c r="D38" t="s">
        <v>141</v>
      </c>
      <c r="E38" t="s">
        <v>248</v>
      </c>
      <c r="F38" t="s">
        <v>494</v>
      </c>
    </row>
    <row r="39" spans="1:6">
      <c r="A39">
        <f t="shared" si="0"/>
        <v>36</v>
      </c>
      <c r="B39">
        <v>1</v>
      </c>
      <c r="C39" t="str" cm="1">
        <f t="array" ref="C39">GetValue("Db","Name",B39)</f>
        <v>crudex</v>
      </c>
      <c r="D39" t="s">
        <v>122</v>
      </c>
      <c r="E39" t="s">
        <v>249</v>
      </c>
      <c r="F39" t="s">
        <v>368</v>
      </c>
    </row>
    <row r="40" spans="1:6">
      <c r="A40">
        <f t="shared" si="0"/>
        <v>37</v>
      </c>
      <c r="B40">
        <v>1</v>
      </c>
      <c r="C40" t="str" cm="1">
        <f t="array" ref="C40">GetValue("Db","Name",B40)</f>
        <v>crudex</v>
      </c>
      <c r="D40" t="s">
        <v>123</v>
      </c>
      <c r="E40" t="s">
        <v>250</v>
      </c>
      <c r="F40" t="s">
        <v>367</v>
      </c>
    </row>
    <row r="41" spans="1:6">
      <c r="A41">
        <f t="shared" si="0"/>
        <v>38</v>
      </c>
      <c r="B41">
        <v>1</v>
      </c>
      <c r="C41" t="str" cm="1">
        <f t="array" ref="C41">GetValue("Db","Name",B41)</f>
        <v>crudex</v>
      </c>
      <c r="D41" t="s">
        <v>647</v>
      </c>
      <c r="E41" t="s">
        <v>648</v>
      </c>
      <c r="F41" t="s">
        <v>649</v>
      </c>
    </row>
    <row r="42" spans="1:6">
      <c r="A42">
        <f t="shared" si="0"/>
        <v>39</v>
      </c>
      <c r="B42">
        <v>1</v>
      </c>
      <c r="C42" t="str" cm="1">
        <f t="array" ref="C42">GetValue("Db","Name",B42)</f>
        <v>crudex</v>
      </c>
      <c r="D42" t="s">
        <v>654</v>
      </c>
      <c r="E42" t="s">
        <v>655</v>
      </c>
      <c r="F42" t="s">
        <v>656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FE00-DE64-4A94-9BDE-C20DE7BA3DCF}">
  <sheetPr codeName="planColumns"/>
  <dimension ref="A1:U255"/>
  <sheetViews>
    <sheetView zoomScaleNormal="100" workbookViewId="0">
      <pane ySplit="3" topLeftCell="A4" activePane="bottomLeft" state="frozen"/>
      <selection pane="bottomLeft" activeCell="C13" sqref="C13"/>
    </sheetView>
  </sheetViews>
  <sheetFormatPr defaultRowHeight="14.4"/>
  <cols>
    <col min="1" max="1" width="5.21875" bestFit="1" customWidth="1"/>
    <col min="2" max="2" width="7.21875" bestFit="1" customWidth="1"/>
    <col min="3" max="3" width="14" bestFit="1" customWidth="1"/>
    <col min="4" max="4" width="9.21875" bestFit="1" customWidth="1"/>
    <col min="5" max="5" width="15.77734375" bestFit="1" customWidth="1"/>
    <col min="6" max="6" width="9.21875" bestFit="1" customWidth="1"/>
    <col min="7" max="9" width="23.88671875" bestFit="1" customWidth="1"/>
    <col min="10" max="10" width="12.6640625" bestFit="1" customWidth="1"/>
    <col min="11" max="11" width="11.77734375" bestFit="1" customWidth="1"/>
    <col min="12" max="12" width="11.88671875" bestFit="1" customWidth="1"/>
    <col min="13" max="13" width="15.109375" bestFit="1" customWidth="1"/>
    <col min="14" max="14" width="8.44140625" bestFit="1" customWidth="1"/>
    <col min="15" max="17" width="11.77734375" bestFit="1" customWidth="1"/>
    <col min="18" max="18" width="8.6640625" bestFit="1" customWidth="1"/>
    <col min="19" max="19" width="10.88671875" bestFit="1" customWidth="1"/>
    <col min="20" max="20" width="9.44140625" bestFit="1" customWidth="1"/>
    <col min="21" max="21" width="7.88671875" bestFit="1" customWidth="1"/>
  </cols>
  <sheetData>
    <row r="1" spans="1:21" s="1" customFormat="1">
      <c r="A1" s="1" t="s">
        <v>535</v>
      </c>
      <c r="B1" s="1" t="s">
        <v>92</v>
      </c>
      <c r="C1" s="1" t="s">
        <v>370</v>
      </c>
      <c r="D1" s="1" t="s">
        <v>93</v>
      </c>
      <c r="E1" s="1" t="s">
        <v>111</v>
      </c>
      <c r="F1" s="1" t="s">
        <v>66</v>
      </c>
      <c r="G1" s="1" t="s">
        <v>0</v>
      </c>
      <c r="H1" s="1" t="s">
        <v>63</v>
      </c>
      <c r="I1" s="1" t="s">
        <v>67</v>
      </c>
      <c r="J1" s="1" t="s">
        <v>668</v>
      </c>
      <c r="K1" s="1" t="s">
        <v>403</v>
      </c>
      <c r="L1" s="1" t="s">
        <v>666</v>
      </c>
      <c r="M1" s="1" t="s">
        <v>632</v>
      </c>
      <c r="N1" s="1" t="s">
        <v>94</v>
      </c>
      <c r="O1" s="1" t="s">
        <v>404</v>
      </c>
      <c r="P1" s="1" t="s">
        <v>405</v>
      </c>
      <c r="Q1" s="1" t="s">
        <v>406</v>
      </c>
      <c r="R1" s="1" t="s">
        <v>409</v>
      </c>
      <c r="S1" s="1" t="s">
        <v>408</v>
      </c>
      <c r="T1" s="1" t="s">
        <v>407</v>
      </c>
      <c r="U1" s="1" t="s">
        <v>517</v>
      </c>
    </row>
    <row r="2" spans="1:21" s="1" customFormat="1">
      <c r="A2" s="1">
        <v>55</v>
      </c>
      <c r="B2" s="1">
        <v>55</v>
      </c>
      <c r="C2" s="1" cm="1">
        <f t="array" ref="C2">GetDomainId("Tbl","Name")</f>
        <v>11</v>
      </c>
      <c r="D2" s="1">
        <v>55</v>
      </c>
      <c r="E2" s="1" cm="1">
        <f t="array" ref="E2">GetDomainId("Dmn","Name")</f>
        <v>11</v>
      </c>
      <c r="F2" s="1">
        <v>59</v>
      </c>
      <c r="G2" s="1">
        <v>11</v>
      </c>
      <c r="H2" s="1">
        <v>12</v>
      </c>
      <c r="I2" s="1">
        <v>10</v>
      </c>
      <c r="J2" s="1">
        <v>4</v>
      </c>
      <c r="K2" s="1">
        <v>5</v>
      </c>
      <c r="L2" s="1">
        <v>5</v>
      </c>
      <c r="M2" s="1">
        <v>5</v>
      </c>
      <c r="N2" s="1">
        <v>5</v>
      </c>
      <c r="O2" s="1">
        <v>5</v>
      </c>
      <c r="P2" s="1">
        <v>5</v>
      </c>
      <c r="Q2" s="1">
        <v>5</v>
      </c>
      <c r="R2" s="1">
        <v>5</v>
      </c>
      <c r="S2" s="1">
        <v>5</v>
      </c>
      <c r="T2" s="1">
        <v>5</v>
      </c>
      <c r="U2" s="1">
        <v>5</v>
      </c>
    </row>
    <row r="3" spans="1:21" s="1" customFormat="1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SEQUENCE</v>
      </c>
      <c r="G3" s="1" t="str" cm="1">
        <f t="array" ref="G3">GetValue("Dmn","Name",G2)</f>
        <v>NVARCHAR(25)</v>
      </c>
      <c r="H3" s="1" t="str" cm="1">
        <f t="array" ref="H3">GetValue("Dmn","Name",H2)</f>
        <v>NVARCHAR(50)</v>
      </c>
      <c r="I3" s="1" t="str" cm="1">
        <f t="array" ref="I3">GetValue("Dmn","Name",I2)</f>
        <v>NVARCHAR(20)</v>
      </c>
      <c r="J3" s="1" t="str" cm="1">
        <f t="array" ref="J3">GetValue("Dmn","Name",J2)</f>
        <v>TinyInteger</v>
      </c>
      <c r="K3" s="1" t="str" cm="1">
        <f t="array" ref="K3">GetValue("Dmn","Name",K2)</f>
        <v>Boolean</v>
      </c>
      <c r="L3" s="1" t="str" cm="1">
        <f t="array" ref="L3">GetValue("Dmn","Name",L2)</f>
        <v>Boolean</v>
      </c>
      <c r="M3" s="1" t="str" cm="1">
        <f t="array" ref="M3">GetValue("Dmn","Name",M2)</f>
        <v>Boolean</v>
      </c>
      <c r="N3" s="1" t="str" cm="1">
        <f t="array" ref="N3">GetValue("Dmn","Name",N2)</f>
        <v>Boolean</v>
      </c>
      <c r="O3" s="1" t="str" cm="1">
        <f t="array" ref="O3">GetValue("Dmn","Name",O2)</f>
        <v>Boolean</v>
      </c>
      <c r="P3" s="1" t="str" cm="1">
        <f t="array" ref="P3">GetValue("Dmn","Name",P2)</f>
        <v>Boolean</v>
      </c>
      <c r="Q3" s="1" t="str" cm="1">
        <f t="array" ref="Q3">GetValue("Dmn","Name",Q2)</f>
        <v>Boolean</v>
      </c>
      <c r="R3" s="1" t="str" cm="1">
        <f t="array" ref="R3">GetValue("Dmn","Name",R2)</f>
        <v>Boolean</v>
      </c>
      <c r="S3" s="1" t="str" cm="1">
        <f t="array" ref="S3">GetValue("Dmn","Name",S2)</f>
        <v>Boolean</v>
      </c>
      <c r="T3" s="1" t="str" cm="1">
        <f t="array" ref="T3">GetValue("Dmn","Name",T2)</f>
        <v>Boolean</v>
      </c>
      <c r="U3" s="1" t="str" cm="1">
        <f t="array" ref="U3">GetValue("Dmn","Name",U2)</f>
        <v>Boolean</v>
      </c>
    </row>
    <row r="4" spans="1:21">
      <c r="A4" s="19">
        <f>ROW(A4)-3</f>
        <v>1</v>
      </c>
      <c r="B4" s="20">
        <v>1</v>
      </c>
      <c r="C4" s="19" t="str" cm="1">
        <f t="array" ref="C4">GetValue("Tbl","Alias",B4)</f>
        <v>Cat</v>
      </c>
      <c r="D4" s="19" cm="1">
        <f t="array" ref="D4">GetDomainId(C4,G4)</f>
        <v>58</v>
      </c>
      <c r="E4" s="19" t="str" cm="1">
        <f t="array" ref="E4">GetValue("Dmn","Name",D4)</f>
        <v>TinyId</v>
      </c>
      <c r="F4" s="19">
        <f>IF(G4="Id",5,F3+5)</f>
        <v>5</v>
      </c>
      <c r="G4" s="19" t="str" cm="1">
        <f t="array" ref="G4">GetColumnName(C4,IF(B4=B3,G3,""))</f>
        <v>Id</v>
      </c>
      <c r="H4" s="19" t="str">
        <f>G4</f>
        <v>Id</v>
      </c>
      <c r="I4" s="19" t="str">
        <f>G4</f>
        <v>Id</v>
      </c>
      <c r="J4" s="19"/>
      <c r="K4" s="19" t="b">
        <v>1</v>
      </c>
      <c r="L4" s="19" t="b" cm="1">
        <f t="array" ref="L4">IsPrimaryKey(A4)</f>
        <v>1</v>
      </c>
      <c r="M4" s="19" t="b" cm="1">
        <f t="array" ref="M4">IsAutoincrement(A4)</f>
        <v>1</v>
      </c>
      <c r="N4" s="19" t="b" cm="1">
        <f t="array" ref="N4">IsUnique(A4)</f>
        <v>0</v>
      </c>
      <c r="O4" s="19" t="str" cm="1">
        <f t="array" ref="O4">IsFilterable(A4)</f>
        <v/>
      </c>
      <c r="P4" s="19" t="str" cm="1">
        <f t="array" ref="P4">IsEditable(A4)</f>
        <v/>
      </c>
      <c r="Q4" s="19" t="str" cm="1">
        <f t="array" ref="Q4">IsGridable(A4)</f>
        <v/>
      </c>
      <c r="R4" s="19" t="str" cm="1">
        <f t="array" ref="R4">IsListable(A4)</f>
        <v/>
      </c>
      <c r="S4" s="19" t="str" cm="1">
        <f t="array" ref="S4">IsEncrypted(A4)</f>
        <v/>
      </c>
      <c r="T4" s="19" t="str" cm="1">
        <f t="array" ref="T4">IsInWords(A4)</f>
        <v/>
      </c>
      <c r="U4" s="19" t="b">
        <v>0</v>
      </c>
    </row>
    <row r="5" spans="1:21">
      <c r="A5" s="19">
        <f t="shared" ref="A5:A70" si="0">ROW(A5)-3</f>
        <v>2</v>
      </c>
      <c r="B5" s="20">
        <v>1</v>
      </c>
      <c r="C5" s="19" t="str" cm="1">
        <f t="array" ref="C5">GetValue("Tbl","Alias",B5)</f>
        <v>Cat</v>
      </c>
      <c r="D5" s="19" cm="1">
        <f t="array" ref="D5">GetDomainId(C5,G5)</f>
        <v>9</v>
      </c>
      <c r="E5" s="19" t="str" cm="1">
        <f t="array" ref="E5">GetValue("Dmn","Name",D5)</f>
        <v>NVARCHAR(15)</v>
      </c>
      <c r="F5" s="19">
        <f t="shared" ref="F5:F70" si="1">IF(G5="Id",5,F4+5)</f>
        <v>10</v>
      </c>
      <c r="G5" s="19" t="str" cm="1">
        <f t="array" ref="G5">GetColumnName(C5,IF(B5=B4,G4,""))</f>
        <v>Name</v>
      </c>
      <c r="H5" s="19" t="str">
        <f t="shared" ref="H5:H70" si="2">G5</f>
        <v>Name</v>
      </c>
      <c r="I5" s="19" t="str">
        <f t="shared" ref="I5:I70" si="3">G5</f>
        <v>Name</v>
      </c>
      <c r="J5" s="19"/>
      <c r="K5" s="19" t="b">
        <v>1</v>
      </c>
      <c r="L5" s="19" t="b" cm="1">
        <f t="array" ref="L5">IsPrimaryKey(A5)</f>
        <v>0</v>
      </c>
      <c r="M5" s="19" t="str" cm="1">
        <f t="array" ref="M5">IsAutoincrement(A5)</f>
        <v/>
      </c>
      <c r="N5" s="19" t="b" cm="1">
        <f t="array" ref="N5">IsUnique(A5)</f>
        <v>0</v>
      </c>
      <c r="O5" s="19" t="b" cm="1">
        <f t="array" ref="O5">IsFilterable(A5)</f>
        <v>1</v>
      </c>
      <c r="P5" s="19" t="b" cm="1">
        <f t="array" ref="P5">IsEditable(A5)</f>
        <v>1</v>
      </c>
      <c r="Q5" s="19" t="b" cm="1">
        <f t="array" ref="Q5">IsGridable(A5)</f>
        <v>1</v>
      </c>
      <c r="R5" s="19" t="b" cm="1">
        <f t="array" ref="R5">IsListable(A5)</f>
        <v>0</v>
      </c>
      <c r="S5" s="19" t="b" cm="1">
        <f t="array" ref="S5">IsEncrypted(A5)</f>
        <v>0</v>
      </c>
      <c r="T5" s="19" t="str" cm="1">
        <f t="array" ref="T5">IsInWords(A5)</f>
        <v/>
      </c>
      <c r="U5" s="19" t="b">
        <v>0</v>
      </c>
    </row>
    <row r="6" spans="1:21">
      <c r="A6" s="19">
        <f t="shared" si="0"/>
        <v>3</v>
      </c>
      <c r="B6" s="20">
        <v>1</v>
      </c>
      <c r="C6" s="19" t="str" cm="1">
        <f t="array" ref="C6">GetValue("Tbl","Alias",B6)</f>
        <v>Cat</v>
      </c>
      <c r="D6" s="19" cm="1">
        <f t="array" ref="D6">GetDomainId(C6,G6)</f>
        <v>5</v>
      </c>
      <c r="E6" s="19" t="str" cm="1">
        <f t="array" ref="E6">GetValue("Dmn","Name",D6)</f>
        <v>Boolean</v>
      </c>
      <c r="F6" s="19">
        <f t="shared" si="1"/>
        <v>15</v>
      </c>
      <c r="G6" s="19" t="str" cm="1">
        <f t="array" ref="G6">GetColumnName(C6,IF(B6=B5,G5,""))</f>
        <v>AskDefault</v>
      </c>
      <c r="H6" s="19" t="str">
        <f t="shared" si="2"/>
        <v>AskDefault</v>
      </c>
      <c r="I6" s="19" t="str">
        <f t="shared" si="3"/>
        <v>AskDefault</v>
      </c>
      <c r="J6" s="19"/>
      <c r="K6" s="19" t="b">
        <v>1</v>
      </c>
      <c r="L6" s="19" t="b" cm="1">
        <f t="array" ref="L6">IsPrimaryKey(A6)</f>
        <v>0</v>
      </c>
      <c r="M6" s="19" t="str" cm="1">
        <f t="array" ref="M6">IsAutoincrement(A6)</f>
        <v/>
      </c>
      <c r="N6" s="19" t="str" cm="1">
        <f t="array" ref="N6">IsUnique(A6)</f>
        <v/>
      </c>
      <c r="O6" s="19" t="b" cm="1">
        <f t="array" ref="O6">IsFilterable(A6)</f>
        <v>1</v>
      </c>
      <c r="P6" s="19" t="b" cm="1">
        <f t="array" ref="P6">IsEditable(A6)</f>
        <v>1</v>
      </c>
      <c r="Q6" s="19" t="b" cm="1">
        <f t="array" ref="Q6">IsGridable(A6)</f>
        <v>1</v>
      </c>
      <c r="R6" s="19" t="str" cm="1">
        <f t="array" ref="R6">IsListable(A6)</f>
        <v/>
      </c>
      <c r="S6" s="19" t="str" cm="1">
        <f t="array" ref="S6">IsEncrypted(A6)</f>
        <v/>
      </c>
      <c r="T6" s="19" t="str" cm="1">
        <f t="array" ref="T6">IsInWords(A6)</f>
        <v/>
      </c>
      <c r="U6" s="19" t="b">
        <v>0</v>
      </c>
    </row>
    <row r="7" spans="1:21">
      <c r="A7" s="19">
        <f t="shared" si="0"/>
        <v>4</v>
      </c>
      <c r="B7" s="20">
        <v>1</v>
      </c>
      <c r="C7" s="19" t="str" cm="1">
        <f t="array" ref="C7">GetValue("Tbl","Alias",B7)</f>
        <v>Cat</v>
      </c>
      <c r="D7" s="19" cm="1">
        <f t="array" ref="D7">GetDomainId(C7,G7)</f>
        <v>5</v>
      </c>
      <c r="E7" s="19" t="str" cm="1">
        <f t="array" ref="E7">GetValue("Dmn","Name",D7)</f>
        <v>Boolean</v>
      </c>
      <c r="F7" s="19">
        <f t="shared" si="1"/>
        <v>20</v>
      </c>
      <c r="G7" s="19" t="str" cm="1">
        <f t="array" ref="G7">GetColumnName(C7,IF(B7=B6,G6,""))</f>
        <v>AskMinimum</v>
      </c>
      <c r="H7" s="19" t="str">
        <f t="shared" si="2"/>
        <v>AskMinimum</v>
      </c>
      <c r="I7" s="19" t="str">
        <f t="shared" si="3"/>
        <v>AskMinimum</v>
      </c>
      <c r="J7" s="19"/>
      <c r="K7" s="19" t="b">
        <v>1</v>
      </c>
      <c r="L7" s="19" t="b" cm="1">
        <f t="array" ref="L7">IsPrimaryKey(A7)</f>
        <v>0</v>
      </c>
      <c r="M7" s="19" t="str" cm="1">
        <f t="array" ref="M7">IsAutoincrement(A7)</f>
        <v/>
      </c>
      <c r="N7" s="19" t="str" cm="1">
        <f t="array" ref="N7">IsUnique(A7)</f>
        <v/>
      </c>
      <c r="O7" s="19" t="b" cm="1">
        <f t="array" ref="O7">IsFilterable(A7)</f>
        <v>1</v>
      </c>
      <c r="P7" s="19" t="b" cm="1">
        <f t="array" ref="P7">IsEditable(A7)</f>
        <v>1</v>
      </c>
      <c r="Q7" s="19" t="b" cm="1">
        <f t="array" ref="Q7">IsGridable(A7)</f>
        <v>1</v>
      </c>
      <c r="R7" s="19" t="str" cm="1">
        <f t="array" ref="R7">IsListable(A7)</f>
        <v/>
      </c>
      <c r="S7" s="19" t="str" cm="1">
        <f t="array" ref="S7">IsEncrypted(A7)</f>
        <v/>
      </c>
      <c r="T7" s="19" t="str" cm="1">
        <f t="array" ref="T7">IsInWords(A7)</f>
        <v/>
      </c>
      <c r="U7" s="19" t="b">
        <v>0</v>
      </c>
    </row>
    <row r="8" spans="1:21">
      <c r="A8" s="19">
        <f t="shared" si="0"/>
        <v>5</v>
      </c>
      <c r="B8" s="20">
        <v>1</v>
      </c>
      <c r="C8" s="19" t="str" cm="1">
        <f t="array" ref="C8">GetValue("Tbl","Alias",B8)</f>
        <v>Cat</v>
      </c>
      <c r="D8" s="19" cm="1">
        <f t="array" ref="D8">GetDomainId(C8,G8)</f>
        <v>5</v>
      </c>
      <c r="E8" s="19" t="str" cm="1">
        <f t="array" ref="E8">GetValue("Dmn","Name",D8)</f>
        <v>Boolean</v>
      </c>
      <c r="F8" s="19">
        <f t="shared" si="1"/>
        <v>25</v>
      </c>
      <c r="G8" s="19" t="str" cm="1">
        <f t="array" ref="G8">GetColumnName(C8,IF(B8=B7,G7,""))</f>
        <v>AskMaximum</v>
      </c>
      <c r="H8" s="19" t="str">
        <f t="shared" si="2"/>
        <v>AskMaximum</v>
      </c>
      <c r="I8" s="19" t="str">
        <f t="shared" si="3"/>
        <v>AskMaximum</v>
      </c>
      <c r="J8" s="19"/>
      <c r="K8" s="19" t="b">
        <v>1</v>
      </c>
      <c r="L8" s="19" t="b" cm="1">
        <f t="array" ref="L8">IsPrimaryKey(A8)</f>
        <v>0</v>
      </c>
      <c r="M8" s="19" t="str" cm="1">
        <f t="array" ref="M8">IsAutoincrement(A8)</f>
        <v/>
      </c>
      <c r="N8" s="19" t="str" cm="1">
        <f t="array" ref="N8">IsUnique(A8)</f>
        <v/>
      </c>
      <c r="O8" s="19" t="b" cm="1">
        <f t="array" ref="O8">IsFilterable(A8)</f>
        <v>1</v>
      </c>
      <c r="P8" s="19" t="b" cm="1">
        <f t="array" ref="P8">IsEditable(A8)</f>
        <v>1</v>
      </c>
      <c r="Q8" s="19" t="b" cm="1">
        <f t="array" ref="Q8">IsGridable(A8)</f>
        <v>1</v>
      </c>
      <c r="R8" s="19" t="str" cm="1">
        <f t="array" ref="R8">IsListable(A8)</f>
        <v/>
      </c>
      <c r="S8" s="19" t="str" cm="1">
        <f t="array" ref="S8">IsEncrypted(A8)</f>
        <v/>
      </c>
      <c r="T8" s="19" t="str" cm="1">
        <f t="array" ref="T8">IsInWords(A8)</f>
        <v/>
      </c>
      <c r="U8" s="19" t="b">
        <v>0</v>
      </c>
    </row>
    <row r="9" spans="1:21">
      <c r="A9" s="19">
        <f t="shared" si="0"/>
        <v>6</v>
      </c>
      <c r="B9" s="20">
        <v>1</v>
      </c>
      <c r="C9" s="19" t="str" cm="1">
        <f t="array" ref="C9">GetValue("Tbl","Alias",B9)</f>
        <v>Cat</v>
      </c>
      <c r="D9" s="19" cm="1">
        <f t="array" ref="D9">GetDomainId(C9,G9)</f>
        <v>5</v>
      </c>
      <c r="E9" s="19" t="str" cm="1">
        <f t="array" ref="E9">GetValue("Dmn","Name",D9)</f>
        <v>Boolean</v>
      </c>
      <c r="F9" s="19">
        <f t="shared" si="1"/>
        <v>30</v>
      </c>
      <c r="G9" s="19" t="str" cm="1">
        <f t="array" ref="G9">GetColumnName(C9,IF(B9=B8,G8,""))</f>
        <v>AskInWords</v>
      </c>
      <c r="H9" s="19" t="str">
        <f t="shared" si="2"/>
        <v>AskInWords</v>
      </c>
      <c r="I9" s="19" t="str">
        <f t="shared" si="3"/>
        <v>AskInWords</v>
      </c>
      <c r="J9" s="19"/>
      <c r="K9" s="19" t="b">
        <v>1</v>
      </c>
      <c r="L9" s="19" t="b" cm="1">
        <f t="array" ref="L9">IsPrimaryKey(A9)</f>
        <v>0</v>
      </c>
      <c r="M9" s="19" t="str" cm="1">
        <f t="array" ref="M9">IsAutoincrement(A9)</f>
        <v/>
      </c>
      <c r="N9" s="19" t="str" cm="1">
        <f t="array" ref="N9">IsUnique(A9)</f>
        <v/>
      </c>
      <c r="O9" s="19" t="b" cm="1">
        <f t="array" ref="O9">IsFilterable(A9)</f>
        <v>1</v>
      </c>
      <c r="P9" s="19" t="b" cm="1">
        <f t="array" ref="P9">IsEditable(A9)</f>
        <v>1</v>
      </c>
      <c r="Q9" s="19" t="b" cm="1">
        <f t="array" ref="Q9">IsGridable(A9)</f>
        <v>1</v>
      </c>
      <c r="R9" s="19" t="str" cm="1">
        <f t="array" ref="R9">IsListable(A9)</f>
        <v/>
      </c>
      <c r="S9" s="19" t="str" cm="1">
        <f t="array" ref="S9">IsEncrypted(A9)</f>
        <v/>
      </c>
      <c r="T9" s="19" t="str" cm="1">
        <f t="array" ref="T9">IsInWords(A9)</f>
        <v/>
      </c>
      <c r="U9" s="19" t="b">
        <v>0</v>
      </c>
    </row>
    <row r="10" spans="1:21">
      <c r="A10" s="19">
        <f t="shared" si="0"/>
        <v>7</v>
      </c>
      <c r="B10" s="20">
        <v>1</v>
      </c>
      <c r="C10" s="19" t="str" cm="1">
        <f t="array" ref="C10">GetValue("Tbl","Alias",B10)</f>
        <v>Cat</v>
      </c>
      <c r="D10" s="19" cm="1">
        <f t="array" ref="D10">GetDomainId(C10,G10)</f>
        <v>5</v>
      </c>
      <c r="E10" s="19" t="str" cm="1">
        <f t="array" ref="E10">GetValue("Dmn","Name",D10)</f>
        <v>Boolean</v>
      </c>
      <c r="F10" s="19">
        <f t="shared" si="1"/>
        <v>35</v>
      </c>
      <c r="G10" s="19" t="str" cm="1">
        <f t="array" ref="G10">GetColumnName(C10,IF(B10=B9,G9,""))</f>
        <v>AskMask</v>
      </c>
      <c r="H10" s="19" t="str">
        <f t="shared" si="2"/>
        <v>AskMask</v>
      </c>
      <c r="I10" s="19" t="str">
        <f t="shared" si="3"/>
        <v>AskMask</v>
      </c>
      <c r="J10" s="19"/>
      <c r="K10" s="19" t="b">
        <v>1</v>
      </c>
      <c r="L10" s="19" t="b" cm="1">
        <f t="array" ref="L10">IsPrimaryKey(A10)</f>
        <v>0</v>
      </c>
      <c r="M10" s="19" t="str" cm="1">
        <f t="array" ref="M10">IsAutoincrement(A10)</f>
        <v/>
      </c>
      <c r="N10" s="19" t="str" cm="1">
        <f t="array" ref="N10">IsUnique(A10)</f>
        <v/>
      </c>
      <c r="O10" s="19" t="b" cm="1">
        <f t="array" ref="O10">IsFilterable(A10)</f>
        <v>1</v>
      </c>
      <c r="P10" s="19" t="b" cm="1">
        <f t="array" ref="P10">IsEditable(A10)</f>
        <v>1</v>
      </c>
      <c r="Q10" s="19" t="b" cm="1">
        <f t="array" ref="Q10">IsGridable(A10)</f>
        <v>1</v>
      </c>
      <c r="R10" s="19" t="str" cm="1">
        <f t="array" ref="R10">IsListable(A10)</f>
        <v/>
      </c>
      <c r="S10" s="19" t="str" cm="1">
        <f t="array" ref="S10">IsEncrypted(A10)</f>
        <v/>
      </c>
      <c r="T10" s="19" t="str" cm="1">
        <f t="array" ref="T10">IsInWords(A10)</f>
        <v/>
      </c>
      <c r="U10" s="19" t="b">
        <v>0</v>
      </c>
    </row>
    <row r="11" spans="1:21">
      <c r="A11" s="19">
        <f t="shared" si="0"/>
        <v>8</v>
      </c>
      <c r="B11" s="20">
        <v>1</v>
      </c>
      <c r="C11" s="19" t="str" cm="1">
        <f t="array" ref="C11">GetValue("Tbl","Alias",B11)</f>
        <v>Cat</v>
      </c>
      <c r="D11" s="19" cm="1">
        <f t="array" ref="D11">GetDomainId(C11,G11)</f>
        <v>5</v>
      </c>
      <c r="E11" s="19" t="str" cm="1">
        <f t="array" ref="E11">GetValue("Dmn","Name",D11)</f>
        <v>Boolean</v>
      </c>
      <c r="F11" s="19">
        <f t="shared" si="1"/>
        <v>40</v>
      </c>
      <c r="G11" s="19" t="str" cm="1">
        <f t="array" ref="G11">GetColumnName(C11,IF(B11=B10,G10,""))</f>
        <v>AskGridable</v>
      </c>
      <c r="H11" s="19" t="str">
        <f t="shared" si="2"/>
        <v>AskGridable</v>
      </c>
      <c r="I11" s="19" t="str">
        <f t="shared" si="3"/>
        <v>AskGridable</v>
      </c>
      <c r="J11" s="19"/>
      <c r="K11" s="19" t="b">
        <v>1</v>
      </c>
      <c r="L11" s="19" t="b" cm="1">
        <f t="array" ref="L11">IsPrimaryKey(A11)</f>
        <v>0</v>
      </c>
      <c r="M11" s="19" t="str" cm="1">
        <f t="array" ref="M11">IsAutoincrement(A11)</f>
        <v/>
      </c>
      <c r="N11" s="19" t="str" cm="1">
        <f t="array" ref="N11">IsUnique(A11)</f>
        <v/>
      </c>
      <c r="O11" s="19" t="b" cm="1">
        <f t="array" ref="O11">IsFilterable(A11)</f>
        <v>1</v>
      </c>
      <c r="P11" s="19" t="b" cm="1">
        <f t="array" ref="P11">IsEditable(A11)</f>
        <v>1</v>
      </c>
      <c r="Q11" s="19" t="b" cm="1">
        <f t="array" ref="Q11">IsGridable(A11)</f>
        <v>1</v>
      </c>
      <c r="R11" s="19" t="str" cm="1">
        <f t="array" ref="R11">IsListable(A11)</f>
        <v/>
      </c>
      <c r="S11" s="19" t="str" cm="1">
        <f t="array" ref="S11">IsEncrypted(A11)</f>
        <v/>
      </c>
      <c r="T11" s="19" t="str" cm="1">
        <f t="array" ref="T11">IsInWords(A11)</f>
        <v/>
      </c>
      <c r="U11" s="19" t="b">
        <v>0</v>
      </c>
    </row>
    <row r="12" spans="1:21">
      <c r="A12" s="19">
        <f t="shared" si="0"/>
        <v>9</v>
      </c>
      <c r="B12" s="20">
        <v>1</v>
      </c>
      <c r="C12" s="19" t="str" cm="1">
        <f t="array" ref="C12">GetValue("Tbl","Alias",B12)</f>
        <v>Cat</v>
      </c>
      <c r="D12" s="19" cm="1">
        <f t="array" ref="D12">GetDomainId(C12,G12)</f>
        <v>5</v>
      </c>
      <c r="E12" s="19" t="str" cm="1">
        <f t="array" ref="E12">GetValue("Dmn","Name",D12)</f>
        <v>Boolean</v>
      </c>
      <c r="F12" s="19">
        <f t="shared" si="1"/>
        <v>45</v>
      </c>
      <c r="G12" s="19" t="str" cm="1">
        <f t="array" ref="G12">GetColumnName(C12,IF(B12=B11,G11,""))</f>
        <v>AskFilterable</v>
      </c>
      <c r="H12" s="19" t="str">
        <f t="shared" si="2"/>
        <v>AskFilterable</v>
      </c>
      <c r="I12" s="19" t="str">
        <f t="shared" si="3"/>
        <v>AskFilterable</v>
      </c>
      <c r="J12" s="19"/>
      <c r="K12" s="19" t="b">
        <v>1</v>
      </c>
      <c r="L12" s="19" t="b" cm="1">
        <f t="array" ref="L12">IsPrimaryKey(A12)</f>
        <v>0</v>
      </c>
      <c r="M12" s="19" t="str" cm="1">
        <f t="array" ref="M12">IsAutoincrement(A12)</f>
        <v/>
      </c>
      <c r="N12" s="19" t="str" cm="1">
        <f t="array" ref="N12">IsUnique(A12)</f>
        <v/>
      </c>
      <c r="O12" s="19" t="b" cm="1">
        <f t="array" ref="O12">IsFilterable(A12)</f>
        <v>1</v>
      </c>
      <c r="P12" s="19" t="b" cm="1">
        <f t="array" ref="P12">IsEditable(A12)</f>
        <v>1</v>
      </c>
      <c r="Q12" s="19" t="b" cm="1">
        <f t="array" ref="Q12">IsGridable(A12)</f>
        <v>1</v>
      </c>
      <c r="R12" s="19" t="str" cm="1">
        <f t="array" ref="R12">IsListable(A12)</f>
        <v/>
      </c>
      <c r="S12" s="19" t="str" cm="1">
        <f t="array" ref="S12">IsEncrypted(A12)</f>
        <v/>
      </c>
      <c r="T12" s="19" t="str" cm="1">
        <f t="array" ref="T12">IsInWords(A12)</f>
        <v/>
      </c>
      <c r="U12" s="19" t="b">
        <v>0</v>
      </c>
    </row>
    <row r="13" spans="1:21">
      <c r="A13" s="19">
        <f t="shared" si="0"/>
        <v>10</v>
      </c>
      <c r="B13" s="20">
        <v>1</v>
      </c>
      <c r="C13" s="19" t="str" cm="1">
        <f t="array" ref="C13">GetValue("Tbl","Alias",B13)</f>
        <v>Cat</v>
      </c>
      <c r="D13" s="19" cm="1">
        <f t="array" ref="D13">GetDomainId(C13,G13)</f>
        <v>5</v>
      </c>
      <c r="E13" s="19" t="str" cm="1">
        <f t="array" ref="E13">GetValue("Dmn","Name",D13)</f>
        <v>Boolean</v>
      </c>
      <c r="F13" s="19">
        <f t="shared" si="1"/>
        <v>50</v>
      </c>
      <c r="G13" s="19" t="str" cm="1">
        <f t="array" ref="G13">GetColumnName(C13,IF(B13=B12,G12,""))</f>
        <v>AskEncrypted</v>
      </c>
      <c r="H13" s="19" t="str">
        <f t="shared" si="2"/>
        <v>AskEncrypted</v>
      </c>
      <c r="I13" s="19" t="str">
        <f t="shared" si="3"/>
        <v>AskEncrypted</v>
      </c>
      <c r="J13" s="19"/>
      <c r="K13" s="19" t="b">
        <v>1</v>
      </c>
      <c r="L13" s="19" t="b" cm="1">
        <f t="array" ref="L13">IsPrimaryKey(A13)</f>
        <v>0</v>
      </c>
      <c r="M13" s="19" t="str" cm="1">
        <f t="array" ref="M13">IsAutoincrement(A13)</f>
        <v/>
      </c>
      <c r="N13" s="19" t="str" cm="1">
        <f t="array" ref="N13">IsUnique(A13)</f>
        <v/>
      </c>
      <c r="O13" s="19" t="b" cm="1">
        <f t="array" ref="O13">IsFilterable(A13)</f>
        <v>1</v>
      </c>
      <c r="P13" s="19" t="b" cm="1">
        <f t="array" ref="P13">IsEditable(A13)</f>
        <v>1</v>
      </c>
      <c r="Q13" s="19" t="b" cm="1">
        <f t="array" ref="Q13">IsGridable(A13)</f>
        <v>1</v>
      </c>
      <c r="R13" s="19" t="str" cm="1">
        <f t="array" ref="R13">IsListable(A13)</f>
        <v/>
      </c>
      <c r="S13" s="19" t="str" cm="1">
        <f t="array" ref="S13">IsEncrypted(A13)</f>
        <v/>
      </c>
      <c r="T13" s="19" t="str" cm="1">
        <f t="array" ref="T13">IsInWords(A13)</f>
        <v/>
      </c>
      <c r="U13" s="19" t="b">
        <v>0</v>
      </c>
    </row>
    <row r="14" spans="1:21">
      <c r="A14" s="19">
        <f t="shared" si="0"/>
        <v>11</v>
      </c>
      <c r="B14" s="20">
        <v>1</v>
      </c>
      <c r="C14" s="19" t="str" cm="1">
        <f t="array" ref="C14">GetValue("Tbl","Alias",B14)</f>
        <v>Cat</v>
      </c>
      <c r="D14" s="19" cm="1">
        <f t="array" ref="D14">GetDomainId(C14,G14)</f>
        <v>5</v>
      </c>
      <c r="E14" s="19" t="str" cm="1">
        <f t="array" ref="E14">GetValue("Dmn","Name",D14)</f>
        <v>Boolean</v>
      </c>
      <c r="F14" s="19">
        <f t="shared" si="1"/>
        <v>55</v>
      </c>
      <c r="G14" s="19" t="str" cm="1">
        <f t="array" ref="G14">GetColumnName(C14,IF(B14=B13,G13,""))</f>
        <v>AskListable</v>
      </c>
      <c r="H14" s="19" t="str">
        <f t="shared" si="2"/>
        <v>AskListable</v>
      </c>
      <c r="I14" s="19" t="str">
        <f t="shared" si="3"/>
        <v>AskListable</v>
      </c>
      <c r="J14" s="19"/>
      <c r="K14" s="19" t="b">
        <v>1</v>
      </c>
      <c r="L14" s="19" t="b" cm="1">
        <f t="array" ref="L14">IsPrimaryKey(A14)</f>
        <v>0</v>
      </c>
      <c r="M14" s="19" t="str" cm="1">
        <f t="array" ref="M14">IsAutoincrement(A14)</f>
        <v/>
      </c>
      <c r="N14" s="19" t="str" cm="1">
        <f t="array" ref="N14">IsUnique(A14)</f>
        <v/>
      </c>
      <c r="O14" s="19" t="b" cm="1">
        <f t="array" ref="O14">IsFilterable(A14)</f>
        <v>1</v>
      </c>
      <c r="P14" s="19" t="b" cm="1">
        <f t="array" ref="P14">IsEditable(A14)</f>
        <v>1</v>
      </c>
      <c r="Q14" s="19" t="b" cm="1">
        <f t="array" ref="Q14">IsGridable(A14)</f>
        <v>1</v>
      </c>
      <c r="R14" s="19" t="str" cm="1">
        <f t="array" ref="R14">IsListable(A14)</f>
        <v/>
      </c>
      <c r="S14" s="19" t="str" cm="1">
        <f t="array" ref="S14">IsEncrypted(A14)</f>
        <v/>
      </c>
      <c r="T14" s="19" t="str" cm="1">
        <f t="array" ref="T14">IsInWords(A14)</f>
        <v/>
      </c>
      <c r="U14" s="19" t="b">
        <v>0</v>
      </c>
    </row>
    <row r="15" spans="1:21">
      <c r="A15" s="19">
        <f t="shared" si="0"/>
        <v>12</v>
      </c>
      <c r="B15" s="20">
        <v>1</v>
      </c>
      <c r="C15" s="19" t="str" cm="1">
        <f t="array" ref="C15">GetValue("Tbl","Alias",B15)</f>
        <v>Cat</v>
      </c>
      <c r="D15" s="19" cm="1">
        <f t="array" ref="D15">GetDomainId(C15,G15)</f>
        <v>5</v>
      </c>
      <c r="E15" s="19" t="str" cm="1">
        <f t="array" ref="E15">GetValue("Dmn","Name",D15)</f>
        <v>Boolean</v>
      </c>
      <c r="F15" s="19">
        <f t="shared" si="1"/>
        <v>60</v>
      </c>
      <c r="G15" s="19" t="str" cm="1">
        <f t="array" ref="G15">GetColumnName(C15,IF(B15=B14,G14,""))</f>
        <v>AskUnique</v>
      </c>
      <c r="H15" s="19" t="str">
        <f t="shared" si="2"/>
        <v>AskUnique</v>
      </c>
      <c r="I15" s="19" t="str">
        <f t="shared" si="3"/>
        <v>AskUnique</v>
      </c>
      <c r="J15" s="19"/>
      <c r="K15" s="19" t="b">
        <v>1</v>
      </c>
      <c r="L15" s="19" t="b" cm="1">
        <f t="array" ref="L15">IsPrimaryKey(A15)</f>
        <v>0</v>
      </c>
      <c r="M15" s="19" t="str" cm="1">
        <f t="array" ref="M15">IsAutoincrement(A15)</f>
        <v/>
      </c>
      <c r="N15" s="19" t="str" cm="1">
        <f t="array" ref="N15">IsUnique(A15)</f>
        <v/>
      </c>
      <c r="O15" s="19" t="b" cm="1">
        <f t="array" ref="O15">IsFilterable(A15)</f>
        <v>1</v>
      </c>
      <c r="P15" s="19" t="b" cm="1">
        <f t="array" ref="P15">IsEditable(A15)</f>
        <v>1</v>
      </c>
      <c r="Q15" s="19" t="b" cm="1">
        <f t="array" ref="Q15">IsGridable(A15)</f>
        <v>1</v>
      </c>
      <c r="R15" s="19" t="str" cm="1">
        <f t="array" ref="R15">IsListable(A15)</f>
        <v/>
      </c>
      <c r="S15" s="19" t="str" cm="1">
        <f t="array" ref="S15">IsEncrypted(A15)</f>
        <v/>
      </c>
      <c r="T15" s="19" t="str" cm="1">
        <f t="array" ref="T15">IsInWords(A15)</f>
        <v/>
      </c>
      <c r="U15" s="19" t="b">
        <v>0</v>
      </c>
    </row>
    <row r="16" spans="1:21">
      <c r="A16" s="19">
        <f t="shared" si="0"/>
        <v>13</v>
      </c>
      <c r="B16" s="20">
        <v>1</v>
      </c>
      <c r="C16" s="19" t="str" cm="1">
        <f t="array" ref="C16">GetValue("Tbl","Alias",B16)</f>
        <v>Cat</v>
      </c>
      <c r="D16" s="19" cm="1">
        <f t="array" ref="D16">GetDomainId(C16,G16)</f>
        <v>5</v>
      </c>
      <c r="E16" s="19" t="str" cm="1">
        <f t="array" ref="E16">GetValue("Dmn","Name",D16)</f>
        <v>Boolean</v>
      </c>
      <c r="F16" s="19">
        <f t="shared" si="1"/>
        <v>65</v>
      </c>
      <c r="G16" s="19" t="str" cm="1">
        <f t="array" ref="G16">GetColumnName(C16,IF(B16=B15,G15,""))</f>
        <v>IsOrdenable</v>
      </c>
      <c r="H16" s="19" t="str">
        <f t="shared" si="2"/>
        <v>IsOrdenable</v>
      </c>
      <c r="I16" s="19" t="str">
        <f t="shared" si="3"/>
        <v>IsOrdenable</v>
      </c>
      <c r="J16" s="19"/>
      <c r="K16" s="19" t="b">
        <v>1</v>
      </c>
      <c r="L16" s="19" t="b" cm="1">
        <f t="array" ref="L16">IsPrimaryKey(A16)</f>
        <v>0</v>
      </c>
      <c r="M16" s="19" t="str" cm="1">
        <f t="array" ref="M16">IsAutoincrement(A16)</f>
        <v/>
      </c>
      <c r="N16" s="19" t="str" cm="1">
        <f t="array" ref="N16">IsUnique(A16)</f>
        <v/>
      </c>
      <c r="O16" s="19" t="b" cm="1">
        <f t="array" ref="O16">IsFilterable(A16)</f>
        <v>1</v>
      </c>
      <c r="P16" s="19" t="b" cm="1">
        <f t="array" ref="P16">IsEditable(A16)</f>
        <v>1</v>
      </c>
      <c r="Q16" s="19" t="b" cm="1">
        <f t="array" ref="Q16">IsGridable(A16)</f>
        <v>1</v>
      </c>
      <c r="R16" s="19" t="str" cm="1">
        <f t="array" ref="R16">IsListable(A16)</f>
        <v/>
      </c>
      <c r="S16" s="19" t="str" cm="1">
        <f t="array" ref="S16">IsEncrypted(A16)</f>
        <v/>
      </c>
      <c r="T16" s="19" t="str" cm="1">
        <f t="array" ref="T16">IsInWords(A16)</f>
        <v/>
      </c>
      <c r="U16" s="19" t="b">
        <v>0</v>
      </c>
    </row>
    <row r="17" spans="1:21">
      <c r="A17" s="17">
        <f t="shared" si="0"/>
        <v>14</v>
      </c>
      <c r="B17" s="18">
        <v>2</v>
      </c>
      <c r="C17" s="17" t="str" cm="1">
        <f t="array" ref="C17">GetValue("Tbl","Alias",B17)</f>
        <v>Cmp</v>
      </c>
      <c r="D17" s="17" cm="1">
        <f t="array" ref="D17">GetDomainId(C17,G17)</f>
        <v>58</v>
      </c>
      <c r="E17" s="17" t="str" cm="1">
        <f t="array" ref="E17">GetValue("Dmn","Name",D17)</f>
        <v>TinyId</v>
      </c>
      <c r="F17" s="17">
        <f t="shared" si="1"/>
        <v>5</v>
      </c>
      <c r="G17" s="17" t="str" cm="1">
        <f t="array" ref="G17">GetColumnName(C17,IF(B17=B16,G16,""))</f>
        <v>Id</v>
      </c>
      <c r="H17" s="17" t="str">
        <f t="shared" si="2"/>
        <v>Id</v>
      </c>
      <c r="I17" s="17" t="str">
        <f t="shared" si="3"/>
        <v>Id</v>
      </c>
      <c r="J17" s="17"/>
      <c r="K17" s="17" t="b">
        <v>1</v>
      </c>
      <c r="L17" s="17" t="b" cm="1">
        <f t="array" ref="L17">IsPrimaryKey(A17)</f>
        <v>1</v>
      </c>
      <c r="M17" s="17" t="b" cm="1">
        <f t="array" ref="M17">IsAutoincrement(A17)</f>
        <v>1</v>
      </c>
      <c r="N17" s="17" t="b" cm="1">
        <f t="array" ref="N17">IsUnique(A17)</f>
        <v>0</v>
      </c>
      <c r="O17" s="17" t="str" cm="1">
        <f t="array" ref="O17">IsFilterable(A17)</f>
        <v/>
      </c>
      <c r="P17" s="17" t="str" cm="1">
        <f t="array" ref="P17">IsEditable(A17)</f>
        <v/>
      </c>
      <c r="Q17" s="17" t="str" cm="1">
        <f t="array" ref="Q17">IsGridable(A17)</f>
        <v/>
      </c>
      <c r="R17" s="17" t="str" cm="1">
        <f t="array" ref="R17">IsListable(A17)</f>
        <v/>
      </c>
      <c r="S17" s="17" t="str" cm="1">
        <f t="array" ref="S17">IsEncrypted(A17)</f>
        <v/>
      </c>
      <c r="T17" s="17" t="str" cm="1">
        <f t="array" ref="T17">IsInWords(A17)</f>
        <v/>
      </c>
      <c r="U17" s="17" t="b">
        <v>0</v>
      </c>
    </row>
    <row r="18" spans="1:21">
      <c r="A18" s="17">
        <f t="shared" si="0"/>
        <v>15</v>
      </c>
      <c r="B18" s="18">
        <v>2</v>
      </c>
      <c r="C18" s="17" t="str" cm="1">
        <f t="array" ref="C18">GetValue("Tbl","Alias",B18)</f>
        <v>Cmp</v>
      </c>
      <c r="D18" s="17" cm="1">
        <f t="array" ref="D18">GetDomainId(C18,G18)</f>
        <v>15</v>
      </c>
      <c r="E18" s="17" t="str" cm="1">
        <f t="array" ref="E18">GetValue("Dmn","Name",D18)</f>
        <v>NCHAR(1)</v>
      </c>
      <c r="F18" s="17">
        <f t="shared" si="1"/>
        <v>10</v>
      </c>
      <c r="G18" s="17" t="str" cm="1">
        <f t="array" ref="G18">GetColumnName(C18,IF(B18=B17,G17,""))</f>
        <v>Symbol</v>
      </c>
      <c r="H18" s="17" t="str">
        <f t="shared" si="2"/>
        <v>Symbol</v>
      </c>
      <c r="I18" s="17" t="str">
        <f t="shared" si="3"/>
        <v>Symbol</v>
      </c>
      <c r="J18" s="17"/>
      <c r="K18" s="17" t="b">
        <v>1</v>
      </c>
      <c r="L18" s="17" t="b" cm="1">
        <f t="array" ref="L18">IsPrimaryKey(A18)</f>
        <v>0</v>
      </c>
      <c r="M18" s="17" t="str" cm="1">
        <f t="array" ref="M18">IsAutoincrement(A18)</f>
        <v/>
      </c>
      <c r="N18" s="17" t="b" cm="1">
        <f t="array" ref="N18">IsUnique(A18)</f>
        <v>0</v>
      </c>
      <c r="O18" s="17" t="b" cm="1">
        <f t="array" ref="O18">IsFilterable(A18)</f>
        <v>1</v>
      </c>
      <c r="P18" s="17" t="b" cm="1">
        <f t="array" ref="P18">IsEditable(A18)</f>
        <v>1</v>
      </c>
      <c r="Q18" s="17" t="b" cm="1">
        <f t="array" ref="Q18">IsGridable(A18)</f>
        <v>1</v>
      </c>
      <c r="R18" s="17" t="b" cm="1">
        <f t="array" ref="R18">IsListable(A18)</f>
        <v>0</v>
      </c>
      <c r="S18" s="17" t="b" cm="1">
        <f t="array" ref="S18">IsEncrypted(A18)</f>
        <v>0</v>
      </c>
      <c r="T18" s="17" t="str" cm="1">
        <f t="array" ref="T18">IsInWords(A18)</f>
        <v/>
      </c>
      <c r="U18" s="17" t="b">
        <v>0</v>
      </c>
    </row>
    <row r="19" spans="1:21">
      <c r="A19" s="17">
        <f t="shared" si="0"/>
        <v>16</v>
      </c>
      <c r="B19" s="18">
        <v>2</v>
      </c>
      <c r="C19" s="17" t="str" cm="1">
        <f t="array" ref="C19">GetValue("Tbl","Alias",B19)</f>
        <v>Cmp</v>
      </c>
      <c r="D19" s="17" cm="1">
        <f t="array" ref="D19">GetDomainId(C19,G19)</f>
        <v>10</v>
      </c>
      <c r="E19" s="17" t="str" cm="1">
        <f t="array" ref="E19">GetValue("Dmn","Name",D19)</f>
        <v>NVARCHAR(20)</v>
      </c>
      <c r="F19" s="17">
        <f t="shared" si="1"/>
        <v>15</v>
      </c>
      <c r="G19" s="17" t="str" cm="1">
        <f t="array" ref="G19">GetColumnName(C19,IF(B19=B18,G18,""))</f>
        <v>Description</v>
      </c>
      <c r="H19" s="17" t="str">
        <f t="shared" si="2"/>
        <v>Description</v>
      </c>
      <c r="I19" s="17" t="str">
        <f t="shared" si="3"/>
        <v>Description</v>
      </c>
      <c r="J19" s="17"/>
      <c r="K19" s="17" t="b">
        <v>0</v>
      </c>
      <c r="L19" s="17" t="b" cm="1">
        <f t="array" ref="L19">IsPrimaryKey(A19)</f>
        <v>0</v>
      </c>
      <c r="M19" s="17" t="str" cm="1">
        <f t="array" ref="M19">IsAutoincrement(A19)</f>
        <v/>
      </c>
      <c r="N19" s="17" t="b" cm="1">
        <f t="array" ref="N19">IsUnique(A19)</f>
        <v>0</v>
      </c>
      <c r="O19" s="17" t="b" cm="1">
        <f t="array" ref="O19">IsFilterable(A19)</f>
        <v>1</v>
      </c>
      <c r="P19" s="17" t="b" cm="1">
        <f t="array" ref="P19">IsEditable(A19)</f>
        <v>1</v>
      </c>
      <c r="Q19" s="17" t="b" cm="1">
        <f t="array" ref="Q19">IsGridable(A19)</f>
        <v>1</v>
      </c>
      <c r="R19" s="17" t="b" cm="1">
        <f t="array" ref="R19">IsListable(A19)</f>
        <v>0</v>
      </c>
      <c r="S19" s="17" t="b" cm="1">
        <f t="array" ref="S19">IsEncrypted(A19)</f>
        <v>0</v>
      </c>
      <c r="T19" s="17" t="str" cm="1">
        <f t="array" ref="T19">IsInWords(A19)</f>
        <v/>
      </c>
      <c r="U19" s="17" t="b">
        <v>0</v>
      </c>
    </row>
    <row r="20" spans="1:21">
      <c r="A20" s="17">
        <f t="shared" si="0"/>
        <v>17</v>
      </c>
      <c r="B20" s="18">
        <v>2</v>
      </c>
      <c r="C20" s="17" t="str" cm="1">
        <f t="array" ref="C20">GetValue("Tbl","Alias",B20)</f>
        <v>Cmp</v>
      </c>
      <c r="D20" s="17" cm="1">
        <f t="array" ref="D20">GetDomainId(C20,G20)</f>
        <v>5</v>
      </c>
      <c r="E20" s="17" t="str" cm="1">
        <f t="array" ref="E20">GetValue("Dmn","Name",D20)</f>
        <v>Boolean</v>
      </c>
      <c r="F20" s="17">
        <f t="shared" si="1"/>
        <v>20</v>
      </c>
      <c r="G20" s="17" t="str" cm="1">
        <f t="array" ref="G20">GetColumnName(C20,IF(B20=B19,G19,""))</f>
        <v>Arity</v>
      </c>
      <c r="H20" s="17" t="str">
        <f t="shared" si="2"/>
        <v>Arity</v>
      </c>
      <c r="I20" s="17" t="str">
        <f t="shared" si="3"/>
        <v>Arity</v>
      </c>
      <c r="J20" s="17"/>
      <c r="K20" s="17" t="b">
        <v>1</v>
      </c>
      <c r="L20" s="17" t="b" cm="1">
        <f t="array" ref="L20">IsPrimaryKey(A20)</f>
        <v>0</v>
      </c>
      <c r="M20" s="17" t="str" cm="1">
        <f t="array" ref="M20">IsAutoincrement(A20)</f>
        <v/>
      </c>
      <c r="N20" s="17" t="str" cm="1">
        <f t="array" ref="N20">IsUnique(A20)</f>
        <v/>
      </c>
      <c r="O20" s="17" t="b" cm="1">
        <f t="array" ref="O20">IsFilterable(A20)</f>
        <v>1</v>
      </c>
      <c r="P20" s="17" t="b" cm="1">
        <f t="array" ref="P20">IsEditable(A20)</f>
        <v>1</v>
      </c>
      <c r="Q20" s="17" t="b" cm="1">
        <f t="array" ref="Q20">IsGridable(A20)</f>
        <v>1</v>
      </c>
      <c r="R20" s="17" t="str" cm="1">
        <f t="array" ref="R20">IsListable(A20)</f>
        <v/>
      </c>
      <c r="S20" s="17" t="str" cm="1">
        <f t="array" ref="S20">IsEncrypted(A20)</f>
        <v/>
      </c>
      <c r="T20" s="17" t="str" cm="1">
        <f t="array" ref="T20">IsInWords(A20)</f>
        <v/>
      </c>
      <c r="U20" s="17" t="b">
        <v>0</v>
      </c>
    </row>
    <row r="21" spans="1:21">
      <c r="A21" s="17">
        <f t="shared" si="0"/>
        <v>18</v>
      </c>
      <c r="B21" s="18">
        <v>2</v>
      </c>
      <c r="C21" s="17" t="str" cm="1">
        <f t="array" ref="C21">GetValue("Tbl","Alias",B21)</f>
        <v>Cmp</v>
      </c>
      <c r="D21" s="17" cm="1">
        <f t="array" ref="D21">GetDomainId(C21,G21)</f>
        <v>5</v>
      </c>
      <c r="E21" s="17" t="str" cm="1">
        <f t="array" ref="E21">GetValue("Dmn","Name",D21)</f>
        <v>Boolean</v>
      </c>
      <c r="F21" s="17">
        <f t="shared" si="1"/>
        <v>25</v>
      </c>
      <c r="G21" s="17" t="str" cm="1">
        <f t="array" ref="G21">GetColumnName(C21,IF(B21=B20,G20,""))</f>
        <v>IsRelational</v>
      </c>
      <c r="H21" s="17" t="str">
        <f t="shared" si="2"/>
        <v>IsRelational</v>
      </c>
      <c r="I21" s="17" t="str">
        <f t="shared" si="3"/>
        <v>IsRelational</v>
      </c>
      <c r="J21" s="17"/>
      <c r="K21" s="17" t="b">
        <v>1</v>
      </c>
      <c r="L21" s="17" t="b" cm="1">
        <f t="array" ref="L21">IsPrimaryKey(A21)</f>
        <v>0</v>
      </c>
      <c r="M21" s="17" t="str" cm="1">
        <f t="array" ref="M21">IsAutoincrement(A21)</f>
        <v/>
      </c>
      <c r="N21" s="17" t="str" cm="1">
        <f t="array" ref="N21">IsUnique(A21)</f>
        <v/>
      </c>
      <c r="O21" s="17" t="b" cm="1">
        <f t="array" ref="O21">IsFilterable(A21)</f>
        <v>1</v>
      </c>
      <c r="P21" s="17" t="b" cm="1">
        <f t="array" ref="P21">IsEditable(A21)</f>
        <v>1</v>
      </c>
      <c r="Q21" s="17" t="b" cm="1">
        <f t="array" ref="Q21">IsGridable(A21)</f>
        <v>1</v>
      </c>
      <c r="R21" s="17" t="str" cm="1">
        <f t="array" ref="R21">IsListable(A21)</f>
        <v/>
      </c>
      <c r="S21" s="17" t="str" cm="1">
        <f t="array" ref="S21">IsEncrypted(A21)</f>
        <v/>
      </c>
      <c r="T21" s="17" t="str" cm="1">
        <f t="array" ref="T21">IsInWords(A21)</f>
        <v/>
      </c>
      <c r="U21" s="17" t="b">
        <v>0</v>
      </c>
    </row>
    <row r="22" spans="1:21">
      <c r="A22" s="19">
        <f t="shared" si="0"/>
        <v>19</v>
      </c>
      <c r="B22" s="20">
        <v>3</v>
      </c>
      <c r="C22" s="19" t="str" cm="1">
        <f t="array" ref="C22">GetValue("Tbl","Alias",B22)</f>
        <v>Rul</v>
      </c>
      <c r="D22" s="19" cm="1">
        <f t="array" ref="D22">GetDomainId(C22,G22)</f>
        <v>58</v>
      </c>
      <c r="E22" s="19" t="str" cm="1">
        <f t="array" ref="E22">GetValue("Dmn","Name",D22)</f>
        <v>TinyId</v>
      </c>
      <c r="F22" s="19">
        <f t="shared" si="1"/>
        <v>5</v>
      </c>
      <c r="G22" s="19" t="str" cm="1">
        <f t="array" ref="G22">GetColumnName(C22,IF(B22=B21,G21,""))</f>
        <v>Id</v>
      </c>
      <c r="H22" s="19" t="str">
        <f t="shared" si="2"/>
        <v>Id</v>
      </c>
      <c r="I22" s="19" t="str">
        <f t="shared" si="3"/>
        <v>Id</v>
      </c>
      <c r="J22" s="19"/>
      <c r="K22" s="19" t="b">
        <v>1</v>
      </c>
      <c r="L22" s="19" t="b" cm="1">
        <f t="array" ref="L22">IsPrimaryKey(A22)</f>
        <v>1</v>
      </c>
      <c r="M22" s="19" t="b" cm="1">
        <f t="array" ref="M22">IsAutoincrement(A22)</f>
        <v>1</v>
      </c>
      <c r="N22" s="19" t="b" cm="1">
        <f t="array" ref="N22">IsUnique(A22)</f>
        <v>0</v>
      </c>
      <c r="O22" s="19" t="str" cm="1">
        <f t="array" ref="O22">IsFilterable(A22)</f>
        <v/>
      </c>
      <c r="P22" s="19" t="str" cm="1">
        <f t="array" ref="P22">IsEditable(A22)</f>
        <v/>
      </c>
      <c r="Q22" s="19" t="str" cm="1">
        <f t="array" ref="Q22">IsGridable(A22)</f>
        <v/>
      </c>
      <c r="R22" s="19" t="str" cm="1">
        <f t="array" ref="R22">IsListable(A22)</f>
        <v/>
      </c>
      <c r="S22" s="19" t="str" cm="1">
        <f t="array" ref="S22">IsEncrypted(A22)</f>
        <v/>
      </c>
      <c r="T22" s="19" t="str" cm="1">
        <f t="array" ref="T22">IsInWords(A22)</f>
        <v/>
      </c>
      <c r="U22" s="19" t="b">
        <v>0</v>
      </c>
    </row>
    <row r="23" spans="1:21">
      <c r="A23" s="19">
        <f t="shared" si="0"/>
        <v>20</v>
      </c>
      <c r="B23" s="20">
        <v>3</v>
      </c>
      <c r="C23" s="19" t="str" cm="1">
        <f t="array" ref="C23">GetValue("Tbl","Alias",B23)</f>
        <v>Rul</v>
      </c>
      <c r="D23" s="19" cm="1">
        <f t="array" ref="D23">GetDomainId(C23,G23)</f>
        <v>58</v>
      </c>
      <c r="E23" s="19" t="str" cm="1">
        <f t="array" ref="E23">GetValue("Dmn","Name",D23)</f>
        <v>TinyId</v>
      </c>
      <c r="F23" s="19">
        <f t="shared" si="1"/>
        <v>10</v>
      </c>
      <c r="G23" s="19" t="str" cm="1">
        <f t="array" ref="G23">GetColumnName(C23,IF(B23=B22,G22,""))</f>
        <v>CategoryId</v>
      </c>
      <c r="H23" s="19" t="str">
        <f t="shared" si="2"/>
        <v>CategoryId</v>
      </c>
      <c r="I23" s="19" t="str">
        <f t="shared" si="3"/>
        <v>CategoryId</v>
      </c>
      <c r="J23" s="19"/>
      <c r="K23" s="19" t="b">
        <v>1</v>
      </c>
      <c r="L23" s="19" t="b" cm="1">
        <f t="array" ref="L23">IsPrimaryKey(A23)</f>
        <v>0</v>
      </c>
      <c r="M23" s="19" t="b" cm="1">
        <f t="array" ref="M23">IsAutoincrement(A23)</f>
        <v>0</v>
      </c>
      <c r="N23" s="19" t="b" cm="1">
        <f t="array" ref="N23">IsUnique(A23)</f>
        <v>0</v>
      </c>
      <c r="O23" s="19" t="b" cm="1">
        <f t="array" ref="O23">IsFilterable(A23)</f>
        <v>1</v>
      </c>
      <c r="P23" s="19" t="b" cm="1">
        <f t="array" ref="P23">IsEditable(A23)</f>
        <v>1</v>
      </c>
      <c r="Q23" s="19" t="b" cm="1">
        <f t="array" ref="Q23">IsGridable(A23)</f>
        <v>1</v>
      </c>
      <c r="R23" s="19" t="str" cm="1">
        <f t="array" ref="R23">IsListable(A23)</f>
        <v/>
      </c>
      <c r="S23" s="19" t="str" cm="1">
        <f t="array" ref="S23">IsEncrypted(A23)</f>
        <v/>
      </c>
      <c r="T23" s="19" t="b" cm="1">
        <f t="array" ref="T23">IsInWords(A23)</f>
        <v>0</v>
      </c>
      <c r="U23" s="19" t="b">
        <v>0</v>
      </c>
    </row>
    <row r="24" spans="1:21">
      <c r="A24" s="19">
        <f t="shared" si="0"/>
        <v>21</v>
      </c>
      <c r="B24" s="20">
        <v>3</v>
      </c>
      <c r="C24" s="19" t="str" cm="1">
        <f t="array" ref="C24">GetValue("Tbl","Alias",B24)</f>
        <v>Rul</v>
      </c>
      <c r="D24" s="19" cm="1">
        <f t="array" ref="D24">GetDomainId(C24,G24)</f>
        <v>58</v>
      </c>
      <c r="E24" s="19" t="str" cm="1">
        <f t="array" ref="E24">GetValue("Dmn","Name",D24)</f>
        <v>TinyId</v>
      </c>
      <c r="F24" s="19">
        <f t="shared" si="1"/>
        <v>15</v>
      </c>
      <c r="G24" s="19" t="str" cm="1">
        <f t="array" ref="G24">GetColumnName(C24,IF(B24=B23,G23,""))</f>
        <v>ComparatorId</v>
      </c>
      <c r="H24" s="19" t="str">
        <f t="shared" si="2"/>
        <v>ComparatorId</v>
      </c>
      <c r="I24" s="19" t="str">
        <f t="shared" si="3"/>
        <v>ComparatorId</v>
      </c>
      <c r="J24" s="19"/>
      <c r="K24" s="19" t="b">
        <v>1</v>
      </c>
      <c r="L24" s="19" t="b" cm="1">
        <f t="array" ref="L24">IsPrimaryKey(A24)</f>
        <v>0</v>
      </c>
      <c r="M24" s="19" t="b" cm="1">
        <f t="array" ref="M24">IsAutoincrement(A24)</f>
        <v>0</v>
      </c>
      <c r="N24" s="19" t="b" cm="1">
        <f t="array" ref="N24">IsUnique(A24)</f>
        <v>0</v>
      </c>
      <c r="O24" s="19" t="b" cm="1">
        <f t="array" ref="O24">IsFilterable(A24)</f>
        <v>1</v>
      </c>
      <c r="P24" s="19" t="b" cm="1">
        <f t="array" ref="P24">IsEditable(A24)</f>
        <v>1</v>
      </c>
      <c r="Q24" s="19" t="b" cm="1">
        <f t="array" ref="Q24">IsGridable(A24)</f>
        <v>1</v>
      </c>
      <c r="R24" s="19" t="str" cm="1">
        <f t="array" ref="R24">IsListable(A24)</f>
        <v/>
      </c>
      <c r="S24" s="19" t="str" cm="1">
        <f t="array" ref="S24">IsEncrypted(A24)</f>
        <v/>
      </c>
      <c r="T24" s="19" t="b" cm="1">
        <f t="array" ref="T24">IsInWords(A24)</f>
        <v>0</v>
      </c>
      <c r="U24" s="19" t="b">
        <v>0</v>
      </c>
    </row>
    <row r="25" spans="1:21">
      <c r="A25" s="17">
        <f t="shared" si="0"/>
        <v>22</v>
      </c>
      <c r="B25" s="18">
        <v>4</v>
      </c>
      <c r="C25" s="17" t="str" cm="1">
        <f t="array" ref="C25">GetValue("Tbl","Alias",B25)</f>
        <v>Eng</v>
      </c>
      <c r="D25" s="17" cm="1">
        <f t="array" ref="D25">GetDomainId(C25,G25)</f>
        <v>58</v>
      </c>
      <c r="E25" s="17" t="str" cm="1">
        <f t="array" ref="E25">GetValue("Dmn","Name",D25)</f>
        <v>TinyId</v>
      </c>
      <c r="F25" s="17">
        <f t="shared" si="1"/>
        <v>5</v>
      </c>
      <c r="G25" s="17" t="str" cm="1">
        <f t="array" ref="G25">GetColumnName(C25,IF(B25=B24,G24,""))</f>
        <v>Id</v>
      </c>
      <c r="H25" s="17" t="str">
        <f t="shared" si="2"/>
        <v>Id</v>
      </c>
      <c r="I25" s="17" t="str">
        <f t="shared" si="3"/>
        <v>Id</v>
      </c>
      <c r="J25" s="17"/>
      <c r="K25" s="17" t="b">
        <v>1</v>
      </c>
      <c r="L25" s="17" t="b" cm="1">
        <f t="array" ref="L25">IsPrimaryKey(A25)</f>
        <v>1</v>
      </c>
      <c r="M25" s="17" t="b" cm="1">
        <f t="array" ref="M25">IsAutoincrement(A25)</f>
        <v>1</v>
      </c>
      <c r="N25" s="17" t="b" cm="1">
        <f t="array" ref="N25">IsUnique(A25)</f>
        <v>0</v>
      </c>
      <c r="O25" s="17" t="str" cm="1">
        <f t="array" ref="O25">IsFilterable(A25)</f>
        <v/>
      </c>
      <c r="P25" s="17" t="str" cm="1">
        <f t="array" ref="P25">IsEditable(A25)</f>
        <v/>
      </c>
      <c r="Q25" s="17" t="str" cm="1">
        <f t="array" ref="Q25">IsGridable(A25)</f>
        <v/>
      </c>
      <c r="R25" s="17" t="str" cm="1">
        <f t="array" ref="R25">IsListable(A25)</f>
        <v/>
      </c>
      <c r="S25" s="17" t="str" cm="1">
        <f t="array" ref="S25">IsEncrypted(A25)</f>
        <v/>
      </c>
      <c r="T25" s="17" t="str" cm="1">
        <f t="array" ref="T25">IsInWords(A25)</f>
        <v/>
      </c>
      <c r="U25" s="17" t="b">
        <v>0</v>
      </c>
    </row>
    <row r="26" spans="1:21">
      <c r="A26" s="17">
        <f t="shared" si="0"/>
        <v>23</v>
      </c>
      <c r="B26" s="18">
        <v>4</v>
      </c>
      <c r="C26" s="17" t="str" cm="1">
        <f t="array" ref="C26">GetValue("Tbl","Alias",B26)</f>
        <v>Eng</v>
      </c>
      <c r="D26" s="17" cm="1">
        <f t="array" ref="D26">GetDomainId(C26,G26)</f>
        <v>11</v>
      </c>
      <c r="E26" s="17" t="str" cm="1">
        <f t="array" ref="E26">GetValue("Dmn","Name",D26)</f>
        <v>NVARCHAR(25)</v>
      </c>
      <c r="F26" s="17">
        <f t="shared" si="1"/>
        <v>10</v>
      </c>
      <c r="G26" s="17" t="str" cm="1">
        <f t="array" ref="G26">GetColumnName(C26,IF(B26=B25,G25,""))</f>
        <v>Name</v>
      </c>
      <c r="H26" s="17" t="str">
        <f t="shared" si="2"/>
        <v>Name</v>
      </c>
      <c r="I26" s="17" t="str">
        <f t="shared" si="3"/>
        <v>Name</v>
      </c>
      <c r="J26" s="17"/>
      <c r="K26" s="17" t="b">
        <v>1</v>
      </c>
      <c r="L26" s="17" t="b" cm="1">
        <f t="array" ref="L26">IsPrimaryKey(A26)</f>
        <v>0</v>
      </c>
      <c r="M26" s="17" t="str" cm="1">
        <f t="array" ref="M26">IsAutoincrement(A26)</f>
        <v/>
      </c>
      <c r="N26" s="17" t="b" cm="1">
        <f t="array" ref="N26">IsUnique(A26)</f>
        <v>0</v>
      </c>
      <c r="O26" s="17" t="b" cm="1">
        <f t="array" ref="O26">IsFilterable(A26)</f>
        <v>1</v>
      </c>
      <c r="P26" s="17" t="b" cm="1">
        <f t="array" ref="P26">IsEditable(A26)</f>
        <v>1</v>
      </c>
      <c r="Q26" s="17" t="b" cm="1">
        <f t="array" ref="Q26">IsGridable(A26)</f>
        <v>1</v>
      </c>
      <c r="R26" s="17" t="b" cm="1">
        <f t="array" ref="R26">IsListable(A26)</f>
        <v>0</v>
      </c>
      <c r="S26" s="17" t="b" cm="1">
        <f t="array" ref="S26">IsEncrypted(A26)</f>
        <v>0</v>
      </c>
      <c r="T26" s="17" t="str" cm="1">
        <f t="array" ref="T26">IsInWords(A26)</f>
        <v/>
      </c>
      <c r="U26" s="17" t="b">
        <v>0</v>
      </c>
    </row>
    <row r="27" spans="1:21">
      <c r="A27" s="17">
        <f t="shared" si="0"/>
        <v>24</v>
      </c>
      <c r="B27" s="18">
        <v>4</v>
      </c>
      <c r="C27" s="17" t="str" cm="1">
        <f t="array" ref="C27">GetValue("Tbl","Alias",B27)</f>
        <v>Eng</v>
      </c>
      <c r="D27" s="17" cm="1">
        <f t="array" ref="D27">GetDomainId(C27,G27)</f>
        <v>12</v>
      </c>
      <c r="E27" s="17" t="str" cm="1">
        <f t="array" ref="E27">GetValue("Dmn","Name",D27)</f>
        <v>NVARCHAR(50)</v>
      </c>
      <c r="F27" s="17">
        <f t="shared" si="1"/>
        <v>15</v>
      </c>
      <c r="G27" s="17" t="str" cm="1">
        <f t="array" ref="G27">GetColumnName(C27,IF(B27=B26,G26,""))</f>
        <v>Provider</v>
      </c>
      <c r="H27" s="17" t="str">
        <f t="shared" si="2"/>
        <v>Provider</v>
      </c>
      <c r="I27" s="17" t="str">
        <f t="shared" si="3"/>
        <v>Provider</v>
      </c>
      <c r="J27" s="17"/>
      <c r="K27" s="17" t="b">
        <v>1</v>
      </c>
      <c r="L27" s="17" t="b" cm="1">
        <f t="array" ref="L27">IsPrimaryKey(A27)</f>
        <v>0</v>
      </c>
      <c r="M27" s="17" t="str" cm="1">
        <f t="array" ref="M27">IsAutoincrement(A27)</f>
        <v/>
      </c>
      <c r="N27" s="17" t="b" cm="1">
        <f t="array" ref="N27">IsUnique(A27)</f>
        <v>0</v>
      </c>
      <c r="O27" s="17" t="b" cm="1">
        <f t="array" ref="O27">IsFilterable(A27)</f>
        <v>1</v>
      </c>
      <c r="P27" s="17" t="b" cm="1">
        <f t="array" ref="P27">IsEditable(A27)</f>
        <v>1</v>
      </c>
      <c r="Q27" s="17" t="b" cm="1">
        <f t="array" ref="Q27">IsGridable(A27)</f>
        <v>1</v>
      </c>
      <c r="R27" s="17" t="b" cm="1">
        <f t="array" ref="R27">IsListable(A27)</f>
        <v>0</v>
      </c>
      <c r="S27" s="17" t="b" cm="1">
        <f t="array" ref="S27">IsEncrypted(A27)</f>
        <v>0</v>
      </c>
      <c r="T27" s="17" t="str" cm="1">
        <f t="array" ref="T27">IsInWords(A27)</f>
        <v/>
      </c>
      <c r="U27" s="17" t="b">
        <v>0</v>
      </c>
    </row>
    <row r="28" spans="1:21">
      <c r="A28" s="17">
        <f t="shared" si="0"/>
        <v>25</v>
      </c>
      <c r="B28" s="18">
        <v>4</v>
      </c>
      <c r="C28" s="17" t="str" cm="1">
        <f t="array" ref="C28">GetValue("Tbl","Alias",B28)</f>
        <v>Eng</v>
      </c>
      <c r="D28" s="17" cm="1">
        <f t="array" ref="D28">GetDomainId(C28,G28)</f>
        <v>12</v>
      </c>
      <c r="E28" s="17" t="str" cm="1">
        <f t="array" ref="E28">GetValue("Dmn","Name",D28)</f>
        <v>NVARCHAR(50)</v>
      </c>
      <c r="F28" s="17">
        <f t="shared" si="1"/>
        <v>20</v>
      </c>
      <c r="G28" s="17" t="str" cm="1">
        <f t="array" ref="G28">GetColumnName(C28,IF(B28=B27,G27,""))</f>
        <v>PackageName</v>
      </c>
      <c r="H28" s="17" t="str">
        <f t="shared" si="2"/>
        <v>PackageName</v>
      </c>
      <c r="I28" s="17" t="str">
        <f t="shared" si="3"/>
        <v>PackageName</v>
      </c>
      <c r="J28" s="17"/>
      <c r="K28" s="17" t="b">
        <v>1</v>
      </c>
      <c r="L28" s="17" t="b" cm="1">
        <f t="array" ref="L28">IsPrimaryKey(A28)</f>
        <v>0</v>
      </c>
      <c r="M28" s="17" t="str" cm="1">
        <f t="array" ref="M28">IsAutoincrement(A28)</f>
        <v/>
      </c>
      <c r="N28" s="17" t="b" cm="1">
        <f t="array" ref="N28">IsUnique(A28)</f>
        <v>0</v>
      </c>
      <c r="O28" s="17" t="b" cm="1">
        <f t="array" ref="O28">IsFilterable(A28)</f>
        <v>1</v>
      </c>
      <c r="P28" s="17" t="b" cm="1">
        <f t="array" ref="P28">IsEditable(A28)</f>
        <v>1</v>
      </c>
      <c r="Q28" s="17" t="b" cm="1">
        <f t="array" ref="Q28">IsGridable(A28)</f>
        <v>1</v>
      </c>
      <c r="R28" s="17" t="b" cm="1">
        <f t="array" ref="R28">IsListable(A28)</f>
        <v>0</v>
      </c>
      <c r="S28" s="17" t="b" cm="1">
        <f t="array" ref="S28">IsEncrypted(A28)</f>
        <v>0</v>
      </c>
      <c r="T28" s="17" t="str" cm="1">
        <f t="array" ref="T28">IsInWords(A28)</f>
        <v/>
      </c>
      <c r="U28" s="17" t="b">
        <v>0</v>
      </c>
    </row>
    <row r="29" spans="1:21">
      <c r="A29" s="17">
        <f t="shared" si="0"/>
        <v>26</v>
      </c>
      <c r="B29" s="18">
        <v>4</v>
      </c>
      <c r="C29" s="17" t="str" cm="1">
        <f t="array" ref="C29">GetValue("Tbl","Alias",B29)</f>
        <v>Eng</v>
      </c>
      <c r="D29" s="17" cm="1">
        <f t="array" ref="D29">GetDomainId(C29,G29)</f>
        <v>10</v>
      </c>
      <c r="E29" s="17" t="str" cm="1">
        <f t="array" ref="E29">GetValue("Dmn","Name",D29)</f>
        <v>NVARCHAR(20)</v>
      </c>
      <c r="F29" s="17">
        <f t="shared" si="1"/>
        <v>25</v>
      </c>
      <c r="G29" s="17" t="str" cm="1">
        <f t="array" ref="G29">GetColumnName(C29,IF(B29=B28,G28,""))</f>
        <v>PackageVersion</v>
      </c>
      <c r="H29" s="17" t="str">
        <f t="shared" si="2"/>
        <v>PackageVersion</v>
      </c>
      <c r="I29" s="17" t="str">
        <f t="shared" si="3"/>
        <v>PackageVersion</v>
      </c>
      <c r="J29" s="17"/>
      <c r="K29" s="17" t="b">
        <v>0</v>
      </c>
      <c r="L29" s="17" t="b" cm="1">
        <f t="array" ref="L29">IsPrimaryKey(A29)</f>
        <v>0</v>
      </c>
      <c r="M29" s="17" t="str" cm="1">
        <f t="array" ref="M29">IsAutoincrement(A29)</f>
        <v/>
      </c>
      <c r="N29" s="17" t="b" cm="1">
        <f t="array" ref="N29">IsUnique(A29)</f>
        <v>0</v>
      </c>
      <c r="O29" s="17" t="b" cm="1">
        <f t="array" ref="O29">IsFilterable(A29)</f>
        <v>1</v>
      </c>
      <c r="P29" s="17" t="b" cm="1">
        <f t="array" ref="P29">IsEditable(A29)</f>
        <v>1</v>
      </c>
      <c r="Q29" s="17" t="b" cm="1">
        <f t="array" ref="Q29">IsGridable(A29)</f>
        <v>1</v>
      </c>
      <c r="R29" s="17" t="b" cm="1">
        <f t="array" ref="R29">IsListable(A29)</f>
        <v>0</v>
      </c>
      <c r="S29" s="17" t="b" cm="1">
        <f t="array" ref="S29">IsEncrypted(A29)</f>
        <v>0</v>
      </c>
      <c r="T29" s="17" t="str" cm="1">
        <f t="array" ref="T29">IsInWords(A29)</f>
        <v/>
      </c>
      <c r="U29" s="17" t="b">
        <v>0</v>
      </c>
    </row>
    <row r="30" spans="1:21">
      <c r="A30" s="17">
        <f t="shared" si="0"/>
        <v>27</v>
      </c>
      <c r="B30" s="18">
        <v>4</v>
      </c>
      <c r="C30" s="17" t="str" cm="1">
        <f t="array" ref="C30">GetValue("Tbl","Alias",B30)</f>
        <v>Eng</v>
      </c>
      <c r="D30" s="17" cm="1">
        <f t="array" ref="D30">GetDomainId(C30,G30)</f>
        <v>5</v>
      </c>
      <c r="E30" s="17" t="str" cm="1">
        <f t="array" ref="E30">GetValue("Dmn","Name",D30)</f>
        <v>Boolean</v>
      </c>
      <c r="F30" s="17">
        <f t="shared" si="1"/>
        <v>30</v>
      </c>
      <c r="G30" s="17" t="str" cm="1">
        <f t="array" ref="G30">GetColumnName(C30,IF(B30=B29,G29,""))</f>
        <v>AskDirectory</v>
      </c>
      <c r="H30" s="17" t="str">
        <f t="shared" si="2"/>
        <v>AskDirectory</v>
      </c>
      <c r="I30" s="17" t="str">
        <f t="shared" si="3"/>
        <v>AskDirectory</v>
      </c>
      <c r="J30" s="17"/>
      <c r="K30" s="17" t="b">
        <v>0</v>
      </c>
      <c r="L30" s="17" t="b" cm="1">
        <f t="array" ref="L30">IsPrimaryKey(A30)</f>
        <v>0</v>
      </c>
      <c r="M30" s="17" t="str" cm="1">
        <f t="array" ref="M30">IsAutoincrement(A30)</f>
        <v/>
      </c>
      <c r="N30" s="17" t="str" cm="1">
        <f t="array" ref="N30">IsUnique(A30)</f>
        <v/>
      </c>
      <c r="O30" s="17" t="b" cm="1">
        <f t="array" ref="O30">IsFilterable(A30)</f>
        <v>1</v>
      </c>
      <c r="P30" s="17" t="b" cm="1">
        <f t="array" ref="P30">IsEditable(A30)</f>
        <v>1</v>
      </c>
      <c r="Q30" s="17" t="b" cm="1">
        <f t="array" ref="Q30">IsGridable(A30)</f>
        <v>1</v>
      </c>
      <c r="R30" s="17" t="str" cm="1">
        <f t="array" ref="R30">IsListable(A30)</f>
        <v/>
      </c>
      <c r="S30" s="17" t="str" cm="1">
        <f t="array" ref="S30">IsEncrypted(A30)</f>
        <v/>
      </c>
      <c r="T30" s="17" t="str" cm="1">
        <f t="array" ref="T30">IsInWords(A30)</f>
        <v/>
      </c>
      <c r="U30" s="17" t="b">
        <v>0</v>
      </c>
    </row>
    <row r="31" spans="1:21">
      <c r="A31" s="17">
        <f t="shared" si="0"/>
        <v>28</v>
      </c>
      <c r="B31" s="18">
        <v>4</v>
      </c>
      <c r="C31" s="17" t="str" cm="1">
        <f t="array" ref="C31">GetValue("Tbl","Alias",B31)</f>
        <v>Eng</v>
      </c>
      <c r="D31" s="17" cm="1">
        <f t="array" ref="D31">GetDomainId(C31,G31)</f>
        <v>5</v>
      </c>
      <c r="E31" s="17" t="str" cm="1">
        <f t="array" ref="E31">GetValue("Dmn","Name",D31)</f>
        <v>Boolean</v>
      </c>
      <c r="F31" s="17">
        <f t="shared" si="1"/>
        <v>35</v>
      </c>
      <c r="G31" s="17" t="str" cm="1">
        <f t="array" ref="G31">GetColumnName(C31,IF(B31=B30,G30,""))</f>
        <v>IsActive</v>
      </c>
      <c r="H31" s="17" t="str">
        <f t="shared" si="2"/>
        <v>IsActive</v>
      </c>
      <c r="I31" s="17" t="str">
        <f t="shared" si="3"/>
        <v>IsActive</v>
      </c>
      <c r="J31" s="17"/>
      <c r="K31" s="17" t="b">
        <v>1</v>
      </c>
      <c r="L31" s="17" t="b" cm="1">
        <f t="array" ref="L31">IsPrimaryKey(A31)</f>
        <v>0</v>
      </c>
      <c r="M31" s="17" t="str" cm="1">
        <f t="array" ref="M31">IsAutoincrement(A31)</f>
        <v/>
      </c>
      <c r="N31" s="17" t="str" cm="1">
        <f t="array" ref="N31">IsUnique(A31)</f>
        <v/>
      </c>
      <c r="O31" s="17" t="b" cm="1">
        <f t="array" ref="O31">IsFilterable(A31)</f>
        <v>1</v>
      </c>
      <c r="P31" s="17" t="b" cm="1">
        <f t="array" ref="P31">IsEditable(A31)</f>
        <v>1</v>
      </c>
      <c r="Q31" s="17" t="b" cm="1">
        <f t="array" ref="Q31">IsGridable(A31)</f>
        <v>1</v>
      </c>
      <c r="R31" s="17" t="str" cm="1">
        <f t="array" ref="R31">IsListable(A31)</f>
        <v/>
      </c>
      <c r="S31" s="17" t="str" cm="1">
        <f t="array" ref="S31">IsEncrypted(A31)</f>
        <v/>
      </c>
      <c r="T31" s="17" t="str" cm="1">
        <f t="array" ref="T31">IsInWords(A31)</f>
        <v/>
      </c>
      <c r="U31" s="17" t="b">
        <v>0</v>
      </c>
    </row>
    <row r="32" spans="1:21">
      <c r="A32" s="19">
        <f t="shared" si="0"/>
        <v>29</v>
      </c>
      <c r="B32" s="20">
        <v>5</v>
      </c>
      <c r="C32" s="19" t="str" cm="1">
        <f t="array" ref="C32">GetValue("Tbl","Alias",B32)</f>
        <v>Typ</v>
      </c>
      <c r="D32" s="19" cm="1">
        <f t="array" ref="D32">GetDomainId(C32,G32)</f>
        <v>58</v>
      </c>
      <c r="E32" s="19" t="str" cm="1">
        <f t="array" ref="E32">GetValue("Dmn","Name",D32)</f>
        <v>TinyId</v>
      </c>
      <c r="F32" s="19">
        <f t="shared" si="1"/>
        <v>5</v>
      </c>
      <c r="G32" s="19" t="str" cm="1">
        <f t="array" ref="G32">GetColumnName(C32,IF(B32=B31,G31,""))</f>
        <v>Id</v>
      </c>
      <c r="H32" s="19" t="str">
        <f t="shared" si="2"/>
        <v>Id</v>
      </c>
      <c r="I32" s="19" t="str">
        <f t="shared" si="3"/>
        <v>Id</v>
      </c>
      <c r="J32" s="19"/>
      <c r="K32" s="19" t="b">
        <v>1</v>
      </c>
      <c r="L32" s="19" t="b" cm="1">
        <f t="array" ref="L32">IsPrimaryKey(A32)</f>
        <v>1</v>
      </c>
      <c r="M32" s="19" t="b" cm="1">
        <f t="array" ref="M32">IsAutoincrement(A32)</f>
        <v>1</v>
      </c>
      <c r="N32" s="19" t="b" cm="1">
        <f t="array" ref="N32">IsUnique(A32)</f>
        <v>0</v>
      </c>
      <c r="O32" s="19" t="str" cm="1">
        <f t="array" ref="O32">IsFilterable(A32)</f>
        <v/>
      </c>
      <c r="P32" s="19" t="str" cm="1">
        <f t="array" ref="P32">IsEditable(A32)</f>
        <v/>
      </c>
      <c r="Q32" s="19" t="str" cm="1">
        <f t="array" ref="Q32">IsGridable(A32)</f>
        <v/>
      </c>
      <c r="R32" s="19" t="str" cm="1">
        <f t="array" ref="R32">IsListable(A32)</f>
        <v/>
      </c>
      <c r="S32" s="19" t="str" cm="1">
        <f t="array" ref="S32">IsEncrypted(A32)</f>
        <v/>
      </c>
      <c r="T32" s="19" t="str" cm="1">
        <f t="array" ref="T32">IsInWords(A32)</f>
        <v/>
      </c>
      <c r="U32" s="19" t="b">
        <v>0</v>
      </c>
    </row>
    <row r="33" spans="1:21">
      <c r="A33" s="19">
        <f t="shared" si="0"/>
        <v>30</v>
      </c>
      <c r="B33" s="20">
        <v>5</v>
      </c>
      <c r="C33" s="19" t="str" cm="1">
        <f t="array" ref="C33">GetValue("Tbl","Alias",B33)</f>
        <v>Typ</v>
      </c>
      <c r="D33" s="19" cm="1">
        <f t="array" ref="D33">GetDomainId(C33,G33)</f>
        <v>58</v>
      </c>
      <c r="E33" s="19" t="str" cm="1">
        <f t="array" ref="E33">GetValue("Dmn","Name",D33)</f>
        <v>TinyId</v>
      </c>
      <c r="F33" s="19">
        <f t="shared" si="1"/>
        <v>10</v>
      </c>
      <c r="G33" s="19" t="str" cm="1">
        <f t="array" ref="G33">GetColumnName(C33,IF(B33=B32,G32,""))</f>
        <v>CategoryId</v>
      </c>
      <c r="H33" s="19" t="str">
        <f t="shared" si="2"/>
        <v>CategoryId</v>
      </c>
      <c r="I33" s="19" t="str">
        <f t="shared" si="3"/>
        <v>CategoryId</v>
      </c>
      <c r="J33" s="19"/>
      <c r="K33" s="19" t="b">
        <v>1</v>
      </c>
      <c r="L33" s="19" t="b" cm="1">
        <f t="array" ref="L33">IsPrimaryKey(A33)</f>
        <v>0</v>
      </c>
      <c r="M33" s="19" t="b" cm="1">
        <f t="array" ref="M33">IsAutoincrement(A33)</f>
        <v>0</v>
      </c>
      <c r="N33" s="19" t="b" cm="1">
        <f t="array" ref="N33">IsUnique(A33)</f>
        <v>0</v>
      </c>
      <c r="O33" s="19" t="b" cm="1">
        <f t="array" ref="O33">IsFilterable(A33)</f>
        <v>1</v>
      </c>
      <c r="P33" s="19" t="b" cm="1">
        <f t="array" ref="P33">IsEditable(A33)</f>
        <v>1</v>
      </c>
      <c r="Q33" s="19" t="b" cm="1">
        <f t="array" ref="Q33">IsGridable(A33)</f>
        <v>1</v>
      </c>
      <c r="R33" s="19" t="str" cm="1">
        <f t="array" ref="R33">IsListable(A33)</f>
        <v/>
      </c>
      <c r="S33" s="19" t="str" cm="1">
        <f t="array" ref="S33">IsEncrypted(A33)</f>
        <v/>
      </c>
      <c r="T33" s="19" t="b" cm="1">
        <f t="array" ref="T33">IsInWords(A33)</f>
        <v>0</v>
      </c>
      <c r="U33" s="19" t="b">
        <v>0</v>
      </c>
    </row>
    <row r="34" spans="1:21">
      <c r="A34" s="19">
        <f t="shared" si="0"/>
        <v>31</v>
      </c>
      <c r="B34" s="20">
        <v>5</v>
      </c>
      <c r="C34" s="19" t="str" cm="1">
        <f t="array" ref="C34">GetValue("Tbl","Alias",B34)</f>
        <v>Typ</v>
      </c>
      <c r="D34" s="19" cm="1">
        <f t="array" ref="D34">GetDomainId(C34,G34)</f>
        <v>11</v>
      </c>
      <c r="E34" s="19" t="str" cm="1">
        <f t="array" ref="E34">GetValue("Dmn","Name",D34)</f>
        <v>NVARCHAR(25)</v>
      </c>
      <c r="F34" s="19">
        <f t="shared" si="1"/>
        <v>15</v>
      </c>
      <c r="G34" s="19" t="str" cm="1">
        <f t="array" ref="G34">GetColumnName(C34,IF(B34=B33,G33,""))</f>
        <v>Name</v>
      </c>
      <c r="H34" s="19" t="str">
        <f t="shared" si="2"/>
        <v>Name</v>
      </c>
      <c r="I34" s="19" t="str">
        <f t="shared" si="3"/>
        <v>Name</v>
      </c>
      <c r="J34" s="19"/>
      <c r="K34" s="19" t="b">
        <v>0</v>
      </c>
      <c r="L34" s="19" t="b" cm="1">
        <f t="array" ref="L34">IsPrimaryKey(A34)</f>
        <v>0</v>
      </c>
      <c r="M34" s="19" t="str" cm="1">
        <f t="array" ref="M34">IsAutoincrement(A34)</f>
        <v/>
      </c>
      <c r="N34" s="19" t="b" cm="1">
        <f t="array" ref="N34">IsUnique(A34)</f>
        <v>0</v>
      </c>
      <c r="O34" s="19" t="b" cm="1">
        <f t="array" ref="O34">IsFilterable(A34)</f>
        <v>1</v>
      </c>
      <c r="P34" s="19" t="b" cm="1">
        <f t="array" ref="P34">IsEditable(A34)</f>
        <v>1</v>
      </c>
      <c r="Q34" s="19" t="b" cm="1">
        <f t="array" ref="Q34">IsGridable(A34)</f>
        <v>1</v>
      </c>
      <c r="R34" s="19" t="b" cm="1">
        <f t="array" ref="R34">IsListable(A34)</f>
        <v>0</v>
      </c>
      <c r="S34" s="19" t="b" cm="1">
        <f t="array" ref="S34">IsEncrypted(A34)</f>
        <v>0</v>
      </c>
      <c r="T34" s="19" t="str" cm="1">
        <f t="array" ref="T34">IsInWords(A34)</f>
        <v/>
      </c>
      <c r="U34" s="19" t="b">
        <v>0</v>
      </c>
    </row>
    <row r="35" spans="1:21">
      <c r="A35" s="19">
        <f t="shared" si="0"/>
        <v>32</v>
      </c>
      <c r="B35" s="20">
        <v>5</v>
      </c>
      <c r="C35" s="19" t="str" cm="1">
        <f t="array" ref="C35">GetValue("Tbl","Alias",B35)</f>
        <v>Typ</v>
      </c>
      <c r="D35" s="19" cm="1">
        <f t="array" ref="D35">GetDomainId(C35,G35)</f>
        <v>24</v>
      </c>
      <c r="E35" s="19" t="str" cm="1">
        <f t="array" ref="E35">GetValue("Dmn","Name",D35)</f>
        <v>VARIANT</v>
      </c>
      <c r="F35" s="19">
        <f t="shared" si="1"/>
        <v>20</v>
      </c>
      <c r="G35" s="19" t="str" cm="1">
        <f t="array" ref="G35">GetColumnName(C35,IF(B35=B34,G34,""))</f>
        <v>Minimum</v>
      </c>
      <c r="H35" s="19" t="str">
        <f t="shared" si="2"/>
        <v>Minimum</v>
      </c>
      <c r="I35" s="19" t="str">
        <f t="shared" si="3"/>
        <v>Minimum</v>
      </c>
      <c r="J35" s="19"/>
      <c r="K35" s="19" t="b">
        <v>0</v>
      </c>
      <c r="L35" s="19" t="str" cm="1">
        <f t="array" ref="L35">IsPrimaryKey(A35)</f>
        <v/>
      </c>
      <c r="M35" s="19" t="str" cm="1">
        <f t="array" ref="M35">IsAutoincrement(A35)</f>
        <v/>
      </c>
      <c r="N35" s="19" t="str" cm="1">
        <f t="array" ref="N35">IsUnique(A35)</f>
        <v/>
      </c>
      <c r="O35" s="19" t="str" cm="1">
        <f t="array" ref="O35">IsFilterable(A35)</f>
        <v/>
      </c>
      <c r="P35" s="19" t="b" cm="1">
        <f t="array" ref="P35">IsEditable(A35)</f>
        <v>1</v>
      </c>
      <c r="Q35" s="19" t="str" cm="1">
        <f t="array" ref="Q35">IsGridable(A35)</f>
        <v/>
      </c>
      <c r="R35" s="19" t="str" cm="1">
        <f t="array" ref="R35">IsListable(A35)</f>
        <v/>
      </c>
      <c r="S35" s="19" t="str" cm="1">
        <f t="array" ref="S35">IsEncrypted(A35)</f>
        <v/>
      </c>
      <c r="T35" s="19" t="str" cm="1">
        <f t="array" ref="T35">IsInWords(A35)</f>
        <v/>
      </c>
      <c r="U35" s="19" t="b">
        <v>0</v>
      </c>
    </row>
    <row r="36" spans="1:21">
      <c r="A36" s="19">
        <f t="shared" si="0"/>
        <v>33</v>
      </c>
      <c r="B36" s="20">
        <v>5</v>
      </c>
      <c r="C36" s="19" t="str" cm="1">
        <f t="array" ref="C36">GetValue("Tbl","Alias",B36)</f>
        <v>Typ</v>
      </c>
      <c r="D36" s="19" cm="1">
        <f t="array" ref="D36">GetDomainId(C36,G36)</f>
        <v>24</v>
      </c>
      <c r="E36" s="19" t="str" cm="1">
        <f t="array" ref="E36">GetValue("Dmn","Name",D36)</f>
        <v>VARIANT</v>
      </c>
      <c r="F36" s="19">
        <f t="shared" si="1"/>
        <v>25</v>
      </c>
      <c r="G36" s="19" t="str" cm="1">
        <f t="array" ref="G36">GetColumnName(C36,IF(B36=B35,G35,""))</f>
        <v>Maximum</v>
      </c>
      <c r="H36" s="19" t="str">
        <f t="shared" si="2"/>
        <v>Maximum</v>
      </c>
      <c r="I36" s="19" t="str">
        <f t="shared" si="3"/>
        <v>Maximum</v>
      </c>
      <c r="J36" s="19"/>
      <c r="K36" s="19" t="b">
        <v>1</v>
      </c>
      <c r="L36" s="19" t="str" cm="1">
        <f t="array" ref="L36">IsPrimaryKey(A36)</f>
        <v/>
      </c>
      <c r="M36" s="19" t="str" cm="1">
        <f t="array" ref="M36">IsAutoincrement(A36)</f>
        <v/>
      </c>
      <c r="N36" s="19" t="str" cm="1">
        <f t="array" ref="N36">IsUnique(A36)</f>
        <v/>
      </c>
      <c r="O36" s="19" t="str" cm="1">
        <f t="array" ref="O36">IsFilterable(A36)</f>
        <v/>
      </c>
      <c r="P36" s="19" t="b" cm="1">
        <f t="array" ref="P36">IsEditable(A36)</f>
        <v>1</v>
      </c>
      <c r="Q36" s="19" t="str" cm="1">
        <f t="array" ref="Q36">IsGridable(A36)</f>
        <v/>
      </c>
      <c r="R36" s="19" t="str" cm="1">
        <f t="array" ref="R36">IsListable(A36)</f>
        <v/>
      </c>
      <c r="S36" s="19" t="str" cm="1">
        <f t="array" ref="S36">IsEncrypted(A36)</f>
        <v/>
      </c>
      <c r="T36" s="19" t="str" cm="1">
        <f t="array" ref="T36">IsInWords(A36)</f>
        <v/>
      </c>
      <c r="U36" s="19" t="b">
        <v>0</v>
      </c>
    </row>
    <row r="37" spans="1:21">
      <c r="A37" s="19">
        <f t="shared" si="0"/>
        <v>34</v>
      </c>
      <c r="B37" s="20">
        <v>5</v>
      </c>
      <c r="C37" s="19" t="str" cm="1">
        <f t="array" ref="C37">GetValue("Tbl","Alias",B37)</f>
        <v>Typ</v>
      </c>
      <c r="D37" s="19" cm="1">
        <f t="array" ref="D37">GetDomainId(C37,G37)</f>
        <v>5</v>
      </c>
      <c r="E37" s="19" t="str" cm="1">
        <f t="array" ref="E37">GetValue("Dmn","Name",D37)</f>
        <v>Boolean</v>
      </c>
      <c r="F37" s="19">
        <f t="shared" si="1"/>
        <v>30</v>
      </c>
      <c r="G37" s="19" t="str" cm="1">
        <f t="array" ref="G37">GetColumnName(C37,IF(B37=B36,G36,""))</f>
        <v>AskLength</v>
      </c>
      <c r="H37" s="19" t="str">
        <f t="shared" si="2"/>
        <v>AskLength</v>
      </c>
      <c r="I37" s="19" t="str">
        <f t="shared" si="3"/>
        <v>AskLength</v>
      </c>
      <c r="J37" s="19"/>
      <c r="K37" s="19" t="b">
        <v>1</v>
      </c>
      <c r="L37" s="19" t="b" cm="1">
        <f t="array" ref="L37">IsPrimaryKey(A37)</f>
        <v>0</v>
      </c>
      <c r="M37" s="19" t="str" cm="1">
        <f t="array" ref="M37">IsAutoincrement(A37)</f>
        <v/>
      </c>
      <c r="N37" s="19" t="str" cm="1">
        <f t="array" ref="N37">IsUnique(A37)</f>
        <v/>
      </c>
      <c r="O37" s="19" t="b" cm="1">
        <f t="array" ref="O37">IsFilterable(A37)</f>
        <v>1</v>
      </c>
      <c r="P37" s="19" t="b" cm="1">
        <f t="array" ref="P37">IsEditable(A37)</f>
        <v>1</v>
      </c>
      <c r="Q37" s="19" t="b" cm="1">
        <f t="array" ref="Q37">IsGridable(A37)</f>
        <v>1</v>
      </c>
      <c r="R37" s="19" t="str" cm="1">
        <f t="array" ref="R37">IsListable(A37)</f>
        <v/>
      </c>
      <c r="S37" s="19" t="str" cm="1">
        <f t="array" ref="S37">IsEncrypted(A37)</f>
        <v/>
      </c>
      <c r="T37" s="19" t="str" cm="1">
        <f t="array" ref="T37">IsInWords(A37)</f>
        <v/>
      </c>
      <c r="U37" s="19" t="b">
        <v>0</v>
      </c>
    </row>
    <row r="38" spans="1:21">
      <c r="A38" s="19">
        <f t="shared" si="0"/>
        <v>35</v>
      </c>
      <c r="B38" s="20">
        <v>5</v>
      </c>
      <c r="C38" s="19" t="str" cm="1">
        <f t="array" ref="C38">GetValue("Tbl","Alias",B38)</f>
        <v>Typ</v>
      </c>
      <c r="D38" s="19" cm="1">
        <f t="array" ref="D38">GetDomainId(C38,G38)</f>
        <v>5</v>
      </c>
      <c r="E38" s="19" t="str" cm="1">
        <f t="array" ref="E38">GetValue("Dmn","Name",D38)</f>
        <v>Boolean</v>
      </c>
      <c r="F38" s="19">
        <f t="shared" si="1"/>
        <v>35</v>
      </c>
      <c r="G38" s="19" t="str" cm="1">
        <f t="array" ref="G38">GetColumnName(C38,IF(B38=B37,G37,""))</f>
        <v>AskDecimals</v>
      </c>
      <c r="H38" s="19" t="str">
        <f t="shared" si="2"/>
        <v>AskDecimals</v>
      </c>
      <c r="I38" s="19" t="str">
        <f t="shared" si="3"/>
        <v>AskDecimals</v>
      </c>
      <c r="J38" s="19"/>
      <c r="K38" s="19" t="b">
        <v>1</v>
      </c>
      <c r="L38" s="19" t="b" cm="1">
        <f t="array" ref="L38">IsPrimaryKey(A38)</f>
        <v>0</v>
      </c>
      <c r="M38" s="19" t="str" cm="1">
        <f t="array" ref="M38">IsAutoincrement(A38)</f>
        <v/>
      </c>
      <c r="N38" s="19" t="str" cm="1">
        <f t="array" ref="N38">IsUnique(A38)</f>
        <v/>
      </c>
      <c r="O38" s="19" t="b" cm="1">
        <f t="array" ref="O38">IsFilterable(A38)</f>
        <v>1</v>
      </c>
      <c r="P38" s="19" t="b" cm="1">
        <f t="array" ref="P38">IsEditable(A38)</f>
        <v>1</v>
      </c>
      <c r="Q38" s="19" t="b" cm="1">
        <f t="array" ref="Q38">IsGridable(A38)</f>
        <v>1</v>
      </c>
      <c r="R38" s="19" t="str" cm="1">
        <f t="array" ref="R38">IsListable(A38)</f>
        <v/>
      </c>
      <c r="S38" s="19" t="str" cm="1">
        <f t="array" ref="S38">IsEncrypted(A38)</f>
        <v/>
      </c>
      <c r="T38" s="19" t="str" cm="1">
        <f t="array" ref="T38">IsInWords(A38)</f>
        <v/>
      </c>
      <c r="U38" s="19" t="b">
        <v>0</v>
      </c>
    </row>
    <row r="39" spans="1:21">
      <c r="A39" s="19">
        <f t="shared" si="0"/>
        <v>36</v>
      </c>
      <c r="B39" s="20">
        <v>5</v>
      </c>
      <c r="C39" s="19" t="str" cm="1">
        <f t="array" ref="C39">GetValue("Tbl","Alias",B39)</f>
        <v>Typ</v>
      </c>
      <c r="D39" s="19" cm="1">
        <f t="array" ref="D39">GetDomainId(C39,G39)</f>
        <v>5</v>
      </c>
      <c r="E39" s="19" t="str" cm="1">
        <f t="array" ref="E39">GetValue("Dmn","Name",D39)</f>
        <v>Boolean</v>
      </c>
      <c r="F39" s="19">
        <f t="shared" si="1"/>
        <v>40</v>
      </c>
      <c r="G39" s="19" t="str" cm="1">
        <f t="array" ref="G39">GetColumnName(C39,IF(B39=B38,G38,""))</f>
        <v>AskPrimarykey</v>
      </c>
      <c r="H39" s="19" t="str">
        <f t="shared" si="2"/>
        <v>AskPrimarykey</v>
      </c>
      <c r="I39" s="19" t="str">
        <f t="shared" si="3"/>
        <v>AskPrimarykey</v>
      </c>
      <c r="J39" s="19"/>
      <c r="K39" s="19" t="b">
        <v>1</v>
      </c>
      <c r="L39" s="19" t="b" cm="1">
        <f t="array" ref="L39">IsPrimaryKey(A39)</f>
        <v>0</v>
      </c>
      <c r="M39" s="19" t="str" cm="1">
        <f t="array" ref="M39">IsAutoincrement(A39)</f>
        <v/>
      </c>
      <c r="N39" s="19" t="str" cm="1">
        <f t="array" ref="N39">IsUnique(A39)</f>
        <v/>
      </c>
      <c r="O39" s="19" t="b" cm="1">
        <f t="array" ref="O39">IsFilterable(A39)</f>
        <v>1</v>
      </c>
      <c r="P39" s="19" t="b" cm="1">
        <f t="array" ref="P39">IsEditable(A39)</f>
        <v>1</v>
      </c>
      <c r="Q39" s="19" t="b" cm="1">
        <f t="array" ref="Q39">IsGridable(A39)</f>
        <v>1</v>
      </c>
      <c r="R39" s="19" t="str" cm="1">
        <f t="array" ref="R39">IsListable(A39)</f>
        <v/>
      </c>
      <c r="S39" s="19" t="str" cm="1">
        <f t="array" ref="S39">IsEncrypted(A39)</f>
        <v/>
      </c>
      <c r="T39" s="19" t="str" cm="1">
        <f t="array" ref="T39">IsInWords(A39)</f>
        <v/>
      </c>
      <c r="U39" s="19" t="b">
        <v>0</v>
      </c>
    </row>
    <row r="40" spans="1:21">
      <c r="A40" s="19">
        <f t="shared" si="0"/>
        <v>37</v>
      </c>
      <c r="B40" s="20">
        <v>5</v>
      </c>
      <c r="C40" s="19" t="str" cm="1">
        <f t="array" ref="C40">GetValue("Tbl","Alias",B40)</f>
        <v>Typ</v>
      </c>
      <c r="D40" s="19" cm="1">
        <f t="array" ref="D40">GetDomainId(C40,G40)</f>
        <v>5</v>
      </c>
      <c r="E40" s="19" t="str" cm="1">
        <f t="array" ref="E40">GetValue("Dmn","Name",D40)</f>
        <v>Boolean</v>
      </c>
      <c r="F40" s="19">
        <f t="shared" si="1"/>
        <v>45</v>
      </c>
      <c r="G40" s="19" t="str" cm="1">
        <f t="array" ref="G40">GetColumnName(C40,IF(B40=B39,G39,""))</f>
        <v>AskAutoincrement</v>
      </c>
      <c r="H40" s="19" t="str">
        <f t="shared" si="2"/>
        <v>AskAutoincrement</v>
      </c>
      <c r="I40" s="19" t="str">
        <f t="shared" si="3"/>
        <v>AskAutoincrement</v>
      </c>
      <c r="J40" s="19"/>
      <c r="K40" s="19" t="b">
        <v>1</v>
      </c>
      <c r="L40" s="19" t="b" cm="1">
        <f t="array" ref="L40">IsPrimaryKey(A40)</f>
        <v>0</v>
      </c>
      <c r="M40" s="19" t="str" cm="1">
        <f t="array" ref="M40">IsAutoincrement(A40)</f>
        <v/>
      </c>
      <c r="N40" s="19" t="str" cm="1">
        <f t="array" ref="N40">IsUnique(A40)</f>
        <v/>
      </c>
      <c r="O40" s="19" t="b" cm="1">
        <f t="array" ref="O40">IsFilterable(A40)</f>
        <v>1</v>
      </c>
      <c r="P40" s="19" t="b" cm="1">
        <f t="array" ref="P40">IsEditable(A40)</f>
        <v>1</v>
      </c>
      <c r="Q40" s="19" t="b" cm="1">
        <f t="array" ref="Q40">IsGridable(A40)</f>
        <v>1</v>
      </c>
      <c r="R40" s="19" t="str" cm="1">
        <f t="array" ref="R40">IsListable(A40)</f>
        <v/>
      </c>
      <c r="S40" s="19" t="str" cm="1">
        <f t="array" ref="S40">IsEncrypted(A40)</f>
        <v/>
      </c>
      <c r="T40" s="19" t="str" cm="1">
        <f t="array" ref="T40">IsInWords(A40)</f>
        <v/>
      </c>
      <c r="U40" s="19" t="b">
        <v>0</v>
      </c>
    </row>
    <row r="41" spans="1:21">
      <c r="A41" s="19">
        <f t="shared" si="0"/>
        <v>38</v>
      </c>
      <c r="B41" s="20">
        <v>5</v>
      </c>
      <c r="C41" s="19" t="str" cm="1">
        <f t="array" ref="C41">GetValue("Tbl","Alias",B41)</f>
        <v>Typ</v>
      </c>
      <c r="D41" s="19" cm="1">
        <f t="array" ref="D41">GetDomainId(C41,G41)</f>
        <v>5</v>
      </c>
      <c r="E41" s="19" t="str" cm="1">
        <f t="array" ref="E41">GetValue("Dmn","Name",D41)</f>
        <v>Boolean</v>
      </c>
      <c r="F41" s="19">
        <f>IF(G41="Id",5,F39+5)</f>
        <v>45</v>
      </c>
      <c r="G41" s="19" t="str" cm="1">
        <f t="array" ref="G41">GetColumnName(C41,IF(B41=B40,G40,""))</f>
        <v>IsIndexable</v>
      </c>
      <c r="H41" s="19" t="str">
        <f t="shared" ref="H41" si="4">G41</f>
        <v>IsIndexable</v>
      </c>
      <c r="I41" s="19" t="str">
        <f t="shared" ref="I41" si="5">G41</f>
        <v>IsIndexable</v>
      </c>
      <c r="J41" s="19"/>
      <c r="K41" s="19" t="b">
        <v>1</v>
      </c>
      <c r="L41" s="19" t="b" cm="1">
        <f t="array" ref="L41">IsPrimaryKey(A41)</f>
        <v>0</v>
      </c>
      <c r="M41" s="19" t="str" cm="1">
        <f t="array" ref="M41">IsAutoincrement(A41)</f>
        <v/>
      </c>
      <c r="N41" s="19" t="str" cm="1">
        <f t="array" ref="N41">IsUnique(A41)</f>
        <v/>
      </c>
      <c r="O41" s="19" t="b" cm="1">
        <f t="array" ref="O41">IsFilterable(A41)</f>
        <v>1</v>
      </c>
      <c r="P41" s="19" t="b" cm="1">
        <f t="array" ref="P41">IsEditable(A41)</f>
        <v>1</v>
      </c>
      <c r="Q41" s="19" t="b" cm="1">
        <f t="array" ref="Q41">IsGridable(A41)</f>
        <v>1</v>
      </c>
      <c r="R41" s="19" t="str" cm="1">
        <f t="array" ref="R41">IsListable(A41)</f>
        <v/>
      </c>
      <c r="S41" s="19" t="str" cm="1">
        <f t="array" ref="S41">IsEncrypted(A41)</f>
        <v/>
      </c>
      <c r="T41" s="19" t="str" cm="1">
        <f t="array" ref="T41">IsInWords(A41)</f>
        <v/>
      </c>
      <c r="U41" s="19" t="b">
        <v>0</v>
      </c>
    </row>
    <row r="42" spans="1:21">
      <c r="A42" s="19">
        <f t="shared" si="0"/>
        <v>39</v>
      </c>
      <c r="B42" s="20">
        <v>5</v>
      </c>
      <c r="C42" s="19" t="str" cm="1">
        <f t="array" ref="C42">GetValue("Tbl","Alias",B42)</f>
        <v>Typ</v>
      </c>
      <c r="D42" s="19" cm="1">
        <f t="array" ref="D42">GetDomainId(C42,G42)</f>
        <v>5</v>
      </c>
      <c r="E42" s="19" t="str" cm="1">
        <f t="array" ref="E42">GetValue("Dmn","Name",D42)</f>
        <v>Boolean</v>
      </c>
      <c r="F42" s="19">
        <f>IF(G42="Id",5,F40+5)</f>
        <v>50</v>
      </c>
      <c r="G42" s="19" t="str" cm="1">
        <f t="array" ref="G42">GetColumnName(C42,IF(B42=B41,G41,""))</f>
        <v>IsActive</v>
      </c>
      <c r="H42" s="19" t="str">
        <f t="shared" si="2"/>
        <v>IsActive</v>
      </c>
      <c r="I42" s="19" t="str">
        <f t="shared" si="3"/>
        <v>IsActive</v>
      </c>
      <c r="J42" s="19"/>
      <c r="K42" s="19" t="b">
        <v>1</v>
      </c>
      <c r="L42" s="19" t="b" cm="1">
        <f t="array" ref="L42">IsPrimaryKey(A42)</f>
        <v>0</v>
      </c>
      <c r="M42" s="19" t="str" cm="1">
        <f t="array" ref="M42">IsAutoincrement(A42)</f>
        <v/>
      </c>
      <c r="N42" s="19" t="str" cm="1">
        <f t="array" ref="N42">IsUnique(A42)</f>
        <v/>
      </c>
      <c r="O42" s="19" t="b" cm="1">
        <f t="array" ref="O42">IsFilterable(A42)</f>
        <v>1</v>
      </c>
      <c r="P42" s="19" t="b" cm="1">
        <f t="array" ref="P42">IsEditable(A42)</f>
        <v>1</v>
      </c>
      <c r="Q42" s="19" t="b" cm="1">
        <f t="array" ref="Q42">IsGridable(A42)</f>
        <v>1</v>
      </c>
      <c r="R42" s="19" t="str" cm="1">
        <f t="array" ref="R42">IsListable(A42)</f>
        <v/>
      </c>
      <c r="S42" s="19" t="str" cm="1">
        <f t="array" ref="S42">IsEncrypted(A42)</f>
        <v/>
      </c>
      <c r="T42" s="19" t="str" cm="1">
        <f t="array" ref="T42">IsInWords(A42)</f>
        <v/>
      </c>
      <c r="U42" s="19" t="b">
        <v>0</v>
      </c>
    </row>
    <row r="43" spans="1:21">
      <c r="A43" s="17">
        <f t="shared" si="0"/>
        <v>40</v>
      </c>
      <c r="B43" s="18">
        <v>6</v>
      </c>
      <c r="C43" s="17" t="str" cm="1">
        <f t="array" ref="C43">GetValue("Tbl","Alias",B43)</f>
        <v>Map</v>
      </c>
      <c r="D43" s="17" cm="1">
        <f t="array" ref="D43">GetDomainId(C43,G43)</f>
        <v>57</v>
      </c>
      <c r="E43" s="17" t="str" cm="1">
        <f t="array" ref="E43">GetValue("Dmn","Name",D43)</f>
        <v>SmallId</v>
      </c>
      <c r="F43" s="17">
        <f t="shared" si="1"/>
        <v>5</v>
      </c>
      <c r="G43" s="17" t="str" cm="1">
        <f t="array" ref="G43">GetColumnName(C43,IF(B43=B42,G42,""))</f>
        <v>Id</v>
      </c>
      <c r="H43" s="17" t="str">
        <f t="shared" si="2"/>
        <v>Id</v>
      </c>
      <c r="I43" s="17" t="str">
        <f t="shared" si="3"/>
        <v>Id</v>
      </c>
      <c r="J43" s="17"/>
      <c r="K43" s="17" t="b">
        <v>1</v>
      </c>
      <c r="L43" s="17" t="b" cm="1">
        <f t="array" ref="L43">IsPrimaryKey(A43)</f>
        <v>1</v>
      </c>
      <c r="M43" s="17" t="b" cm="1">
        <f t="array" ref="M43">IsAutoincrement(A43)</f>
        <v>1</v>
      </c>
      <c r="N43" s="17" t="b" cm="1">
        <f t="array" ref="N43">IsUnique(A43)</f>
        <v>0</v>
      </c>
      <c r="O43" s="17" t="str" cm="1">
        <f t="array" ref="O43">IsFilterable(A43)</f>
        <v/>
      </c>
      <c r="P43" s="17" t="str" cm="1">
        <f t="array" ref="P43">IsEditable(A43)</f>
        <v/>
      </c>
      <c r="Q43" s="17" t="str" cm="1">
        <f t="array" ref="Q43">IsGridable(A43)</f>
        <v/>
      </c>
      <c r="R43" s="17" t="str" cm="1">
        <f t="array" ref="R43">IsListable(A43)</f>
        <v/>
      </c>
      <c r="S43" s="17" t="str" cm="1">
        <f t="array" ref="S43">IsEncrypted(A43)</f>
        <v/>
      </c>
      <c r="T43" s="17" t="str" cm="1">
        <f t="array" ref="T43">IsInWords(A43)</f>
        <v/>
      </c>
      <c r="U43" s="17" t="b">
        <v>0</v>
      </c>
    </row>
    <row r="44" spans="1:21">
      <c r="A44" s="17">
        <f t="shared" si="0"/>
        <v>41</v>
      </c>
      <c r="B44" s="18">
        <v>6</v>
      </c>
      <c r="C44" s="17" t="str" cm="1">
        <f t="array" ref="C44">GetValue("Tbl","Alias",B44)</f>
        <v>Map</v>
      </c>
      <c r="D44" s="17" cm="1">
        <f t="array" ref="D44">GetDomainId(C44,G44)</f>
        <v>58</v>
      </c>
      <c r="E44" s="17" t="str" cm="1">
        <f t="array" ref="E44">GetValue("Dmn","Name",D44)</f>
        <v>TinyId</v>
      </c>
      <c r="F44" s="17">
        <f t="shared" si="1"/>
        <v>10</v>
      </c>
      <c r="G44" s="17" t="str" cm="1">
        <f t="array" ref="G44">GetColumnName(C44,IF(B44=B43,G43,""))</f>
        <v>EngineId</v>
      </c>
      <c r="H44" s="17" t="str">
        <f t="shared" si="2"/>
        <v>EngineId</v>
      </c>
      <c r="I44" s="17" t="str">
        <f t="shared" si="3"/>
        <v>EngineId</v>
      </c>
      <c r="J44" s="17"/>
      <c r="K44" s="17" t="b">
        <v>1</v>
      </c>
      <c r="L44" s="17" t="b" cm="1">
        <f t="array" ref="L44">IsPrimaryKey(A44)</f>
        <v>0</v>
      </c>
      <c r="M44" s="17" t="b" cm="1">
        <f t="array" ref="M44">IsAutoincrement(A44)</f>
        <v>0</v>
      </c>
      <c r="N44" s="17" t="b" cm="1">
        <f t="array" ref="N44">IsUnique(A44)</f>
        <v>0</v>
      </c>
      <c r="O44" s="17" t="b" cm="1">
        <f t="array" ref="O44">IsFilterable(A44)</f>
        <v>1</v>
      </c>
      <c r="P44" s="17" t="b" cm="1">
        <f t="array" ref="P44">IsEditable(A44)</f>
        <v>1</v>
      </c>
      <c r="Q44" s="17" t="b" cm="1">
        <f t="array" ref="Q44">IsGridable(A44)</f>
        <v>1</v>
      </c>
      <c r="R44" s="17" t="str" cm="1">
        <f t="array" ref="R44">IsListable(A44)</f>
        <v/>
      </c>
      <c r="S44" s="17" t="str" cm="1">
        <f t="array" ref="S44">IsEncrypted(A44)</f>
        <v/>
      </c>
      <c r="T44" s="17" t="b" cm="1">
        <f t="array" ref="T44">IsInWords(A44)</f>
        <v>0</v>
      </c>
      <c r="U44" s="17" t="b">
        <v>0</v>
      </c>
    </row>
    <row r="45" spans="1:21">
      <c r="A45" s="17">
        <f t="shared" si="0"/>
        <v>42</v>
      </c>
      <c r="B45" s="18">
        <v>6</v>
      </c>
      <c r="C45" s="17" t="str" cm="1">
        <f t="array" ref="C45">GetValue("Tbl","Alias",B45)</f>
        <v>Map</v>
      </c>
      <c r="D45" s="17" cm="1">
        <f t="array" ref="D45">GetDomainId(C45,G45)</f>
        <v>58</v>
      </c>
      <c r="E45" s="17" t="str" cm="1">
        <f t="array" ref="E45">GetValue("Dmn","Name",D45)</f>
        <v>TinyId</v>
      </c>
      <c r="F45" s="17">
        <f t="shared" si="1"/>
        <v>15</v>
      </c>
      <c r="G45" s="17" t="str" cm="1">
        <f t="array" ref="G45">GetColumnName(C45,IF(B45=B44,G44,""))</f>
        <v>TypeId</v>
      </c>
      <c r="H45" s="17" t="str">
        <f t="shared" si="2"/>
        <v>TypeId</v>
      </c>
      <c r="I45" s="17" t="str">
        <f t="shared" si="3"/>
        <v>TypeId</v>
      </c>
      <c r="J45" s="17"/>
      <c r="K45" s="17" t="b">
        <v>1</v>
      </c>
      <c r="L45" s="17" t="b" cm="1">
        <f t="array" ref="L45">IsPrimaryKey(A45)</f>
        <v>0</v>
      </c>
      <c r="M45" s="17" t="b" cm="1">
        <f t="array" ref="M45">IsAutoincrement(A45)</f>
        <v>0</v>
      </c>
      <c r="N45" s="17" t="b" cm="1">
        <f t="array" ref="N45">IsUnique(A45)</f>
        <v>0</v>
      </c>
      <c r="O45" s="17" t="b" cm="1">
        <f t="array" ref="O45">IsFilterable(A45)</f>
        <v>1</v>
      </c>
      <c r="P45" s="17" t="b" cm="1">
        <f t="array" ref="P45">IsEditable(A45)</f>
        <v>1</v>
      </c>
      <c r="Q45" s="17" t="b" cm="1">
        <f t="array" ref="Q45">IsGridable(A45)</f>
        <v>1</v>
      </c>
      <c r="R45" s="17" t="str" cm="1">
        <f t="array" ref="R45">IsListable(A45)</f>
        <v/>
      </c>
      <c r="S45" s="17" t="str" cm="1">
        <f t="array" ref="S45">IsEncrypted(A45)</f>
        <v/>
      </c>
      <c r="T45" s="17" t="b" cm="1">
        <f t="array" ref="T45">IsInWords(A45)</f>
        <v>0</v>
      </c>
      <c r="U45" s="17" t="b">
        <v>0</v>
      </c>
    </row>
    <row r="46" spans="1:21">
      <c r="A46" s="17">
        <f t="shared" si="0"/>
        <v>43</v>
      </c>
      <c r="B46" s="18">
        <v>6</v>
      </c>
      <c r="C46" s="17" t="str" cm="1">
        <f t="array" ref="C46">GetValue("Tbl","Alias",B46)</f>
        <v>Map</v>
      </c>
      <c r="D46" s="17" cm="1">
        <f t="array" ref="D46">GetDomainId(C46,G46)</f>
        <v>10</v>
      </c>
      <c r="E46" s="17" t="str" cm="1">
        <f t="array" ref="E46">GetValue("Dmn","Name",D46)</f>
        <v>NVARCHAR(20)</v>
      </c>
      <c r="F46" s="17">
        <f t="shared" si="1"/>
        <v>20</v>
      </c>
      <c r="G46" s="17" t="str" cm="1">
        <f t="array" ref="G46">GetColumnName(C46,IF(B46=B45,G45,""))</f>
        <v>Name</v>
      </c>
      <c r="H46" s="17" t="str">
        <f t="shared" si="2"/>
        <v>Name</v>
      </c>
      <c r="I46" s="17" t="str">
        <f t="shared" si="3"/>
        <v>Name</v>
      </c>
      <c r="J46" s="17"/>
      <c r="K46" s="17" t="b">
        <v>0</v>
      </c>
      <c r="L46" s="17" t="b" cm="1">
        <f t="array" ref="L46">IsPrimaryKey(A46)</f>
        <v>0</v>
      </c>
      <c r="M46" s="17" t="str" cm="1">
        <f t="array" ref="M46">IsAutoincrement(A46)</f>
        <v/>
      </c>
      <c r="N46" s="17" t="b" cm="1">
        <f t="array" ref="N46">IsUnique(A46)</f>
        <v>0</v>
      </c>
      <c r="O46" s="17" t="b" cm="1">
        <f t="array" ref="O46">IsFilterable(A46)</f>
        <v>1</v>
      </c>
      <c r="P46" s="17" t="b" cm="1">
        <f t="array" ref="P46">IsEditable(A46)</f>
        <v>1</v>
      </c>
      <c r="Q46" s="17" t="b" cm="1">
        <f t="array" ref="Q46">IsGridable(A46)</f>
        <v>1</v>
      </c>
      <c r="R46" s="17" t="b" cm="1">
        <f t="array" ref="R46">IsListable(A46)</f>
        <v>0</v>
      </c>
      <c r="S46" s="17" t="b" cm="1">
        <f t="array" ref="S46">IsEncrypted(A46)</f>
        <v>0</v>
      </c>
      <c r="T46" s="17" t="str" cm="1">
        <f t="array" ref="T46">IsInWords(A46)</f>
        <v/>
      </c>
      <c r="U46" s="17" t="b">
        <v>0</v>
      </c>
    </row>
    <row r="47" spans="1:21">
      <c r="A47" s="17">
        <f t="shared" si="0"/>
        <v>44</v>
      </c>
      <c r="B47" s="18">
        <v>6</v>
      </c>
      <c r="C47" s="17" t="str" cm="1">
        <f t="array" ref="C47">GetValue("Tbl","Alias",B47)</f>
        <v>Map</v>
      </c>
      <c r="D47" s="17" cm="1">
        <f t="array" ref="D47">GetDomainId(C47,G47)</f>
        <v>2</v>
      </c>
      <c r="E47" s="17" t="str" cm="1">
        <f t="array" ref="E47">GetValue("Dmn","Name",D47)</f>
        <v>Integer</v>
      </c>
      <c r="F47" s="17">
        <f t="shared" si="1"/>
        <v>25</v>
      </c>
      <c r="G47" s="17" t="str" cm="1">
        <f t="array" ref="G47">GetColumnName(C47,IF(B47=B46,G46,""))</f>
        <v>Length</v>
      </c>
      <c r="H47" s="17" t="str">
        <f t="shared" si="2"/>
        <v>Length</v>
      </c>
      <c r="I47" s="17" t="str">
        <f t="shared" si="3"/>
        <v>Length</v>
      </c>
      <c r="J47" s="17"/>
      <c r="K47" s="17" t="b">
        <v>0</v>
      </c>
      <c r="L47" s="17" t="b" cm="1">
        <f t="array" ref="L47">IsPrimaryKey(A47)</f>
        <v>0</v>
      </c>
      <c r="M47" s="17" t="b" cm="1">
        <f t="array" ref="M47">IsAutoincrement(A47)</f>
        <v>0</v>
      </c>
      <c r="N47" s="17" t="b" cm="1">
        <f t="array" ref="N47">IsUnique(A47)</f>
        <v>0</v>
      </c>
      <c r="O47" s="17" t="b" cm="1">
        <f t="array" ref="O47">IsFilterable(A47)</f>
        <v>1</v>
      </c>
      <c r="P47" s="17" t="b" cm="1">
        <f t="array" ref="P47">IsEditable(A47)</f>
        <v>1</v>
      </c>
      <c r="Q47" s="17" t="b" cm="1">
        <f t="array" ref="Q47">IsGridable(A47)</f>
        <v>1</v>
      </c>
      <c r="R47" s="17" t="str" cm="1">
        <f t="array" ref="R47">IsListable(A47)</f>
        <v/>
      </c>
      <c r="S47" s="17" t="str" cm="1">
        <f t="array" ref="S47">IsEncrypted(A47)</f>
        <v/>
      </c>
      <c r="T47" s="17" t="b" cm="1">
        <f t="array" ref="T47">IsInWords(A47)</f>
        <v>0</v>
      </c>
      <c r="U47" s="17" t="b">
        <v>0</v>
      </c>
    </row>
    <row r="48" spans="1:21">
      <c r="A48" s="17">
        <f t="shared" si="0"/>
        <v>45</v>
      </c>
      <c r="B48" s="18">
        <v>6</v>
      </c>
      <c r="C48" s="17" t="str" cm="1">
        <f t="array" ref="C48">GetValue("Tbl","Alias",B48)</f>
        <v>Map</v>
      </c>
      <c r="D48" s="17" cm="1">
        <f t="array" ref="D48">GetDomainId(C48,G48)</f>
        <v>4</v>
      </c>
      <c r="E48" s="17" t="str" cm="1">
        <f t="array" ref="E48">GetValue("Dmn","Name",D48)</f>
        <v>TinyInteger</v>
      </c>
      <c r="F48" s="17">
        <f t="shared" si="1"/>
        <v>30</v>
      </c>
      <c r="G48" s="17" t="str" cm="1">
        <f t="array" ref="G48">GetColumnName(C48,IF(B48=B47,G47,""))</f>
        <v>Decimals</v>
      </c>
      <c r="H48" s="17" t="str">
        <f t="shared" si="2"/>
        <v>Decimals</v>
      </c>
      <c r="I48" s="17" t="str">
        <f t="shared" si="3"/>
        <v>Decimals</v>
      </c>
      <c r="J48" s="17"/>
      <c r="K48" s="17" t="b">
        <v>1</v>
      </c>
      <c r="L48" s="17" t="b" cm="1">
        <f t="array" ref="L48">IsPrimaryKey(A48)</f>
        <v>0</v>
      </c>
      <c r="M48" s="17" t="b" cm="1">
        <f t="array" ref="M48">IsAutoincrement(A48)</f>
        <v>0</v>
      </c>
      <c r="N48" s="17" t="b" cm="1">
        <f t="array" ref="N48">IsUnique(A48)</f>
        <v>0</v>
      </c>
      <c r="O48" s="17" t="b" cm="1">
        <f t="array" ref="O48">IsFilterable(A48)</f>
        <v>1</v>
      </c>
      <c r="P48" s="17" t="b" cm="1">
        <f t="array" ref="P48">IsEditable(A48)</f>
        <v>1</v>
      </c>
      <c r="Q48" s="17" t="b" cm="1">
        <f t="array" ref="Q48">IsGridable(A48)</f>
        <v>1</v>
      </c>
      <c r="R48" s="17" t="str" cm="1">
        <f t="array" ref="R48">IsListable(A48)</f>
        <v/>
      </c>
      <c r="S48" s="17" t="str" cm="1">
        <f t="array" ref="S48">IsEncrypted(A48)</f>
        <v/>
      </c>
      <c r="T48" s="17" t="b" cm="1">
        <f t="array" ref="T48">IsInWords(A48)</f>
        <v>0</v>
      </c>
      <c r="U48" s="17" t="b">
        <v>0</v>
      </c>
    </row>
    <row r="49" spans="1:21">
      <c r="A49" s="17">
        <f t="shared" si="0"/>
        <v>46</v>
      </c>
      <c r="B49" s="18">
        <v>6</v>
      </c>
      <c r="C49" s="17" t="str" cm="1">
        <f t="array" ref="C49">GetValue("Tbl","Alias",B49)</f>
        <v>Map</v>
      </c>
      <c r="D49" s="17" cm="1">
        <f t="array" ref="D49">GetDomainId(C49,G49)</f>
        <v>11</v>
      </c>
      <c r="E49" s="17" t="str" cm="1">
        <f t="array" ref="E49">GetValue("Dmn","Name",D49)</f>
        <v>NVARCHAR(25)</v>
      </c>
      <c r="F49" s="17">
        <f t="shared" ref="F49:F50" si="6">IF(G49="Id",5,F48+5)</f>
        <v>35</v>
      </c>
      <c r="G49" s="17" t="str" cm="1">
        <f t="array" ref="G49">GetColumnName(C49,IF(B49=B48,G48,""))</f>
        <v>Complement</v>
      </c>
      <c r="H49" s="17" t="str">
        <f t="shared" ref="H49" si="7">G49</f>
        <v>Complement</v>
      </c>
      <c r="I49" s="17" t="str">
        <f t="shared" ref="I49" si="8">G49</f>
        <v>Complement</v>
      </c>
      <c r="J49" s="17"/>
      <c r="K49" s="17" t="b">
        <v>1</v>
      </c>
      <c r="L49" s="17" t="b" cm="1">
        <f t="array" ref="L49">IsPrimaryKey(A49)</f>
        <v>0</v>
      </c>
      <c r="M49" s="17" t="str" cm="1">
        <f t="array" ref="M49">IsAutoincrement(A49)</f>
        <v/>
      </c>
      <c r="N49" s="17" t="b" cm="1">
        <f t="array" ref="N49">IsUnique(A49)</f>
        <v>0</v>
      </c>
      <c r="O49" s="17" t="b" cm="1">
        <f t="array" ref="O49">IsFilterable(A49)</f>
        <v>1</v>
      </c>
      <c r="P49" s="17" t="b" cm="1">
        <f t="array" ref="P49">IsEditable(A49)</f>
        <v>1</v>
      </c>
      <c r="Q49" s="17" t="b" cm="1">
        <f t="array" ref="Q49">IsGridable(A49)</f>
        <v>1</v>
      </c>
      <c r="R49" s="17" t="b" cm="1">
        <f t="array" ref="R49">IsListable(A49)</f>
        <v>0</v>
      </c>
      <c r="S49" s="17" t="b" cm="1">
        <f t="array" ref="S49">IsEncrypted(A49)</f>
        <v>0</v>
      </c>
      <c r="T49" s="17" t="str" cm="1">
        <f t="array" ref="T49">IsInWords(A49)</f>
        <v/>
      </c>
      <c r="U49" s="17" t="b">
        <v>0</v>
      </c>
    </row>
    <row r="50" spans="1:21">
      <c r="A50" s="19">
        <f t="shared" si="0"/>
        <v>47</v>
      </c>
      <c r="B50" s="20">
        <v>7</v>
      </c>
      <c r="C50" s="19" t="str" cm="1">
        <f t="array" ref="C50">GetValue("Tbl","Alias",B50)</f>
        <v>Own</v>
      </c>
      <c r="D50" s="19" cm="1">
        <f t="array" ref="D50">GetDomainId(C50,G50)</f>
        <v>57</v>
      </c>
      <c r="E50" s="19" t="str" cm="1">
        <f t="array" ref="E50">GetValue("Dmn","Name",D50)</f>
        <v>SmallId</v>
      </c>
      <c r="F50" s="19">
        <f t="shared" si="6"/>
        <v>5</v>
      </c>
      <c r="G50" s="19" t="str" cm="1">
        <f t="array" ref="G50">GetColumnName(C50,IF(B50=B49,G49,""))</f>
        <v>Id</v>
      </c>
      <c r="H50" s="19" t="str">
        <f t="shared" si="2"/>
        <v>Id</v>
      </c>
      <c r="I50" s="19" t="str">
        <f t="shared" si="3"/>
        <v>Id</v>
      </c>
      <c r="J50" s="19"/>
      <c r="K50" s="19" t="b">
        <v>1</v>
      </c>
      <c r="L50" s="19" t="b" cm="1">
        <f t="array" ref="L50">IsPrimaryKey(A50)</f>
        <v>1</v>
      </c>
      <c r="M50" s="19" t="b" cm="1">
        <f t="array" ref="M50">IsAutoincrement(A50)</f>
        <v>1</v>
      </c>
      <c r="N50" s="19" t="b" cm="1">
        <f t="array" ref="N50">IsUnique(A50)</f>
        <v>0</v>
      </c>
      <c r="O50" s="19" t="str" cm="1">
        <f t="array" ref="O50">IsFilterable(A50)</f>
        <v/>
      </c>
      <c r="P50" s="19" t="str" cm="1">
        <f t="array" ref="P50">IsEditable(A50)</f>
        <v/>
      </c>
      <c r="Q50" s="19" t="str" cm="1">
        <f t="array" ref="Q50">IsGridable(A50)</f>
        <v/>
      </c>
      <c r="R50" s="19" t="str" cm="1">
        <f t="array" ref="R50">IsListable(A50)</f>
        <v/>
      </c>
      <c r="S50" s="19" t="str" cm="1">
        <f t="array" ref="S50">IsEncrypted(A50)</f>
        <v/>
      </c>
      <c r="T50" s="19" t="str" cm="1">
        <f t="array" ref="T50">IsInWords(A50)</f>
        <v/>
      </c>
      <c r="U50" s="19" t="b">
        <v>0</v>
      </c>
    </row>
    <row r="51" spans="1:21">
      <c r="A51" s="19">
        <f t="shared" si="0"/>
        <v>48</v>
      </c>
      <c r="B51" s="20">
        <v>7</v>
      </c>
      <c r="C51" s="19" t="str" cm="1">
        <f t="array" ref="C51">GetValue("Tbl","Alias",B51)</f>
        <v>Own</v>
      </c>
      <c r="D51" s="19" cm="1">
        <f t="array" ref="D51">GetDomainId(C51,G51)</f>
        <v>58</v>
      </c>
      <c r="E51" s="19" t="str" cm="1">
        <f t="array" ref="E51">GetValue("Dmn","Name",D51)</f>
        <v>TinyId</v>
      </c>
      <c r="F51" s="19">
        <f t="shared" si="1"/>
        <v>10</v>
      </c>
      <c r="G51" s="19" t="str" cm="1">
        <f t="array" ref="G51">GetColumnName(C51,IF(B51=B50,G50,""))</f>
        <v>EngineId</v>
      </c>
      <c r="H51" s="19" t="str">
        <f t="shared" si="2"/>
        <v>EngineId</v>
      </c>
      <c r="I51" s="19" t="str">
        <f t="shared" si="3"/>
        <v>EngineId</v>
      </c>
      <c r="J51" s="19"/>
      <c r="K51" s="19" t="b">
        <v>0</v>
      </c>
      <c r="L51" s="19" t="b" cm="1">
        <f t="array" ref="L51">IsPrimaryKey(A51)</f>
        <v>0</v>
      </c>
      <c r="M51" s="19" t="b" cm="1">
        <f t="array" ref="M51">IsAutoincrement(A51)</f>
        <v>0</v>
      </c>
      <c r="N51" s="19" t="b" cm="1">
        <f t="array" ref="N51">IsUnique(A51)</f>
        <v>0</v>
      </c>
      <c r="O51" s="19" t="b" cm="1">
        <f t="array" ref="O51">IsFilterable(A51)</f>
        <v>1</v>
      </c>
      <c r="P51" s="19" t="b" cm="1">
        <f t="array" ref="P51">IsEditable(A51)</f>
        <v>1</v>
      </c>
      <c r="Q51" s="19" t="b" cm="1">
        <f t="array" ref="Q51">IsGridable(A51)</f>
        <v>1</v>
      </c>
      <c r="R51" s="19" t="str" cm="1">
        <f t="array" ref="R51">IsListable(A51)</f>
        <v/>
      </c>
      <c r="S51" s="19" t="str" cm="1">
        <f t="array" ref="S51">IsEncrypted(A51)</f>
        <v/>
      </c>
      <c r="T51" s="19" t="b" cm="1">
        <f t="array" ref="T51">IsInWords(A51)</f>
        <v>0</v>
      </c>
      <c r="U51" s="19" t="b">
        <v>0</v>
      </c>
    </row>
    <row r="52" spans="1:21">
      <c r="A52" s="19">
        <f t="shared" si="0"/>
        <v>49</v>
      </c>
      <c r="B52" s="20">
        <v>7</v>
      </c>
      <c r="C52" s="19" t="str" cm="1">
        <f t="array" ref="C52">GetValue("Tbl","Alias",B52)</f>
        <v>Own</v>
      </c>
      <c r="D52" s="19" cm="1">
        <f t="array" ref="D52">GetDomainId(C52,G52)</f>
        <v>11</v>
      </c>
      <c r="E52" s="19" t="str" cm="1">
        <f t="array" ref="E52">GetValue("Dmn","Name",D52)</f>
        <v>NVARCHAR(25)</v>
      </c>
      <c r="F52" s="19">
        <f t="shared" si="1"/>
        <v>15</v>
      </c>
      <c r="G52" s="19" t="str" cm="1">
        <f t="array" ref="G52">GetColumnName(C52,IF(B52=B51,G51,""))</f>
        <v>Name</v>
      </c>
      <c r="H52" s="19" t="str">
        <f t="shared" si="2"/>
        <v>Name</v>
      </c>
      <c r="I52" s="19" t="str">
        <f t="shared" si="3"/>
        <v>Name</v>
      </c>
      <c r="J52" s="19"/>
      <c r="K52" s="19" t="b">
        <v>1</v>
      </c>
      <c r="L52" s="19" t="b" cm="1">
        <f t="array" ref="L52">IsPrimaryKey(A52)</f>
        <v>0</v>
      </c>
      <c r="M52" s="19" t="str" cm="1">
        <f t="array" ref="M52">IsAutoincrement(A52)</f>
        <v/>
      </c>
      <c r="N52" s="19" t="b" cm="1">
        <f t="array" ref="N52">IsUnique(A52)</f>
        <v>0</v>
      </c>
      <c r="O52" s="19" t="b" cm="1">
        <f t="array" ref="O52">IsFilterable(A52)</f>
        <v>1</v>
      </c>
      <c r="P52" s="19" t="b" cm="1">
        <f t="array" ref="P52">IsEditable(A52)</f>
        <v>1</v>
      </c>
      <c r="Q52" s="19" t="b" cm="1">
        <f t="array" ref="Q52">IsGridable(A52)</f>
        <v>1</v>
      </c>
      <c r="R52" s="19" t="b" cm="1">
        <f t="array" ref="R52">IsListable(A52)</f>
        <v>0</v>
      </c>
      <c r="S52" s="19" t="b" cm="1">
        <f t="array" ref="S52">IsEncrypted(A52)</f>
        <v>0</v>
      </c>
      <c r="T52" s="19" t="str" cm="1">
        <f t="array" ref="T52">IsInWords(A52)</f>
        <v/>
      </c>
      <c r="U52" s="19" t="b">
        <v>0</v>
      </c>
    </row>
    <row r="53" spans="1:21">
      <c r="A53" s="19">
        <f t="shared" si="0"/>
        <v>50</v>
      </c>
      <c r="B53" s="20">
        <v>7</v>
      </c>
      <c r="C53" s="19" t="str" cm="1">
        <f t="array" ref="C53">GetValue("Tbl","Alias",B53)</f>
        <v>Own</v>
      </c>
      <c r="D53" s="19" cm="1">
        <f t="array" ref="D53">GetDomainId(C53,G53)</f>
        <v>28</v>
      </c>
      <c r="E53" s="19" t="str" cm="1">
        <f t="array" ref="E53">GetValue("Dmn","Name",D53)</f>
        <v>Periodicity</v>
      </c>
      <c r="F53" s="19">
        <f t="shared" si="1"/>
        <v>20</v>
      </c>
      <c r="G53" s="19" t="str" cm="1">
        <f t="array" ref="G53">GetColumnName(C53,IF(B53=B52,G52,""))</f>
        <v>Logo</v>
      </c>
      <c r="H53" s="19" t="str">
        <f t="shared" si="2"/>
        <v>Logo</v>
      </c>
      <c r="I53" s="19" t="str">
        <f t="shared" si="3"/>
        <v>Logo</v>
      </c>
      <c r="J53" s="19"/>
      <c r="K53" s="19" t="b">
        <v>1</v>
      </c>
      <c r="L53" s="19" t="b" cm="1">
        <f t="array" ref="L53">IsPrimaryKey(A53)</f>
        <v>0</v>
      </c>
      <c r="M53" s="19" t="str" cm="1">
        <f t="array" ref="M53">IsAutoincrement(A53)</f>
        <v/>
      </c>
      <c r="N53" s="19" t="b" cm="1">
        <f t="array" ref="N53">IsUnique(A53)</f>
        <v>0</v>
      </c>
      <c r="O53" s="19" t="b" cm="1">
        <f t="array" ref="O53">IsFilterable(A53)</f>
        <v>1</v>
      </c>
      <c r="P53" s="19" t="b" cm="1">
        <f t="array" ref="P53">IsEditable(A53)</f>
        <v>1</v>
      </c>
      <c r="Q53" s="19" t="b" cm="1">
        <f t="array" ref="Q53">IsGridable(A53)</f>
        <v>1</v>
      </c>
      <c r="R53" s="19" t="b" cm="1">
        <f t="array" ref="R53">IsListable(A53)</f>
        <v>0</v>
      </c>
      <c r="S53" s="19" t="b" cm="1">
        <f t="array" ref="S53">IsEncrypted(A53)</f>
        <v>0</v>
      </c>
      <c r="T53" s="19" t="str" cm="1">
        <f t="array" ref="T53">IsInWords(A53)</f>
        <v/>
      </c>
      <c r="U53" s="19" t="b">
        <v>0</v>
      </c>
    </row>
    <row r="54" spans="1:21">
      <c r="A54" s="19">
        <f t="shared" si="0"/>
        <v>51</v>
      </c>
      <c r="B54" s="20">
        <v>7</v>
      </c>
      <c r="C54" s="19" t="str" cm="1">
        <f t="array" ref="C54">GetValue("Tbl","Alias",B54)</f>
        <v>Own</v>
      </c>
      <c r="D54" s="19" cm="1">
        <f t="array" ref="D54">GetDomainId(C54,G54)</f>
        <v>5</v>
      </c>
      <c r="E54" s="19" t="str" cm="1">
        <f t="array" ref="E54">GetValue("Dmn","Name",D54)</f>
        <v>Boolean</v>
      </c>
      <c r="F54" s="19">
        <f t="shared" si="1"/>
        <v>25</v>
      </c>
      <c r="G54" s="19" t="str" cm="1">
        <f t="array" ref="G54">GetColumnName(C54,IF(B54=B53,G53,""))</f>
        <v xml:space="preserve">AskDatabasePath </v>
      </c>
      <c r="H54" s="19" t="str">
        <f t="shared" si="2"/>
        <v xml:space="preserve">AskDatabasePath </v>
      </c>
      <c r="I54" s="19" t="str">
        <f t="shared" si="3"/>
        <v xml:space="preserve">AskDatabasePath </v>
      </c>
      <c r="J54" s="19"/>
      <c r="K54" s="19" t="b">
        <v>1</v>
      </c>
      <c r="L54" s="19" t="b" cm="1">
        <f t="array" ref="L54">IsPrimaryKey(A54)</f>
        <v>0</v>
      </c>
      <c r="M54" s="19" t="str" cm="1">
        <f t="array" ref="M54">IsAutoincrement(A54)</f>
        <v/>
      </c>
      <c r="N54" s="19" t="str" cm="1">
        <f t="array" ref="N54">IsUnique(A54)</f>
        <v/>
      </c>
      <c r="O54" s="19" t="b" cm="1">
        <f t="array" ref="O54">IsFilterable(A54)</f>
        <v>1</v>
      </c>
      <c r="P54" s="19" t="b" cm="1">
        <f t="array" ref="P54">IsEditable(A54)</f>
        <v>1</v>
      </c>
      <c r="Q54" s="19" t="b" cm="1">
        <f t="array" ref="Q54">IsGridable(A54)</f>
        <v>1</v>
      </c>
      <c r="R54" s="19" t="str" cm="1">
        <f t="array" ref="R54">IsListable(A54)</f>
        <v/>
      </c>
      <c r="S54" s="19" t="str" cm="1">
        <f t="array" ref="S54">IsEncrypted(A54)</f>
        <v/>
      </c>
      <c r="T54" s="19" t="str" cm="1">
        <f t="array" ref="T54">IsInWords(A54)</f>
        <v/>
      </c>
      <c r="U54" s="19" t="b">
        <v>0</v>
      </c>
    </row>
    <row r="55" spans="1:21">
      <c r="A55" s="19">
        <f t="shared" si="0"/>
        <v>52</v>
      </c>
      <c r="B55" s="20">
        <v>7</v>
      </c>
      <c r="C55" s="19" t="str" cm="1">
        <f t="array" ref="C55">GetValue("Tbl","Alias",B55)</f>
        <v>Own</v>
      </c>
      <c r="D55" s="19" cm="1">
        <f t="array" ref="D55">GetDomainId(C55,G55)</f>
        <v>5</v>
      </c>
      <c r="E55" s="19" t="str" cm="1">
        <f t="array" ref="E55">GetValue("Dmn","Name",D55)</f>
        <v>Boolean</v>
      </c>
      <c r="F55" s="19">
        <f t="shared" si="1"/>
        <v>30</v>
      </c>
      <c r="G55" s="19" t="str" cm="1">
        <f t="array" ref="G55">GetColumnName(C55,IF(B55=B54,G54,""))</f>
        <v>IsActive</v>
      </c>
      <c r="H55" s="19" t="str">
        <f t="shared" si="2"/>
        <v>IsActive</v>
      </c>
      <c r="I55" s="19" t="str">
        <f t="shared" si="3"/>
        <v>IsActive</v>
      </c>
      <c r="J55" s="19"/>
      <c r="K55" s="19" t="b">
        <v>1</v>
      </c>
      <c r="L55" s="19" t="b" cm="1">
        <f t="array" ref="L55">IsPrimaryKey(A55)</f>
        <v>0</v>
      </c>
      <c r="M55" s="19" t="str" cm="1">
        <f t="array" ref="M55">IsAutoincrement(A55)</f>
        <v/>
      </c>
      <c r="N55" s="19" t="str" cm="1">
        <f t="array" ref="N55">IsUnique(A55)</f>
        <v/>
      </c>
      <c r="O55" s="19" t="b" cm="1">
        <f t="array" ref="O55">IsFilterable(A55)</f>
        <v>1</v>
      </c>
      <c r="P55" s="19" t="b" cm="1">
        <f t="array" ref="P55">IsEditable(A55)</f>
        <v>1</v>
      </c>
      <c r="Q55" s="19" t="b" cm="1">
        <f t="array" ref="Q55">IsGridable(A55)</f>
        <v>1</v>
      </c>
      <c r="R55" s="19" t="str" cm="1">
        <f t="array" ref="R55">IsListable(A55)</f>
        <v/>
      </c>
      <c r="S55" s="19" t="str" cm="1">
        <f t="array" ref="S55">IsEncrypted(A55)</f>
        <v/>
      </c>
      <c r="T55" s="19" t="str" cm="1">
        <f t="array" ref="T55">IsInWords(A55)</f>
        <v/>
      </c>
      <c r="U55" s="19" t="b">
        <v>0</v>
      </c>
    </row>
    <row r="56" spans="1:21">
      <c r="A56" s="17">
        <f t="shared" si="0"/>
        <v>53</v>
      </c>
      <c r="B56" s="18">
        <v>8</v>
      </c>
      <c r="C56" s="17" t="str" cm="1">
        <f t="array" ref="C56">GetValue("Tbl","Alias",B56)</f>
        <v>Dmn</v>
      </c>
      <c r="D56" s="17" cm="1">
        <f t="array" ref="D56">GetDomainId(C56,G56)</f>
        <v>55</v>
      </c>
      <c r="E56" s="17" t="str" cm="1">
        <f t="array" ref="E56">GetValue("Dmn","Name",D56)</f>
        <v>BigId</v>
      </c>
      <c r="F56" s="17">
        <f t="shared" si="1"/>
        <v>5</v>
      </c>
      <c r="G56" s="17" t="str" cm="1">
        <f t="array" ref="G56">GetColumnName(C56,IF(B56=B55,G55,""))</f>
        <v>Id</v>
      </c>
      <c r="H56" s="17" t="str">
        <f t="shared" si="2"/>
        <v>Id</v>
      </c>
      <c r="I56" s="17" t="str">
        <f t="shared" si="3"/>
        <v>Id</v>
      </c>
      <c r="J56" s="17"/>
      <c r="K56" s="17" t="b">
        <v>1</v>
      </c>
      <c r="L56" s="17" t="b" cm="1">
        <f t="array" ref="L56">IsPrimaryKey(A56)</f>
        <v>1</v>
      </c>
      <c r="M56" s="17" t="b" cm="1">
        <f t="array" ref="M56">IsAutoincrement(A56)</f>
        <v>1</v>
      </c>
      <c r="N56" s="17" t="b" cm="1">
        <f t="array" ref="N56">IsUnique(A56)</f>
        <v>0</v>
      </c>
      <c r="O56" s="17" t="str" cm="1">
        <f t="array" ref="O56">IsFilterable(A56)</f>
        <v/>
      </c>
      <c r="P56" s="17" t="str" cm="1">
        <f t="array" ref="P56">IsEditable(A56)</f>
        <v/>
      </c>
      <c r="Q56" s="17" t="str" cm="1">
        <f t="array" ref="Q56">IsGridable(A56)</f>
        <v/>
      </c>
      <c r="R56" s="17" t="str" cm="1">
        <f t="array" ref="R56">IsListable(A56)</f>
        <v/>
      </c>
      <c r="S56" s="17" t="str" cm="1">
        <f t="array" ref="S56">IsEncrypted(A56)</f>
        <v/>
      </c>
      <c r="T56" s="17" t="str" cm="1">
        <f t="array" ref="T56">IsInWords(A56)</f>
        <v/>
      </c>
      <c r="U56" s="17" t="b">
        <v>0</v>
      </c>
    </row>
    <row r="57" spans="1:21">
      <c r="A57" s="17">
        <f t="shared" si="0"/>
        <v>54</v>
      </c>
      <c r="B57" s="18">
        <v>8</v>
      </c>
      <c r="C57" s="17" t="str" cm="1">
        <f t="array" ref="C57">GetValue("Tbl","Alias",B57)</f>
        <v>Dmn</v>
      </c>
      <c r="D57" s="17" cm="1">
        <f t="array" ref="D57">GetDomainId(C57,G57)</f>
        <v>57</v>
      </c>
      <c r="E57" s="17" t="str" cm="1">
        <f t="array" ref="E57">GetValue("Dmn","Name",D57)</f>
        <v>SmallId</v>
      </c>
      <c r="F57" s="17">
        <f t="shared" si="1"/>
        <v>10</v>
      </c>
      <c r="G57" s="17" t="str" cm="1">
        <f t="array" ref="G57">GetColumnName(C57,IF(B57=B56,G56,""))</f>
        <v>OwnertId</v>
      </c>
      <c r="H57" s="17" t="str">
        <f t="shared" si="2"/>
        <v>OwnertId</v>
      </c>
      <c r="I57" s="17" t="str">
        <f t="shared" si="3"/>
        <v>OwnertId</v>
      </c>
      <c r="J57" s="17"/>
      <c r="K57" s="17" t="b">
        <v>1</v>
      </c>
      <c r="L57" s="17" t="b" cm="1">
        <f t="array" ref="L57">IsPrimaryKey(A57)</f>
        <v>0</v>
      </c>
      <c r="M57" s="17" t="b" cm="1">
        <f t="array" ref="M57">IsAutoincrement(A57)</f>
        <v>0</v>
      </c>
      <c r="N57" s="17" t="b" cm="1">
        <f t="array" ref="N57">IsUnique(A57)</f>
        <v>0</v>
      </c>
      <c r="O57" s="17" t="b" cm="1">
        <f t="array" ref="O57">IsFilterable(A57)</f>
        <v>1</v>
      </c>
      <c r="P57" s="17" t="b" cm="1">
        <f t="array" ref="P57">IsEditable(A57)</f>
        <v>1</v>
      </c>
      <c r="Q57" s="17" t="b" cm="1">
        <f t="array" ref="Q57">IsGridable(A57)</f>
        <v>1</v>
      </c>
      <c r="R57" s="17" t="str" cm="1">
        <f t="array" ref="R57">IsListable(A57)</f>
        <v/>
      </c>
      <c r="S57" s="17" t="str" cm="1">
        <f t="array" ref="S57">IsEncrypted(A57)</f>
        <v/>
      </c>
      <c r="T57" s="17" t="b" cm="1">
        <f t="array" ref="T57">IsInWords(A57)</f>
        <v>0</v>
      </c>
      <c r="U57" s="17" t="b">
        <v>0</v>
      </c>
    </row>
    <row r="58" spans="1:21">
      <c r="A58" s="17">
        <f t="shared" si="0"/>
        <v>55</v>
      </c>
      <c r="B58" s="18">
        <v>8</v>
      </c>
      <c r="C58" s="17" t="str" cm="1">
        <f t="array" ref="C58">GetValue("Tbl","Alias",B58)</f>
        <v>Dmn</v>
      </c>
      <c r="D58" s="17" cm="1">
        <f t="array" ref="D58">GetDomainId(C58,G58)</f>
        <v>58</v>
      </c>
      <c r="E58" s="17" t="str" cm="1">
        <f t="array" ref="E58">GetValue("Dmn","Name",D58)</f>
        <v>TinyId</v>
      </c>
      <c r="F58" s="17">
        <f t="shared" si="1"/>
        <v>15</v>
      </c>
      <c r="G58" s="17" t="str" cm="1">
        <f t="array" ref="G58">GetColumnName(C58,IF(B58=B57,G57,""))</f>
        <v>TypeId</v>
      </c>
      <c r="H58" s="17" t="str">
        <f t="shared" si="2"/>
        <v>TypeId</v>
      </c>
      <c r="I58" s="17" t="str">
        <f t="shared" si="3"/>
        <v>TypeId</v>
      </c>
      <c r="J58" s="17"/>
      <c r="K58" s="17" t="b">
        <v>1</v>
      </c>
      <c r="L58" s="17" t="b" cm="1">
        <f t="array" ref="L58">IsPrimaryKey(A58)</f>
        <v>0</v>
      </c>
      <c r="M58" s="17" t="b" cm="1">
        <f t="array" ref="M58">IsAutoincrement(A58)</f>
        <v>0</v>
      </c>
      <c r="N58" s="17" t="b" cm="1">
        <f t="array" ref="N58">IsUnique(A58)</f>
        <v>0</v>
      </c>
      <c r="O58" s="17" t="b" cm="1">
        <f t="array" ref="O58">IsFilterable(A58)</f>
        <v>1</v>
      </c>
      <c r="P58" s="17" t="b" cm="1">
        <f t="array" ref="P58">IsEditable(A58)</f>
        <v>1</v>
      </c>
      <c r="Q58" s="17" t="b" cm="1">
        <f t="array" ref="Q58">IsGridable(A58)</f>
        <v>1</v>
      </c>
      <c r="R58" s="17" t="str" cm="1">
        <f t="array" ref="R58">IsListable(A58)</f>
        <v/>
      </c>
      <c r="S58" s="17" t="str" cm="1">
        <f t="array" ref="S58">IsEncrypted(A58)</f>
        <v/>
      </c>
      <c r="T58" s="17" t="b" cm="1">
        <f t="array" ref="T58">IsInWords(A58)</f>
        <v>0</v>
      </c>
      <c r="U58" s="17" t="b">
        <v>0</v>
      </c>
    </row>
    <row r="59" spans="1:21">
      <c r="A59" s="17">
        <f t="shared" si="0"/>
        <v>56</v>
      </c>
      <c r="B59" s="18">
        <v>8</v>
      </c>
      <c r="C59" s="17" t="str" cm="1">
        <f t="array" ref="C59">GetValue("Tbl","Alias",B59)</f>
        <v>Dmn</v>
      </c>
      <c r="D59" s="17" cm="1">
        <f t="array" ref="D59">GetDomainId(C59,G59)</f>
        <v>11</v>
      </c>
      <c r="E59" s="17" t="str" cm="1">
        <f t="array" ref="E59">GetValue("Dmn","Name",D59)</f>
        <v>NVARCHAR(25)</v>
      </c>
      <c r="F59" s="17">
        <f t="shared" si="1"/>
        <v>20</v>
      </c>
      <c r="G59" s="17" t="str" cm="1">
        <f t="array" ref="G59">GetColumnName(C59,IF(B59=B58,G58,""))</f>
        <v>Name</v>
      </c>
      <c r="H59" s="17" t="str">
        <f t="shared" si="2"/>
        <v>Name</v>
      </c>
      <c r="I59" s="17" t="str">
        <f t="shared" si="3"/>
        <v>Name</v>
      </c>
      <c r="J59" s="17"/>
      <c r="K59" s="17" t="b">
        <v>0</v>
      </c>
      <c r="L59" s="17" t="b" cm="1">
        <f t="array" ref="L59">IsPrimaryKey(A59)</f>
        <v>0</v>
      </c>
      <c r="M59" s="17" t="str" cm="1">
        <f t="array" ref="M59">IsAutoincrement(A59)</f>
        <v/>
      </c>
      <c r="N59" s="17" t="b" cm="1">
        <f t="array" ref="N59">IsUnique(A59)</f>
        <v>0</v>
      </c>
      <c r="O59" s="17" t="b" cm="1">
        <f t="array" ref="O59">IsFilterable(A59)</f>
        <v>1</v>
      </c>
      <c r="P59" s="17" t="b" cm="1">
        <f t="array" ref="P59">IsEditable(A59)</f>
        <v>1</v>
      </c>
      <c r="Q59" s="17" t="b" cm="1">
        <f t="array" ref="Q59">IsGridable(A59)</f>
        <v>1</v>
      </c>
      <c r="R59" s="17" t="b" cm="1">
        <f t="array" ref="R59">IsListable(A59)</f>
        <v>0</v>
      </c>
      <c r="S59" s="17" t="b" cm="1">
        <f t="array" ref="S59">IsEncrypted(A59)</f>
        <v>0</v>
      </c>
      <c r="T59" s="17" t="str" cm="1">
        <f t="array" ref="T59">IsInWords(A59)</f>
        <v/>
      </c>
      <c r="U59" s="17" t="b">
        <v>0</v>
      </c>
    </row>
    <row r="60" spans="1:21">
      <c r="A60" s="17">
        <f t="shared" si="0"/>
        <v>57</v>
      </c>
      <c r="B60" s="18">
        <v>8</v>
      </c>
      <c r="C60" s="17" t="str" cm="1">
        <f t="array" ref="C60">GetValue("Tbl","Alias",B60)</f>
        <v>Dmn</v>
      </c>
      <c r="D60" s="17" cm="1">
        <f t="array" ref="D60">GetDomainId(C60,G60)</f>
        <v>2</v>
      </c>
      <c r="E60" s="17" t="str" cm="1">
        <f t="array" ref="E60">GetValue("Dmn","Name",D60)</f>
        <v>Integer</v>
      </c>
      <c r="F60" s="17">
        <f t="shared" si="1"/>
        <v>25</v>
      </c>
      <c r="G60" s="17" t="str" cm="1">
        <f t="array" ref="G60">GetColumnName(C60,IF(B60=B59,G59,""))</f>
        <v>Length</v>
      </c>
      <c r="H60" s="17" t="str">
        <f t="shared" si="2"/>
        <v>Length</v>
      </c>
      <c r="I60" s="17" t="str">
        <f t="shared" si="3"/>
        <v>Length</v>
      </c>
      <c r="J60" s="17"/>
      <c r="K60" s="17" t="b">
        <v>0</v>
      </c>
      <c r="L60" s="17" t="b" cm="1">
        <f t="array" ref="L60">IsPrimaryKey(A60)</f>
        <v>0</v>
      </c>
      <c r="M60" s="17" t="b" cm="1">
        <f t="array" ref="M60">IsAutoincrement(A60)</f>
        <v>0</v>
      </c>
      <c r="N60" s="17" t="b" cm="1">
        <f t="array" ref="N60">IsUnique(A60)</f>
        <v>0</v>
      </c>
      <c r="O60" s="17" t="b" cm="1">
        <f t="array" ref="O60">IsFilterable(A60)</f>
        <v>1</v>
      </c>
      <c r="P60" s="17" t="b" cm="1">
        <f t="array" ref="P60">IsEditable(A60)</f>
        <v>1</v>
      </c>
      <c r="Q60" s="17" t="b" cm="1">
        <f t="array" ref="Q60">IsGridable(A60)</f>
        <v>1</v>
      </c>
      <c r="R60" s="17" t="str" cm="1">
        <f t="array" ref="R60">IsListable(A60)</f>
        <v/>
      </c>
      <c r="S60" s="17" t="str" cm="1">
        <f t="array" ref="S60">IsEncrypted(A60)</f>
        <v/>
      </c>
      <c r="T60" s="17" t="b" cm="1">
        <f t="array" ref="T60">IsInWords(A60)</f>
        <v>0</v>
      </c>
      <c r="U60" s="17" t="b">
        <v>0</v>
      </c>
    </row>
    <row r="61" spans="1:21">
      <c r="A61" s="17">
        <f t="shared" si="0"/>
        <v>58</v>
      </c>
      <c r="B61" s="18">
        <v>8</v>
      </c>
      <c r="C61" s="17" t="str" cm="1">
        <f t="array" ref="C61">GetValue("Tbl","Alias",B61)</f>
        <v>Dmn</v>
      </c>
      <c r="D61" s="17" cm="1">
        <f t="array" ref="D61">GetDomainId(C61,G61)</f>
        <v>4</v>
      </c>
      <c r="E61" s="17" t="str" cm="1">
        <f t="array" ref="E61">GetValue("Dmn","Name",D61)</f>
        <v>TinyInteger</v>
      </c>
      <c r="F61" s="17">
        <f t="shared" si="1"/>
        <v>30</v>
      </c>
      <c r="G61" s="17" t="str" cm="1">
        <f t="array" ref="G61">GetColumnName(C61,IF(B61=B60,G60,""))</f>
        <v>Decimals</v>
      </c>
      <c r="H61" s="17" t="str">
        <f t="shared" si="2"/>
        <v>Decimals</v>
      </c>
      <c r="I61" s="17" t="str">
        <f t="shared" si="3"/>
        <v>Decimals</v>
      </c>
      <c r="J61" s="17"/>
      <c r="K61" s="17" t="b">
        <v>0</v>
      </c>
      <c r="L61" s="17" t="b" cm="1">
        <f t="array" ref="L61">IsPrimaryKey(A61)</f>
        <v>0</v>
      </c>
      <c r="M61" s="17" t="b" cm="1">
        <f t="array" ref="M61">IsAutoincrement(A61)</f>
        <v>0</v>
      </c>
      <c r="N61" s="17" t="b" cm="1">
        <f t="array" ref="N61">IsUnique(A61)</f>
        <v>0</v>
      </c>
      <c r="O61" s="17" t="b" cm="1">
        <f t="array" ref="O61">IsFilterable(A61)</f>
        <v>1</v>
      </c>
      <c r="P61" s="17" t="b" cm="1">
        <f t="array" ref="P61">IsEditable(A61)</f>
        <v>1</v>
      </c>
      <c r="Q61" s="17" t="b" cm="1">
        <f t="array" ref="Q61">IsGridable(A61)</f>
        <v>1</v>
      </c>
      <c r="R61" s="17" t="str" cm="1">
        <f t="array" ref="R61">IsListable(A61)</f>
        <v/>
      </c>
      <c r="S61" s="17" t="str" cm="1">
        <f t="array" ref="S61">IsEncrypted(A61)</f>
        <v/>
      </c>
      <c r="T61" s="17" t="b" cm="1">
        <f t="array" ref="T61">IsInWords(A61)</f>
        <v>0</v>
      </c>
      <c r="U61" s="17" t="b">
        <v>0</v>
      </c>
    </row>
    <row r="62" spans="1:21">
      <c r="A62" s="17">
        <f t="shared" si="0"/>
        <v>59</v>
      </c>
      <c r="B62" s="18">
        <v>8</v>
      </c>
      <c r="C62" s="17" t="str" cm="1">
        <f t="array" ref="C62">GetValue("Tbl","Alias",B62)</f>
        <v>Dmn</v>
      </c>
      <c r="D62" s="17" cm="1">
        <f t="array" ref="D62">GetDomainId(C62,G62)</f>
        <v>24</v>
      </c>
      <c r="E62" s="17" t="str" cm="1">
        <f t="array" ref="E62">GetValue("Dmn","Name",D62)</f>
        <v>VARIANT</v>
      </c>
      <c r="F62" s="17">
        <f t="shared" si="1"/>
        <v>35</v>
      </c>
      <c r="G62" s="17" t="str" cm="1">
        <f t="array" ref="G62">GetColumnName(C62,IF(B62=B61,G61,""))</f>
        <v>Default</v>
      </c>
      <c r="H62" s="17" t="str">
        <f t="shared" si="2"/>
        <v>Default</v>
      </c>
      <c r="I62" s="17" t="str">
        <f t="shared" si="3"/>
        <v>Default</v>
      </c>
      <c r="J62" s="17"/>
      <c r="K62" s="17" t="b">
        <v>0</v>
      </c>
      <c r="L62" s="17" t="str" cm="1">
        <f t="array" ref="L62">IsPrimaryKey(A62)</f>
        <v/>
      </c>
      <c r="M62" s="17" t="str" cm="1">
        <f t="array" ref="M62">IsAutoincrement(A62)</f>
        <v/>
      </c>
      <c r="N62" s="17" t="str" cm="1">
        <f t="array" ref="N62">IsUnique(A62)</f>
        <v/>
      </c>
      <c r="O62" s="17" t="str" cm="1">
        <f t="array" ref="O62">IsFilterable(A62)</f>
        <v/>
      </c>
      <c r="P62" s="17" t="b" cm="1">
        <f t="array" ref="P62">IsEditable(A62)</f>
        <v>1</v>
      </c>
      <c r="Q62" s="17" t="str" cm="1">
        <f t="array" ref="Q62">IsGridable(A62)</f>
        <v/>
      </c>
      <c r="R62" s="17" t="str" cm="1">
        <f t="array" ref="R62">IsListable(A62)</f>
        <v/>
      </c>
      <c r="S62" s="17" t="str" cm="1">
        <f t="array" ref="S62">IsEncrypted(A62)</f>
        <v/>
      </c>
      <c r="T62" s="17" t="str" cm="1">
        <f t="array" ref="T62">IsInWords(A62)</f>
        <v/>
      </c>
      <c r="U62" s="17" t="b">
        <v>0</v>
      </c>
    </row>
    <row r="63" spans="1:21">
      <c r="A63" s="17">
        <f t="shared" si="0"/>
        <v>60</v>
      </c>
      <c r="B63" s="18">
        <v>8</v>
      </c>
      <c r="C63" s="17" t="str" cm="1">
        <f t="array" ref="C63">GetValue("Tbl","Alias",B63)</f>
        <v>Dmn</v>
      </c>
      <c r="D63" s="17" cm="1">
        <f t="array" ref="D63">GetDomainId(C63,G63)</f>
        <v>24</v>
      </c>
      <c r="E63" s="17" t="str" cm="1">
        <f t="array" ref="E63">GetValue("Dmn","Name",D63)</f>
        <v>VARIANT</v>
      </c>
      <c r="F63" s="17">
        <f t="shared" si="1"/>
        <v>40</v>
      </c>
      <c r="G63" s="17" t="str" cm="1">
        <f t="array" ref="G63">GetColumnName(C63,IF(B63=B62,G62,""))</f>
        <v>Minimum</v>
      </c>
      <c r="H63" s="17" t="str">
        <f t="shared" si="2"/>
        <v>Minimum</v>
      </c>
      <c r="I63" s="17" t="str">
        <f t="shared" si="3"/>
        <v>Minimum</v>
      </c>
      <c r="J63" s="17"/>
      <c r="K63" s="17" t="b">
        <v>0</v>
      </c>
      <c r="L63" s="17" t="str" cm="1">
        <f t="array" ref="L63">IsPrimaryKey(A63)</f>
        <v/>
      </c>
      <c r="M63" s="17" t="str" cm="1">
        <f t="array" ref="M63">IsAutoincrement(A63)</f>
        <v/>
      </c>
      <c r="N63" s="17" t="str" cm="1">
        <f t="array" ref="N63">IsUnique(A63)</f>
        <v/>
      </c>
      <c r="O63" s="17" t="str" cm="1">
        <f t="array" ref="O63">IsFilterable(A63)</f>
        <v/>
      </c>
      <c r="P63" s="17" t="b" cm="1">
        <f t="array" ref="P63">IsEditable(A63)</f>
        <v>1</v>
      </c>
      <c r="Q63" s="17" t="str" cm="1">
        <f t="array" ref="Q63">IsGridable(A63)</f>
        <v/>
      </c>
      <c r="R63" s="17" t="str" cm="1">
        <f t="array" ref="R63">IsListable(A63)</f>
        <v/>
      </c>
      <c r="S63" s="17" t="str" cm="1">
        <f t="array" ref="S63">IsEncrypted(A63)</f>
        <v/>
      </c>
      <c r="T63" s="17" t="str" cm="1">
        <f t="array" ref="T63">IsInWords(A63)</f>
        <v/>
      </c>
      <c r="U63" s="17" t="b">
        <v>0</v>
      </c>
    </row>
    <row r="64" spans="1:21">
      <c r="A64" s="17">
        <f t="shared" si="0"/>
        <v>61</v>
      </c>
      <c r="B64" s="18">
        <v>8</v>
      </c>
      <c r="C64" s="17" t="str" cm="1">
        <f t="array" ref="C64">GetValue("Tbl","Alias",B64)</f>
        <v>Dmn</v>
      </c>
      <c r="D64" s="17" cm="1">
        <f t="array" ref="D64">GetDomainId(C64,G64)</f>
        <v>24</v>
      </c>
      <c r="E64" s="17" t="str" cm="1">
        <f t="array" ref="E64">GetValue("Dmn","Name",D64)</f>
        <v>VARIANT</v>
      </c>
      <c r="F64" s="17">
        <f t="shared" si="1"/>
        <v>45</v>
      </c>
      <c r="G64" s="17" t="str" cm="1">
        <f t="array" ref="G64">GetColumnName(C64,IF(B64=B63,G63,""))</f>
        <v>Maximum</v>
      </c>
      <c r="H64" s="17" t="str">
        <f t="shared" si="2"/>
        <v>Maximum</v>
      </c>
      <c r="I64" s="17" t="str">
        <f t="shared" si="3"/>
        <v>Maximum</v>
      </c>
      <c r="J64" s="17"/>
      <c r="K64" s="17" t="b">
        <v>0</v>
      </c>
      <c r="L64" s="17" t="str" cm="1">
        <f t="array" ref="L64">IsPrimaryKey(A64)</f>
        <v/>
      </c>
      <c r="M64" s="17" t="str" cm="1">
        <f t="array" ref="M64">IsAutoincrement(A64)</f>
        <v/>
      </c>
      <c r="N64" s="17" t="str" cm="1">
        <f t="array" ref="N64">IsUnique(A64)</f>
        <v/>
      </c>
      <c r="O64" s="17" t="str" cm="1">
        <f t="array" ref="O64">IsFilterable(A64)</f>
        <v/>
      </c>
      <c r="P64" s="17" t="b" cm="1">
        <f t="array" ref="P64">IsEditable(A64)</f>
        <v>1</v>
      </c>
      <c r="Q64" s="17" t="str" cm="1">
        <f t="array" ref="Q64">IsGridable(A64)</f>
        <v/>
      </c>
      <c r="R64" s="17" t="str" cm="1">
        <f t="array" ref="R64">IsListable(A64)</f>
        <v/>
      </c>
      <c r="S64" s="17" t="str" cm="1">
        <f t="array" ref="S64">IsEncrypted(A64)</f>
        <v/>
      </c>
      <c r="T64" s="17" t="str" cm="1">
        <f t="array" ref="T64">IsInWords(A64)</f>
        <v/>
      </c>
      <c r="U64" s="17" t="b">
        <v>0</v>
      </c>
    </row>
    <row r="65" spans="1:21">
      <c r="A65" s="17">
        <f t="shared" si="0"/>
        <v>62</v>
      </c>
      <c r="B65" s="18">
        <v>8</v>
      </c>
      <c r="C65" s="17" t="str" cm="1">
        <f t="array" ref="C65">GetValue("Tbl","Alias",B65)</f>
        <v>Dmn</v>
      </c>
      <c r="D65" s="17" cm="1">
        <f t="array" ref="D65">GetDomainId(C65,G65)</f>
        <v>14</v>
      </c>
      <c r="E65" s="17" t="str" cm="1">
        <f t="array" ref="E65">GetValue("Dmn","Name",D65)</f>
        <v>NVARCHAR(max)</v>
      </c>
      <c r="F65" s="17">
        <f t="shared" si="1"/>
        <v>50</v>
      </c>
      <c r="G65" s="17" t="str" cm="1">
        <f t="array" ref="G65">GetColumnName(C65,IF(B65=B64,G64,""))</f>
        <v>ValidChars</v>
      </c>
      <c r="H65" s="17" t="str">
        <f t="shared" si="2"/>
        <v>ValidChars</v>
      </c>
      <c r="I65" s="17" t="str">
        <f t="shared" si="3"/>
        <v>ValidChars</v>
      </c>
      <c r="J65" s="17"/>
      <c r="K65" s="17" t="b">
        <v>0</v>
      </c>
      <c r="L65" s="17" t="str" cm="1">
        <f t="array" ref="L65">IsPrimaryKey(A65)</f>
        <v/>
      </c>
      <c r="M65" s="17" t="str" cm="1">
        <f t="array" ref="M65">IsAutoincrement(A65)</f>
        <v/>
      </c>
      <c r="N65" s="17" t="str" cm="1">
        <f t="array" ref="N65">IsUnique(A65)</f>
        <v/>
      </c>
      <c r="O65" s="17" t="str" cm="1">
        <f t="array" ref="O65">IsFilterable(A65)</f>
        <v/>
      </c>
      <c r="P65" s="17" t="b" cm="1">
        <f t="array" ref="P65">IsEditable(A65)</f>
        <v>1</v>
      </c>
      <c r="Q65" s="17" t="str" cm="1">
        <f t="array" ref="Q65">IsGridable(A65)</f>
        <v/>
      </c>
      <c r="R65" s="17" t="str" cm="1">
        <f t="array" ref="R65">IsListable(A65)</f>
        <v/>
      </c>
      <c r="S65" s="17" t="str" cm="1">
        <f t="array" ref="S65">IsEncrypted(A65)</f>
        <v/>
      </c>
      <c r="T65" s="17" t="str" cm="1">
        <f t="array" ref="T65">IsInWords(A65)</f>
        <v/>
      </c>
      <c r="U65" s="17" t="b">
        <v>0</v>
      </c>
    </row>
    <row r="66" spans="1:21">
      <c r="A66" s="17">
        <f t="shared" si="0"/>
        <v>63</v>
      </c>
      <c r="B66" s="18">
        <v>8</v>
      </c>
      <c r="C66" s="17" t="str" cm="1">
        <f t="array" ref="C66">GetValue("Tbl","Alias",B66)</f>
        <v>Dmn</v>
      </c>
      <c r="D66" s="17" cm="1">
        <f t="array" ref="D66">GetDomainId(C66,G66)</f>
        <v>14</v>
      </c>
      <c r="E66" s="17" t="str" cm="1">
        <f t="array" ref="E66">GetValue("Dmn","Name",D66)</f>
        <v>NVARCHAR(max)</v>
      </c>
      <c r="F66" s="17">
        <f t="shared" si="1"/>
        <v>55</v>
      </c>
      <c r="G66" s="17" t="str" cm="1">
        <f t="array" ref="G66">GetColumnName(C66,IF(B66=B65,G65,""))</f>
        <v>ValidValues</v>
      </c>
      <c r="H66" s="17" t="str">
        <f t="shared" si="2"/>
        <v>ValidValues</v>
      </c>
      <c r="I66" s="17" t="str">
        <f t="shared" si="3"/>
        <v>ValidValues</v>
      </c>
      <c r="J66" s="17"/>
      <c r="K66" s="17" t="b">
        <v>0</v>
      </c>
      <c r="L66" s="17" t="str" cm="1">
        <f t="array" ref="L66">IsPrimaryKey(A66)</f>
        <v/>
      </c>
      <c r="M66" s="17" t="str" cm="1">
        <f t="array" ref="M66">IsAutoincrement(A66)</f>
        <v/>
      </c>
      <c r="N66" s="17" t="str" cm="1">
        <f t="array" ref="N66">IsUnique(A66)</f>
        <v/>
      </c>
      <c r="O66" s="17" t="str" cm="1">
        <f t="array" ref="O66">IsFilterable(A66)</f>
        <v/>
      </c>
      <c r="P66" s="17" t="b" cm="1">
        <f t="array" ref="P66">IsEditable(A66)</f>
        <v>1</v>
      </c>
      <c r="Q66" s="17" t="str" cm="1">
        <f t="array" ref="Q66">IsGridable(A66)</f>
        <v/>
      </c>
      <c r="R66" s="17" t="str" cm="1">
        <f t="array" ref="R66">IsListable(A66)</f>
        <v/>
      </c>
      <c r="S66" s="17" t="str" cm="1">
        <f t="array" ref="S66">IsEncrypted(A66)</f>
        <v/>
      </c>
      <c r="T66" s="17" t="str" cm="1">
        <f t="array" ref="T66">IsInWords(A66)</f>
        <v/>
      </c>
      <c r="U66" s="17" t="b">
        <v>0</v>
      </c>
    </row>
    <row r="67" spans="1:21">
      <c r="A67" s="17">
        <f t="shared" si="0"/>
        <v>64</v>
      </c>
      <c r="B67" s="18">
        <v>8</v>
      </c>
      <c r="C67" s="17" t="str" cm="1">
        <f t="array" ref="C67">GetValue("Tbl","Alias",B67)</f>
        <v>Dmn</v>
      </c>
      <c r="D67" s="17" cm="1">
        <f t="array" ref="D67">GetDomainId(C67,G67)</f>
        <v>14</v>
      </c>
      <c r="E67" s="17" t="str" cm="1">
        <f t="array" ref="E67">GetValue("Dmn","Name",D67)</f>
        <v>NVARCHAR(max)</v>
      </c>
      <c r="F67" s="17">
        <f t="shared" si="1"/>
        <v>60</v>
      </c>
      <c r="G67" s="17" t="str" cm="1">
        <f t="array" ref="G67">GetColumnName(C67,IF(B67=B66,G66,""))</f>
        <v>ListValues</v>
      </c>
      <c r="H67" s="17" t="str">
        <f t="shared" si="2"/>
        <v>ListValues</v>
      </c>
      <c r="I67" s="17" t="str">
        <f t="shared" si="3"/>
        <v>ListValues</v>
      </c>
      <c r="J67" s="17"/>
      <c r="K67" s="17" t="b">
        <v>1</v>
      </c>
      <c r="L67" s="17" t="str" cm="1">
        <f t="array" ref="L67">IsPrimaryKey(A67)</f>
        <v/>
      </c>
      <c r="M67" s="17" t="str" cm="1">
        <f t="array" ref="M67">IsAutoincrement(A67)</f>
        <v/>
      </c>
      <c r="N67" s="17" t="str" cm="1">
        <f t="array" ref="N67">IsUnique(A67)</f>
        <v/>
      </c>
      <c r="O67" s="17" t="str" cm="1">
        <f t="array" ref="O67">IsFilterable(A67)</f>
        <v/>
      </c>
      <c r="P67" s="17" t="b" cm="1">
        <f t="array" ref="P67">IsEditable(A67)</f>
        <v>1</v>
      </c>
      <c r="Q67" s="17" t="str" cm="1">
        <f t="array" ref="Q67">IsGridable(A67)</f>
        <v/>
      </c>
      <c r="R67" s="17" t="str" cm="1">
        <f t="array" ref="R67">IsListable(A67)</f>
        <v/>
      </c>
      <c r="S67" s="17" t="str" cm="1">
        <f t="array" ref="S67">IsEncrypted(A67)</f>
        <v/>
      </c>
      <c r="T67" s="17" t="str" cm="1">
        <f t="array" ref="T67">IsInWords(A67)</f>
        <v/>
      </c>
      <c r="U67" s="17" t="b">
        <v>0</v>
      </c>
    </row>
    <row r="68" spans="1:21">
      <c r="A68" s="19">
        <f t="shared" si="0"/>
        <v>65</v>
      </c>
      <c r="B68" s="20">
        <v>9</v>
      </c>
      <c r="C68" s="19" t="str" cm="1">
        <f t="array" ref="C68">GetValue("Tbl","Alias",B68)</f>
        <v>Msk</v>
      </c>
      <c r="D68" s="19" cm="1">
        <f t="array" ref="D68">GetDomainId(C68,G68)</f>
        <v>55</v>
      </c>
      <c r="E68" s="19" t="str" cm="1">
        <f t="array" ref="E68">GetValue("Dmn","Name",D68)</f>
        <v>BigId</v>
      </c>
      <c r="F68" s="19">
        <f t="shared" si="1"/>
        <v>5</v>
      </c>
      <c r="G68" s="19" t="str" cm="1">
        <f t="array" ref="G68">GetColumnName(C68,IF(B68=B67,G67,""))</f>
        <v>Id</v>
      </c>
      <c r="H68" s="19" t="str">
        <f t="shared" si="2"/>
        <v>Id</v>
      </c>
      <c r="I68" s="19" t="str">
        <f t="shared" si="3"/>
        <v>Id</v>
      </c>
      <c r="J68" s="19"/>
      <c r="K68" s="19" t="b">
        <v>1</v>
      </c>
      <c r="L68" s="19" t="b" cm="1">
        <f t="array" ref="L68">IsPrimaryKey(A68)</f>
        <v>1</v>
      </c>
      <c r="M68" s="19" t="b" cm="1">
        <f t="array" ref="M68">IsAutoincrement(A68)</f>
        <v>1</v>
      </c>
      <c r="N68" s="19" t="b" cm="1">
        <f t="array" ref="N68">IsUnique(A68)</f>
        <v>0</v>
      </c>
      <c r="O68" s="19" t="str" cm="1">
        <f t="array" ref="O68">IsFilterable(A68)</f>
        <v/>
      </c>
      <c r="P68" s="19" t="str" cm="1">
        <f t="array" ref="P68">IsEditable(A68)</f>
        <v/>
      </c>
      <c r="Q68" s="19" t="str" cm="1">
        <f t="array" ref="Q68">IsGridable(A68)</f>
        <v/>
      </c>
      <c r="R68" s="19" t="str" cm="1">
        <f t="array" ref="R68">IsListable(A68)</f>
        <v/>
      </c>
      <c r="S68" s="19" t="str" cm="1">
        <f t="array" ref="S68">IsEncrypted(A68)</f>
        <v/>
      </c>
      <c r="T68" s="19" t="str" cm="1">
        <f t="array" ref="T68">IsInWords(A68)</f>
        <v/>
      </c>
      <c r="U68" s="19" t="b">
        <v>0</v>
      </c>
    </row>
    <row r="69" spans="1:21">
      <c r="A69" s="19">
        <f t="shared" si="0"/>
        <v>66</v>
      </c>
      <c r="B69" s="20">
        <v>9</v>
      </c>
      <c r="C69" s="19" t="str" cm="1">
        <f t="array" ref="C69">GetValue("Tbl","Alias",B69)</f>
        <v>Msk</v>
      </c>
      <c r="D69" s="19" cm="1">
        <f t="array" ref="D69">GetDomainId(C69,G69)</f>
        <v>57</v>
      </c>
      <c r="E69" s="19" t="str" cm="1">
        <f t="array" ref="E69">GetValue("Dmn","Name",D69)</f>
        <v>SmallId</v>
      </c>
      <c r="F69" s="19">
        <f t="shared" si="1"/>
        <v>10</v>
      </c>
      <c r="G69" s="19" t="str" cm="1">
        <f t="array" ref="G69">GetColumnName(C69,IF(B69=B68,G68,""))</f>
        <v>OwnertId</v>
      </c>
      <c r="H69" s="19" t="str">
        <f t="shared" si="2"/>
        <v>OwnertId</v>
      </c>
      <c r="I69" s="19" t="str">
        <f t="shared" si="3"/>
        <v>OwnertId</v>
      </c>
      <c r="J69" s="19"/>
      <c r="K69" s="19" t="b">
        <v>1</v>
      </c>
      <c r="L69" s="19" t="b" cm="1">
        <f t="array" ref="L69">IsPrimaryKey(A69)</f>
        <v>0</v>
      </c>
      <c r="M69" s="19" t="b" cm="1">
        <f t="array" ref="M69">IsAutoincrement(A69)</f>
        <v>0</v>
      </c>
      <c r="N69" s="19" t="b" cm="1">
        <f t="array" ref="N69">IsUnique(A69)</f>
        <v>0</v>
      </c>
      <c r="O69" s="19" t="b" cm="1">
        <f t="array" ref="O69">IsFilterable(A69)</f>
        <v>1</v>
      </c>
      <c r="P69" s="19" t="b" cm="1">
        <f t="array" ref="P69">IsEditable(A69)</f>
        <v>1</v>
      </c>
      <c r="Q69" s="19" t="b" cm="1">
        <f t="array" ref="Q69">IsGridable(A69)</f>
        <v>1</v>
      </c>
      <c r="R69" s="19" t="str" cm="1">
        <f t="array" ref="R69">IsListable(A69)</f>
        <v/>
      </c>
      <c r="S69" s="19" t="str" cm="1">
        <f t="array" ref="S69">IsEncrypted(A69)</f>
        <v/>
      </c>
      <c r="T69" s="19" t="b" cm="1">
        <f t="array" ref="T69">IsInWords(A69)</f>
        <v>0</v>
      </c>
      <c r="U69" s="19" t="b">
        <v>0</v>
      </c>
    </row>
    <row r="70" spans="1:21">
      <c r="A70" s="19">
        <f t="shared" si="0"/>
        <v>67</v>
      </c>
      <c r="B70" s="20">
        <v>9</v>
      </c>
      <c r="C70" s="19" t="str" cm="1">
        <f t="array" ref="C70">GetValue("Tbl","Alias",B70)</f>
        <v>Msk</v>
      </c>
      <c r="D70" s="19" cm="1">
        <f t="array" ref="D70">GetDomainId(C70,G70)</f>
        <v>11</v>
      </c>
      <c r="E70" s="19" t="str" cm="1">
        <f t="array" ref="E70">GetValue("Dmn","Name",D70)</f>
        <v>NVARCHAR(25)</v>
      </c>
      <c r="F70" s="19">
        <f t="shared" si="1"/>
        <v>15</v>
      </c>
      <c r="G70" s="19" t="str" cm="1">
        <f t="array" ref="G70">GetColumnName(C70,IF(B70=B69,G69,""))</f>
        <v>Name</v>
      </c>
      <c r="H70" s="19" t="str">
        <f t="shared" si="2"/>
        <v>Name</v>
      </c>
      <c r="I70" s="19" t="str">
        <f t="shared" si="3"/>
        <v>Name</v>
      </c>
      <c r="J70" s="19"/>
      <c r="K70" s="19" t="b">
        <v>0</v>
      </c>
      <c r="L70" s="19" t="b" cm="1">
        <f t="array" ref="L70">IsPrimaryKey(A70)</f>
        <v>0</v>
      </c>
      <c r="M70" s="19" t="str" cm="1">
        <f t="array" ref="M70">IsAutoincrement(A70)</f>
        <v/>
      </c>
      <c r="N70" s="19" t="b" cm="1">
        <f t="array" ref="N70">IsUnique(A70)</f>
        <v>0</v>
      </c>
      <c r="O70" s="19" t="b" cm="1">
        <f t="array" ref="O70">IsFilterable(A70)</f>
        <v>1</v>
      </c>
      <c r="P70" s="19" t="b" cm="1">
        <f t="array" ref="P70">IsEditable(A70)</f>
        <v>1</v>
      </c>
      <c r="Q70" s="19" t="b" cm="1">
        <f t="array" ref="Q70">IsGridable(A70)</f>
        <v>1</v>
      </c>
      <c r="R70" s="19" t="b" cm="1">
        <f t="array" ref="R70">IsListable(A70)</f>
        <v>0</v>
      </c>
      <c r="S70" s="19" t="b" cm="1">
        <f t="array" ref="S70">IsEncrypted(A70)</f>
        <v>0</v>
      </c>
      <c r="T70" s="19" t="str" cm="1">
        <f t="array" ref="T70">IsInWords(A70)</f>
        <v/>
      </c>
      <c r="U70" s="19" t="b">
        <v>0</v>
      </c>
    </row>
    <row r="71" spans="1:21">
      <c r="A71" s="19">
        <f t="shared" ref="A71:A117" si="9">ROW(A71)-3</f>
        <v>68</v>
      </c>
      <c r="B71" s="20">
        <v>9</v>
      </c>
      <c r="C71" s="19" t="str" cm="1">
        <f t="array" ref="C71">GetValue("Tbl","Alias",B71)</f>
        <v>Msk</v>
      </c>
      <c r="D71" s="19" cm="1">
        <f t="array" ref="D71">GetDomainId(C71,G71)</f>
        <v>13</v>
      </c>
      <c r="E71" s="19" t="str" cm="1">
        <f t="array" ref="E71">GetValue("Dmn","Name",D71)</f>
        <v>NVARCHAR(256)</v>
      </c>
      <c r="F71" s="19">
        <f t="shared" ref="F71:F130" si="10">IF(G71="Id",5,F70+5)</f>
        <v>20</v>
      </c>
      <c r="G71" s="19" t="str" cm="1">
        <f t="array" ref="G71">GetColumnName(C71,IF(B71=B70,G70,""))</f>
        <v>Mask</v>
      </c>
      <c r="H71" s="19" t="str">
        <f t="shared" ref="H71:H121" si="11">G71</f>
        <v>Mask</v>
      </c>
      <c r="I71" s="19" t="str">
        <f t="shared" ref="I71:I121" si="12">G71</f>
        <v>Mask</v>
      </c>
      <c r="J71" s="19"/>
      <c r="K71" s="19" t="b">
        <v>0</v>
      </c>
      <c r="L71" s="19" t="b" cm="1">
        <f t="array" ref="L71">IsPrimaryKey(A71)</f>
        <v>0</v>
      </c>
      <c r="M71" s="19" t="str" cm="1">
        <f t="array" ref="M71">IsAutoincrement(A71)</f>
        <v/>
      </c>
      <c r="N71" s="19" t="b" cm="1">
        <f t="array" ref="N71">IsUnique(A71)</f>
        <v>0</v>
      </c>
      <c r="O71" s="19" t="b" cm="1">
        <f t="array" ref="O71">IsFilterable(A71)</f>
        <v>1</v>
      </c>
      <c r="P71" s="19" t="b" cm="1">
        <f t="array" ref="P71">IsEditable(A71)</f>
        <v>1</v>
      </c>
      <c r="Q71" s="19" t="b" cm="1">
        <f t="array" ref="Q71">IsGridable(A71)</f>
        <v>1</v>
      </c>
      <c r="R71" s="19" t="b" cm="1">
        <f t="array" ref="R71">IsListable(A71)</f>
        <v>0</v>
      </c>
      <c r="S71" s="19" t="b" cm="1">
        <f t="array" ref="S71">IsEncrypted(A71)</f>
        <v>0</v>
      </c>
      <c r="T71" s="19" t="str" cm="1">
        <f t="array" ref="T71">IsInWords(A71)</f>
        <v/>
      </c>
      <c r="U71" s="19" t="b">
        <v>0</v>
      </c>
    </row>
    <row r="72" spans="1:21">
      <c r="A72" s="19">
        <f t="shared" si="9"/>
        <v>69</v>
      </c>
      <c r="B72" s="20">
        <v>9</v>
      </c>
      <c r="C72" s="19" t="str" cm="1">
        <f t="array" ref="C72">GetValue("Tbl","Alias",B72)</f>
        <v>Msk</v>
      </c>
      <c r="D72" s="19" cm="1">
        <f t="array" ref="D72">GetDomainId(C72,G72)</f>
        <v>13</v>
      </c>
      <c r="E72" s="19" t="str" cm="1">
        <f t="array" ref="E72">GetValue("Dmn","Name",D72)</f>
        <v>NVARCHAR(256)</v>
      </c>
      <c r="F72" s="19">
        <f t="shared" si="10"/>
        <v>25</v>
      </c>
      <c r="G72" s="19" t="str" cm="1">
        <f t="array" ref="G72">GetColumnName(C72,IF(B72=B71,G71,""))</f>
        <v>Modificators</v>
      </c>
      <c r="H72" s="19" t="str">
        <f t="shared" si="11"/>
        <v>Modificators</v>
      </c>
      <c r="I72" s="19" t="str">
        <f t="shared" si="12"/>
        <v>Modificators</v>
      </c>
      <c r="J72" s="19"/>
      <c r="K72" s="19" t="b">
        <v>1</v>
      </c>
      <c r="L72" s="19" t="b" cm="1">
        <f t="array" ref="L72">IsPrimaryKey(A72)</f>
        <v>0</v>
      </c>
      <c r="M72" s="19" t="str" cm="1">
        <f t="array" ref="M72">IsAutoincrement(A72)</f>
        <v/>
      </c>
      <c r="N72" s="19" t="b" cm="1">
        <f t="array" ref="N72">IsUnique(A72)</f>
        <v>0</v>
      </c>
      <c r="O72" s="19" t="b" cm="1">
        <f t="array" ref="O72">IsFilterable(A72)</f>
        <v>1</v>
      </c>
      <c r="P72" s="19" t="b" cm="1">
        <f t="array" ref="P72">IsEditable(A72)</f>
        <v>1</v>
      </c>
      <c r="Q72" s="19" t="b" cm="1">
        <f t="array" ref="Q72">IsGridable(A72)</f>
        <v>1</v>
      </c>
      <c r="R72" s="19" t="b" cm="1">
        <f t="array" ref="R72">IsListable(A72)</f>
        <v>0</v>
      </c>
      <c r="S72" s="19" t="b" cm="1">
        <f t="array" ref="S72">IsEncrypted(A72)</f>
        <v>0</v>
      </c>
      <c r="T72" s="19" t="str" cm="1">
        <f t="array" ref="T72">IsInWords(A72)</f>
        <v/>
      </c>
      <c r="U72" s="19" t="b">
        <v>0</v>
      </c>
    </row>
    <row r="73" spans="1:21">
      <c r="A73" s="17">
        <f t="shared" si="9"/>
        <v>70</v>
      </c>
      <c r="B73" s="18">
        <v>10</v>
      </c>
      <c r="C73" s="17" t="str" cm="1">
        <f t="array" ref="C73">GetValue("Tbl","Alias",B73)</f>
        <v>Mkg</v>
      </c>
      <c r="D73" s="17" cm="1">
        <f t="array" ref="D73">GetDomainId(C73,G73)</f>
        <v>55</v>
      </c>
      <c r="E73" s="17" t="str" cm="1">
        <f t="array" ref="E73">GetValue("Dmn","Name",D73)</f>
        <v>BigId</v>
      </c>
      <c r="F73" s="17">
        <f t="shared" si="10"/>
        <v>5</v>
      </c>
      <c r="G73" s="17" t="str" cm="1">
        <f t="array" ref="G73">GetColumnName(C73,IF(B73=B72,G72,""))</f>
        <v>Id</v>
      </c>
      <c r="H73" s="17" t="str">
        <f t="shared" si="11"/>
        <v>Id</v>
      </c>
      <c r="I73" s="17" t="str">
        <f t="shared" si="12"/>
        <v>Id</v>
      </c>
      <c r="J73" s="17"/>
      <c r="K73" s="17" t="b">
        <v>1</v>
      </c>
      <c r="L73" s="17" t="b" cm="1">
        <f t="array" ref="L73">IsPrimaryKey(A73)</f>
        <v>1</v>
      </c>
      <c r="M73" s="17" t="b" cm="1">
        <f t="array" ref="M73">IsAutoincrement(A73)</f>
        <v>1</v>
      </c>
      <c r="N73" s="17" t="b" cm="1">
        <f t="array" ref="N73">IsUnique(A73)</f>
        <v>0</v>
      </c>
      <c r="O73" s="17" t="str" cm="1">
        <f t="array" ref="O73">IsFilterable(A73)</f>
        <v/>
      </c>
      <c r="P73" s="17" t="str" cm="1">
        <f t="array" ref="P73">IsEditable(A73)</f>
        <v/>
      </c>
      <c r="Q73" s="17" t="str" cm="1">
        <f t="array" ref="Q73">IsGridable(A73)</f>
        <v/>
      </c>
      <c r="R73" s="17" t="str" cm="1">
        <f t="array" ref="R73">IsListable(A73)</f>
        <v/>
      </c>
      <c r="S73" s="17" t="str" cm="1">
        <f t="array" ref="S73">IsEncrypted(A73)</f>
        <v/>
      </c>
      <c r="T73" s="17" t="str" cm="1">
        <f t="array" ref="T73">IsInWords(A73)</f>
        <v/>
      </c>
      <c r="U73" s="17" t="b">
        <v>0</v>
      </c>
    </row>
    <row r="74" spans="1:21">
      <c r="A74" s="17">
        <f t="shared" si="9"/>
        <v>71</v>
      </c>
      <c r="B74" s="18">
        <v>10</v>
      </c>
      <c r="C74" s="17" t="str" cm="1">
        <f t="array" ref="C74">GetValue("Tbl","Alias",B74)</f>
        <v>Mkg</v>
      </c>
      <c r="D74" s="17" cm="1">
        <f t="array" ref="D74">GetDomainId(C74,G74)</f>
        <v>55</v>
      </c>
      <c r="E74" s="17" t="str" cm="1">
        <f t="array" ref="E74">GetValue("Dmn","Name",D74)</f>
        <v>BigId</v>
      </c>
      <c r="F74" s="17">
        <f t="shared" si="10"/>
        <v>10</v>
      </c>
      <c r="G74" s="17" t="str" cm="1">
        <f t="array" ref="G74">GetColumnName(C74,IF(B74=B73,G73,""))</f>
        <v>DomainId</v>
      </c>
      <c r="H74" s="17" t="str">
        <f t="shared" si="11"/>
        <v>DomainId</v>
      </c>
      <c r="I74" s="17" t="str">
        <f t="shared" si="12"/>
        <v>DomainId</v>
      </c>
      <c r="J74" s="17"/>
      <c r="K74" s="17" t="b">
        <v>1</v>
      </c>
      <c r="L74" s="17" t="b" cm="1">
        <f t="array" ref="L74">IsPrimaryKey(A74)</f>
        <v>0</v>
      </c>
      <c r="M74" s="17" t="b" cm="1">
        <f t="array" ref="M74">IsAutoincrement(A74)</f>
        <v>0</v>
      </c>
      <c r="N74" s="17" t="b" cm="1">
        <f t="array" ref="N74">IsUnique(A74)</f>
        <v>0</v>
      </c>
      <c r="O74" s="17" t="b" cm="1">
        <f t="array" ref="O74">IsFilterable(A74)</f>
        <v>1</v>
      </c>
      <c r="P74" s="17" t="b" cm="1">
        <f t="array" ref="P74">IsEditable(A74)</f>
        <v>1</v>
      </c>
      <c r="Q74" s="17" t="b" cm="1">
        <f t="array" ref="Q74">IsGridable(A74)</f>
        <v>1</v>
      </c>
      <c r="R74" s="17" t="str" cm="1">
        <f t="array" ref="R74">IsListable(A74)</f>
        <v/>
      </c>
      <c r="S74" s="17" t="str" cm="1">
        <f t="array" ref="S74">IsEncrypted(A74)</f>
        <v/>
      </c>
      <c r="T74" s="17" t="b" cm="1">
        <f t="array" ref="T74">IsInWords(A74)</f>
        <v>0</v>
      </c>
      <c r="U74" s="17" t="b">
        <v>0</v>
      </c>
    </row>
    <row r="75" spans="1:21">
      <c r="A75" s="17">
        <f t="shared" si="9"/>
        <v>72</v>
      </c>
      <c r="B75" s="18">
        <v>10</v>
      </c>
      <c r="C75" s="17" t="str" cm="1">
        <f t="array" ref="C75">GetValue("Tbl","Alias",B75)</f>
        <v>Mkg</v>
      </c>
      <c r="D75" s="17" cm="1">
        <f t="array" ref="D75">GetDomainId(C75,G75)</f>
        <v>55</v>
      </c>
      <c r="E75" s="17" t="str" cm="1">
        <f t="array" ref="E75">GetValue("Dmn","Name",D75)</f>
        <v>BigId</v>
      </c>
      <c r="F75" s="17">
        <f t="shared" si="10"/>
        <v>15</v>
      </c>
      <c r="G75" s="17" t="str" cm="1">
        <f t="array" ref="G75">GetColumnName(C75,IF(B75=B74,G74,""))</f>
        <v>MaskId</v>
      </c>
      <c r="H75" s="17" t="str">
        <f t="shared" si="11"/>
        <v>MaskId</v>
      </c>
      <c r="I75" s="17" t="str">
        <f t="shared" si="12"/>
        <v>MaskId</v>
      </c>
      <c r="J75" s="17"/>
      <c r="K75" s="17" t="b">
        <v>0</v>
      </c>
      <c r="L75" s="17" t="b" cm="1">
        <f t="array" ref="L75">IsPrimaryKey(A75)</f>
        <v>0</v>
      </c>
      <c r="M75" s="17" t="b" cm="1">
        <f t="array" ref="M75">IsAutoincrement(A75)</f>
        <v>0</v>
      </c>
      <c r="N75" s="17" t="b" cm="1">
        <f t="array" ref="N75">IsUnique(A75)</f>
        <v>0</v>
      </c>
      <c r="O75" s="17" t="b" cm="1">
        <f t="array" ref="O75">IsFilterable(A75)</f>
        <v>1</v>
      </c>
      <c r="P75" s="17" t="b" cm="1">
        <f t="array" ref="P75">IsEditable(A75)</f>
        <v>1</v>
      </c>
      <c r="Q75" s="17" t="b" cm="1">
        <f t="array" ref="Q75">IsGridable(A75)</f>
        <v>1</v>
      </c>
      <c r="R75" s="17" t="str" cm="1">
        <f t="array" ref="R75">IsListable(A75)</f>
        <v/>
      </c>
      <c r="S75" s="17" t="str" cm="1">
        <f t="array" ref="S75">IsEncrypted(A75)</f>
        <v/>
      </c>
      <c r="T75" s="17" t="b" cm="1">
        <f t="array" ref="T75">IsInWords(A75)</f>
        <v>0</v>
      </c>
      <c r="U75" s="17" t="b">
        <v>0</v>
      </c>
    </row>
    <row r="76" spans="1:21">
      <c r="A76" s="17">
        <f t="shared" si="9"/>
        <v>73</v>
      </c>
      <c r="B76" s="18">
        <v>10</v>
      </c>
      <c r="C76" s="17" t="str" cm="1">
        <f t="array" ref="C76">GetValue("Tbl","Alias",B76)</f>
        <v>Mkg</v>
      </c>
      <c r="D76" s="17" cm="1">
        <f t="array" ref="D76">GetDomainId(C76,G76)</f>
        <v>4</v>
      </c>
      <c r="E76" s="17" t="str" cm="1">
        <f t="array" ref="E76">GetValue("Dmn","Name",D76)</f>
        <v>TinyInteger</v>
      </c>
      <c r="F76" s="17">
        <f t="shared" si="10"/>
        <v>20</v>
      </c>
      <c r="G76" s="17" t="str" cm="1">
        <f t="array" ref="G76">GetColumnName(C76,IF(B76=B75,G75,""))</f>
        <v>CheckDigitModule</v>
      </c>
      <c r="H76" s="17" t="str">
        <f t="shared" si="11"/>
        <v>CheckDigitModule</v>
      </c>
      <c r="I76" s="17" t="str">
        <f t="shared" si="12"/>
        <v>CheckDigitModule</v>
      </c>
      <c r="J76" s="17"/>
      <c r="K76" s="17" t="b">
        <v>0</v>
      </c>
      <c r="L76" s="17" t="b" cm="1">
        <f t="array" ref="L76">IsPrimaryKey(A76)</f>
        <v>0</v>
      </c>
      <c r="M76" s="17" t="b" cm="1">
        <f t="array" ref="M76">IsAutoincrement(A76)</f>
        <v>0</v>
      </c>
      <c r="N76" s="17" t="b" cm="1">
        <f t="array" ref="N76">IsUnique(A76)</f>
        <v>0</v>
      </c>
      <c r="O76" s="17" t="b" cm="1">
        <f t="array" ref="O76">IsFilterable(A76)</f>
        <v>1</v>
      </c>
      <c r="P76" s="17" t="b" cm="1">
        <f t="array" ref="P76">IsEditable(A76)</f>
        <v>1</v>
      </c>
      <c r="Q76" s="17" t="b" cm="1">
        <f t="array" ref="Q76">IsGridable(A76)</f>
        <v>1</v>
      </c>
      <c r="R76" s="17" t="str" cm="1">
        <f t="array" ref="R76">IsListable(A76)</f>
        <v/>
      </c>
      <c r="S76" s="17" t="str" cm="1">
        <f t="array" ref="S76">IsEncrypted(A76)</f>
        <v/>
      </c>
      <c r="T76" s="17" t="b" cm="1">
        <f t="array" ref="T76">IsInWords(A76)</f>
        <v>0</v>
      </c>
      <c r="U76" s="17" t="b">
        <v>0</v>
      </c>
    </row>
    <row r="77" spans="1:21">
      <c r="A77" s="17">
        <f t="shared" si="9"/>
        <v>74</v>
      </c>
      <c r="B77" s="18">
        <v>10</v>
      </c>
      <c r="C77" s="17" t="str" cm="1">
        <f t="array" ref="C77">GetValue("Tbl","Alias",B77)</f>
        <v>Mkg</v>
      </c>
      <c r="D77" s="17" cm="1">
        <f t="array" ref="D77">GetDomainId(C77,G77)</f>
        <v>14</v>
      </c>
      <c r="E77" s="17" t="str" cm="1">
        <f t="array" ref="E77">GetValue("Dmn","Name",D77)</f>
        <v>NVARCHAR(max)</v>
      </c>
      <c r="F77" s="17">
        <f t="shared" si="10"/>
        <v>25</v>
      </c>
      <c r="G77" s="17" t="str" cm="1">
        <f t="array" ref="G77">GetColumnName(C77,IF(B77=B76,G76,""))</f>
        <v>CheckDigitFactors</v>
      </c>
      <c r="H77" s="17" t="str">
        <f t="shared" si="11"/>
        <v>CheckDigitFactors</v>
      </c>
      <c r="I77" s="17" t="str">
        <f t="shared" si="12"/>
        <v>CheckDigitFactors</v>
      </c>
      <c r="J77" s="17"/>
      <c r="K77" s="17" t="b">
        <v>0</v>
      </c>
      <c r="L77" s="17" t="str" cm="1">
        <f t="array" ref="L77">IsPrimaryKey(A77)</f>
        <v/>
      </c>
      <c r="M77" s="17" t="str" cm="1">
        <f t="array" ref="M77">IsAutoincrement(A77)</f>
        <v/>
      </c>
      <c r="N77" s="17" t="str" cm="1">
        <f t="array" ref="N77">IsUnique(A77)</f>
        <v/>
      </c>
      <c r="O77" s="17" t="str" cm="1">
        <f t="array" ref="O77">IsFilterable(A77)</f>
        <v/>
      </c>
      <c r="P77" s="17" t="b" cm="1">
        <f t="array" ref="P77">IsEditable(A77)</f>
        <v>1</v>
      </c>
      <c r="Q77" s="17" t="str" cm="1">
        <f t="array" ref="Q77">IsGridable(A77)</f>
        <v/>
      </c>
      <c r="R77" s="17" t="str" cm="1">
        <f t="array" ref="R77">IsListable(A77)</f>
        <v/>
      </c>
      <c r="S77" s="17" t="str" cm="1">
        <f t="array" ref="S77">IsEncrypted(A77)</f>
        <v/>
      </c>
      <c r="T77" s="17" t="str" cm="1">
        <f t="array" ref="T77">IsInWords(A77)</f>
        <v/>
      </c>
      <c r="U77" s="17" t="b">
        <v>0</v>
      </c>
    </row>
    <row r="78" spans="1:21">
      <c r="A78" s="17">
        <f t="shared" si="9"/>
        <v>75</v>
      </c>
      <c r="B78" s="18">
        <v>10</v>
      </c>
      <c r="C78" s="17" t="str" cm="1">
        <f t="array" ref="C78">GetValue("Tbl","Alias",B78)</f>
        <v>Mkg</v>
      </c>
      <c r="D78" s="17" cm="1">
        <f t="array" ref="D78">GetDomainId(C78,G78)</f>
        <v>15</v>
      </c>
      <c r="E78" s="17" t="str" cm="1">
        <f t="array" ref="E78">GetValue("Dmn","Name",D78)</f>
        <v>NCHAR(1)</v>
      </c>
      <c r="F78" s="17">
        <f t="shared" si="10"/>
        <v>30</v>
      </c>
      <c r="G78" s="17" t="str" cm="1">
        <f t="array" ref="G78">GetColumnName(C78,IF(B78=B77,G77,""))</f>
        <v>CheckDigitGreaterThanNine</v>
      </c>
      <c r="H78" s="17" t="str">
        <f t="shared" si="11"/>
        <v>CheckDigitGreaterThanNine</v>
      </c>
      <c r="I78" s="17" t="str">
        <f t="shared" si="12"/>
        <v>CheckDigitGreaterThanNine</v>
      </c>
      <c r="J78" s="17"/>
      <c r="K78" s="17" t="b">
        <v>1</v>
      </c>
      <c r="L78" s="17" t="b" cm="1">
        <f t="array" ref="L78">IsPrimaryKey(A78)</f>
        <v>0</v>
      </c>
      <c r="M78" s="17" t="str" cm="1">
        <f t="array" ref="M78">IsAutoincrement(A78)</f>
        <v/>
      </c>
      <c r="N78" s="17" t="b" cm="1">
        <f t="array" ref="N78">IsUnique(A78)</f>
        <v>0</v>
      </c>
      <c r="O78" s="17" t="b" cm="1">
        <f t="array" ref="O78">IsFilterable(A78)</f>
        <v>1</v>
      </c>
      <c r="P78" s="17" t="b" cm="1">
        <f t="array" ref="P78">IsEditable(A78)</f>
        <v>1</v>
      </c>
      <c r="Q78" s="17" t="b" cm="1">
        <f t="array" ref="Q78">IsGridable(A78)</f>
        <v>1</v>
      </c>
      <c r="R78" s="17" t="b" cm="1">
        <f t="array" ref="R78">IsListable(A78)</f>
        <v>0</v>
      </c>
      <c r="S78" s="17" t="b" cm="1">
        <f t="array" ref="S78">IsEncrypted(A78)</f>
        <v>0</v>
      </c>
      <c r="T78" s="17" t="str" cm="1">
        <f t="array" ref="T78">IsInWords(A78)</f>
        <v/>
      </c>
      <c r="U78" s="17" t="b">
        <v>0</v>
      </c>
    </row>
    <row r="79" spans="1:21">
      <c r="A79" s="19">
        <f t="shared" si="9"/>
        <v>76</v>
      </c>
      <c r="B79" s="20">
        <v>11</v>
      </c>
      <c r="C79" s="19" t="str" cm="1">
        <f t="array" ref="C79">GetValue("Tbl","Alias",B79)</f>
        <v>Con</v>
      </c>
      <c r="D79" s="19" cm="1">
        <f t="array" ref="D79">GetDomainId(C79,G79)</f>
        <v>55</v>
      </c>
      <c r="E79" s="19" t="str" cm="1">
        <f t="array" ref="E79">GetValue("Dmn","Name",D79)</f>
        <v>BigId</v>
      </c>
      <c r="F79" s="19">
        <f t="shared" si="10"/>
        <v>5</v>
      </c>
      <c r="G79" s="19" t="str" cm="1">
        <f t="array" ref="G79">GetColumnName(C79,IF(B79=B78,G78,""))</f>
        <v>Id</v>
      </c>
      <c r="H79" s="19" t="str">
        <f t="shared" si="11"/>
        <v>Id</v>
      </c>
      <c r="I79" s="19" t="str">
        <f t="shared" si="12"/>
        <v>Id</v>
      </c>
      <c r="J79" s="19"/>
      <c r="K79" s="19" t="b">
        <v>1</v>
      </c>
      <c r="L79" s="19" t="b" cm="1">
        <f t="array" ref="L79">IsPrimaryKey(A79)</f>
        <v>1</v>
      </c>
      <c r="M79" s="19" t="b" cm="1">
        <f t="array" ref="M79">IsAutoincrement(A79)</f>
        <v>1</v>
      </c>
      <c r="N79" s="19" t="b" cm="1">
        <f t="array" ref="N79">IsUnique(A79)</f>
        <v>0</v>
      </c>
      <c r="O79" s="19" t="str" cm="1">
        <f t="array" ref="O79">IsFilterable(A79)</f>
        <v/>
      </c>
      <c r="P79" s="19" t="str" cm="1">
        <f t="array" ref="P79">IsEditable(A79)</f>
        <v/>
      </c>
      <c r="Q79" s="19" t="str" cm="1">
        <f t="array" ref="Q79">IsGridable(A79)</f>
        <v/>
      </c>
      <c r="R79" s="19" t="str" cm="1">
        <f t="array" ref="R79">IsListable(A79)</f>
        <v/>
      </c>
      <c r="S79" s="19" t="str" cm="1">
        <f t="array" ref="S79">IsEncrypted(A79)</f>
        <v/>
      </c>
      <c r="T79" s="19" t="str" cm="1">
        <f t="array" ref="T79">IsInWords(A79)</f>
        <v/>
      </c>
      <c r="U79" s="19" t="b">
        <v>0</v>
      </c>
    </row>
    <row r="80" spans="1:21">
      <c r="A80" s="19">
        <f t="shared" si="9"/>
        <v>77</v>
      </c>
      <c r="B80" s="20">
        <v>11</v>
      </c>
      <c r="C80" s="19" t="str" cm="1">
        <f t="array" ref="C80">GetValue("Tbl","Alias",B80)</f>
        <v>Con</v>
      </c>
      <c r="D80" s="19" cm="1">
        <f t="array" ref="D80">GetDomainId(C80,G80)</f>
        <v>57</v>
      </c>
      <c r="E80" s="19" t="str" cm="1">
        <f t="array" ref="E80">GetValue("Dmn","Name",D80)</f>
        <v>SmallId</v>
      </c>
      <c r="F80" s="19">
        <f t="shared" si="10"/>
        <v>10</v>
      </c>
      <c r="G80" s="19" t="str" cm="1">
        <f t="array" ref="G80">GetColumnName(C80,IF(B80=B79,G79,""))</f>
        <v>OwnertId</v>
      </c>
      <c r="H80" s="19" t="str">
        <f t="shared" si="11"/>
        <v>OwnertId</v>
      </c>
      <c r="I80" s="19" t="str">
        <f t="shared" si="12"/>
        <v>OwnertId</v>
      </c>
      <c r="J80" s="19"/>
      <c r="K80" s="19" t="b">
        <v>1</v>
      </c>
      <c r="L80" s="19" t="b" cm="1">
        <f t="array" ref="L80">IsPrimaryKey(A80)</f>
        <v>0</v>
      </c>
      <c r="M80" s="19" t="b" cm="1">
        <f t="array" ref="M80">IsAutoincrement(A80)</f>
        <v>0</v>
      </c>
      <c r="N80" s="19" t="b" cm="1">
        <f t="array" ref="N80">IsUnique(A80)</f>
        <v>0</v>
      </c>
      <c r="O80" s="19" t="b" cm="1">
        <f t="array" ref="O80">IsFilterable(A80)</f>
        <v>1</v>
      </c>
      <c r="P80" s="19" t="b" cm="1">
        <f t="array" ref="P80">IsEditable(A80)</f>
        <v>1</v>
      </c>
      <c r="Q80" s="19" t="b" cm="1">
        <f t="array" ref="Q80">IsGridable(A80)</f>
        <v>1</v>
      </c>
      <c r="R80" s="19" t="str" cm="1">
        <f t="array" ref="R80">IsListable(A80)</f>
        <v/>
      </c>
      <c r="S80" s="19" t="str" cm="1">
        <f t="array" ref="S80">IsEncrypted(A80)</f>
        <v/>
      </c>
      <c r="T80" s="19" t="b" cm="1">
        <f t="array" ref="T80">IsInWords(A80)</f>
        <v>0</v>
      </c>
      <c r="U80" s="19" t="b">
        <v>0</v>
      </c>
    </row>
    <row r="81" spans="1:21">
      <c r="A81" s="19">
        <f t="shared" si="9"/>
        <v>78</v>
      </c>
      <c r="B81" s="20">
        <v>11</v>
      </c>
      <c r="C81" s="19" t="str" cm="1">
        <f t="array" ref="C81">GetValue("Tbl","Alias",B81)</f>
        <v>Con</v>
      </c>
      <c r="D81" s="19" cm="1">
        <f t="array" ref="D81">GetDomainId(C81,G81)</f>
        <v>11</v>
      </c>
      <c r="E81" s="19" t="str" cm="1">
        <f t="array" ref="E81">GetValue("Dmn","Name",D81)</f>
        <v>NVARCHAR(25)</v>
      </c>
      <c r="F81" s="19">
        <f t="shared" si="10"/>
        <v>15</v>
      </c>
      <c r="G81" s="19" t="str" cm="1">
        <f t="array" ref="G81">GetColumnName(C81,IF(B81=B80,G80,""))</f>
        <v>Name</v>
      </c>
      <c r="H81" s="19" t="str">
        <f t="shared" si="11"/>
        <v>Name</v>
      </c>
      <c r="I81" s="19" t="str">
        <f t="shared" ref="I81:I82" si="13">G81</f>
        <v>Name</v>
      </c>
      <c r="J81" s="19"/>
      <c r="K81" s="19" t="b">
        <v>1</v>
      </c>
      <c r="L81" s="19" t="b" cm="1">
        <f t="array" ref="L81">IsPrimaryKey(A81)</f>
        <v>0</v>
      </c>
      <c r="M81" s="19" t="str" cm="1">
        <f t="array" ref="M81">IsAutoincrement(A81)</f>
        <v/>
      </c>
      <c r="N81" s="19" t="b" cm="1">
        <f t="array" ref="N81">IsUnique(A81)</f>
        <v>0</v>
      </c>
      <c r="O81" s="19" t="b" cm="1">
        <f t="array" ref="O81">IsFilterable(A81)</f>
        <v>1</v>
      </c>
      <c r="P81" s="19" t="b" cm="1">
        <f t="array" ref="P81">IsEditable(A81)</f>
        <v>1</v>
      </c>
      <c r="Q81" s="19" t="b" cm="1">
        <f t="array" ref="Q81">IsGridable(A81)</f>
        <v>1</v>
      </c>
      <c r="R81" s="19" t="b" cm="1">
        <f t="array" ref="R81">IsListable(A81)</f>
        <v>0</v>
      </c>
      <c r="S81" s="19" t="b" cm="1">
        <f t="array" ref="S81">IsEncrypted(A81)</f>
        <v>0</v>
      </c>
      <c r="T81" s="19" t="str" cm="1">
        <f t="array" ref="T81">IsInWords(A81)</f>
        <v/>
      </c>
      <c r="U81" s="19" t="b">
        <v>0</v>
      </c>
    </row>
    <row r="82" spans="1:21">
      <c r="A82" s="19">
        <f t="shared" si="9"/>
        <v>79</v>
      </c>
      <c r="B82" s="20">
        <v>11</v>
      </c>
      <c r="C82" s="19" t="str" cm="1">
        <f t="array" ref="C82">GetValue("Tbl","Alias",B82)</f>
        <v>Con</v>
      </c>
      <c r="D82" s="19" cm="1">
        <f t="array" ref="D82">GetDomainId(C82,G82)</f>
        <v>12</v>
      </c>
      <c r="E82" s="19" t="str" cm="1">
        <f t="array" ref="E82">GetValue("Dmn","Name",D82)</f>
        <v>NVARCHAR(50)</v>
      </c>
      <c r="F82" s="19">
        <f t="shared" si="10"/>
        <v>20</v>
      </c>
      <c r="G82" s="19" t="str" cm="1">
        <f t="array" ref="G82">GetColumnName(C82,IF(B82=B81,G81,""))</f>
        <v>Description</v>
      </c>
      <c r="H82" s="19" t="str">
        <f t="shared" si="11"/>
        <v>Description</v>
      </c>
      <c r="I82" s="19" t="str">
        <f t="shared" si="13"/>
        <v>Description</v>
      </c>
      <c r="J82" s="19"/>
      <c r="K82" s="19" t="b">
        <v>1</v>
      </c>
      <c r="L82" s="19" t="b" cm="1">
        <f t="array" ref="L82">IsPrimaryKey(A82)</f>
        <v>0</v>
      </c>
      <c r="M82" s="19" t="str" cm="1">
        <f t="array" ref="M82">IsAutoincrement(A82)</f>
        <v/>
      </c>
      <c r="N82" s="19" t="b" cm="1">
        <f t="array" ref="N82">IsUnique(A82)</f>
        <v>0</v>
      </c>
      <c r="O82" s="19" t="b" cm="1">
        <f t="array" ref="O82">IsFilterable(A82)</f>
        <v>1</v>
      </c>
      <c r="P82" s="19" t="b" cm="1">
        <f t="array" ref="P82">IsEditable(A82)</f>
        <v>1</v>
      </c>
      <c r="Q82" s="19" t="b" cm="1">
        <f t="array" ref="Q82">IsGridable(A82)</f>
        <v>1</v>
      </c>
      <c r="R82" s="19" t="b" cm="1">
        <f t="array" ref="R82">IsListable(A82)</f>
        <v>0</v>
      </c>
      <c r="S82" s="19" t="b" cm="1">
        <f t="array" ref="S82">IsEncrypted(A82)</f>
        <v>0</v>
      </c>
      <c r="T82" s="19" t="str" cm="1">
        <f t="array" ref="T82">IsInWords(A82)</f>
        <v/>
      </c>
      <c r="U82" s="19" t="b">
        <v>0</v>
      </c>
    </row>
    <row r="83" spans="1:21">
      <c r="A83" s="17">
        <f t="shared" si="9"/>
        <v>80</v>
      </c>
      <c r="B83" s="18">
        <v>12</v>
      </c>
      <c r="C83" s="17" t="str" cm="1">
        <f t="array" ref="C83">GetValue("Tbl","Alias",B83)</f>
        <v>Db</v>
      </c>
      <c r="D83" s="17" cm="1">
        <f t="array" ref="D83">GetDomainId(C83,G83)</f>
        <v>55</v>
      </c>
      <c r="E83" s="17" t="str" cm="1">
        <f t="array" ref="E83">GetValue("Dmn","Name",D83)</f>
        <v>BigId</v>
      </c>
      <c r="F83" s="17">
        <f t="shared" si="10"/>
        <v>5</v>
      </c>
      <c r="G83" s="17" t="str" cm="1">
        <f t="array" ref="G83">GetColumnName(C83,IF(B83=B82,G82,""))</f>
        <v>Id</v>
      </c>
      <c r="H83" s="17" t="str">
        <f t="shared" si="11"/>
        <v>Id</v>
      </c>
      <c r="I83" s="17" t="str">
        <f t="shared" si="12"/>
        <v>Id</v>
      </c>
      <c r="J83" s="17"/>
      <c r="K83" s="17" t="b">
        <v>1</v>
      </c>
      <c r="L83" s="17" t="b" cm="1">
        <f t="array" ref="L83">IsPrimaryKey(A83)</f>
        <v>1</v>
      </c>
      <c r="M83" s="17" t="b" cm="1">
        <f t="array" ref="M83">IsAutoincrement(A83)</f>
        <v>1</v>
      </c>
      <c r="N83" s="17" t="b" cm="1">
        <f t="array" ref="N83">IsUnique(A83)</f>
        <v>0</v>
      </c>
      <c r="O83" s="17" t="str" cm="1">
        <f t="array" ref="O83">IsFilterable(A83)</f>
        <v/>
      </c>
      <c r="P83" s="17" t="str" cm="1">
        <f t="array" ref="P83">IsEditable(A83)</f>
        <v/>
      </c>
      <c r="Q83" s="17" t="str" cm="1">
        <f t="array" ref="Q83">IsGridable(A83)</f>
        <v/>
      </c>
      <c r="R83" s="17" t="str" cm="1">
        <f t="array" ref="R83">IsListable(A83)</f>
        <v/>
      </c>
      <c r="S83" s="17" t="str" cm="1">
        <f t="array" ref="S83">IsEncrypted(A83)</f>
        <v/>
      </c>
      <c r="T83" s="17" t="str" cm="1">
        <f t="array" ref="T83">IsInWords(A83)</f>
        <v/>
      </c>
      <c r="U83" s="17" t="b">
        <v>0</v>
      </c>
    </row>
    <row r="84" spans="1:21">
      <c r="A84" s="17">
        <f t="shared" si="9"/>
        <v>81</v>
      </c>
      <c r="B84" s="18">
        <v>12</v>
      </c>
      <c r="C84" s="17" t="str" cm="1">
        <f t="array" ref="C84">GetValue("Tbl","Alias",B84)</f>
        <v>Db</v>
      </c>
      <c r="D84" s="17" cm="1">
        <f t="array" ref="D84">GetDomainId(C84,G84)</f>
        <v>55</v>
      </c>
      <c r="E84" s="17" t="str" cm="1">
        <f t="array" ref="E84">GetValue("Dmn","Name",D84)</f>
        <v>BigId</v>
      </c>
      <c r="F84" s="17">
        <f t="shared" si="10"/>
        <v>10</v>
      </c>
      <c r="G84" s="17" t="str" cm="1">
        <f t="array" ref="G84">GetColumnName(C84,IF(B84=B83,G83,""))</f>
        <v>ConnectionId</v>
      </c>
      <c r="H84" s="17" t="str">
        <f t="shared" si="11"/>
        <v>ConnectionId</v>
      </c>
      <c r="I84" s="17" t="str">
        <f t="shared" si="12"/>
        <v>ConnectionId</v>
      </c>
      <c r="J84" s="17"/>
      <c r="K84" s="17" t="b">
        <v>1</v>
      </c>
      <c r="L84" s="17" t="b" cm="1">
        <f t="array" ref="L84">IsPrimaryKey(A84)</f>
        <v>0</v>
      </c>
      <c r="M84" s="17" t="b" cm="1">
        <f t="array" ref="M84">IsAutoincrement(A84)</f>
        <v>0</v>
      </c>
      <c r="N84" s="17" t="b" cm="1">
        <f t="array" ref="N84">IsUnique(A84)</f>
        <v>0</v>
      </c>
      <c r="O84" s="17" t="b" cm="1">
        <f t="array" ref="O84">IsFilterable(A84)</f>
        <v>1</v>
      </c>
      <c r="P84" s="17" t="b" cm="1">
        <f t="array" ref="P84">IsEditable(A84)</f>
        <v>1</v>
      </c>
      <c r="Q84" s="17" t="b" cm="1">
        <f t="array" ref="Q84">IsGridable(A84)</f>
        <v>1</v>
      </c>
      <c r="R84" s="17" t="str" cm="1">
        <f t="array" ref="R84">IsListable(A84)</f>
        <v/>
      </c>
      <c r="S84" s="17" t="str" cm="1">
        <f t="array" ref="S84">IsEncrypted(A84)</f>
        <v/>
      </c>
      <c r="T84" s="17" t="b" cm="1">
        <f t="array" ref="T84">IsInWords(A84)</f>
        <v>0</v>
      </c>
      <c r="U84" s="17" t="b">
        <v>0</v>
      </c>
    </row>
    <row r="85" spans="1:21">
      <c r="A85" s="17">
        <f t="shared" si="9"/>
        <v>82</v>
      </c>
      <c r="B85" s="18">
        <v>12</v>
      </c>
      <c r="C85" s="17" t="str" cm="1">
        <f t="array" ref="C85">GetValue("Tbl","Alias",B85)</f>
        <v>Db</v>
      </c>
      <c r="D85" s="17" cm="1">
        <f t="array" ref="D85">GetDomainId(C85,G85)</f>
        <v>11</v>
      </c>
      <c r="E85" s="17" t="str" cm="1">
        <f t="array" ref="E85">GetValue("Dmn","Name",D85)</f>
        <v>NVARCHAR(25)</v>
      </c>
      <c r="F85" s="17">
        <f t="shared" si="10"/>
        <v>15</v>
      </c>
      <c r="G85" s="17" t="str" cm="1">
        <f t="array" ref="G85">GetColumnName(C85,IF(B85=B84,G84,""))</f>
        <v>Name</v>
      </c>
      <c r="H85" s="17" t="str">
        <f t="shared" si="11"/>
        <v>Name</v>
      </c>
      <c r="I85" s="17" t="str">
        <f t="shared" si="12"/>
        <v>Name</v>
      </c>
      <c r="J85" s="17"/>
      <c r="K85" s="17" t="b">
        <v>0</v>
      </c>
      <c r="L85" s="17" t="b" cm="1">
        <f t="array" ref="L85">IsPrimaryKey(A85)</f>
        <v>0</v>
      </c>
      <c r="M85" s="17" t="str" cm="1">
        <f t="array" ref="M85">IsAutoincrement(A85)</f>
        <v/>
      </c>
      <c r="N85" s="17" t="b" cm="1">
        <f t="array" ref="N85">IsUnique(A85)</f>
        <v>0</v>
      </c>
      <c r="O85" s="17" t="b" cm="1">
        <f t="array" ref="O85">IsFilterable(A85)</f>
        <v>1</v>
      </c>
      <c r="P85" s="17" t="b" cm="1">
        <f t="array" ref="P85">IsEditable(A85)</f>
        <v>1</v>
      </c>
      <c r="Q85" s="17" t="b" cm="1">
        <f t="array" ref="Q85">IsGridable(A85)</f>
        <v>1</v>
      </c>
      <c r="R85" s="17" t="b" cm="1">
        <f t="array" ref="R85">IsListable(A85)</f>
        <v>0</v>
      </c>
      <c r="S85" s="17" t="b" cm="1">
        <f t="array" ref="S85">IsEncrypted(A85)</f>
        <v>0</v>
      </c>
      <c r="T85" s="17" t="str" cm="1">
        <f t="array" ref="T85">IsInWords(A85)</f>
        <v/>
      </c>
      <c r="U85" s="17" t="b">
        <v>0</v>
      </c>
    </row>
    <row r="86" spans="1:21">
      <c r="A86" s="17">
        <f t="shared" si="9"/>
        <v>83</v>
      </c>
      <c r="B86" s="18">
        <v>12</v>
      </c>
      <c r="C86" s="17" t="str" cm="1">
        <f t="array" ref="C86">GetValue("Tbl","Alias",B86)</f>
        <v>Db</v>
      </c>
      <c r="D86" s="17" cm="1">
        <f t="array" ref="D86">GetDomainId(C86,G86)</f>
        <v>12</v>
      </c>
      <c r="E86" s="17" t="str" cm="1">
        <f t="array" ref="E86">GetValue("Dmn","Name",D86)</f>
        <v>NVARCHAR(50)</v>
      </c>
      <c r="F86" s="17">
        <f t="shared" si="10"/>
        <v>20</v>
      </c>
      <c r="G86" s="17" t="str" cm="1">
        <f t="array" ref="G86">GetColumnName(C86,IF(B86=B85,G85,""))</f>
        <v>Description</v>
      </c>
      <c r="H86" s="17" t="str">
        <f t="shared" si="11"/>
        <v>Description</v>
      </c>
      <c r="I86" s="17" t="str">
        <f t="shared" si="12"/>
        <v>Description</v>
      </c>
      <c r="J86" s="17"/>
      <c r="K86" s="17" t="b">
        <v>1</v>
      </c>
      <c r="L86" s="17" t="b" cm="1">
        <f t="array" ref="L86">IsPrimaryKey(A86)</f>
        <v>0</v>
      </c>
      <c r="M86" s="17" t="str" cm="1">
        <f t="array" ref="M86">IsAutoincrement(A86)</f>
        <v/>
      </c>
      <c r="N86" s="17" t="b" cm="1">
        <f t="array" ref="N86">IsUnique(A86)</f>
        <v>0</v>
      </c>
      <c r="O86" s="17" t="b" cm="1">
        <f t="array" ref="O86">IsFilterable(A86)</f>
        <v>1</v>
      </c>
      <c r="P86" s="17" t="b" cm="1">
        <f t="array" ref="P86">IsEditable(A86)</f>
        <v>1</v>
      </c>
      <c r="Q86" s="17" t="b" cm="1">
        <f t="array" ref="Q86">IsGridable(A86)</f>
        <v>1</v>
      </c>
      <c r="R86" s="17" t="b" cm="1">
        <f t="array" ref="R86">IsListable(A86)</f>
        <v>0</v>
      </c>
      <c r="S86" s="17" t="b" cm="1">
        <f t="array" ref="S86">IsEncrypted(A86)</f>
        <v>0</v>
      </c>
      <c r="T86" s="17" t="str" cm="1">
        <f t="array" ref="T86">IsInWords(A86)</f>
        <v/>
      </c>
      <c r="U86" s="17" t="b">
        <v>0</v>
      </c>
    </row>
    <row r="87" spans="1:21">
      <c r="A87" s="19">
        <f t="shared" si="9"/>
        <v>84</v>
      </c>
      <c r="B87" s="20">
        <v>13</v>
      </c>
      <c r="C87" s="19" t="str" cm="1">
        <f t="array" ref="C87">GetValue("Tbl","Alias",B87)</f>
        <v>Env</v>
      </c>
      <c r="D87" s="19" cm="1">
        <f t="array" ref="D87">GetDomainId(C87,G87)</f>
        <v>58</v>
      </c>
      <c r="E87" s="19" t="str" cm="1">
        <f t="array" ref="E87">GetValue("Dmn","Name",D87)</f>
        <v>TinyId</v>
      </c>
      <c r="F87" s="19">
        <f t="shared" si="10"/>
        <v>5</v>
      </c>
      <c r="G87" s="19" t="str" cm="1">
        <f t="array" ref="G87">GetColumnName(C87,IF(B87=B86,G86,""))</f>
        <v>Id</v>
      </c>
      <c r="H87" s="19" t="str">
        <f t="shared" si="11"/>
        <v>Id</v>
      </c>
      <c r="I87" s="19" t="str">
        <f t="shared" si="12"/>
        <v>Id</v>
      </c>
      <c r="J87" s="19"/>
      <c r="K87" s="19" t="b">
        <v>1</v>
      </c>
      <c r="L87" s="19" t="b" cm="1">
        <f t="array" ref="L87">IsPrimaryKey(A87)</f>
        <v>1</v>
      </c>
      <c r="M87" s="19" t="b" cm="1">
        <f t="array" ref="M87">IsAutoincrement(A87)</f>
        <v>1</v>
      </c>
      <c r="N87" s="19" t="b" cm="1">
        <f t="array" ref="N87">IsUnique(A87)</f>
        <v>0</v>
      </c>
      <c r="O87" s="19" t="str" cm="1">
        <f t="array" ref="O87">IsFilterable(A87)</f>
        <v/>
      </c>
      <c r="P87" s="19" t="str" cm="1">
        <f t="array" ref="P87">IsEditable(A87)</f>
        <v/>
      </c>
      <c r="Q87" s="19" t="str" cm="1">
        <f t="array" ref="Q87">IsGridable(A87)</f>
        <v/>
      </c>
      <c r="R87" s="19" t="str" cm="1">
        <f t="array" ref="R87">IsListable(A87)</f>
        <v/>
      </c>
      <c r="S87" s="19" t="str" cm="1">
        <f t="array" ref="S87">IsEncrypted(A87)</f>
        <v/>
      </c>
      <c r="T87" s="19" t="str" cm="1">
        <f t="array" ref="T87">IsInWords(A87)</f>
        <v/>
      </c>
      <c r="U87" s="19" t="b">
        <v>0</v>
      </c>
    </row>
    <row r="88" spans="1:21">
      <c r="A88" s="19">
        <f t="shared" si="9"/>
        <v>85</v>
      </c>
      <c r="B88" s="20">
        <v>13</v>
      </c>
      <c r="C88" s="19" t="str" cm="1">
        <f t="array" ref="C88">GetValue("Tbl","Alias",B88)</f>
        <v>Env</v>
      </c>
      <c r="D88" s="19" cm="1">
        <f t="array" ref="D88">GetDomainId(C88,G88)</f>
        <v>57</v>
      </c>
      <c r="E88" s="19" t="str" cm="1">
        <f t="array" ref="E88">GetValue("Dmn","Name",D88)</f>
        <v>SmallId</v>
      </c>
      <c r="F88" s="19">
        <f t="shared" si="10"/>
        <v>10</v>
      </c>
      <c r="G88" s="19" t="str" cm="1">
        <f t="array" ref="G88">GetColumnName(C88,IF(B88=B87,G87,""))</f>
        <v>OwnertId</v>
      </c>
      <c r="H88" s="19" t="str">
        <f t="shared" si="11"/>
        <v>OwnertId</v>
      </c>
      <c r="I88" s="19" t="str">
        <f t="shared" si="12"/>
        <v>OwnertId</v>
      </c>
      <c r="J88" s="19"/>
      <c r="K88" s="19" t="b">
        <v>1</v>
      </c>
      <c r="L88" s="19" t="b" cm="1">
        <f t="array" ref="L88">IsPrimaryKey(A88)</f>
        <v>0</v>
      </c>
      <c r="M88" s="19" t="b" cm="1">
        <f t="array" ref="M88">IsAutoincrement(A88)</f>
        <v>0</v>
      </c>
      <c r="N88" s="19" t="b" cm="1">
        <f t="array" ref="N88">IsUnique(A88)</f>
        <v>0</v>
      </c>
      <c r="O88" s="19" t="b" cm="1">
        <f t="array" ref="O88">IsFilterable(A88)</f>
        <v>1</v>
      </c>
      <c r="P88" s="19" t="b" cm="1">
        <f t="array" ref="P88">IsEditable(A88)</f>
        <v>1</v>
      </c>
      <c r="Q88" s="19" t="b" cm="1">
        <f t="array" ref="Q88">IsGridable(A88)</f>
        <v>1</v>
      </c>
      <c r="R88" s="19" t="str" cm="1">
        <f t="array" ref="R88">IsListable(A88)</f>
        <v/>
      </c>
      <c r="S88" s="19" t="str" cm="1">
        <f t="array" ref="S88">IsEncrypted(A88)</f>
        <v/>
      </c>
      <c r="T88" s="19" t="b" cm="1">
        <f t="array" ref="T88">IsInWords(A88)</f>
        <v>0</v>
      </c>
      <c r="U88" s="19" t="b">
        <v>0</v>
      </c>
    </row>
    <row r="89" spans="1:21">
      <c r="A89" s="19">
        <f t="shared" si="9"/>
        <v>86</v>
      </c>
      <c r="B89" s="20">
        <v>13</v>
      </c>
      <c r="C89" s="19" t="str" cm="1">
        <f t="array" ref="C89">GetValue("Tbl","Alias",B89)</f>
        <v>Env</v>
      </c>
      <c r="D89" s="19" cm="1">
        <f t="array" ref="D89">GetDomainId(C89,G89)</f>
        <v>59</v>
      </c>
      <c r="E89" s="19" t="str" cm="1">
        <f t="array" ref="E89">GetValue("Dmn","Name",D89)</f>
        <v>SEQUENCE</v>
      </c>
      <c r="F89" s="19">
        <f t="shared" si="10"/>
        <v>15</v>
      </c>
      <c r="G89" s="19" t="str" cm="1">
        <f t="array" ref="G89">GetColumnName(C89,IF(B89=B88,G88,""))</f>
        <v>Sequence</v>
      </c>
      <c r="H89" s="19" t="str">
        <f t="shared" si="11"/>
        <v>Sequence</v>
      </c>
      <c r="I89" s="19" t="str">
        <f t="shared" si="12"/>
        <v>Sequence</v>
      </c>
      <c r="J89" s="19"/>
      <c r="K89" s="19" t="b">
        <v>0</v>
      </c>
      <c r="L89" s="19" t="b" cm="1">
        <f t="array" ref="L89">IsPrimaryKey(A89)</f>
        <v>0</v>
      </c>
      <c r="M89" s="19" t="b" cm="1">
        <f t="array" ref="M89">IsAutoincrement(A89)</f>
        <v>0</v>
      </c>
      <c r="N89" s="19" t="b" cm="1">
        <f t="array" ref="N89">IsUnique(A89)</f>
        <v>0</v>
      </c>
      <c r="O89" s="19" t="b" cm="1">
        <f t="array" ref="O89">IsFilterable(A89)</f>
        <v>1</v>
      </c>
      <c r="P89" s="19" t="b" cm="1">
        <f t="array" ref="P89">IsEditable(A89)</f>
        <v>1</v>
      </c>
      <c r="Q89" s="19" t="b" cm="1">
        <f t="array" ref="Q89">IsGridable(A89)</f>
        <v>1</v>
      </c>
      <c r="R89" s="19" t="str" cm="1">
        <f t="array" ref="R89">IsListable(A89)</f>
        <v/>
      </c>
      <c r="S89" s="19" t="str" cm="1">
        <f t="array" ref="S89">IsEncrypted(A89)</f>
        <v/>
      </c>
      <c r="T89" s="19" t="b" cm="1">
        <f t="array" ref="T89">IsInWords(A89)</f>
        <v>0</v>
      </c>
      <c r="U89" s="19" t="b">
        <v>0</v>
      </c>
    </row>
    <row r="90" spans="1:21">
      <c r="A90" s="19">
        <f t="shared" si="9"/>
        <v>87</v>
      </c>
      <c r="B90" s="20">
        <v>13</v>
      </c>
      <c r="C90" s="19" t="str" cm="1">
        <f t="array" ref="C90">GetValue("Tbl","Alias",B90)</f>
        <v>Env</v>
      </c>
      <c r="D90" s="19" cm="1">
        <f t="array" ref="D90">GetDomainId(C90,G90)</f>
        <v>11</v>
      </c>
      <c r="E90" s="19" t="str" cm="1">
        <f t="array" ref="E90">GetValue("Dmn","Name",D90)</f>
        <v>NVARCHAR(25)</v>
      </c>
      <c r="F90" s="19">
        <f t="shared" si="10"/>
        <v>20</v>
      </c>
      <c r="G90" s="19" t="str" cm="1">
        <f t="array" ref="G90">GetColumnName(C90,IF(B90=B89,G89,""))</f>
        <v>Name</v>
      </c>
      <c r="H90" s="19" t="str">
        <f t="shared" si="11"/>
        <v>Name</v>
      </c>
      <c r="I90" s="19" t="str">
        <f t="shared" si="12"/>
        <v>Name</v>
      </c>
      <c r="J90" s="19"/>
      <c r="K90" s="19" t="b">
        <v>1</v>
      </c>
      <c r="L90" s="19" t="b" cm="1">
        <f t="array" ref="L90">IsPrimaryKey(A90)</f>
        <v>0</v>
      </c>
      <c r="M90" s="19" t="str" cm="1">
        <f t="array" ref="M90">IsAutoincrement(A90)</f>
        <v/>
      </c>
      <c r="N90" s="19" t="b" cm="1">
        <f t="array" ref="N90">IsUnique(A90)</f>
        <v>0</v>
      </c>
      <c r="O90" s="19" t="b" cm="1">
        <f t="array" ref="O90">IsFilterable(A90)</f>
        <v>1</v>
      </c>
      <c r="P90" s="19" t="b" cm="1">
        <f t="array" ref="P90">IsEditable(A90)</f>
        <v>1</v>
      </c>
      <c r="Q90" s="19" t="b" cm="1">
        <f t="array" ref="Q90">IsGridable(A90)</f>
        <v>1</v>
      </c>
      <c r="R90" s="19" t="b" cm="1">
        <f t="array" ref="R90">IsListable(A90)</f>
        <v>0</v>
      </c>
      <c r="S90" s="19" t="b" cm="1">
        <f t="array" ref="S90">IsEncrypted(A90)</f>
        <v>0</v>
      </c>
      <c r="T90" s="19" t="str" cm="1">
        <f t="array" ref="T90">IsInWords(A90)</f>
        <v/>
      </c>
      <c r="U90" s="19" t="b">
        <v>0</v>
      </c>
    </row>
    <row r="91" spans="1:21">
      <c r="A91" s="19">
        <f t="shared" si="9"/>
        <v>88</v>
      </c>
      <c r="B91" s="20">
        <v>13</v>
      </c>
      <c r="C91" s="19" t="str" cm="1">
        <f t="array" ref="C91">GetValue("Tbl","Alias",B91)</f>
        <v>Env</v>
      </c>
      <c r="D91" s="19" cm="1">
        <f t="array" ref="D91">GetDomainId(C91,G91)</f>
        <v>12</v>
      </c>
      <c r="E91" s="19" t="str" cm="1">
        <f t="array" ref="E91">GetValue("Dmn","Name",D91)</f>
        <v>NVARCHAR(50)</v>
      </c>
      <c r="F91" s="19">
        <f t="shared" si="10"/>
        <v>25</v>
      </c>
      <c r="G91" s="19" t="str" cm="1">
        <f t="array" ref="G91">GetColumnName(C91,IF(B91=B90,G90,""))</f>
        <v>Description</v>
      </c>
      <c r="H91" s="19" t="str">
        <f t="shared" si="11"/>
        <v>Description</v>
      </c>
      <c r="I91" s="19" t="str">
        <f t="shared" si="12"/>
        <v>Description</v>
      </c>
      <c r="J91" s="19"/>
      <c r="K91" s="19" t="b">
        <v>1</v>
      </c>
      <c r="L91" s="19" t="b" cm="1">
        <f t="array" ref="L91">IsPrimaryKey(A91)</f>
        <v>0</v>
      </c>
      <c r="M91" s="19" t="str" cm="1">
        <f t="array" ref="M91">IsAutoincrement(A91)</f>
        <v/>
      </c>
      <c r="N91" s="19" t="b" cm="1">
        <f t="array" ref="N91">IsUnique(A91)</f>
        <v>0</v>
      </c>
      <c r="O91" s="19" t="b" cm="1">
        <f t="array" ref="O91">IsFilterable(A91)</f>
        <v>1</v>
      </c>
      <c r="P91" s="19" t="b" cm="1">
        <f t="array" ref="P91">IsEditable(A91)</f>
        <v>1</v>
      </c>
      <c r="Q91" s="19" t="b" cm="1">
        <f t="array" ref="Q91">IsGridable(A91)</f>
        <v>1</v>
      </c>
      <c r="R91" s="19" t="b" cm="1">
        <f t="array" ref="R91">IsListable(A91)</f>
        <v>0</v>
      </c>
      <c r="S91" s="19" t="b" cm="1">
        <f t="array" ref="S91">IsEncrypted(A91)</f>
        <v>0</v>
      </c>
      <c r="T91" s="19" t="str" cm="1">
        <f t="array" ref="T91">IsInWords(A91)</f>
        <v/>
      </c>
      <c r="U91" s="19" t="b">
        <v>0</v>
      </c>
    </row>
    <row r="92" spans="1:21">
      <c r="A92" s="19">
        <f t="shared" si="9"/>
        <v>89</v>
      </c>
      <c r="B92" s="20">
        <v>13</v>
      </c>
      <c r="C92" s="19" t="str" cm="1">
        <f t="array" ref="C92">GetValue("Tbl","Alias",B92)</f>
        <v>Env</v>
      </c>
      <c r="D92" s="19" cm="1">
        <f t="array" ref="D92">GetDomainId(C92,G92)</f>
        <v>5</v>
      </c>
      <c r="E92" s="19" t="str" cm="1">
        <f t="array" ref="E92">GetValue("Dmn","Name",D92)</f>
        <v>Boolean</v>
      </c>
      <c r="F92" s="19">
        <f t="shared" si="10"/>
        <v>30</v>
      </c>
      <c r="G92" s="19" t="str" cm="1">
        <f t="array" ref="G92">GetColumnName(C92,IF(B92=B91,G91,""))</f>
        <v>IsRequired</v>
      </c>
      <c r="H92" s="19" t="str">
        <f t="shared" si="11"/>
        <v>IsRequired</v>
      </c>
      <c r="I92" s="19" t="str">
        <f t="shared" si="12"/>
        <v>IsRequired</v>
      </c>
      <c r="J92" s="19"/>
      <c r="K92" s="19" t="b">
        <v>1</v>
      </c>
      <c r="L92" s="19" t="b" cm="1">
        <f t="array" ref="L92">IsPrimaryKey(A92)</f>
        <v>0</v>
      </c>
      <c r="M92" s="19" t="str" cm="1">
        <f t="array" ref="M92">IsAutoincrement(A92)</f>
        <v/>
      </c>
      <c r="N92" s="19" t="str" cm="1">
        <f t="array" ref="N92">IsUnique(A92)</f>
        <v/>
      </c>
      <c r="O92" s="19" t="b" cm="1">
        <f t="array" ref="O92">IsFilterable(A92)</f>
        <v>1</v>
      </c>
      <c r="P92" s="19" t="b" cm="1">
        <f t="array" ref="P92">IsEditable(A92)</f>
        <v>1</v>
      </c>
      <c r="Q92" s="19" t="b" cm="1">
        <f t="array" ref="Q92">IsGridable(A92)</f>
        <v>1</v>
      </c>
      <c r="R92" s="19" t="str" cm="1">
        <f t="array" ref="R92">IsListable(A92)</f>
        <v/>
      </c>
      <c r="S92" s="19" t="str" cm="1">
        <f t="array" ref="S92">IsEncrypted(A92)</f>
        <v/>
      </c>
      <c r="T92" s="19" t="str" cm="1">
        <f t="array" ref="T92">IsInWords(A92)</f>
        <v/>
      </c>
      <c r="U92" s="19" t="b">
        <v>0</v>
      </c>
    </row>
    <row r="93" spans="1:21">
      <c r="A93" s="17">
        <f t="shared" si="9"/>
        <v>90</v>
      </c>
      <c r="B93" s="18">
        <v>14</v>
      </c>
      <c r="C93" s="17" t="str" cm="1">
        <f t="array" ref="C93">GetValue("Tbl","Alias",B93)</f>
        <v>Str</v>
      </c>
      <c r="D93" s="17" cm="1">
        <f t="array" ref="D93">GetDomainId(C93,G93)</f>
        <v>55</v>
      </c>
      <c r="E93" s="17" t="str" cm="1">
        <f t="array" ref="E93">GetValue("Dmn","Name",D93)</f>
        <v>BigId</v>
      </c>
      <c r="F93" s="17">
        <f t="shared" si="10"/>
        <v>5</v>
      </c>
      <c r="G93" s="17" t="str" cm="1">
        <f t="array" ref="G93">GetColumnName(C93,IF(B93=B92,G92,""))</f>
        <v>Id</v>
      </c>
      <c r="H93" s="17" t="str">
        <f t="shared" si="11"/>
        <v>Id</v>
      </c>
      <c r="I93" s="17" t="str">
        <f t="shared" si="12"/>
        <v>Id</v>
      </c>
      <c r="J93" s="17"/>
      <c r="K93" s="17" t="b">
        <v>0</v>
      </c>
      <c r="L93" s="17" t="b" cm="1">
        <f t="array" ref="L93">IsPrimaryKey(A93)</f>
        <v>1</v>
      </c>
      <c r="M93" s="17" t="b" cm="1">
        <f t="array" ref="M93">IsAutoincrement(A93)</f>
        <v>1</v>
      </c>
      <c r="N93" s="17" t="b" cm="1">
        <f t="array" ref="N93">IsUnique(A93)</f>
        <v>0</v>
      </c>
      <c r="O93" s="17" t="str" cm="1">
        <f t="array" ref="O93">IsFilterable(A93)</f>
        <v/>
      </c>
      <c r="P93" s="17" t="str" cm="1">
        <f t="array" ref="P93">IsEditable(A93)</f>
        <v/>
      </c>
      <c r="Q93" s="17" t="str" cm="1">
        <f t="array" ref="Q93">IsGridable(A93)</f>
        <v/>
      </c>
      <c r="R93" s="17" t="str" cm="1">
        <f t="array" ref="R93">IsListable(A93)</f>
        <v/>
      </c>
      <c r="S93" s="17" t="str" cm="1">
        <f t="array" ref="S93">IsEncrypted(A93)</f>
        <v/>
      </c>
      <c r="T93" s="17" t="str" cm="1">
        <f t="array" ref="T93">IsInWords(A93)</f>
        <v/>
      </c>
      <c r="U93" s="17" t="b">
        <v>0</v>
      </c>
    </row>
    <row r="94" spans="1:21">
      <c r="A94" s="17">
        <f t="shared" si="9"/>
        <v>91</v>
      </c>
      <c r="B94" s="18">
        <v>14</v>
      </c>
      <c r="C94" s="17" t="str" cm="1">
        <f t="array" ref="C94">GetValue("Tbl","Alias",B94)</f>
        <v>Str</v>
      </c>
      <c r="D94" s="17" cm="1">
        <f t="array" ref="D94">GetDomainId(C94,G94)</f>
        <v>55</v>
      </c>
      <c r="E94" s="17" t="str" cm="1">
        <f t="array" ref="E94">GetValue("Dmn","Name",D94)</f>
        <v>BigId</v>
      </c>
      <c r="F94" s="17">
        <f t="shared" si="10"/>
        <v>10</v>
      </c>
      <c r="G94" s="17" t="str" cm="1">
        <f t="array" ref="G94">GetColumnName(C94,IF(B94=B93,G93,""))</f>
        <v>ConnectionId</v>
      </c>
      <c r="H94" s="17" t="str">
        <f t="shared" si="11"/>
        <v>ConnectionId</v>
      </c>
      <c r="I94" s="17" t="str">
        <f t="shared" si="12"/>
        <v>ConnectionId</v>
      </c>
      <c r="J94" s="17"/>
      <c r="K94" s="17" t="b">
        <v>1</v>
      </c>
      <c r="L94" s="17" t="b" cm="1">
        <f t="array" ref="L94">IsPrimaryKey(A94)</f>
        <v>0</v>
      </c>
      <c r="M94" s="17" t="b" cm="1">
        <f t="array" ref="M94">IsAutoincrement(A94)</f>
        <v>0</v>
      </c>
      <c r="N94" s="17" t="b" cm="1">
        <f t="array" ref="N94">IsUnique(A94)</f>
        <v>0</v>
      </c>
      <c r="O94" s="17" t="b" cm="1">
        <f t="array" ref="O94">IsFilterable(A94)</f>
        <v>1</v>
      </c>
      <c r="P94" s="17" t="b" cm="1">
        <f t="array" ref="P94">IsEditable(A94)</f>
        <v>1</v>
      </c>
      <c r="Q94" s="17" t="b" cm="1">
        <f t="array" ref="Q94">IsGridable(A94)</f>
        <v>1</v>
      </c>
      <c r="R94" s="17" t="str" cm="1">
        <f t="array" ref="R94">IsListable(A94)</f>
        <v/>
      </c>
      <c r="S94" s="17" t="str" cm="1">
        <f t="array" ref="S94">IsEncrypted(A94)</f>
        <v/>
      </c>
      <c r="T94" s="17" t="b" cm="1">
        <f t="array" ref="T94">IsInWords(A94)</f>
        <v>0</v>
      </c>
      <c r="U94" s="17" t="b">
        <v>0</v>
      </c>
    </row>
    <row r="95" spans="1:21">
      <c r="A95" s="17">
        <f t="shared" si="9"/>
        <v>92</v>
      </c>
      <c r="B95" s="18">
        <v>14</v>
      </c>
      <c r="C95" s="17" t="str" cm="1">
        <f t="array" ref="C95">GetValue("Tbl","Alias",B95)</f>
        <v>Str</v>
      </c>
      <c r="D95" s="17" cm="1">
        <f t="array" ref="D95">GetDomainId(C95,G95)</f>
        <v>58</v>
      </c>
      <c r="E95" s="17" t="str" cm="1">
        <f t="array" ref="E95">GetValue("Dmn","Name",D95)</f>
        <v>TinyId</v>
      </c>
      <c r="F95" s="17">
        <f t="shared" si="10"/>
        <v>15</v>
      </c>
      <c r="G95" s="17" t="str" cm="1">
        <f t="array" ref="G95">GetColumnName(C95,IF(B95=B94,G94,""))</f>
        <v>EnvironmentId</v>
      </c>
      <c r="H95" s="17" t="str">
        <f t="shared" si="11"/>
        <v>EnvironmentId</v>
      </c>
      <c r="I95" s="17" t="str">
        <f t="shared" si="12"/>
        <v>EnvironmentId</v>
      </c>
      <c r="J95" s="17"/>
      <c r="K95" s="17" t="b">
        <v>1</v>
      </c>
      <c r="L95" s="17" t="b" cm="1">
        <f t="array" ref="L95">IsPrimaryKey(A95)</f>
        <v>0</v>
      </c>
      <c r="M95" s="17" t="b" cm="1">
        <f t="array" ref="M95">IsAutoincrement(A95)</f>
        <v>0</v>
      </c>
      <c r="N95" s="17" t="b" cm="1">
        <f t="array" ref="N95">IsUnique(A95)</f>
        <v>0</v>
      </c>
      <c r="O95" s="17" t="b" cm="1">
        <f t="array" ref="O95">IsFilterable(A95)</f>
        <v>1</v>
      </c>
      <c r="P95" s="17" t="b" cm="1">
        <f t="array" ref="P95">IsEditable(A95)</f>
        <v>1</v>
      </c>
      <c r="Q95" s="17" t="b" cm="1">
        <f t="array" ref="Q95">IsGridable(A95)</f>
        <v>1</v>
      </c>
      <c r="R95" s="17" t="str" cm="1">
        <f t="array" ref="R95">IsListable(A95)</f>
        <v/>
      </c>
      <c r="S95" s="17" t="str" cm="1">
        <f t="array" ref="S95">IsEncrypted(A95)</f>
        <v/>
      </c>
      <c r="T95" s="17" t="b" cm="1">
        <f t="array" ref="T95">IsInWords(A95)</f>
        <v>0</v>
      </c>
      <c r="U95" s="17" t="b">
        <v>0</v>
      </c>
    </row>
    <row r="96" spans="1:21">
      <c r="A96" s="17">
        <f t="shared" si="9"/>
        <v>93</v>
      </c>
      <c r="B96" s="18">
        <v>14</v>
      </c>
      <c r="C96" s="17" t="str" cm="1">
        <f t="array" ref="C96">GetValue("Tbl","Alias",B96)</f>
        <v>Str</v>
      </c>
      <c r="D96" s="17" cm="1">
        <f t="array" ref="D96">GetDomainId(C96,G96)</f>
        <v>13</v>
      </c>
      <c r="E96" s="17" t="str" cm="1">
        <f t="array" ref="E96">GetValue("Dmn","Name",D96)</f>
        <v>NVARCHAR(256)</v>
      </c>
      <c r="F96" s="17">
        <f t="shared" si="10"/>
        <v>20</v>
      </c>
      <c r="G96" s="17" t="str" cm="1">
        <f t="array" ref="G96">GetColumnName(C96,IF(B96=B95,G95,""))</f>
        <v>Directory</v>
      </c>
      <c r="H96" s="17" t="str">
        <f t="shared" si="11"/>
        <v>Directory</v>
      </c>
      <c r="I96" s="17" t="str">
        <f t="shared" si="12"/>
        <v>Directory</v>
      </c>
      <c r="J96" s="17"/>
      <c r="K96" s="17" t="b">
        <v>0</v>
      </c>
      <c r="L96" s="17" t="b" cm="1">
        <f t="array" ref="L96">IsPrimaryKey(A96)</f>
        <v>0</v>
      </c>
      <c r="M96" s="17" t="str" cm="1">
        <f t="array" ref="M96">IsAutoincrement(A96)</f>
        <v/>
      </c>
      <c r="N96" s="17" t="b" cm="1">
        <f t="array" ref="N96">IsUnique(A96)</f>
        <v>0</v>
      </c>
      <c r="O96" s="17" t="b" cm="1">
        <f t="array" ref="O96">IsFilterable(A96)</f>
        <v>1</v>
      </c>
      <c r="P96" s="17" t="b" cm="1">
        <f t="array" ref="P96">IsEditable(A96)</f>
        <v>1</v>
      </c>
      <c r="Q96" s="17" t="b" cm="1">
        <f t="array" ref="Q96">IsGridable(A96)</f>
        <v>1</v>
      </c>
      <c r="R96" s="17" t="b" cm="1">
        <f t="array" ref="R96">IsListable(A96)</f>
        <v>0</v>
      </c>
      <c r="S96" s="17" t="b" cm="1">
        <f t="array" ref="S96">IsEncrypted(A96)</f>
        <v>0</v>
      </c>
      <c r="T96" s="17" t="str" cm="1">
        <f t="array" ref="T96">IsInWords(A96)</f>
        <v/>
      </c>
      <c r="U96" s="17" t="b">
        <v>0</v>
      </c>
    </row>
    <row r="97" spans="1:21">
      <c r="A97" s="17">
        <f t="shared" si="9"/>
        <v>94</v>
      </c>
      <c r="B97" s="18">
        <v>14</v>
      </c>
      <c r="C97" s="17" t="str" cm="1">
        <f t="array" ref="C97">GetValue("Tbl","Alias",B97)</f>
        <v>Str</v>
      </c>
      <c r="D97" s="17" cm="1">
        <f t="array" ref="D97">GetDomainId(C97,G97)</f>
        <v>14</v>
      </c>
      <c r="E97" s="17" t="str" cm="1">
        <f t="array" ref="E97">GetValue("Dmn","Name",D97)</f>
        <v>NVARCHAR(max)</v>
      </c>
      <c r="F97" s="17">
        <f t="shared" si="10"/>
        <v>25</v>
      </c>
      <c r="G97" s="17" t="str" cm="1">
        <f t="array" ref="G97">GetColumnName(C97,IF(B97=B96,G96,""))</f>
        <v>ConnectionString</v>
      </c>
      <c r="H97" s="17" t="str">
        <f t="shared" si="11"/>
        <v>ConnectionString</v>
      </c>
      <c r="I97" s="17" t="str">
        <f t="shared" si="12"/>
        <v>ConnectionString</v>
      </c>
      <c r="J97" s="17"/>
      <c r="K97" s="17" t="b">
        <v>1</v>
      </c>
      <c r="L97" s="17" t="str" cm="1">
        <f t="array" ref="L97">IsPrimaryKey(A97)</f>
        <v/>
      </c>
      <c r="M97" s="17" t="str" cm="1">
        <f t="array" ref="M97">IsAutoincrement(A97)</f>
        <v/>
      </c>
      <c r="N97" s="17" t="str" cm="1">
        <f t="array" ref="N97">IsUnique(A97)</f>
        <v/>
      </c>
      <c r="O97" s="17" t="str" cm="1">
        <f t="array" ref="O97">IsFilterable(A97)</f>
        <v/>
      </c>
      <c r="P97" s="17" t="b" cm="1">
        <f t="array" ref="P97">IsEditable(A97)</f>
        <v>1</v>
      </c>
      <c r="Q97" s="17" t="str" cm="1">
        <f t="array" ref="Q97">IsGridable(A97)</f>
        <v/>
      </c>
      <c r="R97" s="17" t="str" cm="1">
        <f t="array" ref="R97">IsListable(A97)</f>
        <v/>
      </c>
      <c r="S97" s="17" t="str" cm="1">
        <f t="array" ref="S97">IsEncrypted(A97)</f>
        <v/>
      </c>
      <c r="T97" s="17" t="str" cm="1">
        <f t="array" ref="T97">IsInWords(A97)</f>
        <v/>
      </c>
      <c r="U97" s="17" t="b">
        <v>0</v>
      </c>
    </row>
    <row r="98" spans="1:21">
      <c r="A98" s="19">
        <f t="shared" si="9"/>
        <v>95</v>
      </c>
      <c r="B98" s="20">
        <v>15</v>
      </c>
      <c r="C98" s="19" t="str" cm="1">
        <f t="array" ref="C98">GetValue("Tbl","Alias",B98)</f>
        <v>Sys</v>
      </c>
      <c r="D98" s="19" cm="1">
        <f t="array" ref="D98">GetDomainId(C98,G98)</f>
        <v>55</v>
      </c>
      <c r="E98" s="19" t="str" cm="1">
        <f t="array" ref="E98">GetValue("Dmn","Name",D98)</f>
        <v>BigId</v>
      </c>
      <c r="F98" s="19">
        <f t="shared" si="10"/>
        <v>5</v>
      </c>
      <c r="G98" s="19" t="str" cm="1">
        <f t="array" ref="G98">GetColumnName(C98,IF(B98=B97,G97,""))</f>
        <v>Id</v>
      </c>
      <c r="H98" s="19" t="str">
        <f t="shared" si="11"/>
        <v>Id</v>
      </c>
      <c r="I98" s="19" t="str">
        <f t="shared" si="12"/>
        <v>Id</v>
      </c>
      <c r="J98" s="19"/>
      <c r="K98" s="19" t="b">
        <v>0</v>
      </c>
      <c r="L98" s="19" t="b" cm="1">
        <f t="array" ref="L98">IsPrimaryKey(A98)</f>
        <v>1</v>
      </c>
      <c r="M98" s="19" t="b" cm="1">
        <f t="array" ref="M98">IsAutoincrement(A98)</f>
        <v>1</v>
      </c>
      <c r="N98" s="19" t="b" cm="1">
        <f t="array" ref="N98">IsUnique(A98)</f>
        <v>0</v>
      </c>
      <c r="O98" s="19" t="str" cm="1">
        <f t="array" ref="O98">IsFilterable(A98)</f>
        <v/>
      </c>
      <c r="P98" s="19" t="str" cm="1">
        <f t="array" ref="P98">IsEditable(A98)</f>
        <v/>
      </c>
      <c r="Q98" s="19" t="str" cm="1">
        <f t="array" ref="Q98">IsGridable(A98)</f>
        <v/>
      </c>
      <c r="R98" s="19" t="str" cm="1">
        <f t="array" ref="R98">IsListable(A98)</f>
        <v/>
      </c>
      <c r="S98" s="19" t="str" cm="1">
        <f t="array" ref="S98">IsEncrypted(A98)</f>
        <v/>
      </c>
      <c r="T98" s="19" t="str" cm="1">
        <f t="array" ref="T98">IsInWords(A98)</f>
        <v/>
      </c>
      <c r="U98" s="19" t="b">
        <v>0</v>
      </c>
    </row>
    <row r="99" spans="1:21">
      <c r="A99" s="19">
        <f t="shared" si="9"/>
        <v>96</v>
      </c>
      <c r="B99" s="20">
        <v>15</v>
      </c>
      <c r="C99" s="19" t="str" cm="1">
        <f t="array" ref="C99">GetValue("Tbl","Alias",B99)</f>
        <v>Sys</v>
      </c>
      <c r="D99" s="19" cm="1">
        <f t="array" ref="D99">GetDomainId(C99,G99)</f>
        <v>55</v>
      </c>
      <c r="E99" s="19" t="str" cm="1">
        <f t="array" ref="E99">GetValue("Dmn","Name",D99)</f>
        <v>BigId</v>
      </c>
      <c r="F99" s="19">
        <f t="shared" si="10"/>
        <v>10</v>
      </c>
      <c r="G99" s="19" t="str" cm="1">
        <f t="array" ref="G99">GetColumnName(C99,IF(B99=B98,G98,""))</f>
        <v>DatabaseId</v>
      </c>
      <c r="H99" s="19" t="str">
        <f t="shared" si="11"/>
        <v>DatabaseId</v>
      </c>
      <c r="I99" s="19" t="str">
        <f t="shared" si="12"/>
        <v>DatabaseId</v>
      </c>
      <c r="J99" s="19"/>
      <c r="K99" s="19" t="b">
        <v>1</v>
      </c>
      <c r="L99" s="19" t="b" cm="1">
        <f t="array" ref="L99">IsPrimaryKey(A99)</f>
        <v>0</v>
      </c>
      <c r="M99" s="19" t="b" cm="1">
        <f t="array" ref="M99">IsAutoincrement(A99)</f>
        <v>0</v>
      </c>
      <c r="N99" s="19" t="b" cm="1">
        <f t="array" ref="N99">IsUnique(A99)</f>
        <v>0</v>
      </c>
      <c r="O99" s="19" t="b" cm="1">
        <f t="array" ref="O99">IsFilterable(A99)</f>
        <v>1</v>
      </c>
      <c r="P99" s="19" t="b" cm="1">
        <f t="array" ref="P99">IsEditable(A99)</f>
        <v>1</v>
      </c>
      <c r="Q99" s="19" t="b" cm="1">
        <f t="array" ref="Q99">IsGridable(A99)</f>
        <v>1</v>
      </c>
      <c r="R99" s="19" t="str" cm="1">
        <f t="array" ref="R99">IsListable(A99)</f>
        <v/>
      </c>
      <c r="S99" s="19" t="str" cm="1">
        <f t="array" ref="S99">IsEncrypted(A99)</f>
        <v/>
      </c>
      <c r="T99" s="19" t="b" cm="1">
        <f t="array" ref="T99">IsInWords(A99)</f>
        <v>0</v>
      </c>
      <c r="U99" s="19" t="b">
        <v>0</v>
      </c>
    </row>
    <row r="100" spans="1:21">
      <c r="A100" s="19">
        <f t="shared" si="9"/>
        <v>97</v>
      </c>
      <c r="B100" s="20">
        <v>15</v>
      </c>
      <c r="C100" s="19" t="str" cm="1">
        <f t="array" ref="C100">GetValue("Tbl","Alias",B100)</f>
        <v>Sys</v>
      </c>
      <c r="D100" s="19" cm="1">
        <f t="array" ref="D100">GetDomainId(C100,G100)</f>
        <v>9</v>
      </c>
      <c r="E100" s="19" t="str" cm="1">
        <f t="array" ref="E100">GetValue("Dmn","Name",D100)</f>
        <v>NVARCHAR(15)</v>
      </c>
      <c r="F100" s="19">
        <f t="shared" si="10"/>
        <v>15</v>
      </c>
      <c r="G100" s="19" t="str" cm="1">
        <f t="array" ref="G100">GetColumnName(C100,IF(B100=B99,G99,""))</f>
        <v>Prefix</v>
      </c>
      <c r="H100" s="19" t="str">
        <f t="shared" si="11"/>
        <v>Prefix</v>
      </c>
      <c r="I100" s="19" t="str">
        <f t="shared" si="12"/>
        <v>Prefix</v>
      </c>
      <c r="J100" s="19"/>
      <c r="K100" s="19" t="b">
        <v>1</v>
      </c>
      <c r="L100" s="19" t="b" cm="1">
        <f t="array" ref="L100">IsPrimaryKey(A100)</f>
        <v>0</v>
      </c>
      <c r="M100" s="19" t="str" cm="1">
        <f t="array" ref="M100">IsAutoincrement(A100)</f>
        <v/>
      </c>
      <c r="N100" s="19" t="b" cm="1">
        <f t="array" ref="N100">IsUnique(A100)</f>
        <v>0</v>
      </c>
      <c r="O100" s="19" t="b" cm="1">
        <f t="array" ref="O100">IsFilterable(A100)</f>
        <v>1</v>
      </c>
      <c r="P100" s="19" t="b" cm="1">
        <f t="array" ref="P100">IsEditable(A100)</f>
        <v>1</v>
      </c>
      <c r="Q100" s="19" t="b" cm="1">
        <f t="array" ref="Q100">IsGridable(A100)</f>
        <v>1</v>
      </c>
      <c r="R100" s="19" t="b" cm="1">
        <f t="array" ref="R100">IsListable(A100)</f>
        <v>0</v>
      </c>
      <c r="S100" s="19" t="b" cm="1">
        <f t="array" ref="S100">IsEncrypted(A100)</f>
        <v>0</v>
      </c>
      <c r="T100" s="19" t="str" cm="1">
        <f t="array" ref="T100">IsInWords(A100)</f>
        <v/>
      </c>
      <c r="U100" s="19" t="b">
        <v>0</v>
      </c>
    </row>
    <row r="101" spans="1:21">
      <c r="A101" s="19">
        <f t="shared" si="9"/>
        <v>98</v>
      </c>
      <c r="B101" s="20">
        <v>15</v>
      </c>
      <c r="C101" s="19" t="str" cm="1">
        <f t="array" ref="C101">GetValue("Tbl","Alias",B101)</f>
        <v>Sys</v>
      </c>
      <c r="D101" s="19" cm="1">
        <f t="array" ref="D101">GetDomainId(C101,G101)</f>
        <v>11</v>
      </c>
      <c r="E101" s="19" t="str" cm="1">
        <f t="array" ref="E101">GetValue("Dmn","Name",D101)</f>
        <v>NVARCHAR(25)</v>
      </c>
      <c r="F101" s="19">
        <f t="shared" si="10"/>
        <v>20</v>
      </c>
      <c r="G101" s="19" t="str" cm="1">
        <f t="array" ref="G101">GetColumnName(C101,IF(B101=B100,G100,""))</f>
        <v>Name</v>
      </c>
      <c r="H101" s="19" t="str">
        <f t="shared" si="11"/>
        <v>Name</v>
      </c>
      <c r="I101" s="19" t="str">
        <f t="shared" si="12"/>
        <v>Name</v>
      </c>
      <c r="J101" s="19"/>
      <c r="K101" s="19" t="b">
        <v>1</v>
      </c>
      <c r="L101" s="19" t="b" cm="1">
        <f t="array" ref="L101">IsPrimaryKey(A101)</f>
        <v>0</v>
      </c>
      <c r="M101" s="19" t="str" cm="1">
        <f t="array" ref="M101">IsAutoincrement(A101)</f>
        <v/>
      </c>
      <c r="N101" s="19" t="b" cm="1">
        <f t="array" ref="N101">IsUnique(A101)</f>
        <v>0</v>
      </c>
      <c r="O101" s="19" t="b" cm="1">
        <f t="array" ref="O101">IsFilterable(A101)</f>
        <v>1</v>
      </c>
      <c r="P101" s="19" t="b" cm="1">
        <f t="array" ref="P101">IsEditable(A101)</f>
        <v>1</v>
      </c>
      <c r="Q101" s="19" t="b" cm="1">
        <f t="array" ref="Q101">IsGridable(A101)</f>
        <v>1</v>
      </c>
      <c r="R101" s="19" t="b" cm="1">
        <f t="array" ref="R101">IsListable(A101)</f>
        <v>0</v>
      </c>
      <c r="S101" s="19" t="b" cm="1">
        <f t="array" ref="S101">IsEncrypted(A101)</f>
        <v>0</v>
      </c>
      <c r="T101" s="19" t="str" cm="1">
        <f t="array" ref="T101">IsInWords(A101)</f>
        <v/>
      </c>
      <c r="U101" s="19" t="b">
        <v>0</v>
      </c>
    </row>
    <row r="102" spans="1:21">
      <c r="A102" s="19">
        <f t="shared" si="9"/>
        <v>99</v>
      </c>
      <c r="B102" s="20">
        <v>15</v>
      </c>
      <c r="C102" s="19" t="str" cm="1">
        <f t="array" ref="C102">GetValue("Tbl","Alias",B102)</f>
        <v>Sys</v>
      </c>
      <c r="D102" s="19" cm="1">
        <f t="array" ref="D102">GetDomainId(C102,G102)</f>
        <v>12</v>
      </c>
      <c r="E102" s="19" t="str" cm="1">
        <f t="array" ref="E102">GetValue("Dmn","Name",D102)</f>
        <v>NVARCHAR(50)</v>
      </c>
      <c r="F102" s="19">
        <f t="shared" si="10"/>
        <v>25</v>
      </c>
      <c r="G102" s="19" t="str" cm="1">
        <f t="array" ref="G102">GetColumnName(C102,IF(B102=B101,G101,""))</f>
        <v>Description</v>
      </c>
      <c r="H102" s="19" t="str">
        <f t="shared" si="11"/>
        <v>Description</v>
      </c>
      <c r="I102" s="19" t="str">
        <f t="shared" si="12"/>
        <v>Description</v>
      </c>
      <c r="J102" s="19"/>
      <c r="K102" s="19" t="b">
        <v>1</v>
      </c>
      <c r="L102" s="19" t="b" cm="1">
        <f t="array" ref="L102">IsPrimaryKey(A102)</f>
        <v>0</v>
      </c>
      <c r="M102" s="19" t="str" cm="1">
        <f t="array" ref="M102">IsAutoincrement(A102)</f>
        <v/>
      </c>
      <c r="N102" s="19" t="b" cm="1">
        <f t="array" ref="N102">IsUnique(A102)</f>
        <v>0</v>
      </c>
      <c r="O102" s="19" t="b" cm="1">
        <f t="array" ref="O102">IsFilterable(A102)</f>
        <v>1</v>
      </c>
      <c r="P102" s="19" t="b" cm="1">
        <f t="array" ref="P102">IsEditable(A102)</f>
        <v>1</v>
      </c>
      <c r="Q102" s="19" t="b" cm="1">
        <f t="array" ref="Q102">IsGridable(A102)</f>
        <v>1</v>
      </c>
      <c r="R102" s="19" t="b" cm="1">
        <f t="array" ref="R102">IsListable(A102)</f>
        <v>0</v>
      </c>
      <c r="S102" s="19" t="b" cm="1">
        <f t="array" ref="S102">IsEncrypted(A102)</f>
        <v>0</v>
      </c>
      <c r="T102" s="19" t="str" cm="1">
        <f t="array" ref="T102">IsInWords(A102)</f>
        <v/>
      </c>
      <c r="U102" s="19" t="b">
        <v>0</v>
      </c>
    </row>
    <row r="103" spans="1:21">
      <c r="A103" s="19">
        <f t="shared" si="9"/>
        <v>100</v>
      </c>
      <c r="B103" s="20">
        <v>15</v>
      </c>
      <c r="C103" s="19" t="str" cm="1">
        <f t="array" ref="C103">GetValue("Tbl","Alias",B103)</f>
        <v>Sys</v>
      </c>
      <c r="D103" s="19" cm="1">
        <f t="array" ref="D103">GetDomainId(C103,G103)</f>
        <v>4</v>
      </c>
      <c r="E103" s="19" t="str" cm="1">
        <f t="array" ref="E103">GetValue("Dmn","Name",D103)</f>
        <v>TinyInteger</v>
      </c>
      <c r="F103" s="19">
        <f t="shared" si="10"/>
        <v>30</v>
      </c>
      <c r="G103" s="19" t="str" cm="1">
        <f t="array" ref="G103">GetColumnName(C103,IF(B103=B102,G102,""))</f>
        <v>MaxRetryLogins</v>
      </c>
      <c r="H103" s="19" t="str">
        <f t="shared" si="11"/>
        <v>MaxRetryLogins</v>
      </c>
      <c r="I103" s="19" t="str">
        <f t="shared" si="12"/>
        <v>MaxRetryLogins</v>
      </c>
      <c r="J103" s="19"/>
      <c r="K103" s="19" t="b">
        <v>1</v>
      </c>
      <c r="L103" s="19" t="b" cm="1">
        <f t="array" ref="L103">IsPrimaryKey(A103)</f>
        <v>0</v>
      </c>
      <c r="M103" s="19" t="b" cm="1">
        <f t="array" ref="M103">IsAutoincrement(A103)</f>
        <v>0</v>
      </c>
      <c r="N103" s="19" t="b" cm="1">
        <f t="array" ref="N103">IsUnique(A103)</f>
        <v>0</v>
      </c>
      <c r="O103" s="19" t="b" cm="1">
        <f t="array" ref="O103">IsFilterable(A103)</f>
        <v>1</v>
      </c>
      <c r="P103" s="19" t="b" cm="1">
        <f t="array" ref="P103">IsEditable(A103)</f>
        <v>1</v>
      </c>
      <c r="Q103" s="19" t="b" cm="1">
        <f t="array" ref="Q103">IsGridable(A103)</f>
        <v>1</v>
      </c>
      <c r="R103" s="19" t="str" cm="1">
        <f t="array" ref="R103">IsListable(A103)</f>
        <v/>
      </c>
      <c r="S103" s="19" t="str" cm="1">
        <f t="array" ref="S103">IsEncrypted(A103)</f>
        <v/>
      </c>
      <c r="T103" s="19" t="b" cm="1">
        <f t="array" ref="T103">IsInWords(A103)</f>
        <v>0</v>
      </c>
      <c r="U103" s="19" t="b">
        <v>0</v>
      </c>
    </row>
    <row r="104" spans="1:21">
      <c r="A104" s="19">
        <f t="shared" si="9"/>
        <v>101</v>
      </c>
      <c r="B104" s="20">
        <v>15</v>
      </c>
      <c r="C104" s="19" t="str" cm="1">
        <f t="array" ref="C104">GetValue("Tbl","Alias",B104)</f>
        <v>Sys</v>
      </c>
      <c r="D104" s="19" cm="1">
        <f t="array" ref="D104">GetDomainId(C104,G104)</f>
        <v>5</v>
      </c>
      <c r="E104" s="19" t="str" cm="1">
        <f t="array" ref="E104">GetValue("Dmn","Name",D104)</f>
        <v>Boolean</v>
      </c>
      <c r="F104" s="19">
        <f t="shared" si="10"/>
        <v>35</v>
      </c>
      <c r="G104" s="19" t="str" cm="1">
        <f t="array" ref="G104">GetColumnName(C104,IF(B104=B103,G103,""))</f>
        <v>IsActive</v>
      </c>
      <c r="H104" s="19" t="str">
        <f t="shared" si="11"/>
        <v>IsActive</v>
      </c>
      <c r="I104" s="19" t="str">
        <f t="shared" si="12"/>
        <v>IsActive</v>
      </c>
      <c r="J104" s="19"/>
      <c r="K104" s="19" t="b">
        <v>1</v>
      </c>
      <c r="L104" s="19" t="b" cm="1">
        <f t="array" ref="L104">IsPrimaryKey(A104)</f>
        <v>0</v>
      </c>
      <c r="M104" s="19" t="str" cm="1">
        <f t="array" ref="M104">IsAutoincrement(A104)</f>
        <v/>
      </c>
      <c r="N104" s="19" t="str" cm="1">
        <f t="array" ref="N104">IsUnique(A104)</f>
        <v/>
      </c>
      <c r="O104" s="19" t="b" cm="1">
        <f t="array" ref="O104">IsFilterable(A104)</f>
        <v>1</v>
      </c>
      <c r="P104" s="19" t="b" cm="1">
        <f t="array" ref="P104">IsEditable(A104)</f>
        <v>1</v>
      </c>
      <c r="Q104" s="19" t="b" cm="1">
        <f t="array" ref="Q104">IsGridable(A104)</f>
        <v>1</v>
      </c>
      <c r="R104" s="19" t="str" cm="1">
        <f t="array" ref="R104">IsListable(A104)</f>
        <v/>
      </c>
      <c r="S104" s="19" t="str" cm="1">
        <f t="array" ref="S104">IsEncrypted(A104)</f>
        <v/>
      </c>
      <c r="T104" s="19" t="str" cm="1">
        <f t="array" ref="T104">IsInWords(A104)</f>
        <v/>
      </c>
      <c r="U104" s="19" t="b">
        <v>0</v>
      </c>
    </row>
    <row r="105" spans="1:21">
      <c r="A105" s="17">
        <f t="shared" si="9"/>
        <v>102</v>
      </c>
      <c r="B105" s="18">
        <v>16</v>
      </c>
      <c r="C105" s="17" t="str" cm="1">
        <f t="array" ref="C105">GetValue("Tbl","Alias",B105)</f>
        <v>Mnu</v>
      </c>
      <c r="D105" s="17" cm="1">
        <f t="array" ref="D105">GetDomainId(C105,G105)</f>
        <v>55</v>
      </c>
      <c r="E105" s="17" t="str" cm="1">
        <f t="array" ref="E105">GetValue("Dmn","Name",D105)</f>
        <v>BigId</v>
      </c>
      <c r="F105" s="17">
        <f t="shared" si="10"/>
        <v>5</v>
      </c>
      <c r="G105" s="17" t="str" cm="1">
        <f t="array" ref="G105">GetColumnName(C105,IF(B105=B104,G104,""))</f>
        <v>Id</v>
      </c>
      <c r="H105" s="17" t="str">
        <f t="shared" si="11"/>
        <v>Id</v>
      </c>
      <c r="I105" s="17" t="str">
        <f t="shared" si="12"/>
        <v>Id</v>
      </c>
      <c r="J105" s="17"/>
      <c r="K105" s="17" t="b">
        <v>1</v>
      </c>
      <c r="L105" s="17" t="b" cm="1">
        <f t="array" ref="L105">IsPrimaryKey(A105)</f>
        <v>1</v>
      </c>
      <c r="M105" s="17" t="b" cm="1">
        <f t="array" ref="M105">IsAutoincrement(A105)</f>
        <v>1</v>
      </c>
      <c r="N105" s="17" t="b" cm="1">
        <f t="array" ref="N105">IsUnique(A105)</f>
        <v>0</v>
      </c>
      <c r="O105" s="17" t="str" cm="1">
        <f t="array" ref="O105">IsFilterable(A105)</f>
        <v/>
      </c>
      <c r="P105" s="17" t="str" cm="1">
        <f t="array" ref="P105">IsEditable(A105)</f>
        <v/>
      </c>
      <c r="Q105" s="17" t="str" cm="1">
        <f t="array" ref="Q105">IsGridable(A105)</f>
        <v/>
      </c>
      <c r="R105" s="17" t="str" cm="1">
        <f t="array" ref="R105">IsListable(A105)</f>
        <v/>
      </c>
      <c r="S105" s="17" t="str" cm="1">
        <f t="array" ref="S105">IsEncrypted(A105)</f>
        <v/>
      </c>
      <c r="T105" s="17" t="str" cm="1">
        <f t="array" ref="T105">IsInWords(A105)</f>
        <v/>
      </c>
      <c r="U105" s="17" t="b">
        <v>0</v>
      </c>
    </row>
    <row r="106" spans="1:21">
      <c r="A106" s="17">
        <f t="shared" si="9"/>
        <v>103</v>
      </c>
      <c r="B106" s="18">
        <v>16</v>
      </c>
      <c r="C106" s="17" t="str" cm="1">
        <f t="array" ref="C106">GetValue("Tbl","Alias",B106)</f>
        <v>Mnu</v>
      </c>
      <c r="D106" s="17" cm="1">
        <f t="array" ref="D106">GetDomainId(C106,G106)</f>
        <v>55</v>
      </c>
      <c r="E106" s="17" t="str" cm="1">
        <f t="array" ref="E106">GetValue("Dmn","Name",D106)</f>
        <v>BigId</v>
      </c>
      <c r="F106" s="17">
        <f t="shared" si="10"/>
        <v>10</v>
      </c>
      <c r="G106" s="17" t="str" cm="1">
        <f t="array" ref="G106">GetColumnName(C106,IF(B106=B105,G105,""))</f>
        <v>SystemId</v>
      </c>
      <c r="H106" s="17" t="str">
        <f t="shared" si="11"/>
        <v>SystemId</v>
      </c>
      <c r="I106" s="17" t="str">
        <f t="shared" si="12"/>
        <v>SystemId</v>
      </c>
      <c r="J106" s="17"/>
      <c r="K106" s="17" t="b">
        <v>1</v>
      </c>
      <c r="L106" s="17" t="b" cm="1">
        <f t="array" ref="L106">IsPrimaryKey(A106)</f>
        <v>0</v>
      </c>
      <c r="M106" s="17" t="b" cm="1">
        <f t="array" ref="M106">IsAutoincrement(A106)</f>
        <v>0</v>
      </c>
      <c r="N106" s="17" t="b" cm="1">
        <f t="array" ref="N106">IsUnique(A106)</f>
        <v>0</v>
      </c>
      <c r="O106" s="17" t="b" cm="1">
        <f t="array" ref="O106">IsFilterable(A106)</f>
        <v>1</v>
      </c>
      <c r="P106" s="17" t="b" cm="1">
        <f t="array" ref="P106">IsEditable(A106)</f>
        <v>1</v>
      </c>
      <c r="Q106" s="17" t="b" cm="1">
        <f t="array" ref="Q106">IsGridable(A106)</f>
        <v>1</v>
      </c>
      <c r="R106" s="17" t="str" cm="1">
        <f t="array" ref="R106">IsListable(A106)</f>
        <v/>
      </c>
      <c r="S106" s="17" t="str" cm="1">
        <f t="array" ref="S106">IsEncrypted(A106)</f>
        <v/>
      </c>
      <c r="T106" s="17" t="b" cm="1">
        <f t="array" ref="T106">IsInWords(A106)</f>
        <v>0</v>
      </c>
      <c r="U106" s="17" t="b">
        <v>0</v>
      </c>
    </row>
    <row r="107" spans="1:21">
      <c r="A107" s="17">
        <f t="shared" si="9"/>
        <v>104</v>
      </c>
      <c r="B107" s="18">
        <v>16</v>
      </c>
      <c r="C107" s="17" t="str" cm="1">
        <f t="array" ref="C107">GetValue("Tbl","Alias",B107)</f>
        <v>Mnu</v>
      </c>
      <c r="D107" s="17" cm="1">
        <f t="array" ref="D107">GetDomainId(C107,G107)</f>
        <v>55</v>
      </c>
      <c r="E107" s="17" t="str" cm="1">
        <f t="array" ref="E107">GetValue("Dmn","Name",D107)</f>
        <v>BigId</v>
      </c>
      <c r="F107" s="17">
        <f t="shared" si="10"/>
        <v>15</v>
      </c>
      <c r="G107" s="17" t="str" cm="1">
        <f t="array" ref="G107">GetColumnName(C107,IF(B107=B106,G106,""))</f>
        <v>ParentMenuId</v>
      </c>
      <c r="H107" s="17" t="str">
        <f t="shared" si="11"/>
        <v>ParentMenuId</v>
      </c>
      <c r="I107" s="17" t="str">
        <f t="shared" si="12"/>
        <v>ParentMenuId</v>
      </c>
      <c r="J107" s="17"/>
      <c r="K107" s="17" t="b">
        <v>1</v>
      </c>
      <c r="L107" s="17" t="b" cm="1">
        <f t="array" ref="L107">IsPrimaryKey(A107)</f>
        <v>0</v>
      </c>
      <c r="M107" s="17" t="b" cm="1">
        <f t="array" ref="M107">IsAutoincrement(A107)</f>
        <v>0</v>
      </c>
      <c r="N107" s="17" t="b" cm="1">
        <f t="array" ref="N107">IsUnique(A107)</f>
        <v>0</v>
      </c>
      <c r="O107" s="17" t="b" cm="1">
        <f t="array" ref="O107">IsFilterable(A107)</f>
        <v>1</v>
      </c>
      <c r="P107" s="17" t="b" cm="1">
        <f t="array" ref="P107">IsEditable(A107)</f>
        <v>1</v>
      </c>
      <c r="Q107" s="17" t="b" cm="1">
        <f t="array" ref="Q107">IsGridable(A107)</f>
        <v>1</v>
      </c>
      <c r="R107" s="17" t="str" cm="1">
        <f t="array" ref="R107">IsListable(A107)</f>
        <v/>
      </c>
      <c r="S107" s="17" t="str" cm="1">
        <f t="array" ref="S107">IsEncrypted(A107)</f>
        <v/>
      </c>
      <c r="T107" s="17" t="b" cm="1">
        <f t="array" ref="T107">IsInWords(A107)</f>
        <v>0</v>
      </c>
      <c r="U107" s="17" t="b">
        <v>0</v>
      </c>
    </row>
    <row r="108" spans="1:21">
      <c r="A108" s="17">
        <f t="shared" si="9"/>
        <v>105</v>
      </c>
      <c r="B108" s="18">
        <v>16</v>
      </c>
      <c r="C108" s="17" t="str" cm="1">
        <f t="array" ref="C108">GetValue("Tbl","Alias",B108)</f>
        <v>Mnu</v>
      </c>
      <c r="D108" s="17" cm="1">
        <f t="array" ref="D108">GetDomainId(C108,G108)</f>
        <v>59</v>
      </c>
      <c r="E108" s="17" t="str" cm="1">
        <f t="array" ref="E108">GetValue("Dmn","Name",D108)</f>
        <v>SEQUENCE</v>
      </c>
      <c r="F108" s="17">
        <f t="shared" si="10"/>
        <v>20</v>
      </c>
      <c r="G108" s="17" t="str" cm="1">
        <f t="array" ref="G108">GetColumnName(C108,IF(B108=B107,G107,""))</f>
        <v>Sequence</v>
      </c>
      <c r="H108" s="17" t="str">
        <f t="shared" si="11"/>
        <v>Sequence</v>
      </c>
      <c r="I108" s="17" t="str">
        <f t="shared" si="12"/>
        <v>Sequence</v>
      </c>
      <c r="J108" s="17"/>
      <c r="K108" s="17" t="b">
        <v>1</v>
      </c>
      <c r="L108" s="17" t="b" cm="1">
        <f t="array" ref="L108">IsPrimaryKey(A108)</f>
        <v>0</v>
      </c>
      <c r="M108" s="17" t="b" cm="1">
        <f t="array" ref="M108">IsAutoincrement(A108)</f>
        <v>0</v>
      </c>
      <c r="N108" s="17" t="b" cm="1">
        <f t="array" ref="N108">IsUnique(A108)</f>
        <v>0</v>
      </c>
      <c r="O108" s="17" t="b" cm="1">
        <f t="array" ref="O108">IsFilterable(A108)</f>
        <v>1</v>
      </c>
      <c r="P108" s="17" t="b" cm="1">
        <f t="array" ref="P108">IsEditable(A108)</f>
        <v>1</v>
      </c>
      <c r="Q108" s="17" t="b" cm="1">
        <f t="array" ref="Q108">IsGridable(A108)</f>
        <v>1</v>
      </c>
      <c r="R108" s="17" t="str" cm="1">
        <f t="array" ref="R108">IsListable(A108)</f>
        <v/>
      </c>
      <c r="S108" s="17" t="str" cm="1">
        <f t="array" ref="S108">IsEncrypted(A108)</f>
        <v/>
      </c>
      <c r="T108" s="17" t="b" cm="1">
        <f t="array" ref="T108">IsInWords(A108)</f>
        <v>0</v>
      </c>
      <c r="U108" s="17" t="b">
        <v>0</v>
      </c>
    </row>
    <row r="109" spans="1:21">
      <c r="A109" s="17">
        <f t="shared" si="9"/>
        <v>106</v>
      </c>
      <c r="B109" s="18">
        <v>16</v>
      </c>
      <c r="C109" s="17" t="str" cm="1">
        <f t="array" ref="C109">GetValue("Tbl","Alias",B109)</f>
        <v>Mnu</v>
      </c>
      <c r="D109" s="17" cm="1">
        <f t="array" ref="D109">GetDomainId(C109,G109)</f>
        <v>10</v>
      </c>
      <c r="E109" s="17" t="str" cm="1">
        <f t="array" ref="E109">GetValue("Dmn","Name",D109)</f>
        <v>NVARCHAR(20)</v>
      </c>
      <c r="F109" s="17">
        <f t="shared" si="10"/>
        <v>25</v>
      </c>
      <c r="G109" s="17" t="str" cm="1">
        <f t="array" ref="G109">GetColumnName(C109,IF(B109=B108,G108,""))</f>
        <v>Caption</v>
      </c>
      <c r="H109" s="17" t="str">
        <f t="shared" si="11"/>
        <v>Caption</v>
      </c>
      <c r="I109" s="17" t="str">
        <f t="shared" si="12"/>
        <v>Caption</v>
      </c>
      <c r="J109" s="17"/>
      <c r="K109" s="17" t="b">
        <v>1</v>
      </c>
      <c r="L109" s="17" t="b" cm="1">
        <f t="array" ref="L109">IsPrimaryKey(A109)</f>
        <v>0</v>
      </c>
      <c r="M109" s="17" t="str" cm="1">
        <f t="array" ref="M109">IsAutoincrement(A109)</f>
        <v/>
      </c>
      <c r="N109" s="17" t="b" cm="1">
        <f t="array" ref="N109">IsUnique(A109)</f>
        <v>0</v>
      </c>
      <c r="O109" s="17" t="b" cm="1">
        <f t="array" ref="O109">IsFilterable(A109)</f>
        <v>1</v>
      </c>
      <c r="P109" s="17" t="b" cm="1">
        <f t="array" ref="P109">IsEditable(A109)</f>
        <v>1</v>
      </c>
      <c r="Q109" s="17" t="b" cm="1">
        <f t="array" ref="Q109">IsGridable(A109)</f>
        <v>1</v>
      </c>
      <c r="R109" s="17" t="b" cm="1">
        <f t="array" ref="R109">IsListable(A109)</f>
        <v>0</v>
      </c>
      <c r="S109" s="17" t="b" cm="1">
        <f t="array" ref="S109">IsEncrypted(A109)</f>
        <v>0</v>
      </c>
      <c r="T109" s="17" t="str" cm="1">
        <f t="array" ref="T109">IsInWords(A109)</f>
        <v/>
      </c>
      <c r="U109" s="17" t="b">
        <v>0</v>
      </c>
    </row>
    <row r="110" spans="1:21">
      <c r="A110" s="17">
        <f t="shared" si="9"/>
        <v>107</v>
      </c>
      <c r="B110" s="18">
        <v>16</v>
      </c>
      <c r="C110" s="17" t="str" cm="1">
        <f t="array" ref="C110">GetValue("Tbl","Alias",B110)</f>
        <v>Mnu</v>
      </c>
      <c r="D110" s="17" cm="1">
        <f t="array" ref="D110">GetDomainId(C110,G110)</f>
        <v>12</v>
      </c>
      <c r="E110" s="17" t="str" cm="1">
        <f t="array" ref="E110">GetValue("Dmn","Name",D110)</f>
        <v>NVARCHAR(50)</v>
      </c>
      <c r="F110" s="17">
        <f t="shared" si="10"/>
        <v>30</v>
      </c>
      <c r="G110" s="17" t="str" cm="1">
        <f t="array" ref="G110">GetColumnName(C110,IF(B110=B109,G109,""))</f>
        <v>Message</v>
      </c>
      <c r="H110" s="17" t="str">
        <f t="shared" si="11"/>
        <v>Message</v>
      </c>
      <c r="I110" s="17" t="str">
        <f t="shared" si="12"/>
        <v>Message</v>
      </c>
      <c r="J110" s="17"/>
      <c r="K110" s="17" t="b">
        <v>1</v>
      </c>
      <c r="L110" s="17" t="b" cm="1">
        <f t="array" ref="L110">IsPrimaryKey(A110)</f>
        <v>0</v>
      </c>
      <c r="M110" s="17" t="str" cm="1">
        <f t="array" ref="M110">IsAutoincrement(A110)</f>
        <v/>
      </c>
      <c r="N110" s="17" t="b" cm="1">
        <f t="array" ref="N110">IsUnique(A110)</f>
        <v>0</v>
      </c>
      <c r="O110" s="17" t="b" cm="1">
        <f t="array" ref="O110">IsFilterable(A110)</f>
        <v>1</v>
      </c>
      <c r="P110" s="17" t="b" cm="1">
        <f t="array" ref="P110">IsEditable(A110)</f>
        <v>1</v>
      </c>
      <c r="Q110" s="17" t="b" cm="1">
        <f t="array" ref="Q110">IsGridable(A110)</f>
        <v>1</v>
      </c>
      <c r="R110" s="17" t="b" cm="1">
        <f t="array" ref="R110">IsListable(A110)</f>
        <v>0</v>
      </c>
      <c r="S110" s="17" t="b" cm="1">
        <f t="array" ref="S110">IsEncrypted(A110)</f>
        <v>0</v>
      </c>
      <c r="T110" s="17" t="str" cm="1">
        <f t="array" ref="T110">IsInWords(A110)</f>
        <v/>
      </c>
      <c r="U110" s="17" t="b">
        <v>0</v>
      </c>
    </row>
    <row r="111" spans="1:21">
      <c r="A111" s="17">
        <f t="shared" si="9"/>
        <v>108</v>
      </c>
      <c r="B111" s="18">
        <v>16</v>
      </c>
      <c r="C111" s="17" t="str" cm="1">
        <f t="array" ref="C111">GetValue("Tbl","Alias",B111)</f>
        <v>Mnu</v>
      </c>
      <c r="D111" s="17" cm="1">
        <f t="array" ref="D111">GetDomainId(C111,G111)</f>
        <v>12</v>
      </c>
      <c r="E111" s="17" t="str" cm="1">
        <f t="array" ref="E111">GetValue("Dmn","Name",D111)</f>
        <v>NVARCHAR(50)</v>
      </c>
      <c r="F111" s="17">
        <f t="shared" si="10"/>
        <v>35</v>
      </c>
      <c r="G111" s="17" t="str" cm="1">
        <f t="array" ref="G111">GetColumnName(C111,IF(B111=B110,G110,""))</f>
        <v>Action</v>
      </c>
      <c r="H111" s="17" t="str">
        <f t="shared" si="11"/>
        <v>Action</v>
      </c>
      <c r="I111" s="17" t="str">
        <f t="shared" si="12"/>
        <v>Action</v>
      </c>
      <c r="J111" s="17"/>
      <c r="K111" s="17" t="b">
        <v>1</v>
      </c>
      <c r="L111" s="17" t="b" cm="1">
        <f t="array" ref="L111">IsPrimaryKey(A111)</f>
        <v>0</v>
      </c>
      <c r="M111" s="17" t="str" cm="1">
        <f t="array" ref="M111">IsAutoincrement(A111)</f>
        <v/>
      </c>
      <c r="N111" s="17" t="b" cm="1">
        <f t="array" ref="N111">IsUnique(A111)</f>
        <v>0</v>
      </c>
      <c r="O111" s="17" t="b" cm="1">
        <f t="array" ref="O111">IsFilterable(A111)</f>
        <v>1</v>
      </c>
      <c r="P111" s="17" t="b" cm="1">
        <f t="array" ref="P111">IsEditable(A111)</f>
        <v>1</v>
      </c>
      <c r="Q111" s="17" t="b" cm="1">
        <f t="array" ref="Q111">IsGridable(A111)</f>
        <v>1</v>
      </c>
      <c r="R111" s="17" t="b" cm="1">
        <f t="array" ref="R111">IsListable(A111)</f>
        <v>0</v>
      </c>
      <c r="S111" s="17" t="b" cm="1">
        <f t="array" ref="S111">IsEncrypted(A111)</f>
        <v>0</v>
      </c>
      <c r="T111" s="17" t="str" cm="1">
        <f t="array" ref="T111">IsInWords(A111)</f>
        <v/>
      </c>
      <c r="U111" s="17" t="b">
        <v>0</v>
      </c>
    </row>
    <row r="112" spans="1:21">
      <c r="A112" s="17">
        <f t="shared" si="9"/>
        <v>109</v>
      </c>
      <c r="B112" s="18">
        <v>16</v>
      </c>
      <c r="C112" s="17" t="str" cm="1">
        <f t="array" ref="C112">GetValue("Tbl","Alias",B112)</f>
        <v>Mnu</v>
      </c>
      <c r="D112" s="17" cm="1">
        <f t="array" ref="D112">GetDomainId(C112,G112)</f>
        <v>5</v>
      </c>
      <c r="E112" s="17" t="str" cm="1">
        <f t="array" ref="E112">GetValue("Dmn","Name",D112)</f>
        <v>Boolean</v>
      </c>
      <c r="F112" s="17">
        <f t="shared" si="10"/>
        <v>40</v>
      </c>
      <c r="G112" s="17" t="str" cm="1">
        <f t="array" ref="G112">GetColumnName(C112,IF(B112=B111,G111,""))</f>
        <v>IsActive</v>
      </c>
      <c r="H112" s="17" t="str">
        <f t="shared" si="11"/>
        <v>IsActive</v>
      </c>
      <c r="I112" s="17" t="str">
        <f t="shared" si="12"/>
        <v>IsActive</v>
      </c>
      <c r="J112" s="17"/>
      <c r="K112" s="17" t="b">
        <v>1</v>
      </c>
      <c r="L112" s="17" t="b" cm="1">
        <f t="array" ref="L112">IsPrimaryKey(A112)</f>
        <v>0</v>
      </c>
      <c r="M112" s="17" t="str" cm="1">
        <f t="array" ref="M112">IsAutoincrement(A112)</f>
        <v/>
      </c>
      <c r="N112" s="17" t="str" cm="1">
        <f t="array" ref="N112">IsUnique(A112)</f>
        <v/>
      </c>
      <c r="O112" s="17" t="b" cm="1">
        <f t="array" ref="O112">IsFilterable(A112)</f>
        <v>1</v>
      </c>
      <c r="P112" s="17" t="b" cm="1">
        <f t="array" ref="P112">IsEditable(A112)</f>
        <v>1</v>
      </c>
      <c r="Q112" s="17" t="b" cm="1">
        <f t="array" ref="Q112">IsGridable(A112)</f>
        <v>1</v>
      </c>
      <c r="R112" s="17" t="str" cm="1">
        <f t="array" ref="R112">IsListable(A112)</f>
        <v/>
      </c>
      <c r="S112" s="17" t="str" cm="1">
        <f t="array" ref="S112">IsEncrypted(A112)</f>
        <v/>
      </c>
      <c r="T112" s="17" t="str" cm="1">
        <f t="array" ref="T112">IsInWords(A112)</f>
        <v/>
      </c>
      <c r="U112" s="17" t="b">
        <v>0</v>
      </c>
    </row>
    <row r="113" spans="1:21">
      <c r="A113" s="19">
        <f t="shared" si="9"/>
        <v>110</v>
      </c>
      <c r="B113" s="20">
        <v>17</v>
      </c>
      <c r="C113" s="19" t="str" cm="1">
        <f t="array" ref="C113">GetValue("Tbl","Alias",B113)</f>
        <v>Tbl</v>
      </c>
      <c r="D113" s="19" cm="1">
        <f t="array" ref="D113">GetDomainId(C113,G113)</f>
        <v>55</v>
      </c>
      <c r="E113" s="19" t="str" cm="1">
        <f t="array" ref="E113">GetValue("Dmn","Name",D113)</f>
        <v>BigId</v>
      </c>
      <c r="F113" s="19">
        <f t="shared" si="10"/>
        <v>5</v>
      </c>
      <c r="G113" s="19" t="str" cm="1">
        <f t="array" ref="G113">GetColumnName(C113,IF(B113=B112,G112,""))</f>
        <v>Id</v>
      </c>
      <c r="H113" s="19" t="str">
        <f t="shared" si="11"/>
        <v>Id</v>
      </c>
      <c r="I113" s="19" t="str">
        <f t="shared" si="12"/>
        <v>Id</v>
      </c>
      <c r="J113" s="19"/>
      <c r="K113" s="19" t="b">
        <v>0</v>
      </c>
      <c r="L113" s="19" t="b" cm="1">
        <f t="array" ref="L113">IsPrimaryKey(A113)</f>
        <v>1</v>
      </c>
      <c r="M113" s="19" t="b" cm="1">
        <f t="array" ref="M113">IsAutoincrement(A113)</f>
        <v>1</v>
      </c>
      <c r="N113" s="19" t="b" cm="1">
        <f t="array" ref="N113">IsUnique(A113)</f>
        <v>0</v>
      </c>
      <c r="O113" s="19" t="str" cm="1">
        <f t="array" ref="O113">IsFilterable(A113)</f>
        <v/>
      </c>
      <c r="P113" s="19" t="str" cm="1">
        <f t="array" ref="P113">IsEditable(A113)</f>
        <v/>
      </c>
      <c r="Q113" s="19" t="str" cm="1">
        <f t="array" ref="Q113">IsGridable(A113)</f>
        <v/>
      </c>
      <c r="R113" s="19" t="str" cm="1">
        <f t="array" ref="R113">IsListable(A113)</f>
        <v/>
      </c>
      <c r="S113" s="19" t="str" cm="1">
        <f t="array" ref="S113">IsEncrypted(A113)</f>
        <v/>
      </c>
      <c r="T113" s="19" t="str" cm="1">
        <f t="array" ref="T113">IsInWords(A113)</f>
        <v/>
      </c>
      <c r="U113" s="19" t="b">
        <v>0</v>
      </c>
    </row>
    <row r="114" spans="1:21">
      <c r="A114" s="19">
        <f t="shared" si="9"/>
        <v>111</v>
      </c>
      <c r="B114" s="20">
        <v>17</v>
      </c>
      <c r="C114" s="19" t="str" cm="1">
        <f t="array" ref="C114">GetValue("Tbl","Alias",B114)</f>
        <v>Tbl</v>
      </c>
      <c r="D114" s="19" cm="1">
        <f t="array" ref="D114">GetDomainId(C114,G114)</f>
        <v>55</v>
      </c>
      <c r="E114" s="19" t="str" cm="1">
        <f t="array" ref="E114">GetValue("Dmn","Name",D114)</f>
        <v>BigId</v>
      </c>
      <c r="F114" s="19">
        <f t="shared" si="10"/>
        <v>10</v>
      </c>
      <c r="G114" s="19" t="str" cm="1">
        <f t="array" ref="G114">GetColumnName(C114,IF(B114=B113,G113,""))</f>
        <v>DatabaseId</v>
      </c>
      <c r="H114" s="19" t="str">
        <f t="shared" si="11"/>
        <v>DatabaseId</v>
      </c>
      <c r="I114" s="19" t="str">
        <f t="shared" si="12"/>
        <v>DatabaseId</v>
      </c>
      <c r="J114" s="19"/>
      <c r="K114" s="19" t="b">
        <v>0</v>
      </c>
      <c r="L114" s="19" t="b" cm="1">
        <f t="array" ref="L114">IsPrimaryKey(A114)</f>
        <v>0</v>
      </c>
      <c r="M114" s="19" t="b" cm="1">
        <f t="array" ref="M114">IsAutoincrement(A114)</f>
        <v>0</v>
      </c>
      <c r="N114" s="19" t="b" cm="1">
        <f t="array" ref="N114">IsUnique(A114)</f>
        <v>0</v>
      </c>
      <c r="O114" s="19" t="b" cm="1">
        <f t="array" ref="O114">IsFilterable(A114)</f>
        <v>1</v>
      </c>
      <c r="P114" s="19" t="b" cm="1">
        <f t="array" ref="P114">IsEditable(A114)</f>
        <v>1</v>
      </c>
      <c r="Q114" s="19" t="b" cm="1">
        <f t="array" ref="Q114">IsGridable(A114)</f>
        <v>1</v>
      </c>
      <c r="R114" s="19" t="str" cm="1">
        <f t="array" ref="R114">IsListable(A114)</f>
        <v/>
      </c>
      <c r="S114" s="19" t="str" cm="1">
        <f t="array" ref="S114">IsEncrypted(A114)</f>
        <v/>
      </c>
      <c r="T114" s="19" t="b" cm="1">
        <f t="array" ref="T114">IsInWords(A114)</f>
        <v>0</v>
      </c>
      <c r="U114" s="19" t="b">
        <v>0</v>
      </c>
    </row>
    <row r="115" spans="1:21">
      <c r="A115" s="19">
        <f t="shared" si="9"/>
        <v>112</v>
      </c>
      <c r="B115" s="20">
        <v>17</v>
      </c>
      <c r="C115" s="19" t="str" cm="1">
        <f t="array" ref="C115">GetValue("Tbl","Alias",B115)</f>
        <v>Tbl</v>
      </c>
      <c r="D115" s="19" cm="1">
        <f t="array" ref="D115">GetDomainId(C115,G115)</f>
        <v>11</v>
      </c>
      <c r="E115" s="19" t="str" cm="1">
        <f t="array" ref="E115">GetValue("Dmn","Name",D115)</f>
        <v>NVARCHAR(25)</v>
      </c>
      <c r="F115" s="19">
        <f t="shared" si="10"/>
        <v>15</v>
      </c>
      <c r="G115" s="19" t="str" cm="1">
        <f t="array" ref="G115">GetColumnName(C115,IF(B115=B114,G114,""))</f>
        <v>Name</v>
      </c>
      <c r="H115" s="19" t="str">
        <f t="shared" si="11"/>
        <v>Name</v>
      </c>
      <c r="I115" s="19" t="str">
        <f t="shared" si="12"/>
        <v>Name</v>
      </c>
      <c r="J115" s="19"/>
      <c r="K115" s="19" t="b">
        <v>0</v>
      </c>
      <c r="L115" s="19" t="b" cm="1">
        <f t="array" ref="L115">IsPrimaryKey(A115)</f>
        <v>0</v>
      </c>
      <c r="M115" s="19" t="str" cm="1">
        <f t="array" ref="M115">IsAutoincrement(A115)</f>
        <v/>
      </c>
      <c r="N115" s="19" t="b" cm="1">
        <f t="array" ref="N115">IsUnique(A115)</f>
        <v>0</v>
      </c>
      <c r="O115" s="19" t="b" cm="1">
        <f t="array" ref="O115">IsFilterable(A115)</f>
        <v>1</v>
      </c>
      <c r="P115" s="19" t="b" cm="1">
        <f t="array" ref="P115">IsEditable(A115)</f>
        <v>1</v>
      </c>
      <c r="Q115" s="19" t="b" cm="1">
        <f t="array" ref="Q115">IsGridable(A115)</f>
        <v>1</v>
      </c>
      <c r="R115" s="19" t="b" cm="1">
        <f t="array" ref="R115">IsListable(A115)</f>
        <v>0</v>
      </c>
      <c r="S115" s="19" t="b" cm="1">
        <f t="array" ref="S115">IsEncrypted(A115)</f>
        <v>0</v>
      </c>
      <c r="T115" s="19" t="str" cm="1">
        <f t="array" ref="T115">IsInWords(A115)</f>
        <v/>
      </c>
      <c r="U115" s="19" t="b">
        <v>0</v>
      </c>
    </row>
    <row r="116" spans="1:21">
      <c r="A116" s="19">
        <f t="shared" si="9"/>
        <v>113</v>
      </c>
      <c r="B116" s="20">
        <v>17</v>
      </c>
      <c r="C116" s="19" t="str" cm="1">
        <f t="array" ref="C116">GetValue("Tbl","Alias",B116)</f>
        <v>Tbl</v>
      </c>
      <c r="D116" s="19" cm="1">
        <f t="array" ref="D116">GetDomainId(C116,G116)</f>
        <v>10</v>
      </c>
      <c r="E116" s="19" t="str" cm="1">
        <f t="array" ref="E116">GetValue("Dmn","Name",D116)</f>
        <v>NVARCHAR(20)</v>
      </c>
      <c r="F116" s="19">
        <f t="shared" si="10"/>
        <v>20</v>
      </c>
      <c r="G116" s="19" t="str" cm="1">
        <f t="array" ref="G116">GetColumnName(C116,IF(B116=B115,G115,""))</f>
        <v>Alias</v>
      </c>
      <c r="H116" s="19" t="str">
        <f t="shared" si="11"/>
        <v>Alias</v>
      </c>
      <c r="I116" s="19" t="str">
        <f t="shared" si="12"/>
        <v>Alias</v>
      </c>
      <c r="J116" s="19"/>
      <c r="K116" s="19" t="b">
        <v>0</v>
      </c>
      <c r="L116" s="19" t="b" cm="1">
        <f t="array" ref="L116">IsPrimaryKey(A116)</f>
        <v>0</v>
      </c>
      <c r="M116" s="19" t="str" cm="1">
        <f t="array" ref="M116">IsAutoincrement(A116)</f>
        <v/>
      </c>
      <c r="N116" s="19" t="b" cm="1">
        <f t="array" ref="N116">IsUnique(A116)</f>
        <v>0</v>
      </c>
      <c r="O116" s="19" t="b" cm="1">
        <f t="array" ref="O116">IsFilterable(A116)</f>
        <v>1</v>
      </c>
      <c r="P116" s="19" t="b" cm="1">
        <f t="array" ref="P116">IsEditable(A116)</f>
        <v>1</v>
      </c>
      <c r="Q116" s="19" t="b" cm="1">
        <f t="array" ref="Q116">IsGridable(A116)</f>
        <v>1</v>
      </c>
      <c r="R116" s="19" t="b" cm="1">
        <f t="array" ref="R116">IsListable(A116)</f>
        <v>0</v>
      </c>
      <c r="S116" s="19" t="b" cm="1">
        <f t="array" ref="S116">IsEncrypted(A116)</f>
        <v>0</v>
      </c>
      <c r="T116" s="19" t="str" cm="1">
        <f t="array" ref="T116">IsInWords(A116)</f>
        <v/>
      </c>
      <c r="U116" s="19" t="b">
        <v>0</v>
      </c>
    </row>
    <row r="117" spans="1:21">
      <c r="A117" s="19">
        <f t="shared" si="9"/>
        <v>114</v>
      </c>
      <c r="B117" s="20">
        <v>17</v>
      </c>
      <c r="C117" s="19" t="str" cm="1">
        <f t="array" ref="C117">GetValue("Tbl","Alias",B117)</f>
        <v>Tbl</v>
      </c>
      <c r="D117" s="19" cm="1">
        <f t="array" ref="D117">GetDomainId(C117,G117)</f>
        <v>12</v>
      </c>
      <c r="E117" s="19" t="str" cm="1">
        <f t="array" ref="E117">GetValue("Dmn","Name",D117)</f>
        <v>NVARCHAR(50)</v>
      </c>
      <c r="F117" s="19">
        <f t="shared" si="10"/>
        <v>25</v>
      </c>
      <c r="G117" s="19" t="str" cm="1">
        <f t="array" ref="G117">GetColumnName(C117,IF(B117=B116,G116,""))</f>
        <v>Description</v>
      </c>
      <c r="H117" s="19" t="str">
        <f t="shared" si="11"/>
        <v>Description</v>
      </c>
      <c r="I117" s="19" t="str">
        <f t="shared" si="12"/>
        <v>Description</v>
      </c>
      <c r="J117" s="19"/>
      <c r="K117" s="19" t="b">
        <v>0</v>
      </c>
      <c r="L117" s="19" t="b" cm="1">
        <f t="array" ref="L117">IsPrimaryKey(A117)</f>
        <v>0</v>
      </c>
      <c r="M117" s="19" t="str" cm="1">
        <f t="array" ref="M117">IsAutoincrement(A117)</f>
        <v/>
      </c>
      <c r="N117" s="19" t="b" cm="1">
        <f t="array" ref="N117">IsUnique(A117)</f>
        <v>0</v>
      </c>
      <c r="O117" s="19" t="b" cm="1">
        <f t="array" ref="O117">IsFilterable(A117)</f>
        <v>1</v>
      </c>
      <c r="P117" s="19" t="b" cm="1">
        <f t="array" ref="P117">IsEditable(A117)</f>
        <v>1</v>
      </c>
      <c r="Q117" s="19" t="b" cm="1">
        <f t="array" ref="Q117">IsGridable(A117)</f>
        <v>1</v>
      </c>
      <c r="R117" s="19" t="b" cm="1">
        <f t="array" ref="R117">IsListable(A117)</f>
        <v>0</v>
      </c>
      <c r="S117" s="19" t="b" cm="1">
        <f t="array" ref="S117">IsEncrypted(A117)</f>
        <v>0</v>
      </c>
      <c r="T117" s="19" t="str" cm="1">
        <f t="array" ref="T117">IsInWords(A117)</f>
        <v/>
      </c>
      <c r="U117" s="19" t="b">
        <v>0</v>
      </c>
    </row>
    <row r="118" spans="1:21">
      <c r="A118" s="19">
        <f t="shared" ref="A118:A180" si="14">ROW(A118)-3</f>
        <v>115</v>
      </c>
      <c r="B118" s="20">
        <v>17</v>
      </c>
      <c r="C118" s="19" t="str" cm="1">
        <f t="array" ref="C118">GetValue("Tbl","Alias",B118)</f>
        <v>Tbl</v>
      </c>
      <c r="D118" s="19" cm="1">
        <f t="array" ref="D118">GetDomainId(C118,G118)</f>
        <v>5</v>
      </c>
      <c r="E118" s="19" t="str" cm="1">
        <f t="array" ref="E118">GetValue("Dmn","Name",D118)</f>
        <v>Boolean</v>
      </c>
      <c r="F118" s="19">
        <f t="shared" si="10"/>
        <v>30</v>
      </c>
      <c r="G118" s="19" t="str" cm="1">
        <f t="array" ref="G118">GetColumnName(C118,IF(B118=B117,G117,""))</f>
        <v>IsMergeableCrudex</v>
      </c>
      <c r="H118" s="19" t="str">
        <f t="shared" si="11"/>
        <v>IsMergeableCrudex</v>
      </c>
      <c r="I118" s="19" t="str">
        <f t="shared" si="12"/>
        <v>IsMergeableCrudex</v>
      </c>
      <c r="J118" s="19"/>
      <c r="K118" s="19" t="b">
        <v>0</v>
      </c>
      <c r="L118" s="19" t="b" cm="1">
        <f t="array" ref="L118">IsPrimaryKey(A118)</f>
        <v>0</v>
      </c>
      <c r="M118" s="19" t="str" cm="1">
        <f t="array" ref="M118">IsAutoincrement(A118)</f>
        <v/>
      </c>
      <c r="N118" s="19" t="str" cm="1">
        <f t="array" ref="N118">IsUnique(A118)</f>
        <v/>
      </c>
      <c r="O118" s="19" t="b" cm="1">
        <f t="array" ref="O118">IsFilterable(A118)</f>
        <v>1</v>
      </c>
      <c r="P118" s="19" t="b" cm="1">
        <f t="array" ref="P118">IsEditable(A118)</f>
        <v>1</v>
      </c>
      <c r="Q118" s="19" t="b" cm="1">
        <f t="array" ref="Q118">IsGridable(A118)</f>
        <v>1</v>
      </c>
      <c r="R118" s="19" t="str" cm="1">
        <f t="array" ref="R118">IsListable(A118)</f>
        <v/>
      </c>
      <c r="S118" s="19" t="str" cm="1">
        <f t="array" ref="S118">IsEncrypted(A118)</f>
        <v/>
      </c>
      <c r="T118" s="19" t="str" cm="1">
        <f t="array" ref="T118">IsInWords(A118)</f>
        <v/>
      </c>
      <c r="U118" s="19" t="b">
        <v>0</v>
      </c>
    </row>
    <row r="119" spans="1:21">
      <c r="A119" s="17">
        <f t="shared" si="14"/>
        <v>116</v>
      </c>
      <c r="B119" s="18">
        <v>18</v>
      </c>
      <c r="C119" s="17" t="str" cm="1">
        <f t="array" ref="C119">GetValue("Tbl","Alias",B119)</f>
        <v>Col</v>
      </c>
      <c r="D119" s="17" cm="1">
        <f t="array" ref="D119">GetDomainId(C119,G119)</f>
        <v>55</v>
      </c>
      <c r="E119" s="17" t="str" cm="1">
        <f t="array" ref="E119">GetValue("Dmn","Name",D119)</f>
        <v>BigId</v>
      </c>
      <c r="F119" s="17">
        <f t="shared" si="10"/>
        <v>5</v>
      </c>
      <c r="G119" s="17" t="str" cm="1">
        <f t="array" ref="G119">GetColumnName(C119,IF(B119=B118,G118,""))</f>
        <v>Id</v>
      </c>
      <c r="H119" s="17" t="str">
        <f t="shared" si="11"/>
        <v>Id</v>
      </c>
      <c r="I119" s="17" t="str">
        <f t="shared" si="12"/>
        <v>Id</v>
      </c>
      <c r="J119" s="17"/>
      <c r="K119" s="17" t="b">
        <v>0</v>
      </c>
      <c r="L119" s="17" t="b" cm="1">
        <f t="array" ref="L119">IsPrimaryKey(A119)</f>
        <v>1</v>
      </c>
      <c r="M119" s="17" t="b" cm="1">
        <f t="array" ref="M119">IsAutoincrement(A119)</f>
        <v>1</v>
      </c>
      <c r="N119" s="17" t="b" cm="1">
        <f t="array" ref="N119">IsUnique(A119)</f>
        <v>0</v>
      </c>
      <c r="O119" s="17" t="str" cm="1">
        <f t="array" ref="O119">IsFilterable(A119)</f>
        <v/>
      </c>
      <c r="P119" s="17" t="str" cm="1">
        <f t="array" ref="P119">IsEditable(A119)</f>
        <v/>
      </c>
      <c r="Q119" s="17" t="str" cm="1">
        <f t="array" ref="Q119">IsGridable(A119)</f>
        <v/>
      </c>
      <c r="R119" s="17" t="str" cm="1">
        <f t="array" ref="R119">IsListable(A119)</f>
        <v/>
      </c>
      <c r="S119" s="17" t="str" cm="1">
        <f t="array" ref="S119">IsEncrypted(A119)</f>
        <v/>
      </c>
      <c r="T119" s="17" t="str" cm="1">
        <f t="array" ref="T119">IsInWords(A119)</f>
        <v/>
      </c>
      <c r="U119" s="17" t="b">
        <v>0</v>
      </c>
    </row>
    <row r="120" spans="1:21">
      <c r="A120" s="17">
        <f t="shared" si="14"/>
        <v>117</v>
      </c>
      <c r="B120" s="18">
        <v>18</v>
      </c>
      <c r="C120" s="17" t="str" cm="1">
        <f t="array" ref="C120">GetValue("Tbl","Alias",B120)</f>
        <v>Col</v>
      </c>
      <c r="D120" s="17" cm="1">
        <f t="array" ref="D120">GetDomainId(C120,G120)</f>
        <v>55</v>
      </c>
      <c r="E120" s="17" t="str" cm="1">
        <f t="array" ref="E120">GetValue("Dmn","Name",D120)</f>
        <v>BigId</v>
      </c>
      <c r="F120" s="17">
        <f t="shared" si="10"/>
        <v>10</v>
      </c>
      <c r="G120" s="17" t="str" cm="1">
        <f t="array" ref="G120">GetColumnName(C120,IF(B120=B119,G119,""))</f>
        <v>TableId</v>
      </c>
      <c r="H120" s="17" t="str">
        <f t="shared" si="11"/>
        <v>TableId</v>
      </c>
      <c r="I120" s="17" t="str">
        <f t="shared" si="12"/>
        <v>TableId</v>
      </c>
      <c r="J120" s="17"/>
      <c r="K120" s="17" t="b">
        <v>0</v>
      </c>
      <c r="L120" s="17" t="b" cm="1">
        <f t="array" ref="L120">IsPrimaryKey(A120)</f>
        <v>0</v>
      </c>
      <c r="M120" s="17" t="b" cm="1">
        <f t="array" ref="M120">IsAutoincrement(A120)</f>
        <v>0</v>
      </c>
      <c r="N120" s="17" t="b" cm="1">
        <f t="array" ref="N120">IsUnique(A120)</f>
        <v>0</v>
      </c>
      <c r="O120" s="17" t="b" cm="1">
        <f t="array" ref="O120">IsFilterable(A120)</f>
        <v>1</v>
      </c>
      <c r="P120" s="17" t="b" cm="1">
        <f t="array" ref="P120">IsEditable(A120)</f>
        <v>1</v>
      </c>
      <c r="Q120" s="17" t="b" cm="1">
        <f t="array" ref="Q120">IsGridable(A120)</f>
        <v>1</v>
      </c>
      <c r="R120" s="17" t="str" cm="1">
        <f t="array" ref="R120">IsListable(A120)</f>
        <v/>
      </c>
      <c r="S120" s="17" t="str" cm="1">
        <f t="array" ref="S120">IsEncrypted(A120)</f>
        <v/>
      </c>
      <c r="T120" s="17" t="b" cm="1">
        <f t="array" ref="T120">IsInWords(A120)</f>
        <v>0</v>
      </c>
      <c r="U120" s="17" t="b">
        <v>0</v>
      </c>
    </row>
    <row r="121" spans="1:21">
      <c r="A121" s="17">
        <f t="shared" si="14"/>
        <v>118</v>
      </c>
      <c r="B121" s="18">
        <v>18</v>
      </c>
      <c r="C121" s="17" t="str" cm="1">
        <f t="array" ref="C121">GetValue("Tbl","Alias",B121)</f>
        <v>Col</v>
      </c>
      <c r="D121" s="17" cm="1">
        <f t="array" ref="D121">GetDomainId(C121,G121)</f>
        <v>55</v>
      </c>
      <c r="E121" s="17" t="str" cm="1">
        <f t="array" ref="E121">GetValue("Dmn","Name",D121)</f>
        <v>BigId</v>
      </c>
      <c r="F121" s="17">
        <f t="shared" si="10"/>
        <v>15</v>
      </c>
      <c r="G121" s="17" t="str" cm="1">
        <f t="array" ref="G121">GetColumnName(C121,IF(B121=B120,G120,""))</f>
        <v>DomainId</v>
      </c>
      <c r="H121" s="17" t="str">
        <f t="shared" si="11"/>
        <v>DomainId</v>
      </c>
      <c r="I121" s="17" t="str">
        <f t="shared" si="12"/>
        <v>DomainId</v>
      </c>
      <c r="J121" s="17"/>
      <c r="K121" s="17" t="b">
        <v>1</v>
      </c>
      <c r="L121" s="17" t="b" cm="1">
        <f t="array" ref="L121">IsPrimaryKey(A121)</f>
        <v>0</v>
      </c>
      <c r="M121" s="17" t="b" cm="1">
        <f t="array" ref="M121">IsAutoincrement(A121)</f>
        <v>0</v>
      </c>
      <c r="N121" s="17" t="b" cm="1">
        <f t="array" ref="N121">IsUnique(A121)</f>
        <v>0</v>
      </c>
      <c r="O121" s="17" t="b" cm="1">
        <f t="array" ref="O121">IsFilterable(A121)</f>
        <v>1</v>
      </c>
      <c r="P121" s="17" t="b" cm="1">
        <f t="array" ref="P121">IsEditable(A121)</f>
        <v>1</v>
      </c>
      <c r="Q121" s="17" t="b" cm="1">
        <f t="array" ref="Q121">IsGridable(A121)</f>
        <v>1</v>
      </c>
      <c r="R121" s="17" t="str" cm="1">
        <f t="array" ref="R121">IsListable(A121)</f>
        <v/>
      </c>
      <c r="S121" s="17" t="str" cm="1">
        <f t="array" ref="S121">IsEncrypted(A121)</f>
        <v/>
      </c>
      <c r="T121" s="17" t="b" cm="1">
        <f t="array" ref="T121">IsInWords(A121)</f>
        <v>0</v>
      </c>
      <c r="U121" s="17" t="b">
        <v>0</v>
      </c>
    </row>
    <row r="122" spans="1:21">
      <c r="A122" s="17">
        <f t="shared" si="14"/>
        <v>119</v>
      </c>
      <c r="B122" s="18">
        <v>18</v>
      </c>
      <c r="C122" s="17" t="str" cm="1">
        <f t="array" ref="C122">GetValue("Tbl","Alias",B122)</f>
        <v>Col</v>
      </c>
      <c r="D122" s="17" cm="1">
        <f t="array" ref="D122">GetDomainId(C122,G122)</f>
        <v>59</v>
      </c>
      <c r="E122" s="17" t="str" cm="1">
        <f t="array" ref="E122">GetValue("Dmn","Name",D122)</f>
        <v>SEQUENCE</v>
      </c>
      <c r="F122" s="17">
        <f t="shared" si="10"/>
        <v>20</v>
      </c>
      <c r="G122" s="17" t="str" cm="1">
        <f t="array" ref="G122">GetColumnName(C122,IF(B122=B121,G121,""))</f>
        <v>Sequence</v>
      </c>
      <c r="H122" s="17" t="str">
        <f t="shared" ref="H122:H184" si="15">G122</f>
        <v>Sequence</v>
      </c>
      <c r="I122" s="17" t="str">
        <f t="shared" ref="I122:I184" si="16">G122</f>
        <v>Sequence</v>
      </c>
      <c r="J122" s="17"/>
      <c r="K122" s="17" t="b">
        <v>1</v>
      </c>
      <c r="L122" s="17" t="b" cm="1">
        <f t="array" ref="L122">IsPrimaryKey(A122)</f>
        <v>0</v>
      </c>
      <c r="M122" s="17" t="b" cm="1">
        <f t="array" ref="M122">IsAutoincrement(A122)</f>
        <v>0</v>
      </c>
      <c r="N122" s="17" t="b" cm="1">
        <f t="array" ref="N122">IsUnique(A122)</f>
        <v>0</v>
      </c>
      <c r="O122" s="17" t="b" cm="1">
        <f t="array" ref="O122">IsFilterable(A122)</f>
        <v>1</v>
      </c>
      <c r="P122" s="17" t="b" cm="1">
        <f t="array" ref="P122">IsEditable(A122)</f>
        <v>1</v>
      </c>
      <c r="Q122" s="17" t="b" cm="1">
        <f t="array" ref="Q122">IsGridable(A122)</f>
        <v>1</v>
      </c>
      <c r="R122" s="17" t="str" cm="1">
        <f t="array" ref="R122">IsListable(A122)</f>
        <v/>
      </c>
      <c r="S122" s="17" t="str" cm="1">
        <f t="array" ref="S122">IsEncrypted(A122)</f>
        <v/>
      </c>
      <c r="T122" s="17" t="b" cm="1">
        <f t="array" ref="T122">IsInWords(A122)</f>
        <v>0</v>
      </c>
      <c r="U122" s="17" t="b">
        <v>0</v>
      </c>
    </row>
    <row r="123" spans="1:21">
      <c r="A123" s="17">
        <f t="shared" si="14"/>
        <v>120</v>
      </c>
      <c r="B123" s="18">
        <v>18</v>
      </c>
      <c r="C123" s="17" t="str" cm="1">
        <f t="array" ref="C123">GetValue("Tbl","Alias",B123)</f>
        <v>Col</v>
      </c>
      <c r="D123" s="17" cm="1">
        <f t="array" ref="D123">GetDomainId(C123,G123)</f>
        <v>11</v>
      </c>
      <c r="E123" s="17" t="str" cm="1">
        <f t="array" ref="E123">GetValue("Dmn","Name",D123)</f>
        <v>NVARCHAR(25)</v>
      </c>
      <c r="F123" s="17">
        <f t="shared" si="10"/>
        <v>25</v>
      </c>
      <c r="G123" s="17" t="str" cm="1">
        <f t="array" ref="G123">GetColumnName(C123,IF(B123=B122,G122,""))</f>
        <v>Name</v>
      </c>
      <c r="H123" s="17" t="str">
        <f t="shared" si="15"/>
        <v>Name</v>
      </c>
      <c r="I123" s="17" t="str">
        <f t="shared" si="16"/>
        <v>Name</v>
      </c>
      <c r="J123" s="17"/>
      <c r="K123" s="17" t="b">
        <v>1</v>
      </c>
      <c r="L123" s="17" t="b" cm="1">
        <f t="array" ref="L123">IsPrimaryKey(A123)</f>
        <v>0</v>
      </c>
      <c r="M123" s="17" t="str" cm="1">
        <f t="array" ref="M123">IsAutoincrement(A123)</f>
        <v/>
      </c>
      <c r="N123" s="17" t="b" cm="1">
        <f t="array" ref="N123">IsUnique(A123)</f>
        <v>0</v>
      </c>
      <c r="O123" s="17" t="b" cm="1">
        <f t="array" ref="O123">IsFilterable(A123)</f>
        <v>1</v>
      </c>
      <c r="P123" s="17" t="b" cm="1">
        <f t="array" ref="P123">IsEditable(A123)</f>
        <v>1</v>
      </c>
      <c r="Q123" s="17" t="b" cm="1">
        <f t="array" ref="Q123">IsGridable(A123)</f>
        <v>1</v>
      </c>
      <c r="R123" s="17" t="b" cm="1">
        <f t="array" ref="R123">IsListable(A123)</f>
        <v>0</v>
      </c>
      <c r="S123" s="17" t="b" cm="1">
        <f t="array" ref="S123">IsEncrypted(A123)</f>
        <v>0</v>
      </c>
      <c r="T123" s="17" t="str" cm="1">
        <f t="array" ref="T123">IsInWords(A123)</f>
        <v/>
      </c>
      <c r="U123" s="17" t="b">
        <v>0</v>
      </c>
    </row>
    <row r="124" spans="1:21">
      <c r="A124" s="17">
        <f t="shared" si="14"/>
        <v>121</v>
      </c>
      <c r="B124" s="18">
        <v>18</v>
      </c>
      <c r="C124" s="17" t="str" cm="1">
        <f t="array" ref="C124">GetValue("Tbl","Alias",B124)</f>
        <v>Col</v>
      </c>
      <c r="D124" s="17" cm="1">
        <f t="array" ref="D124">GetDomainId(C124,G124)</f>
        <v>12</v>
      </c>
      <c r="E124" s="17" t="str" cm="1">
        <f t="array" ref="E124">GetValue("Dmn","Name",D124)</f>
        <v>NVARCHAR(50)</v>
      </c>
      <c r="F124" s="17">
        <f t="shared" si="10"/>
        <v>30</v>
      </c>
      <c r="G124" s="17" t="str" cm="1">
        <f t="array" ref="G124">GetColumnName(C124,IF(B124=B123,G123,""))</f>
        <v>Description</v>
      </c>
      <c r="H124" s="17" t="str">
        <f t="shared" si="15"/>
        <v>Description</v>
      </c>
      <c r="I124" s="17" t="str">
        <f t="shared" si="16"/>
        <v>Description</v>
      </c>
      <c r="J124" s="17"/>
      <c r="K124" s="17" t="b">
        <v>1</v>
      </c>
      <c r="L124" s="17" t="b" cm="1">
        <f t="array" ref="L124">IsPrimaryKey(A124)</f>
        <v>0</v>
      </c>
      <c r="M124" s="17" t="str" cm="1">
        <f t="array" ref="M124">IsAutoincrement(A124)</f>
        <v/>
      </c>
      <c r="N124" s="17" t="b" cm="1">
        <f t="array" ref="N124">IsUnique(A124)</f>
        <v>0</v>
      </c>
      <c r="O124" s="17" t="b" cm="1">
        <f t="array" ref="O124">IsFilterable(A124)</f>
        <v>1</v>
      </c>
      <c r="P124" s="17" t="b" cm="1">
        <f t="array" ref="P124">IsEditable(A124)</f>
        <v>1</v>
      </c>
      <c r="Q124" s="17" t="b" cm="1">
        <f t="array" ref="Q124">IsGridable(A124)</f>
        <v>1</v>
      </c>
      <c r="R124" s="17" t="b" cm="1">
        <f t="array" ref="R124">IsListable(A124)</f>
        <v>0</v>
      </c>
      <c r="S124" s="17" t="b" cm="1">
        <f t="array" ref="S124">IsEncrypted(A124)</f>
        <v>0</v>
      </c>
      <c r="T124" s="17" t="str" cm="1">
        <f t="array" ref="T124">IsInWords(A124)</f>
        <v/>
      </c>
      <c r="U124" s="17" t="b">
        <v>0</v>
      </c>
    </row>
    <row r="125" spans="1:21">
      <c r="A125" s="17">
        <f t="shared" si="14"/>
        <v>122</v>
      </c>
      <c r="B125" s="18">
        <v>18</v>
      </c>
      <c r="C125" s="17" t="str" cm="1">
        <f t="array" ref="C125">GetValue("Tbl","Alias",B125)</f>
        <v>Col</v>
      </c>
      <c r="D125" s="17" cm="1">
        <f t="array" ref="D125">GetDomainId(C125,G125)</f>
        <v>10</v>
      </c>
      <c r="E125" s="17" t="str" cm="1">
        <f t="array" ref="E125">GetValue("Dmn","Name",D125)</f>
        <v>NVARCHAR(20)</v>
      </c>
      <c r="F125" s="17">
        <f t="shared" si="10"/>
        <v>35</v>
      </c>
      <c r="G125" s="17" t="str" cm="1">
        <f t="array" ref="G125">GetColumnName(C125,IF(B125=B124,G124,""))</f>
        <v>Caption</v>
      </c>
      <c r="H125" s="17" t="str">
        <f t="shared" si="15"/>
        <v>Caption</v>
      </c>
      <c r="I125" s="17" t="str">
        <f t="shared" si="16"/>
        <v>Caption</v>
      </c>
      <c r="J125" s="17"/>
      <c r="K125" s="17" t="b">
        <v>1</v>
      </c>
      <c r="L125" s="17" t="b" cm="1">
        <f t="array" ref="L125">IsPrimaryKey(A125)</f>
        <v>0</v>
      </c>
      <c r="M125" s="17" t="str" cm="1">
        <f t="array" ref="M125">IsAutoincrement(A125)</f>
        <v/>
      </c>
      <c r="N125" s="17" t="b" cm="1">
        <f t="array" ref="N125">IsUnique(A125)</f>
        <v>0</v>
      </c>
      <c r="O125" s="17" t="b" cm="1">
        <f t="array" ref="O125">IsFilterable(A125)</f>
        <v>1</v>
      </c>
      <c r="P125" s="17" t="b" cm="1">
        <f t="array" ref="P125">IsEditable(A125)</f>
        <v>1</v>
      </c>
      <c r="Q125" s="17" t="b" cm="1">
        <f t="array" ref="Q125">IsGridable(A125)</f>
        <v>1</v>
      </c>
      <c r="R125" s="17" t="b" cm="1">
        <f t="array" ref="R125">IsListable(A125)</f>
        <v>0</v>
      </c>
      <c r="S125" s="17" t="b" cm="1">
        <f t="array" ref="S125">IsEncrypted(A125)</f>
        <v>0</v>
      </c>
      <c r="T125" s="17" t="str" cm="1">
        <f t="array" ref="T125">IsInWords(A125)</f>
        <v/>
      </c>
      <c r="U125" s="17" t="b">
        <v>0</v>
      </c>
    </row>
    <row r="126" spans="1:21">
      <c r="A126" s="17">
        <f t="shared" si="14"/>
        <v>123</v>
      </c>
      <c r="B126" s="18">
        <v>18</v>
      </c>
      <c r="C126" s="17" t="str" cm="1">
        <f t="array" ref="C126">GetValue("Tbl","Alias",B126)</f>
        <v>Col</v>
      </c>
      <c r="D126" s="17" cm="1">
        <f t="array" ref="D126">GetDomainId(C126,G126)</f>
        <v>4</v>
      </c>
      <c r="E126" s="17" t="str" cm="1">
        <f t="array" ref="E126">GetValue("Dmn","Name",D126)</f>
        <v>TinyInteger</v>
      </c>
      <c r="F126" s="17">
        <f t="shared" si="10"/>
        <v>40</v>
      </c>
      <c r="G126" s="17" t="str" cm="1">
        <f t="array" ref="G126">GetColumnName(C126,IF(B126=B125,G125,""))</f>
        <v>RequireGroup</v>
      </c>
      <c r="H126" s="17" t="str">
        <f t="shared" si="15"/>
        <v>RequireGroup</v>
      </c>
      <c r="I126" s="17" t="str">
        <f t="shared" si="16"/>
        <v>RequireGroup</v>
      </c>
      <c r="J126" s="17"/>
      <c r="K126" s="17" t="b">
        <v>1</v>
      </c>
      <c r="L126" s="17" t="b" cm="1">
        <f t="array" ref="L126">IsPrimaryKey(A126)</f>
        <v>0</v>
      </c>
      <c r="M126" s="17" t="b" cm="1">
        <f t="array" ref="M126">IsAutoincrement(A126)</f>
        <v>0</v>
      </c>
      <c r="N126" s="17" t="b" cm="1">
        <f t="array" ref="N126">IsUnique(A126)</f>
        <v>0</v>
      </c>
      <c r="O126" s="17" t="b" cm="1">
        <f t="array" ref="O126">IsFilterable(A126)</f>
        <v>1</v>
      </c>
      <c r="P126" s="17" t="b" cm="1">
        <f t="array" ref="P126">IsEditable(A126)</f>
        <v>1</v>
      </c>
      <c r="Q126" s="17" t="b" cm="1">
        <f t="array" ref="Q126">IsGridable(A126)</f>
        <v>1</v>
      </c>
      <c r="R126" s="17" t="str" cm="1">
        <f t="array" ref="R126">IsListable(A126)</f>
        <v/>
      </c>
      <c r="S126" s="17" t="str" cm="1">
        <f t="array" ref="S126">IsEncrypted(A126)</f>
        <v/>
      </c>
      <c r="T126" s="17" t="b" cm="1">
        <f t="array" ref="T126">IsInWords(A126)</f>
        <v>0</v>
      </c>
      <c r="U126" s="17" t="b">
        <v>0</v>
      </c>
    </row>
    <row r="127" spans="1:21">
      <c r="A127" s="17">
        <f t="shared" si="14"/>
        <v>124</v>
      </c>
      <c r="B127" s="18">
        <v>18</v>
      </c>
      <c r="C127" s="17" t="str" cm="1">
        <f t="array" ref="C127">GetValue("Tbl","Alias",B127)</f>
        <v>Col</v>
      </c>
      <c r="D127" s="17" cm="1">
        <f t="array" ref="D127">GetDomainId(C127,G127)</f>
        <v>5</v>
      </c>
      <c r="E127" s="17" t="str" cm="1">
        <f t="array" ref="E127">GetValue("Dmn","Name",D127)</f>
        <v>Boolean</v>
      </c>
      <c r="F127" s="17">
        <f t="shared" si="10"/>
        <v>45</v>
      </c>
      <c r="G127" s="17" t="str" cm="1">
        <f t="array" ref="G127">GetColumnName(C127,IF(B127=B126,G126,""))</f>
        <v>IsRequired</v>
      </c>
      <c r="H127" s="17" t="str">
        <f t="shared" si="15"/>
        <v>IsRequired</v>
      </c>
      <c r="I127" s="17" t="str">
        <f t="shared" si="16"/>
        <v>IsRequired</v>
      </c>
      <c r="J127" s="17"/>
      <c r="K127" s="17" t="b">
        <v>1</v>
      </c>
      <c r="L127" s="17" t="b" cm="1">
        <f t="array" ref="L127">IsPrimaryKey(A127)</f>
        <v>0</v>
      </c>
      <c r="M127" s="17" t="str" cm="1">
        <f t="array" ref="M127">IsAutoincrement(A127)</f>
        <v/>
      </c>
      <c r="N127" s="17" t="str" cm="1">
        <f t="array" ref="N127">IsUnique(A127)</f>
        <v/>
      </c>
      <c r="O127" s="17" t="b" cm="1">
        <f t="array" ref="O127">IsFilterable(A127)</f>
        <v>1</v>
      </c>
      <c r="P127" s="17" t="b" cm="1">
        <f t="array" ref="P127">IsEditable(A127)</f>
        <v>1</v>
      </c>
      <c r="Q127" s="17" t="b" cm="1">
        <f t="array" ref="Q127">IsGridable(A127)</f>
        <v>1</v>
      </c>
      <c r="R127" s="17" t="str" cm="1">
        <f t="array" ref="R127">IsListable(A127)</f>
        <v/>
      </c>
      <c r="S127" s="17" t="str" cm="1">
        <f t="array" ref="S127">IsEncrypted(A127)</f>
        <v/>
      </c>
      <c r="T127" s="17" t="str" cm="1">
        <f t="array" ref="T127">IsInWords(A127)</f>
        <v/>
      </c>
      <c r="U127" s="17" t="b">
        <v>0</v>
      </c>
    </row>
    <row r="128" spans="1:21">
      <c r="A128" s="17">
        <f t="shared" si="14"/>
        <v>125</v>
      </c>
      <c r="B128" s="18">
        <v>18</v>
      </c>
      <c r="C128" s="17" t="str" cm="1">
        <f t="array" ref="C128">GetValue("Tbl","Alias",B128)</f>
        <v>Col</v>
      </c>
      <c r="D128" s="17" cm="1">
        <f t="array" ref="D128">GetDomainId(C128,G128)</f>
        <v>5</v>
      </c>
      <c r="E128" s="17" t="str" cm="1">
        <f t="array" ref="E128">GetValue("Dmn","Name",D128)</f>
        <v>Boolean</v>
      </c>
      <c r="F128" s="17">
        <f t="shared" si="10"/>
        <v>50</v>
      </c>
      <c r="G128" s="17" t="str" cm="1">
        <f t="array" ref="G128">GetColumnName(C128,IF(B128=B127,G127,""))</f>
        <v>IsPrimarykey</v>
      </c>
      <c r="H128" s="17" t="str">
        <f t="shared" si="15"/>
        <v>IsPrimarykey</v>
      </c>
      <c r="I128" s="17" t="str">
        <f t="shared" si="16"/>
        <v>IsPrimarykey</v>
      </c>
      <c r="J128" s="17"/>
      <c r="K128" s="17" t="b">
        <v>1</v>
      </c>
      <c r="L128" s="17" t="b" cm="1">
        <f t="array" ref="L128">IsPrimaryKey(A128)</f>
        <v>0</v>
      </c>
      <c r="M128" s="17" t="str" cm="1">
        <f t="array" ref="M128">IsAutoincrement(A128)</f>
        <v/>
      </c>
      <c r="N128" s="17" t="str" cm="1">
        <f t="array" ref="N128">IsUnique(A128)</f>
        <v/>
      </c>
      <c r="O128" s="17" t="b" cm="1">
        <f t="array" ref="O128">IsFilterable(A128)</f>
        <v>1</v>
      </c>
      <c r="P128" s="17" t="b" cm="1">
        <f t="array" ref="P128">IsEditable(A128)</f>
        <v>1</v>
      </c>
      <c r="Q128" s="17" t="b" cm="1">
        <f t="array" ref="Q128">IsGridable(A128)</f>
        <v>1</v>
      </c>
      <c r="R128" s="17" t="str" cm="1">
        <f t="array" ref="R128">IsListable(A128)</f>
        <v/>
      </c>
      <c r="S128" s="17" t="str" cm="1">
        <f t="array" ref="S128">IsEncrypted(A128)</f>
        <v/>
      </c>
      <c r="T128" s="17" t="str" cm="1">
        <f t="array" ref="T128">IsInWords(A128)</f>
        <v/>
      </c>
      <c r="U128" s="17" t="b">
        <v>0</v>
      </c>
    </row>
    <row r="129" spans="1:21">
      <c r="A129" s="17">
        <f t="shared" si="14"/>
        <v>126</v>
      </c>
      <c r="B129" s="18">
        <v>18</v>
      </c>
      <c r="C129" s="17" t="str" cm="1">
        <f t="array" ref="C129">GetValue("Tbl","Alias",B129)</f>
        <v>Col</v>
      </c>
      <c r="D129" s="17" cm="1">
        <f t="array" ref="D129">GetDomainId(C129,G129)</f>
        <v>5</v>
      </c>
      <c r="E129" s="17" t="str" cm="1">
        <f t="array" ref="E129">GetValue("Dmn","Name",D129)</f>
        <v>Boolean</v>
      </c>
      <c r="F129" s="17">
        <f t="shared" si="10"/>
        <v>55</v>
      </c>
      <c r="G129" s="17" t="str" cm="1">
        <f t="array" ref="G129">GetColumnName(C129,IF(B129=B128,G128,""))</f>
        <v>IsAutoincrement</v>
      </c>
      <c r="H129" s="17" t="str">
        <f t="shared" si="15"/>
        <v>IsAutoincrement</v>
      </c>
      <c r="I129" s="17" t="str">
        <f t="shared" si="16"/>
        <v>IsAutoincrement</v>
      </c>
      <c r="J129" s="17"/>
      <c r="K129" s="17" t="b">
        <v>1</v>
      </c>
      <c r="L129" s="17" t="b" cm="1">
        <f t="array" ref="L129">IsPrimaryKey(A129)</f>
        <v>0</v>
      </c>
      <c r="M129" s="17" t="str" cm="1">
        <f t="array" ref="M129">IsAutoincrement(A129)</f>
        <v/>
      </c>
      <c r="N129" s="17" t="str" cm="1">
        <f t="array" ref="N129">IsUnique(A129)</f>
        <v/>
      </c>
      <c r="O129" s="17" t="b" cm="1">
        <f t="array" ref="O129">IsFilterable(A129)</f>
        <v>1</v>
      </c>
      <c r="P129" s="17" t="b" cm="1">
        <f t="array" ref="P129">IsEditable(A129)</f>
        <v>1</v>
      </c>
      <c r="Q129" s="17" t="b" cm="1">
        <f t="array" ref="Q129">IsGridable(A129)</f>
        <v>1</v>
      </c>
      <c r="R129" s="17" t="str" cm="1">
        <f t="array" ref="R129">IsListable(A129)</f>
        <v/>
      </c>
      <c r="S129" s="17" t="str" cm="1">
        <f t="array" ref="S129">IsEncrypted(A129)</f>
        <v/>
      </c>
      <c r="T129" s="17" t="str" cm="1">
        <f t="array" ref="T129">IsInWords(A129)</f>
        <v/>
      </c>
      <c r="U129" s="17" t="b">
        <v>0</v>
      </c>
    </row>
    <row r="130" spans="1:21">
      <c r="A130" s="17">
        <f t="shared" si="14"/>
        <v>127</v>
      </c>
      <c r="B130" s="18">
        <v>18</v>
      </c>
      <c r="C130" s="17" t="str" cm="1">
        <f t="array" ref="C130">GetValue("Tbl","Alias",B130)</f>
        <v>Col</v>
      </c>
      <c r="D130" s="17" cm="1">
        <f t="array" ref="D130">GetDomainId(C130,G130)</f>
        <v>5</v>
      </c>
      <c r="E130" s="17" t="str" cm="1">
        <f t="array" ref="E130">GetValue("Dmn","Name",D130)</f>
        <v>Boolean</v>
      </c>
      <c r="F130" s="17">
        <f t="shared" si="10"/>
        <v>60</v>
      </c>
      <c r="G130" s="17" t="str" cm="1">
        <f t="array" ref="G130">GetColumnName(C130,IF(B130=B129,G129,""))</f>
        <v>IsUnique</v>
      </c>
      <c r="H130" s="17" t="str">
        <f t="shared" si="15"/>
        <v>IsUnique</v>
      </c>
      <c r="I130" s="17" t="str">
        <f t="shared" si="16"/>
        <v>IsUnique</v>
      </c>
      <c r="J130" s="17"/>
      <c r="K130" s="17" t="b">
        <v>1</v>
      </c>
      <c r="L130" s="17" t="b" cm="1">
        <f t="array" ref="L130">IsPrimaryKey(A130)</f>
        <v>0</v>
      </c>
      <c r="M130" s="17" t="str" cm="1">
        <f t="array" ref="M130">IsAutoincrement(A130)</f>
        <v/>
      </c>
      <c r="N130" s="17" t="str" cm="1">
        <f t="array" ref="N130">IsUnique(A130)</f>
        <v/>
      </c>
      <c r="O130" s="17" t="b" cm="1">
        <f t="array" ref="O130">IsFilterable(A130)</f>
        <v>1</v>
      </c>
      <c r="P130" s="17" t="b" cm="1">
        <f t="array" ref="P130">IsEditable(A130)</f>
        <v>1</v>
      </c>
      <c r="Q130" s="17" t="b" cm="1">
        <f t="array" ref="Q130">IsGridable(A130)</f>
        <v>1</v>
      </c>
      <c r="R130" s="17" t="str" cm="1">
        <f t="array" ref="R130">IsListable(A130)</f>
        <v/>
      </c>
      <c r="S130" s="17" t="str" cm="1">
        <f t="array" ref="S130">IsEncrypted(A130)</f>
        <v/>
      </c>
      <c r="T130" s="17" t="str" cm="1">
        <f t="array" ref="T130">IsInWords(A130)</f>
        <v/>
      </c>
      <c r="U130" s="17" t="b">
        <v>0</v>
      </c>
    </row>
    <row r="131" spans="1:21">
      <c r="A131" s="17">
        <f t="shared" si="14"/>
        <v>128</v>
      </c>
      <c r="B131" s="18">
        <v>18</v>
      </c>
      <c r="C131" s="17" t="str" cm="1">
        <f t="array" ref="C131">GetValue("Tbl","Alias",B131)</f>
        <v>Col</v>
      </c>
      <c r="D131" s="17" cm="1">
        <f t="array" ref="D131">GetDomainId(C131,G131)</f>
        <v>5</v>
      </c>
      <c r="E131" s="17" t="str" cm="1">
        <f t="array" ref="E131">GetValue("Dmn","Name",D131)</f>
        <v>Boolean</v>
      </c>
      <c r="F131" s="17">
        <f t="shared" ref="F131:F193" si="17">IF(G131="Id",5,F130+5)</f>
        <v>65</v>
      </c>
      <c r="G131" s="17" t="str" cm="1">
        <f t="array" ref="G131">GetColumnName(C131,IF(B131=B130,G130,""))</f>
        <v>IsFilterable</v>
      </c>
      <c r="H131" s="17" t="str">
        <f t="shared" si="15"/>
        <v>IsFilterable</v>
      </c>
      <c r="I131" s="17" t="str">
        <f t="shared" si="16"/>
        <v>IsFilterable</v>
      </c>
      <c r="J131" s="17"/>
      <c r="K131" s="17" t="b">
        <v>1</v>
      </c>
      <c r="L131" s="17" t="b" cm="1">
        <f t="array" ref="L131">IsPrimaryKey(A131)</f>
        <v>0</v>
      </c>
      <c r="M131" s="17" t="str" cm="1">
        <f t="array" ref="M131">IsAutoincrement(A131)</f>
        <v/>
      </c>
      <c r="N131" s="17" t="str" cm="1">
        <f t="array" ref="N131">IsUnique(A131)</f>
        <v/>
      </c>
      <c r="O131" s="17" t="b" cm="1">
        <f t="array" ref="O131">IsFilterable(A131)</f>
        <v>1</v>
      </c>
      <c r="P131" s="17" t="b" cm="1">
        <f t="array" ref="P131">IsEditable(A131)</f>
        <v>1</v>
      </c>
      <c r="Q131" s="17" t="b" cm="1">
        <f t="array" ref="Q131">IsGridable(A131)</f>
        <v>1</v>
      </c>
      <c r="R131" s="17" t="str" cm="1">
        <f t="array" ref="R131">IsListable(A131)</f>
        <v/>
      </c>
      <c r="S131" s="17" t="str" cm="1">
        <f t="array" ref="S131">IsEncrypted(A131)</f>
        <v/>
      </c>
      <c r="T131" s="17" t="str" cm="1">
        <f t="array" ref="T131">IsInWords(A131)</f>
        <v/>
      </c>
      <c r="U131" s="17" t="b">
        <v>0</v>
      </c>
    </row>
    <row r="132" spans="1:21">
      <c r="A132" s="17">
        <f t="shared" si="14"/>
        <v>129</v>
      </c>
      <c r="B132" s="18">
        <v>18</v>
      </c>
      <c r="C132" s="17" t="str" cm="1">
        <f t="array" ref="C132">GetValue("Tbl","Alias",B132)</f>
        <v>Col</v>
      </c>
      <c r="D132" s="17" cm="1">
        <f t="array" ref="D132">GetDomainId(C132,G132)</f>
        <v>5</v>
      </c>
      <c r="E132" s="17" t="str" cm="1">
        <f t="array" ref="E132">GetValue("Dmn","Name",D132)</f>
        <v>Boolean</v>
      </c>
      <c r="F132" s="17">
        <f t="shared" si="17"/>
        <v>70</v>
      </c>
      <c r="G132" s="17" t="str" cm="1">
        <f t="array" ref="G132">GetColumnName(C132,IF(B132=B131,G131,""))</f>
        <v>IsEditable</v>
      </c>
      <c r="H132" s="17" t="str">
        <f t="shared" si="15"/>
        <v>IsEditable</v>
      </c>
      <c r="I132" s="17" t="str">
        <f t="shared" si="16"/>
        <v>IsEditable</v>
      </c>
      <c r="J132" s="17"/>
      <c r="K132" s="17" t="b">
        <v>1</v>
      </c>
      <c r="L132" s="17" t="b" cm="1">
        <f t="array" ref="L132">IsPrimaryKey(A132)</f>
        <v>0</v>
      </c>
      <c r="M132" s="17" t="str" cm="1">
        <f t="array" ref="M132">IsAutoincrement(A132)</f>
        <v/>
      </c>
      <c r="N132" s="17" t="str" cm="1">
        <f t="array" ref="N132">IsUnique(A132)</f>
        <v/>
      </c>
      <c r="O132" s="17" t="b" cm="1">
        <f t="array" ref="O132">IsFilterable(A132)</f>
        <v>1</v>
      </c>
      <c r="P132" s="17" t="b" cm="1">
        <f t="array" ref="P132">IsEditable(A132)</f>
        <v>1</v>
      </c>
      <c r="Q132" s="17" t="b" cm="1">
        <f t="array" ref="Q132">IsGridable(A132)</f>
        <v>1</v>
      </c>
      <c r="R132" s="17" t="str" cm="1">
        <f t="array" ref="R132">IsListable(A132)</f>
        <v/>
      </c>
      <c r="S132" s="17" t="str" cm="1">
        <f t="array" ref="S132">IsEncrypted(A132)</f>
        <v/>
      </c>
      <c r="T132" s="17" t="str" cm="1">
        <f t="array" ref="T132">IsInWords(A132)</f>
        <v/>
      </c>
      <c r="U132" s="17" t="b">
        <v>0</v>
      </c>
    </row>
    <row r="133" spans="1:21">
      <c r="A133" s="17">
        <f t="shared" si="14"/>
        <v>130</v>
      </c>
      <c r="B133" s="18">
        <v>18</v>
      </c>
      <c r="C133" s="17" t="str" cm="1">
        <f t="array" ref="C133">GetValue("Tbl","Alias",B133)</f>
        <v>Col</v>
      </c>
      <c r="D133" s="17" cm="1">
        <f t="array" ref="D133">GetDomainId(C133,G133)</f>
        <v>5</v>
      </c>
      <c r="E133" s="17" t="str" cm="1">
        <f t="array" ref="E133">GetValue("Dmn","Name",D133)</f>
        <v>Boolean</v>
      </c>
      <c r="F133" s="17">
        <f t="shared" si="17"/>
        <v>75</v>
      </c>
      <c r="G133" s="17" t="str" cm="1">
        <f t="array" ref="G133">GetColumnName(C133,IF(B133=B132,G132,""))</f>
        <v>IsGridable</v>
      </c>
      <c r="H133" s="17" t="str">
        <f t="shared" si="15"/>
        <v>IsGridable</v>
      </c>
      <c r="I133" s="17" t="str">
        <f t="shared" si="16"/>
        <v>IsGridable</v>
      </c>
      <c r="J133" s="17"/>
      <c r="K133" s="17" t="b">
        <v>1</v>
      </c>
      <c r="L133" s="17" t="b" cm="1">
        <f t="array" ref="L133">IsPrimaryKey(A133)</f>
        <v>0</v>
      </c>
      <c r="M133" s="17" t="str" cm="1">
        <f t="array" ref="M133">IsAutoincrement(A133)</f>
        <v/>
      </c>
      <c r="N133" s="17" t="str" cm="1">
        <f t="array" ref="N133">IsUnique(A133)</f>
        <v/>
      </c>
      <c r="O133" s="17" t="b" cm="1">
        <f t="array" ref="O133">IsFilterable(A133)</f>
        <v>1</v>
      </c>
      <c r="P133" s="17" t="b" cm="1">
        <f t="array" ref="P133">IsEditable(A133)</f>
        <v>1</v>
      </c>
      <c r="Q133" s="17" t="b" cm="1">
        <f t="array" ref="Q133">IsGridable(A133)</f>
        <v>1</v>
      </c>
      <c r="R133" s="17" t="str" cm="1">
        <f t="array" ref="R133">IsListable(A133)</f>
        <v/>
      </c>
      <c r="S133" s="17" t="str" cm="1">
        <f t="array" ref="S133">IsEncrypted(A133)</f>
        <v/>
      </c>
      <c r="T133" s="17" t="str" cm="1">
        <f t="array" ref="T133">IsInWords(A133)</f>
        <v/>
      </c>
      <c r="U133" s="17" t="b">
        <v>0</v>
      </c>
    </row>
    <row r="134" spans="1:21">
      <c r="A134" s="17">
        <f t="shared" si="14"/>
        <v>131</v>
      </c>
      <c r="B134" s="18">
        <v>18</v>
      </c>
      <c r="C134" s="17" t="str" cm="1">
        <f t="array" ref="C134">GetValue("Tbl","Alias",B134)</f>
        <v>Col</v>
      </c>
      <c r="D134" s="17" cm="1">
        <f t="array" ref="D134">GetDomainId(C134,G134)</f>
        <v>5</v>
      </c>
      <c r="E134" s="17" t="str" cm="1">
        <f t="array" ref="E134">GetValue("Dmn","Name",D134)</f>
        <v>Boolean</v>
      </c>
      <c r="F134" s="17">
        <f t="shared" si="17"/>
        <v>80</v>
      </c>
      <c r="G134" s="17" t="str" cm="1">
        <f t="array" ref="G134">GetColumnName(C134,IF(B134=B133,G133,""))</f>
        <v>IsListable</v>
      </c>
      <c r="H134" s="17" t="str">
        <f t="shared" si="15"/>
        <v>IsListable</v>
      </c>
      <c r="I134" s="17" t="str">
        <f t="shared" si="16"/>
        <v>IsListable</v>
      </c>
      <c r="J134" s="17"/>
      <c r="K134" s="17" t="b">
        <v>1</v>
      </c>
      <c r="L134" s="17" t="b" cm="1">
        <f t="array" ref="L134">IsPrimaryKey(A134)</f>
        <v>0</v>
      </c>
      <c r="M134" s="17" t="str" cm="1">
        <f t="array" ref="M134">IsAutoincrement(A134)</f>
        <v/>
      </c>
      <c r="N134" s="17" t="str" cm="1">
        <f t="array" ref="N134">IsUnique(A134)</f>
        <v/>
      </c>
      <c r="O134" s="17" t="b" cm="1">
        <f t="array" ref="O134">IsFilterable(A134)</f>
        <v>1</v>
      </c>
      <c r="P134" s="17" t="b" cm="1">
        <f t="array" ref="P134">IsEditable(A134)</f>
        <v>1</v>
      </c>
      <c r="Q134" s="17" t="b" cm="1">
        <f t="array" ref="Q134">IsGridable(A134)</f>
        <v>1</v>
      </c>
      <c r="R134" s="17" t="str" cm="1">
        <f t="array" ref="R134">IsListable(A134)</f>
        <v/>
      </c>
      <c r="S134" s="17" t="str" cm="1">
        <f t="array" ref="S134">IsEncrypted(A134)</f>
        <v/>
      </c>
      <c r="T134" s="17" t="str" cm="1">
        <f t="array" ref="T134">IsInWords(A134)</f>
        <v/>
      </c>
      <c r="U134" s="17" t="b">
        <v>0</v>
      </c>
    </row>
    <row r="135" spans="1:21">
      <c r="A135" s="17">
        <f t="shared" si="14"/>
        <v>132</v>
      </c>
      <c r="B135" s="18">
        <v>18</v>
      </c>
      <c r="C135" s="17" t="str" cm="1">
        <f t="array" ref="C135">GetValue("Tbl","Alias",B135)</f>
        <v>Col</v>
      </c>
      <c r="D135" s="17" cm="1">
        <f t="array" ref="D135">GetDomainId(C135,G135)</f>
        <v>5</v>
      </c>
      <c r="E135" s="17" t="str" cm="1">
        <f t="array" ref="E135">GetValue("Dmn","Name",D135)</f>
        <v>Boolean</v>
      </c>
      <c r="F135" s="17">
        <f t="shared" si="17"/>
        <v>85</v>
      </c>
      <c r="G135" s="17" t="str" cm="1">
        <f t="array" ref="G135">GetColumnName(C135,IF(B135=B134,G134,""))</f>
        <v>IsEncrypted</v>
      </c>
      <c r="H135" s="17" t="str">
        <f t="shared" si="15"/>
        <v>IsEncrypted</v>
      </c>
      <c r="I135" s="17" t="str">
        <f t="shared" si="16"/>
        <v>IsEncrypted</v>
      </c>
      <c r="J135" s="17"/>
      <c r="K135" s="17" t="b">
        <v>1</v>
      </c>
      <c r="L135" s="17" t="b" cm="1">
        <f t="array" ref="L135">IsPrimaryKey(A135)</f>
        <v>0</v>
      </c>
      <c r="M135" s="17" t="str" cm="1">
        <f t="array" ref="M135">IsAutoincrement(A135)</f>
        <v/>
      </c>
      <c r="N135" s="17" t="str" cm="1">
        <f t="array" ref="N135">IsUnique(A135)</f>
        <v/>
      </c>
      <c r="O135" s="17" t="b" cm="1">
        <f t="array" ref="O135">IsFilterable(A135)</f>
        <v>1</v>
      </c>
      <c r="P135" s="17" t="b" cm="1">
        <f t="array" ref="P135">IsEditable(A135)</f>
        <v>1</v>
      </c>
      <c r="Q135" s="17" t="b" cm="1">
        <f t="array" ref="Q135">IsGridable(A135)</f>
        <v>1</v>
      </c>
      <c r="R135" s="17" t="str" cm="1">
        <f t="array" ref="R135">IsListable(A135)</f>
        <v/>
      </c>
      <c r="S135" s="17" t="str" cm="1">
        <f t="array" ref="S135">IsEncrypted(A135)</f>
        <v/>
      </c>
      <c r="T135" s="17" t="str" cm="1">
        <f t="array" ref="T135">IsInWords(A135)</f>
        <v/>
      </c>
      <c r="U135" s="17" t="b">
        <v>0</v>
      </c>
    </row>
    <row r="136" spans="1:21">
      <c r="A136" s="17">
        <f t="shared" si="14"/>
        <v>133</v>
      </c>
      <c r="B136" s="18">
        <v>18</v>
      </c>
      <c r="C136" s="17" t="str" cm="1">
        <f t="array" ref="C136">GetValue("Tbl","Alias",B136)</f>
        <v>Col</v>
      </c>
      <c r="D136" s="17" cm="1">
        <f t="array" ref="D136">GetDomainId(C136,G136)</f>
        <v>5</v>
      </c>
      <c r="E136" s="17" t="str" cm="1">
        <f t="array" ref="E136">GetValue("Dmn","Name",D136)</f>
        <v>Boolean</v>
      </c>
      <c r="F136" s="17">
        <f t="shared" si="17"/>
        <v>90</v>
      </c>
      <c r="G136" s="17" t="str" cm="1">
        <f t="array" ref="G136">GetColumnName(C136,IF(B136=B135,G135,""))</f>
        <v>IsInWords</v>
      </c>
      <c r="H136" s="17" t="str">
        <f t="shared" si="15"/>
        <v>IsInWords</v>
      </c>
      <c r="I136" s="17" t="str">
        <f t="shared" si="16"/>
        <v>IsInWords</v>
      </c>
      <c r="J136" s="17"/>
      <c r="K136" s="17" t="b">
        <v>1</v>
      </c>
      <c r="L136" s="17" t="b" cm="1">
        <f t="array" ref="L136">IsPrimaryKey(A136)</f>
        <v>0</v>
      </c>
      <c r="M136" s="17" t="str" cm="1">
        <f t="array" ref="M136">IsAutoincrement(A136)</f>
        <v/>
      </c>
      <c r="N136" s="17" t="str" cm="1">
        <f t="array" ref="N136">IsUnique(A136)</f>
        <v/>
      </c>
      <c r="O136" s="17" t="b" cm="1">
        <f t="array" ref="O136">IsFilterable(A136)</f>
        <v>1</v>
      </c>
      <c r="P136" s="17" t="b" cm="1">
        <f t="array" ref="P136">IsEditable(A136)</f>
        <v>1</v>
      </c>
      <c r="Q136" s="17" t="b" cm="1">
        <f t="array" ref="Q136">IsGridable(A136)</f>
        <v>1</v>
      </c>
      <c r="R136" s="17" t="str" cm="1">
        <f t="array" ref="R136">IsListable(A136)</f>
        <v/>
      </c>
      <c r="S136" s="17" t="str" cm="1">
        <f t="array" ref="S136">IsEncrypted(A136)</f>
        <v/>
      </c>
      <c r="T136" s="17" t="str" cm="1">
        <f t="array" ref="T136">IsInWords(A136)</f>
        <v/>
      </c>
      <c r="U136" s="17" t="b">
        <v>0</v>
      </c>
    </row>
    <row r="137" spans="1:21">
      <c r="A137" s="17">
        <f t="shared" si="14"/>
        <v>134</v>
      </c>
      <c r="B137" s="18">
        <v>18</v>
      </c>
      <c r="C137" s="17" t="str" cm="1">
        <f t="array" ref="C137">GetValue("Tbl","Alias",B137)</f>
        <v>Col</v>
      </c>
      <c r="D137" s="17" cm="1">
        <f t="array" ref="D137">GetDomainId(C137,G137)</f>
        <v>5</v>
      </c>
      <c r="E137" s="17" t="str" cm="1">
        <f t="array" ref="E137">GetValue("Dmn","Name",D137)</f>
        <v>Boolean</v>
      </c>
      <c r="F137" s="17">
        <f t="shared" si="17"/>
        <v>95</v>
      </c>
      <c r="G137" s="17" t="str" cm="1">
        <f t="array" ref="G137">GetColumnName(C137,IF(B137=B136,G136,""))</f>
        <v>IsVirtual</v>
      </c>
      <c r="H137" s="17" t="str">
        <f t="shared" si="15"/>
        <v>IsVirtual</v>
      </c>
      <c r="I137" s="17" t="str">
        <f t="shared" si="16"/>
        <v>IsVirtual</v>
      </c>
      <c r="J137" s="17"/>
      <c r="K137" s="17" t="b">
        <v>0</v>
      </c>
      <c r="L137" s="17" t="b" cm="1">
        <f t="array" ref="L137">IsPrimaryKey(A137)</f>
        <v>0</v>
      </c>
      <c r="M137" s="17" t="str" cm="1">
        <f t="array" ref="M137">IsAutoincrement(A137)</f>
        <v/>
      </c>
      <c r="N137" s="17" t="str" cm="1">
        <f t="array" ref="N137">IsUnique(A137)</f>
        <v/>
      </c>
      <c r="O137" s="17" t="b" cm="1">
        <f t="array" ref="O137">IsFilterable(A137)</f>
        <v>1</v>
      </c>
      <c r="P137" s="17" t="b" cm="1">
        <f t="array" ref="P137">IsEditable(A137)</f>
        <v>1</v>
      </c>
      <c r="Q137" s="17" t="b" cm="1">
        <f t="array" ref="Q137">IsGridable(A137)</f>
        <v>1</v>
      </c>
      <c r="R137" s="17" t="str" cm="1">
        <f t="array" ref="R137">IsListable(A137)</f>
        <v/>
      </c>
      <c r="S137" s="17" t="str" cm="1">
        <f t="array" ref="S137">IsEncrypted(A137)</f>
        <v/>
      </c>
      <c r="T137" s="17" t="str" cm="1">
        <f t="array" ref="T137">IsInWords(A137)</f>
        <v/>
      </c>
      <c r="U137" s="17" t="b">
        <v>0</v>
      </c>
    </row>
    <row r="138" spans="1:21">
      <c r="A138" s="19">
        <f t="shared" si="14"/>
        <v>135</v>
      </c>
      <c r="B138" s="20">
        <v>19</v>
      </c>
      <c r="C138" s="19" t="str" cm="1">
        <f t="array" ref="C138">GetValue("Tbl","Alias",B138)</f>
        <v>Idx</v>
      </c>
      <c r="D138" s="19" cm="1">
        <f t="array" ref="D138">GetDomainId(C138,G138)</f>
        <v>55</v>
      </c>
      <c r="E138" s="19" t="str" cm="1">
        <f t="array" ref="E138">GetValue("Dmn","Name",D138)</f>
        <v>BigId</v>
      </c>
      <c r="F138" s="19">
        <f t="shared" si="17"/>
        <v>5</v>
      </c>
      <c r="G138" s="19" t="str" cm="1">
        <f t="array" ref="G138">GetColumnName(C138,IF(B138=B137,G137,""))</f>
        <v>Id</v>
      </c>
      <c r="H138" s="19" t="str">
        <f t="shared" si="15"/>
        <v>Id</v>
      </c>
      <c r="I138" s="19" t="str">
        <f t="shared" si="16"/>
        <v>Id</v>
      </c>
      <c r="J138" s="19"/>
      <c r="K138" s="19" t="b">
        <v>0</v>
      </c>
      <c r="L138" s="19" t="b" cm="1">
        <f t="array" ref="L138">IsPrimaryKey(A138)</f>
        <v>1</v>
      </c>
      <c r="M138" s="19" t="b" cm="1">
        <f t="array" ref="M138">IsAutoincrement(A138)</f>
        <v>1</v>
      </c>
      <c r="N138" s="19" t="b" cm="1">
        <f t="array" ref="N138">IsUnique(A138)</f>
        <v>0</v>
      </c>
      <c r="O138" s="19" t="str" cm="1">
        <f t="array" ref="O138">IsFilterable(A138)</f>
        <v/>
      </c>
      <c r="P138" s="19" t="str" cm="1">
        <f t="array" ref="P138">IsEditable(A138)</f>
        <v/>
      </c>
      <c r="Q138" s="19" t="str" cm="1">
        <f t="array" ref="Q138">IsGridable(A138)</f>
        <v/>
      </c>
      <c r="R138" s="19" t="str" cm="1">
        <f t="array" ref="R138">IsListable(A138)</f>
        <v/>
      </c>
      <c r="S138" s="19" t="str" cm="1">
        <f t="array" ref="S138">IsEncrypted(A138)</f>
        <v/>
      </c>
      <c r="T138" s="19" t="str" cm="1">
        <f t="array" ref="T138">IsInWords(A138)</f>
        <v/>
      </c>
      <c r="U138" s="19" t="b">
        <v>0</v>
      </c>
    </row>
    <row r="139" spans="1:21">
      <c r="A139" s="19">
        <f t="shared" si="14"/>
        <v>136</v>
      </c>
      <c r="B139" s="20">
        <v>19</v>
      </c>
      <c r="C139" s="19" t="str" cm="1">
        <f t="array" ref="C139">GetValue("Tbl","Alias",B139)</f>
        <v>Idx</v>
      </c>
      <c r="D139" s="19" cm="1">
        <f t="array" ref="D139">GetDomainId(C139,G139)</f>
        <v>55</v>
      </c>
      <c r="E139" s="19" t="str" cm="1">
        <f t="array" ref="E139">GetValue("Dmn","Name",D139)</f>
        <v>BigId</v>
      </c>
      <c r="F139" s="19">
        <f t="shared" si="17"/>
        <v>10</v>
      </c>
      <c r="G139" s="19" t="str" cm="1">
        <f t="array" ref="G139">GetColumnName(C139,IF(B139=B138,G138,""))</f>
        <v>TableId</v>
      </c>
      <c r="H139" s="19" t="str">
        <f t="shared" si="15"/>
        <v>TableId</v>
      </c>
      <c r="I139" s="19" t="str">
        <f t="shared" si="16"/>
        <v>TableId</v>
      </c>
      <c r="J139" s="19"/>
      <c r="K139" s="19" t="b">
        <v>1</v>
      </c>
      <c r="L139" s="19" t="b" cm="1">
        <f t="array" ref="L139">IsPrimaryKey(A139)</f>
        <v>0</v>
      </c>
      <c r="M139" s="19" t="b" cm="1">
        <f t="array" ref="M139">IsAutoincrement(A139)</f>
        <v>0</v>
      </c>
      <c r="N139" s="19" t="b" cm="1">
        <f t="array" ref="N139">IsUnique(A139)</f>
        <v>0</v>
      </c>
      <c r="O139" s="19" t="b" cm="1">
        <f t="array" ref="O139">IsFilterable(A139)</f>
        <v>1</v>
      </c>
      <c r="P139" s="19" t="b" cm="1">
        <f t="array" ref="P139">IsEditable(A139)</f>
        <v>1</v>
      </c>
      <c r="Q139" s="19" t="b" cm="1">
        <f t="array" ref="Q139">IsGridable(A139)</f>
        <v>1</v>
      </c>
      <c r="R139" s="19" t="str" cm="1">
        <f t="array" ref="R139">IsListable(A139)</f>
        <v/>
      </c>
      <c r="S139" s="19" t="str" cm="1">
        <f t="array" ref="S139">IsEncrypted(A139)</f>
        <v/>
      </c>
      <c r="T139" s="19" t="b" cm="1">
        <f t="array" ref="T139">IsInWords(A139)</f>
        <v>0</v>
      </c>
      <c r="U139" s="19" t="b">
        <v>0</v>
      </c>
    </row>
    <row r="140" spans="1:21">
      <c r="A140" s="19">
        <f t="shared" si="14"/>
        <v>137</v>
      </c>
      <c r="B140" s="20">
        <v>19</v>
      </c>
      <c r="C140" s="19" t="str" cm="1">
        <f t="array" ref="C140">GetValue("Tbl","Alias",B140)</f>
        <v>Idx</v>
      </c>
      <c r="D140" s="19" cm="1">
        <f t="array" ref="D140">GetDomainId(C140,G140)</f>
        <v>11</v>
      </c>
      <c r="E140" s="19" t="str" cm="1">
        <f t="array" ref="E140">GetValue("Dmn","Name",D140)</f>
        <v>NVARCHAR(25)</v>
      </c>
      <c r="F140" s="19">
        <f t="shared" si="17"/>
        <v>15</v>
      </c>
      <c r="G140" s="19" t="str" cm="1">
        <f t="array" ref="G140">GetColumnName(C140,IF(B140=B139,G139,""))</f>
        <v>Name</v>
      </c>
      <c r="H140" s="19" t="str">
        <f t="shared" si="15"/>
        <v>Name</v>
      </c>
      <c r="I140" s="19" t="str">
        <f t="shared" si="16"/>
        <v>Name</v>
      </c>
      <c r="J140" s="19"/>
      <c r="K140" s="19" t="b">
        <v>0</v>
      </c>
      <c r="L140" s="19" t="b" cm="1">
        <f t="array" ref="L140">IsPrimaryKey(A140)</f>
        <v>0</v>
      </c>
      <c r="M140" s="19" t="str" cm="1">
        <f t="array" ref="M140">IsAutoincrement(A140)</f>
        <v/>
      </c>
      <c r="N140" s="19" t="b" cm="1">
        <f t="array" ref="N140">IsUnique(A140)</f>
        <v>0</v>
      </c>
      <c r="O140" s="19" t="b" cm="1">
        <f t="array" ref="O140">IsFilterable(A140)</f>
        <v>1</v>
      </c>
      <c r="P140" s="19" t="b" cm="1">
        <f t="array" ref="P140">IsEditable(A140)</f>
        <v>1</v>
      </c>
      <c r="Q140" s="19" t="b" cm="1">
        <f t="array" ref="Q140">IsGridable(A140)</f>
        <v>1</v>
      </c>
      <c r="R140" s="19" t="b" cm="1">
        <f t="array" ref="R140">IsListable(A140)</f>
        <v>0</v>
      </c>
      <c r="S140" s="19" t="b" cm="1">
        <f t="array" ref="S140">IsEncrypted(A140)</f>
        <v>0</v>
      </c>
      <c r="T140" s="19" t="str" cm="1">
        <f t="array" ref="T140">IsInWords(A140)</f>
        <v/>
      </c>
      <c r="U140" s="19" t="b">
        <v>0</v>
      </c>
    </row>
    <row r="141" spans="1:21">
      <c r="A141" s="19">
        <f t="shared" si="14"/>
        <v>138</v>
      </c>
      <c r="B141" s="20">
        <v>19</v>
      </c>
      <c r="C141" s="19" t="str" cm="1">
        <f t="array" ref="C141">GetValue("Tbl","Alias",B141)</f>
        <v>Idx</v>
      </c>
      <c r="D141" s="19" cm="1">
        <f t="array" ref="D141">GetDomainId(C141,G141)</f>
        <v>5</v>
      </c>
      <c r="E141" s="19" t="str" cm="1">
        <f t="array" ref="E141">GetValue("Dmn","Name",D141)</f>
        <v>Boolean</v>
      </c>
      <c r="F141" s="19">
        <f t="shared" si="17"/>
        <v>20</v>
      </c>
      <c r="G141" s="19" t="str" cm="1">
        <f t="array" ref="G141">GetColumnName(C141,IF(B141=B140,G140,""))</f>
        <v>IsUnique</v>
      </c>
      <c r="H141" s="19" t="str">
        <f t="shared" si="15"/>
        <v>IsUnique</v>
      </c>
      <c r="I141" s="19" t="str">
        <f t="shared" si="16"/>
        <v>IsUnique</v>
      </c>
      <c r="J141" s="19"/>
      <c r="K141" s="19" t="b">
        <v>0</v>
      </c>
      <c r="L141" s="19" t="b" cm="1">
        <f t="array" ref="L141">IsPrimaryKey(A141)</f>
        <v>0</v>
      </c>
      <c r="M141" s="19" t="str" cm="1">
        <f t="array" ref="M141">IsAutoincrement(A141)</f>
        <v/>
      </c>
      <c r="N141" s="19" t="str" cm="1">
        <f t="array" ref="N141">IsUnique(A141)</f>
        <v/>
      </c>
      <c r="O141" s="19" t="b" cm="1">
        <f t="array" ref="O141">IsFilterable(A141)</f>
        <v>1</v>
      </c>
      <c r="P141" s="19" t="b" cm="1">
        <f t="array" ref="P141">IsEditable(A141)</f>
        <v>1</v>
      </c>
      <c r="Q141" s="19" t="b" cm="1">
        <f t="array" ref="Q141">IsGridable(A141)</f>
        <v>1</v>
      </c>
      <c r="R141" s="19" t="str" cm="1">
        <f t="array" ref="R141">IsListable(A141)</f>
        <v/>
      </c>
      <c r="S141" s="19" t="str" cm="1">
        <f t="array" ref="S141">IsEncrypted(A141)</f>
        <v/>
      </c>
      <c r="T141" s="19" t="str" cm="1">
        <f t="array" ref="T141">IsInWords(A141)</f>
        <v/>
      </c>
      <c r="U141" s="19" t="b">
        <v>0</v>
      </c>
    </row>
    <row r="142" spans="1:21">
      <c r="A142" s="17">
        <f t="shared" si="14"/>
        <v>139</v>
      </c>
      <c r="B142" s="18">
        <v>20</v>
      </c>
      <c r="C142" s="17" t="str" cm="1">
        <f t="array" ref="C142">GetValue("Tbl","Alias",B142)</f>
        <v>Idk</v>
      </c>
      <c r="D142" s="17" cm="1">
        <f t="array" ref="D142">GetDomainId(C142,G142)</f>
        <v>55</v>
      </c>
      <c r="E142" s="17" t="str" cm="1">
        <f t="array" ref="E142">GetValue("Dmn","Name",D142)</f>
        <v>BigId</v>
      </c>
      <c r="F142" s="17">
        <f t="shared" si="17"/>
        <v>5</v>
      </c>
      <c r="G142" s="17" t="str" cm="1">
        <f t="array" ref="G142">GetColumnName(C142,IF(B142=B141,G141,""))</f>
        <v>Id</v>
      </c>
      <c r="H142" s="17" t="str">
        <f t="shared" si="15"/>
        <v>Id</v>
      </c>
      <c r="I142" s="17" t="str">
        <f t="shared" si="16"/>
        <v>Id</v>
      </c>
      <c r="J142" s="17"/>
      <c r="K142" s="17" t="b">
        <v>0</v>
      </c>
      <c r="L142" s="17" t="b" cm="1">
        <f t="array" ref="L142">IsPrimaryKey(A142)</f>
        <v>1</v>
      </c>
      <c r="M142" s="17" t="b" cm="1">
        <f t="array" ref="M142">IsAutoincrement(A142)</f>
        <v>1</v>
      </c>
      <c r="N142" s="17" t="b" cm="1">
        <f t="array" ref="N142">IsUnique(A142)</f>
        <v>0</v>
      </c>
      <c r="O142" s="17" t="str" cm="1">
        <f t="array" ref="O142">IsFilterable(A142)</f>
        <v/>
      </c>
      <c r="P142" s="17" t="str" cm="1">
        <f t="array" ref="P142">IsEditable(A142)</f>
        <v/>
      </c>
      <c r="Q142" s="17" t="str" cm="1">
        <f t="array" ref="Q142">IsGridable(A142)</f>
        <v/>
      </c>
      <c r="R142" s="17" t="str" cm="1">
        <f t="array" ref="R142">IsListable(A142)</f>
        <v/>
      </c>
      <c r="S142" s="17" t="str" cm="1">
        <f t="array" ref="S142">IsEncrypted(A142)</f>
        <v/>
      </c>
      <c r="T142" s="17" t="str" cm="1">
        <f t="array" ref="T142">IsInWords(A142)</f>
        <v/>
      </c>
      <c r="U142" s="17" t="b">
        <v>0</v>
      </c>
    </row>
    <row r="143" spans="1:21">
      <c r="A143" s="17">
        <f t="shared" si="14"/>
        <v>140</v>
      </c>
      <c r="B143" s="18">
        <v>20</v>
      </c>
      <c r="C143" s="17" t="str" cm="1">
        <f t="array" ref="C143">GetValue("Tbl","Alias",B143)</f>
        <v>Idk</v>
      </c>
      <c r="D143" s="17" cm="1">
        <f t="array" ref="D143">GetDomainId(C143,G143)</f>
        <v>55</v>
      </c>
      <c r="E143" s="17" t="str" cm="1">
        <f t="array" ref="E143">GetValue("Dmn","Name",D143)</f>
        <v>BigId</v>
      </c>
      <c r="F143" s="17">
        <f t="shared" si="17"/>
        <v>10</v>
      </c>
      <c r="G143" s="17" t="str" cm="1">
        <f t="array" ref="G143">GetColumnName(C143,IF(B143=B142,G142,""))</f>
        <v>IndexId</v>
      </c>
      <c r="H143" s="17" t="str">
        <f t="shared" si="15"/>
        <v>IndexId</v>
      </c>
      <c r="I143" s="17" t="str">
        <f t="shared" si="16"/>
        <v>IndexId</v>
      </c>
      <c r="J143" s="17"/>
      <c r="K143" s="17" t="b">
        <v>0</v>
      </c>
      <c r="L143" s="17" t="b" cm="1">
        <f t="array" ref="L143">IsPrimaryKey(A143)</f>
        <v>0</v>
      </c>
      <c r="M143" s="17" t="b" cm="1">
        <f t="array" ref="M143">IsAutoincrement(A143)</f>
        <v>0</v>
      </c>
      <c r="N143" s="17" t="b" cm="1">
        <f t="array" ref="N143">IsUnique(A143)</f>
        <v>0</v>
      </c>
      <c r="O143" s="17" t="b" cm="1">
        <f t="array" ref="O143">IsFilterable(A143)</f>
        <v>1</v>
      </c>
      <c r="P143" s="17" t="b" cm="1">
        <f t="array" ref="P143">IsEditable(A143)</f>
        <v>1</v>
      </c>
      <c r="Q143" s="17" t="b" cm="1">
        <f t="array" ref="Q143">IsGridable(A143)</f>
        <v>1</v>
      </c>
      <c r="R143" s="17" t="str" cm="1">
        <f t="array" ref="R143">IsListable(A143)</f>
        <v/>
      </c>
      <c r="S143" s="17" t="str" cm="1">
        <f t="array" ref="S143">IsEncrypted(A143)</f>
        <v/>
      </c>
      <c r="T143" s="17" t="b" cm="1">
        <f t="array" ref="T143">IsInWords(A143)</f>
        <v>0</v>
      </c>
      <c r="U143" s="17" t="b">
        <v>0</v>
      </c>
    </row>
    <row r="144" spans="1:21">
      <c r="A144" s="17">
        <f t="shared" si="14"/>
        <v>141</v>
      </c>
      <c r="B144" s="18">
        <v>20</v>
      </c>
      <c r="C144" s="17" t="str" cm="1">
        <f t="array" ref="C144">GetValue("Tbl","Alias",B144)</f>
        <v>Idk</v>
      </c>
      <c r="D144" s="17" cm="1">
        <f t="array" ref="D144">GetDomainId(C144,G144)</f>
        <v>55</v>
      </c>
      <c r="E144" s="17" t="str" cm="1">
        <f t="array" ref="E144">GetValue("Dmn","Name",D144)</f>
        <v>BigId</v>
      </c>
      <c r="F144" s="17">
        <f t="shared" si="17"/>
        <v>15</v>
      </c>
      <c r="G144" s="17" t="str" cm="1">
        <f t="array" ref="G144">GetColumnName(C144,IF(B144=B143,G143,""))</f>
        <v>ColumnId</v>
      </c>
      <c r="H144" s="17" t="str">
        <f t="shared" si="15"/>
        <v>ColumnId</v>
      </c>
      <c r="I144" s="17" t="str">
        <f t="shared" si="16"/>
        <v>ColumnId</v>
      </c>
      <c r="J144" s="17"/>
      <c r="K144" s="17" t="b">
        <v>1</v>
      </c>
      <c r="L144" s="17" t="b" cm="1">
        <f t="array" ref="L144">IsPrimaryKey(A144)</f>
        <v>0</v>
      </c>
      <c r="M144" s="17" t="b" cm="1">
        <f t="array" ref="M144">IsAutoincrement(A144)</f>
        <v>0</v>
      </c>
      <c r="N144" s="17" t="b" cm="1">
        <f t="array" ref="N144">IsUnique(A144)</f>
        <v>0</v>
      </c>
      <c r="O144" s="17" t="b" cm="1">
        <f t="array" ref="O144">IsFilterable(A144)</f>
        <v>1</v>
      </c>
      <c r="P144" s="17" t="b" cm="1">
        <f t="array" ref="P144">IsEditable(A144)</f>
        <v>1</v>
      </c>
      <c r="Q144" s="17" t="b" cm="1">
        <f t="array" ref="Q144">IsGridable(A144)</f>
        <v>1</v>
      </c>
      <c r="R144" s="17" t="str" cm="1">
        <f t="array" ref="R144">IsListable(A144)</f>
        <v/>
      </c>
      <c r="S144" s="17" t="str" cm="1">
        <f t="array" ref="S144">IsEncrypted(A144)</f>
        <v/>
      </c>
      <c r="T144" s="17" t="b" cm="1">
        <f t="array" ref="T144">IsInWords(A144)</f>
        <v>0</v>
      </c>
      <c r="U144" s="17" t="b">
        <v>0</v>
      </c>
    </row>
    <row r="145" spans="1:21">
      <c r="A145" s="17">
        <f t="shared" si="14"/>
        <v>142</v>
      </c>
      <c r="B145" s="18">
        <v>20</v>
      </c>
      <c r="C145" s="17" t="str" cm="1">
        <f t="array" ref="C145">GetValue("Tbl","Alias",B145)</f>
        <v>Idk</v>
      </c>
      <c r="D145" s="17" cm="1">
        <f t="array" ref="D145">GetDomainId(C145,G145)</f>
        <v>59</v>
      </c>
      <c r="E145" s="17" t="str" cm="1">
        <f t="array" ref="E145">GetValue("Dmn","Name",D145)</f>
        <v>SEQUENCE</v>
      </c>
      <c r="F145" s="17">
        <f t="shared" si="17"/>
        <v>20</v>
      </c>
      <c r="G145" s="17" t="str" cm="1">
        <f t="array" ref="G145">GetColumnName(C145,IF(B145=B144,G144,""))</f>
        <v>Sequence</v>
      </c>
      <c r="H145" s="17" t="str">
        <f t="shared" si="15"/>
        <v>Sequence</v>
      </c>
      <c r="I145" s="17" t="str">
        <f t="shared" si="16"/>
        <v>Sequence</v>
      </c>
      <c r="J145" s="17"/>
      <c r="K145" s="17" t="b">
        <v>1</v>
      </c>
      <c r="L145" s="17" t="b" cm="1">
        <f t="array" ref="L145">IsPrimaryKey(A145)</f>
        <v>0</v>
      </c>
      <c r="M145" s="17" t="b" cm="1">
        <f t="array" ref="M145">IsAutoincrement(A145)</f>
        <v>0</v>
      </c>
      <c r="N145" s="17" t="b" cm="1">
        <f t="array" ref="N145">IsUnique(A145)</f>
        <v>0</v>
      </c>
      <c r="O145" s="17" t="b" cm="1">
        <f t="array" ref="O145">IsFilterable(A145)</f>
        <v>1</v>
      </c>
      <c r="P145" s="17" t="b" cm="1">
        <f t="array" ref="P145">IsEditable(A145)</f>
        <v>1</v>
      </c>
      <c r="Q145" s="17" t="b" cm="1">
        <f t="array" ref="Q145">IsGridable(A145)</f>
        <v>1</v>
      </c>
      <c r="R145" s="17" t="str" cm="1">
        <f t="array" ref="R145">IsListable(A145)</f>
        <v/>
      </c>
      <c r="S145" s="17" t="str" cm="1">
        <f t="array" ref="S145">IsEncrypted(A145)</f>
        <v/>
      </c>
      <c r="T145" s="17" t="b" cm="1">
        <f t="array" ref="T145">IsInWords(A145)</f>
        <v>0</v>
      </c>
      <c r="U145" s="17" t="b">
        <v>0</v>
      </c>
    </row>
    <row r="146" spans="1:21">
      <c r="A146" s="17">
        <f t="shared" si="14"/>
        <v>143</v>
      </c>
      <c r="B146" s="18">
        <v>20</v>
      </c>
      <c r="C146" s="17" t="str" cm="1">
        <f t="array" ref="C146">GetValue("Tbl","Alias",B146)</f>
        <v>Idk</v>
      </c>
      <c r="D146" s="17" cm="1">
        <f t="array" ref="D146">GetDomainId(C146,G146)</f>
        <v>5</v>
      </c>
      <c r="E146" s="17" t="str" cm="1">
        <f t="array" ref="E146">GetValue("Dmn","Name",D146)</f>
        <v>Boolean</v>
      </c>
      <c r="F146" s="17">
        <f t="shared" si="17"/>
        <v>25</v>
      </c>
      <c r="G146" s="17" t="str" cm="1">
        <f t="array" ref="G146">GetColumnName(C146,IF(B146=B145,G145,""))</f>
        <v>IsDescending</v>
      </c>
      <c r="H146" s="17" t="str">
        <f t="shared" si="15"/>
        <v>IsDescending</v>
      </c>
      <c r="I146" s="17" t="str">
        <f t="shared" si="16"/>
        <v>IsDescending</v>
      </c>
      <c r="J146" s="17"/>
      <c r="K146" s="17" t="b">
        <v>0</v>
      </c>
      <c r="L146" s="17" t="b" cm="1">
        <f t="array" ref="L146">IsPrimaryKey(A146)</f>
        <v>0</v>
      </c>
      <c r="M146" s="17" t="str" cm="1">
        <f t="array" ref="M146">IsAutoincrement(A146)</f>
        <v/>
      </c>
      <c r="N146" s="17" t="str" cm="1">
        <f t="array" ref="N146">IsUnique(A146)</f>
        <v/>
      </c>
      <c r="O146" s="17" t="b" cm="1">
        <f t="array" ref="O146">IsFilterable(A146)</f>
        <v>1</v>
      </c>
      <c r="P146" s="17" t="b" cm="1">
        <f t="array" ref="P146">IsEditable(A146)</f>
        <v>1</v>
      </c>
      <c r="Q146" s="17" t="b" cm="1">
        <f t="array" ref="Q146">IsGridable(A146)</f>
        <v>1</v>
      </c>
      <c r="R146" s="17" t="str" cm="1">
        <f t="array" ref="R146">IsListable(A146)</f>
        <v/>
      </c>
      <c r="S146" s="17" t="str" cm="1">
        <f t="array" ref="S146">IsEncrypted(A146)</f>
        <v/>
      </c>
      <c r="T146" s="17" t="str" cm="1">
        <f t="array" ref="T146">IsInWords(A146)</f>
        <v/>
      </c>
      <c r="U146" s="17" t="b">
        <v>0</v>
      </c>
    </row>
    <row r="147" spans="1:21">
      <c r="A147" s="19">
        <f t="shared" si="14"/>
        <v>144</v>
      </c>
      <c r="B147" s="20">
        <v>21</v>
      </c>
      <c r="C147" s="19" t="str" cm="1">
        <f t="array" ref="C147">GetValue("Tbl","Alias",B147)</f>
        <v>Inc</v>
      </c>
      <c r="D147" s="19" cm="1">
        <f t="array" ref="D147">GetDomainId(C147,G147)</f>
        <v>55</v>
      </c>
      <c r="E147" s="19" t="str" cm="1">
        <f t="array" ref="E147">GetValue("Dmn","Name",D147)</f>
        <v>BigId</v>
      </c>
      <c r="F147" s="19">
        <f t="shared" si="17"/>
        <v>5</v>
      </c>
      <c r="G147" s="19" t="str" cm="1">
        <f t="array" ref="G147">GetColumnName(C147,IF(B147=B146,G146,""))</f>
        <v>Id</v>
      </c>
      <c r="H147" s="19" t="str">
        <f t="shared" si="15"/>
        <v>Id</v>
      </c>
      <c r="I147" s="19" t="str">
        <f t="shared" si="16"/>
        <v>Id</v>
      </c>
      <c r="J147" s="19"/>
      <c r="K147" s="19" t="b">
        <v>0</v>
      </c>
      <c r="L147" s="19" t="b" cm="1">
        <f t="array" ref="L147">IsPrimaryKey(A147)</f>
        <v>1</v>
      </c>
      <c r="M147" s="19" t="b" cm="1">
        <f t="array" ref="M147">IsAutoincrement(A147)</f>
        <v>1</v>
      </c>
      <c r="N147" s="19" t="b" cm="1">
        <f t="array" ref="N147">IsUnique(A147)</f>
        <v>0</v>
      </c>
      <c r="O147" s="19" t="str" cm="1">
        <f t="array" ref="O147">IsFilterable(A147)</f>
        <v/>
      </c>
      <c r="P147" s="19" t="str" cm="1">
        <f t="array" ref="P147">IsEditable(A147)</f>
        <v/>
      </c>
      <c r="Q147" s="19" t="str" cm="1">
        <f t="array" ref="Q147">IsGridable(A147)</f>
        <v/>
      </c>
      <c r="R147" s="19" t="str" cm="1">
        <f t="array" ref="R147">IsListable(A147)</f>
        <v/>
      </c>
      <c r="S147" s="19" t="str" cm="1">
        <f t="array" ref="S147">IsEncrypted(A147)</f>
        <v/>
      </c>
      <c r="T147" s="19" t="str" cm="1">
        <f t="array" ref="T147">IsInWords(A147)</f>
        <v/>
      </c>
      <c r="U147" s="19" t="b">
        <v>0</v>
      </c>
    </row>
    <row r="148" spans="1:21">
      <c r="A148" s="19">
        <f t="shared" si="14"/>
        <v>145</v>
      </c>
      <c r="B148" s="20">
        <v>21</v>
      </c>
      <c r="C148" s="19" t="str" cm="1">
        <f t="array" ref="C148">GetValue("Tbl","Alias",B148)</f>
        <v>Inc</v>
      </c>
      <c r="D148" s="19" cm="1">
        <f t="array" ref="D148">GetDomainId(C148,G148)</f>
        <v>55</v>
      </c>
      <c r="E148" s="19" t="str" cm="1">
        <f t="array" ref="E148">GetValue("Dmn","Name",D148)</f>
        <v>BigId</v>
      </c>
      <c r="F148" s="19">
        <f t="shared" si="17"/>
        <v>10</v>
      </c>
      <c r="G148" s="19" t="str" cm="1">
        <f t="array" ref="G148">GetColumnName(C148,IF(B148=B147,G147,""))</f>
        <v>IndexId</v>
      </c>
      <c r="H148" s="19" t="str">
        <f t="shared" si="15"/>
        <v>IndexId</v>
      </c>
      <c r="I148" s="19" t="str">
        <f t="shared" si="16"/>
        <v>IndexId</v>
      </c>
      <c r="J148" s="19"/>
      <c r="K148" s="19" t="b">
        <v>0</v>
      </c>
      <c r="L148" s="19" t="b" cm="1">
        <f t="array" ref="L148">IsPrimaryKey(A148)</f>
        <v>0</v>
      </c>
      <c r="M148" s="19" t="b" cm="1">
        <f t="array" ref="M148">IsAutoincrement(A148)</f>
        <v>0</v>
      </c>
      <c r="N148" s="19" t="b" cm="1">
        <f t="array" ref="N148">IsUnique(A148)</f>
        <v>0</v>
      </c>
      <c r="O148" s="19" t="b" cm="1">
        <f t="array" ref="O148">IsFilterable(A148)</f>
        <v>1</v>
      </c>
      <c r="P148" s="19" t="b" cm="1">
        <f t="array" ref="P148">IsEditable(A148)</f>
        <v>1</v>
      </c>
      <c r="Q148" s="19" t="b" cm="1">
        <f t="array" ref="Q148">IsGridable(A148)</f>
        <v>1</v>
      </c>
      <c r="R148" s="19" t="str" cm="1">
        <f t="array" ref="R148">IsListable(A148)</f>
        <v/>
      </c>
      <c r="S148" s="19" t="str" cm="1">
        <f t="array" ref="S148">IsEncrypted(A148)</f>
        <v/>
      </c>
      <c r="T148" s="19" t="b" cm="1">
        <f t="array" ref="T148">IsInWords(A148)</f>
        <v>0</v>
      </c>
      <c r="U148" s="19" t="b">
        <v>0</v>
      </c>
    </row>
    <row r="149" spans="1:21">
      <c r="A149" s="19">
        <f t="shared" si="14"/>
        <v>146</v>
      </c>
      <c r="B149" s="20">
        <v>21</v>
      </c>
      <c r="C149" s="19" t="str" cm="1">
        <f t="array" ref="C149">GetValue("Tbl","Alias",B149)</f>
        <v>Inc</v>
      </c>
      <c r="D149" s="19" cm="1">
        <f t="array" ref="D149">GetDomainId(C149,G149)</f>
        <v>55</v>
      </c>
      <c r="E149" s="19" t="str" cm="1">
        <f t="array" ref="E149">GetValue("Dmn","Name",D149)</f>
        <v>BigId</v>
      </c>
      <c r="F149" s="19">
        <f t="shared" si="17"/>
        <v>15</v>
      </c>
      <c r="G149" s="19" t="str" cm="1">
        <f t="array" ref="G149">GetColumnName(C149,IF(B149=B148,G148,""))</f>
        <v>ColumnId</v>
      </c>
      <c r="H149" s="19" t="str">
        <f t="shared" si="15"/>
        <v>ColumnId</v>
      </c>
      <c r="I149" s="19" t="str">
        <f t="shared" si="16"/>
        <v>ColumnId</v>
      </c>
      <c r="J149" s="19"/>
      <c r="K149" s="19" t="b">
        <v>1</v>
      </c>
      <c r="L149" s="19" t="b" cm="1">
        <f t="array" ref="L149">IsPrimaryKey(A149)</f>
        <v>0</v>
      </c>
      <c r="M149" s="19" t="b" cm="1">
        <f t="array" ref="M149">IsAutoincrement(A149)</f>
        <v>0</v>
      </c>
      <c r="N149" s="19" t="b" cm="1">
        <f t="array" ref="N149">IsUnique(A149)</f>
        <v>0</v>
      </c>
      <c r="O149" s="19" t="b" cm="1">
        <f t="array" ref="O149">IsFilterable(A149)</f>
        <v>1</v>
      </c>
      <c r="P149" s="19" t="b" cm="1">
        <f t="array" ref="P149">IsEditable(A149)</f>
        <v>1</v>
      </c>
      <c r="Q149" s="19" t="b" cm="1">
        <f t="array" ref="Q149">IsGridable(A149)</f>
        <v>1</v>
      </c>
      <c r="R149" s="19" t="str" cm="1">
        <f t="array" ref="R149">IsListable(A149)</f>
        <v/>
      </c>
      <c r="S149" s="19" t="str" cm="1">
        <f t="array" ref="S149">IsEncrypted(A149)</f>
        <v/>
      </c>
      <c r="T149" s="19" t="b" cm="1">
        <f t="array" ref="T149">IsInWords(A149)</f>
        <v>0</v>
      </c>
      <c r="U149" s="19" t="b">
        <v>0</v>
      </c>
    </row>
    <row r="150" spans="1:21">
      <c r="A150" s="17">
        <f t="shared" si="14"/>
        <v>147</v>
      </c>
      <c r="B150" s="18">
        <v>22</v>
      </c>
      <c r="C150" s="17" t="str" cm="1">
        <f t="array" ref="C150">GetValue("Tbl","Alias",B150)</f>
        <v>Uni</v>
      </c>
      <c r="D150" s="17" cm="1">
        <f t="array" ref="D150">GetDomainId(C150,G150)</f>
        <v>55</v>
      </c>
      <c r="E150" s="17" t="str" cm="1">
        <f t="array" ref="E150">GetValue("Dmn","Name",D150)</f>
        <v>BigId</v>
      </c>
      <c r="F150" s="17">
        <f t="shared" si="17"/>
        <v>5</v>
      </c>
      <c r="G150" s="17" t="str" cm="1">
        <f t="array" ref="G150">GetColumnName(C150,IF(B150=B149,G149,""))</f>
        <v>Id</v>
      </c>
      <c r="H150" s="17" t="str">
        <f t="shared" si="15"/>
        <v>Id</v>
      </c>
      <c r="I150" s="17" t="str">
        <f t="shared" si="16"/>
        <v>Id</v>
      </c>
      <c r="J150" s="17"/>
      <c r="K150" s="17" t="b">
        <v>1</v>
      </c>
      <c r="L150" s="17" t="b" cm="1">
        <f t="array" ref="L150">IsPrimaryKey(A150)</f>
        <v>1</v>
      </c>
      <c r="M150" s="17" t="b" cm="1">
        <f t="array" ref="M150">IsAutoincrement(A150)</f>
        <v>1</v>
      </c>
      <c r="N150" s="17" t="b" cm="1">
        <f t="array" ref="N150">IsUnique(A150)</f>
        <v>0</v>
      </c>
      <c r="O150" s="17" t="str" cm="1">
        <f t="array" ref="O150">IsFilterable(A150)</f>
        <v/>
      </c>
      <c r="P150" s="17" t="str" cm="1">
        <f t="array" ref="P150">IsEditable(A150)</f>
        <v/>
      </c>
      <c r="Q150" s="17" t="str" cm="1">
        <f t="array" ref="Q150">IsGridable(A150)</f>
        <v/>
      </c>
      <c r="R150" s="17" t="str" cm="1">
        <f t="array" ref="R150">IsListable(A150)</f>
        <v/>
      </c>
      <c r="S150" s="17" t="str" cm="1">
        <f t="array" ref="S150">IsEncrypted(A150)</f>
        <v/>
      </c>
      <c r="T150" s="17" t="str" cm="1">
        <f t="array" ref="T150">IsInWords(A150)</f>
        <v/>
      </c>
      <c r="U150" s="17" t="b">
        <v>0</v>
      </c>
    </row>
    <row r="151" spans="1:21">
      <c r="A151" s="17">
        <f t="shared" si="14"/>
        <v>148</v>
      </c>
      <c r="B151" s="18">
        <v>22</v>
      </c>
      <c r="C151" s="17" t="str" cm="1">
        <f t="array" ref="C151">GetValue("Tbl","Alias",B151)</f>
        <v>Uni</v>
      </c>
      <c r="D151" s="17" cm="1">
        <f t="array" ref="D151">GetDomainId(C151,G151)</f>
        <v>55</v>
      </c>
      <c r="E151" s="17" t="str" cm="1">
        <f t="array" ref="E151">GetValue("Dmn","Name",D151)</f>
        <v>BigId</v>
      </c>
      <c r="F151" s="17">
        <f t="shared" si="17"/>
        <v>10</v>
      </c>
      <c r="G151" s="17" t="str" cm="1">
        <f t="array" ref="G151">GetColumnName(C151,IF(B151=B150,G150,""))</f>
        <v>LeftColumnId</v>
      </c>
      <c r="H151" s="17" t="str">
        <f t="shared" si="15"/>
        <v>LeftColumnId</v>
      </c>
      <c r="I151" s="17" t="str">
        <f t="shared" si="16"/>
        <v>LeftColumnId</v>
      </c>
      <c r="J151" s="17"/>
      <c r="K151" s="17" t="b">
        <v>0</v>
      </c>
      <c r="L151" s="17" t="b" cm="1">
        <f t="array" ref="L151">IsPrimaryKey(A151)</f>
        <v>0</v>
      </c>
      <c r="M151" s="17" t="b" cm="1">
        <f t="array" ref="M151">IsAutoincrement(A151)</f>
        <v>0</v>
      </c>
      <c r="N151" s="17" t="b" cm="1">
        <f t="array" ref="N151">IsUnique(A151)</f>
        <v>0</v>
      </c>
      <c r="O151" s="17" t="b" cm="1">
        <f t="array" ref="O151">IsFilterable(A151)</f>
        <v>1</v>
      </c>
      <c r="P151" s="17" t="b" cm="1">
        <f t="array" ref="P151">IsEditable(A151)</f>
        <v>1</v>
      </c>
      <c r="Q151" s="17" t="b" cm="1">
        <f t="array" ref="Q151">IsGridable(A151)</f>
        <v>1</v>
      </c>
      <c r="R151" s="17" t="str" cm="1">
        <f t="array" ref="R151">IsListable(A151)</f>
        <v/>
      </c>
      <c r="S151" s="17" t="str" cm="1">
        <f t="array" ref="S151">IsEncrypted(A151)</f>
        <v/>
      </c>
      <c r="T151" s="17" t="b" cm="1">
        <f t="array" ref="T151">IsInWords(A151)</f>
        <v>0</v>
      </c>
      <c r="U151" s="17" t="b">
        <v>0</v>
      </c>
    </row>
    <row r="152" spans="1:21">
      <c r="A152" s="17">
        <f t="shared" si="14"/>
        <v>149</v>
      </c>
      <c r="B152" s="18">
        <v>22</v>
      </c>
      <c r="C152" s="17" t="str" cm="1">
        <f t="array" ref="C152">GetValue("Tbl","Alias",B152)</f>
        <v>Uni</v>
      </c>
      <c r="D152" s="17" cm="1">
        <f t="array" ref="D152">GetDomainId(C152,G152)</f>
        <v>55</v>
      </c>
      <c r="E152" s="17" t="str" cm="1">
        <f t="array" ref="E152">GetValue("Dmn","Name",D152)</f>
        <v>BigId</v>
      </c>
      <c r="F152" s="17">
        <f t="shared" si="17"/>
        <v>15</v>
      </c>
      <c r="G152" s="17" t="str" cm="1">
        <f t="array" ref="G152">GetColumnName(C152,IF(B152=B151,G151,""))</f>
        <v>RightColumnId</v>
      </c>
      <c r="H152" s="17" t="str">
        <f t="shared" si="15"/>
        <v>RightColumnId</v>
      </c>
      <c r="I152" s="17" t="str">
        <f t="shared" si="16"/>
        <v>RightColumnId</v>
      </c>
      <c r="J152" s="17"/>
      <c r="K152" s="17" t="b">
        <v>1</v>
      </c>
      <c r="L152" s="17" t="b" cm="1">
        <f t="array" ref="L152">IsPrimaryKey(A152)</f>
        <v>0</v>
      </c>
      <c r="M152" s="17" t="b" cm="1">
        <f t="array" ref="M152">IsAutoincrement(A152)</f>
        <v>0</v>
      </c>
      <c r="N152" s="17" t="b" cm="1">
        <f t="array" ref="N152">IsUnique(A152)</f>
        <v>0</v>
      </c>
      <c r="O152" s="17" t="b" cm="1">
        <f t="array" ref="O152">IsFilterable(A152)</f>
        <v>1</v>
      </c>
      <c r="P152" s="17" t="b" cm="1">
        <f t="array" ref="P152">IsEditable(A152)</f>
        <v>1</v>
      </c>
      <c r="Q152" s="17" t="b" cm="1">
        <f t="array" ref="Q152">IsGridable(A152)</f>
        <v>1</v>
      </c>
      <c r="R152" s="17" t="str" cm="1">
        <f t="array" ref="R152">IsListable(A152)</f>
        <v/>
      </c>
      <c r="S152" s="17" t="str" cm="1">
        <f t="array" ref="S152">IsEncrypted(A152)</f>
        <v/>
      </c>
      <c r="T152" s="17" t="b" cm="1">
        <f t="array" ref="T152">IsInWords(A152)</f>
        <v>0</v>
      </c>
      <c r="U152" s="17" t="b">
        <v>0</v>
      </c>
    </row>
    <row r="153" spans="1:21">
      <c r="A153" s="17">
        <f t="shared" si="14"/>
        <v>150</v>
      </c>
      <c r="B153" s="18">
        <v>22</v>
      </c>
      <c r="C153" s="17" t="str" cm="1">
        <f t="array" ref="C153">GetValue("Tbl","Alias",B153)</f>
        <v>Uni</v>
      </c>
      <c r="D153" s="17" cm="1">
        <f t="array" ref="D153">GetDomainId(C153,G153)</f>
        <v>5</v>
      </c>
      <c r="E153" s="17" t="str" cm="1">
        <f t="array" ref="E153">GetValue("Dmn","Name",D153)</f>
        <v>Boolean</v>
      </c>
      <c r="F153" s="17">
        <f t="shared" si="17"/>
        <v>20</v>
      </c>
      <c r="G153" s="17" t="str" cm="1">
        <f t="array" ref="G153">GetColumnName(C153,IF(B153=B152,G152,""))</f>
        <v>IsBirectional</v>
      </c>
      <c r="H153" s="17" t="str">
        <f t="shared" si="15"/>
        <v>IsBirectional</v>
      </c>
      <c r="I153" s="17" t="str">
        <f t="shared" si="16"/>
        <v>IsBirectional</v>
      </c>
      <c r="J153" s="17"/>
      <c r="K153" s="17" t="b">
        <v>1</v>
      </c>
      <c r="L153" s="17" t="b" cm="1">
        <f t="array" ref="L153">IsPrimaryKey(A153)</f>
        <v>0</v>
      </c>
      <c r="M153" s="17" t="str" cm="1">
        <f t="array" ref="M153">IsAutoincrement(A153)</f>
        <v/>
      </c>
      <c r="N153" s="17" t="str" cm="1">
        <f t="array" ref="N153">IsUnique(A153)</f>
        <v/>
      </c>
      <c r="O153" s="17" t="b" cm="1">
        <f t="array" ref="O153">IsFilterable(A153)</f>
        <v>1</v>
      </c>
      <c r="P153" s="17" t="b" cm="1">
        <f t="array" ref="P153">IsEditable(A153)</f>
        <v>1</v>
      </c>
      <c r="Q153" s="17" t="b" cm="1">
        <f t="array" ref="Q153">IsGridable(A153)</f>
        <v>1</v>
      </c>
      <c r="R153" s="17" t="str" cm="1">
        <f t="array" ref="R153">IsListable(A153)</f>
        <v/>
      </c>
      <c r="S153" s="17" t="str" cm="1">
        <f t="array" ref="S153">IsEncrypted(A153)</f>
        <v/>
      </c>
      <c r="T153" s="17" t="str" cm="1">
        <f t="array" ref="T153">IsInWords(A153)</f>
        <v/>
      </c>
      <c r="U153" s="17" t="b">
        <v>0</v>
      </c>
    </row>
    <row r="154" spans="1:21">
      <c r="A154" s="19">
        <f t="shared" si="14"/>
        <v>151</v>
      </c>
      <c r="B154" s="20">
        <v>23</v>
      </c>
      <c r="C154" s="19" t="str" cm="1">
        <f t="array" ref="C154">GetValue("Tbl","Alias",B154)</f>
        <v>Exp</v>
      </c>
      <c r="D154" s="19" cm="1">
        <f t="array" ref="D154">GetDomainId(C154,G154)</f>
        <v>55</v>
      </c>
      <c r="E154" s="19" t="str" cm="1">
        <f t="array" ref="E154">GetValue("Dmn","Name",D154)</f>
        <v>BigId</v>
      </c>
      <c r="F154" s="19">
        <f t="shared" si="17"/>
        <v>5</v>
      </c>
      <c r="G154" s="19" t="str" cm="1">
        <f t="array" ref="G154">GetColumnName(C154,IF(B154=B153,G153,""))</f>
        <v>Id</v>
      </c>
      <c r="H154" s="19" t="str">
        <f t="shared" si="15"/>
        <v>Id</v>
      </c>
      <c r="I154" s="19" t="str">
        <f t="shared" si="16"/>
        <v>Id</v>
      </c>
      <c r="J154" s="19"/>
      <c r="K154" s="19" t="b">
        <v>1</v>
      </c>
      <c r="L154" s="19" t="b" cm="1">
        <f t="array" ref="L154">IsPrimaryKey(A154)</f>
        <v>1</v>
      </c>
      <c r="M154" s="19" t="b" cm="1">
        <f t="array" ref="M154">IsAutoincrement(A154)</f>
        <v>1</v>
      </c>
      <c r="N154" s="19" t="b" cm="1">
        <f t="array" ref="N154">IsUnique(A154)</f>
        <v>0</v>
      </c>
      <c r="O154" s="19" t="str" cm="1">
        <f t="array" ref="O154">IsFilterable(A154)</f>
        <v/>
      </c>
      <c r="P154" s="19" t="str" cm="1">
        <f t="array" ref="P154">IsEditable(A154)</f>
        <v/>
      </c>
      <c r="Q154" s="19" t="str" cm="1">
        <f t="array" ref="Q154">IsGridable(A154)</f>
        <v/>
      </c>
      <c r="R154" s="19" t="str" cm="1">
        <f t="array" ref="R154">IsListable(A154)</f>
        <v/>
      </c>
      <c r="S154" s="19" t="str" cm="1">
        <f t="array" ref="S154">IsEncrypted(A154)</f>
        <v/>
      </c>
      <c r="T154" s="19" t="str" cm="1">
        <f t="array" ref="T154">IsInWords(A154)</f>
        <v/>
      </c>
      <c r="U154" s="19" t="b">
        <v>0</v>
      </c>
    </row>
    <row r="155" spans="1:21">
      <c r="A155" s="19">
        <f t="shared" si="14"/>
        <v>152</v>
      </c>
      <c r="B155" s="20">
        <v>23</v>
      </c>
      <c r="C155" s="19" t="str" cm="1">
        <f t="array" ref="C155">GetValue("Tbl","Alias",B155)</f>
        <v>Exp</v>
      </c>
      <c r="D155" s="19" cm="1">
        <f t="array" ref="D155">GetDomainId(C155,G155)</f>
        <v>55</v>
      </c>
      <c r="E155" s="19" t="str" cm="1">
        <f t="array" ref="E155">GetValue("Dmn","Name",D155)</f>
        <v>BigId</v>
      </c>
      <c r="F155" s="19">
        <f t="shared" si="17"/>
        <v>10</v>
      </c>
      <c r="G155" s="19" t="str" cm="1">
        <f t="array" ref="G155">GetColumnName(C155,IF(B155=B154,G154,""))</f>
        <v>TableId</v>
      </c>
      <c r="H155" s="19" t="str">
        <f t="shared" si="15"/>
        <v>TableId</v>
      </c>
      <c r="I155" s="19" t="str">
        <f t="shared" si="16"/>
        <v>TableId</v>
      </c>
      <c r="J155" s="19"/>
      <c r="K155" s="19" t="b">
        <v>1</v>
      </c>
      <c r="L155" s="19" t="b" cm="1">
        <f t="array" ref="L155">IsPrimaryKey(A155)</f>
        <v>0</v>
      </c>
      <c r="M155" s="19" t="b" cm="1">
        <f t="array" ref="M155">IsAutoincrement(A155)</f>
        <v>0</v>
      </c>
      <c r="N155" s="19" t="b" cm="1">
        <f t="array" ref="N155">IsUnique(A155)</f>
        <v>0</v>
      </c>
      <c r="O155" s="19" t="b" cm="1">
        <f t="array" ref="O155">IsFilterable(A155)</f>
        <v>1</v>
      </c>
      <c r="P155" s="19" t="b" cm="1">
        <f t="array" ref="P155">IsEditable(A155)</f>
        <v>1</v>
      </c>
      <c r="Q155" s="19" t="b" cm="1">
        <f t="array" ref="Q155">IsGridable(A155)</f>
        <v>1</v>
      </c>
      <c r="R155" s="19" t="str" cm="1">
        <f t="array" ref="R155">IsListable(A155)</f>
        <v/>
      </c>
      <c r="S155" s="19" t="str" cm="1">
        <f t="array" ref="S155">IsEncrypted(A155)</f>
        <v/>
      </c>
      <c r="T155" s="19" t="b" cm="1">
        <f t="array" ref="T155">IsInWords(A155)</f>
        <v>0</v>
      </c>
      <c r="U155" s="19" t="b">
        <v>0</v>
      </c>
    </row>
    <row r="156" spans="1:21">
      <c r="A156" s="19">
        <f t="shared" si="14"/>
        <v>153</v>
      </c>
      <c r="B156" s="20">
        <v>23</v>
      </c>
      <c r="C156" s="19" t="str" cm="1">
        <f t="array" ref="C156">GetValue("Tbl","Alias",B156)</f>
        <v>Exp</v>
      </c>
      <c r="D156" s="19" cm="1">
        <f t="array" ref="D156">GetDomainId(C156,G156)</f>
        <v>11</v>
      </c>
      <c r="E156" s="19" t="str" cm="1">
        <f t="array" ref="E156">GetValue("Dmn","Name",D156)</f>
        <v>NVARCHAR(25)</v>
      </c>
      <c r="F156" s="19">
        <f t="shared" si="17"/>
        <v>15</v>
      </c>
      <c r="G156" s="19" t="str" cm="1">
        <f t="array" ref="G156">GetColumnName(C156,IF(B156=B155,G155,""))</f>
        <v>Name</v>
      </c>
      <c r="H156" s="19" t="str">
        <f t="shared" si="15"/>
        <v>Name</v>
      </c>
      <c r="I156" s="19" t="str">
        <f t="shared" si="16"/>
        <v>Name</v>
      </c>
      <c r="J156" s="19"/>
      <c r="K156" s="19" t="b">
        <v>1</v>
      </c>
      <c r="L156" s="19" t="b" cm="1">
        <f t="array" ref="L156">IsPrimaryKey(A156)</f>
        <v>0</v>
      </c>
      <c r="M156" s="19" t="str" cm="1">
        <f t="array" ref="M156">IsAutoincrement(A156)</f>
        <v/>
      </c>
      <c r="N156" s="19" t="b" cm="1">
        <f t="array" ref="N156">IsUnique(A156)</f>
        <v>0</v>
      </c>
      <c r="O156" s="19" t="b" cm="1">
        <f t="array" ref="O156">IsFilterable(A156)</f>
        <v>1</v>
      </c>
      <c r="P156" s="19" t="b" cm="1">
        <f t="array" ref="P156">IsEditable(A156)</f>
        <v>1</v>
      </c>
      <c r="Q156" s="19" t="b" cm="1">
        <f t="array" ref="Q156">IsGridable(A156)</f>
        <v>1</v>
      </c>
      <c r="R156" s="19" t="b" cm="1">
        <f t="array" ref="R156">IsListable(A156)</f>
        <v>0</v>
      </c>
      <c r="S156" s="19" t="b" cm="1">
        <f t="array" ref="S156">IsEncrypted(A156)</f>
        <v>0</v>
      </c>
      <c r="T156" s="19" t="str" cm="1">
        <f t="array" ref="T156">IsInWords(A156)</f>
        <v/>
      </c>
      <c r="U156" s="19" t="b">
        <v>0</v>
      </c>
    </row>
    <row r="157" spans="1:21">
      <c r="A157" s="17">
        <f t="shared" si="14"/>
        <v>154</v>
      </c>
      <c r="B157" s="18">
        <v>24</v>
      </c>
      <c r="C157" s="17" t="str" cm="1">
        <f t="array" ref="C157">GetValue("Tbl","Alias",B157)</f>
        <v>Cnd</v>
      </c>
      <c r="D157" s="17" cm="1">
        <f t="array" ref="D157">GetDomainId(C157,G157)</f>
        <v>55</v>
      </c>
      <c r="E157" s="17" t="str" cm="1">
        <f t="array" ref="E157">GetValue("Dmn","Name",D157)</f>
        <v>BigId</v>
      </c>
      <c r="F157" s="17">
        <f t="shared" si="17"/>
        <v>5</v>
      </c>
      <c r="G157" s="17" t="str" cm="1">
        <f t="array" ref="G157">GetColumnName(C157,IF(B157=B156,G156,""))</f>
        <v>Id</v>
      </c>
      <c r="H157" s="17" t="str">
        <f t="shared" si="15"/>
        <v>Id</v>
      </c>
      <c r="I157" s="17" t="str">
        <f t="shared" si="16"/>
        <v>Id</v>
      </c>
      <c r="J157" s="17"/>
      <c r="K157" s="17" t="b">
        <v>1</v>
      </c>
      <c r="L157" s="17" t="b" cm="1">
        <f t="array" ref="L157">IsPrimaryKey(A157)</f>
        <v>1</v>
      </c>
      <c r="M157" s="17" t="b" cm="1">
        <f t="array" ref="M157">IsAutoincrement(A157)</f>
        <v>1</v>
      </c>
      <c r="N157" s="17" t="b" cm="1">
        <f t="array" ref="N157">IsUnique(A157)</f>
        <v>0</v>
      </c>
      <c r="O157" s="17" t="str" cm="1">
        <f t="array" ref="O157">IsFilterable(A157)</f>
        <v/>
      </c>
      <c r="P157" s="17" t="str" cm="1">
        <f t="array" ref="P157">IsEditable(A157)</f>
        <v/>
      </c>
      <c r="Q157" s="17" t="str" cm="1">
        <f t="array" ref="Q157">IsGridable(A157)</f>
        <v/>
      </c>
      <c r="R157" s="17" t="str" cm="1">
        <f t="array" ref="R157">IsListable(A157)</f>
        <v/>
      </c>
      <c r="S157" s="17" t="str" cm="1">
        <f t="array" ref="S157">IsEncrypted(A157)</f>
        <v/>
      </c>
      <c r="T157" s="17" t="str" cm="1">
        <f t="array" ref="T157">IsInWords(A157)</f>
        <v/>
      </c>
      <c r="U157" s="17" t="b">
        <v>0</v>
      </c>
    </row>
    <row r="158" spans="1:21">
      <c r="A158" s="17">
        <f t="shared" si="14"/>
        <v>155</v>
      </c>
      <c r="B158" s="18">
        <v>24</v>
      </c>
      <c r="C158" s="17" t="str" cm="1">
        <f t="array" ref="C158">GetValue("Tbl","Alias",B158)</f>
        <v>Cnd</v>
      </c>
      <c r="D158" s="17" cm="1">
        <f t="array" ref="D158">GetDomainId(C158,G158)</f>
        <v>55</v>
      </c>
      <c r="E158" s="17" t="str" cm="1">
        <f t="array" ref="E158">GetValue("Dmn","Name",D158)</f>
        <v>BigId</v>
      </c>
      <c r="F158" s="17">
        <f t="shared" si="17"/>
        <v>10</v>
      </c>
      <c r="G158" s="17" t="str" cm="1">
        <f t="array" ref="G158">GetColumnName(C158,IF(B158=B157,G157,""))</f>
        <v>ExpressionId</v>
      </c>
      <c r="H158" s="17" t="str">
        <f t="shared" si="15"/>
        <v>ExpressionId</v>
      </c>
      <c r="I158" s="17" t="str">
        <f t="shared" si="16"/>
        <v>ExpressionId</v>
      </c>
      <c r="J158" s="17"/>
      <c r="K158" s="17" t="b">
        <v>1</v>
      </c>
      <c r="L158" s="17" t="b" cm="1">
        <f t="array" ref="L158">IsPrimaryKey(A158)</f>
        <v>0</v>
      </c>
      <c r="M158" s="17" t="b" cm="1">
        <f t="array" ref="M158">IsAutoincrement(A158)</f>
        <v>0</v>
      </c>
      <c r="N158" s="17" t="b" cm="1">
        <f t="array" ref="N158">IsUnique(A158)</f>
        <v>0</v>
      </c>
      <c r="O158" s="17" t="b" cm="1">
        <f t="array" ref="O158">IsFilterable(A158)</f>
        <v>1</v>
      </c>
      <c r="P158" s="17" t="b" cm="1">
        <f t="array" ref="P158">IsEditable(A158)</f>
        <v>1</v>
      </c>
      <c r="Q158" s="17" t="b" cm="1">
        <f t="array" ref="Q158">IsGridable(A158)</f>
        <v>1</v>
      </c>
      <c r="R158" s="17" t="str" cm="1">
        <f t="array" ref="R158">IsListable(A158)</f>
        <v/>
      </c>
      <c r="S158" s="17" t="str" cm="1">
        <f t="array" ref="S158">IsEncrypted(A158)</f>
        <v/>
      </c>
      <c r="T158" s="17" t="b" cm="1">
        <f t="array" ref="T158">IsInWords(A158)</f>
        <v>0</v>
      </c>
      <c r="U158" s="17" t="b">
        <v>0</v>
      </c>
    </row>
    <row r="159" spans="1:21">
      <c r="A159" s="17">
        <f t="shared" si="14"/>
        <v>156</v>
      </c>
      <c r="B159" s="18">
        <v>24</v>
      </c>
      <c r="C159" s="17" t="str" cm="1">
        <f t="array" ref="C159">GetValue("Tbl","Alias",B159)</f>
        <v>Cnd</v>
      </c>
      <c r="D159" s="17" cm="1">
        <f t="array" ref="D159">GetDomainId(C159,G159)</f>
        <v>59</v>
      </c>
      <c r="E159" s="17" t="str" cm="1">
        <f t="array" ref="E159">GetValue("Dmn","Name",D159)</f>
        <v>SEQUENCE</v>
      </c>
      <c r="F159" s="17">
        <f t="shared" si="17"/>
        <v>15</v>
      </c>
      <c r="G159" s="17" t="str" cm="1">
        <f t="array" ref="G159">GetColumnName(C159,IF(B159=B158,G158,""))</f>
        <v>Sequence</v>
      </c>
      <c r="H159" s="17" t="str">
        <f t="shared" si="15"/>
        <v>Sequence</v>
      </c>
      <c r="I159" s="17" t="str">
        <f t="shared" si="16"/>
        <v>Sequence</v>
      </c>
      <c r="J159" s="17"/>
      <c r="K159" s="17" t="b">
        <v>1</v>
      </c>
      <c r="L159" s="17" t="b" cm="1">
        <f t="array" ref="L159">IsPrimaryKey(A159)</f>
        <v>0</v>
      </c>
      <c r="M159" s="17" t="b" cm="1">
        <f t="array" ref="M159">IsAutoincrement(A159)</f>
        <v>0</v>
      </c>
      <c r="N159" s="17" t="b" cm="1">
        <f t="array" ref="N159">IsUnique(A159)</f>
        <v>0</v>
      </c>
      <c r="O159" s="17" t="b" cm="1">
        <f t="array" ref="O159">IsFilterable(A159)</f>
        <v>1</v>
      </c>
      <c r="P159" s="17" t="b" cm="1">
        <f t="array" ref="P159">IsEditable(A159)</f>
        <v>1</v>
      </c>
      <c r="Q159" s="17" t="b" cm="1">
        <f t="array" ref="Q159">IsGridable(A159)</f>
        <v>1</v>
      </c>
      <c r="R159" s="17" t="str" cm="1">
        <f t="array" ref="R159">IsListable(A159)</f>
        <v/>
      </c>
      <c r="S159" s="17" t="str" cm="1">
        <f t="array" ref="S159">IsEncrypted(A159)</f>
        <v/>
      </c>
      <c r="T159" s="17" t="b" cm="1">
        <f t="array" ref="T159">IsInWords(A159)</f>
        <v>0</v>
      </c>
      <c r="U159" s="17" t="b">
        <v>0</v>
      </c>
    </row>
    <row r="160" spans="1:21">
      <c r="A160" s="17">
        <f t="shared" si="14"/>
        <v>157</v>
      </c>
      <c r="B160" s="18">
        <v>24</v>
      </c>
      <c r="C160" s="17" t="str" cm="1">
        <f t="array" ref="C160">GetValue("Tbl","Alias",B160)</f>
        <v>Cnd</v>
      </c>
      <c r="D160" s="17" cm="1">
        <f t="array" ref="D160">GetDomainId(C160,G160)</f>
        <v>29</v>
      </c>
      <c r="E160" s="17" t="str" cm="1">
        <f t="array" ref="E160">GetValue("Dmn","Name",D160)</f>
        <v>Logical Connector</v>
      </c>
      <c r="F160" s="17">
        <f t="shared" si="17"/>
        <v>20</v>
      </c>
      <c r="G160" s="17" t="str" cm="1">
        <f t="array" ref="G160">GetColumnName(C160,IF(B160=B159,G159,""))</f>
        <v>Connector</v>
      </c>
      <c r="H160" s="17" t="str">
        <f t="shared" si="15"/>
        <v>Connector</v>
      </c>
      <c r="I160" s="17" t="str">
        <f t="shared" si="16"/>
        <v>Connector</v>
      </c>
      <c r="J160" s="17"/>
      <c r="K160" s="17" t="b">
        <v>1</v>
      </c>
      <c r="L160" s="17" t="b" cm="1">
        <f t="array" ref="L160">IsPrimaryKey(A160)</f>
        <v>0</v>
      </c>
      <c r="M160" s="17" t="str" cm="1">
        <f t="array" ref="M160">IsAutoincrement(A160)</f>
        <v/>
      </c>
      <c r="N160" s="17" t="b" cm="1">
        <f t="array" ref="N160">IsUnique(A160)</f>
        <v>0</v>
      </c>
      <c r="O160" s="17" t="b" cm="1">
        <f t="array" ref="O160">IsFilterable(A160)</f>
        <v>1</v>
      </c>
      <c r="P160" s="17" t="b" cm="1">
        <f t="array" ref="P160">IsEditable(A160)</f>
        <v>1</v>
      </c>
      <c r="Q160" s="17" t="b" cm="1">
        <f t="array" ref="Q160">IsGridable(A160)</f>
        <v>1</v>
      </c>
      <c r="R160" s="17" t="b" cm="1">
        <f t="array" ref="R160">IsListable(A160)</f>
        <v>0</v>
      </c>
      <c r="S160" s="17" t="b" cm="1">
        <f t="array" ref="S160">IsEncrypted(A160)</f>
        <v>0</v>
      </c>
      <c r="T160" s="17" t="str" cm="1">
        <f t="array" ref="T160">IsInWords(A160)</f>
        <v/>
      </c>
      <c r="U160" s="17" t="b">
        <v>0</v>
      </c>
    </row>
    <row r="161" spans="1:21">
      <c r="A161" s="17">
        <f t="shared" si="14"/>
        <v>158</v>
      </c>
      <c r="B161" s="18">
        <v>24</v>
      </c>
      <c r="C161" s="17" t="str" cm="1">
        <f t="array" ref="C161">GetValue("Tbl","Alias",B161)</f>
        <v>Cnd</v>
      </c>
      <c r="D161" s="17" cm="1">
        <f t="array" ref="D161">GetDomainId(C161,G161)</f>
        <v>30</v>
      </c>
      <c r="E161" s="17" t="str" cm="1">
        <f t="array" ref="E161">GetValue("Dmn","Name",D161)</f>
        <v>Left Parenthesis</v>
      </c>
      <c r="F161" s="17">
        <f t="shared" si="17"/>
        <v>25</v>
      </c>
      <c r="G161" s="17" t="str" cm="1">
        <f t="array" ref="G161">GetColumnName(C161,IF(B161=B160,G160,""))</f>
        <v>LeftParenthesis</v>
      </c>
      <c r="H161" s="17" t="str">
        <f t="shared" si="15"/>
        <v>LeftParenthesis</v>
      </c>
      <c r="I161" s="17" t="str">
        <f t="shared" si="16"/>
        <v>LeftParenthesis</v>
      </c>
      <c r="J161" s="17"/>
      <c r="K161" s="17" t="b">
        <v>1</v>
      </c>
      <c r="L161" s="17" t="b" cm="1">
        <f t="array" ref="L161">IsPrimaryKey(A161)</f>
        <v>0</v>
      </c>
      <c r="M161" s="17" t="str" cm="1">
        <f t="array" ref="M161">IsAutoincrement(A161)</f>
        <v/>
      </c>
      <c r="N161" s="17" t="b" cm="1">
        <f t="array" ref="N161">IsUnique(A161)</f>
        <v>0</v>
      </c>
      <c r="O161" s="17" t="b" cm="1">
        <f t="array" ref="O161">IsFilterable(A161)</f>
        <v>1</v>
      </c>
      <c r="P161" s="17" t="b" cm="1">
        <f t="array" ref="P161">IsEditable(A161)</f>
        <v>1</v>
      </c>
      <c r="Q161" s="17" t="b" cm="1">
        <f t="array" ref="Q161">IsGridable(A161)</f>
        <v>1</v>
      </c>
      <c r="R161" s="17" t="b" cm="1">
        <f t="array" ref="R161">IsListable(A161)</f>
        <v>0</v>
      </c>
      <c r="S161" s="17" t="b" cm="1">
        <f t="array" ref="S161">IsEncrypted(A161)</f>
        <v>0</v>
      </c>
      <c r="T161" s="17" t="str" cm="1">
        <f t="array" ref="T161">IsInWords(A161)</f>
        <v/>
      </c>
      <c r="U161" s="17" t="b">
        <v>0</v>
      </c>
    </row>
    <row r="162" spans="1:21">
      <c r="A162" s="17">
        <f t="shared" si="14"/>
        <v>159</v>
      </c>
      <c r="B162" s="18">
        <v>24</v>
      </c>
      <c r="C162" s="17" t="str" cm="1">
        <f t="array" ref="C162">GetValue("Tbl","Alias",B162)</f>
        <v>Cnd</v>
      </c>
      <c r="D162" s="17" cm="1">
        <f t="array" ref="D162">GetDomainId(C162,G162)</f>
        <v>55</v>
      </c>
      <c r="E162" s="17" t="str" cm="1">
        <f t="array" ref="E162">GetValue("Dmn","Name",D162)</f>
        <v>BigId</v>
      </c>
      <c r="F162" s="17">
        <f t="shared" si="17"/>
        <v>30</v>
      </c>
      <c r="G162" s="17" t="str" cm="1">
        <f t="array" ref="G162">GetColumnName(C162,IF(B162=B161,G161,""))</f>
        <v>LeftColumnId</v>
      </c>
      <c r="H162" s="17" t="str">
        <f t="shared" si="15"/>
        <v>LeftColumnId</v>
      </c>
      <c r="I162" s="17" t="str">
        <f t="shared" si="16"/>
        <v>LeftColumnId</v>
      </c>
      <c r="J162" s="17"/>
      <c r="K162" s="17" t="b">
        <v>1</v>
      </c>
      <c r="L162" s="17" t="b" cm="1">
        <f t="array" ref="L162">IsPrimaryKey(A162)</f>
        <v>0</v>
      </c>
      <c r="M162" s="17" t="b" cm="1">
        <f t="array" ref="M162">IsAutoincrement(A162)</f>
        <v>0</v>
      </c>
      <c r="N162" s="17" t="b" cm="1">
        <f t="array" ref="N162">IsUnique(A162)</f>
        <v>0</v>
      </c>
      <c r="O162" s="17" t="b" cm="1">
        <f t="array" ref="O162">IsFilterable(A162)</f>
        <v>1</v>
      </c>
      <c r="P162" s="17" t="b" cm="1">
        <f t="array" ref="P162">IsEditable(A162)</f>
        <v>1</v>
      </c>
      <c r="Q162" s="17" t="b" cm="1">
        <f t="array" ref="Q162">IsGridable(A162)</f>
        <v>1</v>
      </c>
      <c r="R162" s="17" t="str" cm="1">
        <f t="array" ref="R162">IsListable(A162)</f>
        <v/>
      </c>
      <c r="S162" s="17" t="str" cm="1">
        <f t="array" ref="S162">IsEncrypted(A162)</f>
        <v/>
      </c>
      <c r="T162" s="17" t="b" cm="1">
        <f t="array" ref="T162">IsInWords(A162)</f>
        <v>0</v>
      </c>
      <c r="U162" s="17" t="b">
        <v>0</v>
      </c>
    </row>
    <row r="163" spans="1:21">
      <c r="A163" s="17">
        <f t="shared" si="14"/>
        <v>160</v>
      </c>
      <c r="B163" s="18">
        <v>24</v>
      </c>
      <c r="C163" s="17" t="str" cm="1">
        <f t="array" ref="C163">GetValue("Tbl","Alias",B163)</f>
        <v>Cnd</v>
      </c>
      <c r="D163" s="17" cm="1">
        <f t="array" ref="D163">GetDomainId(C163,G163)</f>
        <v>58</v>
      </c>
      <c r="E163" s="17" t="str" cm="1">
        <f t="array" ref="E163">GetValue("Dmn","Name",D163)</f>
        <v>TinyId</v>
      </c>
      <c r="F163" s="17">
        <f t="shared" si="17"/>
        <v>35</v>
      </c>
      <c r="G163" s="17" t="str" cm="1">
        <f t="array" ref="G163">GetColumnName(C163,IF(B163=B162,G162,""))</f>
        <v>ComparatorId</v>
      </c>
      <c r="H163" s="17" t="str">
        <f t="shared" si="15"/>
        <v>ComparatorId</v>
      </c>
      <c r="I163" s="17" t="str">
        <f t="shared" si="16"/>
        <v>ComparatorId</v>
      </c>
      <c r="J163" s="17"/>
      <c r="K163" s="17" t="b">
        <v>0</v>
      </c>
      <c r="L163" s="17" t="b" cm="1">
        <f t="array" ref="L163">IsPrimaryKey(A163)</f>
        <v>0</v>
      </c>
      <c r="M163" s="17" t="b" cm="1">
        <f t="array" ref="M163">IsAutoincrement(A163)</f>
        <v>0</v>
      </c>
      <c r="N163" s="17" t="b" cm="1">
        <f t="array" ref="N163">IsUnique(A163)</f>
        <v>0</v>
      </c>
      <c r="O163" s="17" t="b" cm="1">
        <f t="array" ref="O163">IsFilterable(A163)</f>
        <v>1</v>
      </c>
      <c r="P163" s="17" t="b" cm="1">
        <f t="array" ref="P163">IsEditable(A163)</f>
        <v>1</v>
      </c>
      <c r="Q163" s="17" t="b" cm="1">
        <f t="array" ref="Q163">IsGridable(A163)</f>
        <v>1</v>
      </c>
      <c r="R163" s="17" t="str" cm="1">
        <f t="array" ref="R163">IsListable(A163)</f>
        <v/>
      </c>
      <c r="S163" s="17" t="str" cm="1">
        <f t="array" ref="S163">IsEncrypted(A163)</f>
        <v/>
      </c>
      <c r="T163" s="17" t="b" cm="1">
        <f t="array" ref="T163">IsInWords(A163)</f>
        <v>0</v>
      </c>
      <c r="U163" s="17" t="b">
        <v>0</v>
      </c>
    </row>
    <row r="164" spans="1:21">
      <c r="A164" s="17">
        <f t="shared" si="14"/>
        <v>161</v>
      </c>
      <c r="B164" s="18">
        <v>24</v>
      </c>
      <c r="C164" s="17" t="str" cm="1">
        <f t="array" ref="C164">GetValue("Tbl","Alias",B164)</f>
        <v>Cnd</v>
      </c>
      <c r="D164" s="17" cm="1">
        <f t="array" ref="D164">GetDomainId(C164,G164)</f>
        <v>55</v>
      </c>
      <c r="E164" s="17" t="str" cm="1">
        <f t="array" ref="E164">GetValue("Dmn","Name",D164)</f>
        <v>BigId</v>
      </c>
      <c r="F164" s="17">
        <f t="shared" si="17"/>
        <v>40</v>
      </c>
      <c r="G164" s="17" t="str" cm="1">
        <f t="array" ref="G164">GetColumnName(C164,IF(B164=B163,G163,""))</f>
        <v>RightColumnId</v>
      </c>
      <c r="H164" s="17" t="str">
        <f t="shared" si="15"/>
        <v>RightColumnId</v>
      </c>
      <c r="I164" s="17" t="str">
        <f t="shared" si="16"/>
        <v>RightColumnId</v>
      </c>
      <c r="J164" s="17"/>
      <c r="K164" s="17" t="b">
        <v>0</v>
      </c>
      <c r="L164" s="17" t="b" cm="1">
        <f t="array" ref="L164">IsPrimaryKey(A164)</f>
        <v>0</v>
      </c>
      <c r="M164" s="17" t="b" cm="1">
        <f t="array" ref="M164">IsAutoincrement(A164)</f>
        <v>0</v>
      </c>
      <c r="N164" s="17" t="b" cm="1">
        <f t="array" ref="N164">IsUnique(A164)</f>
        <v>0</v>
      </c>
      <c r="O164" s="17" t="b" cm="1">
        <f t="array" ref="O164">IsFilterable(A164)</f>
        <v>1</v>
      </c>
      <c r="P164" s="17" t="b" cm="1">
        <f t="array" ref="P164">IsEditable(A164)</f>
        <v>1</v>
      </c>
      <c r="Q164" s="17" t="b" cm="1">
        <f t="array" ref="Q164">IsGridable(A164)</f>
        <v>1</v>
      </c>
      <c r="R164" s="17" t="str" cm="1">
        <f t="array" ref="R164">IsListable(A164)</f>
        <v/>
      </c>
      <c r="S164" s="17" t="str" cm="1">
        <f t="array" ref="S164">IsEncrypted(A164)</f>
        <v/>
      </c>
      <c r="T164" s="17" t="b" cm="1">
        <f t="array" ref="T164">IsInWords(A164)</f>
        <v>0</v>
      </c>
      <c r="U164" s="17" t="b">
        <v>0</v>
      </c>
    </row>
    <row r="165" spans="1:21">
      <c r="A165" s="17">
        <f t="shared" si="14"/>
        <v>162</v>
      </c>
      <c r="B165" s="18">
        <v>24</v>
      </c>
      <c r="C165" s="17" t="str" cm="1">
        <f t="array" ref="C165">GetValue("Tbl","Alias",B165)</f>
        <v>Cnd</v>
      </c>
      <c r="D165" s="17" cm="1">
        <f t="array" ref="D165">GetDomainId(C165,G165)</f>
        <v>24</v>
      </c>
      <c r="E165" s="17" t="str" cm="1">
        <f t="array" ref="E165">GetValue("Dmn","Name",D165)</f>
        <v>VARIANT</v>
      </c>
      <c r="F165" s="17">
        <f t="shared" si="17"/>
        <v>45</v>
      </c>
      <c r="G165" s="17" t="str" cm="1">
        <f t="array" ref="G165">GetColumnName(C165,IF(B165=B164,G164,""))</f>
        <v>RightValues</v>
      </c>
      <c r="H165" s="17" t="str">
        <f t="shared" si="15"/>
        <v>RightValues</v>
      </c>
      <c r="I165" s="17" t="str">
        <f t="shared" si="16"/>
        <v>RightValues</v>
      </c>
      <c r="J165" s="17"/>
      <c r="K165" s="17" t="b">
        <v>0</v>
      </c>
      <c r="L165" s="17" t="str" cm="1">
        <f t="array" ref="L165">IsPrimaryKey(A165)</f>
        <v/>
      </c>
      <c r="M165" s="17" t="str" cm="1">
        <f t="array" ref="M165">IsAutoincrement(A165)</f>
        <v/>
      </c>
      <c r="N165" s="17" t="str" cm="1">
        <f t="array" ref="N165">IsUnique(A165)</f>
        <v/>
      </c>
      <c r="O165" s="17" t="str" cm="1">
        <f t="array" ref="O165">IsFilterable(A165)</f>
        <v/>
      </c>
      <c r="P165" s="17" t="b" cm="1">
        <f t="array" ref="P165">IsEditable(A165)</f>
        <v>1</v>
      </c>
      <c r="Q165" s="17" t="str" cm="1">
        <f t="array" ref="Q165">IsGridable(A165)</f>
        <v/>
      </c>
      <c r="R165" s="17" t="str" cm="1">
        <f t="array" ref="R165">IsListable(A165)</f>
        <v/>
      </c>
      <c r="S165" s="17" t="str" cm="1">
        <f t="array" ref="S165">IsEncrypted(A165)</f>
        <v/>
      </c>
      <c r="T165" s="17" t="str" cm="1">
        <f t="array" ref="T165">IsInWords(A165)</f>
        <v/>
      </c>
      <c r="U165" s="17" t="b">
        <v>0</v>
      </c>
    </row>
    <row r="166" spans="1:21">
      <c r="A166" s="17">
        <f t="shared" si="14"/>
        <v>163</v>
      </c>
      <c r="B166" s="18">
        <v>24</v>
      </c>
      <c r="C166" s="17" t="str" cm="1">
        <f t="array" ref="C166">GetValue("Tbl","Alias",B166)</f>
        <v>Cnd</v>
      </c>
      <c r="D166" s="17" cm="1">
        <f t="array" ref="D166">GetDomainId(C166,G166)</f>
        <v>31</v>
      </c>
      <c r="E166" s="17" t="str" cm="1">
        <f t="array" ref="E166">GetValue("Dmn","Name",D166)</f>
        <v>Right Parenthesis</v>
      </c>
      <c r="F166" s="17">
        <f t="shared" si="17"/>
        <v>50</v>
      </c>
      <c r="G166" s="17" t="str" cm="1">
        <f t="array" ref="G166">GetColumnName(C166,IF(B166=B165,G165,""))</f>
        <v>RightParenthesis</v>
      </c>
      <c r="H166" s="17" t="str">
        <f t="shared" si="15"/>
        <v>RightParenthesis</v>
      </c>
      <c r="I166" s="17" t="str">
        <f t="shared" si="16"/>
        <v>RightParenthesis</v>
      </c>
      <c r="J166" s="17"/>
      <c r="K166" s="17" t="b">
        <v>0</v>
      </c>
      <c r="L166" s="17" t="b" cm="1">
        <f t="array" ref="L166">IsPrimaryKey(A166)</f>
        <v>0</v>
      </c>
      <c r="M166" s="17" t="str" cm="1">
        <f t="array" ref="M166">IsAutoincrement(A166)</f>
        <v/>
      </c>
      <c r="N166" s="17" t="b" cm="1">
        <f t="array" ref="N166">IsUnique(A166)</f>
        <v>0</v>
      </c>
      <c r="O166" s="17" t="b" cm="1">
        <f t="array" ref="O166">IsFilterable(A166)</f>
        <v>1</v>
      </c>
      <c r="P166" s="17" t="b" cm="1">
        <f t="array" ref="P166">IsEditable(A166)</f>
        <v>1</v>
      </c>
      <c r="Q166" s="17" t="b" cm="1">
        <f t="array" ref="Q166">IsGridable(A166)</f>
        <v>1</v>
      </c>
      <c r="R166" s="17" t="b" cm="1">
        <f t="array" ref="R166">IsListable(A166)</f>
        <v>0</v>
      </c>
      <c r="S166" s="17" t="b" cm="1">
        <f t="array" ref="S166">IsEncrypted(A166)</f>
        <v>0</v>
      </c>
      <c r="T166" s="17" t="str" cm="1">
        <f t="array" ref="T166">IsInWords(A166)</f>
        <v/>
      </c>
      <c r="U166" s="17" t="b">
        <v>0</v>
      </c>
    </row>
    <row r="167" spans="1:21">
      <c r="A167" s="19">
        <f t="shared" si="14"/>
        <v>164</v>
      </c>
      <c r="B167" s="20">
        <v>25</v>
      </c>
      <c r="C167" s="19" t="str" cm="1">
        <f t="array" ref="C167">GetValue("Tbl","Alias",B167)</f>
        <v>Ref</v>
      </c>
      <c r="D167" s="19" cm="1">
        <f t="array" ref="D167">GetDomainId(C167,G167)</f>
        <v>55</v>
      </c>
      <c r="E167" s="19" t="str" cm="1">
        <f t="array" ref="E167">GetValue("Dmn","Name",D167)</f>
        <v>BigId</v>
      </c>
      <c r="F167" s="19">
        <f t="shared" si="17"/>
        <v>5</v>
      </c>
      <c r="G167" s="19" t="str" cm="1">
        <f t="array" ref="G167">GetColumnName(C167,IF(B167=B166,G166,""))</f>
        <v>Id</v>
      </c>
      <c r="H167" s="19" t="str">
        <f t="shared" si="15"/>
        <v>Id</v>
      </c>
      <c r="I167" s="19" t="str">
        <f t="shared" si="16"/>
        <v>Id</v>
      </c>
      <c r="J167" s="19"/>
      <c r="K167" s="19" t="b">
        <v>1</v>
      </c>
      <c r="L167" s="19" t="b" cm="1">
        <f t="array" ref="L167">IsPrimaryKey(A167)</f>
        <v>1</v>
      </c>
      <c r="M167" s="19" t="b" cm="1">
        <f t="array" ref="M167">IsAutoincrement(A167)</f>
        <v>1</v>
      </c>
      <c r="N167" s="19" t="b" cm="1">
        <f t="array" ref="N167">IsUnique(A167)</f>
        <v>0</v>
      </c>
      <c r="O167" s="19" t="str" cm="1">
        <f t="array" ref="O167">IsFilterable(A167)</f>
        <v/>
      </c>
      <c r="P167" s="19" t="str" cm="1">
        <f t="array" ref="P167">IsEditable(A167)</f>
        <v/>
      </c>
      <c r="Q167" s="19" t="str" cm="1">
        <f t="array" ref="Q167">IsGridable(A167)</f>
        <v/>
      </c>
      <c r="R167" s="19" t="str" cm="1">
        <f t="array" ref="R167">IsListable(A167)</f>
        <v/>
      </c>
      <c r="S167" s="19" t="str" cm="1">
        <f t="array" ref="S167">IsEncrypted(A167)</f>
        <v/>
      </c>
      <c r="T167" s="19" t="str" cm="1">
        <f t="array" ref="T167">IsInWords(A167)</f>
        <v/>
      </c>
      <c r="U167" s="19" t="b">
        <v>0</v>
      </c>
    </row>
    <row r="168" spans="1:21">
      <c r="A168" s="19">
        <f t="shared" si="14"/>
        <v>165</v>
      </c>
      <c r="B168" s="20">
        <v>25</v>
      </c>
      <c r="C168" s="19" t="str" cm="1">
        <f t="array" ref="C168">GetValue("Tbl","Alias",B168)</f>
        <v>Ref</v>
      </c>
      <c r="D168" s="19" cm="1">
        <f t="array" ref="D168">GetDomainId(C168,G168)</f>
        <v>55</v>
      </c>
      <c r="E168" s="19" t="str" cm="1">
        <f t="array" ref="E168">GetValue("Dmn","Name",D168)</f>
        <v>BigId</v>
      </c>
      <c r="F168" s="19">
        <f t="shared" si="17"/>
        <v>10</v>
      </c>
      <c r="G168" s="19" t="str" cm="1">
        <f t="array" ref="G168">GetColumnName(C168,IF(B168=B167,G167,""))</f>
        <v>FkTableId</v>
      </c>
      <c r="H168" s="19" t="str">
        <f t="shared" si="15"/>
        <v>FkTableId</v>
      </c>
      <c r="I168" s="19" t="str">
        <f t="shared" si="16"/>
        <v>FkTableId</v>
      </c>
      <c r="J168" s="19"/>
      <c r="K168" s="19" t="b">
        <v>1</v>
      </c>
      <c r="L168" s="19" t="b" cm="1">
        <f t="array" ref="L168">IsPrimaryKey(A168)</f>
        <v>0</v>
      </c>
      <c r="M168" s="19" t="b" cm="1">
        <f t="array" ref="M168">IsAutoincrement(A168)</f>
        <v>0</v>
      </c>
      <c r="N168" s="19" t="b" cm="1">
        <f t="array" ref="N168">IsUnique(A168)</f>
        <v>0</v>
      </c>
      <c r="O168" s="19" t="b" cm="1">
        <f t="array" ref="O168">IsFilterable(A168)</f>
        <v>1</v>
      </c>
      <c r="P168" s="19" t="b" cm="1">
        <f t="array" ref="P168">IsEditable(A168)</f>
        <v>1</v>
      </c>
      <c r="Q168" s="19" t="b" cm="1">
        <f t="array" ref="Q168">IsGridable(A168)</f>
        <v>1</v>
      </c>
      <c r="R168" s="19" t="str" cm="1">
        <f t="array" ref="R168">IsListable(A168)</f>
        <v/>
      </c>
      <c r="S168" s="19" t="str" cm="1">
        <f t="array" ref="S168">IsEncrypted(A168)</f>
        <v/>
      </c>
      <c r="T168" s="19" t="b" cm="1">
        <f t="array" ref="T168">IsInWords(A168)</f>
        <v>0</v>
      </c>
      <c r="U168" s="19" t="b">
        <v>0</v>
      </c>
    </row>
    <row r="169" spans="1:21">
      <c r="A169" s="19">
        <f t="shared" si="14"/>
        <v>166</v>
      </c>
      <c r="B169" s="20">
        <v>25</v>
      </c>
      <c r="C169" s="19" t="str" cm="1">
        <f t="array" ref="C169">GetValue("Tbl","Alias",B169)</f>
        <v>Ref</v>
      </c>
      <c r="D169" s="19" cm="1">
        <f t="array" ref="D169">GetDomainId(C169,G169)</f>
        <v>55</v>
      </c>
      <c r="E169" s="19" t="str" cm="1">
        <f t="array" ref="E169">GetValue("Dmn","Name",D169)</f>
        <v>BigId</v>
      </c>
      <c r="F169" s="19">
        <f t="shared" si="17"/>
        <v>15</v>
      </c>
      <c r="G169" s="19" t="str" cm="1">
        <f t="array" ref="G169">GetColumnName(C169,IF(B169=B168,G168,""))</f>
        <v>PkTableId</v>
      </c>
      <c r="H169" s="19" t="str">
        <f t="shared" si="15"/>
        <v>PkTableId</v>
      </c>
      <c r="I169" s="19" t="str">
        <f t="shared" si="16"/>
        <v>PkTableId</v>
      </c>
      <c r="J169" s="19"/>
      <c r="K169" s="19" t="b">
        <v>0</v>
      </c>
      <c r="L169" s="19" t="b" cm="1">
        <f t="array" ref="L169">IsPrimaryKey(A169)</f>
        <v>0</v>
      </c>
      <c r="M169" s="19" t="b" cm="1">
        <f t="array" ref="M169">IsAutoincrement(A169)</f>
        <v>0</v>
      </c>
      <c r="N169" s="19" t="b" cm="1">
        <f t="array" ref="N169">IsUnique(A169)</f>
        <v>0</v>
      </c>
      <c r="O169" s="19" t="b" cm="1">
        <f t="array" ref="O169">IsFilterable(A169)</f>
        <v>1</v>
      </c>
      <c r="P169" s="19" t="b" cm="1">
        <f t="array" ref="P169">IsEditable(A169)</f>
        <v>1</v>
      </c>
      <c r="Q169" s="19" t="b" cm="1">
        <f t="array" ref="Q169">IsGridable(A169)</f>
        <v>1</v>
      </c>
      <c r="R169" s="19" t="str" cm="1">
        <f t="array" ref="R169">IsListable(A169)</f>
        <v/>
      </c>
      <c r="S169" s="19" t="str" cm="1">
        <f t="array" ref="S169">IsEncrypted(A169)</f>
        <v/>
      </c>
      <c r="T169" s="19" t="b" cm="1">
        <f t="array" ref="T169">IsInWords(A169)</f>
        <v>0</v>
      </c>
      <c r="U169" s="19" t="b">
        <v>0</v>
      </c>
    </row>
    <row r="170" spans="1:21">
      <c r="A170" s="19">
        <f t="shared" si="14"/>
        <v>167</v>
      </c>
      <c r="B170" s="20">
        <v>25</v>
      </c>
      <c r="C170" s="19" t="str" cm="1">
        <f t="array" ref="C170">GetValue("Tbl","Alias",B170)</f>
        <v>Ref</v>
      </c>
      <c r="D170" s="19" cm="1">
        <f t="array" ref="D170">GetDomainId(C170,G170)</f>
        <v>12</v>
      </c>
      <c r="E170" s="19" t="str" cm="1">
        <f t="array" ref="E170">GetValue("Dmn","Name",D170)</f>
        <v>NVARCHAR(50)</v>
      </c>
      <c r="F170" s="19">
        <f t="shared" si="17"/>
        <v>20</v>
      </c>
      <c r="G170" s="19" t="str" cm="1">
        <f t="array" ref="G170">GetColumnName(C170,IF(B170=B169,G169,""))</f>
        <v>Name</v>
      </c>
      <c r="H170" s="19" t="str">
        <f t="shared" si="15"/>
        <v>Name</v>
      </c>
      <c r="I170" s="19" t="str">
        <f t="shared" si="16"/>
        <v>Name</v>
      </c>
      <c r="J170" s="19"/>
      <c r="K170" s="19" t="b">
        <v>0</v>
      </c>
      <c r="L170" s="19" t="b" cm="1">
        <f t="array" ref="L170">IsPrimaryKey(A170)</f>
        <v>0</v>
      </c>
      <c r="M170" s="19" t="str" cm="1">
        <f t="array" ref="M170">IsAutoincrement(A170)</f>
        <v/>
      </c>
      <c r="N170" s="19" t="b" cm="1">
        <f t="array" ref="N170">IsUnique(A170)</f>
        <v>0</v>
      </c>
      <c r="O170" s="19" t="b" cm="1">
        <f t="array" ref="O170">IsFilterable(A170)</f>
        <v>1</v>
      </c>
      <c r="P170" s="19" t="b" cm="1">
        <f t="array" ref="P170">IsEditable(A170)</f>
        <v>1</v>
      </c>
      <c r="Q170" s="19" t="b" cm="1">
        <f t="array" ref="Q170">IsGridable(A170)</f>
        <v>1</v>
      </c>
      <c r="R170" s="19" t="b" cm="1">
        <f t="array" ref="R170">IsListable(A170)</f>
        <v>0</v>
      </c>
      <c r="S170" s="19" t="b" cm="1">
        <f t="array" ref="S170">IsEncrypted(A170)</f>
        <v>0</v>
      </c>
      <c r="T170" s="19" t="str" cm="1">
        <f t="array" ref="T170">IsInWords(A170)</f>
        <v/>
      </c>
      <c r="U170" s="19" t="b">
        <v>0</v>
      </c>
    </row>
    <row r="171" spans="1:21">
      <c r="A171" s="19">
        <f t="shared" si="14"/>
        <v>168</v>
      </c>
      <c r="B171" s="20">
        <v>25</v>
      </c>
      <c r="C171" s="19" t="str" cm="1">
        <f t="array" ref="C171">GetValue("Tbl","Alias",B171)</f>
        <v>Ref</v>
      </c>
      <c r="D171" s="19" cm="1">
        <f t="array" ref="D171">GetDomainId(C171,G171)</f>
        <v>5</v>
      </c>
      <c r="E171" s="19" t="str" cm="1">
        <f t="array" ref="E171">GetValue("Dmn","Name",D171)</f>
        <v>Boolean</v>
      </c>
      <c r="F171" s="19">
        <f t="shared" si="17"/>
        <v>25</v>
      </c>
      <c r="G171" s="19" t="str" cm="1">
        <f t="array" ref="G171">GetColumnName(C171,IF(B171=B170,G170,""))</f>
        <v>IsParentChildren</v>
      </c>
      <c r="H171" s="19" t="str">
        <f t="shared" si="15"/>
        <v>IsParentChildren</v>
      </c>
      <c r="I171" s="19" t="str">
        <f t="shared" si="16"/>
        <v>IsParentChildren</v>
      </c>
      <c r="J171" s="19"/>
      <c r="K171" s="19" t="b">
        <v>1</v>
      </c>
      <c r="L171" s="19" t="b" cm="1">
        <f t="array" ref="L171">IsPrimaryKey(A171)</f>
        <v>0</v>
      </c>
      <c r="M171" s="19" t="str" cm="1">
        <f t="array" ref="M171">IsAutoincrement(A171)</f>
        <v/>
      </c>
      <c r="N171" s="19" t="str" cm="1">
        <f t="array" ref="N171">IsUnique(A171)</f>
        <v/>
      </c>
      <c r="O171" s="19" t="b" cm="1">
        <f t="array" ref="O171">IsFilterable(A171)</f>
        <v>1</v>
      </c>
      <c r="P171" s="19" t="b" cm="1">
        <f t="array" ref="P171">IsEditable(A171)</f>
        <v>1</v>
      </c>
      <c r="Q171" s="19" t="b" cm="1">
        <f t="array" ref="Q171">IsGridable(A171)</f>
        <v>1</v>
      </c>
      <c r="R171" s="19" t="str" cm="1">
        <f t="array" ref="R171">IsListable(A171)</f>
        <v/>
      </c>
      <c r="S171" s="19" t="str" cm="1">
        <f t="array" ref="S171">IsEncrypted(A171)</f>
        <v/>
      </c>
      <c r="T171" s="19" t="str" cm="1">
        <f t="array" ref="T171">IsInWords(A171)</f>
        <v/>
      </c>
      <c r="U171" s="19" t="b">
        <v>0</v>
      </c>
    </row>
    <row r="172" spans="1:21">
      <c r="A172" s="17">
        <f t="shared" si="14"/>
        <v>169</v>
      </c>
      <c r="B172" s="18">
        <v>26</v>
      </c>
      <c r="C172" s="17" t="str" cm="1">
        <f t="array" ref="C172">GetValue("Tbl","Alias",B172)</f>
        <v>Rfk</v>
      </c>
      <c r="D172" s="17" cm="1">
        <f t="array" ref="D172">GetDomainId(C172,G172)</f>
        <v>55</v>
      </c>
      <c r="E172" s="17" t="str" cm="1">
        <f t="array" ref="E172">GetValue("Dmn","Name",D172)</f>
        <v>BigId</v>
      </c>
      <c r="F172" s="17">
        <f t="shared" si="17"/>
        <v>5</v>
      </c>
      <c r="G172" s="17" t="str" cm="1">
        <f t="array" ref="G172">GetColumnName(C172,IF(B172=B171,G171,""))</f>
        <v>Id</v>
      </c>
      <c r="H172" s="17" t="str">
        <f t="shared" si="15"/>
        <v>Id</v>
      </c>
      <c r="I172" s="17" t="str">
        <f t="shared" si="16"/>
        <v>Id</v>
      </c>
      <c r="J172" s="17"/>
      <c r="K172" s="17" t="b">
        <v>1</v>
      </c>
      <c r="L172" s="17" t="b" cm="1">
        <f t="array" ref="L172">IsPrimaryKey(A172)</f>
        <v>1</v>
      </c>
      <c r="M172" s="17" t="b" cm="1">
        <f t="array" ref="M172">IsAutoincrement(A172)</f>
        <v>1</v>
      </c>
      <c r="N172" s="17" t="b" cm="1">
        <f t="array" ref="N172">IsUnique(A172)</f>
        <v>0</v>
      </c>
      <c r="O172" s="17" t="str" cm="1">
        <f t="array" ref="O172">IsFilterable(A172)</f>
        <v/>
      </c>
      <c r="P172" s="17" t="str" cm="1">
        <f t="array" ref="P172">IsEditable(A172)</f>
        <v/>
      </c>
      <c r="Q172" s="17" t="str" cm="1">
        <f t="array" ref="Q172">IsGridable(A172)</f>
        <v/>
      </c>
      <c r="R172" s="17" t="str" cm="1">
        <f t="array" ref="R172">IsListable(A172)</f>
        <v/>
      </c>
      <c r="S172" s="17" t="str" cm="1">
        <f t="array" ref="S172">IsEncrypted(A172)</f>
        <v/>
      </c>
      <c r="T172" s="17" t="str" cm="1">
        <f t="array" ref="T172">IsInWords(A172)</f>
        <v/>
      </c>
      <c r="U172" s="17" t="b">
        <v>0</v>
      </c>
    </row>
    <row r="173" spans="1:21">
      <c r="A173" s="17">
        <f t="shared" si="14"/>
        <v>170</v>
      </c>
      <c r="B173" s="18">
        <v>26</v>
      </c>
      <c r="C173" s="17" t="str" cm="1">
        <f t="array" ref="C173">GetValue("Tbl","Alias",B173)</f>
        <v>Rfk</v>
      </c>
      <c r="D173" s="17" cm="1">
        <f t="array" ref="D173">GetDomainId(C173,G173)</f>
        <v>55</v>
      </c>
      <c r="E173" s="17" t="str" cm="1">
        <f t="array" ref="E173">GetValue("Dmn","Name",D173)</f>
        <v>BigId</v>
      </c>
      <c r="F173" s="17">
        <f t="shared" si="17"/>
        <v>10</v>
      </c>
      <c r="G173" s="17" t="str" cm="1">
        <f t="array" ref="G173">GetColumnName(C173,IF(B173=B172,G172,""))</f>
        <v>ReferenceId</v>
      </c>
      <c r="H173" s="17" t="str">
        <f t="shared" si="15"/>
        <v>ReferenceId</v>
      </c>
      <c r="I173" s="17" t="str">
        <f t="shared" si="16"/>
        <v>ReferenceId</v>
      </c>
      <c r="J173" s="17"/>
      <c r="K173" s="17" t="b">
        <v>1</v>
      </c>
      <c r="L173" s="17" t="b" cm="1">
        <f t="array" ref="L173">IsPrimaryKey(A173)</f>
        <v>0</v>
      </c>
      <c r="M173" s="17" t="b" cm="1">
        <f t="array" ref="M173">IsAutoincrement(A173)</f>
        <v>0</v>
      </c>
      <c r="N173" s="17" t="b" cm="1">
        <f t="array" ref="N173">IsUnique(A173)</f>
        <v>0</v>
      </c>
      <c r="O173" s="17" t="b" cm="1">
        <f t="array" ref="O173">IsFilterable(A173)</f>
        <v>1</v>
      </c>
      <c r="P173" s="17" t="b" cm="1">
        <f t="array" ref="P173">IsEditable(A173)</f>
        <v>1</v>
      </c>
      <c r="Q173" s="17" t="b" cm="1">
        <f t="array" ref="Q173">IsGridable(A173)</f>
        <v>1</v>
      </c>
      <c r="R173" s="17" t="str" cm="1">
        <f t="array" ref="R173">IsListable(A173)</f>
        <v/>
      </c>
      <c r="S173" s="17" t="str" cm="1">
        <f t="array" ref="S173">IsEncrypted(A173)</f>
        <v/>
      </c>
      <c r="T173" s="17" t="b" cm="1">
        <f t="array" ref="T173">IsInWords(A173)</f>
        <v>0</v>
      </c>
      <c r="U173" s="17" t="b">
        <v>0</v>
      </c>
    </row>
    <row r="174" spans="1:21">
      <c r="A174" s="17">
        <f t="shared" si="14"/>
        <v>171</v>
      </c>
      <c r="B174" s="18">
        <v>26</v>
      </c>
      <c r="C174" s="17" t="str" cm="1">
        <f t="array" ref="C174">GetValue("Tbl","Alias",B174)</f>
        <v>Rfk</v>
      </c>
      <c r="D174" s="17" cm="1">
        <f t="array" ref="D174">GetDomainId(C174,G174)</f>
        <v>55</v>
      </c>
      <c r="E174" s="17" t="str" cm="1">
        <f t="array" ref="E174">GetValue("Dmn","Name",D174)</f>
        <v>BigId</v>
      </c>
      <c r="F174" s="17">
        <f t="shared" si="17"/>
        <v>15</v>
      </c>
      <c r="G174" s="17" t="str" cm="1">
        <f t="array" ref="G174">GetColumnName(C174,IF(B174=B173,G173,""))</f>
        <v>FkColumnId</v>
      </c>
      <c r="H174" s="17" t="str">
        <f t="shared" si="15"/>
        <v>FkColumnId</v>
      </c>
      <c r="I174" s="17" t="str">
        <f t="shared" si="16"/>
        <v>FkColumnId</v>
      </c>
      <c r="J174" s="17"/>
      <c r="K174" s="17" t="b">
        <v>1</v>
      </c>
      <c r="L174" s="17" t="b" cm="1">
        <f t="array" ref="L174">IsPrimaryKey(A174)</f>
        <v>0</v>
      </c>
      <c r="M174" s="17" t="b" cm="1">
        <f t="array" ref="M174">IsAutoincrement(A174)</f>
        <v>0</v>
      </c>
      <c r="N174" s="17" t="b" cm="1">
        <f t="array" ref="N174">IsUnique(A174)</f>
        <v>0</v>
      </c>
      <c r="O174" s="17" t="b" cm="1">
        <f t="array" ref="O174">IsFilterable(A174)</f>
        <v>1</v>
      </c>
      <c r="P174" s="17" t="b" cm="1">
        <f t="array" ref="P174">IsEditable(A174)</f>
        <v>1</v>
      </c>
      <c r="Q174" s="17" t="b" cm="1">
        <f t="array" ref="Q174">IsGridable(A174)</f>
        <v>1</v>
      </c>
      <c r="R174" s="17" t="str" cm="1">
        <f t="array" ref="R174">IsListable(A174)</f>
        <v/>
      </c>
      <c r="S174" s="17" t="str" cm="1">
        <f t="array" ref="S174">IsEncrypted(A174)</f>
        <v/>
      </c>
      <c r="T174" s="17" t="b" cm="1">
        <f t="array" ref="T174">IsInWords(A174)</f>
        <v>0</v>
      </c>
      <c r="U174" s="17" t="b">
        <v>0</v>
      </c>
    </row>
    <row r="175" spans="1:21">
      <c r="A175" s="17">
        <f t="shared" si="14"/>
        <v>172</v>
      </c>
      <c r="B175" s="18">
        <v>26</v>
      </c>
      <c r="C175" s="17" t="str" cm="1">
        <f t="array" ref="C175">GetValue("Tbl","Alias",B175)</f>
        <v>Rfk</v>
      </c>
      <c r="D175" s="17" cm="1">
        <f t="array" ref="D175">GetDomainId(C175,G175)</f>
        <v>59</v>
      </c>
      <c r="E175" s="17" t="str" cm="1">
        <f t="array" ref="E175">GetValue("Dmn","Name",D175)</f>
        <v>SEQUENCE</v>
      </c>
      <c r="F175" s="17">
        <f t="shared" si="17"/>
        <v>20</v>
      </c>
      <c r="G175" s="17" t="str" cm="1">
        <f t="array" ref="G175">GetColumnName(C175,IF(B175=B174,G174,""))</f>
        <v>Sequence</v>
      </c>
      <c r="H175" s="17" t="str">
        <f t="shared" si="15"/>
        <v>Sequence</v>
      </c>
      <c r="I175" s="17" t="str">
        <f t="shared" si="16"/>
        <v>Sequence</v>
      </c>
      <c r="J175" s="17"/>
      <c r="K175" s="17" t="b">
        <v>1</v>
      </c>
      <c r="L175" s="17" t="b" cm="1">
        <f t="array" ref="L175">IsPrimaryKey(A175)</f>
        <v>0</v>
      </c>
      <c r="M175" s="17" t="b" cm="1">
        <f t="array" ref="M175">IsAutoincrement(A175)</f>
        <v>0</v>
      </c>
      <c r="N175" s="17" t="b" cm="1">
        <f t="array" ref="N175">IsUnique(A175)</f>
        <v>0</v>
      </c>
      <c r="O175" s="17" t="b" cm="1">
        <f t="array" ref="O175">IsFilterable(A175)</f>
        <v>1</v>
      </c>
      <c r="P175" s="17" t="b" cm="1">
        <f t="array" ref="P175">IsEditable(A175)</f>
        <v>1</v>
      </c>
      <c r="Q175" s="17" t="b" cm="1">
        <f t="array" ref="Q175">IsGridable(A175)</f>
        <v>1</v>
      </c>
      <c r="R175" s="17" t="str" cm="1">
        <f t="array" ref="R175">IsListable(A175)</f>
        <v/>
      </c>
      <c r="S175" s="17" t="str" cm="1">
        <f t="array" ref="S175">IsEncrypted(A175)</f>
        <v/>
      </c>
      <c r="T175" s="17" t="b" cm="1">
        <f t="array" ref="T175">IsInWords(A175)</f>
        <v>0</v>
      </c>
      <c r="U175" s="17" t="b">
        <v>0</v>
      </c>
    </row>
    <row r="176" spans="1:21">
      <c r="A176" s="19">
        <f t="shared" si="14"/>
        <v>173</v>
      </c>
      <c r="B176" s="20">
        <v>27</v>
      </c>
      <c r="C176" s="19" t="str" cm="1">
        <f t="array" ref="C176">GetValue("Tbl","Alias",B176)</f>
        <v>Usr</v>
      </c>
      <c r="D176" s="19" cm="1">
        <f t="array" ref="D176">GetDomainId(C176,G176)</f>
        <v>55</v>
      </c>
      <c r="E176" s="19" t="str" cm="1">
        <f t="array" ref="E176">GetValue("Dmn","Name",D176)</f>
        <v>BigId</v>
      </c>
      <c r="F176" s="19">
        <f t="shared" si="17"/>
        <v>5</v>
      </c>
      <c r="G176" s="19" t="str" cm="1">
        <f t="array" ref="G176">GetColumnName(C176,IF(B176=B175,G175,""))</f>
        <v>Id</v>
      </c>
      <c r="H176" s="19" t="str">
        <f t="shared" si="15"/>
        <v>Id</v>
      </c>
      <c r="I176" s="19" t="str">
        <f t="shared" si="16"/>
        <v>Id</v>
      </c>
      <c r="J176" s="19"/>
      <c r="K176" s="19" t="b">
        <v>0</v>
      </c>
      <c r="L176" s="19" t="b" cm="1">
        <f t="array" ref="L176">IsPrimaryKey(A176)</f>
        <v>1</v>
      </c>
      <c r="M176" s="19" t="b" cm="1">
        <f t="array" ref="M176">IsAutoincrement(A176)</f>
        <v>1</v>
      </c>
      <c r="N176" s="19" t="b" cm="1">
        <f t="array" ref="N176">IsUnique(A176)</f>
        <v>0</v>
      </c>
      <c r="O176" s="19" t="str" cm="1">
        <f t="array" ref="O176">IsFilterable(A176)</f>
        <v/>
      </c>
      <c r="P176" s="19" t="str" cm="1">
        <f t="array" ref="P176">IsEditable(A176)</f>
        <v/>
      </c>
      <c r="Q176" s="19" t="str" cm="1">
        <f t="array" ref="Q176">IsGridable(A176)</f>
        <v/>
      </c>
      <c r="R176" s="19" t="str" cm="1">
        <f t="array" ref="R176">IsListable(A176)</f>
        <v/>
      </c>
      <c r="S176" s="19" t="str" cm="1">
        <f t="array" ref="S176">IsEncrypted(A176)</f>
        <v/>
      </c>
      <c r="T176" s="19" t="str" cm="1">
        <f t="array" ref="T176">IsInWords(A176)</f>
        <v/>
      </c>
      <c r="U176" s="19" t="b">
        <v>0</v>
      </c>
    </row>
    <row r="177" spans="1:21">
      <c r="A177" s="19">
        <f t="shared" si="14"/>
        <v>174</v>
      </c>
      <c r="B177" s="20">
        <v>27</v>
      </c>
      <c r="C177" s="19" t="str" cm="1">
        <f t="array" ref="C177">GetValue("Tbl","Alias",B177)</f>
        <v>Usr</v>
      </c>
      <c r="D177" s="19" cm="1">
        <f t="array" ref="D177">GetDomainId(C177,G177)</f>
        <v>57</v>
      </c>
      <c r="E177" s="19" t="str" cm="1">
        <f t="array" ref="E177">GetValue("Dmn","Name",D177)</f>
        <v>SmallId</v>
      </c>
      <c r="F177" s="19">
        <f t="shared" si="17"/>
        <v>10</v>
      </c>
      <c r="G177" s="19" t="str" cm="1">
        <f t="array" ref="G177">GetColumnName(C177,IF(B177=B176,G176,""))</f>
        <v>OwnertId</v>
      </c>
      <c r="H177" s="19" t="str">
        <f t="shared" si="15"/>
        <v>OwnertId</v>
      </c>
      <c r="I177" s="19" t="str">
        <f t="shared" si="16"/>
        <v>OwnertId</v>
      </c>
      <c r="J177" s="19"/>
      <c r="K177" s="19" t="b">
        <v>1</v>
      </c>
      <c r="L177" s="19" t="b" cm="1">
        <f t="array" ref="L177">IsPrimaryKey(A177)</f>
        <v>0</v>
      </c>
      <c r="M177" s="19" t="b" cm="1">
        <f t="array" ref="M177">IsAutoincrement(A177)</f>
        <v>0</v>
      </c>
      <c r="N177" s="19" t="b" cm="1">
        <f t="array" ref="N177">IsUnique(A177)</f>
        <v>0</v>
      </c>
      <c r="O177" s="19" t="b" cm="1">
        <f t="array" ref="O177">IsFilterable(A177)</f>
        <v>1</v>
      </c>
      <c r="P177" s="19" t="b" cm="1">
        <f t="array" ref="P177">IsEditable(A177)</f>
        <v>1</v>
      </c>
      <c r="Q177" s="19" t="b" cm="1">
        <f t="array" ref="Q177">IsGridable(A177)</f>
        <v>1</v>
      </c>
      <c r="R177" s="19" t="str" cm="1">
        <f t="array" ref="R177">IsListable(A177)</f>
        <v/>
      </c>
      <c r="S177" s="19" t="str" cm="1">
        <f t="array" ref="S177">IsEncrypted(A177)</f>
        <v/>
      </c>
      <c r="T177" s="19" t="b" cm="1">
        <f t="array" ref="T177">IsInWords(A177)</f>
        <v>0</v>
      </c>
      <c r="U177" s="19" t="b">
        <v>0</v>
      </c>
    </row>
    <row r="178" spans="1:21">
      <c r="A178" s="19">
        <f t="shared" si="14"/>
        <v>175</v>
      </c>
      <c r="B178" s="20">
        <v>27</v>
      </c>
      <c r="C178" s="19" t="str" cm="1">
        <f t="array" ref="C178">GetValue("Tbl","Alias",B178)</f>
        <v>Usr</v>
      </c>
      <c r="D178" s="19" cm="1">
        <f t="array" ref="D178">GetDomainId(C178,G178)</f>
        <v>11</v>
      </c>
      <c r="E178" s="19" t="str" cm="1">
        <f t="array" ref="E178">GetValue("Dmn","Name",D178)</f>
        <v>NVARCHAR(25)</v>
      </c>
      <c r="F178" s="19">
        <f t="shared" si="17"/>
        <v>15</v>
      </c>
      <c r="G178" s="19" t="str" cm="1">
        <f t="array" ref="G178">GetColumnName(C178,IF(B178=B177,G177,""))</f>
        <v>Name</v>
      </c>
      <c r="H178" s="19" t="str">
        <f t="shared" si="15"/>
        <v>Name</v>
      </c>
      <c r="I178" s="19" t="str">
        <f t="shared" si="16"/>
        <v>Name</v>
      </c>
      <c r="J178" s="19"/>
      <c r="K178" s="19" t="b">
        <v>1</v>
      </c>
      <c r="L178" s="19" t="b" cm="1">
        <f t="array" ref="L178">IsPrimaryKey(A178)</f>
        <v>0</v>
      </c>
      <c r="M178" s="19" t="str" cm="1">
        <f t="array" ref="M178">IsAutoincrement(A178)</f>
        <v/>
      </c>
      <c r="N178" s="19" t="b" cm="1">
        <f t="array" ref="N178">IsUnique(A178)</f>
        <v>0</v>
      </c>
      <c r="O178" s="19" t="b" cm="1">
        <f t="array" ref="O178">IsFilterable(A178)</f>
        <v>1</v>
      </c>
      <c r="P178" s="19" t="b" cm="1">
        <f t="array" ref="P178">IsEditable(A178)</f>
        <v>1</v>
      </c>
      <c r="Q178" s="19" t="b" cm="1">
        <f t="array" ref="Q178">IsGridable(A178)</f>
        <v>1</v>
      </c>
      <c r="R178" s="19" t="b" cm="1">
        <f t="array" ref="R178">IsListable(A178)</f>
        <v>0</v>
      </c>
      <c r="S178" s="19" t="b" cm="1">
        <f t="array" ref="S178">IsEncrypted(A178)</f>
        <v>0</v>
      </c>
      <c r="T178" s="19" t="str" cm="1">
        <f t="array" ref="T178">IsInWords(A178)</f>
        <v/>
      </c>
      <c r="U178" s="19" t="b">
        <v>0</v>
      </c>
    </row>
    <row r="179" spans="1:21">
      <c r="A179" s="19">
        <f t="shared" si="14"/>
        <v>176</v>
      </c>
      <c r="B179" s="20">
        <v>27</v>
      </c>
      <c r="C179" s="19" t="str" cm="1">
        <f t="array" ref="C179">GetValue("Tbl","Alias",B179)</f>
        <v>Usr</v>
      </c>
      <c r="D179" s="19" cm="1">
        <f t="array" ref="D179">GetDomainId(C179,G179)</f>
        <v>13</v>
      </c>
      <c r="E179" s="19" t="str" cm="1">
        <f t="array" ref="E179">GetValue("Dmn","Name",D179)</f>
        <v>NVARCHAR(256)</v>
      </c>
      <c r="F179" s="19">
        <f t="shared" si="17"/>
        <v>20</v>
      </c>
      <c r="G179" s="19" t="str" cm="1">
        <f t="array" ref="G179">GetColumnName(C179,IF(B179=B178,G178,""))</f>
        <v>Password</v>
      </c>
      <c r="H179" s="19" t="str">
        <f t="shared" si="15"/>
        <v>Password</v>
      </c>
      <c r="I179" s="19" t="str">
        <f t="shared" si="16"/>
        <v>Password</v>
      </c>
      <c r="J179" s="19"/>
      <c r="K179" s="19" t="b">
        <v>1</v>
      </c>
      <c r="L179" s="19" t="b" cm="1">
        <f t="array" ref="L179">IsPrimaryKey(A179)</f>
        <v>0</v>
      </c>
      <c r="M179" s="19" t="str" cm="1">
        <f t="array" ref="M179">IsAutoincrement(A179)</f>
        <v/>
      </c>
      <c r="N179" s="19" t="b" cm="1">
        <f t="array" ref="N179">IsUnique(A179)</f>
        <v>0</v>
      </c>
      <c r="O179" s="19" t="b" cm="1">
        <f t="array" ref="O179">IsFilterable(A179)</f>
        <v>1</v>
      </c>
      <c r="P179" s="19" t="b" cm="1">
        <f t="array" ref="P179">IsEditable(A179)</f>
        <v>1</v>
      </c>
      <c r="Q179" s="19" t="b" cm="1">
        <f t="array" ref="Q179">IsGridable(A179)</f>
        <v>1</v>
      </c>
      <c r="R179" s="19" t="b" cm="1">
        <f t="array" ref="R179">IsListable(A179)</f>
        <v>0</v>
      </c>
      <c r="S179" s="19" t="b" cm="1">
        <f t="array" ref="S179">IsEncrypted(A179)</f>
        <v>0</v>
      </c>
      <c r="T179" s="19" t="str" cm="1">
        <f t="array" ref="T179">IsInWords(A179)</f>
        <v/>
      </c>
      <c r="U179" s="19" t="b">
        <v>0</v>
      </c>
    </row>
    <row r="180" spans="1:21">
      <c r="A180" s="19">
        <f t="shared" si="14"/>
        <v>177</v>
      </c>
      <c r="B180" s="20">
        <v>27</v>
      </c>
      <c r="C180" s="19" t="str" cm="1">
        <f t="array" ref="C180">GetValue("Tbl","Alias",B180)</f>
        <v>Usr</v>
      </c>
      <c r="D180" s="19" cm="1">
        <f t="array" ref="D180">GetDomainId(C180,G180)</f>
        <v>4</v>
      </c>
      <c r="E180" s="19" t="str" cm="1">
        <f t="array" ref="E180">GetValue("Dmn","Name",D180)</f>
        <v>TinyInteger</v>
      </c>
      <c r="F180" s="19">
        <f t="shared" si="17"/>
        <v>25</v>
      </c>
      <c r="G180" s="19" t="str" cm="1">
        <f t="array" ref="G180">GetColumnName(C180,IF(B180=B179,G179,""))</f>
        <v>RetryLogins</v>
      </c>
      <c r="H180" s="19" t="str">
        <f t="shared" si="15"/>
        <v>RetryLogins</v>
      </c>
      <c r="I180" s="19" t="str">
        <f t="shared" si="16"/>
        <v>RetryLogins</v>
      </c>
      <c r="J180" s="19"/>
      <c r="K180" s="19" t="b">
        <v>0</v>
      </c>
      <c r="L180" s="19" t="b" cm="1">
        <f t="array" ref="L180">IsPrimaryKey(A180)</f>
        <v>0</v>
      </c>
      <c r="M180" s="19" t="b" cm="1">
        <f t="array" ref="M180">IsAutoincrement(A180)</f>
        <v>0</v>
      </c>
      <c r="N180" s="19" t="b" cm="1">
        <f t="array" ref="N180">IsUnique(A180)</f>
        <v>0</v>
      </c>
      <c r="O180" s="19" t="b" cm="1">
        <f t="array" ref="O180">IsFilterable(A180)</f>
        <v>1</v>
      </c>
      <c r="P180" s="19" t="b" cm="1">
        <f t="array" ref="P180">IsEditable(A180)</f>
        <v>1</v>
      </c>
      <c r="Q180" s="19" t="b" cm="1">
        <f t="array" ref="Q180">IsGridable(A180)</f>
        <v>1</v>
      </c>
      <c r="R180" s="19" t="str" cm="1">
        <f t="array" ref="R180">IsListable(A180)</f>
        <v/>
      </c>
      <c r="S180" s="19" t="str" cm="1">
        <f t="array" ref="S180">IsEncrypted(A180)</f>
        <v/>
      </c>
      <c r="T180" s="19" t="b" cm="1">
        <f t="array" ref="T180">IsInWords(A180)</f>
        <v>0</v>
      </c>
      <c r="U180" s="19" t="b">
        <v>0</v>
      </c>
    </row>
    <row r="181" spans="1:21">
      <c r="A181" s="19">
        <f t="shared" ref="A181:A255" si="18">ROW(A181)-3</f>
        <v>178</v>
      </c>
      <c r="B181" s="20">
        <v>27</v>
      </c>
      <c r="C181" s="19" t="str" cm="1">
        <f t="array" ref="C181">GetValue("Tbl","Alias",B181)</f>
        <v>Usr</v>
      </c>
      <c r="D181" s="19" cm="1">
        <f t="array" ref="D181">GetDomainId(C181,G181)</f>
        <v>5</v>
      </c>
      <c r="E181" s="19" t="str" cm="1">
        <f t="array" ref="E181">GetValue("Dmn","Name",D181)</f>
        <v>Boolean</v>
      </c>
      <c r="F181" s="19">
        <f t="shared" si="17"/>
        <v>30</v>
      </c>
      <c r="G181" s="19" t="str" cm="1">
        <f t="array" ref="G181">GetColumnName(C181,IF(B181=B180,G180,""))</f>
        <v>CanDevEnvironment</v>
      </c>
      <c r="H181" s="19" t="str">
        <f t="shared" si="15"/>
        <v>CanDevEnvironment</v>
      </c>
      <c r="I181" s="19" t="str">
        <f t="shared" si="16"/>
        <v>CanDevEnvironment</v>
      </c>
      <c r="J181" s="19"/>
      <c r="K181" s="19" t="b">
        <v>0</v>
      </c>
      <c r="L181" s="19" t="b" cm="1">
        <f t="array" ref="L181">IsPrimaryKey(A181)</f>
        <v>0</v>
      </c>
      <c r="M181" s="19" t="str" cm="1">
        <f t="array" ref="M181">IsAutoincrement(A181)</f>
        <v/>
      </c>
      <c r="N181" s="19" t="str" cm="1">
        <f t="array" ref="N181">IsUnique(A181)</f>
        <v/>
      </c>
      <c r="O181" s="19" t="b" cm="1">
        <f t="array" ref="O181">IsFilterable(A181)</f>
        <v>1</v>
      </c>
      <c r="P181" s="19" t="b" cm="1">
        <f t="array" ref="P181">IsEditable(A181)</f>
        <v>1</v>
      </c>
      <c r="Q181" s="19" t="b" cm="1">
        <f t="array" ref="Q181">IsGridable(A181)</f>
        <v>1</v>
      </c>
      <c r="R181" s="19" t="str" cm="1">
        <f t="array" ref="R181">IsListable(A181)</f>
        <v/>
      </c>
      <c r="S181" s="19" t="str" cm="1">
        <f t="array" ref="S181">IsEncrypted(A181)</f>
        <v/>
      </c>
      <c r="T181" s="19" t="str" cm="1">
        <f t="array" ref="T181">IsInWords(A181)</f>
        <v/>
      </c>
      <c r="U181" s="19" t="b">
        <v>0</v>
      </c>
    </row>
    <row r="182" spans="1:21">
      <c r="A182" s="19">
        <f t="shared" si="18"/>
        <v>179</v>
      </c>
      <c r="B182" s="20">
        <v>27</v>
      </c>
      <c r="C182" s="19" t="str" cm="1">
        <f t="array" ref="C182">GetValue("Tbl","Alias",B182)</f>
        <v>Usr</v>
      </c>
      <c r="D182" s="19" cm="1">
        <f t="array" ref="D182">GetDomainId(C182,G182)</f>
        <v>5</v>
      </c>
      <c r="E182" s="19" t="str" cm="1">
        <f t="array" ref="E182">GetValue("Dmn","Name",D182)</f>
        <v>Boolean</v>
      </c>
      <c r="F182" s="19">
        <f t="shared" si="17"/>
        <v>35</v>
      </c>
      <c r="G182" s="19" t="str" cm="1">
        <f t="array" ref="G182">GetColumnName(C182,IF(B182=B181,G181,""))</f>
        <v>CanHmlEnvironment</v>
      </c>
      <c r="H182" s="19" t="str">
        <f t="shared" si="15"/>
        <v>CanHmlEnvironment</v>
      </c>
      <c r="I182" s="19" t="str">
        <f t="shared" si="16"/>
        <v>CanHmlEnvironment</v>
      </c>
      <c r="J182" s="19"/>
      <c r="K182" s="19" t="b">
        <v>0</v>
      </c>
      <c r="L182" s="19" t="b" cm="1">
        <f t="array" ref="L182">IsPrimaryKey(A182)</f>
        <v>0</v>
      </c>
      <c r="M182" s="19" t="str" cm="1">
        <f t="array" ref="M182">IsAutoincrement(A182)</f>
        <v/>
      </c>
      <c r="N182" s="19" t="str" cm="1">
        <f t="array" ref="N182">IsUnique(A182)</f>
        <v/>
      </c>
      <c r="O182" s="19" t="b" cm="1">
        <f t="array" ref="O182">IsFilterable(A182)</f>
        <v>1</v>
      </c>
      <c r="P182" s="19" t="b" cm="1">
        <f t="array" ref="P182">IsEditable(A182)</f>
        <v>1</v>
      </c>
      <c r="Q182" s="19" t="b" cm="1">
        <f t="array" ref="Q182">IsGridable(A182)</f>
        <v>1</v>
      </c>
      <c r="R182" s="19" t="str" cm="1">
        <f t="array" ref="R182">IsListable(A182)</f>
        <v/>
      </c>
      <c r="S182" s="19" t="str" cm="1">
        <f t="array" ref="S182">IsEncrypted(A182)</f>
        <v/>
      </c>
      <c r="T182" s="19" t="str" cm="1">
        <f t="array" ref="T182">IsInWords(A182)</f>
        <v/>
      </c>
      <c r="U182" s="19" t="b">
        <v>0</v>
      </c>
    </row>
    <row r="183" spans="1:21">
      <c r="A183" s="19">
        <f t="shared" si="18"/>
        <v>180</v>
      </c>
      <c r="B183" s="20">
        <v>27</v>
      </c>
      <c r="C183" s="19" t="str" cm="1">
        <f t="array" ref="C183">GetValue("Tbl","Alias",B183)</f>
        <v>Usr</v>
      </c>
      <c r="D183" s="19" cm="1">
        <f t="array" ref="D183">GetDomainId(C183,G183)</f>
        <v>5</v>
      </c>
      <c r="E183" s="19" t="str" cm="1">
        <f t="array" ref="E183">GetValue("Dmn","Name",D183)</f>
        <v>Boolean</v>
      </c>
      <c r="F183" s="19">
        <f t="shared" si="17"/>
        <v>40</v>
      </c>
      <c r="G183" s="19" t="str" cm="1">
        <f t="array" ref="G183">GetColumnName(C183,IF(B183=B182,G182,""))</f>
        <v>CanPrdEnvironment</v>
      </c>
      <c r="H183" s="19" t="str">
        <f t="shared" si="15"/>
        <v>CanPrdEnvironment</v>
      </c>
      <c r="I183" s="19" t="str">
        <f t="shared" si="16"/>
        <v>CanPrdEnvironment</v>
      </c>
      <c r="J183" s="19"/>
      <c r="K183" s="19" t="b">
        <v>0</v>
      </c>
      <c r="L183" s="19" t="b" cm="1">
        <f t="array" ref="L183">IsPrimaryKey(A183)</f>
        <v>0</v>
      </c>
      <c r="M183" s="19" t="str" cm="1">
        <f t="array" ref="M183">IsAutoincrement(A183)</f>
        <v/>
      </c>
      <c r="N183" s="19" t="str" cm="1">
        <f t="array" ref="N183">IsUnique(A183)</f>
        <v/>
      </c>
      <c r="O183" s="19" t="b" cm="1">
        <f t="array" ref="O183">IsFilterable(A183)</f>
        <v>1</v>
      </c>
      <c r="P183" s="19" t="b" cm="1">
        <f t="array" ref="P183">IsEditable(A183)</f>
        <v>1</v>
      </c>
      <c r="Q183" s="19" t="b" cm="1">
        <f t="array" ref="Q183">IsGridable(A183)</f>
        <v>1</v>
      </c>
      <c r="R183" s="19" t="str" cm="1">
        <f t="array" ref="R183">IsListable(A183)</f>
        <v/>
      </c>
      <c r="S183" s="19" t="str" cm="1">
        <f t="array" ref="S183">IsEncrypted(A183)</f>
        <v/>
      </c>
      <c r="T183" s="19" t="str" cm="1">
        <f t="array" ref="T183">IsInWords(A183)</f>
        <v/>
      </c>
      <c r="U183" s="19" t="b">
        <v>0</v>
      </c>
    </row>
    <row r="184" spans="1:21">
      <c r="A184" s="19">
        <f t="shared" si="18"/>
        <v>181</v>
      </c>
      <c r="B184" s="20">
        <v>27</v>
      </c>
      <c r="C184" s="19" t="str" cm="1">
        <f t="array" ref="C184">GetValue("Tbl","Alias",B184)</f>
        <v>Usr</v>
      </c>
      <c r="D184" s="19" cm="1">
        <f t="array" ref="D184">GetDomainId(C184,G184)</f>
        <v>5</v>
      </c>
      <c r="E184" s="19" t="str" cm="1">
        <f t="array" ref="E184">GetValue("Dmn","Name",D184)</f>
        <v>Boolean</v>
      </c>
      <c r="F184" s="19">
        <f t="shared" si="17"/>
        <v>45</v>
      </c>
      <c r="G184" s="19" t="str" cm="1">
        <f t="array" ref="G184">GetColumnName(C184,IF(B184=B183,G183,""))</f>
        <v>IsActive</v>
      </c>
      <c r="H184" s="19" t="str">
        <f t="shared" si="15"/>
        <v>IsActive</v>
      </c>
      <c r="I184" s="19" t="str">
        <f t="shared" si="16"/>
        <v>IsActive</v>
      </c>
      <c r="J184" s="19"/>
      <c r="K184" s="19" t="b">
        <v>0</v>
      </c>
      <c r="L184" s="19" t="b" cm="1">
        <f t="array" ref="L184">IsPrimaryKey(A184)</f>
        <v>0</v>
      </c>
      <c r="M184" s="19" t="str" cm="1">
        <f t="array" ref="M184">IsAutoincrement(A184)</f>
        <v/>
      </c>
      <c r="N184" s="19" t="str" cm="1">
        <f t="array" ref="N184">IsUnique(A184)</f>
        <v/>
      </c>
      <c r="O184" s="19" t="b" cm="1">
        <f t="array" ref="O184">IsFilterable(A184)</f>
        <v>1</v>
      </c>
      <c r="P184" s="19" t="b" cm="1">
        <f t="array" ref="P184">IsEditable(A184)</f>
        <v>1</v>
      </c>
      <c r="Q184" s="19" t="b" cm="1">
        <f t="array" ref="Q184">IsGridable(A184)</f>
        <v>1</v>
      </c>
      <c r="R184" s="19" t="str" cm="1">
        <f t="array" ref="R184">IsListable(A184)</f>
        <v/>
      </c>
      <c r="S184" s="19" t="str" cm="1">
        <f t="array" ref="S184">IsEncrypted(A184)</f>
        <v/>
      </c>
      <c r="T184" s="19" t="str" cm="1">
        <f t="array" ref="T184">IsInWords(A184)</f>
        <v/>
      </c>
      <c r="U184" s="19" t="b">
        <v>0</v>
      </c>
    </row>
    <row r="185" spans="1:21">
      <c r="A185" s="17">
        <f t="shared" si="18"/>
        <v>182</v>
      </c>
      <c r="B185" s="18">
        <v>28</v>
      </c>
      <c r="C185" s="17" t="str" cm="1">
        <f t="array" ref="C185">GetValue("Tbl","Alias",B185)</f>
        <v>Prm</v>
      </c>
      <c r="D185" s="17" cm="1">
        <f t="array" ref="D185">GetDomainId(C185,G185)</f>
        <v>55</v>
      </c>
      <c r="E185" s="17" t="str" cm="1">
        <f t="array" ref="E185">GetValue("Dmn","Name",D185)</f>
        <v>BigId</v>
      </c>
      <c r="F185" s="17">
        <f t="shared" si="17"/>
        <v>5</v>
      </c>
      <c r="G185" s="17" t="str" cm="1">
        <f t="array" ref="G185">GetColumnName(C185,IF(B185=B184,G184,""))</f>
        <v>Id</v>
      </c>
      <c r="H185" s="17" t="str">
        <f t="shared" ref="H185:H232" si="19">G185</f>
        <v>Id</v>
      </c>
      <c r="I185" s="17" t="str">
        <f t="shared" ref="I185:I224" si="20">G185</f>
        <v>Id</v>
      </c>
      <c r="J185" s="17"/>
      <c r="K185" s="17" t="b">
        <v>0</v>
      </c>
      <c r="L185" s="17" t="b" cm="1">
        <f t="array" ref="L185">IsPrimaryKey(A185)</f>
        <v>1</v>
      </c>
      <c r="M185" s="17" t="b" cm="1">
        <f t="array" ref="M185">IsAutoincrement(A185)</f>
        <v>1</v>
      </c>
      <c r="N185" s="17" t="b" cm="1">
        <f t="array" ref="N185">IsUnique(A185)</f>
        <v>0</v>
      </c>
      <c r="O185" s="17" t="str" cm="1">
        <f t="array" ref="O185">IsFilterable(A185)</f>
        <v/>
      </c>
      <c r="P185" s="17" t="str" cm="1">
        <f t="array" ref="P185">IsEditable(A185)</f>
        <v/>
      </c>
      <c r="Q185" s="17" t="str" cm="1">
        <f t="array" ref="Q185">IsGridable(A185)</f>
        <v/>
      </c>
      <c r="R185" s="17" t="str" cm="1">
        <f t="array" ref="R185">IsListable(A185)</f>
        <v/>
      </c>
      <c r="S185" s="17" t="str" cm="1">
        <f t="array" ref="S185">IsEncrypted(A185)</f>
        <v/>
      </c>
      <c r="T185" s="17" t="str" cm="1">
        <f t="array" ref="T185">IsInWords(A185)</f>
        <v/>
      </c>
      <c r="U185" s="17" t="b">
        <v>0</v>
      </c>
    </row>
    <row r="186" spans="1:21">
      <c r="A186" s="17">
        <f t="shared" si="18"/>
        <v>183</v>
      </c>
      <c r="B186" s="18">
        <v>28</v>
      </c>
      <c r="C186" s="17" t="str" cm="1">
        <f t="array" ref="C186">GetValue("Tbl","Alias",B186)</f>
        <v>Prm</v>
      </c>
      <c r="D186" s="17" cm="1">
        <f t="array" ref="D186">GetDomainId(C186,G186)</f>
        <v>55</v>
      </c>
      <c r="E186" s="17" t="str" cm="1">
        <f t="array" ref="E186">GetValue("Dmn","Name",D186)</f>
        <v>BigId</v>
      </c>
      <c r="F186" s="17">
        <f t="shared" si="17"/>
        <v>10</v>
      </c>
      <c r="G186" s="17" t="str" cm="1">
        <f t="array" ref="G186">GetColumnName(C186,IF(B186=B185,G185,""))</f>
        <v>SystemId</v>
      </c>
      <c r="H186" s="17" t="str">
        <f t="shared" si="19"/>
        <v>SystemId</v>
      </c>
      <c r="I186" s="17" t="str">
        <f t="shared" si="20"/>
        <v>SystemId</v>
      </c>
      <c r="J186" s="17"/>
      <c r="K186" s="17" t="b">
        <v>0</v>
      </c>
      <c r="L186" s="17" t="b" cm="1">
        <f t="array" ref="L186">IsPrimaryKey(A186)</f>
        <v>0</v>
      </c>
      <c r="M186" s="17" t="b" cm="1">
        <f t="array" ref="M186">IsAutoincrement(A186)</f>
        <v>0</v>
      </c>
      <c r="N186" s="17" t="b" cm="1">
        <f t="array" ref="N186">IsUnique(A186)</f>
        <v>0</v>
      </c>
      <c r="O186" s="17" t="b" cm="1">
        <f t="array" ref="O186">IsFilterable(A186)</f>
        <v>1</v>
      </c>
      <c r="P186" s="17" t="b" cm="1">
        <f t="array" ref="P186">IsEditable(A186)</f>
        <v>1</v>
      </c>
      <c r="Q186" s="17" t="b" cm="1">
        <f t="array" ref="Q186">IsGridable(A186)</f>
        <v>1</v>
      </c>
      <c r="R186" s="17" t="str" cm="1">
        <f t="array" ref="R186">IsListable(A186)</f>
        <v/>
      </c>
      <c r="S186" s="17" t="str" cm="1">
        <f t="array" ref="S186">IsEncrypted(A186)</f>
        <v/>
      </c>
      <c r="T186" s="17" t="b" cm="1">
        <f t="array" ref="T186">IsInWords(A186)</f>
        <v>0</v>
      </c>
      <c r="U186" s="17" t="b">
        <v>0</v>
      </c>
    </row>
    <row r="187" spans="1:21">
      <c r="A187" s="17">
        <f t="shared" si="18"/>
        <v>184</v>
      </c>
      <c r="B187" s="18">
        <v>28</v>
      </c>
      <c r="C187" s="17" t="str" cm="1">
        <f t="array" ref="C187">GetValue("Tbl","Alias",B187)</f>
        <v>Prm</v>
      </c>
      <c r="D187" s="17" cm="1">
        <f t="array" ref="D187">GetDomainId(C187,G187)</f>
        <v>55</v>
      </c>
      <c r="E187" s="17" t="str" cm="1">
        <f t="array" ref="E187">GetValue("Dmn","Name",D187)</f>
        <v>BigId</v>
      </c>
      <c r="F187" s="17">
        <f t="shared" si="17"/>
        <v>15</v>
      </c>
      <c r="G187" s="17" t="str" cm="1">
        <f t="array" ref="G187">GetColumnName(C187,IF(B187=B186,G186,""))</f>
        <v>UserId</v>
      </c>
      <c r="H187" s="17" t="str">
        <f t="shared" si="19"/>
        <v>UserId</v>
      </c>
      <c r="I187" s="17" t="str">
        <f t="shared" si="20"/>
        <v>UserId</v>
      </c>
      <c r="J187" s="17"/>
      <c r="K187" s="17" t="b">
        <v>0</v>
      </c>
      <c r="L187" s="17" t="b" cm="1">
        <f t="array" ref="L187">IsPrimaryKey(A187)</f>
        <v>0</v>
      </c>
      <c r="M187" s="17" t="b" cm="1">
        <f t="array" ref="M187">IsAutoincrement(A187)</f>
        <v>0</v>
      </c>
      <c r="N187" s="17" t="b" cm="1">
        <f t="array" ref="N187">IsUnique(A187)</f>
        <v>0</v>
      </c>
      <c r="O187" s="17" t="b" cm="1">
        <f t="array" ref="O187">IsFilterable(A187)</f>
        <v>1</v>
      </c>
      <c r="P187" s="17" t="b" cm="1">
        <f t="array" ref="P187">IsEditable(A187)</f>
        <v>1</v>
      </c>
      <c r="Q187" s="17" t="b" cm="1">
        <f t="array" ref="Q187">IsGridable(A187)</f>
        <v>1</v>
      </c>
      <c r="R187" s="17" t="str" cm="1">
        <f t="array" ref="R187">IsListable(A187)</f>
        <v/>
      </c>
      <c r="S187" s="17" t="str" cm="1">
        <f t="array" ref="S187">IsEncrypted(A187)</f>
        <v/>
      </c>
      <c r="T187" s="17" t="b" cm="1">
        <f t="array" ref="T187">IsInWords(A187)</f>
        <v>0</v>
      </c>
      <c r="U187" s="17" t="b">
        <v>0</v>
      </c>
    </row>
    <row r="188" spans="1:21">
      <c r="A188" s="17">
        <f t="shared" si="18"/>
        <v>185</v>
      </c>
      <c r="B188" s="18">
        <v>28</v>
      </c>
      <c r="C188" s="17" t="str" cm="1">
        <f t="array" ref="C188">GetValue("Tbl","Alias",B188)</f>
        <v>Prm</v>
      </c>
      <c r="D188" s="17" cm="1">
        <f t="array" ref="D188">GetDomainId(C188,G188)</f>
        <v>55</v>
      </c>
      <c r="E188" s="17" t="str" cm="1">
        <f t="array" ref="E188">GetValue("Dmn","Name",D188)</f>
        <v>BigId</v>
      </c>
      <c r="F188" s="17">
        <f t="shared" si="17"/>
        <v>20</v>
      </c>
      <c r="G188" s="17" t="str" cm="1">
        <f t="array" ref="G188">GetColumnName(C188,IF(B188=B187,G187,""))</f>
        <v>TableId</v>
      </c>
      <c r="H188" s="17" t="str">
        <f t="shared" si="19"/>
        <v>TableId</v>
      </c>
      <c r="I188" s="17" t="str">
        <f t="shared" si="20"/>
        <v>TableId</v>
      </c>
      <c r="J188" s="17"/>
      <c r="K188" s="17" t="b">
        <v>0</v>
      </c>
      <c r="L188" s="17" t="b" cm="1">
        <f t="array" ref="L188">IsPrimaryKey(A188)</f>
        <v>0</v>
      </c>
      <c r="M188" s="17" t="b" cm="1">
        <f t="array" ref="M188">IsAutoincrement(A188)</f>
        <v>0</v>
      </c>
      <c r="N188" s="17" t="b" cm="1">
        <f t="array" ref="N188">IsUnique(A188)</f>
        <v>0</v>
      </c>
      <c r="O188" s="17" t="b" cm="1">
        <f t="array" ref="O188">IsFilterable(A188)</f>
        <v>1</v>
      </c>
      <c r="P188" s="17" t="b" cm="1">
        <f t="array" ref="P188">IsEditable(A188)</f>
        <v>1</v>
      </c>
      <c r="Q188" s="17" t="b" cm="1">
        <f t="array" ref="Q188">IsGridable(A188)</f>
        <v>1</v>
      </c>
      <c r="R188" s="17" t="str" cm="1">
        <f t="array" ref="R188">IsListable(A188)</f>
        <v/>
      </c>
      <c r="S188" s="17" t="str" cm="1">
        <f t="array" ref="S188">IsEncrypted(A188)</f>
        <v/>
      </c>
      <c r="T188" s="17" t="b" cm="1">
        <f t="array" ref="T188">IsInWords(A188)</f>
        <v>0</v>
      </c>
      <c r="U188" s="17" t="b">
        <v>0</v>
      </c>
    </row>
    <row r="189" spans="1:21">
      <c r="A189" s="17">
        <f t="shared" si="18"/>
        <v>186</v>
      </c>
      <c r="B189" s="18">
        <v>28</v>
      </c>
      <c r="C189" s="17" t="str" cm="1">
        <f t="array" ref="C189">GetValue("Tbl","Alias",B189)</f>
        <v>Prm</v>
      </c>
      <c r="D189" s="17" cm="1">
        <f t="array" ref="D189">GetDomainId(C189,G189)</f>
        <v>5</v>
      </c>
      <c r="E189" s="17" t="str" cm="1">
        <f t="array" ref="E189">GetValue("Dmn","Name",D189)</f>
        <v>Boolean</v>
      </c>
      <c r="F189" s="17">
        <f t="shared" si="17"/>
        <v>25</v>
      </c>
      <c r="G189" s="17" t="str" cm="1">
        <f t="array" ref="G189">GetColumnName(C189,IF(B189=B188,G188,""))</f>
        <v>CanCreate</v>
      </c>
      <c r="H189" s="17" t="str">
        <f t="shared" si="19"/>
        <v>CanCreate</v>
      </c>
      <c r="I189" s="17" t="str">
        <f t="shared" si="20"/>
        <v>CanCreate</v>
      </c>
      <c r="J189" s="17"/>
      <c r="K189" s="17" t="b">
        <v>1</v>
      </c>
      <c r="L189" s="17" t="b" cm="1">
        <f t="array" ref="L189">IsPrimaryKey(A189)</f>
        <v>0</v>
      </c>
      <c r="M189" s="17" t="str" cm="1">
        <f t="array" ref="M189">IsAutoincrement(A189)</f>
        <v/>
      </c>
      <c r="N189" s="17" t="str" cm="1">
        <f t="array" ref="N189">IsUnique(A189)</f>
        <v/>
      </c>
      <c r="O189" s="17" t="b" cm="1">
        <f t="array" ref="O189">IsFilterable(A189)</f>
        <v>1</v>
      </c>
      <c r="P189" s="17" t="b" cm="1">
        <f t="array" ref="P189">IsEditable(A189)</f>
        <v>1</v>
      </c>
      <c r="Q189" s="17" t="b" cm="1">
        <f t="array" ref="Q189">IsGridable(A189)</f>
        <v>1</v>
      </c>
      <c r="R189" s="17" t="str" cm="1">
        <f t="array" ref="R189">IsListable(A189)</f>
        <v/>
      </c>
      <c r="S189" s="17" t="str" cm="1">
        <f t="array" ref="S189">IsEncrypted(A189)</f>
        <v/>
      </c>
      <c r="T189" s="17" t="str" cm="1">
        <f t="array" ref="T189">IsInWords(A189)</f>
        <v/>
      </c>
      <c r="U189" s="17" t="b">
        <v>0</v>
      </c>
    </row>
    <row r="190" spans="1:21">
      <c r="A190" s="17">
        <f t="shared" si="18"/>
        <v>187</v>
      </c>
      <c r="B190" s="18">
        <v>28</v>
      </c>
      <c r="C190" s="17" t="str" cm="1">
        <f t="array" ref="C190">GetValue("Tbl","Alias",B190)</f>
        <v>Prm</v>
      </c>
      <c r="D190" s="17" cm="1">
        <f t="array" ref="D190">GetDomainId(C190,G190)</f>
        <v>5</v>
      </c>
      <c r="E190" s="17" t="str" cm="1">
        <f t="array" ref="E190">GetValue("Dmn","Name",D190)</f>
        <v>Boolean</v>
      </c>
      <c r="F190" s="17">
        <f t="shared" si="17"/>
        <v>30</v>
      </c>
      <c r="G190" s="17" t="str" cm="1">
        <f t="array" ref="G190">GetColumnName(C190,IF(B190=B189,G189,""))</f>
        <v>CanRead</v>
      </c>
      <c r="H190" s="17" t="str">
        <f t="shared" si="19"/>
        <v>CanRead</v>
      </c>
      <c r="I190" s="17" t="str">
        <f t="shared" si="20"/>
        <v>CanRead</v>
      </c>
      <c r="J190" s="17"/>
      <c r="K190" s="17" t="b">
        <v>1</v>
      </c>
      <c r="L190" s="17" t="b" cm="1">
        <f t="array" ref="L190">IsPrimaryKey(A190)</f>
        <v>0</v>
      </c>
      <c r="M190" s="17" t="str" cm="1">
        <f t="array" ref="M190">IsAutoincrement(A190)</f>
        <v/>
      </c>
      <c r="N190" s="17" t="str" cm="1">
        <f t="array" ref="N190">IsUnique(A190)</f>
        <v/>
      </c>
      <c r="O190" s="17" t="b" cm="1">
        <f t="array" ref="O190">IsFilterable(A190)</f>
        <v>1</v>
      </c>
      <c r="P190" s="17" t="b" cm="1">
        <f t="array" ref="P190">IsEditable(A190)</f>
        <v>1</v>
      </c>
      <c r="Q190" s="17" t="b" cm="1">
        <f t="array" ref="Q190">IsGridable(A190)</f>
        <v>1</v>
      </c>
      <c r="R190" s="17" t="str" cm="1">
        <f t="array" ref="R190">IsListable(A190)</f>
        <v/>
      </c>
      <c r="S190" s="17" t="str" cm="1">
        <f t="array" ref="S190">IsEncrypted(A190)</f>
        <v/>
      </c>
      <c r="T190" s="17" t="str" cm="1">
        <f t="array" ref="T190">IsInWords(A190)</f>
        <v/>
      </c>
      <c r="U190" s="17" t="b">
        <v>0</v>
      </c>
    </row>
    <row r="191" spans="1:21">
      <c r="A191" s="17">
        <f t="shared" si="18"/>
        <v>188</v>
      </c>
      <c r="B191" s="18">
        <v>28</v>
      </c>
      <c r="C191" s="17" t="str" cm="1">
        <f t="array" ref="C191">GetValue("Tbl","Alias",B191)</f>
        <v>Prm</v>
      </c>
      <c r="D191" s="17" cm="1">
        <f t="array" ref="D191">GetDomainId(C191,G191)</f>
        <v>5</v>
      </c>
      <c r="E191" s="17" t="str" cm="1">
        <f t="array" ref="E191">GetValue("Dmn","Name",D191)</f>
        <v>Boolean</v>
      </c>
      <c r="F191" s="17">
        <f t="shared" si="17"/>
        <v>35</v>
      </c>
      <c r="G191" s="17" t="str" cm="1">
        <f t="array" ref="G191">GetColumnName(C191,IF(B191=B190,G190,""))</f>
        <v>CanUpdate</v>
      </c>
      <c r="H191" s="17" t="str">
        <f t="shared" si="19"/>
        <v>CanUpdate</v>
      </c>
      <c r="I191" s="17" t="str">
        <f t="shared" si="20"/>
        <v>CanUpdate</v>
      </c>
      <c r="J191" s="17"/>
      <c r="K191" s="17" t="b">
        <v>1</v>
      </c>
      <c r="L191" s="17" t="b" cm="1">
        <f t="array" ref="L191">IsPrimaryKey(A191)</f>
        <v>0</v>
      </c>
      <c r="M191" s="17" t="str" cm="1">
        <f t="array" ref="M191">IsAutoincrement(A191)</f>
        <v/>
      </c>
      <c r="N191" s="17" t="str" cm="1">
        <f t="array" ref="N191">IsUnique(A191)</f>
        <v/>
      </c>
      <c r="O191" s="17" t="b" cm="1">
        <f t="array" ref="O191">IsFilterable(A191)</f>
        <v>1</v>
      </c>
      <c r="P191" s="17" t="b" cm="1">
        <f t="array" ref="P191">IsEditable(A191)</f>
        <v>1</v>
      </c>
      <c r="Q191" s="17" t="b" cm="1">
        <f t="array" ref="Q191">IsGridable(A191)</f>
        <v>1</v>
      </c>
      <c r="R191" s="17" t="str" cm="1">
        <f t="array" ref="R191">IsListable(A191)</f>
        <v/>
      </c>
      <c r="S191" s="17" t="str" cm="1">
        <f t="array" ref="S191">IsEncrypted(A191)</f>
        <v/>
      </c>
      <c r="T191" s="17" t="str" cm="1">
        <f t="array" ref="T191">IsInWords(A191)</f>
        <v/>
      </c>
      <c r="U191" s="17" t="b">
        <v>0</v>
      </c>
    </row>
    <row r="192" spans="1:21">
      <c r="A192" s="17">
        <f t="shared" si="18"/>
        <v>189</v>
      </c>
      <c r="B192" s="18">
        <v>28</v>
      </c>
      <c r="C192" s="17" t="str" cm="1">
        <f t="array" ref="C192">GetValue("Tbl","Alias",B192)</f>
        <v>Prm</v>
      </c>
      <c r="D192" s="17" cm="1">
        <f t="array" ref="D192">GetDomainId(C192,G192)</f>
        <v>5</v>
      </c>
      <c r="E192" s="17" t="str" cm="1">
        <f t="array" ref="E192">GetValue("Dmn","Name",D192)</f>
        <v>Boolean</v>
      </c>
      <c r="F192" s="17">
        <f t="shared" si="17"/>
        <v>40</v>
      </c>
      <c r="G192" s="17" t="str" cm="1">
        <f t="array" ref="G192">GetColumnName(C192,IF(B192=B191,G191,""))</f>
        <v>CanDelete</v>
      </c>
      <c r="H192" s="17" t="str">
        <f t="shared" si="19"/>
        <v>CanDelete</v>
      </c>
      <c r="I192" s="17" t="str">
        <f t="shared" si="20"/>
        <v>CanDelete</v>
      </c>
      <c r="J192" s="17"/>
      <c r="K192" s="17" t="b">
        <v>1</v>
      </c>
      <c r="L192" s="17" t="b" cm="1">
        <f t="array" ref="L192">IsPrimaryKey(A192)</f>
        <v>0</v>
      </c>
      <c r="M192" s="17" t="str" cm="1">
        <f t="array" ref="M192">IsAutoincrement(A192)</f>
        <v/>
      </c>
      <c r="N192" s="17" t="str" cm="1">
        <f t="array" ref="N192">IsUnique(A192)</f>
        <v/>
      </c>
      <c r="O192" s="17" t="b" cm="1">
        <f t="array" ref="O192">IsFilterable(A192)</f>
        <v>1</v>
      </c>
      <c r="P192" s="17" t="b" cm="1">
        <f t="array" ref="P192">IsEditable(A192)</f>
        <v>1</v>
      </c>
      <c r="Q192" s="17" t="b" cm="1">
        <f t="array" ref="Q192">IsGridable(A192)</f>
        <v>1</v>
      </c>
      <c r="R192" s="17" t="str" cm="1">
        <f t="array" ref="R192">IsListable(A192)</f>
        <v/>
      </c>
      <c r="S192" s="17" t="str" cm="1">
        <f t="array" ref="S192">IsEncrypted(A192)</f>
        <v/>
      </c>
      <c r="T192" s="17" t="str" cm="1">
        <f t="array" ref="T192">IsInWords(A192)</f>
        <v/>
      </c>
      <c r="U192" s="17" t="b">
        <v>0</v>
      </c>
    </row>
    <row r="193" spans="1:21">
      <c r="A193" s="19">
        <f t="shared" si="18"/>
        <v>190</v>
      </c>
      <c r="B193" s="20">
        <v>29</v>
      </c>
      <c r="C193" s="19" t="str" cm="1">
        <f t="array" ref="C193">GetValue("Tbl","Alias",B193)</f>
        <v>Prp</v>
      </c>
      <c r="D193" s="19" cm="1">
        <f t="array" ref="D193">GetDomainId(C193,G193)</f>
        <v>58</v>
      </c>
      <c r="E193" s="19" t="str" cm="1">
        <f t="array" ref="E193">GetValue("Dmn","Name",D193)</f>
        <v>TinyId</v>
      </c>
      <c r="F193" s="19">
        <f t="shared" si="17"/>
        <v>5</v>
      </c>
      <c r="G193" s="19" t="str" cm="1">
        <f t="array" ref="G193">GetColumnName(C193,IF(B193=B192,G192,""))</f>
        <v>Id</v>
      </c>
      <c r="H193" s="19" t="str">
        <f t="shared" si="19"/>
        <v>Id</v>
      </c>
      <c r="I193" s="19" t="str">
        <f t="shared" si="20"/>
        <v>Id</v>
      </c>
      <c r="J193" s="19"/>
      <c r="K193" s="19" t="b">
        <v>0</v>
      </c>
      <c r="L193" s="19" t="b" cm="1">
        <f t="array" ref="L193">IsPrimaryKey(A193)</f>
        <v>1</v>
      </c>
      <c r="M193" s="19" t="b" cm="1">
        <f t="array" ref="M193">IsAutoincrement(A193)</f>
        <v>1</v>
      </c>
      <c r="N193" s="19" t="b" cm="1">
        <f t="array" ref="N193">IsUnique(A193)</f>
        <v>0</v>
      </c>
      <c r="O193" s="19" t="str" cm="1">
        <f t="array" ref="O193">IsFilterable(A193)</f>
        <v/>
      </c>
      <c r="P193" s="19" t="str" cm="1">
        <f t="array" ref="P193">IsEditable(A193)</f>
        <v/>
      </c>
      <c r="Q193" s="19" t="str" cm="1">
        <f t="array" ref="Q193">IsGridable(A193)</f>
        <v/>
      </c>
      <c r="R193" s="19" t="str" cm="1">
        <f t="array" ref="R193">IsListable(A193)</f>
        <v/>
      </c>
      <c r="S193" s="19" t="str" cm="1">
        <f t="array" ref="S193">IsEncrypted(A193)</f>
        <v/>
      </c>
      <c r="T193" s="19" t="str" cm="1">
        <f t="array" ref="T193">IsInWords(A193)</f>
        <v/>
      </c>
      <c r="U193" s="19" t="b">
        <v>0</v>
      </c>
    </row>
    <row r="194" spans="1:21">
      <c r="A194" s="19">
        <f t="shared" si="18"/>
        <v>191</v>
      </c>
      <c r="B194" s="20">
        <v>29</v>
      </c>
      <c r="C194" s="19" t="str" cm="1">
        <f t="array" ref="C194">GetValue("Tbl","Alias",B194)</f>
        <v>Prp</v>
      </c>
      <c r="D194" s="19" cm="1">
        <f t="array" ref="D194">GetDomainId(C194,G194)</f>
        <v>58</v>
      </c>
      <c r="E194" s="19" t="str" cm="1">
        <f t="array" ref="E194">GetValue("Dmn","Name",D194)</f>
        <v>TinyId</v>
      </c>
      <c r="F194" s="19">
        <f t="shared" ref="F194:F253" si="21">IF(G194="Id",5,F193+5)</f>
        <v>10</v>
      </c>
      <c r="G194" s="19" t="str" cm="1">
        <f t="array" ref="G194">GetColumnName(C194,IF(B194=B193,G193,""))</f>
        <v>CategoryId</v>
      </c>
      <c r="H194" s="19" t="str">
        <f t="shared" si="19"/>
        <v>CategoryId</v>
      </c>
      <c r="I194" s="19" t="str">
        <f t="shared" si="20"/>
        <v>CategoryId</v>
      </c>
      <c r="J194" s="19"/>
      <c r="K194" s="19" t="b">
        <v>1</v>
      </c>
      <c r="L194" s="19" t="b" cm="1">
        <f t="array" ref="L194">IsPrimaryKey(A194)</f>
        <v>0</v>
      </c>
      <c r="M194" s="19" t="b" cm="1">
        <f t="array" ref="M194">IsAutoincrement(A194)</f>
        <v>0</v>
      </c>
      <c r="N194" s="19" t="b" cm="1">
        <f t="array" ref="N194">IsUnique(A194)</f>
        <v>0</v>
      </c>
      <c r="O194" s="19" t="b" cm="1">
        <f t="array" ref="O194">IsFilterable(A194)</f>
        <v>1</v>
      </c>
      <c r="P194" s="19" t="b" cm="1">
        <f t="array" ref="P194">IsEditable(A194)</f>
        <v>1</v>
      </c>
      <c r="Q194" s="19" t="b" cm="1">
        <f t="array" ref="Q194">IsGridable(A194)</f>
        <v>1</v>
      </c>
      <c r="R194" s="19" t="str" cm="1">
        <f t="array" ref="R194">IsListable(A194)</f>
        <v/>
      </c>
      <c r="S194" s="19" t="str" cm="1">
        <f t="array" ref="S194">IsEncrypted(A194)</f>
        <v/>
      </c>
      <c r="T194" s="19" t="b" cm="1">
        <f t="array" ref="T194">IsInWords(A194)</f>
        <v>0</v>
      </c>
      <c r="U194" s="19" t="b">
        <v>0</v>
      </c>
    </row>
    <row r="195" spans="1:21">
      <c r="A195" s="19">
        <f t="shared" si="18"/>
        <v>192</v>
      </c>
      <c r="B195" s="20">
        <v>29</v>
      </c>
      <c r="C195" s="19" t="str" cm="1">
        <f t="array" ref="C195">GetValue("Tbl","Alias",B195)</f>
        <v>Prp</v>
      </c>
      <c r="D195" s="19" cm="1">
        <f t="array" ref="D195">GetDomainId(C195,G195)</f>
        <v>11</v>
      </c>
      <c r="E195" s="19" t="str" cm="1">
        <f t="array" ref="E195">GetValue("Dmn","Name",D195)</f>
        <v>NVARCHAR(25)</v>
      </c>
      <c r="F195" s="19">
        <f t="shared" si="21"/>
        <v>15</v>
      </c>
      <c r="G195" s="19" t="str" cm="1">
        <f t="array" ref="G195">GetColumnName(C195,IF(B195=B194,G194,""))</f>
        <v>Name</v>
      </c>
      <c r="H195" s="19" t="str">
        <f t="shared" si="19"/>
        <v>Name</v>
      </c>
      <c r="I195" s="19" t="str">
        <f t="shared" si="20"/>
        <v>Name</v>
      </c>
      <c r="J195" s="19"/>
      <c r="K195" s="19" t="b">
        <v>1</v>
      </c>
      <c r="L195" s="19" t="b" cm="1">
        <f t="array" ref="L195">IsPrimaryKey(A195)</f>
        <v>0</v>
      </c>
      <c r="M195" s="19" t="str" cm="1">
        <f t="array" ref="M195">IsAutoincrement(A195)</f>
        <v/>
      </c>
      <c r="N195" s="19" t="b" cm="1">
        <f t="array" ref="N195">IsUnique(A195)</f>
        <v>0</v>
      </c>
      <c r="O195" s="19" t="b" cm="1">
        <f t="array" ref="O195">IsFilterable(A195)</f>
        <v>1</v>
      </c>
      <c r="P195" s="19" t="b" cm="1">
        <f t="array" ref="P195">IsEditable(A195)</f>
        <v>1</v>
      </c>
      <c r="Q195" s="19" t="b" cm="1">
        <f t="array" ref="Q195">IsGridable(A195)</f>
        <v>1</v>
      </c>
      <c r="R195" s="19" t="b" cm="1">
        <f t="array" ref="R195">IsListable(A195)</f>
        <v>0</v>
      </c>
      <c r="S195" s="19" t="b" cm="1">
        <f t="array" ref="S195">IsEncrypted(A195)</f>
        <v>0</v>
      </c>
      <c r="T195" s="19" t="str" cm="1">
        <f t="array" ref="T195">IsInWords(A195)</f>
        <v/>
      </c>
      <c r="U195" s="19" t="b">
        <v>0</v>
      </c>
    </row>
    <row r="196" spans="1:21">
      <c r="A196" s="19">
        <f t="shared" si="18"/>
        <v>193</v>
      </c>
      <c r="B196" s="20">
        <v>29</v>
      </c>
      <c r="C196" s="19" t="str" cm="1">
        <f t="array" ref="C196">GetValue("Tbl","Alias",B196)</f>
        <v>Prp</v>
      </c>
      <c r="D196" s="19" cm="1">
        <f t="array" ref="D196">GetDomainId(C196,G196)</f>
        <v>12</v>
      </c>
      <c r="E196" s="19" t="str" cm="1">
        <f t="array" ref="E196">GetValue("Dmn","Name",D196)</f>
        <v>NVARCHAR(50)</v>
      </c>
      <c r="F196" s="19">
        <f t="shared" si="21"/>
        <v>20</v>
      </c>
      <c r="G196" s="19" t="str" cm="1">
        <f t="array" ref="G196">GetColumnName(C196,IF(B196=B195,G195,""))</f>
        <v>Description</v>
      </c>
      <c r="H196" s="19" t="str">
        <f t="shared" si="19"/>
        <v>Description</v>
      </c>
      <c r="I196" s="19" t="str">
        <f t="shared" si="20"/>
        <v>Description</v>
      </c>
      <c r="J196" s="19"/>
      <c r="K196" s="19" t="b">
        <v>1</v>
      </c>
      <c r="L196" s="19" t="b" cm="1">
        <f t="array" ref="L196">IsPrimaryKey(A196)</f>
        <v>0</v>
      </c>
      <c r="M196" s="19" t="str" cm="1">
        <f t="array" ref="M196">IsAutoincrement(A196)</f>
        <v/>
      </c>
      <c r="N196" s="19" t="b" cm="1">
        <f t="array" ref="N196">IsUnique(A196)</f>
        <v>0</v>
      </c>
      <c r="O196" s="19" t="b" cm="1">
        <f t="array" ref="O196">IsFilterable(A196)</f>
        <v>1</v>
      </c>
      <c r="P196" s="19" t="b" cm="1">
        <f t="array" ref="P196">IsEditable(A196)</f>
        <v>1</v>
      </c>
      <c r="Q196" s="19" t="b" cm="1">
        <f t="array" ref="Q196">IsGridable(A196)</f>
        <v>1</v>
      </c>
      <c r="R196" s="19" t="b" cm="1">
        <f t="array" ref="R196">IsListable(A196)</f>
        <v>0</v>
      </c>
      <c r="S196" s="19" t="b" cm="1">
        <f t="array" ref="S196">IsEncrypted(A196)</f>
        <v>0</v>
      </c>
      <c r="T196" s="19" t="str" cm="1">
        <f t="array" ref="T196">IsInWords(A196)</f>
        <v/>
      </c>
      <c r="U196" s="19" t="b">
        <v>0</v>
      </c>
    </row>
    <row r="197" spans="1:21">
      <c r="A197" s="19">
        <f t="shared" si="18"/>
        <v>194</v>
      </c>
      <c r="B197" s="20">
        <v>29</v>
      </c>
      <c r="C197" s="19" t="str" cm="1">
        <f t="array" ref="C197">GetValue("Tbl","Alias",B197)</f>
        <v>Prp</v>
      </c>
      <c r="D197" s="19" cm="1">
        <f t="array" ref="D197">GetDomainId(C197,G197)</f>
        <v>5</v>
      </c>
      <c r="E197" s="19" t="str" cm="1">
        <f t="array" ref="E197">GetValue("Dmn","Name",D197)</f>
        <v>Boolean</v>
      </c>
      <c r="F197" s="19">
        <f t="shared" si="21"/>
        <v>25</v>
      </c>
      <c r="G197" s="19" t="str" cm="1">
        <f t="array" ref="G197">GetColumnName(C197,IF(B197=B196,G196,""))</f>
        <v>IsActive</v>
      </c>
      <c r="H197" s="19" t="str">
        <f t="shared" si="19"/>
        <v>IsActive</v>
      </c>
      <c r="I197" s="19" t="str">
        <f t="shared" si="20"/>
        <v>IsActive</v>
      </c>
      <c r="J197" s="19"/>
      <c r="K197" s="19" t="b">
        <v>1</v>
      </c>
      <c r="L197" s="19" t="b" cm="1">
        <f t="array" ref="L197">IsPrimaryKey(A197)</f>
        <v>0</v>
      </c>
      <c r="M197" s="19" t="str" cm="1">
        <f t="array" ref="M197">IsAutoincrement(A197)</f>
        <v/>
      </c>
      <c r="N197" s="19" t="str" cm="1">
        <f t="array" ref="N197">IsUnique(A197)</f>
        <v/>
      </c>
      <c r="O197" s="19" t="b" cm="1">
        <f t="array" ref="O197">IsFilterable(A197)</f>
        <v>1</v>
      </c>
      <c r="P197" s="19" t="b" cm="1">
        <f t="array" ref="P197">IsEditable(A197)</f>
        <v>1</v>
      </c>
      <c r="Q197" s="19" t="b" cm="1">
        <f t="array" ref="Q197">IsGridable(A197)</f>
        <v>1</v>
      </c>
      <c r="R197" s="19" t="str" cm="1">
        <f t="array" ref="R197">IsListable(A197)</f>
        <v/>
      </c>
      <c r="S197" s="19" t="str" cm="1">
        <f t="array" ref="S197">IsEncrypted(A197)</f>
        <v/>
      </c>
      <c r="T197" s="19" t="str" cm="1">
        <f t="array" ref="T197">IsInWords(A197)</f>
        <v/>
      </c>
      <c r="U197" s="19" t="b">
        <v>0</v>
      </c>
    </row>
    <row r="198" spans="1:21">
      <c r="A198" s="17">
        <f t="shared" si="18"/>
        <v>195</v>
      </c>
      <c r="B198" s="18">
        <v>30</v>
      </c>
      <c r="C198" s="17" t="str" cm="1">
        <f t="array" ref="C198">GetValue("Tbl","Alias",B198)</f>
        <v>Bhv</v>
      </c>
      <c r="D198" s="17" cm="1">
        <f t="array" ref="D198">GetDomainId(C198,G198)</f>
        <v>55</v>
      </c>
      <c r="E198" s="17" t="str" cm="1">
        <f t="array" ref="E198">GetValue("Dmn","Name",D198)</f>
        <v>BigId</v>
      </c>
      <c r="F198" s="17">
        <f t="shared" si="21"/>
        <v>5</v>
      </c>
      <c r="G198" s="17" t="str" cm="1">
        <f t="array" ref="G198">GetColumnName(C198,IF(B198=B197,G197,""))</f>
        <v>Id</v>
      </c>
      <c r="H198" s="17" t="str">
        <f t="shared" si="19"/>
        <v>Id</v>
      </c>
      <c r="I198" s="17" t="str">
        <f t="shared" si="20"/>
        <v>Id</v>
      </c>
      <c r="J198" s="17"/>
      <c r="K198" s="17" t="b">
        <v>1</v>
      </c>
      <c r="L198" s="17" t="b" cm="1">
        <f t="array" ref="L198">IsPrimaryKey(A198)</f>
        <v>1</v>
      </c>
      <c r="M198" s="17" t="b" cm="1">
        <f t="array" ref="M198">IsAutoincrement(A198)</f>
        <v>1</v>
      </c>
      <c r="N198" s="17" t="b" cm="1">
        <f t="array" ref="N198">IsUnique(A198)</f>
        <v>0</v>
      </c>
      <c r="O198" s="17" t="str" cm="1">
        <f t="array" ref="O198">IsFilterable(A198)</f>
        <v/>
      </c>
      <c r="P198" s="17" t="str" cm="1">
        <f t="array" ref="P198">IsEditable(A198)</f>
        <v/>
      </c>
      <c r="Q198" s="17" t="str" cm="1">
        <f t="array" ref="Q198">IsGridable(A198)</f>
        <v/>
      </c>
      <c r="R198" s="17" t="str" cm="1">
        <f t="array" ref="R198">IsListable(A198)</f>
        <v/>
      </c>
      <c r="S198" s="17" t="str" cm="1">
        <f t="array" ref="S198">IsEncrypted(A198)</f>
        <v/>
      </c>
      <c r="T198" s="17" t="str" cm="1">
        <f t="array" ref="T198">IsInWords(A198)</f>
        <v/>
      </c>
      <c r="U198" s="17" t="b">
        <v>0</v>
      </c>
    </row>
    <row r="199" spans="1:21">
      <c r="A199" s="17">
        <f t="shared" si="18"/>
        <v>196</v>
      </c>
      <c r="B199" s="18">
        <v>30</v>
      </c>
      <c r="C199" s="17" t="str" cm="1">
        <f t="array" ref="C199">GetValue("Tbl","Alias",B199)</f>
        <v>Bhv</v>
      </c>
      <c r="D199" s="17" cm="1">
        <f t="array" ref="D199">GetDomainId(C199,G199)</f>
        <v>55</v>
      </c>
      <c r="E199" s="17" t="str" cm="1">
        <f t="array" ref="E199">GetValue("Dmn","Name",D199)</f>
        <v>BigId</v>
      </c>
      <c r="F199" s="17">
        <f t="shared" si="21"/>
        <v>10</v>
      </c>
      <c r="G199" s="17" t="str" cm="1">
        <f t="array" ref="G199">GetColumnName(C199,IF(B199=B198,G198,""))</f>
        <v>ColumnId</v>
      </c>
      <c r="H199" s="17" t="str">
        <f t="shared" si="19"/>
        <v>ColumnId</v>
      </c>
      <c r="I199" s="17" t="str">
        <f t="shared" si="20"/>
        <v>ColumnId</v>
      </c>
      <c r="J199" s="17"/>
      <c r="K199" s="17" t="b">
        <v>1</v>
      </c>
      <c r="L199" s="17" t="b" cm="1">
        <f t="array" ref="L199">IsPrimaryKey(A199)</f>
        <v>0</v>
      </c>
      <c r="M199" s="17" t="b" cm="1">
        <f t="array" ref="M199">IsAutoincrement(A199)</f>
        <v>0</v>
      </c>
      <c r="N199" s="17" t="b" cm="1">
        <f t="array" ref="N199">IsUnique(A199)</f>
        <v>0</v>
      </c>
      <c r="O199" s="17" t="b" cm="1">
        <f t="array" ref="O199">IsFilterable(A199)</f>
        <v>1</v>
      </c>
      <c r="P199" s="17" t="b" cm="1">
        <f t="array" ref="P199">IsEditable(A199)</f>
        <v>1</v>
      </c>
      <c r="Q199" s="17" t="b" cm="1">
        <f t="array" ref="Q199">IsGridable(A199)</f>
        <v>1</v>
      </c>
      <c r="R199" s="17" t="str" cm="1">
        <f t="array" ref="R199">IsListable(A199)</f>
        <v/>
      </c>
      <c r="S199" s="17" t="str" cm="1">
        <f t="array" ref="S199">IsEncrypted(A199)</f>
        <v/>
      </c>
      <c r="T199" s="17" t="b" cm="1">
        <f t="array" ref="T199">IsInWords(A199)</f>
        <v>0</v>
      </c>
      <c r="U199" s="17" t="b">
        <v>0</v>
      </c>
    </row>
    <row r="200" spans="1:21">
      <c r="A200" s="17">
        <f t="shared" si="18"/>
        <v>197</v>
      </c>
      <c r="B200" s="18">
        <v>30</v>
      </c>
      <c r="C200" s="17" t="str" cm="1">
        <f t="array" ref="C200">GetValue("Tbl","Alias",B200)</f>
        <v>Bhv</v>
      </c>
      <c r="D200" s="17" cm="1">
        <f t="array" ref="D200">GetDomainId(C200,G200)</f>
        <v>55</v>
      </c>
      <c r="E200" s="17" t="str" cm="1">
        <f t="array" ref="E200">GetValue("Dmn","Name",D200)</f>
        <v>BigId</v>
      </c>
      <c r="F200" s="17">
        <f t="shared" si="21"/>
        <v>15</v>
      </c>
      <c r="G200" s="17" t="str" cm="1">
        <f t="array" ref="G200">GetColumnName(C200,IF(B200=B199,G199,""))</f>
        <v>ExpressionId</v>
      </c>
      <c r="H200" s="17" t="str">
        <f t="shared" si="19"/>
        <v>ExpressionId</v>
      </c>
      <c r="I200" s="17" t="str">
        <f t="shared" si="20"/>
        <v>ExpressionId</v>
      </c>
      <c r="J200" s="17"/>
      <c r="K200" s="17" t="b">
        <v>1</v>
      </c>
      <c r="L200" s="17" t="b" cm="1">
        <f t="array" ref="L200">IsPrimaryKey(A200)</f>
        <v>0</v>
      </c>
      <c r="M200" s="17" t="b" cm="1">
        <f t="array" ref="M200">IsAutoincrement(A200)</f>
        <v>0</v>
      </c>
      <c r="N200" s="17" t="b" cm="1">
        <f t="array" ref="N200">IsUnique(A200)</f>
        <v>0</v>
      </c>
      <c r="O200" s="17" t="b" cm="1">
        <f t="array" ref="O200">IsFilterable(A200)</f>
        <v>1</v>
      </c>
      <c r="P200" s="17" t="b" cm="1">
        <f t="array" ref="P200">IsEditable(A200)</f>
        <v>1</v>
      </c>
      <c r="Q200" s="17" t="b" cm="1">
        <f t="array" ref="Q200">IsGridable(A200)</f>
        <v>1</v>
      </c>
      <c r="R200" s="17" t="str" cm="1">
        <f t="array" ref="R200">IsListable(A200)</f>
        <v/>
      </c>
      <c r="S200" s="17" t="str" cm="1">
        <f t="array" ref="S200">IsEncrypted(A200)</f>
        <v/>
      </c>
      <c r="T200" s="17" t="b" cm="1">
        <f t="array" ref="T200">IsInWords(A200)</f>
        <v>0</v>
      </c>
      <c r="U200" s="17" t="b">
        <v>0</v>
      </c>
    </row>
    <row r="201" spans="1:21">
      <c r="A201" s="17">
        <f t="shared" si="18"/>
        <v>198</v>
      </c>
      <c r="B201" s="18">
        <v>30</v>
      </c>
      <c r="C201" s="17" t="str" cm="1">
        <f t="array" ref="C201">GetValue("Tbl","Alias",B201)</f>
        <v>Bhv</v>
      </c>
      <c r="D201" s="17" cm="1">
        <f t="array" ref="D201">GetDomainId(C201,G201)</f>
        <v>58</v>
      </c>
      <c r="E201" s="17" t="str" cm="1">
        <f t="array" ref="E201">GetValue("Dmn","Name",D201)</f>
        <v>TinyId</v>
      </c>
      <c r="F201" s="17">
        <f t="shared" si="21"/>
        <v>20</v>
      </c>
      <c r="G201" s="17" t="str" cm="1">
        <f t="array" ref="G201">GetColumnName(C201,IF(B201=B200,G200,""))</f>
        <v>PropertyId</v>
      </c>
      <c r="H201" s="17" t="str">
        <f t="shared" si="19"/>
        <v>PropertyId</v>
      </c>
      <c r="I201" s="17" t="str">
        <f t="shared" si="20"/>
        <v>PropertyId</v>
      </c>
      <c r="J201" s="17"/>
      <c r="K201" s="17" t="b">
        <v>1</v>
      </c>
      <c r="L201" s="17" t="b" cm="1">
        <f t="array" ref="L201">IsPrimaryKey(A201)</f>
        <v>0</v>
      </c>
      <c r="M201" s="17" t="b" cm="1">
        <f t="array" ref="M201">IsAutoincrement(A201)</f>
        <v>0</v>
      </c>
      <c r="N201" s="17" t="b" cm="1">
        <f t="array" ref="N201">IsUnique(A201)</f>
        <v>0</v>
      </c>
      <c r="O201" s="17" t="b" cm="1">
        <f t="array" ref="O201">IsFilterable(A201)</f>
        <v>1</v>
      </c>
      <c r="P201" s="17" t="b" cm="1">
        <f t="array" ref="P201">IsEditable(A201)</f>
        <v>1</v>
      </c>
      <c r="Q201" s="17" t="b" cm="1">
        <f t="array" ref="Q201">IsGridable(A201)</f>
        <v>1</v>
      </c>
      <c r="R201" s="17" t="str" cm="1">
        <f t="array" ref="R201">IsListable(A201)</f>
        <v/>
      </c>
      <c r="S201" s="17" t="str" cm="1">
        <f t="array" ref="S201">IsEncrypted(A201)</f>
        <v/>
      </c>
      <c r="T201" s="17" t="b" cm="1">
        <f t="array" ref="T201">IsInWords(A201)</f>
        <v>0</v>
      </c>
      <c r="U201" s="17" t="b">
        <v>0</v>
      </c>
    </row>
    <row r="202" spans="1:21">
      <c r="A202" s="17">
        <f t="shared" si="18"/>
        <v>199</v>
      </c>
      <c r="B202" s="18">
        <v>30</v>
      </c>
      <c r="C202" s="17" t="str" cm="1">
        <f t="array" ref="C202">GetValue("Tbl","Alias",B202)</f>
        <v>Bhv</v>
      </c>
      <c r="D202" s="17" cm="1">
        <f t="array" ref="D202">GetDomainId(C202,G202)</f>
        <v>24</v>
      </c>
      <c r="E202" s="17" t="str" cm="1">
        <f t="array" ref="E202">GetValue("Dmn","Name",D202)</f>
        <v>VARIANT</v>
      </c>
      <c r="F202" s="17">
        <f t="shared" si="21"/>
        <v>25</v>
      </c>
      <c r="G202" s="17" t="str" cm="1">
        <f t="array" ref="G202">GetColumnName(C202,IF(B202=B201,G201,""))</f>
        <v>Value</v>
      </c>
      <c r="H202" s="17" t="str">
        <f t="shared" si="19"/>
        <v>Value</v>
      </c>
      <c r="I202" s="17" t="str">
        <f t="shared" si="20"/>
        <v>Value</v>
      </c>
      <c r="J202" s="17"/>
      <c r="K202" s="17" t="b">
        <v>1</v>
      </c>
      <c r="L202" s="17" t="str" cm="1">
        <f t="array" ref="L202">IsPrimaryKey(A202)</f>
        <v/>
      </c>
      <c r="M202" s="17" t="str" cm="1">
        <f t="array" ref="M202">IsAutoincrement(A202)</f>
        <v/>
      </c>
      <c r="N202" s="17" t="str" cm="1">
        <f t="array" ref="N202">IsUnique(A202)</f>
        <v/>
      </c>
      <c r="O202" s="17" t="str" cm="1">
        <f t="array" ref="O202">IsFilterable(A202)</f>
        <v/>
      </c>
      <c r="P202" s="17" t="b" cm="1">
        <f t="array" ref="P202">IsEditable(A202)</f>
        <v>1</v>
      </c>
      <c r="Q202" s="17" t="str" cm="1">
        <f t="array" ref="Q202">IsGridable(A202)</f>
        <v/>
      </c>
      <c r="R202" s="17" t="str" cm="1">
        <f t="array" ref="R202">IsListable(A202)</f>
        <v/>
      </c>
      <c r="S202" s="17" t="str" cm="1">
        <f t="array" ref="S202">IsEncrypted(A202)</f>
        <v/>
      </c>
      <c r="T202" s="17" t="str" cm="1">
        <f t="array" ref="T202">IsInWords(A202)</f>
        <v/>
      </c>
      <c r="U202" s="17" t="b">
        <v>0</v>
      </c>
    </row>
    <row r="203" spans="1:21">
      <c r="A203" s="17">
        <f t="shared" si="18"/>
        <v>200</v>
      </c>
      <c r="B203" s="18">
        <v>30</v>
      </c>
      <c r="C203" s="17" t="str" cm="1">
        <f t="array" ref="C203">GetValue("Tbl","Alias",B203)</f>
        <v>Bhv</v>
      </c>
      <c r="D203" s="17" cm="1">
        <f t="array" ref="D203">GetDomainId(C203,G203)</f>
        <v>24</v>
      </c>
      <c r="E203" s="17" t="str" cm="1">
        <f t="array" ref="E203">GetValue("Dmn","Name",D203)</f>
        <v>VARIANT</v>
      </c>
      <c r="F203" s="17">
        <f t="shared" si="21"/>
        <v>30</v>
      </c>
      <c r="G203" s="17" t="str" cm="1">
        <f t="array" ref="G203">GetColumnName(C203,IF(B203=B202,G202,""))</f>
        <v>ElseValue</v>
      </c>
      <c r="H203" s="17" t="str">
        <f t="shared" si="19"/>
        <v>ElseValue</v>
      </c>
      <c r="I203" s="17" t="str">
        <f t="shared" si="20"/>
        <v>ElseValue</v>
      </c>
      <c r="J203" s="17"/>
      <c r="K203" s="17" t="b">
        <v>0</v>
      </c>
      <c r="L203" s="17" t="str" cm="1">
        <f t="array" ref="L203">IsPrimaryKey(A203)</f>
        <v/>
      </c>
      <c r="M203" s="17" t="str" cm="1">
        <f t="array" ref="M203">IsAutoincrement(A203)</f>
        <v/>
      </c>
      <c r="N203" s="17" t="str" cm="1">
        <f t="array" ref="N203">IsUnique(A203)</f>
        <v/>
      </c>
      <c r="O203" s="17" t="str" cm="1">
        <f t="array" ref="O203">IsFilterable(A203)</f>
        <v/>
      </c>
      <c r="P203" s="17" t="b" cm="1">
        <f t="array" ref="P203">IsEditable(A203)</f>
        <v>1</v>
      </c>
      <c r="Q203" s="17" t="str" cm="1">
        <f t="array" ref="Q203">IsGridable(A203)</f>
        <v/>
      </c>
      <c r="R203" s="17" t="str" cm="1">
        <f t="array" ref="R203">IsListable(A203)</f>
        <v/>
      </c>
      <c r="S203" s="17" t="str" cm="1">
        <f t="array" ref="S203">IsEncrypted(A203)</f>
        <v/>
      </c>
      <c r="T203" s="17" t="str" cm="1">
        <f t="array" ref="T203">IsInWords(A203)</f>
        <v/>
      </c>
      <c r="U203" s="17" t="b">
        <v>0</v>
      </c>
    </row>
    <row r="204" spans="1:21">
      <c r="A204" s="19">
        <f t="shared" si="18"/>
        <v>201</v>
      </c>
      <c r="B204" s="20">
        <v>31</v>
      </c>
      <c r="C204" s="19" t="str" cm="1">
        <f t="array" ref="C204">GetValue("Tbl","Alias",B204)</f>
        <v>Scr</v>
      </c>
      <c r="D204" s="19" cm="1">
        <f t="array" ref="D204">GetDomainId(C204,G204)</f>
        <v>55</v>
      </c>
      <c r="E204" s="19" t="str" cm="1">
        <f t="array" ref="E204">GetValue("Dmn","Name",D204)</f>
        <v>BigId</v>
      </c>
      <c r="F204" s="19">
        <f t="shared" si="21"/>
        <v>5</v>
      </c>
      <c r="G204" s="19" t="str" cm="1">
        <f t="array" ref="G204">GetColumnName(C204,IF(B204=B203,G203,""))</f>
        <v>Id</v>
      </c>
      <c r="H204" s="19" t="str">
        <f t="shared" si="19"/>
        <v>Id</v>
      </c>
      <c r="I204" s="19" t="str">
        <f t="shared" si="20"/>
        <v>Id</v>
      </c>
      <c r="J204" s="19"/>
      <c r="K204" s="19" t="b">
        <v>1</v>
      </c>
      <c r="L204" s="19" t="b" cm="1">
        <f t="array" ref="L204">IsPrimaryKey(A204)</f>
        <v>1</v>
      </c>
      <c r="M204" s="19" t="b" cm="1">
        <f t="array" ref="M204">IsAutoincrement(A204)</f>
        <v>1</v>
      </c>
      <c r="N204" s="19" t="b" cm="1">
        <f t="array" ref="N204">IsUnique(A204)</f>
        <v>0</v>
      </c>
      <c r="O204" s="19" t="str" cm="1">
        <f t="array" ref="O204">IsFilterable(A204)</f>
        <v/>
      </c>
      <c r="P204" s="19" t="str" cm="1">
        <f t="array" ref="P204">IsEditable(A204)</f>
        <v/>
      </c>
      <c r="Q204" s="19" t="str" cm="1">
        <f t="array" ref="Q204">IsGridable(A204)</f>
        <v/>
      </c>
      <c r="R204" s="19" t="str" cm="1">
        <f t="array" ref="R204">IsListable(A204)</f>
        <v/>
      </c>
      <c r="S204" s="19" t="str" cm="1">
        <f t="array" ref="S204">IsEncrypted(A204)</f>
        <v/>
      </c>
      <c r="T204" s="19" t="str" cm="1">
        <f t="array" ref="T204">IsInWords(A204)</f>
        <v/>
      </c>
      <c r="U204" s="19" t="b">
        <v>0</v>
      </c>
    </row>
    <row r="205" spans="1:21">
      <c r="A205" s="19">
        <f t="shared" si="18"/>
        <v>202</v>
      </c>
      <c r="B205" s="20">
        <v>31</v>
      </c>
      <c r="C205" s="19" t="str" cm="1">
        <f t="array" ref="C205">GetValue("Tbl","Alias",B205)</f>
        <v>Scr</v>
      </c>
      <c r="D205" s="19" cm="1">
        <f t="array" ref="D205">GetDomainId(C205,G205)</f>
        <v>55</v>
      </c>
      <c r="E205" s="19" t="str" cm="1">
        <f t="array" ref="E205">GetValue("Dmn","Name",D205)</f>
        <v>BigId</v>
      </c>
      <c r="F205" s="19">
        <f t="shared" si="21"/>
        <v>10</v>
      </c>
      <c r="G205" s="19" t="str" cm="1">
        <f t="array" ref="G205">GetColumnName(C205,IF(B205=B204,G204,""))</f>
        <v>SniperId</v>
      </c>
      <c r="H205" s="19" t="str">
        <f t="shared" si="19"/>
        <v>SniperId</v>
      </c>
      <c r="I205" s="19" t="str">
        <f t="shared" si="20"/>
        <v>SniperId</v>
      </c>
      <c r="J205" s="19"/>
      <c r="K205" s="19" t="b">
        <v>0</v>
      </c>
      <c r="L205" s="19" t="b" cm="1">
        <f t="array" ref="L205">IsPrimaryKey(A205)</f>
        <v>0</v>
      </c>
      <c r="M205" s="19" t="b" cm="1">
        <f t="array" ref="M205">IsAutoincrement(A205)</f>
        <v>0</v>
      </c>
      <c r="N205" s="19" t="b" cm="1">
        <f t="array" ref="N205">IsUnique(A205)</f>
        <v>0</v>
      </c>
      <c r="O205" s="19" t="b" cm="1">
        <f t="array" ref="O205">IsFilterable(A205)</f>
        <v>1</v>
      </c>
      <c r="P205" s="19" t="b" cm="1">
        <f t="array" ref="P205">IsEditable(A205)</f>
        <v>1</v>
      </c>
      <c r="Q205" s="19" t="b" cm="1">
        <f t="array" ref="Q205">IsGridable(A205)</f>
        <v>1</v>
      </c>
      <c r="R205" s="19" t="str" cm="1">
        <f t="array" ref="R205">IsListable(A205)</f>
        <v/>
      </c>
      <c r="S205" s="19" t="str" cm="1">
        <f t="array" ref="S205">IsEncrypted(A205)</f>
        <v/>
      </c>
      <c r="T205" s="19" t="b" cm="1">
        <f t="array" ref="T205">IsInWords(A205)</f>
        <v>0</v>
      </c>
      <c r="U205" s="19" t="b">
        <v>0</v>
      </c>
    </row>
    <row r="206" spans="1:21">
      <c r="A206" s="19">
        <f t="shared" si="18"/>
        <v>203</v>
      </c>
      <c r="B206" s="20">
        <v>31</v>
      </c>
      <c r="C206" s="19" t="str" cm="1">
        <f t="array" ref="C206">GetValue("Tbl","Alias",B206)</f>
        <v>Scr</v>
      </c>
      <c r="D206" s="19" cm="1">
        <f t="array" ref="D206">GetDomainId(C206,G206)</f>
        <v>55</v>
      </c>
      <c r="E206" s="19" t="str" cm="1">
        <f t="array" ref="E206">GetValue("Dmn","Name",D206)</f>
        <v>BigId</v>
      </c>
      <c r="F206" s="19">
        <f t="shared" si="21"/>
        <v>15</v>
      </c>
      <c r="G206" s="19" t="str" cm="1">
        <f t="array" ref="G206">GetColumnName(C206,IF(B206=B205,G205,""))</f>
        <v>SchedulerId</v>
      </c>
      <c r="H206" s="19" t="str">
        <f t="shared" si="19"/>
        <v>SchedulerId</v>
      </c>
      <c r="I206" s="19" t="str">
        <f t="shared" si="20"/>
        <v>SchedulerId</v>
      </c>
      <c r="J206" s="19"/>
      <c r="K206" s="19" t="b">
        <v>1</v>
      </c>
      <c r="L206" s="19" t="b" cm="1">
        <f t="array" ref="L206">IsPrimaryKey(A206)</f>
        <v>0</v>
      </c>
      <c r="M206" s="19" t="b" cm="1">
        <f t="array" ref="M206">IsAutoincrement(A206)</f>
        <v>0</v>
      </c>
      <c r="N206" s="19" t="b" cm="1">
        <f t="array" ref="N206">IsUnique(A206)</f>
        <v>0</v>
      </c>
      <c r="O206" s="19" t="b" cm="1">
        <f t="array" ref="O206">IsFilterable(A206)</f>
        <v>1</v>
      </c>
      <c r="P206" s="19" t="b" cm="1">
        <f t="array" ref="P206">IsEditable(A206)</f>
        <v>1</v>
      </c>
      <c r="Q206" s="19" t="b" cm="1">
        <f t="array" ref="Q206">IsGridable(A206)</f>
        <v>1</v>
      </c>
      <c r="R206" s="19" t="str" cm="1">
        <f t="array" ref="R206">IsListable(A206)</f>
        <v/>
      </c>
      <c r="S206" s="19" t="str" cm="1">
        <f t="array" ref="S206">IsEncrypted(A206)</f>
        <v/>
      </c>
      <c r="T206" s="19" t="b" cm="1">
        <f t="array" ref="T206">IsInWords(A206)</f>
        <v>0</v>
      </c>
      <c r="U206" s="19" t="b">
        <v>0</v>
      </c>
    </row>
    <row r="207" spans="1:21">
      <c r="A207" s="19">
        <f t="shared" si="18"/>
        <v>204</v>
      </c>
      <c r="B207" s="20">
        <v>31</v>
      </c>
      <c r="C207" s="19" t="str" cm="1">
        <f t="array" ref="C207">GetValue("Tbl","Alias",B207)</f>
        <v>Scr</v>
      </c>
      <c r="D207" s="19" cm="1">
        <f t="array" ref="D207">GetDomainId(C207,G207)</f>
        <v>55</v>
      </c>
      <c r="E207" s="19" t="str" cm="1">
        <f t="array" ref="E207">GetValue("Dmn","Name",D207)</f>
        <v>BigId</v>
      </c>
      <c r="F207" s="19">
        <f t="shared" si="21"/>
        <v>20</v>
      </c>
      <c r="G207" s="19" t="str" cm="1">
        <f t="array" ref="G207">GetColumnName(C207,IF(B207=B206,G206,""))</f>
        <v>ConnectionId</v>
      </c>
      <c r="H207" s="19" t="str">
        <f t="shared" si="19"/>
        <v>ConnectionId</v>
      </c>
      <c r="I207" s="19" t="str">
        <f t="shared" si="20"/>
        <v>ConnectionId</v>
      </c>
      <c r="J207" s="19"/>
      <c r="K207" s="19" t="b">
        <v>1</v>
      </c>
      <c r="L207" s="19" t="b" cm="1">
        <f t="array" ref="L207">IsPrimaryKey(A207)</f>
        <v>0</v>
      </c>
      <c r="M207" s="19" t="b" cm="1">
        <f t="array" ref="M207">IsAutoincrement(A207)</f>
        <v>0</v>
      </c>
      <c r="N207" s="19" t="b" cm="1">
        <f t="array" ref="N207">IsUnique(A207)</f>
        <v>0</v>
      </c>
      <c r="O207" s="19" t="b" cm="1">
        <f t="array" ref="O207">IsFilterable(A207)</f>
        <v>1</v>
      </c>
      <c r="P207" s="19" t="b" cm="1">
        <f t="array" ref="P207">IsEditable(A207)</f>
        <v>1</v>
      </c>
      <c r="Q207" s="19" t="b" cm="1">
        <f t="array" ref="Q207">IsGridable(A207)</f>
        <v>1</v>
      </c>
      <c r="R207" s="19" t="str" cm="1">
        <f t="array" ref="R207">IsListable(A207)</f>
        <v/>
      </c>
      <c r="S207" s="19" t="str" cm="1">
        <f t="array" ref="S207">IsEncrypted(A207)</f>
        <v/>
      </c>
      <c r="T207" s="19" t="b" cm="1">
        <f t="array" ref="T207">IsInWords(A207)</f>
        <v>0</v>
      </c>
      <c r="U207" s="19" t="b">
        <v>0</v>
      </c>
    </row>
    <row r="208" spans="1:21">
      <c r="A208" s="19">
        <f t="shared" si="18"/>
        <v>205</v>
      </c>
      <c r="B208" s="20">
        <v>31</v>
      </c>
      <c r="C208" s="19" t="str" cm="1">
        <f t="array" ref="C208">GetValue("Tbl","Alias",B208)</f>
        <v>Scr</v>
      </c>
      <c r="D208" s="19" cm="1">
        <f t="array" ref="D208">GetDomainId(C208,G208)</f>
        <v>59</v>
      </c>
      <c r="E208" s="19" t="str" cm="1">
        <f t="array" ref="E208">GetValue("Dmn","Name",D208)</f>
        <v>SEQUENCE</v>
      </c>
      <c r="F208" s="19">
        <f t="shared" si="21"/>
        <v>25</v>
      </c>
      <c r="G208" s="19" t="str" cm="1">
        <f t="array" ref="G208">GetColumnName(C208,IF(B208=B207,G207,""))</f>
        <v>Sequence</v>
      </c>
      <c r="H208" s="19" t="str">
        <f t="shared" si="19"/>
        <v>Sequence</v>
      </c>
      <c r="I208" s="19" t="str">
        <f t="shared" si="20"/>
        <v>Sequence</v>
      </c>
      <c r="J208" s="19"/>
      <c r="K208" s="19" t="b">
        <v>1</v>
      </c>
      <c r="L208" s="19" t="b" cm="1">
        <f t="array" ref="L208">IsPrimaryKey(A208)</f>
        <v>0</v>
      </c>
      <c r="M208" s="19" t="b" cm="1">
        <f t="array" ref="M208">IsAutoincrement(A208)</f>
        <v>0</v>
      </c>
      <c r="N208" s="19" t="b" cm="1">
        <f t="array" ref="N208">IsUnique(A208)</f>
        <v>0</v>
      </c>
      <c r="O208" s="19" t="b" cm="1">
        <f t="array" ref="O208">IsFilterable(A208)</f>
        <v>1</v>
      </c>
      <c r="P208" s="19" t="b" cm="1">
        <f t="array" ref="P208">IsEditable(A208)</f>
        <v>1</v>
      </c>
      <c r="Q208" s="19" t="b" cm="1">
        <f t="array" ref="Q208">IsGridable(A208)</f>
        <v>1</v>
      </c>
      <c r="R208" s="19" t="str" cm="1">
        <f t="array" ref="R208">IsListable(A208)</f>
        <v/>
      </c>
      <c r="S208" s="19" t="str" cm="1">
        <f t="array" ref="S208">IsEncrypted(A208)</f>
        <v/>
      </c>
      <c r="T208" s="19" t="b" cm="1">
        <f t="array" ref="T208">IsInWords(A208)</f>
        <v>0</v>
      </c>
      <c r="U208" s="19" t="b">
        <v>0</v>
      </c>
    </row>
    <row r="209" spans="1:21">
      <c r="A209" s="19">
        <f t="shared" si="18"/>
        <v>206</v>
      </c>
      <c r="B209" s="20">
        <v>31</v>
      </c>
      <c r="C209" s="19" t="str" cm="1">
        <f t="array" ref="C209">GetValue("Tbl","Alias",B209)</f>
        <v>Scr</v>
      </c>
      <c r="D209" s="19" cm="1">
        <f t="array" ref="D209">GetDomainId(C209,G209)</f>
        <v>54</v>
      </c>
      <c r="E209" s="19" t="str" cm="1">
        <f t="array" ref="E209">GetValue("Dmn","Name",D209)</f>
        <v>SQL</v>
      </c>
      <c r="F209" s="19">
        <f t="shared" ref="F209" si="22">IF(G209="Id",5,F208+5)</f>
        <v>30</v>
      </c>
      <c r="G209" s="19" t="str" cm="1">
        <f t="array" ref="G209">GetColumnName(C209,IF(B209=B208,G208,""))</f>
        <v>Script</v>
      </c>
      <c r="H209" s="19" t="str">
        <f t="shared" ref="H209" si="23">G209</f>
        <v>Script</v>
      </c>
      <c r="I209" s="19" t="str">
        <f t="shared" ref="I209" si="24">G209</f>
        <v>Script</v>
      </c>
      <c r="J209" s="19"/>
      <c r="K209" s="19" t="b">
        <v>1</v>
      </c>
      <c r="L209" s="19" t="str" cm="1">
        <f t="array" ref="L209">IsPrimaryKey(A209)</f>
        <v/>
      </c>
      <c r="M209" s="19" t="str" cm="1">
        <f t="array" ref="M209">IsAutoincrement(A209)</f>
        <v/>
      </c>
      <c r="N209" s="19" t="str" cm="1">
        <f t="array" ref="N209">IsUnique(A209)</f>
        <v/>
      </c>
      <c r="O209" s="19" t="str" cm="1">
        <f t="array" ref="O209">IsFilterable(A209)</f>
        <v/>
      </c>
      <c r="P209" s="19" t="b" cm="1">
        <f t="array" ref="P209">IsEditable(A209)</f>
        <v>1</v>
      </c>
      <c r="Q209" s="19" t="str" cm="1">
        <f t="array" ref="Q209">IsGridable(A209)</f>
        <v/>
      </c>
      <c r="R209" s="19" t="str" cm="1">
        <f t="array" ref="R209">IsListable(A209)</f>
        <v/>
      </c>
      <c r="S209" s="19" t="str" cm="1">
        <f t="array" ref="S209">IsEncrypted(A209)</f>
        <v/>
      </c>
      <c r="T209" s="19" t="str" cm="1">
        <f t="array" ref="T209">IsInWords(A209)</f>
        <v/>
      </c>
      <c r="U209" s="19" t="b">
        <v>0</v>
      </c>
    </row>
    <row r="210" spans="1:21">
      <c r="A210" s="17">
        <f t="shared" si="18"/>
        <v>207</v>
      </c>
      <c r="B210" s="18">
        <v>32</v>
      </c>
      <c r="C210" s="17" t="str" cm="1">
        <f t="array" ref="C210">GetValue("Tbl","Alias",B210)</f>
        <v>Cal</v>
      </c>
      <c r="D210" s="17" cm="1">
        <f t="array" ref="D210">GetDomainId(C210,G210)</f>
        <v>55</v>
      </c>
      <c r="E210" s="17" t="str" cm="1">
        <f t="array" ref="E210">GetValue("Dmn","Name",D210)</f>
        <v>BigId</v>
      </c>
      <c r="F210" s="17">
        <f t="shared" si="21"/>
        <v>5</v>
      </c>
      <c r="G210" s="17" t="str" cm="1">
        <f t="array" ref="G210">GetColumnName(C210,IF(B210=B209,G209,""))</f>
        <v>Id</v>
      </c>
      <c r="H210" s="17" t="str">
        <f t="shared" si="19"/>
        <v>Id</v>
      </c>
      <c r="I210" s="17" t="str">
        <f t="shared" si="20"/>
        <v>Id</v>
      </c>
      <c r="J210" s="17"/>
      <c r="K210" s="17" t="b">
        <v>1</v>
      </c>
      <c r="L210" s="17" t="b" cm="1">
        <f t="array" ref="L210">IsPrimaryKey(A210)</f>
        <v>1</v>
      </c>
      <c r="M210" s="17" t="b" cm="1">
        <f t="array" ref="M210">IsAutoincrement(A210)</f>
        <v>1</v>
      </c>
      <c r="N210" s="17" t="b" cm="1">
        <f t="array" ref="N210">IsUnique(A210)</f>
        <v>0</v>
      </c>
      <c r="O210" s="17" t="str" cm="1">
        <f t="array" ref="O210">IsFilterable(A210)</f>
        <v/>
      </c>
      <c r="P210" s="17" t="str" cm="1">
        <f t="array" ref="P210">IsEditable(A210)</f>
        <v/>
      </c>
      <c r="Q210" s="17" t="str" cm="1">
        <f t="array" ref="Q210">IsGridable(A210)</f>
        <v/>
      </c>
      <c r="R210" s="17" t="str" cm="1">
        <f t="array" ref="R210">IsListable(A210)</f>
        <v/>
      </c>
      <c r="S210" s="17" t="str" cm="1">
        <f t="array" ref="S210">IsEncrypted(A210)</f>
        <v/>
      </c>
      <c r="T210" s="17" t="str" cm="1">
        <f t="array" ref="T210">IsInWords(A210)</f>
        <v/>
      </c>
      <c r="U210" s="17" t="b">
        <v>0</v>
      </c>
    </row>
    <row r="211" spans="1:21">
      <c r="A211" s="17">
        <f t="shared" si="18"/>
        <v>208</v>
      </c>
      <c r="B211" s="18">
        <v>32</v>
      </c>
      <c r="C211" s="17" t="str" cm="1">
        <f t="array" ref="C211">GetValue("Tbl","Alias",B211)</f>
        <v>Cal</v>
      </c>
      <c r="D211" s="17" cm="1">
        <f t="array" ref="D211">GetDomainId(C211,G211)</f>
        <v>55</v>
      </c>
      <c r="E211" s="17" t="str" cm="1">
        <f t="array" ref="E211">GetValue("Dmn","Name",D211)</f>
        <v>BigId</v>
      </c>
      <c r="F211" s="17">
        <f t="shared" si="21"/>
        <v>10</v>
      </c>
      <c r="G211" s="17" t="str" cm="1">
        <f t="array" ref="G211">GetColumnName(C211,IF(B211=B210,G210,""))</f>
        <v>SniperId</v>
      </c>
      <c r="H211" s="17" t="str">
        <f t="shared" si="19"/>
        <v>SniperId</v>
      </c>
      <c r="I211" s="17" t="str">
        <f t="shared" si="20"/>
        <v>SniperId</v>
      </c>
      <c r="J211" s="17"/>
      <c r="K211" s="17" t="b">
        <v>1</v>
      </c>
      <c r="L211" s="17" t="b" cm="1">
        <f t="array" ref="L211">IsPrimaryKey(A211)</f>
        <v>0</v>
      </c>
      <c r="M211" s="17" t="b" cm="1">
        <f t="array" ref="M211">IsAutoincrement(A211)</f>
        <v>0</v>
      </c>
      <c r="N211" s="17" t="b" cm="1">
        <f t="array" ref="N211">IsUnique(A211)</f>
        <v>0</v>
      </c>
      <c r="O211" s="17" t="b" cm="1">
        <f t="array" ref="O211">IsFilterable(A211)</f>
        <v>1</v>
      </c>
      <c r="P211" s="17" t="b" cm="1">
        <f t="array" ref="P211">IsEditable(A211)</f>
        <v>1</v>
      </c>
      <c r="Q211" s="17" t="b" cm="1">
        <f t="array" ref="Q211">IsGridable(A211)</f>
        <v>1</v>
      </c>
      <c r="R211" s="17" t="str" cm="1">
        <f t="array" ref="R211">IsListable(A211)</f>
        <v/>
      </c>
      <c r="S211" s="17" t="str" cm="1">
        <f t="array" ref="S211">IsEncrypted(A211)</f>
        <v/>
      </c>
      <c r="T211" s="17" t="b" cm="1">
        <f t="array" ref="T211">IsInWords(A211)</f>
        <v>0</v>
      </c>
      <c r="U211" s="17" t="b">
        <v>0</v>
      </c>
    </row>
    <row r="212" spans="1:21">
      <c r="A212" s="17">
        <f t="shared" si="18"/>
        <v>209</v>
      </c>
      <c r="B212" s="18">
        <v>32</v>
      </c>
      <c r="C212" s="17" t="str" cm="1">
        <f t="array" ref="C212">GetValue("Tbl","Alias",B212)</f>
        <v>Cal</v>
      </c>
      <c r="D212" s="17" cm="1">
        <f t="array" ref="D212">GetDomainId(C212,G212)</f>
        <v>55</v>
      </c>
      <c r="E212" s="17" t="str" cm="1">
        <f t="array" ref="E212">GetValue("Dmn","Name",D212)</f>
        <v>BigId</v>
      </c>
      <c r="F212" s="17">
        <f t="shared" si="21"/>
        <v>15</v>
      </c>
      <c r="G212" s="17" t="str" cm="1">
        <f t="array" ref="G212">GetColumnName(C212,IF(B212=B211,G211,""))</f>
        <v>SchedulerId</v>
      </c>
      <c r="H212" s="17" t="str">
        <f t="shared" si="19"/>
        <v>SchedulerId</v>
      </c>
      <c r="I212" s="17" t="str">
        <f t="shared" si="20"/>
        <v>SchedulerId</v>
      </c>
      <c r="J212" s="17"/>
      <c r="K212" s="17" t="b">
        <v>1</v>
      </c>
      <c r="L212" s="17" t="b" cm="1">
        <f t="array" ref="L212">IsPrimaryKey(A212)</f>
        <v>0</v>
      </c>
      <c r="M212" s="17" t="b" cm="1">
        <f t="array" ref="M212">IsAutoincrement(A212)</f>
        <v>0</v>
      </c>
      <c r="N212" s="17" t="b" cm="1">
        <f t="array" ref="N212">IsUnique(A212)</f>
        <v>0</v>
      </c>
      <c r="O212" s="17" t="b" cm="1">
        <f t="array" ref="O212">IsFilterable(A212)</f>
        <v>1</v>
      </c>
      <c r="P212" s="17" t="b" cm="1">
        <f t="array" ref="P212">IsEditable(A212)</f>
        <v>1</v>
      </c>
      <c r="Q212" s="17" t="b" cm="1">
        <f t="array" ref="Q212">IsGridable(A212)</f>
        <v>1</v>
      </c>
      <c r="R212" s="17" t="str" cm="1">
        <f t="array" ref="R212">IsListable(A212)</f>
        <v/>
      </c>
      <c r="S212" s="17" t="str" cm="1">
        <f t="array" ref="S212">IsEncrypted(A212)</f>
        <v/>
      </c>
      <c r="T212" s="17" t="b" cm="1">
        <f t="array" ref="T212">IsInWords(A212)</f>
        <v>0</v>
      </c>
      <c r="U212" s="17" t="b">
        <v>0</v>
      </c>
    </row>
    <row r="213" spans="1:21">
      <c r="A213" s="17">
        <f t="shared" si="18"/>
        <v>210</v>
      </c>
      <c r="B213" s="18">
        <v>32</v>
      </c>
      <c r="C213" s="17" t="str" cm="1">
        <f t="array" ref="C213">GetValue("Tbl","Alias",B213)</f>
        <v>Cal</v>
      </c>
      <c r="D213" s="17" cm="1">
        <f t="array" ref="D213">GetDomainId(C213,G213)</f>
        <v>59</v>
      </c>
      <c r="E213" s="17" t="str" cm="1">
        <f t="array" ref="E213">GetValue("Dmn","Name",D213)</f>
        <v>SEQUENCE</v>
      </c>
      <c r="F213" s="17">
        <f t="shared" si="21"/>
        <v>20</v>
      </c>
      <c r="G213" s="17" t="str" cm="1">
        <f t="array" ref="G213">GetColumnName(C213,IF(B213=B212,G212,""))</f>
        <v>Sequence</v>
      </c>
      <c r="H213" s="17" t="str">
        <f t="shared" si="19"/>
        <v>Sequence</v>
      </c>
      <c r="I213" s="17" t="str">
        <f t="shared" si="20"/>
        <v>Sequence</v>
      </c>
      <c r="J213" s="17"/>
      <c r="K213" s="17" t="b">
        <v>1</v>
      </c>
      <c r="L213" s="17" t="b" cm="1">
        <f t="array" ref="L213">IsPrimaryKey(A213)</f>
        <v>0</v>
      </c>
      <c r="M213" s="17" t="b" cm="1">
        <f t="array" ref="M213">IsAutoincrement(A213)</f>
        <v>0</v>
      </c>
      <c r="N213" s="17" t="b" cm="1">
        <f t="array" ref="N213">IsUnique(A213)</f>
        <v>0</v>
      </c>
      <c r="O213" s="17" t="b" cm="1">
        <f t="array" ref="O213">IsFilterable(A213)</f>
        <v>1</v>
      </c>
      <c r="P213" s="17" t="b" cm="1">
        <f t="array" ref="P213">IsEditable(A213)</f>
        <v>1</v>
      </c>
      <c r="Q213" s="17" t="b" cm="1">
        <f t="array" ref="Q213">IsGridable(A213)</f>
        <v>1</v>
      </c>
      <c r="R213" s="17" t="str" cm="1">
        <f t="array" ref="R213">IsListable(A213)</f>
        <v/>
      </c>
      <c r="S213" s="17" t="str" cm="1">
        <f t="array" ref="S213">IsEncrypted(A213)</f>
        <v/>
      </c>
      <c r="T213" s="17" t="b" cm="1">
        <f t="array" ref="T213">IsInWords(A213)</f>
        <v>0</v>
      </c>
      <c r="U213" s="17" t="b">
        <v>0</v>
      </c>
    </row>
    <row r="214" spans="1:21">
      <c r="A214" s="17">
        <f t="shared" si="18"/>
        <v>211</v>
      </c>
      <c r="B214" s="18">
        <v>32</v>
      </c>
      <c r="C214" s="17" t="str" cm="1">
        <f t="array" ref="C214">GetValue("Tbl","Alias",B214)</f>
        <v>Cal</v>
      </c>
      <c r="D214" s="17" cm="1">
        <f t="array" ref="D214">GetDomainId(C214,G214)</f>
        <v>32</v>
      </c>
      <c r="E214" s="17" t="str" cm="1">
        <f t="array" ref="E214">GetValue("Dmn","Name",D214)</f>
        <v>Fetch Method</v>
      </c>
      <c r="F214" s="17">
        <f t="shared" si="21"/>
        <v>25</v>
      </c>
      <c r="G214" s="17" t="str" cm="1">
        <f t="array" ref="G214">GetColumnName(C214,IF(B214=B213,G213,""))</f>
        <v>Method</v>
      </c>
      <c r="H214" s="17" t="str">
        <f t="shared" si="19"/>
        <v>Method</v>
      </c>
      <c r="I214" s="17" t="str">
        <f t="shared" si="20"/>
        <v>Method</v>
      </c>
      <c r="J214" s="17"/>
      <c r="K214" s="17" t="b">
        <v>1</v>
      </c>
      <c r="L214" s="17" t="b" cm="1">
        <f t="array" ref="L214">IsPrimaryKey(A214)</f>
        <v>0</v>
      </c>
      <c r="M214" s="17" t="str" cm="1">
        <f t="array" ref="M214">IsAutoincrement(A214)</f>
        <v/>
      </c>
      <c r="N214" s="17" t="b" cm="1">
        <f t="array" ref="N214">IsUnique(A214)</f>
        <v>0</v>
      </c>
      <c r="O214" s="17" t="b" cm="1">
        <f t="array" ref="O214">IsFilterable(A214)</f>
        <v>1</v>
      </c>
      <c r="P214" s="17" t="b" cm="1">
        <f t="array" ref="P214">IsEditable(A214)</f>
        <v>1</v>
      </c>
      <c r="Q214" s="17" t="b" cm="1">
        <f t="array" ref="Q214">IsGridable(A214)</f>
        <v>1</v>
      </c>
      <c r="R214" s="17" t="b" cm="1">
        <f t="array" ref="R214">IsListable(A214)</f>
        <v>0</v>
      </c>
      <c r="S214" s="17" t="b" cm="1">
        <f t="array" ref="S214">IsEncrypted(A214)</f>
        <v>0</v>
      </c>
      <c r="T214" s="17" t="str" cm="1">
        <f t="array" ref="T214">IsInWords(A214)</f>
        <v/>
      </c>
      <c r="U214" s="17" t="b">
        <v>0</v>
      </c>
    </row>
    <row r="215" spans="1:21">
      <c r="A215" s="17">
        <f t="shared" si="18"/>
        <v>212</v>
      </c>
      <c r="B215" s="18">
        <v>32</v>
      </c>
      <c r="C215" s="17" t="str" cm="1">
        <f t="array" ref="C215">GetValue("Tbl","Alias",B215)</f>
        <v>Cal</v>
      </c>
      <c r="D215" s="17" cm="1">
        <f t="array" ref="D215">GetDomainId(C215,G215)</f>
        <v>60</v>
      </c>
      <c r="E215" s="17" t="str" cm="1">
        <f t="array" ref="E215">GetValue("Dmn","Name",D215)</f>
        <v>URL</v>
      </c>
      <c r="F215" s="17">
        <f t="shared" ref="F215" si="25">IF(G215="Id",5,F214+5)</f>
        <v>30</v>
      </c>
      <c r="G215" s="17" t="str" cm="1">
        <f t="array" ref="G215">GetColumnName(C215,IF(B215=B214,G214,""))</f>
        <v>URL</v>
      </c>
      <c r="H215" s="17" t="str">
        <f t="shared" ref="H215" si="26">G215</f>
        <v>URL</v>
      </c>
      <c r="I215" s="17" t="str">
        <f t="shared" ref="I215" si="27">G215</f>
        <v>URL</v>
      </c>
      <c r="J215" s="17"/>
      <c r="K215" s="17" t="b">
        <v>1</v>
      </c>
      <c r="L215" s="17" t="b" cm="1">
        <f t="array" ref="L215">IsPrimaryKey(A215)</f>
        <v>0</v>
      </c>
      <c r="M215" s="17" t="str" cm="1">
        <f t="array" ref="M215">IsAutoincrement(A215)</f>
        <v/>
      </c>
      <c r="N215" s="17" t="b" cm="1">
        <f t="array" ref="N215">IsUnique(A215)</f>
        <v>0</v>
      </c>
      <c r="O215" s="17" t="b" cm="1">
        <f t="array" ref="O215">IsFilterable(A215)</f>
        <v>1</v>
      </c>
      <c r="P215" s="17" t="b" cm="1">
        <f t="array" ref="P215">IsEditable(A215)</f>
        <v>1</v>
      </c>
      <c r="Q215" s="17" t="b" cm="1">
        <f t="array" ref="Q215">IsGridable(A215)</f>
        <v>1</v>
      </c>
      <c r="R215" s="17" t="b" cm="1">
        <f t="array" ref="R215">IsListable(A215)</f>
        <v>0</v>
      </c>
      <c r="S215" s="17" t="b" cm="1">
        <f t="array" ref="S215">IsEncrypted(A215)</f>
        <v>0</v>
      </c>
      <c r="T215" s="17" t="str" cm="1">
        <f t="array" ref="T215">IsInWords(A215)</f>
        <v/>
      </c>
      <c r="U215" s="17" t="b">
        <v>0</v>
      </c>
    </row>
    <row r="216" spans="1:21">
      <c r="A216" s="19">
        <f t="shared" si="18"/>
        <v>213</v>
      </c>
      <c r="B216" s="20">
        <v>33</v>
      </c>
      <c r="C216" s="19" t="str" cm="1">
        <f t="array" ref="C216">GetValue("Tbl","Alias",B216)</f>
        <v>Snp</v>
      </c>
      <c r="D216" s="19" cm="1">
        <f t="array" ref="D216">GetDomainId(C216,G216)</f>
        <v>55</v>
      </c>
      <c r="E216" s="19" t="str" cm="1">
        <f t="array" ref="E216">GetValue("Dmn","Name",D216)</f>
        <v>BigId</v>
      </c>
      <c r="F216" s="19">
        <f t="shared" si="21"/>
        <v>5</v>
      </c>
      <c r="G216" s="19" t="str" cm="1">
        <f t="array" ref="G216">GetColumnName(C216,IF(B216=B215,G215,""))</f>
        <v>Id</v>
      </c>
      <c r="H216" s="19" t="str">
        <f t="shared" si="19"/>
        <v>Id</v>
      </c>
      <c r="I216" s="19" t="str">
        <f t="shared" si="20"/>
        <v>Id</v>
      </c>
      <c r="J216" s="19"/>
      <c r="K216" s="19" t="b">
        <v>0</v>
      </c>
      <c r="L216" s="19" t="b" cm="1">
        <f t="array" ref="L216">IsPrimaryKey(A216)</f>
        <v>1</v>
      </c>
      <c r="M216" s="19" t="b" cm="1">
        <f t="array" ref="M216">IsAutoincrement(A216)</f>
        <v>1</v>
      </c>
      <c r="N216" s="19" t="b" cm="1">
        <f t="array" ref="N216">IsUnique(A216)</f>
        <v>0</v>
      </c>
      <c r="O216" s="19" t="str" cm="1">
        <f t="array" ref="O216">IsFilterable(A216)</f>
        <v/>
      </c>
      <c r="P216" s="19" t="str" cm="1">
        <f t="array" ref="P216">IsEditable(A216)</f>
        <v/>
      </c>
      <c r="Q216" s="19" t="str" cm="1">
        <f t="array" ref="Q216">IsGridable(A216)</f>
        <v/>
      </c>
      <c r="R216" s="19" t="str" cm="1">
        <f t="array" ref="R216">IsListable(A216)</f>
        <v/>
      </c>
      <c r="S216" s="19" t="str" cm="1">
        <f t="array" ref="S216">IsEncrypted(A216)</f>
        <v/>
      </c>
      <c r="T216" s="19" t="str" cm="1">
        <f t="array" ref="T216">IsInWords(A216)</f>
        <v/>
      </c>
      <c r="U216" s="19" t="b">
        <v>0</v>
      </c>
    </row>
    <row r="217" spans="1:21">
      <c r="A217" s="19">
        <f t="shared" si="18"/>
        <v>214</v>
      </c>
      <c r="B217" s="20">
        <v>33</v>
      </c>
      <c r="C217" s="19" t="str" cm="1">
        <f t="array" ref="C217">GetValue("Tbl","Alias",B217)</f>
        <v>Snp</v>
      </c>
      <c r="D217" s="19" cm="1">
        <f t="array" ref="D217">GetDomainId(C217,G217)</f>
        <v>55</v>
      </c>
      <c r="E217" s="19" t="str" cm="1">
        <f t="array" ref="E217">GetValue("Dmn","Name",D217)</f>
        <v>BigId</v>
      </c>
      <c r="F217" s="19">
        <f t="shared" si="21"/>
        <v>10</v>
      </c>
      <c r="G217" s="19" t="str" cm="1">
        <f t="array" ref="G217">GetColumnName(C217,IF(B217=B216,G216,""))</f>
        <v>TableId</v>
      </c>
      <c r="H217" s="19" t="str">
        <f t="shared" si="19"/>
        <v>TableId</v>
      </c>
      <c r="I217" s="19" t="str">
        <f t="shared" si="20"/>
        <v>TableId</v>
      </c>
      <c r="J217" s="19"/>
      <c r="K217" s="19" t="b">
        <v>1</v>
      </c>
      <c r="L217" s="19" t="b" cm="1">
        <f t="array" ref="L217">IsPrimaryKey(A217)</f>
        <v>0</v>
      </c>
      <c r="M217" s="19" t="b" cm="1">
        <f t="array" ref="M217">IsAutoincrement(A217)</f>
        <v>0</v>
      </c>
      <c r="N217" s="19" t="b" cm="1">
        <f t="array" ref="N217">IsUnique(A217)</f>
        <v>0</v>
      </c>
      <c r="O217" s="19" t="b" cm="1">
        <f t="array" ref="O217">IsFilterable(A217)</f>
        <v>1</v>
      </c>
      <c r="P217" s="19" t="b" cm="1">
        <f t="array" ref="P217">IsEditable(A217)</f>
        <v>1</v>
      </c>
      <c r="Q217" s="19" t="b" cm="1">
        <f t="array" ref="Q217">IsGridable(A217)</f>
        <v>1</v>
      </c>
      <c r="R217" s="19" t="str" cm="1">
        <f t="array" ref="R217">IsListable(A217)</f>
        <v/>
      </c>
      <c r="S217" s="19" t="str" cm="1">
        <f t="array" ref="S217">IsEncrypted(A217)</f>
        <v/>
      </c>
      <c r="T217" s="19" t="b" cm="1">
        <f t="array" ref="T217">IsInWords(A217)</f>
        <v>0</v>
      </c>
      <c r="U217" s="19" t="b">
        <v>0</v>
      </c>
    </row>
    <row r="218" spans="1:21">
      <c r="A218" s="19">
        <f t="shared" si="18"/>
        <v>215</v>
      </c>
      <c r="B218" s="20">
        <v>33</v>
      </c>
      <c r="C218" s="19" t="str" cm="1">
        <f t="array" ref="C218">GetValue("Tbl","Alias",B218)</f>
        <v>Snp</v>
      </c>
      <c r="D218" s="19" cm="1">
        <f t="array" ref="D218">GetDomainId(C218,G218)</f>
        <v>11</v>
      </c>
      <c r="E218" s="19" t="str" cm="1">
        <f t="array" ref="E218">GetValue("Dmn","Name",D218)</f>
        <v>NVARCHAR(25)</v>
      </c>
      <c r="F218" s="19">
        <f t="shared" si="21"/>
        <v>15</v>
      </c>
      <c r="G218" s="19" t="str" cm="1">
        <f t="array" ref="G218">GetColumnName(C218,IF(B218=B217,G217,""))</f>
        <v>Name</v>
      </c>
      <c r="H218" s="19" t="str">
        <f t="shared" si="19"/>
        <v>Name</v>
      </c>
      <c r="I218" s="19" t="str">
        <f t="shared" si="20"/>
        <v>Name</v>
      </c>
      <c r="J218" s="19"/>
      <c r="K218" s="19" t="b">
        <v>0</v>
      </c>
      <c r="L218" s="19" t="b" cm="1">
        <f t="array" ref="L218">IsPrimaryKey(A218)</f>
        <v>0</v>
      </c>
      <c r="M218" s="19" t="str" cm="1">
        <f t="array" ref="M218">IsAutoincrement(A218)</f>
        <v/>
      </c>
      <c r="N218" s="19" t="b" cm="1">
        <f t="array" ref="N218">IsUnique(A218)</f>
        <v>0</v>
      </c>
      <c r="O218" s="19" t="b" cm="1">
        <f t="array" ref="O218">IsFilterable(A218)</f>
        <v>1</v>
      </c>
      <c r="P218" s="19" t="b" cm="1">
        <f t="array" ref="P218">IsEditable(A218)</f>
        <v>1</v>
      </c>
      <c r="Q218" s="19" t="b" cm="1">
        <f t="array" ref="Q218">IsGridable(A218)</f>
        <v>1</v>
      </c>
      <c r="R218" s="19" t="b" cm="1">
        <f t="array" ref="R218">IsListable(A218)</f>
        <v>0</v>
      </c>
      <c r="S218" s="19" t="b" cm="1">
        <f t="array" ref="S218">IsEncrypted(A218)</f>
        <v>0</v>
      </c>
      <c r="T218" s="19" t="str" cm="1">
        <f t="array" ref="T218">IsInWords(A218)</f>
        <v/>
      </c>
      <c r="U218" s="19" t="b">
        <v>0</v>
      </c>
    </row>
    <row r="219" spans="1:21">
      <c r="A219" s="19">
        <f t="shared" si="18"/>
        <v>216</v>
      </c>
      <c r="B219" s="20">
        <v>33</v>
      </c>
      <c r="C219" s="19" t="str" cm="1">
        <f t="array" ref="C219">GetValue("Tbl","Alias",B219)</f>
        <v>Snp</v>
      </c>
      <c r="D219" s="19" cm="1">
        <f t="array" ref="D219">GetDomainId(C219,G219)</f>
        <v>5</v>
      </c>
      <c r="E219" s="19" t="str" cm="1">
        <f t="array" ref="E219">GetValue("Dmn","Name",D219)</f>
        <v>Boolean</v>
      </c>
      <c r="F219" s="19">
        <f t="shared" si="21"/>
        <v>20</v>
      </c>
      <c r="G219" s="19" t="str" cm="1">
        <f t="array" ref="G219">GetColumnName(C219,IF(B219=B218,G218,""))</f>
        <v>IsBefore</v>
      </c>
      <c r="H219" s="19" t="str">
        <f t="shared" si="19"/>
        <v>IsBefore</v>
      </c>
      <c r="I219" s="19" t="str">
        <f t="shared" si="20"/>
        <v>IsBefore</v>
      </c>
      <c r="J219" s="19"/>
      <c r="K219" s="19" t="b">
        <v>0</v>
      </c>
      <c r="L219" s="19" t="b" cm="1">
        <f t="array" ref="L219">IsPrimaryKey(A219)</f>
        <v>0</v>
      </c>
      <c r="M219" s="19" t="str" cm="1">
        <f t="array" ref="M219">IsAutoincrement(A219)</f>
        <v/>
      </c>
      <c r="N219" s="19" t="str" cm="1">
        <f t="array" ref="N219">IsUnique(A219)</f>
        <v/>
      </c>
      <c r="O219" s="19" t="b" cm="1">
        <f t="array" ref="O219">IsFilterable(A219)</f>
        <v>1</v>
      </c>
      <c r="P219" s="19" t="b" cm="1">
        <f t="array" ref="P219">IsEditable(A219)</f>
        <v>1</v>
      </c>
      <c r="Q219" s="19" t="b" cm="1">
        <f t="array" ref="Q219">IsGridable(A219)</f>
        <v>1</v>
      </c>
      <c r="R219" s="19" t="str" cm="1">
        <f t="array" ref="R219">IsListable(A219)</f>
        <v/>
      </c>
      <c r="S219" s="19" t="str" cm="1">
        <f t="array" ref="S219">IsEncrypted(A219)</f>
        <v/>
      </c>
      <c r="T219" s="19" t="str" cm="1">
        <f t="array" ref="T219">IsInWords(A219)</f>
        <v/>
      </c>
      <c r="U219" s="19" t="b">
        <v>0</v>
      </c>
    </row>
    <row r="220" spans="1:21">
      <c r="A220" s="19">
        <f t="shared" si="18"/>
        <v>217</v>
      </c>
      <c r="B220" s="20">
        <v>33</v>
      </c>
      <c r="C220" s="19" t="str" cm="1">
        <f t="array" ref="C220">GetValue("Tbl","Alias",B220)</f>
        <v>Snp</v>
      </c>
      <c r="D220" s="19" cm="1">
        <f t="array" ref="D220">GetDomainId(C220,G220)</f>
        <v>5</v>
      </c>
      <c r="E220" s="19" t="str" cm="1">
        <f t="array" ref="E220">GetValue("Dmn","Name",D220)</f>
        <v>Boolean</v>
      </c>
      <c r="F220" s="19">
        <f t="shared" si="21"/>
        <v>25</v>
      </c>
      <c r="G220" s="19" t="str" cm="1">
        <f t="array" ref="G220">GetColumnName(C220,IF(B220=B219,G219,""))</f>
        <v>IsActive</v>
      </c>
      <c r="H220" s="19" t="str">
        <f t="shared" si="19"/>
        <v>IsActive</v>
      </c>
      <c r="I220" s="19" t="str">
        <f t="shared" si="20"/>
        <v>IsActive</v>
      </c>
      <c r="J220" s="19"/>
      <c r="K220" s="19" t="b">
        <v>0</v>
      </c>
      <c r="L220" s="19" t="b" cm="1">
        <f t="array" ref="L220">IsPrimaryKey(A220)</f>
        <v>0</v>
      </c>
      <c r="M220" s="19" t="str" cm="1">
        <f t="array" ref="M220">IsAutoincrement(A220)</f>
        <v/>
      </c>
      <c r="N220" s="19" t="str" cm="1">
        <f t="array" ref="N220">IsUnique(A220)</f>
        <v/>
      </c>
      <c r="O220" s="19" t="b" cm="1">
        <f t="array" ref="O220">IsFilterable(A220)</f>
        <v>1</v>
      </c>
      <c r="P220" s="19" t="b" cm="1">
        <f t="array" ref="P220">IsEditable(A220)</f>
        <v>1</v>
      </c>
      <c r="Q220" s="19" t="b" cm="1">
        <f t="array" ref="Q220">IsGridable(A220)</f>
        <v>1</v>
      </c>
      <c r="R220" s="19" t="str" cm="1">
        <f t="array" ref="R220">IsListable(A220)</f>
        <v/>
      </c>
      <c r="S220" s="19" t="str" cm="1">
        <f t="array" ref="S220">IsEncrypted(A220)</f>
        <v/>
      </c>
      <c r="T220" s="19" t="str" cm="1">
        <f t="array" ref="T220">IsInWords(A220)</f>
        <v/>
      </c>
      <c r="U220" s="19" t="b">
        <v>0</v>
      </c>
    </row>
    <row r="221" spans="1:21">
      <c r="A221" s="17">
        <f t="shared" si="18"/>
        <v>218</v>
      </c>
      <c r="B221" s="18">
        <v>34</v>
      </c>
      <c r="C221" s="17" t="str" cm="1">
        <f t="array" ref="C221">GetValue("Tbl","Alias",B221)</f>
        <v>Sch</v>
      </c>
      <c r="D221" s="17" cm="1">
        <f t="array" ref="D221">GetDomainId(C221,G221)</f>
        <v>55</v>
      </c>
      <c r="E221" s="17" t="str" cm="1">
        <f t="array" ref="E221">GetValue("Dmn","Name",D221)</f>
        <v>BigId</v>
      </c>
      <c r="F221" s="17">
        <f t="shared" si="21"/>
        <v>5</v>
      </c>
      <c r="G221" s="17" t="str" cm="1">
        <f t="array" ref="G221">GetColumnName(C221,IF(B221=B220,G220,""))</f>
        <v>Id</v>
      </c>
      <c r="H221" s="17" t="str">
        <f t="shared" si="19"/>
        <v>Id</v>
      </c>
      <c r="I221" s="17" t="str">
        <f t="shared" si="20"/>
        <v>Id</v>
      </c>
      <c r="J221" s="17"/>
      <c r="K221" s="17" t="b">
        <v>0</v>
      </c>
      <c r="L221" s="17" t="b" cm="1">
        <f t="array" ref="L221">IsPrimaryKey(A221)</f>
        <v>1</v>
      </c>
      <c r="M221" s="17" t="b" cm="1">
        <f t="array" ref="M221">IsAutoincrement(A221)</f>
        <v>1</v>
      </c>
      <c r="N221" s="17" t="b" cm="1">
        <f t="array" ref="N221">IsUnique(A221)</f>
        <v>0</v>
      </c>
      <c r="O221" s="17" t="str" cm="1">
        <f t="array" ref="O221">IsFilterable(A221)</f>
        <v/>
      </c>
      <c r="P221" s="17" t="str" cm="1">
        <f t="array" ref="P221">IsEditable(A221)</f>
        <v/>
      </c>
      <c r="Q221" s="17" t="str" cm="1">
        <f t="array" ref="Q221">IsGridable(A221)</f>
        <v/>
      </c>
      <c r="R221" s="17" t="str" cm="1">
        <f t="array" ref="R221">IsListable(A221)</f>
        <v/>
      </c>
      <c r="S221" s="17" t="str" cm="1">
        <f t="array" ref="S221">IsEncrypted(A221)</f>
        <v/>
      </c>
      <c r="T221" s="17" t="str" cm="1">
        <f t="array" ref="T221">IsInWords(A221)</f>
        <v/>
      </c>
      <c r="U221" s="17" t="b">
        <v>0</v>
      </c>
    </row>
    <row r="222" spans="1:21">
      <c r="A222" s="17">
        <f t="shared" si="18"/>
        <v>219</v>
      </c>
      <c r="B222" s="18">
        <v>34</v>
      </c>
      <c r="C222" s="17" t="str" cm="1">
        <f t="array" ref="C222">GetValue("Tbl","Alias",B222)</f>
        <v>Sch</v>
      </c>
      <c r="D222" s="17" cm="1">
        <f t="array" ref="D222">GetDomainId(C222,G222)</f>
        <v>11</v>
      </c>
      <c r="E222" s="17" t="str" cm="1">
        <f t="array" ref="E222">GetValue("Dmn","Name",D222)</f>
        <v>NVARCHAR(25)</v>
      </c>
      <c r="F222" s="17">
        <f t="shared" si="21"/>
        <v>10</v>
      </c>
      <c r="G222" s="17" t="str" cm="1">
        <f t="array" ref="G222">GetColumnName(C222,IF(B222=B221,G221,""))</f>
        <v>Name</v>
      </c>
      <c r="H222" s="17" t="str">
        <f t="shared" si="19"/>
        <v>Name</v>
      </c>
      <c r="I222" s="17" t="str">
        <f t="shared" si="20"/>
        <v>Name</v>
      </c>
      <c r="J222" s="17"/>
      <c r="K222" s="17" t="b">
        <v>0</v>
      </c>
      <c r="L222" s="17" t="b" cm="1">
        <f t="array" ref="L222">IsPrimaryKey(A222)</f>
        <v>0</v>
      </c>
      <c r="M222" s="17" t="str" cm="1">
        <f t="array" ref="M222">IsAutoincrement(A222)</f>
        <v/>
      </c>
      <c r="N222" s="17" t="b" cm="1">
        <f t="array" ref="N222">IsUnique(A222)</f>
        <v>0</v>
      </c>
      <c r="O222" s="17" t="b" cm="1">
        <f t="array" ref="O222">IsFilterable(A222)</f>
        <v>1</v>
      </c>
      <c r="P222" s="17" t="b" cm="1">
        <f t="array" ref="P222">IsEditable(A222)</f>
        <v>1</v>
      </c>
      <c r="Q222" s="17" t="b" cm="1">
        <f t="array" ref="Q222">IsGridable(A222)</f>
        <v>1</v>
      </c>
      <c r="R222" s="17" t="b" cm="1">
        <f t="array" ref="R222">IsListable(A222)</f>
        <v>0</v>
      </c>
      <c r="S222" s="17" t="b" cm="1">
        <f t="array" ref="S222">IsEncrypted(A222)</f>
        <v>0</v>
      </c>
      <c r="T222" s="17" t="str" cm="1">
        <f t="array" ref="T222">IsInWords(A222)</f>
        <v/>
      </c>
      <c r="U222" s="17" t="b">
        <v>0</v>
      </c>
    </row>
    <row r="223" spans="1:21">
      <c r="A223" s="17">
        <f t="shared" si="18"/>
        <v>220</v>
      </c>
      <c r="B223" s="18">
        <v>34</v>
      </c>
      <c r="C223" s="17" t="str" cm="1">
        <f t="array" ref="C223">GetValue("Tbl","Alias",B223)</f>
        <v>Sch</v>
      </c>
      <c r="D223" s="17" cm="1">
        <f t="array" ref="D223">GetDomainId(C223,G223)</f>
        <v>4</v>
      </c>
      <c r="E223" s="17" t="str" cm="1">
        <f t="array" ref="E223">GetValue("Dmn","Name",D223)</f>
        <v>TinyInteger</v>
      </c>
      <c r="F223" s="17">
        <f t="shared" si="21"/>
        <v>15</v>
      </c>
      <c r="G223" s="17" t="str" cm="1">
        <f t="array" ref="G223">GetColumnName(C223,IF(B223=B222,G222,""))</f>
        <v>Interval</v>
      </c>
      <c r="H223" s="17" t="str">
        <f t="shared" si="19"/>
        <v>Interval</v>
      </c>
      <c r="I223" s="17" t="str">
        <f t="shared" si="20"/>
        <v>Interval</v>
      </c>
      <c r="J223" s="17"/>
      <c r="K223" s="17" t="b">
        <v>0</v>
      </c>
      <c r="L223" s="17" t="b" cm="1">
        <f t="array" ref="L223">IsPrimaryKey(A223)</f>
        <v>0</v>
      </c>
      <c r="M223" s="17" t="b" cm="1">
        <f t="array" ref="M223">IsAutoincrement(A223)</f>
        <v>0</v>
      </c>
      <c r="N223" s="17" t="b" cm="1">
        <f t="array" ref="N223">IsUnique(A223)</f>
        <v>0</v>
      </c>
      <c r="O223" s="17" t="b" cm="1">
        <f t="array" ref="O223">IsFilterable(A223)</f>
        <v>1</v>
      </c>
      <c r="P223" s="17" t="b" cm="1">
        <f t="array" ref="P223">IsEditable(A223)</f>
        <v>1</v>
      </c>
      <c r="Q223" s="17" t="b" cm="1">
        <f t="array" ref="Q223">IsGridable(A223)</f>
        <v>1</v>
      </c>
      <c r="R223" s="17" t="str" cm="1">
        <f t="array" ref="R223">IsListable(A223)</f>
        <v/>
      </c>
      <c r="S223" s="17" t="str" cm="1">
        <f t="array" ref="S223">IsEncrypted(A223)</f>
        <v/>
      </c>
      <c r="T223" s="17" t="b" cm="1">
        <f t="array" ref="T223">IsInWords(A223)</f>
        <v>0</v>
      </c>
      <c r="U223" s="17" t="b">
        <v>0</v>
      </c>
    </row>
    <row r="224" spans="1:21">
      <c r="A224" s="17">
        <f t="shared" si="18"/>
        <v>221</v>
      </c>
      <c r="B224" s="18">
        <v>34</v>
      </c>
      <c r="C224" s="17" t="str" cm="1">
        <f t="array" ref="C224">GetValue("Tbl","Alias",B224)</f>
        <v>Sch</v>
      </c>
      <c r="D224" s="17" cm="1">
        <f t="array" ref="D224">GetDomainId(C224,G224)</f>
        <v>28</v>
      </c>
      <c r="E224" s="17" t="str" cm="1">
        <f t="array" ref="E224">GetValue("Dmn","Name",D224)</f>
        <v>Periodicity</v>
      </c>
      <c r="F224" s="17">
        <f t="shared" si="21"/>
        <v>20</v>
      </c>
      <c r="G224" s="17" t="str" cm="1">
        <f t="array" ref="G224">GetColumnName(C224,IF(B224=B223,G223,""))</f>
        <v>Periodicity</v>
      </c>
      <c r="H224" s="17" t="str">
        <f t="shared" si="19"/>
        <v>Periodicity</v>
      </c>
      <c r="I224" s="17" t="str">
        <f t="shared" si="20"/>
        <v>Periodicity</v>
      </c>
      <c r="J224" s="17"/>
      <c r="K224" s="17" t="b">
        <v>0</v>
      </c>
      <c r="L224" s="17" t="b" cm="1">
        <f t="array" ref="L224">IsPrimaryKey(A224)</f>
        <v>0</v>
      </c>
      <c r="M224" s="17" t="str" cm="1">
        <f t="array" ref="M224">IsAutoincrement(A224)</f>
        <v/>
      </c>
      <c r="N224" s="17" t="b" cm="1">
        <f t="array" ref="N224">IsUnique(A224)</f>
        <v>0</v>
      </c>
      <c r="O224" s="17" t="b" cm="1">
        <f t="array" ref="O224">IsFilterable(A224)</f>
        <v>1</v>
      </c>
      <c r="P224" s="17" t="b" cm="1">
        <f t="array" ref="P224">IsEditable(A224)</f>
        <v>1</v>
      </c>
      <c r="Q224" s="17" t="b" cm="1">
        <f t="array" ref="Q224">IsGridable(A224)</f>
        <v>1</v>
      </c>
      <c r="R224" s="17" t="b" cm="1">
        <f t="array" ref="R224">IsListable(A224)</f>
        <v>0</v>
      </c>
      <c r="S224" s="17" t="b" cm="1">
        <f t="array" ref="S224">IsEncrypted(A224)</f>
        <v>0</v>
      </c>
      <c r="T224" s="17" t="str" cm="1">
        <f t="array" ref="T224">IsInWords(A224)</f>
        <v/>
      </c>
      <c r="U224" s="17" t="b">
        <v>0</v>
      </c>
    </row>
    <row r="225" spans="1:21">
      <c r="A225" s="17">
        <f t="shared" si="18"/>
        <v>222</v>
      </c>
      <c r="B225" s="18">
        <v>34</v>
      </c>
      <c r="C225" s="17" t="str" cm="1">
        <f t="array" ref="C225">GetValue("Tbl","Alias",B225)</f>
        <v>Sch</v>
      </c>
      <c r="D225" s="17" cm="1">
        <f t="array" ref="D225">GetDomainId(C225,G225)</f>
        <v>7</v>
      </c>
      <c r="E225" s="17" t="str" cm="1">
        <f t="array" ref="E225">GetValue("Dmn","Name",D225)</f>
        <v>TIME</v>
      </c>
      <c r="F225" s="17">
        <f t="shared" si="21"/>
        <v>25</v>
      </c>
      <c r="G225" s="17" t="str" cm="1">
        <f t="array" ref="G225">GetColumnName(C225,IF(B225=B224,G224,""))</f>
        <v>TimeOfDay</v>
      </c>
      <c r="H225" s="17" t="str">
        <f t="shared" si="19"/>
        <v>TimeOfDay</v>
      </c>
      <c r="I225" s="17" t="str">
        <f t="shared" ref="I225:I242" si="28">G225</f>
        <v>TimeOfDay</v>
      </c>
      <c r="J225" s="17"/>
      <c r="K225" s="17" t="b">
        <v>0</v>
      </c>
      <c r="L225" s="17" t="b" cm="1">
        <f t="array" ref="L225">IsPrimaryKey(A225)</f>
        <v>0</v>
      </c>
      <c r="M225" s="17" t="str" cm="1">
        <f t="array" ref="M225">IsAutoincrement(A225)</f>
        <v/>
      </c>
      <c r="N225" s="17" t="b" cm="1">
        <f t="array" ref="N225">IsUnique(A225)</f>
        <v>0</v>
      </c>
      <c r="O225" s="17" t="b" cm="1">
        <f t="array" ref="O225">IsFilterable(A225)</f>
        <v>1</v>
      </c>
      <c r="P225" s="17" t="b" cm="1">
        <f t="array" ref="P225">IsEditable(A225)</f>
        <v>1</v>
      </c>
      <c r="Q225" s="17" t="b" cm="1">
        <f t="array" ref="Q225">IsGridable(A225)</f>
        <v>1</v>
      </c>
      <c r="R225" s="17" t="str" cm="1">
        <f t="array" ref="R225">IsListable(A225)</f>
        <v/>
      </c>
      <c r="S225" s="17" t="str" cm="1">
        <f t="array" ref="S225">IsEncrypted(A225)</f>
        <v/>
      </c>
      <c r="T225" s="17" t="str" cm="1">
        <f t="array" ref="T225">IsInWords(A225)</f>
        <v/>
      </c>
      <c r="U225" s="17" t="b">
        <v>0</v>
      </c>
    </row>
    <row r="226" spans="1:21">
      <c r="A226" s="17">
        <f t="shared" si="18"/>
        <v>223</v>
      </c>
      <c r="B226" s="18">
        <v>34</v>
      </c>
      <c r="C226" s="17" t="str" cm="1">
        <f t="array" ref="C226">GetValue("Tbl","Alias",B226)</f>
        <v>Sch</v>
      </c>
      <c r="D226" s="17" cm="1">
        <f t="array" ref="D226">GetDomainId(C226,G226)</f>
        <v>61</v>
      </c>
      <c r="E226" s="17" t="str" cm="1">
        <f t="array" ref="E226">GetValue("Dmn","Name",D226)</f>
        <v>DayOfMonth</v>
      </c>
      <c r="F226" s="17">
        <f t="shared" si="21"/>
        <v>30</v>
      </c>
      <c r="G226" s="17" t="str" cm="1">
        <f t="array" ref="G226">GetColumnName(C226,IF(B226=B225,G225,""))</f>
        <v>DayOfMonth</v>
      </c>
      <c r="H226" s="17" t="str">
        <f t="shared" si="19"/>
        <v>DayOfMonth</v>
      </c>
      <c r="I226" s="17" t="str">
        <f t="shared" si="28"/>
        <v>DayOfMonth</v>
      </c>
      <c r="J226" s="17"/>
      <c r="K226" s="17" t="b">
        <v>0</v>
      </c>
      <c r="L226" s="17" t="b" cm="1">
        <f t="array" ref="L226">IsPrimaryKey(A226)</f>
        <v>0</v>
      </c>
      <c r="M226" s="17" t="b" cm="1">
        <f t="array" ref="M226">IsAutoincrement(A226)</f>
        <v>0</v>
      </c>
      <c r="N226" s="17" t="b" cm="1">
        <f t="array" ref="N226">IsUnique(A226)</f>
        <v>0</v>
      </c>
      <c r="O226" s="17" t="b" cm="1">
        <f t="array" ref="O226">IsFilterable(A226)</f>
        <v>1</v>
      </c>
      <c r="P226" s="17" t="b" cm="1">
        <f t="array" ref="P226">IsEditable(A226)</f>
        <v>1</v>
      </c>
      <c r="Q226" s="17" t="b" cm="1">
        <f t="array" ref="Q226">IsGridable(A226)</f>
        <v>1</v>
      </c>
      <c r="R226" s="17" t="str" cm="1">
        <f t="array" ref="R226">IsListable(A226)</f>
        <v/>
      </c>
      <c r="S226" s="17" t="str" cm="1">
        <f t="array" ref="S226">IsEncrypted(A226)</f>
        <v/>
      </c>
      <c r="T226" s="17" t="b" cm="1">
        <f t="array" ref="T226">IsInWords(A226)</f>
        <v>0</v>
      </c>
      <c r="U226" s="17" t="b">
        <v>0</v>
      </c>
    </row>
    <row r="227" spans="1:21">
      <c r="A227" s="17">
        <f t="shared" si="18"/>
        <v>224</v>
      </c>
      <c r="B227" s="18">
        <v>34</v>
      </c>
      <c r="C227" s="17" t="str" cm="1">
        <f t="array" ref="C227">GetValue("Tbl","Alias",B227)</f>
        <v>Sch</v>
      </c>
      <c r="D227" s="17" cm="1">
        <f t="array" ref="D227">GetDomainId(C227,G227)</f>
        <v>6</v>
      </c>
      <c r="E227" s="17" t="str" cm="1">
        <f t="array" ref="E227">GetValue("Dmn","Name",D227)</f>
        <v>DATE</v>
      </c>
      <c r="F227" s="17">
        <f t="shared" si="21"/>
        <v>35</v>
      </c>
      <c r="G227" s="17" t="str" cm="1">
        <f t="array" ref="G227">GetColumnName(C227,IF(B227=B226,G226,""))</f>
        <v>NextRunDate</v>
      </c>
      <c r="H227" s="17" t="str">
        <f t="shared" si="19"/>
        <v>NextRunDate</v>
      </c>
      <c r="I227" s="17" t="str">
        <f t="shared" si="28"/>
        <v>NextRunDate</v>
      </c>
      <c r="J227" s="17"/>
      <c r="K227" s="17" t="b">
        <v>0</v>
      </c>
      <c r="L227" s="17" t="b" cm="1">
        <f t="array" ref="L227">IsPrimaryKey(A227)</f>
        <v>0</v>
      </c>
      <c r="M227" s="17" t="str" cm="1">
        <f t="array" ref="M227">IsAutoincrement(A227)</f>
        <v/>
      </c>
      <c r="N227" s="17" t="b" cm="1">
        <f t="array" ref="N227">IsUnique(A227)</f>
        <v>0</v>
      </c>
      <c r="O227" s="17" t="b" cm="1">
        <f t="array" ref="O227">IsFilterable(A227)</f>
        <v>1</v>
      </c>
      <c r="P227" s="17" t="b" cm="1">
        <f t="array" ref="P227">IsEditable(A227)</f>
        <v>1</v>
      </c>
      <c r="Q227" s="17" t="b" cm="1">
        <f t="array" ref="Q227">IsGridable(A227)</f>
        <v>1</v>
      </c>
      <c r="R227" s="17" t="str" cm="1">
        <f t="array" ref="R227">IsListable(A227)</f>
        <v/>
      </c>
      <c r="S227" s="17" t="str" cm="1">
        <f t="array" ref="S227">IsEncrypted(A227)</f>
        <v/>
      </c>
      <c r="T227" s="17" t="str" cm="1">
        <f t="array" ref="T227">IsInWords(A227)</f>
        <v/>
      </c>
      <c r="U227" s="17" t="b">
        <v>0</v>
      </c>
    </row>
    <row r="228" spans="1:21">
      <c r="A228" s="17">
        <f t="shared" si="18"/>
        <v>225</v>
      </c>
      <c r="B228" s="18">
        <v>34</v>
      </c>
      <c r="C228" s="17" t="str" cm="1">
        <f t="array" ref="C228">GetValue("Tbl","Alias",B228)</f>
        <v>Sch</v>
      </c>
      <c r="D228" s="17" cm="1">
        <f t="array" ref="D228">GetDomainId(C228,G228)</f>
        <v>5</v>
      </c>
      <c r="E228" s="17" t="str" cm="1">
        <f t="array" ref="E228">GetValue("Dmn","Name",D228)</f>
        <v>Boolean</v>
      </c>
      <c r="F228" s="17">
        <f t="shared" si="21"/>
        <v>40</v>
      </c>
      <c r="G228" s="17" t="str" cm="1">
        <f t="array" ref="G228">GetColumnName(C228,IF(B228=B227,G227,""))</f>
        <v>IsFirstOrLastDay</v>
      </c>
      <c r="H228" s="17" t="str">
        <f t="shared" si="19"/>
        <v>IsFirstOrLastDay</v>
      </c>
      <c r="I228" s="17" t="str">
        <f t="shared" si="28"/>
        <v>IsFirstOrLastDay</v>
      </c>
      <c r="J228" s="17"/>
      <c r="K228" s="17" t="b">
        <v>0</v>
      </c>
      <c r="L228" s="17" t="b" cm="1">
        <f t="array" ref="L228">IsPrimaryKey(A228)</f>
        <v>0</v>
      </c>
      <c r="M228" s="17" t="str" cm="1">
        <f t="array" ref="M228">IsAutoincrement(A228)</f>
        <v/>
      </c>
      <c r="N228" s="17" t="str" cm="1">
        <f t="array" ref="N228">IsUnique(A228)</f>
        <v/>
      </c>
      <c r="O228" s="17" t="b" cm="1">
        <f t="array" ref="O228">IsFilterable(A228)</f>
        <v>1</v>
      </c>
      <c r="P228" s="17" t="b" cm="1">
        <f t="array" ref="P228">IsEditable(A228)</f>
        <v>1</v>
      </c>
      <c r="Q228" s="17" t="b" cm="1">
        <f t="array" ref="Q228">IsGridable(A228)</f>
        <v>1</v>
      </c>
      <c r="R228" s="17" t="str" cm="1">
        <f t="array" ref="R228">IsListable(A228)</f>
        <v/>
      </c>
      <c r="S228" s="17" t="str" cm="1">
        <f t="array" ref="S228">IsEncrypted(A228)</f>
        <v/>
      </c>
      <c r="T228" s="17" t="str" cm="1">
        <f t="array" ref="T228">IsInWords(A228)</f>
        <v/>
      </c>
      <c r="U228" s="17" t="b">
        <v>0</v>
      </c>
    </row>
    <row r="229" spans="1:21">
      <c r="A229" s="17">
        <f t="shared" si="18"/>
        <v>226</v>
      </c>
      <c r="B229" s="18">
        <v>34</v>
      </c>
      <c r="C229" s="17" t="str" cm="1">
        <f t="array" ref="C229">GetValue("Tbl","Alias",B229)</f>
        <v>Sch</v>
      </c>
      <c r="D229" s="17" cm="1">
        <f t="array" ref="D229">GetDomainId(C229,G229)</f>
        <v>5</v>
      </c>
      <c r="E229" s="17" t="str" cm="1">
        <f t="array" ref="E229">GetValue("Dmn","Name",D229)</f>
        <v>Boolean</v>
      </c>
      <c r="F229" s="17">
        <f t="shared" si="21"/>
        <v>45</v>
      </c>
      <c r="G229" s="17" t="str" cm="1">
        <f t="array" ref="G229">GetColumnName(C229,IF(B229=B228,G228,""))</f>
        <v>IsBusinessDays</v>
      </c>
      <c r="H229" s="17" t="str">
        <f t="shared" si="19"/>
        <v>IsBusinessDays</v>
      </c>
      <c r="I229" s="17" t="str">
        <f t="shared" si="28"/>
        <v>IsBusinessDays</v>
      </c>
      <c r="J229" s="17"/>
      <c r="K229" s="17" t="b">
        <v>0</v>
      </c>
      <c r="L229" s="17" t="b" cm="1">
        <f t="array" ref="L229">IsPrimaryKey(A229)</f>
        <v>0</v>
      </c>
      <c r="M229" s="17" t="str" cm="1">
        <f t="array" ref="M229">IsAutoincrement(A229)</f>
        <v/>
      </c>
      <c r="N229" s="17" t="str" cm="1">
        <f t="array" ref="N229">IsUnique(A229)</f>
        <v/>
      </c>
      <c r="O229" s="17" t="b" cm="1">
        <f t="array" ref="O229">IsFilterable(A229)</f>
        <v>1</v>
      </c>
      <c r="P229" s="17" t="b" cm="1">
        <f t="array" ref="P229">IsEditable(A229)</f>
        <v>1</v>
      </c>
      <c r="Q229" s="17" t="b" cm="1">
        <f t="array" ref="Q229">IsGridable(A229)</f>
        <v>1</v>
      </c>
      <c r="R229" s="17" t="str" cm="1">
        <f t="array" ref="R229">IsListable(A229)</f>
        <v/>
      </c>
      <c r="S229" s="17" t="str" cm="1">
        <f t="array" ref="S229">IsEncrypted(A229)</f>
        <v/>
      </c>
      <c r="T229" s="17" t="str" cm="1">
        <f t="array" ref="T229">IsInWords(A229)</f>
        <v/>
      </c>
      <c r="U229" s="17" t="b">
        <v>0</v>
      </c>
    </row>
    <row r="230" spans="1:21">
      <c r="A230" s="17">
        <f t="shared" si="18"/>
        <v>227</v>
      </c>
      <c r="B230" s="18">
        <v>34</v>
      </c>
      <c r="C230" s="17" t="str" cm="1">
        <f t="array" ref="C230">GetValue("Tbl","Alias",B230)</f>
        <v>Sch</v>
      </c>
      <c r="D230" s="17" cm="1">
        <f t="array" ref="D230">GetDomainId(C230,G230)</f>
        <v>5</v>
      </c>
      <c r="E230" s="17" t="str" cm="1">
        <f t="array" ref="E230">GetValue("Dmn","Name",D230)</f>
        <v>Boolean</v>
      </c>
      <c r="F230" s="17">
        <f t="shared" si="21"/>
        <v>50</v>
      </c>
      <c r="G230" s="17" t="str" cm="1">
        <f t="array" ref="G230">GetColumnName(C230,IF(B230=B229,G229,""))</f>
        <v>IsRunOnce</v>
      </c>
      <c r="H230" s="17" t="str">
        <f t="shared" si="19"/>
        <v>IsRunOnce</v>
      </c>
      <c r="I230" s="17" t="str">
        <f t="shared" si="28"/>
        <v>IsRunOnce</v>
      </c>
      <c r="J230" s="17"/>
      <c r="K230" s="17" t="b">
        <v>0</v>
      </c>
      <c r="L230" s="17" t="b" cm="1">
        <f t="array" ref="L230">IsPrimaryKey(A230)</f>
        <v>0</v>
      </c>
      <c r="M230" s="17" t="str" cm="1">
        <f t="array" ref="M230">IsAutoincrement(A230)</f>
        <v/>
      </c>
      <c r="N230" s="17" t="str" cm="1">
        <f t="array" ref="N230">IsUnique(A230)</f>
        <v/>
      </c>
      <c r="O230" s="17" t="b" cm="1">
        <f t="array" ref="O230">IsFilterable(A230)</f>
        <v>1</v>
      </c>
      <c r="P230" s="17" t="b" cm="1">
        <f t="array" ref="P230">IsEditable(A230)</f>
        <v>1</v>
      </c>
      <c r="Q230" s="17" t="b" cm="1">
        <f t="array" ref="Q230">IsGridable(A230)</f>
        <v>1</v>
      </c>
      <c r="R230" s="17" t="str" cm="1">
        <f t="array" ref="R230">IsListable(A230)</f>
        <v/>
      </c>
      <c r="S230" s="17" t="str" cm="1">
        <f t="array" ref="S230">IsEncrypted(A230)</f>
        <v/>
      </c>
      <c r="T230" s="17" t="str" cm="1">
        <f t="array" ref="T230">IsInWords(A230)</f>
        <v/>
      </c>
      <c r="U230" s="17" t="b">
        <v>0</v>
      </c>
    </row>
    <row r="231" spans="1:21">
      <c r="A231" s="17">
        <f t="shared" si="18"/>
        <v>228</v>
      </c>
      <c r="B231" s="18">
        <v>34</v>
      </c>
      <c r="C231" s="17" t="str" cm="1">
        <f t="array" ref="C231">GetValue("Tbl","Alias",B231)</f>
        <v>Sch</v>
      </c>
      <c r="D231" s="17" cm="1">
        <f t="array" ref="D231">GetDomainId(C231,G231)</f>
        <v>5</v>
      </c>
      <c r="E231" s="17" t="str" cm="1">
        <f t="array" ref="E231">GetValue("Dmn","Name",D231)</f>
        <v>Boolean</v>
      </c>
      <c r="F231" s="17">
        <f t="shared" si="21"/>
        <v>55</v>
      </c>
      <c r="G231" s="17" t="str" cm="1">
        <f t="array" ref="G231">GetColumnName(C231,IF(B231=B230,G230,""))</f>
        <v>IsForwardHoliday</v>
      </c>
      <c r="H231" s="17" t="str">
        <f t="shared" si="19"/>
        <v>IsForwardHoliday</v>
      </c>
      <c r="I231" s="17" t="str">
        <f t="shared" si="28"/>
        <v>IsForwardHoliday</v>
      </c>
      <c r="J231" s="17"/>
      <c r="K231" s="17" t="b">
        <v>0</v>
      </c>
      <c r="L231" s="17" t="b" cm="1">
        <f t="array" ref="L231">IsPrimaryKey(A231)</f>
        <v>0</v>
      </c>
      <c r="M231" s="17" t="str" cm="1">
        <f t="array" ref="M231">IsAutoincrement(A231)</f>
        <v/>
      </c>
      <c r="N231" s="17" t="str" cm="1">
        <f t="array" ref="N231">IsUnique(A231)</f>
        <v/>
      </c>
      <c r="O231" s="17" t="b" cm="1">
        <f t="array" ref="O231">IsFilterable(A231)</f>
        <v>1</v>
      </c>
      <c r="P231" s="17" t="b" cm="1">
        <f t="array" ref="P231">IsEditable(A231)</f>
        <v>1</v>
      </c>
      <c r="Q231" s="17" t="b" cm="1">
        <f t="array" ref="Q231">IsGridable(A231)</f>
        <v>1</v>
      </c>
      <c r="R231" s="17" t="str" cm="1">
        <f t="array" ref="R231">IsListable(A231)</f>
        <v/>
      </c>
      <c r="S231" s="17" t="str" cm="1">
        <f t="array" ref="S231">IsEncrypted(A231)</f>
        <v/>
      </c>
      <c r="T231" s="17" t="str" cm="1">
        <f t="array" ref="T231">IsInWords(A231)</f>
        <v/>
      </c>
      <c r="U231" s="17" t="b">
        <v>0</v>
      </c>
    </row>
    <row r="232" spans="1:21">
      <c r="A232" s="17">
        <f t="shared" si="18"/>
        <v>229</v>
      </c>
      <c r="B232" s="18">
        <v>34</v>
      </c>
      <c r="C232" s="17" t="str" cm="1">
        <f t="array" ref="C232">GetValue("Tbl","Alias",B232)</f>
        <v>Sch</v>
      </c>
      <c r="D232" s="17" cm="1">
        <f t="array" ref="D232">GetDomainId(C232,G232)</f>
        <v>5</v>
      </c>
      <c r="E232" s="17" t="str" cm="1">
        <f t="array" ref="E232">GetValue("Dmn","Name",D232)</f>
        <v>Boolean</v>
      </c>
      <c r="F232" s="17">
        <f t="shared" si="21"/>
        <v>60</v>
      </c>
      <c r="G232" s="17" t="str" cm="1">
        <f t="array" ref="G232">GetColumnName(C232,IF(B232=B231,G231,""))</f>
        <v>IsActive</v>
      </c>
      <c r="H232" s="17" t="str">
        <f t="shared" si="19"/>
        <v>IsActive</v>
      </c>
      <c r="I232" s="17" t="str">
        <f t="shared" si="28"/>
        <v>IsActive</v>
      </c>
      <c r="J232" s="17"/>
      <c r="K232" s="17" t="b">
        <v>0</v>
      </c>
      <c r="L232" s="17" t="b" cm="1">
        <f t="array" ref="L232">IsPrimaryKey(A232)</f>
        <v>0</v>
      </c>
      <c r="M232" s="17" t="str" cm="1">
        <f t="array" ref="M232">IsAutoincrement(A232)</f>
        <v/>
      </c>
      <c r="N232" s="17" t="str" cm="1">
        <f t="array" ref="N232">IsUnique(A232)</f>
        <v/>
      </c>
      <c r="O232" s="17" t="b" cm="1">
        <f t="array" ref="O232">IsFilterable(A232)</f>
        <v>1</v>
      </c>
      <c r="P232" s="17" t="b" cm="1">
        <f t="array" ref="P232">IsEditable(A232)</f>
        <v>1</v>
      </c>
      <c r="Q232" s="17" t="b" cm="1">
        <f t="array" ref="Q232">IsGridable(A232)</f>
        <v>1</v>
      </c>
      <c r="R232" s="17" t="str" cm="1">
        <f t="array" ref="R232">IsListable(A232)</f>
        <v/>
      </c>
      <c r="S232" s="17" t="str" cm="1">
        <f t="array" ref="S232">IsEncrypted(A232)</f>
        <v/>
      </c>
      <c r="T232" s="17" t="str" cm="1">
        <f t="array" ref="T232">IsInWords(A232)</f>
        <v/>
      </c>
      <c r="U232" s="17" t="b">
        <v>0</v>
      </c>
    </row>
    <row r="233" spans="1:21">
      <c r="A233" s="19">
        <f t="shared" si="18"/>
        <v>230</v>
      </c>
      <c r="B233" s="20">
        <v>35</v>
      </c>
      <c r="C233" s="19" t="str" cm="1">
        <f t="array" ref="C233">GetValue("Tbl","Alias",B233)</f>
        <v>Ses</v>
      </c>
      <c r="D233" s="19" cm="1">
        <f t="array" ref="D233">GetDomainId(C233,G233)</f>
        <v>55</v>
      </c>
      <c r="E233" s="19" t="str" cm="1">
        <f t="array" ref="E233">GetValue("Dmn","Name",D233)</f>
        <v>BigId</v>
      </c>
      <c r="F233" s="19">
        <f t="shared" si="21"/>
        <v>5</v>
      </c>
      <c r="G233" s="19" t="str" cm="1">
        <f t="array" ref="G233">GetColumnName(C233,IF(B233=B232,G232,""))</f>
        <v>Id</v>
      </c>
      <c r="H233" s="19" t="str">
        <f t="shared" ref="H233:H242" si="29">G233</f>
        <v>Id</v>
      </c>
      <c r="I233" s="19" t="str">
        <f t="shared" si="28"/>
        <v>Id</v>
      </c>
      <c r="J233" s="19"/>
      <c r="K233" s="19" t="b">
        <v>0</v>
      </c>
      <c r="L233" s="19" t="b" cm="1">
        <f t="array" ref="L233">IsPrimaryKey(A233)</f>
        <v>1</v>
      </c>
      <c r="M233" s="19" t="b" cm="1">
        <f t="array" ref="M233">IsAutoincrement(A233)</f>
        <v>1</v>
      </c>
      <c r="N233" s="19" t="b" cm="1">
        <f t="array" ref="N233">IsUnique(A233)</f>
        <v>0</v>
      </c>
      <c r="O233" s="19" t="str" cm="1">
        <f t="array" ref="O233">IsFilterable(A233)</f>
        <v/>
      </c>
      <c r="P233" s="19" t="str" cm="1">
        <f t="array" ref="P233">IsEditable(A233)</f>
        <v/>
      </c>
      <c r="Q233" s="19" t="str" cm="1">
        <f t="array" ref="Q233">IsGridable(A233)</f>
        <v/>
      </c>
      <c r="R233" s="19" t="str" cm="1">
        <f t="array" ref="R233">IsListable(A233)</f>
        <v/>
      </c>
      <c r="S233" s="19" t="str" cm="1">
        <f t="array" ref="S233">IsEncrypted(A233)</f>
        <v/>
      </c>
      <c r="T233" s="19" t="str" cm="1">
        <f t="array" ref="T233">IsInWords(A233)</f>
        <v/>
      </c>
      <c r="U233" s="19" t="b">
        <v>0</v>
      </c>
    </row>
    <row r="234" spans="1:21">
      <c r="A234" s="19">
        <f t="shared" si="18"/>
        <v>231</v>
      </c>
      <c r="B234" s="20">
        <v>35</v>
      </c>
      <c r="C234" s="19" t="str" cm="1">
        <f t="array" ref="C234">GetValue("Tbl","Alias",B234)</f>
        <v>Ses</v>
      </c>
      <c r="D234" s="19" cm="1">
        <f t="array" ref="D234">GetDomainId(C234,G234)</f>
        <v>57</v>
      </c>
      <c r="E234" s="19" t="str" cm="1">
        <f t="array" ref="E234">GetValue("Dmn","Name",D234)</f>
        <v>SmallId</v>
      </c>
      <c r="F234" s="19">
        <f t="shared" si="21"/>
        <v>10</v>
      </c>
      <c r="G234" s="19" t="str" cm="1">
        <f t="array" ref="G234">GetColumnName(C234,IF(B234=B233,G233,""))</f>
        <v>OwnertId</v>
      </c>
      <c r="H234" s="19" t="str">
        <f t="shared" si="29"/>
        <v>OwnertId</v>
      </c>
      <c r="I234" s="19" t="str">
        <f t="shared" si="28"/>
        <v>OwnertId</v>
      </c>
      <c r="J234" s="19"/>
      <c r="K234" s="19" t="b">
        <v>0</v>
      </c>
      <c r="L234" s="19" t="b" cm="1">
        <f t="array" ref="L234">IsPrimaryKey(A234)</f>
        <v>0</v>
      </c>
      <c r="M234" s="19" t="b" cm="1">
        <f t="array" ref="M234">IsAutoincrement(A234)</f>
        <v>0</v>
      </c>
      <c r="N234" s="19" t="b" cm="1">
        <f t="array" ref="N234">IsUnique(A234)</f>
        <v>0</v>
      </c>
      <c r="O234" s="19" t="b" cm="1">
        <f t="array" ref="O234">IsFilterable(A234)</f>
        <v>1</v>
      </c>
      <c r="P234" s="19" t="b" cm="1">
        <f t="array" ref="P234">IsEditable(A234)</f>
        <v>1</v>
      </c>
      <c r="Q234" s="19" t="b" cm="1">
        <f t="array" ref="Q234">IsGridable(A234)</f>
        <v>1</v>
      </c>
      <c r="R234" s="19" t="str" cm="1">
        <f t="array" ref="R234">IsListable(A234)</f>
        <v/>
      </c>
      <c r="S234" s="19" t="str" cm="1">
        <f t="array" ref="S234">IsEncrypted(A234)</f>
        <v/>
      </c>
      <c r="T234" s="19" t="b" cm="1">
        <f t="array" ref="T234">IsInWords(A234)</f>
        <v>0</v>
      </c>
      <c r="U234" s="19" t="b">
        <v>0</v>
      </c>
    </row>
    <row r="235" spans="1:21">
      <c r="A235" s="19">
        <f t="shared" si="18"/>
        <v>232</v>
      </c>
      <c r="B235" s="20">
        <v>35</v>
      </c>
      <c r="C235" s="19" t="str" cm="1">
        <f t="array" ref="C235">GetValue("Tbl","Alias",B235)</f>
        <v>Ses</v>
      </c>
      <c r="D235" s="19" cm="1">
        <f t="array" ref="D235">GetDomainId(C235,G235)</f>
        <v>55</v>
      </c>
      <c r="E235" s="19" t="str" cm="1">
        <f t="array" ref="E235">GetValue("Dmn","Name",D235)</f>
        <v>BigId</v>
      </c>
      <c r="F235" s="19">
        <f t="shared" si="21"/>
        <v>15</v>
      </c>
      <c r="G235" s="19" t="str" cm="1">
        <f t="array" ref="G235">GetColumnName(C235,IF(B235=B234,G234,""))</f>
        <v>SystemId</v>
      </c>
      <c r="H235" s="19" t="str">
        <f t="shared" si="29"/>
        <v>SystemId</v>
      </c>
      <c r="I235" s="19" t="str">
        <f t="shared" si="28"/>
        <v>SystemId</v>
      </c>
      <c r="J235" s="19"/>
      <c r="K235" s="19" t="b">
        <v>0</v>
      </c>
      <c r="L235" s="19" t="b" cm="1">
        <f t="array" ref="L235">IsPrimaryKey(A235)</f>
        <v>0</v>
      </c>
      <c r="M235" s="19" t="b" cm="1">
        <f t="array" ref="M235">IsAutoincrement(A235)</f>
        <v>0</v>
      </c>
      <c r="N235" s="19" t="b" cm="1">
        <f t="array" ref="N235">IsUnique(A235)</f>
        <v>0</v>
      </c>
      <c r="O235" s="19" t="b" cm="1">
        <f t="array" ref="O235">IsFilterable(A235)</f>
        <v>1</v>
      </c>
      <c r="P235" s="19" t="b" cm="1">
        <f t="array" ref="P235">IsEditable(A235)</f>
        <v>1</v>
      </c>
      <c r="Q235" s="19" t="b" cm="1">
        <f t="array" ref="Q235">IsGridable(A235)</f>
        <v>1</v>
      </c>
      <c r="R235" s="19" t="str" cm="1">
        <f t="array" ref="R235">IsListable(A235)</f>
        <v/>
      </c>
      <c r="S235" s="19" t="str" cm="1">
        <f t="array" ref="S235">IsEncrypted(A235)</f>
        <v/>
      </c>
      <c r="T235" s="19" t="b" cm="1">
        <f t="array" ref="T235">IsInWords(A235)</f>
        <v>0</v>
      </c>
      <c r="U235" s="19" t="b">
        <v>0</v>
      </c>
    </row>
    <row r="236" spans="1:21">
      <c r="A236" s="19">
        <f t="shared" si="18"/>
        <v>233</v>
      </c>
      <c r="B236" s="20">
        <v>35</v>
      </c>
      <c r="C236" s="19" t="str" cm="1">
        <f t="array" ref="C236">GetValue("Tbl","Alias",B236)</f>
        <v>Ses</v>
      </c>
      <c r="D236" s="19" cm="1">
        <f t="array" ref="D236">GetDomainId(C236,G236)</f>
        <v>55</v>
      </c>
      <c r="E236" s="19" t="str" cm="1">
        <f t="array" ref="E236">GetValue("Dmn","Name",D236)</f>
        <v>BigId</v>
      </c>
      <c r="F236" s="19">
        <f t="shared" si="21"/>
        <v>20</v>
      </c>
      <c r="G236" s="19" t="str" cm="1">
        <f t="array" ref="G236">GetColumnName(C236,IF(B236=B235,G235,""))</f>
        <v>UserId</v>
      </c>
      <c r="H236" s="19" t="str">
        <f t="shared" si="29"/>
        <v>UserId</v>
      </c>
      <c r="I236" s="19" t="str">
        <f t="shared" si="28"/>
        <v>UserId</v>
      </c>
      <c r="J236" s="19"/>
      <c r="K236" s="19" t="b">
        <v>0</v>
      </c>
      <c r="L236" s="19" t="b" cm="1">
        <f t="array" ref="L236">IsPrimaryKey(A236)</f>
        <v>0</v>
      </c>
      <c r="M236" s="19" t="b" cm="1">
        <f t="array" ref="M236">IsAutoincrement(A236)</f>
        <v>0</v>
      </c>
      <c r="N236" s="19" t="b" cm="1">
        <f t="array" ref="N236">IsUnique(A236)</f>
        <v>0</v>
      </c>
      <c r="O236" s="19" t="b" cm="1">
        <f t="array" ref="O236">IsFilterable(A236)</f>
        <v>1</v>
      </c>
      <c r="P236" s="19" t="b" cm="1">
        <f t="array" ref="P236">IsEditable(A236)</f>
        <v>1</v>
      </c>
      <c r="Q236" s="19" t="b" cm="1">
        <f t="array" ref="Q236">IsGridable(A236)</f>
        <v>1</v>
      </c>
      <c r="R236" s="19" t="str" cm="1">
        <f t="array" ref="R236">IsListable(A236)</f>
        <v/>
      </c>
      <c r="S236" s="19" t="str" cm="1">
        <f t="array" ref="S236">IsEncrypted(A236)</f>
        <v/>
      </c>
      <c r="T236" s="19" t="b" cm="1">
        <f t="array" ref="T236">IsInWords(A236)</f>
        <v>0</v>
      </c>
      <c r="U236" s="19" t="b">
        <v>0</v>
      </c>
    </row>
    <row r="237" spans="1:21">
      <c r="A237" s="19">
        <f t="shared" si="18"/>
        <v>234</v>
      </c>
      <c r="B237" s="20">
        <v>35</v>
      </c>
      <c r="C237" s="19" t="str" cm="1">
        <f t="array" ref="C237">GetValue("Tbl","Alias",B237)</f>
        <v>Ses</v>
      </c>
      <c r="D237" s="19" cm="1">
        <f t="array" ref="D237">GetDomainId(C237,G237)</f>
        <v>13</v>
      </c>
      <c r="E237" s="19" t="str" cm="1">
        <f t="array" ref="E237">GetValue("Dmn","Name",D237)</f>
        <v>NVARCHAR(256)</v>
      </c>
      <c r="F237" s="19">
        <f t="shared" si="21"/>
        <v>25</v>
      </c>
      <c r="G237" s="19" t="str" cm="1">
        <f t="array" ref="G237">GetColumnName(C237,IF(B237=B236,G236,""))</f>
        <v>PublicKey</v>
      </c>
      <c r="H237" s="19" t="str">
        <f t="shared" si="29"/>
        <v>PublicKey</v>
      </c>
      <c r="I237" s="19" t="str">
        <f t="shared" si="28"/>
        <v>PublicKey</v>
      </c>
      <c r="J237" s="19"/>
      <c r="K237" s="19" t="b">
        <v>0</v>
      </c>
      <c r="L237" s="19" t="b" cm="1">
        <f t="array" ref="L237">IsPrimaryKey(A237)</f>
        <v>0</v>
      </c>
      <c r="M237" s="19" t="str" cm="1">
        <f t="array" ref="M237">IsAutoincrement(A237)</f>
        <v/>
      </c>
      <c r="N237" s="19" t="b" cm="1">
        <f t="array" ref="N237">IsUnique(A237)</f>
        <v>0</v>
      </c>
      <c r="O237" s="19" t="b" cm="1">
        <f t="array" ref="O237">IsFilterable(A237)</f>
        <v>1</v>
      </c>
      <c r="P237" s="19" t="b" cm="1">
        <f t="array" ref="P237">IsEditable(A237)</f>
        <v>1</v>
      </c>
      <c r="Q237" s="19" t="b" cm="1">
        <f t="array" ref="Q237">IsGridable(A237)</f>
        <v>1</v>
      </c>
      <c r="R237" s="19" t="b" cm="1">
        <f t="array" ref="R237">IsListable(A237)</f>
        <v>0</v>
      </c>
      <c r="S237" s="19" t="b" cm="1">
        <f t="array" ref="S237">IsEncrypted(A237)</f>
        <v>0</v>
      </c>
      <c r="T237" s="19" t="str" cm="1">
        <f t="array" ref="T237">IsInWords(A237)</f>
        <v/>
      </c>
      <c r="U237" s="19" t="b">
        <v>0</v>
      </c>
    </row>
    <row r="238" spans="1:21">
      <c r="A238" s="19">
        <f t="shared" si="18"/>
        <v>235</v>
      </c>
      <c r="B238" s="20">
        <v>35</v>
      </c>
      <c r="C238" s="19" t="str" cm="1">
        <f t="array" ref="C238">GetValue("Tbl","Alias",B238)</f>
        <v>Ses</v>
      </c>
      <c r="D238" s="19" cm="1">
        <f t="array" ref="D238">GetDomainId(C238,G238)</f>
        <v>5</v>
      </c>
      <c r="E238" s="19" t="str" cm="1">
        <f t="array" ref="E238">GetValue("Dmn","Name",D238)</f>
        <v>Boolean</v>
      </c>
      <c r="F238" s="19">
        <f t="shared" si="21"/>
        <v>30</v>
      </c>
      <c r="G238" s="19" t="str" cm="1">
        <f t="array" ref="G238">GetColumnName(C238,IF(B238=B237,G237,""))</f>
        <v>IsLogged</v>
      </c>
      <c r="H238" s="19" t="str">
        <f t="shared" si="29"/>
        <v>IsLogged</v>
      </c>
      <c r="I238" s="19" t="str">
        <f t="shared" si="28"/>
        <v>IsLogged</v>
      </c>
      <c r="J238" s="19"/>
      <c r="K238" s="19" t="b">
        <v>0</v>
      </c>
      <c r="L238" s="19" t="b" cm="1">
        <f t="array" ref="L238">IsPrimaryKey(A238)</f>
        <v>0</v>
      </c>
      <c r="M238" s="19" t="str" cm="1">
        <f t="array" ref="M238">IsAutoincrement(A238)</f>
        <v/>
      </c>
      <c r="N238" s="19" t="str" cm="1">
        <f t="array" ref="N238">IsUnique(A238)</f>
        <v/>
      </c>
      <c r="O238" s="19" t="b" cm="1">
        <f t="array" ref="O238">IsFilterable(A238)</f>
        <v>1</v>
      </c>
      <c r="P238" s="19" t="b" cm="1">
        <f t="array" ref="P238">IsEditable(A238)</f>
        <v>1</v>
      </c>
      <c r="Q238" s="19" t="b" cm="1">
        <f t="array" ref="Q238">IsGridable(A238)</f>
        <v>1</v>
      </c>
      <c r="R238" s="19" t="str" cm="1">
        <f t="array" ref="R238">IsListable(A238)</f>
        <v/>
      </c>
      <c r="S238" s="19" t="str" cm="1">
        <f t="array" ref="S238">IsEncrypted(A238)</f>
        <v/>
      </c>
      <c r="T238" s="19" t="str" cm="1">
        <f t="array" ref="T238">IsInWords(A238)</f>
        <v/>
      </c>
      <c r="U238" s="19" t="b">
        <v>0</v>
      </c>
    </row>
    <row r="239" spans="1:21">
      <c r="A239" s="17">
        <f t="shared" si="18"/>
        <v>236</v>
      </c>
      <c r="B239" s="18">
        <v>36</v>
      </c>
      <c r="C239" s="17" t="str" cm="1">
        <f t="array" ref="C239">GetValue("Tbl","Alias",B239)</f>
        <v>Trs</v>
      </c>
      <c r="D239" s="17" cm="1">
        <f t="array" ref="D239">GetDomainId(C239,G239)</f>
        <v>55</v>
      </c>
      <c r="E239" s="17" t="str" cm="1">
        <f t="array" ref="E239">GetValue("Dmn","Name",D239)</f>
        <v>BigId</v>
      </c>
      <c r="F239" s="17">
        <f t="shared" si="21"/>
        <v>5</v>
      </c>
      <c r="G239" s="17" t="str" cm="1">
        <f t="array" ref="G239">GetColumnName(C239,IF(B239=B238,G238,""))</f>
        <v>Id</v>
      </c>
      <c r="H239" s="17" t="str">
        <f t="shared" si="29"/>
        <v>Id</v>
      </c>
      <c r="I239" s="17" t="str">
        <f t="shared" si="28"/>
        <v>Id</v>
      </c>
      <c r="J239" s="17"/>
      <c r="K239" s="17" t="b">
        <v>0</v>
      </c>
      <c r="L239" s="17" t="b" cm="1">
        <f t="array" ref="L239">IsPrimaryKey(A239)</f>
        <v>1</v>
      </c>
      <c r="M239" s="17" t="b" cm="1">
        <f t="array" ref="M239">IsAutoincrement(A239)</f>
        <v>1</v>
      </c>
      <c r="N239" s="17" t="b" cm="1">
        <f t="array" ref="N239">IsUnique(A239)</f>
        <v>0</v>
      </c>
      <c r="O239" s="17" t="str" cm="1">
        <f t="array" ref="O239">IsFilterable(A239)</f>
        <v/>
      </c>
      <c r="P239" s="17" t="str" cm="1">
        <f t="array" ref="P239">IsEditable(A239)</f>
        <v/>
      </c>
      <c r="Q239" s="17" t="str" cm="1">
        <f t="array" ref="Q239">IsGridable(A239)</f>
        <v/>
      </c>
      <c r="R239" s="17" t="str" cm="1">
        <f t="array" ref="R239">IsListable(A239)</f>
        <v/>
      </c>
      <c r="S239" s="17" t="str" cm="1">
        <f t="array" ref="S239">IsEncrypted(A239)</f>
        <v/>
      </c>
      <c r="T239" s="17" t="str" cm="1">
        <f t="array" ref="T239">IsInWords(A239)</f>
        <v/>
      </c>
      <c r="U239" s="17" t="b">
        <v>0</v>
      </c>
    </row>
    <row r="240" spans="1:21">
      <c r="A240" s="17">
        <f t="shared" si="18"/>
        <v>237</v>
      </c>
      <c r="B240" s="18">
        <v>36</v>
      </c>
      <c r="C240" s="17" t="str" cm="1">
        <f t="array" ref="C240">GetValue("Tbl","Alias",B240)</f>
        <v>Trs</v>
      </c>
      <c r="D240" s="17" cm="1">
        <f t="array" ref="D240">GetDomainId(C240,G240)</f>
        <v>55</v>
      </c>
      <c r="E240" s="17" t="str" cm="1">
        <f t="array" ref="E240">GetValue("Dmn","Name",D240)</f>
        <v>BigId</v>
      </c>
      <c r="F240" s="17">
        <f t="shared" si="21"/>
        <v>10</v>
      </c>
      <c r="G240" s="17" t="str" cm="1">
        <f t="array" ref="G240">GetColumnName(C240,IF(B240=B239,G239,""))</f>
        <v>SessionId</v>
      </c>
      <c r="H240" s="17" t="str">
        <f t="shared" si="29"/>
        <v>SessionId</v>
      </c>
      <c r="I240" s="17" t="str">
        <f t="shared" si="28"/>
        <v>SessionId</v>
      </c>
      <c r="J240" s="17"/>
      <c r="K240" s="17" t="b">
        <v>0</v>
      </c>
      <c r="L240" s="17" t="b" cm="1">
        <f t="array" ref="L240">IsPrimaryKey(A240)</f>
        <v>0</v>
      </c>
      <c r="M240" s="17" t="b" cm="1">
        <f t="array" ref="M240">IsAutoincrement(A240)</f>
        <v>0</v>
      </c>
      <c r="N240" s="17" t="b" cm="1">
        <f t="array" ref="N240">IsUnique(A240)</f>
        <v>0</v>
      </c>
      <c r="O240" s="17" t="b" cm="1">
        <f t="array" ref="O240">IsFilterable(A240)</f>
        <v>1</v>
      </c>
      <c r="P240" s="17" t="b" cm="1">
        <f t="array" ref="P240">IsEditable(A240)</f>
        <v>1</v>
      </c>
      <c r="Q240" s="17" t="b" cm="1">
        <f t="array" ref="Q240">IsGridable(A240)</f>
        <v>1</v>
      </c>
      <c r="R240" s="17" t="str" cm="1">
        <f t="array" ref="R240">IsListable(A240)</f>
        <v/>
      </c>
      <c r="S240" s="17" t="str" cm="1">
        <f t="array" ref="S240">IsEncrypted(A240)</f>
        <v/>
      </c>
      <c r="T240" s="17" t="b" cm="1">
        <f t="array" ref="T240">IsInWords(A240)</f>
        <v>0</v>
      </c>
      <c r="U240" s="17" t="b">
        <v>0</v>
      </c>
    </row>
    <row r="241" spans="1:21">
      <c r="A241" s="17">
        <f t="shared" si="18"/>
        <v>238</v>
      </c>
      <c r="B241" s="18">
        <v>36</v>
      </c>
      <c r="C241" s="17" t="str" cm="1">
        <f t="array" ref="C241">GetValue("Tbl","Alias",B241)</f>
        <v>Trs</v>
      </c>
      <c r="D241" s="17" cm="1">
        <f t="array" ref="D241">GetDomainId(C241,G241)</f>
        <v>5</v>
      </c>
      <c r="E241" s="17" t="str" cm="1">
        <f t="array" ref="E241">GetValue("Dmn","Name",D241)</f>
        <v>Boolean</v>
      </c>
      <c r="F241" s="17">
        <f t="shared" si="21"/>
        <v>15</v>
      </c>
      <c r="G241" s="17" t="str" cm="1">
        <f t="array" ref="G241">GetColumnName(C241,IF(B241=B240,G240,""))</f>
        <v>IsConfirmed</v>
      </c>
      <c r="H241" s="17" t="str">
        <f t="shared" si="29"/>
        <v>IsConfirmed</v>
      </c>
      <c r="I241" s="17" t="str">
        <f t="shared" si="28"/>
        <v>IsConfirmed</v>
      </c>
      <c r="J241" s="17"/>
      <c r="K241" s="17" t="b">
        <v>0</v>
      </c>
      <c r="L241" s="17" t="b" cm="1">
        <f t="array" ref="L241">IsPrimaryKey(A241)</f>
        <v>0</v>
      </c>
      <c r="M241" s="17" t="str" cm="1">
        <f t="array" ref="M241">IsAutoincrement(A241)</f>
        <v/>
      </c>
      <c r="N241" s="17" t="str" cm="1">
        <f t="array" ref="N241">IsUnique(A241)</f>
        <v/>
      </c>
      <c r="O241" s="17" t="b" cm="1">
        <f t="array" ref="O241">IsFilterable(A241)</f>
        <v>1</v>
      </c>
      <c r="P241" s="17" t="b" cm="1">
        <f t="array" ref="P241">IsEditable(A241)</f>
        <v>1</v>
      </c>
      <c r="Q241" s="17" t="b" cm="1">
        <f t="array" ref="Q241">IsGridable(A241)</f>
        <v>1</v>
      </c>
      <c r="R241" s="17" t="str" cm="1">
        <f t="array" ref="R241">IsListable(A241)</f>
        <v/>
      </c>
      <c r="S241" s="17" t="str" cm="1">
        <f t="array" ref="S241">IsEncrypted(A241)</f>
        <v/>
      </c>
      <c r="T241" s="17" t="str" cm="1">
        <f t="array" ref="T241">IsInWords(A241)</f>
        <v/>
      </c>
      <c r="U241" s="17" t="b">
        <v>0</v>
      </c>
    </row>
    <row r="242" spans="1:21">
      <c r="A242" s="19">
        <f t="shared" si="18"/>
        <v>239</v>
      </c>
      <c r="B242" s="20">
        <v>37</v>
      </c>
      <c r="C242" s="19" t="str" cm="1">
        <f t="array" ref="C242">GetValue("Tbl","Alias",B242)</f>
        <v>Ope</v>
      </c>
      <c r="D242" s="19" cm="1">
        <f t="array" ref="D242">GetDomainId(C242,G242)</f>
        <v>55</v>
      </c>
      <c r="E242" s="19" t="str" cm="1">
        <f t="array" ref="E242">GetValue("Dmn","Name",D242)</f>
        <v>BigId</v>
      </c>
      <c r="F242" s="19">
        <f t="shared" si="21"/>
        <v>5</v>
      </c>
      <c r="G242" s="19" t="str" cm="1">
        <f t="array" ref="G242">GetColumnName(C242,IF(B242=B241,G241,""))</f>
        <v>Id</v>
      </c>
      <c r="H242" s="19" t="str">
        <f t="shared" si="29"/>
        <v>Id</v>
      </c>
      <c r="I242" s="19" t="str">
        <f t="shared" si="28"/>
        <v>Id</v>
      </c>
      <c r="J242" s="19"/>
      <c r="K242" s="19" t="b">
        <v>0</v>
      </c>
      <c r="L242" s="19" t="b" cm="1">
        <f t="array" ref="L242">IsPrimaryKey(A242)</f>
        <v>1</v>
      </c>
      <c r="M242" s="19" t="b" cm="1">
        <f t="array" ref="M242">IsAutoincrement(A242)</f>
        <v>1</v>
      </c>
      <c r="N242" s="19" t="b" cm="1">
        <f t="array" ref="N242">IsUnique(A242)</f>
        <v>0</v>
      </c>
      <c r="O242" s="19" t="str" cm="1">
        <f t="array" ref="O242">IsFilterable(A242)</f>
        <v/>
      </c>
      <c r="P242" s="19" t="str" cm="1">
        <f t="array" ref="P242">IsEditable(A242)</f>
        <v/>
      </c>
      <c r="Q242" s="19" t="str" cm="1">
        <f t="array" ref="Q242">IsGridable(A242)</f>
        <v/>
      </c>
      <c r="R242" s="19" t="str" cm="1">
        <f t="array" ref="R242">IsListable(A242)</f>
        <v/>
      </c>
      <c r="S242" s="19" t="str" cm="1">
        <f t="array" ref="S242">IsEncrypted(A242)</f>
        <v/>
      </c>
      <c r="T242" s="19" t="str" cm="1">
        <f t="array" ref="T242">IsInWords(A242)</f>
        <v/>
      </c>
      <c r="U242" s="19" t="b">
        <v>0</v>
      </c>
    </row>
    <row r="243" spans="1:21">
      <c r="A243" s="19">
        <f t="shared" si="18"/>
        <v>240</v>
      </c>
      <c r="B243" s="20">
        <v>37</v>
      </c>
      <c r="C243" s="19" t="str" cm="1">
        <f t="array" ref="C243">GetValue("Tbl","Alias",B243)</f>
        <v>Ope</v>
      </c>
      <c r="D243" s="19" cm="1">
        <f t="array" ref="D243">GetDomainId(C243,G243)</f>
        <v>55</v>
      </c>
      <c r="E243" s="19" t="str" cm="1">
        <f t="array" ref="E243">GetValue("Dmn","Name",D243)</f>
        <v>BigId</v>
      </c>
      <c r="F243" s="19">
        <f t="shared" si="21"/>
        <v>10</v>
      </c>
      <c r="G243" s="19" t="str" cm="1">
        <f t="array" ref="G243">GetColumnName(C243,IF(B243=B242,G242,""))</f>
        <v>TransactionId</v>
      </c>
      <c r="H243" s="19" t="str">
        <f t="shared" ref="H243:H252" si="30">G243</f>
        <v>TransactionId</v>
      </c>
      <c r="I243" s="19" t="str">
        <f t="shared" ref="I243:I252" si="31">G243</f>
        <v>TransactionId</v>
      </c>
      <c r="J243" s="19"/>
      <c r="K243" s="19" t="b">
        <v>0</v>
      </c>
      <c r="L243" s="19" t="b" cm="1">
        <f t="array" ref="L243">IsPrimaryKey(A243)</f>
        <v>0</v>
      </c>
      <c r="M243" s="19" t="b" cm="1">
        <f t="array" ref="M243">IsAutoincrement(A243)</f>
        <v>0</v>
      </c>
      <c r="N243" s="19" t="b" cm="1">
        <f t="array" ref="N243">IsUnique(A243)</f>
        <v>0</v>
      </c>
      <c r="O243" s="19" t="b" cm="1">
        <f t="array" ref="O243">IsFilterable(A243)</f>
        <v>1</v>
      </c>
      <c r="P243" s="19" t="b" cm="1">
        <f t="array" ref="P243">IsEditable(A243)</f>
        <v>1</v>
      </c>
      <c r="Q243" s="19" t="b" cm="1">
        <f t="array" ref="Q243">IsGridable(A243)</f>
        <v>1</v>
      </c>
      <c r="R243" s="19" t="str" cm="1">
        <f t="array" ref="R243">IsListable(A243)</f>
        <v/>
      </c>
      <c r="S243" s="19" t="str" cm="1">
        <f t="array" ref="S243">IsEncrypted(A243)</f>
        <v/>
      </c>
      <c r="T243" s="19" t="b" cm="1">
        <f t="array" ref="T243">IsInWords(A243)</f>
        <v>0</v>
      </c>
      <c r="U243" s="19" t="b">
        <v>0</v>
      </c>
    </row>
    <row r="244" spans="1:21">
      <c r="A244" s="19">
        <f t="shared" si="18"/>
        <v>241</v>
      </c>
      <c r="B244" s="20">
        <v>37</v>
      </c>
      <c r="C244" s="19" t="str" cm="1">
        <f t="array" ref="C244">GetValue("Tbl","Alias",B244)</f>
        <v>Ope</v>
      </c>
      <c r="D244" s="19" cm="1">
        <f t="array" ref="D244">GetDomainId(C244,G244)</f>
        <v>11</v>
      </c>
      <c r="E244" s="19" t="str" cm="1">
        <f t="array" ref="E244">GetValue("Dmn","Name",D244)</f>
        <v>NVARCHAR(25)</v>
      </c>
      <c r="F244" s="19">
        <f t="shared" si="21"/>
        <v>15</v>
      </c>
      <c r="G244" s="19" t="str" cm="1">
        <f t="array" ref="G244">GetColumnName(C244,IF(B244=B243,G243,""))</f>
        <v>TableName</v>
      </c>
      <c r="H244" s="19" t="str">
        <f t="shared" si="30"/>
        <v>TableName</v>
      </c>
      <c r="I244" s="19" t="str">
        <f t="shared" si="31"/>
        <v>TableName</v>
      </c>
      <c r="J244" s="19"/>
      <c r="K244" s="19" t="b">
        <v>0</v>
      </c>
      <c r="L244" s="19" t="b" cm="1">
        <f t="array" ref="L244">IsPrimaryKey(A244)</f>
        <v>0</v>
      </c>
      <c r="M244" s="19" t="str" cm="1">
        <f t="array" ref="M244">IsAutoincrement(A244)</f>
        <v/>
      </c>
      <c r="N244" s="19" t="b" cm="1">
        <f t="array" ref="N244">IsUnique(A244)</f>
        <v>0</v>
      </c>
      <c r="O244" s="19" t="b" cm="1">
        <f t="array" ref="O244">IsFilterable(A244)</f>
        <v>1</v>
      </c>
      <c r="P244" s="19" t="b" cm="1">
        <f t="array" ref="P244">IsEditable(A244)</f>
        <v>1</v>
      </c>
      <c r="Q244" s="19" t="b" cm="1">
        <f t="array" ref="Q244">IsGridable(A244)</f>
        <v>1</v>
      </c>
      <c r="R244" s="19" t="b" cm="1">
        <f t="array" ref="R244">IsListable(A244)</f>
        <v>0</v>
      </c>
      <c r="S244" s="19" t="b" cm="1">
        <f t="array" ref="S244">IsEncrypted(A244)</f>
        <v>0</v>
      </c>
      <c r="T244" s="19" t="str" cm="1">
        <f t="array" ref="T244">IsInWords(A244)</f>
        <v/>
      </c>
      <c r="U244" s="19" t="b">
        <v>0</v>
      </c>
    </row>
    <row r="245" spans="1:21">
      <c r="A245" s="19">
        <f t="shared" si="18"/>
        <v>242</v>
      </c>
      <c r="B245" s="20">
        <v>37</v>
      </c>
      <c r="C245" s="19" t="str" cm="1">
        <f t="array" ref="C245">GetValue("Tbl","Alias",B245)</f>
        <v>Ope</v>
      </c>
      <c r="D245" s="19" cm="1">
        <f t="array" ref="D245">GetDomainId(C245,G245)</f>
        <v>27</v>
      </c>
      <c r="E245" s="19" t="str" cm="1">
        <f t="array" ref="E245">GetValue("Dmn","Name",D245)</f>
        <v>CRUD Operation</v>
      </c>
      <c r="F245" s="19">
        <f t="shared" si="21"/>
        <v>20</v>
      </c>
      <c r="G245" s="19" t="str" cm="1">
        <f t="array" ref="G245">GetColumnName(C245,IF(B245=B244,G244,""))</f>
        <v>Action</v>
      </c>
      <c r="H245" s="19" t="str">
        <f t="shared" si="30"/>
        <v>Action</v>
      </c>
      <c r="I245" s="19" t="str">
        <f t="shared" si="31"/>
        <v>Action</v>
      </c>
      <c r="J245" s="19"/>
      <c r="K245" s="19" t="b">
        <v>0</v>
      </c>
      <c r="L245" s="19" t="b" cm="1">
        <f t="array" ref="L245">IsPrimaryKey(A245)</f>
        <v>0</v>
      </c>
      <c r="M245" s="19" t="str" cm="1">
        <f t="array" ref="M245">IsAutoincrement(A245)</f>
        <v/>
      </c>
      <c r="N245" s="19" t="b" cm="1">
        <f t="array" ref="N245">IsUnique(A245)</f>
        <v>0</v>
      </c>
      <c r="O245" s="19" t="b" cm="1">
        <f t="array" ref="O245">IsFilterable(A245)</f>
        <v>1</v>
      </c>
      <c r="P245" s="19" t="b" cm="1">
        <f t="array" ref="P245">IsEditable(A245)</f>
        <v>1</v>
      </c>
      <c r="Q245" s="19" t="b" cm="1">
        <f t="array" ref="Q245">IsGridable(A245)</f>
        <v>1</v>
      </c>
      <c r="R245" s="19" t="b" cm="1">
        <f t="array" ref="R245">IsListable(A245)</f>
        <v>0</v>
      </c>
      <c r="S245" s="19" t="b" cm="1">
        <f t="array" ref="S245">IsEncrypted(A245)</f>
        <v>0</v>
      </c>
      <c r="T245" s="19" t="str" cm="1">
        <f t="array" ref="T245">IsInWords(A245)</f>
        <v/>
      </c>
      <c r="U245" s="19" t="b">
        <v>0</v>
      </c>
    </row>
    <row r="246" spans="1:21">
      <c r="A246" s="19">
        <f t="shared" si="18"/>
        <v>243</v>
      </c>
      <c r="B246" s="20">
        <v>37</v>
      </c>
      <c r="C246" s="19" t="str" cm="1">
        <f t="array" ref="C246">GetValue("Tbl","Alias",B246)</f>
        <v>Ope</v>
      </c>
      <c r="D246" s="19" cm="1">
        <f t="array" ref="D246">GetDomainId(C246,G246)</f>
        <v>25</v>
      </c>
      <c r="E246" s="19" t="str" cm="1">
        <f t="array" ref="E246">GetValue("Dmn","Name",D246)</f>
        <v>JSON</v>
      </c>
      <c r="F246" s="19">
        <f t="shared" si="21"/>
        <v>25</v>
      </c>
      <c r="G246" s="19" t="str" cm="1">
        <f t="array" ref="G246">GetColumnName(C246,IF(B246=B245,G245,""))</f>
        <v>LastRecord</v>
      </c>
      <c r="H246" s="19" t="str">
        <f t="shared" si="30"/>
        <v>LastRecord</v>
      </c>
      <c r="I246" s="19" t="str">
        <f t="shared" si="31"/>
        <v>LastRecord</v>
      </c>
      <c r="J246" s="19"/>
      <c r="K246" s="19" t="b">
        <v>0</v>
      </c>
      <c r="L246" s="19" t="str" cm="1">
        <f t="array" ref="L246">IsPrimaryKey(A246)</f>
        <v/>
      </c>
      <c r="M246" s="19" t="str" cm="1">
        <f t="array" ref="M246">IsAutoincrement(A246)</f>
        <v/>
      </c>
      <c r="N246" s="19" t="str" cm="1">
        <f t="array" ref="N246">IsUnique(A246)</f>
        <v/>
      </c>
      <c r="O246" s="19" t="str" cm="1">
        <f t="array" ref="O246">IsFilterable(A246)</f>
        <v/>
      </c>
      <c r="P246" s="19" t="b" cm="1">
        <f t="array" ref="P246">IsEditable(A246)</f>
        <v>1</v>
      </c>
      <c r="Q246" s="19" t="str" cm="1">
        <f t="array" ref="Q246">IsGridable(A246)</f>
        <v/>
      </c>
      <c r="R246" s="19" t="str" cm="1">
        <f t="array" ref="R246">IsListable(A246)</f>
        <v/>
      </c>
      <c r="S246" s="19" t="str" cm="1">
        <f t="array" ref="S246">IsEncrypted(A246)</f>
        <v/>
      </c>
      <c r="T246" s="19" t="str" cm="1">
        <f t="array" ref="T246">IsInWords(A246)</f>
        <v/>
      </c>
      <c r="U246" s="19" t="b">
        <v>0</v>
      </c>
    </row>
    <row r="247" spans="1:21">
      <c r="A247" s="19">
        <f t="shared" si="18"/>
        <v>244</v>
      </c>
      <c r="B247" s="20">
        <v>37</v>
      </c>
      <c r="C247" s="19" t="str" cm="1">
        <f t="array" ref="C247">GetValue("Tbl","Alias",B247)</f>
        <v>Ope</v>
      </c>
      <c r="D247" s="19" cm="1">
        <f t="array" ref="D247">GetDomainId(C247,G247)</f>
        <v>25</v>
      </c>
      <c r="E247" s="19" t="str" cm="1">
        <f t="array" ref="E247">GetValue("Dmn","Name",D247)</f>
        <v>JSON</v>
      </c>
      <c r="F247" s="19">
        <f t="shared" si="21"/>
        <v>30</v>
      </c>
      <c r="G247" s="19" t="str" cm="1">
        <f t="array" ref="G247">GetColumnName(C247,IF(B247=B246,G246,""))</f>
        <v>ActualRecord</v>
      </c>
      <c r="H247" s="19" t="str">
        <f t="shared" si="30"/>
        <v>ActualRecord</v>
      </c>
      <c r="I247" s="19" t="str">
        <f t="shared" si="31"/>
        <v>ActualRecord</v>
      </c>
      <c r="J247" s="19"/>
      <c r="K247" s="19" t="b">
        <v>0</v>
      </c>
      <c r="L247" s="19" t="str" cm="1">
        <f t="array" ref="L247">IsPrimaryKey(A247)</f>
        <v/>
      </c>
      <c r="M247" s="19" t="str" cm="1">
        <f t="array" ref="M247">IsAutoincrement(A247)</f>
        <v/>
      </c>
      <c r="N247" s="19" t="str" cm="1">
        <f t="array" ref="N247">IsUnique(A247)</f>
        <v/>
      </c>
      <c r="O247" s="19" t="str" cm="1">
        <f t="array" ref="O247">IsFilterable(A247)</f>
        <v/>
      </c>
      <c r="P247" s="19" t="b" cm="1">
        <f t="array" ref="P247">IsEditable(A247)</f>
        <v>1</v>
      </c>
      <c r="Q247" s="19" t="str" cm="1">
        <f t="array" ref="Q247">IsGridable(A247)</f>
        <v/>
      </c>
      <c r="R247" s="19" t="str" cm="1">
        <f t="array" ref="R247">IsListable(A247)</f>
        <v/>
      </c>
      <c r="S247" s="19" t="str" cm="1">
        <f t="array" ref="S247">IsEncrypted(A247)</f>
        <v/>
      </c>
      <c r="T247" s="19" t="str" cm="1">
        <f t="array" ref="T247">IsInWords(A247)</f>
        <v/>
      </c>
      <c r="U247" s="19" t="b">
        <v>0</v>
      </c>
    </row>
    <row r="248" spans="1:21">
      <c r="A248" s="19">
        <f t="shared" si="18"/>
        <v>245</v>
      </c>
      <c r="B248" s="20">
        <v>37</v>
      </c>
      <c r="C248" s="19" t="str" cm="1">
        <f t="array" ref="C248">GetValue("Tbl","Alias",B248)</f>
        <v>Ope</v>
      </c>
      <c r="D248" s="19" cm="1">
        <f t="array" ref="D248">GetDomainId(C248,G248)</f>
        <v>5</v>
      </c>
      <c r="E248" s="19" t="str" cm="1">
        <f t="array" ref="E248">GetValue("Dmn","Name",D248)</f>
        <v>Boolean</v>
      </c>
      <c r="F248" s="19">
        <f t="shared" si="21"/>
        <v>35</v>
      </c>
      <c r="G248" s="19" t="str" cm="1">
        <f t="array" ref="G248">GetColumnName(C248,IF(B248=B247,G247,""))</f>
        <v>IsConfirmed</v>
      </c>
      <c r="H248" s="19" t="str">
        <f t="shared" si="30"/>
        <v>IsConfirmed</v>
      </c>
      <c r="I248" s="19" t="str">
        <f t="shared" si="31"/>
        <v>IsConfirmed</v>
      </c>
      <c r="J248" s="19"/>
      <c r="K248" s="19" t="b">
        <v>0</v>
      </c>
      <c r="L248" s="19" t="b" cm="1">
        <f t="array" ref="L248">IsPrimaryKey(A248)</f>
        <v>0</v>
      </c>
      <c r="M248" s="19" t="str" cm="1">
        <f t="array" ref="M248">IsAutoincrement(A248)</f>
        <v/>
      </c>
      <c r="N248" s="19" t="str" cm="1">
        <f t="array" ref="N248">IsUnique(A248)</f>
        <v/>
      </c>
      <c r="O248" s="19" t="b" cm="1">
        <f t="array" ref="O248">IsFilterable(A248)</f>
        <v>1</v>
      </c>
      <c r="P248" s="19" t="b" cm="1">
        <f t="array" ref="P248">IsEditable(A248)</f>
        <v>1</v>
      </c>
      <c r="Q248" s="19" t="b" cm="1">
        <f t="array" ref="Q248">IsGridable(A248)</f>
        <v>1</v>
      </c>
      <c r="R248" s="19" t="str" cm="1">
        <f t="array" ref="R248">IsListable(A248)</f>
        <v/>
      </c>
      <c r="S248" s="19" t="str" cm="1">
        <f t="array" ref="S248">IsEncrypted(A248)</f>
        <v/>
      </c>
      <c r="T248" s="19" t="str" cm="1">
        <f t="array" ref="T248">IsInWords(A248)</f>
        <v/>
      </c>
      <c r="U248" s="19" t="b">
        <v>0</v>
      </c>
    </row>
    <row r="249" spans="1:21">
      <c r="A249" s="17">
        <f t="shared" si="18"/>
        <v>246</v>
      </c>
      <c r="B249" s="18">
        <v>38</v>
      </c>
      <c r="C249" s="17" t="str" cm="1">
        <f t="array" ref="C249">GetValue("Tbl","Alias",B249)</f>
        <v>Id</v>
      </c>
      <c r="D249" s="17" cm="1">
        <f t="array" ref="D249">GetDomainId(C249,G249)</f>
        <v>55</v>
      </c>
      <c r="E249" s="17" t="str" cm="1">
        <f t="array" ref="E249">GetValue("Dmn","Name",D249)</f>
        <v>BigId</v>
      </c>
      <c r="F249" s="17">
        <f t="shared" si="21"/>
        <v>5</v>
      </c>
      <c r="G249" s="17" t="str" cm="1">
        <f t="array" ref="G249">GetColumnName(C249,IF(B249=B248,G248,""))</f>
        <v>Id</v>
      </c>
      <c r="H249" s="17" t="str">
        <f t="shared" si="30"/>
        <v>Id</v>
      </c>
      <c r="I249" s="17" t="str">
        <f t="shared" si="31"/>
        <v>Id</v>
      </c>
      <c r="J249" s="17"/>
      <c r="K249" s="17" t="b">
        <v>0</v>
      </c>
      <c r="L249" s="17" t="b" cm="1">
        <f t="array" ref="L249">IsPrimaryKey(A249)</f>
        <v>1</v>
      </c>
      <c r="M249" s="17" t="b" cm="1">
        <f t="array" ref="M249">IsAutoincrement(A249)</f>
        <v>1</v>
      </c>
      <c r="N249" s="17" t="b" cm="1">
        <f t="array" ref="N249">IsUnique(A249)</f>
        <v>0</v>
      </c>
      <c r="O249" s="17" t="str" cm="1">
        <f t="array" ref="O249">IsFilterable(A249)</f>
        <v/>
      </c>
      <c r="P249" s="17" t="str" cm="1">
        <f t="array" ref="P249">IsEditable(A249)</f>
        <v/>
      </c>
      <c r="Q249" s="17" t="str" cm="1">
        <f t="array" ref="Q249">IsGridable(A249)</f>
        <v/>
      </c>
      <c r="R249" s="17" t="str" cm="1">
        <f t="array" ref="R249">IsListable(A249)</f>
        <v/>
      </c>
      <c r="S249" s="17" t="str" cm="1">
        <f t="array" ref="S249">IsEncrypted(A249)</f>
        <v/>
      </c>
      <c r="T249" s="17" t="str" cm="1">
        <f t="array" ref="T249">IsInWords(A249)</f>
        <v/>
      </c>
      <c r="U249" s="17" t="b">
        <v>0</v>
      </c>
    </row>
    <row r="250" spans="1:21">
      <c r="A250" s="17">
        <f t="shared" si="18"/>
        <v>247</v>
      </c>
      <c r="B250" s="18">
        <v>38</v>
      </c>
      <c r="C250" s="17" t="str" cm="1">
        <f t="array" ref="C250">GetValue("Tbl","Alias",B250)</f>
        <v>Id</v>
      </c>
      <c r="D250" s="17" cm="1">
        <f t="array" ref="D250">GetDomainId(C250,G250)</f>
        <v>55</v>
      </c>
      <c r="E250" s="17" t="str" cm="1">
        <f t="array" ref="E250">GetValue("Dmn","Name",D250)</f>
        <v>BigId</v>
      </c>
      <c r="F250" s="17">
        <f t="shared" si="21"/>
        <v>10</v>
      </c>
      <c r="G250" s="17" t="str" cm="1">
        <f t="array" ref="G250">GetColumnName(C250,IF(B250=B249,G249,""))</f>
        <v>ColumnId</v>
      </c>
      <c r="H250" s="17" t="str">
        <f t="shared" si="30"/>
        <v>ColumnId</v>
      </c>
      <c r="I250" s="17" t="str">
        <f t="shared" si="31"/>
        <v>ColumnId</v>
      </c>
      <c r="J250" s="17"/>
      <c r="K250" s="17" t="b">
        <v>0</v>
      </c>
      <c r="L250" s="17" t="b" cm="1">
        <f t="array" ref="L250">IsPrimaryKey(A250)</f>
        <v>0</v>
      </c>
      <c r="M250" s="17" t="b" cm="1">
        <f t="array" ref="M250">IsAutoincrement(A250)</f>
        <v>0</v>
      </c>
      <c r="N250" s="17" t="b" cm="1">
        <f t="array" ref="N250">IsUnique(A250)</f>
        <v>0</v>
      </c>
      <c r="O250" s="17" t="b" cm="1">
        <f t="array" ref="O250">IsFilterable(A250)</f>
        <v>1</v>
      </c>
      <c r="P250" s="17" t="b" cm="1">
        <f t="array" ref="P250">IsEditable(A250)</f>
        <v>1</v>
      </c>
      <c r="Q250" s="17" t="b" cm="1">
        <f t="array" ref="Q250">IsGridable(A250)</f>
        <v>1</v>
      </c>
      <c r="R250" s="17" t="str" cm="1">
        <f t="array" ref="R250">IsListable(A250)</f>
        <v/>
      </c>
      <c r="S250" s="17" t="str" cm="1">
        <f t="array" ref="S250">IsEncrypted(A250)</f>
        <v/>
      </c>
      <c r="T250" s="17" t="b" cm="1">
        <f t="array" ref="T250">IsInWords(A250)</f>
        <v>0</v>
      </c>
      <c r="U250" s="17" t="b">
        <v>0</v>
      </c>
    </row>
    <row r="251" spans="1:21">
      <c r="A251" s="17">
        <f t="shared" si="18"/>
        <v>248</v>
      </c>
      <c r="B251" s="18">
        <v>38</v>
      </c>
      <c r="C251" s="17" t="str" cm="1">
        <f t="array" ref="C251">GetValue("Tbl","Alias",B251)</f>
        <v>Id</v>
      </c>
      <c r="D251" s="17" cm="1">
        <f t="array" ref="D251">GetDomainId(C251,G251)</f>
        <v>55</v>
      </c>
      <c r="E251" s="17" t="str" cm="1">
        <f t="array" ref="E251">GetValue("Dmn","Name",D251)</f>
        <v>BigId</v>
      </c>
      <c r="F251" s="17">
        <f t="shared" si="21"/>
        <v>15</v>
      </c>
      <c r="G251" s="17" t="str" cm="1">
        <f t="array" ref="G251">GetColumnName(C251,IF(B251=B250,G250,""))</f>
        <v>CurrentValue</v>
      </c>
      <c r="H251" s="17" t="str">
        <f t="shared" si="30"/>
        <v>CurrentValue</v>
      </c>
      <c r="I251" s="17" t="str">
        <f t="shared" si="31"/>
        <v>CurrentValue</v>
      </c>
      <c r="J251" s="17"/>
      <c r="K251" s="17" t="b">
        <v>0</v>
      </c>
      <c r="L251" s="17" t="b" cm="1">
        <f t="array" ref="L251">IsPrimaryKey(A251)</f>
        <v>0</v>
      </c>
      <c r="M251" s="17" t="b" cm="1">
        <f t="array" ref="M251">IsAutoincrement(A251)</f>
        <v>0</v>
      </c>
      <c r="N251" s="17" t="b" cm="1">
        <f t="array" ref="N251">IsUnique(A251)</f>
        <v>0</v>
      </c>
      <c r="O251" s="17" t="b" cm="1">
        <f t="array" ref="O251">IsFilterable(A251)</f>
        <v>1</v>
      </c>
      <c r="P251" s="17" t="b" cm="1">
        <f t="array" ref="P251">IsEditable(A251)</f>
        <v>1</v>
      </c>
      <c r="Q251" s="17" t="b" cm="1">
        <f t="array" ref="Q251">IsGridable(A251)</f>
        <v>1</v>
      </c>
      <c r="R251" s="17" t="str" cm="1">
        <f t="array" ref="R251">IsListable(A251)</f>
        <v/>
      </c>
      <c r="S251" s="17" t="str" cm="1">
        <f t="array" ref="S251">IsEncrypted(A251)</f>
        <v/>
      </c>
      <c r="T251" s="17" t="b" cm="1">
        <f t="array" ref="T251">IsInWords(A251)</f>
        <v>0</v>
      </c>
      <c r="U251" s="17" t="b">
        <v>0</v>
      </c>
    </row>
    <row r="252" spans="1:21">
      <c r="A252" s="19">
        <f t="shared" si="18"/>
        <v>249</v>
      </c>
      <c r="B252" s="20">
        <v>39</v>
      </c>
      <c r="C252" s="19" t="str" cm="1">
        <f t="array" ref="C252">GetValue("Tbl","Alias",B252)</f>
        <v>Val</v>
      </c>
      <c r="D252" s="19" cm="1">
        <f t="array" ref="D252">GetDomainId(C252,G252)</f>
        <v>55</v>
      </c>
      <c r="E252" s="19" t="str" cm="1">
        <f t="array" ref="E252">GetValue("Dmn","Name",D252)</f>
        <v>BigId</v>
      </c>
      <c r="F252" s="19">
        <f t="shared" si="21"/>
        <v>5</v>
      </c>
      <c r="G252" s="19" t="str" cm="1">
        <f t="array" ref="G252">GetColumnName(C252,IF(B252=B251,G251,""))</f>
        <v>Id</v>
      </c>
      <c r="H252" s="19" t="str">
        <f t="shared" si="30"/>
        <v>Id</v>
      </c>
      <c r="I252" s="19" t="str">
        <f t="shared" si="31"/>
        <v>Id</v>
      </c>
      <c r="J252" s="19"/>
      <c r="K252" s="19" t="b">
        <v>0</v>
      </c>
      <c r="L252" s="19" t="b" cm="1">
        <f t="array" ref="L252">IsPrimaryKey(A252)</f>
        <v>1</v>
      </c>
      <c r="M252" s="19" t="b" cm="1">
        <f t="array" ref="M252">IsAutoincrement(A252)</f>
        <v>1</v>
      </c>
      <c r="N252" s="19" t="b" cm="1">
        <f t="array" ref="N252">IsUnique(A252)</f>
        <v>0</v>
      </c>
      <c r="O252" s="19" t="str" cm="1">
        <f t="array" ref="O252">IsFilterable(A252)</f>
        <v/>
      </c>
      <c r="P252" s="19" t="str" cm="1">
        <f t="array" ref="P252">IsEditable(A252)</f>
        <v/>
      </c>
      <c r="Q252" s="19" t="str" cm="1">
        <f t="array" ref="Q252">IsGridable(A252)</f>
        <v/>
      </c>
      <c r="R252" s="19" t="str" cm="1">
        <f t="array" ref="R252">IsListable(A252)</f>
        <v/>
      </c>
      <c r="S252" s="19" t="str" cm="1">
        <f t="array" ref="S252">IsEncrypted(A252)</f>
        <v/>
      </c>
      <c r="T252" s="19" t="str" cm="1">
        <f t="array" ref="T252">IsInWords(A252)</f>
        <v/>
      </c>
      <c r="U252" s="19" t="b">
        <v>0</v>
      </c>
    </row>
    <row r="253" spans="1:21">
      <c r="A253" s="19">
        <f t="shared" si="18"/>
        <v>250</v>
      </c>
      <c r="B253" s="20">
        <v>39</v>
      </c>
      <c r="C253" s="19" t="str" cm="1">
        <f t="array" ref="C253">GetValue("Tbl","Alias",B253)</f>
        <v>Val</v>
      </c>
      <c r="D253" s="19" cm="1">
        <f t="array" ref="D253">GetDomainId(C253,G253)</f>
        <v>55</v>
      </c>
      <c r="E253" s="19" t="str" cm="1">
        <f t="array" ref="E253">GetValue("Dmn","Name",D253)</f>
        <v>BigId</v>
      </c>
      <c r="F253" s="19">
        <f t="shared" si="21"/>
        <v>10</v>
      </c>
      <c r="G253" s="19" t="str" cm="1">
        <f t="array" ref="G253">GetColumnName(C253,IF(B253=B252,G252,""))</f>
        <v>ColumnId</v>
      </c>
      <c r="H253" s="19" t="str">
        <f t="shared" ref="H253" si="32">G253</f>
        <v>ColumnId</v>
      </c>
      <c r="I253" s="19" t="str">
        <f t="shared" ref="I253" si="33">G253</f>
        <v>ColumnId</v>
      </c>
      <c r="J253" s="19"/>
      <c r="K253" s="19" t="b">
        <v>0</v>
      </c>
      <c r="L253" s="19" t="b" cm="1">
        <f t="array" ref="L253">IsPrimaryKey(A253)</f>
        <v>0</v>
      </c>
      <c r="M253" s="19" t="b" cm="1">
        <f t="array" ref="M253">IsAutoincrement(A253)</f>
        <v>0</v>
      </c>
      <c r="N253" s="19" t="b" cm="1">
        <f t="array" ref="N253">IsUnique(A253)</f>
        <v>0</v>
      </c>
      <c r="O253" s="19" t="b" cm="1">
        <f t="array" ref="O253">IsFilterable(A253)</f>
        <v>1</v>
      </c>
      <c r="P253" s="19" t="b" cm="1">
        <f t="array" ref="P253">IsEditable(A253)</f>
        <v>1</v>
      </c>
      <c r="Q253" s="19" t="b" cm="1">
        <f t="array" ref="Q253">IsGridable(A253)</f>
        <v>1</v>
      </c>
      <c r="R253" s="19" t="str" cm="1">
        <f t="array" ref="R253">IsListable(A253)</f>
        <v/>
      </c>
      <c r="S253" s="19" t="str" cm="1">
        <f t="array" ref="S253">IsEncrypted(A253)</f>
        <v/>
      </c>
      <c r="T253" s="19" t="b" cm="1">
        <f t="array" ref="T253">IsInWords(A253)</f>
        <v>0</v>
      </c>
      <c r="U253" s="19" t="b">
        <v>0</v>
      </c>
    </row>
    <row r="254" spans="1:21">
      <c r="A254" s="19">
        <f t="shared" si="18"/>
        <v>251</v>
      </c>
      <c r="B254" s="20">
        <v>39</v>
      </c>
      <c r="C254" s="19" t="str" cm="1">
        <f t="array" ref="C254">GetValue("Tbl","Alias",B254)</f>
        <v>Val</v>
      </c>
      <c r="D254" s="19" cm="1">
        <f t="array" ref="D254">GetDomainId(C254,G254)</f>
        <v>25</v>
      </c>
      <c r="E254" s="19" t="str" cm="1">
        <f t="array" ref="E254">GetValue("Dmn","Name",D254)</f>
        <v>JSON</v>
      </c>
      <c r="F254" s="19">
        <f t="shared" ref="F254:F255" si="34">IF(G254="Id",5,F253+5)</f>
        <v>15</v>
      </c>
      <c r="G254" s="19" t="str" cm="1">
        <f t="array" ref="G254">GetColumnName(C254,IF(B254=B253,G253,""))</f>
        <v>Primarykey</v>
      </c>
      <c r="H254" s="19" t="str">
        <f t="shared" ref="H254:H255" si="35">G254</f>
        <v>Primarykey</v>
      </c>
      <c r="I254" s="19" t="str">
        <f t="shared" ref="I254:I255" si="36">G254</f>
        <v>Primarykey</v>
      </c>
      <c r="J254" s="19"/>
      <c r="K254" s="19" t="b">
        <v>0</v>
      </c>
      <c r="L254" s="19" t="str" cm="1">
        <f t="array" ref="L254">IsPrimaryKey(A254)</f>
        <v/>
      </c>
      <c r="M254" s="19" t="str" cm="1">
        <f t="array" ref="M254">IsAutoincrement(A254)</f>
        <v/>
      </c>
      <c r="N254" s="19" t="str" cm="1">
        <f t="array" ref="N254">IsUnique(A254)</f>
        <v/>
      </c>
      <c r="O254" s="19" t="str" cm="1">
        <f t="array" ref="O254">IsFilterable(A254)</f>
        <v/>
      </c>
      <c r="P254" s="19" t="b" cm="1">
        <f t="array" ref="P254">IsEditable(A254)</f>
        <v>1</v>
      </c>
      <c r="Q254" s="19" t="str" cm="1">
        <f t="array" ref="Q254">IsGridable(A254)</f>
        <v/>
      </c>
      <c r="R254" s="19" t="str" cm="1">
        <f t="array" ref="R254">IsListable(A254)</f>
        <v/>
      </c>
      <c r="S254" s="19" t="str" cm="1">
        <f t="array" ref="S254">IsEncrypted(A254)</f>
        <v/>
      </c>
      <c r="T254" s="19" t="str" cm="1">
        <f t="array" ref="T254">IsInWords(A254)</f>
        <v/>
      </c>
      <c r="U254" s="19" t="b">
        <v>0</v>
      </c>
    </row>
    <row r="255" spans="1:21">
      <c r="A255" s="19">
        <f t="shared" si="18"/>
        <v>252</v>
      </c>
      <c r="B255" s="20">
        <v>39</v>
      </c>
      <c r="C255" s="19" t="str" cm="1">
        <f t="array" ref="C255">GetValue("Tbl","Alias",B255)</f>
        <v>Val</v>
      </c>
      <c r="D255" s="19" cm="1">
        <f t="array" ref="D255">GetDomainId(C255,G255)</f>
        <v>24</v>
      </c>
      <c r="E255" s="19" t="str" cm="1">
        <f t="array" ref="E255">GetValue("Dmn","Name",D255)</f>
        <v>VARIANT</v>
      </c>
      <c r="F255" s="19">
        <f t="shared" si="34"/>
        <v>20</v>
      </c>
      <c r="G255" s="19" t="str" cm="1">
        <f t="array" ref="G255">GetColumnName(C255,IF(B255=B254,G254,""))</f>
        <v>Value</v>
      </c>
      <c r="H255" s="19" t="str">
        <f t="shared" si="35"/>
        <v>Value</v>
      </c>
      <c r="I255" s="19" t="str">
        <f t="shared" si="36"/>
        <v>Value</v>
      </c>
      <c r="J255" s="19"/>
      <c r="K255" s="19" t="b">
        <v>0</v>
      </c>
      <c r="L255" s="19" t="str" cm="1">
        <f t="array" ref="L255">IsPrimaryKey(A255)</f>
        <v/>
      </c>
      <c r="M255" s="19" t="str" cm="1">
        <f t="array" ref="M255">IsAutoincrement(A255)</f>
        <v/>
      </c>
      <c r="N255" s="19" t="str" cm="1">
        <f t="array" ref="N255">IsUnique(A255)</f>
        <v/>
      </c>
      <c r="O255" s="19" t="str" cm="1">
        <f t="array" ref="O255">IsFilterable(A255)</f>
        <v/>
      </c>
      <c r="P255" s="19" t="b" cm="1">
        <f t="array" ref="P255">IsEditable(A255)</f>
        <v>1</v>
      </c>
      <c r="Q255" s="19" t="str" cm="1">
        <f t="array" ref="Q255">IsGridable(A255)</f>
        <v/>
      </c>
      <c r="R255" s="19" t="str" cm="1">
        <f t="array" ref="R255">IsListable(A255)</f>
        <v/>
      </c>
      <c r="S255" s="19" t="str" cm="1">
        <f t="array" ref="S255">IsEncrypted(A255)</f>
        <v/>
      </c>
      <c r="T255" s="19" t="str" cm="1">
        <f t="array" ref="T255">IsInWords(A255)</f>
        <v/>
      </c>
      <c r="U255" s="19" t="b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1E5B-1BC5-4BDC-88CD-9115220427F6}">
  <sheetPr codeName="Planilha12"/>
  <dimension ref="A1:E3"/>
  <sheetViews>
    <sheetView zoomScaleNormal="100" workbookViewId="0">
      <pane ySplit="3" topLeftCell="A4" activePane="bottomLeft" state="frozen"/>
      <selection pane="bottomLeft" activeCell="C2" sqref="C2"/>
    </sheetView>
  </sheetViews>
  <sheetFormatPr defaultRowHeight="14.4"/>
  <cols>
    <col min="1" max="1" width="5.21875" bestFit="1" customWidth="1"/>
    <col min="2" max="2" width="7.21875" bestFit="1" customWidth="1"/>
    <col min="3" max="4" width="14" bestFit="1" customWidth="1"/>
    <col min="5" max="5" width="8.44140625" bestFit="1" customWidth="1"/>
  </cols>
  <sheetData>
    <row r="1" spans="1:5" s="1" customFormat="1">
      <c r="A1" s="1" t="s">
        <v>535</v>
      </c>
      <c r="B1" s="1" t="s">
        <v>92</v>
      </c>
      <c r="C1" s="1" t="s">
        <v>110</v>
      </c>
      <c r="D1" s="1" t="s">
        <v>0</v>
      </c>
      <c r="E1" s="1" t="s">
        <v>94</v>
      </c>
    </row>
    <row r="2" spans="1:5" s="1" customFormat="1">
      <c r="A2" s="1">
        <v>55</v>
      </c>
      <c r="B2" s="1">
        <v>55</v>
      </c>
      <c r="C2" s="1" cm="1">
        <f t="array" ref="C2">GetDomainId("Tbl","Name")</f>
        <v>11</v>
      </c>
      <c r="D2" s="1">
        <v>11</v>
      </c>
      <c r="E2" s="1">
        <v>5</v>
      </c>
    </row>
    <row r="3" spans="1:5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NVARCHAR(25)</v>
      </c>
      <c r="E3" s="1" t="str" cm="1">
        <f t="array" ref="E3">GetValue("Dmn","Name",E2)</f>
        <v>Boolean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A723-0DB0-4C1C-961F-BD8AA3F044CF}">
  <sheetPr codeName="Planilha13"/>
  <dimension ref="A1:G3"/>
  <sheetViews>
    <sheetView workbookViewId="0">
      <pane ySplit="3" topLeftCell="A4" activePane="bottomLeft" state="frozen"/>
      <selection pane="bottomLeft" activeCell="E3" sqref="E3"/>
    </sheetView>
  </sheetViews>
  <sheetFormatPr defaultRowHeight="14.4"/>
  <cols>
    <col min="1" max="1" width="5.21875" bestFit="1" customWidth="1"/>
    <col min="2" max="2" width="7.33203125" bestFit="1" customWidth="1"/>
    <col min="3" max="3" width="14" bestFit="1" customWidth="1"/>
    <col min="4" max="4" width="9.21875" bestFit="1" customWidth="1"/>
    <col min="5" max="5" width="14" bestFit="1" customWidth="1"/>
    <col min="6" max="6" width="9.21875" bestFit="1" customWidth="1"/>
    <col min="7" max="7" width="12" bestFit="1" customWidth="1"/>
  </cols>
  <sheetData>
    <row r="1" spans="1:7" s="1" customFormat="1">
      <c r="A1" s="1" t="s">
        <v>535</v>
      </c>
      <c r="B1" s="1" t="s">
        <v>95</v>
      </c>
      <c r="C1" s="1" t="s">
        <v>112</v>
      </c>
      <c r="D1" s="1" t="s">
        <v>96</v>
      </c>
      <c r="E1" s="1" t="s">
        <v>113</v>
      </c>
      <c r="F1" s="1" t="s">
        <v>66</v>
      </c>
      <c r="G1" s="1" t="s">
        <v>97</v>
      </c>
    </row>
    <row r="2" spans="1:7" s="1" customFormat="1">
      <c r="A2" s="1">
        <v>55</v>
      </c>
      <c r="B2" s="1">
        <v>55</v>
      </c>
      <c r="C2" s="1" cm="1">
        <f t="array" ref="C2">GetDomainId("Idx","Name")</f>
        <v>11</v>
      </c>
      <c r="D2" s="1">
        <v>55</v>
      </c>
      <c r="E2" s="1" cm="1">
        <f t="array" ref="E2">GetDomainId("Col","Name")</f>
        <v>11</v>
      </c>
      <c r="F2" s="1">
        <v>59</v>
      </c>
      <c r="G2" s="1">
        <v>5</v>
      </c>
    </row>
    <row r="3" spans="1:7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SEQUENCE</v>
      </c>
      <c r="G3" s="1" t="str" cm="1">
        <f t="array" ref="G3">GetValue("Dmn","Name",G2)</f>
        <v>Boolean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C0A9-A7D2-4A5B-A45B-D661FE52DDEE}">
  <sheetPr codeName="Planilha10"/>
  <dimension ref="A1:E3"/>
  <sheetViews>
    <sheetView workbookViewId="0">
      <pane ySplit="3" topLeftCell="A4" activePane="bottomLeft" state="frozen"/>
      <selection pane="bottomLeft" activeCell="E2" sqref="E2"/>
    </sheetView>
  </sheetViews>
  <sheetFormatPr defaultRowHeight="14.4"/>
  <cols>
    <col min="1" max="1" width="5.21875" bestFit="1" customWidth="1"/>
    <col min="2" max="2" width="7.33203125" bestFit="1" customWidth="1"/>
    <col min="3" max="3" width="14" bestFit="1" customWidth="1"/>
    <col min="4" max="4" width="9.21875" bestFit="1" customWidth="1"/>
    <col min="5" max="5" width="13.6640625" bestFit="1" customWidth="1"/>
  </cols>
  <sheetData>
    <row r="1" spans="1:5" s="1" customFormat="1">
      <c r="A1" s="1" t="s">
        <v>535</v>
      </c>
      <c r="B1" s="1" t="s">
        <v>95</v>
      </c>
      <c r="C1" s="1" t="s">
        <v>112</v>
      </c>
      <c r="D1" s="1" t="s">
        <v>96</v>
      </c>
      <c r="E1" s="1" t="s">
        <v>113</v>
      </c>
    </row>
    <row r="2" spans="1:5" s="1" customFormat="1">
      <c r="A2" s="1">
        <v>55</v>
      </c>
      <c r="B2" s="1">
        <v>55</v>
      </c>
      <c r="C2" s="1" cm="1">
        <f t="array" ref="C2">GetDomainId("Idx","Name")</f>
        <v>11</v>
      </c>
      <c r="D2" s="1">
        <v>55</v>
      </c>
      <c r="E2" s="1" cm="1">
        <f t="array" ref="E2">GetDomainId("Col","Name")</f>
        <v>11</v>
      </c>
    </row>
    <row r="3" spans="1:5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9125-E5FD-482D-9DA7-EABC78477EDC}">
  <sheetPr codeName="Planilha17"/>
  <dimension ref="A1:H3"/>
  <sheetViews>
    <sheetView tabSelected="1" workbookViewId="0">
      <pane ySplit="3" topLeftCell="A4" activePane="bottomLeft" state="frozen"/>
      <selection pane="bottomLeft" activeCell="C7" sqref="C7"/>
    </sheetView>
  </sheetViews>
  <sheetFormatPr defaultRowHeight="14.4"/>
  <cols>
    <col min="1" max="1" width="5.21875" bestFit="1" customWidth="1"/>
    <col min="2" max="2" width="12.44140625" bestFit="1" customWidth="1"/>
    <col min="3" max="3" width="14" bestFit="1" customWidth="1"/>
    <col min="4" max="4" width="16.88671875" bestFit="1" customWidth="1"/>
    <col min="5" max="5" width="13.6640625" bestFit="1" customWidth="1"/>
    <col min="6" max="6" width="14.88671875" bestFit="1" customWidth="1"/>
    <col min="7" max="7" width="18.109375" bestFit="1" customWidth="1"/>
    <col min="8" max="8" width="11.21875" bestFit="1" customWidth="1"/>
  </cols>
  <sheetData>
    <row r="1" spans="1:8" s="1" customFormat="1">
      <c r="A1" s="1" t="s">
        <v>535</v>
      </c>
      <c r="B1" s="1" t="s">
        <v>411</v>
      </c>
      <c r="C1" s="1" t="s">
        <v>509</v>
      </c>
      <c r="D1" s="1" t="s">
        <v>510</v>
      </c>
      <c r="E1" s="1" t="s">
        <v>412</v>
      </c>
      <c r="F1" s="1" t="s">
        <v>508</v>
      </c>
      <c r="G1" s="1" t="s">
        <v>511</v>
      </c>
      <c r="H1" s="1" t="s">
        <v>410</v>
      </c>
    </row>
    <row r="2" spans="1:8" s="1" customFormat="1">
      <c r="A2" s="1">
        <v>55</v>
      </c>
      <c r="B2" s="1">
        <v>55</v>
      </c>
      <c r="C2" s="1" cm="1">
        <f t="array" ref="C2">GetDomainId("Tbl","Alias")</f>
        <v>10</v>
      </c>
      <c r="D2" s="1" cm="1">
        <f t="array" ref="D2">GetDomainId("Col","Name")</f>
        <v>11</v>
      </c>
      <c r="E2" s="1">
        <v>55</v>
      </c>
      <c r="F2" s="1" cm="1">
        <f t="array" ref="F2">GetDomainId("Tbl","Alias")</f>
        <v>10</v>
      </c>
      <c r="G2" s="1" cm="1">
        <f t="array" ref="G2">GetDomainId("Col","Name")</f>
        <v>11</v>
      </c>
      <c r="H2" s="1">
        <v>5</v>
      </c>
    </row>
    <row r="3" spans="1:8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NVARCHAR(20)</v>
      </c>
      <c r="D3" s="1" t="str" cm="1">
        <f t="array" ref="D3">GetValue("Dmn","Name",D2)</f>
        <v>NVARCHAR(25)</v>
      </c>
      <c r="E3" s="1" t="str" cm="1">
        <f t="array" ref="E3">GetValue("Dmn","Name",E2)</f>
        <v>BigId</v>
      </c>
      <c r="F3" s="1" t="str" cm="1">
        <f t="array" ref="F3">GetValue("Dmn","Name",F2)</f>
        <v>NVARCHAR(20)</v>
      </c>
      <c r="G3" s="1" t="str" cm="1">
        <f t="array" ref="G3">GetValue("Dmn","Name",G2)</f>
        <v>NVARCHAR(25)</v>
      </c>
      <c r="H3" s="1" t="str" cm="1">
        <f t="array" ref="H3">GetValue("Dmn","Name",H2)</f>
        <v>Boolean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3744-0B29-4ACC-9885-AAAA2A13AF16}">
  <sheetPr codeName="Planilha19"/>
  <dimension ref="A1:E4"/>
  <sheetViews>
    <sheetView workbookViewId="0">
      <pane ySplit="3" topLeftCell="A4" activePane="bottomLeft" state="frozen"/>
      <selection pane="bottomLeft" activeCell="C2" sqref="C2"/>
    </sheetView>
  </sheetViews>
  <sheetFormatPr defaultRowHeight="14.4"/>
  <cols>
    <col min="1" max="1" width="5.21875" bestFit="1" customWidth="1"/>
    <col min="2" max="2" width="7.21875" bestFit="1" customWidth="1"/>
    <col min="3" max="3" width="14" bestFit="1" customWidth="1"/>
    <col min="4" max="4" width="14.21875" bestFit="1" customWidth="1"/>
    <col min="5" max="5" width="9.6640625" bestFit="1" customWidth="1"/>
  </cols>
  <sheetData>
    <row r="1" spans="1:5" s="6" customFormat="1">
      <c r="A1" s="1" t="s">
        <v>535</v>
      </c>
      <c r="B1" s="1" t="s">
        <v>92</v>
      </c>
      <c r="C1" s="1" t="s">
        <v>110</v>
      </c>
      <c r="D1" s="1" t="s">
        <v>0</v>
      </c>
      <c r="E1" s="1"/>
    </row>
    <row r="2" spans="1:5" s="1" customFormat="1">
      <c r="A2" s="1">
        <v>55</v>
      </c>
      <c r="B2" s="1">
        <v>55</v>
      </c>
      <c r="C2" s="1" cm="1">
        <f t="array" ref="C2">GetDomainId("Tbl","Name")</f>
        <v>11</v>
      </c>
      <c r="D2" s="1">
        <v>11</v>
      </c>
    </row>
    <row r="3" spans="1:5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NVARCHAR(25)</v>
      </c>
    </row>
    <row r="4" spans="1:5">
      <c r="A4">
        <f>ROW(A4)-3</f>
        <v>1</v>
      </c>
      <c r="B4">
        <v>1</v>
      </c>
      <c r="C4" t="str" cm="1">
        <f t="array" ref="C4">GetValue("Tbl","Name",B4)</f>
        <v>Categories</v>
      </c>
      <c r="D4" t="s">
        <v>523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0025-02ED-4A26-8190-DAA7A6FF1BCD}">
  <sheetPr codeName="Planilha24"/>
  <dimension ref="A1:N3"/>
  <sheetViews>
    <sheetView zoomScaleNormal="100" workbookViewId="0">
      <pane ySplit="3" topLeftCell="A4" activePane="bottomLeft" state="frozen"/>
      <selection pane="bottomLeft" activeCell="C8" sqref="C8"/>
    </sheetView>
  </sheetViews>
  <sheetFormatPr defaultColWidth="5.6640625" defaultRowHeight="14.4"/>
  <cols>
    <col min="1" max="1" width="5.21875" bestFit="1" customWidth="1"/>
    <col min="2" max="2" width="11.5546875" bestFit="1" customWidth="1"/>
    <col min="3" max="3" width="16" bestFit="1" customWidth="1"/>
    <col min="4" max="4" width="10.109375" bestFit="1" customWidth="1"/>
    <col min="5" max="5" width="16.109375" style="6" bestFit="1" customWidth="1"/>
    <col min="6" max="6" width="14.44140625" style="6" bestFit="1" customWidth="1"/>
    <col min="7" max="7" width="12.44140625" bestFit="1" customWidth="1"/>
    <col min="8" max="8" width="16.88671875" bestFit="1" customWidth="1"/>
    <col min="9" max="9" width="12.77734375" style="6" bestFit="1" customWidth="1"/>
    <col min="10" max="10" width="18.6640625" style="6" bestFit="1" customWidth="1"/>
    <col min="11" max="11" width="13.6640625" bestFit="1" customWidth="1"/>
    <col min="12" max="12" width="18.109375" bestFit="1" customWidth="1"/>
    <col min="13" max="13" width="10.88671875" bestFit="1" customWidth="1"/>
    <col min="14" max="14" width="15.5546875" style="6" bestFit="1" customWidth="1"/>
  </cols>
  <sheetData>
    <row r="1" spans="1:14" s="6" customFormat="1">
      <c r="A1" s="1" t="s">
        <v>535</v>
      </c>
      <c r="B1" s="1" t="s">
        <v>356</v>
      </c>
      <c r="C1" s="1" t="s">
        <v>369</v>
      </c>
      <c r="D1" s="1" t="s">
        <v>66</v>
      </c>
      <c r="E1" s="1" t="s">
        <v>346</v>
      </c>
      <c r="F1" s="1" t="s">
        <v>392</v>
      </c>
      <c r="G1" s="1" t="s">
        <v>411</v>
      </c>
      <c r="H1" s="1" t="s">
        <v>510</v>
      </c>
      <c r="I1" s="1" t="s">
        <v>429</v>
      </c>
      <c r="J1" s="1" t="s">
        <v>512</v>
      </c>
      <c r="K1" s="16" t="s">
        <v>412</v>
      </c>
      <c r="L1" s="1" t="s">
        <v>511</v>
      </c>
      <c r="M1" s="1" t="s">
        <v>524</v>
      </c>
      <c r="N1" s="1" t="s">
        <v>393</v>
      </c>
    </row>
    <row r="2" spans="1:14" s="1" customFormat="1">
      <c r="A2" s="1">
        <v>55</v>
      </c>
      <c r="B2" s="1">
        <v>55</v>
      </c>
      <c r="C2" s="1" cm="1">
        <f t="array" ref="C2">GetDomainId("Exp","Name")</f>
        <v>11</v>
      </c>
      <c r="D2" s="1">
        <v>59</v>
      </c>
      <c r="E2" s="1">
        <v>29</v>
      </c>
      <c r="F2" s="1">
        <v>30</v>
      </c>
      <c r="G2" s="1">
        <v>55</v>
      </c>
      <c r="H2" s="1" cm="1">
        <f t="array" ref="H2">GetDomainId("Col","Name")</f>
        <v>11</v>
      </c>
      <c r="I2" s="1">
        <v>58</v>
      </c>
      <c r="J2" s="1" cm="1">
        <f t="array" ref="J2">GetDomainId("Cmp","Symbol")</f>
        <v>15</v>
      </c>
      <c r="K2" s="1">
        <v>55</v>
      </c>
      <c r="L2" s="1" cm="1">
        <f t="array" ref="L2">GetDomainId("Col","Name")</f>
        <v>11</v>
      </c>
      <c r="M2" s="1">
        <v>24</v>
      </c>
      <c r="N2" s="1">
        <v>31</v>
      </c>
    </row>
    <row r="3" spans="1:14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SEQUENCE</v>
      </c>
      <c r="E3" s="1" t="str" cm="1">
        <f t="array" ref="E3">GetValue("Dmn","Name",E2)</f>
        <v>Logical Connector</v>
      </c>
      <c r="F3" s="1" t="str" cm="1">
        <f t="array" ref="F3">GetValue("Dmn","Name",F2)</f>
        <v>Left Parenthesis</v>
      </c>
      <c r="G3" s="1" t="str" cm="1">
        <f t="array" ref="G3">GetValue("Dmn","Name",G2)</f>
        <v>BigId</v>
      </c>
      <c r="H3" s="1" t="str" cm="1">
        <f t="array" ref="H3">GetValue("Dmn","Name",H2)</f>
        <v>NVARCHAR(25)</v>
      </c>
      <c r="I3" s="1" t="str" cm="1">
        <f t="array" ref="I3">GetValue("Dmn","Name",I2)</f>
        <v>TinyId</v>
      </c>
      <c r="J3" s="1" t="str" cm="1">
        <f t="array" ref="J3">GetValue("Dmn","Name",J2)</f>
        <v>NCHAR(1)</v>
      </c>
      <c r="K3" s="1" t="str" cm="1">
        <f t="array" ref="K3">GetValue("Dmn","Name",K2)</f>
        <v>BigId</v>
      </c>
      <c r="L3" s="1" t="str" cm="1">
        <f t="array" ref="L3">GetValue("Dmn","Name",L2)</f>
        <v>NVARCHAR(25)</v>
      </c>
      <c r="M3" s="1" t="str" cm="1">
        <f t="array" ref="M3">GetValue("Dmn","Name",M2)</f>
        <v>VARIANT</v>
      </c>
      <c r="N3" s="1" t="str" cm="1">
        <f t="array" ref="N3">GetValue("Dmn","Name",N2)</f>
        <v>Right Parenthesis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1177-E46C-4439-926C-B5C04B564130}">
  <sheetPr codeName="Planilha20"/>
  <dimension ref="A1:G15"/>
  <sheetViews>
    <sheetView workbookViewId="0">
      <pane ySplit="3" topLeftCell="A4" activePane="bottomLeft" state="frozen"/>
      <selection pane="bottomLeft" activeCell="E2" sqref="E2"/>
    </sheetView>
  </sheetViews>
  <sheetFormatPr defaultRowHeight="14.4"/>
  <cols>
    <col min="1" max="1" width="5.21875" bestFit="1" customWidth="1"/>
    <col min="2" max="2" width="9.109375" bestFit="1" customWidth="1"/>
    <col min="3" max="3" width="14" bestFit="1" customWidth="1"/>
    <col min="4" max="4" width="9.33203125" bestFit="1" customWidth="1"/>
    <col min="5" max="5" width="14" bestFit="1" customWidth="1"/>
    <col min="6" max="6" width="19.33203125" bestFit="1" customWidth="1"/>
    <col min="7" max="7" width="15" bestFit="1" customWidth="1"/>
  </cols>
  <sheetData>
    <row r="1" spans="1:7" s="1" customFormat="1">
      <c r="A1" s="1" t="s">
        <v>535</v>
      </c>
      <c r="B1" s="1" t="s">
        <v>541</v>
      </c>
      <c r="C1" s="1" t="s">
        <v>542</v>
      </c>
      <c r="D1" s="1" t="s">
        <v>543</v>
      </c>
      <c r="E1" s="1" t="s">
        <v>544</v>
      </c>
      <c r="F1" s="1" t="s">
        <v>0</v>
      </c>
      <c r="G1" s="1" t="s">
        <v>545</v>
      </c>
    </row>
    <row r="2" spans="1:7" s="1" customFormat="1">
      <c r="A2" s="1">
        <v>55</v>
      </c>
      <c r="B2" s="1">
        <v>55</v>
      </c>
      <c r="C2" s="1" cm="1">
        <f t="array" ref="C2">GetDomainId("Tbl","Name")</f>
        <v>11</v>
      </c>
      <c r="D2" s="1">
        <v>55</v>
      </c>
      <c r="E2" s="1" cm="1">
        <f t="array" ref="E2">GetDomainId("Tbl","Name")</f>
        <v>11</v>
      </c>
      <c r="F2" s="1">
        <v>12</v>
      </c>
      <c r="G2" s="1">
        <v>5</v>
      </c>
    </row>
    <row r="3" spans="1:7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NVARCHAR(50)</v>
      </c>
      <c r="G3" s="1" t="str" cm="1">
        <f t="array" ref="G3">GetValue("Dmn","Name",G2)</f>
        <v>Boolean</v>
      </c>
    </row>
    <row r="4" spans="1:7">
      <c r="A4">
        <f>ROW(A4)-3</f>
        <v>1</v>
      </c>
      <c r="B4">
        <v>3</v>
      </c>
      <c r="C4" t="str" cm="1">
        <f t="array" ref="C4">GetValue("Tbl","Name",B4)</f>
        <v>Rules</v>
      </c>
      <c r="D4">
        <v>1</v>
      </c>
      <c r="E4" t="str" cm="1">
        <f t="array" ref="E4">GetValue("Tbl","Name",D4)</f>
        <v>Categories</v>
      </c>
      <c r="F4" t="str">
        <f>_xlfn.CONCAT(C4," x ",E4)</f>
        <v>Rules x Categories</v>
      </c>
      <c r="G4" t="b">
        <v>0</v>
      </c>
    </row>
    <row r="5" spans="1:7">
      <c r="A5">
        <f t="shared" ref="A5:A15" si="0">ROW(A5)-3</f>
        <v>2</v>
      </c>
      <c r="B5">
        <v>3</v>
      </c>
      <c r="C5" t="str" cm="1">
        <f t="array" ref="C5">GetValue("Tbl","Name",B5)</f>
        <v>Rules</v>
      </c>
      <c r="D5">
        <v>2</v>
      </c>
      <c r="E5" t="str" cm="1">
        <f t="array" ref="E5">GetValue("Tbl","Name",D5)</f>
        <v>Comparators</v>
      </c>
      <c r="F5" t="str">
        <f t="shared" ref="F5:F15" si="1">_xlfn.CONCAT(C5," x ",E5)</f>
        <v>Rules x Comparators</v>
      </c>
      <c r="G5" t="b">
        <v>0</v>
      </c>
    </row>
    <row r="6" spans="1:7">
      <c r="A6">
        <f t="shared" si="0"/>
        <v>3</v>
      </c>
      <c r="B6">
        <v>5</v>
      </c>
      <c r="C6" t="str" cm="1">
        <f t="array" ref="C6">GetValue("Tbl","Name",B6)</f>
        <v>Types</v>
      </c>
      <c r="D6">
        <v>1</v>
      </c>
      <c r="E6" t="str" cm="1">
        <f t="array" ref="E6">GetValue("Tbl","Name",D6)</f>
        <v>Categories</v>
      </c>
      <c r="F6" t="str">
        <f t="shared" si="1"/>
        <v>Types x Categories</v>
      </c>
      <c r="G6" t="b">
        <v>0</v>
      </c>
    </row>
    <row r="7" spans="1:7">
      <c r="A7">
        <f t="shared" si="0"/>
        <v>4</v>
      </c>
      <c r="B7">
        <v>6</v>
      </c>
      <c r="C7" t="str" cm="1">
        <f t="array" ref="C7">GetValue("Tbl","Name",B7)</f>
        <v>Mappings</v>
      </c>
      <c r="D7">
        <v>4</v>
      </c>
      <c r="E7" t="str" cm="1">
        <f t="array" ref="E7">GetValue("Tbl","Name",D7)</f>
        <v>Engines</v>
      </c>
      <c r="F7" t="str">
        <f t="shared" si="1"/>
        <v>Mappings x Engines</v>
      </c>
      <c r="G7" t="b">
        <v>0</v>
      </c>
    </row>
    <row r="8" spans="1:7">
      <c r="A8">
        <f t="shared" si="0"/>
        <v>5</v>
      </c>
      <c r="B8">
        <v>6</v>
      </c>
      <c r="C8" t="str" cm="1">
        <f t="array" ref="C8">GetValue("Tbl","Name",B8)</f>
        <v>Mappings</v>
      </c>
      <c r="D8">
        <v>5</v>
      </c>
      <c r="E8" t="str" cm="1">
        <f t="array" ref="E8">GetValue("Tbl","Name",D8)</f>
        <v>Types</v>
      </c>
      <c r="F8" t="str">
        <f t="shared" si="1"/>
        <v>Mappings x Types</v>
      </c>
      <c r="G8" t="b">
        <v>1</v>
      </c>
    </row>
    <row r="9" spans="1:7">
      <c r="A9">
        <f t="shared" si="0"/>
        <v>6</v>
      </c>
      <c r="B9">
        <v>7</v>
      </c>
      <c r="C9" t="str" cm="1">
        <f t="array" ref="C9">GetValue("Tbl","Name",B9)</f>
        <v>Owners</v>
      </c>
      <c r="D9">
        <v>4</v>
      </c>
      <c r="E9" t="str" cm="1">
        <f t="array" ref="E9">GetValue("Tbl","Name",D9)</f>
        <v>Engines</v>
      </c>
      <c r="F9" t="str">
        <f t="shared" si="1"/>
        <v>Owners x Engines</v>
      </c>
      <c r="G9" t="b">
        <v>1</v>
      </c>
    </row>
    <row r="10" spans="1:7">
      <c r="A10">
        <f t="shared" si="0"/>
        <v>7</v>
      </c>
      <c r="B10">
        <v>8</v>
      </c>
      <c r="C10" t="str" cm="1">
        <f t="array" ref="C10">GetValue("Tbl","Name",B10)</f>
        <v>Domains</v>
      </c>
      <c r="D10">
        <v>7</v>
      </c>
      <c r="E10" t="str" cm="1">
        <f t="array" ref="E10">GetValue("Tbl","Name",D10)</f>
        <v>Owners</v>
      </c>
      <c r="F10" t="str">
        <f t="shared" si="1"/>
        <v>Domains x Owners</v>
      </c>
      <c r="G10" t="b">
        <v>0</v>
      </c>
    </row>
    <row r="11" spans="1:7">
      <c r="A11">
        <f t="shared" si="0"/>
        <v>8</v>
      </c>
      <c r="B11">
        <v>8</v>
      </c>
      <c r="C11" t="str" cm="1">
        <f t="array" ref="C11">GetValue("Tbl","Name",B11)</f>
        <v>Domains</v>
      </c>
      <c r="D11">
        <v>5</v>
      </c>
      <c r="E11" t="str" cm="1">
        <f t="array" ref="E11">GetValue("Tbl","Name",D11)</f>
        <v>Types</v>
      </c>
      <c r="F11" t="str">
        <f t="shared" si="1"/>
        <v>Domains x Types</v>
      </c>
      <c r="G11" t="b">
        <v>0</v>
      </c>
    </row>
    <row r="12" spans="1:7">
      <c r="A12">
        <f t="shared" si="0"/>
        <v>9</v>
      </c>
      <c r="B12">
        <v>9</v>
      </c>
      <c r="C12" t="str" cm="1">
        <f t="array" ref="C12">GetValue("Tbl","Name",B12)</f>
        <v>Masks</v>
      </c>
      <c r="D12">
        <v>7</v>
      </c>
      <c r="E12" t="str" cm="1">
        <f t="array" ref="E12">GetValue("Tbl","Name",D12)</f>
        <v>Owners</v>
      </c>
      <c r="F12" t="str">
        <f t="shared" si="1"/>
        <v>Masks x Owners</v>
      </c>
      <c r="G12" t="b">
        <v>1</v>
      </c>
    </row>
    <row r="13" spans="1:7">
      <c r="A13">
        <f t="shared" si="0"/>
        <v>10</v>
      </c>
      <c r="B13">
        <v>10</v>
      </c>
      <c r="C13" t="str" cm="1">
        <f t="array" ref="C13">GetValue("Tbl","Name",B13)</f>
        <v>Maskings</v>
      </c>
      <c r="D13">
        <v>8</v>
      </c>
      <c r="E13" t="str" cm="1">
        <f t="array" ref="E13">GetValue("Tbl","Name",D13)</f>
        <v>Domains</v>
      </c>
      <c r="F13" t="str">
        <f t="shared" si="1"/>
        <v>Maskings x Domains</v>
      </c>
      <c r="G13" t="b">
        <v>0</v>
      </c>
    </row>
    <row r="14" spans="1:7">
      <c r="A14">
        <f t="shared" si="0"/>
        <v>11</v>
      </c>
      <c r="B14">
        <v>10</v>
      </c>
      <c r="C14" t="str" cm="1">
        <f t="array" ref="C14">GetValue("Tbl","Name",B14)</f>
        <v>Maskings</v>
      </c>
      <c r="D14">
        <v>9</v>
      </c>
      <c r="E14" t="str" cm="1">
        <f t="array" ref="E14">GetValue("Tbl","Name",D14)</f>
        <v>Masks</v>
      </c>
      <c r="F14" t="str">
        <f t="shared" si="1"/>
        <v>Maskings x Masks</v>
      </c>
      <c r="G14" t="b">
        <v>1</v>
      </c>
    </row>
    <row r="15" spans="1:7">
      <c r="A15">
        <f t="shared" si="0"/>
        <v>12</v>
      </c>
      <c r="B15">
        <v>11</v>
      </c>
      <c r="C15" t="str" cm="1">
        <f t="array" ref="C15">GetValue("Tbl","Name",B15)</f>
        <v>Connections</v>
      </c>
      <c r="D15">
        <v>7</v>
      </c>
      <c r="E15" t="str" cm="1">
        <f t="array" ref="E15">GetValue("Tbl","Name",D15)</f>
        <v>Owners</v>
      </c>
      <c r="F15" t="str">
        <f t="shared" si="1"/>
        <v>Connections x Owners</v>
      </c>
      <c r="G15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E7C3-D625-4A29-B69E-B06E132526A4}">
  <sheetPr codeName="Planilha30"/>
  <dimension ref="A1:F15"/>
  <sheetViews>
    <sheetView workbookViewId="0">
      <pane ySplit="3" topLeftCell="A4" activePane="bottomLeft" state="frozen"/>
      <selection pane="bottomLeft" sqref="A1:XFD1048576"/>
    </sheetView>
  </sheetViews>
  <sheetFormatPr defaultRowHeight="14.4"/>
  <cols>
    <col min="1" max="1" width="5.21875" bestFit="1" customWidth="1"/>
    <col min="2" max="2" width="11.109375" bestFit="1" customWidth="1"/>
    <col min="3" max="3" width="19.33203125" bestFit="1" customWidth="1"/>
    <col min="4" max="4" width="11.109375" bestFit="1" customWidth="1"/>
    <col min="5" max="5" width="23.88671875" bestFit="1" customWidth="1"/>
    <col min="6" max="6" width="10.109375" bestFit="1" customWidth="1"/>
  </cols>
  <sheetData>
    <row r="1" spans="1:6">
      <c r="A1" s="1" t="s">
        <v>535</v>
      </c>
      <c r="B1" s="1" t="s">
        <v>546</v>
      </c>
      <c r="C1" s="1" t="s">
        <v>547</v>
      </c>
      <c r="D1" s="1" t="s">
        <v>548</v>
      </c>
      <c r="E1" s="1" t="s">
        <v>549</v>
      </c>
      <c r="F1" s="1" t="s">
        <v>66</v>
      </c>
    </row>
    <row r="2" spans="1:6" s="1" customFormat="1">
      <c r="A2" s="1">
        <v>55</v>
      </c>
      <c r="B2" s="1">
        <v>55</v>
      </c>
      <c r="C2" s="1" cm="1">
        <f t="array" ref="C2">GetDomainId("Ref","Name")</f>
        <v>12</v>
      </c>
      <c r="D2" s="1">
        <v>55</v>
      </c>
      <c r="E2" s="1" cm="1">
        <f t="array" ref="E2">GetDomainId("Col","Name")</f>
        <v>11</v>
      </c>
      <c r="F2" s="1">
        <v>59</v>
      </c>
    </row>
    <row r="3" spans="1:6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NVARCHAR(50)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SEQUENCE</v>
      </c>
    </row>
    <row r="4" spans="1:6">
      <c r="A4">
        <f>ROW(A4)-3</f>
        <v>1</v>
      </c>
      <c r="B4">
        <v>1</v>
      </c>
      <c r="C4" t="str" cm="1">
        <f t="array" ref="C4">GetValue("Ref","Name",B4)</f>
        <v>Rules x Categories</v>
      </c>
      <c r="D4">
        <v>18</v>
      </c>
      <c r="E4" t="str" cm="1">
        <f t="array" ref="E4">GetValue("Col","Name",D4)</f>
        <v>IsRelational</v>
      </c>
      <c r="F4">
        <v>5</v>
      </c>
    </row>
    <row r="5" spans="1:6">
      <c r="A5">
        <f t="shared" ref="A5:A15" si="0">ROW(A5)-3</f>
        <v>2</v>
      </c>
      <c r="B5">
        <v>2</v>
      </c>
      <c r="C5" t="str" cm="1">
        <f t="array" ref="C5">GetValue("Ref","Name",B5)</f>
        <v>Rules x Comparators</v>
      </c>
      <c r="D5">
        <v>19</v>
      </c>
      <c r="E5" t="str" cm="1">
        <f t="array" ref="E5">GetValue("Col","Name",D5)</f>
        <v>Id</v>
      </c>
      <c r="F5">
        <v>5</v>
      </c>
    </row>
    <row r="6" spans="1:6">
      <c r="A6">
        <f t="shared" si="0"/>
        <v>3</v>
      </c>
      <c r="B6">
        <v>3</v>
      </c>
      <c r="C6" t="str" cm="1">
        <f t="array" ref="C6">GetValue("Ref","Name",B6)</f>
        <v>Types x Categories</v>
      </c>
      <c r="D6">
        <v>28</v>
      </c>
      <c r="E6" t="str" cm="1">
        <f t="array" ref="E6">GetValue("Col","Name",D6)</f>
        <v>IsActive</v>
      </c>
      <c r="F6">
        <v>5</v>
      </c>
    </row>
    <row r="7" spans="1:6">
      <c r="A7">
        <f t="shared" si="0"/>
        <v>4</v>
      </c>
      <c r="B7">
        <v>4</v>
      </c>
      <c r="C7" t="str" cm="1">
        <f t="array" ref="C7">GetValue("Ref","Name",B7)</f>
        <v>Mappings x Engines</v>
      </c>
      <c r="D7">
        <v>40</v>
      </c>
      <c r="E7" t="str" cm="1">
        <f t="array" ref="E7">GetValue("Col","Name",D7)</f>
        <v>Id</v>
      </c>
      <c r="F7">
        <v>5</v>
      </c>
    </row>
    <row r="8" spans="1:6">
      <c r="A8">
        <f t="shared" si="0"/>
        <v>5</v>
      </c>
      <c r="B8">
        <v>5</v>
      </c>
      <c r="C8" t="str" cm="1">
        <f t="array" ref="C8">GetValue("Ref","Name",B8)</f>
        <v>Mappings x Types</v>
      </c>
      <c r="D8">
        <v>41</v>
      </c>
      <c r="E8" t="str" cm="1">
        <f t="array" ref="E8">GetValue("Col","Name",D8)</f>
        <v>EngineId</v>
      </c>
      <c r="F8">
        <v>5</v>
      </c>
    </row>
    <row r="9" spans="1:6">
      <c r="A9">
        <f t="shared" si="0"/>
        <v>6</v>
      </c>
      <c r="B9">
        <v>6</v>
      </c>
      <c r="C9" t="str" cm="1">
        <f t="array" ref="C9">GetValue("Ref","Name",B9)</f>
        <v>Owners x Engines</v>
      </c>
      <c r="D9">
        <v>48</v>
      </c>
      <c r="E9" t="str" cm="1">
        <f t="array" ref="E9">GetValue("Col","Name",D9)</f>
        <v>EngineId</v>
      </c>
      <c r="F9">
        <v>5</v>
      </c>
    </row>
    <row r="10" spans="1:6">
      <c r="A10">
        <f t="shared" si="0"/>
        <v>7</v>
      </c>
      <c r="B10">
        <v>7</v>
      </c>
      <c r="C10" t="str" cm="1">
        <f t="array" ref="C10">GetValue("Ref","Name",B10)</f>
        <v>Domains x Owners</v>
      </c>
      <c r="D10">
        <v>52</v>
      </c>
      <c r="E10" t="str" cm="1">
        <f t="array" ref="E10">GetValue("Col","Name",D10)</f>
        <v>IsActive</v>
      </c>
      <c r="F10">
        <v>5</v>
      </c>
    </row>
    <row r="11" spans="1:6">
      <c r="A11">
        <f t="shared" si="0"/>
        <v>8</v>
      </c>
      <c r="B11">
        <v>8</v>
      </c>
      <c r="C11" t="str" cm="1">
        <f t="array" ref="C11">GetValue("Ref","Name",B11)</f>
        <v>Domains x Types</v>
      </c>
      <c r="D11">
        <v>53</v>
      </c>
      <c r="E11" t="str" cm="1">
        <f t="array" ref="E11">GetValue("Col","Name",D11)</f>
        <v>Id</v>
      </c>
      <c r="F11">
        <v>5</v>
      </c>
    </row>
    <row r="12" spans="1:6">
      <c r="A12">
        <f t="shared" si="0"/>
        <v>9</v>
      </c>
      <c r="B12">
        <v>9</v>
      </c>
      <c r="C12" t="str" cm="1">
        <f t="array" ref="C12">GetValue("Ref","Name",B12)</f>
        <v>Masks x Owners</v>
      </c>
      <c r="D12">
        <v>64</v>
      </c>
      <c r="E12" t="str" cm="1">
        <f t="array" ref="E12">GetValue("Col","Name",D12)</f>
        <v>ListValues</v>
      </c>
      <c r="F12">
        <v>5</v>
      </c>
    </row>
    <row r="13" spans="1:6">
      <c r="A13">
        <f t="shared" si="0"/>
        <v>10</v>
      </c>
      <c r="B13">
        <v>10</v>
      </c>
      <c r="C13" t="str" cm="1">
        <f t="array" ref="C13">GetValue("Ref","Name",B13)</f>
        <v>Maskings x Domains</v>
      </c>
      <c r="D13">
        <v>69</v>
      </c>
      <c r="E13" t="str" cm="1">
        <f t="array" ref="E13">GetValue("Col","Name",D13)</f>
        <v>Modificators</v>
      </c>
      <c r="F13">
        <v>5</v>
      </c>
    </row>
    <row r="14" spans="1:6">
      <c r="A14">
        <f t="shared" si="0"/>
        <v>11</v>
      </c>
      <c r="B14">
        <v>11</v>
      </c>
      <c r="C14" t="str" cm="1">
        <f t="array" ref="C14">GetValue("Ref","Name",B14)</f>
        <v>Maskings x Masks</v>
      </c>
      <c r="D14">
        <v>70</v>
      </c>
      <c r="E14" t="str" cm="1">
        <f t="array" ref="E14">GetValue("Col","Name",D14)</f>
        <v>Id</v>
      </c>
      <c r="F14">
        <v>5</v>
      </c>
    </row>
    <row r="15" spans="1:6">
      <c r="A15">
        <f t="shared" si="0"/>
        <v>12</v>
      </c>
      <c r="B15">
        <v>12</v>
      </c>
      <c r="C15" t="str" cm="1">
        <f t="array" ref="C15">GetValue("Ref","Name",B15)</f>
        <v>Connections x Owners</v>
      </c>
      <c r="D15">
        <v>75</v>
      </c>
      <c r="E15" t="str" cm="1">
        <f t="array" ref="E15">GetValue("Col","Name",D15)</f>
        <v>CheckDigitGreaterThanNine</v>
      </c>
      <c r="F15">
        <v>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753F-83C4-4E22-880E-41D9E274C865}">
  <sheetPr codeName="Planilha7"/>
  <dimension ref="A1:J5"/>
  <sheetViews>
    <sheetView workbookViewId="0">
      <pane ySplit="3" topLeftCell="A4" activePane="bottomLeft" state="frozen"/>
      <selection pane="bottomLeft" activeCell="C2" sqref="C2"/>
    </sheetView>
  </sheetViews>
  <sheetFormatPr defaultColWidth="8.33203125" defaultRowHeight="14.4"/>
  <cols>
    <col min="1" max="1" width="5.21875" bestFit="1" customWidth="1"/>
    <col min="2" max="2" width="8.88671875" bestFit="1" customWidth="1"/>
    <col min="3" max="4" width="14" bestFit="1" customWidth="1"/>
    <col min="5" max="5" width="15" bestFit="1" customWidth="1"/>
    <col min="6" max="6" width="10.77734375" bestFit="1" customWidth="1"/>
    <col min="7" max="7" width="18.5546875" bestFit="1" customWidth="1"/>
    <col min="8" max="8" width="18.6640625" bestFit="1" customWidth="1"/>
    <col min="9" max="9" width="18.21875" bestFit="1" customWidth="1"/>
    <col min="10" max="10" width="11.77734375" bestFit="1" customWidth="1"/>
  </cols>
  <sheetData>
    <row r="1" spans="1:10" s="1" customFormat="1">
      <c r="A1" s="1" t="s">
        <v>535</v>
      </c>
      <c r="B1" s="1" t="s">
        <v>568</v>
      </c>
      <c r="C1" s="1" t="s">
        <v>567</v>
      </c>
      <c r="D1" s="1" t="s">
        <v>0</v>
      </c>
      <c r="E1" s="1" t="s">
        <v>76</v>
      </c>
      <c r="F1" s="1" t="s">
        <v>77</v>
      </c>
      <c r="G1" s="1" t="s">
        <v>663</v>
      </c>
      <c r="H1" s="1" t="s">
        <v>664</v>
      </c>
      <c r="I1" s="1" t="s">
        <v>665</v>
      </c>
      <c r="J1" s="1" t="s">
        <v>23</v>
      </c>
    </row>
    <row r="2" spans="1:10" s="1" customFormat="1">
      <c r="A2" s="1">
        <v>55</v>
      </c>
      <c r="B2" s="1">
        <v>57</v>
      </c>
      <c r="C2" s="1" cm="1">
        <f t="array" ref="C2">GetDomainId("Own","Name")</f>
        <v>11</v>
      </c>
      <c r="D2" s="1">
        <v>11</v>
      </c>
      <c r="E2" s="1">
        <v>13</v>
      </c>
      <c r="F2" s="1">
        <v>4</v>
      </c>
      <c r="G2" s="1">
        <v>5</v>
      </c>
      <c r="H2" s="1">
        <v>5</v>
      </c>
      <c r="I2" s="1">
        <v>5</v>
      </c>
      <c r="J2" s="1">
        <v>5</v>
      </c>
    </row>
    <row r="3" spans="1:10">
      <c r="A3" s="1" t="str" cm="1">
        <f t="array" ref="A3">GetValue("Dmn","Name",A2)</f>
        <v>BigId</v>
      </c>
      <c r="B3" s="1" t="str" cm="1">
        <f t="array" ref="B3">GetValue("Dmn","Name",B2)</f>
        <v>SmallId</v>
      </c>
      <c r="C3" s="1" t="str" cm="1">
        <f t="array" ref="C3">GetValue("Dmn","Name",C2)</f>
        <v>NVARCHAR(25)</v>
      </c>
      <c r="D3" s="1" t="str" cm="1">
        <f t="array" ref="D3">GetValue("Dmn","Name",D2)</f>
        <v>NVARCHAR(25)</v>
      </c>
      <c r="E3" s="1" t="str" cm="1">
        <f t="array" ref="E3">GetValue("Dmn","Name",E2)</f>
        <v>NVARCHAR(256)</v>
      </c>
      <c r="F3" s="1" t="str" cm="1">
        <f t="array" ref="F3">GetValue("Dmn","Name",F2)</f>
        <v>TinyInteger</v>
      </c>
      <c r="G3" s="1" t="str" cm="1">
        <f t="array" ref="G3">GetValue("Dmn","Name",G2)</f>
        <v>Boolean</v>
      </c>
      <c r="H3" s="1" t="str" cm="1">
        <f t="array" ref="H3">GetValue("Dmn","Name",H2)</f>
        <v>Boolean</v>
      </c>
      <c r="I3" s="1" t="str" cm="1">
        <f t="array" ref="I3">GetValue("Dmn","Name",I2)</f>
        <v>Boolean</v>
      </c>
      <c r="J3" s="1" t="str" cm="1">
        <f t="array" ref="J3">GetValue("Dmn","Name",J2)</f>
        <v>Boolean</v>
      </c>
    </row>
    <row r="4" spans="1:10">
      <c r="A4">
        <f>ROW(A4)-3</f>
        <v>1</v>
      </c>
      <c r="B4">
        <v>1</v>
      </c>
      <c r="C4" t="str" cm="1">
        <f t="array" ref="C4">GetValue("Own","Name",B4)</f>
        <v>SoftLab</v>
      </c>
      <c r="D4" t="s">
        <v>100</v>
      </c>
      <c r="E4" t="s">
        <v>100</v>
      </c>
      <c r="F4">
        <v>0</v>
      </c>
      <c r="G4" t="b">
        <v>1</v>
      </c>
      <c r="H4" t="b">
        <v>0</v>
      </c>
      <c r="I4" t="b">
        <v>0</v>
      </c>
      <c r="J4" t="b">
        <v>1</v>
      </c>
    </row>
    <row r="5" spans="1:10">
      <c r="A5">
        <f>ROW(A5)-3</f>
        <v>2</v>
      </c>
      <c r="B5">
        <v>1</v>
      </c>
      <c r="C5" t="str" cm="1">
        <f t="array" ref="C5">GetValue("Own","Name",B5)</f>
        <v>SoftLab</v>
      </c>
      <c r="D5" t="s">
        <v>102</v>
      </c>
      <c r="E5" t="s">
        <v>78</v>
      </c>
      <c r="F5">
        <v>0</v>
      </c>
      <c r="G5" t="b">
        <v>1</v>
      </c>
      <c r="H5" t="b">
        <v>0</v>
      </c>
      <c r="I5" t="b">
        <v>0</v>
      </c>
      <c r="J5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6E4B-5250-4E12-B481-887C2F2A0B73}">
  <sheetPr codeName="Planilha21"/>
  <dimension ref="A1:K57"/>
  <sheetViews>
    <sheetView zoomScaleNormal="100" workbookViewId="0">
      <pane ySplit="3" topLeftCell="A4" activePane="bottomLeft" state="frozen"/>
      <selection pane="bottomLeft" activeCell="E5" sqref="E5"/>
    </sheetView>
  </sheetViews>
  <sheetFormatPr defaultColWidth="8.6640625" defaultRowHeight="14.4"/>
  <cols>
    <col min="1" max="1" width="5.21875" bestFit="1" customWidth="1"/>
    <col min="2" max="2" width="8.77734375" bestFit="1" customWidth="1"/>
    <col min="3" max="3" width="14" bestFit="1" customWidth="1"/>
    <col min="4" max="4" width="6.44140625" bestFit="1" customWidth="1"/>
    <col min="5" max="5" width="14" bestFit="1" customWidth="1"/>
    <col min="6" max="6" width="7.21875" bestFit="1" customWidth="1"/>
    <col min="7" max="7" width="14" bestFit="1" customWidth="1"/>
    <col min="8" max="11" width="11.77734375" bestFit="1" customWidth="1"/>
  </cols>
  <sheetData>
    <row r="1" spans="1:11" s="1" customFormat="1">
      <c r="A1" s="1" t="s">
        <v>535</v>
      </c>
      <c r="B1" s="1" t="s">
        <v>65</v>
      </c>
      <c r="C1" s="1" t="s">
        <v>108</v>
      </c>
      <c r="D1" s="1" t="s">
        <v>79</v>
      </c>
      <c r="E1" s="1" t="s">
        <v>107</v>
      </c>
      <c r="F1" s="1" t="s">
        <v>92</v>
      </c>
      <c r="G1" s="1" t="s">
        <v>110</v>
      </c>
      <c r="H1" s="1" t="s">
        <v>340</v>
      </c>
      <c r="I1" s="1" t="s">
        <v>341</v>
      </c>
      <c r="J1" s="1" t="s">
        <v>342</v>
      </c>
      <c r="K1" s="1" t="s">
        <v>343</v>
      </c>
    </row>
    <row r="2" spans="1:11" s="1" customFormat="1">
      <c r="A2" s="1">
        <v>55</v>
      </c>
      <c r="B2" s="1">
        <v>55</v>
      </c>
      <c r="C2" s="1" cm="1">
        <f t="array" ref="C2">GetDomainId("Sys","Name")</f>
        <v>11</v>
      </c>
      <c r="D2" s="1">
        <v>55</v>
      </c>
      <c r="E2" s="1" cm="1">
        <f t="array" ref="E2">GetDomainId("Usr","Name")</f>
        <v>11</v>
      </c>
      <c r="F2" s="1">
        <v>55</v>
      </c>
      <c r="G2" s="1" cm="1">
        <f t="array" ref="G2">GetDomainId("Tbl","Name")</f>
        <v>11</v>
      </c>
      <c r="H2" s="1">
        <v>5</v>
      </c>
      <c r="I2" s="1">
        <v>5</v>
      </c>
      <c r="J2" s="1">
        <v>5</v>
      </c>
      <c r="K2" s="1">
        <v>5</v>
      </c>
    </row>
    <row r="3" spans="1:11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BigId</v>
      </c>
      <c r="G3" s="1" t="str" cm="1">
        <f t="array" ref="G3">GetValue("Dmn","Name",G2)</f>
        <v>NVARCHAR(25)</v>
      </c>
      <c r="H3" s="1" t="str" cm="1">
        <f t="array" ref="H3">GetValue("Dmn","Name",H2)</f>
        <v>Boolean</v>
      </c>
      <c r="I3" s="1" t="str" cm="1">
        <f t="array" ref="I3">GetValue("Dmn","Name",I2)</f>
        <v>Boolean</v>
      </c>
      <c r="J3" s="1" t="str" cm="1">
        <f t="array" ref="J3">GetValue("Dmn","Name",J2)</f>
        <v>Boolean</v>
      </c>
      <c r="K3" s="1" t="str" cm="1">
        <f t="array" ref="K3">GetValue("Dmn","Name",K2)</f>
        <v>Boolean</v>
      </c>
    </row>
    <row r="4" spans="1:11">
      <c r="A4">
        <f>ROW(A4)-3</f>
        <v>1</v>
      </c>
      <c r="B4">
        <v>1</v>
      </c>
      <c r="C4" t="str" cm="1">
        <f t="array" ref="C4">GetValue("Sys","Name",B4)</f>
        <v>crudex</v>
      </c>
      <c r="D4">
        <v>1</v>
      </c>
      <c r="E4" t="str" cm="1">
        <f t="array" ref="E4">GetValue("Usr","Name",D4)</f>
        <v>adm</v>
      </c>
      <c r="F4">
        <v>1</v>
      </c>
      <c r="G4" t="str" cm="1">
        <f t="array" ref="G4">GetValue("Tbl","Name",F4)</f>
        <v>Categories</v>
      </c>
      <c r="H4" t="b">
        <v>1</v>
      </c>
      <c r="I4" t="b">
        <v>1</v>
      </c>
      <c r="J4" t="b">
        <v>1</v>
      </c>
      <c r="K4" t="b">
        <v>1</v>
      </c>
    </row>
    <row r="5" spans="1:11">
      <c r="A5">
        <f t="shared" ref="A5:A57" si="0">ROW(A5)-3</f>
        <v>2</v>
      </c>
      <c r="B5">
        <v>1</v>
      </c>
      <c r="C5" t="str" cm="1">
        <f t="array" ref="C5">GetValue("Sys","Name",B5)</f>
        <v>crudex</v>
      </c>
      <c r="D5">
        <v>1</v>
      </c>
      <c r="E5" t="str" cm="1">
        <f t="array" ref="E5">GetValue("Usr","Name",D5)</f>
        <v>adm</v>
      </c>
      <c r="F5">
        <v>2</v>
      </c>
      <c r="G5" t="str" cm="1">
        <f t="array" ref="G5">GetValue("Tbl","Name",F5)</f>
        <v>Comparators</v>
      </c>
      <c r="H5" t="b">
        <v>1</v>
      </c>
      <c r="I5" t="b">
        <v>1</v>
      </c>
      <c r="J5" t="b">
        <v>1</v>
      </c>
      <c r="K5" t="b">
        <v>1</v>
      </c>
    </row>
    <row r="6" spans="1:11">
      <c r="A6">
        <f t="shared" si="0"/>
        <v>3</v>
      </c>
      <c r="B6">
        <v>1</v>
      </c>
      <c r="C6" t="str" cm="1">
        <f t="array" ref="C6">GetValue("Sys","Name",B6)</f>
        <v>crudex</v>
      </c>
      <c r="D6">
        <v>1</v>
      </c>
      <c r="E6" t="str" cm="1">
        <f t="array" ref="E6">GetValue("Usr","Name",D6)</f>
        <v>adm</v>
      </c>
      <c r="F6">
        <v>3</v>
      </c>
      <c r="G6" t="str" cm="1">
        <f t="array" ref="G6">GetValue("Tbl","Name",F6)</f>
        <v>Rules</v>
      </c>
      <c r="H6" t="b">
        <v>1</v>
      </c>
      <c r="I6" t="b">
        <v>1</v>
      </c>
      <c r="J6" t="b">
        <v>1</v>
      </c>
      <c r="K6" t="b">
        <v>1</v>
      </c>
    </row>
    <row r="7" spans="1:11">
      <c r="A7">
        <f t="shared" si="0"/>
        <v>4</v>
      </c>
      <c r="B7">
        <v>1</v>
      </c>
      <c r="C7" t="str" cm="1">
        <f t="array" ref="C7">GetValue("Sys","Name",B7)</f>
        <v>crudex</v>
      </c>
      <c r="D7">
        <v>1</v>
      </c>
      <c r="E7" t="str" cm="1">
        <f t="array" ref="E7">GetValue("Usr","Name",D7)</f>
        <v>adm</v>
      </c>
      <c r="F7">
        <v>4</v>
      </c>
      <c r="G7" t="str" cm="1">
        <f t="array" ref="G7">GetValue("Tbl","Name",F7)</f>
        <v>Engines</v>
      </c>
      <c r="H7" t="b">
        <v>1</v>
      </c>
      <c r="I7" t="b">
        <v>1</v>
      </c>
      <c r="J7" t="b">
        <v>1</v>
      </c>
      <c r="K7" t="b">
        <v>1</v>
      </c>
    </row>
    <row r="8" spans="1:11">
      <c r="A8">
        <f t="shared" si="0"/>
        <v>5</v>
      </c>
      <c r="B8">
        <v>1</v>
      </c>
      <c r="C8" t="str" cm="1">
        <f t="array" ref="C8">GetValue("Sys","Name",B8)</f>
        <v>crudex</v>
      </c>
      <c r="D8">
        <v>1</v>
      </c>
      <c r="E8" t="str" cm="1">
        <f t="array" ref="E8">GetValue("Usr","Name",D8)</f>
        <v>adm</v>
      </c>
      <c r="F8">
        <v>5</v>
      </c>
      <c r="G8" t="str" cm="1">
        <f t="array" ref="G8">GetValue("Tbl","Name",F8)</f>
        <v>Types</v>
      </c>
      <c r="H8" t="b">
        <v>1</v>
      </c>
      <c r="I8" t="b">
        <v>1</v>
      </c>
      <c r="J8" t="b">
        <v>1</v>
      </c>
      <c r="K8" t="b">
        <v>1</v>
      </c>
    </row>
    <row r="9" spans="1:11">
      <c r="A9">
        <f t="shared" si="0"/>
        <v>6</v>
      </c>
      <c r="B9">
        <v>1</v>
      </c>
      <c r="C9" t="str" cm="1">
        <f t="array" ref="C9">GetValue("Sys","Name",B9)</f>
        <v>crudex</v>
      </c>
      <c r="D9">
        <v>1</v>
      </c>
      <c r="E9" t="str" cm="1">
        <f t="array" ref="E9">GetValue("Usr","Name",D9)</f>
        <v>adm</v>
      </c>
      <c r="F9">
        <v>6</v>
      </c>
      <c r="G9" t="str" cm="1">
        <f t="array" ref="G9">GetValue("Tbl","Name",F9)</f>
        <v>Mappings</v>
      </c>
      <c r="H9" t="b">
        <v>1</v>
      </c>
      <c r="I9" t="b">
        <v>1</v>
      </c>
      <c r="J9" t="b">
        <v>1</v>
      </c>
      <c r="K9" t="b">
        <v>1</v>
      </c>
    </row>
    <row r="10" spans="1:11">
      <c r="A10">
        <f t="shared" si="0"/>
        <v>7</v>
      </c>
      <c r="B10">
        <v>1</v>
      </c>
      <c r="C10" t="str" cm="1">
        <f t="array" ref="C10">GetValue("Sys","Name",B10)</f>
        <v>crudex</v>
      </c>
      <c r="D10">
        <v>1</v>
      </c>
      <c r="E10" t="str" cm="1">
        <f t="array" ref="E10">GetValue("Usr","Name",D10)</f>
        <v>adm</v>
      </c>
      <c r="F10">
        <v>7</v>
      </c>
      <c r="G10" t="str" cm="1">
        <f t="array" ref="G10">GetValue("Tbl","Name",F10)</f>
        <v>Owners</v>
      </c>
      <c r="H10" t="b">
        <v>1</v>
      </c>
      <c r="I10" t="b">
        <v>1</v>
      </c>
      <c r="J10" t="b">
        <v>1</v>
      </c>
      <c r="K10" t="b">
        <v>1</v>
      </c>
    </row>
    <row r="11" spans="1:11">
      <c r="A11">
        <f t="shared" si="0"/>
        <v>8</v>
      </c>
      <c r="B11">
        <v>1</v>
      </c>
      <c r="C11" t="str" cm="1">
        <f t="array" ref="C11">GetValue("Sys","Name",B11)</f>
        <v>crudex</v>
      </c>
      <c r="D11">
        <v>1</v>
      </c>
      <c r="E11" t="str" cm="1">
        <f t="array" ref="E11">GetValue("Usr","Name",D11)</f>
        <v>adm</v>
      </c>
      <c r="F11">
        <v>8</v>
      </c>
      <c r="G11" t="str" cm="1">
        <f t="array" ref="G11">GetValue("Tbl","Name",F11)</f>
        <v>Domains</v>
      </c>
      <c r="H11" t="b">
        <v>1</v>
      </c>
      <c r="I11" t="b">
        <v>1</v>
      </c>
      <c r="J11" t="b">
        <v>1</v>
      </c>
      <c r="K11" t="b">
        <v>1</v>
      </c>
    </row>
    <row r="12" spans="1:11">
      <c r="A12">
        <f t="shared" si="0"/>
        <v>9</v>
      </c>
      <c r="B12">
        <v>1</v>
      </c>
      <c r="C12" t="str" cm="1">
        <f t="array" ref="C12">GetValue("Sys","Name",B12)</f>
        <v>crudex</v>
      </c>
      <c r="D12">
        <v>1</v>
      </c>
      <c r="E12" t="str" cm="1">
        <f t="array" ref="E12">GetValue("Usr","Name",D12)</f>
        <v>adm</v>
      </c>
      <c r="F12">
        <v>9</v>
      </c>
      <c r="G12" t="str" cm="1">
        <f t="array" ref="G12">GetValue("Tbl","Name",F12)</f>
        <v>Masks</v>
      </c>
      <c r="H12" t="b">
        <v>1</v>
      </c>
      <c r="I12" t="b">
        <v>1</v>
      </c>
      <c r="J12" t="b">
        <v>1</v>
      </c>
      <c r="K12" t="b">
        <v>1</v>
      </c>
    </row>
    <row r="13" spans="1:11">
      <c r="A13">
        <f t="shared" si="0"/>
        <v>10</v>
      </c>
      <c r="B13">
        <v>1</v>
      </c>
      <c r="C13" t="str" cm="1">
        <f t="array" ref="C13">GetValue("Sys","Name",B13)</f>
        <v>crudex</v>
      </c>
      <c r="D13">
        <v>1</v>
      </c>
      <c r="E13" t="str" cm="1">
        <f t="array" ref="E13">GetValue("Usr","Name",D13)</f>
        <v>adm</v>
      </c>
      <c r="F13">
        <v>10</v>
      </c>
      <c r="G13" t="str" cm="1">
        <f t="array" ref="G13">GetValue("Tbl","Name",F13)</f>
        <v>Maskings</v>
      </c>
      <c r="H13" t="b">
        <v>1</v>
      </c>
      <c r="I13" t="b">
        <v>1</v>
      </c>
      <c r="J13" t="b">
        <v>1</v>
      </c>
      <c r="K13" t="b">
        <v>1</v>
      </c>
    </row>
    <row r="14" spans="1:11">
      <c r="A14">
        <f t="shared" si="0"/>
        <v>11</v>
      </c>
      <c r="B14">
        <v>1</v>
      </c>
      <c r="C14" t="str" cm="1">
        <f t="array" ref="C14">GetValue("Sys","Name",B14)</f>
        <v>crudex</v>
      </c>
      <c r="D14">
        <v>1</v>
      </c>
      <c r="E14" t="str" cm="1">
        <f t="array" ref="E14">GetValue("Usr","Name",D14)</f>
        <v>adm</v>
      </c>
      <c r="F14">
        <v>11</v>
      </c>
      <c r="G14" t="str" cm="1">
        <f t="array" ref="G14">GetValue("Tbl","Name",F14)</f>
        <v>Connections</v>
      </c>
      <c r="H14" t="b">
        <v>1</v>
      </c>
      <c r="I14" t="b">
        <v>1</v>
      </c>
      <c r="J14" t="b">
        <v>1</v>
      </c>
      <c r="K14" t="b">
        <v>1</v>
      </c>
    </row>
    <row r="15" spans="1:11">
      <c r="A15">
        <f t="shared" si="0"/>
        <v>12</v>
      </c>
      <c r="B15">
        <v>1</v>
      </c>
      <c r="C15" t="str" cm="1">
        <f t="array" ref="C15">GetValue("Sys","Name",B15)</f>
        <v>crudex</v>
      </c>
      <c r="D15">
        <v>1</v>
      </c>
      <c r="E15" t="str" cm="1">
        <f t="array" ref="E15">GetValue("Usr","Name",D15)</f>
        <v>adm</v>
      </c>
      <c r="F15">
        <v>12</v>
      </c>
      <c r="G15" t="str" cm="1">
        <f t="array" ref="G15">GetValue("Tbl","Name",F15)</f>
        <v>Databases</v>
      </c>
      <c r="H15" t="b">
        <v>1</v>
      </c>
      <c r="I15" t="b">
        <v>1</v>
      </c>
      <c r="J15" t="b">
        <v>1</v>
      </c>
      <c r="K15" t="b">
        <v>1</v>
      </c>
    </row>
    <row r="16" spans="1:11">
      <c r="A16">
        <f t="shared" si="0"/>
        <v>13</v>
      </c>
      <c r="B16">
        <v>1</v>
      </c>
      <c r="C16" t="str" cm="1">
        <f t="array" ref="C16">GetValue("Sys","Name",B16)</f>
        <v>crudex</v>
      </c>
      <c r="D16">
        <v>1</v>
      </c>
      <c r="E16" t="str" cm="1">
        <f t="array" ref="E16">GetValue("Usr","Name",D16)</f>
        <v>adm</v>
      </c>
      <c r="F16">
        <v>13</v>
      </c>
      <c r="G16" t="str" cm="1">
        <f t="array" ref="G16">GetValue("Tbl","Name",F16)</f>
        <v>Environments</v>
      </c>
      <c r="H16" t="b">
        <v>1</v>
      </c>
      <c r="I16" t="b">
        <v>1</v>
      </c>
      <c r="J16" t="b">
        <v>1</v>
      </c>
      <c r="K16" t="b">
        <v>1</v>
      </c>
    </row>
    <row r="17" spans="1:11">
      <c r="A17">
        <f t="shared" si="0"/>
        <v>14</v>
      </c>
      <c r="B17">
        <v>1</v>
      </c>
      <c r="C17" t="str" cm="1">
        <f t="array" ref="C17">GetValue("Sys","Name",B17)</f>
        <v>crudex</v>
      </c>
      <c r="D17">
        <v>1</v>
      </c>
      <c r="E17" t="str" cm="1">
        <f t="array" ref="E17">GetValue("Usr","Name",D17)</f>
        <v>adm</v>
      </c>
      <c r="F17">
        <v>14</v>
      </c>
      <c r="G17" t="str" cm="1">
        <f t="array" ref="G17">GetValue("Tbl","Name",F17)</f>
        <v>Strings</v>
      </c>
      <c r="H17" t="b">
        <v>1</v>
      </c>
      <c r="I17" t="b">
        <v>1</v>
      </c>
      <c r="J17" t="b">
        <v>1</v>
      </c>
      <c r="K17" t="b">
        <v>1</v>
      </c>
    </row>
    <row r="18" spans="1:11">
      <c r="A18">
        <f t="shared" si="0"/>
        <v>15</v>
      </c>
      <c r="B18">
        <v>1</v>
      </c>
      <c r="C18" t="str" cm="1">
        <f t="array" ref="C18">GetValue("Sys","Name",B18)</f>
        <v>crudex</v>
      </c>
      <c r="D18">
        <v>1</v>
      </c>
      <c r="E18" t="str" cm="1">
        <f t="array" ref="E18">GetValue("Usr","Name",D18)</f>
        <v>adm</v>
      </c>
      <c r="F18">
        <v>15</v>
      </c>
      <c r="G18" t="str" cm="1">
        <f t="array" ref="G18">GetValue("Tbl","Name",F18)</f>
        <v>Systems</v>
      </c>
      <c r="H18" t="b">
        <v>1</v>
      </c>
      <c r="I18" t="b">
        <v>1</v>
      </c>
      <c r="J18" t="b">
        <v>1</v>
      </c>
      <c r="K18" t="b">
        <v>1</v>
      </c>
    </row>
    <row r="19" spans="1:11">
      <c r="A19">
        <f t="shared" si="0"/>
        <v>16</v>
      </c>
      <c r="B19">
        <v>1</v>
      </c>
      <c r="C19" t="str" cm="1">
        <f t="array" ref="C19">GetValue("Sys","Name",B19)</f>
        <v>crudex</v>
      </c>
      <c r="D19">
        <v>1</v>
      </c>
      <c r="E19" t="str" cm="1">
        <f t="array" ref="E19">GetValue("Usr","Name",D19)</f>
        <v>adm</v>
      </c>
      <c r="F19">
        <v>16</v>
      </c>
      <c r="G19" t="str" cm="1">
        <f t="array" ref="G19">GetValue("Tbl","Name",F19)</f>
        <v>Menus</v>
      </c>
      <c r="H19" t="b">
        <v>1</v>
      </c>
      <c r="I19" t="b">
        <v>1</v>
      </c>
      <c r="J19" t="b">
        <v>1</v>
      </c>
      <c r="K19" t="b">
        <v>1</v>
      </c>
    </row>
    <row r="20" spans="1:11">
      <c r="A20">
        <f t="shared" si="0"/>
        <v>17</v>
      </c>
      <c r="B20">
        <v>1</v>
      </c>
      <c r="C20" t="str" cm="1">
        <f t="array" ref="C20">GetValue("Sys","Name",B20)</f>
        <v>crudex</v>
      </c>
      <c r="D20">
        <v>1</v>
      </c>
      <c r="E20" t="str" cm="1">
        <f t="array" ref="E20">GetValue("Usr","Name",D20)</f>
        <v>adm</v>
      </c>
      <c r="F20">
        <v>17</v>
      </c>
      <c r="G20" t="str" cm="1">
        <f t="array" ref="G20">GetValue("Tbl","Name",F20)</f>
        <v>Tables</v>
      </c>
      <c r="H20" t="b">
        <v>1</v>
      </c>
      <c r="I20" t="b">
        <v>1</v>
      </c>
      <c r="J20" t="b">
        <v>1</v>
      </c>
      <c r="K20" t="b">
        <v>1</v>
      </c>
    </row>
    <row r="21" spans="1:11">
      <c r="A21">
        <f t="shared" si="0"/>
        <v>18</v>
      </c>
      <c r="B21">
        <v>1</v>
      </c>
      <c r="C21" t="str" cm="1">
        <f t="array" ref="C21">GetValue("Sys","Name",B21)</f>
        <v>crudex</v>
      </c>
      <c r="D21">
        <v>1</v>
      </c>
      <c r="E21" t="str" cm="1">
        <f t="array" ref="E21">GetValue("Usr","Name",D21)</f>
        <v>adm</v>
      </c>
      <c r="F21">
        <v>18</v>
      </c>
      <c r="G21" t="str" cm="1">
        <f t="array" ref="G21">GetValue("Tbl","Name",F21)</f>
        <v>Columns</v>
      </c>
      <c r="H21" t="b">
        <v>1</v>
      </c>
      <c r="I21" t="b">
        <v>1</v>
      </c>
      <c r="J21" t="b">
        <v>1</v>
      </c>
      <c r="K21" t="b">
        <v>1</v>
      </c>
    </row>
    <row r="22" spans="1:11">
      <c r="A22">
        <f t="shared" si="0"/>
        <v>19</v>
      </c>
      <c r="B22">
        <v>1</v>
      </c>
      <c r="C22" t="str" cm="1">
        <f t="array" ref="C22">GetValue("Sys","Name",B22)</f>
        <v>crudex</v>
      </c>
      <c r="D22">
        <v>1</v>
      </c>
      <c r="E22" t="str" cm="1">
        <f t="array" ref="E22">GetValue("Usr","Name",D22)</f>
        <v>adm</v>
      </c>
      <c r="F22">
        <v>19</v>
      </c>
      <c r="G22" t="str" cm="1">
        <f t="array" ref="G22">GetValue("Tbl","Name",F22)</f>
        <v>Indexes</v>
      </c>
      <c r="H22" t="b">
        <v>1</v>
      </c>
      <c r="I22" t="b">
        <v>1</v>
      </c>
      <c r="J22" t="b">
        <v>1</v>
      </c>
      <c r="K22" t="b">
        <v>1</v>
      </c>
    </row>
    <row r="23" spans="1:11">
      <c r="A23">
        <f t="shared" si="0"/>
        <v>20</v>
      </c>
      <c r="B23">
        <v>1</v>
      </c>
      <c r="C23" t="str" cm="1">
        <f t="array" ref="C23">GetValue("Sys","Name",B23)</f>
        <v>crudex</v>
      </c>
      <c r="D23">
        <v>1</v>
      </c>
      <c r="E23" t="str" cm="1">
        <f t="array" ref="E23">GetValue("Usr","Name",D23)</f>
        <v>adm</v>
      </c>
      <c r="F23">
        <v>20</v>
      </c>
      <c r="G23" t="str" cm="1">
        <f t="array" ref="G23">GetValue("Tbl","Name",F23)</f>
        <v>Indexkeys</v>
      </c>
      <c r="H23" t="b">
        <v>1</v>
      </c>
      <c r="I23" t="b">
        <v>1</v>
      </c>
      <c r="J23" t="b">
        <v>1</v>
      </c>
      <c r="K23" t="b">
        <v>1</v>
      </c>
    </row>
    <row r="24" spans="1:11">
      <c r="A24">
        <f t="shared" si="0"/>
        <v>21</v>
      </c>
      <c r="B24">
        <v>1</v>
      </c>
      <c r="C24" t="str" cm="1">
        <f t="array" ref="C24">GetValue("Sys","Name",B24)</f>
        <v>crudex</v>
      </c>
      <c r="D24">
        <v>1</v>
      </c>
      <c r="E24" t="str" cm="1">
        <f t="array" ref="E24">GetValue("Usr","Name",D24)</f>
        <v>adm</v>
      </c>
      <c r="F24">
        <v>21</v>
      </c>
      <c r="G24" t="str" cm="1">
        <f t="array" ref="G24">GetValue("Tbl","Name",F24)</f>
        <v>Includes</v>
      </c>
      <c r="H24" t="b">
        <v>1</v>
      </c>
      <c r="I24" t="b">
        <v>1</v>
      </c>
      <c r="J24" t="b">
        <v>1</v>
      </c>
      <c r="K24" t="b">
        <v>1</v>
      </c>
    </row>
    <row r="25" spans="1:11">
      <c r="A25">
        <f t="shared" si="0"/>
        <v>22</v>
      </c>
      <c r="B25">
        <v>1</v>
      </c>
      <c r="C25" t="str" cm="1">
        <f t="array" ref="C25">GetValue("Sys","Name",B25)</f>
        <v>crudex</v>
      </c>
      <c r="D25">
        <v>1</v>
      </c>
      <c r="E25" t="str" cm="1">
        <f t="array" ref="E25">GetValue("Usr","Name",D25)</f>
        <v>adm</v>
      </c>
      <c r="F25">
        <v>22</v>
      </c>
      <c r="G25" t="str" cm="1">
        <f t="array" ref="G25">GetValue("Tbl","Name",F25)</f>
        <v>Unicities</v>
      </c>
      <c r="H25" t="b">
        <v>1</v>
      </c>
      <c r="I25" t="b">
        <v>1</v>
      </c>
      <c r="J25" t="b">
        <v>1</v>
      </c>
      <c r="K25" t="b">
        <v>1</v>
      </c>
    </row>
    <row r="26" spans="1:11">
      <c r="A26">
        <f t="shared" si="0"/>
        <v>23</v>
      </c>
      <c r="B26">
        <v>1</v>
      </c>
      <c r="C26" t="str" cm="1">
        <f t="array" ref="C26">GetValue("Sys","Name",B26)</f>
        <v>crudex</v>
      </c>
      <c r="D26">
        <v>1</v>
      </c>
      <c r="E26" t="str" cm="1">
        <f t="array" ref="E26">GetValue("Usr","Name",D26)</f>
        <v>adm</v>
      </c>
      <c r="F26">
        <v>23</v>
      </c>
      <c r="G26" t="str" cm="1">
        <f t="array" ref="G26">GetValue("Tbl","Name",F26)</f>
        <v>Expressions</v>
      </c>
      <c r="H26" t="b">
        <v>1</v>
      </c>
      <c r="I26" t="b">
        <v>1</v>
      </c>
      <c r="J26" t="b">
        <v>1</v>
      </c>
      <c r="K26" t="b">
        <v>1</v>
      </c>
    </row>
    <row r="27" spans="1:11">
      <c r="A27">
        <f t="shared" si="0"/>
        <v>24</v>
      </c>
      <c r="B27">
        <v>1</v>
      </c>
      <c r="C27" t="str" cm="1">
        <f t="array" ref="C27">GetValue("Sys","Name",B27)</f>
        <v>crudex</v>
      </c>
      <c r="D27">
        <v>1</v>
      </c>
      <c r="E27" t="str" cm="1">
        <f t="array" ref="E27">GetValue("Usr","Name",D27)</f>
        <v>adm</v>
      </c>
      <c r="F27">
        <v>24</v>
      </c>
      <c r="G27" t="str" cm="1">
        <f t="array" ref="G27">GetValue("Tbl","Name",F27)</f>
        <v>Conditions</v>
      </c>
      <c r="H27" t="b">
        <v>1</v>
      </c>
      <c r="I27" t="b">
        <v>1</v>
      </c>
      <c r="J27" t="b">
        <v>1</v>
      </c>
      <c r="K27" t="b">
        <v>1</v>
      </c>
    </row>
    <row r="28" spans="1:11">
      <c r="A28">
        <f t="shared" si="0"/>
        <v>25</v>
      </c>
      <c r="B28">
        <v>1</v>
      </c>
      <c r="C28" t="str" cm="1">
        <f t="array" ref="C28">GetValue("Sys","Name",B28)</f>
        <v>crudex</v>
      </c>
      <c r="D28">
        <v>1</v>
      </c>
      <c r="E28" t="str" cm="1">
        <f t="array" ref="E28">GetValue("Usr","Name",D28)</f>
        <v>adm</v>
      </c>
      <c r="F28">
        <v>25</v>
      </c>
      <c r="G28" t="str" cm="1">
        <f t="array" ref="G28">GetValue("Tbl","Name",F28)</f>
        <v>References</v>
      </c>
      <c r="H28" t="b">
        <v>1</v>
      </c>
      <c r="I28" t="b">
        <v>1</v>
      </c>
      <c r="J28" t="b">
        <v>1</v>
      </c>
      <c r="K28" t="b">
        <v>1</v>
      </c>
    </row>
    <row r="29" spans="1:11">
      <c r="A29">
        <f t="shared" si="0"/>
        <v>26</v>
      </c>
      <c r="B29">
        <v>1</v>
      </c>
      <c r="C29" t="str" cm="1">
        <f t="array" ref="C29">GetValue("Sys","Name",B29)</f>
        <v>crudex</v>
      </c>
      <c r="D29">
        <v>1</v>
      </c>
      <c r="E29" t="str" cm="1">
        <f t="array" ref="E29">GetValue("Usr","Name",D29)</f>
        <v>adm</v>
      </c>
      <c r="F29">
        <v>26</v>
      </c>
      <c r="G29" t="str" cm="1">
        <f t="array" ref="G29">GetValue("Tbl","Name",F29)</f>
        <v>Referencekeys</v>
      </c>
      <c r="H29" t="b">
        <v>1</v>
      </c>
      <c r="I29" t="b">
        <v>1</v>
      </c>
      <c r="J29" t="b">
        <v>1</v>
      </c>
      <c r="K29" t="b">
        <v>1</v>
      </c>
    </row>
    <row r="30" spans="1:11">
      <c r="A30">
        <f t="shared" si="0"/>
        <v>27</v>
      </c>
      <c r="B30">
        <v>1</v>
      </c>
      <c r="C30" t="str" cm="1">
        <f t="array" ref="C30">GetValue("Sys","Name",B30)</f>
        <v>crudex</v>
      </c>
      <c r="D30">
        <v>1</v>
      </c>
      <c r="E30" t="str" cm="1">
        <f t="array" ref="E30">GetValue("Usr","Name",D30)</f>
        <v>adm</v>
      </c>
      <c r="F30">
        <v>27</v>
      </c>
      <c r="G30" t="str" cm="1">
        <f t="array" ref="G30">GetValue("Tbl","Name",F30)</f>
        <v>Users</v>
      </c>
      <c r="H30" t="b">
        <v>1</v>
      </c>
      <c r="I30" t="b">
        <v>1</v>
      </c>
      <c r="J30" t="b">
        <v>1</v>
      </c>
      <c r="K30" t="b">
        <v>1</v>
      </c>
    </row>
    <row r="31" spans="1:11">
      <c r="A31">
        <f t="shared" si="0"/>
        <v>28</v>
      </c>
      <c r="B31">
        <v>1</v>
      </c>
      <c r="C31" t="str" cm="1">
        <f t="array" ref="C31">GetValue("Sys","Name",B31)</f>
        <v>crudex</v>
      </c>
      <c r="D31">
        <v>2</v>
      </c>
      <c r="E31" t="str" cm="1">
        <f t="array" ref="E31">GetValue("Usr","Name",D31)</f>
        <v>labrego</v>
      </c>
      <c r="F31">
        <v>1</v>
      </c>
      <c r="G31" t="str" cm="1">
        <f t="array" ref="G31">GetValue("Tbl","Name",F31)</f>
        <v>Categories</v>
      </c>
      <c r="H31" t="b">
        <v>1</v>
      </c>
      <c r="I31" t="b">
        <v>1</v>
      </c>
      <c r="J31" t="b">
        <v>1</v>
      </c>
      <c r="K31" t="b">
        <v>1</v>
      </c>
    </row>
    <row r="32" spans="1:11">
      <c r="A32">
        <f t="shared" si="0"/>
        <v>29</v>
      </c>
      <c r="B32">
        <v>1</v>
      </c>
      <c r="C32" t="str" cm="1">
        <f t="array" ref="C32">GetValue("Sys","Name",B32)</f>
        <v>crudex</v>
      </c>
      <c r="D32">
        <v>2</v>
      </c>
      <c r="E32" t="str" cm="1">
        <f t="array" ref="E32">GetValue("Usr","Name",D32)</f>
        <v>labrego</v>
      </c>
      <c r="F32">
        <v>2</v>
      </c>
      <c r="G32" t="str" cm="1">
        <f t="array" ref="G32">GetValue("Tbl","Name",F32)</f>
        <v>Comparators</v>
      </c>
      <c r="H32" t="b">
        <v>1</v>
      </c>
      <c r="I32" t="b">
        <v>1</v>
      </c>
      <c r="J32" t="b">
        <v>1</v>
      </c>
      <c r="K32" t="b">
        <v>1</v>
      </c>
    </row>
    <row r="33" spans="1:11">
      <c r="A33">
        <f t="shared" si="0"/>
        <v>30</v>
      </c>
      <c r="B33">
        <v>1</v>
      </c>
      <c r="C33" t="str" cm="1">
        <f t="array" ref="C33">GetValue("Sys","Name",B33)</f>
        <v>crudex</v>
      </c>
      <c r="D33">
        <v>2</v>
      </c>
      <c r="E33" t="str" cm="1">
        <f t="array" ref="E33">GetValue("Usr","Name",D33)</f>
        <v>labrego</v>
      </c>
      <c r="F33">
        <v>3</v>
      </c>
      <c r="G33" t="str" cm="1">
        <f t="array" ref="G33">GetValue("Tbl","Name",F33)</f>
        <v>Rules</v>
      </c>
      <c r="H33" t="b">
        <v>1</v>
      </c>
      <c r="I33" t="b">
        <v>1</v>
      </c>
      <c r="J33" t="b">
        <v>1</v>
      </c>
      <c r="K33" t="b">
        <v>1</v>
      </c>
    </row>
    <row r="34" spans="1:11">
      <c r="A34">
        <f t="shared" si="0"/>
        <v>31</v>
      </c>
      <c r="B34">
        <v>1</v>
      </c>
      <c r="C34" t="str" cm="1">
        <f t="array" ref="C34">GetValue("Sys","Name",B34)</f>
        <v>crudex</v>
      </c>
      <c r="D34">
        <v>2</v>
      </c>
      <c r="E34" t="str" cm="1">
        <f t="array" ref="E34">GetValue("Usr","Name",D34)</f>
        <v>labrego</v>
      </c>
      <c r="F34">
        <v>4</v>
      </c>
      <c r="G34" t="str" cm="1">
        <f t="array" ref="G34">GetValue("Tbl","Name",F34)</f>
        <v>Engines</v>
      </c>
      <c r="H34" t="b">
        <v>1</v>
      </c>
      <c r="I34" t="b">
        <v>1</v>
      </c>
      <c r="J34" t="b">
        <v>1</v>
      </c>
      <c r="K34" t="b">
        <v>1</v>
      </c>
    </row>
    <row r="35" spans="1:11">
      <c r="A35">
        <f t="shared" si="0"/>
        <v>32</v>
      </c>
      <c r="B35">
        <v>1</v>
      </c>
      <c r="C35" t="str" cm="1">
        <f t="array" ref="C35">GetValue("Sys","Name",B35)</f>
        <v>crudex</v>
      </c>
      <c r="D35">
        <v>2</v>
      </c>
      <c r="E35" t="str" cm="1">
        <f t="array" ref="E35">GetValue("Usr","Name",D35)</f>
        <v>labrego</v>
      </c>
      <c r="F35">
        <v>5</v>
      </c>
      <c r="G35" t="str" cm="1">
        <f t="array" ref="G35">GetValue("Tbl","Name",F35)</f>
        <v>Types</v>
      </c>
      <c r="H35" t="b">
        <v>1</v>
      </c>
      <c r="I35" t="b">
        <v>1</v>
      </c>
      <c r="J35" t="b">
        <v>1</v>
      </c>
      <c r="K35" t="b">
        <v>1</v>
      </c>
    </row>
    <row r="36" spans="1:11">
      <c r="A36">
        <f t="shared" si="0"/>
        <v>33</v>
      </c>
      <c r="B36">
        <v>1</v>
      </c>
      <c r="C36" t="str" cm="1">
        <f t="array" ref="C36">GetValue("Sys","Name",B36)</f>
        <v>crudex</v>
      </c>
      <c r="D36">
        <v>2</v>
      </c>
      <c r="E36" t="str" cm="1">
        <f t="array" ref="E36">GetValue("Usr","Name",D36)</f>
        <v>labrego</v>
      </c>
      <c r="F36">
        <v>6</v>
      </c>
      <c r="G36" t="str" cm="1">
        <f t="array" ref="G36">GetValue("Tbl","Name",F36)</f>
        <v>Mappings</v>
      </c>
      <c r="H36" t="b">
        <v>1</v>
      </c>
      <c r="I36" t="b">
        <v>1</v>
      </c>
      <c r="J36" t="b">
        <v>1</v>
      </c>
      <c r="K36" t="b">
        <v>1</v>
      </c>
    </row>
    <row r="37" spans="1:11">
      <c r="A37">
        <f t="shared" si="0"/>
        <v>34</v>
      </c>
      <c r="B37">
        <v>1</v>
      </c>
      <c r="C37" t="str" cm="1">
        <f t="array" ref="C37">GetValue("Sys","Name",B37)</f>
        <v>crudex</v>
      </c>
      <c r="D37">
        <v>2</v>
      </c>
      <c r="E37" t="str" cm="1">
        <f t="array" ref="E37">GetValue("Usr","Name",D37)</f>
        <v>labrego</v>
      </c>
      <c r="F37">
        <v>7</v>
      </c>
      <c r="G37" t="str" cm="1">
        <f t="array" ref="G37">GetValue("Tbl","Name",F37)</f>
        <v>Owners</v>
      </c>
      <c r="H37" t="b">
        <v>1</v>
      </c>
      <c r="I37" t="b">
        <v>1</v>
      </c>
      <c r="J37" t="b">
        <v>1</v>
      </c>
      <c r="K37" t="b">
        <v>1</v>
      </c>
    </row>
    <row r="38" spans="1:11">
      <c r="A38">
        <f t="shared" si="0"/>
        <v>35</v>
      </c>
      <c r="B38">
        <v>1</v>
      </c>
      <c r="C38" t="str" cm="1">
        <f t="array" ref="C38">GetValue("Sys","Name",B38)</f>
        <v>crudex</v>
      </c>
      <c r="D38">
        <v>2</v>
      </c>
      <c r="E38" t="str" cm="1">
        <f t="array" ref="E38">GetValue("Usr","Name",D38)</f>
        <v>labrego</v>
      </c>
      <c r="F38">
        <v>8</v>
      </c>
      <c r="G38" t="str" cm="1">
        <f t="array" ref="G38">GetValue("Tbl","Name",F38)</f>
        <v>Domains</v>
      </c>
      <c r="H38" t="b">
        <v>1</v>
      </c>
      <c r="I38" t="b">
        <v>1</v>
      </c>
      <c r="J38" t="b">
        <v>1</v>
      </c>
      <c r="K38" t="b">
        <v>1</v>
      </c>
    </row>
    <row r="39" spans="1:11">
      <c r="A39">
        <f t="shared" si="0"/>
        <v>36</v>
      </c>
      <c r="B39">
        <v>1</v>
      </c>
      <c r="C39" t="str" cm="1">
        <f t="array" ref="C39">GetValue("Sys","Name",B39)</f>
        <v>crudex</v>
      </c>
      <c r="D39">
        <v>2</v>
      </c>
      <c r="E39" t="str" cm="1">
        <f t="array" ref="E39">GetValue("Usr","Name",D39)</f>
        <v>labrego</v>
      </c>
      <c r="F39">
        <v>9</v>
      </c>
      <c r="G39" t="str" cm="1">
        <f t="array" ref="G39">GetValue("Tbl","Name",F39)</f>
        <v>Masks</v>
      </c>
      <c r="H39" t="b">
        <v>1</v>
      </c>
      <c r="I39" t="b">
        <v>1</v>
      </c>
      <c r="J39" t="b">
        <v>1</v>
      </c>
      <c r="K39" t="b">
        <v>1</v>
      </c>
    </row>
    <row r="40" spans="1:11">
      <c r="A40">
        <f t="shared" si="0"/>
        <v>37</v>
      </c>
      <c r="B40">
        <v>1</v>
      </c>
      <c r="C40" t="str" cm="1">
        <f t="array" ref="C40">GetValue("Sys","Name",B40)</f>
        <v>crudex</v>
      </c>
      <c r="D40">
        <v>2</v>
      </c>
      <c r="E40" t="str" cm="1">
        <f t="array" ref="E40">GetValue("Usr","Name",D40)</f>
        <v>labrego</v>
      </c>
      <c r="F40">
        <v>10</v>
      </c>
      <c r="G40" t="str" cm="1">
        <f t="array" ref="G40">GetValue("Tbl","Name",F40)</f>
        <v>Maskings</v>
      </c>
      <c r="H40" t="b">
        <v>1</v>
      </c>
      <c r="I40" t="b">
        <v>1</v>
      </c>
      <c r="J40" t="b">
        <v>1</v>
      </c>
      <c r="K40" t="b">
        <v>1</v>
      </c>
    </row>
    <row r="41" spans="1:11">
      <c r="A41">
        <f t="shared" si="0"/>
        <v>38</v>
      </c>
      <c r="B41">
        <v>1</v>
      </c>
      <c r="C41" t="str" cm="1">
        <f t="array" ref="C41">GetValue("Sys","Name",B41)</f>
        <v>crudex</v>
      </c>
      <c r="D41">
        <v>2</v>
      </c>
      <c r="E41" t="str" cm="1">
        <f t="array" ref="E41">GetValue("Usr","Name",D41)</f>
        <v>labrego</v>
      </c>
      <c r="F41">
        <v>11</v>
      </c>
      <c r="G41" t="str" cm="1">
        <f t="array" ref="G41">GetValue("Tbl","Name",F41)</f>
        <v>Connections</v>
      </c>
      <c r="H41" t="b">
        <v>1</v>
      </c>
      <c r="I41" t="b">
        <v>1</v>
      </c>
      <c r="J41" t="b">
        <v>1</v>
      </c>
      <c r="K41" t="b">
        <v>1</v>
      </c>
    </row>
    <row r="42" spans="1:11">
      <c r="A42">
        <f t="shared" si="0"/>
        <v>39</v>
      </c>
      <c r="B42">
        <v>1</v>
      </c>
      <c r="C42" t="str" cm="1">
        <f t="array" ref="C42">GetValue("Sys","Name",B42)</f>
        <v>crudex</v>
      </c>
      <c r="D42">
        <v>2</v>
      </c>
      <c r="E42" t="str" cm="1">
        <f t="array" ref="E42">GetValue("Usr","Name",D42)</f>
        <v>labrego</v>
      </c>
      <c r="F42">
        <v>12</v>
      </c>
      <c r="G42" t="str" cm="1">
        <f t="array" ref="G42">GetValue("Tbl","Name",F42)</f>
        <v>Databases</v>
      </c>
      <c r="H42" t="b">
        <v>1</v>
      </c>
      <c r="I42" t="b">
        <v>1</v>
      </c>
      <c r="J42" t="b">
        <v>1</v>
      </c>
      <c r="K42" t="b">
        <v>1</v>
      </c>
    </row>
    <row r="43" spans="1:11">
      <c r="A43">
        <f t="shared" si="0"/>
        <v>40</v>
      </c>
      <c r="B43">
        <v>1</v>
      </c>
      <c r="C43" t="str" cm="1">
        <f t="array" ref="C43">GetValue("Sys","Name",B43)</f>
        <v>crudex</v>
      </c>
      <c r="D43">
        <v>2</v>
      </c>
      <c r="E43" t="str" cm="1">
        <f t="array" ref="E43">GetValue("Usr","Name",D43)</f>
        <v>labrego</v>
      </c>
      <c r="F43">
        <v>13</v>
      </c>
      <c r="G43" t="str" cm="1">
        <f t="array" ref="G43">GetValue("Tbl","Name",F43)</f>
        <v>Environments</v>
      </c>
      <c r="H43" t="b">
        <v>1</v>
      </c>
      <c r="I43" t="b">
        <v>1</v>
      </c>
      <c r="J43" t="b">
        <v>1</v>
      </c>
      <c r="K43" t="b">
        <v>1</v>
      </c>
    </row>
    <row r="44" spans="1:11">
      <c r="A44">
        <f t="shared" si="0"/>
        <v>41</v>
      </c>
      <c r="B44">
        <v>1</v>
      </c>
      <c r="C44" t="str" cm="1">
        <f t="array" ref="C44">GetValue("Sys","Name",B44)</f>
        <v>crudex</v>
      </c>
      <c r="D44">
        <v>2</v>
      </c>
      <c r="E44" t="str" cm="1">
        <f t="array" ref="E44">GetValue("Usr","Name",D44)</f>
        <v>labrego</v>
      </c>
      <c r="F44">
        <v>14</v>
      </c>
      <c r="G44" t="str" cm="1">
        <f t="array" ref="G44">GetValue("Tbl","Name",F44)</f>
        <v>Strings</v>
      </c>
      <c r="H44" t="b">
        <v>1</v>
      </c>
      <c r="I44" t="b">
        <v>1</v>
      </c>
      <c r="J44" t="b">
        <v>1</v>
      </c>
      <c r="K44" t="b">
        <v>1</v>
      </c>
    </row>
    <row r="45" spans="1:11">
      <c r="A45">
        <f t="shared" si="0"/>
        <v>42</v>
      </c>
      <c r="B45">
        <v>1</v>
      </c>
      <c r="C45" t="str" cm="1">
        <f t="array" ref="C45">GetValue("Sys","Name",B45)</f>
        <v>crudex</v>
      </c>
      <c r="D45">
        <v>2</v>
      </c>
      <c r="E45" t="str" cm="1">
        <f t="array" ref="E45">GetValue("Usr","Name",D45)</f>
        <v>labrego</v>
      </c>
      <c r="F45">
        <v>15</v>
      </c>
      <c r="G45" t="str" cm="1">
        <f t="array" ref="G45">GetValue("Tbl","Name",F45)</f>
        <v>Systems</v>
      </c>
      <c r="H45" t="b">
        <v>1</v>
      </c>
      <c r="I45" t="b">
        <v>1</v>
      </c>
      <c r="J45" t="b">
        <v>1</v>
      </c>
      <c r="K45" t="b">
        <v>1</v>
      </c>
    </row>
    <row r="46" spans="1:11">
      <c r="A46">
        <f t="shared" si="0"/>
        <v>43</v>
      </c>
      <c r="B46">
        <v>1</v>
      </c>
      <c r="C46" t="str" cm="1">
        <f t="array" ref="C46">GetValue("Sys","Name",B46)</f>
        <v>crudex</v>
      </c>
      <c r="D46">
        <v>2</v>
      </c>
      <c r="E46" t="str" cm="1">
        <f t="array" ref="E46">GetValue("Usr","Name",D46)</f>
        <v>labrego</v>
      </c>
      <c r="F46">
        <v>16</v>
      </c>
      <c r="G46" t="str" cm="1">
        <f t="array" ref="G46">GetValue("Tbl","Name",F46)</f>
        <v>Menus</v>
      </c>
      <c r="H46" t="b">
        <v>1</v>
      </c>
      <c r="I46" t="b">
        <v>1</v>
      </c>
      <c r="J46" t="b">
        <v>1</v>
      </c>
      <c r="K46" t="b">
        <v>1</v>
      </c>
    </row>
    <row r="47" spans="1:11">
      <c r="A47">
        <f t="shared" si="0"/>
        <v>44</v>
      </c>
      <c r="B47">
        <v>1</v>
      </c>
      <c r="C47" t="str" cm="1">
        <f t="array" ref="C47">GetValue("Sys","Name",B47)</f>
        <v>crudex</v>
      </c>
      <c r="D47">
        <v>2</v>
      </c>
      <c r="E47" t="str" cm="1">
        <f t="array" ref="E47">GetValue("Usr","Name",D47)</f>
        <v>labrego</v>
      </c>
      <c r="F47">
        <v>17</v>
      </c>
      <c r="G47" t="str" cm="1">
        <f t="array" ref="G47">GetValue("Tbl","Name",F47)</f>
        <v>Tables</v>
      </c>
      <c r="H47" t="b">
        <v>1</v>
      </c>
      <c r="I47" t="b">
        <v>1</v>
      </c>
      <c r="J47" t="b">
        <v>1</v>
      </c>
      <c r="K47" t="b">
        <v>1</v>
      </c>
    </row>
    <row r="48" spans="1:11">
      <c r="A48">
        <f t="shared" si="0"/>
        <v>45</v>
      </c>
      <c r="B48">
        <v>1</v>
      </c>
      <c r="C48" t="str" cm="1">
        <f t="array" ref="C48">GetValue("Sys","Name",B48)</f>
        <v>crudex</v>
      </c>
      <c r="D48">
        <v>2</v>
      </c>
      <c r="E48" t="str" cm="1">
        <f t="array" ref="E48">GetValue("Usr","Name",D48)</f>
        <v>labrego</v>
      </c>
      <c r="F48">
        <v>18</v>
      </c>
      <c r="G48" t="str" cm="1">
        <f t="array" ref="G48">GetValue("Tbl","Name",F48)</f>
        <v>Columns</v>
      </c>
      <c r="H48" t="b">
        <v>1</v>
      </c>
      <c r="I48" t="b">
        <v>1</v>
      </c>
      <c r="J48" t="b">
        <v>1</v>
      </c>
      <c r="K48" t="b">
        <v>1</v>
      </c>
    </row>
    <row r="49" spans="1:11">
      <c r="A49">
        <f t="shared" si="0"/>
        <v>46</v>
      </c>
      <c r="B49">
        <v>1</v>
      </c>
      <c r="C49" t="str" cm="1">
        <f t="array" ref="C49">GetValue("Sys","Name",B49)</f>
        <v>crudex</v>
      </c>
      <c r="D49">
        <v>2</v>
      </c>
      <c r="E49" t="str" cm="1">
        <f t="array" ref="E49">GetValue("Usr","Name",D49)</f>
        <v>labrego</v>
      </c>
      <c r="F49">
        <v>19</v>
      </c>
      <c r="G49" t="str" cm="1">
        <f t="array" ref="G49">GetValue("Tbl","Name",F49)</f>
        <v>Indexes</v>
      </c>
      <c r="H49" t="b">
        <v>1</v>
      </c>
      <c r="I49" t="b">
        <v>1</v>
      </c>
      <c r="J49" t="b">
        <v>1</v>
      </c>
      <c r="K49" t="b">
        <v>1</v>
      </c>
    </row>
    <row r="50" spans="1:11">
      <c r="A50">
        <f t="shared" si="0"/>
        <v>47</v>
      </c>
      <c r="B50">
        <v>1</v>
      </c>
      <c r="C50" t="str" cm="1">
        <f t="array" ref="C50">GetValue("Sys","Name",B50)</f>
        <v>crudex</v>
      </c>
      <c r="D50">
        <v>2</v>
      </c>
      <c r="E50" t="str" cm="1">
        <f t="array" ref="E50">GetValue("Usr","Name",D50)</f>
        <v>labrego</v>
      </c>
      <c r="F50">
        <v>20</v>
      </c>
      <c r="G50" t="str" cm="1">
        <f t="array" ref="G50">GetValue("Tbl","Name",F50)</f>
        <v>Indexkeys</v>
      </c>
      <c r="H50" t="b">
        <v>1</v>
      </c>
      <c r="I50" t="b">
        <v>1</v>
      </c>
      <c r="J50" t="b">
        <v>1</v>
      </c>
      <c r="K50" t="b">
        <v>1</v>
      </c>
    </row>
    <row r="51" spans="1:11">
      <c r="A51">
        <f t="shared" si="0"/>
        <v>48</v>
      </c>
      <c r="B51">
        <v>1</v>
      </c>
      <c r="C51" t="str" cm="1">
        <f t="array" ref="C51">GetValue("Sys","Name",B51)</f>
        <v>crudex</v>
      </c>
      <c r="D51">
        <v>2</v>
      </c>
      <c r="E51" t="str" cm="1">
        <f t="array" ref="E51">GetValue("Usr","Name",D51)</f>
        <v>labrego</v>
      </c>
      <c r="F51">
        <v>21</v>
      </c>
      <c r="G51" t="str" cm="1">
        <f t="array" ref="G51">GetValue("Tbl","Name",F51)</f>
        <v>Includes</v>
      </c>
      <c r="H51" t="b">
        <v>1</v>
      </c>
      <c r="I51" t="b">
        <v>1</v>
      </c>
      <c r="J51" t="b">
        <v>1</v>
      </c>
      <c r="K51" t="b">
        <v>1</v>
      </c>
    </row>
    <row r="52" spans="1:11">
      <c r="A52">
        <f t="shared" si="0"/>
        <v>49</v>
      </c>
      <c r="B52">
        <v>1</v>
      </c>
      <c r="C52" t="str" cm="1">
        <f t="array" ref="C52">GetValue("Sys","Name",B52)</f>
        <v>crudex</v>
      </c>
      <c r="D52">
        <v>2</v>
      </c>
      <c r="E52" t="str" cm="1">
        <f t="array" ref="E52">GetValue("Usr","Name",D52)</f>
        <v>labrego</v>
      </c>
      <c r="F52">
        <v>22</v>
      </c>
      <c r="G52" t="str" cm="1">
        <f t="array" ref="G52">GetValue("Tbl","Name",F52)</f>
        <v>Unicities</v>
      </c>
      <c r="H52" t="b">
        <v>1</v>
      </c>
      <c r="I52" t="b">
        <v>1</v>
      </c>
      <c r="J52" t="b">
        <v>1</v>
      </c>
      <c r="K52" t="b">
        <v>1</v>
      </c>
    </row>
    <row r="53" spans="1:11">
      <c r="A53">
        <f t="shared" si="0"/>
        <v>50</v>
      </c>
      <c r="B53">
        <v>1</v>
      </c>
      <c r="C53" t="str" cm="1">
        <f t="array" ref="C53">GetValue("Sys","Name",B53)</f>
        <v>crudex</v>
      </c>
      <c r="D53">
        <v>2</v>
      </c>
      <c r="E53" t="str" cm="1">
        <f t="array" ref="E53">GetValue("Usr","Name",D53)</f>
        <v>labrego</v>
      </c>
      <c r="F53">
        <v>23</v>
      </c>
      <c r="G53" t="str" cm="1">
        <f t="array" ref="G53">GetValue("Tbl","Name",F53)</f>
        <v>Expressions</v>
      </c>
      <c r="H53" t="b">
        <v>1</v>
      </c>
      <c r="I53" t="b">
        <v>1</v>
      </c>
      <c r="J53" t="b">
        <v>1</v>
      </c>
      <c r="K53" t="b">
        <v>1</v>
      </c>
    </row>
    <row r="54" spans="1:11">
      <c r="A54">
        <f t="shared" si="0"/>
        <v>51</v>
      </c>
      <c r="B54">
        <v>1</v>
      </c>
      <c r="C54" t="str" cm="1">
        <f t="array" ref="C54">GetValue("Sys","Name",B54)</f>
        <v>crudex</v>
      </c>
      <c r="D54">
        <v>2</v>
      </c>
      <c r="E54" t="str" cm="1">
        <f t="array" ref="E54">GetValue("Usr","Name",D54)</f>
        <v>labrego</v>
      </c>
      <c r="F54">
        <v>24</v>
      </c>
      <c r="G54" t="str" cm="1">
        <f t="array" ref="G54">GetValue("Tbl","Name",F54)</f>
        <v>Conditions</v>
      </c>
      <c r="H54" t="b">
        <v>1</v>
      </c>
      <c r="I54" t="b">
        <v>1</v>
      </c>
      <c r="J54" t="b">
        <v>1</v>
      </c>
      <c r="K54" t="b">
        <v>1</v>
      </c>
    </row>
    <row r="55" spans="1:11">
      <c r="A55">
        <f t="shared" si="0"/>
        <v>52</v>
      </c>
      <c r="B55">
        <v>1</v>
      </c>
      <c r="C55" t="str" cm="1">
        <f t="array" ref="C55">GetValue("Sys","Name",B55)</f>
        <v>crudex</v>
      </c>
      <c r="D55">
        <v>2</v>
      </c>
      <c r="E55" t="str" cm="1">
        <f t="array" ref="E55">GetValue("Usr","Name",D55)</f>
        <v>labrego</v>
      </c>
      <c r="F55">
        <v>25</v>
      </c>
      <c r="G55" t="str" cm="1">
        <f t="array" ref="G55">GetValue("Tbl","Name",F55)</f>
        <v>References</v>
      </c>
      <c r="H55" t="b">
        <v>1</v>
      </c>
      <c r="I55" t="b">
        <v>1</v>
      </c>
      <c r="J55" t="b">
        <v>1</v>
      </c>
      <c r="K55" t="b">
        <v>1</v>
      </c>
    </row>
    <row r="56" spans="1:11">
      <c r="A56">
        <f t="shared" si="0"/>
        <v>53</v>
      </c>
      <c r="B56">
        <v>1</v>
      </c>
      <c r="C56" t="str" cm="1">
        <f t="array" ref="C56">GetValue("Sys","Name",B56)</f>
        <v>crudex</v>
      </c>
      <c r="D56">
        <v>2</v>
      </c>
      <c r="E56" t="str" cm="1">
        <f t="array" ref="E56">GetValue("Usr","Name",D56)</f>
        <v>labrego</v>
      </c>
      <c r="F56">
        <v>26</v>
      </c>
      <c r="G56" t="str" cm="1">
        <f t="array" ref="G56">GetValue("Tbl","Name",F56)</f>
        <v>Referencekeys</v>
      </c>
      <c r="H56" t="b">
        <v>1</v>
      </c>
      <c r="I56" t="b">
        <v>1</v>
      </c>
      <c r="J56" t="b">
        <v>1</v>
      </c>
      <c r="K56" t="b">
        <v>1</v>
      </c>
    </row>
    <row r="57" spans="1:11">
      <c r="A57">
        <f t="shared" si="0"/>
        <v>54</v>
      </c>
      <c r="B57">
        <v>1</v>
      </c>
      <c r="C57" t="str" cm="1">
        <f t="array" ref="C57">GetValue("Sys","Name",B57)</f>
        <v>crudex</v>
      </c>
      <c r="D57">
        <v>2</v>
      </c>
      <c r="E57" t="str" cm="1">
        <f t="array" ref="E57">GetValue("Usr","Name",D57)</f>
        <v>labrego</v>
      </c>
      <c r="F57">
        <v>27</v>
      </c>
      <c r="G57" t="str" cm="1">
        <f t="array" ref="G57">GetValue("Tbl","Name",F57)</f>
        <v>Users</v>
      </c>
      <c r="H57" t="b">
        <v>1</v>
      </c>
      <c r="I57" t="b">
        <v>1</v>
      </c>
      <c r="J57" t="b">
        <v>1</v>
      </c>
      <c r="K57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131E-02CC-496F-BE32-6C8095FB522B}">
  <sheetPr codeName="Planilha22"/>
  <dimension ref="A1:F22"/>
  <sheetViews>
    <sheetView workbookViewId="0">
      <pane ySplit="3" topLeftCell="A4" activePane="bottomLeft" state="frozen"/>
      <selection pane="bottomLeft" activeCell="C2" sqref="C2"/>
    </sheetView>
  </sheetViews>
  <sheetFormatPr defaultColWidth="8.6640625" defaultRowHeight="14.4"/>
  <cols>
    <col min="1" max="1" width="6.21875" bestFit="1" customWidth="1"/>
    <col min="2" max="2" width="10.21875" bestFit="1" customWidth="1"/>
    <col min="3" max="3" width="14.6640625" bestFit="1" customWidth="1"/>
    <col min="4" max="4" width="14" bestFit="1" customWidth="1"/>
    <col min="5" max="5" width="44.33203125" bestFit="1" customWidth="1"/>
    <col min="6" max="6" width="11.77734375" bestFit="1" customWidth="1"/>
  </cols>
  <sheetData>
    <row r="1" spans="1:6" s="1" customFormat="1">
      <c r="A1" s="8" t="s">
        <v>535</v>
      </c>
      <c r="B1" s="8" t="s">
        <v>15</v>
      </c>
      <c r="C1" s="8" t="s">
        <v>104</v>
      </c>
      <c r="D1" s="8" t="s">
        <v>0</v>
      </c>
      <c r="E1" s="8" t="s">
        <v>63</v>
      </c>
      <c r="F1" s="1" t="s">
        <v>23</v>
      </c>
    </row>
    <row r="2" spans="1:6" s="1" customFormat="1">
      <c r="A2" s="1">
        <v>58</v>
      </c>
      <c r="B2" s="1">
        <v>58</v>
      </c>
      <c r="C2" s="1" cm="1">
        <f t="array" ref="C2">GetDomainId("Cat","Name")</f>
        <v>9</v>
      </c>
      <c r="D2" s="1">
        <v>11</v>
      </c>
      <c r="E2" s="1">
        <v>12</v>
      </c>
      <c r="F2" s="1">
        <v>5</v>
      </c>
    </row>
    <row r="3" spans="1:6">
      <c r="A3" s="1" t="str" cm="1">
        <f t="array" ref="A3">GetValue("Dmn","Name",A2)</f>
        <v>TinyId</v>
      </c>
      <c r="B3" s="1" t="str" cm="1">
        <f t="array" ref="B3">GetValue("Dmn","Name",B2)</f>
        <v>TinyId</v>
      </c>
      <c r="C3" s="1" t="str" cm="1">
        <f t="array" ref="C3">GetValue("Dmn","Name",C2)</f>
        <v>NVARCHAR(15)</v>
      </c>
      <c r="D3" s="1" t="str" cm="1">
        <f t="array" ref="D3">GetValue("Dmn","Name",D2)</f>
        <v>NVARCHAR(25)</v>
      </c>
      <c r="E3" s="1" t="str" cm="1">
        <f t="array" ref="E3">GetValue("Dmn","Name",E2)</f>
        <v>NVARCHAR(50)</v>
      </c>
      <c r="F3" s="1" t="str" cm="1">
        <f t="array" ref="F3">GetValue("Dmn","Name",F2)</f>
        <v>Boolean</v>
      </c>
    </row>
    <row r="4" spans="1:6">
      <c r="A4" s="10">
        <f>ROW(A4)-3</f>
        <v>1</v>
      </c>
      <c r="B4" s="10"/>
      <c r="C4" s="10" t="str" cm="1">
        <f t="array" ref="C4">GetValue("Cat","Name",B4)</f>
        <v/>
      </c>
      <c r="D4" s="10" t="s">
        <v>282</v>
      </c>
      <c r="E4" s="10" t="s">
        <v>311</v>
      </c>
      <c r="F4" t="b">
        <v>1</v>
      </c>
    </row>
    <row r="5" spans="1:6">
      <c r="A5" s="10">
        <f t="shared" ref="A5:A22" si="0">ROW(A5)-3</f>
        <v>2</v>
      </c>
      <c r="B5" s="10"/>
      <c r="C5" s="10" t="str" cm="1">
        <f t="array" ref="C5">GetValue("Cat","Name",B5)</f>
        <v/>
      </c>
      <c r="D5" s="10" t="s">
        <v>283</v>
      </c>
      <c r="E5" s="10" t="s">
        <v>312</v>
      </c>
      <c r="F5" t="b">
        <v>1</v>
      </c>
    </row>
    <row r="6" spans="1:6">
      <c r="A6" s="10">
        <f t="shared" si="0"/>
        <v>3</v>
      </c>
      <c r="B6" s="10"/>
      <c r="C6" s="10" t="str" cm="1">
        <f t="array" ref="C6">GetValue("Cat","Name",B6)</f>
        <v/>
      </c>
      <c r="D6" s="10" t="s">
        <v>284</v>
      </c>
      <c r="E6" s="10" t="s">
        <v>313</v>
      </c>
      <c r="F6" t="b">
        <v>1</v>
      </c>
    </row>
    <row r="7" spans="1:6">
      <c r="A7" s="10">
        <f t="shared" si="0"/>
        <v>4</v>
      </c>
      <c r="B7" s="10"/>
      <c r="C7" s="10" t="str" cm="1">
        <f t="array" ref="C7">GetValue("Cat","Name",B7)</f>
        <v/>
      </c>
      <c r="D7" s="10" t="s">
        <v>285</v>
      </c>
      <c r="E7" s="10" t="s">
        <v>314</v>
      </c>
      <c r="F7" t="b">
        <v>1</v>
      </c>
    </row>
    <row r="8" spans="1:6">
      <c r="A8" s="10">
        <f t="shared" si="0"/>
        <v>5</v>
      </c>
      <c r="B8" s="10"/>
      <c r="C8" s="10" t="str" cm="1">
        <f t="array" ref="C8">GetValue("Cat","Name",B8)</f>
        <v/>
      </c>
      <c r="D8" s="10" t="s">
        <v>286</v>
      </c>
      <c r="E8" s="10" t="s">
        <v>315</v>
      </c>
      <c r="F8" t="b">
        <v>1</v>
      </c>
    </row>
    <row r="9" spans="1:6">
      <c r="A9" s="10">
        <f t="shared" si="0"/>
        <v>6</v>
      </c>
      <c r="B9" s="10"/>
      <c r="C9" s="10" t="str" cm="1">
        <f t="array" ref="C9">GetValue("Cat","Name",B9)</f>
        <v/>
      </c>
      <c r="D9" s="10" t="s">
        <v>287</v>
      </c>
      <c r="E9" s="10" t="s">
        <v>316</v>
      </c>
      <c r="F9" t="b">
        <v>1</v>
      </c>
    </row>
    <row r="10" spans="1:6">
      <c r="A10" s="10">
        <f t="shared" si="0"/>
        <v>7</v>
      </c>
      <c r="B10" s="10">
        <v>10</v>
      </c>
      <c r="C10" s="10" t="str" cm="1">
        <f t="array" ref="C10">GetValue("Cat","Name",B10)</f>
        <v>undefined</v>
      </c>
      <c r="D10" s="10" t="s">
        <v>288</v>
      </c>
      <c r="E10" s="10" t="s">
        <v>317</v>
      </c>
      <c r="F10" t="b">
        <v>1</v>
      </c>
    </row>
    <row r="11" spans="1:6">
      <c r="A11" s="10">
        <f t="shared" si="0"/>
        <v>8</v>
      </c>
      <c r="B11" s="10">
        <v>1</v>
      </c>
      <c r="C11" s="10" t="str" cm="1">
        <f t="array" ref="C11">GetValue("Cat","Name",B11)</f>
        <v>string</v>
      </c>
      <c r="D11" s="10" t="s">
        <v>289</v>
      </c>
      <c r="E11" s="10" t="s">
        <v>290</v>
      </c>
      <c r="F11" t="b">
        <v>1</v>
      </c>
    </row>
    <row r="12" spans="1:6">
      <c r="A12" s="10">
        <f t="shared" si="0"/>
        <v>9</v>
      </c>
      <c r="B12" s="10">
        <v>1</v>
      </c>
      <c r="C12" s="10" t="str" cm="1">
        <f t="array" ref="C12">GetValue("Cat","Name",B12)</f>
        <v>string</v>
      </c>
      <c r="D12" s="10" t="s">
        <v>291</v>
      </c>
      <c r="E12" s="10" t="s">
        <v>292</v>
      </c>
      <c r="F12" t="b">
        <v>1</v>
      </c>
    </row>
    <row r="13" spans="1:6">
      <c r="A13" s="10">
        <f t="shared" si="0"/>
        <v>10</v>
      </c>
      <c r="B13" s="10">
        <v>1</v>
      </c>
      <c r="C13" s="10" t="str" cm="1">
        <f t="array" ref="C13">GetValue("Cat","Name",B13)</f>
        <v>string</v>
      </c>
      <c r="D13" s="10" t="s">
        <v>293</v>
      </c>
      <c r="E13" s="10" t="s">
        <v>294</v>
      </c>
      <c r="F13" t="b">
        <v>1</v>
      </c>
    </row>
    <row r="14" spans="1:6">
      <c r="A14" s="10">
        <f t="shared" si="0"/>
        <v>11</v>
      </c>
      <c r="B14" s="10">
        <v>1</v>
      </c>
      <c r="C14" s="10" t="str" cm="1">
        <f t="array" ref="C14">GetValue("Cat","Name",B14)</f>
        <v>string</v>
      </c>
      <c r="D14" s="10" t="s">
        <v>295</v>
      </c>
      <c r="E14" s="10" t="s">
        <v>296</v>
      </c>
      <c r="F14" t="b">
        <v>1</v>
      </c>
    </row>
    <row r="15" spans="1:6">
      <c r="A15" s="10">
        <f t="shared" si="0"/>
        <v>12</v>
      </c>
      <c r="B15" s="10">
        <v>10</v>
      </c>
      <c r="C15" s="10" t="str" cm="1">
        <f t="array" ref="C15">GetValue("Cat","Name",B15)</f>
        <v>undefined</v>
      </c>
      <c r="D15" s="10" t="s">
        <v>297</v>
      </c>
      <c r="E15" s="10" t="s">
        <v>318</v>
      </c>
      <c r="F15" t="b">
        <v>1</v>
      </c>
    </row>
    <row r="16" spans="1:6">
      <c r="A16" s="10">
        <f t="shared" si="0"/>
        <v>13</v>
      </c>
      <c r="B16" s="10">
        <v>10</v>
      </c>
      <c r="C16" s="10" t="str" cm="1">
        <f t="array" ref="C16">GetValue("Cat","Name",B16)</f>
        <v>undefined</v>
      </c>
      <c r="D16" s="10" t="s">
        <v>298</v>
      </c>
      <c r="E16" s="10" t="s">
        <v>319</v>
      </c>
      <c r="F16" t="b">
        <v>1</v>
      </c>
    </row>
    <row r="17" spans="1:6">
      <c r="A17" s="10">
        <f t="shared" si="0"/>
        <v>14</v>
      </c>
      <c r="B17" s="10">
        <v>2</v>
      </c>
      <c r="C17" s="10" t="str" cm="1">
        <f t="array" ref="C17">GetValue("Cat","Name",B17)</f>
        <v>number</v>
      </c>
      <c r="D17" s="10" t="s">
        <v>299</v>
      </c>
      <c r="E17" s="10" t="s">
        <v>300</v>
      </c>
      <c r="F17" t="b">
        <v>1</v>
      </c>
    </row>
    <row r="18" spans="1:6">
      <c r="A18" s="10">
        <f t="shared" si="0"/>
        <v>15</v>
      </c>
      <c r="B18" s="10">
        <v>2</v>
      </c>
      <c r="C18" s="10" t="str" cm="1">
        <f t="array" ref="C18">GetValue("Cat","Name",B18)</f>
        <v>number</v>
      </c>
      <c r="D18" s="10" t="s">
        <v>301</v>
      </c>
      <c r="E18" s="10" t="s">
        <v>302</v>
      </c>
      <c r="F18" t="b">
        <v>1</v>
      </c>
    </row>
    <row r="19" spans="1:6">
      <c r="A19" s="10">
        <f t="shared" si="0"/>
        <v>16</v>
      </c>
      <c r="B19" s="10">
        <v>2</v>
      </c>
      <c r="C19" s="10" t="str" cm="1">
        <f t="array" ref="C19">GetValue("Cat","Name",B19)</f>
        <v>number</v>
      </c>
      <c r="D19" s="10" t="s">
        <v>303</v>
      </c>
      <c r="E19" s="10" t="s">
        <v>304</v>
      </c>
      <c r="F19" t="b">
        <v>1</v>
      </c>
    </row>
    <row r="20" spans="1:6">
      <c r="A20" s="10">
        <f t="shared" si="0"/>
        <v>17</v>
      </c>
      <c r="B20" s="10">
        <v>1</v>
      </c>
      <c r="C20" s="10" t="str" cm="1">
        <f t="array" ref="C20">GetValue("Cat","Name",B20)</f>
        <v>string</v>
      </c>
      <c r="D20" s="10" t="s">
        <v>305</v>
      </c>
      <c r="E20" s="10" t="s">
        <v>306</v>
      </c>
      <c r="F20" t="b">
        <v>1</v>
      </c>
    </row>
    <row r="21" spans="1:6">
      <c r="A21" s="10">
        <f t="shared" si="0"/>
        <v>18</v>
      </c>
      <c r="B21" s="10">
        <v>1</v>
      </c>
      <c r="C21" s="10" t="str" cm="1">
        <f t="array" ref="C21">GetValue("Cat","Name",B21)</f>
        <v>string</v>
      </c>
      <c r="D21" s="10" t="s">
        <v>307</v>
      </c>
      <c r="E21" s="10" t="s">
        <v>308</v>
      </c>
      <c r="F21" t="b">
        <v>1</v>
      </c>
    </row>
    <row r="22" spans="1:6">
      <c r="A22" s="10">
        <f t="shared" si="0"/>
        <v>19</v>
      </c>
      <c r="B22" s="10">
        <v>1</v>
      </c>
      <c r="C22" s="10" t="str" cm="1">
        <f t="array" ref="C22">GetValue("Cat","Name",B22)</f>
        <v>string</v>
      </c>
      <c r="D22" s="10" t="s">
        <v>309</v>
      </c>
      <c r="E22" s="10" t="s">
        <v>310</v>
      </c>
      <c r="F22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49E0-20DA-4D93-8F65-5EDB62AAC15F}">
  <sheetPr codeName="Planilha27"/>
  <dimension ref="A1:F4"/>
  <sheetViews>
    <sheetView workbookViewId="0">
      <pane ySplit="3" topLeftCell="A4" activePane="bottomLeft" state="frozen"/>
      <selection pane="bottomLeft" activeCell="C2" sqref="C2"/>
    </sheetView>
  </sheetViews>
  <sheetFormatPr defaultColWidth="9" defaultRowHeight="14.4"/>
  <cols>
    <col min="1" max="1" width="5.21875" bestFit="1" customWidth="1"/>
    <col min="2" max="2" width="9.5546875" bestFit="1" customWidth="1"/>
    <col min="3" max="4" width="14" bestFit="1" customWidth="1"/>
    <col min="5" max="5" width="11.77734375" bestFit="1" customWidth="1"/>
    <col min="6" max="6" width="7.88671875" bestFit="1" customWidth="1"/>
  </cols>
  <sheetData>
    <row r="1" spans="1:6" s="1" customFormat="1">
      <c r="A1" s="1" t="s">
        <v>535</v>
      </c>
      <c r="B1" s="1" t="s">
        <v>92</v>
      </c>
      <c r="C1" s="1" t="s">
        <v>110</v>
      </c>
      <c r="D1" s="1" t="s">
        <v>0</v>
      </c>
      <c r="E1" s="1" t="s">
        <v>381</v>
      </c>
      <c r="F1" s="1" t="s">
        <v>23</v>
      </c>
    </row>
    <row r="2" spans="1:6" s="1" customFormat="1">
      <c r="A2" s="1">
        <v>55</v>
      </c>
      <c r="B2" s="1">
        <v>55</v>
      </c>
      <c r="C2" s="1" cm="1">
        <f t="array" ref="C2">GetDomainId("Tbl","Name")</f>
        <v>11</v>
      </c>
      <c r="D2" s="1">
        <v>11</v>
      </c>
      <c r="E2" s="1">
        <v>5</v>
      </c>
      <c r="F2" s="1">
        <v>5</v>
      </c>
    </row>
    <row r="3" spans="1:6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NVARCHAR(25)</v>
      </c>
      <c r="E3" s="1" t="str" cm="1">
        <f t="array" ref="E3">GetValue("Dmn","Name",E2)</f>
        <v>Boolean</v>
      </c>
      <c r="F3" s="1" t="str" cm="1">
        <f t="array" ref="F3">GetValue("Dmn","Name",F2)</f>
        <v>Boolean</v>
      </c>
    </row>
    <row r="4" spans="1:6">
      <c r="A4" s="10">
        <f>ROW(A4)-3</f>
        <v>1</v>
      </c>
      <c r="B4">
        <v>1</v>
      </c>
      <c r="C4" t="str" cm="1">
        <f t="array" ref="C4">GetValue("Tbl","Name",B4)</f>
        <v>Categories</v>
      </c>
      <c r="D4" t="s">
        <v>452</v>
      </c>
      <c r="E4" t="b">
        <v>1</v>
      </c>
      <c r="F4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4AB1-B825-4C20-AE7F-F61D49999CBF}">
  <sheetPr codeName="Planilha26"/>
  <dimension ref="A1:L4"/>
  <sheetViews>
    <sheetView workbookViewId="0">
      <pane ySplit="3" topLeftCell="A4" activePane="bottomLeft" state="frozen"/>
      <selection pane="bottomLeft" activeCell="B2" sqref="B2"/>
    </sheetView>
  </sheetViews>
  <sheetFormatPr defaultColWidth="8.21875" defaultRowHeight="14.4"/>
  <cols>
    <col min="1" max="1" width="5.21875" bestFit="1" customWidth="1"/>
    <col min="2" max="2" width="14" bestFit="1" customWidth="1"/>
    <col min="3" max="3" width="10.5546875" bestFit="1" customWidth="1"/>
    <col min="4" max="4" width="9.88671875" bestFit="1" customWidth="1"/>
    <col min="5" max="5" width="10.33203125" bestFit="1" customWidth="1"/>
    <col min="6" max="6" width="12" bestFit="1" customWidth="1"/>
    <col min="7" max="7" width="12.109375" bestFit="1" customWidth="1"/>
    <col min="8" max="8" width="14.44140625" bestFit="1" customWidth="1"/>
    <col min="9" max="9" width="13.5546875" bestFit="1" customWidth="1"/>
    <col min="10" max="10" width="10" bestFit="1" customWidth="1"/>
    <col min="11" max="11" width="15.6640625" bestFit="1" customWidth="1"/>
    <col min="12" max="12" width="11.77734375" bestFit="1" customWidth="1"/>
  </cols>
  <sheetData>
    <row r="1" spans="1:12" s="1" customFormat="1">
      <c r="A1" s="1" t="s">
        <v>535</v>
      </c>
      <c r="B1" s="1" t="s">
        <v>0</v>
      </c>
      <c r="C1" s="1" t="s">
        <v>373</v>
      </c>
      <c r="D1" s="1" t="s">
        <v>326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534</v>
      </c>
      <c r="L1" s="1" t="s">
        <v>23</v>
      </c>
    </row>
    <row r="2" spans="1:12" s="1" customFormat="1">
      <c r="A2" s="1">
        <v>55</v>
      </c>
      <c r="B2" s="1">
        <v>11</v>
      </c>
      <c r="C2" s="1">
        <v>4</v>
      </c>
      <c r="D2" s="1">
        <v>28</v>
      </c>
      <c r="E2" s="1">
        <v>7</v>
      </c>
      <c r="F2" s="1">
        <v>61</v>
      </c>
      <c r="G2" s="1">
        <v>6</v>
      </c>
      <c r="H2" s="1">
        <v>5</v>
      </c>
      <c r="I2" s="1">
        <v>5</v>
      </c>
      <c r="J2" s="1">
        <v>5</v>
      </c>
      <c r="K2" s="1">
        <v>5</v>
      </c>
      <c r="L2" s="1">
        <v>5</v>
      </c>
    </row>
    <row r="3" spans="1:12">
      <c r="A3" s="1" t="str" cm="1">
        <f t="array" ref="A3">GetValue("Dmn","Name",A2)</f>
        <v>BigId</v>
      </c>
      <c r="B3" s="1" t="str" cm="1">
        <f t="array" ref="B3">GetValue("Dmn","Name",B2)</f>
        <v>NVARCHAR(25)</v>
      </c>
      <c r="C3" s="1" t="str" cm="1">
        <f t="array" ref="C3">GetValue("Dmn","Name",C2)</f>
        <v>TinyInteger</v>
      </c>
      <c r="D3" s="1" t="str" cm="1">
        <f t="array" ref="D3">GetValue("Dmn","Name",D2)</f>
        <v>Periodicity</v>
      </c>
      <c r="E3" s="1" t="str" cm="1">
        <f t="array" ref="E3">GetValue("Dmn","Name",E2)</f>
        <v>TIME</v>
      </c>
      <c r="F3" s="1" t="str" cm="1">
        <f t="array" ref="F3">GetValue("Dmn","Name",F2)</f>
        <v>DayOfMonth</v>
      </c>
      <c r="G3" s="1" t="str" cm="1">
        <f t="array" ref="G3">GetValue("Dmn","Name",G2)</f>
        <v>DATE</v>
      </c>
      <c r="H3" s="1" t="str" cm="1">
        <f t="array" ref="H3">GetValue("Dmn","Name",H2)</f>
        <v>Boolean</v>
      </c>
      <c r="I3" s="1" t="str" cm="1">
        <f t="array" ref="I3">GetValue("Dmn","Name",I2)</f>
        <v>Boolean</v>
      </c>
      <c r="J3" s="1" t="str" cm="1">
        <f t="array" ref="J3">GetValue("Dmn","Name",J2)</f>
        <v>Boolean</v>
      </c>
      <c r="K3" s="1" t="str" cm="1">
        <f t="array" ref="K3">GetValue("Dmn","Name",K2)</f>
        <v>Boolean</v>
      </c>
      <c r="L3" s="1" t="str" cm="1">
        <f t="array" ref="L3">GetValue("Dmn","Name",L2)</f>
        <v>Boolean</v>
      </c>
    </row>
    <row r="4" spans="1:12">
      <c r="A4" s="10">
        <f>ROW(A4)-3</f>
        <v>1</v>
      </c>
      <c r="B4" t="s">
        <v>450</v>
      </c>
      <c r="C4">
        <v>1</v>
      </c>
      <c r="D4" t="s">
        <v>451</v>
      </c>
      <c r="E4" s="23">
        <v>0.33333333333333331</v>
      </c>
      <c r="L4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8F46-E567-4B6C-A6C4-C5562FEB5363}">
  <sheetPr codeName="Planilha28"/>
  <dimension ref="A1:I4"/>
  <sheetViews>
    <sheetView workbookViewId="0">
      <pane ySplit="3" topLeftCell="A4" activePane="bottomLeft" state="frozen"/>
      <selection pane="bottomLeft" activeCell="I5" sqref="I5"/>
    </sheetView>
  </sheetViews>
  <sheetFormatPr defaultRowHeight="14.4"/>
  <cols>
    <col min="1" max="1" width="5.21875" bestFit="1" customWidth="1"/>
    <col min="2" max="2" width="8" bestFit="1" customWidth="1"/>
    <col min="3" max="3" width="14" bestFit="1" customWidth="1"/>
    <col min="4" max="4" width="11" bestFit="1" customWidth="1"/>
    <col min="5" max="5" width="15.44140625" bestFit="1" customWidth="1"/>
    <col min="6" max="6" width="12.33203125" bestFit="1" customWidth="1"/>
    <col min="7" max="7" width="16.77734375" bestFit="1" customWidth="1"/>
    <col min="8" max="8" width="10.109375" bestFit="1" customWidth="1"/>
    <col min="9" max="9" width="19.6640625" bestFit="1" customWidth="1"/>
  </cols>
  <sheetData>
    <row r="1" spans="1:9" s="1" customFormat="1">
      <c r="A1" s="1" t="s">
        <v>535</v>
      </c>
      <c r="B1" s="1" t="s">
        <v>713</v>
      </c>
      <c r="C1" s="1" t="s">
        <v>714</v>
      </c>
      <c r="D1" s="1" t="s">
        <v>711</v>
      </c>
      <c r="E1" s="1" t="s">
        <v>712</v>
      </c>
      <c r="F1" s="1" t="s">
        <v>634</v>
      </c>
      <c r="G1" s="1" t="s">
        <v>635</v>
      </c>
      <c r="H1" s="1" t="s">
        <v>66</v>
      </c>
      <c r="I1" s="1" t="s">
        <v>380</v>
      </c>
    </row>
    <row r="2" spans="1:9" s="1" customFormat="1">
      <c r="A2" s="1">
        <v>55</v>
      </c>
      <c r="B2" s="1">
        <v>55</v>
      </c>
      <c r="C2" s="1" cm="1">
        <f t="array" ref="C2">GetDomainId("Snp","Name")</f>
        <v>11</v>
      </c>
      <c r="D2" s="1">
        <v>55</v>
      </c>
      <c r="E2" s="1" cm="1">
        <f t="array" ref="E2">GetDomainId("Sch","Name")</f>
        <v>11</v>
      </c>
      <c r="F2" s="1">
        <v>55</v>
      </c>
      <c r="G2" s="1" cm="1">
        <f t="array" ref="G2">GetDomainId("Con","Name")</f>
        <v>11</v>
      </c>
      <c r="H2" s="1">
        <v>59</v>
      </c>
      <c r="I2" s="1">
        <v>54</v>
      </c>
    </row>
    <row r="3" spans="1:9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BigId</v>
      </c>
      <c r="G3" s="1" t="str" cm="1">
        <f t="array" ref="G3">GetValue("Dmn","Name",G2)</f>
        <v>NVARCHAR(25)</v>
      </c>
      <c r="H3" s="1" t="str" cm="1">
        <f t="array" ref="H3">GetValue("Dmn","Name",H2)</f>
        <v>SEQUENCE</v>
      </c>
      <c r="I3" s="1" t="str" cm="1">
        <f t="array" ref="I3">GetValue("Dmn","Name",I2)</f>
        <v>SQL</v>
      </c>
    </row>
    <row r="4" spans="1:9">
      <c r="A4" s="10">
        <f>ROW(A4)-3</f>
        <v>1</v>
      </c>
      <c r="C4" s="10" t="str" cm="1">
        <f t="array" ref="C4">GetValue("Snp","Name",B4)</f>
        <v/>
      </c>
      <c r="D4" s="10">
        <v>1</v>
      </c>
      <c r="E4" s="10" t="str" cm="1">
        <f t="array" ref="E4">GetValue("Sch","Name",D4)</f>
        <v>Sch001</v>
      </c>
      <c r="F4">
        <v>1</v>
      </c>
      <c r="G4" t="str" cm="1">
        <f t="array" ref="G4">GetValue("Con","Name",F4)</f>
        <v>crudex</v>
      </c>
      <c r="H4">
        <v>5</v>
      </c>
      <c r="I4" t="s">
        <v>453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357AC-D4CA-4211-A6F4-23DE83980A37}">
  <sheetPr codeName="Planilha29"/>
  <dimension ref="A1:H4"/>
  <sheetViews>
    <sheetView workbookViewId="0">
      <pane ySplit="3" topLeftCell="A4" activePane="bottomLeft" state="frozen"/>
      <selection pane="bottomLeft" activeCell="C2" sqref="C2"/>
    </sheetView>
  </sheetViews>
  <sheetFormatPr defaultRowHeight="14.4"/>
  <cols>
    <col min="1" max="1" width="5.21875" bestFit="1" customWidth="1"/>
    <col min="2" max="2" width="8" bestFit="1" customWidth="1"/>
    <col min="3" max="3" width="14" bestFit="1" customWidth="1"/>
    <col min="4" max="4" width="11" bestFit="1" customWidth="1"/>
    <col min="5" max="5" width="15.44140625" bestFit="1" customWidth="1"/>
    <col min="6" max="6" width="10.109375" bestFit="1" customWidth="1"/>
    <col min="7" max="7" width="12.77734375" bestFit="1" customWidth="1"/>
    <col min="8" max="8" width="14.77734375" bestFit="1" customWidth="1"/>
  </cols>
  <sheetData>
    <row r="1" spans="1:8">
      <c r="A1" s="1" t="s">
        <v>535</v>
      </c>
      <c r="B1" s="1" t="s">
        <v>713</v>
      </c>
      <c r="C1" s="1" t="s">
        <v>714</v>
      </c>
      <c r="D1" s="1" t="s">
        <v>711</v>
      </c>
      <c r="E1" s="1" t="s">
        <v>712</v>
      </c>
      <c r="F1" s="1" t="s">
        <v>66</v>
      </c>
      <c r="G1" s="1" t="s">
        <v>457</v>
      </c>
      <c r="H1" s="1" t="s">
        <v>513</v>
      </c>
    </row>
    <row r="2" spans="1:8" s="1" customFormat="1">
      <c r="A2" s="1">
        <v>55</v>
      </c>
      <c r="B2" s="1">
        <v>55</v>
      </c>
      <c r="C2" s="1" cm="1">
        <f t="array" ref="C2">GetDomainId("Snp","Name")</f>
        <v>11</v>
      </c>
      <c r="D2" s="1">
        <v>55</v>
      </c>
      <c r="E2" s="1" cm="1">
        <f t="array" ref="E2">GetDomainId("Sch","Name")</f>
        <v>11</v>
      </c>
      <c r="F2" s="1">
        <v>59</v>
      </c>
      <c r="G2" s="1">
        <v>32</v>
      </c>
      <c r="H2" s="1">
        <v>60</v>
      </c>
    </row>
    <row r="3" spans="1:8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SEQUENCE</v>
      </c>
      <c r="G3" s="1" t="str" cm="1">
        <f t="array" ref="G3">GetValue("Dmn","Name",G2)</f>
        <v>Fetch Method</v>
      </c>
      <c r="H3" s="1" t="str" cm="1">
        <f t="array" ref="H3">GetValue("Dmn","Name",H2)</f>
        <v>URL</v>
      </c>
    </row>
    <row r="4" spans="1:8">
      <c r="A4" s="10">
        <f>ROW(A1)</f>
        <v>1</v>
      </c>
      <c r="B4">
        <v>1</v>
      </c>
      <c r="C4" s="10" t="str" cm="1">
        <f t="array" ref="C4">GetValue("Snp","Name",B4)</f>
        <v>Snp0001</v>
      </c>
      <c r="D4" s="10"/>
      <c r="E4" s="10" t="str" cm="1">
        <f t="array" ref="E4">GetValue("Sch","Name",D4)</f>
        <v/>
      </c>
      <c r="F4">
        <v>10</v>
      </c>
      <c r="G4" t="s">
        <v>458</v>
      </c>
      <c r="H4" s="24" t="s">
        <v>456</v>
      </c>
    </row>
  </sheetData>
  <hyperlinks>
    <hyperlink ref="H4" r:id="rId1" xr:uid="{F07F0C18-90C0-44D5-AAA3-2469EB86B53B}"/>
  </hyperlink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2EC94-D0AE-4B47-8BDC-EF663937B58B}">
  <sheetPr codeName="Planilha25"/>
  <dimension ref="A1:J23"/>
  <sheetViews>
    <sheetView workbookViewId="0">
      <pane ySplit="3" topLeftCell="A4" activePane="bottomLeft" state="frozen"/>
      <selection pane="bottomLeft" activeCell="C2" sqref="C2"/>
    </sheetView>
  </sheetViews>
  <sheetFormatPr defaultColWidth="9" defaultRowHeight="14.4"/>
  <cols>
    <col min="1" max="1" width="5.21875" bestFit="1" customWidth="1"/>
    <col min="2" max="2" width="9.21875" bestFit="1" customWidth="1"/>
    <col min="3" max="4" width="14" bestFit="1" customWidth="1"/>
    <col min="5" max="5" width="11.5546875" bestFit="1" customWidth="1"/>
    <col min="6" max="6" width="16" bestFit="1" customWidth="1"/>
    <col min="7" max="7" width="10" bestFit="1" customWidth="1"/>
    <col min="8" max="8" width="14.44140625" bestFit="1" customWidth="1"/>
    <col min="9" max="9" width="8.6640625" bestFit="1" customWidth="1"/>
  </cols>
  <sheetData>
    <row r="1" spans="1:10" s="1" customFormat="1">
      <c r="A1" s="8" t="s">
        <v>535</v>
      </c>
      <c r="B1" s="8" t="s">
        <v>96</v>
      </c>
      <c r="C1" s="8" t="s">
        <v>370</v>
      </c>
      <c r="D1" s="1" t="s">
        <v>113</v>
      </c>
      <c r="E1" s="1" t="s">
        <v>356</v>
      </c>
      <c r="F1" s="1" t="s">
        <v>369</v>
      </c>
      <c r="G1" s="1" t="s">
        <v>357</v>
      </c>
      <c r="H1" s="1" t="s">
        <v>322</v>
      </c>
      <c r="I1" s="1" t="s">
        <v>229</v>
      </c>
      <c r="J1" s="1" t="s">
        <v>641</v>
      </c>
    </row>
    <row r="2" spans="1:10" s="1" customFormat="1">
      <c r="A2" s="1">
        <v>55</v>
      </c>
      <c r="B2" s="1">
        <v>55</v>
      </c>
      <c r="C2" s="1" cm="1">
        <f t="array" ref="C2">GetDomainId("Tbl","Alias")</f>
        <v>10</v>
      </c>
      <c r="D2" s="1" cm="1">
        <f t="array" ref="D2">GetDomainId("Col","Name")</f>
        <v>11</v>
      </c>
      <c r="E2" s="1">
        <v>55</v>
      </c>
      <c r="F2" s="1" cm="1">
        <f t="array" ref="F2">GetDomainId("Exp","Name")</f>
        <v>11</v>
      </c>
      <c r="G2" s="1">
        <v>58</v>
      </c>
      <c r="H2" s="1" cm="1">
        <f t="array" ref="H2">GetDomainId("Prp","Name")</f>
        <v>11</v>
      </c>
      <c r="I2" s="1">
        <v>24</v>
      </c>
      <c r="J2" s="1">
        <v>24</v>
      </c>
    </row>
    <row r="3" spans="1:10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NVARCHAR(20)</v>
      </c>
      <c r="D3" s="1" t="str" cm="1">
        <f t="array" ref="D3">GetValue("Dmn","Name",D2)</f>
        <v>NVARCHAR(25)</v>
      </c>
      <c r="E3" s="1" t="str" cm="1">
        <f t="array" ref="E3">GetValue("Dmn","Name",E2)</f>
        <v>BigId</v>
      </c>
      <c r="F3" s="1" t="str" cm="1">
        <f t="array" ref="F3">GetValue("Dmn","Name",F2)</f>
        <v>NVARCHAR(25)</v>
      </c>
      <c r="G3" s="1" t="str" cm="1">
        <f t="array" ref="G3">GetValue("Dmn","Name",G2)</f>
        <v>TinyId</v>
      </c>
      <c r="H3" s="1" t="str" cm="1">
        <f t="array" ref="H3">GetValue("Dmn","Name",H2)</f>
        <v>NVARCHAR(25)</v>
      </c>
      <c r="I3" s="1" t="str" cm="1">
        <f t="array" ref="I3">GetValue("Dmn","Name",I2)</f>
        <v>VARIANT</v>
      </c>
      <c r="J3" s="1" t="str" cm="1">
        <f t="array" ref="J3">GetValue("Dmn","Name",J2)</f>
        <v>VARIANT</v>
      </c>
    </row>
    <row r="4" spans="1:10">
      <c r="A4" s="10">
        <f>ROW(A4)-3</f>
        <v>1</v>
      </c>
      <c r="B4" s="10">
        <v>1</v>
      </c>
      <c r="C4" t="str" cm="1">
        <f t="array" ref="C4">GetValue("Col","#TableAlias",B4)</f>
        <v>Cat</v>
      </c>
      <c r="D4" t="str" cm="1">
        <f t="array" ref="D4">GetValue("Col","Name",B4)</f>
        <v>Id</v>
      </c>
      <c r="E4">
        <v>1</v>
      </c>
      <c r="F4" t="str" cm="1">
        <f t="array" ref="F4">GetValue("Exp","Name",E4)</f>
        <v>Expression 0001</v>
      </c>
      <c r="G4">
        <v>2</v>
      </c>
      <c r="H4" s="14" t="str" cm="1">
        <f t="array" ref="H4">GetValue("Prp","Name",G4)</f>
        <v>enabled</v>
      </c>
      <c r="I4" t="s">
        <v>282</v>
      </c>
    </row>
    <row r="5" spans="1:10">
      <c r="A5" s="10"/>
      <c r="B5" s="10"/>
      <c r="C5" s="10"/>
    </row>
    <row r="6" spans="1:10">
      <c r="A6" s="10"/>
      <c r="B6" s="10"/>
      <c r="C6" s="10"/>
    </row>
    <row r="7" spans="1:10">
      <c r="A7" s="10"/>
      <c r="B7" s="10"/>
      <c r="C7" s="10"/>
    </row>
    <row r="8" spans="1:10">
      <c r="A8" s="10"/>
      <c r="B8" s="10"/>
      <c r="C8" s="10"/>
    </row>
    <row r="9" spans="1:10">
      <c r="A9" s="10"/>
      <c r="B9" s="10"/>
      <c r="C9" s="10"/>
    </row>
    <row r="10" spans="1:10">
      <c r="A10" s="10"/>
      <c r="B10" s="10"/>
      <c r="C10" s="10"/>
    </row>
    <row r="11" spans="1:10">
      <c r="A11" s="10"/>
      <c r="B11" s="10"/>
      <c r="C11" s="10"/>
    </row>
    <row r="12" spans="1:10">
      <c r="A12" s="10"/>
      <c r="B12" s="10"/>
      <c r="C12" s="10"/>
    </row>
    <row r="13" spans="1:10">
      <c r="A13" s="10"/>
      <c r="B13" s="10"/>
      <c r="C13" s="10"/>
    </row>
    <row r="14" spans="1:10">
      <c r="A14" s="10"/>
      <c r="B14" s="10"/>
      <c r="C14" s="10"/>
    </row>
    <row r="15" spans="1:10">
      <c r="A15" s="10"/>
      <c r="B15" s="10"/>
      <c r="C15" s="10"/>
    </row>
    <row r="16" spans="1:10">
      <c r="A16" s="10"/>
      <c r="B16" s="10"/>
      <c r="C16" s="10"/>
    </row>
    <row r="17" spans="1:3">
      <c r="A17" s="10"/>
      <c r="B17" s="10"/>
      <c r="C17" s="10"/>
    </row>
    <row r="18" spans="1:3">
      <c r="A18" s="10"/>
      <c r="B18" s="10"/>
      <c r="C18" s="10"/>
    </row>
    <row r="19" spans="1:3">
      <c r="A19" s="10"/>
      <c r="B19" s="10"/>
      <c r="C19" s="10"/>
    </row>
    <row r="20" spans="1:3">
      <c r="A20" s="10"/>
      <c r="B20" s="10"/>
      <c r="C20" s="10"/>
    </row>
    <row r="21" spans="1:3">
      <c r="A21" s="10"/>
      <c r="B21" s="10"/>
      <c r="C21" s="10"/>
    </row>
    <row r="22" spans="1:3">
      <c r="A22" s="10"/>
      <c r="B22" s="10"/>
      <c r="C22" s="10"/>
    </row>
    <row r="23" spans="1:3">
      <c r="A23" s="10"/>
      <c r="B23" s="10"/>
      <c r="C23" s="10"/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85A5-4B65-40DF-95ED-9854F62A8A2A}">
  <sheetPr codeName="Planilha14"/>
  <dimension ref="A1:I4"/>
  <sheetViews>
    <sheetView workbookViewId="0">
      <pane ySplit="3" topLeftCell="A4" activePane="bottomLeft" state="frozen"/>
      <selection pane="bottomLeft" activeCell="C1" sqref="C1:C1048576"/>
    </sheetView>
  </sheetViews>
  <sheetFormatPr defaultRowHeight="14.4"/>
  <cols>
    <col min="1" max="1" width="5.21875" bestFit="1" customWidth="1"/>
    <col min="2" max="2" width="8.88671875" bestFit="1" customWidth="1"/>
    <col min="3" max="3" width="14" bestFit="1" customWidth="1"/>
    <col min="4" max="4" width="8.77734375" bestFit="1" customWidth="1"/>
    <col min="5" max="5" width="14" bestFit="1" customWidth="1"/>
    <col min="6" max="6" width="6.44140625" bestFit="1" customWidth="1"/>
    <col min="7" max="7" width="14" bestFit="1" customWidth="1"/>
    <col min="8" max="8" width="15" bestFit="1" customWidth="1"/>
    <col min="9" max="9" width="8.44140625" bestFit="1" customWidth="1"/>
  </cols>
  <sheetData>
    <row r="1" spans="1:9" s="1" customFormat="1">
      <c r="A1" s="1" t="s">
        <v>535</v>
      </c>
      <c r="B1" s="1" t="s">
        <v>568</v>
      </c>
      <c r="C1" s="1" t="s">
        <v>567</v>
      </c>
      <c r="D1" s="1" t="s">
        <v>65</v>
      </c>
      <c r="E1" s="1" t="s">
        <v>108</v>
      </c>
      <c r="F1" s="1" t="s">
        <v>79</v>
      </c>
      <c r="G1" s="1" t="s">
        <v>107</v>
      </c>
      <c r="H1" s="1" t="s">
        <v>101</v>
      </c>
      <c r="I1" s="1" t="s">
        <v>103</v>
      </c>
    </row>
    <row r="2" spans="1:9" s="1" customFormat="1">
      <c r="A2" s="1">
        <v>55</v>
      </c>
      <c r="B2" s="1">
        <v>57</v>
      </c>
      <c r="C2" s="1" cm="1">
        <f t="array" ref="C2">GetDomainId("Own","Name")</f>
        <v>11</v>
      </c>
      <c r="D2" s="1">
        <v>55</v>
      </c>
      <c r="E2" s="1" cm="1">
        <f t="array" ref="E2">GetDomainId("Sys","Name")</f>
        <v>11</v>
      </c>
      <c r="F2" s="1">
        <v>55</v>
      </c>
      <c r="G2" s="1" cm="1">
        <f t="array" ref="G2">GetDomainId("Usr","Name")</f>
        <v>11</v>
      </c>
      <c r="H2" s="1">
        <v>13</v>
      </c>
      <c r="I2" s="1">
        <v>5</v>
      </c>
    </row>
    <row r="3" spans="1:9">
      <c r="A3" s="1" t="str" cm="1">
        <f t="array" ref="A3">GetValue("Dmn","Name",A2)</f>
        <v>BigId</v>
      </c>
      <c r="B3" s="1" t="str" cm="1">
        <f t="array" ref="B3">GetValue("Dmn","Name",B2)</f>
        <v>SmallId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BigId</v>
      </c>
      <c r="G3" s="1" t="str" cm="1">
        <f t="array" ref="G3">GetValue("Dmn","Name",G2)</f>
        <v>NVARCHAR(25)</v>
      </c>
      <c r="H3" s="1" t="str" cm="1">
        <f t="array" ref="H3">GetValue("Dmn","Name",H2)</f>
        <v>NVARCHAR(256)</v>
      </c>
      <c r="I3" s="1" t="str" cm="1">
        <f t="array" ref="I3">GetValue("Dmn","Name",I2)</f>
        <v>Boolean</v>
      </c>
    </row>
    <row r="4" spans="1:9">
      <c r="A4" s="10">
        <f>ROW(A4)-3</f>
        <v>1</v>
      </c>
      <c r="B4">
        <v>1</v>
      </c>
      <c r="C4" t="str" cm="1">
        <f t="array" ref="C4">GetValue("Own","Name",B4)</f>
        <v>SoftLab</v>
      </c>
      <c r="D4">
        <v>1</v>
      </c>
      <c r="E4" t="str" cm="1">
        <f t="array" ref="E4">GetValue("Sys","Name",D4)</f>
        <v>crudex</v>
      </c>
      <c r="F4">
        <v>1</v>
      </c>
      <c r="G4" t="str" cm="1">
        <f t="array" ref="G4">GetValue("Usr","Name",F4)</f>
        <v>adm</v>
      </c>
      <c r="I4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ED12-3921-4D5A-840C-76B3B35BF9F1}">
  <sheetPr codeName="Planilha4"/>
  <dimension ref="A1:C4"/>
  <sheetViews>
    <sheetView workbookViewId="0">
      <pane ySplit="3" topLeftCell="A4" activePane="bottomLeft" state="frozen"/>
      <selection pane="bottomLeft" activeCell="D8" sqref="D8"/>
    </sheetView>
  </sheetViews>
  <sheetFormatPr defaultRowHeight="14.4"/>
  <cols>
    <col min="1" max="1" width="5.21875" bestFit="1" customWidth="1"/>
    <col min="2" max="2" width="8.88671875" bestFit="1" customWidth="1"/>
    <col min="3" max="3" width="11.21875" bestFit="1" customWidth="1"/>
  </cols>
  <sheetData>
    <row r="1" spans="1:3" s="1" customFormat="1">
      <c r="A1" s="1" t="s">
        <v>535</v>
      </c>
      <c r="B1" s="1" t="s">
        <v>142</v>
      </c>
      <c r="C1" s="1" t="s">
        <v>124</v>
      </c>
    </row>
    <row r="2" spans="1:3" s="1" customFormat="1">
      <c r="A2" s="1">
        <v>55</v>
      </c>
      <c r="B2" s="1">
        <v>55</v>
      </c>
      <c r="C2" s="1">
        <v>5</v>
      </c>
    </row>
    <row r="3" spans="1:3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Boolean</v>
      </c>
    </row>
    <row r="4" spans="1:3">
      <c r="A4" s="10">
        <f>ROW(A1)</f>
        <v>1</v>
      </c>
      <c r="B4">
        <v>1</v>
      </c>
      <c r="C4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DC4C-67DA-47D6-A152-94EBA3FCCF15}">
  <sheetPr codeName="Planilha15"/>
  <dimension ref="A1:G4"/>
  <sheetViews>
    <sheetView workbookViewId="0">
      <pane ySplit="3" topLeftCell="A4" activePane="bottomLeft" state="frozen"/>
      <selection pane="bottomLeft" activeCell="C3" sqref="C3"/>
    </sheetView>
  </sheetViews>
  <sheetFormatPr defaultRowHeight="14.4"/>
  <cols>
    <col min="1" max="1" width="5.21875" bestFit="1" customWidth="1"/>
    <col min="2" max="2" width="12.44140625" bestFit="1" customWidth="1"/>
    <col min="3" max="3" width="14" bestFit="1" customWidth="1"/>
    <col min="4" max="4" width="14.77734375" bestFit="1" customWidth="1"/>
    <col min="5" max="5" width="10.21875" bestFit="1" customWidth="1"/>
    <col min="6" max="6" width="12.21875" bestFit="1" customWidth="1"/>
    <col min="7" max="7" width="11.21875" bestFit="1" customWidth="1"/>
  </cols>
  <sheetData>
    <row r="1" spans="1:7" s="1" customFormat="1">
      <c r="A1" s="1" t="s">
        <v>535</v>
      </c>
      <c r="B1" s="1" t="s">
        <v>125</v>
      </c>
      <c r="C1" s="1" t="s">
        <v>126</v>
      </c>
      <c r="D1" s="1" t="s">
        <v>69</v>
      </c>
      <c r="E1" s="1" t="s">
        <v>128</v>
      </c>
      <c r="F1" s="1" t="s">
        <v>127</v>
      </c>
      <c r="G1" s="1" t="s">
        <v>124</v>
      </c>
    </row>
    <row r="2" spans="1:7" s="1" customFormat="1">
      <c r="A2" s="1">
        <v>55</v>
      </c>
      <c r="B2" s="1">
        <v>55</v>
      </c>
      <c r="C2" s="1">
        <v>11</v>
      </c>
      <c r="D2" s="1">
        <v>27</v>
      </c>
      <c r="E2" s="1">
        <v>25</v>
      </c>
      <c r="F2" s="1">
        <v>25</v>
      </c>
      <c r="G2" s="1">
        <v>5</v>
      </c>
    </row>
    <row r="3" spans="1:7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CRUD Operation</v>
      </c>
      <c r="E3" s="1" t="str" cm="1">
        <f t="array" ref="E3">GetValue("Dmn","Name",E2)</f>
        <v>JSON</v>
      </c>
      <c r="F3" s="1" t="str" cm="1">
        <f t="array" ref="F3">GetValue("Dmn","Name",F2)</f>
        <v>JSON</v>
      </c>
      <c r="G3" s="1" t="str" cm="1">
        <f t="array" ref="G3">GetValue("Dmn","Name",G2)</f>
        <v>Boolean</v>
      </c>
    </row>
    <row r="4" spans="1:7">
      <c r="A4" s="10">
        <f>ROW(A4)-3</f>
        <v>1</v>
      </c>
      <c r="B4">
        <v>1</v>
      </c>
      <c r="C4" t="s">
        <v>88</v>
      </c>
      <c r="D4" t="s">
        <v>454</v>
      </c>
      <c r="E4" t="s">
        <v>455</v>
      </c>
      <c r="F4" t="s">
        <v>455</v>
      </c>
      <c r="G4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0EEA-3FA6-46A1-A991-1F09C779CAAD}">
  <sheetPr codeName="Planilha34"/>
  <dimension ref="A1:F44"/>
  <sheetViews>
    <sheetView zoomScaleNormal="100" workbookViewId="0">
      <pane ySplit="3" topLeftCell="A4" activePane="bottomLeft" state="frozen"/>
      <selection pane="bottomLeft" activeCell="E2" sqref="E2"/>
    </sheetView>
  </sheetViews>
  <sheetFormatPr defaultRowHeight="14.4"/>
  <cols>
    <col min="1" max="1" width="5.21875" bestFit="1" customWidth="1"/>
    <col min="2" max="2" width="8.21875" bestFit="1" customWidth="1"/>
    <col min="3" max="3" width="14" bestFit="1" customWidth="1"/>
    <col min="4" max="4" width="9.21875" bestFit="1" customWidth="1"/>
    <col min="5" max="5" width="14" bestFit="1" customWidth="1"/>
    <col min="6" max="6" width="12.109375" bestFit="1" customWidth="1"/>
  </cols>
  <sheetData>
    <row r="1" spans="1:6" s="1" customFormat="1">
      <c r="A1" s="1" t="s">
        <v>535</v>
      </c>
      <c r="B1" s="1" t="s">
        <v>651</v>
      </c>
      <c r="C1" s="1" t="s">
        <v>370</v>
      </c>
      <c r="D1" s="1" t="s">
        <v>96</v>
      </c>
      <c r="E1" s="1" t="s">
        <v>113</v>
      </c>
      <c r="F1" s="1" t="s">
        <v>650</v>
      </c>
    </row>
    <row r="2" spans="1:6" s="1" customFormat="1">
      <c r="A2" s="1">
        <v>55</v>
      </c>
      <c r="B2" s="1" cm="1">
        <f t="array" ref="B2">GetDomainId("Tbl","*Id")</f>
        <v>55</v>
      </c>
      <c r="C2" s="1" cm="1">
        <f t="array" ref="C2">GetDomainId("Tbl","Alias")</f>
        <v>10</v>
      </c>
      <c r="D2" s="1">
        <v>55</v>
      </c>
      <c r="E2" s="1" cm="1">
        <f t="array" ref="E2">GetDomainId("Col","Name")</f>
        <v>11</v>
      </c>
      <c r="F2" s="1">
        <v>55</v>
      </c>
    </row>
    <row r="3" spans="1:6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NVARCHAR(20)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BigId</v>
      </c>
    </row>
    <row r="4" spans="1:6">
      <c r="A4" s="10">
        <f>ROW(A4)-3</f>
        <v>1</v>
      </c>
      <c r="B4">
        <v>1</v>
      </c>
      <c r="C4" t="str" cm="1">
        <f t="array" ref="C4">GetValue("Tbl","Alias",B4)</f>
        <v>Cat</v>
      </c>
      <c r="D4" cm="1">
        <f t="array" ref="D4">GetPkId(B4)</f>
        <v>1</v>
      </c>
      <c r="E4" t="str" cm="1">
        <f t="array" ref="E4">GetValue("Col","Name",D4)</f>
        <v>Id</v>
      </c>
      <c r="F4" cm="1">
        <f t="array" ref="F4">GetLastId(C4)</f>
        <v>10</v>
      </c>
    </row>
    <row r="5" spans="1:6">
      <c r="A5" s="10">
        <f t="shared" ref="A5:A44" si="0">ROW(A5)-3</f>
        <v>2</v>
      </c>
      <c r="B5">
        <v>2</v>
      </c>
      <c r="C5" t="str" cm="1">
        <f t="array" ref="C5">GetValue("Tbl","Alias",B5)</f>
        <v>Cmp</v>
      </c>
      <c r="D5" cm="1">
        <f t="array" ref="D5">GetPkId(B5)</f>
        <v>14</v>
      </c>
      <c r="E5" t="str" cm="1">
        <f t="array" ref="E5">GetValue("Col","Name",D5)</f>
        <v>Id</v>
      </c>
      <c r="F5" cm="1">
        <f t="array" ref="F5">GetLastId(C5)</f>
        <v>14</v>
      </c>
    </row>
    <row r="6" spans="1:6">
      <c r="A6" s="10">
        <f t="shared" si="0"/>
        <v>3</v>
      </c>
      <c r="B6">
        <v>3</v>
      </c>
      <c r="C6" t="str" cm="1">
        <f t="array" ref="C6">GetValue("Tbl","Alias",B6)</f>
        <v>Rul</v>
      </c>
      <c r="D6" cm="1">
        <f t="array" ref="D6">GetPkId(B6)</f>
        <v>19</v>
      </c>
      <c r="E6" t="str" cm="1">
        <f t="array" ref="E6">GetValue("Col","Name",D6)</f>
        <v>Id</v>
      </c>
      <c r="F6" cm="1">
        <f t="array" ref="F6">GetLastId(C6)</f>
        <v>68</v>
      </c>
    </row>
    <row r="7" spans="1:6">
      <c r="A7" s="10">
        <f t="shared" si="0"/>
        <v>4</v>
      </c>
      <c r="B7">
        <v>4</v>
      </c>
      <c r="C7" t="str" cm="1">
        <f t="array" ref="C7">GetValue("Tbl","Alias",B7)</f>
        <v>Eng</v>
      </c>
      <c r="D7" cm="1">
        <f t="array" ref="D7">GetPkId(B7)</f>
        <v>22</v>
      </c>
      <c r="E7" t="str" cm="1">
        <f t="array" ref="E7">GetValue("Col","Name",D7)</f>
        <v>Id</v>
      </c>
      <c r="F7" cm="1">
        <f t="array" ref="F7">GetLastId(C7)</f>
        <v>10</v>
      </c>
    </row>
    <row r="8" spans="1:6">
      <c r="A8" s="10">
        <f t="shared" si="0"/>
        <v>5</v>
      </c>
      <c r="B8">
        <v>5</v>
      </c>
      <c r="C8" t="str" cm="1">
        <f t="array" ref="C8">GetValue("Tbl","Alias",B8)</f>
        <v>Typ</v>
      </c>
      <c r="D8" cm="1">
        <f t="array" ref="D8">GetPkId(B8)</f>
        <v>29</v>
      </c>
      <c r="E8" t="str" cm="1">
        <f t="array" ref="E8">GetValue("Col","Name",D8)</f>
        <v>Id</v>
      </c>
      <c r="F8" cm="1">
        <f t="array" ref="F8">GetLastId(C8)</f>
        <v>41</v>
      </c>
    </row>
    <row r="9" spans="1:6">
      <c r="A9" s="10">
        <f t="shared" si="0"/>
        <v>6</v>
      </c>
      <c r="B9">
        <v>6</v>
      </c>
      <c r="C9" t="str" cm="1">
        <f t="array" ref="C9">GetValue("Tbl","Alias",B9)</f>
        <v>Map</v>
      </c>
      <c r="D9" cm="1">
        <f t="array" ref="D9">GetPkId(B9)</f>
        <v>40</v>
      </c>
      <c r="E9" t="str" cm="1">
        <f t="array" ref="E9">GetValue("Col","Name",D9)</f>
        <v>Id</v>
      </c>
      <c r="F9" cm="1">
        <f t="array" ref="F9">GetLastId(C9)</f>
        <v>410</v>
      </c>
    </row>
    <row r="10" spans="1:6">
      <c r="A10" s="10">
        <f t="shared" si="0"/>
        <v>7</v>
      </c>
      <c r="B10">
        <v>7</v>
      </c>
      <c r="C10" t="str" cm="1">
        <f t="array" ref="C10">GetValue("Tbl","Alias",B10)</f>
        <v>Own</v>
      </c>
      <c r="D10" cm="1">
        <f t="array" ref="D10">GetPkId(B10)</f>
        <v>47</v>
      </c>
      <c r="E10" t="str" cm="1">
        <f t="array" ref="E10">GetValue("Col","Name",D10)</f>
        <v>Id</v>
      </c>
      <c r="F10" cm="1">
        <f t="array" ref="F10">GetLastId(C10)</f>
        <v>6</v>
      </c>
    </row>
    <row r="11" spans="1:6">
      <c r="A11" s="10">
        <f t="shared" si="0"/>
        <v>8</v>
      </c>
      <c r="B11">
        <v>8</v>
      </c>
      <c r="C11" t="str" cm="1">
        <f t="array" ref="C11">GetValue("Tbl","Alias",B11)</f>
        <v>Dmn</v>
      </c>
      <c r="D11" cm="1">
        <f t="array" ref="D11">GetPkId(B11)</f>
        <v>53</v>
      </c>
      <c r="E11" t="str" cm="1">
        <f t="array" ref="E11">GetValue("Col","Name",D11)</f>
        <v>Id</v>
      </c>
      <c r="F11" cm="1">
        <f t="array" ref="F11">GetLastId(C11)</f>
        <v>61</v>
      </c>
    </row>
    <row r="12" spans="1:6">
      <c r="A12" s="10">
        <f t="shared" si="0"/>
        <v>9</v>
      </c>
      <c r="B12">
        <v>9</v>
      </c>
      <c r="C12" t="str" cm="1">
        <f t="array" ref="C12">GetValue("Tbl","Alias",B12)</f>
        <v>Msk</v>
      </c>
      <c r="D12" cm="1">
        <f t="array" ref="D12">GetPkId(B12)</f>
        <v>65</v>
      </c>
      <c r="E12" t="str" cm="1">
        <f t="array" ref="E12">GetValue("Col","Name",D12)</f>
        <v>Id</v>
      </c>
      <c r="F12" cm="1">
        <f t="array" ref="F12">GetLastId(C12)</f>
        <v>19</v>
      </c>
    </row>
    <row r="13" spans="1:6">
      <c r="A13" s="10">
        <f t="shared" si="0"/>
        <v>10</v>
      </c>
      <c r="B13">
        <v>10</v>
      </c>
      <c r="C13" t="str" cm="1">
        <f t="array" ref="C13">GetValue("Tbl","Alias",B13)</f>
        <v>Mkg</v>
      </c>
      <c r="D13" cm="1">
        <f t="array" ref="D13">GetPkId(B13)</f>
        <v>70</v>
      </c>
      <c r="E13" t="str" cm="1">
        <f t="array" ref="E13">GetValue("Col","Name",D13)</f>
        <v>Id</v>
      </c>
      <c r="F13" cm="1">
        <f t="array" ref="F13">GetLastId(C13)</f>
        <v>19</v>
      </c>
    </row>
    <row r="14" spans="1:6">
      <c r="A14" s="10">
        <f t="shared" si="0"/>
        <v>11</v>
      </c>
      <c r="B14">
        <v>11</v>
      </c>
      <c r="C14" t="str" cm="1">
        <f t="array" ref="C14">GetValue("Tbl","Alias",B14)</f>
        <v>Con</v>
      </c>
      <c r="D14" cm="1">
        <f t="array" ref="D14">GetPkId(B14)</f>
        <v>76</v>
      </c>
      <c r="E14" t="str" cm="1">
        <f t="array" ref="E14">GetValue("Col","Name",D14)</f>
        <v>Id</v>
      </c>
      <c r="F14" cm="1">
        <f t="array" ref="F14">GetLastId(C14)</f>
        <v>1</v>
      </c>
    </row>
    <row r="15" spans="1:6">
      <c r="A15" s="10">
        <f t="shared" si="0"/>
        <v>12</v>
      </c>
      <c r="B15">
        <v>12</v>
      </c>
      <c r="C15" t="str" cm="1">
        <f t="array" ref="C15">GetValue("Tbl","Alias",B15)</f>
        <v>Db</v>
      </c>
      <c r="D15" cm="1">
        <f t="array" ref="D15">GetPkId(B15)</f>
        <v>80</v>
      </c>
      <c r="E15" t="str" cm="1">
        <f t="array" ref="E15">GetValue("Col","Name",D15)</f>
        <v>Id</v>
      </c>
      <c r="F15" cm="1">
        <f t="array" ref="F15">GetLastId(C15)</f>
        <v>1</v>
      </c>
    </row>
    <row r="16" spans="1:6">
      <c r="A16" s="10">
        <f t="shared" si="0"/>
        <v>13</v>
      </c>
      <c r="B16">
        <v>13</v>
      </c>
      <c r="C16" t="str" cm="1">
        <f t="array" ref="C16">GetValue("Tbl","Alias",B16)</f>
        <v>Env</v>
      </c>
      <c r="D16" cm="1">
        <f t="array" ref="D16">GetPkId(B16)</f>
        <v>84</v>
      </c>
      <c r="E16" t="str" cm="1">
        <f t="array" ref="E16">GetValue("Col","Name",D16)</f>
        <v>Id</v>
      </c>
      <c r="F16" cm="1">
        <f t="array" ref="F16">GetLastId(C16)</f>
        <v>3</v>
      </c>
    </row>
    <row r="17" spans="1:6">
      <c r="A17" s="10">
        <f t="shared" si="0"/>
        <v>14</v>
      </c>
      <c r="B17">
        <v>14</v>
      </c>
      <c r="C17" t="str" cm="1">
        <f t="array" ref="C17">GetValue("Tbl","Alias",B17)</f>
        <v>Str</v>
      </c>
      <c r="D17" cm="1">
        <f t="array" ref="D17">GetPkId(B17)</f>
        <v>90</v>
      </c>
      <c r="E17" t="str" cm="1">
        <f t="array" ref="E17">GetValue("Col","Name",D17)</f>
        <v>Id</v>
      </c>
      <c r="F17" cm="1">
        <f t="array" ref="F17">GetLastId(C17)</f>
        <v>3</v>
      </c>
    </row>
    <row r="18" spans="1:6">
      <c r="A18" s="10">
        <f t="shared" si="0"/>
        <v>15</v>
      </c>
      <c r="B18">
        <v>15</v>
      </c>
      <c r="C18" t="str" cm="1">
        <f t="array" ref="C18">GetValue("Tbl","Alias",B18)</f>
        <v>Sys</v>
      </c>
      <c r="D18" cm="1">
        <f t="array" ref="D18">GetPkId(B18)</f>
        <v>95</v>
      </c>
      <c r="E18" t="str" cm="1">
        <f t="array" ref="E18">GetValue("Col","Name",D18)</f>
        <v>Id</v>
      </c>
      <c r="F18" cm="1">
        <f t="array" ref="F18">GetLastId(C18)</f>
        <v>1</v>
      </c>
    </row>
    <row r="19" spans="1:6">
      <c r="A19" s="10">
        <f t="shared" si="0"/>
        <v>16</v>
      </c>
      <c r="B19">
        <v>16</v>
      </c>
      <c r="C19" t="str" cm="1">
        <f t="array" ref="C19">GetValue("Tbl","Alias",B19)</f>
        <v>Mnu</v>
      </c>
      <c r="D19" cm="1">
        <f t="array" ref="D19">GetPkId(B19)</f>
        <v>102</v>
      </c>
      <c r="E19" t="str" cm="1">
        <f t="array" ref="E19">GetValue("Col","Name",D19)</f>
        <v>Id</v>
      </c>
      <c r="F19" cm="1">
        <f t="array" ref="F19">GetLastId(C19)</f>
        <v>40</v>
      </c>
    </row>
    <row r="20" spans="1:6">
      <c r="A20" s="10">
        <f t="shared" si="0"/>
        <v>17</v>
      </c>
      <c r="B20">
        <v>17</v>
      </c>
      <c r="C20" t="str" cm="1">
        <f t="array" ref="C20">GetValue("Tbl","Alias",B20)</f>
        <v>Tbl</v>
      </c>
      <c r="D20" cm="1">
        <f t="array" ref="D20">GetPkId(B20)</f>
        <v>110</v>
      </c>
      <c r="E20" t="str" cm="1">
        <f t="array" ref="E20">GetValue("Col","Name",D20)</f>
        <v>Id</v>
      </c>
      <c r="F20" cm="1">
        <f t="array" ref="F20">GetLastId(C20)</f>
        <v>39</v>
      </c>
    </row>
    <row r="21" spans="1:6">
      <c r="A21" s="10">
        <f t="shared" si="0"/>
        <v>18</v>
      </c>
      <c r="B21">
        <v>18</v>
      </c>
      <c r="C21" t="str" cm="1">
        <f t="array" ref="C21">GetValue("Tbl","Alias",B21)</f>
        <v>Col</v>
      </c>
      <c r="D21" cm="1">
        <f t="array" ref="D21">GetPkId(B21)</f>
        <v>116</v>
      </c>
      <c r="E21" t="str" cm="1">
        <f t="array" ref="E21">GetValue("Col","Name",D21)</f>
        <v>Id</v>
      </c>
      <c r="F21" cm="1">
        <f t="array" ref="F21">GetLastId(C21)</f>
        <v>252</v>
      </c>
    </row>
    <row r="22" spans="1:6">
      <c r="A22" s="10">
        <f t="shared" si="0"/>
        <v>19</v>
      </c>
      <c r="B22">
        <v>19</v>
      </c>
      <c r="C22" t="str" cm="1">
        <f t="array" ref="C22">GetValue("Tbl","Alias",B22)</f>
        <v>Idx</v>
      </c>
      <c r="D22" cm="1">
        <f t="array" ref="D22">GetPkId(B22)</f>
        <v>135</v>
      </c>
      <c r="E22" t="str" cm="1">
        <f t="array" ref="E22">GetValue("Col","Name",D22)</f>
        <v>Id</v>
      </c>
      <c r="F22" cm="1">
        <f t="array" ref="F22">GetLastId(C22)</f>
        <v>0</v>
      </c>
    </row>
    <row r="23" spans="1:6">
      <c r="A23" s="10">
        <f t="shared" si="0"/>
        <v>20</v>
      </c>
      <c r="B23">
        <v>20</v>
      </c>
      <c r="C23" t="str" cm="1">
        <f t="array" ref="C23">GetValue("Tbl","Alias",B23)</f>
        <v>Idk</v>
      </c>
      <c r="D23" cm="1">
        <f t="array" ref="D23">GetPkId(B23)</f>
        <v>139</v>
      </c>
      <c r="E23" t="str" cm="1">
        <f t="array" ref="E23">GetValue("Col","Name",D23)</f>
        <v>Id</v>
      </c>
      <c r="F23" cm="1">
        <f t="array" ref="F23">GetLastId(C23)</f>
        <v>0</v>
      </c>
    </row>
    <row r="24" spans="1:6">
      <c r="A24" s="10">
        <f t="shared" si="0"/>
        <v>21</v>
      </c>
      <c r="B24">
        <v>21</v>
      </c>
      <c r="C24" t="str" cm="1">
        <f t="array" ref="C24">GetValue("Tbl","Alias",B24)</f>
        <v>Inc</v>
      </c>
      <c r="D24" cm="1">
        <f t="array" ref="D24">GetPkId(B24)</f>
        <v>144</v>
      </c>
      <c r="E24" t="str" cm="1">
        <f t="array" ref="E24">GetValue("Col","Name",D24)</f>
        <v>Id</v>
      </c>
      <c r="F24" cm="1">
        <f t="array" ref="F24">GetLastId(C24)</f>
        <v>0</v>
      </c>
    </row>
    <row r="25" spans="1:6">
      <c r="A25" s="10">
        <f t="shared" si="0"/>
        <v>22</v>
      </c>
      <c r="B25">
        <v>22</v>
      </c>
      <c r="C25" t="str" cm="1">
        <f t="array" ref="C25">GetValue("Tbl","Alias",B25)</f>
        <v>Uni</v>
      </c>
      <c r="D25" cm="1">
        <f t="array" ref="D25">GetPkId(B25)</f>
        <v>147</v>
      </c>
      <c r="E25" t="str" cm="1">
        <f t="array" ref="E25">GetValue("Col","Name",D25)</f>
        <v>Id</v>
      </c>
      <c r="F25" cm="1">
        <f t="array" ref="F25">GetLastId(C25)</f>
        <v>0</v>
      </c>
    </row>
    <row r="26" spans="1:6">
      <c r="A26" s="10">
        <f t="shared" si="0"/>
        <v>23</v>
      </c>
      <c r="B26">
        <v>23</v>
      </c>
      <c r="C26" t="str" cm="1">
        <f t="array" ref="C26">GetValue("Tbl","Alias",B26)</f>
        <v>Exp</v>
      </c>
      <c r="D26" cm="1">
        <f t="array" ref="D26">GetPkId(B26)</f>
        <v>151</v>
      </c>
      <c r="E26" t="str" cm="1">
        <f t="array" ref="E26">GetValue("Col","Name",D26)</f>
        <v>Id</v>
      </c>
      <c r="F26" cm="1">
        <f t="array" ref="F26">GetLastId(C26)</f>
        <v>1</v>
      </c>
    </row>
    <row r="27" spans="1:6">
      <c r="A27" s="10">
        <f t="shared" si="0"/>
        <v>24</v>
      </c>
      <c r="B27">
        <v>24</v>
      </c>
      <c r="C27" t="str" cm="1">
        <f t="array" ref="C27">GetValue("Tbl","Alias",B27)</f>
        <v>Cnd</v>
      </c>
      <c r="D27" cm="1">
        <f t="array" ref="D27">GetPkId(B27)</f>
        <v>154</v>
      </c>
      <c r="E27" t="str" cm="1">
        <f t="array" ref="E27">GetValue("Col","Name",D27)</f>
        <v>Id</v>
      </c>
      <c r="F27" cm="1">
        <f t="array" ref="F27">GetLastId(C27)</f>
        <v>0</v>
      </c>
    </row>
    <row r="28" spans="1:6">
      <c r="A28" s="10">
        <f t="shared" si="0"/>
        <v>25</v>
      </c>
      <c r="B28">
        <v>25</v>
      </c>
      <c r="C28" t="str" cm="1">
        <f t="array" ref="C28">GetValue("Tbl","Alias",B28)</f>
        <v>Ref</v>
      </c>
      <c r="D28" cm="1">
        <f t="array" ref="D28">GetPkId(B28)</f>
        <v>164</v>
      </c>
      <c r="E28" t="str" cm="1">
        <f t="array" ref="E28">GetValue("Col","Name",D28)</f>
        <v>Id</v>
      </c>
      <c r="F28" cm="1">
        <f t="array" ref="F28">GetLastId(C28)</f>
        <v>12</v>
      </c>
    </row>
    <row r="29" spans="1:6">
      <c r="A29" s="10">
        <f t="shared" si="0"/>
        <v>26</v>
      </c>
      <c r="B29">
        <v>26</v>
      </c>
      <c r="C29" t="str" cm="1">
        <f t="array" ref="C29">GetValue("Tbl","Alias",B29)</f>
        <v>Rfk</v>
      </c>
      <c r="D29" cm="1">
        <f t="array" ref="D29">GetPkId(B29)</f>
        <v>169</v>
      </c>
      <c r="E29" t="str" cm="1">
        <f t="array" ref="E29">GetValue("Col","Name",D29)</f>
        <v>Id</v>
      </c>
      <c r="F29" cm="1">
        <f t="array" ref="F29">GetLastId(C29)</f>
        <v>12</v>
      </c>
    </row>
    <row r="30" spans="1:6">
      <c r="A30" s="10">
        <f t="shared" si="0"/>
        <v>27</v>
      </c>
      <c r="B30">
        <v>27</v>
      </c>
      <c r="C30" t="str" cm="1">
        <f t="array" ref="C30">GetValue("Tbl","Alias",B30)</f>
        <v>Usr</v>
      </c>
      <c r="D30" cm="1">
        <f t="array" ref="D30">GetPkId(B30)</f>
        <v>173</v>
      </c>
      <c r="E30" t="str" cm="1">
        <f t="array" ref="E30">GetValue("Col","Name",D30)</f>
        <v>Id</v>
      </c>
      <c r="F30" cm="1">
        <f t="array" ref="F30">GetLastId(C30)</f>
        <v>2</v>
      </c>
    </row>
    <row r="31" spans="1:6">
      <c r="A31" s="10">
        <f t="shared" si="0"/>
        <v>28</v>
      </c>
      <c r="B31">
        <v>28</v>
      </c>
      <c r="C31" t="str" cm="1">
        <f t="array" ref="C31">GetValue("Tbl","Alias",B31)</f>
        <v>Prm</v>
      </c>
      <c r="D31" cm="1">
        <f t="array" ref="D31">GetPkId(B31)</f>
        <v>182</v>
      </c>
      <c r="E31" t="str" cm="1">
        <f t="array" ref="E31">GetValue("Col","Name",D31)</f>
        <v>Id</v>
      </c>
      <c r="F31" cm="1">
        <f t="array" ref="F31">GetLastId(C31)</f>
        <v>54</v>
      </c>
    </row>
    <row r="32" spans="1:6">
      <c r="A32" s="10">
        <f t="shared" si="0"/>
        <v>29</v>
      </c>
      <c r="B32">
        <v>29</v>
      </c>
      <c r="C32" t="str" cm="1">
        <f t="array" ref="C32">GetValue("Tbl","Alias",B32)</f>
        <v>Prp</v>
      </c>
      <c r="D32" cm="1">
        <f t="array" ref="D32">GetPkId(B32)</f>
        <v>190</v>
      </c>
      <c r="E32" t="str" cm="1">
        <f t="array" ref="E32">GetValue("Col","Name",D32)</f>
        <v>Id</v>
      </c>
      <c r="F32" cm="1">
        <f t="array" ref="F32">GetLastId(C32)</f>
        <v>19</v>
      </c>
    </row>
    <row r="33" spans="1:6">
      <c r="A33" s="10">
        <f t="shared" si="0"/>
        <v>30</v>
      </c>
      <c r="B33">
        <v>30</v>
      </c>
      <c r="C33" t="str" cm="1">
        <f t="array" ref="C33">GetValue("Tbl","Alias",B33)</f>
        <v>Bhv</v>
      </c>
      <c r="D33" cm="1">
        <f t="array" ref="D33">GetPkId(B33)</f>
        <v>195</v>
      </c>
      <c r="E33" t="str" cm="1">
        <f t="array" ref="E33">GetValue("Col","Name",D33)</f>
        <v>Id</v>
      </c>
      <c r="F33" cm="1">
        <f t="array" ref="F33">GetLastId(C33)</f>
        <v>1</v>
      </c>
    </row>
    <row r="34" spans="1:6">
      <c r="A34" s="10">
        <f t="shared" si="0"/>
        <v>31</v>
      </c>
      <c r="B34">
        <v>31</v>
      </c>
      <c r="C34" t="str" cm="1">
        <f t="array" ref="C34">GetValue("Tbl","Alias",B34)</f>
        <v>Scr</v>
      </c>
      <c r="D34" cm="1">
        <f t="array" ref="D34">GetPkId(B34)</f>
        <v>201</v>
      </c>
      <c r="E34" t="str" cm="1">
        <f t="array" ref="E34">GetValue("Col","Name",D34)</f>
        <v>Id</v>
      </c>
      <c r="F34" cm="1">
        <f t="array" ref="F34">GetLastId(C34)</f>
        <v>1</v>
      </c>
    </row>
    <row r="35" spans="1:6">
      <c r="A35" s="10">
        <f t="shared" si="0"/>
        <v>32</v>
      </c>
      <c r="B35">
        <v>32</v>
      </c>
      <c r="C35" t="str" cm="1">
        <f t="array" ref="C35">GetValue("Tbl","Alias",B35)</f>
        <v>Cal</v>
      </c>
      <c r="D35" cm="1">
        <f t="array" ref="D35">GetPkId(B35)</f>
        <v>207</v>
      </c>
      <c r="E35" t="str" cm="1">
        <f t="array" ref="E35">GetValue("Col","Name",D35)</f>
        <v>Id</v>
      </c>
      <c r="F35" cm="1">
        <f t="array" ref="F35">GetLastId(C35)</f>
        <v>1</v>
      </c>
    </row>
    <row r="36" spans="1:6">
      <c r="A36" s="10">
        <f t="shared" si="0"/>
        <v>33</v>
      </c>
      <c r="B36">
        <v>33</v>
      </c>
      <c r="C36" t="str" cm="1">
        <f t="array" ref="C36">GetValue("Tbl","Alias",B36)</f>
        <v>Snp</v>
      </c>
      <c r="D36" cm="1">
        <f t="array" ref="D36">GetPkId(B36)</f>
        <v>213</v>
      </c>
      <c r="E36" t="str" cm="1">
        <f t="array" ref="E36">GetValue("Col","Name",D36)</f>
        <v>Id</v>
      </c>
      <c r="F36" cm="1">
        <f t="array" ref="F36">GetLastId(C36)</f>
        <v>1</v>
      </c>
    </row>
    <row r="37" spans="1:6">
      <c r="A37" s="10">
        <f t="shared" si="0"/>
        <v>34</v>
      </c>
      <c r="B37">
        <v>34</v>
      </c>
      <c r="C37" t="str" cm="1">
        <f t="array" ref="C37">GetValue("Tbl","Alias",B37)</f>
        <v>Sch</v>
      </c>
      <c r="D37" cm="1">
        <f t="array" ref="D37">GetPkId(B37)</f>
        <v>218</v>
      </c>
      <c r="E37" t="str" cm="1">
        <f t="array" ref="E37">GetValue("Col","Name",D37)</f>
        <v>Id</v>
      </c>
      <c r="F37" cm="1">
        <f t="array" ref="F37">GetLastId(C37)</f>
        <v>1</v>
      </c>
    </row>
    <row r="38" spans="1:6">
      <c r="A38" s="10">
        <f t="shared" si="0"/>
        <v>35</v>
      </c>
      <c r="B38">
        <v>35</v>
      </c>
      <c r="C38" t="str" cm="1">
        <f t="array" ref="C38">GetValue("Tbl","Alias",B38)</f>
        <v>Ses</v>
      </c>
      <c r="D38" cm="1">
        <f t="array" ref="D38">GetPkId(B38)</f>
        <v>230</v>
      </c>
      <c r="E38" t="str" cm="1">
        <f t="array" ref="E38">GetValue("Col","Name",D38)</f>
        <v>Id</v>
      </c>
      <c r="F38" cm="1">
        <f t="array" ref="F38">GetLastId(C38)</f>
        <v>1</v>
      </c>
    </row>
    <row r="39" spans="1:6">
      <c r="A39" s="10">
        <f t="shared" si="0"/>
        <v>36</v>
      </c>
      <c r="B39">
        <v>36</v>
      </c>
      <c r="C39" t="str" cm="1">
        <f t="array" ref="C39">GetValue("Tbl","Alias",B39)</f>
        <v>Trs</v>
      </c>
      <c r="D39" cm="1">
        <f t="array" ref="D39">GetPkId(B39)</f>
        <v>236</v>
      </c>
      <c r="E39" t="str" cm="1">
        <f t="array" ref="E39">GetValue("Col","Name",D39)</f>
        <v>Id</v>
      </c>
      <c r="F39" cm="1">
        <f t="array" ref="F39">GetLastId(C39)</f>
        <v>1</v>
      </c>
    </row>
    <row r="40" spans="1:6">
      <c r="A40" s="10">
        <f t="shared" si="0"/>
        <v>37</v>
      </c>
      <c r="B40">
        <v>37</v>
      </c>
      <c r="C40" t="str" cm="1">
        <f t="array" ref="C40">GetValue("Tbl","Alias",B40)</f>
        <v>Ope</v>
      </c>
      <c r="D40" cm="1">
        <f t="array" ref="D40">GetPkId(B40)</f>
        <v>239</v>
      </c>
      <c r="E40" t="str" cm="1">
        <f t="array" ref="E40">GetValue("Col","Name",D40)</f>
        <v>Id</v>
      </c>
      <c r="F40" cm="1">
        <f t="array" ref="F40">GetLastId(C40)</f>
        <v>1</v>
      </c>
    </row>
    <row r="41" spans="1:6">
      <c r="A41" s="10">
        <f t="shared" si="0"/>
        <v>38</v>
      </c>
      <c r="B41">
        <v>38</v>
      </c>
      <c r="C41" t="str" cm="1">
        <f t="array" ref="C41">GetValue("Tbl","Alias",B41)</f>
        <v>Id</v>
      </c>
      <c r="D41" cm="1">
        <f t="array" ref="D41">GetPkId(B41)</f>
        <v>246</v>
      </c>
      <c r="E41" t="str" cm="1">
        <f t="array" ref="E41">GetValue("Col","Name",D41)</f>
        <v>Id</v>
      </c>
      <c r="F41" cm="1">
        <f t="array" ref="F41">GetLastId(C41)</f>
        <v>41</v>
      </c>
    </row>
    <row r="42" spans="1:6">
      <c r="A42" s="10">
        <f t="shared" si="0"/>
        <v>39</v>
      </c>
      <c r="B42">
        <v>39</v>
      </c>
      <c r="C42" t="str" cm="1">
        <f t="array" ref="C42">GetValue("Tbl","Alias",B42)</f>
        <v>Val</v>
      </c>
      <c r="D42" cm="1">
        <f t="array" ref="D42">GetPkId(B42)</f>
        <v>249</v>
      </c>
      <c r="E42" t="str" cm="1">
        <f t="array" ref="E42">GetValue("Col","Name",D42)</f>
        <v>Id</v>
      </c>
      <c r="F42" cm="1">
        <f t="array" ref="F42">GetLastId(C42)</f>
        <v>1</v>
      </c>
    </row>
    <row r="43" spans="1:6">
      <c r="A43" s="10">
        <f t="shared" si="0"/>
        <v>40</v>
      </c>
      <c r="B43">
        <v>40</v>
      </c>
      <c r="C43" t="e" cm="1">
        <f t="array" ref="C43">GetValue("Tbl","Alias",B43)</f>
        <v>#VALUE!</v>
      </c>
      <c r="D43" t="e" cm="1">
        <f t="array" ref="D43">GetPkId(B43)</f>
        <v>#VALUE!</v>
      </c>
      <c r="E43" t="e" cm="1">
        <f t="array" ref="E43">GetValue("Col","Name",D43)</f>
        <v>#VALUE!</v>
      </c>
      <c r="F43" t="e" cm="1">
        <f t="array" ref="F43">GetLastId(C43)</f>
        <v>#VALUE!</v>
      </c>
    </row>
    <row r="44" spans="1:6">
      <c r="A44" s="10">
        <f t="shared" si="0"/>
        <v>41</v>
      </c>
      <c r="B44">
        <v>41</v>
      </c>
      <c r="C44" t="e" cm="1">
        <f t="array" ref="C44">GetValue("Tbl","Alias",B44)</f>
        <v>#VALUE!</v>
      </c>
      <c r="D44" t="e" cm="1">
        <f t="array" ref="D44">GetPkId(B44)</f>
        <v>#VALUE!</v>
      </c>
      <c r="E44" t="e" cm="1">
        <f t="array" ref="E44">GetValue("Col","Name",D44)</f>
        <v>#VALUE!</v>
      </c>
      <c r="F44" t="e" cm="1">
        <f t="array" ref="F44">GetLastId(C44)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6328-B608-4FC4-9D65-AE1E943593E2}">
  <sheetPr codeName="Planilha35"/>
  <dimension ref="A1:E4"/>
  <sheetViews>
    <sheetView workbookViewId="0">
      <pane ySplit="3" topLeftCell="A4" activePane="bottomLeft" state="frozen"/>
      <selection pane="bottomLeft" activeCell="C10" sqref="C10"/>
    </sheetView>
  </sheetViews>
  <sheetFormatPr defaultRowHeight="14.4"/>
  <cols>
    <col min="1" max="1" width="5.21875" bestFit="1" customWidth="1"/>
    <col min="2" max="2" width="9.21875" bestFit="1" customWidth="1"/>
    <col min="3" max="3" width="14" bestFit="1" customWidth="1"/>
    <col min="4" max="4" width="10.5546875" bestFit="1" customWidth="1"/>
    <col min="5" max="5" width="8.6640625" bestFit="1" customWidth="1"/>
  </cols>
  <sheetData>
    <row r="1" spans="1:5" s="1" customFormat="1">
      <c r="A1" s="1" t="s">
        <v>535</v>
      </c>
      <c r="B1" s="1" t="s">
        <v>96</v>
      </c>
      <c r="C1" s="1" t="s">
        <v>113</v>
      </c>
      <c r="D1" s="1" t="s">
        <v>652</v>
      </c>
      <c r="E1" s="1" t="s">
        <v>229</v>
      </c>
    </row>
    <row r="2" spans="1:5" s="1" customFormat="1">
      <c r="A2" s="1">
        <v>55</v>
      </c>
      <c r="B2" s="1">
        <v>55</v>
      </c>
      <c r="C2" s="1" cm="1">
        <f t="array" ref="C2">GetDomainId("Col","Name")</f>
        <v>11</v>
      </c>
      <c r="D2" s="1">
        <v>25</v>
      </c>
      <c r="E2" s="1">
        <v>24</v>
      </c>
    </row>
    <row r="3" spans="1:5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JSON</v>
      </c>
      <c r="E3" s="1" t="str" cm="1">
        <f t="array" ref="E3">GetValue("Dmn","Name",E2)</f>
        <v>VARIANT</v>
      </c>
    </row>
    <row r="4" spans="1:5">
      <c r="A4" s="10">
        <f>ROW(A4)-3</f>
        <v>1</v>
      </c>
      <c r="B4">
        <v>2</v>
      </c>
      <c r="C4" t="str" cm="1">
        <f t="array" ref="C4">GetValue("Col","Name",B4)</f>
        <v>Name</v>
      </c>
      <c r="D4" t="s">
        <v>653</v>
      </c>
      <c r="E4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39</vt:i4>
      </vt:variant>
    </vt:vector>
  </HeadingPairs>
  <TitlesOfParts>
    <vt:vector size="39" baseType="lpstr">
      <vt:lpstr>Cat</vt:lpstr>
      <vt:lpstr>Cmp</vt:lpstr>
      <vt:lpstr>Rul</vt:lpstr>
      <vt:lpstr>Eng</vt:lpstr>
      <vt:lpstr>Typ</vt:lpstr>
      <vt:lpstr>Map</vt:lpstr>
      <vt:lpstr>Own</vt:lpstr>
      <vt:lpstr>Dmn</vt:lpstr>
      <vt:lpstr>Msk</vt:lpstr>
      <vt:lpstr>Mkg</vt:lpstr>
      <vt:lpstr>Con</vt:lpstr>
      <vt:lpstr>Db</vt:lpstr>
      <vt:lpstr>Env</vt:lpstr>
      <vt:lpstr>Str</vt:lpstr>
      <vt:lpstr>Sys</vt:lpstr>
      <vt:lpstr>Mnu</vt:lpstr>
      <vt:lpstr>Tbl</vt:lpstr>
      <vt:lpstr>Col</vt:lpstr>
      <vt:lpstr>Idx</vt:lpstr>
      <vt:lpstr>Idk</vt:lpstr>
      <vt:lpstr>Inc</vt:lpstr>
      <vt:lpstr>Uni</vt:lpstr>
      <vt:lpstr>Exp</vt:lpstr>
      <vt:lpstr>Cnd</vt:lpstr>
      <vt:lpstr>Ref</vt:lpstr>
      <vt:lpstr>Rfk</vt:lpstr>
      <vt:lpstr>Usr</vt:lpstr>
      <vt:lpstr>Prm</vt:lpstr>
      <vt:lpstr>Prp</vt:lpstr>
      <vt:lpstr>Snp</vt:lpstr>
      <vt:lpstr>Sch</vt:lpstr>
      <vt:lpstr>Scr</vt:lpstr>
      <vt:lpstr>Cal</vt:lpstr>
      <vt:lpstr>Bhv</vt:lpstr>
      <vt:lpstr>Ses</vt:lpstr>
      <vt:lpstr>Trs</vt:lpstr>
      <vt:lpstr>Ope</vt:lpstr>
      <vt:lpstr>Id</vt:lpstr>
      <vt:lpstr>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Rocha Labrego</dc:creator>
  <cp:lastModifiedBy>João Rocha Labrego</cp:lastModifiedBy>
  <dcterms:created xsi:type="dcterms:W3CDTF">2024-02-10T11:10:23Z</dcterms:created>
  <dcterms:modified xsi:type="dcterms:W3CDTF">2026-06-28T15:42:48Z</dcterms:modified>
</cp:coreProperties>
</file>