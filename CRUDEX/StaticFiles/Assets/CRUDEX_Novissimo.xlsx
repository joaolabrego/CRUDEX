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CRUDEX-C#\SGSI_CRUDEX\CRUDEX\StaticFiles\Assets\"/>
    </mc:Choice>
  </mc:AlternateContent>
  <xr:revisionPtr revIDLastSave="0" documentId="8_{047A6277-FE31-4785-9004-620E3228FA15}" xr6:coauthVersionLast="47" xr6:coauthVersionMax="47" xr10:uidLastSave="{00000000-0000-0000-0000-000000000000}"/>
  <bookViews>
    <workbookView xWindow="-108" yWindow="-108" windowWidth="23256" windowHeight="13176" tabRatio="969" activeTab="3" xr2:uid="{62178005-964C-499D-8BA4-3BC85200C027}"/>
  </bookViews>
  <sheets>
    <sheet name="Cat" sheetId="1" r:id="rId1"/>
    <sheet name="Cmp" sheetId="52" r:id="rId2"/>
    <sheet name="Rul" sheetId="53" r:id="rId3"/>
    <sheet name="Eng" sheetId="26" r:id="rId4"/>
    <sheet name="Typ" sheetId="2" r:id="rId5"/>
    <sheet name="Map" sheetId="27" r:id="rId6"/>
    <sheet name="Cli" sheetId="28" r:id="rId7"/>
    <sheet name="Dmn" sheetId="4" r:id="rId8"/>
    <sheet name="Msk" sheetId="3" r:id="rId9"/>
    <sheet name="Mkg" sheetId="31" r:id="rId10"/>
    <sheet name="Db" sheetId="9" r:id="rId11"/>
    <sheet name="Con" sheetId="33" r:id="rId12"/>
    <sheet name="Sys" sheetId="5" r:id="rId13"/>
    <sheet name="Mnu" sheetId="6" r:id="rId14"/>
    <sheet name="Tbl" sheetId="11" r:id="rId15"/>
    <sheet name="Col" sheetId="12" r:id="rId16"/>
    <sheet name="Idx" sheetId="13" r:id="rId17"/>
    <sheet name="Idk" sheetId="14" r:id="rId18"/>
    <sheet name="Inc" sheetId="42" r:id="rId19"/>
    <sheet name="Uni" sheetId="22" r:id="rId20"/>
    <sheet name="Exp" sheetId="41" r:id="rId21"/>
    <sheet name="Cnd" sheetId="34" r:id="rId22"/>
    <sheet name="Ref" sheetId="46" r:id="rId23"/>
    <sheet name="Usr" sheetId="7" r:id="rId24"/>
    <sheet name="Prm" sheetId="40" r:id="rId25"/>
    <sheet name="Prp" sheetId="37" r:id="rId26"/>
    <sheet name="Bhv" sheetId="38" r:id="rId27"/>
    <sheet name="Sch" sheetId="47" r:id="rId28"/>
    <sheet name="Snp" sheetId="49" r:id="rId29"/>
    <sheet name="Scr" sheetId="50" r:id="rId30"/>
    <sheet name="Url" sheetId="54" r:id="rId31"/>
    <sheet name="Ses" sheetId="15" r:id="rId32"/>
    <sheet name="Trs" sheetId="19" r:id="rId33"/>
    <sheet name="Ope" sheetId="20" r:id="rId34"/>
  </sheets>
  <definedNames>
    <definedName name="_xlnm._FilterDatabase" localSheetId="15" hidden="1">Col!$D$1:$D$123</definedName>
    <definedName name="_xlnm._FilterDatabase" localSheetId="5" hidden="1">Map!$A$1:$G$381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7" i="12" l="1"/>
  <c r="C97" i="12" a="1"/>
  <c r="E97" i="12" a="1"/>
  <c r="E97" i="12" l="1"/>
  <c r="C97" i="12"/>
  <c r="A225" i="12"/>
  <c r="A224" i="12"/>
  <c r="A223" i="12"/>
  <c r="A222" i="12"/>
  <c r="A221" i="12"/>
  <c r="A119" i="12"/>
  <c r="A154" i="12"/>
  <c r="L4" i="34" a="1"/>
  <c r="L4" i="34" s="1"/>
  <c r="L3" i="34" a="1"/>
  <c r="L3" i="34" s="1"/>
  <c r="A53" i="4"/>
  <c r="A52" i="4"/>
  <c r="A51" i="4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04" i="12"/>
  <c r="A103" i="12"/>
  <c r="A102" i="12"/>
  <c r="I27" i="11" a="1"/>
  <c r="I22" i="11" a="1"/>
  <c r="I17" i="11" a="1"/>
  <c r="I13" i="11" a="1"/>
  <c r="I8" i="11" a="1"/>
  <c r="I19" i="11" a="1"/>
  <c r="I29" i="11" a="1"/>
  <c r="I18" i="11" a="1"/>
  <c r="I14" i="11" a="1"/>
  <c r="I26" i="11" a="1"/>
  <c r="I4" i="11" a="1"/>
  <c r="J2" i="34" a="1"/>
  <c r="I21" i="11" a="1"/>
  <c r="I33" i="11" a="1"/>
  <c r="I10" i="11" a="1"/>
  <c r="E51" i="4" a="1"/>
  <c r="I20" i="11" a="1"/>
  <c r="I32" i="11" a="1"/>
  <c r="E52" i="4" a="1"/>
  <c r="I24" i="11" a="1"/>
  <c r="I6" i="11" a="1"/>
  <c r="E53" i="4" a="1"/>
  <c r="I12" i="11" a="1"/>
  <c r="I25" i="11" a="1"/>
  <c r="C51" i="4" a="1"/>
  <c r="I35" i="11" a="1"/>
  <c r="C52" i="4" a="1"/>
  <c r="I3" i="11" a="1"/>
  <c r="I31" i="11" a="1"/>
  <c r="C4" i="34" a="1"/>
  <c r="I5" i="11" a="1"/>
  <c r="C3" i="34" a="1"/>
  <c r="I11" i="11" a="1"/>
  <c r="I23" i="11" a="1"/>
  <c r="I28" i="11" a="1"/>
  <c r="J3" i="34" a="1"/>
  <c r="C2" i="54" a="1"/>
  <c r="C2" i="50" a="1"/>
  <c r="I34" i="11" a="1"/>
  <c r="I16" i="11" a="1"/>
  <c r="I15" i="11" a="1"/>
  <c r="C53" i="4" a="1"/>
  <c r="F2" i="38" a="1"/>
  <c r="I30" i="11" a="1"/>
  <c r="I9" i="11" a="1"/>
  <c r="C2" i="34" a="1"/>
  <c r="I7" i="11" a="1"/>
  <c r="C215" i="12" a="1"/>
  <c r="C147" i="12" a="1"/>
  <c r="C205" i="12" a="1"/>
  <c r="E170" i="12" a="1"/>
  <c r="C161" i="12" a="1"/>
  <c r="C191" i="12" a="1"/>
  <c r="E182" i="12" a="1"/>
  <c r="C167" i="12" a="1"/>
  <c r="C194" i="12" a="1"/>
  <c r="C208" i="12" a="1"/>
  <c r="E210" i="12" a="1"/>
  <c r="E214" i="12" a="1"/>
  <c r="E215" i="12" a="1"/>
  <c r="E192" i="12" a="1"/>
  <c r="E153" i="12" a="1"/>
  <c r="E169" i="12" a="1"/>
  <c r="C195" i="12" a="1"/>
  <c r="C225" i="12" a="1"/>
  <c r="C178" i="12" a="1"/>
  <c r="C139" i="12" a="1"/>
  <c r="C137" i="12" a="1"/>
  <c r="C164" i="12" a="1"/>
  <c r="C204" i="12" a="1"/>
  <c r="C158" i="12" a="1"/>
  <c r="C211" i="12" a="1"/>
  <c r="E209" i="12" a="1"/>
  <c r="E103" i="12" a="1"/>
  <c r="E181" i="12" a="1"/>
  <c r="E203" i="12" a="1"/>
  <c r="C157" i="12" a="1"/>
  <c r="C175" i="12" a="1"/>
  <c r="E205" i="12" a="1"/>
  <c r="E201" i="12" a="1"/>
  <c r="E189" i="12" a="1"/>
  <c r="C171" i="12" a="1"/>
  <c r="E148" i="12" a="1"/>
  <c r="E218" i="12" a="1"/>
  <c r="E196" i="12" a="1"/>
  <c r="E212" i="12" a="1"/>
  <c r="C149" i="12" a="1"/>
  <c r="E137" i="12" a="1"/>
  <c r="E135" i="12" a="1"/>
  <c r="C169" i="12" a="1"/>
  <c r="E211" i="12" a="1"/>
  <c r="C144" i="12" a="1"/>
  <c r="C119" i="12" a="1"/>
  <c r="E190" i="12" a="1"/>
  <c r="E156" i="12" a="1"/>
  <c r="E161" i="12" a="1"/>
  <c r="E157" i="12" a="1"/>
  <c r="C214" i="12" a="1"/>
  <c r="C223" i="12" a="1"/>
  <c r="E219" i="12" a="1"/>
  <c r="E191" i="12" a="1"/>
  <c r="E213" i="12" a="1"/>
  <c r="C199" i="12" a="1"/>
  <c r="E183" i="12" a="1"/>
  <c r="C160" i="12" a="1"/>
  <c r="E223" i="12" a="1"/>
  <c r="C145" i="12" a="1"/>
  <c r="E168" i="12" a="1"/>
  <c r="E138" i="12" a="1"/>
  <c r="C134" i="12" a="1"/>
  <c r="E224" i="12" a="1"/>
  <c r="C222" i="12" a="1"/>
  <c r="E187" i="12" a="1"/>
  <c r="C103" i="12" a="1"/>
  <c r="C181" i="12" a="1"/>
  <c r="E167" i="12" a="1"/>
  <c r="C218" i="12" a="1"/>
  <c r="E154" i="12" a="1"/>
  <c r="C213" i="12" a="1"/>
  <c r="C155" i="12" a="1"/>
  <c r="C179" i="12" a="1"/>
  <c r="E142" i="12" a="1"/>
  <c r="E199" i="12" a="1"/>
  <c r="C153" i="12" a="1"/>
  <c r="E147" i="12" a="1"/>
  <c r="C189" i="12" a="1"/>
  <c r="C133" i="12" a="1"/>
  <c r="E225" i="12" a="1"/>
  <c r="C184" i="12" a="1"/>
  <c r="C150" i="12" a="1"/>
  <c r="E222" i="12" a="1"/>
  <c r="E180" i="12" a="1"/>
  <c r="C168" i="12" a="1"/>
  <c r="E186" i="12" a="1"/>
  <c r="E177" i="12" a="1"/>
  <c r="C162" i="12" a="1"/>
  <c r="C102" i="12" a="1"/>
  <c r="C224" i="12" a="1"/>
  <c r="C203" i="12" a="1"/>
  <c r="E160" i="12" a="1"/>
  <c r="E134" i="12" a="1"/>
  <c r="E139" i="12" a="1"/>
  <c r="E143" i="12" a="1"/>
  <c r="E102" i="12" a="1"/>
  <c r="E200" i="12" a="1"/>
  <c r="E165" i="12" a="1"/>
  <c r="E172" i="12" a="1"/>
  <c r="C202" i="12" a="1"/>
  <c r="C206" i="12" a="1"/>
  <c r="E221" i="12" a="1"/>
  <c r="E152" i="12" a="1"/>
  <c r="C140" i="12" a="1"/>
  <c r="C151" i="12" a="1"/>
  <c r="E146" i="12" a="1"/>
  <c r="E145" i="12" a="1"/>
  <c r="C193" i="12" a="1"/>
  <c r="C188" i="12" a="1"/>
  <c r="C220" i="12" a="1"/>
  <c r="C216" i="12" a="1"/>
  <c r="C143" i="12" a="1"/>
  <c r="C172" i="12" a="1"/>
  <c r="E155" i="12" a="1"/>
  <c r="E184" i="12" a="1"/>
  <c r="C217" i="12" a="1"/>
  <c r="C196" i="12" a="1"/>
  <c r="E150" i="12" a="1"/>
  <c r="C219" i="12" a="1"/>
  <c r="E136" i="12" a="1"/>
  <c r="E194" i="12" a="1"/>
  <c r="E185" i="12" a="1"/>
  <c r="C173" i="12" a="1"/>
  <c r="E216" i="12" a="1"/>
  <c r="C201" i="12" a="1"/>
  <c r="E149" i="12" a="1"/>
  <c r="E141" i="12" a="1"/>
  <c r="C210" i="12" a="1"/>
  <c r="C152" i="12" a="1"/>
  <c r="E119" i="12" a="1"/>
  <c r="E151" i="12" a="1"/>
  <c r="C209" i="12" a="1"/>
  <c r="C221" i="12" a="1"/>
  <c r="C180" i="12" a="1"/>
  <c r="C136" i="12" a="1"/>
  <c r="C148" i="12" a="1"/>
  <c r="C176" i="12" a="1"/>
  <c r="C198" i="12" a="1"/>
  <c r="C190" i="12" a="1"/>
  <c r="C135" i="12" a="1"/>
  <c r="E217" i="12" a="1"/>
  <c r="E159" i="12" a="1"/>
  <c r="C177" i="12" a="1"/>
  <c r="E132" i="12" a="1"/>
  <c r="C186" i="12" a="1"/>
  <c r="E178" i="12" a="1"/>
  <c r="C146" i="12" a="1"/>
  <c r="C187" i="12" a="1"/>
  <c r="E164" i="12" a="1"/>
  <c r="C166" i="12" a="1"/>
  <c r="E208" i="12" a="1"/>
  <c r="E166" i="12" a="1"/>
  <c r="E163" i="12" a="1"/>
  <c r="C182" i="12" a="1"/>
  <c r="E104" i="12" a="1"/>
  <c r="C185" i="12" a="1"/>
  <c r="E188" i="12" a="1"/>
  <c r="E198" i="12" a="1"/>
  <c r="C200" i="12" a="1"/>
  <c r="E220" i="12" a="1"/>
  <c r="E133" i="12" a="1"/>
  <c r="E144" i="12" a="1"/>
  <c r="C154" i="12" a="1"/>
  <c r="E206" i="12" a="1"/>
  <c r="C197" i="12" a="1"/>
  <c r="C183" i="12" a="1"/>
  <c r="C163" i="12" a="1"/>
  <c r="E193" i="12" a="1"/>
  <c r="E204" i="12" a="1"/>
  <c r="E162" i="12" a="1"/>
  <c r="C141" i="12" a="1"/>
  <c r="C174" i="12" a="1"/>
  <c r="C138" i="12" a="1"/>
  <c r="E173" i="12" a="1"/>
  <c r="E176" i="12" a="1"/>
  <c r="C159" i="12" a="1"/>
  <c r="C212" i="12" a="1"/>
  <c r="C156" i="12" a="1"/>
  <c r="E175" i="12" a="1"/>
  <c r="E158" i="12" a="1"/>
  <c r="E202" i="12" a="1"/>
  <c r="C165" i="12" a="1"/>
  <c r="E171" i="12" a="1"/>
  <c r="C142" i="12" a="1"/>
  <c r="E179" i="12" a="1"/>
  <c r="C132" i="12" a="1"/>
  <c r="C170" i="12" a="1"/>
  <c r="E207" i="12" a="1"/>
  <c r="C192" i="12" a="1"/>
  <c r="E140" i="12" a="1"/>
  <c r="E197" i="12" a="1"/>
  <c r="E195" i="12" a="1"/>
  <c r="E174" i="12" a="1"/>
  <c r="C104" i="12" a="1"/>
  <c r="C207" i="12" a="1"/>
  <c r="J4" i="34" a="1"/>
  <c r="C2" i="54" l="1"/>
  <c r="F2" i="38"/>
  <c r="C3" i="34"/>
  <c r="C4" i="34"/>
  <c r="C2" i="34"/>
  <c r="C2" i="50"/>
  <c r="I7" i="11"/>
  <c r="L7" i="11" s="1"/>
  <c r="I17" i="11"/>
  <c r="L17" i="11" s="1"/>
  <c r="I27" i="11"/>
  <c r="L27" i="11" s="1"/>
  <c r="I8" i="11"/>
  <c r="L8" i="11" s="1"/>
  <c r="I18" i="11"/>
  <c r="L18" i="11" s="1"/>
  <c r="I28" i="11"/>
  <c r="L28" i="11" s="1"/>
  <c r="I9" i="11"/>
  <c r="L9" i="11" s="1"/>
  <c r="I19" i="11"/>
  <c r="L19" i="11" s="1"/>
  <c r="I29" i="11"/>
  <c r="L29" i="11" s="1"/>
  <c r="I10" i="11"/>
  <c r="L10" i="11" s="1"/>
  <c r="I20" i="11"/>
  <c r="L20" i="11" s="1"/>
  <c r="I30" i="11"/>
  <c r="L30" i="11" s="1"/>
  <c r="I11" i="11"/>
  <c r="L11" i="11" s="1"/>
  <c r="I21" i="11"/>
  <c r="L21" i="11" s="1"/>
  <c r="I31" i="11"/>
  <c r="L31" i="11" s="1"/>
  <c r="I12" i="11"/>
  <c r="L12" i="11" s="1"/>
  <c r="I22" i="11"/>
  <c r="L22" i="11" s="1"/>
  <c r="I32" i="11"/>
  <c r="L32" i="11" s="1"/>
  <c r="I3" i="11"/>
  <c r="L3" i="11" s="1"/>
  <c r="I13" i="11"/>
  <c r="L13" i="11" s="1"/>
  <c r="I23" i="11"/>
  <c r="L23" i="11" s="1"/>
  <c r="I33" i="11"/>
  <c r="L33" i="11" s="1"/>
  <c r="I4" i="11"/>
  <c r="L4" i="11" s="1"/>
  <c r="I14" i="11"/>
  <c r="L14" i="11" s="1"/>
  <c r="I24" i="11"/>
  <c r="L24" i="11" s="1"/>
  <c r="I34" i="11"/>
  <c r="L34" i="11" s="1"/>
  <c r="I5" i="11"/>
  <c r="L5" i="11" s="1"/>
  <c r="I15" i="11"/>
  <c r="L15" i="11" s="1"/>
  <c r="I25" i="11"/>
  <c r="L25" i="11" s="1"/>
  <c r="I35" i="11"/>
  <c r="L35" i="11" s="1"/>
  <c r="I6" i="11"/>
  <c r="L6" i="11" s="1"/>
  <c r="I16" i="11"/>
  <c r="L16" i="11" s="1"/>
  <c r="I26" i="11"/>
  <c r="L26" i="11" s="1"/>
  <c r="C225" i="12"/>
  <c r="E225" i="12"/>
  <c r="C223" i="12"/>
  <c r="E223" i="12"/>
  <c r="C224" i="12"/>
  <c r="E224" i="12"/>
  <c r="C222" i="12"/>
  <c r="E222" i="12"/>
  <c r="C221" i="12"/>
  <c r="E221" i="12"/>
  <c r="E119" i="12"/>
  <c r="C119" i="12"/>
  <c r="C190" i="12"/>
  <c r="C191" i="12"/>
  <c r="C192" i="12"/>
  <c r="C193" i="12"/>
  <c r="C194" i="12"/>
  <c r="C154" i="12"/>
  <c r="E154" i="12"/>
  <c r="C53" i="4"/>
  <c r="E53" i="4"/>
  <c r="C52" i="4"/>
  <c r="E52" i="4"/>
  <c r="C51" i="4"/>
  <c r="E51" i="4"/>
  <c r="E220" i="12"/>
  <c r="C217" i="12"/>
  <c r="E217" i="12"/>
  <c r="C220" i="12"/>
  <c r="C219" i="12"/>
  <c r="C216" i="12"/>
  <c r="E219" i="12"/>
  <c r="E216" i="12"/>
  <c r="C218" i="12"/>
  <c r="C215" i="12"/>
  <c r="E218" i="12"/>
  <c r="E215" i="12"/>
  <c r="C214" i="12"/>
  <c r="E214" i="12"/>
  <c r="E213" i="12"/>
  <c r="C213" i="12"/>
  <c r="C212" i="12"/>
  <c r="E212" i="12"/>
  <c r="C211" i="12"/>
  <c r="E211" i="12"/>
  <c r="E206" i="12"/>
  <c r="C208" i="12"/>
  <c r="E208" i="12"/>
  <c r="C210" i="12"/>
  <c r="C207" i="12"/>
  <c r="E210" i="12"/>
  <c r="E207" i="12"/>
  <c r="C209" i="12"/>
  <c r="C206" i="12"/>
  <c r="E209" i="12"/>
  <c r="C205" i="12"/>
  <c r="E205" i="12"/>
  <c r="C203" i="12"/>
  <c r="E203" i="12"/>
  <c r="C202" i="12"/>
  <c r="E202" i="12"/>
  <c r="C204" i="12"/>
  <c r="C201" i="12"/>
  <c r="E204" i="12"/>
  <c r="E201" i="12"/>
  <c r="C200" i="12"/>
  <c r="E200" i="12"/>
  <c r="C199" i="12"/>
  <c r="C196" i="12"/>
  <c r="E199" i="12"/>
  <c r="E196" i="12"/>
  <c r="C198" i="12"/>
  <c r="E198" i="12"/>
  <c r="C197" i="12"/>
  <c r="E197" i="12"/>
  <c r="C195" i="12"/>
  <c r="E195" i="12"/>
  <c r="E194" i="12"/>
  <c r="E191" i="12"/>
  <c r="E193" i="12"/>
  <c r="E192" i="12"/>
  <c r="E190" i="12"/>
  <c r="E189" i="12"/>
  <c r="C189" i="12"/>
  <c r="C186" i="12"/>
  <c r="E186" i="12"/>
  <c r="C183" i="12"/>
  <c r="C180" i="12"/>
  <c r="E183" i="12"/>
  <c r="E180" i="12"/>
  <c r="E184" i="12"/>
  <c r="E181" i="12"/>
  <c r="C188" i="12"/>
  <c r="C185" i="12"/>
  <c r="C182" i="12"/>
  <c r="E188" i="12"/>
  <c r="C179" i="12"/>
  <c r="E185" i="12"/>
  <c r="E182" i="12"/>
  <c r="E179" i="12"/>
  <c r="C187" i="12"/>
  <c r="C184" i="12"/>
  <c r="C181" i="12"/>
  <c r="E187" i="12"/>
  <c r="C178" i="12"/>
  <c r="E178" i="12"/>
  <c r="C176" i="12"/>
  <c r="E176" i="12"/>
  <c r="C175" i="12"/>
  <c r="E175" i="12"/>
  <c r="C177" i="12"/>
  <c r="E177" i="12"/>
  <c r="C174" i="12"/>
  <c r="E174" i="12"/>
  <c r="E170" i="12"/>
  <c r="C172" i="12"/>
  <c r="E172" i="12"/>
  <c r="C171" i="12"/>
  <c r="E171" i="12"/>
  <c r="C173" i="12"/>
  <c r="C170" i="12"/>
  <c r="E173" i="12"/>
  <c r="C169" i="12"/>
  <c r="E169" i="12"/>
  <c r="C167" i="12"/>
  <c r="C164" i="12"/>
  <c r="E167" i="12"/>
  <c r="E164" i="12"/>
  <c r="C166" i="12"/>
  <c r="C163" i="12"/>
  <c r="E166" i="12"/>
  <c r="E163" i="12"/>
  <c r="E162" i="12"/>
  <c r="C168" i="12"/>
  <c r="C165" i="12"/>
  <c r="C162" i="12"/>
  <c r="E168" i="12"/>
  <c r="E165" i="12"/>
  <c r="C161" i="12"/>
  <c r="E161" i="12"/>
  <c r="C159" i="12"/>
  <c r="E159" i="12"/>
  <c r="C156" i="12"/>
  <c r="E156" i="12"/>
  <c r="C158" i="12"/>
  <c r="E158" i="12"/>
  <c r="C160" i="12"/>
  <c r="C157" i="12"/>
  <c r="E160" i="12"/>
  <c r="E157" i="12"/>
  <c r="C155" i="12"/>
  <c r="E155" i="12"/>
  <c r="C152" i="12"/>
  <c r="E152" i="12"/>
  <c r="C151" i="12"/>
  <c r="E151" i="12"/>
  <c r="C153" i="12"/>
  <c r="C150" i="12"/>
  <c r="E153" i="12"/>
  <c r="E150" i="12"/>
  <c r="C149" i="12"/>
  <c r="E149" i="12"/>
  <c r="J3" i="34"/>
  <c r="J4" i="34"/>
  <c r="J2" i="34"/>
  <c r="E145" i="12"/>
  <c r="E147" i="12"/>
  <c r="E148" i="12"/>
  <c r="C145" i="12"/>
  <c r="C146" i="12"/>
  <c r="C147" i="12"/>
  <c r="E146" i="12"/>
  <c r="C148" i="12"/>
  <c r="C140" i="12"/>
  <c r="E142" i="12"/>
  <c r="C144" i="12"/>
  <c r="E143" i="12"/>
  <c r="E144" i="12"/>
  <c r="C141" i="12"/>
  <c r="E140" i="12"/>
  <c r="C142" i="12"/>
  <c r="E141" i="12"/>
  <c r="C143" i="12"/>
  <c r="C139" i="12"/>
  <c r="E139" i="12"/>
  <c r="C137" i="12"/>
  <c r="C138" i="12"/>
  <c r="E137" i="12"/>
  <c r="E138" i="12"/>
  <c r="C136" i="12"/>
  <c r="E136" i="12"/>
  <c r="E133" i="12"/>
  <c r="C133" i="12"/>
  <c r="C134" i="12"/>
  <c r="C135" i="12"/>
  <c r="E134" i="12"/>
  <c r="E135" i="12"/>
  <c r="C132" i="12"/>
  <c r="E132" i="12"/>
  <c r="E102" i="12"/>
  <c r="C104" i="12"/>
  <c r="C103" i="12"/>
  <c r="E103" i="12"/>
  <c r="C102" i="12"/>
  <c r="E104" i="12"/>
  <c r="A34" i="12"/>
  <c r="A128" i="12"/>
  <c r="A127" i="12"/>
  <c r="A126" i="12"/>
  <c r="G169" i="12" a="1"/>
  <c r="G211" i="12" a="1"/>
  <c r="G139" i="12" a="1"/>
  <c r="G178" i="12" a="1"/>
  <c r="G200" i="12" a="1"/>
  <c r="G221" i="12" a="1"/>
  <c r="G136" i="12" a="1"/>
  <c r="G155" i="12" a="1"/>
  <c r="C34" i="12" a="1"/>
  <c r="G190" i="12" a="1"/>
  <c r="G174" i="12" a="1"/>
  <c r="E34" i="12" a="1"/>
  <c r="E128" i="12" a="1"/>
  <c r="E126" i="12" a="1"/>
  <c r="G205" i="12" a="1"/>
  <c r="G195" i="12" a="1"/>
  <c r="C126" i="12" a="1"/>
  <c r="C127" i="12" a="1"/>
  <c r="G214" i="12" a="1"/>
  <c r="G132" i="12" a="1"/>
  <c r="C128" i="12" a="1"/>
  <c r="G161" i="12" a="1"/>
  <c r="E127" i="12" a="1"/>
  <c r="G149" i="12" a="1"/>
  <c r="G149" i="12" l="1"/>
  <c r="G161" i="12"/>
  <c r="G132" i="12"/>
  <c r="G214" i="12"/>
  <c r="G195" i="12"/>
  <c r="G205" i="12"/>
  <c r="G174" i="12"/>
  <c r="G190" i="12"/>
  <c r="G155" i="12"/>
  <c r="G136" i="12"/>
  <c r="G221" i="12"/>
  <c r="G200" i="12"/>
  <c r="G178" i="12"/>
  <c r="G139" i="12"/>
  <c r="G211" i="12"/>
  <c r="G169" i="12"/>
  <c r="E34" i="12"/>
  <c r="C34" i="12"/>
  <c r="C127" i="12"/>
  <c r="E126" i="12"/>
  <c r="C128" i="12"/>
  <c r="E127" i="12"/>
  <c r="E128" i="12"/>
  <c r="C126" i="12"/>
  <c r="G150" i="12" a="1"/>
  <c r="G162" i="12" a="1"/>
  <c r="G133" i="12" a="1"/>
  <c r="G215" i="12" a="1"/>
  <c r="G196" i="12" a="1"/>
  <c r="G206" i="12" a="1"/>
  <c r="G191" i="12" a="1"/>
  <c r="G156" i="12" a="1"/>
  <c r="G222" i="12" a="1"/>
  <c r="G140" i="12" a="1"/>
  <c r="G212" i="12" a="1"/>
  <c r="G170" i="12" a="1"/>
  <c r="G175" i="12" a="1"/>
  <c r="G137" i="12" a="1"/>
  <c r="G201" i="12" a="1"/>
  <c r="G179" i="12" a="1"/>
  <c r="G179" i="12" l="1"/>
  <c r="G201" i="12"/>
  <c r="G137" i="12"/>
  <c r="G175" i="12"/>
  <c r="G170" i="12"/>
  <c r="G212" i="12"/>
  <c r="G140" i="12"/>
  <c r="G222" i="12"/>
  <c r="G156" i="12"/>
  <c r="G191" i="12"/>
  <c r="G206" i="12"/>
  <c r="G196" i="12"/>
  <c r="G215" i="12"/>
  <c r="G133" i="12"/>
  <c r="G162" i="12"/>
  <c r="G150" i="12"/>
  <c r="F221" i="12"/>
  <c r="F214" i="12"/>
  <c r="F211" i="12"/>
  <c r="F205" i="12"/>
  <c r="F200" i="12"/>
  <c r="F195" i="12"/>
  <c r="F190" i="12"/>
  <c r="F178" i="12"/>
  <c r="F174" i="12"/>
  <c r="F169" i="12"/>
  <c r="F161" i="12"/>
  <c r="F155" i="12"/>
  <c r="F149" i="12"/>
  <c r="F136" i="12"/>
  <c r="F132" i="12"/>
  <c r="A63" i="12"/>
  <c r="A15" i="4"/>
  <c r="A11" i="12"/>
  <c r="C15" i="4" a="1"/>
  <c r="E15" i="4" a="1"/>
  <c r="G180" i="12" a="1"/>
  <c r="G202" i="12" a="1"/>
  <c r="G138" i="12" a="1"/>
  <c r="G176" i="12" a="1"/>
  <c r="G171" i="12" a="1"/>
  <c r="G213" i="12" a="1"/>
  <c r="G216" i="12" a="1"/>
  <c r="G151" i="12" a="1"/>
  <c r="G141" i="12" a="1"/>
  <c r="G223" i="12" a="1"/>
  <c r="G157" i="12" a="1"/>
  <c r="E11" i="12" a="1"/>
  <c r="G192" i="12" a="1"/>
  <c r="C11" i="12" a="1"/>
  <c r="G207" i="12" a="1"/>
  <c r="E63" i="12" a="1"/>
  <c r="G197" i="12" a="1"/>
  <c r="G134" i="12" a="1"/>
  <c r="C63" i="12" a="1"/>
  <c r="G163" i="12" a="1"/>
  <c r="G163" i="12" l="1"/>
  <c r="G134" i="12"/>
  <c r="G197" i="12"/>
  <c r="G207" i="12"/>
  <c r="G192" i="12"/>
  <c r="G157" i="12"/>
  <c r="G223" i="12"/>
  <c r="G141" i="12"/>
  <c r="G151" i="12"/>
  <c r="G216" i="12"/>
  <c r="G213" i="12"/>
  <c r="G171" i="12"/>
  <c r="G176" i="12"/>
  <c r="G138" i="12"/>
  <c r="G202" i="12"/>
  <c r="G180" i="12"/>
  <c r="F222" i="12"/>
  <c r="F215" i="12"/>
  <c r="F212" i="12"/>
  <c r="F206" i="12"/>
  <c r="F201" i="12"/>
  <c r="F196" i="12"/>
  <c r="F191" i="12"/>
  <c r="F179" i="12"/>
  <c r="F175" i="12"/>
  <c r="F170" i="12"/>
  <c r="F162" i="12"/>
  <c r="F156" i="12"/>
  <c r="F150" i="12"/>
  <c r="F137" i="12"/>
  <c r="F133" i="12"/>
  <c r="C63" i="12"/>
  <c r="E63" i="12"/>
  <c r="E15" i="4"/>
  <c r="C15" i="4"/>
  <c r="C11" i="12"/>
  <c r="E11" i="12"/>
  <c r="A12" i="12"/>
  <c r="G224" i="12" a="1"/>
  <c r="G142" i="12" a="1"/>
  <c r="G152" i="12" a="1"/>
  <c r="G217" i="12" a="1"/>
  <c r="E12" i="12" a="1"/>
  <c r="C12" i="12" a="1"/>
  <c r="G172" i="12" a="1"/>
  <c r="G177" i="12" a="1"/>
  <c r="G203" i="12" a="1"/>
  <c r="G181" i="12" a="1"/>
  <c r="G164" i="12" a="1"/>
  <c r="G135" i="12" a="1"/>
  <c r="G198" i="12" a="1"/>
  <c r="G208" i="12" a="1"/>
  <c r="G193" i="12" a="1"/>
  <c r="G158" i="12" a="1"/>
  <c r="G158" i="12" l="1"/>
  <c r="G193" i="12"/>
  <c r="G208" i="12"/>
  <c r="G198" i="12"/>
  <c r="G135" i="12"/>
  <c r="G164" i="12"/>
  <c r="G181" i="12"/>
  <c r="G203" i="12"/>
  <c r="G177" i="12"/>
  <c r="G172" i="12"/>
  <c r="G217" i="12"/>
  <c r="G152" i="12"/>
  <c r="G142" i="12"/>
  <c r="G224" i="12"/>
  <c r="F223" i="12"/>
  <c r="F224" i="12" s="1"/>
  <c r="F216" i="12"/>
  <c r="F213" i="12"/>
  <c r="F207" i="12"/>
  <c r="F202" i="12"/>
  <c r="F197" i="12"/>
  <c r="F192" i="12"/>
  <c r="F180" i="12"/>
  <c r="F176" i="12"/>
  <c r="F171" i="12"/>
  <c r="F163" i="12"/>
  <c r="F157" i="12"/>
  <c r="F151" i="12"/>
  <c r="F138" i="12"/>
  <c r="F139" i="12" s="1"/>
  <c r="F140" i="12" s="1"/>
  <c r="F141" i="12" s="1"/>
  <c r="F134" i="12"/>
  <c r="E12" i="12"/>
  <c r="C12" i="12"/>
  <c r="A22" i="4"/>
  <c r="A45" i="12"/>
  <c r="A41" i="12"/>
  <c r="A44" i="12"/>
  <c r="A43" i="12"/>
  <c r="A42" i="12"/>
  <c r="A57" i="12"/>
  <c r="A21" i="12"/>
  <c r="A45" i="4"/>
  <c r="A50" i="4"/>
  <c r="E22" i="4" a="1"/>
  <c r="C50" i="4" a="1"/>
  <c r="E50" i="4" a="1"/>
  <c r="C22" i="4" a="1"/>
  <c r="C45" i="4" a="1"/>
  <c r="E45" i="4" a="1"/>
  <c r="G182" i="12" a="1"/>
  <c r="G204" i="12" a="1"/>
  <c r="E57" i="12" a="1"/>
  <c r="G173" i="12" a="1"/>
  <c r="C41" i="12" a="1"/>
  <c r="G218" i="12" a="1"/>
  <c r="G153" i="12" a="1"/>
  <c r="E43" i="12" a="1"/>
  <c r="G143" i="12" a="1"/>
  <c r="C21" i="12" a="1"/>
  <c r="G225" i="12" a="1"/>
  <c r="C45" i="12" a="1"/>
  <c r="E21" i="12" a="1"/>
  <c r="C42" i="12" a="1"/>
  <c r="E42" i="12" a="1"/>
  <c r="E45" i="12" a="1"/>
  <c r="C57" i="12" a="1"/>
  <c r="C44" i="12" a="1"/>
  <c r="G159" i="12" a="1"/>
  <c r="E44" i="12" a="1"/>
  <c r="G194" i="12" a="1"/>
  <c r="G209" i="12" a="1"/>
  <c r="C43" i="12" a="1"/>
  <c r="G199" i="12" a="1"/>
  <c r="E41" i="12" a="1"/>
  <c r="G165" i="12" a="1"/>
  <c r="G165" i="12" l="1"/>
  <c r="G199" i="12"/>
  <c r="G209" i="12"/>
  <c r="G194" i="12"/>
  <c r="G159" i="12"/>
  <c r="G225" i="12"/>
  <c r="F225" i="12" s="1"/>
  <c r="G143" i="12"/>
  <c r="G153" i="12"/>
  <c r="G218" i="12"/>
  <c r="G173" i="12"/>
  <c r="G204" i="12"/>
  <c r="G182" i="12"/>
  <c r="F217" i="12"/>
  <c r="F208" i="12"/>
  <c r="F203" i="12"/>
  <c r="F198" i="12"/>
  <c r="F193" i="12"/>
  <c r="F181" i="12"/>
  <c r="F177" i="12"/>
  <c r="F172" i="12"/>
  <c r="F164" i="12"/>
  <c r="F158" i="12"/>
  <c r="F152" i="12"/>
  <c r="F142" i="12"/>
  <c r="F135" i="12"/>
  <c r="C22" i="4"/>
  <c r="E22" i="4"/>
  <c r="E45" i="12"/>
  <c r="C45" i="12"/>
  <c r="C41" i="12"/>
  <c r="E41" i="12"/>
  <c r="C42" i="12"/>
  <c r="C43" i="12"/>
  <c r="E42" i="12"/>
  <c r="C44" i="12"/>
  <c r="E43" i="12"/>
  <c r="E44" i="12"/>
  <c r="C57" i="12"/>
  <c r="E57" i="12"/>
  <c r="C21" i="12"/>
  <c r="E21" i="12"/>
  <c r="E45" i="4"/>
  <c r="C45" i="4"/>
  <c r="E50" i="4"/>
  <c r="C50" i="4"/>
  <c r="A18" i="12"/>
  <c r="A17" i="12"/>
  <c r="F33" i="53" a="1"/>
  <c r="F48" i="53" a="1"/>
  <c r="F3" i="53" a="1"/>
  <c r="F68" i="53" a="1"/>
  <c r="F44" i="53" a="1"/>
  <c r="F23" i="53" a="1"/>
  <c r="F66" i="53" a="1"/>
  <c r="F5" i="53" a="1"/>
  <c r="F24" i="53" a="1"/>
  <c r="F15" i="53" a="1"/>
  <c r="F42" i="53" a="1"/>
  <c r="F50" i="53" a="1"/>
  <c r="F8" i="53" a="1"/>
  <c r="F38" i="53" a="1"/>
  <c r="F29" i="53" a="1"/>
  <c r="F27" i="53" a="1"/>
  <c r="F40" i="53" a="1"/>
  <c r="F59" i="53" a="1"/>
  <c r="F2" i="53" a="1"/>
  <c r="E5" i="28" a="1"/>
  <c r="F51" i="53" a="1"/>
  <c r="F63" i="53" a="1"/>
  <c r="F49" i="53" a="1"/>
  <c r="F41" i="53" a="1"/>
  <c r="F16" i="53" a="1"/>
  <c r="F31" i="53" a="1"/>
  <c r="F9" i="53" a="1"/>
  <c r="F37" i="53" a="1"/>
  <c r="F26" i="53" a="1"/>
  <c r="F64" i="53" a="1"/>
  <c r="F25" i="53" a="1"/>
  <c r="F10" i="53" a="1"/>
  <c r="F35" i="53" a="1"/>
  <c r="F28" i="53" a="1"/>
  <c r="E2" i="28" a="1"/>
  <c r="F58" i="53" a="1"/>
  <c r="F19" i="53" a="1"/>
  <c r="F13" i="53" a="1"/>
  <c r="F52" i="53" a="1"/>
  <c r="F12" i="53" a="1"/>
  <c r="F6" i="53" a="1"/>
  <c r="F43" i="53" a="1"/>
  <c r="F32" i="53" a="1"/>
  <c r="F60" i="53" a="1"/>
  <c r="F67" i="53" a="1"/>
  <c r="E6" i="28" a="1"/>
  <c r="F65" i="53" a="1"/>
  <c r="F36" i="53" a="1"/>
  <c r="F47" i="53" a="1"/>
  <c r="F56" i="53" a="1"/>
  <c r="F57" i="53" a="1"/>
  <c r="F4" i="53" a="1"/>
  <c r="F55" i="53" a="1"/>
  <c r="F30" i="53" a="1"/>
  <c r="F22" i="53" a="1"/>
  <c r="F53" i="53" a="1"/>
  <c r="F46" i="53" a="1"/>
  <c r="F54" i="53" a="1"/>
  <c r="F11" i="53" a="1"/>
  <c r="F21" i="53" a="1"/>
  <c r="F39" i="53" a="1"/>
  <c r="F62" i="53" a="1"/>
  <c r="F61" i="53" a="1"/>
  <c r="F20" i="53" a="1"/>
  <c r="F69" i="53" a="1"/>
  <c r="F34" i="53" a="1"/>
  <c r="F7" i="53" a="1"/>
  <c r="E3" i="28" a="1"/>
  <c r="F18" i="53" a="1"/>
  <c r="F45" i="53" a="1"/>
  <c r="E4" i="28" a="1"/>
  <c r="F17" i="53" a="1"/>
  <c r="F14" i="53" a="1"/>
  <c r="G166" i="12" a="1"/>
  <c r="C18" i="12" a="1"/>
  <c r="G210" i="12" a="1"/>
  <c r="G160" i="12" a="1"/>
  <c r="C17" i="12" a="1"/>
  <c r="G144" i="12" a="1"/>
  <c r="G154" i="12" a="1"/>
  <c r="G219" i="12" a="1"/>
  <c r="G41" i="12" a="1"/>
  <c r="G183" i="12" a="1"/>
  <c r="E17" i="12" a="1"/>
  <c r="E18" i="12" a="1"/>
  <c r="G183" i="12" l="1"/>
  <c r="G41" i="12"/>
  <c r="G219" i="12"/>
  <c r="G154" i="12"/>
  <c r="G144" i="12"/>
  <c r="G160" i="12"/>
  <c r="G210" i="12"/>
  <c r="G166" i="12"/>
  <c r="F218" i="12"/>
  <c r="F209" i="12"/>
  <c r="F204" i="12"/>
  <c r="F199" i="12"/>
  <c r="F194" i="12"/>
  <c r="F182" i="12"/>
  <c r="F173" i="12"/>
  <c r="F165" i="12"/>
  <c r="F159" i="12"/>
  <c r="F153" i="12"/>
  <c r="F143" i="12"/>
  <c r="E3" i="28"/>
  <c r="E5" i="28"/>
  <c r="E2" i="28"/>
  <c r="E4" i="28"/>
  <c r="E6" i="28"/>
  <c r="F14" i="53"/>
  <c r="F26" i="53"/>
  <c r="F38" i="53"/>
  <c r="F47" i="53"/>
  <c r="F56" i="53"/>
  <c r="F62" i="53"/>
  <c r="F9" i="53"/>
  <c r="F12" i="53"/>
  <c r="F15" i="53"/>
  <c r="F18" i="53"/>
  <c r="F24" i="53"/>
  <c r="F27" i="53"/>
  <c r="F30" i="53"/>
  <c r="F33" i="53"/>
  <c r="F36" i="53"/>
  <c r="F39" i="53"/>
  <c r="F45" i="53"/>
  <c r="F48" i="53"/>
  <c r="F51" i="53"/>
  <c r="F54" i="53"/>
  <c r="F57" i="53"/>
  <c r="F60" i="53"/>
  <c r="F63" i="53"/>
  <c r="F66" i="53"/>
  <c r="F4" i="53"/>
  <c r="F7" i="53"/>
  <c r="F10" i="53"/>
  <c r="F13" i="53"/>
  <c r="F16" i="53"/>
  <c r="F19" i="53"/>
  <c r="F22" i="53"/>
  <c r="F25" i="53"/>
  <c r="F28" i="53"/>
  <c r="F31" i="53"/>
  <c r="F34" i="53"/>
  <c r="F37" i="53"/>
  <c r="F40" i="53"/>
  <c r="F43" i="53"/>
  <c r="F46" i="53"/>
  <c r="F49" i="53"/>
  <c r="F52" i="53"/>
  <c r="F55" i="53"/>
  <c r="F58" i="53"/>
  <c r="F61" i="53"/>
  <c r="F64" i="53"/>
  <c r="F67" i="53"/>
  <c r="F23" i="53"/>
  <c r="F68" i="53"/>
  <c r="F29" i="53"/>
  <c r="F11" i="53"/>
  <c r="F20" i="53"/>
  <c r="F35" i="53"/>
  <c r="F44" i="53"/>
  <c r="F53" i="53"/>
  <c r="F65" i="53"/>
  <c r="F6" i="53"/>
  <c r="F21" i="53"/>
  <c r="F69" i="53"/>
  <c r="F5" i="53"/>
  <c r="F8" i="53"/>
  <c r="F17" i="53"/>
  <c r="F32" i="53"/>
  <c r="F41" i="53"/>
  <c r="F50" i="53"/>
  <c r="F59" i="53"/>
  <c r="F3" i="53"/>
  <c r="F42" i="53"/>
  <c r="F2" i="53"/>
  <c r="C18" i="12"/>
  <c r="E18" i="12"/>
  <c r="C17" i="12"/>
  <c r="E17" i="12"/>
  <c r="A15" i="12"/>
  <c r="A16" i="12"/>
  <c r="A14" i="12"/>
  <c r="A13" i="12"/>
  <c r="A25" i="12"/>
  <c r="A49" i="4"/>
  <c r="A2" i="54"/>
  <c r="A32" i="11"/>
  <c r="A2" i="20"/>
  <c r="A2" i="19"/>
  <c r="A2" i="15"/>
  <c r="A2" i="49"/>
  <c r="A20" i="37"/>
  <c r="A19" i="37"/>
  <c r="A18" i="37"/>
  <c r="A17" i="37"/>
  <c r="A16" i="37"/>
  <c r="A15" i="37"/>
  <c r="A14" i="37"/>
  <c r="A13" i="37"/>
  <c r="A12" i="37"/>
  <c r="A11" i="37"/>
  <c r="A10" i="37"/>
  <c r="A9" i="37"/>
  <c r="A8" i="37"/>
  <c r="A7" i="37"/>
  <c r="A6" i="37"/>
  <c r="A5" i="37"/>
  <c r="A4" i="37"/>
  <c r="A3" i="37"/>
  <c r="A2" i="37"/>
  <c r="A2" i="38"/>
  <c r="A2" i="47"/>
  <c r="A2" i="50"/>
  <c r="J3" i="11"/>
  <c r="J4" i="11" s="1"/>
  <c r="J5" i="11" s="1"/>
  <c r="J6" i="11" s="1"/>
  <c r="J7" i="11" s="1"/>
  <c r="J8" i="11" s="1"/>
  <c r="J10" i="11" s="1"/>
  <c r="J11" i="11" s="1"/>
  <c r="J12" i="11" s="1"/>
  <c r="J13" i="11" s="1"/>
  <c r="J15" i="11" s="1"/>
  <c r="J16" i="11" s="1"/>
  <c r="J17" i="11" s="1"/>
  <c r="J18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A2" i="46"/>
  <c r="A4" i="11"/>
  <c r="A3" i="11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8" i="53"/>
  <c r="A7" i="53"/>
  <c r="A6" i="53"/>
  <c r="A5" i="53"/>
  <c r="A4" i="53"/>
  <c r="A3" i="53"/>
  <c r="A2" i="53"/>
  <c r="C47" i="40" a="1"/>
  <c r="E41" i="53" a="1"/>
  <c r="C46" i="40" a="1"/>
  <c r="E35" i="53" a="1"/>
  <c r="C9" i="40" a="1"/>
  <c r="E69" i="53" a="1"/>
  <c r="C24" i="53" a="1"/>
  <c r="C35" i="40" a="1"/>
  <c r="E53" i="53" a="1"/>
  <c r="E65" i="53" a="1"/>
  <c r="C42" i="40" a="1"/>
  <c r="C13" i="11" a="1"/>
  <c r="C21" i="53" a="1"/>
  <c r="C52" i="53" a="1"/>
  <c r="C25" i="40" a="1"/>
  <c r="E10" i="53" a="1"/>
  <c r="C48" i="40" a="1"/>
  <c r="C10" i="40" a="1"/>
  <c r="E46" i="53" a="1"/>
  <c r="C18" i="40" a="1"/>
  <c r="E19" i="53" a="1"/>
  <c r="C10" i="53" a="1"/>
  <c r="C14" i="40" a="1"/>
  <c r="C6" i="11" a="1"/>
  <c r="E51" i="53" a="1"/>
  <c r="C2" i="49" a="1"/>
  <c r="E28" i="53" a="1"/>
  <c r="C59" i="53" a="1"/>
  <c r="C23" i="53" a="1"/>
  <c r="C68" i="53" a="1"/>
  <c r="C22" i="40" a="1"/>
  <c r="E31" i="53" a="1"/>
  <c r="C57" i="53" a="1"/>
  <c r="C14" i="53" a="1"/>
  <c r="C9" i="11" a="1"/>
  <c r="C12" i="11" a="1"/>
  <c r="C2" i="47" a="1"/>
  <c r="C58" i="53" a="1"/>
  <c r="C2" i="15" a="1"/>
  <c r="C15" i="11" a="1"/>
  <c r="C64" i="53" a="1"/>
  <c r="C37" i="53" a="1"/>
  <c r="C31" i="53" a="1"/>
  <c r="E32" i="53" a="1"/>
  <c r="C39" i="53" a="1"/>
  <c r="E2" i="46" a="1"/>
  <c r="C38" i="40" a="1"/>
  <c r="C6" i="53" a="1"/>
  <c r="C43" i="53" a="1"/>
  <c r="C19" i="11" a="1"/>
  <c r="C16" i="11" a="1"/>
  <c r="E30" i="53" a="1"/>
  <c r="E43" i="53" a="1"/>
  <c r="E34" i="53" a="1"/>
  <c r="E3" i="53" a="1"/>
  <c r="C26" i="53" a="1"/>
  <c r="C3" i="11" a="1"/>
  <c r="C16" i="53" a="1"/>
  <c r="C6" i="40" a="1"/>
  <c r="C41" i="53" a="1"/>
  <c r="C49" i="53" a="1"/>
  <c r="C20" i="40" a="1"/>
  <c r="C40" i="53" a="1"/>
  <c r="C45" i="53" a="1"/>
  <c r="C31" i="11" a="1"/>
  <c r="C3" i="40" a="1"/>
  <c r="E56" i="53" a="1"/>
  <c r="C51" i="40" a="1"/>
  <c r="C8" i="40" a="1"/>
  <c r="E59" i="53" a="1"/>
  <c r="C62" i="53" a="1"/>
  <c r="C15" i="53" a="1"/>
  <c r="E39" i="53" a="1"/>
  <c r="C52" i="40" a="1"/>
  <c r="C10" i="11" a="1"/>
  <c r="C40" i="40" a="1"/>
  <c r="E13" i="53" a="1"/>
  <c r="E36" i="53" a="1"/>
  <c r="C50" i="40" a="1"/>
  <c r="C25" i="53" a="1"/>
  <c r="E49" i="4" a="1"/>
  <c r="C12" i="40" a="1"/>
  <c r="C2" i="11" a="1"/>
  <c r="E24" i="53" a="1"/>
  <c r="E20" i="53" a="1"/>
  <c r="E17" i="53" a="1"/>
  <c r="C34" i="53" a="1"/>
  <c r="C56" i="53" a="1"/>
  <c r="C3" i="53" a="1"/>
  <c r="C27" i="11" a="1"/>
  <c r="C49" i="40" a="1"/>
  <c r="E48" i="53" a="1"/>
  <c r="C5" i="53" a="1"/>
  <c r="C30" i="40" a="1"/>
  <c r="C17" i="40" a="1"/>
  <c r="E63" i="53" a="1"/>
  <c r="C18" i="11" a="1"/>
  <c r="I2" i="11" a="1"/>
  <c r="C24" i="40" a="1"/>
  <c r="C25" i="11" a="1"/>
  <c r="G2" i="46" a="1"/>
  <c r="E61" i="53" a="1"/>
  <c r="C50" i="53" a="1"/>
  <c r="E66" i="53" a="1"/>
  <c r="E2" i="15" a="1"/>
  <c r="E47" i="53" a="1"/>
  <c r="C19" i="40" a="1"/>
  <c r="E40" i="53" a="1"/>
  <c r="C4" i="53" a="1"/>
  <c r="C15" i="40" a="1"/>
  <c r="C18" i="53" a="1"/>
  <c r="E2" i="9" a="1"/>
  <c r="C34" i="40" a="1"/>
  <c r="E58" i="53" a="1"/>
  <c r="C29" i="53" a="1"/>
  <c r="C61" i="53" a="1"/>
  <c r="E8" i="53" a="1"/>
  <c r="C48" i="53" a="1"/>
  <c r="C8" i="11" a="1"/>
  <c r="C22" i="11" a="1"/>
  <c r="C36" i="53" a="1"/>
  <c r="C69" i="53" a="1"/>
  <c r="E55" i="53" a="1"/>
  <c r="C63" i="53" a="1"/>
  <c r="C60" i="53" a="1"/>
  <c r="C2" i="40" a="1"/>
  <c r="E45" i="53" a="1"/>
  <c r="C4" i="40" a="1"/>
  <c r="C37" i="40" a="1"/>
  <c r="C33" i="53" a="1"/>
  <c r="C4" i="11" a="1"/>
  <c r="C32" i="11" a="1"/>
  <c r="C31" i="40" a="1"/>
  <c r="E57" i="53" a="1"/>
  <c r="C27" i="53" a="1"/>
  <c r="E18" i="53" a="1"/>
  <c r="C23" i="40" a="1"/>
  <c r="C8" i="53" a="1"/>
  <c r="C49" i="4" a="1"/>
  <c r="C12" i="53" a="1"/>
  <c r="E38" i="53" a="1"/>
  <c r="E7" i="53" a="1"/>
  <c r="C28" i="11" a="1"/>
  <c r="C7" i="11" a="1"/>
  <c r="C29" i="40" a="1"/>
  <c r="C11" i="53" a="1"/>
  <c r="C65" i="53" a="1"/>
  <c r="C55" i="40" a="1"/>
  <c r="E16" i="53" a="1"/>
  <c r="E37" i="53" a="1"/>
  <c r="C13" i="53" a="1"/>
  <c r="C30" i="11" a="1"/>
  <c r="C28" i="40" a="1"/>
  <c r="E15" i="53" a="1"/>
  <c r="C54" i="53" a="1"/>
  <c r="C7" i="53" a="1"/>
  <c r="C44" i="40" a="1"/>
  <c r="C19" i="53" a="1"/>
  <c r="E64" i="53" a="1"/>
  <c r="E14" i="53" a="1"/>
  <c r="G2" i="15" a="1"/>
  <c r="C32" i="53" a="1"/>
  <c r="C35" i="11" a="1"/>
  <c r="C5" i="11" a="1"/>
  <c r="E9" i="53" a="1"/>
  <c r="C43" i="40" a="1"/>
  <c r="E67" i="53" a="1"/>
  <c r="E11" i="53" a="1"/>
  <c r="C21" i="40" a="1"/>
  <c r="C67" i="53" a="1"/>
  <c r="C14" i="11" a="1"/>
  <c r="C26" i="40" a="1"/>
  <c r="E6" i="53" a="1"/>
  <c r="C5" i="40" a="1"/>
  <c r="C22" i="53" a="1"/>
  <c r="C2" i="53" a="1"/>
  <c r="E49" i="53" a="1"/>
  <c r="E68" i="53" a="1"/>
  <c r="C20" i="53" a="1"/>
  <c r="C23" i="11" a="1"/>
  <c r="C33" i="11" a="1"/>
  <c r="C44" i="53" a="1"/>
  <c r="C46" i="53" a="1"/>
  <c r="E22" i="53" a="1"/>
  <c r="C53" i="53" a="1"/>
  <c r="E52" i="53" a="1"/>
  <c r="C11" i="11" a="1"/>
  <c r="C33" i="40" a="1"/>
  <c r="C21" i="11" a="1"/>
  <c r="C55" i="53" a="1"/>
  <c r="C13" i="40" a="1"/>
  <c r="E29" i="53" a="1"/>
  <c r="C16" i="40" a="1"/>
  <c r="C30" i="53" a="1"/>
  <c r="C54" i="40" a="1"/>
  <c r="E44" i="53" a="1"/>
  <c r="C51" i="53" a="1"/>
  <c r="C32" i="40" a="1"/>
  <c r="C17" i="11" a="1"/>
  <c r="C26" i="11" a="1"/>
  <c r="E60" i="53" a="1"/>
  <c r="C66" i="53" a="1"/>
  <c r="C9" i="53" a="1"/>
  <c r="C11" i="40" a="1"/>
  <c r="C24" i="11" a="1"/>
  <c r="E21" i="53" a="1"/>
  <c r="C53" i="40" a="1"/>
  <c r="E12" i="53" a="1"/>
  <c r="C28" i="53" a="1"/>
  <c r="C34" i="11" a="1"/>
  <c r="E23" i="53" a="1"/>
  <c r="E2" i="50" a="1"/>
  <c r="E50" i="53" a="1"/>
  <c r="C45" i="40" a="1"/>
  <c r="E4" i="53" a="1"/>
  <c r="C27" i="40" a="1"/>
  <c r="C39" i="40" a="1"/>
  <c r="E2" i="53" a="1"/>
  <c r="C35" i="53" a="1"/>
  <c r="E26" i="53" a="1"/>
  <c r="E33" i="53" a="1"/>
  <c r="E62" i="53" a="1"/>
  <c r="C17" i="53" a="1"/>
  <c r="C7" i="40" a="1"/>
  <c r="E42" i="53" a="1"/>
  <c r="C38" i="53" a="1"/>
  <c r="E5" i="53" a="1"/>
  <c r="C20" i="11" a="1"/>
  <c r="C42" i="53" a="1"/>
  <c r="C36" i="40" a="1"/>
  <c r="E27" i="53" a="1"/>
  <c r="C47" i="53" a="1"/>
  <c r="E54" i="53" a="1"/>
  <c r="E25" i="53" a="1"/>
  <c r="C41" i="40" a="1"/>
  <c r="C29" i="11" a="1"/>
  <c r="G184" i="12" a="1"/>
  <c r="C87" i="12" a="1"/>
  <c r="E13" i="12" a="1"/>
  <c r="C94" i="12" a="1"/>
  <c r="G42" i="12" a="1"/>
  <c r="C100" i="12" a="1"/>
  <c r="C131" i="12" a="1"/>
  <c r="C60" i="12" a="1"/>
  <c r="C15" i="12" a="1"/>
  <c r="C96" i="12" a="1"/>
  <c r="C46" i="12" a="1"/>
  <c r="C92" i="12" a="1"/>
  <c r="C81" i="12" a="1"/>
  <c r="C85" i="12" a="1"/>
  <c r="C39" i="12" a="1"/>
  <c r="C125" i="12" a="1"/>
  <c r="C77" i="12" a="1"/>
  <c r="C69" i="12" a="1"/>
  <c r="C53" i="12" a="1"/>
  <c r="C40" i="12" a="1"/>
  <c r="C114" i="12" a="1"/>
  <c r="C23" i="12" a="1"/>
  <c r="C64" i="12" a="1"/>
  <c r="C8" i="12" a="1"/>
  <c r="C51" i="12" a="1"/>
  <c r="C83" i="12" a="1"/>
  <c r="C25" i="12" a="1"/>
  <c r="C93" i="12" a="1"/>
  <c r="C122" i="12" a="1"/>
  <c r="G145" i="12" a="1"/>
  <c r="C84" i="12" a="1"/>
  <c r="C33" i="12" a="1"/>
  <c r="C49" i="12" a="1"/>
  <c r="C2" i="12" a="1"/>
  <c r="C107" i="12" a="1"/>
  <c r="C91" i="12" a="1"/>
  <c r="C123" i="12" a="1"/>
  <c r="C59" i="12" a="1"/>
  <c r="G17" i="12" a="1"/>
  <c r="C27" i="12" a="1"/>
  <c r="E16" i="12" a="1"/>
  <c r="C47" i="12" a="1"/>
  <c r="C7" i="12" a="1"/>
  <c r="C35" i="12" a="1"/>
  <c r="C31" i="12" a="1"/>
  <c r="C3" i="12" a="1"/>
  <c r="C50" i="12" a="1"/>
  <c r="C29" i="12" a="1"/>
  <c r="C62" i="12" a="1"/>
  <c r="C80" i="12" a="1"/>
  <c r="C99" i="12" a="1"/>
  <c r="C37" i="12" a="1"/>
  <c r="C121" i="12" a="1"/>
  <c r="C115" i="12" a="1"/>
  <c r="C10" i="12" a="1"/>
  <c r="C73" i="12" a="1"/>
  <c r="C56" i="12" a="1"/>
  <c r="C111" i="12" a="1"/>
  <c r="C74" i="12" a="1"/>
  <c r="C130" i="12" a="1"/>
  <c r="C58" i="12" a="1"/>
  <c r="G220" i="12" a="1"/>
  <c r="C95" i="12" a="1"/>
  <c r="C86" i="12" a="1"/>
  <c r="C88" i="12" a="1"/>
  <c r="C54" i="12" a="1"/>
  <c r="C61" i="12" a="1"/>
  <c r="C120" i="12" a="1"/>
  <c r="C110" i="12" a="1"/>
  <c r="C90" i="12" a="1"/>
  <c r="C98" i="12" a="1"/>
  <c r="C108" i="12" a="1"/>
  <c r="C109" i="12" a="1"/>
  <c r="C112" i="12" a="1"/>
  <c r="C19" i="12" a="1"/>
  <c r="C52" i="12" a="1"/>
  <c r="C117" i="12" a="1"/>
  <c r="E15" i="12" a="1"/>
  <c r="C78" i="12" a="1"/>
  <c r="C70" i="12" a="1"/>
  <c r="C66" i="12" a="1"/>
  <c r="G167" i="12" a="1"/>
  <c r="C24" i="12" a="1"/>
  <c r="C76" i="12" a="1"/>
  <c r="C48" i="12" a="1"/>
  <c r="C13" i="12" a="1"/>
  <c r="C67" i="12" a="1"/>
  <c r="C5" i="12" a="1"/>
  <c r="C16" i="12" a="1"/>
  <c r="C6" i="12" a="1"/>
  <c r="C4" i="12" a="1"/>
  <c r="C38" i="12" a="1"/>
  <c r="C20" i="12" a="1"/>
  <c r="C124" i="12" a="1"/>
  <c r="C28" i="12" a="1"/>
  <c r="C75" i="12" a="1"/>
  <c r="C9" i="12" a="1"/>
  <c r="C101" i="12" a="1"/>
  <c r="C106" i="12" a="1"/>
  <c r="C14" i="12" a="1"/>
  <c r="C105" i="12" a="1"/>
  <c r="C65" i="12" a="1"/>
  <c r="C30" i="12" a="1"/>
  <c r="C89" i="12" a="1"/>
  <c r="C22" i="12" a="1"/>
  <c r="C26" i="12" a="1"/>
  <c r="C72" i="12" a="1"/>
  <c r="C55" i="12" a="1"/>
  <c r="C118" i="12" a="1"/>
  <c r="C79" i="12" a="1"/>
  <c r="E14" i="12" a="1"/>
  <c r="C32" i="12" a="1"/>
  <c r="C82" i="12" a="1"/>
  <c r="C68" i="12" a="1"/>
  <c r="C36" i="12" a="1"/>
  <c r="C129" i="12" a="1"/>
  <c r="C113" i="12" a="1"/>
  <c r="C116" i="12" a="1"/>
  <c r="C71" i="12" a="1"/>
  <c r="G167" i="12" l="1"/>
  <c r="G220" i="12"/>
  <c r="G17" i="12"/>
  <c r="G145" i="12"/>
  <c r="G42" i="12"/>
  <c r="G184" i="12"/>
  <c r="F154" i="12"/>
  <c r="F219" i="12"/>
  <c r="F210" i="12"/>
  <c r="F183" i="12"/>
  <c r="F166" i="12"/>
  <c r="F160" i="12"/>
  <c r="F144" i="12"/>
  <c r="F41" i="12"/>
  <c r="F17" i="12"/>
  <c r="E15" i="12"/>
  <c r="C15" i="12"/>
  <c r="C16" i="12"/>
  <c r="E16" i="12"/>
  <c r="C14" i="12"/>
  <c r="E14" i="12"/>
  <c r="C13" i="12"/>
  <c r="E13" i="12"/>
  <c r="C89" i="12"/>
  <c r="C55" i="12"/>
  <c r="C60" i="12"/>
  <c r="C66" i="12"/>
  <c r="C27" i="12"/>
  <c r="C71" i="12"/>
  <c r="C113" i="12"/>
  <c r="C37" i="12"/>
  <c r="C84" i="12"/>
  <c r="C5" i="12"/>
  <c r="C31" i="12"/>
  <c r="C75" i="12"/>
  <c r="C76" i="12"/>
  <c r="C85" i="12"/>
  <c r="C125" i="12"/>
  <c r="C9" i="12"/>
  <c r="C26" i="12"/>
  <c r="C67" i="12"/>
  <c r="C22" i="12"/>
  <c r="C23" i="12"/>
  <c r="C93" i="12"/>
  <c r="C107" i="12"/>
  <c r="C112" i="12"/>
  <c r="C117" i="12"/>
  <c r="C80" i="12"/>
  <c r="C120" i="12"/>
  <c r="C124" i="12"/>
  <c r="C49" i="12"/>
  <c r="C96" i="12"/>
  <c r="C131" i="12"/>
  <c r="C88" i="12"/>
  <c r="C4" i="12"/>
  <c r="C54" i="12"/>
  <c r="C6" i="12"/>
  <c r="C28" i="12"/>
  <c r="C24" i="12"/>
  <c r="C46" i="12"/>
  <c r="C56" i="12"/>
  <c r="C68" i="12"/>
  <c r="C77" i="12"/>
  <c r="C86" i="12"/>
  <c r="C90" i="12"/>
  <c r="C114" i="12"/>
  <c r="C7" i="12"/>
  <c r="C29" i="12"/>
  <c r="C35" i="12"/>
  <c r="C47" i="12"/>
  <c r="C58" i="12"/>
  <c r="C69" i="12"/>
  <c r="C78" i="12"/>
  <c r="C87" i="12"/>
  <c r="C91" i="12"/>
  <c r="C105" i="12"/>
  <c r="C115" i="12"/>
  <c r="C129" i="12"/>
  <c r="C8" i="12"/>
  <c r="C30" i="12"/>
  <c r="C36" i="12"/>
  <c r="C48" i="12"/>
  <c r="C59" i="12"/>
  <c r="C70" i="12"/>
  <c r="C79" i="12"/>
  <c r="C95" i="12"/>
  <c r="C92" i="12"/>
  <c r="C106" i="12"/>
  <c r="C116" i="12"/>
  <c r="C130" i="12"/>
  <c r="C122" i="12"/>
  <c r="C10" i="12"/>
  <c r="C32" i="12"/>
  <c r="C38" i="12"/>
  <c r="C50" i="12"/>
  <c r="C61" i="12"/>
  <c r="C72" i="12"/>
  <c r="C98" i="12"/>
  <c r="C94" i="12"/>
  <c r="C108" i="12"/>
  <c r="C118" i="12"/>
  <c r="C121" i="12"/>
  <c r="C33" i="12"/>
  <c r="C51" i="12"/>
  <c r="C62" i="12"/>
  <c r="C73" i="12"/>
  <c r="C81" i="12"/>
  <c r="C99" i="12"/>
  <c r="C109" i="12"/>
  <c r="C19" i="12"/>
  <c r="C39" i="12"/>
  <c r="C52" i="12"/>
  <c r="C64" i="12"/>
  <c r="C74" i="12"/>
  <c r="C82" i="12"/>
  <c r="C100" i="12"/>
  <c r="C110" i="12"/>
  <c r="C123" i="12"/>
  <c r="C3" i="12"/>
  <c r="C25" i="12"/>
  <c r="C20" i="12"/>
  <c r="C40" i="12"/>
  <c r="C53" i="12"/>
  <c r="C65" i="12"/>
  <c r="C83" i="12"/>
  <c r="C101" i="12"/>
  <c r="C111" i="12"/>
  <c r="C2" i="12"/>
  <c r="C49" i="4"/>
  <c r="E49" i="4"/>
  <c r="C32" i="11"/>
  <c r="G2" i="15"/>
  <c r="E2" i="15"/>
  <c r="C2" i="15"/>
  <c r="E2" i="50"/>
  <c r="C2" i="49"/>
  <c r="C2" i="47"/>
  <c r="G2" i="46"/>
  <c r="E2" i="46"/>
  <c r="C3" i="40"/>
  <c r="C13" i="40"/>
  <c r="C23" i="40"/>
  <c r="C33" i="40"/>
  <c r="C43" i="40"/>
  <c r="C53" i="40"/>
  <c r="C4" i="40"/>
  <c r="C14" i="40"/>
  <c r="C24" i="40"/>
  <c r="C34" i="40"/>
  <c r="C44" i="40"/>
  <c r="C54" i="40"/>
  <c r="C5" i="40"/>
  <c r="C15" i="40"/>
  <c r="C25" i="40"/>
  <c r="C35" i="40"/>
  <c r="C45" i="40"/>
  <c r="C55" i="40"/>
  <c r="C6" i="40"/>
  <c r="C16" i="40"/>
  <c r="C26" i="40"/>
  <c r="C36" i="40"/>
  <c r="C46" i="40"/>
  <c r="C7" i="40"/>
  <c r="C17" i="40"/>
  <c r="C27" i="40"/>
  <c r="C37" i="40"/>
  <c r="C47" i="40"/>
  <c r="C8" i="40"/>
  <c r="C18" i="40"/>
  <c r="C28" i="40"/>
  <c r="C38" i="40"/>
  <c r="C48" i="40"/>
  <c r="C9" i="40"/>
  <c r="C19" i="40"/>
  <c r="C29" i="40"/>
  <c r="C39" i="40"/>
  <c r="C49" i="40"/>
  <c r="C10" i="40"/>
  <c r="C20" i="40"/>
  <c r="C30" i="40"/>
  <c r="C40" i="40"/>
  <c r="C50" i="40"/>
  <c r="C11" i="40"/>
  <c r="C21" i="40"/>
  <c r="C31" i="40"/>
  <c r="C41" i="40"/>
  <c r="C51" i="40"/>
  <c r="C12" i="40"/>
  <c r="C22" i="40"/>
  <c r="C32" i="40"/>
  <c r="C42" i="40"/>
  <c r="C52" i="40"/>
  <c r="C2" i="40"/>
  <c r="I2" i="11"/>
  <c r="L2" i="11" s="1"/>
  <c r="C4" i="11"/>
  <c r="C3" i="11"/>
  <c r="C68" i="53"/>
  <c r="E68" i="53"/>
  <c r="C69" i="53"/>
  <c r="E69" i="53"/>
  <c r="C66" i="53"/>
  <c r="E64" i="53"/>
  <c r="E66" i="53"/>
  <c r="C67" i="53"/>
  <c r="E65" i="53"/>
  <c r="E67" i="53"/>
  <c r="C64" i="53"/>
  <c r="C65" i="53"/>
  <c r="C54" i="53"/>
  <c r="C60" i="53"/>
  <c r="E54" i="53"/>
  <c r="E58" i="53"/>
  <c r="E60" i="53"/>
  <c r="C55" i="53"/>
  <c r="C59" i="53"/>
  <c r="C61" i="53"/>
  <c r="E55" i="53"/>
  <c r="E59" i="53"/>
  <c r="E61" i="53"/>
  <c r="C52" i="53"/>
  <c r="C56" i="53"/>
  <c r="C62" i="53"/>
  <c r="C58" i="53"/>
  <c r="E52" i="53"/>
  <c r="E56" i="53"/>
  <c r="E62" i="53"/>
  <c r="C53" i="53"/>
  <c r="C57" i="53"/>
  <c r="C63" i="53"/>
  <c r="E53" i="53"/>
  <c r="E57" i="53"/>
  <c r="E63" i="53"/>
  <c r="C42" i="53"/>
  <c r="C46" i="53"/>
  <c r="C48" i="53"/>
  <c r="E42" i="53"/>
  <c r="E46" i="53"/>
  <c r="E48" i="53"/>
  <c r="C43" i="53"/>
  <c r="C47" i="53"/>
  <c r="C49" i="53"/>
  <c r="E43" i="53"/>
  <c r="E47" i="53"/>
  <c r="E49" i="53"/>
  <c r="C40" i="53"/>
  <c r="C44" i="53"/>
  <c r="C50" i="53"/>
  <c r="E40" i="53"/>
  <c r="E44" i="53"/>
  <c r="E50" i="53"/>
  <c r="C41" i="53"/>
  <c r="C45" i="53"/>
  <c r="C51" i="53"/>
  <c r="E41" i="53"/>
  <c r="E45" i="53"/>
  <c r="E51" i="53"/>
  <c r="C34" i="53"/>
  <c r="C35" i="53"/>
  <c r="C30" i="53"/>
  <c r="C36" i="53"/>
  <c r="E30" i="53"/>
  <c r="E34" i="53"/>
  <c r="E36" i="53"/>
  <c r="C31" i="53"/>
  <c r="C37" i="53"/>
  <c r="E31" i="53"/>
  <c r="E35" i="53"/>
  <c r="E37" i="53"/>
  <c r="C28" i="53"/>
  <c r="C32" i="53"/>
  <c r="C38" i="53"/>
  <c r="E28" i="53"/>
  <c r="E32" i="53"/>
  <c r="E38" i="53"/>
  <c r="C29" i="53"/>
  <c r="C33" i="53"/>
  <c r="C39" i="53"/>
  <c r="E29" i="53"/>
  <c r="E33" i="53"/>
  <c r="E39" i="53"/>
  <c r="C5" i="53"/>
  <c r="E5" i="53"/>
  <c r="C22" i="53"/>
  <c r="C10" i="53"/>
  <c r="E10" i="53"/>
  <c r="C25" i="53"/>
  <c r="C15" i="53"/>
  <c r="C27" i="53"/>
  <c r="C17" i="53"/>
  <c r="E22" i="53"/>
  <c r="E27" i="53"/>
  <c r="C11" i="53"/>
  <c r="E17" i="53"/>
  <c r="C6" i="53"/>
  <c r="C23" i="53"/>
  <c r="E6" i="53"/>
  <c r="C18" i="53"/>
  <c r="C13" i="53"/>
  <c r="E18" i="53"/>
  <c r="C7" i="53"/>
  <c r="E13" i="53"/>
  <c r="C19" i="53"/>
  <c r="C14" i="53"/>
  <c r="C24" i="53"/>
  <c r="C9" i="53"/>
  <c r="E14" i="53"/>
  <c r="C21" i="53"/>
  <c r="E24" i="53"/>
  <c r="C3" i="53"/>
  <c r="E9" i="53"/>
  <c r="E21" i="53"/>
  <c r="E7" i="53"/>
  <c r="E3" i="53"/>
  <c r="E11" i="53"/>
  <c r="E15" i="53"/>
  <c r="E19" i="53"/>
  <c r="E23" i="53"/>
  <c r="E25" i="53"/>
  <c r="C4" i="53"/>
  <c r="C8" i="53"/>
  <c r="C12" i="53"/>
  <c r="C16" i="53"/>
  <c r="C20" i="53"/>
  <c r="C26" i="53"/>
  <c r="E4" i="53"/>
  <c r="E8" i="53"/>
  <c r="E12" i="53"/>
  <c r="E16" i="53"/>
  <c r="E20" i="53"/>
  <c r="E26" i="53"/>
  <c r="E2" i="53"/>
  <c r="C2" i="53"/>
  <c r="C6" i="11"/>
  <c r="C15" i="11"/>
  <c r="C25" i="11"/>
  <c r="C7" i="11"/>
  <c r="C26" i="11"/>
  <c r="C8" i="11"/>
  <c r="C17" i="11"/>
  <c r="C27" i="11"/>
  <c r="C9" i="11"/>
  <c r="C18" i="11"/>
  <c r="C28" i="11"/>
  <c r="C10" i="11"/>
  <c r="C19" i="11"/>
  <c r="C29" i="11"/>
  <c r="C11" i="11"/>
  <c r="C20" i="11"/>
  <c r="C30" i="11"/>
  <c r="C12" i="11"/>
  <c r="C21" i="11"/>
  <c r="C33" i="11"/>
  <c r="C13" i="11"/>
  <c r="C22" i="11"/>
  <c r="C31" i="11"/>
  <c r="C14" i="11"/>
  <c r="C23" i="11"/>
  <c r="C34" i="11"/>
  <c r="C2" i="11"/>
  <c r="C16" i="11"/>
  <c r="C24" i="11"/>
  <c r="C35" i="11"/>
  <c r="C5" i="11"/>
  <c r="E2" i="9"/>
  <c r="A118" i="12"/>
  <c r="A117" i="12"/>
  <c r="A116" i="12"/>
  <c r="A5" i="11"/>
  <c r="A15" i="52"/>
  <c r="A14" i="52"/>
  <c r="A13" i="52"/>
  <c r="A12" i="52"/>
  <c r="A11" i="52"/>
  <c r="A10" i="52"/>
  <c r="A9" i="52"/>
  <c r="A8" i="52"/>
  <c r="A5" i="52"/>
  <c r="A4" i="52"/>
  <c r="A3" i="52"/>
  <c r="A7" i="52"/>
  <c r="A6" i="52"/>
  <c r="A2" i="52"/>
  <c r="C2" i="38" a="1"/>
  <c r="G168" i="12" a="1"/>
  <c r="G64" i="12" a="1"/>
  <c r="G88" i="12" a="1"/>
  <c r="G18" i="12" a="1"/>
  <c r="G75" i="12" a="1"/>
  <c r="G146" i="12" a="1"/>
  <c r="G105" i="12" a="1"/>
  <c r="G43" i="12" a="1"/>
  <c r="G185" i="12" a="1"/>
  <c r="G129" i="12" a="1"/>
  <c r="G58" i="12" a="1"/>
  <c r="G46" i="12" a="1"/>
  <c r="G25" i="12" a="1"/>
  <c r="G20" i="12" a="1"/>
  <c r="G13" i="12" a="1"/>
  <c r="G70" i="12" a="1"/>
  <c r="G95" i="12" a="1"/>
  <c r="G81" i="12" a="1"/>
  <c r="G120" i="12" a="1"/>
  <c r="G35" i="12" a="1"/>
  <c r="G124" i="12" a="1"/>
  <c r="C2" i="38" l="1"/>
  <c r="G124" i="12"/>
  <c r="G35" i="12"/>
  <c r="G120" i="12"/>
  <c r="G81" i="12"/>
  <c r="G95" i="12"/>
  <c r="G70" i="12"/>
  <c r="G13" i="12"/>
  <c r="G20" i="12"/>
  <c r="G25" i="12"/>
  <c r="G46" i="12"/>
  <c r="G58" i="12"/>
  <c r="G129" i="12"/>
  <c r="G185" i="12"/>
  <c r="G43" i="12"/>
  <c r="G105" i="12"/>
  <c r="G146" i="12"/>
  <c r="G75" i="12"/>
  <c r="G18" i="12"/>
  <c r="G88" i="12"/>
  <c r="G64" i="12"/>
  <c r="G168" i="12"/>
  <c r="F220" i="12"/>
  <c r="F184" i="12"/>
  <c r="F167" i="12"/>
  <c r="F145" i="12"/>
  <c r="F42" i="12"/>
  <c r="G125" i="12" a="1"/>
  <c r="G65" i="12" a="1"/>
  <c r="G36" i="12" a="1"/>
  <c r="G121" i="12" a="1"/>
  <c r="G82" i="12" a="1"/>
  <c r="G96" i="12" a="1"/>
  <c r="G71" i="12" a="1"/>
  <c r="G14" i="12" a="1"/>
  <c r="G21" i="12" a="1"/>
  <c r="G26" i="12" a="1"/>
  <c r="G47" i="12" a="1"/>
  <c r="G59" i="12" a="1"/>
  <c r="G130" i="12" a="1"/>
  <c r="G186" i="12" a="1"/>
  <c r="G44" i="12" a="1"/>
  <c r="G106" i="12" a="1"/>
  <c r="G147" i="12" a="1"/>
  <c r="G76" i="12" a="1"/>
  <c r="G19" i="12" a="1"/>
  <c r="G89" i="12" a="1"/>
  <c r="G89" i="12" l="1"/>
  <c r="G19" i="12"/>
  <c r="G76" i="12"/>
  <c r="G147" i="12"/>
  <c r="G106" i="12"/>
  <c r="G44" i="12"/>
  <c r="G186" i="12"/>
  <c r="G130" i="12"/>
  <c r="G59" i="12"/>
  <c r="G47" i="12"/>
  <c r="G26" i="12"/>
  <c r="G21" i="12"/>
  <c r="G14" i="12"/>
  <c r="G71" i="12"/>
  <c r="G96" i="12"/>
  <c r="G82" i="12"/>
  <c r="G121" i="12"/>
  <c r="G36" i="12"/>
  <c r="G65" i="12"/>
  <c r="G125" i="12"/>
  <c r="F185" i="12"/>
  <c r="F168" i="12"/>
  <c r="A129" i="12"/>
  <c r="A130" i="12"/>
  <c r="A131" i="12"/>
  <c r="C6" i="31" a="1"/>
  <c r="E381" i="27" a="1"/>
  <c r="E291" i="27" a="1"/>
  <c r="C346" i="27" a="1"/>
  <c r="C279" i="27" a="1"/>
  <c r="E29" i="27" a="1"/>
  <c r="E248" i="27" a="1"/>
  <c r="E172" i="27" a="1"/>
  <c r="C318" i="27" a="1"/>
  <c r="C155" i="27" a="1"/>
  <c r="E89" i="27" a="1"/>
  <c r="E225" i="27" a="1"/>
  <c r="C222" i="27" a="1"/>
  <c r="E312" i="27" a="1"/>
  <c r="E367" i="27" a="1"/>
  <c r="E73" i="27" a="1"/>
  <c r="E52" i="27" a="1"/>
  <c r="C9" i="3" a="1"/>
  <c r="E189" i="27" a="1"/>
  <c r="C280" i="27" a="1"/>
  <c r="C4" i="27" a="1"/>
  <c r="E267" i="27" a="1"/>
  <c r="E228" i="27" a="1"/>
  <c r="C20" i="3" a="1"/>
  <c r="C37" i="4" a="1"/>
  <c r="E103" i="27" a="1"/>
  <c r="G30" i="40" a="1"/>
  <c r="E6" i="40" a="1"/>
  <c r="E349" i="27" a="1"/>
  <c r="C54" i="27" a="1"/>
  <c r="F2" i="22" a="1"/>
  <c r="E8" i="27" a="1"/>
  <c r="E373" i="27" a="1"/>
  <c r="C111" i="27" a="1"/>
  <c r="E10" i="31" a="1"/>
  <c r="E364" i="27" a="1"/>
  <c r="E5" i="27" a="1"/>
  <c r="E32" i="4" a="1"/>
  <c r="E314" i="27" a="1"/>
  <c r="C284" i="27" a="1"/>
  <c r="C295" i="27" a="1"/>
  <c r="E220" i="27" a="1"/>
  <c r="G8" i="40" a="1"/>
  <c r="E46" i="27" a="1"/>
  <c r="G11" i="40" a="1"/>
  <c r="E309" i="27" a="1"/>
  <c r="E281" i="27" a="1"/>
  <c r="E2" i="31" a="1"/>
  <c r="C5" i="31" a="1"/>
  <c r="E3" i="40" a="1"/>
  <c r="C223" i="27" a="1"/>
  <c r="C272" i="27" a="1"/>
  <c r="C367" i="27" a="1"/>
  <c r="E14" i="27" a="1"/>
  <c r="E27" i="4" a="1"/>
  <c r="E19" i="40" a="1"/>
  <c r="E29" i="40" a="1"/>
  <c r="E43" i="4" a="1"/>
  <c r="C100" i="27" a="1"/>
  <c r="E18" i="40" a="1"/>
  <c r="E376" i="27" a="1"/>
  <c r="C370" i="27" a="1"/>
  <c r="C72" i="27" a="1"/>
  <c r="C157" i="27" a="1"/>
  <c r="E7" i="4" a="1"/>
  <c r="C373" i="27" a="1"/>
  <c r="E262" i="27" a="1"/>
  <c r="C106" i="27" a="1"/>
  <c r="E120" i="27" a="1"/>
  <c r="E192" i="27" a="1"/>
  <c r="C49" i="27" a="1"/>
  <c r="E9" i="31" a="1"/>
  <c r="C181" i="27" a="1"/>
  <c r="C14" i="4" a="1"/>
  <c r="C10" i="31" a="1"/>
  <c r="C211" i="27" a="1"/>
  <c r="C180" i="27" a="1"/>
  <c r="C131" i="27" a="1"/>
  <c r="C357" i="27" a="1"/>
  <c r="E77" i="27" a="1"/>
  <c r="C191" i="27" a="1"/>
  <c r="G48" i="40" a="1"/>
  <c r="E32" i="40" a="1"/>
  <c r="E223" i="27" a="1"/>
  <c r="E20" i="40" a="1"/>
  <c r="E50" i="40" a="1"/>
  <c r="C3" i="4" a="1"/>
  <c r="D18" i="37" a="1"/>
  <c r="E35" i="40" a="1"/>
  <c r="E332" i="27" a="1"/>
  <c r="C273" i="27" a="1"/>
  <c r="E221" i="27" a="1"/>
  <c r="C377" i="27" a="1"/>
  <c r="E154" i="27" a="1"/>
  <c r="E152" i="27" a="1"/>
  <c r="C368" i="27" a="1"/>
  <c r="E176" i="27" a="1"/>
  <c r="E274" i="27" a="1"/>
  <c r="E21" i="4" a="1"/>
  <c r="C325" i="27" a="1"/>
  <c r="E206" i="27" a="1"/>
  <c r="C47" i="4" a="1"/>
  <c r="C307" i="27" a="1"/>
  <c r="H2" i="38" a="1"/>
  <c r="C33" i="27" a="1"/>
  <c r="E31" i="40" a="1"/>
  <c r="G50" i="40" a="1"/>
  <c r="E5" i="40" a="1"/>
  <c r="E2" i="4" a="1"/>
  <c r="C338" i="27" a="1"/>
  <c r="E48" i="40" a="1"/>
  <c r="E38" i="40" a="1"/>
  <c r="E10" i="27" a="1"/>
  <c r="E144" i="27" a="1"/>
  <c r="C378" i="27" a="1"/>
  <c r="E25" i="4" a="1"/>
  <c r="E71" i="27" a="1"/>
  <c r="E2" i="40" a="1"/>
  <c r="G24" i="40" a="1"/>
  <c r="C121" i="27" a="1"/>
  <c r="E132" i="27" a="1"/>
  <c r="E341" i="27" a="1"/>
  <c r="C7" i="3" a="1"/>
  <c r="E380" i="27" a="1"/>
  <c r="C66" i="27" a="1"/>
  <c r="E13" i="4" a="1"/>
  <c r="C4" i="4" a="1"/>
  <c r="E360" i="27" a="1"/>
  <c r="E161" i="27" a="1"/>
  <c r="E30" i="40" a="1"/>
  <c r="E55" i="27" a="1"/>
  <c r="C270" i="27" a="1"/>
  <c r="C5" i="4" a="1"/>
  <c r="C77" i="27" a="1"/>
  <c r="C365" i="27" a="1"/>
  <c r="C104" i="27" a="1"/>
  <c r="E246" i="27" a="1"/>
  <c r="C73" i="27" a="1"/>
  <c r="E237" i="27" a="1"/>
  <c r="C371" i="27" a="1"/>
  <c r="E234" i="27" a="1"/>
  <c r="C376" i="27" a="1"/>
  <c r="C360" i="27" a="1"/>
  <c r="E119" i="27" a="1"/>
  <c r="C217" i="27" a="1"/>
  <c r="C287" i="27" a="1"/>
  <c r="E30" i="27" a="1"/>
  <c r="E298" i="27" a="1"/>
  <c r="E41" i="4" a="1"/>
  <c r="E13" i="27" a="1"/>
  <c r="E207" i="27" a="1"/>
  <c r="G19" i="40" a="1"/>
  <c r="C285" i="27" a="1"/>
  <c r="C255" i="27" a="1"/>
  <c r="G13" i="40" a="1"/>
  <c r="E17" i="27" a="1"/>
  <c r="E39" i="27" a="1"/>
  <c r="C27" i="4" a="1"/>
  <c r="E150" i="27" a="1"/>
  <c r="C204" i="27" a="1"/>
  <c r="C379" i="27" a="1"/>
  <c r="E263" i="27" a="1"/>
  <c r="E365" i="27" a="1"/>
  <c r="E371" i="27" a="1"/>
  <c r="C315" i="27" a="1"/>
  <c r="E6" i="27" a="1"/>
  <c r="E255" i="27" a="1"/>
  <c r="E86" i="27" a="1"/>
  <c r="E72" i="27" a="1"/>
  <c r="E14" i="40" a="1"/>
  <c r="C40" i="27" a="1"/>
  <c r="E4" i="27" a="1"/>
  <c r="E166" i="27" a="1"/>
  <c r="E159" i="27" a="1"/>
  <c r="C170" i="27" a="1"/>
  <c r="E268" i="27" a="1"/>
  <c r="E106" i="27" a="1"/>
  <c r="G16" i="40" a="1"/>
  <c r="C327" i="27" a="1"/>
  <c r="C67" i="27" a="1"/>
  <c r="C25" i="4" a="1"/>
  <c r="E4" i="40" a="1"/>
  <c r="C293" i="27" a="1"/>
  <c r="C207" i="27" a="1"/>
  <c r="C118" i="27" a="1"/>
  <c r="E374" i="27" a="1"/>
  <c r="C48" i="27" a="1"/>
  <c r="C81" i="27" a="1"/>
  <c r="C8" i="4" a="1"/>
  <c r="E336" i="27" a="1"/>
  <c r="E42" i="27" a="1"/>
  <c r="E366" i="27" a="1"/>
  <c r="E335" i="27" a="1"/>
  <c r="E138" i="27" a="1"/>
  <c r="E122" i="27" a="1"/>
  <c r="E24" i="4" a="1"/>
  <c r="E118" i="27" a="1"/>
  <c r="E344" i="27" a="1"/>
  <c r="G52" i="40" a="1"/>
  <c r="C197" i="27" a="1"/>
  <c r="E38" i="4" a="1"/>
  <c r="E230" i="27" a="1"/>
  <c r="C372" i="27" a="1"/>
  <c r="C375" i="27" a="1"/>
  <c r="E197" i="27" a="1"/>
  <c r="C3" i="3" a="1"/>
  <c r="E11" i="4" a="1"/>
  <c r="G46" i="40" a="1"/>
  <c r="E69" i="27" a="1"/>
  <c r="E256" i="27" a="1"/>
  <c r="C50" i="27" a="1"/>
  <c r="C243" i="27" a="1"/>
  <c r="C263" i="27" a="1"/>
  <c r="E66" i="27" a="1"/>
  <c r="C172" i="27" a="1"/>
  <c r="C113" i="27" a="1"/>
  <c r="E372" i="27" a="1"/>
  <c r="C175" i="27" a="1"/>
  <c r="C21" i="27" a="1"/>
  <c r="C332" i="27" a="1"/>
  <c r="C38" i="4" a="1"/>
  <c r="E100" i="27" a="1"/>
  <c r="C326" i="27" a="1"/>
  <c r="C53" i="27" a="1"/>
  <c r="E353" i="27" a="1"/>
  <c r="C30" i="27" a="1"/>
  <c r="E16" i="4" a="1"/>
  <c r="C292" i="27" a="1"/>
  <c r="E99" i="27" a="1"/>
  <c r="C89" i="27" a="1"/>
  <c r="E288" i="27" a="1"/>
  <c r="E31" i="4" a="1"/>
  <c r="C262" i="27" a="1"/>
  <c r="C310" i="27" a="1"/>
  <c r="C46" i="27" a="1"/>
  <c r="E29" i="4" a="1"/>
  <c r="E7" i="40" a="1"/>
  <c r="E54" i="27" a="1"/>
  <c r="E136" i="27" a="1"/>
  <c r="C35" i="4" a="1"/>
  <c r="C246" i="27" a="1"/>
  <c r="E28" i="27" a="1"/>
  <c r="E236" i="27" a="1"/>
  <c r="C277" i="27" a="1"/>
  <c r="C299" i="27" a="1"/>
  <c r="E330" i="27" a="1"/>
  <c r="E208" i="27" a="1"/>
  <c r="E101" i="27" a="1"/>
  <c r="C129" i="27" a="1"/>
  <c r="C208" i="27" a="1"/>
  <c r="G31" i="40" a="1"/>
  <c r="C137" i="27" a="1"/>
  <c r="C114" i="27" a="1"/>
  <c r="C302" i="27" a="1"/>
  <c r="C102" i="27" a="1"/>
  <c r="E20" i="27" a="1"/>
  <c r="C59" i="27" a="1"/>
  <c r="E53" i="40" a="1"/>
  <c r="C158" i="27" a="1"/>
  <c r="E61" i="27" a="1"/>
  <c r="G51" i="40" a="1"/>
  <c r="C291" i="27" a="1"/>
  <c r="E23" i="40" a="1"/>
  <c r="D19" i="37" a="1"/>
  <c r="C11" i="31" a="1"/>
  <c r="C286" i="27" a="1"/>
  <c r="E40" i="27" a="1"/>
  <c r="E139" i="27" a="1"/>
  <c r="C161" i="27" a="1"/>
  <c r="E368" i="27" a="1"/>
  <c r="E303" i="27" a="1"/>
  <c r="C34" i="4" a="1"/>
  <c r="D5" i="37" a="1"/>
  <c r="C82" i="27" a="1"/>
  <c r="E33" i="27" a="1"/>
  <c r="C179" i="27" a="1"/>
  <c r="C260" i="27" a="1"/>
  <c r="E286" i="27" a="1"/>
  <c r="E338" i="27" a="1"/>
  <c r="E65" i="27" a="1"/>
  <c r="E183" i="27" a="1"/>
  <c r="E63" i="27" a="1"/>
  <c r="C145" i="27" a="1"/>
  <c r="G2" i="40" a="1"/>
  <c r="E35" i="27" a="1"/>
  <c r="E354" i="27" a="1"/>
  <c r="G10" i="40" a="1"/>
  <c r="E215" i="27" a="1"/>
  <c r="C85" i="27" a="1"/>
  <c r="D15" i="37" a="1"/>
  <c r="C13" i="3" a="1"/>
  <c r="C178" i="27" a="1"/>
  <c r="E7" i="31" a="1"/>
  <c r="E209" i="27" a="1"/>
  <c r="C19" i="31" a="1"/>
  <c r="E135" i="27" a="1"/>
  <c r="E47" i="27" a="1"/>
  <c r="C164" i="27" a="1"/>
  <c r="E18" i="4" a="1"/>
  <c r="E126" i="27" a="1"/>
  <c r="C37" i="27" a="1"/>
  <c r="E6" i="4" a="1"/>
  <c r="C359" i="27" a="1"/>
  <c r="E57" i="27" a="1"/>
  <c r="C205" i="27" a="1"/>
  <c r="E149" i="27" a="1"/>
  <c r="C274" i="27" a="1"/>
  <c r="C333" i="27" a="1"/>
  <c r="C124" i="27" a="1"/>
  <c r="C224" i="27" a="1"/>
  <c r="C13" i="31" a="1"/>
  <c r="E301" i="27" a="1"/>
  <c r="E177" i="27" a="1"/>
  <c r="E224" i="27" a="1"/>
  <c r="E356" i="27" a="1"/>
  <c r="G23" i="40" a="1"/>
  <c r="C23" i="27" a="1"/>
  <c r="E105" i="27" a="1"/>
  <c r="C335" i="27" a="1"/>
  <c r="E49" i="27" a="1"/>
  <c r="C27" i="27" a="1"/>
  <c r="E334" i="27" a="1"/>
  <c r="C314" i="27" a="1"/>
  <c r="E253" i="27" a="1"/>
  <c r="C71" i="27" a="1"/>
  <c r="C201" i="27" a="1"/>
  <c r="E18" i="27" a="1"/>
  <c r="C345" i="27" a="1"/>
  <c r="E110" i="27" a="1"/>
  <c r="E125" i="27" a="1"/>
  <c r="E185" i="27" a="1"/>
  <c r="C253" i="27" a="1"/>
  <c r="C297" i="27" a="1"/>
  <c r="E22" i="40" a="1"/>
  <c r="C347" i="27" a="1"/>
  <c r="G45" i="40" a="1"/>
  <c r="E50" i="27" a="1"/>
  <c r="E15" i="27" a="1"/>
  <c r="E36" i="40" a="1"/>
  <c r="G3" i="40" a="1"/>
  <c r="E322" i="27" a="1"/>
  <c r="E317" i="27" a="1"/>
  <c r="E280" i="27" a="1"/>
  <c r="E140" i="27" a="1"/>
  <c r="C14" i="31" a="1"/>
  <c r="E348" i="27" a="1"/>
  <c r="E94" i="27" a="1"/>
  <c r="G32" i="40" a="1"/>
  <c r="E19" i="4" a="1"/>
  <c r="C15" i="27" a="1"/>
  <c r="C343" i="27" a="1"/>
  <c r="G40" i="40" a="1"/>
  <c r="G27" i="40" a="1"/>
  <c r="G14" i="40" a="1"/>
  <c r="E347" i="27" a="1"/>
  <c r="C55" i="27" a="1"/>
  <c r="C110" i="27" a="1"/>
  <c r="E13" i="31" a="1"/>
  <c r="E313" i="27" a="1"/>
  <c r="E70" i="27" a="1"/>
  <c r="C11" i="3" a="1"/>
  <c r="C19" i="3" a="1"/>
  <c r="C86" i="27" a="1"/>
  <c r="C251" i="27" a="1"/>
  <c r="E325" i="27" a="1"/>
  <c r="E243" i="27" a="1"/>
  <c r="C353" i="27" a="1"/>
  <c r="E141" i="27" a="1"/>
  <c r="E167" i="27" a="1"/>
  <c r="C18" i="4" a="1"/>
  <c r="E75" i="27" a="1"/>
  <c r="C6" i="3" a="1"/>
  <c r="D4" i="37" a="1"/>
  <c r="E11" i="27" a="1"/>
  <c r="E128" i="27" a="1"/>
  <c r="C65" i="27" a="1"/>
  <c r="C311" i="27" a="1"/>
  <c r="E41" i="40" a="1"/>
  <c r="E42" i="40" a="1"/>
  <c r="E326" i="27" a="1"/>
  <c r="E8" i="40" a="1"/>
  <c r="E361" i="27" a="1"/>
  <c r="E377" i="27" a="1"/>
  <c r="C231" i="27" a="1"/>
  <c r="C79" i="27" a="1"/>
  <c r="C10" i="3" a="1"/>
  <c r="C99" i="27" a="1"/>
  <c r="E5" i="31" a="1"/>
  <c r="C62" i="27" a="1"/>
  <c r="E328" i="27" a="1"/>
  <c r="C39" i="4" a="1"/>
  <c r="E121" i="27" a="1"/>
  <c r="C185" i="27" a="1"/>
  <c r="C268" i="27" a="1"/>
  <c r="E271" i="27" a="1"/>
  <c r="E175" i="27" a="1"/>
  <c r="C250" i="27" a="1"/>
  <c r="C43" i="4" a="1"/>
  <c r="E21" i="40" a="1"/>
  <c r="C364" i="27" a="1"/>
  <c r="E24" i="27" a="1"/>
  <c r="C304" i="27" a="1"/>
  <c r="C64" i="27" a="1"/>
  <c r="E279" i="27" a="1"/>
  <c r="C256" i="27" a="1"/>
  <c r="C80" i="27" a="1"/>
  <c r="E260" i="27" a="1"/>
  <c r="E375" i="27" a="1"/>
  <c r="C48" i="4" a="1"/>
  <c r="C34" i="27" a="1"/>
  <c r="C12" i="3" a="1"/>
  <c r="E83" i="27" a="1"/>
  <c r="E287" i="27" a="1"/>
  <c r="E244" i="27" a="1"/>
  <c r="C334" i="27" a="1"/>
  <c r="E37" i="40" a="1"/>
  <c r="C313" i="27" a="1"/>
  <c r="E47" i="4" a="1"/>
  <c r="C237" i="27" a="1"/>
  <c r="E186" i="27" a="1"/>
  <c r="C324" i="27" a="1"/>
  <c r="E33" i="40" a="1"/>
  <c r="E33" i="4" a="1"/>
  <c r="G22" i="40" a="1"/>
  <c r="E82" i="27" a="1"/>
  <c r="E307" i="27" a="1"/>
  <c r="E14" i="31" a="1"/>
  <c r="E297" i="27" a="1"/>
  <c r="C182" i="27" a="1"/>
  <c r="E102" i="27" a="1"/>
  <c r="E113" i="27" a="1"/>
  <c r="E98" i="27" a="1"/>
  <c r="C12" i="27" a="1"/>
  <c r="E339" i="27" a="1"/>
  <c r="C2" i="22" a="1"/>
  <c r="E182" i="27" a="1"/>
  <c r="E213" i="27" a="1"/>
  <c r="E16" i="27" a="1"/>
  <c r="E3" i="4" a="1"/>
  <c r="E190" i="27" a="1"/>
  <c r="C363" i="27" a="1"/>
  <c r="C200" i="27" a="1"/>
  <c r="E26" i="27" a="1"/>
  <c r="C95" i="27" a="1"/>
  <c r="E378" i="27" a="1"/>
  <c r="E143" i="27" a="1"/>
  <c r="E18" i="31" a="1"/>
  <c r="E9" i="4" a="1"/>
  <c r="E11" i="40" a="1"/>
  <c r="C288" i="27" a="1"/>
  <c r="C61" i="27" a="1"/>
  <c r="C254" i="27" a="1"/>
  <c r="C337" i="27" a="1"/>
  <c r="G20" i="40" a="1"/>
  <c r="C2" i="31" a="1"/>
  <c r="C354" i="27" a="1"/>
  <c r="E45" i="27" a="1"/>
  <c r="C309" i="27" a="1"/>
  <c r="G33" i="40" a="1"/>
  <c r="C187" i="27" a="1"/>
  <c r="C83" i="27" a="1"/>
  <c r="C5" i="3" a="1"/>
  <c r="C36" i="27" a="1"/>
  <c r="C196" i="27" a="1"/>
  <c r="C87" i="27" a="1"/>
  <c r="C159" i="27" a="1"/>
  <c r="E249" i="27" a="1"/>
  <c r="E233" i="27" a="1"/>
  <c r="E44" i="40" a="1"/>
  <c r="C134" i="27" a="1"/>
  <c r="C355" i="27" a="1"/>
  <c r="G34" i="40" a="1"/>
  <c r="E276" i="27" a="1"/>
  <c r="E36" i="27" a="1"/>
  <c r="E131" i="27" a="1"/>
  <c r="C30" i="4" a="1"/>
  <c r="E153" i="27" a="1"/>
  <c r="E127" i="27" a="1"/>
  <c r="E181" i="27" a="1"/>
  <c r="C336" i="27" a="1"/>
  <c r="C258" i="27" a="1"/>
  <c r="C319" i="27" a="1"/>
  <c r="E295" i="27" a="1"/>
  <c r="G55" i="40" a="1"/>
  <c r="C92" i="27" a="1"/>
  <c r="C321" i="27" a="1"/>
  <c r="C242" i="27" a="1"/>
  <c r="G4" i="40" a="1"/>
  <c r="E34" i="4" a="1"/>
  <c r="E284" i="27" a="1"/>
  <c r="C42" i="27" a="1"/>
  <c r="C362" i="27" a="1"/>
  <c r="E34" i="40" a="1"/>
  <c r="E242" i="27" a="1"/>
  <c r="E258" i="27" a="1"/>
  <c r="E329" i="27" a="1"/>
  <c r="E270" i="27" a="1"/>
  <c r="C12" i="31" a="1"/>
  <c r="E36" i="4" a="1"/>
  <c r="E194" i="27" a="1"/>
  <c r="D2" i="37" a="1"/>
  <c r="C11" i="4" a="1"/>
  <c r="E46" i="4" a="1"/>
  <c r="C15" i="31" a="1"/>
  <c r="E43" i="40" a="1"/>
  <c r="E12" i="4" a="1"/>
  <c r="C29" i="4" a="1"/>
  <c r="C330" i="27" a="1"/>
  <c r="E163" i="27" a="1"/>
  <c r="C156" i="27" a="1"/>
  <c r="C202" i="27" a="1"/>
  <c r="C8" i="3" a="1"/>
  <c r="D6" i="37" a="1"/>
  <c r="G5" i="40" a="1"/>
  <c r="E321" i="27" a="1"/>
  <c r="C2" i="27" a="1"/>
  <c r="E158" i="27" a="1"/>
  <c r="C266" i="27" a="1"/>
  <c r="E76" i="27" a="1"/>
  <c r="C98" i="27" a="1"/>
  <c r="E164" i="27" a="1"/>
  <c r="C42" i="4" a="1"/>
  <c r="C249" i="27" a="1"/>
  <c r="C148" i="27" a="1"/>
  <c r="C38" i="27" a="1"/>
  <c r="C32" i="4" a="1"/>
  <c r="G26" i="40" a="1"/>
  <c r="E245" i="27" a="1"/>
  <c r="E4" i="4" a="1"/>
  <c r="E273" i="27" a="1"/>
  <c r="C195" i="27" a="1"/>
  <c r="C226" i="27" a="1"/>
  <c r="E111" i="27" a="1"/>
  <c r="E81" i="27" a="1"/>
  <c r="E40" i="40" a="1"/>
  <c r="E8" i="31" a="1"/>
  <c r="C20" i="27" a="1"/>
  <c r="E6" i="31" a="1"/>
  <c r="C19" i="4" a="1"/>
  <c r="C17" i="31" a="1"/>
  <c r="C15" i="3" a="1"/>
  <c r="C171" i="27" a="1"/>
  <c r="E162" i="27" a="1"/>
  <c r="E28" i="40" a="1"/>
  <c r="E340" i="27" a="1"/>
  <c r="E130" i="27" a="1"/>
  <c r="C130" i="27" a="1"/>
  <c r="C259" i="27" a="1"/>
  <c r="E311" i="27" a="1"/>
  <c r="C22" i="27" a="1"/>
  <c r="E45" i="40" a="1"/>
  <c r="C361" i="27" a="1"/>
  <c r="C9" i="27" a="1"/>
  <c r="E8" i="4" a="1"/>
  <c r="C209" i="27" a="1"/>
  <c r="E14" i="4" a="1"/>
  <c r="C44" i="4" a="1"/>
  <c r="E283" i="27" a="1"/>
  <c r="C12" i="4" a="1"/>
  <c r="C93" i="27" a="1"/>
  <c r="C276" i="27" a="1"/>
  <c r="C23" i="4" a="1"/>
  <c r="G43" i="40" a="1"/>
  <c r="E319" i="27" a="1"/>
  <c r="E259" i="27" a="1"/>
  <c r="E205" i="27" a="1"/>
  <c r="C257" i="27" a="1"/>
  <c r="E96" i="27" a="1"/>
  <c r="D3" i="37" a="1"/>
  <c r="C186" i="27" a="1"/>
  <c r="E232" i="27" a="1"/>
  <c r="E17" i="40" a="1"/>
  <c r="E363" i="27" a="1"/>
  <c r="E34" i="27" a="1"/>
  <c r="C339" i="27" a="1"/>
  <c r="E357" i="27" a="1"/>
  <c r="D9" i="37" a="1"/>
  <c r="C2" i="3" a="1"/>
  <c r="E293" i="27" a="1"/>
  <c r="C228" i="27" a="1"/>
  <c r="E93" i="27" a="1"/>
  <c r="E217" i="27" a="1"/>
  <c r="E275" i="27" a="1"/>
  <c r="E218" i="27" a="1"/>
  <c r="C10" i="4" a="1"/>
  <c r="C94" i="27" a="1"/>
  <c r="E21" i="27" a="1"/>
  <c r="E180" i="27" a="1"/>
  <c r="E370" i="27" a="1"/>
  <c r="G12" i="40" a="1"/>
  <c r="E64" i="27" a="1"/>
  <c r="D17" i="37" a="1"/>
  <c r="C44" i="27" a="1"/>
  <c r="C19" i="27" a="1"/>
  <c r="C227" i="27" a="1"/>
  <c r="E17" i="4" a="1"/>
  <c r="C136" i="27" a="1"/>
  <c r="C322" i="27" a="1"/>
  <c r="C13" i="4" a="1"/>
  <c r="E16" i="40" a="1"/>
  <c r="C301" i="27" a="1"/>
  <c r="C6" i="4" a="1"/>
  <c r="C141" i="27" a="1"/>
  <c r="C51" i="27" a="1"/>
  <c r="C215" i="27" a="1"/>
  <c r="E4" i="31" a="1"/>
  <c r="C135" i="27" a="1"/>
  <c r="C13" i="27" a="1"/>
  <c r="C352" i="27" a="1"/>
  <c r="E359" i="27" a="1"/>
  <c r="C213" i="27" a="1"/>
  <c r="E97" i="27" a="1"/>
  <c r="E327" i="27" a="1"/>
  <c r="C26" i="4" a="1"/>
  <c r="C235" i="27" a="1"/>
  <c r="C344" i="27" a="1"/>
  <c r="E3" i="27" a="1"/>
  <c r="C188" i="27" a="1"/>
  <c r="C306" i="27" a="1"/>
  <c r="C7" i="31" a="1"/>
  <c r="C127" i="27" a="1"/>
  <c r="E55" i="40" a="1"/>
  <c r="E369" i="27" a="1"/>
  <c r="C126" i="27" a="1"/>
  <c r="C219" i="27" a="1"/>
  <c r="E254" i="27" a="1"/>
  <c r="E53" i="27" a="1"/>
  <c r="E204" i="27" a="1"/>
  <c r="E198" i="27" a="1"/>
  <c r="C2" i="9" a="1"/>
  <c r="C296" i="27" a="1"/>
  <c r="C41" i="4" a="1"/>
  <c r="G36" i="40" a="1"/>
  <c r="E315" i="27" a="1"/>
  <c r="C241" i="27" a="1"/>
  <c r="G49" i="40" a="1"/>
  <c r="C329" i="27" a="1"/>
  <c r="E160" i="27" a="1"/>
  <c r="C176" i="27" a="1"/>
  <c r="E44" i="27" a="1"/>
  <c r="E235" i="27" a="1"/>
  <c r="E300" i="27" a="1"/>
  <c r="C46" i="4" a="1"/>
  <c r="E10" i="4" a="1"/>
  <c r="C154" i="27" a="1"/>
  <c r="E289" i="27" a="1"/>
  <c r="E27" i="40" a="1"/>
  <c r="C275" i="27" a="1"/>
  <c r="C358" i="27" a="1"/>
  <c r="C193" i="27" a="1"/>
  <c r="C144" i="27" a="1"/>
  <c r="C7" i="27" a="1"/>
  <c r="C356" i="27" a="1"/>
  <c r="E202" i="27" a="1"/>
  <c r="C74" i="27" a="1"/>
  <c r="C107" i="27" a="1"/>
  <c r="E222" i="27" a="1"/>
  <c r="C11" i="27" a="1"/>
  <c r="E266" i="27" a="1"/>
  <c r="E174" i="27" a="1"/>
  <c r="C160" i="27" a="1"/>
  <c r="C2" i="5" a="1"/>
  <c r="C24" i="4" a="1"/>
  <c r="E156" i="27" a="1"/>
  <c r="C312" i="27" a="1"/>
  <c r="C63" i="27" a="1"/>
  <c r="C320" i="27" a="1"/>
  <c r="C236" i="27" a="1"/>
  <c r="E27" i="27" a="1"/>
  <c r="C33" i="4" a="1"/>
  <c r="E247" i="27" a="1"/>
  <c r="C149" i="27" a="1"/>
  <c r="G6" i="40" a="1"/>
  <c r="E12" i="27" a="1"/>
  <c r="E133" i="27" a="1"/>
  <c r="E196" i="27" a="1"/>
  <c r="E10" i="40" a="1"/>
  <c r="C380" i="27" a="1"/>
  <c r="C152" i="27" a="1"/>
  <c r="C348" i="27" a="1"/>
  <c r="C4" i="3" a="1"/>
  <c r="E155" i="27" a="1"/>
  <c r="C269" i="27" a="1"/>
  <c r="C369" i="27" a="1"/>
  <c r="E11" i="31" a="1"/>
  <c r="C146" i="27" a="1"/>
  <c r="C308" i="27" a="1"/>
  <c r="C252" i="27" a="1"/>
  <c r="C75" i="27" a="1"/>
  <c r="C167" i="27" a="1"/>
  <c r="E68" i="27" a="1"/>
  <c r="E31" i="27" a="1"/>
  <c r="D20" i="37" a="1"/>
  <c r="E49" i="40" a="1"/>
  <c r="E43" i="27" a="1"/>
  <c r="E304" i="27" a="1"/>
  <c r="C41" i="27" a="1"/>
  <c r="E23" i="4" a="1"/>
  <c r="C8" i="27" a="1"/>
  <c r="E285" i="27" a="1"/>
  <c r="D7" i="37" a="1"/>
  <c r="C165" i="27" a="1"/>
  <c r="C151" i="27" a="1"/>
  <c r="E35" i="4" a="1"/>
  <c r="C173" i="27" a="1"/>
  <c r="C128" i="27" a="1"/>
  <c r="C244" i="27" a="1"/>
  <c r="E39" i="40" a="1"/>
  <c r="E91" i="27" a="1"/>
  <c r="C69" i="27" a="1"/>
  <c r="C84" i="27" a="1"/>
  <c r="E5" i="4" a="1"/>
  <c r="E146" i="27" a="1"/>
  <c r="E92" i="27" a="1"/>
  <c r="E199" i="27" a="1"/>
  <c r="E32" i="27" a="1"/>
  <c r="G37" i="40" a="1"/>
  <c r="E320" i="27" a="1"/>
  <c r="C17" i="3" a="1"/>
  <c r="E316" i="27" a="1"/>
  <c r="E184" i="27" a="1"/>
  <c r="E261" i="27" a="1"/>
  <c r="E26" i="40" a="1"/>
  <c r="E250" i="27" a="1"/>
  <c r="C2" i="4" a="1"/>
  <c r="C18" i="3" a="1"/>
  <c r="C20" i="4" a="1"/>
  <c r="E324" i="27" a="1"/>
  <c r="E87" i="27" a="1"/>
  <c r="C57" i="27" a="1"/>
  <c r="E210" i="27" a="1"/>
  <c r="C232" i="27" a="1"/>
  <c r="E305" i="27" a="1"/>
  <c r="C281" i="27" a="1"/>
  <c r="C10" i="27" a="1"/>
  <c r="E74" i="27" a="1"/>
  <c r="E171" i="27" a="1"/>
  <c r="E343" i="27" a="1"/>
  <c r="E151" i="27" a="1"/>
  <c r="G42" i="40" a="1"/>
  <c r="E352" i="27" a="1"/>
  <c r="C328" i="27" a="1"/>
  <c r="E58" i="27" a="1"/>
  <c r="C45" i="27" a="1"/>
  <c r="C166" i="27" a="1"/>
  <c r="C138" i="27" a="1"/>
  <c r="C229" i="27" a="1"/>
  <c r="G18" i="40" a="1"/>
  <c r="C239" i="27" a="1"/>
  <c r="E38" i="27" a="1"/>
  <c r="E252" i="27" a="1"/>
  <c r="E84" i="27" a="1"/>
  <c r="E212" i="27" a="1"/>
  <c r="C220" i="27" a="1"/>
  <c r="C6" i="27" a="1"/>
  <c r="E148" i="27" a="1"/>
  <c r="E231" i="27" a="1"/>
  <c r="C190" i="27" a="1"/>
  <c r="G47" i="40" a="1"/>
  <c r="C8" i="31" a="1"/>
  <c r="C305" i="27" a="1"/>
  <c r="E323" i="27" a="1"/>
  <c r="E20" i="31" a="1"/>
  <c r="C117" i="27" a="1"/>
  <c r="C169" i="27" a="1"/>
  <c r="E19" i="27" a="1"/>
  <c r="C21" i="4" a="1"/>
  <c r="C210" i="27" a="1"/>
  <c r="C119" i="27" a="1"/>
  <c r="C112" i="27" a="1"/>
  <c r="E310" i="27" a="1"/>
  <c r="E227" i="27" a="1"/>
  <c r="C105" i="27" a="1"/>
  <c r="C139" i="27" a="1"/>
  <c r="E25" i="27" a="1"/>
  <c r="C16" i="31" a="1"/>
  <c r="E241" i="27" a="1"/>
  <c r="C20" i="31" a="1"/>
  <c r="C323" i="27" a="1"/>
  <c r="E47" i="40" a="1"/>
  <c r="E88" i="27" a="1"/>
  <c r="C212" i="27" a="1"/>
  <c r="E24" i="40" a="1"/>
  <c r="E15" i="40" a="1"/>
  <c r="C174" i="27" a="1"/>
  <c r="E37" i="4" a="1"/>
  <c r="E351" i="27" a="1"/>
  <c r="C216" i="27" a="1"/>
  <c r="E46" i="40" a="1"/>
  <c r="C24" i="27" a="1"/>
  <c r="E20" i="4" a="1"/>
  <c r="C9" i="4" a="1"/>
  <c r="C366" i="27" a="1"/>
  <c r="E282" i="27" a="1"/>
  <c r="C267" i="27" a="1"/>
  <c r="E379" i="27" a="1"/>
  <c r="E19" i="31" a="1"/>
  <c r="C240" i="27" a="1"/>
  <c r="G41" i="40" a="1"/>
  <c r="C234" i="27" a="1"/>
  <c r="G54" i="40" a="1"/>
  <c r="C101" i="27" a="1"/>
  <c r="E23" i="27" a="1"/>
  <c r="E350" i="27" a="1"/>
  <c r="E157" i="27" a="1"/>
  <c r="E191" i="27" a="1"/>
  <c r="D16" i="37" a="1"/>
  <c r="E7" i="27" a="1"/>
  <c r="E39" i="4" a="1"/>
  <c r="E85" i="27" a="1"/>
  <c r="C58" i="27" a="1"/>
  <c r="C68" i="27" a="1"/>
  <c r="E264" i="27" a="1"/>
  <c r="C109" i="27" a="1"/>
  <c r="C351" i="27" a="1"/>
  <c r="C218" i="27" a="1"/>
  <c r="E80" i="27" a="1"/>
  <c r="C278" i="27" a="1"/>
  <c r="C350" i="27" a="1"/>
  <c r="C43" i="27" a="1"/>
  <c r="E22" i="27" a="1"/>
  <c r="C31" i="27" a="1"/>
  <c r="C247" i="27" a="1"/>
  <c r="E265" i="27" a="1"/>
  <c r="E318" i="27" a="1"/>
  <c r="C108" i="27" a="1"/>
  <c r="E362" i="27" a="1"/>
  <c r="C163" i="27" a="1"/>
  <c r="C90" i="27" a="1"/>
  <c r="E299" i="27" a="1"/>
  <c r="E219" i="27" a="1"/>
  <c r="C125" i="27" a="1"/>
  <c r="E308" i="27" a="1"/>
  <c r="E114" i="27" a="1"/>
  <c r="C340" i="27" a="1"/>
  <c r="G29" i="40" a="1"/>
  <c r="C40" i="4" a="1"/>
  <c r="E51" i="27" a="1"/>
  <c r="C14" i="3" a="1"/>
  <c r="G38" i="40" a="1"/>
  <c r="C3" i="31" a="1"/>
  <c r="E292" i="27" a="1"/>
  <c r="C300" i="27" a="1"/>
  <c r="C17" i="27" a="1"/>
  <c r="C52" i="27" a="1"/>
  <c r="C289" i="27" a="1"/>
  <c r="C16" i="27" a="1"/>
  <c r="C18" i="31" a="1"/>
  <c r="C199" i="27" a="1"/>
  <c r="C341" i="27" a="1"/>
  <c r="D14" i="37" a="1"/>
  <c r="E115" i="27" a="1"/>
  <c r="C162" i="27" a="1"/>
  <c r="C35" i="27" a="1"/>
  <c r="C283" i="27" a="1"/>
  <c r="E238" i="27" a="1"/>
  <c r="E112" i="27" a="1"/>
  <c r="E193" i="27" a="1"/>
  <c r="C248" i="27" a="1"/>
  <c r="E294" i="27" a="1"/>
  <c r="E67" i="27" a="1"/>
  <c r="E95" i="27" a="1"/>
  <c r="E226" i="27" a="1"/>
  <c r="C271" i="27" a="1"/>
  <c r="C203" i="27" a="1"/>
  <c r="C36" i="4" a="1"/>
  <c r="E62" i="27" a="1"/>
  <c r="E48" i="4" a="1"/>
  <c r="E48" i="27" a="1"/>
  <c r="E188" i="27" a="1"/>
  <c r="E251" i="27" a="1"/>
  <c r="E30" i="4" a="1"/>
  <c r="E296" i="27" a="1"/>
  <c r="C298" i="27" a="1"/>
  <c r="E168" i="27" a="1"/>
  <c r="E257" i="27" a="1"/>
  <c r="C153" i="27" a="1"/>
  <c r="E42" i="4" a="1"/>
  <c r="C96" i="27" a="1"/>
  <c r="C142" i="27" a="1"/>
  <c r="E169" i="27" a="1"/>
  <c r="C31" i="4" a="1"/>
  <c r="E117" i="27" a="1"/>
  <c r="E59" i="27" a="1"/>
  <c r="G25" i="40" a="1"/>
  <c r="G17" i="40" a="1"/>
  <c r="C28" i="27" a="1"/>
  <c r="E239" i="27" a="1"/>
  <c r="C123" i="27" a="1"/>
  <c r="E28" i="4" a="1"/>
  <c r="C194" i="27" a="1"/>
  <c r="C238" i="27" a="1"/>
  <c r="C349" i="27" a="1"/>
  <c r="C9" i="31" a="1"/>
  <c r="D10" i="37" a="1"/>
  <c r="E203" i="27" a="1"/>
  <c r="E355" i="27" a="1"/>
  <c r="C5" i="27" a="1"/>
  <c r="E107" i="27" a="1"/>
  <c r="C189" i="27" a="1"/>
  <c r="E3" i="31" a="1"/>
  <c r="D11" i="37" a="1"/>
  <c r="E54" i="40" a="1"/>
  <c r="C177" i="27" a="1"/>
  <c r="C17" i="4" a="1"/>
  <c r="C16" i="3" a="1"/>
  <c r="C56" i="27" a="1"/>
  <c r="G35" i="40" a="1"/>
  <c r="C120" i="27" a="1"/>
  <c r="G15" i="40" a="1"/>
  <c r="E25" i="40" a="1"/>
  <c r="E346" i="27" a="1"/>
  <c r="C7" i="4" a="1"/>
  <c r="E17" i="31" a="1"/>
  <c r="E9" i="40" a="1"/>
  <c r="C25" i="27" a="1"/>
  <c r="G7" i="40" a="1"/>
  <c r="C230" i="27" a="1"/>
  <c r="E41" i="27" a="1"/>
  <c r="C150" i="27" a="1"/>
  <c r="E306" i="27" a="1"/>
  <c r="E165" i="27" a="1"/>
  <c r="C192" i="27" a="1"/>
  <c r="E52" i="40" a="1"/>
  <c r="D13" i="37" a="1"/>
  <c r="C331" i="27" a="1"/>
  <c r="E56" i="27" a="1"/>
  <c r="E173" i="27" a="1"/>
  <c r="E187" i="27" a="1"/>
  <c r="E147" i="27" a="1"/>
  <c r="E195" i="27" a="1"/>
  <c r="E9" i="27" a="1"/>
  <c r="C183" i="27" a="1"/>
  <c r="C28" i="4" a="1"/>
  <c r="C381" i="27" a="1"/>
  <c r="C97" i="27" a="1"/>
  <c r="C16" i="4" a="1"/>
  <c r="E104" i="27" a="1"/>
  <c r="C282" i="27" a="1"/>
  <c r="C60" i="27" a="1"/>
  <c r="E79" i="27" a="1"/>
  <c r="C265" i="27" a="1"/>
  <c r="D8" i="37" a="1"/>
  <c r="C184" i="27" a="1"/>
  <c r="C78" i="27" a="1"/>
  <c r="E145" i="27" a="1"/>
  <c r="E12" i="31" a="1"/>
  <c r="C122" i="27" a="1"/>
  <c r="E170" i="27" a="1"/>
  <c r="G39" i="40" a="1"/>
  <c r="C26" i="27" a="1"/>
  <c r="E269" i="27" a="1"/>
  <c r="C245" i="27" a="1"/>
  <c r="C103" i="27" a="1"/>
  <c r="C29" i="27" a="1"/>
  <c r="E2" i="27" a="1"/>
  <c r="E78" i="27" a="1"/>
  <c r="E12" i="40" a="1"/>
  <c r="E123" i="27" a="1"/>
  <c r="E40" i="4" a="1"/>
  <c r="G53" i="40" a="1"/>
  <c r="C290" i="27" a="1"/>
  <c r="E179" i="27" a="1"/>
  <c r="C115" i="27" a="1"/>
  <c r="C47" i="27" a="1"/>
  <c r="E342" i="27" a="1"/>
  <c r="C214" i="27" a="1"/>
  <c r="C76" i="27" a="1"/>
  <c r="E278" i="27" a="1"/>
  <c r="C198" i="27" a="1"/>
  <c r="C221" i="27" a="1"/>
  <c r="E333" i="27" a="1"/>
  <c r="C140" i="27" a="1"/>
  <c r="C147" i="27" a="1"/>
  <c r="E60" i="27" a="1"/>
  <c r="E13" i="40" a="1"/>
  <c r="C374" i="27" a="1"/>
  <c r="E240" i="27" a="1"/>
  <c r="C143" i="27" a="1"/>
  <c r="C3" i="27" a="1"/>
  <c r="E16" i="31" a="1"/>
  <c r="C91" i="27" a="1"/>
  <c r="C88" i="27" a="1"/>
  <c r="E116" i="27" a="1"/>
  <c r="C18" i="27" a="1"/>
  <c r="E200" i="27" a="1"/>
  <c r="E129" i="27" a="1"/>
  <c r="C32" i="27" a="1"/>
  <c r="C303" i="27" a="1"/>
  <c r="E211" i="27" a="1"/>
  <c r="E345" i="27" a="1"/>
  <c r="E108" i="27" a="1"/>
  <c r="E214" i="27" a="1"/>
  <c r="E15" i="31" a="1"/>
  <c r="C206" i="27" a="1"/>
  <c r="G28" i="40" a="1"/>
  <c r="E229" i="27" a="1"/>
  <c r="E44" i="4" a="1"/>
  <c r="E331" i="27" a="1"/>
  <c r="C70" i="27" a="1"/>
  <c r="G44" i="40" a="1"/>
  <c r="C14" i="27" a="1"/>
  <c r="E90" i="27" a="1"/>
  <c r="C264" i="27" a="1"/>
  <c r="E124" i="27" a="1"/>
  <c r="E216" i="27" a="1"/>
  <c r="E51" i="40" a="1"/>
  <c r="C225" i="27" a="1"/>
  <c r="E337" i="27" a="1"/>
  <c r="C168" i="27" a="1"/>
  <c r="E37" i="27" a="1"/>
  <c r="C116" i="27" a="1"/>
  <c r="E277" i="27" a="1"/>
  <c r="E302" i="27" a="1"/>
  <c r="E142" i="27" a="1"/>
  <c r="E178" i="27" a="1"/>
  <c r="G21" i="40" a="1"/>
  <c r="E272" i="27" a="1"/>
  <c r="D12" i="37" a="1"/>
  <c r="C4" i="31" a="1"/>
  <c r="E290" i="27" a="1"/>
  <c r="E137" i="27" a="1"/>
  <c r="C261" i="27" a="1"/>
  <c r="C317" i="27" a="1"/>
  <c r="E358" i="27" a="1"/>
  <c r="E134" i="27" a="1"/>
  <c r="E26" i="4" a="1"/>
  <c r="C133" i="27" a="1"/>
  <c r="E201" i="27" a="1"/>
  <c r="C132" i="27" a="1"/>
  <c r="C316" i="27" a="1"/>
  <c r="C233" i="27" a="1"/>
  <c r="C342" i="27" a="1"/>
  <c r="G9" i="40" a="1"/>
  <c r="C294" i="27" a="1"/>
  <c r="C39" i="27" a="1"/>
  <c r="E109" i="27" a="1"/>
  <c r="G97" i="12" a="1"/>
  <c r="G90" i="12" a="1"/>
  <c r="G126" i="12" a="1"/>
  <c r="E73" i="12" a="1"/>
  <c r="E85" i="12" a="1"/>
  <c r="E114" i="12" a="1"/>
  <c r="E115" i="12" a="1"/>
  <c r="E28" i="12" a="1"/>
  <c r="E111" i="12" a="1"/>
  <c r="E122" i="12" a="1"/>
  <c r="E108" i="12" a="1"/>
  <c r="G77" i="12" a="1"/>
  <c r="E86" i="12" a="1"/>
  <c r="E118" i="12" a="1"/>
  <c r="G2" i="12" a="1"/>
  <c r="E78" i="12" a="1"/>
  <c r="E95" i="12" a="1"/>
  <c r="E27" i="12" a="1"/>
  <c r="G148" i="12" a="1"/>
  <c r="E81" i="12" a="1"/>
  <c r="E8" i="12" a="1"/>
  <c r="E125" i="12" a="1"/>
  <c r="E70" i="12" a="1"/>
  <c r="E93" i="12" a="1"/>
  <c r="E117" i="12" a="1"/>
  <c r="G107" i="12" a="1"/>
  <c r="E75" i="12" a="1"/>
  <c r="E80" i="12" a="1"/>
  <c r="E94" i="12" a="1"/>
  <c r="E59" i="12" a="1"/>
  <c r="G45" i="12" a="1"/>
  <c r="E46" i="12" a="1"/>
  <c r="E66" i="12" a="1"/>
  <c r="E76" i="12" a="1"/>
  <c r="E69" i="12" a="1"/>
  <c r="E25" i="12" a="1"/>
  <c r="E55" i="12" a="1"/>
  <c r="E79" i="12" a="1"/>
  <c r="G22" i="12" a="1"/>
  <c r="E101" i="12" a="1"/>
  <c r="E40" i="12" a="1"/>
  <c r="E90" i="12" a="1"/>
  <c r="E71" i="12" a="1"/>
  <c r="E36" i="12" a="1"/>
  <c r="E98" i="12" a="1"/>
  <c r="E100" i="12" a="1"/>
  <c r="E124" i="12" a="1"/>
  <c r="E7" i="12" a="1"/>
  <c r="E99" i="12" a="1"/>
  <c r="E30" i="12" a="1"/>
  <c r="E60" i="12" a="1"/>
  <c r="E39" i="12" a="1"/>
  <c r="E64" i="12" a="1"/>
  <c r="E20" i="12" a="1"/>
  <c r="E106" i="12" a="1"/>
  <c r="E6" i="12" a="1"/>
  <c r="E131" i="12" a="1"/>
  <c r="G37" i="12" a="1"/>
  <c r="E37" i="12" a="1"/>
  <c r="G187" i="12" a="1"/>
  <c r="E48" i="12" a="1"/>
  <c r="E87" i="12" a="1"/>
  <c r="E3" i="12" a="1"/>
  <c r="E49" i="12" a="1"/>
  <c r="E121" i="12" a="1"/>
  <c r="E89" i="12" a="1"/>
  <c r="E83" i="12" a="1"/>
  <c r="G131" i="12" a="1"/>
  <c r="E33" i="12" a="1"/>
  <c r="E54" i="12" a="1"/>
  <c r="E61" i="12" a="1"/>
  <c r="E50" i="12" a="1"/>
  <c r="E38" i="12" a="1"/>
  <c r="E29" i="12" a="1"/>
  <c r="E19" i="12" a="1"/>
  <c r="E5" i="12" a="1"/>
  <c r="E65" i="12" a="1"/>
  <c r="E23" i="12" a="1"/>
  <c r="E116" i="12" a="1"/>
  <c r="E120" i="12" a="1"/>
  <c r="E62" i="12" a="1"/>
  <c r="G60" i="12" a="1"/>
  <c r="E109" i="12" a="1"/>
  <c r="E74" i="12" a="1"/>
  <c r="E129" i="12" a="1"/>
  <c r="E96" i="12" a="1"/>
  <c r="E110" i="12" a="1"/>
  <c r="E22" i="12" a="1"/>
  <c r="G48" i="12" a="1"/>
  <c r="E82" i="12" a="1"/>
  <c r="E47" i="12" a="1"/>
  <c r="E77" i="12" a="1"/>
  <c r="E58" i="12" a="1"/>
  <c r="E51" i="12" a="1"/>
  <c r="E88" i="12" a="1"/>
  <c r="G27" i="12" a="1"/>
  <c r="E112" i="12" a="1"/>
  <c r="E123" i="12" a="1"/>
  <c r="E91" i="12" a="1"/>
  <c r="E32" i="12" a="1"/>
  <c r="G15" i="12" a="1"/>
  <c r="E107" i="12" a="1"/>
  <c r="G72" i="12" a="1"/>
  <c r="E68" i="12" a="1"/>
  <c r="E53" i="12" a="1"/>
  <c r="E113" i="12" a="1"/>
  <c r="E24" i="12" a="1"/>
  <c r="G83" i="12" a="1"/>
  <c r="E67" i="12" a="1"/>
  <c r="E26" i="12" a="1"/>
  <c r="E92" i="12" a="1"/>
  <c r="G122" i="12" a="1"/>
  <c r="E9" i="12" a="1"/>
  <c r="E56" i="12" a="1"/>
  <c r="E105" i="12" a="1"/>
  <c r="E2" i="12" a="1"/>
  <c r="E10" i="12" a="1"/>
  <c r="E130" i="12" a="1"/>
  <c r="E84" i="12" a="1"/>
  <c r="E4" i="12" a="1"/>
  <c r="E72" i="12" a="1"/>
  <c r="G66" i="12" a="1"/>
  <c r="E35" i="12" a="1"/>
  <c r="E31" i="12" a="1"/>
  <c r="E52" i="12" a="1"/>
  <c r="G97" i="12" l="1"/>
  <c r="G66" i="12"/>
  <c r="G122" i="12"/>
  <c r="G83" i="12"/>
  <c r="G72" i="12"/>
  <c r="G15" i="12"/>
  <c r="G27" i="12"/>
  <c r="G48" i="12"/>
  <c r="G60" i="12"/>
  <c r="G131" i="12"/>
  <c r="G187" i="12"/>
  <c r="G37" i="12"/>
  <c r="G22" i="12"/>
  <c r="G45" i="12"/>
  <c r="G107" i="12"/>
  <c r="G148" i="12"/>
  <c r="G77" i="12"/>
  <c r="G126" i="12"/>
  <c r="G90" i="12"/>
  <c r="C272" i="27"/>
  <c r="E199" i="27"/>
  <c r="E90" i="12"/>
  <c r="E304" i="27"/>
  <c r="D3" i="37"/>
  <c r="C159" i="27"/>
  <c r="E15" i="27"/>
  <c r="E113" i="27"/>
  <c r="E135" i="27"/>
  <c r="D15" i="37"/>
  <c r="E59" i="12"/>
  <c r="C93" i="27"/>
  <c r="E162" i="27"/>
  <c r="E81" i="27"/>
  <c r="C292" i="27"/>
  <c r="E268" i="27"/>
  <c r="C42" i="4"/>
  <c r="D6" i="37"/>
  <c r="E191" i="27"/>
  <c r="C24" i="27"/>
  <c r="C139" i="27"/>
  <c r="C307" i="27"/>
  <c r="C223" i="27"/>
  <c r="C190" i="27"/>
  <c r="C328" i="27"/>
  <c r="C28" i="4"/>
  <c r="C116" i="27"/>
  <c r="C230" i="27"/>
  <c r="G35" i="40"/>
  <c r="C5" i="27"/>
  <c r="C11" i="3"/>
  <c r="E50" i="27"/>
  <c r="G23" i="40"/>
  <c r="C12" i="3"/>
  <c r="E16" i="4"/>
  <c r="C170" i="27"/>
  <c r="C85" i="27"/>
  <c r="C123" i="27"/>
  <c r="E6" i="12"/>
  <c r="C142" i="27"/>
  <c r="E92" i="27"/>
  <c r="E218" i="27"/>
  <c r="C47" i="4"/>
  <c r="E3" i="40"/>
  <c r="C269" i="27"/>
  <c r="E156" i="27"/>
  <c r="E62" i="12"/>
  <c r="E29" i="12"/>
  <c r="C356" i="27"/>
  <c r="E315" i="27"/>
  <c r="E164" i="27"/>
  <c r="C8" i="3"/>
  <c r="E251" i="27"/>
  <c r="E95" i="27"/>
  <c r="E37" i="27"/>
  <c r="C14" i="27"/>
  <c r="E214" i="27"/>
  <c r="C30" i="27"/>
  <c r="E92" i="12"/>
  <c r="E24" i="12"/>
  <c r="E7" i="12"/>
  <c r="E159" i="27"/>
  <c r="C87" i="27"/>
  <c r="G45" i="40"/>
  <c r="E102" i="27"/>
  <c r="C19" i="31"/>
  <c r="E215" i="27"/>
  <c r="E206" i="27"/>
  <c r="C5" i="31"/>
  <c r="D14" i="37"/>
  <c r="G29" i="40"/>
  <c r="E22" i="27"/>
  <c r="E157" i="27"/>
  <c r="E108" i="12"/>
  <c r="E46" i="40"/>
  <c r="C105" i="27"/>
  <c r="E231" i="27"/>
  <c r="E146" i="27"/>
  <c r="E275" i="27"/>
  <c r="E96" i="27"/>
  <c r="C12" i="4"/>
  <c r="E353" i="27"/>
  <c r="E166" i="27"/>
  <c r="C7" i="27"/>
  <c r="E111" i="27"/>
  <c r="C188" i="27"/>
  <c r="C92" i="27"/>
  <c r="E70" i="27"/>
  <c r="E83" i="12"/>
  <c r="C325" i="27"/>
  <c r="E2" i="31"/>
  <c r="C347" i="27"/>
  <c r="E356" i="27"/>
  <c r="E209" i="27"/>
  <c r="G10" i="40"/>
  <c r="C202" i="27"/>
  <c r="E72" i="12"/>
  <c r="E352" i="27"/>
  <c r="E116" i="27"/>
  <c r="E60" i="27"/>
  <c r="E124" i="12"/>
  <c r="E342" i="27"/>
  <c r="E78" i="27"/>
  <c r="C122" i="27"/>
  <c r="C53" i="27"/>
  <c r="E4" i="27"/>
  <c r="E120" i="12"/>
  <c r="C184" i="27"/>
  <c r="E79" i="27"/>
  <c r="E290" i="27"/>
  <c r="E142" i="27"/>
  <c r="E56" i="27"/>
  <c r="E27" i="12"/>
  <c r="E21" i="4"/>
  <c r="E281" i="27"/>
  <c r="G7" i="40"/>
  <c r="E5" i="4"/>
  <c r="E43" i="27"/>
  <c r="E106" i="12"/>
  <c r="C196" i="27"/>
  <c r="E11" i="40"/>
  <c r="C182" i="27"/>
  <c r="C34" i="27"/>
  <c r="E354" i="27"/>
  <c r="E155" i="27"/>
  <c r="C24" i="4"/>
  <c r="C144" i="27"/>
  <c r="C326" i="27"/>
  <c r="C40" i="27"/>
  <c r="G36" i="40"/>
  <c r="C98" i="27"/>
  <c r="E117" i="12"/>
  <c r="E95" i="12"/>
  <c r="C156" i="27"/>
  <c r="C56" i="27"/>
  <c r="C341" i="27"/>
  <c r="E274" i="27"/>
  <c r="E309" i="27"/>
  <c r="C340" i="27"/>
  <c r="C43" i="27"/>
  <c r="E100" i="12"/>
  <c r="E98" i="12"/>
  <c r="E32" i="12"/>
  <c r="E350" i="27"/>
  <c r="C216" i="27"/>
  <c r="E227" i="27"/>
  <c r="E148" i="27"/>
  <c r="G55" i="40"/>
  <c r="E313" i="27"/>
  <c r="E22" i="40"/>
  <c r="E224" i="27"/>
  <c r="E7" i="31"/>
  <c r="E100" i="27"/>
  <c r="E14" i="40"/>
  <c r="E35" i="27"/>
  <c r="E52" i="12"/>
  <c r="E4" i="12"/>
  <c r="G42" i="40"/>
  <c r="E355" i="27"/>
  <c r="E239" i="27"/>
  <c r="C96" i="27"/>
  <c r="E176" i="27"/>
  <c r="G11" i="40"/>
  <c r="C44" i="27"/>
  <c r="E217" i="27"/>
  <c r="C257" i="27"/>
  <c r="E283" i="27"/>
  <c r="C193" i="27"/>
  <c r="C226" i="27"/>
  <c r="E76" i="27"/>
  <c r="E163" i="27"/>
  <c r="E188" i="27"/>
  <c r="E67" i="27"/>
  <c r="E41" i="40"/>
  <c r="C38" i="4"/>
  <c r="E72" i="27"/>
  <c r="C36" i="27"/>
  <c r="C297" i="27"/>
  <c r="E26" i="12"/>
  <c r="E297" i="27"/>
  <c r="C48" i="4"/>
  <c r="G2" i="40"/>
  <c r="C368" i="27"/>
  <c r="E46" i="27"/>
  <c r="C168" i="27"/>
  <c r="G44" i="40"/>
  <c r="E108" i="27"/>
  <c r="C88" i="27"/>
  <c r="E89" i="12"/>
  <c r="C147" i="27"/>
  <c r="C47" i="27"/>
  <c r="E2" i="27"/>
  <c r="C199" i="27"/>
  <c r="E122" i="12"/>
  <c r="E114" i="27"/>
  <c r="C350" i="27"/>
  <c r="C84" i="27"/>
  <c r="C332" i="27"/>
  <c r="E86" i="27"/>
  <c r="E49" i="40"/>
  <c r="C4" i="3"/>
  <c r="E36" i="12"/>
  <c r="C2" i="5"/>
  <c r="E295" i="27"/>
  <c r="E13" i="31"/>
  <c r="E22" i="12"/>
  <c r="E152" i="27"/>
  <c r="G8" i="40"/>
  <c r="E121" i="12"/>
  <c r="E55" i="12"/>
  <c r="E9" i="4"/>
  <c r="E177" i="27"/>
  <c r="E375" i="27"/>
  <c r="C145" i="27"/>
  <c r="C171" i="27"/>
  <c r="C41" i="4"/>
  <c r="C266" i="27"/>
  <c r="C330" i="27"/>
  <c r="E23" i="27"/>
  <c r="E351" i="27"/>
  <c r="E310" i="27"/>
  <c r="C21" i="27"/>
  <c r="E255" i="27"/>
  <c r="E79" i="12"/>
  <c r="E88" i="12"/>
  <c r="C6" i="27"/>
  <c r="E151" i="27"/>
  <c r="E109" i="27"/>
  <c r="C233" i="27"/>
  <c r="E134" i="27"/>
  <c r="E154" i="27"/>
  <c r="E220" i="27"/>
  <c r="C4" i="31"/>
  <c r="C183" i="27"/>
  <c r="C311" i="27"/>
  <c r="C5" i="3"/>
  <c r="C253" i="27"/>
  <c r="E14" i="31"/>
  <c r="E20" i="12"/>
  <c r="C178" i="27"/>
  <c r="E63" i="27"/>
  <c r="C331" i="27"/>
  <c r="C25" i="27"/>
  <c r="C69" i="27"/>
  <c r="C175" i="27"/>
  <c r="E6" i="27"/>
  <c r="E93" i="27"/>
  <c r="E205" i="27"/>
  <c r="C44" i="4"/>
  <c r="C358" i="27"/>
  <c r="C195" i="27"/>
  <c r="C377" i="27"/>
  <c r="E78" i="12"/>
  <c r="C295" i="27"/>
  <c r="E3" i="27"/>
  <c r="C29" i="4"/>
  <c r="C16" i="3"/>
  <c r="E203" i="27"/>
  <c r="C28" i="27"/>
  <c r="E42" i="4"/>
  <c r="C319" i="27"/>
  <c r="C110" i="27"/>
  <c r="E185" i="27"/>
  <c r="E301" i="27"/>
  <c r="E260" i="27"/>
  <c r="E372" i="27"/>
  <c r="E116" i="12"/>
  <c r="E38" i="12"/>
  <c r="C315" i="27"/>
  <c r="E183" i="27"/>
  <c r="E48" i="27"/>
  <c r="C18" i="31"/>
  <c r="E308" i="27"/>
  <c r="C278" i="27"/>
  <c r="E221" i="27"/>
  <c r="C284" i="27"/>
  <c r="C101" i="27"/>
  <c r="E37" i="4"/>
  <c r="C112" i="27"/>
  <c r="C220" i="27"/>
  <c r="D17" i="37"/>
  <c r="D20" i="37"/>
  <c r="C348" i="27"/>
  <c r="C160" i="27"/>
  <c r="C275" i="27"/>
  <c r="E110" i="12"/>
  <c r="E23" i="12"/>
  <c r="H2" i="38"/>
  <c r="C296" i="27"/>
  <c r="C65" i="27"/>
  <c r="C113" i="27"/>
  <c r="E371" i="27"/>
  <c r="C83" i="27"/>
  <c r="E18" i="31"/>
  <c r="E307" i="27"/>
  <c r="C80" i="27"/>
  <c r="E65" i="27"/>
  <c r="C273" i="27"/>
  <c r="E314" i="27"/>
  <c r="E158" i="27"/>
  <c r="E12" i="4"/>
  <c r="E343" i="27"/>
  <c r="E294" i="27"/>
  <c r="E337" i="27"/>
  <c r="E91" i="12"/>
  <c r="E51" i="12"/>
  <c r="C70" i="27"/>
  <c r="E345" i="27"/>
  <c r="C91" i="27"/>
  <c r="C140" i="27"/>
  <c r="C115" i="27"/>
  <c r="C29" i="27"/>
  <c r="C172" i="27"/>
  <c r="E365" i="27"/>
  <c r="E12" i="31"/>
  <c r="C316" i="27"/>
  <c r="C60" i="27"/>
  <c r="C258" i="27"/>
  <c r="C55" i="27"/>
  <c r="E332" i="27"/>
  <c r="E32" i="4"/>
  <c r="E125" i="27"/>
  <c r="C13" i="31"/>
  <c r="C256" i="27"/>
  <c r="E123" i="12"/>
  <c r="E58" i="12"/>
  <c r="E338" i="27"/>
  <c r="E91" i="27"/>
  <c r="C228" i="27"/>
  <c r="C152" i="27"/>
  <c r="E174" i="27"/>
  <c r="E27" i="40"/>
  <c r="C2" i="9"/>
  <c r="C2" i="27"/>
  <c r="E66" i="27"/>
  <c r="E85" i="12"/>
  <c r="E37" i="12"/>
  <c r="E84" i="12"/>
  <c r="E263" i="27"/>
  <c r="E43" i="40"/>
  <c r="D12" i="37"/>
  <c r="C16" i="27"/>
  <c r="C125" i="27"/>
  <c r="E80" i="27"/>
  <c r="E35" i="40"/>
  <c r="E5" i="27"/>
  <c r="G54" i="40"/>
  <c r="C174" i="27"/>
  <c r="E128" i="27"/>
  <c r="C187" i="27"/>
  <c r="E143" i="27"/>
  <c r="E82" i="27"/>
  <c r="E279" i="27"/>
  <c r="E286" i="27"/>
  <c r="C119" i="27"/>
  <c r="E212" i="27"/>
  <c r="E171" i="27"/>
  <c r="C263" i="27"/>
  <c r="C379" i="27"/>
  <c r="E9" i="27"/>
  <c r="D13" i="37"/>
  <c r="E9" i="40"/>
  <c r="E64" i="27"/>
  <c r="E31" i="27"/>
  <c r="D18" i="37"/>
  <c r="E364" i="27"/>
  <c r="C380" i="27"/>
  <c r="E65" i="12"/>
  <c r="E14" i="4"/>
  <c r="E289" i="27"/>
  <c r="E273" i="27"/>
  <c r="C344" i="27"/>
  <c r="C15" i="31"/>
  <c r="C336" i="27"/>
  <c r="E347" i="27"/>
  <c r="E110" i="27"/>
  <c r="C224" i="27"/>
  <c r="E130" i="12"/>
  <c r="C13" i="3"/>
  <c r="C243" i="27"/>
  <c r="C204" i="27"/>
  <c r="C260" i="27"/>
  <c r="C17" i="4"/>
  <c r="D10" i="37"/>
  <c r="G17" i="40"/>
  <c r="C153" i="27"/>
  <c r="E96" i="12"/>
  <c r="C3" i="4"/>
  <c r="E10" i="31"/>
  <c r="E48" i="4"/>
  <c r="C248" i="27"/>
  <c r="C225" i="27"/>
  <c r="E331" i="27"/>
  <c r="E211" i="27"/>
  <c r="C289" i="27"/>
  <c r="E219" i="27"/>
  <c r="C218" i="27"/>
  <c r="E39" i="40"/>
  <c r="E68" i="27"/>
  <c r="E181" i="27"/>
  <c r="C50" i="27"/>
  <c r="E150" i="27"/>
  <c r="G33" i="40"/>
  <c r="E378" i="27"/>
  <c r="G22" i="40"/>
  <c r="F186" i="12"/>
  <c r="E77" i="12"/>
  <c r="E129" i="12"/>
  <c r="C64" i="27"/>
  <c r="C179" i="27"/>
  <c r="E50" i="40"/>
  <c r="C111" i="27"/>
  <c r="E259" i="27"/>
  <c r="E266" i="27"/>
  <c r="C154" i="27"/>
  <c r="E198" i="27"/>
  <c r="E321" i="27"/>
  <c r="E46" i="4"/>
  <c r="C234" i="27"/>
  <c r="E15" i="40"/>
  <c r="C210" i="27"/>
  <c r="E84" i="27"/>
  <c r="E74" i="27"/>
  <c r="E256" i="27"/>
  <c r="C27" i="4"/>
  <c r="E16" i="31"/>
  <c r="E333" i="27"/>
  <c r="E179" i="27"/>
  <c r="E11" i="27"/>
  <c r="G14" i="40"/>
  <c r="E20" i="40"/>
  <c r="E373" i="27"/>
  <c r="C345" i="27"/>
  <c r="E93" i="12"/>
  <c r="C124" i="27"/>
  <c r="C304" i="27"/>
  <c r="E33" i="27"/>
  <c r="C103" i="27"/>
  <c r="C39" i="27"/>
  <c r="C132" i="27"/>
  <c r="C18" i="3"/>
  <c r="G12" i="40"/>
  <c r="E293" i="27"/>
  <c r="E10" i="40"/>
  <c r="E69" i="27"/>
  <c r="E39" i="27"/>
  <c r="C11" i="27"/>
  <c r="C15" i="3"/>
  <c r="E204" i="27"/>
  <c r="C235" i="27"/>
  <c r="C11" i="4"/>
  <c r="E223" i="27"/>
  <c r="E8" i="27"/>
  <c r="E358" i="27"/>
  <c r="E272" i="27"/>
  <c r="E127" i="27"/>
  <c r="C309" i="27"/>
  <c r="C95" i="27"/>
  <c r="C333" i="27"/>
  <c r="E24" i="27"/>
  <c r="E64" i="12"/>
  <c r="E99" i="12"/>
  <c r="C82" i="27"/>
  <c r="E195" i="27"/>
  <c r="E52" i="40"/>
  <c r="E17" i="31"/>
  <c r="G46" i="40"/>
  <c r="E17" i="27"/>
  <c r="C177" i="27"/>
  <c r="C52" i="27"/>
  <c r="E299" i="27"/>
  <c r="C351" i="27"/>
  <c r="G41" i="40"/>
  <c r="E32" i="40"/>
  <c r="F2" i="22"/>
  <c r="E24" i="40"/>
  <c r="C2" i="4"/>
  <c r="C244" i="27"/>
  <c r="C167" i="27"/>
  <c r="E196" i="27"/>
  <c r="C209" i="27"/>
  <c r="D4" i="37"/>
  <c r="G27" i="40"/>
  <c r="E18" i="27"/>
  <c r="E33" i="4"/>
  <c r="C364" i="27"/>
  <c r="E11" i="4"/>
  <c r="G13" i="40"/>
  <c r="D5" i="37"/>
  <c r="E10" i="4"/>
  <c r="E4" i="4"/>
  <c r="G5" i="40"/>
  <c r="D2" i="37"/>
  <c r="G48" i="40"/>
  <c r="C54" i="27"/>
  <c r="C21" i="4"/>
  <c r="E252" i="27"/>
  <c r="C10" i="27"/>
  <c r="C9" i="31"/>
  <c r="G25" i="40"/>
  <c r="E257" i="27"/>
  <c r="E62" i="27"/>
  <c r="E193" i="27"/>
  <c r="E51" i="40"/>
  <c r="E44" i="4"/>
  <c r="E153" i="27"/>
  <c r="C3" i="3"/>
  <c r="C255" i="27"/>
  <c r="E45" i="27"/>
  <c r="E26" i="27"/>
  <c r="C274" i="27"/>
  <c r="E21" i="40"/>
  <c r="C34" i="4"/>
  <c r="E70" i="12"/>
  <c r="G2" i="12"/>
  <c r="E111" i="12"/>
  <c r="C191" i="27"/>
  <c r="E349" i="27"/>
  <c r="C303" i="27"/>
  <c r="C13" i="4"/>
  <c r="E370" i="27"/>
  <c r="C2" i="3"/>
  <c r="E133" i="27"/>
  <c r="E222" i="27"/>
  <c r="C17" i="31"/>
  <c r="E53" i="27"/>
  <c r="C26" i="4"/>
  <c r="E194" i="27"/>
  <c r="C3" i="27"/>
  <c r="E197" i="27"/>
  <c r="C285" i="27"/>
  <c r="C221" i="27"/>
  <c r="C290" i="27"/>
  <c r="C245" i="27"/>
  <c r="C6" i="3"/>
  <c r="G40" i="40"/>
  <c r="E77" i="27"/>
  <c r="E6" i="40"/>
  <c r="C201" i="27"/>
  <c r="E149" i="27"/>
  <c r="C43" i="4"/>
  <c r="E303" i="27"/>
  <c r="E53" i="12"/>
  <c r="E107" i="12"/>
  <c r="E40" i="12"/>
  <c r="C17" i="27"/>
  <c r="C90" i="27"/>
  <c r="C109" i="27"/>
  <c r="C240" i="27"/>
  <c r="C212" i="27"/>
  <c r="E19" i="27"/>
  <c r="E38" i="27"/>
  <c r="C375" i="27"/>
  <c r="G19" i="40"/>
  <c r="E250" i="27"/>
  <c r="C128" i="27"/>
  <c r="C75" i="27"/>
  <c r="E12" i="27"/>
  <c r="E8" i="4"/>
  <c r="C357" i="27"/>
  <c r="G30" i="40"/>
  <c r="C46" i="4"/>
  <c r="E245" i="27"/>
  <c r="C30" i="4"/>
  <c r="C354" i="27"/>
  <c r="C200" i="27"/>
  <c r="E33" i="40"/>
  <c r="C250" i="27"/>
  <c r="E368" i="27"/>
  <c r="E327" i="27"/>
  <c r="E36" i="4"/>
  <c r="C281" i="27"/>
  <c r="C372" i="27"/>
  <c r="E207" i="27"/>
  <c r="E145" i="27"/>
  <c r="E201" i="27"/>
  <c r="C282" i="27"/>
  <c r="C16" i="4"/>
  <c r="E302" i="27"/>
  <c r="C131" i="27"/>
  <c r="E103" i="27"/>
  <c r="C192" i="27"/>
  <c r="C7" i="4"/>
  <c r="E54" i="40"/>
  <c r="C349" i="27"/>
  <c r="E59" i="27"/>
  <c r="C322" i="27"/>
  <c r="E75" i="27"/>
  <c r="C343" i="27"/>
  <c r="C71" i="27"/>
  <c r="C205" i="27"/>
  <c r="E175" i="27"/>
  <c r="E230" i="27"/>
  <c r="E13" i="27"/>
  <c r="C161" i="27"/>
  <c r="C173" i="27"/>
  <c r="D9" i="37"/>
  <c r="E31" i="12"/>
  <c r="E10" i="12"/>
  <c r="E56" i="12"/>
  <c r="E39" i="12"/>
  <c r="G6" i="40"/>
  <c r="C107" i="27"/>
  <c r="C180" i="27"/>
  <c r="C37" i="4"/>
  <c r="E300" i="27"/>
  <c r="E254" i="27"/>
  <c r="E97" i="27"/>
  <c r="C12" i="31"/>
  <c r="E168" i="27"/>
  <c r="C36" i="4"/>
  <c r="C300" i="27"/>
  <c r="C163" i="27"/>
  <c r="E264" i="27"/>
  <c r="E19" i="31"/>
  <c r="E131" i="27"/>
  <c r="E38" i="4"/>
  <c r="E41" i="4"/>
  <c r="C2" i="31"/>
  <c r="C363" i="27"/>
  <c r="E57" i="27"/>
  <c r="E271" i="27"/>
  <c r="E139" i="27"/>
  <c r="C211" i="27"/>
  <c r="C20" i="3"/>
  <c r="E88" i="27"/>
  <c r="C169" i="27"/>
  <c r="C239" i="27"/>
  <c r="E305" i="27"/>
  <c r="E112" i="27"/>
  <c r="E26" i="40"/>
  <c r="E180" i="27"/>
  <c r="C252" i="27"/>
  <c r="C149" i="27"/>
  <c r="C9" i="27"/>
  <c r="E235" i="27"/>
  <c r="C197" i="27"/>
  <c r="E298" i="27"/>
  <c r="E2" i="12"/>
  <c r="E131" i="12"/>
  <c r="E60" i="12"/>
  <c r="G26" i="40"/>
  <c r="C213" i="27"/>
  <c r="E270" i="27"/>
  <c r="C18" i="4"/>
  <c r="C15" i="27"/>
  <c r="C10" i="31"/>
  <c r="E228" i="27"/>
  <c r="E253" i="27"/>
  <c r="C324" i="27"/>
  <c r="C268" i="27"/>
  <c r="E40" i="27"/>
  <c r="E216" i="27"/>
  <c r="E229" i="27"/>
  <c r="C32" i="27"/>
  <c r="C143" i="27"/>
  <c r="C198" i="27"/>
  <c r="G53" i="40"/>
  <c r="G31" i="40"/>
  <c r="G52" i="40"/>
  <c r="E30" i="27"/>
  <c r="E269" i="27"/>
  <c r="C294" i="27"/>
  <c r="C133" i="27"/>
  <c r="C317" i="27"/>
  <c r="G21" i="40"/>
  <c r="C14" i="4"/>
  <c r="E267" i="27"/>
  <c r="C136" i="27"/>
  <c r="E35" i="4"/>
  <c r="E357" i="27"/>
  <c r="E36" i="27"/>
  <c r="G20" i="40"/>
  <c r="C314" i="27"/>
  <c r="C359" i="27"/>
  <c r="C185" i="27"/>
  <c r="C286" i="27"/>
  <c r="E247" i="27"/>
  <c r="C208" i="27"/>
  <c r="E344" i="27"/>
  <c r="C287" i="27"/>
  <c r="C361" i="27"/>
  <c r="C19" i="4"/>
  <c r="C219" i="27"/>
  <c r="E359" i="27"/>
  <c r="E329" i="27"/>
  <c r="C181" i="27"/>
  <c r="C4" i="27"/>
  <c r="E292" i="27"/>
  <c r="E362" i="27"/>
  <c r="C68" i="27"/>
  <c r="E25" i="12"/>
  <c r="E94" i="12"/>
  <c r="E125" i="12"/>
  <c r="E379" i="27"/>
  <c r="E47" i="40"/>
  <c r="C117" i="27"/>
  <c r="G18" i="40"/>
  <c r="C232" i="27"/>
  <c r="E167" i="27"/>
  <c r="E19" i="4"/>
  <c r="C129" i="27"/>
  <c r="E118" i="27"/>
  <c r="C217" i="27"/>
  <c r="E190" i="27"/>
  <c r="E186" i="27"/>
  <c r="E121" i="27"/>
  <c r="C11" i="31"/>
  <c r="E380" i="27"/>
  <c r="E9" i="31"/>
  <c r="C280" i="27"/>
  <c r="E147" i="27"/>
  <c r="E165" i="27"/>
  <c r="E346" i="27"/>
  <c r="E261" i="27"/>
  <c r="C151" i="27"/>
  <c r="C308" i="27"/>
  <c r="C33" i="4"/>
  <c r="C74" i="27"/>
  <c r="E44" i="27"/>
  <c r="C32" i="4"/>
  <c r="E101" i="27"/>
  <c r="E24" i="4"/>
  <c r="E119" i="27"/>
  <c r="C352" i="27"/>
  <c r="E258" i="27"/>
  <c r="D11" i="37"/>
  <c r="C238" i="27"/>
  <c r="C7" i="3"/>
  <c r="C49" i="27"/>
  <c r="E189" i="27"/>
  <c r="E69" i="12"/>
  <c r="E80" i="12"/>
  <c r="E8" i="12"/>
  <c r="E118" i="12"/>
  <c r="E28" i="12"/>
  <c r="E141" i="27"/>
  <c r="C337" i="27"/>
  <c r="E334" i="27"/>
  <c r="E6" i="4"/>
  <c r="C39" i="4"/>
  <c r="D19" i="37"/>
  <c r="E117" i="27"/>
  <c r="C298" i="27"/>
  <c r="C203" i="27"/>
  <c r="E238" i="27"/>
  <c r="E208" i="27"/>
  <c r="E122" i="27"/>
  <c r="C360" i="27"/>
  <c r="E124" i="27"/>
  <c r="G28" i="40"/>
  <c r="E129" i="27"/>
  <c r="C3" i="31"/>
  <c r="E341" i="27"/>
  <c r="E192" i="27"/>
  <c r="C9" i="3"/>
  <c r="C108" i="27"/>
  <c r="E17" i="4"/>
  <c r="E21" i="27"/>
  <c r="C339" i="27"/>
  <c r="E319" i="27"/>
  <c r="E45" i="40"/>
  <c r="E276" i="27"/>
  <c r="G32" i="40"/>
  <c r="C27" i="27"/>
  <c r="C37" i="27"/>
  <c r="E330" i="27"/>
  <c r="E74" i="12"/>
  <c r="E5" i="12"/>
  <c r="E50" i="12"/>
  <c r="E49" i="12"/>
  <c r="E76" i="12"/>
  <c r="E138" i="27"/>
  <c r="C376" i="27"/>
  <c r="E328" i="27"/>
  <c r="E23" i="40"/>
  <c r="C176" i="27"/>
  <c r="C126" i="27"/>
  <c r="E132" i="27"/>
  <c r="E120" i="27"/>
  <c r="E52" i="27"/>
  <c r="C13" i="27"/>
  <c r="E242" i="27"/>
  <c r="C58" i="27"/>
  <c r="C267" i="27"/>
  <c r="C323" i="27"/>
  <c r="E20" i="31"/>
  <c r="C229" i="27"/>
  <c r="E210" i="27"/>
  <c r="E240" i="27"/>
  <c r="E278" i="27"/>
  <c r="C299" i="27"/>
  <c r="E335" i="27"/>
  <c r="E234" i="27"/>
  <c r="E40" i="4"/>
  <c r="C26" i="27"/>
  <c r="C353" i="27"/>
  <c r="C254" i="27"/>
  <c r="C121" i="27"/>
  <c r="C106" i="27"/>
  <c r="E73" i="27"/>
  <c r="E3" i="4"/>
  <c r="E126" i="27"/>
  <c r="C62" i="27"/>
  <c r="C291" i="27"/>
  <c r="G9" i="40"/>
  <c r="E184" i="27"/>
  <c r="C165" i="27"/>
  <c r="E34" i="27"/>
  <c r="E27" i="27"/>
  <c r="C22" i="27"/>
  <c r="C277" i="27"/>
  <c r="E366" i="27"/>
  <c r="C371" i="27"/>
  <c r="E6" i="31"/>
  <c r="C38" i="27"/>
  <c r="C135" i="27"/>
  <c r="E34" i="40"/>
  <c r="G24" i="40"/>
  <c r="E262" i="27"/>
  <c r="E367" i="27"/>
  <c r="D8" i="37"/>
  <c r="C261" i="27"/>
  <c r="C97" i="27"/>
  <c r="E187" i="27"/>
  <c r="G34" i="40"/>
  <c r="E94" i="27"/>
  <c r="E49" i="27"/>
  <c r="C237" i="27"/>
  <c r="E61" i="12"/>
  <c r="E3" i="12"/>
  <c r="E5" i="31"/>
  <c r="G51" i="40"/>
  <c r="E236" i="27"/>
  <c r="E42" i="27"/>
  <c r="E237" i="27"/>
  <c r="E306" i="27"/>
  <c r="E25" i="40"/>
  <c r="E3" i="31"/>
  <c r="G38" i="40"/>
  <c r="E2" i="40"/>
  <c r="C373" i="27"/>
  <c r="E312" i="27"/>
  <c r="E318" i="27"/>
  <c r="E85" i="27"/>
  <c r="E282" i="27"/>
  <c r="C227" i="27"/>
  <c r="D7" i="37"/>
  <c r="C146" i="27"/>
  <c r="E54" i="12"/>
  <c r="C236" i="27"/>
  <c r="E311" i="27"/>
  <c r="E160" i="27"/>
  <c r="C148" i="27"/>
  <c r="E28" i="27"/>
  <c r="E336" i="27"/>
  <c r="C73" i="27"/>
  <c r="E243" i="27"/>
  <c r="E348" i="27"/>
  <c r="E16" i="27"/>
  <c r="E18" i="4"/>
  <c r="E71" i="27"/>
  <c r="E7" i="4"/>
  <c r="C222" i="27"/>
  <c r="C99" i="27"/>
  <c r="E61" i="27"/>
  <c r="E4" i="31"/>
  <c r="C362" i="27"/>
  <c r="C20" i="31"/>
  <c r="E323" i="27"/>
  <c r="E87" i="12"/>
  <c r="E66" i="12"/>
  <c r="E75" i="12"/>
  <c r="E81" i="12"/>
  <c r="E86" i="12"/>
  <c r="E115" i="12"/>
  <c r="C138" i="27"/>
  <c r="C57" i="27"/>
  <c r="C194" i="27"/>
  <c r="C31" i="4"/>
  <c r="C246" i="27"/>
  <c r="C8" i="4"/>
  <c r="E246" i="27"/>
  <c r="E296" i="27"/>
  <c r="C271" i="27"/>
  <c r="C283" i="27"/>
  <c r="C264" i="27"/>
  <c r="E25" i="4"/>
  <c r="C157" i="27"/>
  <c r="E225" i="27"/>
  <c r="C206" i="27"/>
  <c r="E316" i="27"/>
  <c r="C355" i="27"/>
  <c r="C61" i="27"/>
  <c r="C335" i="27"/>
  <c r="C164" i="27"/>
  <c r="C10" i="3"/>
  <c r="C158" i="27"/>
  <c r="E285" i="27"/>
  <c r="E363" i="27"/>
  <c r="C35" i="4"/>
  <c r="C81" i="27"/>
  <c r="C104" i="27"/>
  <c r="G43" i="40"/>
  <c r="E202" i="27"/>
  <c r="C20" i="27"/>
  <c r="C249" i="27"/>
  <c r="C378" i="27"/>
  <c r="C72" i="27"/>
  <c r="E89" i="27"/>
  <c r="C215" i="27"/>
  <c r="C42" i="27"/>
  <c r="E200" i="27"/>
  <c r="C374" i="27"/>
  <c r="C76" i="27"/>
  <c r="E123" i="27"/>
  <c r="G39" i="40"/>
  <c r="C14" i="3"/>
  <c r="E325" i="27"/>
  <c r="C14" i="31"/>
  <c r="E136" i="27"/>
  <c r="C48" i="27"/>
  <c r="C365" i="27"/>
  <c r="E213" i="27"/>
  <c r="E47" i="27"/>
  <c r="C79" i="27"/>
  <c r="E53" i="40"/>
  <c r="E144" i="27"/>
  <c r="C370" i="27"/>
  <c r="C155" i="27"/>
  <c r="E265" i="27"/>
  <c r="E39" i="4"/>
  <c r="C366" i="27"/>
  <c r="E241" i="27"/>
  <c r="C305" i="27"/>
  <c r="C17" i="3"/>
  <c r="C8" i="27"/>
  <c r="E11" i="31"/>
  <c r="C320" i="27"/>
  <c r="C259" i="27"/>
  <c r="E54" i="27"/>
  <c r="E374" i="27"/>
  <c r="C77" i="27"/>
  <c r="C329" i="27"/>
  <c r="E369" i="27"/>
  <c r="C51" i="27"/>
  <c r="E284" i="27"/>
  <c r="E10" i="27"/>
  <c r="E376" i="27"/>
  <c r="C318" i="27"/>
  <c r="C134" i="27"/>
  <c r="E140" i="27"/>
  <c r="E105" i="27"/>
  <c r="E47" i="4"/>
  <c r="C231" i="27"/>
  <c r="C59" i="27"/>
  <c r="C166" i="27"/>
  <c r="E87" i="27"/>
  <c r="C78" i="27"/>
  <c r="C265" i="27"/>
  <c r="E7" i="40"/>
  <c r="C118" i="27"/>
  <c r="C5" i="4"/>
  <c r="E104" i="27"/>
  <c r="E178" i="27"/>
  <c r="E112" i="12"/>
  <c r="E47" i="12"/>
  <c r="E173" i="27"/>
  <c r="C150" i="27"/>
  <c r="E38" i="40"/>
  <c r="E18" i="40"/>
  <c r="E172" i="27"/>
  <c r="G15" i="40"/>
  <c r="C189" i="27"/>
  <c r="E28" i="4"/>
  <c r="E320" i="27"/>
  <c r="C94" i="27"/>
  <c r="E17" i="40"/>
  <c r="C251" i="27"/>
  <c r="E280" i="27"/>
  <c r="E182" i="27"/>
  <c r="C313" i="27"/>
  <c r="E29" i="4"/>
  <c r="C207" i="27"/>
  <c r="C270" i="27"/>
  <c r="E377" i="27"/>
  <c r="E20" i="27"/>
  <c r="C63" i="27"/>
  <c r="C130" i="27"/>
  <c r="E48" i="40"/>
  <c r="C100" i="27"/>
  <c r="E248" i="27"/>
  <c r="E8" i="31"/>
  <c r="E55" i="40"/>
  <c r="C141" i="27"/>
  <c r="E114" i="12"/>
  <c r="E73" i="12"/>
  <c r="E35" i="12"/>
  <c r="E105" i="12"/>
  <c r="E9" i="12"/>
  <c r="E67" i="12"/>
  <c r="E34" i="4"/>
  <c r="E169" i="27"/>
  <c r="E30" i="4"/>
  <c r="C162" i="27"/>
  <c r="E51" i="27"/>
  <c r="C247" i="27"/>
  <c r="E7" i="27"/>
  <c r="C46" i="27"/>
  <c r="C293" i="27"/>
  <c r="E55" i="27"/>
  <c r="C9" i="4"/>
  <c r="C16" i="31"/>
  <c r="E44" i="40"/>
  <c r="E317" i="27"/>
  <c r="C338" i="27"/>
  <c r="E43" i="4"/>
  <c r="E29" i="27"/>
  <c r="C23" i="27"/>
  <c r="E37" i="40"/>
  <c r="E361" i="27"/>
  <c r="C102" i="27"/>
  <c r="C8" i="31"/>
  <c r="C45" i="27"/>
  <c r="E324" i="27"/>
  <c r="G37" i="40"/>
  <c r="E23" i="4"/>
  <c r="C369" i="27"/>
  <c r="C310" i="27"/>
  <c r="E4" i="40"/>
  <c r="E30" i="40"/>
  <c r="C23" i="4"/>
  <c r="E130" i="27"/>
  <c r="G49" i="40"/>
  <c r="C127" i="27"/>
  <c r="E2" i="4"/>
  <c r="E29" i="40"/>
  <c r="C279" i="27"/>
  <c r="C6" i="4"/>
  <c r="G4" i="40"/>
  <c r="E226" i="27"/>
  <c r="C35" i="27"/>
  <c r="E233" i="27"/>
  <c r="E322" i="27"/>
  <c r="C2" i="22"/>
  <c r="C334" i="27"/>
  <c r="E8" i="40"/>
  <c r="C302" i="27"/>
  <c r="C262" i="27"/>
  <c r="C25" i="4"/>
  <c r="E161" i="27"/>
  <c r="E90" i="27"/>
  <c r="E15" i="31"/>
  <c r="C18" i="27"/>
  <c r="E13" i="40"/>
  <c r="E5" i="40"/>
  <c r="E19" i="40"/>
  <c r="C346" i="27"/>
  <c r="C214" i="27"/>
  <c r="E12" i="40"/>
  <c r="E170" i="27"/>
  <c r="C342" i="27"/>
  <c r="E68" i="12"/>
  <c r="E71" i="12"/>
  <c r="E101" i="12"/>
  <c r="E26" i="4"/>
  <c r="E32" i="27"/>
  <c r="C10" i="4"/>
  <c r="E232" i="27"/>
  <c r="C312" i="27"/>
  <c r="E340" i="27"/>
  <c r="E31" i="4"/>
  <c r="C67" i="27"/>
  <c r="E360" i="27"/>
  <c r="C86" i="27"/>
  <c r="G3" i="40"/>
  <c r="E339" i="27"/>
  <c r="E244" i="27"/>
  <c r="G50" i="40"/>
  <c r="E27" i="4"/>
  <c r="E30" i="12"/>
  <c r="E113" i="12"/>
  <c r="E291" i="27"/>
  <c r="E326" i="27"/>
  <c r="C114" i="27"/>
  <c r="E40" i="40"/>
  <c r="E82" i="12"/>
  <c r="E109" i="12"/>
  <c r="E19" i="12"/>
  <c r="E33" i="12"/>
  <c r="E48" i="12"/>
  <c r="E46" i="12"/>
  <c r="C7" i="31"/>
  <c r="C301" i="27"/>
  <c r="C242" i="27"/>
  <c r="E115" i="27"/>
  <c r="C40" i="4"/>
  <c r="C31" i="27"/>
  <c r="D16" i="37"/>
  <c r="E288" i="27"/>
  <c r="C327" i="27"/>
  <c r="C4" i="4"/>
  <c r="E20" i="4"/>
  <c r="E25" i="27"/>
  <c r="G47" i="40"/>
  <c r="E58" i="27"/>
  <c r="E31" i="40"/>
  <c r="E14" i="27"/>
  <c r="E381" i="27"/>
  <c r="C20" i="4"/>
  <c r="E137" i="27"/>
  <c r="E249" i="27"/>
  <c r="E36" i="40"/>
  <c r="C12" i="27"/>
  <c r="E287" i="27"/>
  <c r="E42" i="40"/>
  <c r="C137" i="27"/>
  <c r="C381" i="27"/>
  <c r="C19" i="27"/>
  <c r="C89" i="27"/>
  <c r="G16" i="40"/>
  <c r="E13" i="4"/>
  <c r="C41" i="27"/>
  <c r="C186" i="27"/>
  <c r="C276" i="27"/>
  <c r="E28" i="40"/>
  <c r="C33" i="27"/>
  <c r="C367" i="27"/>
  <c r="C6" i="31"/>
  <c r="C241" i="27"/>
  <c r="C306" i="27"/>
  <c r="E16" i="40"/>
  <c r="C321" i="27"/>
  <c r="E277" i="27"/>
  <c r="E41" i="27"/>
  <c r="C120" i="27"/>
  <c r="E107" i="27"/>
  <c r="C19" i="3"/>
  <c r="C288" i="27"/>
  <c r="E99" i="27"/>
  <c r="E106" i="27"/>
  <c r="C66" i="27"/>
  <c r="E98" i="27"/>
  <c r="E83" i="27"/>
  <c r="F105" i="12"/>
  <c r="F146" i="12"/>
  <c r="F124" i="12"/>
  <c r="F13" i="12"/>
  <c r="F88" i="12"/>
  <c r="F81" i="12"/>
  <c r="F35" i="12"/>
  <c r="F64" i="12"/>
  <c r="F18" i="12"/>
  <c r="F70" i="12"/>
  <c r="F95" i="12"/>
  <c r="A94" i="12"/>
  <c r="D2" i="38" a="1"/>
  <c r="C2" i="46" a="1"/>
  <c r="D2" i="22" a="1"/>
  <c r="G98" i="12" a="1"/>
  <c r="G49" i="12" a="1"/>
  <c r="G61" i="12" a="1"/>
  <c r="G188" i="12" a="1"/>
  <c r="G38" i="12" a="1"/>
  <c r="G23" i="12" a="1"/>
  <c r="G108" i="12" a="1"/>
  <c r="G78" i="12" a="1"/>
  <c r="G127" i="12" a="1"/>
  <c r="G3" i="12" a="1"/>
  <c r="G91" i="12" a="1"/>
  <c r="G67" i="12" a="1"/>
  <c r="G123" i="12" a="1"/>
  <c r="G84" i="12" a="1"/>
  <c r="G73" i="12" a="1"/>
  <c r="G16" i="12" a="1"/>
  <c r="G28" i="12" a="1"/>
  <c r="D2" i="38" l="1"/>
  <c r="G98" i="12"/>
  <c r="G28" i="12"/>
  <c r="G16" i="12"/>
  <c r="G73" i="12"/>
  <c r="G84" i="12"/>
  <c r="G123" i="12"/>
  <c r="G67" i="12"/>
  <c r="G91" i="12"/>
  <c r="G3" i="12"/>
  <c r="G127" i="12"/>
  <c r="G78" i="12"/>
  <c r="G108" i="12"/>
  <c r="G23" i="12"/>
  <c r="G38" i="12"/>
  <c r="G188" i="12"/>
  <c r="G61" i="12"/>
  <c r="G49" i="12"/>
  <c r="F2" i="12"/>
  <c r="F3" i="12" s="1"/>
  <c r="D2" i="22"/>
  <c r="F14" i="12"/>
  <c r="F19" i="12"/>
  <c r="C2" i="46"/>
  <c r="F20" i="12"/>
  <c r="F43" i="12"/>
  <c r="F120" i="12"/>
  <c r="F121" i="12" s="1"/>
  <c r="F58" i="12"/>
  <c r="F46" i="12"/>
  <c r="F25" i="12"/>
  <c r="F26" i="12" s="1"/>
  <c r="F129" i="12"/>
  <c r="F130" i="12" s="1"/>
  <c r="F75" i="12"/>
  <c r="F76" i="12" s="1"/>
  <c r="F47" i="12"/>
  <c r="F187" i="12"/>
  <c r="F82" i="12"/>
  <c r="F147" i="12"/>
  <c r="F125" i="12"/>
  <c r="F89" i="12"/>
  <c r="F96" i="12"/>
  <c r="F97" i="12" s="1"/>
  <c r="A89" i="12"/>
  <c r="G2" i="22" a="1"/>
  <c r="G99" i="12" a="1"/>
  <c r="G29" i="12" a="1"/>
  <c r="G74" i="12" a="1"/>
  <c r="G68" i="12" a="1"/>
  <c r="G92" i="12" a="1"/>
  <c r="G4" i="12" a="1"/>
  <c r="G128" i="12" a="1"/>
  <c r="G79" i="12" a="1"/>
  <c r="G109" i="12" a="1"/>
  <c r="G24" i="12" a="1"/>
  <c r="G39" i="12" a="1"/>
  <c r="G189" i="12" a="1"/>
  <c r="G62" i="12" a="1"/>
  <c r="G50" i="12" a="1"/>
  <c r="G85" i="12" a="1"/>
  <c r="G99" i="12" l="1"/>
  <c r="F98" i="12"/>
  <c r="G85" i="12"/>
  <c r="G50" i="12"/>
  <c r="G62" i="12"/>
  <c r="G189" i="12"/>
  <c r="G39" i="12"/>
  <c r="G24" i="12"/>
  <c r="G109" i="12"/>
  <c r="G79" i="12"/>
  <c r="G128" i="12"/>
  <c r="G4" i="12"/>
  <c r="G92" i="12"/>
  <c r="G68" i="12"/>
  <c r="G74" i="12"/>
  <c r="G29" i="12"/>
  <c r="G2" i="22"/>
  <c r="F59" i="12"/>
  <c r="F60" i="12" s="1"/>
  <c r="F44" i="12"/>
  <c r="F45" i="12" s="1"/>
  <c r="F36" i="12"/>
  <c r="F37" i="12" s="1"/>
  <c r="F106" i="12"/>
  <c r="F107" i="12" s="1"/>
  <c r="F65" i="12"/>
  <c r="F66" i="12" s="1"/>
  <c r="F71" i="12"/>
  <c r="F21" i="12"/>
  <c r="F22" i="12" s="1"/>
  <c r="F15" i="12"/>
  <c r="F188" i="12"/>
  <c r="F72" i="12"/>
  <c r="F122" i="12"/>
  <c r="F48" i="12"/>
  <c r="F27" i="12"/>
  <c r="F90" i="12"/>
  <c r="F131" i="12"/>
  <c r="F148" i="12"/>
  <c r="A73" i="12"/>
  <c r="A72" i="12"/>
  <c r="A87" i="12"/>
  <c r="A61" i="12"/>
  <c r="G100" i="12" a="1"/>
  <c r="G86" i="12" a="1"/>
  <c r="G51" i="12" a="1"/>
  <c r="G63" i="12" a="1"/>
  <c r="G40" i="12" a="1"/>
  <c r="G93" i="12" a="1"/>
  <c r="G69" i="12" a="1"/>
  <c r="G30" i="12" a="1"/>
  <c r="G110" i="12" a="1"/>
  <c r="G80" i="12" a="1"/>
  <c r="G5" i="12" a="1"/>
  <c r="G100" i="12" l="1"/>
  <c r="F99" i="12"/>
  <c r="G5" i="12"/>
  <c r="G80" i="12"/>
  <c r="G110" i="12"/>
  <c r="G30" i="12"/>
  <c r="G69" i="12"/>
  <c r="G93" i="12"/>
  <c r="G40" i="12"/>
  <c r="G63" i="12"/>
  <c r="G51" i="12"/>
  <c r="G86" i="12"/>
  <c r="F189" i="12"/>
  <c r="F38" i="12"/>
  <c r="F16" i="12"/>
  <c r="F123" i="12"/>
  <c r="F108" i="12"/>
  <c r="F4" i="12"/>
  <c r="F77" i="12"/>
  <c r="F78" i="12" s="1"/>
  <c r="F126" i="12"/>
  <c r="F127" i="12" s="1"/>
  <c r="F83" i="12"/>
  <c r="F84" i="12" s="1"/>
  <c r="F91" i="12"/>
  <c r="F28" i="12"/>
  <c r="F73" i="12"/>
  <c r="F49" i="12"/>
  <c r="A54" i="12"/>
  <c r="A56" i="12"/>
  <c r="A55" i="12"/>
  <c r="A53" i="12"/>
  <c r="A52" i="12"/>
  <c r="A48" i="12"/>
  <c r="G101" i="12" a="1"/>
  <c r="G6" i="12" a="1"/>
  <c r="G111" i="12" a="1"/>
  <c r="G31" i="12" a="1"/>
  <c r="G94" i="12" a="1"/>
  <c r="G52" i="12" a="1"/>
  <c r="G87" i="12" a="1"/>
  <c r="F5" i="12" l="1"/>
  <c r="G101" i="12"/>
  <c r="F100" i="12"/>
  <c r="G87" i="12"/>
  <c r="G52" i="12"/>
  <c r="G94" i="12"/>
  <c r="G31" i="12"/>
  <c r="G111" i="12"/>
  <c r="G6" i="12"/>
  <c r="F128" i="12"/>
  <c r="F29" i="12"/>
  <c r="F74" i="12"/>
  <c r="F61" i="12"/>
  <c r="F62" i="12" s="1"/>
  <c r="F67" i="12"/>
  <c r="F68" i="12" s="1"/>
  <c r="F23" i="12"/>
  <c r="F24" i="12"/>
  <c r="F85" i="12"/>
  <c r="F6" i="12"/>
  <c r="F109" i="12"/>
  <c r="F92" i="12"/>
  <c r="F39" i="12"/>
  <c r="A41" i="13"/>
  <c r="A40" i="13"/>
  <c r="A39" i="13"/>
  <c r="A38" i="13"/>
  <c r="A37" i="13"/>
  <c r="A36" i="13"/>
  <c r="A35" i="13"/>
  <c r="A34" i="13"/>
  <c r="A33" i="13"/>
  <c r="A32" i="13"/>
  <c r="A31" i="13"/>
  <c r="A30" i="13"/>
  <c r="A48" i="4"/>
  <c r="A47" i="4"/>
  <c r="C41" i="13" a="1"/>
  <c r="C34" i="13" a="1"/>
  <c r="C40" i="13" a="1"/>
  <c r="C38" i="13" a="1"/>
  <c r="C39" i="13" a="1"/>
  <c r="C33" i="13" a="1"/>
  <c r="C37" i="13" a="1"/>
  <c r="C31" i="13" a="1"/>
  <c r="C30" i="13" a="1"/>
  <c r="C35" i="13" a="1"/>
  <c r="C36" i="13" a="1"/>
  <c r="C32" i="13" a="1"/>
  <c r="G102" i="12" a="1"/>
  <c r="G53" i="12" a="1"/>
  <c r="G32" i="12" a="1"/>
  <c r="G112" i="12" a="1"/>
  <c r="G7" i="12" a="1"/>
  <c r="G102" i="12" l="1"/>
  <c r="F101" i="12"/>
  <c r="G7" i="12"/>
  <c r="G112" i="12"/>
  <c r="G32" i="12"/>
  <c r="G53" i="12"/>
  <c r="F63" i="12"/>
  <c r="F79" i="12"/>
  <c r="F80" i="12" s="1"/>
  <c r="F50" i="12"/>
  <c r="F51" i="12" s="1"/>
  <c r="F93" i="12"/>
  <c r="F40" i="12"/>
  <c r="F30" i="12"/>
  <c r="F86" i="12"/>
  <c r="F7" i="12"/>
  <c r="F69" i="12"/>
  <c r="C37" i="13"/>
  <c r="C38" i="13"/>
  <c r="C39" i="13"/>
  <c r="C35" i="13"/>
  <c r="C36" i="13"/>
  <c r="C40" i="13"/>
  <c r="C34" i="13"/>
  <c r="C41" i="13"/>
  <c r="C33" i="13"/>
  <c r="C32" i="13"/>
  <c r="C30" i="13"/>
  <c r="C31" i="13"/>
  <c r="A23" i="12"/>
  <c r="A22" i="12"/>
  <c r="A31" i="11"/>
  <c r="A30" i="11"/>
  <c r="A29" i="11"/>
  <c r="A46" i="4"/>
  <c r="A24" i="11"/>
  <c r="G103" i="12" a="1"/>
  <c r="G8" i="12" a="1"/>
  <c r="G113" i="12" a="1"/>
  <c r="G33" i="12" a="1"/>
  <c r="G54" i="12" a="1"/>
  <c r="G103" i="12" l="1"/>
  <c r="F102" i="12"/>
  <c r="G54" i="12"/>
  <c r="G33" i="12"/>
  <c r="G113" i="12"/>
  <c r="G8" i="12"/>
  <c r="F94" i="12"/>
  <c r="F110" i="12"/>
  <c r="F31" i="12"/>
  <c r="F52" i="12"/>
  <c r="F111" i="12"/>
  <c r="F87" i="12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A12" i="40"/>
  <c r="A11" i="40"/>
  <c r="A10" i="40"/>
  <c r="A9" i="40"/>
  <c r="A8" i="40"/>
  <c r="A7" i="40"/>
  <c r="A6" i="40"/>
  <c r="A5" i="40"/>
  <c r="A4" i="40"/>
  <c r="A3" i="40"/>
  <c r="A2" i="40"/>
  <c r="A4" i="34"/>
  <c r="A3" i="34"/>
  <c r="A2" i="34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A12" i="42"/>
  <c r="A11" i="42"/>
  <c r="A10" i="42"/>
  <c r="A9" i="42"/>
  <c r="A8" i="42"/>
  <c r="A7" i="42"/>
  <c r="A6" i="42"/>
  <c r="A5" i="42"/>
  <c r="A4" i="42"/>
  <c r="A3" i="42"/>
  <c r="A2" i="42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5" i="6"/>
  <c r="A4" i="6"/>
  <c r="A3" i="6"/>
  <c r="H5" i="6" a="1"/>
  <c r="C3" i="6" a="1"/>
  <c r="H3" i="6" a="1"/>
  <c r="C5" i="6" a="1"/>
  <c r="H4" i="6" a="1"/>
  <c r="C4" i="6" a="1"/>
  <c r="G104" i="12" a="1"/>
  <c r="G55" i="12" a="1"/>
  <c r="G34" i="12" a="1"/>
  <c r="G114" i="12" a="1"/>
  <c r="G9" i="12" a="1"/>
  <c r="G104" i="12" l="1"/>
  <c r="F103" i="12"/>
  <c r="G9" i="12"/>
  <c r="G114" i="12"/>
  <c r="G34" i="12"/>
  <c r="G55" i="12"/>
  <c r="F8" i="12"/>
  <c r="F32" i="12"/>
  <c r="F53" i="12"/>
  <c r="F112" i="12"/>
  <c r="F9" i="12"/>
  <c r="A2" i="6"/>
  <c r="A4" i="33"/>
  <c r="A3" i="33"/>
  <c r="A2" i="33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A2" i="31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0" i="11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A23" i="11"/>
  <c r="A2" i="41"/>
  <c r="C4" i="6"/>
  <c r="H4" i="6"/>
  <c r="H3" i="6"/>
  <c r="C3" i="6"/>
  <c r="C5" i="6"/>
  <c r="H5" i="6"/>
  <c r="E18" i="14" a="1"/>
  <c r="E7" i="42" a="1"/>
  <c r="C18" i="42" a="1"/>
  <c r="E19" i="42" a="1"/>
  <c r="E9" i="42" a="1"/>
  <c r="C15" i="42" a="1"/>
  <c r="E19" i="14" a="1"/>
  <c r="C2" i="41" a="1"/>
  <c r="E16" i="42" a="1"/>
  <c r="C3" i="42" a="1"/>
  <c r="C29" i="42" a="1"/>
  <c r="C13" i="42" a="1"/>
  <c r="E15" i="42" a="1"/>
  <c r="E17" i="42" a="1"/>
  <c r="C27" i="42" a="1"/>
  <c r="E26" i="42" a="1"/>
  <c r="E3" i="42" a="1"/>
  <c r="C8" i="42" a="1"/>
  <c r="C28" i="42" a="1"/>
  <c r="C5" i="42" a="1"/>
  <c r="E27" i="14" a="1"/>
  <c r="E10" i="14" a="1"/>
  <c r="E2" i="42" a="1"/>
  <c r="E24" i="14" a="1"/>
  <c r="C4" i="42" a="1"/>
  <c r="E28" i="14" a="1"/>
  <c r="E22" i="42" a="1"/>
  <c r="E4" i="42" a="1"/>
  <c r="E16" i="14" a="1"/>
  <c r="E24" i="42" a="1"/>
  <c r="E26" i="14" a="1"/>
  <c r="E7" i="14" a="1"/>
  <c r="E2" i="14" a="1"/>
  <c r="E22" i="14" a="1"/>
  <c r="C19" i="42" a="1"/>
  <c r="E13" i="14" a="1"/>
  <c r="E3" i="14" a="1"/>
  <c r="E18" i="42" a="1"/>
  <c r="E14" i="42" a="1"/>
  <c r="C23" i="42" a="1"/>
  <c r="E14" i="14" a="1"/>
  <c r="C20" i="42" a="1"/>
  <c r="C10" i="42" a="1"/>
  <c r="E27" i="42" a="1"/>
  <c r="E23" i="42" a="1"/>
  <c r="C11" i="42" a="1"/>
  <c r="E6" i="14" a="1"/>
  <c r="E21" i="14" a="1"/>
  <c r="C9" i="42" a="1"/>
  <c r="E13" i="42" a="1"/>
  <c r="C6" i="42" a="1"/>
  <c r="E8" i="42" a="1"/>
  <c r="C22" i="42" a="1"/>
  <c r="E15" i="14" a="1"/>
  <c r="C2" i="42" a="1"/>
  <c r="C12" i="42" a="1"/>
  <c r="E25" i="42" a="1"/>
  <c r="C2" i="6" a="1"/>
  <c r="C26" i="42" a="1"/>
  <c r="E6" i="42" a="1"/>
  <c r="C25" i="42" a="1"/>
  <c r="C16" i="42" a="1"/>
  <c r="E20" i="14" a="1"/>
  <c r="C24" i="42" a="1"/>
  <c r="E21" i="42" a="1"/>
  <c r="H2" i="6" a="1"/>
  <c r="C21" i="42" a="1"/>
  <c r="E17" i="14" a="1"/>
  <c r="E9" i="14" a="1"/>
  <c r="E12" i="14" a="1"/>
  <c r="E4" i="14" a="1"/>
  <c r="C7" i="42" a="1"/>
  <c r="E20" i="42" a="1"/>
  <c r="E23" i="14" a="1"/>
  <c r="C14" i="42" a="1"/>
  <c r="E12" i="42" a="1"/>
  <c r="E25" i="14" a="1"/>
  <c r="E8" i="14" a="1"/>
  <c r="C17" i="42" a="1"/>
  <c r="E28" i="42" a="1"/>
  <c r="E10" i="42" a="1"/>
  <c r="G10" i="12" a="1"/>
  <c r="G115" i="12" a="1"/>
  <c r="G56" i="12" a="1"/>
  <c r="F104" i="12" l="1"/>
  <c r="G56" i="12"/>
  <c r="G115" i="12"/>
  <c r="G10" i="12"/>
  <c r="F54" i="12"/>
  <c r="F10" i="12"/>
  <c r="F33" i="12"/>
  <c r="F113" i="12"/>
  <c r="C2" i="6"/>
  <c r="H2" i="6"/>
  <c r="C10" i="42"/>
  <c r="C20" i="42"/>
  <c r="C11" i="42"/>
  <c r="C21" i="42"/>
  <c r="C12" i="42"/>
  <c r="C22" i="42"/>
  <c r="C3" i="42"/>
  <c r="C13" i="42"/>
  <c r="C23" i="42"/>
  <c r="C4" i="42"/>
  <c r="C14" i="42"/>
  <c r="C24" i="42"/>
  <c r="C5" i="42"/>
  <c r="C15" i="42"/>
  <c r="C25" i="42"/>
  <c r="C6" i="42"/>
  <c r="C16" i="42"/>
  <c r="C26" i="42"/>
  <c r="C7" i="42"/>
  <c r="C17" i="42"/>
  <c r="C27" i="42"/>
  <c r="C8" i="42"/>
  <c r="C18" i="42"/>
  <c r="C28" i="42"/>
  <c r="C9" i="42"/>
  <c r="C19" i="42"/>
  <c r="C29" i="42"/>
  <c r="C2" i="42"/>
  <c r="E6" i="42"/>
  <c r="E16" i="42"/>
  <c r="E26" i="42"/>
  <c r="E3" i="42"/>
  <c r="E13" i="42"/>
  <c r="E23" i="42"/>
  <c r="E10" i="42"/>
  <c r="E20" i="42"/>
  <c r="E7" i="42"/>
  <c r="E17" i="42"/>
  <c r="E27" i="42"/>
  <c r="E4" i="42"/>
  <c r="E14" i="42"/>
  <c r="E24" i="42"/>
  <c r="E21" i="42"/>
  <c r="E8" i="42"/>
  <c r="E18" i="42"/>
  <c r="E28" i="42"/>
  <c r="E15" i="42"/>
  <c r="E25" i="42"/>
  <c r="E2" i="42"/>
  <c r="E12" i="42"/>
  <c r="E22" i="42"/>
  <c r="E9" i="42"/>
  <c r="E19" i="42"/>
  <c r="E7" i="14"/>
  <c r="E17" i="14"/>
  <c r="E27" i="14"/>
  <c r="E8" i="14"/>
  <c r="E18" i="14"/>
  <c r="E28" i="14"/>
  <c r="E9" i="14"/>
  <c r="E19" i="14"/>
  <c r="E10" i="14"/>
  <c r="E20" i="14"/>
  <c r="E21" i="14"/>
  <c r="E12" i="14"/>
  <c r="E22" i="14"/>
  <c r="E3" i="14"/>
  <c r="E13" i="14"/>
  <c r="E23" i="14"/>
  <c r="E4" i="14"/>
  <c r="E14" i="14"/>
  <c r="E24" i="14"/>
  <c r="E15" i="14"/>
  <c r="E25" i="14"/>
  <c r="E6" i="14"/>
  <c r="E16" i="14"/>
  <c r="E26" i="14"/>
  <c r="E2" i="14"/>
  <c r="C2" i="41"/>
  <c r="G57" i="12" a="1"/>
  <c r="G116" i="12" a="1"/>
  <c r="G11" i="12" a="1"/>
  <c r="G11" i="12" l="1"/>
  <c r="G116" i="12"/>
  <c r="G57" i="12"/>
  <c r="A25" i="11"/>
  <c r="C20" i="14" a="1"/>
  <c r="C13" i="14" a="1"/>
  <c r="C23" i="14" a="1"/>
  <c r="C21" i="14" a="1"/>
  <c r="C18" i="13" a="1"/>
  <c r="E29" i="14" a="1"/>
  <c r="C3" i="33" a="1"/>
  <c r="C7" i="13" a="1"/>
  <c r="C27" i="14" a="1"/>
  <c r="C26" i="14" a="1"/>
  <c r="C20" i="13" a="1"/>
  <c r="C25" i="14" a="1"/>
  <c r="C2" i="14" a="1"/>
  <c r="C27" i="13" a="1"/>
  <c r="E5" i="42" a="1"/>
  <c r="C23" i="13" a="1"/>
  <c r="C16" i="14" a="1"/>
  <c r="C28" i="14" a="1"/>
  <c r="E5" i="14" a="1"/>
  <c r="C3" i="13" a="1"/>
  <c r="C8" i="14" a="1"/>
  <c r="C19" i="13" a="1"/>
  <c r="C3" i="14" a="1"/>
  <c r="C22" i="14" a="1"/>
  <c r="C26" i="13" a="1"/>
  <c r="C21" i="13" a="1"/>
  <c r="C19" i="14" a="1"/>
  <c r="C11" i="13" a="1"/>
  <c r="C11" i="14" a="1"/>
  <c r="C9" i="13" a="1"/>
  <c r="C17" i="14" a="1"/>
  <c r="C6" i="13" a="1"/>
  <c r="C17" i="13" a="1"/>
  <c r="C9" i="14" a="1"/>
  <c r="E29" i="42" a="1"/>
  <c r="C29" i="14" a="1"/>
  <c r="C4" i="13" a="1"/>
  <c r="C12" i="13" a="1"/>
  <c r="C3" i="7" a="1"/>
  <c r="C16" i="13" a="1"/>
  <c r="C14" i="13" a="1"/>
  <c r="C2" i="7" a="1"/>
  <c r="C25" i="13" a="1"/>
  <c r="C28" i="13" a="1"/>
  <c r="C10" i="13" a="1"/>
  <c r="C22" i="13" a="1"/>
  <c r="C14" i="14" a="1"/>
  <c r="C4" i="33" a="1"/>
  <c r="C10" i="14" a="1"/>
  <c r="C13" i="13" a="1"/>
  <c r="C5" i="13" a="1"/>
  <c r="C6" i="14" a="1"/>
  <c r="C12" i="14" a="1"/>
  <c r="C24" i="13" a="1"/>
  <c r="C8" i="13" a="1"/>
  <c r="C2" i="13" a="1"/>
  <c r="C29" i="13" a="1"/>
  <c r="C5" i="14" a="1"/>
  <c r="C15" i="14" a="1"/>
  <c r="C4" i="14" a="1"/>
  <c r="C15" i="13" a="1"/>
  <c r="C7" i="14" a="1"/>
  <c r="C2" i="33" a="1"/>
  <c r="C24" i="14" a="1"/>
  <c r="C18" i="14" a="1"/>
  <c r="G12" i="12" a="1"/>
  <c r="G117" i="12" a="1"/>
  <c r="G117" i="12" l="1"/>
  <c r="G12" i="12"/>
  <c r="E5" i="14"/>
  <c r="E5" i="42"/>
  <c r="F55" i="12"/>
  <c r="F34" i="12"/>
  <c r="F114" i="12"/>
  <c r="F11" i="12"/>
  <c r="F56" i="12"/>
  <c r="F115" i="12"/>
  <c r="F12" i="12"/>
  <c r="E29" i="14"/>
  <c r="E29" i="42"/>
  <c r="C6" i="14"/>
  <c r="C16" i="14"/>
  <c r="C26" i="14"/>
  <c r="C7" i="14"/>
  <c r="C17" i="14"/>
  <c r="C27" i="14"/>
  <c r="C8" i="14"/>
  <c r="C18" i="14"/>
  <c r="C28" i="14"/>
  <c r="C9" i="14"/>
  <c r="C19" i="14"/>
  <c r="C29" i="14"/>
  <c r="C10" i="14"/>
  <c r="C20" i="14"/>
  <c r="C11" i="14"/>
  <c r="C21" i="14"/>
  <c r="C12" i="14"/>
  <c r="C22" i="14"/>
  <c r="C3" i="14"/>
  <c r="C13" i="14"/>
  <c r="C23" i="14"/>
  <c r="C4" i="14"/>
  <c r="C14" i="14"/>
  <c r="C24" i="14"/>
  <c r="C5" i="14"/>
  <c r="C15" i="14"/>
  <c r="C25" i="14"/>
  <c r="C2" i="14"/>
  <c r="C8" i="13"/>
  <c r="C18" i="13"/>
  <c r="C28" i="13"/>
  <c r="C9" i="13"/>
  <c r="C19" i="13"/>
  <c r="C29" i="13"/>
  <c r="C10" i="13"/>
  <c r="C20" i="13"/>
  <c r="C11" i="13"/>
  <c r="C21" i="13"/>
  <c r="C12" i="13"/>
  <c r="C22" i="13"/>
  <c r="C3" i="13"/>
  <c r="C13" i="13"/>
  <c r="C23" i="13"/>
  <c r="C4" i="13"/>
  <c r="C14" i="13"/>
  <c r="C24" i="13"/>
  <c r="C5" i="13"/>
  <c r="C15" i="13"/>
  <c r="C25" i="13"/>
  <c r="C6" i="13"/>
  <c r="C16" i="13"/>
  <c r="C26" i="13"/>
  <c r="C7" i="13"/>
  <c r="C17" i="13"/>
  <c r="C27" i="13"/>
  <c r="C2" i="13"/>
  <c r="C3" i="7"/>
  <c r="C2" i="7"/>
  <c r="C3" i="33"/>
  <c r="C4" i="33"/>
  <c r="C2" i="33"/>
  <c r="E11" i="42" a="1"/>
  <c r="E11" i="14" a="1"/>
  <c r="G118" i="12" a="1"/>
  <c r="G118" i="12" l="1"/>
  <c r="E11" i="42"/>
  <c r="E11" i="14"/>
  <c r="F116" i="12"/>
  <c r="F57" i="12"/>
  <c r="A36" i="4"/>
  <c r="A41" i="4"/>
  <c r="A35" i="4"/>
  <c r="A40" i="4"/>
  <c r="A39" i="4"/>
  <c r="A38" i="4"/>
  <c r="A37" i="4"/>
  <c r="A34" i="4"/>
  <c r="A42" i="4"/>
  <c r="A33" i="4"/>
  <c r="A32" i="4"/>
  <c r="A31" i="4"/>
  <c r="A30" i="4"/>
  <c r="A29" i="4"/>
  <c r="A28" i="4"/>
  <c r="A27" i="4"/>
  <c r="A26" i="4"/>
  <c r="A25" i="4"/>
  <c r="A24" i="4"/>
  <c r="A23" i="4"/>
  <c r="A44" i="4"/>
  <c r="A43" i="4"/>
  <c r="A21" i="4"/>
  <c r="A20" i="4"/>
  <c r="A19" i="4"/>
  <c r="A18" i="4"/>
  <c r="A17" i="4"/>
  <c r="A16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G119" i="12" a="1"/>
  <c r="G119" i="12" l="1"/>
  <c r="A28" i="11"/>
  <c r="A27" i="11"/>
  <c r="F117" i="12" l="1"/>
  <c r="A22" i="11"/>
  <c r="A21" i="11"/>
  <c r="A35" i="11"/>
  <c r="A34" i="11"/>
  <c r="A33" i="11"/>
  <c r="A19" i="11"/>
  <c r="A18" i="11"/>
  <c r="A39" i="2"/>
  <c r="A5" i="3"/>
  <c r="A20" i="3"/>
  <c r="A19" i="3"/>
  <c r="A18" i="3"/>
  <c r="A17" i="3"/>
  <c r="A16" i="3"/>
  <c r="A15" i="3"/>
  <c r="A14" i="3"/>
  <c r="A13" i="3"/>
  <c r="F118" i="12" l="1"/>
  <c r="F119" i="12" s="1"/>
  <c r="A4" i="3"/>
  <c r="A12" i="3"/>
  <c r="A11" i="3"/>
  <c r="A10" i="3"/>
  <c r="A9" i="3"/>
  <c r="A8" i="3"/>
  <c r="A7" i="3"/>
  <c r="A6" i="3"/>
  <c r="A11" i="26" l="1"/>
  <c r="A10" i="26"/>
  <c r="A9" i="26"/>
  <c r="A8" i="26"/>
  <c r="A7" i="26"/>
  <c r="A6" i="28" l="1"/>
  <c r="A5" i="28"/>
  <c r="A4" i="28"/>
  <c r="A3" i="28"/>
  <c r="A2" i="28"/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6" i="26"/>
  <c r="A5" i="26"/>
  <c r="A4" i="26"/>
  <c r="A3" i="26"/>
  <c r="A2" i="26"/>
  <c r="A28" i="13" l="1"/>
  <c r="A29" i="13"/>
  <c r="A27" i="13"/>
  <c r="A26" i="13"/>
  <c r="A2" i="22"/>
  <c r="A75" i="12"/>
  <c r="A76" i="12"/>
  <c r="A69" i="12" l="1"/>
  <c r="A25" i="13"/>
  <c r="A92" i="12" l="1"/>
  <c r="A125" i="12" l="1"/>
  <c r="A124" i="12"/>
  <c r="A26" i="11"/>
  <c r="A15" i="11"/>
  <c r="A110" i="12" l="1"/>
  <c r="A6" i="12"/>
  <c r="A8" i="13" l="1"/>
  <c r="A85" i="12"/>
  <c r="A40" i="12" l="1"/>
  <c r="A3" i="7" l="1"/>
  <c r="A122" i="12"/>
  <c r="A19" i="13"/>
  <c r="A15" i="13"/>
  <c r="A11" i="13"/>
  <c r="A98" i="12"/>
  <c r="A80" i="12"/>
  <c r="A67" i="12"/>
  <c r="A18" i="13"/>
  <c r="A96" i="12"/>
  <c r="A95" i="12"/>
  <c r="A12" i="11"/>
  <c r="A2" i="7"/>
  <c r="A86" i="12"/>
  <c r="A2" i="13"/>
  <c r="A24" i="13"/>
  <c r="A23" i="13"/>
  <c r="A22" i="13"/>
  <c r="A21" i="13"/>
  <c r="A20" i="13"/>
  <c r="A17" i="13"/>
  <c r="A16" i="13"/>
  <c r="A14" i="13"/>
  <c r="A13" i="13"/>
  <c r="A12" i="13"/>
  <c r="A10" i="13"/>
  <c r="A9" i="13"/>
  <c r="A7" i="13"/>
  <c r="A6" i="13"/>
  <c r="A4" i="13"/>
  <c r="A5" i="13"/>
  <c r="A3" i="13"/>
  <c r="A123" i="12"/>
  <c r="A121" i="12"/>
  <c r="A120" i="12"/>
  <c r="A7" i="12"/>
  <c r="A5" i="12"/>
  <c r="A4" i="12"/>
  <c r="A8" i="12"/>
  <c r="A3" i="12"/>
  <c r="A2" i="12"/>
  <c r="A24" i="12"/>
  <c r="A20" i="12"/>
  <c r="A19" i="12"/>
  <c r="A115" i="12"/>
  <c r="A114" i="12"/>
  <c r="A113" i="12"/>
  <c r="A112" i="12"/>
  <c r="A111" i="12"/>
  <c r="A109" i="12"/>
  <c r="A108" i="12"/>
  <c r="A107" i="12"/>
  <c r="A106" i="12"/>
  <c r="A105" i="12"/>
  <c r="A90" i="12"/>
  <c r="A93" i="12"/>
  <c r="A91" i="12"/>
  <c r="A88" i="12"/>
  <c r="A101" i="12"/>
  <c r="A100" i="12"/>
  <c r="A99" i="12"/>
  <c r="A84" i="12"/>
  <c r="A83" i="12"/>
  <c r="A82" i="12"/>
  <c r="A81" i="12"/>
  <c r="A79" i="12"/>
  <c r="A78" i="12"/>
  <c r="A77" i="12"/>
  <c r="A71" i="12"/>
  <c r="A74" i="12"/>
  <c r="A70" i="12"/>
  <c r="A68" i="12"/>
  <c r="A66" i="12"/>
  <c r="A65" i="12"/>
  <c r="A64" i="12"/>
  <c r="A62" i="12"/>
  <c r="A60" i="12"/>
  <c r="A59" i="12"/>
  <c r="A58" i="12"/>
  <c r="A51" i="12"/>
  <c r="A50" i="12"/>
  <c r="A49" i="12"/>
  <c r="A47" i="12"/>
  <c r="A46" i="12"/>
  <c r="A39" i="12"/>
  <c r="A38" i="12"/>
  <c r="A37" i="12"/>
  <c r="A36" i="12"/>
  <c r="A35" i="12"/>
  <c r="A27" i="12"/>
  <c r="A26" i="12"/>
  <c r="A33" i="12"/>
  <c r="A32" i="12"/>
  <c r="A31" i="12"/>
  <c r="A30" i="12"/>
  <c r="A29" i="12"/>
  <c r="A28" i="12"/>
  <c r="A9" i="12"/>
  <c r="A10" i="12"/>
  <c r="A17" i="11"/>
  <c r="A8" i="11"/>
  <c r="A16" i="11"/>
  <c r="A14" i="11"/>
  <c r="A13" i="11"/>
  <c r="A11" i="11"/>
  <c r="A10" i="11"/>
  <c r="A9" i="11"/>
  <c r="A7" i="11"/>
  <c r="A2" i="11"/>
  <c r="A6" i="11"/>
  <c r="A2" i="9"/>
  <c r="A2" i="3"/>
  <c r="A3" i="3"/>
  <c r="A11" i="1"/>
  <c r="A9" i="1"/>
  <c r="A7" i="1"/>
  <c r="A6" i="1"/>
  <c r="A8" i="1"/>
  <c r="A5" i="1"/>
  <c r="A4" i="1"/>
  <c r="A3" i="1"/>
  <c r="A2" i="1"/>
  <c r="C23" i="2" a="1"/>
  <c r="C34" i="2" a="1"/>
  <c r="C27" i="2" a="1"/>
  <c r="C19" i="2" a="1"/>
  <c r="G16" i="11" a="1"/>
  <c r="C9" i="2" a="1"/>
  <c r="C22" i="2" a="1"/>
  <c r="H2" i="34" a="1"/>
  <c r="G13" i="11" a="1"/>
  <c r="C15" i="2" a="1"/>
  <c r="C38" i="2" a="1"/>
  <c r="C12" i="2" a="1"/>
  <c r="G6" i="11" a="1"/>
  <c r="C26" i="2" a="1"/>
  <c r="C2" i="2" a="1"/>
  <c r="G7" i="11" a="1"/>
  <c r="G10" i="11" a="1"/>
  <c r="C36" i="2" a="1"/>
  <c r="C13" i="2" a="1"/>
  <c r="G14" i="11" a="1"/>
  <c r="G5" i="11" a="1"/>
  <c r="C39" i="2" a="1"/>
  <c r="C37" i="2" a="1"/>
  <c r="G32" i="11" a="1"/>
  <c r="G22" i="11" a="1"/>
  <c r="C6" i="2" a="1"/>
  <c r="C30" i="2" a="1"/>
  <c r="G26" i="11" a="1"/>
  <c r="G2" i="11" a="1"/>
  <c r="C3" i="2" a="1"/>
  <c r="C31" i="2" a="1"/>
  <c r="G9" i="11" a="1"/>
  <c r="G20" i="11" a="1"/>
  <c r="C5" i="2" a="1"/>
  <c r="L2" i="34" a="1"/>
  <c r="G27" i="11" a="1"/>
  <c r="G4" i="11" a="1"/>
  <c r="C16" i="2" a="1"/>
  <c r="G33" i="11" a="1"/>
  <c r="G19" i="11" a="1"/>
  <c r="C20" i="2" a="1"/>
  <c r="G25" i="11" a="1"/>
  <c r="C24" i="2" a="1"/>
  <c r="C28" i="2" a="1"/>
  <c r="G21" i="11" a="1"/>
  <c r="C4" i="2" a="1"/>
  <c r="C32" i="2" a="1"/>
  <c r="G11" i="11" a="1"/>
  <c r="G15" i="11" a="1"/>
  <c r="C14" i="2" a="1"/>
  <c r="C10" i="2" a="1"/>
  <c r="G18" i="11" a="1"/>
  <c r="G24" i="11" a="1"/>
  <c r="C11" i="2" a="1"/>
  <c r="C29" i="2" a="1"/>
  <c r="G28" i="11" a="1"/>
  <c r="G12" i="11" a="1"/>
  <c r="H4" i="34" a="1"/>
  <c r="C18" i="2" a="1"/>
  <c r="G17" i="11" a="1"/>
  <c r="G29" i="11" a="1"/>
  <c r="C21" i="2" a="1"/>
  <c r="C35" i="2" a="1"/>
  <c r="G34" i="11" a="1"/>
  <c r="G30" i="11" a="1"/>
  <c r="C33" i="2" a="1"/>
  <c r="H3" i="34" a="1"/>
  <c r="G3" i="11" a="1"/>
  <c r="G35" i="11" a="1"/>
  <c r="C8" i="2" a="1"/>
  <c r="C25" i="2" a="1"/>
  <c r="G8" i="11" a="1"/>
  <c r="C7" i="2" a="1"/>
  <c r="C17" i="2" a="1"/>
  <c r="G31" i="11" a="1"/>
  <c r="G23" i="11" a="1"/>
  <c r="H4" i="34" l="1"/>
  <c r="H3" i="34"/>
  <c r="H2" i="34"/>
  <c r="L2" i="34"/>
  <c r="G16" i="11"/>
  <c r="G25" i="11"/>
  <c r="G15" i="11"/>
  <c r="G35" i="11"/>
  <c r="G24" i="11"/>
  <c r="G32" i="11"/>
  <c r="G34" i="11"/>
  <c r="G23" i="11"/>
  <c r="G31" i="11"/>
  <c r="G22" i="11"/>
  <c r="G33" i="11"/>
  <c r="G21" i="11"/>
  <c r="G30" i="11"/>
  <c r="G20" i="11"/>
  <c r="G29" i="11"/>
  <c r="G19" i="11"/>
  <c r="G28" i="11"/>
  <c r="G18" i="11"/>
  <c r="G27" i="11"/>
  <c r="G17" i="11"/>
  <c r="G26" i="11"/>
  <c r="C15" i="2"/>
  <c r="C37" i="2"/>
  <c r="C22" i="2"/>
  <c r="C21" i="2"/>
  <c r="C2" i="2"/>
  <c r="C38" i="2"/>
  <c r="C4" i="2"/>
  <c r="C10" i="2"/>
  <c r="C9" i="2"/>
  <c r="C30" i="2"/>
  <c r="C5" i="2"/>
  <c r="C11" i="2"/>
  <c r="C33" i="2"/>
  <c r="C19" i="2"/>
  <c r="C26" i="2"/>
  <c r="C17" i="2"/>
  <c r="C3" i="2"/>
  <c r="C39" i="2"/>
  <c r="C13" i="2"/>
  <c r="C31" i="2"/>
  <c r="C23" i="2"/>
  <c r="C32" i="2"/>
  <c r="C18" i="2"/>
  <c r="C36" i="2"/>
  <c r="C16" i="2"/>
  <c r="C35" i="2"/>
  <c r="C8" i="2"/>
  <c r="C25" i="2"/>
  <c r="C14" i="2"/>
  <c r="C12" i="2"/>
  <c r="C28" i="2"/>
  <c r="C6" i="2"/>
  <c r="C34" i="2"/>
  <c r="C29" i="2"/>
  <c r="C20" i="2"/>
  <c r="C24" i="2"/>
  <c r="C27" i="2"/>
  <c r="C7" i="2"/>
  <c r="G6" i="11"/>
  <c r="G12" i="11"/>
  <c r="G13" i="11"/>
  <c r="G3" i="11"/>
  <c r="G5" i="11"/>
  <c r="G11" i="11"/>
  <c r="G14" i="11"/>
  <c r="G4" i="11"/>
  <c r="G10" i="11"/>
  <c r="G9" i="11"/>
  <c r="G8" i="11"/>
  <c r="G7" i="11"/>
  <c r="G2" i="11"/>
  <c r="F4" i="4" a="1"/>
  <c r="F38" i="4" a="1"/>
  <c r="F27" i="4" a="1"/>
  <c r="F34" i="4" a="1"/>
  <c r="F29" i="4" a="1"/>
  <c r="F6" i="4" a="1"/>
  <c r="F3" i="4" a="1"/>
  <c r="F23" i="4" a="1"/>
  <c r="F45" i="4" a="1"/>
  <c r="F51" i="4" a="1"/>
  <c r="F2" i="4" a="1"/>
  <c r="F47" i="4" a="1"/>
  <c r="F20" i="4" a="1"/>
  <c r="F9" i="4" a="1"/>
  <c r="F12" i="4" a="1"/>
  <c r="F10" i="4" a="1"/>
  <c r="F46" i="4" a="1"/>
  <c r="F40" i="4" a="1"/>
  <c r="F35" i="4" a="1"/>
  <c r="F26" i="4" a="1"/>
  <c r="F49" i="4" a="1"/>
  <c r="F28" i="4" a="1"/>
  <c r="F17" i="4" a="1"/>
  <c r="F33" i="4" a="1"/>
  <c r="F48" i="4" a="1"/>
  <c r="F8" i="4" a="1"/>
  <c r="F32" i="4" a="1"/>
  <c r="F21" i="4" a="1"/>
  <c r="F7" i="4" a="1"/>
  <c r="F14" i="4" a="1"/>
  <c r="F31" i="4" a="1"/>
  <c r="F30" i="4" a="1"/>
  <c r="F50" i="4" a="1"/>
  <c r="F44" i="4" a="1"/>
  <c r="F43" i="4" a="1"/>
  <c r="F41" i="4" a="1"/>
  <c r="F42" i="4" a="1"/>
  <c r="F39" i="4" a="1"/>
  <c r="F37" i="4" a="1"/>
  <c r="F53" i="4" a="1"/>
  <c r="F18" i="4" a="1"/>
  <c r="F25" i="4" a="1"/>
  <c r="F19" i="4" a="1"/>
  <c r="F52" i="4" a="1"/>
  <c r="F11" i="4" a="1"/>
  <c r="F5" i="4" a="1"/>
  <c r="F15" i="4" a="1"/>
  <c r="F36" i="4" a="1"/>
  <c r="F22" i="4" a="1"/>
  <c r="F13" i="4" a="1"/>
  <c r="F24" i="4" a="1"/>
  <c r="F16" i="4" a="1"/>
  <c r="F52" i="4" l="1"/>
  <c r="F51" i="4"/>
  <c r="F53" i="4"/>
  <c r="F15" i="4"/>
  <c r="F36" i="4"/>
  <c r="F39" i="4"/>
  <c r="F38" i="4"/>
  <c r="F18" i="4"/>
  <c r="F34" i="4"/>
  <c r="F47" i="4"/>
  <c r="F14" i="4"/>
  <c r="F26" i="4"/>
  <c r="F35" i="4"/>
  <c r="F44" i="4"/>
  <c r="F8" i="4"/>
  <c r="F42" i="4"/>
  <c r="F10" i="4"/>
  <c r="F16" i="4"/>
  <c r="F22" i="4"/>
  <c r="F27" i="4"/>
  <c r="F32" i="4"/>
  <c r="F40" i="4"/>
  <c r="F45" i="4"/>
  <c r="F3" i="4"/>
  <c r="F7" i="4"/>
  <c r="F21" i="4"/>
  <c r="F4" i="4"/>
  <c r="F30" i="4"/>
  <c r="F5" i="4"/>
  <c r="F9" i="4"/>
  <c r="F13" i="4"/>
  <c r="F19" i="4"/>
  <c r="F25" i="4"/>
  <c r="F31" i="4"/>
  <c r="F28" i="4"/>
  <c r="F48" i="4"/>
  <c r="F11" i="4"/>
  <c r="F23" i="4"/>
  <c r="F37" i="4"/>
  <c r="F41" i="4"/>
  <c r="F49" i="4"/>
  <c r="F20" i="4"/>
  <c r="F17" i="4"/>
  <c r="F29" i="4"/>
  <c r="F46" i="4"/>
  <c r="F2" i="4"/>
  <c r="F12" i="4"/>
  <c r="F24" i="4"/>
  <c r="F43" i="4"/>
  <c r="F6" i="4"/>
  <c r="F33" i="4"/>
  <c r="F5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<sst xmlns="http://schemas.openxmlformats.org/spreadsheetml/2006/main" count="2534" uniqueCount="935">
  <si>
    <t>Id</t>
  </si>
  <si>
    <t>Name</t>
  </si>
  <si>
    <t>AskMask</t>
  </si>
  <si>
    <t>AskDefault</t>
  </si>
  <si>
    <t>AskMinimum</t>
  </si>
  <si>
    <t>AskMaximum</t>
  </si>
  <si>
    <t>string</t>
  </si>
  <si>
    <t>text</t>
  </si>
  <si>
    <t>numeric</t>
  </si>
  <si>
    <t>date</t>
  </si>
  <si>
    <t>datetime</t>
  </si>
  <si>
    <t>boolean</t>
  </si>
  <si>
    <t>time</t>
  </si>
  <si>
    <t>image</t>
  </si>
  <si>
    <t>binary</t>
  </si>
  <si>
    <t>undefined</t>
  </si>
  <si>
    <t>CategoryId</t>
  </si>
  <si>
    <t>Minimum</t>
  </si>
  <si>
    <t>Maximum</t>
  </si>
  <si>
    <t>AskLength</t>
  </si>
  <si>
    <t>AskDecimals</t>
  </si>
  <si>
    <t>AskPrimarykey</t>
  </si>
  <si>
    <t>AskAutoincrement</t>
  </si>
  <si>
    <t>AskFilterable</t>
  </si>
  <si>
    <t>IsActive</t>
  </si>
  <si>
    <t>bigint</t>
  </si>
  <si>
    <t/>
  </si>
  <si>
    <t>bit</t>
  </si>
  <si>
    <t>char</t>
  </si>
  <si>
    <t>datetime2</t>
  </si>
  <si>
    <t>datetimeoffset</t>
  </si>
  <si>
    <t>decimal</t>
  </si>
  <si>
    <t>float</t>
  </si>
  <si>
    <t>geography</t>
  </si>
  <si>
    <t>geometry</t>
  </si>
  <si>
    <t>hierarchyid</t>
  </si>
  <si>
    <t>int</t>
  </si>
  <si>
    <t>money</t>
  </si>
  <si>
    <t>nchar</t>
  </si>
  <si>
    <t>ntext</t>
  </si>
  <si>
    <t>nvarchar</t>
  </si>
  <si>
    <t>real</t>
  </si>
  <si>
    <t>smalldatetime</t>
  </si>
  <si>
    <t>smallint</t>
  </si>
  <si>
    <t>smallmoney</t>
  </si>
  <si>
    <t>sql_variant</t>
  </si>
  <si>
    <t>sysname</t>
  </si>
  <si>
    <t>timestamp</t>
  </si>
  <si>
    <t>tinyint</t>
  </si>
  <si>
    <t>uniqueidentifier</t>
  </si>
  <si>
    <t>varbinary</t>
  </si>
  <si>
    <t>varchar</t>
  </si>
  <si>
    <t>xml</t>
  </si>
  <si>
    <t>TypeId</t>
  </si>
  <si>
    <t>MaskId</t>
  </si>
  <si>
    <t>Length</t>
  </si>
  <si>
    <t>Decimals</t>
  </si>
  <si>
    <t>Default</t>
  </si>
  <si>
    <t>BigInteger</t>
  </si>
  <si>
    <t>Integer</t>
  </si>
  <si>
    <t>ShortInteger</t>
  </si>
  <si>
    <t>SmallInteger</t>
  </si>
  <si>
    <t>TinyInteger</t>
  </si>
  <si>
    <t>Boolean</t>
  </si>
  <si>
    <t>Variant</t>
  </si>
  <si>
    <t>JSON</t>
  </si>
  <si>
    <t>Description</t>
  </si>
  <si>
    <t>MaxRetryLogins</t>
  </si>
  <si>
    <t>SystemId</t>
  </si>
  <si>
    <t>Sequence</t>
  </si>
  <si>
    <t>Caption</t>
  </si>
  <si>
    <t>Message</t>
  </si>
  <si>
    <t>Action</t>
  </si>
  <si>
    <t>ParentMenuId</t>
  </si>
  <si>
    <t>Tipos</t>
  </si>
  <si>
    <t>Usuários</t>
  </si>
  <si>
    <t>Tabelas</t>
  </si>
  <si>
    <t>Menus</t>
  </si>
  <si>
    <t>Sistemas</t>
  </si>
  <si>
    <t>Password</t>
  </si>
  <si>
    <t>RetryLogins</t>
  </si>
  <si>
    <t>diva</t>
  </si>
  <si>
    <t>UserId</t>
  </si>
  <si>
    <t>Alias</t>
  </si>
  <si>
    <t>DatabaseId</t>
  </si>
  <si>
    <t>Types</t>
  </si>
  <si>
    <t>Domains</t>
  </si>
  <si>
    <t>Masks</t>
  </si>
  <si>
    <t>Systems</t>
  </si>
  <si>
    <t>Users</t>
  </si>
  <si>
    <t>Databases</t>
  </si>
  <si>
    <t>Tables</t>
  </si>
  <si>
    <t>Columns</t>
  </si>
  <si>
    <t>Indexes</t>
  </si>
  <si>
    <t>Categories</t>
  </si>
  <si>
    <t>TableId</t>
  </si>
  <si>
    <t>DomainId</t>
  </si>
  <si>
    <t>Nome</t>
  </si>
  <si>
    <t>Categoria</t>
  </si>
  <si>
    <t>Tipo</t>
  </si>
  <si>
    <t>Nome do domínio</t>
  </si>
  <si>
    <t>Tamanho do domínio</t>
  </si>
  <si>
    <t>Tamanho</t>
  </si>
  <si>
    <t>Decimais do domínio</t>
  </si>
  <si>
    <t>Decimais</t>
  </si>
  <si>
    <t>Valor mínimo do domínio</t>
  </si>
  <si>
    <t>Valor máximo do domínio</t>
  </si>
  <si>
    <t>Valor padrão do domínio</t>
  </si>
  <si>
    <t>Máscara de edição</t>
  </si>
  <si>
    <t>Descrição</t>
  </si>
  <si>
    <t>Sistema</t>
  </si>
  <si>
    <t>Sequência</t>
  </si>
  <si>
    <t>Ativo?</t>
  </si>
  <si>
    <t>Banco-de-dados</t>
  </si>
  <si>
    <t>Nome da tabela</t>
  </si>
  <si>
    <t>Alias da tabela</t>
  </si>
  <si>
    <t>Descrição da tabela</t>
  </si>
  <si>
    <t>Tabela</t>
  </si>
  <si>
    <t>Domínio</t>
  </si>
  <si>
    <t>Nome da coluna</t>
  </si>
  <si>
    <t>IsUnique</t>
  </si>
  <si>
    <t>IndexId</t>
  </si>
  <si>
    <t>ColumnId</t>
  </si>
  <si>
    <t>IsDescending</t>
  </si>
  <si>
    <t>Nome da categoria</t>
  </si>
  <si>
    <t>Pede máscara?</t>
  </si>
  <si>
    <t>Pede valor padrão?</t>
  </si>
  <si>
    <t>Pede valor mínimo?</t>
  </si>
  <si>
    <t>Pede valor máximo?</t>
  </si>
  <si>
    <t>UNQ_Types_Name</t>
  </si>
  <si>
    <t>UNQ_Domains_Name</t>
  </si>
  <si>
    <t>UNQ_Masks_Name</t>
  </si>
  <si>
    <t>UNQ_Systems_Name</t>
  </si>
  <si>
    <t>UNQ_Users_Name</t>
  </si>
  <si>
    <t>UNQ_Databases_Name</t>
  </si>
  <si>
    <t>UNQ_Databases_Alias</t>
  </si>
  <si>
    <t>UNQ_Tables_Alias</t>
  </si>
  <si>
    <t>UNQ_Categories_Name</t>
  </si>
  <si>
    <t>Indexkeys</t>
  </si>
  <si>
    <t>Valores válidos</t>
  </si>
  <si>
    <t>ValidValues</t>
  </si>
  <si>
    <t>adm</t>
  </si>
  <si>
    <t>UNQ_Tables_Name</t>
  </si>
  <si>
    <t>PublicKey</t>
  </si>
  <si>
    <t>labrego</t>
  </si>
  <si>
    <t>IsLogged</t>
  </si>
  <si>
    <t>#CategoryName</t>
  </si>
  <si>
    <t>#TypeName</t>
  </si>
  <si>
    <t>#MaskName</t>
  </si>
  <si>
    <t>#UserName</t>
  </si>
  <si>
    <t>#SystemName</t>
  </si>
  <si>
    <t>#DatabaseName</t>
  </si>
  <si>
    <t>#TableName</t>
  </si>
  <si>
    <t>#DomainName</t>
  </si>
  <si>
    <t>#IndexName</t>
  </si>
  <si>
    <t>#ColumnName</t>
  </si>
  <si>
    <t>UNQ_Menus_SystemId_Sequence</t>
  </si>
  <si>
    <t>UNQ_SystemsDatabases_SystemId_DatabaseId</t>
  </si>
  <si>
    <t>UNQ_DatabasesTables_DatabaseId_TableId</t>
  </si>
  <si>
    <t>UNQ_Columns_TableId_Name</t>
  </si>
  <si>
    <t>UNQ_Columns_TableId_Sequence</t>
  </si>
  <si>
    <t>UNQ_Indexkeys_IndexId_Sequence</t>
  </si>
  <si>
    <t>UNQ_SystemsUsers_SystemId_UserId</t>
  </si>
  <si>
    <t>CurrentId</t>
  </si>
  <si>
    <t>UNQ_Indexkeys_IndexId_ColumnId</t>
  </si>
  <si>
    <t>#ParentMenuCaption</t>
  </si>
  <si>
    <t>UNQ_Menus_SystemId_Caption</t>
  </si>
  <si>
    <t>AskGridable</t>
  </si>
  <si>
    <t>crudex</t>
  </si>
  <si>
    <t>CRUD Express</t>
  </si>
  <si>
    <t>AskInWords</t>
  </si>
  <si>
    <t>Pede extenso?</t>
  </si>
  <si>
    <t>Categoria de tipo pede extenso?</t>
  </si>
  <si>
    <t>Categoria de tipo pede valor máximo?</t>
  </si>
  <si>
    <t>Categoria de tipo pede valor mínimo?</t>
  </si>
  <si>
    <t>Categoria de tipo pede valor padrão?</t>
  </si>
  <si>
    <t>varchar(max)</t>
  </si>
  <si>
    <t>nvarchar(max)</t>
  </si>
  <si>
    <t>varbinary(max)</t>
  </si>
  <si>
    <t>Nvarchar(15)</t>
  </si>
  <si>
    <t>Nvarchar(20)</t>
  </si>
  <si>
    <t>Nvarchar(25)</t>
  </si>
  <si>
    <t>Nvarchar(50)</t>
  </si>
  <si>
    <t>Nvarchar(256)</t>
  </si>
  <si>
    <t>UNQ_SystemsDatabases_Name</t>
  </si>
  <si>
    <t>UNQ_SystemsUsers_Name</t>
  </si>
  <si>
    <t>UNQ_DatabasesTables_Name</t>
  </si>
  <si>
    <t>Transactions</t>
  </si>
  <si>
    <t>Operations</t>
  </si>
  <si>
    <t>IsConfirmed</t>
  </si>
  <si>
    <t>TransactionId</t>
  </si>
  <si>
    <t>TableName</t>
  </si>
  <si>
    <t>ActualRecord</t>
  </si>
  <si>
    <t>Conexão</t>
  </si>
  <si>
    <t>UNQ_Indexes_Name</t>
  </si>
  <si>
    <t>IDX_Operations_TransactionId_TableName_IsConfirmed</t>
  </si>
  <si>
    <t>LastRecord</t>
  </si>
  <si>
    <t>0001-01-01</t>
  </si>
  <si>
    <t>9999-12-31</t>
  </si>
  <si>
    <t>1753-01-01 00:00:00.000Z</t>
  </si>
  <si>
    <t>9999-12-31 23:59:59.997Z</t>
  </si>
  <si>
    <t>0001-01-01 00:00:00.0000000Z</t>
  </si>
  <si>
    <t>9999-12-31 23:59:59.9999999Z</t>
  </si>
  <si>
    <t>1900-01-01 00:00:00Z</t>
  </si>
  <si>
    <t>2079-06-06 23:59:00Z</t>
  </si>
  <si>
    <t>1900-01-01 00:00:00.0000000Z</t>
  </si>
  <si>
    <t>1900-01-01 23:59:59.9999999Z</t>
  </si>
  <si>
    <t>number</t>
  </si>
  <si>
    <t>Unicities</t>
  </si>
  <si>
    <t>D:\CRUDEX-C#\SGSI_CRUDEX\CRUDEX\db\</t>
  </si>
  <si>
    <t>Sessions</t>
  </si>
  <si>
    <t>SessionId</t>
  </si>
  <si>
    <t>UNQ_Unicities_ColumnId1_ColumnId2</t>
  </si>
  <si>
    <t>UNQ_Unicities_ColumnId2_ColumnId1</t>
  </si>
  <si>
    <t>json</t>
  </si>
  <si>
    <t>ConnectionString</t>
  </si>
  <si>
    <t>dev</t>
  </si>
  <si>
    <t>IDX_Sessions_SystemId_UserId_IsLogged</t>
  </si>
  <si>
    <t>IDX_Transactions_SessionId_IsConfirmed</t>
  </si>
  <si>
    <t>SQL Server</t>
  </si>
  <si>
    <t>MySQL</t>
  </si>
  <si>
    <t>MariaDB</t>
  </si>
  <si>
    <t>PostgreSQL</t>
  </si>
  <si>
    <t>Firebird</t>
  </si>
  <si>
    <t>BIGINT</t>
  </si>
  <si>
    <t>SMALLINT</t>
  </si>
  <si>
    <t>CHAR</t>
  </si>
  <si>
    <t>DATE</t>
  </si>
  <si>
    <t>TIMESTAMP</t>
  </si>
  <si>
    <t>TIMESTAMP WITH TIME ZONE</t>
  </si>
  <si>
    <t>DOUBLE</t>
  </si>
  <si>
    <t>INTEGER</t>
  </si>
  <si>
    <t>REAL</t>
  </si>
  <si>
    <t>TIME</t>
  </si>
  <si>
    <t>VARCHAR</t>
  </si>
  <si>
    <t>XML</t>
  </si>
  <si>
    <t>DOUBLE PRECISION</t>
  </si>
  <si>
    <t>BLOB SUB_TYPE 0</t>
  </si>
  <si>
    <t>FLOAT</t>
  </si>
  <si>
    <t>BOOLEAN</t>
  </si>
  <si>
    <t>NCHAR</t>
  </si>
  <si>
    <t>TEXT</t>
  </si>
  <si>
    <t>NVARCHAR</t>
  </si>
  <si>
    <t>BINARY</t>
  </si>
  <si>
    <t>DATETIME</t>
  </si>
  <si>
    <t>GEOMETRY</t>
  </si>
  <si>
    <t>LONGBLOB</t>
  </si>
  <si>
    <t>INT</t>
  </si>
  <si>
    <t>LONGTEXT</t>
  </si>
  <si>
    <t>TINYINT</t>
  </si>
  <si>
    <t>VARBINARY</t>
  </si>
  <si>
    <t>BYTEA</t>
  </si>
  <si>
    <t>GEOGRAPHY</t>
  </si>
  <si>
    <t>UUID</t>
  </si>
  <si>
    <t>#EngineName</t>
  </si>
  <si>
    <t>Logo</t>
  </si>
  <si>
    <t>data:image/png;base64,iVBORw0KGgoAAAANSUhEUgAAAIAAAACACAYAAADDPmHLAAAAAXNSR0IArs4c6QAAAARnQU1BAACxjwv8YQUAAAAJcEhZcwAAEnQAABJ0Ad5mH3gAAAGHaVRYdFhNTDpjb20uYWRvYmUueG1wAAAAAA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RpZmY9Imh0dHA6Ly9ucy5hZG9iZS5jb20vdGlmZi8xLjAvIj48dGlmZjpPcmllbnRhdGlvbj4xPC90aWZmOk9yaWVudGF0aW9uPjwvcmRmOkRlc2NyaXB0aW9uPjwvcmRmOlJERj48L3g6eG1wbWV0YT4NCjw/eHBhY2tldCBlbmQ9J3cnPz4slJgLAABQIElEQVR4Xr296bMlx3Un9juZVffetzZ6x9JAAw2COwmQkih5RMuiltFih+XwyGN/sDyO8QeH58tY/8H8Gw6HHTFWjEOSHWJIDmo0EilpxGUoaSiRgsgRSQDdWBqNpbe331uVeY4//E5W1a133+tuivZBPPStLSszz75klrzy2uvWpjkCDDCDmcFgEAUAgwBACDAAAQIJgdchUChM/X4zKAARwSoIEsanAABqCjMDDODL2AZ/yontAYDB+2uGEAJEZOk95doQ1HTpuIAM3lXaPQm63okstScQGE5+LowuKYAAwITPRQSYAOL3mQAw4kC9XxjN5bCfJ81Vd48AMEUQjlVEIK9cv2G5nfOl5XlHKgCIGMwGExuWX2JmMFUnAhILBp0tkwX4yEaTUDo3/L9AECCcgBGIyNKgDWyzDCj4+wuoOoGdBMLXCqQb//j+QvAFxn0Yw0qkWJlgI5mIt2kgGYhAvC8kAgN87gFAYQgSurZPQvYYzAwiPgYTSKEub0NevXHDctP0F4ydNSk96SkSIAEMJ2DIZd0jo86ZGRFaELYKOipdnuiHA06WIB57Ztg/TsbxNofnTkPsKhjPxfB4SFT9+JwA/Loh9PNWGu34xJbm4zQQka6d42PgOyGRhEWKB1wCuYAZIh+k1sG7LegxjiyTW7iPVDzusCEI2zRxJhgBxW95ZS+eHhrEAAswI4ENVcPSbSvaHJ8bHxc46fwQihoq9w6JvfwShDLiHvnDe8TnueCgIPch3l/ws8SwPDPAnVCZu5oNhQTMdf9QBxXgORftxU4YiyJRIvDYywc9AyDSE0wIAaF7PixzjMNwEstzxybEfFKlEHF/CSPkndjGAMb3j3+P/x3DcHxL90qRggMdLqMx62AeVkjTk6AQPQCMGZG/A+ASAh2+KdB78eQw5PTSkJuDJ0okUSeQY9eFgwSoZpyQMOhENwErGu90r+uxpWsCSCgEtXTphwMrkLAK+QXhQxgeh3CcuPt5WjH3A0n4MHDsPgEMyvkp/R2+nxY+RATB7PggCyydc9Y2W6VjhuJnfG1gdR+nDkJ59qTLQpF5HGSJoE6DJSTJagNzCOIexer3/gDgSO0P2e8xIZ0G5flV9y0RjFnX/hAKA5nfKwCCuRtTdDnKCwYcVxDASRwjmLRR/uzY9eMdwQAhx5Dr1NkdDidoOIErJuE4rL5HqAWPnxweevtLNs4AxkwwPh4+M7zWnzt5DEM1u9TucJpOVWPlXP9+o4HEs1a8D3fqyjvGgxh3hH/HX2jFwAOOIbzQw8mdLe8t13pD6qT7CzzoOrAaeUMQ4f+oi3nf8H5xH30MMnIFx+84hrwBjO8dH4/hJCI4ER7mHoegKzpZqKXn+ge3KEMcAh0nj+nlpPZ46iRRfwIc7/ojgYhAXR0E94xK39S7oc4sZtadK8+OYw5DOI0A8BAEdBKIPdIMAavaFsZtFECgKBxw3QDpwwfHx8fOB3JQ307RcSs6MILh9QdN3BBWceYSjMc9GMMQmWF0PIRgVBcWlrVqefNJ84JVEz+C8bjH14Z/3fVeep8IvbTu/7o3DR+24o8M+3lKn8edPBWEEahjIsDhpLZOm9Ah2ClBna6N4XWRJa4ehmXVEb0KzAk4FDVRznP+OljVl5PGWGCIoAInjX/VudVwwjtFViLXfbfx6b8fmBlMpY9+DqAM5OEHdDqM2xkORaznbBkgOYDWj9AJZmjGCabQazDwutAgLs931/kP0BHD8iQOETlG8v+3sJqYDGRIATqXHscstgGMO72KSseT38PJ109q81FgKFQ6n8HPlRbL+TFnF44uTQRHPIIgBHI6/J4x/apQHfREzPN9m8fHexoM53HVXP0g0BnpA29s2DdbvkQCGL/8NMSM710FD3ELcEpb/QT3otyE2BBhoqjcU7jX/N5C0UGcg/0P5fn+JV1eIwwIgpd6rh/C+LhAR2QC2CgcjOE4RnDaPP99obPBRq8Qn4cCgZ042fcenlt1fhX8wAPz5sfPW+G8EQqGkiAMxL0V5A/6HELwPyI8SkAcuZzFAAbgkbTl93Vha4fOpnDOIneNZ3z5cAjj9k+Dh7vXPDI6ODN6jIYz+2iepPuhwBhpDwtlYEsIkDGV9r+XXLHheaZWIM7RQyg5h4Joxuh5zd/KqJ8Igjs00TswJCI25lLFJRHVQt/l4ZtFZEnf/iBQ3v/Q8+t5ET9YvuTIN+3xFU6irGMDPwXGev1hnzvpvoIUjPxxrNDp8GskHpf9gc+bGbIpVBWqmXULCrfeA2KMqKoKMUaIzxsnSaAILhfZE3q5PXdJOM5dWNXfR5zLMdgjGZDDd4yQb4ztmC17M/LK9euW28UxrnkYWIXsVedOg0e59xgMHhWQMzlZlAKhqlDFiEldI1QVYhDEEBFihSiRCBd1CjKYZqgasmbknJCSIrUtUkrIOXeZO/GCmSFi1Lwgphx3rmagfHpIJJb7TpqX06VBCfceN2CGzzBoRxUnr924bm0zdwJY/dKT4FGRXSYDKK+icSd9fUI3ceN/hyCOiK4NH3iQgMl0gvXpBLPpBFVdQyQiBFbDqDJlXfIfBArpIjEAoRTVvoglpYx502C+aNC2Ca2RAIKyYypGsaLGfwZ9dtoqYueB8CACgBxj7h6sTOQJzxacgdIMAOT6jRvWNkf+wpMf/PvAMqEIE0Yix3T7GNFA36XhhJTfLKoS1JVgbVpjbTrBpK74iNEqSLkBAEQEKIx1ByIw5WQVZUMcGQAjN6t61sxQxRrqIjQrME8Ji2aBJpPzzTywagZVKpHgyZ4h51lB0Kpx+rhO5u4Bek645WEYkgRAdSlQyGtOAKXmb9yBnjCWzz/MywqM7+3CqoNqmHFLxbjC2EWDdAHsSTSsVRGzSYUqCpKa1zCCJqEEmCmsuHo+FgPrGEV80rMjJrCqCIUAXFKoGVQBCQFRgChA0ow2AfMMNMmQoTBhuzD2G64WioRSDuAYoQ+5fpUEGM7fGD+PAl3bKMayE0Bq5v4CTt4YViF6VUcfGqQI15M5v7Ouvf0gAep+/iwYJpF/IUTkjlpIxMGrmH1I/oMgQupX7UpcYKZeoUsJoeoqwhRiBss0JtmeQC1D3AoMAmQEHGWgAYs2zbK/l6FDEoBT+6oJHsBYSozn92EJYBV++nPOcBIKARxBJPpbjxPBuBM/CKyUAt17AlSUx57sIIX6/SEgSkS0hCla1AIgRCTnYgvCOmIJEPf1UfLtgZxIScKxMbkT6OsrX2rGEnfeR/FvZoAmQIFsXvmMgKwKyZQssIwQI4JENAosEJBR+5iVWVHz3xwecWvuunp4uRiQqxA3BEb6luM2q+D0dhSCwMrk127csNQ2Pk895oe/Vzfy94OlNsla3XkRAYqfHSIqGCbWoE4LJFU0OSPEClVVk7skINaVR4wM0TW7+Tjo5rkqcbUAo8AInfFHqaCWqA1MkAHAMjRniCmyE4tAoDlzTYMSieqxATWDSo22XgdCpC1iqSeADtHsm3f5oaHHy8CgPgFOw6GAxafy2o3rltvkUvJRfM5lOEmUA0Tw0uulP1ckw7CDAVyAoiEi5gUmzRGytWiLrpYAA126qoowE8QqIAjDN+L+fGnTIKhiYF09RQPUzEW+sL2sMBDRqiSq4FycswKqMMseR6DCyMrz0IysfF8INVQTUEVgugWtp5QeObunocDACzH3JAqIUGW4vPKb+uuPQgBYKQmMM+JiR67fuG6pTYNSL+/kMRD/Ww6RjqmsIHT8YpPjoVTK+p7rRYS62EO1Mt+HHu0gZwEmE0BceIWIGARmQIxEIEJEVdoJvbgnIZSS7eDGnyBEjwM4V5oBphnQ3E18QZj4NVWFJUUq5wDAFLnNSGkBxg8DNFINxRBgVQ1dOwOpZrDcuKrJ7jXQ3QQYui5zUuYQRSqvIIAeWw+Grr0CAi8GNcj1129YatpOAgwfOg4ebRvAmABOgzLIMunDcyUUixAh2iDt3YUdzWExQH05Wgw1QqiASCOSBBWAShBKtiCax/t9kYgZlYEJo30xEnnB34nYGW1qCikRQ3HuNABGohATaEpIOfFeCxyNAim3aJuWhBS4xKuKNUQMbQvMzl9CvbGBtmm4nK4LSWrhg54YhxJgeBHobIBTJe4JMMQPWY3qy+Hk1noOhd/Hv1X1gcUS7/8lSBAu3ihUKz35lvZDrBFzg/mdd3G4t4+FAY0aLFPHpJSRTIFsDO2a+/KZhGim0JTp1iUF1BiypZiBSeCki3jEr3BjP8MKjAo/lHgyrgM0J1gxWvyqQLbsyPRnckaaNzg6OMDRYQOxFgfvvoX5/Xuo6gnEpVFRPwUx5f+F+1cDpXPopvDEG0+F8qy8euO6aZMgTgqrOH9IOdZR5PJ9IuSksRQQ4f86xC9d60uvpYrI8wMs7ryD+aJFa4a6mqCuIkyA6CIbEhCD0AD0xE4AYwNBFOKx7hAMERESXSWY91GIYEoelyTu6wsA0wQzQ07O9cUjNHIMDNA2I2tLgsgCzYmqwBQ5M9kCU7RtQ/uhqlDXE6Q2YePxK9g4ew5t00LV3UUzANldRr4w2xJ3dtCpVpxGJATe6vcX9ezPdRIAHtb0R4bPH+PiroB0Beevtht6M0VGrRfkQwShrpH3d7D75mvY3d2DGiN3WROyZkANmqkzYwgwBGT1YI5yZbJphmaPuSulABHEmTBQQkix1D1sSy4mYg3gfR4HMH+Haobm1KsEZoa6UZkAObX+vPhiWU6yaEZaLLC/twNAcfDe2zi8dxd1XSNEjp/PBRImIgAgLjFdP3Mdg41RMD4G6BZ3/XQicCx47hTMi5aHx/h39JnxMeKd3T3+xv7hkgnD6C4ZIJ46P6CuJ8gHu7j/7luYZ0WoZ0guUuluKdQzejlnWFYEN/CQjckaTbCceK9H8Mz8OUvIiQYczPp8gCo0J7Zb7s8Z5ulU8ykyGHW+gsaeJqTUkHgkICndRJMAy25veGLJjO+KQYBkmM8XyKnF3q1bOLx7B3U1dfvVYxjmyanCeAMDeQjjY2AV7tDhT4SqlweDfwwIjGiVi7013gN/Kxi44XV0a/z42PJzAaGvxhm0JSKkOq+aiXWFdLCHOzdfQ5sVjQGLtqFk8ABOzhm5bWGaIWZo2xY5ORH4KOiTUwqppk70aUnWaEZOGVmEej8zEKIGZDXknNCmjOTvysVlK9xiQJtaqCpSk5DajJyVUikwr0CPUKHJfX5VJI8gBgOqqgJUkVNCznPcu3kDR/fvo56udfNOyQKqxE5Nuf0kK3gOJ5xbAnHslSN6T2rmNRQDf3n5IZAShccRRsNldM/Ss+JEVAbgv4fQEUmMyPN9vPf697C7u4/FIsFSQk4Ka+krq9J/tqzIjgCASNScPZrF9sw5m/LYDUQX8WaCbCByQMZQzf6DRqZqJqFY5gSpdokeErygVUoZQNDmRKJEAGKkKrHMifU6BCI2UGo0C2jOyE2LvGihucX7r/8d5js7bhgy9tGL7W7q+7kbE4a4HwtQda0UAzw3ZFARVzFBSklYmagi2vuGSoi1HD0QpDQR+DcQY13VTawATbhz4xUsDg9RVRMsUgtNGVE4uW3bIFiGhKInAzQbzDm2aRNUs/vwBtWWnO1Jl8L9be4lQfI8vxo5mHZLb7toVmhm+jfnTLGfskf7yOlZM1JK0JTR5IzFYgHLCg0CU1r1SQ1tylAVtJm/k7bIqYGmBqmZI80XsLbB7RvfQ14sPHXN55dtDIdyzU9ZiWH4veW/k4Bq/DiBlPBDBzSMhmeGxt3gtz/ITnv/BtLAgH6tu1NvuV8CsHvzBvbv38eRGhrNqKRGRkDO1K+pNSxaTjRTsYZsNMa0TcipRdseIafUGXQpK7Il9tJnSHxFj3nvczY0qUVKDdqG6qRUCwGMBWTNyJrRto2Hjg1Jc7cSKGtGqxmLowYpGY6aBm1qkQVocwYyXcemLVKLBJmTol3MoZYxbxZoGkN7dIh7b7yOKF6z6MzWxUkGklSkR2GZz55pT4LBtQFei7cR+hdF/ysNik9ZmTpZ8goEvV4iEZQJ53O0ulkkwfY5kGoywcF77+DuG9edUwVH8wZJafgtmow2J0AMKSv1cvYoXCZyzBM+1qp7AszaiRlyVuRM74HGmz9b+qK+ZkEVmhQptchZnevZ56wGzRx6Sm1niGbNgO8LRGOS96sCKSnaTGJkzoCT3OYMCxWquqZ2MkFWQ5sNe0dHOJw32L93G/feuYV6Muvm0iR08814i6sjXw0tvED0HGfsAay+WMgiqIcbe1XAl5UHe2lgHdWUoyHHA850Qvt5KC2K7opVjfZwD++/eR27reJwQf95OqnRZvrVsa5gNPDdUFMacDkDoG5OqUXy42TkVnM2zykhtwkptWhbvy/Tg4DH8UVpF3R6P7PkS53zReAeAQ3M7PZA8RhCiAgZMPU2PLmkpYRM+YyECM2G+cERkgJSMYcxbxLbR8ZiMcfhfI7bN9/A/s4O6smEyJHAP2YkOL9Av3p6KHGFkcFHgYJWr4Dwk0ZuHyJ26Xf3q//t/N2JqYBIseLP9Xo/IgTB+29ex/27d5EMWDQJi0UDM0FV8vB03J0QqVcN6OvyzBh0SZmGlpLr1ZTpXQgMwgKO4kYWIkiti3cSETWLsW3zbKATi5qhbROSuQ2t7EtOjvAqet0giVgC541EQ8nFuAMjjofzQ6Q2wwRomhZtUnriIjg6PMR8fxf3b92C6fLOIqye4vEYL/xjyDsOJPISojq8js4hIFjJCfgpci0pbvzCAloMQr+29D7p9xIKA+IRCGKscHjvPdy7/T6OEkUsgyaCxeEcOSdEiEfS6Ecny/4CAyBomob6WgSaFG3KaNuErIqmTUgpw4Q5AopyEkxSVwtGlcH0LKCWkZK6799LVFUWiKBIR3Xf3uMTqswcRg/kdCpEsxemUu0w/pA5J2ZoFwmLxQJSCSCGpmnQtg1SbnFweISje7exd/cOYj1xm0+6wBChV8FEWzi2n8IqEPTewhCMxbPizXGSyX0r7nYIHvFj4JRQTJOCq2JXFO6XGJBzi5s3ruPuvT0YGGplE0ROu2iZKMmcuJQZAcxeURuCQEKFRUpIbYIJ9W52EW2myGbIbvWLsAiUOQOmdMuxpgzm6Us00J/PCTlRh2dTtErVk3JC8iijeGYxt7QzxKuLNPfqyagLsVi0yJkSK0hEBtumJ8MAUpuZVGqbhHt338Pdt96AtslD3yWWEmBOCCSI0NkCRMCyt3WMeVdIBRQCMKf8cop//X50y9C3QsF8HIrV3/kXIohVhd3338He7q4HVGiZU1c3TNgUjik+f0owTUAG/f0QS6qMUiJT5LYeiZMQoM7t6sgVxpIA10g5M/Zu8HCvkuDVEkPHasiaoLllQKi4g9kljCqyaid1WDKeIWLQtkE0uquFMEIQpNyyODXRfcya0TQtck4ucthnGL2Ee+/dxN1bb6OeTMjvhQgCmP0UKcLXo4ag5C6oA/895vKNvDQQy0QTzw8vHhcrHWJRMnurdUvH/eaGX6ygbYu3X30FO/fuAxDk5AaVZgT13au8wzS+MrIlegYCtEo9rQaEECECJOegIHTdmqalwZa8nj+zxn84D2LKWILHCoxpRor1zDELPB5QAktFLXlFcKtM9ggiJFRIKdHmCAFNotQyrxKu6goIESYBIhGqnl8wQDO9HFNAc0JOCU3bYt4mvP/WDSwODxHruseK0bbhPNGn5zWPDZQ/H4R0hNPbZ2N8SSml7Js8jtACRKxft0F2r5waNl4oFYKqqrBz+xYOjw7RJNe56F2q5GHKEEJneXd72KihSYzXFyOQ72MUi/sRMeCkVow3ILUN3UdPETNUW3rsgQ5VOqsGAIFRPE2s3JEAS4qcFAmlv56LcPXQrR00Q+O5gqROmCJok2HRtoDSIF3kxg1VFpWSaBOaxYJSQROOmgWaeYP93UPcffddVJUHhwZQGGwJHQPbYAmKmpBliTDEcpBi+fikj6mElCVugFD/9FRYzvdgArp9AHV/2+D9m29id28fIhWyCVLORIX7022b6KOLIMOIxESjDsrcv7oUIGdnGIBkirahZDATpFQMtsAoXlao+905s13qe+eekj308ZT4uGlmYanQKaHuVqSsaNuMJrVoEu0ChEj3LysUikzzordRPP7vDotLJdoIyd3PnHkf1HB4OMfh/Ah3372F1CxoC6DggPkPsoxymReWVyR1MNyObywJ/X8qAaFYu8t0MQZhgGhgcTqKaR2jBC+Yxi01+FVVYX/nDnbv7+DwqKHbZurBkF7UqimatqHBl1n0aRlITYvUzqGJ+tJE0DQLLBL5EiZIAiT16qDAJAcTNZl6141Eun+GprwToD4vnoUJw8RKYzIpg18SAtrMe1PO5PZc4gh8F2Kg0di0aJ04msxCk2SGRUp8T2k/0xiUQAQ2LYNRrRP37r17uPveHezf3UF0KSDB2d/XJ3bGXlEBKEjnQWcfDNHaMSfvERHf2tkYu/N7lsFAkUkc+4u9sa6Asdw4fJoc9P7Nm7h77z6TIokFI1WMnsSJACKanDl49+fFDDEG1vy7Pk/GpJAE7nebW7paTAh5CNZ1JNug0aQlkjgYD9UDkzW0w8wLMsgpIUQYqNPb1Lp0gBedCNrE7KLBoJFthKpGlkAjVDPahmsK25YJJLq2gyokr00wYWwhLTJy59Vk7O3t485770L8Ps6tZ++F8RbOsmf6iivrv8V6F7HLJhYDmD8AdeUhIojFdRjpHEJPRr0xGCDuczt5dlarCRDrCu18jnu3b2Mxp+vGCJy7X1nRWoYFoA4V31tKt90XNwGt+6xIbSIHZffFTZG8YAOaXf8ShyEwHQ3LrOfzKh9m9wAJkWIaQKwYgCJ+K0AiVBVVFREApJaNhhA6A05CRKuGtoSnM9uexAjECDVBFWs3HhnwCTFAIlc0Za9VsFJJHCPo8FI6xRCQmgVuv/MWDvf2UbsxOEzBax/Dd2bjGgTWI/h6BAx4cqgC/BFWRj8sLNkGy4RSqLAIlyCCuq5x7/Yd7O3uInhZV/aqHXI0s27NoqFvDEGzSK4aaKUnr72nuKfVzDg/aFGnjNS2tCHMAxAmnbsmCJAQgcBcPNSp3xMv9J56C12FhJVNaNHDEGJkRDAlBnxcdAuApmnQNLyWGoayQ6AX0LSJk2OsQKJ0osdSvBMD7QWBsco50VhtVTFfHOJobx/7u7uQYgxKgHgELyKQ7zp0DGMAHWo6WK4p6BfleKV2v06u58EVBuESLF8LQlHspAozw+7d21g0iZE2z5G3KaNdMMtnmRw2ny86P3ueWixyQpsY7GEAp9iwdB9Taj0LSB2fXCLklJE8Y5GU5dsMDoNkSnmPlJOrDI8/uAdRUr80QhXZC3fFI+YmTA8vmpYqRem25kQ3rm0T2pYLSBjhK/aHMjEFLjbJyuwio5LF5RSEKAw8NXz23r17uH/nPQ+EDnU3GYpHywYegcQ2Pl1UibkkD9BeBZTm1ItVx1AaK8WErHzk5HDdXpEArIdPzQJ7OzvIygFXVY1aAk1hY1ZOxZADCzxSygNuJBLUEyoiTKqo61F4QUgX8UsstIAy1KuZSGhaRtpKYEiNSR04cauw+LKoBs2GpLxe5sDMXNVxtNkLUpqWRCCBSDMztInSwJRrFosrKoGSSN1DkRi9VoBtxnrCMrkQuPLUCb/JLe7fvovF4RHqqmJ/3M4RU1fDo6hfh6vVwp2MDsd3QCjCuwBFwyCcuIIYOmow42djwArWcmuMEUdHh5gvWoprS271VvSxg8e5vZ1Y1wyvKrkhCLNwpuRkxvAZgGHQzC1oESLQJcHCkzPqwRiAxNEkWvZwyz+nkt0DXSkPsnS5/7Z4BuSj7CFh8aGbB4eSMlwM16cZdGVVFRnKqptMNZU9xN00LSWQGVoYGncvPdQHiQGIAVUdoCnhaG8PB3v7ECcA9oE4o5/ixl9HsHTnO+NwDEU0CFg9TbE9RjSpozvqKlQGyO/b8Rf6daEVvbezh/39XRp9EjxIowgVOWHRsIoWmZyaQIQ2OXMtgNJGSC6a28xyLUSBSujEaxfgcWtaU4n9+9o90iljAQow6MMqnWEiqXVvIbv72La962YAcgZycg9c6ZIaaK8YAuv/WkVqM+sYGkVSAEE8fpCg2kJEkC0iezl522a0ie5l9pCwQGAW0DYZR0dzHBzseWVWr8dNhDseuAcnWvascev2ISAAfUFImcTyW6T4qSSEpeRDwTp60lPvGEu9Aw527uPo8BBNO4eYIsayZFswqWtYFDQpoXX9mFQhsUI1XYOBIcwY6fIpqCOBCLWA7CnfkjU0kONFgIzMwtFMF661DObumIBJrgbEeUQREGIFBdCUgAyYN8iqaJOHjwHMU8NsnpT9BoiUYiqpebWRsjik0YR5y+gkSkGqxyxMDEmpgpIqFqnFIlFSZmUAK0nAzv4+9u/vkMkGqtq6OafLS6u/x18PjjeXDM6tgD9Pv8QNHYqTIlJ8/TsA8xU93XnAXxK62GQXUQRgmnG0v8/j4Ba2c2oRzVU1gYog1jWq6QST6RrdKm89GcUpxCAInVhvs2HRKJIncmhIkSCUi4ZcOgBNk5FazwkgwKQCwNi8SYAGQSoSSoGmpaVvHiZWsJg0qVcghwCTkqWLrgaYZp470UGEBm0u8YAGbc6QGGFSsXysaTB11670PWegbTkWeg6ci5wNB7v7yCktra0UuNPjDFiigr1j50ajlfxDiXo6GP8GBePOJ6LFvKXl6wQjojTS3K4uEagSiOkgcAnXYtEwMyYUj2ZGPZ0S5h7JC3UNqWqoCGbrU1x6/AlcvPw4Ljz+OJIZdvd33T1cIKcFqo01TLbOYLq5jWpjC2FjE/XmFtqcsGgXMFMsDls0Lbl3c/sxAAF7e/vY3dnHwbyheydcv7doMhatojFBDhEWArLvKZza5Kt3FG1ikSqM4e1kiiSK1hSLZEgiaAEk35hisVjg8OgIk7UNYLaGec7YPTjAwj2do5RwpA02LlzA9rlzOPPYYwxeiUtF91BiFTBvGhw1CywWC5QvshFcOnecyf8JnDKkHA2QDuLTjKYkAF8a1ibW2HX6Y9mCFNc5UsSQF3uKcelEMRjFU7+pbfHXX/93uPnm24zyLRpMqoiqqikGAxCqCpPNdWxunsEnPv5xXH32Gra2Nro3v//uu/jyn3wR77/zLupJhWSKFz75KXzmx/8BAiLqSYAokC3h7vvv4Zvf+AbevfkWZrMp1BTnLj2Bn/65X8BbN17D7//u7zE4M1vDk1eu4Cc+8yLefucdvP7We1hbX8ePf+bHMJtNyVdm0NRg995dvPLqd3Hv7j2YAhlAyobp2gw//uP/EdZnU1rvIfA54Wfd3nr1FXzhdz+P+4dH+PHP/hR+6j/5abz/7jv4rf/zX6E5PERVR1hd48oLH8R//ov/KaIm/NZv/AZu3nwbk3riCTFlFtWl5jPXnsNnPvuT2HpsG81iASslfNZhtMMVldUwFS5k7iH3g86GylJZeE8s5qtPAVKTOvIhBmP2wCV/X/Vb/g2Bxs1iMYcEIIYIidxzL6siiyF5TGBrexu/8Eu/jE9+4hM4s7WBvfs7eOvNN7Czs4uLly/jV/6r/wZPXX0W88XCq3ZqrE9q5MNd3HnzDdx57xbaowUef/xJfO7n/iHOX7iI/Z0doE04c+YMpjWJcX54wBU5O7uIVcTlJy4ixog2s5J4Np1iWk8xqydYm06xubmFJ5++in/w2Z/Gs9euUgRa8HyBYW1tA2fOPIZJDKigiJYQNCOYolkcQTNQTab486//Oe7fvYerzzyDz372szicH2DRttjY2sLP/vTP4szGOv7iq1/Gq99/FSHWSAYnQpaySYiQusLRYoG2aUcqwEU/Bl9kA2i7gRlSejbLiO+B6iH+81//9X+hmUUNBHI1BYgxlw2BiDLGPEA4f5akRC8B5vM53rzxOg4P5xAEhlWLmwfj5oyTCT770z+DZ554AkfzBf70D/8Nvv7Vr+Bbf/My/uob38Du3g7OntnGa9/9Du7v7gGhwoUnr+DaM0/jO9/4Cr7w+d/Dt77zbbz88suYrW/gqSefxNlzZ/Hdl/8GUMPlp57Gk1eexru3buLm9euYTddhEvD0s1fx/LVncOvt93Fv5whVXeGFa89gMd/Fd/76L/HGm2/h7XfeRVLg3NmzuHjxInbu3cb+YQMgIFYVrly5grX1Gb7yJ3+Ar3/ty3j5b1/GV772NXz5y1/F9dffAEINiQFHRwu88dbb+NRLn8TTV5/BrVvv4s1bb+Pnfv4X8dEXPoCbb76JL3z+d4BQueVfhBAjo+K5gsl0HU9duYLtM1tIKbkx2Iv98rvgo79Y/sZeHlW1MRRc4stF+KpTDjpiEBD5EA/LdhJg8D6HIOLVOgFiwvCvixfGtJlkufDEFTx/7RrMgH/7b76Ar33132Fn9xAiNVQNf/WNv8bv/OZv4Y233gaqCRapL1ZNCGi94EIA/PU3v4l793dw8fLjOLt1DkeLllvGAKjEMJ1OUK1NMV2bIlYBQEYI3CXUjDmptGhw9513cfv9d/H2rVv4y3//Tbzy+luIcYqnn3kWdQwIkXkDTS0CMu7f28V793awu3+IplUcLFocNhlxbYaqmmFj8wxuvvkm/uiLX0IMET/1uZ/BJ176Ufzoj/wYmsUC/8/v/DbmbYtYVeTgjosFIfahc0YqmSRbBVTNlMyUBixZ711zqoShajcPeA2UPU90ET3zB8u1klka9YFuRA8i3K5t0TK6hxLRc+RFzwSePXcBNYA7793C3377ZWxubUIFWLQtgkyxNtnAUZMwWduChQlaD8sCQGsB86Tc8LmKmM1mHtQUrG9uQKdrWNvcYn8CE1OIgmpSMyOXWetfVyzBFq86PmrmaJoF2kWLnf1D/OXL30NrhnPnL2Jza5NZTAPMlN5EmGI6WcNkMsWZxx7DxfPnsLG+DnVijQJsbKzj63/+l/j2d/4Dnn3mGfzjf/SPUEfBl/7wX+PVV2+gmsygwj0MC8fzMzYVQjXtIoostx9F/crPoQqAqwAU/PmyelCSFyh2xDECYCSQkalVkqbAkuW/CpwQGs3QzIKMELgDSFbB5voaAODWrVvYWyRINUFVT5gFAsO3SRVNUkAiIHW3amb73Hk8+4EP4Klnr+Lq88/h05/+NM4/toWdu3dwe28fsrGByttPbUIMlGQ5MSaglmiRZ+bvAaBt5ljM51gsFtg/mmPeLLCze4C9gyOsb2xisr6G7HaXGq30X/zlX8Y//R/+R/yT//6f4td+7b/DP/tn/xM+8yM/ioO9XbTtApoTolSIEPzhF7+E+3v7WJtO8O2Xv4U/+eIfYX1zkxFJM8b31T9G7WFp04RYVYj1hAgczblIXysonqugCEDvDkrJhhi5d7QWrDMCx5a/Y4LqQ47rkLEkKGBmiCFiUk9QTSddIWOTM44WLAg1VWRltixIxKSeovVsXz2tARFkMAiTM91HCe6aAvjIRz+O//bX/gn+i1/5L/GLv/ALeOH5a9jfvYev/Ns/wU4zBwKNKLjhGWMFCRHBNwip4gQh0l1jPFXQpgRWCAYGZxKLR2IoNQVgcFUEVaxgpmhTg6OjfcyPDtHOD3G4t4+mbbj2XzyyEgxSBTzx5BXEitvHXbh0GZtb59AuWgTxzSdDRFXTViq1fJDACKKNEDeI/wcE7xdVHq8zxNXVCJgThkv0Yq8JC0KcOqCrNMIDoeTphhBj4Fq53NL4M2XCCAFtYhZs5/4eAODi5UvYWN9AmEyQBGgBVJMJYhWBinaHWIamhKZZAAAO9vfx3q1bmM+PIIi4e+c9/P7n/2/cvPk2KgjyvMHBwSEAYH19DaGmCyoCVFWAyBo2NqYwpX0gYD3gdG0d1doE0+kMrSq2t9ewvb6Ge/d3sbOz72I6YDqbYj4/wB/9/hfw+d/+v/Dbv/Vb+Je/8a/wv/yv/xu+9c2/oaoB4/oKxdXnnsUv/9IvQVRx4803cPny4/iVX/1V5gxK+FeYvTQP3EB867kQIIioaxLdGPrQGcX/kmQWd+uLKzi85NedrkhttAV7bi96ovc5By241bK8cIHPhBhQTyrEWNGLCNEzZwGT6Qx1PcWNV29g7/AQlx6/jBc++AEsDueIIUItMhcQAuqqRttwD8NKWJAhAF793t/h87/5m/jjP/wi2tRisjbDxvY2JpMJxWfTYufeDgyG7QsXMFlbRwgBVVXj0oXz1N9g3T79bS73qmdrmExmyNainkZ89kc+BgHw9tu3sH+4z8oecH7KcvWUM44WCxzNj7BoFlg0C25imRVNTqgnU3zupz6H7Y0pvvLHX8K//N//D9y5dw8vvvQiPvOTP4mjozlXQANc3xgiJFasOzCDREFV17SdHAHScTVXLReBH4SBOkJBoniBCKU2PQy2FBERKFRJPZ2IkH4NOq+VEK4v+bYSAqY+5Yv4D6tpKtR1zRgAgKqesgqHNIO1tXXcv38fX/zSnwII+Jmf+3m89NLHEWOEWoJGwcdfegn/9T/+VTz+xEWotlBLCE5r84MDtM0Rvvvd7+IrX/kqNte38ZM/9/Oo12Zo2wbRFO+98w4O5od47PwlPPHMM0htgw9++EO4+txzaGyOV77/Km7fft/lHsVorGvMZjNcuHAB//Bzn8UHrjyFe3dv47uvfA+AeHkXyCjCXUljJYhRMK1rTKc11OsSDcBi0eLFT30aV59+Aq+++n188+W/RZsVX/jCHwAAPvezP4uzF85i0Sy4lC16erfi/ocizFXUkwqTSc0wdbeOk+9QEBUqDF6j8CYAgLuBDquDh4agiiL+81//n/8FRRCpA04AwFgNlPSw+m8w2BCW9YrBUE9q3H7vNu68f4dlUQLqYF/HJhIwmU5x4/p1hCrgA9eu4YMvvICrzz6Da9eu4sd+5CW89NGPYnt7GwcHu3jr5i0gRJy/dBEvXLuGN9+4gRuvvY4wmeKtt29hur6Ga1efw+aZbXz/u99HNakwX8wxXzR49upVXLx0GU8//Qw+/JGPYFpP8Jd//Q18/c++jmqygc3tLXzwA89iOp3iiSeu4Nqzz+HDH/oALp89j3v37uKrX/s6dg8PESRygadEfPADz2B9Yw1PX72Gj3z8E/jkJ1/Ciy++hE+99CLW1tbw/e+9Cojg6rXn8J/98i/i6OAAv/e7n8fB4REma+u4+fY7MAAf++iHsbmxjv/wt9/24s/AT74Ubg4VptM1XLh8Ec9evdLhyIwqQoxKm3jr1QOxR2OQeBrZcB2Du6loVnLfjvQlxKMXJyDSAacqMQTjxqydLeD79m+729QaZUwMdEeycrMEyxlntrfw1S9/DX/wb/4Id+7exZOXL+NDzz+PSxcv4e1bt/AHX/jXePnl72Bj+zHEeorFItNNDBWqjTNY29zC1uY2/uIvvoG/e+UVPHv1OXz6x34Ua5ubuHDhIm5cfx3f/Na3sDZbx+OPP4HFosWXv/o1/Okf/hnWtx/DdG2KM9sbiCFgNlvD1vYm6kmF+eEc3/m7b+OP/+RPsbN/iOlsncRtihAoqttkmMw2UE/WUM/WMFtfx7lz53Fmext1NKytTfAff/YnEQD88R9/Ce+9exuz6RQBwPraBr7+9b/AWzdv4UMf+Rg++skXKU1iBZEKgsj6gpyBGLC+sYlYl9BwwQMtfx3U/y2jzfrvOA+RPzg0lFxA4v64JazIckjXFK5jgLL+jL8FRRr03E+rkkbSjVdexV/9+7/C7kGDWEWqA9d1aoacEmIMiFXA/t4+ts9s4cknnkQ1naJZLHDn9h0cLlqsb6xhUtVA4Cqj2axGTi3m8wXEAkIUhIo6cmt7C3UVcXhwgCDcSm6+mOPs+XPYmG3i/dt38O77XHAxnU4wmU5w/sIF2hiBmzkdHs5xcHCEw4N9VFUFiZHqC4b50QI1DNtbW9ifz1m6lZh+jhUDS/v7h9jb3cFkMsXG+gbMFHt7O2hbuptBKiabUqZhCgCa0SzmgAnatmHFtCgCIqZbZ/DJl17Exz/6PJrFAnD14gEJbvis4q57L8Xd6PcQNuM4nS3nUt5gfTKo3xiipyMd7EbJAgQ3VgRLfiBVQ3F7BPV0ivt37uArf/YV3Lm7hxBrVFVEjKylFwlchQOBiKGuaqTcQhWopzXMgEk1I2K9eii4TixGJs0BVtHUdY0qVkiaEOsKdR2Rs6Jyw69tGuQ2YTKdQGKNUEVUsWaKFFyTl3JG9KRJ1sTVSaFIO1YdZQ9utYk7qybfAUTVkHwlcJAKTdvCTFlZZIJpPQGMexaU0jDWGbCyoWkXXEoXAvch0tL3CaZbZ/ATP/GjuHb1ScwXczf+KIV6xMI5fuSeu5Qm3j2SVq4LuDYQRl7vBINbicBwK9LgL2QRo4G/yzV0cWgAYI3c5tYWtja3YGpos7pbyOJT1QyJ5TNuEQDLqGfTGepqirqeuiHD5dYhRAQE1L5DeJDI/YIjF5/AVdCknqIOAcEipvUMEioEqbC+vomN7W1MZzNM6xoVFWO3Dr+uK6zNpqinE0xnE8xma6gmdTeuINzCTQJQVxGTSY0QK0xmUxJfFTGdTlBXNSQY6joAqp31XpbBVdWElcmWu3KUGAMm9cQzL4KqnsAAtG1CqCpsbm5hc2OdbfgsCwwqnEsUPe/5mDEY/RYv6KEtIKB9ALOSYS4PFvEybAKDGEERB8MbXPRwqkhkOWMyneLs+bOYTmtAMpIy0AOvfqUSUThtuhtKcSUiS3GPGPxL3SGgrqeoK9YQisfn67rytKwhSOXiDahiRfqUYtgGmJCIywKM4DuIq08wM2kkjnpSI8YKsYqYTCbMZURBXVWognQLWMQnP1aseRTQdQMicyNgPoRVSQmiDDDVdQ317WskcLcTM0MdJ5C6htUVNrc3sbm5zrC6C16DILgt1mVtsQpvALzmkf8tl5UBXMTrv/3pQZRpGZzju4cH93iUkb9ZbCkieOz8eczWZlhfW0P0VTXMPArXzIfAhRjZy8VTIjkb6/HLK8wYPVTN3M9fAoNFcdL1t6oq2hiDBRhwlZHV9/MTeFBlinrCWnuWZHM8tLB9MWlKLHQNrDRSBISKyOXGDyyMLpXJBWJkNC/EAKdZBImAAblpYRCkbL6PADOjJfoX6wpqAgsR0+k6JFQ4e+4sZtPa+1Y8LgNXMQ68gKIbBlB0PiXE4IIzhDPaMrK7YMESlw9hoEfKvwK3OPvJTCnh0qWLOHPuLKIbaWVFTLcli4FcL4yvK3yQwcvRvJPdUi7fwkWNiyqrWCFKzfp9YQ1hhiEbd9/kOEAvpfOSfHMGLfv3s8y8WxkF8+1oxZerlbUIGTk5YcaKMXsBYCxXU189zFL2wXbx5d0FEWBArKxFbNPCI6YRAdFrEinBHjtzBk89eaFTtyVPM5j2Y9DhruNnjlHBr4ouwcDG80/GoNP/K6VAEaWDS+RmN0ooAABH8sbGOs5dOO/LsLi/b1ZBDJUvw6L4raqK+hMMgzJBkoHyqTdHEieCdG8mUPgSrkijjxFUTnrWUmrtMXK3kNkH3y/QuZ9tcdyqFMXRbROuUi5L1DPa5LpXuJMXOd3rBN1V1FLGDl+3YFw8gq6e0hAr31wyc+4tU+qUNmazGS5fvogz25tIibuNFpSQqJ24hjgd/O7PF09NfXe0nrmp2F12c7OE3lBY0i1sYfkFTixskKtuykoXQ7/Y4tLF86gmXBGTzFfk+iaN5lY33CCrq5otG5MfaizDjr4TZ/96zkabErlHGGhSj0SaV9WacQEFJaT3CUQeVRX1KlcO9yuQVNlPgJXRrCQuexSwfNtK5XBOyFBk5+wQoie7vLfqhlYQrgYqo+g2uyj7IRu/fRQAE0WcRFy6fB6TGLjnkNttSoeLs19WZhd8OI7Mep3MolEykZU9lxyCBXfuhze6lTiWFt3s+wtKO0O0LMkkBdom49KFizj32BmszWp+wTNWXSm0etDIjEgJVWT1rG+VThvBdXzNdLAzH7NtEtEk34sPPAfvE+P0rPLNytJuSHQE8zccicUqzr6KWELFHT6zwhARY8WcPBvvF5/47qPF5lFas27M+voBsDgmhgpQf1+3fxGNYiurirOijjXW1zaxvbmNS+fOsrag4MM/UkEG9p1KDN0WeS4aXCozkQZXq51EsF5qsyx8gD9yGf9bDbzW6c4loJ0Jp1KA1UCz2QRXnnoKMQZM19Y6cdlzKjmvVaBVLhzhpghu+XvAoorCXbn8PQZyVV1VCMJ9eZIWA9PtixChvrlD65k3dSu6TD7VDLmXBp+vTorcWKJpGphy5bAakEXcexaneM+nKrGhmWV0sSI7SvlUDQyhYlo6Z86d+nctpArcKraqkcEClqefeQrra1OknNwuo4Q2oVTMzuQm6pXcjo8u7k8B33NuD0U90bQdci1GgYQxuLtj7qr155UTaVwSxU+x0RBp24wrTz+Fc2cfQ/Q8dxUjqlh1q3KZJ6BVbSqQWAExUmeKABJZMBkqXyJFI4trAJUlrvBVxc7dJlwBxDgCJ6Us9siqSL7gQ8tuJG2iqPXFqFUM3Xq8stAE7sUoqQiWuQaQriP1cdkSDhYgCOyT2zQCIMba1wgwwlgWzCBG1HXt7vM5PP304/SYimRG6FSmgDYXQMm9hDOPzhJcoo/sNqDQhSD0RoEbCycEFABSV6/DhtRljEjJkIC4ZUrKLTbWN3DtuadZV+d6MlSciOBboIhQ5FOvoTMa+bHngOx2hnjZlME9BDOkpmUXQhG7tBvU9w/uCNZ6a11cFSiMW9moIbW0P7JyI0fAPIJJCZPhewiA82Di29m7L0/ioIxS0DNBKNHP6AtAGS/gFLOUHC7X2pwwmU7xzDNP4czGum89T/woyGSh6PjCiODvFYy+BKtxypUeANAtc1q6fEzMD6tMer1iRiovyCcHkJDUGNV66skncOniedQ1d9bS4tp4QAfGquHsOXcDCyKSKZIHXLpPAYHlZtTeAeaumCnngusJ/dMvyv15xTkhulRhapUbPMB8fb5xBbFAuM1sSr5DB8V4SopWmaMHuDqIc8AkUVFnJAjiJE4mCLXnQQRQ5bJ2EnukKBcS+WRthrNnz+LqU09Q4oAc1XM5DWy27B4M5cFxDi/gBHMcl5S2QZyTVrbgrtPwYcbtgnfG9Y2toC+BGy2CrC2m0ymuPnsFZ85sYm2d6/8ort14izTqYqgGUoQITInx+n7oTnz8H6WWoLNeAtwbcEMyK5eIlX4VqjevtFLNyMrFMQDr8UT5RZHk+jqGgGnZNaRbMMprdF2Buq46QmPYnITGrXCK6iyFpbQPzJNZ1WSC9c1NPP/8VWxuTP05SqRexxc8cd660q8lsb8CjiHHJW7ZH4DAFxSEU7yMn6ReMxRxT3+XHe2bMvTBiOIOpibjqScex/lzj2FjawOxnkKqCSPiEtzAcc43hSHzbcLzbYkP+CZPRVipG5JlchgPYEVR8VViqLjHX/JnwfX+ZowuBuHu4XAdnTM/6BREus0fOB9AFRkCTr5rSNs2blNkpJbSIzuB6MDLUF+72DGTUILEQMNwsr6Bp566gqtXLiO3ZWNrv7XjYqqBgpaOeUdoIkMMTnYM1YP4fQMjsHR5FbjYh4IC2N/Z/SA1DoFevteym/FjiyK49txziDFgtjZFrGsaexCEqkKMgevy3dIlxyhi4IojboqQYd1WcS4GJXDLGSNnqH/u1Uy6jSERPSycWW1cxHjZBFLcwMNgJbMZibFJDUeviqZZoIqlsIV9pLguUoeEXzaVLkQmAlig+1t8qWwKqSrESYXZ2ho+9NzTmIB7IjE722OOzziOxggdHzv0zxwHt2PdCAS4utQnglRFzC5TExsb0s0qCgR89uDkC0oLxgXO4/lnr6KOEbO6BkLFdYcSEGL0L2dw9zApsXr1vIH5Vzk8iGMGpqjNt2Y3MGYfJm6VM83betydY+EOYFkFUtH+oHsoUOMOYJAKIVZIWREiaxnKihyzgLbNHvOPgFQwYfDHfMs38R1Ss/cxZd9OzmhESmAshPNm2NjaxEc+9DwunNnEIrWdaiuMN4QxUofqeXjOzMjPw8uD33SogSBu/HQv9JuKIVb0PWmCorrEJZfEzAoYqhAuX1Ys2gU+cO0qzp8/AxNgOqkBCdxUIdOUL2FpABCpyMnKvf2Slh1AGWM3MO5ALiMXp5yZ/PEl0ckt/6y+n4kZt4BrmX1TUMVkY5QyuyFYiIAGoxDxFcvgspIIWPvo7qpRUqXEOsm6Zm0DwJiCgjUGJhHVZIbZ+jrq2RSPX76Ma1cuo23903ODHH7Jn4yhQ/LouDt/nC6WoLTo6wLKH8nCBhZ9f2tBZwnfOnRuCalzCLQFev1lBi8LB1782EewvjaDAZhOqA40RFioEauJl1QzOojgexBVtJapXtgz9SVQBoaiu+DRoE9CPQFVfv2L0biA7N8UysW+ABNKah5oCfy4Vagqbv+qJFLxpM3RgptfSgi+4AWIoUY9mQCB6m9ST7lFXMl8hoAwqVHPpgj1BOcuXMDHXrjGvQ99f0OU3ISB0oDFEUvQMZ+jrhwPJfIxBh0cFtnCtYHdFSKJl6m7C5yEdAw5fYh/ozQphhjAhI4osEgt1tfX8GOf+hg2phOE4GnUqmLiBOg2YjAvMzPf5oX5eUblUkqYN1zl022y2O3VSgOUkor9TUbjqoShuR8AYwAMHfv+QapoXUpQatAdDTEigTkIgN7CvGko6r2OvzVugReE6w4NdDUsCCwynWxZgRCwuX0Wn/74R7G1wSoihnuL7UQJBvRqtEBhtILgwvHiUkhAIlhmyCL0CUU78LuBS+AktQKWiMCPl8QO0EXEeF2cqErpBzlXjKtyLpw7i0994iP+KVgagQZOoorCgu/5C/FQrJEDpaJU4Etg5hk+F/nFM+iMMhG2ZTRhQ2RblhgIoZ8fARMs3IKHUXbQXVXfTp5TqBBkE9TTCWJgDp96n5XDVCMCiVRvVVUjVhUXpE5Ykra2sY1Pf/yDuPTYOpqGtQdWkO8ybcixS9BJ1X7ezUpirj8nGOwWXiKCS+3Y8XoAvwL4rpRLyB3dsopOSHVFBnFAaslDl3ShmDUxzBdzPPH4Bbz08Q8jBKAKwXcNmSKDxlUfDCIyW+WGSkU6iEcu1TNw6t8TSK7vU+ZmTeYl1EnpBaBsXKksFkmu+w3+rLo76eMJsYb6M6GqfHdPg9QROQgWWZFEECYThLpCCgINAg0RWQJiNUGsJ1ABHrt4AS994gU8cX4Di6bpHCh6eDRyx+r0UaBIgh61xR5atiUMgFx//XVrm0Vn8p0ES+KmiP0B7XQLSYxGI0pI2cVXCXnCt4cLEhmFEWA2meKNW+/g5e++gRbk+pS571/wtKQZuIu3G6Pcb9hFn+cGDNz8WKi8vYSbfRMwisFUrm9ZFwI//hjY75QSgruWMBpzBm7qpG4n5GSQaIjCiGb2L5y1KcFAG0V8o0l43Z55kyEKNrbP4MUPX8OVC4+habitpXjWkLqfW9OuZDqHpWtDVTECCSQEQ4lz9DkcgVcUv3bjuqWmKV7fMTgmNrwDq84XEAG5c0AoHQF4m9ztkpZWNGC2NsXb793Fy6+8jnkryMpt2iiJHJFg1E1Qsrk07hACojDOICHCAve/k8CF0uLGKF0whnZTBiCGGBk8ogow/2gVw8k8dpXiHGqZFb2VF6vyQw8NzD/xUmojYEDOCZMYUceILIZz58/jY9eexuWzW/wcnZp/tEkZ1nYkmUuA5dwKWXZJMjizHSMWcfYu+BPO2xgClGXhuWkHO4ScDqchvgfGEUqbHdW5VOiPve7PBBIU08kM9/b28Tffex33do8QAoktmzHVB/NMHNfycb0c2yVRcgFKn+cuUsm75FwoErjSJyWPycMD2+SU7NvN81m6igaWpjGzyPr9GCL3REotFi2/Z1iFmm5b2QjT9za8cPEyXrz2NC6emaFpPC5hfbjPwJSyiO8Qtgr5BdFu4FFd0G3snLUxDIihe8YhwNcF5KY93egYQ9FVJwKXOI2hFz9l+bPvVCmUFRDDbDbDweEc3/zuq3j/3h6/Lq7afT5GVYHMHbXh29JS/HMOgjDpYll9MQrtAxHWGLIDzPLBv+VTljqWXUfhu5oBmfaCG7OpUZaA1czpS2aSChVXPc8blrvHUCOIIgoQplNcuHQJn3jqAs6tT/g1VEc8q5UGhpxjahXymTZxI9opWlCKPnoCOSYNToDoNp68duMGVcADCIBz1/vXKyVBoTYJvUTpKlP6Zzp1UJowYXwJAoB199kU379xE6/efJfVNAK0KSH4gg7NGZDs++Lzebg1Ll45BPjeEuDWLpGpL0YRQ3DiYd0AXGSrG4BFD9ML8H2JPQ0swfMWXk8QIxd1JGPCKifFrK6xdeYMnrh0DtcunsFaZWg8oQUziFcSdSt2ylQUcbWk592ucmOuQBHvvOcRCMAMsaDgtRs3LLVOAFgWM0MuL8g76Xo5x/+RhMckcowAsLz6iAOiSK4iV/i89c4dfO+1NzBPiqqeIDunwj8goeC2rZ22N/VyMU4kq4Ur5hCM+fcgLM3OUEwmU0RaCb4/MXfyVk3uLJOqs6efDQzvFr+61P0HBMjUaxxM8PjFs3j20lmcX58B4Bb3HfOYl7mLuQEozH9Yz/0nIdLUbQMnEhH2vRPzJzyH0bUwlAC5ZbIDhQIHbfScXnR3f98xAgA6cb7KpuhUQPEQhtccCeU6A0CUBofzQ7x+8w7evb/PT74gMH1rfWpWYk05CWVuoIh84Re9gpWPW3hNABiftxgoGWjvUS0oPw3PbxWXUCwlhaFsmxcgMFQiTCzFiBArnDvzGB4/s4mL2xNsTCvfBd2R3ult6ziZUmY44T03r4LemOsNwPHc8cYiTXo4gQCuW2rdBhjcJJ1hRcSbFaT2BleBlcRQqHRwuhwPCcCMqocc7H0ozwZGzqqa5Vn37u/jjdv3ce+gwbxNkCpAmxZty9g//yuWNNsQYRQuWOj2F4AZqhC4H69y9xIYA0/m8QIWbtAty8YPS3MQ/mlXExgS/fuqxtbmFs5vbuDiZo1zazXM4wn80CYre4dIK5DB9Q7juVpJAB1hlLnq7xnibXyuvLec4/wrEAC5fv26te1qL6AnglKJimJqMR624mXdQFYRwOD+ngDECxv6ewviaM0LXUURbhsDw/39BW7e38U7uwfclDHSEi/PqnHTYIHnCgJQhci9+8H6QxhDwQGssGS5NccQ/OtlplzFnGG+UaUhQVFJYN1iEJzZ2MJjm2u4uFbj7Bq/m5yVuRTOnXWJMBnocO8dbKC3V81nj+PV/v6YUJbacMYc3wOih1Lg1evXLZ9AAIQBBkciZfgyjKlwBQGUe+hKGWDxWB0BQC4Tj2130kJA9IqgilwVvHvU4L3dfeweNjjMipR61ygZEJGg8LCsqxTzVbgBgJgHjsyQLbM0i9V3rGxW4Y7jbgBKFEzqiGlVYW22hu21Cc5OAramATEwV2EGmGUEA1QCS8pogXS2jiIAZWcVBxvP9BBpnXrqz52E3DFOMGqLl8kBAVII4MGBoCI6lpA87vUqKITgnQa8+NN1F+XQCiLwd1AaoNCsOwwGkehpWGDRtthdtNhfJOwcNThsFNlphmVn3GVcvBg1Aty9SzmeGMryLe7Tq4CnvgVmGfWkRgiCtckEZ2Y11uuA9SiYRa43LDWA/r9+6fYx4Pt4hVY95/D4vUPJMOS7ZWT2kz9+3xhv3W8UfBB58trrNywtmpUSYNULlihsRACdITI4KQMrVUB3rUN+GBCHrJyHXgJ0x/yGsAlXtigMUbx0DNza7aBNaBRoFThqEhpTJAtooiCEKWLRpV6qrQpEy4j+jSEgY1LXWKtrzCpKnFqAWRVQCWgvmXltgXfMiqHn1rzPRRk7n9LeLXbvgoPqhteBgcGdMu+rEDw+dxIUnDH+4HNqoOq9fv2GtZ0EWN3gMc5f0SGgH8iS6C+3uSToiEEAiK+vO+G9wLLLuATS07HPLwDudEY3kM+p+f4EBqZ+jTYFEz70h01JRJUAZooohipG1BI6d7L46+pWeJmHYIwiioGG5Alj6Xx+dPplJeI7GHgChWGGbT8KAQyhPEPbSksgaHGiCngUWJIOKwhgfDy8fxWRrQKqBDcQbVlymCek+Dw/rwY4s7nO5B2UIExXsy/WxcHKpHufeIf3rRjABLZfgjvF0OuBT1Al8ETP/YzpnQJW+rfs6o3nxkaq+WHm0ODby8mKlUE/KBx7oQ2QfeJxz/tDajYrYvM4mP/X6Vnrp1LMq9WUZd1mDPaYVwpn863qwfq/giBWLpdVyX3BpFp5T/aC1D5oFUDCKcvguNFW3z+D+/qlJsF733X0RBDOiyMfhTlWIL9cW3U8nE8pxrRf6yS0ddL3eMMFzEulTusy/L7h30OBV/8CI+IoiC6EYChs3CHNjJ+doxL2SXYkZtfFXJdg4NJouC++PDk9BfZBlkC70cve++/7WWnXUaO+7qHke7n7iPcNy8qgPPvA+TFje0AnbTpJVbTHCMbtjYliDOIRzBC6LWKOd2jYSKH+R4FuoKf0pVuWdvz1HRRCKAhwNgOckTruBVf10NDxXT5AxDHWn/h5YEdy1z/Sj/dVIeVzcY6IkrhRlHPMTJrv5Fn0fm8HOJfpqjX2K6AQeDk0Sg+S2JBY2NaKHNtKGOKvtGGdR9C3G9RsIAH6l5UbqDXp7vC+Bw+q7zSbXDoegfr1wtXHwK+bDUqeyuIPF/+qTKUOkzhqHsb1+j8YvIDEOXrA2bTQFKL8SJRa4i4kg/4QuYXIMvcvdsSbDhdomgd+ylz5fK0Y2qpzQ5rp5+N0BnwQx2MJ+d0ZEu3169eNUbQVvRkAyWRMKKuhvGz40nEnu8G5Nd/9W6DMmyO9tLd0gxApGPSo04GDxmjoCOBosbIO0shrxW2joUX/3MTL14QBI77BDT7QkxBXQcxIcoasCKjiCBnc8Ou6QA7vhu/9XUX8Ayj9Ow0e1EYBAfpajes3bljbLFwXjCf5BCjzcQqUdpZUyQqxxHPHGxxOTLl33LfiCSgEdGNoYQuMNd3F3bQSNyjh5eB76xpggmCeUTTfgQMl+FSqcgJj+h63KbgEN1nqwfsixoRCRzh+TzfmoUvXWbD+7w8IQwIxJ9wxjoYMyWCap4NLKHg8watABoGdR4UhUscS4TQYE4B1epJIMKWRygwFawTK9X5iGM5l2tWvuytIgc1xmbNusZSDqz/WIDOELUUqeF1AcQd78IKYTnIQwdaJhx5KP4fcvYp5HgRjAniQZCm1j3Ljxo0uGXTSzQVKw0sU/AAYI7uI8gcNbhUVjwmA/5bzgfq8m2MiWkucwL97SI9hmGPwxI2/qvTKYF5YwmkV6bk6wBd6BJc2ncsmHkJ2leUNu3Z44PwWGN43nqfx3A2ZcXztJBADvzEkQNAi1h6hc1ZyyVj2L1fB+FpBrA1E+yoYPzcGvtvFPGhN0iqHh2M97t55CE54PmArBp1X+5aeFEKAq0NOMOMDLNh1onPC6ZHfEw/RQnuj/D6NYY7NxelDX7p3WOz5oDkbAnEOBCLy5M6Noeec5Y6KuOh8hE6sgqWJGP4cGpROeHwfbytel4j5/v/gTtqdaKZbpUIWKN2XknIegJM2QjFMA1PK4tVnZYv8IbnwQeEWrqHYEMP5WCaP7neRqsN5G437GIEM4FHnu/dWCEWIPVJDZnTJyu/+Qv/zVDBOMgbPL1H1aMDH7vGuBkQX0wFRmG4t1r8UKeX1dGWv3IBiGXKNc/SxL/+BCabAOgQRin0WnPIjUHyNdIPme72yeDglhUMHbsl47A8L4zl51OcL9C59H9F8KBDX32OErDq3CpaudYjyqTzm5vWw6ryKeIGEDZDgCDfrXsAKIQY8g4d5SYCUGGXZWjknTjzobAcajxAwBb00Wb3hVzirvJXxqP5mBqV6WWvm7xgx3qqx/tDAGYTbVXg0EBhRwMNSwwOgEMXwb4jk8UDHxwXKc2MQNWj50AXVdMdZAF0xUS8QMy5HKzV9Zp7VU0W2zEWrxkYYQubqHkMfaZTORe7bGPe5O+croUmghdPYO9omS48tgbhqOx0ebHutBDf0DazwMkqA3n0Q6ZhpJQwHvGoChvCwHTytDZzaTo8IUgAYuiXaoKU6sFz23ceKKLaSBPKIGCORbjyi7MJZdD0JQS0je3vlW0tLMDBuixQpMooixgmsiBtvYmleV7V7DJYl8cPC+HZzqUixOLph1cSPjx8GSjvl2VVtlIH0HHwcVvVnuL6Aap3GG/01NxJ9+1XxRSLcuFFo/QSuEApC7ijPUy962Zhzm4Hr/GhDBPBzWCPw+RPx/LKZu4knIGrgGg4TPg+mAXPtvaIPI4IawhAXnK/BugB6r/2DZbLHXD8EeUif/ocJ4z6Yu3MA3AQb6FqvoTfe2AV1ysRTDxrVhzjqgwd2ujHxS+qBT/M9JfizYtir5u3/Lxji4jS8iHgZfPCCkOxl4avET8edg8aG58qLyuVHHreQoFe1eRqMJ9iIRbdyaO3wHHW6cRPWJaQJmXngBkd6DMJ/ecVIWv4xiyXZvQIehgDKGB8GOIbTpKMHwErwaQW+eML/9dcGCGSpIKS738XqCIYdXj1IGTby8DBAfoEykPH5JfDXibtrIQRfOu4lYSEgRpaGhcCtW2KMiEH4mVbf0CH4JpChfNTKd/DmphHL5WVDQi/vHkPpN+89fr3A8eur5x04id6KCiieCNs66Z1Ubn6PoWs0iMf2GR6lIngYRJYB8IVCsXsawh4Chp0/PkHLMBxQ/94Bgkp0zo9lGPzxCyVWwJvIC6fVJ3Yw4MgT+7iCsAsUIlnm1tLf5XEXG2T8bDEvSWw2GPcpfQK6OSpSb1CXKyuR/zA1DXyu94l/GPBACTCCZYJcutKdN+daEf8qiXDMZQY4VgaOTh3PQ3SLX1D5IcAobH58fFS7D5qrvg36NubzEqRbUSs+Wcv6Nw4m8AeBk55d1eHhueFzq54fw5irOiiiWjwKWMArfYjwjhuIeKNheBI8TH9OIpLhs6vmpozhpPvGz5TjB50bQrFrjIaxH0oftBgIyhPhpMZXQTegwSMndXgVEsfHjwLlPRzlKj1bOJ2lZDgBd6dNqIgrpNHEr3pmiNxHGdfwufF7hjC8Z/nCGKU86HYJE49c9Qg4vXMP2/mljp8gTco7h22Oj8fPjGE4KUsTVFw8wzGDiWd6ZIzHVI5liXhpHB6bn3G+/5TunvSe4THL2/pjGVn4ZfevVe/h5hujORncKIP5Ctwhu1wsHVmt/8aIGh/DdRGNysHkjWA44OHvpU6uIJLy7/IzvHeVrWKu14t7a2BcoIg/s36XjjIh3Zjg0bphHwXQsouncbcS7lo6mJMy9jIXI+R24Ag68fqwrTGUfqEnOLO+vwWGbv3wXsCXzEHw/wIsHU99+C2XsQAAAABJRU5ErkJggg==</t>
  </si>
  <si>
    <t>Bradesco</t>
  </si>
  <si>
    <t>data:image/png;base64,iVBORw0KGgoAAAANSUhEUgAAATYAAABkCAYAAAAMjRzhAAAAAXNSR0IArs4c6QAAAARnQU1BAACxjwv8YQUAAAAJcEhZcwAALiIAAC4iAari3ZIAAAGHaVRYdFhNTDpjb20uYWRvYmUueG1wAAAAAA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RpZmY9Imh0dHA6Ly9ucy5hZG9iZS5jb20vdGlmZi8xLjAvIj48dGlmZjpPcmllbnRhdGlvbj4xPC90aWZmOk9yaWVudGF0aW9uPjwvcmRmOkRlc2NyaXB0aW9uPjwvcmRmOlJERj48L3g6eG1wbWV0YT4NCjw/eHBhY2tldCBlbmQ9J3cnPz4slJgLAAArmklEQVR4Xu2deZwdVZn3f885VfdW3dt7EhKWkIR0OkkHkt5CggoBZV7ABUUGRlHcx8F9Zhx1cAFxwXFEX0cdd8cNBxR9VcZhUEDEBQJJdychZOnuJBAIS/Ze7q17b9U5z/tH1W1u1729JZ2kyZzv53Oz1HnqnKpTdZ46y/M8BzAYDAaDwWAwGAwGg8FgMBgMBoPBYDAYDAaDwWAwGAwGg8FgMBgMBoPBYDAYDAaDwWAwGAwGg8FgMBgMBoPBYDAYDAaDwWAwGAwGg8FgMBgMxwGKH3ihwoD4A+YlqjFT7EW/ugx9BQI4LmcwGE5+XpCKbfOs5ip7yG2WRC05rZay0GdZLOvAOq2JLGIUQJQJWB8kQm+arMc88ruaM1YPodOP52cwGE4uXjCKjdFu9yZxoZZ8OTEuzEE3p0kKAqDA0GGvDcwMIgIBkAAECBoMj3XOgegm8O8k8S/Pym7YGC/DYDCcHEx7xdaDS5N26sDrfVbvDMDnJUkgzxp5MNQkRpoWCA4JJEDwWHkJFncR4+uN+a7fx2UNBsMLm2mt2Ha6HZcHpD8uQCsDMLKsoMa56KKqK5WJqz8bhCqS8FnrJMRtKhCfW+SveywmZjAYXqCMpSNOGFuqV85I+vrmgPidADAY9c0qXWzxuAWCDYJNBFFBkqMha4E1AjAUAAlCHSQU9H4BunGh1/X1+HkGg+GFR7kGOMFsc1tWSsjv2qDlBxFAgSteJANIgJAiAWJCAXooAHYniPsI9BQzDgfEeWKSNiitiecEjAUa3GgTnZJAOKTNQiMBgWoIAPRD3xXvbzr4yEC8PIPB8MKhks44YexMtl2iBf1YE8/qZ1Xx4hiACwGXBHKsDyeI7lVK321btM7OJHvPxFovfk4pvU7HXAjdrIgv1hqXCKJzBIAMa9SRBcX8R2Z646Lc+ifj5xoMhhcGlXTHCaEv0fYKknR7gXTVEOuyC+NobqyGJArQu4nxA23J/1w6uH57THTC7MZqN+fmL5aEt+YZr5YgYYerqF0u0xWn5zp3x88xGAzTn7j+OCFsd9rOF8S/KRBqsqMotRqS0MyeBfqqhvrKYm/jnpjYUfF4cuXLfKE+QaA1CSJkoR5hxhVLve6n47IGg2F6E9chx51dyRXz81L+EcDcwQrDTwJQDwvMeq2w6R8WDHatjYlMGT1oTFpO7QdypD+1QDjJJzn/taZs1/vicgaDYXoj4geOJz8DZI7kNxKgikpNgFAPCwHwQ+TEpcdSqQFAE/ryZ+U6/9XRdPkQq19q1vfGZQwGw/QnrkuOK9vd1vcmSXz1AAdltmYymk/TzP+yyOu6PpZsMBgMo3LCFNujzrK5kpLrNfiUHPSINAEgTcIXoE8uynbdXDy+Hu12PZDKpzjFmhOkVZLYSiooCQASUhXILyRI5CFEwU8EntN/erYJd+dHFGAwGE5qTphi2+q0fckR4h/2s192EU5oYvsXCfEFQXpxAMwvaD3PFqKBmGpBXM3MjgaSACx+fkjNAAIJyoM4L5iGmGjAZ3VYgnZbJHZLTbs86F5L0ONLs13PmgggBsPJR1ynHBeecFtPGwIe1UBDPtZbK0KMnEPCcUiAAejIN1QzIod3Dp3eK7hRUdTrEyAICv+WCB3jAzByrGET7WHwLgK6k1o8nNfBuqWFTb1G0RkML3yOu2Jj3Ci2uXd+0ibxicMcxJOHKV7YsdAyEhS6YFHohqXA8FkPENFGB+J3edZ3L/G6uyjUoQaD4QXGcVNsvekVyyxlvcoT+lUB87kBYOkKaive+xqP0hwmek4litE/bBByrHwBejgBeXtKFO44NbNpb1zeYDBMX45GF4zLM1ieHnLkK7WgazTzSxMkqnxmZKHLfEAZQAoCSSq1QAnjrBXTERtuhoPLEB0NU0MH99DJXUfD1cncJEdKzo2UnGJ+3Ab9yHLld+YefOSpuLzBYJh+TKbNT5jNaK5KuM6bFPB3ElhOBOQ5VGQ+GH4Fx/YkBIjRbQusBdOAYAz4knO+5hxrnSeQQji3JkmIpC3IkQyXGbUMqgfphgLjVACzbVCdItQnQVQMNFngsFw1SWXnQCBNAgGwR2r6t2wu+42zsWUoLmcwGKYPE23fE6Y32XYJC3whQeIciibrwzkszmlgh2KuY8LppUEiJQgJUIGIzmvOdnWNyHCSPFF7Tn0hZ80A8Sl5QYuTTEt85rMVoZnAcx2SksHIMaMADT2BSuBIwVVBIiC9Tmv5T4tz6/4YlzMYDNOD8dr0pOlz2+8+VSQu2alzBQJvS4AeDogfsWB1FrLZXukm7hAkLh1kNXxONUko5j83e93nj8hsCtlW1T5TKG4MBJ8nFL1YC15tgU4XIGRZoVBhvq8SNSRBTBmAP7LI6/r3ePpU0FPVMmvR0Ib9ZoX22LCrdkXdgX6r0IHObDzNcHIw5YqtJ9XRmmJeNQi93vFqNi/AA7li2nq02ymXNwK8NFuy4FhPFvKab2zOdX1q+OAx5gm39bQs+EUS4nIF/j8JErMLzMiMEdQSUe8tCYFqElDMn230uj4elzlSetPtFyaYPuAz53/sdV5zk1mVnVL2OO1nBoS3e9BXsqDXL810PRqXMZwcjNZ+jwkPp5rnJHWiWxLNKdqviWiYZxMuW5Ttvjt+zvFgp9M6LyC8FqA3CUJLgYEsnu9RxikuMNSThK/1xxfluj8bl5kMO9yOlSC+Ps/61bOELfZp/7fNXvelcTnDkbG5prmh2nffnwdf55KYfZADSIVlZxc2bInLGk4OjqsTvKU5qYmT4fR9iAShAB7MK/SNED6OnJXrfqLJ6/6/1TXBSyTE2yzg0QayYIEqjgWLc4f9rMCCPt3jtr4qLjMRGGusXqf1Yxr6PgBX5MDiIAcAUSEuazgyepNtlyR9509MuDEHnr2fAzDYDEFPco6rYmMQx+eNor0Kng7y6pnS4yeCU5/blFmQXf99O6EuUKw/5YC8apKjKrdCaGJCPnDLwfr22rjMWPSgMbndHfhBUsjPZKGrD3IAXWG12HDk7HLaXy8k/VoBzfs4QAHlsf4MJyfHVbEpO52RTNlS+zNBBEl8aAUWD8/FnWgW9G88vMjrvlFqeoVk9NSRNapyG4JCikTTczn9+nj6WGi39nKH5Bv2s1/R/MVwdHRVtczKQt3ig5ODKA+JZTi5Oa6KrX7w0JAkOiRL3jICwEx54I5pN1G+KN91v9biMsHcVYvKPTdEtnkAXhs/Pha+DpbpEgNkw9QyQ9G8gDDHqxCR2XDyc1wVWxP68hJ4xqrwqn3yOC9kTJTF+fU7lcbVTLw7NUp15ZnhMy/bhvaZ8bSxGE1RGo6eAEyEEpsiw/8qKrfUY4jPvF2W6DAGgwmpC7HmuF/LRGnKd+0g5g9KIq6kfRUYirjeT+hZ8bTRYCKj144hDFO//5s57sokCfFw6SS5YkAxzzgdXiomOq1o8jb8XDP/JT3ClzUkvBdSAmOEKzEYDMeN8lZ6jCHmh7OsM8XhaACGBp/q2/m5cdlpB+M3doUqs0BIgp7hQuGEr+waDIYToNgW5bv7EqC/uFHPR4GRJOlalmyKy043HBI741FJouMQwDrjHD99sIUec+Nsw8lNvI0eF7alWt5hQ37nUDRyqycLeVZfaPY2fDguO514LNX6tiTE90oDZFLk68rAKxdnu/57xAljsMlpuTEt5CeLdVCkliQU8PMl2a6rDteeU/9MwVqoIRbYwAyARYF1BlI8WRVYu+bnH9k14uRx6Gk4tyY3pE5zLHIFtFDQga/lobMrbAzNAD2eXDUvK1W9gBYIxJAqZHedjS2lxsPU63ScUSB9mmaen5A0mxm1gpEEACZkNfMBrXlHHcmeqd6Ausc994w85+cRaJ5FolYAlNc6r6B31Qq7ZgDqdg0kSwMuhCMFzlqKVk7G82BX7Yo6L59YykI3W+DZxEhpgg/Gfq11T0qKzfOzXUfVY3/CbT1tgOhsm8UikJ4pWNuaREEQBgpK7xWgXRbZTzZ5RxY+iwHRW9WyxFdyWULwmdBcw2DBJDxiHMqRfiIl0btwcENf3N50NBiQfekVSwraaraEOlNoqmGw0CSHfKhnLIjH6qqDbac+tykTP/dYckIU2+6a1Q0DQW4DMc3NQqOKBDRzl+fJ1R3o9OPy04XNbsuPHZJvLCo2BtBAFgqs71nidV86mYi7oym2JAkQeL0EPQLGJYp4nsXCEhQ+LM1AQAzJtI+ATTb4jsCzb2vCIwMjMqrALrf925Lo6n5WrgATQKoKoj9H6m2LsxvuAoAd9e212uN3BIQrAW4MgFoBpmqysh4F71qc2XAbAGx321aB+csamB8QTrFBQhJGxMhDtDjkgyGYnhNApxR8m8oM3tGEviPaYGdbVftMy9dX+oJeQ8wrAoFTbSZQVD/MofkNMzI50m58VDJZxfZketXygP235xgvD8ALHSIqvUcGw2dAMJ6yCfcQ8K2zvK6HR2QyDjudlRdoUu/QjJcGhNPtESUAAEMxUCBmS+NZJmy1tfhVvsb7/tn7xh8l7K5Z3VDwC28KgKsZOIeAKoswovkzGAEzABxiYKvF+HWg1a+aC5t6o1d9BBvSy09xlfVmDb4ShGUEKstTgRFA+8TocyB+rTR/b1G++7h4GJ0QxQYA21NtH01CfHY/+xAgOCDFTBcty3X9KS47HeipamlWih7Kg2uCKKZbCgIS6OeAzl/qT86hejTFxgBsENIkQjOScA5yxJslIlc0lwQsCDDrbk24flG267clYmVsd1vvSpK47FBkBUEAZpCFQR18qzm34bo+t7VDkvgGgTry0MhxGNYJAGaShcOsPnWO130jAGxJtfzzDEp87jldGBHUEyWtoPhyiZLgnQIEwfijBj600Ot8JBKZELtSHW/Ls77eBjUqMHLQCKJGGa8fAUL5po4TV2x70J7KunwDgHdLomqPNQol8fyKUFSeXYzbx+wJ8Je1N/um8XZH24P2VMbhz4Pwd5LIzrKGH4XSitdhWA5BAnBJIAWJLOvXLPI6f12SZRk73ZZXa8ibBdBcoHC/j+I9VCrDAiFJArWwMAS1NpXFy06PRUHZ6bRdHRA+a4Ma89FzGC3PKCQZUiQRsD4gGF86lKMvHOsOzHGfYyviWolvZljtSkMiACNJQhLhzXG56cB6tNtK0b9ZRDV+9ACTICSItGR652SV2lhQiR9q6QtTio6MgvtZ4SD7UIRWAHc+7rS9ISY6EkK+2DjDrykjAw1BdNb2qrbzNXCnAjr2sY8BVsOBORUYeTAI7BSzyjNmDUbhnuLXSLEvpo7czw6zwiEOoAgXKPBvd6Q7Li4RG5VnZi9P97ptP2bw9zS48RAC9CMsO670EZVXSalNlIP17bU5V/+/JImPZKGrD3AAL3oWKLm/4j1qAHloRHJuguT1QerZn2g0JkdkXMIurHEGHb7NFfK9GWj7IAfIR0oNFeqQox5QIXruHjQ09JwSkTJ2OG0f1CR+ERA3H0SAIVYofpQxShk+GFlW6EcApfWX40qtJ9V2gxb0U0Vo3I8AQxg7TwWGB4397MODnmEJ8dmqFN/+zOzl6RKxKeeEKbYzB9YetJk+nqDwKxTGZ+OrdyY6FsdlTzTVDn8lQeLi/qin40IgRSIgiHctynX9LC5/vCi+QP2skGNO+MTf35Fu/6uY2JhkWSPPaCkE+vYAOPUQB2UvZxENDM+vEZe/O/EGH6d4/BAH0ECdr9WPHk8uXxATG8EetKcGB+RPEyTeeIgVMlHTH62Mo2UX1jj7cvqnkuQle0dxd7NBSCIMHV+aRpFi2Ms+qmBd2etUf74keQR+cvBjaSEvf44LqLQghai3U/xVStdAIn6syLZk23tI0C0Z1rI09uFEqCYLGvrOJbnun5Ye355q+1AC4qYhVhjiym5qoz1/ij5u+9hHCuK1A4Py+/djjRWXmyrKXs7jSVOu6z8LzD+dQRYKYa+tOi/VR+NyJ4oHsdrtcVu/bQu67jCH3+takrCBfqHlGxqz678dP2eqsEGogkQdWagnC3VkoZpkxYgjBCAHDQ2y81r/+6bac+pjIqOiwNDEs5hwWiZyEueoUaUgUE0S1SRRRRISYn/xPBt0IA2BWgqvsZYspEnChYAbnVdHFqpQao4dQgAGoeCQPDUn5A2x5BEMOfxFh+Qr9nHYVy7NiwEkQMPlV5NETVRuNckSyYmTdwducElesp9HjpQ4Cq9VQxICGBSMpyzgYBoSKYRbRJZyIIzS8oHt6ZayXuljTuu8guD3Ho6VgaicNCSqIaMpBwQCYBcCtdG7UEUSNgiCqOJQd7vbtgoCXxyKhs/x+kc0jVKst9ro/aolCykI+Kxhk/hyqfx2p/UCMN/cH/X64s/BifJLQSIFGb4PqPwM9rEPB/KqM5zBD8TTpooTqtgAwBbB+/PgbXWQOMwBCPTG7amWl8fljpStbutpT7jt1+10WufF08biiWTbwtmu/0sL8m8PcgAJYBbZsIB1AF1yVm7dMempcaTUbNBBH/qPOVb/weAvBeCvFVjfZ4Ny1RX8VovKIkVyUTJvvz2WPCpUMsQpfm0j5R0weFOW1b1ZVvf2s782oWlj8bwEie0B85Yc+Oea+TPMeJcmfU0A/Vpf8WtA+poA6gYG/ymNcoVMAPo5QAC+ektieUVTn1639XIh6Lq4kkF0fh0kbKY9vtbf1azfpwlvZOAtWuuPKOg7ZRhNZsL02W3nMPD3leY9I4W2UzPeK5XuyAo6V2lrpWC8gZg21cSiwARgSCIEmj7MsU6MJehCl0RdvuwphgoH4D+D9ZsBdZ4k61xierECLlfM785Df8XXei0zD2jWB+PnM66SCvw5iyiZj0Uz4WgOrQYSzNhYYH2LYn4PM79bQ92QY32bS/SUJFrfmFk4HPp+PdrtgPhfBJFViK2PMYCacOZyl2L9aQV9lQ+6Qmv+EIMfrKnQ32QAAxzAJ/7YtuS5Y/bYj5TJPPdjRp/b2qFAv1WEBmaGBepLkDx/QXbds3HZibIZzYmU677Vh/7ILJFYsE/7H1jsdX0lLheHAfFEqv2tOa0/I4nmDEKhBhYUOGtDfCVwxeeaDo6/Ajkeoy0epCDAjHUJxjWVVpC2Oi0vkiS+AOBF/RWiVqQhocCbB7zkuS/C2hG2XNtTrb8k0GsGRhmaCADVkADjF4D+UionNxTnWBigUhOAXVjj+A1eYry6YFwld7o73+UTf9FjnSjOUxUJV5X5PUu8rq+XHu9BY9J3qv5sCdExUGHYUwsLGnzrDCT+eaa3dk8sGXuq2pccUMEmBbJLyxxr8WCL2/otl+Q797M/XB5HdSII69OarqxksvJsetXsw9q/m8EtxaEyol6vDfgJslY1Zdd3F49vTi7/tCvtj8effTIcdj4pPNG2BJ3DveM4jBtFT9Wdi32Rf+7sgS0jlFtvqvVSDfqfoWiEUYoFggNRIMbHa3LB109FuQnGdnfF6SSptmno+brZ5ra8WpD41WAsTwZQG/Ys77XBb57ndT9dkoweNCbh1twMwj/G3zmOFqTyrD+3xOue8lHaCe+xAUCj171eCnm1ZAwQAZKoMcf+93vGmHwdi95U66WO69zDwDcDYEEY62x8S4ydVSsv6HVb7/IZ39WEOQwgBQkw/5qAl53lrb9+vIZ8tNhEEIKerKTUAGBpbsODQgRXKGBrusLj88L7XDbbKXTE08ajhiwo8BcX5br+elFuw4OlE8dxu6YFeCA3kbog3KEWep1fA/DtqgrDQx0uPpwbP86J2pdZQnTE53K4aOtH/IvFXtebKik1APA0T2pyekP6vFMU8+Xx8uywp5kBxDsrKTUAmJN5+DkN/vRIQ5CwJ5wiaRd08NKSw1CCrLjSQbTqyUB2MV5Z1hMrhXCTXjzUvTWu1ABAM10T7x0j6sGkSQDM1y/OdX2hklIDgMXexj2lSg1hnb9OVsgzGe4A9yyzeFtcqSEKetHkdX1QMe6tiT17AuCxhgKu3Iw1VSMSp4DylnGCaMysu09qXCGZ9jKAJMlL2a35LuOqUSdI49wIiJ1uxxcJ4i4FXHAIAZ7fW2F0p+idTusFvW7bbTkV3JcgeYkggAksGXclSV7WmOt6TZPXtTZ+3rGAw58dP15KY2bTXgh81iqzdwoVRYoEZaFWx5LGpIYkCsz3LfG6/ymeNhUQ49Y8ax1XbSp8CefGRw9a6isqNdAECD7zIUcFH4qqqzI8qVEoHO2dlxBiTnyoVUUCGvyL0h5XJaq85P8UWD+RjDUpBQYRRnxkbOC5Sg0vBw0QmnpS//XvT1WvnBFPH49NeEl9HvpCj8s/4mlI5MEPL85dPmLubDy2YOUMxXhJtlKeJKGBWxfl1j8ZTyuFQF/T8Qcc3S8DTQkn0x5LOmoq1e8JozHf9XsE6hICPyKZkCLxxu3ujh9uRvOYGn1T8pyzNrrnrP4krqICq7/SAA1EexbEK7OUXYn2JTtSbb/2BT1QQ9brUiQtj9V+xfhhSomXLsx1vWJBdt0J2YdhPHzLvysP/VSiwiMMG5M4O358NEQ4J8SW0KOu4k2UfTNeVP2Y0zpvc1VL86Z06/JHq1qXbnVbTwtIFHxwRsSeiA4XL2rXo314hex+zHMYWFXcF6OUFAlo4t/Nz2+alNfFeBQ0VsYVKT2veB/c33BuzeGa1Q2VfrtrVjdwbcaxIJ6yaOT9hefT3J/h+Zl0KWhzfP4LkZbOsSbBdN1QEDzYk2r7RF/1qkUxsVFJOtmzAZxRacc1mwiCcSvhpvJKHQPpBMuY6PQo5uAwBCDPGpYQvxuRUIGsVA8WtH46UfbsQ5s8RbplRMIUUN4qTjCL/Y0b/KxzsSL9tdBOSf81HLchLodoHm1nqu1va0XiIcHyasIdiomHRls+j+MJ/pvTKHl5gZkPsP8XpfmDpO1zm7zOtyzId/4hLj+dWN7/6CGL6dFkrCEhemEk6LT48dFwIKBZb0NmaNJ7pd4IiG1O+0t2ua2f3OK2/vfT2UwnCA+TwkNC40Gh+CHFvC5g/5cBOBW3L2MAgokceMM3MidRM68AvbAQWsKPoGjgGz9+tFiCmnSFaxtihTzrG572Cl27/VxnpV+/n1vfX5CdOajWTGwuSTODgfqz0D48reJl9EOKeXOlRSAGQhsyoEmCPuUH/tq+dPv3epNtF8VEyxDQC1wSFL+PaIvJIAkxKYNoABDg+Q4JilsLWiD44MMqCHpHJFSgbWjDPpvQZ1eIjMMAfOhl8eNHS3lJ04CleHDwrGzX+wQFFzlsv6ySL2Ovs/I8N+Xeo0HftkmcEhAPxmXGIyntbx5S/rUC6ryl3uUXLMx1fmnJJP0vTyQMfqbSA9QAmHTderSPOaQtYhNBgDZN1s1pV6rjsmvdtvs06QeYxI0W0cstiEUKPDsAagJwOgBqmXCagJhHgIw35EoQ2adLiFS8gVJkCJsga0qfEQMkgVmVujIMgIhOE6CFAjS/0o9ACwRoAYBU/P447EEnchga7rG1YFPGJXE9EbFTwVQE0VzpwXCfhgZivC2QuK/PbbtnZ6rtkrhsEQ84Ld4jBgALgGYczBOPOWSsRJhn+ZjfChc69ubzvC+WVBEiei4+DYGox24zTSpA60So1C6mDQsyG/9wVoUd138GSCb1xSTEBYc5nEc7khtZmHn4udNy629d5m16eLJd9OlAwPAqDbaZGWAkatA/oWohEAJG2eTvGNAOt/2mgPVvmOjCHFgc4GDYIr4Q+YcG0d95MCoNK0dDC9TaVD6/JsL5NaVZH4olHRWdaLeYuCquSIv4kdvQeL/R7pBAui6m0xdmu35D4OtSoGxdNEqNl05R2Qc5gMeKmHCxD9y1w2n7tz1oL4tfqIka4nmgaOhLdFhnc5P++GtCxTxFqDCHLATltjgVYEa2/E2N7pkw5lTTkTChF3+6MQtrSBMSgxOYRzuZofBjXBECjdbOyqDwjwlvSdfjtH7YJrohAy0Ol+yuVfwlIZCm0Mi0CqFxrzOJV40Z9hjPVAvIKQ3o6cAjZppQb3KyRHVSSCNTds2N2a5vC02vIOCherKKtnIVFZwGcJgVsqxFQoj3DzrqR5vRPGJhjcCVOkVA+FFQ9XAn/E4UoZK5wTKI9DK48cutSIAK8woRPFYZR8jE37Zph4lWaxHq4nMfQLjzFwHZRXjDhL6mk6E3vXJZQLjxMAcj3I04cjVLQ0ISngTjIR98vw9+QLF+CEAPgIktVRIVRmuBBEiwPiIzoNFYhmWKCX75GnN4X06JB8Zkf/VkIUGUmY8nKu4VuyDf+YcnveqXMvitYP5LEgINZCE+0Y5IwanIZSslrCuTTvK9MYmh8rOKvrO6qh8ZN542HoTKHzwGoFkneic4KrBBdvmbGt6TAKY8dt6ELsow/bgfayzFaKyk3UWoQZ47FsPrQKtrXRJuqasOP28xv4OYrtHIn7vEq77gbK/7ped43Rfu9Wov4ICvlqDhyMljYbM6FLAuU4IajAQJAeJTYklHBeEOJRiH442BALggWMAt0Px61nztZH85qLcmtfjIWCGtLsIDucZs1w+avMY1SUEvC5j/IwHaWx8puLhC4OKiBuF93VhRVzyeBFU0aFfhbminkG1PeEGpiAVRMc9QWaK+gMSE7AUZqI/fB4aVNca1h5ws8WdpeIEwJz24lAnLchXsiyQIinnUkDxHSuh9wKvi5gQ2CAD3W4QrF+c6bzs7u+VZwgPDOvciPBAkhJrw/E6BaY8CMnEvU47KymtuHZEwBSjwnkrluSTB4CcX57pvX5LrvnWyvwXZrh+cmVv/wIiMR4Fwh2rMdP1+sdf1dpvFSgH+WAJ0sNICQy6cV56fStOwjZwE76nktB8aCoskpL08ljQuNuipuG8ohkP602w3nTwjllTGXWhMBuB5cZMRRPOmGng8fvxoMYrtBQprvjZF0ok7zlAURcEh6y8jEqaAXlya0MCMeJlRnLV1i7Mbhn1J42ge2+i4lC35/O4EqC9RwZSlAA0IvGqqI0NoiI3lpYV1qRnXMm48rm1lYa5z94Js180QuFoAmfDj8Tw69NcFWDzva6mxJc96qJKCJgAs+KoRCRNAKLE1zyobz1OBkSaRKDDGNa49004vBdAYN9+hqBfuCIz63hwpx/VhGaaGPre1QwB/N1TB59OBgGK9UztiyhXbnhJbs3LGSJokV2NLAYSH4lb8iMIsJYha5rhD74inHQ0W+C9ZViregLOskBCio8e98z0jEo4TSzLd9xHz5mQFGzACoDRXF//fmL98pw3aUNxPpJQh1hCMV25LtVwWTxuLzsL8HRZooxPLkyOlxIxrRiRUgCx6XYrkiBDtiExGPNaDKlCTtq8bj/IaMJxQCACNsTCy021bxaD/ZKAmPiRE5OZikfjRRPw4J8uFuLAggMH4JHuONRjc0ZduO2dEQgmC4Mf9TcdCKPp5HuVB3zjyMSTmf+1zW18bSx5GSjE0lhtdnGe9mg0C9HB8e0WOlKkGbtmRbJuUMu1xzz1jz6nlZhl97sqOHaNENImzFS+q1kSz1SiLikQYXiAi3KSJ6deVvFECMBQgCeJbvU7refH00bgadygi3Jms8OEaYgVJdHGv2zaq0t/utF4gQe+q9BFOk4TF+MOSKfYigVFs048g/ArO7E22Nj5VvXLGptpz6nvcc8/Y7rResC3V+mUPfF8ALBqqEJImDQEPaneBCt8sSZoyCDdpBfTFV+yiqMJ1gcbtfW7bFZtrVpd5ivhS1IRbA0yMTfmFD2jmP9SQVaYN82D4xNUF4Kc9btt3tqdbLt7ptM7bXNPcsK2qfeYTybaFvuKLeIIGwYjmASXjG1ZZkJ1wOFoAJ3yB7/S4bb/Z5rReuyPdunxXauWczTWrG3qqWmbtSq6Y3+e2djzqtl65zW379Da35W5CsK4wwKtK82KAQPpLQtprt6Zaf7U53fqPW5PtF+5Krpi/FYurf4arJADsxmq3N9XWpp3cDwTR/Fxs7YGid4WgRxjdugI/ybJ6Lm5eQwCy0FDMcwuEu7e5rTdvcdtW9zodc3e7q0/vTbY29iZXXPREquOWnamOETHybG39JMP6QLwHXfzI5MFf2e62fX5bunX5M1ie3o3Vbk+ybeF2t/19mvALVeEjLKIeHxF9Z0TCFBF/hi8I7sca69TUwJ8ZtCrDCvVkYYiDT63wNt641W15ECTOK3VtqSMLPuv3L/W6vzoioxPIaGGLED50ToIO+UCGwdoCOQSa5ZAQmSgcd1ypFfdJEMx/vdDr/kVJ8jCjhS2qJwsZVp9d7m34+IiECmx1Wq5JCPmT+HVz5McZ7jWgd0mmHYIwCJAVsK4NwPMUMC+uaFIkQIwu5eXPi+2AhR3O8pcEQv4+x2zHJ545WiSpIYF8OA+2T0FnAQgblNZEDQUuN7kdK2zRerTbVa7+bYLERQeiSMJFOGqMVSQhGMiDMwo8EP4TliQ4AlRlETkWCAqMJAQ8ra5dkuu+tZjPgzjDrXVP6UwQloZ5EnKsmcEHFPgwMR0WBF8z1wmi+QkIt2ivWUqoZPQ+SXJFc2x3rF6n9R8TQn5xP8drLbyPBAhpksix8hk4BIBFaI7RUEcS/RwMVIGWlkbs2J5qud6BdfO+CgE4LRCqSKLAaigAngZYCdDsJImGXKj4yupyBlnIsf6fn3rdr7xpjBXjI8X02KYhDFAANFiguTbEPAZmF8AibjsWyQ5HkWXoG0ZTalNGLvVfea0fiwdWpGjIlmUFYlogQRcL0BUCeJVF4gIJKlNq47Ewt+nPDHFDLVmIh82h6It/KPTlBINnWRDzLIi5AdDgV1Bq49GBTj+pxLsD5mcr3R8DGGCFgTDOf5qAUy3QfEl0hgZmFsDOECsc5AAD0QdICB5hc1eDGgloWeBw74LDHKAAJg3MtCEaEyQ6bIjzLBJLFVBRqTGAWrJgQX4/rtQAoD8nvppn9d8zqXy9hqIedvguwWbgFAZmB+CGAhjPsA+HZI0HfteI87JzvuSxundmrAdN0UJCf5hflQVqsiCWaqChWAfx97U6jCSzF8r6+2Oh1GAU2/SEY248YTCAys20BhJpCN/X+qNN2Q2fjqdPNUvx4KDL9D4BeFUxM4Ri489BYxAK/Rz+hlihUrTYibAk2/kvWVZfqKXKIbhDBRcOF4v15Yd2W6MSj2hbyoJC5zab+bUCeLqBov5dSXrx/0EUdTgHjXxUpoo2NaHhoRCDgRFd2wTO9AmUL24XiEhB+9GmJxkoDCF0TYsHDCgykyzkEKxL24mK0Vg60OkLod7mQ/9xFtkQsXsooqJ7KLrAFT1IMqzAoPduS7QvKco24e68C7w5ANbOKhr4jMwOQXQPXlQfcTiKemwx9ieYr2ourOuJy0wV/4sUW5m95wlFEFI1JJGoMKczHiLq+jeQBQlsBOGKRbmuz8Xl4ugxGvRkWJDvul8wv85memYW2dGwqJznG3g5IhpO1ZKEBFXvRmE0UTR73R9mpd7hsHh6JtlwUMnVe2xE1LOtIQkX0hWsK180gAW57od8Epcw871FV6f4aulYUHRvLiRQsk8EIgVhg/Y2kBWph4njQOAU2GDGnxJK/c2ZA2vLAk0Wacxs2puzclcEzD+sifYzmGitFcCoJquOhf7RDrTXFo/P87qfBvmvZvDP6kpcwMaDIq+UWeG1b9LAq87KdZf5gE8lE7muaYlkqq4nC7WR2wqAFMJGXx1ufiKjn4X6cCOSiT3V44QUfPeQDu6RwIFUdA/Fl6Uq6p0UN0ZJQ6Bq+F4s2CAtGA9JxnVDXvDixgnuQJ9g4TRE5RTrp54sRD2TSbnbnOV13wmt12jw1xPAMzVRXmNdf/FZ1ZEFCwKS+MmMVndJTZ+/DH0VXY6KLMxv+F7AdL4mvsUGHi8q9hqSIzaRSUVuXfHyEmE0iucKzPcw40Mz6oIxjUKbM+s3P+lVX6bBbyHmP1mAKuY1+v2FdVkVbrrzrMfqP6oElW2enGDclFX6NxYwUBM909qo3tIl+aaifIfvgegJzfyJpIdLJxKP7uyBLQcXep1v0YyrmPmBBEg3REqu9B6K5dRGdVpFEh4HOwh40KvxRvhxNmY27V3gdf6Nr/WbhKa1SYjh5176HNKRG1pDtLFOAtTDpD+KnHX+8QjaOq0a+0RhgHrc9vf6UOcqcN4GOQH458u9jb/a6rR+TBEvVuACABBIOkQZUvjyaOG2TySPOa3zkoLOVhpLc9CNgmhuAqhRQJUGHIQ7FWUBHA6gn0xCbmDgoUGPuia76ezjqbZX+Izz88w1inSSAC1ZDKUFHcqzunuxt/GI7Im2uytOt1m8JEfo0OAlFqhBAdVhsFhmAfIINJDn4JBNtCMB0ZdnbLUt3to0tGFCYW9K2VbVPjOl+Pwh8HkaaLYYMzWhOlp1VZKQJcZQnvmwAB53SOzQWm/XgrYsrRDCejx+hqtku7urjaFfnIVus0BzAdQx4ADEAuwR0J8H700StiRYbsxDrxuvrMcSLYtsQasC4nMUY5EdRueoZsBhQBCoIMAHfHBfNYsHAhnc05jZtDeez0RgQPQ5ratYiDUFrTosolMDoDZ0OUZBAAMB8T6bxWab8LBn5R6sFHq8lM1oTiSTzosDwWt84raEplMUcQ2BiIgyzNjHhK0pxp+QUPcv6N94OJ7HseIFqdhOdhhXyU7sTAYN0gIAfVD48Y1ZpjP3Y41Vj0PJXIMjA+pn/8Ac/0I8kJ+MHdtk2IzmxOEZKmlxLXkHh7SHgv/yScaWmyx3oj11SvR8vINu4SI8kIvLTBYG6A9Yk7RnPGtbXEv9B3PqklH2Jjha7scaC7P2Oa6qEs7BnFqBxTnCHeUrFZNgM5oTcoZK9nMtTVWdGAwGg8FgMBgMBoPBYDAYDAaDwWAwGAwGg8FgMBgMBoPBYDAYDAaDwWAwGAwGg8FgMBgMBoPBYDAYDAaDwWAwGAwGg8FgMBgMBoPBYDAYDIZpzf8HQXcVEC32V5kAAAAASUVORK5CYII=</t>
  </si>
  <si>
    <t>Daycoval</t>
  </si>
  <si>
    <t>data:image/png;base64,iVBORw0KGgoAAAANSUhEUgAAAdQAAABICAYAAABP9ATgAAAAAXNSR0IArs4c6QAAAARnQU1BAACxjwv8YQUAAAAJcEhZcwAALiIAAC4iAari3ZIAAAAZdEVYdFNvZnR3YXJlAEFkb2JlIEltYWdlUmVhZHlxyWU8AAABh2lUWHRYTUw6Y29tLmFkb2JlLnhtcAAAAAAAPD94cGFja2V0IGJlZ2luPSfvu78nIGlkPSdXNU0wTXBDZWhpSHpyZVN6TlRjemtjOWQnPz4NCjx4OnhtcG1ldGEgeG1sbnM6eD0iYWRvYmU6bnM6bWV0YS8iPjxyZGY6UkRGIHhtbG5zOnJkZj0iaHR0cDovL3d3dy53My5vcmcvMTk5OS8wMi8yMi1yZGYtc3ludGF4LW5zIyI+PHJkZjpEZXNjcmlwdGlvbiByZGY6YWJvdXQ9InV1aWQ6ZmFmNWJkZDUtYmEzZC0xMWRhLWFkMzEtZDMzZDc1MTgyZjFiIiB4bWxuczp0aWZmPSJodHRwOi8vbnMuYWRvYmUuY29tL3RpZmYvMS4wLyI+PHRpZmY6T3JpZW50YXRpb24+MTwvdGlmZjpPcmllbnRhdGlvbj48L3JkZjpEZXNjcmlwdGlvbj48L3JkZjpSREY+PC94OnhtcG1ldGE+DQo8P3hwYWNrZXQgZW5kPSd3Jz8+LJSYCwAASrpJREFUeF7tnXd4HNXV/7/n3im7q2Jh4ybJkgHTDCQvmNAS4tjGsi0XbEu2EyAQfkmAhCTwpleMkzeBBFJIeJOXNAjkJXG3bFku9AQIL4RAaAmh2JIsCRt3Sbs75d7z+2N25d1RW8myKdnP8+gBz5yZ2Z2dueeec0+hrVu3/gEptNYAACFEelMX6X1EJJiZQrsZQCAAQEopHcd5lYhej0aj27TWL1x00UU7sw/Jk+foUTa+5lyw9Xmwy6nntR9IAAg/5xrgrGOJhGTW/1LsNwthOSzEa6zUHkNj244dqxKZsnny5HlnU3rc/JOkNi5lyJLRxw774tNP/9LL3E9PPvkkI1CUUEohHo9DKQWi7LGEmWGaJizL6lKuaaSUMAwDSil4ngfXdbu2+74Px3EO2Lb9VwB3/fnPf7532bJl2SfIk+cIU15Re6m0in/POnj+GRqs/T50qwBR9sQy+HfwXjACvcysQal/gTl1Xu0BaCUSzwL8f2D8X9TqeOzVVzc7WSfMkyfP255x42pO00JUMWEutD7fMAsivpd4uLVp5ZSwLNXV1S0DwFprRCKR9yql5jNzN6VqWRaY+V9E9C0AB8QhM1Z5njfe9/1K27ZPIqL3SSkriQjxeBwAYBgGbNtOK9gHE4nEdXPnzn2h6+R58hxhxlQuOVWwdxkz+0SsiYyzAZ7D3N1gJTIA1j/XjDohIIOtTKxoIgldwmAXkCcQiVLW/gkgUS6EYQYKVoGZQSRAJAEQmH0A+CuRqNfQf2zdvurlrAvmyZPnbcXY4xdVkMJUQTybmatImMVgDWYfRAZY85aWppUzw8eFXVpoaGj4qmVZN3V2dmZtLyoqgud5a2bMmFGTtSPE448/Pryjo+MiIcRVQohp8Xgcvu8DKSu4pKQErus2JpPJOXmlmuetpKyydhmIbggs1UMIYYGhr2rZvvJXWTt6YMKEmcWdbtGJkvhcEGZrrT8ohFnI7IM57YghkJAQZEBpby8R3amdxM1tbfW7Q6fLkyfPW0RZ2aXlkP75IL2IoacJMoYDQPa7DAhh9qpQuy2WdnR0/Mh13X9GIpGs7cFMHlbWxh644IIL9lZVVa2YNm1aleM4N5imCSlll7W7b98+mKZZaVnW79auXVsSPj5PnqMFqcQvmfXesGs3RTS8oSdefXXzwbamlU/vaFz18x3bV83WpM9hrX7EoH1CpF8XBmsfSiVBwHBBxheEXfDQ2PGLZ4ROlydPnrcG0obzURL0eymjiwg0XGsXWrtZyrQ/uo0kixcvdg3DeNo0zfCuAUFEetasWd/xff/WwsLCzO04cOAAotHoWZZlfTjroDx5jiI7dpzdBsaroJRXdwh4o3HdP1qaVn1BKExmVluEjGQ5gphVSrHy6YJ5Q1ll7deyTpAnT563Am5rXPV9pZMXKD/+h0NLNgOjm0IFgHg8/ko4KGmwGIZxYyKR+FfY4vU8D0Q0f+nSpT1+hjx5jjzLNFGwwDnU7Nix6nkDBfO1Vj8Vwuj2qgVxS2ySML5XVrnw21k78+TJ81ag25rWPd3StOoSYv1pEMUHqlR7VGbUiw9sMMyYMaNTa32vbdtZ2z3Pg1Jq4mmnnRbL2pEnz9GDwEM0c+yBxsbfJVsbV1yntf5WoFTDkfMKWnkgYX1r7HG1n8jamSdPnreM5sZVv9DwLgGEOxDjcsgUZ18IIR5OJpMqM79VKQXDMEYUFhaemCWcJ8+7jNamVf+l2F8WrKmGX84gfUdo/HBsxeKzQjvz5MnzFtG2fV0dWN1ClPvy51FRqK7rvuK6bruUh8xnpRSEEDEiGpElnCfPu5C2RvEdrf01hwKVDsGsQGQUE9TNPWjcPHnyvFUY/Dtm1Z6rqsxN6jBhZhk2m4UQ0FonAOzN2pEnz7uSlUpofJLZfylw/2ajtQsiMX3cuJrp4X158uR5a7AhdzHUwbD+6o2jolC11j6n8m7SpCor7fQ875+Z298l5Hb382SxYsWKYXV1daO3bNkyavPmzcPD+9/p7Nixai8zf44ZuvsLGhSDYOLrQzvy/FsxyRx9/IJRo0cvGDVmTO1IYNHAomLyDCnJpGekypDmRPitBgDU1dUtKy4uvuHgwYNd2woLC+H7fv2MGTPmZgnnwIYNG04E8IwQoiBd5GHYsGHo7Oz85ezZs68Oyw+EO+64IzZhwoSzHcc5xzCM85i5kFOJQ0IIYuakUurZaDT6d8/znqyqqmoNn2MouPvuuwtKS0tnGYYxO5FI3Dxr1qw+q+GsW7euNBaL/YdS6jStdYFSioUQ0rbtFw8ePPhQTU3NrvAxR4KHHnqoPJlMnu84zqmWZZ1iGMYIrbUSQkAIQY7jvMLMr8RisZeSyeRz1dXVb4bPMViWL18+fMSIER90HGeqZVkTHMc5UWt9DBFpAI5t2/9SSm0josds2/7LlClThnryRWUVNY9ByPPTJQlxqLDDdS3bV/40S3qIKKuouZOE+TGtw5UIBYgoDsHnt2xb/VxoZ86MnLio0O7kDyjN5xPRGSCKBcl0BCIIht5JwMtC46++7zza1lYflDTLlUmTzDEHjivh9gNEJHur3ZiFsoWMwUw2NtbtD+/ri7Fj58R8SxdLR6vwvjTMijgWoV3bIvuAlUHd0wFQWblojA99JjTeA+KTQbKMmVX6fgF6B4P+AS3+BUXPtrYubw6fY9BMXGSVdogLATWVSJzGrEYD+gSAUiVhxctEtEtr9SxAD7Y2nf4EMLDSrSNHLipErLOwr3uYSfp+RvXwA42Nv0uG9/dGeXntcNd0TJHw+vx8OmqKqBbOQJ+FMRW1Ew1gKgtxAZhHpH8jgIkIPjO/IEj+nTQ91dy8/LXw8YOhtHT+CJjieYIYyxzcvr4KOxwVhdrQ0HB9JBL5cXt7O5Cq8WuaJnue94E5c+Y8HpbPhXvuuad49OjRlzLzNcx8RjQaJSICESFdOlFrDSKCEAK+78PzvF2GYdzb0dHxowULFgzJS7Fp06bThBALtdYfiUQipzIzksnkWdXV1c+EZW+//fbCk08+eQaAGt/3p0gpx5im2fWZiQi+70Mp1WIYxm92795985IlS4a8wPrSpUutyZMnL1BK1XieNyUWix1bUFAAZu66d67rpte5wczwfR++7zeZpvk4Ea2Ix+Nb5s2bN7CBOMXq1avLi4qKPq61vkJKeZxhGDAMA1LKdAGRrkIgrutCaw3XdQ+aprlFa/3L6dOn3x865WB5SxTqmMolp0pWT4C4OJw0LoQNxd632xpXL83akQOlx80/iZR5FYjngugkQdmu5eBaHLz2REEtY8JLYLHKlnt/9Prr9x/IOqAXxlbMn0RkbAQrkdkUo3eYiIwIMz/a2rR6dnhvX5RV1l4P0DJmL5lWMj0gAGkSVE1L09oHwzt7o3z84hma9aUEPZPIHCmEBVC6iE1QRvJQLwQCswbDf1OQ8X+s1Xovaa7fteuPg2r6cfLJ84rak9HLiPQnwXwmkQQoXT8682tS6nMAzJ4C5F+YxM9at6vVwMqcFGRZ5eJbQPwJ1n54BtcbkoRpQPNnW5pW/j68sycmTJhpx93YwyA6Gaz7ntQIaRHTU8MKXpz70ksv9S0LGOWVixYx6EpAXSCEWZCd151+/DgwJJmhtX9QEK1nwbcczsQUb0eF2tDQYAshHpdSnpWu7VtSUoL29vZfz5kz55Nh+VzYtGnTx0zT/IIQ4nRmhhACnuchmUweAJAMSg9bx5imCcdx4LouhBAwTRNFRUVIJpP/ZOaLp0+f/q/wuXNh+fLlw4cPHz6LiD7iuu6UWCwWc10XnudBCNHJzBdUV1d3/ZCLFi2Sn/jEJ64hos8IIU6RUiKZTMLzvC4FkoaIYFkWCgoKkEwmt3Z0dCxZsGDBgGZyfVFfX78wGo1+GcC5kUgEzIwDBw7sF0I8I6VMMjP7vj+WmU+PxWJmZrMEy7Jg23Z6ovKM7/u3VlVV3Ru+Rh/Q/ffffy0zf8U0zfJkMgmtNaLRKJLJZAszb/I8r4mZhRDCsizrQiK6kIjgeR5isRg8z4PW+nednZ3frKmp2RG+wAB5SxQqAJRW1PyvEMYlOjT2CGFCa3Vfa9PqGaGRtVcmTJhpJ/2iz4L5yxDGyPR2rT0G6z0AFIgsInkMQUCzl1IU6ZKIJpjdJ+Bj9o4dq/qNaRhbsfD9hhF9NBi83ENKuhvBICfIAJEBpZynWxpXnB2W6ovy8YuXChm5kbWfKgGnMq7FIJJB7WUiaOXNbmlc0RA6RTdKK2vPF0zfYsIsIYIITq2ScZB4hpkOBOdFCbM+QwizKKjPHAymQcJ/MFFh1o0M/llr45u3AY/knM88trJ2gSRxIyDew1AAa5AwwdprB/Mmhn6RmQQRMYjeB0aVEIbJ7AMkQUE7hkeFcr/W3Lzu0fD5w5SNX/Jbw4hdqVUCOlRmM0z6Xgoy4Cvn2tbGFT8Py/REefl5UZblL0sZHRfcr/BvFUDCgBAWtHKeixgHzumrYUT5+NrJzPRdIvF+AMEkkBmsvHYQxwFIIjGCyKDwbySECWa8yaw/lssz0RsDVag5+4YHi9b647Ztn5VIJMDMGDZsGFzXfRbAl8Oy/XHHHXeY999//88jkcidzHy64zhwHEcnEon/llLOdl33rH379p0G4D+UUtWe590ipdwbiUTSVg52794N27ZPUUr9gpkH8v3Fhg0bztm8efMPSkpK/k9K+XshxGxmjh04cADp74cggrnrKdq8efMFV1111UOmad4O4JREIoHOzk4IIVBQUIDCwkJY1qHIT2aG4zjYu3cvotFolWVZP+7aeRjcfffdBVu2bPlZJBJZzcznCiHQ0dHREo/HrzcM46xZs2ZNraqqqp4xY8bszs7O8yzLukAp9SspZbKgoABaaziOg4MHD6KzsxNKqTNN0/zfrVu3/iaXEpJ1dXWjH3jggTrDMH6mtS7fv39/2nuQ9H3/u/F4/Lzq6upPXnzxxd+ZP3/+snnz5n3jL3/5y4cALJRSvhSLxXDw4EE4joNoNHpFUVHRQxs3bnzHBvAI0veAtQ4POKkZ9xnHViwYk7WjF0pLl4xLeEUrSZi3MHgkWIO136SVfyNBTvPIOQM+n6YJZ4J1jWb1KzB5QcJ6uiRiAkTmeVqoG8Ln7wnHij+vtXOF1l59elt6QMv8C86v21m5N/l+fC6Az2SfqX+E9u/RfnKBUs5NmtVOzrgWIMCsdvt+8msa3mztyifDx4eg0vFLbgDRgxByFpGEUu5+7TvLBOv3tDSumtzatHJ2a9Oq2S2N9EGhxVnM6jsAdqajs5k10iXpAFQKYd5aVjmyYVTFwuPDFwszGZON0vGLvidIrAHwHq0dgHXqe/h3kaD3tzStWdLatO7bbc1rb2xtWrOstXH1HAAfYlbrg6LsfhDABvqAFuaWsnE1/xm+Thjy+Ue+c/CrSnuPEInA0u7l91LKfYCV+1Gl3GqW3PX79sf5549zhaRLlE5coVTyJ8y6OW1dp/+IJFj7j/le52eY+epXXz03q/VZJqXjF3+Tme4jEu9n9lNdnNwVWqvLYOiz4fNpDqv3gukirdW3AGpOT46YNZRyAPBIZv2TESPmFYXPf6ToaVo5ZBZqXV3dcZZl/YWIRicSCRQXF4OZd7iuOzvTgsuF2267zT711FN/GYvFLt+/fz+YGZFIJO77/jWzZs26JyyfpqGh4T1EtImISh0nmAwJIRCJRJBIJGbMmzdva/iYMOvWrZt4zDHHfJ+Z55imifb2dqTPlYmUElLKuJTy7Kqqqn9s2rTpc4ZhfFdKWeg4DmzbRsolHCei16WUTURkeJ53RiQSGeu6LhzH6XJ3ppWu4zg1s2bNWhO+Xq7U19cfY9v2HyKRyIz9+/cjGo2CmR9k5muqqqpeCctnsmnTpvOllD8xTfOcAwcOdH02rTWGDRsGpVSnUursmTNn9rq+WVdXNzoaja6JRqMX7Nu3D1prpFzMO7XWH5k5c+ZD4WMyuf/++0crpX5omual6WWDWCwGKaWTTCavrq6u/l34mBx5yyzU0aOnF0h72DMkcCJnLG0F91ewD566s3H1w1kHhSgtXTKODL2FhDxVaycYsIBtIMzqq6NN6fjaJQT6LVjFDrnYJcC8X3vOe9va6pvCx/RGaeWijxHoDkBZ3d3XFpT2f97WtPrarB2DpKxiQS3IWBl0/JAAxJuK/No3tq/5U1i2B6i0suYXQthXa+2AIAHw0yB9bcv21f8XFs6k7PiFJ0LJ20nIKq2y33siCRImtHLntjat7lUBTcIks63i+F8Lw7xcq2RglZIBQLgMfU1r46o7w8eEKatc9FUicVOqylbq2ga08m5ubVqdSwlLKq1Y9E0h6NuBpZrhACECM3zP16ftbl03KM9dJhUnLJrkK76PmI9h1sE7xbpOu4lL+luzLx1f+11B5tc5VUeXyGCt8fW25pU3h2XTlJ6wZBx5/nIS8vzg/gQIYQPa/+yOplW3Zx2QI28bC7WhoaHctu3VpmmOTiaTOOaYY9LKdN5AlSkAnHTSSf9VUFBw+d69e6GUQmFhIVzX/WVfyhQAUtf6hmEYXcpAKQXTNGGaZm1Yvicsy9qhlLo9mUz+vL29/UA/dY49pVSioaHhq7FY7DbDMApTa5M7fd//30QicbmUctLOnTvfN2PGjNlVVVUzhBCTlFKfFkK0ZVaUUipoBQbgqw0NDdmlpnJk8+bNwy3LWm7b9ow9e/aklekTnuct6E+ZAsCsWbP+4vv+HM/z/lRSUhK4XJgRjUahtd6VTCbn5KBMV9m2fcGePXu6XLxEtMt13YX9KVMAuOiii3YeOHDgCtd164YNGwZmRmdnJxzHsW3b/tWWLVvecTWhd+68r5OI/xYM7IfgoPUbSdBxWTtCVFZeEYGh7iBhnJoObiKSII0b+1KmANC6fdVy1vq2zIR1ZgUSRgnJyKIs4X5obVx5F7P6EaWsg2wIRMhpnS8nFHYES7aUarHnfzNXZVpWUftzIayrtUqk1il1M3x/fn/KFABaXl/zSksB5jL7dwl56DVM9cf1tU7+v76U6YQJM+22iuN/LaRxufaTQKq9HyAA7X0yF2UKAC2NK29m1t9IFwhhVtDKhZDGV0sram4Ky/cAtzat/I7Wam3amgvtJsMMPZCDhHz3NbCOB7+VhGa/Bb7/mf6U6diKhZ8RZH5dKwfMGkJaAOsNfSlTAGh9bXkzlPw8MzvZEfQaTLiyvLw2p2YXh8sRUaj19fUfNE2z3rKsMx3HwYgRI+D7/l8SicScnoJ1+qO+vv4iIcTn9+3blxpwCJ7nsWmavT7EmTQ1Na1NJpMtaUVIRHBdF77vf2DFihXdM+1DVFdXH5w6deqWmTNnXqu1/qDrug8VFBSExYBUipDv+98xTfOm1Od8mZmvJ6Izq6qqLpszZ849M2fO/OeVV17ZFT03a9astqqqql/E4/ElUkonXQCDUj1lhRCTtNbnZl4nF+644w6TiO6ORqPT9+3bB9u24XneASHEZdXV1YfcD/1QXV39pu/7tY7jPF5UVATLsmAYhut53qVz587t1Ypavnx5NBqN3mvb9gf27dsHIkpb8Upr/ZmBBKQtXrxYJZPJTyeTyddSChmO40ApZRLR7fX19aeGj3m7o1n09f37TBtyufNzQpqztA4eo5Q7rYmVvzEs2xOk8EetlRN2UpHg07I25ECkXdystb+NQvm1gasPM0aPnt7zyzJASMqziWSwzszqkZaRjTkpotLK2p+SNK/RKuX9YfgEXNXSsjb3NfiXVrot29/8JLP+gxA2iAKlrlld09q4ts/PEfcKl0mZskxTViEJE0z6xy3Na+8Oy/dFS+PK72ntrRPyUCcjrTxIaX21dNzCT4XEe8Qk4xus/Y6sCrPMkMKUAuJDmbKDRcGcQjBKUxM1gHFHf/d7zPiFlUTi24G3KGU9M8DMa8OyPdHSsuIJgP+UXuNG1zOoTwQSfb5PQ0XOCjW13tVnRFZDQ8MJW7du/Z5hGPcZhvFeIoJpmp2e593S3NxcPXfu3L+Hj8kBMgzjG5ZliXTKjWEY8DxvNxH1a2EBwNVXX31ACPFEeK0SAO3bty+nwI801dXVz7W3t8/zff/ZWCy7DLFSCp7njSgqKrpMKeUrpb61b9++Cy666KLbZs2a1ZYl3AMLFiz4s+/7azLPq5SCbdvCtu2pWcI5UFZW9q1IJDJ73759AADbtqGUunnatGkDDimvrq5+s7Oz83Lf9/cWFxdDa339rFmz+oy2LSoq+lIkEpma6SouKiqC4zj3VFVVrQzL98f8+fNblVJfFEKkBrRgwmGa5gjTNH993333DQsf83ZGkHqeWXlhpYYg1PQ9oY1djKysHkPgz2f1cSUCE+9qfb+ZUwBb3BaNYG7JHFQZGgCfMtDcx9f3rTwA4PZwIXFmH4LESYZd1M01Nhg08YLgXjEE+GY8/XSva3BpSsfXLBbC+ExgxTOITGhWd+9oXLU5LNs/j/jaiX+O2X9JGoXQSv20rWnNb8JSmZRV1nyIIP8zM0VKCAOsvGfZSX4zSzhHXOhPa+23HbrfHDRbEOK/xlTO73di2di4/B8AbeheUo/BTFcPhTWngUuJiIhEEGwljeVhmTCS6VpBxjFp1yqCTwQSZs6Tf2b9aPb7xACExUakPGPjESNnheo4DpLJ5Ol1dXXf2rBhw7fWr19/Q+rvmxs2bPjO5s2bG7TWfzVN82sArHg8vjuRSNx08ODB90ydOvXLV155ZU4vepj6+vpTlFLndXZ2dg3KsVgMzMyvv/56zg2aXddty6wl7Ps+pJRjysrKJmQJ5sDixYs7PM/7qtbazzwnAvcwPM9r11ovnjJlyn8tWbKk36jJTHzf/4Pv+13fFYcU9ZlZgv1QX19/rmmaX+3o6AAzw7IsOI6zUwjR5wDQFwsXLnyNiD7ruu71VVVVvwjvz6Suru40wzC+nL4+UhMhx3HiWusfhuVz5cknn1zved7DaQ8BpdoBFhQUXOC67mHlNB9tFPs7mVll/tZpCL27SiVHpgthjOauRjkpFyjEMXimvXsZph7Y9/quTha0jUJDAIP69dj0hAnvt1p73axUIgEQXZO1cRCUj6+dTKAPAATN6sEdjav6jX0Yddzc0cR0K3elvwho9hNC0W1h2Vxpa6vfDcZnlZ+8pbV5VZ9FOCYMn1nMTD8h4qz1ZWYCwN/rz/3ZG7ub1rYx4yeZExhmBUHGcMHy1lwmRAz9W2aVFRSntQ8pxHt9yYdlpY6tXHgKMWay9kBkgjXXtW5b3ue67Nixc45lxqWHnul0tK4FsMrZw0HMWco38GhKG2RUZG4/UgxIoUopTzr22GO/PXz48G+PGDFiWervO8XFxd80TXOWEKLk4MGDSFmSCSklDRs2bHT4XANBSjk5FotFpJQoKipCcXExPM9rtCzr96NHj+73wUlDmX6ArhtNBaZpFmduz5XW1tYHlVIvZK55EhEMw/Bc172muro6JzdFGCL6p+M4HZluX601lFIDmmER0Vds2zY9L5jEp9ZO1x1uYYaqqqp7p06d2u+AJKW83rKsAtc95NSIxWLwff8Pc+fOfSFLeAAsW7ZMA/hROscYqXuUipy+ds2aNe+Y2tA+5D4C3uxuofaNIFyYXpsSwgYJAdb+vwDciVeL+s6L6OIRXxA3o7syzyGvtDtBkj51s1I1e2CmD5SXL3hf1o4BwowvEBkWswKBf5jL57SUeTUJc1zakhdCAoynWlpWPx+WHQgtTasebGlc8eWU+dMrycLY5UIa780MkiEywfCfHlb4cl2W8AAh3/+N0n5L5v3W2oUQsrq0Qs/KEu6B1qY194P1fd3XUgUE8/XBnG5wEMtFJIwCBoPZV6S5T5c4AEgZm0igsQBDCCsVGIhOVu4KRf5fw/K9wSReDU8UAAZpleN7cXjkrFBTxRHcPXv2vBn+6+jo0EIIpAN/Ugp1nG3bX9VaP/7AAw+s37Bhwznhc+aCUup9JSUl0FrvVUqt9H3/Cq31OVVVVV+YP39+EPI5eDQR9WoJ9MXVV1/t+b7/nGEc0tNCCCilHCn7Dd/vlZ07d75hWVZj5nlT9OveSrNx48b3SynndnR0pF31cF1XAxh0pPBAWLt27RmGYXwk06uQ+gyKmX8blh8o7e3t9zuO83xmj91kMoloNFph2/bHs4Tfxuw+19jFxDt7UGp9QQCdIIQBZn6Dtf8/YK5ORpyzWxtXfTfXZH8Ek8puD9nhEFip/utZc1dmCGFEWNAXM2UHQuWJS04FcFHgktQvGNjTb/GGcePmlWoS12RGbwdBQNjQnyIcGq4yFfD/grSYQxAJgKkuh4IGfdLaum4PgK3ZE5iufOCc3gEGbuFUdY80mj0Qyaqxg6wpPXLiokICX8KsUrmg/FRLy9p+Aw+ZvEnSjBEzXM28UbO6FsI4a0fjiiVvNK77R1i+V0xj71H5eXshZ4Uai8VgWdbD+/fvP93zvNM7OjrOSP/Xtu0Pua77FaXUs5FIBAUFBfB9H/v374frupBSzrVt+4GtW7d+JXze/hBC/HX//v3fYuazpk+fvnj69Ol3z5gx46iU5csBrwd3HWmtB93j1bZtArIj7TzPg2EY4zZv3jwuc3sffCoSiRhKBWOrlBK+7++ORqMvhQWPBJZlfTQajRakrWOk1m89z3uxoKDgb1nCg2DJkiUJIUR95po4UvcJwJK//vWv4Wn325MXIZkHFlU5cuLkAiLxDCvvSgP6rJamVZ9qaVy9ac/L6w93cpmCGZg4qBGpsbFuP4NXkwhbqS4YYn5p5cX/kbUjR3zP/yyREQUAYn17Y+Mj/ZbDU2ReIoTZleoAELT2XGHqR0KiR4TSij0fFEL+R3YhheAzMHROgWP9IYnXh5VH4DLlGWMrF56StaMHWptWP8Cs/pbVrCEVgUyE6zJlc8XoVBeBxCnBfSdA4H9ymcAokjuUn7xVSP2B1sYVc1obV/28PzdxT2g1tJPEgZKzQk0FgSQvv/zyXTU1NbsuueSSnen/XnTRRX+eMWPGD5544onzDcOYr7V+vqioKF0AH/v374dSqjAajd58//33/3Dp0qU5X7e6uvoXU6ZM+a85c+Y0hve91QywMERO2LatdaicSWoNslhr3W+C8r333juaiKYkk4fGHNM0obVufvjhh49IHeNM7rzzzggRTXddN2sd2DRNGIbxwJQpU/odDHNBa/1guMdualni9F27dk3KEn4X8eZLj3S2bF/5xebG5Xc1Na3tN9BtwBAZEye+NOhBydDGHVp5B8IRpEIYFrG4LFM2F8ZUzj8VjI8CDK39f/puQQ6l8BZJAs1FRnBLsJaL3Y52hqTkaH8Q0XyCpExdIoQBBj/TVvjyoJc8MmnnyCNKq+bstVQNIcwoQeRU4lFo/p+wd1ezDyL60OgTagYc8U0QlwW6QoC112zo5PqwTE+80bRqZUvjii/t2Lb2qfC+dxIDVQh9yi9btiw5derUutbW1g8qpW6PRCJIp6q4rov9+/fDtu3Pn3/++UcsYb4PcnaFvZUsXry40/O8f/aQ66pycU8PGzbsPUKI0sy1SyklDMP4V2r98YhSUlJyIhGdnHl9OlSreMD5x33wgtZ6Z6ZrXCmFSCRiSSnPz5J8uzJyl6Ze1wJ77XDR72w/V7oFPrEGGMcfPMiDDuBobl7+GgTuDEeQBtVuxJWVlRePz9rRD5KNS4nMQgAA80937vx9Z1gmTHm5fyoIZ+usWvACpPW2kQUFAwoSHAyVlVdEmPUHuduQQyDC8zhMd2+aA0337iPwP7MmL13oKWn/b19IWfwHrb3nstZSWYOEEZM+9VuFKZN0MFLgNjagWdzZ1LQxSDE4SuhsH/9Rp6df4rC58sor90+fPv2zrut+Ka1UmRlaa6Qq9Vy7adOmXBKRhwxmLkhHm77NYZ0ZxTBAiOiD6YpMGdsghDgqFr5lWRMNw4im3c04tH7qdHZ2DpnLefbs2TuVUtvCa81aa/i+/96sjW9TRm8bOQ5AxaEC7IdgGvwzkBOTJxsMChRVBgQ2lEoO2kIFAKmM27X2Dmal5ARrasN9GJ/OEu6DMRNmjgThsiCLyH/NS8o+i7ik0VKeTiRimXMVIoAJB196aeDdaAZKEskxRKIsvH4KACDZZ9GNAUPi5fAwHkQUi/EjR07uNzq2sfF3STD9KLw9lQt6yehxuVup6WAkgMDsdUDoP4RljjRCimPC244mR0Shpqmurr41mUx+0bIspKNWlVLo6OiAZVlfra+vz8ktMRiWLl1qbNmy5T82btx47datWzdIKZd0dHSExd6WUA8Ls7ni+/4pPU0cmLmbyXskEEJMNAwjS6FLKaG13l1cXDxkSp2IGEA8fKtS0b/HPfTQQ4elFI4GBDcKUFFPRqdgMZic7T4pL6+NllUuPm/suJoby7ePehSs54WL8wPERKL7BxoAzc3LXwPRXd2tVAVmLBo+YWZOkfXSi32chFEZJPdjxZtvrszpBRZEJ/Zi4A9ovXqwGOweD9Cw8HvIrECsX8zaeLhofjHs5GDWAHOFWTCyLGtHL5iicLnW/mvZBRE0BJlRSXxJlnAvdAUjQUGQAWZ+oK1xTa8V1IaSsZULTymtrL2yrHLxcuH7dwVLcYf1CA+aHp+6oWT27Nk/1Fr/tqioKO32S3cMgRDiJ7kUVs+Vu+++u+C+++67qKGh4bb3v//9j/q+/0RhYeHtRUVFc2zbzrKa3o3ceeedESHE2Lfye/bhlibP84b0eZNSPp+eqKXxPA9ENL69vX3InqsjhYQ1hijI5ciEWTOTfj1r4yApL68dXlZZM6ussvZ2NvhvYP9RaVhLSVjnEkkzfO0hQ8j/ZvbjmYqN2YcQxviIW/DRLNkemDBhps2gSxBEnu6G7/eZ95wJa3V6j9bhUUJrKgZCvfMQLHuAMKQuZyLdQy4+A+Ai1t09ED3R2Pi7pAD9LhxMFnS3oStHVi7qt1FDdjCSBjPl1KVmcEwySyuWXFBWWfP1ssra+wToKUHGb4U0FwthjTxiz3QODOkA1xsdHR1fSyaT26LRoAAHpSrcFBQUTIhEIv8vLD9QNm3adH5DQ8Nto0aNelIpdV9BQcHnotHouUVFRXZnZ6fet2/fY47jPJeZM/puJBaLxQzDKNW6+2BCREfWhfgWIITo3qEgZaW+M6AJRMLMsmSCbiDtQuvBuwYnXWWWV9bOLKuo/YWW+DtADSTMawVZp5C0pVaur1Vyi2b1TCg9e8ho3bb8X8zYkhVBCgDQIOBz/VmpSbewVpA8AyCA8KvW1rqcg4k0o7dc5N4me0NKX/WLtR7aKFTW6OV8zES5vwieo+9g7bV2KxYhzLEmc78FUwh0GRFBkASz/pslCnOpsTwgxlTUTiyrXPLVssrjHyfy/0RkfVcI8yIhrEKGgvadZzS7q4DwWMcQQh6V8e+oKNSamppdnuf9KDPQhpnTluqHly5d2stD0Tv33HNP8ZYtWz5+33333Q/gT7FY7HOmaU60bRuO4yAej78aj8d/atv2hXfeeedkrfUD4VKB7zZ832cA3RKYU4UhBhQMkufIw6RPD28TJMHETzU3r9sW3tcf5eW1w8dVLr6+bPf+R5loEwl5jSBRHnQkcbRi7wko70Yh6f0tTatnEomnw4UYhhKG+CGz9jPzbLX2QcI4KeLE+ig+MNnQxNeBJLRyd8HN3TpFMHns9g4AADGKJ05cNKhKUO92du5cu4sY/xN+Hlj7AOtrSkvn9zZJCRrbM2YwewBJQNMvGxt/NyTR/JMmTTLHHbd4blnForWS8BQR3UQkziYyJKChtLdDae8eAb54WCGdx2zcRCQoMx6LiOAp1WeziaHiqChUAIjH48vj8fiudO4gESGV2vHec889d2JYvjceeughY+vWrZ8aM2bMY7Zt/5qIphGRwcxwXTfhuu46ABcnEomzZs6ced20adMeX7lypQIQDa9p/LuQUqiV4e3vdLTWPQ6OQggUFfWbYfSWMmnSVSaBzuzunhIA6DGEF8b64PjjFw0bV7n4ekjxOAvxYxDOATOCllxqDyvvF1pjSuv2Ny/c0bRq2Y5tq1KFR/hQZYwjQFvTisdYc333ajwMkLimtxJ5ZZXHfoBAZ1GgBJcPxDrtDWYNFmL87kTyiAet9JVbLETPyn6wkOg+gQ4gYg7VRe0HYnWvZr+zWzCZNMfANOZlCWeijUUkjEKQgNbeDstw1oVFBkNpRc2cnXtOeIQZ60mI+QBiSFVf0lAPKq0+yW7yzNbGVZc3b1+1/qWXVrqQVACE0xkFWOt++9UOBQO64YfDkiVL3iSiBzPdrlpr2LZtKaXOyBLuhYaGhjN9399q2/bPmfn0dNF1Zu5MJpO/kFKeO2PGjAVVVVXrh6CK0jsOwzAI6O4CSq1dRx566KEjOoAiuFZvgwmbppmzksgFrfUZ4fXiVM5tI4BB1Y4+WrTu3n0CgydlFgJH0Gg6ThA5l60cO652uqvpTyzkjxl8slYuCAQm3qvZ+wl7xgUtTas//caONX8CHull8D1yMPStrLXXzUol8aGx4/ScLOEu6AskTKmU52hSA+5123MFKAYxRdizj/hMSwg+CGQUpU1BQaebIe16wiyODW9LWWftINVvilEmzc3rXiPGynAwGcAA6+srK6/oNn6Mfs/0AtJ8CZDq78q8ctu2DTvDcgNh1Ki5o8sqFt9LQm4AKNXfVAMgsFbLmfHB1u2rprU1rfp1W1t91hoyB4WSu0HE7x6Xbxql1KOZ/2ZmpNIe+o1G27hx49RIJLLFMIwp+/fvRyKRQElJCZRSf/Y8b8qsWbM+XVVVdVg1Ot/pxOPxuNY6qwkAUoE6Qojj4/H4oPMLc8X3/X/0VNxfCHHsUF6fmamnVCghBIQQr0+ZMqXbgPZ2grWYLEhGM4umC2EAzH9qbVz5bJZwL5SNW/QVIUQ9gPdolUyteRnQzL8H6ILW7av/s7V14NVmhpK2pjWPMasGkTVIB8GJgqhbCk35+NrJAGYFhjuvbmta93RYpj9ED4E/QUAQjTA1H3FPjUHW6wAfyI5ADxqCM4uc01ByQtBp4WE8qHQkmvz4nj7bpfUEafqRZj+RaaVq7UEI8z2+7lycJQxAthdNJSknMmuw9jo0xK/DMgNhTOX8U81Y5CES8iOsfWjtpOv6vg6ImpamVR9ubVrdV9vDt5SjqlBt237d8zzOfNA4aFjd5+C3ZcuWqdFodIVSauSBAweAVBsw3/d/bppm9bx58wZVXYMD+rz2O4krr7wy6Xne9nDkq1IKhmEMU0rl7FofLL7vv+j7fiLzM2itYZqmbZrmkA0mK1euHC2lPC7d0i9NSqEOZQGJIwFJgctDm8CsQVr323gAQVuwr5Nh3AxoK5jBE0gY0JpvaG1c8dH+mowfTZiMu8KubWYPTLhwbMWi7KpWjEuFMKXWXhKEW7P25QhBPt99aAtK6rHgftubHT6RN5jR0v0zAGB1UnjTYcF8cnh1gEiAwdvffPORAVmoALBjx6rnifUfugWrEcBCX5G9EYDCp5DqdsSM+99oWjXoXPOxlQtPEWTVE8SpQZ9fBgkLmtUL5POMlsblR6UW+eHQwy9+5IjH4/9wHOdgOBlfhE2qDDZt2jQewHKt9Yh0sfVYLAbP8550HOfzU6ZMySk3LUzKOjYdx8m1Pu47AsuyXgznZjIzTNOEZVlHvIJQSUnJKwBeDveeTfUwzcm1nwuFhYWnCSFGZSpUKSUSiYTnOM5fsoTfZpRV1kwG6JzMCpNCWIBWD+zYsbbftmTjjqu5EBA3snaRdhkHx+vftTat/E5Y/q3Gws7NWqunMtdSmRmCjKiA+kJ6W2np/JOYeQkAgPSq1sbVz3QdMBCIXwl6u3aHCFPC24aaxsbfJYnw53CAD8BgojMwcWKPa/8DZVjlFSUAn5zp5eiC8TDCs5gcEUy/YPZVZmCP1h4I4kNlFbVdfZnLy2vPAIkP6ZRNQuAcykL2zIThlxYTxO8E5PHp3GgSEtCqSTHm7dix6tXwMW9HelVkRwKlVNYPnM5JBdBXo/DPRaPRY9OdU1J/rJS6pbq6use0iVxIWU0SwLtKoWqtn3IcB+E5iuM4UErNWb9+/RENdZ4yZUpSa32/ZVmBmy2F53lQSk0bwnXcqZFIxMhMkbFtG1rrF5LJ5IDdhEeLiVhkMeOGoJ1gcH8CV6DfqUBf7TcYadJVpta8NEi3SYmSAGv/oCL/+2HxvugtGnaoaWx8JAkW3axNZg8MsbC8vDaYaBnyUyStYq19EGjQfXt90n9hVnvDCo2DGrUfLC+f3e8S0+GitapjKM5WSj4IOKu089Qh8dTEqGOyEEZF5jo8BYFBCSauzxIeAM3Np/8NjAezyxEyiKRg8JcCexXQBl8iyIgG1/T/rj13U8ZpBkS8KFkrhHlOYJkGEBlg8O93Nq3KOeKdNNRgJxJDwVFVqEVFRRNt2y5OWxXpdmeGYWwPywLAmjVrRmitaxOJRNeanGmaSCaTLVrrB8LyfcHM3TrDpCynozKoDAQOLwwOgD179jyutX45nHPrOA5s254opazK2nEE8H3/nkQiEc9Mk3IcB4ZhnJ5MJgfUKL0n7rzzzggzz86sF4zUs0FEyxcvXhwu//O2YV8Ff1QIY0pmdUkhLAD8vTeaV/fb97F0987TmMVknRFjkUq1+euA2lxhqWBG2dEae0qKsK67laohhGErSTXl5bVRIlpAgev7kZYCMeh1sje2r2kE45HuClWDhHGsFvaVWTuOAG2jRj6sNT+bnYfLEMK0wDQ0FeI0zctU2EgpIQBbD69K0TKtJd3CrLMnBOyBSMwoG19zDrBIgrGE2QdBgsH3DrZhOgBBmhZkF+MgaOV5IDGgiQGxfyJRaM3rKHJUFarjOJMsy6K0vrAsC77vv97W1tbjek8kEilRSo3MdOsJIcDM8ddeey3nH++hhx4yDMM4O7Od2NsYEt2z4XPm8ssv72Tm34Zbm6UbchPR57N2HAEuvvji55RSfywoKOiyUrXWsCxLMvNhD2ajRo26yLKs92Z21IlEIkgkEs2maR5WUEQaop78aIfHqLKa9xDRLZkWhRA2lHY3kqIfZwn3hrb+QwhpZNf/JRB4AMoUOLbiudHEOFNnRRkfOV56aaULFreG1XcwIOtLWeIWgCpTbvBbcZg1dwXx3T1NFhgKIPrUmDG1I8P7hpSnf+kJ8F3oQamD9MUTD9PtW15eOxxAVXaUOKWMMzrsd6Bt26r7wOq+7q3dJLGm+WWVXpUgeRwAsHbf9OKcU53lnhg9enqUSZ2RbWkTAO3AkwMLrCKaEkSUd//tjwY5K9SUdTfot2/FihWFUsrLMq2KSCQCKeXyK6+8ssckYM/zdE9uqd5Co3vjwIEDM0zTPD9zAB4iun22w2XFihUFlmWdEg62GQie5/0+Ho/vzLRSiQidnZ2wbfvCzZs3H7ZS6w+t9Y8dx4lnKvZ4PA4hxKV1dXWDdnmlWv99ITWx6tqeajb+k+nTp+/JlB8sfeUSDoaKitrjTIP+IIiO6Vr3lBbA6hUl1f/bsWNVInxMTxChx3KBDDEsvK0vIqAaksaxR7NEX0kR1kGrZ7OtVAUwJgC4lkiAWT3S2iQG7TpM48Tl/ZrV8+EcWNYKgsxSYfE3snYcAaJW5C6t/KxOLsweCMbZBzpO7j2vMwe0wMelkOXZkzMLWutNQ3H/AABS/DpsATN7APQnWIsfMiuQkGCiNbt3H24rwXB1owCO6JzH+lEVC48H0VxWgx87c6Vbp6YUOStU13Xh+/7Eu+++u98OBj0RjUY/VlBQcHJaqVmWhY6Ojg6l1L1h2TRSSkpNu7rwfR+maY458cQTT8jc3hv33HNPsWVZt6Y73oQZbJTv0qVLDdM0y8N5kKmp0aDOicCKF0SUXY4uUIiste7+BXpg/vz5rcx8UywW63KVI/iucF0XhmHcsmHDhg9lHTTEzJ079wWt9S2FhYVdn8H3fUQikZhhGIO2kt/3vvfNNU3zQ52dQQAjM6O4uBiJROJPb7zxxhDVD2Ww1kMWvFJRsfB4RagnkhPTrl4hbGitX/HhXbzz9bW7wsf0ikD4lUgVXedzxo6dk9P6eHn5xWcwiRu5l8p0QhwZs/Wll1a6TPT77oXrdaqguwaYfwisPOzrv/nmyg5i/TUGITMHFgCYXRCJz5ZVLFiUtWOIefXV/z1I4P8EI2u5iQjQoK+Xl9cGtVgHyLEVC8aCcH22RSeh2d+nyf/CUNw/APDjkQbN3ouZVmpgYdOxJMSpzAzWPjPrX2YdOEC0dgmcnT/PgTUcg0s5R2UbJL4vhHFMTwFpxD0r7P6IREw/eDCzYeKSCRNmdqtlG36ye8V1XUQikROHDx++MLyvP+rq6o4zDOObyWSyK+KzsLAQzHzj3Llz+wpIUqk+oF0bUoNyERH1a2UtX748OmrUqF8WFxef0tnZ2cHB9KoLIoKUss+aor1x7rnnSiFEWWZQTOq72Vrr0VnCA2DYsGF+L0pe9FE0oRuvvvrq/8Tj8S3FxcVZEwnHccDMI6LR6MpNmzYNhVLtdQbZ1NT0g3g8/vCwYcO6PkN7ezssy7p88+bNNWH5/li9evVYKeWtSN1rZk5HfO/1PO/a3jwdA4XZBwljRvn4xTPC+wZK6XGLL1JCppSpAyIBKSMAVIOCqBrYuicAVq8yZwe7BGuD8iQ27X7fzTGV80/V0lwjhDlCaz9rsOAgV7OApTm0qR0ZCIU7tfIaw4XYhTDArJ5pPX7P0FhXAFqa1m4E+7+RInvcSz2LAmTcXlZRe0SVakvTqgfB6jsi4zNo7UFK80wWPKiIbAvydiGM0kMKlSCECTB/a8DPUx/s3Pn7TsH4cTc1wbor55kZW9qa3pNT3nRvDBsW9UDUnj2UBEFQJNUnMzb2Slll7Q+kMGo5qwduGgZJMahANK15DFgUZ3qFOPj+J8bjkW7NB3JWqJyqvWvb9vc2btz4/vD+3mhoaDjBtu3VlmWNTiaTMAwDxcXFiMfjP5w9e/YPw/KZtLS0tJqmmZWCAQCdnZ0wTfPTmzZt+kjWjgwaGhomlpSUbCoqKlrS0dGR0Fp/yjCM1zPP5boupJSfaGhoGLBSJaKxvu9XZLpmU+uEJhEN2qXJzEVKqVGZlm8qj7RIqdxz2K677jrHdd2rHMfZkalU065frfWxUspV999//9WDaXW2fv36Ux588MGbGhoaen1Qr7766nhnZ+clyWTyLyUlJWBmKKWgtTaklP9dV1d3XviY3mBmKigo+O9oNDohHo+DmWHbNqSUvtb6s3Pnzn0hfMxgCe4VR5j5jtGVCwdlqY4bt+SE0nG1t5HWWwk4VWsXQtgIyrOpWyTHanY2Lu8xGK8vHOZ/gnl3dlPpYHIhSCwrK1t4YsaOLMoqaz4kYWwwjOgErdynIOgKIpk8NJAxiIQA46rQoUPGjh2r9hLjF93yHCGgIe7EI0NbzUly8kta+48JGVaqPkAYBaIVpeNrbxiMtTj2+EUV5RW1N40ZV3N2eF8mo5u236y0+r2QhwLcWXsAyS+UV9RemiXcD2WVtV8TwlioVXrpjCCkBaXdH7Q2rf7vkPjho8W9mr3nu/9eAST1b4Bl3Sy4gfDqq5sdQfKJcBCZZg8EUTO2ovbLWTsyKC+vLSurqP0NCfNLQdS7+jqB/pzdis4HgNmjKhYOuPygz+JUIWRRVmoSM4hEAezuTRh6tC7q6uqWFRcX33Dw4MGs7cyMVMeYOBF9r7i4+GfnnXdetlAGf/rTn+Ynk8mfCSHKOzs7UVBQACklksnkD2fNmvXFsHxPbNq06UvRaPQH6YIOSH0O27ZBRC4RfcfzvNWe57Vpra1hw4ad7Pv+HAAfLykpGdHR0ZFMJpNXzJkzZ8WmTZvWRiKR+Znfq7CwEK7rblZKfX7OnDk5z+42bty4LBqN3tDenl3hMBqNgpmfcRznA/Pmzcs5cCpNfX390mg0emO4d2ssFoPWuuHAgQMLBhLFumnTprNM06wzDKO8p3sYiUTgOM6DRHSvYRj3T5s2rdeepevXrz82Eolc4Pt+jRBiARFFlFKnVldXvxaWzaS+vn6MaZprY7HYefv27YPWGgUFBSCiNqXUh2fMmNFnZ4oNGzaURSKRHwshFqXvSzQahRDC833/6pkzZ94ZPiZHqKyi5jEIeX7QUDm0UxhgrV0i+hUz39taKP7aV7DM8ccvGpbw+BwBnguBDxOZI4OBWwRhQ6wfA+hbLY0rHgofOxDKxtfeSTA+pnV21pgQJljzdiYsEyp+H+AlfL9YSpvPZtDHAdQYMgLlJ/+hhJ71xvY1jaWVtS8Q0WnclRMbpKaxpp/6ZN22q+neIWkjl0lp6fwRZMq/gaiCdaq6k+ZXnKg7ac/L64e8ZOhxx314tKv0WiHl+UplOzGCqkIGmPVfGfwHIcXWHa+v+Edv8SIjRy4qtGL0PkBXA3QJCbPUczum7mxZ3+dvOnHiROtg58TfQFqXaZUEOFWqD8IB6atatq+6O3xMmPLxS74E8A+CwK2g8hIJE1q7P2htXP2VsPxQMbZi4WektH6m1aHnLXXPXvUS4sxc+9T2Rem4BfOEtOq69+cVICHAWv+Eoe8x4W4DAJfMMQLGQiL6hBDWeNYKWjtfam1ae2vZuJqvC8P6buZvnSo88XcifX1Lo/hzyC1O6CkwAUBpZW29IDE7Myofh961O1uaVmZ1SxuQQkVqILYsC7Ztw/f9f7muu8ayrMeJqC2RSOyPRqMnuK57kmma84QQF2VWzGHmpzzP+/7MmTNXZ520D9auXVsSjUafNU2zsr29vWs9jlNlC2OxGBKJRDsztzOzIYQ4tqCgQNi2jY6Ojlc8z/tkdXX1I0iVLzRN8wHXdZFpARYUFMBxnHbTNJ9yHOdJwzDIMIyW6dOn/ywts27duqI9e/ZERo0adZxlWR9h5qt834/1sIaadkNuFkL8mpm3HTx4sLmgoMCfM2fOvky55cuXR1OWpxg2bNhEZr6Yma/RWls9BSUVFhbCcZx6IcQdnuc9E4/H3aKiooP95eOuX7/+rMLCwl9JKc/q7OyE67pZa6vpiU48Hn/TNM0XtNavJZPJRsMwhNZaSSlLTNN8r+d5E03TLDMMA57nIRaL4cCBA3PmzJmzMeuCPbB69eqxJSUlv5JSzk4mk0gmk+nJR4KIbtFa/8+sWbOyAhtWrFghi4qK5pimeZNhGKceOHAAQggUFxfDdd3XHMf5zJw5czZnHjNA+lSoyBpwfQXQ3zXwF4LfhkNBSxqgGJFxBrM+nYjGkzCD95MBZk+BxBPE+O8djbtWDkU93fLjas9gjScAxLKjPIO1NIAAVruZ4IEhiWhU8JkIrL1HhfY/1ty87jUAGDu+9rOGsH6q/MyYKArKvWl/FwiPMPvPkTDGQPO/WppW/zRDcNCUj6/9Mkh+X6vActfa+8wRsbBSVFYuGqMIvwHJatZ+V0GMNCSMYB1SuwmC+BuDt4P1ywATIDSAKJFxGrM6jQgnkDCItQaEBJQzp6Vpbb/vwKRJk8ydu0/4DhO+QinXb+BpEADxb4Qyftzc/MduDcjLKhefB9JfIcj5wcDOQaoVc1yzWtratLpbju9QUlGxYKyC+BuIxmQWEtHaW9ratObbYfnBcZU5dtyeBmlYF+nQpCft0lbaSxDpoEY3i0IhrKJg7djdr7X6YlvTmt8AwLHHzT/J1vJpgAqz15lNMPuaSD4B1k+AEGcmp7XpzZuBR/xJk64y29p2FUuJEk3GKUz6w4LkZZkFWDJJvSN/JCHvEvrAc55nej0q1PXr1393xIgRX+9JoSKlzIgItm2nU1/gOA5830dJSUk6wR4HDx6E4zj7bNt+0HXdda+88srK6667rs/BvycaGhqm2ba9koiOaW9v77p+GsMw0pV4kHbp+r6/Win1xVmzZmW51TZu3PjzkpKST+3duxdKqa7zGIYBy7JgmibGjh2LHTt2bJg2bVpXJN6GDRt+XVBQ8HEE65yIx+PoSemlicViEEKgvb0dvu/D9/2/VldXn5M5E9qyZcu1pmnenkgk1LBhw2Q0GkVnZ2eWsg9TUFAArTX27NkD27Y5mUzWzpkzp9+SXCtWrBhWUlJyA4CrLMsqjMfj6aIaXfczVU2p615mopTqagwfjUbT926r7/vXzpw5M6cqJkuXLhUXXnjhZ5n5y6ZpliYSiS6vRyKRaAbQ4LpusxAChmEcI6U8X2t9gWEYcF0XsVgMvu9Da30PM39j5syZh9uFhMoqa58kYZ7dm0I99HMJkJCpATC1mQCCTM1vGQxGUH/USxKJFwDerFlubmviJ4YqUCRNaWXtF4Qwb2XtdVMOSE0Egg9GQSSm9sHAbSp54Bs7d97XVZJu5MRFhVYnrxLCnNGb9QYiGEYBXHf/3a2Nq7uXnxsEYybUjhQePyuEUcrKfzkZ9d53JKzTELJ8/OJPa+ArgkRZT4oVJCDSk5IeCFx/umviwsBTzOq61sZVOVfnKqtYXANBNxLo9CAgS6UsTe8gMW9k0i+CSQRvpnwfATOFMKygMEX6uvw4+f7XduxY06d3Z6goq6y5kchcmo4DYOZORer0nY11A1626I2ysoUnwpRbiYzx3ZUqgmc59f4RSRARNPNTWvN/tjWteCxTsrRy4aeksH+utZv6zVIQBcdCQEgbyo872k2Wt7XV7y6rqJ0KEg0gbQthB+fXPtKdm7JIbRPCBLOG8hNBvE+2VEBdXd1XCgoKvh6Px3NSfsxsmaa51zCMbcxMvu83+r7/z+Li4hdd131xxowZOVe66I3NmzdPsW37Z0R0mtYarut25VYahgHTNNMK7i9a659UVVWtCJ8DAO6+++6CsWPH/sqyrI8opdJBOl0ThNT/P+q67g0zZ87scuPU19cvklJe4DhOItdm3VprSUTCsiybmZtmz57900yF+sADD1ygtV6YSCR8rbXqKUWoJ7TW0jRNwzAMM5FI3LVgwYKcmwJs2LDhvdFo9NOe59XYtj0ieGh0l7JMk1aoqWIJXZWXXNd1iOgRKeVt06ZNa+g6YACsX7++wrKsTwL4qGEYlVJKmKYJKWW3z5CqsATHcfaYpvkIEd0xbdq0fsvz5QiVVtRuBOh8wM/pN03DICGAOEi8HMSL6d0A/wNCvCyVfrG5efu/gKcHdM6BMrai9rNCiBsEyWOZVWrgCDQ9kUhVUPKYSD5CUDc1b1/d430bddzc0YaO3iuEMZXZB7qUjAiqOEGDwA8oTV9ua1rxt9Dhg2LkuCUnmMJ/SsrIMew7S3c0rRoiS6d/SksvHkem+QkwXQFBlRToLjBSkcZdBJ7ALqsfwYCslecIYTyuGXebeOOPjY2P9DT698mECTOLk17xZSBcyqwvIDKCd45El3cjuGRQ4xnM0OxqIvNBYty5o/GNFUPh7ciVwEqVf4cQIwUZ0Nr9TUvjqk+E5Q6XMRW1EyXRT4nkNACp9c/UkBkU/U/dHv0iM/+c3eRdvRWUKKuo/S8QfZ2EpGBJI/vdgPabNKsftDYlfg1sdsrLaydAik9o7VHg3REqKFzWW6hR6lkhSEKwaNujQt2yZUvBnj17hvW2jhCmuLiYhBDx6urqnk3aIWLFihXDioqKPmJZ1gzXdc/0PK9ICOGbpvkagL8LITa+/vrrW66++up+B7IHH3ywBsDH4/H42cwsiCgRi8X+ppS699FHH125bNnhLbS/3dm8efM4Ipqmtf6gaZpljuMcp5Qakf7NKcA1TfNlIYTruu5rUspnCwoKnrzwwgv/Hj7fYPjf//3fY0eNGjXZdd2plmUd53leuVKqjJlZCJE0TfMVrfU2IvqzaZoP9rW+O1jKy2uHJ8iNSCNsqvQN6wiZnue1tq4bkrzXwVI6vvZkYr4MkOeA/VMZXACQByFeIuaniOTGHdtX/DlzItcTY8fOiUk79hkAi7X2jwMAgtjFRE9KEmuaty+vCx9zOJRV1vxMSPszSjl7FYxJgwnQOlyCtVx7MsOfQiQnMKsyMJdlzChSb4J4GaAOsHoDjGcgjYdbtq94rr97mhuL5LhxYpoi7zwieTrA48H6+NSCAQjyFQa2E9NzGni0rXllVseuo0lpZe03COLLgE4ITbXNR+6z0NjKmg8LknOZ9fvAeniQaSQbAX6BIDZ3St607/WVh4JCemHsuNrpJORVYP8DBDYZ8Ink88RcR2ysaW7+Y2v4mMOhR4X6TqC+vv4Yx3EihYWF6vHHH9+7bNmyQc3W6urqRkspyXVdb+HChW/p4PhWsmLFimFSypjjOBqp3qqRSMSfN2/enqEZOPpn/fr1MSFEcTwex9G+9ruB0tL5I1yDLMOS/huvrto9mHtXWTk50snDjwEAKjTa33zp8ANOwpSVLTwRBj0thF2kfOcHrc1HLqBmIIwdOyfmmeYwIf2MyXQBdm1r23P0rMGZ9sjKouD+iyTv2nbwKF67PxbJEeOc0Yab8HfuvC/33OnDYMKES4v3u/ECIW29K6r29RUU2BdjJtSOVB5JIX09oLzvAfKOVah58uR5Z1JaUbNWSnu+1u4eLemsttdXNoVl8uR5J9KbczhPnjx5hpzSykUfE8KYn6pm89u8Ms3zbiKvUPPkyXNUKK2sOZOA7wMMrTwX/uD7Z+bJ83Ykr1Dz5MlzxCkbX3MuQa4DYVQQPYy1LS2rnwvL5cnzTiavUPPkyXPEmDhxkTV2fO2XweI+EFew1mDWByDM74Vl8+R5p5MPSsqTJ8+gqKy8uMSFHNNTM+vy8toySFQBdDVInMvsg1lDyiiUcm5qbVr99fAxefK808kr1Dx58gyKsvG1vyAWl2vm/4NQfwfr3QBAJE8HYyqRMYqhkU6qF8IGs3oqLml6LjmEefK808gr1Dz/1qxdu7bE87xIYWHhgAo7AMDXv7cSb7w68L7KyhbSVrEDuTYVfztSXr7wgyzlAwAbQeWZ9FBCqfZeQUm9AIaQEbD2m7WkD+Qje/O8W8kr1Dz/zlBDQ8MGIcQFnuflnDAuhQCDsey76/Dqa28gYpthkT4hYVgAX9eyfdU94X3vBCZPXmq8uv2Fh4nk+8NdOLpDENIGa/0Cw7mqtXFdzjVv8+R5p5EPSsrzbw0zj4lGo8cYhjE61z9pGKMNwxwtSIwmyNFEA/sTZB7DjG7Nid8pvLLthauJjH6UKYGEkWpzpbZqqWfnlWmedzt5hZrn3xpmdl3XxWD+tFYIitIP/I+IBuxifjtQUXHJMUTyS0KYSP8FnT+CzjRCWAg6dcig/yTrK1saV8zIu3nz/DuQV6h58uTJGa3dJEH/p+8nbmLodcz6MbB6k5n3MusXGLyZ2fuZEFxlYtd5zY0r7wqfI0+edyv5NdQ8/85QfX39Y7Ztnx+P99gBqkfSrey+8711ePW1nYhEBraGKoQFhr66ZfvKX4b3vfOYbIw6rniEVoaQTsfBzF6refL8u5G3UPPkyXMYPOLv2rZh5+6mtW15ZZrn3528Qs2TJ0+ePHmGgLxCzZMnT548eYaAvELNkydPnjx5hoC8Qs2TJ0+ePHmGgLxCzZMnT548eYaAvELNkydPnjx5hoC8Qs2TJ0+ePHmGgLxCzZMnT548eYaAvELNkydPnjx5hoD/Dy+2EEHkbhWUAAAAAElFTkSuQmCC</t>
  </si>
  <si>
    <t>Itaú</t>
  </si>
  <si>
    <t>data:image/png;base64,iVBORw0KGgoAAAANSUhEUgAAAIcAAACHCAYAAAA850oKAAAAAXNSR0IArs4c6QAAAARnQU1BAACxjwv8YQUAAAAJcEhZcwAAEnQAABJ0Ad5mH3gAAAGHaVRYdFhNTDpjb20uYWRvYmUueG1wAAAAAAA8P3hwYWNrZXQgYmVnaW49J++7vycgaWQ9J1c1TTBNcENlaGlIenJlU3pOVGN6a2M5ZCc/Pg0KPHg6eG1wbWV0YSB4bWxuczp4PSJhZG9iZTpuczptZXRhLyI+PHJkZjpSREYgeG1sbnM6cmRmPSJodHRwOi8vd3d3LnczLm9yZy8xOTk5LzAyLzIyLXJkZi1zeW50YXgtbnMjIj48cmRmOkRlc2NyaXB0aW9uIHJkZjphYm91dD0idXVpZDpmYWY1YmRkNS1iYTNkLTExZGEtYWQzMS1kMzNkNzUxODJmMWIiIHhtbG5zOnRpZmY9Imh0dHA6Ly9ucy5hZG9iZS5jb20vdGlmZi8xLjAvIj48dGlmZjpPcmllbnRhdGlvbj4xPC90aWZmOk9yaWVudGF0aW9uPjwvcmRmOkRlc2NyaXB0aW9uPjwvcmRmOlJERj48L3g6eG1wbWV0YT4NCjw/eHBhY2tldCBlbmQ9J3cnPz4slJgLAAArnUlEQVR4Xu2deZRkWV3nP/ct8WKPXKqysjIyK7Orm71l34RGFgeRRg5nmAPI5oA6iojLKM20yDQKgiK2Mooo2IAIoqLDoCwODYPQbCKLQAvY3VCVe2Vl5RKRsbz34i13/nj3vnwVlZlVrZVVWWX8zomTVTdu/u43bt6493d/y/eJ733ve704jg3HcajX6wgh2NraYnV1FSklhw8fZmhoCIDl5WU6nQ6WZVGv18nlcvi+z9LSElEUUS6XOXr0KACbm5usra0BMD4+TqVSQUrJ4uIinueRy+WYmprCMAy63S6nTp0ijmOGhoY4fPgwAKurqzSbTQzDYGJigkKhQBRFLC4u0uv1KBQKA8z7hBmIjSiKjDiOTSmlaRiGKYQwDcMw4zg24zg2hRBnvXRf0zRNIYRpmqYppdy1bxzHZ+kFztGRHQ9If1/3zerIjjfAvH+YAcO86aabbrEsy7AsC9M0CcOQXq9HFEXYtk0ulwNI24UQWJaFbdtEUUSv1yMMQyzLol+HlBLbtrFtG4AgCOj1ehiGgW3bWJZ11niWZZHL5TAMI20HUh1xHKc6TNPEtu0B5n3ALKUkCAIpoigKDcMwXddlcXGROI6p1WocOXIEgLW1NTY2NhBCUK/XKRaLSCmZn5/H933y+TxTU1MIIWi325w6dQopJYcOHWJkZASAlZUVtra2ME2TyclJHMchDEPm5+cJw5BSqcTk5CRSShqNBqurq6C2yWq1CsDCwgKu62LbNtPT0xiGged5A8z7gNnzPAzDiAwhBACGYRDHMXEcAyCEQL+n23WbYRhIKYnjGCklhmGk7/X3FUKkfeM4Tvv2j5cds79vvw7TNHfUMcB8cTGLRqMRCiHMKIrwfR8g3XZksr0QhiEAjuNgmiZSSjzPSwHn83nIbIlktigAz/PSD6K3Myklvu8jpcQ0TRzHAbUlBkEAQC6Xw7Kss3QYhoHjOAghGGDeP8xCiEjcfffdYRzHZj6fZ3p6GoCtrS2Wl5eRUjI+Ps7w8DAAS0tLtFotLMtienoa27bp9XrMzc0RRRHVapWJiQkANjY20m2rXq9TqVQAmJubo9vt4jgO11xzDUIIut0uCwsLSCkZGRlhbGwM1DbZaDQwDINjx46Rz+eRUnLy5El6yvIfYN43zJEhpURKyYWK7i/UVpht65ed+mZFt+vtbC8d52vbS3bCsZuOnfpm5T8SZrGxsRGqq0x6LgkhME0TgCiK0l8yDAPDMEBtbVr0lhTHMVEUAWCaZto3q0OfvVLKtG92vN107DbeAPO+YY5EHMehEML0fZ/Z2VniOGZ4eJjx8XEAzpw5w9raGkIIjh07RrFYBODEiRP4vk+hUGBmZgaAdrvNwsICAEeOHEmt6OXlZZrNJqZpMjMzQy6XI4oiTpw4QRiGVCoVJicnAWg0GiwvLyOEYHJyMt0m5+fn6XQ65HI5rr32WgAGmPcHc7fbxTCMKFkuaiUJZd2Kvu1Jr2S9KmXGctb/1z+zq1BLVq/uGytDbafxtA79DdOi++oVP8C8v5jF4uJimPQzKZfLCCHo9Xp0Oh0AisViauF2Op3UuVKpVDAMgyiKaLVaSCnJ5XKUSiVQVq/rugCUSqXUKm+324RhiGmaVCoVhBCEYUi73UZKST6f1+5but0uvu8jhKBcLmNZFlJKWq0WkXLmDDBffMzKERYZnU6HVquF7/uUy2VKpRKWZdFut9na2kIIQalUolQq0ev1aLVadDodCoUCpVKJQqGA1hEqR0upVEIIQavVotVqYds2pVKJcrmM7/tsbW3hum46Xi6XS/vGcZzq0BPSbrdxHCdt73a7A8z7iLlYLFIsFjEs5aLVq1MqJ4huR21jenuyMq5bqYwdS7l0hXKs6C1N69BtURRhKJfubjr0eFJZ33o8jS3MuJAHmPcPcxzHCM/zQsMwTN/3WVtbS1fU8PAwQggajQatVgshBIcOHSKfzxPHMaurqwRBQC6X4/Dhwxgq6rexsYGUklqtRrVaRUrJxsYG3W4X0zQ5dOgQuVyOMAxZXV0liiIKhQKjo6MI5Rre3NwEYGRkhFKphJSSM2fO4Ps+lmUxNjaGaZoMMO8PZnWkRUYul8NWXjbf91OPnG5HnWu+72OqwJGjfPae5xGGIY7jpKtU6xBCYKuAUhzHqQ49Vi6Xo9fr4fs+URSl4xmGkerQ4+kP6XkeQRCQz+cHmPcRs+/7CY6bb775liiKjF6vRxAEaSfLsoj6XL3aYNIKskqjTORQfzC9hfrK2NF9pXIX93q9dEvM6ohUpNLpczkbhpF+uDiOGWC++Jgzi0WK7373u6GU0nQyyT6tVovTp08j+5JQTp06RbvdxtolCaVSqaT3dp2EIoRgfHyccrmMlJKlpSU8z8O27XOSUPQ2uVcSSrRL4swA88XFLKWMjCiKiKIoNYSEis7pdtT9WWS8bVEUYSoPnKmMmEgZMrovymMXhmHaZqg7dRAExH2RyjAM00DQXuPpb9oA8/5iFkIglpaWQsA0DIOSujsHQZDenfP5PDmViOK6bgqiWCymILrdLlJKLMtK7869Xg/P8wAoFArY6lztdDpEyprWV7EoilIduVwujT7q81rrsJTPoNPppB96gHl/MJ/lPnddl4WFBWKVX5h1666vryOUm1VbtbOzs3ieRyHj1m21WmmUcWxs7Cy3rk5COXbsWGpozc7OEoYh5XL5LLfuysoKABMTE2kSStYVfc0112AYBgPM+4PZdV3Ocp8bmcSSfpF9UT/9s1/0FiXV/TsrsbqDZ3Wcb7zdROsYYD53vIuBOcWxvr4eAqbupJVp5dl/Z0W39/fV0t+m++7076xk9WbfvxDdA8zn4uzHpGUvzKo9EnfddVcYx7FZyCShtFotlpaWkH1JKIuLi7RUEso111yDZVkEQcDJkyeJooharXZWEsrp06cBmJqaolwuQ18SyvHjx0GdsXNzc0gpGR0dPSsJZXNzE8MwmJmZwXEcpEqc8X2fYrE4wLx/mJNjZadVtZNk++k+eqXtJbvpuzc69LZ4Pl39MsB873Rkjx/RbDZDwIyiKLWctWMEZQ33VL5ioVDAVMki3W6XWFnf2nIOlTcPlQepLWdPefiEEBQKhfTc7be+pXLaaIdQPp/HUrGEbrebWt8612GAeX8wqwUSGZVKhWq1SrFYpNVq0Ww2iVSeovbZN5tNtra2cBwnbXddl0ajgeu6aVsul2Nra4tms4kQIm0Pw5Bms0mr1aJYLFKtVimXy7TbbZrNJr7vo3GYpkmz2aTZbGLbNtVqlUqlgud5NBoN2u12qneAeX8wax1pDqlendoJottRSSGmyoaWmaifpaKM2kKWKgkl21eqrUy3R8qJEymHi6kSTrL9dXtWrx7PzEQZB5j3B3OKb25uLgRMy7IYHh7GUHfxZrOJlJJqtZreuRuNRhovGB4exrZtgiBII4SO4zA0NIRQUb92uw2QfmOkihxqX//o6CiGCgDpCKFe8QDNZhPXdRFCMDQ0hOM4xHHM+vo6kYoLDDDvD2YpZWR4nke32yUIAgqFAo6qmXBdl263ixACx3HI5/NEysPmeR75fB7HcXAcB60jjuO0Xajzq9vtpmdrPp8nCAK63W4aZ9Bnph5Pf3g9qd1uF9d1yeVyOI5DoVDA9/0B5n3G7DgOhv6PZVn0VMQwUqHdvKq5CFQBjKGKc3IqDByoiJ/WIYRI+2YHj6Io7WuaJnkVvvZ9n0AV8+i+WR3Z8XSbp4JJA8z7izkIAkQYhqEQwvQ8L43Ylcvl9A68vr6eGj5HjhyhWCwSxzFLS0sEKglFRxnb7TarilJgZGQkvbefPn2aTqeDYRgcPXoUx3EIgoDl5WWiKKJYLKZu5GazmVIKjI2NpVnRy8vL6SRPTExgmiYDzPuD2U9C/5FhqMxkUxlNgQrA6HYypXO6zbIsYpWboA0s/V4Yhul1Srfpb0WoEl61Dj1e3JchrfvqNkPlKwRBQBCG2MpAM02TKAoJgwAhtjELIAwCwjDANM/GHAQBUm5jNg2DKAyJwhDD2MaMlIRBQBRtY7btJLoa9mE21OdOdJyLOVRpghrzlTDPYRgi2u12KIQwgyCg1WqBujsX1b3cdV08lXFUVtnUqFI+/aG1YdPLZFMXCgXyKurXUdnUQggqlQqmspBbKtHVtm0qinREn830ZWS3Wy1MQ1IuOOTVKicK6bY7SMDJ5bCUHyDyPDzfRwDFcgnMBLPbahFHEaZlki8rHWFAp5OMV8jnMXQtqdul10sWXbFcBsOEOMbttInjhPIgp+ZI9ny6buJ3KBYKCBVdbTeatLo+kuS6KVQG+EGe55bKkgcicc8996S1srrEf2tri1OnToHacvS2tbS0lCahHDt2LD3P5ufnieOYSqVyllv3zJkzoKJ+GpSO+jmOk9ISdLtdFhcXkVIyPDy87dY9vUJjs0EpbzM1M8Pius9n/nmOO75xkkbTw7YsiiWd5u/jqQ/r5As4+TyQhMqjIEAYBsVyGdNIdpuuStG37ByFUhGBwPdcfB3+LpWw7SSbqtNpEYfKmVUuYxgmYRDQ7XZASnL5PPm8TvPvgIi4z3iZG294AI+8XzIfJ0+cwO8FFIuFAzfPp0+fpqFqZScnJ7WjbO/YShzHTExMpBlKl8PnL8IuK1sh7/zEAn/9mZOsnG4CAoQAKZMXJG2Gcg1n24XqC5CNTOqCoN367tguIc64qPfSISW5Uo4fevgUr3rho3jIhGBlrUnOKTAzc/DmWcdWpqentYEcidOnT4eK5ifdyuJd6igjlcmk+wrlxAlVfaVQ+YtSOXv6dehzTiqHjR4vq8NQ5zJArWjzsS/P8vNv+QIn57egbEMu+Z0rQqIY2j5OwebVL34or3ruQ+h6IcLYu171Us9z/3gKx3ayj+d5zM3NEV9gDefJkyfx+pJQ2u12um2NjY0xOjoKF1DDWS6XmZqagrSG8xSj1TzfWA54/uv+gY1GFyo52DmudLBFAL0IOj3e+AtP4Vee/zDuuftuwujyz7M+0ur1emrPzM3N4fYn+1xsEbtE/+QOEcL+vqW8xemtgJ9482fUwnCuzIVBchKRM6GU49Vv+wwf/OzdjFQLyaK5CNI/d1ouZJ7PJ2JlZSUkYZZLLdZIpa6jIod6W+qpdHbdV6jKq54iLTNNk5yy1LM6crlcuoX5vk+cYbuRyqevddiWxVC1wM//4Rd42198A0YSQ++KFwG0fB5wn0N89nefhW1AeBnn2cpUz6VXV3VcKR2R0Ww206hfrVajVqth2zaNRiM1UnR7r9djc3OTra0tyuUytVqNcrlMs9lkc3OTIAjSvqi0+c3NTXK5XNruui6bm5u0221qtRpDQ0Pk8/m0r20arLkWf/25eSgloeirQiRQcvjOXWf41J1rVC/zPEdRxNDQELVajTAM2dzcpNFoUCqVqKkqutQJJjIpY3rFaQMpK7pdGzC79ZUqwpftq7c4Pd5OOoqOyR1fX+DM6eaVZXxeiIjkZvORL55QDdtz1C/9c3ex57n/iNHt2rgFEJ1OJxRCmL1ej62tLeI4plAopFeiTqdDNyHzoKpyCaSUbG5uEqqqKx0h9DyPlqIJKJfLFJRTqtVq4SX0hQwNDWGpOo5Go0EURTiOk34LClbEz73t87z1A99KbI2rTdyAh9/vEB967RMpOnkKxaRM4VLPs+u6qTOuWq2m8Z1Go6GPmMgoFAqpl01H9+I4pqjK8DXwTqeDbdsUCgWKxWLqpev1ehSLRQqqZkLrEKrmolgsEqkoo3bK6DF1hDAMw7QNYbCy0d72N1xtYhi0Oj0ajRbIyzfPhmGk41kqQ6xYLBKoaK7ruhj6jqtXZy6XS7civR05KmKn24IgwFS0haaKFej3crlcaizF6g5uZOpFdd8gUy9qquSUOI5BGVxXs0gElipmvlzzLPtC9lqHpegvbdtGnDx5Mozj2MzlcoyPj2MYBq1Wi/X1daSK+uk78Orqqr4DMz4+Tk7VcK6srBCr3UZ73bTxBHD48GHK5TJxHLOysoKvqsCPHj2KaZp0u11WV1cRAurjh/nZt3+F2z7wNagmMYOrSryAB0yP8OV3PB8ReqycPnPJ51mq5CJdDLW+vk673UYIwdjYWOohNXoqsVWvGm2Y6HYy6WuRqsIOgiDtaynXbvaapb/5WofWqc/AXqZK3FCeul6vh+95xFKS8LpfzSLI2TamkXzuSz3P/TpiRd3QU3kg+mXos0afY66q09TtUkpc18V1XSzLolQqkc/n8RQXlfbeFVVNp+4rpUzPwkDVhHZVtlJRRQH1eD11nhaLJRVu7129NgfJrbDT6RCESVbYpZ/nIkKIVIeh6mkLhQI9VXvrui4HihgfgKDDj77x4/zVJ+agnJypV5X4EfeZqPDBX/1+jo4NMzKaHA+Xcp7llUiMrwZGppHWq1fiOAZ5eea5X0dWb1bHgSPGLzkGL7n1Dt730X+9Ov0cfsh9J2vc/ps/xFDJAcMGLv08ByrrjCuFGB8k01MT/MJtX+cdf/nlq/i2MsrX3/ViYr/D7HxCVH8p51le2cT45+q62kQI5U7fRXaau4s/z9uyU/uBI8avFixe+pbP8t4PX6XHihdyv6khPvnbP0ylYBPL5A93qed5Nx2Z8SJjaGiI4eFhyuUyGxsbrK2tEYYhw8PDDA8PI6VkbW2N9fV1CoVC2t5qtVhbW6PT6aRtjuOwvr6eMtTo9l6vx9raGpubm5TLZYaHh6nVajQaDdbW1vA8L+1rWmaSx7nLt+CKF2UIbqyvEwbB5Ztn00zHy+VyabvruqyvryeRYo1ZGzLacs2KXsl6Vcp9JWw/d8u72kTqrf6yzvMVRoyPlBwerfGyt32Jd3/wm1ftsXL/Y8N8/g/+MzkjptFMIqOXcp7lFUmM324RS4lt59jOKr/aRGKouhLbsi/PPF+JxPi2ZSOEchBdxSKBMEiippdjnrVhKzO3HD1edg0cOGJ8S/q84Lf+H3/58RNJxvnVJn7IfeoVPvzaJ3J4uEq5Wrss89y+EonxhWEQx+GePoArWwRSCuW1TPIyLsc8GxdAjG/of/R6PfL5fBr10+0oYymfz6e/6KnK8aKK5mpAYRimOlAZ0L4iIdE6NFDf93FUtpL+sL1eDxnHmKZ97qWlU4BWCdql5GcvB0J1EhIC6+z3O5c4a10K6BSTsVslaBchPjc3FCRCQL6Qv2zz7KvMdB3ljVToxFeP/yiozMADRYwPkqn6EX7uHV/jT/7qq4n7XAoMI+Zp19/FSKlLFBnYdsQ35yb4xtwUWCGEFsfHV3ncfWaJQgPDjNnsFvn4nfcjio3tRbRfEguITJ75iG8wVHKRUlBwevzt176P1c2hBKMW5T7/6m0vgMBlcSmJrl7KedbH0RVFjB8GIVKCEJlvXGxgC8mtP/EB3vfqd/EXN93Gn/3Pd/OCx38Zuir20s3zlOvv4b23vIv333Qb73v1u/i9n/wrbCFh/+q2EhFAq8KLnvBP/N2v/xF/9so/5b2/9m4edt85Os0yGDsb15ZpYojkEnCp51kH3PYaTwiBUS6XqVQqOI6TXnOCIKCiWOdiVcKvr0q6hkJfq7rdLpVKhVqthmVZaV+pUtGq1Wp6NWu1WjgqA7pQKLC1tUVLXaOr1SrVWg1DQNDzz3IQSSnwPRu6pC8/sLftEiEJQxM6mfc9OzmZ9tt26RY4Pr3IrS/9APiAAb/3/qfw8re8lE5sgrmd6p+IIJYxzWaTXtC7LPNcqyVGsO5rmia1Wo1KpUJXPYuu3W5jHD16lImJCWq1GqdOnWJpaYler0e9XqderxMrdpnl5WVKpRITExOMj4+zsbHB4uIim5ubaB2FQoHl5WWWlpYQKmmlXq/jeR5LS0usrKwwPDxMvV7n8OHDrK6upnQDExMTTExMkLMtOu3WOd7DWIrEDlGv/oMiZvs9ZNJ/5+9sRqSA0IKenbxCK2m7UIlMhopd/vyX3sHYdBsK8Ad/+2R+6Y9eBLkArOhcfWpXPrW8TM/3L8s81+t1bNtmaWmJpaUlHMdJ57+lSPdXVla23efGASNsvyDRhuhWGd9zztolotggaJVgqwyes213xAK6haS9Z1MuuIyNbDJ+aINqqZMskq0yhOa5tko3D1vK4NwqgZfn0OEz/MOd1/G6dzyNn/n95/Hz73h+osN3to3TqN/u2Tmh6XLM8046UhwHiRhfCKgWc/z4Wz7Ln/3ddxL3eWSSs0K++MY38fCZRfCACrzuz5/Ba9/xIh7/+K/yY0/4Cvc/fIofuP4uCAAT1tslPvyVhxHnBJ//l+O865M3gNMjh+TRxxe48VFf5xHXLTA9skYt30UISdsvcNeZcT725et5zycfT9stQNGF2MCQgpuf9QnuM3GGuAdGXvLBL17Ph7/waIhUQnRgUb9mgf/57I9hCbW9GfDmDz+VuxbHk93ED7nf5BCf+p0bKectwiiZh0s5z7r/Tu9n2iNLO74KO5C3yEtM2A6SwrE6+UKJ87vPJfRsHjh5ip96zqdhE3BJdo8QRksdXnLj56AMZcPjXX//ZAhsXv7sj3Lry/4GQ0jQ5oBMzqUjcYdrJ9e48TH/wouf9CWe/9s/zcnVQ5DrIWLB8274Mg9+8GJi25RhabXIh+94HFST+AjdAuNDW/z0Mz+rSh+ThfoXn3s0d52cAicAFUw7fPgwkd9hee7cZJ/9nme5B3lLlszfYJdVtZNk++k+u634rOymr1+HSM+Fnfvfa+lXIyRza4cwLPVGD9bOFJlbrtFo5sEi2Zk24DHXn+RdP/dOHDOEyEACW508bAEtoA3drK9F6Y9iA79lJn1aIFsQnnOsqM/ej0/Jfs/zXpI9fg4UMT5SUnQMXnLrp3nfR+8+z7FyI699+4u54Yav8JInfZn7HVrhhgfcDWHybd3olPjoVx9CnBN87s5rue0TTwAz4lBtiw/e9Mf8093X8rEvP4S7Vkdp+jZDVsyPPOJOfuNFH2S00El2lRI88/Uv5yOfezRGyeUzv34rNzzou8mNqAK/+p5n8Mb3PwcqCYMwbp6H3vck//gbv4UjosRwNuHJv/ZKPvPNB0DJBTfkvlM1Pv6G/8RQOY9hJSGCSznP8kokxq9Uq5imQa/vKruzCCh6fO5b9+EnX/sK/vD2J4N2itow2xjhx37/J3jJG346WRgFD+yQtW6Rp77+F3nlH/0Yn/r8I1k6OU177RCLZ0b44w8+nXd+6nGJHpnYC0998HdAGuc/5S5UhEDGkq2trcs2z9UrlRgfKc92gu0lUoAdQqVLLu+ftU2bRoxd7kC1A3k/6SuS3/E3higON3jGUz/Hm17+bj70a7/Hl279Db72J6/iRx/7lcSmILFD6qNNMCNk/5X03ymXe56zOrJ6jQwxvrG4uMjCwgKbm5vU63Wmp6dxHIf5+Xnm5uYwTZPp6WmmpqZotVrMz8+zvLzM6Ogo09PTjIyMsLi4mD7sbmpqKjVs5+fnmZ+fR2e21+t1Njc3mZubY3V1laNHjzI9PU2lUmF+fp6F+Xl6YUS5UuMs5r/ziZA7+rrOWWKhAd08L3zaHXz+zW/iI695K6967id41uO+waMfNMvDHrjIsYnNswxVy4xA3Ass5xP1R5mcOobj5Jmbu/TzrIucpqenmZ6exlc0lgsLC9RqNY4dO0a9XudgEeO7XWIJpso3uOji5nn18z7C+26+jYdOLia2QwTShZNzI3zpn4/zryfHIVOqu9dxstNuskd3Jck3vFhMHtHpeZdhnq9YYnwgjjKBqn+jxFKc/cdz8zz2+rt4/Qv/z7ab3YEPffEhPPlXf4WH3vwabvilW3jN+58NeXUl7pP+ppwVn+MBjbTPYw+RSDzPJ4zCyzfPF0CMb+jtaXh4mIWFBebm5vA8j5mZGWZmZoiiiLm5Oebn56lUKszMzFCv1zlz5gxzc3Osr68zNTXFzMwMpVKJubk5ZmdnAVId3W6Xubk5FhcXGR0dZWZmhrGxMZaXl5mbm6PVaqktbgbHNmm3trYJYC9QRPY7K6Fke0lLZKRu8mc/5msY+eQKSwG+euIYz/3tn+Ezd96frW6BMDLpxco26ZfYwNd/eJm8HlBfTTyueoG4BWZGN8g5kfLn7yDCIAojFhbmL9s8z8zMYFkWs7OzzM7O4jgOMzMzTE9P02w2mZ+fZ3FxkQNHjJ+k7vcHq84vXk/lgAgggJkjG/zQg+5O8ioCC4yY+khz256wYHFtmKBZSW4yPRukwdMfcWeiI/vHFTEENqcb1eTIEYk/5Icf+S1+4FF3wsYQbNa4dmaB17/gQ4lL4zznSxhsO8QuxzzrnSPcgxjf0OeV53mUSiUqilC9oyiBhEqGrVQqBEGQtufz+TSaq9uCIEBHeaWiGegoWqFKpUKpVMLzPDqK/0qPZ2saI/VIb9t29j7s+8WME09mT/3hYsjJmPe84l185M1v5heffTt08yysD23bEy488fq7ef6N/0A173J8bJ3ffNl7+Zmn3ZEcO9ndw0h2jju+fd22lRtCzXb50Kveyvt+5a28+5ffzmfe8Js89LrFxIW/K/zE5iiXyxiXaZ47ap719TU7nuM4qQ7j1KlTLC4u0mw2qdfraen+4uIii4uLiWU9OUm9XqetmHNXVlY4dOgQU1NTjIyMsLy8zOLiIq7rMjk5yeTkJEKIVEehUGBycpKJiQk2NzdZWFhgbW2N8fFxJicnqVQqad9eGFOqVO7d4sj7fOPEFF+dm4Ky+sMEiQv9GU/8Jo+/LmHv+8svPIpe10hsihCGci7v/4XbuPPW1/LVN7+Wm1/4f5PFs9PQeZ+/+fyjOLk4sj1GD4bzLi986hd5ydM/R/1ok1Yzx6lmJfG27iRSYpkm9ckp8vn8ZZvnMAxTHUEQsLi4yPLyMrVajXq9zsTEBEasyiD1PRnlvtV3ZN2WfK5Meb5q19tZvMPVs7+v/pm9U+v2OI6JZax8X/2HvqRWdqGaeCYpQ9HpbZ/1Rozn5bnpPc/lTKsMI0AxOTqIlT+t4PP171zHL9/2PALDgCH1vgnHZpoMTXrc9d0j3PyeZyWLZwioQrngJXaFHbC2OcR/+8OXcHqrkoxR2h4DC05vlXnO7/wsf3rH42AswSoqYJtnG64Skme7iGTuLvk89+nYaTyAA0eMP1It8OP/6/O89+++nbjPYwPTjHjF0z/N9PAGvdAk70R87GsP5PavPhScxAWMkNAu8X3H53jZjZ/mEdfOUcr12OyVeOft3897bn9CEhXt5nnSQ77NS576eR40tYxjhaxsVfnst6/jttt/gFPrQ/yP536YsXIb05T889wk7/nU45NUPwG0ijxgZpGffNodPPzaeYbyXTbdEv949zW855OP5667j/Pgh36L//qkLxIHBrEBb7/9SZw4NZaM7yVR2U//7o9Qyhm4fmLjXep5Nq5EYnzCLi9+0+287+9Pns3s08kk7ErA6W17PrPiORBaWMUulhXR823iyIJCxoPaLYAU2EUX04jwfCf5vbyfeFw7xUSvJPl/0Tv7qPEcCCxE3idnB/R6OaSf2+7r58DV+SUyabPCRKcX8sDpGn/9K4/l8Mgwh8cSBqVLPc9XLDH+tUeK5577pW4S4Kq0odpOFkf/wiCxDSh3CBF4gU1sSrWIMn2KLhRdgljghXaSsVVtJ99sIaHc2R6n0LcwUGNUOkgzxo8spBVBRbnp1RFEVWGtdJJUQY01khwdzVMtJN/8f6/0z52WC5nn88mBI8avlfN8c67FDf/9bwmlBHPf1u/lkabHG17xeF75X66n3d2OxF7qebauRGL8rhfwmAdN8YMPm4K2f65teiVLL6J2qMQLnvogcvmkYPlyzXN0JRLj67S517z40Vh5O3mQzdWyQFouP3XjfZkZS6iZdps7LsE89x8xul0bt3AAifFdRdh+aKjAm/73v/L6t/9TcmuxjXPP/itJ1jv84BOu429+/al4rS38IOF6vdzzzJVEjG8owvZTpze55UWP4jUvuwG6Pegk5+oVJ70oWRg3HOf9t9zIUKVIs9U+MPOsPat6vOAgE+NLFWXEtPB7Aa9/6WN53+tu5P6TQ9B0YcsDL4QgSibeD5NXL0radmvPtu3Wfm909BSGc9oj8CPoBNBwqToWv/iih/HBNz6TsaE8nU5SonhQ5tm5UojxZR9h+9raOt1um9FqAc8o8dF/XOJjX/we35pdY80NiBGYlpmEUzKTrM9PCcRZIjbLxNDe31CXIBqYVnJknaXDVH2RxJHiwhAC09TnuCROyxi3dURRRNkUTI/mefIjj/Ocp9yfBx4bZuXUEp2uh+M4B26edyPG3/O5snKHlPmtrS1s276kKfNCGNz3umvSZNx7vneCjVaXXL7AxOQUwhC0mk3OqOLvQ2OHqQ2PgJSsLC/TUUXJE1NT2LkcPc9jeXEx+UNWKhw5ehQQNDY3WD9zBiFgbPwo5WoVGcUsLy3iuS45J0d96hiGaeJ2OqwsLxHHkqHhYUYPK5rq1RWCTovhisOx6eNpKOB73/teejQcxHne2NjAVNloenGYr3rVq26xbduwMywwPRUi1tsRKuM5UOFkW3E/ROqOrbejrA7tvtV9yYSk9T3dUuHk/vGMTMGvEIJczkYYSb5kFIUQhdSKOUYreUbLeUoWFExJ0YKhUp5D1SK1vE3JAkdEVPIWI+U8hypFyragaELekAwVHUYreUZKeYoWFAxJ0RbbOhyLogV5I6KatxkpFxitFCmr8QoWDBUdDlWLDBVzqq/ENgUYSWllLJOtPVBPQDjI86x1yCT0Lw8UMb48D2G767rYts2xY9OYpoHreSztgPnMmTU2Ny8+5iAMWchgrtfroFzR58M8rR4Z7nnegZ9ndeM5WMT4/TqyerM6LCvJ3DZ3wSwUr9jFxrz7eOfHbGZoEHbScRDn+cAR4+stkV0I2w3lDhaqWn2AeX8wHzhifHlhhO2cPHmSnsqqHmDeN8wHlRh/W3Zq36ltL9kJx246duqblf9ImA8cMf5uOnYbb4B53zBvJ/v4vs/s7CzxBSb7nDhxAt/3KfQloSTPTYEjR46kVvT5klAqlQqT6jFejUaD5eVlhBBp3iOqqqvT6ZDL5bj22mtBhaUHmC8+5m4S49lO9lFGCIayXLOiV7JelfIyE7brFT/AvL+YDxQxvjwPYbtlWUgpabVaRMohNMB88TErR9gBI8Y/D2G7bu8qxrsB5v3BrKO8B4oYXxtcMmN96/E0tjAM074DzPuHOY4PIDF+ew/Cdl/RL4+NjWEqquYB5ouPWR1pB48Y39iDsN1Tj/DOq+rxAeb9wewrHnTz5ptvviWKkmfaB5nEEEulmPkZV682mLSCrNKo79npjuOkW6ivjB3dVyp3ca/XS7fErI4oilIdIuNyNjLJLLHKxh5gvriYM4tFHihifL1N7kXYHkVRUlOrXNEDzPuD+cAR4+tA0F7j6W/aAPP+YhZCIJaWlkLANAyDkro7B0GQ3p3z+Tw5lYjium4KoqieyxIryiCZpYxUhTmeokMsqKRY1B0+Uta0vopFKjFWqjNYRx/1ea11WMpn0FEUAqZpDjDvE+az3Oeu67KwsEAcxwwNDZ3l1tXPL52cnEyt2tnZWby+Gs6WIlWXqoYz69bVSSjHjh1LDa3Z2VlCVcOZdeuurKwAMDExkSahZF3R11xzDYZhMMC8P5jd/lpZY48Sf9kX9dM/+0VvUVLdv7MS70LzsNd4u4nWMcB87ngXA3OK4yAR4+v+O71/IboHmM/F2Y9Jy16YVfu9zz5vHQDC9pMnT+L7/gVncg8w/5swJ8fKTqtqJ8n20330SttLdtN3b3TobfF8uvplgPne6cgePweKGF+eh7BdW98612GAeX8wqwVysIjxq+chbG80GrTb7VTvAPP+YNY6DhwxflZHVq8ez8xEGQeY9wdzim9ubi4ETMuyGB4exlB38WaziVQ1lfrO3Wg00njB8PAwtm0TBEEaIXQcJ6UJaLfbtNvJc0j0N0aqyKH29Y+OjmKoAJCOEOoVj6oDdV0XIQRDQ0M4quh3fX2dSMUFBpj3B7OUMjpYxPgXQNheKBTwfX+AeZ8xOweSGP88hO2eCiYNMO8v5iAIEGEYplSTOmJXLpfTO/D6+npq+Bw5coRisUisnoEaqCQUHWVst9tpif/IyEh6bz99+jSdTgfDMDh69CiO4xAEAcvLy0RRRLFYTN3IzWaTtbU1AMbGxtKs6OXl5XSSJyYmME2TAeb9wewnof/owBHj6xUd7kHYrg20Aeb9xWzedNNNt4RhaPQUBaGTuTdnB9Jbov7lSBlXOVWTqT+YUGenpaKRuq+l6kL15OjxcpnMpJ5KYjHUNmcqSzo7XnZLHGDeP8y5XE6Ke+65J62V1SX+W1tbKbvt2NhYum0tqUdeW5bFsWPH0vNsfn6eOI6pVCpnuXXPnDkDKupXUQz/OurnOE5KS9DtdlNG3uHh4XSrPX36NA1Vwzk5OUlBJc7Mzc0RKMNugHl/MEspo4NFjN+nY6fxzEw53wBzIv19LwZmOIDE+MYehO0aeKgcSlkdO423m44B5r0xKxwHjxi/sQdhe7fbJZfLcfz4cYTi4xxgvviY3f5kn4st+hvTL3KHCOFufbOS7aN1XGzZDcd/JMxZOXDE+NYuhO3aWt9JR/94A8znjnehmO2DTIwf7ULYXiwWUx1tVa01wHzxMZcOMjG+6Nv6dHukjC79jRpgTmS/MMMBJsZnB8L2QHF56vGCIBhg3gfM6og5mxjfdV1c10VKSTFD2O6qSJ6dIWwPVM1FEAQUM4TtWoehsp90jMB1XTwvoXfWY/q+j+u6RKrIt6AyoLQOK0PYHoYhruviqzzMYrE4wLyPmD3PS56YKqWMoiiKDMOIDMOIgEhKGUkpIyBt121RFEUqMBMJIaI4jtP3dN9sW1aHbs/qyI63m47seFEUpToGmPcHs2ma8f8H8M6FWyLfs1MAAAAASUVORK5CYII=</t>
  </si>
  <si>
    <t>Evadin</t>
  </si>
  <si>
    <t>data:image/png;base64,iVBORw0KGgoAAAANSUhEUgAAAlAAAAE4CAIAAAAbz1q4AAAAAXNSR0IArs4c6QAAAARnQU1BAACxjwv8YQUAAAAJcEhZcwAAEnQAABJ0Ad5mH3gAAP+lSURBVHhe7H0HgBxJdXanSZuDclrlnLN0unzcHSYdYLLJhgNjwCYYTDLpTHTAP7YJJplkDLbBGI7LOsU7ne50ujvlHFfSSpt3Yof/e696Znp6d3Znpnt2V9J8euqtrul+9erVq3qVulu2LEuqoIIKKqiggmsdiv23ggoqqKCCCq5pVBxeBRVUUEEF1wUqDq+CCiqooILrAhWHV0EFFVRQwXWBisOroIIKKqjgukDF4VVQQQUVVHBdoOLwKqigggoquC5QcXgVVFBBBRVcF6g4vAoqqKCCCq4LVBxeBRVUUEEF1wUqDq+CCiqooILrAhWHV0EFFVRQwXWBisOroIIKKqjgukDF4VVQQQUVVHBdoOLwKqigggoquC5QcXgVVFBBBRVcF6g4vAoqqKCCCq4LePzieeVr6RUUhoyZiYA4qmo2DBimJMuSIkumJcmwTfwXwAUyXQZSFEvGifgpc0EhsKyeZHdPPBZLxuPJjoQejyWNhN4XTaaSuh5P9iR10zS7ehJSLNUVT8mm2d2XUEyzvS9hGIZlmLGEoVhWSjeSyRQkxMUJXAa+sqyaZiyaMJBIVuaCgRooy6GgpgU1yqIsBVU1EFRNBYqQasJBS1NkS6qqCeuK0hDUApoSDmqRcEANB6oiwVBYC4YCtTjVlNpISAlq4apgVTgQDgfrw4GamhCukWrDxanKBtQOgThI+bK4XKB7FJBJkQp3l0UYkaKAkBIEF9fY16evrKCCIlCKyQ4Jbw7PojpeQQWDAfaFtg9NHto+nNCRYxCvihaTLRCtJExRZhc4JBKp3st9Z853XO6K9nTHenoTvdE4nBkCXV2x7t54FyiWTPQlYolUPJ6KJVNwaYqqqNQUy4ppIWEFkiiSyqlTJElnyexQ2dfIuAb/4WxEq41rKGSZFAdh6SKWnHNFORFZKxbEnysh/kMwVTaESPCpJAzcjARHq8MV8gX4CR6GfQtFSDrVQYOlM5gNHS0ZUhq4la63EEqqakNVCG4yUhWqqg5V10aaq0KNNeGa2nBdc3VjJFBTV11bE65urBpfHWqqjdSNqYazBbehQCmmjwyWgVUBgQzb+YnICiooHFz/7LB/qDi8ouB/AfiNUdWycO9eBKiJxl/2cHlhJi71XbnUfa4reqWjr7e990pPrL0r1na5t729r60n1tsV7YsmOnpilm6oqqzBY5LPgj8g70VNK6WAfwTysGBpuylyt9TuwqVBFBpwsP9AkriaPARdzGGKFL/ypeyJKcL+D2aIxy1wSBiZcQxnLx0uGkid7iUJ4G9luCmkLbiJrgCEQjbhxxDHKVGehTw4ihhxC66n+0gRGKEiQLfQ/eheUIbY/REgOwhn8IiWwacKugHEEekY6BLohq4qYyOhSH1VfX1VQ0P1uPrImHF1jQ1VYxqqGmsjjc01k+qrmsfXB5qrScjBgOQhMudFiF1BBUNiNDq8iu1eSxAtr7CHgZpv/CCGIgP9WoBpRpPtrV1nLve2wZNd6LrU3dd2qaftSu+5yz2dGKV1Rzt7Y5ppqoqiSRYGehCFPBmGZezByKXxcAFHSkxISyF2ZAiQfJwBDtgZwa8sGhs6h0HU8NvxfFk6zLA5sJ+j0RaGoYKTAH7DT+DlrDkDKKRggA2S4OlceE1yTmnJiK1h4sQpA4nGKZOLpd9ELP6IUzqnv6QB+oF+TfOj/5k+B64UYqeVlwF8OQ++yRcKFwihKKgbcMc6M0YAR92SkpbUWFfVBL84pnZqfTWc4sRxNc3NdWObasaPqZk6qSE8vs7mmxfOxB3IZGoQZHJRwbWGshRrxeFVkAbGBGg7xCjB2Yg4whgKsLvJY4tJ/cKZjrPnO8619bRf6jp7qetia/fZKz1XOqNdl7t7YwlNljVFwsgMrSkNzmQZzgwOjT0auTQwzjEpSgsta7rVEy0gxfMpQFc7ItPB3ABdZJ9TMNPQ0yF7mX0OZD0HXZnzE4Bfxam40w+IVtuuiRmBSIi08lkJQE7SHKbDQF5BMOiPTCr41cnMhWz2RYAOXBB8yjaCEEXT0h6PF00T3QMMGelIs6xSCuNV3YJTbOYx4sRxdVPG1Y+f0jh5fP3YMbWTxtXNmtigjqslhgPBxJCbuiYMSCKEEc5YN7Lz4WIILoBrxPx5BVc9BrRLr/Dm8CpreFcz7AbLBloTdnggis5nbZYUS507eeXYhc7L59pPt/WcP9tx5lJ366Wujo7evu6opioBDEhoDlGCe4NDY8cmyZpKDs1uLdOgtNLnIkFnWCBXyqHR//r+PD1iUIYiWlziGzKZ6s+35HxleBaCTJYzgUGQblJQ3DAFhRyghXEh+UKMEXFm8KklxWkgrYxtrGme1DijuWba1OaJ42onThszZWzd7OljlMYqwScXPD9q6OTVkBAkoUlg9t9wdarKQvZXUwVXG0bjlObV6vBK1mMJuvK/zAZFpkFCQCTtkjn9E/+Ybir6wTDinbFjRy4eO99x6VzH6Qudp892nLrS3XWhq6svDucVkCUNXW0ZLYwCEtOOOAVHMUFGB5r64xRwRmbGYRpBDpRiBdcYUOIwAB6B8VSt2OQpySZ3iOD9MLBH60PRGBvSuNCg7bCSbiEsJS1LCQQmjWuYMLFhzuSmqVPqJ09unjK+fsHMscEJ9XYSOSALY8OCCbpsvoKrEJU1vAqyNRl/MzM5iHS5EBEjLrZ/yms6Zl/i6KELR860nzt9+czZ9sNn289fpgnJZDwJxxaES1OUgGVhiCamH4kfNVzpshdpCfYUhbD4hSJ5DUylrjdF8GXXkMMrJBu2lq5DwDDg0sgAMBQzaf+rYZqaosDVwQBMC/G0WCis1AY7Rl5+pFgxU6qbKQR0M4lumCwncYumTWqunTqlac6Uphkzxk6Z2Dh7+thpLU309MXAcCQhzDUfBv+1gmFFWQqi4vCuKqCwoHJYgpi9EUB/GBD+Dw2GbsA5DWAuhtF7qXff0YsnT7TBsR090Xb0Ylf7xc7OnmhI5hEbLbDJqirDw4lVNdyULmCEHWVNLVJuCuJHcZUdL0TNvcgdU8G1CyprYQ0odz5S0adjcBQtj8sesndxmP/bdzAoSMuFGA6aOggBiTbOJCSpoSo8tWXsrKnNc2aNnT65afb0MXNnjZfqBvCCQiCCbhDnAPfJyKrJSVM8TsmzFvaQTAVlQa5h+ARvDq+yhje8QFnJPA/Ee+JRQ/F/oDqp672XevYfbTt+9MLJ8+37j18+de5K26XuVDwRVhR7Q78Ct0ieDb5N3ER2kGl9hFGIM4Rdttc/xomMQdm3O64e5K6rGYUo43qEKHmntbhso0BkOPS/nZsvSgRmzC7QMCxd11OqaiSNmCzXVoemTGleNHPcnOljZ7aMmTtv0tQZzVIQNSAXaMrE3AP42E0iceVABSOByhqef/Bfj2UHuaL+YpvmhZ795zsOHrp44HDrmeMXtUjo4Pn2y60d8d5YQFVo3KbIATi1gKqinFUamdmTRgSeY0QUfsq4ugoquOqARoz6beSrRF+QTuHA0DvUDTRSetLQLdovmjRMDAfHj2uY3TJ2/syx8+dNmNEyduXc8dIY92ZRDCOpTlDrWHF7I4HKGt7VDeiZ/AqIu5DiKCCcDZcEDdrEr/0L2zT7zna+cPrKC/vPHTnUevzM5efOkmOrNs2gYQTg3/hZawzdVAzi6AaRCgVMxIiFNO4I01wN9WcpgiD6thV4w4AarNSQ4YBdZVjZNEQDwdq5KvGWGUU3RCdPLBLCJxo6/mEsaCZUJaEbkbrqOZOaFs2buHj+hNkt45YvnKQN/LwEJ2EnV0FZURYNVxzecAF6Fn6Fagv7GPZPdnz/VTfdiJ7v3He6/em9p48cbj1y/NK+i11KNF6VTGkYrmlwagrNSaIC475s9XOulziRXrbILKuIoyjASu2t4KoGmbPDwsmq0yZNBk9/+Igr05ZvH+0f7EVB3Uii5plW1JKqqiPzWsYsmjNx0bwJc2aNX7l0qms50E6GqjNXapBY/8OQEjWatuqgakuSRm/5ofgKikNZlObN4VXW8IoAVzDUBPyDm6K6kVuirZ3PnW1/9vlzBw+cO3r8wjPnuqxoLGIaqGTk2EDBgGKZ9F6p/JZAhen8NXPqClCZcyg/qwqKRT5dkrIrKDdcFp6B0P4gdi6uTx/JdymySo9JmLplJTEWTOpJVY0ljYb66kWzxi9aMnXJrHFLFk6eNm9C7q4W1G6xG5m7s8LhkS/knyooFpU1PP/gvx4HA6WG/7mJxpJnT17ec/DCC/vOHTl49tkTlzuisepYIihJajgQQJXT0DOkuocbxUNLdJeoQhWMKogKhGKxq1KlG3HVAiXIi38WrQnIsmGKUypbeDFZ0lMGjQItKWlaSUWdMbl56byJyxZNWjh30tplU6UG55Py4GXxm1HdVb+CglBZwxsVEOoSkxjOAIehTFokoILqV1RtPc+evrJn98l9L5w5cOLSvtbOUCpZndTVID3gRitwqBqqbIr7WbPEQnAUEbwqcXU5vLRqrlGI7OUWCJeaCOZAzLdlQdek78dPmVuupuK95oC6TIvcFn2Sid9uSnGogPgrTkGmXUfRDTXg9nSaCE2ZVtS0GhprlyycsnLhpAULJm9YPKVmWpPg6sBAluECZEAqlIAdcb2iLPmvOLyC4VQUgpbjlX1QIr1CywkrdqZjz/G23btP7Nt/du/RS+e6ehujcRq9qbKm0PKbXX9s+05bua1SMENANIXpQAWjClwsNtAtQX+ehwU0r4Wi7A9RsBmIfhGBZrmztzjZVjD8EDWRCoWPGYhKOmCAgatNkz6XmOIn5WOWFQqHls6fsnLplEVzJ65ZMWPMdKf/o0cJFfA3OTncrJv0sAQYgtCw6AbvLLue3wtalmpQWcMrFKQnWCc9kU1hmSYbnbZo9p5sf+JY29O7jx/ad2b3ibbu7mhdIhlSFS2kabKsBOi5ADF64xp1XcCDbV0NEL6NOyrc6yfTcDaCg0HYAF2c025eP7YxqsHFUiK4NMkeTIsGfyk9bkkJS9KCgUXzJ69b0bJowZQblk2tc4//cBcbD0h2rNM7beO6QmUNb+QgRloimHVysTPtTx6+uPvJYy88f2r3icvxvmi1rgdVRQ1ocHKqiWGfQlOScI1ZHSMkHOZ13K5ltOHUgW2H6UHtgPpJX0Kg6x0DXz4rDm5ubhTAD80TrfjAJmi7AneHEKBPove7O+h6bQdqHvLI34hAy4gIYSY8fTY0BhAXKRargf5w6gQggewgIXPqDADe073GIAyYu7fUAEBNBr1QTU8ZSd1ImlKfJFVVhVfOn7xy2dRVS6dtWj1daqoRtzJ43AcmhkmbX2wtX2eorOH5A2GLA2Lgnxwxl7qfPHLp6SePPrP31O7jbd3t3bWWGdCUID0moNCXb6APcGA75wDvOoHJ083pr3Ga/C5BX+EzO/+QYx/C0uy8c5gO6dOMTkQpZMxSxGfvhY/hox2maGJCU4oiTBwR5NsY9AuZOf4zRAAuikP0DiniPgDhGhYECbJLsiNFAHchDV1Rx4Y0U+HXQqIDqChV4YCqaZtWTqfrHNj6zAk7xIB4imnGE3rSMKlp4xzAT/b2xdlx0U5ezoK9hGQTf/w1e+ogu3mg/b90A/7D9MSt6VNmnAbnIw38JDLGLOwwBynz4i7E0Wn6Mtuo6ZDlRfHpSIAu5tudkdcH6Pl3LgD7iUBkn70YNbiKouiGwVtgyP9ZUq9hjR1Tv2Z5y9rlLSuXTFuydLIUDtiMbGRUzCCDcSjUdXqNoCw5uv4cnug0kfGxCeI0oNoVEqqwZ8xzdP2D72ze+/zpXQdaz13uqo/GtXAAvfUA2g/qfAGZFoHNLlO3Mzyz54xr0DQLAOmWM87VngKkHPqb1hRfg7/i17S2aI+A0CMcD53T4gdt/+bP6dG3SQHaPkC/IhpnOl0mGyhqcmdwWkpYlSPhIKimNhyJBINV4eZwoLYmFAgFampCdVUBNRRsDGlKKBAJaiFcENJCQRqm45K6UAApNjVVGwm9uj6soCVCuYf6vZvKd6QMItNKxlLJlCEbRntfUtWNS9GkDk8Z161YsieesgyjN54yE6nOhB6PJXFxR3csEU9F++Jt8VQimkzGU3198Wgi1RVNSLoRgOcj7hZlgN8rp1gmfWiXumz0yAstRPLznbwqnXV+9EeUDogUzWWAaKc9UwlSFbBvA8fM3RnHef1A2LOtDGHFQmesFFtvZNYIGaaZStH6H81/SvL8WRPWL5u2cvXMG1e0OCc/mQFu4Vd9Cg5osmAn6G0DqAauiYSrGEI/PsObw7sapzSFlZAtciDddnIXOY1o8sknjj6779yOp0/uOXA20BMNBJQALCmo4SZ+dxEGamkORcKDuvOiLKbhBzKZpUEMn/Ho1m77RCS0yU6LnjGEa6EHgC0Mg038hY51TdEVJaGotZpSFdDCQbWmOlxfE6mri5y/0tPYUDW2NlLbUN1UH66pizSFg1UNkWpcUF/VVB1srI1EqkNSfYQS8w0wGJETsgKOGQj9q1UR1sJX0oYF1lUmxjvQG+iM9fbEu7uil6OJns5YX1+iqyfaG0u2t/d1dcc7OqJt0Xh3ex8Gmp2d0WgiQe8Tl2WNuysqDVrIIyLjqoqhpIJhI/lGGp2SiFS4VLNEWvjP54jJZuQ6g7ACZ9aFpkQgA8TYGmSt0VvQrGTSwOg/alrVtVXrl0xbu3bmuqXTFq1scbwIFBdb5O3QA6MbuVo507qqUVnD8wOogLTRIN1WZZ1c6+GLO545+fSeUzuePna6tTOsyRHTDAQ0jOQUVTFRuQ2DqrslmYhhn2ffebWDyl/YAOdIZIuaLdEzBRzxg0PclQkzSGM8JEOE+CS2joNhGqiqmppSFEtVGgJadSRQXxNubKiBD2tsrp3UVN00qXFMY2RMdbgB8Y1V1VUhetVFcR1YIQOO9Jk1Km0Ft2cyxQE4VTqzfbANEp7PITjCYr8cYhCNtjt9a+bPQHCyExjk4lyIVCiAUJoPBLBtljeCUoCtNytJWiwccKOYfkDuECaZ8asgB88CkGrrae+MXrjc09EV6+qOXemKtrd1X7jc19bRe7Ez2nOlp607aiRSVE3gEWn4SGNH9ouyElBULi+VR+csHCNrJEXJwvnCDf0zUSyf0Q1qlJFLg9dLqN9nwvOlMIw3zYSmLZ4x7oYNc1cvmXrrxtmuJ/+ISEXXBCpreINB5CJTkQZG7q99yd27T+x69vTOPSef3ntSjyerVDkICqLy4mee34H9cFNoj+rI3yGSp8+GSCsvyqGy0u2C85N2U3TCf21vxwuQaebiR5I+Jwc4UYRLMy34MBqewaWhrqKKoqOgqXFVrQ8G6sNaQ0P12KaaprF1U8bUjpvcOH5c7cT6qrH1VY1NVWp1WKoK2hyHQE7qPLfDzTpkg7TwAcIxCHvAKQJO2xBHcY24zN4XwEzAXMSLUwpT0L5S+DzEiFPAngAvGE5J+gO/Zn4SYXG9AILIoM7deYHMBQhANgiMnwQHxAud4JQi0pHieqElBMUF4if8FUkgRJ1CBbnllPiCwRFPdVzquXCp+1J735XL3a0dfZfOd7Ze6T13uafzYldbZ68uSQF0H+ER4fxoxhQDRPq0IrqRPD7MLVQhkgAJlpYQoDDVSaqZdJvIAw4ikoJXPVDvNFVGQXMzJFQjVohRcPhj6Ohg6End6rakaZOablg3e8PK6TevnlHf0kyXZsF3ZhQowgJODY9elEXIa8LhIQuiehNkKalLQR4HoBagPok1C0bqQvcjTx176umT2588dvjclYhhhBXaPkcPx9GwjzMEa6CjfYttJRSZyey1UrUAyilXCcodHYUORNfSbvQ54/SH2nx4NUsM0TBSo76nrPSFAqFIuKU+Mrm5esLY+jFTmlvG1U2a1jxlXK1iWOObqkJ1kfwf53Qio2EPsNdoeWQmPhmIgCDkBSQg8oUjrhdxIufiArqeW39xGa4RYfGruCBzFMj8BAiHKuDMk4iDQSLgvFeAEqVGjcK4nfxrmi2O+AlHKhR4DHbt+VIHBCsRqZv2Ao+AkE38lLkrc7GA61RgwEjCgJG56Iydv9B14lJ3x6WuC5e7z57uOHO5+3xrZ9uVXrjDEOqgJNG4EDlTMSykaVJUXJpZAXP6agFNyVDqSAomCvPLzLJwDMmQV7yrECIvlC0uYgpw1iinWSAK/ctkUk+YVp9h1tdVr98476aVLTevmz1h7nj7IgLfJcxJAD3TAFeNTG9vNKIspXkNTGmi24tiI8OnsOiiOpR1/uCFHXvIw23bfbzjSne1IgVCWggVLKDZORe2JUBs0jVHRHKd8hEe1J0XHiUkG4De0EgqkgJl8uvkxShNx0GnFYVEIJAIBVsaqqeMqZ4yvn7CpMaWlrEtUxunjq2d0FQtjanmvrsL6UECRgzEnbNe7lYpW5rstDLI9pfT05t0ZXrqD/FoEcQ1dg8JUZlAmWUuCEIMHHPlMY2suaKDgiyIXAA0LGDYeWeFZPTAc/sULguYM/HPVKc8aVlW95mOU2cun2ntam3vOX2++8SJS+faui9c6IgmUmEa7SgYHdKgUFM0eEKco6RQauh5odZTjlBMostbvuyMEEQBkhYH0l86Urx60DKMVMqMG0afJYcjofXLp9+6cc6N62dPXTCRrxYQHLkPBwjVjU6MxinN0eDw2Mq56EXzRDiy98z2Xce27Dy667lTyWiiSrGCAS2o0RuYacxnkH1kX1B5FYHKql/FFpGAOz5PE5AucZQ97xEhf0YrBYlUSlbiQS0WCs5pqG4ZWzt5ctOUKU2zZo1vmdY0vbkm3FwthQeceGSG5NW4Gy74I2UK8CnCFJ9fpBLB/AEnS9HoEyhVDpQKDKeiqWRfgrZF6kZ3XEdT2xtLdqYM1UA/wIzFk6I7BAVGe+PiJpyTjdGmO/PBR/Zxtm1s2jQPR0NV6oIamu90OdAtFBkJwkDhd01VrYsEMNhJqNJETQsFVYxxGmvDiK+qCihBTQpr9kCwFIhUxSRgVjaCfZYb6QXIIeREiYhyR7mIAFIgMxDx+du1nvipE5ePn7ly4VLX8fOdp45dPHGh69y59riuh2QpZJpKQAtgmBcK4Eiqy4peQC+VZLCD2bAICC5Dchg1ILWy5FSo8GIwTkVKJWnNL6qbciS8afHU225bcPOGuZOdIz+03kmD9hvTzaMPo9Hh2aYxUnCowzL3PnnyyadPPLbz8O4D5wPxRESWAgEVfo7qlyyqF+7gmSJR8XCkV7sOrdPRYvnIAIqLzFs0F3RO8TTvwQH6MS0st2d0uQA8m4RBG62uwbfpBoZtclc42FRTNXtszYxJjZNmjJszY9ysueNmNlRHxtbkcWxQmIl2mlYUoD2kJdgLfQJCABpYpCXBEX1JsdMEmscFqmpfDPA14k6urSJ/dhbotGTdp4zE5d7eaLK9L9HZE+vrTfT1xqPxVDyWiCb1y1f64vFUoi/RHUt1xZNwaH19CSOpx+IpjCrUZKozqad0QyVJMIogKXg9F3/Jl1ELgdERRKU2li+iPw5R8ROGH5IUzP2ydkI3oDpcZyq0QpYBseLyoi4DsxHvK0aSiNH5i27woBxPhN8QGVLVak0Jh2kDcU11WA2o4epQQygQjgRrIsH6hqpgOFBbG2oMaujvV+GsJozjhNpIXU2otqFaqgtlVF0MuLgGgaMESVbYBtU4DMh4WCbWIMU1dlZZEyJs38iGgP/5Sr8jevTE5WOtnWfOXD5+7NLhs+3nz1w+d6UnrMpiajSg0hohhoO5XpCRkQ2AGAQ2vXSQE+dwvtRHG4TAIKp3XBntbKRBL/w0EgkjapqBmsj6lTNfdMPcm9fOnDBvgn0BwXE94CzEEUNZBEBdy81qcfBybx6I6kE1m2sIxENYFfOWGJ9RQ5u+0nruieM7nj7+2PbDz+w/GzSMsCwFA7Qgl64/fBm3HekwIvkU56OiUIsBSU3rFrR6gVNoCe2unSPOEA60o59+xTgBji1lWhjN4tiravW1kUkNVdOnNk+eNX7h1ObZs8bOGldXPa5WqgrR7QOAEhkCSIpSRQOMhgwtvKMhYxntoxiO2DGUC7qHLhtU/zCAeMqIpXoSemdP/MqV3itX+i519nW09fT0RHu7otPnTOi40tvRGevoirZFk31d0d4oHFusqy8B96BoqoojD/wFITH7CK8F/tAkHAktqAlvZYf5nx01IDgbhcHFhDSAmLwMnL+J8CBC4B8uEP9FLcYRdUWc0eCd/vKeHmZFR0syuEMCwqg0HArUVYUidVXVNeGmqtDY2nBDc01DQ6ShvrqpNlzVWN1YF5nSVNNYFw6MqaHKOBiowmIkCqPkXLPgLBUBMZQ2m6uowZCAmmaWTLTRfFYA8lxnWRcOXDh0rv3s6SuHjl44curK0XPtly92BgNKmOY+ZU1TAuQB0wUry7Qni2+0BaYAyyOOdvyohxA4/YfEzg9YRSqlJwyzTzera6tv2jT/lnUz77p5QdWEOvsKAre9QgvQAAinIjCsa35lUb43h1emKU1oW8zOQ78wSjTraua9A9a+nce37Dr26I4jew6dDxl6xDID4YCm0dcGKCcolXTR83m/sAgABeuzLIovDSS8WKuHY+NhEbRlwLVJOo3aTF03eyMhdPanNdXMnNw0ddaEhTPGzJ0zfu6E+lBzzQC+TU/5YsG2dqlusIisMmr98irPor1F3bHLsdTl9r6LF7rPtXXDpXVe6r7S1Xelo+9Kd6ytO9ad0BVdV/iJaRKTPwvI8tKud3pbBTdhOKeGTGx1oKEVtWVcWe3CzpQ5wWkhgC06H53x/eG8MoMM64FuzHdt2ZHJSG7tdsvDThHX4C+aNBMH7iEZaPG4vUf11mFgspyQ5VpFaWiqbaiLNDfXjK+tGjexbnxjdX1jzbiGquYxNVPG1VdNqLV3CQ0AIRD5YZqqMgw6I+fo6LEhQeGBioPTU/azZMs6e/DCwaMXjp+6fPTIpedOXz5zqi2WTEXQM7asAOy0KoRBoej/kP8jbVDlIqlIHh+qxnBAFPKQyqMipYtoNQe1iHZ7mgnd6EsZ48Y13HrTgts2zL7thjlSY7W4mog7UKQH3IdWBkeq1CK9MmOw1qN0jD6HZ1u/CNgZPrLn9NYnjz6y5dDufafVlB5R5WBA452ViqnxW50oF07TH31IWxuLysicZrKM/whzVuwYBLKn9IQ27ZOkOUkzBZLk7mBgXFV4+vjaWTPGz5k3cf68iQsm1TdPbJBqXLsi04kigCASBdEYkU7YtoqHEDtHRAfQlvUl+rribdFE67muc60d5891tF/uudTR09oZv9ze2xpNBONJKZGSdR0lqWj0Zg9yW0z4L/wXK4TVgvaIvakNJCjkF4mLiVb80xSewRZ1dXSbxIiD3A9pmFVI2qOmPmOPUClfRT+yVfJKL/QKG6QBIo5Mli7Lpm4mJLk2pDWNqWtsrJ46vmH8mNpJk+rGN9TAGqePqZ0woV5qdD405gT7XVFWVMKOUi4CfD8Egp2k2KFqGrNy23bqUs/zB1uPnmo7dPTSC0daT55su9jZVy1ZAU0NWKZGf8j0bG4slDgMjPQlWQjxB7llpEE1isWm4iY5ZQvDvqQeN61eSZ43Y/ydty++ddWM5ZtmZ1w+Spsu5GIaJoxGh1eiaQ4IYTjZHF440Prwk8ce23Jw595TZixepSlhVcFITsZYDjWSv0pFFonSo0oL6+TOYxngg9ap8eB2BSHRnEBkqk4IkPmJALXPlCNugNi9obtNGyb4s5MJWekNB1uaahdMbmyZO2nZoskL54yfOQntiPO1s4DQJPNMc7bnKEQfVkA0DSJ1IZKA0x7wI/2WXwG4uCeO0VjrpZ7Tp9tPnbvSdr7zwsXO85f7znTC2SWC0YSc1JEOuiX00BVKT7g09mfEnaapSQb+VCaSYuGzIlErTFv0EGGa9Pg/xh70gktqqUlQuiqd2UwuRBZwysrkqBGDM3mHZkcBoCVqzshlUSuQbtoANkIa8ZD60tNZdtso8pDRMAO3i0LgpzFha2S0OCJal+hNbyjbFFJT1fHNtY3j6meNq580uWHKhPrx4+omT2qaOakxOM5lwy4MpTn8DgEgqt0H4qyRzbOdoyclpuiIBhqD9iUO7jt/4MSlQ8cuPXfowuEj569c6QmH1LBJ38WDB1Rpeyjbmw2uE+KcFIMjGbMN/AQIkUYhhGAgaIbgqHT8q2kYcH5RS04FtE3Lpt928/y7Ns4dO6/fcw4ukA34m+GyqG94HZ6wRRFg0yQ3QGqy85Y633X/9sOP7Tjy6BNHYp291aoc0tRgkIZydJtQKGmWTrImJaSweYxKiFxDfvbTpqg9lBFyQrTygXjqPUu0qYS+qWUkTLO9KjKtsXbRpPrZ8yYtXTJtwexxM6c05r5bIQOhgqGAq6hRoPaLUofFI5x5TovUiysG6jQkUsmO6OmOvjPHLx8933HhzJXW1vazl3pOdEaj0XgomlAMQ0F3hN44Rc8S0yZyUbJENo9+EK1GWnJK3ZUPnIibRawQL5chRdhNsePm9KngWUE+kPLT+swoD7DVJqJwwm26CALULxMBjnXeDoUjwHcw6I/4HUB1hxcEwdIxVoQXpClTS0qiY6coE5tqJ46vnz6xcfL0MS0TGiaOr5s1uXn8rDH2E2Nu0DQsjJcAA0YIxqzxfiiRKYMf3IY8wgXa1jWgSfSPoQ2iz+87f/Dohf0HW/ceuXD48PlYMlktyRq6bkEaAdLbRrm3YPdfM5xxQPoDJzQ6IAoo/YfgCNph0iEdk2iIUkavJTU01925cS6c3+03zZOq0ysjJgpQTL1w3wKqFpuS/Mm7L0zc8Obwip3SFHZAOoUtphvWeGrL1sPbdx75v62HWs9dqVWlkKKE4eT4tQLp68WlaQiRy6KQAeA1HagYNoEagkrICgdDricwKCOFLnBS15NGTzgQqK5aPqVx3qwJi5e3LF04cd6kRmlMrc3EBrUZtjmVXqkoab5XkAOplNkRhRs7cfjikZOXz5++cu5Cx6nW7mPRWLgnpqZS6CtrKkbZlkrg1wvTSI34MSf857IpXDBRlED/OzKl7AwUzHj0I5P1UQqnfELtmYJwYsDIIUF30X9YCvV64b4Mk4aD8IgpA74woSlmQo8pSkNN1eSJ9TMnNM6YM37a2NqpU5rnzRjTOGMsc3EC3ISJCIF4zQkQS9Rwh2ST6Z8GAdolmj9we9m+Mx3PHG49ePD8Cy+c23u09XRrR8iy6MVMkhRE9y6gcXtGY130GGl9navFKIVQg1NAxAj1DBBJ7RV6KEnDiqUMjPyWzp989y0L7rx5wfSlU+wrAShNeDsaUnNfwCNIoU5p/MGwOTzRK0w7OUk69MypzTuOPPTYvj0Hz1dJZkhTwhpNWdqXoOuEMQL6biW26eUBqSptFEIu0h5CwpGzJimQ+dV5Gf2E/lLKslIpI2laPcHArAmNi6aPmb9wyvIV01fNHBOZVM8ve3QAjYDNgrlxpUq7OpGo+C0/6Mo0Byf64lfaek6c6zxyou348bZzZ9pOnu041B2TMWKLJfiLtZomHJsi02KI6C8D1EIpsBsQTTaiqRJla7cpFVRQBMhFiMFaxnZgRfRYBuyKzIwmR3mOFG4Q48KkqugYdijq5MbqSdPGzpvWNHPWuGkTG2dPHzt91lgp0u9xGowkeSmYWuShwYMVCEPVSsxCceVFICsfI6kfOXjhuRfOPH+wdc8LZw6eapOi8aCmRNDah7QgrqcJYQYSRwh3i+NVByE2yoBWFmjpIWWa8aTeZ1hVddW337zgxTfNu/32RdnvGRk6OTzR4nnBaHR4pAwH7IbYESBkhU5e6rl/84E/bD64ddeRZDJZa0qhEO09oS1DuAzahOnT/kyaQqGZqlHTSyI5qOAdGWO9UedU5Dbzi31GD1Hhn66bKd1AFY3JcqI6smxK86I5ExYtbVm9fMrcqU1Sfc78JL0yCX/AR9Q6JIsAnfLcowD4i1kaEC7gG3CSbjDSlzkRT3Vc7DrU1nfo2VMnjl88efbK8XOdp3tikWhcMwwN/kxTeduIjG4qffOIc0b/EMtujLiL5PgnGp4i47TXLp0s9QKzuqmgEJAur3NwZYFp8TIt24+BhlWVTYO0w+ZEWwrJ3xDs3hWZIq0LWrqRgi9MGbqmJC0pZlgT6qomtoxZ2DJ25uxxs6Y0z50xbvLcsXn2jrL6RaJOiBl+e3841QKH/8OVdDEkEvup+AYbl49eenrfub0Hzj37/NlnD55LxhNVshSU5YCmON5cyDex/FlkBBCpAC6RRhZU3cl5i8YZJ4p4zydaK8tKJvSEbnapysqF0156y4IX37Zogmu1r7+GC0VZlEBNsx0sBY570TKK7KHHRvsTIC5LbFp7Hj/4wI6jDz6+//iZy/WqHIEFoC/ESuTiJxMmTnQ531K6jsoGIR4I2USYu28UQZ6NREUmFLYA3bRSCd0wjF5Vk6vCy6c1LZg3adWqWWuXTJ4wpbHfdx0BUoMbSAXuRDyvjbonekxCJwjgV7FcQTEcmQEEON95+FLP/n3nDh+9cPLkpSOtXcev9ERiiYCuw7FhFE3P5PIHz7gCO4HTtDCZtBDAkaMyBzvGvoYOLikqqKAgwHhETcpYFJkc4oU3cdiW0+T6g/wggRYIxXsVDNosAy8Yl5RJTdUzZ45fMHPc7JljZ80Yu2LWeHViPV+eATdc1LdD1WbnSmIIhydk4HjqhqaPbrgF6zl1ZdcLZ5/bf+7pvaeeOdSa6o3Rtjv0IenNvRq9lQBdYm4EqU/JOaU88DqOTA8A5MnpiCCjfKEWF0hLkp7SY6bVmzTqxze87OaFf3TLgjU3z8u2MLSkyjlERD4+bpRFA94cnnNKE2zEuIQm5WjR+H9/s+fXv9u75eljIcPAQCbE3wWnxCjDfIMIIF+ZI6EQXYwEoCju1/B4VEI3R7yfDKKjO5pETzOWSMhqn2VNmdi0euHklYunLF0ydfnyFiliOzlUKTYdO/9DQCgB11N94AcTSUe5NS0Wbz/fvf/Ulef3nTtx7MLRE5deuNidisZr4kkNw7VgAAmrtN1fRg8aDKmPJm7MaH5wDHJN5ifBcUhWPmG40hkO2GVxncNpYzBPZ5uQxYDtbPqy7O3pMN1L/+l39E15kzPGgqZhJlQ1ZphhTZs5a/yimeMXLprUMnXMmnkTq6c28p0Z4HZUPfZtcD/UxcysTuEXYp4HkJ+lJYEzkkldJ9p2Pn/m2RfO7dp7ev+hc1IiGVaVIL8oQ6FdOVw3mTkF3D3R0QGhXpE7F/gnHqNLZsqgB9tTZjKg3bJm9kvuXHLPLfOlsZm9CAbtU4IyB9MhY1Sv4cF1wzhos58iJVJf+/sHvv+fO7VUsjqgws3ZmwAh/YDKGnEIBTjlyqiECjgdAKAsRVa55uj8nvK4LPea1qQx9asXTlm1avriBZNWrZmZ+zlsXjlw6hj1h8rbPhsYWS05xEqk2s607zve9ty+c0cPnT9ytv3gpe5QNB6wzKCCmqhq8G0Yu6VrDkEoXORi4J5pBRVcu4DZO2ePuEUW3T5+zR498JNU5KRuqaHgjEkNCxdMWbpw4syWsWvmTwpNcbtA2omCv6hHQzdi/CEnTaV0RSC3q3ruyMWndp/Y9cK53XtOHD1zOWIaEUWG76MFnsy79wZMhX6x80OHdHDEQY4Efpqno2R+OTv0nkga8ZTeLSmLZ014yYuWvPqOxWPn2+8zs2hJ1R6XD4xR6fC47EWrSu2puv33z/3pZ35VHY9X1UYo8xBYdJFUmeY5UfZD28owwjYs/u82Hf5JROJo0WocvZJOkuNJvaq+ZtXCyatXTl+1cMq6tTOlWscbTCyT57xZJ+JoxzNDgXQkX8sh3uOVA12Pnu/ae6r9mWdPHT3SeuDoRbi3SCwe1HUtoNHeaFp1o3EfySi42NkRqwXpLLEh0rwRAhlhrlpc9RlwwGEQFZQNVAfxR1QEmqLhMP1AVYW8l0Kts4kKTq8s0tFGB7S4bkSCgTnTxy1bOHnBwkkL50xcsmDiQJ+4SpdhTk0Xx0zbCB+JoaG9BmGxv0Td5YsY8dTeZ07vef7UjqdPPb33VGd3b7WqhOD/AipcYLbOEjdnBYBDoVGVyIcdN3IgQShP7AiEPCSw3d1H5yKWNLoNs2lcwyvuWPryOxYuXj+LfrKRVmMOypIpbw7PMKgUaRqTvPHf3vfb7/z75qn1Ebv9FUdhCiIVETNKIASDRPhLlcEejFHJsZimQXMhScNK6GZK1ZbMm7Ru5fTlCyffuGZG1eT+EyADQazuOrOPAIIU2c/DXek5dKbj6b1n9u0/d+johT2tnVJPX00yRa9+0BSYvsrTkrYOs1q1s0AQ2qWw45x+5VNxYwUVXG8QtQHI1G0B6gZS9aAwHez6Qr1VqjT2jrOUadGOGEma0FizeCGGgJMXzZ6wYtnUxqlNdH0GaNzR1sOx0XoVz3+Cn11JESCnSoEBZllyKmbsdPuWPSeffubUtmdP7j9+sZZfgRYMB0JwlrTwzjskaNsMcSYXDv6gka3dQpG2JkWLJHINIekvg1SPLkUiqffqphIO3XP7klfds2rVDbPpN8mUk4aU87L1suTIm8MzDSpjSKZpn/nUf//PL7Y2NVTTfNqIF0BhoA1g6XlzmBHENpKpZNJIyFKPKU9url2zdNr6dbPWrpg+c/FkcYsAxuOUvyFVJ8rb1kSuoVtGz4krTx9r2/vs6UMHzz53ou1kV199PBkxLSVI75MJQB4F/TtWpLAhz/BQ0qMFV4FVFYxroDiuMmQrI0OcimIYMN7+lZ0kRoMGvRPC0K0E3JJBLyGbO3fymnkTFi6asnxZy8wFE3IbPXZv5PaYC44IA85LnOB7OU1HQ2Gae584vmvPyR27T+x+/nQiFq+W4BQUevmL6P6Sz8PRn/bBEzhzBM6uLU8m4ES62YzHkz1JIzKh6aNvvvENb99E2TF07hDwBTQk8D9Xnh0e1C0pv/nZEx/+3C8nNteoKcMIqCO8y2hAdYswZVZ0QDgKytWNBIg2N+sJLbBk9oQbN85ZubTlptXT5SbxElWGeLgE+WK/yOtwtNHK/nVA0Lwm+mG4jBFPtp5u3/Xc2b17T+8/fH7vycvJvlitYagBeq0/DeNwDXiL0bGQE0cyZlrQHkl9VlBBBVQZqQ6KXjJ1kdEqJHUa/4EMI6lqs2eMWzNv4uIV01fMmzRv6WQpkB2v2F1k0YAM2G6IODSnqOxICyPFlE6L/Y5H4C8cvrht17HtT5944pkTFy5318lSUFVC/OYzm+OQrQS3KyMPEoP0CWWaKbM7llTHNPzwC3+89Jb51FGg1g8XjEKHx/PU5qW+Wbd/cWpYoxcPGMwtbRwjhPTEBc1g4CiGWRzmE3p8lb+LHzXMmoba9Sum37By+uqVM+avnEZ3ZcGDVyCTnYyuECDDFSDudpCQk3H9Us8T5OFa7/vR1qreKE3NqzJMNABTFtMR4AwTV+0OID9yJEwBp075BT9PoASucvihhtGCa6A4rheglWQnZzcF9hHWyAMstM1oUxQFA8AkOsNJPWZJCVmeOX382oWTVy6dunz+5NmrW2xWWeSWPw0SOIAWQEyboSVAcyqSE+2D460UydauzbuOb9t9YtuTR46duVynymhbQgFVy+yEF8C9YIUzO8Bt44jXIsoWNW6sPZpg0y3rYlfs/e+564N/eSf9LDRcBkE9OTxL12VN+9Bf/mzbI3vD4h0HpFkcR0ijnBeLXkrG7oJtlJ8ckHTTSsAcTanPsKZMar553ey1q2fctHJ6XUvuRLzLCgXAVhSAMD72TJRT/own+71sfq32PljhcwfOPb33zJ6D57vbeyIBJWSa1VUhHg1nwJpy2qUIcxZs2DFO9hVUUMGwg+ogNdDcAnAMV1+umI5z6mfTKf2hJ2lpCjRpWHFZTpnS/Jnj12Dwt2TK2hUzJs7OeTUavS8QN2ZaAME506XONA5Z5J52Rh974tgTu0889sSRo8cuVKlylSwHAzTtSR+TATd22JmVv1Hi82w12aJQG3u+M/qxD770Xe+7jff/Q8jMoMI3eBvhoSvS1jfrps+11ITpSS8gI/9IgDKjyLLBr2YwrRQMLpaMaWoc1jZj/E0b56xb0XLL6pnSmMyr2WliQoYf0vktcCR9P5B7o5Ih+7NnMgFHJrvjTzx7av+Bczt2n3ruwJm2jt4ayQrTHhM5CIuDmdFzcOwZR04zAl5KepRgpFXoJ66B4riO4GrZ0q2CDRHub510Ab8iDS0NnB+9FN7C+E8NaEsWTNmwvGX58mk3L52mZB+EF7NKzBeNBtqcIdpn4brwP512NLlt2+GtTxx97Mljh0+31VpGGM4vpNG7PrnDjZEoNUduDzo6YJpnuuNbf/UXUxZPyaNQr/Do8KRvfePBb3/vkdqqYLl6DUI6cHYGnKcCnAsMuJKmQY/HpcxoKLB8/pRb189Cr2r9xtmO/T/8PCkATyYeEKS5Au74DAjbMhx9DcM8/Myp3c+dfnLv6d0vnD17oaNWlsJwtZFASFFUdNeE7+dpSepSIUbTlJQ+So2sggoqKCeokU3XfTEvair0+eJk0kxaZp9hjWmsXbt8+rqV09csb5m/yjH5ab+XEqE8rZMAmNMTXwq/ngJIN1bR5JYth3bsPvHgtkMnTl2kNT9NDdPjfo5pT4SoiRJ/RDgTmz7l4PAAQ5RpC6b+4j/eZ5/7Da8O784Xf73vQrsa0khlvjfoxBN/BFuWk7TPswo0UOdT8S5m3YiZUkJTVy+aevPaWTeun7Nk/Uy6wAa9f1Yx0h4OABO4Pd20Pz7i/MlGTl46j1/evufk7n1nd+06duh0W0A3ImQ2cjCIrpNM/pPyzu/P5Pvsl7BQKuxNTe4O5LAcDrCOrikMuwrLiGuvdCoYEHZTIDrVPMVIZow/3Dgg2jCspGFSOyZJCUteMG8SGrFVy6bdsmq6nH1HicBAVkN7YUS7Y7c2nBxiHNWlK/7QtkPbdh55ePvh1osdtYpMr3oJ0of+0s6YOZNw/U7pyHHlBs/QneyKv3D/x2qmN9uRvsKbw0vo01d8oqU6YGmqrWUfQb0i2ZTpHZXQOC1vgj0SwalkpSwrkeANlqq6ctG0m9fNvGH9nGUbnA8zAumsOQsM+RVZhrRUliw2aQGpOeSPJXfvOfPsMye27jn1zHOnYrFEtWUGVXoPrKaiUIS/BQeRBNsE/00H2PVljtnkK6iggusPmTbAbm+5pRANjh3jgGmhB6/rGAIancHgvClNa5e3bNo0/5ZlUyJTsnsOqHGBqwOoKaNePU+B8i+8pmN7QRuOsK6fPdr2wOaDj289uPVQa013bzgUCGHkF6Rxi2iu0GWnpovaXr8b9kGAdliRr3RGf/aj9y1fO8OO9BWeHN6urYffce93m+qr6PkE3xcYIZmqKEbmZSSWkTITuh7XzT5FXT5r/O03L9i4dtZKODmUrg2arKSTvNt/UZImRQueZBCCCH1n2rc8feKpp09uffrE8ZOX6GXniqyF1CB6QeJFCf3LPpOCiGZbyQYyR/zNvW94kJHumsFIaLFcGCWlcy2p9JqCaG0sC64vmTIxBOxWlDGNdeuXTd2wfu4ta1omzh7n2Ldp8H5+S1YVOiKC7xW/OUFtEjVG6TYzlnjmubOPPbLvkR1H9p1qazT0UEALhMQ7nGRTlemJh/7tXplAwkl93dE//fMXv+fPbrcjfYUnh/fTf9/6D1/736qaSKHDO86PjUyyIkacOnmg2BSZvv2NYZxh9urWnJaxt980f9O6ORs3zZZCmc8OiDstKWXY85M6vB4/yOICSehIoLPv6X3nH9t+5Jk9J544ejEYS+iWVaXQ7l4M9FVVJdVotM+TR5rc8ynDrqEKKqiggnyQaTGGWi3REJmmqcdTSd3s1bRQffX6uRM2bJx3+/qZLQsmZlo8amWt7PeVBkDalVLY+QHOtp7fP3l880PPP/TMyb727jrLClQF0R7SI4Ti+swRoLtF2wtwjEgtc0GxIIFJ9Hhcv/mmRV/7xp/Y8b7Ck8P74qf+67e/fSoUCQym3AzoGs4TpchjcBFL3RHoCGG7DCzTQpHG0aMxrbFjG+7eOOeGG+bduWmu1BDhW9CbMWiq0x7G8ZcE6IEVFJ5C7/UBELDlsZOxcan74T2nd2w9tPO50/tPX65LJcMyvbOO3tlK05SWScVPMti304iR5aI1OU+j+xJv8wbOyTWFEVFjmTBKSudaUum1Bm4p7alFAj2cR3F8iv+pBL0ZqheOsCqyacGkDRvm3rZ+1uwlk9ObyQXQrvE0Gf6LFgxHNJ72vnryoxSgcV/aFkyz9eil3z168NHH9+081FobjYWDWpCGfQotsuEC5pOWKQ0Wii4ocPzjAm6HRCZlavq8yT/7xZ/b8b7Ck8N7x9u+c+CF0/QMNbInFmYHAekIbsOweHoQCVMc3WLhfnRfjKQR1/WoYcnVkVtWz7rtpnkv3ji3Ouc5OaeoCHNypoHRPL+SQJymxUiPxnrOtD/+zKltmw/s3Hf2dGt7fTIZCAXEUhxdKS7m8uPLOYlMOvavpCc+imsqqKCCCoYN6bbODqYHCQQOiFfbp+iB97glLVgw9Y61szaum7X25rnZG2ktR1LQ0ImOOzwit8B0wQCtWjbqxHNn/7D5wEOb9+85dL5WkSKKHA6o1IZnL+HNejiHqzMMizeql95UclN8rjN6bO9XpFC/WTrP8OTwXvXH37h0+jKNspC9Arw67VZCjnCDSBTuL2XQJyQMIyYrKxdMue3WhXetnz1jZXZjrmXotH5GbsyOcSPjk6BlGp+lr+uMfvjTv9ry/JkrHT31KT2gqfTpKZqaHrCACVlN9L8AP+UToDB4u7tElF60oxUjosYy4dornQrKAlfjk68t4vYL4zQjkUok9LgkxRRl2dzJt90478aNc5auy+xaZ7sTAwN+DHkgS+QBDA0BkVI6sWji0Uf3//7RAw/uOJzs7K0OKKEgvRIRQzpa9NFpp2i2hS8NEATDEMO80B3bs+PzVc6XO/oETw7vj+74Uk9PH33qAi7ezOtIbCAhMRlt0IC8O57qTRrjJjTdfcuCWzfOufGW+Y5H5fiLixh0izU53EhlM1CpML9skXRGH9p2eOuu44/vPHz6dNvYCE1AK+iP4CckLRgIbhVcpcgxhlyTS8el6y/+OC7I2g9H0lnuBQBH5GBErEXINki6/eUUoBsZg/w6SG7s2x1JOxnmS7SC0QRel1EU0zAVVdb1pKzo0XjUklKBwNql02/fNOfWDXNmLJliX03gTXzZknZAxKEpxjABYcdq3/EXzj/48PO/23xg3+HzdYoVCQYCGn2s3cw82VxarUF1o2Gieakr9vijnx43ucGO9w+eHN7NG/6GPu8k6sGQGUQ6VG1oQJ0MBf/q3jvuvHVhTU6WeKwNTXE3gVxUSrwAhTVIqsyk4UisO75566HHnzq+ZceRY2cu1SlKWJFCUD+cJYqJ1CfYKmLmdJCSKF0RBWBI9Yx+lFU/BYLUmF51oFpoLwBzhcxRsW1t9Fec27eIE4TEf96ELU7oGhFFl9DBtCx6S06ptXcopEXLRVo2Mtp8IHHSItFl6TD95bsojiMFD/v33J8oLH4W4MyLgKiGdKUzBtfn9g8qGG2wC46HFqLE0vEoyaRuJOPJXlXVwqEbV8+8c9PcO25cUDfN+aUzvlwwEd8uFcUtDAbx4iee0+MfJKm9738f2f+Hh1545JnjWixOm/5CAVVNv8waEPcWDk6irbNv80OfHO/6AJMf8OTwblr/6eLqAJJSJCtlmPU12x/563SUOKa5CG8HQFMY5Amliy8PZLoYSeOJxw8+ipHc9kMHTlxs4BenBgOaptGzI1lWxJtLSECUVgVXLUTvlaZN6OldLkuyXvZRmYIV9oxTshm6hf4gju6DETHSVyEId0a7pKgu0w8cY8HJIRHao6sb1XVVPBE+LJYDYdjbxVOpRIqkAtC6cDSfMGRZVkk+irHQuvAt+E8dcVlGH4+OYp8CTiA79IArNQ21S8V9pC3+SjAzowSYP18lwBqjW/jLJ5w+/Vg231+BP7ANwdFByZSdsB+YAyzctFIper6rx7DGja2//aYFL7phzs23LJAi9tZ3+lpaOkRHMcITLXN6L2gaaXswrd3bj97/2P7fPvhcR3t3naaENVULamxWBdsMUiFzty63Rx999JMTHA8d+gW281Jx07rPZPJbEDg/9FnV2uqdj30CSrKLwQmoGD2IpC4F+WF2NT3PaZnPbT+25cljD209tO/IuYgkRVR+fiCg2SygVhFKi1SUaIWjdH2VGWXKbwYjn3HYg0ENMO2T5gA9VJkGey3awEQh0zJkydQ0XVVAKUVB292sqTUhLRzQqkJabVWgOhQMB9W62oga1EJVoZqqoFoVagwFamvCWlBtqK8KVgfHjan55Cf+88TR1oDjUy9+YQB9IguqEo8lX/XS1cvXzDSSOq6hvJpSX1/cLl80X4Z5JaVLuokYM6F3JQ1y5obV0RNHA9MbQwUz+pIpxBuxZDKRShlWLJ6Ej8RPiml0pUxd11UaJ8uojirSBFeFPCWdoo6i64gAKhfSTq8F0KHwlquCkQJZTG7ABS5N+gkGAPsxTVrwM0yM/JbOmnjnLQtuu3HefMcuCqpjNPDg0od90vBOsHDANgzbS54/0Pr7R/f9zyP7Lpy+VC32BhYIMLYdXt+jj35q9Dm89Z+xQwWC8zOow6OOp93nZJw+0PrY1kMPbz2467nTaioVwZA5jIEcvQgVXRkTvVsqjIIVWkFpoFLCf+4qDghRjPg1ExgQzCMHNmcbNoP+BUodVqsnpWu1NVXwSdWhmrDaUBWurg6FwsFIbSRSFx5fX11dE6quCddUB2vqw41BLaKqkZBWXRWk5WH0XjW1BFP5xt8/8O/ffwRs6aS//P6C+FvdPfGv/O0b73rFCjuyTEgZUjzV15Po6Ym19yU6u2O9XbGO9t6LPbHWM+0nWjtPnmtvu9iJbic6lyFNCQYDXE6cfyqnERrtCWMZiZSvQZADs1Up62YKzg8mgQ5QJHTTujl33rrgZTfP18bViQskdKmozKns7Zgs2BeC4N5oxGKPAj/43h8++cShYPaZ6aEAxte0w3Mlbas+dannd1sOPb7lwEO7jhtdPaFQICJLIVUxaQ+L/fwDyS36nlwI4kYXhrNSlK5E/1Cu/CJvUDexpxBn1ZFdKJ8voDD1VkSADkCOSDQAE0MxGqvxMIxPRRg1joduDRiCoWSdZUrcrN546v333vn2P7tNxBUJJAHedueUxjY0+ce1FB2mTHLORO145Zknjr/1bf/SVI9mn/09GOTkqnSklZQDjNU6Y6n7Pvual756NXWuMyCtpUGWz6ciCxkgHqCYftnJgNojuoRbrqFyktQP7T375POnH350/7bnTjaYZlU4oIhl9UzSA6biHSIX4G1nMJ2KMDCcch44XEGpIB2zPmFoXKyojxj6oz4mU0Y8aXQb5vTp41920/w7bl+0JLvPExCl4IBu2I86oFDsd4DI737vj57beSAY5i/HFQJwtR3e6JzS9MvhUSVUTu0//6P/efrhLQfPnGmrU+WwSstyMtVhsno2br6ex4Ac4P8Voy83oGeqFbwyZBgWKgaXAyyTRugGLY3BO5DvojBFwnvBjxlovflxFQNXynJKkhs0BaOx6qpwpD7SUBVqrgo21FfVj6trrg42NlQ1NtXOndTw/k//6vypi2rmyVm2T0VWznVF9z78yarJ9SQQG4z4vcyQpc7o1FvumxHKtPJsj2UCmCtWV2/ivs++lhyeUHQ++NniD5ir3Jgrff/2iyf/9afbkl29DZGATK0bx5fD8YCnmDqDYdn2xhLyNKxJO9HQHeEPpVaqv0eIQoQWqRyFmkVngsKo97pB77rqS5lyOLhpw/w/unHuPbcvlNKvtIZz5LLgaXcqKb6NArhZec+9P3j2ycPBcAkjvGvT4aWnNCle/cF3N3/1vv9ubqpRgxpvnuPG0lY8jnwZwMHhQclJCUmHGeVSDBcCzNrkvRvwah19CXivlCxrktTQUN1YV9U8pnZcXaShsaaxIdzYUF1fHYrURGprgjW1kfE14Zq6SFV1UKpLvyhnUMxe+teTwqrtz2AetNsZiek9weCeHX8jpVLckRyulo4SUe+46yvxjh5ZlZUhn70pBgMYCWXV6upLOzz6DOaIg7LMu9x5fkWS/vvnT3zhnx6Qu3trq0Lc+0lXTx9BAw16jy59S9JI6wmJwN3p9KotBGmCB+3D8JjBdQKu6TYyYQQUSzZpEGjEU30Ghn3WgunjX3LH4rtvWzRrxTS+CL/pjjorXKZ677t/sHdXaQ7vWl7D496Bpv38R1u/8vXf1lWFKJI6+OjfVQx6KIjScymJlWpDaNi2Xb66WJXiJu5tExPDjGraD//hLWPqIhMmNUg00VcIOF0CB8QZuudoQyESvJeYUZGVLfc/9/6P/gT+0hYSv/I0XTKaXHnjon/55pv5Yp7oG6YRHnKtfPIjP3/4wWdDkRDpAYkXqb8iQEoeVQ5Ppu1jKAvxRCxAJaJKKf3v/u6Bf/nR5klVASWQ3oknitUn5dBGWY18XkfKjMaTAVkOyBLcH8yEXuZOn7UB0ZW2bdkGwwIMKYm4rIJCYNdBGlXzKhLNsKEJTySNqG4G6qruvnHhi29feOtNcyX6KiqrnopglDq84Wo1BgZUx3t4YMUQxRTjOkSyC6TR8WgEFb5nGhqwmCyxKdjkiAegMtIaB+mMduGTCima9Ik+MW1T53gyXDojzRZBght605aE7vW0qWMXr5s5YcFEeDvuLQmCH0AHRWeHZEimTi81RRiROGYEJkm5fAHhsYi7wt6Ozh7fdijIxuAE+vhxw7wx82FMeq0RMxkekqS162YnDCiQdkX6SPmR/pFqx8gS183M+x/YBoyUYanyhz/+kid//WF1bGNfX9z+VZiibYzeAG4YxpnWlYT+62+96+gTX/jNT9//d1983V984O6XvXzdnBWzQk0Nl5PG2Z74pb5EZ1+ipy8RiyboSQ5YnYligoVnTI4FogAZox0DOSkyHVPBIIAxUj3mPRMAvVfF0jStJhIcV1dVbxibH9pz7/u+966P/pIutfU5lIEPDY+358XwOjzkgjUi7C0LblagUp4BpkaaaLRO0FMOPNMQgBLYORFRQLQmUFRaOYhEB5d0xQ0Tt0SkQMGf/pr0YnVDpzfsJfRYPNUXTfR2RRUdLTfdZ19ZIAFk7pauG8tmjRcighzlwyH4MJJNoUGAkJ9+SWdEkEC/MIksSb/beTS3P8gNlyIlTWnd8ukckU5oGHHjypZeakSL19ugdHVAS3cvoHM4P1VRAzS4Qg7GzJuw+Q8fveWPVl/sSSjIEBUNyJ+cgQvUbaaMDjS3deG5y6e+6J5Vb33XrX/zhVf96Pt/+ugDHz3w7N8e2/rZ3/70A3//5Tf95V++5CUvWzN72Qyloe5CTD/fm4AjxEA5CkeY0o1EirhxAVJloR4VvwSL5GWxhfFVMDBQ+tS42FZLzo/qIFcHU1bkcDjYUBNqDvNzO+jdDm/dLBbDLBxpzVLpldvpU97iwJNUpuuRRtG0XQ2gilMkDQ2qg6iNuNp5E1VOGBo6vzJtCsHox7BQpdEypPSu3lhXZ/RyZ9/5eOpISuoIhtERbpk1cf3aOXe9bPVb3nn7lz7xqo4AbS6nyp9mOjQ5mrKkac1fOIkEEQXnokyBusIFkCwr0fOdbRfa2d0hsQzIZqRQYCatFhTH0x+SzKaZY4J11UibBnnQeUYz3ig/qOz5bz9hRg9BSNMwLfPrX3ntl/76nnPdCZr89AvkhPCHe1S0kI+gkSYqEdHuSk3h2csm3/HSZW95582fve+Pf/zDd295+GOHn//yvkc/9csfve++z73mne+76/abFo2bOzmuBU53xS70Ja9EE9298Vg0ntTBCrUACXCFqGAwcI9HWK0gYaEUKboL/CvF4D9OBXmBx9vzAo1n6ayzD56DhwgMAWq8YKpKOLTl8U+R1YrUcVDUX/9852fv+5+6zPrN1QjKjegzps9FXtzxQDZEsC+zI+17+HoM0wx0pgzTQPNimLoi06ZHUzIsK4V+qiQ11VU1NNY0j61788tWjpvSNKExMq4mHK4LSzXQpLtD89KX/0P7uTZNdNsLBwSjBx+ttt7Ef3733Ys3zPZ7eQkVRvnFj7d/6Su/qasNOzcjoCeeNMzpc6f8/Od/xgYjoocTEEZ9+9u/e/CZY4FIkAQoRnPFgZiPtk0r+cBtHEqKOq/Kc48fetV7vzelKkDdVkTAYIoysIGA7sXlvuS//9u9q9bPGkgVYu0/vWuGVEcJUzxRf1jnD1w4cqb9/JnLx8917j91+dT+04rJW2Ac9lYK/MjsVY14LHnbi5Z/+euvp7UMMcIjnVx7a3iZoS4F7LhBQd0BxbK6o0n7VMzI8UYsLaBdC3Zj54DVQU6C+hTIFi+liQBFUU550g+gI6nQiqWMC9HUiYTZqgakutqxk8YsXjr9ljuWvfJ1m97/wZe86KWr3/TO2z/20Zd//Ytv+OG/3fvYf33o8M7PH9/31d07P/vw7z/yix+9+6V/vHrt+pnT5k0MT26UaiPUDbZorpMecgNhRChJi2eOo48JAtS9tduGggiXm1LMkhcv5jfPioLzjZCC9Oi2I6GgSj6czrJIJo1NG+dwkHQ13MTSrF7WkiSNFam0QSk/0j+6tTSayK74tFXSNM2lN8/7/ffvPRU3LFq7ZfPG0StQT+jIh34CIAmenKQeNEgALQlNF0E2Nnj6OqawfHrCYdKCiTffuegN77z5k595xU+/986GsQ26boo0CgXlmjPuzB0ZSQUZJSAgyAvKpVJPDo8+SU6tNuyb/LIdOyi4pSV7tM8FeFWc6o44vYqBfImXPbJC+B/VDhDcDr30kE8N+sJtrDfR2xu3+CWt+DWa1F9/z7r9j37yzGOfOLzlE48/9LFf/fcH//m77/zCV1730Y+++I1v23Tf377mLz509+vfsunOV6xYvWHWhAUTFQzj7ETFMYfgbUFkejgIkqT5S6amUuTx3FcPTiQhcmXR/kmMwPwHybb5qWOhgGq5TEmWE6a5dpnjXUcjgY3rZ6WStGk4W6Ce6eoGLFwYlaIo3KOau37W/d/+03NJkx8n4F+dXqEcYJOmjiP3HSmMdMUIw5aNzD/7U67uU9Ru4Sec8gX9gK45z9qaGAgiL9RyCbawAtzIhkBVFxWMO5b2bRWMYrBxlIoQvRuUDIZXgAc2GjdgJ3YIgJXw4OOasRUyfZ574fETRXCVMFN6PKlHO/s62/tOxo3eqsi8hVPveeW6r37utWpDDblC0wpY1r6Tl7SxtVJjhJY5TR1E+x5xzKxe2AEXiXihyfzEil+5fFqKkuNBHlf0gggFpMpoIGZNH8fZ6sfcI0nS/l0n1FiMek7O+SW2i25FXbOad6y47hoeYitdsWBiVzjIGzWL0duglB/p6uCSZJQS795EbzWZmn/D7J995Y1n+xIKunE+QFQi1oY7UQdxAQ1AdCP/1P8Cu2uNeJJ8YFiWbln1Yxu6TPlMLNURpe5pPKXzRlCLO7XiMjCgLV32I4nXLzJ5Z7VnT0tDuTTpyeFpAdUkixm08vZDcVePOFyaF6f9i8OOpwdmQfTMimnBy/XGU+3R5MVYKqpqH/irV/74J39++oGP7Xn8kz/8yXs/+flX3fHq1Sk08SnqEatBbeu+s1JfgqoTtMRjZ5uz3cYCIjAgDf4rN9SWubSluVsN0DiFGRdKuNewrFhy0Wzeookov/HY9kNVwfQT5ZmGQ5Z03Vg8bQw94mOn2i9fw0CGKdVXzZ8yRtfRtDvU4o2uFVg0Q4M2n47m+hcv+eJHX3GxK0ZjJwGU5tWZ255Y6qP33vbc7i88/4ePf/Pv3nLvn921bt08ra72XF+yrSfR1ZeM9SVTuiGDMOSj6dNMngctZhF5XXvHEYMnh4cCxqifejdK4b0bmkxLwzEdPzoBWTPyUr2Fd88c0zGC4BTg4wwzHk10d8daUSUsuWXR9De8+ZZ/+sqbnnn4Uy/s/sJb375p2dqZ0vh6myEbvnicE/cqihLs7jty9BLt6UcLK5wcFCsWKnA6BKWnmPKRqI1jaic01RoYqXDXtlDii5OWtGgOOzximCk7P0iSfr/5YJhmyUCUgg1+p9+GDXPtU/o1N1PDRpK0einNBtNZRi3eKD/SP2b0M8qJqoki6Sb6aoZpvv4dN778ZWt7uzFe5zpCKuP6UjRwGx350C9RL5RV/2DlgLrZR1VbqprccPOdi9/9vjv+37+8dfMjHz/23Jf/72fv/9wnX/Xq126YMn9au6We646iX9vbF0/Ekyb8n+gXUbXJtA+sCoGMWjIx1wKcKhXkBR5vzwtvDo/2RMgKWufCpzTLl5WyAO6cfTnNYIiGj4+0TkAmiyCGIDGa8Uie6U3ITfV33r3y85969eP/+5EDu7/w85++5yMfefGtL1lWO4nfAOkmTgAsaVxIawFVqvLgYwcolpwcCiedoq9YPK05ZSJ5qm0FE12ckqVpLWNtLn4BxoMMRhP7D59T6JP3IqlslhOWtFFskxnB1oFLY92qmUmM8ICsWjzRtQNR9zHCUxUVQdP42tdeW9cyAf0D9OWoMMnHXH05ppXIzIvNnEWnKjOXT7vndes+/ul7/vNn73l+9+f3PfaZf/2Ht/3Z++5af8MCuanuTF/ySm+ipzcZi9OKOeWflgCJC82F0h9RtSsYbnhzeMKKyaALLzxnu5WZVXfEjSrIMj2pzbVW9Npgr7QkF0/2xpKXu6NnosbEGRNf/yc3fusf33r8ic9tffCvvviV1738Desnzh6H4V46g5mVNhdlc00qRIsRULc9cRinaPX7XeyZxF41SZqzYJKu6yLFwsnA4FWSli2czNL5JB71kyj7jzx2sEZMgcH/gzgI4G+Pad18w2yWvAw6KZAwdpGkm1ZO7Stq4XMoyo+0YbjEuDqIzQND9n9755UUBnw4pZxwfooF9Qbte92peKOsPIUJ5jZ4UaO5UtNyoBWaULvpjgV/+t7bv/HPb9364MeO77nvv3/0Z5/+5D0vfdmaMS3jLyWM893xjmgi1hNL0b5QmhWTDf6k+LUDp0oFeYHH2/PCq8MrASNcyK5yyQfxE429FBkWrsrJlNHXG78UTV5MWbMXT/+z9975i5+8//izX/ivX73/w3/1khtuXyjVhe13a4FSKerKEZNB0iBsWjkDnKlCweGFAnuePXn60AVZzjyDL9pGPwi9bJZl+aJpekKnjZdpHRRAMgayaiBQNaGOK7kvkO1xsyQ99PjBiCaEZGHTgJedMKZeG8tf5KKusfh5eAmtEnr6ptkwY2xVXTV1eIROPA/1rlnQlI8RntTw1Y/f094dpR1P12xu2bvDMtGbtI/0kSspqM1bPf1Vb9jwN1949W//6wMHn71v+28/+tUvveENb7114tzJ1N1EjS9hkwvZzbVsOMMAXxwe2oXCQIUlRvYCmVn1gjl4BNLOpE+tmUMWqpbpmklHenAnmdR7e+MX++JtCWPeqjkf+OBL/vdnHzj8zH0//vd70ZtbsrJFUhT6DI5N3CILi6SXX3NbaWdwQHLnGneGQ9pjm3lWM3ONj8RYsXBCVNPQDJECCiV01aXp08R8puCWyUXJJEuaRhv8MMLbfihIT2Eye8AuBSuVMtat5q9wIXlxy/ATS8gyyevnTUwZtEOBtAcUp0M35Uf6xxx1XSUE+6fPWUBh5j1vXLd47bx4kl4JRCQUWQRE/WRtuFLxSFn1ZwKDgiyhHxNBovsHQ1D4iQjEiKyKji8CJpybOXb2uLtftuJDf/VH//WT97SmeOhKDUVhqQuIyyGJaKboKAL27yONTF5ISsdpafB4e14M4wgPBcPVgfr0AxWSqWr2BHcZgY4V7ShLJ2T7J+qEQiwFTZiZpM9Axy73xC9byoKVs//iL17y+59/8MAz9/3wu29/67tumbOU15NsQ6N7ab6TDF1YfDoMIp9XNMKq8viTx+wT/0GqHz+lKREKFjVAAdAtXSwW8GwH4BMU9cLxy10dvapYtgTAHlokDycnTOumVfxAAq2mlNs28oCaGDu4bOXMVIKebUYM2iyhnJLp2gTqF6oAygt6k6Sffe31XTrPCUNf5WrERhQip2JCHuBc2wERpp4RAuli19Q7N8xLJZJFKwSXmzwuxF0gpCjYoldwzRqT//DF4RWsb7qQ2lmV3QyN/TP9IEmqwqgjYy5lgiwrKR3mwg/Gsg2h2dKNeFLv7olf6Iq1SerS1bM//LFX/N+v/nL/7s//4HvvfMs7b561ZDI9aqSL6cp+C3IQ3nUslHL1RqJYgaC67Znjdoz7es+E0oanjwSXTG6k961wxSmEgKQlvV98bRxMXGxLJi73hx7bV0M9DifsB5v6LGvDKh7h4Xfe9T4CxEIK3LBxVtLQqaHS6PUCoiUrmfIjnaJLkquMLNMw1PF1n3jvi7piCacaCwYNhOwb3cy9UVaYwqSC+bk4OImY5L/A9ZMkve5Vq/vieqFJZwB9Bqi5prqCLjv6Xagj9jsCi2RVFjhVKsgLypUjXxxegUBnhEpLUeT2RMqOcyAY0MxMR8lH5KqO+lUYo6SMRDTZ3RU93xXvCYVWb1zwiY/fs/nXH9m/63Pf+bd3vvGtm2YunESOTWLfhjYO7gE+smzFYAP+2JLUVOrIc2eHaBJt4JpiCOLz+GzB7PGpzCNlBQz1cFFXKDSdFvCgkOLTzaEsxFjx0e1HQiF+1boALkGNVhVZN8Kh0MR543ldhC8lOFkNF+EAy7TMZfMntldVUdMDCXnCzQtd86DGxdDf8me3V49pMP15FP1qB6zIuPWuxcnqcAmzWXBy1F9HQ2RYiWTKTOqKYaBpYitluAyrv5FdD2Y3KDw5PO6W4z+3pAWBCgbXUoNBwDCLScSTt/PD4wnelAwH+GtwGNnoST3aF+/oS57qikv1tbe+eNUXP/e6XX/4+LPbP/PP//yW1/7Jxklzx9OgE7fRM6S4md91BlFVlQgGKqT1jdx5hZxQQkRTH9t2iM9d1/cnHqIWTsgLK3jBwmkGPS1rvy2JAlwG+cg0rWmNNVJDNUlFiunHuQjKyq/gaFjbnz6mBR2vlyUlwNuZyZS+UnwSKMlVWh+5ZTwQBEDqNeEVk5vo1WykMRFbOuVH+se0oq5OYnsjJUn/+MlXtkWTor0oBlfDGl5xJJv8nMOr71gapWeDilIIRIXZKVbSiDTX3nrnSrOu5nRntD1KX/5KJXXUUmqIhc7Amao211YRpkjwKCrFouBUqSAv8Hh7XnhyeMGqMLeWaEZZm4ODKgA9Xy2j4XJdnO7sKKbupUBEw40/3OuxDMNI9Ma7epMXe+KXUtbEmRPe/Pbb/uUrf3Jy1xe2PvLxL3/5NS99zZrGlmZhFEQ04cCKpsEcCwzKuGDFk66GBns7jD7DiryZl/FoPyBEKr4nmBf0Mk/CyiWTyIkgTVSRIbdrWlbKtOZParBvEMrxCc/tOKrpOk8NpoETshMplTRuWcMOLxyggihpTdQf2OJBGdKqJVMxOCYjy+inVLr2EeD1PMla+6KF8xdO01PUx7LH9dcrROV5/StW96To0aAigKuhOVmmOZZI6Etffe2OR//6xM4v/OvX/+Qtb79txpxJF3UJDV13XzIRTRgmrw5B2ziiBcMJNSN0Xv59EqManhqvAJpL6LBwiIYjW87peW0RQ5yyvxUN2lZpxfri3b2JC4nU2d5kzfjGO16+5jOfuOcPv/rLg3vu+69ffeCDH7r7xpcsleojNIYzxWocT1oKAotMOBOTiez/q1fKVR0aet6XoQW1Xc+cwAW0HYZNPPcuT8QcpeXTx3QHyPuhb6CYBlKG3gch0zBaZk9gIR0K8UgsyYM7D1epkMShCsqyhF5RwrRWr57FMf3uHSmSpA0b56aSKbQfaDlcWiqW8iOtDVfqVy9J0j984uWXYknac0EeUGRvSHD/VVztYuiRshIUJgrs08WhZIL7MY2lG2aG62vMEvZhUQUEGxZb16XGqk13L/ngh+762S/+/NAzX3zkvz/0qb++55a7VgTqa850xdv7EtHuaBKDP53Wm5E09FnK4xAFwalSQV5QDgkJnhweimvQejusME2jtrn2Fa/e8DeffNXvfvqB4/u+/MDvPnLf377m1W/cMN1ekINLxMDfIEOxi2T0iG/D1OidK0HTeH7XSRIP3bHirBM5ylAG6RhFpXkVlNv4+jGN9QYGUuRqBh2sALKcShkL504kTlTTMvxLoxz84bEDIX4To90ZIlASGOFFFXXJ8il86oST1fCTtH7JlF5FpZ4zSiajpZLoeoI5c9X0davnpKIJLujrLPdOYMjL7upNL18VS+h27S5RHxY1ZXCiqRSFLWPy/Il//MYNX/na6zc//PHjT33he//vHW97712zF02/bEmt3fGezmg8ljDoy7e4HNfnplqiDFcZPDk8agDEoUSkp7a9c7KkRFK//eZFn/zsK1/5hvWzl0y20JqjTYJBZBbkAFgbgho/MSNWYey59RGh3AzDAukhd3q1ZkSVN2+nV65IJDtaV9eNg5DIlCtr6Rjxcgeub8umNdG8B0195FnDI09o/6qb1qKF7PDodnpgwAOlpULpX+o5duqSGtDIfzgrnCzrKWMxXKzGm</t>
  </si>
  <si>
    <t>hml</t>
  </si>
  <si>
    <t>prd</t>
  </si>
  <si>
    <t>DECIMAL</t>
  </si>
  <si>
    <t>NUMERIC</t>
  </si>
  <si>
    <t>Interbase</t>
  </si>
  <si>
    <t>SQL Anywhere</t>
  </si>
  <si>
    <t>Informix</t>
  </si>
  <si>
    <t>Oracle</t>
  </si>
  <si>
    <t>DB2</t>
  </si>
  <si>
    <t>JSONB</t>
  </si>
  <si>
    <t>BLOB SUB_TYPE TEXT</t>
  </si>
  <si>
    <t>BLOB</t>
  </si>
  <si>
    <t>ST_GEOMETRY</t>
  </si>
  <si>
    <t>LONG VARCHAR</t>
  </si>
  <si>
    <t>LONG BINARY</t>
  </si>
  <si>
    <t>INT8</t>
  </si>
  <si>
    <t>BYTE</t>
  </si>
  <si>
    <t>DATETIME YEAR TO SECOND</t>
  </si>
  <si>
    <t>DATETIME YEAR TO FRACTION WITH TIME ZONE</t>
  </si>
  <si>
    <t>LVARCHAR</t>
  </si>
  <si>
    <t>DATETIME HOUR TO SECOND</t>
  </si>
  <si>
    <t>DATETIME YEAR TO FRACTION</t>
  </si>
  <si>
    <t>CLOB</t>
  </si>
  <si>
    <t>RAW</t>
  </si>
  <si>
    <t>NUMBER</t>
  </si>
  <si>
    <t>BINARY_DOUBLE</t>
  </si>
  <si>
    <t>SDO_GEOMETRY</t>
  </si>
  <si>
    <t>NVARCHAR2</t>
  </si>
  <si>
    <t>BINARY_FLOAT</t>
  </si>
  <si>
    <t>ANYDATA</t>
  </si>
  <si>
    <t>VARCHAR2</t>
  </si>
  <si>
    <t>XMLTYPE</t>
  </si>
  <si>
    <t>GRAPHIC</t>
  </si>
  <si>
    <t>VARGRAPHIC</t>
  </si>
  <si>
    <t>CPF</t>
  </si>
  <si>
    <t>CNPJ</t>
  </si>
  <si>
    <t>RAIZ/CPF/CNPJ</t>
  </si>
  <si>
    <t>###.###.###-##</t>
  </si>
  <si>
    <t>##.###.###/####-##</t>
  </si>
  <si>
    <t>X</t>
  </si>
  <si>
    <t>CREDIT CARD</t>
  </si>
  <si>
    <t>#### #### #### ####</t>
  </si>
  <si>
    <t>RENAVAM</t>
  </si>
  <si>
    <t>###########</t>
  </si>
  <si>
    <t>EAN-8</t>
  </si>
  <si>
    <t>########</t>
  </si>
  <si>
    <t>EAN-13</t>
  </si>
  <si>
    <t>ISBN-10</t>
  </si>
  <si>
    <t>ISBN-13</t>
  </si>
  <si>
    <t>ISSN</t>
  </si>
  <si>
    <t>####-####</t>
  </si>
  <si>
    <t>RAIZ CNPJ</t>
  </si>
  <si>
    <t>##.###.###</t>
  </si>
  <si>
    <t>Directory</t>
  </si>
  <si>
    <t>Value</t>
  </si>
  <si>
    <t>6;7;8;9;2;3;4;5;6;7;8;9</t>
  </si>
  <si>
    <t>5;6;7;8;9;2;3;4;5;6;7;8;9</t>
  </si>
  <si>
    <t>2;1;2;1;2;1;2;1;2;1;2;1;2;1;2;1</t>
  </si>
  <si>
    <t>3;2;9;8;7;6;5;4;3;2</t>
  </si>
  <si>
    <t>3;1;3;1;3;1;3;1;3;1;3;1</t>
  </si>
  <si>
    <t>10;9;8;7;6;5;4;3;2</t>
  </si>
  <si>
    <t>8;7;6;5;4;3;2</t>
  </si>
  <si>
    <t>Cat</t>
  </si>
  <si>
    <t>Typ</t>
  </si>
  <si>
    <t>Msk</t>
  </si>
  <si>
    <t>Dmn</t>
  </si>
  <si>
    <t>Sys</t>
  </si>
  <si>
    <t>Mnu</t>
  </si>
  <si>
    <t>Usr</t>
  </si>
  <si>
    <t>Db</t>
  </si>
  <si>
    <t>Tbl</t>
  </si>
  <si>
    <t>Col</t>
  </si>
  <si>
    <t>Idx</t>
  </si>
  <si>
    <t>Ses</t>
  </si>
  <si>
    <t>Trs</t>
  </si>
  <si>
    <t>Ope</t>
  </si>
  <si>
    <t>Uni</t>
  </si>
  <si>
    <t>#ClientName</t>
  </si>
  <si>
    <t>Prefix</t>
  </si>
  <si>
    <t>sgsi</t>
  </si>
  <si>
    <t>CEP (BR)</t>
  </si>
  <si>
    <t>NIS/PIS/PASEP</t>
  </si>
  <si>
    <t>CNH</t>
  </si>
  <si>
    <t>#####-###</t>
  </si>
  <si>
    <t>(##) ####-####</t>
  </si>
  <si>
    <t>(##) # ####-####</t>
  </si>
  <si>
    <t>###-##-#####-###</t>
  </si>
  <si>
    <t>###.#####.##-#</t>
  </si>
  <si>
    <t>#### #### ####</t>
  </si>
  <si>
    <t>CAEPF</t>
  </si>
  <si>
    <t>###.###.###/###-##</t>
  </si>
  <si>
    <t>3;1;3;1;3;1;3</t>
  </si>
  <si>
    <t>###-####</t>
  </si>
  <si>
    <t>#######</t>
  </si>
  <si>
    <t># ###### ######</t>
  </si>
  <si>
    <t>#-####-####-#</t>
  </si>
  <si>
    <t>numeric(p,s)</t>
  </si>
  <si>
    <t>nchar(n)</t>
  </si>
  <si>
    <t>varchar(n)</t>
  </si>
  <si>
    <t>varbinary(n)</t>
  </si>
  <si>
    <t>nvarchar(n)</t>
  </si>
  <si>
    <t>Clients</t>
  </si>
  <si>
    <t>Engines</t>
  </si>
  <si>
    <t>Conditions</t>
  </si>
  <si>
    <t>Cli</t>
  </si>
  <si>
    <t>Eng</t>
  </si>
  <si>
    <t>Idk</t>
  </si>
  <si>
    <t>Cnd</t>
  </si>
  <si>
    <t>Clientes</t>
  </si>
  <si>
    <t>SGBD's</t>
  </si>
  <si>
    <t>SGBD's x Tipos</t>
  </si>
  <si>
    <t>Bancos-de-dados</t>
  </si>
  <si>
    <t>int (4 bytes)</t>
  </si>
  <si>
    <t>char(n)</t>
  </si>
  <si>
    <t>datetime2(s)</t>
  </si>
  <si>
    <t>datetimeoffset(s)</t>
  </si>
  <si>
    <t>decimal(p ,s)</t>
  </si>
  <si>
    <t>float(n)</t>
  </si>
  <si>
    <t>time(s)</t>
  </si>
  <si>
    <t>Money</t>
  </si>
  <si>
    <t>SoftLab</t>
  </si>
  <si>
    <t>&lt;</t>
  </si>
  <si>
    <t>&gt;</t>
  </si>
  <si>
    <t>disabled</t>
  </si>
  <si>
    <t>enabled</t>
  </si>
  <si>
    <t>hidden</t>
  </si>
  <si>
    <t>visible</t>
  </si>
  <si>
    <t>readonly</t>
  </si>
  <si>
    <t>required</t>
  </si>
  <si>
    <t>value</t>
  </si>
  <si>
    <t>placeholder</t>
  </si>
  <si>
    <t>Define o texto placeholder (dica)</t>
  </si>
  <si>
    <t>title</t>
  </si>
  <si>
    <t>Define o texto tooltip ao passar o mouse</t>
  </si>
  <si>
    <t>class</t>
  </si>
  <si>
    <t>Define classes CSS aplicadas dinamicamente</t>
  </si>
  <si>
    <t>style</t>
  </si>
  <si>
    <t>Define estilos CSS inline aplicados dinamicamente</t>
  </si>
  <si>
    <t>max</t>
  </si>
  <si>
    <t>min</t>
  </si>
  <si>
    <t>maxlength</t>
  </si>
  <si>
    <t>Define número máximo de caracteres</t>
  </si>
  <si>
    <t>minlength</t>
  </si>
  <si>
    <t>Define número mínimo de caracteres</t>
  </si>
  <si>
    <t>step</t>
  </si>
  <si>
    <t>Define o incremento para campos numéricos</t>
  </si>
  <si>
    <t>patternTitle</t>
  </si>
  <si>
    <t>Define mensagem explicativa para falha no pattern</t>
  </si>
  <si>
    <t>aria-label</t>
  </si>
  <si>
    <t>Define rótulo acessível para leitores de tela</t>
  </si>
  <si>
    <t>mask</t>
  </si>
  <si>
    <t>Define a máscara de formatação aplicada ao campo</t>
  </si>
  <si>
    <t>Desabilita o elemento HTML</t>
  </si>
  <si>
    <t>Habilita o  elemento HTML</t>
  </si>
  <si>
    <t>Esconde o  elemento HTML</t>
  </si>
  <si>
    <t>Mostra o  elemento HTML</t>
  </si>
  <si>
    <t>Torna o  elemento HTML somente leitura</t>
  </si>
  <si>
    <t>Torna o  elemento HTML obrigatório</t>
  </si>
  <si>
    <t>Define o valor do  elemento HTML</t>
  </si>
  <si>
    <t>Define valor máximo</t>
  </si>
  <si>
    <t>Define valor mínimo</t>
  </si>
  <si>
    <t>Prp</t>
  </si>
  <si>
    <t>Properties</t>
  </si>
  <si>
    <t>#PropertyName</t>
  </si>
  <si>
    <t>Behaviors</t>
  </si>
  <si>
    <t>Bhv</t>
  </si>
  <si>
    <t>Propriedades HTML</t>
  </si>
  <si>
    <t>Periodicity</t>
  </si>
  <si>
    <t>ClientId</t>
  </si>
  <si>
    <t>Environment</t>
  </si>
  <si>
    <t>Id do SGBD</t>
  </si>
  <si>
    <t>Fone (BR)</t>
  </si>
  <si>
    <t>Celular (BR)</t>
  </si>
  <si>
    <t>Placa Veicular (BR)</t>
  </si>
  <si>
    <t>Placa MERCOSUL</t>
  </si>
  <si>
    <t>Título de Eleitor</t>
  </si>
  <si>
    <t>Varchar(15)</t>
  </si>
  <si>
    <t>Varchar(20)</t>
  </si>
  <si>
    <t>Varchar(25)</t>
  </si>
  <si>
    <t>Varchar(50)</t>
  </si>
  <si>
    <t>Varchar(256)</t>
  </si>
  <si>
    <t>Raíz CNPJ</t>
  </si>
  <si>
    <t>Nvarchar(max)</t>
  </si>
  <si>
    <t>Varchar(max)</t>
  </si>
  <si>
    <t>Credit Card</t>
  </si>
  <si>
    <t>CheckDigitModule</t>
  </si>
  <si>
    <t>CheckDigitFactors</t>
  </si>
  <si>
    <t>CheckDigitGreaterThanNine</t>
  </si>
  <si>
    <t>SGBD</t>
  </si>
  <si>
    <t>Connections</t>
  </si>
  <si>
    <t>MenuId</t>
  </si>
  <si>
    <t>#MenuCaption</t>
  </si>
  <si>
    <t>Data Source=localhost,1433;Initial Catalog=crudex-dev;Integrated Security=SSPI;Encrypt=yes;TrustServerCertificate=yes;Persist Security Info=False;Connect Timeout=30;</t>
  </si>
  <si>
    <t>Data Source=localhost,1433;Initial Catalog=crudex-hml;Integrated Security=SSPI;Encrypt=yes;TrustServerCertificate=yes;Persist Security Info=False;Connect Timeout=30;</t>
  </si>
  <si>
    <t>Data Source=localhost,1433;Initial Catalog=crudex-prd;Integrated Security=SSPI;Encrypt=yes;TrustServerCertificate=yes;Persist Security Info=False;Connect Timeout=30;</t>
  </si>
  <si>
    <t>CanCreate</t>
  </si>
  <si>
    <t>CanRead</t>
  </si>
  <si>
    <t>CanUpdate</t>
  </si>
  <si>
    <t>CanDelete</t>
  </si>
  <si>
    <t>(</t>
  </si>
  <si>
    <t>)</t>
  </si>
  <si>
    <t>Connector</t>
  </si>
  <si>
    <t>AND</t>
  </si>
  <si>
    <t>OR</t>
  </si>
  <si>
    <t>=</t>
  </si>
  <si>
    <t>Exp</t>
  </si>
  <si>
    <t>Includes</t>
  </si>
  <si>
    <t>Inc</t>
  </si>
  <si>
    <t>EngineId</t>
  </si>
  <si>
    <t>Manutenção</t>
  </si>
  <si>
    <t>Manutenção de Tabelas</t>
  </si>
  <si>
    <t>Manutenção de Cadastros</t>
  </si>
  <si>
    <t>Manutenção de Tabelas Associativas</t>
  </si>
  <si>
    <t>ExpressionId</t>
  </si>
  <si>
    <t>PropertyId</t>
  </si>
  <si>
    <t>Provider</t>
  </si>
  <si>
    <t>Microsoft.Data.SqlClient</t>
  </si>
  <si>
    <t>MySql.Data.MySqlClient</t>
  </si>
  <si>
    <t>Npgsql</t>
  </si>
  <si>
    <t>FirebirdSql.Data.FirebirdClient</t>
  </si>
  <si>
    <t>Sap.Data.SQLAnywhere</t>
  </si>
  <si>
    <t>IBM.Data.Informix</t>
  </si>
  <si>
    <t>AskDirectory</t>
  </si>
  <si>
    <t>Permissions</t>
  </si>
  <si>
    <t>Operações CRUD</t>
  </si>
  <si>
    <t>Transações CRUD</t>
  </si>
  <si>
    <t>#ExpressionName</t>
  </si>
  <si>
    <t>#TableAlias</t>
  </si>
  <si>
    <t>Ref</t>
  </si>
  <si>
    <t>References</t>
  </si>
  <si>
    <t>Interval</t>
  </si>
  <si>
    <t>TimeOfDay</t>
  </si>
  <si>
    <t>DayOfMonth</t>
  </si>
  <si>
    <t>NextRunDate</t>
  </si>
  <si>
    <t>IsFirstOrLastDay</t>
  </si>
  <si>
    <t>IsBusinessDays</t>
  </si>
  <si>
    <t>IsRunOnce</t>
  </si>
  <si>
    <t>Script</t>
  </si>
  <si>
    <t>IsBefore</t>
  </si>
  <si>
    <t>AND;OR</t>
  </si>
  <si>
    <t>CRUD Operation</t>
  </si>
  <si>
    <t>bigint (8 bytes)</t>
  </si>
  <si>
    <t>tinyint (1 byte)</t>
  </si>
  <si>
    <t>bit (1 bit)</t>
  </si>
  <si>
    <t>smallint (2 bytes)</t>
  </si>
  <si>
    <t>Schedulers</t>
  </si>
  <si>
    <t>Sch</t>
  </si>
  <si>
    <t>Scripts</t>
  </si>
  <si>
    <t>Scr</t>
  </si>
  <si>
    <t>ValidMask</t>
  </si>
  <si>
    <t>Provedor do SGBD</t>
  </si>
  <si>
    <t>Provedor</t>
  </si>
  <si>
    <t>Pede Diretório?</t>
  </si>
  <si>
    <t>Diretório?</t>
  </si>
  <si>
    <t>LeftParenthesis</t>
  </si>
  <si>
    <t>RightParenthesis</t>
  </si>
  <si>
    <t>EditMask</t>
  </si>
  <si>
    <t>EditMask: cada # é um caracter alfanumérico ou especial.</t>
  </si>
  <si>
    <t>Left Parenthesis</t>
  </si>
  <si>
    <t>Right Parenthesis</t>
  </si>
  <si>
    <t>ValidChars</t>
  </si>
  <si>
    <t>MySqlConnector</t>
  </si>
  <si>
    <t>InterBaseSql.Data.InterBaseClient</t>
  </si>
  <si>
    <t>Oracle.ManagedDataAccess.Core</t>
  </si>
  <si>
    <t>Net.IBM.Data.Db2</t>
  </si>
  <si>
    <t>Cateoria de tipo pede filtrável?</t>
  </si>
  <si>
    <t>Categoria de tipo pede encriptável?</t>
  </si>
  <si>
    <t>Pede encriptável?</t>
  </si>
  <si>
    <t>Categoria de tipo pede listável?</t>
  </si>
  <si>
    <t>Pede filtrável?</t>
  </si>
  <si>
    <t>Pede gridável?</t>
  </si>
  <si>
    <t>Categoria de tipo pede gridável?</t>
  </si>
  <si>
    <t>Categoria de tipo pede máscara de edição?</t>
  </si>
  <si>
    <t>AskListable</t>
  </si>
  <si>
    <t>Pede listável?</t>
  </si>
  <si>
    <t>Id do tipo de dado</t>
  </si>
  <si>
    <t>Nome do tipo de dado</t>
  </si>
  <si>
    <t>Valor mínimo do tipo de dado</t>
  </si>
  <si>
    <t>Valor mínimo</t>
  </si>
  <si>
    <t>Valor máximo do tipo de dado</t>
  </si>
  <si>
    <t>Pede tamanho?</t>
  </si>
  <si>
    <t>Pede decimais?</t>
  </si>
  <si>
    <t>Pede autoincremento?</t>
  </si>
  <si>
    <t>Valor máximo</t>
  </si>
  <si>
    <t>Nome do cliente</t>
  </si>
  <si>
    <t>Logotipo do cliente</t>
  </si>
  <si>
    <t>Logotipo</t>
  </si>
  <si>
    <t>Tipo de dado ativo?</t>
  </si>
  <si>
    <t>Id do domínio</t>
  </si>
  <si>
    <t>Tipo de dado do domínio</t>
  </si>
  <si>
    <t>Valores válidos do domínio</t>
  </si>
  <si>
    <t>Caracteres válidos do domínio</t>
  </si>
  <si>
    <t>Caracteres válidos</t>
  </si>
  <si>
    <t>Listas válidas de valores do domínio</t>
  </si>
  <si>
    <t>Listas válida de valores</t>
  </si>
  <si>
    <t>Valor padrão</t>
  </si>
  <si>
    <t>Id da máscara de edição</t>
  </si>
  <si>
    <t>Nome da máscara de edição</t>
  </si>
  <si>
    <t>Máscara de validação</t>
  </si>
  <si>
    <t>Id do Domínio</t>
  </si>
  <si>
    <t>Id do SGBD x tipo de dado</t>
  </si>
  <si>
    <t>Nome do SGBD x tipo de dado</t>
  </si>
  <si>
    <t>Id do domínio x máscara de edição</t>
  </si>
  <si>
    <t>Módulo do dígito verificador</t>
  </si>
  <si>
    <t>Fatores do dígito verificador</t>
  </si>
  <si>
    <t>Dígito verificador maior que 9</t>
  </si>
  <si>
    <t>Fatores DV</t>
  </si>
  <si>
    <t>Módulo DV</t>
  </si>
  <si>
    <t>Id do banco-de-dados</t>
  </si>
  <si>
    <t>Id do cliente</t>
  </si>
  <si>
    <t>Cliente</t>
  </si>
  <si>
    <t>DV maior que 9</t>
  </si>
  <si>
    <t>Id da conexão de banco-de-dados</t>
  </si>
  <si>
    <t>Con</t>
  </si>
  <si>
    <t>Ambiente do banco-de-dados</t>
  </si>
  <si>
    <t>Ambiente</t>
  </si>
  <si>
    <t>Nome do banco-de-dados</t>
  </si>
  <si>
    <t>Diretório do banco-de-dados</t>
  </si>
  <si>
    <t>Diretório</t>
  </si>
  <si>
    <t>String de conexão do banco-de-dados</t>
  </si>
  <si>
    <t>String de conexão</t>
  </si>
  <si>
    <t>Id do Sistema</t>
  </si>
  <si>
    <t>Banco-de-dados do sistema</t>
  </si>
  <si>
    <t>Prefixo do nome do sistema</t>
  </si>
  <si>
    <t>Prefixo</t>
  </si>
  <si>
    <t>Nome do sistema</t>
  </si>
  <si>
    <t>Descrição do sistema</t>
  </si>
  <si>
    <t>Máximo de tentativas de login</t>
  </si>
  <si>
    <t>Tentativas de login</t>
  </si>
  <si>
    <t>Sistema é ativo?</t>
  </si>
  <si>
    <t>Id da tabela</t>
  </si>
  <si>
    <t>Descrição do banco-de-dados</t>
  </si>
  <si>
    <t>Id do menu de sistema</t>
  </si>
  <si>
    <t>Sequência do menu</t>
  </si>
  <si>
    <t>Rótulo do menu</t>
  </si>
  <si>
    <t>Rótulo</t>
  </si>
  <si>
    <t>Mensagem do menu</t>
  </si>
  <si>
    <t>Mensagem</t>
  </si>
  <si>
    <t>Id do menu-pai</t>
  </si>
  <si>
    <t>Menu-pai</t>
  </si>
  <si>
    <t>Menu é ativo?</t>
  </si>
  <si>
    <t>Id da coluna de tabela</t>
  </si>
  <si>
    <t>Id do domínio da coluna</t>
  </si>
  <si>
    <t>Sequência da coluna</t>
  </si>
  <si>
    <t>Descrição da coluna</t>
  </si>
  <si>
    <t>Rótulo da coluna</t>
  </si>
  <si>
    <t>AskEncrypted</t>
  </si>
  <si>
    <t>Valor padrão da coluna</t>
  </si>
  <si>
    <t>Valor mínimo da coluna</t>
  </si>
  <si>
    <t>Valor máximo da coluna</t>
  </si>
  <si>
    <t>Id do índice</t>
  </si>
  <si>
    <t>IsRequired</t>
  </si>
  <si>
    <t>IsFilterable</t>
  </si>
  <si>
    <t>IsEditable</t>
  </si>
  <si>
    <t>IsGridable</t>
  </si>
  <si>
    <t>IsInWords</t>
  </si>
  <si>
    <t>IsEncrypted</t>
  </si>
  <si>
    <t>IsListable</t>
  </si>
  <si>
    <t>Id da chave de índice</t>
  </si>
  <si>
    <t>Índice</t>
  </si>
  <si>
    <t>IsBirectional</t>
  </si>
  <si>
    <t>Coluna</t>
  </si>
  <si>
    <t>LeftColumnId</t>
  </si>
  <si>
    <t>RightColumnId</t>
  </si>
  <si>
    <t>#RightTableColumnName</t>
  </si>
  <si>
    <t>#LeftTableColumnName</t>
  </si>
  <si>
    <t>Symbol</t>
  </si>
  <si>
    <t>Arity</t>
  </si>
  <si>
    <t>≤</t>
  </si>
  <si>
    <t>≠</t>
  </si>
  <si>
    <t>≥</t>
  </si>
  <si>
    <t>∈</t>
  </si>
  <si>
    <t>∉</t>
  </si>
  <si>
    <t>⊃</t>
  </si>
  <si>
    <t>⊅</t>
  </si>
  <si>
    <t>∃</t>
  </si>
  <si>
    <t>∄</t>
  </si>
  <si>
    <t>∅</t>
  </si>
  <si>
    <t>⊗</t>
  </si>
  <si>
    <t>Maior que ou igual a...</t>
  </si>
  <si>
    <t>Maior que...</t>
  </si>
  <si>
    <t>Menor que ou igual a...</t>
  </si>
  <si>
    <t>Igual a...</t>
  </si>
  <si>
    <t>Diferente de...</t>
  </si>
  <si>
    <t>IN</t>
  </si>
  <si>
    <t>NOT IN</t>
  </si>
  <si>
    <t>LIKE</t>
  </si>
  <si>
    <t>NOT LIKE</t>
  </si>
  <si>
    <t>NOT BETWEEN... AND...</t>
  </si>
  <si>
    <t>BETWEEN... AND...</t>
  </si>
  <si>
    <t>IS NULL</t>
  </si>
  <si>
    <t>IS NOT NULL</t>
  </si>
  <si>
    <t>Modificators</t>
  </si>
  <si>
    <t>É chave-primária?</t>
  </si>
  <si>
    <t>É auto-incremento?</t>
  </si>
  <si>
    <t>Auto-incremento?</t>
  </si>
  <si>
    <t>Chave-primária?</t>
  </si>
  <si>
    <t>Requerida?</t>
  </si>
  <si>
    <t>É requerida?</t>
  </si>
  <si>
    <t>NAME</t>
  </si>
  <si>
    <t>10;9;8;7;6;5;4;3;2|11;10;9;8;7;6;5;4;3;2</t>
  </si>
  <si>
    <t>5;4;3;2;9;8;7;6;5;4;3;2|6;5;4;3;2;9;8;7;6;5;4;3;2</t>
  </si>
  <si>
    <t>ComparatorId</t>
  </si>
  <si>
    <t>Comparators</t>
  </si>
  <si>
    <t>Cmp</t>
  </si>
  <si>
    <t>Comparadores</t>
  </si>
  <si>
    <t>create;read;update;delete</t>
  </si>
  <si>
    <t>MenuSequence</t>
  </si>
  <si>
    <t>MenuCaption</t>
  </si>
  <si>
    <t>MenuMessage</t>
  </si>
  <si>
    <t>Categorias x Comparadores</t>
  </si>
  <si>
    <t>999.999.999-99</t>
  </si>
  <si>
    <t>99.999.999/9999-99</t>
  </si>
  <si>
    <t>999.99.999/999-99</t>
  </si>
  <si>
    <t>9999 9999 9999 9999</t>
  </si>
  <si>
    <t>9 999999 999999</t>
  </si>
  <si>
    <t>9-9999-9999-9</t>
  </si>
  <si>
    <t>999-99-999-9999-9</t>
  </si>
  <si>
    <t>9999-999X</t>
  </si>
  <si>
    <t>99999-999</t>
  </si>
  <si>
    <t>(99) 9999-9999</t>
  </si>
  <si>
    <t>(99) 9 9999-9999</t>
  </si>
  <si>
    <t>AAA-9999</t>
  </si>
  <si>
    <t>AAA9X99</t>
  </si>
  <si>
    <t>999.99999.99-9</t>
  </si>
  <si>
    <t>9999 9999 9999</t>
  </si>
  <si>
    <t>Prm</t>
  </si>
  <si>
    <t>Sch001</t>
  </si>
  <si>
    <t>day</t>
  </si>
  <si>
    <t>Snp0001</t>
  </si>
  <si>
    <t>SELECT * FROM Tables</t>
  </si>
  <si>
    <t>update</t>
  </si>
  <si>
    <t>{}</t>
  </si>
  <si>
    <t>http://teste.com</t>
  </si>
  <si>
    <t>Method</t>
  </si>
  <si>
    <t>GET</t>
  </si>
  <si>
    <t>Fetch Method</t>
  </si>
  <si>
    <t>GET;POST;PUT;DELETE;PATCH</t>
  </si>
  <si>
    <t>Id da categoria de dados</t>
  </si>
  <si>
    <t>Id do comparador</t>
  </si>
  <si>
    <t>Símbolo do comparador</t>
  </si>
  <si>
    <t>Descrição do comparador</t>
  </si>
  <si>
    <t>Símbolo</t>
  </si>
  <si>
    <t>Aridade do comparador</t>
  </si>
  <si>
    <t>Aridade</t>
  </si>
  <si>
    <t>Id da categoria x comparador</t>
  </si>
  <si>
    <t>Id da categoria</t>
  </si>
  <si>
    <t>#ComparatorDescription</t>
  </si>
  <si>
    <t>Menor que...</t>
  </si>
  <si>
    <t>Domínios x Máscaras</t>
  </si>
  <si>
    <t>Categorias</t>
  </si>
  <si>
    <t>Domínios</t>
  </si>
  <si>
    <t>Máscaras</t>
  </si>
  <si>
    <t>Conexões</t>
  </si>
  <si>
    <t>Colunas</t>
  </si>
  <si>
    <t>Índices</t>
  </si>
  <si>
    <t>Chaves</t>
  </si>
  <si>
    <t>Não-chaves</t>
  </si>
  <si>
    <t>Unicidades</t>
  </si>
  <si>
    <t>Condições</t>
  </si>
  <si>
    <t>Referências</t>
  </si>
  <si>
    <t>Permissões</t>
  </si>
  <si>
    <t>Propriedades</t>
  </si>
  <si>
    <t>Comportamentos</t>
  </si>
  <si>
    <t>Agendamentos</t>
  </si>
  <si>
    <t>Sessões</t>
  </si>
  <si>
    <t>Transações</t>
  </si>
  <si>
    <t>Operações</t>
  </si>
  <si>
    <t>Expressões</t>
  </si>
  <si>
    <t>Categorias de Tipos</t>
  </si>
  <si>
    <t>Domínios de Colunas</t>
  </si>
  <si>
    <t>Máscaras de Edição</t>
  </si>
  <si>
    <t>Conexões de Bancos-de-Dados</t>
  </si>
  <si>
    <t>Menus Agrupadores de Opções</t>
  </si>
  <si>
    <t>Colunas de Tabelas</t>
  </si>
  <si>
    <t>Índices de Tabelas</t>
  </si>
  <si>
    <t>Chaves de Índices</t>
  </si>
  <si>
    <t>Colunas Não-Chaves de Índices</t>
  </si>
  <si>
    <t>Unicidades Cruzadas Entre Tabelas</t>
  </si>
  <si>
    <t>Expressões Lógicas</t>
  </si>
  <si>
    <t>Condições de Expressões Lógicas</t>
  </si>
  <si>
    <t>Referências Chave-Estrangeira e Pai-Filho</t>
  </si>
  <si>
    <t>Permissões de Acesso de Usuários</t>
  </si>
  <si>
    <t>Comportamentos de Formulários</t>
  </si>
  <si>
    <t>Agendamentos de Tarefas</t>
  </si>
  <si>
    <t>Sessões de Logins</t>
  </si>
  <si>
    <t>Categ. x Comparad.</t>
  </si>
  <si>
    <t>left</t>
  </si>
  <si>
    <t>left;upper</t>
  </si>
  <si>
    <t>ListValues</t>
  </si>
  <si>
    <t>Mask Modificators</t>
  </si>
  <si>
    <t>left;right;upper;lower;space</t>
  </si>
  <si>
    <t>second;minute;hour;day;week;month;year</t>
  </si>
  <si>
    <t>Comparador</t>
  </si>
  <si>
    <t>Logical Connector</t>
  </si>
  <si>
    <t>Char(1)</t>
  </si>
  <si>
    <t>Nchar(1)</t>
  </si>
  <si>
    <t>Logo do  cliente</t>
  </si>
  <si>
    <t>Nome do SGBD</t>
  </si>
  <si>
    <t>Id da categoria do tipo de dado</t>
  </si>
  <si>
    <t>Tamanho do tipo de dado</t>
  </si>
  <si>
    <t>Decimais do tipo de dado</t>
  </si>
  <si>
    <t>Cliente da máscara de edição</t>
  </si>
  <si>
    <t>Edição</t>
  </si>
  <si>
    <t>Validação</t>
  </si>
  <si>
    <t>SGBD ativo?</t>
  </si>
  <si>
    <t>Id do SGBD do tipo de dado</t>
  </si>
  <si>
    <t>Cliente ativo?</t>
  </si>
  <si>
    <t>É decrescente?</t>
  </si>
  <si>
    <t>Decrescente?</t>
  </si>
  <si>
    <t>É extensível?</t>
  </si>
  <si>
    <t>Extensível?</t>
  </si>
  <si>
    <t>Id da coluna</t>
  </si>
  <si>
    <t>Pede chave-primária?</t>
  </si>
  <si>
    <t>Mappings</t>
  </si>
  <si>
    <t>Map</t>
  </si>
  <si>
    <t>Maskings</t>
  </si>
  <si>
    <t>Mkg</t>
  </si>
  <si>
    <t>Rules</t>
  </si>
  <si>
    <t>Rul</t>
  </si>
  <si>
    <t>Id do menu da tabela</t>
  </si>
  <si>
    <t>Sequência da opção de menu da tabela</t>
  </si>
  <si>
    <t>Legenda da opção de menu da tabela</t>
  </si>
  <si>
    <t>Mensagem da opção de menu da tabela</t>
  </si>
  <si>
    <t>Menu</t>
  </si>
  <si>
    <t>Legenda</t>
  </si>
  <si>
    <t>Id corrente</t>
  </si>
  <si>
    <t>Id corrente da tabela</t>
  </si>
  <si>
    <t>Urls</t>
  </si>
  <si>
    <t>Url</t>
  </si>
  <si>
    <t>#RightTableAlias</t>
  </si>
  <si>
    <t>#LeftTableAlias</t>
  </si>
  <si>
    <t>#LeftColumnName</t>
  </si>
  <si>
    <t>#RightColumnName</t>
  </si>
  <si>
    <t>Id da inclusão de índice</t>
  </si>
  <si>
    <t>Id da unicidade cruzada</t>
  </si>
  <si>
    <t>Id da coluna à esquerda</t>
  </si>
  <si>
    <t>Id da coluna à direita</t>
  </si>
  <si>
    <t>É bidirecional?</t>
  </si>
  <si>
    <t>Coluna à esquerda</t>
  </si>
  <si>
    <t>Coluna à direita</t>
  </si>
  <si>
    <t>Bidirecional?</t>
  </si>
  <si>
    <t>Id da expressão lógica</t>
  </si>
  <si>
    <t>Nome da expressão lógica</t>
  </si>
  <si>
    <t>Id da condição lógica</t>
  </si>
  <si>
    <t>Sequência da condição lógica</t>
  </si>
  <si>
    <t>Conector lógico</t>
  </si>
  <si>
    <t>Parênteses à esquerda</t>
  </si>
  <si>
    <t>Valor à direita</t>
  </si>
  <si>
    <t>Parênteses à direita</t>
  </si>
  <si>
    <t>Expressão</t>
  </si>
  <si>
    <t>Conector</t>
  </si>
  <si>
    <t>#ComparatorSymbol</t>
  </si>
  <si>
    <t>Id da referência</t>
  </si>
  <si>
    <t>Id do usuário</t>
  </si>
  <si>
    <t>Senha</t>
  </si>
  <si>
    <t>Tentativas de logins</t>
  </si>
  <si>
    <t>Usuário é ativo?</t>
  </si>
  <si>
    <t>Tentativas</t>
  </si>
  <si>
    <t>Id da permissão</t>
  </si>
  <si>
    <t>Id da usuário</t>
  </si>
  <si>
    <t>Pode incluir?</t>
  </si>
  <si>
    <t>Pode consultar?</t>
  </si>
  <si>
    <t>Pode alterar?</t>
  </si>
  <si>
    <t>Pode excluir?</t>
  </si>
  <si>
    <t>Usuário</t>
  </si>
  <si>
    <t>Incluir?</t>
  </si>
  <si>
    <t>Consultar?</t>
  </si>
  <si>
    <t>Alterar?</t>
  </si>
  <si>
    <t>Excluir?</t>
  </si>
  <si>
    <t>Descrição da propriedade</t>
  </si>
  <si>
    <t>Propriedade é ativa?</t>
  </si>
  <si>
    <t>Id da propriedade</t>
  </si>
  <si>
    <t>Nome da propriedade</t>
  </si>
  <si>
    <t>Id da categoria da propriedade</t>
  </si>
  <si>
    <t>Ativa?</t>
  </si>
  <si>
    <t>Propriedade</t>
  </si>
  <si>
    <t>Valor</t>
  </si>
  <si>
    <t>Valor da propriedade</t>
  </si>
  <si>
    <t>Id do agendamento</t>
  </si>
  <si>
    <t>Cliente do agendamento</t>
  </si>
  <si>
    <t>Nome do agendamento</t>
  </si>
  <si>
    <t>Intervalo do agendamento</t>
  </si>
  <si>
    <t>Periodicidade do agendamento</t>
  </si>
  <si>
    <t>Hora do dia do agendamento</t>
  </si>
  <si>
    <t>Dia do mês do agendamento</t>
  </si>
  <si>
    <t>Data da próxima execução do agendamento</t>
  </si>
  <si>
    <t>É dia útil?</t>
  </si>
  <si>
    <t>Agendamento é ativo?</t>
  </si>
  <si>
    <t>Agendamento executa apenas uma vez?</t>
  </si>
  <si>
    <t>É primeiro ou último dia?</t>
  </si>
  <si>
    <t>Intervalo</t>
  </si>
  <si>
    <t>Periodicidade</t>
  </si>
  <si>
    <t>Hora</t>
  </si>
  <si>
    <t>Dia</t>
  </si>
  <si>
    <t>Próxima data</t>
  </si>
  <si>
    <t>Primeiro/último dia?</t>
  </si>
  <si>
    <t>Dia útil?</t>
  </si>
  <si>
    <t>Uma vez?</t>
  </si>
  <si>
    <t>Id do comportamento</t>
  </si>
  <si>
    <t>Id do gancho</t>
  </si>
  <si>
    <t>É pré-CRUD?</t>
  </si>
  <si>
    <t>Gancho é ativo?</t>
  </si>
  <si>
    <t>Pré-CRUD?</t>
  </si>
  <si>
    <t>Id do script</t>
  </si>
  <si>
    <t>Gancho</t>
  </si>
  <si>
    <t>Id da URL</t>
  </si>
  <si>
    <t>URL</t>
  </si>
  <si>
    <t>Sequência do script</t>
  </si>
  <si>
    <t>Sequência da URL</t>
  </si>
  <si>
    <t>Método da URL</t>
  </si>
  <si>
    <t>Método</t>
  </si>
  <si>
    <t>Id da sessão</t>
  </si>
  <si>
    <t>Id do sistema</t>
  </si>
  <si>
    <t>Chave pública</t>
  </si>
  <si>
    <t>Sessão está conectada?</t>
  </si>
  <si>
    <t>Conectada?</t>
  </si>
  <si>
    <t>Id da transação</t>
  </si>
  <si>
    <t>Transação confirmada?</t>
  </si>
  <si>
    <t>Sessão</t>
  </si>
  <si>
    <t>Confirmada?</t>
  </si>
  <si>
    <t>Id da operação</t>
  </si>
  <si>
    <t>Ação da operação</t>
  </si>
  <si>
    <t>Registro anterior da operação</t>
  </si>
  <si>
    <t>Registro atual da operação</t>
  </si>
  <si>
    <t>Operação é confirmada?</t>
  </si>
  <si>
    <t>Transação</t>
  </si>
  <si>
    <t>Ação</t>
  </si>
  <si>
    <t>Registro anterior</t>
  </si>
  <si>
    <t>Registro atual</t>
  </si>
  <si>
    <t>Id da t abela</t>
  </si>
  <si>
    <t>Nome do índice</t>
  </si>
  <si>
    <t>É índice único?</t>
  </si>
  <si>
    <t>Único?</t>
  </si>
  <si>
    <t>Id da coluna chave</t>
  </si>
  <si>
    <t>Sequência da coluna chave</t>
  </si>
  <si>
    <t>É unicidade bidirecional?</t>
  </si>
  <si>
    <t>Id do comparador lógico</t>
  </si>
  <si>
    <t>Alias da referência</t>
  </si>
  <si>
    <t>URL's</t>
  </si>
  <si>
    <t>Scripts de Snipers</t>
  </si>
  <si>
    <t>URL's HTTP/HTTPS de Snipers</t>
  </si>
  <si>
    <t>Snipers</t>
  </si>
  <si>
    <t>Snp</t>
  </si>
  <si>
    <t>Snipers Pré/Pós CRUD</t>
  </si>
  <si>
    <t>Id do sniper</t>
  </si>
  <si>
    <t>Tabela do sniper</t>
  </si>
  <si>
    <t>Nome do sniper</t>
  </si>
  <si>
    <t>IsVirtual</t>
  </si>
  <si>
    <t>É virtual?</t>
  </si>
  <si>
    <t>Virtual?</t>
  </si>
  <si>
    <t>Id da coluna virtual</t>
  </si>
  <si>
    <t>Valor da coluna virtual</t>
  </si>
  <si>
    <t>Id do valor na tabela</t>
  </si>
  <si>
    <t>Id do valor</t>
  </si>
  <si>
    <t>Cadastro</t>
  </si>
  <si>
    <t>Associação</t>
  </si>
  <si>
    <t>Manutenção de Tabelas de Definição</t>
  </si>
  <si>
    <t>Definição</t>
  </si>
  <si>
    <t>Engine</t>
  </si>
  <si>
    <t>IsParentChild</t>
  </si>
  <si>
    <t>Tabela complementar</t>
  </si>
  <si>
    <t>#SniperName</t>
  </si>
  <si>
    <t>Expressions</t>
  </si>
  <si>
    <t>Expression 0001</t>
  </si>
  <si>
    <t>SniperId</t>
  </si>
  <si>
    <t>ValidMask: 9 = numérico; A = alfabético; X = alfanumérico; # = alfanumérico ou especial</t>
  </si>
  <si>
    <t>IsOnlySQL</t>
  </si>
  <si>
    <t>RightValues</t>
  </si>
  <si>
    <t>5;10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</si>
</sst>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quotePrefix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1" fontId="0" fillId="0" borderId="0" xfId="0" applyNumberForma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top"/>
    </xf>
    <xf numFmtId="3" fontId="0" fillId="0" borderId="0" xfId="0" applyNumberFormat="1" applyAlignment="1">
      <alignment horizontal="left"/>
    </xf>
    <xf numFmtId="20" fontId="0" fillId="0" borderId="0" xfId="0" applyNumberFormat="1"/>
    <xf numFmtId="0" fontId="4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tes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128F-0540-4A14-86D5-4B63388C5B19}">
  <sheetPr codeName="planCategories"/>
  <dimension ref="A1:K11"/>
  <sheetViews>
    <sheetView workbookViewId="0">
      <pane ySplit="1" topLeftCell="A2" activePane="bottomLeft" state="frozen"/>
      <selection pane="bottomLeft" activeCell="A12" sqref="A12"/>
    </sheetView>
  </sheetViews>
  <sheetFormatPr defaultColWidth="11.6640625" defaultRowHeight="14.4"/>
  <cols>
    <col min="1" max="1" width="3" bestFit="1" customWidth="1"/>
    <col min="2" max="2" width="10.33203125" bestFit="1" customWidth="1"/>
    <col min="3" max="3" width="12.44140625" bestFit="1" customWidth="1"/>
    <col min="4" max="4" width="12.88671875" bestFit="1" customWidth="1"/>
    <col min="5" max="5" width="13.33203125" bestFit="1" customWidth="1"/>
    <col min="6" max="8" width="12.44140625" bestFit="1" customWidth="1"/>
    <col min="9" max="9" width="12.6640625" bestFit="1" customWidth="1"/>
    <col min="10" max="10" width="13.109375" style="6" bestFit="1" customWidth="1"/>
    <col min="11" max="11" width="12.44140625" bestFit="1" customWidth="1"/>
  </cols>
  <sheetData>
    <row r="1" spans="1:11" s="1" customForma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170</v>
      </c>
      <c r="G1" s="1" t="s">
        <v>2</v>
      </c>
      <c r="H1" s="1" t="s">
        <v>167</v>
      </c>
      <c r="I1" s="1" t="s">
        <v>23</v>
      </c>
      <c r="J1" s="1" t="s">
        <v>611</v>
      </c>
      <c r="K1" s="1" t="s">
        <v>538</v>
      </c>
    </row>
    <row r="2" spans="1:11">
      <c r="A2">
        <f>ROW(A2)-1</f>
        <v>1</v>
      </c>
      <c r="B2" t="s">
        <v>6</v>
      </c>
      <c r="C2" t="b">
        <v>1</v>
      </c>
      <c r="D2" t="b">
        <v>1</v>
      </c>
      <c r="E2" t="b">
        <v>1</v>
      </c>
      <c r="F2" t="b">
        <v>0</v>
      </c>
      <c r="G2" t="b">
        <v>1</v>
      </c>
      <c r="H2" t="b">
        <v>1</v>
      </c>
      <c r="I2" t="b">
        <v>1</v>
      </c>
      <c r="J2" t="b">
        <v>1</v>
      </c>
      <c r="K2" t="b">
        <v>1</v>
      </c>
    </row>
    <row r="3" spans="1:11">
      <c r="A3">
        <f t="shared" ref="A3:A11" si="0">ROW(A3)-1</f>
        <v>2</v>
      </c>
      <c r="B3" t="s">
        <v>207</v>
      </c>
      <c r="C3" t="b">
        <v>1</v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b">
        <v>1</v>
      </c>
      <c r="J3" t="b">
        <v>0</v>
      </c>
      <c r="K3" t="b">
        <v>0</v>
      </c>
    </row>
    <row r="4" spans="1:11">
      <c r="A4">
        <f t="shared" si="0"/>
        <v>3</v>
      </c>
      <c r="B4" t="s">
        <v>9</v>
      </c>
      <c r="C4" t="b">
        <v>1</v>
      </c>
      <c r="D4" t="b">
        <v>1</v>
      </c>
      <c r="E4" t="b">
        <v>1</v>
      </c>
      <c r="F4" t="b">
        <v>0</v>
      </c>
      <c r="G4" t="b">
        <v>0</v>
      </c>
      <c r="H4" t="b">
        <v>1</v>
      </c>
      <c r="I4" t="b">
        <v>1</v>
      </c>
      <c r="J4" t="b">
        <v>0</v>
      </c>
      <c r="K4" t="b">
        <v>0</v>
      </c>
    </row>
    <row r="5" spans="1:11">
      <c r="A5">
        <f t="shared" si="0"/>
        <v>4</v>
      </c>
      <c r="B5" t="s">
        <v>10</v>
      </c>
      <c r="C5" t="b">
        <v>1</v>
      </c>
      <c r="D5" t="b">
        <v>1</v>
      </c>
      <c r="E5" t="b">
        <v>1</v>
      </c>
      <c r="F5" t="b">
        <v>0</v>
      </c>
      <c r="G5" t="b">
        <v>0</v>
      </c>
      <c r="H5" t="b">
        <v>1</v>
      </c>
      <c r="I5" t="b">
        <v>1</v>
      </c>
      <c r="J5" t="b">
        <v>0</v>
      </c>
      <c r="K5" t="b">
        <v>0</v>
      </c>
    </row>
    <row r="6" spans="1:11">
      <c r="A6">
        <f t="shared" si="0"/>
        <v>5</v>
      </c>
      <c r="B6" t="s">
        <v>12</v>
      </c>
      <c r="C6" t="b">
        <v>1</v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b">
        <v>1</v>
      </c>
      <c r="J6" t="b">
        <v>0</v>
      </c>
      <c r="K6" t="b">
        <v>0</v>
      </c>
    </row>
    <row r="7" spans="1:11">
      <c r="A7">
        <f>ROW(A7)-1</f>
        <v>6</v>
      </c>
      <c r="B7" t="s">
        <v>7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</row>
    <row r="8" spans="1:11">
      <c r="A8">
        <f>ROW(A8)-1</f>
        <v>7</v>
      </c>
      <c r="B8" t="s">
        <v>11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1</v>
      </c>
      <c r="J8" t="b">
        <v>0</v>
      </c>
      <c r="K8" t="b">
        <v>0</v>
      </c>
    </row>
    <row r="9" spans="1:11">
      <c r="A9">
        <f t="shared" si="0"/>
        <v>8</v>
      </c>
      <c r="B9" t="s">
        <v>13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</row>
    <row r="10" spans="1:11">
      <c r="A10">
        <v>9</v>
      </c>
      <c r="B10" t="s">
        <v>14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 spans="1:11">
      <c r="A11">
        <f t="shared" si="0"/>
        <v>10</v>
      </c>
      <c r="B11" t="s">
        <v>15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C2BC-8D90-42DB-A81A-6E5CF4C471F6}">
  <sheetPr codeName="Planilha1"/>
  <dimension ref="A1:E15"/>
  <sheetViews>
    <sheetView workbookViewId="0">
      <pane ySplit="1" topLeftCell="A2" activePane="bottomLeft" state="frozen"/>
      <selection pane="bottomLeft" activeCell="F6" sqref="F6"/>
    </sheetView>
  </sheetViews>
  <sheetFormatPr defaultColWidth="9.109375" defaultRowHeight="14.4"/>
  <cols>
    <col min="1" max="1" width="3" bestFit="1" customWidth="1"/>
    <col min="2" max="2" width="7.5546875" style="6" bestFit="1" customWidth="1"/>
    <col min="3" max="3" width="22" bestFit="1" customWidth="1"/>
    <col min="4" max="4" width="5.33203125" bestFit="1" customWidth="1"/>
    <col min="5" max="5" width="11.77734375" bestFit="1" customWidth="1"/>
  </cols>
  <sheetData>
    <row r="1" spans="1:5" s="1" customFormat="1">
      <c r="A1" s="1" t="s">
        <v>0</v>
      </c>
      <c r="B1" s="1" t="s">
        <v>631</v>
      </c>
      <c r="C1" s="1" t="s">
        <v>66</v>
      </c>
      <c r="D1" s="1" t="s">
        <v>632</v>
      </c>
      <c r="E1" s="1" t="s">
        <v>932</v>
      </c>
    </row>
    <row r="2" spans="1:5">
      <c r="A2">
        <f>ROW(A2)-1</f>
        <v>1</v>
      </c>
      <c r="B2" s="6" t="s">
        <v>386</v>
      </c>
      <c r="C2" t="s">
        <v>713</v>
      </c>
      <c r="D2">
        <v>2</v>
      </c>
      <c r="E2" t="b">
        <v>0</v>
      </c>
    </row>
    <row r="3" spans="1:5">
      <c r="A3">
        <f>ROW(A3)-1</f>
        <v>2</v>
      </c>
      <c r="B3" s="6" t="s">
        <v>633</v>
      </c>
      <c r="C3" t="s">
        <v>646</v>
      </c>
      <c r="D3">
        <v>2</v>
      </c>
      <c r="E3" t="b">
        <v>0</v>
      </c>
    </row>
    <row r="4" spans="1:5">
      <c r="A4">
        <f>ROW(A4)-1</f>
        <v>3</v>
      </c>
      <c r="B4" s="6" t="s">
        <v>469</v>
      </c>
      <c r="C4" t="s">
        <v>647</v>
      </c>
      <c r="D4">
        <v>2</v>
      </c>
      <c r="E4" t="b">
        <v>0</v>
      </c>
    </row>
    <row r="5" spans="1:5">
      <c r="A5">
        <f>ROW(A5)-1</f>
        <v>4</v>
      </c>
      <c r="B5" s="6" t="s">
        <v>634</v>
      </c>
      <c r="C5" t="s">
        <v>648</v>
      </c>
      <c r="D5">
        <v>2</v>
      </c>
      <c r="E5" t="b">
        <v>0</v>
      </c>
    </row>
    <row r="6" spans="1:5">
      <c r="A6">
        <f t="shared" ref="A6:A15" si="0">ROW(A6)-1</f>
        <v>5</v>
      </c>
      <c r="B6" s="6" t="s">
        <v>635</v>
      </c>
      <c r="C6" t="s">
        <v>644</v>
      </c>
      <c r="D6">
        <v>2</v>
      </c>
      <c r="E6" t="b">
        <v>0</v>
      </c>
    </row>
    <row r="7" spans="1:5">
      <c r="A7">
        <f t="shared" si="0"/>
        <v>6</v>
      </c>
      <c r="B7" s="6" t="s">
        <v>387</v>
      </c>
      <c r="C7" t="s">
        <v>645</v>
      </c>
      <c r="D7">
        <v>2</v>
      </c>
      <c r="E7" t="b">
        <v>0</v>
      </c>
    </row>
    <row r="8" spans="1:5">
      <c r="A8">
        <f t="shared" si="0"/>
        <v>7</v>
      </c>
      <c r="B8" s="6" t="s">
        <v>636</v>
      </c>
      <c r="C8" t="s">
        <v>649</v>
      </c>
      <c r="E8" t="b">
        <v>1</v>
      </c>
    </row>
    <row r="9" spans="1:5">
      <c r="A9">
        <f t="shared" si="0"/>
        <v>8</v>
      </c>
      <c r="B9" s="6" t="s">
        <v>637</v>
      </c>
      <c r="C9" t="s">
        <v>650</v>
      </c>
      <c r="E9" t="b">
        <v>1</v>
      </c>
    </row>
    <row r="10" spans="1:5">
      <c r="A10">
        <f t="shared" si="0"/>
        <v>9</v>
      </c>
      <c r="B10" s="6" t="s">
        <v>638</v>
      </c>
      <c r="C10" t="s">
        <v>651</v>
      </c>
      <c r="D10">
        <v>2</v>
      </c>
      <c r="E10" t="b">
        <v>1</v>
      </c>
    </row>
    <row r="11" spans="1:5">
      <c r="A11">
        <f t="shared" si="0"/>
        <v>10</v>
      </c>
      <c r="B11" s="6" t="s">
        <v>639</v>
      </c>
      <c r="C11" t="s">
        <v>652</v>
      </c>
      <c r="D11">
        <v>2</v>
      </c>
      <c r="E11" t="b">
        <v>1</v>
      </c>
    </row>
    <row r="12" spans="1:5">
      <c r="A12">
        <f t="shared" si="0"/>
        <v>11</v>
      </c>
      <c r="B12" s="6" t="s">
        <v>640</v>
      </c>
      <c r="C12" t="s">
        <v>654</v>
      </c>
      <c r="D12">
        <v>3</v>
      </c>
      <c r="E12" t="b">
        <v>1</v>
      </c>
    </row>
    <row r="13" spans="1:5">
      <c r="A13">
        <f t="shared" si="0"/>
        <v>12</v>
      </c>
      <c r="B13" s="6" t="s">
        <v>641</v>
      </c>
      <c r="C13" t="s">
        <v>653</v>
      </c>
      <c r="D13">
        <v>3</v>
      </c>
      <c r="E13" t="b">
        <v>1</v>
      </c>
    </row>
    <row r="14" spans="1:5">
      <c r="A14">
        <f t="shared" si="0"/>
        <v>13</v>
      </c>
      <c r="B14" s="6" t="s">
        <v>642</v>
      </c>
      <c r="C14" t="s">
        <v>655</v>
      </c>
      <c r="D14">
        <v>1</v>
      </c>
      <c r="E14" t="b">
        <v>1</v>
      </c>
    </row>
    <row r="15" spans="1:5">
      <c r="A15">
        <f t="shared" si="0"/>
        <v>14</v>
      </c>
      <c r="B15" s="6" t="s">
        <v>643</v>
      </c>
      <c r="C15" t="s">
        <v>656</v>
      </c>
      <c r="D15">
        <v>1</v>
      </c>
      <c r="E1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4F83-C16E-49A0-9BFC-C5FEA1E820A5}">
  <sheetPr codeName="Planilha8"/>
  <dimension ref="A1:F69"/>
  <sheetViews>
    <sheetView workbookViewId="0">
      <pane ySplit="1" topLeftCell="A2" activePane="bottomLeft" state="frozen"/>
      <selection pane="bottomLeft" activeCell="E69" sqref="E69"/>
    </sheetView>
  </sheetViews>
  <sheetFormatPr defaultColWidth="10.44140625" defaultRowHeight="14.4"/>
  <cols>
    <col min="1" max="1" width="3" bestFit="1" customWidth="1"/>
    <col min="2" max="2" width="10.33203125" bestFit="1" customWidth="1"/>
    <col min="3" max="3" width="14.6640625" bestFit="1" customWidth="1"/>
    <col min="4" max="4" width="12.6640625" bestFit="1" customWidth="1"/>
    <col min="5" max="5" width="18.6640625" style="6" bestFit="1" customWidth="1"/>
    <col min="6" max="6" width="21.88671875" bestFit="1" customWidth="1"/>
  </cols>
  <sheetData>
    <row r="1" spans="1:6" s="1" customFormat="1">
      <c r="A1" s="1" t="s">
        <v>0</v>
      </c>
      <c r="B1" s="1" t="s">
        <v>16</v>
      </c>
      <c r="C1" s="1" t="s">
        <v>146</v>
      </c>
      <c r="D1" s="1" t="s">
        <v>667</v>
      </c>
      <c r="E1" s="1" t="s">
        <v>817</v>
      </c>
      <c r="F1" s="1" t="s">
        <v>712</v>
      </c>
    </row>
    <row r="2" spans="1:6">
      <c r="A2">
        <f>ROW(A2)-1</f>
        <v>1</v>
      </c>
      <c r="B2">
        <v>1</v>
      </c>
      <c r="C2" t="str" cm="1">
        <f t="array" ref="C2">GetValue("Cat",B2,"Name")</f>
        <v>string</v>
      </c>
      <c r="D2">
        <v>1</v>
      </c>
      <c r="E2" s="6" t="str" cm="1">
        <f t="array" ref="E2">GetValue("Cmp",D2,"Symbol")</f>
        <v>&lt;</v>
      </c>
      <c r="F2" t="str" cm="1">
        <f t="array" ref="F2">GetValue("Cmp",D2,"Description")</f>
        <v>Menor que...</v>
      </c>
    </row>
    <row r="3" spans="1:6">
      <c r="A3">
        <f t="shared" ref="A3:A69" si="0">ROW(A3)-1</f>
        <v>2</v>
      </c>
      <c r="B3">
        <v>1</v>
      </c>
      <c r="C3" t="str" cm="1">
        <f t="array" ref="C3">GetValue("Cat",B3,"Name")</f>
        <v>string</v>
      </c>
      <c r="D3">
        <v>2</v>
      </c>
      <c r="E3" s="6" t="str" cm="1">
        <f t="array" ref="E3">GetValue("Cmp",D3,"Symbol")</f>
        <v>≤</v>
      </c>
      <c r="F3" t="str" cm="1">
        <f t="array" ref="F3">GetValue("Cmp",D3,"Description")</f>
        <v>Menor que ou igual a...</v>
      </c>
    </row>
    <row r="4" spans="1:6">
      <c r="A4">
        <f t="shared" si="0"/>
        <v>3</v>
      </c>
      <c r="B4">
        <v>1</v>
      </c>
      <c r="C4" t="str" cm="1">
        <f t="array" ref="C4">GetValue("Cat",B4,"Name")</f>
        <v>string</v>
      </c>
      <c r="D4">
        <v>3</v>
      </c>
      <c r="E4" s="6" t="str" cm="1">
        <f t="array" ref="E4">GetValue("Cmp",D4,"Symbol")</f>
        <v>=</v>
      </c>
      <c r="F4" t="str" cm="1">
        <f t="array" ref="F4">GetValue("Cmp",D4,"Description")</f>
        <v>Igual a...</v>
      </c>
    </row>
    <row r="5" spans="1:6">
      <c r="A5">
        <f t="shared" si="0"/>
        <v>4</v>
      </c>
      <c r="B5">
        <v>1</v>
      </c>
      <c r="C5" t="str" cm="1">
        <f t="array" ref="C5">GetValue("Cat",B5,"Name")</f>
        <v>string</v>
      </c>
      <c r="D5">
        <v>4</v>
      </c>
      <c r="E5" s="6" t="str" cm="1">
        <f t="array" ref="E5">GetValue("Cmp",D5,"Symbol")</f>
        <v>≠</v>
      </c>
      <c r="F5" t="str" cm="1">
        <f t="array" ref="F5">GetValue("Cmp",D5,"Description")</f>
        <v>Diferente de...</v>
      </c>
    </row>
    <row r="6" spans="1:6">
      <c r="A6">
        <f t="shared" si="0"/>
        <v>5</v>
      </c>
      <c r="B6">
        <v>1</v>
      </c>
      <c r="C6" t="str" cm="1">
        <f t="array" ref="C6">GetValue("Cat",B6,"Name")</f>
        <v>string</v>
      </c>
      <c r="D6">
        <v>5</v>
      </c>
      <c r="E6" s="6" t="str" cm="1">
        <f t="array" ref="E6">GetValue("Cmp",D6,"Symbol")</f>
        <v>≥</v>
      </c>
      <c r="F6" t="str" cm="1">
        <f t="array" ref="F6">GetValue("Cmp",D6,"Description")</f>
        <v>Maior que ou igual a...</v>
      </c>
    </row>
    <row r="7" spans="1:6">
      <c r="A7">
        <f t="shared" si="0"/>
        <v>6</v>
      </c>
      <c r="B7">
        <v>1</v>
      </c>
      <c r="C7" t="str" cm="1">
        <f t="array" ref="C7">GetValue("Cat",B7,"Name")</f>
        <v>string</v>
      </c>
      <c r="D7">
        <v>6</v>
      </c>
      <c r="E7" s="6" t="str" cm="1">
        <f t="array" ref="E7">GetValue("Cmp",D7,"Symbol")</f>
        <v>&gt;</v>
      </c>
      <c r="F7" t="str" cm="1">
        <f t="array" ref="F7">GetValue("Cmp",D7,"Description")</f>
        <v>Maior que...</v>
      </c>
    </row>
    <row r="8" spans="1:6">
      <c r="A8">
        <f t="shared" si="0"/>
        <v>7</v>
      </c>
      <c r="B8">
        <v>1</v>
      </c>
      <c r="C8" t="str" cm="1">
        <f t="array" ref="C8">GetValue("Cat",B8,"Name")</f>
        <v>string</v>
      </c>
      <c r="D8">
        <v>7</v>
      </c>
      <c r="E8" s="6" t="str" cm="1">
        <f t="array" ref="E8">GetValue("Cmp",D8,"Symbol")</f>
        <v>∈</v>
      </c>
      <c r="F8" t="str" cm="1">
        <f t="array" ref="F8">GetValue("Cmp",D8,"Description")</f>
        <v>IN</v>
      </c>
    </row>
    <row r="9" spans="1:6">
      <c r="A9">
        <f t="shared" si="0"/>
        <v>8</v>
      </c>
      <c r="B9">
        <v>1</v>
      </c>
      <c r="C9" t="str" cm="1">
        <f t="array" ref="C9">GetValue("Cat",B9,"Name")</f>
        <v>string</v>
      </c>
      <c r="D9">
        <v>8</v>
      </c>
      <c r="E9" s="6" t="str" cm="1">
        <f t="array" ref="E9">GetValue("Cmp",D9,"Symbol")</f>
        <v>∉</v>
      </c>
      <c r="F9" t="str" cm="1">
        <f t="array" ref="F9">GetValue("Cmp",D9,"Description")</f>
        <v>NOT IN</v>
      </c>
    </row>
    <row r="10" spans="1:6">
      <c r="A10">
        <f t="shared" si="0"/>
        <v>9</v>
      </c>
      <c r="B10">
        <v>1</v>
      </c>
      <c r="C10" t="str" cm="1">
        <f t="array" ref="C10">GetValue("Cat",B10,"Name")</f>
        <v>string</v>
      </c>
      <c r="D10">
        <v>9</v>
      </c>
      <c r="E10" s="6" t="str" cm="1">
        <f t="array" ref="E10">GetValue("Cmp",D10,"Symbol")</f>
        <v>⊃</v>
      </c>
      <c r="F10" t="str" cm="1">
        <f t="array" ref="F10">GetValue("Cmp",D10,"Description")</f>
        <v>LIKE</v>
      </c>
    </row>
    <row r="11" spans="1:6">
      <c r="A11">
        <f t="shared" si="0"/>
        <v>10</v>
      </c>
      <c r="B11">
        <v>1</v>
      </c>
      <c r="C11" t="str" cm="1">
        <f t="array" ref="C11">GetValue("Cat",B11,"Name")</f>
        <v>string</v>
      </c>
      <c r="D11">
        <v>10</v>
      </c>
      <c r="E11" s="6" t="str" cm="1">
        <f t="array" ref="E11">GetValue("Cmp",D11,"Symbol")</f>
        <v>⊅</v>
      </c>
      <c r="F11" t="str" cm="1">
        <f t="array" ref="F11">GetValue("Cmp",D11,"Description")</f>
        <v>NOT LIKE</v>
      </c>
    </row>
    <row r="12" spans="1:6">
      <c r="A12">
        <f t="shared" si="0"/>
        <v>11</v>
      </c>
      <c r="B12">
        <v>1</v>
      </c>
      <c r="C12" t="str" cm="1">
        <f t="array" ref="C12">GetValue("Cat",B12,"Name")</f>
        <v>string</v>
      </c>
      <c r="D12">
        <v>11</v>
      </c>
      <c r="E12" s="6" t="str" cm="1">
        <f t="array" ref="E12">GetValue("Cmp",D12,"Symbol")</f>
        <v>∃</v>
      </c>
      <c r="F12" t="str" cm="1">
        <f t="array" ref="F12">GetValue("Cmp",D12,"Description")</f>
        <v>BETWEEN... AND...</v>
      </c>
    </row>
    <row r="13" spans="1:6">
      <c r="A13">
        <f t="shared" si="0"/>
        <v>12</v>
      </c>
      <c r="B13">
        <v>1</v>
      </c>
      <c r="C13" t="str" cm="1">
        <f t="array" ref="C13">GetValue("Cat",B13,"Name")</f>
        <v>string</v>
      </c>
      <c r="D13">
        <v>12</v>
      </c>
      <c r="E13" s="6" t="str" cm="1">
        <f t="array" ref="E13">GetValue("Cmp",D13,"Symbol")</f>
        <v>∄</v>
      </c>
      <c r="F13" t="str" cm="1">
        <f t="array" ref="F13">GetValue("Cmp",D13,"Description")</f>
        <v>NOT BETWEEN... AND...</v>
      </c>
    </row>
    <row r="14" spans="1:6">
      <c r="A14">
        <f t="shared" si="0"/>
        <v>13</v>
      </c>
      <c r="B14">
        <v>1</v>
      </c>
      <c r="C14" t="str" cm="1">
        <f t="array" ref="C14">GetValue("Cat",B14,"Name")</f>
        <v>string</v>
      </c>
      <c r="D14">
        <v>13</v>
      </c>
      <c r="E14" s="6" t="str" cm="1">
        <f t="array" ref="E14">GetValue("Cmp",D14,"Symbol")</f>
        <v>∅</v>
      </c>
      <c r="F14" t="str" cm="1">
        <f t="array" ref="F14">GetValue("Cmp",D14,"Description")</f>
        <v>IS NULL</v>
      </c>
    </row>
    <row r="15" spans="1:6">
      <c r="A15">
        <f t="shared" si="0"/>
        <v>14</v>
      </c>
      <c r="B15">
        <v>1</v>
      </c>
      <c r="C15" t="str" cm="1">
        <f t="array" ref="C15">GetValue("Cat",B15,"Name")</f>
        <v>string</v>
      </c>
      <c r="D15">
        <v>14</v>
      </c>
      <c r="E15" s="6" t="str" cm="1">
        <f t="array" ref="E15">GetValue("Cmp",D15,"Symbol")</f>
        <v>⊗</v>
      </c>
      <c r="F15" t="str" cm="1">
        <f t="array" ref="F15">GetValue("Cmp",D15,"Description")</f>
        <v>IS NOT NULL</v>
      </c>
    </row>
    <row r="16" spans="1:6">
      <c r="A16">
        <f t="shared" si="0"/>
        <v>15</v>
      </c>
      <c r="B16">
        <v>2</v>
      </c>
      <c r="C16" t="str" cm="1">
        <f t="array" ref="C16">GetValue("Cat",B16,"Name")</f>
        <v>number</v>
      </c>
      <c r="D16">
        <v>1</v>
      </c>
      <c r="E16" s="6" t="str" cm="1">
        <f t="array" ref="E16">GetValue("Cmp",D16,"Symbol")</f>
        <v>&lt;</v>
      </c>
      <c r="F16" t="str" cm="1">
        <f t="array" ref="F16">GetValue("Cmp",D16,"Description")</f>
        <v>Menor que...</v>
      </c>
    </row>
    <row r="17" spans="1:6">
      <c r="A17">
        <f t="shared" si="0"/>
        <v>16</v>
      </c>
      <c r="B17">
        <v>2</v>
      </c>
      <c r="C17" t="str" cm="1">
        <f t="array" ref="C17">GetValue("Cat",B17,"Name")</f>
        <v>number</v>
      </c>
      <c r="D17">
        <v>2</v>
      </c>
      <c r="E17" s="6" t="str" cm="1">
        <f t="array" ref="E17">GetValue("Cmp",D17,"Symbol")</f>
        <v>≤</v>
      </c>
      <c r="F17" t="str" cm="1">
        <f t="array" ref="F17">GetValue("Cmp",D17,"Description")</f>
        <v>Menor que ou igual a...</v>
      </c>
    </row>
    <row r="18" spans="1:6">
      <c r="A18">
        <f t="shared" si="0"/>
        <v>17</v>
      </c>
      <c r="B18">
        <v>2</v>
      </c>
      <c r="C18" t="str" cm="1">
        <f t="array" ref="C18">GetValue("Cat",B18,"Name")</f>
        <v>number</v>
      </c>
      <c r="D18">
        <v>3</v>
      </c>
      <c r="E18" s="6" t="str" cm="1">
        <f t="array" ref="E18">GetValue("Cmp",D18,"Symbol")</f>
        <v>=</v>
      </c>
      <c r="F18" t="str" cm="1">
        <f t="array" ref="F18">GetValue("Cmp",D18,"Description")</f>
        <v>Igual a...</v>
      </c>
    </row>
    <row r="19" spans="1:6">
      <c r="A19">
        <f t="shared" si="0"/>
        <v>18</v>
      </c>
      <c r="B19">
        <v>2</v>
      </c>
      <c r="C19" t="str" cm="1">
        <f t="array" ref="C19">GetValue("Cat",B19,"Name")</f>
        <v>number</v>
      </c>
      <c r="D19">
        <v>4</v>
      </c>
      <c r="E19" s="6" t="str" cm="1">
        <f t="array" ref="E19">GetValue("Cmp",D19,"Symbol")</f>
        <v>≠</v>
      </c>
      <c r="F19" t="str" cm="1">
        <f t="array" ref="F19">GetValue("Cmp",D19,"Description")</f>
        <v>Diferente de...</v>
      </c>
    </row>
    <row r="20" spans="1:6">
      <c r="A20">
        <f t="shared" si="0"/>
        <v>19</v>
      </c>
      <c r="B20">
        <v>2</v>
      </c>
      <c r="C20" t="str" cm="1">
        <f t="array" ref="C20">GetValue("Cat",B20,"Name")</f>
        <v>number</v>
      </c>
      <c r="D20">
        <v>5</v>
      </c>
      <c r="E20" s="6" t="str" cm="1">
        <f t="array" ref="E20">GetValue("Cmp",D20,"Symbol")</f>
        <v>≥</v>
      </c>
      <c r="F20" t="str" cm="1">
        <f t="array" ref="F20">GetValue("Cmp",D20,"Description")</f>
        <v>Maior que ou igual a...</v>
      </c>
    </row>
    <row r="21" spans="1:6">
      <c r="A21">
        <f t="shared" si="0"/>
        <v>20</v>
      </c>
      <c r="B21">
        <v>2</v>
      </c>
      <c r="C21" t="str" cm="1">
        <f t="array" ref="C21">GetValue("Cat",B21,"Name")</f>
        <v>number</v>
      </c>
      <c r="D21">
        <v>6</v>
      </c>
      <c r="E21" s="6" t="str" cm="1">
        <f t="array" ref="E21">GetValue("Cmp",D21,"Symbol")</f>
        <v>&gt;</v>
      </c>
      <c r="F21" t="str" cm="1">
        <f t="array" ref="F21">GetValue("Cmp",D21,"Description")</f>
        <v>Maior que...</v>
      </c>
    </row>
    <row r="22" spans="1:6">
      <c r="A22">
        <f t="shared" si="0"/>
        <v>21</v>
      </c>
      <c r="B22">
        <v>2</v>
      </c>
      <c r="C22" t="str" cm="1">
        <f t="array" ref="C22">GetValue("Cat",B22,"Name")</f>
        <v>number</v>
      </c>
      <c r="D22">
        <v>7</v>
      </c>
      <c r="E22" s="6" t="str" cm="1">
        <f t="array" ref="E22">GetValue("Cmp",D22,"Symbol")</f>
        <v>∈</v>
      </c>
      <c r="F22" t="str" cm="1">
        <f t="array" ref="F22">GetValue("Cmp",D22,"Description")</f>
        <v>IN</v>
      </c>
    </row>
    <row r="23" spans="1:6">
      <c r="A23">
        <f t="shared" si="0"/>
        <v>22</v>
      </c>
      <c r="B23">
        <v>2</v>
      </c>
      <c r="C23" t="str" cm="1">
        <f t="array" ref="C23">GetValue("Cat",B23,"Name")</f>
        <v>number</v>
      </c>
      <c r="D23">
        <v>8</v>
      </c>
      <c r="E23" s="6" t="str" cm="1">
        <f t="array" ref="E23">GetValue("Cmp",D23,"Symbol")</f>
        <v>∉</v>
      </c>
      <c r="F23" t="str" cm="1">
        <f t="array" ref="F23">GetValue("Cmp",D23,"Description")</f>
        <v>NOT IN</v>
      </c>
    </row>
    <row r="24" spans="1:6">
      <c r="A24">
        <f t="shared" si="0"/>
        <v>23</v>
      </c>
      <c r="B24">
        <v>2</v>
      </c>
      <c r="C24" t="str" cm="1">
        <f t="array" ref="C24">GetValue("Cat",B24,"Name")</f>
        <v>number</v>
      </c>
      <c r="D24">
        <v>11</v>
      </c>
      <c r="E24" s="6" t="str" cm="1">
        <f t="array" ref="E24">GetValue("Cmp",D24,"Symbol")</f>
        <v>∃</v>
      </c>
      <c r="F24" t="str" cm="1">
        <f t="array" ref="F24">GetValue("Cmp",D24,"Description")</f>
        <v>BETWEEN... AND...</v>
      </c>
    </row>
    <row r="25" spans="1:6">
      <c r="A25">
        <f t="shared" si="0"/>
        <v>24</v>
      </c>
      <c r="B25">
        <v>2</v>
      </c>
      <c r="C25" t="str" cm="1">
        <f t="array" ref="C25">GetValue("Cat",B25,"Name")</f>
        <v>number</v>
      </c>
      <c r="D25">
        <v>12</v>
      </c>
      <c r="E25" s="6" t="str" cm="1">
        <f t="array" ref="E25">GetValue("Cmp",D25,"Symbol")</f>
        <v>∄</v>
      </c>
      <c r="F25" t="str" cm="1">
        <f t="array" ref="F25">GetValue("Cmp",D25,"Description")</f>
        <v>NOT BETWEEN... AND...</v>
      </c>
    </row>
    <row r="26" spans="1:6">
      <c r="A26">
        <f t="shared" si="0"/>
        <v>25</v>
      </c>
      <c r="B26">
        <v>2</v>
      </c>
      <c r="C26" t="str" cm="1">
        <f t="array" ref="C26">GetValue("Cat",B26,"Name")</f>
        <v>number</v>
      </c>
      <c r="D26">
        <v>13</v>
      </c>
      <c r="E26" s="6" t="str" cm="1">
        <f t="array" ref="E26">GetValue("Cmp",D26,"Symbol")</f>
        <v>∅</v>
      </c>
      <c r="F26" t="str" cm="1">
        <f t="array" ref="F26">GetValue("Cmp",D26,"Description")</f>
        <v>IS NULL</v>
      </c>
    </row>
    <row r="27" spans="1:6">
      <c r="A27">
        <f t="shared" si="0"/>
        <v>26</v>
      </c>
      <c r="B27">
        <v>2</v>
      </c>
      <c r="C27" t="str" cm="1">
        <f t="array" ref="C27">GetValue("Cat",B27,"Name")</f>
        <v>number</v>
      </c>
      <c r="D27">
        <v>14</v>
      </c>
      <c r="E27" s="6" t="str" cm="1">
        <f t="array" ref="E27">GetValue("Cmp",D27,"Symbol")</f>
        <v>⊗</v>
      </c>
      <c r="F27" t="str" cm="1">
        <f t="array" ref="F27">GetValue("Cmp",D27,"Description")</f>
        <v>IS NOT NULL</v>
      </c>
    </row>
    <row r="28" spans="1:6">
      <c r="A28">
        <f t="shared" si="0"/>
        <v>27</v>
      </c>
      <c r="B28">
        <v>3</v>
      </c>
      <c r="C28" t="str" cm="1">
        <f t="array" ref="C28">GetValue("Cat",B28,"Name")</f>
        <v>date</v>
      </c>
      <c r="D28">
        <v>1</v>
      </c>
      <c r="E28" s="6" t="str" cm="1">
        <f t="array" ref="E28">GetValue("Cmp",D28,"Symbol")</f>
        <v>&lt;</v>
      </c>
      <c r="F28" t="str" cm="1">
        <f t="array" ref="F28">GetValue("Cmp",D28,"Description")</f>
        <v>Menor que...</v>
      </c>
    </row>
    <row r="29" spans="1:6">
      <c r="A29">
        <f t="shared" si="0"/>
        <v>28</v>
      </c>
      <c r="B29">
        <v>3</v>
      </c>
      <c r="C29" t="str" cm="1">
        <f t="array" ref="C29">GetValue("Cat",B29,"Name")</f>
        <v>date</v>
      </c>
      <c r="D29">
        <v>2</v>
      </c>
      <c r="E29" s="6" t="str" cm="1">
        <f t="array" ref="E29">GetValue("Cmp",D29,"Symbol")</f>
        <v>≤</v>
      </c>
      <c r="F29" t="str" cm="1">
        <f t="array" ref="F29">GetValue("Cmp",D29,"Description")</f>
        <v>Menor que ou igual a...</v>
      </c>
    </row>
    <row r="30" spans="1:6">
      <c r="A30">
        <f t="shared" si="0"/>
        <v>29</v>
      </c>
      <c r="B30">
        <v>3</v>
      </c>
      <c r="C30" t="str" cm="1">
        <f t="array" ref="C30">GetValue("Cat",B30,"Name")</f>
        <v>date</v>
      </c>
      <c r="D30">
        <v>3</v>
      </c>
      <c r="E30" s="6" t="str" cm="1">
        <f t="array" ref="E30">GetValue("Cmp",D30,"Symbol")</f>
        <v>=</v>
      </c>
      <c r="F30" t="str" cm="1">
        <f t="array" ref="F30">GetValue("Cmp",D30,"Description")</f>
        <v>Igual a...</v>
      </c>
    </row>
    <row r="31" spans="1:6">
      <c r="A31">
        <f t="shared" si="0"/>
        <v>30</v>
      </c>
      <c r="B31">
        <v>3</v>
      </c>
      <c r="C31" t="str" cm="1">
        <f t="array" ref="C31">GetValue("Cat",B31,"Name")</f>
        <v>date</v>
      </c>
      <c r="D31">
        <v>4</v>
      </c>
      <c r="E31" s="6" t="str" cm="1">
        <f t="array" ref="E31">GetValue("Cmp",D31,"Symbol")</f>
        <v>≠</v>
      </c>
      <c r="F31" t="str" cm="1">
        <f t="array" ref="F31">GetValue("Cmp",D31,"Description")</f>
        <v>Diferente de...</v>
      </c>
    </row>
    <row r="32" spans="1:6">
      <c r="A32">
        <f t="shared" si="0"/>
        <v>31</v>
      </c>
      <c r="B32">
        <v>3</v>
      </c>
      <c r="C32" t="str" cm="1">
        <f t="array" ref="C32">GetValue("Cat",B32,"Name")</f>
        <v>date</v>
      </c>
      <c r="D32">
        <v>5</v>
      </c>
      <c r="E32" s="6" t="str" cm="1">
        <f t="array" ref="E32">GetValue("Cmp",D32,"Symbol")</f>
        <v>≥</v>
      </c>
      <c r="F32" t="str" cm="1">
        <f t="array" ref="F32">GetValue("Cmp",D32,"Description")</f>
        <v>Maior que ou igual a...</v>
      </c>
    </row>
    <row r="33" spans="1:6">
      <c r="A33">
        <f t="shared" si="0"/>
        <v>32</v>
      </c>
      <c r="B33">
        <v>3</v>
      </c>
      <c r="C33" t="str" cm="1">
        <f t="array" ref="C33">GetValue("Cat",B33,"Name")</f>
        <v>date</v>
      </c>
      <c r="D33">
        <v>6</v>
      </c>
      <c r="E33" s="6" t="str" cm="1">
        <f t="array" ref="E33">GetValue("Cmp",D33,"Symbol")</f>
        <v>&gt;</v>
      </c>
      <c r="F33" t="str" cm="1">
        <f t="array" ref="F33">GetValue("Cmp",D33,"Description")</f>
        <v>Maior que...</v>
      </c>
    </row>
    <row r="34" spans="1:6">
      <c r="A34">
        <f t="shared" si="0"/>
        <v>33</v>
      </c>
      <c r="B34">
        <v>3</v>
      </c>
      <c r="C34" t="str" cm="1">
        <f t="array" ref="C34">GetValue("Cat",B34,"Name")</f>
        <v>date</v>
      </c>
      <c r="D34">
        <v>7</v>
      </c>
      <c r="E34" s="6" t="str" cm="1">
        <f t="array" ref="E34">GetValue("Cmp",D34,"Symbol")</f>
        <v>∈</v>
      </c>
      <c r="F34" t="str" cm="1">
        <f t="array" ref="F34">GetValue("Cmp",D34,"Description")</f>
        <v>IN</v>
      </c>
    </row>
    <row r="35" spans="1:6">
      <c r="A35">
        <f t="shared" si="0"/>
        <v>34</v>
      </c>
      <c r="B35">
        <v>3</v>
      </c>
      <c r="C35" t="str" cm="1">
        <f t="array" ref="C35">GetValue("Cat",B35,"Name")</f>
        <v>date</v>
      </c>
      <c r="D35">
        <v>8</v>
      </c>
      <c r="E35" s="6" t="str" cm="1">
        <f t="array" ref="E35">GetValue("Cmp",D35,"Symbol")</f>
        <v>∉</v>
      </c>
      <c r="F35" t="str" cm="1">
        <f t="array" ref="F35">GetValue("Cmp",D35,"Description")</f>
        <v>NOT IN</v>
      </c>
    </row>
    <row r="36" spans="1:6">
      <c r="A36">
        <f t="shared" si="0"/>
        <v>35</v>
      </c>
      <c r="B36">
        <v>3</v>
      </c>
      <c r="C36" t="str" cm="1">
        <f t="array" ref="C36">GetValue("Cat",B36,"Name")</f>
        <v>date</v>
      </c>
      <c r="D36">
        <v>11</v>
      </c>
      <c r="E36" s="6" t="str" cm="1">
        <f t="array" ref="E36">GetValue("Cmp",D36,"Symbol")</f>
        <v>∃</v>
      </c>
      <c r="F36" t="str" cm="1">
        <f t="array" ref="F36">GetValue("Cmp",D36,"Description")</f>
        <v>BETWEEN... AND...</v>
      </c>
    </row>
    <row r="37" spans="1:6">
      <c r="A37">
        <f t="shared" si="0"/>
        <v>36</v>
      </c>
      <c r="B37">
        <v>3</v>
      </c>
      <c r="C37" t="str" cm="1">
        <f t="array" ref="C37">GetValue("Cat",B37,"Name")</f>
        <v>date</v>
      </c>
      <c r="D37">
        <v>12</v>
      </c>
      <c r="E37" s="6" t="str" cm="1">
        <f t="array" ref="E37">GetValue("Cmp",D37,"Symbol")</f>
        <v>∄</v>
      </c>
      <c r="F37" t="str" cm="1">
        <f t="array" ref="F37">GetValue("Cmp",D37,"Description")</f>
        <v>NOT BETWEEN... AND...</v>
      </c>
    </row>
    <row r="38" spans="1:6">
      <c r="A38">
        <f t="shared" si="0"/>
        <v>37</v>
      </c>
      <c r="B38">
        <v>3</v>
      </c>
      <c r="C38" t="str" cm="1">
        <f t="array" ref="C38">GetValue("Cat",B38,"Name")</f>
        <v>date</v>
      </c>
      <c r="D38">
        <v>13</v>
      </c>
      <c r="E38" s="6" t="str" cm="1">
        <f t="array" ref="E38">GetValue("Cmp",D38,"Symbol")</f>
        <v>∅</v>
      </c>
      <c r="F38" t="str" cm="1">
        <f t="array" ref="F38">GetValue("Cmp",D38,"Description")</f>
        <v>IS NULL</v>
      </c>
    </row>
    <row r="39" spans="1:6">
      <c r="A39">
        <f t="shared" si="0"/>
        <v>38</v>
      </c>
      <c r="B39">
        <v>3</v>
      </c>
      <c r="C39" t="str" cm="1">
        <f t="array" ref="C39">GetValue("Cat",B39,"Name")</f>
        <v>date</v>
      </c>
      <c r="D39">
        <v>14</v>
      </c>
      <c r="E39" s="6" t="str" cm="1">
        <f t="array" ref="E39">GetValue("Cmp",D39,"Symbol")</f>
        <v>⊗</v>
      </c>
      <c r="F39" t="str" cm="1">
        <f t="array" ref="F39">GetValue("Cmp",D39,"Description")</f>
        <v>IS NOT NULL</v>
      </c>
    </row>
    <row r="40" spans="1:6">
      <c r="A40">
        <f t="shared" si="0"/>
        <v>39</v>
      </c>
      <c r="B40">
        <v>4</v>
      </c>
      <c r="C40" t="str" cm="1">
        <f t="array" ref="C40">GetValue("Cat",B40,"Name")</f>
        <v>datetime</v>
      </c>
      <c r="D40">
        <v>1</v>
      </c>
      <c r="E40" s="6" t="str" cm="1">
        <f t="array" ref="E40">GetValue("Cmp",D40,"Symbol")</f>
        <v>&lt;</v>
      </c>
      <c r="F40" t="str" cm="1">
        <f t="array" ref="F40">GetValue("Cmp",D40,"Description")</f>
        <v>Menor que...</v>
      </c>
    </row>
    <row r="41" spans="1:6">
      <c r="A41">
        <f t="shared" si="0"/>
        <v>40</v>
      </c>
      <c r="B41">
        <v>4</v>
      </c>
      <c r="C41" t="str" cm="1">
        <f t="array" ref="C41">GetValue("Cat",B41,"Name")</f>
        <v>datetime</v>
      </c>
      <c r="D41">
        <v>2</v>
      </c>
      <c r="E41" s="6" t="str" cm="1">
        <f t="array" ref="E41">GetValue("Cmp",D41,"Symbol")</f>
        <v>≤</v>
      </c>
      <c r="F41" t="str" cm="1">
        <f t="array" ref="F41">GetValue("Cmp",D41,"Description")</f>
        <v>Menor que ou igual a...</v>
      </c>
    </row>
    <row r="42" spans="1:6">
      <c r="A42">
        <f t="shared" si="0"/>
        <v>41</v>
      </c>
      <c r="B42">
        <v>4</v>
      </c>
      <c r="C42" t="str" cm="1">
        <f t="array" ref="C42">GetValue("Cat",B42,"Name")</f>
        <v>datetime</v>
      </c>
      <c r="D42">
        <v>3</v>
      </c>
      <c r="E42" s="6" t="str" cm="1">
        <f t="array" ref="E42">GetValue("Cmp",D42,"Symbol")</f>
        <v>=</v>
      </c>
      <c r="F42" t="str" cm="1">
        <f t="array" ref="F42">GetValue("Cmp",D42,"Description")</f>
        <v>Igual a...</v>
      </c>
    </row>
    <row r="43" spans="1:6">
      <c r="A43">
        <f t="shared" si="0"/>
        <v>42</v>
      </c>
      <c r="B43">
        <v>4</v>
      </c>
      <c r="C43" t="str" cm="1">
        <f t="array" ref="C43">GetValue("Cat",B43,"Name")</f>
        <v>datetime</v>
      </c>
      <c r="D43">
        <v>4</v>
      </c>
      <c r="E43" s="6" t="str" cm="1">
        <f t="array" ref="E43">GetValue("Cmp",D43,"Symbol")</f>
        <v>≠</v>
      </c>
      <c r="F43" t="str" cm="1">
        <f t="array" ref="F43">GetValue("Cmp",D43,"Description")</f>
        <v>Diferente de...</v>
      </c>
    </row>
    <row r="44" spans="1:6">
      <c r="A44">
        <f t="shared" si="0"/>
        <v>43</v>
      </c>
      <c r="B44">
        <v>4</v>
      </c>
      <c r="C44" t="str" cm="1">
        <f t="array" ref="C44">GetValue("Cat",B44,"Name")</f>
        <v>datetime</v>
      </c>
      <c r="D44">
        <v>5</v>
      </c>
      <c r="E44" s="6" t="str" cm="1">
        <f t="array" ref="E44">GetValue("Cmp",D44,"Symbol")</f>
        <v>≥</v>
      </c>
      <c r="F44" t="str" cm="1">
        <f t="array" ref="F44">GetValue("Cmp",D44,"Description")</f>
        <v>Maior que ou igual a...</v>
      </c>
    </row>
    <row r="45" spans="1:6">
      <c r="A45">
        <f t="shared" si="0"/>
        <v>44</v>
      </c>
      <c r="B45">
        <v>4</v>
      </c>
      <c r="C45" t="str" cm="1">
        <f t="array" ref="C45">GetValue("Cat",B45,"Name")</f>
        <v>datetime</v>
      </c>
      <c r="D45">
        <v>6</v>
      </c>
      <c r="E45" s="6" t="str" cm="1">
        <f t="array" ref="E45">GetValue("Cmp",D45,"Symbol")</f>
        <v>&gt;</v>
      </c>
      <c r="F45" t="str" cm="1">
        <f t="array" ref="F45">GetValue("Cmp",D45,"Description")</f>
        <v>Maior que...</v>
      </c>
    </row>
    <row r="46" spans="1:6">
      <c r="A46">
        <f t="shared" si="0"/>
        <v>45</v>
      </c>
      <c r="B46">
        <v>4</v>
      </c>
      <c r="C46" t="str" cm="1">
        <f t="array" ref="C46">GetValue("Cat",B46,"Name")</f>
        <v>datetime</v>
      </c>
      <c r="D46">
        <v>7</v>
      </c>
      <c r="E46" s="6" t="str" cm="1">
        <f t="array" ref="E46">GetValue("Cmp",D46,"Symbol")</f>
        <v>∈</v>
      </c>
      <c r="F46" t="str" cm="1">
        <f t="array" ref="F46">GetValue("Cmp",D46,"Description")</f>
        <v>IN</v>
      </c>
    </row>
    <row r="47" spans="1:6">
      <c r="A47">
        <f t="shared" si="0"/>
        <v>46</v>
      </c>
      <c r="B47">
        <v>4</v>
      </c>
      <c r="C47" t="str" cm="1">
        <f t="array" ref="C47">GetValue("Cat",B47,"Name")</f>
        <v>datetime</v>
      </c>
      <c r="D47">
        <v>8</v>
      </c>
      <c r="E47" s="6" t="str" cm="1">
        <f t="array" ref="E47">GetValue("Cmp",D47,"Symbol")</f>
        <v>∉</v>
      </c>
      <c r="F47" t="str" cm="1">
        <f t="array" ref="F47">GetValue("Cmp",D47,"Description")</f>
        <v>NOT IN</v>
      </c>
    </row>
    <row r="48" spans="1:6">
      <c r="A48">
        <f t="shared" si="0"/>
        <v>47</v>
      </c>
      <c r="B48">
        <v>4</v>
      </c>
      <c r="C48" t="str" cm="1">
        <f t="array" ref="C48">GetValue("Cat",B48,"Name")</f>
        <v>datetime</v>
      </c>
      <c r="D48">
        <v>11</v>
      </c>
      <c r="E48" s="6" t="str" cm="1">
        <f t="array" ref="E48">GetValue("Cmp",D48,"Symbol")</f>
        <v>∃</v>
      </c>
      <c r="F48" t="str" cm="1">
        <f t="array" ref="F48">GetValue("Cmp",D48,"Description")</f>
        <v>BETWEEN... AND...</v>
      </c>
    </row>
    <row r="49" spans="1:6">
      <c r="A49">
        <f t="shared" si="0"/>
        <v>48</v>
      </c>
      <c r="B49">
        <v>4</v>
      </c>
      <c r="C49" t="str" cm="1">
        <f t="array" ref="C49">GetValue("Cat",B49,"Name")</f>
        <v>datetime</v>
      </c>
      <c r="D49">
        <v>12</v>
      </c>
      <c r="E49" s="6" t="str" cm="1">
        <f t="array" ref="E49">GetValue("Cmp",D49,"Symbol")</f>
        <v>∄</v>
      </c>
      <c r="F49" t="str" cm="1">
        <f t="array" ref="F49">GetValue("Cmp",D49,"Description")</f>
        <v>NOT BETWEEN... AND...</v>
      </c>
    </row>
    <row r="50" spans="1:6">
      <c r="A50">
        <f t="shared" si="0"/>
        <v>49</v>
      </c>
      <c r="B50">
        <v>4</v>
      </c>
      <c r="C50" t="str" cm="1">
        <f t="array" ref="C50">GetValue("Cat",B50,"Name")</f>
        <v>datetime</v>
      </c>
      <c r="D50">
        <v>13</v>
      </c>
      <c r="E50" s="6" t="str" cm="1">
        <f t="array" ref="E50">GetValue("Cmp",D50,"Symbol")</f>
        <v>∅</v>
      </c>
      <c r="F50" t="str" cm="1">
        <f t="array" ref="F50">GetValue("Cmp",D50,"Description")</f>
        <v>IS NULL</v>
      </c>
    </row>
    <row r="51" spans="1:6">
      <c r="A51">
        <f t="shared" si="0"/>
        <v>50</v>
      </c>
      <c r="B51">
        <v>4</v>
      </c>
      <c r="C51" t="str" cm="1">
        <f t="array" ref="C51">GetValue("Cat",B51,"Name")</f>
        <v>datetime</v>
      </c>
      <c r="D51">
        <v>14</v>
      </c>
      <c r="E51" s="6" t="str" cm="1">
        <f t="array" ref="E51">GetValue("Cmp",D51,"Symbol")</f>
        <v>⊗</v>
      </c>
      <c r="F51" t="str" cm="1">
        <f t="array" ref="F51">GetValue("Cmp",D51,"Description")</f>
        <v>IS NOT NULL</v>
      </c>
    </row>
    <row r="52" spans="1:6">
      <c r="A52">
        <f t="shared" si="0"/>
        <v>51</v>
      </c>
      <c r="B52">
        <v>5</v>
      </c>
      <c r="C52" t="str" cm="1">
        <f t="array" ref="C52">GetValue("Cat",B52,"Name")</f>
        <v>time</v>
      </c>
      <c r="D52">
        <v>1</v>
      </c>
      <c r="E52" s="6" t="str" cm="1">
        <f t="array" ref="E52">GetValue("Cmp",D52,"Symbol")</f>
        <v>&lt;</v>
      </c>
      <c r="F52" t="str" cm="1">
        <f t="array" ref="F52">GetValue("Cmp",D52,"Description")</f>
        <v>Menor que...</v>
      </c>
    </row>
    <row r="53" spans="1:6">
      <c r="A53">
        <f t="shared" si="0"/>
        <v>52</v>
      </c>
      <c r="B53">
        <v>5</v>
      </c>
      <c r="C53" t="str" cm="1">
        <f t="array" ref="C53">GetValue("Cat",B53,"Name")</f>
        <v>time</v>
      </c>
      <c r="D53">
        <v>2</v>
      </c>
      <c r="E53" s="6" t="str" cm="1">
        <f t="array" ref="E53">GetValue("Cmp",D53,"Symbol")</f>
        <v>≤</v>
      </c>
      <c r="F53" t="str" cm="1">
        <f t="array" ref="F53">GetValue("Cmp",D53,"Description")</f>
        <v>Menor que ou igual a...</v>
      </c>
    </row>
    <row r="54" spans="1:6">
      <c r="A54">
        <f t="shared" si="0"/>
        <v>53</v>
      </c>
      <c r="B54">
        <v>5</v>
      </c>
      <c r="C54" t="str" cm="1">
        <f t="array" ref="C54">GetValue("Cat",B54,"Name")</f>
        <v>time</v>
      </c>
      <c r="D54">
        <v>3</v>
      </c>
      <c r="E54" s="6" t="str" cm="1">
        <f t="array" ref="E54">GetValue("Cmp",D54,"Symbol")</f>
        <v>=</v>
      </c>
      <c r="F54" t="str" cm="1">
        <f t="array" ref="F54">GetValue("Cmp",D54,"Description")</f>
        <v>Igual a...</v>
      </c>
    </row>
    <row r="55" spans="1:6">
      <c r="A55">
        <f t="shared" si="0"/>
        <v>54</v>
      </c>
      <c r="B55">
        <v>5</v>
      </c>
      <c r="C55" t="str" cm="1">
        <f t="array" ref="C55">GetValue("Cat",B55,"Name")</f>
        <v>time</v>
      </c>
      <c r="D55">
        <v>4</v>
      </c>
      <c r="E55" s="6" t="str" cm="1">
        <f t="array" ref="E55">GetValue("Cmp",D55,"Symbol")</f>
        <v>≠</v>
      </c>
      <c r="F55" t="str" cm="1">
        <f t="array" ref="F55">GetValue("Cmp",D55,"Description")</f>
        <v>Diferente de...</v>
      </c>
    </row>
    <row r="56" spans="1:6">
      <c r="A56">
        <f t="shared" si="0"/>
        <v>55</v>
      </c>
      <c r="B56">
        <v>5</v>
      </c>
      <c r="C56" t="str" cm="1">
        <f t="array" ref="C56">GetValue("Cat",B56,"Name")</f>
        <v>time</v>
      </c>
      <c r="D56">
        <v>5</v>
      </c>
      <c r="E56" s="6" t="str" cm="1">
        <f t="array" ref="E56">GetValue("Cmp",D56,"Symbol")</f>
        <v>≥</v>
      </c>
      <c r="F56" t="str" cm="1">
        <f t="array" ref="F56">GetValue("Cmp",D56,"Description")</f>
        <v>Maior que ou igual a...</v>
      </c>
    </row>
    <row r="57" spans="1:6">
      <c r="A57">
        <f t="shared" si="0"/>
        <v>56</v>
      </c>
      <c r="B57">
        <v>5</v>
      </c>
      <c r="C57" t="str" cm="1">
        <f t="array" ref="C57">GetValue("Cat",B57,"Name")</f>
        <v>time</v>
      </c>
      <c r="D57">
        <v>6</v>
      </c>
      <c r="E57" s="6" t="str" cm="1">
        <f t="array" ref="E57">GetValue("Cmp",D57,"Symbol")</f>
        <v>&gt;</v>
      </c>
      <c r="F57" t="str" cm="1">
        <f t="array" ref="F57">GetValue("Cmp",D57,"Description")</f>
        <v>Maior que...</v>
      </c>
    </row>
    <row r="58" spans="1:6">
      <c r="A58">
        <f t="shared" si="0"/>
        <v>57</v>
      </c>
      <c r="B58">
        <v>5</v>
      </c>
      <c r="C58" t="str" cm="1">
        <f t="array" ref="C58">GetValue("Cat",B58,"Name")</f>
        <v>time</v>
      </c>
      <c r="D58">
        <v>7</v>
      </c>
      <c r="E58" s="6" t="str" cm="1">
        <f t="array" ref="E58">GetValue("Cmp",D58,"Symbol")</f>
        <v>∈</v>
      </c>
      <c r="F58" t="str" cm="1">
        <f t="array" ref="F58">GetValue("Cmp",D58,"Description")</f>
        <v>IN</v>
      </c>
    </row>
    <row r="59" spans="1:6">
      <c r="A59">
        <f t="shared" si="0"/>
        <v>58</v>
      </c>
      <c r="B59">
        <v>5</v>
      </c>
      <c r="C59" t="str" cm="1">
        <f t="array" ref="C59">GetValue("Cat",B59,"Name")</f>
        <v>time</v>
      </c>
      <c r="D59">
        <v>8</v>
      </c>
      <c r="E59" s="6" t="str" cm="1">
        <f t="array" ref="E59">GetValue("Cmp",D59,"Symbol")</f>
        <v>∉</v>
      </c>
      <c r="F59" t="str" cm="1">
        <f t="array" ref="F59">GetValue("Cmp",D59,"Description")</f>
        <v>NOT IN</v>
      </c>
    </row>
    <row r="60" spans="1:6">
      <c r="A60">
        <f t="shared" si="0"/>
        <v>59</v>
      </c>
      <c r="B60">
        <v>5</v>
      </c>
      <c r="C60" t="str" cm="1">
        <f t="array" ref="C60">GetValue("Cat",B60,"Name")</f>
        <v>time</v>
      </c>
      <c r="D60">
        <v>11</v>
      </c>
      <c r="E60" s="6" t="str" cm="1">
        <f t="array" ref="E60">GetValue("Cmp",D60,"Symbol")</f>
        <v>∃</v>
      </c>
      <c r="F60" t="str" cm="1">
        <f t="array" ref="F60">GetValue("Cmp",D60,"Description")</f>
        <v>BETWEEN... AND...</v>
      </c>
    </row>
    <row r="61" spans="1:6">
      <c r="A61">
        <f t="shared" si="0"/>
        <v>60</v>
      </c>
      <c r="B61">
        <v>5</v>
      </c>
      <c r="C61" t="str" cm="1">
        <f t="array" ref="C61">GetValue("Cat",B61,"Name")</f>
        <v>time</v>
      </c>
      <c r="D61">
        <v>12</v>
      </c>
      <c r="E61" s="6" t="str" cm="1">
        <f t="array" ref="E61">GetValue("Cmp",D61,"Symbol")</f>
        <v>∄</v>
      </c>
      <c r="F61" t="str" cm="1">
        <f t="array" ref="F61">GetValue("Cmp",D61,"Description")</f>
        <v>NOT BETWEEN... AND...</v>
      </c>
    </row>
    <row r="62" spans="1:6">
      <c r="A62">
        <f t="shared" si="0"/>
        <v>61</v>
      </c>
      <c r="B62">
        <v>5</v>
      </c>
      <c r="C62" t="str" cm="1">
        <f t="array" ref="C62">GetValue("Cat",B62,"Name")</f>
        <v>time</v>
      </c>
      <c r="D62">
        <v>13</v>
      </c>
      <c r="E62" s="6" t="str" cm="1">
        <f t="array" ref="E62">GetValue("Cmp",D62,"Symbol")</f>
        <v>∅</v>
      </c>
      <c r="F62" t="str" cm="1">
        <f t="array" ref="F62">GetValue("Cmp",D62,"Description")</f>
        <v>IS NULL</v>
      </c>
    </row>
    <row r="63" spans="1:6">
      <c r="A63">
        <f t="shared" si="0"/>
        <v>62</v>
      </c>
      <c r="B63">
        <v>5</v>
      </c>
      <c r="C63" t="str" cm="1">
        <f t="array" ref="C63">GetValue("Cat",B63,"Name")</f>
        <v>time</v>
      </c>
      <c r="D63">
        <v>14</v>
      </c>
      <c r="E63" s="6" t="str" cm="1">
        <f t="array" ref="E63">GetValue("Cmp",D63,"Symbol")</f>
        <v>⊗</v>
      </c>
      <c r="F63" t="str" cm="1">
        <f t="array" ref="F63">GetValue("Cmp",D63,"Description")</f>
        <v>IS NOT NULL</v>
      </c>
    </row>
    <row r="64" spans="1:6">
      <c r="A64">
        <f t="shared" si="0"/>
        <v>63</v>
      </c>
      <c r="B64">
        <v>6</v>
      </c>
      <c r="C64" t="str" cm="1">
        <f t="array" ref="C64">GetValue("Cat",B64,"Name")</f>
        <v>text</v>
      </c>
      <c r="D64">
        <v>9</v>
      </c>
      <c r="E64" s="6" t="str" cm="1">
        <f t="array" ref="E64">GetValue("Cmp",D64,"Symbol")</f>
        <v>⊃</v>
      </c>
      <c r="F64" t="str" cm="1">
        <f t="array" ref="F64">GetValue("Cmp",D64,"Description")</f>
        <v>LIKE</v>
      </c>
    </row>
    <row r="65" spans="1:6">
      <c r="A65">
        <f t="shared" si="0"/>
        <v>64</v>
      </c>
      <c r="B65">
        <v>6</v>
      </c>
      <c r="C65" t="str" cm="1">
        <f t="array" ref="C65">GetValue("Cat",B65,"Name")</f>
        <v>text</v>
      </c>
      <c r="D65">
        <v>10</v>
      </c>
      <c r="E65" s="6" t="str" cm="1">
        <f t="array" ref="E65">GetValue("Cmp",D65,"Symbol")</f>
        <v>⊅</v>
      </c>
      <c r="F65" t="str" cm="1">
        <f t="array" ref="F65">GetValue("Cmp",D65,"Description")</f>
        <v>NOT LIKE</v>
      </c>
    </row>
    <row r="66" spans="1:6">
      <c r="A66">
        <f t="shared" si="0"/>
        <v>65</v>
      </c>
      <c r="B66">
        <v>6</v>
      </c>
      <c r="C66" t="str" cm="1">
        <f t="array" ref="C66">GetValue("Cat",B66,"Name")</f>
        <v>text</v>
      </c>
      <c r="D66">
        <v>13</v>
      </c>
      <c r="E66" s="6" t="str" cm="1">
        <f t="array" ref="E66">GetValue("Cmp",D66,"Symbol")</f>
        <v>∅</v>
      </c>
      <c r="F66" t="str" cm="1">
        <f t="array" ref="F66">GetValue("Cmp",D66,"Description")</f>
        <v>IS NULL</v>
      </c>
    </row>
    <row r="67" spans="1:6">
      <c r="A67">
        <f t="shared" si="0"/>
        <v>66</v>
      </c>
      <c r="B67">
        <v>6</v>
      </c>
      <c r="C67" t="str" cm="1">
        <f t="array" ref="C67">GetValue("Cat",B67,"Name")</f>
        <v>text</v>
      </c>
      <c r="D67">
        <v>14</v>
      </c>
      <c r="E67" s="6" t="str" cm="1">
        <f t="array" ref="E67">GetValue("Cmp",D67,"Symbol")</f>
        <v>⊗</v>
      </c>
      <c r="F67" t="str" cm="1">
        <f t="array" ref="F67">GetValue("Cmp",D67,"Description")</f>
        <v>IS NOT NULL</v>
      </c>
    </row>
    <row r="68" spans="1:6">
      <c r="A68">
        <f t="shared" si="0"/>
        <v>67</v>
      </c>
      <c r="B68">
        <v>7</v>
      </c>
      <c r="C68" t="str" cm="1">
        <f t="array" ref="C68">GetValue("Cat",B68,"Name")</f>
        <v>boolean</v>
      </c>
      <c r="D68">
        <v>3</v>
      </c>
      <c r="E68" s="6" t="str" cm="1">
        <f t="array" ref="E68">GetValue("Cmp",D68,"Symbol")</f>
        <v>=</v>
      </c>
      <c r="F68" t="str" cm="1">
        <f t="array" ref="F68">GetValue("Cmp",D68,"Description")</f>
        <v>Igual a...</v>
      </c>
    </row>
    <row r="69" spans="1:6">
      <c r="A69">
        <f t="shared" si="0"/>
        <v>68</v>
      </c>
      <c r="B69">
        <v>7</v>
      </c>
      <c r="C69" t="str" cm="1">
        <f t="array" ref="C69">GetValue("Cat",B69,"Name")</f>
        <v>boolean</v>
      </c>
      <c r="D69">
        <v>4</v>
      </c>
      <c r="E69" s="6" t="str" cm="1">
        <f t="array" ref="E69">GetValue("Cmp",D69,"Symbol")</f>
        <v>≠</v>
      </c>
      <c r="F69" t="str" cm="1">
        <f t="array" ref="F69">GetValue("Cmp",D69,"Description")</f>
        <v>Diferente de...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2516-31F6-40D7-ABB9-F4E63E018310}">
  <sheetPr codeName="Planilha16"/>
  <dimension ref="A1:E11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40.88671875" defaultRowHeight="14.4"/>
  <cols>
    <col min="1" max="1" width="3" bestFit="1" customWidth="1"/>
    <col min="2" max="2" width="14" bestFit="1" customWidth="1"/>
    <col min="3" max="3" width="29.88671875" bestFit="1" customWidth="1"/>
    <col min="4" max="5" width="12.44140625" bestFit="1" customWidth="1"/>
  </cols>
  <sheetData>
    <row r="1" spans="1:5" s="1" customFormat="1">
      <c r="A1" s="1" t="s">
        <v>0</v>
      </c>
      <c r="B1" s="1" t="s">
        <v>1</v>
      </c>
      <c r="C1" s="1" t="s">
        <v>480</v>
      </c>
      <c r="D1" s="1" t="s">
        <v>487</v>
      </c>
      <c r="E1" s="1" t="s">
        <v>24</v>
      </c>
    </row>
    <row r="2" spans="1:5">
      <c r="A2">
        <f>ROW(A2)-1</f>
        <v>1</v>
      </c>
      <c r="B2" t="s">
        <v>219</v>
      </c>
      <c r="C2" t="s">
        <v>481</v>
      </c>
      <c r="D2" t="b">
        <v>1</v>
      </c>
      <c r="E2" t="b">
        <v>1</v>
      </c>
    </row>
    <row r="3" spans="1:5">
      <c r="A3">
        <f t="shared" ref="A3:A11" si="0">ROW(A3)-1</f>
        <v>2</v>
      </c>
      <c r="B3" t="s">
        <v>220</v>
      </c>
      <c r="C3" t="s">
        <v>482</v>
      </c>
      <c r="D3" t="b">
        <v>0</v>
      </c>
      <c r="E3" t="b">
        <v>0</v>
      </c>
    </row>
    <row r="4" spans="1:5">
      <c r="A4">
        <f t="shared" si="0"/>
        <v>3</v>
      </c>
      <c r="B4" t="s">
        <v>221</v>
      </c>
      <c r="C4" t="s">
        <v>526</v>
      </c>
      <c r="D4" t="b">
        <v>0</v>
      </c>
      <c r="E4" t="b">
        <v>0</v>
      </c>
    </row>
    <row r="5" spans="1:5">
      <c r="A5">
        <f t="shared" si="0"/>
        <v>4</v>
      </c>
      <c r="B5" t="s">
        <v>222</v>
      </c>
      <c r="C5" t="s">
        <v>483</v>
      </c>
      <c r="D5" t="b">
        <v>0</v>
      </c>
      <c r="E5" t="b">
        <v>0</v>
      </c>
    </row>
    <row r="6" spans="1:5">
      <c r="A6">
        <f t="shared" si="0"/>
        <v>5</v>
      </c>
      <c r="B6" t="s">
        <v>223</v>
      </c>
      <c r="C6" s="15" t="s">
        <v>484</v>
      </c>
      <c r="D6" t="b">
        <v>1</v>
      </c>
      <c r="E6" t="b">
        <v>0</v>
      </c>
    </row>
    <row r="7" spans="1:5">
      <c r="A7">
        <f t="shared" si="0"/>
        <v>6</v>
      </c>
      <c r="B7" t="s">
        <v>269</v>
      </c>
      <c r="C7" s="15" t="s">
        <v>527</v>
      </c>
      <c r="D7" t="b">
        <v>1</v>
      </c>
      <c r="E7" t="b">
        <v>0</v>
      </c>
    </row>
    <row r="8" spans="1:5">
      <c r="A8">
        <f t="shared" si="0"/>
        <v>7</v>
      </c>
      <c r="B8" t="s">
        <v>270</v>
      </c>
      <c r="C8" s="15" t="s">
        <v>485</v>
      </c>
      <c r="D8" t="b">
        <v>1</v>
      </c>
      <c r="E8" t="b">
        <v>0</v>
      </c>
    </row>
    <row r="9" spans="1:5">
      <c r="A9">
        <f t="shared" si="0"/>
        <v>8</v>
      </c>
      <c r="B9" t="s">
        <v>271</v>
      </c>
      <c r="C9" s="15" t="s">
        <v>486</v>
      </c>
      <c r="D9" t="b">
        <v>0</v>
      </c>
      <c r="E9" t="b">
        <v>0</v>
      </c>
    </row>
    <row r="10" spans="1:5">
      <c r="A10">
        <f t="shared" si="0"/>
        <v>9</v>
      </c>
      <c r="B10" t="s">
        <v>272</v>
      </c>
      <c r="C10" s="15" t="s">
        <v>528</v>
      </c>
      <c r="D10" t="b">
        <v>0</v>
      </c>
      <c r="E10" t="b">
        <v>0</v>
      </c>
    </row>
    <row r="11" spans="1:5">
      <c r="A11">
        <f t="shared" si="0"/>
        <v>10</v>
      </c>
      <c r="B11" t="s">
        <v>273</v>
      </c>
      <c r="C11" s="10" t="s">
        <v>529</v>
      </c>
      <c r="D11" t="b">
        <v>0</v>
      </c>
      <c r="E11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6044-3AC9-4077-B77F-D29225EABD28}">
  <sheetPr codeName="planTypes"/>
  <dimension ref="A1:K39"/>
  <sheetViews>
    <sheetView zoomScaleNormal="100" workbookViewId="0">
      <pane ySplit="1" topLeftCell="A2" activePane="bottomLeft" state="frozen"/>
      <selection pane="bottomLeft" activeCell="D6" sqref="D6"/>
    </sheetView>
  </sheetViews>
  <sheetFormatPr defaultColWidth="10" defaultRowHeight="14.4"/>
  <cols>
    <col min="1" max="1" width="3" bestFit="1" customWidth="1"/>
    <col min="2" max="2" width="10.5546875" bestFit="1" customWidth="1"/>
    <col min="3" max="3" width="15.33203125" bestFit="1" customWidth="1"/>
    <col min="4" max="4" width="16.88671875" bestFit="1" customWidth="1"/>
    <col min="5" max="6" width="27.109375" style="2" bestFit="1" customWidth="1"/>
    <col min="7" max="8" width="12.44140625" bestFit="1" customWidth="1"/>
    <col min="9" max="9" width="14.33203125" bestFit="1" customWidth="1"/>
    <col min="10" max="10" width="17.88671875" bestFit="1" customWidth="1"/>
    <col min="11" max="11" width="12.44140625" bestFit="1" customWidth="1"/>
    <col min="13" max="13" width="22.6640625" customWidth="1"/>
  </cols>
  <sheetData>
    <row r="1" spans="1:11" s="1" customFormat="1">
      <c r="A1" s="1" t="s">
        <v>0</v>
      </c>
      <c r="B1" s="1" t="s">
        <v>16</v>
      </c>
      <c r="C1" s="1" t="s">
        <v>146</v>
      </c>
      <c r="D1" s="1" t="s">
        <v>1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24</v>
      </c>
    </row>
    <row r="2" spans="1:11">
      <c r="A2">
        <f>ROW(A2)-1</f>
        <v>1</v>
      </c>
      <c r="B2">
        <v>2</v>
      </c>
      <c r="C2" t="str" cm="1">
        <f t="array" ref="C2">GetValue("Cat",B2,"Name")</f>
        <v>number</v>
      </c>
      <c r="D2" t="s">
        <v>506</v>
      </c>
      <c r="E2" s="5">
        <v>-9007199254740990</v>
      </c>
      <c r="F2" s="5">
        <v>9007199254740990</v>
      </c>
      <c r="G2" t="b">
        <v>0</v>
      </c>
      <c r="H2" t="b">
        <v>0</v>
      </c>
      <c r="I2" t="b">
        <v>1</v>
      </c>
      <c r="J2" t="b">
        <v>1</v>
      </c>
      <c r="K2" t="b">
        <v>1</v>
      </c>
    </row>
    <row r="3" spans="1:11">
      <c r="A3">
        <f t="shared" ref="A3:A28" si="0">ROW(A3)-1</f>
        <v>2</v>
      </c>
      <c r="B3">
        <v>9</v>
      </c>
      <c r="C3" t="str" cm="1">
        <f t="array" ref="C3">GetValue("Cat",B3,"Name")</f>
        <v>binary</v>
      </c>
      <c r="D3" t="s">
        <v>14</v>
      </c>
      <c r="E3" s="22"/>
      <c r="F3" s="2" t="s">
        <v>26</v>
      </c>
      <c r="G3" t="b">
        <v>0</v>
      </c>
      <c r="H3" t="b">
        <v>0</v>
      </c>
      <c r="I3" t="b">
        <v>0</v>
      </c>
      <c r="J3" t="b">
        <v>0</v>
      </c>
      <c r="K3" t="b">
        <v>1</v>
      </c>
    </row>
    <row r="4" spans="1:11">
      <c r="A4">
        <f t="shared" si="0"/>
        <v>3</v>
      </c>
      <c r="B4">
        <v>7</v>
      </c>
      <c r="C4" t="str" cm="1">
        <f t="array" ref="C4">GetValue("Cat",B4,"Name")</f>
        <v>boolean</v>
      </c>
      <c r="D4" t="s">
        <v>508</v>
      </c>
      <c r="E4" s="2" t="s">
        <v>26</v>
      </c>
      <c r="F4" s="2" t="s">
        <v>26</v>
      </c>
      <c r="G4" t="b">
        <v>0</v>
      </c>
      <c r="H4" t="b">
        <v>0</v>
      </c>
      <c r="I4" t="b">
        <v>0</v>
      </c>
      <c r="J4" t="b">
        <v>0</v>
      </c>
      <c r="K4" t="b">
        <v>1</v>
      </c>
    </row>
    <row r="5" spans="1:11">
      <c r="A5">
        <f t="shared" si="0"/>
        <v>4</v>
      </c>
      <c r="B5">
        <v>1</v>
      </c>
      <c r="C5" t="str" cm="1">
        <f t="array" ref="C5">GetValue("Cat",B5,"Name")</f>
        <v>string</v>
      </c>
      <c r="D5" t="s">
        <v>378</v>
      </c>
      <c r="E5" s="2" t="s">
        <v>26</v>
      </c>
      <c r="F5" s="2" t="s">
        <v>26</v>
      </c>
      <c r="G5" t="b">
        <v>1</v>
      </c>
      <c r="H5" t="b">
        <v>0</v>
      </c>
      <c r="I5" t="b">
        <v>0</v>
      </c>
      <c r="J5" t="b">
        <v>0</v>
      </c>
      <c r="K5" t="b">
        <v>1</v>
      </c>
    </row>
    <row r="6" spans="1:11">
      <c r="A6">
        <f t="shared" si="0"/>
        <v>5</v>
      </c>
      <c r="B6">
        <v>3</v>
      </c>
      <c r="C6" t="str" cm="1">
        <f t="array" ref="C6">GetValue("Cat",B6,"Name")</f>
        <v>date</v>
      </c>
      <c r="D6" t="s">
        <v>9</v>
      </c>
      <c r="E6" s="4" t="s">
        <v>197</v>
      </c>
      <c r="F6" s="4" t="s">
        <v>198</v>
      </c>
      <c r="G6" t="b">
        <v>0</v>
      </c>
      <c r="H6" t="b">
        <v>0</v>
      </c>
      <c r="I6" t="b">
        <v>0</v>
      </c>
      <c r="J6" t="b">
        <v>0</v>
      </c>
      <c r="K6" t="b">
        <v>1</v>
      </c>
    </row>
    <row r="7" spans="1:11">
      <c r="A7">
        <f t="shared" si="0"/>
        <v>6</v>
      </c>
      <c r="B7">
        <v>4</v>
      </c>
      <c r="C7" t="str" cm="1">
        <f t="array" ref="C7">GetValue("Cat",B7,"Name")</f>
        <v>datetime</v>
      </c>
      <c r="D7" t="s">
        <v>10</v>
      </c>
      <c r="E7" s="4" t="s">
        <v>199</v>
      </c>
      <c r="F7" s="4" t="s">
        <v>200</v>
      </c>
      <c r="G7" t="b">
        <v>0</v>
      </c>
      <c r="H7" t="b">
        <v>0</v>
      </c>
      <c r="I7" t="b">
        <v>0</v>
      </c>
      <c r="J7" t="b">
        <v>0</v>
      </c>
      <c r="K7" t="b">
        <v>1</v>
      </c>
    </row>
    <row r="8" spans="1:11">
      <c r="A8">
        <f t="shared" si="0"/>
        <v>7</v>
      </c>
      <c r="B8">
        <v>4</v>
      </c>
      <c r="C8" t="str" cm="1">
        <f t="array" ref="C8">GetValue("Cat",B8,"Name")</f>
        <v>datetime</v>
      </c>
      <c r="D8" t="s">
        <v>379</v>
      </c>
      <c r="E8" s="4" t="s">
        <v>201</v>
      </c>
      <c r="F8" s="4" t="s">
        <v>202</v>
      </c>
      <c r="G8" t="b">
        <v>0</v>
      </c>
      <c r="H8" t="b">
        <v>0</v>
      </c>
      <c r="I8" t="b">
        <v>0</v>
      </c>
      <c r="J8" t="b">
        <v>0</v>
      </c>
      <c r="K8" t="b">
        <v>1</v>
      </c>
    </row>
    <row r="9" spans="1:11">
      <c r="A9">
        <f t="shared" si="0"/>
        <v>8</v>
      </c>
      <c r="B9">
        <v>4</v>
      </c>
      <c r="C9" t="str" cm="1">
        <f t="array" ref="C9">GetValue("Cat",B9,"Name")</f>
        <v>datetime</v>
      </c>
      <c r="D9" t="s">
        <v>380</v>
      </c>
      <c r="E9" s="4" t="s">
        <v>201</v>
      </c>
      <c r="F9" s="4" t="s">
        <v>202</v>
      </c>
      <c r="G9" t="b">
        <v>0</v>
      </c>
      <c r="H9" t="b">
        <v>0</v>
      </c>
      <c r="I9" t="b">
        <v>0</v>
      </c>
      <c r="J9" t="b">
        <v>0</v>
      </c>
      <c r="K9" t="b">
        <v>1</v>
      </c>
    </row>
    <row r="10" spans="1:11">
      <c r="A10">
        <f t="shared" si="0"/>
        <v>9</v>
      </c>
      <c r="B10">
        <v>2</v>
      </c>
      <c r="C10" t="str" cm="1">
        <f t="array" ref="C10">GetValue("Cat",B10,"Name")</f>
        <v>number</v>
      </c>
      <c r="D10" t="s">
        <v>381</v>
      </c>
      <c r="E10" s="5">
        <v>-9007199254740990</v>
      </c>
      <c r="F10" s="5">
        <v>9007199254740990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</row>
    <row r="11" spans="1:11">
      <c r="A11">
        <f t="shared" si="0"/>
        <v>10</v>
      </c>
      <c r="B11">
        <v>2</v>
      </c>
      <c r="C11" t="str" cm="1">
        <f t="array" ref="C11">GetValue("Cat",B11,"Name")</f>
        <v>number</v>
      </c>
      <c r="D11" t="s">
        <v>382</v>
      </c>
      <c r="E11" s="5">
        <v>-9007199254740990</v>
      </c>
      <c r="F11" s="5">
        <v>9007199254740990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</row>
    <row r="12" spans="1:11">
      <c r="A12">
        <f t="shared" si="0"/>
        <v>11</v>
      </c>
      <c r="B12">
        <v>6</v>
      </c>
      <c r="C12" t="str" cm="1">
        <f t="array" ref="C12">GetValue("Cat",B12,"Name")</f>
        <v>text</v>
      </c>
      <c r="D12" t="s">
        <v>33</v>
      </c>
      <c r="E12" s="2" t="s">
        <v>26</v>
      </c>
      <c r="F12" s="2" t="s">
        <v>26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 spans="1:11">
      <c r="A13">
        <f t="shared" si="0"/>
        <v>12</v>
      </c>
      <c r="B13">
        <v>6</v>
      </c>
      <c r="C13" t="str" cm="1">
        <f t="array" ref="C13">GetValue("Cat",B13,"Name")</f>
        <v>text</v>
      </c>
      <c r="D13" t="s">
        <v>34</v>
      </c>
      <c r="E13" s="2" t="s">
        <v>26</v>
      </c>
      <c r="F13" s="2" t="s">
        <v>26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 spans="1:11">
      <c r="A14">
        <f t="shared" si="0"/>
        <v>13</v>
      </c>
      <c r="B14">
        <v>1</v>
      </c>
      <c r="C14" t="str" cm="1">
        <f t="array" ref="C14">GetValue("Cat",B14,"Name")</f>
        <v>string</v>
      </c>
      <c r="D14" t="s">
        <v>35</v>
      </c>
      <c r="E14" s="2" t="s">
        <v>26</v>
      </c>
      <c r="F14" s="2" t="s">
        <v>26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 spans="1:11">
      <c r="A15">
        <f t="shared" si="0"/>
        <v>14</v>
      </c>
      <c r="B15">
        <v>8</v>
      </c>
      <c r="C15" t="str" cm="1">
        <f t="array" ref="C15">GetValue("Cat",B15,"Name")</f>
        <v>image</v>
      </c>
      <c r="D15" t="s">
        <v>13</v>
      </c>
      <c r="E15" s="2" t="s">
        <v>26</v>
      </c>
      <c r="F15" s="2" t="s">
        <v>26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</row>
    <row r="16" spans="1:11">
      <c r="A16">
        <f t="shared" si="0"/>
        <v>15</v>
      </c>
      <c r="B16">
        <v>2</v>
      </c>
      <c r="C16" t="str" cm="1">
        <f t="array" ref="C16">GetValue("Cat",B16,"Name")</f>
        <v>number</v>
      </c>
      <c r="D16" t="s">
        <v>377</v>
      </c>
      <c r="E16" s="2">
        <v>-2147483648</v>
      </c>
      <c r="F16" s="2">
        <v>2147483647</v>
      </c>
      <c r="G16" t="b">
        <v>0</v>
      </c>
      <c r="H16" t="b">
        <v>0</v>
      </c>
      <c r="I16" t="b">
        <v>1</v>
      </c>
      <c r="J16" t="b">
        <v>1</v>
      </c>
      <c r="K16" t="b">
        <v>1</v>
      </c>
    </row>
    <row r="17" spans="1:11">
      <c r="A17">
        <f t="shared" si="0"/>
        <v>16</v>
      </c>
      <c r="B17">
        <v>2</v>
      </c>
      <c r="C17" t="str" cm="1">
        <f t="array" ref="C17">GetValue("Cat",B17,"Name")</f>
        <v>number</v>
      </c>
      <c r="D17" t="s">
        <v>37</v>
      </c>
      <c r="E17" s="5">
        <v>-9007199254740990</v>
      </c>
      <c r="F17" s="5">
        <v>9007199254740990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</row>
    <row r="18" spans="1:11">
      <c r="A18">
        <f t="shared" si="0"/>
        <v>17</v>
      </c>
      <c r="B18">
        <v>1</v>
      </c>
      <c r="C18" t="str" cm="1">
        <f t="array" ref="C18">GetValue("Cat",B18,"Name")</f>
        <v>string</v>
      </c>
      <c r="D18" t="s">
        <v>362</v>
      </c>
      <c r="E18" s="2" t="s">
        <v>26</v>
      </c>
      <c r="F18" s="2" t="s">
        <v>26</v>
      </c>
      <c r="G18" t="b">
        <v>1</v>
      </c>
      <c r="H18" t="b">
        <v>0</v>
      </c>
      <c r="I18" t="b">
        <v>0</v>
      </c>
      <c r="J18" t="b">
        <v>0</v>
      </c>
      <c r="K18" t="b">
        <v>1</v>
      </c>
    </row>
    <row r="19" spans="1:11">
      <c r="A19">
        <f t="shared" si="0"/>
        <v>18</v>
      </c>
      <c r="B19">
        <v>6</v>
      </c>
      <c r="C19" t="str" cm="1">
        <f t="array" ref="C19">GetValue("Cat",B19,"Name")</f>
        <v>text</v>
      </c>
      <c r="D19" t="s">
        <v>39</v>
      </c>
      <c r="E19" s="2" t="s">
        <v>26</v>
      </c>
      <c r="F19" s="2" t="s">
        <v>26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</row>
    <row r="20" spans="1:11">
      <c r="A20">
        <f t="shared" si="0"/>
        <v>19</v>
      </c>
      <c r="B20">
        <v>2</v>
      </c>
      <c r="C20" t="str" cm="1">
        <f t="array" ref="C20">GetValue("Cat",B20,"Name")</f>
        <v>number</v>
      </c>
      <c r="D20" t="s">
        <v>361</v>
      </c>
      <c r="E20" s="5">
        <v>-9007199254740990</v>
      </c>
      <c r="F20" s="5">
        <v>9007199254740990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</row>
    <row r="21" spans="1:11">
      <c r="A21">
        <f t="shared" si="0"/>
        <v>20</v>
      </c>
      <c r="B21">
        <v>1</v>
      </c>
      <c r="C21" t="str" cm="1">
        <f t="array" ref="C21">GetValue("Cat",B21,"Name")</f>
        <v>string</v>
      </c>
      <c r="D21" t="s">
        <v>365</v>
      </c>
      <c r="E21" s="2" t="s">
        <v>26</v>
      </c>
      <c r="F21" s="2" t="s">
        <v>26</v>
      </c>
      <c r="G21" t="b">
        <v>1</v>
      </c>
      <c r="H21" t="b">
        <v>0</v>
      </c>
      <c r="I21" t="b">
        <v>0</v>
      </c>
      <c r="J21" t="b">
        <v>0</v>
      </c>
      <c r="K21" t="b">
        <v>1</v>
      </c>
    </row>
    <row r="22" spans="1:11">
      <c r="A22">
        <f t="shared" si="0"/>
        <v>21</v>
      </c>
      <c r="B22">
        <v>6</v>
      </c>
      <c r="C22" t="str" cm="1">
        <f t="array" ref="C22">GetValue("Cat",B22,"Name")</f>
        <v>text</v>
      </c>
      <c r="D22" t="s">
        <v>177</v>
      </c>
      <c r="E22" s="2" t="s">
        <v>26</v>
      </c>
      <c r="F22" s="2" t="s">
        <v>26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</row>
    <row r="23" spans="1:11">
      <c r="A23">
        <f t="shared" si="0"/>
        <v>22</v>
      </c>
      <c r="B23">
        <v>2</v>
      </c>
      <c r="C23" t="str" cm="1">
        <f t="array" ref="C23">GetValue("Cat",B23,"Name")</f>
        <v>number</v>
      </c>
      <c r="D23" t="s">
        <v>41</v>
      </c>
      <c r="E23" s="5">
        <v>-9007199254740990</v>
      </c>
      <c r="F23" s="5">
        <v>9007199254740990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</row>
    <row r="24" spans="1:11">
      <c r="A24">
        <f t="shared" si="0"/>
        <v>23</v>
      </c>
      <c r="B24">
        <v>4</v>
      </c>
      <c r="C24" t="str" cm="1">
        <f t="array" ref="C24">GetValue("Cat",B24,"Name")</f>
        <v>datetime</v>
      </c>
      <c r="D24" t="s">
        <v>42</v>
      </c>
      <c r="E24" s="4" t="s">
        <v>203</v>
      </c>
      <c r="F24" s="4" t="s">
        <v>204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</row>
    <row r="25" spans="1:11">
      <c r="A25">
        <f t="shared" si="0"/>
        <v>24</v>
      </c>
      <c r="B25">
        <v>2</v>
      </c>
      <c r="C25" t="str" cm="1">
        <f t="array" ref="C25">GetValue("Cat",B25,"Name")</f>
        <v>number</v>
      </c>
      <c r="D25" t="s">
        <v>509</v>
      </c>
      <c r="E25" s="2">
        <v>-32768</v>
      </c>
      <c r="F25" s="2">
        <v>32767</v>
      </c>
      <c r="G25" t="b">
        <v>0</v>
      </c>
      <c r="H25" t="b">
        <v>0</v>
      </c>
      <c r="I25" t="b">
        <v>1</v>
      </c>
      <c r="J25" t="b">
        <v>1</v>
      </c>
      <c r="K25" t="b">
        <v>1</v>
      </c>
    </row>
    <row r="26" spans="1:11">
      <c r="A26">
        <f t="shared" si="0"/>
        <v>25</v>
      </c>
      <c r="B26">
        <v>2</v>
      </c>
      <c r="C26" t="str" cm="1">
        <f t="array" ref="C26">GetValue("Cat",B26,"Name")</f>
        <v>number</v>
      </c>
      <c r="D26" t="s">
        <v>44</v>
      </c>
      <c r="E26" s="2">
        <v>-214748</v>
      </c>
      <c r="F26" s="2">
        <v>214748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</row>
    <row r="27" spans="1:11">
      <c r="A27">
        <f t="shared" si="0"/>
        <v>26</v>
      </c>
      <c r="B27">
        <v>10</v>
      </c>
      <c r="C27" t="str" cm="1">
        <f t="array" ref="C27">GetValue("Cat",B27,"Name")</f>
        <v>undefined</v>
      </c>
      <c r="D27" t="s">
        <v>45</v>
      </c>
      <c r="E27" s="2" t="s">
        <v>26</v>
      </c>
      <c r="F27" s="2" t="s">
        <v>26</v>
      </c>
      <c r="G27" t="b">
        <v>0</v>
      </c>
      <c r="H27" t="b">
        <v>0</v>
      </c>
      <c r="I27" t="b">
        <v>0</v>
      </c>
      <c r="J27" t="b">
        <v>0</v>
      </c>
      <c r="K27" t="b">
        <v>1</v>
      </c>
    </row>
    <row r="28" spans="1:11">
      <c r="A28">
        <f t="shared" si="0"/>
        <v>27</v>
      </c>
      <c r="B28">
        <v>1</v>
      </c>
      <c r="C28" t="str" cm="1">
        <f t="array" ref="C28">GetValue("Cat",B28,"Name")</f>
        <v>string</v>
      </c>
      <c r="D28" t="s">
        <v>46</v>
      </c>
      <c r="E28" s="2" t="s">
        <v>26</v>
      </c>
      <c r="F28" s="2" t="s">
        <v>26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</row>
    <row r="29" spans="1:11">
      <c r="A29">
        <f>ROW(A29)-1</f>
        <v>28</v>
      </c>
      <c r="B29">
        <v>6</v>
      </c>
      <c r="C29" t="str" cm="1">
        <f t="array" ref="C29">GetValue("Cat",B29,"Name")</f>
        <v>text</v>
      </c>
      <c r="D29" t="s">
        <v>7</v>
      </c>
      <c r="E29" s="2" t="s">
        <v>26</v>
      </c>
      <c r="F29" s="2" t="s">
        <v>26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</row>
    <row r="30" spans="1:11">
      <c r="A30">
        <f t="shared" ref="A30:A39" si="1">ROW(A30)-1</f>
        <v>29</v>
      </c>
      <c r="B30">
        <v>5</v>
      </c>
      <c r="C30" t="str" cm="1">
        <f t="array" ref="C30">GetValue("Cat",B30,"Name")</f>
        <v>time</v>
      </c>
      <c r="D30" t="s">
        <v>383</v>
      </c>
      <c r="E30" s="4" t="s">
        <v>205</v>
      </c>
      <c r="F30" s="4" t="s">
        <v>206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</row>
    <row r="31" spans="1:11">
      <c r="A31">
        <f t="shared" si="1"/>
        <v>30</v>
      </c>
      <c r="B31">
        <v>4</v>
      </c>
      <c r="C31" t="str" cm="1">
        <f t="array" ref="C31">GetValue("Cat",B31,"Name")</f>
        <v>datetime</v>
      </c>
      <c r="D31" t="s">
        <v>47</v>
      </c>
      <c r="E31" s="4" t="s">
        <v>26</v>
      </c>
      <c r="F31" s="4"/>
      <c r="G31" t="b">
        <v>0</v>
      </c>
      <c r="H31" t="b">
        <v>0</v>
      </c>
      <c r="I31" t="b">
        <v>0</v>
      </c>
      <c r="J31" t="b">
        <v>0</v>
      </c>
      <c r="K31" t="b">
        <v>1</v>
      </c>
    </row>
    <row r="32" spans="1:11">
      <c r="A32">
        <f t="shared" si="1"/>
        <v>31</v>
      </c>
      <c r="B32">
        <v>2</v>
      </c>
      <c r="C32" t="str" cm="1">
        <f t="array" ref="C32">GetValue("Cat",B32,"Name")</f>
        <v>number</v>
      </c>
      <c r="D32" t="s">
        <v>507</v>
      </c>
      <c r="E32" s="2">
        <v>0</v>
      </c>
      <c r="F32" s="2">
        <v>255</v>
      </c>
      <c r="G32" t="b">
        <v>0</v>
      </c>
      <c r="H32" t="b">
        <v>0</v>
      </c>
      <c r="I32" t="b">
        <v>1</v>
      </c>
      <c r="J32" t="b">
        <v>1</v>
      </c>
      <c r="K32" t="b">
        <v>1</v>
      </c>
    </row>
    <row r="33" spans="1:11">
      <c r="A33">
        <f t="shared" si="1"/>
        <v>32</v>
      </c>
      <c r="B33">
        <v>1</v>
      </c>
      <c r="C33" t="str" cm="1">
        <f t="array" ref="C33">GetValue("Cat",B33,"Name")</f>
        <v>string</v>
      </c>
      <c r="D33" t="s">
        <v>49</v>
      </c>
      <c r="E33" s="2" t="s">
        <v>26</v>
      </c>
      <c r="F33" s="2" t="s">
        <v>26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</row>
    <row r="34" spans="1:11">
      <c r="A34">
        <f t="shared" si="1"/>
        <v>33</v>
      </c>
      <c r="B34">
        <v>9</v>
      </c>
      <c r="C34" t="str" cm="1">
        <f t="array" ref="C34">GetValue("Cat",B34,"Name")</f>
        <v>binary</v>
      </c>
      <c r="D34" t="s">
        <v>364</v>
      </c>
      <c r="E34" s="2" t="s">
        <v>26</v>
      </c>
      <c r="F34" s="2" t="s">
        <v>26</v>
      </c>
      <c r="G34" t="b">
        <v>1</v>
      </c>
      <c r="H34" t="b">
        <v>0</v>
      </c>
      <c r="I34" t="b">
        <v>0</v>
      </c>
      <c r="J34" t="b">
        <v>0</v>
      </c>
      <c r="K34" t="b">
        <v>1</v>
      </c>
    </row>
    <row r="35" spans="1:11">
      <c r="A35">
        <f t="shared" si="1"/>
        <v>34</v>
      </c>
      <c r="B35">
        <v>9</v>
      </c>
      <c r="C35" t="str" cm="1">
        <f t="array" ref="C35">GetValue("Cat",B35,"Name")</f>
        <v>binary</v>
      </c>
      <c r="D35" t="s">
        <v>178</v>
      </c>
      <c r="E35" s="2" t="s">
        <v>26</v>
      </c>
      <c r="F35" s="2" t="s">
        <v>26</v>
      </c>
      <c r="G35" t="b">
        <v>0</v>
      </c>
      <c r="H35" t="b">
        <v>0</v>
      </c>
      <c r="I35" t="b">
        <v>0</v>
      </c>
      <c r="J35" t="b">
        <v>0</v>
      </c>
      <c r="K35" t="b">
        <v>1</v>
      </c>
    </row>
    <row r="36" spans="1:11">
      <c r="A36">
        <f t="shared" si="1"/>
        <v>35</v>
      </c>
      <c r="B36">
        <v>1</v>
      </c>
      <c r="C36" t="str" cm="1">
        <f t="array" ref="C36">GetValue("Cat",B36,"Name")</f>
        <v>string</v>
      </c>
      <c r="D36" t="s">
        <v>363</v>
      </c>
      <c r="E36" s="2" t="s">
        <v>26</v>
      </c>
      <c r="F36" s="2" t="s">
        <v>26</v>
      </c>
      <c r="G36" t="b">
        <v>1</v>
      </c>
      <c r="H36" t="b">
        <v>0</v>
      </c>
      <c r="I36" t="b">
        <v>0</v>
      </c>
      <c r="J36" t="b">
        <v>0</v>
      </c>
      <c r="K36" t="b">
        <v>1</v>
      </c>
    </row>
    <row r="37" spans="1:11">
      <c r="A37">
        <f t="shared" si="1"/>
        <v>36</v>
      </c>
      <c r="B37">
        <v>6</v>
      </c>
      <c r="C37" t="str" cm="1">
        <f t="array" ref="C37">GetValue("Cat",B37,"Name")</f>
        <v>text</v>
      </c>
      <c r="D37" t="s">
        <v>176</v>
      </c>
      <c r="E37" s="2" t="s">
        <v>26</v>
      </c>
      <c r="F37" s="2" t="s">
        <v>26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</row>
    <row r="38" spans="1:11">
      <c r="A38">
        <f t="shared" si="1"/>
        <v>37</v>
      </c>
      <c r="B38">
        <v>6</v>
      </c>
      <c r="C38" t="str" cm="1">
        <f t="array" ref="C38">GetValue("Cat",B38,"Name")</f>
        <v>text</v>
      </c>
      <c r="D38" t="s">
        <v>52</v>
      </c>
      <c r="E38" s="2" t="s">
        <v>26</v>
      </c>
      <c r="F38" s="2" t="s">
        <v>26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</row>
    <row r="39" spans="1:11">
      <c r="A39">
        <f t="shared" si="1"/>
        <v>38</v>
      </c>
      <c r="B39">
        <v>6</v>
      </c>
      <c r="C39" t="str" cm="1">
        <f t="array" ref="C39">GetValue("Cat",B39,"Name")</f>
        <v>text</v>
      </c>
      <c r="D39" t="s">
        <v>214</v>
      </c>
      <c r="E39" s="2" t="s">
        <v>26</v>
      </c>
      <c r="F39" s="2" t="s">
        <v>26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93B4-3301-4C52-855C-EF9CE5B02B00}">
  <sheetPr codeName="Planilha18"/>
  <dimension ref="A1:H381"/>
  <sheetViews>
    <sheetView zoomScaleNormal="100" workbookViewId="0">
      <pane ySplit="1" topLeftCell="A56" activePane="bottomLeft" state="frozen"/>
      <selection pane="bottomLeft" activeCell="E83" sqref="E83"/>
    </sheetView>
  </sheetViews>
  <sheetFormatPr defaultColWidth="9.44140625" defaultRowHeight="14.4"/>
  <cols>
    <col min="1" max="1" width="4" bestFit="1" customWidth="1"/>
    <col min="2" max="2" width="8.6640625" bestFit="1" customWidth="1"/>
    <col min="3" max="3" width="14" bestFit="1" customWidth="1"/>
    <col min="4" max="4" width="7" bestFit="1" customWidth="1"/>
    <col min="5" max="5" width="16.88671875" bestFit="1" customWidth="1"/>
    <col min="6" max="6" width="43.5546875" customWidth="1"/>
    <col min="7" max="7" width="7" bestFit="1" customWidth="1"/>
    <col min="8" max="8" width="9" bestFit="1" customWidth="1"/>
  </cols>
  <sheetData>
    <row r="1" spans="1:8" s="1" customFormat="1">
      <c r="A1" s="1" t="s">
        <v>0</v>
      </c>
      <c r="B1" s="7" t="s">
        <v>473</v>
      </c>
      <c r="C1" s="7" t="s">
        <v>254</v>
      </c>
      <c r="D1" s="7" t="s">
        <v>53</v>
      </c>
      <c r="E1" s="7" t="s">
        <v>147</v>
      </c>
      <c r="F1" s="7" t="s">
        <v>1</v>
      </c>
      <c r="G1" s="1" t="s">
        <v>55</v>
      </c>
      <c r="H1" s="1" t="s">
        <v>56</v>
      </c>
    </row>
    <row r="2" spans="1:8">
      <c r="A2">
        <f>ROW(A2)-1</f>
        <v>1</v>
      </c>
      <c r="B2">
        <v>1</v>
      </c>
      <c r="C2" t="str" cm="1">
        <f t="array" ref="C2">GetValue("Eng",B2,"Name")</f>
        <v>SQL Server</v>
      </c>
      <c r="D2">
        <v>1</v>
      </c>
      <c r="E2" t="str" cm="1">
        <f t="array" ref="E2">GetValue("Typ",D2,"Name")</f>
        <v>bigint (8 bytes)</v>
      </c>
      <c r="F2" t="s">
        <v>25</v>
      </c>
    </row>
    <row r="3" spans="1:8">
      <c r="A3">
        <f t="shared" ref="A3:A66" si="0">ROW(A3)-1</f>
        <v>2</v>
      </c>
      <c r="B3">
        <v>1</v>
      </c>
      <c r="C3" t="str" cm="1">
        <f t="array" ref="C3">GetValue("Eng",B3,"Name")</f>
        <v>SQL Server</v>
      </c>
      <c r="D3">
        <v>2</v>
      </c>
      <c r="E3" t="str" cm="1">
        <f t="array" ref="E3">GetValue("Typ",D3,"Name")</f>
        <v>binary</v>
      </c>
      <c r="F3" t="s">
        <v>14</v>
      </c>
    </row>
    <row r="4" spans="1:8">
      <c r="A4">
        <f t="shared" si="0"/>
        <v>3</v>
      </c>
      <c r="B4">
        <v>1</v>
      </c>
      <c r="C4" t="str" cm="1">
        <f t="array" ref="C4">GetValue("Eng",B4,"Name")</f>
        <v>SQL Server</v>
      </c>
      <c r="D4">
        <v>3</v>
      </c>
      <c r="E4" t="str" cm="1">
        <f t="array" ref="E4">GetValue("Typ",D4,"Name")</f>
        <v>bit (1 bit)</v>
      </c>
      <c r="F4" t="s">
        <v>27</v>
      </c>
    </row>
    <row r="5" spans="1:8">
      <c r="A5">
        <f t="shared" si="0"/>
        <v>4</v>
      </c>
      <c r="B5">
        <v>1</v>
      </c>
      <c r="C5" t="str" cm="1">
        <f t="array" ref="C5">GetValue("Eng",B5,"Name")</f>
        <v>SQL Server</v>
      </c>
      <c r="D5">
        <v>4</v>
      </c>
      <c r="E5" t="str" cm="1">
        <f t="array" ref="E5">GetValue("Typ",D5,"Name")</f>
        <v>char(n)</v>
      </c>
      <c r="F5" t="s">
        <v>28</v>
      </c>
    </row>
    <row r="6" spans="1:8">
      <c r="A6">
        <f t="shared" si="0"/>
        <v>5</v>
      </c>
      <c r="B6">
        <v>1</v>
      </c>
      <c r="C6" t="str" cm="1">
        <f t="array" ref="C6">GetValue("Eng",B6,"Name")</f>
        <v>SQL Server</v>
      </c>
      <c r="D6">
        <v>5</v>
      </c>
      <c r="E6" t="str" cm="1">
        <f t="array" ref="E6">GetValue("Typ",D6,"Name")</f>
        <v>date</v>
      </c>
      <c r="F6" t="s">
        <v>9</v>
      </c>
    </row>
    <row r="7" spans="1:8">
      <c r="A7">
        <f t="shared" si="0"/>
        <v>6</v>
      </c>
      <c r="B7">
        <v>1</v>
      </c>
      <c r="C7" t="str" cm="1">
        <f t="array" ref="C7">GetValue("Eng",B7,"Name")</f>
        <v>SQL Server</v>
      </c>
      <c r="D7">
        <v>6</v>
      </c>
      <c r="E7" t="str" cm="1">
        <f t="array" ref="E7">GetValue("Typ",D7,"Name")</f>
        <v>datetime</v>
      </c>
      <c r="F7" t="s">
        <v>10</v>
      </c>
    </row>
    <row r="8" spans="1:8">
      <c r="A8">
        <f t="shared" si="0"/>
        <v>7</v>
      </c>
      <c r="B8">
        <v>1</v>
      </c>
      <c r="C8" t="str" cm="1">
        <f t="array" ref="C8">GetValue("Eng",B8,"Name")</f>
        <v>SQL Server</v>
      </c>
      <c r="D8">
        <v>7</v>
      </c>
      <c r="E8" t="str" cm="1">
        <f t="array" ref="E8">GetValue("Typ",D8,"Name")</f>
        <v>datetime2(s)</v>
      </c>
      <c r="F8" t="s">
        <v>29</v>
      </c>
    </row>
    <row r="9" spans="1:8">
      <c r="A9">
        <f t="shared" si="0"/>
        <v>8</v>
      </c>
      <c r="B9">
        <v>1</v>
      </c>
      <c r="C9" t="str" cm="1">
        <f t="array" ref="C9">GetValue("Eng",B9,"Name")</f>
        <v>SQL Server</v>
      </c>
      <c r="D9">
        <v>8</v>
      </c>
      <c r="E9" t="str" cm="1">
        <f t="array" ref="E9">GetValue("Typ",D9,"Name")</f>
        <v>datetimeoffset(s)</v>
      </c>
      <c r="F9" t="s">
        <v>30</v>
      </c>
    </row>
    <row r="10" spans="1:8">
      <c r="A10">
        <f t="shared" si="0"/>
        <v>9</v>
      </c>
      <c r="B10">
        <v>1</v>
      </c>
      <c r="C10" t="str" cm="1">
        <f t="array" ref="C10">GetValue("Eng",B10,"Name")</f>
        <v>SQL Server</v>
      </c>
      <c r="D10">
        <v>9</v>
      </c>
      <c r="E10" t="str" cm="1">
        <f t="array" ref="E10">GetValue("Typ",D10,"Name")</f>
        <v>decimal(p ,s)</v>
      </c>
      <c r="F10" t="s">
        <v>31</v>
      </c>
    </row>
    <row r="11" spans="1:8">
      <c r="A11">
        <f t="shared" si="0"/>
        <v>10</v>
      </c>
      <c r="B11">
        <v>1</v>
      </c>
      <c r="C11" t="str" cm="1">
        <f t="array" ref="C11">GetValue("Eng",B11,"Name")</f>
        <v>SQL Server</v>
      </c>
      <c r="D11">
        <v>10</v>
      </c>
      <c r="E11" t="str" cm="1">
        <f t="array" ref="E11">GetValue("Typ",D11,"Name")</f>
        <v>float(n)</v>
      </c>
      <c r="F11" t="s">
        <v>32</v>
      </c>
    </row>
    <row r="12" spans="1:8">
      <c r="A12">
        <f t="shared" si="0"/>
        <v>11</v>
      </c>
      <c r="B12">
        <v>1</v>
      </c>
      <c r="C12" t="str" cm="1">
        <f t="array" ref="C12">GetValue("Eng",B12,"Name")</f>
        <v>SQL Server</v>
      </c>
      <c r="D12">
        <v>11</v>
      </c>
      <c r="E12" t="str" cm="1">
        <f t="array" ref="E12">GetValue("Typ",D12,"Name")</f>
        <v>geography</v>
      </c>
      <c r="F12" t="s">
        <v>33</v>
      </c>
    </row>
    <row r="13" spans="1:8">
      <c r="A13">
        <f t="shared" si="0"/>
        <v>12</v>
      </c>
      <c r="B13">
        <v>1</v>
      </c>
      <c r="C13" t="str" cm="1">
        <f t="array" ref="C13">GetValue("Eng",B13,"Name")</f>
        <v>SQL Server</v>
      </c>
      <c r="D13">
        <v>12</v>
      </c>
      <c r="E13" t="str" cm="1">
        <f t="array" ref="E13">GetValue("Typ",D13,"Name")</f>
        <v>geometry</v>
      </c>
      <c r="F13" t="s">
        <v>34</v>
      </c>
    </row>
    <row r="14" spans="1:8">
      <c r="A14">
        <f t="shared" si="0"/>
        <v>13</v>
      </c>
      <c r="B14">
        <v>1</v>
      </c>
      <c r="C14" t="str" cm="1">
        <f t="array" ref="C14">GetValue("Eng",B14,"Name")</f>
        <v>SQL Server</v>
      </c>
      <c r="D14">
        <v>13</v>
      </c>
      <c r="E14" t="str" cm="1">
        <f t="array" ref="E14">GetValue("Typ",D14,"Name")</f>
        <v>hierarchyid</v>
      </c>
      <c r="F14" t="s">
        <v>35</v>
      </c>
    </row>
    <row r="15" spans="1:8">
      <c r="A15">
        <f t="shared" si="0"/>
        <v>14</v>
      </c>
      <c r="B15">
        <v>1</v>
      </c>
      <c r="C15" t="str" cm="1">
        <f t="array" ref="C15">GetValue("Eng",B15,"Name")</f>
        <v>SQL Server</v>
      </c>
      <c r="D15">
        <v>14</v>
      </c>
      <c r="E15" t="str" cm="1">
        <f t="array" ref="E15">GetValue("Typ",D15,"Name")</f>
        <v>image</v>
      </c>
      <c r="F15" t="s">
        <v>13</v>
      </c>
    </row>
    <row r="16" spans="1:8">
      <c r="A16">
        <f t="shared" si="0"/>
        <v>15</v>
      </c>
      <c r="B16">
        <v>1</v>
      </c>
      <c r="C16" t="str" cm="1">
        <f t="array" ref="C16">GetValue("Eng",B16,"Name")</f>
        <v>SQL Server</v>
      </c>
      <c r="D16">
        <v>15</v>
      </c>
      <c r="E16" t="str" cm="1">
        <f t="array" ref="E16">GetValue("Typ",D16,"Name")</f>
        <v>int (4 bytes)</v>
      </c>
      <c r="F16" t="s">
        <v>36</v>
      </c>
    </row>
    <row r="17" spans="1:6">
      <c r="A17">
        <f t="shared" si="0"/>
        <v>16</v>
      </c>
      <c r="B17">
        <v>1</v>
      </c>
      <c r="C17" t="str" cm="1">
        <f t="array" ref="C17">GetValue("Eng",B17,"Name")</f>
        <v>SQL Server</v>
      </c>
      <c r="D17">
        <v>16</v>
      </c>
      <c r="E17" t="str" cm="1">
        <f t="array" ref="E17">GetValue("Typ",D17,"Name")</f>
        <v>money</v>
      </c>
      <c r="F17" t="s">
        <v>37</v>
      </c>
    </row>
    <row r="18" spans="1:6">
      <c r="A18">
        <f t="shared" si="0"/>
        <v>17</v>
      </c>
      <c r="B18">
        <v>1</v>
      </c>
      <c r="C18" t="str" cm="1">
        <f t="array" ref="C18">GetValue("Eng",B18,"Name")</f>
        <v>SQL Server</v>
      </c>
      <c r="D18">
        <v>17</v>
      </c>
      <c r="E18" t="str" cm="1">
        <f t="array" ref="E18">GetValue("Typ",D18,"Name")</f>
        <v>nchar(n)</v>
      </c>
      <c r="F18" t="s">
        <v>38</v>
      </c>
    </row>
    <row r="19" spans="1:6">
      <c r="A19">
        <f t="shared" si="0"/>
        <v>18</v>
      </c>
      <c r="B19">
        <v>1</v>
      </c>
      <c r="C19" t="str" cm="1">
        <f t="array" ref="C19">GetValue("Eng",B19,"Name")</f>
        <v>SQL Server</v>
      </c>
      <c r="D19">
        <v>18</v>
      </c>
      <c r="E19" t="str" cm="1">
        <f t="array" ref="E19">GetValue("Typ",D19,"Name")</f>
        <v>ntext</v>
      </c>
      <c r="F19" t="s">
        <v>39</v>
      </c>
    </row>
    <row r="20" spans="1:6">
      <c r="A20">
        <f t="shared" si="0"/>
        <v>19</v>
      </c>
      <c r="B20">
        <v>1</v>
      </c>
      <c r="C20" t="str" cm="1">
        <f t="array" ref="C20">GetValue("Eng",B20,"Name")</f>
        <v>SQL Server</v>
      </c>
      <c r="D20">
        <v>19</v>
      </c>
      <c r="E20" t="str" cm="1">
        <f t="array" ref="E20">GetValue("Typ",D20,"Name")</f>
        <v>numeric(p,s)</v>
      </c>
      <c r="F20" t="s">
        <v>8</v>
      </c>
    </row>
    <row r="21" spans="1:6">
      <c r="A21">
        <f t="shared" si="0"/>
        <v>20</v>
      </c>
      <c r="B21">
        <v>1</v>
      </c>
      <c r="C21" t="str" cm="1">
        <f t="array" ref="C21">GetValue("Eng",B21,"Name")</f>
        <v>SQL Server</v>
      </c>
      <c r="D21">
        <v>20</v>
      </c>
      <c r="E21" t="str" cm="1">
        <f t="array" ref="E21">GetValue("Typ",D21,"Name")</f>
        <v>nvarchar(n)</v>
      </c>
      <c r="F21" t="s">
        <v>40</v>
      </c>
    </row>
    <row r="22" spans="1:6">
      <c r="A22">
        <f t="shared" si="0"/>
        <v>21</v>
      </c>
      <c r="B22">
        <v>1</v>
      </c>
      <c r="C22" t="str" cm="1">
        <f t="array" ref="C22">GetValue("Eng",B22,"Name")</f>
        <v>SQL Server</v>
      </c>
      <c r="D22">
        <v>21</v>
      </c>
      <c r="E22" t="str" cm="1">
        <f t="array" ref="E22">GetValue("Typ",D22,"Name")</f>
        <v>nvarchar(max)</v>
      </c>
      <c r="F22" t="s">
        <v>177</v>
      </c>
    </row>
    <row r="23" spans="1:6">
      <c r="A23">
        <f t="shared" si="0"/>
        <v>22</v>
      </c>
      <c r="B23">
        <v>1</v>
      </c>
      <c r="C23" t="str" cm="1">
        <f t="array" ref="C23">GetValue("Eng",B23,"Name")</f>
        <v>SQL Server</v>
      </c>
      <c r="D23">
        <v>22</v>
      </c>
      <c r="E23" t="str" cm="1">
        <f t="array" ref="E23">GetValue("Typ",D23,"Name")</f>
        <v>real</v>
      </c>
      <c r="F23" t="s">
        <v>41</v>
      </c>
    </row>
    <row r="24" spans="1:6">
      <c r="A24">
        <f t="shared" si="0"/>
        <v>23</v>
      </c>
      <c r="B24">
        <v>1</v>
      </c>
      <c r="C24" t="str" cm="1">
        <f t="array" ref="C24">GetValue("Eng",B24,"Name")</f>
        <v>SQL Server</v>
      </c>
      <c r="D24">
        <v>23</v>
      </c>
      <c r="E24" t="str" cm="1">
        <f t="array" ref="E24">GetValue("Typ",D24,"Name")</f>
        <v>smalldatetime</v>
      </c>
      <c r="F24" t="s">
        <v>42</v>
      </c>
    </row>
    <row r="25" spans="1:6">
      <c r="A25">
        <f t="shared" si="0"/>
        <v>24</v>
      </c>
      <c r="B25">
        <v>1</v>
      </c>
      <c r="C25" t="str" cm="1">
        <f t="array" ref="C25">GetValue("Eng",B25,"Name")</f>
        <v>SQL Server</v>
      </c>
      <c r="D25">
        <v>24</v>
      </c>
      <c r="E25" t="str" cm="1">
        <f t="array" ref="E25">GetValue("Typ",D25,"Name")</f>
        <v>smallint (2 bytes)</v>
      </c>
      <c r="F25" t="s">
        <v>43</v>
      </c>
    </row>
    <row r="26" spans="1:6">
      <c r="A26">
        <f t="shared" si="0"/>
        <v>25</v>
      </c>
      <c r="B26">
        <v>1</v>
      </c>
      <c r="C26" t="str" cm="1">
        <f t="array" ref="C26">GetValue("Eng",B26,"Name")</f>
        <v>SQL Server</v>
      </c>
      <c r="D26">
        <v>25</v>
      </c>
      <c r="E26" t="str" cm="1">
        <f t="array" ref="E26">GetValue("Typ",D26,"Name")</f>
        <v>smallmoney</v>
      </c>
      <c r="F26" t="s">
        <v>44</v>
      </c>
    </row>
    <row r="27" spans="1:6">
      <c r="A27">
        <f t="shared" si="0"/>
        <v>26</v>
      </c>
      <c r="B27">
        <v>1</v>
      </c>
      <c r="C27" t="str" cm="1">
        <f t="array" ref="C27">GetValue("Eng",B27,"Name")</f>
        <v>SQL Server</v>
      </c>
      <c r="D27">
        <v>26</v>
      </c>
      <c r="E27" t="str" cm="1">
        <f t="array" ref="E27">GetValue("Typ",D27,"Name")</f>
        <v>sql_variant</v>
      </c>
      <c r="F27" t="s">
        <v>45</v>
      </c>
    </row>
    <row r="28" spans="1:6">
      <c r="A28">
        <f t="shared" si="0"/>
        <v>27</v>
      </c>
      <c r="B28">
        <v>1</v>
      </c>
      <c r="C28" t="str" cm="1">
        <f t="array" ref="C28">GetValue("Eng",B28,"Name")</f>
        <v>SQL Server</v>
      </c>
      <c r="D28">
        <v>27</v>
      </c>
      <c r="E28" t="str" cm="1">
        <f t="array" ref="E28">GetValue("Typ",D28,"Name")</f>
        <v>sysname</v>
      </c>
      <c r="F28" t="s">
        <v>46</v>
      </c>
    </row>
    <row r="29" spans="1:6">
      <c r="A29">
        <f t="shared" si="0"/>
        <v>28</v>
      </c>
      <c r="B29">
        <v>1</v>
      </c>
      <c r="C29" t="str" cm="1">
        <f t="array" ref="C29">GetValue("Eng",B29,"Name")</f>
        <v>SQL Server</v>
      </c>
      <c r="D29">
        <v>28</v>
      </c>
      <c r="E29" t="str" cm="1">
        <f t="array" ref="E29">GetValue("Typ",D29,"Name")</f>
        <v>text</v>
      </c>
      <c r="F29" t="s">
        <v>7</v>
      </c>
    </row>
    <row r="30" spans="1:6">
      <c r="A30">
        <f t="shared" si="0"/>
        <v>29</v>
      </c>
      <c r="B30">
        <v>1</v>
      </c>
      <c r="C30" t="str" cm="1">
        <f t="array" ref="C30">GetValue("Eng",B30,"Name")</f>
        <v>SQL Server</v>
      </c>
      <c r="D30">
        <v>29</v>
      </c>
      <c r="E30" t="str" cm="1">
        <f t="array" ref="E30">GetValue("Typ",D30,"Name")</f>
        <v>time(s)</v>
      </c>
      <c r="F30" t="s">
        <v>12</v>
      </c>
    </row>
    <row r="31" spans="1:6">
      <c r="A31">
        <f t="shared" si="0"/>
        <v>30</v>
      </c>
      <c r="B31">
        <v>1</v>
      </c>
      <c r="C31" t="str" cm="1">
        <f t="array" ref="C31">GetValue("Eng",B31,"Name")</f>
        <v>SQL Server</v>
      </c>
      <c r="D31">
        <v>30</v>
      </c>
      <c r="E31" t="str" cm="1">
        <f t="array" ref="E31">GetValue("Typ",D31,"Name")</f>
        <v>timestamp</v>
      </c>
      <c r="F31" t="s">
        <v>47</v>
      </c>
    </row>
    <row r="32" spans="1:6">
      <c r="A32">
        <f t="shared" si="0"/>
        <v>31</v>
      </c>
      <c r="B32">
        <v>1</v>
      </c>
      <c r="C32" t="str" cm="1">
        <f t="array" ref="C32">GetValue("Eng",B32,"Name")</f>
        <v>SQL Server</v>
      </c>
      <c r="D32">
        <v>31</v>
      </c>
      <c r="E32" t="str" cm="1">
        <f t="array" ref="E32">GetValue("Typ",D32,"Name")</f>
        <v>tinyint (1 byte)</v>
      </c>
      <c r="F32" t="s">
        <v>48</v>
      </c>
    </row>
    <row r="33" spans="1:7">
      <c r="A33">
        <f t="shared" si="0"/>
        <v>32</v>
      </c>
      <c r="B33">
        <v>1</v>
      </c>
      <c r="C33" t="str" cm="1">
        <f t="array" ref="C33">GetValue("Eng",B33,"Name")</f>
        <v>SQL Server</v>
      </c>
      <c r="D33">
        <v>32</v>
      </c>
      <c r="E33" t="str" cm="1">
        <f t="array" ref="E33">GetValue("Typ",D33,"Name")</f>
        <v>uniqueidentifier</v>
      </c>
      <c r="F33" t="s">
        <v>49</v>
      </c>
    </row>
    <row r="34" spans="1:7">
      <c r="A34">
        <f t="shared" si="0"/>
        <v>33</v>
      </c>
      <c r="B34">
        <v>1</v>
      </c>
      <c r="C34" t="str" cm="1">
        <f t="array" ref="C34">GetValue("Eng",B34,"Name")</f>
        <v>SQL Server</v>
      </c>
      <c r="D34">
        <v>33</v>
      </c>
      <c r="E34" t="str" cm="1">
        <f t="array" ref="E34">GetValue("Typ",D34,"Name")</f>
        <v>varbinary(n)</v>
      </c>
      <c r="F34" t="s">
        <v>50</v>
      </c>
    </row>
    <row r="35" spans="1:7">
      <c r="A35">
        <f t="shared" si="0"/>
        <v>34</v>
      </c>
      <c r="B35">
        <v>1</v>
      </c>
      <c r="C35" t="str" cm="1">
        <f t="array" ref="C35">GetValue("Eng",B35,"Name")</f>
        <v>SQL Server</v>
      </c>
      <c r="D35">
        <v>34</v>
      </c>
      <c r="E35" t="str" cm="1">
        <f t="array" ref="E35">GetValue("Typ",D35,"Name")</f>
        <v>varbinary(max)</v>
      </c>
      <c r="F35" t="s">
        <v>178</v>
      </c>
    </row>
    <row r="36" spans="1:7">
      <c r="A36">
        <f t="shared" si="0"/>
        <v>35</v>
      </c>
      <c r="B36">
        <v>1</v>
      </c>
      <c r="C36" t="str" cm="1">
        <f t="array" ref="C36">GetValue("Eng",B36,"Name")</f>
        <v>SQL Server</v>
      </c>
      <c r="D36">
        <v>35</v>
      </c>
      <c r="E36" t="str" cm="1">
        <f t="array" ref="E36">GetValue("Typ",D36,"Name")</f>
        <v>varchar(n)</v>
      </c>
      <c r="F36" t="s">
        <v>51</v>
      </c>
    </row>
    <row r="37" spans="1:7">
      <c r="A37">
        <f t="shared" si="0"/>
        <v>36</v>
      </c>
      <c r="B37">
        <v>1</v>
      </c>
      <c r="C37" t="str" cm="1">
        <f t="array" ref="C37">GetValue("Eng",B37,"Name")</f>
        <v>SQL Server</v>
      </c>
      <c r="D37">
        <v>36</v>
      </c>
      <c r="E37" t="str" cm="1">
        <f t="array" ref="E37">GetValue("Typ",D37,"Name")</f>
        <v>varchar(max)</v>
      </c>
      <c r="F37" t="s">
        <v>176</v>
      </c>
    </row>
    <row r="38" spans="1:7">
      <c r="A38">
        <f t="shared" si="0"/>
        <v>37</v>
      </c>
      <c r="B38">
        <v>1</v>
      </c>
      <c r="C38" t="str" cm="1">
        <f t="array" ref="C38">GetValue("Eng",B38,"Name")</f>
        <v>SQL Server</v>
      </c>
      <c r="D38">
        <v>37</v>
      </c>
      <c r="E38" t="str" cm="1">
        <f t="array" ref="E38">GetValue("Typ",D38,"Name")</f>
        <v>xml</v>
      </c>
      <c r="F38" t="s">
        <v>52</v>
      </c>
    </row>
    <row r="39" spans="1:7">
      <c r="A39">
        <f t="shared" si="0"/>
        <v>38</v>
      </c>
      <c r="B39">
        <v>1</v>
      </c>
      <c r="C39" t="str" cm="1">
        <f t="array" ref="C39">GetValue("Eng",B39,"Name")</f>
        <v>SQL Server</v>
      </c>
      <c r="D39">
        <v>38</v>
      </c>
      <c r="E39" t="str" cm="1">
        <f t="array" ref="E39">GetValue("Typ",D39,"Name")</f>
        <v>json</v>
      </c>
      <c r="F39" t="s">
        <v>177</v>
      </c>
    </row>
    <row r="40" spans="1:7">
      <c r="A40">
        <f t="shared" si="0"/>
        <v>39</v>
      </c>
      <c r="B40">
        <v>2</v>
      </c>
      <c r="C40" t="str" cm="1">
        <f t="array" ref="C40">GetValue("Eng",B40,"Name")</f>
        <v>MySQL</v>
      </c>
      <c r="D40">
        <v>1</v>
      </c>
      <c r="E40" t="str" cm="1">
        <f t="array" ref="E40">GetValue("Typ",D40,"Name")</f>
        <v>bigint (8 bytes)</v>
      </c>
      <c r="F40" t="s">
        <v>224</v>
      </c>
    </row>
    <row r="41" spans="1:7">
      <c r="A41">
        <f t="shared" si="0"/>
        <v>40</v>
      </c>
      <c r="B41">
        <v>2</v>
      </c>
      <c r="C41" t="str" cm="1">
        <f t="array" ref="C41">GetValue("Eng",B41,"Name")</f>
        <v>MySQL</v>
      </c>
      <c r="D41">
        <v>2</v>
      </c>
      <c r="E41" t="str" cm="1">
        <f t="array" ref="E41">GetValue("Typ",D41,"Name")</f>
        <v>binary</v>
      </c>
      <c r="F41" t="s">
        <v>243</v>
      </c>
    </row>
    <row r="42" spans="1:7">
      <c r="A42">
        <f t="shared" si="0"/>
        <v>41</v>
      </c>
      <c r="B42">
        <v>2</v>
      </c>
      <c r="C42" t="str" cm="1">
        <f t="array" ref="C42">GetValue("Eng",B42,"Name")</f>
        <v>MySQL</v>
      </c>
      <c r="D42">
        <v>3</v>
      </c>
      <c r="E42" t="str" cm="1">
        <f t="array" ref="E42">GetValue("Typ",D42,"Name")</f>
        <v>bit (1 bit)</v>
      </c>
      <c r="F42" t="s">
        <v>239</v>
      </c>
    </row>
    <row r="43" spans="1:7">
      <c r="A43">
        <f t="shared" si="0"/>
        <v>42</v>
      </c>
      <c r="B43">
        <v>2</v>
      </c>
      <c r="C43" t="str" cm="1">
        <f t="array" ref="C43">GetValue("Eng",B43,"Name")</f>
        <v>MySQL</v>
      </c>
      <c r="D43">
        <v>4</v>
      </c>
      <c r="E43" t="str" cm="1">
        <f t="array" ref="E43">GetValue("Typ",D43,"Name")</f>
        <v>char(n)</v>
      </c>
      <c r="F43" t="s">
        <v>226</v>
      </c>
    </row>
    <row r="44" spans="1:7">
      <c r="A44">
        <f t="shared" si="0"/>
        <v>43</v>
      </c>
      <c r="B44">
        <v>2</v>
      </c>
      <c r="C44" t="str" cm="1">
        <f t="array" ref="C44">GetValue("Eng",B44,"Name")</f>
        <v>MySQL</v>
      </c>
      <c r="D44">
        <v>5</v>
      </c>
      <c r="E44" t="str" cm="1">
        <f t="array" ref="E44">GetValue("Typ",D44,"Name")</f>
        <v>date</v>
      </c>
      <c r="F44" t="s">
        <v>227</v>
      </c>
    </row>
    <row r="45" spans="1:7">
      <c r="A45">
        <f t="shared" si="0"/>
        <v>44</v>
      </c>
      <c r="B45">
        <v>2</v>
      </c>
      <c r="C45" t="str" cm="1">
        <f t="array" ref="C45">GetValue("Eng",B45,"Name")</f>
        <v>MySQL</v>
      </c>
      <c r="D45">
        <v>6</v>
      </c>
      <c r="E45" t="str" cm="1">
        <f t="array" ref="E45">GetValue("Typ",D45,"Name")</f>
        <v>datetime</v>
      </c>
      <c r="F45" t="s">
        <v>244</v>
      </c>
    </row>
    <row r="46" spans="1:7">
      <c r="A46">
        <f t="shared" si="0"/>
        <v>45</v>
      </c>
      <c r="B46">
        <v>2</v>
      </c>
      <c r="C46" t="str" cm="1">
        <f t="array" ref="C46">GetValue("Eng",B46,"Name")</f>
        <v>MySQL</v>
      </c>
      <c r="D46">
        <v>7</v>
      </c>
      <c r="E46" t="str" cm="1">
        <f t="array" ref="E46">GetValue("Typ",D46,"Name")</f>
        <v>datetime2(s)</v>
      </c>
      <c r="F46" t="s">
        <v>244</v>
      </c>
      <c r="G46">
        <v>6</v>
      </c>
    </row>
    <row r="47" spans="1:7">
      <c r="A47">
        <f t="shared" si="0"/>
        <v>46</v>
      </c>
      <c r="B47">
        <v>2</v>
      </c>
      <c r="C47" t="str" cm="1">
        <f t="array" ref="C47">GetValue("Eng",B47,"Name")</f>
        <v>MySQL</v>
      </c>
      <c r="D47">
        <v>8</v>
      </c>
      <c r="E47" t="str" cm="1">
        <f t="array" ref="E47">GetValue("Typ",D47,"Name")</f>
        <v>datetimeoffset(s)</v>
      </c>
      <c r="F47" t="s">
        <v>228</v>
      </c>
    </row>
    <row r="48" spans="1:7">
      <c r="A48">
        <f t="shared" si="0"/>
        <v>47</v>
      </c>
      <c r="B48">
        <v>2</v>
      </c>
      <c r="C48" t="str" cm="1">
        <f t="array" ref="C48">GetValue("Eng",B48,"Name")</f>
        <v>MySQL</v>
      </c>
      <c r="D48">
        <v>9</v>
      </c>
      <c r="E48" t="str" cm="1">
        <f t="array" ref="E48">GetValue("Typ",D48,"Name")</f>
        <v>decimal(p ,s)</v>
      </c>
      <c r="F48" t="s">
        <v>267</v>
      </c>
    </row>
    <row r="49" spans="1:8">
      <c r="A49">
        <f t="shared" si="0"/>
        <v>48</v>
      </c>
      <c r="B49">
        <v>2</v>
      </c>
      <c r="C49" t="str" cm="1">
        <f t="array" ref="C49">GetValue("Eng",B49,"Name")</f>
        <v>MySQL</v>
      </c>
      <c r="D49">
        <v>10</v>
      </c>
      <c r="E49" t="str" cm="1">
        <f t="array" ref="E49">GetValue("Typ",D49,"Name")</f>
        <v>float(n)</v>
      </c>
      <c r="F49" t="s">
        <v>230</v>
      </c>
    </row>
    <row r="50" spans="1:8">
      <c r="A50">
        <f t="shared" si="0"/>
        <v>49</v>
      </c>
      <c r="B50">
        <v>2</v>
      </c>
      <c r="C50" t="str" cm="1">
        <f t="array" ref="C50">GetValue("Eng",B50,"Name")</f>
        <v>MySQL</v>
      </c>
      <c r="D50">
        <v>11</v>
      </c>
      <c r="E50" t="str" cm="1">
        <f t="array" ref="E50">GetValue("Typ",D50,"Name")</f>
        <v>geography</v>
      </c>
      <c r="F50" t="s">
        <v>245</v>
      </c>
    </row>
    <row r="51" spans="1:8">
      <c r="A51">
        <f t="shared" si="0"/>
        <v>50</v>
      </c>
      <c r="B51">
        <v>2</v>
      </c>
      <c r="C51" t="str" cm="1">
        <f t="array" ref="C51">GetValue("Eng",B51,"Name")</f>
        <v>MySQL</v>
      </c>
      <c r="D51">
        <v>12</v>
      </c>
      <c r="E51" t="str" cm="1">
        <f t="array" ref="E51">GetValue("Typ",D51,"Name")</f>
        <v>geometry</v>
      </c>
      <c r="F51" t="s">
        <v>245</v>
      </c>
    </row>
    <row r="52" spans="1:8">
      <c r="A52">
        <f t="shared" si="0"/>
        <v>51</v>
      </c>
      <c r="B52">
        <v>2</v>
      </c>
      <c r="C52" t="str" cm="1">
        <f t="array" ref="C52">GetValue("Eng",B52,"Name")</f>
        <v>MySQL</v>
      </c>
      <c r="D52">
        <v>13</v>
      </c>
      <c r="E52" t="str" cm="1">
        <f t="array" ref="E52">GetValue("Typ",D52,"Name")</f>
        <v>hierarchyid</v>
      </c>
    </row>
    <row r="53" spans="1:8">
      <c r="A53">
        <f t="shared" si="0"/>
        <v>52</v>
      </c>
      <c r="B53">
        <v>2</v>
      </c>
      <c r="C53" t="str" cm="1">
        <f t="array" ref="C53">GetValue("Eng",B53,"Name")</f>
        <v>MySQL</v>
      </c>
      <c r="D53">
        <v>14</v>
      </c>
      <c r="E53" t="str" cm="1">
        <f t="array" ref="E53">GetValue("Typ",D53,"Name")</f>
        <v>image</v>
      </c>
      <c r="F53" t="s">
        <v>246</v>
      </c>
    </row>
    <row r="54" spans="1:8">
      <c r="A54">
        <f t="shared" si="0"/>
        <v>53</v>
      </c>
      <c r="B54">
        <v>2</v>
      </c>
      <c r="C54" t="str" cm="1">
        <f t="array" ref="C54">GetValue("Eng",B54,"Name")</f>
        <v>MySQL</v>
      </c>
      <c r="D54">
        <v>15</v>
      </c>
      <c r="E54" t="str" cm="1">
        <f t="array" ref="E54">GetValue("Typ",D54,"Name")</f>
        <v>int (4 bytes)</v>
      </c>
      <c r="F54" t="s">
        <v>247</v>
      </c>
    </row>
    <row r="55" spans="1:8">
      <c r="A55">
        <f t="shared" si="0"/>
        <v>54</v>
      </c>
      <c r="B55">
        <v>2</v>
      </c>
      <c r="C55" t="str" cm="1">
        <f t="array" ref="C55">GetValue("Eng",B55,"Name")</f>
        <v>MySQL</v>
      </c>
      <c r="D55">
        <v>16</v>
      </c>
      <c r="E55" t="str" cm="1">
        <f t="array" ref="E55">GetValue("Typ",D55,"Name")</f>
        <v>money</v>
      </c>
      <c r="F55" t="s">
        <v>267</v>
      </c>
      <c r="G55">
        <v>19</v>
      </c>
      <c r="H55">
        <v>4</v>
      </c>
    </row>
    <row r="56" spans="1:8">
      <c r="A56">
        <f t="shared" si="0"/>
        <v>55</v>
      </c>
      <c r="B56">
        <v>2</v>
      </c>
      <c r="C56" t="str" cm="1">
        <f t="array" ref="C56">GetValue("Eng",B56,"Name")</f>
        <v>MySQL</v>
      </c>
      <c r="D56">
        <v>17</v>
      </c>
      <c r="E56" t="str" cm="1">
        <f t="array" ref="E56">GetValue("Typ",D56,"Name")</f>
        <v>nchar(n)</v>
      </c>
      <c r="F56" t="s">
        <v>226</v>
      </c>
    </row>
    <row r="57" spans="1:8">
      <c r="A57">
        <f t="shared" si="0"/>
        <v>56</v>
      </c>
      <c r="B57">
        <v>2</v>
      </c>
      <c r="C57" t="str" cm="1">
        <f t="array" ref="C57">GetValue("Eng",B57,"Name")</f>
        <v>MySQL</v>
      </c>
      <c r="D57">
        <v>18</v>
      </c>
      <c r="E57" t="str" cm="1">
        <f t="array" ref="E57">GetValue("Typ",D57,"Name")</f>
        <v>ntext</v>
      </c>
      <c r="F57" t="s">
        <v>248</v>
      </c>
    </row>
    <row r="58" spans="1:8">
      <c r="A58">
        <f t="shared" si="0"/>
        <v>57</v>
      </c>
      <c r="B58">
        <v>2</v>
      </c>
      <c r="C58" t="str" cm="1">
        <f t="array" ref="C58">GetValue("Eng",B58,"Name")</f>
        <v>MySQL</v>
      </c>
      <c r="D58">
        <v>19</v>
      </c>
      <c r="E58" t="str" cm="1">
        <f t="array" ref="E58">GetValue("Typ",D58,"Name")</f>
        <v>numeric(p,s)</v>
      </c>
      <c r="F58" t="s">
        <v>268</v>
      </c>
    </row>
    <row r="59" spans="1:8">
      <c r="A59">
        <f t="shared" si="0"/>
        <v>58</v>
      </c>
      <c r="B59">
        <v>2</v>
      </c>
      <c r="C59" t="str" cm="1">
        <f t="array" ref="C59">GetValue("Eng",B59,"Name")</f>
        <v>MySQL</v>
      </c>
      <c r="D59">
        <v>20</v>
      </c>
      <c r="E59" t="str" cm="1">
        <f t="array" ref="E59">GetValue("Typ",D59,"Name")</f>
        <v>nvarchar(n)</v>
      </c>
      <c r="F59" t="s">
        <v>234</v>
      </c>
    </row>
    <row r="60" spans="1:8">
      <c r="A60">
        <f t="shared" si="0"/>
        <v>59</v>
      </c>
      <c r="B60">
        <v>2</v>
      </c>
      <c r="C60" t="str" cm="1">
        <f t="array" ref="C60">GetValue("Eng",B60,"Name")</f>
        <v>MySQL</v>
      </c>
      <c r="D60">
        <v>21</v>
      </c>
      <c r="E60" t="str" cm="1">
        <f t="array" ref="E60">GetValue("Typ",D60,"Name")</f>
        <v>nvarchar(max)</v>
      </c>
      <c r="F60" t="s">
        <v>248</v>
      </c>
    </row>
    <row r="61" spans="1:8">
      <c r="A61">
        <f t="shared" si="0"/>
        <v>60</v>
      </c>
      <c r="B61">
        <v>2</v>
      </c>
      <c r="C61" t="str" cm="1">
        <f t="array" ref="C61">GetValue("Eng",B61,"Name")</f>
        <v>MySQL</v>
      </c>
      <c r="D61">
        <v>22</v>
      </c>
      <c r="E61" t="str" cm="1">
        <f t="array" ref="E61">GetValue("Typ",D61,"Name")</f>
        <v>real</v>
      </c>
      <c r="F61" t="s">
        <v>238</v>
      </c>
    </row>
    <row r="62" spans="1:8">
      <c r="A62">
        <f t="shared" si="0"/>
        <v>61</v>
      </c>
      <c r="B62">
        <v>2</v>
      </c>
      <c r="C62" t="str" cm="1">
        <f t="array" ref="C62">GetValue("Eng",B62,"Name")</f>
        <v>MySQL</v>
      </c>
      <c r="D62">
        <v>23</v>
      </c>
      <c r="E62" t="str" cm="1">
        <f t="array" ref="E62">GetValue("Typ",D62,"Name")</f>
        <v>smalldatetime</v>
      </c>
      <c r="F62" t="s">
        <v>244</v>
      </c>
    </row>
    <row r="63" spans="1:8">
      <c r="A63">
        <f t="shared" si="0"/>
        <v>62</v>
      </c>
      <c r="B63">
        <v>2</v>
      </c>
      <c r="C63" t="str" cm="1">
        <f t="array" ref="C63">GetValue("Eng",B63,"Name")</f>
        <v>MySQL</v>
      </c>
      <c r="D63">
        <v>24</v>
      </c>
      <c r="E63" t="str" cm="1">
        <f t="array" ref="E63">GetValue("Typ",D63,"Name")</f>
        <v>smallint (2 bytes)</v>
      </c>
      <c r="F63" t="s">
        <v>225</v>
      </c>
    </row>
    <row r="64" spans="1:8">
      <c r="A64">
        <f t="shared" si="0"/>
        <v>63</v>
      </c>
      <c r="B64">
        <v>2</v>
      </c>
      <c r="C64" t="str" cm="1">
        <f t="array" ref="C64">GetValue("Eng",B64,"Name")</f>
        <v>MySQL</v>
      </c>
      <c r="D64">
        <v>25</v>
      </c>
      <c r="E64" t="str" cm="1">
        <f t="array" ref="E64">GetValue("Typ",D64,"Name")</f>
        <v>smallmoney</v>
      </c>
      <c r="F64" t="s">
        <v>267</v>
      </c>
      <c r="G64">
        <v>10</v>
      </c>
      <c r="H64">
        <v>4</v>
      </c>
    </row>
    <row r="65" spans="1:7">
      <c r="A65">
        <f t="shared" si="0"/>
        <v>64</v>
      </c>
      <c r="B65">
        <v>2</v>
      </c>
      <c r="C65" t="str" cm="1">
        <f t="array" ref="C65">GetValue("Eng",B65,"Name")</f>
        <v>MySQL</v>
      </c>
      <c r="D65">
        <v>26</v>
      </c>
      <c r="E65" t="str" cm="1">
        <f t="array" ref="E65">GetValue("Typ",D65,"Name")</f>
        <v>sql_variant</v>
      </c>
      <c r="F65" t="s">
        <v>241</v>
      </c>
    </row>
    <row r="66" spans="1:7">
      <c r="A66">
        <f t="shared" si="0"/>
        <v>65</v>
      </c>
      <c r="B66">
        <v>2</v>
      </c>
      <c r="C66" t="str" cm="1">
        <f t="array" ref="C66">GetValue("Eng",B66,"Name")</f>
        <v>MySQL</v>
      </c>
      <c r="D66">
        <v>27</v>
      </c>
      <c r="E66" t="str" cm="1">
        <f t="array" ref="E66">GetValue("Typ",D66,"Name")</f>
        <v>sysname</v>
      </c>
      <c r="F66" t="s">
        <v>234</v>
      </c>
      <c r="G66">
        <v>64</v>
      </c>
    </row>
    <row r="67" spans="1:7">
      <c r="A67">
        <f t="shared" ref="A67:A130" si="1">ROW(A67)-1</f>
        <v>66</v>
      </c>
      <c r="B67">
        <v>2</v>
      </c>
      <c r="C67" t="str" cm="1">
        <f t="array" ref="C67">GetValue("Eng",B67,"Name")</f>
        <v>MySQL</v>
      </c>
      <c r="D67">
        <v>28</v>
      </c>
      <c r="E67" t="str" cm="1">
        <f t="array" ref="E67">GetValue("Typ",D67,"Name")</f>
        <v>text</v>
      </c>
      <c r="F67" t="s">
        <v>248</v>
      </c>
    </row>
    <row r="68" spans="1:7">
      <c r="A68">
        <f t="shared" si="1"/>
        <v>67</v>
      </c>
      <c r="B68">
        <v>2</v>
      </c>
      <c r="C68" t="str" cm="1">
        <f t="array" ref="C68">GetValue("Eng",B68,"Name")</f>
        <v>MySQL</v>
      </c>
      <c r="D68">
        <v>29</v>
      </c>
      <c r="E68" t="str" cm="1">
        <f t="array" ref="E68">GetValue("Typ",D68,"Name")</f>
        <v>time(s)</v>
      </c>
      <c r="F68" t="s">
        <v>233</v>
      </c>
    </row>
    <row r="69" spans="1:7">
      <c r="A69">
        <f t="shared" si="1"/>
        <v>68</v>
      </c>
      <c r="B69">
        <v>2</v>
      </c>
      <c r="C69" t="str" cm="1">
        <f t="array" ref="C69">GetValue("Eng",B69,"Name")</f>
        <v>MySQL</v>
      </c>
      <c r="D69">
        <v>30</v>
      </c>
      <c r="E69" t="str" cm="1">
        <f t="array" ref="E69">GetValue("Typ",D69,"Name")</f>
        <v>timestamp</v>
      </c>
      <c r="F69" t="s">
        <v>228</v>
      </c>
    </row>
    <row r="70" spans="1:7">
      <c r="A70">
        <f t="shared" si="1"/>
        <v>69</v>
      </c>
      <c r="B70">
        <v>2</v>
      </c>
      <c r="C70" t="str" cm="1">
        <f t="array" ref="C70">GetValue("Eng",B70,"Name")</f>
        <v>MySQL</v>
      </c>
      <c r="D70">
        <v>31</v>
      </c>
      <c r="E70" t="str" cm="1">
        <f t="array" ref="E70">GetValue("Typ",D70,"Name")</f>
        <v>tinyint (1 byte)</v>
      </c>
      <c r="F70" t="s">
        <v>249</v>
      </c>
    </row>
    <row r="71" spans="1:7">
      <c r="A71">
        <f t="shared" si="1"/>
        <v>70</v>
      </c>
      <c r="B71">
        <v>2</v>
      </c>
      <c r="C71" t="str" cm="1">
        <f t="array" ref="C71">GetValue("Eng",B71,"Name")</f>
        <v>MySQL</v>
      </c>
      <c r="D71">
        <v>32</v>
      </c>
      <c r="E71" t="str" cm="1">
        <f t="array" ref="E71">GetValue("Typ",D71,"Name")</f>
        <v>uniqueidentifier</v>
      </c>
      <c r="F71" t="s">
        <v>226</v>
      </c>
      <c r="G71">
        <v>36</v>
      </c>
    </row>
    <row r="72" spans="1:7">
      <c r="A72">
        <f t="shared" si="1"/>
        <v>71</v>
      </c>
      <c r="B72">
        <v>2</v>
      </c>
      <c r="C72" t="str" cm="1">
        <f t="array" ref="C72">GetValue("Eng",B72,"Name")</f>
        <v>MySQL</v>
      </c>
      <c r="D72">
        <v>33</v>
      </c>
      <c r="E72" t="str" cm="1">
        <f t="array" ref="E72">GetValue("Typ",D72,"Name")</f>
        <v>varbinary(n)</v>
      </c>
      <c r="F72" t="s">
        <v>250</v>
      </c>
    </row>
    <row r="73" spans="1:7">
      <c r="A73">
        <f t="shared" si="1"/>
        <v>72</v>
      </c>
      <c r="B73">
        <v>2</v>
      </c>
      <c r="C73" t="str" cm="1">
        <f t="array" ref="C73">GetValue("Eng",B73,"Name")</f>
        <v>MySQL</v>
      </c>
      <c r="D73">
        <v>34</v>
      </c>
      <c r="E73" t="str" cm="1">
        <f t="array" ref="E73">GetValue("Typ",D73,"Name")</f>
        <v>varbinary(max)</v>
      </c>
      <c r="F73" t="s">
        <v>246</v>
      </c>
    </row>
    <row r="74" spans="1:7">
      <c r="A74">
        <f t="shared" si="1"/>
        <v>73</v>
      </c>
      <c r="B74">
        <v>2</v>
      </c>
      <c r="C74" t="str" cm="1">
        <f t="array" ref="C74">GetValue("Eng",B74,"Name")</f>
        <v>MySQL</v>
      </c>
      <c r="D74">
        <v>35</v>
      </c>
      <c r="E74" t="str" cm="1">
        <f t="array" ref="E74">GetValue("Typ",D74,"Name")</f>
        <v>varchar(n)</v>
      </c>
      <c r="F74" t="s">
        <v>234</v>
      </c>
    </row>
    <row r="75" spans="1:7">
      <c r="A75">
        <f t="shared" si="1"/>
        <v>74</v>
      </c>
      <c r="B75">
        <v>2</v>
      </c>
      <c r="C75" t="str" cm="1">
        <f t="array" ref="C75">GetValue("Eng",B75,"Name")</f>
        <v>MySQL</v>
      </c>
      <c r="D75">
        <v>36</v>
      </c>
      <c r="E75" t="str" cm="1">
        <f t="array" ref="E75">GetValue("Typ",D75,"Name")</f>
        <v>varchar(max)</v>
      </c>
      <c r="F75" t="s">
        <v>248</v>
      </c>
    </row>
    <row r="76" spans="1:7">
      <c r="A76">
        <f t="shared" si="1"/>
        <v>75</v>
      </c>
      <c r="B76">
        <v>2</v>
      </c>
      <c r="C76" t="str" cm="1">
        <f t="array" ref="C76">GetValue("Eng",B76,"Name")</f>
        <v>MySQL</v>
      </c>
      <c r="D76">
        <v>37</v>
      </c>
      <c r="E76" t="str" cm="1">
        <f t="array" ref="E76">GetValue("Typ",D76,"Name")</f>
        <v>xml</v>
      </c>
      <c r="F76" t="s">
        <v>248</v>
      </c>
    </row>
    <row r="77" spans="1:7">
      <c r="A77">
        <f t="shared" si="1"/>
        <v>76</v>
      </c>
      <c r="B77">
        <v>2</v>
      </c>
      <c r="C77" t="str" cm="1">
        <f t="array" ref="C77">GetValue("Eng",B77,"Name")</f>
        <v>MySQL</v>
      </c>
      <c r="D77">
        <v>38</v>
      </c>
      <c r="E77" t="str" cm="1">
        <f t="array" ref="E77">GetValue("Typ",D77,"Name")</f>
        <v>json</v>
      </c>
      <c r="F77" t="s">
        <v>65</v>
      </c>
    </row>
    <row r="78" spans="1:7">
      <c r="A78">
        <f t="shared" si="1"/>
        <v>77</v>
      </c>
      <c r="B78">
        <v>3</v>
      </c>
      <c r="C78" t="str" cm="1">
        <f t="array" ref="C78">GetValue("Eng",B78,"Name")</f>
        <v>MariaDB</v>
      </c>
      <c r="D78">
        <v>1</v>
      </c>
      <c r="E78" t="str" cm="1">
        <f t="array" ref="E78">GetValue("Typ",D78,"Name")</f>
        <v>bigint (8 bytes)</v>
      </c>
      <c r="F78" t="s">
        <v>224</v>
      </c>
    </row>
    <row r="79" spans="1:7">
      <c r="A79">
        <f t="shared" si="1"/>
        <v>78</v>
      </c>
      <c r="B79">
        <v>3</v>
      </c>
      <c r="C79" t="str" cm="1">
        <f t="array" ref="C79">GetValue("Eng",B79,"Name")</f>
        <v>MariaDB</v>
      </c>
      <c r="D79">
        <v>2</v>
      </c>
      <c r="E79" t="str" cm="1">
        <f t="array" ref="E79">GetValue("Typ",D79,"Name")</f>
        <v>binary</v>
      </c>
      <c r="F79" t="s">
        <v>243</v>
      </c>
    </row>
    <row r="80" spans="1:7">
      <c r="A80">
        <f t="shared" si="1"/>
        <v>79</v>
      </c>
      <c r="B80">
        <v>3</v>
      </c>
      <c r="C80" t="str" cm="1">
        <f t="array" ref="C80">GetValue("Eng",B80,"Name")</f>
        <v>MariaDB</v>
      </c>
      <c r="D80">
        <v>3</v>
      </c>
      <c r="E80" t="str" cm="1">
        <f t="array" ref="E80">GetValue("Typ",D80,"Name")</f>
        <v>bit (1 bit)</v>
      </c>
      <c r="F80" t="s">
        <v>239</v>
      </c>
    </row>
    <row r="81" spans="1:8">
      <c r="A81">
        <f t="shared" si="1"/>
        <v>80</v>
      </c>
      <c r="B81">
        <v>3</v>
      </c>
      <c r="C81" t="str" cm="1">
        <f t="array" ref="C81">GetValue("Eng",B81,"Name")</f>
        <v>MariaDB</v>
      </c>
      <c r="D81">
        <v>4</v>
      </c>
      <c r="E81" t="str" cm="1">
        <f t="array" ref="E81">GetValue("Typ",D81,"Name")</f>
        <v>char(n)</v>
      </c>
      <c r="F81" t="s">
        <v>226</v>
      </c>
    </row>
    <row r="82" spans="1:8">
      <c r="A82">
        <f t="shared" si="1"/>
        <v>81</v>
      </c>
      <c r="B82">
        <v>3</v>
      </c>
      <c r="C82" t="str" cm="1">
        <f t="array" ref="C82">GetValue("Eng",B82,"Name")</f>
        <v>MariaDB</v>
      </c>
      <c r="D82">
        <v>5</v>
      </c>
      <c r="E82" t="str" cm="1">
        <f t="array" ref="E82">GetValue("Typ",D82,"Name")</f>
        <v>date</v>
      </c>
      <c r="F82" t="s">
        <v>227</v>
      </c>
    </row>
    <row r="83" spans="1:8">
      <c r="A83">
        <f t="shared" si="1"/>
        <v>82</v>
      </c>
      <c r="B83">
        <v>3</v>
      </c>
      <c r="C83" t="str" cm="1">
        <f t="array" ref="C83">GetValue("Eng",B83,"Name")</f>
        <v>MariaDB</v>
      </c>
      <c r="D83">
        <v>6</v>
      </c>
      <c r="E83" t="str" cm="1">
        <f t="array" ref="E83">GetValue("Typ",D83,"Name")</f>
        <v>datetime</v>
      </c>
      <c r="F83" t="s">
        <v>244</v>
      </c>
    </row>
    <row r="84" spans="1:8">
      <c r="A84">
        <f t="shared" si="1"/>
        <v>83</v>
      </c>
      <c r="B84">
        <v>3</v>
      </c>
      <c r="C84" t="str" cm="1">
        <f t="array" ref="C84">GetValue("Eng",B84,"Name")</f>
        <v>MariaDB</v>
      </c>
      <c r="D84">
        <v>7</v>
      </c>
      <c r="E84" t="str" cm="1">
        <f t="array" ref="E84">GetValue("Typ",D84,"Name")</f>
        <v>datetime2(s)</v>
      </c>
      <c r="F84" t="s">
        <v>244</v>
      </c>
      <c r="G84">
        <v>6</v>
      </c>
    </row>
    <row r="85" spans="1:8">
      <c r="A85">
        <f t="shared" si="1"/>
        <v>84</v>
      </c>
      <c r="B85">
        <v>3</v>
      </c>
      <c r="C85" t="str" cm="1">
        <f t="array" ref="C85">GetValue("Eng",B85,"Name")</f>
        <v>MariaDB</v>
      </c>
      <c r="D85">
        <v>8</v>
      </c>
      <c r="E85" t="str" cm="1">
        <f t="array" ref="E85">GetValue("Typ",D85,"Name")</f>
        <v>datetimeoffset(s)</v>
      </c>
      <c r="F85" t="s">
        <v>228</v>
      </c>
    </row>
    <row r="86" spans="1:8">
      <c r="A86">
        <f t="shared" si="1"/>
        <v>85</v>
      </c>
      <c r="B86">
        <v>3</v>
      </c>
      <c r="C86" t="str" cm="1">
        <f t="array" ref="C86">GetValue("Eng",B86,"Name")</f>
        <v>MariaDB</v>
      </c>
      <c r="D86">
        <v>9</v>
      </c>
      <c r="E86" t="str" cm="1">
        <f t="array" ref="E86">GetValue("Typ",D86,"Name")</f>
        <v>decimal(p ,s)</v>
      </c>
      <c r="F86" t="s">
        <v>267</v>
      </c>
    </row>
    <row r="87" spans="1:8">
      <c r="A87">
        <f t="shared" si="1"/>
        <v>86</v>
      </c>
      <c r="B87">
        <v>3</v>
      </c>
      <c r="C87" t="str" cm="1">
        <f t="array" ref="C87">GetValue("Eng",B87,"Name")</f>
        <v>MariaDB</v>
      </c>
      <c r="D87">
        <v>10</v>
      </c>
      <c r="E87" t="str" cm="1">
        <f t="array" ref="E87">GetValue("Typ",D87,"Name")</f>
        <v>float(n)</v>
      </c>
      <c r="F87" t="s">
        <v>230</v>
      </c>
    </row>
    <row r="88" spans="1:8">
      <c r="A88">
        <f t="shared" si="1"/>
        <v>87</v>
      </c>
      <c r="B88">
        <v>3</v>
      </c>
      <c r="C88" t="str" cm="1">
        <f t="array" ref="C88">GetValue("Eng",B88,"Name")</f>
        <v>MariaDB</v>
      </c>
      <c r="D88">
        <v>11</v>
      </c>
      <c r="E88" t="str" cm="1">
        <f t="array" ref="E88">GetValue("Typ",D88,"Name")</f>
        <v>geography</v>
      </c>
      <c r="F88" t="s">
        <v>245</v>
      </c>
    </row>
    <row r="89" spans="1:8">
      <c r="A89">
        <f t="shared" si="1"/>
        <v>88</v>
      </c>
      <c r="B89">
        <v>3</v>
      </c>
      <c r="C89" t="str" cm="1">
        <f t="array" ref="C89">GetValue("Eng",B89,"Name")</f>
        <v>MariaDB</v>
      </c>
      <c r="D89">
        <v>12</v>
      </c>
      <c r="E89" t="str" cm="1">
        <f t="array" ref="E89">GetValue("Typ",D89,"Name")</f>
        <v>geometry</v>
      </c>
      <c r="F89" t="s">
        <v>245</v>
      </c>
    </row>
    <row r="90" spans="1:8">
      <c r="A90">
        <f t="shared" si="1"/>
        <v>89</v>
      </c>
      <c r="B90">
        <v>3</v>
      </c>
      <c r="C90" t="str" cm="1">
        <f t="array" ref="C90">GetValue("Eng",B90,"Name")</f>
        <v>MariaDB</v>
      </c>
      <c r="D90">
        <v>13</v>
      </c>
      <c r="E90" t="str" cm="1">
        <f t="array" ref="E90">GetValue("Typ",D90,"Name")</f>
        <v>hierarchyid</v>
      </c>
    </row>
    <row r="91" spans="1:8">
      <c r="A91">
        <f t="shared" si="1"/>
        <v>90</v>
      </c>
      <c r="B91">
        <v>3</v>
      </c>
      <c r="C91" t="str" cm="1">
        <f t="array" ref="C91">GetValue("Eng",B91,"Name")</f>
        <v>MariaDB</v>
      </c>
      <c r="D91">
        <v>14</v>
      </c>
      <c r="E91" t="str" cm="1">
        <f t="array" ref="E91">GetValue("Typ",D91,"Name")</f>
        <v>image</v>
      </c>
      <c r="F91" t="s">
        <v>246</v>
      </c>
    </row>
    <row r="92" spans="1:8">
      <c r="A92">
        <f t="shared" si="1"/>
        <v>91</v>
      </c>
      <c r="B92">
        <v>3</v>
      </c>
      <c r="C92" t="str" cm="1">
        <f t="array" ref="C92">GetValue("Eng",B92,"Name")</f>
        <v>MariaDB</v>
      </c>
      <c r="D92">
        <v>15</v>
      </c>
      <c r="E92" t="str" cm="1">
        <f t="array" ref="E92">GetValue("Typ",D92,"Name")</f>
        <v>int (4 bytes)</v>
      </c>
      <c r="F92" t="s">
        <v>247</v>
      </c>
    </row>
    <row r="93" spans="1:8">
      <c r="A93">
        <f t="shared" si="1"/>
        <v>92</v>
      </c>
      <c r="B93">
        <v>3</v>
      </c>
      <c r="C93" t="str" cm="1">
        <f t="array" ref="C93">GetValue("Eng",B93,"Name")</f>
        <v>MariaDB</v>
      </c>
      <c r="D93">
        <v>16</v>
      </c>
      <c r="E93" t="str" cm="1">
        <f t="array" ref="E93">GetValue("Typ",D93,"Name")</f>
        <v>money</v>
      </c>
      <c r="F93" t="s">
        <v>267</v>
      </c>
      <c r="G93">
        <v>19</v>
      </c>
      <c r="H93">
        <v>4</v>
      </c>
    </row>
    <row r="94" spans="1:8">
      <c r="A94">
        <f t="shared" si="1"/>
        <v>93</v>
      </c>
      <c r="B94">
        <v>3</v>
      </c>
      <c r="C94" t="str" cm="1">
        <f t="array" ref="C94">GetValue("Eng",B94,"Name")</f>
        <v>MariaDB</v>
      </c>
      <c r="D94">
        <v>17</v>
      </c>
      <c r="E94" t="str" cm="1">
        <f t="array" ref="E94">GetValue("Typ",D94,"Name")</f>
        <v>nchar(n)</v>
      </c>
      <c r="F94" t="s">
        <v>226</v>
      </c>
    </row>
    <row r="95" spans="1:8">
      <c r="A95">
        <f t="shared" si="1"/>
        <v>94</v>
      </c>
      <c r="B95">
        <v>3</v>
      </c>
      <c r="C95" t="str" cm="1">
        <f t="array" ref="C95">GetValue("Eng",B95,"Name")</f>
        <v>MariaDB</v>
      </c>
      <c r="D95">
        <v>18</v>
      </c>
      <c r="E95" t="str" cm="1">
        <f t="array" ref="E95">GetValue("Typ",D95,"Name")</f>
        <v>ntext</v>
      </c>
      <c r="F95" t="s">
        <v>248</v>
      </c>
    </row>
    <row r="96" spans="1:8">
      <c r="A96">
        <f t="shared" si="1"/>
        <v>95</v>
      </c>
      <c r="B96">
        <v>3</v>
      </c>
      <c r="C96" t="str" cm="1">
        <f t="array" ref="C96">GetValue("Eng",B96,"Name")</f>
        <v>MariaDB</v>
      </c>
      <c r="D96">
        <v>19</v>
      </c>
      <c r="E96" t="str" cm="1">
        <f t="array" ref="E96">GetValue("Typ",D96,"Name")</f>
        <v>numeric(p,s)</v>
      </c>
      <c r="F96" t="s">
        <v>268</v>
      </c>
    </row>
    <row r="97" spans="1:8">
      <c r="A97">
        <f t="shared" si="1"/>
        <v>96</v>
      </c>
      <c r="B97">
        <v>3</v>
      </c>
      <c r="C97" t="str" cm="1">
        <f t="array" ref="C97">GetValue("Eng",B97,"Name")</f>
        <v>MariaDB</v>
      </c>
      <c r="D97">
        <v>20</v>
      </c>
      <c r="E97" t="str" cm="1">
        <f t="array" ref="E97">GetValue("Typ",D97,"Name")</f>
        <v>nvarchar(n)</v>
      </c>
      <c r="F97" t="s">
        <v>234</v>
      </c>
    </row>
    <row r="98" spans="1:8">
      <c r="A98">
        <f t="shared" si="1"/>
        <v>97</v>
      </c>
      <c r="B98">
        <v>3</v>
      </c>
      <c r="C98" t="str" cm="1">
        <f t="array" ref="C98">GetValue("Eng",B98,"Name")</f>
        <v>MariaDB</v>
      </c>
      <c r="D98">
        <v>21</v>
      </c>
      <c r="E98" t="str" cm="1">
        <f t="array" ref="E98">GetValue("Typ",D98,"Name")</f>
        <v>nvarchar(max)</v>
      </c>
      <c r="F98" t="s">
        <v>248</v>
      </c>
    </row>
    <row r="99" spans="1:8">
      <c r="A99">
        <f t="shared" si="1"/>
        <v>98</v>
      </c>
      <c r="B99">
        <v>3</v>
      </c>
      <c r="C99" t="str" cm="1">
        <f t="array" ref="C99">GetValue("Eng",B99,"Name")</f>
        <v>MariaDB</v>
      </c>
      <c r="D99">
        <v>22</v>
      </c>
      <c r="E99" t="str" cm="1">
        <f t="array" ref="E99">GetValue("Typ",D99,"Name")</f>
        <v>real</v>
      </c>
      <c r="F99" t="s">
        <v>238</v>
      </c>
    </row>
    <row r="100" spans="1:8">
      <c r="A100">
        <f t="shared" si="1"/>
        <v>99</v>
      </c>
      <c r="B100">
        <v>3</v>
      </c>
      <c r="C100" t="str" cm="1">
        <f t="array" ref="C100">GetValue("Eng",B100,"Name")</f>
        <v>MariaDB</v>
      </c>
      <c r="D100">
        <v>23</v>
      </c>
      <c r="E100" t="str" cm="1">
        <f t="array" ref="E100">GetValue("Typ",D100,"Name")</f>
        <v>smalldatetime</v>
      </c>
      <c r="F100" t="s">
        <v>244</v>
      </c>
    </row>
    <row r="101" spans="1:8">
      <c r="A101">
        <f t="shared" si="1"/>
        <v>100</v>
      </c>
      <c r="B101">
        <v>3</v>
      </c>
      <c r="C101" t="str" cm="1">
        <f t="array" ref="C101">GetValue("Eng",B101,"Name")</f>
        <v>MariaDB</v>
      </c>
      <c r="D101">
        <v>24</v>
      </c>
      <c r="E101" t="str" cm="1">
        <f t="array" ref="E101">GetValue("Typ",D101,"Name")</f>
        <v>smallint (2 bytes)</v>
      </c>
      <c r="F101" t="s">
        <v>225</v>
      </c>
    </row>
    <row r="102" spans="1:8">
      <c r="A102">
        <f t="shared" si="1"/>
        <v>101</v>
      </c>
      <c r="B102">
        <v>3</v>
      </c>
      <c r="C102" t="str" cm="1">
        <f t="array" ref="C102">GetValue("Eng",B102,"Name")</f>
        <v>MariaDB</v>
      </c>
      <c r="D102">
        <v>25</v>
      </c>
      <c r="E102" t="str" cm="1">
        <f t="array" ref="E102">GetValue("Typ",D102,"Name")</f>
        <v>smallmoney</v>
      </c>
      <c r="F102" t="s">
        <v>267</v>
      </c>
      <c r="G102">
        <v>10</v>
      </c>
      <c r="H102">
        <v>4</v>
      </c>
    </row>
    <row r="103" spans="1:8">
      <c r="A103">
        <f t="shared" si="1"/>
        <v>102</v>
      </c>
      <c r="B103">
        <v>3</v>
      </c>
      <c r="C103" t="str" cm="1">
        <f t="array" ref="C103">GetValue("Eng",B103,"Name")</f>
        <v>MariaDB</v>
      </c>
      <c r="D103">
        <v>26</v>
      </c>
      <c r="E103" t="str" cm="1">
        <f t="array" ref="E103">GetValue("Typ",D103,"Name")</f>
        <v>sql_variant</v>
      </c>
      <c r="F103" t="s">
        <v>241</v>
      </c>
    </row>
    <row r="104" spans="1:8">
      <c r="A104">
        <f t="shared" si="1"/>
        <v>103</v>
      </c>
      <c r="B104">
        <v>3</v>
      </c>
      <c r="C104" t="str" cm="1">
        <f t="array" ref="C104">GetValue("Eng",B104,"Name")</f>
        <v>MariaDB</v>
      </c>
      <c r="D104">
        <v>27</v>
      </c>
      <c r="E104" t="str" cm="1">
        <f t="array" ref="E104">GetValue("Typ",D104,"Name")</f>
        <v>sysname</v>
      </c>
      <c r="F104" t="s">
        <v>234</v>
      </c>
      <c r="G104">
        <v>64</v>
      </c>
    </row>
    <row r="105" spans="1:8">
      <c r="A105">
        <f t="shared" si="1"/>
        <v>104</v>
      </c>
      <c r="B105">
        <v>3</v>
      </c>
      <c r="C105" t="str" cm="1">
        <f t="array" ref="C105">GetValue("Eng",B105,"Name")</f>
        <v>MariaDB</v>
      </c>
      <c r="D105">
        <v>28</v>
      </c>
      <c r="E105" t="str" cm="1">
        <f t="array" ref="E105">GetValue("Typ",D105,"Name")</f>
        <v>text</v>
      </c>
      <c r="F105" t="s">
        <v>248</v>
      </c>
    </row>
    <row r="106" spans="1:8">
      <c r="A106">
        <f t="shared" si="1"/>
        <v>105</v>
      </c>
      <c r="B106">
        <v>3</v>
      </c>
      <c r="C106" t="str" cm="1">
        <f t="array" ref="C106">GetValue("Eng",B106,"Name")</f>
        <v>MariaDB</v>
      </c>
      <c r="D106">
        <v>29</v>
      </c>
      <c r="E106" t="str" cm="1">
        <f t="array" ref="E106">GetValue("Typ",D106,"Name")</f>
        <v>time(s)</v>
      </c>
      <c r="F106" t="s">
        <v>233</v>
      </c>
    </row>
    <row r="107" spans="1:8">
      <c r="A107">
        <f t="shared" si="1"/>
        <v>106</v>
      </c>
      <c r="B107">
        <v>3</v>
      </c>
      <c r="C107" t="str" cm="1">
        <f t="array" ref="C107">GetValue("Eng",B107,"Name")</f>
        <v>MariaDB</v>
      </c>
      <c r="D107">
        <v>30</v>
      </c>
      <c r="E107" t="str" cm="1">
        <f t="array" ref="E107">GetValue("Typ",D107,"Name")</f>
        <v>timestamp</v>
      </c>
      <c r="F107" t="s">
        <v>228</v>
      </c>
    </row>
    <row r="108" spans="1:8">
      <c r="A108">
        <f t="shared" si="1"/>
        <v>107</v>
      </c>
      <c r="B108">
        <v>3</v>
      </c>
      <c r="C108" t="str" cm="1">
        <f t="array" ref="C108">GetValue("Eng",B108,"Name")</f>
        <v>MariaDB</v>
      </c>
      <c r="D108">
        <v>31</v>
      </c>
      <c r="E108" t="str" cm="1">
        <f t="array" ref="E108">GetValue("Typ",D108,"Name")</f>
        <v>tinyint (1 byte)</v>
      </c>
      <c r="F108" t="s">
        <v>249</v>
      </c>
    </row>
    <row r="109" spans="1:8">
      <c r="A109">
        <f t="shared" si="1"/>
        <v>108</v>
      </c>
      <c r="B109">
        <v>3</v>
      </c>
      <c r="C109" t="str" cm="1">
        <f t="array" ref="C109">GetValue("Eng",B109,"Name")</f>
        <v>MariaDB</v>
      </c>
      <c r="D109">
        <v>32</v>
      </c>
      <c r="E109" t="str" cm="1">
        <f t="array" ref="E109">GetValue("Typ",D109,"Name")</f>
        <v>uniqueidentifier</v>
      </c>
      <c r="F109" t="s">
        <v>226</v>
      </c>
      <c r="G109">
        <v>36</v>
      </c>
    </row>
    <row r="110" spans="1:8">
      <c r="A110">
        <f t="shared" si="1"/>
        <v>109</v>
      </c>
      <c r="B110">
        <v>3</v>
      </c>
      <c r="C110" t="str" cm="1">
        <f t="array" ref="C110">GetValue("Eng",B110,"Name")</f>
        <v>MariaDB</v>
      </c>
      <c r="D110">
        <v>33</v>
      </c>
      <c r="E110" t="str" cm="1">
        <f t="array" ref="E110">GetValue("Typ",D110,"Name")</f>
        <v>varbinary(n)</v>
      </c>
      <c r="F110" t="s">
        <v>250</v>
      </c>
    </row>
    <row r="111" spans="1:8">
      <c r="A111">
        <f t="shared" si="1"/>
        <v>110</v>
      </c>
      <c r="B111">
        <v>3</v>
      </c>
      <c r="C111" t="str" cm="1">
        <f t="array" ref="C111">GetValue("Eng",B111,"Name")</f>
        <v>MariaDB</v>
      </c>
      <c r="D111">
        <v>34</v>
      </c>
      <c r="E111" t="str" cm="1">
        <f t="array" ref="E111">GetValue("Typ",D111,"Name")</f>
        <v>varbinary(max)</v>
      </c>
      <c r="F111" t="s">
        <v>246</v>
      </c>
    </row>
    <row r="112" spans="1:8">
      <c r="A112">
        <f t="shared" si="1"/>
        <v>111</v>
      </c>
      <c r="B112">
        <v>3</v>
      </c>
      <c r="C112" t="str" cm="1">
        <f t="array" ref="C112">GetValue("Eng",B112,"Name")</f>
        <v>MariaDB</v>
      </c>
      <c r="D112">
        <v>35</v>
      </c>
      <c r="E112" t="str" cm="1">
        <f t="array" ref="E112">GetValue("Typ",D112,"Name")</f>
        <v>varchar(n)</v>
      </c>
      <c r="F112" t="s">
        <v>234</v>
      </c>
    </row>
    <row r="113" spans="1:7">
      <c r="A113">
        <f t="shared" si="1"/>
        <v>112</v>
      </c>
      <c r="B113">
        <v>3</v>
      </c>
      <c r="C113" t="str" cm="1">
        <f t="array" ref="C113">GetValue("Eng",B113,"Name")</f>
        <v>MariaDB</v>
      </c>
      <c r="D113">
        <v>36</v>
      </c>
      <c r="E113" t="str" cm="1">
        <f t="array" ref="E113">GetValue("Typ",D113,"Name")</f>
        <v>varchar(max)</v>
      </c>
      <c r="F113" t="s">
        <v>248</v>
      </c>
    </row>
    <row r="114" spans="1:7">
      <c r="A114">
        <f t="shared" si="1"/>
        <v>113</v>
      </c>
      <c r="B114">
        <v>3</v>
      </c>
      <c r="C114" t="str" cm="1">
        <f t="array" ref="C114">GetValue("Eng",B114,"Name")</f>
        <v>MariaDB</v>
      </c>
      <c r="D114">
        <v>37</v>
      </c>
      <c r="E114" t="str" cm="1">
        <f t="array" ref="E114">GetValue("Typ",D114,"Name")</f>
        <v>xml</v>
      </c>
      <c r="F114" t="s">
        <v>248</v>
      </c>
    </row>
    <row r="115" spans="1:7">
      <c r="A115">
        <f t="shared" si="1"/>
        <v>114</v>
      </c>
      <c r="B115">
        <v>3</v>
      </c>
      <c r="C115" t="str" cm="1">
        <f t="array" ref="C115">GetValue("Eng",B115,"Name")</f>
        <v>MariaDB</v>
      </c>
      <c r="D115">
        <v>38</v>
      </c>
      <c r="E115" t="str" cm="1">
        <f t="array" ref="E115">GetValue("Typ",D115,"Name")</f>
        <v>json</v>
      </c>
      <c r="F115" t="s">
        <v>65</v>
      </c>
    </row>
    <row r="116" spans="1:7">
      <c r="A116">
        <f t="shared" si="1"/>
        <v>115</v>
      </c>
      <c r="B116">
        <v>4</v>
      </c>
      <c r="C116" t="str" cm="1">
        <f t="array" ref="C116">GetValue("Eng",B116,"Name")</f>
        <v>PostgreSQL</v>
      </c>
      <c r="D116">
        <v>1</v>
      </c>
      <c r="E116" t="str" cm="1">
        <f t="array" ref="E116">GetValue("Typ",D116,"Name")</f>
        <v>bigint (8 bytes)</v>
      </c>
      <c r="F116" t="s">
        <v>224</v>
      </c>
    </row>
    <row r="117" spans="1:7">
      <c r="A117">
        <f t="shared" si="1"/>
        <v>116</v>
      </c>
      <c r="B117">
        <v>4</v>
      </c>
      <c r="C117" t="str" cm="1">
        <f t="array" ref="C117">GetValue("Eng",B117,"Name")</f>
        <v>PostgreSQL</v>
      </c>
      <c r="D117">
        <v>2</v>
      </c>
      <c r="E117" t="str" cm="1">
        <f t="array" ref="E117">GetValue("Typ",D117,"Name")</f>
        <v>binary</v>
      </c>
      <c r="F117" t="s">
        <v>251</v>
      </c>
    </row>
    <row r="118" spans="1:7">
      <c r="A118">
        <f t="shared" si="1"/>
        <v>117</v>
      </c>
      <c r="B118">
        <v>4</v>
      </c>
      <c r="C118" t="str" cm="1">
        <f t="array" ref="C118">GetValue("Eng",B118,"Name")</f>
        <v>PostgreSQL</v>
      </c>
      <c r="D118">
        <v>3</v>
      </c>
      <c r="E118" t="str" cm="1">
        <f t="array" ref="E118">GetValue("Typ",D118,"Name")</f>
        <v>bit (1 bit)</v>
      </c>
      <c r="F118" t="s">
        <v>239</v>
      </c>
    </row>
    <row r="119" spans="1:7">
      <c r="A119">
        <f t="shared" si="1"/>
        <v>118</v>
      </c>
      <c r="B119">
        <v>4</v>
      </c>
      <c r="C119" t="str" cm="1">
        <f t="array" ref="C119">GetValue("Eng",B119,"Name")</f>
        <v>PostgreSQL</v>
      </c>
      <c r="D119">
        <v>4</v>
      </c>
      <c r="E119" t="str" cm="1">
        <f t="array" ref="E119">GetValue("Typ",D119,"Name")</f>
        <v>char(n)</v>
      </c>
      <c r="F119" t="s">
        <v>226</v>
      </c>
    </row>
    <row r="120" spans="1:7">
      <c r="A120">
        <f t="shared" si="1"/>
        <v>119</v>
      </c>
      <c r="B120">
        <v>4</v>
      </c>
      <c r="C120" t="str" cm="1">
        <f t="array" ref="C120">GetValue("Eng",B120,"Name")</f>
        <v>PostgreSQL</v>
      </c>
      <c r="D120">
        <v>5</v>
      </c>
      <c r="E120" t="str" cm="1">
        <f t="array" ref="E120">GetValue("Typ",D120,"Name")</f>
        <v>date</v>
      </c>
      <c r="F120" t="s">
        <v>227</v>
      </c>
    </row>
    <row r="121" spans="1:7">
      <c r="A121">
        <f t="shared" si="1"/>
        <v>120</v>
      </c>
      <c r="B121">
        <v>4</v>
      </c>
      <c r="C121" t="str" cm="1">
        <f t="array" ref="C121">GetValue("Eng",B121,"Name")</f>
        <v>PostgreSQL</v>
      </c>
      <c r="D121">
        <v>6</v>
      </c>
      <c r="E121" t="str" cm="1">
        <f t="array" ref="E121">GetValue("Typ",D121,"Name")</f>
        <v>datetime</v>
      </c>
      <c r="F121" t="s">
        <v>228</v>
      </c>
    </row>
    <row r="122" spans="1:7">
      <c r="A122">
        <f t="shared" si="1"/>
        <v>121</v>
      </c>
      <c r="B122">
        <v>4</v>
      </c>
      <c r="C122" t="str" cm="1">
        <f t="array" ref="C122">GetValue("Eng",B122,"Name")</f>
        <v>PostgreSQL</v>
      </c>
      <c r="D122">
        <v>7</v>
      </c>
      <c r="E122" t="str" cm="1">
        <f t="array" ref="E122">GetValue("Typ",D122,"Name")</f>
        <v>datetime2(s)</v>
      </c>
      <c r="F122" t="s">
        <v>228</v>
      </c>
      <c r="G122">
        <v>6</v>
      </c>
    </row>
    <row r="123" spans="1:7">
      <c r="A123">
        <f t="shared" si="1"/>
        <v>122</v>
      </c>
      <c r="B123">
        <v>4</v>
      </c>
      <c r="C123" t="str" cm="1">
        <f t="array" ref="C123">GetValue("Eng",B123,"Name")</f>
        <v>PostgreSQL</v>
      </c>
      <c r="D123">
        <v>8</v>
      </c>
      <c r="E123" t="str" cm="1">
        <f t="array" ref="E123">GetValue("Typ",D123,"Name")</f>
        <v>datetimeoffset(s)</v>
      </c>
      <c r="F123" t="s">
        <v>229</v>
      </c>
    </row>
    <row r="124" spans="1:7">
      <c r="A124">
        <f t="shared" si="1"/>
        <v>123</v>
      </c>
      <c r="B124">
        <v>4</v>
      </c>
      <c r="C124" t="str" cm="1">
        <f t="array" ref="C124">GetValue("Eng",B124,"Name")</f>
        <v>PostgreSQL</v>
      </c>
      <c r="D124">
        <v>9</v>
      </c>
      <c r="E124" t="str" cm="1">
        <f t="array" ref="E124">GetValue("Typ",D124,"Name")</f>
        <v>decimal(p ,s)</v>
      </c>
      <c r="F124" t="s">
        <v>268</v>
      </c>
    </row>
    <row r="125" spans="1:7">
      <c r="A125">
        <f t="shared" si="1"/>
        <v>124</v>
      </c>
      <c r="B125">
        <v>4</v>
      </c>
      <c r="C125" t="str" cm="1">
        <f t="array" ref="C125">GetValue("Eng",B125,"Name")</f>
        <v>PostgreSQL</v>
      </c>
      <c r="D125">
        <v>10</v>
      </c>
      <c r="E125" t="str" cm="1">
        <f t="array" ref="E125">GetValue("Typ",D125,"Name")</f>
        <v>float(n)</v>
      </c>
      <c r="F125" t="s">
        <v>236</v>
      </c>
    </row>
    <row r="126" spans="1:7">
      <c r="A126">
        <f t="shared" si="1"/>
        <v>125</v>
      </c>
      <c r="B126">
        <v>4</v>
      </c>
      <c r="C126" t="str" cm="1">
        <f t="array" ref="C126">GetValue("Eng",B126,"Name")</f>
        <v>PostgreSQL</v>
      </c>
      <c r="D126">
        <v>11</v>
      </c>
      <c r="E126" t="str" cm="1">
        <f t="array" ref="E126">GetValue("Typ",D126,"Name")</f>
        <v>geography</v>
      </c>
      <c r="F126" t="s">
        <v>252</v>
      </c>
    </row>
    <row r="127" spans="1:7">
      <c r="A127">
        <f t="shared" si="1"/>
        <v>126</v>
      </c>
      <c r="B127">
        <v>4</v>
      </c>
      <c r="C127" t="str" cm="1">
        <f t="array" ref="C127">GetValue("Eng",B127,"Name")</f>
        <v>PostgreSQL</v>
      </c>
      <c r="D127">
        <v>12</v>
      </c>
      <c r="E127" t="str" cm="1">
        <f t="array" ref="E127">GetValue("Typ",D127,"Name")</f>
        <v>geometry</v>
      </c>
      <c r="F127" t="s">
        <v>245</v>
      </c>
    </row>
    <row r="128" spans="1:7">
      <c r="A128">
        <f t="shared" si="1"/>
        <v>127</v>
      </c>
      <c r="B128">
        <v>4</v>
      </c>
      <c r="C128" t="str" cm="1">
        <f t="array" ref="C128">GetValue("Eng",B128,"Name")</f>
        <v>PostgreSQL</v>
      </c>
      <c r="D128">
        <v>13</v>
      </c>
      <c r="E128" t="str" cm="1">
        <f t="array" ref="E128">GetValue("Typ",D128,"Name")</f>
        <v>hierarchyid</v>
      </c>
    </row>
    <row r="129" spans="1:8">
      <c r="A129">
        <f t="shared" si="1"/>
        <v>128</v>
      </c>
      <c r="B129">
        <v>4</v>
      </c>
      <c r="C129" t="str" cm="1">
        <f t="array" ref="C129">GetValue("Eng",B129,"Name")</f>
        <v>PostgreSQL</v>
      </c>
      <c r="D129">
        <v>14</v>
      </c>
      <c r="E129" t="str" cm="1">
        <f t="array" ref="E129">GetValue("Typ",D129,"Name")</f>
        <v>image</v>
      </c>
      <c r="F129" t="s">
        <v>251</v>
      </c>
    </row>
    <row r="130" spans="1:8">
      <c r="A130">
        <f t="shared" si="1"/>
        <v>129</v>
      </c>
      <c r="B130">
        <v>4</v>
      </c>
      <c r="C130" t="str" cm="1">
        <f t="array" ref="C130">GetValue("Eng",B130,"Name")</f>
        <v>PostgreSQL</v>
      </c>
      <c r="D130">
        <v>15</v>
      </c>
      <c r="E130" t="str" cm="1">
        <f t="array" ref="E130">GetValue("Typ",D130,"Name")</f>
        <v>int (4 bytes)</v>
      </c>
      <c r="F130" t="s">
        <v>231</v>
      </c>
    </row>
    <row r="131" spans="1:8">
      <c r="A131">
        <f t="shared" ref="A131:A194" si="2">ROW(A131)-1</f>
        <v>130</v>
      </c>
      <c r="B131">
        <v>4</v>
      </c>
      <c r="C131" t="str" cm="1">
        <f t="array" ref="C131">GetValue("Eng",B131,"Name")</f>
        <v>PostgreSQL</v>
      </c>
      <c r="D131">
        <v>16</v>
      </c>
      <c r="E131" t="str" cm="1">
        <f t="array" ref="E131">GetValue("Typ",D131,"Name")</f>
        <v>money</v>
      </c>
      <c r="F131" t="s">
        <v>268</v>
      </c>
      <c r="G131">
        <v>19</v>
      </c>
      <c r="H131">
        <v>4</v>
      </c>
    </row>
    <row r="132" spans="1:8">
      <c r="A132">
        <f t="shared" si="2"/>
        <v>131</v>
      </c>
      <c r="B132">
        <v>4</v>
      </c>
      <c r="C132" t="str" cm="1">
        <f t="array" ref="C132">GetValue("Eng",B132,"Name")</f>
        <v>PostgreSQL</v>
      </c>
      <c r="D132">
        <v>17</v>
      </c>
      <c r="E132" t="str" cm="1">
        <f t="array" ref="E132">GetValue("Typ",D132,"Name")</f>
        <v>nchar(n)</v>
      </c>
      <c r="F132" t="s">
        <v>226</v>
      </c>
    </row>
    <row r="133" spans="1:8">
      <c r="A133">
        <f t="shared" si="2"/>
        <v>132</v>
      </c>
      <c r="B133">
        <v>4</v>
      </c>
      <c r="C133" t="str" cm="1">
        <f t="array" ref="C133">GetValue("Eng",B133,"Name")</f>
        <v>PostgreSQL</v>
      </c>
      <c r="D133">
        <v>18</v>
      </c>
      <c r="E133" t="str" cm="1">
        <f t="array" ref="E133">GetValue("Typ",D133,"Name")</f>
        <v>ntext</v>
      </c>
      <c r="F133" t="s">
        <v>241</v>
      </c>
    </row>
    <row r="134" spans="1:8">
      <c r="A134">
        <f t="shared" si="2"/>
        <v>133</v>
      </c>
      <c r="B134">
        <v>4</v>
      </c>
      <c r="C134" t="str" cm="1">
        <f t="array" ref="C134">GetValue("Eng",B134,"Name")</f>
        <v>PostgreSQL</v>
      </c>
      <c r="D134">
        <v>19</v>
      </c>
      <c r="E134" t="str" cm="1">
        <f t="array" ref="E134">GetValue("Typ",D134,"Name")</f>
        <v>numeric(p,s)</v>
      </c>
      <c r="F134" t="s">
        <v>268</v>
      </c>
    </row>
    <row r="135" spans="1:8">
      <c r="A135">
        <f t="shared" si="2"/>
        <v>134</v>
      </c>
      <c r="B135">
        <v>4</v>
      </c>
      <c r="C135" t="str" cm="1">
        <f t="array" ref="C135">GetValue("Eng",B135,"Name")</f>
        <v>PostgreSQL</v>
      </c>
      <c r="D135">
        <v>20</v>
      </c>
      <c r="E135" t="str" cm="1">
        <f t="array" ref="E135">GetValue("Typ",D135,"Name")</f>
        <v>nvarchar(n)</v>
      </c>
      <c r="F135" t="s">
        <v>234</v>
      </c>
    </row>
    <row r="136" spans="1:8">
      <c r="A136">
        <f t="shared" si="2"/>
        <v>135</v>
      </c>
      <c r="B136">
        <v>4</v>
      </c>
      <c r="C136" t="str" cm="1">
        <f t="array" ref="C136">GetValue("Eng",B136,"Name")</f>
        <v>PostgreSQL</v>
      </c>
      <c r="D136">
        <v>21</v>
      </c>
      <c r="E136" t="str" cm="1">
        <f t="array" ref="E136">GetValue("Typ",D136,"Name")</f>
        <v>nvarchar(max)</v>
      </c>
      <c r="F136" t="s">
        <v>241</v>
      </c>
    </row>
    <row r="137" spans="1:8">
      <c r="A137">
        <f t="shared" si="2"/>
        <v>136</v>
      </c>
      <c r="B137">
        <v>4</v>
      </c>
      <c r="C137" t="str" cm="1">
        <f t="array" ref="C137">GetValue("Eng",B137,"Name")</f>
        <v>PostgreSQL</v>
      </c>
      <c r="D137">
        <v>22</v>
      </c>
      <c r="E137" t="str" cm="1">
        <f t="array" ref="E137">GetValue("Typ",D137,"Name")</f>
        <v>real</v>
      </c>
      <c r="F137" t="s">
        <v>232</v>
      </c>
    </row>
    <row r="138" spans="1:8">
      <c r="A138">
        <f t="shared" si="2"/>
        <v>137</v>
      </c>
      <c r="B138">
        <v>4</v>
      </c>
      <c r="C138" t="str" cm="1">
        <f t="array" ref="C138">GetValue("Eng",B138,"Name")</f>
        <v>PostgreSQL</v>
      </c>
      <c r="D138">
        <v>23</v>
      </c>
      <c r="E138" t="str" cm="1">
        <f t="array" ref="E138">GetValue("Typ",D138,"Name")</f>
        <v>smalldatetime</v>
      </c>
      <c r="F138" t="s">
        <v>228</v>
      </c>
      <c r="G138">
        <v>0</v>
      </c>
    </row>
    <row r="139" spans="1:8">
      <c r="A139">
        <f t="shared" si="2"/>
        <v>138</v>
      </c>
      <c r="B139">
        <v>4</v>
      </c>
      <c r="C139" t="str" cm="1">
        <f t="array" ref="C139">GetValue("Eng",B139,"Name")</f>
        <v>PostgreSQL</v>
      </c>
      <c r="D139">
        <v>24</v>
      </c>
      <c r="E139" t="str" cm="1">
        <f t="array" ref="E139">GetValue("Typ",D139,"Name")</f>
        <v>smallint (2 bytes)</v>
      </c>
      <c r="F139" t="s">
        <v>225</v>
      </c>
    </row>
    <row r="140" spans="1:8">
      <c r="A140">
        <f t="shared" si="2"/>
        <v>139</v>
      </c>
      <c r="B140">
        <v>4</v>
      </c>
      <c r="C140" t="str" cm="1">
        <f t="array" ref="C140">GetValue("Eng",B140,"Name")</f>
        <v>PostgreSQL</v>
      </c>
      <c r="D140">
        <v>25</v>
      </c>
      <c r="E140" t="str" cm="1">
        <f t="array" ref="E140">GetValue("Typ",D140,"Name")</f>
        <v>smallmoney</v>
      </c>
      <c r="F140" t="s">
        <v>268</v>
      </c>
      <c r="G140">
        <v>10</v>
      </c>
      <c r="H140">
        <v>4</v>
      </c>
    </row>
    <row r="141" spans="1:8">
      <c r="A141">
        <f t="shared" si="2"/>
        <v>140</v>
      </c>
      <c r="B141">
        <v>4</v>
      </c>
      <c r="C141" t="str" cm="1">
        <f t="array" ref="C141">GetValue("Eng",B141,"Name")</f>
        <v>PostgreSQL</v>
      </c>
      <c r="D141">
        <v>26</v>
      </c>
      <c r="E141" t="str" cm="1">
        <f t="array" ref="E141">GetValue("Typ",D141,"Name")</f>
        <v>sql_variant</v>
      </c>
      <c r="F141" t="s">
        <v>274</v>
      </c>
    </row>
    <row r="142" spans="1:8">
      <c r="A142">
        <f t="shared" si="2"/>
        <v>141</v>
      </c>
      <c r="B142">
        <v>4</v>
      </c>
      <c r="C142" t="str" cm="1">
        <f t="array" ref="C142">GetValue("Eng",B142,"Name")</f>
        <v>PostgreSQL</v>
      </c>
      <c r="D142">
        <v>27</v>
      </c>
      <c r="E142" t="str" cm="1">
        <f t="array" ref="E142">GetValue("Typ",D142,"Name")</f>
        <v>sysname</v>
      </c>
      <c r="F142" t="s">
        <v>664</v>
      </c>
    </row>
    <row r="143" spans="1:8">
      <c r="A143">
        <f t="shared" si="2"/>
        <v>142</v>
      </c>
      <c r="B143">
        <v>4</v>
      </c>
      <c r="C143" t="str" cm="1">
        <f t="array" ref="C143">GetValue("Eng",B143,"Name")</f>
        <v>PostgreSQL</v>
      </c>
      <c r="D143">
        <v>28</v>
      </c>
      <c r="E143" t="str" cm="1">
        <f t="array" ref="E143">GetValue("Typ",D143,"Name")</f>
        <v>text</v>
      </c>
      <c r="F143" t="s">
        <v>241</v>
      </c>
    </row>
    <row r="144" spans="1:8">
      <c r="A144">
        <f t="shared" si="2"/>
        <v>143</v>
      </c>
      <c r="B144">
        <v>4</v>
      </c>
      <c r="C144" t="str" cm="1">
        <f t="array" ref="C144">GetValue("Eng",B144,"Name")</f>
        <v>PostgreSQL</v>
      </c>
      <c r="D144">
        <v>29</v>
      </c>
      <c r="E144" t="str" cm="1">
        <f t="array" ref="E144">GetValue("Typ",D144,"Name")</f>
        <v>time(s)</v>
      </c>
      <c r="F144" t="s">
        <v>233</v>
      </c>
    </row>
    <row r="145" spans="1:6">
      <c r="A145">
        <f t="shared" si="2"/>
        <v>144</v>
      </c>
      <c r="B145">
        <v>4</v>
      </c>
      <c r="C145" t="str" cm="1">
        <f t="array" ref="C145">GetValue("Eng",B145,"Name")</f>
        <v>PostgreSQL</v>
      </c>
      <c r="D145">
        <v>30</v>
      </c>
      <c r="E145" t="str" cm="1">
        <f t="array" ref="E145">GetValue("Typ",D145,"Name")</f>
        <v>timestamp</v>
      </c>
      <c r="F145" t="s">
        <v>228</v>
      </c>
    </row>
    <row r="146" spans="1:6">
      <c r="A146">
        <f t="shared" si="2"/>
        <v>145</v>
      </c>
      <c r="B146">
        <v>4</v>
      </c>
      <c r="C146" t="str" cm="1">
        <f t="array" ref="C146">GetValue("Eng",B146,"Name")</f>
        <v>PostgreSQL</v>
      </c>
      <c r="D146">
        <v>31</v>
      </c>
      <c r="E146" t="str" cm="1">
        <f t="array" ref="E146">GetValue("Typ",D146,"Name")</f>
        <v>tinyint (1 byte)</v>
      </c>
      <c r="F146" t="s">
        <v>225</v>
      </c>
    </row>
    <row r="147" spans="1:6">
      <c r="A147">
        <f t="shared" si="2"/>
        <v>146</v>
      </c>
      <c r="B147">
        <v>4</v>
      </c>
      <c r="C147" t="str" cm="1">
        <f t="array" ref="C147">GetValue("Eng",B147,"Name")</f>
        <v>PostgreSQL</v>
      </c>
      <c r="D147">
        <v>32</v>
      </c>
      <c r="E147" t="str" cm="1">
        <f t="array" ref="E147">GetValue("Typ",D147,"Name")</f>
        <v>uniqueidentifier</v>
      </c>
      <c r="F147" t="s">
        <v>253</v>
      </c>
    </row>
    <row r="148" spans="1:6">
      <c r="A148">
        <f t="shared" si="2"/>
        <v>147</v>
      </c>
      <c r="B148">
        <v>4</v>
      </c>
      <c r="C148" t="str" cm="1">
        <f t="array" ref="C148">GetValue("Eng",B148,"Name")</f>
        <v>PostgreSQL</v>
      </c>
      <c r="D148">
        <v>33</v>
      </c>
      <c r="E148" t="str" cm="1">
        <f t="array" ref="E148">GetValue("Typ",D148,"Name")</f>
        <v>varbinary(n)</v>
      </c>
      <c r="F148" t="s">
        <v>251</v>
      </c>
    </row>
    <row r="149" spans="1:6">
      <c r="A149">
        <f t="shared" si="2"/>
        <v>148</v>
      </c>
      <c r="B149">
        <v>4</v>
      </c>
      <c r="C149" t="str" cm="1">
        <f t="array" ref="C149">GetValue("Eng",B149,"Name")</f>
        <v>PostgreSQL</v>
      </c>
      <c r="D149">
        <v>34</v>
      </c>
      <c r="E149" t="str" cm="1">
        <f t="array" ref="E149">GetValue("Typ",D149,"Name")</f>
        <v>varbinary(max)</v>
      </c>
      <c r="F149" t="s">
        <v>251</v>
      </c>
    </row>
    <row r="150" spans="1:6">
      <c r="A150">
        <f t="shared" si="2"/>
        <v>149</v>
      </c>
      <c r="B150">
        <v>4</v>
      </c>
      <c r="C150" t="str" cm="1">
        <f t="array" ref="C150">GetValue("Eng",B150,"Name")</f>
        <v>PostgreSQL</v>
      </c>
      <c r="D150">
        <v>35</v>
      </c>
      <c r="E150" t="str" cm="1">
        <f t="array" ref="E150">GetValue("Typ",D150,"Name")</f>
        <v>varchar(n)</v>
      </c>
      <c r="F150" t="s">
        <v>234</v>
      </c>
    </row>
    <row r="151" spans="1:6">
      <c r="A151">
        <f t="shared" si="2"/>
        <v>150</v>
      </c>
      <c r="B151">
        <v>4</v>
      </c>
      <c r="C151" t="str" cm="1">
        <f t="array" ref="C151">GetValue("Eng",B151,"Name")</f>
        <v>PostgreSQL</v>
      </c>
      <c r="D151">
        <v>36</v>
      </c>
      <c r="E151" t="str" cm="1">
        <f t="array" ref="E151">GetValue("Typ",D151,"Name")</f>
        <v>varchar(max)</v>
      </c>
      <c r="F151" t="s">
        <v>241</v>
      </c>
    </row>
    <row r="152" spans="1:6">
      <c r="A152">
        <f t="shared" si="2"/>
        <v>151</v>
      </c>
      <c r="B152">
        <v>4</v>
      </c>
      <c r="C152" t="str" cm="1">
        <f t="array" ref="C152">GetValue("Eng",B152,"Name")</f>
        <v>PostgreSQL</v>
      </c>
      <c r="D152">
        <v>37</v>
      </c>
      <c r="E152" t="str" cm="1">
        <f t="array" ref="E152">GetValue("Typ",D152,"Name")</f>
        <v>xml</v>
      </c>
      <c r="F152" t="s">
        <v>235</v>
      </c>
    </row>
    <row r="153" spans="1:6">
      <c r="A153">
        <f t="shared" si="2"/>
        <v>152</v>
      </c>
      <c r="B153">
        <v>4</v>
      </c>
      <c r="C153" t="str" cm="1">
        <f t="array" ref="C153">GetValue("Eng",B153,"Name")</f>
        <v>PostgreSQL</v>
      </c>
      <c r="D153">
        <v>38</v>
      </c>
      <c r="E153" t="str" cm="1">
        <f t="array" ref="E153">GetValue("Typ",D153,"Name")</f>
        <v>json</v>
      </c>
      <c r="F153" t="s">
        <v>274</v>
      </c>
    </row>
    <row r="154" spans="1:6">
      <c r="A154">
        <f t="shared" si="2"/>
        <v>153</v>
      </c>
      <c r="B154">
        <v>5</v>
      </c>
      <c r="C154" t="str" cm="1">
        <f t="array" ref="C154">GetValue("Eng",B154,"Name")</f>
        <v>Firebird</v>
      </c>
      <c r="D154">
        <v>1</v>
      </c>
      <c r="E154" t="str" cm="1">
        <f t="array" ref="E154">GetValue("Typ",D154,"Name")</f>
        <v>bigint (8 bytes)</v>
      </c>
      <c r="F154" t="s">
        <v>224</v>
      </c>
    </row>
    <row r="155" spans="1:6">
      <c r="A155">
        <f t="shared" si="2"/>
        <v>154</v>
      </c>
      <c r="B155">
        <v>5</v>
      </c>
      <c r="C155" t="str" cm="1">
        <f t="array" ref="C155">GetValue("Eng",B155,"Name")</f>
        <v>Firebird</v>
      </c>
      <c r="D155">
        <v>2</v>
      </c>
      <c r="E155" t="str" cm="1">
        <f t="array" ref="E155">GetValue("Typ",D155,"Name")</f>
        <v>binary</v>
      </c>
      <c r="F155" t="s">
        <v>243</v>
      </c>
    </row>
    <row r="156" spans="1:6">
      <c r="A156">
        <f t="shared" si="2"/>
        <v>155</v>
      </c>
      <c r="B156">
        <v>5</v>
      </c>
      <c r="C156" t="str" cm="1">
        <f t="array" ref="C156">GetValue("Eng",B156,"Name")</f>
        <v>Firebird</v>
      </c>
      <c r="D156">
        <v>3</v>
      </c>
      <c r="E156" t="str" cm="1">
        <f t="array" ref="E156">GetValue("Typ",D156,"Name")</f>
        <v>bit (1 bit)</v>
      </c>
      <c r="F156" t="s">
        <v>225</v>
      </c>
    </row>
    <row r="157" spans="1:6">
      <c r="A157">
        <f t="shared" si="2"/>
        <v>156</v>
      </c>
      <c r="B157">
        <v>5</v>
      </c>
      <c r="C157" t="str" cm="1">
        <f t="array" ref="C157">GetValue("Eng",B157,"Name")</f>
        <v>Firebird</v>
      </c>
      <c r="D157">
        <v>4</v>
      </c>
      <c r="E157" t="str" cm="1">
        <f t="array" ref="E157">GetValue("Typ",D157,"Name")</f>
        <v>char(n)</v>
      </c>
      <c r="F157" t="s">
        <v>226</v>
      </c>
    </row>
    <row r="158" spans="1:6">
      <c r="A158">
        <f t="shared" si="2"/>
        <v>157</v>
      </c>
      <c r="B158">
        <v>5</v>
      </c>
      <c r="C158" t="str" cm="1">
        <f t="array" ref="C158">GetValue("Eng",B158,"Name")</f>
        <v>Firebird</v>
      </c>
      <c r="D158">
        <v>5</v>
      </c>
      <c r="E158" t="str" cm="1">
        <f t="array" ref="E158">GetValue("Typ",D158,"Name")</f>
        <v>date</v>
      </c>
      <c r="F158" t="s">
        <v>227</v>
      </c>
    </row>
    <row r="159" spans="1:6">
      <c r="A159">
        <f t="shared" si="2"/>
        <v>158</v>
      </c>
      <c r="B159">
        <v>5</v>
      </c>
      <c r="C159" t="str" cm="1">
        <f t="array" ref="C159">GetValue("Eng",B159,"Name")</f>
        <v>Firebird</v>
      </c>
      <c r="D159">
        <v>6</v>
      </c>
      <c r="E159" t="str" cm="1">
        <f t="array" ref="E159">GetValue("Typ",D159,"Name")</f>
        <v>datetime</v>
      </c>
      <c r="F159" t="s">
        <v>228</v>
      </c>
    </row>
    <row r="160" spans="1:6">
      <c r="A160">
        <f t="shared" si="2"/>
        <v>159</v>
      </c>
      <c r="B160">
        <v>5</v>
      </c>
      <c r="C160" t="str" cm="1">
        <f t="array" ref="C160">GetValue("Eng",B160,"Name")</f>
        <v>Firebird</v>
      </c>
      <c r="D160">
        <v>7</v>
      </c>
      <c r="E160" t="str" cm="1">
        <f t="array" ref="E160">GetValue("Typ",D160,"Name")</f>
        <v>datetime2(s)</v>
      </c>
      <c r="F160" t="s">
        <v>228</v>
      </c>
    </row>
    <row r="161" spans="1:8">
      <c r="A161">
        <f t="shared" si="2"/>
        <v>160</v>
      </c>
      <c r="B161">
        <v>5</v>
      </c>
      <c r="C161" t="str" cm="1">
        <f t="array" ref="C161">GetValue("Eng",B161,"Name")</f>
        <v>Firebird</v>
      </c>
      <c r="D161">
        <v>8</v>
      </c>
      <c r="E161" t="str" cm="1">
        <f t="array" ref="E161">GetValue("Typ",D161,"Name")</f>
        <v>datetimeoffset(s)</v>
      </c>
      <c r="F161" t="s">
        <v>229</v>
      </c>
    </row>
    <row r="162" spans="1:8">
      <c r="A162">
        <f t="shared" si="2"/>
        <v>161</v>
      </c>
      <c r="B162">
        <v>5</v>
      </c>
      <c r="C162" t="str" cm="1">
        <f t="array" ref="C162">GetValue("Eng",B162,"Name")</f>
        <v>Firebird</v>
      </c>
      <c r="D162">
        <v>9</v>
      </c>
      <c r="E162" t="str" cm="1">
        <f t="array" ref="E162">GetValue("Typ",D162,"Name")</f>
        <v>decimal(p ,s)</v>
      </c>
      <c r="F162" t="s">
        <v>267</v>
      </c>
    </row>
    <row r="163" spans="1:8">
      <c r="A163">
        <f t="shared" si="2"/>
        <v>162</v>
      </c>
      <c r="B163">
        <v>5</v>
      </c>
      <c r="C163" t="str" cm="1">
        <f t="array" ref="C163">GetValue("Eng",B163,"Name")</f>
        <v>Firebird</v>
      </c>
      <c r="D163">
        <v>10</v>
      </c>
      <c r="E163" t="str" cm="1">
        <f t="array" ref="E163">GetValue("Typ",D163,"Name")</f>
        <v>float(n)</v>
      </c>
      <c r="F163" t="s">
        <v>236</v>
      </c>
    </row>
    <row r="164" spans="1:8">
      <c r="A164">
        <f t="shared" si="2"/>
        <v>163</v>
      </c>
      <c r="B164">
        <v>5</v>
      </c>
      <c r="C164" t="str" cm="1">
        <f t="array" ref="C164">GetValue("Eng",B164,"Name")</f>
        <v>Firebird</v>
      </c>
      <c r="D164">
        <v>11</v>
      </c>
      <c r="E164" t="str" cm="1">
        <f t="array" ref="E164">GetValue("Typ",D164,"Name")</f>
        <v>geography</v>
      </c>
    </row>
    <row r="165" spans="1:8">
      <c r="A165">
        <f t="shared" si="2"/>
        <v>164</v>
      </c>
      <c r="B165">
        <v>5</v>
      </c>
      <c r="C165" t="str" cm="1">
        <f t="array" ref="C165">GetValue("Eng",B165,"Name")</f>
        <v>Firebird</v>
      </c>
      <c r="D165">
        <v>12</v>
      </c>
      <c r="E165" t="str" cm="1">
        <f t="array" ref="E165">GetValue("Typ",D165,"Name")</f>
        <v>geometry</v>
      </c>
    </row>
    <row r="166" spans="1:8">
      <c r="A166">
        <f t="shared" si="2"/>
        <v>165</v>
      </c>
      <c r="B166">
        <v>5</v>
      </c>
      <c r="C166" t="str" cm="1">
        <f t="array" ref="C166">GetValue("Eng",B166,"Name")</f>
        <v>Firebird</v>
      </c>
      <c r="D166">
        <v>13</v>
      </c>
      <c r="E166" t="str" cm="1">
        <f t="array" ref="E166">GetValue("Typ",D166,"Name")</f>
        <v>hierarchyid</v>
      </c>
    </row>
    <row r="167" spans="1:8">
      <c r="A167">
        <f t="shared" si="2"/>
        <v>166</v>
      </c>
      <c r="B167">
        <v>5</v>
      </c>
      <c r="C167" t="str" cm="1">
        <f t="array" ref="C167">GetValue("Eng",B167,"Name")</f>
        <v>Firebird</v>
      </c>
      <c r="D167">
        <v>14</v>
      </c>
      <c r="E167" t="str" cm="1">
        <f t="array" ref="E167">GetValue("Typ",D167,"Name")</f>
        <v>image</v>
      </c>
      <c r="F167" t="s">
        <v>237</v>
      </c>
    </row>
    <row r="168" spans="1:8">
      <c r="A168">
        <f t="shared" si="2"/>
        <v>167</v>
      </c>
      <c r="B168">
        <v>5</v>
      </c>
      <c r="C168" t="str" cm="1">
        <f t="array" ref="C168">GetValue("Eng",B168,"Name")</f>
        <v>Firebird</v>
      </c>
      <c r="D168">
        <v>15</v>
      </c>
      <c r="E168" t="str" cm="1">
        <f t="array" ref="E168">GetValue("Typ",D168,"Name")</f>
        <v>int (4 bytes)</v>
      </c>
      <c r="F168" t="s">
        <v>231</v>
      </c>
    </row>
    <row r="169" spans="1:8">
      <c r="A169">
        <f t="shared" si="2"/>
        <v>168</v>
      </c>
      <c r="B169">
        <v>5</v>
      </c>
      <c r="C169" t="str" cm="1">
        <f t="array" ref="C169">GetValue("Eng",B169,"Name")</f>
        <v>Firebird</v>
      </c>
      <c r="D169">
        <v>16</v>
      </c>
      <c r="E169" t="str" cm="1">
        <f t="array" ref="E169">GetValue("Typ",D169,"Name")</f>
        <v>money</v>
      </c>
      <c r="F169" t="s">
        <v>267</v>
      </c>
      <c r="G169">
        <v>19</v>
      </c>
      <c r="H169">
        <v>4</v>
      </c>
    </row>
    <row r="170" spans="1:8">
      <c r="A170">
        <f t="shared" si="2"/>
        <v>169</v>
      </c>
      <c r="B170">
        <v>5</v>
      </c>
      <c r="C170" t="str" cm="1">
        <f t="array" ref="C170">GetValue("Eng",B170,"Name")</f>
        <v>Firebird</v>
      </c>
      <c r="D170">
        <v>17</v>
      </c>
      <c r="E170" t="str" cm="1">
        <f t="array" ref="E170">GetValue("Typ",D170,"Name")</f>
        <v>nchar(n)</v>
      </c>
      <c r="F170" t="s">
        <v>226</v>
      </c>
    </row>
    <row r="171" spans="1:8">
      <c r="A171">
        <f t="shared" si="2"/>
        <v>170</v>
      </c>
      <c r="B171">
        <v>5</v>
      </c>
      <c r="C171" t="str" cm="1">
        <f t="array" ref="C171">GetValue("Eng",B171,"Name")</f>
        <v>Firebird</v>
      </c>
      <c r="D171">
        <v>18</v>
      </c>
      <c r="E171" t="str" cm="1">
        <f t="array" ref="E171">GetValue("Typ",D171,"Name")</f>
        <v>ntext</v>
      </c>
      <c r="F171" t="s">
        <v>275</v>
      </c>
    </row>
    <row r="172" spans="1:8">
      <c r="A172">
        <f t="shared" si="2"/>
        <v>171</v>
      </c>
      <c r="B172">
        <v>5</v>
      </c>
      <c r="C172" t="str" cm="1">
        <f t="array" ref="C172">GetValue("Eng",B172,"Name")</f>
        <v>Firebird</v>
      </c>
      <c r="D172">
        <v>19</v>
      </c>
      <c r="E172" t="str" cm="1">
        <f t="array" ref="E172">GetValue("Typ",D172,"Name")</f>
        <v>numeric(p,s)</v>
      </c>
      <c r="F172" t="s">
        <v>268</v>
      </c>
    </row>
    <row r="173" spans="1:8">
      <c r="A173">
        <f t="shared" si="2"/>
        <v>172</v>
      </c>
      <c r="B173">
        <v>5</v>
      </c>
      <c r="C173" t="str" cm="1">
        <f t="array" ref="C173">GetValue("Eng",B173,"Name")</f>
        <v>Firebird</v>
      </c>
      <c r="D173">
        <v>20</v>
      </c>
      <c r="E173" t="str" cm="1">
        <f t="array" ref="E173">GetValue("Typ",D173,"Name")</f>
        <v>nvarchar(n)</v>
      </c>
      <c r="F173" t="s">
        <v>234</v>
      </c>
    </row>
    <row r="174" spans="1:8">
      <c r="A174">
        <f t="shared" si="2"/>
        <v>173</v>
      </c>
      <c r="B174">
        <v>5</v>
      </c>
      <c r="C174" t="str" cm="1">
        <f t="array" ref="C174">GetValue("Eng",B174,"Name")</f>
        <v>Firebird</v>
      </c>
      <c r="D174">
        <v>21</v>
      </c>
      <c r="E174" t="str" cm="1">
        <f t="array" ref="E174">GetValue("Typ",D174,"Name")</f>
        <v>nvarchar(max)</v>
      </c>
      <c r="F174" t="s">
        <v>275</v>
      </c>
    </row>
    <row r="175" spans="1:8">
      <c r="A175">
        <f t="shared" si="2"/>
        <v>174</v>
      </c>
      <c r="B175">
        <v>5</v>
      </c>
      <c r="C175" t="str" cm="1">
        <f t="array" ref="C175">GetValue("Eng",B175,"Name")</f>
        <v>Firebird</v>
      </c>
      <c r="D175">
        <v>22</v>
      </c>
      <c r="E175" t="str" cm="1">
        <f t="array" ref="E175">GetValue("Typ",D175,"Name")</f>
        <v>real</v>
      </c>
      <c r="F175" t="s">
        <v>238</v>
      </c>
    </row>
    <row r="176" spans="1:8">
      <c r="A176">
        <f t="shared" si="2"/>
        <v>175</v>
      </c>
      <c r="B176">
        <v>5</v>
      </c>
      <c r="C176" t="str" cm="1">
        <f t="array" ref="C176">GetValue("Eng",B176,"Name")</f>
        <v>Firebird</v>
      </c>
      <c r="D176">
        <v>23</v>
      </c>
      <c r="E176" t="str" cm="1">
        <f t="array" ref="E176">GetValue("Typ",D176,"Name")</f>
        <v>smalldatetime</v>
      </c>
      <c r="F176" t="s">
        <v>228</v>
      </c>
    </row>
    <row r="177" spans="1:8">
      <c r="A177">
        <f t="shared" si="2"/>
        <v>176</v>
      </c>
      <c r="B177">
        <v>5</v>
      </c>
      <c r="C177" t="str" cm="1">
        <f t="array" ref="C177">GetValue("Eng",B177,"Name")</f>
        <v>Firebird</v>
      </c>
      <c r="D177">
        <v>24</v>
      </c>
      <c r="E177" t="str" cm="1">
        <f t="array" ref="E177">GetValue("Typ",D177,"Name")</f>
        <v>smallint (2 bytes)</v>
      </c>
      <c r="F177" t="s">
        <v>225</v>
      </c>
    </row>
    <row r="178" spans="1:8">
      <c r="A178">
        <f t="shared" si="2"/>
        <v>177</v>
      </c>
      <c r="B178">
        <v>5</v>
      </c>
      <c r="C178" t="str" cm="1">
        <f t="array" ref="C178">GetValue("Eng",B178,"Name")</f>
        <v>Firebird</v>
      </c>
      <c r="D178">
        <v>25</v>
      </c>
      <c r="E178" t="str" cm="1">
        <f t="array" ref="E178">GetValue("Typ",D178,"Name")</f>
        <v>smallmoney</v>
      </c>
      <c r="F178" t="s">
        <v>267</v>
      </c>
      <c r="G178">
        <v>10</v>
      </c>
      <c r="H178">
        <v>4</v>
      </c>
    </row>
    <row r="179" spans="1:8">
      <c r="A179">
        <f t="shared" si="2"/>
        <v>178</v>
      </c>
      <c r="B179">
        <v>5</v>
      </c>
      <c r="C179" t="str" cm="1">
        <f t="array" ref="C179">GetValue("Eng",B179,"Name")</f>
        <v>Firebird</v>
      </c>
      <c r="D179">
        <v>26</v>
      </c>
      <c r="E179" t="str" cm="1">
        <f t="array" ref="E179">GetValue("Typ",D179,"Name")</f>
        <v>sql_variant</v>
      </c>
      <c r="F179" t="s">
        <v>275</v>
      </c>
    </row>
    <row r="180" spans="1:8">
      <c r="A180">
        <f t="shared" si="2"/>
        <v>179</v>
      </c>
      <c r="B180">
        <v>5</v>
      </c>
      <c r="C180" t="str" cm="1">
        <f t="array" ref="C180">GetValue("Eng",B180,"Name")</f>
        <v>Firebird</v>
      </c>
      <c r="D180">
        <v>27</v>
      </c>
      <c r="E180" t="str" cm="1">
        <f t="array" ref="E180">GetValue("Typ",D180,"Name")</f>
        <v>sysname</v>
      </c>
      <c r="F180" t="s">
        <v>234</v>
      </c>
      <c r="G180">
        <v>31</v>
      </c>
    </row>
    <row r="181" spans="1:8">
      <c r="A181">
        <f t="shared" si="2"/>
        <v>180</v>
      </c>
      <c r="B181">
        <v>5</v>
      </c>
      <c r="C181" t="str" cm="1">
        <f t="array" ref="C181">GetValue("Eng",B181,"Name")</f>
        <v>Firebird</v>
      </c>
      <c r="D181">
        <v>28</v>
      </c>
      <c r="E181" t="str" cm="1">
        <f t="array" ref="E181">GetValue("Typ",D181,"Name")</f>
        <v>text</v>
      </c>
      <c r="F181" t="s">
        <v>275</v>
      </c>
    </row>
    <row r="182" spans="1:8">
      <c r="A182">
        <f t="shared" si="2"/>
        <v>181</v>
      </c>
      <c r="B182">
        <v>5</v>
      </c>
      <c r="C182" t="str" cm="1">
        <f t="array" ref="C182">GetValue("Eng",B182,"Name")</f>
        <v>Firebird</v>
      </c>
      <c r="D182">
        <v>29</v>
      </c>
      <c r="E182" t="str" cm="1">
        <f t="array" ref="E182">GetValue("Typ",D182,"Name")</f>
        <v>time(s)</v>
      </c>
      <c r="F182" t="s">
        <v>233</v>
      </c>
    </row>
    <row r="183" spans="1:8">
      <c r="A183">
        <f t="shared" si="2"/>
        <v>182</v>
      </c>
      <c r="B183">
        <v>5</v>
      </c>
      <c r="C183" t="str" cm="1">
        <f t="array" ref="C183">GetValue("Eng",B183,"Name")</f>
        <v>Firebird</v>
      </c>
      <c r="D183">
        <v>30</v>
      </c>
      <c r="E183" t="str" cm="1">
        <f t="array" ref="E183">GetValue("Typ",D183,"Name")</f>
        <v>timestamp</v>
      </c>
      <c r="F183" t="s">
        <v>228</v>
      </c>
    </row>
    <row r="184" spans="1:8">
      <c r="A184">
        <f t="shared" si="2"/>
        <v>183</v>
      </c>
      <c r="B184">
        <v>5</v>
      </c>
      <c r="C184" t="str" cm="1">
        <f t="array" ref="C184">GetValue("Eng",B184,"Name")</f>
        <v>Firebird</v>
      </c>
      <c r="D184">
        <v>31</v>
      </c>
      <c r="E184" t="str" cm="1">
        <f t="array" ref="E184">GetValue("Typ",D184,"Name")</f>
        <v>tinyint (1 byte)</v>
      </c>
      <c r="F184" t="s">
        <v>225</v>
      </c>
    </row>
    <row r="185" spans="1:8">
      <c r="A185">
        <f t="shared" si="2"/>
        <v>184</v>
      </c>
      <c r="B185">
        <v>5</v>
      </c>
      <c r="C185" t="str" cm="1">
        <f t="array" ref="C185">GetValue("Eng",B185,"Name")</f>
        <v>Firebird</v>
      </c>
      <c r="D185">
        <v>32</v>
      </c>
      <c r="E185" t="str" cm="1">
        <f t="array" ref="E185">GetValue("Typ",D185,"Name")</f>
        <v>uniqueidentifier</v>
      </c>
      <c r="F185" t="s">
        <v>226</v>
      </c>
      <c r="G185">
        <v>38</v>
      </c>
    </row>
    <row r="186" spans="1:8">
      <c r="A186">
        <f t="shared" si="2"/>
        <v>185</v>
      </c>
      <c r="B186">
        <v>5</v>
      </c>
      <c r="C186" t="str" cm="1">
        <f t="array" ref="C186">GetValue("Eng",B186,"Name")</f>
        <v>Firebird</v>
      </c>
      <c r="D186">
        <v>33</v>
      </c>
      <c r="E186" t="str" cm="1">
        <f t="array" ref="E186">GetValue("Typ",D186,"Name")</f>
        <v>varbinary(n)</v>
      </c>
      <c r="F186" t="s">
        <v>237</v>
      </c>
    </row>
    <row r="187" spans="1:8">
      <c r="A187">
        <f t="shared" si="2"/>
        <v>186</v>
      </c>
      <c r="B187">
        <v>5</v>
      </c>
      <c r="C187" t="str" cm="1">
        <f t="array" ref="C187">GetValue("Eng",B187,"Name")</f>
        <v>Firebird</v>
      </c>
      <c r="D187">
        <v>34</v>
      </c>
      <c r="E187" t="str" cm="1">
        <f t="array" ref="E187">GetValue("Typ",D187,"Name")</f>
        <v>varbinary(max)</v>
      </c>
      <c r="F187" t="s">
        <v>276</v>
      </c>
    </row>
    <row r="188" spans="1:8">
      <c r="A188">
        <f t="shared" si="2"/>
        <v>187</v>
      </c>
      <c r="B188">
        <v>5</v>
      </c>
      <c r="C188" t="str" cm="1">
        <f t="array" ref="C188">GetValue("Eng",B188,"Name")</f>
        <v>Firebird</v>
      </c>
      <c r="D188">
        <v>35</v>
      </c>
      <c r="E188" t="str" cm="1">
        <f t="array" ref="E188">GetValue("Typ",D188,"Name")</f>
        <v>varchar(n)</v>
      </c>
      <c r="F188" t="s">
        <v>234</v>
      </c>
    </row>
    <row r="189" spans="1:8">
      <c r="A189">
        <f t="shared" si="2"/>
        <v>188</v>
      </c>
      <c r="B189">
        <v>5</v>
      </c>
      <c r="C189" t="str" cm="1">
        <f t="array" ref="C189">GetValue("Eng",B189,"Name")</f>
        <v>Firebird</v>
      </c>
      <c r="D189">
        <v>36</v>
      </c>
      <c r="E189" t="str" cm="1">
        <f t="array" ref="E189">GetValue("Typ",D189,"Name")</f>
        <v>varchar(max)</v>
      </c>
      <c r="F189" t="s">
        <v>275</v>
      </c>
    </row>
    <row r="190" spans="1:8">
      <c r="A190">
        <f t="shared" si="2"/>
        <v>189</v>
      </c>
      <c r="B190">
        <v>5</v>
      </c>
      <c r="C190" t="str" cm="1">
        <f t="array" ref="C190">GetValue("Eng",B190,"Name")</f>
        <v>Firebird</v>
      </c>
      <c r="D190">
        <v>37</v>
      </c>
      <c r="E190" t="str" cm="1">
        <f t="array" ref="E190">GetValue("Typ",D190,"Name")</f>
        <v>xml</v>
      </c>
      <c r="F190" t="s">
        <v>275</v>
      </c>
    </row>
    <row r="191" spans="1:8">
      <c r="A191">
        <f t="shared" si="2"/>
        <v>190</v>
      </c>
      <c r="B191">
        <v>5</v>
      </c>
      <c r="C191" t="str" cm="1">
        <f t="array" ref="C191">GetValue("Eng",B191,"Name")</f>
        <v>Firebird</v>
      </c>
      <c r="D191">
        <v>38</v>
      </c>
      <c r="E191" t="str" cm="1">
        <f t="array" ref="E191">GetValue("Typ",D191,"Name")</f>
        <v>json</v>
      </c>
      <c r="F191" t="s">
        <v>275</v>
      </c>
    </row>
    <row r="192" spans="1:8">
      <c r="A192">
        <f t="shared" si="2"/>
        <v>191</v>
      </c>
      <c r="B192">
        <v>6</v>
      </c>
      <c r="C192" t="str" cm="1">
        <f t="array" ref="C192">GetValue("Eng",B192,"Name")</f>
        <v>Interbase</v>
      </c>
      <c r="D192">
        <v>1</v>
      </c>
      <c r="E192" t="str" cm="1">
        <f t="array" ref="E192">GetValue("Typ",D192,"Name")</f>
        <v>bigint (8 bytes)</v>
      </c>
      <c r="F192" t="s">
        <v>224</v>
      </c>
    </row>
    <row r="193" spans="1:8">
      <c r="A193">
        <f t="shared" si="2"/>
        <v>192</v>
      </c>
      <c r="B193">
        <v>6</v>
      </c>
      <c r="C193" t="str" cm="1">
        <f t="array" ref="C193">GetValue("Eng",B193,"Name")</f>
        <v>Interbase</v>
      </c>
      <c r="D193">
        <v>2</v>
      </c>
      <c r="E193" t="str" cm="1">
        <f t="array" ref="E193">GetValue("Typ",D193,"Name")</f>
        <v>binary</v>
      </c>
      <c r="F193" t="s">
        <v>243</v>
      </c>
    </row>
    <row r="194" spans="1:8">
      <c r="A194">
        <f t="shared" si="2"/>
        <v>193</v>
      </c>
      <c r="B194">
        <v>6</v>
      </c>
      <c r="C194" t="str" cm="1">
        <f t="array" ref="C194">GetValue("Eng",B194,"Name")</f>
        <v>Interbase</v>
      </c>
      <c r="D194">
        <v>3</v>
      </c>
      <c r="E194" t="str" cm="1">
        <f t="array" ref="E194">GetValue("Typ",D194,"Name")</f>
        <v>bit (1 bit)</v>
      </c>
      <c r="F194" t="s">
        <v>225</v>
      </c>
    </row>
    <row r="195" spans="1:8">
      <c r="A195">
        <f t="shared" ref="A195:A258" si="3">ROW(A195)-1</f>
        <v>194</v>
      </c>
      <c r="B195">
        <v>6</v>
      </c>
      <c r="C195" t="str" cm="1">
        <f t="array" ref="C195">GetValue("Eng",B195,"Name")</f>
        <v>Interbase</v>
      </c>
      <c r="D195">
        <v>4</v>
      </c>
      <c r="E195" t="str" cm="1">
        <f t="array" ref="E195">GetValue("Typ",D195,"Name")</f>
        <v>char(n)</v>
      </c>
      <c r="F195" t="s">
        <v>226</v>
      </c>
    </row>
    <row r="196" spans="1:8">
      <c r="A196">
        <f t="shared" si="3"/>
        <v>195</v>
      </c>
      <c r="B196">
        <v>6</v>
      </c>
      <c r="C196" t="str" cm="1">
        <f t="array" ref="C196">GetValue("Eng",B196,"Name")</f>
        <v>Interbase</v>
      </c>
      <c r="D196">
        <v>5</v>
      </c>
      <c r="E196" t="str" cm="1">
        <f t="array" ref="E196">GetValue("Typ",D196,"Name")</f>
        <v>date</v>
      </c>
      <c r="F196" t="s">
        <v>227</v>
      </c>
    </row>
    <row r="197" spans="1:8">
      <c r="A197">
        <f t="shared" si="3"/>
        <v>196</v>
      </c>
      <c r="B197">
        <v>6</v>
      </c>
      <c r="C197" t="str" cm="1">
        <f t="array" ref="C197">GetValue("Eng",B197,"Name")</f>
        <v>Interbase</v>
      </c>
      <c r="D197">
        <v>6</v>
      </c>
      <c r="E197" t="str" cm="1">
        <f t="array" ref="E197">GetValue("Typ",D197,"Name")</f>
        <v>datetime</v>
      </c>
      <c r="F197" t="s">
        <v>228</v>
      </c>
    </row>
    <row r="198" spans="1:8">
      <c r="A198">
        <f t="shared" si="3"/>
        <v>197</v>
      </c>
      <c r="B198">
        <v>6</v>
      </c>
      <c r="C198" t="str" cm="1">
        <f t="array" ref="C198">GetValue("Eng",B198,"Name")</f>
        <v>Interbase</v>
      </c>
      <c r="D198">
        <v>7</v>
      </c>
      <c r="E198" t="str" cm="1">
        <f t="array" ref="E198">GetValue("Typ",D198,"Name")</f>
        <v>datetime2(s)</v>
      </c>
      <c r="F198" t="s">
        <v>228</v>
      </c>
    </row>
    <row r="199" spans="1:8">
      <c r="A199">
        <f t="shared" si="3"/>
        <v>198</v>
      </c>
      <c r="B199">
        <v>6</v>
      </c>
      <c r="C199" t="str" cm="1">
        <f t="array" ref="C199">GetValue("Eng",B199,"Name")</f>
        <v>Interbase</v>
      </c>
      <c r="D199">
        <v>8</v>
      </c>
      <c r="E199" t="str" cm="1">
        <f t="array" ref="E199">GetValue("Typ",D199,"Name")</f>
        <v>datetimeoffset(s)</v>
      </c>
      <c r="F199" t="s">
        <v>229</v>
      </c>
    </row>
    <row r="200" spans="1:8">
      <c r="A200">
        <f t="shared" si="3"/>
        <v>199</v>
      </c>
      <c r="B200">
        <v>6</v>
      </c>
      <c r="C200" t="str" cm="1">
        <f t="array" ref="C200">GetValue("Eng",B200,"Name")</f>
        <v>Interbase</v>
      </c>
      <c r="D200">
        <v>9</v>
      </c>
      <c r="E200" t="str" cm="1">
        <f t="array" ref="E200">GetValue("Typ",D200,"Name")</f>
        <v>decimal(p ,s)</v>
      </c>
      <c r="F200" t="s">
        <v>267</v>
      </c>
    </row>
    <row r="201" spans="1:8">
      <c r="A201">
        <f t="shared" si="3"/>
        <v>200</v>
      </c>
      <c r="B201">
        <v>6</v>
      </c>
      <c r="C201" t="str" cm="1">
        <f t="array" ref="C201">GetValue("Eng",B201,"Name")</f>
        <v>Interbase</v>
      </c>
      <c r="D201">
        <v>10</v>
      </c>
      <c r="E201" t="str" cm="1">
        <f t="array" ref="E201">GetValue("Typ",D201,"Name")</f>
        <v>float(n)</v>
      </c>
      <c r="F201" t="s">
        <v>236</v>
      </c>
    </row>
    <row r="202" spans="1:8">
      <c r="A202">
        <f t="shared" si="3"/>
        <v>201</v>
      </c>
      <c r="B202">
        <v>6</v>
      </c>
      <c r="C202" t="str" cm="1">
        <f t="array" ref="C202">GetValue("Eng",B202,"Name")</f>
        <v>Interbase</v>
      </c>
      <c r="D202">
        <v>11</v>
      </c>
      <c r="E202" t="str" cm="1">
        <f t="array" ref="E202">GetValue("Typ",D202,"Name")</f>
        <v>geography</v>
      </c>
    </row>
    <row r="203" spans="1:8">
      <c r="A203">
        <f t="shared" si="3"/>
        <v>202</v>
      </c>
      <c r="B203">
        <v>6</v>
      </c>
      <c r="C203" t="str" cm="1">
        <f t="array" ref="C203">GetValue("Eng",B203,"Name")</f>
        <v>Interbase</v>
      </c>
      <c r="D203">
        <v>12</v>
      </c>
      <c r="E203" t="str" cm="1">
        <f t="array" ref="E203">GetValue("Typ",D203,"Name")</f>
        <v>geometry</v>
      </c>
    </row>
    <row r="204" spans="1:8">
      <c r="A204">
        <f t="shared" si="3"/>
        <v>203</v>
      </c>
      <c r="B204">
        <v>6</v>
      </c>
      <c r="C204" t="str" cm="1">
        <f t="array" ref="C204">GetValue("Eng",B204,"Name")</f>
        <v>Interbase</v>
      </c>
      <c r="D204">
        <v>13</v>
      </c>
      <c r="E204" t="str" cm="1">
        <f t="array" ref="E204">GetValue("Typ",D204,"Name")</f>
        <v>hierarchyid</v>
      </c>
    </row>
    <row r="205" spans="1:8">
      <c r="A205">
        <f t="shared" si="3"/>
        <v>204</v>
      </c>
      <c r="B205">
        <v>6</v>
      </c>
      <c r="C205" t="str" cm="1">
        <f t="array" ref="C205">GetValue("Eng",B205,"Name")</f>
        <v>Interbase</v>
      </c>
      <c r="D205">
        <v>14</v>
      </c>
      <c r="E205" t="str" cm="1">
        <f t="array" ref="E205">GetValue("Typ",D205,"Name")</f>
        <v>image</v>
      </c>
      <c r="F205" t="s">
        <v>237</v>
      </c>
    </row>
    <row r="206" spans="1:8">
      <c r="A206">
        <f t="shared" si="3"/>
        <v>205</v>
      </c>
      <c r="B206">
        <v>6</v>
      </c>
      <c r="C206" t="str" cm="1">
        <f t="array" ref="C206">GetValue("Eng",B206,"Name")</f>
        <v>Interbase</v>
      </c>
      <c r="D206">
        <v>15</v>
      </c>
      <c r="E206" t="str" cm="1">
        <f t="array" ref="E206">GetValue("Typ",D206,"Name")</f>
        <v>int (4 bytes)</v>
      </c>
      <c r="F206" t="s">
        <v>231</v>
      </c>
    </row>
    <row r="207" spans="1:8">
      <c r="A207">
        <f t="shared" si="3"/>
        <v>206</v>
      </c>
      <c r="B207">
        <v>6</v>
      </c>
      <c r="C207" t="str" cm="1">
        <f t="array" ref="C207">GetValue("Eng",B207,"Name")</f>
        <v>Interbase</v>
      </c>
      <c r="D207">
        <v>16</v>
      </c>
      <c r="E207" t="str" cm="1">
        <f t="array" ref="E207">GetValue("Typ",D207,"Name")</f>
        <v>money</v>
      </c>
      <c r="F207" t="s">
        <v>267</v>
      </c>
      <c r="G207">
        <v>19</v>
      </c>
      <c r="H207">
        <v>4</v>
      </c>
    </row>
    <row r="208" spans="1:8">
      <c r="A208">
        <f t="shared" si="3"/>
        <v>207</v>
      </c>
      <c r="B208">
        <v>6</v>
      </c>
      <c r="C208" t="str" cm="1">
        <f t="array" ref="C208">GetValue("Eng",B208,"Name")</f>
        <v>Interbase</v>
      </c>
      <c r="D208">
        <v>17</v>
      </c>
      <c r="E208" t="str" cm="1">
        <f t="array" ref="E208">GetValue("Typ",D208,"Name")</f>
        <v>nchar(n)</v>
      </c>
      <c r="F208" t="s">
        <v>226</v>
      </c>
    </row>
    <row r="209" spans="1:8">
      <c r="A209">
        <f t="shared" si="3"/>
        <v>208</v>
      </c>
      <c r="B209">
        <v>6</v>
      </c>
      <c r="C209" t="str" cm="1">
        <f t="array" ref="C209">GetValue("Eng",B209,"Name")</f>
        <v>Interbase</v>
      </c>
      <c r="D209">
        <v>18</v>
      </c>
      <c r="E209" t="str" cm="1">
        <f t="array" ref="E209">GetValue("Typ",D209,"Name")</f>
        <v>ntext</v>
      </c>
      <c r="F209" t="s">
        <v>275</v>
      </c>
    </row>
    <row r="210" spans="1:8">
      <c r="A210">
        <f t="shared" si="3"/>
        <v>209</v>
      </c>
      <c r="B210">
        <v>6</v>
      </c>
      <c r="C210" t="str" cm="1">
        <f t="array" ref="C210">GetValue("Eng",B210,"Name")</f>
        <v>Interbase</v>
      </c>
      <c r="D210">
        <v>19</v>
      </c>
      <c r="E210" t="str" cm="1">
        <f t="array" ref="E210">GetValue("Typ",D210,"Name")</f>
        <v>numeric(p,s)</v>
      </c>
      <c r="F210" t="s">
        <v>268</v>
      </c>
    </row>
    <row r="211" spans="1:8">
      <c r="A211">
        <f t="shared" si="3"/>
        <v>210</v>
      </c>
      <c r="B211">
        <v>6</v>
      </c>
      <c r="C211" t="str" cm="1">
        <f t="array" ref="C211">GetValue("Eng",B211,"Name")</f>
        <v>Interbase</v>
      </c>
      <c r="D211">
        <v>20</v>
      </c>
      <c r="E211" t="str" cm="1">
        <f t="array" ref="E211">GetValue("Typ",D211,"Name")</f>
        <v>nvarchar(n)</v>
      </c>
      <c r="F211" t="s">
        <v>234</v>
      </c>
    </row>
    <row r="212" spans="1:8">
      <c r="A212">
        <f t="shared" si="3"/>
        <v>211</v>
      </c>
      <c r="B212">
        <v>6</v>
      </c>
      <c r="C212" t="str" cm="1">
        <f t="array" ref="C212">GetValue("Eng",B212,"Name")</f>
        <v>Interbase</v>
      </c>
      <c r="D212">
        <v>21</v>
      </c>
      <c r="E212" t="str" cm="1">
        <f t="array" ref="E212">GetValue("Typ",D212,"Name")</f>
        <v>nvarchar(max)</v>
      </c>
      <c r="F212" t="s">
        <v>275</v>
      </c>
    </row>
    <row r="213" spans="1:8">
      <c r="A213">
        <f t="shared" si="3"/>
        <v>212</v>
      </c>
      <c r="B213">
        <v>6</v>
      </c>
      <c r="C213" t="str" cm="1">
        <f t="array" ref="C213">GetValue("Eng",B213,"Name")</f>
        <v>Interbase</v>
      </c>
      <c r="D213">
        <v>22</v>
      </c>
      <c r="E213" t="str" cm="1">
        <f t="array" ref="E213">GetValue("Typ",D213,"Name")</f>
        <v>real</v>
      </c>
      <c r="F213" t="s">
        <v>238</v>
      </c>
    </row>
    <row r="214" spans="1:8">
      <c r="A214">
        <f t="shared" si="3"/>
        <v>213</v>
      </c>
      <c r="B214">
        <v>6</v>
      </c>
      <c r="C214" t="str" cm="1">
        <f t="array" ref="C214">GetValue("Eng",B214,"Name")</f>
        <v>Interbase</v>
      </c>
      <c r="D214">
        <v>23</v>
      </c>
      <c r="E214" t="str" cm="1">
        <f t="array" ref="E214">GetValue("Typ",D214,"Name")</f>
        <v>smalldatetime</v>
      </c>
      <c r="F214" t="s">
        <v>228</v>
      </c>
    </row>
    <row r="215" spans="1:8">
      <c r="A215">
        <f t="shared" si="3"/>
        <v>214</v>
      </c>
      <c r="B215">
        <v>6</v>
      </c>
      <c r="C215" t="str" cm="1">
        <f t="array" ref="C215">GetValue("Eng",B215,"Name")</f>
        <v>Interbase</v>
      </c>
      <c r="D215">
        <v>24</v>
      </c>
      <c r="E215" t="str" cm="1">
        <f t="array" ref="E215">GetValue("Typ",D215,"Name")</f>
        <v>smallint (2 bytes)</v>
      </c>
      <c r="F215" t="s">
        <v>225</v>
      </c>
    </row>
    <row r="216" spans="1:8">
      <c r="A216">
        <f t="shared" si="3"/>
        <v>215</v>
      </c>
      <c r="B216">
        <v>6</v>
      </c>
      <c r="C216" t="str" cm="1">
        <f t="array" ref="C216">GetValue("Eng",B216,"Name")</f>
        <v>Interbase</v>
      </c>
      <c r="D216">
        <v>25</v>
      </c>
      <c r="E216" t="str" cm="1">
        <f t="array" ref="E216">GetValue("Typ",D216,"Name")</f>
        <v>smallmoney</v>
      </c>
      <c r="F216" t="s">
        <v>267</v>
      </c>
      <c r="G216">
        <v>10</v>
      </c>
      <c r="H216">
        <v>4</v>
      </c>
    </row>
    <row r="217" spans="1:8">
      <c r="A217">
        <f t="shared" si="3"/>
        <v>216</v>
      </c>
      <c r="B217">
        <v>6</v>
      </c>
      <c r="C217" t="str" cm="1">
        <f t="array" ref="C217">GetValue("Eng",B217,"Name")</f>
        <v>Interbase</v>
      </c>
      <c r="D217">
        <v>26</v>
      </c>
      <c r="E217" t="str" cm="1">
        <f t="array" ref="E217">GetValue("Typ",D217,"Name")</f>
        <v>sql_variant</v>
      </c>
      <c r="F217" t="s">
        <v>275</v>
      </c>
    </row>
    <row r="218" spans="1:8">
      <c r="A218">
        <f t="shared" si="3"/>
        <v>217</v>
      </c>
      <c r="B218">
        <v>6</v>
      </c>
      <c r="C218" t="str" cm="1">
        <f t="array" ref="C218">GetValue("Eng",B218,"Name")</f>
        <v>Interbase</v>
      </c>
      <c r="D218">
        <v>27</v>
      </c>
      <c r="E218" t="str" cm="1">
        <f t="array" ref="E218">GetValue("Typ",D218,"Name")</f>
        <v>sysname</v>
      </c>
      <c r="F218" t="s">
        <v>234</v>
      </c>
      <c r="G218">
        <v>31</v>
      </c>
    </row>
    <row r="219" spans="1:8">
      <c r="A219">
        <f t="shared" si="3"/>
        <v>218</v>
      </c>
      <c r="B219">
        <v>6</v>
      </c>
      <c r="C219" t="str" cm="1">
        <f t="array" ref="C219">GetValue("Eng",B219,"Name")</f>
        <v>Interbase</v>
      </c>
      <c r="D219">
        <v>28</v>
      </c>
      <c r="E219" t="str" cm="1">
        <f t="array" ref="E219">GetValue("Typ",D219,"Name")</f>
        <v>text</v>
      </c>
      <c r="F219" t="s">
        <v>275</v>
      </c>
    </row>
    <row r="220" spans="1:8">
      <c r="A220">
        <f t="shared" si="3"/>
        <v>219</v>
      </c>
      <c r="B220">
        <v>6</v>
      </c>
      <c r="C220" t="str" cm="1">
        <f t="array" ref="C220">GetValue("Eng",B220,"Name")</f>
        <v>Interbase</v>
      </c>
      <c r="D220">
        <v>29</v>
      </c>
      <c r="E220" t="str" cm="1">
        <f t="array" ref="E220">GetValue("Typ",D220,"Name")</f>
        <v>time(s)</v>
      </c>
      <c r="F220" t="s">
        <v>233</v>
      </c>
    </row>
    <row r="221" spans="1:8">
      <c r="A221">
        <f t="shared" si="3"/>
        <v>220</v>
      </c>
      <c r="B221">
        <v>6</v>
      </c>
      <c r="C221" t="str" cm="1">
        <f t="array" ref="C221">GetValue("Eng",B221,"Name")</f>
        <v>Interbase</v>
      </c>
      <c r="D221">
        <v>30</v>
      </c>
      <c r="E221" t="str" cm="1">
        <f t="array" ref="E221">GetValue("Typ",D221,"Name")</f>
        <v>timestamp</v>
      </c>
      <c r="F221" t="s">
        <v>228</v>
      </c>
    </row>
    <row r="222" spans="1:8">
      <c r="A222">
        <f t="shared" si="3"/>
        <v>221</v>
      </c>
      <c r="B222">
        <v>6</v>
      </c>
      <c r="C222" t="str" cm="1">
        <f t="array" ref="C222">GetValue("Eng",B222,"Name")</f>
        <v>Interbase</v>
      </c>
      <c r="D222">
        <v>31</v>
      </c>
      <c r="E222" t="str" cm="1">
        <f t="array" ref="E222">GetValue("Typ",D222,"Name")</f>
        <v>tinyint (1 byte)</v>
      </c>
      <c r="F222" t="s">
        <v>225</v>
      </c>
    </row>
    <row r="223" spans="1:8">
      <c r="A223">
        <f t="shared" si="3"/>
        <v>222</v>
      </c>
      <c r="B223">
        <v>6</v>
      </c>
      <c r="C223" t="str" cm="1">
        <f t="array" ref="C223">GetValue("Eng",B223,"Name")</f>
        <v>Interbase</v>
      </c>
      <c r="D223">
        <v>32</v>
      </c>
      <c r="E223" t="str" cm="1">
        <f t="array" ref="E223">GetValue("Typ",D223,"Name")</f>
        <v>uniqueidentifier</v>
      </c>
      <c r="F223" t="s">
        <v>226</v>
      </c>
      <c r="G223">
        <v>38</v>
      </c>
    </row>
    <row r="224" spans="1:8">
      <c r="A224">
        <f t="shared" si="3"/>
        <v>223</v>
      </c>
      <c r="B224">
        <v>6</v>
      </c>
      <c r="C224" t="str" cm="1">
        <f t="array" ref="C224">GetValue("Eng",B224,"Name")</f>
        <v>Interbase</v>
      </c>
      <c r="D224">
        <v>33</v>
      </c>
      <c r="E224" t="str" cm="1">
        <f t="array" ref="E224">GetValue("Typ",D224,"Name")</f>
        <v>varbinary(n)</v>
      </c>
      <c r="F224" t="s">
        <v>237</v>
      </c>
    </row>
    <row r="225" spans="1:6">
      <c r="A225">
        <f t="shared" si="3"/>
        <v>224</v>
      </c>
      <c r="B225">
        <v>6</v>
      </c>
      <c r="C225" t="str" cm="1">
        <f t="array" ref="C225">GetValue("Eng",B225,"Name")</f>
        <v>Interbase</v>
      </c>
      <c r="D225">
        <v>34</v>
      </c>
      <c r="E225" t="str" cm="1">
        <f t="array" ref="E225">GetValue("Typ",D225,"Name")</f>
        <v>varbinary(max)</v>
      </c>
      <c r="F225" t="s">
        <v>276</v>
      </c>
    </row>
    <row r="226" spans="1:6">
      <c r="A226">
        <f t="shared" si="3"/>
        <v>225</v>
      </c>
      <c r="B226">
        <v>6</v>
      </c>
      <c r="C226" t="str" cm="1">
        <f t="array" ref="C226">GetValue("Eng",B226,"Name")</f>
        <v>Interbase</v>
      </c>
      <c r="D226">
        <v>35</v>
      </c>
      <c r="E226" t="str" cm="1">
        <f t="array" ref="E226">GetValue("Typ",D226,"Name")</f>
        <v>varchar(n)</v>
      </c>
      <c r="F226" t="s">
        <v>234</v>
      </c>
    </row>
    <row r="227" spans="1:6">
      <c r="A227">
        <f t="shared" si="3"/>
        <v>226</v>
      </c>
      <c r="B227">
        <v>6</v>
      </c>
      <c r="C227" t="str" cm="1">
        <f t="array" ref="C227">GetValue("Eng",B227,"Name")</f>
        <v>Interbase</v>
      </c>
      <c r="D227">
        <v>36</v>
      </c>
      <c r="E227" t="str" cm="1">
        <f t="array" ref="E227">GetValue("Typ",D227,"Name")</f>
        <v>varchar(max)</v>
      </c>
      <c r="F227" t="s">
        <v>275</v>
      </c>
    </row>
    <row r="228" spans="1:6">
      <c r="A228">
        <f t="shared" si="3"/>
        <v>227</v>
      </c>
      <c r="B228">
        <v>6</v>
      </c>
      <c r="C228" t="str" cm="1">
        <f t="array" ref="C228">GetValue("Eng",B228,"Name")</f>
        <v>Interbase</v>
      </c>
      <c r="D228">
        <v>37</v>
      </c>
      <c r="E228" t="str" cm="1">
        <f t="array" ref="E228">GetValue("Typ",D228,"Name")</f>
        <v>xml</v>
      </c>
      <c r="F228" t="s">
        <v>275</v>
      </c>
    </row>
    <row r="229" spans="1:6">
      <c r="A229">
        <f t="shared" si="3"/>
        <v>228</v>
      </c>
      <c r="B229">
        <v>6</v>
      </c>
      <c r="C229" t="str" cm="1">
        <f t="array" ref="C229">GetValue("Eng",B229,"Name")</f>
        <v>Interbase</v>
      </c>
      <c r="D229">
        <v>38</v>
      </c>
      <c r="E229" t="str" cm="1">
        <f t="array" ref="E229">GetValue("Typ",D229,"Name")</f>
        <v>json</v>
      </c>
      <c r="F229" t="s">
        <v>275</v>
      </c>
    </row>
    <row r="230" spans="1:6">
      <c r="A230">
        <f t="shared" si="3"/>
        <v>229</v>
      </c>
      <c r="B230">
        <v>7</v>
      </c>
      <c r="C230" t="str" cm="1">
        <f t="array" ref="C230">GetValue("Eng",B230,"Name")</f>
        <v>SQL Anywhere</v>
      </c>
      <c r="D230">
        <v>1</v>
      </c>
      <c r="E230" t="str" cm="1">
        <f t="array" ref="E230">GetValue("Typ",D230,"Name")</f>
        <v>bigint (8 bytes)</v>
      </c>
      <c r="F230" t="s">
        <v>224</v>
      </c>
    </row>
    <row r="231" spans="1:6">
      <c r="A231">
        <f t="shared" si="3"/>
        <v>230</v>
      </c>
      <c r="B231">
        <v>7</v>
      </c>
      <c r="C231" t="str" cm="1">
        <f t="array" ref="C231">GetValue("Eng",B231,"Name")</f>
        <v>SQL Anywhere</v>
      </c>
      <c r="D231">
        <v>2</v>
      </c>
      <c r="E231" t="str" cm="1">
        <f t="array" ref="E231">GetValue("Typ",D231,"Name")</f>
        <v>binary</v>
      </c>
      <c r="F231" t="s">
        <v>243</v>
      </c>
    </row>
    <row r="232" spans="1:6">
      <c r="A232">
        <f t="shared" si="3"/>
        <v>231</v>
      </c>
      <c r="B232">
        <v>7</v>
      </c>
      <c r="C232" t="str" cm="1">
        <f t="array" ref="C232">GetValue("Eng",B232,"Name")</f>
        <v>SQL Anywhere</v>
      </c>
      <c r="D232">
        <v>3</v>
      </c>
      <c r="E232" t="str" cm="1">
        <f t="array" ref="E232">GetValue("Typ",D232,"Name")</f>
        <v>bit (1 bit)</v>
      </c>
      <c r="F232" t="s">
        <v>225</v>
      </c>
    </row>
    <row r="233" spans="1:6">
      <c r="A233">
        <f t="shared" si="3"/>
        <v>232</v>
      </c>
      <c r="B233">
        <v>7</v>
      </c>
      <c r="C233" t="str" cm="1">
        <f t="array" ref="C233">GetValue("Eng",B233,"Name")</f>
        <v>SQL Anywhere</v>
      </c>
      <c r="D233">
        <v>4</v>
      </c>
      <c r="E233" t="str" cm="1">
        <f t="array" ref="E233">GetValue("Typ",D233,"Name")</f>
        <v>char(n)</v>
      </c>
      <c r="F233" t="s">
        <v>226</v>
      </c>
    </row>
    <row r="234" spans="1:6">
      <c r="A234">
        <f t="shared" si="3"/>
        <v>233</v>
      </c>
      <c r="B234">
        <v>7</v>
      </c>
      <c r="C234" t="str" cm="1">
        <f t="array" ref="C234">GetValue("Eng",B234,"Name")</f>
        <v>SQL Anywhere</v>
      </c>
      <c r="D234">
        <v>5</v>
      </c>
      <c r="E234" t="str" cm="1">
        <f t="array" ref="E234">GetValue("Typ",D234,"Name")</f>
        <v>date</v>
      </c>
      <c r="F234" t="s">
        <v>227</v>
      </c>
    </row>
    <row r="235" spans="1:6">
      <c r="A235">
        <f t="shared" si="3"/>
        <v>234</v>
      </c>
      <c r="B235">
        <v>7</v>
      </c>
      <c r="C235" t="str" cm="1">
        <f t="array" ref="C235">GetValue("Eng",B235,"Name")</f>
        <v>SQL Anywhere</v>
      </c>
      <c r="D235">
        <v>6</v>
      </c>
      <c r="E235" t="str" cm="1">
        <f t="array" ref="E235">GetValue("Typ",D235,"Name")</f>
        <v>datetime</v>
      </c>
      <c r="F235" t="s">
        <v>228</v>
      </c>
    </row>
    <row r="236" spans="1:6">
      <c r="A236">
        <f t="shared" si="3"/>
        <v>235</v>
      </c>
      <c r="B236">
        <v>7</v>
      </c>
      <c r="C236" t="str" cm="1">
        <f t="array" ref="C236">GetValue("Eng",B236,"Name")</f>
        <v>SQL Anywhere</v>
      </c>
      <c r="D236">
        <v>7</v>
      </c>
      <c r="E236" t="str" cm="1">
        <f t="array" ref="E236">GetValue("Typ",D236,"Name")</f>
        <v>datetime2(s)</v>
      </c>
      <c r="F236" t="s">
        <v>228</v>
      </c>
    </row>
    <row r="237" spans="1:6">
      <c r="A237">
        <f t="shared" si="3"/>
        <v>236</v>
      </c>
      <c r="B237">
        <v>7</v>
      </c>
      <c r="C237" t="str" cm="1">
        <f t="array" ref="C237">GetValue("Eng",B237,"Name")</f>
        <v>SQL Anywhere</v>
      </c>
      <c r="D237">
        <v>8</v>
      </c>
      <c r="E237" t="str" cm="1">
        <f t="array" ref="E237">GetValue("Typ",D237,"Name")</f>
        <v>datetimeoffset(s)</v>
      </c>
      <c r="F237" t="s">
        <v>229</v>
      </c>
    </row>
    <row r="238" spans="1:6">
      <c r="A238">
        <f t="shared" si="3"/>
        <v>237</v>
      </c>
      <c r="B238">
        <v>7</v>
      </c>
      <c r="C238" t="str" cm="1">
        <f t="array" ref="C238">GetValue("Eng",B238,"Name")</f>
        <v>SQL Anywhere</v>
      </c>
      <c r="D238">
        <v>9</v>
      </c>
      <c r="E238" t="str" cm="1">
        <f t="array" ref="E238">GetValue("Typ",D238,"Name")</f>
        <v>decimal(p ,s)</v>
      </c>
      <c r="F238" t="s">
        <v>267</v>
      </c>
    </row>
    <row r="239" spans="1:6">
      <c r="A239">
        <f t="shared" si="3"/>
        <v>238</v>
      </c>
      <c r="B239">
        <v>7</v>
      </c>
      <c r="C239" t="str" cm="1">
        <f t="array" ref="C239">GetValue("Eng",B239,"Name")</f>
        <v>SQL Anywhere</v>
      </c>
      <c r="D239">
        <v>10</v>
      </c>
      <c r="E239" t="str" cm="1">
        <f t="array" ref="E239">GetValue("Typ",D239,"Name")</f>
        <v>float(n)</v>
      </c>
      <c r="F239" t="s">
        <v>236</v>
      </c>
    </row>
    <row r="240" spans="1:6">
      <c r="A240">
        <f t="shared" si="3"/>
        <v>239</v>
      </c>
      <c r="B240">
        <v>7</v>
      </c>
      <c r="C240" t="str" cm="1">
        <f t="array" ref="C240">GetValue("Eng",B240,"Name")</f>
        <v>SQL Anywhere</v>
      </c>
      <c r="D240">
        <v>11</v>
      </c>
      <c r="E240" t="str" cm="1">
        <f t="array" ref="E240">GetValue("Typ",D240,"Name")</f>
        <v>geography</v>
      </c>
    </row>
    <row r="241" spans="1:8">
      <c r="A241">
        <f t="shared" si="3"/>
        <v>240</v>
      </c>
      <c r="B241">
        <v>7</v>
      </c>
      <c r="C241" t="str" cm="1">
        <f t="array" ref="C241">GetValue("Eng",B241,"Name")</f>
        <v>SQL Anywhere</v>
      </c>
      <c r="D241">
        <v>12</v>
      </c>
      <c r="E241" t="str" cm="1">
        <f t="array" ref="E241">GetValue("Typ",D241,"Name")</f>
        <v>geometry</v>
      </c>
    </row>
    <row r="242" spans="1:8">
      <c r="A242">
        <f t="shared" si="3"/>
        <v>241</v>
      </c>
      <c r="B242">
        <v>7</v>
      </c>
      <c r="C242" t="str" cm="1">
        <f t="array" ref="C242">GetValue("Eng",B242,"Name")</f>
        <v>SQL Anywhere</v>
      </c>
      <c r="D242">
        <v>13</v>
      </c>
      <c r="E242" t="str" cm="1">
        <f t="array" ref="E242">GetValue("Typ",D242,"Name")</f>
        <v>hierarchyid</v>
      </c>
    </row>
    <row r="243" spans="1:8">
      <c r="A243">
        <f t="shared" si="3"/>
        <v>242</v>
      </c>
      <c r="B243">
        <v>7</v>
      </c>
      <c r="C243" t="str" cm="1">
        <f t="array" ref="C243">GetValue("Eng",B243,"Name")</f>
        <v>SQL Anywhere</v>
      </c>
      <c r="D243">
        <v>14</v>
      </c>
      <c r="E243" t="str" cm="1">
        <f t="array" ref="E243">GetValue("Typ",D243,"Name")</f>
        <v>image</v>
      </c>
      <c r="F243" t="s">
        <v>279</v>
      </c>
    </row>
    <row r="244" spans="1:8">
      <c r="A244">
        <f t="shared" si="3"/>
        <v>243</v>
      </c>
      <c r="B244">
        <v>7</v>
      </c>
      <c r="C244" t="str" cm="1">
        <f t="array" ref="C244">GetValue("Eng",B244,"Name")</f>
        <v>SQL Anywhere</v>
      </c>
      <c r="D244">
        <v>15</v>
      </c>
      <c r="E244" t="str" cm="1">
        <f t="array" ref="E244">GetValue("Typ",D244,"Name")</f>
        <v>int (4 bytes)</v>
      </c>
      <c r="F244" t="s">
        <v>231</v>
      </c>
    </row>
    <row r="245" spans="1:8">
      <c r="A245">
        <f t="shared" si="3"/>
        <v>244</v>
      </c>
      <c r="B245">
        <v>7</v>
      </c>
      <c r="C245" t="str" cm="1">
        <f t="array" ref="C245">GetValue("Eng",B245,"Name")</f>
        <v>SQL Anywhere</v>
      </c>
      <c r="D245">
        <v>16</v>
      </c>
      <c r="E245" t="str" cm="1">
        <f t="array" ref="E245">GetValue("Typ",D245,"Name")</f>
        <v>money</v>
      </c>
      <c r="F245" t="s">
        <v>267</v>
      </c>
      <c r="G245">
        <v>19</v>
      </c>
      <c r="H245">
        <v>4</v>
      </c>
    </row>
    <row r="246" spans="1:8">
      <c r="A246">
        <f t="shared" si="3"/>
        <v>245</v>
      </c>
      <c r="B246">
        <v>7</v>
      </c>
      <c r="C246" t="str" cm="1">
        <f t="array" ref="C246">GetValue("Eng",B246,"Name")</f>
        <v>SQL Anywhere</v>
      </c>
      <c r="D246">
        <v>17</v>
      </c>
      <c r="E246" t="str" cm="1">
        <f t="array" ref="E246">GetValue("Typ",D246,"Name")</f>
        <v>nchar(n)</v>
      </c>
      <c r="F246" t="s">
        <v>226</v>
      </c>
    </row>
    <row r="247" spans="1:8">
      <c r="A247">
        <f t="shared" si="3"/>
        <v>246</v>
      </c>
      <c r="B247">
        <v>7</v>
      </c>
      <c r="C247" t="str" cm="1">
        <f t="array" ref="C247">GetValue("Eng",B247,"Name")</f>
        <v>SQL Anywhere</v>
      </c>
      <c r="D247">
        <v>18</v>
      </c>
      <c r="E247" t="str" cm="1">
        <f t="array" ref="E247">GetValue("Typ",D247,"Name")</f>
        <v>ntext</v>
      </c>
      <c r="F247" t="s">
        <v>278</v>
      </c>
    </row>
    <row r="248" spans="1:8">
      <c r="A248">
        <f t="shared" si="3"/>
        <v>247</v>
      </c>
      <c r="B248">
        <v>7</v>
      </c>
      <c r="C248" t="str" cm="1">
        <f t="array" ref="C248">GetValue("Eng",B248,"Name")</f>
        <v>SQL Anywhere</v>
      </c>
      <c r="D248">
        <v>19</v>
      </c>
      <c r="E248" t="str" cm="1">
        <f t="array" ref="E248">GetValue("Typ",D248,"Name")</f>
        <v>numeric(p,s)</v>
      </c>
      <c r="F248" t="s">
        <v>268</v>
      </c>
    </row>
    <row r="249" spans="1:8">
      <c r="A249">
        <f t="shared" si="3"/>
        <v>248</v>
      </c>
      <c r="B249">
        <v>7</v>
      </c>
      <c r="C249" t="str" cm="1">
        <f t="array" ref="C249">GetValue("Eng",B249,"Name")</f>
        <v>SQL Anywhere</v>
      </c>
      <c r="D249">
        <v>20</v>
      </c>
      <c r="E249" t="str" cm="1">
        <f t="array" ref="E249">GetValue("Typ",D249,"Name")</f>
        <v>nvarchar(n)</v>
      </c>
      <c r="F249" t="s">
        <v>234</v>
      </c>
    </row>
    <row r="250" spans="1:8">
      <c r="A250">
        <f t="shared" si="3"/>
        <v>249</v>
      </c>
      <c r="B250">
        <v>7</v>
      </c>
      <c r="C250" t="str" cm="1">
        <f t="array" ref="C250">GetValue("Eng",B250,"Name")</f>
        <v>SQL Anywhere</v>
      </c>
      <c r="D250">
        <v>21</v>
      </c>
      <c r="E250" t="str" cm="1">
        <f t="array" ref="E250">GetValue("Typ",D250,"Name")</f>
        <v>nvarchar(max)</v>
      </c>
      <c r="F250" t="s">
        <v>278</v>
      </c>
    </row>
    <row r="251" spans="1:8">
      <c r="A251">
        <f t="shared" si="3"/>
        <v>250</v>
      </c>
      <c r="B251">
        <v>7</v>
      </c>
      <c r="C251" t="str" cm="1">
        <f t="array" ref="C251">GetValue("Eng",B251,"Name")</f>
        <v>SQL Anywhere</v>
      </c>
      <c r="D251">
        <v>22</v>
      </c>
      <c r="E251" t="str" cm="1">
        <f t="array" ref="E251">GetValue("Typ",D251,"Name")</f>
        <v>real</v>
      </c>
      <c r="F251" t="s">
        <v>238</v>
      </c>
    </row>
    <row r="252" spans="1:8">
      <c r="A252">
        <f t="shared" si="3"/>
        <v>251</v>
      </c>
      <c r="B252">
        <v>7</v>
      </c>
      <c r="C252" t="str" cm="1">
        <f t="array" ref="C252">GetValue("Eng",B252,"Name")</f>
        <v>SQL Anywhere</v>
      </c>
      <c r="D252">
        <v>23</v>
      </c>
      <c r="E252" t="str" cm="1">
        <f t="array" ref="E252">GetValue("Typ",D252,"Name")</f>
        <v>smalldatetime</v>
      </c>
      <c r="F252" t="s">
        <v>228</v>
      </c>
    </row>
    <row r="253" spans="1:8">
      <c r="A253">
        <f t="shared" si="3"/>
        <v>252</v>
      </c>
      <c r="B253">
        <v>7</v>
      </c>
      <c r="C253" t="str" cm="1">
        <f t="array" ref="C253">GetValue("Eng",B253,"Name")</f>
        <v>SQL Anywhere</v>
      </c>
      <c r="D253">
        <v>24</v>
      </c>
      <c r="E253" t="str" cm="1">
        <f t="array" ref="E253">GetValue("Typ",D253,"Name")</f>
        <v>smallint (2 bytes)</v>
      </c>
      <c r="F253" t="s">
        <v>225</v>
      </c>
    </row>
    <row r="254" spans="1:8">
      <c r="A254">
        <f t="shared" si="3"/>
        <v>253</v>
      </c>
      <c r="B254">
        <v>7</v>
      </c>
      <c r="C254" t="str" cm="1">
        <f t="array" ref="C254">GetValue("Eng",B254,"Name")</f>
        <v>SQL Anywhere</v>
      </c>
      <c r="D254">
        <v>25</v>
      </c>
      <c r="E254" t="str" cm="1">
        <f t="array" ref="E254">GetValue("Typ",D254,"Name")</f>
        <v>smallmoney</v>
      </c>
      <c r="F254" t="s">
        <v>267</v>
      </c>
      <c r="G254">
        <v>10</v>
      </c>
      <c r="H254">
        <v>4</v>
      </c>
    </row>
    <row r="255" spans="1:8">
      <c r="A255">
        <f t="shared" si="3"/>
        <v>254</v>
      </c>
      <c r="B255">
        <v>7</v>
      </c>
      <c r="C255" t="str" cm="1">
        <f t="array" ref="C255">GetValue("Eng",B255,"Name")</f>
        <v>SQL Anywhere</v>
      </c>
      <c r="D255">
        <v>26</v>
      </c>
      <c r="E255" t="str" cm="1">
        <f t="array" ref="E255">GetValue("Typ",D255,"Name")</f>
        <v>sql_variant</v>
      </c>
      <c r="F255" t="s">
        <v>278</v>
      </c>
    </row>
    <row r="256" spans="1:8">
      <c r="A256">
        <f t="shared" si="3"/>
        <v>255</v>
      </c>
      <c r="B256">
        <v>7</v>
      </c>
      <c r="C256" t="str" cm="1">
        <f t="array" ref="C256">GetValue("Eng",B256,"Name")</f>
        <v>SQL Anywhere</v>
      </c>
      <c r="D256">
        <v>27</v>
      </c>
      <c r="E256" t="str" cm="1">
        <f t="array" ref="E256">GetValue("Typ",D256,"Name")</f>
        <v>sysname</v>
      </c>
      <c r="F256" t="s">
        <v>234</v>
      </c>
      <c r="G256">
        <v>128</v>
      </c>
    </row>
    <row r="257" spans="1:7">
      <c r="A257">
        <f t="shared" si="3"/>
        <v>256</v>
      </c>
      <c r="B257">
        <v>7</v>
      </c>
      <c r="C257" t="str" cm="1">
        <f t="array" ref="C257">GetValue("Eng",B257,"Name")</f>
        <v>SQL Anywhere</v>
      </c>
      <c r="D257">
        <v>28</v>
      </c>
      <c r="E257" t="str" cm="1">
        <f t="array" ref="E257">GetValue("Typ",D257,"Name")</f>
        <v>text</v>
      </c>
      <c r="F257" t="s">
        <v>278</v>
      </c>
    </row>
    <row r="258" spans="1:7">
      <c r="A258">
        <f t="shared" si="3"/>
        <v>257</v>
      </c>
      <c r="B258">
        <v>7</v>
      </c>
      <c r="C258" t="str" cm="1">
        <f t="array" ref="C258">GetValue("Eng",B258,"Name")</f>
        <v>SQL Anywhere</v>
      </c>
      <c r="D258">
        <v>29</v>
      </c>
      <c r="E258" t="str" cm="1">
        <f t="array" ref="E258">GetValue("Typ",D258,"Name")</f>
        <v>time(s)</v>
      </c>
      <c r="F258" t="s">
        <v>233</v>
      </c>
    </row>
    <row r="259" spans="1:7">
      <c r="A259">
        <f t="shared" ref="A259:A322" si="4">ROW(A259)-1</f>
        <v>258</v>
      </c>
      <c r="B259">
        <v>7</v>
      </c>
      <c r="C259" t="str" cm="1">
        <f t="array" ref="C259">GetValue("Eng",B259,"Name")</f>
        <v>SQL Anywhere</v>
      </c>
      <c r="D259">
        <v>30</v>
      </c>
      <c r="E259" t="str" cm="1">
        <f t="array" ref="E259">GetValue("Typ",D259,"Name")</f>
        <v>timestamp</v>
      </c>
      <c r="F259" t="s">
        <v>228</v>
      </c>
    </row>
    <row r="260" spans="1:7">
      <c r="A260">
        <f t="shared" si="4"/>
        <v>259</v>
      </c>
      <c r="B260">
        <v>7</v>
      </c>
      <c r="C260" t="str" cm="1">
        <f t="array" ref="C260">GetValue("Eng",B260,"Name")</f>
        <v>SQL Anywhere</v>
      </c>
      <c r="D260">
        <v>31</v>
      </c>
      <c r="E260" t="str" cm="1">
        <f t="array" ref="E260">GetValue("Typ",D260,"Name")</f>
        <v>tinyint (1 byte)</v>
      </c>
      <c r="F260" t="s">
        <v>225</v>
      </c>
    </row>
    <row r="261" spans="1:7">
      <c r="A261">
        <f t="shared" si="4"/>
        <v>260</v>
      </c>
      <c r="B261">
        <v>7</v>
      </c>
      <c r="C261" t="str" cm="1">
        <f t="array" ref="C261">GetValue("Eng",B261,"Name")</f>
        <v>SQL Anywhere</v>
      </c>
      <c r="D261">
        <v>32</v>
      </c>
      <c r="E261" t="str" cm="1">
        <f t="array" ref="E261">GetValue("Typ",D261,"Name")</f>
        <v>uniqueidentifier</v>
      </c>
      <c r="F261" t="s">
        <v>226</v>
      </c>
      <c r="G261">
        <v>38</v>
      </c>
    </row>
    <row r="262" spans="1:7">
      <c r="A262">
        <f t="shared" si="4"/>
        <v>261</v>
      </c>
      <c r="B262">
        <v>7</v>
      </c>
      <c r="C262" t="str" cm="1">
        <f t="array" ref="C262">GetValue("Eng",B262,"Name")</f>
        <v>SQL Anywhere</v>
      </c>
      <c r="D262">
        <v>33</v>
      </c>
      <c r="E262" t="str" cm="1">
        <f t="array" ref="E262">GetValue("Typ",D262,"Name")</f>
        <v>varbinary(n)</v>
      </c>
      <c r="F262" t="s">
        <v>279</v>
      </c>
    </row>
    <row r="263" spans="1:7">
      <c r="A263">
        <f t="shared" si="4"/>
        <v>262</v>
      </c>
      <c r="B263">
        <v>7</v>
      </c>
      <c r="C263" t="str" cm="1">
        <f t="array" ref="C263">GetValue("Eng",B263,"Name")</f>
        <v>SQL Anywhere</v>
      </c>
      <c r="D263">
        <v>34</v>
      </c>
      <c r="E263" t="str" cm="1">
        <f t="array" ref="E263">GetValue("Typ",D263,"Name")</f>
        <v>varbinary(max)</v>
      </c>
      <c r="F263" t="s">
        <v>276</v>
      </c>
    </row>
    <row r="264" spans="1:7">
      <c r="A264">
        <f t="shared" si="4"/>
        <v>263</v>
      </c>
      <c r="B264">
        <v>7</v>
      </c>
      <c r="C264" t="str" cm="1">
        <f t="array" ref="C264">GetValue("Eng",B264,"Name")</f>
        <v>SQL Anywhere</v>
      </c>
      <c r="D264">
        <v>35</v>
      </c>
      <c r="E264" t="str" cm="1">
        <f t="array" ref="E264">GetValue("Typ",D264,"Name")</f>
        <v>varchar(n)</v>
      </c>
      <c r="F264" t="s">
        <v>234</v>
      </c>
    </row>
    <row r="265" spans="1:7">
      <c r="A265">
        <f t="shared" si="4"/>
        <v>264</v>
      </c>
      <c r="B265">
        <v>7</v>
      </c>
      <c r="C265" t="str" cm="1">
        <f t="array" ref="C265">GetValue("Eng",B265,"Name")</f>
        <v>SQL Anywhere</v>
      </c>
      <c r="D265">
        <v>36</v>
      </c>
      <c r="E265" t="str" cm="1">
        <f t="array" ref="E265">GetValue("Typ",D265,"Name")</f>
        <v>varchar(max)</v>
      </c>
      <c r="F265" t="s">
        <v>278</v>
      </c>
    </row>
    <row r="266" spans="1:7">
      <c r="A266">
        <f t="shared" si="4"/>
        <v>265</v>
      </c>
      <c r="B266">
        <v>7</v>
      </c>
      <c r="C266" t="str" cm="1">
        <f t="array" ref="C266">GetValue("Eng",B266,"Name")</f>
        <v>SQL Anywhere</v>
      </c>
      <c r="D266">
        <v>37</v>
      </c>
      <c r="E266" t="str" cm="1">
        <f t="array" ref="E266">GetValue("Typ",D266,"Name")</f>
        <v>xml</v>
      </c>
      <c r="F266" t="s">
        <v>278</v>
      </c>
    </row>
    <row r="267" spans="1:7">
      <c r="A267">
        <f t="shared" si="4"/>
        <v>266</v>
      </c>
      <c r="B267">
        <v>7</v>
      </c>
      <c r="C267" t="str" cm="1">
        <f t="array" ref="C267">GetValue("Eng",B267,"Name")</f>
        <v>SQL Anywhere</v>
      </c>
      <c r="D267">
        <v>38</v>
      </c>
      <c r="E267" t="str" cm="1">
        <f t="array" ref="E267">GetValue("Typ",D267,"Name")</f>
        <v>json</v>
      </c>
      <c r="F267" t="s">
        <v>278</v>
      </c>
    </row>
    <row r="268" spans="1:7">
      <c r="A268">
        <f t="shared" si="4"/>
        <v>267</v>
      </c>
      <c r="B268">
        <v>8</v>
      </c>
      <c r="C268" t="str" cm="1">
        <f t="array" ref="C268">GetValue("Eng",B268,"Name")</f>
        <v>Informix</v>
      </c>
      <c r="D268">
        <v>1</v>
      </c>
      <c r="E268" t="str" cm="1">
        <f t="array" ref="E268">GetValue("Typ",D268,"Name")</f>
        <v>bigint (8 bytes)</v>
      </c>
      <c r="F268" t="s">
        <v>280</v>
      </c>
    </row>
    <row r="269" spans="1:7">
      <c r="A269">
        <f t="shared" si="4"/>
        <v>268</v>
      </c>
      <c r="B269">
        <v>8</v>
      </c>
      <c r="C269" t="str" cm="1">
        <f t="array" ref="C269">GetValue("Eng",B269,"Name")</f>
        <v>Informix</v>
      </c>
      <c r="D269">
        <v>2</v>
      </c>
      <c r="E269" t="str" cm="1">
        <f t="array" ref="E269">GetValue("Typ",D269,"Name")</f>
        <v>binary</v>
      </c>
      <c r="F269" t="s">
        <v>281</v>
      </c>
    </row>
    <row r="270" spans="1:7">
      <c r="A270">
        <f t="shared" si="4"/>
        <v>269</v>
      </c>
      <c r="B270">
        <v>8</v>
      </c>
      <c r="C270" t="str" cm="1">
        <f t="array" ref="C270">GetValue("Eng",B270,"Name")</f>
        <v>Informix</v>
      </c>
      <c r="D270">
        <v>3</v>
      </c>
      <c r="E270" t="str" cm="1">
        <f t="array" ref="E270">GetValue("Typ",D270,"Name")</f>
        <v>bit (1 bit)</v>
      </c>
      <c r="F270" t="s">
        <v>239</v>
      </c>
    </row>
    <row r="271" spans="1:7">
      <c r="A271">
        <f t="shared" si="4"/>
        <v>270</v>
      </c>
      <c r="B271">
        <v>8</v>
      </c>
      <c r="C271" t="str" cm="1">
        <f t="array" ref="C271">GetValue("Eng",B271,"Name")</f>
        <v>Informix</v>
      </c>
      <c r="D271">
        <v>4</v>
      </c>
      <c r="E271" t="str" cm="1">
        <f t="array" ref="E271">GetValue("Typ",D271,"Name")</f>
        <v>char(n)</v>
      </c>
      <c r="F271" t="s">
        <v>226</v>
      </c>
    </row>
    <row r="272" spans="1:7">
      <c r="A272">
        <f t="shared" si="4"/>
        <v>271</v>
      </c>
      <c r="B272">
        <v>8</v>
      </c>
      <c r="C272" t="str" cm="1">
        <f t="array" ref="C272">GetValue("Eng",B272,"Name")</f>
        <v>Informix</v>
      </c>
      <c r="D272">
        <v>5</v>
      </c>
      <c r="E272" t="str" cm="1">
        <f t="array" ref="E272">GetValue("Typ",D272,"Name")</f>
        <v>date</v>
      </c>
      <c r="F272" t="s">
        <v>227</v>
      </c>
    </row>
    <row r="273" spans="1:8">
      <c r="A273">
        <f t="shared" si="4"/>
        <v>272</v>
      </c>
      <c r="B273">
        <v>8</v>
      </c>
      <c r="C273" t="str" cm="1">
        <f t="array" ref="C273">GetValue("Eng",B273,"Name")</f>
        <v>Informix</v>
      </c>
      <c r="D273">
        <v>6</v>
      </c>
      <c r="E273" t="str" cm="1">
        <f t="array" ref="E273">GetValue("Typ",D273,"Name")</f>
        <v>datetime</v>
      </c>
      <c r="F273" t="s">
        <v>282</v>
      </c>
    </row>
    <row r="274" spans="1:8">
      <c r="A274">
        <f t="shared" si="4"/>
        <v>273</v>
      </c>
      <c r="B274">
        <v>8</v>
      </c>
      <c r="C274" t="str" cm="1">
        <f t="array" ref="C274">GetValue("Eng",B274,"Name")</f>
        <v>Informix</v>
      </c>
      <c r="D274">
        <v>7</v>
      </c>
      <c r="E274" t="str" cm="1">
        <f t="array" ref="E274">GetValue("Typ",D274,"Name")</f>
        <v>datetime2(s)</v>
      </c>
      <c r="F274" t="s">
        <v>286</v>
      </c>
      <c r="G274">
        <v>6</v>
      </c>
    </row>
    <row r="275" spans="1:8">
      <c r="A275">
        <f t="shared" si="4"/>
        <v>274</v>
      </c>
      <c r="B275">
        <v>8</v>
      </c>
      <c r="C275" t="str" cm="1">
        <f t="array" ref="C275">GetValue("Eng",B275,"Name")</f>
        <v>Informix</v>
      </c>
      <c r="D275">
        <v>8</v>
      </c>
      <c r="E275" t="str" cm="1">
        <f t="array" ref="E275">GetValue("Typ",D275,"Name")</f>
        <v>datetimeoffset(s)</v>
      </c>
      <c r="F275" t="s">
        <v>283</v>
      </c>
    </row>
    <row r="276" spans="1:8">
      <c r="A276">
        <f t="shared" si="4"/>
        <v>275</v>
      </c>
      <c r="B276">
        <v>8</v>
      </c>
      <c r="C276" t="str" cm="1">
        <f t="array" ref="C276">GetValue("Eng",B276,"Name")</f>
        <v>Informix</v>
      </c>
      <c r="D276">
        <v>9</v>
      </c>
      <c r="E276" t="str" cm="1">
        <f t="array" ref="E276">GetValue("Typ",D276,"Name")</f>
        <v>decimal(p ,s)</v>
      </c>
      <c r="F276" t="s">
        <v>267</v>
      </c>
    </row>
    <row r="277" spans="1:8">
      <c r="A277">
        <f t="shared" si="4"/>
        <v>276</v>
      </c>
      <c r="B277">
        <v>8</v>
      </c>
      <c r="C277" t="str" cm="1">
        <f t="array" ref="C277">GetValue("Eng",B277,"Name")</f>
        <v>Informix</v>
      </c>
      <c r="D277">
        <v>10</v>
      </c>
      <c r="E277" t="str" cm="1">
        <f t="array" ref="E277">GetValue("Typ",D277,"Name")</f>
        <v>float(n)</v>
      </c>
      <c r="F277" t="s">
        <v>238</v>
      </c>
    </row>
    <row r="278" spans="1:8">
      <c r="A278">
        <f t="shared" si="4"/>
        <v>277</v>
      </c>
      <c r="B278">
        <v>8</v>
      </c>
      <c r="C278" t="str" cm="1">
        <f t="array" ref="C278">GetValue("Eng",B278,"Name")</f>
        <v>Informix</v>
      </c>
      <c r="D278">
        <v>11</v>
      </c>
      <c r="E278" t="str" cm="1">
        <f t="array" ref="E278">GetValue("Typ",D278,"Name")</f>
        <v>geography</v>
      </c>
    </row>
    <row r="279" spans="1:8">
      <c r="A279">
        <f t="shared" si="4"/>
        <v>278</v>
      </c>
      <c r="B279">
        <v>8</v>
      </c>
      <c r="C279" t="str" cm="1">
        <f t="array" ref="C279">GetValue("Eng",B279,"Name")</f>
        <v>Informix</v>
      </c>
      <c r="D279">
        <v>12</v>
      </c>
      <c r="E279" t="str" cm="1">
        <f t="array" ref="E279">GetValue("Typ",D279,"Name")</f>
        <v>geometry</v>
      </c>
    </row>
    <row r="280" spans="1:8">
      <c r="A280">
        <f t="shared" si="4"/>
        <v>279</v>
      </c>
      <c r="B280">
        <v>8</v>
      </c>
      <c r="C280" t="str" cm="1">
        <f t="array" ref="C280">GetValue("Eng",B280,"Name")</f>
        <v>Informix</v>
      </c>
      <c r="D280">
        <v>13</v>
      </c>
      <c r="E280" t="str" cm="1">
        <f t="array" ref="E280">GetValue("Typ",D280,"Name")</f>
        <v>hierarchyid</v>
      </c>
    </row>
    <row r="281" spans="1:8">
      <c r="A281">
        <f t="shared" si="4"/>
        <v>280</v>
      </c>
      <c r="B281">
        <v>8</v>
      </c>
      <c r="C281" t="str" cm="1">
        <f t="array" ref="C281">GetValue("Eng",B281,"Name")</f>
        <v>Informix</v>
      </c>
      <c r="D281">
        <v>14</v>
      </c>
      <c r="E281" t="str" cm="1">
        <f t="array" ref="E281">GetValue("Typ",D281,"Name")</f>
        <v>image</v>
      </c>
      <c r="F281" t="s">
        <v>281</v>
      </c>
    </row>
    <row r="282" spans="1:8">
      <c r="A282">
        <f t="shared" si="4"/>
        <v>281</v>
      </c>
      <c r="B282">
        <v>8</v>
      </c>
      <c r="C282" t="str" cm="1">
        <f t="array" ref="C282">GetValue("Eng",B282,"Name")</f>
        <v>Informix</v>
      </c>
      <c r="D282">
        <v>15</v>
      </c>
      <c r="E282" t="str" cm="1">
        <f t="array" ref="E282">GetValue("Typ",D282,"Name")</f>
        <v>int (4 bytes)</v>
      </c>
      <c r="F282" t="s">
        <v>231</v>
      </c>
    </row>
    <row r="283" spans="1:8">
      <c r="A283">
        <f t="shared" si="4"/>
        <v>282</v>
      </c>
      <c r="B283">
        <v>8</v>
      </c>
      <c r="C283" t="str" cm="1">
        <f t="array" ref="C283">GetValue("Eng",B283,"Name")</f>
        <v>Informix</v>
      </c>
      <c r="D283">
        <v>16</v>
      </c>
      <c r="E283" t="str" cm="1">
        <f t="array" ref="E283">GetValue("Typ",D283,"Name")</f>
        <v>money</v>
      </c>
      <c r="F283" t="s">
        <v>267</v>
      </c>
      <c r="G283">
        <v>19</v>
      </c>
      <c r="H283">
        <v>4</v>
      </c>
    </row>
    <row r="284" spans="1:8">
      <c r="A284">
        <f t="shared" si="4"/>
        <v>283</v>
      </c>
      <c r="B284">
        <v>8</v>
      </c>
      <c r="C284" t="str" cm="1">
        <f t="array" ref="C284">GetValue("Eng",B284,"Name")</f>
        <v>Informix</v>
      </c>
      <c r="D284">
        <v>17</v>
      </c>
      <c r="E284" t="str" cm="1">
        <f t="array" ref="E284">GetValue("Typ",D284,"Name")</f>
        <v>nchar(n)</v>
      </c>
      <c r="F284" t="s">
        <v>240</v>
      </c>
    </row>
    <row r="285" spans="1:8">
      <c r="A285">
        <f t="shared" si="4"/>
        <v>284</v>
      </c>
      <c r="B285">
        <v>8</v>
      </c>
      <c r="C285" t="str" cm="1">
        <f t="array" ref="C285">GetValue("Eng",B285,"Name")</f>
        <v>Informix</v>
      </c>
      <c r="D285">
        <v>18</v>
      </c>
      <c r="E285" t="str" cm="1">
        <f t="array" ref="E285">GetValue("Typ",D285,"Name")</f>
        <v>ntext</v>
      </c>
      <c r="F285" t="s">
        <v>241</v>
      </c>
    </row>
    <row r="286" spans="1:8">
      <c r="A286">
        <f t="shared" si="4"/>
        <v>285</v>
      </c>
      <c r="B286">
        <v>8</v>
      </c>
      <c r="C286" t="str" cm="1">
        <f t="array" ref="C286">GetValue("Eng",B286,"Name")</f>
        <v>Informix</v>
      </c>
      <c r="D286">
        <v>19</v>
      </c>
      <c r="E286" t="str" cm="1">
        <f t="array" ref="E286">GetValue("Typ",D286,"Name")</f>
        <v>numeric(p,s)</v>
      </c>
      <c r="F286" t="s">
        <v>267</v>
      </c>
    </row>
    <row r="287" spans="1:8">
      <c r="A287">
        <f t="shared" si="4"/>
        <v>286</v>
      </c>
      <c r="B287">
        <v>8</v>
      </c>
      <c r="C287" t="str" cm="1">
        <f t="array" ref="C287">GetValue("Eng",B287,"Name")</f>
        <v>Informix</v>
      </c>
      <c r="D287">
        <v>20</v>
      </c>
      <c r="E287" t="str" cm="1">
        <f t="array" ref="E287">GetValue("Typ",D287,"Name")</f>
        <v>nvarchar(n)</v>
      </c>
      <c r="F287" t="s">
        <v>242</v>
      </c>
    </row>
    <row r="288" spans="1:8">
      <c r="A288">
        <f t="shared" si="4"/>
        <v>287</v>
      </c>
      <c r="B288">
        <v>8</v>
      </c>
      <c r="C288" t="str" cm="1">
        <f t="array" ref="C288">GetValue("Eng",B288,"Name")</f>
        <v>Informix</v>
      </c>
      <c r="D288">
        <v>21</v>
      </c>
      <c r="E288" t="str" cm="1">
        <f t="array" ref="E288">GetValue("Typ",D288,"Name")</f>
        <v>nvarchar(max)</v>
      </c>
      <c r="F288" t="s">
        <v>241</v>
      </c>
    </row>
    <row r="289" spans="1:8">
      <c r="A289">
        <f t="shared" si="4"/>
        <v>288</v>
      </c>
      <c r="B289">
        <v>8</v>
      </c>
      <c r="C289" t="str" cm="1">
        <f t="array" ref="C289">GetValue("Eng",B289,"Name")</f>
        <v>Informix</v>
      </c>
      <c r="D289">
        <v>22</v>
      </c>
      <c r="E289" t="str" cm="1">
        <f t="array" ref="E289">GetValue("Typ",D289,"Name")</f>
        <v>real</v>
      </c>
      <c r="F289" t="s">
        <v>238</v>
      </c>
    </row>
    <row r="290" spans="1:8">
      <c r="A290">
        <f t="shared" si="4"/>
        <v>289</v>
      </c>
      <c r="B290">
        <v>8</v>
      </c>
      <c r="C290" t="str" cm="1">
        <f t="array" ref="C290">GetValue("Eng",B290,"Name")</f>
        <v>Informix</v>
      </c>
      <c r="D290">
        <v>23</v>
      </c>
      <c r="E290" t="str" cm="1">
        <f t="array" ref="E290">GetValue("Typ",D290,"Name")</f>
        <v>smalldatetime</v>
      </c>
      <c r="F290" t="s">
        <v>282</v>
      </c>
    </row>
    <row r="291" spans="1:8">
      <c r="A291">
        <f t="shared" si="4"/>
        <v>290</v>
      </c>
      <c r="B291">
        <v>8</v>
      </c>
      <c r="C291" t="str" cm="1">
        <f t="array" ref="C291">GetValue("Eng",B291,"Name")</f>
        <v>Informix</v>
      </c>
      <c r="D291">
        <v>24</v>
      </c>
      <c r="E291" t="str" cm="1">
        <f t="array" ref="E291">GetValue("Typ",D291,"Name")</f>
        <v>smallint (2 bytes)</v>
      </c>
      <c r="F291" t="s">
        <v>225</v>
      </c>
    </row>
    <row r="292" spans="1:8">
      <c r="A292">
        <f t="shared" si="4"/>
        <v>291</v>
      </c>
      <c r="B292">
        <v>8</v>
      </c>
      <c r="C292" t="str" cm="1">
        <f t="array" ref="C292">GetValue("Eng",B292,"Name")</f>
        <v>Informix</v>
      </c>
      <c r="D292">
        <v>25</v>
      </c>
      <c r="E292" t="str" cm="1">
        <f t="array" ref="E292">GetValue("Typ",D292,"Name")</f>
        <v>smallmoney</v>
      </c>
      <c r="F292" t="s">
        <v>267</v>
      </c>
      <c r="G292">
        <v>10</v>
      </c>
      <c r="H292">
        <v>4</v>
      </c>
    </row>
    <row r="293" spans="1:8">
      <c r="A293">
        <f t="shared" si="4"/>
        <v>292</v>
      </c>
      <c r="B293">
        <v>8</v>
      </c>
      <c r="C293" t="str" cm="1">
        <f t="array" ref="C293">GetValue("Eng",B293,"Name")</f>
        <v>Informix</v>
      </c>
      <c r="D293">
        <v>26</v>
      </c>
      <c r="E293" t="str" cm="1">
        <f t="array" ref="E293">GetValue("Typ",D293,"Name")</f>
        <v>sql_variant</v>
      </c>
      <c r="F293" t="s">
        <v>284</v>
      </c>
    </row>
    <row r="294" spans="1:8">
      <c r="A294">
        <f t="shared" si="4"/>
        <v>293</v>
      </c>
      <c r="B294">
        <v>8</v>
      </c>
      <c r="C294" t="str" cm="1">
        <f t="array" ref="C294">GetValue("Eng",B294,"Name")</f>
        <v>Informix</v>
      </c>
      <c r="D294">
        <v>27</v>
      </c>
      <c r="E294" t="str" cm="1">
        <f t="array" ref="E294">GetValue("Typ",D294,"Name")</f>
        <v>sysname</v>
      </c>
      <c r="F294" t="s">
        <v>284</v>
      </c>
      <c r="G294">
        <v>128</v>
      </c>
    </row>
    <row r="295" spans="1:8">
      <c r="A295">
        <f t="shared" si="4"/>
        <v>294</v>
      </c>
      <c r="B295">
        <v>8</v>
      </c>
      <c r="C295" t="str" cm="1">
        <f t="array" ref="C295">GetValue("Eng",B295,"Name")</f>
        <v>Informix</v>
      </c>
      <c r="D295">
        <v>28</v>
      </c>
      <c r="E295" t="str" cm="1">
        <f t="array" ref="E295">GetValue("Typ",D295,"Name")</f>
        <v>text</v>
      </c>
      <c r="F295" t="s">
        <v>241</v>
      </c>
    </row>
    <row r="296" spans="1:8">
      <c r="A296">
        <f t="shared" si="4"/>
        <v>295</v>
      </c>
      <c r="B296">
        <v>8</v>
      </c>
      <c r="C296" t="str" cm="1">
        <f t="array" ref="C296">GetValue("Eng",B296,"Name")</f>
        <v>Informix</v>
      </c>
      <c r="D296">
        <v>29</v>
      </c>
      <c r="E296" t="str" cm="1">
        <f t="array" ref="E296">GetValue("Typ",D296,"Name")</f>
        <v>time(s)</v>
      </c>
      <c r="F296" t="s">
        <v>285</v>
      </c>
    </row>
    <row r="297" spans="1:8">
      <c r="A297">
        <f t="shared" si="4"/>
        <v>296</v>
      </c>
      <c r="B297">
        <v>8</v>
      </c>
      <c r="C297" t="str" cm="1">
        <f t="array" ref="C297">GetValue("Eng",B297,"Name")</f>
        <v>Informix</v>
      </c>
      <c r="D297">
        <v>30</v>
      </c>
      <c r="E297" t="str" cm="1">
        <f t="array" ref="E297">GetValue("Typ",D297,"Name")</f>
        <v>timestamp</v>
      </c>
      <c r="F297" t="s">
        <v>286</v>
      </c>
    </row>
    <row r="298" spans="1:8">
      <c r="A298">
        <f t="shared" si="4"/>
        <v>297</v>
      </c>
      <c r="B298">
        <v>8</v>
      </c>
      <c r="C298" t="str" cm="1">
        <f t="array" ref="C298">GetValue("Eng",B298,"Name")</f>
        <v>Informix</v>
      </c>
      <c r="D298">
        <v>31</v>
      </c>
      <c r="E298" t="str" cm="1">
        <f t="array" ref="E298">GetValue("Typ",D298,"Name")</f>
        <v>tinyint (1 byte)</v>
      </c>
      <c r="F298" t="s">
        <v>225</v>
      </c>
    </row>
    <row r="299" spans="1:8">
      <c r="A299">
        <f t="shared" si="4"/>
        <v>298</v>
      </c>
      <c r="B299">
        <v>8</v>
      </c>
      <c r="C299" t="str" cm="1">
        <f t="array" ref="C299">GetValue("Eng",B299,"Name")</f>
        <v>Informix</v>
      </c>
      <c r="D299">
        <v>32</v>
      </c>
      <c r="E299" t="str" cm="1">
        <f t="array" ref="E299">GetValue("Typ",D299,"Name")</f>
        <v>uniqueidentifier</v>
      </c>
      <c r="F299" t="s">
        <v>226</v>
      </c>
      <c r="G299">
        <v>36</v>
      </c>
    </row>
    <row r="300" spans="1:8">
      <c r="A300">
        <f t="shared" si="4"/>
        <v>299</v>
      </c>
      <c r="B300">
        <v>8</v>
      </c>
      <c r="C300" t="str" cm="1">
        <f t="array" ref="C300">GetValue("Eng",B300,"Name")</f>
        <v>Informix</v>
      </c>
      <c r="D300">
        <v>33</v>
      </c>
      <c r="E300" t="str" cm="1">
        <f t="array" ref="E300">GetValue("Typ",D300,"Name")</f>
        <v>varbinary(n)</v>
      </c>
      <c r="F300" t="s">
        <v>281</v>
      </c>
    </row>
    <row r="301" spans="1:8">
      <c r="A301">
        <f t="shared" si="4"/>
        <v>300</v>
      </c>
      <c r="B301">
        <v>8</v>
      </c>
      <c r="C301" t="str" cm="1">
        <f t="array" ref="C301">GetValue("Eng",B301,"Name")</f>
        <v>Informix</v>
      </c>
      <c r="D301">
        <v>34</v>
      </c>
      <c r="E301" t="str" cm="1">
        <f t="array" ref="E301">GetValue("Typ",D301,"Name")</f>
        <v>varbinary(max)</v>
      </c>
      <c r="F301" t="s">
        <v>281</v>
      </c>
    </row>
    <row r="302" spans="1:8">
      <c r="A302">
        <f t="shared" si="4"/>
        <v>301</v>
      </c>
      <c r="B302">
        <v>8</v>
      </c>
      <c r="C302" t="str" cm="1">
        <f t="array" ref="C302">GetValue("Eng",B302,"Name")</f>
        <v>Informix</v>
      </c>
      <c r="D302">
        <v>35</v>
      </c>
      <c r="E302" t="str" cm="1">
        <f t="array" ref="E302">GetValue("Typ",D302,"Name")</f>
        <v>varchar(n)</v>
      </c>
      <c r="F302" t="s">
        <v>234</v>
      </c>
    </row>
    <row r="303" spans="1:8">
      <c r="A303">
        <f t="shared" si="4"/>
        <v>302</v>
      </c>
      <c r="B303">
        <v>8</v>
      </c>
      <c r="C303" t="str" cm="1">
        <f t="array" ref="C303">GetValue("Eng",B303,"Name")</f>
        <v>Informix</v>
      </c>
      <c r="D303">
        <v>36</v>
      </c>
      <c r="E303" t="str" cm="1">
        <f t="array" ref="E303">GetValue("Typ",D303,"Name")</f>
        <v>varchar(max)</v>
      </c>
      <c r="F303" t="s">
        <v>241</v>
      </c>
    </row>
    <row r="304" spans="1:8">
      <c r="A304">
        <f t="shared" si="4"/>
        <v>303</v>
      </c>
      <c r="B304">
        <v>8</v>
      </c>
      <c r="C304" t="str" cm="1">
        <f t="array" ref="C304">GetValue("Eng",B304,"Name")</f>
        <v>Informix</v>
      </c>
      <c r="D304">
        <v>37</v>
      </c>
      <c r="E304" t="str" cm="1">
        <f t="array" ref="E304">GetValue("Typ",D304,"Name")</f>
        <v>xml</v>
      </c>
      <c r="F304" t="s">
        <v>287</v>
      </c>
    </row>
    <row r="305" spans="1:7">
      <c r="A305">
        <f t="shared" si="4"/>
        <v>304</v>
      </c>
      <c r="B305">
        <v>8</v>
      </c>
      <c r="C305" t="str" cm="1">
        <f t="array" ref="C305">GetValue("Eng",B305,"Name")</f>
        <v>Informix</v>
      </c>
      <c r="D305">
        <v>38</v>
      </c>
      <c r="E305" t="str" cm="1">
        <f t="array" ref="E305">GetValue("Typ",D305,"Name")</f>
        <v>json</v>
      </c>
      <c r="F305" t="s">
        <v>65</v>
      </c>
    </row>
    <row r="306" spans="1:7">
      <c r="A306">
        <f t="shared" si="4"/>
        <v>305</v>
      </c>
      <c r="B306">
        <v>9</v>
      </c>
      <c r="C306" t="str" cm="1">
        <f t="array" ref="C306">GetValue("Eng",B306,"Name")</f>
        <v>Oracle</v>
      </c>
      <c r="D306">
        <v>1</v>
      </c>
      <c r="E306" t="str" cm="1">
        <f t="array" ref="E306">GetValue("Typ",D306,"Name")</f>
        <v>bigint (8 bytes)</v>
      </c>
      <c r="F306" t="s">
        <v>289</v>
      </c>
      <c r="G306">
        <v>19</v>
      </c>
    </row>
    <row r="307" spans="1:7">
      <c r="A307">
        <f t="shared" si="4"/>
        <v>306</v>
      </c>
      <c r="B307">
        <v>9</v>
      </c>
      <c r="C307" t="str" cm="1">
        <f t="array" ref="C307">GetValue("Eng",B307,"Name")</f>
        <v>Oracle</v>
      </c>
      <c r="D307">
        <v>2</v>
      </c>
      <c r="E307" t="str" cm="1">
        <f t="array" ref="E307">GetValue("Typ",D307,"Name")</f>
        <v>binary</v>
      </c>
      <c r="F307" t="s">
        <v>288</v>
      </c>
    </row>
    <row r="308" spans="1:7">
      <c r="A308">
        <f t="shared" si="4"/>
        <v>307</v>
      </c>
      <c r="B308">
        <v>9</v>
      </c>
      <c r="C308" t="str" cm="1">
        <f t="array" ref="C308">GetValue("Eng",B308,"Name")</f>
        <v>Oracle</v>
      </c>
      <c r="D308">
        <v>3</v>
      </c>
      <c r="E308" t="str" cm="1">
        <f t="array" ref="E308">GetValue("Typ",D308,"Name")</f>
        <v>bit (1 bit)</v>
      </c>
      <c r="F308" t="s">
        <v>289</v>
      </c>
      <c r="G308">
        <v>1</v>
      </c>
    </row>
    <row r="309" spans="1:7">
      <c r="A309">
        <f t="shared" si="4"/>
        <v>308</v>
      </c>
      <c r="B309">
        <v>9</v>
      </c>
      <c r="C309" t="str" cm="1">
        <f t="array" ref="C309">GetValue("Eng",B309,"Name")</f>
        <v>Oracle</v>
      </c>
      <c r="D309">
        <v>4</v>
      </c>
      <c r="E309" t="str" cm="1">
        <f t="array" ref="E309">GetValue("Typ",D309,"Name")</f>
        <v>char(n)</v>
      </c>
      <c r="F309" t="s">
        <v>226</v>
      </c>
    </row>
    <row r="310" spans="1:7">
      <c r="A310">
        <f t="shared" si="4"/>
        <v>309</v>
      </c>
      <c r="B310">
        <v>9</v>
      </c>
      <c r="C310" t="str" cm="1">
        <f t="array" ref="C310">GetValue("Eng",B310,"Name")</f>
        <v>Oracle</v>
      </c>
      <c r="D310">
        <v>5</v>
      </c>
      <c r="E310" t="str" cm="1">
        <f t="array" ref="E310">GetValue("Typ",D310,"Name")</f>
        <v>date</v>
      </c>
      <c r="F310" t="s">
        <v>227</v>
      </c>
    </row>
    <row r="311" spans="1:7">
      <c r="A311">
        <f t="shared" si="4"/>
        <v>310</v>
      </c>
      <c r="B311">
        <v>9</v>
      </c>
      <c r="C311" t="str" cm="1">
        <f t="array" ref="C311">GetValue("Eng",B311,"Name")</f>
        <v>Oracle</v>
      </c>
      <c r="D311">
        <v>6</v>
      </c>
      <c r="E311" t="str" cm="1">
        <f t="array" ref="E311">GetValue("Typ",D311,"Name")</f>
        <v>datetime</v>
      </c>
      <c r="F311" t="s">
        <v>227</v>
      </c>
    </row>
    <row r="312" spans="1:7">
      <c r="A312">
        <f t="shared" si="4"/>
        <v>311</v>
      </c>
      <c r="B312">
        <v>9</v>
      </c>
      <c r="C312" t="str" cm="1">
        <f t="array" ref="C312">GetValue("Eng",B312,"Name")</f>
        <v>Oracle</v>
      </c>
      <c r="D312">
        <v>7</v>
      </c>
      <c r="E312" t="str" cm="1">
        <f t="array" ref="E312">GetValue("Typ",D312,"Name")</f>
        <v>datetime2(s)</v>
      </c>
      <c r="F312" t="s">
        <v>228</v>
      </c>
      <c r="G312">
        <v>6</v>
      </c>
    </row>
    <row r="313" spans="1:7">
      <c r="A313">
        <f t="shared" si="4"/>
        <v>312</v>
      </c>
      <c r="B313">
        <v>9</v>
      </c>
      <c r="C313" t="str" cm="1">
        <f t="array" ref="C313">GetValue("Eng",B313,"Name")</f>
        <v>Oracle</v>
      </c>
      <c r="D313">
        <v>8</v>
      </c>
      <c r="E313" t="str" cm="1">
        <f t="array" ref="E313">GetValue("Typ",D313,"Name")</f>
        <v>datetimeoffset(s)</v>
      </c>
      <c r="F313" t="s">
        <v>229</v>
      </c>
    </row>
    <row r="314" spans="1:7">
      <c r="A314">
        <f t="shared" si="4"/>
        <v>313</v>
      </c>
      <c r="B314">
        <v>9</v>
      </c>
      <c r="C314" t="str" cm="1">
        <f t="array" ref="C314">GetValue("Eng",B314,"Name")</f>
        <v>Oracle</v>
      </c>
      <c r="D314">
        <v>9</v>
      </c>
      <c r="E314" t="str" cm="1">
        <f t="array" ref="E314">GetValue("Typ",D314,"Name")</f>
        <v>decimal(p ,s)</v>
      </c>
      <c r="F314" t="s">
        <v>289</v>
      </c>
    </row>
    <row r="315" spans="1:7">
      <c r="A315">
        <f t="shared" si="4"/>
        <v>314</v>
      </c>
      <c r="B315">
        <v>9</v>
      </c>
      <c r="C315" t="str" cm="1">
        <f t="array" ref="C315">GetValue("Eng",B315,"Name")</f>
        <v>Oracle</v>
      </c>
      <c r="D315">
        <v>10</v>
      </c>
      <c r="E315" t="str" cm="1">
        <f t="array" ref="E315">GetValue("Typ",D315,"Name")</f>
        <v>float(n)</v>
      </c>
      <c r="F315" t="s">
        <v>290</v>
      </c>
    </row>
    <row r="316" spans="1:7">
      <c r="A316">
        <f t="shared" si="4"/>
        <v>315</v>
      </c>
      <c r="B316">
        <v>9</v>
      </c>
      <c r="C316" t="str" cm="1">
        <f t="array" ref="C316">GetValue("Eng",B316,"Name")</f>
        <v>Oracle</v>
      </c>
      <c r="D316">
        <v>11</v>
      </c>
      <c r="E316" t="str" cm="1">
        <f t="array" ref="E316">GetValue("Typ",D316,"Name")</f>
        <v>geography</v>
      </c>
      <c r="F316" t="s">
        <v>291</v>
      </c>
    </row>
    <row r="317" spans="1:7">
      <c r="A317">
        <f t="shared" si="4"/>
        <v>316</v>
      </c>
      <c r="B317">
        <v>9</v>
      </c>
      <c r="C317" t="str" cm="1">
        <f t="array" ref="C317">GetValue("Eng",B317,"Name")</f>
        <v>Oracle</v>
      </c>
      <c r="D317">
        <v>12</v>
      </c>
      <c r="E317" t="str" cm="1">
        <f t="array" ref="E317">GetValue("Typ",D317,"Name")</f>
        <v>geometry</v>
      </c>
      <c r="F317" t="s">
        <v>291</v>
      </c>
    </row>
    <row r="318" spans="1:7">
      <c r="A318">
        <f t="shared" si="4"/>
        <v>317</v>
      </c>
      <c r="B318">
        <v>9</v>
      </c>
      <c r="C318" t="str" cm="1">
        <f t="array" ref="C318">GetValue("Eng",B318,"Name")</f>
        <v>Oracle</v>
      </c>
      <c r="D318">
        <v>13</v>
      </c>
      <c r="E318" t="str" cm="1">
        <f t="array" ref="E318">GetValue("Typ",D318,"Name")</f>
        <v>hierarchyid</v>
      </c>
    </row>
    <row r="319" spans="1:7">
      <c r="A319">
        <f t="shared" si="4"/>
        <v>318</v>
      </c>
      <c r="B319">
        <v>9</v>
      </c>
      <c r="C319" t="str" cm="1">
        <f t="array" ref="C319">GetValue("Eng",B319,"Name")</f>
        <v>Oracle</v>
      </c>
      <c r="D319">
        <v>14</v>
      </c>
      <c r="E319" t="str" cm="1">
        <f t="array" ref="E319">GetValue("Typ",D319,"Name")</f>
        <v>image</v>
      </c>
      <c r="F319" t="s">
        <v>276</v>
      </c>
    </row>
    <row r="320" spans="1:7">
      <c r="A320">
        <f t="shared" si="4"/>
        <v>319</v>
      </c>
      <c r="B320">
        <v>9</v>
      </c>
      <c r="C320" t="str" cm="1">
        <f t="array" ref="C320">GetValue("Eng",B320,"Name")</f>
        <v>Oracle</v>
      </c>
      <c r="D320">
        <v>15</v>
      </c>
      <c r="E320" t="str" cm="1">
        <f t="array" ref="E320">GetValue("Typ",D320,"Name")</f>
        <v>int (4 bytes)</v>
      </c>
      <c r="F320" t="s">
        <v>289</v>
      </c>
      <c r="G320">
        <v>10</v>
      </c>
    </row>
    <row r="321" spans="1:8">
      <c r="A321">
        <f t="shared" si="4"/>
        <v>320</v>
      </c>
      <c r="B321">
        <v>9</v>
      </c>
      <c r="C321" t="str" cm="1">
        <f t="array" ref="C321">GetValue("Eng",B321,"Name")</f>
        <v>Oracle</v>
      </c>
      <c r="D321">
        <v>16</v>
      </c>
      <c r="E321" t="str" cm="1">
        <f t="array" ref="E321">GetValue("Typ",D321,"Name")</f>
        <v>money</v>
      </c>
      <c r="F321" t="s">
        <v>289</v>
      </c>
      <c r="G321">
        <v>19</v>
      </c>
      <c r="H321">
        <v>4</v>
      </c>
    </row>
    <row r="322" spans="1:8">
      <c r="A322">
        <f t="shared" si="4"/>
        <v>321</v>
      </c>
      <c r="B322">
        <v>9</v>
      </c>
      <c r="C322" t="str" cm="1">
        <f t="array" ref="C322">GetValue("Eng",B322,"Name")</f>
        <v>Oracle</v>
      </c>
      <c r="D322">
        <v>17</v>
      </c>
      <c r="E322" t="str" cm="1">
        <f t="array" ref="E322">GetValue("Typ",D322,"Name")</f>
        <v>nchar(n)</v>
      </c>
      <c r="F322" t="s">
        <v>240</v>
      </c>
    </row>
    <row r="323" spans="1:8">
      <c r="A323">
        <f t="shared" ref="A323:A381" si="5">ROW(A323)-1</f>
        <v>322</v>
      </c>
      <c r="B323">
        <v>9</v>
      </c>
      <c r="C323" t="str" cm="1">
        <f t="array" ref="C323">GetValue("Eng",B323,"Name")</f>
        <v>Oracle</v>
      </c>
      <c r="D323">
        <v>18</v>
      </c>
      <c r="E323" t="str" cm="1">
        <f t="array" ref="E323">GetValue("Typ",D323,"Name")</f>
        <v>ntext</v>
      </c>
      <c r="F323" t="s">
        <v>287</v>
      </c>
    </row>
    <row r="324" spans="1:8">
      <c r="A324">
        <f t="shared" si="5"/>
        <v>323</v>
      </c>
      <c r="B324">
        <v>9</v>
      </c>
      <c r="C324" t="str" cm="1">
        <f t="array" ref="C324">GetValue("Eng",B324,"Name")</f>
        <v>Oracle</v>
      </c>
      <c r="D324">
        <v>19</v>
      </c>
      <c r="E324" t="str" cm="1">
        <f t="array" ref="E324">GetValue("Typ",D324,"Name")</f>
        <v>numeric(p,s)</v>
      </c>
      <c r="F324" t="s">
        <v>289</v>
      </c>
    </row>
    <row r="325" spans="1:8">
      <c r="A325">
        <f t="shared" si="5"/>
        <v>324</v>
      </c>
      <c r="B325">
        <v>9</v>
      </c>
      <c r="C325" t="str" cm="1">
        <f t="array" ref="C325">GetValue("Eng",B325,"Name")</f>
        <v>Oracle</v>
      </c>
      <c r="D325">
        <v>20</v>
      </c>
      <c r="E325" t="str" cm="1">
        <f t="array" ref="E325">GetValue("Typ",D325,"Name")</f>
        <v>nvarchar(n)</v>
      </c>
      <c r="F325" t="s">
        <v>292</v>
      </c>
    </row>
    <row r="326" spans="1:8">
      <c r="A326">
        <f t="shared" si="5"/>
        <v>325</v>
      </c>
      <c r="B326">
        <v>9</v>
      </c>
      <c r="C326" t="str" cm="1">
        <f t="array" ref="C326">GetValue("Eng",B326,"Name")</f>
        <v>Oracle</v>
      </c>
      <c r="D326">
        <v>21</v>
      </c>
      <c r="E326" t="str" cm="1">
        <f t="array" ref="E326">GetValue("Typ",D326,"Name")</f>
        <v>nvarchar(max)</v>
      </c>
      <c r="F326" t="s">
        <v>287</v>
      </c>
    </row>
    <row r="327" spans="1:8">
      <c r="A327">
        <f t="shared" si="5"/>
        <v>326</v>
      </c>
      <c r="B327">
        <v>9</v>
      </c>
      <c r="C327" t="str" cm="1">
        <f t="array" ref="C327">GetValue("Eng",B327,"Name")</f>
        <v>Oracle</v>
      </c>
      <c r="D327">
        <v>22</v>
      </c>
      <c r="E327" t="str" cm="1">
        <f t="array" ref="E327">GetValue("Typ",D327,"Name")</f>
        <v>real</v>
      </c>
      <c r="F327" t="s">
        <v>293</v>
      </c>
    </row>
    <row r="328" spans="1:8">
      <c r="A328">
        <f t="shared" si="5"/>
        <v>327</v>
      </c>
      <c r="B328">
        <v>9</v>
      </c>
      <c r="C328" t="str" cm="1">
        <f t="array" ref="C328">GetValue("Eng",B328,"Name")</f>
        <v>Oracle</v>
      </c>
      <c r="D328">
        <v>23</v>
      </c>
      <c r="E328" t="str" cm="1">
        <f t="array" ref="E328">GetValue("Typ",D328,"Name")</f>
        <v>smalldatetime</v>
      </c>
      <c r="F328" t="s">
        <v>227</v>
      </c>
    </row>
    <row r="329" spans="1:8">
      <c r="A329">
        <f t="shared" si="5"/>
        <v>328</v>
      </c>
      <c r="B329">
        <v>9</v>
      </c>
      <c r="C329" t="str" cm="1">
        <f t="array" ref="C329">GetValue("Eng",B329,"Name")</f>
        <v>Oracle</v>
      </c>
      <c r="D329">
        <v>24</v>
      </c>
      <c r="E329" t="str" cm="1">
        <f t="array" ref="E329">GetValue("Typ",D329,"Name")</f>
        <v>smallint (2 bytes)</v>
      </c>
      <c r="F329" t="s">
        <v>289</v>
      </c>
      <c r="G329">
        <v>5</v>
      </c>
    </row>
    <row r="330" spans="1:8">
      <c r="A330">
        <f t="shared" si="5"/>
        <v>329</v>
      </c>
      <c r="B330">
        <v>9</v>
      </c>
      <c r="C330" t="str" cm="1">
        <f t="array" ref="C330">GetValue("Eng",B330,"Name")</f>
        <v>Oracle</v>
      </c>
      <c r="D330">
        <v>25</v>
      </c>
      <c r="E330" t="str" cm="1">
        <f t="array" ref="E330">GetValue("Typ",D330,"Name")</f>
        <v>smallmoney</v>
      </c>
      <c r="F330" t="s">
        <v>289</v>
      </c>
      <c r="G330">
        <v>10</v>
      </c>
      <c r="H330">
        <v>4</v>
      </c>
    </row>
    <row r="331" spans="1:8">
      <c r="A331">
        <f t="shared" si="5"/>
        <v>330</v>
      </c>
      <c r="B331">
        <v>9</v>
      </c>
      <c r="C331" t="str" cm="1">
        <f t="array" ref="C331">GetValue("Eng",B331,"Name")</f>
        <v>Oracle</v>
      </c>
      <c r="D331">
        <v>26</v>
      </c>
      <c r="E331" t="str" cm="1">
        <f t="array" ref="E331">GetValue("Typ",D331,"Name")</f>
        <v>sql_variant</v>
      </c>
      <c r="F331" t="s">
        <v>294</v>
      </c>
    </row>
    <row r="332" spans="1:8">
      <c r="A332">
        <f t="shared" si="5"/>
        <v>331</v>
      </c>
      <c r="B332">
        <v>9</v>
      </c>
      <c r="C332" t="str" cm="1">
        <f t="array" ref="C332">GetValue("Eng",B332,"Name")</f>
        <v>Oracle</v>
      </c>
      <c r="D332">
        <v>27</v>
      </c>
      <c r="E332" t="str" cm="1">
        <f t="array" ref="E332">GetValue("Typ",D332,"Name")</f>
        <v>sysname</v>
      </c>
      <c r="F332" t="s">
        <v>295</v>
      </c>
      <c r="G332">
        <v>30</v>
      </c>
    </row>
    <row r="333" spans="1:8">
      <c r="A333">
        <f t="shared" si="5"/>
        <v>332</v>
      </c>
      <c r="B333">
        <v>9</v>
      </c>
      <c r="C333" t="str" cm="1">
        <f t="array" ref="C333">GetValue("Eng",B333,"Name")</f>
        <v>Oracle</v>
      </c>
      <c r="D333">
        <v>28</v>
      </c>
      <c r="E333" t="str" cm="1">
        <f t="array" ref="E333">GetValue("Typ",D333,"Name")</f>
        <v>text</v>
      </c>
      <c r="F333" t="s">
        <v>287</v>
      </c>
    </row>
    <row r="334" spans="1:8">
      <c r="A334">
        <f t="shared" si="5"/>
        <v>333</v>
      </c>
      <c r="B334">
        <v>9</v>
      </c>
      <c r="C334" t="str" cm="1">
        <f t="array" ref="C334">GetValue("Eng",B334,"Name")</f>
        <v>Oracle</v>
      </c>
      <c r="D334">
        <v>29</v>
      </c>
      <c r="E334" t="str" cm="1">
        <f t="array" ref="E334">GetValue("Typ",D334,"Name")</f>
        <v>time(s)</v>
      </c>
      <c r="F334" t="s">
        <v>227</v>
      </c>
    </row>
    <row r="335" spans="1:8">
      <c r="A335">
        <f t="shared" si="5"/>
        <v>334</v>
      </c>
      <c r="B335">
        <v>9</v>
      </c>
      <c r="C335" t="str" cm="1">
        <f t="array" ref="C335">GetValue("Eng",B335,"Name")</f>
        <v>Oracle</v>
      </c>
      <c r="D335">
        <v>30</v>
      </c>
      <c r="E335" t="str" cm="1">
        <f t="array" ref="E335">GetValue("Typ",D335,"Name")</f>
        <v>timestamp</v>
      </c>
      <c r="F335" t="s">
        <v>228</v>
      </c>
    </row>
    <row r="336" spans="1:8">
      <c r="A336">
        <f t="shared" si="5"/>
        <v>335</v>
      </c>
      <c r="B336">
        <v>9</v>
      </c>
      <c r="C336" t="str" cm="1">
        <f t="array" ref="C336">GetValue("Eng",B336,"Name")</f>
        <v>Oracle</v>
      </c>
      <c r="D336">
        <v>31</v>
      </c>
      <c r="E336" t="str" cm="1">
        <f t="array" ref="E336">GetValue("Typ",D336,"Name")</f>
        <v>tinyint (1 byte)</v>
      </c>
      <c r="F336" t="s">
        <v>289</v>
      </c>
      <c r="G336">
        <v>3</v>
      </c>
    </row>
    <row r="337" spans="1:7">
      <c r="A337">
        <f t="shared" si="5"/>
        <v>336</v>
      </c>
      <c r="B337">
        <v>9</v>
      </c>
      <c r="C337" t="str" cm="1">
        <f t="array" ref="C337">GetValue("Eng",B337,"Name")</f>
        <v>Oracle</v>
      </c>
      <c r="D337">
        <v>32</v>
      </c>
      <c r="E337" t="str" cm="1">
        <f t="array" ref="E337">GetValue("Typ",D337,"Name")</f>
        <v>uniqueidentifier</v>
      </c>
      <c r="F337" t="s">
        <v>288</v>
      </c>
      <c r="G337">
        <v>16</v>
      </c>
    </row>
    <row r="338" spans="1:7">
      <c r="A338">
        <f t="shared" si="5"/>
        <v>337</v>
      </c>
      <c r="B338">
        <v>9</v>
      </c>
      <c r="C338" t="str" cm="1">
        <f t="array" ref="C338">GetValue("Eng",B338,"Name")</f>
        <v>Oracle</v>
      </c>
      <c r="D338">
        <v>33</v>
      </c>
      <c r="E338" t="str" cm="1">
        <f t="array" ref="E338">GetValue("Typ",D338,"Name")</f>
        <v>varbinary(n)</v>
      </c>
      <c r="F338" t="s">
        <v>276</v>
      </c>
    </row>
    <row r="339" spans="1:7">
      <c r="A339">
        <f t="shared" si="5"/>
        <v>338</v>
      </c>
      <c r="B339">
        <v>9</v>
      </c>
      <c r="C339" t="str" cm="1">
        <f t="array" ref="C339">GetValue("Eng",B339,"Name")</f>
        <v>Oracle</v>
      </c>
      <c r="D339">
        <v>34</v>
      </c>
      <c r="E339" t="str" cm="1">
        <f t="array" ref="E339">GetValue("Typ",D339,"Name")</f>
        <v>varbinary(max)</v>
      </c>
      <c r="F339" t="s">
        <v>276</v>
      </c>
    </row>
    <row r="340" spans="1:7">
      <c r="A340">
        <f t="shared" si="5"/>
        <v>339</v>
      </c>
      <c r="B340">
        <v>9</v>
      </c>
      <c r="C340" t="str" cm="1">
        <f t="array" ref="C340">GetValue("Eng",B340,"Name")</f>
        <v>Oracle</v>
      </c>
      <c r="D340">
        <v>35</v>
      </c>
      <c r="E340" t="str" cm="1">
        <f t="array" ref="E340">GetValue("Typ",D340,"Name")</f>
        <v>varchar(n)</v>
      </c>
      <c r="F340" t="s">
        <v>295</v>
      </c>
    </row>
    <row r="341" spans="1:7">
      <c r="A341">
        <f t="shared" si="5"/>
        <v>340</v>
      </c>
      <c r="B341">
        <v>9</v>
      </c>
      <c r="C341" t="str" cm="1">
        <f t="array" ref="C341">GetValue("Eng",B341,"Name")</f>
        <v>Oracle</v>
      </c>
      <c r="D341">
        <v>36</v>
      </c>
      <c r="E341" t="str" cm="1">
        <f t="array" ref="E341">GetValue("Typ",D341,"Name")</f>
        <v>varchar(max)</v>
      </c>
      <c r="F341" t="s">
        <v>287</v>
      </c>
    </row>
    <row r="342" spans="1:7">
      <c r="A342">
        <f t="shared" si="5"/>
        <v>341</v>
      </c>
      <c r="B342">
        <v>9</v>
      </c>
      <c r="C342" t="str" cm="1">
        <f t="array" ref="C342">GetValue("Eng",B342,"Name")</f>
        <v>Oracle</v>
      </c>
      <c r="D342">
        <v>37</v>
      </c>
      <c r="E342" t="str" cm="1">
        <f t="array" ref="E342">GetValue("Typ",D342,"Name")</f>
        <v>xml</v>
      </c>
      <c r="F342" t="s">
        <v>296</v>
      </c>
    </row>
    <row r="343" spans="1:7">
      <c r="A343">
        <f t="shared" si="5"/>
        <v>342</v>
      </c>
      <c r="B343">
        <v>9</v>
      </c>
      <c r="C343" t="str" cm="1">
        <f t="array" ref="C343">GetValue("Eng",B343,"Name")</f>
        <v>Oracle</v>
      </c>
      <c r="D343">
        <v>38</v>
      </c>
      <c r="E343" t="str" cm="1">
        <f t="array" ref="E343">GetValue("Typ",D343,"Name")</f>
        <v>json</v>
      </c>
      <c r="F343" t="s">
        <v>65</v>
      </c>
    </row>
    <row r="344" spans="1:7" ht="13.95" customHeight="1">
      <c r="A344">
        <f t="shared" si="5"/>
        <v>343</v>
      </c>
      <c r="B344">
        <v>10</v>
      </c>
      <c r="C344" t="str" cm="1">
        <f t="array" ref="C344">GetValue("Eng",B344,"Name")</f>
        <v>DB2</v>
      </c>
      <c r="D344">
        <v>1</v>
      </c>
      <c r="E344" t="str" cm="1">
        <f t="array" ref="E344">GetValue("Typ",D344,"Name")</f>
        <v>bigint (8 bytes)</v>
      </c>
      <c r="F344" t="s">
        <v>224</v>
      </c>
    </row>
    <row r="345" spans="1:7">
      <c r="A345">
        <f t="shared" si="5"/>
        <v>344</v>
      </c>
      <c r="B345">
        <v>10</v>
      </c>
      <c r="C345" t="str" cm="1">
        <f t="array" ref="C345">GetValue("Eng",B345,"Name")</f>
        <v>DB2</v>
      </c>
      <c r="D345">
        <v>2</v>
      </c>
      <c r="E345" t="str" cm="1">
        <f t="array" ref="E345">GetValue("Typ",D345,"Name")</f>
        <v>binary</v>
      </c>
      <c r="F345" t="s">
        <v>276</v>
      </c>
    </row>
    <row r="346" spans="1:7">
      <c r="A346">
        <f t="shared" si="5"/>
        <v>345</v>
      </c>
      <c r="B346">
        <v>10</v>
      </c>
      <c r="C346" t="str" cm="1">
        <f t="array" ref="C346">GetValue("Eng",B346,"Name")</f>
        <v>DB2</v>
      </c>
      <c r="D346">
        <v>3</v>
      </c>
      <c r="E346" t="str" cm="1">
        <f t="array" ref="E346">GetValue("Typ",D346,"Name")</f>
        <v>bit (1 bit)</v>
      </c>
      <c r="F346" t="s">
        <v>225</v>
      </c>
    </row>
    <row r="347" spans="1:7">
      <c r="A347">
        <f t="shared" si="5"/>
        <v>346</v>
      </c>
      <c r="B347">
        <v>10</v>
      </c>
      <c r="C347" t="str" cm="1">
        <f t="array" ref="C347">GetValue("Eng",B347,"Name")</f>
        <v>DB2</v>
      </c>
      <c r="D347">
        <v>4</v>
      </c>
      <c r="E347" t="str" cm="1">
        <f t="array" ref="E347">GetValue("Typ",D347,"Name")</f>
        <v>char(n)</v>
      </c>
      <c r="F347" t="s">
        <v>226</v>
      </c>
    </row>
    <row r="348" spans="1:7">
      <c r="A348">
        <f t="shared" si="5"/>
        <v>347</v>
      </c>
      <c r="B348">
        <v>10</v>
      </c>
      <c r="C348" t="str" cm="1">
        <f t="array" ref="C348">GetValue("Eng",B348,"Name")</f>
        <v>DB2</v>
      </c>
      <c r="D348">
        <v>5</v>
      </c>
      <c r="E348" t="str" cm="1">
        <f t="array" ref="E348">GetValue("Typ",D348,"Name")</f>
        <v>date</v>
      </c>
      <c r="F348" t="s">
        <v>227</v>
      </c>
    </row>
    <row r="349" spans="1:7">
      <c r="A349">
        <f t="shared" si="5"/>
        <v>348</v>
      </c>
      <c r="B349">
        <v>10</v>
      </c>
      <c r="C349" t="str" cm="1">
        <f t="array" ref="C349">GetValue("Eng",B349,"Name")</f>
        <v>DB2</v>
      </c>
      <c r="D349">
        <v>6</v>
      </c>
      <c r="E349" t="str" cm="1">
        <f t="array" ref="E349">GetValue("Typ",D349,"Name")</f>
        <v>datetime</v>
      </c>
      <c r="F349" t="s">
        <v>228</v>
      </c>
    </row>
    <row r="350" spans="1:7">
      <c r="A350">
        <f t="shared" si="5"/>
        <v>349</v>
      </c>
      <c r="B350">
        <v>10</v>
      </c>
      <c r="C350" t="str" cm="1">
        <f t="array" ref="C350">GetValue("Eng",B350,"Name")</f>
        <v>DB2</v>
      </c>
      <c r="D350">
        <v>7</v>
      </c>
      <c r="E350" t="str" cm="1">
        <f t="array" ref="E350">GetValue("Typ",D350,"Name")</f>
        <v>datetime2(s)</v>
      </c>
      <c r="F350" t="s">
        <v>228</v>
      </c>
      <c r="G350">
        <v>6</v>
      </c>
    </row>
    <row r="351" spans="1:7">
      <c r="A351">
        <f t="shared" si="5"/>
        <v>350</v>
      </c>
      <c r="B351">
        <v>10</v>
      </c>
      <c r="C351" t="str" cm="1">
        <f t="array" ref="C351">GetValue("Eng",B351,"Name")</f>
        <v>DB2</v>
      </c>
      <c r="D351">
        <v>8</v>
      </c>
      <c r="E351" t="str" cm="1">
        <f t="array" ref="E351">GetValue("Typ",D351,"Name")</f>
        <v>datetimeoffset(s)</v>
      </c>
      <c r="F351" t="s">
        <v>229</v>
      </c>
    </row>
    <row r="352" spans="1:7">
      <c r="A352">
        <f t="shared" si="5"/>
        <v>351</v>
      </c>
      <c r="B352">
        <v>10</v>
      </c>
      <c r="C352" t="str" cm="1">
        <f t="array" ref="C352">GetValue("Eng",B352,"Name")</f>
        <v>DB2</v>
      </c>
      <c r="D352">
        <v>9</v>
      </c>
      <c r="E352" t="str" cm="1">
        <f t="array" ref="E352">GetValue("Typ",D352,"Name")</f>
        <v>decimal(p ,s)</v>
      </c>
      <c r="F352" t="s">
        <v>267</v>
      </c>
    </row>
    <row r="353" spans="1:8">
      <c r="A353">
        <f t="shared" si="5"/>
        <v>352</v>
      </c>
      <c r="B353">
        <v>10</v>
      </c>
      <c r="C353" t="str" cm="1">
        <f t="array" ref="C353">GetValue("Eng",B353,"Name")</f>
        <v>DB2</v>
      </c>
      <c r="D353">
        <v>10</v>
      </c>
      <c r="E353" t="str" cm="1">
        <f t="array" ref="E353">GetValue("Typ",D353,"Name")</f>
        <v>float(n)</v>
      </c>
      <c r="F353" t="s">
        <v>230</v>
      </c>
    </row>
    <row r="354" spans="1:8">
      <c r="A354">
        <f t="shared" si="5"/>
        <v>353</v>
      </c>
      <c r="B354">
        <v>10</v>
      </c>
      <c r="C354" t="str" cm="1">
        <f t="array" ref="C354">GetValue("Eng",B354,"Name")</f>
        <v>DB2</v>
      </c>
      <c r="D354">
        <v>11</v>
      </c>
      <c r="E354" t="str" cm="1">
        <f t="array" ref="E354">GetValue("Typ",D354,"Name")</f>
        <v>geography</v>
      </c>
    </row>
    <row r="355" spans="1:8">
      <c r="A355">
        <f t="shared" si="5"/>
        <v>354</v>
      </c>
      <c r="B355">
        <v>10</v>
      </c>
      <c r="C355" t="str" cm="1">
        <f t="array" ref="C355">GetValue("Eng",B355,"Name")</f>
        <v>DB2</v>
      </c>
      <c r="D355">
        <v>12</v>
      </c>
      <c r="E355" t="str" cm="1">
        <f t="array" ref="E355">GetValue("Typ",D355,"Name")</f>
        <v>geometry</v>
      </c>
      <c r="F355" t="s">
        <v>277</v>
      </c>
    </row>
    <row r="356" spans="1:8">
      <c r="A356">
        <f t="shared" si="5"/>
        <v>355</v>
      </c>
      <c r="B356">
        <v>10</v>
      </c>
      <c r="C356" t="str" cm="1">
        <f t="array" ref="C356">GetValue("Eng",B356,"Name")</f>
        <v>DB2</v>
      </c>
      <c r="D356">
        <v>13</v>
      </c>
      <c r="E356" t="str" cm="1">
        <f t="array" ref="E356">GetValue("Typ",D356,"Name")</f>
        <v>hierarchyid</v>
      </c>
    </row>
    <row r="357" spans="1:8">
      <c r="A357">
        <f t="shared" si="5"/>
        <v>356</v>
      </c>
      <c r="B357">
        <v>10</v>
      </c>
      <c r="C357" t="str" cm="1">
        <f t="array" ref="C357">GetValue("Eng",B357,"Name")</f>
        <v>DB2</v>
      </c>
      <c r="D357">
        <v>14</v>
      </c>
      <c r="E357" t="str" cm="1">
        <f t="array" ref="E357">GetValue("Typ",D357,"Name")</f>
        <v>image</v>
      </c>
      <c r="F357" t="s">
        <v>276</v>
      </c>
    </row>
    <row r="358" spans="1:8">
      <c r="A358">
        <f t="shared" si="5"/>
        <v>357</v>
      </c>
      <c r="B358">
        <v>10</v>
      </c>
      <c r="C358" t="str" cm="1">
        <f t="array" ref="C358">GetValue("Eng",B358,"Name")</f>
        <v>DB2</v>
      </c>
      <c r="D358">
        <v>15</v>
      </c>
      <c r="E358" t="str" cm="1">
        <f t="array" ref="E358">GetValue("Typ",D358,"Name")</f>
        <v>int (4 bytes)</v>
      </c>
      <c r="F358" t="s">
        <v>231</v>
      </c>
    </row>
    <row r="359" spans="1:8">
      <c r="A359">
        <f t="shared" si="5"/>
        <v>358</v>
      </c>
      <c r="B359">
        <v>10</v>
      </c>
      <c r="C359" t="str" cm="1">
        <f t="array" ref="C359">GetValue("Eng",B359,"Name")</f>
        <v>DB2</v>
      </c>
      <c r="D359">
        <v>16</v>
      </c>
      <c r="E359" t="str" cm="1">
        <f t="array" ref="E359">GetValue("Typ",D359,"Name")</f>
        <v>money</v>
      </c>
      <c r="F359" t="s">
        <v>267</v>
      </c>
      <c r="G359">
        <v>19</v>
      </c>
      <c r="H359">
        <v>4</v>
      </c>
    </row>
    <row r="360" spans="1:8">
      <c r="A360">
        <f t="shared" si="5"/>
        <v>359</v>
      </c>
      <c r="B360">
        <v>10</v>
      </c>
      <c r="C360" t="str" cm="1">
        <f t="array" ref="C360">GetValue("Eng",B360,"Name")</f>
        <v>DB2</v>
      </c>
      <c r="D360">
        <v>17</v>
      </c>
      <c r="E360" t="str" cm="1">
        <f t="array" ref="E360">GetValue("Typ",D360,"Name")</f>
        <v>nchar(n)</v>
      </c>
      <c r="F360" t="s">
        <v>297</v>
      </c>
    </row>
    <row r="361" spans="1:8">
      <c r="A361">
        <f t="shared" si="5"/>
        <v>360</v>
      </c>
      <c r="B361">
        <v>10</v>
      </c>
      <c r="C361" t="str" cm="1">
        <f t="array" ref="C361">GetValue("Eng",B361,"Name")</f>
        <v>DB2</v>
      </c>
      <c r="D361">
        <v>18</v>
      </c>
      <c r="E361" t="str" cm="1">
        <f t="array" ref="E361">GetValue("Typ",D361,"Name")</f>
        <v>ntext</v>
      </c>
      <c r="F361" t="s">
        <v>287</v>
      </c>
    </row>
    <row r="362" spans="1:8">
      <c r="A362">
        <f t="shared" si="5"/>
        <v>361</v>
      </c>
      <c r="B362">
        <v>10</v>
      </c>
      <c r="C362" t="str" cm="1">
        <f t="array" ref="C362">GetValue("Eng",B362,"Name")</f>
        <v>DB2</v>
      </c>
      <c r="D362">
        <v>19</v>
      </c>
      <c r="E362" t="str" cm="1">
        <f t="array" ref="E362">GetValue("Typ",D362,"Name")</f>
        <v>numeric(p,s)</v>
      </c>
      <c r="F362" t="s">
        <v>268</v>
      </c>
    </row>
    <row r="363" spans="1:8">
      <c r="A363">
        <f t="shared" si="5"/>
        <v>362</v>
      </c>
      <c r="B363">
        <v>10</v>
      </c>
      <c r="C363" t="str" cm="1">
        <f t="array" ref="C363">GetValue("Eng",B363,"Name")</f>
        <v>DB2</v>
      </c>
      <c r="D363">
        <v>20</v>
      </c>
      <c r="E363" t="str" cm="1">
        <f t="array" ref="E363">GetValue("Typ",D363,"Name")</f>
        <v>nvarchar(n)</v>
      </c>
      <c r="F363" t="s">
        <v>298</v>
      </c>
    </row>
    <row r="364" spans="1:8">
      <c r="A364">
        <f t="shared" si="5"/>
        <v>363</v>
      </c>
      <c r="B364">
        <v>10</v>
      </c>
      <c r="C364" t="str" cm="1">
        <f t="array" ref="C364">GetValue("Eng",B364,"Name")</f>
        <v>DB2</v>
      </c>
      <c r="D364">
        <v>21</v>
      </c>
      <c r="E364" t="str" cm="1">
        <f t="array" ref="E364">GetValue("Typ",D364,"Name")</f>
        <v>nvarchar(max)</v>
      </c>
      <c r="F364" t="s">
        <v>287</v>
      </c>
    </row>
    <row r="365" spans="1:8">
      <c r="A365">
        <f t="shared" si="5"/>
        <v>364</v>
      </c>
      <c r="B365">
        <v>10</v>
      </c>
      <c r="C365" t="str" cm="1">
        <f t="array" ref="C365">GetValue("Eng",B365,"Name")</f>
        <v>DB2</v>
      </c>
      <c r="D365">
        <v>22</v>
      </c>
      <c r="E365" t="str" cm="1">
        <f t="array" ref="E365">GetValue("Typ",D365,"Name")</f>
        <v>real</v>
      </c>
      <c r="F365" t="s">
        <v>232</v>
      </c>
    </row>
    <row r="366" spans="1:8">
      <c r="A366">
        <f t="shared" si="5"/>
        <v>365</v>
      </c>
      <c r="B366">
        <v>10</v>
      </c>
      <c r="C366" t="str" cm="1">
        <f t="array" ref="C366">GetValue("Eng",B366,"Name")</f>
        <v>DB2</v>
      </c>
      <c r="D366">
        <v>23</v>
      </c>
      <c r="E366" t="str" cm="1">
        <f t="array" ref="E366">GetValue("Typ",D366,"Name")</f>
        <v>smalldatetime</v>
      </c>
      <c r="F366" t="s">
        <v>228</v>
      </c>
    </row>
    <row r="367" spans="1:8">
      <c r="A367">
        <f t="shared" si="5"/>
        <v>366</v>
      </c>
      <c r="B367">
        <v>10</v>
      </c>
      <c r="C367" t="str" cm="1">
        <f t="array" ref="C367">GetValue("Eng",B367,"Name")</f>
        <v>DB2</v>
      </c>
      <c r="D367">
        <v>24</v>
      </c>
      <c r="E367" t="str" cm="1">
        <f t="array" ref="E367">GetValue("Typ",D367,"Name")</f>
        <v>smallint (2 bytes)</v>
      </c>
      <c r="F367" t="s">
        <v>225</v>
      </c>
    </row>
    <row r="368" spans="1:8">
      <c r="A368">
        <f t="shared" si="5"/>
        <v>367</v>
      </c>
      <c r="B368">
        <v>10</v>
      </c>
      <c r="C368" t="str" cm="1">
        <f t="array" ref="C368">GetValue("Eng",B368,"Name")</f>
        <v>DB2</v>
      </c>
      <c r="D368">
        <v>25</v>
      </c>
      <c r="E368" t="str" cm="1">
        <f t="array" ref="E368">GetValue("Typ",D368,"Name")</f>
        <v>smallmoney</v>
      </c>
      <c r="F368" t="s">
        <v>267</v>
      </c>
      <c r="G368">
        <v>10</v>
      </c>
      <c r="H368">
        <v>4</v>
      </c>
    </row>
    <row r="369" spans="1:7">
      <c r="A369">
        <f t="shared" si="5"/>
        <v>368</v>
      </c>
      <c r="B369">
        <v>10</v>
      </c>
      <c r="C369" t="str" cm="1">
        <f t="array" ref="C369">GetValue("Eng",B369,"Name")</f>
        <v>DB2</v>
      </c>
      <c r="D369">
        <v>26</v>
      </c>
      <c r="E369" t="str" cm="1">
        <f t="array" ref="E369">GetValue("Typ",D369,"Name")</f>
        <v>sql_variant</v>
      </c>
      <c r="F369" t="s">
        <v>235</v>
      </c>
    </row>
    <row r="370" spans="1:7">
      <c r="A370">
        <f t="shared" si="5"/>
        <v>369</v>
      </c>
      <c r="B370">
        <v>10</v>
      </c>
      <c r="C370" t="str" cm="1">
        <f t="array" ref="C370">GetValue("Eng",B370,"Name")</f>
        <v>DB2</v>
      </c>
      <c r="D370">
        <v>27</v>
      </c>
      <c r="E370" t="str" cm="1">
        <f t="array" ref="E370">GetValue("Typ",D370,"Name")</f>
        <v>sysname</v>
      </c>
      <c r="F370" t="s">
        <v>234</v>
      </c>
      <c r="G370">
        <v>128</v>
      </c>
    </row>
    <row r="371" spans="1:7">
      <c r="A371">
        <f t="shared" si="5"/>
        <v>370</v>
      </c>
      <c r="B371">
        <v>10</v>
      </c>
      <c r="C371" t="str" cm="1">
        <f t="array" ref="C371">GetValue("Eng",B371,"Name")</f>
        <v>DB2</v>
      </c>
      <c r="D371">
        <v>28</v>
      </c>
      <c r="E371" t="str" cm="1">
        <f t="array" ref="E371">GetValue("Typ",D371,"Name")</f>
        <v>text</v>
      </c>
      <c r="F371" t="s">
        <v>287</v>
      </c>
    </row>
    <row r="372" spans="1:7">
      <c r="A372">
        <f t="shared" si="5"/>
        <v>371</v>
      </c>
      <c r="B372">
        <v>10</v>
      </c>
      <c r="C372" t="str" cm="1">
        <f t="array" ref="C372">GetValue("Eng",B372,"Name")</f>
        <v>DB2</v>
      </c>
      <c r="D372">
        <v>29</v>
      </c>
      <c r="E372" t="str" cm="1">
        <f t="array" ref="E372">GetValue("Typ",D372,"Name")</f>
        <v>time(s)</v>
      </c>
      <c r="F372" t="s">
        <v>233</v>
      </c>
    </row>
    <row r="373" spans="1:7">
      <c r="A373">
        <f t="shared" si="5"/>
        <v>372</v>
      </c>
      <c r="B373">
        <v>10</v>
      </c>
      <c r="C373" t="str" cm="1">
        <f t="array" ref="C373">GetValue("Eng",B373,"Name")</f>
        <v>DB2</v>
      </c>
      <c r="D373">
        <v>30</v>
      </c>
      <c r="E373" t="str" cm="1">
        <f t="array" ref="E373">GetValue("Typ",D373,"Name")</f>
        <v>timestamp</v>
      </c>
      <c r="F373" t="s">
        <v>228</v>
      </c>
    </row>
    <row r="374" spans="1:7">
      <c r="A374">
        <f t="shared" si="5"/>
        <v>373</v>
      </c>
      <c r="B374">
        <v>10</v>
      </c>
      <c r="C374" t="str" cm="1">
        <f t="array" ref="C374">GetValue("Eng",B374,"Name")</f>
        <v>DB2</v>
      </c>
      <c r="D374">
        <v>31</v>
      </c>
      <c r="E374" t="str" cm="1">
        <f t="array" ref="E374">GetValue("Typ",D374,"Name")</f>
        <v>tinyint (1 byte)</v>
      </c>
      <c r="F374" t="s">
        <v>225</v>
      </c>
    </row>
    <row r="375" spans="1:7">
      <c r="A375">
        <f t="shared" si="5"/>
        <v>374</v>
      </c>
      <c r="B375">
        <v>10</v>
      </c>
      <c r="C375" t="str" cm="1">
        <f t="array" ref="C375">GetValue("Eng",B375,"Name")</f>
        <v>DB2</v>
      </c>
      <c r="D375">
        <v>32</v>
      </c>
      <c r="E375" t="str" cm="1">
        <f t="array" ref="E375">GetValue("Typ",D375,"Name")</f>
        <v>uniqueidentifier</v>
      </c>
      <c r="F375" t="s">
        <v>226</v>
      </c>
      <c r="G375">
        <v>36</v>
      </c>
    </row>
    <row r="376" spans="1:7">
      <c r="A376">
        <f t="shared" si="5"/>
        <v>375</v>
      </c>
      <c r="B376">
        <v>10</v>
      </c>
      <c r="C376" t="str" cm="1">
        <f t="array" ref="C376">GetValue("Eng",B376,"Name")</f>
        <v>DB2</v>
      </c>
      <c r="D376">
        <v>33</v>
      </c>
      <c r="E376" t="str" cm="1">
        <f t="array" ref="E376">GetValue("Typ",D376,"Name")</f>
        <v>varbinary(n)</v>
      </c>
      <c r="F376" t="s">
        <v>276</v>
      </c>
    </row>
    <row r="377" spans="1:7">
      <c r="A377">
        <f t="shared" si="5"/>
        <v>376</v>
      </c>
      <c r="B377">
        <v>10</v>
      </c>
      <c r="C377" t="str" cm="1">
        <f t="array" ref="C377">GetValue("Eng",B377,"Name")</f>
        <v>DB2</v>
      </c>
      <c r="D377">
        <v>34</v>
      </c>
      <c r="E377" t="str" cm="1">
        <f t="array" ref="E377">GetValue("Typ",D377,"Name")</f>
        <v>varbinary(max)</v>
      </c>
      <c r="F377" t="s">
        <v>276</v>
      </c>
    </row>
    <row r="378" spans="1:7">
      <c r="A378">
        <f t="shared" si="5"/>
        <v>377</v>
      </c>
      <c r="B378">
        <v>10</v>
      </c>
      <c r="C378" t="str" cm="1">
        <f t="array" ref="C378">GetValue("Eng",B378,"Name")</f>
        <v>DB2</v>
      </c>
      <c r="D378">
        <v>35</v>
      </c>
      <c r="E378" t="str" cm="1">
        <f t="array" ref="E378">GetValue("Typ",D378,"Name")</f>
        <v>varchar(n)</v>
      </c>
      <c r="F378" t="s">
        <v>234</v>
      </c>
    </row>
    <row r="379" spans="1:7">
      <c r="A379">
        <f t="shared" si="5"/>
        <v>378</v>
      </c>
      <c r="B379">
        <v>10</v>
      </c>
      <c r="C379" t="str" cm="1">
        <f t="array" ref="C379">GetValue("Eng",B379,"Name")</f>
        <v>DB2</v>
      </c>
      <c r="D379">
        <v>36</v>
      </c>
      <c r="E379" t="str" cm="1">
        <f t="array" ref="E379">GetValue("Typ",D379,"Name")</f>
        <v>varchar(max)</v>
      </c>
      <c r="F379" t="s">
        <v>287</v>
      </c>
    </row>
    <row r="380" spans="1:7">
      <c r="A380">
        <f t="shared" si="5"/>
        <v>379</v>
      </c>
      <c r="B380">
        <v>10</v>
      </c>
      <c r="C380" t="str" cm="1">
        <f t="array" ref="C380">GetValue("Eng",B380,"Name")</f>
        <v>DB2</v>
      </c>
      <c r="D380">
        <v>37</v>
      </c>
      <c r="E380" t="str" cm="1">
        <f t="array" ref="E380">GetValue("Typ",D380,"Name")</f>
        <v>xml</v>
      </c>
      <c r="F380" t="s">
        <v>235</v>
      </c>
    </row>
    <row r="381" spans="1:7">
      <c r="A381">
        <f t="shared" si="5"/>
        <v>380</v>
      </c>
      <c r="B381">
        <v>10</v>
      </c>
      <c r="C381" t="str" cm="1">
        <f t="array" ref="C381">GetValue("Eng",B381,"Name")</f>
        <v>DB2</v>
      </c>
      <c r="D381">
        <v>38</v>
      </c>
      <c r="E381" t="str" cm="1">
        <f t="array" ref="E381">GetValue("Typ",D381,"Name")</f>
        <v>json</v>
      </c>
      <c r="F381" t="s">
        <v>65</v>
      </c>
    </row>
  </sheetData>
  <sortState xmlns:xlrd2="http://schemas.microsoft.com/office/spreadsheetml/2017/richdata2" ref="B2:F190">
    <sortCondition ref="D2:D190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75ED-4EC6-42E8-A441-6F54A9F43DE1}">
  <sheetPr codeName="Planilha11"/>
  <dimension ref="A1:F6"/>
  <sheetViews>
    <sheetView workbookViewId="0">
      <pane ySplit="1" topLeftCell="A2" activePane="bottomLeft" state="frozen"/>
      <selection pane="bottomLeft" activeCell="C7" sqref="C7"/>
    </sheetView>
  </sheetViews>
  <sheetFormatPr defaultRowHeight="14.4"/>
  <cols>
    <col min="1" max="1" width="2.6640625" bestFit="1" customWidth="1"/>
    <col min="2" max="2" width="9" bestFit="1" customWidth="1"/>
    <col min="3" max="3" width="143.109375" customWidth="1"/>
    <col min="4" max="4" width="8.6640625" bestFit="1" customWidth="1"/>
    <col min="5" max="5" width="13.44140625" bestFit="1" customWidth="1"/>
    <col min="6" max="6" width="12.44140625" bestFit="1" customWidth="1"/>
  </cols>
  <sheetData>
    <row r="1" spans="1:6" s="1" customFormat="1">
      <c r="A1" s="1" t="s">
        <v>0</v>
      </c>
      <c r="B1" s="1" t="s">
        <v>1</v>
      </c>
      <c r="C1" s="1" t="s">
        <v>255</v>
      </c>
      <c r="D1" s="1" t="s">
        <v>473</v>
      </c>
      <c r="E1" s="1" t="s">
        <v>254</v>
      </c>
      <c r="F1" s="1" t="s">
        <v>24</v>
      </c>
    </row>
    <row r="2" spans="1:6">
      <c r="A2">
        <f>ROW(A2)-1</f>
        <v>1</v>
      </c>
      <c r="B2" t="s">
        <v>385</v>
      </c>
      <c r="C2" t="s">
        <v>256</v>
      </c>
      <c r="D2">
        <v>1</v>
      </c>
      <c r="E2" t="str" cm="1">
        <f t="array" ref="E2">GetValue("Eng",D2,"Name")</f>
        <v>SQL Server</v>
      </c>
      <c r="F2" t="b">
        <v>1</v>
      </c>
    </row>
    <row r="3" spans="1:6">
      <c r="A3">
        <f>ROW(A3)-1</f>
        <v>2</v>
      </c>
      <c r="B3" t="s">
        <v>257</v>
      </c>
      <c r="C3" t="s">
        <v>258</v>
      </c>
      <c r="D3">
        <v>1</v>
      </c>
      <c r="E3" t="str" cm="1">
        <f t="array" ref="E3">GetValue("Eng",D3,"Name")</f>
        <v>SQL Server</v>
      </c>
      <c r="F3" t="b">
        <v>1</v>
      </c>
    </row>
    <row r="4" spans="1:6">
      <c r="A4">
        <f>ROW(A4)-1</f>
        <v>3</v>
      </c>
      <c r="B4" t="s">
        <v>259</v>
      </c>
      <c r="C4" t="s">
        <v>260</v>
      </c>
      <c r="D4">
        <v>1</v>
      </c>
      <c r="E4" t="str" cm="1">
        <f t="array" ref="E4">GetValue("Eng",D4,"Name")</f>
        <v>SQL Server</v>
      </c>
      <c r="F4" t="b">
        <v>1</v>
      </c>
    </row>
    <row r="5" spans="1:6">
      <c r="A5">
        <f>ROW(A5)-1</f>
        <v>4</v>
      </c>
      <c r="B5" t="s">
        <v>261</v>
      </c>
      <c r="C5" t="s">
        <v>262</v>
      </c>
      <c r="D5">
        <v>1</v>
      </c>
      <c r="E5" t="str" cm="1">
        <f t="array" ref="E5">GetValue("Eng",D5,"Name")</f>
        <v>SQL Server</v>
      </c>
      <c r="F5" t="b">
        <v>1</v>
      </c>
    </row>
    <row r="6" spans="1:6">
      <c r="A6">
        <f>ROW(A6)-1</f>
        <v>5</v>
      </c>
      <c r="B6" t="s">
        <v>263</v>
      </c>
      <c r="C6" t="s">
        <v>264</v>
      </c>
      <c r="D6">
        <v>1</v>
      </c>
      <c r="E6" t="str" cm="1">
        <f t="array" ref="E6">GetValue("Eng",D6,"Name")</f>
        <v>SQL Server</v>
      </c>
      <c r="F6" t="b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DC5-E5BB-49A9-898A-A8031B139200}">
  <sheetPr codeName="planDomains"/>
  <dimension ref="A1:O53"/>
  <sheetViews>
    <sheetView zoomScaleNormal="100" workbookViewId="0">
      <pane ySplit="1" topLeftCell="A2" activePane="bottomLeft" state="frozen"/>
      <selection pane="bottomLeft" activeCell="A43" sqref="A43"/>
    </sheetView>
  </sheetViews>
  <sheetFormatPr defaultColWidth="54.88671875" defaultRowHeight="14.4"/>
  <cols>
    <col min="1" max="1" width="3" bestFit="1" customWidth="1"/>
    <col min="2" max="2" width="8" bestFit="1" customWidth="1"/>
    <col min="3" max="3" width="12.5546875" bestFit="1" customWidth="1"/>
    <col min="4" max="4" width="7" bestFit="1" customWidth="1"/>
    <col min="5" max="5" width="16.44140625" bestFit="1" customWidth="1"/>
    <col min="6" max="6" width="15.33203125" bestFit="1" customWidth="1"/>
    <col min="7" max="7" width="17.6640625" bestFit="1" customWidth="1"/>
    <col min="8" max="8" width="7" bestFit="1" customWidth="1"/>
    <col min="9" max="9" width="9" bestFit="1" customWidth="1"/>
    <col min="10" max="10" width="7.5546875" bestFit="1" customWidth="1"/>
    <col min="11" max="11" width="9.6640625" bestFit="1" customWidth="1"/>
    <col min="12" max="12" width="10" bestFit="1" customWidth="1"/>
    <col min="13" max="13" width="10.44140625" bestFit="1" customWidth="1"/>
    <col min="14" max="14" width="40" bestFit="1" customWidth="1"/>
    <col min="15" max="15" width="26.5546875" bestFit="1" customWidth="1"/>
  </cols>
  <sheetData>
    <row r="1" spans="1:15" s="1" customFormat="1">
      <c r="A1" s="1" t="s">
        <v>0</v>
      </c>
      <c r="B1" s="1" t="s">
        <v>433</v>
      </c>
      <c r="C1" s="1" t="s">
        <v>342</v>
      </c>
      <c r="D1" s="1" t="s">
        <v>53</v>
      </c>
      <c r="E1" s="1" t="s">
        <v>147</v>
      </c>
      <c r="F1" s="1" t="s">
        <v>146</v>
      </c>
      <c r="G1" s="1" t="s">
        <v>1</v>
      </c>
      <c r="H1" s="1" t="s">
        <v>55</v>
      </c>
      <c r="I1" s="1" t="s">
        <v>56</v>
      </c>
      <c r="J1" s="1" t="s">
        <v>57</v>
      </c>
      <c r="K1" s="1" t="s">
        <v>17</v>
      </c>
      <c r="L1" s="1" t="s">
        <v>18</v>
      </c>
      <c r="M1" s="1" t="s">
        <v>525</v>
      </c>
      <c r="N1" s="1" t="s">
        <v>140</v>
      </c>
      <c r="O1" s="1" t="s">
        <v>754</v>
      </c>
    </row>
    <row r="2" spans="1:15">
      <c r="A2">
        <f>ROW(A2)-1</f>
        <v>1</v>
      </c>
      <c r="B2">
        <v>1</v>
      </c>
      <c r="C2" t="str" cm="1">
        <f t="array" ref="C2">GetValue("Cli",B2,"Name")</f>
        <v>SoftLab</v>
      </c>
      <c r="D2">
        <v>1</v>
      </c>
      <c r="E2" t="str" cm="1">
        <f t="array" ref="E2">GetValue("Typ",D2,"Name")</f>
        <v>bigint (8 bytes)</v>
      </c>
      <c r="F2" t="str" cm="1">
        <f t="array" ref="F2">GetValue("Typ",D2,"#CategoryName")</f>
        <v>number</v>
      </c>
      <c r="G2" t="s">
        <v>58</v>
      </c>
      <c r="K2" s="3"/>
      <c r="L2" s="3"/>
    </row>
    <row r="3" spans="1:15">
      <c r="A3">
        <f t="shared" ref="A3:A33" si="0">ROW(A3)-1</f>
        <v>2</v>
      </c>
      <c r="B3">
        <v>1</v>
      </c>
      <c r="C3" t="str" cm="1">
        <f t="array" ref="C3">GetValue("Cli",B3,"Name")</f>
        <v>SoftLab</v>
      </c>
      <c r="D3">
        <v>15</v>
      </c>
      <c r="E3" t="str" cm="1">
        <f t="array" ref="E3">GetValue("Typ",D3,"Name")</f>
        <v>int (4 bytes)</v>
      </c>
      <c r="F3" t="str" cm="1">
        <f t="array" ref="F3">GetValue("Typ",D3,"#CategoryName")</f>
        <v>number</v>
      </c>
      <c r="G3" t="s">
        <v>59</v>
      </c>
    </row>
    <row r="4" spans="1:15">
      <c r="A4">
        <f t="shared" si="0"/>
        <v>3</v>
      </c>
      <c r="B4">
        <v>1</v>
      </c>
      <c r="C4" t="str" cm="1">
        <f t="array" ref="C4">GetValue("Cli",B4,"Name")</f>
        <v>SoftLab</v>
      </c>
      <c r="D4">
        <v>15</v>
      </c>
      <c r="E4" t="str" cm="1">
        <f t="array" ref="E4">GetValue("Typ",D4,"Name")</f>
        <v>int (4 bytes)</v>
      </c>
      <c r="F4" t="str" cm="1">
        <f t="array" ref="F4">GetValue("Typ",D4,"#CategoryName")</f>
        <v>number</v>
      </c>
      <c r="G4" t="s">
        <v>60</v>
      </c>
      <c r="K4">
        <v>-65536</v>
      </c>
      <c r="L4">
        <v>65535</v>
      </c>
    </row>
    <row r="5" spans="1:15">
      <c r="A5">
        <f t="shared" si="0"/>
        <v>4</v>
      </c>
      <c r="B5">
        <v>1</v>
      </c>
      <c r="C5" t="str" cm="1">
        <f t="array" ref="C5">GetValue("Cli",B5,"Name")</f>
        <v>SoftLab</v>
      </c>
      <c r="D5">
        <v>24</v>
      </c>
      <c r="E5" t="str" cm="1">
        <f t="array" ref="E5">GetValue("Typ",D5,"Name")</f>
        <v>smallint (2 bytes)</v>
      </c>
      <c r="F5" t="str" cm="1">
        <f t="array" ref="F5">GetValue("Typ",D5,"#CategoryName")</f>
        <v>number</v>
      </c>
      <c r="G5" t="s">
        <v>61</v>
      </c>
    </row>
    <row r="6" spans="1:15">
      <c r="A6">
        <f t="shared" si="0"/>
        <v>5</v>
      </c>
      <c r="B6">
        <v>1</v>
      </c>
      <c r="C6" t="str" cm="1">
        <f t="array" ref="C6">GetValue("Cli",B6,"Name")</f>
        <v>SoftLab</v>
      </c>
      <c r="D6">
        <v>31</v>
      </c>
      <c r="E6" t="str" cm="1">
        <f t="array" ref="E6">GetValue("Typ",D6,"Name")</f>
        <v>tinyint (1 byte)</v>
      </c>
      <c r="F6" t="str" cm="1">
        <f t="array" ref="F6">GetValue("Typ",D6,"#CategoryName")</f>
        <v>number</v>
      </c>
      <c r="G6" t="s">
        <v>62</v>
      </c>
    </row>
    <row r="7" spans="1:15">
      <c r="A7">
        <f t="shared" si="0"/>
        <v>6</v>
      </c>
      <c r="B7">
        <v>1</v>
      </c>
      <c r="C7" t="str" cm="1">
        <f t="array" ref="C7">GetValue("Cli",B7,"Name")</f>
        <v>SoftLab</v>
      </c>
      <c r="D7">
        <v>3</v>
      </c>
      <c r="E7" t="str" cm="1">
        <f t="array" ref="E7">GetValue("Typ",D7,"Name")</f>
        <v>bit (1 bit)</v>
      </c>
      <c r="F7" t="str" cm="1">
        <f t="array" ref="F7">GetValue("Typ",D7,"#CategoryName")</f>
        <v>boolean</v>
      </c>
      <c r="G7" t="s">
        <v>63</v>
      </c>
    </row>
    <row r="8" spans="1:15">
      <c r="A8">
        <f t="shared" si="0"/>
        <v>7</v>
      </c>
      <c r="B8">
        <v>1</v>
      </c>
      <c r="C8" t="str" cm="1">
        <f t="array" ref="C8">GetValue("Cli",B8,"Name")</f>
        <v>SoftLab</v>
      </c>
      <c r="D8">
        <v>6</v>
      </c>
      <c r="E8" t="str" cm="1">
        <f t="array" ref="E8">GetValue("Typ",D8,"Name")</f>
        <v>datetime</v>
      </c>
      <c r="F8" t="str" cm="1">
        <f t="array" ref="F8">GetValue("Typ",D8,"#CategoryName")</f>
        <v>datetime</v>
      </c>
      <c r="G8" t="s">
        <v>244</v>
      </c>
    </row>
    <row r="9" spans="1:15">
      <c r="A9">
        <f t="shared" si="0"/>
        <v>8</v>
      </c>
      <c r="B9">
        <v>1</v>
      </c>
      <c r="C9" t="str" cm="1">
        <f t="array" ref="C9">GetValue("Cli",B9,"Name")</f>
        <v>SoftLab</v>
      </c>
      <c r="D9">
        <v>20</v>
      </c>
      <c r="E9" t="str" cm="1">
        <f t="array" ref="E9">GetValue("Typ",D9,"Name")</f>
        <v>nvarchar(n)</v>
      </c>
      <c r="F9" t="str" cm="1">
        <f t="array" ref="F9">GetValue("Typ",D9,"#CategoryName")</f>
        <v>string</v>
      </c>
      <c r="G9" t="s">
        <v>179</v>
      </c>
      <c r="H9">
        <v>15</v>
      </c>
    </row>
    <row r="10" spans="1:15">
      <c r="A10">
        <f t="shared" si="0"/>
        <v>9</v>
      </c>
      <c r="B10">
        <v>1</v>
      </c>
      <c r="C10" t="str" cm="1">
        <f t="array" ref="C10">GetValue("Cli",B10,"Name")</f>
        <v>SoftLab</v>
      </c>
      <c r="D10">
        <v>20</v>
      </c>
      <c r="E10" t="str" cm="1">
        <f t="array" ref="E10">GetValue("Typ",D10,"Name")</f>
        <v>nvarchar(n)</v>
      </c>
      <c r="F10" t="str" cm="1">
        <f t="array" ref="F10">GetValue("Typ",D10,"#CategoryName")</f>
        <v>string</v>
      </c>
      <c r="G10" t="s">
        <v>180</v>
      </c>
      <c r="H10">
        <v>20</v>
      </c>
    </row>
    <row r="11" spans="1:15">
      <c r="A11">
        <f t="shared" si="0"/>
        <v>10</v>
      </c>
      <c r="B11">
        <v>1</v>
      </c>
      <c r="C11" t="str" cm="1">
        <f t="array" ref="C11">GetValue("Cli",B11,"Name")</f>
        <v>SoftLab</v>
      </c>
      <c r="D11">
        <v>20</v>
      </c>
      <c r="E11" t="str" cm="1">
        <f t="array" ref="E11">GetValue("Typ",D11,"Name")</f>
        <v>nvarchar(n)</v>
      </c>
      <c r="F11" t="str" cm="1">
        <f t="array" ref="F11">GetValue("Typ",D11,"#CategoryName")</f>
        <v>string</v>
      </c>
      <c r="G11" t="s">
        <v>181</v>
      </c>
      <c r="H11">
        <v>25</v>
      </c>
    </row>
    <row r="12" spans="1:15">
      <c r="A12">
        <f t="shared" si="0"/>
        <v>11</v>
      </c>
      <c r="B12">
        <v>1</v>
      </c>
      <c r="C12" t="str" cm="1">
        <f t="array" ref="C12">GetValue("Cli",B12,"Name")</f>
        <v>SoftLab</v>
      </c>
      <c r="D12">
        <v>20</v>
      </c>
      <c r="E12" t="str" cm="1">
        <f t="array" ref="E12">GetValue("Typ",D12,"Name")</f>
        <v>nvarchar(n)</v>
      </c>
      <c r="F12" t="str" cm="1">
        <f t="array" ref="F12">GetValue("Typ",D12,"#CategoryName")</f>
        <v>string</v>
      </c>
      <c r="G12" t="s">
        <v>182</v>
      </c>
      <c r="H12">
        <v>50</v>
      </c>
    </row>
    <row r="13" spans="1:15">
      <c r="A13">
        <f t="shared" si="0"/>
        <v>12</v>
      </c>
      <c r="B13">
        <v>1</v>
      </c>
      <c r="C13" t="str" cm="1">
        <f t="array" ref="C13">GetValue("Cli",B13,"Name")</f>
        <v>SoftLab</v>
      </c>
      <c r="D13">
        <v>20</v>
      </c>
      <c r="E13" t="str" cm="1">
        <f t="array" ref="E13">GetValue("Typ",D13,"Name")</f>
        <v>nvarchar(n)</v>
      </c>
      <c r="F13" t="str" cm="1">
        <f t="array" ref="F13">GetValue("Typ",D13,"#CategoryName")</f>
        <v>string</v>
      </c>
      <c r="G13" t="s">
        <v>183</v>
      </c>
      <c r="H13">
        <v>256</v>
      </c>
    </row>
    <row r="14" spans="1:15">
      <c r="A14">
        <f t="shared" si="0"/>
        <v>13</v>
      </c>
      <c r="B14">
        <v>1</v>
      </c>
      <c r="C14" t="str" cm="1">
        <f t="array" ref="C14">GetValue("Cli",B14,"Name")</f>
        <v>SoftLab</v>
      </c>
      <c r="D14">
        <v>21</v>
      </c>
      <c r="E14" t="str" cm="1">
        <f t="array" ref="E14">GetValue("Typ",D14,"Name")</f>
        <v>nvarchar(max)</v>
      </c>
      <c r="F14" t="str" cm="1">
        <f t="array" ref="F14">GetValue("Typ",D14,"#CategoryName")</f>
        <v>text</v>
      </c>
      <c r="G14" t="s">
        <v>447</v>
      </c>
    </row>
    <row r="15" spans="1:15">
      <c r="A15">
        <f>ROW(A15)-1</f>
        <v>14</v>
      </c>
      <c r="B15">
        <v>1</v>
      </c>
      <c r="C15" t="str" cm="1">
        <f t="array" ref="C15">GetValue("Cli",B15,"Name")</f>
        <v>SoftLab</v>
      </c>
      <c r="D15">
        <v>17</v>
      </c>
      <c r="E15" t="str" cm="1">
        <f t="array" ref="E15">GetValue("Typ",D15,"Name")</f>
        <v>nchar(n)</v>
      </c>
      <c r="F15" t="str" cm="1">
        <f t="array" ref="F15">GetValue("Typ",D15,"#CategoryName")</f>
        <v>string</v>
      </c>
      <c r="G15" t="s">
        <v>761</v>
      </c>
      <c r="H15">
        <v>1</v>
      </c>
    </row>
    <row r="16" spans="1:15">
      <c r="A16">
        <f t="shared" si="0"/>
        <v>15</v>
      </c>
      <c r="B16">
        <v>1</v>
      </c>
      <c r="C16" t="str" cm="1">
        <f t="array" ref="C16">GetValue("Cli",B16,"Name")</f>
        <v>SoftLab</v>
      </c>
      <c r="D16">
        <v>35</v>
      </c>
      <c r="E16" t="str" cm="1">
        <f t="array" ref="E16">GetValue("Typ",D16,"Name")</f>
        <v>varchar(n)</v>
      </c>
      <c r="F16" t="str" cm="1">
        <f t="array" ref="F16">GetValue("Typ",D16,"#CategoryName")</f>
        <v>string</v>
      </c>
      <c r="G16" t="s">
        <v>441</v>
      </c>
      <c r="H16">
        <v>15</v>
      </c>
    </row>
    <row r="17" spans="1:8">
      <c r="A17">
        <f t="shared" si="0"/>
        <v>16</v>
      </c>
      <c r="B17">
        <v>1</v>
      </c>
      <c r="C17" t="str" cm="1">
        <f t="array" ref="C17">GetValue("Cli",B17,"Name")</f>
        <v>SoftLab</v>
      </c>
      <c r="D17">
        <v>35</v>
      </c>
      <c r="E17" t="str" cm="1">
        <f t="array" ref="E17">GetValue("Typ",D17,"Name")</f>
        <v>varchar(n)</v>
      </c>
      <c r="F17" t="str" cm="1">
        <f t="array" ref="F17">GetValue("Typ",D17,"#CategoryName")</f>
        <v>string</v>
      </c>
      <c r="G17" t="s">
        <v>442</v>
      </c>
      <c r="H17">
        <v>20</v>
      </c>
    </row>
    <row r="18" spans="1:8">
      <c r="A18">
        <f t="shared" si="0"/>
        <v>17</v>
      </c>
      <c r="B18">
        <v>1</v>
      </c>
      <c r="C18" t="str" cm="1">
        <f t="array" ref="C18">GetValue("Cli",B18,"Name")</f>
        <v>SoftLab</v>
      </c>
      <c r="D18">
        <v>35</v>
      </c>
      <c r="E18" t="str" cm="1">
        <f t="array" ref="E18">GetValue("Typ",D18,"Name")</f>
        <v>varchar(n)</v>
      </c>
      <c r="F18" t="str" cm="1">
        <f t="array" ref="F18">GetValue("Typ",D18,"#CategoryName")</f>
        <v>string</v>
      </c>
      <c r="G18" t="s">
        <v>443</v>
      </c>
      <c r="H18">
        <v>25</v>
      </c>
    </row>
    <row r="19" spans="1:8">
      <c r="A19">
        <f t="shared" si="0"/>
        <v>18</v>
      </c>
      <c r="B19">
        <v>1</v>
      </c>
      <c r="C19" t="str" cm="1">
        <f t="array" ref="C19">GetValue("Cli",B19,"Name")</f>
        <v>SoftLab</v>
      </c>
      <c r="D19">
        <v>35</v>
      </c>
      <c r="E19" t="str" cm="1">
        <f t="array" ref="E19">GetValue("Typ",D19,"Name")</f>
        <v>varchar(n)</v>
      </c>
      <c r="F19" t="str" cm="1">
        <f t="array" ref="F19">GetValue("Typ",D19,"#CategoryName")</f>
        <v>string</v>
      </c>
      <c r="G19" t="s">
        <v>444</v>
      </c>
      <c r="H19">
        <v>50</v>
      </c>
    </row>
    <row r="20" spans="1:8">
      <c r="A20">
        <f t="shared" si="0"/>
        <v>19</v>
      </c>
      <c r="B20">
        <v>1</v>
      </c>
      <c r="C20" t="str" cm="1">
        <f t="array" ref="C20">GetValue("Cli",B20,"Name")</f>
        <v>SoftLab</v>
      </c>
      <c r="D20">
        <v>35</v>
      </c>
      <c r="E20" t="str" cm="1">
        <f t="array" ref="E20">GetValue("Typ",D20,"Name")</f>
        <v>varchar(n)</v>
      </c>
      <c r="F20" t="str" cm="1">
        <f t="array" ref="F20">GetValue("Typ",D20,"#CategoryName")</f>
        <v>string</v>
      </c>
      <c r="G20" t="s">
        <v>445</v>
      </c>
      <c r="H20">
        <v>256</v>
      </c>
    </row>
    <row r="21" spans="1:8">
      <c r="A21">
        <f t="shared" si="0"/>
        <v>20</v>
      </c>
      <c r="B21">
        <v>1</v>
      </c>
      <c r="C21" t="str" cm="1">
        <f t="array" ref="C21">GetValue("Cli",B21,"Name")</f>
        <v>SoftLab</v>
      </c>
      <c r="D21">
        <v>36</v>
      </c>
      <c r="E21" t="str" cm="1">
        <f t="array" ref="E21">GetValue("Typ",D21,"Name")</f>
        <v>varchar(max)</v>
      </c>
      <c r="F21" t="str" cm="1">
        <f t="array" ref="F21">GetValue("Typ",D21,"#CategoryName")</f>
        <v>text</v>
      </c>
      <c r="G21" t="s">
        <v>448</v>
      </c>
      <c r="H21">
        <v>256</v>
      </c>
    </row>
    <row r="22" spans="1:8">
      <c r="A22">
        <f t="shared" si="0"/>
        <v>21</v>
      </c>
      <c r="B22">
        <v>1</v>
      </c>
      <c r="C22" t="str" cm="1">
        <f t="array" ref="C22">GetValue("Cli",B22,"Name")</f>
        <v>SoftLab</v>
      </c>
      <c r="D22">
        <v>4</v>
      </c>
      <c r="E22" t="str" cm="1">
        <f t="array" ref="E22">GetValue("Typ",D22,"Name")</f>
        <v>char(n)</v>
      </c>
      <c r="F22" t="str" cm="1">
        <f t="array" ref="F22">GetValue("Typ",D22,"#CategoryName")</f>
        <v>string</v>
      </c>
      <c r="G22" t="s">
        <v>760</v>
      </c>
      <c r="H22">
        <v>1</v>
      </c>
    </row>
    <row r="23" spans="1:8">
      <c r="A23">
        <f t="shared" si="0"/>
        <v>22</v>
      </c>
      <c r="B23">
        <v>1</v>
      </c>
      <c r="C23" t="str" cm="1">
        <f t="array" ref="C23">GetValue("Cli",B23,"Name")</f>
        <v>SoftLab</v>
      </c>
      <c r="D23">
        <v>17</v>
      </c>
      <c r="E23" t="str" cm="1">
        <f t="array" ref="E23">GetValue("Typ",D23,"Name")</f>
        <v>nchar(n)</v>
      </c>
      <c r="F23" t="str" cm="1">
        <f t="array" ref="F23">GetValue("Typ",D23,"#CategoryName")</f>
        <v>string</v>
      </c>
      <c r="G23" t="s">
        <v>446</v>
      </c>
      <c r="H23">
        <v>8</v>
      </c>
    </row>
    <row r="24" spans="1:8">
      <c r="A24">
        <f t="shared" si="0"/>
        <v>23</v>
      </c>
      <c r="B24">
        <v>1</v>
      </c>
      <c r="C24" t="str" cm="1">
        <f t="array" ref="C24">GetValue("Cli",B24,"Name")</f>
        <v>SoftLab</v>
      </c>
      <c r="D24">
        <v>17</v>
      </c>
      <c r="E24" t="str" cm="1">
        <f t="array" ref="E24">GetValue("Typ",D24,"Name")</f>
        <v>nchar(n)</v>
      </c>
      <c r="F24" t="str" cm="1">
        <f t="array" ref="F24">GetValue("Typ",D24,"#CategoryName")</f>
        <v>string</v>
      </c>
      <c r="G24" t="s">
        <v>299</v>
      </c>
      <c r="H24">
        <v>11</v>
      </c>
    </row>
    <row r="25" spans="1:8">
      <c r="A25">
        <f t="shared" si="0"/>
        <v>24</v>
      </c>
      <c r="B25">
        <v>1</v>
      </c>
      <c r="C25" t="str" cm="1">
        <f t="array" ref="C25">GetValue("Cli",B25,"Name")</f>
        <v>SoftLab</v>
      </c>
      <c r="D25">
        <v>17</v>
      </c>
      <c r="E25" t="str" cm="1">
        <f t="array" ref="E25">GetValue("Typ",D25,"Name")</f>
        <v>nchar(n)</v>
      </c>
      <c r="F25" t="str" cm="1">
        <f t="array" ref="F25">GetValue("Typ",D25,"#CategoryName")</f>
        <v>string</v>
      </c>
      <c r="G25" t="s">
        <v>300</v>
      </c>
      <c r="H25">
        <v>14</v>
      </c>
    </row>
    <row r="26" spans="1:8">
      <c r="A26">
        <f t="shared" si="0"/>
        <v>25</v>
      </c>
      <c r="B26">
        <v>1</v>
      </c>
      <c r="C26" t="str" cm="1">
        <f t="array" ref="C26">GetValue("Cli",B26,"Name")</f>
        <v>SoftLab</v>
      </c>
      <c r="D26">
        <v>20</v>
      </c>
      <c r="E26" t="str" cm="1">
        <f t="array" ref="E26">GetValue("Typ",D26,"Name")</f>
        <v>nvarchar(n)</v>
      </c>
      <c r="F26" t="str" cm="1">
        <f t="array" ref="F26">GetValue("Typ",D26,"#CategoryName")</f>
        <v>string</v>
      </c>
      <c r="G26" t="s">
        <v>301</v>
      </c>
      <c r="H26">
        <v>14</v>
      </c>
    </row>
    <row r="27" spans="1:8">
      <c r="A27">
        <f t="shared" si="0"/>
        <v>26</v>
      </c>
      <c r="B27">
        <v>1</v>
      </c>
      <c r="C27" t="str" cm="1">
        <f t="array" ref="C27">GetValue("Cli",B27,"Name")</f>
        <v>SoftLab</v>
      </c>
      <c r="D27">
        <v>20</v>
      </c>
      <c r="E27" t="str" cm="1">
        <f t="array" ref="E27">GetValue("Typ",D27,"Name")</f>
        <v>nvarchar(n)</v>
      </c>
      <c r="F27" t="str" cm="1">
        <f t="array" ref="F27">GetValue("Typ",D27,"#CategoryName")</f>
        <v>string</v>
      </c>
      <c r="G27" t="s">
        <v>354</v>
      </c>
      <c r="H27">
        <v>14</v>
      </c>
    </row>
    <row r="28" spans="1:8">
      <c r="A28">
        <f t="shared" si="0"/>
        <v>27</v>
      </c>
      <c r="B28">
        <v>1</v>
      </c>
      <c r="C28" t="str" cm="1">
        <f t="array" ref="C28">GetValue("Cli",B28,"Name")</f>
        <v>SoftLab</v>
      </c>
      <c r="D28">
        <v>20</v>
      </c>
      <c r="E28" t="str" cm="1">
        <f t="array" ref="E28">GetValue("Typ",D28,"Name")</f>
        <v>nvarchar(n)</v>
      </c>
      <c r="F28" t="str" cm="1">
        <f t="array" ref="F28">GetValue("Typ",D28,"#CategoryName")</f>
        <v>string</v>
      </c>
      <c r="G28" t="s">
        <v>305</v>
      </c>
      <c r="H28">
        <v>16</v>
      </c>
    </row>
    <row r="29" spans="1:8">
      <c r="A29">
        <f t="shared" si="0"/>
        <v>28</v>
      </c>
      <c r="B29">
        <v>1</v>
      </c>
      <c r="C29" t="str" cm="1">
        <f t="array" ref="C29">GetValue("Cli",B29,"Name")</f>
        <v>SoftLab</v>
      </c>
      <c r="D29">
        <v>20</v>
      </c>
      <c r="E29" t="str" cm="1">
        <f t="array" ref="E29">GetValue("Typ",D29,"Name")</f>
        <v>nvarchar(n)</v>
      </c>
      <c r="F29" t="str" cm="1">
        <f t="array" ref="F29">GetValue("Typ",D29,"#CategoryName")</f>
        <v>string</v>
      </c>
      <c r="G29" t="s">
        <v>307</v>
      </c>
      <c r="H29">
        <v>11</v>
      </c>
    </row>
    <row r="30" spans="1:8">
      <c r="A30">
        <f t="shared" si="0"/>
        <v>29</v>
      </c>
      <c r="B30">
        <v>1</v>
      </c>
      <c r="C30" t="str" cm="1">
        <f t="array" ref="C30">GetValue("Cli",B30,"Name")</f>
        <v>SoftLab</v>
      </c>
      <c r="D30">
        <v>20</v>
      </c>
      <c r="E30" t="str" cm="1">
        <f t="array" ref="E30">GetValue("Typ",D30,"Name")</f>
        <v>nvarchar(n)</v>
      </c>
      <c r="F30" t="str" cm="1">
        <f t="array" ref="F30">GetValue("Typ",D30,"#CategoryName")</f>
        <v>string</v>
      </c>
      <c r="G30" t="s">
        <v>309</v>
      </c>
      <c r="H30">
        <v>8</v>
      </c>
    </row>
    <row r="31" spans="1:8">
      <c r="A31">
        <f t="shared" si="0"/>
        <v>30</v>
      </c>
      <c r="B31">
        <v>1</v>
      </c>
      <c r="C31" t="str" cm="1">
        <f t="array" ref="C31">GetValue("Cli",B31,"Name")</f>
        <v>SoftLab</v>
      </c>
      <c r="D31">
        <v>20</v>
      </c>
      <c r="E31" t="str" cm="1">
        <f t="array" ref="E31">GetValue("Typ",D31,"Name")</f>
        <v>nvarchar(n)</v>
      </c>
      <c r="F31" t="str" cm="1">
        <f t="array" ref="F31">GetValue("Typ",D31,"#CategoryName")</f>
        <v>string</v>
      </c>
      <c r="G31" t="s">
        <v>312</v>
      </c>
      <c r="H31">
        <v>10</v>
      </c>
    </row>
    <row r="32" spans="1:8">
      <c r="A32">
        <f t="shared" si="0"/>
        <v>31</v>
      </c>
      <c r="B32">
        <v>1</v>
      </c>
      <c r="C32" t="str" cm="1">
        <f t="array" ref="C32">GetValue("Cli",B32,"Name")</f>
        <v>SoftLab</v>
      </c>
      <c r="D32">
        <v>20</v>
      </c>
      <c r="E32" t="str" cm="1">
        <f t="array" ref="E32">GetValue("Typ",D32,"Name")</f>
        <v>nvarchar(n)</v>
      </c>
      <c r="F32" t="str" cm="1">
        <f t="array" ref="F32">GetValue("Typ",D32,"#CategoryName")</f>
        <v>string</v>
      </c>
      <c r="G32" t="s">
        <v>313</v>
      </c>
      <c r="H32">
        <v>13</v>
      </c>
    </row>
    <row r="33" spans="1:15">
      <c r="A33">
        <f t="shared" si="0"/>
        <v>32</v>
      </c>
      <c r="B33">
        <v>1</v>
      </c>
      <c r="C33" t="str" cm="1">
        <f t="array" ref="C33">GetValue("Cli",B33,"Name")</f>
        <v>SoftLab</v>
      </c>
      <c r="D33">
        <v>20</v>
      </c>
      <c r="E33" t="str" cm="1">
        <f t="array" ref="E33">GetValue("Typ",D33,"Name")</f>
        <v>nvarchar(n)</v>
      </c>
      <c r="F33" t="str" cm="1">
        <f t="array" ref="F33">GetValue("Typ",D33,"#CategoryName")</f>
        <v>string</v>
      </c>
      <c r="G33" t="s">
        <v>314</v>
      </c>
      <c r="H33">
        <v>8</v>
      </c>
    </row>
    <row r="34" spans="1:15">
      <c r="A34">
        <f t="shared" ref="A34:A43" si="1">ROW(A34)-1</f>
        <v>33</v>
      </c>
      <c r="B34">
        <v>1</v>
      </c>
      <c r="C34" t="str" cm="1">
        <f t="array" ref="C34">GetValue("Cli",B34,"Name")</f>
        <v>SoftLab</v>
      </c>
      <c r="D34">
        <v>17</v>
      </c>
      <c r="E34" t="str" cm="1">
        <f t="array" ref="E34">GetValue("Typ",D34,"Name")</f>
        <v>nchar(n)</v>
      </c>
      <c r="F34" t="str" cm="1">
        <f t="array" ref="F34">GetValue("Typ",D34,"#CategoryName")</f>
        <v>string</v>
      </c>
      <c r="G34" t="s">
        <v>345</v>
      </c>
      <c r="H34">
        <v>8</v>
      </c>
    </row>
    <row r="35" spans="1:15">
      <c r="A35">
        <f t="shared" si="1"/>
        <v>34</v>
      </c>
      <c r="B35">
        <v>1</v>
      </c>
      <c r="C35" t="str" cm="1">
        <f t="array" ref="C35">GetValue("Cli",B35,"Name")</f>
        <v>SoftLab</v>
      </c>
      <c r="D35">
        <v>17</v>
      </c>
      <c r="E35" t="str" cm="1">
        <f t="array" ref="E35">GetValue("Typ",D35,"Name")</f>
        <v>nchar(n)</v>
      </c>
      <c r="F35" t="str" cm="1">
        <f t="array" ref="F35">GetValue("Typ",D35,"#CategoryName")</f>
        <v>string</v>
      </c>
      <c r="G35" t="s">
        <v>346</v>
      </c>
      <c r="H35">
        <v>10</v>
      </c>
      <c r="M35" s="10"/>
      <c r="N35" s="10"/>
      <c r="O35" s="10"/>
    </row>
    <row r="36" spans="1:15">
      <c r="A36">
        <f t="shared" si="1"/>
        <v>35</v>
      </c>
      <c r="B36">
        <v>1</v>
      </c>
      <c r="C36" t="str" cm="1">
        <f t="array" ref="C36">GetValue("Cli",B36,"Name")</f>
        <v>SoftLab</v>
      </c>
      <c r="D36">
        <v>17</v>
      </c>
      <c r="E36" t="str" cm="1">
        <f t="array" ref="E36">GetValue("Typ",D36,"Name")</f>
        <v>nchar(n)</v>
      </c>
      <c r="F36" t="str" cm="1">
        <f t="array" ref="F36">GetValue("Typ",D36,"#CategoryName")</f>
        <v>string</v>
      </c>
      <c r="G36" t="s">
        <v>347</v>
      </c>
      <c r="H36">
        <v>11</v>
      </c>
      <c r="M36" s="10"/>
      <c r="N36" s="10"/>
      <c r="O36" s="10"/>
    </row>
    <row r="37" spans="1:15">
      <c r="A37">
        <f t="shared" si="1"/>
        <v>36</v>
      </c>
      <c r="B37">
        <v>1</v>
      </c>
      <c r="C37" t="str" cm="1">
        <f t="array" ref="C37">GetValue("Cli",B37,"Name")</f>
        <v>SoftLab</v>
      </c>
      <c r="D37">
        <v>17</v>
      </c>
      <c r="E37" t="str" cm="1">
        <f t="array" ref="E37">GetValue("Typ",D37,"Name")</f>
        <v>nchar(n)</v>
      </c>
      <c r="F37" t="str" cm="1">
        <f t="array" ref="F37">GetValue("Typ",D37,"#CategoryName")</f>
        <v>string</v>
      </c>
      <c r="G37" t="s">
        <v>436</v>
      </c>
      <c r="H37">
        <v>10</v>
      </c>
    </row>
    <row r="38" spans="1:15">
      <c r="A38">
        <f t="shared" si="1"/>
        <v>37</v>
      </c>
      <c r="B38">
        <v>1</v>
      </c>
      <c r="C38" t="str" cm="1">
        <f t="array" ref="C38">GetValue("Cli",B38,"Name")</f>
        <v>SoftLab</v>
      </c>
      <c r="D38">
        <v>17</v>
      </c>
      <c r="E38" t="str" cm="1">
        <f t="array" ref="E38">GetValue("Typ",D38,"Name")</f>
        <v>nchar(n)</v>
      </c>
      <c r="F38" t="str" cm="1">
        <f t="array" ref="F38">GetValue("Typ",D38,"#CategoryName")</f>
        <v>string</v>
      </c>
      <c r="G38" t="s">
        <v>437</v>
      </c>
      <c r="H38">
        <v>11</v>
      </c>
    </row>
    <row r="39" spans="1:15">
      <c r="A39">
        <f t="shared" si="1"/>
        <v>38</v>
      </c>
      <c r="B39">
        <v>1</v>
      </c>
      <c r="C39" t="str" cm="1">
        <f t="array" ref="C39">GetValue("Cli",B39,"Name")</f>
        <v>SoftLab</v>
      </c>
      <c r="D39">
        <v>17</v>
      </c>
      <c r="E39" t="str" cm="1">
        <f t="array" ref="E39">GetValue("Typ",D39,"Name")</f>
        <v>nchar(n)</v>
      </c>
      <c r="F39" t="str" cm="1">
        <f t="array" ref="F39">GetValue("Typ",D39,"#CategoryName")</f>
        <v>string</v>
      </c>
      <c r="G39" t="s">
        <v>438</v>
      </c>
      <c r="H39">
        <v>7</v>
      </c>
      <c r="M39" s="10"/>
      <c r="N39" s="10"/>
      <c r="O39" s="10"/>
    </row>
    <row r="40" spans="1:15">
      <c r="A40">
        <f t="shared" si="1"/>
        <v>39</v>
      </c>
      <c r="B40">
        <v>1</v>
      </c>
      <c r="C40" t="str" cm="1">
        <f t="array" ref="C40">GetValue("Cli",B40,"Name")</f>
        <v>SoftLab</v>
      </c>
      <c r="D40">
        <v>17</v>
      </c>
      <c r="E40" t="str" cm="1">
        <f t="array" ref="E40">GetValue("Typ",D40,"Name")</f>
        <v>nchar(n)</v>
      </c>
      <c r="F40" t="str" cm="1">
        <f t="array" ref="F40">GetValue("Typ",D40,"#CategoryName")</f>
        <v>string</v>
      </c>
      <c r="G40" t="s">
        <v>439</v>
      </c>
      <c r="H40">
        <v>7</v>
      </c>
      <c r="M40" s="10"/>
      <c r="N40" s="10"/>
      <c r="O40" s="10"/>
    </row>
    <row r="41" spans="1:15">
      <c r="A41">
        <f t="shared" si="1"/>
        <v>40</v>
      </c>
      <c r="B41">
        <v>1</v>
      </c>
      <c r="C41" t="str" cm="1">
        <f t="array" ref="C41">GetValue("Cli",B41,"Name")</f>
        <v>SoftLab</v>
      </c>
      <c r="D41">
        <v>17</v>
      </c>
      <c r="E41" t="str" cm="1">
        <f t="array" ref="E41">GetValue("Typ",D41,"Name")</f>
        <v>nchar(n)</v>
      </c>
      <c r="F41" t="str" cm="1">
        <f t="array" ref="F41">GetValue("Typ",D41,"#CategoryName")</f>
        <v>string</v>
      </c>
      <c r="G41" t="s">
        <v>440</v>
      </c>
      <c r="H41">
        <v>12</v>
      </c>
      <c r="M41" s="10"/>
      <c r="N41" s="10"/>
      <c r="O41" s="10"/>
    </row>
    <row r="42" spans="1:15">
      <c r="A42">
        <f t="shared" si="1"/>
        <v>41</v>
      </c>
      <c r="B42">
        <v>1</v>
      </c>
      <c r="C42" t="str" cm="1">
        <f t="array" ref="C42">GetValue("Cli",B42,"Name")</f>
        <v>SoftLab</v>
      </c>
      <c r="D42">
        <v>9</v>
      </c>
      <c r="E42" t="str" cm="1">
        <f t="array" ref="E42">GetValue("Typ",D42,"Name")</f>
        <v>decimal(p ,s)</v>
      </c>
      <c r="F42" t="str" cm="1">
        <f t="array" ref="F42">GetValue("Typ",D42,"#CategoryName")</f>
        <v>number</v>
      </c>
      <c r="G42" t="s">
        <v>384</v>
      </c>
      <c r="H42">
        <v>19</v>
      </c>
      <c r="I42">
        <v>2</v>
      </c>
    </row>
    <row r="43" spans="1:15">
      <c r="A43">
        <f t="shared" si="1"/>
        <v>42</v>
      </c>
      <c r="B43">
        <v>1</v>
      </c>
      <c r="C43" t="str" cm="1">
        <f t="array" ref="C43">GetValue("Cli",B43,"Name")</f>
        <v>SoftLab</v>
      </c>
      <c r="D43">
        <v>21</v>
      </c>
      <c r="E43" t="str" cm="1">
        <f t="array" ref="E43">GetValue("Typ",D43,"Name")</f>
        <v>nvarchar(max)</v>
      </c>
      <c r="F43" t="str" cm="1">
        <f t="array" ref="F43">GetValue("Typ",D43,"#CategoryName")</f>
        <v>text</v>
      </c>
      <c r="G43" t="s">
        <v>64</v>
      </c>
    </row>
    <row r="44" spans="1:15">
      <c r="A44">
        <f t="shared" ref="A44:A53" si="2">ROW(A44)-1</f>
        <v>43</v>
      </c>
      <c r="B44">
        <v>1</v>
      </c>
      <c r="C44" t="str" cm="1">
        <f t="array" ref="C44">GetValue("Cli",B44,"Name")</f>
        <v>SoftLab</v>
      </c>
      <c r="D44">
        <v>21</v>
      </c>
      <c r="E44" t="str" cm="1">
        <f t="array" ref="E44">GetValue("Typ",D44,"Name")</f>
        <v>nvarchar(max)</v>
      </c>
      <c r="F44" t="str" cm="1">
        <f t="array" ref="F44">GetValue("Typ",D44,"#CategoryName")</f>
        <v>text</v>
      </c>
      <c r="G44" t="s">
        <v>505</v>
      </c>
      <c r="H44">
        <v>10</v>
      </c>
      <c r="N44" t="s">
        <v>671</v>
      </c>
    </row>
    <row r="45" spans="1:15">
      <c r="A45">
        <f t="shared" si="2"/>
        <v>44</v>
      </c>
      <c r="B45">
        <v>1</v>
      </c>
      <c r="C45" t="str" cm="1">
        <f t="array" ref="C45">GetValue("Cli",B45,"Name")</f>
        <v>SoftLab</v>
      </c>
      <c r="D45">
        <v>21</v>
      </c>
      <c r="E45" t="str" cm="1">
        <f t="array" ref="E45">GetValue("Typ",D45,"Name")</f>
        <v>nvarchar(max)</v>
      </c>
      <c r="F45" t="str" cm="1">
        <f t="array" ref="F45">GetValue("Typ",D45,"#CategoryName")</f>
        <v>text</v>
      </c>
      <c r="G45" t="s">
        <v>432</v>
      </c>
      <c r="H45">
        <v>10</v>
      </c>
      <c r="M45" s="10"/>
      <c r="N45" s="10" t="s">
        <v>757</v>
      </c>
      <c r="O45" s="10"/>
    </row>
    <row r="46" spans="1:15">
      <c r="A46">
        <f t="shared" si="2"/>
        <v>45</v>
      </c>
      <c r="B46">
        <v>1</v>
      </c>
      <c r="C46" t="str" cm="1">
        <f t="array" ref="C46">GetValue("Cli",B46,"Name")</f>
        <v>SoftLab</v>
      </c>
      <c r="D46">
        <v>21</v>
      </c>
      <c r="E46" t="str" cm="1">
        <f t="array" ref="E46">GetValue("Typ",D46,"Name")</f>
        <v>nvarchar(max)</v>
      </c>
      <c r="F46" t="str" cm="1">
        <f t="array" ref="F46">GetValue("Typ",D46,"#CategoryName")</f>
        <v>text</v>
      </c>
      <c r="G46" t="s">
        <v>759</v>
      </c>
      <c r="H46">
        <v>5</v>
      </c>
      <c r="M46" s="10"/>
      <c r="N46" s="10" t="s">
        <v>504</v>
      </c>
      <c r="O46" s="10"/>
    </row>
    <row r="47" spans="1:15">
      <c r="A47">
        <f t="shared" si="2"/>
        <v>46</v>
      </c>
      <c r="B47">
        <v>1</v>
      </c>
      <c r="C47" t="str" cm="1">
        <f t="array" ref="C47">GetValue("Cli",B47,"Name")</f>
        <v>SoftLab</v>
      </c>
      <c r="D47">
        <v>20</v>
      </c>
      <c r="E47" t="str" cm="1">
        <f t="array" ref="E47">GetValue("Typ",D47,"Name")</f>
        <v>nvarchar(n)</v>
      </c>
      <c r="F47" t="str" cm="1">
        <f t="array" ref="F47">GetValue("Typ",D47,"#CategoryName")</f>
        <v>string</v>
      </c>
      <c r="G47" t="s">
        <v>523</v>
      </c>
      <c r="H47">
        <v>10</v>
      </c>
      <c r="M47" s="10" t="s">
        <v>464</v>
      </c>
      <c r="N47" s="10"/>
      <c r="O47" s="10"/>
    </row>
    <row r="48" spans="1:15">
      <c r="A48">
        <f t="shared" si="2"/>
        <v>47</v>
      </c>
      <c r="B48">
        <v>1</v>
      </c>
      <c r="C48" t="str" cm="1">
        <f t="array" ref="C48">GetValue("Cli",B48,"Name")</f>
        <v>SoftLab</v>
      </c>
      <c r="D48">
        <v>20</v>
      </c>
      <c r="E48" t="str" cm="1">
        <f t="array" ref="E48">GetValue("Typ",D48,"Name")</f>
        <v>nvarchar(n)</v>
      </c>
      <c r="F48" t="str" cm="1">
        <f t="array" ref="F48">GetValue("Typ",D48,"#CategoryName")</f>
        <v>string</v>
      </c>
      <c r="G48" t="s">
        <v>524</v>
      </c>
      <c r="H48">
        <v>10</v>
      </c>
      <c r="M48" s="10" t="s">
        <v>465</v>
      </c>
      <c r="N48" s="10"/>
      <c r="O48" s="10"/>
    </row>
    <row r="49" spans="1:15">
      <c r="A49">
        <f t="shared" si="2"/>
        <v>48</v>
      </c>
      <c r="B49">
        <v>1</v>
      </c>
      <c r="C49" t="str" cm="1">
        <f t="array" ref="C49">GetValue("Cli",B49,"Name")</f>
        <v>SoftLab</v>
      </c>
      <c r="D49">
        <v>20</v>
      </c>
      <c r="E49" t="str" cm="1">
        <f t="array" ref="E49">GetValue("Typ",D49,"Name")</f>
        <v>nvarchar(n)</v>
      </c>
      <c r="F49" t="str" cm="1">
        <f t="array" ref="F49">GetValue("Typ",D49,"#CategoryName")</f>
        <v>string</v>
      </c>
      <c r="G49" t="s">
        <v>701</v>
      </c>
      <c r="H49">
        <v>10</v>
      </c>
      <c r="N49" t="s">
        <v>702</v>
      </c>
    </row>
    <row r="50" spans="1:15">
      <c r="A50">
        <f t="shared" si="2"/>
        <v>49</v>
      </c>
      <c r="B50">
        <v>1</v>
      </c>
      <c r="C50" t="str" cm="1">
        <f t="array" ref="C50">GetValue("Cli",B50,"Name")</f>
        <v>SoftLab</v>
      </c>
      <c r="D50">
        <v>21</v>
      </c>
      <c r="E50" t="str" cm="1">
        <f t="array" ref="E50">GetValue("Typ",D50,"Name")</f>
        <v>nvarchar(max)</v>
      </c>
      <c r="F50" t="str" cm="1">
        <f t="array" ref="F50">GetValue("Typ",D50,"#CategoryName")</f>
        <v>text</v>
      </c>
      <c r="G50" t="s">
        <v>755</v>
      </c>
      <c r="O50" t="s">
        <v>756</v>
      </c>
    </row>
    <row r="51" spans="1:15">
      <c r="A51">
        <f t="shared" si="2"/>
        <v>50</v>
      </c>
      <c r="B51">
        <v>1</v>
      </c>
      <c r="C51" t="str" cm="1">
        <f t="array" ref="C51">GetValue("Cli",B51,"Name")</f>
        <v>SoftLab</v>
      </c>
      <c r="D51">
        <v>38</v>
      </c>
      <c r="E51" t="str" cm="1">
        <f t="array" ref="E51">GetValue("Typ",D51,"Name")</f>
        <v>json</v>
      </c>
      <c r="F51" t="str" cm="1">
        <f t="array" ref="F51">GetValue("Typ",D51,"#CategoryName")</f>
        <v>text</v>
      </c>
      <c r="G51" t="s">
        <v>65</v>
      </c>
      <c r="O51" t="s">
        <v>756</v>
      </c>
    </row>
    <row r="52" spans="1:15">
      <c r="A52">
        <f t="shared" si="2"/>
        <v>51</v>
      </c>
      <c r="B52">
        <v>1</v>
      </c>
      <c r="C52" t="str" cm="1">
        <f t="array" ref="C52">GetValue("Cli",B52,"Name")</f>
        <v>SoftLab</v>
      </c>
      <c r="D52">
        <v>29</v>
      </c>
      <c r="E52" t="str" cm="1">
        <f t="array" ref="E52">GetValue("Typ",D52,"Name")</f>
        <v>time(s)</v>
      </c>
      <c r="F52" t="str" cm="1">
        <f t="array" ref="F52">GetValue("Typ",D52,"#CategoryName")</f>
        <v>time</v>
      </c>
      <c r="G52" t="s">
        <v>233</v>
      </c>
      <c r="O52" t="s">
        <v>756</v>
      </c>
    </row>
    <row r="53" spans="1:15">
      <c r="A53">
        <f t="shared" si="2"/>
        <v>52</v>
      </c>
      <c r="B53">
        <v>1</v>
      </c>
      <c r="C53" t="str" cm="1">
        <f t="array" ref="C53">GetValue("Cli",B53,"Name")</f>
        <v>SoftLab</v>
      </c>
      <c r="D53">
        <v>5</v>
      </c>
      <c r="E53" t="str" cm="1">
        <f t="array" ref="E53">GetValue("Typ",D53,"Name")</f>
        <v>date</v>
      </c>
      <c r="F53" t="str" cm="1">
        <f t="array" ref="F53">GetValue("Typ",D53,"#CategoryName")</f>
        <v>date</v>
      </c>
      <c r="G53" t="s">
        <v>227</v>
      </c>
      <c r="O53" t="s">
        <v>756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8707-C55C-4E4D-93EC-B0C65670F9FC}">
  <sheetPr codeName="Planilha3"/>
  <dimension ref="A1:I20"/>
  <sheetViews>
    <sheetView workbookViewId="0">
      <pane ySplit="1" topLeftCell="A2" activePane="bottomLeft" state="frozen"/>
      <selection pane="bottomLeft" activeCell="I5" sqref="I5"/>
    </sheetView>
  </sheetViews>
  <sheetFormatPr defaultRowHeight="14.4"/>
  <cols>
    <col min="1" max="1" width="3.6640625" bestFit="1" customWidth="1"/>
    <col min="2" max="2" width="7.44140625" bestFit="1" customWidth="1"/>
    <col min="3" max="3" width="11.6640625" bestFit="1" customWidth="1"/>
    <col min="4" max="4" width="17.33203125" bestFit="1" customWidth="1"/>
    <col min="5" max="5" width="18.5546875" bestFit="1" customWidth="1"/>
    <col min="6" max="6" width="18.5546875" style="2" bestFit="1" customWidth="1"/>
    <col min="7" max="7" width="11.6640625" bestFit="1" customWidth="1"/>
    <col min="9" max="9" width="79.88671875" bestFit="1" customWidth="1"/>
  </cols>
  <sheetData>
    <row r="1" spans="1:9" s="1" customFormat="1">
      <c r="A1" s="1" t="s">
        <v>0</v>
      </c>
      <c r="B1" s="1" t="s">
        <v>433</v>
      </c>
      <c r="C1" s="1" t="s">
        <v>342</v>
      </c>
      <c r="D1" s="13" t="s">
        <v>1</v>
      </c>
      <c r="E1" s="13" t="s">
        <v>521</v>
      </c>
      <c r="F1" s="25" t="s">
        <v>514</v>
      </c>
      <c r="G1" s="1" t="s">
        <v>657</v>
      </c>
    </row>
    <row r="2" spans="1:9">
      <c r="A2">
        <f>ROW(A2)-1</f>
        <v>1</v>
      </c>
      <c r="B2">
        <v>1</v>
      </c>
      <c r="C2" t="str" cm="1">
        <f t="array" ref="C2">GetValue("Cli",B2,"Name")</f>
        <v>SoftLab</v>
      </c>
      <c r="D2" t="s">
        <v>316</v>
      </c>
      <c r="E2" t="s">
        <v>317</v>
      </c>
      <c r="F2" s="26">
        <v>99999999</v>
      </c>
      <c r="G2" t="s">
        <v>752</v>
      </c>
    </row>
    <row r="3" spans="1:9">
      <c r="A3">
        <f t="shared" ref="A3:A20" si="0">ROW(A3)-1</f>
        <v>2</v>
      </c>
      <c r="B3">
        <v>1</v>
      </c>
      <c r="C3" t="str" cm="1">
        <f t="array" ref="C3">GetValue("Cli",B3,"Name")</f>
        <v>SoftLab</v>
      </c>
      <c r="D3" t="s">
        <v>299</v>
      </c>
      <c r="E3" t="s">
        <v>302</v>
      </c>
      <c r="F3" s="2" t="s">
        <v>676</v>
      </c>
      <c r="G3" t="s">
        <v>752</v>
      </c>
      <c r="I3" t="s">
        <v>522</v>
      </c>
    </row>
    <row r="4" spans="1:9">
      <c r="A4">
        <f t="shared" si="0"/>
        <v>3</v>
      </c>
      <c r="B4">
        <v>1</v>
      </c>
      <c r="C4" t="str" cm="1">
        <f t="array" ref="C4">GetValue("Cli",B4,"Name")</f>
        <v>SoftLab</v>
      </c>
      <c r="D4" t="s">
        <v>300</v>
      </c>
      <c r="E4" t="s">
        <v>303</v>
      </c>
      <c r="F4" s="2" t="s">
        <v>677</v>
      </c>
      <c r="G4" t="s">
        <v>752</v>
      </c>
      <c r="I4" t="s">
        <v>931</v>
      </c>
    </row>
    <row r="5" spans="1:9">
      <c r="A5">
        <f>ROW(A5)-1</f>
        <v>4</v>
      </c>
      <c r="B5">
        <v>1</v>
      </c>
      <c r="C5" t="str" cm="1">
        <f t="array" ref="C5">GetValue("Cli",B5,"Name")</f>
        <v>SoftLab</v>
      </c>
      <c r="D5" t="s">
        <v>354</v>
      </c>
      <c r="E5" t="s">
        <v>355</v>
      </c>
      <c r="F5" s="2" t="s">
        <v>678</v>
      </c>
      <c r="G5" t="s">
        <v>752</v>
      </c>
    </row>
    <row r="6" spans="1:9">
      <c r="A6">
        <f t="shared" si="0"/>
        <v>5</v>
      </c>
      <c r="B6">
        <v>1</v>
      </c>
      <c r="C6" t="str" cm="1">
        <f t="array" ref="C6">GetValue("Cli",B6,"Name")</f>
        <v>SoftLab</v>
      </c>
      <c r="D6" t="s">
        <v>449</v>
      </c>
      <c r="E6" t="s">
        <v>306</v>
      </c>
      <c r="F6" s="2" t="s">
        <v>679</v>
      </c>
      <c r="G6" t="s">
        <v>752</v>
      </c>
    </row>
    <row r="7" spans="1:9">
      <c r="A7">
        <f t="shared" si="0"/>
        <v>6</v>
      </c>
      <c r="B7">
        <v>1</v>
      </c>
      <c r="C7" t="str" cm="1">
        <f t="array" ref="C7">GetValue("Cli",B7,"Name")</f>
        <v>SoftLab</v>
      </c>
      <c r="D7" t="s">
        <v>307</v>
      </c>
      <c r="E7" t="s">
        <v>308</v>
      </c>
      <c r="F7" s="2">
        <v>99999999999</v>
      </c>
      <c r="G7" t="s">
        <v>752</v>
      </c>
    </row>
    <row r="8" spans="1:9">
      <c r="A8">
        <f t="shared" si="0"/>
        <v>7</v>
      </c>
      <c r="B8">
        <v>1</v>
      </c>
      <c r="C8" t="str" cm="1">
        <f t="array" ref="C8">GetValue("Cli",B8,"Name")</f>
        <v>SoftLab</v>
      </c>
      <c r="D8" t="s">
        <v>309</v>
      </c>
      <c r="E8" t="s">
        <v>310</v>
      </c>
      <c r="F8" s="2">
        <v>99999999</v>
      </c>
      <c r="G8" t="s">
        <v>752</v>
      </c>
    </row>
    <row r="9" spans="1:9">
      <c r="A9">
        <f t="shared" si="0"/>
        <v>8</v>
      </c>
      <c r="B9">
        <v>1</v>
      </c>
      <c r="C9" t="str" cm="1">
        <f t="array" ref="C9">GetValue("Cli",B9,"Name")</f>
        <v>SoftLab</v>
      </c>
      <c r="D9" t="s">
        <v>311</v>
      </c>
      <c r="E9" t="s">
        <v>359</v>
      </c>
      <c r="F9" s="2" t="s">
        <v>680</v>
      </c>
      <c r="G9" t="s">
        <v>752</v>
      </c>
    </row>
    <row r="10" spans="1:9">
      <c r="A10">
        <f t="shared" si="0"/>
        <v>9</v>
      </c>
      <c r="B10">
        <v>1</v>
      </c>
      <c r="C10" t="str" cm="1">
        <f t="array" ref="C10">GetValue("Cli",B10,"Name")</f>
        <v>SoftLab</v>
      </c>
      <c r="D10" t="s">
        <v>312</v>
      </c>
      <c r="E10" t="s">
        <v>360</v>
      </c>
      <c r="F10" s="2" t="s">
        <v>681</v>
      </c>
      <c r="G10" t="s">
        <v>752</v>
      </c>
    </row>
    <row r="11" spans="1:9">
      <c r="A11">
        <f t="shared" si="0"/>
        <v>10</v>
      </c>
      <c r="B11">
        <v>1</v>
      </c>
      <c r="C11" t="str" cm="1">
        <f t="array" ref="C11">GetValue("Cli",B11,"Name")</f>
        <v>SoftLab</v>
      </c>
      <c r="D11" t="s">
        <v>313</v>
      </c>
      <c r="E11" t="s">
        <v>351</v>
      </c>
      <c r="F11" s="2" t="s">
        <v>682</v>
      </c>
      <c r="G11" t="s">
        <v>752</v>
      </c>
    </row>
    <row r="12" spans="1:9">
      <c r="A12">
        <f t="shared" si="0"/>
        <v>11</v>
      </c>
      <c r="B12">
        <v>1</v>
      </c>
      <c r="C12" t="str" cm="1">
        <f t="array" ref="C12">GetValue("Cli",B12,"Name")</f>
        <v>SoftLab</v>
      </c>
      <c r="D12" t="s">
        <v>314</v>
      </c>
      <c r="E12" t="s">
        <v>315</v>
      </c>
      <c r="F12" s="2" t="s">
        <v>683</v>
      </c>
      <c r="G12" t="s">
        <v>753</v>
      </c>
    </row>
    <row r="13" spans="1:9">
      <c r="A13">
        <f t="shared" si="0"/>
        <v>12</v>
      </c>
      <c r="B13">
        <v>1</v>
      </c>
      <c r="C13" t="str" cm="1">
        <f t="array" ref="C13">GetValue("Cli",B13,"Name")</f>
        <v>SoftLab</v>
      </c>
      <c r="D13" t="s">
        <v>345</v>
      </c>
      <c r="E13" t="s">
        <v>348</v>
      </c>
      <c r="F13" s="2" t="s">
        <v>684</v>
      </c>
      <c r="G13" t="s">
        <v>752</v>
      </c>
    </row>
    <row r="14" spans="1:9">
      <c r="A14">
        <f t="shared" si="0"/>
        <v>13</v>
      </c>
      <c r="B14">
        <v>1</v>
      </c>
      <c r="C14" t="str" cm="1">
        <f t="array" ref="C14">GetValue("Cli",B14,"Name")</f>
        <v>SoftLab</v>
      </c>
      <c r="D14" t="s">
        <v>436</v>
      </c>
      <c r="E14" t="s">
        <v>349</v>
      </c>
      <c r="F14" s="2" t="s">
        <v>685</v>
      </c>
      <c r="G14" t="s">
        <v>752</v>
      </c>
    </row>
    <row r="15" spans="1:9">
      <c r="A15">
        <f t="shared" si="0"/>
        <v>14</v>
      </c>
      <c r="B15">
        <v>1</v>
      </c>
      <c r="C15" t="str" cm="1">
        <f t="array" ref="C15">GetValue("Cli",B15,"Name")</f>
        <v>SoftLab</v>
      </c>
      <c r="D15" t="s">
        <v>437</v>
      </c>
      <c r="E15" t="s">
        <v>350</v>
      </c>
      <c r="F15" s="2" t="s">
        <v>686</v>
      </c>
      <c r="G15" t="s">
        <v>752</v>
      </c>
    </row>
    <row r="16" spans="1:9">
      <c r="A16">
        <f t="shared" si="0"/>
        <v>15</v>
      </c>
      <c r="B16">
        <v>1</v>
      </c>
      <c r="C16" t="str" cm="1">
        <f t="array" ref="C16">GetValue("Cli",B16,"Name")</f>
        <v>SoftLab</v>
      </c>
      <c r="D16" t="s">
        <v>438</v>
      </c>
      <c r="E16" t="s">
        <v>357</v>
      </c>
      <c r="F16" s="4" t="s">
        <v>687</v>
      </c>
      <c r="G16" t="s">
        <v>753</v>
      </c>
    </row>
    <row r="17" spans="1:7">
      <c r="A17">
        <f t="shared" si="0"/>
        <v>16</v>
      </c>
      <c r="B17">
        <v>1</v>
      </c>
      <c r="C17" t="str" cm="1">
        <f t="array" ref="C17">GetValue("Cli",B17,"Name")</f>
        <v>SoftLab</v>
      </c>
      <c r="D17" t="s">
        <v>439</v>
      </c>
      <c r="E17" t="s">
        <v>358</v>
      </c>
      <c r="F17" s="4" t="s">
        <v>688</v>
      </c>
      <c r="G17" t="s">
        <v>753</v>
      </c>
    </row>
    <row r="18" spans="1:7">
      <c r="A18">
        <f t="shared" si="0"/>
        <v>17</v>
      </c>
      <c r="B18">
        <v>1</v>
      </c>
      <c r="C18" t="str" cm="1">
        <f t="array" ref="C18">GetValue("Cli",B18,"Name")</f>
        <v>SoftLab</v>
      </c>
      <c r="D18" t="s">
        <v>346</v>
      </c>
      <c r="E18" t="s">
        <v>352</v>
      </c>
      <c r="F18" s="2" t="s">
        <v>689</v>
      </c>
      <c r="G18" t="s">
        <v>752</v>
      </c>
    </row>
    <row r="19" spans="1:7">
      <c r="A19">
        <f t="shared" si="0"/>
        <v>18</v>
      </c>
      <c r="B19">
        <v>1</v>
      </c>
      <c r="C19" t="str" cm="1">
        <f t="array" ref="C19">GetValue("Cli",B19,"Name")</f>
        <v>SoftLab</v>
      </c>
      <c r="D19" t="s">
        <v>440</v>
      </c>
      <c r="E19" t="s">
        <v>353</v>
      </c>
      <c r="F19" s="2" t="s">
        <v>690</v>
      </c>
      <c r="G19" t="s">
        <v>752</v>
      </c>
    </row>
    <row r="20" spans="1:7">
      <c r="A20">
        <f t="shared" si="0"/>
        <v>19</v>
      </c>
      <c r="B20">
        <v>1</v>
      </c>
      <c r="C20" t="str" cm="1">
        <f t="array" ref="C20">GetValue("Cli",B20,"Name")</f>
        <v>SoftLab</v>
      </c>
      <c r="D20" t="s">
        <v>347</v>
      </c>
      <c r="E20" t="s">
        <v>308</v>
      </c>
      <c r="F20" s="2">
        <v>99999999999</v>
      </c>
      <c r="G20" t="s">
        <v>752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6F68-4B95-4743-B839-02341ABECD49}">
  <sheetPr codeName="Planilha2"/>
  <dimension ref="A1:H20"/>
  <sheetViews>
    <sheetView workbookViewId="0">
      <pane ySplit="1" topLeftCell="A5" activePane="bottomLeft" state="frozen"/>
      <selection pane="bottomLeft" activeCell="E13" sqref="E13"/>
    </sheetView>
  </sheetViews>
  <sheetFormatPr defaultColWidth="42.5546875" defaultRowHeight="14.4"/>
  <cols>
    <col min="1" max="1" width="3" bestFit="1" customWidth="1"/>
    <col min="2" max="2" width="9.5546875" bestFit="1" customWidth="1"/>
    <col min="3" max="3" width="17.6640625" bestFit="1" customWidth="1"/>
    <col min="4" max="4" width="7.44140625" bestFit="1" customWidth="1"/>
    <col min="5" max="6" width="17.6640625" bestFit="1" customWidth="1"/>
    <col min="7" max="7" width="41.109375" bestFit="1" customWidth="1"/>
    <col min="8" max="8" width="26.44140625" style="12" bestFit="1" customWidth="1"/>
  </cols>
  <sheetData>
    <row r="1" spans="1:8" s="1" customFormat="1">
      <c r="A1" s="1" t="s">
        <v>0</v>
      </c>
      <c r="B1" s="1" t="s">
        <v>96</v>
      </c>
      <c r="C1" s="1" t="s">
        <v>153</v>
      </c>
      <c r="D1" s="1" t="s">
        <v>54</v>
      </c>
      <c r="E1" s="1" t="s">
        <v>148</v>
      </c>
      <c r="F1" s="8" t="s">
        <v>450</v>
      </c>
      <c r="G1" s="8" t="s">
        <v>451</v>
      </c>
      <c r="H1" s="9" t="s">
        <v>452</v>
      </c>
    </row>
    <row r="2" spans="1:8">
      <c r="A2">
        <f>ROW(A2)-1</f>
        <v>1</v>
      </c>
      <c r="B2">
        <v>21</v>
      </c>
      <c r="C2" t="str" cm="1">
        <f t="array" ref="C2">GetValue("Dmn",B2,"Name")</f>
        <v>Char(1)</v>
      </c>
      <c r="D2">
        <v>1</v>
      </c>
      <c r="E2" t="str" cm="1">
        <f t="array" ref="E2">GetValue("Msk",D2,"Name")</f>
        <v>RAIZ CNPJ</v>
      </c>
    </row>
    <row r="3" spans="1:8">
      <c r="A3">
        <f t="shared" ref="A3:A20" si="0">ROW(A3)-1</f>
        <v>2</v>
      </c>
      <c r="B3">
        <v>22</v>
      </c>
      <c r="C3" t="str" cm="1">
        <f t="array" ref="C3">GetValue("Dmn",B3,"Name")</f>
        <v>Raíz CNPJ</v>
      </c>
      <c r="D3">
        <v>2</v>
      </c>
      <c r="E3" t="str" cm="1">
        <f t="array" ref="E3">GetValue("Msk",D3,"Name")</f>
        <v>CPF</v>
      </c>
      <c r="F3" s="10">
        <v>11</v>
      </c>
      <c r="G3" s="10" t="s">
        <v>665</v>
      </c>
      <c r="H3" s="11">
        <v>0</v>
      </c>
    </row>
    <row r="4" spans="1:8">
      <c r="A4">
        <f t="shared" si="0"/>
        <v>3</v>
      </c>
      <c r="B4">
        <v>23</v>
      </c>
      <c r="C4" t="str" cm="1">
        <f t="array" ref="C4">GetValue("Dmn",B4,"Name")</f>
        <v>CPF</v>
      </c>
      <c r="D4">
        <v>3</v>
      </c>
      <c r="E4" t="str" cm="1">
        <f t="array" ref="E4">GetValue("Msk",D4,"Name")</f>
        <v>CNPJ</v>
      </c>
      <c r="F4" s="10">
        <v>11</v>
      </c>
      <c r="G4" s="10" t="s">
        <v>666</v>
      </c>
      <c r="H4" s="11">
        <v>0</v>
      </c>
    </row>
    <row r="5" spans="1:8">
      <c r="A5">
        <f>ROW(A5)-1</f>
        <v>4</v>
      </c>
      <c r="B5">
        <v>24</v>
      </c>
      <c r="C5" t="str" cm="1">
        <f t="array" ref="C5">GetValue("Dmn",B5,"Name")</f>
        <v>CNPJ</v>
      </c>
      <c r="D5">
        <v>4</v>
      </c>
      <c r="E5" t="str" cm="1">
        <f t="array" ref="E5">GetValue("Msk",D5,"Name")</f>
        <v>CAEPF</v>
      </c>
      <c r="F5" s="10">
        <v>11</v>
      </c>
      <c r="G5" s="10" t="s">
        <v>320</v>
      </c>
      <c r="H5" s="11">
        <v>0</v>
      </c>
    </row>
    <row r="6" spans="1:8">
      <c r="A6">
        <f t="shared" si="0"/>
        <v>5</v>
      </c>
      <c r="B6">
        <v>25</v>
      </c>
      <c r="C6" t="str" cm="1">
        <f t="array" ref="C6">GetValue("Dmn",B6,"Name")</f>
        <v>RAIZ/CPF/CNPJ</v>
      </c>
      <c r="D6">
        <v>5</v>
      </c>
      <c r="E6" t="str" cm="1">
        <f t="array" ref="E6">GetValue("Msk",D6,"Name")</f>
        <v>Credit Card</v>
      </c>
      <c r="F6" s="10">
        <v>11</v>
      </c>
      <c r="G6" s="10" t="s">
        <v>321</v>
      </c>
      <c r="H6" s="11">
        <v>0</v>
      </c>
    </row>
    <row r="7" spans="1:8">
      <c r="A7">
        <f t="shared" si="0"/>
        <v>6</v>
      </c>
      <c r="B7">
        <v>26</v>
      </c>
      <c r="C7" t="str" cm="1">
        <f t="array" ref="C7">GetValue("Dmn",B7,"Name")</f>
        <v>CAEPF</v>
      </c>
      <c r="D7">
        <v>6</v>
      </c>
      <c r="E7" t="str" cm="1">
        <f t="array" ref="E7">GetValue("Msk",D7,"Name")</f>
        <v>RENAVAM</v>
      </c>
      <c r="F7" s="10">
        <v>11</v>
      </c>
      <c r="G7" s="10" t="s">
        <v>320</v>
      </c>
      <c r="H7" s="11">
        <v>0</v>
      </c>
    </row>
    <row r="8" spans="1:8">
      <c r="A8">
        <f t="shared" si="0"/>
        <v>7</v>
      </c>
      <c r="B8">
        <v>27</v>
      </c>
      <c r="C8" t="str" cm="1">
        <f t="array" ref="C8">GetValue("Dmn",B8,"Name")</f>
        <v>CREDIT CARD</v>
      </c>
      <c r="D8">
        <v>7</v>
      </c>
      <c r="E8" t="str" cm="1">
        <f t="array" ref="E8">GetValue("Msk",D8,"Name")</f>
        <v>EAN-8</v>
      </c>
      <c r="F8" s="10">
        <v>11</v>
      </c>
      <c r="G8" s="10" t="s">
        <v>321</v>
      </c>
      <c r="H8" s="11">
        <v>0</v>
      </c>
    </row>
    <row r="9" spans="1:8">
      <c r="A9">
        <f t="shared" si="0"/>
        <v>8</v>
      </c>
      <c r="B9">
        <v>28</v>
      </c>
      <c r="C9" t="str" cm="1">
        <f t="array" ref="C9">GetValue("Dmn",B9,"Name")</f>
        <v>RENAVAM</v>
      </c>
      <c r="D9">
        <v>8</v>
      </c>
      <c r="E9" t="str" cm="1">
        <f t="array" ref="E9">GetValue("Msk",D9,"Name")</f>
        <v>EAN-13</v>
      </c>
      <c r="F9" s="10">
        <v>10</v>
      </c>
      <c r="G9" s="10" t="s">
        <v>322</v>
      </c>
      <c r="H9" s="12">
        <v>0</v>
      </c>
    </row>
    <row r="10" spans="1:8">
      <c r="A10">
        <f t="shared" si="0"/>
        <v>9</v>
      </c>
      <c r="B10">
        <v>30</v>
      </c>
      <c r="C10" t="str" cm="1">
        <f t="array" ref="C10">GetValue("Dmn",B10,"Name")</f>
        <v>ISBN-10</v>
      </c>
      <c r="D10">
        <v>9</v>
      </c>
      <c r="E10" t="str" cm="1">
        <f t="array" ref="E10">GetValue("Msk",D10,"Name")</f>
        <v>ISBN-10</v>
      </c>
      <c r="F10" s="10">
        <v>11</v>
      </c>
      <c r="G10" s="10" t="s">
        <v>323</v>
      </c>
      <c r="H10" s="12">
        <v>0</v>
      </c>
    </row>
    <row r="11" spans="1:8">
      <c r="A11">
        <f t="shared" si="0"/>
        <v>10</v>
      </c>
      <c r="B11">
        <v>31</v>
      </c>
      <c r="C11" t="str" cm="1">
        <f t="array" ref="C11">GetValue("Dmn",B11,"Name")</f>
        <v>ISBN-13</v>
      </c>
      <c r="D11">
        <v>10</v>
      </c>
      <c r="E11" t="str" cm="1">
        <f t="array" ref="E11">GetValue("Msk",D11,"Name")</f>
        <v>ISBN-13</v>
      </c>
      <c r="F11" s="10">
        <v>10</v>
      </c>
      <c r="G11" t="s">
        <v>356</v>
      </c>
      <c r="H11" s="12">
        <v>0</v>
      </c>
    </row>
    <row r="12" spans="1:8">
      <c r="A12">
        <f t="shared" si="0"/>
        <v>11</v>
      </c>
      <c r="B12">
        <v>31</v>
      </c>
      <c r="C12" t="str" cm="1">
        <f t="array" ref="C12">GetValue("Dmn",B12,"Name")</f>
        <v>ISBN-13</v>
      </c>
      <c r="D12">
        <v>11</v>
      </c>
      <c r="E12" t="str" cm="1">
        <f t="array" ref="E12">GetValue("Msk",D12,"Name")</f>
        <v>ISSN</v>
      </c>
      <c r="F12" s="10">
        <v>10</v>
      </c>
      <c r="G12" t="s">
        <v>324</v>
      </c>
      <c r="H12" s="12">
        <v>0</v>
      </c>
    </row>
    <row r="13" spans="1:8">
      <c r="A13">
        <f t="shared" si="0"/>
        <v>12</v>
      </c>
      <c r="B13">
        <v>32</v>
      </c>
      <c r="C13" t="str" cm="1">
        <f t="array" ref="C13">GetValue("Dmn",B13,"Name")</f>
        <v>ISSN</v>
      </c>
      <c r="D13">
        <v>12</v>
      </c>
      <c r="E13" t="str" cm="1">
        <f t="array" ref="E13">GetValue("Msk",D13,"Name")</f>
        <v>CEP (BR)</v>
      </c>
      <c r="F13" s="10">
        <v>11</v>
      </c>
      <c r="G13" s="10" t="s">
        <v>325</v>
      </c>
      <c r="H13" s="12" t="s">
        <v>304</v>
      </c>
    </row>
    <row r="14" spans="1:8">
      <c r="A14">
        <f t="shared" si="0"/>
        <v>13</v>
      </c>
      <c r="B14">
        <v>33</v>
      </c>
      <c r="C14" t="str" cm="1">
        <f t="array" ref="C14">GetValue("Dmn",B14,"Name")</f>
        <v>CEP (BR)</v>
      </c>
      <c r="D14">
        <v>13</v>
      </c>
      <c r="E14" t="str" cm="1">
        <f t="array" ref="E14">GetValue("Msk",D14,"Name")</f>
        <v>Fone (BR)</v>
      </c>
      <c r="F14" s="10">
        <v>10</v>
      </c>
      <c r="G14" t="s">
        <v>324</v>
      </c>
      <c r="H14" s="12">
        <v>0</v>
      </c>
    </row>
    <row r="15" spans="1:8">
      <c r="A15">
        <f t="shared" si="0"/>
        <v>14</v>
      </c>
      <c r="B15">
        <v>34</v>
      </c>
      <c r="C15" t="str" cm="1">
        <f t="array" ref="C15">GetValue("Dmn",B15,"Name")</f>
        <v>NIS/PIS/PASEP</v>
      </c>
      <c r="D15">
        <v>14</v>
      </c>
      <c r="E15" t="str" cm="1">
        <f t="array" ref="E15">GetValue("Msk",D15,"Name")</f>
        <v>Celular (BR)</v>
      </c>
      <c r="F15" s="10">
        <v>11</v>
      </c>
      <c r="G15" t="s">
        <v>326</v>
      </c>
      <c r="H15" s="12" t="s">
        <v>304</v>
      </c>
    </row>
    <row r="16" spans="1:8">
      <c r="A16">
        <f t="shared" si="0"/>
        <v>15</v>
      </c>
      <c r="B16">
        <v>34</v>
      </c>
      <c r="C16" t="str" cm="1">
        <f t="array" ref="C16">GetValue("Dmn",B16,"Name")</f>
        <v>NIS/PIS/PASEP</v>
      </c>
      <c r="D16">
        <v>15</v>
      </c>
      <c r="E16" t="str" cm="1">
        <f t="array" ref="E16">GetValue("Msk",D16,"Name")</f>
        <v>Placa Veicular (BR)</v>
      </c>
    </row>
    <row r="17" spans="1:5">
      <c r="A17">
        <f t="shared" si="0"/>
        <v>16</v>
      </c>
      <c r="B17">
        <v>34</v>
      </c>
      <c r="C17" t="str" cm="1">
        <f t="array" ref="C17">GetValue("Dmn",B17,"Name")</f>
        <v>NIS/PIS/PASEP</v>
      </c>
      <c r="D17">
        <v>16</v>
      </c>
      <c r="E17" t="str" cm="1">
        <f t="array" ref="E17">GetValue("Msk",D17,"Name")</f>
        <v>Placa MERCOSUL</v>
      </c>
    </row>
    <row r="18" spans="1:5">
      <c r="A18">
        <f t="shared" si="0"/>
        <v>17</v>
      </c>
      <c r="B18">
        <v>35</v>
      </c>
      <c r="C18" t="str" cm="1">
        <f t="array" ref="C18">GetValue("Dmn",B18,"Name")</f>
        <v>CNH</v>
      </c>
      <c r="D18">
        <v>17</v>
      </c>
      <c r="E18" t="str" cm="1">
        <f t="array" ref="E18">GetValue("Msk",D18,"Name")</f>
        <v>NIS/PIS/PASEP</v>
      </c>
    </row>
    <row r="19" spans="1:5">
      <c r="A19">
        <f t="shared" si="0"/>
        <v>18</v>
      </c>
      <c r="B19">
        <v>36</v>
      </c>
      <c r="C19" t="str" cm="1">
        <f t="array" ref="C19">GetValue("Dmn",B19,"Name")</f>
        <v>Fone (BR)</v>
      </c>
      <c r="D19">
        <v>18</v>
      </c>
      <c r="E19" t="str" cm="1">
        <f t="array" ref="E19">GetValue("Msk",D19,"Name")</f>
        <v>Título de Eleitor</v>
      </c>
    </row>
    <row r="20" spans="1:5">
      <c r="A20">
        <f t="shared" si="0"/>
        <v>19</v>
      </c>
      <c r="B20">
        <v>37</v>
      </c>
      <c r="C20" t="str" cm="1">
        <f t="array" ref="C20">GetValue("Dmn",B20,"Name")</f>
        <v>Celular (BR)</v>
      </c>
      <c r="D20">
        <v>19</v>
      </c>
      <c r="E20" t="str" cm="1">
        <f t="array" ref="E20">GetValue("Msk",D20,"Name")</f>
        <v>CNH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6EDB-15B6-45CA-833D-7B53402A0881}">
  <sheetPr codeName="Planilha9"/>
  <dimension ref="A1:G2"/>
  <sheetViews>
    <sheetView workbookViewId="0">
      <pane ySplit="1" topLeftCell="A2" activePane="bottomLeft" state="frozen"/>
      <selection pane="bottomLeft" activeCell="E3" sqref="E3"/>
    </sheetView>
  </sheetViews>
  <sheetFormatPr defaultRowHeight="14.4"/>
  <cols>
    <col min="1" max="1" width="2.6640625" bestFit="1" customWidth="1"/>
    <col min="2" max="2" width="8" bestFit="1" customWidth="1"/>
    <col min="3" max="3" width="12.5546875" bestFit="1" customWidth="1"/>
    <col min="4" max="4" width="8.6640625" bestFit="1" customWidth="1"/>
    <col min="5" max="5" width="13.44140625" bestFit="1" customWidth="1"/>
    <col min="6" max="6" width="7" bestFit="1" customWidth="1"/>
    <col min="7" max="7" width="13.109375" bestFit="1" customWidth="1"/>
  </cols>
  <sheetData>
    <row r="1" spans="1:7" s="1" customFormat="1">
      <c r="A1" s="1" t="s">
        <v>0</v>
      </c>
      <c r="B1" s="1" t="s">
        <v>433</v>
      </c>
      <c r="C1" s="1" t="s">
        <v>342</v>
      </c>
      <c r="D1" s="1" t="s">
        <v>473</v>
      </c>
      <c r="E1" s="1" t="s">
        <v>254</v>
      </c>
      <c r="F1" s="1" t="s">
        <v>1</v>
      </c>
      <c r="G1" s="1" t="s">
        <v>66</v>
      </c>
    </row>
    <row r="2" spans="1:7">
      <c r="A2">
        <f>ROW(A2)-1</f>
        <v>1</v>
      </c>
      <c r="B2">
        <v>1</v>
      </c>
      <c r="C2" t="str" cm="1">
        <f t="array" ref="C2">GetValue("Cli",B2,"Name")</f>
        <v>SoftLab</v>
      </c>
      <c r="D2">
        <v>1</v>
      </c>
      <c r="E2" t="str" cm="1">
        <f t="array" ref="E2">GetValue("Eng",D2,"Name")</f>
        <v>SQL Server</v>
      </c>
      <c r="F2" t="s">
        <v>168</v>
      </c>
      <c r="G2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3811-A4EC-4945-991D-C54DCE0326AF}">
  <sheetPr codeName="Planilha23"/>
  <dimension ref="A1:G4"/>
  <sheetViews>
    <sheetView workbookViewId="0">
      <pane ySplit="1" topLeftCell="A2" activePane="bottomLeft" state="frozen"/>
      <selection pane="bottomLeft" activeCell="F10" sqref="F10"/>
    </sheetView>
  </sheetViews>
  <sheetFormatPr defaultRowHeight="14.4"/>
  <cols>
    <col min="1" max="1" width="2.6640625" bestFit="1" customWidth="1"/>
    <col min="2" max="2" width="10.88671875" bestFit="1" customWidth="1"/>
    <col min="3" max="3" width="15.5546875" bestFit="1" customWidth="1"/>
    <col min="4" max="4" width="12.44140625" bestFit="1" customWidth="1"/>
    <col min="5" max="5" width="39.109375" bestFit="1" customWidth="1"/>
    <col min="6" max="6" width="154.109375" bestFit="1" customWidth="1"/>
    <col min="7" max="7" width="12.44140625" bestFit="1" customWidth="1"/>
  </cols>
  <sheetData>
    <row r="1" spans="1:7" s="1" customFormat="1">
      <c r="A1" s="1" t="s">
        <v>0</v>
      </c>
      <c r="B1" s="1" t="s">
        <v>84</v>
      </c>
      <c r="C1" s="1" t="s">
        <v>151</v>
      </c>
      <c r="D1" s="1" t="s">
        <v>434</v>
      </c>
      <c r="E1" s="1" t="s">
        <v>318</v>
      </c>
      <c r="F1" s="1" t="s">
        <v>215</v>
      </c>
      <c r="G1" s="1" t="s">
        <v>24</v>
      </c>
    </row>
    <row r="2" spans="1:7">
      <c r="A2">
        <f>ROW(A2)-1</f>
        <v>1</v>
      </c>
      <c r="B2">
        <v>1</v>
      </c>
      <c r="C2" t="str" cm="1">
        <f t="array" ref="C2">GetValue("Db",B2,"Name")&amp;"-"&amp;D2</f>
        <v>crudex-dev</v>
      </c>
      <c r="D2" t="s">
        <v>216</v>
      </c>
      <c r="E2" t="s">
        <v>209</v>
      </c>
      <c r="F2" t="s">
        <v>457</v>
      </c>
      <c r="G2" t="b">
        <v>1</v>
      </c>
    </row>
    <row r="3" spans="1:7">
      <c r="A3">
        <f t="shared" ref="A3:A4" si="0">ROW(A3)-1</f>
        <v>2</v>
      </c>
      <c r="B3">
        <v>1</v>
      </c>
      <c r="C3" t="str" cm="1">
        <f t="array" ref="C3">GetValue("Db",B3,"Name")&amp;"-"&amp;D3</f>
        <v>crudex-hml</v>
      </c>
      <c r="D3" t="s">
        <v>265</v>
      </c>
      <c r="E3" t="s">
        <v>209</v>
      </c>
      <c r="F3" t="s">
        <v>458</v>
      </c>
      <c r="G3" t="b">
        <v>1</v>
      </c>
    </row>
    <row r="4" spans="1:7">
      <c r="A4">
        <f t="shared" si="0"/>
        <v>3</v>
      </c>
      <c r="B4">
        <v>1</v>
      </c>
      <c r="C4" t="str" cm="1">
        <f t="array" ref="C4">GetValue("Db",B4,"Name")&amp;"-"&amp;D4</f>
        <v>crudex-prd</v>
      </c>
      <c r="D4" t="s">
        <v>266</v>
      </c>
      <c r="E4" t="s">
        <v>209</v>
      </c>
      <c r="F4" t="s">
        <v>459</v>
      </c>
      <c r="G4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D4C-CA9F-4DEF-890B-3A1445ED515A}">
  <sheetPr codeName="Planilha5"/>
  <dimension ref="A1:H2"/>
  <sheetViews>
    <sheetView workbookViewId="0">
      <pane ySplit="1" topLeftCell="A2" activePane="bottomLeft" state="frozen"/>
      <selection pane="bottomLeft" activeCell="D6" sqref="D6"/>
    </sheetView>
  </sheetViews>
  <sheetFormatPr defaultRowHeight="14.4"/>
  <cols>
    <col min="1" max="1" width="2.6640625" bestFit="1" customWidth="1"/>
    <col min="2" max="2" width="10.88671875" bestFit="1" customWidth="1"/>
    <col min="3" max="3" width="15.5546875" bestFit="1" customWidth="1"/>
    <col min="4" max="4" width="6.33203125" bestFit="1" customWidth="1"/>
    <col min="5" max="5" width="7" bestFit="1" customWidth="1"/>
    <col min="6" max="6" width="13.109375" bestFit="1" customWidth="1"/>
    <col min="7" max="7" width="15.33203125" bestFit="1" customWidth="1"/>
    <col min="8" max="8" width="12.44140625" bestFit="1" customWidth="1"/>
  </cols>
  <sheetData>
    <row r="1" spans="1:8" s="1" customFormat="1">
      <c r="A1" s="1" t="s">
        <v>0</v>
      </c>
      <c r="B1" s="1" t="s">
        <v>84</v>
      </c>
      <c r="C1" s="1" t="s">
        <v>151</v>
      </c>
      <c r="D1" s="1" t="s">
        <v>343</v>
      </c>
      <c r="E1" s="1" t="s">
        <v>1</v>
      </c>
      <c r="F1" s="1" t="s">
        <v>66</v>
      </c>
      <c r="G1" s="1" t="s">
        <v>67</v>
      </c>
      <c r="H1" s="1" t="s">
        <v>24</v>
      </c>
    </row>
    <row r="2" spans="1:8">
      <c r="A2">
        <v>1</v>
      </c>
      <c r="B2">
        <v>1</v>
      </c>
      <c r="C2" t="str" cm="1">
        <f t="array" ref="C2">GetValue("Db",B2,"Name")</f>
        <v>crudex</v>
      </c>
      <c r="D2" t="s">
        <v>344</v>
      </c>
      <c r="E2" t="s">
        <v>168</v>
      </c>
      <c r="F2" t="s">
        <v>169</v>
      </c>
      <c r="G2">
        <v>5</v>
      </c>
      <c r="H2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355A-002E-482B-A482-345E89FFFD83}">
  <sheetPr codeName="Planilha6"/>
  <dimension ref="A1:I5"/>
  <sheetViews>
    <sheetView workbookViewId="0">
      <pane ySplit="1" topLeftCell="A2" activePane="bottomLeft" state="frozen"/>
      <selection pane="bottomLeft" activeCell="E5" sqref="E5"/>
    </sheetView>
  </sheetViews>
  <sheetFormatPr defaultColWidth="8.33203125" defaultRowHeight="14.4"/>
  <cols>
    <col min="1" max="1" width="2.6640625" bestFit="1" customWidth="1"/>
    <col min="2" max="2" width="9.109375" bestFit="1" customWidth="1"/>
    <col min="3" max="3" width="13.88671875" bestFit="1" customWidth="1"/>
    <col min="4" max="4" width="9.6640625" bestFit="1" customWidth="1"/>
    <col min="5" max="5" width="12" bestFit="1" customWidth="1"/>
    <col min="6" max="6" width="33.88671875" bestFit="1" customWidth="1"/>
    <col min="7" max="7" width="14" bestFit="1" customWidth="1"/>
    <col min="8" max="8" width="20.33203125" bestFit="1" customWidth="1"/>
    <col min="9" max="9" width="12.44140625" bestFit="1" customWidth="1"/>
  </cols>
  <sheetData>
    <row r="1" spans="1:9" s="1" customFormat="1">
      <c r="A1" s="1" t="s">
        <v>0</v>
      </c>
      <c r="B1" s="1" t="s">
        <v>68</v>
      </c>
      <c r="C1" s="1" t="s">
        <v>150</v>
      </c>
      <c r="D1" s="1" t="s">
        <v>69</v>
      </c>
      <c r="E1" s="1" t="s">
        <v>70</v>
      </c>
      <c r="F1" s="1" t="s">
        <v>71</v>
      </c>
      <c r="G1" s="1" t="s">
        <v>73</v>
      </c>
      <c r="H1" s="1" t="s">
        <v>165</v>
      </c>
      <c r="I1" s="1" t="s">
        <v>24</v>
      </c>
    </row>
    <row r="2" spans="1:9">
      <c r="A2">
        <f>ROW(A2)-1</f>
        <v>1</v>
      </c>
      <c r="B2">
        <v>1</v>
      </c>
      <c r="C2" t="str" cm="1">
        <f t="array" ref="C2">GetValue("Sys",B2,"Name")</f>
        <v>crudex</v>
      </c>
      <c r="D2">
        <v>5</v>
      </c>
      <c r="E2" t="s">
        <v>474</v>
      </c>
      <c r="F2" t="s">
        <v>475</v>
      </c>
      <c r="H2" t="str" cm="1">
        <f t="array" ref="H2">GetValue("Mnu",G2,"Caption")</f>
        <v/>
      </c>
      <c r="I2" t="b">
        <v>1</v>
      </c>
    </row>
    <row r="3" spans="1:9">
      <c r="A3">
        <f>ROW(A3)-1</f>
        <v>2</v>
      </c>
      <c r="B3">
        <v>1</v>
      </c>
      <c r="C3" t="str" cm="1">
        <f t="array" ref="C3">GetValue("Sys",B3,"Name")</f>
        <v>crudex</v>
      </c>
      <c r="D3">
        <v>10</v>
      </c>
      <c r="E3" t="s">
        <v>920</v>
      </c>
      <c r="F3" t="s">
        <v>476</v>
      </c>
      <c r="G3">
        <v>1</v>
      </c>
      <c r="H3" t="str" cm="1">
        <f t="array" ref="H3">GetValue("Mnu",G3,"Caption")</f>
        <v>Manutenção</v>
      </c>
      <c r="I3" t="b">
        <v>1</v>
      </c>
    </row>
    <row r="4" spans="1:9">
      <c r="A4">
        <f>ROW(A4)-1</f>
        <v>3</v>
      </c>
      <c r="B4">
        <v>1</v>
      </c>
      <c r="C4" t="str" cm="1">
        <f t="array" ref="C4">GetValue("Sys",B4,"Name")</f>
        <v>crudex</v>
      </c>
      <c r="D4">
        <v>15</v>
      </c>
      <c r="E4" t="s">
        <v>923</v>
      </c>
      <c r="F4" t="s">
        <v>922</v>
      </c>
      <c r="G4">
        <v>1</v>
      </c>
      <c r="H4" t="str" cm="1">
        <f t="array" ref="H4">GetValue("Mnu",G4,"Caption")</f>
        <v>Manutenção</v>
      </c>
      <c r="I4" t="b">
        <v>1</v>
      </c>
    </row>
    <row r="5" spans="1:9">
      <c r="A5">
        <f>ROW(A5)-1</f>
        <v>4</v>
      </c>
      <c r="B5">
        <v>1</v>
      </c>
      <c r="C5" t="str" cm="1">
        <f t="array" ref="C5">GetValue("Sys",B5,"Name")</f>
        <v>crudex</v>
      </c>
      <c r="D5">
        <v>20</v>
      </c>
      <c r="E5" t="s">
        <v>921</v>
      </c>
      <c r="F5" t="s">
        <v>477</v>
      </c>
      <c r="H5" t="str" cm="1">
        <f t="array" ref="H5">GetValue("Mnu",G5,"Caption")</f>
        <v/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F3B4-9AEE-49A0-9C92-3C34E29F332D}">
  <sheetPr codeName="planTbl"/>
  <dimension ref="A1:L35"/>
  <sheetViews>
    <sheetView zoomScaleNormal="100" workbookViewId="0">
      <pane ySplit="1" topLeftCell="A14" activePane="bottomLeft" state="frozen"/>
      <selection pane="bottomLeft" activeCell="A13" sqref="A13:XFD13"/>
    </sheetView>
  </sheetViews>
  <sheetFormatPr defaultColWidth="10.5546875" defaultRowHeight="14.4"/>
  <cols>
    <col min="1" max="1" width="3" bestFit="1" customWidth="1"/>
    <col min="2" max="2" width="10.88671875" bestFit="1" customWidth="1"/>
    <col min="3" max="3" width="15.5546875" bestFit="1" customWidth="1"/>
    <col min="4" max="4" width="12.33203125" bestFit="1" customWidth="1"/>
    <col min="5" max="5" width="5.33203125" bestFit="1" customWidth="1"/>
    <col min="6" max="6" width="38.6640625" bestFit="1" customWidth="1"/>
    <col min="7" max="7" width="9.44140625" bestFit="1" customWidth="1"/>
    <col min="8" max="8" width="8" bestFit="1" customWidth="1"/>
    <col min="9" max="9" width="14.33203125" bestFit="1" customWidth="1"/>
    <col min="10" max="10" width="15.109375" bestFit="1" customWidth="1"/>
    <col min="11" max="11" width="19.44140625" bestFit="1" customWidth="1"/>
    <col min="12" max="12" width="49.88671875" bestFit="1" customWidth="1"/>
  </cols>
  <sheetData>
    <row r="1" spans="1:12" s="1" customFormat="1">
      <c r="A1" s="1" t="s">
        <v>0</v>
      </c>
      <c r="B1" s="1" t="s">
        <v>84</v>
      </c>
      <c r="C1" s="1" t="s">
        <v>151</v>
      </c>
      <c r="D1" s="1" t="s">
        <v>1</v>
      </c>
      <c r="E1" s="1" t="s">
        <v>83</v>
      </c>
      <c r="F1" s="1" t="s">
        <v>66</v>
      </c>
      <c r="G1" s="1" t="s">
        <v>163</v>
      </c>
      <c r="H1" s="1" t="s">
        <v>455</v>
      </c>
      <c r="I1" s="1" t="s">
        <v>456</v>
      </c>
      <c r="J1" s="1" t="s">
        <v>672</v>
      </c>
      <c r="K1" s="1" t="s">
        <v>673</v>
      </c>
      <c r="L1" s="1" t="s">
        <v>674</v>
      </c>
    </row>
    <row r="2" spans="1:12">
      <c r="A2">
        <f t="shared" ref="A2:A35" si="0">ROW(A2)-1</f>
        <v>1</v>
      </c>
      <c r="B2">
        <v>1</v>
      </c>
      <c r="C2" t="str" cm="1">
        <f t="array" ref="C2">GetValue("Db",B2,"Name")</f>
        <v>crudex</v>
      </c>
      <c r="D2" t="s">
        <v>94</v>
      </c>
      <c r="E2" t="s">
        <v>327</v>
      </c>
      <c r="F2" t="s">
        <v>734</v>
      </c>
      <c r="G2" cm="1">
        <f t="array" ref="G2">GetLastId(A2)</f>
        <v>10</v>
      </c>
      <c r="H2">
        <v>1</v>
      </c>
      <c r="I2" t="str" cm="1">
        <f t="array" ref="I2">GetValue("Mnu",H2,"Caption")</f>
        <v>Manutenção</v>
      </c>
      <c r="J2">
        <v>5</v>
      </c>
      <c r="K2" t="s">
        <v>715</v>
      </c>
      <c r="L2" t="str">
        <f>I2&amp;" de "&amp;F2</f>
        <v>Manutenção de Categorias de Tipos</v>
      </c>
    </row>
    <row r="3" spans="1:12">
      <c r="A3">
        <f t="shared" si="0"/>
        <v>2</v>
      </c>
      <c r="B3">
        <v>1</v>
      </c>
      <c r="C3" t="str" cm="1">
        <f t="array" ref="C3">GetValue("Db",B3,"Name")</f>
        <v>crudex</v>
      </c>
      <c r="D3" t="s">
        <v>668</v>
      </c>
      <c r="E3" t="s">
        <v>669</v>
      </c>
      <c r="F3" t="s">
        <v>670</v>
      </c>
      <c r="G3" cm="1">
        <f t="array" ref="G3">GetLastId(A3)</f>
        <v>14</v>
      </c>
      <c r="H3">
        <v>1</v>
      </c>
      <c r="I3" t="str" cm="1">
        <f t="array" ref="I3">GetValue("Mnu",H3,"Caption")</f>
        <v>Manutenção</v>
      </c>
      <c r="J3">
        <f>J2+5</f>
        <v>10</v>
      </c>
      <c r="K3" t="s">
        <v>670</v>
      </c>
      <c r="L3" t="str">
        <f t="shared" ref="L3:L35" si="1">I3&amp;" de "&amp;F3</f>
        <v>Manutenção de Comparadores</v>
      </c>
    </row>
    <row r="4" spans="1:12">
      <c r="A4">
        <f t="shared" si="0"/>
        <v>3</v>
      </c>
      <c r="B4">
        <v>1</v>
      </c>
      <c r="C4" t="str" cm="1">
        <f t="array" ref="C4">GetValue("Db",B4,"Name")</f>
        <v>crudex</v>
      </c>
      <c r="D4" t="s">
        <v>783</v>
      </c>
      <c r="E4" t="s">
        <v>784</v>
      </c>
      <c r="F4" t="s">
        <v>675</v>
      </c>
      <c r="G4" cm="1">
        <f t="array" ref="G4">GetLastId(A4)</f>
        <v>68</v>
      </c>
      <c r="H4">
        <v>1</v>
      </c>
      <c r="I4" t="str" cm="1">
        <f t="array" ref="I4">GetValue("Mnu",H4,"Caption")</f>
        <v>Manutenção</v>
      </c>
      <c r="J4">
        <f t="shared" ref="J4:J35" si="2">J3+5</f>
        <v>15</v>
      </c>
      <c r="K4" t="s">
        <v>751</v>
      </c>
      <c r="L4" t="str">
        <f t="shared" si="1"/>
        <v>Manutenção de Categorias x Comparadores</v>
      </c>
    </row>
    <row r="5" spans="1:12">
      <c r="A5">
        <f>ROW(A5)-1</f>
        <v>4</v>
      </c>
      <c r="B5">
        <v>1</v>
      </c>
      <c r="C5" t="str" cm="1">
        <f t="array" ref="C5">GetValue("Db",B5,"Name")</f>
        <v>crudex</v>
      </c>
      <c r="D5" t="s">
        <v>367</v>
      </c>
      <c r="E5" t="s">
        <v>370</v>
      </c>
      <c r="F5" t="s">
        <v>374</v>
      </c>
      <c r="G5" cm="1">
        <f t="array" ref="G5">GetLastId(A5)</f>
        <v>10</v>
      </c>
      <c r="H5">
        <v>1</v>
      </c>
      <c r="I5" t="str" cm="1">
        <f t="array" ref="I5">GetValue("Mnu",H5,"Caption")</f>
        <v>Manutenção</v>
      </c>
      <c r="J5">
        <f t="shared" si="2"/>
        <v>20</v>
      </c>
      <c r="K5" t="s">
        <v>374</v>
      </c>
      <c r="L5" t="str">
        <f t="shared" si="1"/>
        <v>Manutenção de SGBD's</v>
      </c>
    </row>
    <row r="6" spans="1:12">
      <c r="A6">
        <f t="shared" si="0"/>
        <v>5</v>
      </c>
      <c r="B6">
        <v>1</v>
      </c>
      <c r="C6" t="str" cm="1">
        <f t="array" ref="C6">GetValue("Db",B6,"Name")</f>
        <v>crudex</v>
      </c>
      <c r="D6" t="s">
        <v>85</v>
      </c>
      <c r="E6" t="s">
        <v>328</v>
      </c>
      <c r="F6" t="s">
        <v>74</v>
      </c>
      <c r="G6" cm="1">
        <f t="array" ref="G6">GetLastId(A6)</f>
        <v>38</v>
      </c>
      <c r="H6">
        <v>1</v>
      </c>
      <c r="I6" t="str" cm="1">
        <f t="array" ref="I6">GetValue("Mnu",H6,"Caption")</f>
        <v>Manutenção</v>
      </c>
      <c r="J6">
        <f t="shared" si="2"/>
        <v>25</v>
      </c>
      <c r="K6" t="s">
        <v>74</v>
      </c>
      <c r="L6" t="str">
        <f t="shared" si="1"/>
        <v>Manutenção de Tipos</v>
      </c>
    </row>
    <row r="7" spans="1:12">
      <c r="A7">
        <f t="shared" si="0"/>
        <v>6</v>
      </c>
      <c r="B7">
        <v>1</v>
      </c>
      <c r="C7" t="str" cm="1">
        <f t="array" ref="C7">GetValue("Db",B7,"Name")</f>
        <v>crudex</v>
      </c>
      <c r="D7" t="s">
        <v>779</v>
      </c>
      <c r="E7" t="s">
        <v>780</v>
      </c>
      <c r="F7" t="s">
        <v>375</v>
      </c>
      <c r="G7" cm="1">
        <f t="array" ref="G7">GetLastId(A7)</f>
        <v>380</v>
      </c>
      <c r="H7">
        <v>1</v>
      </c>
      <c r="I7" t="str" cm="1">
        <f t="array" ref="I7">GetValue("Mnu",H7,"Caption")</f>
        <v>Manutenção</v>
      </c>
      <c r="J7">
        <f t="shared" si="2"/>
        <v>30</v>
      </c>
      <c r="K7" t="s">
        <v>375</v>
      </c>
      <c r="L7" t="str">
        <f t="shared" si="1"/>
        <v>Manutenção de SGBD's x Tipos</v>
      </c>
    </row>
    <row r="8" spans="1:12">
      <c r="A8">
        <f t="shared" si="0"/>
        <v>7</v>
      </c>
      <c r="B8">
        <v>1</v>
      </c>
      <c r="C8" t="str" cm="1">
        <f t="array" ref="C8">GetValue("Db",B8,"Name")</f>
        <v>crudex</v>
      </c>
      <c r="D8" t="s">
        <v>366</v>
      </c>
      <c r="E8" t="s">
        <v>369</v>
      </c>
      <c r="F8" t="s">
        <v>373</v>
      </c>
      <c r="G8" cm="1">
        <f t="array" ref="G8">GetLastId(A8)</f>
        <v>5</v>
      </c>
      <c r="H8">
        <v>1</v>
      </c>
      <c r="I8" t="str" cm="1">
        <f t="array" ref="I8">GetValue("Mnu",H8,"Caption")</f>
        <v>Manutenção</v>
      </c>
      <c r="J8">
        <f t="shared" si="2"/>
        <v>35</v>
      </c>
      <c r="K8" t="s">
        <v>373</v>
      </c>
      <c r="L8" t="str">
        <f t="shared" si="1"/>
        <v>Manutenção de Clientes</v>
      </c>
    </row>
    <row r="9" spans="1:12">
      <c r="A9">
        <f t="shared" si="0"/>
        <v>8</v>
      </c>
      <c r="B9">
        <v>1</v>
      </c>
      <c r="C9" t="str" cm="1">
        <f t="array" ref="C9">GetValue("Db",B9,"Name")</f>
        <v>crudex</v>
      </c>
      <c r="D9" t="s">
        <v>86</v>
      </c>
      <c r="E9" t="s">
        <v>330</v>
      </c>
      <c r="F9" t="s">
        <v>735</v>
      </c>
      <c r="G9" cm="1">
        <f t="array" ref="G9">GetLastId(A9)</f>
        <v>52</v>
      </c>
      <c r="H9">
        <v>2</v>
      </c>
      <c r="I9" t="str" cm="1">
        <f t="array" ref="I9">GetValue("Mnu",H9,"Caption")</f>
        <v>Cadastro</v>
      </c>
      <c r="J9">
        <v>5</v>
      </c>
      <c r="K9" t="s">
        <v>716</v>
      </c>
      <c r="L9" t="str">
        <f t="shared" si="1"/>
        <v>Cadastro de Domínios de Colunas</v>
      </c>
    </row>
    <row r="10" spans="1:12">
      <c r="A10">
        <f t="shared" si="0"/>
        <v>9</v>
      </c>
      <c r="B10">
        <v>1</v>
      </c>
      <c r="C10" t="str" cm="1">
        <f t="array" ref="C10">GetValue("Db",B10,"Name")</f>
        <v>crudex</v>
      </c>
      <c r="D10" t="s">
        <v>87</v>
      </c>
      <c r="E10" t="s">
        <v>329</v>
      </c>
      <c r="F10" t="s">
        <v>736</v>
      </c>
      <c r="G10" cm="1">
        <f t="array" ref="G10">GetLastId(A10)</f>
        <v>19</v>
      </c>
      <c r="H10">
        <v>2</v>
      </c>
      <c r="I10" t="str" cm="1">
        <f t="array" ref="I10">GetValue("Mnu",H10,"Caption")</f>
        <v>Cadastro</v>
      </c>
      <c r="J10">
        <f t="shared" si="2"/>
        <v>10</v>
      </c>
      <c r="K10" t="s">
        <v>717</v>
      </c>
      <c r="L10" t="str">
        <f t="shared" si="1"/>
        <v>Cadastro de Máscaras de Edição</v>
      </c>
    </row>
    <row r="11" spans="1:12">
      <c r="A11">
        <f t="shared" si="0"/>
        <v>10</v>
      </c>
      <c r="B11">
        <v>1</v>
      </c>
      <c r="C11" t="str" cm="1">
        <f t="array" ref="C11">GetValue("Db",B11,"Name")</f>
        <v>crudex</v>
      </c>
      <c r="D11" t="s">
        <v>781</v>
      </c>
      <c r="E11" t="s">
        <v>782</v>
      </c>
      <c r="F11" t="s">
        <v>714</v>
      </c>
      <c r="G11" cm="1">
        <f t="array" ref="G11">GetLastId(A11)</f>
        <v>19</v>
      </c>
      <c r="H11">
        <v>2</v>
      </c>
      <c r="I11" t="str" cm="1">
        <f t="array" ref="I11">GetValue("Mnu",H11,"Caption")</f>
        <v>Cadastro</v>
      </c>
      <c r="J11">
        <f t="shared" si="2"/>
        <v>15</v>
      </c>
      <c r="K11" t="s">
        <v>714</v>
      </c>
      <c r="L11" t="str">
        <f t="shared" si="1"/>
        <v>Cadastro de Domínios x Máscaras</v>
      </c>
    </row>
    <row r="12" spans="1:12">
      <c r="A12">
        <f t="shared" si="0"/>
        <v>11</v>
      </c>
      <c r="B12">
        <v>1</v>
      </c>
      <c r="C12" t="str" cm="1">
        <f t="array" ref="C12">GetValue("Db",B12,"Name")</f>
        <v>crudex</v>
      </c>
      <c r="D12" t="s">
        <v>90</v>
      </c>
      <c r="E12" t="s">
        <v>334</v>
      </c>
      <c r="F12" t="s">
        <v>376</v>
      </c>
      <c r="G12" cm="1">
        <f t="array" ref="G12">GetLastId(A12)</f>
        <v>1</v>
      </c>
      <c r="H12">
        <v>2</v>
      </c>
      <c r="I12" t="str" cm="1">
        <f t="array" ref="I12">GetValue("Mnu",H12,"Caption")</f>
        <v>Cadastro</v>
      </c>
      <c r="J12">
        <f t="shared" si="2"/>
        <v>20</v>
      </c>
      <c r="K12" t="s">
        <v>376</v>
      </c>
      <c r="L12" t="str">
        <f t="shared" si="1"/>
        <v>Cadastro de Bancos-de-dados</v>
      </c>
    </row>
    <row r="13" spans="1:12">
      <c r="A13">
        <f t="shared" si="0"/>
        <v>12</v>
      </c>
      <c r="B13">
        <v>1</v>
      </c>
      <c r="C13" t="str" cm="1">
        <f t="array" ref="C13">GetValue("Db",B13,"Name")</f>
        <v>crudex</v>
      </c>
      <c r="D13" t="s">
        <v>454</v>
      </c>
      <c r="E13" t="s">
        <v>578</v>
      </c>
      <c r="F13" t="s">
        <v>737</v>
      </c>
      <c r="G13" cm="1">
        <f t="array" ref="G13">GetLastId(A13)</f>
        <v>3</v>
      </c>
      <c r="H13">
        <v>2</v>
      </c>
      <c r="I13" t="str" cm="1">
        <f t="array" ref="I13">GetValue("Mnu",H13,"Caption")</f>
        <v>Cadastro</v>
      </c>
      <c r="J13">
        <f t="shared" si="2"/>
        <v>25</v>
      </c>
      <c r="K13" t="s">
        <v>718</v>
      </c>
      <c r="L13" t="str">
        <f t="shared" si="1"/>
        <v>Cadastro de Conexões de Bancos-de-Dados</v>
      </c>
    </row>
    <row r="14" spans="1:12">
      <c r="A14">
        <f t="shared" si="0"/>
        <v>13</v>
      </c>
      <c r="B14">
        <v>1</v>
      </c>
      <c r="C14" t="str" cm="1">
        <f t="array" ref="C14">GetValue("Db",B14,"Name")</f>
        <v>crudex</v>
      </c>
      <c r="D14" t="s">
        <v>88</v>
      </c>
      <c r="E14" t="s">
        <v>331</v>
      </c>
      <c r="F14" t="s">
        <v>78</v>
      </c>
      <c r="G14" cm="1">
        <f t="array" ref="G14">GetLastId(A14)</f>
        <v>1</v>
      </c>
      <c r="H14">
        <v>3</v>
      </c>
      <c r="I14" t="str" cm="1">
        <f t="array" ref="I14">GetValue("Mnu",H14,"Caption")</f>
        <v>Definição</v>
      </c>
      <c r="J14">
        <v>5</v>
      </c>
      <c r="K14" t="s">
        <v>78</v>
      </c>
      <c r="L14" t="str">
        <f t="shared" si="1"/>
        <v>Definição de Sistemas</v>
      </c>
    </row>
    <row r="15" spans="1:12">
      <c r="A15">
        <f>ROW(A15)-1</f>
        <v>14</v>
      </c>
      <c r="B15">
        <v>1</v>
      </c>
      <c r="C15" t="str" cm="1">
        <f t="array" ref="C15">GetValue("Db",B15,"Name")</f>
        <v>crudex</v>
      </c>
      <c r="D15" t="s">
        <v>77</v>
      </c>
      <c r="E15" t="s">
        <v>332</v>
      </c>
      <c r="F15" t="s">
        <v>738</v>
      </c>
      <c r="G15" cm="1">
        <f t="array" ref="G15">GetLastId(A15)</f>
        <v>4</v>
      </c>
      <c r="H15">
        <v>3</v>
      </c>
      <c r="I15" t="str" cm="1">
        <f t="array" ref="I15">GetValue("Mnu",H15,"Caption")</f>
        <v>Definição</v>
      </c>
      <c r="J15">
        <f t="shared" si="2"/>
        <v>10</v>
      </c>
      <c r="K15" t="s">
        <v>77</v>
      </c>
      <c r="L15" t="str">
        <f t="shared" si="1"/>
        <v>Definição de Menus Agrupadores de Opções</v>
      </c>
    </row>
    <row r="16" spans="1:12">
      <c r="A16">
        <f>ROW(A16)-1</f>
        <v>15</v>
      </c>
      <c r="B16">
        <v>1</v>
      </c>
      <c r="C16" t="str" cm="1">
        <f t="array" ref="C16">GetValue("Db",B16,"Name")</f>
        <v>crudex</v>
      </c>
      <c r="D16" t="s">
        <v>91</v>
      </c>
      <c r="E16" t="s">
        <v>335</v>
      </c>
      <c r="F16" t="s">
        <v>76</v>
      </c>
      <c r="G16" cm="1">
        <f t="array" ref="G16">GetLastId(A16)</f>
        <v>34</v>
      </c>
      <c r="H16">
        <v>3</v>
      </c>
      <c r="I16" t="str" cm="1">
        <f t="array" ref="I16">GetValue("Mnu",H16,"Caption")</f>
        <v>Definição</v>
      </c>
      <c r="J16">
        <f t="shared" si="2"/>
        <v>15</v>
      </c>
      <c r="K16" t="s">
        <v>76</v>
      </c>
      <c r="L16" t="str">
        <f t="shared" si="1"/>
        <v>Definição de Tabelas</v>
      </c>
    </row>
    <row r="17" spans="1:12">
      <c r="A17">
        <f t="shared" si="0"/>
        <v>16</v>
      </c>
      <c r="B17">
        <v>1</v>
      </c>
      <c r="C17" t="str" cm="1">
        <f t="array" ref="C17">GetValue("Db",B17,"Name")</f>
        <v>crudex</v>
      </c>
      <c r="D17" t="s">
        <v>92</v>
      </c>
      <c r="E17" t="s">
        <v>336</v>
      </c>
      <c r="F17" t="s">
        <v>739</v>
      </c>
      <c r="G17" cm="1">
        <f t="array" ref="G17">GetLastId(A17)</f>
        <v>224</v>
      </c>
      <c r="H17">
        <v>3</v>
      </c>
      <c r="I17" t="str" cm="1">
        <f t="array" ref="I17">GetValue("Mnu",H17,"Caption")</f>
        <v>Definição</v>
      </c>
      <c r="J17">
        <f t="shared" si="2"/>
        <v>20</v>
      </c>
      <c r="K17" t="s">
        <v>719</v>
      </c>
      <c r="L17" t="str">
        <f t="shared" si="1"/>
        <v>Definição de Colunas de Tabelas</v>
      </c>
    </row>
    <row r="18" spans="1:12">
      <c r="A18">
        <f t="shared" si="0"/>
        <v>17</v>
      </c>
      <c r="B18">
        <v>1</v>
      </c>
      <c r="C18" t="str" cm="1">
        <f t="array" ref="C18">GetValue("Db",B18,"Name")</f>
        <v>crudex</v>
      </c>
      <c r="D18" t="s">
        <v>93</v>
      </c>
      <c r="E18" t="s">
        <v>337</v>
      </c>
      <c r="F18" t="s">
        <v>740</v>
      </c>
      <c r="G18" cm="1">
        <f t="array" ref="G18">GetLastId(A18)</f>
        <v>40</v>
      </c>
      <c r="H18">
        <v>3</v>
      </c>
      <c r="I18" t="str" cm="1">
        <f t="array" ref="I18">GetValue("Mnu",H18,"Caption")</f>
        <v>Definição</v>
      </c>
      <c r="J18">
        <f t="shared" si="2"/>
        <v>25</v>
      </c>
      <c r="K18" t="s">
        <v>720</v>
      </c>
      <c r="L18" t="str">
        <f t="shared" si="1"/>
        <v>Definição de Índices de Tabelas</v>
      </c>
    </row>
    <row r="19" spans="1:12" ht="13.95" customHeight="1">
      <c r="A19">
        <f t="shared" si="0"/>
        <v>18</v>
      </c>
      <c r="B19">
        <v>1</v>
      </c>
      <c r="C19" t="str" cm="1">
        <f t="array" ref="C19">GetValue("Db",B19,"Name")</f>
        <v>crudex</v>
      </c>
      <c r="D19" t="s">
        <v>138</v>
      </c>
      <c r="E19" t="s">
        <v>371</v>
      </c>
      <c r="F19" t="s">
        <v>741</v>
      </c>
      <c r="G19" cm="1">
        <f t="array" ref="G19">GetLastId(A19)</f>
        <v>28</v>
      </c>
      <c r="H19">
        <v>4</v>
      </c>
      <c r="I19" t="str" cm="1">
        <f t="array" ref="I19">GetValue("Mnu",H19,"Caption")</f>
        <v>Associação</v>
      </c>
      <c r="J19">
        <v>5</v>
      </c>
      <c r="K19" t="s">
        <v>721</v>
      </c>
      <c r="L19" t="str">
        <f t="shared" si="1"/>
        <v>Associação de Chaves de Índices</v>
      </c>
    </row>
    <row r="20" spans="1:12" ht="13.95" customHeight="1">
      <c r="A20">
        <f t="shared" si="0"/>
        <v>19</v>
      </c>
      <c r="B20">
        <v>1</v>
      </c>
      <c r="C20" t="str" cm="1">
        <f t="array" ref="C20">GetValue("Db",B20,"Name")</f>
        <v>crudex</v>
      </c>
      <c r="D20" t="s">
        <v>471</v>
      </c>
      <c r="E20" t="s">
        <v>472</v>
      </c>
      <c r="F20" t="s">
        <v>742</v>
      </c>
      <c r="G20" cm="1">
        <f t="array" ref="G20">GetLastId(A20)</f>
        <v>28</v>
      </c>
      <c r="H20">
        <v>4</v>
      </c>
      <c r="I20" t="str" cm="1">
        <f t="array" ref="I20">GetValue("Mnu",H20,"Caption")</f>
        <v>Associação</v>
      </c>
      <c r="J20">
        <f t="shared" si="2"/>
        <v>10</v>
      </c>
      <c r="K20" t="s">
        <v>722</v>
      </c>
      <c r="L20" t="str">
        <f t="shared" si="1"/>
        <v>Associação de Colunas Não-Chaves de Índices</v>
      </c>
    </row>
    <row r="21" spans="1:12">
      <c r="A21">
        <f t="shared" si="0"/>
        <v>20</v>
      </c>
      <c r="B21">
        <v>1</v>
      </c>
      <c r="C21" t="str" cm="1">
        <f t="array" ref="C21">GetValue("Db",B21,"Name")</f>
        <v>crudex</v>
      </c>
      <c r="D21" t="s">
        <v>208</v>
      </c>
      <c r="E21" t="s">
        <v>341</v>
      </c>
      <c r="F21" t="s">
        <v>743</v>
      </c>
      <c r="G21" cm="1">
        <f t="array" ref="G21">GetLastId(A21)</f>
        <v>1</v>
      </c>
      <c r="H21">
        <v>4</v>
      </c>
      <c r="I21" t="str" cm="1">
        <f t="array" ref="I21">GetValue("Mnu",H21,"Caption")</f>
        <v>Associação</v>
      </c>
      <c r="J21">
        <f t="shared" si="2"/>
        <v>15</v>
      </c>
      <c r="K21" t="s">
        <v>723</v>
      </c>
      <c r="L21" t="str">
        <f t="shared" si="1"/>
        <v>Associação de Unicidades Cruzadas Entre Tabelas</v>
      </c>
    </row>
    <row r="22" spans="1:12">
      <c r="A22">
        <f t="shared" si="0"/>
        <v>21</v>
      </c>
      <c r="B22">
        <v>1</v>
      </c>
      <c r="C22" t="str" cm="1">
        <f t="array" ref="C22">GetValue("Db",B22,"Name")</f>
        <v>crudex</v>
      </c>
      <c r="D22" t="s">
        <v>928</v>
      </c>
      <c r="E22" t="s">
        <v>470</v>
      </c>
      <c r="F22" t="s">
        <v>744</v>
      </c>
      <c r="G22" cm="1">
        <f t="array" ref="G22">GetLastId(A22)</f>
        <v>1</v>
      </c>
      <c r="H22">
        <v>4</v>
      </c>
      <c r="I22" t="str" cm="1">
        <f t="array" ref="I22">GetValue("Mnu",H22,"Caption")</f>
        <v>Associação</v>
      </c>
      <c r="J22">
        <f t="shared" si="2"/>
        <v>20</v>
      </c>
      <c r="K22" t="s">
        <v>733</v>
      </c>
      <c r="L22" t="str">
        <f t="shared" si="1"/>
        <v>Associação de Expressões Lógicas</v>
      </c>
    </row>
    <row r="23" spans="1:12">
      <c r="A23">
        <f t="shared" si="0"/>
        <v>22</v>
      </c>
      <c r="B23">
        <v>1</v>
      </c>
      <c r="C23" t="str" cm="1">
        <f t="array" ref="C23">GetValue("Db",B23,"Name")</f>
        <v>crudex</v>
      </c>
      <c r="D23" t="s">
        <v>368</v>
      </c>
      <c r="E23" t="s">
        <v>372</v>
      </c>
      <c r="F23" t="s">
        <v>745</v>
      </c>
      <c r="G23" cm="1">
        <f t="array" ref="G23">GetLastId(A23)</f>
        <v>3</v>
      </c>
      <c r="H23">
        <v>4</v>
      </c>
      <c r="I23" t="str" cm="1">
        <f t="array" ref="I23">GetValue("Mnu",H23,"Caption")</f>
        <v>Associação</v>
      </c>
      <c r="J23">
        <f t="shared" si="2"/>
        <v>25</v>
      </c>
      <c r="K23" t="s">
        <v>724</v>
      </c>
      <c r="L23" t="str">
        <f t="shared" si="1"/>
        <v>Associação de Condições de Expressões Lógicas</v>
      </c>
    </row>
    <row r="24" spans="1:12">
      <c r="A24">
        <f>ROW(A24)-1</f>
        <v>23</v>
      </c>
      <c r="B24">
        <v>1</v>
      </c>
      <c r="C24" t="str" cm="1">
        <f t="array" ref="C24">GetValue("Db",B24,"Name")</f>
        <v>crudex</v>
      </c>
      <c r="D24" t="s">
        <v>494</v>
      </c>
      <c r="E24" t="s">
        <v>493</v>
      </c>
      <c r="F24" t="s">
        <v>746</v>
      </c>
      <c r="G24" cm="1">
        <f t="array" ref="G24">GetLastId(A24)</f>
        <v>1</v>
      </c>
      <c r="H24">
        <v>4</v>
      </c>
      <c r="I24" t="str" cm="1">
        <f t="array" ref="I24">GetValue("Mnu",H24,"Caption")</f>
        <v>Associação</v>
      </c>
      <c r="J24">
        <f t="shared" si="2"/>
        <v>30</v>
      </c>
      <c r="K24" t="s">
        <v>725</v>
      </c>
      <c r="L24" t="str">
        <f t="shared" si="1"/>
        <v>Associação de Referências Chave-Estrangeira e Pai-Filho</v>
      </c>
    </row>
    <row r="25" spans="1:12">
      <c r="A25">
        <f>ROW(A25)-1</f>
        <v>24</v>
      </c>
      <c r="B25">
        <v>1</v>
      </c>
      <c r="C25" t="str" cm="1">
        <f t="array" ref="C25">GetValue("Db",B25,"Name")</f>
        <v>crudex</v>
      </c>
      <c r="D25" t="s">
        <v>89</v>
      </c>
      <c r="E25" t="s">
        <v>333</v>
      </c>
      <c r="F25" t="s">
        <v>75</v>
      </c>
      <c r="G25" cm="1">
        <f t="array" ref="G25">GetLastId(A25)</f>
        <v>2</v>
      </c>
      <c r="H25">
        <v>4</v>
      </c>
      <c r="I25" t="str" cm="1">
        <f t="array" ref="I25">GetValue("Mnu",H25,"Caption")</f>
        <v>Associação</v>
      </c>
      <c r="J25">
        <f t="shared" si="2"/>
        <v>35</v>
      </c>
      <c r="K25" t="s">
        <v>75</v>
      </c>
      <c r="L25" t="str">
        <f t="shared" si="1"/>
        <v>Associação de Usuários</v>
      </c>
    </row>
    <row r="26" spans="1:12">
      <c r="A26">
        <f>ROW(A26)-1</f>
        <v>25</v>
      </c>
      <c r="B26">
        <v>1</v>
      </c>
      <c r="C26" t="str" cm="1">
        <f t="array" ref="C26">GetValue("Db",B26,"Name")</f>
        <v>crudex</v>
      </c>
      <c r="D26" t="s">
        <v>488</v>
      </c>
      <c r="E26" t="s">
        <v>691</v>
      </c>
      <c r="F26" t="s">
        <v>747</v>
      </c>
      <c r="G26" cm="1">
        <f t="array" ref="G26">GetLastId(A26)</f>
        <v>54</v>
      </c>
      <c r="H26">
        <v>4</v>
      </c>
      <c r="I26" t="str" cm="1">
        <f t="array" ref="I26">GetValue("Mnu",H26,"Caption")</f>
        <v>Associação</v>
      </c>
      <c r="J26">
        <f t="shared" si="2"/>
        <v>40</v>
      </c>
      <c r="K26" t="s">
        <v>726</v>
      </c>
      <c r="L26" t="str">
        <f t="shared" si="1"/>
        <v>Associação de Permissões de Acesso de Usuários</v>
      </c>
    </row>
    <row r="27" spans="1:12">
      <c r="A27">
        <f t="shared" si="0"/>
        <v>26</v>
      </c>
      <c r="B27">
        <v>1</v>
      </c>
      <c r="C27" t="str" cm="1">
        <f t="array" ref="C27">GetValue("Db",B27,"Name")</f>
        <v>crudex</v>
      </c>
      <c r="D27" t="s">
        <v>427</v>
      </c>
      <c r="E27" t="s">
        <v>426</v>
      </c>
      <c r="F27" t="s">
        <v>431</v>
      </c>
      <c r="G27" cm="1">
        <f t="array" ref="G27">GetLastId(A27)</f>
        <v>19</v>
      </c>
      <c r="H27">
        <v>4</v>
      </c>
      <c r="I27" t="str" cm="1">
        <f t="array" ref="I27">GetValue("Mnu",H27,"Caption")</f>
        <v>Associação</v>
      </c>
      <c r="J27">
        <f t="shared" si="2"/>
        <v>45</v>
      </c>
      <c r="K27" t="s">
        <v>727</v>
      </c>
      <c r="L27" t="str">
        <f t="shared" si="1"/>
        <v>Associação de Propriedades HTML</v>
      </c>
    </row>
    <row r="28" spans="1:12">
      <c r="A28">
        <f t="shared" si="0"/>
        <v>27</v>
      </c>
      <c r="B28">
        <v>1</v>
      </c>
      <c r="C28" t="str" cm="1">
        <f t="array" ref="C28">GetValue("Db",B28,"Name")</f>
        <v>crudex</v>
      </c>
      <c r="D28" t="s">
        <v>429</v>
      </c>
      <c r="E28" t="s">
        <v>430</v>
      </c>
      <c r="F28" t="s">
        <v>748</v>
      </c>
      <c r="G28" cm="1">
        <f t="array" ref="G28">GetLastId(A28)</f>
        <v>1</v>
      </c>
      <c r="H28">
        <v>4</v>
      </c>
      <c r="I28" t="str" cm="1">
        <f t="array" ref="I28">GetValue("Mnu",H28,"Caption")</f>
        <v>Associação</v>
      </c>
      <c r="J28">
        <f t="shared" si="2"/>
        <v>50</v>
      </c>
      <c r="K28" t="s">
        <v>728</v>
      </c>
      <c r="L28" t="str">
        <f t="shared" si="1"/>
        <v>Associação de Comportamentos de Formulários</v>
      </c>
    </row>
    <row r="29" spans="1:12">
      <c r="A29">
        <f t="shared" si="0"/>
        <v>28</v>
      </c>
      <c r="B29">
        <v>1</v>
      </c>
      <c r="C29" t="str" cm="1">
        <f t="array" ref="C29">GetValue("Db",B29,"Name")</f>
        <v>crudex</v>
      </c>
      <c r="D29" t="s">
        <v>510</v>
      </c>
      <c r="E29" t="s">
        <v>511</v>
      </c>
      <c r="F29" t="s">
        <v>749</v>
      </c>
      <c r="G29" cm="1">
        <f t="array" ref="G29">GetLastId(A29)</f>
        <v>1</v>
      </c>
      <c r="H29">
        <v>4</v>
      </c>
      <c r="I29" t="str" cm="1">
        <f t="array" ref="I29">GetValue("Mnu",H29,"Caption")</f>
        <v>Associação</v>
      </c>
      <c r="J29">
        <f t="shared" si="2"/>
        <v>55</v>
      </c>
      <c r="K29" t="s">
        <v>729</v>
      </c>
      <c r="L29" t="str">
        <f t="shared" si="1"/>
        <v>Associação de Agendamentos de Tarefas</v>
      </c>
    </row>
    <row r="30" spans="1:12">
      <c r="A30">
        <f t="shared" si="0"/>
        <v>29</v>
      </c>
      <c r="B30">
        <v>1</v>
      </c>
      <c r="C30" t="str" cm="1">
        <f t="array" ref="C30">GetValue("Db",B30,"Name")</f>
        <v>crudex</v>
      </c>
      <c r="D30" t="s">
        <v>907</v>
      </c>
      <c r="E30" t="s">
        <v>908</v>
      </c>
      <c r="F30" t="s">
        <v>909</v>
      </c>
      <c r="G30" cm="1">
        <f t="array" ref="G30">GetLastId(A30)</f>
        <v>1</v>
      </c>
      <c r="H30">
        <v>4</v>
      </c>
      <c r="I30" t="str" cm="1">
        <f t="array" ref="I30">GetValue("Mnu",H30,"Caption")</f>
        <v>Associação</v>
      </c>
      <c r="J30">
        <f t="shared" si="2"/>
        <v>60</v>
      </c>
      <c r="K30" t="s">
        <v>907</v>
      </c>
      <c r="L30" t="str">
        <f t="shared" si="1"/>
        <v>Associação de Snipers Pré/Pós CRUD</v>
      </c>
    </row>
    <row r="31" spans="1:12">
      <c r="A31">
        <f>ROW(A31)-1</f>
        <v>30</v>
      </c>
      <c r="B31">
        <v>1</v>
      </c>
      <c r="C31" t="str" cm="1">
        <f t="array" ref="C31">GetValue("Db",B31,"Name")</f>
        <v>crudex</v>
      </c>
      <c r="D31" t="s">
        <v>512</v>
      </c>
      <c r="E31" t="s">
        <v>513</v>
      </c>
      <c r="F31" t="s">
        <v>905</v>
      </c>
      <c r="G31" cm="1">
        <f t="array" ref="G31">GetLastId(A31)</f>
        <v>1</v>
      </c>
      <c r="H31">
        <v>4</v>
      </c>
      <c r="I31" t="str" cm="1">
        <f t="array" ref="I31">GetValue("Mnu",H31,"Caption")</f>
        <v>Associação</v>
      </c>
      <c r="J31">
        <f t="shared" si="2"/>
        <v>65</v>
      </c>
      <c r="K31" t="s">
        <v>512</v>
      </c>
      <c r="L31" t="str">
        <f t="shared" si="1"/>
        <v>Associação de Scripts de Snipers</v>
      </c>
    </row>
    <row r="32" spans="1:12">
      <c r="A32">
        <f>ROW(A32)-1</f>
        <v>31</v>
      </c>
      <c r="B32">
        <v>1</v>
      </c>
      <c r="C32" t="str" cm="1">
        <f t="array" ref="C32">GetValue("Db",B32,"Name")</f>
        <v>crudex</v>
      </c>
      <c r="D32" t="s">
        <v>793</v>
      </c>
      <c r="E32" t="s">
        <v>794</v>
      </c>
      <c r="F32" t="s">
        <v>906</v>
      </c>
      <c r="G32" cm="1">
        <f t="array" ref="G32">GetLastId(A32)</f>
        <v>1</v>
      </c>
      <c r="H32">
        <v>4</v>
      </c>
      <c r="I32" t="str" cm="1">
        <f t="array" ref="I32">GetValue("Mnu",H32,"Caption")</f>
        <v>Associação</v>
      </c>
      <c r="J32">
        <f t="shared" si="2"/>
        <v>70</v>
      </c>
      <c r="K32" t="s">
        <v>904</v>
      </c>
      <c r="L32" t="str">
        <f t="shared" si="1"/>
        <v>Associação de URL's HTTP/HTTPS de Snipers</v>
      </c>
    </row>
    <row r="33" spans="1:12">
      <c r="A33">
        <f t="shared" si="0"/>
        <v>32</v>
      </c>
      <c r="B33">
        <v>1</v>
      </c>
      <c r="C33" t="str" cm="1">
        <f t="array" ref="C33">GetValue("Db",B33,"Name")</f>
        <v>crudex</v>
      </c>
      <c r="D33" t="s">
        <v>210</v>
      </c>
      <c r="E33" t="s">
        <v>338</v>
      </c>
      <c r="F33" t="s">
        <v>750</v>
      </c>
      <c r="G33" cm="1">
        <f t="array" ref="G33">GetLastId(A33)</f>
        <v>1</v>
      </c>
      <c r="H33">
        <v>4</v>
      </c>
      <c r="I33" t="str" cm="1">
        <f t="array" ref="I33">GetValue("Mnu",H33,"Caption")</f>
        <v>Associação</v>
      </c>
      <c r="J33">
        <f t="shared" si="2"/>
        <v>75</v>
      </c>
      <c r="K33" t="s">
        <v>730</v>
      </c>
      <c r="L33" t="str">
        <f t="shared" si="1"/>
        <v>Associação de Sessões de Logins</v>
      </c>
    </row>
    <row r="34" spans="1:12">
      <c r="A34">
        <f t="shared" si="0"/>
        <v>33</v>
      </c>
      <c r="B34">
        <v>1</v>
      </c>
      <c r="C34" t="str" cm="1">
        <f t="array" ref="C34">GetValue("Db",B34,"Name")</f>
        <v>crudex</v>
      </c>
      <c r="D34" t="s">
        <v>187</v>
      </c>
      <c r="E34" t="s">
        <v>339</v>
      </c>
      <c r="F34" t="s">
        <v>490</v>
      </c>
      <c r="G34" cm="1">
        <f t="array" ref="G34">GetLastId(A34)</f>
        <v>1</v>
      </c>
      <c r="H34">
        <v>4</v>
      </c>
      <c r="I34" t="str" cm="1">
        <f t="array" ref="I34">GetValue("Mnu",H34,"Caption")</f>
        <v>Associação</v>
      </c>
      <c r="J34">
        <f t="shared" si="2"/>
        <v>80</v>
      </c>
      <c r="K34" t="s">
        <v>731</v>
      </c>
      <c r="L34" t="str">
        <f t="shared" si="1"/>
        <v>Associação de Transações CRUD</v>
      </c>
    </row>
    <row r="35" spans="1:12">
      <c r="A35">
        <f t="shared" si="0"/>
        <v>34</v>
      </c>
      <c r="B35">
        <v>1</v>
      </c>
      <c r="C35" t="str" cm="1">
        <f t="array" ref="C35">GetValue("Db",B35,"Name")</f>
        <v>crudex</v>
      </c>
      <c r="D35" t="s">
        <v>188</v>
      </c>
      <c r="E35" t="s">
        <v>340</v>
      </c>
      <c r="F35" t="s">
        <v>489</v>
      </c>
      <c r="G35" cm="1">
        <f t="array" ref="G35">GetLastId(A35)</f>
        <v>1</v>
      </c>
      <c r="H35">
        <v>4</v>
      </c>
      <c r="I35" t="str" cm="1">
        <f t="array" ref="I35">GetValue("Mnu",H35,"Caption")</f>
        <v>Associação</v>
      </c>
      <c r="J35">
        <f t="shared" si="2"/>
        <v>85</v>
      </c>
      <c r="K35" t="s">
        <v>732</v>
      </c>
      <c r="L35" t="str">
        <f t="shared" si="1"/>
        <v>Associação de Operações CRUD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FE00-DE64-4A94-9BDE-C20DE7BA3DCF}">
  <sheetPr codeName="planColumns"/>
  <dimension ref="A1:Q225"/>
  <sheetViews>
    <sheetView zoomScale="95" zoomScaleNormal="95" workbookViewId="0">
      <pane ySplit="1" topLeftCell="A212" activePane="bottomLeft" state="frozen"/>
      <selection pane="bottomLeft" activeCell="G113" sqref="G113"/>
    </sheetView>
  </sheetViews>
  <sheetFormatPr defaultRowHeight="14.4"/>
  <cols>
    <col min="1" max="1" width="4.33203125" bestFit="1" customWidth="1"/>
    <col min="2" max="2" width="7.5546875" bestFit="1" customWidth="1"/>
    <col min="3" max="3" width="11.109375" bestFit="1" customWidth="1"/>
    <col min="4" max="4" width="9.5546875" bestFit="1" customWidth="1"/>
    <col min="5" max="5" width="15.44140625" bestFit="1" customWidth="1"/>
    <col min="6" max="6" width="9.6640625" bestFit="1" customWidth="1"/>
    <col min="7" max="7" width="26.33203125" bestFit="1" customWidth="1"/>
    <col min="8" max="8" width="39.6640625" bestFit="1" customWidth="1"/>
    <col min="9" max="9" width="21.6640625" bestFit="1" customWidth="1"/>
    <col min="10" max="11" width="12.44140625" bestFit="1" customWidth="1"/>
    <col min="12" max="14" width="11.6640625" bestFit="1" customWidth="1"/>
    <col min="15" max="15" width="11.33203125" bestFit="1" customWidth="1"/>
    <col min="16" max="16" width="10" bestFit="1" customWidth="1"/>
    <col min="17" max="17" width="8" bestFit="1" customWidth="1"/>
  </cols>
  <sheetData>
    <row r="1" spans="1:17" s="1" customFormat="1">
      <c r="A1" s="17" t="s">
        <v>0</v>
      </c>
      <c r="B1" s="17" t="s">
        <v>95</v>
      </c>
      <c r="C1" s="17" t="s">
        <v>492</v>
      </c>
      <c r="D1" s="17" t="s">
        <v>96</v>
      </c>
      <c r="E1" s="17" t="s">
        <v>153</v>
      </c>
      <c r="F1" s="17" t="s">
        <v>69</v>
      </c>
      <c r="G1" s="17" t="s">
        <v>1</v>
      </c>
      <c r="H1" s="17" t="s">
        <v>66</v>
      </c>
      <c r="I1" s="17" t="s">
        <v>70</v>
      </c>
      <c r="J1" s="17" t="s">
        <v>616</v>
      </c>
      <c r="K1" s="17" t="s">
        <v>617</v>
      </c>
      <c r="L1" s="17" t="s">
        <v>618</v>
      </c>
      <c r="M1" s="17" t="s">
        <v>619</v>
      </c>
      <c r="N1" s="17" t="s">
        <v>622</v>
      </c>
      <c r="O1" s="17" t="s">
        <v>621</v>
      </c>
      <c r="P1" s="17" t="s">
        <v>620</v>
      </c>
      <c r="Q1" s="17" t="s">
        <v>913</v>
      </c>
    </row>
    <row r="2" spans="1:17">
      <c r="A2" s="20">
        <f t="shared" ref="A2:A4" si="0">ROW(A2)-1</f>
        <v>1</v>
      </c>
      <c r="B2" s="21">
        <v>1</v>
      </c>
      <c r="C2" s="20" t="str" cm="1">
        <f t="array" ref="C2">GetValue("Tbl",B2,"Alias")</f>
        <v>Cat</v>
      </c>
      <c r="D2" s="20">
        <v>5</v>
      </c>
      <c r="E2" s="20" t="str" cm="1">
        <f t="array" ref="E2">GetValue("Dmn",D2,"Name")</f>
        <v>TinyInteger</v>
      </c>
      <c r="F2" s="20">
        <f>IF(G2="Id",5,F1+5)</f>
        <v>5</v>
      </c>
      <c r="G2" s="20" t="str" cm="1">
        <f t="array" ref="G2">GetColumnName(C2,IF(B2=B1,G1,""))</f>
        <v>Id</v>
      </c>
      <c r="H2" s="20" t="s">
        <v>703</v>
      </c>
      <c r="I2" s="20" t="s">
        <v>0</v>
      </c>
      <c r="J2" s="20" t="b">
        <v>1</v>
      </c>
      <c r="K2" s="20" t="b">
        <v>1</v>
      </c>
      <c r="L2" s="20" t="b">
        <v>0</v>
      </c>
      <c r="M2" s="20" t="b">
        <v>0</v>
      </c>
      <c r="N2" s="20"/>
      <c r="O2" s="20"/>
      <c r="P2" s="20" t="b">
        <v>0</v>
      </c>
      <c r="Q2" s="20" t="b">
        <v>0</v>
      </c>
    </row>
    <row r="3" spans="1:17">
      <c r="A3" s="20">
        <f t="shared" si="0"/>
        <v>2</v>
      </c>
      <c r="B3" s="21">
        <v>1</v>
      </c>
      <c r="C3" s="20" t="str" cm="1">
        <f t="array" ref="C3">GetValue("Tbl",B3,"Alias")</f>
        <v>Cat</v>
      </c>
      <c r="D3" s="20">
        <v>10</v>
      </c>
      <c r="E3" s="20" t="str" cm="1">
        <f t="array" ref="E3">GetValue("Dmn",D3,"Name")</f>
        <v>Nvarchar(25)</v>
      </c>
      <c r="F3" s="20">
        <f t="shared" ref="F3:F66" si="1">IF(G3="Id",5,F2+5)</f>
        <v>10</v>
      </c>
      <c r="G3" s="20" t="str" cm="1">
        <f t="array" ref="G3">GetColumnName(C3,IF(B3=B2,G2,""))</f>
        <v>Name</v>
      </c>
      <c r="H3" s="20" t="s">
        <v>124</v>
      </c>
      <c r="I3" s="20" t="s">
        <v>97</v>
      </c>
      <c r="J3" s="20" t="b">
        <v>1</v>
      </c>
      <c r="K3" s="20" t="b">
        <v>1</v>
      </c>
      <c r="L3" s="20" t="b">
        <v>1</v>
      </c>
      <c r="M3" s="20" t="b">
        <v>1</v>
      </c>
      <c r="N3" s="20" t="b">
        <v>1</v>
      </c>
      <c r="O3" s="20" t="b">
        <v>0</v>
      </c>
      <c r="P3" s="20" t="s">
        <v>26</v>
      </c>
      <c r="Q3" s="20" t="b">
        <v>0</v>
      </c>
    </row>
    <row r="4" spans="1:17">
      <c r="A4" s="20">
        <f t="shared" si="0"/>
        <v>3</v>
      </c>
      <c r="B4" s="21">
        <v>1</v>
      </c>
      <c r="C4" s="20" t="str" cm="1">
        <f t="array" ref="C4">GetValue("Tbl",B4,"Alias")</f>
        <v>Cat</v>
      </c>
      <c r="D4" s="20">
        <v>6</v>
      </c>
      <c r="E4" s="20" t="str" cm="1">
        <f t="array" ref="E4">GetValue("Dmn",D4,"Name")</f>
        <v>Boolean</v>
      </c>
      <c r="F4" s="20">
        <f t="shared" si="1"/>
        <v>15</v>
      </c>
      <c r="G4" s="20" t="str" cm="1">
        <f t="array" ref="G4">GetColumnName(C4,IF(B4=B3,G3,""))</f>
        <v>AskDefault</v>
      </c>
      <c r="H4" s="20" t="s">
        <v>175</v>
      </c>
      <c r="I4" s="20" t="s">
        <v>126</v>
      </c>
      <c r="J4" s="20" t="b">
        <v>1</v>
      </c>
      <c r="K4" s="20" t="b">
        <v>1</v>
      </c>
      <c r="L4" s="20" t="b">
        <v>1</v>
      </c>
      <c r="M4" s="20" t="b">
        <v>1</v>
      </c>
      <c r="N4" s="20"/>
      <c r="O4" s="20"/>
      <c r="P4" s="20" t="s">
        <v>26</v>
      </c>
      <c r="Q4" s="20" t="b">
        <v>0</v>
      </c>
    </row>
    <row r="5" spans="1:17">
      <c r="A5" s="20">
        <f>ROW(A5)-1</f>
        <v>4</v>
      </c>
      <c r="B5" s="21">
        <v>1</v>
      </c>
      <c r="C5" s="20" t="str" cm="1">
        <f t="array" ref="C5">GetValue("Tbl",B5,"Alias")</f>
        <v>Cat</v>
      </c>
      <c r="D5" s="20">
        <v>6</v>
      </c>
      <c r="E5" s="20" t="str" cm="1">
        <f t="array" ref="E5">GetValue("Dmn",D5,"Name")</f>
        <v>Boolean</v>
      </c>
      <c r="F5" s="20">
        <f t="shared" si="1"/>
        <v>20</v>
      </c>
      <c r="G5" s="20" t="str" cm="1">
        <f t="array" ref="G5">GetColumnName(C5,IF(B5=B4,G4,""))</f>
        <v>AskMinimum</v>
      </c>
      <c r="H5" s="20" t="s">
        <v>174</v>
      </c>
      <c r="I5" s="20" t="s">
        <v>127</v>
      </c>
      <c r="J5" s="20" t="b">
        <v>1</v>
      </c>
      <c r="K5" s="20" t="b">
        <v>1</v>
      </c>
      <c r="L5" s="20" t="b">
        <v>1</v>
      </c>
      <c r="M5" s="20" t="b">
        <v>1</v>
      </c>
      <c r="N5" s="20"/>
      <c r="O5" s="20"/>
      <c r="P5" s="20" t="s">
        <v>26</v>
      </c>
      <c r="Q5" s="20" t="b">
        <v>0</v>
      </c>
    </row>
    <row r="6" spans="1:17">
      <c r="A6" s="20">
        <f>ROW(A6)-1</f>
        <v>5</v>
      </c>
      <c r="B6" s="21">
        <v>1</v>
      </c>
      <c r="C6" s="20" t="str" cm="1">
        <f t="array" ref="C6">GetValue("Tbl",B6,"Alias")</f>
        <v>Cat</v>
      </c>
      <c r="D6" s="20">
        <v>6</v>
      </c>
      <c r="E6" s="20" t="str" cm="1">
        <f t="array" ref="E6">GetValue("Dmn",D6,"Name")</f>
        <v>Boolean</v>
      </c>
      <c r="F6" s="20">
        <f t="shared" si="1"/>
        <v>25</v>
      </c>
      <c r="G6" s="20" t="str" cm="1">
        <f t="array" ref="G6">GetColumnName(C6,IF(B6=B5,G5,""))</f>
        <v>AskMaximum</v>
      </c>
      <c r="H6" s="20" t="s">
        <v>173</v>
      </c>
      <c r="I6" s="20" t="s">
        <v>128</v>
      </c>
      <c r="J6" s="20" t="b">
        <v>1</v>
      </c>
      <c r="K6" s="20" t="b">
        <v>1</v>
      </c>
      <c r="L6" s="20" t="b">
        <v>1</v>
      </c>
      <c r="M6" s="20" t="b">
        <v>1</v>
      </c>
      <c r="N6" s="20"/>
      <c r="O6" s="20"/>
      <c r="P6" s="20" t="s">
        <v>26</v>
      </c>
      <c r="Q6" s="20" t="b">
        <v>0</v>
      </c>
    </row>
    <row r="7" spans="1:17">
      <c r="A7" s="20">
        <f>ROW(A7)-1</f>
        <v>6</v>
      </c>
      <c r="B7" s="21">
        <v>1</v>
      </c>
      <c r="C7" s="20" t="str" cm="1">
        <f t="array" ref="C7">GetValue("Tbl",B7,"Alias")</f>
        <v>Cat</v>
      </c>
      <c r="D7" s="20">
        <v>6</v>
      </c>
      <c r="E7" s="20" t="str" cm="1">
        <f t="array" ref="E7">GetValue("Dmn",D7,"Name")</f>
        <v>Boolean</v>
      </c>
      <c r="F7" s="20">
        <f t="shared" si="1"/>
        <v>30</v>
      </c>
      <c r="G7" s="20" t="str" cm="1">
        <f t="array" ref="G7">GetColumnName(C7,IF(B7=B6,G6,""))</f>
        <v>AskInWords</v>
      </c>
      <c r="H7" s="20" t="s">
        <v>172</v>
      </c>
      <c r="I7" s="20" t="s">
        <v>171</v>
      </c>
      <c r="J7" s="20" t="b">
        <v>1</v>
      </c>
      <c r="K7" s="20" t="b">
        <v>1</v>
      </c>
      <c r="L7" s="20" t="b">
        <v>1</v>
      </c>
      <c r="M7" s="20" t="b">
        <v>1</v>
      </c>
      <c r="N7" s="20"/>
      <c r="O7" s="20"/>
      <c r="P7" s="20" t="s">
        <v>26</v>
      </c>
      <c r="Q7" s="20" t="b">
        <v>0</v>
      </c>
    </row>
    <row r="8" spans="1:17">
      <c r="A8" s="20">
        <f>ROW(A8)-1</f>
        <v>7</v>
      </c>
      <c r="B8" s="21">
        <v>1</v>
      </c>
      <c r="C8" s="20" t="str" cm="1">
        <f t="array" ref="C8">GetValue("Tbl",B8,"Alias")</f>
        <v>Cat</v>
      </c>
      <c r="D8" s="20">
        <v>6</v>
      </c>
      <c r="E8" s="20" t="str" cm="1">
        <f t="array" ref="E8">GetValue("Dmn",D8,"Name")</f>
        <v>Boolean</v>
      </c>
      <c r="F8" s="20">
        <f t="shared" si="1"/>
        <v>35</v>
      </c>
      <c r="G8" s="20" t="str" cm="1">
        <f t="array" ref="G8">GetColumnName(C8,IF(B8=B7,G7,""))</f>
        <v>AskMask</v>
      </c>
      <c r="H8" s="20" t="s">
        <v>537</v>
      </c>
      <c r="I8" s="20" t="s">
        <v>125</v>
      </c>
      <c r="J8" s="20" t="b">
        <v>1</v>
      </c>
      <c r="K8" s="20" t="b">
        <v>1</v>
      </c>
      <c r="L8" s="20" t="b">
        <v>1</v>
      </c>
      <c r="M8" s="20" t="b">
        <v>1</v>
      </c>
      <c r="N8" s="20"/>
      <c r="O8" s="20"/>
      <c r="P8" s="20" t="s">
        <v>26</v>
      </c>
      <c r="Q8" s="20" t="b">
        <v>0</v>
      </c>
    </row>
    <row r="9" spans="1:17">
      <c r="A9" s="20">
        <f>ROW(A9)-1</f>
        <v>8</v>
      </c>
      <c r="B9" s="21">
        <v>1</v>
      </c>
      <c r="C9" s="20" t="str" cm="1">
        <f t="array" ref="C9">GetValue("Tbl",B9,"Alias")</f>
        <v>Cat</v>
      </c>
      <c r="D9" s="20">
        <v>6</v>
      </c>
      <c r="E9" s="20" t="str" cm="1">
        <f t="array" ref="E9">GetValue("Dmn",D9,"Name")</f>
        <v>Boolean</v>
      </c>
      <c r="F9" s="20">
        <f t="shared" si="1"/>
        <v>40</v>
      </c>
      <c r="G9" s="20" t="str" cm="1">
        <f t="array" ref="G9">GetColumnName(C9,IF(B9=B8,G8,""))</f>
        <v>AskGridable</v>
      </c>
      <c r="H9" s="20" t="s">
        <v>536</v>
      </c>
      <c r="I9" s="20" t="s">
        <v>535</v>
      </c>
      <c r="J9" s="20" t="b">
        <v>1</v>
      </c>
      <c r="K9" s="20" t="b">
        <v>1</v>
      </c>
      <c r="L9" s="20" t="b">
        <v>1</v>
      </c>
      <c r="M9" s="20" t="b">
        <v>1</v>
      </c>
      <c r="N9" s="20"/>
      <c r="O9" s="20"/>
      <c r="P9" s="20" t="s">
        <v>26</v>
      </c>
      <c r="Q9" s="20" t="b">
        <v>0</v>
      </c>
    </row>
    <row r="10" spans="1:17">
      <c r="A10" s="20">
        <f t="shared" ref="A10:A83" si="2">ROW(A10)-1</f>
        <v>9</v>
      </c>
      <c r="B10" s="21">
        <v>1</v>
      </c>
      <c r="C10" s="20" t="str" cm="1">
        <f t="array" ref="C10">GetValue("Tbl",B10,"Alias")</f>
        <v>Cat</v>
      </c>
      <c r="D10" s="20">
        <v>6</v>
      </c>
      <c r="E10" s="20" t="str" cm="1">
        <f t="array" ref="E10">GetValue("Dmn",D10,"Name")</f>
        <v>Boolean</v>
      </c>
      <c r="F10" s="20">
        <f t="shared" si="1"/>
        <v>45</v>
      </c>
      <c r="G10" s="20" t="str" cm="1">
        <f t="array" ref="G10">GetColumnName(C10,IF(B10=B9,G9,""))</f>
        <v>AskFilterable</v>
      </c>
      <c r="H10" s="20" t="s">
        <v>530</v>
      </c>
      <c r="I10" s="20" t="s">
        <v>534</v>
      </c>
      <c r="J10" s="20" t="b">
        <v>1</v>
      </c>
      <c r="K10" s="20" t="b">
        <v>1</v>
      </c>
      <c r="L10" s="20" t="b">
        <v>1</v>
      </c>
      <c r="M10" s="20" t="b">
        <v>1</v>
      </c>
      <c r="N10" s="20"/>
      <c r="O10" s="20"/>
      <c r="P10" s="20" t="s">
        <v>26</v>
      </c>
      <c r="Q10" s="20" t="b">
        <v>0</v>
      </c>
    </row>
    <row r="11" spans="1:17">
      <c r="A11" s="20">
        <f>ROW(A11)-1</f>
        <v>10</v>
      </c>
      <c r="B11" s="21">
        <v>1</v>
      </c>
      <c r="C11" s="20" t="str" cm="1">
        <f t="array" ref="C11">GetValue("Tbl",B11,"Alias")</f>
        <v>Cat</v>
      </c>
      <c r="D11" s="20">
        <v>6</v>
      </c>
      <c r="E11" s="20" t="str" cm="1">
        <f t="array" ref="E11">GetValue("Dmn",D11,"Name")</f>
        <v>Boolean</v>
      </c>
      <c r="F11" s="20">
        <f t="shared" si="1"/>
        <v>50</v>
      </c>
      <c r="G11" s="20" t="str" cm="1">
        <f t="array" ref="G11">GetColumnName(C11,IF(B11=B10,G10,""))</f>
        <v>AskEncrypted</v>
      </c>
      <c r="H11" s="20" t="s">
        <v>531</v>
      </c>
      <c r="I11" s="20" t="s">
        <v>532</v>
      </c>
      <c r="J11" s="20" t="b">
        <v>1</v>
      </c>
      <c r="K11" s="20" t="b">
        <v>1</v>
      </c>
      <c r="L11" s="20" t="b">
        <v>1</v>
      </c>
      <c r="M11" s="20" t="b">
        <v>1</v>
      </c>
      <c r="N11" s="20"/>
      <c r="O11" s="20"/>
      <c r="P11" s="20" t="s">
        <v>26</v>
      </c>
      <c r="Q11" s="20" t="b">
        <v>0</v>
      </c>
    </row>
    <row r="12" spans="1:17">
      <c r="A12" s="20">
        <f t="shared" si="2"/>
        <v>11</v>
      </c>
      <c r="B12" s="21">
        <v>1</v>
      </c>
      <c r="C12" s="20" t="str" cm="1">
        <f t="array" ref="C12">GetValue("Tbl",B12,"Alias")</f>
        <v>Cat</v>
      </c>
      <c r="D12" s="20">
        <v>6</v>
      </c>
      <c r="E12" s="20" t="str" cm="1">
        <f t="array" ref="E12">GetValue("Dmn",D12,"Name")</f>
        <v>Boolean</v>
      </c>
      <c r="F12" s="20">
        <f t="shared" si="1"/>
        <v>55</v>
      </c>
      <c r="G12" s="20" t="str" cm="1">
        <f t="array" ref="G12">GetColumnName(C12,IF(B12=B11,G11,""))</f>
        <v>AskListable</v>
      </c>
      <c r="H12" s="20" t="s">
        <v>533</v>
      </c>
      <c r="I12" s="20" t="s">
        <v>539</v>
      </c>
      <c r="J12" s="20" t="b">
        <v>1</v>
      </c>
      <c r="K12" s="20" t="b">
        <v>1</v>
      </c>
      <c r="L12" s="20" t="b">
        <v>1</v>
      </c>
      <c r="M12" s="20" t="b">
        <v>1</v>
      </c>
      <c r="N12" s="20"/>
      <c r="O12" s="20"/>
      <c r="P12" s="20" t="s">
        <v>26</v>
      </c>
      <c r="Q12" s="20" t="b">
        <v>0</v>
      </c>
    </row>
    <row r="13" spans="1:17">
      <c r="A13" s="18">
        <f t="shared" si="2"/>
        <v>12</v>
      </c>
      <c r="B13" s="19">
        <v>2</v>
      </c>
      <c r="C13" s="18" t="str" cm="1">
        <f t="array" ref="C13">GetValue("Tbl",B13,"Alias")</f>
        <v>Cmp</v>
      </c>
      <c r="D13" s="18">
        <v>5</v>
      </c>
      <c r="E13" s="18" t="str" cm="1">
        <f t="array" ref="E13">GetValue("Dmn",D13,"Name")</f>
        <v>TinyInteger</v>
      </c>
      <c r="F13" s="18">
        <f t="shared" si="1"/>
        <v>5</v>
      </c>
      <c r="G13" s="18" t="str" cm="1">
        <f t="array" ref="G13">GetColumnName(C13,IF(B13=B12,G12,""))</f>
        <v>Id</v>
      </c>
      <c r="H13" s="18" t="s">
        <v>704</v>
      </c>
      <c r="I13" s="18" t="s">
        <v>0</v>
      </c>
      <c r="J13" s="18" t="b">
        <v>1</v>
      </c>
      <c r="K13" s="18" t="b">
        <v>1</v>
      </c>
      <c r="L13" s="18" t="b">
        <v>0</v>
      </c>
      <c r="M13" s="18" t="b">
        <v>0</v>
      </c>
      <c r="N13" s="18"/>
      <c r="O13" s="18"/>
      <c r="P13" s="18" t="b">
        <v>0</v>
      </c>
      <c r="Q13" s="18" t="b">
        <v>0</v>
      </c>
    </row>
    <row r="14" spans="1:17">
      <c r="A14" s="18">
        <f t="shared" si="2"/>
        <v>13</v>
      </c>
      <c r="B14" s="19">
        <v>2</v>
      </c>
      <c r="C14" s="18" t="str" cm="1">
        <f t="array" ref="C14">GetValue("Tbl",B14,"Alias")</f>
        <v>Cmp</v>
      </c>
      <c r="D14" s="18">
        <v>14</v>
      </c>
      <c r="E14" s="18" t="str" cm="1">
        <f t="array" ref="E14">GetValue("Dmn",D14,"Name")</f>
        <v>Nchar(1)</v>
      </c>
      <c r="F14" s="18">
        <f t="shared" si="1"/>
        <v>10</v>
      </c>
      <c r="G14" s="18" t="str" cm="1">
        <f t="array" ref="G14">GetColumnName(C14,IF(B14=B13,G13,""))</f>
        <v>Symbol</v>
      </c>
      <c r="H14" s="18" t="s">
        <v>705</v>
      </c>
      <c r="I14" s="18" t="s">
        <v>707</v>
      </c>
      <c r="J14" s="18" t="b">
        <v>1</v>
      </c>
      <c r="K14" s="18" t="b">
        <v>1</v>
      </c>
      <c r="L14" s="18" t="b">
        <v>1</v>
      </c>
      <c r="M14" s="18" t="s">
        <v>26</v>
      </c>
      <c r="N14" s="18" t="b">
        <v>1</v>
      </c>
      <c r="O14" s="18" t="b">
        <v>0</v>
      </c>
      <c r="P14" s="18" t="s">
        <v>26</v>
      </c>
      <c r="Q14" s="18" t="b">
        <v>0</v>
      </c>
    </row>
    <row r="15" spans="1:17">
      <c r="A15" s="18">
        <f t="shared" si="2"/>
        <v>14</v>
      </c>
      <c r="B15" s="19">
        <v>2</v>
      </c>
      <c r="C15" s="18" t="str" cm="1">
        <f t="array" ref="C15">GetValue("Tbl",B15,"Alias")</f>
        <v>Cmp</v>
      </c>
      <c r="D15" s="18">
        <v>11</v>
      </c>
      <c r="E15" s="18" t="str" cm="1">
        <f t="array" ref="E15">GetValue("Dmn",D15,"Name")</f>
        <v>Nvarchar(50)</v>
      </c>
      <c r="F15" s="18">
        <f t="shared" si="1"/>
        <v>15</v>
      </c>
      <c r="G15" s="18" t="str" cm="1">
        <f t="array" ref="G15">GetColumnName(C15,IF(B15=B14,G14,""))</f>
        <v>Description</v>
      </c>
      <c r="H15" s="18" t="s">
        <v>706</v>
      </c>
      <c r="I15" s="18" t="s">
        <v>109</v>
      </c>
      <c r="J15" s="18" t="b">
        <v>1</v>
      </c>
      <c r="K15" s="18" t="b">
        <v>1</v>
      </c>
      <c r="L15" s="18" t="b">
        <v>1</v>
      </c>
      <c r="M15" s="18" t="s">
        <v>26</v>
      </c>
      <c r="N15" s="18" t="b">
        <v>0</v>
      </c>
      <c r="O15" s="18"/>
      <c r="P15" s="18" t="s">
        <v>26</v>
      </c>
      <c r="Q15" s="18" t="b">
        <v>0</v>
      </c>
    </row>
    <row r="16" spans="1:17">
      <c r="A16" s="18">
        <f t="shared" si="2"/>
        <v>15</v>
      </c>
      <c r="B16" s="19">
        <v>2</v>
      </c>
      <c r="C16" s="18" t="str" cm="1">
        <f t="array" ref="C16">GetValue("Tbl",B16,"Alias")</f>
        <v>Cmp</v>
      </c>
      <c r="D16" s="18">
        <v>5</v>
      </c>
      <c r="E16" s="18" t="str" cm="1">
        <f t="array" ref="E16">GetValue("Dmn",D16,"Name")</f>
        <v>TinyInteger</v>
      </c>
      <c r="F16" s="18">
        <f t="shared" si="1"/>
        <v>20</v>
      </c>
      <c r="G16" s="18" t="str" cm="1">
        <f t="array" ref="G16">GetColumnName(C16,IF(B16=B15,G15,""))</f>
        <v>Arity</v>
      </c>
      <c r="H16" s="18" t="s">
        <v>708</v>
      </c>
      <c r="I16" s="18" t="s">
        <v>709</v>
      </c>
      <c r="J16" s="18" t="b">
        <v>0</v>
      </c>
      <c r="K16" s="18" t="b">
        <v>1</v>
      </c>
      <c r="L16" s="18" t="b">
        <v>1</v>
      </c>
      <c r="M16" s="18" t="s">
        <v>26</v>
      </c>
      <c r="N16" s="18"/>
      <c r="O16" s="18"/>
      <c r="P16" s="18" t="b">
        <v>0</v>
      </c>
      <c r="Q16" s="18" t="b">
        <v>0</v>
      </c>
    </row>
    <row r="17" spans="1:17">
      <c r="A17" s="20">
        <f t="shared" si="2"/>
        <v>16</v>
      </c>
      <c r="B17" s="21">
        <v>3</v>
      </c>
      <c r="C17" s="20" t="str" cm="1">
        <f t="array" ref="C17">GetValue("Tbl",B17,"Alias")</f>
        <v>Rul</v>
      </c>
      <c r="D17" s="20">
        <v>5</v>
      </c>
      <c r="E17" s="20" t="str" cm="1">
        <f t="array" ref="E17">GetValue("Dmn",D17,"Name")</f>
        <v>TinyInteger</v>
      </c>
      <c r="F17" s="20">
        <f>IF(G17="Id",5,F16+5)</f>
        <v>5</v>
      </c>
      <c r="G17" s="20" t="str" cm="1">
        <f t="array" ref="G17">GetColumnName(C17,IF(B17=B16,G16,""))</f>
        <v>Id</v>
      </c>
      <c r="H17" s="20" t="s">
        <v>710</v>
      </c>
      <c r="I17" s="20" t="s">
        <v>0</v>
      </c>
      <c r="J17" s="20" t="b">
        <v>1</v>
      </c>
      <c r="K17" s="20" t="b">
        <v>1</v>
      </c>
      <c r="L17" s="20" t="b">
        <v>0</v>
      </c>
      <c r="M17" s="20" t="b">
        <v>0</v>
      </c>
      <c r="N17" s="20"/>
      <c r="O17" s="20"/>
      <c r="P17" s="20" t="b">
        <v>0</v>
      </c>
      <c r="Q17" s="20" t="b">
        <v>0</v>
      </c>
    </row>
    <row r="18" spans="1:17">
      <c r="A18" s="20">
        <f t="shared" si="2"/>
        <v>17</v>
      </c>
      <c r="B18" s="21">
        <v>3</v>
      </c>
      <c r="C18" s="20" t="str" cm="1">
        <f t="array" ref="C18">GetValue("Tbl",B18,"Alias")</f>
        <v>Rul</v>
      </c>
      <c r="D18" s="20">
        <v>5</v>
      </c>
      <c r="E18" s="20" t="str" cm="1">
        <f t="array" ref="E18">GetValue("Dmn",D18,"Name")</f>
        <v>TinyInteger</v>
      </c>
      <c r="F18" s="20">
        <f t="shared" si="1"/>
        <v>10</v>
      </c>
      <c r="G18" s="20" t="str" cm="1">
        <f t="array" ref="G18">GetColumnName(C18,IF(B18=B17,G17,""))</f>
        <v>CategoryId</v>
      </c>
      <c r="H18" s="20" t="s">
        <v>711</v>
      </c>
      <c r="I18" s="20" t="s">
        <v>98</v>
      </c>
      <c r="J18" s="20" t="s">
        <v>26</v>
      </c>
      <c r="K18" s="20" t="s">
        <v>26</v>
      </c>
      <c r="L18" s="20" t="s">
        <v>26</v>
      </c>
      <c r="M18" s="20" t="s">
        <v>26</v>
      </c>
      <c r="N18" s="20"/>
      <c r="O18" s="20"/>
      <c r="P18" s="20" t="s">
        <v>26</v>
      </c>
      <c r="Q18" s="20" t="b">
        <v>0</v>
      </c>
    </row>
    <row r="19" spans="1:17">
      <c r="A19" s="20">
        <f t="shared" ref="A19:A27" si="3">ROW(A19)-1</f>
        <v>18</v>
      </c>
      <c r="B19" s="21">
        <v>3</v>
      </c>
      <c r="C19" s="20" t="str" cm="1">
        <f t="array" ref="C19">GetValue("Tbl",B19,"Alias")</f>
        <v>Rul</v>
      </c>
      <c r="D19" s="20">
        <v>5</v>
      </c>
      <c r="E19" s="20" t="str" cm="1">
        <f t="array" ref="E19">GetValue("Dmn",D19,"Name")</f>
        <v>TinyInteger</v>
      </c>
      <c r="F19" s="20">
        <f t="shared" si="1"/>
        <v>15</v>
      </c>
      <c r="G19" s="20" t="str" cm="1">
        <f t="array" ref="G19">GetColumnName(C19,IF(B19=B18,G18,""))</f>
        <v>ComparatorId</v>
      </c>
      <c r="H19" s="20" t="s">
        <v>758</v>
      </c>
      <c r="I19" s="20" t="s">
        <v>758</v>
      </c>
      <c r="J19" s="20" t="s">
        <v>26</v>
      </c>
      <c r="K19" s="20" t="s">
        <v>26</v>
      </c>
      <c r="L19" s="20" t="s">
        <v>26</v>
      </c>
      <c r="M19" s="20" t="s">
        <v>26</v>
      </c>
      <c r="N19" s="20"/>
      <c r="O19" s="20"/>
      <c r="P19" s="20" t="s">
        <v>26</v>
      </c>
      <c r="Q19" s="20" t="b">
        <v>0</v>
      </c>
    </row>
    <row r="20" spans="1:17">
      <c r="A20" s="18">
        <f t="shared" si="3"/>
        <v>19</v>
      </c>
      <c r="B20" s="19">
        <v>4</v>
      </c>
      <c r="C20" s="18" t="str" cm="1">
        <f t="array" ref="C20">GetValue("Tbl",B20,"Alias")</f>
        <v>Eng</v>
      </c>
      <c r="D20" s="18">
        <v>5</v>
      </c>
      <c r="E20" s="18" t="str" cm="1">
        <f t="array" ref="E20">GetValue("Dmn",D20,"Name")</f>
        <v>TinyInteger</v>
      </c>
      <c r="F20" s="18">
        <f t="shared" si="1"/>
        <v>5</v>
      </c>
      <c r="G20" s="18" t="str" cm="1">
        <f t="array" ref="G20">GetColumnName(C20,IF(B20=B19,G19,""))</f>
        <v>Id</v>
      </c>
      <c r="H20" s="18" t="s">
        <v>435</v>
      </c>
      <c r="I20" s="18" t="s">
        <v>0</v>
      </c>
      <c r="J20" s="18" t="b">
        <v>1</v>
      </c>
      <c r="K20" s="18" t="b">
        <v>1</v>
      </c>
      <c r="L20" s="18" t="b">
        <v>0</v>
      </c>
      <c r="M20" s="18" t="b">
        <v>0</v>
      </c>
      <c r="N20" s="18"/>
      <c r="O20" s="18"/>
      <c r="P20" s="18" t="b">
        <v>0</v>
      </c>
      <c r="Q20" s="18" t="b">
        <v>0</v>
      </c>
    </row>
    <row r="21" spans="1:17">
      <c r="A21" s="18">
        <f t="shared" si="3"/>
        <v>20</v>
      </c>
      <c r="B21" s="19">
        <v>4</v>
      </c>
      <c r="C21" s="18" t="str" cm="1">
        <f t="array" ref="C21">GetValue("Tbl",B21,"Alias")</f>
        <v>Eng</v>
      </c>
      <c r="D21" s="18">
        <v>10</v>
      </c>
      <c r="E21" s="18" t="str" cm="1">
        <f t="array" ref="E21">GetValue("Dmn",D21,"Name")</f>
        <v>Nvarchar(25)</v>
      </c>
      <c r="F21" s="18">
        <f t="shared" si="1"/>
        <v>10</v>
      </c>
      <c r="G21" s="18" t="str" cm="1">
        <f t="array" ref="G21">GetColumnName(C21,IF(B21=B20,G20,""))</f>
        <v>Name</v>
      </c>
      <c r="H21" s="18" t="s">
        <v>763</v>
      </c>
      <c r="I21" s="18" t="s">
        <v>97</v>
      </c>
      <c r="J21" s="18" t="s">
        <v>26</v>
      </c>
      <c r="K21" s="18" t="s">
        <v>26</v>
      </c>
      <c r="L21" s="18" t="s">
        <v>26</v>
      </c>
      <c r="M21" s="18" t="s">
        <v>26</v>
      </c>
      <c r="N21" s="18"/>
      <c r="O21" s="18"/>
      <c r="P21" s="18" t="s">
        <v>26</v>
      </c>
      <c r="Q21" s="18" t="b">
        <v>0</v>
      </c>
    </row>
    <row r="22" spans="1:17">
      <c r="A22" s="18">
        <f t="shared" si="3"/>
        <v>21</v>
      </c>
      <c r="B22" s="19">
        <v>4</v>
      </c>
      <c r="C22" s="18" t="str" cm="1">
        <f t="array" ref="C22">GetValue("Tbl",B22,"Alias")</f>
        <v>Eng</v>
      </c>
      <c r="D22" s="18">
        <v>11</v>
      </c>
      <c r="E22" s="18" t="str" cm="1">
        <f t="array" ref="E22">GetValue("Dmn",D22,"Name")</f>
        <v>Nvarchar(50)</v>
      </c>
      <c r="F22" s="18">
        <f t="shared" si="1"/>
        <v>15</v>
      </c>
      <c r="G22" s="18" t="str" cm="1">
        <f t="array" ref="G22">GetColumnName(C22,IF(B22=B21,G21,""))</f>
        <v>Provider</v>
      </c>
      <c r="H22" s="18" t="s">
        <v>515</v>
      </c>
      <c r="I22" s="18" t="s">
        <v>516</v>
      </c>
      <c r="J22" s="18" t="s">
        <v>26</v>
      </c>
      <c r="K22" s="18" t="s">
        <v>26</v>
      </c>
      <c r="L22" s="18" t="s">
        <v>26</v>
      </c>
      <c r="M22" s="18" t="s">
        <v>26</v>
      </c>
      <c r="N22" s="18"/>
      <c r="O22" s="18"/>
      <c r="P22" s="18" t="s">
        <v>26</v>
      </c>
      <c r="Q22" s="18" t="b">
        <v>0</v>
      </c>
    </row>
    <row r="23" spans="1:17">
      <c r="A23" s="18">
        <f t="shared" si="3"/>
        <v>22</v>
      </c>
      <c r="B23" s="19">
        <v>4</v>
      </c>
      <c r="C23" s="18" t="str" cm="1">
        <f t="array" ref="C23">GetValue("Tbl",B23,"Alias")</f>
        <v>Eng</v>
      </c>
      <c r="D23" s="18">
        <v>6</v>
      </c>
      <c r="E23" s="18" t="str" cm="1">
        <f t="array" ref="E23">GetValue("Dmn",D23,"Name")</f>
        <v>Boolean</v>
      </c>
      <c r="F23" s="18">
        <f t="shared" si="1"/>
        <v>20</v>
      </c>
      <c r="G23" s="18" t="str" cm="1">
        <f t="array" ref="G23">GetColumnName(C23,IF(B23=B22,G22,""))</f>
        <v>AskDirectory</v>
      </c>
      <c r="H23" s="18" t="s">
        <v>517</v>
      </c>
      <c r="I23" s="18" t="s">
        <v>518</v>
      </c>
      <c r="J23" s="18" t="s">
        <v>26</v>
      </c>
      <c r="K23" s="18" t="s">
        <v>26</v>
      </c>
      <c r="L23" s="18" t="s">
        <v>26</v>
      </c>
      <c r="M23" s="18" t="s">
        <v>26</v>
      </c>
      <c r="N23" s="18"/>
      <c r="O23" s="18"/>
      <c r="P23" s="18" t="s">
        <v>26</v>
      </c>
      <c r="Q23" s="18" t="b">
        <v>0</v>
      </c>
    </row>
    <row r="24" spans="1:17">
      <c r="A24" s="18">
        <f t="shared" si="3"/>
        <v>23</v>
      </c>
      <c r="B24" s="19">
        <v>4</v>
      </c>
      <c r="C24" s="18" t="str" cm="1">
        <f t="array" ref="C24">GetValue("Tbl",B24,"Alias")</f>
        <v>Eng</v>
      </c>
      <c r="D24" s="18">
        <v>6</v>
      </c>
      <c r="E24" s="18" t="str" cm="1">
        <f t="array" ref="E24">GetValue("Dmn",D24,"Name")</f>
        <v>Boolean</v>
      </c>
      <c r="F24" s="18">
        <f t="shared" si="1"/>
        <v>25</v>
      </c>
      <c r="G24" s="18" t="str" cm="1">
        <f t="array" ref="G24">GetColumnName(C24,IF(B24=B23,G23,""))</f>
        <v>IsActive</v>
      </c>
      <c r="H24" s="18" t="s">
        <v>770</v>
      </c>
      <c r="I24" s="18" t="s">
        <v>112</v>
      </c>
      <c r="J24" s="18" t="s">
        <v>26</v>
      </c>
      <c r="K24" s="18" t="s">
        <v>26</v>
      </c>
      <c r="L24" s="18" t="s">
        <v>26</v>
      </c>
      <c r="M24" s="18" t="s">
        <v>26</v>
      </c>
      <c r="N24" s="18"/>
      <c r="O24" s="18"/>
      <c r="P24" s="18" t="s">
        <v>26</v>
      </c>
      <c r="Q24" s="18" t="b">
        <v>0</v>
      </c>
    </row>
    <row r="25" spans="1:17">
      <c r="A25" s="20">
        <f t="shared" si="3"/>
        <v>24</v>
      </c>
      <c r="B25" s="21">
        <v>5</v>
      </c>
      <c r="C25" s="20" t="str" cm="1">
        <f t="array" ref="C25">GetValue("Tbl",B25,"Alias")</f>
        <v>Typ</v>
      </c>
      <c r="D25" s="20">
        <v>5</v>
      </c>
      <c r="E25" s="20" t="str" cm="1">
        <f t="array" ref="E25">GetValue("Dmn",D25,"Name")</f>
        <v>TinyInteger</v>
      </c>
      <c r="F25" s="20">
        <f t="shared" si="1"/>
        <v>5</v>
      </c>
      <c r="G25" s="20" t="str" cm="1">
        <f t="array" ref="G25">GetColumnName(C25,IF(B25=B24,G24,""))</f>
        <v>Id</v>
      </c>
      <c r="H25" s="20" t="s">
        <v>540</v>
      </c>
      <c r="I25" s="20" t="s">
        <v>0</v>
      </c>
      <c r="J25" s="20" t="b">
        <v>1</v>
      </c>
      <c r="K25" s="20" t="b">
        <v>1</v>
      </c>
      <c r="L25" s="20" t="b">
        <v>0</v>
      </c>
      <c r="M25" s="20" t="b">
        <v>0</v>
      </c>
      <c r="N25" s="20"/>
      <c r="O25" s="20"/>
      <c r="P25" s="20" t="b">
        <v>0</v>
      </c>
      <c r="Q25" s="20" t="b">
        <v>0</v>
      </c>
    </row>
    <row r="26" spans="1:17">
      <c r="A26" s="20">
        <f t="shared" si="3"/>
        <v>25</v>
      </c>
      <c r="B26" s="21">
        <v>5</v>
      </c>
      <c r="C26" s="20" t="str" cm="1">
        <f t="array" ref="C26">GetValue("Tbl",B26,"Alias")</f>
        <v>Typ</v>
      </c>
      <c r="D26" s="20">
        <v>5</v>
      </c>
      <c r="E26" s="20" t="str" cm="1">
        <f t="array" ref="E26">GetValue("Dmn",D26,"Name")</f>
        <v>TinyInteger</v>
      </c>
      <c r="F26" s="20">
        <f t="shared" si="1"/>
        <v>10</v>
      </c>
      <c r="G26" s="20" t="str" cm="1">
        <f t="array" ref="G26">GetColumnName(C26,IF(B26=B25,G25,""))</f>
        <v>CategoryId</v>
      </c>
      <c r="H26" s="20" t="s">
        <v>764</v>
      </c>
      <c r="I26" s="20" t="s">
        <v>98</v>
      </c>
      <c r="J26" s="20" t="s">
        <v>26</v>
      </c>
      <c r="K26" s="20" t="s">
        <v>26</v>
      </c>
      <c r="L26" s="20" t="s">
        <v>26</v>
      </c>
      <c r="M26" s="20" t="s">
        <v>26</v>
      </c>
      <c r="N26" s="20"/>
      <c r="O26" s="20"/>
      <c r="P26" s="20" t="s">
        <v>26</v>
      </c>
      <c r="Q26" s="20" t="b">
        <v>0</v>
      </c>
    </row>
    <row r="27" spans="1:17">
      <c r="A27" s="20">
        <f t="shared" si="3"/>
        <v>26</v>
      </c>
      <c r="B27" s="21">
        <v>5</v>
      </c>
      <c r="C27" s="20" t="str" cm="1">
        <f t="array" ref="C27">GetValue("Tbl",B27,"Alias")</f>
        <v>Typ</v>
      </c>
      <c r="D27" s="20">
        <v>10</v>
      </c>
      <c r="E27" s="20" t="str" cm="1">
        <f t="array" ref="E27">GetValue("Dmn",D27,"Name")</f>
        <v>Nvarchar(25)</v>
      </c>
      <c r="F27" s="20">
        <f t="shared" si="1"/>
        <v>15</v>
      </c>
      <c r="G27" s="20" t="str" cm="1">
        <f t="array" ref="G27">GetColumnName(C27,IF(B27=B26,G26,""))</f>
        <v>Name</v>
      </c>
      <c r="H27" s="20" t="s">
        <v>541</v>
      </c>
      <c r="I27" s="20" t="s">
        <v>97</v>
      </c>
      <c r="J27" s="20" t="s">
        <v>26</v>
      </c>
      <c r="K27" s="20" t="s">
        <v>26</v>
      </c>
      <c r="L27" s="20" t="s">
        <v>26</v>
      </c>
      <c r="M27" s="20" t="s">
        <v>26</v>
      </c>
      <c r="N27" s="20"/>
      <c r="O27" s="20"/>
      <c r="P27" s="20" t="s">
        <v>26</v>
      </c>
      <c r="Q27" s="20" t="b">
        <v>0</v>
      </c>
    </row>
    <row r="28" spans="1:17">
      <c r="A28" s="20">
        <f t="shared" si="2"/>
        <v>27</v>
      </c>
      <c r="B28" s="21">
        <v>5</v>
      </c>
      <c r="C28" s="20" t="str" cm="1">
        <f t="array" ref="C28">GetValue("Tbl",B28,"Alias")</f>
        <v>Typ</v>
      </c>
      <c r="D28" s="20">
        <v>43</v>
      </c>
      <c r="E28" s="20" t="str" cm="1">
        <f t="array" ref="E28">GetValue("Dmn",D28,"Name")</f>
        <v>CRUD Operation</v>
      </c>
      <c r="F28" s="20">
        <f t="shared" si="1"/>
        <v>20</v>
      </c>
      <c r="G28" s="20" t="str" cm="1">
        <f t="array" ref="G28">GetColumnName(C28,IF(B28=B27,G27,""))</f>
        <v>Minimum</v>
      </c>
      <c r="H28" s="20" t="s">
        <v>542</v>
      </c>
      <c r="I28" s="20" t="s">
        <v>543</v>
      </c>
      <c r="J28" s="20" t="s">
        <v>26</v>
      </c>
      <c r="K28" s="20" t="s">
        <v>26</v>
      </c>
      <c r="L28" s="20" t="s">
        <v>26</v>
      </c>
      <c r="M28" s="20" t="s">
        <v>26</v>
      </c>
      <c r="N28" s="20"/>
      <c r="O28" s="20"/>
      <c r="P28" s="20" t="s">
        <v>26</v>
      </c>
      <c r="Q28" s="20" t="b">
        <v>0</v>
      </c>
    </row>
    <row r="29" spans="1:17">
      <c r="A29" s="20">
        <f t="shared" si="2"/>
        <v>28</v>
      </c>
      <c r="B29" s="21">
        <v>5</v>
      </c>
      <c r="C29" s="20" t="str" cm="1">
        <f t="array" ref="C29">GetValue("Tbl",B29,"Alias")</f>
        <v>Typ</v>
      </c>
      <c r="D29" s="20">
        <v>43</v>
      </c>
      <c r="E29" s="20" t="str" cm="1">
        <f t="array" ref="E29">GetValue("Dmn",D29,"Name")</f>
        <v>CRUD Operation</v>
      </c>
      <c r="F29" s="20">
        <f t="shared" si="1"/>
        <v>25</v>
      </c>
      <c r="G29" s="20" t="str" cm="1">
        <f t="array" ref="G29">GetColumnName(C29,IF(B29=B28,G28,""))</f>
        <v>Maximum</v>
      </c>
      <c r="H29" s="20" t="s">
        <v>544</v>
      </c>
      <c r="I29" s="20" t="s">
        <v>548</v>
      </c>
      <c r="J29" s="20" t="s">
        <v>26</v>
      </c>
      <c r="K29" s="20" t="s">
        <v>26</v>
      </c>
      <c r="L29" s="20" t="s">
        <v>26</v>
      </c>
      <c r="M29" s="20" t="s">
        <v>26</v>
      </c>
      <c r="N29" s="20"/>
      <c r="O29" s="20"/>
      <c r="P29" s="20" t="s">
        <v>26</v>
      </c>
      <c r="Q29" s="20" t="b">
        <v>0</v>
      </c>
    </row>
    <row r="30" spans="1:17">
      <c r="A30" s="20">
        <f t="shared" si="2"/>
        <v>29</v>
      </c>
      <c r="B30" s="21">
        <v>5</v>
      </c>
      <c r="C30" s="20" t="str" cm="1">
        <f t="array" ref="C30">GetValue("Tbl",B30,"Alias")</f>
        <v>Typ</v>
      </c>
      <c r="D30" s="20">
        <v>6</v>
      </c>
      <c r="E30" s="20" t="str" cm="1">
        <f t="array" ref="E30">GetValue("Dmn",D30,"Name")</f>
        <v>Boolean</v>
      </c>
      <c r="F30" s="20">
        <f t="shared" si="1"/>
        <v>30</v>
      </c>
      <c r="G30" s="20" t="str" cm="1">
        <f t="array" ref="G30">GetColumnName(C30,IF(B30=B29,G29,""))</f>
        <v>AskLength</v>
      </c>
      <c r="H30" s="20" t="s">
        <v>545</v>
      </c>
      <c r="I30" s="20" t="s">
        <v>545</v>
      </c>
      <c r="J30" s="20" t="s">
        <v>26</v>
      </c>
      <c r="K30" s="20" t="s">
        <v>26</v>
      </c>
      <c r="L30" s="20" t="s">
        <v>26</v>
      </c>
      <c r="M30" s="20" t="s">
        <v>26</v>
      </c>
      <c r="N30" s="20"/>
      <c r="O30" s="20"/>
      <c r="P30" s="20" t="s">
        <v>26</v>
      </c>
      <c r="Q30" s="20" t="b">
        <v>0</v>
      </c>
    </row>
    <row r="31" spans="1:17">
      <c r="A31" s="20">
        <f t="shared" si="2"/>
        <v>30</v>
      </c>
      <c r="B31" s="21">
        <v>5</v>
      </c>
      <c r="C31" s="20" t="str" cm="1">
        <f t="array" ref="C31">GetValue("Tbl",B31,"Alias")</f>
        <v>Typ</v>
      </c>
      <c r="D31" s="20">
        <v>6</v>
      </c>
      <c r="E31" s="20" t="str" cm="1">
        <f t="array" ref="E31">GetValue("Dmn",D31,"Name")</f>
        <v>Boolean</v>
      </c>
      <c r="F31" s="20">
        <f t="shared" si="1"/>
        <v>35</v>
      </c>
      <c r="G31" s="20" t="str" cm="1">
        <f t="array" ref="G31">GetColumnName(C31,IF(B31=B30,G30,""))</f>
        <v>AskDecimals</v>
      </c>
      <c r="H31" s="20" t="s">
        <v>546</v>
      </c>
      <c r="I31" s="20" t="s">
        <v>546</v>
      </c>
      <c r="J31" s="20" t="s">
        <v>26</v>
      </c>
      <c r="K31" s="20" t="s">
        <v>26</v>
      </c>
      <c r="L31" s="20" t="s">
        <v>26</v>
      </c>
      <c r="M31" s="20" t="s">
        <v>26</v>
      </c>
      <c r="N31" s="20"/>
      <c r="O31" s="20"/>
      <c r="P31" s="20" t="s">
        <v>26</v>
      </c>
      <c r="Q31" s="20" t="b">
        <v>0</v>
      </c>
    </row>
    <row r="32" spans="1:17">
      <c r="A32" s="20">
        <f t="shared" si="2"/>
        <v>31</v>
      </c>
      <c r="B32" s="21">
        <v>5</v>
      </c>
      <c r="C32" s="20" t="str" cm="1">
        <f t="array" ref="C32">GetValue("Tbl",B32,"Alias")</f>
        <v>Typ</v>
      </c>
      <c r="D32" s="20">
        <v>6</v>
      </c>
      <c r="E32" s="20" t="str" cm="1">
        <f t="array" ref="E32">GetValue("Dmn",D32,"Name")</f>
        <v>Boolean</v>
      </c>
      <c r="F32" s="20">
        <f t="shared" si="1"/>
        <v>40</v>
      </c>
      <c r="G32" s="20" t="str" cm="1">
        <f t="array" ref="G32">GetColumnName(C32,IF(B32=B31,G31,""))</f>
        <v>AskPrimarykey</v>
      </c>
      <c r="H32" s="20" t="s">
        <v>778</v>
      </c>
      <c r="I32" s="20" t="s">
        <v>778</v>
      </c>
      <c r="J32" s="20" t="s">
        <v>26</v>
      </c>
      <c r="K32" s="20" t="s">
        <v>26</v>
      </c>
      <c r="L32" s="20" t="s">
        <v>26</v>
      </c>
      <c r="M32" s="20" t="s">
        <v>26</v>
      </c>
      <c r="N32" s="20"/>
      <c r="O32" s="20"/>
      <c r="P32" s="20" t="s">
        <v>26</v>
      </c>
      <c r="Q32" s="20" t="b">
        <v>0</v>
      </c>
    </row>
    <row r="33" spans="1:17">
      <c r="A33" s="20">
        <f>ROW(A33)-1</f>
        <v>32</v>
      </c>
      <c r="B33" s="21">
        <v>5</v>
      </c>
      <c r="C33" s="20" t="str" cm="1">
        <f t="array" ref="C33">GetValue("Tbl",B33,"Alias")</f>
        <v>Typ</v>
      </c>
      <c r="D33" s="20">
        <v>6</v>
      </c>
      <c r="E33" s="20" t="str" cm="1">
        <f t="array" ref="E33">GetValue("Dmn",D33,"Name")</f>
        <v>Boolean</v>
      </c>
      <c r="F33" s="20">
        <f t="shared" si="1"/>
        <v>45</v>
      </c>
      <c r="G33" s="20" t="str" cm="1">
        <f t="array" ref="G33">GetColumnName(C33,IF(B33=B32,G32,""))</f>
        <v>AskAutoincrement</v>
      </c>
      <c r="H33" s="20" t="s">
        <v>547</v>
      </c>
      <c r="I33" s="20" t="s">
        <v>547</v>
      </c>
      <c r="J33" s="20" t="s">
        <v>26</v>
      </c>
      <c r="K33" s="20" t="s">
        <v>26</v>
      </c>
      <c r="L33" s="20" t="s">
        <v>26</v>
      </c>
      <c r="M33" s="20" t="s">
        <v>26</v>
      </c>
      <c r="N33" s="20"/>
      <c r="O33" s="20"/>
      <c r="P33" s="20" t="s">
        <v>26</v>
      </c>
      <c r="Q33" s="20" t="b">
        <v>0</v>
      </c>
    </row>
    <row r="34" spans="1:17">
      <c r="A34" s="20">
        <f>ROW(A34)-1</f>
        <v>33</v>
      </c>
      <c r="B34" s="21">
        <v>5</v>
      </c>
      <c r="C34" s="20" t="str" cm="1">
        <f t="array" ref="C34">GetValue("Tbl",B34,"Alias")</f>
        <v>Typ</v>
      </c>
      <c r="D34" s="20">
        <v>6</v>
      </c>
      <c r="E34" s="20" t="str" cm="1">
        <f t="array" ref="E34">GetValue("Dmn",D34,"Name")</f>
        <v>Boolean</v>
      </c>
      <c r="F34" s="20">
        <f t="shared" si="1"/>
        <v>50</v>
      </c>
      <c r="G34" s="20" t="str" cm="1">
        <f t="array" ref="G34">GetColumnName(C34,IF(B34=B33,G33,""))</f>
        <v>IsActive</v>
      </c>
      <c r="H34" s="20" t="s">
        <v>552</v>
      </c>
      <c r="I34" s="20" t="s">
        <v>112</v>
      </c>
      <c r="J34" s="20" t="s">
        <v>26</v>
      </c>
      <c r="K34" s="20" t="s">
        <v>26</v>
      </c>
      <c r="L34" s="20" t="s">
        <v>26</v>
      </c>
      <c r="M34" s="20" t="s">
        <v>26</v>
      </c>
      <c r="N34" s="20"/>
      <c r="O34" s="20"/>
      <c r="P34" s="20" t="s">
        <v>26</v>
      </c>
      <c r="Q34" s="20" t="b">
        <v>0</v>
      </c>
    </row>
    <row r="35" spans="1:17">
      <c r="A35" s="18">
        <f t="shared" si="2"/>
        <v>34</v>
      </c>
      <c r="B35" s="19">
        <v>6</v>
      </c>
      <c r="C35" s="18" t="str" cm="1">
        <f t="array" ref="C35">GetValue("Tbl",B35,"Alias")</f>
        <v>Map</v>
      </c>
      <c r="D35" s="18">
        <v>2</v>
      </c>
      <c r="E35" s="18" t="str" cm="1">
        <f t="array" ref="E35">GetValue("Dmn",D35,"Name")</f>
        <v>Integer</v>
      </c>
      <c r="F35" s="18">
        <f t="shared" si="1"/>
        <v>5</v>
      </c>
      <c r="G35" s="18" t="str" cm="1">
        <f t="array" ref="G35">GetColumnName(C35,IF(B35=B34,G34,""))</f>
        <v>Id</v>
      </c>
      <c r="H35" s="18" t="s">
        <v>565</v>
      </c>
      <c r="I35" s="18" t="s">
        <v>0</v>
      </c>
      <c r="J35" s="18" t="b">
        <v>1</v>
      </c>
      <c r="K35" s="18" t="b">
        <v>1</v>
      </c>
      <c r="L35" s="18" t="b">
        <v>0</v>
      </c>
      <c r="M35" s="18" t="b">
        <v>0</v>
      </c>
      <c r="N35" s="18"/>
      <c r="O35" s="18"/>
      <c r="P35" s="18" t="b">
        <v>0</v>
      </c>
      <c r="Q35" s="18" t="b">
        <v>0</v>
      </c>
    </row>
    <row r="36" spans="1:17">
      <c r="A36" s="18">
        <f t="shared" si="2"/>
        <v>35</v>
      </c>
      <c r="B36" s="19">
        <v>6</v>
      </c>
      <c r="C36" s="18" t="str" cm="1">
        <f t="array" ref="C36">GetValue("Tbl",B36,"Alias")</f>
        <v>Map</v>
      </c>
      <c r="D36" s="18">
        <v>5</v>
      </c>
      <c r="E36" s="18" t="str" cm="1">
        <f t="array" ref="E36">GetValue("Dmn",D36,"Name")</f>
        <v>TinyInteger</v>
      </c>
      <c r="F36" s="18">
        <f t="shared" si="1"/>
        <v>10</v>
      </c>
      <c r="G36" s="18" t="str" cm="1">
        <f t="array" ref="G36">GetColumnName(C36,IF(B36=B35,G35,""))</f>
        <v>EngineId</v>
      </c>
      <c r="H36" s="18" t="s">
        <v>771</v>
      </c>
      <c r="I36" s="18" t="s">
        <v>453</v>
      </c>
      <c r="J36" s="18" t="s">
        <v>26</v>
      </c>
      <c r="K36" s="18" t="s">
        <v>26</v>
      </c>
      <c r="L36" s="18" t="s">
        <v>26</v>
      </c>
      <c r="M36" s="18" t="s">
        <v>26</v>
      </c>
      <c r="N36" s="18"/>
      <c r="O36" s="18"/>
      <c r="P36" s="18" t="s">
        <v>26</v>
      </c>
      <c r="Q36" s="18" t="b">
        <v>0</v>
      </c>
    </row>
    <row r="37" spans="1:17">
      <c r="A37" s="18">
        <f t="shared" si="2"/>
        <v>36</v>
      </c>
      <c r="B37" s="19">
        <v>6</v>
      </c>
      <c r="C37" s="18" t="str" cm="1">
        <f t="array" ref="C37">GetValue("Tbl",B37,"Alias")</f>
        <v>Map</v>
      </c>
      <c r="D37" s="18">
        <v>5</v>
      </c>
      <c r="E37" s="18" t="str" cm="1">
        <f t="array" ref="E37">GetValue("Dmn",D37,"Name")</f>
        <v>TinyInteger</v>
      </c>
      <c r="F37" s="18">
        <f t="shared" si="1"/>
        <v>15</v>
      </c>
      <c r="G37" s="18" t="str" cm="1">
        <f t="array" ref="G37">GetColumnName(C37,IF(B37=B36,G36,""))</f>
        <v>TypeId</v>
      </c>
      <c r="H37" s="18" t="s">
        <v>540</v>
      </c>
      <c r="I37" s="18" t="s">
        <v>99</v>
      </c>
      <c r="J37" s="18" t="s">
        <v>26</v>
      </c>
      <c r="K37" s="18" t="s">
        <v>26</v>
      </c>
      <c r="L37" s="18" t="s">
        <v>26</v>
      </c>
      <c r="M37" s="18" t="s">
        <v>26</v>
      </c>
      <c r="N37" s="18"/>
      <c r="O37" s="18"/>
      <c r="P37" s="18" t="s">
        <v>26</v>
      </c>
      <c r="Q37" s="18" t="b">
        <v>0</v>
      </c>
    </row>
    <row r="38" spans="1:17">
      <c r="A38" s="18">
        <f t="shared" si="2"/>
        <v>37</v>
      </c>
      <c r="B38" s="19">
        <v>6</v>
      </c>
      <c r="C38" s="18" t="str" cm="1">
        <f t="array" ref="C38">GetValue("Tbl",B38,"Alias")</f>
        <v>Map</v>
      </c>
      <c r="D38" s="18">
        <v>10</v>
      </c>
      <c r="E38" s="18" t="str" cm="1">
        <f t="array" ref="E38">GetValue("Dmn",D38,"Name")</f>
        <v>Nvarchar(25)</v>
      </c>
      <c r="F38" s="18">
        <f t="shared" si="1"/>
        <v>20</v>
      </c>
      <c r="G38" s="18" t="str" cm="1">
        <f t="array" ref="G38">GetColumnName(C38,IF(B38=B37,G37,""))</f>
        <v>Name</v>
      </c>
      <c r="H38" s="18" t="s">
        <v>566</v>
      </c>
      <c r="I38" s="18" t="s">
        <v>97</v>
      </c>
      <c r="J38" s="18" t="s">
        <v>26</v>
      </c>
      <c r="K38" s="18" t="s">
        <v>26</v>
      </c>
      <c r="L38" s="18" t="s">
        <v>26</v>
      </c>
      <c r="M38" s="18" t="s">
        <v>26</v>
      </c>
      <c r="N38" s="18"/>
      <c r="O38" s="18"/>
      <c r="P38" s="18" t="s">
        <v>26</v>
      </c>
      <c r="Q38" s="18" t="b">
        <v>0</v>
      </c>
    </row>
    <row r="39" spans="1:17">
      <c r="A39" s="18">
        <f t="shared" si="2"/>
        <v>38</v>
      </c>
      <c r="B39" s="19">
        <v>6</v>
      </c>
      <c r="C39" s="18" t="str" cm="1">
        <f t="array" ref="C39">GetValue("Tbl",B39,"Alias")</f>
        <v>Map</v>
      </c>
      <c r="D39" s="18">
        <v>2</v>
      </c>
      <c r="E39" s="18" t="str" cm="1">
        <f t="array" ref="E39">GetValue("Dmn",D39,"Name")</f>
        <v>Integer</v>
      </c>
      <c r="F39" s="18">
        <f t="shared" si="1"/>
        <v>25</v>
      </c>
      <c r="G39" s="18" t="str" cm="1">
        <f t="array" ref="G39">GetColumnName(C39,IF(B39=B38,G38,""))</f>
        <v>Length</v>
      </c>
      <c r="H39" s="18" t="s">
        <v>765</v>
      </c>
      <c r="I39" s="18" t="s">
        <v>102</v>
      </c>
      <c r="J39" s="18" t="s">
        <v>26</v>
      </c>
      <c r="K39" s="18" t="s">
        <v>26</v>
      </c>
      <c r="L39" s="18" t="s">
        <v>26</v>
      </c>
      <c r="M39" s="18" t="s">
        <v>26</v>
      </c>
      <c r="N39" s="18"/>
      <c r="O39" s="18"/>
      <c r="P39" s="18" t="s">
        <v>26</v>
      </c>
      <c r="Q39" s="18" t="b">
        <v>0</v>
      </c>
    </row>
    <row r="40" spans="1:17">
      <c r="A40" s="18">
        <f t="shared" si="2"/>
        <v>39</v>
      </c>
      <c r="B40" s="19">
        <v>6</v>
      </c>
      <c r="C40" s="18" t="str" cm="1">
        <f t="array" ref="C40">GetValue("Tbl",B40,"Alias")</f>
        <v>Map</v>
      </c>
      <c r="D40" s="18">
        <v>5</v>
      </c>
      <c r="E40" s="18" t="str" cm="1">
        <f t="array" ref="E40">GetValue("Dmn",D40,"Name")</f>
        <v>TinyInteger</v>
      </c>
      <c r="F40" s="18">
        <f t="shared" si="1"/>
        <v>30</v>
      </c>
      <c r="G40" s="18" t="str" cm="1">
        <f t="array" ref="G40">GetColumnName(C40,IF(B40=B39,G39,""))</f>
        <v>Decimals</v>
      </c>
      <c r="H40" s="18" t="s">
        <v>766</v>
      </c>
      <c r="I40" s="18" t="s">
        <v>104</v>
      </c>
      <c r="J40" s="18" t="s">
        <v>26</v>
      </c>
      <c r="K40" s="18" t="s">
        <v>26</v>
      </c>
      <c r="L40" s="18" t="s">
        <v>26</v>
      </c>
      <c r="M40" s="18" t="s">
        <v>26</v>
      </c>
      <c r="N40" s="18"/>
      <c r="O40" s="18"/>
      <c r="P40" s="18" t="s">
        <v>26</v>
      </c>
      <c r="Q40" s="18" t="b">
        <v>0</v>
      </c>
    </row>
    <row r="41" spans="1:17">
      <c r="A41" s="20">
        <f t="shared" si="2"/>
        <v>40</v>
      </c>
      <c r="B41" s="21">
        <v>7</v>
      </c>
      <c r="C41" s="20" t="str" cm="1">
        <f t="array" ref="C41">GetValue("Tbl",B41,"Alias")</f>
        <v>Cli</v>
      </c>
      <c r="D41" s="20">
        <v>1</v>
      </c>
      <c r="E41" s="20" t="str" cm="1">
        <f t="array" ref="E41">GetValue("Dmn",D41,"Name")</f>
        <v>BigInteger</v>
      </c>
      <c r="F41" s="20">
        <f t="shared" si="1"/>
        <v>5</v>
      </c>
      <c r="G41" s="20" t="str" cm="1">
        <f t="array" ref="G41">GetColumnName(C41,IF(B41=B40,G40,""))</f>
        <v>Id</v>
      </c>
      <c r="H41" s="20" t="s">
        <v>574</v>
      </c>
      <c r="I41" s="20" t="s">
        <v>0</v>
      </c>
      <c r="J41" s="20" t="b">
        <v>1</v>
      </c>
      <c r="K41" s="20" t="b">
        <v>1</v>
      </c>
      <c r="L41" s="20" t="b">
        <v>0</v>
      </c>
      <c r="M41" s="20" t="b">
        <v>0</v>
      </c>
      <c r="N41" s="20"/>
      <c r="O41" s="20"/>
      <c r="P41" s="20" t="b">
        <v>0</v>
      </c>
      <c r="Q41" s="20" t="b">
        <v>0</v>
      </c>
    </row>
    <row r="42" spans="1:17">
      <c r="A42" s="20">
        <f t="shared" si="2"/>
        <v>41</v>
      </c>
      <c r="B42" s="21">
        <v>7</v>
      </c>
      <c r="C42" s="20" t="str" cm="1">
        <f t="array" ref="C42">GetValue("Tbl",B42,"Alias")</f>
        <v>Cli</v>
      </c>
      <c r="D42" s="20">
        <v>10</v>
      </c>
      <c r="E42" s="20" t="str" cm="1">
        <f t="array" ref="E42">GetValue("Dmn",D42,"Name")</f>
        <v>Nvarchar(25)</v>
      </c>
      <c r="F42" s="20">
        <f t="shared" si="1"/>
        <v>10</v>
      </c>
      <c r="G42" s="20" t="str" cm="1">
        <f t="array" ref="G42">GetColumnName(C42,IF(B42=B41,G41,""))</f>
        <v>Name</v>
      </c>
      <c r="H42" s="20" t="s">
        <v>549</v>
      </c>
      <c r="I42" s="20" t="s">
        <v>97</v>
      </c>
      <c r="J42" s="20" t="s">
        <v>26</v>
      </c>
      <c r="K42" s="20" t="s">
        <v>26</v>
      </c>
      <c r="L42" s="20" t="s">
        <v>26</v>
      </c>
      <c r="M42" s="20" t="s">
        <v>26</v>
      </c>
      <c r="N42" s="20"/>
      <c r="O42" s="20"/>
      <c r="P42" s="20" t="s">
        <v>26</v>
      </c>
      <c r="Q42" s="20" t="b">
        <v>0</v>
      </c>
    </row>
    <row r="43" spans="1:17">
      <c r="A43" s="20">
        <f t="shared" si="2"/>
        <v>42</v>
      </c>
      <c r="B43" s="21">
        <v>7</v>
      </c>
      <c r="C43" s="20" t="str" cm="1">
        <f t="array" ref="C43">GetValue("Tbl",B43,"Alias")</f>
        <v>Cli</v>
      </c>
      <c r="D43" s="20">
        <v>20</v>
      </c>
      <c r="E43" s="20" t="str" cm="1">
        <f t="array" ref="E43">GetValue("Dmn",D43,"Name")</f>
        <v>Varchar(max)</v>
      </c>
      <c r="F43" s="20">
        <f t="shared" si="1"/>
        <v>15</v>
      </c>
      <c r="G43" s="20" t="str" cm="1">
        <f t="array" ref="G43">GetColumnName(C43,IF(B43=B42,G42,""))</f>
        <v>Logo</v>
      </c>
      <c r="H43" s="20" t="s">
        <v>762</v>
      </c>
      <c r="I43" s="20" t="s">
        <v>551</v>
      </c>
      <c r="J43" s="20" t="s">
        <v>26</v>
      </c>
      <c r="K43" s="20" t="s">
        <v>26</v>
      </c>
      <c r="L43" s="20" t="s">
        <v>26</v>
      </c>
      <c r="M43" s="20" t="s">
        <v>26</v>
      </c>
      <c r="N43" s="20"/>
      <c r="O43" s="20"/>
      <c r="P43" s="20" t="s">
        <v>26</v>
      </c>
      <c r="Q43" s="20" t="b">
        <v>0</v>
      </c>
    </row>
    <row r="44" spans="1:17">
      <c r="A44" s="20">
        <f t="shared" si="2"/>
        <v>43</v>
      </c>
      <c r="B44" s="21">
        <v>7</v>
      </c>
      <c r="C44" s="20" t="str" cm="1">
        <f t="array" ref="C44">GetValue("Tbl",B44,"Alias")</f>
        <v>Cli</v>
      </c>
      <c r="D44" s="20">
        <v>5</v>
      </c>
      <c r="E44" s="20" t="str" cm="1">
        <f t="array" ref="E44">GetValue("Dmn",D44,"Name")</f>
        <v>TinyInteger</v>
      </c>
      <c r="F44" s="20">
        <f t="shared" si="1"/>
        <v>20</v>
      </c>
      <c r="G44" s="20" t="str" cm="1">
        <f t="array" ref="G44">GetColumnName(C44,IF(B44=B43,G43,""))</f>
        <v>EngineId</v>
      </c>
      <c r="H44" s="20" t="s">
        <v>435</v>
      </c>
      <c r="I44" s="20" t="s">
        <v>453</v>
      </c>
      <c r="J44" s="20" t="s">
        <v>26</v>
      </c>
      <c r="K44" s="20" t="s">
        <v>26</v>
      </c>
      <c r="L44" s="20" t="s">
        <v>26</v>
      </c>
      <c r="M44" s="20" t="s">
        <v>26</v>
      </c>
      <c r="N44" s="20"/>
      <c r="O44" s="20"/>
      <c r="P44" s="20" t="s">
        <v>26</v>
      </c>
      <c r="Q44" s="20" t="b">
        <v>0</v>
      </c>
    </row>
    <row r="45" spans="1:17">
      <c r="A45" s="20">
        <f t="shared" si="2"/>
        <v>44</v>
      </c>
      <c r="B45" s="21">
        <v>7</v>
      </c>
      <c r="C45" s="20" t="str" cm="1">
        <f t="array" ref="C45">GetValue("Tbl",B45,"Alias")</f>
        <v>Cli</v>
      </c>
      <c r="D45" s="20">
        <v>6</v>
      </c>
      <c r="E45" s="20" t="str" cm="1">
        <f t="array" ref="E45">GetValue("Dmn",D45,"Name")</f>
        <v>Boolean</v>
      </c>
      <c r="F45" s="20">
        <f t="shared" si="1"/>
        <v>25</v>
      </c>
      <c r="G45" s="20" t="str" cm="1">
        <f t="array" ref="G45">GetColumnName(C45,IF(B45=B44,G44,""))</f>
        <v>IsActive</v>
      </c>
      <c r="H45" s="20" t="s">
        <v>772</v>
      </c>
      <c r="I45" s="20" t="s">
        <v>112</v>
      </c>
      <c r="J45" s="20" t="s">
        <v>26</v>
      </c>
      <c r="K45" s="20" t="s">
        <v>26</v>
      </c>
      <c r="L45" s="20" t="s">
        <v>26</v>
      </c>
      <c r="M45" s="20" t="s">
        <v>26</v>
      </c>
      <c r="N45" s="20"/>
      <c r="O45" s="20"/>
      <c r="P45" s="20" t="s">
        <v>26</v>
      </c>
      <c r="Q45" s="20" t="b">
        <v>0</v>
      </c>
    </row>
    <row r="46" spans="1:17">
      <c r="A46" s="18">
        <f t="shared" si="2"/>
        <v>45</v>
      </c>
      <c r="B46" s="19">
        <v>8</v>
      </c>
      <c r="C46" s="18" t="str" cm="1">
        <f t="array" ref="C46">GetValue("Tbl",B46,"Alias")</f>
        <v>Dmn</v>
      </c>
      <c r="D46" s="18">
        <v>1</v>
      </c>
      <c r="E46" s="18" t="str" cm="1">
        <f t="array" ref="E46">GetValue("Dmn",D46,"Name")</f>
        <v>BigInteger</v>
      </c>
      <c r="F46" s="18">
        <f t="shared" si="1"/>
        <v>5</v>
      </c>
      <c r="G46" s="18" t="str" cm="1">
        <f t="array" ref="G46">GetColumnName(C46,IF(B46=B45,G45,""))</f>
        <v>Id</v>
      </c>
      <c r="H46" s="18" t="s">
        <v>553</v>
      </c>
      <c r="I46" s="18" t="s">
        <v>0</v>
      </c>
      <c r="J46" s="18" t="b">
        <v>1</v>
      </c>
      <c r="K46" s="18" t="b">
        <v>1</v>
      </c>
      <c r="L46" s="18" t="b">
        <v>0</v>
      </c>
      <c r="M46" s="18" t="b">
        <v>0</v>
      </c>
      <c r="N46" s="18"/>
      <c r="O46" s="18"/>
      <c r="P46" s="18" t="b">
        <v>0</v>
      </c>
      <c r="Q46" s="18" t="b">
        <v>0</v>
      </c>
    </row>
    <row r="47" spans="1:17">
      <c r="A47" s="18">
        <f t="shared" si="2"/>
        <v>46</v>
      </c>
      <c r="B47" s="19">
        <v>8</v>
      </c>
      <c r="C47" s="18" t="str" cm="1">
        <f t="array" ref="C47">GetValue("Tbl",B47,"Alias")</f>
        <v>Dmn</v>
      </c>
      <c r="D47" s="18">
        <v>1</v>
      </c>
      <c r="E47" s="18" t="str" cm="1">
        <f t="array" ref="E47">GetValue("Dmn",D47,"Name")</f>
        <v>BigInteger</v>
      </c>
      <c r="F47" s="18">
        <f t="shared" si="1"/>
        <v>10</v>
      </c>
      <c r="G47" s="18" t="str" cm="1">
        <f t="array" ref="G47">GetColumnName(C47,IF(B47=B46,G46,""))</f>
        <v>ClientId</v>
      </c>
      <c r="H47" s="18" t="s">
        <v>554</v>
      </c>
      <c r="I47" s="18" t="s">
        <v>99</v>
      </c>
      <c r="J47" s="18" t="s">
        <v>26</v>
      </c>
      <c r="K47" s="18" t="s">
        <v>26</v>
      </c>
      <c r="L47" s="18" t="s">
        <v>26</v>
      </c>
      <c r="M47" s="18" t="s">
        <v>26</v>
      </c>
      <c r="N47" s="18"/>
      <c r="O47" s="18"/>
      <c r="P47" s="18" t="s">
        <v>26</v>
      </c>
      <c r="Q47" s="18" t="b">
        <v>0</v>
      </c>
    </row>
    <row r="48" spans="1:17">
      <c r="A48" s="18">
        <f t="shared" si="2"/>
        <v>47</v>
      </c>
      <c r="B48" s="19">
        <v>8</v>
      </c>
      <c r="C48" s="18" t="str" cm="1">
        <f t="array" ref="C48">GetValue("Tbl",B48,"Alias")</f>
        <v>Dmn</v>
      </c>
      <c r="D48" s="18">
        <v>5</v>
      </c>
      <c r="E48" s="18" t="str" cm="1">
        <f t="array" ref="E48">GetValue("Dmn",D48,"Name")</f>
        <v>TinyInteger</v>
      </c>
      <c r="F48" s="18">
        <f t="shared" si="1"/>
        <v>15</v>
      </c>
      <c r="G48" s="18" t="str" cm="1">
        <f t="array" ref="G48">GetColumnName(C48,IF(B48=B47,G47,""))</f>
        <v>TypeId</v>
      </c>
      <c r="H48" s="18" t="s">
        <v>100</v>
      </c>
      <c r="I48" s="18" t="s">
        <v>97</v>
      </c>
      <c r="J48" s="18" t="s">
        <v>26</v>
      </c>
      <c r="K48" s="18" t="s">
        <v>26</v>
      </c>
      <c r="L48" s="18" t="s">
        <v>26</v>
      </c>
      <c r="M48" s="18" t="s">
        <v>26</v>
      </c>
      <c r="N48" s="18"/>
      <c r="O48" s="18"/>
      <c r="P48" s="18" t="s">
        <v>26</v>
      </c>
      <c r="Q48" s="18" t="b">
        <v>0</v>
      </c>
    </row>
    <row r="49" spans="1:17">
      <c r="A49" s="18">
        <f t="shared" si="2"/>
        <v>48</v>
      </c>
      <c r="B49" s="19">
        <v>8</v>
      </c>
      <c r="C49" s="18" t="str" cm="1">
        <f t="array" ref="C49">GetValue("Tbl",B49,"Alias")</f>
        <v>Dmn</v>
      </c>
      <c r="D49" s="18">
        <v>10</v>
      </c>
      <c r="E49" s="18" t="str" cm="1">
        <f t="array" ref="E49">GetValue("Dmn",D49,"Name")</f>
        <v>Nvarchar(25)</v>
      </c>
      <c r="F49" s="18">
        <f t="shared" si="1"/>
        <v>20</v>
      </c>
      <c r="G49" s="18" t="str" cm="1">
        <f t="array" ref="G49">GetColumnName(C49,IF(B49=B48,G48,""))</f>
        <v>Name</v>
      </c>
      <c r="H49" s="18" t="s">
        <v>101</v>
      </c>
      <c r="I49" s="18" t="s">
        <v>102</v>
      </c>
      <c r="J49" s="18" t="s">
        <v>26</v>
      </c>
      <c r="K49" s="18" t="s">
        <v>26</v>
      </c>
      <c r="L49" s="18" t="s">
        <v>26</v>
      </c>
      <c r="M49" s="18" t="s">
        <v>26</v>
      </c>
      <c r="N49" s="18"/>
      <c r="O49" s="18"/>
      <c r="P49" s="18" t="s">
        <v>26</v>
      </c>
      <c r="Q49" s="18" t="b">
        <v>0</v>
      </c>
    </row>
    <row r="50" spans="1:17">
      <c r="A50" s="18">
        <f t="shared" si="2"/>
        <v>49</v>
      </c>
      <c r="B50" s="19">
        <v>8</v>
      </c>
      <c r="C50" s="18" t="str" cm="1">
        <f t="array" ref="C50">GetValue("Tbl",B50,"Alias")</f>
        <v>Dmn</v>
      </c>
      <c r="D50" s="18">
        <v>2</v>
      </c>
      <c r="E50" s="18" t="str" cm="1">
        <f t="array" ref="E50">GetValue("Dmn",D50,"Name")</f>
        <v>Integer</v>
      </c>
      <c r="F50" s="18">
        <f t="shared" si="1"/>
        <v>25</v>
      </c>
      <c r="G50" s="18" t="str" cm="1">
        <f t="array" ref="G50">GetColumnName(C50,IF(B50=B49,G49,""))</f>
        <v>Length</v>
      </c>
      <c r="H50" s="18" t="s">
        <v>103</v>
      </c>
      <c r="I50" s="18" t="s">
        <v>104</v>
      </c>
      <c r="J50" s="18" t="s">
        <v>26</v>
      </c>
      <c r="K50" s="18" t="s">
        <v>26</v>
      </c>
      <c r="L50" s="18" t="s">
        <v>26</v>
      </c>
      <c r="M50" s="18" t="s">
        <v>26</v>
      </c>
      <c r="N50" s="18"/>
      <c r="O50" s="18"/>
      <c r="P50" s="18" t="s">
        <v>26</v>
      </c>
      <c r="Q50" s="18" t="b">
        <v>0</v>
      </c>
    </row>
    <row r="51" spans="1:17">
      <c r="A51" s="18">
        <f t="shared" si="2"/>
        <v>50</v>
      </c>
      <c r="B51" s="19">
        <v>8</v>
      </c>
      <c r="C51" s="18" t="str" cm="1">
        <f t="array" ref="C51">GetValue("Tbl",B51,"Alias")</f>
        <v>Dmn</v>
      </c>
      <c r="D51" s="18">
        <v>5</v>
      </c>
      <c r="E51" s="18" t="str" cm="1">
        <f t="array" ref="E51">GetValue("Dmn",D51,"Name")</f>
        <v>TinyInteger</v>
      </c>
      <c r="F51" s="18">
        <f t="shared" si="1"/>
        <v>30</v>
      </c>
      <c r="G51" s="18" t="str" cm="1">
        <f t="array" ref="G51">GetColumnName(C51,IF(B51=B50,G50,""))</f>
        <v>Decimals</v>
      </c>
      <c r="H51" s="18" t="s">
        <v>555</v>
      </c>
      <c r="I51" s="18" t="s">
        <v>139</v>
      </c>
      <c r="J51" s="18" t="s">
        <v>26</v>
      </c>
      <c r="K51" s="18" t="s">
        <v>26</v>
      </c>
      <c r="L51" s="18" t="s">
        <v>26</v>
      </c>
      <c r="M51" s="18" t="s">
        <v>26</v>
      </c>
      <c r="N51" s="18"/>
      <c r="O51" s="18"/>
      <c r="P51" s="18" t="s">
        <v>26</v>
      </c>
      <c r="Q51" s="18" t="b">
        <v>0</v>
      </c>
    </row>
    <row r="52" spans="1:17">
      <c r="A52" s="18">
        <f t="shared" si="2"/>
        <v>51</v>
      </c>
      <c r="B52" s="19">
        <v>8</v>
      </c>
      <c r="C52" s="18" t="str" cm="1">
        <f t="array" ref="C52">GetValue("Tbl",B52,"Alias")</f>
        <v>Dmn</v>
      </c>
      <c r="D52" s="18">
        <v>13</v>
      </c>
      <c r="E52" s="18" t="str" cm="1">
        <f t="array" ref="E52">GetValue("Dmn",D52,"Name")</f>
        <v>Nvarchar(max)</v>
      </c>
      <c r="F52" s="18">
        <f t="shared" si="1"/>
        <v>35</v>
      </c>
      <c r="G52" s="18" t="str" cm="1">
        <f t="array" ref="G52">GetColumnName(C52,IF(B52=B51,G51,""))</f>
        <v>Default</v>
      </c>
      <c r="H52" s="18" t="s">
        <v>556</v>
      </c>
      <c r="I52" s="18" t="s">
        <v>557</v>
      </c>
      <c r="J52" s="18" t="s">
        <v>26</v>
      </c>
      <c r="K52" s="18" t="s">
        <v>26</v>
      </c>
      <c r="L52" s="18" t="s">
        <v>26</v>
      </c>
      <c r="M52" s="18" t="s">
        <v>26</v>
      </c>
      <c r="N52" s="18"/>
      <c r="O52" s="18"/>
      <c r="P52" s="18" t="s">
        <v>26</v>
      </c>
      <c r="Q52" s="18" t="b">
        <v>0</v>
      </c>
    </row>
    <row r="53" spans="1:17">
      <c r="A53" s="18">
        <f t="shared" si="2"/>
        <v>52</v>
      </c>
      <c r="B53" s="19">
        <v>8</v>
      </c>
      <c r="C53" s="18" t="str" cm="1">
        <f t="array" ref="C53">GetValue("Tbl",B53,"Alias")</f>
        <v>Dmn</v>
      </c>
      <c r="D53" s="18">
        <v>13</v>
      </c>
      <c r="E53" s="18" t="str" cm="1">
        <f t="array" ref="E53">GetValue("Dmn",D53,"Name")</f>
        <v>Nvarchar(max)</v>
      </c>
      <c r="F53" s="18">
        <f t="shared" si="1"/>
        <v>40</v>
      </c>
      <c r="G53" s="18" t="str" cm="1">
        <f t="array" ref="G53">GetColumnName(C53,IF(B53=B52,G52,""))</f>
        <v>Minimum</v>
      </c>
      <c r="H53" s="18" t="s">
        <v>558</v>
      </c>
      <c r="I53" s="18" t="s">
        <v>559</v>
      </c>
      <c r="J53" s="18" t="s">
        <v>26</v>
      </c>
      <c r="K53" s="18" t="s">
        <v>26</v>
      </c>
      <c r="L53" s="18" t="s">
        <v>26</v>
      </c>
      <c r="M53" s="18" t="s">
        <v>26</v>
      </c>
      <c r="N53" s="18"/>
      <c r="O53" s="18"/>
      <c r="P53" s="18" t="s">
        <v>26</v>
      </c>
      <c r="Q53" s="18" t="b">
        <v>0</v>
      </c>
    </row>
    <row r="54" spans="1:17">
      <c r="A54" s="18">
        <f>ROW(A54)-1</f>
        <v>53</v>
      </c>
      <c r="B54" s="19">
        <v>8</v>
      </c>
      <c r="C54" s="18" t="str" cm="1">
        <f t="array" ref="C54">GetValue("Tbl",B54,"Alias")</f>
        <v>Dmn</v>
      </c>
      <c r="D54" s="18">
        <v>13</v>
      </c>
      <c r="E54" s="18" t="str" cm="1">
        <f t="array" ref="E54">GetValue("Dmn",D54,"Name")</f>
        <v>Nvarchar(max)</v>
      </c>
      <c r="F54" s="18">
        <f t="shared" si="1"/>
        <v>45</v>
      </c>
      <c r="G54" s="18" t="str" cm="1">
        <f t="array" ref="G54">GetColumnName(C54,IF(B54=B53,G53,""))</f>
        <v>Maximum</v>
      </c>
      <c r="H54" s="18" t="s">
        <v>107</v>
      </c>
      <c r="I54" s="18" t="s">
        <v>560</v>
      </c>
      <c r="J54" s="18" t="s">
        <v>26</v>
      </c>
      <c r="K54" s="18" t="s">
        <v>26</v>
      </c>
      <c r="L54" s="18" t="s">
        <v>26</v>
      </c>
      <c r="M54" s="18" t="s">
        <v>26</v>
      </c>
      <c r="N54" s="18"/>
      <c r="O54" s="18"/>
      <c r="P54" s="18" t="s">
        <v>26</v>
      </c>
      <c r="Q54" s="18" t="b">
        <v>0</v>
      </c>
    </row>
    <row r="55" spans="1:17">
      <c r="A55" s="18">
        <f>ROW(A55)-1</f>
        <v>54</v>
      </c>
      <c r="B55" s="19">
        <v>8</v>
      </c>
      <c r="C55" s="18" t="str" cm="1">
        <f t="array" ref="C55">GetValue("Tbl",B55,"Alias")</f>
        <v>Dmn</v>
      </c>
      <c r="D55" s="18">
        <v>13</v>
      </c>
      <c r="E55" s="18" t="str" cm="1">
        <f t="array" ref="E55">GetValue("Dmn",D55,"Name")</f>
        <v>Nvarchar(max)</v>
      </c>
      <c r="F55" s="18">
        <f t="shared" si="1"/>
        <v>50</v>
      </c>
      <c r="G55" s="18" t="str" cm="1">
        <f t="array" ref="G55">GetColumnName(C55,IF(B55=B54,G54,""))</f>
        <v>ValidChars</v>
      </c>
      <c r="H55" s="18" t="s">
        <v>105</v>
      </c>
      <c r="I55" s="18" t="s">
        <v>543</v>
      </c>
      <c r="J55" s="18" t="s">
        <v>26</v>
      </c>
      <c r="K55" s="18" t="s">
        <v>26</v>
      </c>
      <c r="L55" s="18" t="s">
        <v>26</v>
      </c>
      <c r="M55" s="18" t="s">
        <v>26</v>
      </c>
      <c r="N55" s="18"/>
      <c r="O55" s="18"/>
      <c r="P55" s="18" t="s">
        <v>26</v>
      </c>
      <c r="Q55" s="18" t="b">
        <v>0</v>
      </c>
    </row>
    <row r="56" spans="1:17">
      <c r="A56" s="18">
        <f>ROW(A56)-1</f>
        <v>55</v>
      </c>
      <c r="B56" s="19">
        <v>8</v>
      </c>
      <c r="C56" s="18" t="str" cm="1">
        <f t="array" ref="C56">GetValue("Tbl",B56,"Alias")</f>
        <v>Dmn</v>
      </c>
      <c r="D56" s="18">
        <v>13</v>
      </c>
      <c r="E56" s="18" t="str" cm="1">
        <f t="array" ref="E56">GetValue("Dmn",D56,"Name")</f>
        <v>Nvarchar(max)</v>
      </c>
      <c r="F56" s="18">
        <f t="shared" si="1"/>
        <v>55</v>
      </c>
      <c r="G56" s="18" t="str" cm="1">
        <f t="array" ref="G56">GetColumnName(C56,IF(B56=B55,G55,""))</f>
        <v>ValidValues</v>
      </c>
      <c r="H56" s="18" t="s">
        <v>106</v>
      </c>
      <c r="I56" s="18" t="s">
        <v>548</v>
      </c>
      <c r="J56" s="18" t="s">
        <v>26</v>
      </c>
      <c r="K56" s="18" t="s">
        <v>26</v>
      </c>
      <c r="L56" s="18" t="s">
        <v>26</v>
      </c>
      <c r="M56" s="18" t="s">
        <v>26</v>
      </c>
      <c r="N56" s="18"/>
      <c r="O56" s="18"/>
      <c r="P56" s="18" t="s">
        <v>26</v>
      </c>
      <c r="Q56" s="18" t="b">
        <v>0</v>
      </c>
    </row>
    <row r="57" spans="1:17">
      <c r="A57" s="18">
        <f>ROW(A57)-1</f>
        <v>56</v>
      </c>
      <c r="B57" s="19">
        <v>8</v>
      </c>
      <c r="C57" s="18" t="str" cm="1">
        <f t="array" ref="C57">GetValue("Tbl",B57,"Alias")</f>
        <v>Dmn</v>
      </c>
      <c r="D57" s="18">
        <v>13</v>
      </c>
      <c r="E57" s="18" t="str" cm="1">
        <f t="array" ref="E57">GetValue("Dmn",D57,"Name")</f>
        <v>Nvarchar(max)</v>
      </c>
      <c r="F57" s="18">
        <f t="shared" si="1"/>
        <v>60</v>
      </c>
      <c r="G57" s="18" t="str" cm="1">
        <f t="array" ref="G57">GetColumnName(C57,IF(B57=B56,G56,""))</f>
        <v>ListValues</v>
      </c>
      <c r="H57" s="18" t="s">
        <v>106</v>
      </c>
      <c r="I57" s="18" t="s">
        <v>548</v>
      </c>
      <c r="J57" s="18" t="s">
        <v>26</v>
      </c>
      <c r="K57" s="18" t="s">
        <v>26</v>
      </c>
      <c r="L57" s="18" t="s">
        <v>26</v>
      </c>
      <c r="M57" s="18" t="s">
        <v>26</v>
      </c>
      <c r="N57" s="18"/>
      <c r="O57" s="18"/>
      <c r="P57" s="18" t="s">
        <v>26</v>
      </c>
      <c r="Q57" s="18" t="b">
        <v>0</v>
      </c>
    </row>
    <row r="58" spans="1:17">
      <c r="A58" s="20">
        <f t="shared" si="2"/>
        <v>57</v>
      </c>
      <c r="B58" s="21">
        <v>9</v>
      </c>
      <c r="C58" s="20" t="str" cm="1">
        <f t="array" ref="C58">GetValue("Tbl",B58,"Alias")</f>
        <v>Msk</v>
      </c>
      <c r="D58" s="20">
        <v>1</v>
      </c>
      <c r="E58" s="20" t="str" cm="1">
        <f t="array" ref="E58">GetValue("Dmn",D58,"Name")</f>
        <v>BigInteger</v>
      </c>
      <c r="F58" s="20">
        <f t="shared" si="1"/>
        <v>5</v>
      </c>
      <c r="G58" s="20" t="str" cm="1">
        <f t="array" ref="G58">GetColumnName(C58,IF(B58=B57,G57,""))</f>
        <v>Id</v>
      </c>
      <c r="H58" s="20" t="s">
        <v>561</v>
      </c>
      <c r="I58" s="20" t="s">
        <v>0</v>
      </c>
      <c r="J58" s="20" t="b">
        <v>1</v>
      </c>
      <c r="K58" s="20" t="b">
        <v>1</v>
      </c>
      <c r="L58" s="20" t="b">
        <v>0</v>
      </c>
      <c r="M58" s="20" t="b">
        <v>0</v>
      </c>
      <c r="N58" s="20"/>
      <c r="O58" s="20"/>
      <c r="P58" s="20" t="b">
        <v>0</v>
      </c>
      <c r="Q58" s="20" t="b">
        <v>0</v>
      </c>
    </row>
    <row r="59" spans="1:17">
      <c r="A59" s="20">
        <f t="shared" si="2"/>
        <v>58</v>
      </c>
      <c r="B59" s="21">
        <v>9</v>
      </c>
      <c r="C59" s="20" t="str" cm="1">
        <f t="array" ref="C59">GetValue("Tbl",B59,"Alias")</f>
        <v>Msk</v>
      </c>
      <c r="D59" s="20">
        <v>10</v>
      </c>
      <c r="E59" s="20" t="str" cm="1">
        <f t="array" ref="E59">GetValue("Dmn",D59,"Name")</f>
        <v>Nvarchar(25)</v>
      </c>
      <c r="F59" s="20">
        <f t="shared" si="1"/>
        <v>10</v>
      </c>
      <c r="G59" s="20" t="str" cm="1">
        <f t="array" ref="G59">GetColumnName(C59,IF(B59=B58,G58,""))</f>
        <v>ClientId</v>
      </c>
      <c r="H59" s="20" t="s">
        <v>767</v>
      </c>
      <c r="I59" s="20" t="s">
        <v>575</v>
      </c>
      <c r="J59" s="20" t="s">
        <v>26</v>
      </c>
      <c r="K59" s="20" t="s">
        <v>26</v>
      </c>
      <c r="L59" s="20" t="s">
        <v>26</v>
      </c>
      <c r="M59" s="20" t="s">
        <v>26</v>
      </c>
      <c r="N59" s="20"/>
      <c r="O59" s="20"/>
      <c r="P59" s="20" t="s">
        <v>26</v>
      </c>
      <c r="Q59" s="20" t="b">
        <v>0</v>
      </c>
    </row>
    <row r="60" spans="1:17">
      <c r="A60" s="20">
        <f t="shared" si="2"/>
        <v>59</v>
      </c>
      <c r="B60" s="21">
        <v>9</v>
      </c>
      <c r="C60" s="20" t="str" cm="1">
        <f t="array" ref="C60">GetValue("Tbl",B60,"Alias")</f>
        <v>Msk</v>
      </c>
      <c r="D60" s="20">
        <v>13</v>
      </c>
      <c r="E60" s="20" t="str" cm="1">
        <f t="array" ref="E60">GetValue("Dmn",D60,"Name")</f>
        <v>Nvarchar(max)</v>
      </c>
      <c r="F60" s="20">
        <f t="shared" si="1"/>
        <v>15</v>
      </c>
      <c r="G60" s="20" t="str" cm="1">
        <f t="array" ref="G60">GetColumnName(C60,IF(B60=B59,G59,""))</f>
        <v>Name</v>
      </c>
      <c r="H60" s="20" t="s">
        <v>562</v>
      </c>
      <c r="I60" s="20" t="s">
        <v>97</v>
      </c>
      <c r="J60" s="20" t="s">
        <v>26</v>
      </c>
      <c r="K60" s="20" t="s">
        <v>26</v>
      </c>
      <c r="L60" s="20" t="s">
        <v>26</v>
      </c>
      <c r="M60" s="20" t="s">
        <v>26</v>
      </c>
      <c r="N60" s="20"/>
      <c r="O60" s="20"/>
      <c r="P60" s="20" t="s">
        <v>26</v>
      </c>
      <c r="Q60" s="20" t="b">
        <v>0</v>
      </c>
    </row>
    <row r="61" spans="1:17">
      <c r="A61" s="20">
        <f t="shared" si="2"/>
        <v>60</v>
      </c>
      <c r="B61" s="21">
        <v>9</v>
      </c>
      <c r="C61" s="20" t="str" cm="1">
        <f t="array" ref="C61">GetValue("Tbl",B61,"Alias")</f>
        <v>Msk</v>
      </c>
      <c r="D61" s="20">
        <v>13</v>
      </c>
      <c r="E61" s="20" t="str" cm="1">
        <f t="array" ref="E61">GetValue("Dmn",D61,"Name")</f>
        <v>Nvarchar(max)</v>
      </c>
      <c r="F61" s="20">
        <f t="shared" si="1"/>
        <v>20</v>
      </c>
      <c r="G61" s="20" t="str" cm="1">
        <f t="array" ref="G61">GetColumnName(C61,IF(B61=B60,G60,""))</f>
        <v>EditMask</v>
      </c>
      <c r="H61" s="20" t="s">
        <v>108</v>
      </c>
      <c r="I61" s="20" t="s">
        <v>768</v>
      </c>
      <c r="J61" s="20" t="s">
        <v>26</v>
      </c>
      <c r="K61" s="20" t="s">
        <v>26</v>
      </c>
      <c r="L61" s="20" t="s">
        <v>26</v>
      </c>
      <c r="M61" s="20" t="s">
        <v>26</v>
      </c>
      <c r="N61" s="20"/>
      <c r="O61" s="20"/>
      <c r="P61" s="20" t="s">
        <v>26</v>
      </c>
      <c r="Q61" s="20" t="b">
        <v>0</v>
      </c>
    </row>
    <row r="62" spans="1:17">
      <c r="A62" s="20">
        <f t="shared" si="2"/>
        <v>61</v>
      </c>
      <c r="B62" s="21">
        <v>9</v>
      </c>
      <c r="C62" s="20" t="str" cm="1">
        <f t="array" ref="C62">GetValue("Tbl",B62,"Alias")</f>
        <v>Msk</v>
      </c>
      <c r="D62" s="20">
        <v>6</v>
      </c>
      <c r="E62" s="20" t="str" cm="1">
        <f t="array" ref="E62">GetValue("Dmn",D62,"Name")</f>
        <v>Boolean</v>
      </c>
      <c r="F62" s="20">
        <f t="shared" si="1"/>
        <v>25</v>
      </c>
      <c r="G62" s="20" t="str" cm="1">
        <f t="array" ref="G62">GetColumnName(C62,IF(B62=B61,G61,""))</f>
        <v>ValidMask</v>
      </c>
      <c r="H62" s="20" t="s">
        <v>563</v>
      </c>
      <c r="I62" s="20" t="s">
        <v>769</v>
      </c>
      <c r="J62" s="20" t="s">
        <v>26</v>
      </c>
      <c r="K62" s="20" t="s">
        <v>26</v>
      </c>
      <c r="L62" s="20" t="s">
        <v>26</v>
      </c>
      <c r="M62" s="20" t="s">
        <v>26</v>
      </c>
      <c r="N62" s="20"/>
      <c r="O62" s="20"/>
      <c r="P62" s="20" t="s">
        <v>26</v>
      </c>
      <c r="Q62" s="20" t="b">
        <v>0</v>
      </c>
    </row>
    <row r="63" spans="1:17">
      <c r="A63" s="20">
        <f t="shared" si="2"/>
        <v>62</v>
      </c>
      <c r="B63" s="21">
        <v>9</v>
      </c>
      <c r="C63" s="20" t="str" cm="1">
        <f t="array" ref="C63">GetValue("Tbl",B63,"Alias")</f>
        <v>Msk</v>
      </c>
      <c r="D63" s="20">
        <v>6</v>
      </c>
      <c r="E63" s="20" t="str" cm="1">
        <f t="array" ref="E63">GetValue("Dmn",D63,"Name")</f>
        <v>Boolean</v>
      </c>
      <c r="F63" s="20">
        <f t="shared" si="1"/>
        <v>30</v>
      </c>
      <c r="G63" s="20" t="str" cm="1">
        <f t="array" ref="G63">GetColumnName(C63,IF(B63=B62,G62,""))</f>
        <v>Modificators</v>
      </c>
      <c r="H63" s="20" t="s">
        <v>112</v>
      </c>
      <c r="I63" s="20" t="s">
        <v>112</v>
      </c>
      <c r="J63" s="20" t="s">
        <v>26</v>
      </c>
      <c r="K63" s="20" t="s">
        <v>26</v>
      </c>
      <c r="L63" s="20" t="s">
        <v>26</v>
      </c>
      <c r="M63" s="20" t="s">
        <v>26</v>
      </c>
      <c r="N63" s="20"/>
      <c r="O63" s="20"/>
      <c r="P63" s="20" t="s">
        <v>26</v>
      </c>
      <c r="Q63" s="20" t="b">
        <v>0</v>
      </c>
    </row>
    <row r="64" spans="1:17">
      <c r="A64" s="18">
        <f t="shared" si="2"/>
        <v>63</v>
      </c>
      <c r="B64" s="19">
        <v>10</v>
      </c>
      <c r="C64" s="18" t="str" cm="1">
        <f t="array" ref="C64">GetValue("Tbl",B64,"Alias")</f>
        <v>Mkg</v>
      </c>
      <c r="D64" s="18">
        <v>1</v>
      </c>
      <c r="E64" s="18" t="str" cm="1">
        <f t="array" ref="E64">GetValue("Dmn",D64,"Name")</f>
        <v>BigInteger</v>
      </c>
      <c r="F64" s="18">
        <f t="shared" si="1"/>
        <v>5</v>
      </c>
      <c r="G64" s="18" t="str" cm="1">
        <f t="array" ref="G64">GetColumnName(C64,IF(B64=B63,G63,""))</f>
        <v>Id</v>
      </c>
      <c r="H64" s="18" t="s">
        <v>567</v>
      </c>
      <c r="I64" s="18" t="s">
        <v>0</v>
      </c>
      <c r="J64" s="18" t="b">
        <v>1</v>
      </c>
      <c r="K64" s="18" t="b">
        <v>1</v>
      </c>
      <c r="L64" s="18" t="b">
        <v>0</v>
      </c>
      <c r="M64" s="18" t="b">
        <v>0</v>
      </c>
      <c r="N64" s="18"/>
      <c r="O64" s="18"/>
      <c r="P64" s="18" t="b">
        <v>0</v>
      </c>
      <c r="Q64" s="18" t="b">
        <v>0</v>
      </c>
    </row>
    <row r="65" spans="1:17">
      <c r="A65" s="18">
        <f t="shared" si="2"/>
        <v>64</v>
      </c>
      <c r="B65" s="19">
        <v>10</v>
      </c>
      <c r="C65" s="18" t="str" cm="1">
        <f t="array" ref="C65">GetValue("Tbl",B65,"Alias")</f>
        <v>Mkg</v>
      </c>
      <c r="D65" s="18">
        <v>1</v>
      </c>
      <c r="E65" s="18" t="str" cm="1">
        <f t="array" ref="E65">GetValue("Dmn",D65,"Name")</f>
        <v>BigInteger</v>
      </c>
      <c r="F65" s="18">
        <f t="shared" si="1"/>
        <v>10</v>
      </c>
      <c r="G65" s="18" t="str" cm="1">
        <f t="array" ref="G65">GetColumnName(C65,IF(B65=B64,G64,""))</f>
        <v>DomainId</v>
      </c>
      <c r="H65" s="18" t="s">
        <v>564</v>
      </c>
      <c r="I65" s="18" t="s">
        <v>118</v>
      </c>
      <c r="J65" s="18" t="s">
        <v>26</v>
      </c>
      <c r="K65" s="18" t="s">
        <v>26</v>
      </c>
      <c r="L65" s="18" t="s">
        <v>26</v>
      </c>
      <c r="M65" s="18" t="s">
        <v>26</v>
      </c>
      <c r="N65" s="18"/>
      <c r="O65" s="18"/>
      <c r="P65" s="18" t="s">
        <v>26</v>
      </c>
      <c r="Q65" s="18" t="b">
        <v>0</v>
      </c>
    </row>
    <row r="66" spans="1:17">
      <c r="A66" s="18">
        <f t="shared" si="2"/>
        <v>65</v>
      </c>
      <c r="B66" s="19">
        <v>10</v>
      </c>
      <c r="C66" s="18" t="str" cm="1">
        <f t="array" ref="C66">GetValue("Tbl",B66,"Alias")</f>
        <v>Mkg</v>
      </c>
      <c r="D66" s="18">
        <v>1</v>
      </c>
      <c r="E66" s="18" t="str" cm="1">
        <f t="array" ref="E66">GetValue("Dmn",D66,"Name")</f>
        <v>BigInteger</v>
      </c>
      <c r="F66" s="18">
        <f t="shared" si="1"/>
        <v>15</v>
      </c>
      <c r="G66" s="18" t="str" cm="1">
        <f t="array" ref="G66">GetColumnName(C66,IF(B66=B65,G65,""))</f>
        <v>MaskId</v>
      </c>
      <c r="H66" s="18" t="s">
        <v>561</v>
      </c>
      <c r="I66" s="18" t="s">
        <v>108</v>
      </c>
      <c r="J66" s="18" t="s">
        <v>26</v>
      </c>
      <c r="K66" s="18" t="s">
        <v>26</v>
      </c>
      <c r="L66" s="18" t="s">
        <v>26</v>
      </c>
      <c r="M66" s="18" t="s">
        <v>26</v>
      </c>
      <c r="N66" s="18"/>
      <c r="O66" s="18"/>
      <c r="P66" s="18" t="s">
        <v>26</v>
      </c>
      <c r="Q66" s="18" t="b">
        <v>0</v>
      </c>
    </row>
    <row r="67" spans="1:17">
      <c r="A67" s="18">
        <f t="shared" si="2"/>
        <v>66</v>
      </c>
      <c r="B67" s="19">
        <v>10</v>
      </c>
      <c r="C67" s="18" t="str" cm="1">
        <f t="array" ref="C67">GetValue("Tbl",B67,"Alias")</f>
        <v>Mkg</v>
      </c>
      <c r="D67" s="18">
        <v>5</v>
      </c>
      <c r="E67" s="18" t="str" cm="1">
        <f t="array" ref="E67">GetValue("Dmn",D67,"Name")</f>
        <v>TinyInteger</v>
      </c>
      <c r="F67" s="18">
        <f t="shared" ref="F67:F131" si="4">IF(G67="Id",5,F66+5)</f>
        <v>20</v>
      </c>
      <c r="G67" s="18" t="str" cm="1">
        <f t="array" ref="G67">GetColumnName(C67,IF(B67=B66,G66,""))</f>
        <v>CheckDigitModule</v>
      </c>
      <c r="H67" s="18" t="s">
        <v>568</v>
      </c>
      <c r="I67" s="18" t="s">
        <v>572</v>
      </c>
      <c r="J67" s="18" t="s">
        <v>26</v>
      </c>
      <c r="K67" s="18" t="s">
        <v>26</v>
      </c>
      <c r="L67" s="18" t="s">
        <v>26</v>
      </c>
      <c r="M67" s="18" t="s">
        <v>26</v>
      </c>
      <c r="N67" s="18"/>
      <c r="O67" s="18"/>
      <c r="P67" s="18" t="s">
        <v>26</v>
      </c>
      <c r="Q67" s="18" t="b">
        <v>0</v>
      </c>
    </row>
    <row r="68" spans="1:17">
      <c r="A68" s="18">
        <f t="shared" si="2"/>
        <v>67</v>
      </c>
      <c r="B68" s="19">
        <v>10</v>
      </c>
      <c r="C68" s="18" t="str" cm="1">
        <f t="array" ref="C68">GetValue("Tbl",B68,"Alias")</f>
        <v>Mkg</v>
      </c>
      <c r="D68" s="18">
        <v>13</v>
      </c>
      <c r="E68" s="18" t="str" cm="1">
        <f t="array" ref="E68">GetValue("Dmn",D68,"Name")</f>
        <v>Nvarchar(max)</v>
      </c>
      <c r="F68" s="18">
        <f t="shared" si="4"/>
        <v>25</v>
      </c>
      <c r="G68" s="18" t="str" cm="1">
        <f t="array" ref="G68">GetColumnName(C68,IF(B68=B67,G67,""))</f>
        <v>CheckDigitFactors</v>
      </c>
      <c r="H68" s="18" t="s">
        <v>569</v>
      </c>
      <c r="I68" s="18" t="s">
        <v>571</v>
      </c>
      <c r="J68" s="18" t="s">
        <v>26</v>
      </c>
      <c r="K68" s="18" t="s">
        <v>26</v>
      </c>
      <c r="L68" s="18" t="s">
        <v>26</v>
      </c>
      <c r="M68" s="18" t="s">
        <v>26</v>
      </c>
      <c r="N68" s="18"/>
      <c r="O68" s="18"/>
      <c r="P68" s="18" t="s">
        <v>26</v>
      </c>
      <c r="Q68" s="18" t="b">
        <v>0</v>
      </c>
    </row>
    <row r="69" spans="1:17">
      <c r="A69" s="18">
        <f t="shared" si="2"/>
        <v>68</v>
      </c>
      <c r="B69" s="19">
        <v>10</v>
      </c>
      <c r="C69" s="18" t="str" cm="1">
        <f t="array" ref="C69">GetValue("Tbl",B69,"Alias")</f>
        <v>Mkg</v>
      </c>
      <c r="D69" s="18">
        <v>21</v>
      </c>
      <c r="E69" s="18" t="str" cm="1">
        <f t="array" ref="E69">GetValue("Dmn",D69,"Name")</f>
        <v>Char(1)</v>
      </c>
      <c r="F69" s="18">
        <f t="shared" si="4"/>
        <v>30</v>
      </c>
      <c r="G69" s="18" t="str" cm="1">
        <f t="array" ref="G69">GetColumnName(C69,IF(B69=B68,G68,""))</f>
        <v>CheckDigitGreaterThanNine</v>
      </c>
      <c r="H69" s="18" t="s">
        <v>570</v>
      </c>
      <c r="I69" s="18" t="s">
        <v>576</v>
      </c>
      <c r="J69" s="18" t="s">
        <v>26</v>
      </c>
      <c r="K69" s="18" t="s">
        <v>26</v>
      </c>
      <c r="L69" s="18" t="s">
        <v>26</v>
      </c>
      <c r="M69" s="18" t="s">
        <v>26</v>
      </c>
      <c r="N69" s="18"/>
      <c r="O69" s="18"/>
      <c r="P69" s="18" t="s">
        <v>26</v>
      </c>
      <c r="Q69" s="18" t="b">
        <v>0</v>
      </c>
    </row>
    <row r="70" spans="1:17">
      <c r="A70" s="20">
        <f t="shared" si="2"/>
        <v>69</v>
      </c>
      <c r="B70" s="21">
        <v>11</v>
      </c>
      <c r="C70" s="20" t="str" cm="1">
        <f t="array" ref="C70">GetValue("Tbl",B70,"Alias")</f>
        <v>Db</v>
      </c>
      <c r="D70" s="20">
        <v>1</v>
      </c>
      <c r="E70" s="20" t="str" cm="1">
        <f t="array" ref="E70">GetValue("Dmn",D70,"Name")</f>
        <v>BigInteger</v>
      </c>
      <c r="F70" s="20">
        <f t="shared" si="4"/>
        <v>5</v>
      </c>
      <c r="G70" s="20" t="str" cm="1">
        <f t="array" ref="G70">GetColumnName(C70,IF(B70=B69,G69,""))</f>
        <v>Id</v>
      </c>
      <c r="H70" s="20" t="s">
        <v>573</v>
      </c>
      <c r="I70" s="20" t="s">
        <v>0</v>
      </c>
      <c r="J70" s="20" t="b">
        <v>1</v>
      </c>
      <c r="K70" s="20" t="b">
        <v>1</v>
      </c>
      <c r="L70" s="20" t="b">
        <v>0</v>
      </c>
      <c r="M70" s="20" t="b">
        <v>0</v>
      </c>
      <c r="N70" s="20"/>
      <c r="O70" s="20"/>
      <c r="P70" s="20" t="b">
        <v>0</v>
      </c>
      <c r="Q70" s="20" t="b">
        <v>0</v>
      </c>
    </row>
    <row r="71" spans="1:17">
      <c r="A71" s="20">
        <f>ROW(A71)-1</f>
        <v>70</v>
      </c>
      <c r="B71" s="21">
        <v>11</v>
      </c>
      <c r="C71" s="20" t="str" cm="1">
        <f t="array" ref="C71">GetValue("Tbl",B71,"Alias")</f>
        <v>Db</v>
      </c>
      <c r="D71" s="20">
        <v>4</v>
      </c>
      <c r="E71" s="20" t="str" cm="1">
        <f t="array" ref="E71">GetValue("Dmn",D71,"Name")</f>
        <v>SmallInteger</v>
      </c>
      <c r="F71" s="20">
        <f t="shared" si="4"/>
        <v>10</v>
      </c>
      <c r="G71" s="20" t="str" cm="1">
        <f t="array" ref="G71">GetColumnName(C71,IF(B71=B70,G70,""))</f>
        <v>ClientId</v>
      </c>
      <c r="H71" s="20" t="s">
        <v>574</v>
      </c>
      <c r="I71" s="20" t="s">
        <v>575</v>
      </c>
      <c r="J71" s="20" t="s">
        <v>26</v>
      </c>
      <c r="K71" s="20" t="s">
        <v>26</v>
      </c>
      <c r="L71" s="20" t="s">
        <v>26</v>
      </c>
      <c r="M71" s="20" t="s">
        <v>26</v>
      </c>
      <c r="N71" s="20"/>
      <c r="O71" s="20"/>
      <c r="P71" s="20" t="s">
        <v>26</v>
      </c>
      <c r="Q71" s="20" t="b">
        <v>0</v>
      </c>
    </row>
    <row r="72" spans="1:17">
      <c r="A72" s="20">
        <f t="shared" si="2"/>
        <v>71</v>
      </c>
      <c r="B72" s="21">
        <v>11</v>
      </c>
      <c r="C72" s="20" t="str" cm="1">
        <f t="array" ref="C72">GetValue("Tbl",B72,"Alias")</f>
        <v>Db</v>
      </c>
      <c r="D72" s="20">
        <v>5</v>
      </c>
      <c r="E72" s="20" t="str" cm="1">
        <f t="array" ref="E72">GetValue("Dmn",D72,"Name")</f>
        <v>TinyInteger</v>
      </c>
      <c r="F72" s="20">
        <f t="shared" si="4"/>
        <v>15</v>
      </c>
      <c r="G72" s="20" t="str" cm="1">
        <f t="array" ref="G72">GetColumnName(C72,IF(B72=B71,G71,""))</f>
        <v>EngineId</v>
      </c>
      <c r="H72" s="20" t="s">
        <v>581</v>
      </c>
      <c r="I72" s="20" t="s">
        <v>97</v>
      </c>
      <c r="J72" s="20" t="s">
        <v>26</v>
      </c>
      <c r="K72" s="20" t="s">
        <v>26</v>
      </c>
      <c r="L72" s="20" t="s">
        <v>26</v>
      </c>
      <c r="M72" s="20" t="s">
        <v>26</v>
      </c>
      <c r="N72" s="20"/>
      <c r="O72" s="20"/>
      <c r="P72" s="20" t="s">
        <v>26</v>
      </c>
      <c r="Q72" s="20" t="b">
        <v>0</v>
      </c>
    </row>
    <row r="73" spans="1:17">
      <c r="A73" s="20">
        <f t="shared" si="2"/>
        <v>72</v>
      </c>
      <c r="B73" s="21">
        <v>11</v>
      </c>
      <c r="C73" s="20" t="str" cm="1">
        <f t="array" ref="C73">GetValue("Tbl",B73,"Alias")</f>
        <v>Db</v>
      </c>
      <c r="D73" s="20">
        <v>10</v>
      </c>
      <c r="E73" s="20" t="str" cm="1">
        <f t="array" ref="E73">GetValue("Dmn",D73,"Name")</f>
        <v>Nvarchar(25)</v>
      </c>
      <c r="F73" s="20">
        <f t="shared" si="4"/>
        <v>20</v>
      </c>
      <c r="G73" s="20" t="str" cm="1">
        <f t="array" ref="G73">GetColumnName(C73,IF(B73=B72,G72,""))</f>
        <v>Name</v>
      </c>
      <c r="H73" s="20" t="s">
        <v>596</v>
      </c>
      <c r="I73" s="20" t="s">
        <v>109</v>
      </c>
      <c r="J73" s="20" t="s">
        <v>26</v>
      </c>
      <c r="K73" s="20" t="s">
        <v>26</v>
      </c>
      <c r="L73" s="20" t="s">
        <v>26</v>
      </c>
      <c r="M73" s="20" t="s">
        <v>26</v>
      </c>
      <c r="N73" s="20"/>
      <c r="O73" s="20"/>
      <c r="P73" s="20" t="s">
        <v>26</v>
      </c>
      <c r="Q73" s="20" t="b">
        <v>0</v>
      </c>
    </row>
    <row r="74" spans="1:17">
      <c r="A74" s="20">
        <f t="shared" si="2"/>
        <v>73</v>
      </c>
      <c r="B74" s="21">
        <v>11</v>
      </c>
      <c r="C74" s="20" t="str" cm="1">
        <f t="array" ref="C74">GetValue("Tbl",B74,"Alias")</f>
        <v>Db</v>
      </c>
      <c r="D74" s="20">
        <v>11</v>
      </c>
      <c r="E74" s="20" t="str" cm="1">
        <f t="array" ref="E74">GetValue("Dmn",D74,"Name")</f>
        <v>Nvarchar(50)</v>
      </c>
      <c r="F74" s="20">
        <f t="shared" si="4"/>
        <v>25</v>
      </c>
      <c r="G74" s="20" t="str" cm="1">
        <f t="array" ref="G74">GetColumnName(C74,IF(B74=B73,G73,""))</f>
        <v>Description</v>
      </c>
      <c r="H74" s="20" t="s">
        <v>550</v>
      </c>
      <c r="I74" s="20" t="s">
        <v>551</v>
      </c>
      <c r="J74" s="20" t="s">
        <v>26</v>
      </c>
      <c r="K74" s="20" t="s">
        <v>26</v>
      </c>
      <c r="L74" s="20" t="s">
        <v>26</v>
      </c>
      <c r="M74" s="20" t="s">
        <v>26</v>
      </c>
      <c r="N74" s="20"/>
      <c r="O74" s="20"/>
      <c r="P74" s="20" t="s">
        <v>26</v>
      </c>
      <c r="Q74" s="20" t="b">
        <v>0</v>
      </c>
    </row>
    <row r="75" spans="1:17">
      <c r="A75" s="18">
        <f>ROW(A75)-1</f>
        <v>74</v>
      </c>
      <c r="B75" s="19">
        <v>12</v>
      </c>
      <c r="C75" s="18" t="str" cm="1">
        <f t="array" ref="C75">GetValue("Tbl",B75,"Alias")</f>
        <v>Con</v>
      </c>
      <c r="D75" s="18">
        <v>1</v>
      </c>
      <c r="E75" s="18" t="str" cm="1">
        <f t="array" ref="E75">GetValue("Dmn",D75,"Name")</f>
        <v>BigInteger</v>
      </c>
      <c r="F75" s="18">
        <f t="shared" si="4"/>
        <v>5</v>
      </c>
      <c r="G75" s="18" t="str" cm="1">
        <f t="array" ref="G75">GetColumnName(C75,IF(B75=B74,G74,""))</f>
        <v>Id</v>
      </c>
      <c r="H75" s="18" t="s">
        <v>577</v>
      </c>
      <c r="I75" s="18" t="s">
        <v>193</v>
      </c>
      <c r="J75" s="18" t="b">
        <v>1</v>
      </c>
      <c r="K75" s="18" t="b">
        <v>1</v>
      </c>
      <c r="L75" s="18" t="b">
        <v>0</v>
      </c>
      <c r="M75" s="18" t="b">
        <v>0</v>
      </c>
      <c r="N75" s="18"/>
      <c r="O75" s="18"/>
      <c r="P75" s="18" t="b">
        <v>0</v>
      </c>
      <c r="Q75" s="18" t="b">
        <v>0</v>
      </c>
    </row>
    <row r="76" spans="1:17">
      <c r="A76" s="18">
        <f t="shared" si="2"/>
        <v>75</v>
      </c>
      <c r="B76" s="19">
        <v>12</v>
      </c>
      <c r="C76" s="18" t="str" cm="1">
        <f t="array" ref="C76">GetValue("Tbl",B76,"Alias")</f>
        <v>Con</v>
      </c>
      <c r="D76" s="18">
        <v>4</v>
      </c>
      <c r="E76" s="18" t="str" cm="1">
        <f t="array" ref="E76">GetValue("Dmn",D76,"Name")</f>
        <v>SmallInteger</v>
      </c>
      <c r="F76" s="18">
        <f t="shared" si="4"/>
        <v>10</v>
      </c>
      <c r="G76" s="18" t="str" cm="1">
        <f t="array" ref="G76">GetColumnName(C76,IF(B76=B75,G75,""))</f>
        <v>DatabaseId</v>
      </c>
      <c r="H76" s="18" t="s">
        <v>574</v>
      </c>
      <c r="I76" s="18" t="s">
        <v>575</v>
      </c>
      <c r="J76" s="18" t="s">
        <v>26</v>
      </c>
      <c r="K76" s="18" t="s">
        <v>26</v>
      </c>
      <c r="L76" s="18" t="s">
        <v>26</v>
      </c>
      <c r="M76" s="18" t="s">
        <v>26</v>
      </c>
      <c r="N76" s="18"/>
      <c r="O76" s="18"/>
      <c r="P76" s="18" t="s">
        <v>26</v>
      </c>
      <c r="Q76" s="18" t="b">
        <v>0</v>
      </c>
    </row>
    <row r="77" spans="1:17">
      <c r="A77" s="18">
        <f t="shared" si="2"/>
        <v>76</v>
      </c>
      <c r="B77" s="19">
        <v>12</v>
      </c>
      <c r="C77" s="18" t="str" cm="1">
        <f t="array" ref="C77">GetValue("Tbl",B77,"Alias")</f>
        <v>Con</v>
      </c>
      <c r="D77" s="18">
        <v>1</v>
      </c>
      <c r="E77" s="18" t="str" cm="1">
        <f t="array" ref="E77">GetValue("Dmn",D77,"Name")</f>
        <v>BigInteger</v>
      </c>
      <c r="F77" s="18">
        <f t="shared" si="4"/>
        <v>15</v>
      </c>
      <c r="G77" s="18" t="str" cm="1">
        <f t="array" ref="G77">GetColumnName(C77,IF(B77=B76,G76,""))</f>
        <v>Environment</v>
      </c>
      <c r="H77" s="18" t="s">
        <v>573</v>
      </c>
      <c r="I77" s="18" t="s">
        <v>113</v>
      </c>
      <c r="J77" s="18" t="s">
        <v>26</v>
      </c>
      <c r="K77" s="18" t="s">
        <v>26</v>
      </c>
      <c r="L77" s="18" t="s">
        <v>26</v>
      </c>
      <c r="M77" s="18" t="s">
        <v>26</v>
      </c>
      <c r="N77" s="18"/>
      <c r="O77" s="18"/>
      <c r="P77" s="18" t="s">
        <v>26</v>
      </c>
      <c r="Q77" s="18" t="b">
        <v>0</v>
      </c>
    </row>
    <row r="78" spans="1:17">
      <c r="A78" s="18">
        <f t="shared" si="2"/>
        <v>77</v>
      </c>
      <c r="B78" s="19">
        <v>12</v>
      </c>
      <c r="C78" s="18" t="str" cm="1">
        <f t="array" ref="C78">GetValue("Tbl",B78,"Alias")</f>
        <v>Con</v>
      </c>
      <c r="D78" s="18">
        <v>9</v>
      </c>
      <c r="E78" s="18" t="str" cm="1">
        <f t="array" ref="E78">GetValue("Dmn",D78,"Name")</f>
        <v>Nvarchar(20)</v>
      </c>
      <c r="F78" s="18">
        <f t="shared" si="4"/>
        <v>20</v>
      </c>
      <c r="G78" s="18" t="str" cm="1">
        <f t="array" ref="G78">GetColumnName(C78,IF(B78=B77,G77,""))</f>
        <v>Directory</v>
      </c>
      <c r="H78" s="18" t="s">
        <v>579</v>
      </c>
      <c r="I78" s="18" t="s">
        <v>580</v>
      </c>
      <c r="J78" s="18" t="s">
        <v>26</v>
      </c>
      <c r="K78" s="18" t="s">
        <v>26</v>
      </c>
      <c r="L78" s="18" t="s">
        <v>26</v>
      </c>
      <c r="M78" s="18" t="s">
        <v>26</v>
      </c>
      <c r="N78" s="18"/>
      <c r="O78" s="18"/>
      <c r="P78" s="18" t="s">
        <v>26</v>
      </c>
      <c r="Q78" s="18" t="b">
        <v>0</v>
      </c>
    </row>
    <row r="79" spans="1:17">
      <c r="A79" s="18">
        <f t="shared" si="2"/>
        <v>78</v>
      </c>
      <c r="B79" s="19">
        <v>12</v>
      </c>
      <c r="C79" s="18" t="str" cm="1">
        <f t="array" ref="C79">GetValue("Tbl",B79,"Alias")</f>
        <v>Con</v>
      </c>
      <c r="D79" s="18">
        <v>12</v>
      </c>
      <c r="E79" s="18" t="str" cm="1">
        <f t="array" ref="E79">GetValue("Dmn",D79,"Name")</f>
        <v>Nvarchar(256)</v>
      </c>
      <c r="F79" s="18">
        <f t="shared" si="4"/>
        <v>25</v>
      </c>
      <c r="G79" s="18" t="str" cm="1">
        <f t="array" ref="G79">GetColumnName(C79,IF(B79=B78,G78,""))</f>
        <v>ConnectionString</v>
      </c>
      <c r="H79" s="18" t="s">
        <v>582</v>
      </c>
      <c r="I79" s="18" t="s">
        <v>583</v>
      </c>
      <c r="J79" s="18" t="s">
        <v>26</v>
      </c>
      <c r="K79" s="18" t="s">
        <v>26</v>
      </c>
      <c r="L79" s="18" t="s">
        <v>26</v>
      </c>
      <c r="M79" s="18" t="s">
        <v>26</v>
      </c>
      <c r="N79" s="18"/>
      <c r="O79" s="18"/>
      <c r="P79" s="18" t="s">
        <v>26</v>
      </c>
      <c r="Q79" s="18" t="b">
        <v>0</v>
      </c>
    </row>
    <row r="80" spans="1:17">
      <c r="A80" s="18">
        <f t="shared" si="2"/>
        <v>79</v>
      </c>
      <c r="B80" s="19">
        <v>12</v>
      </c>
      <c r="C80" s="18" t="str" cm="1">
        <f t="array" ref="C80">GetValue("Tbl",B80,"Alias")</f>
        <v>Con</v>
      </c>
      <c r="D80" s="18">
        <v>12</v>
      </c>
      <c r="E80" s="18" t="str" cm="1">
        <f t="array" ref="E80">GetValue("Dmn",D80,"Name")</f>
        <v>Nvarchar(256)</v>
      </c>
      <c r="F80" s="18">
        <f t="shared" si="4"/>
        <v>30</v>
      </c>
      <c r="G80" s="18" t="str" cm="1">
        <f t="array" ref="G80">GetColumnName(C80,IF(B80=B79,G79,""))</f>
        <v>IsActive</v>
      </c>
      <c r="H80" s="18" t="s">
        <v>584</v>
      </c>
      <c r="I80" s="18" t="s">
        <v>585</v>
      </c>
      <c r="J80" s="18" t="s">
        <v>26</v>
      </c>
      <c r="K80" s="18" t="s">
        <v>26</v>
      </c>
      <c r="L80" s="18" t="s">
        <v>26</v>
      </c>
      <c r="M80" s="18" t="s">
        <v>26</v>
      </c>
      <c r="N80" s="18"/>
      <c r="O80" s="18"/>
      <c r="P80" s="18" t="s">
        <v>26</v>
      </c>
      <c r="Q80" s="18" t="b">
        <v>0</v>
      </c>
    </row>
    <row r="81" spans="1:17">
      <c r="A81" s="20">
        <f t="shared" si="2"/>
        <v>80</v>
      </c>
      <c r="B81" s="21">
        <v>13</v>
      </c>
      <c r="C81" s="20" t="str" cm="1">
        <f t="array" ref="C81">GetValue("Tbl",B81,"Alias")</f>
        <v>Sys</v>
      </c>
      <c r="D81" s="20">
        <v>1</v>
      </c>
      <c r="E81" s="20" t="str" cm="1">
        <f t="array" ref="E81">GetValue("Dmn",D81,"Name")</f>
        <v>BigInteger</v>
      </c>
      <c r="F81" s="20">
        <f t="shared" si="4"/>
        <v>5</v>
      </c>
      <c r="G81" s="20" t="str" cm="1">
        <f t="array" ref="G81">GetColumnName(C81,IF(B81=B80,G80,""))</f>
        <v>Id</v>
      </c>
      <c r="H81" s="20" t="s">
        <v>586</v>
      </c>
      <c r="I81" s="20" t="s">
        <v>0</v>
      </c>
      <c r="J81" s="20" t="b">
        <v>1</v>
      </c>
      <c r="K81" s="20" t="b">
        <v>1</v>
      </c>
      <c r="L81" s="20" t="b">
        <v>0</v>
      </c>
      <c r="M81" s="20" t="b">
        <v>0</v>
      </c>
      <c r="N81" s="20"/>
      <c r="O81" s="20"/>
      <c r="P81" s="20" t="b">
        <v>0</v>
      </c>
      <c r="Q81" s="20" t="b">
        <v>0</v>
      </c>
    </row>
    <row r="82" spans="1:17">
      <c r="A82" s="20">
        <f t="shared" si="2"/>
        <v>81</v>
      </c>
      <c r="B82" s="21">
        <v>13</v>
      </c>
      <c r="C82" s="20" t="str" cm="1">
        <f t="array" ref="C82">GetValue("Tbl",B82,"Alias")</f>
        <v>Sys</v>
      </c>
      <c r="D82" s="20">
        <v>1</v>
      </c>
      <c r="E82" s="20" t="str" cm="1">
        <f t="array" ref="E82">GetValue("Dmn",D82,"Name")</f>
        <v>BigInteger</v>
      </c>
      <c r="F82" s="20">
        <f t="shared" si="4"/>
        <v>10</v>
      </c>
      <c r="G82" s="20" t="str" cm="1">
        <f t="array" ref="G82">GetColumnName(C82,IF(B82=B81,G81,""))</f>
        <v>DatabaseId</v>
      </c>
      <c r="H82" s="20" t="s">
        <v>587</v>
      </c>
      <c r="I82" s="20" t="s">
        <v>113</v>
      </c>
      <c r="J82" s="20" t="s">
        <v>26</v>
      </c>
      <c r="K82" s="20" t="s">
        <v>26</v>
      </c>
      <c r="L82" s="20" t="s">
        <v>26</v>
      </c>
      <c r="M82" s="20" t="s">
        <v>26</v>
      </c>
      <c r="N82" s="20"/>
      <c r="O82" s="20"/>
      <c r="P82" s="20" t="s">
        <v>26</v>
      </c>
      <c r="Q82" s="20" t="b">
        <v>0</v>
      </c>
    </row>
    <row r="83" spans="1:17">
      <c r="A83" s="20">
        <f t="shared" si="2"/>
        <v>82</v>
      </c>
      <c r="B83" s="21">
        <v>13</v>
      </c>
      <c r="C83" s="20" t="str" cm="1">
        <f t="array" ref="C83">GetValue("Tbl",B83,"Alias")</f>
        <v>Sys</v>
      </c>
      <c r="D83" s="20">
        <v>9</v>
      </c>
      <c r="E83" s="20" t="str" cm="1">
        <f t="array" ref="E83">GetValue("Dmn",D83,"Name")</f>
        <v>Nvarchar(20)</v>
      </c>
      <c r="F83" s="20">
        <f t="shared" si="4"/>
        <v>15</v>
      </c>
      <c r="G83" s="20" t="str" cm="1">
        <f t="array" ref="G83">GetColumnName(C83,IF(B83=B82,G82,""))</f>
        <v>Prefix</v>
      </c>
      <c r="H83" s="20" t="s">
        <v>588</v>
      </c>
      <c r="I83" s="20" t="s">
        <v>589</v>
      </c>
      <c r="J83" s="20" t="s">
        <v>26</v>
      </c>
      <c r="K83" s="20" t="s">
        <v>26</v>
      </c>
      <c r="L83" s="20" t="s">
        <v>26</v>
      </c>
      <c r="M83" s="20" t="s">
        <v>26</v>
      </c>
      <c r="N83" s="20"/>
      <c r="O83" s="20"/>
      <c r="P83" s="20" t="s">
        <v>26</v>
      </c>
      <c r="Q83" s="20" t="b">
        <v>0</v>
      </c>
    </row>
    <row r="84" spans="1:17">
      <c r="A84" s="20">
        <f t="shared" ref="A84:A225" si="5">ROW(A84)-1</f>
        <v>83</v>
      </c>
      <c r="B84" s="21">
        <v>13</v>
      </c>
      <c r="C84" s="20" t="str" cm="1">
        <f t="array" ref="C84">GetValue("Tbl",B84,"Alias")</f>
        <v>Sys</v>
      </c>
      <c r="D84" s="20">
        <v>10</v>
      </c>
      <c r="E84" s="20" t="str" cm="1">
        <f t="array" ref="E84">GetValue("Dmn",D84,"Name")</f>
        <v>Nvarchar(25)</v>
      </c>
      <c r="F84" s="20">
        <f t="shared" si="4"/>
        <v>20</v>
      </c>
      <c r="G84" s="20" t="str" cm="1">
        <f t="array" ref="G84">GetColumnName(C84,IF(B84=B83,G83,""))</f>
        <v>Name</v>
      </c>
      <c r="H84" s="20" t="s">
        <v>590</v>
      </c>
      <c r="I84" s="20" t="s">
        <v>97</v>
      </c>
      <c r="J84" s="20" t="s">
        <v>26</v>
      </c>
      <c r="K84" s="20" t="s">
        <v>26</v>
      </c>
      <c r="L84" s="20" t="s">
        <v>26</v>
      </c>
      <c r="M84" s="20" t="s">
        <v>26</v>
      </c>
      <c r="N84" s="20"/>
      <c r="O84" s="20"/>
      <c r="P84" s="20" t="s">
        <v>26</v>
      </c>
      <c r="Q84" s="20" t="b">
        <v>0</v>
      </c>
    </row>
    <row r="85" spans="1:17">
      <c r="A85" s="20">
        <f t="shared" si="5"/>
        <v>84</v>
      </c>
      <c r="B85" s="21">
        <v>13</v>
      </c>
      <c r="C85" s="20" t="str" cm="1">
        <f t="array" ref="C85">GetValue("Tbl",B85,"Alias")</f>
        <v>Sys</v>
      </c>
      <c r="D85" s="20">
        <v>11</v>
      </c>
      <c r="E85" s="20" t="str" cm="1">
        <f t="array" ref="E85">GetValue("Dmn",D85,"Name")</f>
        <v>Nvarchar(50)</v>
      </c>
      <c r="F85" s="20">
        <f t="shared" si="4"/>
        <v>25</v>
      </c>
      <c r="G85" s="20" t="str" cm="1">
        <f t="array" ref="G85">GetColumnName(C85,IF(B85=B84,G84,""))</f>
        <v>Description</v>
      </c>
      <c r="H85" s="20" t="s">
        <v>591</v>
      </c>
      <c r="I85" s="20" t="s">
        <v>109</v>
      </c>
      <c r="J85" s="20" t="s">
        <v>26</v>
      </c>
      <c r="K85" s="20" t="s">
        <v>26</v>
      </c>
      <c r="L85" s="20" t="s">
        <v>26</v>
      </c>
      <c r="M85" s="20" t="s">
        <v>26</v>
      </c>
      <c r="N85" s="20"/>
      <c r="O85" s="20"/>
      <c r="P85" s="20" t="s">
        <v>26</v>
      </c>
      <c r="Q85" s="20" t="b">
        <v>0</v>
      </c>
    </row>
    <row r="86" spans="1:17">
      <c r="A86" s="20">
        <f t="shared" si="5"/>
        <v>85</v>
      </c>
      <c r="B86" s="21">
        <v>13</v>
      </c>
      <c r="C86" s="20" t="str" cm="1">
        <f t="array" ref="C86">GetValue("Tbl",B86,"Alias")</f>
        <v>Sys</v>
      </c>
      <c r="D86" s="20">
        <v>5</v>
      </c>
      <c r="E86" s="20" t="str" cm="1">
        <f t="array" ref="E86">GetValue("Dmn",D86,"Name")</f>
        <v>TinyInteger</v>
      </c>
      <c r="F86" s="20">
        <f t="shared" si="4"/>
        <v>30</v>
      </c>
      <c r="G86" s="20" t="str" cm="1">
        <f t="array" ref="G86">GetColumnName(C86,IF(B86=B85,G85,""))</f>
        <v>MaxRetryLogins</v>
      </c>
      <c r="H86" s="20" t="s">
        <v>592</v>
      </c>
      <c r="I86" s="20" t="s">
        <v>593</v>
      </c>
      <c r="J86" s="20" t="s">
        <v>26</v>
      </c>
      <c r="K86" s="20" t="s">
        <v>26</v>
      </c>
      <c r="L86" s="20" t="s">
        <v>26</v>
      </c>
      <c r="M86" s="20" t="s">
        <v>26</v>
      </c>
      <c r="N86" s="20"/>
      <c r="O86" s="20"/>
      <c r="P86" s="20" t="s">
        <v>26</v>
      </c>
      <c r="Q86" s="20" t="b">
        <v>0</v>
      </c>
    </row>
    <row r="87" spans="1:17">
      <c r="A87" s="20">
        <f t="shared" si="5"/>
        <v>86</v>
      </c>
      <c r="B87" s="21">
        <v>13</v>
      </c>
      <c r="C87" s="20" t="str" cm="1">
        <f t="array" ref="C87">GetValue("Tbl",B87,"Alias")</f>
        <v>Sys</v>
      </c>
      <c r="D87" s="20">
        <v>6</v>
      </c>
      <c r="E87" s="20" t="str" cm="1">
        <f t="array" ref="E87">GetValue("Dmn",D87,"Name")</f>
        <v>Boolean</v>
      </c>
      <c r="F87" s="20">
        <f t="shared" si="4"/>
        <v>35</v>
      </c>
      <c r="G87" s="20" t="str" cm="1">
        <f t="array" ref="G87">GetColumnName(C87,IF(B87=B86,G86,""))</f>
        <v>IsActive</v>
      </c>
      <c r="H87" s="20" t="s">
        <v>594</v>
      </c>
      <c r="I87" s="20" t="s">
        <v>112</v>
      </c>
      <c r="J87" s="20" t="s">
        <v>26</v>
      </c>
      <c r="K87" s="20" t="s">
        <v>26</v>
      </c>
      <c r="L87" s="20" t="s">
        <v>26</v>
      </c>
      <c r="M87" s="20" t="s">
        <v>26</v>
      </c>
      <c r="N87" s="20"/>
      <c r="O87" s="20"/>
      <c r="P87" s="20" t="s">
        <v>26</v>
      </c>
      <c r="Q87" s="20" t="b">
        <v>0</v>
      </c>
    </row>
    <row r="88" spans="1:17">
      <c r="A88" s="18">
        <f t="shared" si="5"/>
        <v>87</v>
      </c>
      <c r="B88" s="19">
        <v>14</v>
      </c>
      <c r="C88" s="18" t="str" cm="1">
        <f t="array" ref="C88">GetValue("Tbl",B88,"Alias")</f>
        <v>Mnu</v>
      </c>
      <c r="D88" s="18">
        <v>1</v>
      </c>
      <c r="E88" s="18" t="str" cm="1">
        <f t="array" ref="E88">GetValue("Dmn",D88,"Name")</f>
        <v>BigInteger</v>
      </c>
      <c r="F88" s="18">
        <f t="shared" si="4"/>
        <v>5</v>
      </c>
      <c r="G88" s="18" t="str" cm="1">
        <f t="array" ref="G88">GetColumnName(C88,IF(B88=B87,G87,""))</f>
        <v>Id</v>
      </c>
      <c r="H88" s="18" t="s">
        <v>597</v>
      </c>
      <c r="I88" s="18" t="s">
        <v>0</v>
      </c>
      <c r="J88" s="18" t="b">
        <v>1</v>
      </c>
      <c r="K88" s="18" t="b">
        <v>1</v>
      </c>
      <c r="L88" s="18" t="b">
        <v>0</v>
      </c>
      <c r="M88" s="18" t="b">
        <v>0</v>
      </c>
      <c r="N88" s="18"/>
      <c r="O88" s="18"/>
      <c r="P88" s="18" t="b">
        <v>0</v>
      </c>
      <c r="Q88" s="18" t="b">
        <v>0</v>
      </c>
    </row>
    <row r="89" spans="1:17">
      <c r="A89" s="18">
        <f t="shared" si="5"/>
        <v>88</v>
      </c>
      <c r="B89" s="19">
        <v>14</v>
      </c>
      <c r="C89" s="18" t="str" cm="1">
        <f t="array" ref="C89">GetValue("Tbl",B89,"Alias")</f>
        <v>Mnu</v>
      </c>
      <c r="D89" s="18">
        <v>1</v>
      </c>
      <c r="E89" s="18" t="str" cm="1">
        <f t="array" ref="E89">GetValue("Dmn",D89,"Name")</f>
        <v>BigInteger</v>
      </c>
      <c r="F89" s="18">
        <f t="shared" si="4"/>
        <v>10</v>
      </c>
      <c r="G89" s="18" t="str" cm="1">
        <f t="array" ref="G89">GetColumnName(C89,IF(B89=B88,G88,""))</f>
        <v>SystemId</v>
      </c>
      <c r="H89" s="18" t="s">
        <v>586</v>
      </c>
      <c r="I89" s="18" t="s">
        <v>110</v>
      </c>
      <c r="J89" s="18" t="s">
        <v>26</v>
      </c>
      <c r="K89" s="18" t="s">
        <v>26</v>
      </c>
      <c r="L89" s="18" t="s">
        <v>26</v>
      </c>
      <c r="M89" s="18" t="s">
        <v>26</v>
      </c>
      <c r="N89" s="18"/>
      <c r="O89" s="18"/>
      <c r="P89" s="18" t="s">
        <v>26</v>
      </c>
      <c r="Q89" s="18" t="b">
        <v>0</v>
      </c>
    </row>
    <row r="90" spans="1:17">
      <c r="A90" s="18">
        <f>ROW(A90)-1</f>
        <v>89</v>
      </c>
      <c r="B90" s="19">
        <v>14</v>
      </c>
      <c r="C90" s="18" t="str" cm="1">
        <f t="array" ref="C90">GetValue("Tbl",B90,"Alias")</f>
        <v>Mnu</v>
      </c>
      <c r="D90" s="18">
        <v>1</v>
      </c>
      <c r="E90" s="18" t="str" cm="1">
        <f t="array" ref="E90">GetValue("Dmn",D90,"Name")</f>
        <v>BigInteger</v>
      </c>
      <c r="F90" s="18">
        <f t="shared" si="4"/>
        <v>15</v>
      </c>
      <c r="G90" s="18" t="str" cm="1">
        <f t="array" ref="G90">GetColumnName(C90,IF(B90=B89,G89,""))</f>
        <v>Sequence</v>
      </c>
      <c r="H90" s="18" t="s">
        <v>603</v>
      </c>
      <c r="I90" s="18" t="s">
        <v>604</v>
      </c>
      <c r="J90" s="18" t="s">
        <v>26</v>
      </c>
      <c r="K90" s="18" t="s">
        <v>26</v>
      </c>
      <c r="L90" s="18" t="s">
        <v>26</v>
      </c>
      <c r="M90" s="18" t="s">
        <v>26</v>
      </c>
      <c r="N90" s="18"/>
      <c r="O90" s="18"/>
      <c r="P90" s="18" t="s">
        <v>26</v>
      </c>
      <c r="Q90" s="18" t="b">
        <v>0</v>
      </c>
    </row>
    <row r="91" spans="1:17">
      <c r="A91" s="18">
        <f t="shared" si="5"/>
        <v>90</v>
      </c>
      <c r="B91" s="19">
        <v>14</v>
      </c>
      <c r="C91" s="18" t="str" cm="1">
        <f t="array" ref="C91">GetValue("Tbl",B91,"Alias")</f>
        <v>Mnu</v>
      </c>
      <c r="D91" s="18">
        <v>4</v>
      </c>
      <c r="E91" s="18" t="str" cm="1">
        <f t="array" ref="E91">GetValue("Dmn",D91,"Name")</f>
        <v>SmallInteger</v>
      </c>
      <c r="F91" s="18">
        <f t="shared" si="4"/>
        <v>20</v>
      </c>
      <c r="G91" s="18" t="str" cm="1">
        <f t="array" ref="G91">GetColumnName(C91,IF(B91=B90,G90,""))</f>
        <v>Caption</v>
      </c>
      <c r="H91" s="18" t="s">
        <v>598</v>
      </c>
      <c r="I91" s="18" t="s">
        <v>111</v>
      </c>
      <c r="J91" s="18" t="s">
        <v>26</v>
      </c>
      <c r="K91" s="18" t="s">
        <v>26</v>
      </c>
      <c r="L91" s="18" t="s">
        <v>26</v>
      </c>
      <c r="M91" s="18" t="s">
        <v>26</v>
      </c>
      <c r="N91" s="18"/>
      <c r="O91" s="18"/>
      <c r="P91" s="18" t="s">
        <v>26</v>
      </c>
      <c r="Q91" s="18" t="b">
        <v>0</v>
      </c>
    </row>
    <row r="92" spans="1:17">
      <c r="A92" s="18">
        <f t="shared" si="5"/>
        <v>91</v>
      </c>
      <c r="B92" s="19">
        <v>14</v>
      </c>
      <c r="C92" s="18" t="str" cm="1">
        <f t="array" ref="C92">GetValue("Tbl",B92,"Alias")</f>
        <v>Mnu</v>
      </c>
      <c r="D92" s="18">
        <v>11</v>
      </c>
      <c r="E92" s="18" t="str" cm="1">
        <f t="array" ref="E92">GetValue("Dmn",D92,"Name")</f>
        <v>Nvarchar(50)</v>
      </c>
      <c r="F92" s="18">
        <f t="shared" si="4"/>
        <v>25</v>
      </c>
      <c r="G92" s="18" t="str" cm="1">
        <f t="array" ref="G92">GetColumnName(C92,IF(B92=B91,G91,""))</f>
        <v>Message</v>
      </c>
      <c r="H92" s="18" t="s">
        <v>599</v>
      </c>
      <c r="I92" s="18" t="s">
        <v>600</v>
      </c>
      <c r="J92" s="18" t="s">
        <v>26</v>
      </c>
      <c r="K92" s="18" t="s">
        <v>26</v>
      </c>
      <c r="L92" s="18" t="s">
        <v>26</v>
      </c>
      <c r="M92" s="18" t="s">
        <v>26</v>
      </c>
      <c r="N92" s="18"/>
      <c r="O92" s="18"/>
      <c r="P92" s="18" t="s">
        <v>26</v>
      </c>
      <c r="Q92" s="18" t="b">
        <v>0</v>
      </c>
    </row>
    <row r="93" spans="1:17">
      <c r="A93" s="18">
        <f t="shared" si="5"/>
        <v>92</v>
      </c>
      <c r="B93" s="19">
        <v>14</v>
      </c>
      <c r="C93" s="18" t="str" cm="1">
        <f t="array" ref="C93">GetValue("Tbl",B93,"Alias")</f>
        <v>Mnu</v>
      </c>
      <c r="D93" s="18">
        <v>1</v>
      </c>
      <c r="E93" s="18" t="str" cm="1">
        <f t="array" ref="E93">GetValue("Dmn",D93,"Name")</f>
        <v>BigInteger</v>
      </c>
      <c r="F93" s="18">
        <f t="shared" si="4"/>
        <v>30</v>
      </c>
      <c r="G93" s="18" t="str" cm="1">
        <f t="array" ref="G93">GetColumnName(C93,IF(B93=B92,G92,""))</f>
        <v>ParentMenuId</v>
      </c>
      <c r="H93" s="18" t="s">
        <v>601</v>
      </c>
      <c r="I93" s="18" t="s">
        <v>602</v>
      </c>
      <c r="J93" s="18" t="s">
        <v>26</v>
      </c>
      <c r="K93" s="18" t="s">
        <v>26</v>
      </c>
      <c r="L93" s="18" t="s">
        <v>26</v>
      </c>
      <c r="M93" s="18" t="s">
        <v>26</v>
      </c>
      <c r="N93" s="18"/>
      <c r="O93" s="18"/>
      <c r="P93" s="18" t="s">
        <v>26</v>
      </c>
      <c r="Q93" s="18" t="b">
        <v>0</v>
      </c>
    </row>
    <row r="94" spans="1:17">
      <c r="A94" s="18">
        <f t="shared" si="5"/>
        <v>93</v>
      </c>
      <c r="B94" s="19">
        <v>14</v>
      </c>
      <c r="C94" s="18" t="str" cm="1">
        <f t="array" ref="C94">GetValue("Tbl",B94,"Alias")</f>
        <v>Mnu</v>
      </c>
      <c r="D94" s="18">
        <v>6</v>
      </c>
      <c r="E94" s="18" t="str" cm="1">
        <f t="array" ref="E94">GetValue("Dmn",D94,"Name")</f>
        <v>Boolean</v>
      </c>
      <c r="F94" s="18">
        <f t="shared" si="4"/>
        <v>35</v>
      </c>
      <c r="G94" s="18" t="str" cm="1">
        <f t="array" ref="G94">GetColumnName(C94,IF(B94=B93,G93,""))</f>
        <v>IsActive</v>
      </c>
      <c r="H94" s="18" t="s">
        <v>605</v>
      </c>
      <c r="I94" s="18" t="s">
        <v>112</v>
      </c>
      <c r="J94" s="18" t="s">
        <v>26</v>
      </c>
      <c r="K94" s="18" t="s">
        <v>26</v>
      </c>
      <c r="L94" s="18" t="s">
        <v>26</v>
      </c>
      <c r="M94" s="18" t="s">
        <v>26</v>
      </c>
      <c r="N94" s="18"/>
      <c r="O94" s="18"/>
      <c r="P94" s="18" t="s">
        <v>26</v>
      </c>
      <c r="Q94" s="18" t="b">
        <v>0</v>
      </c>
    </row>
    <row r="95" spans="1:17">
      <c r="A95" s="20">
        <f t="shared" ref="A95:A104" si="6">ROW(A95)-1</f>
        <v>94</v>
      </c>
      <c r="B95" s="21">
        <v>15</v>
      </c>
      <c r="C95" s="20" t="str" cm="1">
        <f t="array" ref="C95">GetValue("Tbl",B95,"Alias")</f>
        <v>Tbl</v>
      </c>
      <c r="D95" s="20">
        <v>1</v>
      </c>
      <c r="E95" s="20" t="str" cm="1">
        <f t="array" ref="E95">GetValue("Dmn",D95,"Name")</f>
        <v>BigInteger</v>
      </c>
      <c r="F95" s="20">
        <f t="shared" si="4"/>
        <v>5</v>
      </c>
      <c r="G95" s="20" t="str" cm="1">
        <f t="array" ref="G95">GetColumnName(C95,IF(B95=B94,G94,""))</f>
        <v>Id</v>
      </c>
      <c r="H95" s="20" t="s">
        <v>595</v>
      </c>
      <c r="I95" s="20" t="s">
        <v>0</v>
      </c>
      <c r="J95" s="20" t="b">
        <v>1</v>
      </c>
      <c r="K95" s="20" t="b">
        <v>1</v>
      </c>
      <c r="L95" s="20" t="b">
        <v>0</v>
      </c>
      <c r="M95" s="20" t="b">
        <v>0</v>
      </c>
      <c r="N95" s="20"/>
      <c r="O95" s="20"/>
      <c r="P95" s="20" t="b">
        <v>0</v>
      </c>
      <c r="Q95" s="20" t="b">
        <v>0</v>
      </c>
    </row>
    <row r="96" spans="1:17">
      <c r="A96" s="20">
        <f t="shared" si="6"/>
        <v>95</v>
      </c>
      <c r="B96" s="21">
        <v>15</v>
      </c>
      <c r="C96" s="20" t="str" cm="1">
        <f t="array" ref="C96">GetValue("Tbl",B96,"Alias")</f>
        <v>Tbl</v>
      </c>
      <c r="D96" s="20">
        <v>1</v>
      </c>
      <c r="E96" s="20" t="str" cm="1">
        <f t="array" ref="E96">GetValue("Dmn",D96,"Name")</f>
        <v>BigInteger</v>
      </c>
      <c r="F96" s="20">
        <f t="shared" si="4"/>
        <v>10</v>
      </c>
      <c r="G96" s="20" t="str" cm="1">
        <f t="array" ref="G96">GetColumnName(C96,IF(B96=B95,G95,""))</f>
        <v>DatabaseId</v>
      </c>
      <c r="H96" s="20" t="s">
        <v>573</v>
      </c>
      <c r="I96" s="20" t="s">
        <v>113</v>
      </c>
      <c r="J96" s="20" t="s">
        <v>26</v>
      </c>
      <c r="K96" s="20" t="s">
        <v>26</v>
      </c>
      <c r="L96" s="20" t="s">
        <v>26</v>
      </c>
      <c r="M96" s="20" t="s">
        <v>26</v>
      </c>
      <c r="N96" s="20"/>
      <c r="O96" s="20"/>
      <c r="P96" s="20" t="s">
        <v>26</v>
      </c>
      <c r="Q96" s="20" t="b">
        <v>0</v>
      </c>
    </row>
    <row r="97" spans="1:17">
      <c r="A97" s="20">
        <f t="shared" si="6"/>
        <v>96</v>
      </c>
      <c r="B97" s="21">
        <v>15</v>
      </c>
      <c r="C97" s="20" t="str" cm="1">
        <f t="array" ref="C97">GetValue("Tbl",B97,"Alias")</f>
        <v>Tbl</v>
      </c>
      <c r="D97" s="20">
        <v>1</v>
      </c>
      <c r="E97" s="20" t="str" cm="1">
        <f t="array" ref="E97">GetValue("Dmn",D97,"Name")</f>
        <v>BigInteger</v>
      </c>
      <c r="F97" s="20">
        <f t="shared" ref="F97" si="7">IF(G97="Id",5,F96+5)</f>
        <v>15</v>
      </c>
      <c r="G97" s="20" t="str" cm="1">
        <f t="array" ref="G97">GetColumnName(C97,IF(B97=B96,G96,""))</f>
        <v>Name</v>
      </c>
      <c r="H97" s="20" t="s">
        <v>114</v>
      </c>
      <c r="I97" s="20" t="s">
        <v>926</v>
      </c>
      <c r="J97" s="20" t="s">
        <v>26</v>
      </c>
      <c r="K97" s="20" t="s">
        <v>26</v>
      </c>
      <c r="L97" s="20" t="s">
        <v>26</v>
      </c>
      <c r="M97" s="20" t="s">
        <v>26</v>
      </c>
      <c r="N97" s="20"/>
      <c r="O97" s="20"/>
      <c r="P97" s="20" t="s">
        <v>26</v>
      </c>
      <c r="Q97" s="20" t="b">
        <v>0</v>
      </c>
    </row>
    <row r="98" spans="1:17">
      <c r="A98" s="20">
        <f t="shared" si="6"/>
        <v>97</v>
      </c>
      <c r="B98" s="21">
        <v>15</v>
      </c>
      <c r="C98" s="20" t="str" cm="1">
        <f t="array" ref="C98">GetValue("Tbl",B98,"Alias")</f>
        <v>Tbl</v>
      </c>
      <c r="D98" s="20">
        <v>10</v>
      </c>
      <c r="E98" s="20" t="str" cm="1">
        <f t="array" ref="E98">GetValue("Dmn",D98,"Name")</f>
        <v>Nvarchar(25)</v>
      </c>
      <c r="F98" s="20">
        <f>IF(G98="Id",5,F96+5)</f>
        <v>15</v>
      </c>
      <c r="G98" s="20" t="str" cm="1">
        <f t="array" ref="G98">GetColumnName(C98,IF(B98=B97,G97,""))</f>
        <v>Alias</v>
      </c>
      <c r="H98" s="20" t="s">
        <v>115</v>
      </c>
      <c r="I98" s="20" t="s">
        <v>97</v>
      </c>
      <c r="J98" s="20" t="s">
        <v>26</v>
      </c>
      <c r="K98" s="20" t="s">
        <v>26</v>
      </c>
      <c r="L98" s="20" t="s">
        <v>26</v>
      </c>
      <c r="M98" s="20" t="s">
        <v>26</v>
      </c>
      <c r="N98" s="20"/>
      <c r="O98" s="20"/>
      <c r="P98" s="20" t="s">
        <v>26</v>
      </c>
      <c r="Q98" s="20" t="b">
        <v>0</v>
      </c>
    </row>
    <row r="99" spans="1:17">
      <c r="A99" s="20">
        <f t="shared" si="6"/>
        <v>98</v>
      </c>
      <c r="B99" s="21">
        <v>15</v>
      </c>
      <c r="C99" s="20" t="str" cm="1">
        <f t="array" ref="C99">GetValue("Tbl",B99,"Alias")</f>
        <v>Tbl</v>
      </c>
      <c r="D99" s="20">
        <v>9</v>
      </c>
      <c r="E99" s="20" t="str" cm="1">
        <f t="array" ref="E99">GetValue("Dmn",D99,"Name")</f>
        <v>Nvarchar(20)</v>
      </c>
      <c r="F99" s="20">
        <f t="shared" si="4"/>
        <v>20</v>
      </c>
      <c r="G99" s="20" t="str" cm="1">
        <f t="array" ref="G99">GetColumnName(C99,IF(B99=B98,G98,""))</f>
        <v>Description</v>
      </c>
      <c r="H99" s="20" t="s">
        <v>116</v>
      </c>
      <c r="I99" s="20" t="s">
        <v>83</v>
      </c>
      <c r="J99" s="20" t="s">
        <v>26</v>
      </c>
      <c r="K99" s="20" t="s">
        <v>26</v>
      </c>
      <c r="L99" s="20" t="s">
        <v>26</v>
      </c>
      <c r="M99" s="20" t="s">
        <v>26</v>
      </c>
      <c r="N99" s="20"/>
      <c r="O99" s="20"/>
      <c r="P99" s="20" t="s">
        <v>26</v>
      </c>
      <c r="Q99" s="20" t="b">
        <v>0</v>
      </c>
    </row>
    <row r="100" spans="1:17">
      <c r="A100" s="20">
        <f t="shared" si="6"/>
        <v>99</v>
      </c>
      <c r="B100" s="21">
        <v>15</v>
      </c>
      <c r="C100" s="20" t="str" cm="1">
        <f t="array" ref="C100">GetValue("Tbl",B100,"Alias")</f>
        <v>Tbl</v>
      </c>
      <c r="D100" s="20">
        <v>11</v>
      </c>
      <c r="E100" s="20" t="str" cm="1">
        <f t="array" ref="E100">GetValue("Dmn",D100,"Name")</f>
        <v>Nvarchar(50)</v>
      </c>
      <c r="F100" s="20">
        <f t="shared" si="4"/>
        <v>25</v>
      </c>
      <c r="G100" s="20" t="str" cm="1">
        <f t="array" ref="G100">GetColumnName(C100,IF(B100=B99,G99,""))</f>
        <v>CurrentId</v>
      </c>
      <c r="H100" s="20" t="s">
        <v>792</v>
      </c>
      <c r="I100" s="20" t="s">
        <v>109</v>
      </c>
      <c r="J100" s="20" t="s">
        <v>26</v>
      </c>
      <c r="K100" s="20" t="s">
        <v>26</v>
      </c>
      <c r="L100" s="20" t="s">
        <v>26</v>
      </c>
      <c r="M100" s="20" t="s">
        <v>26</v>
      </c>
      <c r="N100" s="20"/>
      <c r="O100" s="20"/>
      <c r="P100" s="20" t="s">
        <v>26</v>
      </c>
      <c r="Q100" s="20" t="b">
        <v>0</v>
      </c>
    </row>
    <row r="101" spans="1:17">
      <c r="A101" s="20">
        <f t="shared" si="6"/>
        <v>100</v>
      </c>
      <c r="B101" s="21">
        <v>15</v>
      </c>
      <c r="C101" s="20" t="str" cm="1">
        <f t="array" ref="C101">GetValue("Tbl",B101,"Alias")</f>
        <v>Tbl</v>
      </c>
      <c r="D101" s="20">
        <v>1</v>
      </c>
      <c r="E101" s="20" t="str" cm="1">
        <f t="array" ref="E101">GetValue("Dmn",D101,"Name")</f>
        <v>BigInteger</v>
      </c>
      <c r="F101" s="20">
        <f>IF(G101="Id",5,F100+5)</f>
        <v>30</v>
      </c>
      <c r="G101" s="20" t="str" cm="1">
        <f t="array" ref="G101">GetColumnName(C101,IF(B101=B100,G100,""))</f>
        <v>MenuId</v>
      </c>
      <c r="H101" s="20" t="s">
        <v>785</v>
      </c>
      <c r="I101" s="20" t="s">
        <v>791</v>
      </c>
      <c r="J101" s="20" t="s">
        <v>26</v>
      </c>
      <c r="K101" s="20" t="s">
        <v>26</v>
      </c>
      <c r="L101" s="20" t="s">
        <v>26</v>
      </c>
      <c r="M101" s="20" t="s">
        <v>26</v>
      </c>
      <c r="N101" s="20"/>
      <c r="O101" s="20"/>
      <c r="P101" s="20" t="s">
        <v>26</v>
      </c>
      <c r="Q101" s="20" t="b">
        <v>0</v>
      </c>
    </row>
    <row r="102" spans="1:17">
      <c r="A102" s="20">
        <f t="shared" si="6"/>
        <v>101</v>
      </c>
      <c r="B102" s="21">
        <v>15</v>
      </c>
      <c r="C102" s="20" t="str" cm="1">
        <f t="array" ref="C102">GetValue("Tbl",B102,"Alias")</f>
        <v>Tbl</v>
      </c>
      <c r="D102" s="20">
        <v>1</v>
      </c>
      <c r="E102" s="20" t="str" cm="1">
        <f t="array" ref="E102">GetValue("Dmn",D102,"Name")</f>
        <v>BigInteger</v>
      </c>
      <c r="F102" s="20">
        <f t="shared" ref="F102:F104" si="8">IF(G102="Id",5,F101+5)</f>
        <v>35</v>
      </c>
      <c r="G102" s="20" t="str" cm="1">
        <f t="array" ref="G102">GetColumnName(C102,IF(B102=B101,G101,""))</f>
        <v>MenuSequence</v>
      </c>
      <c r="H102" s="20" t="s">
        <v>786</v>
      </c>
      <c r="I102" s="20" t="s">
        <v>789</v>
      </c>
      <c r="J102" s="20" t="s">
        <v>26</v>
      </c>
      <c r="K102" s="20" t="s">
        <v>26</v>
      </c>
      <c r="L102" s="20" t="s">
        <v>26</v>
      </c>
      <c r="M102" s="20" t="s">
        <v>26</v>
      </c>
      <c r="N102" s="20"/>
      <c r="O102" s="20"/>
      <c r="P102" s="20" t="s">
        <v>26</v>
      </c>
      <c r="Q102" s="20" t="b">
        <v>0</v>
      </c>
    </row>
    <row r="103" spans="1:17">
      <c r="A103" s="20">
        <f t="shared" si="6"/>
        <v>102</v>
      </c>
      <c r="B103" s="21">
        <v>15</v>
      </c>
      <c r="C103" s="20" t="str" cm="1">
        <f t="array" ref="C103">GetValue("Tbl",B103,"Alias")</f>
        <v>Tbl</v>
      </c>
      <c r="D103" s="20">
        <v>2</v>
      </c>
      <c r="E103" s="20" t="str" cm="1">
        <f t="array" ref="E103">GetValue("Dmn",D103,"Name")</f>
        <v>Integer</v>
      </c>
      <c r="F103" s="20">
        <f t="shared" si="8"/>
        <v>40</v>
      </c>
      <c r="G103" s="20" t="str" cm="1">
        <f t="array" ref="G103">GetColumnName(C103,IF(B103=B102,G102,""))</f>
        <v>MenuCaption</v>
      </c>
      <c r="H103" s="20" t="s">
        <v>787</v>
      </c>
      <c r="I103" s="20" t="s">
        <v>111</v>
      </c>
      <c r="J103" s="20" t="s">
        <v>26</v>
      </c>
      <c r="K103" s="20" t="s">
        <v>26</v>
      </c>
      <c r="L103" s="20" t="s">
        <v>26</v>
      </c>
      <c r="M103" s="20" t="s">
        <v>26</v>
      </c>
      <c r="N103" s="20"/>
      <c r="O103" s="20"/>
      <c r="P103" s="20" t="s">
        <v>26</v>
      </c>
      <c r="Q103" s="20" t="b">
        <v>0</v>
      </c>
    </row>
    <row r="104" spans="1:17">
      <c r="A104" s="20">
        <f t="shared" si="6"/>
        <v>103</v>
      </c>
      <c r="B104" s="21">
        <v>15</v>
      </c>
      <c r="C104" s="20" t="str" cm="1">
        <f t="array" ref="C104">GetValue("Tbl",B104,"Alias")</f>
        <v>Tbl</v>
      </c>
      <c r="D104" s="20">
        <v>9</v>
      </c>
      <c r="E104" s="20" t="str" cm="1">
        <f t="array" ref="E104">GetValue("Dmn",D104,"Name")</f>
        <v>Nvarchar(20)</v>
      </c>
      <c r="F104" s="20">
        <f t="shared" si="8"/>
        <v>45</v>
      </c>
      <c r="G104" s="20" t="str" cm="1">
        <f t="array" ref="G104">GetColumnName(C104,IF(B104=B103,G103,""))</f>
        <v>MenuMessage</v>
      </c>
      <c r="H104" s="20" t="s">
        <v>788</v>
      </c>
      <c r="I104" s="20" t="s">
        <v>790</v>
      </c>
      <c r="J104" s="20" t="s">
        <v>26</v>
      </c>
      <c r="K104" s="20" t="s">
        <v>26</v>
      </c>
      <c r="L104" s="20" t="s">
        <v>26</v>
      </c>
      <c r="M104" s="20" t="s">
        <v>26</v>
      </c>
      <c r="N104" s="20"/>
      <c r="O104" s="20"/>
      <c r="P104" s="20" t="s">
        <v>26</v>
      </c>
      <c r="Q104" s="20" t="b">
        <v>0</v>
      </c>
    </row>
    <row r="105" spans="1:17">
      <c r="A105" s="18">
        <f t="shared" si="5"/>
        <v>104</v>
      </c>
      <c r="B105" s="19">
        <v>16</v>
      </c>
      <c r="C105" s="18" t="str" cm="1">
        <f t="array" ref="C105">GetValue("Tbl",B105,"Alias")</f>
        <v>Col</v>
      </c>
      <c r="D105" s="18">
        <v>1</v>
      </c>
      <c r="E105" s="18" t="str" cm="1">
        <f t="array" ref="E105">GetValue("Dmn",D105,"Name")</f>
        <v>BigInteger</v>
      </c>
      <c r="F105" s="18">
        <f>IF(G105="Id",5,F101+5)</f>
        <v>5</v>
      </c>
      <c r="G105" s="18" t="str" cm="1">
        <f t="array" ref="G105">GetColumnName(C105,IF(B105=B101,G101,""))</f>
        <v>Id</v>
      </c>
      <c r="H105" s="18" t="s">
        <v>606</v>
      </c>
      <c r="I105" s="18" t="s">
        <v>0</v>
      </c>
      <c r="J105" s="18" t="b">
        <v>1</v>
      </c>
      <c r="K105" s="18" t="b">
        <v>1</v>
      </c>
      <c r="L105" s="18" t="b">
        <v>0</v>
      </c>
      <c r="M105" s="18" t="b">
        <v>0</v>
      </c>
      <c r="N105" s="18"/>
      <c r="O105" s="18"/>
      <c r="P105" s="18" t="b">
        <v>0</v>
      </c>
      <c r="Q105" s="18" t="b">
        <v>0</v>
      </c>
    </row>
    <row r="106" spans="1:17">
      <c r="A106" s="18">
        <f t="shared" si="5"/>
        <v>105</v>
      </c>
      <c r="B106" s="19">
        <v>16</v>
      </c>
      <c r="C106" s="18" t="str" cm="1">
        <f t="array" ref="C106">GetValue("Tbl",B106,"Alias")</f>
        <v>Col</v>
      </c>
      <c r="D106" s="18">
        <v>1</v>
      </c>
      <c r="E106" s="18" t="str" cm="1">
        <f t="array" ref="E106">GetValue("Dmn",D106,"Name")</f>
        <v>BigInteger</v>
      </c>
      <c r="F106" s="18">
        <f t="shared" si="4"/>
        <v>10</v>
      </c>
      <c r="G106" s="18" t="str" cm="1">
        <f t="array" ref="G106">GetColumnName(C106,IF(B106=B105,G105,""))</f>
        <v>TableId</v>
      </c>
      <c r="H106" s="18" t="s">
        <v>595</v>
      </c>
      <c r="I106" s="18" t="s">
        <v>117</v>
      </c>
      <c r="J106" s="18" t="s">
        <v>26</v>
      </c>
      <c r="K106" s="18" t="s">
        <v>26</v>
      </c>
      <c r="L106" s="18" t="s">
        <v>26</v>
      </c>
      <c r="M106" s="18" t="s">
        <v>26</v>
      </c>
      <c r="N106" s="18"/>
      <c r="O106" s="18"/>
      <c r="P106" s="18" t="s">
        <v>26</v>
      </c>
      <c r="Q106" s="18" t="b">
        <v>0</v>
      </c>
    </row>
    <row r="107" spans="1:17">
      <c r="A107" s="18">
        <f t="shared" si="5"/>
        <v>106</v>
      </c>
      <c r="B107" s="19">
        <v>16</v>
      </c>
      <c r="C107" s="18" t="str" cm="1">
        <f t="array" ref="C107">GetValue("Tbl",B107,"Alias")</f>
        <v>Col</v>
      </c>
      <c r="D107" s="18">
        <v>1</v>
      </c>
      <c r="E107" s="18" t="str" cm="1">
        <f t="array" ref="E107">GetValue("Dmn",D107,"Name")</f>
        <v>BigInteger</v>
      </c>
      <c r="F107" s="18">
        <f t="shared" si="4"/>
        <v>15</v>
      </c>
      <c r="G107" s="18" t="str" cm="1">
        <f t="array" ref="G107">GetColumnName(C107,IF(B107=B106,G106,""))</f>
        <v>DomainId</v>
      </c>
      <c r="H107" s="18" t="s">
        <v>607</v>
      </c>
      <c r="I107" s="18" t="s">
        <v>118</v>
      </c>
      <c r="J107" s="18" t="s">
        <v>26</v>
      </c>
      <c r="K107" s="18" t="s">
        <v>26</v>
      </c>
      <c r="L107" s="18" t="s">
        <v>26</v>
      </c>
      <c r="M107" s="18" t="s">
        <v>26</v>
      </c>
      <c r="N107" s="18"/>
      <c r="O107" s="18"/>
      <c r="P107" s="18" t="s">
        <v>26</v>
      </c>
      <c r="Q107" s="18" t="b">
        <v>0</v>
      </c>
    </row>
    <row r="108" spans="1:17">
      <c r="A108" s="18">
        <f t="shared" si="5"/>
        <v>107</v>
      </c>
      <c r="B108" s="19">
        <v>16</v>
      </c>
      <c r="C108" s="18" t="str" cm="1">
        <f t="array" ref="C108">GetValue("Tbl",B108,"Alias")</f>
        <v>Col</v>
      </c>
      <c r="D108" s="18">
        <v>4</v>
      </c>
      <c r="E108" s="18" t="str" cm="1">
        <f t="array" ref="E108">GetValue("Dmn",D108,"Name")</f>
        <v>SmallInteger</v>
      </c>
      <c r="F108" s="18">
        <f t="shared" si="4"/>
        <v>20</v>
      </c>
      <c r="G108" s="18" t="str" cm="1">
        <f t="array" ref="G108">GetColumnName(C108,IF(B108=B107,G107,""))</f>
        <v>Sequence</v>
      </c>
      <c r="H108" s="18" t="s">
        <v>608</v>
      </c>
      <c r="I108" s="18" t="s">
        <v>111</v>
      </c>
      <c r="J108" s="18" t="s">
        <v>26</v>
      </c>
      <c r="K108" s="18" t="s">
        <v>26</v>
      </c>
      <c r="L108" s="18" t="s">
        <v>26</v>
      </c>
      <c r="M108" s="18" t="s">
        <v>26</v>
      </c>
      <c r="N108" s="18"/>
      <c r="O108" s="18"/>
      <c r="P108" s="18" t="s">
        <v>26</v>
      </c>
      <c r="Q108" s="18" t="b">
        <v>0</v>
      </c>
    </row>
    <row r="109" spans="1:17">
      <c r="A109" s="18">
        <f t="shared" si="5"/>
        <v>108</v>
      </c>
      <c r="B109" s="19">
        <v>16</v>
      </c>
      <c r="C109" s="18" t="str" cm="1">
        <f t="array" ref="C109">GetValue("Tbl",B109,"Alias")</f>
        <v>Col</v>
      </c>
      <c r="D109" s="18">
        <v>10</v>
      </c>
      <c r="E109" s="18" t="str" cm="1">
        <f t="array" ref="E109">GetValue("Dmn",D109,"Name")</f>
        <v>Nvarchar(25)</v>
      </c>
      <c r="F109" s="18">
        <f t="shared" si="4"/>
        <v>25</v>
      </c>
      <c r="G109" s="18" t="str" cm="1">
        <f t="array" ref="G109">GetColumnName(C109,IF(B109=B108,G108,""))</f>
        <v>Name</v>
      </c>
      <c r="H109" s="18" t="s">
        <v>119</v>
      </c>
      <c r="I109" s="18" t="s">
        <v>97</v>
      </c>
      <c r="J109" s="18" t="s">
        <v>26</v>
      </c>
      <c r="K109" s="18" t="s">
        <v>26</v>
      </c>
      <c r="L109" s="18" t="s">
        <v>26</v>
      </c>
      <c r="M109" s="18" t="s">
        <v>26</v>
      </c>
      <c r="N109" s="18"/>
      <c r="O109" s="18"/>
      <c r="P109" s="18" t="s">
        <v>26</v>
      </c>
      <c r="Q109" s="18" t="b">
        <v>0</v>
      </c>
    </row>
    <row r="110" spans="1:17">
      <c r="A110" s="18">
        <f t="shared" si="5"/>
        <v>109</v>
      </c>
      <c r="B110" s="19">
        <v>16</v>
      </c>
      <c r="C110" s="18" t="str" cm="1">
        <f t="array" ref="C110">GetValue("Tbl",B110,"Alias")</f>
        <v>Col</v>
      </c>
      <c r="D110" s="18">
        <v>11</v>
      </c>
      <c r="E110" s="18" t="str" cm="1">
        <f t="array" ref="E110">GetValue("Dmn",D110,"Name")</f>
        <v>Nvarchar(50)</v>
      </c>
      <c r="F110" s="18">
        <f t="shared" si="4"/>
        <v>30</v>
      </c>
      <c r="G110" s="18" t="str" cm="1">
        <f t="array" ref="G110">GetColumnName(C110,IF(B110=B109,G109,""))</f>
        <v>Description</v>
      </c>
      <c r="H110" s="18" t="s">
        <v>609</v>
      </c>
      <c r="I110" s="18" t="s">
        <v>109</v>
      </c>
      <c r="J110" s="18" t="s">
        <v>26</v>
      </c>
      <c r="K110" s="18" t="s">
        <v>26</v>
      </c>
      <c r="L110" s="18" t="s">
        <v>26</v>
      </c>
      <c r="M110" s="18" t="s">
        <v>26</v>
      </c>
      <c r="N110" s="18"/>
      <c r="O110" s="18"/>
      <c r="P110" s="18" t="s">
        <v>26</v>
      </c>
      <c r="Q110" s="18" t="b">
        <v>0</v>
      </c>
    </row>
    <row r="111" spans="1:17">
      <c r="A111" s="18">
        <f t="shared" si="5"/>
        <v>110</v>
      </c>
      <c r="B111" s="19">
        <v>16</v>
      </c>
      <c r="C111" s="18" t="str" cm="1">
        <f t="array" ref="C111">GetValue("Tbl",B111,"Alias")</f>
        <v>Col</v>
      </c>
      <c r="D111" s="18">
        <v>10</v>
      </c>
      <c r="E111" s="18" t="str" cm="1">
        <f t="array" ref="E111">GetValue("Dmn",D111,"Name")</f>
        <v>Nvarchar(25)</v>
      </c>
      <c r="F111" s="18">
        <f t="shared" si="4"/>
        <v>35</v>
      </c>
      <c r="G111" s="18" t="str" cm="1">
        <f t="array" ref="G111">GetColumnName(C111,IF(B111=B110,G110,""))</f>
        <v>Caption</v>
      </c>
      <c r="H111" s="18" t="s">
        <v>610</v>
      </c>
      <c r="I111" s="18" t="s">
        <v>600</v>
      </c>
      <c r="J111" s="18" t="s">
        <v>26</v>
      </c>
      <c r="K111" s="18" t="s">
        <v>26</v>
      </c>
      <c r="L111" s="18" t="s">
        <v>26</v>
      </c>
      <c r="M111" s="18" t="s">
        <v>26</v>
      </c>
      <c r="N111" s="18"/>
      <c r="O111" s="18"/>
      <c r="P111" s="18" t="s">
        <v>26</v>
      </c>
      <c r="Q111" s="18" t="b">
        <v>0</v>
      </c>
    </row>
    <row r="112" spans="1:17">
      <c r="A112" s="18">
        <f t="shared" si="5"/>
        <v>111</v>
      </c>
      <c r="B112" s="19">
        <v>16</v>
      </c>
      <c r="C112" s="18" t="str" cm="1">
        <f t="array" ref="C112">GetValue("Tbl",B112,"Alias")</f>
        <v>Col</v>
      </c>
      <c r="D112" s="18">
        <v>6</v>
      </c>
      <c r="E112" s="18" t="str" cm="1">
        <f t="array" ref="E112">GetValue("Dmn",D112,"Name")</f>
        <v>Boolean</v>
      </c>
      <c r="F112" s="18">
        <f t="shared" si="4"/>
        <v>40</v>
      </c>
      <c r="G112" s="18" t="str" cm="1">
        <f t="array" ref="G112">GetColumnName(C112,IF(B112=B111,G111,""))</f>
        <v>IsRequired</v>
      </c>
      <c r="H112" s="18" t="s">
        <v>612</v>
      </c>
      <c r="I112" s="18" t="s">
        <v>560</v>
      </c>
      <c r="J112" s="18" t="s">
        <v>26</v>
      </c>
      <c r="K112" s="18" t="s">
        <v>26</v>
      </c>
      <c r="L112" s="18" t="s">
        <v>26</v>
      </c>
      <c r="M112" s="18" t="s">
        <v>26</v>
      </c>
      <c r="N112" s="18"/>
      <c r="O112" s="18"/>
      <c r="P112" s="18" t="s">
        <v>26</v>
      </c>
      <c r="Q112" s="18" t="b">
        <v>0</v>
      </c>
    </row>
    <row r="113" spans="1:17">
      <c r="A113" s="18">
        <f t="shared" si="5"/>
        <v>112</v>
      </c>
      <c r="B113" s="19">
        <v>16</v>
      </c>
      <c r="C113" s="18" t="str" cm="1">
        <f t="array" ref="C113">GetValue("Tbl",B113,"Alias")</f>
        <v>Col</v>
      </c>
      <c r="D113" s="18">
        <v>6</v>
      </c>
      <c r="E113" s="18" t="str" cm="1">
        <f t="array" ref="E113">GetValue("Dmn",D113,"Name")</f>
        <v>Boolean</v>
      </c>
      <c r="F113" s="18">
        <f t="shared" si="4"/>
        <v>45</v>
      </c>
      <c r="G113" s="18" t="str" cm="1">
        <f t="array" ref="G113">GetColumnName(C113,IF(B113=B112,G112,""))</f>
        <v>IsFilterable</v>
      </c>
      <c r="H113" s="18" t="s">
        <v>613</v>
      </c>
      <c r="I113" s="18" t="s">
        <v>543</v>
      </c>
      <c r="J113" s="18" t="s">
        <v>26</v>
      </c>
      <c r="K113" s="18" t="s">
        <v>26</v>
      </c>
      <c r="L113" s="18" t="s">
        <v>26</v>
      </c>
      <c r="M113" s="18" t="s">
        <v>26</v>
      </c>
      <c r="N113" s="18"/>
      <c r="O113" s="18"/>
      <c r="P113" s="18" t="s">
        <v>26</v>
      </c>
      <c r="Q113" s="18" t="b">
        <v>0</v>
      </c>
    </row>
    <row r="114" spans="1:17">
      <c r="A114" s="18">
        <f t="shared" si="5"/>
        <v>113</v>
      </c>
      <c r="B114" s="19">
        <v>16</v>
      </c>
      <c r="C114" s="18" t="str" cm="1">
        <f t="array" ref="C114">GetValue("Tbl",B114,"Alias")</f>
        <v>Col</v>
      </c>
      <c r="D114" s="18">
        <v>6</v>
      </c>
      <c r="E114" s="18" t="str" cm="1">
        <f t="array" ref="E114">GetValue("Dmn",D114,"Name")</f>
        <v>Boolean</v>
      </c>
      <c r="F114" s="18">
        <f t="shared" si="4"/>
        <v>50</v>
      </c>
      <c r="G114" s="18" t="str" cm="1">
        <f t="array" ref="G114">GetColumnName(C114,IF(B114=B113,G113,""))</f>
        <v>IsEditable</v>
      </c>
      <c r="H114" s="18" t="s">
        <v>614</v>
      </c>
      <c r="I114" s="18" t="s">
        <v>548</v>
      </c>
      <c r="J114" s="18" t="s">
        <v>26</v>
      </c>
      <c r="K114" s="18" t="s">
        <v>26</v>
      </c>
      <c r="L114" s="18" t="s">
        <v>26</v>
      </c>
      <c r="M114" s="18" t="s">
        <v>26</v>
      </c>
      <c r="N114" s="18"/>
      <c r="O114" s="18"/>
      <c r="P114" s="18" t="s">
        <v>26</v>
      </c>
      <c r="Q114" s="18" t="b">
        <v>0</v>
      </c>
    </row>
    <row r="115" spans="1:17">
      <c r="A115" s="18">
        <f t="shared" si="5"/>
        <v>114</v>
      </c>
      <c r="B115" s="19">
        <v>16</v>
      </c>
      <c r="C115" s="18" t="str" cm="1">
        <f t="array" ref="C115">GetValue("Tbl",B115,"Alias")</f>
        <v>Col</v>
      </c>
      <c r="D115" s="18">
        <v>6</v>
      </c>
      <c r="E115" s="18" t="str" cm="1">
        <f t="array" ref="E115">GetValue("Dmn",D115,"Name")</f>
        <v>Boolean</v>
      </c>
      <c r="F115" s="18">
        <f t="shared" si="4"/>
        <v>55</v>
      </c>
      <c r="G115" s="18" t="str" cm="1">
        <f t="array" ref="G115">GetColumnName(C115,IF(B115=B114,G114,""))</f>
        <v>IsGridable</v>
      </c>
      <c r="H115" s="18" t="s">
        <v>658</v>
      </c>
      <c r="I115" s="18" t="s">
        <v>661</v>
      </c>
      <c r="J115" s="18" t="s">
        <v>26</v>
      </c>
      <c r="K115" s="18" t="s">
        <v>26</v>
      </c>
      <c r="L115" s="18" t="s">
        <v>26</v>
      </c>
      <c r="M115" s="18" t="s">
        <v>26</v>
      </c>
      <c r="N115" s="18"/>
      <c r="O115" s="18"/>
      <c r="P115" s="18" t="s">
        <v>26</v>
      </c>
      <c r="Q115" s="18" t="b">
        <v>0</v>
      </c>
    </row>
    <row r="116" spans="1:17">
      <c r="A116" s="18">
        <f t="shared" si="5"/>
        <v>115</v>
      </c>
      <c r="B116" s="19">
        <v>16</v>
      </c>
      <c r="C116" s="18" t="str" cm="1">
        <f t="array" ref="C116">GetValue("Tbl",B116,"Alias")</f>
        <v>Col</v>
      </c>
      <c r="D116" s="18">
        <v>6</v>
      </c>
      <c r="E116" s="18" t="str" cm="1">
        <f t="array" ref="E116">GetValue("Dmn",D116,"Name")</f>
        <v>Boolean</v>
      </c>
      <c r="F116" s="18">
        <f t="shared" si="4"/>
        <v>60</v>
      </c>
      <c r="G116" s="18" t="str" cm="1">
        <f t="array" ref="G116">GetColumnName(C116,IF(B116=B115,G115,""))</f>
        <v>IsListable</v>
      </c>
      <c r="H116" s="18" t="s">
        <v>659</v>
      </c>
      <c r="I116" s="18" t="s">
        <v>660</v>
      </c>
      <c r="J116" s="18" t="s">
        <v>26</v>
      </c>
      <c r="K116" s="18" t="s">
        <v>26</v>
      </c>
      <c r="L116" s="18" t="s">
        <v>26</v>
      </c>
      <c r="M116" s="18" t="s">
        <v>26</v>
      </c>
      <c r="N116" s="18"/>
      <c r="O116" s="18"/>
      <c r="P116" s="18" t="s">
        <v>26</v>
      </c>
      <c r="Q116" s="18" t="b">
        <v>0</v>
      </c>
    </row>
    <row r="117" spans="1:17">
      <c r="A117" s="18">
        <f t="shared" si="5"/>
        <v>116</v>
      </c>
      <c r="B117" s="19">
        <v>16</v>
      </c>
      <c r="C117" s="18" t="str" cm="1">
        <f t="array" ref="C117">GetValue("Tbl",B117,"Alias")</f>
        <v>Col</v>
      </c>
      <c r="D117" s="18">
        <v>6</v>
      </c>
      <c r="E117" s="18" t="str" cm="1">
        <f t="array" ref="E117">GetValue("Dmn",D117,"Name")</f>
        <v>Boolean</v>
      </c>
      <c r="F117" s="18">
        <f t="shared" si="4"/>
        <v>65</v>
      </c>
      <c r="G117" s="18" t="str" cm="1">
        <f t="array" ref="G117">GetColumnName(C117,IF(B117=B116,G116,""))</f>
        <v>IsEncrypted</v>
      </c>
      <c r="H117" s="18" t="s">
        <v>663</v>
      </c>
      <c r="I117" s="18" t="s">
        <v>662</v>
      </c>
      <c r="J117" s="18" t="s">
        <v>26</v>
      </c>
      <c r="K117" s="18" t="s">
        <v>26</v>
      </c>
      <c r="L117" s="18" t="s">
        <v>26</v>
      </c>
      <c r="M117" s="18" t="s">
        <v>26</v>
      </c>
      <c r="N117" s="18"/>
      <c r="O117" s="18"/>
      <c r="P117" s="18" t="s">
        <v>26</v>
      </c>
      <c r="Q117" s="18" t="b">
        <v>0</v>
      </c>
    </row>
    <row r="118" spans="1:17">
      <c r="A118" s="18">
        <f t="shared" si="5"/>
        <v>117</v>
      </c>
      <c r="B118" s="19">
        <v>16</v>
      </c>
      <c r="C118" s="18" t="str" cm="1">
        <f t="array" ref="C118">GetValue("Tbl",B118,"Alias")</f>
        <v>Col</v>
      </c>
      <c r="D118" s="18">
        <v>6</v>
      </c>
      <c r="E118" s="18" t="str" cm="1">
        <f t="array" ref="E118">GetValue("Dmn",D118,"Name")</f>
        <v>Boolean</v>
      </c>
      <c r="F118" s="18">
        <f t="shared" si="4"/>
        <v>70</v>
      </c>
      <c r="G118" s="18" t="str" cm="1">
        <f t="array" ref="G118">GetColumnName(C118,IF(B118=B117,G117,""))</f>
        <v>IsInWords</v>
      </c>
      <c r="H118" s="18" t="s">
        <v>775</v>
      </c>
      <c r="I118" s="18" t="s">
        <v>776</v>
      </c>
      <c r="J118" s="18" t="s">
        <v>26</v>
      </c>
      <c r="K118" s="18" t="s">
        <v>26</v>
      </c>
      <c r="L118" s="18" t="s">
        <v>26</v>
      </c>
      <c r="M118" s="18" t="s">
        <v>26</v>
      </c>
      <c r="N118" s="18"/>
      <c r="O118" s="18"/>
      <c r="P118" s="18" t="s">
        <v>26</v>
      </c>
      <c r="Q118" s="18" t="b">
        <v>0</v>
      </c>
    </row>
    <row r="119" spans="1:17">
      <c r="A119" s="18">
        <f t="shared" si="5"/>
        <v>118</v>
      </c>
      <c r="B119" s="19">
        <v>16</v>
      </c>
      <c r="C119" s="18" t="str" cm="1">
        <f t="array" ref="C119">GetValue("Tbl",B119,"Alias")</f>
        <v>Col</v>
      </c>
      <c r="D119" s="18">
        <v>6</v>
      </c>
      <c r="E119" s="18" t="str" cm="1">
        <f t="array" ref="E119">GetValue("Dmn",D119,"Name")</f>
        <v>Boolean</v>
      </c>
      <c r="F119" s="18">
        <f t="shared" ref="F119" si="9">IF(G119="Id",5,F118+5)</f>
        <v>75</v>
      </c>
      <c r="G119" s="18" t="str" cm="1">
        <f t="array" ref="G119">GetColumnName(C119,IF(B119=B118,G118,""))</f>
        <v>IsVirtual</v>
      </c>
      <c r="H119" s="18" t="s">
        <v>914</v>
      </c>
      <c r="I119" s="18" t="s">
        <v>915</v>
      </c>
      <c r="J119" s="18" t="s">
        <v>26</v>
      </c>
      <c r="K119" s="18" t="s">
        <v>26</v>
      </c>
      <c r="L119" s="18" t="s">
        <v>26</v>
      </c>
      <c r="M119" s="18" t="s">
        <v>26</v>
      </c>
      <c r="N119" s="18"/>
      <c r="O119" s="18"/>
      <c r="P119" s="18" t="s">
        <v>26</v>
      </c>
      <c r="Q119" s="18" t="b">
        <v>0</v>
      </c>
    </row>
    <row r="120" spans="1:17">
      <c r="A120" s="20">
        <f t="shared" si="5"/>
        <v>119</v>
      </c>
      <c r="B120" s="21">
        <v>17</v>
      </c>
      <c r="C120" s="20" t="str" cm="1">
        <f t="array" ref="C120">GetValue("Tbl",B120,"Alias")</f>
        <v>Idx</v>
      </c>
      <c r="D120" s="20">
        <v>1</v>
      </c>
      <c r="E120" s="20" t="str" cm="1">
        <f t="array" ref="E120">GetValue("Dmn",D120,"Name")</f>
        <v>BigInteger</v>
      </c>
      <c r="F120" s="20">
        <f>IF(G120="Id",5,F118+5)</f>
        <v>5</v>
      </c>
      <c r="G120" s="20" t="str" cm="1">
        <f t="array" ref="G120">GetColumnName(C120,IF(B120=B118,G118,""))</f>
        <v>Id</v>
      </c>
      <c r="H120" s="20" t="s">
        <v>623</v>
      </c>
      <c r="I120" s="20" t="s">
        <v>110</v>
      </c>
      <c r="J120" s="20" t="b">
        <v>1</v>
      </c>
      <c r="K120" s="20" t="b">
        <v>1</v>
      </c>
      <c r="L120" s="20" t="b">
        <v>0</v>
      </c>
      <c r="M120" s="20" t="b">
        <v>0</v>
      </c>
      <c r="N120" s="20"/>
      <c r="O120" s="20"/>
      <c r="P120" s="20" t="b">
        <v>0</v>
      </c>
      <c r="Q120" s="20" t="b">
        <v>0</v>
      </c>
    </row>
    <row r="121" spans="1:17">
      <c r="A121" s="20">
        <f t="shared" si="5"/>
        <v>120</v>
      </c>
      <c r="B121" s="21">
        <v>17</v>
      </c>
      <c r="C121" s="20" t="str" cm="1">
        <f t="array" ref="C121">GetValue("Tbl",B121,"Alias")</f>
        <v>Idx</v>
      </c>
      <c r="D121" s="20">
        <v>1</v>
      </c>
      <c r="E121" s="20" t="str" cm="1">
        <f t="array" ref="E121">GetValue("Dmn",D121,"Name")</f>
        <v>BigInteger</v>
      </c>
      <c r="F121" s="20">
        <f t="shared" si="4"/>
        <v>10</v>
      </c>
      <c r="G121" s="20" t="str" cm="1">
        <f t="array" ref="G121">GetColumnName(C121,IF(B121=B120,G120,""))</f>
        <v>TableId</v>
      </c>
      <c r="H121" s="20" t="s">
        <v>895</v>
      </c>
      <c r="I121" s="20" t="s">
        <v>117</v>
      </c>
      <c r="J121" s="20" t="s">
        <v>26</v>
      </c>
      <c r="K121" s="20" t="s">
        <v>26</v>
      </c>
      <c r="L121" s="20" t="s">
        <v>26</v>
      </c>
      <c r="M121" s="20" t="s">
        <v>26</v>
      </c>
      <c r="N121" s="20"/>
      <c r="O121" s="20"/>
      <c r="P121" s="20" t="s">
        <v>26</v>
      </c>
      <c r="Q121" s="20" t="b">
        <v>0</v>
      </c>
    </row>
    <row r="122" spans="1:17">
      <c r="A122" s="20">
        <f t="shared" si="5"/>
        <v>121</v>
      </c>
      <c r="B122" s="21">
        <v>17</v>
      </c>
      <c r="C122" s="20" t="str" cm="1">
        <f t="array" ref="C122">GetValue("Tbl",B122,"Alias")</f>
        <v>Idx</v>
      </c>
      <c r="D122" s="20">
        <v>10</v>
      </c>
      <c r="E122" s="20" t="str" cm="1">
        <f t="array" ref="E122">GetValue("Dmn",D122,"Name")</f>
        <v>Nvarchar(25)</v>
      </c>
      <c r="F122" s="20">
        <f t="shared" si="4"/>
        <v>15</v>
      </c>
      <c r="G122" s="20" t="str" cm="1">
        <f t="array" ref="G122">GetColumnName(C122,IF(B122=B121,G121,""))</f>
        <v>Name</v>
      </c>
      <c r="H122" s="20" t="s">
        <v>896</v>
      </c>
      <c r="I122" s="20" t="s">
        <v>97</v>
      </c>
      <c r="J122" s="20" t="s">
        <v>26</v>
      </c>
      <c r="K122" s="20" t="s">
        <v>26</v>
      </c>
      <c r="L122" s="20" t="s">
        <v>26</v>
      </c>
      <c r="M122" s="20" t="s">
        <v>26</v>
      </c>
      <c r="N122" s="20"/>
      <c r="O122" s="20"/>
      <c r="P122" s="20" t="s">
        <v>26</v>
      </c>
      <c r="Q122" s="20" t="b">
        <v>0</v>
      </c>
    </row>
    <row r="123" spans="1:17">
      <c r="A123" s="20">
        <f t="shared" si="5"/>
        <v>122</v>
      </c>
      <c r="B123" s="21">
        <v>17</v>
      </c>
      <c r="C123" s="20" t="str" cm="1">
        <f t="array" ref="C123">GetValue("Tbl",B123,"Alias")</f>
        <v>Idx</v>
      </c>
      <c r="D123" s="20">
        <v>4</v>
      </c>
      <c r="E123" s="20" t="str" cm="1">
        <f t="array" ref="E123">GetValue("Dmn",D123,"Name")</f>
        <v>SmallInteger</v>
      </c>
      <c r="F123" s="20">
        <f t="shared" si="4"/>
        <v>20</v>
      </c>
      <c r="G123" s="20" t="str" cm="1">
        <f t="array" ref="G123">GetColumnName(C123,IF(B123=B122,G122,""))</f>
        <v>IsUnique</v>
      </c>
      <c r="H123" s="20" t="s">
        <v>897</v>
      </c>
      <c r="I123" s="20" t="s">
        <v>898</v>
      </c>
      <c r="J123" s="20" t="s">
        <v>26</v>
      </c>
      <c r="K123" s="20" t="s">
        <v>26</v>
      </c>
      <c r="L123" s="20" t="s">
        <v>26</v>
      </c>
      <c r="M123" s="20" t="s">
        <v>26</v>
      </c>
      <c r="N123" s="20"/>
      <c r="O123" s="20"/>
      <c r="P123" s="20" t="s">
        <v>26</v>
      </c>
      <c r="Q123" s="20" t="b">
        <v>0</v>
      </c>
    </row>
    <row r="124" spans="1:17">
      <c r="A124" s="18">
        <f t="shared" si="5"/>
        <v>123</v>
      </c>
      <c r="B124" s="19">
        <v>18</v>
      </c>
      <c r="C124" s="18" t="str" cm="1">
        <f t="array" ref="C124">GetValue("Tbl",B124,"Alias")</f>
        <v>Idk</v>
      </c>
      <c r="D124" s="18">
        <v>1</v>
      </c>
      <c r="E124" s="18" t="str" cm="1">
        <f t="array" ref="E124">GetValue("Dmn",D124,"Name")</f>
        <v>BigInteger</v>
      </c>
      <c r="F124" s="18">
        <f t="shared" si="4"/>
        <v>5</v>
      </c>
      <c r="G124" s="18" t="str" cm="1">
        <f t="array" ref="G124">GetColumnName(C124,IF(B124=B123,G123,""))</f>
        <v>Id</v>
      </c>
      <c r="H124" s="18" t="s">
        <v>623</v>
      </c>
      <c r="I124" s="18" t="s">
        <v>0</v>
      </c>
      <c r="J124" s="18" t="b">
        <v>1</v>
      </c>
      <c r="K124" s="18" t="b">
        <v>1</v>
      </c>
      <c r="L124" s="18" t="b">
        <v>0</v>
      </c>
      <c r="M124" s="18" t="b">
        <v>0</v>
      </c>
      <c r="N124" s="18"/>
      <c r="O124" s="18"/>
      <c r="P124" s="18" t="b">
        <v>0</v>
      </c>
      <c r="Q124" s="18" t="b">
        <v>0</v>
      </c>
    </row>
    <row r="125" spans="1:17">
      <c r="A125" s="18">
        <f t="shared" si="5"/>
        <v>124</v>
      </c>
      <c r="B125" s="19">
        <v>18</v>
      </c>
      <c r="C125" s="18" t="str" cm="1">
        <f t="array" ref="C125">GetValue("Tbl",B125,"Alias")</f>
        <v>Idk</v>
      </c>
      <c r="D125" s="18">
        <v>1</v>
      </c>
      <c r="E125" s="18" t="str" cm="1">
        <f t="array" ref="E125">GetValue("Dmn",D125,"Name")</f>
        <v>BigInteger</v>
      </c>
      <c r="F125" s="18">
        <f t="shared" si="4"/>
        <v>10</v>
      </c>
      <c r="G125" s="18" t="str" cm="1">
        <f t="array" ref="G125">GetColumnName(C125,IF(B125=B124,G124,""))</f>
        <v>IndexId</v>
      </c>
      <c r="H125" s="18" t="s">
        <v>615</v>
      </c>
      <c r="I125" s="18" t="s">
        <v>624</v>
      </c>
      <c r="J125" s="18" t="s">
        <v>26</v>
      </c>
      <c r="K125" s="18" t="s">
        <v>26</v>
      </c>
      <c r="L125" s="18" t="s">
        <v>26</v>
      </c>
      <c r="M125" s="18" t="s">
        <v>26</v>
      </c>
      <c r="N125" s="18"/>
      <c r="O125" s="18"/>
      <c r="P125" s="18" t="s">
        <v>26</v>
      </c>
      <c r="Q125" s="18" t="b">
        <v>0</v>
      </c>
    </row>
    <row r="126" spans="1:17">
      <c r="A126" s="18">
        <f t="shared" si="5"/>
        <v>125</v>
      </c>
      <c r="B126" s="19">
        <v>18</v>
      </c>
      <c r="C126" s="18" t="str" cm="1">
        <f t="array" ref="C126">GetValue("Tbl",B126,"Alias")</f>
        <v>Idk</v>
      </c>
      <c r="D126" s="18">
        <v>1</v>
      </c>
      <c r="E126" s="18" t="str" cm="1">
        <f t="array" ref="E126">GetValue("Dmn",D126,"Name")</f>
        <v>BigInteger</v>
      </c>
      <c r="F126" s="18">
        <f t="shared" si="4"/>
        <v>15</v>
      </c>
      <c r="G126" s="18" t="str" cm="1">
        <f t="array" ref="G126">GetColumnName(C126,IF(B126=B125,G125,""))</f>
        <v>ColumnId</v>
      </c>
      <c r="H126" s="18" t="s">
        <v>899</v>
      </c>
      <c r="I126" s="18" t="s">
        <v>626</v>
      </c>
      <c r="J126" s="18" t="s">
        <v>26</v>
      </c>
      <c r="K126" s="18" t="s">
        <v>26</v>
      </c>
      <c r="L126" s="18" t="s">
        <v>26</v>
      </c>
      <c r="M126" s="18" t="s">
        <v>26</v>
      </c>
      <c r="N126" s="18"/>
      <c r="O126" s="18"/>
      <c r="P126" s="18" t="s">
        <v>26</v>
      </c>
      <c r="Q126" s="18" t="b">
        <v>0</v>
      </c>
    </row>
    <row r="127" spans="1:17">
      <c r="A127" s="18">
        <f t="shared" si="5"/>
        <v>126</v>
      </c>
      <c r="B127" s="19">
        <v>18</v>
      </c>
      <c r="C127" s="18" t="str" cm="1">
        <f t="array" ref="C127">GetValue("Tbl",B127,"Alias")</f>
        <v>Idk</v>
      </c>
      <c r="D127" s="18">
        <v>4</v>
      </c>
      <c r="E127" s="18" t="str" cm="1">
        <f t="array" ref="E127">GetValue("Dmn",D127,"Name")</f>
        <v>SmallInteger</v>
      </c>
      <c r="F127" s="18">
        <f t="shared" si="4"/>
        <v>20</v>
      </c>
      <c r="G127" s="18" t="str" cm="1">
        <f t="array" ref="G127">GetColumnName(C127,IF(B127=B126,G126,""))</f>
        <v>Sequence</v>
      </c>
      <c r="H127" s="18" t="s">
        <v>900</v>
      </c>
      <c r="I127" s="18" t="s">
        <v>111</v>
      </c>
      <c r="J127" s="18" t="s">
        <v>26</v>
      </c>
      <c r="K127" s="18" t="s">
        <v>26</v>
      </c>
      <c r="L127" s="18" t="s">
        <v>26</v>
      </c>
      <c r="M127" s="18" t="s">
        <v>26</v>
      </c>
      <c r="N127" s="18"/>
      <c r="O127" s="18"/>
      <c r="P127" s="18" t="s">
        <v>26</v>
      </c>
      <c r="Q127" s="18" t="b">
        <v>0</v>
      </c>
    </row>
    <row r="128" spans="1:17">
      <c r="A128" s="18">
        <f t="shared" si="5"/>
        <v>127</v>
      </c>
      <c r="B128" s="19">
        <v>18</v>
      </c>
      <c r="C128" s="18" t="str" cm="1">
        <f t="array" ref="C128">GetValue("Tbl",B128,"Alias")</f>
        <v>Idk</v>
      </c>
      <c r="D128" s="18">
        <v>6</v>
      </c>
      <c r="E128" s="18" t="str" cm="1">
        <f t="array" ref="E128">GetValue("Dmn",D128,"Name")</f>
        <v>Boolean</v>
      </c>
      <c r="F128" s="18">
        <f t="shared" si="4"/>
        <v>25</v>
      </c>
      <c r="G128" s="18" t="str" cm="1">
        <f t="array" ref="G128">GetColumnName(C128,IF(B128=B127,G127,""))</f>
        <v>IsDescending</v>
      </c>
      <c r="H128" s="18" t="s">
        <v>773</v>
      </c>
      <c r="I128" s="18" t="s">
        <v>774</v>
      </c>
      <c r="J128" s="18" t="s">
        <v>26</v>
      </c>
      <c r="K128" s="18" t="s">
        <v>26</v>
      </c>
      <c r="L128" s="18" t="s">
        <v>26</v>
      </c>
      <c r="M128" s="18" t="s">
        <v>26</v>
      </c>
      <c r="N128" s="18"/>
      <c r="O128" s="18"/>
      <c r="P128" s="18" t="s">
        <v>26</v>
      </c>
      <c r="Q128" s="18" t="b">
        <v>0</v>
      </c>
    </row>
    <row r="129" spans="1:17">
      <c r="A129" s="20">
        <f t="shared" si="5"/>
        <v>128</v>
      </c>
      <c r="B129" s="21">
        <v>19</v>
      </c>
      <c r="C129" s="20" t="str" cm="1">
        <f t="array" ref="C129">GetValue("Tbl",B129,"Alias")</f>
        <v>Inc</v>
      </c>
      <c r="D129" s="20">
        <v>1</v>
      </c>
      <c r="E129" s="20" t="str" cm="1">
        <f t="array" ref="E129">GetValue("Dmn",D129,"Name")</f>
        <v>BigInteger</v>
      </c>
      <c r="F129" s="20">
        <f t="shared" si="4"/>
        <v>5</v>
      </c>
      <c r="G129" s="20" t="str" cm="1">
        <f t="array" ref="G129">GetColumnName(C129,IF(B129=B128,G128,""))</f>
        <v>Id</v>
      </c>
      <c r="H129" s="20" t="s">
        <v>799</v>
      </c>
      <c r="I129" s="20" t="s">
        <v>0</v>
      </c>
      <c r="J129" s="20" t="b">
        <v>1</v>
      </c>
      <c r="K129" s="20" t="b">
        <v>1</v>
      </c>
      <c r="L129" s="20" t="b">
        <v>0</v>
      </c>
      <c r="M129" s="20" t="b">
        <v>0</v>
      </c>
      <c r="N129" s="20"/>
      <c r="O129" s="20"/>
      <c r="P129" s="20" t="b">
        <v>0</v>
      </c>
      <c r="Q129" s="20" t="b">
        <v>0</v>
      </c>
    </row>
    <row r="130" spans="1:17">
      <c r="A130" s="20">
        <f t="shared" si="5"/>
        <v>129</v>
      </c>
      <c r="B130" s="21">
        <v>19</v>
      </c>
      <c r="C130" s="20" t="str" cm="1">
        <f t="array" ref="C130">GetValue("Tbl",B130,"Alias")</f>
        <v>Inc</v>
      </c>
      <c r="D130" s="20">
        <v>1</v>
      </c>
      <c r="E130" s="20" t="str" cm="1">
        <f t="array" ref="E130">GetValue("Dmn",D130,"Name")</f>
        <v>BigInteger</v>
      </c>
      <c r="F130" s="20">
        <f t="shared" si="4"/>
        <v>10</v>
      </c>
      <c r="G130" s="20" t="str" cm="1">
        <f t="array" ref="G130">GetColumnName(C130,IF(B130=B129,G129,""))</f>
        <v>IndexId</v>
      </c>
      <c r="H130" s="20" t="s">
        <v>615</v>
      </c>
      <c r="I130" s="20" t="s">
        <v>624</v>
      </c>
      <c r="J130" s="20" t="s">
        <v>26</v>
      </c>
      <c r="K130" s="20" t="s">
        <v>26</v>
      </c>
      <c r="L130" s="20" t="s">
        <v>26</v>
      </c>
      <c r="M130" s="20" t="s">
        <v>26</v>
      </c>
      <c r="N130" s="20"/>
      <c r="O130" s="20"/>
      <c r="P130" s="20" t="s">
        <v>26</v>
      </c>
      <c r="Q130" s="20" t="b">
        <v>0</v>
      </c>
    </row>
    <row r="131" spans="1:17">
      <c r="A131" s="20">
        <f t="shared" si="5"/>
        <v>130</v>
      </c>
      <c r="B131" s="21">
        <v>19</v>
      </c>
      <c r="C131" s="20" t="str" cm="1">
        <f t="array" ref="C131">GetValue("Tbl",B131,"Alias")</f>
        <v>Inc</v>
      </c>
      <c r="D131" s="20">
        <v>1</v>
      </c>
      <c r="E131" s="20" t="str" cm="1">
        <f t="array" ref="E131">GetValue("Dmn",D131,"Name")</f>
        <v>BigInteger</v>
      </c>
      <c r="F131" s="20">
        <f t="shared" si="4"/>
        <v>15</v>
      </c>
      <c r="G131" s="20" t="str" cm="1">
        <f t="array" ref="G131">GetColumnName(C131,IF(B131=B130,G130,""))</f>
        <v>ColumnId</v>
      </c>
      <c r="H131" s="20" t="s">
        <v>777</v>
      </c>
      <c r="I131" s="20" t="s">
        <v>626</v>
      </c>
      <c r="J131" s="20" t="s">
        <v>26</v>
      </c>
      <c r="K131" s="20" t="s">
        <v>26</v>
      </c>
      <c r="L131" s="20" t="s">
        <v>26</v>
      </c>
      <c r="M131" s="20" t="s">
        <v>26</v>
      </c>
      <c r="N131" s="20"/>
      <c r="O131" s="20"/>
      <c r="P131" s="20" t="s">
        <v>26</v>
      </c>
      <c r="Q131" s="20" t="b">
        <v>0</v>
      </c>
    </row>
    <row r="132" spans="1:17">
      <c r="A132" s="18">
        <f t="shared" si="5"/>
        <v>131</v>
      </c>
      <c r="B132" s="19">
        <v>20</v>
      </c>
      <c r="C132" s="18" t="str" cm="1">
        <f t="array" ref="C132">GetValue("Tbl",B132,"Alias")</f>
        <v>Uni</v>
      </c>
      <c r="D132" s="18">
        <v>1</v>
      </c>
      <c r="E132" s="18" t="str" cm="1">
        <f t="array" ref="E132">GetValue("Dmn",D132,"Name")</f>
        <v>BigInteger</v>
      </c>
      <c r="F132" s="18">
        <f t="shared" ref="F132" si="10">IF(G132="Id",5,F131+5)</f>
        <v>5</v>
      </c>
      <c r="G132" s="18" t="str" cm="1">
        <f t="array" ref="G132">GetColumnName(C132,IF(B132=B131,G131,""))</f>
        <v>Id</v>
      </c>
      <c r="H132" s="18" t="s">
        <v>800</v>
      </c>
      <c r="I132" s="18" t="s">
        <v>0</v>
      </c>
      <c r="J132" s="18" t="b">
        <v>1</v>
      </c>
      <c r="K132" s="18" t="b">
        <v>1</v>
      </c>
      <c r="L132" s="18" t="b">
        <v>0</v>
      </c>
      <c r="M132" s="18" t="b">
        <v>0</v>
      </c>
      <c r="N132" s="18"/>
      <c r="O132" s="18"/>
      <c r="P132" s="18" t="b">
        <v>0</v>
      </c>
      <c r="Q132" s="18" t="b">
        <v>0</v>
      </c>
    </row>
    <row r="133" spans="1:17">
      <c r="A133" s="18">
        <f t="shared" si="5"/>
        <v>132</v>
      </c>
      <c r="B133" s="19">
        <v>20</v>
      </c>
      <c r="C133" s="18" t="str" cm="1">
        <f t="array" ref="C133">GetValue("Tbl",B133,"Alias")</f>
        <v>Uni</v>
      </c>
      <c r="D133" s="18">
        <v>1</v>
      </c>
      <c r="E133" s="18" t="str" cm="1">
        <f t="array" ref="E133">GetValue("Dmn",D133,"Name")</f>
        <v>BigInteger</v>
      </c>
      <c r="F133" s="18">
        <f t="shared" ref="F133:F136" si="11">IF(G133="Id",5,F132+5)</f>
        <v>10</v>
      </c>
      <c r="G133" s="18" t="str" cm="1">
        <f t="array" ref="G133">GetColumnName(C133,IF(B133=B132,G132,""))</f>
        <v>LeftColumnId</v>
      </c>
      <c r="H133" s="18" t="s">
        <v>801</v>
      </c>
      <c r="I133" s="18" t="s">
        <v>804</v>
      </c>
      <c r="J133" s="18" t="s">
        <v>26</v>
      </c>
      <c r="K133" s="18" t="s">
        <v>26</v>
      </c>
      <c r="L133" s="18" t="s">
        <v>26</v>
      </c>
      <c r="M133" s="18" t="s">
        <v>26</v>
      </c>
      <c r="N133" s="18"/>
      <c r="O133" s="18"/>
      <c r="P133" s="18" t="s">
        <v>26</v>
      </c>
      <c r="Q133" s="18" t="b">
        <v>0</v>
      </c>
    </row>
    <row r="134" spans="1:17">
      <c r="A134" s="18">
        <f t="shared" si="5"/>
        <v>133</v>
      </c>
      <c r="B134" s="19">
        <v>20</v>
      </c>
      <c r="C134" s="18" t="str" cm="1">
        <f t="array" ref="C134">GetValue("Tbl",B134,"Alias")</f>
        <v>Uni</v>
      </c>
      <c r="D134" s="18">
        <v>1</v>
      </c>
      <c r="E134" s="18" t="str" cm="1">
        <f t="array" ref="E134">GetValue("Dmn",D134,"Name")</f>
        <v>BigInteger</v>
      </c>
      <c r="F134" s="18">
        <f t="shared" si="11"/>
        <v>15</v>
      </c>
      <c r="G134" s="18" t="str" cm="1">
        <f t="array" ref="G134">GetColumnName(C134,IF(B134=B133,G133,""))</f>
        <v>RightColumnId</v>
      </c>
      <c r="H134" s="18" t="s">
        <v>802</v>
      </c>
      <c r="I134" s="18" t="s">
        <v>805</v>
      </c>
      <c r="J134" s="18" t="s">
        <v>26</v>
      </c>
      <c r="K134" s="18" t="s">
        <v>26</v>
      </c>
      <c r="L134" s="18" t="s">
        <v>26</v>
      </c>
      <c r="M134" s="18" t="s">
        <v>26</v>
      </c>
      <c r="N134" s="18"/>
      <c r="O134" s="18"/>
      <c r="P134" s="18" t="s">
        <v>26</v>
      </c>
      <c r="Q134" s="18" t="b">
        <v>0</v>
      </c>
    </row>
    <row r="135" spans="1:17">
      <c r="A135" s="18">
        <f t="shared" si="5"/>
        <v>134</v>
      </c>
      <c r="B135" s="19">
        <v>20</v>
      </c>
      <c r="C135" s="18" t="str" cm="1">
        <f t="array" ref="C135">GetValue("Tbl",B135,"Alias")</f>
        <v>Uni</v>
      </c>
      <c r="D135" s="18">
        <v>6</v>
      </c>
      <c r="E135" s="18" t="str" cm="1">
        <f t="array" ref="E135">GetValue("Dmn",D135,"Name")</f>
        <v>Boolean</v>
      </c>
      <c r="F135" s="18">
        <f t="shared" si="11"/>
        <v>20</v>
      </c>
      <c r="G135" s="18" t="str" cm="1">
        <f t="array" ref="G135">GetColumnName(C135,IF(B135=B134,G134,""))</f>
        <v>IsBirectional</v>
      </c>
      <c r="H135" s="18" t="s">
        <v>901</v>
      </c>
      <c r="I135" s="18" t="s">
        <v>806</v>
      </c>
      <c r="J135" s="18" t="s">
        <v>26</v>
      </c>
      <c r="K135" s="18" t="s">
        <v>26</v>
      </c>
      <c r="L135" s="18" t="s">
        <v>26</v>
      </c>
      <c r="M135" s="18" t="s">
        <v>26</v>
      </c>
      <c r="N135" s="18"/>
      <c r="O135" s="18"/>
      <c r="P135" s="18" t="s">
        <v>26</v>
      </c>
      <c r="Q135" s="18" t="b">
        <v>0</v>
      </c>
    </row>
    <row r="136" spans="1:17">
      <c r="A136" s="20">
        <f t="shared" si="5"/>
        <v>135</v>
      </c>
      <c r="B136" s="21">
        <v>21</v>
      </c>
      <c r="C136" s="20" t="str" cm="1">
        <f t="array" ref="C136">GetValue("Tbl",B136,"Alias")</f>
        <v>Exp</v>
      </c>
      <c r="D136" s="20">
        <v>1</v>
      </c>
      <c r="E136" s="20" t="str" cm="1">
        <f t="array" ref="E136">GetValue("Dmn",D136,"Name")</f>
        <v>BigInteger</v>
      </c>
      <c r="F136" s="20">
        <f t="shared" si="11"/>
        <v>5</v>
      </c>
      <c r="G136" s="20" t="str" cm="1">
        <f t="array" ref="G136">GetColumnName(C136,IF(B136=B135,G135,""))</f>
        <v>Id</v>
      </c>
      <c r="H136" s="20" t="s">
        <v>807</v>
      </c>
      <c r="I136" s="20" t="s">
        <v>0</v>
      </c>
      <c r="J136" s="20" t="b">
        <v>1</v>
      </c>
      <c r="K136" s="20" t="b">
        <v>1</v>
      </c>
      <c r="L136" s="20" t="b">
        <v>0</v>
      </c>
      <c r="M136" s="20" t="b">
        <v>0</v>
      </c>
      <c r="N136" s="20"/>
      <c r="O136" s="20"/>
      <c r="P136" s="20" t="b">
        <v>0</v>
      </c>
      <c r="Q136" s="20" t="b">
        <v>0</v>
      </c>
    </row>
    <row r="137" spans="1:17">
      <c r="A137" s="20">
        <f t="shared" si="5"/>
        <v>136</v>
      </c>
      <c r="B137" s="21">
        <v>21</v>
      </c>
      <c r="C137" s="20" t="str" cm="1">
        <f t="array" ref="C137">GetValue("Tbl",B137,"Alias")</f>
        <v>Exp</v>
      </c>
      <c r="D137" s="20">
        <v>1</v>
      </c>
      <c r="E137" s="20" t="str" cm="1">
        <f t="array" ref="E137">GetValue("Dmn",D137,"Name")</f>
        <v>BigInteger</v>
      </c>
      <c r="F137" s="20">
        <f t="shared" ref="F137:F139" si="12">IF(G137="Id",5,F136+5)</f>
        <v>10</v>
      </c>
      <c r="G137" s="20" t="str" cm="1">
        <f t="array" ref="G137">GetColumnName(C137,IF(B137=B136,G136,""))</f>
        <v>TableId</v>
      </c>
      <c r="H137" s="20" t="s">
        <v>595</v>
      </c>
      <c r="I137" s="20" t="s">
        <v>117</v>
      </c>
      <c r="J137" s="20" t="s">
        <v>26</v>
      </c>
      <c r="K137" s="20" t="s">
        <v>26</v>
      </c>
      <c r="L137" s="20" t="s">
        <v>26</v>
      </c>
      <c r="M137" s="20" t="s">
        <v>26</v>
      </c>
      <c r="N137" s="20"/>
      <c r="O137" s="20"/>
      <c r="P137" s="20" t="s">
        <v>26</v>
      </c>
      <c r="Q137" s="20" t="b">
        <v>0</v>
      </c>
    </row>
    <row r="138" spans="1:17">
      <c r="A138" s="20">
        <f t="shared" si="5"/>
        <v>137</v>
      </c>
      <c r="B138" s="21">
        <v>21</v>
      </c>
      <c r="C138" s="20" t="str" cm="1">
        <f t="array" ref="C138">GetValue("Tbl",B138,"Alias")</f>
        <v>Exp</v>
      </c>
      <c r="D138" s="20">
        <v>10</v>
      </c>
      <c r="E138" s="20" t="str" cm="1">
        <f t="array" ref="E138">GetValue("Dmn",D138,"Name")</f>
        <v>Nvarchar(25)</v>
      </c>
      <c r="F138" s="20">
        <f t="shared" si="12"/>
        <v>15</v>
      </c>
      <c r="G138" s="20" t="str" cm="1">
        <f t="array" ref="G138">GetColumnName(C138,IF(B138=B137,G137,""))</f>
        <v>Name</v>
      </c>
      <c r="H138" s="20" t="s">
        <v>808</v>
      </c>
      <c r="I138" s="20" t="s">
        <v>97</v>
      </c>
      <c r="J138" s="20" t="s">
        <v>26</v>
      </c>
      <c r="K138" s="20" t="s">
        <v>26</v>
      </c>
      <c r="L138" s="20" t="s">
        <v>26</v>
      </c>
      <c r="M138" s="20" t="s">
        <v>26</v>
      </c>
      <c r="N138" s="20"/>
      <c r="O138" s="20"/>
      <c r="P138" s="20" t="s">
        <v>26</v>
      </c>
      <c r="Q138" s="20" t="b">
        <v>0</v>
      </c>
    </row>
    <row r="139" spans="1:17">
      <c r="A139" s="18">
        <f t="shared" si="5"/>
        <v>138</v>
      </c>
      <c r="B139" s="19">
        <v>22</v>
      </c>
      <c r="C139" s="18" t="str" cm="1">
        <f t="array" ref="C139">GetValue("Tbl",B139,"Alias")</f>
        <v>Cnd</v>
      </c>
      <c r="D139" s="18">
        <v>1</v>
      </c>
      <c r="E139" s="18" t="str" cm="1">
        <f t="array" ref="E139">GetValue("Dmn",D139,"Name")</f>
        <v>BigInteger</v>
      </c>
      <c r="F139" s="18">
        <f t="shared" si="12"/>
        <v>5</v>
      </c>
      <c r="G139" s="18" t="str" cm="1">
        <f t="array" ref="G139">GetColumnName(C139,IF(B139=B138,G138,""))</f>
        <v>Id</v>
      </c>
      <c r="H139" s="18" t="s">
        <v>809</v>
      </c>
      <c r="I139" s="18" t="s">
        <v>0</v>
      </c>
      <c r="J139" s="18" t="b">
        <v>1</v>
      </c>
      <c r="K139" s="18" t="b">
        <v>1</v>
      </c>
      <c r="L139" s="18" t="b">
        <v>0</v>
      </c>
      <c r="M139" s="18" t="b">
        <v>0</v>
      </c>
      <c r="N139" s="18"/>
      <c r="O139" s="18"/>
      <c r="P139" s="18" t="s">
        <v>26</v>
      </c>
      <c r="Q139" s="18" t="b">
        <v>0</v>
      </c>
    </row>
    <row r="140" spans="1:17">
      <c r="A140" s="18">
        <f t="shared" si="5"/>
        <v>139</v>
      </c>
      <c r="B140" s="19">
        <v>22</v>
      </c>
      <c r="C140" s="18" t="str" cm="1">
        <f t="array" ref="C140">GetValue("Tbl",B140,"Alias")</f>
        <v>Cnd</v>
      </c>
      <c r="D140" s="18">
        <v>1</v>
      </c>
      <c r="E140" s="18" t="str" cm="1">
        <f t="array" ref="E140">GetValue("Dmn",D140,"Name")</f>
        <v>BigInteger</v>
      </c>
      <c r="F140" s="18">
        <f t="shared" ref="F140:F141" si="13">IF(G140="Id",5,F139+5)</f>
        <v>10</v>
      </c>
      <c r="G140" s="18" t="str" cm="1">
        <f t="array" ref="G140">GetColumnName(C140,IF(B140=B139,G139,""))</f>
        <v>ExpressionId</v>
      </c>
      <c r="H140" s="18" t="s">
        <v>807</v>
      </c>
      <c r="I140" s="18" t="s">
        <v>815</v>
      </c>
      <c r="J140" s="18" t="s">
        <v>26</v>
      </c>
      <c r="K140" s="18" t="s">
        <v>26</v>
      </c>
      <c r="L140" s="18" t="s">
        <v>26</v>
      </c>
      <c r="M140" s="18" t="s">
        <v>26</v>
      </c>
      <c r="N140" s="18"/>
      <c r="O140" s="18"/>
      <c r="P140" s="18" t="b">
        <v>0</v>
      </c>
      <c r="Q140" s="18" t="b">
        <v>0</v>
      </c>
    </row>
    <row r="141" spans="1:17">
      <c r="A141" s="18">
        <f t="shared" si="5"/>
        <v>140</v>
      </c>
      <c r="B141" s="19">
        <v>22</v>
      </c>
      <c r="C141" s="18" t="str" cm="1">
        <f t="array" ref="C141">GetValue("Tbl",B141,"Alias")</f>
        <v>Cnd</v>
      </c>
      <c r="D141" s="18">
        <v>4</v>
      </c>
      <c r="E141" s="18" t="str" cm="1">
        <f t="array" ref="E141">GetValue("Dmn",D141,"Name")</f>
        <v>SmallInteger</v>
      </c>
      <c r="F141" s="18">
        <f t="shared" si="13"/>
        <v>15</v>
      </c>
      <c r="G141" s="18" t="str" cm="1">
        <f t="array" ref="G141">GetColumnName(C141,IF(B141=B140,G140,""))</f>
        <v>Sequence</v>
      </c>
      <c r="H141" s="18" t="s">
        <v>810</v>
      </c>
      <c r="I141" s="18" t="s">
        <v>111</v>
      </c>
      <c r="J141" s="18" t="s">
        <v>26</v>
      </c>
      <c r="K141" s="18" t="s">
        <v>26</v>
      </c>
      <c r="L141" s="18" t="s">
        <v>26</v>
      </c>
      <c r="M141" s="18" t="s">
        <v>26</v>
      </c>
      <c r="N141" s="18"/>
      <c r="O141" s="18"/>
      <c r="P141" s="18" t="s">
        <v>26</v>
      </c>
      <c r="Q141" s="18" t="b">
        <v>0</v>
      </c>
    </row>
    <row r="142" spans="1:17">
      <c r="A142" s="18">
        <f>ROW(A142)-1</f>
        <v>141</v>
      </c>
      <c r="B142" s="19">
        <v>22</v>
      </c>
      <c r="C142" s="18" t="str" cm="1">
        <f t="array" ref="C142">GetValue("Tbl",B142,"Alias")</f>
        <v>Cnd</v>
      </c>
      <c r="D142" s="18">
        <v>8</v>
      </c>
      <c r="E142" s="18" t="str" cm="1">
        <f t="array" ref="E142">GetValue("Dmn",D142,"Name")</f>
        <v>Nvarchar(15)</v>
      </c>
      <c r="F142" s="18">
        <f>IF(G142="Id",5,F141+5)</f>
        <v>20</v>
      </c>
      <c r="G142" s="18" t="str" cm="1">
        <f t="array" ref="G142">GetColumnName(C142,IF(B142=B141,G141,""))</f>
        <v>Connector</v>
      </c>
      <c r="H142" s="18" t="s">
        <v>811</v>
      </c>
      <c r="I142" s="18" t="s">
        <v>804</v>
      </c>
      <c r="J142" s="18" t="s">
        <v>26</v>
      </c>
      <c r="K142" s="18" t="s">
        <v>26</v>
      </c>
      <c r="L142" s="18" t="s">
        <v>26</v>
      </c>
      <c r="M142" s="18" t="s">
        <v>26</v>
      </c>
      <c r="N142" s="18"/>
      <c r="O142" s="18"/>
      <c r="P142" s="18" t="s">
        <v>26</v>
      </c>
      <c r="Q142" s="18" t="b">
        <v>0</v>
      </c>
    </row>
    <row r="143" spans="1:17">
      <c r="A143" s="18">
        <f>ROW(A143)-1</f>
        <v>142</v>
      </c>
      <c r="B143" s="19">
        <v>22</v>
      </c>
      <c r="C143" s="18" t="str" cm="1">
        <f t="array" ref="C143">GetValue("Tbl",B143,"Alias")</f>
        <v>Cnd</v>
      </c>
      <c r="D143" s="18">
        <v>14</v>
      </c>
      <c r="E143" s="18" t="str" cm="1">
        <f t="array" ref="E143">GetValue("Dmn",D143,"Name")</f>
        <v>Nchar(1)</v>
      </c>
      <c r="F143" s="18">
        <f>IF(G143="Id",5,F142+5)</f>
        <v>25</v>
      </c>
      <c r="G143" s="18" t="str" cm="1">
        <f t="array" ref="G143">GetColumnName(C143,IF(B143=B142,G142,""))</f>
        <v>LeftParenthesis</v>
      </c>
      <c r="H143" s="18" t="s">
        <v>812</v>
      </c>
      <c r="I143" s="18" t="s">
        <v>816</v>
      </c>
      <c r="J143" s="18" t="s">
        <v>26</v>
      </c>
      <c r="K143" s="18" t="s">
        <v>26</v>
      </c>
      <c r="L143" s="18" t="s">
        <v>26</v>
      </c>
      <c r="M143" s="18" t="s">
        <v>26</v>
      </c>
      <c r="N143" s="18"/>
      <c r="O143" s="18"/>
      <c r="P143" s="18" t="s">
        <v>26</v>
      </c>
      <c r="Q143" s="18" t="b">
        <v>0</v>
      </c>
    </row>
    <row r="144" spans="1:17">
      <c r="A144" s="18">
        <f>ROW(A144)-1</f>
        <v>143</v>
      </c>
      <c r="B144" s="19">
        <v>22</v>
      </c>
      <c r="C144" s="18" t="str" cm="1">
        <f t="array" ref="C144">GetValue("Tbl",B144,"Alias")</f>
        <v>Cnd</v>
      </c>
      <c r="D144" s="18">
        <v>8</v>
      </c>
      <c r="E144" s="18" t="str" cm="1">
        <f t="array" ref="E144">GetValue("Dmn",D144,"Name")</f>
        <v>Nvarchar(15)</v>
      </c>
      <c r="F144" s="18">
        <f>IF(G144="Id",5,F143+5)</f>
        <v>30</v>
      </c>
      <c r="G144" s="18" t="str" cm="1">
        <f t="array" ref="G144">GetColumnName(C144,IF(B144=B143,G143,""))</f>
        <v>LeftColumnId</v>
      </c>
      <c r="H144" s="18" t="s">
        <v>801</v>
      </c>
      <c r="I144" s="18" t="s">
        <v>812</v>
      </c>
      <c r="J144" s="18" t="s">
        <v>26</v>
      </c>
      <c r="K144" s="18" t="s">
        <v>26</v>
      </c>
      <c r="L144" s="18" t="s">
        <v>26</v>
      </c>
      <c r="M144" s="18" t="s">
        <v>26</v>
      </c>
      <c r="N144" s="18"/>
      <c r="O144" s="18"/>
      <c r="P144" s="18" t="s">
        <v>26</v>
      </c>
      <c r="Q144" s="18" t="b">
        <v>0</v>
      </c>
    </row>
    <row r="145" spans="1:17">
      <c r="A145" s="18">
        <f t="shared" si="5"/>
        <v>144</v>
      </c>
      <c r="B145" s="19">
        <v>22</v>
      </c>
      <c r="C145" s="18" t="str" cm="1">
        <f t="array" ref="C145">GetValue("Tbl",B145,"Alias")</f>
        <v>Cnd</v>
      </c>
      <c r="D145" s="18">
        <v>1</v>
      </c>
      <c r="E145" s="18" t="str" cm="1">
        <f t="array" ref="E145">GetValue("Dmn",D145,"Name")</f>
        <v>BigInteger</v>
      </c>
      <c r="F145" s="18">
        <f>IF(G145="Id",5,F144+5)</f>
        <v>35</v>
      </c>
      <c r="G145" s="18" t="str" cm="1">
        <f t="array" ref="G145">GetColumnName(C145,IF(B145=B144,G144,""))</f>
        <v>ComparatorId</v>
      </c>
      <c r="H145" s="18" t="s">
        <v>902</v>
      </c>
      <c r="I145" s="18" t="s">
        <v>758</v>
      </c>
      <c r="J145" s="18" t="s">
        <v>26</v>
      </c>
      <c r="K145" s="18" t="s">
        <v>26</v>
      </c>
      <c r="L145" s="18" t="s">
        <v>26</v>
      </c>
      <c r="M145" s="18" t="s">
        <v>26</v>
      </c>
      <c r="N145" s="18"/>
      <c r="O145" s="18"/>
      <c r="P145" s="18" t="s">
        <v>26</v>
      </c>
      <c r="Q145" s="18" t="b">
        <v>0</v>
      </c>
    </row>
    <row r="146" spans="1:17">
      <c r="A146" s="18">
        <f t="shared" si="5"/>
        <v>145</v>
      </c>
      <c r="B146" s="19">
        <v>22</v>
      </c>
      <c r="C146" s="18" t="str" cm="1">
        <f t="array" ref="C146">GetValue("Tbl",B146,"Alias")</f>
        <v>Cnd</v>
      </c>
      <c r="D146" s="18">
        <v>1</v>
      </c>
      <c r="E146" s="18" t="str" cm="1">
        <f t="array" ref="E146">GetValue("Dmn",D146,"Name")</f>
        <v>BigInteger</v>
      </c>
      <c r="F146" s="18">
        <f t="shared" ref="F146:F149" si="14">IF(G146="Id",5,F145+5)</f>
        <v>40</v>
      </c>
      <c r="G146" s="18" t="str" cm="1">
        <f t="array" ref="G146">GetColumnName(C146,IF(B146=B145,G145,""))</f>
        <v>RightColumnId</v>
      </c>
      <c r="H146" s="18" t="s">
        <v>802</v>
      </c>
      <c r="I146" s="18" t="s">
        <v>805</v>
      </c>
      <c r="J146" s="18" t="s">
        <v>26</v>
      </c>
      <c r="K146" s="18" t="s">
        <v>26</v>
      </c>
      <c r="L146" s="18" t="s">
        <v>26</v>
      </c>
      <c r="M146" s="18" t="s">
        <v>26</v>
      </c>
      <c r="N146" s="18"/>
      <c r="O146" s="18"/>
      <c r="P146" s="18" t="s">
        <v>26</v>
      </c>
      <c r="Q146" s="18" t="b">
        <v>0</v>
      </c>
    </row>
    <row r="147" spans="1:17">
      <c r="A147" s="18">
        <f t="shared" si="5"/>
        <v>146</v>
      </c>
      <c r="B147" s="19">
        <v>22</v>
      </c>
      <c r="C147" s="18" t="str" cm="1">
        <f t="array" ref="C147">GetValue("Tbl",B147,"Alias")</f>
        <v>Cnd</v>
      </c>
      <c r="D147" s="18">
        <v>42</v>
      </c>
      <c r="E147" s="18" t="str" cm="1">
        <f t="array" ref="E147">GetValue("Dmn",D147,"Name")</f>
        <v>Variant</v>
      </c>
      <c r="F147" s="18">
        <f t="shared" si="14"/>
        <v>45</v>
      </c>
      <c r="G147" s="18" t="str" cm="1">
        <f t="array" ref="G147">GetColumnName(C147,IF(B147=B146,G146,""))</f>
        <v>RightValue</v>
      </c>
      <c r="H147" s="18" t="s">
        <v>813</v>
      </c>
      <c r="I147" s="18" t="s">
        <v>813</v>
      </c>
      <c r="J147" s="18" t="s">
        <v>26</v>
      </c>
      <c r="K147" s="18" t="s">
        <v>26</v>
      </c>
      <c r="L147" s="18" t="s">
        <v>26</v>
      </c>
      <c r="M147" s="18" t="s">
        <v>26</v>
      </c>
      <c r="N147" s="18"/>
      <c r="O147" s="18"/>
      <c r="P147" s="18" t="s">
        <v>26</v>
      </c>
      <c r="Q147" s="18" t="b">
        <v>0</v>
      </c>
    </row>
    <row r="148" spans="1:17">
      <c r="A148" s="18">
        <f t="shared" si="5"/>
        <v>147</v>
      </c>
      <c r="B148" s="19">
        <v>22</v>
      </c>
      <c r="C148" s="18" t="str" cm="1">
        <f t="array" ref="C148">GetValue("Tbl",B148,"Alias")</f>
        <v>Cnd</v>
      </c>
      <c r="D148" s="18">
        <v>8</v>
      </c>
      <c r="E148" s="18" t="str" cm="1">
        <f t="array" ref="E148">GetValue("Dmn",D148,"Name")</f>
        <v>Nvarchar(15)</v>
      </c>
      <c r="F148" s="18">
        <f t="shared" si="14"/>
        <v>50</v>
      </c>
      <c r="G148" s="18" t="str" cm="1">
        <f t="array" ref="G148">GetColumnName(C148,IF(B148=B147,G147,""))</f>
        <v>RightParenthesis</v>
      </c>
      <c r="H148" s="18" t="s">
        <v>814</v>
      </c>
      <c r="I148" s="18" t="s">
        <v>814</v>
      </c>
      <c r="J148" s="18" t="s">
        <v>26</v>
      </c>
      <c r="K148" s="18" t="s">
        <v>26</v>
      </c>
      <c r="L148" s="18" t="s">
        <v>26</v>
      </c>
      <c r="M148" s="18" t="s">
        <v>26</v>
      </c>
      <c r="N148" s="18"/>
      <c r="O148" s="18"/>
      <c r="P148" s="18" t="s">
        <v>26</v>
      </c>
      <c r="Q148" s="18" t="b">
        <v>0</v>
      </c>
    </row>
    <row r="149" spans="1:17">
      <c r="A149" s="20">
        <f t="shared" si="5"/>
        <v>148</v>
      </c>
      <c r="B149" s="21">
        <v>23</v>
      </c>
      <c r="C149" s="20" t="str" cm="1">
        <f t="array" ref="C149">GetValue("Tbl",B149,"Alias")</f>
        <v>Ref</v>
      </c>
      <c r="D149" s="20">
        <v>1</v>
      </c>
      <c r="E149" s="20" t="str" cm="1">
        <f t="array" ref="E149">GetValue("Dmn",D149,"Name")</f>
        <v>BigInteger</v>
      </c>
      <c r="F149" s="20">
        <f t="shared" si="14"/>
        <v>5</v>
      </c>
      <c r="G149" s="20" t="str" cm="1">
        <f t="array" ref="G149">GetColumnName(C149,IF(B149=B148,G148,""))</f>
        <v>Id</v>
      </c>
      <c r="H149" s="20" t="s">
        <v>818</v>
      </c>
      <c r="I149" s="20" t="s">
        <v>0</v>
      </c>
      <c r="J149" s="20" t="b">
        <v>1</v>
      </c>
      <c r="K149" s="20" t="b">
        <v>1</v>
      </c>
      <c r="L149" s="20" t="b">
        <v>0</v>
      </c>
      <c r="M149" s="20" t="b">
        <v>0</v>
      </c>
      <c r="N149" s="20"/>
      <c r="O149" s="20"/>
      <c r="P149" s="20" t="b">
        <v>0</v>
      </c>
      <c r="Q149" s="20" t="b">
        <v>0</v>
      </c>
    </row>
    <row r="150" spans="1:17">
      <c r="A150" s="20">
        <f t="shared" si="5"/>
        <v>149</v>
      </c>
      <c r="B150" s="21">
        <v>23</v>
      </c>
      <c r="C150" s="20" t="str" cm="1">
        <f t="array" ref="C150">GetValue("Tbl",B150,"Alias")</f>
        <v>Ref</v>
      </c>
      <c r="D150" s="20">
        <v>1</v>
      </c>
      <c r="E150" s="20" t="str" cm="1">
        <f t="array" ref="E150">GetValue("Dmn",D150,"Name")</f>
        <v>BigInteger</v>
      </c>
      <c r="F150" s="20">
        <f t="shared" ref="F150:F153" si="15">IF(G150="Id",5,F149+5)</f>
        <v>10</v>
      </c>
      <c r="G150" s="20" t="str" cm="1">
        <f t="array" ref="G150">GetColumnName(C150,IF(B150=B149,G149,""))</f>
        <v>ColumnId</v>
      </c>
      <c r="H150" s="20" t="s">
        <v>777</v>
      </c>
      <c r="I150" s="20" t="s">
        <v>626</v>
      </c>
      <c r="J150" s="20" t="s">
        <v>26</v>
      </c>
      <c r="K150" s="20" t="s">
        <v>26</v>
      </c>
      <c r="L150" s="20" t="s">
        <v>26</v>
      </c>
      <c r="M150" s="20" t="s">
        <v>26</v>
      </c>
      <c r="N150" s="20"/>
      <c r="O150" s="20"/>
      <c r="P150" s="20" t="s">
        <v>26</v>
      </c>
      <c r="Q150" s="20" t="b">
        <v>0</v>
      </c>
    </row>
    <row r="151" spans="1:17">
      <c r="A151" s="20">
        <f t="shared" si="5"/>
        <v>150</v>
      </c>
      <c r="B151" s="21">
        <v>23</v>
      </c>
      <c r="C151" s="20" t="str" cm="1">
        <f t="array" ref="C151">GetValue("Tbl",B151,"Alias")</f>
        <v>Ref</v>
      </c>
      <c r="D151" s="20">
        <v>1</v>
      </c>
      <c r="E151" s="20" t="str" cm="1">
        <f t="array" ref="E151">GetValue("Dmn",D151,"Name")</f>
        <v>BigInteger</v>
      </c>
      <c r="F151" s="20">
        <f t="shared" si="15"/>
        <v>15</v>
      </c>
      <c r="G151" s="20" t="str" cm="1">
        <f t="array" ref="G151">GetColumnName(C151,IF(B151=B150,G150,""))</f>
        <v>TableId</v>
      </c>
      <c r="H151" s="20" t="s">
        <v>595</v>
      </c>
      <c r="I151" s="20" t="s">
        <v>117</v>
      </c>
      <c r="J151" s="20" t="s">
        <v>26</v>
      </c>
      <c r="K151" s="20" t="s">
        <v>26</v>
      </c>
      <c r="L151" s="20" t="s">
        <v>26</v>
      </c>
      <c r="M151" s="20" t="s">
        <v>26</v>
      </c>
      <c r="N151" s="20"/>
      <c r="O151" s="20"/>
      <c r="P151" s="20" t="s">
        <v>26</v>
      </c>
      <c r="Q151" s="20" t="b">
        <v>0</v>
      </c>
    </row>
    <row r="152" spans="1:17">
      <c r="A152" s="20">
        <f t="shared" si="5"/>
        <v>151</v>
      </c>
      <c r="B152" s="21">
        <v>23</v>
      </c>
      <c r="C152" s="20" t="str" cm="1">
        <f t="array" ref="C152">GetValue("Tbl",B152,"Alias")</f>
        <v>Ref</v>
      </c>
      <c r="D152" s="20">
        <v>1</v>
      </c>
      <c r="E152" s="20" t="str" cm="1">
        <f t="array" ref="E152">GetValue("Dmn",D152,"Name")</f>
        <v>BigInteger</v>
      </c>
      <c r="F152" s="20">
        <f t="shared" si="15"/>
        <v>20</v>
      </c>
      <c r="G152" s="20" t="str" cm="1">
        <f t="array" ref="G152">GetColumnName(C152,IF(B152=B151,G151,""))</f>
        <v>ExpressionId</v>
      </c>
      <c r="H152" s="20" t="s">
        <v>807</v>
      </c>
      <c r="I152" s="20" t="s">
        <v>815</v>
      </c>
      <c r="J152" s="20" t="s">
        <v>26</v>
      </c>
      <c r="K152" s="20" t="s">
        <v>26</v>
      </c>
      <c r="L152" s="20" t="s">
        <v>26</v>
      </c>
      <c r="M152" s="20" t="s">
        <v>26</v>
      </c>
      <c r="N152" s="20"/>
      <c r="O152" s="20"/>
      <c r="P152" s="20" t="s">
        <v>26</v>
      </c>
      <c r="Q152" s="20" t="b">
        <v>0</v>
      </c>
    </row>
    <row r="153" spans="1:17">
      <c r="A153" s="20">
        <f t="shared" si="5"/>
        <v>152</v>
      </c>
      <c r="B153" s="21">
        <v>23</v>
      </c>
      <c r="C153" s="20" t="str" cm="1">
        <f t="array" ref="C153">GetValue("Tbl",B153,"Alias")</f>
        <v>Ref</v>
      </c>
      <c r="D153" s="20">
        <v>9</v>
      </c>
      <c r="E153" s="20" t="str" cm="1">
        <f t="array" ref="E153">GetValue("Dmn",D153,"Name")</f>
        <v>Nvarchar(20)</v>
      </c>
      <c r="F153" s="20">
        <f t="shared" si="15"/>
        <v>25</v>
      </c>
      <c r="G153" s="20" t="str" cm="1">
        <f t="array" ref="G153">GetColumnName(C153,IF(B153=B152,G152,""))</f>
        <v>Alias</v>
      </c>
      <c r="H153" s="20" t="s">
        <v>903</v>
      </c>
      <c r="I153" s="20" t="s">
        <v>83</v>
      </c>
      <c r="J153" s="20" t="s">
        <v>26</v>
      </c>
      <c r="K153" s="20" t="s">
        <v>26</v>
      </c>
      <c r="L153" s="20" t="s">
        <v>26</v>
      </c>
      <c r="M153" s="20" t="s">
        <v>26</v>
      </c>
      <c r="N153" s="20"/>
      <c r="O153" s="20"/>
      <c r="P153" s="20" t="s">
        <v>26</v>
      </c>
      <c r="Q153" s="20" t="b">
        <v>0</v>
      </c>
    </row>
    <row r="154" spans="1:17">
      <c r="A154" s="20">
        <f t="shared" si="5"/>
        <v>153</v>
      </c>
      <c r="B154" s="21">
        <v>23</v>
      </c>
      <c r="C154" s="20" t="str" cm="1">
        <f t="array" ref="C154">GetValue("Tbl",B154,"Alias")</f>
        <v>Ref</v>
      </c>
      <c r="D154" s="20">
        <v>6</v>
      </c>
      <c r="E154" s="20" t="str" cm="1">
        <f t="array" ref="E154">GetValue("Dmn",D154,"Name")</f>
        <v>Boolean</v>
      </c>
      <c r="F154" s="20">
        <f t="shared" ref="F154" si="16">IF(G154="Id",5,F153+5)</f>
        <v>30</v>
      </c>
      <c r="G154" s="20" t="str" cm="1">
        <f t="array" ref="G154">GetColumnName(C154,IF(B154=B153,G153,""))</f>
        <v>IsParentChild</v>
      </c>
      <c r="H154" s="20" t="s">
        <v>803</v>
      </c>
      <c r="I154" s="20" t="s">
        <v>806</v>
      </c>
      <c r="J154" s="20" t="s">
        <v>26</v>
      </c>
      <c r="K154" s="20" t="s">
        <v>26</v>
      </c>
      <c r="L154" s="20" t="s">
        <v>26</v>
      </c>
      <c r="M154" s="20" t="s">
        <v>26</v>
      </c>
      <c r="N154" s="20"/>
      <c r="O154" s="20"/>
      <c r="P154" s="20" t="s">
        <v>26</v>
      </c>
      <c r="Q154" s="20" t="b">
        <v>0</v>
      </c>
    </row>
    <row r="155" spans="1:17">
      <c r="A155" s="18">
        <f t="shared" si="5"/>
        <v>154</v>
      </c>
      <c r="B155" s="19">
        <v>24</v>
      </c>
      <c r="C155" s="18" t="str" cm="1">
        <f t="array" ref="C155">GetValue("Tbl",B155,"Alias")</f>
        <v>Usr</v>
      </c>
      <c r="D155" s="18">
        <v>1</v>
      </c>
      <c r="E155" s="18" t="str" cm="1">
        <f t="array" ref="E155">GetValue("Dmn",D155,"Name")</f>
        <v>BigInteger</v>
      </c>
      <c r="F155" s="18">
        <f>IF(G155="Id",5,F153+5)</f>
        <v>5</v>
      </c>
      <c r="G155" s="18" t="str" cm="1">
        <f t="array" ref="G155">GetColumnName(C155,IF(B155=B153,G153,""))</f>
        <v>Id</v>
      </c>
      <c r="H155" s="18" t="s">
        <v>819</v>
      </c>
      <c r="I155" s="18" t="s">
        <v>0</v>
      </c>
      <c r="J155" s="18" t="b">
        <v>1</v>
      </c>
      <c r="K155" s="18" t="b">
        <v>1</v>
      </c>
      <c r="L155" s="18" t="b">
        <v>0</v>
      </c>
      <c r="M155" s="18" t="b">
        <v>0</v>
      </c>
      <c r="N155" s="18"/>
      <c r="O155" s="18"/>
      <c r="P155" s="18" t="b">
        <v>0</v>
      </c>
      <c r="Q155" s="18" t="b">
        <v>0</v>
      </c>
    </row>
    <row r="156" spans="1:17">
      <c r="A156" s="18">
        <f t="shared" si="5"/>
        <v>155</v>
      </c>
      <c r="B156" s="19">
        <v>24</v>
      </c>
      <c r="C156" s="18" t="str" cm="1">
        <f t="array" ref="C156">GetValue("Tbl",B156,"Alias")</f>
        <v>Usr</v>
      </c>
      <c r="D156" s="18">
        <v>1</v>
      </c>
      <c r="E156" s="18" t="str" cm="1">
        <f t="array" ref="E156">GetValue("Dmn",D156,"Name")</f>
        <v>BigInteger</v>
      </c>
      <c r="F156" s="18">
        <f t="shared" ref="F156:F161" si="17">IF(G156="Id",5,F155+5)</f>
        <v>10</v>
      </c>
      <c r="G156" s="18" t="str" cm="1">
        <f t="array" ref="G156">GetColumnName(C156,IF(B156=B155,G155,""))</f>
        <v>ClientId</v>
      </c>
      <c r="H156" s="18" t="s">
        <v>574</v>
      </c>
      <c r="I156" s="18" t="s">
        <v>575</v>
      </c>
      <c r="J156" s="18" t="s">
        <v>26</v>
      </c>
      <c r="K156" s="18" t="s">
        <v>26</v>
      </c>
      <c r="L156" s="18" t="s">
        <v>26</v>
      </c>
      <c r="M156" s="18" t="s">
        <v>26</v>
      </c>
      <c r="N156" s="18"/>
      <c r="O156" s="18"/>
      <c r="P156" s="18" t="s">
        <v>26</v>
      </c>
      <c r="Q156" s="18" t="b">
        <v>0</v>
      </c>
    </row>
    <row r="157" spans="1:17">
      <c r="A157" s="18">
        <f t="shared" si="5"/>
        <v>156</v>
      </c>
      <c r="B157" s="19">
        <v>24</v>
      </c>
      <c r="C157" s="18" t="str" cm="1">
        <f t="array" ref="C157">GetValue("Tbl",B157,"Alias")</f>
        <v>Usr</v>
      </c>
      <c r="D157" s="18">
        <v>10</v>
      </c>
      <c r="E157" s="18" t="str" cm="1">
        <f t="array" ref="E157">GetValue("Dmn",D157,"Name")</f>
        <v>Nvarchar(25)</v>
      </c>
      <c r="F157" s="18">
        <f t="shared" si="17"/>
        <v>15</v>
      </c>
      <c r="G157" s="18" t="str" cm="1">
        <f t="array" ref="G157">GetColumnName(C157,IF(B157=B156,G156,""))</f>
        <v>Name</v>
      </c>
      <c r="H157" s="18" t="s">
        <v>97</v>
      </c>
      <c r="I157" s="18" t="s">
        <v>97</v>
      </c>
      <c r="J157" s="18" t="s">
        <v>26</v>
      </c>
      <c r="K157" s="18" t="s">
        <v>26</v>
      </c>
      <c r="L157" s="18" t="s">
        <v>26</v>
      </c>
      <c r="M157" s="18" t="s">
        <v>26</v>
      </c>
      <c r="N157" s="18"/>
      <c r="O157" s="18"/>
      <c r="P157" s="18" t="s">
        <v>26</v>
      </c>
      <c r="Q157" s="18" t="b">
        <v>0</v>
      </c>
    </row>
    <row r="158" spans="1:17">
      <c r="A158" s="18">
        <f t="shared" si="5"/>
        <v>157</v>
      </c>
      <c r="B158" s="19">
        <v>24</v>
      </c>
      <c r="C158" s="18" t="str" cm="1">
        <f t="array" ref="C158">GetValue("Tbl",B158,"Alias")</f>
        <v>Usr</v>
      </c>
      <c r="D158" s="18">
        <v>19</v>
      </c>
      <c r="E158" s="18" t="str" cm="1">
        <f t="array" ref="E158">GetValue("Dmn",D158,"Name")</f>
        <v>Varchar(256)</v>
      </c>
      <c r="F158" s="18">
        <f t="shared" si="17"/>
        <v>20</v>
      </c>
      <c r="G158" s="18" t="str" cm="1">
        <f t="array" ref="G158">GetColumnName(C158,IF(B158=B157,G157,""))</f>
        <v>Password</v>
      </c>
      <c r="H158" s="18" t="s">
        <v>820</v>
      </c>
      <c r="I158" s="18" t="s">
        <v>820</v>
      </c>
      <c r="J158" s="18" t="s">
        <v>26</v>
      </c>
      <c r="K158" s="18" t="s">
        <v>26</v>
      </c>
      <c r="L158" s="18" t="s">
        <v>26</v>
      </c>
      <c r="M158" s="18" t="s">
        <v>26</v>
      </c>
      <c r="N158" s="18"/>
      <c r="O158" s="18"/>
      <c r="P158" s="18" t="s">
        <v>26</v>
      </c>
      <c r="Q158" s="18" t="b">
        <v>0</v>
      </c>
    </row>
    <row r="159" spans="1:17">
      <c r="A159" s="18">
        <f t="shared" si="5"/>
        <v>158</v>
      </c>
      <c r="B159" s="19">
        <v>24</v>
      </c>
      <c r="C159" s="18" t="str" cm="1">
        <f t="array" ref="C159">GetValue("Tbl",B159,"Alias")</f>
        <v>Usr</v>
      </c>
      <c r="D159" s="18">
        <v>5</v>
      </c>
      <c r="E159" s="18" t="str" cm="1">
        <f t="array" ref="E159">GetValue("Dmn",D159,"Name")</f>
        <v>TinyInteger</v>
      </c>
      <c r="F159" s="18">
        <f t="shared" si="17"/>
        <v>25</v>
      </c>
      <c r="G159" s="18" t="str" cm="1">
        <f t="array" ref="G159">GetColumnName(C159,IF(B159=B158,G158,""))</f>
        <v>RetryLogins</v>
      </c>
      <c r="H159" s="18" t="s">
        <v>821</v>
      </c>
      <c r="I159" s="18" t="s">
        <v>823</v>
      </c>
      <c r="J159" s="18" t="s">
        <v>26</v>
      </c>
      <c r="K159" s="18" t="s">
        <v>26</v>
      </c>
      <c r="L159" s="18" t="s">
        <v>26</v>
      </c>
      <c r="M159" s="18" t="s">
        <v>26</v>
      </c>
      <c r="N159" s="18"/>
      <c r="O159" s="18"/>
      <c r="P159" s="18" t="s">
        <v>26</v>
      </c>
      <c r="Q159" s="18" t="b">
        <v>0</v>
      </c>
    </row>
    <row r="160" spans="1:17">
      <c r="A160" s="18">
        <f t="shared" si="5"/>
        <v>159</v>
      </c>
      <c r="B160" s="19">
        <v>24</v>
      </c>
      <c r="C160" s="18" t="str" cm="1">
        <f t="array" ref="C160">GetValue("Tbl",B160,"Alias")</f>
        <v>Usr</v>
      </c>
      <c r="D160" s="18">
        <v>6</v>
      </c>
      <c r="E160" s="18" t="str" cm="1">
        <f t="array" ref="E160">GetValue("Dmn",D160,"Name")</f>
        <v>Boolean</v>
      </c>
      <c r="F160" s="18">
        <f t="shared" si="17"/>
        <v>30</v>
      </c>
      <c r="G160" s="18" t="str" cm="1">
        <f t="array" ref="G160">GetColumnName(C160,IF(B160=B159,G159,""))</f>
        <v>IsActive</v>
      </c>
      <c r="H160" s="18" t="s">
        <v>822</v>
      </c>
      <c r="I160" s="18" t="s">
        <v>112</v>
      </c>
      <c r="J160" s="18" t="s">
        <v>26</v>
      </c>
      <c r="K160" s="18" t="s">
        <v>26</v>
      </c>
      <c r="L160" s="18" t="s">
        <v>26</v>
      </c>
      <c r="M160" s="18" t="s">
        <v>26</v>
      </c>
      <c r="N160" s="18"/>
      <c r="O160" s="18"/>
      <c r="P160" s="18" t="s">
        <v>26</v>
      </c>
      <c r="Q160" s="18" t="b">
        <v>0</v>
      </c>
    </row>
    <row r="161" spans="1:17">
      <c r="A161" s="20">
        <f t="shared" si="5"/>
        <v>160</v>
      </c>
      <c r="B161" s="21">
        <v>25</v>
      </c>
      <c r="C161" s="20" t="str" cm="1">
        <f t="array" ref="C161">GetValue("Tbl",B161,"Alias")</f>
        <v>Prm</v>
      </c>
      <c r="D161" s="20">
        <v>1</v>
      </c>
      <c r="E161" s="20" t="str" cm="1">
        <f t="array" ref="E161">GetValue("Dmn",D161,"Name")</f>
        <v>BigInteger</v>
      </c>
      <c r="F161" s="20">
        <f t="shared" si="17"/>
        <v>5</v>
      </c>
      <c r="G161" s="20" t="str" cm="1">
        <f t="array" ref="G161">GetColumnName(C161,IF(B161=B160,G160,""))</f>
        <v>Id</v>
      </c>
      <c r="H161" s="20" t="s">
        <v>824</v>
      </c>
      <c r="I161" s="20" t="s">
        <v>0</v>
      </c>
      <c r="J161" s="20" t="b">
        <v>1</v>
      </c>
      <c r="K161" s="20" t="b">
        <v>1</v>
      </c>
      <c r="L161" s="20" t="b">
        <v>0</v>
      </c>
      <c r="M161" s="20" t="b">
        <v>0</v>
      </c>
      <c r="N161" s="20"/>
      <c r="O161" s="20"/>
      <c r="P161" s="20" t="b">
        <v>0</v>
      </c>
      <c r="Q161" s="20" t="b">
        <v>0</v>
      </c>
    </row>
    <row r="162" spans="1:17">
      <c r="A162" s="20">
        <f t="shared" si="5"/>
        <v>161</v>
      </c>
      <c r="B162" s="21">
        <v>25</v>
      </c>
      <c r="C162" s="20" t="str" cm="1">
        <f t="array" ref="C162">GetValue("Tbl",B162,"Alias")</f>
        <v>Prm</v>
      </c>
      <c r="D162" s="20">
        <v>1</v>
      </c>
      <c r="E162" s="20" t="str" cm="1">
        <f t="array" ref="E162">GetValue("Dmn",D162,"Name")</f>
        <v>BigInteger</v>
      </c>
      <c r="F162" s="20">
        <f t="shared" ref="F162:F169" si="18">IF(G162="Id",5,F161+5)</f>
        <v>10</v>
      </c>
      <c r="G162" s="20" t="str" cm="1">
        <f t="array" ref="G162">GetColumnName(C162,IF(B162=B161,G161,""))</f>
        <v>SystemId</v>
      </c>
      <c r="H162" s="20" t="s">
        <v>586</v>
      </c>
      <c r="I162" s="20" t="s">
        <v>110</v>
      </c>
      <c r="J162" s="20" t="s">
        <v>26</v>
      </c>
      <c r="K162" s="20" t="s">
        <v>26</v>
      </c>
      <c r="L162" s="20" t="s">
        <v>26</v>
      </c>
      <c r="M162" s="20" t="s">
        <v>26</v>
      </c>
      <c r="N162" s="20"/>
      <c r="O162" s="20"/>
      <c r="P162" s="20" t="s">
        <v>26</v>
      </c>
      <c r="Q162" s="20" t="b">
        <v>0</v>
      </c>
    </row>
    <row r="163" spans="1:17">
      <c r="A163" s="20">
        <f t="shared" si="5"/>
        <v>162</v>
      </c>
      <c r="B163" s="21">
        <v>25</v>
      </c>
      <c r="C163" s="20" t="str" cm="1">
        <f t="array" ref="C163">GetValue("Tbl",B163,"Alias")</f>
        <v>Prm</v>
      </c>
      <c r="D163" s="20">
        <v>1</v>
      </c>
      <c r="E163" s="20" t="str" cm="1">
        <f t="array" ref="E163">GetValue("Dmn",D163,"Name")</f>
        <v>BigInteger</v>
      </c>
      <c r="F163" s="20">
        <f t="shared" si="18"/>
        <v>15</v>
      </c>
      <c r="G163" s="20" t="str" cm="1">
        <f t="array" ref="G163">GetColumnName(C163,IF(B163=B162,G162,""))</f>
        <v>UserId</v>
      </c>
      <c r="H163" s="20" t="s">
        <v>825</v>
      </c>
      <c r="I163" s="20" t="s">
        <v>830</v>
      </c>
      <c r="J163" s="20" t="s">
        <v>26</v>
      </c>
      <c r="K163" s="20" t="s">
        <v>26</v>
      </c>
      <c r="L163" s="20" t="s">
        <v>26</v>
      </c>
      <c r="M163" s="20" t="s">
        <v>26</v>
      </c>
      <c r="N163" s="20"/>
      <c r="O163" s="20"/>
      <c r="P163" s="20" t="s">
        <v>26</v>
      </c>
      <c r="Q163" s="20" t="b">
        <v>0</v>
      </c>
    </row>
    <row r="164" spans="1:17">
      <c r="A164" s="20">
        <f t="shared" si="5"/>
        <v>163</v>
      </c>
      <c r="B164" s="21">
        <v>25</v>
      </c>
      <c r="C164" s="20" t="str" cm="1">
        <f t="array" ref="C164">GetValue("Tbl",B164,"Alias")</f>
        <v>Prm</v>
      </c>
      <c r="D164" s="20">
        <v>1</v>
      </c>
      <c r="E164" s="20" t="str" cm="1">
        <f t="array" ref="E164">GetValue("Dmn",D164,"Name")</f>
        <v>BigInteger</v>
      </c>
      <c r="F164" s="20">
        <f t="shared" si="18"/>
        <v>20</v>
      </c>
      <c r="G164" s="20" t="str" cm="1">
        <f t="array" ref="G164">GetColumnName(C164,IF(B164=B163,G163,""))</f>
        <v>TableId</v>
      </c>
      <c r="H164" s="20" t="s">
        <v>595</v>
      </c>
      <c r="I164" s="20" t="s">
        <v>117</v>
      </c>
      <c r="J164" s="20" t="s">
        <v>26</v>
      </c>
      <c r="K164" s="20" t="s">
        <v>26</v>
      </c>
      <c r="L164" s="20" t="s">
        <v>26</v>
      </c>
      <c r="M164" s="20" t="s">
        <v>26</v>
      </c>
      <c r="N164" s="20"/>
      <c r="O164" s="20"/>
      <c r="P164" s="20" t="s">
        <v>26</v>
      </c>
      <c r="Q164" s="20" t="b">
        <v>0</v>
      </c>
    </row>
    <row r="165" spans="1:17">
      <c r="A165" s="20">
        <f t="shared" si="5"/>
        <v>164</v>
      </c>
      <c r="B165" s="21">
        <v>25</v>
      </c>
      <c r="C165" s="20" t="str" cm="1">
        <f t="array" ref="C165">GetValue("Tbl",B165,"Alias")</f>
        <v>Prm</v>
      </c>
      <c r="D165" s="20">
        <v>6</v>
      </c>
      <c r="E165" s="20" t="str" cm="1">
        <f t="array" ref="E165">GetValue("Dmn",D165,"Name")</f>
        <v>Boolean</v>
      </c>
      <c r="F165" s="20">
        <f t="shared" si="18"/>
        <v>25</v>
      </c>
      <c r="G165" s="20" t="str" cm="1">
        <f t="array" ref="G165">GetColumnName(C165,IF(B165=B164,G164,""))</f>
        <v>CanCreate</v>
      </c>
      <c r="H165" s="20" t="s">
        <v>826</v>
      </c>
      <c r="I165" s="20" t="s">
        <v>831</v>
      </c>
      <c r="J165" s="20" t="s">
        <v>26</v>
      </c>
      <c r="K165" s="20" t="s">
        <v>26</v>
      </c>
      <c r="L165" s="20" t="s">
        <v>26</v>
      </c>
      <c r="M165" s="20" t="s">
        <v>26</v>
      </c>
      <c r="N165" s="20"/>
      <c r="O165" s="20"/>
      <c r="P165" s="20" t="s">
        <v>26</v>
      </c>
      <c r="Q165" s="20" t="b">
        <v>0</v>
      </c>
    </row>
    <row r="166" spans="1:17">
      <c r="A166" s="20">
        <f t="shared" si="5"/>
        <v>165</v>
      </c>
      <c r="B166" s="21">
        <v>25</v>
      </c>
      <c r="C166" s="20" t="str" cm="1">
        <f t="array" ref="C166">GetValue("Tbl",B166,"Alias")</f>
        <v>Prm</v>
      </c>
      <c r="D166" s="20">
        <v>6</v>
      </c>
      <c r="E166" s="20" t="str" cm="1">
        <f t="array" ref="E166">GetValue("Dmn",D166,"Name")</f>
        <v>Boolean</v>
      </c>
      <c r="F166" s="20">
        <f t="shared" si="18"/>
        <v>30</v>
      </c>
      <c r="G166" s="20" t="str" cm="1">
        <f t="array" ref="G166">GetColumnName(C166,IF(B166=B165,G165,""))</f>
        <v>CanRead</v>
      </c>
      <c r="H166" s="20" t="s">
        <v>827</v>
      </c>
      <c r="I166" s="20" t="s">
        <v>832</v>
      </c>
      <c r="J166" s="20" t="s">
        <v>26</v>
      </c>
      <c r="K166" s="20" t="s">
        <v>26</v>
      </c>
      <c r="L166" s="20" t="s">
        <v>26</v>
      </c>
      <c r="M166" s="20" t="s">
        <v>26</v>
      </c>
      <c r="N166" s="20"/>
      <c r="O166" s="20"/>
      <c r="P166" s="20" t="s">
        <v>26</v>
      </c>
      <c r="Q166" s="20" t="b">
        <v>0</v>
      </c>
    </row>
    <row r="167" spans="1:17">
      <c r="A167" s="20">
        <f t="shared" si="5"/>
        <v>166</v>
      </c>
      <c r="B167" s="21">
        <v>25</v>
      </c>
      <c r="C167" s="20" t="str" cm="1">
        <f t="array" ref="C167">GetValue("Tbl",B167,"Alias")</f>
        <v>Prm</v>
      </c>
      <c r="D167" s="20">
        <v>6</v>
      </c>
      <c r="E167" s="20" t="str" cm="1">
        <f t="array" ref="E167">GetValue("Dmn",D167,"Name")</f>
        <v>Boolean</v>
      </c>
      <c r="F167" s="20">
        <f t="shared" si="18"/>
        <v>35</v>
      </c>
      <c r="G167" s="20" t="str" cm="1">
        <f t="array" ref="G167">GetColumnName(C167,IF(B167=B166,G166,""))</f>
        <v>CanUpdate</v>
      </c>
      <c r="H167" s="20" t="s">
        <v>828</v>
      </c>
      <c r="I167" s="20" t="s">
        <v>833</v>
      </c>
      <c r="J167" s="20" t="s">
        <v>26</v>
      </c>
      <c r="K167" s="20" t="s">
        <v>26</v>
      </c>
      <c r="L167" s="20" t="s">
        <v>26</v>
      </c>
      <c r="M167" s="20" t="s">
        <v>26</v>
      </c>
      <c r="N167" s="20"/>
      <c r="O167" s="20"/>
      <c r="P167" s="20" t="s">
        <v>26</v>
      </c>
      <c r="Q167" s="20" t="b">
        <v>0</v>
      </c>
    </row>
    <row r="168" spans="1:17">
      <c r="A168" s="20">
        <f t="shared" si="5"/>
        <v>167</v>
      </c>
      <c r="B168" s="21">
        <v>25</v>
      </c>
      <c r="C168" s="20" t="str" cm="1">
        <f t="array" ref="C168">GetValue("Tbl",B168,"Alias")</f>
        <v>Prm</v>
      </c>
      <c r="D168" s="20">
        <v>6</v>
      </c>
      <c r="E168" s="20" t="str" cm="1">
        <f t="array" ref="E168">GetValue("Dmn",D168,"Name")</f>
        <v>Boolean</v>
      </c>
      <c r="F168" s="20">
        <f t="shared" si="18"/>
        <v>40</v>
      </c>
      <c r="G168" s="20" t="str" cm="1">
        <f t="array" ref="G168">GetColumnName(C168,IF(B168=B167,G167,""))</f>
        <v>CanDelete</v>
      </c>
      <c r="H168" s="20" t="s">
        <v>829</v>
      </c>
      <c r="I168" s="20" t="s">
        <v>834</v>
      </c>
      <c r="J168" s="20" t="s">
        <v>26</v>
      </c>
      <c r="K168" s="20" t="s">
        <v>26</v>
      </c>
      <c r="L168" s="20" t="s">
        <v>26</v>
      </c>
      <c r="M168" s="20" t="s">
        <v>26</v>
      </c>
      <c r="N168" s="20"/>
      <c r="O168" s="20"/>
      <c r="P168" s="20" t="s">
        <v>26</v>
      </c>
      <c r="Q168" s="20" t="b">
        <v>0</v>
      </c>
    </row>
    <row r="169" spans="1:17">
      <c r="A169" s="18">
        <f t="shared" si="5"/>
        <v>168</v>
      </c>
      <c r="B169" s="19">
        <v>26</v>
      </c>
      <c r="C169" s="18" t="str" cm="1">
        <f t="array" ref="C169">GetValue("Tbl",B169,"Alias")</f>
        <v>Prp</v>
      </c>
      <c r="D169" s="18">
        <v>1</v>
      </c>
      <c r="E169" s="18" t="str" cm="1">
        <f t="array" ref="E169">GetValue("Dmn",D169,"Name")</f>
        <v>BigInteger</v>
      </c>
      <c r="F169" s="18">
        <f t="shared" si="18"/>
        <v>5</v>
      </c>
      <c r="G169" s="18" t="str" cm="1">
        <f t="array" ref="G169">GetColumnName(C169,IF(B169=B168,G168,""))</f>
        <v>Id</v>
      </c>
      <c r="H169" s="18" t="s">
        <v>837</v>
      </c>
      <c r="I169" s="18" t="s">
        <v>0</v>
      </c>
      <c r="J169" s="18" t="b">
        <v>1</v>
      </c>
      <c r="K169" s="18" t="b">
        <v>1</v>
      </c>
      <c r="L169" s="18" t="b">
        <v>0</v>
      </c>
      <c r="M169" s="18" t="b">
        <v>0</v>
      </c>
      <c r="N169" s="18"/>
      <c r="O169" s="18"/>
      <c r="P169" s="18" t="b">
        <v>0</v>
      </c>
      <c r="Q169" s="18" t="b">
        <v>0</v>
      </c>
    </row>
    <row r="170" spans="1:17">
      <c r="A170" s="18">
        <f t="shared" si="5"/>
        <v>169</v>
      </c>
      <c r="B170" s="19">
        <v>26</v>
      </c>
      <c r="C170" s="18" t="str" cm="1">
        <f t="array" ref="C170">GetValue("Tbl",B170,"Alias")</f>
        <v>Prp</v>
      </c>
      <c r="D170" s="18">
        <v>10</v>
      </c>
      <c r="E170" s="18" t="str" cm="1">
        <f t="array" ref="E170">GetValue("Dmn",D170,"Name")</f>
        <v>Nvarchar(25)</v>
      </c>
      <c r="F170" s="18">
        <f t="shared" ref="F170:F174" si="19">IF(G170="Id",5,F169+5)</f>
        <v>10</v>
      </c>
      <c r="G170" s="18" t="str" cm="1">
        <f t="array" ref="G170">GetColumnName(C170,IF(B170=B169,G169,""))</f>
        <v>Name</v>
      </c>
      <c r="H170" s="18" t="s">
        <v>838</v>
      </c>
      <c r="I170" s="18" t="s">
        <v>97</v>
      </c>
      <c r="J170" s="18" t="s">
        <v>26</v>
      </c>
      <c r="K170" s="18" t="s">
        <v>26</v>
      </c>
      <c r="L170" s="18" t="s">
        <v>26</v>
      </c>
      <c r="M170" s="18" t="s">
        <v>26</v>
      </c>
      <c r="N170" s="18"/>
      <c r="O170" s="18"/>
      <c r="P170" s="18" t="s">
        <v>26</v>
      </c>
      <c r="Q170" s="18" t="b">
        <v>0</v>
      </c>
    </row>
    <row r="171" spans="1:17">
      <c r="A171" s="18">
        <f t="shared" si="5"/>
        <v>170</v>
      </c>
      <c r="B171" s="19">
        <v>26</v>
      </c>
      <c r="C171" s="18" t="str" cm="1">
        <f t="array" ref="C171">GetValue("Tbl",B171,"Alias")</f>
        <v>Prp</v>
      </c>
      <c r="D171" s="18">
        <v>5</v>
      </c>
      <c r="E171" s="18" t="str" cm="1">
        <f t="array" ref="E171">GetValue("Dmn",D171,"Name")</f>
        <v>TinyInteger</v>
      </c>
      <c r="F171" s="18">
        <f t="shared" si="19"/>
        <v>15</v>
      </c>
      <c r="G171" s="18" t="str" cm="1">
        <f t="array" ref="G171">GetColumnName(C171,IF(B171=B170,G170,""))</f>
        <v>CategoryId</v>
      </c>
      <c r="H171" s="18" t="s">
        <v>839</v>
      </c>
      <c r="I171" s="18" t="s">
        <v>98</v>
      </c>
      <c r="J171" s="18" t="s">
        <v>26</v>
      </c>
      <c r="K171" s="18" t="s">
        <v>26</v>
      </c>
      <c r="L171" s="18" t="s">
        <v>26</v>
      </c>
      <c r="M171" s="18" t="s">
        <v>26</v>
      </c>
      <c r="N171" s="18"/>
      <c r="O171" s="18"/>
      <c r="P171" s="18" t="s">
        <v>26</v>
      </c>
      <c r="Q171" s="18" t="b">
        <v>0</v>
      </c>
    </row>
    <row r="172" spans="1:17">
      <c r="A172" s="18">
        <f t="shared" si="5"/>
        <v>171</v>
      </c>
      <c r="B172" s="19">
        <v>26</v>
      </c>
      <c r="C172" s="18" t="str" cm="1">
        <f t="array" ref="C172">GetValue("Tbl",B172,"Alias")</f>
        <v>Prp</v>
      </c>
      <c r="D172" s="18">
        <v>11</v>
      </c>
      <c r="E172" s="18" t="str" cm="1">
        <f t="array" ref="E172">GetValue("Dmn",D172,"Name")</f>
        <v>Nvarchar(50)</v>
      </c>
      <c r="F172" s="18">
        <f t="shared" si="19"/>
        <v>20</v>
      </c>
      <c r="G172" s="18" t="str" cm="1">
        <f t="array" ref="G172">GetColumnName(C172,IF(B172=B171,G171,""))</f>
        <v>Description</v>
      </c>
      <c r="H172" s="18" t="s">
        <v>835</v>
      </c>
      <c r="I172" s="18" t="s">
        <v>109</v>
      </c>
      <c r="J172" s="18" t="s">
        <v>26</v>
      </c>
      <c r="K172" s="18" t="s">
        <v>26</v>
      </c>
      <c r="L172" s="18" t="s">
        <v>26</v>
      </c>
      <c r="M172" s="18" t="s">
        <v>26</v>
      </c>
      <c r="N172" s="18"/>
      <c r="O172" s="18"/>
      <c r="P172" s="18" t="s">
        <v>26</v>
      </c>
      <c r="Q172" s="18" t="b">
        <v>0</v>
      </c>
    </row>
    <row r="173" spans="1:17">
      <c r="A173" s="18">
        <f t="shared" si="5"/>
        <v>172</v>
      </c>
      <c r="B173" s="19">
        <v>26</v>
      </c>
      <c r="C173" s="18" t="str" cm="1">
        <f t="array" ref="C173">GetValue("Tbl",B173,"Alias")</f>
        <v>Prp</v>
      </c>
      <c r="D173" s="18">
        <v>6</v>
      </c>
      <c r="E173" s="18" t="str" cm="1">
        <f t="array" ref="E173">GetValue("Dmn",D173,"Name")</f>
        <v>Boolean</v>
      </c>
      <c r="F173" s="18">
        <f t="shared" si="19"/>
        <v>25</v>
      </c>
      <c r="G173" s="18" t="str" cm="1">
        <f t="array" ref="G173">GetColumnName(C173,IF(B173=B172,G172,""))</f>
        <v>IsActive</v>
      </c>
      <c r="H173" s="18" t="s">
        <v>836</v>
      </c>
      <c r="I173" s="18" t="s">
        <v>840</v>
      </c>
      <c r="J173" s="18" t="s">
        <v>26</v>
      </c>
      <c r="K173" s="18" t="s">
        <v>26</v>
      </c>
      <c r="L173" s="18" t="s">
        <v>26</v>
      </c>
      <c r="M173" s="18" t="s">
        <v>26</v>
      </c>
      <c r="N173" s="18"/>
      <c r="O173" s="18"/>
      <c r="P173" s="18" t="s">
        <v>26</v>
      </c>
      <c r="Q173" s="18" t="b">
        <v>0</v>
      </c>
    </row>
    <row r="174" spans="1:17">
      <c r="A174" s="20">
        <f t="shared" si="5"/>
        <v>173</v>
      </c>
      <c r="B174" s="21">
        <v>27</v>
      </c>
      <c r="C174" s="20" t="str" cm="1">
        <f t="array" ref="C174">GetValue("Tbl",B174,"Alias")</f>
        <v>Bhv</v>
      </c>
      <c r="D174" s="20">
        <v>1</v>
      </c>
      <c r="E174" s="20" t="str" cm="1">
        <f t="array" ref="E174">GetValue("Dmn",D174,"Name")</f>
        <v>BigInteger</v>
      </c>
      <c r="F174" s="20">
        <f t="shared" si="19"/>
        <v>5</v>
      </c>
      <c r="G174" s="20" t="str" cm="1">
        <f t="array" ref="G174">GetColumnName(C174,IF(B174=B173,G173,""))</f>
        <v>Id</v>
      </c>
      <c r="H174" s="20" t="s">
        <v>864</v>
      </c>
      <c r="I174" s="20" t="s">
        <v>0</v>
      </c>
      <c r="J174" s="20" t="b">
        <v>1</v>
      </c>
      <c r="K174" s="20" t="b">
        <v>1</v>
      </c>
      <c r="L174" s="20" t="b">
        <v>0</v>
      </c>
      <c r="M174" s="20" t="b">
        <v>0</v>
      </c>
      <c r="N174" s="20"/>
      <c r="O174" s="20"/>
      <c r="P174" s="20" t="b">
        <v>0</v>
      </c>
      <c r="Q174" s="20" t="b">
        <v>0</v>
      </c>
    </row>
    <row r="175" spans="1:17">
      <c r="A175" s="20">
        <f t="shared" si="5"/>
        <v>174</v>
      </c>
      <c r="B175" s="21">
        <v>27</v>
      </c>
      <c r="C175" s="20" t="str" cm="1">
        <f t="array" ref="C175">GetValue("Tbl",B175,"Alias")</f>
        <v>Bhv</v>
      </c>
      <c r="D175" s="20">
        <v>1</v>
      </c>
      <c r="E175" s="20" t="str" cm="1">
        <f t="array" ref="E175">GetValue("Dmn",D175,"Name")</f>
        <v>BigInteger</v>
      </c>
      <c r="F175" s="20">
        <f t="shared" ref="F175:F178" si="20">IF(G175="Id",5,F174+5)</f>
        <v>10</v>
      </c>
      <c r="G175" s="20" t="str" cm="1">
        <f t="array" ref="G175">GetColumnName(C175,IF(B175=B174,G174,""))</f>
        <v>ColumnId</v>
      </c>
      <c r="H175" s="20" t="s">
        <v>807</v>
      </c>
      <c r="I175" s="20" t="s">
        <v>815</v>
      </c>
      <c r="J175" s="20" t="s">
        <v>26</v>
      </c>
      <c r="K175" s="20" t="s">
        <v>26</v>
      </c>
      <c r="L175" s="20" t="s">
        <v>26</v>
      </c>
      <c r="M175" s="20" t="s">
        <v>26</v>
      </c>
      <c r="N175" s="20"/>
      <c r="O175" s="20"/>
      <c r="P175" s="20" t="s">
        <v>26</v>
      </c>
      <c r="Q175" s="20" t="b">
        <v>0</v>
      </c>
    </row>
    <row r="176" spans="1:17">
      <c r="A176" s="20">
        <f t="shared" si="5"/>
        <v>175</v>
      </c>
      <c r="B176" s="21">
        <v>27</v>
      </c>
      <c r="C176" s="20" t="str" cm="1">
        <f t="array" ref="C176">GetValue("Tbl",B176,"Alias")</f>
        <v>Bhv</v>
      </c>
      <c r="D176" s="20">
        <v>1</v>
      </c>
      <c r="E176" s="20" t="str" cm="1">
        <f t="array" ref="E176">GetValue("Dmn",D176,"Name")</f>
        <v>BigInteger</v>
      </c>
      <c r="F176" s="20">
        <f t="shared" si="20"/>
        <v>15</v>
      </c>
      <c r="G176" s="20" t="str" cm="1">
        <f t="array" ref="G176">GetColumnName(C176,IF(B176=B175,G175,""))</f>
        <v>ExpressionId</v>
      </c>
      <c r="H176" s="20" t="s">
        <v>837</v>
      </c>
      <c r="I176" s="20" t="s">
        <v>841</v>
      </c>
      <c r="J176" s="20" t="s">
        <v>26</v>
      </c>
      <c r="K176" s="20" t="s">
        <v>26</v>
      </c>
      <c r="L176" s="20" t="s">
        <v>26</v>
      </c>
      <c r="M176" s="20" t="s">
        <v>26</v>
      </c>
      <c r="N176" s="20"/>
      <c r="O176" s="20"/>
      <c r="P176" s="20" t="s">
        <v>26</v>
      </c>
      <c r="Q176" s="20" t="b">
        <v>0</v>
      </c>
    </row>
    <row r="177" spans="1:17">
      <c r="A177" s="20">
        <f t="shared" si="5"/>
        <v>176</v>
      </c>
      <c r="B177" s="21">
        <v>27</v>
      </c>
      <c r="C177" s="20" t="str" cm="1">
        <f t="array" ref="C177">GetValue("Tbl",B177,"Alias")</f>
        <v>Bhv</v>
      </c>
      <c r="D177" s="20">
        <v>42</v>
      </c>
      <c r="E177" s="20" t="str" cm="1">
        <f t="array" ref="E177">GetValue("Dmn",D177,"Name")</f>
        <v>Variant</v>
      </c>
      <c r="F177" s="20">
        <f t="shared" si="20"/>
        <v>20</v>
      </c>
      <c r="G177" s="20" t="str" cm="1">
        <f t="array" ref="G177">GetColumnName(C177,IF(B177=B176,G176,""))</f>
        <v>PropertyId</v>
      </c>
      <c r="H177" s="20" t="s">
        <v>843</v>
      </c>
      <c r="I177" s="20" t="s">
        <v>842</v>
      </c>
      <c r="J177" s="20" t="s">
        <v>26</v>
      </c>
      <c r="K177" s="20" t="s">
        <v>26</v>
      </c>
      <c r="L177" s="20" t="s">
        <v>26</v>
      </c>
      <c r="M177" s="20" t="s">
        <v>26</v>
      </c>
      <c r="N177" s="20"/>
      <c r="O177" s="20"/>
      <c r="P177" s="20" t="s">
        <v>26</v>
      </c>
      <c r="Q177" s="20" t="b">
        <v>0</v>
      </c>
    </row>
    <row r="178" spans="1:17">
      <c r="A178" s="18">
        <f t="shared" si="5"/>
        <v>177</v>
      </c>
      <c r="B178" s="19">
        <v>28</v>
      </c>
      <c r="C178" s="18" t="str" cm="1">
        <f t="array" ref="C178">GetValue("Tbl",B178,"Alias")</f>
        <v>Sch</v>
      </c>
      <c r="D178" s="18">
        <v>1</v>
      </c>
      <c r="E178" s="18" t="str" cm="1">
        <f t="array" ref="E178">GetValue("Dmn",D178,"Name")</f>
        <v>BigInteger</v>
      </c>
      <c r="F178" s="18">
        <f t="shared" si="20"/>
        <v>5</v>
      </c>
      <c r="G178" s="18" t="str" cm="1">
        <f t="array" ref="G178">GetColumnName(C178,IF(B178=B177,G177,""))</f>
        <v>Id</v>
      </c>
      <c r="H178" s="18" t="s">
        <v>844</v>
      </c>
      <c r="I178" s="18" t="s">
        <v>0</v>
      </c>
      <c r="J178" s="18" t="b">
        <v>1</v>
      </c>
      <c r="K178" s="18" t="b">
        <v>1</v>
      </c>
      <c r="L178" s="18" t="b">
        <v>0</v>
      </c>
      <c r="M178" s="18" t="b">
        <v>0</v>
      </c>
      <c r="N178" s="18"/>
      <c r="O178" s="18"/>
      <c r="P178" s="18" t="b">
        <v>0</v>
      </c>
      <c r="Q178" s="18" t="b">
        <v>0</v>
      </c>
    </row>
    <row r="179" spans="1:17">
      <c r="A179" s="18">
        <f t="shared" si="5"/>
        <v>178</v>
      </c>
      <c r="B179" s="19">
        <v>28</v>
      </c>
      <c r="C179" s="18" t="str" cm="1">
        <f t="array" ref="C179">GetValue("Tbl",B179,"Alias")</f>
        <v>Sch</v>
      </c>
      <c r="D179" s="18">
        <v>1</v>
      </c>
      <c r="E179" s="18" t="str" cm="1">
        <f t="array" ref="E179">GetValue("Dmn",D179,"Name")</f>
        <v>BigInteger</v>
      </c>
      <c r="F179" s="18">
        <f t="shared" ref="F179:F190" si="21">IF(G179="Id",5,F178+5)</f>
        <v>10</v>
      </c>
      <c r="G179" s="18" t="str" cm="1">
        <f t="array" ref="G179">GetColumnName(C179,IF(B179=B178,G178,""))</f>
        <v>ClientId</v>
      </c>
      <c r="H179" s="18" t="s">
        <v>845</v>
      </c>
      <c r="I179" s="18" t="s">
        <v>575</v>
      </c>
      <c r="J179" s="18" t="s">
        <v>26</v>
      </c>
      <c r="K179" s="18" t="s">
        <v>26</v>
      </c>
      <c r="L179" s="18" t="s">
        <v>26</v>
      </c>
      <c r="M179" s="18" t="s">
        <v>26</v>
      </c>
      <c r="N179" s="18"/>
      <c r="O179" s="18"/>
      <c r="P179" s="18" t="s">
        <v>26</v>
      </c>
      <c r="Q179" s="18" t="b">
        <v>0</v>
      </c>
    </row>
    <row r="180" spans="1:17">
      <c r="A180" s="18">
        <f t="shared" si="5"/>
        <v>179</v>
      </c>
      <c r="B180" s="19">
        <v>28</v>
      </c>
      <c r="C180" s="18" t="str" cm="1">
        <f t="array" ref="C180">GetValue("Tbl",B180,"Alias")</f>
        <v>Sch</v>
      </c>
      <c r="D180" s="18">
        <v>10</v>
      </c>
      <c r="E180" s="18" t="str" cm="1">
        <f t="array" ref="E180">GetValue("Dmn",D180,"Name")</f>
        <v>Nvarchar(25)</v>
      </c>
      <c r="F180" s="18">
        <f t="shared" si="21"/>
        <v>15</v>
      </c>
      <c r="G180" s="18" t="str" cm="1">
        <f t="array" ref="G180">GetColumnName(C180,IF(B180=B179,G179,""))</f>
        <v>Name</v>
      </c>
      <c r="H180" s="18" t="s">
        <v>846</v>
      </c>
      <c r="I180" s="18" t="s">
        <v>97</v>
      </c>
      <c r="J180" s="18" t="s">
        <v>26</v>
      </c>
      <c r="K180" s="18" t="s">
        <v>26</v>
      </c>
      <c r="L180" s="18" t="s">
        <v>26</v>
      </c>
      <c r="M180" s="18" t="s">
        <v>26</v>
      </c>
      <c r="N180" s="18"/>
      <c r="O180" s="18"/>
      <c r="P180" s="18" t="s">
        <v>26</v>
      </c>
      <c r="Q180" s="18" t="b">
        <v>0</v>
      </c>
    </row>
    <row r="181" spans="1:17">
      <c r="A181" s="18">
        <f t="shared" si="5"/>
        <v>180</v>
      </c>
      <c r="B181" s="19">
        <v>28</v>
      </c>
      <c r="C181" s="18" t="str" cm="1">
        <f t="array" ref="C181">GetValue("Tbl",B181,"Alias")</f>
        <v>Sch</v>
      </c>
      <c r="D181" s="18">
        <v>5</v>
      </c>
      <c r="E181" s="18" t="str" cm="1">
        <f t="array" ref="E181">GetValue("Dmn",D181,"Name")</f>
        <v>TinyInteger</v>
      </c>
      <c r="F181" s="18">
        <f t="shared" si="21"/>
        <v>20</v>
      </c>
      <c r="G181" s="18" t="str" cm="1">
        <f t="array" ref="G181">GetColumnName(C181,IF(B181=B180,G180,""))</f>
        <v>Interval</v>
      </c>
      <c r="H181" s="18" t="s">
        <v>847</v>
      </c>
      <c r="I181" s="18" t="s">
        <v>856</v>
      </c>
      <c r="J181" s="18" t="s">
        <v>26</v>
      </c>
      <c r="K181" s="18" t="s">
        <v>26</v>
      </c>
      <c r="L181" s="18" t="s">
        <v>26</v>
      </c>
      <c r="M181" s="18" t="s">
        <v>26</v>
      </c>
      <c r="N181" s="18"/>
      <c r="O181" s="18"/>
      <c r="P181" s="18" t="s">
        <v>26</v>
      </c>
      <c r="Q181" s="18" t="b">
        <v>0</v>
      </c>
    </row>
    <row r="182" spans="1:17">
      <c r="A182" s="18">
        <f t="shared" si="5"/>
        <v>181</v>
      </c>
      <c r="B182" s="19">
        <v>28</v>
      </c>
      <c r="C182" s="18" t="str" cm="1">
        <f t="array" ref="C182">GetValue("Tbl",B182,"Alias")</f>
        <v>Sch</v>
      </c>
      <c r="D182" s="18">
        <v>8</v>
      </c>
      <c r="E182" s="18" t="str" cm="1">
        <f t="array" ref="E182">GetValue("Dmn",D182,"Name")</f>
        <v>Nvarchar(15)</v>
      </c>
      <c r="F182" s="18">
        <f t="shared" si="21"/>
        <v>25</v>
      </c>
      <c r="G182" s="18" t="str" cm="1">
        <f t="array" ref="G182">GetColumnName(C182,IF(B182=B181,G181,""))</f>
        <v>Periodicity</v>
      </c>
      <c r="H182" s="18" t="s">
        <v>848</v>
      </c>
      <c r="I182" s="18" t="s">
        <v>857</v>
      </c>
      <c r="J182" s="18" t="s">
        <v>26</v>
      </c>
      <c r="K182" s="18" t="s">
        <v>26</v>
      </c>
      <c r="L182" s="18" t="s">
        <v>26</v>
      </c>
      <c r="M182" s="18" t="s">
        <v>26</v>
      </c>
      <c r="N182" s="18"/>
      <c r="O182" s="18"/>
      <c r="P182" s="18" t="s">
        <v>26</v>
      </c>
      <c r="Q182" s="18" t="b">
        <v>0</v>
      </c>
    </row>
    <row r="183" spans="1:17">
      <c r="A183" s="18">
        <f t="shared" si="5"/>
        <v>182</v>
      </c>
      <c r="B183" s="19">
        <v>28</v>
      </c>
      <c r="C183" s="18" t="str" cm="1">
        <f t="array" ref="C183">GetValue("Tbl",B183,"Alias")</f>
        <v>Sch</v>
      </c>
      <c r="D183" s="18">
        <v>51</v>
      </c>
      <c r="E183" s="18" t="str" cm="1">
        <f t="array" ref="E183">GetValue("Dmn",D183,"Name")</f>
        <v>TIME</v>
      </c>
      <c r="F183" s="18">
        <f t="shared" si="21"/>
        <v>30</v>
      </c>
      <c r="G183" s="18" t="str" cm="1">
        <f t="array" ref="G183">GetColumnName(C183,IF(B183=B182,G182,""))</f>
        <v>TimeOfDay</v>
      </c>
      <c r="H183" s="18" t="s">
        <v>849</v>
      </c>
      <c r="I183" s="18" t="s">
        <v>858</v>
      </c>
      <c r="J183" s="18" t="s">
        <v>26</v>
      </c>
      <c r="K183" s="18" t="s">
        <v>26</v>
      </c>
      <c r="L183" s="18" t="s">
        <v>26</v>
      </c>
      <c r="M183" s="18" t="s">
        <v>26</v>
      </c>
      <c r="N183" s="18"/>
      <c r="O183" s="18"/>
      <c r="P183" s="18" t="s">
        <v>26</v>
      </c>
      <c r="Q183" s="18" t="b">
        <v>0</v>
      </c>
    </row>
    <row r="184" spans="1:17">
      <c r="A184" s="18">
        <f t="shared" si="5"/>
        <v>183</v>
      </c>
      <c r="B184" s="19">
        <v>28</v>
      </c>
      <c r="C184" s="18" t="str" cm="1">
        <f t="array" ref="C184">GetValue("Tbl",B184,"Alias")</f>
        <v>Sch</v>
      </c>
      <c r="D184" s="18">
        <v>5</v>
      </c>
      <c r="E184" s="18" t="str" cm="1">
        <f t="array" ref="E184">GetValue("Dmn",D184,"Name")</f>
        <v>TinyInteger</v>
      </c>
      <c r="F184" s="18">
        <f t="shared" si="21"/>
        <v>35</v>
      </c>
      <c r="G184" s="18" t="str" cm="1">
        <f t="array" ref="G184">GetColumnName(C184,IF(B184=B183,G183,""))</f>
        <v>DayOfMonth</v>
      </c>
      <c r="H184" s="18" t="s">
        <v>850</v>
      </c>
      <c r="I184" s="18" t="s">
        <v>859</v>
      </c>
      <c r="J184" s="18" t="s">
        <v>26</v>
      </c>
      <c r="K184" s="18" t="s">
        <v>26</v>
      </c>
      <c r="L184" s="18" t="s">
        <v>26</v>
      </c>
      <c r="M184" s="18" t="s">
        <v>26</v>
      </c>
      <c r="N184" s="18"/>
      <c r="O184" s="18"/>
      <c r="P184" s="18" t="s">
        <v>26</v>
      </c>
      <c r="Q184" s="18" t="b">
        <v>0</v>
      </c>
    </row>
    <row r="185" spans="1:17">
      <c r="A185" s="18">
        <f t="shared" si="5"/>
        <v>184</v>
      </c>
      <c r="B185" s="19">
        <v>28</v>
      </c>
      <c r="C185" s="18" t="str" cm="1">
        <f t="array" ref="C185">GetValue("Tbl",B185,"Alias")</f>
        <v>Sch</v>
      </c>
      <c r="D185" s="18">
        <v>52</v>
      </c>
      <c r="E185" s="18" t="str" cm="1">
        <f t="array" ref="E185">GetValue("Dmn",D185,"Name")</f>
        <v>DATE</v>
      </c>
      <c r="F185" s="18">
        <f t="shared" si="21"/>
        <v>40</v>
      </c>
      <c r="G185" s="18" t="str" cm="1">
        <f t="array" ref="G185">GetColumnName(C185,IF(B185=B184,G184,""))</f>
        <v>NextRunDate</v>
      </c>
      <c r="H185" s="18" t="s">
        <v>851</v>
      </c>
      <c r="I185" s="18" t="s">
        <v>860</v>
      </c>
      <c r="J185" s="18" t="s">
        <v>26</v>
      </c>
      <c r="K185" s="18" t="s">
        <v>26</v>
      </c>
      <c r="L185" s="18" t="s">
        <v>26</v>
      </c>
      <c r="M185" s="18" t="s">
        <v>26</v>
      </c>
      <c r="N185" s="18"/>
      <c r="O185" s="18"/>
      <c r="P185" s="18" t="s">
        <v>26</v>
      </c>
      <c r="Q185" s="18" t="b">
        <v>0</v>
      </c>
    </row>
    <row r="186" spans="1:17">
      <c r="A186" s="18">
        <f t="shared" si="5"/>
        <v>185</v>
      </c>
      <c r="B186" s="19">
        <v>28</v>
      </c>
      <c r="C186" s="18" t="str" cm="1">
        <f t="array" ref="C186">GetValue("Tbl",B186,"Alias")</f>
        <v>Sch</v>
      </c>
      <c r="D186" s="18">
        <v>6</v>
      </c>
      <c r="E186" s="18" t="str" cm="1">
        <f t="array" ref="E186">GetValue("Dmn",D186,"Name")</f>
        <v>Boolean</v>
      </c>
      <c r="F186" s="18">
        <f t="shared" si="21"/>
        <v>45</v>
      </c>
      <c r="G186" s="18" t="str" cm="1">
        <f t="array" ref="G186">GetColumnName(C186,IF(B186=B185,G185,""))</f>
        <v>IsFirstOrLastDay</v>
      </c>
      <c r="H186" s="18" t="s">
        <v>855</v>
      </c>
      <c r="I186" s="18" t="s">
        <v>861</v>
      </c>
      <c r="J186" s="18" t="s">
        <v>26</v>
      </c>
      <c r="K186" s="18" t="s">
        <v>26</v>
      </c>
      <c r="L186" s="18" t="s">
        <v>26</v>
      </c>
      <c r="M186" s="18" t="s">
        <v>26</v>
      </c>
      <c r="N186" s="18"/>
      <c r="O186" s="18"/>
      <c r="P186" s="18" t="s">
        <v>26</v>
      </c>
      <c r="Q186" s="18" t="b">
        <v>0</v>
      </c>
    </row>
    <row r="187" spans="1:17">
      <c r="A187" s="18">
        <f t="shared" si="5"/>
        <v>186</v>
      </c>
      <c r="B187" s="19">
        <v>28</v>
      </c>
      <c r="C187" s="18" t="str" cm="1">
        <f t="array" ref="C187">GetValue("Tbl",B187,"Alias")</f>
        <v>Sch</v>
      </c>
      <c r="D187" s="18">
        <v>6</v>
      </c>
      <c r="E187" s="18" t="str" cm="1">
        <f t="array" ref="E187">GetValue("Dmn",D187,"Name")</f>
        <v>Boolean</v>
      </c>
      <c r="F187" s="18">
        <f t="shared" si="21"/>
        <v>50</v>
      </c>
      <c r="G187" s="18" t="str" cm="1">
        <f t="array" ref="G187">GetColumnName(C187,IF(B187=B186,G186,""))</f>
        <v>IsBusinessDays</v>
      </c>
      <c r="H187" s="18" t="s">
        <v>852</v>
      </c>
      <c r="I187" s="18" t="s">
        <v>862</v>
      </c>
      <c r="J187" s="18" t="s">
        <v>26</v>
      </c>
      <c r="K187" s="18" t="s">
        <v>26</v>
      </c>
      <c r="L187" s="18" t="s">
        <v>26</v>
      </c>
      <c r="M187" s="18" t="s">
        <v>26</v>
      </c>
      <c r="N187" s="18"/>
      <c r="O187" s="18"/>
      <c r="P187" s="18" t="s">
        <v>26</v>
      </c>
      <c r="Q187" s="18" t="b">
        <v>0</v>
      </c>
    </row>
    <row r="188" spans="1:17">
      <c r="A188" s="18">
        <f t="shared" si="5"/>
        <v>187</v>
      </c>
      <c r="B188" s="19">
        <v>28</v>
      </c>
      <c r="C188" s="18" t="str" cm="1">
        <f t="array" ref="C188">GetValue("Tbl",B188,"Alias")</f>
        <v>Sch</v>
      </c>
      <c r="D188" s="18">
        <v>6</v>
      </c>
      <c r="E188" s="18" t="str" cm="1">
        <f t="array" ref="E188">GetValue("Dmn",D188,"Name")</f>
        <v>Boolean</v>
      </c>
      <c r="F188" s="18">
        <f t="shared" si="21"/>
        <v>55</v>
      </c>
      <c r="G188" s="18" t="str" cm="1">
        <f t="array" ref="G188">GetColumnName(C188,IF(B188=B187,G187,""))</f>
        <v>IsRunOnce</v>
      </c>
      <c r="H188" s="18" t="s">
        <v>854</v>
      </c>
      <c r="I188" s="18" t="s">
        <v>863</v>
      </c>
      <c r="J188" s="18" t="s">
        <v>26</v>
      </c>
      <c r="K188" s="18" t="s">
        <v>26</v>
      </c>
      <c r="L188" s="18" t="s">
        <v>26</v>
      </c>
      <c r="M188" s="18" t="s">
        <v>26</v>
      </c>
      <c r="N188" s="18"/>
      <c r="O188" s="18"/>
      <c r="P188" s="18" t="s">
        <v>26</v>
      </c>
      <c r="Q188" s="18" t="b">
        <v>0</v>
      </c>
    </row>
    <row r="189" spans="1:17">
      <c r="A189" s="18">
        <f t="shared" si="5"/>
        <v>188</v>
      </c>
      <c r="B189" s="19">
        <v>28</v>
      </c>
      <c r="C189" s="18" t="str" cm="1">
        <f t="array" ref="C189">GetValue("Tbl",B189,"Alias")</f>
        <v>Sch</v>
      </c>
      <c r="D189" s="18">
        <v>6</v>
      </c>
      <c r="E189" s="18" t="str" cm="1">
        <f t="array" ref="E189">GetValue("Dmn",D189,"Name")</f>
        <v>Boolean</v>
      </c>
      <c r="F189" s="18">
        <f t="shared" si="21"/>
        <v>60</v>
      </c>
      <c r="G189" s="18" t="str" cm="1">
        <f t="array" ref="G189">GetColumnName(C189,IF(B189=B188,G188,""))</f>
        <v>IsActive</v>
      </c>
      <c r="H189" s="18" t="s">
        <v>853</v>
      </c>
      <c r="I189" s="18" t="s">
        <v>112</v>
      </c>
      <c r="J189" s="18" t="s">
        <v>26</v>
      </c>
      <c r="K189" s="18" t="s">
        <v>26</v>
      </c>
      <c r="L189" s="18" t="s">
        <v>26</v>
      </c>
      <c r="M189" s="18" t="s">
        <v>26</v>
      </c>
      <c r="N189" s="18"/>
      <c r="O189" s="18"/>
      <c r="P189" s="18" t="s">
        <v>26</v>
      </c>
      <c r="Q189" s="18" t="b">
        <v>0</v>
      </c>
    </row>
    <row r="190" spans="1:17">
      <c r="A190" s="20">
        <f t="shared" si="5"/>
        <v>189</v>
      </c>
      <c r="B190" s="21">
        <v>29</v>
      </c>
      <c r="C190" s="20" t="str" cm="1">
        <f t="array" ref="C190">GetValue("Tbl",B190,"Alias")</f>
        <v>Snp</v>
      </c>
      <c r="D190" s="20">
        <v>1</v>
      </c>
      <c r="E190" s="20" t="str" cm="1">
        <f t="array" ref="E190">GetValue("Dmn",D190,"Name")</f>
        <v>BigInteger</v>
      </c>
      <c r="F190" s="20">
        <f t="shared" si="21"/>
        <v>5</v>
      </c>
      <c r="G190" s="20" t="str" cm="1">
        <f t="array" ref="G190">GetColumnName(C190,IF(B190=B189,G189,""))</f>
        <v>Id</v>
      </c>
      <c r="H190" s="20" t="s">
        <v>910</v>
      </c>
      <c r="I190" s="20" t="s">
        <v>0</v>
      </c>
      <c r="J190" s="20" t="b">
        <v>1</v>
      </c>
      <c r="K190" s="20" t="b">
        <v>1</v>
      </c>
      <c r="L190" s="20" t="b">
        <v>0</v>
      </c>
      <c r="M190" s="20" t="b">
        <v>0</v>
      </c>
      <c r="N190" s="20"/>
      <c r="O190" s="20"/>
      <c r="P190" s="20" t="b">
        <v>0</v>
      </c>
      <c r="Q190" s="20" t="b">
        <v>0</v>
      </c>
    </row>
    <row r="191" spans="1:17">
      <c r="A191" s="20">
        <f t="shared" si="5"/>
        <v>190</v>
      </c>
      <c r="B191" s="21">
        <v>29</v>
      </c>
      <c r="C191" s="20" t="str" cm="1">
        <f t="array" ref="C191">GetValue("Tbl",B191,"Alias")</f>
        <v>Snp</v>
      </c>
      <c r="D191" s="20">
        <v>1</v>
      </c>
      <c r="E191" s="20" t="str" cm="1">
        <f t="array" ref="E191">GetValue("Dmn",D191,"Name")</f>
        <v>BigInteger</v>
      </c>
      <c r="F191" s="20">
        <f t="shared" ref="F191:F195" si="22">IF(G191="Id",5,F190+5)</f>
        <v>10</v>
      </c>
      <c r="G191" s="20" t="str" cm="1">
        <f t="array" ref="G191">GetColumnName(C191,IF(B191=B190,G190,""))</f>
        <v>TableId</v>
      </c>
      <c r="H191" s="20" t="s">
        <v>911</v>
      </c>
      <c r="I191" s="20" t="s">
        <v>117</v>
      </c>
      <c r="J191" s="20" t="s">
        <v>26</v>
      </c>
      <c r="K191" s="20" t="s">
        <v>26</v>
      </c>
      <c r="L191" s="20" t="s">
        <v>26</v>
      </c>
      <c r="M191" s="20" t="s">
        <v>26</v>
      </c>
      <c r="N191" s="20"/>
      <c r="O191" s="20"/>
      <c r="P191" s="20" t="s">
        <v>26</v>
      </c>
      <c r="Q191" s="20" t="b">
        <v>0</v>
      </c>
    </row>
    <row r="192" spans="1:17">
      <c r="A192" s="20">
        <f t="shared" si="5"/>
        <v>191</v>
      </c>
      <c r="B192" s="21">
        <v>29</v>
      </c>
      <c r="C192" s="20" t="str" cm="1">
        <f t="array" ref="C192">GetValue("Tbl",B192,"Alias")</f>
        <v>Snp</v>
      </c>
      <c r="D192" s="20">
        <v>10</v>
      </c>
      <c r="E192" s="20" t="str" cm="1">
        <f t="array" ref="E192">GetValue("Dmn",D192,"Name")</f>
        <v>Nvarchar(25)</v>
      </c>
      <c r="F192" s="20">
        <f t="shared" si="22"/>
        <v>15</v>
      </c>
      <c r="G192" s="20" t="str" cm="1">
        <f t="array" ref="G192">GetColumnName(C192,IF(B192=B191,G191,""))</f>
        <v>Name</v>
      </c>
      <c r="H192" s="20" t="s">
        <v>912</v>
      </c>
      <c r="I192" s="20" t="s">
        <v>97</v>
      </c>
      <c r="J192" s="20" t="s">
        <v>26</v>
      </c>
      <c r="K192" s="20" t="s">
        <v>26</v>
      </c>
      <c r="L192" s="20" t="s">
        <v>26</v>
      </c>
      <c r="M192" s="20" t="s">
        <v>26</v>
      </c>
      <c r="N192" s="20"/>
      <c r="O192" s="20"/>
      <c r="P192" s="20" t="s">
        <v>26</v>
      </c>
      <c r="Q192" s="20" t="b">
        <v>0</v>
      </c>
    </row>
    <row r="193" spans="1:17">
      <c r="A193" s="20">
        <f t="shared" si="5"/>
        <v>192</v>
      </c>
      <c r="B193" s="21">
        <v>29</v>
      </c>
      <c r="C193" s="20" t="str" cm="1">
        <f t="array" ref="C193">GetValue("Tbl",B193,"Alias")</f>
        <v>Snp</v>
      </c>
      <c r="D193" s="20">
        <v>6</v>
      </c>
      <c r="E193" s="20" t="str" cm="1">
        <f t="array" ref="E193">GetValue("Dmn",D193,"Name")</f>
        <v>Boolean</v>
      </c>
      <c r="F193" s="20">
        <f t="shared" si="22"/>
        <v>20</v>
      </c>
      <c r="G193" s="20" t="str" cm="1">
        <f t="array" ref="G193">GetColumnName(C193,IF(B193=B192,G192,""))</f>
        <v>IsBefore</v>
      </c>
      <c r="H193" s="20" t="s">
        <v>866</v>
      </c>
      <c r="I193" s="20" t="s">
        <v>868</v>
      </c>
      <c r="J193" s="20" t="s">
        <v>26</v>
      </c>
      <c r="K193" s="20" t="s">
        <v>26</v>
      </c>
      <c r="L193" s="20" t="s">
        <v>26</v>
      </c>
      <c r="M193" s="20" t="s">
        <v>26</v>
      </c>
      <c r="N193" s="20"/>
      <c r="O193" s="20"/>
      <c r="P193" s="20" t="s">
        <v>26</v>
      </c>
      <c r="Q193" s="20" t="b">
        <v>0</v>
      </c>
    </row>
    <row r="194" spans="1:17">
      <c r="A194" s="20">
        <f t="shared" si="5"/>
        <v>193</v>
      </c>
      <c r="B194" s="21">
        <v>29</v>
      </c>
      <c r="C194" s="20" t="str" cm="1">
        <f t="array" ref="C194">GetValue("Tbl",B194,"Alias")</f>
        <v>Snp</v>
      </c>
      <c r="D194" s="20">
        <v>6</v>
      </c>
      <c r="E194" s="20" t="str" cm="1">
        <f t="array" ref="E194">GetValue("Dmn",D194,"Name")</f>
        <v>Boolean</v>
      </c>
      <c r="F194" s="20">
        <f t="shared" si="22"/>
        <v>25</v>
      </c>
      <c r="G194" s="20" t="str" cm="1">
        <f t="array" ref="G194">GetColumnName(C194,IF(B194=B193,G193,""))</f>
        <v>IsActive</v>
      </c>
      <c r="H194" s="20" t="s">
        <v>867</v>
      </c>
      <c r="I194" s="20" t="s">
        <v>112</v>
      </c>
      <c r="J194" s="20" t="s">
        <v>26</v>
      </c>
      <c r="K194" s="20" t="s">
        <v>26</v>
      </c>
      <c r="L194" s="20" t="s">
        <v>26</v>
      </c>
      <c r="M194" s="20" t="s">
        <v>26</v>
      </c>
      <c r="N194" s="20"/>
      <c r="O194" s="20"/>
      <c r="P194" s="20" t="s">
        <v>26</v>
      </c>
      <c r="Q194" s="20" t="b">
        <v>0</v>
      </c>
    </row>
    <row r="195" spans="1:17">
      <c r="A195" s="18">
        <f t="shared" si="5"/>
        <v>194</v>
      </c>
      <c r="B195" s="19">
        <v>30</v>
      </c>
      <c r="C195" s="18" t="str" cm="1">
        <f t="array" ref="C195">GetValue("Tbl",B195,"Alias")</f>
        <v>Scr</v>
      </c>
      <c r="D195" s="18">
        <v>1</v>
      </c>
      <c r="E195" s="18" t="str" cm="1">
        <f t="array" ref="E195">GetValue("Dmn",D195,"Name")</f>
        <v>BigInteger</v>
      </c>
      <c r="F195" s="18">
        <f t="shared" si="22"/>
        <v>5</v>
      </c>
      <c r="G195" s="18" t="str" cm="1">
        <f t="array" ref="G195">GetColumnName(C195,IF(B195=B194,G194,""))</f>
        <v>Id</v>
      </c>
      <c r="H195" s="18" t="s">
        <v>869</v>
      </c>
      <c r="I195" s="18" t="s">
        <v>0</v>
      </c>
      <c r="J195" s="18" t="b">
        <v>1</v>
      </c>
      <c r="K195" s="18" t="b">
        <v>1</v>
      </c>
      <c r="L195" s="18" t="b">
        <v>0</v>
      </c>
      <c r="M195" s="18" t="b">
        <v>0</v>
      </c>
      <c r="N195" s="18"/>
      <c r="O195" s="18"/>
      <c r="P195" s="18" t="b">
        <v>0</v>
      </c>
      <c r="Q195" s="18" t="b">
        <v>0</v>
      </c>
    </row>
    <row r="196" spans="1:17">
      <c r="A196" s="18">
        <f t="shared" si="5"/>
        <v>195</v>
      </c>
      <c r="B196" s="19">
        <v>30</v>
      </c>
      <c r="C196" s="18" t="str" cm="1">
        <f t="array" ref="C196">GetValue("Tbl",B196,"Alias")</f>
        <v>Scr</v>
      </c>
      <c r="D196" s="18">
        <v>1</v>
      </c>
      <c r="E196" s="18" t="str" cm="1">
        <f t="array" ref="E196">GetValue("Dmn",D196,"Name")</f>
        <v>BigInteger</v>
      </c>
      <c r="F196" s="18">
        <f t="shared" ref="F196:F200" si="23">IF(G196="Id",5,F195+5)</f>
        <v>10</v>
      </c>
      <c r="G196" s="18" t="str" cm="1">
        <f t="array" ref="G196">GetColumnName(C196,IF(B196=B195,G195,""))</f>
        <v>SniperId</v>
      </c>
      <c r="H196" s="18" t="s">
        <v>865</v>
      </c>
      <c r="I196" s="18" t="s">
        <v>870</v>
      </c>
      <c r="J196" s="18" t="s">
        <v>26</v>
      </c>
      <c r="K196" s="18" t="s">
        <v>26</v>
      </c>
      <c r="L196" s="18" t="s">
        <v>26</v>
      </c>
      <c r="M196" s="18" t="s">
        <v>26</v>
      </c>
      <c r="N196" s="18"/>
      <c r="O196" s="18"/>
      <c r="P196" s="18" t="s">
        <v>26</v>
      </c>
      <c r="Q196" s="18" t="b">
        <v>0</v>
      </c>
    </row>
    <row r="197" spans="1:17">
      <c r="A197" s="18">
        <f t="shared" si="5"/>
        <v>196</v>
      </c>
      <c r="B197" s="19">
        <v>30</v>
      </c>
      <c r="C197" s="18" t="str" cm="1">
        <f t="array" ref="C197">GetValue("Tbl",B197,"Alias")</f>
        <v>Scr</v>
      </c>
      <c r="D197" s="18">
        <v>1</v>
      </c>
      <c r="E197" s="18" t="str" cm="1">
        <f t="array" ref="E197">GetValue("Dmn",D197,"Name")</f>
        <v>BigInteger</v>
      </c>
      <c r="F197" s="18">
        <f t="shared" si="23"/>
        <v>15</v>
      </c>
      <c r="G197" s="18" t="str" cm="1">
        <f t="array" ref="G197">GetColumnName(C197,IF(B197=B196,G196,""))</f>
        <v>DatabaseId</v>
      </c>
      <c r="H197" s="18" t="s">
        <v>573</v>
      </c>
      <c r="I197" s="18" t="s">
        <v>113</v>
      </c>
      <c r="J197" s="18" t="s">
        <v>26</v>
      </c>
      <c r="K197" s="18" t="s">
        <v>26</v>
      </c>
      <c r="L197" s="18" t="s">
        <v>26</v>
      </c>
      <c r="M197" s="18" t="s">
        <v>26</v>
      </c>
      <c r="N197" s="18"/>
      <c r="O197" s="18"/>
      <c r="P197" s="18" t="s">
        <v>26</v>
      </c>
      <c r="Q197" s="18" t="b">
        <v>0</v>
      </c>
    </row>
    <row r="198" spans="1:17">
      <c r="A198" s="18">
        <f t="shared" si="5"/>
        <v>197</v>
      </c>
      <c r="B198" s="19">
        <v>30</v>
      </c>
      <c r="C198" s="18" t="str" cm="1">
        <f t="array" ref="C198">GetValue("Tbl",B198,"Alias")</f>
        <v>Scr</v>
      </c>
      <c r="D198" s="18">
        <v>4</v>
      </c>
      <c r="E198" s="18" t="str" cm="1">
        <f t="array" ref="E198">GetValue("Dmn",D198,"Name")</f>
        <v>SmallInteger</v>
      </c>
      <c r="F198" s="18">
        <f t="shared" si="23"/>
        <v>20</v>
      </c>
      <c r="G198" s="18" t="str" cm="1">
        <f t="array" ref="G198">GetColumnName(C198,IF(B198=B197,G197,""))</f>
        <v>Sequence</v>
      </c>
      <c r="H198" s="18" t="s">
        <v>873</v>
      </c>
      <c r="I198" s="18" t="s">
        <v>111</v>
      </c>
      <c r="J198" s="18" t="s">
        <v>26</v>
      </c>
      <c r="K198" s="18" t="s">
        <v>26</v>
      </c>
      <c r="L198" s="18" t="s">
        <v>26</v>
      </c>
      <c r="M198" s="18" t="s">
        <v>26</v>
      </c>
      <c r="N198" s="18"/>
      <c r="O198" s="18"/>
      <c r="P198" s="18" t="s">
        <v>26</v>
      </c>
      <c r="Q198" s="18" t="b">
        <v>0</v>
      </c>
    </row>
    <row r="199" spans="1:17">
      <c r="A199" s="18">
        <f t="shared" si="5"/>
        <v>198</v>
      </c>
      <c r="B199" s="19">
        <v>30</v>
      </c>
      <c r="C199" s="18" t="str" cm="1">
        <f t="array" ref="C199">GetValue("Tbl",B199,"Alias")</f>
        <v>Scr</v>
      </c>
      <c r="D199" s="18">
        <v>13</v>
      </c>
      <c r="E199" s="18" t="str" cm="1">
        <f t="array" ref="E199">GetValue("Dmn",D199,"Name")</f>
        <v>Nvarchar(max)</v>
      </c>
      <c r="F199" s="18">
        <f t="shared" si="23"/>
        <v>25</v>
      </c>
      <c r="G199" s="18" t="str" cm="1">
        <f t="array" ref="G199">GetColumnName(C199,IF(B199=B198,G198,""))</f>
        <v>Script</v>
      </c>
      <c r="H199" s="18" t="s">
        <v>502</v>
      </c>
      <c r="I199" s="18" t="s">
        <v>502</v>
      </c>
      <c r="J199" s="18" t="s">
        <v>26</v>
      </c>
      <c r="K199" s="18" t="s">
        <v>26</v>
      </c>
      <c r="L199" s="18" t="s">
        <v>26</v>
      </c>
      <c r="M199" s="18" t="s">
        <v>26</v>
      </c>
      <c r="N199" s="18"/>
      <c r="O199" s="18"/>
      <c r="P199" s="18" t="s">
        <v>26</v>
      </c>
      <c r="Q199" s="18" t="b">
        <v>0</v>
      </c>
    </row>
    <row r="200" spans="1:17">
      <c r="A200" s="20">
        <f t="shared" si="5"/>
        <v>199</v>
      </c>
      <c r="B200" s="21">
        <v>31</v>
      </c>
      <c r="C200" s="20" t="str" cm="1">
        <f t="array" ref="C200">GetValue("Tbl",B200,"Alias")</f>
        <v>Url</v>
      </c>
      <c r="D200" s="20">
        <v>1</v>
      </c>
      <c r="E200" s="20" t="str" cm="1">
        <f t="array" ref="E200">GetValue("Dmn",D200,"Name")</f>
        <v>BigInteger</v>
      </c>
      <c r="F200" s="20">
        <f t="shared" si="23"/>
        <v>5</v>
      </c>
      <c r="G200" s="20" t="str" cm="1">
        <f t="array" ref="G200">GetColumnName(C200,IF(B200=B199,G199,""))</f>
        <v>Id</v>
      </c>
      <c r="H200" s="20" t="s">
        <v>871</v>
      </c>
      <c r="I200" s="20" t="s">
        <v>0</v>
      </c>
      <c r="J200" s="20" t="b">
        <v>1</v>
      </c>
      <c r="K200" s="20" t="b">
        <v>1</v>
      </c>
      <c r="L200" s="20" t="b">
        <v>0</v>
      </c>
      <c r="M200" s="20" t="b">
        <v>0</v>
      </c>
      <c r="N200" s="20"/>
      <c r="O200" s="20"/>
      <c r="P200" s="20" t="b">
        <v>0</v>
      </c>
      <c r="Q200" s="20" t="b">
        <v>0</v>
      </c>
    </row>
    <row r="201" spans="1:17">
      <c r="A201" s="20">
        <f t="shared" si="5"/>
        <v>200</v>
      </c>
      <c r="B201" s="21">
        <v>31</v>
      </c>
      <c r="C201" s="20" t="str" cm="1">
        <f t="array" ref="C201">GetValue("Tbl",B201,"Alias")</f>
        <v>Url</v>
      </c>
      <c r="D201" s="20">
        <v>1</v>
      </c>
      <c r="E201" s="20" t="str" cm="1">
        <f t="array" ref="E201">GetValue("Dmn",D201,"Name")</f>
        <v>BigInteger</v>
      </c>
      <c r="F201" s="20">
        <f t="shared" ref="F201:F205" si="24">IF(G201="Id",5,F200+5)</f>
        <v>10</v>
      </c>
      <c r="G201" s="20" t="str" cm="1">
        <f t="array" ref="G201">GetColumnName(C201,IF(B201=B200,G200,""))</f>
        <v>SniperId</v>
      </c>
      <c r="H201" s="20" t="s">
        <v>865</v>
      </c>
      <c r="I201" s="20" t="s">
        <v>870</v>
      </c>
      <c r="J201" s="20" t="s">
        <v>26</v>
      </c>
      <c r="K201" s="20" t="s">
        <v>26</v>
      </c>
      <c r="L201" s="20" t="s">
        <v>26</v>
      </c>
      <c r="M201" s="20" t="s">
        <v>26</v>
      </c>
      <c r="N201" s="20"/>
      <c r="O201" s="20"/>
      <c r="P201" s="20" t="s">
        <v>26</v>
      </c>
      <c r="Q201" s="20" t="b">
        <v>0</v>
      </c>
    </row>
    <row r="202" spans="1:17">
      <c r="A202" s="20">
        <f t="shared" si="5"/>
        <v>201</v>
      </c>
      <c r="B202" s="21">
        <v>31</v>
      </c>
      <c r="C202" s="20" t="str" cm="1">
        <f t="array" ref="C202">GetValue("Tbl",B202,"Alias")</f>
        <v>Url</v>
      </c>
      <c r="D202" s="20">
        <v>4</v>
      </c>
      <c r="E202" s="20" t="str" cm="1">
        <f t="array" ref="E202">GetValue("Dmn",D202,"Name")</f>
        <v>SmallInteger</v>
      </c>
      <c r="F202" s="20">
        <f t="shared" si="24"/>
        <v>15</v>
      </c>
      <c r="G202" s="20" t="str" cm="1">
        <f t="array" ref="G202">GetColumnName(C202,IF(B202=B201,G201,""))</f>
        <v>Sequence</v>
      </c>
      <c r="H202" s="20" t="s">
        <v>874</v>
      </c>
      <c r="I202" s="20" t="s">
        <v>111</v>
      </c>
      <c r="J202" s="20" t="s">
        <v>26</v>
      </c>
      <c r="K202" s="20" t="s">
        <v>26</v>
      </c>
      <c r="L202" s="20" t="s">
        <v>26</v>
      </c>
      <c r="M202" s="20" t="s">
        <v>26</v>
      </c>
      <c r="N202" s="20"/>
      <c r="O202" s="20"/>
      <c r="P202" s="20" t="s">
        <v>26</v>
      </c>
      <c r="Q202" s="20" t="b">
        <v>0</v>
      </c>
    </row>
    <row r="203" spans="1:17">
      <c r="A203" s="20">
        <f t="shared" si="5"/>
        <v>202</v>
      </c>
      <c r="B203" s="21">
        <v>31</v>
      </c>
      <c r="C203" s="20" t="str" cm="1">
        <f t="array" ref="C203">GetValue("Tbl",B203,"Alias")</f>
        <v>Url</v>
      </c>
      <c r="D203" s="20">
        <v>8</v>
      </c>
      <c r="E203" s="20" t="str" cm="1">
        <f t="array" ref="E203">GetValue("Dmn",D203,"Name")</f>
        <v>Nvarchar(15)</v>
      </c>
      <c r="F203" s="20">
        <f t="shared" si="24"/>
        <v>20</v>
      </c>
      <c r="G203" s="20" t="str" cm="1">
        <f t="array" ref="G203">GetColumnName(C203,IF(B203=B202,G202,""))</f>
        <v>Method</v>
      </c>
      <c r="H203" s="20" t="s">
        <v>875</v>
      </c>
      <c r="I203" s="20" t="s">
        <v>876</v>
      </c>
      <c r="J203" s="20" t="s">
        <v>26</v>
      </c>
      <c r="K203" s="20" t="s">
        <v>26</v>
      </c>
      <c r="L203" s="20" t="s">
        <v>26</v>
      </c>
      <c r="M203" s="20" t="s">
        <v>26</v>
      </c>
      <c r="N203" s="20"/>
      <c r="O203" s="20"/>
      <c r="P203" s="20" t="s">
        <v>26</v>
      </c>
      <c r="Q203" s="20" t="b">
        <v>0</v>
      </c>
    </row>
    <row r="204" spans="1:17">
      <c r="A204" s="20">
        <f t="shared" si="5"/>
        <v>203</v>
      </c>
      <c r="B204" s="21">
        <v>31</v>
      </c>
      <c r="C204" s="20" t="str" cm="1">
        <f t="array" ref="C204">GetValue("Tbl",B204,"Alias")</f>
        <v>Url</v>
      </c>
      <c r="D204" s="20">
        <v>13</v>
      </c>
      <c r="E204" s="20" t="str" cm="1">
        <f t="array" ref="E204">GetValue("Dmn",D204,"Name")</f>
        <v>Nvarchar(max)</v>
      </c>
      <c r="F204" s="20">
        <f t="shared" si="24"/>
        <v>25</v>
      </c>
      <c r="G204" s="20" t="str" cm="1">
        <f t="array" ref="G204">GetColumnName(C204,IF(B204=B203,G203,""))</f>
        <v>URL</v>
      </c>
      <c r="H204" s="20" t="s">
        <v>871</v>
      </c>
      <c r="I204" s="20" t="s">
        <v>872</v>
      </c>
      <c r="J204" s="20" t="s">
        <v>26</v>
      </c>
      <c r="K204" s="20" t="s">
        <v>26</v>
      </c>
      <c r="L204" s="20" t="s">
        <v>26</v>
      </c>
      <c r="M204" s="20" t="s">
        <v>26</v>
      </c>
      <c r="N204" s="20"/>
      <c r="O204" s="20"/>
      <c r="P204" s="20" t="s">
        <v>26</v>
      </c>
      <c r="Q204" s="20" t="b">
        <v>0</v>
      </c>
    </row>
    <row r="205" spans="1:17">
      <c r="A205" s="18">
        <f t="shared" si="5"/>
        <v>204</v>
      </c>
      <c r="B205" s="19">
        <v>32</v>
      </c>
      <c r="C205" s="18" t="str" cm="1">
        <f t="array" ref="C205">GetValue("Tbl",B205,"Alias")</f>
        <v>Ses</v>
      </c>
      <c r="D205" s="18">
        <v>1</v>
      </c>
      <c r="E205" s="18" t="str" cm="1">
        <f t="array" ref="E205">GetValue("Dmn",D205,"Name")</f>
        <v>BigInteger</v>
      </c>
      <c r="F205" s="18">
        <f t="shared" si="24"/>
        <v>5</v>
      </c>
      <c r="G205" s="18" t="str" cm="1">
        <f t="array" ref="G205">GetColumnName(C205,IF(B205=B204,G204,""))</f>
        <v>Id</v>
      </c>
      <c r="H205" s="18" t="s">
        <v>877</v>
      </c>
      <c r="I205" s="18" t="s">
        <v>0</v>
      </c>
      <c r="J205" s="18" t="b">
        <v>1</v>
      </c>
      <c r="K205" s="18" t="b">
        <v>1</v>
      </c>
      <c r="L205" s="18" t="b">
        <v>0</v>
      </c>
      <c r="M205" s="18" t="b">
        <v>0</v>
      </c>
      <c r="N205" s="18"/>
      <c r="O205" s="18"/>
      <c r="P205" s="18" t="b">
        <v>0</v>
      </c>
      <c r="Q205" s="18" t="b">
        <v>0</v>
      </c>
    </row>
    <row r="206" spans="1:17">
      <c r="A206" s="18">
        <f t="shared" si="5"/>
        <v>205</v>
      </c>
      <c r="B206" s="19">
        <v>32</v>
      </c>
      <c r="C206" s="18" t="str" cm="1">
        <f t="array" ref="C206">GetValue("Tbl",B206,"Alias")</f>
        <v>Ses</v>
      </c>
      <c r="D206" s="18">
        <v>1</v>
      </c>
      <c r="E206" s="18" t="str" cm="1">
        <f t="array" ref="E206">GetValue("Dmn",D206,"Name")</f>
        <v>BigInteger</v>
      </c>
      <c r="F206" s="18">
        <f t="shared" ref="F206:F211" si="25">IF(G206="Id",5,F205+5)</f>
        <v>10</v>
      </c>
      <c r="G206" s="18" t="str" cm="1">
        <f t="array" ref="G206">GetColumnName(C206,IF(B206=B205,G205,""))</f>
        <v>ClientId</v>
      </c>
      <c r="H206" s="18" t="s">
        <v>574</v>
      </c>
      <c r="I206" s="18" t="s">
        <v>575</v>
      </c>
      <c r="J206" s="18" t="s">
        <v>26</v>
      </c>
      <c r="K206" s="18" t="s">
        <v>26</v>
      </c>
      <c r="L206" s="18" t="s">
        <v>26</v>
      </c>
      <c r="M206" s="18" t="s">
        <v>26</v>
      </c>
      <c r="N206" s="18"/>
      <c r="O206" s="18"/>
      <c r="P206" s="18" t="s">
        <v>26</v>
      </c>
      <c r="Q206" s="18" t="b">
        <v>0</v>
      </c>
    </row>
    <row r="207" spans="1:17">
      <c r="A207" s="18">
        <f t="shared" si="5"/>
        <v>206</v>
      </c>
      <c r="B207" s="19">
        <v>32</v>
      </c>
      <c r="C207" s="18" t="str" cm="1">
        <f t="array" ref="C207">GetValue("Tbl",B207,"Alias")</f>
        <v>Ses</v>
      </c>
      <c r="D207" s="18">
        <v>1</v>
      </c>
      <c r="E207" s="18" t="str" cm="1">
        <f t="array" ref="E207">GetValue("Dmn",D207,"Name")</f>
        <v>BigInteger</v>
      </c>
      <c r="F207" s="18">
        <f t="shared" si="25"/>
        <v>15</v>
      </c>
      <c r="G207" s="18" t="str" cm="1">
        <f t="array" ref="G207">GetColumnName(C207,IF(B207=B206,G206,""))</f>
        <v>SystemId</v>
      </c>
      <c r="H207" s="18" t="s">
        <v>878</v>
      </c>
      <c r="I207" s="18" t="s">
        <v>110</v>
      </c>
      <c r="J207" s="18" t="s">
        <v>26</v>
      </c>
      <c r="K207" s="18" t="s">
        <v>26</v>
      </c>
      <c r="L207" s="18" t="s">
        <v>26</v>
      </c>
      <c r="M207" s="18" t="s">
        <v>26</v>
      </c>
      <c r="N207" s="18"/>
      <c r="O207" s="18"/>
      <c r="P207" s="18" t="s">
        <v>26</v>
      </c>
      <c r="Q207" s="18" t="b">
        <v>0</v>
      </c>
    </row>
    <row r="208" spans="1:17">
      <c r="A208" s="18">
        <f t="shared" si="5"/>
        <v>207</v>
      </c>
      <c r="B208" s="19">
        <v>32</v>
      </c>
      <c r="C208" s="18" t="str" cm="1">
        <f t="array" ref="C208">GetValue("Tbl",B208,"Alias")</f>
        <v>Ses</v>
      </c>
      <c r="D208" s="18">
        <v>1</v>
      </c>
      <c r="E208" s="18" t="str" cm="1">
        <f t="array" ref="E208">GetValue("Dmn",D208,"Name")</f>
        <v>BigInteger</v>
      </c>
      <c r="F208" s="18">
        <f t="shared" si="25"/>
        <v>20</v>
      </c>
      <c r="G208" s="18" t="str" cm="1">
        <f t="array" ref="G208">GetColumnName(C208,IF(B208=B207,G207,""))</f>
        <v>UserId</v>
      </c>
      <c r="H208" s="18" t="s">
        <v>819</v>
      </c>
      <c r="I208" s="18" t="s">
        <v>830</v>
      </c>
      <c r="J208" s="18" t="s">
        <v>26</v>
      </c>
      <c r="K208" s="18" t="s">
        <v>26</v>
      </c>
      <c r="L208" s="18" t="s">
        <v>26</v>
      </c>
      <c r="M208" s="18" t="s">
        <v>26</v>
      </c>
      <c r="N208" s="18"/>
      <c r="O208" s="18"/>
      <c r="P208" s="18" t="s">
        <v>26</v>
      </c>
      <c r="Q208" s="18" t="b">
        <v>0</v>
      </c>
    </row>
    <row r="209" spans="1:17">
      <c r="A209" s="18">
        <f t="shared" si="5"/>
        <v>208</v>
      </c>
      <c r="B209" s="19">
        <v>32</v>
      </c>
      <c r="C209" s="18" t="str" cm="1">
        <f t="array" ref="C209">GetValue("Tbl",B209,"Alias")</f>
        <v>Ses</v>
      </c>
      <c r="D209" s="18">
        <v>19</v>
      </c>
      <c r="E209" s="18" t="str" cm="1">
        <f t="array" ref="E209">GetValue("Dmn",D209,"Name")</f>
        <v>Varchar(256)</v>
      </c>
      <c r="F209" s="18">
        <f t="shared" si="25"/>
        <v>25</v>
      </c>
      <c r="G209" s="18" t="str" cm="1">
        <f t="array" ref="G209">GetColumnName(C209,IF(B209=B208,G208,""))</f>
        <v>PublicKey</v>
      </c>
      <c r="H209" s="18" t="s">
        <v>879</v>
      </c>
      <c r="I209" s="18" t="s">
        <v>879</v>
      </c>
      <c r="J209" s="18" t="s">
        <v>26</v>
      </c>
      <c r="K209" s="18" t="s">
        <v>26</v>
      </c>
      <c r="L209" s="18" t="s">
        <v>26</v>
      </c>
      <c r="M209" s="18" t="s">
        <v>26</v>
      </c>
      <c r="N209" s="18"/>
      <c r="O209" s="18"/>
      <c r="P209" s="18" t="s">
        <v>26</v>
      </c>
      <c r="Q209" s="18" t="b">
        <v>0</v>
      </c>
    </row>
    <row r="210" spans="1:17">
      <c r="A210" s="18">
        <f t="shared" si="5"/>
        <v>209</v>
      </c>
      <c r="B210" s="19">
        <v>32</v>
      </c>
      <c r="C210" s="18" t="str" cm="1">
        <f t="array" ref="C210">GetValue("Tbl",B210,"Alias")</f>
        <v>Ses</v>
      </c>
      <c r="D210" s="18">
        <v>6</v>
      </c>
      <c r="E210" s="18" t="str" cm="1">
        <f t="array" ref="E210">GetValue("Dmn",D210,"Name")</f>
        <v>Boolean</v>
      </c>
      <c r="F210" s="18">
        <f t="shared" si="25"/>
        <v>30</v>
      </c>
      <c r="G210" s="18" t="str" cm="1">
        <f t="array" ref="G210">GetColumnName(C210,IF(B210=B209,G209,""))</f>
        <v>IsLogged</v>
      </c>
      <c r="H210" s="18" t="s">
        <v>880</v>
      </c>
      <c r="I210" s="18" t="s">
        <v>881</v>
      </c>
      <c r="J210" s="18" t="s">
        <v>26</v>
      </c>
      <c r="K210" s="18" t="s">
        <v>26</v>
      </c>
      <c r="L210" s="18" t="s">
        <v>26</v>
      </c>
      <c r="M210" s="18" t="s">
        <v>26</v>
      </c>
      <c r="N210" s="18"/>
      <c r="O210" s="18"/>
      <c r="P210" s="18" t="s">
        <v>26</v>
      </c>
      <c r="Q210" s="18" t="b">
        <v>0</v>
      </c>
    </row>
    <row r="211" spans="1:17">
      <c r="A211" s="20">
        <f t="shared" si="5"/>
        <v>210</v>
      </c>
      <c r="B211" s="21">
        <v>33</v>
      </c>
      <c r="C211" s="20" t="str" cm="1">
        <f t="array" ref="C211">GetValue("Tbl",B211,"Alias")</f>
        <v>Trs</v>
      </c>
      <c r="D211" s="20">
        <v>1</v>
      </c>
      <c r="E211" s="20" t="str" cm="1">
        <f t="array" ref="E211">GetValue("Dmn",D211,"Name")</f>
        <v>BigInteger</v>
      </c>
      <c r="F211" s="20">
        <f t="shared" si="25"/>
        <v>5</v>
      </c>
      <c r="G211" s="20" t="str" cm="1">
        <f t="array" ref="G211">GetColumnName(C211,IF(B211=B210,G210,""))</f>
        <v>Id</v>
      </c>
      <c r="H211" s="20" t="s">
        <v>882</v>
      </c>
      <c r="I211" s="20" t="s">
        <v>0</v>
      </c>
      <c r="J211" s="20" t="b">
        <v>1</v>
      </c>
      <c r="K211" s="20" t="b">
        <v>1</v>
      </c>
      <c r="L211" s="20" t="b">
        <v>0</v>
      </c>
      <c r="M211" s="20" t="b">
        <v>0</v>
      </c>
      <c r="N211" s="20"/>
      <c r="O211" s="20"/>
      <c r="P211" s="20" t="b">
        <v>0</v>
      </c>
      <c r="Q211" s="20" t="b">
        <v>0</v>
      </c>
    </row>
    <row r="212" spans="1:17">
      <c r="A212" s="20">
        <f t="shared" si="5"/>
        <v>211</v>
      </c>
      <c r="B212" s="21">
        <v>33</v>
      </c>
      <c r="C212" s="20" t="str" cm="1">
        <f t="array" ref="C212">GetValue("Tbl",B212,"Alias")</f>
        <v>Trs</v>
      </c>
      <c r="D212" s="20">
        <v>1</v>
      </c>
      <c r="E212" s="20" t="str" cm="1">
        <f t="array" ref="E212">GetValue("Dmn",D212,"Name")</f>
        <v>BigInteger</v>
      </c>
      <c r="F212" s="20">
        <f t="shared" ref="F212:F214" si="26">IF(G212="Id",5,F211+5)</f>
        <v>10</v>
      </c>
      <c r="G212" s="20" t="str" cm="1">
        <f t="array" ref="G212">GetColumnName(C212,IF(B212=B211,G211,""))</f>
        <v>SessionId</v>
      </c>
      <c r="H212" s="20" t="s">
        <v>877</v>
      </c>
      <c r="I212" s="20" t="s">
        <v>884</v>
      </c>
      <c r="J212" s="20" t="s">
        <v>26</v>
      </c>
      <c r="K212" s="20" t="s">
        <v>26</v>
      </c>
      <c r="L212" s="20" t="s">
        <v>26</v>
      </c>
      <c r="M212" s="20" t="s">
        <v>26</v>
      </c>
      <c r="N212" s="20"/>
      <c r="O212" s="20"/>
      <c r="P212" s="20" t="s">
        <v>26</v>
      </c>
      <c r="Q212" s="20" t="b">
        <v>0</v>
      </c>
    </row>
    <row r="213" spans="1:17">
      <c r="A213" s="20">
        <f t="shared" si="5"/>
        <v>212</v>
      </c>
      <c r="B213" s="21">
        <v>33</v>
      </c>
      <c r="C213" s="20" t="str" cm="1">
        <f t="array" ref="C213">GetValue("Tbl",B213,"Alias")</f>
        <v>Trs</v>
      </c>
      <c r="D213" s="20">
        <v>6</v>
      </c>
      <c r="E213" s="20" t="str" cm="1">
        <f t="array" ref="E213">GetValue("Dmn",D213,"Name")</f>
        <v>Boolean</v>
      </c>
      <c r="F213" s="20">
        <f t="shared" si="26"/>
        <v>15</v>
      </c>
      <c r="G213" s="20" t="str" cm="1">
        <f t="array" ref="G213">GetColumnName(C213,IF(B213=B212,G212,""))</f>
        <v>IsConfirmed</v>
      </c>
      <c r="H213" s="20" t="s">
        <v>883</v>
      </c>
      <c r="I213" s="20" t="s">
        <v>885</v>
      </c>
      <c r="J213" s="20" t="s">
        <v>26</v>
      </c>
      <c r="K213" s="20" t="s">
        <v>26</v>
      </c>
      <c r="L213" s="20" t="s">
        <v>26</v>
      </c>
      <c r="M213" s="20" t="s">
        <v>26</v>
      </c>
      <c r="N213" s="20"/>
      <c r="O213" s="20"/>
      <c r="P213" s="20" t="s">
        <v>26</v>
      </c>
      <c r="Q213" s="20" t="b">
        <v>0</v>
      </c>
    </row>
    <row r="214" spans="1:17">
      <c r="A214" s="18">
        <f t="shared" si="5"/>
        <v>213</v>
      </c>
      <c r="B214" s="19">
        <v>34</v>
      </c>
      <c r="C214" s="18" t="str" cm="1">
        <f t="array" ref="C214">GetValue("Tbl",B214,"Alias")</f>
        <v>Ope</v>
      </c>
      <c r="D214" s="18">
        <v>1</v>
      </c>
      <c r="E214" s="18" t="str" cm="1">
        <f t="array" ref="E214">GetValue("Dmn",D214,"Name")</f>
        <v>BigInteger</v>
      </c>
      <c r="F214" s="18">
        <f t="shared" si="26"/>
        <v>5</v>
      </c>
      <c r="G214" s="18" t="str" cm="1">
        <f t="array" ref="G214">GetColumnName(C214,IF(B214=B213,G213,""))</f>
        <v>Id</v>
      </c>
      <c r="H214" s="18" t="s">
        <v>886</v>
      </c>
      <c r="I214" s="18" t="s">
        <v>0</v>
      </c>
      <c r="J214" s="18" t="b">
        <v>1</v>
      </c>
      <c r="K214" s="18" t="b">
        <v>1</v>
      </c>
      <c r="L214" s="18" t="b">
        <v>0</v>
      </c>
      <c r="M214" s="18" t="b">
        <v>0</v>
      </c>
      <c r="N214" s="18"/>
      <c r="O214" s="18"/>
      <c r="P214" s="18" t="b">
        <v>0</v>
      </c>
      <c r="Q214" s="18" t="b">
        <v>0</v>
      </c>
    </row>
    <row r="215" spans="1:17">
      <c r="A215" s="18">
        <f t="shared" si="5"/>
        <v>214</v>
      </c>
      <c r="B215" s="19">
        <v>34</v>
      </c>
      <c r="C215" s="18" t="str" cm="1">
        <f t="array" ref="C215">GetValue("Tbl",B215,"Alias")</f>
        <v>Ope</v>
      </c>
      <c r="D215" s="18">
        <v>1</v>
      </c>
      <c r="E215" s="18" t="str" cm="1">
        <f t="array" ref="E215">GetValue("Dmn",D215,"Name")</f>
        <v>BigInteger</v>
      </c>
      <c r="F215" s="18">
        <f t="shared" ref="F215:F221" si="27">IF(G215="Id",5,F214+5)</f>
        <v>10</v>
      </c>
      <c r="G215" s="18" t="str" cm="1">
        <f t="array" ref="G215">GetColumnName(C215,IF(B215=B214,G214,""))</f>
        <v>TransactionId</v>
      </c>
      <c r="H215" s="18" t="s">
        <v>882</v>
      </c>
      <c r="I215" s="18" t="s">
        <v>891</v>
      </c>
      <c r="J215" s="18" t="s">
        <v>26</v>
      </c>
      <c r="K215" s="18" t="s">
        <v>26</v>
      </c>
      <c r="L215" s="18" t="s">
        <v>26</v>
      </c>
      <c r="M215" s="18" t="s">
        <v>26</v>
      </c>
      <c r="N215" s="18"/>
      <c r="O215" s="18"/>
      <c r="P215" s="18" t="s">
        <v>26</v>
      </c>
      <c r="Q215" s="18" t="b">
        <v>0</v>
      </c>
    </row>
    <row r="216" spans="1:17">
      <c r="A216" s="18">
        <f t="shared" si="5"/>
        <v>215</v>
      </c>
      <c r="B216" s="19">
        <v>34</v>
      </c>
      <c r="C216" s="18" t="str" cm="1">
        <f t="array" ref="C216">GetValue("Tbl",B216,"Alias")</f>
        <v>Ope</v>
      </c>
      <c r="D216" s="18">
        <v>10</v>
      </c>
      <c r="E216" s="18" t="str" cm="1">
        <f t="array" ref="E216">GetValue("Dmn",D216,"Name")</f>
        <v>Nvarchar(25)</v>
      </c>
      <c r="F216" s="18">
        <f t="shared" si="27"/>
        <v>15</v>
      </c>
      <c r="G216" s="18" t="str" cm="1">
        <f t="array" ref="G216">GetColumnName(C216,IF(B216=B215,G215,""))</f>
        <v>TableName</v>
      </c>
      <c r="H216" s="18" t="s">
        <v>114</v>
      </c>
      <c r="I216" s="18" t="s">
        <v>117</v>
      </c>
      <c r="J216" s="18" t="s">
        <v>26</v>
      </c>
      <c r="K216" s="18" t="s">
        <v>26</v>
      </c>
      <c r="L216" s="18" t="s">
        <v>26</v>
      </c>
      <c r="M216" s="18" t="s">
        <v>26</v>
      </c>
      <c r="N216" s="18"/>
      <c r="O216" s="18"/>
      <c r="P216" s="18" t="s">
        <v>26</v>
      </c>
      <c r="Q216" s="18" t="b">
        <v>0</v>
      </c>
    </row>
    <row r="217" spans="1:17">
      <c r="A217" s="18">
        <f t="shared" si="5"/>
        <v>216</v>
      </c>
      <c r="B217" s="19">
        <v>34</v>
      </c>
      <c r="C217" s="18" t="str" cm="1">
        <f t="array" ref="C217">GetValue("Tbl",B217,"Alias")</f>
        <v>Ope</v>
      </c>
      <c r="D217" s="18">
        <v>8</v>
      </c>
      <c r="E217" s="18" t="str" cm="1">
        <f t="array" ref="E217">GetValue("Dmn",D217,"Name")</f>
        <v>Nvarchar(15)</v>
      </c>
      <c r="F217" s="18">
        <f t="shared" si="27"/>
        <v>20</v>
      </c>
      <c r="G217" s="18" t="str" cm="1">
        <f t="array" ref="G217">GetColumnName(C217,IF(B217=B216,G216,""))</f>
        <v>Action</v>
      </c>
      <c r="H217" s="18" t="s">
        <v>887</v>
      </c>
      <c r="I217" s="18" t="s">
        <v>892</v>
      </c>
      <c r="J217" s="18" t="s">
        <v>26</v>
      </c>
      <c r="K217" s="18" t="s">
        <v>26</v>
      </c>
      <c r="L217" s="18" t="s">
        <v>26</v>
      </c>
      <c r="M217" s="18" t="s">
        <v>26</v>
      </c>
      <c r="N217" s="18"/>
      <c r="O217" s="18"/>
      <c r="P217" s="18" t="s">
        <v>26</v>
      </c>
      <c r="Q217" s="18" t="b">
        <v>0</v>
      </c>
    </row>
    <row r="218" spans="1:17">
      <c r="A218" s="18">
        <f t="shared" si="5"/>
        <v>217</v>
      </c>
      <c r="B218" s="19">
        <v>34</v>
      </c>
      <c r="C218" s="18" t="str" cm="1">
        <f t="array" ref="C218">GetValue("Tbl",B218,"Alias")</f>
        <v>Ope</v>
      </c>
      <c r="D218" s="18">
        <v>13</v>
      </c>
      <c r="E218" s="18" t="str" cm="1">
        <f t="array" ref="E218">GetValue("Dmn",D218,"Name")</f>
        <v>Nvarchar(max)</v>
      </c>
      <c r="F218" s="18">
        <f t="shared" si="27"/>
        <v>25</v>
      </c>
      <c r="G218" s="18" t="str" cm="1">
        <f t="array" ref="G218">GetColumnName(C218,IF(B218=B217,G217,""))</f>
        <v>LastRecord</v>
      </c>
      <c r="H218" s="18" t="s">
        <v>888</v>
      </c>
      <c r="I218" s="18" t="s">
        <v>893</v>
      </c>
      <c r="J218" s="18" t="s">
        <v>26</v>
      </c>
      <c r="K218" s="18" t="s">
        <v>26</v>
      </c>
      <c r="L218" s="18" t="s">
        <v>26</v>
      </c>
      <c r="M218" s="18" t="s">
        <v>26</v>
      </c>
      <c r="N218" s="18"/>
      <c r="O218" s="18"/>
      <c r="P218" s="18" t="s">
        <v>26</v>
      </c>
      <c r="Q218" s="18" t="b">
        <v>0</v>
      </c>
    </row>
    <row r="219" spans="1:17">
      <c r="A219" s="18">
        <f t="shared" si="5"/>
        <v>218</v>
      </c>
      <c r="B219" s="19">
        <v>34</v>
      </c>
      <c r="C219" s="18" t="str" cm="1">
        <f t="array" ref="C219">GetValue("Tbl",B219,"Alias")</f>
        <v>Ope</v>
      </c>
      <c r="D219" s="18">
        <v>13</v>
      </c>
      <c r="E219" s="18" t="str" cm="1">
        <f t="array" ref="E219">GetValue("Dmn",D219,"Name")</f>
        <v>Nvarchar(max)</v>
      </c>
      <c r="F219" s="18">
        <f t="shared" si="27"/>
        <v>30</v>
      </c>
      <c r="G219" s="18" t="str" cm="1">
        <f t="array" ref="G219">GetColumnName(C219,IF(B219=B218,G218,""))</f>
        <v>ActualRecord</v>
      </c>
      <c r="H219" s="18" t="s">
        <v>889</v>
      </c>
      <c r="I219" s="18" t="s">
        <v>894</v>
      </c>
      <c r="J219" s="18" t="s">
        <v>26</v>
      </c>
      <c r="K219" s="18" t="s">
        <v>26</v>
      </c>
      <c r="L219" s="18" t="s">
        <v>26</v>
      </c>
      <c r="M219" s="18" t="s">
        <v>26</v>
      </c>
      <c r="N219" s="18"/>
      <c r="O219" s="18"/>
      <c r="P219" s="18" t="s">
        <v>26</v>
      </c>
      <c r="Q219" s="18" t="b">
        <v>0</v>
      </c>
    </row>
    <row r="220" spans="1:17">
      <c r="A220" s="18">
        <f t="shared" si="5"/>
        <v>219</v>
      </c>
      <c r="B220" s="19">
        <v>34</v>
      </c>
      <c r="C220" s="18" t="str" cm="1">
        <f t="array" ref="C220">GetValue("Tbl",B220,"Alias")</f>
        <v>Ope</v>
      </c>
      <c r="D220" s="18">
        <v>6</v>
      </c>
      <c r="E220" s="18" t="str" cm="1">
        <f t="array" ref="E220">GetValue("Dmn",D220,"Name")</f>
        <v>Boolean</v>
      </c>
      <c r="F220" s="18">
        <f t="shared" si="27"/>
        <v>35</v>
      </c>
      <c r="G220" s="18" t="str" cm="1">
        <f t="array" ref="G220">GetColumnName(C220,IF(B220=B219,G219,""))</f>
        <v>IsConfirmed</v>
      </c>
      <c r="H220" s="18" t="s">
        <v>890</v>
      </c>
      <c r="I220" s="18" t="s">
        <v>885</v>
      </c>
      <c r="J220" s="18" t="s">
        <v>26</v>
      </c>
      <c r="K220" s="18" t="s">
        <v>26</v>
      </c>
      <c r="L220" s="18" t="s">
        <v>26</v>
      </c>
      <c r="M220" s="18" t="s">
        <v>26</v>
      </c>
      <c r="N220" s="18"/>
      <c r="O220" s="18"/>
      <c r="P220" s="18" t="s">
        <v>26</v>
      </c>
      <c r="Q220" s="18" t="b">
        <v>0</v>
      </c>
    </row>
    <row r="221" spans="1:17">
      <c r="A221" s="20">
        <f t="shared" si="5"/>
        <v>220</v>
      </c>
      <c r="B221" s="21">
        <v>35</v>
      </c>
      <c r="C221" s="20" t="str" cm="1">
        <f t="array" ref="C221">GetValue("Tbl",B221,"Alias")</f>
        <v>Vrt</v>
      </c>
      <c r="D221" s="20">
        <v>1</v>
      </c>
      <c r="E221" s="20" t="str" cm="1">
        <f t="array" ref="E221">GetValue("Dmn",D221,"Name")</f>
        <v>BigInteger</v>
      </c>
      <c r="F221" s="20" t="e">
        <f t="shared" si="27"/>
        <v>#VALUE!</v>
      </c>
      <c r="G221" s="20" t="e" cm="1">
        <f t="array" ref="G221">GetColumnName(C221,IF(B221=B220,G220,""))</f>
        <v>#VALUE!</v>
      </c>
      <c r="H221" s="20" t="s">
        <v>916</v>
      </c>
      <c r="I221" s="20" t="s">
        <v>0</v>
      </c>
      <c r="J221" s="20" t="b">
        <v>1</v>
      </c>
      <c r="K221" s="20" t="b">
        <v>1</v>
      </c>
      <c r="L221" s="20" t="b">
        <v>0</v>
      </c>
      <c r="M221" s="20" t="b">
        <v>0</v>
      </c>
      <c r="N221" s="20"/>
      <c r="O221" s="20"/>
      <c r="P221" s="20"/>
      <c r="Q221" s="20" t="b">
        <v>0</v>
      </c>
    </row>
    <row r="222" spans="1:17">
      <c r="A222" s="20">
        <f t="shared" si="5"/>
        <v>221</v>
      </c>
      <c r="B222" s="21">
        <v>35</v>
      </c>
      <c r="C222" s="20" t="str" cm="1">
        <f t="array" ref="C222">GetValue("Tbl",B222,"Alias")</f>
        <v>Vrt</v>
      </c>
      <c r="D222" s="20">
        <v>1</v>
      </c>
      <c r="E222" s="20" t="str" cm="1">
        <f t="array" ref="E222">GetValue("Dmn",D222,"Name")</f>
        <v>BigInteger</v>
      </c>
      <c r="F222" s="20" t="e">
        <f t="shared" ref="F222:F224" si="28">IF(G222="Id",5,F221+5)</f>
        <v>#VALUE!</v>
      </c>
      <c r="G222" s="20" t="e" cm="1">
        <f t="array" ref="G222">GetColumnName(C222,IF(B222=B221,G221,""))</f>
        <v>#VALUE!</v>
      </c>
      <c r="H222" s="20" t="s">
        <v>595</v>
      </c>
      <c r="I222" s="20" t="s">
        <v>117</v>
      </c>
      <c r="J222" s="20"/>
      <c r="K222" s="20"/>
      <c r="L222" s="20"/>
      <c r="M222" s="20"/>
      <c r="N222" s="20"/>
      <c r="O222" s="20"/>
      <c r="P222" s="20"/>
      <c r="Q222" s="20" t="b">
        <v>0</v>
      </c>
    </row>
    <row r="223" spans="1:17">
      <c r="A223" s="20">
        <f t="shared" si="5"/>
        <v>222</v>
      </c>
      <c r="B223" s="21">
        <v>35</v>
      </c>
      <c r="C223" s="20" t="str" cm="1">
        <f t="array" ref="C223">GetValue("Tbl",B223,"Alias")</f>
        <v>Vrt</v>
      </c>
      <c r="D223" s="20">
        <v>1</v>
      </c>
      <c r="E223" s="20" t="str" cm="1">
        <f t="array" ref="E223">GetValue("Dmn",D223,"Name")</f>
        <v>BigInteger</v>
      </c>
      <c r="F223" s="20" t="e">
        <f t="shared" si="28"/>
        <v>#VALUE!</v>
      </c>
      <c r="G223" s="20" t="e" cm="1">
        <f t="array" ref="G223">GetColumnName(C223,IF(B223=B222,G222,""))</f>
        <v>#VALUE!</v>
      </c>
      <c r="H223" s="20" t="s">
        <v>916</v>
      </c>
      <c r="I223" s="20" t="s">
        <v>626</v>
      </c>
      <c r="J223" s="20"/>
      <c r="K223" s="20"/>
      <c r="L223" s="20"/>
      <c r="M223" s="20"/>
      <c r="N223" s="20"/>
      <c r="O223" s="20"/>
      <c r="P223" s="20"/>
      <c r="Q223" s="20" t="b">
        <v>0</v>
      </c>
    </row>
    <row r="224" spans="1:17">
      <c r="A224" s="20">
        <f t="shared" si="5"/>
        <v>223</v>
      </c>
      <c r="B224" s="21">
        <v>35</v>
      </c>
      <c r="C224" s="20" t="str" cm="1">
        <f t="array" ref="C224">GetValue("Tbl",B224,"Alias")</f>
        <v>Vrt</v>
      </c>
      <c r="D224" s="20">
        <v>1</v>
      </c>
      <c r="E224" s="20" t="str" cm="1">
        <f t="array" ref="E224">GetValue("Dmn",D224,"Name")</f>
        <v>BigInteger</v>
      </c>
      <c r="F224" s="20" t="e">
        <f t="shared" si="28"/>
        <v>#VALUE!</v>
      </c>
      <c r="G224" s="20" t="e" cm="1">
        <f t="array" ref="G224">GetColumnName(C224,IF(B224=B223,G223,""))</f>
        <v>#VALUE!</v>
      </c>
      <c r="H224" s="20" t="s">
        <v>918</v>
      </c>
      <c r="I224" s="20" t="s">
        <v>919</v>
      </c>
      <c r="J224" s="20"/>
      <c r="K224" s="20"/>
      <c r="L224" s="20"/>
      <c r="M224" s="20"/>
      <c r="N224" s="20"/>
      <c r="O224" s="20"/>
      <c r="P224" s="20"/>
      <c r="Q224" s="20" t="b">
        <v>0</v>
      </c>
    </row>
    <row r="225" spans="1:17">
      <c r="A225" s="20">
        <f t="shared" si="5"/>
        <v>224</v>
      </c>
      <c r="B225" s="21">
        <v>35</v>
      </c>
      <c r="C225" s="20" t="str" cm="1">
        <f t="array" ref="C225">GetValue("Tbl",B225,"Alias")</f>
        <v>Vrt</v>
      </c>
      <c r="D225" s="20">
        <v>42</v>
      </c>
      <c r="E225" s="20" t="str" cm="1">
        <f t="array" ref="E225">GetValue("Dmn",D225,"Name")</f>
        <v>Variant</v>
      </c>
      <c r="F225" s="20" t="e">
        <f t="shared" ref="F225" si="29">IF(G225="Id",5,F224+5)</f>
        <v>#VALUE!</v>
      </c>
      <c r="G225" s="20" t="e" cm="1">
        <f t="array" ref="G225">GetColumnName(C225,IF(B225=B224,G224,""))</f>
        <v>#VALUE!</v>
      </c>
      <c r="H225" s="20" t="s">
        <v>917</v>
      </c>
      <c r="I225" s="20" t="s">
        <v>842</v>
      </c>
      <c r="J225" s="20"/>
      <c r="K225" s="20"/>
      <c r="L225" s="20"/>
      <c r="M225" s="20"/>
      <c r="N225" s="20"/>
      <c r="O225" s="20"/>
      <c r="P225" s="20"/>
      <c r="Q225" s="20" t="b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F105:G105 F155:G155 F120:G120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1E5B-1BC5-4BDC-88CD-9115220427F6}">
  <sheetPr codeName="Planilha12"/>
  <dimension ref="A1:E41"/>
  <sheetViews>
    <sheetView workbookViewId="0">
      <pane ySplit="1" topLeftCell="A17" activePane="bottomLeft" state="frozen"/>
      <selection activeCell="T1" sqref="T1"/>
      <selection pane="bottomLeft" activeCell="D4" sqref="D4"/>
    </sheetView>
  </sheetViews>
  <sheetFormatPr defaultRowHeight="14.4"/>
  <cols>
    <col min="1" max="1" width="3" bestFit="1" customWidth="1"/>
    <col min="2" max="2" width="7.5546875" bestFit="1" customWidth="1"/>
    <col min="3" max="3" width="22.109375" bestFit="1" customWidth="1"/>
    <col min="4" max="4" width="52.109375" bestFit="1" customWidth="1"/>
    <col min="5" max="5" width="12.44140625" bestFit="1" customWidth="1"/>
  </cols>
  <sheetData>
    <row r="1" spans="1:5" s="1" customFormat="1">
      <c r="A1" s="1" t="s">
        <v>0</v>
      </c>
      <c r="B1" s="1" t="s">
        <v>95</v>
      </c>
      <c r="C1" s="1" t="s">
        <v>152</v>
      </c>
      <c r="D1" s="1" t="s">
        <v>1</v>
      </c>
      <c r="E1" s="1" t="s">
        <v>120</v>
      </c>
    </row>
    <row r="2" spans="1:5">
      <c r="A2">
        <f>ROW(A2)-1</f>
        <v>1</v>
      </c>
      <c r="B2">
        <v>1</v>
      </c>
      <c r="C2" t="str" cm="1">
        <f t="array" ref="C2">GetValue("Tbl",B2,"Name")</f>
        <v>Categories</v>
      </c>
      <c r="D2" t="s">
        <v>137</v>
      </c>
      <c r="E2" t="b">
        <v>1</v>
      </c>
    </row>
    <row r="3" spans="1:5">
      <c r="A3">
        <f>ROW(A3)-1</f>
        <v>2</v>
      </c>
      <c r="B3">
        <v>2</v>
      </c>
      <c r="C3" t="str" cm="1">
        <f t="array" ref="C3">GetValue("Tbl",B3,"Name")</f>
        <v>Comparators</v>
      </c>
      <c r="D3" t="s">
        <v>129</v>
      </c>
      <c r="E3" t="b">
        <v>1</v>
      </c>
    </row>
    <row r="4" spans="1:5">
      <c r="A4">
        <f t="shared" ref="A4:A41" si="0">ROW(A4)-1</f>
        <v>3</v>
      </c>
      <c r="B4">
        <v>3</v>
      </c>
      <c r="C4" t="str" cm="1">
        <f t="array" ref="C4">GetValue("Tbl",B4,"Name")</f>
        <v>Rules</v>
      </c>
      <c r="D4" t="s">
        <v>131</v>
      </c>
      <c r="E4" t="b">
        <v>1</v>
      </c>
    </row>
    <row r="5" spans="1:5">
      <c r="A5">
        <f>ROW(A5)-1</f>
        <v>4</v>
      </c>
      <c r="B5">
        <v>4</v>
      </c>
      <c r="C5" t="str" cm="1">
        <f t="array" ref="C5">GetValue("Tbl",B5,"Name")</f>
        <v>Engines</v>
      </c>
      <c r="D5" t="s">
        <v>130</v>
      </c>
      <c r="E5" t="b">
        <v>1</v>
      </c>
    </row>
    <row r="6" spans="1:5">
      <c r="A6">
        <f t="shared" si="0"/>
        <v>5</v>
      </c>
      <c r="B6">
        <v>5</v>
      </c>
      <c r="C6" t="str" cm="1">
        <f t="array" ref="C6">GetValue("Tbl",B6,"Name")</f>
        <v>Types</v>
      </c>
      <c r="D6" t="s">
        <v>132</v>
      </c>
      <c r="E6" t="b">
        <v>1</v>
      </c>
    </row>
    <row r="7" spans="1:5">
      <c r="A7">
        <f t="shared" si="0"/>
        <v>6</v>
      </c>
      <c r="B7">
        <v>6</v>
      </c>
      <c r="C7" t="str" cm="1">
        <f t="array" ref="C7">GetValue("Tbl",B7,"Name")</f>
        <v>Mappings</v>
      </c>
      <c r="D7" t="s">
        <v>156</v>
      </c>
      <c r="E7" t="b">
        <v>1</v>
      </c>
    </row>
    <row r="8" spans="1:5">
      <c r="A8">
        <f t="shared" si="0"/>
        <v>7</v>
      </c>
      <c r="B8">
        <v>6</v>
      </c>
      <c r="C8" t="str" cm="1">
        <f t="array" ref="C8">GetValue("Tbl",B8,"Name")</f>
        <v>Mappings</v>
      </c>
      <c r="D8" t="s">
        <v>166</v>
      </c>
      <c r="E8" t="b">
        <v>1</v>
      </c>
    </row>
    <row r="9" spans="1:5">
      <c r="A9">
        <f t="shared" si="0"/>
        <v>8</v>
      </c>
      <c r="B9">
        <v>7</v>
      </c>
      <c r="C9" t="str" cm="1">
        <f t="array" ref="C9">GetValue("Tbl",B9,"Name")</f>
        <v>Clients</v>
      </c>
      <c r="D9" t="s">
        <v>133</v>
      </c>
      <c r="E9" t="b">
        <v>1</v>
      </c>
    </row>
    <row r="10" spans="1:5">
      <c r="A10">
        <f t="shared" si="0"/>
        <v>9</v>
      </c>
      <c r="B10">
        <v>8</v>
      </c>
      <c r="C10" t="str" cm="1">
        <f t="array" ref="C10">GetValue("Tbl",B10,"Name")</f>
        <v>Domains</v>
      </c>
      <c r="D10" t="s">
        <v>162</v>
      </c>
      <c r="E10" t="b">
        <v>1</v>
      </c>
    </row>
    <row r="11" spans="1:5">
      <c r="A11">
        <f t="shared" si="0"/>
        <v>10</v>
      </c>
      <c r="B11">
        <v>8</v>
      </c>
      <c r="C11" t="str" cm="1">
        <f t="array" ref="C11">GetValue("Tbl",B11,"Name")</f>
        <v>Domains</v>
      </c>
      <c r="D11" t="s">
        <v>185</v>
      </c>
      <c r="E11" t="b">
        <v>1</v>
      </c>
    </row>
    <row r="12" spans="1:5">
      <c r="A12">
        <f t="shared" si="0"/>
        <v>11</v>
      </c>
      <c r="B12">
        <v>10</v>
      </c>
      <c r="C12" t="str" cm="1">
        <f t="array" ref="C12">GetValue("Tbl",B12,"Name")</f>
        <v>Maskings</v>
      </c>
      <c r="D12" t="s">
        <v>134</v>
      </c>
      <c r="E12" t="b">
        <v>1</v>
      </c>
    </row>
    <row r="13" spans="1:5">
      <c r="A13">
        <f t="shared" si="0"/>
        <v>12</v>
      </c>
      <c r="B13">
        <v>10</v>
      </c>
      <c r="C13" t="str" cm="1">
        <f t="array" ref="C13">GetValue("Tbl",B13,"Name")</f>
        <v>Maskings</v>
      </c>
      <c r="D13" t="s">
        <v>135</v>
      </c>
      <c r="E13" t="b">
        <v>1</v>
      </c>
    </row>
    <row r="14" spans="1:5">
      <c r="A14">
        <f t="shared" si="0"/>
        <v>13</v>
      </c>
      <c r="B14">
        <v>11</v>
      </c>
      <c r="C14" t="str" cm="1">
        <f t="array" ref="C14">GetValue("Tbl",B14,"Name")</f>
        <v>Databases</v>
      </c>
      <c r="D14" t="s">
        <v>157</v>
      </c>
      <c r="E14" t="b">
        <v>1</v>
      </c>
    </row>
    <row r="15" spans="1:5">
      <c r="A15">
        <f t="shared" si="0"/>
        <v>14</v>
      </c>
      <c r="B15">
        <v>11</v>
      </c>
      <c r="C15" t="str" cm="1">
        <f t="array" ref="C15">GetValue("Tbl",B15,"Name")</f>
        <v>Databases</v>
      </c>
      <c r="D15" t="s">
        <v>184</v>
      </c>
      <c r="E15" t="b">
        <v>1</v>
      </c>
    </row>
    <row r="16" spans="1:5">
      <c r="A16">
        <f t="shared" si="0"/>
        <v>15</v>
      </c>
      <c r="B16">
        <v>12</v>
      </c>
      <c r="C16" t="str" cm="1">
        <f t="array" ref="C16">GetValue("Tbl",B16,"Name")</f>
        <v>Connections</v>
      </c>
      <c r="D16" t="s">
        <v>142</v>
      </c>
      <c r="E16" t="b">
        <v>1</v>
      </c>
    </row>
    <row r="17" spans="1:5">
      <c r="A17">
        <f t="shared" si="0"/>
        <v>16</v>
      </c>
      <c r="B17">
        <v>12</v>
      </c>
      <c r="C17" t="str" cm="1">
        <f t="array" ref="C17">GetValue("Tbl",B17,"Name")</f>
        <v>Connections</v>
      </c>
      <c r="D17" t="s">
        <v>136</v>
      </c>
      <c r="E17" t="b">
        <v>1</v>
      </c>
    </row>
    <row r="18" spans="1:5">
      <c r="A18">
        <f t="shared" si="0"/>
        <v>17</v>
      </c>
      <c r="B18">
        <v>13</v>
      </c>
      <c r="C18" t="str" cm="1">
        <f t="array" ref="C18">GetValue("Tbl",B18,"Name")</f>
        <v>Systems</v>
      </c>
      <c r="D18" t="s">
        <v>158</v>
      </c>
      <c r="E18" t="b">
        <v>1</v>
      </c>
    </row>
    <row r="19" spans="1:5">
      <c r="A19">
        <f t="shared" si="0"/>
        <v>18</v>
      </c>
      <c r="B19">
        <v>13</v>
      </c>
      <c r="C19" t="str" cm="1">
        <f t="array" ref="C19">GetValue("Tbl",B19,"Name")</f>
        <v>Systems</v>
      </c>
      <c r="D19" t="s">
        <v>186</v>
      </c>
      <c r="E19" t="b">
        <v>1</v>
      </c>
    </row>
    <row r="20" spans="1:5">
      <c r="A20">
        <f t="shared" si="0"/>
        <v>19</v>
      </c>
      <c r="B20">
        <v>14</v>
      </c>
      <c r="C20" t="str" cm="1">
        <f t="array" ref="C20">GetValue("Tbl",B20,"Name")</f>
        <v>Menus</v>
      </c>
      <c r="D20" t="s">
        <v>159</v>
      </c>
      <c r="E20" t="b">
        <v>1</v>
      </c>
    </row>
    <row r="21" spans="1:5">
      <c r="A21">
        <f t="shared" si="0"/>
        <v>20</v>
      </c>
      <c r="B21">
        <v>14</v>
      </c>
      <c r="C21" t="str" cm="1">
        <f t="array" ref="C21">GetValue("Tbl",B21,"Name")</f>
        <v>Menus</v>
      </c>
      <c r="D21" t="s">
        <v>160</v>
      </c>
      <c r="E21" t="b">
        <v>1</v>
      </c>
    </row>
    <row r="22" spans="1:5">
      <c r="A22">
        <f t="shared" si="0"/>
        <v>21</v>
      </c>
      <c r="B22">
        <v>15</v>
      </c>
      <c r="C22" t="str" cm="1">
        <f t="array" ref="C22">GetValue("Tbl",B22,"Name")</f>
        <v>Tables</v>
      </c>
      <c r="D22" t="s">
        <v>194</v>
      </c>
      <c r="E22" t="b">
        <v>1</v>
      </c>
    </row>
    <row r="23" spans="1:5">
      <c r="A23">
        <f t="shared" si="0"/>
        <v>22</v>
      </c>
      <c r="B23">
        <v>16</v>
      </c>
      <c r="C23" t="str" cm="1">
        <f t="array" ref="C23">GetValue("Tbl",B23,"Name")</f>
        <v>Columns</v>
      </c>
      <c r="D23" t="s">
        <v>161</v>
      </c>
      <c r="E23" t="b">
        <v>1</v>
      </c>
    </row>
    <row r="24" spans="1:5">
      <c r="A24">
        <f t="shared" si="0"/>
        <v>23</v>
      </c>
      <c r="B24">
        <v>16</v>
      </c>
      <c r="C24" t="str" cm="1">
        <f t="array" ref="C24">GetValue("Tbl",B24,"Name")</f>
        <v>Columns</v>
      </c>
      <c r="D24" t="s">
        <v>164</v>
      </c>
      <c r="E24" t="b">
        <v>1</v>
      </c>
    </row>
    <row r="25" spans="1:5">
      <c r="A25">
        <f t="shared" si="0"/>
        <v>24</v>
      </c>
      <c r="B25">
        <v>17</v>
      </c>
      <c r="C25" t="str" cm="1">
        <f t="array" ref="C25">GetValue("Tbl",B25,"Name")</f>
        <v>Indexes</v>
      </c>
      <c r="D25" t="s">
        <v>217</v>
      </c>
      <c r="E25" t="b">
        <v>0</v>
      </c>
    </row>
    <row r="26" spans="1:5">
      <c r="A26">
        <f t="shared" si="0"/>
        <v>25</v>
      </c>
      <c r="B26">
        <v>18</v>
      </c>
      <c r="C26" t="str" cm="1">
        <f t="array" ref="C26">GetValue("Tbl",B26,"Name")</f>
        <v>Indexkeys</v>
      </c>
      <c r="D26" t="s">
        <v>218</v>
      </c>
      <c r="E26" t="b">
        <v>0</v>
      </c>
    </row>
    <row r="27" spans="1:5">
      <c r="A27">
        <f t="shared" si="0"/>
        <v>26</v>
      </c>
      <c r="B27">
        <v>19</v>
      </c>
      <c r="C27" t="str" cm="1">
        <f t="array" ref="C27">GetValue("Tbl",B27,"Name")</f>
        <v>Includes</v>
      </c>
      <c r="D27" t="s">
        <v>195</v>
      </c>
      <c r="E27" t="b">
        <v>0</v>
      </c>
    </row>
    <row r="28" spans="1:5">
      <c r="A28">
        <f t="shared" si="0"/>
        <v>27</v>
      </c>
      <c r="B28">
        <v>20</v>
      </c>
      <c r="C28" t="str" cm="1">
        <f t="array" ref="C28">GetValue("Tbl",B28,"Name")</f>
        <v>Unicities</v>
      </c>
      <c r="D28" t="s">
        <v>212</v>
      </c>
      <c r="E28" t="b">
        <v>1</v>
      </c>
    </row>
    <row r="29" spans="1:5">
      <c r="A29">
        <f t="shared" si="0"/>
        <v>28</v>
      </c>
      <c r="B29">
        <v>20</v>
      </c>
      <c r="C29" t="str" cm="1">
        <f t="array" ref="C29">GetValue("Tbl",B29,"Name")</f>
        <v>Unicities</v>
      </c>
      <c r="D29" t="s">
        <v>213</v>
      </c>
      <c r="E29" t="b">
        <v>1</v>
      </c>
    </row>
    <row r="30" spans="1:5">
      <c r="A30">
        <f t="shared" si="0"/>
        <v>29</v>
      </c>
      <c r="B30">
        <v>21</v>
      </c>
      <c r="C30" t="str" cm="1">
        <f t="array" ref="C30">GetValue("Tbl",B30,"Name")</f>
        <v>Expressions</v>
      </c>
      <c r="D30" t="s">
        <v>213</v>
      </c>
      <c r="E30" t="b">
        <v>1</v>
      </c>
    </row>
    <row r="31" spans="1:5">
      <c r="A31">
        <f t="shared" si="0"/>
        <v>30</v>
      </c>
      <c r="B31">
        <v>22</v>
      </c>
      <c r="C31" t="str" cm="1">
        <f t="array" ref="C31">GetValue("Tbl",B31,"Name")</f>
        <v>Conditions</v>
      </c>
      <c r="D31" t="s">
        <v>213</v>
      </c>
      <c r="E31" t="b">
        <v>1</v>
      </c>
    </row>
    <row r="32" spans="1:5">
      <c r="A32">
        <f t="shared" si="0"/>
        <v>31</v>
      </c>
      <c r="B32">
        <v>23</v>
      </c>
      <c r="C32" t="str" cm="1">
        <f t="array" ref="C32">GetValue("Tbl",B32,"Name")</f>
        <v>References</v>
      </c>
      <c r="D32" t="s">
        <v>213</v>
      </c>
      <c r="E32" t="b">
        <v>1</v>
      </c>
    </row>
    <row r="33" spans="1:5">
      <c r="A33">
        <f t="shared" si="0"/>
        <v>32</v>
      </c>
      <c r="B33">
        <v>24</v>
      </c>
      <c r="C33" t="str" cm="1">
        <f t="array" ref="C33">GetValue("Tbl",B33,"Name")</f>
        <v>Users</v>
      </c>
      <c r="D33" t="s">
        <v>213</v>
      </c>
      <c r="E33" t="b">
        <v>1</v>
      </c>
    </row>
    <row r="34" spans="1:5">
      <c r="A34">
        <f t="shared" si="0"/>
        <v>33</v>
      </c>
      <c r="B34">
        <v>25</v>
      </c>
      <c r="C34" t="str" cm="1">
        <f t="array" ref="C34">GetValue("Tbl",B34,"Name")</f>
        <v>Permissions</v>
      </c>
      <c r="D34" t="s">
        <v>213</v>
      </c>
      <c r="E34" t="b">
        <v>1</v>
      </c>
    </row>
    <row r="35" spans="1:5">
      <c r="A35">
        <f t="shared" si="0"/>
        <v>34</v>
      </c>
      <c r="B35">
        <v>26</v>
      </c>
      <c r="C35" t="str" cm="1">
        <f t="array" ref="C35">GetValue("Tbl",B35,"Name")</f>
        <v>Properties</v>
      </c>
      <c r="D35" t="s">
        <v>213</v>
      </c>
      <c r="E35" t="b">
        <v>1</v>
      </c>
    </row>
    <row r="36" spans="1:5">
      <c r="A36">
        <f t="shared" si="0"/>
        <v>35</v>
      </c>
      <c r="B36">
        <v>27</v>
      </c>
      <c r="C36" t="str" cm="1">
        <f t="array" ref="C36">GetValue("Tbl",B36,"Name")</f>
        <v>Behaviors</v>
      </c>
      <c r="D36" t="s">
        <v>213</v>
      </c>
      <c r="E36" t="b">
        <v>1</v>
      </c>
    </row>
    <row r="37" spans="1:5">
      <c r="A37">
        <f t="shared" si="0"/>
        <v>36</v>
      </c>
      <c r="B37">
        <v>28</v>
      </c>
      <c r="C37" t="str" cm="1">
        <f t="array" ref="C37">GetValue("Tbl",B37,"Name")</f>
        <v>Schedulers</v>
      </c>
      <c r="D37" t="s">
        <v>213</v>
      </c>
      <c r="E37" t="b">
        <v>1</v>
      </c>
    </row>
    <row r="38" spans="1:5">
      <c r="A38">
        <f t="shared" si="0"/>
        <v>37</v>
      </c>
      <c r="B38">
        <v>29</v>
      </c>
      <c r="C38" t="str" cm="1">
        <f t="array" ref="C38">GetValue("Tbl",B38,"Name")</f>
        <v>Snipers</v>
      </c>
      <c r="D38" t="s">
        <v>213</v>
      </c>
      <c r="E38" t="b">
        <v>1</v>
      </c>
    </row>
    <row r="39" spans="1:5">
      <c r="A39">
        <f t="shared" si="0"/>
        <v>38</v>
      </c>
      <c r="B39">
        <v>30</v>
      </c>
      <c r="C39" t="str" cm="1">
        <f t="array" ref="C39">GetValue("Tbl",B39,"Name")</f>
        <v>Scripts</v>
      </c>
      <c r="D39" t="s">
        <v>213</v>
      </c>
      <c r="E39" t="b">
        <v>1</v>
      </c>
    </row>
    <row r="40" spans="1:5">
      <c r="A40">
        <f t="shared" si="0"/>
        <v>39</v>
      </c>
      <c r="B40">
        <v>31</v>
      </c>
      <c r="C40" t="str" cm="1">
        <f t="array" ref="C40">GetValue("Tbl",B40,"Name")</f>
        <v>Urls</v>
      </c>
      <c r="D40" t="s">
        <v>213</v>
      </c>
      <c r="E40" t="b">
        <v>1</v>
      </c>
    </row>
    <row r="41" spans="1:5">
      <c r="A41">
        <f t="shared" si="0"/>
        <v>40</v>
      </c>
      <c r="B41">
        <v>32</v>
      </c>
      <c r="C41" t="str" cm="1">
        <f t="array" ref="C41">GetValue("Tbl",B41,"Name")</f>
        <v>Sessions</v>
      </c>
      <c r="D41" t="s">
        <v>213</v>
      </c>
      <c r="E41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A723-0DB0-4C1C-961F-BD8AA3F044CF}">
  <sheetPr codeName="Planilha13"/>
  <dimension ref="A1:G29"/>
  <sheetViews>
    <sheetView workbookViewId="0">
      <pane ySplit="1" topLeftCell="A2" activePane="bottomLeft" state="frozen"/>
      <selection activeCell="T1" sqref="T1"/>
      <selection pane="bottomLeft" activeCell="E24" sqref="E24"/>
    </sheetView>
  </sheetViews>
  <sheetFormatPr defaultRowHeight="14.4"/>
  <cols>
    <col min="1" max="1" width="3" bestFit="1" customWidth="1"/>
    <col min="2" max="2" width="7.6640625" bestFit="1" customWidth="1"/>
    <col min="3" max="3" width="52.109375" bestFit="1" customWidth="1"/>
    <col min="4" max="4" width="9.5546875" bestFit="1" customWidth="1"/>
    <col min="5" max="5" width="16.88671875" bestFit="1" customWidth="1"/>
    <col min="6" max="6" width="9.6640625" bestFit="1" customWidth="1"/>
    <col min="7" max="7" width="12.6640625" bestFit="1" customWidth="1"/>
  </cols>
  <sheetData>
    <row r="1" spans="1:7" s="1" customFormat="1">
      <c r="A1" s="1" t="s">
        <v>0</v>
      </c>
      <c r="B1" s="1" t="s">
        <v>121</v>
      </c>
      <c r="C1" s="1" t="s">
        <v>154</v>
      </c>
      <c r="D1" s="1" t="s">
        <v>122</v>
      </c>
      <c r="E1" s="1" t="s">
        <v>155</v>
      </c>
      <c r="F1" s="1" t="s">
        <v>69</v>
      </c>
      <c r="G1" s="1" t="s">
        <v>123</v>
      </c>
    </row>
    <row r="2" spans="1:7">
      <c r="A2">
        <f>ROW(A2)-1</f>
        <v>1</v>
      </c>
      <c r="B2">
        <f>ROW(B2)-1</f>
        <v>1</v>
      </c>
      <c r="C2" t="str" cm="1">
        <f t="array" ref="C2">GetValue("Idx",B2,"Name")</f>
        <v>UNQ_Categories_Name</v>
      </c>
      <c r="D2">
        <v>2</v>
      </c>
      <c r="E2" t="str" cm="1">
        <f t="array" ref="E2">GetValue("Col",D2,"Name")</f>
        <v>Name</v>
      </c>
      <c r="F2">
        <v>5</v>
      </c>
      <c r="G2" t="b">
        <v>0</v>
      </c>
    </row>
    <row r="3" spans="1:7">
      <c r="A3">
        <f>ROW(A3)-1</f>
        <v>2</v>
      </c>
      <c r="B3">
        <f>ROW(B3)-1</f>
        <v>2</v>
      </c>
      <c r="C3" t="str" cm="1">
        <f t="array" ref="C3">GetValue("Idx",B3,"Name")</f>
        <v>UNQ_Types_Name</v>
      </c>
      <c r="D3">
        <v>14</v>
      </c>
      <c r="E3" t="str" cm="1">
        <f t="array" ref="E3">GetValue("Col",D3,"Name")</f>
        <v>Description</v>
      </c>
      <c r="F3">
        <v>5</v>
      </c>
      <c r="G3" t="b">
        <v>0</v>
      </c>
    </row>
    <row r="4" spans="1:7">
      <c r="A4">
        <f t="shared" ref="A4:A29" si="0">ROW(A4)-1</f>
        <v>3</v>
      </c>
      <c r="B4">
        <f t="shared" ref="B4" si="1">ROW(B4)-1</f>
        <v>3</v>
      </c>
      <c r="C4" t="str" cm="1">
        <f t="array" ref="C4">GetValue("Idx",B4,"Name")</f>
        <v>UNQ_Masks_Name</v>
      </c>
      <c r="D4">
        <v>28</v>
      </c>
      <c r="E4" t="str" cm="1">
        <f t="array" ref="E4">GetValue("Col",D4,"Name")</f>
        <v>Maximum</v>
      </c>
      <c r="F4">
        <v>5</v>
      </c>
      <c r="G4" t="b">
        <v>0</v>
      </c>
    </row>
    <row r="5" spans="1:7">
      <c r="A5">
        <f>ROW(A5)-1</f>
        <v>4</v>
      </c>
      <c r="B5">
        <f>ROW(B5)-1</f>
        <v>4</v>
      </c>
      <c r="C5" t="str" cm="1">
        <f t="array" ref="C5">GetValue("Idx",B5,"Name")</f>
        <v>UNQ_Domains_Name</v>
      </c>
      <c r="D5">
        <v>33</v>
      </c>
      <c r="E5" t="str" cm="1">
        <f t="array" ref="E5">GetValue("Col",D5,"Name")</f>
        <v>IsActive</v>
      </c>
      <c r="F5">
        <v>5</v>
      </c>
      <c r="G5" t="b">
        <v>0</v>
      </c>
    </row>
    <row r="6" spans="1:7">
      <c r="A6">
        <f t="shared" si="0"/>
        <v>5</v>
      </c>
      <c r="B6">
        <f t="shared" ref="B6:B29" si="2">ROW(B6)-1</f>
        <v>5</v>
      </c>
      <c r="C6" t="str" cm="1">
        <f t="array" ref="C6">GetValue("Idx",B6,"Name")</f>
        <v>UNQ_Systems_Name</v>
      </c>
      <c r="D6">
        <v>42</v>
      </c>
      <c r="E6" t="str" cm="1">
        <f t="array" ref="E6">GetValue("Col",D6,"Name")</f>
        <v>Logo</v>
      </c>
      <c r="F6">
        <v>5</v>
      </c>
      <c r="G6" t="b">
        <v>0</v>
      </c>
    </row>
    <row r="7" spans="1:7">
      <c r="A7">
        <f t="shared" si="0"/>
        <v>6</v>
      </c>
      <c r="B7">
        <f t="shared" si="2"/>
        <v>6</v>
      </c>
      <c r="C7" t="str" cm="1">
        <f t="array" ref="C7">GetValue("Idx",B7,"Name")</f>
        <v>UNQ_Menus_SystemId_Sequence</v>
      </c>
      <c r="D7">
        <v>48</v>
      </c>
      <c r="E7" t="str" cm="1">
        <f t="array" ref="E7">GetValue("Col",D7,"Name")</f>
        <v>Name</v>
      </c>
      <c r="F7">
        <v>5</v>
      </c>
      <c r="G7" t="b">
        <v>0</v>
      </c>
    </row>
    <row r="8" spans="1:7">
      <c r="A8">
        <f t="shared" si="0"/>
        <v>7</v>
      </c>
      <c r="B8">
        <f t="shared" si="2"/>
        <v>7</v>
      </c>
      <c r="C8" t="str" cm="1">
        <f t="array" ref="C8">GetValue("Idx",B8,"Name")</f>
        <v>UNQ_Menus_SystemId_Caption</v>
      </c>
      <c r="D8">
        <v>49</v>
      </c>
      <c r="E8" t="str" cm="1">
        <f t="array" ref="E8">GetValue("Col",D8,"Name")</f>
        <v>Length</v>
      </c>
      <c r="F8">
        <v>10</v>
      </c>
      <c r="G8" t="b">
        <v>0</v>
      </c>
    </row>
    <row r="9" spans="1:7">
      <c r="A9">
        <f t="shared" si="0"/>
        <v>8</v>
      </c>
      <c r="B9">
        <f t="shared" si="2"/>
        <v>8</v>
      </c>
      <c r="C9" t="str" cm="1">
        <f t="array" ref="C9">GetValue("Idx",B9,"Name")</f>
        <v>UNQ_Users_Name</v>
      </c>
      <c r="D9">
        <v>48</v>
      </c>
      <c r="E9" t="str" cm="1">
        <f t="array" ref="E9">GetValue("Col",D9,"Name")</f>
        <v>Name</v>
      </c>
      <c r="F9">
        <v>5</v>
      </c>
      <c r="G9" t="b">
        <v>0</v>
      </c>
    </row>
    <row r="10" spans="1:7">
      <c r="A10">
        <f t="shared" si="0"/>
        <v>9</v>
      </c>
      <c r="B10">
        <f t="shared" si="2"/>
        <v>9</v>
      </c>
      <c r="C10" t="str" cm="1">
        <f t="array" ref="C10">GetValue("Idx",B10,"Name")</f>
        <v>UNQ_SystemsUsers_SystemId_UserId</v>
      </c>
      <c r="D10">
        <v>50</v>
      </c>
      <c r="E10" t="str" cm="1">
        <f t="array" ref="E10">GetValue("Col",D10,"Name")</f>
        <v>Decimals</v>
      </c>
      <c r="F10">
        <v>10</v>
      </c>
      <c r="G10" t="b">
        <v>0</v>
      </c>
    </row>
    <row r="11" spans="1:7">
      <c r="A11">
        <f t="shared" si="0"/>
        <v>10</v>
      </c>
      <c r="B11">
        <f t="shared" si="2"/>
        <v>10</v>
      </c>
      <c r="C11" t="str" cm="1">
        <f t="array" ref="C11">GetValue("Idx",B11,"Name")</f>
        <v>UNQ_SystemsUsers_Name</v>
      </c>
      <c r="D11">
        <v>55</v>
      </c>
      <c r="E11" t="str" cm="1">
        <f t="array" ref="E11">GetValue("Col",D11,"Name")</f>
        <v>ValidValues</v>
      </c>
      <c r="F11">
        <v>5</v>
      </c>
      <c r="G11" t="b">
        <v>0</v>
      </c>
    </row>
    <row r="12" spans="1:7">
      <c r="A12">
        <f t="shared" si="0"/>
        <v>11</v>
      </c>
      <c r="B12">
        <f t="shared" si="2"/>
        <v>11</v>
      </c>
      <c r="C12" t="str" cm="1">
        <f t="array" ref="C12">GetValue("Idx",B12,"Name")</f>
        <v>UNQ_Databases_Name</v>
      </c>
      <c r="D12">
        <v>61</v>
      </c>
      <c r="E12" t="str" cm="1">
        <f t="array" ref="E12">GetValue("Col",D12,"Name")</f>
        <v>ValidMask</v>
      </c>
      <c r="F12">
        <v>5</v>
      </c>
      <c r="G12" t="b">
        <v>0</v>
      </c>
    </row>
    <row r="13" spans="1:7">
      <c r="A13">
        <f t="shared" si="0"/>
        <v>12</v>
      </c>
      <c r="B13">
        <f t="shared" si="2"/>
        <v>12</v>
      </c>
      <c r="C13" t="str" cm="1">
        <f t="array" ref="C13">GetValue("Idx",B13,"Name")</f>
        <v>UNQ_Databases_Alias</v>
      </c>
      <c r="D13">
        <v>62</v>
      </c>
      <c r="E13" t="str" cm="1">
        <f t="array" ref="E13">GetValue("Col",D13,"Name")</f>
        <v>Modificators</v>
      </c>
      <c r="F13">
        <v>10</v>
      </c>
      <c r="G13" t="b">
        <v>0</v>
      </c>
    </row>
    <row r="14" spans="1:7">
      <c r="A14">
        <f t="shared" si="0"/>
        <v>13</v>
      </c>
      <c r="B14">
        <f t="shared" si="2"/>
        <v>13</v>
      </c>
      <c r="C14" t="str" cm="1">
        <f t="array" ref="C14">GetValue("Idx",B14,"Name")</f>
        <v>UNQ_SystemsDatabases_SystemId_DatabaseId</v>
      </c>
      <c r="D14">
        <v>63</v>
      </c>
      <c r="E14" t="str" cm="1">
        <f t="array" ref="E14">GetValue("Col",D14,"Name")</f>
        <v>Id</v>
      </c>
      <c r="F14">
        <v>5</v>
      </c>
      <c r="G14" t="b">
        <v>0</v>
      </c>
    </row>
    <row r="15" spans="1:7">
      <c r="A15">
        <f t="shared" si="0"/>
        <v>14</v>
      </c>
      <c r="B15">
        <f t="shared" si="2"/>
        <v>14</v>
      </c>
      <c r="C15" t="str" cm="1">
        <f t="array" ref="C15">GetValue("Idx",B15,"Name")</f>
        <v>UNQ_SystemsDatabases_Name</v>
      </c>
      <c r="D15">
        <v>69</v>
      </c>
      <c r="E15" t="str" cm="1">
        <f t="array" ref="E15">GetValue("Col",D15,"Name")</f>
        <v>Id</v>
      </c>
      <c r="F15">
        <v>5</v>
      </c>
      <c r="G15" t="b">
        <v>0</v>
      </c>
    </row>
    <row r="16" spans="1:7">
      <c r="A16">
        <f t="shared" si="0"/>
        <v>15</v>
      </c>
      <c r="B16">
        <f t="shared" si="2"/>
        <v>15</v>
      </c>
      <c r="C16" t="str" cm="1">
        <f t="array" ref="C16">GetValue("Idx",B16,"Name")</f>
        <v>UNQ_Tables_Name</v>
      </c>
      <c r="D16">
        <v>70</v>
      </c>
      <c r="E16" t="str" cm="1">
        <f t="array" ref="E16">GetValue("Col",D16,"Name")</f>
        <v>ClientId</v>
      </c>
      <c r="F16">
        <v>5</v>
      </c>
      <c r="G16" t="b">
        <v>0</v>
      </c>
    </row>
    <row r="17" spans="1:7">
      <c r="A17">
        <f t="shared" si="0"/>
        <v>16</v>
      </c>
      <c r="B17">
        <f t="shared" si="2"/>
        <v>16</v>
      </c>
      <c r="C17" t="str" cm="1">
        <f t="array" ref="C17">GetValue("Idx",B17,"Name")</f>
        <v>UNQ_Tables_Alias</v>
      </c>
      <c r="D17">
        <v>76</v>
      </c>
      <c r="E17" t="str" cm="1">
        <f t="array" ref="E17">GetValue("Col",D17,"Name")</f>
        <v>Environment</v>
      </c>
      <c r="F17">
        <v>5</v>
      </c>
      <c r="G17" t="b">
        <v>0</v>
      </c>
    </row>
    <row r="18" spans="1:7">
      <c r="A18">
        <f t="shared" si="0"/>
        <v>17</v>
      </c>
      <c r="B18">
        <f t="shared" si="2"/>
        <v>17</v>
      </c>
      <c r="C18" t="str" cm="1">
        <f t="array" ref="C18">GetValue("Idx",B18,"Name")</f>
        <v>UNQ_DatabasesTables_DatabaseId_TableId</v>
      </c>
      <c r="D18">
        <v>77</v>
      </c>
      <c r="E18" t="str" cm="1">
        <f t="array" ref="E18">GetValue("Col",D18,"Name")</f>
        <v>Directory</v>
      </c>
      <c r="F18">
        <v>10</v>
      </c>
      <c r="G18" t="b">
        <v>0</v>
      </c>
    </row>
    <row r="19" spans="1:7">
      <c r="A19">
        <f t="shared" si="0"/>
        <v>18</v>
      </c>
      <c r="B19">
        <f t="shared" si="2"/>
        <v>18</v>
      </c>
      <c r="C19" t="str" cm="1">
        <f t="array" ref="C19">GetValue("Idx",B19,"Name")</f>
        <v>UNQ_DatabasesTables_Name</v>
      </c>
      <c r="D19">
        <v>78</v>
      </c>
      <c r="E19" t="str" cm="1">
        <f t="array" ref="E19">GetValue("Col",D19,"Name")</f>
        <v>ConnectionString</v>
      </c>
      <c r="F19">
        <v>5</v>
      </c>
      <c r="G19" t="b">
        <v>0</v>
      </c>
    </row>
    <row r="20" spans="1:7">
      <c r="A20">
        <f t="shared" si="0"/>
        <v>19</v>
      </c>
      <c r="B20">
        <f t="shared" si="2"/>
        <v>19</v>
      </c>
      <c r="C20" t="str" cm="1">
        <f t="array" ref="C20">GetValue("Idx",B20,"Name")</f>
        <v>UNQ_Columns_TableId_Name</v>
      </c>
      <c r="D20">
        <v>80</v>
      </c>
      <c r="E20" t="str" cm="1">
        <f t="array" ref="E20">GetValue("Col",D20,"Name")</f>
        <v>Id</v>
      </c>
      <c r="F20">
        <v>5</v>
      </c>
      <c r="G20" t="b">
        <v>0</v>
      </c>
    </row>
    <row r="21" spans="1:7">
      <c r="A21">
        <f t="shared" si="0"/>
        <v>20</v>
      </c>
      <c r="B21">
        <f t="shared" si="2"/>
        <v>20</v>
      </c>
      <c r="C21" t="str" cm="1">
        <f t="array" ref="C21">GetValue("Idx",B21,"Name")</f>
        <v>UNQ_Columns_TableId_Sequence</v>
      </c>
      <c r="D21">
        <v>81</v>
      </c>
      <c r="E21" t="str" cm="1">
        <f t="array" ref="E21">GetValue("Col",D21,"Name")</f>
        <v>DatabaseId</v>
      </c>
      <c r="F21">
        <v>5</v>
      </c>
      <c r="G21" t="b">
        <v>0</v>
      </c>
    </row>
    <row r="22" spans="1:7">
      <c r="A22">
        <f t="shared" si="0"/>
        <v>21</v>
      </c>
      <c r="B22">
        <f t="shared" si="2"/>
        <v>21</v>
      </c>
      <c r="C22" t="str" cm="1">
        <f t="array" ref="C22">GetValue("Idx",B22,"Name")</f>
        <v>UNQ_Indexes_Name</v>
      </c>
      <c r="D22">
        <v>87</v>
      </c>
      <c r="E22" t="str" cm="1">
        <f t="array" ref="E22">GetValue("Col",D22,"Name")</f>
        <v>Id</v>
      </c>
      <c r="F22">
        <v>5</v>
      </c>
      <c r="G22" t="b">
        <v>0</v>
      </c>
    </row>
    <row r="23" spans="1:7">
      <c r="A23">
        <f t="shared" si="0"/>
        <v>22</v>
      </c>
      <c r="B23">
        <f t="shared" si="2"/>
        <v>22</v>
      </c>
      <c r="C23" t="str" cm="1">
        <f t="array" ref="C23">GetValue("Idx",B23,"Name")</f>
        <v>UNQ_Indexkeys_IndexId_Sequence</v>
      </c>
      <c r="D23">
        <v>88</v>
      </c>
      <c r="E23" t="str" cm="1">
        <f t="array" ref="E23">GetValue("Col",D23,"Name")</f>
        <v>SystemId</v>
      </c>
      <c r="F23">
        <v>10</v>
      </c>
      <c r="G23" t="b">
        <v>0</v>
      </c>
    </row>
    <row r="24" spans="1:7">
      <c r="A24">
        <f t="shared" si="0"/>
        <v>23</v>
      </c>
      <c r="B24">
        <f t="shared" si="2"/>
        <v>23</v>
      </c>
      <c r="C24" t="str" cm="1">
        <f t="array" ref="C24">GetValue("Idx",B24,"Name")</f>
        <v>UNQ_Indexkeys_IndexId_ColumnId</v>
      </c>
      <c r="D24">
        <v>89</v>
      </c>
      <c r="E24" t="str" cm="1">
        <f t="array" ref="E24">GetValue("Col",D24,"Name")</f>
        <v>Sequence</v>
      </c>
      <c r="F24">
        <v>5</v>
      </c>
      <c r="G24" t="b">
        <v>0</v>
      </c>
    </row>
    <row r="25" spans="1:7">
      <c r="A25">
        <f t="shared" si="0"/>
        <v>24</v>
      </c>
      <c r="B25">
        <f t="shared" si="2"/>
        <v>24</v>
      </c>
      <c r="C25" t="str" cm="1">
        <f t="array" ref="C25">GetValue("Idx",B25,"Name")</f>
        <v>IDX_Sessions_SystemId_UserId_IsLogged</v>
      </c>
      <c r="D25">
        <v>91</v>
      </c>
      <c r="E25" t="str" cm="1">
        <f t="array" ref="E25">GetValue("Col",D25,"Name")</f>
        <v>Message</v>
      </c>
      <c r="F25">
        <v>5</v>
      </c>
      <c r="G25" t="b">
        <v>0</v>
      </c>
    </row>
    <row r="26" spans="1:7">
      <c r="A26">
        <f t="shared" si="0"/>
        <v>25</v>
      </c>
      <c r="B26">
        <f t="shared" si="2"/>
        <v>25</v>
      </c>
      <c r="C26" t="str" cm="1">
        <f t="array" ref="C26">GetValue("Idx",B26,"Name")</f>
        <v>IDX_Transactions_SessionId_IsConfirmed</v>
      </c>
      <c r="D26">
        <v>95</v>
      </c>
      <c r="E26" t="str" cm="1">
        <f t="array" ref="E26">GetValue("Col",D26,"Name")</f>
        <v>DatabaseId</v>
      </c>
      <c r="F26">
        <v>10</v>
      </c>
      <c r="G26" t="b">
        <v>0</v>
      </c>
    </row>
    <row r="27" spans="1:7">
      <c r="A27">
        <f t="shared" si="0"/>
        <v>26</v>
      </c>
      <c r="B27">
        <f t="shared" si="2"/>
        <v>26</v>
      </c>
      <c r="C27" t="str" cm="1">
        <f t="array" ref="C27">GetValue("Idx",B27,"Name")</f>
        <v>IDX_Operations_TransactionId_TableName_IsConfirmed</v>
      </c>
      <c r="D27">
        <v>91</v>
      </c>
      <c r="E27" t="str" cm="1">
        <f t="array" ref="E27">GetValue("Col",D27,"Name")</f>
        <v>Message</v>
      </c>
      <c r="F27">
        <v>5</v>
      </c>
      <c r="G27" t="b">
        <v>0</v>
      </c>
    </row>
    <row r="28" spans="1:7">
      <c r="A28">
        <f t="shared" si="0"/>
        <v>27</v>
      </c>
      <c r="B28">
        <f t="shared" si="2"/>
        <v>27</v>
      </c>
      <c r="C28" t="str" cm="1">
        <f t="array" ref="C28">GetValue("Idx",B28,"Name")</f>
        <v>UNQ_Unicities_ColumnId1_ColumnId2</v>
      </c>
      <c r="D28">
        <v>92</v>
      </c>
      <c r="E28" t="str" cm="1">
        <f t="array" ref="E28">GetValue("Col",D28,"Name")</f>
        <v>ParentMenuId</v>
      </c>
      <c r="F28">
        <v>10</v>
      </c>
      <c r="G28" t="b">
        <v>0</v>
      </c>
    </row>
    <row r="29" spans="1:7">
      <c r="A29">
        <f t="shared" si="0"/>
        <v>28</v>
      </c>
      <c r="B29">
        <f t="shared" si="2"/>
        <v>28</v>
      </c>
      <c r="C29" t="str" cm="1">
        <f t="array" ref="C29">GetValue("Idx",B29,"Name")</f>
        <v>UNQ_Unicities_ColumnId2_ColumnId1</v>
      </c>
      <c r="D29">
        <v>114</v>
      </c>
      <c r="E29" t="str" cm="1">
        <f t="array" ref="E29">GetValue("Col",D29,"Name")</f>
        <v>IsGridable</v>
      </c>
      <c r="F29">
        <v>5</v>
      </c>
      <c r="G29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C0A9-A7D2-4A5B-A45B-D661FE52DDEE}">
  <sheetPr codeName="Planilha10"/>
  <dimension ref="A1:E29"/>
  <sheetViews>
    <sheetView workbookViewId="0">
      <pane ySplit="1" topLeftCell="A11" activePane="bottomLeft" state="frozen"/>
      <selection pane="bottomLeft" activeCell="F25" sqref="F25"/>
    </sheetView>
  </sheetViews>
  <sheetFormatPr defaultRowHeight="14.4"/>
  <cols>
    <col min="1" max="1" width="3" bestFit="1" customWidth="1"/>
    <col min="2" max="2" width="7.6640625" bestFit="1" customWidth="1"/>
    <col min="3" max="3" width="43.5546875" bestFit="1" customWidth="1"/>
    <col min="4" max="4" width="9.5546875" bestFit="1" customWidth="1"/>
    <col min="5" max="5" width="16.88671875" bestFit="1" customWidth="1"/>
  </cols>
  <sheetData>
    <row r="1" spans="1:5" s="1" customFormat="1">
      <c r="A1" s="1" t="s">
        <v>0</v>
      </c>
      <c r="B1" s="1" t="s">
        <v>121</v>
      </c>
      <c r="C1" s="1" t="s">
        <v>154</v>
      </c>
      <c r="D1" s="1" t="s">
        <v>122</v>
      </c>
      <c r="E1" s="1" t="s">
        <v>155</v>
      </c>
    </row>
    <row r="2" spans="1:5">
      <c r="A2">
        <f>ROW(A2)-1</f>
        <v>1</v>
      </c>
      <c r="B2">
        <v>1</v>
      </c>
      <c r="C2" t="str" cm="1">
        <f t="array" ref="C2">GetValue("Idx",B2,"Name")</f>
        <v>UNQ_Categories_Name</v>
      </c>
      <c r="D2">
        <v>2</v>
      </c>
      <c r="E2" t="str" cm="1">
        <f t="array" ref="E2">GetValue("Col",D2,"Name")</f>
        <v>Name</v>
      </c>
    </row>
    <row r="3" spans="1:5">
      <c r="A3">
        <f>ROW(A3)-1</f>
        <v>2</v>
      </c>
      <c r="B3">
        <v>2</v>
      </c>
      <c r="C3" t="str" cm="1">
        <f t="array" ref="C3">GetValue("Idx",B3,"Name")</f>
        <v>UNQ_Types_Name</v>
      </c>
      <c r="D3">
        <v>14</v>
      </c>
      <c r="E3" t="str" cm="1">
        <f t="array" ref="E3">GetValue("Col",D3,"Name")</f>
        <v>Description</v>
      </c>
    </row>
    <row r="4" spans="1:5">
      <c r="A4">
        <f t="shared" ref="A4:A29" si="0">ROW(A4)-1</f>
        <v>3</v>
      </c>
      <c r="B4">
        <v>3</v>
      </c>
      <c r="C4" t="str" cm="1">
        <f t="array" ref="C4">GetValue("Idx",B4,"Name")</f>
        <v>UNQ_Masks_Name</v>
      </c>
      <c r="D4">
        <v>28</v>
      </c>
      <c r="E4" t="str" cm="1">
        <f t="array" ref="E4">GetValue("Col",D4,"Name")</f>
        <v>Maximum</v>
      </c>
    </row>
    <row r="5" spans="1:5">
      <c r="A5">
        <f>ROW(A5)-1</f>
        <v>4</v>
      </c>
      <c r="B5">
        <v>4</v>
      </c>
      <c r="C5" t="str" cm="1">
        <f t="array" ref="C5">GetValue("Idx",B5,"Name")</f>
        <v>UNQ_Domains_Name</v>
      </c>
      <c r="D5">
        <v>33</v>
      </c>
      <c r="E5" t="str" cm="1">
        <f t="array" ref="E5">GetValue("Col",D5,"Name")</f>
        <v>IsActive</v>
      </c>
    </row>
    <row r="6" spans="1:5">
      <c r="A6">
        <f t="shared" si="0"/>
        <v>5</v>
      </c>
      <c r="B6">
        <v>5</v>
      </c>
      <c r="C6" t="str" cm="1">
        <f t="array" ref="C6">GetValue("Idx",B6,"Name")</f>
        <v>UNQ_Systems_Name</v>
      </c>
      <c r="D6">
        <v>42</v>
      </c>
      <c r="E6" t="str" cm="1">
        <f t="array" ref="E6">GetValue("Col",D6,"Name")</f>
        <v>Logo</v>
      </c>
    </row>
    <row r="7" spans="1:5">
      <c r="A7">
        <f t="shared" si="0"/>
        <v>6</v>
      </c>
      <c r="B7">
        <v>6</v>
      </c>
      <c r="C7" t="str" cm="1">
        <f t="array" ref="C7">GetValue("Idx",B7,"Name")</f>
        <v>UNQ_Menus_SystemId_Sequence</v>
      </c>
      <c r="D7">
        <v>48</v>
      </c>
      <c r="E7" t="str" cm="1">
        <f t="array" ref="E7">GetValue("Col",D7,"Name")</f>
        <v>Name</v>
      </c>
    </row>
    <row r="8" spans="1:5">
      <c r="A8">
        <f t="shared" si="0"/>
        <v>7</v>
      </c>
      <c r="B8">
        <v>6</v>
      </c>
      <c r="C8" t="str" cm="1">
        <f t="array" ref="C8">GetValue("Idx",B8,"Name")</f>
        <v>UNQ_Menus_SystemId_Sequence</v>
      </c>
      <c r="D8">
        <v>49</v>
      </c>
      <c r="E8" t="str" cm="1">
        <f t="array" ref="E8">GetValue("Col",D8,"Name")</f>
        <v>Length</v>
      </c>
    </row>
    <row r="9" spans="1:5">
      <c r="A9">
        <f t="shared" si="0"/>
        <v>8</v>
      </c>
      <c r="B9">
        <v>7</v>
      </c>
      <c r="C9" t="str" cm="1">
        <f t="array" ref="C9">GetValue("Idx",B9,"Name")</f>
        <v>UNQ_Menus_SystemId_Caption</v>
      </c>
      <c r="D9">
        <v>48</v>
      </c>
      <c r="E9" t="str" cm="1">
        <f t="array" ref="E9">GetValue("Col",D9,"Name")</f>
        <v>Name</v>
      </c>
    </row>
    <row r="10" spans="1:5">
      <c r="A10">
        <f t="shared" si="0"/>
        <v>9</v>
      </c>
      <c r="B10">
        <v>7</v>
      </c>
      <c r="C10" t="str" cm="1">
        <f t="array" ref="C10">GetValue("Idx",B10,"Name")</f>
        <v>UNQ_Menus_SystemId_Caption</v>
      </c>
      <c r="D10">
        <v>50</v>
      </c>
      <c r="E10" t="str" cm="1">
        <f t="array" ref="E10">GetValue("Col",D10,"Name")</f>
        <v>Decimals</v>
      </c>
    </row>
    <row r="11" spans="1:5">
      <c r="A11">
        <f t="shared" si="0"/>
        <v>10</v>
      </c>
      <c r="B11">
        <v>8</v>
      </c>
      <c r="C11" t="str" cm="1">
        <f t="array" ref="C11">GetValue("Idx",B11,"Name")</f>
        <v>UNQ_Users_Name</v>
      </c>
      <c r="D11">
        <v>55</v>
      </c>
      <c r="E11" t="str" cm="1">
        <f t="array" ref="E11">GetValue("Col",D11,"Name")</f>
        <v>ValidValues</v>
      </c>
    </row>
    <row r="12" spans="1:5">
      <c r="A12">
        <f t="shared" si="0"/>
        <v>11</v>
      </c>
      <c r="B12">
        <v>9</v>
      </c>
      <c r="C12" t="str" cm="1">
        <f t="array" ref="C12">GetValue("Idx",B12,"Name")</f>
        <v>UNQ_SystemsUsers_SystemId_UserId</v>
      </c>
      <c r="D12">
        <v>61</v>
      </c>
      <c r="E12" t="str" cm="1">
        <f t="array" ref="E12">GetValue("Col",D12,"Name")</f>
        <v>ValidMask</v>
      </c>
    </row>
    <row r="13" spans="1:5">
      <c r="A13">
        <f t="shared" si="0"/>
        <v>12</v>
      </c>
      <c r="B13">
        <v>9</v>
      </c>
      <c r="C13" t="str" cm="1">
        <f t="array" ref="C13">GetValue("Idx",B13,"Name")</f>
        <v>UNQ_SystemsUsers_SystemId_UserId</v>
      </c>
      <c r="D13">
        <v>62</v>
      </c>
      <c r="E13" t="str" cm="1">
        <f t="array" ref="E13">GetValue("Col",D13,"Name")</f>
        <v>Modificators</v>
      </c>
    </row>
    <row r="14" spans="1:5">
      <c r="A14">
        <f t="shared" si="0"/>
        <v>13</v>
      </c>
      <c r="B14">
        <v>10</v>
      </c>
      <c r="C14" t="str" cm="1">
        <f t="array" ref="C14">GetValue("Idx",B14,"Name")</f>
        <v>UNQ_SystemsUsers_Name</v>
      </c>
      <c r="D14">
        <v>63</v>
      </c>
      <c r="E14" t="str" cm="1">
        <f t="array" ref="E14">GetValue("Col",D14,"Name")</f>
        <v>Id</v>
      </c>
    </row>
    <row r="15" spans="1:5">
      <c r="A15">
        <f t="shared" si="0"/>
        <v>14</v>
      </c>
      <c r="B15">
        <v>11</v>
      </c>
      <c r="C15" t="str" cm="1">
        <f t="array" ref="C15">GetValue("Idx",B15,"Name")</f>
        <v>UNQ_Databases_Name</v>
      </c>
      <c r="D15">
        <v>69</v>
      </c>
      <c r="E15" t="str" cm="1">
        <f t="array" ref="E15">GetValue("Col",D15,"Name")</f>
        <v>Id</v>
      </c>
    </row>
    <row r="16" spans="1:5">
      <c r="A16">
        <f t="shared" si="0"/>
        <v>15</v>
      </c>
      <c r="B16">
        <v>12</v>
      </c>
      <c r="C16" t="str" cm="1">
        <f t="array" ref="C16">GetValue("Idx",B16,"Name")</f>
        <v>UNQ_Databases_Alias</v>
      </c>
      <c r="D16">
        <v>70</v>
      </c>
      <c r="E16" t="str" cm="1">
        <f t="array" ref="E16">GetValue("Col",D16,"Name")</f>
        <v>ClientId</v>
      </c>
    </row>
    <row r="17" spans="1:5">
      <c r="A17">
        <f t="shared" si="0"/>
        <v>16</v>
      </c>
      <c r="B17">
        <v>13</v>
      </c>
      <c r="C17" t="str" cm="1">
        <f t="array" ref="C17">GetValue("Idx",B17,"Name")</f>
        <v>UNQ_SystemsDatabases_SystemId_DatabaseId</v>
      </c>
      <c r="D17">
        <v>76</v>
      </c>
      <c r="E17" t="str" cm="1">
        <f t="array" ref="E17">GetValue("Col",D17,"Name")</f>
        <v>Environment</v>
      </c>
    </row>
    <row r="18" spans="1:5">
      <c r="A18">
        <f t="shared" si="0"/>
        <v>17</v>
      </c>
      <c r="B18">
        <v>13</v>
      </c>
      <c r="C18" t="str" cm="1">
        <f t="array" ref="C18">GetValue("Idx",B18,"Name")</f>
        <v>UNQ_SystemsDatabases_SystemId_DatabaseId</v>
      </c>
      <c r="D18">
        <v>77</v>
      </c>
      <c r="E18" t="str" cm="1">
        <f t="array" ref="E18">GetValue("Col",D18,"Name")</f>
        <v>Directory</v>
      </c>
    </row>
    <row r="19" spans="1:5">
      <c r="A19">
        <f t="shared" si="0"/>
        <v>18</v>
      </c>
      <c r="B19">
        <v>14</v>
      </c>
      <c r="C19" t="str" cm="1">
        <f t="array" ref="C19">GetValue("Idx",B19,"Name")</f>
        <v>UNQ_SystemsDatabases_Name</v>
      </c>
      <c r="D19">
        <v>78</v>
      </c>
      <c r="E19" t="str" cm="1">
        <f t="array" ref="E19">GetValue("Col",D19,"Name")</f>
        <v>ConnectionString</v>
      </c>
    </row>
    <row r="20" spans="1:5">
      <c r="A20">
        <f t="shared" si="0"/>
        <v>19</v>
      </c>
      <c r="B20">
        <v>15</v>
      </c>
      <c r="C20" t="str" cm="1">
        <f t="array" ref="C20">GetValue("Idx",B20,"Name")</f>
        <v>UNQ_Tables_Name</v>
      </c>
      <c r="D20">
        <v>80</v>
      </c>
      <c r="E20" t="str" cm="1">
        <f t="array" ref="E20">GetValue("Col",D20,"Name")</f>
        <v>Id</v>
      </c>
    </row>
    <row r="21" spans="1:5">
      <c r="A21">
        <f t="shared" si="0"/>
        <v>20</v>
      </c>
      <c r="B21">
        <v>16</v>
      </c>
      <c r="C21" t="str" cm="1">
        <f t="array" ref="C21">GetValue("Idx",B21,"Name")</f>
        <v>UNQ_Tables_Alias</v>
      </c>
      <c r="D21">
        <v>81</v>
      </c>
      <c r="E21" t="str" cm="1">
        <f t="array" ref="E21">GetValue("Col",D21,"Name")</f>
        <v>DatabaseId</v>
      </c>
    </row>
    <row r="22" spans="1:5">
      <c r="A22">
        <f t="shared" si="0"/>
        <v>21</v>
      </c>
      <c r="B22">
        <v>17</v>
      </c>
      <c r="C22" t="str" cm="1">
        <f t="array" ref="C22">GetValue("Idx",B22,"Name")</f>
        <v>UNQ_DatabasesTables_DatabaseId_TableId</v>
      </c>
      <c r="D22">
        <v>87</v>
      </c>
      <c r="E22" t="str" cm="1">
        <f t="array" ref="E22">GetValue("Col",D22,"Name")</f>
        <v>Id</v>
      </c>
    </row>
    <row r="23" spans="1:5">
      <c r="A23">
        <f t="shared" si="0"/>
        <v>22</v>
      </c>
      <c r="B23">
        <v>17</v>
      </c>
      <c r="C23" t="str" cm="1">
        <f t="array" ref="C23">GetValue("Idx",B23,"Name")</f>
        <v>UNQ_DatabasesTables_DatabaseId_TableId</v>
      </c>
      <c r="D23">
        <v>88</v>
      </c>
      <c r="E23" t="str" cm="1">
        <f t="array" ref="E23">GetValue("Col",D23,"Name")</f>
        <v>SystemId</v>
      </c>
    </row>
    <row r="24" spans="1:5">
      <c r="A24">
        <f t="shared" si="0"/>
        <v>23</v>
      </c>
      <c r="B24">
        <v>18</v>
      </c>
      <c r="C24" t="str" cm="1">
        <f t="array" ref="C24">GetValue("Idx",B24,"Name")</f>
        <v>UNQ_DatabasesTables_Name</v>
      </c>
      <c r="D24">
        <v>89</v>
      </c>
      <c r="E24" t="str" cm="1">
        <f t="array" ref="E24">GetValue("Col",D24,"Name")</f>
        <v>Sequence</v>
      </c>
    </row>
    <row r="25" spans="1:5">
      <c r="A25">
        <f t="shared" si="0"/>
        <v>24</v>
      </c>
      <c r="B25">
        <v>19</v>
      </c>
      <c r="C25" t="str" cm="1">
        <f t="array" ref="C25">GetValue("Idx",B25,"Name")</f>
        <v>UNQ_Columns_TableId_Name</v>
      </c>
      <c r="D25">
        <v>91</v>
      </c>
      <c r="E25" t="str" cm="1">
        <f t="array" ref="E25">GetValue("Col",D25,"Name")</f>
        <v>Message</v>
      </c>
    </row>
    <row r="26" spans="1:5">
      <c r="A26">
        <f t="shared" si="0"/>
        <v>25</v>
      </c>
      <c r="B26">
        <v>19</v>
      </c>
      <c r="C26" t="str" cm="1">
        <f t="array" ref="C26">GetValue("Idx",B26,"Name")</f>
        <v>UNQ_Columns_TableId_Name</v>
      </c>
      <c r="D26">
        <v>95</v>
      </c>
      <c r="E26" t="str" cm="1">
        <f t="array" ref="E26">GetValue("Col",D26,"Name")</f>
        <v>DatabaseId</v>
      </c>
    </row>
    <row r="27" spans="1:5">
      <c r="A27">
        <f t="shared" si="0"/>
        <v>26</v>
      </c>
      <c r="B27">
        <v>20</v>
      </c>
      <c r="C27" t="str" cm="1">
        <f t="array" ref="C27">GetValue("Idx",B27,"Name")</f>
        <v>UNQ_Columns_TableId_Sequence</v>
      </c>
      <c r="D27">
        <v>91</v>
      </c>
      <c r="E27" t="str" cm="1">
        <f t="array" ref="E27">GetValue("Col",D27,"Name")</f>
        <v>Message</v>
      </c>
    </row>
    <row r="28" spans="1:5">
      <c r="A28">
        <f t="shared" si="0"/>
        <v>27</v>
      </c>
      <c r="B28">
        <v>20</v>
      </c>
      <c r="C28" t="str" cm="1">
        <f t="array" ref="C28">GetValue("Idx",B28,"Name")</f>
        <v>UNQ_Columns_TableId_Sequence</v>
      </c>
      <c r="D28">
        <v>92</v>
      </c>
      <c r="E28" t="str" cm="1">
        <f t="array" ref="E28">GetValue("Col",D28,"Name")</f>
        <v>ParentMenuId</v>
      </c>
    </row>
    <row r="29" spans="1:5">
      <c r="A29">
        <f t="shared" si="0"/>
        <v>28</v>
      </c>
      <c r="B29">
        <v>21</v>
      </c>
      <c r="C29" t="str" cm="1">
        <f t="array" ref="C29">GetValue("Idx",B29,"Name")</f>
        <v>UNQ_Indexes_Name</v>
      </c>
      <c r="D29">
        <v>114</v>
      </c>
      <c r="E29" t="str" cm="1">
        <f t="array" ref="E29">GetValue("Col",D29,"Name")</f>
        <v>IsGridable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9125-E5FD-482D-9DA7-EABC78477EDC}">
  <sheetPr codeName="Planilha17"/>
  <dimension ref="A1:H2"/>
  <sheetViews>
    <sheetView workbookViewId="0">
      <pane ySplit="1" topLeftCell="A2" activePane="bottomLeft" state="frozen"/>
      <selection pane="bottomLeft" activeCell="G5" sqref="G5"/>
    </sheetView>
  </sheetViews>
  <sheetFormatPr defaultRowHeight="14.4"/>
  <cols>
    <col min="1" max="1" width="2.6640625" bestFit="1" customWidth="1"/>
    <col min="2" max="2" width="13.109375" bestFit="1" customWidth="1"/>
    <col min="3" max="3" width="14.6640625" bestFit="1" customWidth="1"/>
    <col min="4" max="4" width="17.88671875" bestFit="1" customWidth="1"/>
    <col min="5" max="5" width="14.33203125" bestFit="1" customWidth="1"/>
    <col min="6" max="6" width="15.88671875" bestFit="1" customWidth="1"/>
    <col min="7" max="7" width="19" bestFit="1" customWidth="1"/>
    <col min="8" max="8" width="12.44140625" bestFit="1" customWidth="1"/>
  </cols>
  <sheetData>
    <row r="1" spans="1:8" s="1" customFormat="1">
      <c r="A1" s="1" t="s">
        <v>0</v>
      </c>
      <c r="B1" s="1" t="s">
        <v>627</v>
      </c>
      <c r="C1" s="1" t="s">
        <v>796</v>
      </c>
      <c r="D1" s="1" t="s">
        <v>797</v>
      </c>
      <c r="E1" s="1" t="s">
        <v>628</v>
      </c>
      <c r="F1" s="1" t="s">
        <v>795</v>
      </c>
      <c r="G1" s="1" t="s">
        <v>798</v>
      </c>
      <c r="H1" s="1" t="s">
        <v>625</v>
      </c>
    </row>
    <row r="2" spans="1:8">
      <c r="A2">
        <f>ROW(A2)-1</f>
        <v>1</v>
      </c>
      <c r="B2">
        <v>80</v>
      </c>
      <c r="C2" t="str" cm="1">
        <f t="array" ref="C2">GetValue("Col",B2,"#TableAlias")</f>
        <v>Sys</v>
      </c>
      <c r="D2" t="str" cm="1">
        <f t="array" ref="D2">GetValue("Col",B2,"Name")</f>
        <v>Id</v>
      </c>
      <c r="E2">
        <v>81</v>
      </c>
      <c r="F2" t="str" cm="1">
        <f t="array" ref="F2">GetValue("Col",E2,"#TableAlias")</f>
        <v>Sys</v>
      </c>
      <c r="G2" t="str" cm="1">
        <f t="array" ref="G2">GetValue("Col",E2,"Name")</f>
        <v>DatabaseId</v>
      </c>
      <c r="H2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3744-0B29-4ACC-9885-AAAA2A13AF16}">
  <sheetPr codeName="Planilha19"/>
  <dimension ref="A1:I2"/>
  <sheetViews>
    <sheetView workbookViewId="0">
      <pane ySplit="1" topLeftCell="A2" activePane="bottomLeft" state="frozen"/>
      <selection pane="bottomLeft" activeCell="C4" sqref="C4"/>
    </sheetView>
  </sheetViews>
  <sheetFormatPr defaultRowHeight="14.4"/>
  <cols>
    <col min="1" max="1" width="2.6640625" bestFit="1" customWidth="1"/>
    <col min="2" max="2" width="7.5546875" bestFit="1" customWidth="1"/>
    <col min="3" max="3" width="12.109375" bestFit="1" customWidth="1"/>
    <col min="4" max="4" width="14.21875" bestFit="1" customWidth="1"/>
    <col min="5" max="5" width="8.5546875" bestFit="1" customWidth="1"/>
    <col min="6" max="6" width="5.6640625" bestFit="1" customWidth="1"/>
    <col min="8" max="8" width="15.33203125" bestFit="1" customWidth="1"/>
    <col min="9" max="9" width="9.6640625" bestFit="1" customWidth="1"/>
  </cols>
  <sheetData>
    <row r="1" spans="1:9" s="6" customFormat="1">
      <c r="A1" s="1" t="s">
        <v>0</v>
      </c>
      <c r="B1" s="1" t="s">
        <v>95</v>
      </c>
      <c r="C1" s="1" t="s">
        <v>152</v>
      </c>
      <c r="D1" s="1" t="s">
        <v>1</v>
      </c>
      <c r="E1" s="1"/>
      <c r="F1" s="1"/>
      <c r="H1" s="1"/>
      <c r="I1" s="1"/>
    </row>
    <row r="2" spans="1:9">
      <c r="A2">
        <f>ROW(A2)-1</f>
        <v>1</v>
      </c>
      <c r="B2">
        <v>1</v>
      </c>
      <c r="C2" t="str" cm="1">
        <f t="array" ref="C2">GetValue("Tbl",B2,"Name")</f>
        <v>Categories</v>
      </c>
      <c r="D2" t="s">
        <v>929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0025-02ED-4A26-8190-DAA7A6FF1BCD}">
  <sheetPr codeName="Planilha24"/>
  <dimension ref="A1:N4"/>
  <sheetViews>
    <sheetView zoomScaleNormal="100" workbookViewId="0">
      <pane ySplit="1" topLeftCell="A2" activePane="bottomLeft" state="frozen"/>
      <selection pane="bottomLeft" activeCell="C5" sqref="C5"/>
    </sheetView>
  </sheetViews>
  <sheetFormatPr defaultColWidth="5.6640625" defaultRowHeight="14.4"/>
  <cols>
    <col min="1" max="1" width="2.6640625" bestFit="1" customWidth="1"/>
    <col min="2" max="2" width="11.5546875" bestFit="1" customWidth="1"/>
    <col min="3" max="3" width="16" bestFit="1" customWidth="1"/>
    <col min="4" max="4" width="9.21875" bestFit="1" customWidth="1"/>
    <col min="5" max="5" width="9.77734375" style="6" bestFit="1" customWidth="1"/>
    <col min="6" max="6" width="14" style="6" bestFit="1" customWidth="1"/>
    <col min="7" max="7" width="12.44140625" bestFit="1" customWidth="1"/>
    <col min="8" max="8" width="21.6640625" bestFit="1" customWidth="1"/>
    <col min="9" max="9" width="12.77734375" style="6" bestFit="1" customWidth="1"/>
    <col min="10" max="10" width="18.6640625" style="6" bestFit="1" customWidth="1"/>
    <col min="11" max="11" width="13.6640625" bestFit="1" customWidth="1"/>
    <col min="12" max="12" width="22.77734375" bestFit="1" customWidth="1"/>
    <col min="13" max="13" width="10.88671875" bestFit="1" customWidth="1"/>
    <col min="14" max="14" width="15.109375" style="6" bestFit="1" customWidth="1"/>
  </cols>
  <sheetData>
    <row r="1" spans="1:14" s="6" customFormat="1">
      <c r="A1" s="1" t="s">
        <v>0</v>
      </c>
      <c r="B1" s="1" t="s">
        <v>478</v>
      </c>
      <c r="C1" s="1" t="s">
        <v>491</v>
      </c>
      <c r="D1" s="1" t="s">
        <v>69</v>
      </c>
      <c r="E1" s="1" t="s">
        <v>466</v>
      </c>
      <c r="F1" s="1" t="s">
        <v>519</v>
      </c>
      <c r="G1" s="1" t="s">
        <v>627</v>
      </c>
      <c r="H1" s="1" t="s">
        <v>630</v>
      </c>
      <c r="I1" s="1" t="s">
        <v>667</v>
      </c>
      <c r="J1" s="1" t="s">
        <v>817</v>
      </c>
      <c r="K1" s="16" t="s">
        <v>628</v>
      </c>
      <c r="L1" s="1" t="s">
        <v>629</v>
      </c>
      <c r="M1" s="1" t="s">
        <v>933</v>
      </c>
      <c r="N1" s="1" t="s">
        <v>520</v>
      </c>
    </row>
    <row r="2" spans="1:14">
      <c r="A2">
        <f>ROW(A2)-1</f>
        <v>1</v>
      </c>
      <c r="B2">
        <v>1</v>
      </c>
      <c r="C2" t="str" cm="1">
        <f t="array" ref="C2">GetValue("Exp",B2,"Name")</f>
        <v>Expression 0001</v>
      </c>
      <c r="D2">
        <v>5</v>
      </c>
      <c r="F2" s="6" t="s">
        <v>464</v>
      </c>
      <c r="G2">
        <v>1</v>
      </c>
      <c r="H2" t="str" cm="1">
        <f t="array" ref="H2">GetValue("Col",G2,"#TableAlias")&amp;"-"&amp;GetValue("Col",G2,"Name")</f>
        <v>Cat-Id</v>
      </c>
      <c r="I2" s="6">
        <v>6</v>
      </c>
      <c r="J2" s="6" t="str" cm="1">
        <f t="array" ref="J2">GetValue("Cmp",I2,"Symbol")</f>
        <v>&gt;</v>
      </c>
      <c r="K2">
        <v>2</v>
      </c>
      <c r="L2" t="str" cm="1">
        <f t="array" ref="L2">IF(K2="","",GetValue("Col",K2,"#TableAlias")&amp;"-"&amp;GetValue("Col",K2,"Name"))</f>
        <v>Cat-Name</v>
      </c>
    </row>
    <row r="3" spans="1:14">
      <c r="A3">
        <f t="shared" ref="A3:A4" si="0">ROW(A3)-1</f>
        <v>2</v>
      </c>
      <c r="B3">
        <v>1</v>
      </c>
      <c r="C3" t="str" cm="1">
        <f t="array" ref="C3">GetValue("Exp",B3,"Name")</f>
        <v>Expression 0001</v>
      </c>
      <c r="D3">
        <v>10</v>
      </c>
      <c r="E3" s="6" t="s">
        <v>467</v>
      </c>
      <c r="G3">
        <v>1</v>
      </c>
      <c r="H3" t="str" cm="1">
        <f t="array" ref="H3">GetValue("Col",G3,"#TableAlias")&amp;"-"&amp;GetValue("Col",G3,"Name")</f>
        <v>Cat-Id</v>
      </c>
      <c r="I3" s="6">
        <v>1</v>
      </c>
      <c r="J3" s="6" t="str" cm="1">
        <f t="array" ref="J3">GetValue("Cmp",I3,"Symbol")</f>
        <v>&lt;</v>
      </c>
      <c r="L3" t="str" cm="1">
        <f t="array" ref="L3">IF(K3="","",GetValue("Col",K3,"#TableAlias")&amp;"-"&amp;GetValue("Col",K3,"Name"))</f>
        <v/>
      </c>
      <c r="M3">
        <v>20</v>
      </c>
      <c r="N3" s="6" t="s">
        <v>465</v>
      </c>
    </row>
    <row r="4" spans="1:14">
      <c r="A4">
        <f t="shared" si="0"/>
        <v>3</v>
      </c>
      <c r="B4">
        <v>1</v>
      </c>
      <c r="C4" t="str" cm="1">
        <f t="array" ref="C4">GetValue("Exp",B4,"Name")</f>
        <v>Expression 0001</v>
      </c>
      <c r="D4">
        <v>15</v>
      </c>
      <c r="E4" s="6" t="s">
        <v>468</v>
      </c>
      <c r="F4" s="6" t="s">
        <v>464</v>
      </c>
      <c r="G4">
        <v>1</v>
      </c>
      <c r="H4" t="str" cm="1">
        <f t="array" ref="H4">GetValue("Col",G4,"#TableAlias")&amp;"-"&amp;GetValue("Col",G4,"Name")</f>
        <v>Cat-Id</v>
      </c>
      <c r="I4" s="6">
        <v>7</v>
      </c>
      <c r="J4" s="6" t="str" cm="1">
        <f t="array" ref="J4">GetValue("Cmp",I4,"Symbol")</f>
        <v>∈</v>
      </c>
      <c r="L4" t="str" cm="1">
        <f t="array" ref="L4">IF(K4="","",GetValue("Col",K4,"#TableAlias")&amp;"-"&amp;GetValue("Col",K4,"Name"))</f>
        <v/>
      </c>
      <c r="M4" t="s">
        <v>934</v>
      </c>
      <c r="N4" s="6" t="s">
        <v>465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177-E46C-4439-926C-B5C04B564130}">
  <sheetPr codeName="Planilha20"/>
  <dimension ref="A1:O2"/>
  <sheetViews>
    <sheetView workbookViewId="0">
      <pane ySplit="1" topLeftCell="A2" activePane="bottomLeft" state="frozen"/>
      <selection pane="bottomLeft" activeCell="I2" sqref="I2"/>
    </sheetView>
  </sheetViews>
  <sheetFormatPr defaultRowHeight="14.4"/>
  <cols>
    <col min="1" max="1" width="2.6640625" bestFit="1" customWidth="1"/>
    <col min="2" max="2" width="9.33203125" bestFit="1" customWidth="1"/>
    <col min="3" max="3" width="13.6640625" bestFit="1" customWidth="1"/>
    <col min="4" max="4" width="7.33203125" bestFit="1" customWidth="1"/>
    <col min="5" max="5" width="10.44140625" bestFit="1" customWidth="1"/>
    <col min="6" max="6" width="11.5546875" bestFit="1" customWidth="1"/>
    <col min="7" max="7" width="16" bestFit="1" customWidth="1"/>
    <col min="8" max="8" width="6.33203125" bestFit="1" customWidth="1"/>
    <col min="9" max="9" width="12.6640625" bestFit="1" customWidth="1"/>
  </cols>
  <sheetData>
    <row r="1" spans="1:15" s="1" customFormat="1">
      <c r="A1" s="1" t="s">
        <v>0</v>
      </c>
      <c r="B1" s="1" t="s">
        <v>122</v>
      </c>
      <c r="C1" s="1" t="s">
        <v>155</v>
      </c>
      <c r="D1" s="1" t="s">
        <v>95</v>
      </c>
      <c r="E1" s="1" t="s">
        <v>492</v>
      </c>
      <c r="F1" s="1" t="s">
        <v>478</v>
      </c>
      <c r="G1" s="1" t="s">
        <v>491</v>
      </c>
      <c r="H1" s="1" t="s">
        <v>83</v>
      </c>
      <c r="I1" s="1" t="s">
        <v>925</v>
      </c>
      <c r="M1" s="23"/>
      <c r="N1" s="24"/>
      <c r="O1" s="23"/>
    </row>
    <row r="2" spans="1:15">
      <c r="A2">
        <f>ROW(A2)-1</f>
        <v>1</v>
      </c>
      <c r="B2">
        <v>1</v>
      </c>
      <c r="C2" t="str" cm="1">
        <f t="array" ref="C2">GetValue("Col",B2,"Name")</f>
        <v>Id</v>
      </c>
      <c r="D2">
        <v>1</v>
      </c>
      <c r="E2" t="str" cm="1">
        <f t="array" ref="E2">GetValue("Tbl",D2,"Name")</f>
        <v>Categories</v>
      </c>
      <c r="F2">
        <v>1</v>
      </c>
      <c r="G2" t="str" cm="1">
        <f t="array" ref="G2">GetValue("Exp",F2,"Name")</f>
        <v>Expression 0001</v>
      </c>
      <c r="H2" t="s">
        <v>924</v>
      </c>
      <c r="I2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753F-83C4-4E22-880E-41D9E274C865}">
  <sheetPr codeName="Planilha7"/>
  <dimension ref="A1:G3"/>
  <sheetViews>
    <sheetView workbookViewId="0">
      <pane ySplit="1" topLeftCell="A2" activePane="bottomLeft" state="frozen"/>
      <selection pane="bottomLeft" activeCell="E5" sqref="E5"/>
    </sheetView>
  </sheetViews>
  <sheetFormatPr defaultColWidth="8.33203125" defaultRowHeight="14.4"/>
  <cols>
    <col min="1" max="1" width="2.6640625" bestFit="1" customWidth="1"/>
    <col min="2" max="2" width="8" bestFit="1" customWidth="1"/>
    <col min="3" max="3" width="12.5546875" bestFit="1" customWidth="1"/>
    <col min="4" max="4" width="7.6640625" bestFit="1" customWidth="1"/>
    <col min="5" max="5" width="9.44140625" bestFit="1" customWidth="1"/>
    <col min="6" max="6" width="11.33203125" bestFit="1" customWidth="1"/>
    <col min="7" max="7" width="12.44140625" bestFit="1" customWidth="1"/>
  </cols>
  <sheetData>
    <row r="1" spans="1:7" s="1" customFormat="1">
      <c r="A1" s="1" t="s">
        <v>0</v>
      </c>
      <c r="B1" s="1" t="s">
        <v>433</v>
      </c>
      <c r="C1" s="1" t="s">
        <v>342</v>
      </c>
      <c r="D1" s="1" t="s">
        <v>1</v>
      </c>
      <c r="E1" s="1" t="s">
        <v>79</v>
      </c>
      <c r="F1" s="1" t="s">
        <v>80</v>
      </c>
      <c r="G1" s="1" t="s">
        <v>24</v>
      </c>
    </row>
    <row r="2" spans="1:7">
      <c r="A2">
        <f>ROW(A2)-1</f>
        <v>1</v>
      </c>
      <c r="B2">
        <v>1</v>
      </c>
      <c r="C2" t="str" cm="1">
        <f t="array" ref="C2">GetValue("Cli",B2,"Name")</f>
        <v>SoftLab</v>
      </c>
      <c r="D2" t="s">
        <v>141</v>
      </c>
      <c r="E2" t="s">
        <v>141</v>
      </c>
      <c r="F2">
        <v>0</v>
      </c>
      <c r="G2" t="b">
        <v>1</v>
      </c>
    </row>
    <row r="3" spans="1:7">
      <c r="A3">
        <f>ROW(A3)-1</f>
        <v>2</v>
      </c>
      <c r="B3">
        <v>1</v>
      </c>
      <c r="C3" t="str" cm="1">
        <f t="array" ref="C3">GetValue("Cli",B3,"Name")</f>
        <v>SoftLab</v>
      </c>
      <c r="D3" t="s">
        <v>144</v>
      </c>
      <c r="E3" t="s">
        <v>81</v>
      </c>
      <c r="F3">
        <v>0</v>
      </c>
      <c r="G3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6E4B-5250-4E12-B481-887C2F2A0B73}">
  <sheetPr codeName="Planilha21"/>
  <dimension ref="A1:K55"/>
  <sheetViews>
    <sheetView zoomScaleNormal="100" workbookViewId="0">
      <pane ySplit="1" topLeftCell="A2" activePane="bottomLeft" state="frozen"/>
      <selection pane="bottomLeft" activeCell="K18" sqref="K18"/>
    </sheetView>
  </sheetViews>
  <sheetFormatPr defaultColWidth="8.6640625" defaultRowHeight="14.4"/>
  <cols>
    <col min="1" max="1" width="3" bestFit="1" customWidth="1"/>
    <col min="2" max="2" width="9.109375" bestFit="1" customWidth="1"/>
    <col min="3" max="3" width="13.88671875" bestFit="1" customWidth="1"/>
    <col min="4" max="4" width="6.88671875" bestFit="1" customWidth="1"/>
    <col min="5" max="5" width="11.44140625" bestFit="1" customWidth="1"/>
    <col min="6" max="6" width="7.5546875" bestFit="1" customWidth="1"/>
    <col min="7" max="7" width="22.109375" bestFit="1" customWidth="1"/>
    <col min="8" max="11" width="12.44140625" bestFit="1" customWidth="1"/>
  </cols>
  <sheetData>
    <row r="1" spans="1:11" s="1" customFormat="1">
      <c r="A1" s="1" t="s">
        <v>0</v>
      </c>
      <c r="B1" s="1" t="s">
        <v>68</v>
      </c>
      <c r="C1" s="1" t="s">
        <v>150</v>
      </c>
      <c r="D1" s="1" t="s">
        <v>82</v>
      </c>
      <c r="E1" s="1" t="s">
        <v>149</v>
      </c>
      <c r="F1" s="1" t="s">
        <v>95</v>
      </c>
      <c r="G1" s="1" t="s">
        <v>152</v>
      </c>
      <c r="H1" s="1" t="s">
        <v>460</v>
      </c>
      <c r="I1" s="1" t="s">
        <v>461</v>
      </c>
      <c r="J1" s="1" t="s">
        <v>462</v>
      </c>
      <c r="K1" s="1" t="s">
        <v>463</v>
      </c>
    </row>
    <row r="2" spans="1:11">
      <c r="A2">
        <f>ROW(A2)-1</f>
        <v>1</v>
      </c>
      <c r="B2">
        <v>1</v>
      </c>
      <c r="C2" t="str" cm="1">
        <f t="array" ref="C2">GetValue("Sys",B2,"Name")</f>
        <v>crudex</v>
      </c>
      <c r="D2">
        <v>1</v>
      </c>
      <c r="E2" t="str" cm="1">
        <f t="array" ref="E2">GetValue("Usr",D2,"Name")</f>
        <v>adm</v>
      </c>
      <c r="F2">
        <v>1</v>
      </c>
      <c r="G2" t="str" cm="1">
        <f t="array" ref="G2">GetValue("Tbl",F2,"Name")</f>
        <v>Categories</v>
      </c>
      <c r="H2" t="b">
        <v>1</v>
      </c>
      <c r="I2" t="b">
        <v>1</v>
      </c>
      <c r="J2" t="b">
        <v>1</v>
      </c>
      <c r="K2" t="b">
        <v>1</v>
      </c>
    </row>
    <row r="3" spans="1:11">
      <c r="A3">
        <f>ROW(A3)-1</f>
        <v>2</v>
      </c>
      <c r="B3">
        <v>1</v>
      </c>
      <c r="C3" t="str" cm="1">
        <f t="array" ref="C3">GetValue("Sys",B3,"Name")</f>
        <v>crudex</v>
      </c>
      <c r="D3">
        <v>1</v>
      </c>
      <c r="E3" t="str" cm="1">
        <f t="array" ref="E3">GetValue("Usr",D3,"Name")</f>
        <v>adm</v>
      </c>
      <c r="F3">
        <v>2</v>
      </c>
      <c r="G3" t="str" cm="1">
        <f t="array" ref="G3">GetValue("Tbl",F3,"Name")</f>
        <v>Comparators</v>
      </c>
      <c r="H3" t="b">
        <v>1</v>
      </c>
      <c r="I3" t="b">
        <v>1</v>
      </c>
      <c r="J3" t="b">
        <v>1</v>
      </c>
      <c r="K3" t="b">
        <v>1</v>
      </c>
    </row>
    <row r="4" spans="1:11">
      <c r="A4">
        <f t="shared" ref="A4:A55" si="0">ROW(A4)-1</f>
        <v>3</v>
      </c>
      <c r="B4">
        <v>1</v>
      </c>
      <c r="C4" t="str" cm="1">
        <f t="array" ref="C4">GetValue("Sys",B4,"Name")</f>
        <v>crudex</v>
      </c>
      <c r="D4">
        <v>1</v>
      </c>
      <c r="E4" t="str" cm="1">
        <f t="array" ref="E4">GetValue("Usr",D4,"Name")</f>
        <v>adm</v>
      </c>
      <c r="F4">
        <v>3</v>
      </c>
      <c r="G4" t="str" cm="1">
        <f t="array" ref="G4">GetValue("Tbl",F4,"Name")</f>
        <v>Rules</v>
      </c>
      <c r="H4" t="b">
        <v>1</v>
      </c>
      <c r="I4" t="b">
        <v>1</v>
      </c>
      <c r="J4" t="b">
        <v>1</v>
      </c>
      <c r="K4" t="b">
        <v>1</v>
      </c>
    </row>
    <row r="5" spans="1:11">
      <c r="A5">
        <f t="shared" si="0"/>
        <v>4</v>
      </c>
      <c r="B5">
        <v>1</v>
      </c>
      <c r="C5" t="str" cm="1">
        <f t="array" ref="C5">GetValue("Sys",B5,"Name")</f>
        <v>crudex</v>
      </c>
      <c r="D5">
        <v>1</v>
      </c>
      <c r="E5" t="str" cm="1">
        <f t="array" ref="E5">GetValue("Usr",D5,"Name")</f>
        <v>adm</v>
      </c>
      <c r="F5">
        <v>4</v>
      </c>
      <c r="G5" t="str" cm="1">
        <f t="array" ref="G5">GetValue("Tbl",F5,"Name")</f>
        <v>Engines</v>
      </c>
      <c r="H5" t="b">
        <v>1</v>
      </c>
      <c r="I5" t="b">
        <v>1</v>
      </c>
      <c r="J5" t="b">
        <v>1</v>
      </c>
      <c r="K5" t="b">
        <v>1</v>
      </c>
    </row>
    <row r="6" spans="1:11">
      <c r="A6">
        <f t="shared" si="0"/>
        <v>5</v>
      </c>
      <c r="B6">
        <v>1</v>
      </c>
      <c r="C6" t="str" cm="1">
        <f t="array" ref="C6">GetValue("Sys",B6,"Name")</f>
        <v>crudex</v>
      </c>
      <c r="D6">
        <v>1</v>
      </c>
      <c r="E6" t="str" cm="1">
        <f t="array" ref="E6">GetValue("Usr",D6,"Name")</f>
        <v>adm</v>
      </c>
      <c r="F6">
        <v>5</v>
      </c>
      <c r="G6" t="str" cm="1">
        <f t="array" ref="G6">GetValue("Tbl",F6,"Name")</f>
        <v>Types</v>
      </c>
      <c r="H6" t="b">
        <v>1</v>
      </c>
      <c r="I6" t="b">
        <v>1</v>
      </c>
      <c r="J6" t="b">
        <v>1</v>
      </c>
      <c r="K6" t="b">
        <v>1</v>
      </c>
    </row>
    <row r="7" spans="1:11">
      <c r="A7">
        <f t="shared" si="0"/>
        <v>6</v>
      </c>
      <c r="B7">
        <v>1</v>
      </c>
      <c r="C7" t="str" cm="1">
        <f t="array" ref="C7">GetValue("Sys",B7,"Name")</f>
        <v>crudex</v>
      </c>
      <c r="D7">
        <v>1</v>
      </c>
      <c r="E7" t="str" cm="1">
        <f t="array" ref="E7">GetValue("Usr",D7,"Name")</f>
        <v>adm</v>
      </c>
      <c r="F7">
        <v>6</v>
      </c>
      <c r="G7" t="str" cm="1">
        <f t="array" ref="G7">GetValue("Tbl",F7,"Name")</f>
        <v>Mappings</v>
      </c>
      <c r="H7" t="b">
        <v>1</v>
      </c>
      <c r="I7" t="b">
        <v>1</v>
      </c>
      <c r="J7" t="b">
        <v>1</v>
      </c>
      <c r="K7" t="b">
        <v>1</v>
      </c>
    </row>
    <row r="8" spans="1:11">
      <c r="A8">
        <f t="shared" si="0"/>
        <v>7</v>
      </c>
      <c r="B8">
        <v>1</v>
      </c>
      <c r="C8" t="str" cm="1">
        <f t="array" ref="C8">GetValue("Sys",B8,"Name")</f>
        <v>crudex</v>
      </c>
      <c r="D8">
        <v>1</v>
      </c>
      <c r="E8" t="str" cm="1">
        <f t="array" ref="E8">GetValue("Usr",D8,"Name")</f>
        <v>adm</v>
      </c>
      <c r="F8">
        <v>7</v>
      </c>
      <c r="G8" t="str" cm="1">
        <f t="array" ref="G8">GetValue("Tbl",F8,"Name")</f>
        <v>Clients</v>
      </c>
      <c r="H8" t="b">
        <v>1</v>
      </c>
      <c r="I8" t="b">
        <v>1</v>
      </c>
      <c r="J8" t="b">
        <v>1</v>
      </c>
      <c r="K8" t="b">
        <v>1</v>
      </c>
    </row>
    <row r="9" spans="1:11">
      <c r="A9">
        <f t="shared" si="0"/>
        <v>8</v>
      </c>
      <c r="B9">
        <v>1</v>
      </c>
      <c r="C9" t="str" cm="1">
        <f t="array" ref="C9">GetValue("Sys",B9,"Name")</f>
        <v>crudex</v>
      </c>
      <c r="D9">
        <v>1</v>
      </c>
      <c r="E9" t="str" cm="1">
        <f t="array" ref="E9">GetValue("Usr",D9,"Name")</f>
        <v>adm</v>
      </c>
      <c r="F9">
        <v>8</v>
      </c>
      <c r="G9" t="str" cm="1">
        <f t="array" ref="G9">GetValue("Tbl",F9,"Name")</f>
        <v>Domains</v>
      </c>
      <c r="H9" t="b">
        <v>1</v>
      </c>
      <c r="I9" t="b">
        <v>1</v>
      </c>
      <c r="J9" t="b">
        <v>1</v>
      </c>
      <c r="K9" t="b">
        <v>1</v>
      </c>
    </row>
    <row r="10" spans="1:11">
      <c r="A10">
        <f t="shared" si="0"/>
        <v>9</v>
      </c>
      <c r="B10">
        <v>1</v>
      </c>
      <c r="C10" t="str" cm="1">
        <f t="array" ref="C10">GetValue("Sys",B10,"Name")</f>
        <v>crudex</v>
      </c>
      <c r="D10">
        <v>1</v>
      </c>
      <c r="E10" t="str" cm="1">
        <f t="array" ref="E10">GetValue("Usr",D10,"Name")</f>
        <v>adm</v>
      </c>
      <c r="F10">
        <v>9</v>
      </c>
      <c r="G10" t="str" cm="1">
        <f t="array" ref="G10">GetValue("Tbl",F10,"Name")</f>
        <v>Masks</v>
      </c>
      <c r="H10" t="b">
        <v>1</v>
      </c>
      <c r="I10" t="b">
        <v>1</v>
      </c>
      <c r="J10" t="b">
        <v>1</v>
      </c>
      <c r="K10" t="b">
        <v>1</v>
      </c>
    </row>
    <row r="11" spans="1:11">
      <c r="A11">
        <f t="shared" si="0"/>
        <v>10</v>
      </c>
      <c r="B11">
        <v>1</v>
      </c>
      <c r="C11" t="str" cm="1">
        <f t="array" ref="C11">GetValue("Sys",B11,"Name")</f>
        <v>crudex</v>
      </c>
      <c r="D11">
        <v>1</v>
      </c>
      <c r="E11" t="str" cm="1">
        <f t="array" ref="E11">GetValue("Usr",D11,"Name")</f>
        <v>adm</v>
      </c>
      <c r="F11">
        <v>10</v>
      </c>
      <c r="G11" t="str" cm="1">
        <f t="array" ref="G11">GetValue("Tbl",F11,"Name")</f>
        <v>Maskings</v>
      </c>
      <c r="H11" t="b">
        <v>1</v>
      </c>
      <c r="I11" t="b">
        <v>1</v>
      </c>
      <c r="J11" t="b">
        <v>1</v>
      </c>
      <c r="K11" t="b">
        <v>1</v>
      </c>
    </row>
    <row r="12" spans="1:11">
      <c r="A12">
        <f t="shared" si="0"/>
        <v>11</v>
      </c>
      <c r="B12">
        <v>1</v>
      </c>
      <c r="C12" t="str" cm="1">
        <f t="array" ref="C12">GetValue("Sys",B12,"Name")</f>
        <v>crudex</v>
      </c>
      <c r="D12">
        <v>1</v>
      </c>
      <c r="E12" t="str" cm="1">
        <f t="array" ref="E12">GetValue("Usr",D12,"Name")</f>
        <v>adm</v>
      </c>
      <c r="F12">
        <v>11</v>
      </c>
      <c r="G12" t="str" cm="1">
        <f t="array" ref="G12">GetValue("Tbl",F12,"Name")</f>
        <v>Databases</v>
      </c>
      <c r="H12" t="b">
        <v>1</v>
      </c>
      <c r="I12" t="b">
        <v>1</v>
      </c>
      <c r="J12" t="b">
        <v>1</v>
      </c>
      <c r="K12" t="b">
        <v>1</v>
      </c>
    </row>
    <row r="13" spans="1:11">
      <c r="A13">
        <f t="shared" si="0"/>
        <v>12</v>
      </c>
      <c r="B13">
        <v>1</v>
      </c>
      <c r="C13" t="str" cm="1">
        <f t="array" ref="C13">GetValue("Sys",B13,"Name")</f>
        <v>crudex</v>
      </c>
      <c r="D13">
        <v>1</v>
      </c>
      <c r="E13" t="str" cm="1">
        <f t="array" ref="E13">GetValue("Usr",D13,"Name")</f>
        <v>adm</v>
      </c>
      <c r="F13">
        <v>12</v>
      </c>
      <c r="G13" t="str" cm="1">
        <f t="array" ref="G13">GetValue("Tbl",F13,"Name")</f>
        <v>Connections</v>
      </c>
      <c r="H13" t="b">
        <v>1</v>
      </c>
      <c r="I13" t="b">
        <v>1</v>
      </c>
      <c r="J13" t="b">
        <v>1</v>
      </c>
      <c r="K13" t="b">
        <v>1</v>
      </c>
    </row>
    <row r="14" spans="1:11">
      <c r="A14">
        <f t="shared" si="0"/>
        <v>13</v>
      </c>
      <c r="B14">
        <v>1</v>
      </c>
      <c r="C14" t="str" cm="1">
        <f t="array" ref="C14">GetValue("Sys",B14,"Name")</f>
        <v>crudex</v>
      </c>
      <c r="D14">
        <v>1</v>
      </c>
      <c r="E14" t="str" cm="1">
        <f t="array" ref="E14">GetValue("Usr",D14,"Name")</f>
        <v>adm</v>
      </c>
      <c r="F14">
        <v>13</v>
      </c>
      <c r="G14" t="str" cm="1">
        <f t="array" ref="G14">GetValue("Tbl",F14,"Name")</f>
        <v>Systems</v>
      </c>
      <c r="H14" t="b">
        <v>1</v>
      </c>
      <c r="I14" t="b">
        <v>1</v>
      </c>
      <c r="J14" t="b">
        <v>1</v>
      </c>
      <c r="K14" t="b">
        <v>1</v>
      </c>
    </row>
    <row r="15" spans="1:11">
      <c r="A15">
        <f t="shared" si="0"/>
        <v>14</v>
      </c>
      <c r="B15">
        <v>1</v>
      </c>
      <c r="C15" t="str" cm="1">
        <f t="array" ref="C15">GetValue("Sys",B15,"Name")</f>
        <v>crudex</v>
      </c>
      <c r="D15">
        <v>1</v>
      </c>
      <c r="E15" t="str" cm="1">
        <f t="array" ref="E15">GetValue("Usr",D15,"Name")</f>
        <v>adm</v>
      </c>
      <c r="F15">
        <v>14</v>
      </c>
      <c r="G15" t="str" cm="1">
        <f t="array" ref="G15">GetValue("Tbl",F15,"Name")</f>
        <v>Menus</v>
      </c>
      <c r="H15" t="b">
        <v>1</v>
      </c>
      <c r="I15" t="b">
        <v>1</v>
      </c>
      <c r="J15" t="b">
        <v>1</v>
      </c>
      <c r="K15" t="b">
        <v>1</v>
      </c>
    </row>
    <row r="16" spans="1:11">
      <c r="A16">
        <f t="shared" si="0"/>
        <v>15</v>
      </c>
      <c r="B16">
        <v>1</v>
      </c>
      <c r="C16" t="str" cm="1">
        <f t="array" ref="C16">GetValue("Sys",B16,"Name")</f>
        <v>crudex</v>
      </c>
      <c r="D16">
        <v>1</v>
      </c>
      <c r="E16" t="str" cm="1">
        <f t="array" ref="E16">GetValue("Usr",D16,"Name")</f>
        <v>adm</v>
      </c>
      <c r="F16">
        <v>15</v>
      </c>
      <c r="G16" t="str" cm="1">
        <f t="array" ref="G16">GetValue("Tbl",F16,"Name")</f>
        <v>Tables</v>
      </c>
      <c r="H16" t="b">
        <v>1</v>
      </c>
      <c r="I16" t="b">
        <v>1</v>
      </c>
      <c r="J16" t="b">
        <v>1</v>
      </c>
      <c r="K16" t="b">
        <v>1</v>
      </c>
    </row>
    <row r="17" spans="1:11">
      <c r="A17">
        <f t="shared" si="0"/>
        <v>16</v>
      </c>
      <c r="B17">
        <v>1</v>
      </c>
      <c r="C17" t="str" cm="1">
        <f t="array" ref="C17">GetValue("Sys",B17,"Name")</f>
        <v>crudex</v>
      </c>
      <c r="D17">
        <v>1</v>
      </c>
      <c r="E17" t="str" cm="1">
        <f t="array" ref="E17">GetValue("Usr",D17,"Name")</f>
        <v>adm</v>
      </c>
      <c r="F17">
        <v>16</v>
      </c>
      <c r="G17" t="str" cm="1">
        <f t="array" ref="G17">GetValue("Tbl",F17,"Name")</f>
        <v>Columns</v>
      </c>
      <c r="H17" t="b">
        <v>1</v>
      </c>
      <c r="I17" t="b">
        <v>1</v>
      </c>
      <c r="J17" t="b">
        <v>1</v>
      </c>
      <c r="K17" t="b">
        <v>1</v>
      </c>
    </row>
    <row r="18" spans="1:11">
      <c r="A18">
        <f t="shared" si="0"/>
        <v>17</v>
      </c>
      <c r="B18">
        <v>1</v>
      </c>
      <c r="C18" t="str" cm="1">
        <f t="array" ref="C18">GetValue("Sys",B18,"Name")</f>
        <v>crudex</v>
      </c>
      <c r="D18">
        <v>1</v>
      </c>
      <c r="E18" t="str" cm="1">
        <f t="array" ref="E18">GetValue("Usr",D18,"Name")</f>
        <v>adm</v>
      </c>
      <c r="F18">
        <v>17</v>
      </c>
      <c r="G18" t="str" cm="1">
        <f t="array" ref="G18">GetValue("Tbl",F18,"Name")</f>
        <v>Indexes</v>
      </c>
      <c r="H18" t="b">
        <v>1</v>
      </c>
      <c r="I18" t="b">
        <v>1</v>
      </c>
      <c r="J18" t="b">
        <v>1</v>
      </c>
      <c r="K18" t="b">
        <v>1</v>
      </c>
    </row>
    <row r="19" spans="1:11">
      <c r="A19">
        <f t="shared" si="0"/>
        <v>18</v>
      </c>
      <c r="B19">
        <v>1</v>
      </c>
      <c r="C19" t="str" cm="1">
        <f t="array" ref="C19">GetValue("Sys",B19,"Name")</f>
        <v>crudex</v>
      </c>
      <c r="D19">
        <v>1</v>
      </c>
      <c r="E19" t="str" cm="1">
        <f t="array" ref="E19">GetValue("Usr",D19,"Name")</f>
        <v>adm</v>
      </c>
      <c r="F19">
        <v>18</v>
      </c>
      <c r="G19" t="str" cm="1">
        <f t="array" ref="G19">GetValue("Tbl",F19,"Name")</f>
        <v>Indexkeys</v>
      </c>
      <c r="H19" t="b">
        <v>1</v>
      </c>
      <c r="I19" t="b">
        <v>1</v>
      </c>
      <c r="J19" t="b">
        <v>1</v>
      </c>
      <c r="K19" t="b">
        <v>1</v>
      </c>
    </row>
    <row r="20" spans="1:11">
      <c r="A20">
        <f t="shared" si="0"/>
        <v>19</v>
      </c>
      <c r="B20">
        <v>1</v>
      </c>
      <c r="C20" t="str" cm="1">
        <f t="array" ref="C20">GetValue("Sys",B20,"Name")</f>
        <v>crudex</v>
      </c>
      <c r="D20">
        <v>1</v>
      </c>
      <c r="E20" t="str" cm="1">
        <f t="array" ref="E20">GetValue("Usr",D20,"Name")</f>
        <v>adm</v>
      </c>
      <c r="F20">
        <v>19</v>
      </c>
      <c r="G20" t="str" cm="1">
        <f t="array" ref="G20">GetValue("Tbl",F20,"Name")</f>
        <v>Includes</v>
      </c>
      <c r="H20" t="b">
        <v>1</v>
      </c>
      <c r="I20" t="b">
        <v>1</v>
      </c>
      <c r="J20" t="b">
        <v>1</v>
      </c>
      <c r="K20" t="b">
        <v>1</v>
      </c>
    </row>
    <row r="21" spans="1:11">
      <c r="A21">
        <f t="shared" si="0"/>
        <v>20</v>
      </c>
      <c r="B21">
        <v>1</v>
      </c>
      <c r="C21" t="str" cm="1">
        <f t="array" ref="C21">GetValue("Sys",B21,"Name")</f>
        <v>crudex</v>
      </c>
      <c r="D21">
        <v>1</v>
      </c>
      <c r="E21" t="str" cm="1">
        <f t="array" ref="E21">GetValue("Usr",D21,"Name")</f>
        <v>adm</v>
      </c>
      <c r="F21">
        <v>20</v>
      </c>
      <c r="G21" t="str" cm="1">
        <f t="array" ref="G21">GetValue("Tbl",F21,"Name")</f>
        <v>Unicities</v>
      </c>
      <c r="H21" t="b">
        <v>1</v>
      </c>
      <c r="I21" t="b">
        <v>1</v>
      </c>
      <c r="J21" t="b">
        <v>1</v>
      </c>
      <c r="K21" t="b">
        <v>1</v>
      </c>
    </row>
    <row r="22" spans="1:11">
      <c r="A22">
        <f t="shared" si="0"/>
        <v>21</v>
      </c>
      <c r="B22">
        <v>1</v>
      </c>
      <c r="C22" t="str" cm="1">
        <f t="array" ref="C22">GetValue("Sys",B22,"Name")</f>
        <v>crudex</v>
      </c>
      <c r="D22">
        <v>1</v>
      </c>
      <c r="E22" t="str" cm="1">
        <f t="array" ref="E22">GetValue("Usr",D22,"Name")</f>
        <v>adm</v>
      </c>
      <c r="F22">
        <v>21</v>
      </c>
      <c r="G22" t="str" cm="1">
        <f t="array" ref="G22">GetValue("Tbl",F22,"Name")</f>
        <v>Expressions</v>
      </c>
      <c r="H22" t="b">
        <v>1</v>
      </c>
      <c r="I22" t="b">
        <v>1</v>
      </c>
      <c r="J22" t="b">
        <v>1</v>
      </c>
      <c r="K22" t="b">
        <v>1</v>
      </c>
    </row>
    <row r="23" spans="1:11">
      <c r="A23">
        <f t="shared" si="0"/>
        <v>22</v>
      </c>
      <c r="B23">
        <v>1</v>
      </c>
      <c r="C23" t="str" cm="1">
        <f t="array" ref="C23">GetValue("Sys",B23,"Name")</f>
        <v>crudex</v>
      </c>
      <c r="D23">
        <v>1</v>
      </c>
      <c r="E23" t="str" cm="1">
        <f t="array" ref="E23">GetValue("Usr",D23,"Name")</f>
        <v>adm</v>
      </c>
      <c r="F23">
        <v>22</v>
      </c>
      <c r="G23" t="str" cm="1">
        <f t="array" ref="G23">GetValue("Tbl",F23,"Name")</f>
        <v>Conditions</v>
      </c>
      <c r="H23" t="b">
        <v>1</v>
      </c>
      <c r="I23" t="b">
        <v>1</v>
      </c>
      <c r="J23" t="b">
        <v>1</v>
      </c>
      <c r="K23" t="b">
        <v>1</v>
      </c>
    </row>
    <row r="24" spans="1:11">
      <c r="A24">
        <f t="shared" si="0"/>
        <v>23</v>
      </c>
      <c r="B24">
        <v>1</v>
      </c>
      <c r="C24" t="str" cm="1">
        <f t="array" ref="C24">GetValue("Sys",B24,"Name")</f>
        <v>crudex</v>
      </c>
      <c r="D24">
        <v>1</v>
      </c>
      <c r="E24" t="str" cm="1">
        <f t="array" ref="E24">GetValue("Usr",D24,"Name")</f>
        <v>adm</v>
      </c>
      <c r="F24">
        <v>23</v>
      </c>
      <c r="G24" t="str" cm="1">
        <f t="array" ref="G24">GetValue("Tbl",F24,"Name")</f>
        <v>References</v>
      </c>
      <c r="H24" t="b">
        <v>1</v>
      </c>
      <c r="I24" t="b">
        <v>1</v>
      </c>
      <c r="J24" t="b">
        <v>1</v>
      </c>
      <c r="K24" t="b">
        <v>1</v>
      </c>
    </row>
    <row r="25" spans="1:11">
      <c r="A25">
        <f t="shared" si="0"/>
        <v>24</v>
      </c>
      <c r="B25">
        <v>1</v>
      </c>
      <c r="C25" t="str" cm="1">
        <f t="array" ref="C25">GetValue("Sys",B25,"Name")</f>
        <v>crudex</v>
      </c>
      <c r="D25">
        <v>1</v>
      </c>
      <c r="E25" t="str" cm="1">
        <f t="array" ref="E25">GetValue("Usr",D25,"Name")</f>
        <v>adm</v>
      </c>
      <c r="F25">
        <v>24</v>
      </c>
      <c r="G25" t="str" cm="1">
        <f t="array" ref="G25">GetValue("Tbl",F25,"Name")</f>
        <v>Users</v>
      </c>
      <c r="H25" t="b">
        <v>1</v>
      </c>
      <c r="I25" t="b">
        <v>1</v>
      </c>
      <c r="J25" t="b">
        <v>1</v>
      </c>
      <c r="K25" t="b">
        <v>1</v>
      </c>
    </row>
    <row r="26" spans="1:11">
      <c r="A26">
        <f t="shared" si="0"/>
        <v>25</v>
      </c>
      <c r="B26">
        <v>1</v>
      </c>
      <c r="C26" t="str" cm="1">
        <f t="array" ref="C26">GetValue("Sys",B26,"Name")</f>
        <v>crudex</v>
      </c>
      <c r="D26">
        <v>1</v>
      </c>
      <c r="E26" t="str" cm="1">
        <f t="array" ref="E26">GetValue("Usr",D26,"Name")</f>
        <v>adm</v>
      </c>
      <c r="F26">
        <v>25</v>
      </c>
      <c r="G26" t="str" cm="1">
        <f t="array" ref="G26">GetValue("Tbl",F26,"Name")</f>
        <v>Permissions</v>
      </c>
      <c r="H26" t="b">
        <v>1</v>
      </c>
      <c r="I26" t="b">
        <v>1</v>
      </c>
      <c r="J26" t="b">
        <v>1</v>
      </c>
      <c r="K26" t="b">
        <v>1</v>
      </c>
    </row>
    <row r="27" spans="1:11">
      <c r="A27">
        <f t="shared" si="0"/>
        <v>26</v>
      </c>
      <c r="B27">
        <v>1</v>
      </c>
      <c r="C27" t="str" cm="1">
        <f t="array" ref="C27">GetValue("Sys",B27,"Name")</f>
        <v>crudex</v>
      </c>
      <c r="D27">
        <v>1</v>
      </c>
      <c r="E27" t="str" cm="1">
        <f t="array" ref="E27">GetValue("Usr",D27,"Name")</f>
        <v>adm</v>
      </c>
      <c r="F27">
        <v>26</v>
      </c>
      <c r="G27" t="str" cm="1">
        <f t="array" ref="G27">GetValue("Tbl",F27,"Name")</f>
        <v>Properties</v>
      </c>
      <c r="H27" t="b">
        <v>1</v>
      </c>
      <c r="I27" t="b">
        <v>1</v>
      </c>
      <c r="J27" t="b">
        <v>1</v>
      </c>
      <c r="K27" t="b">
        <v>1</v>
      </c>
    </row>
    <row r="28" spans="1:11">
      <c r="A28">
        <f t="shared" si="0"/>
        <v>27</v>
      </c>
      <c r="B28">
        <v>1</v>
      </c>
      <c r="C28" t="str" cm="1">
        <f t="array" ref="C28">GetValue("Sys",B28,"Name")</f>
        <v>crudex</v>
      </c>
      <c r="D28">
        <v>1</v>
      </c>
      <c r="E28" t="str" cm="1">
        <f t="array" ref="E28">GetValue("Usr",D28,"Name")</f>
        <v>adm</v>
      </c>
      <c r="F28">
        <v>27</v>
      </c>
      <c r="G28" t="str" cm="1">
        <f t="array" ref="G28">GetValue("Tbl",F28,"Name")</f>
        <v>Behaviors</v>
      </c>
      <c r="H28" t="b">
        <v>1</v>
      </c>
      <c r="I28" t="b">
        <v>1</v>
      </c>
      <c r="J28" t="b">
        <v>1</v>
      </c>
      <c r="K28" t="b">
        <v>1</v>
      </c>
    </row>
    <row r="29" spans="1:11">
      <c r="A29">
        <f t="shared" si="0"/>
        <v>28</v>
      </c>
      <c r="B29">
        <v>1</v>
      </c>
      <c r="C29" t="str" cm="1">
        <f t="array" ref="C29">GetValue("Sys",B29,"Name")</f>
        <v>crudex</v>
      </c>
      <c r="D29">
        <v>2</v>
      </c>
      <c r="E29" t="str" cm="1">
        <f t="array" ref="E29">GetValue("Usr",D29,"Name")</f>
        <v>labrego</v>
      </c>
      <c r="F29">
        <v>1</v>
      </c>
      <c r="G29" t="str" cm="1">
        <f t="array" ref="G29">GetValue("Tbl",F29,"Name")</f>
        <v>Categories</v>
      </c>
      <c r="H29" t="b">
        <v>1</v>
      </c>
      <c r="I29" t="b">
        <v>1</v>
      </c>
      <c r="J29" t="b">
        <v>1</v>
      </c>
      <c r="K29" t="b">
        <v>1</v>
      </c>
    </row>
    <row r="30" spans="1:11">
      <c r="A30">
        <f t="shared" si="0"/>
        <v>29</v>
      </c>
      <c r="B30">
        <v>1</v>
      </c>
      <c r="C30" t="str" cm="1">
        <f t="array" ref="C30">GetValue("Sys",B30,"Name")</f>
        <v>crudex</v>
      </c>
      <c r="D30">
        <v>2</v>
      </c>
      <c r="E30" t="str" cm="1">
        <f t="array" ref="E30">GetValue("Usr",D30,"Name")</f>
        <v>labrego</v>
      </c>
      <c r="F30">
        <v>2</v>
      </c>
      <c r="G30" t="str" cm="1">
        <f t="array" ref="G30">GetValue("Tbl",F30,"Name")</f>
        <v>Comparators</v>
      </c>
      <c r="H30" t="b">
        <v>1</v>
      </c>
      <c r="I30" t="b">
        <v>1</v>
      </c>
      <c r="J30" t="b">
        <v>1</v>
      </c>
      <c r="K30" t="b">
        <v>1</v>
      </c>
    </row>
    <row r="31" spans="1:11">
      <c r="A31">
        <f t="shared" si="0"/>
        <v>30</v>
      </c>
      <c r="B31">
        <v>1</v>
      </c>
      <c r="C31" t="str" cm="1">
        <f t="array" ref="C31">GetValue("Sys",B31,"Name")</f>
        <v>crudex</v>
      </c>
      <c r="D31">
        <v>2</v>
      </c>
      <c r="E31" t="str" cm="1">
        <f t="array" ref="E31">GetValue("Usr",D31,"Name")</f>
        <v>labrego</v>
      </c>
      <c r="F31">
        <v>3</v>
      </c>
      <c r="G31" t="str" cm="1">
        <f t="array" ref="G31">GetValue("Tbl",F31,"Name")</f>
        <v>Rules</v>
      </c>
      <c r="H31" t="b">
        <v>1</v>
      </c>
      <c r="I31" t="b">
        <v>1</v>
      </c>
      <c r="J31" t="b">
        <v>1</v>
      </c>
      <c r="K31" t="b">
        <v>1</v>
      </c>
    </row>
    <row r="32" spans="1:11">
      <c r="A32">
        <f t="shared" si="0"/>
        <v>31</v>
      </c>
      <c r="B32">
        <v>1</v>
      </c>
      <c r="C32" t="str" cm="1">
        <f t="array" ref="C32">GetValue("Sys",B32,"Name")</f>
        <v>crudex</v>
      </c>
      <c r="D32">
        <v>2</v>
      </c>
      <c r="E32" t="str" cm="1">
        <f t="array" ref="E32">GetValue("Usr",D32,"Name")</f>
        <v>labrego</v>
      </c>
      <c r="F32">
        <v>4</v>
      </c>
      <c r="G32" t="str" cm="1">
        <f t="array" ref="G32">GetValue("Tbl",F32,"Name")</f>
        <v>Engines</v>
      </c>
      <c r="H32" t="b">
        <v>1</v>
      </c>
      <c r="I32" t="b">
        <v>1</v>
      </c>
      <c r="J32" t="b">
        <v>1</v>
      </c>
      <c r="K32" t="b">
        <v>1</v>
      </c>
    </row>
    <row r="33" spans="1:11">
      <c r="A33">
        <f t="shared" si="0"/>
        <v>32</v>
      </c>
      <c r="B33">
        <v>1</v>
      </c>
      <c r="C33" t="str" cm="1">
        <f t="array" ref="C33">GetValue("Sys",B33,"Name")</f>
        <v>crudex</v>
      </c>
      <c r="D33">
        <v>2</v>
      </c>
      <c r="E33" t="str" cm="1">
        <f t="array" ref="E33">GetValue("Usr",D33,"Name")</f>
        <v>labrego</v>
      </c>
      <c r="F33">
        <v>5</v>
      </c>
      <c r="G33" t="str" cm="1">
        <f t="array" ref="G33">GetValue("Tbl",F33,"Name")</f>
        <v>Types</v>
      </c>
      <c r="H33" t="b">
        <v>1</v>
      </c>
      <c r="I33" t="b">
        <v>1</v>
      </c>
      <c r="J33" t="b">
        <v>1</v>
      </c>
      <c r="K33" t="b">
        <v>1</v>
      </c>
    </row>
    <row r="34" spans="1:11">
      <c r="A34">
        <f t="shared" si="0"/>
        <v>33</v>
      </c>
      <c r="B34">
        <v>1</v>
      </c>
      <c r="C34" t="str" cm="1">
        <f t="array" ref="C34">GetValue("Sys",B34,"Name")</f>
        <v>crudex</v>
      </c>
      <c r="D34">
        <v>2</v>
      </c>
      <c r="E34" t="str" cm="1">
        <f t="array" ref="E34">GetValue("Usr",D34,"Name")</f>
        <v>labrego</v>
      </c>
      <c r="F34">
        <v>6</v>
      </c>
      <c r="G34" t="str" cm="1">
        <f t="array" ref="G34">GetValue("Tbl",F34,"Name")</f>
        <v>Mappings</v>
      </c>
      <c r="H34" t="b">
        <v>1</v>
      </c>
      <c r="I34" t="b">
        <v>1</v>
      </c>
      <c r="J34" t="b">
        <v>1</v>
      </c>
      <c r="K34" t="b">
        <v>1</v>
      </c>
    </row>
    <row r="35" spans="1:11">
      <c r="A35">
        <f t="shared" si="0"/>
        <v>34</v>
      </c>
      <c r="B35">
        <v>1</v>
      </c>
      <c r="C35" t="str" cm="1">
        <f t="array" ref="C35">GetValue("Sys",B35,"Name")</f>
        <v>crudex</v>
      </c>
      <c r="D35">
        <v>2</v>
      </c>
      <c r="E35" t="str" cm="1">
        <f t="array" ref="E35">GetValue("Usr",D35,"Name")</f>
        <v>labrego</v>
      </c>
      <c r="F35">
        <v>7</v>
      </c>
      <c r="G35" t="str" cm="1">
        <f t="array" ref="G35">GetValue("Tbl",F35,"Name")</f>
        <v>Clients</v>
      </c>
      <c r="H35" t="b">
        <v>1</v>
      </c>
      <c r="I35" t="b">
        <v>1</v>
      </c>
      <c r="J35" t="b">
        <v>1</v>
      </c>
      <c r="K35" t="b">
        <v>1</v>
      </c>
    </row>
    <row r="36" spans="1:11">
      <c r="A36">
        <f t="shared" si="0"/>
        <v>35</v>
      </c>
      <c r="B36">
        <v>1</v>
      </c>
      <c r="C36" t="str" cm="1">
        <f t="array" ref="C36">GetValue("Sys",B36,"Name")</f>
        <v>crudex</v>
      </c>
      <c r="D36">
        <v>2</v>
      </c>
      <c r="E36" t="str" cm="1">
        <f t="array" ref="E36">GetValue("Usr",D36,"Name")</f>
        <v>labrego</v>
      </c>
      <c r="F36">
        <v>8</v>
      </c>
      <c r="G36" t="str" cm="1">
        <f t="array" ref="G36">GetValue("Tbl",F36,"Name")</f>
        <v>Domains</v>
      </c>
      <c r="H36" t="b">
        <v>1</v>
      </c>
      <c r="I36" t="b">
        <v>1</v>
      </c>
      <c r="J36" t="b">
        <v>1</v>
      </c>
      <c r="K36" t="b">
        <v>1</v>
      </c>
    </row>
    <row r="37" spans="1:11">
      <c r="A37">
        <f t="shared" si="0"/>
        <v>36</v>
      </c>
      <c r="B37">
        <v>1</v>
      </c>
      <c r="C37" t="str" cm="1">
        <f t="array" ref="C37">GetValue("Sys",B37,"Name")</f>
        <v>crudex</v>
      </c>
      <c r="D37">
        <v>2</v>
      </c>
      <c r="E37" t="str" cm="1">
        <f t="array" ref="E37">GetValue("Usr",D37,"Name")</f>
        <v>labrego</v>
      </c>
      <c r="F37">
        <v>9</v>
      </c>
      <c r="G37" t="str" cm="1">
        <f t="array" ref="G37">GetValue("Tbl",F37,"Name")</f>
        <v>Masks</v>
      </c>
      <c r="H37" t="b">
        <v>1</v>
      </c>
      <c r="I37" t="b">
        <v>1</v>
      </c>
      <c r="J37" t="b">
        <v>1</v>
      </c>
      <c r="K37" t="b">
        <v>1</v>
      </c>
    </row>
    <row r="38" spans="1:11">
      <c r="A38">
        <f t="shared" si="0"/>
        <v>37</v>
      </c>
      <c r="B38">
        <v>1</v>
      </c>
      <c r="C38" t="str" cm="1">
        <f t="array" ref="C38">GetValue("Sys",B38,"Name")</f>
        <v>crudex</v>
      </c>
      <c r="D38">
        <v>2</v>
      </c>
      <c r="E38" t="str" cm="1">
        <f t="array" ref="E38">GetValue("Usr",D38,"Name")</f>
        <v>labrego</v>
      </c>
      <c r="F38">
        <v>10</v>
      </c>
      <c r="G38" t="str" cm="1">
        <f t="array" ref="G38">GetValue("Tbl",F38,"Name")</f>
        <v>Maskings</v>
      </c>
      <c r="H38" t="b">
        <v>1</v>
      </c>
      <c r="I38" t="b">
        <v>1</v>
      </c>
      <c r="J38" t="b">
        <v>1</v>
      </c>
      <c r="K38" t="b">
        <v>1</v>
      </c>
    </row>
    <row r="39" spans="1:11">
      <c r="A39">
        <f t="shared" si="0"/>
        <v>38</v>
      </c>
      <c r="B39">
        <v>1</v>
      </c>
      <c r="C39" t="str" cm="1">
        <f t="array" ref="C39">GetValue("Sys",B39,"Name")</f>
        <v>crudex</v>
      </c>
      <c r="D39">
        <v>2</v>
      </c>
      <c r="E39" t="str" cm="1">
        <f t="array" ref="E39">GetValue("Usr",D39,"Name")</f>
        <v>labrego</v>
      </c>
      <c r="F39">
        <v>11</v>
      </c>
      <c r="G39" t="str" cm="1">
        <f t="array" ref="G39">GetValue("Tbl",F39,"Name")</f>
        <v>Databases</v>
      </c>
      <c r="H39" t="b">
        <v>1</v>
      </c>
      <c r="I39" t="b">
        <v>1</v>
      </c>
      <c r="J39" t="b">
        <v>1</v>
      </c>
      <c r="K39" t="b">
        <v>1</v>
      </c>
    </row>
    <row r="40" spans="1:11">
      <c r="A40">
        <f t="shared" si="0"/>
        <v>39</v>
      </c>
      <c r="B40">
        <v>1</v>
      </c>
      <c r="C40" t="str" cm="1">
        <f t="array" ref="C40">GetValue("Sys",B40,"Name")</f>
        <v>crudex</v>
      </c>
      <c r="D40">
        <v>2</v>
      </c>
      <c r="E40" t="str" cm="1">
        <f t="array" ref="E40">GetValue("Usr",D40,"Name")</f>
        <v>labrego</v>
      </c>
      <c r="F40">
        <v>12</v>
      </c>
      <c r="G40" t="str" cm="1">
        <f t="array" ref="G40">GetValue("Tbl",F40,"Name")</f>
        <v>Connections</v>
      </c>
      <c r="H40" t="b">
        <v>1</v>
      </c>
      <c r="I40" t="b">
        <v>1</v>
      </c>
      <c r="J40" t="b">
        <v>1</v>
      </c>
      <c r="K40" t="b">
        <v>1</v>
      </c>
    </row>
    <row r="41" spans="1:11">
      <c r="A41">
        <f t="shared" si="0"/>
        <v>40</v>
      </c>
      <c r="B41">
        <v>1</v>
      </c>
      <c r="C41" t="str" cm="1">
        <f t="array" ref="C41">GetValue("Sys",B41,"Name")</f>
        <v>crudex</v>
      </c>
      <c r="D41">
        <v>2</v>
      </c>
      <c r="E41" t="str" cm="1">
        <f t="array" ref="E41">GetValue("Usr",D41,"Name")</f>
        <v>labrego</v>
      </c>
      <c r="F41">
        <v>13</v>
      </c>
      <c r="G41" t="str" cm="1">
        <f t="array" ref="G41">GetValue("Tbl",F41,"Name")</f>
        <v>Systems</v>
      </c>
      <c r="H41" t="b">
        <v>1</v>
      </c>
      <c r="I41" t="b">
        <v>1</v>
      </c>
      <c r="J41" t="b">
        <v>1</v>
      </c>
      <c r="K41" t="b">
        <v>1</v>
      </c>
    </row>
    <row r="42" spans="1:11">
      <c r="A42">
        <f t="shared" si="0"/>
        <v>41</v>
      </c>
      <c r="B42">
        <v>1</v>
      </c>
      <c r="C42" t="str" cm="1">
        <f t="array" ref="C42">GetValue("Sys",B42,"Name")</f>
        <v>crudex</v>
      </c>
      <c r="D42">
        <v>2</v>
      </c>
      <c r="E42" t="str" cm="1">
        <f t="array" ref="E42">GetValue("Usr",D42,"Name")</f>
        <v>labrego</v>
      </c>
      <c r="F42">
        <v>14</v>
      </c>
      <c r="G42" t="str" cm="1">
        <f t="array" ref="G42">GetValue("Tbl",F42,"Name")</f>
        <v>Menus</v>
      </c>
      <c r="H42" t="b">
        <v>1</v>
      </c>
      <c r="I42" t="b">
        <v>1</v>
      </c>
      <c r="J42" t="b">
        <v>1</v>
      </c>
      <c r="K42" t="b">
        <v>1</v>
      </c>
    </row>
    <row r="43" spans="1:11">
      <c r="A43">
        <f t="shared" si="0"/>
        <v>42</v>
      </c>
      <c r="B43">
        <v>1</v>
      </c>
      <c r="C43" t="str" cm="1">
        <f t="array" ref="C43">GetValue("Sys",B43,"Name")</f>
        <v>crudex</v>
      </c>
      <c r="D43">
        <v>2</v>
      </c>
      <c r="E43" t="str" cm="1">
        <f t="array" ref="E43">GetValue("Usr",D43,"Name")</f>
        <v>labrego</v>
      </c>
      <c r="F43">
        <v>15</v>
      </c>
      <c r="G43" t="str" cm="1">
        <f t="array" ref="G43">GetValue("Tbl",F43,"Name")</f>
        <v>Tables</v>
      </c>
      <c r="H43" t="b">
        <v>1</v>
      </c>
      <c r="I43" t="b">
        <v>1</v>
      </c>
      <c r="J43" t="b">
        <v>1</v>
      </c>
      <c r="K43" t="b">
        <v>1</v>
      </c>
    </row>
    <row r="44" spans="1:11">
      <c r="A44">
        <f t="shared" si="0"/>
        <v>43</v>
      </c>
      <c r="B44">
        <v>1</v>
      </c>
      <c r="C44" t="str" cm="1">
        <f t="array" ref="C44">GetValue("Sys",B44,"Name")</f>
        <v>crudex</v>
      </c>
      <c r="D44">
        <v>2</v>
      </c>
      <c r="E44" t="str" cm="1">
        <f t="array" ref="E44">GetValue("Usr",D44,"Name")</f>
        <v>labrego</v>
      </c>
      <c r="F44">
        <v>16</v>
      </c>
      <c r="G44" t="str" cm="1">
        <f t="array" ref="G44">GetValue("Tbl",F44,"Name")</f>
        <v>Columns</v>
      </c>
      <c r="H44" t="b">
        <v>1</v>
      </c>
      <c r="I44" t="b">
        <v>1</v>
      </c>
      <c r="J44" t="b">
        <v>1</v>
      </c>
      <c r="K44" t="b">
        <v>1</v>
      </c>
    </row>
    <row r="45" spans="1:11">
      <c r="A45">
        <f t="shared" si="0"/>
        <v>44</v>
      </c>
      <c r="B45">
        <v>1</v>
      </c>
      <c r="C45" t="str" cm="1">
        <f t="array" ref="C45">GetValue("Sys",B45,"Name")</f>
        <v>crudex</v>
      </c>
      <c r="D45">
        <v>2</v>
      </c>
      <c r="E45" t="str" cm="1">
        <f t="array" ref="E45">GetValue("Usr",D45,"Name")</f>
        <v>labrego</v>
      </c>
      <c r="F45">
        <v>17</v>
      </c>
      <c r="G45" t="str" cm="1">
        <f t="array" ref="G45">GetValue("Tbl",F45,"Name")</f>
        <v>Indexes</v>
      </c>
      <c r="H45" t="b">
        <v>1</v>
      </c>
      <c r="I45" t="b">
        <v>1</v>
      </c>
      <c r="J45" t="b">
        <v>1</v>
      </c>
      <c r="K45" t="b">
        <v>1</v>
      </c>
    </row>
    <row r="46" spans="1:11">
      <c r="A46">
        <f t="shared" si="0"/>
        <v>45</v>
      </c>
      <c r="B46">
        <v>1</v>
      </c>
      <c r="C46" t="str" cm="1">
        <f t="array" ref="C46">GetValue("Sys",B46,"Name")</f>
        <v>crudex</v>
      </c>
      <c r="D46">
        <v>2</v>
      </c>
      <c r="E46" t="str" cm="1">
        <f t="array" ref="E46">GetValue("Usr",D46,"Name")</f>
        <v>labrego</v>
      </c>
      <c r="F46">
        <v>18</v>
      </c>
      <c r="G46" t="str" cm="1">
        <f t="array" ref="G46">GetValue("Tbl",F46,"Name")</f>
        <v>Indexkeys</v>
      </c>
      <c r="H46" t="b">
        <v>1</v>
      </c>
      <c r="I46" t="b">
        <v>1</v>
      </c>
      <c r="J46" t="b">
        <v>1</v>
      </c>
      <c r="K46" t="b">
        <v>1</v>
      </c>
    </row>
    <row r="47" spans="1:11">
      <c r="A47">
        <f t="shared" si="0"/>
        <v>46</v>
      </c>
      <c r="B47">
        <v>1</v>
      </c>
      <c r="C47" t="str" cm="1">
        <f t="array" ref="C47">GetValue("Sys",B47,"Name")</f>
        <v>crudex</v>
      </c>
      <c r="D47">
        <v>2</v>
      </c>
      <c r="E47" t="str" cm="1">
        <f t="array" ref="E47">GetValue("Usr",D47,"Name")</f>
        <v>labrego</v>
      </c>
      <c r="F47">
        <v>19</v>
      </c>
      <c r="G47" t="str" cm="1">
        <f t="array" ref="G47">GetValue("Tbl",F47,"Name")</f>
        <v>Includes</v>
      </c>
      <c r="H47" t="b">
        <v>1</v>
      </c>
      <c r="I47" t="b">
        <v>1</v>
      </c>
      <c r="J47" t="b">
        <v>1</v>
      </c>
      <c r="K47" t="b">
        <v>1</v>
      </c>
    </row>
    <row r="48" spans="1:11">
      <c r="A48">
        <f t="shared" si="0"/>
        <v>47</v>
      </c>
      <c r="B48">
        <v>1</v>
      </c>
      <c r="C48" t="str" cm="1">
        <f t="array" ref="C48">GetValue("Sys",B48,"Name")</f>
        <v>crudex</v>
      </c>
      <c r="D48">
        <v>2</v>
      </c>
      <c r="E48" t="str" cm="1">
        <f t="array" ref="E48">GetValue("Usr",D48,"Name")</f>
        <v>labrego</v>
      </c>
      <c r="F48">
        <v>20</v>
      </c>
      <c r="G48" t="str" cm="1">
        <f t="array" ref="G48">GetValue("Tbl",F48,"Name")</f>
        <v>Unicities</v>
      </c>
      <c r="H48" t="b">
        <v>1</v>
      </c>
      <c r="I48" t="b">
        <v>1</v>
      </c>
      <c r="J48" t="b">
        <v>1</v>
      </c>
      <c r="K48" t="b">
        <v>1</v>
      </c>
    </row>
    <row r="49" spans="1:11">
      <c r="A49">
        <f t="shared" si="0"/>
        <v>48</v>
      </c>
      <c r="B49">
        <v>1</v>
      </c>
      <c r="C49" t="str" cm="1">
        <f t="array" ref="C49">GetValue("Sys",B49,"Name")</f>
        <v>crudex</v>
      </c>
      <c r="D49">
        <v>2</v>
      </c>
      <c r="E49" t="str" cm="1">
        <f t="array" ref="E49">GetValue("Usr",D49,"Name")</f>
        <v>labrego</v>
      </c>
      <c r="F49">
        <v>21</v>
      </c>
      <c r="G49" t="str" cm="1">
        <f t="array" ref="G49">GetValue("Tbl",F49,"Name")</f>
        <v>Expressions</v>
      </c>
      <c r="H49" t="b">
        <v>1</v>
      </c>
      <c r="I49" t="b">
        <v>1</v>
      </c>
      <c r="J49" t="b">
        <v>1</v>
      </c>
      <c r="K49" t="b">
        <v>1</v>
      </c>
    </row>
    <row r="50" spans="1:11">
      <c r="A50">
        <f t="shared" si="0"/>
        <v>49</v>
      </c>
      <c r="B50">
        <v>1</v>
      </c>
      <c r="C50" t="str" cm="1">
        <f t="array" ref="C50">GetValue("Sys",B50,"Name")</f>
        <v>crudex</v>
      </c>
      <c r="D50">
        <v>2</v>
      </c>
      <c r="E50" t="str" cm="1">
        <f t="array" ref="E50">GetValue("Usr",D50,"Name")</f>
        <v>labrego</v>
      </c>
      <c r="F50">
        <v>22</v>
      </c>
      <c r="G50" t="str" cm="1">
        <f t="array" ref="G50">GetValue("Tbl",F50,"Name")</f>
        <v>Conditions</v>
      </c>
      <c r="H50" t="b">
        <v>1</v>
      </c>
      <c r="I50" t="b">
        <v>1</v>
      </c>
      <c r="J50" t="b">
        <v>1</v>
      </c>
      <c r="K50" t="b">
        <v>1</v>
      </c>
    </row>
    <row r="51" spans="1:11">
      <c r="A51">
        <f t="shared" si="0"/>
        <v>50</v>
      </c>
      <c r="B51">
        <v>1</v>
      </c>
      <c r="C51" t="str" cm="1">
        <f t="array" ref="C51">GetValue("Sys",B51,"Name")</f>
        <v>crudex</v>
      </c>
      <c r="D51">
        <v>2</v>
      </c>
      <c r="E51" t="str" cm="1">
        <f t="array" ref="E51">GetValue("Usr",D51,"Name")</f>
        <v>labrego</v>
      </c>
      <c r="F51">
        <v>23</v>
      </c>
      <c r="G51" t="str" cm="1">
        <f t="array" ref="G51">GetValue("Tbl",F51,"Name")</f>
        <v>References</v>
      </c>
      <c r="H51" t="b">
        <v>1</v>
      </c>
      <c r="I51" t="b">
        <v>1</v>
      </c>
      <c r="J51" t="b">
        <v>1</v>
      </c>
      <c r="K51" t="b">
        <v>1</v>
      </c>
    </row>
    <row r="52" spans="1:11">
      <c r="A52">
        <f t="shared" si="0"/>
        <v>51</v>
      </c>
      <c r="B52">
        <v>1</v>
      </c>
      <c r="C52" t="str" cm="1">
        <f t="array" ref="C52">GetValue("Sys",B52,"Name")</f>
        <v>crudex</v>
      </c>
      <c r="D52">
        <v>2</v>
      </c>
      <c r="E52" t="str" cm="1">
        <f t="array" ref="E52">GetValue("Usr",D52,"Name")</f>
        <v>labrego</v>
      </c>
      <c r="F52">
        <v>24</v>
      </c>
      <c r="G52" t="str" cm="1">
        <f t="array" ref="G52">GetValue("Tbl",F52,"Name")</f>
        <v>Users</v>
      </c>
      <c r="H52" t="b">
        <v>1</v>
      </c>
      <c r="I52" t="b">
        <v>1</v>
      </c>
      <c r="J52" t="b">
        <v>1</v>
      </c>
      <c r="K52" t="b">
        <v>1</v>
      </c>
    </row>
    <row r="53" spans="1:11">
      <c r="A53">
        <f t="shared" si="0"/>
        <v>52</v>
      </c>
      <c r="B53">
        <v>1</v>
      </c>
      <c r="C53" t="str" cm="1">
        <f t="array" ref="C53">GetValue("Sys",B53,"Name")</f>
        <v>crudex</v>
      </c>
      <c r="D53">
        <v>2</v>
      </c>
      <c r="E53" t="str" cm="1">
        <f t="array" ref="E53">GetValue("Usr",D53,"Name")</f>
        <v>labrego</v>
      </c>
      <c r="F53">
        <v>25</v>
      </c>
      <c r="G53" t="str" cm="1">
        <f t="array" ref="G53">GetValue("Tbl",F53,"Name")</f>
        <v>Permissions</v>
      </c>
      <c r="H53" t="b">
        <v>1</v>
      </c>
      <c r="I53" t="b">
        <v>1</v>
      </c>
      <c r="J53" t="b">
        <v>1</v>
      </c>
      <c r="K53" t="b">
        <v>1</v>
      </c>
    </row>
    <row r="54" spans="1:11">
      <c r="A54">
        <f t="shared" si="0"/>
        <v>53</v>
      </c>
      <c r="B54">
        <v>1</v>
      </c>
      <c r="C54" t="str" cm="1">
        <f t="array" ref="C54">GetValue("Sys",B54,"Name")</f>
        <v>crudex</v>
      </c>
      <c r="D54">
        <v>2</v>
      </c>
      <c r="E54" t="str" cm="1">
        <f t="array" ref="E54">GetValue("Usr",D54,"Name")</f>
        <v>labrego</v>
      </c>
      <c r="F54">
        <v>26</v>
      </c>
      <c r="G54" t="str" cm="1">
        <f t="array" ref="G54">GetValue("Tbl",F54,"Name")</f>
        <v>Properties</v>
      </c>
      <c r="H54" t="b">
        <v>1</v>
      </c>
      <c r="I54" t="b">
        <v>1</v>
      </c>
      <c r="J54" t="b">
        <v>1</v>
      </c>
      <c r="K54" t="b">
        <v>1</v>
      </c>
    </row>
    <row r="55" spans="1:11">
      <c r="A55">
        <f t="shared" si="0"/>
        <v>54</v>
      </c>
      <c r="B55">
        <v>1</v>
      </c>
      <c r="C55" t="str" cm="1">
        <f t="array" ref="C55">GetValue("Sys",B55,"Name")</f>
        <v>crudex</v>
      </c>
      <c r="D55">
        <v>2</v>
      </c>
      <c r="E55" t="str" cm="1">
        <f t="array" ref="E55">GetValue("Usr",D55,"Name")</f>
        <v>labrego</v>
      </c>
      <c r="F55">
        <v>27</v>
      </c>
      <c r="G55" t="str" cm="1">
        <f t="array" ref="G55">GetValue("Tbl",F55,"Name")</f>
        <v>Behaviors</v>
      </c>
      <c r="H55" t="b">
        <v>1</v>
      </c>
      <c r="I55" t="b">
        <v>1</v>
      </c>
      <c r="J55" t="b">
        <v>1</v>
      </c>
      <c r="K55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131E-02CC-496F-BE32-6C8095FB522B}">
  <sheetPr codeName="Planilha22"/>
  <dimension ref="A1:F20"/>
  <sheetViews>
    <sheetView workbookViewId="0">
      <pane ySplit="1" topLeftCell="A2" activePane="bottomLeft" state="frozen"/>
      <selection pane="bottomLeft" activeCell="G19" sqref="G19"/>
    </sheetView>
  </sheetViews>
  <sheetFormatPr defaultColWidth="93.44140625" defaultRowHeight="14.4"/>
  <cols>
    <col min="1" max="1" width="3" bestFit="1" customWidth="1"/>
    <col min="2" max="2" width="11.5546875" bestFit="1" customWidth="1"/>
    <col min="3" max="3" width="10.5546875" bestFit="1" customWidth="1"/>
    <col min="4" max="4" width="15.33203125" bestFit="1" customWidth="1"/>
    <col min="5" max="5" width="47.33203125" bestFit="1" customWidth="1"/>
    <col min="6" max="6" width="12.44140625" bestFit="1" customWidth="1"/>
  </cols>
  <sheetData>
    <row r="1" spans="1:6" s="1" customFormat="1">
      <c r="A1" s="8" t="s">
        <v>0</v>
      </c>
      <c r="B1" s="8" t="s">
        <v>1</v>
      </c>
      <c r="C1" s="8" t="s">
        <v>16</v>
      </c>
      <c r="D1" s="8" t="s">
        <v>146</v>
      </c>
      <c r="E1" s="8" t="s">
        <v>66</v>
      </c>
      <c r="F1" s="1" t="s">
        <v>24</v>
      </c>
    </row>
    <row r="2" spans="1:6">
      <c r="A2" s="10">
        <f>ROW(A2)-1</f>
        <v>1</v>
      </c>
      <c r="B2" s="10" t="s">
        <v>388</v>
      </c>
      <c r="C2" s="10"/>
      <c r="D2" s="10" t="str" cm="1">
        <f t="array" ref="D2">GetValue("Cat",C2,"Name")</f>
        <v/>
      </c>
      <c r="E2" s="10" t="s">
        <v>417</v>
      </c>
      <c r="F2" t="b">
        <v>1</v>
      </c>
    </row>
    <row r="3" spans="1:6">
      <c r="A3" s="10">
        <f t="shared" ref="A3:A20" si="0">ROW(A3)-1</f>
        <v>2</v>
      </c>
      <c r="B3" s="10" t="s">
        <v>389</v>
      </c>
      <c r="C3" s="10"/>
      <c r="D3" s="10" t="str" cm="1">
        <f t="array" ref="D3">GetValue("Cat",C3,"Name")</f>
        <v/>
      </c>
      <c r="E3" s="10" t="s">
        <v>418</v>
      </c>
      <c r="F3" t="b">
        <v>1</v>
      </c>
    </row>
    <row r="4" spans="1:6">
      <c r="A4" s="10">
        <f t="shared" si="0"/>
        <v>3</v>
      </c>
      <c r="B4" s="10" t="s">
        <v>390</v>
      </c>
      <c r="C4" s="10"/>
      <c r="D4" s="10" t="str" cm="1">
        <f t="array" ref="D4">GetValue("Cat",C4,"Name")</f>
        <v/>
      </c>
      <c r="E4" s="10" t="s">
        <v>419</v>
      </c>
      <c r="F4" t="b">
        <v>1</v>
      </c>
    </row>
    <row r="5" spans="1:6">
      <c r="A5" s="10">
        <f t="shared" si="0"/>
        <v>4</v>
      </c>
      <c r="B5" s="10" t="s">
        <v>391</v>
      </c>
      <c r="C5" s="10"/>
      <c r="D5" s="10" t="str" cm="1">
        <f t="array" ref="D5">GetValue("Cat",C5,"Name")</f>
        <v/>
      </c>
      <c r="E5" s="10" t="s">
        <v>420</v>
      </c>
      <c r="F5" t="b">
        <v>1</v>
      </c>
    </row>
    <row r="6" spans="1:6">
      <c r="A6" s="10">
        <f t="shared" si="0"/>
        <v>5</v>
      </c>
      <c r="B6" s="10" t="s">
        <v>392</v>
      </c>
      <c r="C6" s="10"/>
      <c r="D6" s="10" t="str" cm="1">
        <f t="array" ref="D6">GetValue("Cat",C6,"Name")</f>
        <v/>
      </c>
      <c r="E6" s="10" t="s">
        <v>421</v>
      </c>
      <c r="F6" t="b">
        <v>1</v>
      </c>
    </row>
    <row r="7" spans="1:6">
      <c r="A7" s="10">
        <f t="shared" si="0"/>
        <v>6</v>
      </c>
      <c r="B7" s="10" t="s">
        <v>393</v>
      </c>
      <c r="C7" s="10"/>
      <c r="D7" s="10" t="str" cm="1">
        <f t="array" ref="D7">GetValue("Cat",C7,"Name")</f>
        <v/>
      </c>
      <c r="E7" s="10" t="s">
        <v>422</v>
      </c>
      <c r="F7" t="b">
        <v>1</v>
      </c>
    </row>
    <row r="8" spans="1:6">
      <c r="A8" s="10">
        <f t="shared" si="0"/>
        <v>7</v>
      </c>
      <c r="B8" s="10" t="s">
        <v>394</v>
      </c>
      <c r="C8" s="10">
        <v>10</v>
      </c>
      <c r="D8" s="10" t="str" cm="1">
        <f t="array" ref="D8">GetValue("Cat",C8,"Name")</f>
        <v>undefined</v>
      </c>
      <c r="E8" s="10" t="s">
        <v>423</v>
      </c>
      <c r="F8" t="b">
        <v>1</v>
      </c>
    </row>
    <row r="9" spans="1:6">
      <c r="A9" s="10">
        <f t="shared" si="0"/>
        <v>8</v>
      </c>
      <c r="B9" s="10" t="s">
        <v>395</v>
      </c>
      <c r="C9" s="10">
        <v>1</v>
      </c>
      <c r="D9" s="10" t="str" cm="1">
        <f t="array" ref="D9">GetValue("Cat",C9,"Name")</f>
        <v>string</v>
      </c>
      <c r="E9" s="10" t="s">
        <v>396</v>
      </c>
      <c r="F9" t="b">
        <v>1</v>
      </c>
    </row>
    <row r="10" spans="1:6">
      <c r="A10" s="10">
        <f t="shared" si="0"/>
        <v>9</v>
      </c>
      <c r="B10" s="10" t="s">
        <v>397</v>
      </c>
      <c r="C10" s="10">
        <v>1</v>
      </c>
      <c r="D10" s="10" t="str" cm="1">
        <f t="array" ref="D10">GetValue("Cat",C10,"Name")</f>
        <v>string</v>
      </c>
      <c r="E10" s="10" t="s">
        <v>398</v>
      </c>
      <c r="F10" t="b">
        <v>1</v>
      </c>
    </row>
    <row r="11" spans="1:6">
      <c r="A11" s="10">
        <f t="shared" si="0"/>
        <v>10</v>
      </c>
      <c r="B11" s="10" t="s">
        <v>399</v>
      </c>
      <c r="C11" s="10">
        <v>1</v>
      </c>
      <c r="D11" s="10" t="str" cm="1">
        <f t="array" ref="D11">GetValue("Cat",C11,"Name")</f>
        <v>string</v>
      </c>
      <c r="E11" s="10" t="s">
        <v>400</v>
      </c>
      <c r="F11" t="b">
        <v>1</v>
      </c>
    </row>
    <row r="12" spans="1:6">
      <c r="A12" s="10">
        <f t="shared" si="0"/>
        <v>11</v>
      </c>
      <c r="B12" s="10" t="s">
        <v>401</v>
      </c>
      <c r="C12" s="10">
        <v>1</v>
      </c>
      <c r="D12" s="10" t="str" cm="1">
        <f t="array" ref="D12">GetValue("Cat",C12,"Name")</f>
        <v>string</v>
      </c>
      <c r="E12" s="10" t="s">
        <v>402</v>
      </c>
      <c r="F12" t="b">
        <v>1</v>
      </c>
    </row>
    <row r="13" spans="1:6">
      <c r="A13" s="10">
        <f t="shared" si="0"/>
        <v>12</v>
      </c>
      <c r="B13" s="10" t="s">
        <v>403</v>
      </c>
      <c r="C13" s="10">
        <v>10</v>
      </c>
      <c r="D13" s="10" t="str" cm="1">
        <f t="array" ref="D13">GetValue("Cat",C13,"Name")</f>
        <v>undefined</v>
      </c>
      <c r="E13" s="10" t="s">
        <v>424</v>
      </c>
      <c r="F13" t="b">
        <v>1</v>
      </c>
    </row>
    <row r="14" spans="1:6">
      <c r="A14" s="10">
        <f t="shared" si="0"/>
        <v>13</v>
      </c>
      <c r="B14" s="10" t="s">
        <v>404</v>
      </c>
      <c r="C14" s="10">
        <v>10</v>
      </c>
      <c r="D14" s="10" t="str" cm="1">
        <f t="array" ref="D14">GetValue("Cat",C14,"Name")</f>
        <v>undefined</v>
      </c>
      <c r="E14" s="10" t="s">
        <v>425</v>
      </c>
      <c r="F14" t="b">
        <v>1</v>
      </c>
    </row>
    <row r="15" spans="1:6">
      <c r="A15" s="10">
        <f t="shared" si="0"/>
        <v>14</v>
      </c>
      <c r="B15" s="10" t="s">
        <v>405</v>
      </c>
      <c r="C15" s="10">
        <v>2</v>
      </c>
      <c r="D15" s="10" t="str" cm="1">
        <f t="array" ref="D15">GetValue("Cat",C15,"Name")</f>
        <v>number</v>
      </c>
      <c r="E15" s="10" t="s">
        <v>406</v>
      </c>
      <c r="F15" t="b">
        <v>1</v>
      </c>
    </row>
    <row r="16" spans="1:6">
      <c r="A16" s="10">
        <f t="shared" si="0"/>
        <v>15</v>
      </c>
      <c r="B16" s="10" t="s">
        <v>407</v>
      </c>
      <c r="C16" s="10">
        <v>2</v>
      </c>
      <c r="D16" s="10" t="str" cm="1">
        <f t="array" ref="D16">GetValue("Cat",C16,"Name")</f>
        <v>number</v>
      </c>
      <c r="E16" s="10" t="s">
        <v>408</v>
      </c>
      <c r="F16" t="b">
        <v>1</v>
      </c>
    </row>
    <row r="17" spans="1:6">
      <c r="A17" s="10">
        <f t="shared" si="0"/>
        <v>16</v>
      </c>
      <c r="B17" s="10" t="s">
        <v>409</v>
      </c>
      <c r="C17" s="10">
        <v>2</v>
      </c>
      <c r="D17" s="10" t="str" cm="1">
        <f t="array" ref="D17">GetValue("Cat",C17,"Name")</f>
        <v>number</v>
      </c>
      <c r="E17" s="10" t="s">
        <v>410</v>
      </c>
      <c r="F17" t="b">
        <v>1</v>
      </c>
    </row>
    <row r="18" spans="1:6">
      <c r="A18" s="10">
        <f t="shared" si="0"/>
        <v>17</v>
      </c>
      <c r="B18" s="10" t="s">
        <v>411</v>
      </c>
      <c r="C18" s="10">
        <v>1</v>
      </c>
      <c r="D18" s="10" t="str" cm="1">
        <f t="array" ref="D18">GetValue("Cat",C18,"Name")</f>
        <v>string</v>
      </c>
      <c r="E18" s="10" t="s">
        <v>412</v>
      </c>
      <c r="F18" t="b">
        <v>1</v>
      </c>
    </row>
    <row r="19" spans="1:6">
      <c r="A19" s="10">
        <f t="shared" si="0"/>
        <v>18</v>
      </c>
      <c r="B19" s="10" t="s">
        <v>413</v>
      </c>
      <c r="C19" s="10">
        <v>1</v>
      </c>
      <c r="D19" s="10" t="str" cm="1">
        <f t="array" ref="D19">GetValue("Cat",C19,"Name")</f>
        <v>string</v>
      </c>
      <c r="E19" s="10" t="s">
        <v>414</v>
      </c>
      <c r="F19" t="b">
        <v>1</v>
      </c>
    </row>
    <row r="20" spans="1:6">
      <c r="A20" s="10">
        <f t="shared" si="0"/>
        <v>19</v>
      </c>
      <c r="B20" s="10" t="s">
        <v>415</v>
      </c>
      <c r="C20" s="10">
        <v>1</v>
      </c>
      <c r="D20" s="10" t="str" cm="1">
        <f t="array" ref="D20">GetValue("Cat",C20,"Name")</f>
        <v>string</v>
      </c>
      <c r="E20" s="10" t="s">
        <v>416</v>
      </c>
      <c r="F20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EC94-D0AE-4B47-8BDC-EF663937B58B}">
  <sheetPr codeName="Planilha25"/>
  <dimension ref="A1:I21"/>
  <sheetViews>
    <sheetView workbookViewId="0">
      <pane ySplit="1" topLeftCell="A2" activePane="bottomLeft" state="frozen"/>
      <selection pane="bottomLeft" activeCell="E3" sqref="E3"/>
    </sheetView>
  </sheetViews>
  <sheetFormatPr defaultColWidth="9" defaultRowHeight="14.4"/>
  <cols>
    <col min="1" max="1" width="2.6640625" bestFit="1" customWidth="1"/>
    <col min="2" max="2" width="9.21875" bestFit="1" customWidth="1"/>
    <col min="3" max="3" width="10.44140625" bestFit="1" customWidth="1"/>
    <col min="4" max="4" width="13.6640625" bestFit="1" customWidth="1"/>
    <col min="5" max="5" width="11.5546875" bestFit="1" customWidth="1"/>
    <col min="6" max="6" width="16" bestFit="1" customWidth="1"/>
    <col min="7" max="7" width="10" bestFit="1" customWidth="1"/>
    <col min="8" max="8" width="14.44140625" bestFit="1" customWidth="1"/>
    <col min="9" max="9" width="7.6640625" bestFit="1" customWidth="1"/>
  </cols>
  <sheetData>
    <row r="1" spans="1:9" s="1" customFormat="1">
      <c r="A1" s="8" t="s">
        <v>0</v>
      </c>
      <c r="B1" s="8" t="s">
        <v>122</v>
      </c>
      <c r="C1" s="8" t="s">
        <v>492</v>
      </c>
      <c r="D1" s="1" t="s">
        <v>155</v>
      </c>
      <c r="E1" s="1" t="s">
        <v>478</v>
      </c>
      <c r="F1" s="1" t="s">
        <v>491</v>
      </c>
      <c r="G1" s="1" t="s">
        <v>479</v>
      </c>
      <c r="H1" s="1" t="s">
        <v>428</v>
      </c>
      <c r="I1" s="1" t="s">
        <v>319</v>
      </c>
    </row>
    <row r="2" spans="1:9">
      <c r="A2" s="10">
        <f>ROW(A2)-1</f>
        <v>1</v>
      </c>
      <c r="B2" s="10">
        <v>1</v>
      </c>
      <c r="C2" t="str" cm="1">
        <f t="array" ref="C2">GetValue("Col",B2,"#TableAlias")</f>
        <v>Cat</v>
      </c>
      <c r="D2" t="str" cm="1">
        <f t="array" ref="D2">GetValue("Col",B2,"Name")</f>
        <v>Id</v>
      </c>
      <c r="E2">
        <v>1</v>
      </c>
      <c r="F2" t="str" cm="1">
        <f t="array" ref="F2">GetValue("Exp",E2,"Name")</f>
        <v>Expression 0001</v>
      </c>
      <c r="G2">
        <v>2</v>
      </c>
      <c r="H2" s="14" t="str" cm="1">
        <f t="array" ref="H2">GetValue("Prp",G2,"Name")</f>
        <v>enabled</v>
      </c>
      <c r="I2" t="s">
        <v>388</v>
      </c>
    </row>
    <row r="3" spans="1:9">
      <c r="A3" s="10"/>
      <c r="B3" s="10"/>
      <c r="C3" s="10"/>
    </row>
    <row r="4" spans="1:9">
      <c r="A4" s="10"/>
      <c r="B4" s="10"/>
      <c r="C4" s="10"/>
    </row>
    <row r="5" spans="1:9">
      <c r="A5" s="10"/>
      <c r="B5" s="10"/>
      <c r="C5" s="10"/>
    </row>
    <row r="6" spans="1:9">
      <c r="A6" s="10"/>
      <c r="B6" s="10"/>
      <c r="C6" s="10"/>
    </row>
    <row r="7" spans="1:9">
      <c r="A7" s="10"/>
      <c r="B7" s="10"/>
      <c r="C7" s="10"/>
    </row>
    <row r="8" spans="1:9">
      <c r="A8" s="10"/>
      <c r="B8" s="10"/>
      <c r="C8" s="10"/>
    </row>
    <row r="9" spans="1:9">
      <c r="A9" s="10"/>
      <c r="B9" s="10"/>
      <c r="C9" s="10"/>
    </row>
    <row r="10" spans="1:9">
      <c r="A10" s="10"/>
      <c r="B10" s="10"/>
      <c r="C10" s="10"/>
    </row>
    <row r="11" spans="1:9">
      <c r="A11" s="10"/>
      <c r="B11" s="10"/>
      <c r="C11" s="10"/>
    </row>
    <row r="12" spans="1:9">
      <c r="A12" s="10"/>
      <c r="B12" s="10"/>
      <c r="C12" s="10"/>
    </row>
    <row r="13" spans="1:9">
      <c r="A13" s="10"/>
      <c r="B13" s="10"/>
      <c r="C13" s="10"/>
    </row>
    <row r="14" spans="1:9">
      <c r="A14" s="10"/>
      <c r="B14" s="10"/>
      <c r="C14" s="10"/>
    </row>
    <row r="15" spans="1:9">
      <c r="A15" s="10"/>
      <c r="B15" s="10"/>
      <c r="C15" s="10"/>
    </row>
    <row r="16" spans="1:9">
      <c r="A16" s="10"/>
      <c r="B16" s="10"/>
      <c r="C16" s="10"/>
    </row>
    <row r="17" spans="1:3">
      <c r="A17" s="10"/>
      <c r="B17" s="10"/>
      <c r="C17" s="10"/>
    </row>
    <row r="18" spans="1:3">
      <c r="A18" s="10"/>
      <c r="B18" s="10"/>
      <c r="C18" s="10"/>
    </row>
    <row r="19" spans="1:3">
      <c r="A19" s="10"/>
      <c r="B19" s="10"/>
      <c r="C19" s="10"/>
    </row>
    <row r="20" spans="1:3">
      <c r="A20" s="10"/>
      <c r="B20" s="10"/>
      <c r="C20" s="10"/>
    </row>
    <row r="21" spans="1:3">
      <c r="A21" s="10"/>
      <c r="B21" s="10"/>
      <c r="C21" s="10"/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4AB1-B825-4C20-AE7F-F61D49999CBF}">
  <sheetPr codeName="Planilha26"/>
  <dimension ref="A1:M2"/>
  <sheetViews>
    <sheetView workbookViewId="0">
      <pane ySplit="1" topLeftCell="A2" activePane="bottomLeft" state="frozen"/>
      <selection pane="bottomLeft" activeCell="B3" sqref="B3"/>
    </sheetView>
  </sheetViews>
  <sheetFormatPr defaultColWidth="8.21875" defaultRowHeight="14.4"/>
  <cols>
    <col min="1" max="1" width="2.6640625" bestFit="1" customWidth="1"/>
    <col min="2" max="2" width="7.44140625" bestFit="1" customWidth="1"/>
    <col min="3" max="3" width="11.77734375" bestFit="1" customWidth="1"/>
    <col min="4" max="4" width="6.77734375" bestFit="1" customWidth="1"/>
    <col min="5" max="5" width="7.44140625" bestFit="1" customWidth="1"/>
    <col min="6" max="6" width="9.88671875" bestFit="1" customWidth="1"/>
    <col min="7" max="7" width="10.33203125" bestFit="1" customWidth="1"/>
    <col min="8" max="8" width="12" bestFit="1" customWidth="1"/>
    <col min="9" max="9" width="12.109375" bestFit="1" customWidth="1"/>
    <col min="10" max="10" width="14.44140625" bestFit="1" customWidth="1"/>
    <col min="11" max="11" width="13.5546875" bestFit="1" customWidth="1"/>
    <col min="12" max="12" width="10" bestFit="1" customWidth="1"/>
    <col min="13" max="13" width="11.77734375" bestFit="1" customWidth="1"/>
  </cols>
  <sheetData>
    <row r="1" spans="1:13" s="1" customFormat="1">
      <c r="A1" s="1" t="s">
        <v>0</v>
      </c>
      <c r="B1" s="1" t="s">
        <v>433</v>
      </c>
      <c r="C1" s="1" t="s">
        <v>342</v>
      </c>
      <c r="D1" s="1" t="s">
        <v>1</v>
      </c>
      <c r="E1" s="1" t="s">
        <v>495</v>
      </c>
      <c r="F1" s="1" t="s">
        <v>432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24</v>
      </c>
    </row>
    <row r="2" spans="1:13">
      <c r="A2" s="10">
        <f>ROW(A2)-1</f>
        <v>1</v>
      </c>
      <c r="B2">
        <v>1</v>
      </c>
      <c r="C2" t="str" cm="1">
        <f t="array" ref="C2">GetValue("Cli",B2,"Name")</f>
        <v>SoftLab</v>
      </c>
      <c r="D2" t="s">
        <v>692</v>
      </c>
      <c r="E2">
        <v>1</v>
      </c>
      <c r="F2" t="s">
        <v>693</v>
      </c>
      <c r="G2" s="27">
        <v>0.33333333333333331</v>
      </c>
      <c r="M2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49E0-20DA-4D93-8F65-5EDB62AAC15F}">
  <sheetPr codeName="Planilha27"/>
  <dimension ref="A1:F2"/>
  <sheetViews>
    <sheetView workbookViewId="0">
      <pane ySplit="1" topLeftCell="A2" activePane="bottomLeft" state="frozen"/>
      <selection pane="bottomLeft" activeCell="H8" sqref="H8"/>
    </sheetView>
  </sheetViews>
  <sheetFormatPr defaultColWidth="9" defaultRowHeight="14.4"/>
  <cols>
    <col min="1" max="1" width="2.6640625" bestFit="1" customWidth="1"/>
    <col min="2" max="2" width="7.5546875" bestFit="1" customWidth="1"/>
    <col min="3" max="3" width="12.109375" bestFit="1" customWidth="1"/>
    <col min="4" max="4" width="8.33203125" bestFit="1" customWidth="1"/>
    <col min="5" max="5" width="12.44140625" bestFit="1" customWidth="1"/>
    <col min="6" max="6" width="8" bestFit="1" customWidth="1"/>
  </cols>
  <sheetData>
    <row r="1" spans="1:6" s="1" customFormat="1">
      <c r="A1" s="1" t="s">
        <v>0</v>
      </c>
      <c r="B1" s="1" t="s">
        <v>95</v>
      </c>
      <c r="C1" s="1" t="s">
        <v>152</v>
      </c>
      <c r="D1" s="1" t="s">
        <v>1</v>
      </c>
      <c r="E1" s="1" t="s">
        <v>503</v>
      </c>
      <c r="F1" s="1" t="s">
        <v>24</v>
      </c>
    </row>
    <row r="2" spans="1:6">
      <c r="A2" s="10">
        <f>ROW(A2)-1</f>
        <v>1</v>
      </c>
      <c r="B2">
        <v>1</v>
      </c>
      <c r="C2" t="str" cm="1">
        <f t="array" ref="C2">GetValue("Tbl",B2,"Name")</f>
        <v>Categories</v>
      </c>
      <c r="D2" t="s">
        <v>694</v>
      </c>
      <c r="E2" t="b">
        <v>1</v>
      </c>
      <c r="F2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8F46-E567-4B6C-A6C4-C5562FEB5363}">
  <sheetPr codeName="Planilha28"/>
  <dimension ref="A1:G2"/>
  <sheetViews>
    <sheetView workbookViewId="0">
      <pane ySplit="1" topLeftCell="A2" activePane="bottomLeft" state="frozen"/>
      <selection pane="bottomLeft" activeCell="G1" sqref="G1"/>
    </sheetView>
  </sheetViews>
  <sheetFormatPr defaultRowHeight="14.4"/>
  <cols>
    <col min="1" max="1" width="2.6640625" bestFit="1" customWidth="1"/>
    <col min="2" max="2" width="8" bestFit="1" customWidth="1"/>
    <col min="3" max="3" width="11.88671875" bestFit="1" customWidth="1"/>
    <col min="4" max="4" width="10.88671875" bestFit="1" customWidth="1"/>
    <col min="5" max="5" width="15.5546875" bestFit="1" customWidth="1"/>
    <col min="6" max="6" width="9.6640625" bestFit="1" customWidth="1"/>
    <col min="7" max="7" width="20.5546875" bestFit="1" customWidth="1"/>
  </cols>
  <sheetData>
    <row r="1" spans="1:7" s="1" customFormat="1">
      <c r="A1" s="1" t="s">
        <v>0</v>
      </c>
      <c r="B1" s="1" t="s">
        <v>930</v>
      </c>
      <c r="C1" s="1" t="s">
        <v>927</v>
      </c>
      <c r="D1" s="1" t="s">
        <v>84</v>
      </c>
      <c r="E1" s="1" t="s">
        <v>151</v>
      </c>
      <c r="F1" s="1" t="s">
        <v>69</v>
      </c>
      <c r="G1" s="1" t="s">
        <v>502</v>
      </c>
    </row>
    <row r="2" spans="1:7">
      <c r="A2" s="10">
        <f>ROW(A2)-1</f>
        <v>1</v>
      </c>
      <c r="B2" s="10">
        <v>1</v>
      </c>
      <c r="C2" s="10" t="str" cm="1">
        <f t="array" ref="C2">GetValue("Snp",B2,"Name")</f>
        <v>Snp0001</v>
      </c>
      <c r="D2">
        <v>1</v>
      </c>
      <c r="E2" t="str" cm="1">
        <f t="array" ref="E2">GetValue("Db",D2,"Name")</f>
        <v>crudex</v>
      </c>
      <c r="F2">
        <v>5</v>
      </c>
      <c r="G2" t="s">
        <v>695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57AC-D4CA-4211-A6F4-23DE83980A37}">
  <sheetPr codeName="Planilha29"/>
  <dimension ref="A1:F2"/>
  <sheetViews>
    <sheetView workbookViewId="0">
      <selection activeCell="B7" sqref="B7"/>
    </sheetView>
  </sheetViews>
  <sheetFormatPr defaultRowHeight="14.4"/>
  <cols>
    <col min="1" max="1" width="2.6640625" bestFit="1" customWidth="1"/>
    <col min="2" max="2" width="8" bestFit="1" customWidth="1"/>
    <col min="3" max="3" width="11.88671875" bestFit="1" customWidth="1"/>
    <col min="4" max="4" width="9.6640625" bestFit="1" customWidth="1"/>
    <col min="5" max="5" width="8.109375" bestFit="1" customWidth="1"/>
    <col min="6" max="6" width="14.6640625" bestFit="1" customWidth="1"/>
  </cols>
  <sheetData>
    <row r="1" spans="1:6">
      <c r="A1" s="1" t="s">
        <v>0</v>
      </c>
      <c r="B1" s="1" t="s">
        <v>930</v>
      </c>
      <c r="C1" s="1" t="s">
        <v>927</v>
      </c>
      <c r="D1" s="1" t="s">
        <v>69</v>
      </c>
      <c r="E1" s="1" t="s">
        <v>699</v>
      </c>
      <c r="F1" s="1" t="s">
        <v>872</v>
      </c>
    </row>
    <row r="2" spans="1:6">
      <c r="A2" s="10">
        <f>ROW(A2)-1</f>
        <v>1</v>
      </c>
      <c r="B2" s="10">
        <v>1</v>
      </c>
      <c r="C2" s="10" t="str" cm="1">
        <f t="array" ref="C2">GetValue("Snp",B2,"Name")</f>
        <v>Snp0001</v>
      </c>
      <c r="D2">
        <v>10</v>
      </c>
      <c r="E2" t="s">
        <v>700</v>
      </c>
      <c r="F2" s="28" t="s">
        <v>698</v>
      </c>
    </row>
  </sheetData>
  <hyperlinks>
    <hyperlink ref="F2" r:id="rId1" xr:uid="{F07F0C18-90C0-44D5-AAA3-2469EB86B53B}"/>
  </hyperlink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85A5-4B65-40DF-95ED-9854F62A8A2A}">
  <sheetPr codeName="Planilha14"/>
  <dimension ref="A1:I2"/>
  <sheetViews>
    <sheetView workbookViewId="0">
      <pane ySplit="1" topLeftCell="A2" activePane="bottomLeft" state="frozen"/>
      <selection pane="bottomLeft" activeCell="G7" sqref="G7"/>
    </sheetView>
  </sheetViews>
  <sheetFormatPr defaultRowHeight="14.4"/>
  <cols>
    <col min="1" max="1" width="2.6640625" bestFit="1" customWidth="1"/>
    <col min="2" max="2" width="8" bestFit="1" customWidth="1"/>
    <col min="3" max="3" width="12.5546875" bestFit="1" customWidth="1"/>
    <col min="4" max="4" width="9.109375" bestFit="1" customWidth="1"/>
    <col min="5" max="5" width="13.88671875" bestFit="1" customWidth="1"/>
    <col min="6" max="6" width="6.88671875" bestFit="1" customWidth="1"/>
    <col min="7" max="7" width="11.44140625" bestFit="1" customWidth="1"/>
    <col min="8" max="8" width="9.6640625" bestFit="1" customWidth="1"/>
    <col min="9" max="9" width="8.6640625" bestFit="1" customWidth="1"/>
  </cols>
  <sheetData>
    <row r="1" spans="1:9" s="1" customFormat="1">
      <c r="A1" s="1" t="s">
        <v>0</v>
      </c>
      <c r="B1" s="1" t="s">
        <v>433</v>
      </c>
      <c r="C1" s="1" t="s">
        <v>342</v>
      </c>
      <c r="D1" s="1" t="s">
        <v>68</v>
      </c>
      <c r="E1" s="1" t="s">
        <v>150</v>
      </c>
      <c r="F1" s="1" t="s">
        <v>82</v>
      </c>
      <c r="G1" s="1" t="s">
        <v>149</v>
      </c>
      <c r="H1" s="1" t="s">
        <v>143</v>
      </c>
      <c r="I1" s="1" t="s">
        <v>145</v>
      </c>
    </row>
    <row r="2" spans="1:9">
      <c r="A2" s="10">
        <f>ROW(A2)-1</f>
        <v>1</v>
      </c>
      <c r="B2">
        <v>1</v>
      </c>
      <c r="C2" t="str" cm="1">
        <f t="array" ref="C2">GetValue("Cli",B2,"Name")</f>
        <v>SoftLab</v>
      </c>
      <c r="D2">
        <v>1</v>
      </c>
      <c r="E2" t="str" cm="1">
        <f t="array" ref="E2">GetValue("Sys",D2,"Name")</f>
        <v>crudex</v>
      </c>
      <c r="F2">
        <v>1</v>
      </c>
      <c r="G2" t="str" cm="1">
        <f t="array" ref="G2">GetValue("Usr",F2,"Name")</f>
        <v>adm</v>
      </c>
      <c r="I2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ED12-3921-4D5A-840C-76B3B35BF9F1}">
  <sheetPr codeName="Planilha4"/>
  <dimension ref="A1:C2"/>
  <sheetViews>
    <sheetView workbookViewId="0">
      <pane ySplit="1" topLeftCell="A2" activePane="bottomLeft" state="frozen"/>
      <selection pane="bottomLeft" activeCell="F5" sqref="F5"/>
    </sheetView>
  </sheetViews>
  <sheetFormatPr defaultRowHeight="14.4"/>
  <cols>
    <col min="1" max="1" width="2.6640625" bestFit="1" customWidth="1"/>
    <col min="2" max="2" width="9.44140625" bestFit="1" customWidth="1"/>
    <col min="3" max="3" width="11.88671875" bestFit="1" customWidth="1"/>
  </cols>
  <sheetData>
    <row r="1" spans="1:3" s="1" customFormat="1">
      <c r="A1" s="1" t="s">
        <v>0</v>
      </c>
      <c r="B1" s="1" t="s">
        <v>211</v>
      </c>
      <c r="C1" s="1" t="s">
        <v>189</v>
      </c>
    </row>
    <row r="2" spans="1:3">
      <c r="A2" s="10">
        <f>ROW(A2)-1</f>
        <v>1</v>
      </c>
      <c r="B2">
        <v>1</v>
      </c>
      <c r="C2" t="b">
        <v>0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DC4C-67DA-47D6-A152-94EBA3FCCF15}">
  <sheetPr codeName="Planilha15"/>
  <dimension ref="A1:G2"/>
  <sheetViews>
    <sheetView workbookViewId="0">
      <pane ySplit="1" topLeftCell="A2" activePane="bottomLeft" state="frozen"/>
      <selection pane="bottomLeft" activeCell="C3" sqref="C3"/>
    </sheetView>
  </sheetViews>
  <sheetFormatPr defaultRowHeight="14.4"/>
  <cols>
    <col min="1" max="1" width="2.6640625" bestFit="1" customWidth="1"/>
    <col min="2" max="2" width="12.88671875" bestFit="1" customWidth="1"/>
    <col min="3" max="3" width="11.109375" bestFit="1" customWidth="1"/>
    <col min="4" max="4" width="7.33203125" bestFit="1" customWidth="1"/>
    <col min="5" max="5" width="10.5546875" bestFit="1" customWidth="1"/>
    <col min="6" max="6" width="12.6640625" bestFit="1" customWidth="1"/>
    <col min="7" max="7" width="11.88671875" bestFit="1" customWidth="1"/>
  </cols>
  <sheetData>
    <row r="1" spans="1:7" s="1" customFormat="1">
      <c r="A1" s="1" t="s">
        <v>0</v>
      </c>
      <c r="B1" s="1" t="s">
        <v>190</v>
      </c>
      <c r="C1" s="1" t="s">
        <v>191</v>
      </c>
      <c r="D1" s="1" t="s">
        <v>72</v>
      </c>
      <c r="E1" s="1" t="s">
        <v>196</v>
      </c>
      <c r="F1" s="1" t="s">
        <v>192</v>
      </c>
      <c r="G1" s="1" t="s">
        <v>189</v>
      </c>
    </row>
    <row r="2" spans="1:7">
      <c r="A2" s="10">
        <f>ROW(A2)-1</f>
        <v>1</v>
      </c>
      <c r="B2">
        <v>1</v>
      </c>
      <c r="C2" t="s">
        <v>91</v>
      </c>
      <c r="D2" t="s">
        <v>696</v>
      </c>
      <c r="E2" t="s">
        <v>697</v>
      </c>
      <c r="F2" t="s">
        <v>697</v>
      </c>
      <c r="G2" t="b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34</vt:i4>
      </vt:variant>
    </vt:vector>
  </HeadingPairs>
  <TitlesOfParts>
    <vt:vector size="34" baseType="lpstr">
      <vt:lpstr>Cat</vt:lpstr>
      <vt:lpstr>Cmp</vt:lpstr>
      <vt:lpstr>Rul</vt:lpstr>
      <vt:lpstr>Eng</vt:lpstr>
      <vt:lpstr>Typ</vt:lpstr>
      <vt:lpstr>Map</vt:lpstr>
      <vt:lpstr>Cli</vt:lpstr>
      <vt:lpstr>Dmn</vt:lpstr>
      <vt:lpstr>Msk</vt:lpstr>
      <vt:lpstr>Mkg</vt:lpstr>
      <vt:lpstr>Db</vt:lpstr>
      <vt:lpstr>Con</vt:lpstr>
      <vt:lpstr>Sys</vt:lpstr>
      <vt:lpstr>Mnu</vt:lpstr>
      <vt:lpstr>Tbl</vt:lpstr>
      <vt:lpstr>Col</vt:lpstr>
      <vt:lpstr>Idx</vt:lpstr>
      <vt:lpstr>Idk</vt:lpstr>
      <vt:lpstr>Inc</vt:lpstr>
      <vt:lpstr>Uni</vt:lpstr>
      <vt:lpstr>Exp</vt:lpstr>
      <vt:lpstr>Cnd</vt:lpstr>
      <vt:lpstr>Ref</vt:lpstr>
      <vt:lpstr>Usr</vt:lpstr>
      <vt:lpstr>Prm</vt:lpstr>
      <vt:lpstr>Prp</vt:lpstr>
      <vt:lpstr>Bhv</vt:lpstr>
      <vt:lpstr>Sch</vt:lpstr>
      <vt:lpstr>Snp</vt:lpstr>
      <vt:lpstr>Scr</vt:lpstr>
      <vt:lpstr>Url</vt:lpstr>
      <vt:lpstr>Ses</vt:lpstr>
      <vt:lpstr>Trs</vt:lpstr>
      <vt:lpstr>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Rocha Labrego</dc:creator>
  <cp:lastModifiedBy>João Rocha Labrego</cp:lastModifiedBy>
  <dcterms:created xsi:type="dcterms:W3CDTF">2024-02-10T11:10:23Z</dcterms:created>
  <dcterms:modified xsi:type="dcterms:W3CDTF">2026-04-25T12:10:37Z</dcterms:modified>
</cp:coreProperties>
</file>