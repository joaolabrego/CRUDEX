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00A81AE2-E5C7-4D43-A959-0F9169D5DCC8}" xr6:coauthVersionLast="47" xr6:coauthVersionMax="47" xr10:uidLastSave="{00000000-0000-0000-0000-000000000000}"/>
  <bookViews>
    <workbookView xWindow="-108" yWindow="-108" windowWidth="23256" windowHeight="13176" tabRatio="969" firstSheet="1" activeTab="2" xr2:uid="{62178005-964C-499D-8BA4-3BC85200C027}"/>
  </bookViews>
  <sheets>
    <sheet name="Categories" sheetId="1" r:id="rId1"/>
    <sheet name="Comparators" sheetId="26" r:id="rId2"/>
    <sheet name="Rules" sheetId="27" r:id="rId3"/>
    <sheet name="Types" sheetId="2" r:id="rId4"/>
    <sheet name="Masks" sheetId="3" r:id="rId5"/>
    <sheet name="Domains" sheetId="4" r:id="rId6"/>
    <sheet name="Systems" sheetId="5" r:id="rId7"/>
    <sheet name="Menus" sheetId="6" r:id="rId8"/>
    <sheet name="Users" sheetId="7" r:id="rId9"/>
    <sheet name="SystemsUsers" sheetId="8" r:id="rId10"/>
    <sheet name="Connections" sheetId="18" r:id="rId11"/>
    <sheet name="Databases" sheetId="9" r:id="rId12"/>
    <sheet name="SystemsDatabases" sheetId="10" r:id="rId13"/>
    <sheet name="Tables" sheetId="11" r:id="rId14"/>
    <sheet name="DatabasesTables" sheetId="17" r:id="rId15"/>
    <sheet name="Columns" sheetId="12" r:id="rId16"/>
    <sheet name="Indexes" sheetId="13" r:id="rId17"/>
    <sheet name="Indexkeys" sheetId="14" r:id="rId18"/>
    <sheet name="Sessions" sheetId="15" r:id="rId19"/>
    <sheet name="Transactions" sheetId="19" r:id="rId20"/>
    <sheet name="Operations" sheetId="20" r:id="rId21"/>
    <sheet name="Unicities" sheetId="22" r:id="rId22"/>
  </sheets>
  <functionGroups builtInGroupCount="19"/>
  <definedNames>
    <definedName name="_xlnm._FilterDatabase" localSheetId="15" hidden="1">Columns!$F$1:$F$128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9" i="12" l="1"/>
  <c r="E148" i="12"/>
  <c r="E149" i="12" s="1"/>
  <c r="A148" i="12"/>
  <c r="A147" i="12"/>
  <c r="A23" i="11"/>
  <c r="A22" i="11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13" i="26"/>
  <c r="A12" i="26"/>
  <c r="A11" i="26"/>
  <c r="A10" i="26"/>
  <c r="A9" i="26"/>
  <c r="A8" i="26"/>
  <c r="A7" i="26"/>
  <c r="A6" i="26"/>
  <c r="A5" i="26"/>
  <c r="A4" i="26"/>
  <c r="A3" i="26"/>
  <c r="A2" i="26"/>
  <c r="I149" i="12" a="1"/>
  <c r="G148" i="12" a="1"/>
  <c r="C147" i="12" a="1"/>
  <c r="H149" i="12" a="1"/>
  <c r="D148" i="12" a="1"/>
  <c r="G149" i="12" a="1"/>
  <c r="C148" i="12" a="1"/>
  <c r="L148" i="12" a="1"/>
  <c r="J148" i="12" a="1"/>
  <c r="H147" i="12" a="1"/>
  <c r="I148" i="12" a="1"/>
  <c r="G147" i="12" a="1"/>
  <c r="H148" i="12" a="1"/>
  <c r="D149" i="12" a="1"/>
  <c r="L147" i="12" a="1"/>
  <c r="C149" i="12" a="1"/>
  <c r="J147" i="12" a="1"/>
  <c r="I147" i="12" a="1"/>
  <c r="L149" i="12" a="1"/>
  <c r="J149" i="12" a="1"/>
  <c r="D147" i="12" a="1"/>
  <c r="D143" i="12" a="1"/>
  <c r="D146" i="12" a="1"/>
  <c r="D145" i="12" a="1"/>
  <c r="D144" i="12" a="1"/>
  <c r="C143" i="12" a="1"/>
  <c r="C146" i="12" a="1"/>
  <c r="C145" i="12" a="1"/>
  <c r="C144" i="12" a="1"/>
  <c r="G22" i="11" a="1"/>
  <c r="G12" i="11" a="1"/>
  <c r="G21" i="11" a="1"/>
  <c r="G11" i="11" a="1"/>
  <c r="G20" i="11" a="1"/>
  <c r="G10" i="11" a="1"/>
  <c r="G19" i="11" a="1"/>
  <c r="G9" i="11" a="1"/>
  <c r="G18" i="11" a="1"/>
  <c r="G8" i="11" a="1"/>
  <c r="G17" i="11" a="1"/>
  <c r="G7" i="11" a="1"/>
  <c r="G16" i="11" a="1"/>
  <c r="G6" i="11" a="1"/>
  <c r="G15" i="11" a="1"/>
  <c r="G5" i="11" a="1"/>
  <c r="G14" i="11" a="1"/>
  <c r="G4" i="11" a="1"/>
  <c r="G23" i="11" a="1"/>
  <c r="G13" i="11" a="1"/>
  <c r="G3" i="11" a="1"/>
  <c r="F59" i="27" a="1"/>
  <c r="F53" i="27" a="1"/>
  <c r="F45" i="27" a="1"/>
  <c r="F27" i="27" a="1"/>
  <c r="F19" i="27" a="1"/>
  <c r="F9" i="27" a="1"/>
  <c r="F58" i="27" a="1"/>
  <c r="F52" i="27" a="1"/>
  <c r="F44" i="27" a="1"/>
  <c r="F26" i="27" a="1"/>
  <c r="F18" i="27" a="1"/>
  <c r="F8" i="27" a="1"/>
  <c r="F51" i="27" a="1"/>
  <c r="F43" i="27" a="1"/>
  <c r="F35" i="27" a="1"/>
  <c r="F17" i="27" a="1"/>
  <c r="F7" i="27" a="1"/>
  <c r="F50" i="27" a="1"/>
  <c r="F42" i="27" a="1"/>
  <c r="F34" i="27" a="1"/>
  <c r="F16" i="27" a="1"/>
  <c r="F6" i="27" a="1"/>
  <c r="F57" i="27" a="1"/>
  <c r="F49" i="27" a="1"/>
  <c r="F41" i="27" a="1"/>
  <c r="F33" i="27" a="1"/>
  <c r="F25" i="27" a="1"/>
  <c r="F15" i="27" a="1"/>
  <c r="F5" i="27" a="1"/>
  <c r="F56" i="27" a="1"/>
  <c r="F48" i="27" a="1"/>
  <c r="F40" i="27" a="1"/>
  <c r="F32" i="27" a="1"/>
  <c r="F24" i="27" a="1"/>
  <c r="F14" i="27" a="1"/>
  <c r="F4" i="27" a="1"/>
  <c r="F47" i="27" a="1"/>
  <c r="F39" i="27" a="1"/>
  <c r="F31" i="27" a="1"/>
  <c r="F23" i="27" a="1"/>
  <c r="F13" i="27" a="1"/>
  <c r="F3" i="27" a="1"/>
  <c r="F38" i="27" a="1"/>
  <c r="F11" i="27" a="1"/>
  <c r="F37" i="27" a="1"/>
  <c r="F10" i="27" a="1"/>
  <c r="F36" i="27" a="1"/>
  <c r="F30" i="27" a="1"/>
  <c r="F29" i="27" a="1"/>
  <c r="F28" i="27" a="1"/>
  <c r="F55" i="27" a="1"/>
  <c r="F22" i="27" a="1"/>
  <c r="F54" i="27" a="1"/>
  <c r="F21" i="27" a="1"/>
  <c r="F46" i="27" a="1"/>
  <c r="F20" i="27" a="1"/>
  <c r="F12" i="27" a="1"/>
  <c r="F2" i="27" a="1"/>
  <c r="C59" i="27" a="1"/>
  <c r="C53" i="27" a="1"/>
  <c r="C45" i="27" a="1"/>
  <c r="C27" i="27" a="1"/>
  <c r="C19" i="27" a="1"/>
  <c r="C9" i="27" a="1"/>
  <c r="C58" i="27" a="1"/>
  <c r="C52" i="27" a="1"/>
  <c r="C44" i="27" a="1"/>
  <c r="C26" i="27" a="1"/>
  <c r="C18" i="27" a="1"/>
  <c r="C8" i="27" a="1"/>
  <c r="C51" i="27" a="1"/>
  <c r="C43" i="27" a="1"/>
  <c r="C35" i="27" a="1"/>
  <c r="C17" i="27" a="1"/>
  <c r="C7" i="27" a="1"/>
  <c r="C50" i="27" a="1"/>
  <c r="C42" i="27" a="1"/>
  <c r="C34" i="27" a="1"/>
  <c r="C16" i="27" a="1"/>
  <c r="C6" i="27" a="1"/>
  <c r="C57" i="27" a="1"/>
  <c r="C49" i="27" a="1"/>
  <c r="C41" i="27" a="1"/>
  <c r="C33" i="27" a="1"/>
  <c r="C25" i="27" a="1"/>
  <c r="C15" i="27" a="1"/>
  <c r="C5" i="27" a="1"/>
  <c r="C56" i="27" a="1"/>
  <c r="C48" i="27" a="1"/>
  <c r="C40" i="27" a="1"/>
  <c r="C32" i="27" a="1"/>
  <c r="C24" i="27" a="1"/>
  <c r="C14" i="27" a="1"/>
  <c r="C4" i="27" a="1"/>
  <c r="C47" i="27" a="1"/>
  <c r="C39" i="27" a="1"/>
  <c r="C31" i="27" a="1"/>
  <c r="C23" i="27" a="1"/>
  <c r="C13" i="27" a="1"/>
  <c r="C3" i="27" a="1"/>
  <c r="C30" i="27" a="1"/>
  <c r="C29" i="27" a="1"/>
  <c r="C28" i="27" a="1"/>
  <c r="C55" i="27" a="1"/>
  <c r="C22" i="27" a="1"/>
  <c r="C54" i="27" a="1"/>
  <c r="C21" i="27" a="1"/>
  <c r="C46" i="27" a="1"/>
  <c r="C20" i="27" a="1"/>
  <c r="C12" i="27" a="1"/>
  <c r="C38" i="27" a="1"/>
  <c r="C11" i="27" a="1"/>
  <c r="C37" i="27" a="1"/>
  <c r="C10" i="27" a="1"/>
  <c r="C36" i="27" a="1"/>
  <c r="C2" i="27" a="1"/>
  <c r="E55" i="27" a="1"/>
  <c r="E37" i="27" a="1"/>
  <c r="E29" i="27" a="1"/>
  <c r="E21" i="27" a="1"/>
  <c r="E11" i="27" a="1"/>
  <c r="E54" i="27" a="1"/>
  <c r="E36" i="27" a="1"/>
  <c r="E28" i="27" a="1"/>
  <c r="E20" i="27" a="1"/>
  <c r="E10" i="27" a="1"/>
  <c r="E59" i="27" a="1"/>
  <c r="E53" i="27" a="1"/>
  <c r="E45" i="27" a="1"/>
  <c r="E27" i="27" a="1"/>
  <c r="E19" i="27" a="1"/>
  <c r="E9" i="27" a="1"/>
  <c r="E58" i="27" a="1"/>
  <c r="E52" i="27" a="1"/>
  <c r="E44" i="27" a="1"/>
  <c r="E26" i="27" a="1"/>
  <c r="E18" i="27" a="1"/>
  <c r="E8" i="27" a="1"/>
  <c r="E51" i="27" a="1"/>
  <c r="E43" i="27" a="1"/>
  <c r="E35" i="27" a="1"/>
  <c r="E17" i="27" a="1"/>
  <c r="E7" i="27" a="1"/>
  <c r="E50" i="27" a="1"/>
  <c r="E42" i="27" a="1"/>
  <c r="E34" i="27" a="1"/>
  <c r="E16" i="27" a="1"/>
  <c r="E6" i="27" a="1"/>
  <c r="E57" i="27" a="1"/>
  <c r="E49" i="27" a="1"/>
  <c r="E41" i="27" a="1"/>
  <c r="E33" i="27" a="1"/>
  <c r="E25" i="27" a="1"/>
  <c r="E15" i="27" a="1"/>
  <c r="E5" i="27" a="1"/>
  <c r="E56" i="27" a="1"/>
  <c r="E24" i="27" a="1"/>
  <c r="E23" i="27" a="1"/>
  <c r="E22" i="27" a="1"/>
  <c r="E48" i="27" a="1"/>
  <c r="E14" i="27" a="1"/>
  <c r="E13" i="27" a="1"/>
  <c r="E46" i="27" a="1"/>
  <c r="E4" i="27" a="1"/>
  <c r="E39" i="27" a="1"/>
  <c r="E32" i="27" a="1"/>
  <c r="E30" i="27" a="1"/>
  <c r="E47" i="27" a="1"/>
  <c r="E12" i="27" a="1"/>
  <c r="E40" i="27" a="1"/>
  <c r="E3" i="27" a="1"/>
  <c r="E38" i="27" a="1"/>
  <c r="E31" i="27" a="1"/>
  <c r="E2" i="27" a="1"/>
  <c r="D147" i="12" l="1"/>
  <c r="J149" i="12"/>
  <c r="L149" i="12"/>
  <c r="I147" i="12"/>
  <c r="J147" i="12"/>
  <c r="C149" i="12"/>
  <c r="L147" i="12"/>
  <c r="D149" i="12"/>
  <c r="H148" i="12"/>
  <c r="G147" i="12"/>
  <c r="I148" i="12"/>
  <c r="H147" i="12"/>
  <c r="J148" i="12"/>
  <c r="L148" i="12"/>
  <c r="C148" i="12"/>
  <c r="G149" i="12"/>
  <c r="D148" i="12"/>
  <c r="H149" i="12"/>
  <c r="C147" i="12"/>
  <c r="G148" i="12"/>
  <c r="I149" i="12"/>
  <c r="D143" i="12"/>
  <c r="D144" i="12"/>
  <c r="D145" i="12"/>
  <c r="D146" i="12"/>
  <c r="C143" i="12"/>
  <c r="C144" i="12"/>
  <c r="C145" i="12"/>
  <c r="C146" i="12"/>
  <c r="G3" i="11"/>
  <c r="G13" i="11"/>
  <c r="G23" i="11"/>
  <c r="G4" i="11"/>
  <c r="G14" i="11"/>
  <c r="G5" i="11"/>
  <c r="G15" i="11"/>
  <c r="G6" i="11"/>
  <c r="G16" i="11"/>
  <c r="G7" i="11"/>
  <c r="G17" i="11"/>
  <c r="G8" i="11"/>
  <c r="G18" i="11"/>
  <c r="G9" i="11"/>
  <c r="G19" i="11"/>
  <c r="G10" i="11"/>
  <c r="G20" i="11"/>
  <c r="G11" i="11"/>
  <c r="G21" i="11"/>
  <c r="G12" i="11"/>
  <c r="G22" i="11"/>
  <c r="F12" i="27"/>
  <c r="F20" i="27"/>
  <c r="F46" i="27"/>
  <c r="F21" i="27"/>
  <c r="F54" i="27"/>
  <c r="F22" i="27"/>
  <c r="F55" i="27"/>
  <c r="F28" i="27"/>
  <c r="F29" i="27"/>
  <c r="F30" i="27"/>
  <c r="F36" i="27"/>
  <c r="F10" i="27"/>
  <c r="F37" i="27"/>
  <c r="F11" i="27"/>
  <c r="F38" i="27"/>
  <c r="F3" i="27"/>
  <c r="F13" i="27"/>
  <c r="F23" i="27"/>
  <c r="F31" i="27"/>
  <c r="F39" i="27"/>
  <c r="F47" i="27"/>
  <c r="F4" i="27"/>
  <c r="F14" i="27"/>
  <c r="F24" i="27"/>
  <c r="F32" i="27"/>
  <c r="F40" i="27"/>
  <c r="F48" i="27"/>
  <c r="F56" i="27"/>
  <c r="F5" i="27"/>
  <c r="F15" i="27"/>
  <c r="F25" i="27"/>
  <c r="F33" i="27"/>
  <c r="F41" i="27"/>
  <c r="F49" i="27"/>
  <c r="F57" i="27"/>
  <c r="F6" i="27"/>
  <c r="F16" i="27"/>
  <c r="F34" i="27"/>
  <c r="F42" i="27"/>
  <c r="F50" i="27"/>
  <c r="F7" i="27"/>
  <c r="F17" i="27"/>
  <c r="F35" i="27"/>
  <c r="F43" i="27"/>
  <c r="F51" i="27"/>
  <c r="F8" i="27"/>
  <c r="F18" i="27"/>
  <c r="F26" i="27"/>
  <c r="F44" i="27"/>
  <c r="F52" i="27"/>
  <c r="F58" i="27"/>
  <c r="F9" i="27"/>
  <c r="F19" i="27"/>
  <c r="F27" i="27"/>
  <c r="F45" i="27"/>
  <c r="F53" i="27"/>
  <c r="F59" i="27"/>
  <c r="F2" i="27"/>
  <c r="C36" i="27"/>
  <c r="C10" i="27"/>
  <c r="C37" i="27"/>
  <c r="C11" i="27"/>
  <c r="C38" i="27"/>
  <c r="C12" i="27"/>
  <c r="C20" i="27"/>
  <c r="C46" i="27"/>
  <c r="C21" i="27"/>
  <c r="C54" i="27"/>
  <c r="C22" i="27"/>
  <c r="C55" i="27"/>
  <c r="C28" i="27"/>
  <c r="C29" i="27"/>
  <c r="C30" i="27"/>
  <c r="C3" i="27"/>
  <c r="C13" i="27"/>
  <c r="C23" i="27"/>
  <c r="C31" i="27"/>
  <c r="C39" i="27"/>
  <c r="C47" i="27"/>
  <c r="C4" i="27"/>
  <c r="C14" i="27"/>
  <c r="C24" i="27"/>
  <c r="C32" i="27"/>
  <c r="C40" i="27"/>
  <c r="C48" i="27"/>
  <c r="C56" i="27"/>
  <c r="C5" i="27"/>
  <c r="C15" i="27"/>
  <c r="C25" i="27"/>
  <c r="C33" i="27"/>
  <c r="C41" i="27"/>
  <c r="C49" i="27"/>
  <c r="C57" i="27"/>
  <c r="C6" i="27"/>
  <c r="C16" i="27"/>
  <c r="C34" i="27"/>
  <c r="C42" i="27"/>
  <c r="C50" i="27"/>
  <c r="C7" i="27"/>
  <c r="C17" i="27"/>
  <c r="C35" i="27"/>
  <c r="C43" i="27"/>
  <c r="C51" i="27"/>
  <c r="C8" i="27"/>
  <c r="C18" i="27"/>
  <c r="C26" i="27"/>
  <c r="C44" i="27"/>
  <c r="C52" i="27"/>
  <c r="C58" i="27"/>
  <c r="C9" i="27"/>
  <c r="C19" i="27"/>
  <c r="C27" i="27"/>
  <c r="C45" i="27"/>
  <c r="C53" i="27"/>
  <c r="C59" i="27"/>
  <c r="C2" i="27"/>
  <c r="E31" i="27"/>
  <c r="E38" i="27"/>
  <c r="E3" i="27"/>
  <c r="E40" i="27"/>
  <c r="E12" i="27"/>
  <c r="E47" i="27"/>
  <c r="E30" i="27"/>
  <c r="E32" i="27"/>
  <c r="E39" i="27"/>
  <c r="E4" i="27"/>
  <c r="E46" i="27"/>
  <c r="E13" i="27"/>
  <c r="E14" i="27"/>
  <c r="E48" i="27"/>
  <c r="E22" i="27"/>
  <c r="E23" i="27"/>
  <c r="E24" i="27"/>
  <c r="E56" i="27"/>
  <c r="E5" i="27"/>
  <c r="E15" i="27"/>
  <c r="E25" i="27"/>
  <c r="E33" i="27"/>
  <c r="E41" i="27"/>
  <c r="E49" i="27"/>
  <c r="E57" i="27"/>
  <c r="E6" i="27"/>
  <c r="E16" i="27"/>
  <c r="E34" i="27"/>
  <c r="E42" i="27"/>
  <c r="E50" i="27"/>
  <c r="E7" i="27"/>
  <c r="E17" i="27"/>
  <c r="E35" i="27"/>
  <c r="E43" i="27"/>
  <c r="E51" i="27"/>
  <c r="E8" i="27"/>
  <c r="E18" i="27"/>
  <c r="E26" i="27"/>
  <c r="E44" i="27"/>
  <c r="E52" i="27"/>
  <c r="E58" i="27"/>
  <c r="E9" i="27"/>
  <c r="E19" i="27"/>
  <c r="E27" i="27"/>
  <c r="E45" i="27"/>
  <c r="E53" i="27"/>
  <c r="E59" i="27"/>
  <c r="E10" i="27"/>
  <c r="E20" i="27"/>
  <c r="E28" i="27"/>
  <c r="E36" i="27"/>
  <c r="E54" i="27"/>
  <c r="E11" i="27"/>
  <c r="E21" i="27"/>
  <c r="E29" i="27"/>
  <c r="E37" i="27"/>
  <c r="E55" i="27"/>
  <c r="E2" i="27"/>
  <c r="A112" i="12" l="1"/>
  <c r="A24" i="4"/>
  <c r="A126" i="12"/>
  <c r="A14" i="6"/>
  <c r="A22" i="17"/>
  <c r="A146" i="12"/>
  <c r="A145" i="12"/>
  <c r="E144" i="12"/>
  <c r="E145" i="12" s="1"/>
  <c r="E146" i="12" s="1"/>
  <c r="A144" i="12"/>
  <c r="A143" i="12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" i="22"/>
  <c r="A139" i="12"/>
  <c r="A142" i="12"/>
  <c r="A141" i="12"/>
  <c r="A140" i="12"/>
  <c r="E140" i="12"/>
  <c r="E141" i="12" s="1"/>
  <c r="E142" i="12" s="1"/>
  <c r="A21" i="17"/>
  <c r="A21" i="11"/>
  <c r="E115" i="12"/>
  <c r="A74" i="12"/>
  <c r="A75" i="12"/>
  <c r="H8" i="4" a="1"/>
  <c r="D10" i="17" a="1"/>
  <c r="H2" i="4" a="1"/>
  <c r="L55" i="12" a="1"/>
  <c r="L40" i="12" a="1"/>
  <c r="D74" i="12" a="1"/>
  <c r="L62" i="12" a="1"/>
  <c r="L120" i="12" a="1"/>
  <c r="L64" i="12" a="1"/>
  <c r="L71" i="12" a="1"/>
  <c r="L116" i="12" a="1"/>
  <c r="L53" i="12" a="1"/>
  <c r="G13" i="4" a="1"/>
  <c r="I14" i="6" a="1"/>
  <c r="L86" i="12" a="1"/>
  <c r="D8" i="17" a="1"/>
  <c r="L87" i="12" a="1"/>
  <c r="G8" i="4" a="1"/>
  <c r="L94" i="12" a="1"/>
  <c r="H7" i="4" a="1"/>
  <c r="D75" i="12" a="1"/>
  <c r="G9" i="4" a="1"/>
  <c r="L145" i="12" a="1"/>
  <c r="C23" i="4" a="1"/>
  <c r="L89" i="12" a="1"/>
  <c r="C123" i="12" a="1"/>
  <c r="L88" i="12" a="1"/>
  <c r="L51" i="12" a="1"/>
  <c r="L38" i="12" a="1"/>
  <c r="L45" i="12" a="1"/>
  <c r="H13" i="4" a="1"/>
  <c r="H10" i="4" a="1"/>
  <c r="G19" i="4" a="1"/>
  <c r="C22" i="17" a="1"/>
  <c r="D17" i="17" a="1"/>
  <c r="L9" i="12" a="1"/>
  <c r="L127" i="12" a="1"/>
  <c r="L115" i="12" a="1"/>
  <c r="L3" i="12" a="1"/>
  <c r="L139" i="12" a="1"/>
  <c r="L121" i="12" a="1"/>
  <c r="L56" i="12" a="1"/>
  <c r="L92" i="12" a="1"/>
  <c r="G20" i="4" a="1"/>
  <c r="L123" i="12" a="1"/>
  <c r="L16" i="12" a="1"/>
  <c r="L14" i="12" a="1"/>
  <c r="D26" i="12" a="1"/>
  <c r="L6" i="12" a="1"/>
  <c r="L22" i="12" a="1"/>
  <c r="G146" i="12" a="1"/>
  <c r="H4" i="4" a="1"/>
  <c r="C125" i="12" a="1"/>
  <c r="L39" i="12" a="1"/>
  <c r="L18" i="12" a="1"/>
  <c r="L42" i="12" a="1"/>
  <c r="G4" i="4" a="1"/>
  <c r="G3" i="4" a="1"/>
  <c r="C24" i="4" a="1"/>
  <c r="C124" i="12" a="1"/>
  <c r="D124" i="12" a="1"/>
  <c r="L34" i="12" a="1"/>
  <c r="D123" i="12" a="1"/>
  <c r="L24" i="12" a="1"/>
  <c r="L8" i="12" a="1"/>
  <c r="H21" i="4" a="1"/>
  <c r="G141" i="12" a="1"/>
  <c r="L49" i="12" a="1"/>
  <c r="L60" i="12" a="1"/>
  <c r="L143" i="12" a="1"/>
  <c r="C142" i="12" a="1"/>
  <c r="G14" i="4" a="1"/>
  <c r="L138" i="12" a="1"/>
  <c r="D139" i="12" a="1"/>
  <c r="L44" i="12" a="1"/>
  <c r="L105" i="12" a="1"/>
  <c r="G112" i="12" a="1"/>
  <c r="L10" i="12" a="1"/>
  <c r="D142" i="12" a="1"/>
  <c r="L128" i="12" a="1"/>
  <c r="C112" i="12" a="1"/>
  <c r="L108" i="12" a="1"/>
  <c r="H22" i="4" a="1"/>
  <c r="H19" i="4" a="1"/>
  <c r="L95" i="12" a="1"/>
  <c r="L100" i="12" a="1"/>
  <c r="D15" i="17" a="1"/>
  <c r="D12" i="17" a="1"/>
  <c r="D9" i="17" a="1"/>
  <c r="H6" i="4" a="1"/>
  <c r="L112" i="12" a="1"/>
  <c r="L90" i="12" a="1"/>
  <c r="L83" i="12" a="1"/>
  <c r="L63" i="12" a="1"/>
  <c r="L27" i="12" a="1"/>
  <c r="G75" i="12" a="1"/>
  <c r="C66" i="12" a="1"/>
  <c r="C74" i="12" a="1"/>
  <c r="L78" i="12" a="1"/>
  <c r="L50" i="12" a="1"/>
  <c r="H3" i="4" a="1"/>
  <c r="L36" i="12" a="1"/>
  <c r="L96" i="12" a="1"/>
  <c r="L46" i="12" a="1"/>
  <c r="L99" i="12" a="1"/>
  <c r="L43" i="12" a="1"/>
  <c r="C128" i="12" a="1"/>
  <c r="L30" i="12" a="1"/>
  <c r="H2" i="22" a="1"/>
  <c r="L12" i="12" a="1"/>
  <c r="C126" i="12" a="1"/>
  <c r="L126" i="12" a="1"/>
  <c r="L80" i="12" a="1"/>
  <c r="L129" i="12" a="1"/>
  <c r="C26" i="12" a="1"/>
  <c r="G12" i="4" a="1"/>
  <c r="H14" i="4" a="1"/>
  <c r="L7" i="12" a="1"/>
  <c r="G145" i="12" a="1"/>
  <c r="L37" i="12" a="1"/>
  <c r="L73" i="12" a="1"/>
  <c r="L79" i="12" a="1"/>
  <c r="L72" i="12" a="1"/>
  <c r="L25" i="12" a="1"/>
  <c r="L84" i="12" a="1"/>
  <c r="D16" i="17" a="1"/>
  <c r="C2" i="22" a="1"/>
  <c r="L74" i="12" a="1"/>
  <c r="G21" i="4" a="1"/>
  <c r="G7" i="4" a="1"/>
  <c r="H15" i="4" a="1"/>
  <c r="D13" i="17" a="1"/>
  <c r="L114" i="12" a="1"/>
  <c r="C139" i="12" a="1"/>
  <c r="G126" i="12" a="1"/>
  <c r="L17" i="12" a="1"/>
  <c r="L122" i="12" a="1"/>
  <c r="L125" i="12" a="1"/>
  <c r="L109" i="12" a="1"/>
  <c r="G74" i="12" a="1"/>
  <c r="G26" i="12" a="1"/>
  <c r="L77" i="12" a="1"/>
  <c r="E24" i="4" a="1"/>
  <c r="C140" i="12" a="1"/>
  <c r="D18" i="17" a="1"/>
  <c r="H24" i="4" a="1"/>
  <c r="H18" i="4" a="1"/>
  <c r="L69" i="12" a="1"/>
  <c r="L131" i="12" a="1"/>
  <c r="L29" i="12" a="1"/>
  <c r="L32" i="12" a="1"/>
  <c r="H12" i="4" a="1"/>
  <c r="D125" i="12" a="1"/>
  <c r="L124" i="12" a="1"/>
  <c r="D126" i="12" a="1"/>
  <c r="C127" i="12" a="1"/>
  <c r="D2" i="17" a="1"/>
  <c r="L113" i="12" a="1"/>
  <c r="G23" i="4" a="1"/>
  <c r="G6" i="4" a="1"/>
  <c r="G139" i="12" a="1"/>
  <c r="C141" i="12" a="1"/>
  <c r="D5" i="17" a="1"/>
  <c r="L142" i="12" a="1"/>
  <c r="L98" i="12" a="1"/>
  <c r="D14" i="17" a="1"/>
  <c r="K2" i="22" a="1"/>
  <c r="G16" i="4" a="1"/>
  <c r="C21" i="17" a="1"/>
  <c r="C14" i="6" a="1"/>
  <c r="L85" i="12" a="1"/>
  <c r="D127" i="12" a="1"/>
  <c r="L81" i="12" a="1"/>
  <c r="L102" i="12" a="1"/>
  <c r="C75" i="12" a="1"/>
  <c r="L4" i="12" a="1"/>
  <c r="L35" i="12" a="1"/>
  <c r="L101" i="12" a="1"/>
  <c r="D3" i="17" a="1"/>
  <c r="L91" i="12" a="1"/>
  <c r="D21" i="17" a="1"/>
  <c r="F22" i="17" a="1"/>
  <c r="L48" i="12" a="1"/>
  <c r="L104" i="12" a="1"/>
  <c r="L107" i="12" a="1"/>
  <c r="L141" i="12" a="1"/>
  <c r="H9" i="4" a="1"/>
  <c r="L5" i="12" a="1"/>
  <c r="G142" i="12" a="1"/>
  <c r="L57" i="12" a="1"/>
  <c r="G140" i="12" a="1"/>
  <c r="L133" i="12" a="1"/>
  <c r="D128" i="12" a="1"/>
  <c r="L31" i="12" a="1"/>
  <c r="L106" i="12" a="1"/>
  <c r="F2" i="10" a="1"/>
  <c r="L144" i="12" a="1"/>
  <c r="L76" i="12" a="1"/>
  <c r="L111" i="12" a="1"/>
  <c r="D22" i="17" a="1"/>
  <c r="L103" i="12" a="1"/>
  <c r="G18" i="4" a="1"/>
  <c r="L13" i="12" a="1"/>
  <c r="L134" i="12" a="1"/>
  <c r="F2" i="22" a="1"/>
  <c r="H16" i="4" a="1"/>
  <c r="L67" i="12" a="1"/>
  <c r="G144" i="12" a="1"/>
  <c r="L66" i="12" a="1"/>
  <c r="G11" i="4" a="1"/>
  <c r="D6" i="17" a="1"/>
  <c r="L61" i="12" a="1"/>
  <c r="L132" i="12" a="1"/>
  <c r="G143" i="12" a="1"/>
  <c r="L28" i="12" a="1"/>
  <c r="L117" i="12" a="1"/>
  <c r="L19" i="12" a="1"/>
  <c r="F21" i="11" a="1"/>
  <c r="D140" i="12" a="1"/>
  <c r="H17" i="4" a="1"/>
  <c r="D19" i="17" a="1"/>
  <c r="L59" i="12" a="1"/>
  <c r="H5" i="4" a="1"/>
  <c r="D4" i="17" a="1"/>
  <c r="G22" i="4" a="1"/>
  <c r="G5" i="4" a="1"/>
  <c r="G24" i="4" a="1"/>
  <c r="L11" i="12" a="1"/>
  <c r="L58" i="12" a="1"/>
  <c r="L137" i="12" a="1"/>
  <c r="L65" i="12" a="1"/>
  <c r="L20" i="12" a="1"/>
  <c r="L130" i="12" a="1"/>
  <c r="L119" i="12" a="1"/>
  <c r="L140" i="12" a="1"/>
  <c r="H23" i="4" a="1"/>
  <c r="D7" i="17" a="1"/>
  <c r="D11" i="17" a="1"/>
  <c r="H20" i="4" a="1"/>
  <c r="L136" i="12" a="1"/>
  <c r="C67" i="12" a="1"/>
  <c r="L41" i="12" a="1"/>
  <c r="L52" i="12" a="1"/>
  <c r="G15" i="4" a="1"/>
  <c r="L75" i="12" a="1"/>
  <c r="L146" i="12" a="1"/>
  <c r="F21" i="17" a="1"/>
  <c r="H11" i="4" a="1"/>
  <c r="L70" i="12" a="1"/>
  <c r="D20" i="17" a="1"/>
  <c r="L97" i="12" a="1"/>
  <c r="D141" i="12" a="1"/>
  <c r="L23" i="12" a="1"/>
  <c r="L110" i="12" a="1"/>
  <c r="L33" i="12" a="1"/>
  <c r="L93" i="12" a="1"/>
  <c r="L47" i="12" a="1"/>
  <c r="L54" i="12" a="1"/>
  <c r="G10" i="4" a="1"/>
  <c r="L15" i="12" a="1"/>
  <c r="L135" i="12" a="1"/>
  <c r="E23" i="4" a="1"/>
  <c r="H2" i="9" a="1"/>
  <c r="G17" i="4" a="1"/>
  <c r="L26" i="12" a="1"/>
  <c r="L118" i="12" a="1"/>
  <c r="D112" i="12" a="1"/>
  <c r="L68" i="12" a="1"/>
  <c r="L82" i="12" a="1"/>
  <c r="L21" i="12" a="1"/>
  <c r="C112" i="12" l="1"/>
  <c r="D112" i="12"/>
  <c r="G112" i="12"/>
  <c r="L112" i="12"/>
  <c r="E24" i="4"/>
  <c r="G24" i="4"/>
  <c r="C24" i="4"/>
  <c r="H24" i="4"/>
  <c r="D126" i="12"/>
  <c r="G126" i="12"/>
  <c r="C126" i="12"/>
  <c r="L126" i="12"/>
  <c r="I14" i="6"/>
  <c r="C14" i="6"/>
  <c r="F22" i="17"/>
  <c r="D22" i="17"/>
  <c r="C22" i="17"/>
  <c r="L146" i="12"/>
  <c r="G146" i="12"/>
  <c r="L145" i="12"/>
  <c r="G145" i="12"/>
  <c r="G144" i="12"/>
  <c r="L144" i="12"/>
  <c r="L143" i="12"/>
  <c r="G143" i="12"/>
  <c r="C67" i="12"/>
  <c r="C66" i="12"/>
  <c r="E23" i="4"/>
  <c r="C23" i="4"/>
  <c r="G23" i="4"/>
  <c r="H23" i="4"/>
  <c r="C123" i="12"/>
  <c r="C127" i="12"/>
  <c r="C125" i="12"/>
  <c r="C128" i="12"/>
  <c r="C124" i="12"/>
  <c r="D125" i="12"/>
  <c r="D128" i="12"/>
  <c r="D124" i="12"/>
  <c r="D127" i="12"/>
  <c r="D123" i="12"/>
  <c r="C26" i="12"/>
  <c r="D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2" i="22"/>
  <c r="C2" i="22"/>
  <c r="K2" i="22"/>
  <c r="F2" i="22"/>
  <c r="C139" i="12"/>
  <c r="D139" i="12"/>
  <c r="G139" i="12"/>
  <c r="L139" i="12"/>
  <c r="L141" i="12"/>
  <c r="C142" i="12"/>
  <c r="D142" i="12"/>
  <c r="C141" i="12"/>
  <c r="G142" i="12"/>
  <c r="D141" i="12"/>
  <c r="C140" i="12"/>
  <c r="G141" i="12"/>
  <c r="D140" i="12"/>
  <c r="G140" i="12"/>
  <c r="L142" i="12"/>
  <c r="L140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5" i="12"/>
  <c r="L14" i="12"/>
  <c r="L34" i="12"/>
  <c r="L86" i="12"/>
  <c r="L106" i="12"/>
  <c r="L127" i="12"/>
  <c r="L15" i="12"/>
  <c r="L35" i="12"/>
  <c r="L55" i="12"/>
  <c r="L87" i="12"/>
  <c r="L107" i="12"/>
  <c r="L128" i="12"/>
  <c r="L16" i="12"/>
  <c r="L36" i="12"/>
  <c r="L56" i="12"/>
  <c r="L68" i="12"/>
  <c r="L88" i="12"/>
  <c r="L108" i="12"/>
  <c r="L129" i="12"/>
  <c r="L37" i="12"/>
  <c r="L57" i="12"/>
  <c r="L3" i="12"/>
  <c r="L22" i="12"/>
  <c r="L69" i="12"/>
  <c r="L89" i="12"/>
  <c r="L109" i="12"/>
  <c r="L130" i="12"/>
  <c r="L67" i="12"/>
  <c r="L79" i="12"/>
  <c r="L119" i="12"/>
  <c r="L33" i="12"/>
  <c r="L53" i="12"/>
  <c r="L85" i="12"/>
  <c r="L105" i="12"/>
  <c r="L54" i="12"/>
  <c r="L43" i="12"/>
  <c r="L4" i="12"/>
  <c r="L23" i="12"/>
  <c r="L63" i="12"/>
  <c r="L75" i="12"/>
  <c r="L95" i="12"/>
  <c r="L115" i="12"/>
  <c r="L135" i="12"/>
  <c r="L44" i="12"/>
  <c r="L5" i="12"/>
  <c r="L24" i="12"/>
  <c r="L64" i="12"/>
  <c r="L76" i="12"/>
  <c r="L96" i="12"/>
  <c r="L116" i="12"/>
  <c r="L136" i="12"/>
  <c r="L45" i="12"/>
  <c r="L6" i="12"/>
  <c r="L25" i="12"/>
  <c r="L65" i="12"/>
  <c r="L77" i="12"/>
  <c r="L97" i="12"/>
  <c r="L117" i="12"/>
  <c r="L137" i="12"/>
  <c r="L46" i="12"/>
  <c r="L27" i="12"/>
  <c r="L66" i="12"/>
  <c r="L78" i="12"/>
  <c r="L98" i="12"/>
  <c r="L118" i="12"/>
  <c r="L138" i="12"/>
  <c r="L12" i="12"/>
  <c r="L47" i="12"/>
  <c r="L7" i="12"/>
  <c r="L28" i="12"/>
  <c r="L38" i="12"/>
  <c r="L48" i="12"/>
  <c r="L70" i="12"/>
  <c r="L80" i="12"/>
  <c r="L90" i="12"/>
  <c r="L100" i="12"/>
  <c r="L110" i="12"/>
  <c r="L131" i="12"/>
  <c r="L18" i="12"/>
  <c r="L29" i="12"/>
  <c r="L39" i="12"/>
  <c r="L49" i="12"/>
  <c r="L59" i="12"/>
  <c r="L71" i="12"/>
  <c r="L81" i="12"/>
  <c r="L91" i="12"/>
  <c r="L101" i="12"/>
  <c r="L111" i="12"/>
  <c r="L132" i="12"/>
  <c r="L9" i="12"/>
  <c r="L19" i="12"/>
  <c r="L30" i="12"/>
  <c r="L40" i="12"/>
  <c r="L50" i="12"/>
  <c r="L60" i="12"/>
  <c r="L72" i="12"/>
  <c r="L82" i="12"/>
  <c r="L92" i="12"/>
  <c r="L102" i="12"/>
  <c r="L113" i="12"/>
  <c r="L122" i="12"/>
  <c r="L133" i="12"/>
  <c r="L10" i="12"/>
  <c r="L123" i="12"/>
  <c r="L17" i="12"/>
  <c r="L58" i="12"/>
  <c r="L120" i="12"/>
  <c r="L8" i="12"/>
  <c r="L121" i="12"/>
  <c r="L20" i="12"/>
  <c r="L31" i="12"/>
  <c r="L41" i="12"/>
  <c r="L51" i="12"/>
  <c r="L61" i="12"/>
  <c r="L73" i="12"/>
  <c r="L83" i="12"/>
  <c r="L93" i="12"/>
  <c r="L103" i="12"/>
  <c r="L114" i="12"/>
  <c r="L134" i="12"/>
  <c r="L11" i="12"/>
  <c r="L21" i="12"/>
  <c r="L32" i="12"/>
  <c r="L42" i="12"/>
  <c r="L52" i="12"/>
  <c r="L62" i="12"/>
  <c r="L74" i="12"/>
  <c r="L84" i="12"/>
  <c r="L94" i="12"/>
  <c r="L104" i="12"/>
  <c r="L124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J126" i="12" a="1"/>
  <c r="D2" i="22" a="1"/>
  <c r="I126" i="12" a="1"/>
  <c r="I2" i="22" a="1"/>
  <c r="D67" i="12" a="1"/>
  <c r="G67" i="12" a="1"/>
  <c r="I126" i="12" l="1"/>
  <c r="J126" i="12"/>
  <c r="G22" i="17"/>
  <c r="D2" i="22"/>
  <c r="I2" i="22"/>
  <c r="G21" i="17"/>
  <c r="G67" i="12"/>
  <c r="D67" i="12"/>
  <c r="A69" i="12"/>
  <c r="A20" i="17"/>
  <c r="A19" i="17"/>
  <c r="A22" i="4"/>
  <c r="F19" i="17" a="1"/>
  <c r="C20" i="17" a="1"/>
  <c r="C22" i="4" a="1"/>
  <c r="F20" i="17" a="1"/>
  <c r="C19" i="17" a="1"/>
  <c r="C69" i="12" a="1"/>
  <c r="G69" i="12" a="1"/>
  <c r="D69" i="12" a="1"/>
  <c r="C69" i="12" l="1"/>
  <c r="D69" i="12"/>
  <c r="G69" i="12"/>
  <c r="C20" i="17"/>
  <c r="F20" i="17"/>
  <c r="F19" i="17"/>
  <c r="C19" i="17"/>
  <c r="G19" i="17" s="1"/>
  <c r="C22" i="4"/>
  <c r="A138" i="12"/>
  <c r="A137" i="12"/>
  <c r="A136" i="12"/>
  <c r="A135" i="12"/>
  <c r="A134" i="12"/>
  <c r="E133" i="12"/>
  <c r="E134" i="12" s="1"/>
  <c r="E135" i="12" s="1"/>
  <c r="E136" i="12" s="1"/>
  <c r="E137" i="12" s="1"/>
  <c r="E138" i="12" s="1"/>
  <c r="A133" i="12"/>
  <c r="A132" i="12"/>
  <c r="A97" i="12"/>
  <c r="D132" i="12" a="1"/>
  <c r="C97" i="12" a="1"/>
  <c r="D135" i="12" a="1"/>
  <c r="C133" i="12" a="1"/>
  <c r="D134" i="12" a="1"/>
  <c r="G136" i="12" a="1"/>
  <c r="C135" i="12" a="1"/>
  <c r="C136" i="12" a="1"/>
  <c r="G133" i="12" a="1"/>
  <c r="G115" i="12" a="1"/>
  <c r="G132" i="12" a="1"/>
  <c r="C134" i="12" a="1"/>
  <c r="D137" i="12" a="1"/>
  <c r="D136" i="12" a="1"/>
  <c r="G138" i="12" a="1"/>
  <c r="C138" i="12" a="1"/>
  <c r="D133" i="12" a="1"/>
  <c r="C137" i="12" a="1"/>
  <c r="D97" i="12" a="1"/>
  <c r="D138" i="12" a="1"/>
  <c r="I135" i="12" a="1"/>
  <c r="C132" i="12" a="1"/>
  <c r="G137" i="12" a="1"/>
  <c r="G135" i="12" a="1"/>
  <c r="G97" i="12" a="1"/>
  <c r="G134" i="12" a="1"/>
  <c r="I135" i="12" l="1"/>
  <c r="G20" i="17"/>
  <c r="C138" i="12"/>
  <c r="D138" i="12"/>
  <c r="C137" i="12"/>
  <c r="G138" i="12"/>
  <c r="D137" i="12"/>
  <c r="G137" i="12"/>
  <c r="C136" i="12"/>
  <c r="D136" i="12"/>
  <c r="C135" i="12"/>
  <c r="G136" i="12"/>
  <c r="D135" i="12"/>
  <c r="G135" i="12"/>
  <c r="C134" i="12"/>
  <c r="D134" i="12"/>
  <c r="C133" i="12"/>
  <c r="G134" i="12"/>
  <c r="D133" i="12"/>
  <c r="C132" i="12"/>
  <c r="G133" i="12"/>
  <c r="D132" i="12"/>
  <c r="G132" i="12"/>
  <c r="C97" i="12"/>
  <c r="D97" i="12"/>
  <c r="G97" i="12"/>
  <c r="G115" i="12"/>
  <c r="A131" i="12"/>
  <c r="E130" i="12"/>
  <c r="E131" i="12" s="1"/>
  <c r="A130" i="12"/>
  <c r="A129" i="12"/>
  <c r="A20" i="11"/>
  <c r="A19" i="11"/>
  <c r="A10" i="17"/>
  <c r="E66" i="12"/>
  <c r="E67" i="12" s="1"/>
  <c r="A66" i="12"/>
  <c r="A65" i="12"/>
  <c r="F10" i="17" a="1"/>
  <c r="C65" i="12" a="1"/>
  <c r="F12" i="17" a="1"/>
  <c r="G65" i="12" a="1"/>
  <c r="F4" i="17" a="1"/>
  <c r="D65" i="12" a="1"/>
  <c r="F13" i="17" a="1"/>
  <c r="C129" i="12" a="1"/>
  <c r="F15" i="17" a="1"/>
  <c r="D129" i="12" a="1"/>
  <c r="F5" i="17" a="1"/>
  <c r="D130" i="12" a="1"/>
  <c r="F3" i="17" a="1"/>
  <c r="G129" i="12" a="1"/>
  <c r="F9" i="17" a="1"/>
  <c r="C131" i="12" a="1"/>
  <c r="F7" i="17" a="1"/>
  <c r="F8" i="17" a="1"/>
  <c r="F18" i="17" a="1"/>
  <c r="F11" i="17" a="1"/>
  <c r="F6" i="17" a="1"/>
  <c r="C10" i="17" a="1"/>
  <c r="F19" i="11" a="1"/>
  <c r="C130" i="12" a="1"/>
  <c r="F18" i="11" a="1"/>
  <c r="D131" i="12" a="1"/>
  <c r="F16" i="17" a="1"/>
  <c r="G66" i="12" a="1"/>
  <c r="F14" i="17" a="1"/>
  <c r="G131" i="12" a="1"/>
  <c r="F20" i="11" a="1"/>
  <c r="G130" i="12" a="1"/>
  <c r="F17" i="17" a="1"/>
  <c r="D66" i="12" a="1"/>
  <c r="C131" i="12" l="1"/>
  <c r="D131" i="12"/>
  <c r="C130" i="12"/>
  <c r="G131" i="12"/>
  <c r="D130" i="12"/>
  <c r="C129" i="12"/>
  <c r="G130" i="12"/>
  <c r="D129" i="12"/>
  <c r="G129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1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A47" i="12" l="1"/>
  <c r="E82" i="12"/>
  <c r="E83" i="12" s="1"/>
  <c r="E84" i="12" s="1"/>
  <c r="E85" i="12" s="1"/>
  <c r="E86" i="12" s="1"/>
  <c r="C4" i="17" a="1"/>
  <c r="D64" i="12" a="1"/>
  <c r="G30" i="12" a="1"/>
  <c r="G124" i="12" a="1"/>
  <c r="D103" i="12" a="1"/>
  <c r="G77" i="12" a="1"/>
  <c r="D118" i="12" a="1"/>
  <c r="G76" i="12" a="1"/>
  <c r="D34" i="12" a="1"/>
  <c r="D52" i="12" a="1"/>
  <c r="D19" i="12" a="1"/>
  <c r="D84" i="12" a="1"/>
  <c r="C11" i="12" a="1"/>
  <c r="D70" i="12" a="1"/>
  <c r="G58" i="12" a="1"/>
  <c r="G104" i="12" a="1"/>
  <c r="D42" i="12" a="1"/>
  <c r="D95" i="12" a="1"/>
  <c r="D86" i="12" a="1"/>
  <c r="C14" i="17" a="1"/>
  <c r="G125" i="12" a="1"/>
  <c r="D100" i="12" a="1"/>
  <c r="D105" i="12" a="1"/>
  <c r="D121" i="12" a="1"/>
  <c r="G99" i="12" a="1"/>
  <c r="D87" i="12" a="1"/>
  <c r="G64" i="12" a="1"/>
  <c r="G111" i="12" a="1"/>
  <c r="G73" i="12" a="1"/>
  <c r="G71" i="12" a="1"/>
  <c r="D21" i="12" a="1"/>
  <c r="G117" i="12" a="1"/>
  <c r="D110" i="12" a="1"/>
  <c r="C17" i="12" a="1"/>
  <c r="D107" i="12" a="1"/>
  <c r="D31" i="12" a="1"/>
  <c r="G128" i="12" a="1"/>
  <c r="G72" i="12" a="1"/>
  <c r="D120" i="12" a="1"/>
  <c r="D4" i="12" a="1"/>
  <c r="C35" i="2" a="1"/>
  <c r="G98" i="12" a="1"/>
  <c r="G27" i="12" a="1"/>
  <c r="G83" i="12" a="1"/>
  <c r="D50" i="12" a="1"/>
  <c r="C8" i="17" a="1"/>
  <c r="C2" i="10" a="1"/>
  <c r="D5" i="12" a="1"/>
  <c r="D15" i="12" a="1"/>
  <c r="G38" i="12" a="1"/>
  <c r="D90" i="12" a="1"/>
  <c r="D83" i="12" a="1"/>
  <c r="D2" i="12" a="1"/>
  <c r="G45" i="12" a="1"/>
  <c r="G48" i="12" a="1"/>
  <c r="G18" i="12" a="1"/>
  <c r="G94" i="12" a="1"/>
  <c r="D29" i="12" a="1"/>
  <c r="D109" i="12" a="1"/>
  <c r="D10" i="12" a="1"/>
  <c r="G108" i="12" a="1"/>
  <c r="D92" i="12" a="1"/>
  <c r="D113" i="12" a="1"/>
  <c r="D39" i="12" a="1"/>
  <c r="G78" i="12" a="1"/>
  <c r="D116" i="12" a="1"/>
  <c r="G120" i="12" a="1"/>
  <c r="D82" i="12" a="1"/>
  <c r="G10" i="12" a="1"/>
  <c r="C22" i="2" a="1"/>
  <c r="C8" i="6" a="1"/>
  <c r="G3" i="12" a="1"/>
  <c r="D114" i="12" a="1"/>
  <c r="D106" i="12" a="1"/>
  <c r="D96" i="12" a="1"/>
  <c r="C111" i="12" a="1"/>
  <c r="C9" i="17" a="1"/>
  <c r="G46" i="12" a="1"/>
  <c r="D71" i="12" a="1"/>
  <c r="C9" i="6" a="1"/>
  <c r="G37" i="12" a="1"/>
  <c r="C10" i="6" a="1"/>
  <c r="C84" i="12" a="1"/>
  <c r="G113" i="12" a="1"/>
  <c r="C3" i="6" a="1"/>
  <c r="G5" i="12" a="1"/>
  <c r="G88" i="12" a="1"/>
  <c r="G47" i="12" a="1"/>
  <c r="G24" i="12" a="1"/>
  <c r="C3" i="17" a="1"/>
  <c r="C7" i="17" a="1"/>
  <c r="G60" i="12" a="1"/>
  <c r="G110" i="12" a="1"/>
  <c r="G6" i="12" a="1"/>
  <c r="D81" i="12" a="1"/>
  <c r="D53" i="12" a="1"/>
  <c r="D56" i="12" a="1"/>
  <c r="D54" i="12" a="1"/>
  <c r="D98" i="12" a="1"/>
  <c r="G2" i="12" a="1"/>
  <c r="D32" i="12" a="1"/>
  <c r="G13" i="12" a="1"/>
  <c r="D88" i="12" a="1"/>
  <c r="G2" i="4" a="1"/>
  <c r="G63" i="12" a="1"/>
  <c r="D72" i="12" a="1"/>
  <c r="D6" i="12" a="1"/>
  <c r="G93" i="12" a="1"/>
  <c r="G68" i="12" a="1"/>
  <c r="G106" i="12" a="1"/>
  <c r="I10" i="6" a="1"/>
  <c r="D38" i="12" a="1"/>
  <c r="D58" i="12" a="1"/>
  <c r="D9" i="12" a="1"/>
  <c r="C5" i="6" a="1"/>
  <c r="G23" i="12" a="1"/>
  <c r="G119" i="12" a="1"/>
  <c r="G19" i="12" a="1"/>
  <c r="C2" i="8" a="1"/>
  <c r="D119" i="12" a="1"/>
  <c r="D51" i="12" a="1"/>
  <c r="G85" i="12" a="1"/>
  <c r="D23" i="12" a="1"/>
  <c r="D63" i="12" a="1"/>
  <c r="G80" i="12" a="1"/>
  <c r="D111" i="12" a="1"/>
  <c r="G44" i="12" a="1"/>
  <c r="D3" i="12" a="1"/>
  <c r="D91" i="12" a="1"/>
  <c r="D27" i="12" a="1"/>
  <c r="G39" i="12" a="1"/>
  <c r="G15" i="12" a="1"/>
  <c r="C15" i="17" a="1"/>
  <c r="D104" i="12" a="1"/>
  <c r="D48" i="12" a="1"/>
  <c r="D16" i="12" a="1"/>
  <c r="G49" i="12" a="1"/>
  <c r="D35" i="12" a="1"/>
  <c r="C18" i="17" a="1"/>
  <c r="C16" i="17" a="1"/>
  <c r="D101" i="12" a="1"/>
  <c r="G50" i="12" a="1"/>
  <c r="D108" i="12" a="1"/>
  <c r="G103" i="12" a="1"/>
  <c r="C2" i="12" a="1"/>
  <c r="G36" i="12" a="1"/>
  <c r="D115" i="12" a="1"/>
  <c r="D7" i="12" a="1"/>
  <c r="D79" i="12" a="1"/>
  <c r="D30" i="12" a="1"/>
  <c r="D11" i="12" a="1"/>
  <c r="G29" i="12" a="1"/>
  <c r="G43" i="12" a="1"/>
  <c r="D93" i="12" a="1"/>
  <c r="G82" i="12" a="1"/>
  <c r="G86" i="12" a="1"/>
  <c r="G12" i="12" a="1"/>
  <c r="D102" i="12" a="1"/>
  <c r="G61" i="12" a="1"/>
  <c r="D55" i="12" a="1"/>
  <c r="C11" i="6" a="1"/>
  <c r="G105" i="12" a="1"/>
  <c r="G70" i="12" a="1"/>
  <c r="G41" i="12" a="1"/>
  <c r="G95" i="12" a="1"/>
  <c r="G59" i="12" a="1"/>
  <c r="G122" i="12" a="1"/>
  <c r="D73" i="12" a="1"/>
  <c r="C2" i="17" a="1"/>
  <c r="D13" i="12" a="1"/>
  <c r="G4" i="12" a="1"/>
  <c r="G40" i="12" a="1"/>
  <c r="D46" i="12" a="1"/>
  <c r="G89" i="12" a="1"/>
  <c r="D40" i="12" a="1"/>
  <c r="D45" i="12" a="1"/>
  <c r="I2" i="6" a="1"/>
  <c r="G16" i="12" a="1"/>
  <c r="G34" i="12" a="1"/>
  <c r="G54" i="12" a="1"/>
  <c r="G31" i="12" a="1"/>
  <c r="G116" i="12" a="1"/>
  <c r="C11" i="17" a="1"/>
  <c r="D80" i="12" a="1"/>
  <c r="G62" i="12" a="1"/>
  <c r="C7" i="6" a="1"/>
  <c r="D117" i="12" a="1"/>
  <c r="C12" i="17" a="1"/>
  <c r="G87" i="12" a="1"/>
  <c r="G92" i="12" a="1"/>
  <c r="D85" i="12" a="1"/>
  <c r="D37" i="12" a="1"/>
  <c r="G51" i="12" a="1"/>
  <c r="C12" i="6" a="1"/>
  <c r="D47" i="12" a="1"/>
  <c r="D76" i="12" a="1"/>
  <c r="D62" i="12" a="1"/>
  <c r="C2" i="6" a="1"/>
  <c r="D33" i="12" a="1"/>
  <c r="G91" i="12" a="1"/>
  <c r="D18" i="12" a="1"/>
  <c r="C47" i="12" a="1"/>
  <c r="D78" i="12" a="1"/>
  <c r="G33" i="12" a="1"/>
  <c r="G90" i="12" a="1"/>
  <c r="D94" i="12" a="1"/>
  <c r="G20" i="12" a="1"/>
  <c r="C13" i="17" a="1"/>
  <c r="D24" i="12" a="1"/>
  <c r="G21" i="12" a="1"/>
  <c r="G9" i="12" a="1"/>
  <c r="D59" i="12" a="1"/>
  <c r="D36" i="12" a="1"/>
  <c r="G79" i="12" a="1"/>
  <c r="D89" i="12" a="1"/>
  <c r="G7" i="12" a="1"/>
  <c r="G81" i="12" a="1"/>
  <c r="D8" i="12" a="1"/>
  <c r="C5" i="17" a="1"/>
  <c r="D49" i="12" a="1"/>
  <c r="G121" i="12" a="1"/>
  <c r="G102" i="12" a="1"/>
  <c r="D77" i="12" a="1"/>
  <c r="G53" i="12" a="1"/>
  <c r="D68" i="12" a="1"/>
  <c r="D12" i="12" a="1"/>
  <c r="G55" i="12" a="1"/>
  <c r="G96" i="12" a="1"/>
  <c r="I13" i="6" a="1"/>
  <c r="G35" i="12" a="1"/>
  <c r="C17" i="17" a="1"/>
  <c r="C13" i="6" a="1"/>
  <c r="G8" i="12" a="1"/>
  <c r="G11" i="12" a="1"/>
  <c r="G84" i="12" a="1"/>
  <c r="D61" i="12" a="1"/>
  <c r="G56" i="12" a="1"/>
  <c r="G100" i="12" a="1"/>
  <c r="G123" i="12" a="1"/>
  <c r="D60" i="12" a="1"/>
  <c r="D17" i="12" a="1"/>
  <c r="G127" i="12" a="1"/>
  <c r="G22" i="12" a="1"/>
  <c r="D122" i="12" a="1"/>
  <c r="C6" i="17" a="1"/>
  <c r="C4" i="6" a="1"/>
  <c r="D14" i="12" a="1"/>
  <c r="G52" i="12" a="1"/>
  <c r="G118" i="12" a="1"/>
  <c r="G101" i="12" a="1"/>
  <c r="D22" i="12" a="1"/>
  <c r="G14" i="12" a="1"/>
  <c r="D28" i="12" a="1"/>
  <c r="G107" i="12" a="1"/>
  <c r="D25" i="12" a="1"/>
  <c r="G42" i="12" a="1"/>
  <c r="G57" i="12" a="1"/>
  <c r="D57" i="12" a="1"/>
  <c r="D44" i="12" a="1"/>
  <c r="G109" i="12" a="1"/>
  <c r="C37" i="2" a="1"/>
  <c r="D43" i="12" a="1"/>
  <c r="G114" i="12" a="1"/>
  <c r="D99" i="12" a="1"/>
  <c r="D20" i="12" a="1"/>
  <c r="G32" i="12" a="1"/>
  <c r="G25" i="12" a="1"/>
  <c r="C3" i="8" a="1"/>
  <c r="D41" i="12" a="1"/>
  <c r="G28" i="12" a="1"/>
  <c r="C6" i="6" a="1"/>
  <c r="C7" i="6" l="1"/>
  <c r="G117" i="12"/>
  <c r="D21" i="12"/>
  <c r="D86" i="12"/>
  <c r="C8" i="6"/>
  <c r="G44" i="12"/>
  <c r="C111" i="12"/>
  <c r="G86" i="12"/>
  <c r="D61" i="12"/>
  <c r="D116" i="12"/>
  <c r="C2" i="6"/>
  <c r="C16" i="17"/>
  <c r="G16" i="17" s="1"/>
  <c r="D34" i="12"/>
  <c r="G9" i="12"/>
  <c r="G35" i="12"/>
  <c r="D84" i="12"/>
  <c r="G30" i="12"/>
  <c r="D85" i="12"/>
  <c r="G20" i="12"/>
  <c r="G84" i="12"/>
  <c r="G91" i="12"/>
  <c r="D113" i="12"/>
  <c r="G90" i="12"/>
  <c r="G122" i="12"/>
  <c r="G28" i="12"/>
  <c r="G22" i="12"/>
  <c r="C7" i="17"/>
  <c r="G7" i="17" s="1"/>
  <c r="D48" i="12"/>
  <c r="G31" i="12"/>
  <c r="C2" i="10"/>
  <c r="G40" i="12"/>
  <c r="D68" i="12"/>
  <c r="G72" i="12"/>
  <c r="G102" i="12"/>
  <c r="D60" i="12"/>
  <c r="D13" i="12"/>
  <c r="D91" i="12"/>
  <c r="C4" i="17"/>
  <c r="G4" i="17" s="1"/>
  <c r="D52" i="12"/>
  <c r="D19" i="12"/>
  <c r="G111" i="12"/>
  <c r="G96" i="12"/>
  <c r="G110" i="12"/>
  <c r="D109" i="12"/>
  <c r="D104" i="12"/>
  <c r="D35" i="12"/>
  <c r="D2" i="12"/>
  <c r="D77" i="12"/>
  <c r="G43" i="12"/>
  <c r="G19" i="12"/>
  <c r="D51" i="12"/>
  <c r="G79" i="12"/>
  <c r="G29" i="12"/>
  <c r="D42" i="12"/>
  <c r="D62" i="12"/>
  <c r="G94" i="12"/>
  <c r="G13" i="12"/>
  <c r="C8" i="17"/>
  <c r="G8" i="17" s="1"/>
  <c r="D3" i="12"/>
  <c r="D14" i="12"/>
  <c r="D80" i="12"/>
  <c r="G37" i="12"/>
  <c r="G23" i="12"/>
  <c r="G51" i="12"/>
  <c r="G76" i="12"/>
  <c r="D63" i="12"/>
  <c r="D108" i="12"/>
  <c r="D50" i="12"/>
  <c r="G27" i="12"/>
  <c r="G54" i="12"/>
  <c r="C5" i="6"/>
  <c r="G8" i="12"/>
  <c r="G41" i="12"/>
  <c r="G61" i="12"/>
  <c r="D24" i="12"/>
  <c r="D32" i="12"/>
  <c r="C3" i="6"/>
  <c r="D37" i="12"/>
  <c r="D88" i="12"/>
  <c r="D39" i="12"/>
  <c r="G108" i="12"/>
  <c r="D111" i="12"/>
  <c r="D89" i="12"/>
  <c r="D7" i="12"/>
  <c r="D58" i="12"/>
  <c r="D25" i="12"/>
  <c r="G88" i="12"/>
  <c r="D98" i="12"/>
  <c r="G64" i="12"/>
  <c r="D57" i="12"/>
  <c r="G38" i="12"/>
  <c r="D44" i="12"/>
  <c r="C13" i="6"/>
  <c r="I13" i="6"/>
  <c r="G49" i="12"/>
  <c r="C15" i="17"/>
  <c r="G15" i="17" s="1"/>
  <c r="G18" i="12"/>
  <c r="D70" i="12"/>
  <c r="D96" i="12"/>
  <c r="G39" i="12"/>
  <c r="G70" i="12"/>
  <c r="G120" i="12"/>
  <c r="D82" i="12"/>
  <c r="G15" i="12"/>
  <c r="D90" i="12"/>
  <c r="D16" i="12"/>
  <c r="D100" i="12"/>
  <c r="G118" i="12"/>
  <c r="C9" i="6"/>
  <c r="D30" i="12"/>
  <c r="C11" i="6"/>
  <c r="G10" i="12"/>
  <c r="D15" i="12"/>
  <c r="G55" i="12"/>
  <c r="G92" i="12"/>
  <c r="G78" i="12"/>
  <c r="G14" i="12"/>
  <c r="G3" i="12"/>
  <c r="G33" i="12"/>
  <c r="D122" i="12"/>
  <c r="G83" i="12"/>
  <c r="G42" i="12"/>
  <c r="G124" i="12"/>
  <c r="D114" i="12"/>
  <c r="G25" i="12"/>
  <c r="G87" i="12"/>
  <c r="D101" i="12"/>
  <c r="D4" i="12"/>
  <c r="C5" i="17"/>
  <c r="G5" i="17" s="1"/>
  <c r="C12" i="6"/>
  <c r="G53" i="12"/>
  <c r="D27" i="12"/>
  <c r="C11" i="17"/>
  <c r="G11" i="17" s="1"/>
  <c r="G114" i="12"/>
  <c r="G52" i="12"/>
  <c r="G121" i="12"/>
  <c r="G116" i="12"/>
  <c r="D55" i="12"/>
  <c r="D10" i="12"/>
  <c r="G63" i="12"/>
  <c r="D106" i="12"/>
  <c r="D43" i="12"/>
  <c r="G36" i="12"/>
  <c r="D47" i="12"/>
  <c r="C13" i="17"/>
  <c r="G13" i="17" s="1"/>
  <c r="D92" i="12"/>
  <c r="G56" i="12"/>
  <c r="C10" i="6"/>
  <c r="D17" i="12"/>
  <c r="D38" i="12"/>
  <c r="G2" i="12"/>
  <c r="D59" i="12"/>
  <c r="G103" i="12"/>
  <c r="G47" i="12"/>
  <c r="D46" i="12"/>
  <c r="D49" i="12"/>
  <c r="D6" i="12"/>
  <c r="D72" i="12"/>
  <c r="D105" i="12"/>
  <c r="D22" i="12"/>
  <c r="G71" i="12"/>
  <c r="D115" i="12"/>
  <c r="G82" i="12"/>
  <c r="G4" i="12"/>
  <c r="D120" i="12"/>
  <c r="C35" i="2"/>
  <c r="D81" i="12"/>
  <c r="G125" i="12"/>
  <c r="D56" i="12"/>
  <c r="C2" i="8"/>
  <c r="G5" i="12"/>
  <c r="G32" i="12"/>
  <c r="C3" i="8"/>
  <c r="C9" i="17"/>
  <c r="G9" i="17" s="1"/>
  <c r="C11" i="12"/>
  <c r="D99" i="12"/>
  <c r="G109" i="12"/>
  <c r="G113" i="12"/>
  <c r="G24" i="12"/>
  <c r="G46" i="12"/>
  <c r="D93" i="12"/>
  <c r="D71" i="12"/>
  <c r="G73" i="12"/>
  <c r="G16" i="12"/>
  <c r="G105" i="12"/>
  <c r="C2" i="17"/>
  <c r="G57" i="12"/>
  <c r="G11" i="12"/>
  <c r="G81" i="12"/>
  <c r="G127" i="12"/>
  <c r="D28" i="12"/>
  <c r="D29" i="12"/>
  <c r="D83" i="12"/>
  <c r="C37" i="2"/>
  <c r="G123" i="12"/>
  <c r="D118" i="12"/>
  <c r="D23" i="12"/>
  <c r="D79" i="12"/>
  <c r="G100" i="12"/>
  <c r="C4" i="6"/>
  <c r="D11" i="12"/>
  <c r="D53" i="12"/>
  <c r="D45" i="12"/>
  <c r="G21" i="12"/>
  <c r="D40" i="12"/>
  <c r="G34" i="12"/>
  <c r="D41" i="12"/>
  <c r="D73" i="12"/>
  <c r="C22" i="2"/>
  <c r="G12" i="12"/>
  <c r="D36" i="12"/>
  <c r="D20" i="12"/>
  <c r="C17" i="12"/>
  <c r="G107" i="12"/>
  <c r="I2" i="6"/>
  <c r="G68" i="12"/>
  <c r="G93" i="12"/>
  <c r="C14" i="17"/>
  <c r="G14" i="17" s="1"/>
  <c r="G58" i="12"/>
  <c r="C6" i="17"/>
  <c r="G6" i="17" s="1"/>
  <c r="D18" i="12"/>
  <c r="G60" i="12"/>
  <c r="G77" i="12"/>
  <c r="G7" i="12"/>
  <c r="G50" i="12"/>
  <c r="G98" i="12"/>
  <c r="G104" i="12"/>
  <c r="G106" i="12"/>
  <c r="D95" i="12"/>
  <c r="D117" i="12"/>
  <c r="C17" i="17"/>
  <c r="G17" i="17" s="1"/>
  <c r="G6" i="12"/>
  <c r="D9" i="12"/>
  <c r="G95" i="12"/>
  <c r="G119" i="12"/>
  <c r="D8" i="12"/>
  <c r="G99" i="12"/>
  <c r="D107" i="12"/>
  <c r="D54" i="12"/>
  <c r="D119" i="12"/>
  <c r="G45" i="12"/>
  <c r="D94" i="12"/>
  <c r="C12" i="17"/>
  <c r="G12" i="17" s="1"/>
  <c r="D78" i="12"/>
  <c r="G89" i="12"/>
  <c r="D64" i="12"/>
  <c r="G80" i="12"/>
  <c r="D103" i="12"/>
  <c r="G62" i="12"/>
  <c r="G48" i="12"/>
  <c r="D102" i="12"/>
  <c r="C6" i="6"/>
  <c r="D110" i="12"/>
  <c r="G128" i="12"/>
  <c r="G85" i="12"/>
  <c r="I10" i="6"/>
  <c r="D33" i="12"/>
  <c r="D12" i="12"/>
  <c r="D87" i="12"/>
  <c r="D121" i="12"/>
  <c r="C18" i="17"/>
  <c r="G18" i="17" s="1"/>
  <c r="G59" i="12"/>
  <c r="D31" i="12"/>
  <c r="C3" i="17"/>
  <c r="G3" i="17" s="1"/>
  <c r="G101" i="12"/>
  <c r="D76" i="12"/>
  <c r="D5" i="12"/>
  <c r="C84" i="12"/>
  <c r="G2" i="4"/>
  <c r="C2" i="12"/>
  <c r="C47" i="12"/>
  <c r="D16" i="4" a="1"/>
  <c r="E2" i="22" a="1"/>
  <c r="J2" i="22" a="1"/>
  <c r="D15" i="4" a="1"/>
  <c r="D14" i="4" a="1"/>
  <c r="D13" i="4" a="1"/>
  <c r="D18" i="4" a="1"/>
  <c r="D18" i="4" l="1"/>
  <c r="D13" i="4"/>
  <c r="D14" i="4"/>
  <c r="D16" i="4"/>
  <c r="D15" i="4"/>
  <c r="J2" i="22"/>
  <c r="E2" i="22"/>
  <c r="A3" i="7"/>
  <c r="A3" i="8"/>
  <c r="A127" i="12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21" i="4"/>
  <c r="A20" i="4"/>
  <c r="A19" i="4"/>
  <c r="A128" i="12"/>
  <c r="A125" i="12"/>
  <c r="E124" i="12"/>
  <c r="A124" i="12"/>
  <c r="A123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2" i="12"/>
  <c r="A121" i="12"/>
  <c r="A120" i="12"/>
  <c r="E119" i="12"/>
  <c r="E120" i="12" s="1"/>
  <c r="E121" i="12" s="1"/>
  <c r="E122" i="12" s="1"/>
  <c r="A119" i="12"/>
  <c r="A118" i="12"/>
  <c r="A117" i="12"/>
  <c r="A116" i="12"/>
  <c r="A115" i="12"/>
  <c r="E116" i="12"/>
  <c r="E117" i="12" s="1"/>
  <c r="A114" i="12"/>
  <c r="A113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F9" i="11" a="1"/>
  <c r="F7" i="11" a="1"/>
  <c r="C20" i="2" a="1"/>
  <c r="E22" i="4" a="1"/>
  <c r="E14" i="4" a="1"/>
  <c r="C7" i="2" a="1"/>
  <c r="C31" i="2" a="1"/>
  <c r="H136" i="12" a="1"/>
  <c r="F2" i="11" a="1"/>
  <c r="E8" i="4" a="1"/>
  <c r="C16" i="2" a="1"/>
  <c r="C7" i="4" a="1"/>
  <c r="F11" i="11" a="1"/>
  <c r="H40" i="12" a="1"/>
  <c r="C19" i="4" a="1"/>
  <c r="H137" i="12" a="1"/>
  <c r="C8" i="2" a="1"/>
  <c r="C38" i="2" a="1"/>
  <c r="E21" i="4" a="1"/>
  <c r="C9" i="2" a="1"/>
  <c r="C10" i="4" a="1"/>
  <c r="F8" i="11" a="1"/>
  <c r="H103" i="12" a="1"/>
  <c r="C5" i="2" a="1"/>
  <c r="E13" i="4" a="1"/>
  <c r="H30" i="12" a="1"/>
  <c r="C34" i="2" a="1"/>
  <c r="F6" i="11" a="1"/>
  <c r="H101" i="12" a="1"/>
  <c r="C6" i="4" a="1"/>
  <c r="E3" i="8" a="1"/>
  <c r="E2" i="8" a="1"/>
  <c r="E10" i="4" a="1"/>
  <c r="I4" i="6" a="1"/>
  <c r="C21" i="2" a="1"/>
  <c r="I12" i="6" a="1"/>
  <c r="G2" i="11" a="1"/>
  <c r="E11" i="4" a="1"/>
  <c r="C17" i="4" a="1"/>
  <c r="F14" i="11" a="1"/>
  <c r="F16" i="11" a="1"/>
  <c r="E15" i="4" a="1"/>
  <c r="C5" i="4" a="1"/>
  <c r="C26" i="2" a="1"/>
  <c r="E4" i="4" a="1"/>
  <c r="C33" i="2" a="1"/>
  <c r="H102" i="12" a="1"/>
  <c r="F5" i="11" a="1"/>
  <c r="E19" i="4" a="1"/>
  <c r="C10" i="2" a="1"/>
  <c r="C12" i="2" a="1"/>
  <c r="C30" i="2" a="1"/>
  <c r="F12" i="11" a="1"/>
  <c r="E2" i="4" a="1"/>
  <c r="E12" i="4" a="1"/>
  <c r="H37" i="12" a="1"/>
  <c r="C21" i="4" a="1"/>
  <c r="C11" i="4" a="1"/>
  <c r="C3" i="4" a="1"/>
  <c r="F13" i="11" a="1"/>
  <c r="C25" i="2" a="1"/>
  <c r="C8" i="4" a="1"/>
  <c r="E7" i="4" a="1"/>
  <c r="E6" i="4" a="1"/>
  <c r="I9" i="6" a="1"/>
  <c r="C23" i="2" a="1"/>
  <c r="C12" i="4" a="1"/>
  <c r="I11" i="6" a="1"/>
  <c r="C2" i="2" a="1"/>
  <c r="E20" i="4" a="1"/>
  <c r="C18" i="2" a="1"/>
  <c r="E2" i="10" a="1"/>
  <c r="F3" i="11" a="1"/>
  <c r="C13" i="2" a="1"/>
  <c r="F4" i="11" a="1"/>
  <c r="C32" i="2" a="1"/>
  <c r="I5" i="6" a="1"/>
  <c r="C20" i="4" a="1"/>
  <c r="C14" i="4" a="1"/>
  <c r="I6" i="6" a="1"/>
  <c r="F17" i="11" a="1"/>
  <c r="C13" i="4" a="1"/>
  <c r="C24" i="2" a="1"/>
  <c r="I7" i="6" a="1"/>
  <c r="C15" i="2" a="1"/>
  <c r="C15" i="4" a="1"/>
  <c r="C2" i="4" a="1"/>
  <c r="E18" i="4" a="1"/>
  <c r="C4" i="2" a="1"/>
  <c r="I3" i="6" a="1"/>
  <c r="F15" i="11" a="1"/>
  <c r="C17" i="2" a="1"/>
  <c r="C29" i="2" a="1"/>
  <c r="C27" i="2" a="1"/>
  <c r="C16" i="4" a="1"/>
  <c r="I8" i="6" a="1"/>
  <c r="C18" i="4" a="1"/>
  <c r="C11" i="2" a="1"/>
  <c r="E17" i="4" a="1"/>
  <c r="C6" i="2" a="1"/>
  <c r="H18" i="12" a="1"/>
  <c r="C4" i="4" a="1"/>
  <c r="C14" i="2" a="1"/>
  <c r="H38" i="12" a="1"/>
  <c r="E5" i="4" a="1"/>
  <c r="C36" i="2" a="1"/>
  <c r="E16" i="4" a="1"/>
  <c r="C3" i="2" a="1"/>
  <c r="C28" i="2" a="1"/>
  <c r="F2" i="17" a="1"/>
  <c r="H17" i="12" a="1"/>
  <c r="E3" i="4" a="1"/>
  <c r="C19" i="2" a="1"/>
  <c r="E9" i="4" a="1"/>
  <c r="C9" i="4" a="1"/>
  <c r="H39" i="12" a="1"/>
  <c r="F7" i="11" l="1"/>
  <c r="F9" i="11"/>
  <c r="E111" i="12"/>
  <c r="E112" i="12" s="1"/>
  <c r="E113" i="12" s="1"/>
  <c r="E125" i="12"/>
  <c r="E126" i="12" s="1"/>
  <c r="E127" i="12" s="1"/>
  <c r="E128" i="12" s="1"/>
  <c r="I8" i="6"/>
  <c r="I3" i="6"/>
  <c r="I7" i="6"/>
  <c r="I6" i="6"/>
  <c r="I5" i="6"/>
  <c r="I12" i="6"/>
  <c r="I4" i="6"/>
  <c r="I11" i="6"/>
  <c r="I9" i="6"/>
  <c r="H30" i="12"/>
  <c r="H136" i="12"/>
  <c r="H137" i="12"/>
  <c r="H37" i="12"/>
  <c r="H40" i="12"/>
  <c r="H38" i="12"/>
  <c r="H18" i="12"/>
  <c r="H103" i="12"/>
  <c r="H39" i="12"/>
  <c r="H102" i="12"/>
  <c r="H17" i="12"/>
  <c r="H101" i="12"/>
  <c r="G2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F11" i="11"/>
  <c r="F12" i="11"/>
  <c r="F3" i="11"/>
  <c r="F2" i="11"/>
  <c r="F8" i="11"/>
  <c r="F6" i="11"/>
  <c r="F4" i="11"/>
  <c r="F5" i="11"/>
  <c r="D10" i="4" a="1"/>
  <c r="I43" i="12" a="1"/>
  <c r="I42" i="12" a="1"/>
  <c r="J43" i="12" a="1"/>
  <c r="J9" i="12" a="1"/>
  <c r="C78" i="12" a="1"/>
  <c r="C38" i="12" a="1"/>
  <c r="C107" i="12" a="1"/>
  <c r="I89" i="12" a="1"/>
  <c r="J59" i="12" a="1"/>
  <c r="J26" i="12" a="1"/>
  <c r="C30" i="12" a="1"/>
  <c r="J127" i="12" a="1"/>
  <c r="I73" i="12" a="1"/>
  <c r="I83" i="12" a="1"/>
  <c r="I104" i="12" a="1"/>
  <c r="J139" i="12" a="1"/>
  <c r="C93" i="12" a="1"/>
  <c r="J96" i="12" a="1"/>
  <c r="J42" i="12" a="1"/>
  <c r="C5" i="12" a="1"/>
  <c r="D2" i="4" a="1"/>
  <c r="I45" i="12" a="1"/>
  <c r="I27" i="12" a="1"/>
  <c r="C95" i="12" a="1"/>
  <c r="C87" i="12" a="1"/>
  <c r="I97" i="12" a="1"/>
  <c r="I22" i="12" a="1"/>
  <c r="C56" i="12" a="1"/>
  <c r="C19" i="12" a="1"/>
  <c r="J34" i="12" a="1"/>
  <c r="I48" i="12" a="1"/>
  <c r="I25" i="12" a="1"/>
  <c r="C51" i="12" a="1"/>
  <c r="J63" i="12" a="1"/>
  <c r="J119" i="12" a="1"/>
  <c r="J12" i="12" a="1"/>
  <c r="J94" i="12" a="1"/>
  <c r="I2" i="12" a="1"/>
  <c r="C22" i="12" a="1"/>
  <c r="J77" i="12" a="1"/>
  <c r="I86" i="12" a="1"/>
  <c r="D11" i="4" a="1"/>
  <c r="J106" i="12" a="1"/>
  <c r="J62" i="12" a="1"/>
  <c r="C29" i="12" a="1"/>
  <c r="C79" i="12" a="1"/>
  <c r="C14" i="12" a="1"/>
  <c r="J8" i="12" a="1"/>
  <c r="J16" i="12" a="1"/>
  <c r="C63" i="12" a="1"/>
  <c r="C76" i="12" a="1"/>
  <c r="I145" i="12" a="1"/>
  <c r="I105" i="12" a="1"/>
  <c r="C9" i="12" a="1"/>
  <c r="I129" i="12" a="1"/>
  <c r="I116" i="12" a="1"/>
  <c r="I51" i="12" a="1"/>
  <c r="I11" i="12" a="1"/>
  <c r="C27" i="12" a="1"/>
  <c r="I63" i="12" a="1"/>
  <c r="J36" i="12" a="1"/>
  <c r="C8" i="12" a="1"/>
  <c r="D9" i="4" a="1"/>
  <c r="C20" i="12" a="1"/>
  <c r="J137" i="12" a="1"/>
  <c r="C57" i="12" a="1"/>
  <c r="I41" i="12" a="1"/>
  <c r="J101" i="12" a="1"/>
  <c r="J69" i="12" a="1"/>
  <c r="J104" i="12" a="1"/>
  <c r="C91" i="12" a="1"/>
  <c r="I113" i="12" a="1"/>
  <c r="C62" i="12" a="1"/>
  <c r="I93" i="12" a="1"/>
  <c r="I39" i="12" a="1"/>
  <c r="I60" i="12" a="1"/>
  <c r="I50" i="12" a="1"/>
  <c r="J75" i="12" a="1"/>
  <c r="J15" i="12" a="1"/>
  <c r="I17" i="12" a="1"/>
  <c r="I14" i="12" a="1"/>
  <c r="C103" i="12" a="1"/>
  <c r="C49" i="12" a="1"/>
  <c r="D21" i="4" a="1"/>
  <c r="C32" i="12" a="1"/>
  <c r="I59" i="12" a="1"/>
  <c r="J110" i="12" a="1"/>
  <c r="I109" i="12" a="1"/>
  <c r="I62" i="12" a="1"/>
  <c r="I34" i="12" a="1"/>
  <c r="C86" i="12" a="1"/>
  <c r="I144" i="12" a="1"/>
  <c r="I38" i="12" a="1"/>
  <c r="J52" i="12" a="1"/>
  <c r="I37" i="12" a="1"/>
  <c r="C61" i="12" a="1"/>
  <c r="J74" i="12" a="1"/>
  <c r="J46" i="12" a="1"/>
  <c r="J35" i="12" a="1"/>
  <c r="I142" i="12" a="1"/>
  <c r="I134" i="12" a="1"/>
  <c r="I100" i="12" a="1"/>
  <c r="J135" i="12" a="1"/>
  <c r="J39" i="12" a="1"/>
  <c r="D3" i="4" a="1"/>
  <c r="C88" i="12" a="1"/>
  <c r="J83" i="12" a="1"/>
  <c r="J5" i="12" a="1"/>
  <c r="C121" i="12" a="1"/>
  <c r="C13" i="12" a="1"/>
  <c r="I96" i="12" a="1"/>
  <c r="I19" i="12" a="1"/>
  <c r="J76" i="12" a="1"/>
  <c r="J140" i="12" a="1"/>
  <c r="I67" i="12" a="1"/>
  <c r="I71" i="12" a="1"/>
  <c r="I78" i="12" a="1"/>
  <c r="J134" i="12" a="1"/>
  <c r="J105" i="12" a="1"/>
  <c r="J6" i="12" a="1"/>
  <c r="I31" i="12" a="1"/>
  <c r="J40" i="12" a="1"/>
  <c r="J23" i="12" a="1"/>
  <c r="J144" i="12" a="1"/>
  <c r="D4" i="4" a="1"/>
  <c r="C33" i="12" a="1"/>
  <c r="C58" i="12" a="1"/>
  <c r="C25" i="12" a="1"/>
  <c r="J22" i="12" a="1"/>
  <c r="J64" i="12" a="1"/>
  <c r="C77" i="12" a="1"/>
  <c r="I29" i="12" a="1"/>
  <c r="I99" i="12" a="1"/>
  <c r="I103" i="12" a="1"/>
  <c r="C55" i="12" a="1"/>
  <c r="C41" i="12" a="1"/>
  <c r="J129" i="12" a="1"/>
  <c r="I138" i="12" a="1"/>
  <c r="C96" i="12" a="1"/>
  <c r="C80" i="12" a="1"/>
  <c r="C52" i="12" a="1"/>
  <c r="I58" i="12" a="1"/>
  <c r="I114" i="12" a="1"/>
  <c r="I4" i="12" a="1"/>
  <c r="D5" i="4" a="1"/>
  <c r="C23" i="12" a="1"/>
  <c r="I85" i="12" a="1"/>
  <c r="J20" i="12" a="1"/>
  <c r="I56" i="12" a="1"/>
  <c r="J80" i="12" a="1"/>
  <c r="C28" i="12" a="1"/>
  <c r="J87" i="12" a="1"/>
  <c r="C59" i="12" a="1"/>
  <c r="J50" i="12" a="1"/>
  <c r="I32" i="12" a="1"/>
  <c r="I119" i="12" a="1"/>
  <c r="J114" i="12" a="1"/>
  <c r="I9" i="12" a="1"/>
  <c r="J99" i="12" a="1"/>
  <c r="J71" i="12" a="1"/>
  <c r="C3" i="12" a="1"/>
  <c r="I87" i="12" a="1"/>
  <c r="I70" i="12" a="1"/>
  <c r="I92" i="12" a="1"/>
  <c r="D12" i="4" a="1"/>
  <c r="J60" i="12" a="1"/>
  <c r="I5" i="12" a="1"/>
  <c r="C31" i="12" a="1"/>
  <c r="J41" i="12" a="1"/>
  <c r="I120" i="12" a="1"/>
  <c r="C90" i="12" a="1"/>
  <c r="I91" i="12" a="1"/>
  <c r="I127" i="12" a="1"/>
  <c r="C73" i="12" a="1"/>
  <c r="J123" i="12" a="1"/>
  <c r="J113" i="12" a="1"/>
  <c r="C46" i="12" a="1"/>
  <c r="J88" i="12" a="1"/>
  <c r="C113" i="12" a="1"/>
  <c r="J133" i="12" a="1"/>
  <c r="C116" i="12" a="1"/>
  <c r="C100" i="12" a="1"/>
  <c r="J7" i="12" a="1"/>
  <c r="J142" i="12" a="1"/>
  <c r="D6" i="4" a="1"/>
  <c r="C12" i="12" a="1"/>
  <c r="J82" i="12" a="1"/>
  <c r="C83" i="12" a="1"/>
  <c r="C10" i="12" a="1"/>
  <c r="J53" i="12" a="1"/>
  <c r="C89" i="12" a="1"/>
  <c r="I21" i="12" a="1"/>
  <c r="I111" i="12" a="1"/>
  <c r="J93" i="12" a="1"/>
  <c r="J136" i="12" a="1"/>
  <c r="I20" i="12" a="1"/>
  <c r="C98" i="12" a="1"/>
  <c r="C48" i="12" a="1"/>
  <c r="I102" i="12" a="1"/>
  <c r="I139" i="12" a="1"/>
  <c r="J86" i="12" a="1"/>
  <c r="J132" i="12" a="1"/>
  <c r="C115" i="12" a="1"/>
  <c r="I140" i="12" a="1"/>
  <c r="D22" i="4" a="1"/>
  <c r="J116" i="12" a="1"/>
  <c r="J44" i="12" a="1"/>
  <c r="J70" i="12" a="1"/>
  <c r="I3" i="12" a="1"/>
  <c r="C101" i="12" a="1"/>
  <c r="I30" i="12" a="1"/>
  <c r="C7" i="12" a="1"/>
  <c r="J37" i="12" a="1"/>
  <c r="I88" i="12" a="1"/>
  <c r="J68" i="12" a="1"/>
  <c r="I61" i="12" a="1"/>
  <c r="I76" i="12" a="1"/>
  <c r="I146" i="12" a="1"/>
  <c r="C68" i="12" a="1"/>
  <c r="I40" i="12" a="1"/>
  <c r="J73" i="12" a="1"/>
  <c r="C85" i="12" a="1"/>
  <c r="I33" i="12" a="1"/>
  <c r="I80" i="12" a="1"/>
  <c r="C42" i="12" a="1"/>
  <c r="J131" i="12" a="1"/>
  <c r="J81" i="12" a="1"/>
  <c r="J48" i="12" a="1"/>
  <c r="J55" i="12" a="1"/>
  <c r="J95" i="12" a="1"/>
  <c r="I6" i="12" a="1"/>
  <c r="I106" i="12" a="1"/>
  <c r="J107" i="12" a="1"/>
  <c r="J13" i="12" a="1"/>
  <c r="J24" i="12" a="1"/>
  <c r="I44" i="12" a="1"/>
  <c r="C71" i="12" a="1"/>
  <c r="C60" i="12" a="1"/>
  <c r="J143" i="12" a="1"/>
  <c r="I125" i="12" a="1"/>
  <c r="J103" i="12" a="1"/>
  <c r="C114" i="12" a="1"/>
  <c r="I123" i="12" a="1"/>
  <c r="I16" i="12" a="1"/>
  <c r="J91" i="12" a="1"/>
  <c r="J85" i="12" a="1"/>
  <c r="C64" i="12" a="1"/>
  <c r="J65" i="12" a="1"/>
  <c r="J54" i="12" a="1"/>
  <c r="J102" i="12" a="1"/>
  <c r="J17" i="12" a="1"/>
  <c r="J10" i="12" a="1"/>
  <c r="J51" i="12" a="1"/>
  <c r="I24" i="12" a="1"/>
  <c r="C4" i="12" a="1"/>
  <c r="J92" i="12" a="1"/>
  <c r="J120" i="12" a="1"/>
  <c r="J117" i="12" a="1"/>
  <c r="I132" i="12" a="1"/>
  <c r="J124" i="12" a="1"/>
  <c r="I54" i="12" a="1"/>
  <c r="J47" i="12" a="1"/>
  <c r="I52" i="12" a="1"/>
  <c r="I118" i="12" a="1"/>
  <c r="I72" i="12" a="1"/>
  <c r="C110" i="12" a="1"/>
  <c r="I115" i="12" a="1"/>
  <c r="I49" i="12" a="1"/>
  <c r="J49" i="12" a="1"/>
  <c r="C92" i="12" a="1"/>
  <c r="C117" i="12" a="1"/>
  <c r="I53" i="12" a="1"/>
  <c r="J100" i="12" a="1"/>
  <c r="I57" i="12" a="1"/>
  <c r="J57" i="12" a="1"/>
  <c r="I84" i="12" a="1"/>
  <c r="C70" i="12" a="1"/>
  <c r="J4" i="12" a="1"/>
  <c r="C50" i="12" a="1"/>
  <c r="I47" i="12" a="1"/>
  <c r="C24" i="12" a="1"/>
  <c r="I131" i="12" a="1"/>
  <c r="C40" i="12" a="1"/>
  <c r="I107" i="12" a="1"/>
  <c r="J109" i="12" a="1"/>
  <c r="C108" i="12" a="1"/>
  <c r="I74" i="12" a="1"/>
  <c r="J112" i="12" a="1"/>
  <c r="J19" i="12" a="1"/>
  <c r="D20" i="4" a="1"/>
  <c r="I133" i="12" a="1"/>
  <c r="C45" i="12" a="1"/>
  <c r="C104" i="12" a="1"/>
  <c r="J146" i="12" a="1"/>
  <c r="C36" i="12" a="1"/>
  <c r="C122" i="12" a="1"/>
  <c r="I66" i="12" a="1"/>
  <c r="D24" i="4" a="1"/>
  <c r="D7" i="4" a="1"/>
  <c r="J108" i="12" a="1"/>
  <c r="J29" i="12" a="1"/>
  <c r="C118" i="12" a="1"/>
  <c r="I28" i="12" a="1"/>
  <c r="C53" i="12" a="1"/>
  <c r="I94" i="12" a="1"/>
  <c r="J115" i="12" a="1"/>
  <c r="C15" i="12" a="1"/>
  <c r="J56" i="12" a="1"/>
  <c r="J138" i="12" a="1"/>
  <c r="J32" i="12" a="1"/>
  <c r="C81" i="12" a="1"/>
  <c r="D8" i="4" a="1"/>
  <c r="I12" i="12" a="1"/>
  <c r="J72" i="12" a="1"/>
  <c r="J27" i="12" a="1"/>
  <c r="J97" i="12" a="1"/>
  <c r="J141" i="12" a="1"/>
  <c r="I18" i="12" a="1"/>
  <c r="C39" i="12" a="1"/>
  <c r="I7" i="12" a="1"/>
  <c r="J14" i="12" a="1"/>
  <c r="J122" i="12" a="1"/>
  <c r="I141" i="12" a="1"/>
  <c r="J33" i="12" a="1"/>
  <c r="J118" i="12" a="1"/>
  <c r="J31" i="12" a="1"/>
  <c r="J128" i="12" a="1"/>
  <c r="I124" i="12" a="1"/>
  <c r="C16" i="12" a="1"/>
  <c r="J67" i="12" a="1"/>
  <c r="C82" i="12" a="1"/>
  <c r="J38" i="12" a="1"/>
  <c r="I26" i="12" a="1"/>
  <c r="C37" i="12" a="1"/>
  <c r="J61" i="12" a="1"/>
  <c r="C120" i="12" a="1"/>
  <c r="I46" i="12" a="1"/>
  <c r="C34" i="12" a="1"/>
  <c r="C119" i="12" a="1"/>
  <c r="C54" i="12" a="1"/>
  <c r="I108" i="12" a="1"/>
  <c r="L2" i="12" a="1"/>
  <c r="C109" i="12" a="1"/>
  <c r="I15" i="12" a="1"/>
  <c r="J66" i="12" a="1"/>
  <c r="I55" i="12" a="1"/>
  <c r="C102" i="12" a="1"/>
  <c r="I90" i="12" a="1"/>
  <c r="C6" i="12" a="1"/>
  <c r="J78" i="12" a="1"/>
  <c r="I23" i="12" a="1"/>
  <c r="J58" i="12" a="1"/>
  <c r="I121" i="12" a="1"/>
  <c r="C99" i="12" a="1"/>
  <c r="J84" i="12" a="1"/>
  <c r="J28" i="12" a="1"/>
  <c r="C94" i="12" a="1"/>
  <c r="J3" i="12" a="1"/>
  <c r="I128" i="12" a="1"/>
  <c r="D23" i="4" a="1"/>
  <c r="J125" i="12" a="1"/>
  <c r="I13" i="12" a="1"/>
  <c r="I79" i="12" a="1"/>
  <c r="I101" i="12" a="1"/>
  <c r="I10" i="12" a="1"/>
  <c r="J89" i="12" a="1"/>
  <c r="I122" i="12" a="1"/>
  <c r="I82" i="12" a="1"/>
  <c r="J121" i="12" a="1"/>
  <c r="D17" i="4" a="1"/>
  <c r="J130" i="12" a="1"/>
  <c r="J98" i="12" a="1"/>
  <c r="I77" i="12" a="1"/>
  <c r="J11" i="12" a="1"/>
  <c r="C106" i="12" a="1"/>
  <c r="I64" i="12" a="1"/>
  <c r="I35" i="12" a="1"/>
  <c r="I112" i="12" a="1"/>
  <c r="J30" i="12" a="1"/>
  <c r="D19" i="4" a="1"/>
  <c r="I8" i="12" a="1"/>
  <c r="I117" i="12" a="1"/>
  <c r="C35" i="12" a="1"/>
  <c r="I65" i="12" a="1"/>
  <c r="I137" i="12" a="1"/>
  <c r="J145" i="12" a="1"/>
  <c r="C44" i="12" a="1"/>
  <c r="I136" i="12" a="1"/>
  <c r="I69" i="12" a="1"/>
  <c r="I75" i="12" a="1"/>
  <c r="J90" i="12" a="1"/>
  <c r="I130" i="12" a="1"/>
  <c r="J79" i="12" a="1"/>
  <c r="C72" i="12" a="1"/>
  <c r="J21" i="12" a="1"/>
  <c r="J18" i="12" a="1"/>
  <c r="J25" i="12" a="1"/>
  <c r="I68" i="12" a="1"/>
  <c r="J45" i="12" a="1"/>
  <c r="C21" i="12" a="1"/>
  <c r="I36" i="12" a="1"/>
  <c r="I110" i="12" a="1"/>
  <c r="C105" i="12" a="1"/>
  <c r="C43" i="12" a="1"/>
  <c r="J2" i="12" a="1"/>
  <c r="I81" i="12" a="1"/>
  <c r="J111" i="12" a="1"/>
  <c r="C18" i="12" a="1"/>
  <c r="I98" i="12" a="1"/>
  <c r="I95" i="12" a="1"/>
  <c r="I143" i="12" a="1"/>
  <c r="I112" i="12" l="1"/>
  <c r="D24" i="4"/>
  <c r="J112" i="12"/>
  <c r="J143" i="12"/>
  <c r="I144" i="12"/>
  <c r="I146" i="12"/>
  <c r="I145" i="12"/>
  <c r="D23" i="4"/>
  <c r="I143" i="12"/>
  <c r="J144" i="12"/>
  <c r="J145" i="12"/>
  <c r="J146" i="12"/>
  <c r="J4" i="12"/>
  <c r="J16" i="12"/>
  <c r="J120" i="12"/>
  <c r="J93" i="12"/>
  <c r="J35" i="12"/>
  <c r="J50" i="12"/>
  <c r="J116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9" i="12"/>
  <c r="J140" i="12"/>
  <c r="J115" i="12"/>
  <c r="J89" i="12"/>
  <c r="J95" i="12"/>
  <c r="J49" i="12"/>
  <c r="J133" i="12"/>
  <c r="J118" i="12"/>
  <c r="J77" i="12"/>
  <c r="J65" i="12"/>
  <c r="J132" i="12"/>
  <c r="J33" i="12"/>
  <c r="J62" i="12"/>
  <c r="J75" i="12"/>
  <c r="J141" i="12"/>
  <c r="J42" i="12"/>
  <c r="J28" i="12"/>
  <c r="J76" i="12"/>
  <c r="J78" i="12"/>
  <c r="J124" i="12"/>
  <c r="J69" i="12"/>
  <c r="J114" i="12"/>
  <c r="J86" i="12"/>
  <c r="J31" i="12"/>
  <c r="J125" i="12"/>
  <c r="J88" i="12"/>
  <c r="J121" i="12"/>
  <c r="J68" i="12"/>
  <c r="J123" i="12"/>
  <c r="J55" i="12"/>
  <c r="J119" i="12"/>
  <c r="J48" i="12"/>
  <c r="J61" i="12"/>
  <c r="J130" i="12"/>
  <c r="J87" i="12"/>
  <c r="J139" i="12"/>
  <c r="J84" i="12"/>
  <c r="J54" i="12"/>
  <c r="J80" i="12"/>
  <c r="J91" i="12"/>
  <c r="J92" i="12"/>
  <c r="J94" i="12"/>
  <c r="J63" i="12"/>
  <c r="J5" i="12"/>
  <c r="J135" i="12"/>
  <c r="J57" i="12"/>
  <c r="J73" i="12"/>
  <c r="J127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31" i="12"/>
  <c r="J117" i="12"/>
  <c r="J24" i="12"/>
  <c r="J142" i="12"/>
  <c r="J74" i="12"/>
  <c r="J122" i="12"/>
  <c r="J23" i="12"/>
  <c r="J107" i="12"/>
  <c r="J22" i="12"/>
  <c r="J113" i="12"/>
  <c r="J10" i="12"/>
  <c r="J7" i="12"/>
  <c r="J128" i="12"/>
  <c r="J138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4" i="12"/>
  <c r="J96" i="12"/>
  <c r="J51" i="12"/>
  <c r="J137" i="12"/>
  <c r="J37" i="12"/>
  <c r="J30" i="12"/>
  <c r="J136" i="12"/>
  <c r="J40" i="12"/>
  <c r="J39" i="12"/>
  <c r="J38" i="12"/>
  <c r="J103" i="12"/>
  <c r="J18" i="12"/>
  <c r="J102" i="12"/>
  <c r="J101" i="12"/>
  <c r="J17" i="12"/>
  <c r="J45" i="12"/>
  <c r="D7" i="4"/>
  <c r="I30" i="12"/>
  <c r="I137" i="12"/>
  <c r="I37" i="12"/>
  <c r="I136" i="12"/>
  <c r="D5" i="4"/>
  <c r="I71" i="12"/>
  <c r="I96" i="12"/>
  <c r="I67" i="12"/>
  <c r="I134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20" i="12"/>
  <c r="I35" i="12"/>
  <c r="D17" i="4"/>
  <c r="I53" i="12"/>
  <c r="I72" i="12"/>
  <c r="I66" i="12"/>
  <c r="I79" i="12"/>
  <c r="I90" i="12"/>
  <c r="I44" i="12"/>
  <c r="I116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7" i="12"/>
  <c r="I16" i="12"/>
  <c r="I113" i="12"/>
  <c r="I109" i="12"/>
  <c r="I131" i="12"/>
  <c r="I23" i="12"/>
  <c r="I24" i="12"/>
  <c r="I107" i="12"/>
  <c r="I47" i="12"/>
  <c r="I108" i="12"/>
  <c r="I20" i="12"/>
  <c r="I138" i="12"/>
  <c r="I10" i="12"/>
  <c r="I19" i="12"/>
  <c r="I25" i="12"/>
  <c r="I111" i="12"/>
  <c r="I21" i="12"/>
  <c r="I117" i="12"/>
  <c r="I104" i="12"/>
  <c r="I128" i="12"/>
  <c r="I142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2" i="12"/>
  <c r="I28" i="12"/>
  <c r="I132" i="12"/>
  <c r="I141" i="12"/>
  <c r="I76" i="12"/>
  <c r="I124" i="12"/>
  <c r="I89" i="12"/>
  <c r="I31" i="12"/>
  <c r="I114" i="12"/>
  <c r="I130" i="12"/>
  <c r="I86" i="12"/>
  <c r="I49" i="12"/>
  <c r="I77" i="12"/>
  <c r="I88" i="12"/>
  <c r="I95" i="12"/>
  <c r="I80" i="12"/>
  <c r="I140" i="12"/>
  <c r="I75" i="12"/>
  <c r="I121" i="12"/>
  <c r="I119" i="12"/>
  <c r="I125" i="12"/>
  <c r="I91" i="12"/>
  <c r="I42" i="12"/>
  <c r="I54" i="12"/>
  <c r="I78" i="12"/>
  <c r="I129" i="12"/>
  <c r="I62" i="12"/>
  <c r="I92" i="12"/>
  <c r="I63" i="12"/>
  <c r="I133" i="12"/>
  <c r="I61" i="12"/>
  <c r="I94" i="12"/>
  <c r="I139" i="12"/>
  <c r="I87" i="12"/>
  <c r="I48" i="12"/>
  <c r="I118" i="12"/>
  <c r="I84" i="12"/>
  <c r="I115" i="12"/>
  <c r="I55" i="12"/>
  <c r="I123" i="12"/>
  <c r="I65" i="12"/>
  <c r="I33" i="12"/>
  <c r="I68" i="12"/>
  <c r="I69" i="12"/>
  <c r="I51" i="12"/>
  <c r="I41" i="12"/>
  <c r="J2" i="12"/>
  <c r="I2" i="12"/>
  <c r="C94" i="12"/>
  <c r="C6" i="12"/>
  <c r="C78" i="12"/>
  <c r="C117" i="12"/>
  <c r="C5" i="12"/>
  <c r="C110" i="12"/>
  <c r="C34" i="12"/>
  <c r="C4" i="12"/>
  <c r="C76" i="12"/>
  <c r="C79" i="12"/>
  <c r="C37" i="12"/>
  <c r="C36" i="12"/>
  <c r="C30" i="12"/>
  <c r="C120" i="12"/>
  <c r="C113" i="12"/>
  <c r="C101" i="12"/>
  <c r="C63" i="12"/>
  <c r="C58" i="12"/>
  <c r="C35" i="12"/>
  <c r="C49" i="12"/>
  <c r="C64" i="12"/>
  <c r="C13" i="12"/>
  <c r="C122" i="12"/>
  <c r="C40" i="12"/>
  <c r="C119" i="12"/>
  <c r="C89" i="12"/>
  <c r="C115" i="12"/>
  <c r="C73" i="12"/>
  <c r="C42" i="12"/>
  <c r="C105" i="12"/>
  <c r="C32" i="12"/>
  <c r="C45" i="12"/>
  <c r="C33" i="12"/>
  <c r="C3" i="12"/>
  <c r="C31" i="12"/>
  <c r="C72" i="12"/>
  <c r="C43" i="12"/>
  <c r="C61" i="12"/>
  <c r="C118" i="12"/>
  <c r="C62" i="12"/>
  <c r="C93" i="12"/>
  <c r="C121" i="12"/>
  <c r="C50" i="12"/>
  <c r="C70" i="12"/>
  <c r="C108" i="12"/>
  <c r="C29" i="12"/>
  <c r="C8" i="12"/>
  <c r="C53" i="12"/>
  <c r="C68" i="12"/>
  <c r="C24" i="12"/>
  <c r="C102" i="12"/>
  <c r="C95" i="12"/>
  <c r="C85" i="12"/>
  <c r="C116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4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79" i="12" a="1"/>
  <c r="H91" i="12" a="1"/>
  <c r="H98" i="12" a="1"/>
  <c r="H65" i="12" a="1"/>
  <c r="H116" i="12" a="1"/>
  <c r="H28" i="12" a="1"/>
  <c r="H146" i="12" a="1"/>
  <c r="H126" i="12" a="1"/>
  <c r="H145" i="12" a="1"/>
  <c r="H109" i="12" a="1"/>
  <c r="H55" i="12" a="1"/>
  <c r="H44" i="12" a="1"/>
  <c r="H58" i="12" a="1"/>
  <c r="H11" i="12" a="1"/>
  <c r="H88" i="12" a="1"/>
  <c r="H78" i="12" a="1"/>
  <c r="H73" i="12" a="1"/>
  <c r="H99" i="12" a="1"/>
  <c r="H85" i="12" a="1"/>
  <c r="H80" i="12" a="1"/>
  <c r="H122" i="12" a="1"/>
  <c r="H33" i="12" a="1"/>
  <c r="H90" i="12" a="1"/>
  <c r="H72" i="12" a="1"/>
  <c r="H93" i="12" a="1"/>
  <c r="H142" i="12" a="1"/>
  <c r="H108" i="12" a="1"/>
  <c r="H31" i="12" a="1"/>
  <c r="H92" i="12" a="1"/>
  <c r="H111" i="12" a="1"/>
  <c r="H144" i="12" a="1"/>
  <c r="H76" i="12" a="1"/>
  <c r="H131" i="12" a="1"/>
  <c r="H7" i="12" a="1"/>
  <c r="H67" i="12" a="1"/>
  <c r="H12" i="12" a="1"/>
  <c r="H117" i="12" a="1"/>
  <c r="H50" i="12" a="1"/>
  <c r="H54" i="12" a="1"/>
  <c r="H59" i="12" a="1"/>
  <c r="H22" i="12" a="1"/>
  <c r="H81" i="12" a="1"/>
  <c r="H64" i="12" a="1"/>
  <c r="H71" i="12" a="1"/>
  <c r="H129" i="12" a="1"/>
  <c r="H127" i="12" a="1"/>
  <c r="H13" i="12" a="1"/>
  <c r="H68" i="12" a="1"/>
  <c r="H61" i="12" a="1"/>
  <c r="H139" i="12" a="1"/>
  <c r="H120" i="12" a="1"/>
  <c r="H132" i="12" a="1"/>
  <c r="H105" i="12" a="1"/>
  <c r="H128" i="12" a="1"/>
  <c r="H100" i="12" a="1"/>
  <c r="H82" i="12" a="1"/>
  <c r="H115" i="12" a="1"/>
  <c r="H143" i="12" a="1"/>
  <c r="H56" i="12" a="1"/>
  <c r="H113" i="12" a="1"/>
  <c r="H74" i="12" a="1"/>
  <c r="H26" i="12" a="1"/>
  <c r="H84" i="12" a="1"/>
  <c r="H49" i="12" a="1"/>
  <c r="H4" i="12" a="1"/>
  <c r="H43" i="12" a="1"/>
  <c r="H27" i="12" a="1"/>
  <c r="H135" i="12" a="1"/>
  <c r="H42" i="12" a="1"/>
  <c r="H87" i="12" a="1"/>
  <c r="H15" i="12" a="1"/>
  <c r="H141" i="12" a="1"/>
  <c r="H110" i="12" a="1"/>
  <c r="H112" i="12" a="1"/>
  <c r="H47" i="12" a="1"/>
  <c r="H77" i="12" a="1"/>
  <c r="H62" i="12" a="1"/>
  <c r="H10" i="12" a="1"/>
  <c r="H19" i="12" a="1"/>
  <c r="H48" i="12" a="1"/>
  <c r="H41" i="12" a="1"/>
  <c r="H106" i="12" a="1"/>
  <c r="H16" i="12" a="1"/>
  <c r="H3" i="12" a="1"/>
  <c r="H75" i="12" a="1"/>
  <c r="H60" i="12" a="1"/>
  <c r="H96" i="12" a="1"/>
  <c r="H118" i="12" a="1"/>
  <c r="H69" i="12" a="1"/>
  <c r="H46" i="12" a="1"/>
  <c r="H66" i="12" a="1"/>
  <c r="H53" i="12" a="1"/>
  <c r="H45" i="12" a="1"/>
  <c r="H133" i="12" a="1"/>
  <c r="H89" i="12" a="1"/>
  <c r="H123" i="12" a="1"/>
  <c r="H21" i="12" a="1"/>
  <c r="H34" i="12" a="1"/>
  <c r="H9" i="12" a="1"/>
  <c r="H97" i="12" a="1"/>
  <c r="H119" i="12" a="1"/>
  <c r="H121" i="12" a="1"/>
  <c r="H94" i="12" a="1"/>
  <c r="H14" i="12" a="1"/>
  <c r="H125" i="12" a="1"/>
  <c r="H83" i="12" a="1"/>
  <c r="H138" i="12" a="1"/>
  <c r="H114" i="12" a="1"/>
  <c r="H8" i="12" a="1"/>
  <c r="H107" i="12" a="1"/>
  <c r="H86" i="12" a="1"/>
  <c r="H23" i="12" a="1"/>
  <c r="H140" i="12" a="1"/>
  <c r="H35" i="12" a="1"/>
  <c r="H104" i="12" a="1"/>
  <c r="H124" i="12" a="1"/>
  <c r="H25" i="12" a="1"/>
  <c r="H57" i="12" a="1"/>
  <c r="H134" i="12" a="1"/>
  <c r="H130" i="12" a="1"/>
  <c r="H95" i="12" a="1"/>
  <c r="H63" i="12" a="1"/>
  <c r="H2" i="12" a="1"/>
  <c r="H6" i="12" a="1"/>
  <c r="H5" i="12" a="1"/>
  <c r="H52" i="12" a="1"/>
  <c r="H51" i="12" a="1"/>
  <c r="H70" i="12" a="1"/>
  <c r="H29" i="12" a="1"/>
  <c r="H36" i="12" a="1"/>
  <c r="H32" i="12" a="1"/>
  <c r="H20" i="12" a="1"/>
  <c r="H24" i="12" a="1"/>
  <c r="H112" i="12" l="1"/>
  <c r="H126" i="12"/>
  <c r="H143" i="12"/>
  <c r="H144" i="12"/>
  <c r="H146" i="12"/>
  <c r="H145" i="12"/>
  <c r="H26" i="12"/>
  <c r="H5" i="12"/>
  <c r="H45" i="12"/>
  <c r="H107" i="12"/>
  <c r="H111" i="12"/>
  <c r="H113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8" i="12"/>
  <c r="H128" i="12"/>
  <c r="H110" i="12"/>
  <c r="H106" i="12"/>
  <c r="H8" i="12"/>
  <c r="H131" i="12"/>
  <c r="H9" i="12"/>
  <c r="H117" i="12"/>
  <c r="H122" i="12"/>
  <c r="H47" i="12"/>
  <c r="H25" i="12"/>
  <c r="H27" i="12"/>
  <c r="H108" i="12"/>
  <c r="H74" i="12"/>
  <c r="H20" i="12"/>
  <c r="H19" i="12"/>
  <c r="H142" i="12"/>
  <c r="H85" i="12"/>
  <c r="H10" i="12"/>
  <c r="H46" i="12"/>
  <c r="H32" i="12"/>
  <c r="H59" i="12"/>
  <c r="H13" i="12"/>
  <c r="H14" i="12"/>
  <c r="H36" i="12"/>
  <c r="H2" i="12"/>
  <c r="H73" i="12"/>
  <c r="H57" i="12"/>
  <c r="H127" i="12"/>
  <c r="H93" i="12"/>
  <c r="H35" i="12"/>
  <c r="H120" i="12"/>
  <c r="H50" i="12"/>
  <c r="H33" i="12"/>
  <c r="H84" i="12"/>
  <c r="H139" i="12"/>
  <c r="H76" i="12"/>
  <c r="H119" i="12"/>
  <c r="H92" i="12"/>
  <c r="H77" i="12"/>
  <c r="H86" i="12"/>
  <c r="H28" i="12"/>
  <c r="H114" i="12"/>
  <c r="H115" i="12"/>
  <c r="H125" i="12"/>
  <c r="H141" i="12"/>
  <c r="H54" i="12"/>
  <c r="H55" i="12"/>
  <c r="H124" i="12"/>
  <c r="H75" i="12"/>
  <c r="H87" i="12"/>
  <c r="H129" i="12"/>
  <c r="H31" i="12"/>
  <c r="H91" i="12"/>
  <c r="H89" i="12"/>
  <c r="H68" i="12"/>
  <c r="H130" i="12"/>
  <c r="H80" i="12"/>
  <c r="H63" i="12"/>
  <c r="H49" i="12"/>
  <c r="H95" i="12"/>
  <c r="H121" i="12"/>
  <c r="H88" i="12"/>
  <c r="H94" i="12"/>
  <c r="H65" i="12"/>
  <c r="H132" i="12"/>
  <c r="H118" i="12"/>
  <c r="H61" i="12"/>
  <c r="H133" i="12"/>
  <c r="H140" i="12"/>
  <c r="H42" i="12"/>
  <c r="H78" i="12"/>
  <c r="H123" i="12"/>
  <c r="H48" i="12"/>
  <c r="H69" i="12"/>
  <c r="H62" i="12"/>
  <c r="H135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4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6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<sst xmlns="http://schemas.openxmlformats.org/spreadsheetml/2006/main" count="1193" uniqueCount="589">
  <si>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</si>
  <si>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</si>
  <si>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</si>
  <si>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</si>
  <si>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</si>
  <si>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</si>
  <si>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</si>
  <si>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</si>
  <si>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</si>
  <si>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</si>
  <si>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</si>
  <si>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</si>
  <si>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</si>
  <si>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</si>
  <si>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</si>
  <si>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</si>
  <si>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</si>
  <si>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</si>
  <si>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</si>
  <si>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</si>
  <si>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</si>
  <si>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</si>
  <si>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</si>
  <si>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</si>
  <si>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</si>
  <si>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</si>
  <si>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</si>
  <si>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</si>
  <si>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</si>
  <si>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</si>
  <si>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</si>
  <si>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</si>
  <si>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</si>
  <si>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</si>
  <si>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</si>
  <si>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</si>
  <si>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</si>
  <si>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</si>
  <si>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</si>
  <si>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</si>
  <si>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</si>
  <si>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</si>
  <si>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</si>
  <si>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</si>
  <si>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</si>
  <si>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</si>
  <si>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</si>
  <si>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</si>
  <si>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</si>
  <si>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</si>
  <si>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</si>
  <si>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</si>
  <si>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</si>
  <si>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</si>
  <si>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</si>
  <si>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</si>
  <si>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</si>
  <si>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</si>
  <si>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</si>
  <si>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</si>
  <si>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</si>
  <si>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</si>
  <si>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</si>
  <si>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</si>
  <si>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</si>
  <si>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</si>
  <si>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</si>
  <si>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</si>
  <si>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</si>
  <si>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</si>
  <si>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</si>
  <si>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</si>
  <si>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</si>
  <si>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</si>
  <si>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</si>
  <si>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</si>
  <si>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</si>
  <si>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</si>
  <si>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</si>
  <si>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</si>
  <si>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</si>
  <si>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</si>
  <si>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</si>
  <si>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</si>
  <si>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</si>
  <si>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</si>
  <si>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</si>
  <si>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</si>
  <si>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</si>
  <si>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</si>
  <si>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</si>
  <si>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</si>
  <si>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</si>
  <si>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</si>
  <si>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</si>
  <si>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</si>
  <si>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</si>
  <si>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</si>
  <si>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</si>
  <si>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</si>
  <si>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</si>
  <si>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</si>
  <si>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</si>
  <si>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</si>
  <si>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</si>
  <si>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</si>
  <si>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</si>
  <si>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</si>
  <si>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</si>
  <si>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</si>
  <si>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</si>
  <si>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</si>
  <si>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</si>
  <si>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</si>
  <si>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</si>
  <si>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</si>
  <si>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</si>
  <si>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</si>
  <si>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</si>
  <si>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</si>
  <si>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</si>
  <si>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</si>
  <si>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</si>
  <si>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</si>
  <si>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</si>
  <si>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</si>
  <si>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</si>
  <si>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</si>
  <si>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</si>
  <si>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</si>
  <si>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</si>
  <si>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</si>
  <si>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</si>
  <si>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</si>
  <si>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</si>
  <si>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</si>
  <si>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</si>
  <si>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</si>
  <si>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</si>
  <si>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</si>
  <si>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</si>
  <si>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</si>
  <si>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</si>
  <si>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</si>
  <si>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</si>
  <si>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</si>
  <si>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</si>
  <si>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</si>
  <si>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</si>
  <si>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</si>
  <si>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</si>
  <si>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</si>
  <si>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</si>
  <si>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</si>
  <si>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</si>
  <si>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</si>
  <si>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</si>
  <si>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</si>
  <si>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</si>
  <si>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</si>
  <si>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</si>
  <si>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</si>
  <si>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</si>
  <si>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</si>
  <si>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</si>
  <si>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</si>
  <si>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</si>
  <si>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</si>
  <si>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</si>
  <si>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</si>
  <si>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</si>
  <si>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</si>
  <si>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</si>
  <si>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</si>
  <si>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</si>
  <si>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</si>
  <si>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</si>
  <si>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</si>
  <si>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</si>
  <si>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</si>
  <si>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</si>
  <si>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</si>
  <si>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</si>
  <si>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</si>
  <si>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</si>
  <si>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</si>
  <si>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</si>
  <si>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</si>
  <si>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</si>
  <si>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</si>
  <si>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</si>
  <si>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</si>
  <si>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</si>
  <si>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</si>
  <si>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</si>
  <si>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</si>
  <si>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</si>
  <si>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</si>
  <si>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</si>
  <si>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</si>
  <si>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</si>
  <si>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</si>
  <si>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</si>
  <si>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</si>
  <si>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</si>
  <si>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</si>
  <si>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</si>
  <si>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</si>
  <si>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</si>
  <si>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</si>
  <si>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</si>
  <si>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</si>
  <si>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</si>
  <si>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</si>
  <si>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</si>
  <si>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</si>
  <si>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</si>
  <si>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</si>
  <si>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</si>
  <si>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</si>
  <si>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</si>
  <si>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</si>
  <si>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</si>
  <si>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</si>
  <si>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</si>
  <si>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</si>
  <si>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</si>
  <si>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</si>
  <si>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</si>
  <si>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</si>
  <si>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</si>
  <si>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</si>
  <si>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</si>
  <si>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</si>
  <si>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</si>
  <si>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</si>
  <si>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</si>
  <si>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</si>
  <si>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</si>
  <si>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</si>
  <si>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</si>
  <si>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</si>
  <si>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</si>
  <si>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</si>
  <si>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</si>
  <si>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</si>
  <si>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</si>
  <si>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</si>
  <si>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</si>
  <si>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</si>
  <si>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</si>
  <si>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</si>
  <si>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</si>
  <si>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</si>
  <si>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</si>
  <si>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</si>
  <si>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</si>
  <si>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</si>
  <si>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</si>
  <si>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</si>
  <si>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</si>
  <si>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</si>
  <si>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</si>
  <si>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</si>
  <si>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</si>
  <si>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</si>
  <si>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</si>
  <si>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</si>
  <si>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</si>
  <si>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</si>
  <si>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</si>
  <si>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</si>
  <si>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</si>
  <si>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</si>
  <si>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</si>
  <si>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</si>
  <si>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</si>
  <si>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</si>
  <si>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</si>
  <si>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</si>
  <si>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</si>
  <si>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</si>
  <si>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</si>
  <si>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</si>
  <si>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</si>
  <si>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</si>
  <si>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</si>
  <si>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</si>
  <si>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</si>
  <si>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</si>
  <si>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</si>
  <si>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</si>
  <si>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</si>
  <si>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</si>
  <si>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</si>
  <si>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</si>
  <si>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</si>
  <si>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</si>
  <si>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</si>
  <si>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</si>
  <si>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</si>
  <si>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</si>
  <si>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</si>
  <si>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</si>
  <si>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</si>
  <si>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</si>
  <si>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</si>
  <si>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</si>
  <si>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</si>
  <si>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</si>
  <si>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</si>
  <si>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</si>
  <si>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</si>
  <si>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</si>
  <si>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</si>
  <si>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</si>
  <si>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</si>
  <si>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</si>
  <si>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</si>
  <si>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</si>
  <si>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</si>
  <si>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</si>
  <si>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</si>
  <si>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</si>
  <si>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</si>
  <si>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</si>
  <si>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</si>
  <si>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</si>
  <si>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</si>
  <si>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</si>
  <si>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</si>
  <si>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</si>
  <si>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</si>
  <si>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</si>
  <si>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</si>
  <si>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</si>
  <si>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#ParentTableName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</si>
  <si>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</si>
  <si>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</si>
  <si>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</si>
  <si>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</si>
  <si>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</si>
  <si>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</si>
  <si>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</si>
  <si>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Tabela-pai</t>
  </si>
  <si>
    <t>Id da tabela-pai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</si>
  <si>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</si>
  <si>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</si>
  <si>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</si>
  <si>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</si>
  <si>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</si>
  <si>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</si>
  <si>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</si>
  <si>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</si>
  <si>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</si>
  <si>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</si>
  <si>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</si>
  <si>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</si>
  <si>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</si>
  <si>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</si>
  <si>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</si>
  <si>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</si>
  <si>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</si>
  <si>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</si>
  <si>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</si>
  <si>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</si>
  <si>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</si>
  <si>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</si>
  <si>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</si>
  <si>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</si>
  <si>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</si>
  <si>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</si>
  <si>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</si>
  <si>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</si>
  <si>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</si>
  <si>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</si>
  <si>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</si>
  <si>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</si>
  <si>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</si>
  <si>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</si>
  <si>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</si>
  <si>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</si>
  <si>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</si>
  <si>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</si>
  <si>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</si>
  <si>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</si>
  <si>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</si>
  <si>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</si>
  <si>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</si>
  <si>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</si>
  <si>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</si>
  <si>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</si>
  <si>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</si>
  <si>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</si>
  <si>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</si>
  <si>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</si>
  <si>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</si>
  <si>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</si>
  <si>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</si>
  <si>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</si>
  <si>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</si>
  <si>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</si>
  <si>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</si>
  <si>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</si>
  <si>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</si>
  <si>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</si>
  <si>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</si>
  <si>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</si>
  <si>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</si>
  <si>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</si>
  <si>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</si>
  <si>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</si>
  <si>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</si>
  <si>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</si>
  <si>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</si>
  <si>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</si>
  <si>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</si>
  <si>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</si>
  <si>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</si>
  <si>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</si>
  <si>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</si>
  <si>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</si>
  <si>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</si>
  <si>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</si>
  <si>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</si>
  <si>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</si>
  <si>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</si>
  <si>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</si>
  <si>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</si>
  <si>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</si>
  <si>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</si>
  <si>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</si>
  <si>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</si>
  <si>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</si>
  <si>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</si>
  <si>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</si>
  <si>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</si>
  <si>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</si>
  <si>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</si>
  <si>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</si>
  <si>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</si>
  <si>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</si>
  <si>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</si>
  <si>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</si>
  <si>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</si>
  <si>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</si>
  <si>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</si>
  <si>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</si>
  <si>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</si>
  <si>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</si>
  <si>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</si>
  <si>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</si>
  <si>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</si>
  <si>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</si>
  <si>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</si>
  <si>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</si>
  <si>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</si>
  <si>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</si>
  <si>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</si>
  <si>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</si>
  <si>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</si>
  <si>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</si>
  <si>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</si>
  <si>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</si>
  <si>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</si>
  <si>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</si>
  <si>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</si>
  <si>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</si>
  <si>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</si>
  <si>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</si>
  <si>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</si>
  <si>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</si>
  <si>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</si>
  <si>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</si>
  <si>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</si>
  <si>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</si>
  <si>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</si>
  <si>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</si>
  <si>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</si>
  <si>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</si>
  <si>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</si>
  <si>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</si>
  <si>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</si>
  <si>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</si>
  <si>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</si>
  <si>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</si>
  <si>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</si>
  <si>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</si>
  <si>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</si>
  <si>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</si>
  <si>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</si>
  <si>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</si>
  <si>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</si>
  <si>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</si>
  <si>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</si>
  <si>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</si>
  <si>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</si>
  <si>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</si>
  <si>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</si>
  <si>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</si>
  <si>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</si>
  <si>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</si>
  <si>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</si>
  <si>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</si>
  <si>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</si>
  <si>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</si>
  <si>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</si>
  <si>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</si>
  <si>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</si>
  <si>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</si>
  <si>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</si>
  <si>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</si>
  <si>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</si>
  <si>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</si>
  <si>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</si>
  <si>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</si>
  <si>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</si>
  <si>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</si>
  <si>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</si>
  <si>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</si>
  <si>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</si>
  <si>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</si>
  <si>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</si>
  <si>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</si>
  <si>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</si>
  <si>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</si>
  <si>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</si>
  <si>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</si>
  <si>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</si>
  <si>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</si>
  <si>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</si>
  <si>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</si>
  <si>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</si>
  <si>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&lt;</t>
  </si>
  <si>
    <t>=</t>
  </si>
  <si>
    <t>&gt;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</si>
  <si>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</si>
  <si>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</si>
  <si>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</si>
  <si>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</si>
  <si>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</si>
  <si>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</si>
  <si>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</si>
  <si>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</si>
  <si>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</si>
  <si>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</si>
  <si>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</si>
  <si>
    <t>Symbol</t>
  </si>
  <si>
    <t>Arity</t>
  </si>
  <si>
    <t>Menor que...</t>
  </si>
  <si>
    <t>≤</t>
  </si>
  <si>
    <t>Menor que ou igual a...</t>
  </si>
  <si>
    <t>Igual a...</t>
  </si>
  <si>
    <t>≠</t>
  </si>
  <si>
    <t>Diferente de...</t>
  </si>
  <si>
    <t>≥</t>
  </si>
  <si>
    <t>Maior que ou igual a...</t>
  </si>
  <si>
    <t>Maior que...</t>
  </si>
  <si>
    <t>∈</t>
  </si>
  <si>
    <t>IN</t>
  </si>
  <si>
    <t>∉</t>
  </si>
  <si>
    <t>NOT IN</t>
  </si>
  <si>
    <t>⊃</t>
  </si>
  <si>
    <t>LIKE</t>
  </si>
  <si>
    <t>⊅</t>
  </si>
  <si>
    <t>NOT LIKE</t>
  </si>
  <si>
    <t>∃</t>
  </si>
  <si>
    <t>BETWEEN... AND...</t>
  </si>
  <si>
    <t>∄</t>
  </si>
  <si>
    <t>NOT BETWEEN... AND...</t>
  </si>
  <si>
    <t>ComparatorId</t>
  </si>
  <si>
    <t>#ComparatorSymbol</t>
  </si>
  <si>
    <t>#ComparatorDescription</t>
  </si>
  <si>
    <t>Comparators</t>
  </si>
  <si>
    <t>Comparator</t>
  </si>
  <si>
    <t>Comparadores relacionais</t>
  </si>
  <si>
    <t>Rules</t>
  </si>
  <si>
    <t>Rule</t>
  </si>
  <si>
    <t>Regras de comparação/categoria</t>
  </si>
  <si>
    <t>ID do comparador</t>
  </si>
  <si>
    <t>Símbolo do comparador</t>
  </si>
  <si>
    <t>Descrição do comparador</t>
  </si>
  <si>
    <t>Aridade do comparador</t>
  </si>
  <si>
    <t>ID da regra</t>
  </si>
  <si>
    <t>Comparador</t>
  </si>
  <si>
    <t>ID dat categoria da regra</t>
  </si>
  <si>
    <t>ID do comparador da regra</t>
  </si>
  <si>
    <t>Aridade</t>
  </si>
  <si>
    <t>Símbolo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</si>
</sst>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473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360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292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9F80-EC67-4DD2-894D-572C7FF0DD61}">
  <dimension ref="A1:D13"/>
  <sheetViews>
    <sheetView workbookViewId="0">
      <selection activeCell="B17" sqref="B17"/>
    </sheetView>
  </sheetViews>
  <sheetFormatPr defaultColWidth="9.109375" defaultRowHeight="14.4" x14ac:dyDescent="0.3"/>
  <cols>
    <col min="1" max="1" width="3" bestFit="1" customWidth="1"/>
    <col min="2" max="2" width="7.5546875" style="19" bestFit="1" customWidth="1"/>
    <col min="3" max="3" width="22" bestFit="1" customWidth="1"/>
    <col min="4" max="4" width="5.33203125" bestFit="1" customWidth="1"/>
  </cols>
  <sheetData>
    <row r="1" spans="1:4" s="1" customFormat="1" x14ac:dyDescent="0.3">
      <c r="A1" s="1" t="s">
        <v>0</v>
      </c>
      <c r="B1" s="1" t="s">
        <v>547</v>
      </c>
      <c r="C1" s="1" t="s">
        <v>84</v>
      </c>
      <c r="D1" s="1" t="s">
        <v>548</v>
      </c>
    </row>
    <row r="2" spans="1:4" x14ac:dyDescent="0.3">
      <c r="A2">
        <f>ROW(A2)-1</f>
        <v>1</v>
      </c>
      <c r="B2" s="19" t="s">
        <v>533</v>
      </c>
      <c r="C2" t="s">
        <v>549</v>
      </c>
      <c r="D2">
        <v>2</v>
      </c>
    </row>
    <row r="3" spans="1:4" x14ac:dyDescent="0.3">
      <c r="A3">
        <f>ROW(A3)-1</f>
        <v>2</v>
      </c>
      <c r="B3" s="19" t="s">
        <v>550</v>
      </c>
      <c r="C3" t="s">
        <v>551</v>
      </c>
      <c r="D3">
        <v>2</v>
      </c>
    </row>
    <row r="4" spans="1:4" x14ac:dyDescent="0.3">
      <c r="A4">
        <f>ROW(A4)-1</f>
        <v>3</v>
      </c>
      <c r="B4" s="19" t="s">
        <v>534</v>
      </c>
      <c r="C4" t="s">
        <v>552</v>
      </c>
      <c r="D4">
        <v>2</v>
      </c>
    </row>
    <row r="5" spans="1:4" x14ac:dyDescent="0.3">
      <c r="A5">
        <f>ROW(A5)-1</f>
        <v>4</v>
      </c>
      <c r="B5" s="19" t="s">
        <v>553</v>
      </c>
      <c r="C5" t="s">
        <v>554</v>
      </c>
      <c r="D5">
        <v>2</v>
      </c>
    </row>
    <row r="6" spans="1:4" x14ac:dyDescent="0.3">
      <c r="A6">
        <f t="shared" ref="A6:A13" si="0">ROW(A6)-1</f>
        <v>5</v>
      </c>
      <c r="B6" s="19" t="s">
        <v>555</v>
      </c>
      <c r="C6" t="s">
        <v>556</v>
      </c>
      <c r="D6">
        <v>2</v>
      </c>
    </row>
    <row r="7" spans="1:4" x14ac:dyDescent="0.3">
      <c r="A7">
        <f t="shared" si="0"/>
        <v>6</v>
      </c>
      <c r="B7" s="19" t="s">
        <v>535</v>
      </c>
      <c r="C7" t="s">
        <v>557</v>
      </c>
      <c r="D7">
        <v>2</v>
      </c>
    </row>
    <row r="8" spans="1:4" x14ac:dyDescent="0.3">
      <c r="A8">
        <f t="shared" si="0"/>
        <v>7</v>
      </c>
      <c r="B8" s="19" t="s">
        <v>558</v>
      </c>
      <c r="C8" t="s">
        <v>559</v>
      </c>
    </row>
    <row r="9" spans="1:4" x14ac:dyDescent="0.3">
      <c r="A9">
        <f t="shared" si="0"/>
        <v>8</v>
      </c>
      <c r="B9" s="19" t="s">
        <v>560</v>
      </c>
      <c r="C9" t="s">
        <v>561</v>
      </c>
    </row>
    <row r="10" spans="1:4" x14ac:dyDescent="0.3">
      <c r="A10">
        <f t="shared" si="0"/>
        <v>9</v>
      </c>
      <c r="B10" s="19" t="s">
        <v>562</v>
      </c>
      <c r="C10" t="s">
        <v>563</v>
      </c>
      <c r="D10">
        <v>2</v>
      </c>
    </row>
    <row r="11" spans="1:4" x14ac:dyDescent="0.3">
      <c r="A11">
        <f t="shared" si="0"/>
        <v>10</v>
      </c>
      <c r="B11" s="19" t="s">
        <v>564</v>
      </c>
      <c r="C11" t="s">
        <v>565</v>
      </c>
      <c r="D11">
        <v>2</v>
      </c>
    </row>
    <row r="12" spans="1:4" x14ac:dyDescent="0.3">
      <c r="A12">
        <f t="shared" si="0"/>
        <v>11</v>
      </c>
      <c r="B12" s="19" t="s">
        <v>566</v>
      </c>
      <c r="C12" t="s">
        <v>567</v>
      </c>
      <c r="D12">
        <v>3</v>
      </c>
    </row>
    <row r="13" spans="1:4" x14ac:dyDescent="0.3">
      <c r="A13">
        <f t="shared" si="0"/>
        <v>12</v>
      </c>
      <c r="B13" s="19" t="s">
        <v>568</v>
      </c>
      <c r="C13" t="s">
        <v>569</v>
      </c>
      <c r="D13">
        <v>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0926E-F1C9-4307-A54A-C29061B1EE7F}">
  <dimension ref="A1:F59"/>
  <sheetViews>
    <sheetView tabSelected="1" topLeftCell="A43" workbookViewId="0">
      <selection activeCell="F59" sqref="F59"/>
    </sheetView>
  </sheetViews>
  <sheetFormatPr defaultColWidth="10.44140625"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19" bestFit="1" customWidth="1"/>
    <col min="6" max="6" width="21.88671875" bestFit="1" customWidth="1"/>
  </cols>
  <sheetData>
    <row r="1" spans="1:6" s="1" customFormat="1" x14ac:dyDescent="0.3">
      <c r="A1" s="1" t="s">
        <v>0</v>
      </c>
      <c r="B1" s="1" t="s">
        <v>25</v>
      </c>
      <c r="C1" s="1" t="s">
        <v>325</v>
      </c>
      <c r="D1" s="1" t="s">
        <v>570</v>
      </c>
      <c r="E1" s="1" t="s">
        <v>571</v>
      </c>
      <c r="F1" s="1" t="s">
        <v>572</v>
      </c>
    </row>
    <row r="2" spans="1:6" x14ac:dyDescent="0.3">
      <c r="A2">
        <f>ROW(A2)-1</f>
        <v>1</v>
      </c>
      <c r="B2">
        <v>1</v>
      </c>
      <c r="C2" t="str" cm="1">
        <f t="array" ref="C2">GetValue("Categories",B2,"Name")</f>
        <v>string</v>
      </c>
      <c r="D2">
        <v>1</v>
      </c>
      <c r="E2" s="19" t="str" cm="1">
        <f t="array" ref="E2">GetValue("Comparators",D2,"Symbol")</f>
        <v>&lt;</v>
      </c>
      <c r="F2" t="str" cm="1">
        <f t="array" ref="F2">GetValue("Comparators",D2,"Description")</f>
        <v>Menor que...</v>
      </c>
    </row>
    <row r="3" spans="1:6" x14ac:dyDescent="0.3">
      <c r="A3">
        <f t="shared" ref="A3:A59" si="0">ROW(A3)-1</f>
        <v>2</v>
      </c>
      <c r="B3">
        <v>1</v>
      </c>
      <c r="C3" t="str" cm="1">
        <f t="array" ref="C3">GetValue("Categories",B3,"Name")</f>
        <v>string</v>
      </c>
      <c r="D3">
        <v>2</v>
      </c>
      <c r="E3" s="19" t="str" cm="1">
        <f t="array" ref="E3">GetValue("Comparators",D3,"Symbol")</f>
        <v>≤</v>
      </c>
      <c r="F3" t="str" cm="1">
        <f t="array" ref="F3">GetValue("Comparators",D3,"Description")</f>
        <v>Menor que ou igual a...</v>
      </c>
    </row>
    <row r="4" spans="1:6" x14ac:dyDescent="0.3">
      <c r="A4">
        <f t="shared" si="0"/>
        <v>3</v>
      </c>
      <c r="B4">
        <v>1</v>
      </c>
      <c r="C4" t="str" cm="1">
        <f t="array" ref="C4">GetValue("Categories",B4,"Name")</f>
        <v>string</v>
      </c>
      <c r="D4">
        <v>3</v>
      </c>
      <c r="E4" s="19" t="str" cm="1">
        <f t="array" ref="E4">GetValue("Comparators",D4,"Symbol")</f>
        <v>=</v>
      </c>
      <c r="F4" t="str" cm="1">
        <f t="array" ref="F4">GetValue("Comparators",D4,"Description")</f>
        <v>Igual a...</v>
      </c>
    </row>
    <row r="5" spans="1:6" x14ac:dyDescent="0.3">
      <c r="A5">
        <f t="shared" si="0"/>
        <v>4</v>
      </c>
      <c r="B5">
        <v>1</v>
      </c>
      <c r="C5" t="str" cm="1">
        <f t="array" ref="C5">GetValue("Categories",B5,"Name")</f>
        <v>string</v>
      </c>
      <c r="D5">
        <v>4</v>
      </c>
      <c r="E5" s="19" t="str" cm="1">
        <f t="array" ref="E5">GetValue("Comparators",D5,"Symbol")</f>
        <v>≠</v>
      </c>
      <c r="F5" t="str" cm="1">
        <f t="array" ref="F5">GetValue("Comparators",D5,"Description")</f>
        <v>Diferente de...</v>
      </c>
    </row>
    <row r="6" spans="1:6" x14ac:dyDescent="0.3">
      <c r="A6">
        <f t="shared" si="0"/>
        <v>5</v>
      </c>
      <c r="B6">
        <v>1</v>
      </c>
      <c r="C6" t="str" cm="1">
        <f t="array" ref="C6">GetValue("Categories",B6,"Name")</f>
        <v>string</v>
      </c>
      <c r="D6">
        <v>5</v>
      </c>
      <c r="E6" s="19" t="str" cm="1">
        <f t="array" ref="E6">GetValue("Comparators",D6,"Symbol")</f>
        <v>≥</v>
      </c>
      <c r="F6" t="str" cm="1">
        <f t="array" ref="F6">GetValue("Comparators",D6,"Description")</f>
        <v>Maior que ou igual a...</v>
      </c>
    </row>
    <row r="7" spans="1:6" x14ac:dyDescent="0.3">
      <c r="A7">
        <f t="shared" si="0"/>
        <v>6</v>
      </c>
      <c r="B7">
        <v>1</v>
      </c>
      <c r="C7" t="str" cm="1">
        <f t="array" ref="C7">GetValue("Categories",B7,"Name")</f>
        <v>string</v>
      </c>
      <c r="D7">
        <v>6</v>
      </c>
      <c r="E7" s="19" t="str" cm="1">
        <f t="array" ref="E7">GetValue("Comparators",D7,"Symbol")</f>
        <v>&gt;</v>
      </c>
      <c r="F7" t="str" cm="1">
        <f t="array" ref="F7">GetValue("Comparators",D7,"Description")</f>
        <v>Maior que...</v>
      </c>
    </row>
    <row r="8" spans="1:6" x14ac:dyDescent="0.3">
      <c r="A8">
        <f t="shared" si="0"/>
        <v>7</v>
      </c>
      <c r="B8">
        <v>1</v>
      </c>
      <c r="C8" t="str" cm="1">
        <f t="array" ref="C8">GetValue("Categories",B8,"Name")</f>
        <v>string</v>
      </c>
      <c r="D8">
        <v>7</v>
      </c>
      <c r="E8" s="19" t="str" cm="1">
        <f t="array" ref="E8">GetValue("Comparators",D8,"Symbol")</f>
        <v>∈</v>
      </c>
      <c r="F8" t="str" cm="1">
        <f t="array" ref="F8">GetValue("Comparators",D8,"Description")</f>
        <v>IN</v>
      </c>
    </row>
    <row r="9" spans="1:6" x14ac:dyDescent="0.3">
      <c r="A9">
        <f t="shared" si="0"/>
        <v>8</v>
      </c>
      <c r="B9">
        <v>1</v>
      </c>
      <c r="C9" t="str" cm="1">
        <f t="array" ref="C9">GetValue("Categories",B9,"Name")</f>
        <v>string</v>
      </c>
      <c r="D9">
        <v>8</v>
      </c>
      <c r="E9" s="19" t="str" cm="1">
        <f t="array" ref="E9">GetValue("Comparators",D9,"Symbol")</f>
        <v>∉</v>
      </c>
      <c r="F9" t="str" cm="1">
        <f t="array" ref="F9">GetValue("Comparators",D9,"Description")</f>
        <v>NOT IN</v>
      </c>
    </row>
    <row r="10" spans="1:6" x14ac:dyDescent="0.3">
      <c r="A10">
        <f t="shared" si="0"/>
        <v>9</v>
      </c>
      <c r="B10">
        <v>1</v>
      </c>
      <c r="C10" t="str" cm="1">
        <f t="array" ref="C10">GetValue("Categories",B10,"Name")</f>
        <v>string</v>
      </c>
      <c r="D10">
        <v>9</v>
      </c>
      <c r="E10" s="19" t="str" cm="1">
        <f t="array" ref="E10">GetValue("Comparators",D10,"Symbol")</f>
        <v>⊃</v>
      </c>
      <c r="F10" t="str" cm="1">
        <f t="array" ref="F10">GetValue("Comparators",D10,"Description")</f>
        <v>LIKE</v>
      </c>
    </row>
    <row r="11" spans="1:6" x14ac:dyDescent="0.3">
      <c r="A11">
        <f t="shared" si="0"/>
        <v>10</v>
      </c>
      <c r="B11">
        <v>1</v>
      </c>
      <c r="C11" t="str" cm="1">
        <f t="array" ref="C11">GetValue("Categories",B11,"Name")</f>
        <v>string</v>
      </c>
      <c r="D11">
        <v>10</v>
      </c>
      <c r="E11" s="19" t="str" cm="1">
        <f t="array" ref="E11">GetValue("Comparators",D11,"Symbol")</f>
        <v>⊅</v>
      </c>
      <c r="F11" t="str" cm="1">
        <f t="array" ref="F11">GetValue("Comparators",D11,"Description")</f>
        <v>NOT LIKE</v>
      </c>
    </row>
    <row r="12" spans="1:6" x14ac:dyDescent="0.3">
      <c r="A12">
        <f t="shared" si="0"/>
        <v>11</v>
      </c>
      <c r="B12">
        <v>1</v>
      </c>
      <c r="C12" t="str" cm="1">
        <f t="array" ref="C12">GetValue("Categories",B12,"Name")</f>
        <v>string</v>
      </c>
      <c r="D12">
        <v>11</v>
      </c>
      <c r="E12" s="19" t="str" cm="1">
        <f t="array" ref="E12">GetValue("Comparators",D12,"Symbol")</f>
        <v>∃</v>
      </c>
      <c r="F12" t="str" cm="1">
        <f t="array" ref="F12">GetValue("Comparators",D12,"Description")</f>
        <v>BETWEEN... AND...</v>
      </c>
    </row>
    <row r="13" spans="1:6" x14ac:dyDescent="0.3">
      <c r="A13">
        <f t="shared" si="0"/>
        <v>12</v>
      </c>
      <c r="B13">
        <v>1</v>
      </c>
      <c r="C13" t="str" cm="1">
        <f t="array" ref="C13">GetValue("Categories",B13,"Name")</f>
        <v>string</v>
      </c>
      <c r="D13">
        <v>12</v>
      </c>
      <c r="E13" s="19" t="str" cm="1">
        <f t="array" ref="E13">GetValue("Comparators",D13,"Symbol")</f>
        <v>∄</v>
      </c>
      <c r="F13" t="str" cm="1">
        <f t="array" ref="F13">GetValue("Comparators",D13,"Description")</f>
        <v>NOT BETWEEN... AND...</v>
      </c>
    </row>
    <row r="14" spans="1:6" x14ac:dyDescent="0.3">
      <c r="A14">
        <f t="shared" si="0"/>
        <v>13</v>
      </c>
      <c r="B14">
        <v>1</v>
      </c>
      <c r="C14" t="str" cm="1">
        <f t="array" ref="C14">GetValue("Categories",B14,"Name")</f>
        <v>string</v>
      </c>
      <c r="D14">
        <v>13</v>
      </c>
      <c r="E14" s="19" t="e" cm="1">
        <f t="array" ref="E14">GetValue("Comparators",D14,"Symbol")</f>
        <v>#VALUE!</v>
      </c>
      <c r="F14" t="e" cm="1">
        <f t="array" ref="F14">GetValue("Comparators",D14,"Description")</f>
        <v>#VALUE!</v>
      </c>
    </row>
    <row r="15" spans="1:6" x14ac:dyDescent="0.3">
      <c r="A15">
        <f t="shared" si="0"/>
        <v>14</v>
      </c>
      <c r="B15">
        <v>1</v>
      </c>
      <c r="C15" t="str" cm="1">
        <f t="array" ref="C15">GetValue("Categories",B15,"Name")</f>
        <v>string</v>
      </c>
      <c r="D15">
        <v>14</v>
      </c>
      <c r="E15" s="19" t="e" cm="1">
        <f t="array" ref="E15">GetValue("Comparators",D15,"Symbol")</f>
        <v>#VALUE!</v>
      </c>
      <c r="F15" t="e" cm="1">
        <f t="array" ref="F15">GetValue("Comparators",D15,"Description")</f>
        <v>#VALUE!</v>
      </c>
    </row>
    <row r="16" spans="1:6" x14ac:dyDescent="0.3">
      <c r="A16">
        <f t="shared" si="0"/>
        <v>15</v>
      </c>
      <c r="B16">
        <v>2</v>
      </c>
      <c r="C16" t="str" cm="1">
        <f t="array" ref="C16">GetValue("Categories",B16,"Name")</f>
        <v>number</v>
      </c>
      <c r="D16">
        <v>1</v>
      </c>
      <c r="E16" s="19" t="str" cm="1">
        <f t="array" ref="E16">GetValue("Comparators",D16,"Symbol")</f>
        <v>&lt;</v>
      </c>
      <c r="F16" t="str" cm="1">
        <f t="array" ref="F16">GetValue("Comparators",D16,"Description")</f>
        <v>Menor que...</v>
      </c>
    </row>
    <row r="17" spans="1:6" x14ac:dyDescent="0.3">
      <c r="A17">
        <f t="shared" si="0"/>
        <v>16</v>
      </c>
      <c r="B17">
        <v>2</v>
      </c>
      <c r="C17" t="str" cm="1">
        <f t="array" ref="C17">GetValue("Categories",B17,"Name")</f>
        <v>number</v>
      </c>
      <c r="D17">
        <v>2</v>
      </c>
      <c r="E17" s="19" t="str" cm="1">
        <f t="array" ref="E17">GetValue("Comparators",D17,"Symbol")</f>
        <v>≤</v>
      </c>
      <c r="F17" t="str" cm="1">
        <f t="array" ref="F17">GetValue("Comparators",D17,"Description")</f>
        <v>Menor que ou igual a...</v>
      </c>
    </row>
    <row r="18" spans="1:6" x14ac:dyDescent="0.3">
      <c r="A18">
        <f t="shared" si="0"/>
        <v>17</v>
      </c>
      <c r="B18">
        <v>2</v>
      </c>
      <c r="C18" t="str" cm="1">
        <f t="array" ref="C18">GetValue("Categories",B18,"Name")</f>
        <v>number</v>
      </c>
      <c r="D18">
        <v>3</v>
      </c>
      <c r="E18" s="19" t="str" cm="1">
        <f t="array" ref="E18">GetValue("Comparators",D18,"Symbol")</f>
        <v>=</v>
      </c>
      <c r="F18" t="str" cm="1">
        <f t="array" ref="F18">GetValue("Comparators",D18,"Description")</f>
        <v>Igual a...</v>
      </c>
    </row>
    <row r="19" spans="1:6" x14ac:dyDescent="0.3">
      <c r="A19">
        <f t="shared" si="0"/>
        <v>18</v>
      </c>
      <c r="B19">
        <v>2</v>
      </c>
      <c r="C19" t="str" cm="1">
        <f t="array" ref="C19">GetValue("Categories",B19,"Name")</f>
        <v>number</v>
      </c>
      <c r="D19">
        <v>4</v>
      </c>
      <c r="E19" s="19" t="str" cm="1">
        <f t="array" ref="E19">GetValue("Comparators",D19,"Symbol")</f>
        <v>≠</v>
      </c>
      <c r="F19" t="str" cm="1">
        <f t="array" ref="F19">GetValue("Comparators",D19,"Description")</f>
        <v>Diferente de...</v>
      </c>
    </row>
    <row r="20" spans="1:6" x14ac:dyDescent="0.3">
      <c r="A20">
        <f t="shared" si="0"/>
        <v>19</v>
      </c>
      <c r="B20">
        <v>2</v>
      </c>
      <c r="C20" t="str" cm="1">
        <f t="array" ref="C20">GetValue("Categories",B20,"Name")</f>
        <v>number</v>
      </c>
      <c r="D20">
        <v>5</v>
      </c>
      <c r="E20" s="19" t="str" cm="1">
        <f t="array" ref="E20">GetValue("Comparators",D20,"Symbol")</f>
        <v>≥</v>
      </c>
      <c r="F20" t="str" cm="1">
        <f t="array" ref="F20">GetValue("Comparators",D20,"Description")</f>
        <v>Maior que ou igual a...</v>
      </c>
    </row>
    <row r="21" spans="1:6" x14ac:dyDescent="0.3">
      <c r="A21">
        <f t="shared" si="0"/>
        <v>20</v>
      </c>
      <c r="B21">
        <v>2</v>
      </c>
      <c r="C21" t="str" cm="1">
        <f t="array" ref="C21">GetValue("Categories",B21,"Name")</f>
        <v>number</v>
      </c>
      <c r="D21">
        <v>6</v>
      </c>
      <c r="E21" s="19" t="str" cm="1">
        <f t="array" ref="E21">GetValue("Comparators",D21,"Symbol")</f>
        <v>&gt;</v>
      </c>
      <c r="F21" t="str" cm="1">
        <f t="array" ref="F21">GetValue("Comparators",D21,"Description")</f>
        <v>Maior que...</v>
      </c>
    </row>
    <row r="22" spans="1:6" x14ac:dyDescent="0.3">
      <c r="A22">
        <f t="shared" si="0"/>
        <v>21</v>
      </c>
      <c r="B22">
        <v>2</v>
      </c>
      <c r="C22" t="str" cm="1">
        <f t="array" ref="C22">GetValue("Categories",B22,"Name")</f>
        <v>number</v>
      </c>
      <c r="D22">
        <v>7</v>
      </c>
      <c r="E22" s="19" t="str" cm="1">
        <f t="array" ref="E22">GetValue("Comparators",D22,"Symbol")</f>
        <v>∈</v>
      </c>
      <c r="F22" t="str" cm="1">
        <f t="array" ref="F22">GetValue("Comparators",D22,"Description")</f>
        <v>IN</v>
      </c>
    </row>
    <row r="23" spans="1:6" x14ac:dyDescent="0.3">
      <c r="A23">
        <f t="shared" si="0"/>
        <v>22</v>
      </c>
      <c r="B23">
        <v>2</v>
      </c>
      <c r="C23" t="str" cm="1">
        <f t="array" ref="C23">GetValue("Categories",B23,"Name")</f>
        <v>number</v>
      </c>
      <c r="D23">
        <v>8</v>
      </c>
      <c r="E23" s="19" t="str" cm="1">
        <f t="array" ref="E23">GetValue("Comparators",D23,"Symbol")</f>
        <v>∉</v>
      </c>
      <c r="F23" t="str" cm="1">
        <f t="array" ref="F23">GetValue("Comparators",D23,"Description")</f>
        <v>NOT IN</v>
      </c>
    </row>
    <row r="24" spans="1:6" x14ac:dyDescent="0.3">
      <c r="A24">
        <f t="shared" si="0"/>
        <v>23</v>
      </c>
      <c r="B24">
        <v>2</v>
      </c>
      <c r="C24" t="str" cm="1">
        <f t="array" ref="C24">GetValue("Categories",B24,"Name")</f>
        <v>number</v>
      </c>
      <c r="D24">
        <v>11</v>
      </c>
      <c r="E24" s="19" t="str" cm="1">
        <f t="array" ref="E24">GetValue("Comparators",D24,"Symbol")</f>
        <v>∃</v>
      </c>
      <c r="F24" t="str" cm="1">
        <f t="array" ref="F24">GetValue("Comparators",D24,"Description")</f>
        <v>BETWEEN... AND...</v>
      </c>
    </row>
    <row r="25" spans="1:6" x14ac:dyDescent="0.3">
      <c r="A25">
        <f t="shared" si="0"/>
        <v>24</v>
      </c>
      <c r="B25">
        <v>2</v>
      </c>
      <c r="C25" t="str" cm="1">
        <f t="array" ref="C25">GetValue("Categories",B25,"Name")</f>
        <v>number</v>
      </c>
      <c r="D25">
        <v>12</v>
      </c>
      <c r="E25" s="19" t="str" cm="1">
        <f t="array" ref="E25">GetValue("Comparators",D25,"Symbol")</f>
        <v>∄</v>
      </c>
      <c r="F25" t="str" cm="1">
        <f t="array" ref="F25">GetValue("Comparators",D25,"Description")</f>
        <v>NOT BETWEEN... AND...</v>
      </c>
    </row>
    <row r="26" spans="1:6" x14ac:dyDescent="0.3">
      <c r="A26">
        <f t="shared" si="0"/>
        <v>25</v>
      </c>
      <c r="B26">
        <v>3</v>
      </c>
      <c r="C26" t="str" cm="1">
        <f t="array" ref="C26">GetValue("Categories",B26,"Name")</f>
        <v>date</v>
      </c>
      <c r="D26">
        <v>1</v>
      </c>
      <c r="E26" s="19" t="str" cm="1">
        <f t="array" ref="E26">GetValue("Comparators",D26,"Symbol")</f>
        <v>&lt;</v>
      </c>
      <c r="F26" t="str" cm="1">
        <f t="array" ref="F26">GetValue("Comparators",D26,"Description")</f>
        <v>Menor que...</v>
      </c>
    </row>
    <row r="27" spans="1:6" x14ac:dyDescent="0.3">
      <c r="A27">
        <f t="shared" si="0"/>
        <v>26</v>
      </c>
      <c r="B27">
        <v>3</v>
      </c>
      <c r="C27" t="str" cm="1">
        <f t="array" ref="C27">GetValue("Categories",B27,"Name")</f>
        <v>date</v>
      </c>
      <c r="D27">
        <v>2</v>
      </c>
      <c r="E27" s="19" t="str" cm="1">
        <f t="array" ref="E27">GetValue("Comparators",D27,"Symbol")</f>
        <v>≤</v>
      </c>
      <c r="F27" t="str" cm="1">
        <f t="array" ref="F27">GetValue("Comparators",D27,"Description")</f>
        <v>Menor que ou igual a...</v>
      </c>
    </row>
    <row r="28" spans="1:6" x14ac:dyDescent="0.3">
      <c r="A28">
        <f t="shared" si="0"/>
        <v>27</v>
      </c>
      <c r="B28">
        <v>3</v>
      </c>
      <c r="C28" t="str" cm="1">
        <f t="array" ref="C28">GetValue("Categories",B28,"Name")</f>
        <v>date</v>
      </c>
      <c r="D28">
        <v>3</v>
      </c>
      <c r="E28" s="19" t="str" cm="1">
        <f t="array" ref="E28">GetValue("Comparators",D28,"Symbol")</f>
        <v>=</v>
      </c>
      <c r="F28" t="str" cm="1">
        <f t="array" ref="F28">GetValue("Comparators",D28,"Description")</f>
        <v>Igual a...</v>
      </c>
    </row>
    <row r="29" spans="1:6" x14ac:dyDescent="0.3">
      <c r="A29">
        <f t="shared" si="0"/>
        <v>28</v>
      </c>
      <c r="B29">
        <v>3</v>
      </c>
      <c r="C29" t="str" cm="1">
        <f t="array" ref="C29">GetValue("Categories",B29,"Name")</f>
        <v>date</v>
      </c>
      <c r="D29">
        <v>4</v>
      </c>
      <c r="E29" s="19" t="str" cm="1">
        <f t="array" ref="E29">GetValue("Comparators",D29,"Symbol")</f>
        <v>≠</v>
      </c>
      <c r="F29" t="str" cm="1">
        <f t="array" ref="F29">GetValue("Comparators",D29,"Description")</f>
        <v>Diferente de...</v>
      </c>
    </row>
    <row r="30" spans="1:6" x14ac:dyDescent="0.3">
      <c r="A30">
        <f t="shared" si="0"/>
        <v>29</v>
      </c>
      <c r="B30">
        <v>3</v>
      </c>
      <c r="C30" t="str" cm="1">
        <f t="array" ref="C30">GetValue("Categories",B30,"Name")</f>
        <v>date</v>
      </c>
      <c r="D30">
        <v>5</v>
      </c>
      <c r="E30" s="19" t="str" cm="1">
        <f t="array" ref="E30">GetValue("Comparators",D30,"Symbol")</f>
        <v>≥</v>
      </c>
      <c r="F30" t="str" cm="1">
        <f t="array" ref="F30">GetValue("Comparators",D30,"Description")</f>
        <v>Maior que ou igual a...</v>
      </c>
    </row>
    <row r="31" spans="1:6" x14ac:dyDescent="0.3">
      <c r="A31">
        <f t="shared" si="0"/>
        <v>30</v>
      </c>
      <c r="B31">
        <v>3</v>
      </c>
      <c r="C31" t="str" cm="1">
        <f t="array" ref="C31">GetValue("Categories",B31,"Name")</f>
        <v>date</v>
      </c>
      <c r="D31">
        <v>6</v>
      </c>
      <c r="E31" s="19" t="str" cm="1">
        <f t="array" ref="E31">GetValue("Comparators",D31,"Symbol")</f>
        <v>&gt;</v>
      </c>
      <c r="F31" t="str" cm="1">
        <f t="array" ref="F31">GetValue("Comparators",D31,"Description")</f>
        <v>Maior que...</v>
      </c>
    </row>
    <row r="32" spans="1:6" x14ac:dyDescent="0.3">
      <c r="A32">
        <f t="shared" si="0"/>
        <v>31</v>
      </c>
      <c r="B32">
        <v>3</v>
      </c>
      <c r="C32" t="str" cm="1">
        <f t="array" ref="C32">GetValue("Categories",B32,"Name")</f>
        <v>date</v>
      </c>
      <c r="D32">
        <v>7</v>
      </c>
      <c r="E32" s="19" t="str" cm="1">
        <f t="array" ref="E32">GetValue("Comparators",D32,"Symbol")</f>
        <v>∈</v>
      </c>
      <c r="F32" t="str" cm="1">
        <f t="array" ref="F32">GetValue("Comparators",D32,"Description")</f>
        <v>IN</v>
      </c>
    </row>
    <row r="33" spans="1:6" x14ac:dyDescent="0.3">
      <c r="A33">
        <f t="shared" si="0"/>
        <v>32</v>
      </c>
      <c r="B33">
        <v>3</v>
      </c>
      <c r="C33" t="str" cm="1">
        <f t="array" ref="C33">GetValue("Categories",B33,"Name")</f>
        <v>date</v>
      </c>
      <c r="D33">
        <v>8</v>
      </c>
      <c r="E33" s="19" t="str" cm="1">
        <f t="array" ref="E33">GetValue("Comparators",D33,"Symbol")</f>
        <v>∉</v>
      </c>
      <c r="F33" t="str" cm="1">
        <f t="array" ref="F33">GetValue("Comparators",D33,"Description")</f>
        <v>NOT IN</v>
      </c>
    </row>
    <row r="34" spans="1:6" x14ac:dyDescent="0.3">
      <c r="A34">
        <f t="shared" si="0"/>
        <v>33</v>
      </c>
      <c r="B34">
        <v>3</v>
      </c>
      <c r="C34" t="str" cm="1">
        <f t="array" ref="C34">GetValue("Categories",B34,"Name")</f>
        <v>date</v>
      </c>
      <c r="D34">
        <v>11</v>
      </c>
      <c r="E34" s="19" t="str" cm="1">
        <f t="array" ref="E34">GetValue("Comparators",D34,"Symbol")</f>
        <v>∃</v>
      </c>
      <c r="F34" t="str" cm="1">
        <f t="array" ref="F34">GetValue("Comparators",D34,"Description")</f>
        <v>BETWEEN... AND...</v>
      </c>
    </row>
    <row r="35" spans="1:6" x14ac:dyDescent="0.3">
      <c r="A35">
        <f t="shared" si="0"/>
        <v>34</v>
      </c>
      <c r="B35">
        <v>3</v>
      </c>
      <c r="C35" t="str" cm="1">
        <f t="array" ref="C35">GetValue("Categories",B35,"Name")</f>
        <v>date</v>
      </c>
      <c r="D35">
        <v>12</v>
      </c>
      <c r="E35" s="19" t="str" cm="1">
        <f t="array" ref="E35">GetValue("Comparators",D35,"Symbol")</f>
        <v>∄</v>
      </c>
      <c r="F35" t="str" cm="1">
        <f t="array" ref="F35">GetValue("Comparators",D35,"Description")</f>
        <v>NOT BETWEEN... AND...</v>
      </c>
    </row>
    <row r="36" spans="1:6" x14ac:dyDescent="0.3">
      <c r="A36">
        <f t="shared" si="0"/>
        <v>35</v>
      </c>
      <c r="B36">
        <v>4</v>
      </c>
      <c r="C36" t="str" cm="1">
        <f t="array" ref="C36">GetValue("Categories",B36,"Name")</f>
        <v>datetime</v>
      </c>
      <c r="D36">
        <v>1</v>
      </c>
      <c r="E36" s="19" t="str" cm="1">
        <f t="array" ref="E36">GetValue("Comparators",D36,"Symbol")</f>
        <v>&lt;</v>
      </c>
      <c r="F36" t="str" cm="1">
        <f t="array" ref="F36">GetValue("Comparators",D36,"Description")</f>
        <v>Menor que...</v>
      </c>
    </row>
    <row r="37" spans="1:6" x14ac:dyDescent="0.3">
      <c r="A37">
        <f t="shared" si="0"/>
        <v>36</v>
      </c>
      <c r="B37">
        <v>4</v>
      </c>
      <c r="C37" t="str" cm="1">
        <f t="array" ref="C37">GetValue("Categories",B37,"Name")</f>
        <v>datetime</v>
      </c>
      <c r="D37">
        <v>2</v>
      </c>
      <c r="E37" s="19" t="str" cm="1">
        <f t="array" ref="E37">GetValue("Comparators",D37,"Symbol")</f>
        <v>≤</v>
      </c>
      <c r="F37" t="str" cm="1">
        <f t="array" ref="F37">GetValue("Comparators",D37,"Description")</f>
        <v>Menor que ou igual a...</v>
      </c>
    </row>
    <row r="38" spans="1:6" x14ac:dyDescent="0.3">
      <c r="A38">
        <f t="shared" si="0"/>
        <v>37</v>
      </c>
      <c r="B38">
        <v>4</v>
      </c>
      <c r="C38" t="str" cm="1">
        <f t="array" ref="C38">GetValue("Categories",B38,"Name")</f>
        <v>datetime</v>
      </c>
      <c r="D38">
        <v>3</v>
      </c>
      <c r="E38" s="19" t="str" cm="1">
        <f t="array" ref="E38">GetValue("Comparators",D38,"Symbol")</f>
        <v>=</v>
      </c>
      <c r="F38" t="str" cm="1">
        <f t="array" ref="F38">GetValue("Comparators",D38,"Description")</f>
        <v>Igual a...</v>
      </c>
    </row>
    <row r="39" spans="1:6" x14ac:dyDescent="0.3">
      <c r="A39">
        <f t="shared" si="0"/>
        <v>38</v>
      </c>
      <c r="B39">
        <v>4</v>
      </c>
      <c r="C39" t="str" cm="1">
        <f t="array" ref="C39">GetValue("Categories",B39,"Name")</f>
        <v>datetime</v>
      </c>
      <c r="D39">
        <v>4</v>
      </c>
      <c r="E39" s="19" t="str" cm="1">
        <f t="array" ref="E39">GetValue("Comparators",D39,"Symbol")</f>
        <v>≠</v>
      </c>
      <c r="F39" t="str" cm="1">
        <f t="array" ref="F39">GetValue("Comparators",D39,"Description")</f>
        <v>Diferente de...</v>
      </c>
    </row>
    <row r="40" spans="1:6" x14ac:dyDescent="0.3">
      <c r="A40">
        <f t="shared" si="0"/>
        <v>39</v>
      </c>
      <c r="B40">
        <v>4</v>
      </c>
      <c r="C40" t="str" cm="1">
        <f t="array" ref="C40">GetValue("Categories",B40,"Name")</f>
        <v>datetime</v>
      </c>
      <c r="D40">
        <v>5</v>
      </c>
      <c r="E40" s="19" t="str" cm="1">
        <f t="array" ref="E40">GetValue("Comparators",D40,"Symbol")</f>
        <v>≥</v>
      </c>
      <c r="F40" t="str" cm="1">
        <f t="array" ref="F40">GetValue("Comparators",D40,"Description")</f>
        <v>Maior que ou igual a...</v>
      </c>
    </row>
    <row r="41" spans="1:6" x14ac:dyDescent="0.3">
      <c r="A41">
        <f t="shared" si="0"/>
        <v>40</v>
      </c>
      <c r="B41">
        <v>4</v>
      </c>
      <c r="C41" t="str" cm="1">
        <f t="array" ref="C41">GetValue("Categories",B41,"Name")</f>
        <v>datetime</v>
      </c>
      <c r="D41">
        <v>6</v>
      </c>
      <c r="E41" s="19" t="str" cm="1">
        <f t="array" ref="E41">GetValue("Comparators",D41,"Symbol")</f>
        <v>&gt;</v>
      </c>
      <c r="F41" t="str" cm="1">
        <f t="array" ref="F41">GetValue("Comparators",D41,"Description")</f>
        <v>Maior que...</v>
      </c>
    </row>
    <row r="42" spans="1:6" x14ac:dyDescent="0.3">
      <c r="A42">
        <f t="shared" si="0"/>
        <v>41</v>
      </c>
      <c r="B42">
        <v>4</v>
      </c>
      <c r="C42" t="str" cm="1">
        <f t="array" ref="C42">GetValue("Categories",B42,"Name")</f>
        <v>datetime</v>
      </c>
      <c r="D42">
        <v>7</v>
      </c>
      <c r="E42" s="19" t="str" cm="1">
        <f t="array" ref="E42">GetValue("Comparators",D42,"Symbol")</f>
        <v>∈</v>
      </c>
      <c r="F42" t="str" cm="1">
        <f t="array" ref="F42">GetValue("Comparators",D42,"Description")</f>
        <v>IN</v>
      </c>
    </row>
    <row r="43" spans="1:6" x14ac:dyDescent="0.3">
      <c r="A43">
        <f t="shared" si="0"/>
        <v>42</v>
      </c>
      <c r="B43">
        <v>4</v>
      </c>
      <c r="C43" t="str" cm="1">
        <f t="array" ref="C43">GetValue("Categories",B43,"Name")</f>
        <v>datetime</v>
      </c>
      <c r="D43">
        <v>8</v>
      </c>
      <c r="E43" s="19" t="str" cm="1">
        <f t="array" ref="E43">GetValue("Comparators",D43,"Symbol")</f>
        <v>∉</v>
      </c>
      <c r="F43" t="str" cm="1">
        <f t="array" ref="F43">GetValue("Comparators",D43,"Description")</f>
        <v>NOT IN</v>
      </c>
    </row>
    <row r="44" spans="1:6" x14ac:dyDescent="0.3">
      <c r="A44">
        <f t="shared" si="0"/>
        <v>43</v>
      </c>
      <c r="B44">
        <v>4</v>
      </c>
      <c r="C44" t="str" cm="1">
        <f t="array" ref="C44">GetValue("Categories",B44,"Name")</f>
        <v>datetime</v>
      </c>
      <c r="D44">
        <v>11</v>
      </c>
      <c r="E44" s="19" t="str" cm="1">
        <f t="array" ref="E44">GetValue("Comparators",D44,"Symbol")</f>
        <v>∃</v>
      </c>
      <c r="F44" t="str" cm="1">
        <f t="array" ref="F44">GetValue("Comparators",D44,"Description")</f>
        <v>BETWEEN... AND...</v>
      </c>
    </row>
    <row r="45" spans="1:6" x14ac:dyDescent="0.3">
      <c r="A45">
        <f t="shared" si="0"/>
        <v>44</v>
      </c>
      <c r="B45">
        <v>4</v>
      </c>
      <c r="C45" t="str" cm="1">
        <f t="array" ref="C45">GetValue("Categories",B45,"Name")</f>
        <v>datetime</v>
      </c>
      <c r="D45">
        <v>12</v>
      </c>
      <c r="E45" s="19" t="str" cm="1">
        <f t="array" ref="E45">GetValue("Comparators",D45,"Symbol")</f>
        <v>∄</v>
      </c>
      <c r="F45" t="str" cm="1">
        <f t="array" ref="F45">GetValue("Comparators",D45,"Description")</f>
        <v>NOT BETWEEN... AND...</v>
      </c>
    </row>
    <row r="46" spans="1:6" x14ac:dyDescent="0.3">
      <c r="A46">
        <f t="shared" si="0"/>
        <v>45</v>
      </c>
      <c r="B46">
        <v>5</v>
      </c>
      <c r="C46" t="str" cm="1">
        <f t="array" ref="C46">GetValue("Categories",B46,"Name")</f>
        <v>boolean</v>
      </c>
      <c r="D46">
        <v>1</v>
      </c>
      <c r="E46" s="19" t="str" cm="1">
        <f t="array" ref="E46">GetValue("Comparators",D46,"Symbol")</f>
        <v>&lt;</v>
      </c>
      <c r="F46" t="str" cm="1">
        <f t="array" ref="F46">GetValue("Comparators",D46,"Description")</f>
        <v>Menor que...</v>
      </c>
    </row>
    <row r="47" spans="1:6" x14ac:dyDescent="0.3">
      <c r="A47">
        <f t="shared" si="0"/>
        <v>46</v>
      </c>
      <c r="B47">
        <v>5</v>
      </c>
      <c r="C47" t="str" cm="1">
        <f t="array" ref="C47">GetValue("Categories",B47,"Name")</f>
        <v>boolean</v>
      </c>
      <c r="D47">
        <v>2</v>
      </c>
      <c r="E47" s="19" t="str" cm="1">
        <f t="array" ref="E47">GetValue("Comparators",D47,"Symbol")</f>
        <v>≤</v>
      </c>
      <c r="F47" t="str" cm="1">
        <f t="array" ref="F47">GetValue("Comparators",D47,"Description")</f>
        <v>Menor que ou igual a...</v>
      </c>
    </row>
    <row r="48" spans="1:6" x14ac:dyDescent="0.3">
      <c r="A48">
        <f t="shared" si="0"/>
        <v>47</v>
      </c>
      <c r="B48">
        <v>5</v>
      </c>
      <c r="C48" t="str" cm="1">
        <f t="array" ref="C48">GetValue("Categories",B48,"Name")</f>
        <v>boolean</v>
      </c>
      <c r="D48">
        <v>3</v>
      </c>
      <c r="E48" s="19" t="str" cm="1">
        <f t="array" ref="E48">GetValue("Comparators",D48,"Symbol")</f>
        <v>=</v>
      </c>
      <c r="F48" t="str" cm="1">
        <f t="array" ref="F48">GetValue("Comparators",D48,"Description")</f>
        <v>Igual a...</v>
      </c>
    </row>
    <row r="49" spans="1:6" x14ac:dyDescent="0.3">
      <c r="A49">
        <f t="shared" si="0"/>
        <v>48</v>
      </c>
      <c r="B49">
        <v>5</v>
      </c>
      <c r="C49" t="str" cm="1">
        <f t="array" ref="C49">GetValue("Categories",B49,"Name")</f>
        <v>boolean</v>
      </c>
      <c r="D49">
        <v>4</v>
      </c>
      <c r="E49" s="19" t="str" cm="1">
        <f t="array" ref="E49">GetValue("Comparators",D49,"Symbol")</f>
        <v>≠</v>
      </c>
      <c r="F49" t="str" cm="1">
        <f t="array" ref="F49">GetValue("Comparators",D49,"Description")</f>
        <v>Diferente de...</v>
      </c>
    </row>
    <row r="50" spans="1:6" x14ac:dyDescent="0.3">
      <c r="A50">
        <f t="shared" si="0"/>
        <v>49</v>
      </c>
      <c r="B50">
        <v>5</v>
      </c>
      <c r="C50" t="str" cm="1">
        <f t="array" ref="C50">GetValue("Categories",B50,"Name")</f>
        <v>boolean</v>
      </c>
      <c r="D50">
        <v>5</v>
      </c>
      <c r="E50" s="19" t="str" cm="1">
        <f t="array" ref="E50">GetValue("Comparators",D50,"Symbol")</f>
        <v>≥</v>
      </c>
      <c r="F50" t="str" cm="1">
        <f t="array" ref="F50">GetValue("Comparators",D50,"Description")</f>
        <v>Maior que ou igual a...</v>
      </c>
    </row>
    <row r="51" spans="1:6" x14ac:dyDescent="0.3">
      <c r="A51">
        <f t="shared" si="0"/>
        <v>50</v>
      </c>
      <c r="B51">
        <v>5</v>
      </c>
      <c r="C51" t="str" cm="1">
        <f t="array" ref="C51">GetValue("Categories",B51,"Name")</f>
        <v>boolean</v>
      </c>
      <c r="D51">
        <v>6</v>
      </c>
      <c r="E51" s="19" t="str" cm="1">
        <f t="array" ref="E51">GetValue("Comparators",D51,"Symbol")</f>
        <v>&gt;</v>
      </c>
      <c r="F51" t="str" cm="1">
        <f t="array" ref="F51">GetValue("Comparators",D51,"Description")</f>
        <v>Maior que...</v>
      </c>
    </row>
    <row r="52" spans="1:6" x14ac:dyDescent="0.3">
      <c r="A52">
        <f t="shared" si="0"/>
        <v>51</v>
      </c>
      <c r="B52">
        <v>5</v>
      </c>
      <c r="C52" t="str" cm="1">
        <f t="array" ref="C52">GetValue("Categories",B52,"Name")</f>
        <v>boolean</v>
      </c>
      <c r="D52">
        <v>7</v>
      </c>
      <c r="E52" s="19" t="str" cm="1">
        <f t="array" ref="E52">GetValue("Comparators",D52,"Symbol")</f>
        <v>∈</v>
      </c>
      <c r="F52" t="str" cm="1">
        <f t="array" ref="F52">GetValue("Comparators",D52,"Description")</f>
        <v>IN</v>
      </c>
    </row>
    <row r="53" spans="1:6" x14ac:dyDescent="0.3">
      <c r="A53">
        <f t="shared" si="0"/>
        <v>52</v>
      </c>
      <c r="B53">
        <v>5</v>
      </c>
      <c r="C53" t="str" cm="1">
        <f t="array" ref="C53">GetValue("Categories",B53,"Name")</f>
        <v>boolean</v>
      </c>
      <c r="D53">
        <v>8</v>
      </c>
      <c r="E53" s="19" t="str" cm="1">
        <f t="array" ref="E53">GetValue("Comparators",D53,"Symbol")</f>
        <v>∉</v>
      </c>
      <c r="F53" t="str" cm="1">
        <f t="array" ref="F53">GetValue("Comparators",D53,"Description")</f>
        <v>NOT IN</v>
      </c>
    </row>
    <row r="54" spans="1:6" x14ac:dyDescent="0.3">
      <c r="A54">
        <f t="shared" si="0"/>
        <v>53</v>
      </c>
      <c r="B54">
        <v>5</v>
      </c>
      <c r="C54" t="str" cm="1">
        <f t="array" ref="C54">GetValue("Categories",B54,"Name")</f>
        <v>boolean</v>
      </c>
      <c r="D54">
        <v>11</v>
      </c>
      <c r="E54" s="19" t="str" cm="1">
        <f t="array" ref="E54">GetValue("Comparators",D54,"Symbol")</f>
        <v>∃</v>
      </c>
      <c r="F54" t="str" cm="1">
        <f t="array" ref="F54">GetValue("Comparators",D54,"Description")</f>
        <v>BETWEEN... AND...</v>
      </c>
    </row>
    <row r="55" spans="1:6" x14ac:dyDescent="0.3">
      <c r="A55">
        <f t="shared" si="0"/>
        <v>54</v>
      </c>
      <c r="B55">
        <v>5</v>
      </c>
      <c r="C55" t="str" cm="1">
        <f t="array" ref="C55">GetValue("Categories",B55,"Name")</f>
        <v>boolean</v>
      </c>
      <c r="D55">
        <v>12</v>
      </c>
      <c r="E55" s="19" t="str" cm="1">
        <f t="array" ref="E55">GetValue("Comparators",D55,"Symbol")</f>
        <v>∄</v>
      </c>
      <c r="F55" t="str" cm="1">
        <f t="array" ref="F55">GetValue("Comparators",D55,"Description")</f>
        <v>NOT BETWEEN... AND...</v>
      </c>
    </row>
    <row r="56" spans="1:6" x14ac:dyDescent="0.3">
      <c r="A56">
        <f t="shared" si="0"/>
        <v>55</v>
      </c>
      <c r="B56">
        <v>6</v>
      </c>
      <c r="C56" t="str" cm="1">
        <f t="array" ref="C56">GetValue("Categories",B56,"Name")</f>
        <v>time</v>
      </c>
      <c r="D56">
        <v>9</v>
      </c>
      <c r="E56" s="19" t="str" cm="1">
        <f t="array" ref="E56">GetValue("Comparators",D56,"Symbol")</f>
        <v>⊃</v>
      </c>
      <c r="F56" t="str" cm="1">
        <f t="array" ref="F56">GetValue("Comparators",D56,"Description")</f>
        <v>LIKE</v>
      </c>
    </row>
    <row r="57" spans="1:6" x14ac:dyDescent="0.3">
      <c r="A57">
        <f t="shared" si="0"/>
        <v>56</v>
      </c>
      <c r="B57">
        <v>6</v>
      </c>
      <c r="C57" t="str" cm="1">
        <f t="array" ref="C57">GetValue("Categories",B57,"Name")</f>
        <v>time</v>
      </c>
      <c r="D57">
        <v>10</v>
      </c>
      <c r="E57" s="19" t="str" cm="1">
        <f t="array" ref="E57">GetValue("Comparators",D57,"Symbol")</f>
        <v>⊅</v>
      </c>
      <c r="F57" t="str" cm="1">
        <f t="array" ref="F57">GetValue("Comparators",D57,"Description")</f>
        <v>NOT LIKE</v>
      </c>
    </row>
    <row r="58" spans="1:6" x14ac:dyDescent="0.3">
      <c r="A58">
        <f t="shared" si="0"/>
        <v>57</v>
      </c>
      <c r="B58">
        <v>7</v>
      </c>
      <c r="C58" t="str" cm="1">
        <f t="array" ref="C58">GetValue("Categories",B58,"Name")</f>
        <v>text</v>
      </c>
      <c r="D58">
        <v>3</v>
      </c>
      <c r="E58" s="19" t="str" cm="1">
        <f t="array" ref="E58">GetValue("Comparators",D58,"Symbol")</f>
        <v>=</v>
      </c>
      <c r="F58" t="str" cm="1">
        <f t="array" ref="F58">GetValue("Comparators",D58,"Description")</f>
        <v>Igual a...</v>
      </c>
    </row>
    <row r="59" spans="1:6" x14ac:dyDescent="0.3">
      <c r="A59">
        <f t="shared" si="0"/>
        <v>58</v>
      </c>
      <c r="B59">
        <v>7</v>
      </c>
      <c r="C59" t="str" cm="1">
        <f t="array" ref="C59">GetValue("Categories",B59,"Name")</f>
        <v>text</v>
      </c>
      <c r="D59">
        <v>4</v>
      </c>
      <c r="E59" s="19" t="str" cm="1">
        <f t="array" ref="E59">GetValue("Comparators",D59,"Symbol")</f>
        <v>≠</v>
      </c>
      <c r="F59" t="str" cm="1">
        <f t="array" ref="F59">GetValue("Comparators",D59,"Description")</f>
        <v>Diferente de...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topLeftCell="G1" workbookViewId="0">
      <pane ySplit="1" topLeftCell="A8" activePane="bottomLeft" state="frozen"/>
      <selection pane="bottomLeft" activeCell="Q8" sqref="Q8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325</v>
      </c>
      <c r="D1" s="1" t="s">
        <v>1</v>
      </c>
      <c r="E1" s="1" t="s">
        <v>342</v>
      </c>
      <c r="F1" s="1" t="s">
        <v>361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347</v>
      </c>
      <c r="O1" s="1" t="s">
        <v>290</v>
      </c>
      <c r="P1" s="1" t="s">
        <v>516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463</v>
      </c>
      <c r="H6" s="6" t="s">
        <v>464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465</v>
      </c>
      <c r="H7" s="6" t="s">
        <v>466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467</v>
      </c>
      <c r="H8" s="6" t="s">
        <v>468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467</v>
      </c>
      <c r="H9" s="6" t="s">
        <v>468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389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469</v>
      </c>
      <c r="H24" s="6" t="s">
        <v>470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471</v>
      </c>
      <c r="H30" s="6" t="s">
        <v>472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390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388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485</v>
      </c>
      <c r="C7" t="s">
        <v>491</v>
      </c>
    </row>
    <row r="8" spans="1:3" x14ac:dyDescent="0.3">
      <c r="A8">
        <f>ROW(A8)-1</f>
        <v>7</v>
      </c>
      <c r="B8" t="s">
        <v>484</v>
      </c>
      <c r="C8" t="s">
        <v>82</v>
      </c>
    </row>
    <row r="9" spans="1:3" x14ac:dyDescent="0.3">
      <c r="A9">
        <f t="shared" si="0"/>
        <v>8</v>
      </c>
      <c r="B9" t="s">
        <v>486</v>
      </c>
      <c r="C9" t="s">
        <v>512</v>
      </c>
    </row>
    <row r="10" spans="1:3" x14ac:dyDescent="0.3">
      <c r="A10">
        <f t="shared" si="0"/>
        <v>9</v>
      </c>
      <c r="B10" t="s">
        <v>496</v>
      </c>
      <c r="C10" t="s">
        <v>492</v>
      </c>
    </row>
    <row r="11" spans="1:3" x14ac:dyDescent="0.3">
      <c r="A11">
        <f>ROW(A11)-1</f>
        <v>10</v>
      </c>
      <c r="B11" t="s">
        <v>497</v>
      </c>
      <c r="C11" t="s">
        <v>490</v>
      </c>
    </row>
    <row r="12" spans="1:3" x14ac:dyDescent="0.3">
      <c r="A12">
        <f t="shared" si="0"/>
        <v>11</v>
      </c>
      <c r="B12" t="s">
        <v>498</v>
      </c>
      <c r="C12" t="s">
        <v>511</v>
      </c>
    </row>
    <row r="13" spans="1:3" x14ac:dyDescent="0.3">
      <c r="A13">
        <f t="shared" si="0"/>
        <v>12</v>
      </c>
      <c r="B13" t="s">
        <v>487</v>
      </c>
      <c r="C13" t="s">
        <v>500</v>
      </c>
    </row>
    <row r="14" spans="1:3" x14ac:dyDescent="0.3">
      <c r="A14">
        <f>ROW(A14)-1</f>
        <v>13</v>
      </c>
      <c r="B14" t="s">
        <v>488</v>
      </c>
      <c r="C14" t="s">
        <v>499</v>
      </c>
    </row>
    <row r="15" spans="1:3" x14ac:dyDescent="0.3">
      <c r="A15">
        <f t="shared" si="0"/>
        <v>14</v>
      </c>
      <c r="B15" t="s">
        <v>489</v>
      </c>
      <c r="C15" t="s">
        <v>510</v>
      </c>
    </row>
    <row r="16" spans="1:3" x14ac:dyDescent="0.3">
      <c r="A16">
        <f t="shared" si="0"/>
        <v>15</v>
      </c>
      <c r="B16" t="s">
        <v>493</v>
      </c>
      <c r="C16" t="s">
        <v>502</v>
      </c>
    </row>
    <row r="17" spans="1:3" x14ac:dyDescent="0.3">
      <c r="A17">
        <f>ROW(A17)-1</f>
        <v>16</v>
      </c>
      <c r="B17" t="s">
        <v>494</v>
      </c>
      <c r="C17" t="s">
        <v>501</v>
      </c>
    </row>
    <row r="18" spans="1:3" x14ac:dyDescent="0.3">
      <c r="A18">
        <f t="shared" si="0"/>
        <v>17</v>
      </c>
      <c r="B18" t="s">
        <v>495</v>
      </c>
      <c r="C18" t="s">
        <v>509</v>
      </c>
    </row>
    <row r="19" spans="1:3" x14ac:dyDescent="0.3">
      <c r="A19">
        <f t="shared" ref="A19:A26" si="1">ROW(A19)-1</f>
        <v>18</v>
      </c>
      <c r="B19" t="s">
        <v>480</v>
      </c>
      <c r="C19" t="s">
        <v>481</v>
      </c>
    </row>
    <row r="20" spans="1:3" x14ac:dyDescent="0.3">
      <c r="A20">
        <f t="shared" si="1"/>
        <v>19</v>
      </c>
      <c r="B20" t="s">
        <v>479</v>
      </c>
      <c r="C20" t="s">
        <v>476</v>
      </c>
    </row>
    <row r="21" spans="1:3" x14ac:dyDescent="0.3">
      <c r="A21">
        <f t="shared" si="1"/>
        <v>20</v>
      </c>
      <c r="B21" t="s">
        <v>482</v>
      </c>
      <c r="C21" t="s">
        <v>483</v>
      </c>
    </row>
    <row r="22" spans="1:3" x14ac:dyDescent="0.3">
      <c r="A22">
        <f t="shared" si="1"/>
        <v>21</v>
      </c>
      <c r="B22" t="s">
        <v>506</v>
      </c>
      <c r="C22" t="s">
        <v>503</v>
      </c>
    </row>
    <row r="23" spans="1:3" x14ac:dyDescent="0.3">
      <c r="A23">
        <f t="shared" si="1"/>
        <v>22</v>
      </c>
      <c r="B23" t="s">
        <v>507</v>
      </c>
      <c r="C23" t="s">
        <v>504</v>
      </c>
    </row>
    <row r="24" spans="1:3" x14ac:dyDescent="0.3">
      <c r="A24">
        <f t="shared" si="1"/>
        <v>23</v>
      </c>
      <c r="B24" t="s">
        <v>508</v>
      </c>
      <c r="C24" t="s">
        <v>505</v>
      </c>
    </row>
    <row r="25" spans="1:3" x14ac:dyDescent="0.3">
      <c r="A25">
        <f t="shared" si="1"/>
        <v>24</v>
      </c>
      <c r="B25" t="s">
        <v>477</v>
      </c>
      <c r="C25" t="s">
        <v>478</v>
      </c>
    </row>
    <row r="26" spans="1:3" x14ac:dyDescent="0.3">
      <c r="A26">
        <f t="shared" si="1"/>
        <v>25</v>
      </c>
      <c r="B26" t="s">
        <v>514</v>
      </c>
      <c r="C26" t="s">
        <v>513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4"/>
  <sheetViews>
    <sheetView workbookViewId="0">
      <pane ySplit="1" topLeftCell="A8" activePane="bottomLeft" state="frozen"/>
      <selection pane="bottomLeft" activeCell="E25" sqref="E25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326</v>
      </c>
      <c r="D1" s="1" t="s">
        <v>325</v>
      </c>
      <c r="E1" s="1" t="s">
        <v>342</v>
      </c>
      <c r="F1" s="1" t="s">
        <v>63</v>
      </c>
      <c r="G1" s="1" t="s">
        <v>327</v>
      </c>
      <c r="H1" s="1" t="s">
        <v>515</v>
      </c>
      <c r="I1" s="1" t="s">
        <v>1</v>
      </c>
      <c r="J1" s="1" t="s">
        <v>64</v>
      </c>
      <c r="K1" s="1" t="s">
        <v>65</v>
      </c>
      <c r="L1" s="1" t="s">
        <v>299</v>
      </c>
      <c r="M1" s="1" t="s">
        <v>66</v>
      </c>
      <c r="N1" s="1" t="s">
        <v>26</v>
      </c>
      <c r="O1" s="1" t="s">
        <v>27</v>
      </c>
      <c r="P1" s="1" t="s">
        <v>291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391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392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393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394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395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396</v>
      </c>
    </row>
    <row r="14" spans="1:16" x14ac:dyDescent="0.3">
      <c r="A14">
        <f t="shared" ref="A14:A24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527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528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529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291</v>
      </c>
      <c r="J19">
        <v>5</v>
      </c>
      <c r="L19" t="s">
        <v>526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293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323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418</v>
      </c>
      <c r="J22">
        <v>15</v>
      </c>
      <c r="L22" t="s">
        <v>433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524</v>
      </c>
      <c r="J23">
        <v>3</v>
      </c>
      <c r="L23" t="s">
        <v>525</v>
      </c>
    </row>
    <row r="24" spans="1:12" x14ac:dyDescent="0.3">
      <c r="A24">
        <f t="shared" si="1"/>
        <v>23</v>
      </c>
      <c r="B24">
        <v>20</v>
      </c>
      <c r="C24" t="str">
        <f t="array" ref="C24">GetValue("Types",B24,"Name")</f>
        <v>nvarchar</v>
      </c>
      <c r="D24" t="str" cm="1">
        <f t="array" ref="D24">GetValue("Types",B24,"#CategoryName")</f>
        <v>string</v>
      </c>
      <c r="E24" t="str" cm="1">
        <f t="array" ref="E24">GetDataType(A24)</f>
        <v>nvarchar(512)</v>
      </c>
      <c r="G24" t="str">
        <f t="array" ref="G24">GetValue("Masks",F24,"Name")</f>
        <v/>
      </c>
      <c r="H24" t="str" cm="1">
        <f t="array" ref="H24">GetValue("Masks",F24,"Mask")</f>
        <v/>
      </c>
      <c r="I24" t="s">
        <v>543</v>
      </c>
      <c r="J24">
        <v>512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339</v>
      </c>
    </row>
    <row r="2" spans="1:6" x14ac:dyDescent="0.3">
      <c r="A2">
        <f>ROW(A2)-1</f>
        <v>1</v>
      </c>
      <c r="B2" t="s">
        <v>363</v>
      </c>
      <c r="C2" t="s">
        <v>364</v>
      </c>
      <c r="D2" t="s">
        <v>385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4"/>
  <sheetViews>
    <sheetView workbookViewId="0">
      <pane ySplit="1" topLeftCell="A2" activePane="bottomLeft" state="frozen"/>
      <selection pane="bottomLeft" activeCell="D16" sqref="D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329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346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4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365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366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367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368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369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370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371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372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373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GetValue("Systems",B14,"Name")</f>
        <v>crudex</v>
      </c>
      <c r="D14">
        <v>65</v>
      </c>
      <c r="E14" t="s">
        <v>138</v>
      </c>
      <c r="F14" t="s">
        <v>99</v>
      </c>
      <c r="G14" t="s">
        <v>366</v>
      </c>
      <c r="H14">
        <v>1</v>
      </c>
      <c r="I14" t="str" cm="1">
        <f t="array" ref="I14">GetValue("Menus",H14,"Caption")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300</v>
      </c>
      <c r="C2" t="s">
        <v>300</v>
      </c>
      <c r="D2" t="s">
        <v>301</v>
      </c>
      <c r="E2">
        <v>0</v>
      </c>
      <c r="F2" t="b">
        <v>1</v>
      </c>
    </row>
    <row r="3" spans="1:6" x14ac:dyDescent="0.3">
      <c r="A3">
        <f>ROW(A3)-1</f>
        <v>2</v>
      </c>
      <c r="B3" t="s">
        <v>321</v>
      </c>
      <c r="C3" t="s">
        <v>120</v>
      </c>
      <c r="D3" t="s">
        <v>322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329</v>
      </c>
      <c r="D1" s="1" t="s">
        <v>121</v>
      </c>
      <c r="E1" s="1" t="s">
        <v>328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3" sqref="C3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524</v>
      </c>
      <c r="C1" s="1" t="s">
        <v>530</v>
      </c>
    </row>
    <row r="2" spans="1:3" x14ac:dyDescent="0.3">
      <c r="A2">
        <v>1</v>
      </c>
      <c r="B2" t="s">
        <v>531</v>
      </c>
      <c r="C2" t="s">
        <v>537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E6" sqref="E6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434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414</v>
      </c>
      <c r="H1" s="1" t="s">
        <v>432</v>
      </c>
    </row>
    <row r="2" spans="1:8" x14ac:dyDescent="0.3">
      <c r="A2">
        <f>ROW(A2)-1</f>
        <v>1</v>
      </c>
      <c r="B2">
        <v>1</v>
      </c>
      <c r="C2" t="s">
        <v>363</v>
      </c>
      <c r="D2" t="s">
        <v>363</v>
      </c>
      <c r="E2" t="s">
        <v>364</v>
      </c>
      <c r="F2" t="s">
        <v>536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329</v>
      </c>
      <c r="D1" s="1" t="s">
        <v>124</v>
      </c>
      <c r="E1" s="1" t="s">
        <v>330</v>
      </c>
      <c r="F1" s="1" t="s">
        <v>441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G23"/>
  <sheetViews>
    <sheetView workbookViewId="0">
      <pane ySplit="1" topLeftCell="A2" activePane="bottomLeft" state="frozen"/>
      <selection pane="bottomLeft" activeCell="F4" sqref="F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9" bestFit="1" customWidth="1"/>
  </cols>
  <sheetData>
    <row r="1" spans="1:7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336</v>
      </c>
      <c r="G1" s="1" t="s">
        <v>337</v>
      </c>
    </row>
    <row r="2" spans="1:7" x14ac:dyDescent="0.3">
      <c r="A2">
        <f t="shared" ref="A2:A9" si="0">ROW(A2)-1</f>
        <v>1</v>
      </c>
      <c r="B2" t="s">
        <v>142</v>
      </c>
      <c r="C2" t="s">
        <v>305</v>
      </c>
      <c r="D2" t="s">
        <v>143</v>
      </c>
      <c r="F2" t="str">
        <f t="array" ref="F2">GetValue("Tables",E2,"Name")</f>
        <v/>
      </c>
      <c r="G2" cm="1">
        <f t="array" ref="G2">GetLastId(A2)</f>
        <v>10</v>
      </c>
    </row>
    <row r="3" spans="1:7" x14ac:dyDescent="0.3">
      <c r="A3">
        <f t="shared" si="0"/>
        <v>2</v>
      </c>
      <c r="B3" t="s">
        <v>126</v>
      </c>
      <c r="C3" t="s">
        <v>306</v>
      </c>
      <c r="D3" t="s">
        <v>408</v>
      </c>
      <c r="F3" t="str">
        <f t="array" ref="F3">GetValue("Tables",E3,"Name")</f>
        <v/>
      </c>
      <c r="G3" cm="1">
        <f t="array" ref="G3">GetLastId(A3)</f>
        <v>37</v>
      </c>
    </row>
    <row r="4" spans="1:7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cm="1">
        <f t="array" ref="G4">GetLastId(A4)</f>
        <v>25</v>
      </c>
    </row>
    <row r="5" spans="1:7" x14ac:dyDescent="0.3">
      <c r="A5">
        <f t="shared" si="0"/>
        <v>4</v>
      </c>
      <c r="B5" t="s">
        <v>127</v>
      </c>
      <c r="C5" t="s">
        <v>307</v>
      </c>
      <c r="D5" t="s">
        <v>409</v>
      </c>
      <c r="F5" t="str">
        <f t="array" ref="F5">GetValue("Tables",E5,"Name")</f>
        <v/>
      </c>
      <c r="G5" cm="1">
        <f t="array" ref="G5">GetLastId(A5)</f>
        <v>23</v>
      </c>
    </row>
    <row r="6" spans="1:7" x14ac:dyDescent="0.3">
      <c r="A6">
        <f t="shared" si="0"/>
        <v>5</v>
      </c>
      <c r="B6" t="s">
        <v>130</v>
      </c>
      <c r="C6" t="s">
        <v>308</v>
      </c>
      <c r="D6" t="s">
        <v>102</v>
      </c>
      <c r="F6" t="str">
        <f t="array" ref="F6">GetValue("Tables",E6,"Name")</f>
        <v/>
      </c>
      <c r="G6" cm="1">
        <f t="array" ref="G6">GetLastId(A6)</f>
        <v>1</v>
      </c>
    </row>
    <row r="7" spans="1:7" x14ac:dyDescent="0.3">
      <c r="A7">
        <f t="shared" si="0"/>
        <v>6</v>
      </c>
      <c r="B7" t="s">
        <v>100</v>
      </c>
      <c r="C7" t="s">
        <v>309</v>
      </c>
      <c r="D7" t="s">
        <v>407</v>
      </c>
      <c r="E7">
        <v>5</v>
      </c>
      <c r="F7" t="str" cm="1">
        <f t="array" ref="F7">GetValue("Tables",E7,"Name")</f>
        <v>Systems</v>
      </c>
      <c r="G7" cm="1">
        <f t="array" ref="G7">GetLastId(A7)</f>
        <v>13</v>
      </c>
    </row>
    <row r="8" spans="1:7" x14ac:dyDescent="0.3">
      <c r="A8">
        <f t="shared" si="0"/>
        <v>7</v>
      </c>
      <c r="B8" t="s">
        <v>131</v>
      </c>
      <c r="C8" t="s">
        <v>310</v>
      </c>
      <c r="D8" t="s">
        <v>406</v>
      </c>
      <c r="F8" t="str">
        <f t="array" ref="F8">GetValue("Tables",E8,"Name")</f>
        <v/>
      </c>
      <c r="G8" cm="1">
        <f t="array" ref="G8">GetLastId(A8)</f>
        <v>2</v>
      </c>
    </row>
    <row r="9" spans="1:7" x14ac:dyDescent="0.3">
      <c r="A9">
        <f t="shared" si="0"/>
        <v>8</v>
      </c>
      <c r="B9" t="s">
        <v>132</v>
      </c>
      <c r="C9" t="s">
        <v>311</v>
      </c>
      <c r="D9" t="s">
        <v>133</v>
      </c>
      <c r="E9">
        <v>5</v>
      </c>
      <c r="F9" t="str" cm="1">
        <f t="array" ref="F9">GetValue("Tables",E9,"Name")</f>
        <v>Systems</v>
      </c>
      <c r="G9" cm="1">
        <f t="array" ref="G9">GetLastId(A9)</f>
        <v>2</v>
      </c>
    </row>
    <row r="10" spans="1:7" x14ac:dyDescent="0.3">
      <c r="A10">
        <v>9</v>
      </c>
      <c r="B10" t="s">
        <v>400</v>
      </c>
      <c r="C10" t="s">
        <v>401</v>
      </c>
      <c r="D10" t="s">
        <v>405</v>
      </c>
      <c r="G10" cm="1">
        <f t="array" ref="G10">GetLastId(A10)</f>
        <v>1</v>
      </c>
    </row>
    <row r="11" spans="1:7" x14ac:dyDescent="0.3">
      <c r="A11">
        <f t="shared" ref="A11:A23" si="1">ROW(A11)-1</f>
        <v>10</v>
      </c>
      <c r="B11" t="s">
        <v>134</v>
      </c>
      <c r="C11" t="s">
        <v>312</v>
      </c>
      <c r="D11" t="s">
        <v>135</v>
      </c>
      <c r="F11" t="str">
        <f t="array" ref="F11">GetValue("Tables",E11,"Name")</f>
        <v/>
      </c>
      <c r="G11" cm="1">
        <f t="array" ref="G11">GetLastId(A11)</f>
        <v>1</v>
      </c>
    </row>
    <row r="12" spans="1:7" x14ac:dyDescent="0.3">
      <c r="A12">
        <f t="shared" si="1"/>
        <v>11</v>
      </c>
      <c r="B12" t="s">
        <v>136</v>
      </c>
      <c r="C12" t="s">
        <v>313</v>
      </c>
      <c r="D12" t="s">
        <v>137</v>
      </c>
      <c r="E12">
        <v>5</v>
      </c>
      <c r="F12" t="str">
        <f t="array" ref="F12">GetValue("Tables",E12,"Name")</f>
        <v>Systems</v>
      </c>
      <c r="G12" cm="1">
        <f t="array" ref="G12">GetLastId(A12)</f>
        <v>1</v>
      </c>
    </row>
    <row r="13" spans="1:7" x14ac:dyDescent="0.3">
      <c r="A13">
        <f t="shared" si="1"/>
        <v>12</v>
      </c>
      <c r="B13" t="s">
        <v>138</v>
      </c>
      <c r="C13" t="s">
        <v>314</v>
      </c>
      <c r="D13" t="s">
        <v>410</v>
      </c>
      <c r="E13">
        <v>10</v>
      </c>
      <c r="F13" t="str">
        <f t="array" ref="F13">GetValue("Tables",E13,"Name")</f>
        <v>Databases</v>
      </c>
      <c r="G13" cm="1">
        <f t="array" ref="G13">GetLastId(A13)</f>
        <v>22</v>
      </c>
    </row>
    <row r="14" spans="1:7" x14ac:dyDescent="0.3">
      <c r="A14">
        <f t="shared" si="1"/>
        <v>13</v>
      </c>
      <c r="B14" t="s">
        <v>302</v>
      </c>
      <c r="C14" t="s">
        <v>315</v>
      </c>
      <c r="D14" t="s">
        <v>303</v>
      </c>
      <c r="E14">
        <v>10</v>
      </c>
      <c r="F14" t="str">
        <f t="array" ref="F14">GetValue("Tables",E14,"Name")</f>
        <v>Databases</v>
      </c>
      <c r="G14" cm="1">
        <f t="array" ref="G14">GetLastId(A14)</f>
        <v>21</v>
      </c>
    </row>
    <row r="15" spans="1:7" x14ac:dyDescent="0.3">
      <c r="A15">
        <f t="shared" si="1"/>
        <v>14</v>
      </c>
      <c r="B15" t="s">
        <v>139</v>
      </c>
      <c r="C15" t="s">
        <v>316</v>
      </c>
      <c r="D15" t="s">
        <v>403</v>
      </c>
      <c r="E15">
        <v>12</v>
      </c>
      <c r="F15" t="str">
        <f t="array" ref="F15">GetValue("Tables",E15,"Name")</f>
        <v>Tables</v>
      </c>
      <c r="G15" cm="1">
        <f t="array" ref="G15">GetLastId(A15)</f>
        <v>145</v>
      </c>
    </row>
    <row r="16" spans="1:7" x14ac:dyDescent="0.3">
      <c r="A16">
        <f t="shared" si="1"/>
        <v>15</v>
      </c>
      <c r="B16" t="s">
        <v>140</v>
      </c>
      <c r="C16" t="s">
        <v>317</v>
      </c>
      <c r="D16" t="s">
        <v>404</v>
      </c>
      <c r="E16">
        <v>12</v>
      </c>
      <c r="F16" t="str">
        <f t="array" ref="F16">GetValue("Tables",E16,"Name")</f>
        <v>Tables</v>
      </c>
      <c r="G16" cm="1">
        <f t="array" ref="G16">GetLastId(A16)</f>
        <v>0</v>
      </c>
    </row>
    <row r="17" spans="1:7" x14ac:dyDescent="0.3">
      <c r="A17">
        <f t="shared" si="1"/>
        <v>16</v>
      </c>
      <c r="B17" t="s">
        <v>294</v>
      </c>
      <c r="C17" t="s">
        <v>318</v>
      </c>
      <c r="D17" t="s">
        <v>141</v>
      </c>
      <c r="E17">
        <v>15</v>
      </c>
      <c r="F17" t="str">
        <f t="array" ref="F17">GetValue("Tables",E17,"Name")</f>
        <v>Indexes</v>
      </c>
      <c r="G17" cm="1">
        <f t="array" ref="G17">GetLastId(A17)</f>
        <v>0</v>
      </c>
    </row>
    <row r="18" spans="1:7" x14ac:dyDescent="0.3">
      <c r="A18">
        <f t="shared" si="1"/>
        <v>17</v>
      </c>
      <c r="B18" t="s">
        <v>518</v>
      </c>
      <c r="C18" t="s">
        <v>519</v>
      </c>
      <c r="D18" t="s">
        <v>520</v>
      </c>
      <c r="F18" t="str">
        <f t="array" ref="F18">GetValue("Tables",E18,"Name")</f>
        <v/>
      </c>
      <c r="G18" cm="1">
        <f t="array" ref="G18">GetLastId(A18)</f>
        <v>0</v>
      </c>
    </row>
    <row r="19" spans="1:7" x14ac:dyDescent="0.3">
      <c r="A19">
        <f t="shared" si="1"/>
        <v>18</v>
      </c>
      <c r="B19" t="s">
        <v>411</v>
      </c>
      <c r="C19" t="s">
        <v>412</v>
      </c>
      <c r="D19" t="s">
        <v>413</v>
      </c>
      <c r="F19" t="str">
        <f t="array" ref="F19">GetValue("Tables",E19,"Name")</f>
        <v/>
      </c>
      <c r="G19" cm="1">
        <f t="array" ref="G19">GetLastId(A19)</f>
        <v>0</v>
      </c>
    </row>
    <row r="20" spans="1:7" x14ac:dyDescent="0.3">
      <c r="A20">
        <f t="shared" si="1"/>
        <v>19</v>
      </c>
      <c r="B20" t="s">
        <v>417</v>
      </c>
      <c r="C20" t="s">
        <v>418</v>
      </c>
      <c r="D20" t="s">
        <v>419</v>
      </c>
      <c r="F20" t="str">
        <f t="array" ref="F20">GetValue("Tables",E20,"Name")</f>
        <v/>
      </c>
      <c r="G20" cm="1">
        <f t="array" ref="G20">GetLastId(A20)</f>
        <v>0</v>
      </c>
    </row>
    <row r="21" spans="1:7" x14ac:dyDescent="0.3">
      <c r="A21">
        <f t="shared" si="1"/>
        <v>20</v>
      </c>
      <c r="B21" t="s">
        <v>474</v>
      </c>
      <c r="C21" t="s">
        <v>475</v>
      </c>
      <c r="D21" t="s">
        <v>443</v>
      </c>
      <c r="F21" t="str">
        <f t="array" ref="F21">GetValue("Tables",E21,"Name")</f>
        <v/>
      </c>
      <c r="G21" cm="1">
        <f t="array" ref="G21">GetLastId(A21)</f>
        <v>1</v>
      </c>
    </row>
    <row r="22" spans="1:7" x14ac:dyDescent="0.3">
      <c r="A22">
        <f t="shared" si="1"/>
        <v>21</v>
      </c>
      <c r="B22" t="s">
        <v>573</v>
      </c>
      <c r="C22" t="s">
        <v>574</v>
      </c>
      <c r="D22" t="s">
        <v>575</v>
      </c>
      <c r="G22" cm="1">
        <f t="array" ref="G22">GetLastId(A22)</f>
        <v>14</v>
      </c>
    </row>
    <row r="23" spans="1:7" x14ac:dyDescent="0.3">
      <c r="A23">
        <f t="shared" si="1"/>
        <v>22</v>
      </c>
      <c r="B23" t="s">
        <v>576</v>
      </c>
      <c r="C23" t="s">
        <v>577</v>
      </c>
      <c r="D23" t="s">
        <v>578</v>
      </c>
      <c r="G23" cm="1">
        <f t="array" ref="G23">GetLastId(A23)</f>
        <v>68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2" sqref="E2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330</v>
      </c>
      <c r="D1" s="1" t="s">
        <v>441</v>
      </c>
      <c r="E1" s="1" t="s">
        <v>144</v>
      </c>
      <c r="F1" s="1" t="s">
        <v>331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Operators</v>
      </c>
      <c r="G22" t="str">
        <f t="shared" ref="G22" si="3">_xlfn.CONCAT(C22," x ",F22)</f>
        <v>crudex x Operators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D149"/>
  <sheetViews>
    <sheetView zoomScaleNormal="100" workbookViewId="0">
      <pane ySplit="1" topLeftCell="A134" activePane="bottomLeft" state="frozen"/>
      <selection pane="bottomLeft" activeCell="A150" sqref="A150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9" width="11.77734375" bestFit="1" customWidth="1"/>
    <col min="30" max="30" width="7.88671875" bestFit="1" customWidth="1"/>
  </cols>
  <sheetData>
    <row r="1" spans="1:30" s="1" customFormat="1" x14ac:dyDescent="0.3">
      <c r="A1" s="10" t="s">
        <v>0</v>
      </c>
      <c r="B1" s="10" t="s">
        <v>144</v>
      </c>
      <c r="C1" s="10" t="s">
        <v>331</v>
      </c>
      <c r="D1" s="10" t="s">
        <v>387</v>
      </c>
      <c r="E1" s="10" t="s">
        <v>88</v>
      </c>
      <c r="F1" s="10" t="s">
        <v>145</v>
      </c>
      <c r="G1" s="10" t="s">
        <v>332</v>
      </c>
      <c r="H1" s="10" t="s">
        <v>325</v>
      </c>
      <c r="I1" s="10" t="s">
        <v>326</v>
      </c>
      <c r="J1" s="10" t="s">
        <v>342</v>
      </c>
      <c r="K1" s="10" t="s">
        <v>146</v>
      </c>
      <c r="L1" s="10" t="s">
        <v>333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348</v>
      </c>
      <c r="AB1" s="10" t="s">
        <v>154</v>
      </c>
      <c r="AC1" s="10" t="s">
        <v>384</v>
      </c>
      <c r="AD1" s="10" t="s">
        <v>544</v>
      </c>
    </row>
    <row r="2" spans="1:30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  <c r="AD2" s="7" t="b">
        <v>0</v>
      </c>
    </row>
    <row r="3" spans="1:30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  <c r="AD3" s="7" t="b">
        <v>0</v>
      </c>
    </row>
    <row r="4" spans="1:30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  <c r="AD4" s="7" t="b">
        <v>0</v>
      </c>
    </row>
    <row r="5" spans="1:30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  <c r="AD5" s="7" t="b">
        <v>0</v>
      </c>
    </row>
    <row r="6" spans="1:30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382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  <c r="AD6" s="7" t="b">
        <v>0</v>
      </c>
    </row>
    <row r="7" spans="1:30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381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  <c r="AD7" s="7" t="b">
        <v>0</v>
      </c>
    </row>
    <row r="8" spans="1:30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380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  <c r="AD8" s="7" t="b">
        <v>0</v>
      </c>
    </row>
    <row r="9" spans="1:30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379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  <c r="AD9" s="7" t="b">
        <v>0</v>
      </c>
    </row>
    <row r="10" spans="1:30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378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  <c r="AD10" s="7" t="b">
        <v>0</v>
      </c>
    </row>
    <row r="11" spans="1:30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377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  <c r="AD11" s="7" t="b">
        <v>0</v>
      </c>
    </row>
    <row r="12" spans="1:30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374</v>
      </c>
      <c r="N12" s="7"/>
      <c r="O12" s="7" t="s">
        <v>376</v>
      </c>
      <c r="P12" s="7" t="s">
        <v>375</v>
      </c>
      <c r="Q12" s="7" t="s">
        <v>375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  <c r="AD12" s="7" t="b">
        <v>0</v>
      </c>
    </row>
    <row r="13" spans="1:30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  <c r="AD13" s="9" t="b">
        <v>0</v>
      </c>
    </row>
    <row r="14" spans="1:30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  <c r="AD14" s="9" t="b">
        <v>0</v>
      </c>
    </row>
    <row r="15" spans="1:30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  <c r="AD15" s="9" t="b">
        <v>0</v>
      </c>
    </row>
    <row r="16" spans="1:30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361</v>
      </c>
      <c r="N16" s="9"/>
      <c r="O16" s="9" t="s">
        <v>362</v>
      </c>
      <c r="P16" s="9" t="s">
        <v>362</v>
      </c>
      <c r="Q16" s="9" t="s">
        <v>362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  <c r="AD16" s="9" t="b">
        <v>0</v>
      </c>
    </row>
    <row r="17" spans="1:30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  <c r="AD17" s="9" t="b">
        <v>0</v>
      </c>
    </row>
    <row r="18" spans="1:30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  <c r="AD18" s="9" t="b">
        <v>0</v>
      </c>
    </row>
    <row r="19" spans="1:30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  <c r="AD19" s="9" t="b">
        <v>0</v>
      </c>
    </row>
    <row r="20" spans="1:30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  <c r="AD20" s="9" t="b">
        <v>0</v>
      </c>
    </row>
    <row r="21" spans="1:30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  <c r="AD21" s="9" t="b">
        <v>0</v>
      </c>
    </row>
    <row r="22" spans="1:30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  <c r="AD22" s="9" t="b">
        <v>0</v>
      </c>
    </row>
    <row r="23" spans="1:30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  <c r="AD23" s="9" t="b">
        <v>0</v>
      </c>
    </row>
    <row r="24" spans="1:30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347</v>
      </c>
      <c r="N24" s="9"/>
      <c r="O24" s="9" t="s">
        <v>349</v>
      </c>
      <c r="P24" s="9" t="s">
        <v>350</v>
      </c>
      <c r="Q24" s="9" t="s">
        <v>350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  <c r="AD24" s="9" t="b">
        <v>0</v>
      </c>
    </row>
    <row r="25" spans="1:30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290</v>
      </c>
      <c r="N25" s="9"/>
      <c r="O25" s="9" t="s">
        <v>295</v>
      </c>
      <c r="P25" s="9" t="s">
        <v>296</v>
      </c>
      <c r="Q25" s="9" t="s">
        <v>296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  <c r="AD25" s="9" t="b">
        <v>0</v>
      </c>
    </row>
    <row r="26" spans="1:30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516</v>
      </c>
      <c r="N26" s="9"/>
      <c r="O26" s="9" t="s">
        <v>517</v>
      </c>
      <c r="P26" s="9" t="s">
        <v>517</v>
      </c>
      <c r="Q26" s="9" t="s">
        <v>517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  <c r="AD26" s="9" t="b">
        <v>0</v>
      </c>
    </row>
    <row r="27" spans="1:30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  <c r="AD27" s="9" t="b">
        <v>0</v>
      </c>
    </row>
    <row r="28" spans="1:30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  <c r="AD28" s="7" t="b">
        <v>0</v>
      </c>
    </row>
    <row r="29" spans="1:30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  <c r="AD29" s="7" t="b">
        <v>0</v>
      </c>
    </row>
    <row r="30" spans="1:30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  <c r="AD30" s="7" t="b">
        <v>0</v>
      </c>
    </row>
    <row r="31" spans="1:30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  <c r="AD31" s="9" t="b">
        <v>0</v>
      </c>
    </row>
    <row r="32" spans="1:30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  <c r="AD32" s="9" t="b">
        <v>0</v>
      </c>
    </row>
    <row r="33" spans="1:30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  <c r="AD33" s="9" t="b">
        <v>0</v>
      </c>
    </row>
    <row r="34" spans="1:30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  <c r="AD34" s="9" t="b">
        <v>0</v>
      </c>
    </row>
    <row r="35" spans="1:30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  <c r="AD35" s="9" t="b">
        <v>0</v>
      </c>
    </row>
    <row r="36" spans="1:30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  <c r="AD36" s="9" t="b">
        <v>0</v>
      </c>
    </row>
    <row r="37" spans="1:30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299</v>
      </c>
      <c r="N37" s="9"/>
      <c r="O37" s="9" t="s">
        <v>298</v>
      </c>
      <c r="P37" s="9" t="s">
        <v>298</v>
      </c>
      <c r="Q37" s="9" t="s">
        <v>298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  <c r="AD37" s="9" t="b">
        <v>0</v>
      </c>
    </row>
    <row r="38" spans="1:30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  <c r="AD38" s="9" t="b">
        <v>0</v>
      </c>
    </row>
    <row r="39" spans="1:30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  <c r="AD39" s="9" t="b">
        <v>0</v>
      </c>
    </row>
    <row r="40" spans="1:30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  <c r="AD40" s="9" t="b">
        <v>0</v>
      </c>
    </row>
    <row r="41" spans="1:30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291</v>
      </c>
      <c r="N41" s="9"/>
      <c r="O41" s="9" t="s">
        <v>343</v>
      </c>
      <c r="P41" s="9" t="s">
        <v>297</v>
      </c>
      <c r="Q41" s="9" t="s">
        <v>297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  <c r="AD41" s="9" t="b">
        <v>0</v>
      </c>
    </row>
    <row r="42" spans="1:30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  <c r="AD42" s="7" t="b">
        <v>0</v>
      </c>
    </row>
    <row r="43" spans="1:30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  <c r="AD43" s="7" t="b">
        <v>0</v>
      </c>
    </row>
    <row r="44" spans="1:30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  <c r="AD44" s="7" t="b">
        <v>0</v>
      </c>
    </row>
    <row r="45" spans="1:30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  <c r="AD45" s="7" t="b">
        <v>0</v>
      </c>
    </row>
    <row r="46" spans="1:30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  <c r="AD46" s="7" t="b">
        <v>0</v>
      </c>
    </row>
    <row r="47" spans="1:30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339</v>
      </c>
      <c r="N47" s="7"/>
      <c r="O47" s="7" t="s">
        <v>340</v>
      </c>
      <c r="P47" s="7" t="s">
        <v>341</v>
      </c>
      <c r="Q47" s="7" t="s">
        <v>341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  <c r="AD47" s="7" t="b">
        <v>0</v>
      </c>
    </row>
    <row r="48" spans="1:30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  <c r="AD48" s="9" t="b">
        <v>0</v>
      </c>
    </row>
    <row r="49" spans="1:30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  <c r="AD49" s="9" t="b">
        <v>0</v>
      </c>
    </row>
    <row r="50" spans="1:30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  <c r="AD50" s="9" t="b">
        <v>0</v>
      </c>
    </row>
    <row r="51" spans="1:30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  <c r="AD51" s="9" t="b">
        <v>0</v>
      </c>
    </row>
    <row r="52" spans="1:30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  <c r="AD52" s="9" t="b">
        <v>0</v>
      </c>
    </row>
    <row r="53" spans="1:30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  <c r="AD53" s="9" t="b">
        <v>0</v>
      </c>
    </row>
    <row r="54" spans="1:30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  <c r="AD54" s="9" t="b">
        <v>0</v>
      </c>
    </row>
    <row r="55" spans="1:30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  <c r="AD55" s="7" t="b">
        <v>0</v>
      </c>
    </row>
    <row r="56" spans="1:30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  <c r="AD56" s="7" t="b">
        <v>0</v>
      </c>
    </row>
    <row r="57" spans="1:30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  <c r="AD57" s="7" t="b">
        <v>0</v>
      </c>
    </row>
    <row r="58" spans="1:30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  <c r="AD58" s="7" t="b">
        <v>0</v>
      </c>
    </row>
    <row r="59" spans="1:30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  <c r="AD59" s="7" t="b">
        <v>0</v>
      </c>
    </row>
    <row r="60" spans="1:30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  <c r="AD60" s="7" t="b">
        <v>0</v>
      </c>
    </row>
    <row r="61" spans="1:30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  <c r="AD61" s="9" t="b">
        <v>0</v>
      </c>
    </row>
    <row r="62" spans="1:30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  <c r="AD62" s="9" t="b">
        <v>0</v>
      </c>
    </row>
    <row r="63" spans="1:30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  <c r="AD63" s="9" t="b">
        <v>0</v>
      </c>
    </row>
    <row r="64" spans="1:30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397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  <c r="AD64" s="9" t="b">
        <v>0</v>
      </c>
    </row>
    <row r="65" spans="1:30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402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  <c r="AD65" s="7" t="b">
        <v>0</v>
      </c>
    </row>
    <row r="66" spans="1:30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524</v>
      </c>
      <c r="N66" s="7"/>
      <c r="O66" s="7" t="s">
        <v>532</v>
      </c>
      <c r="P66" s="7" t="s">
        <v>532</v>
      </c>
      <c r="Q66" s="7" t="s">
        <v>532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  <c r="AD66" s="7" t="b">
        <v>0</v>
      </c>
    </row>
    <row r="67" spans="1:30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530</v>
      </c>
      <c r="N67" s="7"/>
      <c r="O67" s="7" t="s">
        <v>530</v>
      </c>
      <c r="P67" s="7" t="s">
        <v>530</v>
      </c>
      <c r="Q67" s="7" t="s">
        <v>530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  <c r="AD67" s="7" t="b">
        <v>0</v>
      </c>
    </row>
    <row r="68" spans="1:30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  <c r="AD68" s="9" t="b">
        <v>0</v>
      </c>
    </row>
    <row r="69" spans="1:30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434</v>
      </c>
      <c r="N69" s="9"/>
      <c r="O69" s="9" t="s">
        <v>435</v>
      </c>
      <c r="P69" s="9" t="s">
        <v>436</v>
      </c>
      <c r="Q69" s="9" t="s">
        <v>436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  <c r="AD69" s="9" t="b">
        <v>0</v>
      </c>
    </row>
    <row r="70" spans="1:30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  <c r="AD70" s="9" t="b">
        <v>0</v>
      </c>
    </row>
    <row r="71" spans="1:30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  <c r="AD71" s="9" t="b">
        <v>0</v>
      </c>
    </row>
    <row r="72" spans="1:30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  <c r="AD72" s="9" t="b">
        <v>0</v>
      </c>
    </row>
    <row r="73" spans="1:30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  <c r="AD73" s="9" t="b">
        <v>0</v>
      </c>
    </row>
    <row r="74" spans="1:30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414</v>
      </c>
      <c r="N74" s="9"/>
      <c r="O74" s="9" t="s">
        <v>439</v>
      </c>
      <c r="P74" s="9" t="s">
        <v>440</v>
      </c>
      <c r="Q74" s="9" t="s">
        <v>440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  <c r="AD74" s="9" t="b">
        <v>0</v>
      </c>
    </row>
    <row r="75" spans="1:30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432</v>
      </c>
      <c r="N75" s="9"/>
      <c r="O75" s="9" t="s">
        <v>438</v>
      </c>
      <c r="P75" s="9" t="s">
        <v>437</v>
      </c>
      <c r="Q75" s="9" t="s">
        <v>437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  <c r="AD75" s="9" t="b">
        <v>0</v>
      </c>
    </row>
    <row r="76" spans="1:30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  <c r="AD76" s="7" t="b">
        <v>0</v>
      </c>
    </row>
    <row r="77" spans="1:30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  <c r="AD77" s="7" t="b">
        <v>0</v>
      </c>
    </row>
    <row r="78" spans="1:30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  <c r="AD78" s="7" t="b">
        <v>0</v>
      </c>
    </row>
    <row r="79" spans="1:30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398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  <c r="AD79" s="7" t="b">
        <v>0</v>
      </c>
    </row>
    <row r="80" spans="1:30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  <c r="AD80" s="9" t="b">
        <v>0</v>
      </c>
    </row>
    <row r="81" spans="1:30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  <c r="AD81" s="9" t="b">
        <v>0</v>
      </c>
    </row>
    <row r="82" spans="1:30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6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  <c r="AD82" s="9" t="b">
        <v>0</v>
      </c>
    </row>
    <row r="83" spans="1:30" x14ac:dyDescent="0.3">
      <c r="A83" s="9">
        <f t="shared" ref="A83:A149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  <c r="AD83" s="9" t="b">
        <v>0</v>
      </c>
    </row>
    <row r="84" spans="1:30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345</v>
      </c>
      <c r="P84" s="9" t="s">
        <v>344</v>
      </c>
      <c r="Q84" s="9" t="s">
        <v>344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  <c r="AD84" s="9" t="b">
        <v>0</v>
      </c>
    </row>
    <row r="85" spans="1:30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6</v>
      </c>
      <c r="G85" s="9" t="str">
        <f t="array" ref="G85">GetValue("Domains",F85,"Name")</f>
        <v>Boolean</v>
      </c>
      <c r="H85" s="9" t="str" cm="1">
        <f t="array" ref="H85">GetValue("Domains",F85,"#CategoryName")</f>
        <v>boolean</v>
      </c>
      <c r="I85" s="9" t="str" cm="1">
        <f t="array" ref="I85">GetValue("Domains",F85,"#TypeName")</f>
        <v>bit</v>
      </c>
      <c r="J85" s="9" t="str" cm="1">
        <f t="array" ref="J85">GetValue("Domains",F85,"#DataType")</f>
        <v>bit</v>
      </c>
      <c r="K85" s="9"/>
      <c r="L85" s="9" t="str">
        <f t="array" ref="L85">GetValue("Tables",K85,"Name")</f>
        <v/>
      </c>
      <c r="M85" s="9" t="s">
        <v>414</v>
      </c>
      <c r="N85" s="9"/>
      <c r="O85" s="9" t="s">
        <v>416</v>
      </c>
      <c r="P85" s="9" t="s">
        <v>415</v>
      </c>
      <c r="Q85" s="9" t="s">
        <v>415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/>
      <c r="Y85" s="9" t="b">
        <v>1</v>
      </c>
      <c r="Z85" s="9" t="b">
        <v>1</v>
      </c>
      <c r="AA85" s="9" t="b">
        <v>1</v>
      </c>
      <c r="AB85" s="9"/>
      <c r="AC85" s="9"/>
      <c r="AD85" s="9" t="b">
        <v>0</v>
      </c>
    </row>
    <row r="86" spans="1:30" x14ac:dyDescent="0.3">
      <c r="A86" s="9">
        <f t="shared" si="10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si="9"/>
        <v>35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number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337</v>
      </c>
      <c r="N86" s="9"/>
      <c r="O86" s="9" t="s">
        <v>338</v>
      </c>
      <c r="P86" s="9" t="s">
        <v>338</v>
      </c>
      <c r="Q86" s="9" t="s">
        <v>338</v>
      </c>
      <c r="R86" s="15">
        <v>0</v>
      </c>
      <c r="S86" s="16">
        <v>0</v>
      </c>
      <c r="T86" s="16"/>
      <c r="U86" s="9" t="b">
        <v>0</v>
      </c>
      <c r="V86" s="9" t="b">
        <v>0</v>
      </c>
      <c r="W86" s="9" t="b">
        <v>1</v>
      </c>
      <c r="X86" s="9" t="b">
        <v>0</v>
      </c>
      <c r="Y86" s="9" t="b">
        <v>0</v>
      </c>
      <c r="Z86" s="9" t="b">
        <v>0</v>
      </c>
      <c r="AA86" s="9" t="b">
        <v>0</v>
      </c>
      <c r="AB86" s="9"/>
      <c r="AC86" s="9" t="b">
        <v>0</v>
      </c>
      <c r="AD86" s="9" t="b">
        <v>0</v>
      </c>
    </row>
    <row r="87" spans="1:30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v>5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/>
      <c r="L87" s="7" t="str">
        <f t="array" ref="L87">GetValue("Tables",K87,"Name")</f>
        <v/>
      </c>
      <c r="M87" s="7" t="s">
        <v>0</v>
      </c>
      <c r="N87" s="7"/>
      <c r="O87" s="7" t="s">
        <v>304</v>
      </c>
      <c r="P87" s="7" t="s">
        <v>156</v>
      </c>
      <c r="Q87" s="7" t="s">
        <v>156</v>
      </c>
      <c r="R87" s="14"/>
      <c r="S87" s="14">
        <v>1</v>
      </c>
      <c r="T87" s="14"/>
      <c r="U87" s="7" t="b">
        <v>1</v>
      </c>
      <c r="V87" s="7" t="b">
        <v>1</v>
      </c>
      <c r="W87" s="7" t="b">
        <v>1</v>
      </c>
      <c r="X87" s="7"/>
      <c r="Y87" s="7" t="b">
        <v>1</v>
      </c>
      <c r="Z87" s="7" t="b">
        <v>0</v>
      </c>
      <c r="AA87" s="7" t="b">
        <v>0</v>
      </c>
      <c r="AB87" s="7"/>
      <c r="AC87" s="7" t="b">
        <v>0</v>
      </c>
      <c r="AD87" s="7" t="b">
        <v>0</v>
      </c>
    </row>
    <row r="88" spans="1:30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10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10</v>
      </c>
      <c r="L88" s="7" t="str">
        <f t="array" ref="L88">GetValue("Tables",K88,"Name")</f>
        <v>Databases</v>
      </c>
      <c r="M88" s="7" t="s">
        <v>124</v>
      </c>
      <c r="N88" s="7"/>
      <c r="O88" s="7" t="s">
        <v>224</v>
      </c>
      <c r="P88" s="7" t="s">
        <v>203</v>
      </c>
      <c r="Q88" s="7" t="s">
        <v>203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  <c r="AD88" s="7" t="b">
        <v>0</v>
      </c>
    </row>
    <row r="89" spans="1:30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15</v>
      </c>
      <c r="F89" s="7">
        <v>1</v>
      </c>
      <c r="G89" s="7" t="str">
        <f t="array" ref="G89">GetValue("Domains",F89,"Name")</f>
        <v>BigInteger</v>
      </c>
      <c r="H89" s="7" t="str" cm="1">
        <f t="array" ref="H89">GetValue("Domains",F89,"#CategoryName")</f>
        <v>number</v>
      </c>
      <c r="I89" s="7" t="str" cm="1">
        <f t="array" ref="I89">GetValue("Domains",F89,"#TypeName")</f>
        <v>bigint</v>
      </c>
      <c r="J89" s="7" t="str" cm="1">
        <f t="array" ref="J89">GetValue("Domains",F89,"#DataType")</f>
        <v>bigint</v>
      </c>
      <c r="K89" s="7">
        <v>12</v>
      </c>
      <c r="L89" s="7" t="str">
        <f t="array" ref="L89">GetValue("Tables",K89,"Name")</f>
        <v>Tables</v>
      </c>
      <c r="M89" s="7" t="s">
        <v>144</v>
      </c>
      <c r="N89" s="7"/>
      <c r="O89" s="7" t="s">
        <v>232</v>
      </c>
      <c r="P89" s="7" t="s">
        <v>231</v>
      </c>
      <c r="Q89" s="7" t="s">
        <v>231</v>
      </c>
      <c r="R89" s="14"/>
      <c r="S89" s="14">
        <v>1</v>
      </c>
      <c r="T89" s="14"/>
      <c r="U89" s="7" t="b">
        <v>0</v>
      </c>
      <c r="V89" s="7" t="b">
        <v>0</v>
      </c>
      <c r="W89" s="7" t="b">
        <v>1</v>
      </c>
      <c r="X89" s="7"/>
      <c r="Y89" s="7" t="b">
        <v>1</v>
      </c>
      <c r="Z89" s="7" t="b">
        <v>1</v>
      </c>
      <c r="AA89" s="7" t="b">
        <v>1</v>
      </c>
      <c r="AB89" s="7"/>
      <c r="AC89" s="7" t="b">
        <v>0</v>
      </c>
      <c r="AD89" s="7" t="b">
        <v>0</v>
      </c>
    </row>
    <row r="90" spans="1:30" x14ac:dyDescent="0.3">
      <c r="A90" s="7">
        <f t="shared" si="10"/>
        <v>89</v>
      </c>
      <c r="B90" s="7">
        <v>13</v>
      </c>
      <c r="C90" s="7" t="str">
        <f t="array" ref="C90">GetValue("Tables",B90,"Name")</f>
        <v>DatabasesTables</v>
      </c>
      <c r="D90" s="8" t="str" cm="1">
        <f t="array" ref="D90">GetValue("Tables",B90,"Alias")</f>
        <v>DatabaseTable</v>
      </c>
      <c r="E90" s="7">
        <f>E89+5</f>
        <v>20</v>
      </c>
      <c r="F90" s="7">
        <v>10</v>
      </c>
      <c r="G90" s="7" t="str">
        <f t="array" ref="G90">GetValue("Domains",F90,"Name")</f>
        <v>Nvarchar(50)</v>
      </c>
      <c r="H90" s="7" t="str" cm="1">
        <f t="array" ref="H90">GetValue("Domains",F90,"#CategoryName")</f>
        <v>string</v>
      </c>
      <c r="I90" s="7" t="str" cm="1">
        <f t="array" ref="I90">GetValue("Domains",F90,"#TypeName")</f>
        <v>nvarchar</v>
      </c>
      <c r="J90" s="7" t="str" cm="1">
        <f t="array" ref="J90">GetValue("Domains",F90,"#DataType")</f>
        <v>nvarchar(50)</v>
      </c>
      <c r="K90" s="7"/>
      <c r="L90" s="7" t="str">
        <f t="array" ref="L90">GetValue("Tables",K90,"Name")</f>
        <v/>
      </c>
      <c r="M90" s="7" t="s">
        <v>1</v>
      </c>
      <c r="N90" s="7"/>
      <c r="O90" s="7" t="s">
        <v>399</v>
      </c>
      <c r="P90" s="7" t="s">
        <v>158</v>
      </c>
      <c r="Q90" s="7" t="s">
        <v>158</v>
      </c>
      <c r="R90" s="14"/>
      <c r="S90" s="14"/>
      <c r="T90" s="14"/>
      <c r="U90" s="7" t="b">
        <v>0</v>
      </c>
      <c r="V90" s="7"/>
      <c r="W90" s="7" t="b">
        <v>1</v>
      </c>
      <c r="X90" s="7" t="b">
        <v>1</v>
      </c>
      <c r="Y90" s="7" t="b">
        <v>1</v>
      </c>
      <c r="Z90" s="7" t="b">
        <v>1</v>
      </c>
      <c r="AA90" s="7" t="b">
        <v>1</v>
      </c>
      <c r="AB90" s="7" t="b">
        <v>0</v>
      </c>
      <c r="AC90" s="7"/>
      <c r="AD90" s="7" t="b">
        <v>0</v>
      </c>
    </row>
    <row r="91" spans="1:30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v>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0</v>
      </c>
      <c r="N91" s="9"/>
      <c r="O91" s="9" t="s">
        <v>236</v>
      </c>
      <c r="P91" s="9" t="s">
        <v>156</v>
      </c>
      <c r="Q91" s="9" t="s">
        <v>156</v>
      </c>
      <c r="R91" s="15"/>
      <c r="S91" s="16">
        <v>1</v>
      </c>
      <c r="T91" s="16"/>
      <c r="U91" s="9" t="b">
        <v>1</v>
      </c>
      <c r="V91" s="9" t="b">
        <v>1</v>
      </c>
      <c r="W91" s="9" t="b">
        <v>1</v>
      </c>
      <c r="X91" s="9"/>
      <c r="Y91" s="9" t="b">
        <v>1</v>
      </c>
      <c r="Z91" s="9" t="b">
        <v>0</v>
      </c>
      <c r="AA91" s="9" t="b">
        <v>0</v>
      </c>
      <c r="AB91" s="9"/>
      <c r="AC91" s="9" t="b">
        <v>0</v>
      </c>
      <c r="AD91" s="9" t="b">
        <v>0</v>
      </c>
    </row>
    <row r="92" spans="1:30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ref="E92:E113" si="11">E91+5</f>
        <v>10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144</v>
      </c>
      <c r="N92" s="9"/>
      <c r="O92" s="9" t="s">
        <v>237</v>
      </c>
      <c r="P92" s="9" t="s">
        <v>237</v>
      </c>
      <c r="Q92" s="9" t="s">
        <v>237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 t="b">
        <v>0</v>
      </c>
      <c r="AD92" s="9" t="b">
        <v>0</v>
      </c>
    </row>
    <row r="93" spans="1:30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15</v>
      </c>
      <c r="F93" s="9">
        <v>4</v>
      </c>
      <c r="G93" s="9" t="str">
        <f t="array" ref="G93">GetValue("Domains",F93,"Name")</f>
        <v>SmallInteger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smallint</v>
      </c>
      <c r="J93" s="9" t="str" cm="1">
        <f t="array" ref="J93">GetValue("Domains",F93,"#DataType")</f>
        <v>smallint</v>
      </c>
      <c r="K93" s="9"/>
      <c r="L93" s="9" t="str">
        <f t="array" ref="L93">GetValue("Tables",K93,"Name")</f>
        <v/>
      </c>
      <c r="M93" s="9" t="s">
        <v>88</v>
      </c>
      <c r="N93" s="9"/>
      <c r="O93" s="9" t="s">
        <v>205</v>
      </c>
      <c r="P93" s="9" t="s">
        <v>205</v>
      </c>
      <c r="Q93" s="9" t="s">
        <v>205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0</v>
      </c>
      <c r="Z93" s="9" t="b">
        <v>1</v>
      </c>
      <c r="AA93" s="9" t="b">
        <v>1</v>
      </c>
      <c r="AB93" s="9"/>
      <c r="AC93" s="9" t="b">
        <v>0</v>
      </c>
      <c r="AD93" s="9" t="b">
        <v>0</v>
      </c>
    </row>
    <row r="94" spans="1:30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20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4</v>
      </c>
      <c r="L94" s="9" t="str">
        <f t="array" ref="L94">GetValue("Tables",K94,"Name")</f>
        <v>Domains</v>
      </c>
      <c r="M94" s="9" t="s">
        <v>145</v>
      </c>
      <c r="N94" s="9"/>
      <c r="O94" s="9" t="s">
        <v>238</v>
      </c>
      <c r="P94" s="9" t="s">
        <v>239</v>
      </c>
      <c r="Q94" s="9" t="s">
        <v>239</v>
      </c>
      <c r="R94" s="15"/>
      <c r="S94" s="16">
        <v>1</v>
      </c>
      <c r="T94" s="16"/>
      <c r="U94" s="9" t="b">
        <v>0</v>
      </c>
      <c r="V94" s="9" t="b">
        <v>0</v>
      </c>
      <c r="W94" s="9" t="b">
        <v>1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  <c r="AD94" s="9" t="b">
        <v>0</v>
      </c>
    </row>
    <row r="95" spans="1:30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25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number</v>
      </c>
      <c r="I95" s="9" t="str" cm="1">
        <f t="array" ref="I95">GetValue("Domains",F95,"#TypeName")</f>
        <v>bigint</v>
      </c>
      <c r="J95" s="9" t="str" cm="1">
        <f t="array" ref="J95">GetValue("Domains",F95,"#DataType")</f>
        <v>bigint</v>
      </c>
      <c r="K95" s="9">
        <v>12</v>
      </c>
      <c r="L95" s="9" t="str">
        <f t="array" ref="L95">GetValue("Tables",K95,"Name")</f>
        <v>Tables</v>
      </c>
      <c r="M95" s="9" t="s">
        <v>146</v>
      </c>
      <c r="N95" s="9"/>
      <c r="O95" s="9" t="s">
        <v>240</v>
      </c>
      <c r="P95" s="9" t="s">
        <v>241</v>
      </c>
      <c r="Q95" s="9" t="s">
        <v>241</v>
      </c>
      <c r="R95" s="15"/>
      <c r="S95" s="16">
        <v>1</v>
      </c>
      <c r="T95" s="16"/>
      <c r="U95" s="9" t="b">
        <v>0</v>
      </c>
      <c r="V95" s="9" t="b">
        <v>0</v>
      </c>
      <c r="W95" s="9" t="b">
        <v>0</v>
      </c>
      <c r="X95" s="9"/>
      <c r="Y95" s="9" t="b">
        <v>1</v>
      </c>
      <c r="Z95" s="9" t="b">
        <v>1</v>
      </c>
      <c r="AA95" s="9" t="b">
        <v>1</v>
      </c>
      <c r="AB95" s="9"/>
      <c r="AC95" s="9" t="b">
        <v>0</v>
      </c>
      <c r="AD95" s="9" t="b">
        <v>0</v>
      </c>
    </row>
    <row r="96" spans="1:30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30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</v>
      </c>
      <c r="N96" s="9"/>
      <c r="O96" s="9" t="s">
        <v>242</v>
      </c>
      <c r="P96" s="9" t="s">
        <v>158</v>
      </c>
      <c r="Q96" s="9" t="s">
        <v>158</v>
      </c>
      <c r="R96" s="15"/>
      <c r="S96" s="16" t="s">
        <v>35</v>
      </c>
      <c r="T96" s="16"/>
      <c r="U96" s="9" t="b">
        <v>0</v>
      </c>
      <c r="V96" s="9"/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 t="b">
        <v>0</v>
      </c>
      <c r="AC96" s="9"/>
      <c r="AD96" s="9" t="b">
        <v>0</v>
      </c>
    </row>
    <row r="97" spans="1:30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35</v>
      </c>
      <c r="F97" s="9">
        <v>9</v>
      </c>
      <c r="G97" s="9" t="str">
        <f t="array" ref="G97">GetValue("Domains",F97,"Name")</f>
        <v>Nvarchar(25)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nvarchar(25)</v>
      </c>
      <c r="K97" s="9"/>
      <c r="L97" s="9" t="str">
        <f t="array" ref="L97">GetValue("Tables",K97,"Name")</f>
        <v/>
      </c>
      <c r="M97" s="9" t="s">
        <v>122</v>
      </c>
      <c r="N97" s="9"/>
      <c r="O97" s="9" t="s">
        <v>426</v>
      </c>
      <c r="P97" s="9" t="s">
        <v>122</v>
      </c>
      <c r="Q97" s="9" t="s">
        <v>122</v>
      </c>
      <c r="R97" s="15"/>
      <c r="S97" s="16" t="s">
        <v>35</v>
      </c>
      <c r="T97" s="16"/>
      <c r="U97" s="9" t="b">
        <v>0</v>
      </c>
      <c r="V97" s="9"/>
      <c r="W97" s="9" t="b">
        <v>0</v>
      </c>
      <c r="X97" s="9"/>
      <c r="Y97" s="9" t="b">
        <v>1</v>
      </c>
      <c r="Z97" s="9" t="b">
        <v>1</v>
      </c>
      <c r="AA97" s="9" t="b">
        <v>0</v>
      </c>
      <c r="AB97" s="9" t="b">
        <v>0</v>
      </c>
      <c r="AC97" s="9"/>
      <c r="AD97" s="9" t="b">
        <v>0</v>
      </c>
    </row>
    <row r="98" spans="1:30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40</v>
      </c>
      <c r="F98" s="9">
        <v>10</v>
      </c>
      <c r="G98" s="9" t="str">
        <f t="array" ref="G98">GetValue("Domains",F98,"Name")</f>
        <v>Nvarchar(50)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nvarchar(50)</v>
      </c>
      <c r="K98" s="9"/>
      <c r="L98" s="9" t="str">
        <f t="array" ref="L98">GetValue("Tables",K98,"Name")</f>
        <v/>
      </c>
      <c r="M98" s="9" t="s">
        <v>84</v>
      </c>
      <c r="N98" s="9"/>
      <c r="O98" s="9" t="s">
        <v>243</v>
      </c>
      <c r="P98" s="9" t="s">
        <v>196</v>
      </c>
      <c r="Q98" s="9" t="s">
        <v>196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  <c r="AD98" s="9" t="b">
        <v>0</v>
      </c>
    </row>
    <row r="99" spans="1:30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45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147</v>
      </c>
      <c r="N99" s="9"/>
      <c r="O99" s="9" t="s">
        <v>244</v>
      </c>
      <c r="P99" s="9" t="s">
        <v>245</v>
      </c>
      <c r="Q99" s="9" t="s">
        <v>245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  <c r="AD99" s="9" t="b">
        <v>0</v>
      </c>
    </row>
    <row r="100" spans="1:30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89</v>
      </c>
      <c r="N100" s="9"/>
      <c r="O100" s="9" t="s">
        <v>246</v>
      </c>
      <c r="P100" s="9" t="s">
        <v>247</v>
      </c>
      <c r="Q100" s="9" t="s">
        <v>247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 t="b">
        <v>0</v>
      </c>
      <c r="AC100" s="9"/>
      <c r="AD100" s="9" t="b">
        <v>0</v>
      </c>
    </row>
    <row r="101" spans="1:30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55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66</v>
      </c>
      <c r="N101" s="9"/>
      <c r="O101" s="9" t="s">
        <v>248</v>
      </c>
      <c r="P101" s="9" t="s">
        <v>249</v>
      </c>
      <c r="Q101" s="9" t="s">
        <v>249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  <c r="AD101" s="9" t="b">
        <v>0</v>
      </c>
    </row>
    <row r="102" spans="1:30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60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26</v>
      </c>
      <c r="N102" s="9"/>
      <c r="O102" s="9" t="s">
        <v>250</v>
      </c>
      <c r="P102" s="9" t="s">
        <v>162</v>
      </c>
      <c r="Q102" s="9" t="s">
        <v>162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  <c r="AD102" s="9" t="b">
        <v>0</v>
      </c>
    </row>
    <row r="103" spans="1:30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65</v>
      </c>
      <c r="F103" s="9">
        <v>17</v>
      </c>
      <c r="G103" s="9" t="str">
        <f t="array" ref="G103">GetValue("Domains",F103,"Name")</f>
        <v>Variant</v>
      </c>
      <c r="H103" s="9" t="str" cm="1">
        <f t="array" ref="H103">GetValue("Domains",F103,"#CategoryName")</f>
        <v>text</v>
      </c>
      <c r="I103" s="9" t="str" cm="1">
        <f t="array" ref="I103">GetValue("Domains",F103,"#TypeName")</f>
        <v>nvarchar(max)</v>
      </c>
      <c r="J103" s="9" t="str" cm="1">
        <f t="array" ref="J103">GetValue("Domains",F103,"#DataType")</f>
        <v>nvarchar(max)</v>
      </c>
      <c r="K103" s="9"/>
      <c r="L103" s="9" t="str">
        <f t="array" ref="L103">GetValue("Tables",K103,"Name")</f>
        <v/>
      </c>
      <c r="M103" s="9" t="s">
        <v>27</v>
      </c>
      <c r="N103" s="9"/>
      <c r="O103" s="9" t="s">
        <v>251</v>
      </c>
      <c r="P103" s="9" t="s">
        <v>164</v>
      </c>
      <c r="Q103" s="9" t="s">
        <v>164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  <c r="AD103" s="9" t="b">
        <v>0</v>
      </c>
    </row>
    <row r="104" spans="1:30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70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148</v>
      </c>
      <c r="N104" s="9"/>
      <c r="O104" s="9" t="s">
        <v>252</v>
      </c>
      <c r="P104" s="9" t="s">
        <v>352</v>
      </c>
      <c r="Q104" s="9" t="s">
        <v>352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/>
      <c r="Z104" s="9" t="b">
        <v>1</v>
      </c>
      <c r="AA104" s="9" t="b">
        <v>0</v>
      </c>
      <c r="AB104" s="9"/>
      <c r="AC104" s="9"/>
      <c r="AD104" s="9" t="b">
        <v>0</v>
      </c>
    </row>
    <row r="105" spans="1:30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75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149</v>
      </c>
      <c r="N105" s="9"/>
      <c r="O105" s="9" t="s">
        <v>253</v>
      </c>
      <c r="P105" s="9" t="s">
        <v>353</v>
      </c>
      <c r="Q105" s="9" t="s">
        <v>353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/>
      <c r="AC105" s="9"/>
      <c r="AD105" s="9" t="b">
        <v>0</v>
      </c>
    </row>
    <row r="106" spans="1:30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80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150</v>
      </c>
      <c r="N106" s="9"/>
      <c r="O106" s="9" t="s">
        <v>254</v>
      </c>
      <c r="P106" s="9" t="s">
        <v>354</v>
      </c>
      <c r="Q106" s="9" t="s">
        <v>354</v>
      </c>
      <c r="R106" s="15"/>
      <c r="S106" s="16" t="s">
        <v>35</v>
      </c>
      <c r="T106" s="16"/>
      <c r="U106" s="9"/>
      <c r="V106" s="9"/>
      <c r="W106" s="9" t="b">
        <v>1</v>
      </c>
      <c r="X106" s="9"/>
      <c r="Y106" s="9" t="b">
        <v>1</v>
      </c>
      <c r="Z106" s="9" t="b">
        <v>1</v>
      </c>
      <c r="AA106" s="9" t="b">
        <v>0</v>
      </c>
      <c r="AB106" s="9"/>
      <c r="AC106" s="9"/>
      <c r="AD106" s="9" t="b">
        <v>0</v>
      </c>
    </row>
    <row r="107" spans="1:30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85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255</v>
      </c>
      <c r="P107" s="9" t="s">
        <v>355</v>
      </c>
      <c r="Q107" s="9" t="s">
        <v>355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  <c r="AD107" s="9" t="b">
        <v>0</v>
      </c>
    </row>
    <row r="108" spans="1:30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90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256</v>
      </c>
      <c r="P108" s="9" t="s">
        <v>356</v>
      </c>
      <c r="Q108" s="9" t="s">
        <v>356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  <c r="AD108" s="9" t="b">
        <v>0</v>
      </c>
    </row>
    <row r="109" spans="1:30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95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257</v>
      </c>
      <c r="P109" s="9" t="s">
        <v>357</v>
      </c>
      <c r="Q109" s="9" t="s">
        <v>357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  <c r="AD109" s="9" t="b">
        <v>0</v>
      </c>
    </row>
    <row r="110" spans="1:30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348</v>
      </c>
      <c r="N110" s="9"/>
      <c r="O110" s="9" t="s">
        <v>351</v>
      </c>
      <c r="P110" s="9" t="s">
        <v>358</v>
      </c>
      <c r="Q110" s="9" t="s">
        <v>358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  <c r="AD110" s="9" t="b">
        <v>0</v>
      </c>
    </row>
    <row r="111" spans="1:30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105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258</v>
      </c>
      <c r="P111" s="9" t="s">
        <v>359</v>
      </c>
      <c r="Q111" s="9" t="s">
        <v>359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  <c r="AD111" s="9" t="b">
        <v>0</v>
      </c>
    </row>
    <row r="112" spans="1:30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384</v>
      </c>
      <c r="N112" s="9"/>
      <c r="O112" s="9" t="s">
        <v>383</v>
      </c>
      <c r="P112" s="9" t="s">
        <v>386</v>
      </c>
      <c r="Q112" s="9" t="s">
        <v>386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  <c r="AD112" s="9" t="b">
        <v>0</v>
      </c>
    </row>
    <row r="113" spans="1:30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115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544</v>
      </c>
      <c r="N113" s="9"/>
      <c r="O113" s="9" t="s">
        <v>545</v>
      </c>
      <c r="P113" s="9" t="s">
        <v>546</v>
      </c>
      <c r="Q113" s="9" t="s">
        <v>546</v>
      </c>
      <c r="R113" s="15"/>
      <c r="S113" s="16" t="s">
        <v>35</v>
      </c>
      <c r="T113" s="16"/>
      <c r="U113" s="9"/>
      <c r="V113" s="9"/>
      <c r="W113" s="9" t="b">
        <v>0</v>
      </c>
      <c r="X113" s="9"/>
      <c r="Y113" s="9" t="b">
        <v>1</v>
      </c>
      <c r="Z113" s="9" t="b">
        <v>1</v>
      </c>
      <c r="AA113" s="9" t="b">
        <v>0</v>
      </c>
      <c r="AB113" s="9"/>
      <c r="AC113" s="9"/>
      <c r="AD113" s="9" t="b">
        <v>0</v>
      </c>
    </row>
    <row r="114" spans="1:30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v>5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/>
      <c r="L114" s="7" t="str">
        <f t="array" ref="L114">GetValue("Tables",K114,"Name")</f>
        <v/>
      </c>
      <c r="M114" s="7" t="s">
        <v>0</v>
      </c>
      <c r="N114" s="7"/>
      <c r="O114" s="7" t="s">
        <v>259</v>
      </c>
      <c r="P114" s="7" t="s">
        <v>156</v>
      </c>
      <c r="Q114" s="7" t="s">
        <v>156</v>
      </c>
      <c r="R114" s="14"/>
      <c r="S114" s="14">
        <v>1</v>
      </c>
      <c r="T114" s="14"/>
      <c r="U114" s="7" t="b">
        <v>1</v>
      </c>
      <c r="V114" s="7" t="b">
        <v>1</v>
      </c>
      <c r="W114" s="7" t="b">
        <v>1</v>
      </c>
      <c r="X114" s="7"/>
      <c r="Y114" s="7" t="b">
        <v>1</v>
      </c>
      <c r="Z114" s="7" t="b">
        <v>0</v>
      </c>
      <c r="AA114" s="7" t="b">
        <v>0</v>
      </c>
      <c r="AB114" s="7"/>
      <c r="AC114" s="7" t="b">
        <v>0</v>
      </c>
      <c r="AD114" s="7" t="b">
        <v>0</v>
      </c>
    </row>
    <row r="115" spans="1:30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10</v>
      </c>
      <c r="F115" s="7">
        <v>1</v>
      </c>
      <c r="G115" s="7" t="str">
        <f t="array" ref="G115">GetValue("Domains",F115,"Name")</f>
        <v>BigInteger</v>
      </c>
      <c r="H115" s="7" t="str" cm="1">
        <f t="array" ref="H115">GetValue("Domains",F115,"#CategoryName")</f>
        <v>number</v>
      </c>
      <c r="I115" s="7" t="str" cm="1">
        <f t="array" ref="I115">GetValue("Domains",F115,"#TypeName")</f>
        <v>bigint</v>
      </c>
      <c r="J115" s="7" t="str" cm="1">
        <f t="array" ref="J115">GetValue("Domains",F115,"#DataType")</f>
        <v>bigint</v>
      </c>
      <c r="K115" s="7">
        <v>12</v>
      </c>
      <c r="L115" s="7" t="str">
        <f t="array" ref="L115">GetValue("Tables",K115,"Name")</f>
        <v>Tables</v>
      </c>
      <c r="M115" s="7" t="s">
        <v>144</v>
      </c>
      <c r="N115" s="7"/>
      <c r="O115" s="7" t="s">
        <v>260</v>
      </c>
      <c r="P115" s="7" t="s">
        <v>237</v>
      </c>
      <c r="Q115" s="7" t="s">
        <v>237</v>
      </c>
      <c r="R115" s="14"/>
      <c r="S115" s="14">
        <v>1</v>
      </c>
      <c r="T115" s="14"/>
      <c r="U115" s="7" t="b">
        <v>0</v>
      </c>
      <c r="V115" s="7" t="b">
        <v>0</v>
      </c>
      <c r="W115" s="7" t="b">
        <v>1</v>
      </c>
      <c r="X115" s="7"/>
      <c r="Y115" s="7" t="b">
        <v>1</v>
      </c>
      <c r="Z115" s="7" t="b">
        <v>1</v>
      </c>
      <c r="AA115" s="7" t="b">
        <v>1</v>
      </c>
      <c r="AB115" s="7"/>
      <c r="AC115" s="7" t="b">
        <v>0</v>
      </c>
      <c r="AD115" s="7" t="b">
        <v>0</v>
      </c>
    </row>
    <row r="116" spans="1:30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15</v>
      </c>
      <c r="F116" s="7">
        <v>10</v>
      </c>
      <c r="G116" s="7" t="str">
        <f t="array" ref="G116">GetValue("Domains",F116,"Name")</f>
        <v>Nvarchar(50)</v>
      </c>
      <c r="H116" s="7" t="str" cm="1">
        <f t="array" ref="H116">GetValue("Domains",F116,"#CategoryName")</f>
        <v>string</v>
      </c>
      <c r="I116" s="7" t="str" cm="1">
        <f t="array" ref="I116">GetValue("Domains",F116,"#TypeName")</f>
        <v>nvarchar</v>
      </c>
      <c r="J116" s="7" t="str" cm="1">
        <f t="array" ref="J116">GetValue("Domains",F116,"#DataType")</f>
        <v>nvarchar(50)</v>
      </c>
      <c r="K116" s="7"/>
      <c r="L116" s="7" t="str">
        <f t="array" ref="L116">GetValue("Tables",K116,"Name")</f>
        <v/>
      </c>
      <c r="M116" s="7" t="s">
        <v>1</v>
      </c>
      <c r="N116" s="7"/>
      <c r="O116" s="7" t="s">
        <v>261</v>
      </c>
      <c r="P116" s="7" t="s">
        <v>158</v>
      </c>
      <c r="Q116" s="7" t="s">
        <v>158</v>
      </c>
      <c r="R116" s="14"/>
      <c r="S116" s="14" t="s">
        <v>35</v>
      </c>
      <c r="T116" s="14"/>
      <c r="U116" s="7" t="b">
        <v>0</v>
      </c>
      <c r="V116" s="7"/>
      <c r="W116" s="7" t="b">
        <v>1</v>
      </c>
      <c r="X116" s="7" t="b">
        <v>1</v>
      </c>
      <c r="Y116" s="7" t="b">
        <v>1</v>
      </c>
      <c r="Z116" s="7" t="b">
        <v>1</v>
      </c>
      <c r="AA116" s="7" t="b">
        <v>1</v>
      </c>
      <c r="AB116" s="7" t="b">
        <v>0</v>
      </c>
      <c r="AC116" s="7"/>
      <c r="AD116" s="7" t="b">
        <v>0</v>
      </c>
    </row>
    <row r="117" spans="1:30" x14ac:dyDescent="0.3">
      <c r="A117" s="7">
        <f t="shared" si="10"/>
        <v>116</v>
      </c>
      <c r="B117" s="7">
        <v>15</v>
      </c>
      <c r="C117" s="7" t="str">
        <f t="array" ref="C117">GetValue("Tables",B117,"Name")</f>
        <v>Indexes</v>
      </c>
      <c r="D117" s="8" t="str" cm="1">
        <f t="array" ref="D117">GetValue("Tables",B117,"Alias")</f>
        <v>Index</v>
      </c>
      <c r="E117" s="7">
        <f>E116+5</f>
        <v>20</v>
      </c>
      <c r="F117" s="7">
        <v>6</v>
      </c>
      <c r="G117" s="7" t="str">
        <f t="array" ref="G117">GetValue("Domains",F117,"Name")</f>
        <v>Boolean</v>
      </c>
      <c r="H117" s="7" t="str" cm="1">
        <f t="array" ref="H117">GetValue("Domains",F117,"#CategoryName")</f>
        <v>boolean</v>
      </c>
      <c r="I117" s="7" t="str" cm="1">
        <f t="array" ref="I117">GetValue("Domains",F117,"#TypeName")</f>
        <v>bit</v>
      </c>
      <c r="J117" s="7" t="str" cm="1">
        <f t="array" ref="J117">GetValue("Domains",F117,"#DataType")</f>
        <v>bit</v>
      </c>
      <c r="K117" s="7"/>
      <c r="L117" s="7" t="str">
        <f t="array" ref="L117">GetValue("Tables",K117,"Name")</f>
        <v/>
      </c>
      <c r="M117" s="7" t="s">
        <v>262</v>
      </c>
      <c r="N117" s="7"/>
      <c r="O117" s="7" t="s">
        <v>263</v>
      </c>
      <c r="P117" s="7" t="s">
        <v>264</v>
      </c>
      <c r="Q117" s="7" t="s">
        <v>264</v>
      </c>
      <c r="R117" s="14"/>
      <c r="S117" s="14" t="s">
        <v>35</v>
      </c>
      <c r="T117" s="14"/>
      <c r="U117" s="7"/>
      <c r="V117" s="7"/>
      <c r="W117" s="7" t="b">
        <v>1</v>
      </c>
      <c r="X117" s="7"/>
      <c r="Y117" s="7" t="b">
        <v>1</v>
      </c>
      <c r="Z117" s="7" t="b">
        <v>1</v>
      </c>
      <c r="AA117" s="7" t="b">
        <v>1</v>
      </c>
      <c r="AB117" s="7"/>
      <c r="AC117" s="7"/>
      <c r="AD117" s="7" t="b">
        <v>0</v>
      </c>
    </row>
    <row r="118" spans="1:30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v>5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/>
      <c r="L118" s="9" t="str">
        <f t="array" ref="L118">GetValue("Tables",K118,"Name")</f>
        <v/>
      </c>
      <c r="M118" s="9" t="s">
        <v>0</v>
      </c>
      <c r="N118" s="9"/>
      <c r="O118" s="9" t="s">
        <v>265</v>
      </c>
      <c r="P118" s="9" t="s">
        <v>156</v>
      </c>
      <c r="Q118" s="9" t="s">
        <v>156</v>
      </c>
      <c r="R118" s="15"/>
      <c r="S118" s="16">
        <v>1</v>
      </c>
      <c r="T118" s="16"/>
      <c r="U118" s="9" t="b">
        <v>1</v>
      </c>
      <c r="V118" s="9" t="b">
        <v>1</v>
      </c>
      <c r="W118" s="9" t="b">
        <v>1</v>
      </c>
      <c r="X118" s="9"/>
      <c r="Y118" s="9" t="b">
        <v>1</v>
      </c>
      <c r="Z118" s="9" t="b">
        <v>0</v>
      </c>
      <c r="AA118" s="9" t="b">
        <v>0</v>
      </c>
      <c r="AB118" s="9"/>
      <c r="AC118" s="9" t="b">
        <v>0</v>
      </c>
      <c r="AD118" s="9" t="b">
        <v>0</v>
      </c>
    </row>
    <row r="119" spans="1:30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10</v>
      </c>
      <c r="F119" s="9">
        <v>1</v>
      </c>
      <c r="G119" s="9" t="str">
        <f t="array" ref="G119">GetValue("Domains",F119,"Name")</f>
        <v>BigInteger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bigint</v>
      </c>
      <c r="J119" s="9" t="str" cm="1">
        <f t="array" ref="J119">GetValue("Domains",F119,"#DataType")</f>
        <v>bigint</v>
      </c>
      <c r="K119" s="9">
        <v>15</v>
      </c>
      <c r="L119" s="9" t="str">
        <f t="array" ref="L119">GetValue("Tables",K119,"Name")</f>
        <v>Indexes</v>
      </c>
      <c r="M119" s="9" t="s">
        <v>266</v>
      </c>
      <c r="N119" s="9"/>
      <c r="O119" s="9" t="s">
        <v>267</v>
      </c>
      <c r="P119" s="9" t="s">
        <v>268</v>
      </c>
      <c r="Q119" s="9" t="s">
        <v>268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1</v>
      </c>
      <c r="Z119" s="9" t="b">
        <v>1</v>
      </c>
      <c r="AA119" s="9" t="b">
        <v>1</v>
      </c>
      <c r="AB119" s="9"/>
      <c r="AC119" s="9" t="b">
        <v>0</v>
      </c>
      <c r="AD119" s="9" t="b">
        <v>0</v>
      </c>
    </row>
    <row r="120" spans="1:30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15</v>
      </c>
      <c r="F120" s="9">
        <v>4</v>
      </c>
      <c r="G120" s="9" t="str">
        <f t="array" ref="G120">GetValue("Domains",F120,"Name")</f>
        <v>SmallInteger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smallint</v>
      </c>
      <c r="J120" s="9" t="str" cm="1">
        <f t="array" ref="J120">GetValue("Domains",F120,"#DataType")</f>
        <v>smallint</v>
      </c>
      <c r="K120" s="9"/>
      <c r="L120" s="9" t="str">
        <f t="array" ref="L120">GetValue("Tables",K120,"Name")</f>
        <v/>
      </c>
      <c r="M120" s="9" t="s">
        <v>88</v>
      </c>
      <c r="N120" s="9"/>
      <c r="O120" s="9" t="s">
        <v>269</v>
      </c>
      <c r="P120" s="9" t="s">
        <v>205</v>
      </c>
      <c r="Q120" s="9" t="s">
        <v>205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0</v>
      </c>
      <c r="Z120" s="9" t="b">
        <v>1</v>
      </c>
      <c r="AA120" s="9" t="b">
        <v>1</v>
      </c>
      <c r="AB120" s="9"/>
      <c r="AC120" s="9" t="b">
        <v>0</v>
      </c>
      <c r="AD120" s="9" t="b">
        <v>0</v>
      </c>
    </row>
    <row r="121" spans="1:30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20</v>
      </c>
      <c r="F121" s="9">
        <v>1</v>
      </c>
      <c r="G121" s="9" t="str">
        <f t="array" ref="G121">GetValue("Domains",F121,"Name")</f>
        <v>BigInteger</v>
      </c>
      <c r="H121" s="9" t="str" cm="1">
        <f t="array" ref="H121">GetValue("Domains",F121,"#CategoryName")</f>
        <v>number</v>
      </c>
      <c r="I121" s="9" t="str" cm="1">
        <f t="array" ref="I121">GetValue("Domains",F121,"#TypeName")</f>
        <v>bigint</v>
      </c>
      <c r="J121" s="9" t="str" cm="1">
        <f t="array" ref="J121">GetValue("Domains",F121,"#DataType")</f>
        <v>bigint</v>
      </c>
      <c r="K121" s="9">
        <v>14</v>
      </c>
      <c r="L121" s="9" t="str">
        <f t="array" ref="L121">GetValue("Tables",K121,"Name")</f>
        <v>Columns</v>
      </c>
      <c r="M121" s="9" t="s">
        <v>270</v>
      </c>
      <c r="N121" s="9"/>
      <c r="O121" s="9" t="s">
        <v>271</v>
      </c>
      <c r="P121" s="9" t="s">
        <v>272</v>
      </c>
      <c r="Q121" s="9" t="s">
        <v>272</v>
      </c>
      <c r="R121" s="15"/>
      <c r="S121" s="16">
        <v>1</v>
      </c>
      <c r="T121" s="16"/>
      <c r="U121" s="9" t="b">
        <v>0</v>
      </c>
      <c r="V121" s="9" t="b">
        <v>0</v>
      </c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 t="b">
        <v>0</v>
      </c>
      <c r="AD121" s="9" t="b">
        <v>0</v>
      </c>
    </row>
    <row r="122" spans="1:30" x14ac:dyDescent="0.3">
      <c r="A122" s="9">
        <f t="shared" si="10"/>
        <v>121</v>
      </c>
      <c r="B122" s="9">
        <v>16</v>
      </c>
      <c r="C122" s="9" t="str">
        <f t="array" ref="C122">GetValue("Tables",B122,"Name")</f>
        <v>Indexkeys</v>
      </c>
      <c r="D122" s="9" t="str" cm="1">
        <f t="array" ref="D122">GetValue("Tables",B122,"Alias")</f>
        <v>Indexkey</v>
      </c>
      <c r="E122" s="9">
        <f>E121+5</f>
        <v>25</v>
      </c>
      <c r="F122" s="9">
        <v>6</v>
      </c>
      <c r="G122" s="9" t="str">
        <f t="array" ref="G122">GetValue("Domains",F122,"Name")</f>
        <v>Boolean</v>
      </c>
      <c r="H122" s="9" t="str" cm="1">
        <f t="array" ref="H122">GetValue("Domains",F122,"#CategoryName")</f>
        <v>boolean</v>
      </c>
      <c r="I122" s="9" t="str" cm="1">
        <f t="array" ref="I122">GetValue("Domains",F122,"#TypeName")</f>
        <v>bit</v>
      </c>
      <c r="J122" s="9" t="str" cm="1">
        <f t="array" ref="J122">GetValue("Domains",F122,"#DataType")</f>
        <v>bit</v>
      </c>
      <c r="K122" s="9"/>
      <c r="L122" s="9" t="str">
        <f t="array" ref="L122">GetValue("Tables",K122,"Name")</f>
        <v/>
      </c>
      <c r="M122" s="9" t="s">
        <v>273</v>
      </c>
      <c r="N122" s="9"/>
      <c r="O122" s="9" t="s">
        <v>274</v>
      </c>
      <c r="P122" s="9" t="s">
        <v>275</v>
      </c>
      <c r="Q122" s="9" t="s">
        <v>275</v>
      </c>
      <c r="R122" s="15"/>
      <c r="S122" s="16" t="s">
        <v>35</v>
      </c>
      <c r="T122" s="16"/>
      <c r="U122" s="9"/>
      <c r="V122" s="9"/>
      <c r="W122" s="9" t="b">
        <v>1</v>
      </c>
      <c r="X122" s="9"/>
      <c r="Y122" s="9" t="b">
        <v>1</v>
      </c>
      <c r="Z122" s="9" t="b">
        <v>1</v>
      </c>
      <c r="AA122" s="9" t="b">
        <v>1</v>
      </c>
      <c r="AB122" s="9"/>
      <c r="AC122" s="9"/>
      <c r="AD122" s="9" t="b">
        <v>0</v>
      </c>
    </row>
    <row r="123" spans="1:30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v>5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/>
      <c r="L123" s="7" t="str">
        <f t="array" ref="L123">GetValue("Tables",K123,"Name")</f>
        <v/>
      </c>
      <c r="M123" s="7" t="s">
        <v>0</v>
      </c>
      <c r="N123" s="7"/>
      <c r="O123" s="7" t="s">
        <v>319</v>
      </c>
      <c r="P123" s="7" t="s">
        <v>156</v>
      </c>
      <c r="Q123" s="7" t="s">
        <v>156</v>
      </c>
      <c r="R123" s="14"/>
      <c r="S123" s="14">
        <v>1</v>
      </c>
      <c r="T123" s="14"/>
      <c r="U123" s="7" t="b">
        <v>1</v>
      </c>
      <c r="V123" s="7" t="b">
        <v>1</v>
      </c>
      <c r="W123" s="7" t="b">
        <v>1</v>
      </c>
      <c r="X123" s="7"/>
      <c r="Y123" s="7" t="b">
        <v>1</v>
      </c>
      <c r="Z123" s="7" t="b">
        <v>0</v>
      </c>
      <c r="AA123" s="7" t="b">
        <v>0</v>
      </c>
      <c r="AB123" s="7"/>
      <c r="AC123" s="7" t="b">
        <v>0</v>
      </c>
      <c r="AD123" s="7" t="b">
        <v>0</v>
      </c>
    </row>
    <row r="124" spans="1:30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10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5</v>
      </c>
      <c r="L124" s="7" t="str">
        <f t="array" ref="L124">GetValue("Tables",K124,"Name")</f>
        <v>Systems</v>
      </c>
      <c r="M124" s="7" t="s">
        <v>87</v>
      </c>
      <c r="N124" s="7"/>
      <c r="O124" s="7" t="s">
        <v>288</v>
      </c>
      <c r="P124" s="7" t="s">
        <v>203</v>
      </c>
      <c r="Q124" s="7" t="s">
        <v>203</v>
      </c>
      <c r="R124" s="14"/>
      <c r="S124" s="14">
        <v>1</v>
      </c>
      <c r="T124" s="14"/>
      <c r="U124" s="7" t="b">
        <v>0</v>
      </c>
      <c r="V124" s="7" t="b">
        <v>0</v>
      </c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 t="b">
        <v>0</v>
      </c>
      <c r="AD124" s="7" t="b">
        <v>0</v>
      </c>
    </row>
    <row r="125" spans="1:30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>E124+5</f>
        <v>15</v>
      </c>
      <c r="F125" s="7">
        <v>1</v>
      </c>
      <c r="G125" s="7" t="str">
        <f t="array" ref="G125">GetValue("Domains",F125,"Name")</f>
        <v>BigInteger</v>
      </c>
      <c r="H125" s="7" t="str" cm="1">
        <f t="array" ref="H125">GetValue("Domains",F125,"#CategoryName")</f>
        <v>number</v>
      </c>
      <c r="I125" s="7" t="str" cm="1">
        <f t="array" ref="I125">GetValue("Domains",F125,"#TypeName")</f>
        <v>bigint</v>
      </c>
      <c r="J125" s="7" t="str" cm="1">
        <f t="array" ref="J125">GetValue("Domains",F125,"#DataType")</f>
        <v>bigint</v>
      </c>
      <c r="K125" s="7">
        <v>7</v>
      </c>
      <c r="L125" s="7" t="str">
        <f t="array" ref="L125">GetValue("Tables",K125,"Name")</f>
        <v>Users</v>
      </c>
      <c r="M125" s="7" t="s">
        <v>121</v>
      </c>
      <c r="N125" s="7"/>
      <c r="O125" s="7" t="s">
        <v>214</v>
      </c>
      <c r="P125" s="7" t="s">
        <v>223</v>
      </c>
      <c r="Q125" s="7" t="s">
        <v>223</v>
      </c>
      <c r="R125" s="14"/>
      <c r="S125" s="14">
        <v>1</v>
      </c>
      <c r="T125" s="14"/>
      <c r="U125" s="7"/>
      <c r="V125" s="7"/>
      <c r="W125" s="7" t="b">
        <v>1</v>
      </c>
      <c r="X125" s="7"/>
      <c r="Y125" s="7" t="b">
        <v>1</v>
      </c>
      <c r="Z125" s="7" t="b">
        <v>0</v>
      </c>
      <c r="AA125" s="7" t="b">
        <v>1</v>
      </c>
      <c r="AB125" s="7"/>
      <c r="AC125" s="7"/>
      <c r="AD125" s="7" t="b">
        <v>0</v>
      </c>
    </row>
    <row r="126" spans="1:30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 t="shared" ref="E126:E128" si="12">E125+5</f>
        <v>20</v>
      </c>
      <c r="F126" s="7">
        <v>23</v>
      </c>
      <c r="G126" s="7" t="str">
        <f t="array" ref="G126">GetValue("Domains",F126,"Name")</f>
        <v>Nvarchar(512)</v>
      </c>
      <c r="H126" s="7" t="str" cm="1">
        <f t="array" ref="H126">GetValue("Domains",F126,"#CategoryName")</f>
        <v>string</v>
      </c>
      <c r="I126" s="7" t="str" cm="1">
        <f t="array" ref="I126">GetValue("Domains",F126,"#TypeName")</f>
        <v>nvarchar</v>
      </c>
      <c r="J126" s="7" t="str" cm="1">
        <f t="array" ref="J126">GetValue("Domains",F126,"#DataType")</f>
        <v>nvarchar(512)</v>
      </c>
      <c r="K126" s="7"/>
      <c r="L126" s="7" t="str">
        <f t="array" ref="L126">GetValue("Tables",K126,"Name")</f>
        <v/>
      </c>
      <c r="M126" s="7" t="s">
        <v>538</v>
      </c>
      <c r="N126" s="7"/>
      <c r="O126" s="7" t="s">
        <v>539</v>
      </c>
      <c r="P126" s="7" t="s">
        <v>541</v>
      </c>
      <c r="Q126" s="7" t="s">
        <v>541</v>
      </c>
      <c r="R126" s="14"/>
      <c r="S126" s="14"/>
      <c r="T126" s="14"/>
      <c r="U126" s="7" t="b">
        <v>0</v>
      </c>
      <c r="V126" s="7"/>
      <c r="W126" s="7" t="b">
        <v>0</v>
      </c>
      <c r="X126" s="7" t="b">
        <v>0</v>
      </c>
      <c r="Y126" s="7" t="b">
        <v>0</v>
      </c>
      <c r="Z126" s="7" t="b">
        <v>0</v>
      </c>
      <c r="AA126" s="7" t="b">
        <v>0</v>
      </c>
      <c r="AB126" s="7" t="b">
        <v>1</v>
      </c>
      <c r="AC126" s="7"/>
      <c r="AD126" s="7" t="b">
        <v>0</v>
      </c>
    </row>
    <row r="127" spans="1:30" x14ac:dyDescent="0.3">
      <c r="A127" s="7">
        <f t="shared" si="10"/>
        <v>126</v>
      </c>
      <c r="B127" s="7">
        <v>17</v>
      </c>
      <c r="C127" s="7" t="str">
        <f t="array" ref="C127">GetValue("Tables",B127,"Name")</f>
        <v>Sessions</v>
      </c>
      <c r="D127" s="8" t="str" cm="1">
        <f t="array" ref="D127">GetValue("Tables",B127,"Alias")</f>
        <v>Session</v>
      </c>
      <c r="E127" s="7">
        <f t="shared" si="12"/>
        <v>25</v>
      </c>
      <c r="F127" s="7">
        <v>11</v>
      </c>
      <c r="G127" s="7" t="str">
        <f t="array" ref="G127">GetValue("Domains",F127,"Name")</f>
        <v>Nvarchar(256)</v>
      </c>
      <c r="H127" s="7" t="str" cm="1">
        <f t="array" ref="H127">GetValue("Domains",F127,"#CategoryName")</f>
        <v>string</v>
      </c>
      <c r="I127" s="7" t="str" cm="1">
        <f t="array" ref="I127">GetValue("Domains",F127,"#TypeName")</f>
        <v>nvarchar</v>
      </c>
      <c r="J127" s="7" t="str" cm="1">
        <f t="array" ref="J127">GetValue("Domains",F127,"#DataType")</f>
        <v>nvarchar(256)</v>
      </c>
      <c r="K127" s="7"/>
      <c r="L127" s="7" t="str">
        <f t="array" ref="L127">GetValue("Tables",K127,"Name")</f>
        <v/>
      </c>
      <c r="M127" s="7" t="s">
        <v>320</v>
      </c>
      <c r="N127" s="7"/>
      <c r="O127" s="7" t="s">
        <v>540</v>
      </c>
      <c r="P127" s="7" t="s">
        <v>542</v>
      </c>
      <c r="Q127" s="7" t="s">
        <v>542</v>
      </c>
      <c r="R127" s="14"/>
      <c r="S127" s="14"/>
      <c r="T127" s="14"/>
      <c r="U127" s="7" t="b">
        <v>0</v>
      </c>
      <c r="V127" s="7"/>
      <c r="W127" s="7" t="b">
        <v>0</v>
      </c>
      <c r="X127" s="7" t="b">
        <v>0</v>
      </c>
      <c r="Y127" s="7" t="b">
        <v>0</v>
      </c>
      <c r="Z127" s="7" t="b">
        <v>0</v>
      </c>
      <c r="AA127" s="7" t="b">
        <v>0</v>
      </c>
      <c r="AB127" s="7" t="b">
        <v>1</v>
      </c>
      <c r="AC127" s="7"/>
      <c r="AD127" s="7" t="b">
        <v>0</v>
      </c>
    </row>
    <row r="128" spans="1:30" x14ac:dyDescent="0.3">
      <c r="A128" s="7">
        <f t="shared" si="10"/>
        <v>127</v>
      </c>
      <c r="B128" s="7">
        <v>17</v>
      </c>
      <c r="C128" s="7" t="str">
        <f t="array" ref="C128">GetValue("Tables",B128,"Name")</f>
        <v>Sessions</v>
      </c>
      <c r="D128" s="8" t="str" cm="1">
        <f t="array" ref="D128">GetValue("Tables",B128,"Alias")</f>
        <v>Session</v>
      </c>
      <c r="E128" s="7">
        <f t="shared" si="12"/>
        <v>30</v>
      </c>
      <c r="F128" s="7">
        <v>6</v>
      </c>
      <c r="G128" s="7" t="str">
        <f t="array" ref="G128">GetValue("Domains",F128,"Name")</f>
        <v>Boolean</v>
      </c>
      <c r="H128" s="7" t="str" cm="1">
        <f t="array" ref="H128">GetValue("Domains",F128,"#CategoryName")</f>
        <v>boolean</v>
      </c>
      <c r="I128" s="7" t="str" cm="1">
        <f t="array" ref="I128">GetValue("Domains",F128,"#TypeName")</f>
        <v>bit</v>
      </c>
      <c r="J128" s="7" t="str" cm="1">
        <f t="array" ref="J128">GetValue("Domains",F128,"#DataType")</f>
        <v>bit</v>
      </c>
      <c r="K128" s="7"/>
      <c r="L128" s="7" t="str">
        <f t="array" ref="L128">GetValue("Tables",K128,"Name")</f>
        <v/>
      </c>
      <c r="M128" s="7" t="s">
        <v>324</v>
      </c>
      <c r="N128" s="7"/>
      <c r="O128" s="7" t="s">
        <v>289</v>
      </c>
      <c r="P128" s="7" t="s">
        <v>289</v>
      </c>
      <c r="Q128" s="7" t="s">
        <v>289</v>
      </c>
      <c r="R128" s="14"/>
      <c r="S128" s="14" t="s">
        <v>35</v>
      </c>
      <c r="T128" s="14"/>
      <c r="U128" s="7"/>
      <c r="V128" s="7"/>
      <c r="W128" s="7" t="b">
        <v>1</v>
      </c>
      <c r="X128" s="7"/>
      <c r="Y128" s="7" t="b">
        <v>1</v>
      </c>
      <c r="Z128" s="7" t="b">
        <v>1</v>
      </c>
      <c r="AA128" s="7" t="b">
        <v>0</v>
      </c>
      <c r="AB128" s="7"/>
      <c r="AC128" s="7"/>
      <c r="AD128" s="7" t="b">
        <v>0</v>
      </c>
    </row>
    <row r="129" spans="1:30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v>5</v>
      </c>
      <c r="F129" s="9">
        <v>1</v>
      </c>
      <c r="G129" s="9" t="str">
        <f t="array" ref="G129">GetValue("Domains",F129,"Name")</f>
        <v>BigInteger</v>
      </c>
      <c r="H129" s="9" t="str" cm="1">
        <f t="array" ref="H129">GetValue("Domains",F129,"#CategoryName")</f>
        <v>number</v>
      </c>
      <c r="I129" s="9" t="str" cm="1">
        <f t="array" ref="I129">GetValue("Domains",F129,"#TypeName")</f>
        <v>bigint</v>
      </c>
      <c r="J129" s="9" t="str" cm="1">
        <f t="array" ref="J129">GetValue("Domains",F129,"#DataType")</f>
        <v>bigint</v>
      </c>
      <c r="K129" s="9"/>
      <c r="L129" s="9" t="str">
        <f t="array" ref="L129">GetValue("Tables",K129,"Name")</f>
        <v/>
      </c>
      <c r="M129" s="9" t="s">
        <v>0</v>
      </c>
      <c r="N129" s="9"/>
      <c r="O129" s="9" t="s">
        <v>427</v>
      </c>
      <c r="P129" s="9" t="s">
        <v>156</v>
      </c>
      <c r="Q129" s="9" t="s">
        <v>156</v>
      </c>
      <c r="R129" s="15"/>
      <c r="S129" s="16">
        <v>1</v>
      </c>
      <c r="T129" s="16"/>
      <c r="U129" s="9" t="b">
        <v>1</v>
      </c>
      <c r="V129" s="9" t="b">
        <v>1</v>
      </c>
      <c r="W129" s="9" t="b">
        <v>1</v>
      </c>
      <c r="X129" s="9"/>
      <c r="Y129" s="9" t="b">
        <v>1</v>
      </c>
      <c r="Z129" s="9" t="b">
        <v>0</v>
      </c>
      <c r="AA129" s="9" t="b">
        <v>0</v>
      </c>
      <c r="AB129" s="9"/>
      <c r="AC129" s="9" t="b">
        <v>0</v>
      </c>
      <c r="AD129" s="9" t="b">
        <v>0</v>
      </c>
    </row>
    <row r="130" spans="1:30" x14ac:dyDescent="0.3">
      <c r="A130" s="9">
        <f t="shared" si="10"/>
        <v>129</v>
      </c>
      <c r="B130" s="9">
        <v>18</v>
      </c>
      <c r="C130" s="9" t="str">
        <f t="array" ref="C130">GetValue("Tables",B130,"Name")</f>
        <v>Transactions</v>
      </c>
      <c r="D130" s="9" t="str" cm="1">
        <f t="array" ref="D130">GetValue("Tables",B130,"Alias")</f>
        <v>Transaction</v>
      </c>
      <c r="E130" s="9">
        <f>E129+5</f>
        <v>10</v>
      </c>
      <c r="F130" s="9">
        <v>1</v>
      </c>
      <c r="G130" s="9" t="str">
        <f t="array" ref="G130">GetValue("Domains",F130,"Name")</f>
        <v>BigInteger</v>
      </c>
      <c r="H130" s="9" t="str" cm="1">
        <f t="array" ref="H130">GetValue("Domains",F130,"#CategoryName")</f>
        <v>number</v>
      </c>
      <c r="I130" s="9" t="str" cm="1">
        <f t="array" ref="I130">GetValue("Domains",F130,"#TypeName")</f>
        <v>bigint</v>
      </c>
      <c r="J130" s="9" t="str" cm="1">
        <f t="array" ref="J130">GetValue("Domains",F130,"#DataType")</f>
        <v>bigint</v>
      </c>
      <c r="K130" s="9">
        <v>17</v>
      </c>
      <c r="L130" s="9" t="str">
        <f t="array" ref="L130">GetValue("Tables",K130,"Name")</f>
        <v>Sessions</v>
      </c>
      <c r="M130" s="9" t="s">
        <v>521</v>
      </c>
      <c r="N130" s="9"/>
      <c r="O130" s="9" t="s">
        <v>522</v>
      </c>
      <c r="P130" s="9" t="s">
        <v>523</v>
      </c>
      <c r="Q130" s="9" t="s">
        <v>523</v>
      </c>
      <c r="R130" s="15"/>
      <c r="S130" s="16">
        <v>1</v>
      </c>
      <c r="T130" s="16"/>
      <c r="U130" s="9" t="b">
        <v>0</v>
      </c>
      <c r="V130" s="9" t="b">
        <v>0</v>
      </c>
      <c r="W130" s="9" t="b">
        <v>1</v>
      </c>
      <c r="X130" s="9"/>
      <c r="Y130" s="9" t="b">
        <v>0</v>
      </c>
      <c r="Z130" s="9" t="b">
        <v>0</v>
      </c>
      <c r="AA130" s="9" t="b">
        <v>0</v>
      </c>
      <c r="AB130" s="9"/>
      <c r="AC130" s="9" t="b">
        <v>0</v>
      </c>
      <c r="AD130" s="9" t="b">
        <v>0</v>
      </c>
    </row>
    <row r="131" spans="1:30" x14ac:dyDescent="0.3">
      <c r="A131" s="9">
        <f t="shared" si="10"/>
        <v>130</v>
      </c>
      <c r="B131" s="9">
        <v>18</v>
      </c>
      <c r="C131" s="9" t="str">
        <f t="array" ref="C131">GetValue("Tables",B131,"Name")</f>
        <v>Transactions</v>
      </c>
      <c r="D131" s="9" t="str" cm="1">
        <f t="array" ref="D131">GetValue("Tables",B131,"Alias")</f>
        <v>Transaction</v>
      </c>
      <c r="E131" s="9">
        <f>E130+5</f>
        <v>15</v>
      </c>
      <c r="F131" s="9">
        <v>6</v>
      </c>
      <c r="G131" s="9" t="str">
        <f t="array" ref="G131">GetValue("Domains",F131,"Name")</f>
        <v>Boolean</v>
      </c>
      <c r="H131" s="9" t="str" cm="1">
        <f t="array" ref="H131">GetValue("Domains",F131,"#CategoryName")</f>
        <v>boolean</v>
      </c>
      <c r="I131" s="9" t="str" cm="1">
        <f t="array" ref="I131">GetValue("Domains",F131,"#TypeName")</f>
        <v>bit</v>
      </c>
      <c r="J131" s="9" t="str" cm="1">
        <f t="array" ref="J131">GetValue("Domains",F131,"#DataType")</f>
        <v>bit</v>
      </c>
      <c r="K131" s="9"/>
      <c r="L131" s="9" t="str">
        <f t="array" ref="L131">GetValue("Tables",K131,"Name")</f>
        <v/>
      </c>
      <c r="M131" s="9" t="s">
        <v>420</v>
      </c>
      <c r="N131" s="9"/>
      <c r="O131" s="9" t="s">
        <v>424</v>
      </c>
      <c r="P131" s="9" t="s">
        <v>425</v>
      </c>
      <c r="Q131" s="9" t="s">
        <v>425</v>
      </c>
      <c r="R131" s="15"/>
      <c r="S131" s="16"/>
      <c r="T131" s="16"/>
      <c r="U131" s="9" t="b">
        <v>0</v>
      </c>
      <c r="V131" s="9" t="b">
        <v>0</v>
      </c>
      <c r="W131" s="9" t="b">
        <v>0</v>
      </c>
      <c r="X131" s="9"/>
      <c r="Y131" s="9" t="b">
        <v>0</v>
      </c>
      <c r="Z131" s="9" t="b">
        <v>0</v>
      </c>
      <c r="AA131" s="9" t="b">
        <v>0</v>
      </c>
      <c r="AB131" s="9"/>
      <c r="AC131" s="9" t="b">
        <v>0</v>
      </c>
      <c r="AD131" s="9" t="b">
        <v>0</v>
      </c>
    </row>
    <row r="132" spans="1:30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v>5</v>
      </c>
      <c r="F132" s="7">
        <v>1</v>
      </c>
      <c r="G132" s="7" t="str">
        <f t="array" ref="G132">GetValue("Domains",F132,"Name")</f>
        <v>BigInteger</v>
      </c>
      <c r="H132" s="7" t="str" cm="1">
        <f t="array" ref="H132">GetValue("Domains",F132,"#CategoryName")</f>
        <v>number</v>
      </c>
      <c r="I132" s="7" t="str" cm="1">
        <f t="array" ref="I132">GetValue("Domains",F132,"#TypeName")</f>
        <v>bigint</v>
      </c>
      <c r="J132" s="7" t="str" cm="1">
        <f t="array" ref="J132">GetValue("Domains",F132,"#DataType")</f>
        <v>bigint</v>
      </c>
      <c r="K132" s="7"/>
      <c r="L132" s="7" t="str">
        <f t="array" ref="L132">GetValue("Tables",K132,"Name")</f>
        <v/>
      </c>
      <c r="M132" s="7" t="s">
        <v>0</v>
      </c>
      <c r="N132" s="7"/>
      <c r="O132" s="7" t="s">
        <v>428</v>
      </c>
      <c r="P132" s="7" t="s">
        <v>156</v>
      </c>
      <c r="Q132" s="7" t="s">
        <v>156</v>
      </c>
      <c r="R132" s="14"/>
      <c r="S132" s="14">
        <v>1</v>
      </c>
      <c r="T132" s="14"/>
      <c r="U132" s="7" t="b">
        <v>1</v>
      </c>
      <c r="V132" s="7" t="b">
        <v>1</v>
      </c>
      <c r="W132" s="7" t="b">
        <v>1</v>
      </c>
      <c r="X132" s="7"/>
      <c r="Y132" s="7" t="b">
        <v>1</v>
      </c>
      <c r="Z132" s="7" t="b">
        <v>0</v>
      </c>
      <c r="AA132" s="7" t="b">
        <v>0</v>
      </c>
      <c r="AB132" s="7"/>
      <c r="AC132" s="7" t="b">
        <v>0</v>
      </c>
      <c r="AD132" s="7" t="b">
        <v>0</v>
      </c>
    </row>
    <row r="133" spans="1:30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>E132+5</f>
        <v>10</v>
      </c>
      <c r="F133" s="7">
        <v>1</v>
      </c>
      <c r="G133" s="7" t="str">
        <f t="array" ref="G133">GetValue("Domains",F133,"Name")</f>
        <v>BigInteger</v>
      </c>
      <c r="H133" s="7" t="str" cm="1">
        <f t="array" ref="H133">GetValue("Domains",F133,"#CategoryName")</f>
        <v>number</v>
      </c>
      <c r="I133" s="7" t="str" cm="1">
        <f t="array" ref="I133">GetValue("Domains",F133,"#TypeName")</f>
        <v>bigint</v>
      </c>
      <c r="J133" s="7" t="str" cm="1">
        <f t="array" ref="J133">GetValue("Domains",F133,"#DataType")</f>
        <v>bigint</v>
      </c>
      <c r="K133" s="7">
        <v>18</v>
      </c>
      <c r="L133" s="7" t="str">
        <f t="array" ref="L133">GetValue("Tables",K133,"Name")</f>
        <v>Transactions</v>
      </c>
      <c r="M133" s="7" t="s">
        <v>421</v>
      </c>
      <c r="N133" s="7"/>
      <c r="O133" s="7" t="s">
        <v>427</v>
      </c>
      <c r="P133" s="7" t="s">
        <v>429</v>
      </c>
      <c r="Q133" s="7" t="s">
        <v>429</v>
      </c>
      <c r="R133" s="14"/>
      <c r="S133" s="14">
        <v>1</v>
      </c>
      <c r="T133" s="14"/>
      <c r="U133" s="7" t="b">
        <v>0</v>
      </c>
      <c r="V133" s="7" t="b">
        <v>0</v>
      </c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/>
      <c r="AC133" s="7" t="b">
        <v>0</v>
      </c>
      <c r="AD133" s="7" t="b">
        <v>0</v>
      </c>
    </row>
    <row r="134" spans="1:30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ref="E134:E138" si="13">E133+5</f>
        <v>15</v>
      </c>
      <c r="F134" s="7">
        <v>9</v>
      </c>
      <c r="G134" s="7" t="str">
        <f t="array" ref="G134">GetValue("Domains",F134,"Name")</f>
        <v>Nvarchar(25)</v>
      </c>
      <c r="H134" s="7" t="str" cm="1">
        <f t="array" ref="H134">GetValue("Domains",F134,"#CategoryName")</f>
        <v>string</v>
      </c>
      <c r="I134" s="7" t="str" cm="1">
        <f t="array" ref="I134">GetValue("Domains",F134,"#TypeName")</f>
        <v>nvarchar</v>
      </c>
      <c r="J134" s="7" t="str" cm="1">
        <f t="array" ref="J134">GetValue("Domains",F134,"#DataType")</f>
        <v>nvarchar(25)</v>
      </c>
      <c r="K134" s="7"/>
      <c r="L134" s="7" t="str">
        <f t="array" ref="L134">GetValue("Tables",K134,"Name")</f>
        <v/>
      </c>
      <c r="M134" s="7" t="s">
        <v>422</v>
      </c>
      <c r="N134" s="7"/>
      <c r="O134" s="7" t="s">
        <v>233</v>
      </c>
      <c r="P134" s="7" t="s">
        <v>237</v>
      </c>
      <c r="Q134" s="7" t="s">
        <v>237</v>
      </c>
      <c r="R134" s="14"/>
      <c r="S134" s="14"/>
      <c r="T134" s="14"/>
      <c r="U134" s="7" t="b">
        <v>0</v>
      </c>
      <c r="V134" s="7"/>
      <c r="W134" s="7" t="b">
        <v>1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  <c r="AD134" s="7" t="b">
        <v>0</v>
      </c>
    </row>
    <row r="135" spans="1:30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3"/>
        <v>20</v>
      </c>
      <c r="F135" s="7">
        <v>21</v>
      </c>
      <c r="G135" s="7" t="str">
        <f t="array" ref="G135">GetValue("Domains",F135,"Name")</f>
        <v>Operation</v>
      </c>
      <c r="H135" s="7" t="str" cm="1">
        <f t="array" ref="H135">GetValue("Domains",F135,"#CategoryName")</f>
        <v>string</v>
      </c>
      <c r="I135" s="7" t="str" cm="1">
        <f t="array" ref="I135">GetValue("Domains",F135,"#TypeName")</f>
        <v>nvarchar</v>
      </c>
      <c r="J135" s="7" t="str" cm="1">
        <f t="array" ref="J135">GetValue("Domains",F135,"#DataType")</f>
        <v>nvarchar(15)</v>
      </c>
      <c r="K135" s="7"/>
      <c r="L135" s="7" t="str">
        <f t="array" ref="L135">GetValue("Tables",K135,"Name")</f>
        <v/>
      </c>
      <c r="M135" s="7" t="s">
        <v>91</v>
      </c>
      <c r="N135" s="7"/>
      <c r="O135" s="7" t="s">
        <v>430</v>
      </c>
      <c r="P135" s="7" t="s">
        <v>211</v>
      </c>
      <c r="Q135" s="7" t="s">
        <v>211</v>
      </c>
      <c r="R135" s="14"/>
      <c r="S135" s="14"/>
      <c r="T135" s="14"/>
      <c r="U135" s="7" t="b">
        <v>0</v>
      </c>
      <c r="V135" s="7"/>
      <c r="W135" s="7" t="b">
        <v>1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  <c r="AD135" s="7" t="b">
        <v>0</v>
      </c>
    </row>
    <row r="136" spans="1:30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3"/>
        <v>25</v>
      </c>
      <c r="F136" s="7">
        <v>12</v>
      </c>
      <c r="G136" s="7" t="str">
        <f t="array" ref="G136">GetValue("Domains",F136,"Name")</f>
        <v>Nvarchar(MAX)</v>
      </c>
      <c r="H136" s="7" t="str" cm="1">
        <f t="array" ref="H136">GetValue("Domains",F136,"#CategoryName")</f>
        <v>text</v>
      </c>
      <c r="I136" s="7" t="str" cm="1">
        <f t="array" ref="I136">GetValue("Domains",F136,"#TypeName")</f>
        <v>nvarchar(max)</v>
      </c>
      <c r="J136" s="7" t="str" cm="1">
        <f t="array" ref="J136">GetValue("Domains",F136,"#DataType")</f>
        <v>nvarchar(max)</v>
      </c>
      <c r="K136" s="7"/>
      <c r="L136" s="7" t="str">
        <f t="array" ref="L136">GetValue("Tables",K136,"Name")</f>
        <v/>
      </c>
      <c r="M136" s="7" t="s">
        <v>461</v>
      </c>
      <c r="N136" s="7"/>
      <c r="O136" s="7" t="s">
        <v>462</v>
      </c>
      <c r="P136" s="7" t="s">
        <v>462</v>
      </c>
      <c r="Q136" s="7" t="s">
        <v>462</v>
      </c>
      <c r="R136" s="14"/>
      <c r="S136" s="14"/>
      <c r="T136" s="14"/>
      <c r="U136" s="7" t="b">
        <v>0</v>
      </c>
      <c r="V136" s="7"/>
      <c r="W136" s="7" t="b">
        <v>0</v>
      </c>
      <c r="X136" s="7"/>
      <c r="Y136" s="7" t="b">
        <v>0</v>
      </c>
      <c r="Z136" s="7" t="b">
        <v>0</v>
      </c>
      <c r="AA136" s="7" t="b">
        <v>0</v>
      </c>
      <c r="AB136" s="7" t="b">
        <v>0</v>
      </c>
      <c r="AC136" s="7"/>
      <c r="AD136" s="7" t="b">
        <v>0</v>
      </c>
    </row>
    <row r="137" spans="1:30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f t="shared" si="13"/>
        <v>30</v>
      </c>
      <c r="F137" s="7">
        <v>12</v>
      </c>
      <c r="G137" s="7" t="str">
        <f t="array" ref="G137">GetValue("Domains",F137,"Name")</f>
        <v>Nvarchar(MAX)</v>
      </c>
      <c r="H137" s="7" t="str" cm="1">
        <f t="array" ref="H137">GetValue("Domains",F137,"#CategoryName")</f>
        <v>text</v>
      </c>
      <c r="I137" s="7" t="str" cm="1">
        <f t="array" ref="I137">GetValue("Domains",F137,"#TypeName")</f>
        <v>nvarchar(max)</v>
      </c>
      <c r="J137" s="7" t="str" cm="1">
        <f t="array" ref="J137">GetValue("Domains",F137,"#DataType")</f>
        <v>nvarchar(max)</v>
      </c>
      <c r="K137" s="7"/>
      <c r="L137" s="7" t="str">
        <f t="array" ref="L137">GetValue("Tables",K137,"Name")</f>
        <v/>
      </c>
      <c r="M137" s="7" t="s">
        <v>423</v>
      </c>
      <c r="N137" s="7"/>
      <c r="O137" s="7" t="s">
        <v>431</v>
      </c>
      <c r="P137" s="7" t="s">
        <v>431</v>
      </c>
      <c r="Q137" s="7" t="s">
        <v>431</v>
      </c>
      <c r="R137" s="14"/>
      <c r="S137" s="14"/>
      <c r="T137" s="14"/>
      <c r="U137" s="7" t="b">
        <v>0</v>
      </c>
      <c r="V137" s="7"/>
      <c r="W137" s="7" t="b">
        <v>1</v>
      </c>
      <c r="X137" s="7"/>
      <c r="Y137" s="7" t="b">
        <v>0</v>
      </c>
      <c r="Z137" s="7" t="b">
        <v>0</v>
      </c>
      <c r="AA137" s="7" t="b">
        <v>0</v>
      </c>
      <c r="AB137" s="7" t="b">
        <v>0</v>
      </c>
      <c r="AC137" s="7"/>
      <c r="AD137" s="7" t="b">
        <v>0</v>
      </c>
    </row>
    <row r="138" spans="1:30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 t="shared" si="13"/>
        <v>35</v>
      </c>
      <c r="F138" s="7">
        <v>6</v>
      </c>
      <c r="G138" s="7" t="str">
        <f t="array" ref="G138">GetValue("Domains",F138,"Name")</f>
        <v>Boolean</v>
      </c>
      <c r="H138" s="7" t="str" cm="1">
        <f t="array" ref="H138">GetValue("Domains",F138,"#CategoryName")</f>
        <v>boolean</v>
      </c>
      <c r="I138" s="7" t="str" cm="1">
        <f t="array" ref="I138">GetValue("Domains",F138,"#TypeName")</f>
        <v>bit</v>
      </c>
      <c r="J138" s="7" t="str" cm="1">
        <f t="array" ref="J138">GetValue("Domains",F138,"#DataType")</f>
        <v>bit</v>
      </c>
      <c r="K138" s="7"/>
      <c r="L138" s="7" t="str">
        <f t="array" ref="L138">GetValue("Tables",K138,"Name")</f>
        <v/>
      </c>
      <c r="M138" s="7" t="s">
        <v>420</v>
      </c>
      <c r="N138" s="7"/>
      <c r="O138" s="7" t="s">
        <v>424</v>
      </c>
      <c r="P138" s="7" t="s">
        <v>425</v>
      </c>
      <c r="Q138" s="7" t="s">
        <v>425</v>
      </c>
      <c r="R138" s="14"/>
      <c r="S138" s="14"/>
      <c r="T138" s="14"/>
      <c r="U138" s="7" t="b">
        <v>0</v>
      </c>
      <c r="V138" s="7"/>
      <c r="W138" s="7" t="b">
        <v>0</v>
      </c>
      <c r="X138" s="7"/>
      <c r="Y138" s="7" t="b">
        <v>0</v>
      </c>
      <c r="Z138" s="7" t="b">
        <v>0</v>
      </c>
      <c r="AA138" s="7" t="b">
        <v>0</v>
      </c>
      <c r="AB138" s="7"/>
      <c r="AC138" s="7"/>
      <c r="AD138" s="7" t="b">
        <v>0</v>
      </c>
    </row>
    <row r="139" spans="1:30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9" t="str" cm="1">
        <f t="array" ref="D139">GetValue("Tables",B139,"Alias")</f>
        <v>Unicity</v>
      </c>
      <c r="E139" s="9">
        <v>5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/>
      <c r="L139" s="9" t="str">
        <f t="array" ref="L139">GetValue("Tables",K139,"Name")</f>
        <v/>
      </c>
      <c r="M139" s="9" t="s">
        <v>0</v>
      </c>
      <c r="N139" s="9"/>
      <c r="O139" s="9" t="s">
        <v>444</v>
      </c>
      <c r="P139" s="9" t="s">
        <v>156</v>
      </c>
      <c r="Q139" s="9" t="s">
        <v>156</v>
      </c>
      <c r="R139" s="9"/>
      <c r="S139" s="9">
        <v>1</v>
      </c>
      <c r="T139" s="9"/>
      <c r="U139" s="9" t="b">
        <v>1</v>
      </c>
      <c r="V139" s="9" t="b">
        <v>1</v>
      </c>
      <c r="W139" s="9" t="b">
        <v>1</v>
      </c>
      <c r="X139" s="9"/>
      <c r="Y139" s="9" t="b">
        <v>1</v>
      </c>
      <c r="Z139" s="9" t="b">
        <v>0</v>
      </c>
      <c r="AA139" s="9" t="b">
        <v>0</v>
      </c>
      <c r="AB139" s="9"/>
      <c r="AC139" s="9" t="b">
        <v>0</v>
      </c>
      <c r="AD139" s="9" t="b">
        <v>0</v>
      </c>
    </row>
    <row r="140" spans="1:30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9" t="str" cm="1">
        <f t="array" ref="D140">GetValue("Tables",B140,"Alias")</f>
        <v>Unicity</v>
      </c>
      <c r="E140" s="9">
        <f t="shared" ref="E140:E142" si="14">E139+5</f>
        <v>10</v>
      </c>
      <c r="F140" s="9">
        <v>1</v>
      </c>
      <c r="G140" s="9" t="str">
        <f t="array" ref="G140">GetValue("Domains",F140,"Name")</f>
        <v>BigInteger</v>
      </c>
      <c r="H140" s="9" t="str" cm="1">
        <f t="array" ref="H140">GetValue("Domains",F140,"#CategoryName")</f>
        <v>number</v>
      </c>
      <c r="I140" s="9" t="str" cm="1">
        <f t="array" ref="I140">GetValue("Domains",F140,"#TypeName")</f>
        <v>bigint</v>
      </c>
      <c r="J140" s="9" t="str" cm="1">
        <f t="array" ref="J140">GetValue("Domains",F140,"#DataType")</f>
        <v>bigint</v>
      </c>
      <c r="K140" s="9">
        <v>14</v>
      </c>
      <c r="L140" s="9" t="str">
        <f t="array" ref="L140">GetValue("Tables",K140,"Name")</f>
        <v>Columns</v>
      </c>
      <c r="M140" s="9" t="s">
        <v>445</v>
      </c>
      <c r="N140" s="9"/>
      <c r="O140" s="9" t="s">
        <v>447</v>
      </c>
      <c r="P140" s="9" t="s">
        <v>447</v>
      </c>
      <c r="Q140" s="9" t="s">
        <v>449</v>
      </c>
      <c r="R140" s="9"/>
      <c r="S140" s="9"/>
      <c r="T140" s="9"/>
      <c r="U140" s="9" t="b">
        <v>0</v>
      </c>
      <c r="V140" s="9" t="b">
        <v>0</v>
      </c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 t="b">
        <v>0</v>
      </c>
      <c r="AD140" s="9" t="b">
        <v>0</v>
      </c>
    </row>
    <row r="141" spans="1:30" x14ac:dyDescent="0.3">
      <c r="A141" s="9">
        <f t="shared" si="10"/>
        <v>140</v>
      </c>
      <c r="B141" s="9">
        <v>20</v>
      </c>
      <c r="C141" s="9" t="str">
        <f t="array" ref="C141">GetValue("Tables",B141,"Name")</f>
        <v>Unicities</v>
      </c>
      <c r="D141" s="9" t="str" cm="1">
        <f t="array" ref="D141">GetValue("Tables",B141,"Alias")</f>
        <v>Unicity</v>
      </c>
      <c r="E141" s="9">
        <f t="shared" si="14"/>
        <v>15</v>
      </c>
      <c r="F141" s="9">
        <v>1</v>
      </c>
      <c r="G141" s="9" t="str">
        <f t="array" ref="G141">GetValue("Domains",F141,"Name")</f>
        <v>BigInteger</v>
      </c>
      <c r="H141" s="9" t="str" cm="1">
        <f t="array" ref="H141">GetValue("Domains",F141,"#CategoryName")</f>
        <v>number</v>
      </c>
      <c r="I141" s="9" t="str" cm="1">
        <f t="array" ref="I141">GetValue("Domains",F141,"#TypeName")</f>
        <v>bigint</v>
      </c>
      <c r="J141" s="9" t="str" cm="1">
        <f t="array" ref="J141">GetValue("Domains",F141,"#DataType")</f>
        <v>bigint</v>
      </c>
      <c r="K141" s="9">
        <v>14</v>
      </c>
      <c r="L141" s="9" t="str">
        <f t="array" ref="L141">GetValue("Tables",K141,"Name")</f>
        <v>Columns</v>
      </c>
      <c r="M141" s="9" t="s">
        <v>446</v>
      </c>
      <c r="N141" s="9"/>
      <c r="O141" s="9" t="s">
        <v>448</v>
      </c>
      <c r="P141" s="9" t="s">
        <v>448</v>
      </c>
      <c r="Q141" s="9" t="s">
        <v>450</v>
      </c>
      <c r="R141" s="9"/>
      <c r="S141" s="9"/>
      <c r="T141" s="9"/>
      <c r="U141" s="9" t="b">
        <v>0</v>
      </c>
      <c r="V141" s="9" t="b">
        <v>0</v>
      </c>
      <c r="W141" s="9" t="b">
        <v>1</v>
      </c>
      <c r="X141" s="9"/>
      <c r="Y141" s="9" t="b">
        <v>1</v>
      </c>
      <c r="Z141" s="9" t="b">
        <v>1</v>
      </c>
      <c r="AA141" s="9" t="b">
        <v>1</v>
      </c>
      <c r="AB141" s="9"/>
      <c r="AC141" s="9" t="b">
        <v>0</v>
      </c>
      <c r="AD141" s="9" t="b">
        <v>0</v>
      </c>
    </row>
    <row r="142" spans="1:30" x14ac:dyDescent="0.3">
      <c r="A142" s="9">
        <f t="shared" si="10"/>
        <v>141</v>
      </c>
      <c r="B142" s="9">
        <v>20</v>
      </c>
      <c r="C142" s="9" t="str">
        <f t="array" ref="C142">GetValue("Tables",B142,"Name")</f>
        <v>Unicities</v>
      </c>
      <c r="D142" s="9" t="str" cm="1">
        <f t="array" ref="D142">GetValue("Tables",B142,"Alias")</f>
        <v>Unicity</v>
      </c>
      <c r="E142" s="9">
        <f t="shared" si="14"/>
        <v>20</v>
      </c>
      <c r="F142" s="9">
        <v>6</v>
      </c>
      <c r="G142" s="9" t="str">
        <f t="array" ref="G142">GetValue("Domains",F142,"Name")</f>
        <v>Boolean</v>
      </c>
      <c r="H142" s="9" t="str" cm="1">
        <f t="array" ref="H142">GetValue("Domains",F142,"#CategoryName")</f>
        <v>boolean</v>
      </c>
      <c r="I142" s="9" t="str" cm="1">
        <f t="array" ref="I142">GetValue("Domains",F142,"#TypeName")</f>
        <v>bit</v>
      </c>
      <c r="J142" s="9" t="str" cm="1">
        <f t="array" ref="J142">GetValue("Domains",F142,"#DataType")</f>
        <v>bit</v>
      </c>
      <c r="K142" s="9"/>
      <c r="L142" s="9" t="str">
        <f t="array" ref="L142">GetValue("Tables",K142,"Name")</f>
        <v/>
      </c>
      <c r="M142" s="9" t="s">
        <v>442</v>
      </c>
      <c r="N142" s="9"/>
      <c r="O142" s="9" t="s">
        <v>457</v>
      </c>
      <c r="P142" s="9" t="s">
        <v>458</v>
      </c>
      <c r="Q142" s="9" t="s">
        <v>458</v>
      </c>
      <c r="R142" s="9"/>
      <c r="S142" s="9"/>
      <c r="T142" s="9"/>
      <c r="U142" s="9"/>
      <c r="V142" s="9"/>
      <c r="W142" s="9" t="b">
        <v>1</v>
      </c>
      <c r="X142" s="9"/>
      <c r="Y142" s="9" t="b">
        <v>1</v>
      </c>
      <c r="Z142" s="9" t="b">
        <v>1</v>
      </c>
      <c r="AA142" s="9" t="b">
        <v>1</v>
      </c>
      <c r="AB142" s="9"/>
      <c r="AC142" s="9"/>
      <c r="AD142" s="9" t="b">
        <v>0</v>
      </c>
    </row>
    <row r="143" spans="1:30" x14ac:dyDescent="0.3">
      <c r="A143" s="7">
        <f t="shared" si="10"/>
        <v>142</v>
      </c>
      <c r="B143" s="7">
        <v>21</v>
      </c>
      <c r="C143" s="7" t="str">
        <f t="array" ref="C143">GetValue("Tables",B143,"Name")</f>
        <v>Comparators</v>
      </c>
      <c r="D143" s="8" t="str" cm="1">
        <f t="array" ref="D143">GetValue("Tables",B143,"Alias")</f>
        <v>Comparator</v>
      </c>
      <c r="E143" s="7">
        <v>5</v>
      </c>
      <c r="F143" s="7">
        <v>5</v>
      </c>
      <c r="G143" s="7" t="str">
        <f t="array" ref="G143">GetValue("Domains",F143,"Name")</f>
        <v>TinyInteger</v>
      </c>
      <c r="H143" s="7" t="str" cm="1">
        <f t="array" ref="H143">GetValue("Domains",F143,"#CategoryName")</f>
        <v>number</v>
      </c>
      <c r="I143" s="7" t="str" cm="1">
        <f t="array" ref="I143">GetValue("Domains",F143,"#TypeName")</f>
        <v>tinyint</v>
      </c>
      <c r="J143" s="7" t="str" cm="1">
        <f t="array" ref="J143">GetValue("Domains",F143,"#DataType")</f>
        <v>tinyint</v>
      </c>
      <c r="K143" s="7"/>
      <c r="L143" s="7" t="str">
        <f t="array" ref="L143">GetValue("Tables",K143,"Name")</f>
        <v/>
      </c>
      <c r="M143" s="7" t="s">
        <v>0</v>
      </c>
      <c r="N143" s="7"/>
      <c r="O143" s="7" t="s">
        <v>579</v>
      </c>
      <c r="P143" s="7" t="s">
        <v>156</v>
      </c>
      <c r="Q143" s="7" t="s">
        <v>156</v>
      </c>
      <c r="R143" s="14"/>
      <c r="S143" s="14">
        <v>1</v>
      </c>
      <c r="T143" s="14"/>
      <c r="U143" s="7" t="b">
        <v>1</v>
      </c>
      <c r="V143" s="7" t="b">
        <v>1</v>
      </c>
      <c r="W143" s="7" t="b">
        <v>1</v>
      </c>
      <c r="X143" s="7"/>
      <c r="Y143" s="7" t="b">
        <v>1</v>
      </c>
      <c r="Z143" s="7" t="b">
        <v>0</v>
      </c>
      <c r="AA143" s="7" t="b">
        <v>0</v>
      </c>
      <c r="AB143" s="7"/>
      <c r="AC143" s="7" t="b">
        <v>0</v>
      </c>
      <c r="AD143" s="7" t="b">
        <v>0</v>
      </c>
    </row>
    <row r="144" spans="1:30" x14ac:dyDescent="0.3">
      <c r="A144" s="7">
        <f t="shared" si="10"/>
        <v>143</v>
      </c>
      <c r="B144" s="7">
        <v>21</v>
      </c>
      <c r="C144" s="7" t="str">
        <f t="array" ref="C144">GetValue("Tables",B144,"Name")</f>
        <v>Comparators</v>
      </c>
      <c r="D144" s="8" t="str" cm="1">
        <f t="array" ref="D144">GetValue("Tables",B144,"Alias")</f>
        <v>Comparator</v>
      </c>
      <c r="E144" s="7">
        <f>E143+5</f>
        <v>10</v>
      </c>
      <c r="F144" s="7">
        <v>7</v>
      </c>
      <c r="G144" s="7" t="str">
        <f t="array" ref="G144">GetValue("Domains",F144,"Name")</f>
        <v>Nvarchar(15)</v>
      </c>
      <c r="H144" s="7" t="str" cm="1">
        <f t="array" ref="H144">GetValue("Domains",F144,"#CategoryName")</f>
        <v>string</v>
      </c>
      <c r="I144" s="7" t="str" cm="1">
        <f t="array" ref="I144">GetValue("Domains",F144,"#TypeName")</f>
        <v>nvarchar</v>
      </c>
      <c r="J144" s="7" t="str" cm="1">
        <f t="array" ref="J144">GetValue("Domains",F144,"#DataType")</f>
        <v>nvarchar(15)</v>
      </c>
      <c r="K144" s="7"/>
      <c r="L144" s="7" t="str">
        <f t="array" ref="L144">GetValue("Tables",K144,"Name")</f>
        <v/>
      </c>
      <c r="M144" s="7" t="s">
        <v>547</v>
      </c>
      <c r="N144" s="7"/>
      <c r="O144" s="7" t="s">
        <v>580</v>
      </c>
      <c r="P144" s="7" t="s">
        <v>158</v>
      </c>
      <c r="Q144" s="7" t="s">
        <v>588</v>
      </c>
      <c r="R144" s="14"/>
      <c r="S144" s="14"/>
      <c r="T144" s="14"/>
      <c r="U144" s="7" t="b">
        <v>0</v>
      </c>
      <c r="V144" s="7"/>
      <c r="W144" s="7" t="b">
        <v>1</v>
      </c>
      <c r="X144" s="7" t="b">
        <v>1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  <c r="AD144" s="7" t="b">
        <v>0</v>
      </c>
    </row>
    <row r="145" spans="1:30" x14ac:dyDescent="0.3">
      <c r="A145" s="7">
        <f t="shared" si="10"/>
        <v>144</v>
      </c>
      <c r="B145" s="7">
        <v>21</v>
      </c>
      <c r="C145" s="7" t="str">
        <f t="array" ref="C145">GetValue("Tables",B145,"Name")</f>
        <v>Comparators</v>
      </c>
      <c r="D145" s="8" t="str" cm="1">
        <f t="array" ref="D145">GetValue("Tables",B145,"Alias")</f>
        <v>Comparator</v>
      </c>
      <c r="E145" s="7">
        <f>E144+5</f>
        <v>15</v>
      </c>
      <c r="F145" s="7">
        <v>7</v>
      </c>
      <c r="G145" s="7" t="str">
        <f t="array" ref="G145">GetValue("Domains",F145,"Name")</f>
        <v>Nvarchar(15)</v>
      </c>
      <c r="H145" s="7" t="str" cm="1">
        <f t="array" ref="H145">GetValue("Domains",F145,"#CategoryName")</f>
        <v>string</v>
      </c>
      <c r="I145" s="7" t="str" cm="1">
        <f t="array" ref="I145">GetValue("Domains",F145,"#TypeName")</f>
        <v>nvarchar</v>
      </c>
      <c r="J145" s="7" t="str" cm="1">
        <f t="array" ref="J145">GetValue("Domains",F145,"#DataType")</f>
        <v>nvarchar(15)</v>
      </c>
      <c r="K145" s="7"/>
      <c r="L145" s="7" t="str">
        <f t="array" ref="L145">GetValue("Tables",K145,"Name")</f>
        <v/>
      </c>
      <c r="M145" s="7" t="s">
        <v>84</v>
      </c>
      <c r="N145" s="7"/>
      <c r="O145" s="7" t="s">
        <v>581</v>
      </c>
      <c r="P145" s="7" t="s">
        <v>74</v>
      </c>
      <c r="Q145" s="7" t="s">
        <v>196</v>
      </c>
      <c r="R145" s="14"/>
      <c r="S145" s="14"/>
      <c r="T145" s="14"/>
      <c r="U145" s="7" t="b">
        <v>0</v>
      </c>
      <c r="V145" s="7"/>
      <c r="W145" s="7" t="b">
        <v>1</v>
      </c>
      <c r="X145" s="7" t="b">
        <v>0</v>
      </c>
      <c r="Y145" s="7" t="b">
        <v>1</v>
      </c>
      <c r="Z145" s="7" t="b">
        <v>1</v>
      </c>
      <c r="AA145" s="7" t="b">
        <v>1</v>
      </c>
      <c r="AB145" s="7" t="b">
        <v>0</v>
      </c>
      <c r="AC145" s="7"/>
      <c r="AD145" s="7" t="b">
        <v>0</v>
      </c>
    </row>
    <row r="146" spans="1:30" x14ac:dyDescent="0.3">
      <c r="A146" s="7">
        <f t="shared" si="10"/>
        <v>145</v>
      </c>
      <c r="B146" s="7">
        <v>21</v>
      </c>
      <c r="C146" s="7" t="str">
        <f t="array" ref="C146">GetValue("Tables",B146,"Name")</f>
        <v>Comparators</v>
      </c>
      <c r="D146" s="8" t="str" cm="1">
        <f t="array" ref="D146">GetValue("Tables",B146,"Alias")</f>
        <v>Comparator</v>
      </c>
      <c r="E146" s="7">
        <f>E145+5</f>
        <v>20</v>
      </c>
      <c r="F146" s="7">
        <v>7</v>
      </c>
      <c r="G146" s="7" t="str">
        <f t="array" ref="G146">GetValue("Domains",F146,"Name")</f>
        <v>Nvarchar(15)</v>
      </c>
      <c r="H146" s="7" t="str" cm="1">
        <f t="array" ref="H146">GetValue("Domains",F146,"#CategoryName")</f>
        <v>string</v>
      </c>
      <c r="I146" s="7" t="str" cm="1">
        <f t="array" ref="I146">GetValue("Domains",F146,"#TypeName")</f>
        <v>nvarchar</v>
      </c>
      <c r="J146" s="7" t="str" cm="1">
        <f t="array" ref="J146">GetValue("Domains",F146,"#DataType")</f>
        <v>nvarchar(15)</v>
      </c>
      <c r="K146" s="7"/>
      <c r="L146" s="7" t="str">
        <f t="array" ref="L146">GetValue("Tables",K146,"Name")</f>
        <v/>
      </c>
      <c r="M146" s="7" t="s">
        <v>548</v>
      </c>
      <c r="N146" s="7"/>
      <c r="O146" s="7" t="s">
        <v>582</v>
      </c>
      <c r="P146" s="7" t="s">
        <v>587</v>
      </c>
      <c r="Q146" s="7" t="s">
        <v>587</v>
      </c>
      <c r="R146" s="14"/>
      <c r="S146" s="14"/>
      <c r="T146" s="14"/>
      <c r="U146" s="7" t="b">
        <v>0</v>
      </c>
      <c r="V146" s="7"/>
      <c r="W146" s="7" t="b">
        <v>0</v>
      </c>
      <c r="X146" s="7" t="b">
        <v>0</v>
      </c>
      <c r="Y146" s="7" t="b">
        <v>1</v>
      </c>
      <c r="Z146" s="7" t="b">
        <v>1</v>
      </c>
      <c r="AA146" s="7" t="b">
        <v>1</v>
      </c>
      <c r="AB146" s="7" t="b">
        <v>0</v>
      </c>
      <c r="AC146" s="7"/>
      <c r="AD146" s="7" t="b">
        <v>0</v>
      </c>
    </row>
    <row r="147" spans="1:30" x14ac:dyDescent="0.3">
      <c r="A147" s="9">
        <f t="shared" si="10"/>
        <v>146</v>
      </c>
      <c r="B147" s="9">
        <v>22</v>
      </c>
      <c r="C147" s="9" t="str">
        <f t="array" ref="C147">GetValue("Tables",B147,"Name")</f>
        <v>Rules</v>
      </c>
      <c r="D147" s="9" t="str" cm="1">
        <f t="array" ref="D147">GetValue("Tables",B147,"Alias")</f>
        <v>Rule</v>
      </c>
      <c r="E147" s="9">
        <v>5</v>
      </c>
      <c r="F147" s="9">
        <v>5</v>
      </c>
      <c r="G147" s="9" t="str">
        <f t="array" ref="G147">GetValue("Domains",F147,"Name")</f>
        <v>TinyInteger</v>
      </c>
      <c r="H147" s="9" t="str" cm="1">
        <f t="array" ref="H147">GetValue("Domains",F147,"#CategoryName")</f>
        <v>number</v>
      </c>
      <c r="I147" s="9" t="str" cm="1">
        <f t="array" ref="I147">GetValue("Domains",F147,"#TypeName")</f>
        <v>tinyint</v>
      </c>
      <c r="J147" s="9" t="str" cm="1">
        <f t="array" ref="J147">GetValue("Domains",F147,"#DataType")</f>
        <v>tinyint</v>
      </c>
      <c r="K147" s="9"/>
      <c r="L147" s="9" t="str">
        <f t="array" ref="L147">GetValue("Tables",K147,"Name")</f>
        <v/>
      </c>
      <c r="M147" s="9" t="s">
        <v>0</v>
      </c>
      <c r="N147" s="9"/>
      <c r="O147" s="9" t="s">
        <v>583</v>
      </c>
      <c r="P147" s="9" t="s">
        <v>156</v>
      </c>
      <c r="Q147" s="9" t="s">
        <v>156</v>
      </c>
      <c r="R147" s="9"/>
      <c r="S147" s="9">
        <v>1</v>
      </c>
      <c r="T147" s="9"/>
      <c r="U147" s="9" t="b">
        <v>1</v>
      </c>
      <c r="V147" s="9" t="b">
        <v>1</v>
      </c>
      <c r="W147" s="9" t="b">
        <v>1</v>
      </c>
      <c r="X147" s="9"/>
      <c r="Y147" s="9" t="b">
        <v>1</v>
      </c>
      <c r="Z147" s="9" t="b">
        <v>0</v>
      </c>
      <c r="AA147" s="9" t="b">
        <v>0</v>
      </c>
      <c r="AB147" s="9"/>
      <c r="AC147" s="9" t="b">
        <v>0</v>
      </c>
      <c r="AD147" s="9" t="b">
        <v>0</v>
      </c>
    </row>
    <row r="148" spans="1:30" x14ac:dyDescent="0.3">
      <c r="A148" s="9">
        <f t="shared" si="10"/>
        <v>147</v>
      </c>
      <c r="B148" s="9">
        <v>22</v>
      </c>
      <c r="C148" s="9" t="str">
        <f t="array" ref="C148">GetValue("Tables",B148,"Name")</f>
        <v>Rules</v>
      </c>
      <c r="D148" s="9" t="str" cm="1">
        <f t="array" ref="D148">GetValue("Tables",B148,"Alias")</f>
        <v>Rule</v>
      </c>
      <c r="E148" s="9">
        <f t="shared" ref="E148:E149" si="15">E147+5</f>
        <v>10</v>
      </c>
      <c r="F148" s="9">
        <v>5</v>
      </c>
      <c r="G148" s="9" t="str">
        <f t="array" ref="G148">GetValue("Domains",F148,"Name")</f>
        <v>TinyInteger</v>
      </c>
      <c r="H148" s="9" t="str" cm="1">
        <f t="array" ref="H148">GetValue("Domains",F148,"#CategoryName")</f>
        <v>number</v>
      </c>
      <c r="I148" s="9" t="str" cm="1">
        <f t="array" ref="I148">GetValue("Domains",F148,"#TypeName")</f>
        <v>tinyint</v>
      </c>
      <c r="J148" s="9" t="str" cm="1">
        <f t="array" ref="J148">GetValue("Domains",F148,"#DataType")</f>
        <v>tinyint</v>
      </c>
      <c r="K148" s="9">
        <v>1</v>
      </c>
      <c r="L148" s="9" t="str">
        <f t="array" ref="L148">GetValue("Tables",K148,"Name")</f>
        <v>Categories</v>
      </c>
      <c r="M148" s="9" t="s">
        <v>25</v>
      </c>
      <c r="N148" s="9"/>
      <c r="O148" s="9" t="s">
        <v>585</v>
      </c>
      <c r="P148" s="9" t="s">
        <v>585</v>
      </c>
      <c r="Q148" s="9" t="s">
        <v>160</v>
      </c>
      <c r="R148" s="9"/>
      <c r="S148" s="9"/>
      <c r="T148" s="9"/>
      <c r="U148" s="9" t="b">
        <v>0</v>
      </c>
      <c r="V148" s="9" t="b">
        <v>0</v>
      </c>
      <c r="W148" s="9" t="b">
        <v>1</v>
      </c>
      <c r="X148" s="9"/>
      <c r="Y148" s="9" t="b">
        <v>1</v>
      </c>
      <c r="Z148" s="9" t="b">
        <v>1</v>
      </c>
      <c r="AA148" s="9" t="b">
        <v>1</v>
      </c>
      <c r="AB148" s="9"/>
      <c r="AC148" s="9" t="b">
        <v>0</v>
      </c>
      <c r="AD148" s="9" t="b">
        <v>0</v>
      </c>
    </row>
    <row r="149" spans="1:30" x14ac:dyDescent="0.3">
      <c r="A149" s="9">
        <f t="shared" si="10"/>
        <v>148</v>
      </c>
      <c r="B149" s="9">
        <v>22</v>
      </c>
      <c r="C149" s="9" t="str">
        <f t="array" ref="C149">GetValue("Tables",B149,"Name")</f>
        <v>Rules</v>
      </c>
      <c r="D149" s="9" t="str" cm="1">
        <f t="array" ref="D149">GetValue("Tables",B149,"Alias")</f>
        <v>Rule</v>
      </c>
      <c r="E149" s="9">
        <f t="shared" si="15"/>
        <v>15</v>
      </c>
      <c r="F149" s="9">
        <v>1</v>
      </c>
      <c r="G149" s="9" t="str">
        <f t="array" ref="G149">GetValue("Domains",F149,"Name")</f>
        <v>BigInteger</v>
      </c>
      <c r="H149" s="9" t="str" cm="1">
        <f t="array" ref="H149">GetValue("Domains",F149,"#CategoryName")</f>
        <v>number</v>
      </c>
      <c r="I149" s="9" t="str" cm="1">
        <f t="array" ref="I149">GetValue("Domains",F149,"#TypeName")</f>
        <v>bigint</v>
      </c>
      <c r="J149" s="9" t="str" cm="1">
        <f t="array" ref="J149">GetValue("Domains",F149,"#DataType")</f>
        <v>bigint</v>
      </c>
      <c r="K149" s="9">
        <v>21</v>
      </c>
      <c r="L149" s="9" t="str">
        <f t="array" ref="L149">GetValue("Tables",K149,"Name")</f>
        <v>Comparators</v>
      </c>
      <c r="M149" s="9" t="s">
        <v>570</v>
      </c>
      <c r="N149" s="9"/>
      <c r="O149" s="9" t="s">
        <v>586</v>
      </c>
      <c r="P149" s="9" t="s">
        <v>586</v>
      </c>
      <c r="Q149" s="9" t="s">
        <v>584</v>
      </c>
      <c r="R149" s="9"/>
      <c r="S149" s="9"/>
      <c r="T149" s="9"/>
      <c r="U149" s="9" t="b">
        <v>0</v>
      </c>
      <c r="V149" s="9" t="b">
        <v>0</v>
      </c>
      <c r="W149" s="9" t="b">
        <v>1</v>
      </c>
      <c r="X149" s="9"/>
      <c r="Y149" s="9" t="b">
        <v>1</v>
      </c>
      <c r="Z149" s="9" t="b">
        <v>1</v>
      </c>
      <c r="AA149" s="9" t="b">
        <v>1</v>
      </c>
      <c r="AB149" s="9"/>
      <c r="AC149" s="9" t="b">
        <v>0</v>
      </c>
      <c r="AD149" s="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14" activePane="bottomLeft" state="frozen"/>
      <selection pane="bottomLeft" activeCell="A2" sqref="A2:E29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331</v>
      </c>
      <c r="D1" s="1" t="s">
        <v>1</v>
      </c>
      <c r="E1" s="1" t="s">
        <v>262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20" activePane="bottomLeft" state="frozen"/>
      <selection pane="bottomLeft" activeCell="A2" sqref="A2:XFD45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334</v>
      </c>
      <c r="D1" s="1" t="s">
        <v>88</v>
      </c>
      <c r="E1" s="1" t="s">
        <v>270</v>
      </c>
      <c r="F1" s="1" t="s">
        <v>335</v>
      </c>
      <c r="G1" s="1" t="s">
        <v>273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121</v>
      </c>
      <c r="D1" s="1" t="s">
        <v>538</v>
      </c>
      <c r="E1" s="1" t="s">
        <v>320</v>
      </c>
      <c r="F1" s="1" t="s">
        <v>324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521</v>
      </c>
      <c r="C1" s="1" t="s">
        <v>420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421</v>
      </c>
      <c r="C1" s="1" t="s">
        <v>422</v>
      </c>
      <c r="D1" s="1" t="s">
        <v>91</v>
      </c>
      <c r="E1" s="1" t="s">
        <v>461</v>
      </c>
      <c r="F1" s="1" t="s">
        <v>423</v>
      </c>
      <c r="G1" s="1" t="s">
        <v>420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445</v>
      </c>
      <c r="C1" s="1" t="s">
        <v>459</v>
      </c>
      <c r="D1" s="1" t="s">
        <v>451</v>
      </c>
      <c r="E1" s="1" t="s">
        <v>454</v>
      </c>
      <c r="F1" s="1" t="s">
        <v>455</v>
      </c>
      <c r="G1" s="1" t="s">
        <v>446</v>
      </c>
      <c r="H1" s="1" t="s">
        <v>460</v>
      </c>
      <c r="I1" s="1" t="s">
        <v>452</v>
      </c>
      <c r="J1" s="1" t="s">
        <v>453</v>
      </c>
      <c r="K1" s="1" t="s">
        <v>456</v>
      </c>
      <c r="L1" s="1" t="s">
        <v>442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DatabaseId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TableId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22</vt:i4>
      </vt:variant>
    </vt:vector>
  </HeadingPairs>
  <TitlesOfParts>
    <vt:vector size="22" baseType="lpstr">
      <vt:lpstr>Categories</vt:lpstr>
      <vt:lpstr>Comparators</vt:lpstr>
      <vt:lpstr>Rules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2026-06-15T18:10:43Z</dcterms:modified>
</cp:coreProperties>
</file>