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E4EBC01E-1391-4B6F-BFA9-272E2A28A89B}" xr6:coauthVersionLast="47" xr6:coauthVersionMax="47" xr10:uidLastSave="{00000000-0000-0000-0000-000000000000}"/>
  <bookViews>
    <workbookView xWindow="-108" yWindow="-108" windowWidth="23256" windowHeight="13176" tabRatio="969" firstSheet="7" activeTab="19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References" sheetId="33" r:id="rId19"/>
    <sheet name="Referencekeys" sheetId="34" r:id="rId20"/>
    <sheet name="Sessions" sheetId="15" r:id="rId21"/>
    <sheet name="Transactions" sheetId="19" r:id="rId22"/>
    <sheet name="Operations" sheetId="20" r:id="rId23"/>
    <sheet name="Unicities" sheetId="22" r:id="rId24"/>
    <sheet name="testes" sheetId="28" r:id="rId25"/>
    <sheet name="Expressions" sheetId="29" r:id="rId26"/>
    <sheet name="Conditions" sheetId="30" r:id="rId27"/>
    <sheet name="Properties" sheetId="31" r:id="rId28"/>
    <sheet name="Behaviors" sheetId="32" r:id="rId29"/>
  </sheets>
  <functionGroups builtInGroupCount="19"/>
  <definedNames>
    <definedName name="_xlnm._FilterDatabase" localSheetId="15" hidden="1">Columns!$F$1:$F$125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3" i="12" l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15" i="34"/>
  <c r="A15" i="33"/>
  <c r="A30" i="17"/>
  <c r="A29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86" i="12"/>
  <c r="A185" i="12"/>
  <c r="E184" i="12"/>
  <c r="E185" i="12" s="1"/>
  <c r="E186" i="12" s="1"/>
  <c r="A184" i="12"/>
  <c r="A183" i="12"/>
  <c r="A7" i="34"/>
  <c r="A6" i="34"/>
  <c r="A5" i="34"/>
  <c r="A4" i="34"/>
  <c r="A3" i="34"/>
  <c r="A17" i="33"/>
  <c r="A16" i="33"/>
  <c r="A14" i="33"/>
  <c r="A12" i="33"/>
  <c r="A10" i="33"/>
  <c r="A7" i="33"/>
  <c r="A6" i="33"/>
  <c r="A182" i="12"/>
  <c r="A181" i="12"/>
  <c r="A180" i="12"/>
  <c r="E179" i="12"/>
  <c r="E180" i="12" s="1"/>
  <c r="E181" i="12" s="1"/>
  <c r="E182" i="12" s="1"/>
  <c r="A179" i="12"/>
  <c r="A178" i="12"/>
  <c r="A30" i="11"/>
  <c r="A29" i="11"/>
  <c r="A177" i="12"/>
  <c r="A173" i="12"/>
  <c r="A28" i="17"/>
  <c r="A27" i="17"/>
  <c r="A26" i="17"/>
  <c r="A25" i="17"/>
  <c r="E174" i="12"/>
  <c r="E175" i="12" s="1"/>
  <c r="E176" i="12" s="1"/>
  <c r="E177" i="12" s="1"/>
  <c r="A176" i="12"/>
  <c r="A175" i="12"/>
  <c r="A174" i="12"/>
  <c r="A172" i="12"/>
  <c r="E168" i="12"/>
  <c r="E169" i="12" s="1"/>
  <c r="E170" i="12" s="1"/>
  <c r="E171" i="12" s="1"/>
  <c r="E173" i="12" s="1"/>
  <c r="A171" i="12"/>
  <c r="A170" i="12"/>
  <c r="A169" i="12"/>
  <c r="A168" i="12"/>
  <c r="A167" i="12"/>
  <c r="E158" i="12"/>
  <c r="E159" i="12" s="1"/>
  <c r="E160" i="12" s="1"/>
  <c r="E161" i="12" s="1"/>
  <c r="E162" i="12" s="1"/>
  <c r="E163" i="12" s="1"/>
  <c r="E164" i="12" s="1"/>
  <c r="E165" i="12" s="1"/>
  <c r="E166" i="12" s="1"/>
  <c r="A166" i="12"/>
  <c r="A165" i="12"/>
  <c r="A164" i="12"/>
  <c r="A163" i="12"/>
  <c r="A162" i="12"/>
  <c r="A161" i="12"/>
  <c r="A160" i="12"/>
  <c r="A159" i="12"/>
  <c r="A158" i="12"/>
  <c r="A157" i="12"/>
  <c r="E155" i="12"/>
  <c r="E156" i="12" s="1"/>
  <c r="A156" i="12"/>
  <c r="A155" i="12"/>
  <c r="A154" i="12"/>
  <c r="A28" i="11"/>
  <c r="A27" i="11"/>
  <c r="A26" i="11"/>
  <c r="A25" i="11"/>
  <c r="A2" i="32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2" i="30"/>
  <c r="A2" i="29"/>
  <c r="D26" i="17" a="1"/>
  <c r="H2" i="32" a="1"/>
  <c r="D12" i="31" a="1"/>
  <c r="F2" i="32" a="1"/>
  <c r="D11" i="31" a="1"/>
  <c r="C26" i="17" a="1"/>
  <c r="D2" i="31" a="1"/>
  <c r="D5" i="31" a="1"/>
  <c r="D4" i="31" a="1"/>
  <c r="D3" i="31" a="1"/>
  <c r="D20" i="31" a="1"/>
  <c r="F25" i="17" a="1"/>
  <c r="D10" i="31" a="1"/>
  <c r="D25" i="17" a="1"/>
  <c r="D19" i="31" a="1"/>
  <c r="D17" i="31" a="1"/>
  <c r="F26" i="17" a="1"/>
  <c r="D7" i="31" a="1"/>
  <c r="F27" i="17" a="1"/>
  <c r="D9" i="31" a="1"/>
  <c r="C25" i="17" a="1"/>
  <c r="D18" i="31" a="1"/>
  <c r="D27" i="17" a="1"/>
  <c r="D8" i="31" a="1"/>
  <c r="C27" i="17" a="1"/>
  <c r="D16" i="31" a="1"/>
  <c r="D6" i="31" a="1"/>
  <c r="C2" i="29" a="1"/>
  <c r="D15" i="31" a="1"/>
  <c r="D14" i="31" a="1"/>
  <c r="D13" i="31" a="1"/>
  <c r="C2" i="30" a="1"/>
  <c r="J2" i="30" a="1"/>
  <c r="D2" i="32" a="1"/>
  <c r="F30" i="17" a="1"/>
  <c r="F28" i="17" a="1"/>
  <c r="D30" i="17" a="1"/>
  <c r="C30" i="17" a="1"/>
  <c r="D28" i="17" a="1"/>
  <c r="F29" i="17" a="1"/>
  <c r="D29" i="17" a="1"/>
  <c r="C29" i="17" a="1"/>
  <c r="C28" i="17" a="1"/>
  <c r="C10" i="34" a="1"/>
  <c r="C8" i="34" a="1"/>
  <c r="C4" i="34" a="1"/>
  <c r="C7" i="34" a="1"/>
  <c r="C9" i="34" a="1"/>
  <c r="C2" i="34" a="1"/>
  <c r="C5" i="34" a="1"/>
  <c r="C6" i="34" a="1"/>
  <c r="E2" i="34" a="1"/>
  <c r="C11" i="34" a="1"/>
  <c r="C3" i="34" a="1"/>
  <c r="J181" i="12" a="1"/>
  <c r="I186" i="12" a="1"/>
  <c r="G163" i="12" a="1"/>
  <c r="J177" i="12" a="1"/>
  <c r="G158" i="12" a="1"/>
  <c r="D179" i="12" a="1"/>
  <c r="D177" i="12" a="1"/>
  <c r="I178" i="12" a="1"/>
  <c r="C169" i="12" a="1"/>
  <c r="C158" i="12" a="1"/>
  <c r="C185" i="12" a="1"/>
  <c r="D159" i="12" a="1"/>
  <c r="C170" i="12" a="1"/>
  <c r="D154" i="12" a="1"/>
  <c r="G166" i="12" a="1"/>
  <c r="D168" i="12" a="1"/>
  <c r="C154" i="12" a="1"/>
  <c r="D167" i="12" a="1"/>
  <c r="I181" i="12" a="1"/>
  <c r="C167" i="12" a="1"/>
  <c r="D176" i="12" a="1"/>
  <c r="J185" i="12" a="1"/>
  <c r="G175" i="12" a="1"/>
  <c r="D160" i="12" a="1"/>
  <c r="G167" i="12" a="1"/>
  <c r="G168" i="12" a="1"/>
  <c r="D156" i="12" a="1"/>
  <c r="J183" i="12" a="1"/>
  <c r="J186" i="12" a="1"/>
  <c r="C173" i="12" a="1"/>
  <c r="G157" i="12" a="1"/>
  <c r="G154" i="12" a="1"/>
  <c r="C155" i="12" a="1"/>
  <c r="D158" i="12" a="1"/>
  <c r="G186" i="12" a="1"/>
  <c r="G174" i="12" a="1"/>
  <c r="C179" i="12" a="1"/>
  <c r="I184" i="12" a="1"/>
  <c r="G162" i="12" a="1"/>
  <c r="D164" i="12" a="1"/>
  <c r="I177" i="12" a="1"/>
  <c r="D162" i="12" a="1"/>
  <c r="C160" i="12" a="1"/>
  <c r="G182" i="12" a="1"/>
  <c r="D171" i="12" a="1"/>
  <c r="C181" i="12" a="1"/>
  <c r="I185" i="12" a="1"/>
  <c r="D169" i="12" a="1"/>
  <c r="J179" i="12" a="1"/>
  <c r="C184" i="12" a="1"/>
  <c r="C174" i="12" a="1"/>
  <c r="H185" i="12" a="1"/>
  <c r="C161" i="12" a="1"/>
  <c r="D185" i="12" a="1"/>
  <c r="G159" i="12" a="1"/>
  <c r="C163" i="12" a="1"/>
  <c r="C156" i="12" a="1"/>
  <c r="G164" i="12" a="1"/>
  <c r="D165" i="12" a="1"/>
  <c r="C182" i="12" a="1"/>
  <c r="H178" i="12" a="1"/>
  <c r="I182" i="12" a="1"/>
  <c r="D155" i="12" a="1"/>
  <c r="C178" i="12" a="1"/>
  <c r="D157" i="12" a="1"/>
  <c r="C183" i="12" a="1"/>
  <c r="G173" i="12" a="1"/>
  <c r="I179" i="12" a="1"/>
  <c r="D182" i="12" a="1"/>
  <c r="C176" i="12" a="1"/>
  <c r="D172" i="12" a="1"/>
  <c r="C165" i="12" a="1"/>
  <c r="G185" i="12" a="1"/>
  <c r="D183" i="12" a="1"/>
  <c r="C166" i="12" a="1"/>
  <c r="H180" i="12" a="1"/>
  <c r="H186" i="12" a="1"/>
  <c r="D163" i="12" a="1"/>
  <c r="J178" i="12" a="1"/>
  <c r="H179" i="12" a="1"/>
  <c r="J182" i="12" a="1"/>
  <c r="G172" i="12" a="1"/>
  <c r="C164" i="12" a="1"/>
  <c r="D178" i="12" a="1"/>
  <c r="C159" i="12" a="1"/>
  <c r="G176" i="12" a="1"/>
  <c r="G178" i="12" a="1"/>
  <c r="C180" i="12" a="1"/>
  <c r="J184" i="12" a="1"/>
  <c r="D166" i="12" a="1"/>
  <c r="D184" i="12" a="1"/>
  <c r="C172" i="12" a="1"/>
  <c r="H181" i="12" a="1"/>
  <c r="G183" i="12" a="1"/>
  <c r="C168" i="12" a="1"/>
  <c r="D186" i="12" a="1"/>
  <c r="G180" i="12" a="1"/>
  <c r="I183" i="12" a="1"/>
  <c r="G161" i="12" a="1"/>
  <c r="D175" i="12" a="1"/>
  <c r="G177" i="12" a="1"/>
  <c r="J180" i="12" a="1"/>
  <c r="D161" i="12" a="1"/>
  <c r="G165" i="12" a="1"/>
  <c r="H177" i="12" a="1"/>
  <c r="C162" i="12" a="1"/>
  <c r="G160" i="12" a="1"/>
  <c r="G179" i="12" a="1"/>
  <c r="D174" i="12" a="1"/>
  <c r="H182" i="12" a="1"/>
  <c r="H184" i="12" a="1"/>
  <c r="H183" i="12" a="1"/>
  <c r="G184" i="12" a="1"/>
  <c r="C177" i="12" a="1"/>
  <c r="D173" i="12" a="1"/>
  <c r="C171" i="12" a="1"/>
  <c r="C157" i="12" a="1"/>
  <c r="D170" i="12" a="1"/>
  <c r="C186" i="12" a="1"/>
  <c r="G181" i="12" a="1"/>
  <c r="D181" i="12" a="1"/>
  <c r="I180" i="12" a="1"/>
  <c r="C175" i="12" a="1"/>
  <c r="D180" i="12" a="1"/>
  <c r="C23" i="33" a="1"/>
  <c r="C9" i="33" a="1"/>
  <c r="E11" i="33" a="1"/>
  <c r="E13" i="33" a="1"/>
  <c r="E16" i="33" a="1"/>
  <c r="C19" i="33" a="1"/>
  <c r="C18" i="33" a="1"/>
  <c r="C20" i="33" a="1"/>
  <c r="E25" i="33" a="1"/>
  <c r="C21" i="33" a="1"/>
  <c r="E2" i="33" a="1"/>
  <c r="C22" i="33" a="1"/>
  <c r="E5" i="33" a="1"/>
  <c r="C25" i="33" a="1"/>
  <c r="C13" i="33" a="1"/>
  <c r="C6" i="33" a="1"/>
  <c r="C2" i="33" a="1"/>
  <c r="E20" i="33" a="1"/>
  <c r="E15" i="33" a="1"/>
  <c r="E18" i="33" a="1"/>
  <c r="C14" i="33" a="1"/>
  <c r="C17" i="33" a="1"/>
  <c r="E9" i="33" a="1"/>
  <c r="E12" i="33" a="1"/>
  <c r="C5" i="33" a="1"/>
  <c r="E24" i="33" a="1"/>
  <c r="E23" i="33" a="1"/>
  <c r="C16" i="33" a="1"/>
  <c r="C12" i="33" a="1"/>
  <c r="C15" i="33" a="1"/>
  <c r="C11" i="33" a="1"/>
  <c r="C8" i="33" a="1"/>
  <c r="E8" i="33" a="1"/>
  <c r="E7" i="33" a="1"/>
  <c r="C26" i="33" a="1"/>
  <c r="C7" i="33" a="1"/>
  <c r="C3" i="33" a="1"/>
  <c r="E22" i="33" a="1"/>
  <c r="C27" i="33" a="1"/>
  <c r="E10" i="33" a="1"/>
  <c r="C4" i="33" a="1"/>
  <c r="C24" i="33" a="1"/>
  <c r="E4" i="33" a="1"/>
  <c r="E17" i="33" a="1"/>
  <c r="E14" i="33" a="1"/>
  <c r="E21" i="33" a="1"/>
  <c r="E27" i="33" a="1"/>
  <c r="E19" i="33" a="1"/>
  <c r="E26" i="33" a="1"/>
  <c r="C10" i="33" a="1"/>
  <c r="E3" i="33" a="1"/>
  <c r="E6" i="33" a="1"/>
  <c r="E7" i="34" a="1"/>
  <c r="E26" i="34" a="1"/>
  <c r="E16" i="34" a="1"/>
  <c r="E6" i="34" a="1"/>
  <c r="E11" i="34" a="1"/>
  <c r="E10" i="34" a="1"/>
  <c r="E19" i="34" a="1"/>
  <c r="E8" i="34" a="1"/>
  <c r="E27" i="34" a="1"/>
  <c r="E17" i="34" a="1"/>
  <c r="E25" i="34" a="1"/>
  <c r="E15" i="34" a="1"/>
  <c r="E5" i="34" a="1"/>
  <c r="E24" i="34" a="1"/>
  <c r="E14" i="34" a="1"/>
  <c r="E4" i="34" a="1"/>
  <c r="E23" i="34" a="1"/>
  <c r="E13" i="34" a="1"/>
  <c r="E3" i="34" a="1"/>
  <c r="E22" i="34" a="1"/>
  <c r="E12" i="34" a="1"/>
  <c r="E21" i="34" a="1"/>
  <c r="E20" i="34" a="1"/>
  <c r="E9" i="34" a="1"/>
  <c r="E18" i="34" a="1"/>
  <c r="C27" i="34" a="1"/>
  <c r="C26" i="34" a="1"/>
  <c r="C25" i="34" a="1"/>
  <c r="C24" i="34" a="1"/>
  <c r="C23" i="34" a="1"/>
  <c r="C22" i="34" a="1"/>
  <c r="C21" i="34" a="1"/>
  <c r="C20" i="34" a="1"/>
  <c r="C19" i="34" a="1"/>
  <c r="C18" i="34" a="1"/>
  <c r="C17" i="34" a="1"/>
  <c r="C16" i="34" a="1"/>
  <c r="C15" i="34" a="1"/>
  <c r="C14" i="34" a="1"/>
  <c r="C13" i="34" a="1"/>
  <c r="C12" i="34" a="1"/>
  <c r="E18" i="34" l="1"/>
  <c r="E9" i="34"/>
  <c r="E20" i="34"/>
  <c r="E21" i="34"/>
  <c r="E12" i="34"/>
  <c r="E22" i="34"/>
  <c r="E3" i="34"/>
  <c r="E13" i="34"/>
  <c r="E23" i="34"/>
  <c r="E4" i="34"/>
  <c r="E14" i="34"/>
  <c r="E24" i="34"/>
  <c r="E5" i="34"/>
  <c r="E15" i="34"/>
  <c r="E25" i="34"/>
  <c r="E17" i="34"/>
  <c r="E27" i="34"/>
  <c r="E8" i="34"/>
  <c r="E19" i="34"/>
  <c r="E10" i="34"/>
  <c r="E11" i="34"/>
  <c r="E6" i="34"/>
  <c r="E16" i="34"/>
  <c r="E26" i="34"/>
  <c r="E7" i="34"/>
  <c r="C15" i="34"/>
  <c r="C15" i="33"/>
  <c r="E15" i="33"/>
  <c r="C29" i="17"/>
  <c r="G29" i="17" s="1"/>
  <c r="D29" i="17"/>
  <c r="F29" i="17"/>
  <c r="C30" i="17"/>
  <c r="D30" i="17"/>
  <c r="F30" i="17"/>
  <c r="D177" i="12"/>
  <c r="D178" i="12"/>
  <c r="D169" i="12"/>
  <c r="D170" i="12"/>
  <c r="D171" i="12"/>
  <c r="D162" i="12"/>
  <c r="D172" i="12"/>
  <c r="D182" i="12"/>
  <c r="D157" i="12"/>
  <c r="D158" i="12"/>
  <c r="D161" i="12"/>
  <c r="D165" i="12"/>
  <c r="D175" i="12"/>
  <c r="D185" i="12"/>
  <c r="D160" i="12"/>
  <c r="D176" i="12"/>
  <c r="D186" i="12"/>
  <c r="D167" i="12"/>
  <c r="D168" i="12"/>
  <c r="D159" i="12"/>
  <c r="D179" i="12"/>
  <c r="D180" i="12"/>
  <c r="D181" i="12"/>
  <c r="D163" i="12"/>
  <c r="D173" i="12"/>
  <c r="D183" i="12"/>
  <c r="D164" i="12"/>
  <c r="D174" i="12"/>
  <c r="D184" i="12"/>
  <c r="D166" i="12"/>
  <c r="C27" i="34"/>
  <c r="C26" i="33"/>
  <c r="E26" i="33"/>
  <c r="C26" i="34"/>
  <c r="C13" i="33"/>
  <c r="E13" i="33"/>
  <c r="C2" i="34"/>
  <c r="C7" i="34"/>
  <c r="C17" i="34"/>
  <c r="C8" i="34"/>
  <c r="C18" i="34"/>
  <c r="C9" i="34"/>
  <c r="C19" i="34"/>
  <c r="C10" i="34"/>
  <c r="C20" i="34"/>
  <c r="C11" i="34"/>
  <c r="C21" i="34"/>
  <c r="C22" i="34"/>
  <c r="C3" i="34"/>
  <c r="C12" i="34"/>
  <c r="C23" i="34"/>
  <c r="C4" i="34"/>
  <c r="C13" i="34"/>
  <c r="C24" i="34"/>
  <c r="C5" i="34"/>
  <c r="C14" i="34"/>
  <c r="C25" i="34"/>
  <c r="C6" i="34"/>
  <c r="C16" i="34"/>
  <c r="E27" i="33"/>
  <c r="C24" i="33"/>
  <c r="E24" i="33"/>
  <c r="C27" i="33"/>
  <c r="C25" i="33"/>
  <c r="E25" i="33"/>
  <c r="E4" i="33"/>
  <c r="C19" i="33"/>
  <c r="C11" i="33"/>
  <c r="C5" i="33"/>
  <c r="E11" i="33"/>
  <c r="C23" i="33"/>
  <c r="C2" i="33"/>
  <c r="E5" i="33"/>
  <c r="C20" i="33"/>
  <c r="E23" i="33"/>
  <c r="E20" i="33"/>
  <c r="C8" i="33"/>
  <c r="C3" i="33"/>
  <c r="E8" i="33"/>
  <c r="C21" i="33"/>
  <c r="E3" i="33"/>
  <c r="C18" i="33"/>
  <c r="E21" i="33"/>
  <c r="C9" i="33"/>
  <c r="E18" i="33"/>
  <c r="C4" i="33"/>
  <c r="E9" i="33"/>
  <c r="C22" i="33"/>
  <c r="E22" i="33"/>
  <c r="E19" i="33"/>
  <c r="E2" i="33"/>
  <c r="E2" i="34"/>
  <c r="G186" i="12"/>
  <c r="H186" i="12"/>
  <c r="C186" i="12"/>
  <c r="I186" i="12"/>
  <c r="J186" i="12"/>
  <c r="G185" i="12"/>
  <c r="H185" i="12"/>
  <c r="I185" i="12"/>
  <c r="G184" i="12"/>
  <c r="H184" i="12"/>
  <c r="C183" i="12"/>
  <c r="I184" i="12"/>
  <c r="G183" i="12"/>
  <c r="J184" i="12"/>
  <c r="H183" i="12"/>
  <c r="I183" i="12"/>
  <c r="C185" i="12"/>
  <c r="J183" i="12"/>
  <c r="C184" i="12"/>
  <c r="J185" i="12"/>
  <c r="C12" i="33"/>
  <c r="E17" i="33"/>
  <c r="C7" i="33"/>
  <c r="E12" i="33"/>
  <c r="E7" i="33"/>
  <c r="C14" i="33"/>
  <c r="C10" i="33"/>
  <c r="E14" i="33"/>
  <c r="E10" i="33"/>
  <c r="C16" i="33"/>
  <c r="E16" i="33"/>
  <c r="C6" i="33"/>
  <c r="E6" i="33"/>
  <c r="C17" i="33"/>
  <c r="C178" i="12"/>
  <c r="I179" i="12"/>
  <c r="H182" i="12"/>
  <c r="C181" i="12"/>
  <c r="G178" i="12"/>
  <c r="J179" i="12"/>
  <c r="I182" i="12"/>
  <c r="H178" i="12"/>
  <c r="G181" i="12"/>
  <c r="J182" i="12"/>
  <c r="I178" i="12"/>
  <c r="H181" i="12"/>
  <c r="C180" i="12"/>
  <c r="J178" i="12"/>
  <c r="I181" i="12"/>
  <c r="G180" i="12"/>
  <c r="J181" i="12"/>
  <c r="H180" i="12"/>
  <c r="C179" i="12"/>
  <c r="I180" i="12"/>
  <c r="C182" i="12"/>
  <c r="G179" i="12"/>
  <c r="J180" i="12"/>
  <c r="H179" i="12"/>
  <c r="G182" i="12"/>
  <c r="G177" i="12"/>
  <c r="C177" i="12"/>
  <c r="J177" i="12"/>
  <c r="H177" i="12"/>
  <c r="I177" i="12"/>
  <c r="G162" i="12"/>
  <c r="G173" i="12"/>
  <c r="C173" i="12"/>
  <c r="F26" i="17"/>
  <c r="C27" i="17"/>
  <c r="D27" i="17"/>
  <c r="C25" i="17"/>
  <c r="F27" i="17"/>
  <c r="D25" i="17"/>
  <c r="F25" i="17"/>
  <c r="C28" i="17"/>
  <c r="D28" i="17"/>
  <c r="C26" i="17"/>
  <c r="F28" i="17"/>
  <c r="D26" i="17"/>
  <c r="G176" i="12"/>
  <c r="G174" i="12"/>
  <c r="G172" i="12"/>
  <c r="G175" i="12"/>
  <c r="C172" i="12"/>
  <c r="C174" i="12"/>
  <c r="C175" i="12"/>
  <c r="C176" i="12"/>
  <c r="G167" i="12"/>
  <c r="G168" i="12"/>
  <c r="C168" i="12"/>
  <c r="C169" i="12"/>
  <c r="C170" i="12"/>
  <c r="C171" i="12"/>
  <c r="C167" i="12"/>
  <c r="G163" i="12"/>
  <c r="G164" i="12"/>
  <c r="G165" i="12"/>
  <c r="G166" i="12"/>
  <c r="G157" i="12"/>
  <c r="G158" i="12"/>
  <c r="G159" i="12"/>
  <c r="G160" i="12"/>
  <c r="G161" i="12"/>
  <c r="C159" i="12"/>
  <c r="C161" i="12"/>
  <c r="C162" i="12"/>
  <c r="C164" i="12"/>
  <c r="C165" i="12"/>
  <c r="C166" i="12"/>
  <c r="C157" i="12"/>
  <c r="C158" i="12"/>
  <c r="C160" i="12"/>
  <c r="C163" i="12"/>
  <c r="G154" i="12"/>
  <c r="D154" i="12"/>
  <c r="D155" i="12"/>
  <c r="D156" i="12"/>
  <c r="C154" i="12"/>
  <c r="C155" i="12"/>
  <c r="C156" i="12"/>
  <c r="H2" i="32"/>
  <c r="F2" i="32"/>
  <c r="D2" i="32"/>
  <c r="D11" i="31"/>
  <c r="D12" i="31"/>
  <c r="D3" i="31"/>
  <c r="D13" i="31"/>
  <c r="D4" i="31"/>
  <c r="D14" i="31"/>
  <c r="D5" i="31"/>
  <c r="D15" i="31"/>
  <c r="D6" i="31"/>
  <c r="D16" i="31"/>
  <c r="D7" i="31"/>
  <c r="D17" i="31"/>
  <c r="D8" i="31"/>
  <c r="D18" i="31"/>
  <c r="D9" i="31"/>
  <c r="D19" i="31"/>
  <c r="D10" i="31"/>
  <c r="D20" i="31"/>
  <c r="D2" i="31"/>
  <c r="J2" i="30"/>
  <c r="C2" i="30"/>
  <c r="C2" i="29"/>
  <c r="F15" i="33" l="1"/>
  <c r="G30" i="17"/>
  <c r="F26" i="33"/>
  <c r="F13" i="33"/>
  <c r="F18" i="33"/>
  <c r="F23" i="33"/>
  <c r="F12" i="33"/>
  <c r="F25" i="33"/>
  <c r="F24" i="33"/>
  <c r="F27" i="33"/>
  <c r="F20" i="33"/>
  <c r="F4" i="33"/>
  <c r="F3" i="33"/>
  <c r="F8" i="33"/>
  <c r="F2" i="33"/>
  <c r="F19" i="33"/>
  <c r="F21" i="33"/>
  <c r="F22" i="33"/>
  <c r="F5" i="33"/>
  <c r="F11" i="33"/>
  <c r="F9" i="33"/>
  <c r="F14" i="33"/>
  <c r="F10" i="33"/>
  <c r="F6" i="33"/>
  <c r="F16" i="33"/>
  <c r="F17" i="33"/>
  <c r="F7" i="33"/>
  <c r="G28" i="17"/>
  <c r="G25" i="17"/>
  <c r="G27" i="17"/>
  <c r="G26" i="17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53" i="12"/>
  <c r="A152" i="12"/>
  <c r="A151" i="12"/>
  <c r="E148" i="12"/>
  <c r="E149" i="12" s="1"/>
  <c r="E150" i="12" s="1"/>
  <c r="E151" i="12" s="1"/>
  <c r="E152" i="12" s="1"/>
  <c r="E153" i="12" s="1"/>
  <c r="A150" i="12"/>
  <c r="A149" i="12"/>
  <c r="A148" i="12"/>
  <c r="A147" i="12"/>
  <c r="A24" i="17"/>
  <c r="A24" i="11"/>
  <c r="F9" i="27" a="1"/>
  <c r="E62" i="27" a="1"/>
  <c r="E18" i="27" a="1"/>
  <c r="E52" i="27" a="1"/>
  <c r="F20" i="27" a="1"/>
  <c r="F3" i="27" a="1"/>
  <c r="E36" i="27" a="1"/>
  <c r="F27" i="27" a="1"/>
  <c r="F72" i="27" a="1"/>
  <c r="E25" i="27" a="1"/>
  <c r="F63" i="27" a="1"/>
  <c r="F16" i="27" a="1"/>
  <c r="F59" i="27" a="1"/>
  <c r="E43" i="27" a="1"/>
  <c r="E68" i="27" a="1"/>
  <c r="F54" i="27" a="1"/>
  <c r="E22" i="27" a="1"/>
  <c r="F50" i="27" a="1"/>
  <c r="E17" i="27" a="1"/>
  <c r="F47" i="27" a="1"/>
  <c r="E40" i="27" a="1"/>
  <c r="F24" i="27" a="1"/>
  <c r="F35" i="27" a="1"/>
  <c r="E13" i="27" a="1"/>
  <c r="F21" i="27" a="1"/>
  <c r="E47" i="27" a="1"/>
  <c r="E56" i="27" a="1"/>
  <c r="F42" i="27" a="1"/>
  <c r="E38" i="27" a="1"/>
  <c r="E54" i="27" a="1"/>
  <c r="F23" i="27" a="1"/>
  <c r="F25" i="27" a="1"/>
  <c r="E8" i="27" a="1"/>
  <c r="E41" i="27" a="1"/>
  <c r="F11" i="27" a="1"/>
  <c r="F38" i="27" a="1"/>
  <c r="E44" i="27" a="1"/>
  <c r="F19" i="27" a="1"/>
  <c r="E2" i="27" a="1"/>
  <c r="F13" i="27" a="1"/>
  <c r="E73" i="27" a="1"/>
  <c r="F69" i="27" a="1"/>
  <c r="F64" i="27" a="1"/>
  <c r="F7" i="27" a="1"/>
  <c r="E61" i="27" a="1"/>
  <c r="E59" i="27" a="1"/>
  <c r="F58" i="27" a="1"/>
  <c r="E27" i="27" a="1"/>
  <c r="E26" i="27" a="1"/>
  <c r="F2" i="27" a="1"/>
  <c r="E16" i="27" a="1"/>
  <c r="F31" i="27" a="1"/>
  <c r="E11" i="27" a="1"/>
  <c r="F22" i="27" a="1"/>
  <c r="E64" i="27" a="1"/>
  <c r="C73" i="27" a="1"/>
  <c r="E6" i="27" a="1"/>
  <c r="F51" i="27" a="1"/>
  <c r="F66" i="27" a="1"/>
  <c r="E24" i="27" a="1"/>
  <c r="E49" i="27" a="1"/>
  <c r="F48" i="27" a="1"/>
  <c r="E50" i="27" a="1"/>
  <c r="F18" i="27" a="1"/>
  <c r="E63" i="27" a="1"/>
  <c r="E45" i="27" a="1"/>
  <c r="E20" i="27" a="1"/>
  <c r="F10" i="27" a="1"/>
  <c r="E23" i="27" a="1"/>
  <c r="F29" i="27" a="1"/>
  <c r="F41" i="27" a="1"/>
  <c r="E14" i="27" a="1"/>
  <c r="E31" i="27" a="1"/>
  <c r="E65" i="27" a="1"/>
  <c r="E42" i="27" a="1"/>
  <c r="E67" i="27" a="1"/>
  <c r="E46" i="27" a="1"/>
  <c r="E28" i="27" a="1"/>
  <c r="F43" i="27" a="1"/>
  <c r="F36" i="27" a="1"/>
  <c r="E21" i="27" a="1"/>
  <c r="F30" i="27" a="1"/>
  <c r="E19" i="27" a="1"/>
  <c r="F4" i="27" a="1"/>
  <c r="E9" i="27" a="1"/>
  <c r="F60" i="27" a="1"/>
  <c r="F52" i="27" a="1"/>
  <c r="F39" i="27" a="1"/>
  <c r="F15" i="27" a="1"/>
  <c r="E12" i="27" a="1"/>
  <c r="F28" i="27" a="1"/>
  <c r="E29" i="27" a="1"/>
  <c r="F73" i="27" a="1"/>
  <c r="F67" i="27" a="1"/>
  <c r="E33" i="27" a="1"/>
  <c r="F33" i="27" a="1"/>
  <c r="F5" i="27" a="1"/>
  <c r="E4" i="27" a="1"/>
  <c r="F12" i="27" a="1"/>
  <c r="E30" i="27" a="1"/>
  <c r="E15" i="27" a="1"/>
  <c r="F53" i="27" a="1"/>
  <c r="F56" i="27" a="1"/>
  <c r="F55" i="27" a="1"/>
  <c r="F32" i="27" a="1"/>
  <c r="F68" i="27" a="1"/>
  <c r="E72" i="27" a="1"/>
  <c r="E60" i="27" a="1"/>
  <c r="F40" i="27" a="1"/>
  <c r="E69" i="27" a="1"/>
  <c r="F62" i="27" a="1"/>
  <c r="E32" i="27" a="1"/>
  <c r="F26" i="27" a="1"/>
  <c r="F44" i="27" a="1"/>
  <c r="F14" i="27" a="1"/>
  <c r="F17" i="27" a="1"/>
  <c r="E7" i="27" a="1"/>
  <c r="F49" i="27" a="1"/>
  <c r="E58" i="27" a="1"/>
  <c r="E37" i="27" a="1"/>
  <c r="F6" i="27" a="1"/>
  <c r="F8" i="27" a="1"/>
  <c r="E39" i="27" a="1"/>
  <c r="E3" i="27" a="1"/>
  <c r="E51" i="27" a="1"/>
  <c r="F37" i="27" a="1"/>
  <c r="E5" i="27" a="1"/>
  <c r="E53" i="27" a="1"/>
  <c r="E35" i="27" a="1"/>
  <c r="E10" i="27" a="1"/>
  <c r="F61" i="27" a="1"/>
  <c r="F57" i="27" a="1"/>
  <c r="F45" i="27" a="1"/>
  <c r="C72" i="27" a="1"/>
  <c r="E66" i="27" a="1"/>
  <c r="F34" i="27" a="1"/>
  <c r="E34" i="27" a="1"/>
  <c r="E48" i="27" a="1"/>
  <c r="E57" i="27" a="1"/>
  <c r="F46" i="27" a="1"/>
  <c r="E55" i="27" a="1"/>
  <c r="F65" i="27" a="1"/>
  <c r="C72" i="27" l="1"/>
  <c r="E72" i="27"/>
  <c r="F72" i="27"/>
  <c r="C73" i="27"/>
  <c r="E73" i="27"/>
  <c r="F73" i="27"/>
  <c r="F26" i="27"/>
  <c r="F27" i="27"/>
  <c r="F36" i="27"/>
  <c r="F37" i="27"/>
  <c r="F46" i="27"/>
  <c r="F6" i="27"/>
  <c r="F47" i="27"/>
  <c r="F7" i="27"/>
  <c r="F56" i="27"/>
  <c r="F16" i="27"/>
  <c r="F57" i="27"/>
  <c r="F17" i="27"/>
  <c r="F66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11" i="27"/>
  <c r="F21" i="27"/>
  <c r="F31" i="27"/>
  <c r="F41" i="27"/>
  <c r="F51" i="27"/>
  <c r="F61" i="27"/>
  <c r="F12" i="27"/>
  <c r="F22" i="27"/>
  <c r="F32" i="27"/>
  <c r="F42" i="27"/>
  <c r="F52" i="27"/>
  <c r="F62" i="27"/>
  <c r="F3" i="27"/>
  <c r="F13" i="27"/>
  <c r="F23" i="27"/>
  <c r="F33" i="27"/>
  <c r="F43" i="27"/>
  <c r="F53" i="27"/>
  <c r="F63" i="27"/>
  <c r="F4" i="27"/>
  <c r="F14" i="27"/>
  <c r="F24" i="27"/>
  <c r="F34" i="27"/>
  <c r="F44" i="27"/>
  <c r="F54" i="27"/>
  <c r="F64" i="27"/>
  <c r="F5" i="27"/>
  <c r="F15" i="27"/>
  <c r="F25" i="27"/>
  <c r="F35" i="27"/>
  <c r="F45" i="27"/>
  <c r="F55" i="27"/>
  <c r="F65" i="27"/>
  <c r="F2" i="27"/>
  <c r="E31" i="27"/>
  <c r="E32" i="27"/>
  <c r="E40" i="27"/>
  <c r="E10" i="27"/>
  <c r="E41" i="27"/>
  <c r="E11" i="27"/>
  <c r="E42" i="27"/>
  <c r="E50" i="27"/>
  <c r="E12" i="27"/>
  <c r="E51" i="27"/>
  <c r="E20" i="27"/>
  <c r="E52" i="27"/>
  <c r="E21" i="27"/>
  <c r="E60" i="27"/>
  <c r="E22" i="27"/>
  <c r="E61" i="27"/>
  <c r="E30" i="27"/>
  <c r="E62" i="27"/>
  <c r="E3" i="27"/>
  <c r="E13" i="27"/>
  <c r="E23" i="27"/>
  <c r="E33" i="27"/>
  <c r="E43" i="27"/>
  <c r="E53" i="27"/>
  <c r="E63" i="27"/>
  <c r="E4" i="27"/>
  <c r="E14" i="27"/>
  <c r="E24" i="27"/>
  <c r="E34" i="27"/>
  <c r="E44" i="27"/>
  <c r="E54" i="27"/>
  <c r="E64" i="27"/>
  <c r="E5" i="27"/>
  <c r="E15" i="27"/>
  <c r="E25" i="27"/>
  <c r="E35" i="27"/>
  <c r="E45" i="27"/>
  <c r="E55" i="27"/>
  <c r="E65" i="27"/>
  <c r="E6" i="27"/>
  <c r="E16" i="27"/>
  <c r="E26" i="27"/>
  <c r="E36" i="27"/>
  <c r="E46" i="27"/>
  <c r="E56" i="27"/>
  <c r="E66" i="27"/>
  <c r="E7" i="27"/>
  <c r="E17" i="27"/>
  <c r="E27" i="27"/>
  <c r="E37" i="27"/>
  <c r="E47" i="27"/>
  <c r="E57" i="27"/>
  <c r="E67" i="27"/>
  <c r="E8" i="27"/>
  <c r="E18" i="27"/>
  <c r="E28" i="27"/>
  <c r="E38" i="27"/>
  <c r="E48" i="27"/>
  <c r="E58" i="27"/>
  <c r="E68" i="27"/>
  <c r="E9" i="27"/>
  <c r="E19" i="27"/>
  <c r="E29" i="27"/>
  <c r="E39" i="27"/>
  <c r="E49" i="27"/>
  <c r="E59" i="27"/>
  <c r="E69" i="27"/>
  <c r="E2" i="27"/>
  <c r="A25" i="4"/>
  <c r="A23" i="17"/>
  <c r="A146" i="12"/>
  <c r="E145" i="12"/>
  <c r="E146" i="12" s="1"/>
  <c r="A145" i="12"/>
  <c r="A144" i="12"/>
  <c r="A23" i="11"/>
  <c r="A22" i="11"/>
  <c r="I13" i="6" a="1"/>
  <c r="G20" i="4" a="1"/>
  <c r="H19" i="4" a="1"/>
  <c r="H11" i="4" a="1"/>
  <c r="G9" i="4" a="1"/>
  <c r="G7" i="4" a="1"/>
  <c r="H18" i="4" a="1"/>
  <c r="H14" i="4" a="1"/>
  <c r="H7" i="4" a="1"/>
  <c r="H15" i="4" a="1"/>
  <c r="G18" i="4" a="1"/>
  <c r="G13" i="4" a="1"/>
  <c r="H12" i="4" a="1"/>
  <c r="H16" i="4" a="1"/>
  <c r="H8" i="4" a="1"/>
  <c r="H13" i="4" a="1"/>
  <c r="G23" i="4" a="1"/>
  <c r="G12" i="4" a="1"/>
  <c r="H10" i="4" a="1"/>
  <c r="H23" i="4" a="1"/>
  <c r="G21" i="4" a="1"/>
  <c r="I2" i="6" a="1"/>
  <c r="H24" i="4" a="1"/>
  <c r="H20" i="4" a="1"/>
  <c r="G24" i="4" a="1"/>
  <c r="G14" i="4" a="1"/>
  <c r="I10" i="6" a="1"/>
  <c r="G22" i="4" a="1"/>
  <c r="G11" i="4" a="1"/>
  <c r="H22" i="4" a="1"/>
  <c r="G10" i="4" a="1"/>
  <c r="H21" i="4" a="1"/>
  <c r="H9" i="4" a="1"/>
  <c r="G19" i="4" a="1"/>
  <c r="G8" i="4" a="1"/>
  <c r="G16" i="4" a="1"/>
  <c r="H25" i="4" a="1"/>
  <c r="G25" i="4" a="1"/>
  <c r="G15" i="4" a="1"/>
  <c r="I10" i="6" l="1"/>
  <c r="I13" i="6"/>
  <c r="I2" i="6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09" i="12" l="1"/>
  <c r="A24" i="4"/>
  <c r="A123" i="12"/>
  <c r="A14" i="6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9" i="17" a="1"/>
  <c r="K2" i="22" a="1"/>
  <c r="C34" i="2" a="1"/>
  <c r="C28" i="2" a="1"/>
  <c r="C13" i="2" a="1"/>
  <c r="C2" i="22" a="1"/>
  <c r="C4" i="2" a="1"/>
  <c r="C3" i="27" a="1"/>
  <c r="C68" i="27" a="1"/>
  <c r="C67" i="27" a="1"/>
  <c r="C32" i="27" a="1"/>
  <c r="G17" i="4" a="1"/>
  <c r="C3" i="4" a="1"/>
  <c r="E7" i="4" a="1"/>
  <c r="D18" i="17" a="1"/>
  <c r="E2" i="10" a="1"/>
  <c r="D19" i="17" a="1"/>
  <c r="C31" i="2" a="1"/>
  <c r="C8" i="6" a="1"/>
  <c r="C5" i="17" a="1"/>
  <c r="C16" i="27" a="1"/>
  <c r="C45" i="27" a="1"/>
  <c r="C60" i="27" a="1"/>
  <c r="C19" i="27" a="1"/>
  <c r="E11" i="4" a="1"/>
  <c r="E4" i="4" a="1"/>
  <c r="C9" i="4" a="1"/>
  <c r="E15" i="4" a="1"/>
  <c r="F10" i="17" a="1"/>
  <c r="C33" i="27" a="1"/>
  <c r="G3" i="4" a="1"/>
  <c r="F4" i="17" a="1"/>
  <c r="C11" i="17" a="1"/>
  <c r="C44" i="27" a="1"/>
  <c r="G6" i="4" a="1"/>
  <c r="C8" i="2" a="1"/>
  <c r="C10" i="17" a="1"/>
  <c r="F17" i="17" a="1"/>
  <c r="E3" i="8" a="1"/>
  <c r="E16" i="4" a="1"/>
  <c r="C16" i="17" a="1"/>
  <c r="F22" i="17" a="1"/>
  <c r="C21" i="27" a="1"/>
  <c r="I3" i="6" a="1"/>
  <c r="C17" i="17" a="1"/>
  <c r="C2" i="6" a="1"/>
  <c r="I5" i="6" a="1"/>
  <c r="C58" i="27" a="1"/>
  <c r="E2" i="4" a="1"/>
  <c r="C3" i="17" a="1"/>
  <c r="E10" i="4" a="1"/>
  <c r="I12" i="6" a="1"/>
  <c r="C36" i="2" a="1"/>
  <c r="C26" i="27" a="1"/>
  <c r="C21" i="4" a="1"/>
  <c r="C12" i="2" a="1"/>
  <c r="D10" i="17" a="1"/>
  <c r="F12" i="17" a="1"/>
  <c r="F2" i="17" a="1"/>
  <c r="F2" i="22" a="1"/>
  <c r="C7" i="6" a="1"/>
  <c r="C10" i="6" a="1"/>
  <c r="C13" i="27" a="1"/>
  <c r="C14" i="27" a="1"/>
  <c r="C11" i="27" a="1"/>
  <c r="C15" i="27" a="1"/>
  <c r="E20" i="4" a="1"/>
  <c r="C13" i="4" a="1"/>
  <c r="F7" i="17" a="1"/>
  <c r="H6" i="4" a="1"/>
  <c r="C38" i="2" a="1"/>
  <c r="D20" i="17" a="1"/>
  <c r="C7" i="4" a="1"/>
  <c r="H4" i="4" a="1"/>
  <c r="F5" i="17" a="1"/>
  <c r="C12" i="27" a="1"/>
  <c r="C7" i="17" a="1"/>
  <c r="I6" i="6" a="1"/>
  <c r="C48" i="27" a="1"/>
  <c r="C12" i="4" a="1"/>
  <c r="F3" i="17" a="1"/>
  <c r="C22" i="17" a="1"/>
  <c r="F2" i="10" a="1"/>
  <c r="C3" i="6" a="1"/>
  <c r="I14" i="6" a="1"/>
  <c r="C51" i="27" a="1"/>
  <c r="C43" i="27" a="1"/>
  <c r="C49" i="27" a="1"/>
  <c r="C56" i="27" a="1"/>
  <c r="E5" i="4" a="1"/>
  <c r="E13" i="4" a="1"/>
  <c r="H2" i="4" a="1"/>
  <c r="C33" i="2" a="1"/>
  <c r="C16" i="2" a="1"/>
  <c r="C12" i="6" a="1"/>
  <c r="C25" i="2" a="1"/>
  <c r="C24" i="27" a="1"/>
  <c r="F15" i="17" a="1"/>
  <c r="C2" i="10" a="1"/>
  <c r="C20" i="27" a="1"/>
  <c r="C29" i="27" a="1"/>
  <c r="C35" i="27" a="1"/>
  <c r="C2" i="4" a="1"/>
  <c r="E17" i="4" a="1"/>
  <c r="C21" i="2" a="1"/>
  <c r="C19" i="2" a="1"/>
  <c r="D15" i="17" a="1"/>
  <c r="C6" i="4" a="1"/>
  <c r="D16" i="17" a="1"/>
  <c r="C15" i="4" a="1"/>
  <c r="C29" i="2" a="1"/>
  <c r="C37" i="2" a="1"/>
  <c r="C30" i="27" a="1"/>
  <c r="I8" i="6" a="1"/>
  <c r="C18" i="4" a="1"/>
  <c r="D4" i="17" a="1"/>
  <c r="D13" i="17" a="1"/>
  <c r="D9" i="17" a="1"/>
  <c r="C9" i="27" a="1"/>
  <c r="C10" i="4" a="1"/>
  <c r="C11" i="4" a="1"/>
  <c r="C14" i="2" a="1"/>
  <c r="C39" i="27" a="1"/>
  <c r="C9" i="2" a="1"/>
  <c r="D12" i="17" a="1"/>
  <c r="I11" i="6" a="1"/>
  <c r="D17" i="17" a="1"/>
  <c r="C6" i="6" a="1"/>
  <c r="C18" i="2" a="1"/>
  <c r="C15" i="17" a="1"/>
  <c r="C11" i="2" a="1"/>
  <c r="C2" i="27" a="1"/>
  <c r="C52" i="27" a="1"/>
  <c r="C65" i="27" a="1"/>
  <c r="C28" i="27" a="1"/>
  <c r="C4" i="4" a="1"/>
  <c r="C17" i="4" a="1"/>
  <c r="C8" i="4" a="1"/>
  <c r="F8" i="17" a="1"/>
  <c r="F19" i="17" a="1"/>
  <c r="C27" i="27" a="1"/>
  <c r="E9" i="4" a="1"/>
  <c r="C16" i="4" a="1"/>
  <c r="C9" i="6" a="1"/>
  <c r="F11" i="17" a="1"/>
  <c r="I4" i="6" a="1"/>
  <c r="C22" i="2" a="1"/>
  <c r="C20" i="4" a="1"/>
  <c r="C3" i="2" a="1"/>
  <c r="C47" i="27" a="1"/>
  <c r="C21" i="17" a="1"/>
  <c r="C10" i="2" a="1"/>
  <c r="C41" i="27" a="1"/>
  <c r="C55" i="27" a="1"/>
  <c r="E24" i="4" a="1"/>
  <c r="C38" i="27" a="1"/>
  <c r="F24" i="17" a="1"/>
  <c r="C62" i="27" a="1"/>
  <c r="C19" i="4" a="1"/>
  <c r="F9" i="17" a="1"/>
  <c r="D24" i="17" a="1"/>
  <c r="C11" i="6" a="1"/>
  <c r="C20" i="17" a="1"/>
  <c r="C5" i="6" a="1"/>
  <c r="C27" i="2" a="1"/>
  <c r="C35" i="2" a="1"/>
  <c r="C4" i="6" a="1"/>
  <c r="C18" i="17" a="1"/>
  <c r="C34" i="27" a="1"/>
  <c r="C64" i="27" a="1"/>
  <c r="C8" i="27" a="1"/>
  <c r="C5" i="4" a="1"/>
  <c r="E3" i="4" a="1"/>
  <c r="G2" i="4" a="1"/>
  <c r="C2" i="2" a="1"/>
  <c r="C42" i="27" a="1"/>
  <c r="G5" i="4" a="1"/>
  <c r="C17" i="2" a="1"/>
  <c r="C4" i="27" a="1"/>
  <c r="D14" i="17" a="1"/>
  <c r="D8" i="17" a="1"/>
  <c r="C23" i="2" a="1"/>
  <c r="F21" i="17" a="1"/>
  <c r="F6" i="17" a="1"/>
  <c r="C25" i="27" a="1"/>
  <c r="D22" i="17" a="1"/>
  <c r="C5" i="27" a="1"/>
  <c r="C32" i="2" a="1"/>
  <c r="F14" i="17" a="1"/>
  <c r="E18" i="4" a="1"/>
  <c r="C13" i="17" a="1"/>
  <c r="D6" i="17" a="1"/>
  <c r="F16" i="17" a="1"/>
  <c r="C18" i="27" a="1"/>
  <c r="E14" i="4" a="1"/>
  <c r="H2" i="9" a="1"/>
  <c r="F23" i="17" a="1"/>
  <c r="C3" i="8" a="1"/>
  <c r="C57" i="27" a="1"/>
  <c r="C53" i="27" a="1"/>
  <c r="C31" i="27" a="1"/>
  <c r="C6" i="17" a="1"/>
  <c r="C17" i="27" a="1"/>
  <c r="H3" i="4" a="1"/>
  <c r="F20" i="17" a="1"/>
  <c r="D7" i="17" a="1"/>
  <c r="C59" i="27" a="1"/>
  <c r="E21" i="4" a="1"/>
  <c r="C23" i="17" a="1"/>
  <c r="C24" i="4" a="1"/>
  <c r="C2" i="17" a="1"/>
  <c r="C10" i="27" a="1"/>
  <c r="E12" i="4" a="1"/>
  <c r="C30" i="2" a="1"/>
  <c r="C26" i="2" a="1"/>
  <c r="C24" i="2" a="1"/>
  <c r="C37" i="27" a="1"/>
  <c r="H17" i="4" a="1"/>
  <c r="D21" i="17" a="1"/>
  <c r="C54" i="27" a="1"/>
  <c r="E8" i="4" a="1"/>
  <c r="D2" i="17" a="1"/>
  <c r="C5" i="2" a="1"/>
  <c r="C36" i="27" a="1"/>
  <c r="E19" i="4" a="1"/>
  <c r="H2" i="22" a="1"/>
  <c r="C46" i="27" a="1"/>
  <c r="C20" i="2" a="1"/>
  <c r="C63" i="27" a="1"/>
  <c r="I7" i="6" a="1"/>
  <c r="C2" i="8" a="1"/>
  <c r="E25" i="4" a="1"/>
  <c r="C4" i="17" a="1"/>
  <c r="C50" i="27" a="1"/>
  <c r="C8" i="17" a="1"/>
  <c r="C9" i="17" a="1"/>
  <c r="C23" i="27" a="1"/>
  <c r="E22" i="4" a="1"/>
  <c r="C24" i="17" a="1"/>
  <c r="D23" i="17" a="1"/>
  <c r="C22" i="27" a="1"/>
  <c r="C14" i="4" a="1"/>
  <c r="C12" i="17" a="1"/>
  <c r="C6" i="27" a="1"/>
  <c r="E23" i="4" a="1"/>
  <c r="C6" i="2" a="1"/>
  <c r="C40" i="27" a="1"/>
  <c r="C23" i="4" a="1"/>
  <c r="F18" i="17" a="1"/>
  <c r="C7" i="27" a="1"/>
  <c r="C22" i="4" a="1"/>
  <c r="C14" i="6" a="1"/>
  <c r="C61" i="27" a="1"/>
  <c r="C15" i="2" a="1"/>
  <c r="D5" i="17" a="1"/>
  <c r="D11" i="17" a="1"/>
  <c r="E2" i="8" a="1"/>
  <c r="C66" i="27" a="1"/>
  <c r="G4" i="4" a="1"/>
  <c r="F13" i="17" a="1"/>
  <c r="C13" i="6" a="1"/>
  <c r="C7" i="2" a="1"/>
  <c r="C69" i="27" a="1"/>
  <c r="E6" i="4" a="1"/>
  <c r="C14" i="17" a="1"/>
  <c r="C25" i="4" a="1"/>
  <c r="D3" i="17" a="1"/>
  <c r="H5" i="4" a="1"/>
  <c r="I9" i="6" a="1"/>
  <c r="C56" i="12" a="1"/>
  <c r="G108" i="12" a="1"/>
  <c r="D88" i="12" a="1"/>
  <c r="D106" i="12" a="1"/>
  <c r="C149" i="12" a="1"/>
  <c r="G41" i="12" a="1"/>
  <c r="D64" i="12" a="1"/>
  <c r="C10" i="12" a="1"/>
  <c r="D90" i="12" a="1"/>
  <c r="C123" i="12" a="1"/>
  <c r="C91" i="12" a="1"/>
  <c r="D111" i="12" a="1"/>
  <c r="C81" i="12" a="1"/>
  <c r="G64" i="12" a="1"/>
  <c r="D48" i="12" a="1"/>
  <c r="G123" i="12" a="1"/>
  <c r="D39" i="12" a="1"/>
  <c r="D146" i="12" a="1"/>
  <c r="C121" i="12" a="1"/>
  <c r="G87" i="12" a="1"/>
  <c r="C73" i="12" a="1"/>
  <c r="D8" i="12" a="1"/>
  <c r="C90" i="12" a="1"/>
  <c r="G19" i="12" a="1"/>
  <c r="C105" i="12" a="1"/>
  <c r="D122" i="12" a="1"/>
  <c r="C71" i="12" a="1"/>
  <c r="C55" i="12" a="1"/>
  <c r="D145" i="12" a="1"/>
  <c r="D54" i="12" a="1"/>
  <c r="G42" i="12" a="1"/>
  <c r="C96" i="12" a="1"/>
  <c r="C114" i="12" a="1"/>
  <c r="G10" i="12" a="1"/>
  <c r="C36" i="12" a="1"/>
  <c r="D9" i="12" a="1"/>
  <c r="D40" i="12" a="1"/>
  <c r="C110" i="12" a="1"/>
  <c r="D79" i="12" a="1"/>
  <c r="D98" i="12" a="1"/>
  <c r="D45" i="12" a="1"/>
  <c r="G99" i="12" a="1"/>
  <c r="G59" i="12" a="1"/>
  <c r="C72" i="12" a="1"/>
  <c r="G23" i="12" a="1"/>
  <c r="G47" i="12" a="1"/>
  <c r="G20" i="12" a="1"/>
  <c r="G146" i="12" a="1"/>
  <c r="G124" i="12" a="1"/>
  <c r="D58" i="12" a="1"/>
  <c r="G110" i="12" a="1"/>
  <c r="G126" i="12" a="1"/>
  <c r="D55" i="12" a="1"/>
  <c r="D30" i="12" a="1"/>
  <c r="G113" i="12" a="1"/>
  <c r="G28" i="12" a="1"/>
  <c r="C120" i="12" a="1"/>
  <c r="G73" i="12" a="1"/>
  <c r="G129" i="12" a="1"/>
  <c r="C58" i="12" a="1"/>
  <c r="D12" i="12" a="1"/>
  <c r="G138" i="12" a="1"/>
  <c r="C127" i="12" a="1"/>
  <c r="C60" i="12" a="1"/>
  <c r="C24" i="12" a="1"/>
  <c r="G88" i="12" a="1"/>
  <c r="D109" i="12" a="1"/>
  <c r="G117" i="12" a="1"/>
  <c r="G143" i="12" a="1"/>
  <c r="C30" i="12" a="1"/>
  <c r="C129" i="12" a="1"/>
  <c r="G27" i="12" a="1"/>
  <c r="D16" i="12" a="1"/>
  <c r="C132" i="12" a="1"/>
  <c r="C50" i="12" a="1"/>
  <c r="G34" i="12" a="1"/>
  <c r="C62" i="12" a="1"/>
  <c r="D117" i="12" a="1"/>
  <c r="C152" i="12" a="1"/>
  <c r="D103" i="12" a="1"/>
  <c r="D144" i="12" a="1"/>
  <c r="C143" i="12" a="1"/>
  <c r="C67" i="12" a="1"/>
  <c r="C52" i="12" a="1"/>
  <c r="D69" i="12" a="1"/>
  <c r="D137" i="12" a="1"/>
  <c r="D11" i="12" a="1"/>
  <c r="G14" i="12" a="1"/>
  <c r="C144" i="12" a="1"/>
  <c r="D101" i="12" a="1"/>
  <c r="G69" i="12" a="1"/>
  <c r="G153" i="12" a="1"/>
  <c r="G18" i="12" a="1"/>
  <c r="C119" i="12" a="1"/>
  <c r="D139" i="12" a="1"/>
  <c r="D52" i="12" a="1"/>
  <c r="D129" i="12" a="1"/>
  <c r="C139" i="12" a="1"/>
  <c r="D97" i="12" a="1"/>
  <c r="C131" i="12" a="1"/>
  <c r="D50" i="12" a="1"/>
  <c r="C95" i="12" a="1"/>
  <c r="C107" i="12" a="1"/>
  <c r="D65" i="12" a="1"/>
  <c r="C117" i="12" a="1"/>
  <c r="G100" i="12" a="1"/>
  <c r="C35" i="12" a="1"/>
  <c r="G97" i="12" a="1"/>
  <c r="C100" i="12" a="1"/>
  <c r="D124" i="12" a="1"/>
  <c r="G127" i="12" a="1"/>
  <c r="G55" i="12" a="1"/>
  <c r="C59" i="12" a="1"/>
  <c r="D133" i="12" a="1"/>
  <c r="G134" i="12" a="1"/>
  <c r="G43" i="12" a="1"/>
  <c r="D83" i="12" a="1"/>
  <c r="C103" i="12" a="1"/>
  <c r="D134" i="12" a="1"/>
  <c r="C4" i="12" a="1"/>
  <c r="G92" i="12" a="1"/>
  <c r="C148" i="12" a="1"/>
  <c r="G79" i="12" a="1"/>
  <c r="C21" i="12" a="1"/>
  <c r="C75" i="12" a="1"/>
  <c r="G83" i="12" a="1"/>
  <c r="G24" i="12" a="1"/>
  <c r="G122" i="12" a="1"/>
  <c r="G111" i="12" a="1"/>
  <c r="D94" i="12" a="1"/>
  <c r="D105" i="12" a="1"/>
  <c r="G52" i="12" a="1"/>
  <c r="C93" i="12" a="1"/>
  <c r="D99" i="12" a="1"/>
  <c r="C15" i="12" a="1"/>
  <c r="D123" i="12" a="1"/>
  <c r="D77" i="12" a="1"/>
  <c r="D20" i="12" a="1"/>
  <c r="C151" i="12" a="1"/>
  <c r="D2" i="12" a="1"/>
  <c r="C5" i="12" a="1"/>
  <c r="G90" i="12" a="1"/>
  <c r="G11" i="12" a="1"/>
  <c r="C125" i="12" a="1"/>
  <c r="C61" i="12" a="1"/>
  <c r="D132" i="12" a="1"/>
  <c r="C45" i="12" a="1"/>
  <c r="C92" i="12" a="1"/>
  <c r="C135" i="12" a="1"/>
  <c r="G58" i="12" a="1"/>
  <c r="D72" i="12" a="1"/>
  <c r="G4" i="12" a="1"/>
  <c r="C128" i="12" a="1"/>
  <c r="G98" i="12" a="1"/>
  <c r="C116" i="12" a="1"/>
  <c r="C22" i="12" a="1"/>
  <c r="C8" i="12" a="1"/>
  <c r="C126" i="12" a="1"/>
  <c r="G149" i="12" a="1"/>
  <c r="D57" i="12" a="1"/>
  <c r="C34" i="12" a="1"/>
  <c r="D92" i="12" a="1"/>
  <c r="G91" i="12" a="1"/>
  <c r="G21" i="12" a="1"/>
  <c r="C27" i="12" a="1"/>
  <c r="D153" i="12" a="1"/>
  <c r="D6" i="12" a="1"/>
  <c r="G106" i="12" a="1"/>
  <c r="C54" i="12" a="1"/>
  <c r="C7" i="12" a="1"/>
  <c r="G26" i="12" a="1"/>
  <c r="G15" i="12" a="1"/>
  <c r="D136" i="12" a="1"/>
  <c r="D41" i="12" a="1"/>
  <c r="C115" i="12" a="1"/>
  <c r="C31" i="12" a="1"/>
  <c r="G74" i="12" a="1"/>
  <c r="G78" i="12" a="1"/>
  <c r="C25" i="12" a="1"/>
  <c r="D38" i="12" a="1"/>
  <c r="D119" i="12" a="1"/>
  <c r="G13" i="12" a="1"/>
  <c r="D59" i="12" a="1"/>
  <c r="D141" i="12" a="1"/>
  <c r="G70" i="12" a="1"/>
  <c r="C41" i="12" a="1"/>
  <c r="D44" i="12" a="1"/>
  <c r="C137" i="12" a="1"/>
  <c r="G120" i="12" a="1"/>
  <c r="G63" i="12" a="1"/>
  <c r="C138" i="12" a="1"/>
  <c r="C26" i="12" a="1"/>
  <c r="D34" i="12" a="1"/>
  <c r="G152" i="12" a="1"/>
  <c r="D78" i="12" a="1"/>
  <c r="C16" i="12" a="1"/>
  <c r="D102" i="12" a="1"/>
  <c r="D27" i="12" a="1"/>
  <c r="D84" i="12" a="1"/>
  <c r="D128" i="12" a="1"/>
  <c r="G81" i="12" a="1"/>
  <c r="D7" i="12" a="1"/>
  <c r="G148" i="12" a="1"/>
  <c r="G5" i="12" a="1"/>
  <c r="D18" i="12" a="1"/>
  <c r="C40" i="12" a="1"/>
  <c r="C66" i="12" a="1"/>
  <c r="C111" i="12" a="1"/>
  <c r="D126" i="12" a="1"/>
  <c r="D24" i="12" a="1"/>
  <c r="G17" i="12" a="1"/>
  <c r="G46" i="12" a="1"/>
  <c r="D85" i="12" a="1"/>
  <c r="C94" i="12" a="1"/>
  <c r="C57" i="12" a="1"/>
  <c r="G142" i="12" a="1"/>
  <c r="G141" i="12" a="1"/>
  <c r="C3" i="12" a="1"/>
  <c r="D29" i="12" a="1"/>
  <c r="D15" i="12" a="1"/>
  <c r="G71" i="12" a="1"/>
  <c r="C39" i="12" a="1"/>
  <c r="C20" i="12" a="1"/>
  <c r="D23" i="12" a="1"/>
  <c r="G125" i="12" a="1"/>
  <c r="G80" i="12" a="1"/>
  <c r="G66" i="12" a="1"/>
  <c r="C28" i="12" a="1"/>
  <c r="C82" i="12" a="1"/>
  <c r="C70" i="12" a="1"/>
  <c r="C29" i="12" a="1"/>
  <c r="D74" i="12" a="1"/>
  <c r="C14" i="12" a="1"/>
  <c r="G145" i="12" a="1"/>
  <c r="D82" i="12" a="1"/>
  <c r="G16" i="12" a="1"/>
  <c r="D152" i="12" a="1"/>
  <c r="D26" i="12" a="1"/>
  <c r="D114" i="12" a="1"/>
  <c r="C12" i="12" a="1"/>
  <c r="G31" i="12" a="1"/>
  <c r="C85" i="12" a="1"/>
  <c r="G82" i="12" a="1"/>
  <c r="D37" i="12" a="1"/>
  <c r="G130" i="12" a="1"/>
  <c r="G9" i="12" a="1"/>
  <c r="D87" i="12" a="1"/>
  <c r="C42" i="12" a="1"/>
  <c r="G135" i="12" a="1"/>
  <c r="G68" i="12" a="1"/>
  <c r="C124" i="12" a="1"/>
  <c r="G75" i="12" a="1"/>
  <c r="D4" i="12" a="1"/>
  <c r="D150" i="12" a="1"/>
  <c r="D13" i="12" a="1"/>
  <c r="C53" i="12" a="1"/>
  <c r="D110" i="12" a="1"/>
  <c r="D76" i="12" a="1"/>
  <c r="C33" i="12" a="1"/>
  <c r="C84" i="12" a="1"/>
  <c r="D3" i="12" a="1"/>
  <c r="G96" i="12" a="1"/>
  <c r="G12" i="12" a="1"/>
  <c r="D95" i="12" a="1"/>
  <c r="G36" i="12" a="1"/>
  <c r="D19" i="12" a="1"/>
  <c r="D121" i="12" a="1"/>
  <c r="D91" i="12" a="1"/>
  <c r="C63" i="12" a="1"/>
  <c r="G136" i="12" a="1"/>
  <c r="G85" i="12" a="1"/>
  <c r="G25" i="12" a="1"/>
  <c r="C147" i="12" a="1"/>
  <c r="G7" i="12" a="1"/>
  <c r="C23" i="12" a="1"/>
  <c r="G147" i="12" a="1"/>
  <c r="G133" i="12" a="1"/>
  <c r="C136" i="12" a="1"/>
  <c r="G104" i="12" a="1"/>
  <c r="G121" i="12" a="1"/>
  <c r="C47" i="12" a="1"/>
  <c r="C83" i="12" a="1"/>
  <c r="D89" i="12" a="1"/>
  <c r="D96" i="12" a="1"/>
  <c r="C140" i="12" a="1"/>
  <c r="G65" i="12" a="1"/>
  <c r="G116" i="12" a="1"/>
  <c r="D140" i="12" a="1"/>
  <c r="C99" i="12" a="1"/>
  <c r="G103" i="12" a="1"/>
  <c r="C38" i="12" a="1"/>
  <c r="C76" i="12" a="1"/>
  <c r="C51" i="12" a="1"/>
  <c r="C113" i="12" a="1"/>
  <c r="D67" i="12" a="1"/>
  <c r="G119" i="12" a="1"/>
  <c r="C64" i="12" a="1"/>
  <c r="G76" i="12" a="1"/>
  <c r="C37" i="12" a="1"/>
  <c r="C86" i="12" a="1"/>
  <c r="G33" i="12" a="1"/>
  <c r="G72" i="12" a="1"/>
  <c r="D68" i="12" a="1"/>
  <c r="G131" i="12" a="1"/>
  <c r="G39" i="12" a="1"/>
  <c r="D147" i="12" a="1"/>
  <c r="C18" i="12" a="1"/>
  <c r="D149" i="12" a="1"/>
  <c r="C153" i="12" a="1"/>
  <c r="C150" i="12" a="1"/>
  <c r="C133" i="12" a="1"/>
  <c r="D100" i="12" a="1"/>
  <c r="D63" i="12" a="1"/>
  <c r="D148" i="12" a="1"/>
  <c r="G101" i="12" a="1"/>
  <c r="G144" i="12" a="1"/>
  <c r="D31" i="12" a="1"/>
  <c r="G95" i="12" a="1"/>
  <c r="D47" i="12" a="1"/>
  <c r="G35" i="12" a="1"/>
  <c r="G151" i="12" a="1"/>
  <c r="C88" i="12" a="1"/>
  <c r="G44" i="12" a="1"/>
  <c r="D127" i="12" a="1"/>
  <c r="D107" i="12" a="1"/>
  <c r="D61" i="12" a="1"/>
  <c r="G109" i="12" a="1"/>
  <c r="D118" i="12" a="1"/>
  <c r="G48" i="12" a="1"/>
  <c r="D32" i="12" a="1"/>
  <c r="D36" i="12" a="1"/>
  <c r="C44" i="12" a="1"/>
  <c r="C48" i="12" a="1"/>
  <c r="D104" i="12" a="1"/>
  <c r="C134" i="12" a="1"/>
  <c r="G150" i="12" a="1"/>
  <c r="C69" i="12" a="1"/>
  <c r="D33" i="12" a="1"/>
  <c r="D112" i="12" a="1"/>
  <c r="C68" i="12" a="1"/>
  <c r="C102" i="12" a="1"/>
  <c r="G93" i="12" a="1"/>
  <c r="C118" i="12" a="1"/>
  <c r="C97" i="12" a="1"/>
  <c r="D46" i="12" a="1"/>
  <c r="C112" i="12" a="1"/>
  <c r="G132" i="12" a="1"/>
  <c r="C106" i="12" a="1"/>
  <c r="D17" i="12" a="1"/>
  <c r="D142" i="12" a="1"/>
  <c r="D28" i="12" a="1"/>
  <c r="C43" i="12" a="1"/>
  <c r="G84" i="12" a="1"/>
  <c r="D42" i="12" a="1"/>
  <c r="D60" i="12" a="1"/>
  <c r="D22" i="12" a="1"/>
  <c r="D75" i="12" a="1"/>
  <c r="C80" i="12" a="1"/>
  <c r="G105" i="12" a="1"/>
  <c r="D125" i="12" a="1"/>
  <c r="D5" i="12" a="1"/>
  <c r="G60" i="12" a="1"/>
  <c r="D80" i="12" a="1"/>
  <c r="D53" i="12" a="1"/>
  <c r="D120" i="12" a="1"/>
  <c r="G61" i="12" a="1"/>
  <c r="C89" i="12" a="1"/>
  <c r="C122" i="12" a="1"/>
  <c r="D115" i="12" a="1"/>
  <c r="G6" i="12" a="1"/>
  <c r="G32" i="12" a="1"/>
  <c r="G2" i="12" a="1"/>
  <c r="D56" i="12" a="1"/>
  <c r="G86" i="12" a="1"/>
  <c r="G22" i="12" a="1"/>
  <c r="G102" i="12" a="1"/>
  <c r="G8" i="12" a="1"/>
  <c r="G56" i="12" a="1"/>
  <c r="C79" i="12" a="1"/>
  <c r="G118" i="12" a="1"/>
  <c r="D93" i="12" a="1"/>
  <c r="G29" i="12" a="1"/>
  <c r="D66" i="12" a="1"/>
  <c r="G57" i="12" a="1"/>
  <c r="C6" i="12" a="1"/>
  <c r="D25" i="12" a="1"/>
  <c r="D43" i="12" a="1"/>
  <c r="C104" i="12" a="1"/>
  <c r="G40" i="12" a="1"/>
  <c r="G45" i="12" a="1"/>
  <c r="G54" i="12" a="1"/>
  <c r="D21" i="12" a="1"/>
  <c r="D131" i="12" a="1"/>
  <c r="G51" i="12" a="1"/>
  <c r="C87" i="12" a="1"/>
  <c r="D108" i="12" a="1"/>
  <c r="G53" i="12" a="1"/>
  <c r="G50" i="12" a="1"/>
  <c r="G3" i="12" a="1"/>
  <c r="D73" i="12" a="1"/>
  <c r="G107" i="12" a="1"/>
  <c r="G115" i="12" a="1"/>
  <c r="C32" i="12" a="1"/>
  <c r="C130" i="12" a="1"/>
  <c r="G128" i="12" a="1"/>
  <c r="C49" i="12" a="1"/>
  <c r="G94" i="12" a="1"/>
  <c r="D71" i="12" a="1"/>
  <c r="D49" i="12" a="1"/>
  <c r="D143" i="12" a="1"/>
  <c r="C11" i="12" a="1"/>
  <c r="D130" i="12" a="1"/>
  <c r="C108" i="12" a="1"/>
  <c r="G140" i="12" a="1"/>
  <c r="G112" i="12" a="1"/>
  <c r="C142" i="12" a="1"/>
  <c r="C141" i="12" a="1"/>
  <c r="C2" i="12" a="1"/>
  <c r="C9" i="12" a="1"/>
  <c r="D14" i="12" a="1"/>
  <c r="G114" i="12" a="1"/>
  <c r="G139" i="12" a="1"/>
  <c r="G37" i="12" a="1"/>
  <c r="C98" i="12" a="1"/>
  <c r="C74" i="12" a="1"/>
  <c r="C17" i="12" a="1"/>
  <c r="D10" i="12" a="1"/>
  <c r="D70" i="12" a="1"/>
  <c r="C109" i="12" a="1"/>
  <c r="G137" i="12" a="1"/>
  <c r="D116" i="12" a="1"/>
  <c r="G89" i="12" a="1"/>
  <c r="D81" i="12" a="1"/>
  <c r="C146" i="12" a="1"/>
  <c r="D138" i="12" a="1"/>
  <c r="G77" i="12" a="1"/>
  <c r="G38" i="12" a="1"/>
  <c r="D51" i="12" a="1"/>
  <c r="C13" i="12" a="1"/>
  <c r="D35" i="12" a="1"/>
  <c r="C78" i="12" a="1"/>
  <c r="D113" i="12" a="1"/>
  <c r="D86" i="12" a="1"/>
  <c r="C101" i="12" a="1"/>
  <c r="C65" i="12" a="1"/>
  <c r="G49" i="12" a="1"/>
  <c r="D151" i="12" a="1"/>
  <c r="D135" i="12" a="1"/>
  <c r="C19" i="12" a="1"/>
  <c r="C145" i="12" a="1"/>
  <c r="G62" i="12" a="1"/>
  <c r="C46" i="12" a="1"/>
  <c r="G67" i="12" a="1"/>
  <c r="C77" i="12" a="1"/>
  <c r="D62" i="12" a="1"/>
  <c r="G30" i="12" a="1"/>
  <c r="E6" i="11" a="1"/>
  <c r="E14" i="11" a="1"/>
  <c r="E5" i="11" a="1"/>
  <c r="E4" i="11" a="1"/>
  <c r="E19" i="11" a="1"/>
  <c r="E7" i="11" a="1"/>
  <c r="E20" i="11" a="1"/>
  <c r="E2" i="11" a="1"/>
  <c r="E17" i="11" a="1"/>
  <c r="E3" i="11" a="1"/>
  <c r="E11" i="11" a="1"/>
  <c r="E8" i="11" a="1"/>
  <c r="E16" i="11" a="1"/>
  <c r="E22" i="11" a="1"/>
  <c r="E12" i="11" a="1"/>
  <c r="E13" i="11" a="1"/>
  <c r="E27" i="11" a="1"/>
  <c r="E25" i="11" a="1"/>
  <c r="E26" i="11" a="1"/>
  <c r="E28" i="11" a="1"/>
  <c r="E29" i="11" a="1"/>
  <c r="E30" i="11" a="1"/>
  <c r="E18" i="11" a="1"/>
  <c r="E15" i="11" a="1"/>
  <c r="E10" i="11" a="1"/>
  <c r="E24" i="11" a="1"/>
  <c r="E23" i="11" a="1"/>
  <c r="E9" i="11" a="1"/>
  <c r="E21" i="11" a="1"/>
  <c r="E30" i="11" l="1"/>
  <c r="E29" i="11"/>
  <c r="E28" i="11"/>
  <c r="E26" i="11"/>
  <c r="E25" i="11"/>
  <c r="E27" i="11"/>
  <c r="C55" i="27"/>
  <c r="C52" i="27"/>
  <c r="C45" i="27"/>
  <c r="C40" i="27"/>
  <c r="C22" i="27"/>
  <c r="C25" i="27"/>
  <c r="C20" i="27"/>
  <c r="C51" i="27"/>
  <c r="C10" i="27"/>
  <c r="C59" i="27"/>
  <c r="C8" i="27"/>
  <c r="C49" i="27"/>
  <c r="C44" i="27"/>
  <c r="C29" i="27"/>
  <c r="C67" i="27"/>
  <c r="C64" i="27"/>
  <c r="C19" i="27"/>
  <c r="C57" i="27"/>
  <c r="C63" i="27"/>
  <c r="C9" i="27"/>
  <c r="C47" i="27"/>
  <c r="C43" i="27"/>
  <c r="C68" i="27"/>
  <c r="C37" i="27"/>
  <c r="C23" i="27"/>
  <c r="C58" i="27"/>
  <c r="C27" i="27"/>
  <c r="C13" i="27"/>
  <c r="C48" i="27"/>
  <c r="C17" i="27"/>
  <c r="C62" i="27"/>
  <c r="C38" i="27"/>
  <c r="C66" i="27"/>
  <c r="C42" i="27"/>
  <c r="C28" i="27"/>
  <c r="C56" i="27"/>
  <c r="C32" i="27"/>
  <c r="C18" i="27"/>
  <c r="C46" i="27"/>
  <c r="C12" i="27"/>
  <c r="C35" i="27"/>
  <c r="C36" i="27"/>
  <c r="C61" i="27"/>
  <c r="C54" i="27"/>
  <c r="C26" i="27"/>
  <c r="C41" i="27"/>
  <c r="C34" i="27"/>
  <c r="C16" i="27"/>
  <c r="C21" i="27"/>
  <c r="C53" i="27"/>
  <c r="C65" i="27"/>
  <c r="C11" i="27"/>
  <c r="C33" i="27"/>
  <c r="C60" i="27"/>
  <c r="C69" i="27"/>
  <c r="C15" i="27"/>
  <c r="C31" i="27"/>
  <c r="C50" i="27"/>
  <c r="C39" i="27"/>
  <c r="C30" i="27"/>
  <c r="C24" i="27"/>
  <c r="C14" i="27"/>
  <c r="C7" i="27"/>
  <c r="C6" i="27"/>
  <c r="C5" i="27"/>
  <c r="C4" i="27"/>
  <c r="C2" i="27"/>
  <c r="C3" i="27"/>
  <c r="G147" i="12"/>
  <c r="G150" i="12"/>
  <c r="G153" i="12"/>
  <c r="G148" i="12"/>
  <c r="G149" i="12"/>
  <c r="G152" i="12"/>
  <c r="G151" i="12"/>
  <c r="D149" i="12"/>
  <c r="C152" i="12"/>
  <c r="F24" i="17"/>
  <c r="D147" i="12"/>
  <c r="C151" i="12"/>
  <c r="D153" i="12"/>
  <c r="C147" i="12"/>
  <c r="C153" i="12"/>
  <c r="D148" i="12"/>
  <c r="E24" i="11"/>
  <c r="C149" i="12"/>
  <c r="C148" i="12"/>
  <c r="D150" i="12"/>
  <c r="D152" i="12"/>
  <c r="D151" i="12"/>
  <c r="C150" i="12"/>
  <c r="C2" i="2"/>
  <c r="C3" i="2"/>
  <c r="D24" i="17"/>
  <c r="C24" i="17"/>
  <c r="C25" i="4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D146" i="12"/>
  <c r="D136" i="12"/>
  <c r="D126" i="12"/>
  <c r="D116" i="12"/>
  <c r="D106" i="12"/>
  <c r="D96" i="12"/>
  <c r="D87" i="12"/>
  <c r="D78" i="12"/>
  <c r="D68" i="12"/>
  <c r="D58" i="12"/>
  <c r="D48" i="12"/>
  <c r="D38" i="12"/>
  <c r="D28" i="12"/>
  <c r="D18" i="12"/>
  <c r="D8" i="12"/>
  <c r="D135" i="12"/>
  <c r="D125" i="12"/>
  <c r="D115" i="12"/>
  <c r="D105" i="12"/>
  <c r="D95" i="12"/>
  <c r="D86" i="12"/>
  <c r="D77" i="12"/>
  <c r="D67" i="12"/>
  <c r="D57" i="12"/>
  <c r="D47" i="12"/>
  <c r="D37" i="12"/>
  <c r="D27" i="12"/>
  <c r="D17" i="12"/>
  <c r="D7" i="12"/>
  <c r="D134" i="12"/>
  <c r="D124" i="12"/>
  <c r="D114" i="12"/>
  <c r="D104" i="12"/>
  <c r="D94" i="12"/>
  <c r="D85" i="12"/>
  <c r="D76" i="12"/>
  <c r="D66" i="12"/>
  <c r="D46" i="12"/>
  <c r="D36" i="12"/>
  <c r="D26" i="12"/>
  <c r="D16" i="12"/>
  <c r="D6" i="12"/>
  <c r="D143" i="12"/>
  <c r="D133" i="12"/>
  <c r="D123" i="12"/>
  <c r="D113" i="12"/>
  <c r="D103" i="12"/>
  <c r="D84" i="12"/>
  <c r="D75" i="12"/>
  <c r="D65" i="12"/>
  <c r="D55" i="12"/>
  <c r="D45" i="12"/>
  <c r="D35" i="12"/>
  <c r="D15" i="12"/>
  <c r="D5" i="12"/>
  <c r="D142" i="12"/>
  <c r="D122" i="12"/>
  <c r="D112" i="12"/>
  <c r="D102" i="12"/>
  <c r="D64" i="12"/>
  <c r="D44" i="12"/>
  <c r="D34" i="12"/>
  <c r="D24" i="12"/>
  <c r="D145" i="12"/>
  <c r="D25" i="12"/>
  <c r="D74" i="12"/>
  <c r="D144" i="12"/>
  <c r="D56" i="12"/>
  <c r="D93" i="12"/>
  <c r="D54" i="12"/>
  <c r="D141" i="12"/>
  <c r="D131" i="12"/>
  <c r="D121" i="12"/>
  <c r="D111" i="12"/>
  <c r="D101" i="12"/>
  <c r="D92" i="12"/>
  <c r="D83" i="12"/>
  <c r="D73" i="12"/>
  <c r="D63" i="12"/>
  <c r="D53" i="12"/>
  <c r="D43" i="12"/>
  <c r="D33" i="12"/>
  <c r="D23" i="12"/>
  <c r="D13" i="12"/>
  <c r="D3" i="12"/>
  <c r="D140" i="12"/>
  <c r="D89" i="12"/>
  <c r="D31" i="12"/>
  <c r="D4" i="12"/>
  <c r="D117" i="12"/>
  <c r="D60" i="12"/>
  <c r="D139" i="12"/>
  <c r="D110" i="12"/>
  <c r="D88" i="12"/>
  <c r="D30" i="12"/>
  <c r="D82" i="12"/>
  <c r="D59" i="12"/>
  <c r="D138" i="12"/>
  <c r="D109" i="12"/>
  <c r="D52" i="12"/>
  <c r="D29" i="12"/>
  <c r="D81" i="12"/>
  <c r="D22" i="12"/>
  <c r="D137" i="12"/>
  <c r="D108" i="12"/>
  <c r="D51" i="12"/>
  <c r="D21" i="12"/>
  <c r="D130" i="12"/>
  <c r="D50" i="12"/>
  <c r="D100" i="12"/>
  <c r="D72" i="12"/>
  <c r="D42" i="12"/>
  <c r="D128" i="12"/>
  <c r="D41" i="12"/>
  <c r="D127" i="12"/>
  <c r="D11" i="12"/>
  <c r="D107" i="12"/>
  <c r="D19" i="12"/>
  <c r="D71" i="12"/>
  <c r="D70" i="12"/>
  <c r="D40" i="12"/>
  <c r="D10" i="12"/>
  <c r="D61" i="12"/>
  <c r="D80" i="12"/>
  <c r="D20" i="12"/>
  <c r="D49" i="12"/>
  <c r="D99" i="12"/>
  <c r="D14" i="12"/>
  <c r="D12" i="12"/>
  <c r="D91" i="12"/>
  <c r="D79" i="12"/>
  <c r="D62" i="12"/>
  <c r="D9" i="12"/>
  <c r="D132" i="12"/>
  <c r="D97" i="12"/>
  <c r="D39" i="12"/>
  <c r="D32" i="12"/>
  <c r="D129" i="12"/>
  <c r="D98" i="12"/>
  <c r="D120" i="12"/>
  <c r="D69" i="12"/>
  <c r="D119" i="12"/>
  <c r="D118" i="12"/>
  <c r="D90" i="12"/>
  <c r="D2" i="12"/>
  <c r="C146" i="12"/>
  <c r="C136" i="12"/>
  <c r="C126" i="12"/>
  <c r="C116" i="12"/>
  <c r="C106" i="12"/>
  <c r="C96" i="12"/>
  <c r="C87" i="12"/>
  <c r="C78" i="12"/>
  <c r="C68" i="12"/>
  <c r="C58" i="12"/>
  <c r="C48" i="12"/>
  <c r="C38" i="12"/>
  <c r="C18" i="12"/>
  <c r="C8" i="12"/>
  <c r="C145" i="12"/>
  <c r="C135" i="12"/>
  <c r="C125" i="12"/>
  <c r="C115" i="12"/>
  <c r="C105" i="12"/>
  <c r="C95" i="12"/>
  <c r="C86" i="12"/>
  <c r="C77" i="12"/>
  <c r="C67" i="12"/>
  <c r="C57" i="12"/>
  <c r="C47" i="12"/>
  <c r="C37" i="12"/>
  <c r="C27" i="12"/>
  <c r="C17" i="12"/>
  <c r="C7" i="12"/>
  <c r="C134" i="12"/>
  <c r="C124" i="12"/>
  <c r="C114" i="12"/>
  <c r="C104" i="12"/>
  <c r="C94" i="12"/>
  <c r="C85" i="12"/>
  <c r="C76" i="12"/>
  <c r="C66" i="12"/>
  <c r="C56" i="12"/>
  <c r="C46" i="12"/>
  <c r="C36" i="12"/>
  <c r="C26" i="12"/>
  <c r="C16" i="12"/>
  <c r="C6" i="12"/>
  <c r="C143" i="12"/>
  <c r="C113" i="12"/>
  <c r="C103" i="12"/>
  <c r="C93" i="12"/>
  <c r="C84" i="12"/>
  <c r="C75" i="12"/>
  <c r="C65" i="12"/>
  <c r="C55" i="12"/>
  <c r="C45" i="12"/>
  <c r="C35" i="12"/>
  <c r="C25" i="12"/>
  <c r="C15" i="12"/>
  <c r="C5" i="12"/>
  <c r="C28" i="12"/>
  <c r="C133" i="12"/>
  <c r="C144" i="12"/>
  <c r="C123" i="12"/>
  <c r="C141" i="12"/>
  <c r="C131" i="12"/>
  <c r="C142" i="12"/>
  <c r="C69" i="12"/>
  <c r="C50" i="12"/>
  <c r="C31" i="12"/>
  <c r="C12" i="12"/>
  <c r="C120" i="12"/>
  <c r="C100" i="12"/>
  <c r="C83" i="12"/>
  <c r="C140" i="12"/>
  <c r="C64" i="12"/>
  <c r="C49" i="12"/>
  <c r="C30" i="12"/>
  <c r="C11" i="12"/>
  <c r="C119" i="12"/>
  <c r="C99" i="12"/>
  <c r="C82" i="12"/>
  <c r="C63" i="12"/>
  <c r="C139" i="12"/>
  <c r="C44" i="12"/>
  <c r="C29" i="12"/>
  <c r="C10" i="12"/>
  <c r="C118" i="12"/>
  <c r="C98" i="12"/>
  <c r="C81" i="12"/>
  <c r="C62" i="12"/>
  <c r="C43" i="12"/>
  <c r="C138" i="12"/>
  <c r="C24" i="12"/>
  <c r="C9" i="12"/>
  <c r="C117" i="12"/>
  <c r="C97" i="12"/>
  <c r="C80" i="12"/>
  <c r="C61" i="12"/>
  <c r="C42" i="12"/>
  <c r="C23" i="12"/>
  <c r="C137" i="12"/>
  <c r="C112" i="12"/>
  <c r="C4" i="12"/>
  <c r="C132" i="12"/>
  <c r="C111" i="12"/>
  <c r="C79" i="12"/>
  <c r="C60" i="12"/>
  <c r="C41" i="12"/>
  <c r="C22" i="12"/>
  <c r="C3" i="12"/>
  <c r="C92" i="12"/>
  <c r="C130" i="12"/>
  <c r="C74" i="12"/>
  <c r="C59" i="12"/>
  <c r="C40" i="12"/>
  <c r="C21" i="12"/>
  <c r="C91" i="12"/>
  <c r="C73" i="12"/>
  <c r="C129" i="12"/>
  <c r="C54" i="12"/>
  <c r="C20" i="12"/>
  <c r="C90" i="12"/>
  <c r="C53" i="12"/>
  <c r="C108" i="12"/>
  <c r="C34" i="12"/>
  <c r="C89" i="12"/>
  <c r="C122" i="12"/>
  <c r="C51" i="12"/>
  <c r="C121" i="12"/>
  <c r="C33" i="12"/>
  <c r="C70" i="12"/>
  <c r="C110" i="12"/>
  <c r="C39" i="12"/>
  <c r="C72" i="12"/>
  <c r="C128" i="12"/>
  <c r="C71" i="12"/>
  <c r="C107" i="12"/>
  <c r="C14" i="12"/>
  <c r="C88" i="12"/>
  <c r="C32" i="12"/>
  <c r="C101" i="12"/>
  <c r="C109" i="12"/>
  <c r="C19" i="12"/>
  <c r="C52" i="12"/>
  <c r="C127" i="12"/>
  <c r="C102" i="12"/>
  <c r="C13" i="12"/>
  <c r="C2" i="12"/>
  <c r="F23" i="17"/>
  <c r="F13" i="17"/>
  <c r="F3" i="17"/>
  <c r="F22" i="17"/>
  <c r="F12" i="17"/>
  <c r="F11" i="17"/>
  <c r="F10" i="17"/>
  <c r="F19" i="17"/>
  <c r="F9" i="17"/>
  <c r="F18" i="17"/>
  <c r="F8" i="17"/>
  <c r="F17" i="17"/>
  <c r="G17" i="17" s="1"/>
  <c r="F7" i="17"/>
  <c r="F16" i="17"/>
  <c r="G16" i="17" s="1"/>
  <c r="F6" i="17"/>
  <c r="F15" i="17"/>
  <c r="F5" i="17"/>
  <c r="F14" i="17"/>
  <c r="F4" i="17"/>
  <c r="F21" i="17"/>
  <c r="F20" i="17"/>
  <c r="F2" i="17"/>
  <c r="E13" i="11"/>
  <c r="E22" i="11"/>
  <c r="E21" i="11"/>
  <c r="E20" i="11"/>
  <c r="E19" i="11"/>
  <c r="E8" i="11"/>
  <c r="E7" i="11"/>
  <c r="E16" i="11"/>
  <c r="E5" i="11"/>
  <c r="E4" i="11"/>
  <c r="E23" i="11"/>
  <c r="E3" i="11"/>
  <c r="E12" i="11"/>
  <c r="E11" i="11"/>
  <c r="E10" i="11"/>
  <c r="E9" i="11"/>
  <c r="E18" i="11"/>
  <c r="E17" i="11"/>
  <c r="E6" i="11"/>
  <c r="E15" i="11"/>
  <c r="E14" i="11"/>
  <c r="E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G23" i="17" s="1"/>
  <c r="C13" i="17"/>
  <c r="C3" i="17"/>
  <c r="C22" i="17"/>
  <c r="C12" i="17"/>
  <c r="C21" i="17"/>
  <c r="C11" i="17"/>
  <c r="C5" i="17"/>
  <c r="C14" i="17"/>
  <c r="C20" i="17"/>
  <c r="G20" i="17" s="1"/>
  <c r="C10" i="17"/>
  <c r="C19" i="17"/>
  <c r="C9" i="17"/>
  <c r="C18" i="17"/>
  <c r="C8" i="17"/>
  <c r="C17" i="17"/>
  <c r="C7" i="17"/>
  <c r="C16" i="17"/>
  <c r="C6" i="17"/>
  <c r="C15" i="17"/>
  <c r="C4" i="17"/>
  <c r="C2" i="17"/>
  <c r="F2" i="10"/>
  <c r="E2" i="10"/>
  <c r="G146" i="12"/>
  <c r="G136" i="12"/>
  <c r="G145" i="12"/>
  <c r="G135" i="12"/>
  <c r="G125" i="12"/>
  <c r="G115" i="12"/>
  <c r="G105" i="12"/>
  <c r="G95" i="12"/>
  <c r="G86" i="12"/>
  <c r="G77" i="12"/>
  <c r="G67" i="12"/>
  <c r="G57" i="12"/>
  <c r="G47" i="12"/>
  <c r="G37" i="12"/>
  <c r="G27" i="12"/>
  <c r="G17" i="12"/>
  <c r="G7" i="12"/>
  <c r="G144" i="12"/>
  <c r="G134" i="12"/>
  <c r="G124" i="12"/>
  <c r="G114" i="12"/>
  <c r="G104" i="12"/>
  <c r="G94" i="12"/>
  <c r="G85" i="12"/>
  <c r="G76" i="12"/>
  <c r="G66" i="12"/>
  <c r="G56" i="12"/>
  <c r="G46" i="12"/>
  <c r="G36" i="12"/>
  <c r="G26" i="12"/>
  <c r="G16" i="12"/>
  <c r="G6" i="12"/>
  <c r="G133" i="12"/>
  <c r="G123" i="12"/>
  <c r="G113" i="12"/>
  <c r="G93" i="12"/>
  <c r="G75" i="12"/>
  <c r="G65" i="12"/>
  <c r="G55" i="12"/>
  <c r="G45" i="12"/>
  <c r="G35" i="12"/>
  <c r="G25" i="12"/>
  <c r="G15" i="12"/>
  <c r="G5" i="12"/>
  <c r="G141" i="12"/>
  <c r="G111" i="12"/>
  <c r="G73" i="12"/>
  <c r="G84" i="12"/>
  <c r="G63" i="12"/>
  <c r="G103" i="12"/>
  <c r="G43" i="12"/>
  <c r="G143" i="12"/>
  <c r="G121" i="12"/>
  <c r="G83" i="12"/>
  <c r="G23" i="12"/>
  <c r="G142" i="12"/>
  <c r="G132" i="12"/>
  <c r="G122" i="12"/>
  <c r="G112" i="12"/>
  <c r="G102" i="12"/>
  <c r="G74" i="12"/>
  <c r="G64" i="12"/>
  <c r="G54" i="12"/>
  <c r="G44" i="12"/>
  <c r="G34" i="12"/>
  <c r="G24" i="12"/>
  <c r="G14" i="12"/>
  <c r="G4" i="12"/>
  <c r="G131" i="12"/>
  <c r="G101" i="12"/>
  <c r="G92" i="12"/>
  <c r="G53" i="12"/>
  <c r="G119" i="12"/>
  <c r="G98" i="12"/>
  <c r="G79" i="12"/>
  <c r="G32" i="12"/>
  <c r="G96" i="12"/>
  <c r="G72" i="12"/>
  <c r="G10" i="12"/>
  <c r="G30" i="12"/>
  <c r="G138" i="12"/>
  <c r="G50" i="12"/>
  <c r="G29" i="12"/>
  <c r="G90" i="12"/>
  <c r="G28" i="12"/>
  <c r="G89" i="12"/>
  <c r="G22" i="12"/>
  <c r="G108" i="12"/>
  <c r="G87" i="12"/>
  <c r="G107" i="12"/>
  <c r="G82" i="12"/>
  <c r="G81" i="12"/>
  <c r="G38" i="12"/>
  <c r="G99" i="12"/>
  <c r="G12" i="12"/>
  <c r="G140" i="12"/>
  <c r="G78" i="12"/>
  <c r="G52" i="12"/>
  <c r="G11" i="12"/>
  <c r="G139" i="12"/>
  <c r="G116" i="12"/>
  <c r="G137" i="12"/>
  <c r="G49" i="12"/>
  <c r="G109" i="12"/>
  <c r="G42" i="12"/>
  <c r="G88" i="12"/>
  <c r="G20" i="12"/>
  <c r="G106" i="12"/>
  <c r="G40" i="12"/>
  <c r="G100" i="12"/>
  <c r="G18" i="12"/>
  <c r="G80" i="12"/>
  <c r="G118" i="12"/>
  <c r="G97" i="12"/>
  <c r="G31" i="12"/>
  <c r="G51" i="12"/>
  <c r="G117" i="12"/>
  <c r="G91" i="12"/>
  <c r="G71" i="12"/>
  <c r="G9" i="12"/>
  <c r="G8" i="12"/>
  <c r="G110" i="12"/>
  <c r="G70" i="12"/>
  <c r="G3" i="12"/>
  <c r="G48" i="12"/>
  <c r="G130" i="12"/>
  <c r="G68" i="12"/>
  <c r="G129" i="12"/>
  <c r="G21" i="12"/>
  <c r="G41" i="12"/>
  <c r="G128" i="12"/>
  <c r="G61" i="12"/>
  <c r="G127" i="12"/>
  <c r="G19" i="12"/>
  <c r="G60" i="12"/>
  <c r="G120" i="12"/>
  <c r="G33" i="12"/>
  <c r="G58" i="12"/>
  <c r="G69" i="12"/>
  <c r="G39" i="12"/>
  <c r="G13" i="12"/>
  <c r="G59" i="12"/>
  <c r="G62" i="12"/>
  <c r="G126" i="12"/>
  <c r="G2" i="12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D6" i="4" a="1"/>
  <c r="D14" i="4" a="1"/>
  <c r="I2" i="22" a="1"/>
  <c r="D25" i="4" a="1"/>
  <c r="D9" i="4" a="1"/>
  <c r="D21" i="4" a="1"/>
  <c r="D8" i="4" a="1"/>
  <c r="D24" i="4" a="1"/>
  <c r="D16" i="4" a="1"/>
  <c r="D7" i="4" a="1"/>
  <c r="D2" i="22" a="1"/>
  <c r="J2" i="22" a="1"/>
  <c r="D4" i="4" a="1"/>
  <c r="D13" i="4" a="1"/>
  <c r="D15" i="4" a="1"/>
  <c r="D20" i="4" a="1"/>
  <c r="D22" i="4" a="1"/>
  <c r="D17" i="4" a="1"/>
  <c r="E2" i="22" a="1"/>
  <c r="D19" i="4" a="1"/>
  <c r="D11" i="4" a="1"/>
  <c r="D10" i="4" a="1"/>
  <c r="D18" i="4" a="1"/>
  <c r="D23" i="4" a="1"/>
  <c r="D5" i="4" a="1"/>
  <c r="D3" i="4" a="1"/>
  <c r="D12" i="4" a="1"/>
  <c r="D2" i="4" a="1"/>
  <c r="L2" i="30" a="1"/>
  <c r="H2" i="30" a="1"/>
  <c r="C2" i="32" a="1"/>
  <c r="I65" i="12" a="1"/>
  <c r="I112" i="12" a="1"/>
  <c r="I139" i="12" a="1"/>
  <c r="J67" i="12" a="1"/>
  <c r="I176" i="12" a="1"/>
  <c r="I167" i="12" a="1"/>
  <c r="I44" i="12" a="1"/>
  <c r="J79" i="12" a="1"/>
  <c r="J65" i="12" a="1"/>
  <c r="J5" i="12" a="1"/>
  <c r="I102" i="12" a="1"/>
  <c r="I141" i="12" a="1"/>
  <c r="J150" i="12" a="1"/>
  <c r="J171" i="12" a="1"/>
  <c r="J66" i="12" a="1"/>
  <c r="J11" i="12" a="1"/>
  <c r="J122" i="12" a="1"/>
  <c r="J156" i="12" a="1"/>
  <c r="I122" i="12" a="1"/>
  <c r="I156" i="12" a="1"/>
  <c r="I57" i="12" a="1"/>
  <c r="J85" i="12" a="1"/>
  <c r="J19" i="12" a="1"/>
  <c r="I81" i="12" a="1"/>
  <c r="J82" i="12" a="1"/>
  <c r="I82" i="12" a="1"/>
  <c r="J81" i="12" a="1"/>
  <c r="J4" i="12" a="1"/>
  <c r="J115" i="12" a="1"/>
  <c r="I6" i="12" a="1"/>
  <c r="I146" i="12" a="1"/>
  <c r="J33" i="12" a="1"/>
  <c r="J108" i="12" a="1"/>
  <c r="I35" i="12" a="1"/>
  <c r="J130" i="12" a="1"/>
  <c r="I79" i="12" a="1"/>
  <c r="J15" i="12" a="1"/>
  <c r="J28" i="12" a="1"/>
  <c r="J63" i="12" a="1"/>
  <c r="I48" i="12" a="1"/>
  <c r="I29" i="12" a="1"/>
  <c r="I33" i="12" a="1"/>
  <c r="J58" i="12" a="1"/>
  <c r="I143" i="12" a="1"/>
  <c r="I116" i="12" a="1"/>
  <c r="I130" i="12" a="1"/>
  <c r="I147" i="12" a="1"/>
  <c r="I145" i="12" a="1"/>
  <c r="J140" i="12" a="1"/>
  <c r="I109" i="12" a="1"/>
  <c r="J132" i="12" a="1"/>
  <c r="J127" i="12" a="1"/>
  <c r="J161" i="12" a="1"/>
  <c r="J24" i="12" a="1"/>
  <c r="J83" i="12" a="1"/>
  <c r="I140" i="12" a="1"/>
  <c r="J86" i="12" a="1"/>
  <c r="I66" i="12" a="1"/>
  <c r="J31" i="12" a="1"/>
  <c r="I12" i="12" a="1"/>
  <c r="J69" i="12" a="1"/>
  <c r="J76" i="12" a="1"/>
  <c r="J60" i="12" a="1"/>
  <c r="J131" i="12" a="1"/>
  <c r="I80" i="12" a="1"/>
  <c r="J57" i="12" a="1"/>
  <c r="J91" i="12" a="1"/>
  <c r="I173" i="12" a="1"/>
  <c r="J9" i="12" a="1"/>
  <c r="J18" i="12" a="1"/>
  <c r="I89" i="12" a="1"/>
  <c r="I110" i="12" a="1"/>
  <c r="I34" i="12" a="1"/>
  <c r="I124" i="12" a="1"/>
  <c r="J70" i="12" a="1"/>
  <c r="I83" i="12" a="1"/>
  <c r="J32" i="12" a="1"/>
  <c r="I41" i="12" a="1"/>
  <c r="J109" i="12" a="1"/>
  <c r="I168" i="12" a="1"/>
  <c r="I118" i="12" a="1"/>
  <c r="J175" i="12" a="1"/>
  <c r="J51" i="12" a="1"/>
  <c r="I42" i="12" a="1"/>
  <c r="I160" i="12" a="1"/>
  <c r="I148" i="12" a="1"/>
  <c r="I75" i="12" a="1"/>
  <c r="J114" i="12" a="1"/>
  <c r="I93" i="12" a="1"/>
  <c r="I76" i="12" a="1"/>
  <c r="I114" i="12" a="1"/>
  <c r="J151" i="12" a="1"/>
  <c r="I24" i="12" a="1"/>
  <c r="I32" i="12" a="1"/>
  <c r="J170" i="12" a="1"/>
  <c r="I63" i="12" a="1"/>
  <c r="I133" i="12" a="1"/>
  <c r="I103" i="12" a="1"/>
  <c r="I125" i="12" a="1"/>
  <c r="J8" i="12" a="1"/>
  <c r="J155" i="12" a="1"/>
  <c r="I97" i="12" a="1"/>
  <c r="I60" i="12" a="1"/>
  <c r="J25" i="12" a="1"/>
  <c r="J159" i="12" a="1"/>
  <c r="J105" i="12" a="1"/>
  <c r="J68" i="12" a="1"/>
  <c r="I150" i="12" a="1"/>
  <c r="I136" i="12" a="1"/>
  <c r="J173" i="12" a="1"/>
  <c r="I37" i="12" a="1"/>
  <c r="J44" i="12" a="1"/>
  <c r="J30" i="12" a="1"/>
  <c r="J87" i="12" a="1"/>
  <c r="J43" i="12" a="1"/>
  <c r="I88" i="12" a="1"/>
  <c r="I134" i="12" a="1"/>
  <c r="J73" i="12" a="1"/>
  <c r="I16" i="12" a="1"/>
  <c r="J93" i="12" a="1"/>
  <c r="I155" i="12" a="1"/>
  <c r="J142" i="12" a="1"/>
  <c r="I87" i="12" a="1"/>
  <c r="J12" i="12" a="1"/>
  <c r="J110" i="12" a="1"/>
  <c r="I126" i="12" a="1"/>
  <c r="I77" i="12" a="1"/>
  <c r="J128" i="12" a="1"/>
  <c r="I56" i="12" a="1"/>
  <c r="J141" i="12" a="1"/>
  <c r="J147" i="12" a="1"/>
  <c r="I3" i="12" a="1"/>
  <c r="J72" i="12" a="1"/>
  <c r="I85" i="12" a="1"/>
  <c r="J52" i="12" a="1"/>
  <c r="I9" i="12" a="1"/>
  <c r="I164" i="12" a="1"/>
  <c r="I25" i="12" a="1"/>
  <c r="I104" i="12" a="1"/>
  <c r="I39" i="12" a="1"/>
  <c r="J59" i="12" a="1"/>
  <c r="I72" i="12" a="1"/>
  <c r="J103" i="12" a="1"/>
  <c r="I13" i="12" a="1"/>
  <c r="I26" i="12" a="1"/>
  <c r="J92" i="12" a="1"/>
  <c r="J145" i="12" a="1"/>
  <c r="I4" i="12" a="1"/>
  <c r="J62" i="12" a="1"/>
  <c r="J17" i="12" a="1"/>
  <c r="I51" i="12" a="1"/>
  <c r="I78" i="12" a="1"/>
  <c r="I8" i="12" a="1"/>
  <c r="I135" i="12" a="1"/>
  <c r="J126" i="12" a="1"/>
  <c r="I107" i="12" a="1"/>
  <c r="J149" i="12" a="1"/>
  <c r="I159" i="12" a="1"/>
  <c r="I20" i="12" a="1"/>
  <c r="J119" i="12" a="1"/>
  <c r="I128" i="12" a="1"/>
  <c r="J165" i="12" a="1"/>
  <c r="I36" i="12" a="1"/>
  <c r="J46" i="12" a="1"/>
  <c r="J74" i="12" a="1"/>
  <c r="I45" i="12" a="1"/>
  <c r="I55" i="12" a="1"/>
  <c r="I113" i="12" a="1"/>
  <c r="J116" i="12" a="1"/>
  <c r="I144" i="12" a="1"/>
  <c r="I40" i="12" a="1"/>
  <c r="J27" i="12" a="1"/>
  <c r="I92" i="12" a="1"/>
  <c r="J124" i="12" a="1"/>
  <c r="I15" i="12" a="1"/>
  <c r="J117" i="12" a="1"/>
  <c r="J89" i="12" a="1"/>
  <c r="I117" i="12" a="1"/>
  <c r="J54" i="12" a="1"/>
  <c r="I108" i="12" a="1"/>
  <c r="J97" i="12" a="1"/>
  <c r="J144" i="12" a="1"/>
  <c r="J45" i="12" a="1"/>
  <c r="I138" i="12" a="1"/>
  <c r="J22" i="12" a="1"/>
  <c r="J56" i="12" a="1"/>
  <c r="J53" i="12" a="1"/>
  <c r="I111" i="12" a="1"/>
  <c r="J10" i="12" a="1"/>
  <c r="I69" i="12" a="1"/>
  <c r="J152" i="12" a="1"/>
  <c r="J6" i="12" a="1"/>
  <c r="J71" i="12" a="1"/>
  <c r="I157" i="12" a="1"/>
  <c r="I171" i="12" a="1"/>
  <c r="I58" i="12" a="1"/>
  <c r="I52" i="12" a="1"/>
  <c r="J148" i="12" a="1"/>
  <c r="J61" i="12" a="1"/>
  <c r="J90" i="12" a="1"/>
  <c r="I91" i="12" a="1"/>
  <c r="I101" i="12" a="1"/>
  <c r="I11" i="12" a="1"/>
  <c r="I31" i="12" a="1"/>
  <c r="J118" i="12" a="1"/>
  <c r="J35" i="12" a="1"/>
  <c r="I98" i="12" a="1"/>
  <c r="J111" i="12" a="1"/>
  <c r="I17" i="12" a="1"/>
  <c r="I152" i="12" a="1"/>
  <c r="I132" i="12" a="1"/>
  <c r="J99" i="12" a="1"/>
  <c r="I67" i="12" a="1"/>
  <c r="J167" i="12" a="1"/>
  <c r="I49" i="12" a="1"/>
  <c r="J101" i="12" a="1"/>
  <c r="I21" i="12" a="1"/>
  <c r="I53" i="12" a="1"/>
  <c r="I149" i="12" a="1"/>
  <c r="J13" i="12" a="1"/>
  <c r="J64" i="12" a="1"/>
  <c r="I115" i="12" a="1"/>
  <c r="J95" i="12" a="1"/>
  <c r="I142" i="12" a="1"/>
  <c r="I172" i="12" a="1"/>
  <c r="I62" i="12" a="1"/>
  <c r="J75" i="12" a="1"/>
  <c r="J174" i="12" a="1"/>
  <c r="J107" i="12" a="1"/>
  <c r="J137" i="12" a="1"/>
  <c r="I151" i="12" a="1"/>
  <c r="I96" i="12" a="1"/>
  <c r="J134" i="12" a="1"/>
  <c r="I174" i="12" a="1"/>
  <c r="I30" i="12" a="1"/>
  <c r="J153" i="12" a="1"/>
  <c r="I95" i="12" a="1"/>
  <c r="J112" i="12" a="1"/>
  <c r="J80" i="12" a="1"/>
  <c r="J102" i="12" a="1"/>
  <c r="I23" i="12" a="1"/>
  <c r="I175" i="12" a="1"/>
  <c r="J29" i="12" a="1"/>
  <c r="J94" i="12" a="1"/>
  <c r="J154" i="12" a="1"/>
  <c r="J78" i="12" a="1"/>
  <c r="I165" i="12" a="1"/>
  <c r="J41" i="12" a="1"/>
  <c r="I123" i="12" a="1"/>
  <c r="J37" i="12" a="1"/>
  <c r="I73" i="12" a="1"/>
  <c r="J176" i="12" a="1"/>
  <c r="J20" i="12" a="1"/>
  <c r="I163" i="12" a="1"/>
  <c r="J84" i="12" a="1"/>
  <c r="J47" i="12" a="1"/>
  <c r="I64" i="12" a="1"/>
  <c r="J34" i="12" a="1"/>
  <c r="I5" i="12" a="1"/>
  <c r="I18" i="12" a="1"/>
  <c r="J168" i="12" a="1"/>
  <c r="J125" i="12" a="1"/>
  <c r="I169" i="12" a="1"/>
  <c r="I27" i="12" a="1"/>
  <c r="I59" i="12" a="1"/>
  <c r="J39" i="12" a="1"/>
  <c r="I54" i="12" a="1"/>
  <c r="J158" i="12" a="1"/>
  <c r="I38" i="12" a="1"/>
  <c r="I2" i="12" a="1"/>
  <c r="J162" i="12" a="1"/>
  <c r="I61" i="12" a="1"/>
  <c r="J14" i="12" a="1"/>
  <c r="J123" i="12" a="1"/>
  <c r="I129" i="12" a="1"/>
  <c r="J98" i="12" a="1"/>
  <c r="J23" i="12" a="1"/>
  <c r="J77" i="12" a="1"/>
  <c r="I170" i="12" a="1"/>
  <c r="I86" i="12" a="1"/>
  <c r="J106" i="12" a="1"/>
  <c r="I119" i="12" a="1"/>
  <c r="I158" i="12" a="1"/>
  <c r="J36" i="12" a="1"/>
  <c r="I166" i="12" a="1"/>
  <c r="J172" i="12" a="1"/>
  <c r="J96" i="12" a="1"/>
  <c r="I162" i="12" a="1"/>
  <c r="J50" i="12" a="1"/>
  <c r="I71" i="12" a="1"/>
  <c r="I84" i="12" a="1"/>
  <c r="J146" i="12" a="1"/>
  <c r="I131" i="12" a="1"/>
  <c r="I7" i="12" a="1"/>
  <c r="I68" i="12" a="1"/>
  <c r="J139" i="12" a="1"/>
  <c r="J138" i="12" a="1"/>
  <c r="I50" i="12" a="1"/>
  <c r="J2" i="12" a="1"/>
  <c r="I90" i="12" a="1"/>
  <c r="J100" i="12" a="1"/>
  <c r="I127" i="12" a="1"/>
  <c r="I99" i="12" a="1"/>
  <c r="J26" i="12" a="1"/>
  <c r="J121" i="12" a="1"/>
  <c r="J88" i="12" a="1"/>
  <c r="I121" i="12" a="1"/>
  <c r="J133" i="12" a="1"/>
  <c r="J48" i="12" a="1"/>
  <c r="J129" i="12" a="1"/>
  <c r="I137" i="12" a="1"/>
  <c r="I94" i="12" a="1"/>
  <c r="J16" i="12" a="1"/>
  <c r="I70" i="12" a="1"/>
  <c r="J169" i="12" a="1"/>
  <c r="J21" i="12" a="1"/>
  <c r="I161" i="12" a="1"/>
  <c r="I19" i="12" a="1"/>
  <c r="J38" i="12" a="1"/>
  <c r="J7" i="12" a="1"/>
  <c r="I47" i="12" a="1"/>
  <c r="I100" i="12" a="1"/>
  <c r="J166" i="12" a="1"/>
  <c r="J160" i="12" a="1"/>
  <c r="I28" i="12" a="1"/>
  <c r="I14" i="12" a="1"/>
  <c r="I10" i="12" a="1"/>
  <c r="J113" i="12" a="1"/>
  <c r="J164" i="12" a="1"/>
  <c r="I120" i="12" a="1"/>
  <c r="J104" i="12" a="1"/>
  <c r="I43" i="12" a="1"/>
  <c r="J3" i="12" a="1"/>
  <c r="J42" i="12" a="1"/>
  <c r="J49" i="12" a="1"/>
  <c r="I74" i="12" a="1"/>
  <c r="J120" i="12" a="1"/>
  <c r="I153" i="12" a="1"/>
  <c r="J143" i="12" a="1"/>
  <c r="I46" i="12" a="1"/>
  <c r="J55" i="12" a="1"/>
  <c r="J157" i="12" a="1"/>
  <c r="J40" i="12" a="1"/>
  <c r="I22" i="12" a="1"/>
  <c r="J136" i="12" a="1"/>
  <c r="J163" i="12" a="1"/>
  <c r="I154" i="12" a="1"/>
  <c r="I106" i="12" a="1"/>
  <c r="I105" i="12" a="1"/>
  <c r="J135" i="12" a="1"/>
  <c r="J164" i="12" l="1"/>
  <c r="J154" i="12"/>
  <c r="J162" i="12"/>
  <c r="J172" i="12"/>
  <c r="J174" i="12"/>
  <c r="J167" i="12"/>
  <c r="J157" i="12"/>
  <c r="J158" i="12"/>
  <c r="J169" i="12"/>
  <c r="J175" i="12"/>
  <c r="J163" i="12"/>
  <c r="J173" i="12"/>
  <c r="J155" i="12"/>
  <c r="I160" i="12"/>
  <c r="J159" i="12"/>
  <c r="I168" i="12"/>
  <c r="I156" i="12"/>
  <c r="I170" i="12"/>
  <c r="J171" i="12"/>
  <c r="J168" i="12"/>
  <c r="J156" i="12"/>
  <c r="I171" i="12"/>
  <c r="L2" i="30"/>
  <c r="J160" i="12"/>
  <c r="I161" i="12"/>
  <c r="I166" i="12"/>
  <c r="J170" i="12"/>
  <c r="I176" i="12"/>
  <c r="I165" i="12"/>
  <c r="J166" i="12"/>
  <c r="J161" i="12"/>
  <c r="I173" i="12"/>
  <c r="I154" i="12"/>
  <c r="I169" i="12"/>
  <c r="I157" i="12"/>
  <c r="I174" i="12"/>
  <c r="I155" i="12"/>
  <c r="I158" i="12"/>
  <c r="I164" i="12"/>
  <c r="I175" i="12"/>
  <c r="I167" i="12"/>
  <c r="I172" i="12"/>
  <c r="I163" i="12"/>
  <c r="I162" i="12"/>
  <c r="C2" i="32"/>
  <c r="H2" i="30"/>
  <c r="J176" i="12"/>
  <c r="J165" i="12"/>
  <c r="I159" i="12"/>
  <c r="G7" i="17"/>
  <c r="G24" i="17"/>
  <c r="G9" i="17"/>
  <c r="G13" i="17"/>
  <c r="G15" i="17"/>
  <c r="G2" i="10"/>
  <c r="I153" i="12"/>
  <c r="I149" i="12"/>
  <c r="I148" i="12"/>
  <c r="I147" i="12"/>
  <c r="J147" i="12"/>
  <c r="J153" i="12"/>
  <c r="J149" i="12"/>
  <c r="J148" i="12"/>
  <c r="I152" i="12"/>
  <c r="I150" i="12"/>
  <c r="I151" i="12"/>
  <c r="J150" i="12"/>
  <c r="J151" i="12"/>
  <c r="J152" i="12"/>
  <c r="G6" i="17"/>
  <c r="G11" i="17"/>
  <c r="J5" i="12"/>
  <c r="D7" i="4"/>
  <c r="D2" i="22"/>
  <c r="I2" i="12"/>
  <c r="I140" i="12"/>
  <c r="I59" i="12"/>
  <c r="I13" i="12"/>
  <c r="I32" i="12"/>
  <c r="I14" i="12"/>
  <c r="I143" i="12"/>
  <c r="I144" i="12"/>
  <c r="I36" i="12"/>
  <c r="I46" i="12"/>
  <c r="I145" i="12"/>
  <c r="I146" i="12"/>
  <c r="I141" i="12"/>
  <c r="I19" i="12"/>
  <c r="I22" i="12"/>
  <c r="I119" i="12"/>
  <c r="I10" i="12"/>
  <c r="I102" i="12"/>
  <c r="I108" i="12"/>
  <c r="I21" i="12"/>
  <c r="I9" i="12"/>
  <c r="I24" i="12"/>
  <c r="I139" i="12"/>
  <c r="I74" i="12"/>
  <c r="I20" i="12"/>
  <c r="I23" i="12"/>
  <c r="I12" i="12"/>
  <c r="I109" i="12"/>
  <c r="I101" i="12"/>
  <c r="I11" i="12"/>
  <c r="I107" i="12"/>
  <c r="I60" i="12"/>
  <c r="I110" i="12"/>
  <c r="I128" i="12"/>
  <c r="I103" i="12"/>
  <c r="I25" i="12"/>
  <c r="I6" i="12"/>
  <c r="I26" i="12"/>
  <c r="I104" i="12"/>
  <c r="I114" i="12"/>
  <c r="I7" i="12"/>
  <c r="I27" i="12"/>
  <c r="I47" i="12"/>
  <c r="I105" i="12"/>
  <c r="I125" i="12"/>
  <c r="I135" i="12"/>
  <c r="I8" i="12"/>
  <c r="I106" i="12"/>
  <c r="J4" i="12"/>
  <c r="D2" i="4"/>
  <c r="I2" i="22"/>
  <c r="E2" i="22"/>
  <c r="I45" i="12"/>
  <c r="J9" i="12"/>
  <c r="J19" i="12"/>
  <c r="J107" i="12"/>
  <c r="J20" i="12"/>
  <c r="J21" i="12"/>
  <c r="J139" i="12"/>
  <c r="J109" i="12"/>
  <c r="J12" i="12"/>
  <c r="J74" i="12"/>
  <c r="J26" i="12"/>
  <c r="J104" i="12"/>
  <c r="J114" i="12"/>
  <c r="J128" i="12"/>
  <c r="J119" i="12"/>
  <c r="J110" i="12"/>
  <c r="J101" i="12"/>
  <c r="J11" i="12"/>
  <c r="J25" i="12"/>
  <c r="J7" i="12"/>
  <c r="J27" i="12"/>
  <c r="J47" i="12"/>
  <c r="J105" i="12"/>
  <c r="J135" i="12"/>
  <c r="J8" i="12"/>
  <c r="J106" i="12"/>
  <c r="J10" i="12"/>
  <c r="J60" i="12"/>
  <c r="J108" i="12"/>
  <c r="J22" i="12"/>
  <c r="J23" i="12"/>
  <c r="J24" i="12"/>
  <c r="J102" i="12"/>
  <c r="J103" i="12"/>
  <c r="J6" i="12"/>
  <c r="J125" i="12"/>
  <c r="I99" i="12"/>
  <c r="I100" i="12"/>
  <c r="I39" i="12"/>
  <c r="I98" i="12"/>
  <c r="I40" i="12"/>
  <c r="I17" i="12"/>
  <c r="I18" i="12"/>
  <c r="I38" i="12"/>
  <c r="J29" i="12"/>
  <c r="J97" i="12"/>
  <c r="J70" i="12"/>
  <c r="J43" i="12"/>
  <c r="J131" i="12"/>
  <c r="J15" i="12"/>
  <c r="J56" i="12"/>
  <c r="J94" i="12"/>
  <c r="J71" i="12"/>
  <c r="J3" i="12"/>
  <c r="J34" i="12"/>
  <c r="J82" i="12"/>
  <c r="J93" i="12"/>
  <c r="J96" i="12"/>
  <c r="J81" i="12"/>
  <c r="D5" i="4"/>
  <c r="I51" i="12"/>
  <c r="J79" i="12"/>
  <c r="J88" i="12"/>
  <c r="J72" i="12"/>
  <c r="J44" i="12"/>
  <c r="J113" i="12"/>
  <c r="J142" i="12"/>
  <c r="J95" i="12"/>
  <c r="J58" i="12"/>
  <c r="J52" i="12"/>
  <c r="J53" i="12"/>
  <c r="J83" i="12"/>
  <c r="J64" i="12"/>
  <c r="I41" i="12"/>
  <c r="J41" i="12"/>
  <c r="J66" i="12"/>
  <c r="I97" i="12"/>
  <c r="I82" i="12"/>
  <c r="I70" i="12"/>
  <c r="I71" i="12"/>
  <c r="I3" i="12"/>
  <c r="I43" i="12"/>
  <c r="I34" i="12"/>
  <c r="I131" i="12"/>
  <c r="I81" i="12"/>
  <c r="I29" i="12"/>
  <c r="I15" i="12"/>
  <c r="I93" i="12"/>
  <c r="I56" i="12"/>
  <c r="I94" i="12"/>
  <c r="I96" i="12"/>
  <c r="J51" i="12"/>
  <c r="J123" i="12"/>
  <c r="D3" i="4"/>
  <c r="D4" i="4"/>
  <c r="I4" i="12"/>
  <c r="J30" i="12"/>
  <c r="J134" i="12"/>
  <c r="J37" i="12"/>
  <c r="J133" i="12"/>
  <c r="J141" i="12"/>
  <c r="I53" i="12"/>
  <c r="I64" i="12"/>
  <c r="I52" i="12"/>
  <c r="I72" i="12"/>
  <c r="I88" i="12"/>
  <c r="I79" i="12"/>
  <c r="I83" i="12"/>
  <c r="I44" i="12"/>
  <c r="I142" i="12"/>
  <c r="I113" i="12"/>
  <c r="I95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2" i="12"/>
  <c r="I66" i="12"/>
  <c r="J45" i="12"/>
  <c r="J2" i="12"/>
  <c r="J59" i="12"/>
  <c r="J14" i="12"/>
  <c r="J144" i="12"/>
  <c r="J32" i="12"/>
  <c r="J145" i="12"/>
  <c r="J143" i="12"/>
  <c r="J46" i="12"/>
  <c r="J146" i="12"/>
  <c r="J140" i="12"/>
  <c r="J13" i="12"/>
  <c r="J36" i="12"/>
  <c r="I50" i="12"/>
  <c r="I117" i="12"/>
  <c r="I91" i="12"/>
  <c r="I35" i="12"/>
  <c r="J49" i="12"/>
  <c r="J69" i="12"/>
  <c r="J127" i="12"/>
  <c r="J137" i="12"/>
  <c r="J80" i="12"/>
  <c r="J138" i="12"/>
  <c r="J61" i="12"/>
  <c r="J130" i="12"/>
  <c r="J89" i="12"/>
  <c r="J90" i="12"/>
  <c r="J120" i="12"/>
  <c r="J92" i="12"/>
  <c r="J65" i="12"/>
  <c r="J85" i="12"/>
  <c r="J118" i="12"/>
  <c r="J31" i="12"/>
  <c r="J62" i="12"/>
  <c r="J63" i="12"/>
  <c r="J121" i="12"/>
  <c r="J112" i="12"/>
  <c r="J75" i="12"/>
  <c r="J33" i="12"/>
  <c r="J77" i="12"/>
  <c r="J86" i="12"/>
  <c r="J115" i="12"/>
  <c r="J28" i="12"/>
  <c r="J48" i="12"/>
  <c r="J68" i="12"/>
  <c r="J78" i="12"/>
  <c r="J87" i="12"/>
  <c r="J116" i="12"/>
  <c r="J126" i="12"/>
  <c r="J136" i="12"/>
  <c r="J129" i="12"/>
  <c r="J42" i="12"/>
  <c r="J111" i="12"/>
  <c r="J54" i="12"/>
  <c r="J122" i="12"/>
  <c r="J55" i="12"/>
  <c r="J84" i="12"/>
  <c r="J76" i="12"/>
  <c r="I73" i="12"/>
  <c r="I124" i="12"/>
  <c r="I57" i="12"/>
  <c r="I67" i="12"/>
  <c r="J117" i="12"/>
  <c r="J50" i="12"/>
  <c r="J91" i="12"/>
  <c r="J35" i="12"/>
  <c r="I132" i="12"/>
  <c r="D13" i="4"/>
  <c r="D14" i="4"/>
  <c r="D15" i="4"/>
  <c r="D16" i="4"/>
  <c r="D18" i="4"/>
  <c r="D6" i="4"/>
  <c r="J124" i="12"/>
  <c r="J73" i="12"/>
  <c r="J57" i="12"/>
  <c r="J67" i="12"/>
  <c r="I123" i="12"/>
  <c r="I30" i="12"/>
  <c r="I133" i="12"/>
  <c r="I134" i="12"/>
  <c r="I37" i="12"/>
  <c r="J39" i="12"/>
  <c r="J100" i="12"/>
  <c r="J99" i="12"/>
  <c r="J40" i="12"/>
  <c r="J98" i="12"/>
  <c r="J17" i="12"/>
  <c r="J18" i="12"/>
  <c r="J38" i="12"/>
  <c r="D25" i="4"/>
  <c r="I129" i="12"/>
  <c r="I112" i="12"/>
  <c r="I49" i="12"/>
  <c r="I42" i="12"/>
  <c r="I69" i="12"/>
  <c r="I137" i="12"/>
  <c r="I89" i="12"/>
  <c r="I130" i="12"/>
  <c r="I54" i="12"/>
  <c r="I120" i="12"/>
  <c r="I90" i="12"/>
  <c r="I121" i="12"/>
  <c r="I61" i="12"/>
  <c r="I92" i="12"/>
  <c r="I127" i="12"/>
  <c r="I63" i="12"/>
  <c r="I111" i="12"/>
  <c r="I33" i="12"/>
  <c r="I118" i="12"/>
  <c r="I138" i="12"/>
  <c r="I122" i="12"/>
  <c r="I31" i="12"/>
  <c r="I62" i="12"/>
  <c r="I80" i="12"/>
  <c r="I75" i="12"/>
  <c r="I55" i="12"/>
  <c r="I65" i="12"/>
  <c r="I84" i="12"/>
  <c r="I76" i="12"/>
  <c r="I85" i="12"/>
  <c r="I77" i="12"/>
  <c r="I86" i="12"/>
  <c r="I115" i="12"/>
  <c r="I28" i="12"/>
  <c r="I48" i="12"/>
  <c r="I68" i="12"/>
  <c r="I78" i="12"/>
  <c r="I87" i="12"/>
  <c r="I116" i="12"/>
  <c r="I126" i="12"/>
  <c r="I136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44" i="12" a="1"/>
  <c r="H33" i="12" a="1"/>
  <c r="H98" i="12" a="1"/>
  <c r="H137" i="12" a="1"/>
  <c r="H85" i="12" a="1"/>
  <c r="H103" i="12" a="1"/>
  <c r="H93" i="12" a="1"/>
  <c r="H118" i="12" a="1"/>
  <c r="H168" i="12" a="1"/>
  <c r="H84" i="12" a="1"/>
  <c r="H87" i="12" a="1"/>
  <c r="H163" i="12" a="1"/>
  <c r="H43" i="12" a="1"/>
  <c r="H152" i="12" a="1"/>
  <c r="H155" i="12" a="1"/>
  <c r="H30" i="12" a="1"/>
  <c r="H79" i="12" a="1"/>
  <c r="H42" i="12" a="1"/>
  <c r="H159" i="12" a="1"/>
  <c r="H69" i="12" a="1"/>
  <c r="H171" i="12" a="1"/>
  <c r="H108" i="12" a="1"/>
  <c r="H175" i="12" a="1"/>
  <c r="H45" i="12" a="1"/>
  <c r="H5" i="12" a="1"/>
  <c r="H76" i="12" a="1"/>
  <c r="H146" i="12" a="1"/>
  <c r="H160" i="12" a="1"/>
  <c r="H91" i="12" a="1"/>
  <c r="H34" i="12" a="1"/>
  <c r="H22" i="12" a="1"/>
  <c r="H145" i="12" a="1"/>
  <c r="H55" i="12" a="1"/>
  <c r="H140" i="12" a="1"/>
  <c r="H35" i="12" a="1"/>
  <c r="H104" i="12" a="1"/>
  <c r="H8" i="12" a="1"/>
  <c r="H156" i="12" a="1"/>
  <c r="H16" i="12" a="1"/>
  <c r="H6" i="12" a="1"/>
  <c r="H117" i="12" a="1"/>
  <c r="H50" i="12" a="1"/>
  <c r="H99" i="12" a="1"/>
  <c r="H2" i="12" a="1"/>
  <c r="H166" i="12" a="1"/>
  <c r="H29" i="12" a="1"/>
  <c r="H65" i="12" a="1"/>
  <c r="H23" i="12" a="1"/>
  <c r="H88" i="12" a="1"/>
  <c r="H41" i="12" a="1"/>
  <c r="H49" i="12" a="1"/>
  <c r="H115" i="12" a="1"/>
  <c r="H125" i="12" a="1"/>
  <c r="H126" i="12" a="1"/>
  <c r="H66" i="12" a="1"/>
  <c r="H134" i="12" a="1"/>
  <c r="H21" i="12" a="1"/>
  <c r="H170" i="12" a="1"/>
  <c r="H94" i="12" a="1"/>
  <c r="H167" i="12" a="1"/>
  <c r="H101" i="12" a="1"/>
  <c r="H26" i="12" a="1"/>
  <c r="H102" i="12" a="1"/>
  <c r="H164" i="12" a="1"/>
  <c r="H38" i="12" a="1"/>
  <c r="H133" i="12" a="1"/>
  <c r="H19" i="12" a="1"/>
  <c r="H89" i="12" a="1"/>
  <c r="H15" i="12" a="1"/>
  <c r="H63" i="12" a="1"/>
  <c r="H60" i="12" a="1"/>
  <c r="H138" i="12" a="1"/>
  <c r="H113" i="12" a="1"/>
  <c r="H136" i="12" a="1"/>
  <c r="H78" i="12" a="1"/>
  <c r="H124" i="12" a="1"/>
  <c r="H75" i="12" a="1"/>
  <c r="H4" i="12" a="1"/>
  <c r="H128" i="12" a="1"/>
  <c r="H52" i="12" a="1"/>
  <c r="H96" i="12" a="1"/>
  <c r="H154" i="12" a="1"/>
  <c r="H121" i="12" a="1"/>
  <c r="H68" i="12" a="1"/>
  <c r="H13" i="12" a="1"/>
  <c r="H39" i="12" a="1"/>
  <c r="H95" i="12" a="1"/>
  <c r="H57" i="12" a="1"/>
  <c r="H176" i="12" a="1"/>
  <c r="H51" i="12" a="1"/>
  <c r="H59" i="12" a="1"/>
  <c r="H48" i="12" a="1"/>
  <c r="H173" i="12" a="1"/>
  <c r="H46" i="12" a="1"/>
  <c r="H17" i="12" a="1"/>
  <c r="H62" i="12" a="1"/>
  <c r="H174" i="12" a="1"/>
  <c r="H127" i="12" a="1"/>
  <c r="H25" i="12" a="1"/>
  <c r="H135" i="12" a="1"/>
  <c r="H77" i="12" a="1"/>
  <c r="H142" i="12" a="1"/>
  <c r="H112" i="12" a="1"/>
  <c r="H12" i="12" a="1"/>
  <c r="H64" i="12" a="1"/>
  <c r="H169" i="12" a="1"/>
  <c r="H132" i="12" a="1"/>
  <c r="H139" i="12" a="1"/>
  <c r="H161" i="12" a="1"/>
  <c r="H18" i="12" a="1"/>
  <c r="H86" i="12" a="1"/>
  <c r="H36" i="12" a="1"/>
  <c r="H97" i="12" a="1"/>
  <c r="H123" i="12" a="1"/>
  <c r="H74" i="12" a="1"/>
  <c r="H3" i="12" a="1"/>
  <c r="H82" i="12" a="1"/>
  <c r="H114" i="12" a="1"/>
  <c r="H20" i="12" a="1"/>
  <c r="H14" i="12" a="1"/>
  <c r="H44" i="12" a="1"/>
  <c r="H162" i="12" a="1"/>
  <c r="H109" i="12" a="1"/>
  <c r="H71" i="12" a="1"/>
  <c r="H27" i="12" a="1"/>
  <c r="H11" i="12" a="1"/>
  <c r="H56" i="12" a="1"/>
  <c r="H83" i="12" a="1"/>
  <c r="H172" i="12" a="1"/>
  <c r="H119" i="12" a="1"/>
  <c r="H81" i="12" a="1"/>
  <c r="H165" i="12" a="1"/>
  <c r="H158" i="12" a="1"/>
  <c r="H31" i="12" a="1"/>
  <c r="H129" i="12" a="1"/>
  <c r="H67" i="12" a="1"/>
  <c r="H80" i="12" a="1"/>
  <c r="H37" i="12" a="1"/>
  <c r="H150" i="12" a="1"/>
  <c r="H70" i="12" a="1"/>
  <c r="H72" i="12" a="1"/>
  <c r="H120" i="12" a="1"/>
  <c r="H111" i="12" a="1"/>
  <c r="H153" i="12" a="1"/>
  <c r="H47" i="12" a="1"/>
  <c r="H28" i="12" a="1"/>
  <c r="H107" i="12" a="1"/>
  <c r="H116" i="12" a="1"/>
  <c r="H90" i="12" a="1"/>
  <c r="H122" i="12" a="1"/>
  <c r="H148" i="12" a="1"/>
  <c r="H9" i="12" a="1"/>
  <c r="H24" i="12" a="1"/>
  <c r="H110" i="12" a="1"/>
  <c r="H105" i="12" a="1"/>
  <c r="H61" i="12" a="1"/>
  <c r="H7" i="12" a="1"/>
  <c r="H157" i="12" a="1"/>
  <c r="H73" i="12" a="1"/>
  <c r="H106" i="12" a="1"/>
  <c r="H147" i="12" a="1"/>
  <c r="H100" i="12" a="1"/>
  <c r="H130" i="12" a="1"/>
  <c r="H92" i="12" a="1"/>
  <c r="H58" i="12" a="1"/>
  <c r="H131" i="12" a="1"/>
  <c r="H53" i="12" a="1"/>
  <c r="H40" i="12" a="1"/>
  <c r="H141" i="12" a="1"/>
  <c r="H54" i="12" a="1"/>
  <c r="H151" i="12" a="1"/>
  <c r="H10" i="12" a="1"/>
  <c r="H149" i="12" a="1"/>
  <c r="H143" i="12" a="1"/>
  <c r="H32" i="12" a="1"/>
  <c r="H168" i="12" l="1"/>
  <c r="H156" i="12"/>
  <c r="H165" i="12"/>
  <c r="H176" i="12"/>
  <c r="H161" i="12"/>
  <c r="H166" i="12"/>
  <c r="H159" i="12"/>
  <c r="H160" i="12"/>
  <c r="H155" i="12"/>
  <c r="H162" i="12"/>
  <c r="H169" i="12"/>
  <c r="H173" i="12"/>
  <c r="H167" i="12"/>
  <c r="H157" i="12"/>
  <c r="H174" i="12"/>
  <c r="H164" i="12"/>
  <c r="H175" i="12"/>
  <c r="H163" i="12"/>
  <c r="H172" i="12"/>
  <c r="H158" i="12"/>
  <c r="H154" i="12"/>
  <c r="H170" i="12"/>
  <c r="H171" i="12"/>
  <c r="H148" i="12"/>
  <c r="H153" i="12"/>
  <c r="H149" i="12"/>
  <c r="H147" i="12"/>
  <c r="H150" i="12"/>
  <c r="H151" i="12"/>
  <c r="H152" i="12"/>
  <c r="H16" i="12"/>
  <c r="H101" i="12"/>
  <c r="H108" i="12"/>
  <c r="H25" i="12"/>
  <c r="H21" i="12"/>
  <c r="H11" i="12"/>
  <c r="H60" i="12"/>
  <c r="H119" i="12"/>
  <c r="H74" i="12"/>
  <c r="H103" i="12"/>
  <c r="H19" i="12"/>
  <c r="H20" i="12"/>
  <c r="H110" i="12"/>
  <c r="H24" i="12"/>
  <c r="H12" i="12"/>
  <c r="H102" i="12"/>
  <c r="H9" i="12"/>
  <c r="H107" i="12"/>
  <c r="H139" i="12"/>
  <c r="H109" i="12"/>
  <c r="H22" i="12"/>
  <c r="H128" i="12"/>
  <c r="H10" i="12"/>
  <c r="H23" i="12"/>
  <c r="H135" i="12"/>
  <c r="H6" i="12"/>
  <c r="H26" i="12"/>
  <c r="H104" i="12"/>
  <c r="H114" i="12"/>
  <c r="H7" i="12"/>
  <c r="H27" i="12"/>
  <c r="H47" i="12"/>
  <c r="H105" i="12"/>
  <c r="H125" i="12"/>
  <c r="H8" i="12"/>
  <c r="H106" i="12"/>
  <c r="H2" i="12"/>
  <c r="H59" i="12"/>
  <c r="H140" i="12"/>
  <c r="H14" i="12"/>
  <c r="H13" i="12"/>
  <c r="H32" i="12"/>
  <c r="H143" i="12"/>
  <c r="H144" i="12"/>
  <c r="H36" i="12"/>
  <c r="H46" i="12"/>
  <c r="H145" i="12"/>
  <c r="H146" i="12"/>
  <c r="H100" i="12"/>
  <c r="H39" i="12"/>
  <c r="H98" i="12"/>
  <c r="H40" i="12"/>
  <c r="H99" i="12"/>
  <c r="H17" i="12"/>
  <c r="H18" i="12"/>
  <c r="H38" i="12"/>
  <c r="H5" i="12"/>
  <c r="H141" i="12"/>
  <c r="H72" i="12"/>
  <c r="H44" i="12"/>
  <c r="H88" i="12"/>
  <c r="H64" i="12"/>
  <c r="H113" i="12"/>
  <c r="H79" i="12"/>
  <c r="H83" i="12"/>
  <c r="H142" i="12"/>
  <c r="H52" i="12"/>
  <c r="H53" i="12"/>
  <c r="H95" i="12"/>
  <c r="H58" i="12"/>
  <c r="H4" i="12"/>
  <c r="H71" i="12"/>
  <c r="H15" i="12"/>
  <c r="H34" i="12"/>
  <c r="H93" i="12"/>
  <c r="H82" i="12"/>
  <c r="H97" i="12"/>
  <c r="H29" i="12"/>
  <c r="H43" i="12"/>
  <c r="H3" i="12"/>
  <c r="H81" i="12"/>
  <c r="H131" i="12"/>
  <c r="H70" i="12"/>
  <c r="H56" i="12"/>
  <c r="H94" i="12"/>
  <c r="H96" i="12"/>
  <c r="H133" i="12"/>
  <c r="H30" i="12"/>
  <c r="H134" i="12"/>
  <c r="H37" i="12"/>
  <c r="H41" i="12"/>
  <c r="H51" i="12"/>
  <c r="H91" i="12"/>
  <c r="H117" i="12"/>
  <c r="H50" i="12"/>
  <c r="H35" i="12"/>
  <c r="H45" i="12"/>
  <c r="H123" i="12"/>
  <c r="H130" i="12"/>
  <c r="H84" i="12"/>
  <c r="H90" i="12"/>
  <c r="H62" i="12"/>
  <c r="H122" i="12"/>
  <c r="H127" i="12"/>
  <c r="H61" i="12"/>
  <c r="H75" i="12"/>
  <c r="H121" i="12"/>
  <c r="H49" i="12"/>
  <c r="H80" i="12"/>
  <c r="H65" i="12"/>
  <c r="H137" i="12"/>
  <c r="H92" i="12"/>
  <c r="H63" i="12"/>
  <c r="H69" i="12"/>
  <c r="H111" i="12"/>
  <c r="H54" i="12"/>
  <c r="H55" i="12"/>
  <c r="H42" i="12"/>
  <c r="H118" i="12"/>
  <c r="H89" i="12"/>
  <c r="H120" i="12"/>
  <c r="H31" i="12"/>
  <c r="H138" i="12"/>
  <c r="H33" i="12"/>
  <c r="H112" i="12"/>
  <c r="H129" i="12"/>
  <c r="H126" i="12"/>
  <c r="H76" i="12"/>
  <c r="H85" i="12"/>
  <c r="H77" i="12"/>
  <c r="H86" i="12"/>
  <c r="H115" i="12"/>
  <c r="H28" i="12"/>
  <c r="H48" i="12"/>
  <c r="H68" i="12"/>
  <c r="H78" i="12"/>
  <c r="H87" i="12"/>
  <c r="H116" i="12"/>
  <c r="H136" i="12"/>
  <c r="H66" i="12"/>
  <c r="H132" i="12"/>
  <c r="H73" i="12"/>
  <c r="H124" i="12"/>
  <c r="H57" i="12"/>
  <c r="H67" i="12"/>
  <c r="G155" i="12" a="1"/>
  <c r="G155" i="12" l="1"/>
  <c r="G156" i="12" a="1"/>
  <c r="G156" i="12" l="1"/>
  <c r="G169" i="12" a="1"/>
  <c r="G169" i="12" l="1"/>
  <c r="G170" i="12" a="1"/>
  <c r="G170" i="12" l="1"/>
  <c r="G171" i="12" a="1"/>
  <c r="G171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<sst xmlns="http://schemas.openxmlformats.org/spreadsheetml/2006/main" count="1467" uniqueCount="718">
  <si>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</si>
  <si>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</si>
  <si>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</si>
  <si>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</si>
  <si>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</si>
  <si>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</si>
  <si>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</si>
  <si>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</si>
  <si>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</si>
  <si>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</si>
  <si>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</si>
  <si>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</si>
  <si>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</si>
  <si>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</si>
  <si>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</si>
  <si>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</si>
  <si>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</si>
  <si>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</si>
  <si>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</si>
  <si>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</si>
  <si>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</si>
  <si>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</si>
  <si>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</si>
  <si>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</si>
  <si>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</si>
  <si>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</si>
  <si>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</si>
  <si>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</si>
  <si>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</si>
  <si>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</si>
  <si>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</si>
  <si>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</si>
  <si>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</si>
  <si>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</si>
  <si>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</si>
  <si>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</si>
  <si>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</si>
  <si>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</si>
  <si>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</si>
  <si>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</si>
  <si>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</si>
  <si>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</si>
  <si>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</si>
  <si>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</si>
  <si>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</si>
  <si>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</si>
  <si>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</si>
  <si>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</si>
  <si>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</si>
  <si>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</si>
  <si>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</si>
  <si>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</si>
  <si>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</si>
  <si>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</si>
  <si>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</si>
  <si>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</si>
  <si>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</si>
  <si>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</si>
  <si>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</si>
  <si>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</si>
  <si>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</si>
  <si>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</si>
  <si>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</si>
  <si>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</si>
  <si>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</si>
  <si>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</si>
  <si>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</si>
  <si>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</si>
  <si>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</si>
  <si>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</si>
  <si>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</si>
  <si>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</si>
  <si>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</si>
  <si>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</si>
  <si>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</si>
  <si>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</si>
  <si>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</si>
  <si>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</si>
  <si>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</si>
  <si>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</si>
  <si>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</si>
  <si>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</si>
  <si>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</si>
  <si>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</si>
  <si>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</si>
  <si>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</si>
  <si>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</si>
  <si>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</si>
  <si>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</si>
  <si>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</si>
  <si>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</si>
  <si>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</si>
  <si>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</si>
  <si>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</si>
  <si>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</si>
  <si>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</si>
  <si>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</si>
  <si>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</si>
  <si>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</si>
  <si>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</si>
  <si>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</si>
  <si>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</si>
  <si>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</si>
  <si>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</si>
  <si>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</si>
  <si>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</si>
  <si>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</si>
  <si>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</si>
  <si>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</si>
  <si>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</si>
  <si>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</si>
  <si>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</si>
  <si>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</si>
  <si>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</si>
  <si>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</si>
  <si>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</si>
  <si>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</si>
  <si>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</si>
  <si>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</si>
  <si>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</si>
  <si>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</si>
  <si>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</si>
  <si>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</si>
  <si>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</si>
  <si>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</si>
  <si>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</si>
  <si>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</si>
  <si>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</si>
  <si>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</si>
  <si>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</si>
  <si>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</si>
  <si>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</si>
  <si>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</si>
  <si>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</si>
  <si>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</si>
  <si>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</si>
  <si>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</si>
  <si>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</si>
  <si>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</si>
  <si>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</si>
  <si>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</si>
  <si>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</si>
  <si>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</si>
  <si>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</si>
  <si>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</si>
  <si>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</si>
  <si>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</si>
  <si>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</si>
  <si>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</si>
  <si>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</si>
  <si>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</si>
  <si>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</si>
  <si>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</si>
  <si>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</si>
  <si>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</si>
  <si>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</si>
  <si>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</si>
  <si>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</si>
  <si>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</si>
  <si>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</si>
  <si>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</si>
  <si>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</si>
  <si>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</si>
  <si>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</si>
  <si>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</si>
  <si>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</si>
  <si>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</si>
  <si>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</si>
  <si>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</si>
  <si>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</si>
  <si>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</si>
  <si>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</si>
  <si>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</si>
  <si>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</si>
  <si>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</si>
  <si>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</si>
  <si>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</si>
  <si>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</si>
  <si>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</si>
  <si>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</si>
  <si>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</si>
  <si>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</si>
  <si>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</si>
  <si>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</si>
  <si>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</si>
  <si>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</si>
  <si>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</si>
  <si>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</si>
  <si>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</si>
  <si>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</si>
  <si>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</si>
  <si>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</si>
  <si>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</si>
  <si>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</si>
  <si>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</si>
  <si>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</si>
  <si>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</si>
  <si>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</si>
  <si>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</si>
  <si>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</si>
  <si>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</si>
  <si>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</si>
  <si>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</si>
  <si>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</si>
  <si>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</si>
  <si>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</si>
  <si>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</si>
  <si>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</si>
  <si>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</si>
  <si>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</si>
  <si>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</si>
  <si>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</si>
  <si>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</si>
  <si>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</si>
  <si>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</si>
  <si>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</si>
  <si>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</si>
  <si>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</si>
  <si>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</si>
  <si>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</si>
  <si>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</si>
  <si>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</si>
  <si>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</si>
  <si>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</si>
  <si>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</si>
  <si>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</si>
  <si>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</si>
  <si>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</si>
  <si>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</si>
  <si>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</si>
  <si>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</si>
  <si>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</si>
  <si>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</si>
  <si>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</si>
  <si>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</si>
  <si>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</si>
  <si>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</si>
  <si>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</si>
  <si>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</si>
  <si>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</si>
  <si>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</si>
  <si>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</si>
  <si>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</si>
  <si>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</si>
  <si>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</si>
  <si>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</si>
  <si>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</si>
  <si>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</si>
  <si>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</si>
  <si>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</si>
  <si>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</si>
  <si>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</si>
  <si>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</si>
  <si>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</si>
  <si>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</si>
  <si>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</si>
  <si>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</si>
  <si>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</si>
  <si>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</si>
  <si>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</si>
  <si>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</si>
  <si>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</si>
  <si>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</si>
  <si>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</si>
  <si>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</si>
  <si>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</si>
  <si>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</si>
  <si>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</si>
  <si>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</si>
  <si>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</si>
  <si>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</si>
  <si>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</si>
  <si>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</si>
  <si>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</si>
  <si>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</si>
  <si>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</si>
  <si>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</si>
  <si>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</si>
  <si>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</si>
  <si>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</si>
  <si>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</si>
  <si>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</si>
  <si>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</si>
  <si>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</si>
  <si>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</si>
  <si>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</si>
  <si>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</si>
  <si>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</si>
  <si>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</si>
  <si>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</si>
  <si>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</si>
  <si>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</si>
  <si>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</si>
  <si>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</si>
  <si>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</si>
  <si>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</si>
  <si>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</si>
  <si>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</si>
  <si>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</si>
  <si>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</si>
  <si>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</si>
  <si>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</si>
  <si>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</si>
  <si>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</si>
  <si>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</si>
  <si>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</si>
  <si>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</si>
  <si>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</si>
  <si>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</si>
  <si>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</si>
  <si>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</si>
  <si>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</si>
  <si>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</si>
  <si>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</si>
  <si>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</si>
  <si>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</si>
  <si>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</si>
  <si>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</si>
  <si>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</si>
  <si>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</si>
  <si>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</si>
  <si>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</si>
  <si>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</si>
  <si>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</si>
  <si>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</si>
  <si>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</si>
  <si>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</si>
  <si>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</si>
  <si>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</si>
  <si>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</si>
  <si>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</si>
  <si>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</si>
  <si>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</si>
  <si>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</si>
  <si>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</si>
  <si>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</si>
  <si>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</si>
  <si>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</si>
  <si>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</si>
  <si>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</si>
  <si>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</si>
  <si>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</si>
  <si>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</si>
  <si>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</si>
  <si>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</si>
  <si>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</si>
  <si>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</si>
  <si>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</si>
  <si>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</si>
  <si>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</si>
  <si>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</si>
  <si>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</si>
  <si>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</si>
  <si>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</si>
  <si>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</si>
  <si>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</si>
  <si>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</si>
  <si>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</si>
  <si>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</si>
  <si>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</si>
  <si>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</si>
  <si>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</si>
  <si>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</si>
  <si>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</si>
  <si>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</si>
  <si>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</si>
  <si>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</si>
  <si>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</si>
  <si>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</si>
  <si>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</si>
  <si>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</si>
  <si>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</si>
  <si>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</si>
  <si>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</si>
  <si>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</si>
  <si>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</si>
  <si>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</si>
  <si>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</si>
  <si>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</si>
  <si>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</si>
  <si>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</si>
  <si>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</si>
  <si>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</si>
  <si>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</si>
  <si>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</si>
  <si>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</si>
  <si>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</si>
  <si>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</si>
  <si>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</si>
  <si>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</si>
  <si>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</si>
  <si>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</si>
  <si>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</si>
  <si>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</si>
  <si>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</si>
  <si>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</si>
  <si>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</si>
  <si>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</si>
  <si>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</si>
  <si>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</si>
  <si>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</si>
  <si>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</si>
  <si>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</si>
  <si>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</si>
  <si>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</si>
  <si>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</si>
  <si>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</si>
  <si>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</si>
  <si>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</si>
  <si>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</si>
  <si>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</si>
  <si>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</si>
  <si>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</si>
  <si>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</si>
  <si>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</si>
  <si>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</si>
  <si>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</si>
  <si>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</si>
  <si>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</si>
  <si>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</si>
  <si>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</si>
  <si>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</si>
  <si>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</si>
  <si>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</si>
  <si>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</si>
  <si>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</si>
  <si>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</si>
  <si>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</si>
  <si>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</si>
  <si>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</si>
  <si>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</si>
  <si>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</si>
  <si>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</si>
  <si>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</si>
  <si>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</si>
  <si>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</si>
  <si>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</si>
  <si>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</si>
  <si>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</si>
  <si>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</si>
  <si>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</si>
  <si>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</si>
  <si>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</si>
  <si>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</si>
  <si>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</si>
  <si>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</si>
  <si>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</si>
  <si>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</si>
  <si>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</si>
  <si>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</si>
  <si>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</si>
  <si>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</si>
  <si>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</si>
  <si>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</si>
  <si>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</si>
  <si>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</si>
  <si>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</si>
  <si>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</si>
  <si>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</si>
  <si>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</si>
  <si>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</si>
  <si>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</si>
  <si>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</si>
  <si>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</si>
  <si>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</si>
  <si>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</si>
  <si>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</si>
  <si>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</si>
  <si>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</si>
  <si>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</si>
  <si>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</si>
  <si>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</si>
  <si>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</si>
  <si>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</si>
  <si>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</si>
  <si>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</si>
  <si>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</si>
  <si>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</si>
  <si>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</si>
  <si>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</si>
  <si>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</si>
  <si>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</si>
  <si>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</si>
  <si>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</si>
  <si>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</si>
  <si>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</si>
  <si>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</si>
  <si>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</si>
  <si>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</si>
  <si>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</si>
  <si>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</si>
  <si>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</si>
  <si>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</si>
  <si>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</si>
  <si>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</si>
  <si>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</si>
  <si>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</si>
  <si>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</si>
  <si>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</si>
  <si>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</si>
  <si>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</si>
  <si>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</si>
  <si>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</si>
  <si>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</si>
  <si>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</si>
  <si>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</si>
  <si>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</si>
  <si>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</si>
  <si>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</si>
  <si>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</si>
  <si>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</si>
  <si>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</si>
  <si>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</si>
  <si>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</si>
  <si>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</si>
  <si>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</si>
  <si>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</si>
  <si>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</si>
  <si>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</si>
  <si>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</si>
  <si>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</si>
  <si>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</si>
  <si>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</si>
  <si>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</si>
  <si>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</si>
  <si>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</si>
  <si>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</si>
  <si>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</si>
  <si>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</si>
  <si>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</si>
  <si>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</si>
  <si>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</si>
  <si>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</si>
  <si>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</si>
  <si>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</si>
  <si>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</si>
  <si>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</si>
  <si>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</si>
  <si>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</si>
  <si>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</si>
  <si>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</si>
  <si>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</si>
  <si>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</si>
  <si>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</si>
  <si>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</si>
  <si>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</si>
  <si>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</si>
  <si>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</si>
  <si>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</si>
  <si>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</si>
  <si>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</si>
  <si>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</si>
  <si>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</si>
  <si>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</si>
  <si>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</si>
  <si>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</si>
  <si>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</si>
  <si>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</si>
  <si>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</si>
  <si>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</si>
  <si>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</si>
  <si>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</si>
  <si>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</si>
  <si>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</si>
  <si>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</si>
  <si>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</si>
  <si>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</si>
  <si>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</si>
  <si>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</si>
  <si>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</si>
  <si>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</si>
  <si>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</si>
  <si>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</si>
  <si>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</si>
  <si>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</si>
  <si>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</si>
  <si>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</si>
  <si>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</si>
  <si>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</si>
  <si>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</si>
  <si>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</si>
  <si>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*pk1</t>
  </si>
  <si>
    <t>*pk2</t>
  </si>
  <si>
    <t>*pk3</t>
  </si>
  <si>
    <t>cpo1</t>
  </si>
  <si>
    <t>joao</t>
  </si>
  <si>
    <t>cpo2</t>
  </si>
  <si>
    <t>juca</t>
  </si>
  <si>
    <t>cpo3</t>
  </si>
  <si>
    <t>jeca</t>
  </si>
  <si>
    <t>cpo4</t>
  </si>
  <si>
    <t>teste</t>
  </si>
  <si>
    <t>testes</t>
  </si>
  <si>
    <t>Tabela de teste de PKs múltiplas</t>
  </si>
  <si>
    <t>pk1</t>
  </si>
  <si>
    <t>pk2</t>
  </si>
  <si>
    <t>pk3</t>
  </si>
  <si>
    <t>∅</t>
  </si>
  <si>
    <t>IS NULL</t>
  </si>
  <si>
    <t>⊗</t>
  </si>
  <si>
    <t>IS NOT NULL</t>
  </si>
  <si>
    <t>Expression 0001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</si>
  <si>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</si>
  <si>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</si>
  <si>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</si>
  <si>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</si>
  <si>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</si>
  <si>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</si>
  <si>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</si>
  <si>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</si>
  <si>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</si>
  <si>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</si>
  <si>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</si>
  <si>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</si>
  <si>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</si>
  <si>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</si>
  <si>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</si>
  <si>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</si>
  <si>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</si>
  <si>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</si>
  <si>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</si>
  <si>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</si>
  <si>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</si>
  <si>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</si>
  <si>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</si>
  <si>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</si>
  <si>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</si>
  <si>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</si>
  <si>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</si>
  <si>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</si>
  <si>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</si>
  <si>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</si>
  <si>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</si>
  <si>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</si>
  <si>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</si>
  <si>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</si>
  <si>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</si>
  <si>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</si>
  <si>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</si>
  <si>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</si>
  <si>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</si>
  <si>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</si>
  <si>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</si>
  <si>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</si>
  <si>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</si>
  <si>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</si>
  <si>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</si>
  <si>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</si>
  <si>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</si>
  <si>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</si>
  <si>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</si>
  <si>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</si>
  <si>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</si>
  <si>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</si>
  <si>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</si>
  <si>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</si>
  <si>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</si>
  <si>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</si>
  <si>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</si>
  <si>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Expression</t>
  </si>
  <si>
    <t>Condition</t>
  </si>
  <si>
    <t>Property</t>
  </si>
  <si>
    <t>Behavior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</si>
  <si>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</si>
  <si>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</si>
  <si>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</si>
  <si>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</si>
  <si>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</si>
  <si>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</si>
  <si>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</si>
  <si>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</si>
  <si>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</si>
  <si>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</si>
  <si>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</si>
  <si>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</si>
  <si>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</si>
  <si>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</si>
  <si>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</si>
  <si>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</si>
  <si>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</si>
  <si>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</si>
  <si>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</si>
  <si>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</si>
  <si>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</si>
  <si>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</si>
  <si>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</si>
  <si>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</si>
  <si>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</si>
  <si>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</si>
  <si>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</si>
  <si>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</si>
  <si>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</si>
  <si>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</si>
  <si>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</si>
  <si>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</si>
  <si>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</si>
  <si>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</si>
  <si>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</si>
  <si>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</si>
  <si>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</si>
  <si>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</si>
  <si>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</si>
  <si>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</si>
  <si>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</si>
  <si>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</t>
  </si>
  <si>
    <t>Referencekeys</t>
  </si>
  <si>
    <t>Referencekey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</si>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</sst>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366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463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352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288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580</v>
      </c>
      <c r="B1" s="1" t="s">
        <v>537</v>
      </c>
      <c r="C1" s="1" t="s">
        <v>84</v>
      </c>
      <c r="D1" s="1" t="s">
        <v>538</v>
      </c>
    </row>
    <row r="2" spans="1:4" x14ac:dyDescent="0.3">
      <c r="A2">
        <f>ROW(A2)-1</f>
        <v>1</v>
      </c>
      <c r="B2" s="19" t="s">
        <v>523</v>
      </c>
      <c r="C2" t="s">
        <v>539</v>
      </c>
      <c r="D2">
        <v>2</v>
      </c>
    </row>
    <row r="3" spans="1:4" x14ac:dyDescent="0.3">
      <c r="A3">
        <f>ROW(A3)-1</f>
        <v>2</v>
      </c>
      <c r="B3" s="19" t="s">
        <v>540</v>
      </c>
      <c r="C3" t="s">
        <v>541</v>
      </c>
      <c r="D3">
        <v>2</v>
      </c>
    </row>
    <row r="4" spans="1:4" x14ac:dyDescent="0.3">
      <c r="A4">
        <f>ROW(A4)-1</f>
        <v>3</v>
      </c>
      <c r="B4" s="19" t="s">
        <v>524</v>
      </c>
      <c r="C4" t="s">
        <v>542</v>
      </c>
      <c r="D4">
        <v>2</v>
      </c>
    </row>
    <row r="5" spans="1:4" x14ac:dyDescent="0.3">
      <c r="A5">
        <f>ROW(A5)-1</f>
        <v>4</v>
      </c>
      <c r="B5" s="19" t="s">
        <v>543</v>
      </c>
      <c r="C5" t="s">
        <v>544</v>
      </c>
      <c r="D5">
        <v>2</v>
      </c>
    </row>
    <row r="6" spans="1:4" x14ac:dyDescent="0.3">
      <c r="A6">
        <f t="shared" ref="A6:A15" si="0">ROW(A6)-1</f>
        <v>5</v>
      </c>
      <c r="B6" s="19" t="s">
        <v>545</v>
      </c>
      <c r="C6" t="s">
        <v>546</v>
      </c>
      <c r="D6">
        <v>2</v>
      </c>
    </row>
    <row r="7" spans="1:4" x14ac:dyDescent="0.3">
      <c r="A7">
        <f t="shared" si="0"/>
        <v>6</v>
      </c>
      <c r="B7" s="19" t="s">
        <v>525</v>
      </c>
      <c r="C7" t="s">
        <v>547</v>
      </c>
      <c r="D7">
        <v>2</v>
      </c>
    </row>
    <row r="8" spans="1:4" x14ac:dyDescent="0.3">
      <c r="A8">
        <f t="shared" si="0"/>
        <v>7</v>
      </c>
      <c r="B8" s="19" t="s">
        <v>548</v>
      </c>
      <c r="C8" t="s">
        <v>549</v>
      </c>
    </row>
    <row r="9" spans="1:4" x14ac:dyDescent="0.3">
      <c r="A9">
        <f t="shared" si="0"/>
        <v>8</v>
      </c>
      <c r="B9" s="19" t="s">
        <v>550</v>
      </c>
      <c r="C9" t="s">
        <v>551</v>
      </c>
    </row>
    <row r="10" spans="1:4" x14ac:dyDescent="0.3">
      <c r="A10">
        <f t="shared" si="0"/>
        <v>9</v>
      </c>
      <c r="B10" s="19" t="s">
        <v>552</v>
      </c>
      <c r="C10" t="s">
        <v>553</v>
      </c>
      <c r="D10">
        <v>2</v>
      </c>
    </row>
    <row r="11" spans="1:4" x14ac:dyDescent="0.3">
      <c r="A11">
        <f t="shared" si="0"/>
        <v>10</v>
      </c>
      <c r="B11" s="19" t="s">
        <v>554</v>
      </c>
      <c r="C11" t="s">
        <v>555</v>
      </c>
      <c r="D11">
        <v>2</v>
      </c>
    </row>
    <row r="12" spans="1:4" x14ac:dyDescent="0.3">
      <c r="A12">
        <f t="shared" si="0"/>
        <v>11</v>
      </c>
      <c r="B12" s="19" t="s">
        <v>556</v>
      </c>
      <c r="C12" t="s">
        <v>557</v>
      </c>
      <c r="D12">
        <v>3</v>
      </c>
    </row>
    <row r="13" spans="1:4" x14ac:dyDescent="0.3">
      <c r="A13">
        <f t="shared" si="0"/>
        <v>12</v>
      </c>
      <c r="B13" s="19" t="s">
        <v>558</v>
      </c>
      <c r="C13" t="s">
        <v>559</v>
      </c>
      <c r="D13">
        <v>3</v>
      </c>
    </row>
    <row r="14" spans="1:4" x14ac:dyDescent="0.3">
      <c r="A14">
        <f t="shared" si="0"/>
        <v>13</v>
      </c>
      <c r="B14" s="19" t="s">
        <v>597</v>
      </c>
      <c r="C14" t="s">
        <v>598</v>
      </c>
      <c r="D14">
        <v>1</v>
      </c>
    </row>
    <row r="15" spans="1:4" x14ac:dyDescent="0.3">
      <c r="A15">
        <f t="shared" si="0"/>
        <v>14</v>
      </c>
      <c r="B15" s="19" t="s">
        <v>599</v>
      </c>
      <c r="C15" t="s">
        <v>600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53" activePane="bottomLeft" state="frozen"/>
      <selection pane="bottomLeft" activeCell="B71" sqref="B71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580</v>
      </c>
      <c r="B1" s="1" t="s">
        <v>25</v>
      </c>
      <c r="C1" s="1" t="s">
        <v>321</v>
      </c>
      <c r="D1" s="1" t="s">
        <v>560</v>
      </c>
      <c r="E1" s="1" t="s">
        <v>561</v>
      </c>
      <c r="F1" s="1" t="s">
        <v>562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str" cm="1">
        <f t="array" ref="F8">GetValue("Comparators","Description",D8)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str" cm="1">
        <f t="array" ref="F9">GetValue("Comparators","Description",D9)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str" cm="1">
        <f t="array" ref="F10">GetValue("Comparators","Description",D10)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str" cm="1">
        <f t="array" ref="F11">GetValue("Comparators","Description",D11)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str" cm="1">
        <f t="array" ref="F12">GetValue("Comparators","Description",D12)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str" cm="1">
        <f t="array" ref="F13">GetValue("Comparators","Description",D13)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>
        <v>13</v>
      </c>
      <c r="E14" s="19" t="str" cm="1">
        <f t="array" ref="E14">GetValue("Comparators","Symbol",D14)</f>
        <v>∅</v>
      </c>
      <c r="F14" t="str" cm="1">
        <f t="array" ref="F14">GetValue("Comparators","Description",D14)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GetValue("Categories","Name",B15)</f>
        <v>string</v>
      </c>
      <c r="D15">
        <v>14</v>
      </c>
      <c r="E15" s="19" t="str" cm="1">
        <f t="array" ref="E15">GetValue("Comparators","Symbol",D15)</f>
        <v>⊗</v>
      </c>
      <c r="F15" t="str" cm="1">
        <f t="array" ref="F15">GetValue("Comparators","Description",D15)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1</v>
      </c>
      <c r="E16" s="19" t="str" cm="1">
        <f t="array" ref="E16">GetValue("Comparators","Symbol",D16)</f>
        <v>&lt;</v>
      </c>
      <c r="F16" t="str" cm="1">
        <f t="array" ref="F16">GetValue("Comparators","Description",D16)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2</v>
      </c>
      <c r="E17" s="19" t="str" cm="1">
        <f t="array" ref="E17">GetValue("Comparators","Symbol",D17)</f>
        <v>≤</v>
      </c>
      <c r="F17" t="str" cm="1">
        <f t="array" ref="F17">GetValue("Comparators","Description",D17)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3</v>
      </c>
      <c r="E18" s="19" t="str" cm="1">
        <f t="array" ref="E18">GetValue("Comparators","Symbol",D18)</f>
        <v>=</v>
      </c>
      <c r="F18" t="str" cm="1">
        <f t="array" ref="F18">GetValue("Comparators","Description",D18)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4</v>
      </c>
      <c r="E19" s="19" t="str" cm="1">
        <f t="array" ref="E19">GetValue("Comparators","Symbol",D19)</f>
        <v>≠</v>
      </c>
      <c r="F19" t="str" cm="1">
        <f t="array" ref="F19">GetValue("Comparators","Description",D19)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5</v>
      </c>
      <c r="E20" s="19" t="str" cm="1">
        <f t="array" ref="E20">GetValue("Comparators","Symbol",D20)</f>
        <v>≥</v>
      </c>
      <c r="F20" t="str" cm="1">
        <f t="array" ref="F20">GetValue("Comparators","Description",D20)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6</v>
      </c>
      <c r="E21" s="19" t="str" cm="1">
        <f t="array" ref="E21">GetValue("Comparators","Symbol",D21)</f>
        <v>&gt;</v>
      </c>
      <c r="F21" t="str" cm="1">
        <f t="array" ref="F21">GetValue("Comparators","Description",D21)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7</v>
      </c>
      <c r="E22" s="19" t="str" cm="1">
        <f t="array" ref="E22">GetValue("Comparators","Symbol",D22)</f>
        <v>∈</v>
      </c>
      <c r="F22" t="str" cm="1">
        <f t="array" ref="F22">GetValue("Comparators","Description",D22)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8</v>
      </c>
      <c r="E23" s="19" t="str" cm="1">
        <f t="array" ref="E23">GetValue("Comparators","Symbol",D23)</f>
        <v>∉</v>
      </c>
      <c r="F23" t="str" cm="1">
        <f t="array" ref="F23">GetValue("Comparators","Description",D23)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GetValue("Categories","Name",B24)</f>
        <v>number</v>
      </c>
      <c r="D24">
        <v>11</v>
      </c>
      <c r="E24" s="19" t="str" cm="1">
        <f t="array" ref="E24">GetValue("Comparators","Symbol",D24)</f>
        <v>∃</v>
      </c>
      <c r="F24" t="str" cm="1">
        <f t="array" ref="F24">GetValue("Comparators","Description",D24)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>
        <v>12</v>
      </c>
      <c r="E25" s="19" t="str" cm="1">
        <f t="array" ref="E25">GetValue("Comparators","Symbol",D25)</f>
        <v>∄</v>
      </c>
      <c r="F25" t="str" cm="1">
        <f t="array" ref="F25">GetValue("Comparators","Description",D25)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>
        <v>13</v>
      </c>
      <c r="E26" s="19" t="str" cm="1">
        <f t="array" ref="E26">GetValue("Comparators","Symbol",D26)</f>
        <v>∅</v>
      </c>
      <c r="F26" t="str" cm="1">
        <f t="array" ref="F26">GetValue("Comparators","Description",D26)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GetValue("Categories","Name",B27)</f>
        <v>number</v>
      </c>
      <c r="D27">
        <v>14</v>
      </c>
      <c r="E27" s="19" t="str" cm="1">
        <f t="array" ref="E27">GetValue("Comparators","Symbol",D27)</f>
        <v>⊗</v>
      </c>
      <c r="F27" t="str" cm="1">
        <f t="array" ref="F27">GetValue("Comparators","Description",D27)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1</v>
      </c>
      <c r="E28" s="19" t="str" cm="1">
        <f t="array" ref="E28">GetValue("Comparators","Symbol",D28)</f>
        <v>&lt;</v>
      </c>
      <c r="F28" t="str" cm="1">
        <f t="array" ref="F28">GetValue("Comparators","Description",D28)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2</v>
      </c>
      <c r="E29" s="19" t="str" cm="1">
        <f t="array" ref="E29">GetValue("Comparators","Symbol",D29)</f>
        <v>≤</v>
      </c>
      <c r="F29" t="str" cm="1">
        <f t="array" ref="F29">GetValue("Comparators","Description",D29)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3</v>
      </c>
      <c r="E30" s="19" t="str" cm="1">
        <f t="array" ref="E30">GetValue("Comparators","Symbol",D30)</f>
        <v>=</v>
      </c>
      <c r="F30" t="str" cm="1">
        <f t="array" ref="F30">GetValue("Comparators","Description",D30)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4</v>
      </c>
      <c r="E31" s="19" t="str" cm="1">
        <f t="array" ref="E31">GetValue("Comparators","Symbol",D31)</f>
        <v>≠</v>
      </c>
      <c r="F31" t="str" cm="1">
        <f t="array" ref="F31">GetValue("Comparators","Description",D31)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5</v>
      </c>
      <c r="E32" s="19" t="str" cm="1">
        <f t="array" ref="E32">GetValue("Comparators","Symbol",D32)</f>
        <v>≥</v>
      </c>
      <c r="F32" t="str" cm="1">
        <f t="array" ref="F32">GetValue("Comparators","Description",D32)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6</v>
      </c>
      <c r="E33" s="19" t="str" cm="1">
        <f t="array" ref="E33">GetValue("Comparators","Symbol",D33)</f>
        <v>&gt;</v>
      </c>
      <c r="F33" t="str" cm="1">
        <f t="array" ref="F33">GetValue("Comparators","Description",D33)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GetValue("Categories","Name",B34)</f>
        <v>date</v>
      </c>
      <c r="D34">
        <v>7</v>
      </c>
      <c r="E34" s="19" t="str" cm="1">
        <f t="array" ref="E34">GetValue("Comparators","Symbol",D34)</f>
        <v>∈</v>
      </c>
      <c r="F34" t="str" cm="1">
        <f t="array" ref="F34">GetValue("Comparators","Description",D34)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GetValue("Categories","Name",B35)</f>
        <v>date</v>
      </c>
      <c r="D35">
        <v>8</v>
      </c>
      <c r="E35" s="19" t="str" cm="1">
        <f t="array" ref="E35">GetValue("Comparators","Symbol",D35)</f>
        <v>∉</v>
      </c>
      <c r="F35" t="str" cm="1">
        <f t="array" ref="F35">GetValue("Comparators","Description",D35)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GetValue("Categories","Name",B36)</f>
        <v>date</v>
      </c>
      <c r="D36">
        <v>11</v>
      </c>
      <c r="E36" s="19" t="str" cm="1">
        <f t="array" ref="E36">GetValue("Comparators","Symbol",D36)</f>
        <v>∃</v>
      </c>
      <c r="F36" t="str" cm="1">
        <f t="array" ref="F36">GetValue("Comparators","Description",D36)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GetValue("Categories","Name",B37)</f>
        <v>date</v>
      </c>
      <c r="D37">
        <v>12</v>
      </c>
      <c r="E37" s="19" t="str" cm="1">
        <f t="array" ref="E37">GetValue("Comparators","Symbol",D37)</f>
        <v>∄</v>
      </c>
      <c r="F37" t="str" cm="1">
        <f t="array" ref="F37">GetValue("Comparators","Description",D37)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GetValue("Categories","Name",B38)</f>
        <v>date</v>
      </c>
      <c r="D38">
        <v>13</v>
      </c>
      <c r="E38" s="19" t="str" cm="1">
        <f t="array" ref="E38">GetValue("Comparators","Symbol",D38)</f>
        <v>∅</v>
      </c>
      <c r="F38" t="str" cm="1">
        <f t="array" ref="F38">GetValue("Comparators","Description",D38)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GetValue("Categories","Name",B39)</f>
        <v>date</v>
      </c>
      <c r="D39">
        <v>14</v>
      </c>
      <c r="E39" s="19" t="str" cm="1">
        <f t="array" ref="E39">GetValue("Comparators","Symbol",D39)</f>
        <v>⊗</v>
      </c>
      <c r="F39" t="str" cm="1">
        <f t="array" ref="F39">GetValue("Comparators","Description",D39)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1</v>
      </c>
      <c r="E40" s="19" t="str" cm="1">
        <f t="array" ref="E40">GetValue("Comparators","Symbol",D40)</f>
        <v>&lt;</v>
      </c>
      <c r="F40" t="str" cm="1">
        <f t="array" ref="F40">GetValue("Comparators","Description",D40)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2</v>
      </c>
      <c r="E41" s="19" t="str" cm="1">
        <f t="array" ref="E41">GetValue("Comparators","Symbol",D41)</f>
        <v>≤</v>
      </c>
      <c r="F41" t="str" cm="1">
        <f t="array" ref="F41">GetValue("Comparators","Description",D41)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3</v>
      </c>
      <c r="E42" s="19" t="str" cm="1">
        <f t="array" ref="E42">GetValue("Comparators","Symbol",D42)</f>
        <v>=</v>
      </c>
      <c r="F42" t="str" cm="1">
        <f t="array" ref="F42">GetValue("Comparators","Description",D42)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4</v>
      </c>
      <c r="E43" s="19" t="str" cm="1">
        <f t="array" ref="E43">GetValue("Comparators","Symbol",D43)</f>
        <v>≠</v>
      </c>
      <c r="F43" t="str" cm="1">
        <f t="array" ref="F43">GetValue("Comparators","Description",D43)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GetValue("Categories","Name",B44)</f>
        <v>datetime</v>
      </c>
      <c r="D44">
        <v>5</v>
      </c>
      <c r="E44" s="19" t="str" cm="1">
        <f t="array" ref="E44">GetValue("Comparators","Symbol",D44)</f>
        <v>≥</v>
      </c>
      <c r="F44" t="str" cm="1">
        <f t="array" ref="F44">GetValue("Comparators","Description",D44)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GetValue("Categories","Name",B45)</f>
        <v>datetime</v>
      </c>
      <c r="D45">
        <v>6</v>
      </c>
      <c r="E45" s="19" t="str" cm="1">
        <f t="array" ref="E45">GetValue("Comparators","Symbol",D45)</f>
        <v>&gt;</v>
      </c>
      <c r="F45" t="str" cm="1">
        <f t="array" ref="F45">GetValue("Comparators","Description",D45)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GetValue("Categories","Name",B46)</f>
        <v>datetime</v>
      </c>
      <c r="D46">
        <v>7</v>
      </c>
      <c r="E46" s="19" t="str" cm="1">
        <f t="array" ref="E46">GetValue("Comparators","Symbol",D46)</f>
        <v>∈</v>
      </c>
      <c r="F46" t="str" cm="1">
        <f t="array" ref="F46">GetValue("Comparators","Description",D46)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GetValue("Categories","Name",B47)</f>
        <v>datetime</v>
      </c>
      <c r="D47">
        <v>8</v>
      </c>
      <c r="E47" s="19" t="str" cm="1">
        <f t="array" ref="E47">GetValue("Comparators","Symbol",D47)</f>
        <v>∉</v>
      </c>
      <c r="F47" t="str" cm="1">
        <f t="array" ref="F47">GetValue("Comparators","Description",D47)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GetValue("Categories","Name",B48)</f>
        <v>datetime</v>
      </c>
      <c r="D48">
        <v>11</v>
      </c>
      <c r="E48" s="19" t="str" cm="1">
        <f t="array" ref="E48">GetValue("Comparators","Symbol",D48)</f>
        <v>∃</v>
      </c>
      <c r="F48" t="str" cm="1">
        <f t="array" ref="F48">GetValue("Comparators","Description",D48)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GetValue("Categories","Name",B49)</f>
        <v>datetime</v>
      </c>
      <c r="D49">
        <v>12</v>
      </c>
      <c r="E49" s="19" t="str" cm="1">
        <f t="array" ref="E49">GetValue("Comparators","Symbol",D49)</f>
        <v>∄</v>
      </c>
      <c r="F49" t="str" cm="1">
        <f t="array" ref="F49">GetValue("Comparators","Description",D49)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GetValue("Categories","Name",B50)</f>
        <v>datetime</v>
      </c>
      <c r="D50">
        <v>13</v>
      </c>
      <c r="E50" s="19" t="str" cm="1">
        <f t="array" ref="E50">GetValue("Comparators","Symbol",D50)</f>
        <v>∅</v>
      </c>
      <c r="F50" t="str" cm="1">
        <f t="array" ref="F50">GetValue("Comparators","Description",D50)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GetValue("Categories","Name",B51)</f>
        <v>datetime</v>
      </c>
      <c r="D51">
        <v>14</v>
      </c>
      <c r="E51" s="19" t="str" cm="1">
        <f t="array" ref="E51">GetValue("Comparators","Symbol",D51)</f>
        <v>⊗</v>
      </c>
      <c r="F51" t="str" cm="1">
        <f t="array" ref="F51">GetValue("Comparators","Description",D51)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</v>
      </c>
      <c r="E52" s="19" t="str" cm="1">
        <f t="array" ref="E52">GetValue("Comparators","Symbol",D52)</f>
        <v>&lt;</v>
      </c>
      <c r="F52" t="str" cm="1">
        <f t="array" ref="F52">GetValue("Comparators","Description",D52)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2</v>
      </c>
      <c r="E53" s="19" t="str" cm="1">
        <f t="array" ref="E53">GetValue("Comparators","Symbol",D53)</f>
        <v>≤</v>
      </c>
      <c r="F53" t="str" cm="1">
        <f t="array" ref="F53">GetValue("Comparators","Description",D53)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GetValue("Categories","Name",B54)</f>
        <v>boolean</v>
      </c>
      <c r="D54">
        <v>3</v>
      </c>
      <c r="E54" s="19" t="str" cm="1">
        <f t="array" ref="E54">GetValue("Comparators","Symbol",D54)</f>
        <v>=</v>
      </c>
      <c r="F54" t="str" cm="1">
        <f t="array" ref="F54">GetValue("Comparators","Description",D54)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GetValue("Categories","Name",B55)</f>
        <v>boolean</v>
      </c>
      <c r="D55">
        <v>4</v>
      </c>
      <c r="E55" s="19" t="str" cm="1">
        <f t="array" ref="E55">GetValue("Comparators","Symbol",D55)</f>
        <v>≠</v>
      </c>
      <c r="F55" t="str" cm="1">
        <f t="array" ref="F55">GetValue("Comparators","Description",D55)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GetValue("Categories","Name",B56)</f>
        <v>boolean</v>
      </c>
      <c r="D56">
        <v>5</v>
      </c>
      <c r="E56" s="19" t="str" cm="1">
        <f t="array" ref="E56">GetValue("Comparators","Symbol",D56)</f>
        <v>≥</v>
      </c>
      <c r="F56" t="str" cm="1">
        <f t="array" ref="F56">GetValue("Comparators","Description",D56)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GetValue("Categories","Name",B57)</f>
        <v>boolean</v>
      </c>
      <c r="D57">
        <v>6</v>
      </c>
      <c r="E57" s="19" t="str" cm="1">
        <f t="array" ref="E57">GetValue("Comparators","Symbol",D57)</f>
        <v>&gt;</v>
      </c>
      <c r="F57" t="str" cm="1">
        <f t="array" ref="F57">GetValue("Comparators","Description",D57)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GetValue("Categories","Name",B58)</f>
        <v>boolean</v>
      </c>
      <c r="D58">
        <v>7</v>
      </c>
      <c r="E58" s="19" t="str" cm="1">
        <f t="array" ref="E58">GetValue("Comparators","Symbol",D58)</f>
        <v>∈</v>
      </c>
      <c r="F58" t="str" cm="1">
        <f t="array" ref="F58">GetValue("Comparators","Description",D58)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GetValue("Categories","Name",B59)</f>
        <v>boolean</v>
      </c>
      <c r="D59">
        <v>8</v>
      </c>
      <c r="E59" s="19" t="str" cm="1">
        <f t="array" ref="E59">GetValue("Comparators","Symbol",D59)</f>
        <v>∉</v>
      </c>
      <c r="F59" t="str" cm="1">
        <f t="array" ref="F59">GetValue("Comparators","Description",D59)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GetValue("Categories","Name",B60)</f>
        <v>boolean</v>
      </c>
      <c r="D60">
        <v>11</v>
      </c>
      <c r="E60" s="19" t="str" cm="1">
        <f t="array" ref="E60">GetValue("Comparators","Symbol",D60)</f>
        <v>∃</v>
      </c>
      <c r="F60" t="str" cm="1">
        <f t="array" ref="F60">GetValue("Comparators","Description",D60)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GetValue("Categories","Name",B61)</f>
        <v>boolean</v>
      </c>
      <c r="D61">
        <v>12</v>
      </c>
      <c r="E61" s="19" t="str" cm="1">
        <f t="array" ref="E61">GetValue("Comparators","Symbol",D61)</f>
        <v>∄</v>
      </c>
      <c r="F61" t="str" cm="1">
        <f t="array" ref="F61">GetValue("Comparators","Description",D61)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GetValue("Categories","Name",B62)</f>
        <v>boolean</v>
      </c>
      <c r="D62">
        <v>13</v>
      </c>
      <c r="E62" s="19" t="str" cm="1">
        <f t="array" ref="E62">GetValue("Comparators","Symbol",D62)</f>
        <v>∅</v>
      </c>
      <c r="F62" t="str" cm="1">
        <f t="array" ref="F62">GetValue("Comparators","Description",D62)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GetValue("Categories","Name",B63)</f>
        <v>boolean</v>
      </c>
      <c r="D63">
        <v>14</v>
      </c>
      <c r="E63" s="19" t="str" cm="1">
        <f t="array" ref="E63">GetValue("Comparators","Symbol",D63)</f>
        <v>⊗</v>
      </c>
      <c r="F63" t="str" cm="1">
        <f t="array" ref="F63">GetValue("Comparators","Description",D63)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GetValue("Categories","Name",B64)</f>
        <v>time</v>
      </c>
      <c r="D64">
        <v>9</v>
      </c>
      <c r="E64" s="19" t="str" cm="1">
        <f t="array" ref="E64">GetValue("Comparators","Symbol",D64)</f>
        <v>⊃</v>
      </c>
      <c r="F64" t="str" cm="1">
        <f t="array" ref="F64">GetValue("Comparators","Description",D64)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GetValue("Categories","Name",B65)</f>
        <v>time</v>
      </c>
      <c r="D65">
        <v>10</v>
      </c>
      <c r="E65" s="19" t="str" cm="1">
        <f t="array" ref="E65">GetValue("Comparators","Symbol",D65)</f>
        <v>⊅</v>
      </c>
      <c r="F65" t="str" cm="1">
        <f t="array" ref="F65">GetValue("Comparators","Description",D65)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GetValue("Categories","Name",B66)</f>
        <v>time</v>
      </c>
      <c r="D66">
        <v>13</v>
      </c>
      <c r="E66" s="19" t="str" cm="1">
        <f t="array" ref="E66">GetValue("Comparators","Symbol",D66)</f>
        <v>∅</v>
      </c>
      <c r="F66" t="str" cm="1">
        <f t="array" ref="F66">GetValue("Comparators","Description",D66)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GetValue("Categories","Name",B67)</f>
        <v>time</v>
      </c>
      <c r="D67">
        <v>14</v>
      </c>
      <c r="E67" s="19" t="str" cm="1">
        <f t="array" ref="E67">GetValue("Comparators","Symbol",D67)</f>
        <v>⊗</v>
      </c>
      <c r="F67" t="str" cm="1">
        <f t="array" ref="F67">GetValue("Comparators","Description",D67)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GetValue("Categories","Name",B68)</f>
        <v>text</v>
      </c>
      <c r="D68">
        <v>3</v>
      </c>
      <c r="E68" s="19" t="str" cm="1">
        <f t="array" ref="E68">GetValue("Comparators","Symbol",D68)</f>
        <v>=</v>
      </c>
      <c r="F68" t="str" cm="1">
        <f t="array" ref="F68">GetValue("Comparators","Description",D68)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GetValue("Categories","Name",B69)</f>
        <v>text</v>
      </c>
      <c r="D69">
        <v>4</v>
      </c>
      <c r="E69" s="19" t="str" cm="1">
        <f t="array" ref="E69">GetValue("Comparators","Symbol",D69)</f>
        <v>≠</v>
      </c>
      <c r="F69" t="str" cm="1">
        <f t="array" ref="F69">GetValue("Comparators","Description",D69)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">
        <v>20</v>
      </c>
      <c r="D70">
        <v>9</v>
      </c>
      <c r="E70" s="19" t="s">
        <v>552</v>
      </c>
      <c r="F70" t="s">
        <v>553</v>
      </c>
    </row>
    <row r="71" spans="1:6" x14ac:dyDescent="0.3">
      <c r="A71">
        <f t="shared" si="1"/>
        <v>70</v>
      </c>
      <c r="B71">
        <v>7</v>
      </c>
      <c r="C71" t="s">
        <v>20</v>
      </c>
      <c r="D71">
        <v>10</v>
      </c>
      <c r="E71" s="19" t="s">
        <v>554</v>
      </c>
      <c r="F71" t="s">
        <v>555</v>
      </c>
    </row>
    <row r="72" spans="1:6" x14ac:dyDescent="0.3">
      <c r="A72">
        <f t="shared" si="1"/>
        <v>71</v>
      </c>
      <c r="B72">
        <v>7</v>
      </c>
      <c r="C72" t="str" cm="1">
        <f t="array" ref="C72">GetValue("Categories","Name",B72)</f>
        <v>text</v>
      </c>
      <c r="D72">
        <v>13</v>
      </c>
      <c r="E72" s="19" t="str" cm="1">
        <f t="array" ref="E72">GetValue("Comparators","Symbol",D72)</f>
        <v>∅</v>
      </c>
      <c r="F72" t="str" cm="1">
        <f t="array" ref="F72">GetValue("Comparators","Description",D72)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GetValue("Categories","Name",B73)</f>
        <v>text</v>
      </c>
      <c r="D73">
        <v>14</v>
      </c>
      <c r="E73" s="19" t="str" cm="1">
        <f t="array" ref="E73">GetValue("Comparators","Symbol",D73)</f>
        <v>⊗</v>
      </c>
      <c r="F73" t="str" cm="1">
        <f t="array" ref="F73">GetValue("Comparators","Description",D73)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580</v>
      </c>
      <c r="B1" s="1" t="s">
        <v>25</v>
      </c>
      <c r="C1" s="1" t="s">
        <v>321</v>
      </c>
      <c r="D1" s="1" t="s">
        <v>1</v>
      </c>
      <c r="E1" s="1" t="s">
        <v>336</v>
      </c>
      <c r="F1" s="1" t="s">
        <v>353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339</v>
      </c>
      <c r="O1" s="1" t="s">
        <v>286</v>
      </c>
      <c r="P1" s="1" t="s">
        <v>506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453</v>
      </c>
      <c r="H6" s="6" t="s">
        <v>454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455</v>
      </c>
      <c r="H7" s="6" t="s">
        <v>456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457</v>
      </c>
      <c r="H8" s="6" t="s">
        <v>458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457</v>
      </c>
      <c r="H9" s="6" t="s">
        <v>458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381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459</v>
      </c>
      <c r="H24" s="6" t="s">
        <v>460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461</v>
      </c>
      <c r="H30" s="6" t="s">
        <v>462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382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380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475</v>
      </c>
      <c r="C7" t="s">
        <v>481</v>
      </c>
    </row>
    <row r="8" spans="1:3" x14ac:dyDescent="0.3">
      <c r="A8">
        <f>ROW(A8)-1</f>
        <v>7</v>
      </c>
      <c r="B8" t="s">
        <v>474</v>
      </c>
      <c r="C8" t="s">
        <v>82</v>
      </c>
    </row>
    <row r="9" spans="1:3" x14ac:dyDescent="0.3">
      <c r="A9">
        <f t="shared" si="0"/>
        <v>8</v>
      </c>
      <c r="B9" t="s">
        <v>476</v>
      </c>
      <c r="C9" t="s">
        <v>502</v>
      </c>
    </row>
    <row r="10" spans="1:3" x14ac:dyDescent="0.3">
      <c r="A10">
        <f t="shared" si="0"/>
        <v>9</v>
      </c>
      <c r="B10" t="s">
        <v>486</v>
      </c>
      <c r="C10" t="s">
        <v>482</v>
      </c>
    </row>
    <row r="11" spans="1:3" x14ac:dyDescent="0.3">
      <c r="A11">
        <f>ROW(A11)-1</f>
        <v>10</v>
      </c>
      <c r="B11" t="s">
        <v>487</v>
      </c>
      <c r="C11" t="s">
        <v>480</v>
      </c>
    </row>
    <row r="12" spans="1:3" x14ac:dyDescent="0.3">
      <c r="A12">
        <f t="shared" si="0"/>
        <v>11</v>
      </c>
      <c r="B12" t="s">
        <v>488</v>
      </c>
      <c r="C12" t="s">
        <v>501</v>
      </c>
    </row>
    <row r="13" spans="1:3" x14ac:dyDescent="0.3">
      <c r="A13">
        <f t="shared" si="0"/>
        <v>12</v>
      </c>
      <c r="B13" t="s">
        <v>477</v>
      </c>
      <c r="C13" t="s">
        <v>490</v>
      </c>
    </row>
    <row r="14" spans="1:3" x14ac:dyDescent="0.3">
      <c r="A14">
        <f>ROW(A14)-1</f>
        <v>13</v>
      </c>
      <c r="B14" t="s">
        <v>478</v>
      </c>
      <c r="C14" t="s">
        <v>489</v>
      </c>
    </row>
    <row r="15" spans="1:3" x14ac:dyDescent="0.3">
      <c r="A15">
        <f t="shared" si="0"/>
        <v>14</v>
      </c>
      <c r="B15" t="s">
        <v>479</v>
      </c>
      <c r="C15" t="s">
        <v>500</v>
      </c>
    </row>
    <row r="16" spans="1:3" x14ac:dyDescent="0.3">
      <c r="A16">
        <f t="shared" si="0"/>
        <v>15</v>
      </c>
      <c r="B16" t="s">
        <v>483</v>
      </c>
      <c r="C16" t="s">
        <v>492</v>
      </c>
    </row>
    <row r="17" spans="1:3" x14ac:dyDescent="0.3">
      <c r="A17">
        <f>ROW(A17)-1</f>
        <v>16</v>
      </c>
      <c r="B17" t="s">
        <v>484</v>
      </c>
      <c r="C17" t="s">
        <v>491</v>
      </c>
    </row>
    <row r="18" spans="1:3" x14ac:dyDescent="0.3">
      <c r="A18">
        <f t="shared" si="0"/>
        <v>17</v>
      </c>
      <c r="B18" t="s">
        <v>485</v>
      </c>
      <c r="C18" t="s">
        <v>499</v>
      </c>
    </row>
    <row r="19" spans="1:3" x14ac:dyDescent="0.3">
      <c r="A19">
        <f t="shared" ref="A19:A26" si="1">ROW(A19)-1</f>
        <v>18</v>
      </c>
      <c r="B19" t="s">
        <v>470</v>
      </c>
      <c r="C19" t="s">
        <v>471</v>
      </c>
    </row>
    <row r="20" spans="1:3" x14ac:dyDescent="0.3">
      <c r="A20">
        <f t="shared" si="1"/>
        <v>19</v>
      </c>
      <c r="B20" t="s">
        <v>469</v>
      </c>
      <c r="C20" t="s">
        <v>466</v>
      </c>
    </row>
    <row r="21" spans="1:3" x14ac:dyDescent="0.3">
      <c r="A21">
        <f t="shared" si="1"/>
        <v>20</v>
      </c>
      <c r="B21" t="s">
        <v>472</v>
      </c>
      <c r="C21" t="s">
        <v>473</v>
      </c>
    </row>
    <row r="22" spans="1:3" x14ac:dyDescent="0.3">
      <c r="A22">
        <f t="shared" si="1"/>
        <v>21</v>
      </c>
      <c r="B22" t="s">
        <v>496</v>
      </c>
      <c r="C22" t="s">
        <v>493</v>
      </c>
    </row>
    <row r="23" spans="1:3" x14ac:dyDescent="0.3">
      <c r="A23">
        <f t="shared" si="1"/>
        <v>22</v>
      </c>
      <c r="B23" t="s">
        <v>497</v>
      </c>
      <c r="C23" t="s">
        <v>494</v>
      </c>
    </row>
    <row r="24" spans="1:3" x14ac:dyDescent="0.3">
      <c r="A24">
        <f t="shared" si="1"/>
        <v>23</v>
      </c>
      <c r="B24" t="s">
        <v>498</v>
      </c>
      <c r="C24" t="s">
        <v>495</v>
      </c>
    </row>
    <row r="25" spans="1:3" x14ac:dyDescent="0.3">
      <c r="A25">
        <f t="shared" si="1"/>
        <v>24</v>
      </c>
      <c r="B25" t="s">
        <v>467</v>
      </c>
      <c r="C25" t="s">
        <v>468</v>
      </c>
    </row>
    <row r="26" spans="1:3" x14ac:dyDescent="0.3">
      <c r="A26">
        <f t="shared" si="1"/>
        <v>25</v>
      </c>
      <c r="B26" t="s">
        <v>504</v>
      </c>
      <c r="C26" t="s">
        <v>503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580</v>
      </c>
      <c r="B1" s="1" t="s">
        <v>62</v>
      </c>
      <c r="C1" s="1" t="s">
        <v>322</v>
      </c>
      <c r="D1" s="1" t="s">
        <v>321</v>
      </c>
      <c r="E1" s="1" t="s">
        <v>336</v>
      </c>
      <c r="F1" s="1" t="s">
        <v>63</v>
      </c>
      <c r="G1" s="1" t="s">
        <v>323</v>
      </c>
      <c r="H1" s="1" t="s">
        <v>505</v>
      </c>
      <c r="I1" s="1" t="s">
        <v>1</v>
      </c>
      <c r="J1" s="1" t="s">
        <v>64</v>
      </c>
      <c r="K1" s="1" t="s">
        <v>65</v>
      </c>
      <c r="L1" s="1" t="s">
        <v>295</v>
      </c>
      <c r="M1" s="1" t="s">
        <v>66</v>
      </c>
      <c r="N1" s="1" t="s">
        <v>26</v>
      </c>
      <c r="O1" s="1" t="s">
        <v>27</v>
      </c>
      <c r="P1" s="1" t="s">
        <v>287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383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384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385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386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387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388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517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518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519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287</v>
      </c>
      <c r="J19">
        <v>5</v>
      </c>
      <c r="L19" t="s">
        <v>516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289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319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408</v>
      </c>
      <c r="J22">
        <v>15</v>
      </c>
      <c r="L22" t="s">
        <v>423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514</v>
      </c>
      <c r="J23">
        <v>3</v>
      </c>
      <c r="L23" t="s">
        <v>515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533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579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333</v>
      </c>
    </row>
    <row r="2" spans="1:6" x14ac:dyDescent="0.3">
      <c r="A2">
        <f>ROW(A2)-1</f>
        <v>1</v>
      </c>
      <c r="B2" t="s">
        <v>355</v>
      </c>
      <c r="C2" t="s">
        <v>356</v>
      </c>
      <c r="D2" t="s">
        <v>377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580</v>
      </c>
      <c r="B1" s="1" t="s">
        <v>87</v>
      </c>
      <c r="C1" s="1" t="s">
        <v>325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338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357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358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359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360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361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362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363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364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365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137</v>
      </c>
      <c r="F14" t="s">
        <v>99</v>
      </c>
      <c r="G14" t="s">
        <v>358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296</v>
      </c>
      <c r="C2" t="s">
        <v>296</v>
      </c>
      <c r="D2" t="s">
        <v>297</v>
      </c>
      <c r="E2">
        <v>0</v>
      </c>
      <c r="F2" t="b">
        <v>1</v>
      </c>
    </row>
    <row r="3" spans="1:6" x14ac:dyDescent="0.3">
      <c r="A3">
        <f>ROW(A3)-1</f>
        <v>2</v>
      </c>
      <c r="B3" t="s">
        <v>317</v>
      </c>
      <c r="C3" t="s">
        <v>120</v>
      </c>
      <c r="D3" t="s">
        <v>318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580</v>
      </c>
      <c r="B1" s="1" t="s">
        <v>87</v>
      </c>
      <c r="C1" s="1" t="s">
        <v>325</v>
      </c>
      <c r="D1" s="1" t="s">
        <v>121</v>
      </c>
      <c r="E1" s="1" t="s">
        <v>324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580</v>
      </c>
      <c r="B1" s="1" t="s">
        <v>514</v>
      </c>
      <c r="C1" s="1" t="s">
        <v>520</v>
      </c>
    </row>
    <row r="2" spans="1:3" x14ac:dyDescent="0.3">
      <c r="A2">
        <v>1</v>
      </c>
      <c r="B2" t="s">
        <v>521</v>
      </c>
      <c r="C2" t="s">
        <v>527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580</v>
      </c>
      <c r="B1" s="1" t="s">
        <v>424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406</v>
      </c>
      <c r="H1" s="1" t="s">
        <v>422</v>
      </c>
    </row>
    <row r="2" spans="1:8" x14ac:dyDescent="0.3">
      <c r="A2">
        <f>ROW(A2)-1</f>
        <v>1</v>
      </c>
      <c r="B2">
        <v>1</v>
      </c>
      <c r="C2" t="s">
        <v>355</v>
      </c>
      <c r="D2" t="s">
        <v>355</v>
      </c>
      <c r="E2" t="s">
        <v>356</v>
      </c>
      <c r="F2" t="s">
        <v>526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580</v>
      </c>
      <c r="B1" s="1" t="s">
        <v>87</v>
      </c>
      <c r="C1" s="1" t="s">
        <v>325</v>
      </c>
      <c r="D1" s="1" t="s">
        <v>124</v>
      </c>
      <c r="E1" s="1" t="s">
        <v>326</v>
      </c>
      <c r="F1" s="1" t="s">
        <v>431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30"/>
  <sheetViews>
    <sheetView workbookViewId="0">
      <pane ySplit="1" topLeftCell="A5" activePane="bottomLeft" state="frozen"/>
      <selection pane="bottomLeft" activeCell="E1" sqref="E1:F104857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580</v>
      </c>
      <c r="B1" s="1" t="s">
        <v>1</v>
      </c>
      <c r="C1" s="1" t="s">
        <v>122</v>
      </c>
      <c r="D1" s="1" t="s">
        <v>84</v>
      </c>
      <c r="E1" s="1" t="s">
        <v>331</v>
      </c>
    </row>
    <row r="2" spans="1:5" x14ac:dyDescent="0.3">
      <c r="A2">
        <f t="shared" ref="A2:A9" si="0">ROW(A2)-1</f>
        <v>1</v>
      </c>
      <c r="B2" t="s">
        <v>141</v>
      </c>
      <c r="C2" t="s">
        <v>301</v>
      </c>
      <c r="D2" t="s">
        <v>142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125</v>
      </c>
      <c r="C3" t="s">
        <v>302</v>
      </c>
      <c r="D3" t="s">
        <v>400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127</v>
      </c>
      <c r="C4" t="s">
        <v>77</v>
      </c>
      <c r="D4" t="s">
        <v>128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126</v>
      </c>
      <c r="C5" t="s">
        <v>303</v>
      </c>
      <c r="D5" t="s">
        <v>401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129</v>
      </c>
      <c r="C6" t="s">
        <v>304</v>
      </c>
      <c r="D6" t="s">
        <v>102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100</v>
      </c>
      <c r="C7" t="s">
        <v>305</v>
      </c>
      <c r="D7" t="s">
        <v>399</v>
      </c>
      <c r="E7" cm="1">
        <f t="array" ref="E7">GetLastId(A7)</f>
        <v>13</v>
      </c>
    </row>
    <row r="8" spans="1:5" x14ac:dyDescent="0.3">
      <c r="A8">
        <f t="shared" si="0"/>
        <v>7</v>
      </c>
      <c r="B8" t="s">
        <v>130</v>
      </c>
      <c r="C8" t="s">
        <v>306</v>
      </c>
      <c r="D8" t="s">
        <v>398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131</v>
      </c>
      <c r="C9" t="s">
        <v>307</v>
      </c>
      <c r="D9" t="s">
        <v>132</v>
      </c>
      <c r="E9" cm="1">
        <f t="array" ref="E9">GetLastId(A9)</f>
        <v>2</v>
      </c>
    </row>
    <row r="10" spans="1:5" x14ac:dyDescent="0.3">
      <c r="A10">
        <v>9</v>
      </c>
      <c r="B10" t="s">
        <v>392</v>
      </c>
      <c r="C10" t="s">
        <v>393</v>
      </c>
      <c r="D10" t="s">
        <v>397</v>
      </c>
      <c r="E10" cm="1">
        <f t="array" ref="E10">GetLastId(A10)</f>
        <v>1</v>
      </c>
    </row>
    <row r="11" spans="1:5" x14ac:dyDescent="0.3">
      <c r="A11">
        <f t="shared" ref="A11:A30" si="1">ROW(A11)-1</f>
        <v>10</v>
      </c>
      <c r="B11" t="s">
        <v>133</v>
      </c>
      <c r="C11" t="s">
        <v>308</v>
      </c>
      <c r="D11" t="s">
        <v>134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135</v>
      </c>
      <c r="C12" t="s">
        <v>309</v>
      </c>
      <c r="D12" t="s">
        <v>136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137</v>
      </c>
      <c r="C13" t="s">
        <v>310</v>
      </c>
      <c r="D13" t="s">
        <v>402</v>
      </c>
      <c r="E13" cm="1">
        <f t="array" ref="E13">GetLastId(A13)</f>
        <v>29</v>
      </c>
    </row>
    <row r="14" spans="1:5" x14ac:dyDescent="0.3">
      <c r="A14">
        <f t="shared" si="1"/>
        <v>13</v>
      </c>
      <c r="B14" t="s">
        <v>298</v>
      </c>
      <c r="C14" t="s">
        <v>311</v>
      </c>
      <c r="D14" t="s">
        <v>299</v>
      </c>
      <c r="E14" cm="1">
        <f t="array" ref="E14">GetLastId(A14)</f>
        <v>29</v>
      </c>
    </row>
    <row r="15" spans="1:5" x14ac:dyDescent="0.3">
      <c r="A15">
        <f t="shared" si="1"/>
        <v>14</v>
      </c>
      <c r="B15" t="s">
        <v>138</v>
      </c>
      <c r="C15" t="s">
        <v>312</v>
      </c>
      <c r="D15" t="s">
        <v>395</v>
      </c>
      <c r="E15" cm="1">
        <f t="array" ref="E15">GetLastId(A15)</f>
        <v>187</v>
      </c>
    </row>
    <row r="16" spans="1:5" x14ac:dyDescent="0.3">
      <c r="A16">
        <f t="shared" si="1"/>
        <v>15</v>
      </c>
      <c r="B16" t="s">
        <v>139</v>
      </c>
      <c r="C16" t="s">
        <v>313</v>
      </c>
      <c r="D16" t="s">
        <v>396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290</v>
      </c>
      <c r="C17" t="s">
        <v>314</v>
      </c>
      <c r="D17" t="s">
        <v>140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508</v>
      </c>
      <c r="C18" t="s">
        <v>509</v>
      </c>
      <c r="D18" t="s">
        <v>510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403</v>
      </c>
      <c r="C19" t="s">
        <v>404</v>
      </c>
      <c r="D19" t="s">
        <v>405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407</v>
      </c>
      <c r="C20" t="s">
        <v>408</v>
      </c>
      <c r="D20" t="s">
        <v>409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464</v>
      </c>
      <c r="C21" t="s">
        <v>465</v>
      </c>
      <c r="D21" t="s">
        <v>433</v>
      </c>
      <c r="E21" cm="1">
        <f t="array" ref="E21">GetLastId(A21)</f>
        <v>1</v>
      </c>
    </row>
    <row r="22" spans="1:5" x14ac:dyDescent="0.3">
      <c r="A22">
        <f t="shared" si="1"/>
        <v>21</v>
      </c>
      <c r="B22" t="s">
        <v>563</v>
      </c>
      <c r="C22" t="s">
        <v>564</v>
      </c>
      <c r="D22" t="s">
        <v>565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566</v>
      </c>
      <c r="C23" t="s">
        <v>567</v>
      </c>
      <c r="D23" t="s">
        <v>568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592</v>
      </c>
      <c r="C24" t="s">
        <v>591</v>
      </c>
      <c r="D24" t="s">
        <v>593</v>
      </c>
      <c r="E24" cm="1">
        <f t="array" ref="E24">GetLastId(A24)</f>
        <v>1</v>
      </c>
    </row>
    <row r="25" spans="1:5" x14ac:dyDescent="0.3">
      <c r="A25">
        <f t="shared" si="1"/>
        <v>24</v>
      </c>
      <c r="B25" t="s">
        <v>653</v>
      </c>
      <c r="C25" t="s">
        <v>659</v>
      </c>
      <c r="D25" t="s">
        <v>663</v>
      </c>
      <c r="E25" cm="1">
        <f t="array" ref="E25">GetLastId(A25)</f>
        <v>1</v>
      </c>
    </row>
    <row r="26" spans="1:5" x14ac:dyDescent="0.3">
      <c r="A26">
        <f t="shared" si="1"/>
        <v>25</v>
      </c>
      <c r="B26" t="s">
        <v>654</v>
      </c>
      <c r="C26" t="s">
        <v>660</v>
      </c>
      <c r="D26" t="s">
        <v>664</v>
      </c>
      <c r="E26" cm="1">
        <f t="array" ref="E26">GetLastId(A26)</f>
        <v>1</v>
      </c>
    </row>
    <row r="27" spans="1:5" x14ac:dyDescent="0.3">
      <c r="A27">
        <f t="shared" si="1"/>
        <v>26</v>
      </c>
      <c r="B27" t="s">
        <v>655</v>
      </c>
      <c r="C27" t="s">
        <v>661</v>
      </c>
      <c r="D27" t="s">
        <v>656</v>
      </c>
      <c r="E27" cm="1">
        <f t="array" ref="E27">GetLastId(A27)</f>
        <v>19</v>
      </c>
    </row>
    <row r="28" spans="1:5" x14ac:dyDescent="0.3">
      <c r="A28">
        <f t="shared" si="1"/>
        <v>27</v>
      </c>
      <c r="B28" t="s">
        <v>657</v>
      </c>
      <c r="C28" t="s">
        <v>662</v>
      </c>
      <c r="D28" t="s">
        <v>658</v>
      </c>
      <c r="E28" cm="1">
        <f t="array" ref="E28">GetLastId(A28)</f>
        <v>1</v>
      </c>
    </row>
    <row r="29" spans="1:5" x14ac:dyDescent="0.3">
      <c r="A29">
        <f t="shared" si="1"/>
        <v>28</v>
      </c>
      <c r="B29" t="s">
        <v>703</v>
      </c>
      <c r="C29" t="s">
        <v>704</v>
      </c>
      <c r="D29" t="s">
        <v>717</v>
      </c>
      <c r="E29" cm="1">
        <f t="array" ref="E29">GetLastId(A29)</f>
        <v>27</v>
      </c>
    </row>
    <row r="30" spans="1:5" x14ac:dyDescent="0.3">
      <c r="A30">
        <f t="shared" si="1"/>
        <v>29</v>
      </c>
      <c r="B30" t="s">
        <v>705</v>
      </c>
      <c r="C30" t="s">
        <v>706</v>
      </c>
      <c r="D30" t="s">
        <v>716</v>
      </c>
      <c r="E30" cm="1">
        <f t="array" ref="E30">GetLastId(A30)</f>
        <v>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30"/>
  <sheetViews>
    <sheetView workbookViewId="0">
      <selection activeCell="C15" sqref="C1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580</v>
      </c>
      <c r="B1" s="1" t="s">
        <v>124</v>
      </c>
      <c r="C1" s="1" t="s">
        <v>326</v>
      </c>
      <c r="D1" s="1" t="s">
        <v>431</v>
      </c>
      <c r="E1" s="1" t="s">
        <v>143</v>
      </c>
      <c r="F1" s="1" t="s">
        <v>327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30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testes</v>
      </c>
      <c r="G24" t="str">
        <f t="shared" ref="G24" si="5">_xlfn.CONCAT(C24," x ",F24)</f>
        <v>crudex x testes</v>
      </c>
    </row>
    <row r="25" spans="1:7" x14ac:dyDescent="0.3">
      <c r="A25">
        <f t="shared" si="1"/>
        <v>24</v>
      </c>
      <c r="B25">
        <v>1</v>
      </c>
      <c r="C25" t="str" cm="1">
        <f t="array" ref="C25">GetValue("Databases","Name",B25)</f>
        <v>crudex</v>
      </c>
      <c r="D25" cm="1">
        <f t="array" ref="D25">GetValue("Databases","ConnectionId",B25)</f>
        <v>1</v>
      </c>
      <c r="E25">
        <v>24</v>
      </c>
      <c r="F25" t="str" cm="1">
        <f t="array" ref="F25">GetValue("Tables","Name",E25)</f>
        <v>Expressions</v>
      </c>
      <c r="G25" t="str">
        <f t="shared" ref="G25:G28" si="6">_xlfn.CONCAT(C25," x ",F25)</f>
        <v>crudex x Expressions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GetValue("Databases","Name",B26)</f>
        <v>crudex</v>
      </c>
      <c r="D26" cm="1">
        <f t="array" ref="D26">GetValue("Databases","ConnectionId",B26)</f>
        <v>1</v>
      </c>
      <c r="E26">
        <v>25</v>
      </c>
      <c r="F26" t="str" cm="1">
        <f t="array" ref="F26">GetValue("Tables","Name",E26)</f>
        <v>Conditions</v>
      </c>
      <c r="G26" t="str">
        <f t="shared" si="6"/>
        <v>crudex x Conditions</v>
      </c>
    </row>
    <row r="27" spans="1:7" x14ac:dyDescent="0.3">
      <c r="A27">
        <f t="shared" si="1"/>
        <v>26</v>
      </c>
      <c r="B27">
        <v>1</v>
      </c>
      <c r="C27" t="str" cm="1">
        <f t="array" ref="C27">GetValue("Databases","Name",B27)</f>
        <v>crudex</v>
      </c>
      <c r="D27" cm="1">
        <f t="array" ref="D27">GetValue("Databases","ConnectionId",B27)</f>
        <v>1</v>
      </c>
      <c r="E27">
        <v>26</v>
      </c>
      <c r="F27" t="str" cm="1">
        <f t="array" ref="F27">GetValue("Tables","Name",E27)</f>
        <v>Properties</v>
      </c>
      <c r="G27" t="str">
        <f t="shared" si="6"/>
        <v>crudex x Properties</v>
      </c>
    </row>
    <row r="28" spans="1:7" x14ac:dyDescent="0.3">
      <c r="A28">
        <f t="shared" si="1"/>
        <v>27</v>
      </c>
      <c r="B28">
        <v>1</v>
      </c>
      <c r="C28" t="str" cm="1">
        <f t="array" ref="C28">GetValue("Databases","Name",B28)</f>
        <v>crudex</v>
      </c>
      <c r="D28" cm="1">
        <f t="array" ref="D28">GetValue("Databases","ConnectionId",B28)</f>
        <v>1</v>
      </c>
      <c r="E28">
        <v>27</v>
      </c>
      <c r="F28" t="str" cm="1">
        <f t="array" ref="F28">GetValue("Tables","Name",E28)</f>
        <v>Behaviors</v>
      </c>
      <c r="G28" t="str">
        <f t="shared" si="6"/>
        <v>crudex x Behaviors</v>
      </c>
    </row>
    <row r="29" spans="1:7" x14ac:dyDescent="0.3">
      <c r="A29">
        <f t="shared" si="1"/>
        <v>28</v>
      </c>
      <c r="B29">
        <v>1</v>
      </c>
      <c r="C29" t="str" cm="1">
        <f t="array" ref="C29">GetValue("Databases","Name",B29)</f>
        <v>crudex</v>
      </c>
      <c r="D29" cm="1">
        <f t="array" ref="D29">GetValue("Databases","ConnectionId",B29)</f>
        <v>1</v>
      </c>
      <c r="E29">
        <v>28</v>
      </c>
      <c r="F29" t="str" cm="1">
        <f t="array" ref="F29">GetValue("Tables","Name",E29)</f>
        <v>References</v>
      </c>
      <c r="G29" t="str">
        <f t="shared" ref="G29:G30" si="7">_xlfn.CONCAT(C29," x ",F29)</f>
        <v>crudex x References</v>
      </c>
    </row>
    <row r="30" spans="1:7" x14ac:dyDescent="0.3">
      <c r="A30">
        <f t="shared" si="1"/>
        <v>29</v>
      </c>
      <c r="B30">
        <v>1</v>
      </c>
      <c r="C30" t="str" cm="1">
        <f t="array" ref="C30">GetValue("Databases","Name",B30)</f>
        <v>crudex</v>
      </c>
      <c r="D30" cm="1">
        <f t="array" ref="D30">GetValue("Databases","ConnectionId",B30)</f>
        <v>1</v>
      </c>
      <c r="E30">
        <v>29</v>
      </c>
      <c r="F30" t="str" cm="1">
        <f t="array" ref="F30">GetValue("Tables","Name",E30)</f>
        <v>Referencekeys</v>
      </c>
      <c r="G30" t="str">
        <f t="shared" si="7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86"/>
  <sheetViews>
    <sheetView zoomScaleNormal="100" workbookViewId="0">
      <pane ySplit="1" topLeftCell="A91" activePane="bottomLeft" state="frozen"/>
      <selection pane="bottomLeft" activeCell="E93" sqref="E9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580</v>
      </c>
      <c r="B1" s="10" t="s">
        <v>143</v>
      </c>
      <c r="C1" s="10" t="s">
        <v>327</v>
      </c>
      <c r="D1" s="10" t="s">
        <v>379</v>
      </c>
      <c r="E1" s="10" t="s">
        <v>88</v>
      </c>
      <c r="F1" s="10" t="s">
        <v>144</v>
      </c>
      <c r="G1" s="10" t="s">
        <v>328</v>
      </c>
      <c r="H1" s="10" t="s">
        <v>321</v>
      </c>
      <c r="I1" s="10" t="s">
        <v>322</v>
      </c>
      <c r="J1" s="10" t="s">
        <v>336</v>
      </c>
      <c r="K1" s="10" t="s">
        <v>1</v>
      </c>
      <c r="L1" s="10" t="s">
        <v>122</v>
      </c>
      <c r="M1" s="10" t="s">
        <v>84</v>
      </c>
      <c r="N1" s="10" t="s">
        <v>145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146</v>
      </c>
      <c r="T1" s="10" t="s">
        <v>147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340</v>
      </c>
      <c r="Z1" s="10" t="s">
        <v>152</v>
      </c>
      <c r="AA1" s="10" t="s">
        <v>376</v>
      </c>
      <c r="AB1" s="10" t="s">
        <v>534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 t="s">
        <v>0</v>
      </c>
      <c r="L2" s="7"/>
      <c r="M2" s="7" t="s">
        <v>272</v>
      </c>
      <c r="N2" s="7" t="s">
        <v>158</v>
      </c>
      <c r="O2" s="7" t="s">
        <v>158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 t="s">
        <v>1</v>
      </c>
      <c r="L3" s="7"/>
      <c r="M3" s="7" t="s">
        <v>273</v>
      </c>
      <c r="N3" s="7" t="s">
        <v>156</v>
      </c>
      <c r="O3" s="7" t="s">
        <v>156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 t="s">
        <v>2</v>
      </c>
      <c r="L4" s="7"/>
      <c r="M4" s="7" t="s">
        <v>274</v>
      </c>
      <c r="N4" s="7" t="s">
        <v>275</v>
      </c>
      <c r="O4" s="7" t="s">
        <v>275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 t="s">
        <v>3</v>
      </c>
      <c r="L5" s="7"/>
      <c r="M5" s="7" t="s">
        <v>276</v>
      </c>
      <c r="N5" s="7" t="s">
        <v>277</v>
      </c>
      <c r="O5" s="7" t="s">
        <v>277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 t="s">
        <v>4</v>
      </c>
      <c r="L6" s="7"/>
      <c r="M6" s="7" t="s">
        <v>374</v>
      </c>
      <c r="N6" s="7" t="s">
        <v>278</v>
      </c>
      <c r="O6" s="7" t="s">
        <v>278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 t="s">
        <v>5</v>
      </c>
      <c r="L7" s="7"/>
      <c r="M7" s="7" t="s">
        <v>373</v>
      </c>
      <c r="N7" s="7" t="s">
        <v>279</v>
      </c>
      <c r="O7" s="7" t="s">
        <v>279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 t="s">
        <v>6</v>
      </c>
      <c r="L8" s="7"/>
      <c r="M8" s="7" t="s">
        <v>372</v>
      </c>
      <c r="N8" s="7" t="s">
        <v>280</v>
      </c>
      <c r="O8" s="7" t="s">
        <v>280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 t="s">
        <v>7</v>
      </c>
      <c r="L9" s="7"/>
      <c r="M9" s="7" t="s">
        <v>371</v>
      </c>
      <c r="N9" s="7" t="s">
        <v>281</v>
      </c>
      <c r="O9" s="7" t="s">
        <v>281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 t="s">
        <v>8</v>
      </c>
      <c r="L10" s="7"/>
      <c r="M10" s="7" t="s">
        <v>370</v>
      </c>
      <c r="N10" s="7" t="s">
        <v>282</v>
      </c>
      <c r="O10" s="7" t="s">
        <v>282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 t="s">
        <v>9</v>
      </c>
      <c r="L11" s="7"/>
      <c r="M11" s="7" t="s">
        <v>369</v>
      </c>
      <c r="N11" s="7" t="s">
        <v>283</v>
      </c>
      <c r="O11" s="7" t="s">
        <v>283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 t="s">
        <v>366</v>
      </c>
      <c r="L12" s="7"/>
      <c r="M12" s="7" t="s">
        <v>368</v>
      </c>
      <c r="N12" s="7" t="s">
        <v>367</v>
      </c>
      <c r="O12" s="7" t="s">
        <v>367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 t="s">
        <v>0</v>
      </c>
      <c r="L13" s="9"/>
      <c r="M13" s="9" t="s">
        <v>153</v>
      </c>
      <c r="N13" s="9" t="s">
        <v>154</v>
      </c>
      <c r="O13" s="9" t="s">
        <v>154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20" t="s">
        <v>25</v>
      </c>
      <c r="L14" s="9"/>
      <c r="M14" s="9" t="s">
        <v>157</v>
      </c>
      <c r="N14" s="9" t="s">
        <v>158</v>
      </c>
      <c r="O14" s="9" t="s">
        <v>158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 t="s">
        <v>1</v>
      </c>
      <c r="L15" s="9"/>
      <c r="M15" s="9" t="s">
        <v>155</v>
      </c>
      <c r="N15" s="9" t="s">
        <v>156</v>
      </c>
      <c r="O15" s="9" t="s">
        <v>156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 t="s">
        <v>353</v>
      </c>
      <c r="L16" s="9"/>
      <c r="M16" s="9" t="s">
        <v>354</v>
      </c>
      <c r="N16" s="9" t="s">
        <v>354</v>
      </c>
      <c r="O16" s="9" t="s">
        <v>354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 t="s">
        <v>26</v>
      </c>
      <c r="L17" s="9"/>
      <c r="M17" s="9" t="s">
        <v>159</v>
      </c>
      <c r="N17" s="9" t="s">
        <v>160</v>
      </c>
      <c r="O17" s="9" t="s">
        <v>160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 t="s">
        <v>27</v>
      </c>
      <c r="L18" s="9"/>
      <c r="M18" s="9" t="s">
        <v>161</v>
      </c>
      <c r="N18" s="9" t="s">
        <v>162</v>
      </c>
      <c r="O18" s="9" t="s">
        <v>162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 t="s">
        <v>28</v>
      </c>
      <c r="L19" s="9"/>
      <c r="M19" s="9" t="s">
        <v>163</v>
      </c>
      <c r="N19" s="9" t="s">
        <v>164</v>
      </c>
      <c r="O19" s="9" t="s">
        <v>164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 t="s">
        <v>29</v>
      </c>
      <c r="L20" s="9"/>
      <c r="M20" s="9" t="s">
        <v>165</v>
      </c>
      <c r="N20" s="9" t="s">
        <v>166</v>
      </c>
      <c r="O20" s="9" t="s">
        <v>166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 t="s">
        <v>30</v>
      </c>
      <c r="L21" s="9"/>
      <c r="M21" s="9" t="s">
        <v>167</v>
      </c>
      <c r="N21" s="9" t="s">
        <v>168</v>
      </c>
      <c r="O21" s="9" t="s">
        <v>168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 t="s">
        <v>31</v>
      </c>
      <c r="L22" s="9"/>
      <c r="M22" s="9" t="s">
        <v>169</v>
      </c>
      <c r="N22" s="9" t="s">
        <v>170</v>
      </c>
      <c r="O22" s="9" t="s">
        <v>170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 t="s">
        <v>32</v>
      </c>
      <c r="L23" s="9"/>
      <c r="M23" s="9" t="s">
        <v>171</v>
      </c>
      <c r="N23" s="9" t="s">
        <v>172</v>
      </c>
      <c r="O23" s="9" t="s">
        <v>172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 t="s">
        <v>339</v>
      </c>
      <c r="L24" s="9"/>
      <c r="M24" s="9" t="s">
        <v>341</v>
      </c>
      <c r="N24" s="9" t="s">
        <v>342</v>
      </c>
      <c r="O24" s="9" t="s">
        <v>342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 t="s">
        <v>286</v>
      </c>
      <c r="L25" s="9"/>
      <c r="M25" s="9" t="s">
        <v>291</v>
      </c>
      <c r="N25" s="9" t="s">
        <v>292</v>
      </c>
      <c r="O25" s="9" t="s">
        <v>292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 t="s">
        <v>506</v>
      </c>
      <c r="L26" s="9"/>
      <c r="M26" s="9" t="s">
        <v>507</v>
      </c>
      <c r="N26" s="9" t="s">
        <v>507</v>
      </c>
      <c r="O26" s="9" t="s">
        <v>507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 t="s">
        <v>33</v>
      </c>
      <c r="L27" s="9"/>
      <c r="M27" s="9" t="s">
        <v>173</v>
      </c>
      <c r="N27" s="9" t="s">
        <v>174</v>
      </c>
      <c r="O27" s="9" t="s">
        <v>174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 t="s">
        <v>0</v>
      </c>
      <c r="L28" s="7"/>
      <c r="M28" s="7" t="s">
        <v>188</v>
      </c>
      <c r="N28" s="7" t="s">
        <v>154</v>
      </c>
      <c r="O28" s="7" t="s">
        <v>154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 t="s">
        <v>1</v>
      </c>
      <c r="L29" s="7"/>
      <c r="M29" s="7" t="s">
        <v>189</v>
      </c>
      <c r="N29" s="7" t="s">
        <v>156</v>
      </c>
      <c r="O29" s="7" t="s">
        <v>156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 t="s">
        <v>77</v>
      </c>
      <c r="L30" s="7"/>
      <c r="M30" s="7" t="s">
        <v>190</v>
      </c>
      <c r="N30" s="7" t="s">
        <v>179</v>
      </c>
      <c r="O30" s="7" t="s">
        <v>179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 t="s">
        <v>0</v>
      </c>
      <c r="L31" s="9"/>
      <c r="M31" s="9" t="s">
        <v>175</v>
      </c>
      <c r="N31" s="9" t="s">
        <v>154</v>
      </c>
      <c r="O31" s="9" t="s">
        <v>154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 t="s">
        <v>62</v>
      </c>
      <c r="L32" s="9"/>
      <c r="M32" s="9" t="s">
        <v>176</v>
      </c>
      <c r="N32" s="9" t="s">
        <v>177</v>
      </c>
      <c r="O32" s="9" t="s">
        <v>177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 t="s">
        <v>63</v>
      </c>
      <c r="L33" s="9"/>
      <c r="M33" s="9" t="s">
        <v>178</v>
      </c>
      <c r="N33" s="9" t="s">
        <v>179</v>
      </c>
      <c r="O33" s="9" t="s">
        <v>179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 t="s">
        <v>1</v>
      </c>
      <c r="L34" s="9"/>
      <c r="M34" s="9" t="s">
        <v>180</v>
      </c>
      <c r="N34" s="9" t="s">
        <v>156</v>
      </c>
      <c r="O34" s="9" t="s">
        <v>156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 t="s">
        <v>64</v>
      </c>
      <c r="L35" s="9"/>
      <c r="M35" s="9" t="s">
        <v>181</v>
      </c>
      <c r="N35" s="9" t="s">
        <v>182</v>
      </c>
      <c r="O35" s="9" t="s">
        <v>182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 t="s">
        <v>65</v>
      </c>
      <c r="L36" s="9"/>
      <c r="M36" s="9" t="s">
        <v>183</v>
      </c>
      <c r="N36" s="9" t="s">
        <v>184</v>
      </c>
      <c r="O36" s="9" t="s">
        <v>184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 t="s">
        <v>295</v>
      </c>
      <c r="L37" s="9"/>
      <c r="M37" s="9" t="s">
        <v>294</v>
      </c>
      <c r="N37" s="9" t="s">
        <v>294</v>
      </c>
      <c r="O37" s="9" t="s">
        <v>294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 t="s">
        <v>66</v>
      </c>
      <c r="L38" s="9"/>
      <c r="M38" s="9" t="s">
        <v>187</v>
      </c>
      <c r="N38" s="9" t="s">
        <v>245</v>
      </c>
      <c r="O38" s="9" t="s">
        <v>245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 t="s">
        <v>26</v>
      </c>
      <c r="L39" s="9"/>
      <c r="M39" s="9" t="s">
        <v>185</v>
      </c>
      <c r="N39" s="9" t="s">
        <v>160</v>
      </c>
      <c r="O39" s="9" t="s">
        <v>160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 t="s">
        <v>27</v>
      </c>
      <c r="L40" s="9"/>
      <c r="M40" s="9" t="s">
        <v>186</v>
      </c>
      <c r="N40" s="9" t="s">
        <v>162</v>
      </c>
      <c r="O40" s="9" t="s">
        <v>162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 t="s">
        <v>287</v>
      </c>
      <c r="L41" s="9"/>
      <c r="M41" s="9" t="s">
        <v>337</v>
      </c>
      <c r="N41" s="9" t="s">
        <v>293</v>
      </c>
      <c r="O41" s="9" t="s">
        <v>293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 t="s">
        <v>0</v>
      </c>
      <c r="L42" s="7"/>
      <c r="M42" s="7" t="s">
        <v>191</v>
      </c>
      <c r="N42" s="7" t="s">
        <v>154</v>
      </c>
      <c r="O42" s="7" t="s">
        <v>154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 t="s">
        <v>1</v>
      </c>
      <c r="L43" s="7"/>
      <c r="M43" s="7" t="s">
        <v>192</v>
      </c>
      <c r="N43" s="7" t="s">
        <v>156</v>
      </c>
      <c r="O43" s="7" t="s">
        <v>156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 t="s">
        <v>84</v>
      </c>
      <c r="L44" s="7"/>
      <c r="M44" s="7" t="s">
        <v>193</v>
      </c>
      <c r="N44" s="7" t="s">
        <v>194</v>
      </c>
      <c r="O44" s="7" t="s">
        <v>194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 t="s">
        <v>85</v>
      </c>
      <c r="L45" s="7"/>
      <c r="M45" s="7" t="s">
        <v>195</v>
      </c>
      <c r="N45" s="7" t="s">
        <v>196</v>
      </c>
      <c r="O45" s="7" t="s">
        <v>196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 t="s">
        <v>86</v>
      </c>
      <c r="L46" s="7"/>
      <c r="M46" s="7" t="s">
        <v>197</v>
      </c>
      <c r="N46" s="7" t="s">
        <v>198</v>
      </c>
      <c r="O46" s="7" t="s">
        <v>198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 t="s">
        <v>333</v>
      </c>
      <c r="L47" s="7"/>
      <c r="M47" s="7" t="s">
        <v>334</v>
      </c>
      <c r="N47" s="7" t="s">
        <v>335</v>
      </c>
      <c r="O47" s="7" t="s">
        <v>335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 t="s">
        <v>0</v>
      </c>
      <c r="L48" s="9"/>
      <c r="M48" s="9" t="s">
        <v>199</v>
      </c>
      <c r="N48" s="9" t="s">
        <v>154</v>
      </c>
      <c r="O48" s="9" t="s">
        <v>154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 t="s">
        <v>87</v>
      </c>
      <c r="L49" s="9"/>
      <c r="M49" s="9" t="s">
        <v>200</v>
      </c>
      <c r="N49" s="9" t="s">
        <v>201</v>
      </c>
      <c r="O49" s="9" t="s">
        <v>201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 t="s">
        <v>88</v>
      </c>
      <c r="L50" s="9"/>
      <c r="M50" s="9" t="s">
        <v>202</v>
      </c>
      <c r="N50" s="9" t="s">
        <v>203</v>
      </c>
      <c r="O50" s="9" t="s">
        <v>203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 t="s">
        <v>89</v>
      </c>
      <c r="L51" s="9"/>
      <c r="M51" s="9" t="s">
        <v>204</v>
      </c>
      <c r="N51" s="9" t="s">
        <v>205</v>
      </c>
      <c r="O51" s="9" t="s">
        <v>205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 t="s">
        <v>90</v>
      </c>
      <c r="L52" s="9"/>
      <c r="M52" s="9" t="s">
        <v>206</v>
      </c>
      <c r="N52" s="9" t="s">
        <v>207</v>
      </c>
      <c r="O52" s="9" t="s">
        <v>207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 t="s">
        <v>91</v>
      </c>
      <c r="L53" s="9"/>
      <c r="M53" s="9" t="s">
        <v>208</v>
      </c>
      <c r="N53" s="9" t="s">
        <v>209</v>
      </c>
      <c r="O53" s="9" t="s">
        <v>209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 t="s">
        <v>92</v>
      </c>
      <c r="L54" s="9"/>
      <c r="M54" s="9" t="s">
        <v>210</v>
      </c>
      <c r="N54" s="9" t="s">
        <v>211</v>
      </c>
      <c r="O54" s="9" t="s">
        <v>211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 t="s">
        <v>0</v>
      </c>
      <c r="L55" s="7"/>
      <c r="M55" s="7" t="s">
        <v>212</v>
      </c>
      <c r="N55" s="7" t="s">
        <v>154</v>
      </c>
      <c r="O55" s="7" t="s">
        <v>154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 t="s">
        <v>1</v>
      </c>
      <c r="L56" s="7"/>
      <c r="M56" s="7" t="s">
        <v>213</v>
      </c>
      <c r="N56" s="7" t="s">
        <v>156</v>
      </c>
      <c r="O56" s="7" t="s">
        <v>156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 t="s">
        <v>117</v>
      </c>
      <c r="L57" s="7"/>
      <c r="M57" s="7" t="s">
        <v>214</v>
      </c>
      <c r="N57" s="7" t="s">
        <v>215</v>
      </c>
      <c r="O57" s="7" t="s">
        <v>215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 t="s">
        <v>118</v>
      </c>
      <c r="L58" s="7"/>
      <c r="M58" s="7" t="s">
        <v>216</v>
      </c>
      <c r="N58" s="7" t="s">
        <v>217</v>
      </c>
      <c r="O58" s="7" t="s">
        <v>217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 t="s">
        <v>119</v>
      </c>
      <c r="L59" s="7"/>
      <c r="M59" s="7" t="s">
        <v>218</v>
      </c>
      <c r="N59" s="7" t="s">
        <v>218</v>
      </c>
      <c r="O59" s="7" t="s">
        <v>218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 t="s">
        <v>33</v>
      </c>
      <c r="L60" s="7"/>
      <c r="M60" s="7" t="s">
        <v>219</v>
      </c>
      <c r="N60" s="7" t="s">
        <v>219</v>
      </c>
      <c r="O60" s="7" t="s">
        <v>219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 t="s">
        <v>0</v>
      </c>
      <c r="L61" s="9"/>
      <c r="M61" s="9" t="s">
        <v>220</v>
      </c>
      <c r="N61" s="9" t="s">
        <v>201</v>
      </c>
      <c r="O61" s="9" t="s">
        <v>201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 t="s">
        <v>87</v>
      </c>
      <c r="L62" s="9"/>
      <c r="M62" s="9" t="s">
        <v>191</v>
      </c>
      <c r="N62" s="9" t="s">
        <v>154</v>
      </c>
      <c r="O62" s="9" t="s">
        <v>154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 t="s">
        <v>121</v>
      </c>
      <c r="L63" s="9"/>
      <c r="M63" s="9" t="s">
        <v>212</v>
      </c>
      <c r="N63" s="9" t="s">
        <v>221</v>
      </c>
      <c r="O63" s="9" t="s">
        <v>221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 t="s">
        <v>1</v>
      </c>
      <c r="L64" s="9"/>
      <c r="M64" s="9" t="s">
        <v>389</v>
      </c>
      <c r="N64" s="9" t="s">
        <v>156</v>
      </c>
      <c r="O64" s="9" t="s">
        <v>156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 t="s">
        <v>0</v>
      </c>
      <c r="L65" s="7"/>
      <c r="M65" s="7" t="s">
        <v>394</v>
      </c>
      <c r="N65" s="7" t="s">
        <v>154</v>
      </c>
      <c r="O65" s="7" t="s">
        <v>154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 t="s">
        <v>514</v>
      </c>
      <c r="L66" s="7"/>
      <c r="M66" s="7" t="s">
        <v>522</v>
      </c>
      <c r="N66" s="7" t="s">
        <v>522</v>
      </c>
      <c r="O66" s="7" t="s">
        <v>522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 t="s">
        <v>520</v>
      </c>
      <c r="L67" s="7"/>
      <c r="M67" s="7" t="s">
        <v>520</v>
      </c>
      <c r="N67" s="7" t="s">
        <v>520</v>
      </c>
      <c r="O67" s="7" t="s">
        <v>520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 t="s">
        <v>0</v>
      </c>
      <c r="L68" s="9"/>
      <c r="M68" s="9" t="s">
        <v>222</v>
      </c>
      <c r="N68" s="9" t="s">
        <v>154</v>
      </c>
      <c r="O68" s="9" t="s">
        <v>154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 t="s">
        <v>424</v>
      </c>
      <c r="L69" s="9"/>
      <c r="M69" s="9" t="s">
        <v>425</v>
      </c>
      <c r="N69" s="9" t="s">
        <v>426</v>
      </c>
      <c r="O69" s="9" t="s">
        <v>426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 t="s">
        <v>1</v>
      </c>
      <c r="L70" s="9"/>
      <c r="M70" s="9" t="s">
        <v>223</v>
      </c>
      <c r="N70" s="9" t="s">
        <v>156</v>
      </c>
      <c r="O70" s="9" t="s">
        <v>156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 t="s">
        <v>122</v>
      </c>
      <c r="L71" s="9"/>
      <c r="M71" s="9" t="s">
        <v>225</v>
      </c>
      <c r="N71" s="9" t="s">
        <v>122</v>
      </c>
      <c r="O71" s="9" t="s">
        <v>122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 t="s">
        <v>84</v>
      </c>
      <c r="L72" s="9"/>
      <c r="M72" s="9" t="s">
        <v>224</v>
      </c>
      <c r="N72" s="9" t="s">
        <v>194</v>
      </c>
      <c r="O72" s="9" t="s">
        <v>194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 t="s">
        <v>123</v>
      </c>
      <c r="L73" s="9"/>
      <c r="M73" s="9" t="s">
        <v>226</v>
      </c>
      <c r="N73" s="9" t="s">
        <v>227</v>
      </c>
      <c r="O73" s="9" t="s">
        <v>227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 t="s">
        <v>406</v>
      </c>
      <c r="L74" s="9"/>
      <c r="M74" s="9" t="s">
        <v>429</v>
      </c>
      <c r="N74" s="9" t="s">
        <v>430</v>
      </c>
      <c r="O74" s="9" t="s">
        <v>430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 t="s">
        <v>422</v>
      </c>
      <c r="L75" s="9"/>
      <c r="M75" s="9" t="s">
        <v>428</v>
      </c>
      <c r="N75" s="9" t="s">
        <v>427</v>
      </c>
      <c r="O75" s="9" t="s">
        <v>427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 t="s">
        <v>0</v>
      </c>
      <c r="L76" s="7"/>
      <c r="M76" s="7" t="s">
        <v>228</v>
      </c>
      <c r="N76" s="7" t="s">
        <v>154</v>
      </c>
      <c r="O76" s="7" t="s">
        <v>154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 t="s">
        <v>87</v>
      </c>
      <c r="L77" s="7"/>
      <c r="M77" s="7" t="s">
        <v>191</v>
      </c>
      <c r="N77" s="7" t="s">
        <v>201</v>
      </c>
      <c r="O77" s="7" t="s">
        <v>201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 t="s">
        <v>124</v>
      </c>
      <c r="L78" s="7"/>
      <c r="M78" s="7" t="s">
        <v>222</v>
      </c>
      <c r="N78" s="7" t="s">
        <v>229</v>
      </c>
      <c r="O78" s="7" t="s">
        <v>229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 t="s">
        <v>1</v>
      </c>
      <c r="L79" s="7"/>
      <c r="M79" s="7" t="s">
        <v>390</v>
      </c>
      <c r="N79" s="7" t="s">
        <v>156</v>
      </c>
      <c r="O79" s="7" t="s">
        <v>156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 t="s">
        <v>0</v>
      </c>
      <c r="L80" s="9"/>
      <c r="M80" s="9" t="s">
        <v>230</v>
      </c>
      <c r="N80" s="9" t="s">
        <v>154</v>
      </c>
      <c r="O80" s="9" t="s">
        <v>154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 t="s">
        <v>1</v>
      </c>
      <c r="L81" s="9"/>
      <c r="M81" s="9" t="s">
        <v>231</v>
      </c>
      <c r="N81" s="9" t="s">
        <v>156</v>
      </c>
      <c r="O81" s="9" t="s">
        <v>156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4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 t="s">
        <v>122</v>
      </c>
      <c r="L82" s="9"/>
      <c r="M82" s="9" t="s">
        <v>232</v>
      </c>
      <c r="N82" s="9" t="s">
        <v>122</v>
      </c>
      <c r="O82" s="9" t="s">
        <v>122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53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 t="s">
        <v>84</v>
      </c>
      <c r="L83" s="9"/>
      <c r="M83" s="9" t="s">
        <v>233</v>
      </c>
      <c r="N83" s="9" t="s">
        <v>194</v>
      </c>
      <c r="O83" s="9" t="s">
        <v>194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 t="s">
        <v>331</v>
      </c>
      <c r="L84" s="9"/>
      <c r="M84" s="9" t="s">
        <v>332</v>
      </c>
      <c r="N84" s="9" t="s">
        <v>332</v>
      </c>
      <c r="O84" s="9" t="s">
        <v>332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GetValue("Tables","Name",B85)</f>
        <v>DatabasesTables</v>
      </c>
      <c r="D85" s="8" t="str" cm="1">
        <f t="array" ref="D85">GetValue("Tables","Alias",B85)</f>
        <v>DatabaseTable</v>
      </c>
      <c r="E85" s="7">
        <v>5</v>
      </c>
      <c r="F85" s="7">
        <v>1</v>
      </c>
      <c r="G85" s="7" t="str" cm="1">
        <f t="array" ref="G85">GetValue("Domains","Name",F85)</f>
        <v>BigInteger</v>
      </c>
      <c r="H85" s="7" t="str" cm="1">
        <f t="array" ref="H85">GetValue("Domains","#CategoryName",F85)</f>
        <v>number</v>
      </c>
      <c r="I85" s="7" t="str" cm="1">
        <f t="array" ref="I85">GetValue("Domains","#TypeName",F85)</f>
        <v>bigint</v>
      </c>
      <c r="J85" s="7" t="str" cm="1">
        <f t="array" ref="J85">GetValue("Domains","#DataType",F85)</f>
        <v>bigint</v>
      </c>
      <c r="K85" s="7" t="s">
        <v>0</v>
      </c>
      <c r="L85" s="7"/>
      <c r="M85" s="7" t="s">
        <v>300</v>
      </c>
      <c r="N85" s="7" t="s">
        <v>154</v>
      </c>
      <c r="O85" s="7" t="s">
        <v>154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f>E85+5</f>
        <v>10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 t="s">
        <v>124</v>
      </c>
      <c r="L86" s="7"/>
      <c r="M86" s="7" t="s">
        <v>222</v>
      </c>
      <c r="N86" s="7" t="s">
        <v>201</v>
      </c>
      <c r="O86" s="7" t="s">
        <v>201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15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 t="s">
        <v>143</v>
      </c>
      <c r="L87" s="7"/>
      <c r="M87" s="7" t="s">
        <v>230</v>
      </c>
      <c r="N87" s="7" t="s">
        <v>229</v>
      </c>
      <c r="O87" s="7" t="s">
        <v>229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20</v>
      </c>
      <c r="F88" s="7">
        <v>10</v>
      </c>
      <c r="G88" s="7" t="str" cm="1">
        <f t="array" ref="G88">GetValue("Domains","Name",F88)</f>
        <v>Nvarchar(50)</v>
      </c>
      <c r="H88" s="7" t="str" cm="1">
        <f t="array" ref="H88">GetValue("Domains","#CategoryName",F88)</f>
        <v>string</v>
      </c>
      <c r="I88" s="7" t="str" cm="1">
        <f t="array" ref="I88">GetValue("Domains","#TypeName",F88)</f>
        <v>nvarchar</v>
      </c>
      <c r="J88" s="7" t="str" cm="1">
        <f t="array" ref="J88">GetValue("Domains","#DataType",F88)</f>
        <v>nvarchar(50)</v>
      </c>
      <c r="K88" s="7" t="s">
        <v>1</v>
      </c>
      <c r="L88" s="7"/>
      <c r="M88" s="7" t="s">
        <v>391</v>
      </c>
      <c r="N88" s="7" t="s">
        <v>156</v>
      </c>
      <c r="O88" s="7" t="s">
        <v>156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GetValue("Tables","Name",B89)</f>
        <v>Columns</v>
      </c>
      <c r="D89" s="9" t="str" cm="1">
        <f t="array" ref="D89">GetValue("Tables","Alias",B89)</f>
        <v>Column</v>
      </c>
      <c r="E89" s="9">
        <v>5</v>
      </c>
      <c r="F89" s="9">
        <v>1</v>
      </c>
      <c r="G89" s="9" t="str" cm="1">
        <f t="array" ref="G89">GetValue("Domains","Name",F89)</f>
        <v>BigInteger</v>
      </c>
      <c r="H89" s="9" t="str" cm="1">
        <f t="array" ref="H89">GetValue("Domains","#CategoryName",F89)</f>
        <v>number</v>
      </c>
      <c r="I89" s="9" t="str" cm="1">
        <f t="array" ref="I89">GetValue("Domains","#TypeName",F89)</f>
        <v>bigint</v>
      </c>
      <c r="J89" s="9" t="str" cm="1">
        <f t="array" ref="J89">GetValue("Domains","#DataType",F89)</f>
        <v>bigint</v>
      </c>
      <c r="K89" s="9" t="s">
        <v>0</v>
      </c>
      <c r="L89" s="9"/>
      <c r="M89" s="9" t="s">
        <v>234</v>
      </c>
      <c r="N89" s="9" t="s">
        <v>154</v>
      </c>
      <c r="O89" s="9" t="s">
        <v>154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f t="shared" ref="E90:E110" si="11">E89+5</f>
        <v>10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 t="s">
        <v>143</v>
      </c>
      <c r="L90" s="9"/>
      <c r="M90" s="9" t="s">
        <v>235</v>
      </c>
      <c r="N90" s="9" t="s">
        <v>235</v>
      </c>
      <c r="O90" s="9" t="s">
        <v>235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si="11"/>
        <v>15</v>
      </c>
      <c r="F91" s="9">
        <v>4</v>
      </c>
      <c r="G91" s="9" t="str" cm="1">
        <f t="array" ref="G91">GetValue("Domains","Name",F91)</f>
        <v>SmallInteger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smallint</v>
      </c>
      <c r="J91" s="9" t="str" cm="1">
        <f t="array" ref="J91">GetValue("Domains","#DataType",F91)</f>
        <v>smallint</v>
      </c>
      <c r="K91" s="9" t="s">
        <v>88</v>
      </c>
      <c r="L91" s="9"/>
      <c r="M91" s="9" t="s">
        <v>203</v>
      </c>
      <c r="N91" s="9" t="s">
        <v>203</v>
      </c>
      <c r="O91" s="9" t="s">
        <v>203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20</v>
      </c>
      <c r="F92" s="9">
        <v>1</v>
      </c>
      <c r="G92" s="9" t="str" cm="1">
        <f t="array" ref="G92">GetValue("Domains","Name",F92)</f>
        <v>BigInteger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bigint</v>
      </c>
      <c r="J92" s="9" t="str" cm="1">
        <f t="array" ref="J92">GetValue("Domains","#DataType",F92)</f>
        <v>bigint</v>
      </c>
      <c r="K92" s="9" t="s">
        <v>144</v>
      </c>
      <c r="L92" s="9"/>
      <c r="M92" s="9" t="s">
        <v>236</v>
      </c>
      <c r="N92" s="9" t="s">
        <v>237</v>
      </c>
      <c r="O92" s="9" t="s">
        <v>237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25</v>
      </c>
      <c r="F93" s="9">
        <v>9</v>
      </c>
      <c r="G93" s="9" t="str" cm="1">
        <f t="array" ref="G93">GetValue("Domains","Name",F93)</f>
        <v>Nvarchar(25)</v>
      </c>
      <c r="H93" s="9" t="str" cm="1">
        <f t="array" ref="H93">GetValue("Domains","#CategoryName",F93)</f>
        <v>string</v>
      </c>
      <c r="I93" s="9" t="str" cm="1">
        <f t="array" ref="I93">GetValue("Domains","#TypeName",F93)</f>
        <v>nvarchar</v>
      </c>
      <c r="J93" s="9" t="str" cm="1">
        <f t="array" ref="J93">GetValue("Domains","#DataType",F93)</f>
        <v>nvarchar(25)</v>
      </c>
      <c r="K93" s="9" t="s">
        <v>1</v>
      </c>
      <c r="L93" s="9"/>
      <c r="M93" s="9" t="s">
        <v>238</v>
      </c>
      <c r="N93" s="9" t="s">
        <v>156</v>
      </c>
      <c r="O93" s="9" t="s">
        <v>156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30</v>
      </c>
      <c r="F94" s="9">
        <v>9</v>
      </c>
      <c r="G94" s="9" t="str" cm="1">
        <f t="array" ref="G94">GetValue("Domains","Name",F94)</f>
        <v>Nvarchar(25)</v>
      </c>
      <c r="H94" s="9" t="str" cm="1">
        <f t="array" ref="H94">GetValue("Domains","#CategoryName",F94)</f>
        <v>string</v>
      </c>
      <c r="I94" s="9" t="str" cm="1">
        <f t="array" ref="I94">GetValue("Domains","#TypeName",F94)</f>
        <v>nvarchar</v>
      </c>
      <c r="J94" s="9" t="str" cm="1">
        <f t="array" ref="J94">GetValue("Domains","#DataType",F94)</f>
        <v>nvarchar(25)</v>
      </c>
      <c r="K94" s="9" t="s">
        <v>122</v>
      </c>
      <c r="L94" s="9"/>
      <c r="M94" s="9" t="s">
        <v>416</v>
      </c>
      <c r="N94" s="9" t="s">
        <v>122</v>
      </c>
      <c r="O94" s="9" t="s">
        <v>122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35</v>
      </c>
      <c r="F95" s="9">
        <v>10</v>
      </c>
      <c r="G95" s="9" t="str" cm="1">
        <f t="array" ref="G95">GetValue("Domains","Name",F95)</f>
        <v>Nvarchar(50)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nvarchar(50)</v>
      </c>
      <c r="K95" s="9" t="s">
        <v>84</v>
      </c>
      <c r="L95" s="9"/>
      <c r="M95" s="9" t="s">
        <v>239</v>
      </c>
      <c r="N95" s="9" t="s">
        <v>194</v>
      </c>
      <c r="O95" s="9" t="s">
        <v>194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40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 t="s">
        <v>145</v>
      </c>
      <c r="L96" s="9"/>
      <c r="M96" s="9" t="s">
        <v>240</v>
      </c>
      <c r="N96" s="9" t="s">
        <v>241</v>
      </c>
      <c r="O96" s="9" t="s">
        <v>241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45</v>
      </c>
      <c r="F97" s="9">
        <v>9</v>
      </c>
      <c r="G97" s="9" t="str" cm="1">
        <f t="array" ref="G97">GetValue("Domains","Name",F97)</f>
        <v>Nvarchar(25)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nvarchar(25)</v>
      </c>
      <c r="K97" s="9" t="s">
        <v>89</v>
      </c>
      <c r="L97" s="9"/>
      <c r="M97" s="9" t="s">
        <v>242</v>
      </c>
      <c r="N97" s="9" t="s">
        <v>243</v>
      </c>
      <c r="O97" s="9" t="s">
        <v>243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50</v>
      </c>
      <c r="F98" s="9">
        <v>17</v>
      </c>
      <c r="G98" s="9" t="str" cm="1">
        <f t="array" ref="G98">GetValue("Domains","Name",F98)</f>
        <v>Variant</v>
      </c>
      <c r="H98" s="9" t="str" cm="1">
        <f t="array" ref="H98">GetValue("Domains","#CategoryName",F98)</f>
        <v>text</v>
      </c>
      <c r="I98" s="9" t="str" cm="1">
        <f t="array" ref="I98">GetValue("Domains","#TypeName",F98)</f>
        <v>nvarchar(max)</v>
      </c>
      <c r="J98" s="9" t="str" cm="1">
        <f t="array" ref="J98">GetValue("Domains","#DataType",F98)</f>
        <v>nvarchar(max)</v>
      </c>
      <c r="K98" s="9" t="s">
        <v>66</v>
      </c>
      <c r="L98" s="9"/>
      <c r="M98" s="9" t="s">
        <v>244</v>
      </c>
      <c r="N98" s="9" t="s">
        <v>245</v>
      </c>
      <c r="O98" s="9" t="s">
        <v>245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55</v>
      </c>
      <c r="F99" s="9">
        <v>17</v>
      </c>
      <c r="G99" s="9" t="str" cm="1">
        <f t="array" ref="G99">GetValue("Domains","Name",F99)</f>
        <v>Variant</v>
      </c>
      <c r="H99" s="9" t="str" cm="1">
        <f t="array" ref="H99">GetValue("Domains","#CategoryName",F99)</f>
        <v>text</v>
      </c>
      <c r="I99" s="9" t="str" cm="1">
        <f t="array" ref="I99">GetValue("Domains","#TypeName",F99)</f>
        <v>nvarchar(max)</v>
      </c>
      <c r="J99" s="9" t="str" cm="1">
        <f t="array" ref="J99">GetValue("Domains","#DataType",F99)</f>
        <v>nvarchar(max)</v>
      </c>
      <c r="K99" s="9" t="s">
        <v>26</v>
      </c>
      <c r="L99" s="9"/>
      <c r="M99" s="9" t="s">
        <v>246</v>
      </c>
      <c r="N99" s="9" t="s">
        <v>160</v>
      </c>
      <c r="O99" s="9" t="s">
        <v>160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60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 t="s">
        <v>27</v>
      </c>
      <c r="L100" s="9"/>
      <c r="M100" s="9" t="s">
        <v>247</v>
      </c>
      <c r="N100" s="9" t="s">
        <v>162</v>
      </c>
      <c r="O100" s="9" t="s">
        <v>162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65</v>
      </c>
      <c r="F101" s="9">
        <v>6</v>
      </c>
      <c r="G101" s="9" t="str" cm="1">
        <f t="array" ref="G101">GetValue("Domains","Name",F101)</f>
        <v>Boolean</v>
      </c>
      <c r="H101" s="9" t="str" cm="1">
        <f t="array" ref="H101">GetValue("Domains","#CategoryName",F101)</f>
        <v>boolean</v>
      </c>
      <c r="I101" s="9" t="str" cm="1">
        <f t="array" ref="I101">GetValue("Domains","#TypeName",F101)</f>
        <v>bit</v>
      </c>
      <c r="J101" s="9" t="str" cm="1">
        <f t="array" ref="J101">GetValue("Domains","#DataType",F101)</f>
        <v>bit</v>
      </c>
      <c r="K101" s="9" t="s">
        <v>146</v>
      </c>
      <c r="L101" s="9"/>
      <c r="M101" s="9" t="s">
        <v>248</v>
      </c>
      <c r="N101" s="9" t="s">
        <v>344</v>
      </c>
      <c r="O101" s="9" t="s">
        <v>344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70</v>
      </c>
      <c r="F102" s="9">
        <v>6</v>
      </c>
      <c r="G102" s="9" t="str" cm="1">
        <f t="array" ref="G102">GetValue("Domains","Name",F102)</f>
        <v>Boolean</v>
      </c>
      <c r="H102" s="9" t="str" cm="1">
        <f t="array" ref="H102">GetValue("Domains","#CategoryName",F102)</f>
        <v>boolean</v>
      </c>
      <c r="I102" s="9" t="str" cm="1">
        <f t="array" ref="I102">GetValue("Domains","#TypeName",F102)</f>
        <v>bit</v>
      </c>
      <c r="J102" s="9" t="str" cm="1">
        <f t="array" ref="J102">GetValue("Domains","#DataType",F102)</f>
        <v>bit</v>
      </c>
      <c r="K102" s="9" t="s">
        <v>147</v>
      </c>
      <c r="L102" s="9"/>
      <c r="M102" s="9" t="s">
        <v>249</v>
      </c>
      <c r="N102" s="9" t="s">
        <v>345</v>
      </c>
      <c r="O102" s="9" t="s">
        <v>345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75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 t="s">
        <v>148</v>
      </c>
      <c r="L103" s="9"/>
      <c r="M103" s="9" t="s">
        <v>250</v>
      </c>
      <c r="N103" s="9" t="s">
        <v>346</v>
      </c>
      <c r="O103" s="9" t="s">
        <v>346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80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 t="s">
        <v>149</v>
      </c>
      <c r="L104" s="9"/>
      <c r="M104" s="9" t="s">
        <v>251</v>
      </c>
      <c r="N104" s="9" t="s">
        <v>347</v>
      </c>
      <c r="O104" s="9" t="s">
        <v>347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85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 t="s">
        <v>150</v>
      </c>
      <c r="L105" s="9"/>
      <c r="M105" s="9" t="s">
        <v>252</v>
      </c>
      <c r="N105" s="9" t="s">
        <v>348</v>
      </c>
      <c r="O105" s="9" t="s">
        <v>348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90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 t="s">
        <v>151</v>
      </c>
      <c r="L106" s="9"/>
      <c r="M106" s="9" t="s">
        <v>253</v>
      </c>
      <c r="N106" s="9" t="s">
        <v>349</v>
      </c>
      <c r="O106" s="9" t="s">
        <v>349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95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 t="s">
        <v>340</v>
      </c>
      <c r="L107" s="9"/>
      <c r="M107" s="9" t="s">
        <v>343</v>
      </c>
      <c r="N107" s="9" t="s">
        <v>350</v>
      </c>
      <c r="O107" s="9" t="s">
        <v>350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100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 t="s">
        <v>152</v>
      </c>
      <c r="L108" s="9"/>
      <c r="M108" s="9" t="s">
        <v>254</v>
      </c>
      <c r="N108" s="9" t="s">
        <v>351</v>
      </c>
      <c r="O108" s="9" t="s">
        <v>351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105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 t="s">
        <v>376</v>
      </c>
      <c r="L109" s="9"/>
      <c r="M109" s="9" t="s">
        <v>375</v>
      </c>
      <c r="N109" s="9" t="s">
        <v>378</v>
      </c>
      <c r="O109" s="9" t="s">
        <v>378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110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 t="s">
        <v>534</v>
      </c>
      <c r="L110" s="9"/>
      <c r="M110" s="9" t="s">
        <v>535</v>
      </c>
      <c r="N110" s="9" t="s">
        <v>536</v>
      </c>
      <c r="O110" s="9" t="s">
        <v>536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GetValue("Tables","Name",B111)</f>
        <v>Indexes</v>
      </c>
      <c r="D111" s="8" t="str" cm="1">
        <f t="array" ref="D111">GetValue("Tables","Alias",B111)</f>
        <v>Index</v>
      </c>
      <c r="E111" s="7">
        <v>5</v>
      </c>
      <c r="F111" s="7">
        <v>1</v>
      </c>
      <c r="G111" s="7" t="str" cm="1">
        <f t="array" ref="G111">GetValue("Domains","Name",F111)</f>
        <v>BigInteger</v>
      </c>
      <c r="H111" s="7" t="str" cm="1">
        <f t="array" ref="H111">GetValue("Domains","#CategoryName",F111)</f>
        <v>number</v>
      </c>
      <c r="I111" s="7" t="str" cm="1">
        <f t="array" ref="I111">GetValue("Domains","#TypeName",F111)</f>
        <v>bigint</v>
      </c>
      <c r="J111" s="7" t="str" cm="1">
        <f t="array" ref="J111">GetValue("Domains","#DataType",F111)</f>
        <v>bigint</v>
      </c>
      <c r="K111" s="7" t="s">
        <v>0</v>
      </c>
      <c r="L111" s="7"/>
      <c r="M111" s="7" t="s">
        <v>255</v>
      </c>
      <c r="N111" s="7" t="s">
        <v>154</v>
      </c>
      <c r="O111" s="7" t="s">
        <v>154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GetValue("Tables","Name",B112)</f>
        <v>Indexes</v>
      </c>
      <c r="D112" s="8" t="str" cm="1">
        <f t="array" ref="D112">GetValue("Tables","Alias",B112)</f>
        <v>Index</v>
      </c>
      <c r="E112" s="7">
        <f>E111+5</f>
        <v>10</v>
      </c>
      <c r="F112" s="7">
        <v>1</v>
      </c>
      <c r="G112" s="7" t="str" cm="1">
        <f t="array" ref="G112">GetValue("Domains","Name",F112)</f>
        <v>BigInteger</v>
      </c>
      <c r="H112" s="7" t="str" cm="1">
        <f t="array" ref="H112">GetValue("Domains","#CategoryName",F112)</f>
        <v>number</v>
      </c>
      <c r="I112" s="7" t="str" cm="1">
        <f t="array" ref="I112">GetValue("Domains","#TypeName",F112)</f>
        <v>bigint</v>
      </c>
      <c r="J112" s="7" t="str" cm="1">
        <f t="array" ref="J112">GetValue("Domains","#DataType",F112)</f>
        <v>bigint</v>
      </c>
      <c r="K112" s="7" t="s">
        <v>143</v>
      </c>
      <c r="L112" s="7"/>
      <c r="M112" s="7" t="s">
        <v>256</v>
      </c>
      <c r="N112" s="7" t="s">
        <v>235</v>
      </c>
      <c r="O112" s="7" t="s">
        <v>235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f>E112+5</f>
        <v>15</v>
      </c>
      <c r="F113" s="7">
        <v>10</v>
      </c>
      <c r="G113" s="7" t="str" cm="1">
        <f t="array" ref="G113">GetValue("Domains","Name",F113)</f>
        <v>Nvarchar(50)</v>
      </c>
      <c r="H113" s="7" t="str" cm="1">
        <f t="array" ref="H113">GetValue("Domains","#CategoryName",F113)</f>
        <v>string</v>
      </c>
      <c r="I113" s="7" t="str" cm="1">
        <f t="array" ref="I113">GetValue("Domains","#TypeName",F113)</f>
        <v>nvarchar</v>
      </c>
      <c r="J113" s="7" t="str" cm="1">
        <f t="array" ref="J113">GetValue("Domains","#DataType",F113)</f>
        <v>nvarchar(50)</v>
      </c>
      <c r="K113" s="7" t="s">
        <v>1</v>
      </c>
      <c r="L113" s="7"/>
      <c r="M113" s="7" t="s">
        <v>257</v>
      </c>
      <c r="N113" s="7" t="s">
        <v>156</v>
      </c>
      <c r="O113" s="7" t="s">
        <v>156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20</v>
      </c>
      <c r="F114" s="7">
        <v>6</v>
      </c>
      <c r="G114" s="7" t="str" cm="1">
        <f t="array" ref="G114">GetValue("Domains","Name",F114)</f>
        <v>Boolean</v>
      </c>
      <c r="H114" s="7" t="str" cm="1">
        <f t="array" ref="H114">GetValue("Domains","#CategoryName",F114)</f>
        <v>boolean</v>
      </c>
      <c r="I114" s="7" t="str" cm="1">
        <f t="array" ref="I114">GetValue("Domains","#TypeName",F114)</f>
        <v>bit</v>
      </c>
      <c r="J114" s="7" t="str" cm="1">
        <f t="array" ref="J114">GetValue("Domains","#DataType",F114)</f>
        <v>bit</v>
      </c>
      <c r="K114" s="7" t="s">
        <v>258</v>
      </c>
      <c r="L114" s="7"/>
      <c r="M114" s="7" t="s">
        <v>259</v>
      </c>
      <c r="N114" s="7" t="s">
        <v>260</v>
      </c>
      <c r="O114" s="7" t="s">
        <v>260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GetValue("Tables","Name",B115)</f>
        <v>Indexkeys</v>
      </c>
      <c r="D115" s="9" t="str" cm="1">
        <f t="array" ref="D115">GetValue("Tables","Alias",B115)</f>
        <v>Indexkey</v>
      </c>
      <c r="E115" s="9">
        <v>5</v>
      </c>
      <c r="F115" s="9">
        <v>1</v>
      </c>
      <c r="G115" s="9" t="str" cm="1">
        <f t="array" ref="G115">GetValue("Domains","Name",F115)</f>
        <v>BigInteger</v>
      </c>
      <c r="H115" s="9" t="str" cm="1">
        <f t="array" ref="H115">GetValue("Domains","#CategoryName",F115)</f>
        <v>number</v>
      </c>
      <c r="I115" s="9" t="str" cm="1">
        <f t="array" ref="I115">GetValue("Domains","#TypeName",F115)</f>
        <v>bigint</v>
      </c>
      <c r="J115" s="9" t="str" cm="1">
        <f t="array" ref="J115">GetValue("Domains","#DataType",F115)</f>
        <v>bigint</v>
      </c>
      <c r="K115" s="9" t="s">
        <v>0</v>
      </c>
      <c r="L115" s="9"/>
      <c r="M115" s="9" t="s">
        <v>261</v>
      </c>
      <c r="N115" s="9" t="s">
        <v>154</v>
      </c>
      <c r="O115" s="9" t="s">
        <v>154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GetValue("Tables","Name",B116)</f>
        <v>Indexkeys</v>
      </c>
      <c r="D116" s="9" t="str" cm="1">
        <f t="array" ref="D116">GetValue("Tables","Alias",B116)</f>
        <v>Indexkey</v>
      </c>
      <c r="E116" s="9">
        <f>E115+5</f>
        <v>10</v>
      </c>
      <c r="F116" s="9">
        <v>1</v>
      </c>
      <c r="G116" s="9" t="str" cm="1">
        <f t="array" ref="G116">GetValue("Domains","Name",F116)</f>
        <v>BigInteger</v>
      </c>
      <c r="H116" s="9" t="str" cm="1">
        <f t="array" ref="H116">GetValue("Domains","#CategoryName",F116)</f>
        <v>number</v>
      </c>
      <c r="I116" s="9" t="str" cm="1">
        <f t="array" ref="I116">GetValue("Domains","#TypeName",F116)</f>
        <v>bigint</v>
      </c>
      <c r="J116" s="9" t="str" cm="1">
        <f t="array" ref="J116">GetValue("Domains","#DataType",F116)</f>
        <v>bigint</v>
      </c>
      <c r="K116" s="9" t="s">
        <v>262</v>
      </c>
      <c r="L116" s="9"/>
      <c r="M116" s="9" t="s">
        <v>263</v>
      </c>
      <c r="N116" s="9" t="s">
        <v>264</v>
      </c>
      <c r="O116" s="9" t="s">
        <v>264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f>E116+5</f>
        <v>15</v>
      </c>
      <c r="F117" s="9">
        <v>4</v>
      </c>
      <c r="G117" s="9" t="str" cm="1">
        <f t="array" ref="G117">GetValue("Domains","Name",F117)</f>
        <v>SmallInteger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smallint</v>
      </c>
      <c r="J117" s="9" t="str" cm="1">
        <f t="array" ref="J117">GetValue("Domains","#DataType",F117)</f>
        <v>smallint</v>
      </c>
      <c r="K117" s="9" t="s">
        <v>88</v>
      </c>
      <c r="L117" s="9"/>
      <c r="M117" s="9" t="s">
        <v>265</v>
      </c>
      <c r="N117" s="9" t="s">
        <v>203</v>
      </c>
      <c r="O117" s="9" t="s">
        <v>203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20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 t="s">
        <v>266</v>
      </c>
      <c r="L118" s="9"/>
      <c r="M118" s="9" t="s">
        <v>267</v>
      </c>
      <c r="N118" s="9" t="s">
        <v>268</v>
      </c>
      <c r="O118" s="9" t="s">
        <v>268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25</v>
      </c>
      <c r="F119" s="9">
        <v>6</v>
      </c>
      <c r="G119" s="9" t="str" cm="1">
        <f t="array" ref="G119">GetValue("Domains","Name",F119)</f>
        <v>Boolean</v>
      </c>
      <c r="H119" s="9" t="str" cm="1">
        <f t="array" ref="H119">GetValue("Domains","#CategoryName",F119)</f>
        <v>boolean</v>
      </c>
      <c r="I119" s="9" t="str" cm="1">
        <f t="array" ref="I119">GetValue("Domains","#TypeName",F119)</f>
        <v>bit</v>
      </c>
      <c r="J119" s="9" t="str" cm="1">
        <f t="array" ref="J119">GetValue("Domains","#DataType",F119)</f>
        <v>bit</v>
      </c>
      <c r="K119" s="9" t="s">
        <v>269</v>
      </c>
      <c r="L119" s="9"/>
      <c r="M119" s="9" t="s">
        <v>270</v>
      </c>
      <c r="N119" s="9" t="s">
        <v>271</v>
      </c>
      <c r="O119" s="9" t="s">
        <v>271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GetValue("Tables","Name",B120)</f>
        <v>Sessions</v>
      </c>
      <c r="D120" s="8" t="str" cm="1">
        <f t="array" ref="D120">GetValue("Tables","Alias",B120)</f>
        <v>Session</v>
      </c>
      <c r="E120" s="7">
        <v>5</v>
      </c>
      <c r="F120" s="7">
        <v>1</v>
      </c>
      <c r="G120" s="7" t="str" cm="1">
        <f t="array" ref="G120">GetValue("Domains","Name",F120)</f>
        <v>BigInteger</v>
      </c>
      <c r="H120" s="7" t="str" cm="1">
        <f t="array" ref="H120">GetValue("Domains","#CategoryName",F120)</f>
        <v>number</v>
      </c>
      <c r="I120" s="7" t="str" cm="1">
        <f t="array" ref="I120">GetValue("Domains","#TypeName",F120)</f>
        <v>bigint</v>
      </c>
      <c r="J120" s="7" t="str" cm="1">
        <f t="array" ref="J120">GetValue("Domains","#DataType",F120)</f>
        <v>bigint</v>
      </c>
      <c r="K120" s="7" t="s">
        <v>0</v>
      </c>
      <c r="L120" s="7"/>
      <c r="M120" s="7" t="s">
        <v>315</v>
      </c>
      <c r="N120" s="7" t="s">
        <v>154</v>
      </c>
      <c r="O120" s="7" t="s">
        <v>154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GetValue("Tables","Name",B121)</f>
        <v>Sessions</v>
      </c>
      <c r="D121" s="8" t="str" cm="1">
        <f t="array" ref="D121">GetValue("Tables","Alias",B121)</f>
        <v>Session</v>
      </c>
      <c r="E121" s="7">
        <f>E120+5</f>
        <v>10</v>
      </c>
      <c r="F121" s="7">
        <v>1</v>
      </c>
      <c r="G121" s="7" t="str" cm="1">
        <f t="array" ref="G121">GetValue("Domains","Name",F121)</f>
        <v>BigInteger</v>
      </c>
      <c r="H121" s="7" t="str" cm="1">
        <f t="array" ref="H121">GetValue("Domains","#CategoryName",F121)</f>
        <v>number</v>
      </c>
      <c r="I121" s="7" t="str" cm="1">
        <f t="array" ref="I121">GetValue("Domains","#TypeName",F121)</f>
        <v>bigint</v>
      </c>
      <c r="J121" s="7" t="str" cm="1">
        <f t="array" ref="J121">GetValue("Domains","#DataType",F121)</f>
        <v>bigint</v>
      </c>
      <c r="K121" s="7" t="s">
        <v>87</v>
      </c>
      <c r="L121" s="7"/>
      <c r="M121" s="7" t="s">
        <v>284</v>
      </c>
      <c r="N121" s="7" t="s">
        <v>201</v>
      </c>
      <c r="O121" s="7" t="s">
        <v>201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f>E121+5</f>
        <v>15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 t="s">
        <v>121</v>
      </c>
      <c r="L122" s="7"/>
      <c r="M122" s="7" t="s">
        <v>212</v>
      </c>
      <c r="N122" s="7" t="s">
        <v>221</v>
      </c>
      <c r="O122" s="7" t="s">
        <v>221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 t="shared" ref="E123:E125" si="12">E122+5</f>
        <v>20</v>
      </c>
      <c r="F123" s="7">
        <v>23</v>
      </c>
      <c r="G123" s="7" t="str" cm="1">
        <f t="array" ref="G123">GetValue("Domains","Name",F123)</f>
        <v>Nvarchar(512)</v>
      </c>
      <c r="H123" s="7" t="str" cm="1">
        <f t="array" ref="H123">GetValue("Domains","#CategoryName",F123)</f>
        <v>string</v>
      </c>
      <c r="I123" s="7" t="str" cm="1">
        <f t="array" ref="I123">GetValue("Domains","#TypeName",F123)</f>
        <v>nvarchar</v>
      </c>
      <c r="J123" s="7" t="str" cm="1">
        <f t="array" ref="J123">GetValue("Domains","#DataType",F123)</f>
        <v>nvarchar(512)</v>
      </c>
      <c r="K123" s="7" t="s">
        <v>528</v>
      </c>
      <c r="L123" s="7"/>
      <c r="M123" s="7" t="s">
        <v>529</v>
      </c>
      <c r="N123" s="7" t="s">
        <v>531</v>
      </c>
      <c r="O123" s="7" t="s">
        <v>531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 t="shared" si="12"/>
        <v>25</v>
      </c>
      <c r="F124" s="7">
        <v>11</v>
      </c>
      <c r="G124" s="7" t="str" cm="1">
        <f t="array" ref="G124">GetValue("Domains","Name",F124)</f>
        <v>Nvarchar(256)</v>
      </c>
      <c r="H124" s="7" t="str" cm="1">
        <f t="array" ref="H124">GetValue("Domains","#CategoryName",F124)</f>
        <v>string</v>
      </c>
      <c r="I124" s="7" t="str" cm="1">
        <f t="array" ref="I124">GetValue("Domains","#TypeName",F124)</f>
        <v>nvarchar</v>
      </c>
      <c r="J124" s="7" t="str" cm="1">
        <f t="array" ref="J124">GetValue("Domains","#DataType",F124)</f>
        <v>nvarchar(256)</v>
      </c>
      <c r="K124" s="7" t="s">
        <v>316</v>
      </c>
      <c r="L124" s="7"/>
      <c r="M124" s="7" t="s">
        <v>530</v>
      </c>
      <c r="N124" s="7" t="s">
        <v>532</v>
      </c>
      <c r="O124" s="7" t="s">
        <v>532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si="12"/>
        <v>30</v>
      </c>
      <c r="F125" s="7">
        <v>6</v>
      </c>
      <c r="G125" s="7" t="str" cm="1">
        <f t="array" ref="G125">GetValue("Domains","Name",F125)</f>
        <v>Boolean</v>
      </c>
      <c r="H125" s="7" t="str" cm="1">
        <f t="array" ref="H125">GetValue("Domains","#CategoryName",F125)</f>
        <v>boolean</v>
      </c>
      <c r="I125" s="7" t="str" cm="1">
        <f t="array" ref="I125">GetValue("Domains","#TypeName",F125)</f>
        <v>bit</v>
      </c>
      <c r="J125" s="7" t="str" cm="1">
        <f t="array" ref="J125">GetValue("Domains","#DataType",F125)</f>
        <v>bit</v>
      </c>
      <c r="K125" s="7" t="s">
        <v>320</v>
      </c>
      <c r="L125" s="7"/>
      <c r="M125" s="7" t="s">
        <v>285</v>
      </c>
      <c r="N125" s="7" t="s">
        <v>285</v>
      </c>
      <c r="O125" s="7" t="s">
        <v>285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GetValue("Tables","Name",B126)</f>
        <v>Transactions</v>
      </c>
      <c r="D126" s="9" t="str" cm="1">
        <f t="array" ref="D126">GetValue("Tables","Alias",B126)</f>
        <v>Transaction</v>
      </c>
      <c r="E126" s="9">
        <v>5</v>
      </c>
      <c r="F126" s="9">
        <v>1</v>
      </c>
      <c r="G126" s="9" t="str" cm="1">
        <f t="array" ref="G126">GetValue("Domains","Name",F126)</f>
        <v>BigInteger</v>
      </c>
      <c r="H126" s="9" t="str" cm="1">
        <f t="array" ref="H126">GetValue("Domains","#CategoryName",F126)</f>
        <v>number</v>
      </c>
      <c r="I126" s="9" t="str" cm="1">
        <f t="array" ref="I126">GetValue("Domains","#TypeName",F126)</f>
        <v>bigint</v>
      </c>
      <c r="J126" s="9" t="str" cm="1">
        <f t="array" ref="J126">GetValue("Domains","#DataType",F126)</f>
        <v>bigint</v>
      </c>
      <c r="K126" s="9" t="s">
        <v>0</v>
      </c>
      <c r="L126" s="9"/>
      <c r="M126" s="9" t="s">
        <v>417</v>
      </c>
      <c r="N126" s="9" t="s">
        <v>154</v>
      </c>
      <c r="O126" s="9" t="s">
        <v>154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GetValue("Tables","Name",B127)</f>
        <v>Transactions</v>
      </c>
      <c r="D127" s="9" t="str" cm="1">
        <f t="array" ref="D127">GetValue("Tables","Alias",B127)</f>
        <v>Transaction</v>
      </c>
      <c r="E127" s="9">
        <f>E126+5</f>
        <v>10</v>
      </c>
      <c r="F127" s="9">
        <v>1</v>
      </c>
      <c r="G127" s="9" t="str" cm="1">
        <f t="array" ref="G127">GetValue("Domains","Name",F127)</f>
        <v>BigInteger</v>
      </c>
      <c r="H127" s="9" t="str" cm="1">
        <f t="array" ref="H127">GetValue("Domains","#CategoryName",F127)</f>
        <v>number</v>
      </c>
      <c r="I127" s="9" t="str" cm="1">
        <f t="array" ref="I127">GetValue("Domains","#TypeName",F127)</f>
        <v>bigint</v>
      </c>
      <c r="J127" s="9" t="str" cm="1">
        <f t="array" ref="J127">GetValue("Domains","#DataType",F127)</f>
        <v>bigint</v>
      </c>
      <c r="K127" s="9" t="s">
        <v>511</v>
      </c>
      <c r="L127" s="9"/>
      <c r="M127" s="9" t="s">
        <v>512</v>
      </c>
      <c r="N127" s="9" t="s">
        <v>513</v>
      </c>
      <c r="O127" s="9" t="s">
        <v>513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f>E127+5</f>
        <v>15</v>
      </c>
      <c r="F128" s="9">
        <v>6</v>
      </c>
      <c r="G128" s="9" t="str" cm="1">
        <f t="array" ref="G128">GetValue("Domains","Name",F128)</f>
        <v>Boolean</v>
      </c>
      <c r="H128" s="9" t="str" cm="1">
        <f t="array" ref="H128">GetValue("Domains","#CategoryName",F128)</f>
        <v>boolean</v>
      </c>
      <c r="I128" s="9" t="str" cm="1">
        <f t="array" ref="I128">GetValue("Domains","#TypeName",F128)</f>
        <v>bit</v>
      </c>
      <c r="J128" s="9" t="str" cm="1">
        <f t="array" ref="J128">GetValue("Domains","#DataType",F128)</f>
        <v>bit</v>
      </c>
      <c r="K128" s="9" t="s">
        <v>410</v>
      </c>
      <c r="L128" s="9"/>
      <c r="M128" s="9" t="s">
        <v>414</v>
      </c>
      <c r="N128" s="9" t="s">
        <v>415</v>
      </c>
      <c r="O128" s="9" t="s">
        <v>415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GetValue("Tables","Name",B129)</f>
        <v>Operations</v>
      </c>
      <c r="D129" s="8" t="str" cm="1">
        <f t="array" ref="D129">GetValue("Tables","Alias",B129)</f>
        <v>Operation</v>
      </c>
      <c r="E129" s="7">
        <v>5</v>
      </c>
      <c r="F129" s="7">
        <v>1</v>
      </c>
      <c r="G129" s="7" t="str" cm="1">
        <f t="array" ref="G129">GetValue("Domains","Name",F129)</f>
        <v>BigInteger</v>
      </c>
      <c r="H129" s="7" t="str" cm="1">
        <f t="array" ref="H129">GetValue("Domains","#CategoryName",F129)</f>
        <v>number</v>
      </c>
      <c r="I129" s="7" t="str" cm="1">
        <f t="array" ref="I129">GetValue("Domains","#TypeName",F129)</f>
        <v>bigint</v>
      </c>
      <c r="J129" s="7" t="str" cm="1">
        <f t="array" ref="J129">GetValue("Domains","#DataType",F129)</f>
        <v>bigint</v>
      </c>
      <c r="K129" s="7" t="s">
        <v>0</v>
      </c>
      <c r="L129" s="7"/>
      <c r="M129" s="7" t="s">
        <v>418</v>
      </c>
      <c r="N129" s="7" t="s">
        <v>154</v>
      </c>
      <c r="O129" s="7" t="s">
        <v>154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GetValue("Tables","Name",B130)</f>
        <v>Operations</v>
      </c>
      <c r="D130" s="8" t="str" cm="1">
        <f t="array" ref="D130">GetValue("Tables","Alias",B130)</f>
        <v>Operation</v>
      </c>
      <c r="E130" s="7">
        <f>E129+5</f>
        <v>10</v>
      </c>
      <c r="F130" s="7">
        <v>1</v>
      </c>
      <c r="G130" s="7" t="str" cm="1">
        <f t="array" ref="G130">GetValue("Domains","Name",F130)</f>
        <v>BigInteger</v>
      </c>
      <c r="H130" s="7" t="str" cm="1">
        <f t="array" ref="H130">GetValue("Domains","#CategoryName",F130)</f>
        <v>number</v>
      </c>
      <c r="I130" s="7" t="str" cm="1">
        <f t="array" ref="I130">GetValue("Domains","#TypeName",F130)</f>
        <v>bigint</v>
      </c>
      <c r="J130" s="7" t="str" cm="1">
        <f t="array" ref="J130">GetValue("Domains","#DataType",F130)</f>
        <v>bigint</v>
      </c>
      <c r="K130" s="7" t="s">
        <v>411</v>
      </c>
      <c r="L130" s="7"/>
      <c r="M130" s="7" t="s">
        <v>417</v>
      </c>
      <c r="N130" s="7" t="s">
        <v>419</v>
      </c>
      <c r="O130" s="7" t="s">
        <v>419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f t="shared" ref="E131:E135" si="13">E130+5</f>
        <v>15</v>
      </c>
      <c r="F131" s="7">
        <v>9</v>
      </c>
      <c r="G131" s="7" t="str" cm="1">
        <f t="array" ref="G131">GetValue("Domains","Name",F131)</f>
        <v>Nvarchar(25)</v>
      </c>
      <c r="H131" s="7" t="str" cm="1">
        <f t="array" ref="H131">GetValue("Domains","#CategoryName",F131)</f>
        <v>string</v>
      </c>
      <c r="I131" s="7" t="str" cm="1">
        <f t="array" ref="I131">GetValue("Domains","#TypeName",F131)</f>
        <v>nvarchar</v>
      </c>
      <c r="J131" s="7" t="str" cm="1">
        <f t="array" ref="J131">GetValue("Domains","#DataType",F131)</f>
        <v>nvarchar(25)</v>
      </c>
      <c r="K131" s="7" t="s">
        <v>412</v>
      </c>
      <c r="L131" s="7"/>
      <c r="M131" s="7" t="s">
        <v>231</v>
      </c>
      <c r="N131" s="7" t="s">
        <v>235</v>
      </c>
      <c r="O131" s="7" t="s">
        <v>235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 t="shared" si="13"/>
        <v>20</v>
      </c>
      <c r="F132" s="7">
        <v>21</v>
      </c>
      <c r="G132" s="7" t="str" cm="1">
        <f t="array" ref="G132">GetValue("Domains","Name",F132)</f>
        <v>Operation</v>
      </c>
      <c r="H132" s="7" t="str" cm="1">
        <f t="array" ref="H132">GetValue("Domains","#CategoryName",F132)</f>
        <v>string</v>
      </c>
      <c r="I132" s="7" t="str" cm="1">
        <f t="array" ref="I132">GetValue("Domains","#TypeName",F132)</f>
        <v>nvarchar</v>
      </c>
      <c r="J132" s="7" t="str" cm="1">
        <f t="array" ref="J132">GetValue("Domains","#DataType",F132)</f>
        <v>nvarchar(15)</v>
      </c>
      <c r="K132" s="7" t="s">
        <v>91</v>
      </c>
      <c r="L132" s="7"/>
      <c r="M132" s="7" t="s">
        <v>420</v>
      </c>
      <c r="N132" s="7" t="s">
        <v>209</v>
      </c>
      <c r="O132" s="7" t="s">
        <v>209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si="13"/>
        <v>25</v>
      </c>
      <c r="F133" s="7">
        <v>12</v>
      </c>
      <c r="G133" s="7" t="str" cm="1">
        <f t="array" ref="G133">GetValue("Domains","Name",F133)</f>
        <v>Nvarchar(MAX)</v>
      </c>
      <c r="H133" s="7" t="str" cm="1">
        <f t="array" ref="H133">GetValue("Domains","#CategoryName",F133)</f>
        <v>text</v>
      </c>
      <c r="I133" s="7" t="str" cm="1">
        <f t="array" ref="I133">GetValue("Domains","#TypeName",F133)</f>
        <v>nvarchar(max)</v>
      </c>
      <c r="J133" s="7" t="str" cm="1">
        <f t="array" ref="J133">GetValue("Domains","#DataType",F133)</f>
        <v>nvarchar(max)</v>
      </c>
      <c r="K133" s="7" t="s">
        <v>451</v>
      </c>
      <c r="L133" s="7"/>
      <c r="M133" s="7" t="s">
        <v>452</v>
      </c>
      <c r="N133" s="7" t="s">
        <v>452</v>
      </c>
      <c r="O133" s="7" t="s">
        <v>452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30</v>
      </c>
      <c r="F134" s="7">
        <v>12</v>
      </c>
      <c r="G134" s="7" t="str" cm="1">
        <f t="array" ref="G134">GetValue("Domains","Name",F134)</f>
        <v>Nvarchar(MAX)</v>
      </c>
      <c r="H134" s="7" t="str" cm="1">
        <f t="array" ref="H134">GetValue("Domains","#CategoryName",F134)</f>
        <v>text</v>
      </c>
      <c r="I134" s="7" t="str" cm="1">
        <f t="array" ref="I134">GetValue("Domains","#TypeName",F134)</f>
        <v>nvarchar(max)</v>
      </c>
      <c r="J134" s="7" t="str" cm="1">
        <f t="array" ref="J134">GetValue("Domains","#DataType",F134)</f>
        <v>nvarchar(max)</v>
      </c>
      <c r="K134" s="7" t="s">
        <v>413</v>
      </c>
      <c r="L134" s="7"/>
      <c r="M134" s="7" t="s">
        <v>421</v>
      </c>
      <c r="N134" s="7" t="s">
        <v>421</v>
      </c>
      <c r="O134" s="7" t="s">
        <v>421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35</v>
      </c>
      <c r="F135" s="7">
        <v>6</v>
      </c>
      <c r="G135" s="7" t="str" cm="1">
        <f t="array" ref="G135">GetValue("Domains","Name",F135)</f>
        <v>Boolean</v>
      </c>
      <c r="H135" s="7" t="str" cm="1">
        <f t="array" ref="H135">GetValue("Domains","#CategoryName",F135)</f>
        <v>boolean</v>
      </c>
      <c r="I135" s="7" t="str" cm="1">
        <f t="array" ref="I135">GetValue("Domains","#TypeName",F135)</f>
        <v>bit</v>
      </c>
      <c r="J135" s="7" t="str" cm="1">
        <f t="array" ref="J135">GetValue("Domains","#DataType",F135)</f>
        <v>bit</v>
      </c>
      <c r="K135" s="7" t="s">
        <v>410</v>
      </c>
      <c r="L135" s="7"/>
      <c r="M135" s="7" t="s">
        <v>414</v>
      </c>
      <c r="N135" s="7" t="s">
        <v>415</v>
      </c>
      <c r="O135" s="7" t="s">
        <v>415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GetValue("Tables","Name",B136)</f>
        <v>Unicities</v>
      </c>
      <c r="D136" s="9" t="str" cm="1">
        <f t="array" ref="D136">GetValue("Tables","Alias",B136)</f>
        <v>Unicity</v>
      </c>
      <c r="E136" s="9">
        <v>5</v>
      </c>
      <c r="F136" s="9">
        <v>1</v>
      </c>
      <c r="G136" s="9" t="str" cm="1">
        <f t="array" ref="G136">GetValue("Domains","Name",F136)</f>
        <v>BigInteger</v>
      </c>
      <c r="H136" s="9" t="str" cm="1">
        <f t="array" ref="H136">GetValue("Domains","#CategoryName",F136)</f>
        <v>number</v>
      </c>
      <c r="I136" s="9" t="str" cm="1">
        <f t="array" ref="I136">GetValue("Domains","#TypeName",F136)</f>
        <v>bigint</v>
      </c>
      <c r="J136" s="9" t="str" cm="1">
        <f t="array" ref="J136">GetValue("Domains","#DataType",F136)</f>
        <v>bigint</v>
      </c>
      <c r="K136" s="9" t="s">
        <v>0</v>
      </c>
      <c r="L136" s="9"/>
      <c r="M136" s="9" t="s">
        <v>434</v>
      </c>
      <c r="N136" s="9" t="s">
        <v>154</v>
      </c>
      <c r="O136" s="9" t="s">
        <v>154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GetValue("Tables","Name",B137)</f>
        <v>Unicities</v>
      </c>
      <c r="D137" s="9" t="str" cm="1">
        <f t="array" ref="D137">GetValue("Tables","Alias",B137)</f>
        <v>Unicity</v>
      </c>
      <c r="E137" s="9">
        <f t="shared" ref="E137:E139" si="14">E136+5</f>
        <v>10</v>
      </c>
      <c r="F137" s="9">
        <v>1</v>
      </c>
      <c r="G137" s="9" t="str" cm="1">
        <f t="array" ref="G137">GetValue("Domains","Name",F137)</f>
        <v>BigInteger</v>
      </c>
      <c r="H137" s="9" t="str" cm="1">
        <f t="array" ref="H137">GetValue("Domains","#CategoryName",F137)</f>
        <v>number</v>
      </c>
      <c r="I137" s="9" t="str" cm="1">
        <f t="array" ref="I137">GetValue("Domains","#TypeName",F137)</f>
        <v>bigint</v>
      </c>
      <c r="J137" s="9" t="str" cm="1">
        <f t="array" ref="J137">GetValue("Domains","#DataType",F137)</f>
        <v>bigint</v>
      </c>
      <c r="K137" s="9" t="s">
        <v>435</v>
      </c>
      <c r="L137" s="9"/>
      <c r="M137" s="9" t="s">
        <v>437</v>
      </c>
      <c r="N137" s="9" t="s">
        <v>437</v>
      </c>
      <c r="O137" s="9" t="s">
        <v>439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f t="shared" si="14"/>
        <v>15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 t="s">
        <v>436</v>
      </c>
      <c r="L138" s="9"/>
      <c r="M138" s="9" t="s">
        <v>438</v>
      </c>
      <c r="N138" s="9" t="s">
        <v>438</v>
      </c>
      <c r="O138" s="9" t="s">
        <v>440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si="14"/>
        <v>20</v>
      </c>
      <c r="F139" s="9">
        <v>6</v>
      </c>
      <c r="G139" s="9" t="str" cm="1">
        <f t="array" ref="G139">GetValue("Domains","Name",F139)</f>
        <v>Boolean</v>
      </c>
      <c r="H139" s="9" t="str" cm="1">
        <f t="array" ref="H139">GetValue("Domains","#CategoryName",F139)</f>
        <v>boolean</v>
      </c>
      <c r="I139" s="9" t="str" cm="1">
        <f t="array" ref="I139">GetValue("Domains","#TypeName",F139)</f>
        <v>bit</v>
      </c>
      <c r="J139" s="9" t="str" cm="1">
        <f t="array" ref="J139">GetValue("Domains","#DataType",F139)</f>
        <v>bit</v>
      </c>
      <c r="K139" s="9" t="s">
        <v>432</v>
      </c>
      <c r="L139" s="9"/>
      <c r="M139" s="9" t="s">
        <v>447</v>
      </c>
      <c r="N139" s="9" t="s">
        <v>448</v>
      </c>
      <c r="O139" s="9" t="s">
        <v>448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GetValue("Tables","Name",B140)</f>
        <v>Comparators</v>
      </c>
      <c r="D140" s="8" t="str" cm="1">
        <f t="array" ref="D140">GetValue("Tables","Alias",B140)</f>
        <v>Comparator</v>
      </c>
      <c r="E140" s="7">
        <v>5</v>
      </c>
      <c r="F140" s="7">
        <v>5</v>
      </c>
      <c r="G140" s="7" t="str" cm="1">
        <f t="array" ref="G140">GetValue("Domains","Name",F140)</f>
        <v>TinyInteger</v>
      </c>
      <c r="H140" s="7" t="str" cm="1">
        <f t="array" ref="H140">GetValue("Domains","#CategoryName",F140)</f>
        <v>number</v>
      </c>
      <c r="I140" s="7" t="str" cm="1">
        <f t="array" ref="I140">GetValue("Domains","#TypeName",F140)</f>
        <v>tinyint</v>
      </c>
      <c r="J140" s="7" t="str" cm="1">
        <f t="array" ref="J140">GetValue("Domains","#DataType",F140)</f>
        <v>tinyint</v>
      </c>
      <c r="K140" s="7" t="s">
        <v>0</v>
      </c>
      <c r="L140" s="7"/>
      <c r="M140" s="7" t="s">
        <v>569</v>
      </c>
      <c r="N140" s="7" t="s">
        <v>154</v>
      </c>
      <c r="O140" s="7" t="s">
        <v>154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GetValue("Tables","Name",B141)</f>
        <v>Comparators</v>
      </c>
      <c r="D141" s="8" t="str" cm="1">
        <f t="array" ref="D141">GetValue("Tables","Alias",B141)</f>
        <v>Comparator</v>
      </c>
      <c r="E141" s="7">
        <f>E140+5</f>
        <v>10</v>
      </c>
      <c r="F141" s="7">
        <v>24</v>
      </c>
      <c r="G141" s="7" t="str" cm="1">
        <f t="array" ref="G141">GetValue("Domains","Name",F141)</f>
        <v>Nchar(1)</v>
      </c>
      <c r="H141" s="7" t="str" cm="1">
        <f t="array" ref="H141">GetValue("Domains","#CategoryName",F141)</f>
        <v>string</v>
      </c>
      <c r="I141" s="7" t="str" cm="1">
        <f t="array" ref="I141">GetValue("Domains","#TypeName",F141)</f>
        <v>nchar</v>
      </c>
      <c r="J141" s="7" t="str" cm="1">
        <f t="array" ref="J141">GetValue("Domains","#DataType",F141)</f>
        <v>nchar(1)</v>
      </c>
      <c r="K141" s="7" t="s">
        <v>537</v>
      </c>
      <c r="L141" s="7"/>
      <c r="M141" s="7" t="s">
        <v>570</v>
      </c>
      <c r="N141" s="7" t="s">
        <v>156</v>
      </c>
      <c r="O141" s="7" t="s">
        <v>578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f>E141+5</f>
        <v>15</v>
      </c>
      <c r="F142" s="7">
        <v>10</v>
      </c>
      <c r="G142" s="7" t="str" cm="1">
        <f t="array" ref="G142">GetValue("Domains","Name",F142)</f>
        <v>Nvarchar(50)</v>
      </c>
      <c r="H142" s="7" t="str" cm="1">
        <f t="array" ref="H142">GetValue("Domains","#CategoryName",F142)</f>
        <v>string</v>
      </c>
      <c r="I142" s="7" t="str" cm="1">
        <f t="array" ref="I142">GetValue("Domains","#TypeName",F142)</f>
        <v>nvarchar</v>
      </c>
      <c r="J142" s="7" t="str" cm="1">
        <f t="array" ref="J142">GetValue("Domains","#DataType",F142)</f>
        <v>nvarchar(50)</v>
      </c>
      <c r="K142" s="7" t="s">
        <v>84</v>
      </c>
      <c r="L142" s="7"/>
      <c r="M142" s="7" t="s">
        <v>571</v>
      </c>
      <c r="N142" s="7" t="s">
        <v>74</v>
      </c>
      <c r="O142" s="7" t="s">
        <v>194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20</v>
      </c>
      <c r="F143" s="7">
        <v>5</v>
      </c>
      <c r="G143" s="7" t="str" cm="1">
        <f t="array" ref="G143">GetValue("Domains","Name",F143)</f>
        <v>TinyInteger</v>
      </c>
      <c r="H143" s="7" t="str" cm="1">
        <f t="array" ref="H143">GetValue("Domains","#CategoryName",F143)</f>
        <v>number</v>
      </c>
      <c r="I143" s="7" t="str" cm="1">
        <f t="array" ref="I143">GetValue("Domains","#TypeName",F143)</f>
        <v>tinyint</v>
      </c>
      <c r="J143" s="7" t="str" cm="1">
        <f t="array" ref="J143">GetValue("Domains","#DataType",F143)</f>
        <v>tinyint</v>
      </c>
      <c r="K143" s="7" t="s">
        <v>538</v>
      </c>
      <c r="L143" s="7"/>
      <c r="M143" s="7" t="s">
        <v>572</v>
      </c>
      <c r="N143" s="7" t="s">
        <v>577</v>
      </c>
      <c r="O143" s="7" t="s">
        <v>577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GetValue("Tables","Name",B144)</f>
        <v>Rules</v>
      </c>
      <c r="D144" s="9" t="str" cm="1">
        <f t="array" ref="D144">GetValue("Tables","Alias",B144)</f>
        <v>Rule</v>
      </c>
      <c r="E144" s="9">
        <v>5</v>
      </c>
      <c r="F144" s="9">
        <v>5</v>
      </c>
      <c r="G144" s="9" t="str" cm="1">
        <f t="array" ref="G144">GetValue("Domains","Name",F144)</f>
        <v>TinyInteger</v>
      </c>
      <c r="H144" s="9" t="str" cm="1">
        <f t="array" ref="H144">GetValue("Domains","#CategoryName",F144)</f>
        <v>number</v>
      </c>
      <c r="I144" s="9" t="str" cm="1">
        <f t="array" ref="I144">GetValue("Domains","#TypeName",F144)</f>
        <v>tinyint</v>
      </c>
      <c r="J144" s="9" t="str" cm="1">
        <f t="array" ref="J144">GetValue("Domains","#DataType",F144)</f>
        <v>tinyint</v>
      </c>
      <c r="K144" s="9" t="s">
        <v>0</v>
      </c>
      <c r="L144" s="9"/>
      <c r="M144" s="9" t="s">
        <v>573</v>
      </c>
      <c r="N144" s="9" t="s">
        <v>154</v>
      </c>
      <c r="O144" s="9" t="s">
        <v>154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GetValue("Tables","Name",B145)</f>
        <v>Rules</v>
      </c>
      <c r="D145" s="9" t="str" cm="1">
        <f t="array" ref="D145">GetValue("Tables","Alias",B145)</f>
        <v>Rule</v>
      </c>
      <c r="E145" s="9">
        <f t="shared" ref="E145:E146" si="15">E144+5</f>
        <v>10</v>
      </c>
      <c r="F145" s="9">
        <v>5</v>
      </c>
      <c r="G145" s="9" t="str" cm="1">
        <f t="array" ref="G145">GetValue("Domains","Name",F145)</f>
        <v>TinyInteger</v>
      </c>
      <c r="H145" s="9" t="str" cm="1">
        <f t="array" ref="H145">GetValue("Domains","#CategoryName",F145)</f>
        <v>number</v>
      </c>
      <c r="I145" s="9" t="str" cm="1">
        <f t="array" ref="I145">GetValue("Domains","#TypeName",F145)</f>
        <v>tinyint</v>
      </c>
      <c r="J145" s="9" t="str" cm="1">
        <f t="array" ref="J145">GetValue("Domains","#DataType",F145)</f>
        <v>tinyint</v>
      </c>
      <c r="K145" s="9" t="s">
        <v>25</v>
      </c>
      <c r="L145" s="9"/>
      <c r="M145" s="9" t="s">
        <v>575</v>
      </c>
      <c r="N145" s="9" t="s">
        <v>575</v>
      </c>
      <c r="O145" s="9" t="s">
        <v>158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GetValue("Tables","Name",B146)</f>
        <v>Rules</v>
      </c>
      <c r="D146" s="9" t="str" cm="1">
        <f t="array" ref="D146">GetValue("Tables","Alias",B146)</f>
        <v>Rule</v>
      </c>
      <c r="E146" s="9">
        <f t="shared" si="15"/>
        <v>15</v>
      </c>
      <c r="F146" s="9">
        <v>5</v>
      </c>
      <c r="G146" s="9" t="str" cm="1">
        <f t="array" ref="G146">GetValue("Domains","Name",F146)</f>
        <v>TinyInteger</v>
      </c>
      <c r="H146" s="9" t="str" cm="1">
        <f t="array" ref="H146">GetValue("Domains","#CategoryName",F146)</f>
        <v>number</v>
      </c>
      <c r="I146" s="9" t="str" cm="1">
        <f t="array" ref="I146">GetValue("Domains","#TypeName",F146)</f>
        <v>tinyint</v>
      </c>
      <c r="J146" s="9" t="str" cm="1">
        <f t="array" ref="J146">GetValue("Domains","#DataType",F146)</f>
        <v>tinyint</v>
      </c>
      <c r="K146" s="9" t="s">
        <v>560</v>
      </c>
      <c r="L146" s="9"/>
      <c r="M146" s="9" t="s">
        <v>576</v>
      </c>
      <c r="N146" s="9" t="s">
        <v>576</v>
      </c>
      <c r="O146" s="9" t="s">
        <v>574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7">
        <f t="shared" si="10"/>
        <v>146</v>
      </c>
      <c r="B147" s="7">
        <v>23</v>
      </c>
      <c r="C147" s="7" t="str" cm="1">
        <f t="array" ref="C147">GetValue("Tables","Name",B147)</f>
        <v>testes</v>
      </c>
      <c r="D147" s="8" t="str" cm="1">
        <f t="array" ref="D147">GetValue("Tables","Alias",B147)</f>
        <v>teste</v>
      </c>
      <c r="E147" s="7">
        <v>5</v>
      </c>
      <c r="F147" s="7">
        <v>5</v>
      </c>
      <c r="G147" s="7" t="str" cm="1">
        <f t="array" ref="G147">GetValue("Domains","Name",F147)</f>
        <v>TinyInteger</v>
      </c>
      <c r="H147" s="7" t="str" cm="1">
        <f t="array" ref="H147">GetValue("Domains","#CategoryName",F147)</f>
        <v>number</v>
      </c>
      <c r="I147" s="7" t="str" cm="1">
        <f t="array" ref="I147">GetValue("Domains","#TypeName",F147)</f>
        <v>tinyint</v>
      </c>
      <c r="J147" s="7" t="str" cm="1">
        <f t="array" ref="J147">GetValue("Domains","#DataType",F147)</f>
        <v>tinyint</v>
      </c>
      <c r="K147" s="7" t="s">
        <v>594</v>
      </c>
      <c r="L147" s="7"/>
      <c r="M147" s="7" t="s">
        <v>569</v>
      </c>
      <c r="N147" s="7" t="s">
        <v>154</v>
      </c>
      <c r="O147" s="7" t="s">
        <v>154</v>
      </c>
      <c r="P147" s="14"/>
      <c r="Q147" s="14">
        <v>1</v>
      </c>
      <c r="R147" s="14"/>
      <c r="S147" s="7" t="b">
        <v>1</v>
      </c>
      <c r="T147" s="7" t="b">
        <v>0</v>
      </c>
      <c r="U147" s="7" t="b">
        <v>1</v>
      </c>
      <c r="V147" s="7"/>
      <c r="W147" s="7" t="b">
        <v>1</v>
      </c>
      <c r="X147" s="7" t="b">
        <v>0</v>
      </c>
      <c r="Y147" s="7" t="b">
        <v>0</v>
      </c>
      <c r="Z147" s="7"/>
      <c r="AA147" s="7" t="b">
        <v>0</v>
      </c>
      <c r="AB147" s="7" t="b">
        <v>0</v>
      </c>
    </row>
    <row r="148" spans="1:28" x14ac:dyDescent="0.3">
      <c r="A148" s="7">
        <f t="shared" si="10"/>
        <v>147</v>
      </c>
      <c r="B148" s="7">
        <v>23</v>
      </c>
      <c r="C148" s="7" t="str" cm="1">
        <f t="array" ref="C148">GetValue("Tables","Name",B148)</f>
        <v>testes</v>
      </c>
      <c r="D148" s="8" t="str" cm="1">
        <f t="array" ref="D148">GetValue("Tables","Alias",B148)</f>
        <v>teste</v>
      </c>
      <c r="E148" s="7">
        <f>E147+5</f>
        <v>10</v>
      </c>
      <c r="F148" s="7">
        <v>5</v>
      </c>
      <c r="G148" s="7" t="str" cm="1">
        <f t="array" ref="G148">GetValue("Domains","Name",F148)</f>
        <v>TinyInteger</v>
      </c>
      <c r="H148" s="7" t="str" cm="1">
        <f t="array" ref="H148">GetValue("Domains","#CategoryName",F148)</f>
        <v>number</v>
      </c>
      <c r="I148" s="7" t="str" cm="1">
        <f t="array" ref="I148">GetValue("Domains","#TypeName",F148)</f>
        <v>tinyint</v>
      </c>
      <c r="J148" s="7" t="str" cm="1">
        <f t="array" ref="J148">GetValue("Domains","#DataType",F148)</f>
        <v>tinyint</v>
      </c>
      <c r="K148" s="7" t="s">
        <v>595</v>
      </c>
      <c r="L148" s="7"/>
      <c r="M148" s="7" t="s">
        <v>570</v>
      </c>
      <c r="N148" s="7" t="s">
        <v>156</v>
      </c>
      <c r="O148" s="7" t="s">
        <v>578</v>
      </c>
      <c r="P148" s="14"/>
      <c r="Q148" s="14"/>
      <c r="R148" s="14"/>
      <c r="S148" s="7" t="b">
        <v>1</v>
      </c>
      <c r="T148" s="7" t="b">
        <v>0</v>
      </c>
      <c r="U148" s="7" t="b">
        <v>1</v>
      </c>
      <c r="V148" s="7"/>
      <c r="W148" s="7" t="b">
        <v>1</v>
      </c>
      <c r="X148" s="7" t="b">
        <v>1</v>
      </c>
      <c r="Y148" s="7" t="b">
        <v>1</v>
      </c>
      <c r="Z148" s="7" t="b">
        <v>0</v>
      </c>
      <c r="AA148" s="7"/>
      <c r="AB148" s="7" t="b">
        <v>0</v>
      </c>
    </row>
    <row r="149" spans="1:28" x14ac:dyDescent="0.3">
      <c r="A149" s="7">
        <f t="shared" si="10"/>
        <v>148</v>
      </c>
      <c r="B149" s="7">
        <v>23</v>
      </c>
      <c r="C149" s="7" t="str" cm="1">
        <f t="array" ref="C149">GetValue("Tables","Name",B149)</f>
        <v>testes</v>
      </c>
      <c r="D149" s="8" t="str" cm="1">
        <f t="array" ref="D149">GetValue("Tables","Alias",B149)</f>
        <v>teste</v>
      </c>
      <c r="E149" s="7">
        <f t="shared" ref="E149:E152" si="16">E148+5</f>
        <v>15</v>
      </c>
      <c r="F149" s="7">
        <v>5</v>
      </c>
      <c r="G149" s="7" t="str" cm="1">
        <f t="array" ref="G149">GetValue("Domains","Name",F149)</f>
        <v>TinyInteger</v>
      </c>
      <c r="H149" s="7" t="str" cm="1">
        <f t="array" ref="H149">GetValue("Domains","#CategoryName",F149)</f>
        <v>number</v>
      </c>
      <c r="I149" s="7" t="str" cm="1">
        <f t="array" ref="I149">GetValue("Domains","#TypeName",F149)</f>
        <v>tinyint</v>
      </c>
      <c r="J149" s="7" t="str" cm="1">
        <f t="array" ref="J149">GetValue("Domains","#DataType",F149)</f>
        <v>tinyint</v>
      </c>
      <c r="K149" s="7" t="s">
        <v>596</v>
      </c>
      <c r="L149" s="7"/>
      <c r="M149" s="7" t="s">
        <v>571</v>
      </c>
      <c r="N149" s="7" t="s">
        <v>74</v>
      </c>
      <c r="O149" s="7" t="s">
        <v>194</v>
      </c>
      <c r="P149" s="14"/>
      <c r="Q149" s="14"/>
      <c r="R149" s="14"/>
      <c r="S149" s="7" t="b">
        <v>1</v>
      </c>
      <c r="T149" s="7" t="b">
        <v>0</v>
      </c>
      <c r="U149" s="7" t="b">
        <v>1</v>
      </c>
      <c r="V149" s="7"/>
      <c r="W149" s="7" t="b">
        <v>1</v>
      </c>
      <c r="X149" s="7" t="b">
        <v>1</v>
      </c>
      <c r="Y149" s="7" t="b">
        <v>1</v>
      </c>
      <c r="Z149" s="7" t="b">
        <v>0</v>
      </c>
      <c r="AA149" s="7"/>
      <c r="AB149" s="7" t="b">
        <v>0</v>
      </c>
    </row>
    <row r="150" spans="1:28" x14ac:dyDescent="0.3">
      <c r="A150" s="7">
        <f t="shared" si="10"/>
        <v>149</v>
      </c>
      <c r="B150" s="7">
        <v>23</v>
      </c>
      <c r="C150" s="7" t="str" cm="1">
        <f t="array" ref="C150">GetValue("Tables","Name",B150)</f>
        <v>testes</v>
      </c>
      <c r="D150" s="8" t="str" cm="1">
        <f t="array" ref="D150">GetValue("Tables","Alias",B150)</f>
        <v>teste</v>
      </c>
      <c r="E150" s="7">
        <f t="shared" si="16"/>
        <v>20</v>
      </c>
      <c r="F150" s="7">
        <v>9</v>
      </c>
      <c r="G150" s="7" t="str" cm="1">
        <f t="array" ref="G150">GetValue("Domains","Name",F150)</f>
        <v>Nvarchar(25)</v>
      </c>
      <c r="H150" s="7" t="str" cm="1">
        <f t="array" ref="H150">GetValue("Domains","#CategoryName",F150)</f>
        <v>string</v>
      </c>
      <c r="I150" s="7" t="str" cm="1">
        <f t="array" ref="I150">GetValue("Domains","#TypeName",F150)</f>
        <v>nvarchar</v>
      </c>
      <c r="J150" s="7" t="str" cm="1">
        <f t="array" ref="J150">GetValue("Domains","#DataType",F150)</f>
        <v>nvarchar(25)</v>
      </c>
      <c r="K150" s="7" t="s">
        <v>584</v>
      </c>
      <c r="L150" s="7"/>
      <c r="M150" s="7" t="s">
        <v>572</v>
      </c>
      <c r="N150" s="7" t="s">
        <v>577</v>
      </c>
      <c r="O150" s="7" t="s">
        <v>577</v>
      </c>
      <c r="P150" s="14"/>
      <c r="Q150" s="14"/>
      <c r="R150" s="14"/>
      <c r="S150" s="7" t="b">
        <v>0</v>
      </c>
      <c r="T150" s="7"/>
      <c r="U150" s="7" t="b">
        <v>0</v>
      </c>
      <c r="V150" s="7" t="b">
        <v>0</v>
      </c>
      <c r="W150" s="7" t="b">
        <v>1</v>
      </c>
      <c r="X150" s="7" t="b">
        <v>1</v>
      </c>
      <c r="Y150" s="7" t="b">
        <v>1</v>
      </c>
      <c r="Z150" s="7" t="b">
        <v>0</v>
      </c>
      <c r="AA150" s="7"/>
      <c r="AB150" s="7" t="b">
        <v>0</v>
      </c>
    </row>
    <row r="151" spans="1:28" x14ac:dyDescent="0.3">
      <c r="A151" s="7">
        <f t="shared" si="10"/>
        <v>150</v>
      </c>
      <c r="B151" s="7">
        <v>23</v>
      </c>
      <c r="C151" s="7" t="str" cm="1">
        <f t="array" ref="C151">GetValue("Tables","Name",B151)</f>
        <v>testes</v>
      </c>
      <c r="D151" s="8" t="str" cm="1">
        <f t="array" ref="D151">GetValue("Tables","Alias",B151)</f>
        <v>teste</v>
      </c>
      <c r="E151" s="7">
        <f t="shared" si="16"/>
        <v>25</v>
      </c>
      <c r="F151" s="7">
        <v>9</v>
      </c>
      <c r="G151" s="7" t="str" cm="1">
        <f t="array" ref="G151">GetValue("Domains","Name",F151)</f>
        <v>Nvarchar(25)</v>
      </c>
      <c r="H151" s="7" t="str" cm="1">
        <f t="array" ref="H151">GetValue("Domains","#CategoryName",F151)</f>
        <v>string</v>
      </c>
      <c r="I151" s="7" t="str" cm="1">
        <f t="array" ref="I151">GetValue("Domains","#TypeName",F151)</f>
        <v>nvarchar</v>
      </c>
      <c r="J151" s="7" t="str" cm="1">
        <f t="array" ref="J151">GetValue("Domains","#DataType",F151)</f>
        <v>nvarchar(25)</v>
      </c>
      <c r="K151" s="7" t="s">
        <v>586</v>
      </c>
      <c r="L151" s="7"/>
      <c r="M151" s="7" t="s">
        <v>572</v>
      </c>
      <c r="N151" s="7" t="s">
        <v>577</v>
      </c>
      <c r="O151" s="7" t="s">
        <v>577</v>
      </c>
      <c r="P151" s="14"/>
      <c r="Q151" s="14"/>
      <c r="R151" s="14"/>
      <c r="S151" s="7" t="b">
        <v>0</v>
      </c>
      <c r="T151" s="7"/>
      <c r="U151" s="7" t="b">
        <v>0</v>
      </c>
      <c r="V151" s="7" t="b">
        <v>0</v>
      </c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0"/>
        <v>151</v>
      </c>
      <c r="B152" s="7">
        <v>23</v>
      </c>
      <c r="C152" s="7" t="str" cm="1">
        <f t="array" ref="C152">GetValue("Tables","Name",B152)</f>
        <v>testes</v>
      </c>
      <c r="D152" s="8" t="str" cm="1">
        <f t="array" ref="D152">GetValue("Tables","Alias",B152)</f>
        <v>teste</v>
      </c>
      <c r="E152" s="7">
        <f t="shared" si="16"/>
        <v>30</v>
      </c>
      <c r="F152" s="7">
        <v>9</v>
      </c>
      <c r="G152" s="7" t="str" cm="1">
        <f t="array" ref="G152">GetValue("Domains","Name",F152)</f>
        <v>Nvarchar(25)</v>
      </c>
      <c r="H152" s="7" t="str" cm="1">
        <f t="array" ref="H152">GetValue("Domains","#CategoryName",F152)</f>
        <v>string</v>
      </c>
      <c r="I152" s="7" t="str" cm="1">
        <f t="array" ref="I152">GetValue("Domains","#TypeName",F152)</f>
        <v>nvarchar</v>
      </c>
      <c r="J152" s="7" t="str" cm="1">
        <f t="array" ref="J152">GetValue("Domains","#DataType",F152)</f>
        <v>nvarchar(25)</v>
      </c>
      <c r="K152" s="7" t="s">
        <v>588</v>
      </c>
      <c r="L152" s="7"/>
      <c r="M152" s="7" t="s">
        <v>572</v>
      </c>
      <c r="N152" s="7" t="s">
        <v>577</v>
      </c>
      <c r="O152" s="7" t="s">
        <v>577</v>
      </c>
      <c r="P152" s="14"/>
      <c r="Q152" s="14"/>
      <c r="R152" s="14"/>
      <c r="S152" s="7" t="b">
        <v>0</v>
      </c>
      <c r="T152" s="7"/>
      <c r="U152" s="7" t="b">
        <v>0</v>
      </c>
      <c r="V152" s="7" t="b">
        <v>0</v>
      </c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 t="shared" si="10"/>
        <v>152</v>
      </c>
      <c r="B153" s="7">
        <v>23</v>
      </c>
      <c r="C153" s="7" t="str" cm="1">
        <f t="array" ref="C153">GetValue("Tables","Name",B153)</f>
        <v>testes</v>
      </c>
      <c r="D153" s="8" t="str" cm="1">
        <f t="array" ref="D153">GetValue("Tables","Alias",B153)</f>
        <v>teste</v>
      </c>
      <c r="E153" s="7">
        <f t="shared" ref="E153" si="17">E152+5</f>
        <v>35</v>
      </c>
      <c r="F153" s="7">
        <v>5</v>
      </c>
      <c r="G153" s="7" t="str" cm="1">
        <f t="array" ref="G153">GetValue("Domains","Name",F153)</f>
        <v>TinyInteger</v>
      </c>
      <c r="H153" s="7" t="str" cm="1">
        <f t="array" ref="H153">GetValue("Domains","#CategoryName",F153)</f>
        <v>number</v>
      </c>
      <c r="I153" s="7" t="str" cm="1">
        <f t="array" ref="I153">GetValue("Domains","#TypeName",F153)</f>
        <v>tinyint</v>
      </c>
      <c r="J153" s="7" t="str" cm="1">
        <f t="array" ref="J153">GetValue("Domains","#DataType",F153)</f>
        <v>tinyint</v>
      </c>
      <c r="K153" s="7" t="s">
        <v>590</v>
      </c>
      <c r="L153" s="7"/>
      <c r="M153" s="7" t="s">
        <v>572</v>
      </c>
      <c r="N153" s="7" t="s">
        <v>577</v>
      </c>
      <c r="O153" s="7" t="s">
        <v>577</v>
      </c>
      <c r="P153" s="14"/>
      <c r="Q153" s="14"/>
      <c r="R153" s="14"/>
      <c r="S153" s="7" t="b">
        <v>0</v>
      </c>
      <c r="T153" s="7"/>
      <c r="U153" s="7" t="b">
        <v>0</v>
      </c>
      <c r="V153" s="7"/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9">
        <f t="shared" ref="A154:A159" si="18">ROW(A154)-1</f>
        <v>153</v>
      </c>
      <c r="B154" s="9">
        <v>24</v>
      </c>
      <c r="C154" s="9" t="str" cm="1">
        <f t="array" ref="C154">GetValue("Tables","Name",B154)</f>
        <v>Expressions</v>
      </c>
      <c r="D154" s="9" t="str" cm="1">
        <f t="array" ref="D154">GetValue("Tables","Alias",B154)</f>
        <v>Expression</v>
      </c>
      <c r="E154" s="9">
        <v>5</v>
      </c>
      <c r="F154" s="9">
        <v>1</v>
      </c>
      <c r="G154" s="9" t="str" cm="1">
        <f t="array" ref="G154">GetValue("Domains","Name",F154)</f>
        <v>BigInteger</v>
      </c>
      <c r="H154" s="9" t="str" cm="1">
        <f t="array" ref="H154">GetValue("Domains","#CategoryName",F154)</f>
        <v>number</v>
      </c>
      <c r="I154" s="9" t="str" cm="1">
        <f t="array" ref="I154">GetValue("Domains","#TypeName",F154)</f>
        <v>bigint</v>
      </c>
      <c r="J154" s="9" t="str" cm="1">
        <f t="array" ref="J154">GetValue("Domains","#DataType",F154)</f>
        <v>bigint</v>
      </c>
      <c r="K154" s="9" t="s">
        <v>0</v>
      </c>
      <c r="L154" s="9"/>
      <c r="M154" s="9" t="s">
        <v>665</v>
      </c>
      <c r="N154" s="9" t="s">
        <v>154</v>
      </c>
      <c r="O154" s="9" t="s">
        <v>154</v>
      </c>
      <c r="P154" s="9"/>
      <c r="Q154" s="9">
        <v>1</v>
      </c>
      <c r="R154" s="9"/>
      <c r="S154" s="9" t="b">
        <v>1</v>
      </c>
      <c r="T154" s="9" t="b">
        <v>1</v>
      </c>
      <c r="U154" s="9" t="b">
        <v>1</v>
      </c>
      <c r="V154" s="9"/>
      <c r="W154" s="9" t="b">
        <v>1</v>
      </c>
      <c r="X154" s="9" t="b">
        <v>0</v>
      </c>
      <c r="Y154" s="9" t="b">
        <v>0</v>
      </c>
      <c r="Z154" s="9"/>
      <c r="AA154" s="9" t="b">
        <v>0</v>
      </c>
      <c r="AB154" s="9" t="b">
        <v>0</v>
      </c>
    </row>
    <row r="155" spans="1:28" x14ac:dyDescent="0.3">
      <c r="A155" s="9">
        <f t="shared" si="18"/>
        <v>154</v>
      </c>
      <c r="B155" s="9">
        <v>24</v>
      </c>
      <c r="C155" s="9" t="str" cm="1">
        <f t="array" ref="C155">GetValue("Tables","Name",B155)</f>
        <v>Expressions</v>
      </c>
      <c r="D155" s="9" t="str" cm="1">
        <f t="array" ref="D155">GetValue("Tables","Alias",B155)</f>
        <v>Expression</v>
      </c>
      <c r="E155" s="9">
        <f t="shared" ref="E155:E185" si="19">E154+5</f>
        <v>10</v>
      </c>
      <c r="F155" s="9">
        <v>1</v>
      </c>
      <c r="G155" s="9" t="str" cm="1">
        <f t="array" ref="G155">GetValue("Domains","Name",F155)</f>
        <v>BigInteger</v>
      </c>
      <c r="H155" s="9" t="str" cm="1">
        <f t="array" ref="H155">GetValue("Domains","#CategoryName",F155)</f>
        <v>number</v>
      </c>
      <c r="I155" s="9" t="str" cm="1">
        <f t="array" ref="I155">GetValue("Domains","#TypeName",F155)</f>
        <v>bigint</v>
      </c>
      <c r="J155" s="9" t="str" cm="1">
        <f t="array" ref="J155">GetValue("Domains","#DataType",F155)</f>
        <v>bigint</v>
      </c>
      <c r="K155" s="9" t="s">
        <v>143</v>
      </c>
      <c r="L155" s="9"/>
      <c r="M155" s="9" t="s">
        <v>666</v>
      </c>
      <c r="N155" s="9" t="s">
        <v>235</v>
      </c>
      <c r="O155" s="9" t="s">
        <v>235</v>
      </c>
      <c r="P155" s="9"/>
      <c r="Q155" s="9"/>
      <c r="R155" s="9"/>
      <c r="S155" s="9" t="b">
        <v>0</v>
      </c>
      <c r="T155" s="9" t="b">
        <v>0</v>
      </c>
      <c r="U155" s="9" t="b">
        <v>1</v>
      </c>
      <c r="V155" s="9"/>
      <c r="W155" s="9" t="b">
        <v>1</v>
      </c>
      <c r="X155" s="9" t="b">
        <v>1</v>
      </c>
      <c r="Y155" s="9" t="b">
        <v>1</v>
      </c>
      <c r="Z155" s="9"/>
      <c r="AA155" s="9" t="b">
        <v>0</v>
      </c>
      <c r="AB155" s="9" t="b">
        <v>0</v>
      </c>
    </row>
    <row r="156" spans="1:28" x14ac:dyDescent="0.3">
      <c r="A156" s="9">
        <f t="shared" si="18"/>
        <v>155</v>
      </c>
      <c r="B156" s="9">
        <v>24</v>
      </c>
      <c r="C156" s="9" t="str" cm="1">
        <f t="array" ref="C156">GetValue("Tables","Name",B156)</f>
        <v>Expressions</v>
      </c>
      <c r="D156" s="9" t="str" cm="1">
        <f t="array" ref="D156">GetValue("Tables","Alias",B156)</f>
        <v>Expression</v>
      </c>
      <c r="E156" s="9">
        <f t="shared" si="19"/>
        <v>15</v>
      </c>
      <c r="F156" s="9">
        <v>9</v>
      </c>
      <c r="G156" s="9" t="str" cm="1">
        <f t="array" ref="G156">GetValue("Domains","Name",F156)</f>
        <v>Nvarchar(25)</v>
      </c>
      <c r="H156" s="9" t="str" cm="1">
        <f t="array" ref="H156">GetValue("Domains","#CategoryName",F156)</f>
        <v>string</v>
      </c>
      <c r="I156" s="9" t="str" cm="1">
        <f t="array" ref="I156">GetValue("Domains","#TypeName",F156)</f>
        <v>nvarchar</v>
      </c>
      <c r="J156" s="9" t="str" cm="1">
        <f t="array" ref="J156">GetValue("Domains","#DataType",F156)</f>
        <v>nvarchar(25)</v>
      </c>
      <c r="K156" s="9" t="s">
        <v>1</v>
      </c>
      <c r="L156" s="9"/>
      <c r="M156" s="9" t="s">
        <v>667</v>
      </c>
      <c r="N156" s="9" t="s">
        <v>156</v>
      </c>
      <c r="O156" s="9" t="s">
        <v>156</v>
      </c>
      <c r="P156" s="9"/>
      <c r="Q156" s="9"/>
      <c r="R156" s="9"/>
      <c r="S156" s="9" t="b">
        <v>0</v>
      </c>
      <c r="T156" s="9" t="b">
        <v>0</v>
      </c>
      <c r="U156" s="9" t="b">
        <v>1</v>
      </c>
      <c r="V156" s="9"/>
      <c r="W156" s="9" t="b">
        <v>1</v>
      </c>
      <c r="X156" s="9" t="b">
        <v>1</v>
      </c>
      <c r="Y156" s="9" t="b">
        <v>1</v>
      </c>
      <c r="Z156" s="9"/>
      <c r="AA156" s="9"/>
      <c r="AB156" s="9" t="b">
        <v>0</v>
      </c>
    </row>
    <row r="157" spans="1:28" x14ac:dyDescent="0.3">
      <c r="A157" s="7">
        <f t="shared" si="18"/>
        <v>156</v>
      </c>
      <c r="B157" s="7">
        <v>25</v>
      </c>
      <c r="C157" s="7" t="str" cm="1">
        <f t="array" ref="C157">GetValue("Tables","Name",B157)</f>
        <v>Conditions</v>
      </c>
      <c r="D157" s="8" t="str" cm="1">
        <f t="array" ref="D157">GetValue("Tables","Alias",B157)</f>
        <v>Condition</v>
      </c>
      <c r="E157" s="7">
        <v>5</v>
      </c>
      <c r="F157" s="7">
        <v>1</v>
      </c>
      <c r="G157" s="7" t="str" cm="1">
        <f t="array" ref="G157">GetValue("Domains","Name",F157)</f>
        <v>BigInteger</v>
      </c>
      <c r="H157" s="7" t="str" cm="1">
        <f t="array" ref="H157">GetValue("Domains","#CategoryName",F157)</f>
        <v>number</v>
      </c>
      <c r="I157" s="7" t="str" cm="1">
        <f t="array" ref="I157">GetValue("Domains","#TypeName",F157)</f>
        <v>bigint</v>
      </c>
      <c r="J157" s="7" t="str" cm="1">
        <f t="array" ref="J157">GetValue("Domains","#DataType",F157)</f>
        <v>bigint</v>
      </c>
      <c r="K157" s="7" t="s">
        <v>0</v>
      </c>
      <c r="L157" s="7"/>
      <c r="M157" s="7" t="s">
        <v>668</v>
      </c>
      <c r="N157" s="7" t="s">
        <v>0</v>
      </c>
      <c r="O157" s="7" t="s">
        <v>0</v>
      </c>
      <c r="P157" s="14"/>
      <c r="Q157" s="14">
        <v>1</v>
      </c>
      <c r="R157" s="14"/>
      <c r="S157" s="7" t="b">
        <v>1</v>
      </c>
      <c r="T157" s="7" t="b">
        <v>0</v>
      </c>
      <c r="U157" s="7" t="b">
        <v>1</v>
      </c>
      <c r="V157" s="7"/>
      <c r="W157" s="7" t="b">
        <v>1</v>
      </c>
      <c r="X157" s="7" t="b">
        <v>0</v>
      </c>
      <c r="Y157" s="7" t="b">
        <v>0</v>
      </c>
      <c r="Z157" s="7"/>
      <c r="AA157" s="7" t="b">
        <v>0</v>
      </c>
      <c r="AB157" s="7" t="b">
        <v>0</v>
      </c>
    </row>
    <row r="158" spans="1:28" x14ac:dyDescent="0.3">
      <c r="A158" s="7">
        <f t="shared" si="18"/>
        <v>157</v>
      </c>
      <c r="B158" s="7">
        <v>25</v>
      </c>
      <c r="C158" s="7" t="str" cm="1">
        <f t="array" ref="C158">GetValue("Tables","Name",B158)</f>
        <v>Conditions</v>
      </c>
      <c r="D158" s="8" t="str" cm="1">
        <f t="array" ref="D158">GetValue("Tables","Alias",B158)</f>
        <v>Condition</v>
      </c>
      <c r="E158" s="7">
        <f t="shared" si="19"/>
        <v>10</v>
      </c>
      <c r="F158" s="7">
        <v>1</v>
      </c>
      <c r="G158" s="7" t="str" cm="1">
        <f t="array" ref="G158">GetValue("Domains","Name",F158)</f>
        <v>BigInteger</v>
      </c>
      <c r="H158" s="7" t="str" cm="1">
        <f t="array" ref="H158">GetValue("Domains","#CategoryName",F158)</f>
        <v>number</v>
      </c>
      <c r="I158" s="7" t="str" cm="1">
        <f t="array" ref="I158">GetValue("Domains","#TypeName",F158)</f>
        <v>bigint</v>
      </c>
      <c r="J158" s="7" t="str" cm="1">
        <f t="array" ref="J158">GetValue("Domains","#DataType",F158)</f>
        <v>bigint</v>
      </c>
      <c r="K158" s="7" t="s">
        <v>602</v>
      </c>
      <c r="L158" s="7"/>
      <c r="M158" s="7" t="s">
        <v>665</v>
      </c>
      <c r="N158" s="7" t="s">
        <v>669</v>
      </c>
      <c r="O158" s="7" t="s">
        <v>669</v>
      </c>
      <c r="P158" s="14"/>
      <c r="Q158" s="14"/>
      <c r="R158" s="14"/>
      <c r="S158" s="7" t="b">
        <v>0</v>
      </c>
      <c r="T158" s="7" t="b">
        <v>0</v>
      </c>
      <c r="U158" s="7" t="b">
        <v>1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25</v>
      </c>
      <c r="C159" s="7" t="str" cm="1">
        <f t="array" ref="C159">GetValue("Tables","Name",B159)</f>
        <v>Conditions</v>
      </c>
      <c r="D159" s="8" t="str" cm="1">
        <f t="array" ref="D159">GetValue("Tables","Alias",B159)</f>
        <v>Condition</v>
      </c>
      <c r="E159" s="7">
        <f t="shared" si="19"/>
        <v>15</v>
      </c>
      <c r="F159" s="7">
        <v>4</v>
      </c>
      <c r="G159" s="7" t="str" cm="1">
        <f t="array" ref="G159">GetValue("Domains","Name",F159)</f>
        <v>SmallInteger</v>
      </c>
      <c r="H159" s="7" t="str" cm="1">
        <f t="array" ref="H159">GetValue("Domains","#CategoryName",F159)</f>
        <v>number</v>
      </c>
      <c r="I159" s="7" t="str" cm="1">
        <f t="array" ref="I159">GetValue("Domains","#TypeName",F159)</f>
        <v>smallint</v>
      </c>
      <c r="J159" s="7" t="str" cm="1">
        <f t="array" ref="J159">GetValue("Domains","#DataType",F159)</f>
        <v>smallint</v>
      </c>
      <c r="K159" s="7" t="s">
        <v>88</v>
      </c>
      <c r="L159" s="7"/>
      <c r="M159" s="7" t="s">
        <v>670</v>
      </c>
      <c r="N159" s="7" t="s">
        <v>203</v>
      </c>
      <c r="O159" s="7" t="s">
        <v>203</v>
      </c>
      <c r="P159" s="14"/>
      <c r="Q159" s="14"/>
      <c r="R159" s="14"/>
      <c r="S159" s="7" t="b">
        <v>0</v>
      </c>
      <c r="T159" s="7" t="b">
        <v>0</v>
      </c>
      <c r="U159" s="7" t="b">
        <v>1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7">
        <f>ROW(A160)-1</f>
        <v>159</v>
      </c>
      <c r="B160" s="7">
        <v>25</v>
      </c>
      <c r="C160" s="7" t="str" cm="1">
        <f t="array" ref="C160">GetValue("Tables","Name",B160)</f>
        <v>Conditions</v>
      </c>
      <c r="D160" s="8" t="str" cm="1">
        <f t="array" ref="D160">GetValue("Tables","Alias",B160)</f>
        <v>Condition</v>
      </c>
      <c r="E160" s="7">
        <f t="shared" si="19"/>
        <v>20</v>
      </c>
      <c r="F160" s="7">
        <v>7</v>
      </c>
      <c r="G160" s="7" t="str" cm="1">
        <f t="array" ref="G160">GetValue("Domains","Name",F160)</f>
        <v>Nvarchar(15)</v>
      </c>
      <c r="H160" s="7" t="str" cm="1">
        <f t="array" ref="H160">GetValue("Domains","#CategoryName",F160)</f>
        <v>string</v>
      </c>
      <c r="I160" s="7" t="str" cm="1">
        <f t="array" ref="I160">GetValue("Domains","#TypeName",F160)</f>
        <v>nvarchar</v>
      </c>
      <c r="J160" s="7" t="str" cm="1">
        <f t="array" ref="J160">GetValue("Domains","#DataType",F160)</f>
        <v>nvarchar(15)</v>
      </c>
      <c r="K160" s="7" t="s">
        <v>604</v>
      </c>
      <c r="L160" s="7"/>
      <c r="M160" s="7" t="s">
        <v>671</v>
      </c>
      <c r="N160" s="7" t="s">
        <v>672</v>
      </c>
      <c r="O160" s="7" t="s">
        <v>672</v>
      </c>
      <c r="P160" s="14"/>
      <c r="Q160" s="14"/>
      <c r="R160" s="14"/>
      <c r="S160" s="7" t="b">
        <v>0</v>
      </c>
      <c r="T160" s="7"/>
      <c r="U160" s="7" t="b">
        <v>0</v>
      </c>
      <c r="V160" s="7" t="b">
        <v>0</v>
      </c>
      <c r="W160" s="7" t="b">
        <v>1</v>
      </c>
      <c r="X160" s="7" t="b">
        <v>1</v>
      </c>
      <c r="Y160" s="7" t="b">
        <v>1</v>
      </c>
      <c r="Z160" s="7" t="b">
        <v>0</v>
      </c>
      <c r="AA160" s="7"/>
      <c r="AB160" s="7" t="b">
        <v>0</v>
      </c>
    </row>
    <row r="161" spans="1:28" x14ac:dyDescent="0.3">
      <c r="A161" s="7">
        <f>ROW(A161)-1</f>
        <v>160</v>
      </c>
      <c r="B161" s="7">
        <v>25</v>
      </c>
      <c r="C161" s="7" t="str" cm="1">
        <f t="array" ref="C161">GetValue("Tables","Name",B161)</f>
        <v>Conditions</v>
      </c>
      <c r="D161" s="8" t="str" cm="1">
        <f t="array" ref="D161">GetValue("Tables","Alias",B161)</f>
        <v>Condition</v>
      </c>
      <c r="E161" s="7">
        <f t="shared" si="19"/>
        <v>25</v>
      </c>
      <c r="F161" s="7">
        <v>8</v>
      </c>
      <c r="G161" s="7" t="str" cm="1">
        <f t="array" ref="G161">GetValue("Domains","Name",F161)</f>
        <v>Nvarchar(20)</v>
      </c>
      <c r="H161" s="7" t="str" cm="1">
        <f t="array" ref="H161">GetValue("Domains","#CategoryName",F161)</f>
        <v>string</v>
      </c>
      <c r="I161" s="7" t="str" cm="1">
        <f t="array" ref="I161">GetValue("Domains","#TypeName",F161)</f>
        <v>nvarchar</v>
      </c>
      <c r="J161" s="7" t="str" cm="1">
        <f t="array" ref="J161">GetValue("Domains","#DataType",F161)</f>
        <v>nvarchar(20)</v>
      </c>
      <c r="K161" s="7" t="s">
        <v>605</v>
      </c>
      <c r="L161" s="7"/>
      <c r="M161" s="7" t="s">
        <v>673</v>
      </c>
      <c r="N161" s="7" t="s">
        <v>674</v>
      </c>
      <c r="O161" s="7" t="s">
        <v>674</v>
      </c>
      <c r="P161" s="14"/>
      <c r="Q161" s="14"/>
      <c r="R161" s="14"/>
      <c r="S161" s="7" t="b">
        <v>0</v>
      </c>
      <c r="T161" s="7"/>
      <c r="U161" s="7" t="b">
        <v>0</v>
      </c>
      <c r="V161" s="7" t="b">
        <v>0</v>
      </c>
      <c r="W161" s="7" t="b">
        <v>1</v>
      </c>
      <c r="X161" s="7" t="b">
        <v>1</v>
      </c>
      <c r="Y161" s="7" t="b">
        <v>1</v>
      </c>
      <c r="Z161" s="7" t="b">
        <v>0</v>
      </c>
      <c r="AA161" s="7"/>
      <c r="AB161" s="7" t="b">
        <v>0</v>
      </c>
    </row>
    <row r="162" spans="1:28" x14ac:dyDescent="0.3">
      <c r="A162" s="7">
        <f>ROW(A162)-1</f>
        <v>161</v>
      </c>
      <c r="B162" s="7">
        <v>25</v>
      </c>
      <c r="C162" s="7" t="str" cm="1">
        <f t="array" ref="C162">GetValue("Tables","Name",B162)</f>
        <v>Conditions</v>
      </c>
      <c r="D162" s="8" t="str" cm="1">
        <f t="array" ref="D162">GetValue("Tables","Alias",B162)</f>
        <v>Condition</v>
      </c>
      <c r="E162" s="7">
        <f t="shared" si="19"/>
        <v>30</v>
      </c>
      <c r="F162" s="7">
        <v>1</v>
      </c>
      <c r="G162" s="7" t="str" cm="1">
        <f t="array" ref="G162">GetValue("Domains","Name",F162)</f>
        <v>BigInteger</v>
      </c>
      <c r="H162" s="7" t="str" cm="1">
        <f t="array" ref="H162">GetValue("Domains","#CategoryName",F162)</f>
        <v>number</v>
      </c>
      <c r="I162" s="7" t="str" cm="1">
        <f t="array" ref="I162">GetValue("Domains","#TypeName",F162)</f>
        <v>bigint</v>
      </c>
      <c r="J162" s="7" t="str" cm="1">
        <f t="array" ref="J162">GetValue("Domains","#DataType",F162)</f>
        <v>bigint</v>
      </c>
      <c r="K162" s="7" t="s">
        <v>606</v>
      </c>
      <c r="L162" s="7"/>
      <c r="M162" s="7" t="s">
        <v>675</v>
      </c>
      <c r="N162" s="7" t="s">
        <v>673</v>
      </c>
      <c r="O162" s="7" t="s">
        <v>673</v>
      </c>
      <c r="P162" s="14"/>
      <c r="Q162" s="14"/>
      <c r="R162" s="14"/>
      <c r="S162" s="7" t="b">
        <v>0</v>
      </c>
      <c r="T162" s="7"/>
      <c r="U162" s="7" t="b">
        <v>0</v>
      </c>
      <c r="V162" s="7" t="b">
        <v>0</v>
      </c>
      <c r="W162" s="7" t="b">
        <v>1</v>
      </c>
      <c r="X162" s="7" t="b">
        <v>1</v>
      </c>
      <c r="Y162" s="7" t="b">
        <v>1</v>
      </c>
      <c r="Z162" s="7" t="b">
        <v>0</v>
      </c>
      <c r="AA162" s="7"/>
      <c r="AB162" s="7" t="b">
        <v>0</v>
      </c>
    </row>
    <row r="163" spans="1:28" x14ac:dyDescent="0.3">
      <c r="A163" s="7">
        <f t="shared" ref="A163:A186" si="20">ROW(A163)-1</f>
        <v>162</v>
      </c>
      <c r="B163" s="7">
        <v>25</v>
      </c>
      <c r="C163" s="7" t="str" cm="1">
        <f t="array" ref="C163">GetValue("Tables","Name",B163)</f>
        <v>Conditions</v>
      </c>
      <c r="D163" s="8" t="str" cm="1">
        <f t="array" ref="D163">GetValue("Tables","Alias",B163)</f>
        <v>Condition</v>
      </c>
      <c r="E163" s="7">
        <f t="shared" si="19"/>
        <v>35</v>
      </c>
      <c r="F163" s="7">
        <v>1</v>
      </c>
      <c r="G163" s="7" t="str" cm="1">
        <f t="array" ref="G163">GetValue("Domains","Name",F163)</f>
        <v>BigInteger</v>
      </c>
      <c r="H163" s="7" t="str" cm="1">
        <f t="array" ref="H163">GetValue("Domains","#CategoryName",F163)</f>
        <v>number</v>
      </c>
      <c r="I163" s="7" t="str" cm="1">
        <f t="array" ref="I163">GetValue("Domains","#TypeName",F163)</f>
        <v>bigint</v>
      </c>
      <c r="J163" s="7" t="str" cm="1">
        <f t="array" ref="J163">GetValue("Domains","#DataType",F163)</f>
        <v>bigint</v>
      </c>
      <c r="K163" s="7" t="s">
        <v>560</v>
      </c>
      <c r="L163" s="7"/>
      <c r="M163" s="7" t="s">
        <v>676</v>
      </c>
      <c r="N163" s="7" t="s">
        <v>574</v>
      </c>
      <c r="O163" s="7" t="s">
        <v>574</v>
      </c>
      <c r="P163" s="14"/>
      <c r="Q163" s="14"/>
      <c r="R163" s="14"/>
      <c r="S163" s="7" t="b">
        <v>0</v>
      </c>
      <c r="T163" s="7"/>
      <c r="U163" s="7" t="b">
        <v>0</v>
      </c>
      <c r="V163" s="7"/>
      <c r="W163" s="7" t="b">
        <v>1</v>
      </c>
      <c r="X163" s="7" t="b">
        <v>1</v>
      </c>
      <c r="Y163" s="7" t="b">
        <v>1</v>
      </c>
      <c r="Z163" s="7" t="b">
        <v>0</v>
      </c>
      <c r="AA163" s="7"/>
      <c r="AB163" s="7" t="b">
        <v>0</v>
      </c>
    </row>
    <row r="164" spans="1:28" x14ac:dyDescent="0.3">
      <c r="A164" s="7">
        <f t="shared" si="20"/>
        <v>163</v>
      </c>
      <c r="B164" s="7">
        <v>25</v>
      </c>
      <c r="C164" s="7" t="str" cm="1">
        <f t="array" ref="C164">GetValue("Tables","Name",B164)</f>
        <v>Conditions</v>
      </c>
      <c r="D164" s="8" t="str" cm="1">
        <f t="array" ref="D164">GetValue("Tables","Alias",B164)</f>
        <v>Condition</v>
      </c>
      <c r="E164" s="7">
        <f t="shared" si="19"/>
        <v>40</v>
      </c>
      <c r="F164" s="7">
        <v>1</v>
      </c>
      <c r="G164" s="7" t="str" cm="1">
        <f t="array" ref="G164">GetValue("Domains","Name",F164)</f>
        <v>BigInteger</v>
      </c>
      <c r="H164" s="7" t="str" cm="1">
        <f t="array" ref="H164">GetValue("Domains","#CategoryName",F164)</f>
        <v>number</v>
      </c>
      <c r="I164" s="7" t="str" cm="1">
        <f t="array" ref="I164">GetValue("Domains","#TypeName",F164)</f>
        <v>bigint</v>
      </c>
      <c r="J164" s="7" t="str" cm="1">
        <f t="array" ref="J164">GetValue("Domains","#DataType",F164)</f>
        <v>bigint</v>
      </c>
      <c r="K164" s="7" t="s">
        <v>608</v>
      </c>
      <c r="L164" s="7"/>
      <c r="M164" s="7" t="s">
        <v>677</v>
      </c>
      <c r="N164" s="7" t="s">
        <v>678</v>
      </c>
      <c r="O164" s="7" t="s">
        <v>678</v>
      </c>
      <c r="P164" s="14"/>
      <c r="Q164" s="14"/>
      <c r="R164" s="14"/>
      <c r="S164" s="7" t="b">
        <v>0</v>
      </c>
      <c r="T164" s="7"/>
      <c r="U164" s="7" t="b">
        <v>0</v>
      </c>
      <c r="V164" s="7"/>
      <c r="W164" s="7" t="b">
        <v>1</v>
      </c>
      <c r="X164" s="7" t="b">
        <v>1</v>
      </c>
      <c r="Y164" s="7" t="b">
        <v>1</v>
      </c>
      <c r="Z164" s="7" t="b">
        <v>0</v>
      </c>
      <c r="AA164" s="7"/>
      <c r="AB164" s="7" t="b">
        <v>0</v>
      </c>
    </row>
    <row r="165" spans="1:28" x14ac:dyDescent="0.3">
      <c r="A165" s="7">
        <f t="shared" si="20"/>
        <v>164</v>
      </c>
      <c r="B165" s="7">
        <v>25</v>
      </c>
      <c r="C165" s="7" t="str" cm="1">
        <f t="array" ref="C165">GetValue("Tables","Name",B165)</f>
        <v>Conditions</v>
      </c>
      <c r="D165" s="8" t="str" cm="1">
        <f t="array" ref="D165">GetValue("Tables","Alias",B165)</f>
        <v>Condition</v>
      </c>
      <c r="E165" s="7">
        <f t="shared" si="19"/>
        <v>45</v>
      </c>
      <c r="F165" s="7">
        <v>12</v>
      </c>
      <c r="G165" s="7" t="str" cm="1">
        <f t="array" ref="G165">GetValue("Domains","Name",F165)</f>
        <v>Nvarchar(MAX)</v>
      </c>
      <c r="H165" s="7" t="str" cm="1">
        <f t="array" ref="H165">GetValue("Domains","#CategoryName",F165)</f>
        <v>text</v>
      </c>
      <c r="I165" s="7" t="str" cm="1">
        <f t="array" ref="I165">GetValue("Domains","#TypeName",F165)</f>
        <v>nvarchar(max)</v>
      </c>
      <c r="J165" s="7" t="str" cm="1">
        <f t="array" ref="J165">GetValue("Domains","#DataType",F165)</f>
        <v>nvarchar(max)</v>
      </c>
      <c r="K165" s="7" t="s">
        <v>610</v>
      </c>
      <c r="L165" s="7"/>
      <c r="M165" s="7" t="s">
        <v>679</v>
      </c>
      <c r="N165" s="7" t="s">
        <v>679</v>
      </c>
      <c r="O165" s="7" t="s">
        <v>679</v>
      </c>
      <c r="P165" s="14"/>
      <c r="Q165" s="14"/>
      <c r="R165" s="14"/>
      <c r="S165" s="7" t="b">
        <v>0</v>
      </c>
      <c r="T165" s="7"/>
      <c r="U165" s="7" t="b">
        <v>0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20"/>
        <v>165</v>
      </c>
      <c r="B166" s="7">
        <v>25</v>
      </c>
      <c r="C166" s="7" t="str" cm="1">
        <f t="array" ref="C166">GetValue("Tables","Name",B166)</f>
        <v>Conditions</v>
      </c>
      <c r="D166" s="8" t="str" cm="1">
        <f t="array" ref="D166">GetValue("Tables","Alias",B166)</f>
        <v>Condition</v>
      </c>
      <c r="E166" s="7">
        <f t="shared" si="19"/>
        <v>50</v>
      </c>
      <c r="F166" s="7">
        <v>8</v>
      </c>
      <c r="G166" s="7" t="str" cm="1">
        <f t="array" ref="G166">GetValue("Domains","Name",F166)</f>
        <v>Nvarchar(20)</v>
      </c>
      <c r="H166" s="7" t="str" cm="1">
        <f t="array" ref="H166">GetValue("Domains","#CategoryName",F166)</f>
        <v>string</v>
      </c>
      <c r="I166" s="7" t="str" cm="1">
        <f t="array" ref="I166">GetValue("Domains","#TypeName",F166)</f>
        <v>nvarchar</v>
      </c>
      <c r="J166" s="7" t="str" cm="1">
        <f t="array" ref="J166">GetValue("Domains","#DataType",F166)</f>
        <v>nvarchar(20)</v>
      </c>
      <c r="K166" s="7" t="s">
        <v>611</v>
      </c>
      <c r="L166" s="7"/>
      <c r="M166" s="7" t="s">
        <v>680</v>
      </c>
      <c r="N166" s="7" t="s">
        <v>680</v>
      </c>
      <c r="O166" s="7" t="s">
        <v>680</v>
      </c>
      <c r="P166" s="14"/>
      <c r="Q166" s="14"/>
      <c r="R166" s="14"/>
      <c r="S166" s="7" t="b">
        <v>0</v>
      </c>
      <c r="T166" s="7"/>
      <c r="U166" s="7" t="b">
        <v>0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9">
        <f t="shared" si="20"/>
        <v>166</v>
      </c>
      <c r="B167" s="9">
        <v>26</v>
      </c>
      <c r="C167" s="9" t="str" cm="1">
        <f t="array" ref="C167">GetValue("Tables","Name",B167)</f>
        <v>Properties</v>
      </c>
      <c r="D167" s="9" t="str" cm="1">
        <f t="array" ref="D167">GetValue("Tables","Alias",B167)</f>
        <v>Property</v>
      </c>
      <c r="E167" s="9">
        <v>5</v>
      </c>
      <c r="F167" s="9">
        <v>1</v>
      </c>
      <c r="G167" s="9" t="str" cm="1">
        <f t="array" ref="G167">GetValue("Domains","Name",F167)</f>
        <v>BigInteger</v>
      </c>
      <c r="H167" s="9" t="str" cm="1">
        <f t="array" ref="H167">GetValue("Domains","#CategoryName",F167)</f>
        <v>number</v>
      </c>
      <c r="I167" s="9" t="str" cm="1">
        <f t="array" ref="I167">GetValue("Domains","#TypeName",F167)</f>
        <v>bigint</v>
      </c>
      <c r="J167" s="9" t="str" cm="1">
        <f t="array" ref="J167">GetValue("Domains","#DataType",F167)</f>
        <v>bigint</v>
      </c>
      <c r="K167" s="9" t="s">
        <v>0</v>
      </c>
      <c r="L167" s="9"/>
      <c r="M167" s="9" t="s">
        <v>681</v>
      </c>
      <c r="N167" s="9" t="s">
        <v>0</v>
      </c>
      <c r="O167" s="9" t="s">
        <v>0</v>
      </c>
      <c r="P167" s="9"/>
      <c r="Q167" s="9">
        <v>1</v>
      </c>
      <c r="R167" s="9"/>
      <c r="S167" s="9" t="b">
        <v>1</v>
      </c>
      <c r="T167" s="9" t="b">
        <v>0</v>
      </c>
      <c r="U167" s="9" t="b">
        <v>1</v>
      </c>
      <c r="V167" s="9"/>
      <c r="W167" s="9" t="b">
        <v>1</v>
      </c>
      <c r="X167" s="9" t="b">
        <v>0</v>
      </c>
      <c r="Y167" s="9" t="b">
        <v>0</v>
      </c>
      <c r="Z167" s="9"/>
      <c r="AA167" s="9" t="b">
        <v>0</v>
      </c>
      <c r="AB167" s="9" t="b">
        <v>0</v>
      </c>
    </row>
    <row r="168" spans="1:28" x14ac:dyDescent="0.3">
      <c r="A168" s="9">
        <f t="shared" si="20"/>
        <v>167</v>
      </c>
      <c r="B168" s="9">
        <v>26</v>
      </c>
      <c r="C168" s="9" t="str" cm="1">
        <f t="array" ref="C168">GetValue("Tables","Name",B168)</f>
        <v>Properties</v>
      </c>
      <c r="D168" s="9" t="str" cm="1">
        <f t="array" ref="D168">GetValue("Tables","Alias",B168)</f>
        <v>Property</v>
      </c>
      <c r="E168" s="9">
        <f t="shared" si="19"/>
        <v>10</v>
      </c>
      <c r="F168" s="9">
        <v>9</v>
      </c>
      <c r="G168" s="9" t="str" cm="1">
        <f t="array" ref="G168">GetValue("Domains","Name",F168)</f>
        <v>Nvarchar(25)</v>
      </c>
      <c r="H168" s="9" t="str" cm="1">
        <f t="array" ref="H168">GetValue("Domains","#CategoryName",F168)</f>
        <v>string</v>
      </c>
      <c r="I168" s="9" t="str" cm="1">
        <f t="array" ref="I168">GetValue("Domains","#TypeName",F168)</f>
        <v>nvarchar</v>
      </c>
      <c r="J168" s="9" t="str" cm="1">
        <f t="array" ref="J168">GetValue("Domains","#DataType",F168)</f>
        <v>nvarchar(25)</v>
      </c>
      <c r="K168" s="9" t="s">
        <v>1</v>
      </c>
      <c r="L168" s="9"/>
      <c r="M168" s="9" t="s">
        <v>682</v>
      </c>
      <c r="N168" s="9" t="s">
        <v>156</v>
      </c>
      <c r="O168" s="9" t="s">
        <v>156</v>
      </c>
      <c r="P168" s="9"/>
      <c r="Q168" s="9"/>
      <c r="R168" s="9"/>
      <c r="S168" s="9" t="b">
        <v>0</v>
      </c>
      <c r="T168" s="9" t="b">
        <v>0</v>
      </c>
      <c r="U168" s="9" t="b">
        <v>1</v>
      </c>
      <c r="V168" s="9"/>
      <c r="W168" s="9" t="b">
        <v>1</v>
      </c>
      <c r="X168" s="9" t="b">
        <v>1</v>
      </c>
      <c r="Y168" s="9" t="b">
        <v>1</v>
      </c>
      <c r="Z168" s="9" t="b">
        <v>0</v>
      </c>
      <c r="AA168" s="9"/>
      <c r="AB168" s="9" t="b">
        <v>0</v>
      </c>
    </row>
    <row r="169" spans="1:28" x14ac:dyDescent="0.3">
      <c r="A169" s="9">
        <f t="shared" si="20"/>
        <v>168</v>
      </c>
      <c r="B169" s="9">
        <v>26</v>
      </c>
      <c r="C169" s="9" t="str" cm="1">
        <f t="array" ref="C169">GetValue("Tables","Name",B169)</f>
        <v>Properties</v>
      </c>
      <c r="D169" s="9" t="str" cm="1">
        <f t="array" ref="D169">GetValue("Tables","Alias",B169)</f>
        <v>Property</v>
      </c>
      <c r="E169" s="9">
        <f t="shared" si="19"/>
        <v>15</v>
      </c>
      <c r="F169" s="9">
        <v>1</v>
      </c>
      <c r="G169" s="9" t="str" cm="1">
        <f t="array" ref="G169">GetValue("Domains","Name",F169)</f>
        <v>BigInteger</v>
      </c>
      <c r="H169" s="9" t="str" cm="1">
        <f t="array" ref="H169">GetValue("Domains","#CategoryName",F169)</f>
        <v>number</v>
      </c>
      <c r="I169" s="9" t="str" cm="1">
        <f t="array" ref="I169">GetValue("Domains","#TypeName",F169)</f>
        <v>bigint</v>
      </c>
      <c r="J169" s="9" t="str" cm="1">
        <f t="array" ref="J169">GetValue("Domains","#DataType",F169)</f>
        <v>bigint</v>
      </c>
      <c r="K169" s="9" t="s">
        <v>25</v>
      </c>
      <c r="L169" s="9"/>
      <c r="M169" s="9" t="s">
        <v>683</v>
      </c>
      <c r="N169" s="9" t="s">
        <v>158</v>
      </c>
      <c r="O169" s="9" t="s">
        <v>158</v>
      </c>
      <c r="P169" s="9"/>
      <c r="Q169" s="9"/>
      <c r="R169" s="9"/>
      <c r="S169" s="9" t="b">
        <v>0</v>
      </c>
      <c r="T169" s="9" t="b">
        <v>0</v>
      </c>
      <c r="U169" s="9" t="b">
        <v>0</v>
      </c>
      <c r="V169" s="9"/>
      <c r="W169" s="9" t="b">
        <v>1</v>
      </c>
      <c r="X169" s="9" t="b">
        <v>1</v>
      </c>
      <c r="Y169" s="9" t="b">
        <v>1</v>
      </c>
      <c r="Z169" s="9" t="b">
        <v>0</v>
      </c>
      <c r="AA169" s="9"/>
      <c r="AB169" s="9" t="b">
        <v>0</v>
      </c>
    </row>
    <row r="170" spans="1:28" x14ac:dyDescent="0.3">
      <c r="A170" s="9">
        <f t="shared" si="20"/>
        <v>169</v>
      </c>
      <c r="B170" s="9">
        <v>26</v>
      </c>
      <c r="C170" s="9" t="str" cm="1">
        <f t="array" ref="C170">GetValue("Tables","Name",B170)</f>
        <v>Properties</v>
      </c>
      <c r="D170" s="9" t="str" cm="1">
        <f t="array" ref="D170">GetValue("Tables","Alias",B170)</f>
        <v>Property</v>
      </c>
      <c r="E170" s="9">
        <f t="shared" si="19"/>
        <v>20</v>
      </c>
      <c r="F170" s="9">
        <v>10</v>
      </c>
      <c r="G170" s="9" t="str" cm="1">
        <f t="array" ref="G170">GetValue("Domains","Name",F170)</f>
        <v>Nvarchar(50)</v>
      </c>
      <c r="H170" s="9" t="str" cm="1">
        <f t="array" ref="H170">GetValue("Domains","#CategoryName",F170)</f>
        <v>string</v>
      </c>
      <c r="I170" s="9" t="str" cm="1">
        <f t="array" ref="I170">GetValue("Domains","#TypeName",F170)</f>
        <v>nvarchar</v>
      </c>
      <c r="J170" s="9" t="str" cm="1">
        <f t="array" ref="J170">GetValue("Domains","#DataType",F170)</f>
        <v>nvarchar(50)</v>
      </c>
      <c r="K170" s="9" t="s">
        <v>84</v>
      </c>
      <c r="L170" s="9"/>
      <c r="M170" s="9" t="s">
        <v>684</v>
      </c>
      <c r="N170" s="9" t="s">
        <v>194</v>
      </c>
      <c r="O170" s="9" t="s">
        <v>194</v>
      </c>
      <c r="P170" s="9"/>
      <c r="Q170" s="9"/>
      <c r="R170" s="9"/>
      <c r="S170" s="9" t="b">
        <v>0</v>
      </c>
      <c r="T170" s="9"/>
      <c r="U170" s="9" t="b">
        <v>0</v>
      </c>
      <c r="V170" s="9" t="b">
        <v>0</v>
      </c>
      <c r="W170" s="9" t="b">
        <v>1</v>
      </c>
      <c r="X170" s="9" t="b">
        <v>1</v>
      </c>
      <c r="Y170" s="9" t="b">
        <v>1</v>
      </c>
      <c r="Z170" s="9" t="b">
        <v>0</v>
      </c>
      <c r="AA170" s="9"/>
      <c r="AB170" s="9" t="b">
        <v>0</v>
      </c>
    </row>
    <row r="171" spans="1:28" x14ac:dyDescent="0.3">
      <c r="A171" s="9">
        <f t="shared" si="20"/>
        <v>170</v>
      </c>
      <c r="B171" s="9">
        <v>26</v>
      </c>
      <c r="C171" s="9" t="str" cm="1">
        <f t="array" ref="C171">GetValue("Tables","Name",B171)</f>
        <v>Properties</v>
      </c>
      <c r="D171" s="9" t="str" cm="1">
        <f t="array" ref="D171">GetValue("Tables","Alias",B171)</f>
        <v>Property</v>
      </c>
      <c r="E171" s="9">
        <f t="shared" si="19"/>
        <v>25</v>
      </c>
      <c r="F171" s="9">
        <v>6</v>
      </c>
      <c r="G171" s="9" t="str" cm="1">
        <f t="array" ref="G171">GetValue("Domains","Name",F171)</f>
        <v>Boolean</v>
      </c>
      <c r="H171" s="9" t="str" cm="1">
        <f t="array" ref="H171">GetValue("Domains","#CategoryName",F171)</f>
        <v>boolean</v>
      </c>
      <c r="I171" s="9" t="str" cm="1">
        <f t="array" ref="I171">GetValue("Domains","#TypeName",F171)</f>
        <v>bit</v>
      </c>
      <c r="J171" s="9" t="str" cm="1">
        <f t="array" ref="J171">GetValue("Domains","#DataType",F171)</f>
        <v>bit</v>
      </c>
      <c r="K171" s="9" t="s">
        <v>33</v>
      </c>
      <c r="L171" s="9"/>
      <c r="M171" s="9" t="s">
        <v>685</v>
      </c>
      <c r="N171" s="9" t="s">
        <v>686</v>
      </c>
      <c r="O171" s="9" t="s">
        <v>686</v>
      </c>
      <c r="P171" s="9"/>
      <c r="Q171" s="9"/>
      <c r="R171" s="9"/>
      <c r="S171" s="9" t="b">
        <v>0</v>
      </c>
      <c r="T171" s="9"/>
      <c r="U171" s="9" t="b">
        <v>0</v>
      </c>
      <c r="V171" s="9" t="b">
        <v>0</v>
      </c>
      <c r="W171" s="9" t="b">
        <v>1</v>
      </c>
      <c r="X171" s="9" t="b">
        <v>1</v>
      </c>
      <c r="Y171" s="9" t="b">
        <v>1</v>
      </c>
      <c r="Z171" s="9" t="b">
        <v>0</v>
      </c>
      <c r="AA171" s="9"/>
      <c r="AB171" s="9" t="b">
        <v>0</v>
      </c>
    </row>
    <row r="172" spans="1:28" x14ac:dyDescent="0.3">
      <c r="A172" s="7">
        <f t="shared" si="20"/>
        <v>171</v>
      </c>
      <c r="B172" s="7">
        <v>27</v>
      </c>
      <c r="C172" s="7" t="str" cm="1">
        <f t="array" ref="C172">GetValue("Tables","Name",B172)</f>
        <v>Behaviors</v>
      </c>
      <c r="D172" s="8" t="str" cm="1">
        <f t="array" ref="D172">GetValue("Tables","Alias",B172)</f>
        <v>Behavior</v>
      </c>
      <c r="E172" s="7">
        <v>5</v>
      </c>
      <c r="F172" s="7">
        <v>1</v>
      </c>
      <c r="G172" s="7" t="str" cm="1">
        <f t="array" ref="G172">GetValue("Domains","Name",F172)</f>
        <v>BigInteger</v>
      </c>
      <c r="H172" s="7" t="str" cm="1">
        <f t="array" ref="H172">GetValue("Domains","#CategoryName",F172)</f>
        <v>number</v>
      </c>
      <c r="I172" s="7" t="str" cm="1">
        <f t="array" ref="I172">GetValue("Domains","#TypeName",F172)</f>
        <v>bigint</v>
      </c>
      <c r="J172" s="7" t="str" cm="1">
        <f t="array" ref="J172">GetValue("Domains","#DataType",F172)</f>
        <v>bigint</v>
      </c>
      <c r="K172" s="7" t="s">
        <v>0</v>
      </c>
      <c r="L172" s="7"/>
      <c r="M172" s="7" t="s">
        <v>687</v>
      </c>
      <c r="N172" s="7" t="s">
        <v>0</v>
      </c>
      <c r="O172" s="7" t="s">
        <v>0</v>
      </c>
      <c r="P172" s="14"/>
      <c r="Q172" s="14"/>
      <c r="R172" s="14"/>
      <c r="S172" s="7" t="b">
        <v>1</v>
      </c>
      <c r="T172" s="7" t="b">
        <v>0</v>
      </c>
      <c r="U172" s="7" t="b">
        <v>1</v>
      </c>
      <c r="V172" s="7"/>
      <c r="W172" s="7" t="b">
        <v>1</v>
      </c>
      <c r="X172" s="7" t="b">
        <v>1</v>
      </c>
      <c r="Y172" s="7" t="b">
        <v>1</v>
      </c>
      <c r="Z172" s="7" t="b">
        <v>0</v>
      </c>
      <c r="AA172" s="7"/>
      <c r="AB172" s="7" t="b">
        <v>0</v>
      </c>
    </row>
    <row r="173" spans="1:28" x14ac:dyDescent="0.3">
      <c r="A173" s="7">
        <f t="shared" si="20"/>
        <v>172</v>
      </c>
      <c r="B173" s="7">
        <v>27</v>
      </c>
      <c r="C173" s="7" t="str" cm="1">
        <f t="array" ref="C173">GetValue("Tables","Name",B173)</f>
        <v>Behaviors</v>
      </c>
      <c r="D173" s="8" t="str" cm="1">
        <f t="array" ref="D173">GetValue("Tables","Alias",B173)</f>
        <v>Behavior</v>
      </c>
      <c r="E173" s="7">
        <f>E171+5</f>
        <v>30</v>
      </c>
      <c r="F173" s="7">
        <v>1</v>
      </c>
      <c r="G173" s="7" t="str" cm="1">
        <f t="array" ref="G173">GetValue("Domains","Name",F173)</f>
        <v>BigInteger</v>
      </c>
      <c r="H173" s="7" t="str" cm="1">
        <f t="array" ref="H173">GetValue("Domains","#CategoryName",F173)</f>
        <v>number</v>
      </c>
      <c r="I173" s="7" t="str" cm="1">
        <f t="array" ref="I173">GetValue("Domains","#TypeName",F173)</f>
        <v>bigint</v>
      </c>
      <c r="J173" s="7" t="str" cm="1">
        <f t="array" ref="J173">GetValue("Domains","#DataType",F173)</f>
        <v>bigint</v>
      </c>
      <c r="K173" s="7" t="s">
        <v>266</v>
      </c>
      <c r="L173" s="7"/>
      <c r="M173" s="7" t="s">
        <v>689</v>
      </c>
      <c r="N173" s="7" t="s">
        <v>268</v>
      </c>
      <c r="O173" s="7" t="s">
        <v>268</v>
      </c>
      <c r="P173" s="14"/>
      <c r="Q173" s="14"/>
      <c r="R173" s="14"/>
      <c r="S173" s="7" t="b">
        <v>0</v>
      </c>
      <c r="T173" s="7" t="b">
        <v>0</v>
      </c>
      <c r="U173" s="7" t="b">
        <v>1</v>
      </c>
      <c r="V173" s="7"/>
      <c r="W173" s="7" t="b">
        <v>1</v>
      </c>
      <c r="X173" s="7" t="b">
        <v>1</v>
      </c>
      <c r="Y173" s="7" t="b">
        <v>1</v>
      </c>
      <c r="Z173" s="7" t="b">
        <v>0</v>
      </c>
      <c r="AA173" s="7"/>
      <c r="AB173" s="7" t="b">
        <v>0</v>
      </c>
    </row>
    <row r="174" spans="1:28" x14ac:dyDescent="0.3">
      <c r="A174" s="7">
        <f t="shared" si="20"/>
        <v>173</v>
      </c>
      <c r="B174" s="7">
        <v>27</v>
      </c>
      <c r="C174" s="7" t="str" cm="1">
        <f t="array" ref="C174">GetValue("Tables","Name",B174)</f>
        <v>Behaviors</v>
      </c>
      <c r="D174" s="8" t="str" cm="1">
        <f t="array" ref="D174">GetValue("Tables","Alias",B174)</f>
        <v>Behavior</v>
      </c>
      <c r="E174" s="7">
        <f>E172+5</f>
        <v>10</v>
      </c>
      <c r="F174" s="7">
        <v>1</v>
      </c>
      <c r="G174" s="7" t="str" cm="1">
        <f t="array" ref="G174">GetValue("Domains","Name",F174)</f>
        <v>BigInteger</v>
      </c>
      <c r="H174" s="7" t="str" cm="1">
        <f t="array" ref="H174">GetValue("Domains","#CategoryName",F174)</f>
        <v>number</v>
      </c>
      <c r="I174" s="7" t="str" cm="1">
        <f t="array" ref="I174">GetValue("Domains","#TypeName",F174)</f>
        <v>bigint</v>
      </c>
      <c r="J174" s="7" t="str" cm="1">
        <f t="array" ref="J174">GetValue("Domains","#DataType",F174)</f>
        <v>bigint</v>
      </c>
      <c r="K174" s="7" t="s">
        <v>602</v>
      </c>
      <c r="L174" s="7"/>
      <c r="M174" s="7" t="s">
        <v>665</v>
      </c>
      <c r="N174" s="7" t="s">
        <v>669</v>
      </c>
      <c r="O174" s="7" t="s">
        <v>669</v>
      </c>
      <c r="P174" s="14"/>
      <c r="Q174" s="14"/>
      <c r="R174" s="14"/>
      <c r="S174" s="7" t="b">
        <v>0</v>
      </c>
      <c r="T174" s="7" t="b">
        <v>0</v>
      </c>
      <c r="U174" s="7" t="b">
        <v>1</v>
      </c>
      <c r="V174" s="7"/>
      <c r="W174" s="7" t="b">
        <v>1</v>
      </c>
      <c r="X174" s="7" t="b">
        <v>1</v>
      </c>
      <c r="Y174" s="7" t="b">
        <v>1</v>
      </c>
      <c r="Z174" s="7" t="b">
        <v>0</v>
      </c>
      <c r="AA174" s="7"/>
      <c r="AB174" s="7" t="b">
        <v>0</v>
      </c>
    </row>
    <row r="175" spans="1:28" x14ac:dyDescent="0.3">
      <c r="A175" s="7">
        <f t="shared" si="20"/>
        <v>174</v>
      </c>
      <c r="B175" s="7">
        <v>27</v>
      </c>
      <c r="C175" s="7" t="str" cm="1">
        <f t="array" ref="C175">GetValue("Tables","Name",B175)</f>
        <v>Behaviors</v>
      </c>
      <c r="D175" s="8" t="str" cm="1">
        <f t="array" ref="D175">GetValue("Tables","Alias",B175)</f>
        <v>Behavior</v>
      </c>
      <c r="E175" s="7">
        <f t="shared" si="19"/>
        <v>15</v>
      </c>
      <c r="F175" s="7">
        <v>1</v>
      </c>
      <c r="G175" s="7" t="str" cm="1">
        <f t="array" ref="G175">GetValue("Domains","Name",F175)</f>
        <v>BigInteger</v>
      </c>
      <c r="H175" s="7" t="str" cm="1">
        <f t="array" ref="H175">GetValue("Domains","#CategoryName",F175)</f>
        <v>number</v>
      </c>
      <c r="I175" s="7" t="str" cm="1">
        <f t="array" ref="I175">GetValue("Domains","#TypeName",F175)</f>
        <v>bigint</v>
      </c>
      <c r="J175" s="7" t="str" cm="1">
        <f t="array" ref="J175">GetValue("Domains","#DataType",F175)</f>
        <v>bigint</v>
      </c>
      <c r="K175" s="7" t="s">
        <v>650</v>
      </c>
      <c r="L175" s="7"/>
      <c r="M175" s="7" t="s">
        <v>681</v>
      </c>
      <c r="N175" s="7" t="s">
        <v>688</v>
      </c>
      <c r="O175" s="7" t="s">
        <v>688</v>
      </c>
      <c r="P175" s="14"/>
      <c r="Q175" s="14"/>
      <c r="R175" s="14"/>
      <c r="S175" s="7" t="b">
        <v>0</v>
      </c>
      <c r="T175" s="7"/>
      <c r="U175" s="7" t="b">
        <v>1</v>
      </c>
      <c r="V175" s="7" t="b">
        <v>0</v>
      </c>
      <c r="W175" s="7" t="b">
        <v>1</v>
      </c>
      <c r="X175" s="7" t="b">
        <v>1</v>
      </c>
      <c r="Y175" s="7" t="b">
        <v>1</v>
      </c>
      <c r="Z175" s="7" t="b">
        <v>0</v>
      </c>
      <c r="AA175" s="7"/>
      <c r="AB175" s="7" t="b">
        <v>0</v>
      </c>
    </row>
    <row r="176" spans="1:28" x14ac:dyDescent="0.3">
      <c r="A176" s="7">
        <f t="shared" si="20"/>
        <v>175</v>
      </c>
      <c r="B176" s="7">
        <v>27</v>
      </c>
      <c r="C176" s="7" t="str" cm="1">
        <f t="array" ref="C176">GetValue("Tables","Name",B176)</f>
        <v>Behaviors</v>
      </c>
      <c r="D176" s="8" t="str" cm="1">
        <f t="array" ref="D176">GetValue("Tables","Alias",B176)</f>
        <v>Behavior</v>
      </c>
      <c r="E176" s="7">
        <f t="shared" si="19"/>
        <v>20</v>
      </c>
      <c r="F176" s="7">
        <v>12</v>
      </c>
      <c r="G176" s="7" t="str" cm="1">
        <f t="array" ref="G176">GetValue("Domains","Name",F176)</f>
        <v>Nvarchar(MAX)</v>
      </c>
      <c r="H176" s="7" t="str" cm="1">
        <f t="array" ref="H176">GetValue("Domains","#CategoryName",F176)</f>
        <v>text</v>
      </c>
      <c r="I176" s="7" t="str" cm="1">
        <f t="array" ref="I176">GetValue("Domains","#TypeName",F176)</f>
        <v>nvarchar(max)</v>
      </c>
      <c r="J176" s="7" t="str" cm="1">
        <f t="array" ref="J176">GetValue("Domains","#DataType",F176)</f>
        <v>nvarchar(max)</v>
      </c>
      <c r="K176" s="7" t="s">
        <v>652</v>
      </c>
      <c r="L176" s="7"/>
      <c r="M176" s="7" t="s">
        <v>693</v>
      </c>
      <c r="N176" s="7" t="s">
        <v>691</v>
      </c>
      <c r="O176" s="7" t="s">
        <v>691</v>
      </c>
      <c r="P176" s="14"/>
      <c r="Q176" s="14"/>
      <c r="R176" s="14"/>
      <c r="S176" s="7" t="b">
        <v>0</v>
      </c>
      <c r="T176" s="7"/>
      <c r="U176" s="7" t="b">
        <v>0</v>
      </c>
      <c r="V176" s="7" t="b">
        <v>0</v>
      </c>
      <c r="W176" s="7" t="b">
        <v>1</v>
      </c>
      <c r="X176" s="7" t="b">
        <v>1</v>
      </c>
      <c r="Y176" s="7" t="b">
        <v>1</v>
      </c>
      <c r="Z176" s="7" t="b">
        <v>0</v>
      </c>
      <c r="AA176" s="7"/>
      <c r="AB176" s="7" t="b">
        <v>0</v>
      </c>
    </row>
    <row r="177" spans="1:28" x14ac:dyDescent="0.3">
      <c r="A177" s="7">
        <f t="shared" si="20"/>
        <v>176</v>
      </c>
      <c r="B177" s="7">
        <v>27</v>
      </c>
      <c r="C177" s="7" t="str" cm="1">
        <f t="array" ref="C177">GetValue("Tables","Name",B177)</f>
        <v>Behaviors</v>
      </c>
      <c r="D177" s="8" t="str" cm="1">
        <f t="array" ref="D177">GetValue("Tables","Alias",B177)</f>
        <v>Behavior</v>
      </c>
      <c r="E177" s="7">
        <f t="shared" si="19"/>
        <v>25</v>
      </c>
      <c r="F177" s="7">
        <v>12</v>
      </c>
      <c r="G177" s="7" t="str" cm="1">
        <f t="array" ref="G177">GetValue("Domains","Name",F177)</f>
        <v>Nvarchar(MAX)</v>
      </c>
      <c r="H177" s="7" t="str" cm="1">
        <f t="array" ref="H177">GetValue("Domains","#CategoryName",F177)</f>
        <v>text</v>
      </c>
      <c r="I177" s="7" t="str" cm="1">
        <f t="array" ref="I177">GetValue("Domains","#TypeName",F177)</f>
        <v>nvarchar(max)</v>
      </c>
      <c r="J177" s="7" t="str" cm="1">
        <f t="array" ref="J177">GetValue("Domains","#DataType",F177)</f>
        <v>nvarchar(max)</v>
      </c>
      <c r="K177" s="7" t="s">
        <v>690</v>
      </c>
      <c r="L177" s="7"/>
      <c r="M177" s="7" t="s">
        <v>694</v>
      </c>
      <c r="N177" s="7" t="s">
        <v>692</v>
      </c>
      <c r="O177" s="7" t="s">
        <v>692</v>
      </c>
      <c r="P177" s="14"/>
      <c r="Q177" s="14"/>
      <c r="R177" s="14"/>
      <c r="S177" s="7" t="b">
        <v>0</v>
      </c>
      <c r="T177" s="7"/>
      <c r="U177" s="7" t="b">
        <v>0</v>
      </c>
      <c r="V177" s="7" t="b">
        <v>0</v>
      </c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9">
        <f t="shared" si="20"/>
        <v>177</v>
      </c>
      <c r="B178" s="9">
        <v>28</v>
      </c>
      <c r="C178" s="9" t="str" cm="1">
        <f t="array" ref="C178">GetValue("Tables","Name",B178)</f>
        <v>References</v>
      </c>
      <c r="D178" s="9" t="str" cm="1">
        <f t="array" ref="D178">GetValue("Tables","Alias",B178)</f>
        <v>Reference</v>
      </c>
      <c r="E178" s="9">
        <v>5</v>
      </c>
      <c r="F178" s="9">
        <v>1</v>
      </c>
      <c r="G178" s="9" t="str" cm="1">
        <f t="array" ref="G178">GetValue("Domains","Name",F178)</f>
        <v>BigInteger</v>
      </c>
      <c r="H178" s="9" t="str" cm="1">
        <f t="array" ref="H178">GetValue("Domains","#CategoryName",F178)</f>
        <v>number</v>
      </c>
      <c r="I178" s="9" t="str" cm="1">
        <f t="array" ref="I178">GetValue("Domains","#TypeName",F178)</f>
        <v>bigint</v>
      </c>
      <c r="J178" s="9" t="str" cm="1">
        <f t="array" ref="J178">GetValue("Domains","#DataType",F178)</f>
        <v>bigint</v>
      </c>
      <c r="K178" s="9" t="s">
        <v>0</v>
      </c>
      <c r="L178" s="9"/>
      <c r="M178" s="9" t="s">
        <v>710</v>
      </c>
      <c r="N178" s="9" t="s">
        <v>0</v>
      </c>
      <c r="O178" s="9" t="s">
        <v>0</v>
      </c>
      <c r="P178" s="9"/>
      <c r="Q178" s="9">
        <v>1</v>
      </c>
      <c r="R178" s="9"/>
      <c r="S178" s="9" t="b">
        <v>1</v>
      </c>
      <c r="T178" s="9" t="b">
        <v>0</v>
      </c>
      <c r="U178" s="9" t="b">
        <v>1</v>
      </c>
      <c r="V178" s="9"/>
      <c r="W178" s="9" t="b">
        <v>1</v>
      </c>
      <c r="X178" s="9" t="b">
        <v>0</v>
      </c>
      <c r="Y178" s="9" t="b">
        <v>0</v>
      </c>
      <c r="Z178" s="9"/>
      <c r="AA178" s="9" t="b">
        <v>0</v>
      </c>
      <c r="AB178" s="9" t="b">
        <v>0</v>
      </c>
    </row>
    <row r="179" spans="1:28" x14ac:dyDescent="0.3">
      <c r="A179" s="9">
        <f t="shared" si="20"/>
        <v>178</v>
      </c>
      <c r="B179" s="9">
        <v>28</v>
      </c>
      <c r="C179" s="9" t="str" cm="1">
        <f t="array" ref="C179">GetValue("Tables","Name",B179)</f>
        <v>References</v>
      </c>
      <c r="D179" s="9" t="str" cm="1">
        <f t="array" ref="D179">GetValue("Tables","Alias",B179)</f>
        <v>Reference</v>
      </c>
      <c r="E179" s="9">
        <f t="shared" si="19"/>
        <v>10</v>
      </c>
      <c r="F179" s="9">
        <v>9</v>
      </c>
      <c r="G179" s="9" t="str" cm="1">
        <f t="array" ref="G179">GetValue("Domains","Name",F179)</f>
        <v>Nvarchar(25)</v>
      </c>
      <c r="H179" s="9" t="str" cm="1">
        <f t="array" ref="H179">GetValue("Domains","#CategoryName",F179)</f>
        <v>string</v>
      </c>
      <c r="I179" s="9" t="str" cm="1">
        <f t="array" ref="I179">GetValue("Domains","#TypeName",F179)</f>
        <v>nvarchar</v>
      </c>
      <c r="J179" s="9" t="str" cm="1">
        <f t="array" ref="J179">GetValue("Domains","#DataType",F179)</f>
        <v>nvarchar(25)</v>
      </c>
      <c r="K179" s="9" t="s">
        <v>696</v>
      </c>
      <c r="L179" s="9"/>
      <c r="M179" s="9" t="s">
        <v>712</v>
      </c>
      <c r="N179" s="9" t="s">
        <v>714</v>
      </c>
      <c r="O179" s="9" t="s">
        <v>714</v>
      </c>
      <c r="P179" s="9"/>
      <c r="Q179" s="9"/>
      <c r="R179" s="9"/>
      <c r="S179" s="9" t="b">
        <v>0</v>
      </c>
      <c r="T179" s="9" t="b">
        <v>0</v>
      </c>
      <c r="U179" s="9" t="b">
        <v>1</v>
      </c>
      <c r="V179" s="9"/>
      <c r="W179" s="9" t="b">
        <v>1</v>
      </c>
      <c r="X179" s="9" t="b">
        <v>1</v>
      </c>
      <c r="Y179" s="9" t="b">
        <v>1</v>
      </c>
      <c r="Z179" s="9" t="b">
        <v>0</v>
      </c>
      <c r="AA179" s="9"/>
      <c r="AB179" s="9" t="b">
        <v>0</v>
      </c>
    </row>
    <row r="180" spans="1:28" x14ac:dyDescent="0.3">
      <c r="A180" s="9">
        <f t="shared" si="20"/>
        <v>179</v>
      </c>
      <c r="B180" s="9">
        <v>28</v>
      </c>
      <c r="C180" s="9" t="str" cm="1">
        <f t="array" ref="C180">GetValue("Tables","Name",B180)</f>
        <v>References</v>
      </c>
      <c r="D180" s="9" t="str" cm="1">
        <f t="array" ref="D180">GetValue("Tables","Alias",B180)</f>
        <v>Reference</v>
      </c>
      <c r="E180" s="9">
        <f t="shared" si="19"/>
        <v>15</v>
      </c>
      <c r="F180" s="9">
        <v>1</v>
      </c>
      <c r="G180" s="9" t="str" cm="1">
        <f t="array" ref="G180">GetValue("Domains","Name",F180)</f>
        <v>BigInteger</v>
      </c>
      <c r="H180" s="9" t="str" cm="1">
        <f t="array" ref="H180">GetValue("Domains","#CategoryName",F180)</f>
        <v>number</v>
      </c>
      <c r="I180" s="9" t="str" cm="1">
        <f t="array" ref="I180">GetValue("Domains","#TypeName",F180)</f>
        <v>bigint</v>
      </c>
      <c r="J180" s="9" t="str" cm="1">
        <f t="array" ref="J180">GetValue("Domains","#DataType",F180)</f>
        <v>bigint</v>
      </c>
      <c r="K180" s="9" t="s">
        <v>697</v>
      </c>
      <c r="L180" s="9"/>
      <c r="M180" s="9" t="s">
        <v>713</v>
      </c>
      <c r="N180" s="9" t="s">
        <v>715</v>
      </c>
      <c r="O180" s="9" t="s">
        <v>715</v>
      </c>
      <c r="P180" s="9"/>
      <c r="Q180" s="9"/>
      <c r="R180" s="9"/>
      <c r="S180" s="9" t="b">
        <v>0</v>
      </c>
      <c r="T180" s="9" t="b">
        <v>0</v>
      </c>
      <c r="U180" s="9" t="b">
        <v>0</v>
      </c>
      <c r="V180" s="9"/>
      <c r="W180" s="9" t="b">
        <v>1</v>
      </c>
      <c r="X180" s="9" t="b">
        <v>1</v>
      </c>
      <c r="Y180" s="9" t="b">
        <v>1</v>
      </c>
      <c r="Z180" s="9" t="b">
        <v>0</v>
      </c>
      <c r="AA180" s="9"/>
      <c r="AB180" s="9" t="b">
        <v>0</v>
      </c>
    </row>
    <row r="181" spans="1:28" x14ac:dyDescent="0.3">
      <c r="A181" s="9">
        <f t="shared" si="20"/>
        <v>180</v>
      </c>
      <c r="B181" s="9">
        <v>28</v>
      </c>
      <c r="C181" s="9" t="str" cm="1">
        <f t="array" ref="C181">GetValue("Tables","Name",B181)</f>
        <v>References</v>
      </c>
      <c r="D181" s="9" t="str" cm="1">
        <f t="array" ref="D181">GetValue("Tables","Alias",B181)</f>
        <v>Reference</v>
      </c>
      <c r="E181" s="9">
        <f t="shared" si="19"/>
        <v>20</v>
      </c>
      <c r="F181" s="9">
        <v>10</v>
      </c>
      <c r="G181" s="9" t="str" cm="1">
        <f t="array" ref="G181">GetValue("Domains","Name",F181)</f>
        <v>Nvarchar(50)</v>
      </c>
      <c r="H181" s="9" t="str" cm="1">
        <f t="array" ref="H181">GetValue("Domains","#CategoryName",F181)</f>
        <v>string</v>
      </c>
      <c r="I181" s="9" t="str" cm="1">
        <f t="array" ref="I181">GetValue("Domains","#TypeName",F181)</f>
        <v>nvarchar</v>
      </c>
      <c r="J181" s="9" t="str" cm="1">
        <f t="array" ref="J181">GetValue("Domains","#DataType",F181)</f>
        <v>nvarchar(50)</v>
      </c>
      <c r="K181" s="9" t="s">
        <v>1</v>
      </c>
      <c r="L181" s="9"/>
      <c r="M181" s="9" t="s">
        <v>711</v>
      </c>
      <c r="N181" s="9" t="s">
        <v>156</v>
      </c>
      <c r="O181" s="9" t="s">
        <v>156</v>
      </c>
      <c r="P181" s="9"/>
      <c r="Q181" s="9"/>
      <c r="R181" s="9"/>
      <c r="S181" s="9" t="b">
        <v>0</v>
      </c>
      <c r="T181" s="9"/>
      <c r="U181" s="9" t="b">
        <v>0</v>
      </c>
      <c r="V181" s="9" t="b">
        <v>0</v>
      </c>
      <c r="W181" s="9" t="b">
        <v>1</v>
      </c>
      <c r="X181" s="9" t="b">
        <v>1</v>
      </c>
      <c r="Y181" s="9" t="b">
        <v>1</v>
      </c>
      <c r="Z181" s="9" t="b">
        <v>0</v>
      </c>
      <c r="AA181" s="9"/>
      <c r="AB181" s="9" t="b">
        <v>0</v>
      </c>
    </row>
    <row r="182" spans="1:28" x14ac:dyDescent="0.3">
      <c r="A182" s="9">
        <f t="shared" si="20"/>
        <v>181</v>
      </c>
      <c r="B182" s="9">
        <v>28</v>
      </c>
      <c r="C182" s="9" t="str" cm="1">
        <f t="array" ref="C182">GetValue("Tables","Name",B182)</f>
        <v>References</v>
      </c>
      <c r="D182" s="9" t="str" cm="1">
        <f t="array" ref="D182">GetValue("Tables","Alias",B182)</f>
        <v>Reference</v>
      </c>
      <c r="E182" s="9">
        <f t="shared" si="19"/>
        <v>25</v>
      </c>
      <c r="F182" s="9">
        <v>6</v>
      </c>
      <c r="G182" s="9" t="str" cm="1">
        <f t="array" ref="G182">GetValue("Domains","Name",F182)</f>
        <v>Boolean</v>
      </c>
      <c r="H182" s="9" t="str" cm="1">
        <f t="array" ref="H182">GetValue("Domains","#CategoryName",F182)</f>
        <v>boolean</v>
      </c>
      <c r="I182" s="9" t="str" cm="1">
        <f t="array" ref="I182">GetValue("Domains","#TypeName",F182)</f>
        <v>bit</v>
      </c>
      <c r="J182" s="9" t="str" cm="1">
        <f t="array" ref="J182">GetValue("Domains","#DataType",F182)</f>
        <v>bit</v>
      </c>
      <c r="K182" s="9" t="s">
        <v>707</v>
      </c>
      <c r="L182" s="9"/>
      <c r="M182" s="9" t="s">
        <v>708</v>
      </c>
      <c r="N182" s="9" t="s">
        <v>709</v>
      </c>
      <c r="O182" s="9" t="s">
        <v>709</v>
      </c>
      <c r="P182" s="9"/>
      <c r="Q182" s="9"/>
      <c r="R182" s="9"/>
      <c r="S182" s="9" t="b">
        <v>0</v>
      </c>
      <c r="T182" s="9"/>
      <c r="U182" s="9" t="b">
        <v>0</v>
      </c>
      <c r="V182" s="9" t="b">
        <v>0</v>
      </c>
      <c r="W182" s="9" t="b">
        <v>1</v>
      </c>
      <c r="X182" s="9" t="b">
        <v>1</v>
      </c>
      <c r="Y182" s="9" t="b">
        <v>1</v>
      </c>
      <c r="Z182" s="9" t="b">
        <v>0</v>
      </c>
      <c r="AA182" s="9"/>
      <c r="AB182" s="9" t="b">
        <v>0</v>
      </c>
    </row>
    <row r="183" spans="1:28" x14ac:dyDescent="0.3">
      <c r="A183" s="7">
        <f t="shared" si="20"/>
        <v>182</v>
      </c>
      <c r="B183" s="7">
        <v>29</v>
      </c>
      <c r="C183" s="7" t="str" cm="1">
        <f t="array" ref="C183">GetValue("Tables","Name",B183)</f>
        <v>Referencekeys</v>
      </c>
      <c r="D183" s="8" t="str" cm="1">
        <f t="array" ref="D183">GetValue("Tables","Alias",B183)</f>
        <v>Referencekey</v>
      </c>
      <c r="E183" s="7">
        <v>5</v>
      </c>
      <c r="F183" s="7">
        <v>1</v>
      </c>
      <c r="G183" s="7" t="str" cm="1">
        <f t="array" ref="G183">GetValue("Domains","Name",F183)</f>
        <v>BigInteger</v>
      </c>
      <c r="H183" s="7" t="str" cm="1">
        <f t="array" ref="H183">GetValue("Domains","#CategoryName",F183)</f>
        <v>number</v>
      </c>
      <c r="I183" s="7" t="str" cm="1">
        <f t="array" ref="I183">GetValue("Domains","#TypeName",F183)</f>
        <v>bigint</v>
      </c>
      <c r="J183" s="7" t="str" cm="1">
        <f t="array" ref="J183">GetValue("Domains","#DataType",F183)</f>
        <v>bigint</v>
      </c>
      <c r="K183" s="7" t="s">
        <v>0</v>
      </c>
      <c r="L183" s="7"/>
      <c r="M183" s="7" t="s">
        <v>710</v>
      </c>
      <c r="N183" s="7" t="s">
        <v>0</v>
      </c>
      <c r="O183" s="7" t="s">
        <v>0</v>
      </c>
      <c r="P183" s="14"/>
      <c r="Q183" s="14">
        <v>1</v>
      </c>
      <c r="R183" s="14"/>
      <c r="S183" s="7" t="b">
        <v>1</v>
      </c>
      <c r="T183" s="7" t="b">
        <v>0</v>
      </c>
      <c r="U183" s="7" t="b">
        <v>1</v>
      </c>
      <c r="V183" s="7"/>
      <c r="W183" s="7" t="b">
        <v>1</v>
      </c>
      <c r="X183" s="7" t="b">
        <v>0</v>
      </c>
      <c r="Y183" s="7" t="b">
        <v>0</v>
      </c>
      <c r="Z183" s="7"/>
      <c r="AA183" s="7" t="b">
        <v>0</v>
      </c>
      <c r="AB183" s="7" t="b">
        <v>0</v>
      </c>
    </row>
    <row r="184" spans="1:28" x14ac:dyDescent="0.3">
      <c r="A184" s="7">
        <f t="shared" si="20"/>
        <v>183</v>
      </c>
      <c r="B184" s="7">
        <v>29</v>
      </c>
      <c r="C184" s="7" t="str" cm="1">
        <f t="array" ref="C184">GetValue("Tables","Name",B184)</f>
        <v>Referencekeys</v>
      </c>
      <c r="D184" s="8" t="str" cm="1">
        <f t="array" ref="D184">GetValue("Tables","Alias",B184)</f>
        <v>Referencekey</v>
      </c>
      <c r="E184" s="7">
        <f t="shared" si="19"/>
        <v>10</v>
      </c>
      <c r="F184" s="7">
        <v>9</v>
      </c>
      <c r="G184" s="7" t="str" cm="1">
        <f t="array" ref="G184">GetValue("Domains","Name",F184)</f>
        <v>Nvarchar(25)</v>
      </c>
      <c r="H184" s="7" t="str" cm="1">
        <f t="array" ref="H184">GetValue("Domains","#CategoryName",F184)</f>
        <v>string</v>
      </c>
      <c r="I184" s="7" t="str" cm="1">
        <f t="array" ref="I184">GetValue("Domains","#TypeName",F184)</f>
        <v>nvarchar</v>
      </c>
      <c r="J184" s="7" t="str" cm="1">
        <f t="array" ref="J184">GetValue("Domains","#DataType",F184)</f>
        <v>nvarchar(25)</v>
      </c>
      <c r="K184" s="7" t="s">
        <v>695</v>
      </c>
      <c r="L184" s="7"/>
      <c r="M184" s="7" t="s">
        <v>712</v>
      </c>
      <c r="N184" s="7" t="s">
        <v>714</v>
      </c>
      <c r="O184" s="7" t="s">
        <v>714</v>
      </c>
      <c r="P184" s="14"/>
      <c r="Q184" s="14"/>
      <c r="R184" s="14"/>
      <c r="S184" s="7" t="b">
        <v>0</v>
      </c>
      <c r="T184" s="7" t="b">
        <v>0</v>
      </c>
      <c r="U184" s="7" t="b">
        <v>1</v>
      </c>
      <c r="V184" s="7"/>
      <c r="W184" s="7" t="b">
        <v>1</v>
      </c>
      <c r="X184" s="7" t="b">
        <v>1</v>
      </c>
      <c r="Y184" s="7" t="b">
        <v>1</v>
      </c>
      <c r="Z184" s="7" t="b">
        <v>0</v>
      </c>
      <c r="AA184" s="7"/>
      <c r="AB184" s="7" t="b">
        <v>0</v>
      </c>
    </row>
    <row r="185" spans="1:28" x14ac:dyDescent="0.3">
      <c r="A185" s="7">
        <f t="shared" si="20"/>
        <v>184</v>
      </c>
      <c r="B185" s="7">
        <v>29</v>
      </c>
      <c r="C185" s="7" t="str" cm="1">
        <f t="array" ref="C185">GetValue("Tables","Name",B185)</f>
        <v>Referencekeys</v>
      </c>
      <c r="D185" s="8" t="str" cm="1">
        <f t="array" ref="D185">GetValue("Tables","Alias",B185)</f>
        <v>Referencekey</v>
      </c>
      <c r="E185" s="7">
        <f t="shared" si="19"/>
        <v>15</v>
      </c>
      <c r="F185" s="7">
        <v>1</v>
      </c>
      <c r="G185" s="7" t="str" cm="1">
        <f t="array" ref="G185">GetValue("Domains","Name",F185)</f>
        <v>BigInteger</v>
      </c>
      <c r="H185" s="7" t="str" cm="1">
        <f t="array" ref="H185">GetValue("Domains","#CategoryName",F185)</f>
        <v>number</v>
      </c>
      <c r="I185" s="7" t="str" cm="1">
        <f t="array" ref="I185">GetValue("Domains","#TypeName",F185)</f>
        <v>bigint</v>
      </c>
      <c r="J185" s="7" t="str" cm="1">
        <f t="array" ref="J185">GetValue("Domains","#DataType",F185)</f>
        <v>bigint</v>
      </c>
      <c r="K185" s="7" t="s">
        <v>701</v>
      </c>
      <c r="L185" s="7"/>
      <c r="M185" s="7" t="s">
        <v>713</v>
      </c>
      <c r="N185" s="7" t="s">
        <v>715</v>
      </c>
      <c r="O185" s="7" t="s">
        <v>715</v>
      </c>
      <c r="P185" s="14"/>
      <c r="Q185" s="14"/>
      <c r="R185" s="14"/>
      <c r="S185" s="7" t="b">
        <v>0</v>
      </c>
      <c r="T185" s="7" t="b">
        <v>0</v>
      </c>
      <c r="U185" s="7" t="b">
        <v>0</v>
      </c>
      <c r="V185" s="7"/>
      <c r="W185" s="7" t="b">
        <v>1</v>
      </c>
      <c r="X185" s="7" t="b">
        <v>1</v>
      </c>
      <c r="Y185" s="7" t="b">
        <v>1</v>
      </c>
      <c r="Z185" s="7" t="b">
        <v>0</v>
      </c>
      <c r="AA185" s="7"/>
      <c r="AB185" s="7" t="b">
        <v>0</v>
      </c>
    </row>
    <row r="186" spans="1:28" x14ac:dyDescent="0.3">
      <c r="A186" s="7">
        <f t="shared" si="20"/>
        <v>185</v>
      </c>
      <c r="B186" s="7">
        <v>29</v>
      </c>
      <c r="C186" s="7" t="str" cm="1">
        <f t="array" ref="C186">GetValue("Tables","Name",B186)</f>
        <v>Referencekeys</v>
      </c>
      <c r="D186" s="8" t="str" cm="1">
        <f t="array" ref="D186">GetValue("Tables","Alias",B186)</f>
        <v>Referencekey</v>
      </c>
      <c r="E186" s="7">
        <f>E185+5</f>
        <v>20</v>
      </c>
      <c r="F186" s="7">
        <v>4</v>
      </c>
      <c r="G186" s="7" t="str" cm="1">
        <f t="array" ref="G186">GetValue("Domains","Name",F186)</f>
        <v>SmallInteger</v>
      </c>
      <c r="H186" s="7" t="str" cm="1">
        <f t="array" ref="H186">GetValue("Domains","#CategoryName",F186)</f>
        <v>number</v>
      </c>
      <c r="I186" s="7" t="str" cm="1">
        <f t="array" ref="I186">GetValue("Domains","#TypeName",F186)</f>
        <v>smallint</v>
      </c>
      <c r="J186" s="7" t="str" cm="1">
        <f t="array" ref="J186">GetValue("Domains","#DataType",F186)</f>
        <v>smallint</v>
      </c>
      <c r="K186" s="7" t="s">
        <v>88</v>
      </c>
      <c r="L186" s="7"/>
      <c r="M186" s="7" t="s">
        <v>265</v>
      </c>
      <c r="N186" s="7" t="s">
        <v>203</v>
      </c>
      <c r="O186" s="7" t="s">
        <v>203</v>
      </c>
      <c r="P186" s="14"/>
      <c r="Q186" s="14">
        <v>1</v>
      </c>
      <c r="R186" s="14"/>
      <c r="S186" s="7" t="b">
        <v>0</v>
      </c>
      <c r="T186" s="7" t="b">
        <v>0</v>
      </c>
      <c r="U186" s="7" t="b">
        <v>1</v>
      </c>
      <c r="V186" s="7"/>
      <c r="W186" s="7" t="b">
        <v>0</v>
      </c>
      <c r="X186" s="7" t="b">
        <v>1</v>
      </c>
      <c r="Y186" s="7" t="b">
        <v>1</v>
      </c>
      <c r="Z186" s="7"/>
      <c r="AA186" s="7" t="b">
        <v>0</v>
      </c>
      <c r="AB186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580</v>
      </c>
      <c r="B1" s="1" t="s">
        <v>143</v>
      </c>
      <c r="C1" s="1" t="s">
        <v>327</v>
      </c>
      <c r="D1" s="1" t="s">
        <v>1</v>
      </c>
      <c r="E1" s="1" t="s">
        <v>258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580</v>
      </c>
      <c r="B1" s="1" t="s">
        <v>262</v>
      </c>
      <c r="C1" s="1" t="s">
        <v>329</v>
      </c>
      <c r="D1" s="1" t="s">
        <v>88</v>
      </c>
      <c r="E1" s="1" t="s">
        <v>266</v>
      </c>
      <c r="F1" s="1" t="s">
        <v>330</v>
      </c>
      <c r="G1" s="1" t="s">
        <v>269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dimension ref="A1:M27"/>
  <sheetViews>
    <sheetView workbookViewId="0">
      <selection activeCell="A12" sqref="A12:XFD12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580</v>
      </c>
      <c r="B1" s="1" t="s">
        <v>696</v>
      </c>
      <c r="C1" s="1" t="s">
        <v>698</v>
      </c>
      <c r="D1" s="1" t="s">
        <v>697</v>
      </c>
      <c r="E1" s="1" t="s">
        <v>699</v>
      </c>
      <c r="F1" s="1" t="s">
        <v>1</v>
      </c>
      <c r="G1" s="1" t="s">
        <v>707</v>
      </c>
      <c r="K1" s="25"/>
      <c r="L1" s="26"/>
      <c r="M1" s="25"/>
    </row>
    <row r="2" spans="1:13" x14ac:dyDescent="0.3">
      <c r="A2">
        <f>ROW(A2)-1</f>
        <v>1</v>
      </c>
      <c r="B2">
        <v>2</v>
      </c>
      <c r="C2" t="str" cm="1">
        <f t="array" ref="C2">GetValue("Tables","Name",B2)</f>
        <v>Types</v>
      </c>
      <c r="D2">
        <v>1</v>
      </c>
      <c r="E2" t="str" cm="1">
        <f t="array" ref="E2">GetValue("Tables","Name",D2)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GetValue("Tables","Name",B3)</f>
        <v>Domains</v>
      </c>
      <c r="D3">
        <v>2</v>
      </c>
      <c r="E3" t="str" cm="1">
        <f t="array" ref="E3">GetValue("Tables","Name",D3)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GetValue("Tables","Name",B4)</f>
        <v>Domains</v>
      </c>
      <c r="D4">
        <v>3</v>
      </c>
      <c r="E4" t="str" cm="1">
        <f t="array" ref="E4">GetValue("Tables","Name",D4)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GetValue("Tables","Name",B5)</f>
        <v>Menus</v>
      </c>
      <c r="D5">
        <v>6</v>
      </c>
      <c r="E5" t="str" cm="1">
        <f t="array" ref="E5">GetValue("Tables","Name",D5)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GetValue("Tables","Name",B6)</f>
        <v>Menus</v>
      </c>
      <c r="D6">
        <v>5</v>
      </c>
      <c r="E6" t="str" cm="1">
        <f t="array" ref="E6">GetValue("Tables","Name",D6)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GetValue("Tables","Name",B7)</f>
        <v>SystemsUsers</v>
      </c>
      <c r="D7">
        <v>5</v>
      </c>
      <c r="E7" t="str" cm="1">
        <f t="array" ref="E7">GetValue("Tables","Name",D7)</f>
        <v>Systems</v>
      </c>
      <c r="F7" t="str">
        <f t="shared" si="1"/>
        <v>SystemsUsers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GetValue("Tables","Name",B8)</f>
        <v>SystemsUsers</v>
      </c>
      <c r="D8">
        <v>7</v>
      </c>
      <c r="E8" t="str" cm="1">
        <f t="array" ref="E8">GetValue("Tables","Name",D8)</f>
        <v>Users</v>
      </c>
      <c r="F8" t="str">
        <f>_xlfn.CONCAT(C8," x ",E8)</f>
        <v>SystemsUsers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GetValue("Tables","Name",B9)</f>
        <v>Databases</v>
      </c>
      <c r="D9">
        <v>9</v>
      </c>
      <c r="E9" t="str" cm="1">
        <f t="array" ref="E9">GetValue("Tables","Name",D9)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GetValue("Tables","Name",B10)</f>
        <v>SystemsDatabases</v>
      </c>
      <c r="D10">
        <v>5</v>
      </c>
      <c r="E10" t="str" cm="1">
        <f t="array" ref="E10">GetValue("Tables","Name",D10)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GetValue("Tables","Name",B11)</f>
        <v>SystemsDatabases</v>
      </c>
      <c r="D11">
        <v>10</v>
      </c>
      <c r="E11" t="str" cm="1">
        <f t="array" ref="E11">GetValue("Tables","Name",D11)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GetValue("Tables","Name",B12)</f>
        <v>DatabasesTables</v>
      </c>
      <c r="D12">
        <v>10</v>
      </c>
      <c r="E12" t="str" cm="1">
        <f t="array" ref="E12">GetValue("Tables","Name",D12)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GetValue("Tables","Name",B13)</f>
        <v>DatabasesTables</v>
      </c>
      <c r="D13">
        <v>12</v>
      </c>
      <c r="E13" t="str" cm="1">
        <f t="array" ref="E13">GetValue("Tables","Name",D13)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GetValue("Tables","Name",B14)</f>
        <v>Columns</v>
      </c>
      <c r="D14">
        <v>12</v>
      </c>
      <c r="E14" t="str" cm="1">
        <f t="array" ref="E14">GetValue("Tables","Name",D14)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GetValue("Tables","Name",B15)</f>
        <v>Columns</v>
      </c>
      <c r="D15">
        <v>4</v>
      </c>
      <c r="E15" t="str" cm="1">
        <f t="array" ref="E15">GetValue("Tables","Name",D15)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GetValue("Tables","Name",B16)</f>
        <v>Indexes</v>
      </c>
      <c r="D16">
        <v>12</v>
      </c>
      <c r="E16" t="str" cm="1">
        <f t="array" ref="E16">GetValue("Tables","Name",D16)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GetValue("Tables","Name",B17)</f>
        <v>Indexkeys</v>
      </c>
      <c r="D17">
        <v>15</v>
      </c>
      <c r="E17" t="str" cm="1">
        <f t="array" ref="E17">GetValue("Tables","Name",D17)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GetValue("Tables","Name",B18)</f>
        <v>Indexkeys</v>
      </c>
      <c r="D18">
        <v>14</v>
      </c>
      <c r="E18" t="str" cm="1">
        <f t="array" ref="E18">GetValue("Tables","Name",D18)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GetValue("Tables","Name",B19)</f>
        <v>Sessions</v>
      </c>
      <c r="D19">
        <v>5</v>
      </c>
      <c r="E19" t="str" cm="1">
        <f t="array" ref="E19">GetValue("Tables","Name",D19)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GetValue("Tables","Name",B20)</f>
        <v>Sessions</v>
      </c>
      <c r="D20">
        <v>7</v>
      </c>
      <c r="E20" t="str" cm="1">
        <f t="array" ref="E20">GetValue("Tables","Name",D20)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GetValue("Tables","Name",B21)</f>
        <v>Transactions</v>
      </c>
      <c r="D21">
        <v>17</v>
      </c>
      <c r="E21" t="str" cm="1">
        <f t="array" ref="E21">GetValue("Tables","Name",D21)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GetValue("Tables","Name",B22)</f>
        <v>Operations</v>
      </c>
      <c r="D22">
        <v>18</v>
      </c>
      <c r="E22" t="str" cm="1">
        <f t="array" ref="E22">GetValue("Tables","Name",D22)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GetValue("Tables","Name",B23)</f>
        <v>Unicities</v>
      </c>
      <c r="D23">
        <v>14</v>
      </c>
      <c r="E23" t="str" cm="1">
        <f t="array" ref="E23">GetValue("Tables","Name",D23)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GetValue("Tables","Name",B24)</f>
        <v>Unicities</v>
      </c>
      <c r="D24">
        <v>14</v>
      </c>
      <c r="E24" t="str" cm="1">
        <f t="array" ref="E24">GetValue("Tables","Name",D24)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GetValue("Tables","Name",B25)</f>
        <v>Rules</v>
      </c>
      <c r="D25">
        <v>1</v>
      </c>
      <c r="E25" t="str" cm="1">
        <f t="array" ref="E25">GetValue("Tables","Name",D25)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GetValue("Tables","Name",B26)</f>
        <v>Rules</v>
      </c>
      <c r="D26">
        <v>21</v>
      </c>
      <c r="E26" t="str" cm="1">
        <f t="array" ref="E26">GetValue("Tables","Name",D26)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GetValue("Tables","Name",B27)</f>
        <v>Expressions</v>
      </c>
      <c r="D27">
        <v>12</v>
      </c>
      <c r="E27" t="str" cm="1">
        <f t="array" ref="E27">GetValue("Tables","Name",D27)</f>
        <v>Tables</v>
      </c>
      <c r="F27" t="str">
        <f t="shared" si="5"/>
        <v>Expressions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dimension ref="A1:F27"/>
  <sheetViews>
    <sheetView tabSelected="1" workbookViewId="0">
      <selection activeCell="B13" sqref="B13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580</v>
      </c>
      <c r="B1" s="1" t="s">
        <v>695</v>
      </c>
      <c r="C1" s="1" t="s">
        <v>700</v>
      </c>
      <c r="D1" s="1" t="s">
        <v>701</v>
      </c>
      <c r="E1" s="1" t="s">
        <v>702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GetValue("References","Name",B2)</f>
        <v>Types x Categories</v>
      </c>
      <c r="D2">
        <v>13</v>
      </c>
      <c r="E2" t="str" cm="1">
        <f t="array" ref="E2">GetValue("Columns","Name",D2)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GetValue("References","Name",B3)</f>
        <v>Domains x Types</v>
      </c>
      <c r="D3">
        <v>31</v>
      </c>
      <c r="E3" t="str" cm="1">
        <f t="array" ref="E3">GetValue("Columns","Name",D3)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GetValue("References","Name",B4)</f>
        <v>Domains x Masks</v>
      </c>
      <c r="D4">
        <v>32</v>
      </c>
      <c r="E4" t="str" cm="1">
        <f t="array" ref="E4">GetValue("Columns","Name",D4)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GetValue("References","Name",B5)</f>
        <v>Menus x Menus</v>
      </c>
      <c r="D5">
        <v>53</v>
      </c>
      <c r="E5" t="str" cm="1">
        <f t="array" ref="E5">GetValue("Columns","Name",D5)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GetValue("References","Name",B6)</f>
        <v>Menus x Systems</v>
      </c>
      <c r="D6">
        <v>48</v>
      </c>
      <c r="E6" t="str" cm="1">
        <f t="array" ref="E6">GetValue("Columns","Name",D6)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GetValue("References","Name",B7)</f>
        <v>SystemsUsers x Systems</v>
      </c>
      <c r="D7">
        <v>61</v>
      </c>
      <c r="E7" t="str" cm="1">
        <f t="array" ref="E7">GetValue("Columns","Name",D7)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GetValue("References","Name",B8)</f>
        <v>SystemsUsers x Users</v>
      </c>
      <c r="D8">
        <v>62</v>
      </c>
      <c r="E8" t="str" cm="1">
        <f t="array" ref="E8">GetValue("Columns","Name",D8)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GetValue("References","Name",B9)</f>
        <v>Databases x Connections</v>
      </c>
      <c r="D9">
        <v>68</v>
      </c>
      <c r="E9" t="str" cm="1">
        <f t="array" ref="E9">GetValue("Columns","Name",D9)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GetValue("References","Name",B10)</f>
        <v>SystemsDatabases x Systems</v>
      </c>
      <c r="D10">
        <v>76</v>
      </c>
      <c r="E10" t="str" cm="1">
        <f t="array" ref="E10">GetValue("Columns","Name",D10)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GetValue("References","Name",B11)</f>
        <v>SystemsDatabases x Databases</v>
      </c>
      <c r="D11">
        <v>77</v>
      </c>
      <c r="E11" t="str" cm="1">
        <f t="array" ref="E11">GetValue("Columns","Name",D11)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GetValue("References","Name",B12)</f>
        <v>DatabasesTables x Databases</v>
      </c>
      <c r="D12">
        <v>85</v>
      </c>
      <c r="E12" t="str" cm="1">
        <f t="array" ref="E12">GetValue("Columns","Name",D12)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GetValue("References","Name",B13)</f>
        <v>DatabasesTables x Tables</v>
      </c>
      <c r="D13">
        <v>86</v>
      </c>
      <c r="E13" t="str" cm="1">
        <f t="array" ref="E13">GetValue("Columns","Name",D13)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GetValue("References","Name",B14)</f>
        <v>Columns x Tables</v>
      </c>
      <c r="D14">
        <v>89</v>
      </c>
      <c r="E14" t="str" cm="1">
        <f t="array" ref="E14">GetValue("Columns","Name",D14)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GetValue("References","Name",B15)</f>
        <v>Columns x Domains</v>
      </c>
      <c r="D15">
        <v>91</v>
      </c>
      <c r="E15" t="str" cm="1">
        <f t="array" ref="E15">GetValue("Columns","Name",D15)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GetValue("References","Name",B16)</f>
        <v>Indexes x Tables</v>
      </c>
      <c r="D16">
        <v>111</v>
      </c>
      <c r="E16" t="str" cm="1">
        <f t="array" ref="E16">GetValue("Columns","Name",D16)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GetValue("References","Name",B17)</f>
        <v>Indexkeys x Indexes</v>
      </c>
      <c r="D17">
        <v>115</v>
      </c>
      <c r="E17" t="str" cm="1">
        <f t="array" ref="E17">GetValue("Columns","Name",D17)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GetValue("References","Name",B18)</f>
        <v>Indexkeys x Columns</v>
      </c>
      <c r="D18">
        <v>117</v>
      </c>
      <c r="E18" t="str" cm="1">
        <f t="array" ref="E18">GetValue("Columns","Name",D18)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GetValue("References","Name",B19)</f>
        <v>Sessions x Systems</v>
      </c>
      <c r="D19">
        <v>120</v>
      </c>
      <c r="E19" t="str" cm="1">
        <f t="array" ref="E19">GetValue("Columns","Name",D19)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GetValue("References","Name",B20)</f>
        <v>Sessions x Users</v>
      </c>
      <c r="D20">
        <v>121</v>
      </c>
      <c r="E20" t="str" cm="1">
        <f t="array" ref="E20">GetValue("Columns","Name",D20)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GetValue("References","Name",B21)</f>
        <v>Transactions x Sessions</v>
      </c>
      <c r="D21">
        <v>126</v>
      </c>
      <c r="E21" t="str" cm="1">
        <f t="array" ref="E21">GetValue("Columns","Name",D21)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GetValue("References","Name",B22)</f>
        <v>Operations x Transactions</v>
      </c>
      <c r="D22">
        <v>129</v>
      </c>
      <c r="E22" t="str" cm="1">
        <f t="array" ref="E22">GetValue("Columns","Name",D22)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GetValue("References","Name",B23)</f>
        <v>Unicities x Columns 1</v>
      </c>
      <c r="D23">
        <v>136</v>
      </c>
      <c r="E23" t="str" cm="1">
        <f t="array" ref="E23">GetValue("Columns","Name",D23)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GetValue("References","Name",B24)</f>
        <v>Unicities x Columns 2</v>
      </c>
      <c r="D24">
        <v>137</v>
      </c>
      <c r="E24" t="str" cm="1">
        <f t="array" ref="E24">GetValue("Columns","Name",D24)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GetValue("References","Name",B25)</f>
        <v>Rules x Categories</v>
      </c>
      <c r="D25">
        <v>144</v>
      </c>
      <c r="E25" t="str" cm="1">
        <f t="array" ref="E25">GetValue("Columns","Name",D25)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GetValue("References","Name",B26)</f>
        <v>Rules x Comparators</v>
      </c>
      <c r="D26">
        <v>145</v>
      </c>
      <c r="E26" t="str" cm="1">
        <f t="array" ref="E26">GetValue("Columns","Name",D26)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GetValue("References","Name",B27)</f>
        <v>Expressions x Tables</v>
      </c>
      <c r="D27">
        <v>154</v>
      </c>
      <c r="E27" t="str" cm="1">
        <f t="array" ref="E27">GetValue("Columns","Name",D27)</f>
        <v>TableId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580</v>
      </c>
      <c r="B1" s="1" t="s">
        <v>87</v>
      </c>
      <c r="C1" s="1" t="s">
        <v>121</v>
      </c>
      <c r="D1" s="1" t="s">
        <v>528</v>
      </c>
      <c r="E1" s="1" t="s">
        <v>316</v>
      </c>
      <c r="F1" s="1" t="s">
        <v>320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580</v>
      </c>
      <c r="B1" s="1" t="s">
        <v>511</v>
      </c>
      <c r="C1" s="1" t="s">
        <v>410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580</v>
      </c>
      <c r="B1" s="1" t="s">
        <v>411</v>
      </c>
      <c r="C1" s="1" t="s">
        <v>412</v>
      </c>
      <c r="D1" s="1" t="s">
        <v>91</v>
      </c>
      <c r="E1" s="1" t="s">
        <v>451</v>
      </c>
      <c r="F1" s="1" t="s">
        <v>413</v>
      </c>
      <c r="G1" s="1" t="s">
        <v>410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580</v>
      </c>
      <c r="B1" s="1" t="s">
        <v>435</v>
      </c>
      <c r="C1" s="1" t="s">
        <v>449</v>
      </c>
      <c r="D1" s="1" t="s">
        <v>441</v>
      </c>
      <c r="E1" s="1" t="s">
        <v>444</v>
      </c>
      <c r="F1" s="1" t="s">
        <v>445</v>
      </c>
      <c r="G1" s="1" t="s">
        <v>436</v>
      </c>
      <c r="H1" s="1" t="s">
        <v>450</v>
      </c>
      <c r="I1" s="1" t="s">
        <v>442</v>
      </c>
      <c r="J1" s="1" t="s">
        <v>443</v>
      </c>
      <c r="K1" s="1" t="s">
        <v>446</v>
      </c>
      <c r="L1" s="1" t="s">
        <v>432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34-303D-4217-857D-3FE7C9978B7C}">
  <dimension ref="A1:G2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581</v>
      </c>
      <c r="B1" t="s">
        <v>582</v>
      </c>
      <c r="C1" t="s">
        <v>583</v>
      </c>
      <c r="D1" t="s">
        <v>584</v>
      </c>
      <c r="E1" t="s">
        <v>586</v>
      </c>
      <c r="F1" t="s">
        <v>588</v>
      </c>
      <c r="G1" t="s">
        <v>590</v>
      </c>
    </row>
    <row r="2" spans="1:7" x14ac:dyDescent="0.3">
      <c r="A2">
        <v>1</v>
      </c>
      <c r="B2">
        <v>2</v>
      </c>
      <c r="C2">
        <v>3</v>
      </c>
      <c r="D2" t="s">
        <v>585</v>
      </c>
      <c r="E2" t="s">
        <v>587</v>
      </c>
      <c r="F2" t="s">
        <v>589</v>
      </c>
      <c r="G2">
        <v>5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dimension ref="A1:I2"/>
  <sheetViews>
    <sheetView workbookViewId="0">
      <selection activeCell="L15" sqref="L15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580</v>
      </c>
      <c r="B1" s="1" t="s">
        <v>143</v>
      </c>
      <c r="C1" s="1" t="s">
        <v>327</v>
      </c>
      <c r="D1" s="1" t="s">
        <v>1</v>
      </c>
      <c r="E1" s="1"/>
      <c r="F1" s="1"/>
      <c r="H1" s="1"/>
      <c r="I1" s="1"/>
    </row>
    <row r="2" spans="1:9" x14ac:dyDescent="0.3">
      <c r="A2">
        <f>ROW(A2)-1</f>
        <v>1</v>
      </c>
      <c r="B2">
        <v>1</v>
      </c>
      <c r="C2" t="str" cm="1">
        <f t="array" ref="C2">GetValue("Tables","Name",B2)</f>
        <v>Categories</v>
      </c>
      <c r="D2" t="s">
        <v>601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dimension ref="A1:N2"/>
  <sheetViews>
    <sheetView workbookViewId="0">
      <selection activeCell="L3" sqref="L3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580</v>
      </c>
      <c r="B1" s="1" t="s">
        <v>602</v>
      </c>
      <c r="C1" s="1" t="s">
        <v>603</v>
      </c>
      <c r="D1" s="1" t="s">
        <v>88</v>
      </c>
      <c r="E1" s="1" t="s">
        <v>604</v>
      </c>
      <c r="F1" s="1" t="s">
        <v>605</v>
      </c>
      <c r="G1" s="1" t="s">
        <v>606</v>
      </c>
      <c r="H1" s="1" t="s">
        <v>607</v>
      </c>
      <c r="I1" s="1" t="s">
        <v>560</v>
      </c>
      <c r="J1" s="1" t="s">
        <v>561</v>
      </c>
      <c r="K1" s="21" t="s">
        <v>608</v>
      </c>
      <c r="L1" s="1" t="s">
        <v>609</v>
      </c>
      <c r="M1" s="1" t="s">
        <v>610</v>
      </c>
      <c r="N1" s="1" t="s">
        <v>611</v>
      </c>
    </row>
    <row r="2" spans="1:14" x14ac:dyDescent="0.3">
      <c r="A2">
        <f>ROW(A2)-1</f>
        <v>1</v>
      </c>
      <c r="B2">
        <v>1</v>
      </c>
      <c r="C2" t="str" cm="1">
        <f t="array" ref="C2">GetValue("Expressions","Name",B2)</f>
        <v>Expression 0001</v>
      </c>
      <c r="D2">
        <v>5</v>
      </c>
      <c r="G2">
        <v>94</v>
      </c>
      <c r="H2" t="str" cm="1">
        <f t="array" ref="H2">GetValue("Columns","#TableAlias",G2)&amp;"-"&amp;GetValue("Columns","Name",G2)</f>
        <v>Column-Name</v>
      </c>
      <c r="I2" s="19">
        <v>3</v>
      </c>
      <c r="J2" s="19" t="str" cm="1">
        <f t="array" ref="J2">GetValue("Comparators","Symbol",I2)</f>
        <v>=</v>
      </c>
      <c r="L2" t="str" cm="1">
        <f t="array" ref="L2">GetValue("Columns","#TableAlias",K2)&amp;"-"&amp;GetValue("Columns","Name",K2)</f>
        <v>-</v>
      </c>
      <c r="M2" t="s">
        <v>591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dimension ref="A1:F20"/>
  <sheetViews>
    <sheetView workbookViewId="0">
      <selection activeCell="G27" sqref="G27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580</v>
      </c>
      <c r="B1" s="22" t="s">
        <v>1</v>
      </c>
      <c r="C1" s="22" t="s">
        <v>25</v>
      </c>
      <c r="D1" s="22" t="s">
        <v>321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612</v>
      </c>
      <c r="C2" s="23"/>
      <c r="D2" s="23" t="str" cm="1">
        <f t="array" ref="D2">GetValue("Categories","Name",C2)</f>
        <v/>
      </c>
      <c r="E2" s="23" t="s">
        <v>613</v>
      </c>
      <c r="F2" t="b">
        <v>1</v>
      </c>
    </row>
    <row r="3" spans="1:6" x14ac:dyDescent="0.3">
      <c r="A3" s="23">
        <f t="shared" ref="A3:A20" si="0">ROW(A3)-1</f>
        <v>2</v>
      </c>
      <c r="B3" s="23" t="s">
        <v>614</v>
      </c>
      <c r="C3" s="23"/>
      <c r="D3" s="23" t="str" cm="1">
        <f t="array" ref="D3">GetValue("Categories","Name",C3)</f>
        <v/>
      </c>
      <c r="E3" s="23" t="s">
        <v>615</v>
      </c>
      <c r="F3" t="b">
        <v>1</v>
      </c>
    </row>
    <row r="4" spans="1:6" x14ac:dyDescent="0.3">
      <c r="A4" s="23">
        <f t="shared" si="0"/>
        <v>3</v>
      </c>
      <c r="B4" s="23" t="s">
        <v>616</v>
      </c>
      <c r="C4" s="23"/>
      <c r="D4" s="23" t="str" cm="1">
        <f t="array" ref="D4">GetValue("Categories","Name",C4)</f>
        <v/>
      </c>
      <c r="E4" s="23" t="s">
        <v>617</v>
      </c>
      <c r="F4" t="b">
        <v>1</v>
      </c>
    </row>
    <row r="5" spans="1:6" x14ac:dyDescent="0.3">
      <c r="A5" s="23">
        <f t="shared" si="0"/>
        <v>4</v>
      </c>
      <c r="B5" s="23" t="s">
        <v>618</v>
      </c>
      <c r="C5" s="23"/>
      <c r="D5" s="23" t="str" cm="1">
        <f t="array" ref="D5">GetValue("Categories","Name",C5)</f>
        <v/>
      </c>
      <c r="E5" s="23" t="s">
        <v>619</v>
      </c>
      <c r="F5" t="b">
        <v>1</v>
      </c>
    </row>
    <row r="6" spans="1:6" x14ac:dyDescent="0.3">
      <c r="A6" s="23">
        <f t="shared" si="0"/>
        <v>5</v>
      </c>
      <c r="B6" s="23" t="s">
        <v>620</v>
      </c>
      <c r="C6" s="23"/>
      <c r="D6" s="23" t="str" cm="1">
        <f t="array" ref="D6">GetValue("Categories","Name",C6)</f>
        <v/>
      </c>
      <c r="E6" s="23" t="s">
        <v>621</v>
      </c>
      <c r="F6" t="b">
        <v>1</v>
      </c>
    </row>
    <row r="7" spans="1:6" x14ac:dyDescent="0.3">
      <c r="A7" s="23">
        <f t="shared" si="0"/>
        <v>6</v>
      </c>
      <c r="B7" s="23" t="s">
        <v>622</v>
      </c>
      <c r="C7" s="23"/>
      <c r="D7" s="23" t="str" cm="1">
        <f t="array" ref="D7">GetValue("Categories","Name",C7)</f>
        <v/>
      </c>
      <c r="E7" s="23" t="s">
        <v>623</v>
      </c>
      <c r="F7" t="b">
        <v>1</v>
      </c>
    </row>
    <row r="8" spans="1:6" x14ac:dyDescent="0.3">
      <c r="A8" s="23">
        <f t="shared" si="0"/>
        <v>7</v>
      </c>
      <c r="B8" s="23" t="s">
        <v>624</v>
      </c>
      <c r="C8" s="23">
        <v>10</v>
      </c>
      <c r="D8" s="23" t="str" cm="1">
        <f t="array" ref="D8">GetValue("Categories","Name",C8)</f>
        <v>undefined</v>
      </c>
      <c r="E8" s="23" t="s">
        <v>625</v>
      </c>
      <c r="F8" t="b">
        <v>1</v>
      </c>
    </row>
    <row r="9" spans="1:6" x14ac:dyDescent="0.3">
      <c r="A9" s="23">
        <f t="shared" si="0"/>
        <v>8</v>
      </c>
      <c r="B9" s="23" t="s">
        <v>626</v>
      </c>
      <c r="C9" s="23">
        <v>1</v>
      </c>
      <c r="D9" s="23" t="str" cm="1">
        <f t="array" ref="D9">GetValue("Categories","Name",C9)</f>
        <v>string</v>
      </c>
      <c r="E9" s="23" t="s">
        <v>627</v>
      </c>
      <c r="F9" t="b">
        <v>1</v>
      </c>
    </row>
    <row r="10" spans="1:6" x14ac:dyDescent="0.3">
      <c r="A10" s="23">
        <f t="shared" si="0"/>
        <v>9</v>
      </c>
      <c r="B10" s="23" t="s">
        <v>628</v>
      </c>
      <c r="C10" s="23">
        <v>1</v>
      </c>
      <c r="D10" s="23" t="str" cm="1">
        <f t="array" ref="D10">GetValue("Categories","Name",C10)</f>
        <v>string</v>
      </c>
      <c r="E10" s="23" t="s">
        <v>629</v>
      </c>
      <c r="F10" t="b">
        <v>1</v>
      </c>
    </row>
    <row r="11" spans="1:6" x14ac:dyDescent="0.3">
      <c r="A11" s="23">
        <f t="shared" si="0"/>
        <v>10</v>
      </c>
      <c r="B11" s="23" t="s">
        <v>630</v>
      </c>
      <c r="C11" s="23">
        <v>1</v>
      </c>
      <c r="D11" s="23" t="str" cm="1">
        <f t="array" ref="D11">GetValue("Categories","Name",C11)</f>
        <v>string</v>
      </c>
      <c r="E11" s="23" t="s">
        <v>631</v>
      </c>
      <c r="F11" t="b">
        <v>1</v>
      </c>
    </row>
    <row r="12" spans="1:6" x14ac:dyDescent="0.3">
      <c r="A12" s="23">
        <f t="shared" si="0"/>
        <v>11</v>
      </c>
      <c r="B12" s="23" t="s">
        <v>632</v>
      </c>
      <c r="C12" s="23">
        <v>1</v>
      </c>
      <c r="D12" s="23" t="str" cm="1">
        <f t="array" ref="D12">GetValue("Categories","Name",C12)</f>
        <v>string</v>
      </c>
      <c r="E12" s="23" t="s">
        <v>633</v>
      </c>
      <c r="F12" t="b">
        <v>1</v>
      </c>
    </row>
    <row r="13" spans="1:6" x14ac:dyDescent="0.3">
      <c r="A13" s="23">
        <f t="shared" si="0"/>
        <v>12</v>
      </c>
      <c r="B13" s="23" t="s">
        <v>634</v>
      </c>
      <c r="C13" s="23">
        <v>10</v>
      </c>
      <c r="D13" s="23" t="str" cm="1">
        <f t="array" ref="D13">GetValue("Categories","Name",C13)</f>
        <v>undefined</v>
      </c>
      <c r="E13" s="23" t="s">
        <v>635</v>
      </c>
      <c r="F13" t="b">
        <v>1</v>
      </c>
    </row>
    <row r="14" spans="1:6" x14ac:dyDescent="0.3">
      <c r="A14" s="23">
        <f t="shared" si="0"/>
        <v>13</v>
      </c>
      <c r="B14" s="23" t="s">
        <v>636</v>
      </c>
      <c r="C14" s="23">
        <v>10</v>
      </c>
      <c r="D14" s="23" t="str" cm="1">
        <f t="array" ref="D14">GetValue("Categories","Name",C14)</f>
        <v>undefined</v>
      </c>
      <c r="E14" s="23" t="s">
        <v>637</v>
      </c>
      <c r="F14" t="b">
        <v>1</v>
      </c>
    </row>
    <row r="15" spans="1:6" x14ac:dyDescent="0.3">
      <c r="A15" s="23">
        <f t="shared" si="0"/>
        <v>14</v>
      </c>
      <c r="B15" s="23" t="s">
        <v>638</v>
      </c>
      <c r="C15" s="23">
        <v>2</v>
      </c>
      <c r="D15" s="23" t="str" cm="1">
        <f t="array" ref="D15">GetValue("Categories","Name",C15)</f>
        <v>number</v>
      </c>
      <c r="E15" s="23" t="s">
        <v>639</v>
      </c>
      <c r="F15" t="b">
        <v>1</v>
      </c>
    </row>
    <row r="16" spans="1:6" x14ac:dyDescent="0.3">
      <c r="A16" s="23">
        <f t="shared" si="0"/>
        <v>15</v>
      </c>
      <c r="B16" s="23" t="s">
        <v>640</v>
      </c>
      <c r="C16" s="23">
        <v>2</v>
      </c>
      <c r="D16" s="23" t="str" cm="1">
        <f t="array" ref="D16">GetValue("Categories","Name",C16)</f>
        <v>number</v>
      </c>
      <c r="E16" s="23" t="s">
        <v>641</v>
      </c>
      <c r="F16" t="b">
        <v>1</v>
      </c>
    </row>
    <row r="17" spans="1:6" x14ac:dyDescent="0.3">
      <c r="A17" s="23">
        <f t="shared" si="0"/>
        <v>16</v>
      </c>
      <c r="B17" s="23" t="s">
        <v>642</v>
      </c>
      <c r="C17" s="23">
        <v>2</v>
      </c>
      <c r="D17" s="23" t="str" cm="1">
        <f t="array" ref="D17">GetValue("Categories","Name",C17)</f>
        <v>number</v>
      </c>
      <c r="E17" s="23" t="s">
        <v>643</v>
      </c>
      <c r="F17" t="b">
        <v>1</v>
      </c>
    </row>
    <row r="18" spans="1:6" x14ac:dyDescent="0.3">
      <c r="A18" s="23">
        <f t="shared" si="0"/>
        <v>17</v>
      </c>
      <c r="B18" s="23" t="s">
        <v>644</v>
      </c>
      <c r="C18" s="23">
        <v>1</v>
      </c>
      <c r="D18" s="23" t="str" cm="1">
        <f t="array" ref="D18">GetValue("Categories","Name",C18)</f>
        <v>string</v>
      </c>
      <c r="E18" s="23" t="s">
        <v>645</v>
      </c>
      <c r="F18" t="b">
        <v>1</v>
      </c>
    </row>
    <row r="19" spans="1:6" x14ac:dyDescent="0.3">
      <c r="A19" s="23">
        <f t="shared" si="0"/>
        <v>18</v>
      </c>
      <c r="B19" s="23" t="s">
        <v>646</v>
      </c>
      <c r="C19" s="23">
        <v>1</v>
      </c>
      <c r="D19" s="23" t="str" cm="1">
        <f t="array" ref="D19">GetValue("Categories","Name",C19)</f>
        <v>string</v>
      </c>
      <c r="E19" s="23" t="s">
        <v>647</v>
      </c>
      <c r="F19" t="b">
        <v>1</v>
      </c>
    </row>
    <row r="20" spans="1:6" x14ac:dyDescent="0.3">
      <c r="A20" s="23">
        <f t="shared" si="0"/>
        <v>19</v>
      </c>
      <c r="B20" s="23" t="s">
        <v>648</v>
      </c>
      <c r="C20" s="23">
        <v>1</v>
      </c>
      <c r="D20" s="23" t="str" cm="1">
        <f t="array" ref="D20">GetValue("Categories","Name",C20)</f>
        <v>string</v>
      </c>
      <c r="E20" s="23" t="s">
        <v>649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dimension ref="A1:J21"/>
  <sheetViews>
    <sheetView workbookViewId="0">
      <selection activeCell="G2" sqref="G2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580</v>
      </c>
      <c r="B1" s="22" t="s">
        <v>266</v>
      </c>
      <c r="C1" s="22" t="s">
        <v>379</v>
      </c>
      <c r="D1" s="1" t="s">
        <v>330</v>
      </c>
      <c r="E1" s="1" t="s">
        <v>602</v>
      </c>
      <c r="F1" s="1" t="s">
        <v>603</v>
      </c>
      <c r="G1" s="1" t="s">
        <v>650</v>
      </c>
      <c r="H1" s="1" t="s">
        <v>651</v>
      </c>
      <c r="I1" s="1" t="s">
        <v>652</v>
      </c>
      <c r="J1" s="1" t="s">
        <v>690</v>
      </c>
    </row>
    <row r="2" spans="1:10" x14ac:dyDescent="0.3">
      <c r="A2" s="23">
        <f>ROW(A2)-1</f>
        <v>1</v>
      </c>
      <c r="B2" s="23">
        <v>93</v>
      </c>
      <c r="C2" t="str" cm="1">
        <f t="array" ref="C2">GetValue("Columns","#TableAlias",B2)</f>
        <v>Column</v>
      </c>
      <c r="D2" t="str" cm="1">
        <f t="array" ref="D2">GetValue("Columns","Name",B2)</f>
        <v>ReferenceTableId</v>
      </c>
      <c r="E2">
        <v>1</v>
      </c>
      <c r="F2" t="str" cm="1">
        <f t="array" ref="F2">GetValue("Expressions","Name",E2)</f>
        <v>Expression 0001</v>
      </c>
      <c r="G2">
        <v>2</v>
      </c>
      <c r="H2" s="24" t="str" cm="1">
        <f t="array" ref="H2">GetValue("Properties","Name",G2)</f>
        <v>enabled</v>
      </c>
      <c r="I2" t="s">
        <v>612</v>
      </c>
      <c r="J2" t="s">
        <v>614</v>
      </c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  <row r="21" spans="1:3" x14ac:dyDescent="0.3">
      <c r="A21" s="23"/>
      <c r="B21" s="23"/>
      <c r="C21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References</vt:lpstr>
      <vt:lpstr>Referencekeys</vt:lpstr>
      <vt:lpstr>Sessions</vt:lpstr>
      <vt:lpstr>Transactions</vt:lpstr>
      <vt:lpstr>Operations</vt:lpstr>
      <vt:lpstr>Unicities</vt:lpstr>
      <vt:lpstr>testes</vt:lpstr>
      <vt:lpstr>Expressions</vt:lpstr>
      <vt:lpstr>Conditions</vt:lpstr>
      <vt:lpstr>Properties</vt:lpstr>
      <vt:lpstr>Behaviors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2026-06-21T10:02:48Z</dcterms:modified>
</cp:coreProperties>
</file>