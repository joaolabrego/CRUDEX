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3F56AE13-CE16-4660-8713-86EC9E5DEA8A}" xr6:coauthVersionLast="47" xr6:coauthVersionMax="47" xr10:uidLastSave="{00000000-0000-0000-0000-000000000000}"/>
  <bookViews>
    <workbookView xWindow="-108" yWindow="-108" windowWidth="23256" windowHeight="13176" tabRatio="969" firstSheet="1" activeTab="2" xr2:uid="{62178005-964C-499D-8BA4-3BC85200C027}"/>
  </bookViews>
  <sheets>
    <sheet name="Categories" sheetId="1" r:id="rId1"/>
    <sheet name="Comparators" sheetId="26" r:id="rId2"/>
    <sheet name="Rules" sheetId="27" r:id="rId3"/>
    <sheet name="Types" sheetId="2" r:id="rId4"/>
    <sheet name="Masks" sheetId="3" r:id="rId5"/>
    <sheet name="Domains" sheetId="4" r:id="rId6"/>
    <sheet name="Systems" sheetId="5" r:id="rId7"/>
    <sheet name="Menus" sheetId="6" r:id="rId8"/>
    <sheet name="Users" sheetId="7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Sessions" sheetId="15" r:id="rId19"/>
    <sheet name="Transactions" sheetId="19" r:id="rId20"/>
    <sheet name="Operations" sheetId="20" r:id="rId21"/>
    <sheet name="Unicities" sheetId="22" r:id="rId22"/>
    <sheet name="testes" sheetId="28" r:id="rId23"/>
  </sheets>
  <functionGroups builtInGroupCount="19"/>
  <definedNames>
    <definedName name="_xlnm._FilterDatabase" localSheetId="15" hidden="1">Columns!$F$1:$F$127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" i="27" l="1"/>
  <c r="A18" i="27"/>
  <c r="A17" i="27"/>
  <c r="A16" i="27"/>
  <c r="A41" i="27"/>
  <c r="A40" i="27"/>
  <c r="A146" i="12"/>
  <c r="A156" i="12"/>
  <c r="A155" i="12"/>
  <c r="A154" i="12"/>
  <c r="E151" i="12"/>
  <c r="E152" i="12" s="1"/>
  <c r="E153" i="12" s="1"/>
  <c r="E154" i="12" s="1"/>
  <c r="E155" i="12" s="1"/>
  <c r="E156" i="12" s="1"/>
  <c r="A153" i="12"/>
  <c r="A152" i="12"/>
  <c r="A151" i="12"/>
  <c r="A150" i="12"/>
  <c r="A24" i="17"/>
  <c r="A24" i="11"/>
  <c r="C2" i="2" a="1"/>
  <c r="C3" i="2" a="1"/>
  <c r="G24" i="11" a="1"/>
  <c r="F24" i="11" a="1"/>
  <c r="F24" i="17" a="1"/>
  <c r="D24" i="17" a="1"/>
  <c r="C24" i="17" a="1"/>
  <c r="I155" i="12" a="1"/>
  <c r="J151" i="12" a="1"/>
  <c r="H146" i="12" a="1"/>
  <c r="H155" i="12" a="1"/>
  <c r="H150" i="12" a="1"/>
  <c r="L155" i="12" a="1"/>
  <c r="L152" i="12" a="1"/>
  <c r="D146" i="12" a="1"/>
  <c r="C146" i="12" a="1"/>
  <c r="D156" i="12" a="1"/>
  <c r="L153" i="12" a="1"/>
  <c r="C150" i="12" a="1"/>
  <c r="C156" i="12" a="1"/>
  <c r="G152" i="12" a="1"/>
  <c r="J153" i="12" a="1"/>
  <c r="I153" i="12" a="1"/>
  <c r="H156" i="12" a="1"/>
  <c r="C151" i="12" a="1"/>
  <c r="G155" i="12" a="1"/>
  <c r="H153" i="12" a="1"/>
  <c r="D152" i="12" a="1"/>
  <c r="C155" i="12" a="1"/>
  <c r="G154" i="12" a="1"/>
  <c r="D154" i="12" a="1"/>
  <c r="J152" i="12" a="1"/>
  <c r="H151" i="12" a="1"/>
  <c r="D150" i="12" a="1"/>
  <c r="I152" i="12" a="1"/>
  <c r="H154" i="12" a="1"/>
  <c r="L156" i="12" a="1"/>
  <c r="G153" i="12" a="1"/>
  <c r="H152" i="12" a="1"/>
  <c r="J156" i="12" a="1"/>
  <c r="L150" i="12" a="1"/>
  <c r="D151" i="12" a="1"/>
  <c r="I156" i="12" a="1"/>
  <c r="C152" i="12" a="1"/>
  <c r="L146" i="12" a="1"/>
  <c r="J150" i="12" a="1"/>
  <c r="D153" i="12" a="1"/>
  <c r="J146" i="12" a="1"/>
  <c r="D155" i="12" a="1"/>
  <c r="L151" i="12" a="1"/>
  <c r="I150" i="12" a="1"/>
  <c r="I146" i="12" a="1"/>
  <c r="J155" i="12" a="1"/>
  <c r="C153" i="12" a="1"/>
  <c r="G146" i="12" a="1"/>
  <c r="I151" i="12" a="1"/>
  <c r="G150" i="12" a="1"/>
  <c r="C154" i="12" a="1"/>
  <c r="L154" i="12" a="1"/>
  <c r="J154" i="12" a="1"/>
  <c r="I154" i="12" a="1"/>
  <c r="G156" i="12" a="1"/>
  <c r="G151" i="12" a="1"/>
  <c r="F19" i="27" a="1"/>
  <c r="F18" i="27" a="1"/>
  <c r="C19" i="27" a="1"/>
  <c r="E19" i="27" a="1"/>
  <c r="E18" i="27" a="1"/>
  <c r="C18" i="27" a="1"/>
  <c r="F17" i="27" a="1"/>
  <c r="E17" i="27" a="1"/>
  <c r="F29" i="27" a="1"/>
  <c r="C17" i="27" a="1"/>
  <c r="F12" i="27" a="1"/>
  <c r="F40" i="27" a="1"/>
  <c r="F16" i="27" a="1"/>
  <c r="F37" i="27" a="1"/>
  <c r="F3" i="27" a="1"/>
  <c r="F24" i="27" a="1"/>
  <c r="F36" i="27" a="1"/>
  <c r="F13" i="27" a="1"/>
  <c r="F39" i="27" a="1"/>
  <c r="F32" i="27" a="1"/>
  <c r="F7" i="27" a="1"/>
  <c r="F41" i="27" a="1"/>
  <c r="F34" i="27" a="1"/>
  <c r="F28" i="27" a="1"/>
  <c r="F22" i="27" a="1"/>
  <c r="F30" i="27" a="1"/>
  <c r="F8" i="27" a="1"/>
  <c r="F38" i="27" a="1"/>
  <c r="E16" i="27" a="1"/>
  <c r="F5" i="27" a="1"/>
  <c r="F27" i="27" a="1"/>
  <c r="F2" i="27" a="1"/>
  <c r="F35" i="27" a="1"/>
  <c r="C40" i="27" a="1"/>
  <c r="F14" i="27" a="1"/>
  <c r="F6" i="27" a="1"/>
  <c r="F10" i="27" a="1"/>
  <c r="E41" i="27" a="1"/>
  <c r="F23" i="27" a="1"/>
  <c r="F33" i="27" a="1"/>
  <c r="F21" i="27" a="1"/>
  <c r="F11" i="27" a="1"/>
  <c r="F4" i="27" a="1"/>
  <c r="C16" i="27" a="1"/>
  <c r="C41" i="27" a="1"/>
  <c r="F9" i="27" a="1"/>
  <c r="F26" i="27" a="1"/>
  <c r="F31" i="27" a="1"/>
  <c r="F25" i="27" a="1"/>
  <c r="E40" i="27" a="1"/>
  <c r="F15" i="27" a="1"/>
  <c r="F20" i="27" a="1"/>
  <c r="C18" i="27" l="1"/>
  <c r="E18" i="27"/>
  <c r="E19" i="27"/>
  <c r="C19" i="27"/>
  <c r="F18" i="27"/>
  <c r="F19" i="27"/>
  <c r="C16" i="27"/>
  <c r="E16" i="27"/>
  <c r="F16" i="27"/>
  <c r="C17" i="27"/>
  <c r="E17" i="27"/>
  <c r="F17" i="27"/>
  <c r="C40" i="27"/>
  <c r="E40" i="27"/>
  <c r="E41" i="27"/>
  <c r="F41" i="27"/>
  <c r="F40" i="27"/>
  <c r="C41" i="27"/>
  <c r="F23" i="27"/>
  <c r="F35" i="27"/>
  <c r="F14" i="27"/>
  <c r="F36" i="27"/>
  <c r="F13" i="27"/>
  <c r="F39" i="27"/>
  <c r="F24" i="27"/>
  <c r="F30" i="27"/>
  <c r="F15" i="27"/>
  <c r="F25" i="27"/>
  <c r="F31" i="27"/>
  <c r="F37" i="27"/>
  <c r="F8" i="27"/>
  <c r="F9" i="27"/>
  <c r="F3" i="27"/>
  <c r="F4" i="27"/>
  <c r="F10" i="27"/>
  <c r="F20" i="27"/>
  <c r="F26" i="27"/>
  <c r="F32" i="27"/>
  <c r="F7" i="27"/>
  <c r="F5" i="27"/>
  <c r="F11" i="27"/>
  <c r="F21" i="27"/>
  <c r="F27" i="27"/>
  <c r="F33" i="27"/>
  <c r="F29" i="27"/>
  <c r="F6" i="27"/>
  <c r="F12" i="27"/>
  <c r="F22" i="27"/>
  <c r="F28" i="27"/>
  <c r="F34" i="27"/>
  <c r="F38" i="27"/>
  <c r="F2" i="27"/>
  <c r="G146" i="12"/>
  <c r="I146" i="12"/>
  <c r="J146" i="12"/>
  <c r="L146" i="12"/>
  <c r="C146" i="12"/>
  <c r="D146" i="12"/>
  <c r="H146" i="12"/>
  <c r="H156" i="12"/>
  <c r="I156" i="12"/>
  <c r="J156" i="12"/>
  <c r="L156" i="12"/>
  <c r="C156" i="12"/>
  <c r="D156" i="12"/>
  <c r="G156" i="12"/>
  <c r="L155" i="12"/>
  <c r="H155" i="12"/>
  <c r="I155" i="12"/>
  <c r="J155" i="12"/>
  <c r="C155" i="12"/>
  <c r="D155" i="12"/>
  <c r="G155" i="12"/>
  <c r="H154" i="12"/>
  <c r="I154" i="12"/>
  <c r="J154" i="12"/>
  <c r="L154" i="12"/>
  <c r="C154" i="12"/>
  <c r="D154" i="12"/>
  <c r="G154" i="12"/>
  <c r="D152" i="12"/>
  <c r="H153" i="12"/>
  <c r="C151" i="12"/>
  <c r="I153" i="12"/>
  <c r="D151" i="12"/>
  <c r="H152" i="12"/>
  <c r="J153" i="12"/>
  <c r="C150" i="12"/>
  <c r="G151" i="12"/>
  <c r="I152" i="12"/>
  <c r="D150" i="12"/>
  <c r="H151" i="12"/>
  <c r="J152" i="12"/>
  <c r="G150" i="12"/>
  <c r="I151" i="12"/>
  <c r="L152" i="12"/>
  <c r="H150" i="12"/>
  <c r="J151" i="12"/>
  <c r="C153" i="12"/>
  <c r="I150" i="12"/>
  <c r="L151" i="12"/>
  <c r="D153" i="12"/>
  <c r="J150" i="12"/>
  <c r="C152" i="12"/>
  <c r="L150" i="12"/>
  <c r="G153" i="12"/>
  <c r="G152" i="12"/>
  <c r="L153" i="12"/>
  <c r="C24" i="17"/>
  <c r="D24" i="17"/>
  <c r="F24" i="17"/>
  <c r="G24" i="11"/>
  <c r="F24" i="11"/>
  <c r="C2" i="2"/>
  <c r="C3" i="2"/>
  <c r="A25" i="4"/>
  <c r="A23" i="17"/>
  <c r="A149" i="12"/>
  <c r="E148" i="12"/>
  <c r="E149" i="12" s="1"/>
  <c r="A148" i="12"/>
  <c r="A147" i="12"/>
  <c r="A23" i="11"/>
  <c r="A22" i="11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3" i="26"/>
  <c r="A12" i="26"/>
  <c r="A11" i="26"/>
  <c r="A10" i="26"/>
  <c r="A9" i="26"/>
  <c r="A8" i="26"/>
  <c r="A7" i="26"/>
  <c r="A6" i="26"/>
  <c r="A5" i="26"/>
  <c r="A4" i="26"/>
  <c r="A3" i="26"/>
  <c r="A2" i="26"/>
  <c r="F21" i="11" a="1"/>
  <c r="F11" i="11" a="1"/>
  <c r="F20" i="11" a="1"/>
  <c r="F10" i="11" a="1"/>
  <c r="F19" i="11" a="1"/>
  <c r="F18" i="11" a="1"/>
  <c r="F8" i="11" a="1"/>
  <c r="F6" i="11" a="1"/>
  <c r="F5" i="11" a="1"/>
  <c r="F4" i="11" a="1"/>
  <c r="F23" i="11" a="1"/>
  <c r="F3" i="11" a="1"/>
  <c r="F22" i="11" a="1"/>
  <c r="F2" i="11" a="1"/>
  <c r="I13" i="6" a="1"/>
  <c r="I10" i="6" a="1"/>
  <c r="I2" i="6" a="1"/>
  <c r="H25" i="4" a="1"/>
  <c r="H15" i="4" a="1"/>
  <c r="H24" i="4" a="1"/>
  <c r="H14" i="4" a="1"/>
  <c r="H13" i="4" a="1"/>
  <c r="H21" i="4" a="1"/>
  <c r="H11" i="4" a="1"/>
  <c r="H20" i="4" a="1"/>
  <c r="H10" i="4" a="1"/>
  <c r="H19" i="4" a="1"/>
  <c r="H9" i="4" a="1"/>
  <c r="H18" i="4" a="1"/>
  <c r="H8" i="4" a="1"/>
  <c r="H7" i="4" a="1"/>
  <c r="H16" i="4" a="1"/>
  <c r="H23" i="4" a="1"/>
  <c r="H22" i="4" a="1"/>
  <c r="H12" i="4" a="1"/>
  <c r="G15" i="4" a="1"/>
  <c r="G14" i="4" a="1"/>
  <c r="G13" i="4" a="1"/>
  <c r="G12" i="4" a="1"/>
  <c r="G11" i="4" a="1"/>
  <c r="G20" i="4" a="1"/>
  <c r="G9" i="4" a="1"/>
  <c r="G18" i="4" a="1"/>
  <c r="G16" i="4" a="1"/>
  <c r="G25" i="4" a="1"/>
  <c r="G24" i="4" a="1"/>
  <c r="G23" i="4" a="1"/>
  <c r="G22" i="4" a="1"/>
  <c r="G10" i="4" a="1"/>
  <c r="G19" i="4" a="1"/>
  <c r="G8" i="4" a="1"/>
  <c r="G7" i="4" a="1"/>
  <c r="G21" i="4" a="1"/>
  <c r="L79" i="12" a="1"/>
  <c r="L126" i="12" a="1"/>
  <c r="L11" i="12" a="1"/>
  <c r="L133" i="12" a="1"/>
  <c r="L122" i="12" a="1"/>
  <c r="L115" i="12" a="1"/>
  <c r="L128" i="12" a="1"/>
  <c r="L60" i="12" a="1"/>
  <c r="L13" i="12" a="1"/>
  <c r="L111" i="12" a="1"/>
  <c r="L15" i="12" a="1"/>
  <c r="L108" i="12" a="1"/>
  <c r="L46" i="12" a="1"/>
  <c r="L92" i="12" a="1"/>
  <c r="L51" i="12" a="1"/>
  <c r="L73" i="12" a="1"/>
  <c r="L26" i="12" a="1"/>
  <c r="L47" i="12" a="1"/>
  <c r="L72" i="12" a="1"/>
  <c r="L3" i="12" a="1"/>
  <c r="L68" i="12" a="1"/>
  <c r="L6" i="12" a="1"/>
  <c r="L136" i="12" a="1"/>
  <c r="L141" i="12" a="1"/>
  <c r="L50" i="12" a="1"/>
  <c r="L102" i="12" a="1"/>
  <c r="L99" i="12" a="1"/>
  <c r="L85" i="12" a="1"/>
  <c r="L29" i="12" a="1"/>
  <c r="L28" i="12" a="1"/>
  <c r="L35" i="12" a="1"/>
  <c r="L100" i="12" a="1"/>
  <c r="L135" i="12" a="1"/>
  <c r="L7" i="12" a="1"/>
  <c r="L76" i="12" a="1"/>
  <c r="L138" i="12" a="1"/>
  <c r="L96" i="12" a="1"/>
  <c r="L130" i="12" a="1"/>
  <c r="L43" i="12" a="1"/>
  <c r="L42" i="12" a="1"/>
  <c r="L65" i="12" a="1"/>
  <c r="L66" i="12" a="1"/>
  <c r="L137" i="12" a="1"/>
  <c r="L98" i="12" a="1"/>
  <c r="L110" i="12" a="1"/>
  <c r="L48" i="12" a="1"/>
  <c r="L145" i="12" a="1"/>
  <c r="L116" i="12" a="1"/>
  <c r="L81" i="12" a="1"/>
  <c r="L52" i="12" a="1"/>
  <c r="L38" i="12" a="1"/>
  <c r="L106" i="12" a="1"/>
  <c r="L21" i="12" a="1"/>
  <c r="L101" i="12" a="1"/>
  <c r="L86" i="12" a="1"/>
  <c r="L61" i="12" a="1"/>
  <c r="L4" i="12" a="1"/>
  <c r="L18" i="12" a="1"/>
  <c r="L5" i="12" a="1"/>
  <c r="L56" i="12" a="1"/>
  <c r="L70" i="12" a="1"/>
  <c r="L34" i="12" a="1"/>
  <c r="L90" i="12" a="1"/>
  <c r="L8" i="12" a="1"/>
  <c r="L74" i="12" a="1"/>
  <c r="L36" i="12" a="1"/>
  <c r="L30" i="12" a="1"/>
  <c r="L103" i="12" a="1"/>
  <c r="L20" i="12" a="1"/>
  <c r="L127" i="12" a="1"/>
  <c r="L24" i="12" a="1"/>
  <c r="L16" i="12" a="1"/>
  <c r="L109" i="12" a="1"/>
  <c r="L112" i="12" a="1"/>
  <c r="L119" i="12" a="1"/>
  <c r="L117" i="12" a="1"/>
  <c r="L113" i="12" a="1"/>
  <c r="L125" i="12" a="1"/>
  <c r="L9" i="12" a="1"/>
  <c r="L22" i="12" a="1"/>
  <c r="L19" i="12" a="1"/>
  <c r="L107" i="12" a="1"/>
  <c r="L83" i="12" a="1"/>
  <c r="L95" i="12" a="1"/>
  <c r="L17" i="12" a="1"/>
  <c r="L121" i="12" a="1"/>
  <c r="L144" i="12" a="1"/>
  <c r="L97" i="12" a="1"/>
  <c r="L23" i="12" a="1"/>
  <c r="L75" i="12" a="1"/>
  <c r="L105" i="12" a="1"/>
  <c r="L41" i="12" a="1"/>
  <c r="L31" i="12" a="1"/>
  <c r="L67" i="12" a="1"/>
  <c r="L142" i="12" a="1"/>
  <c r="L45" i="12" a="1"/>
  <c r="L55" i="12" a="1"/>
  <c r="L40" i="12" a="1"/>
  <c r="L80" i="12" a="1"/>
  <c r="L57" i="12" a="1"/>
  <c r="L82" i="12" a="1"/>
  <c r="L25" i="12" a="1"/>
  <c r="L104" i="12" a="1"/>
  <c r="L89" i="12" a="1"/>
  <c r="L10" i="12" a="1"/>
  <c r="L37" i="12" a="1"/>
  <c r="L12" i="12" a="1"/>
  <c r="L134" i="12" a="1"/>
  <c r="L64" i="12" a="1"/>
  <c r="L39" i="12" a="1"/>
  <c r="L59" i="12" a="1"/>
  <c r="L27" i="12" a="1"/>
  <c r="L131" i="12" a="1"/>
  <c r="L44" i="12" a="1"/>
  <c r="L143" i="12" a="1"/>
  <c r="L147" i="12" a="1"/>
  <c r="L2" i="12" a="1"/>
  <c r="L58" i="12" a="1"/>
  <c r="L71" i="12" a="1"/>
  <c r="L53" i="12" a="1"/>
  <c r="E10" i="27" a="1"/>
  <c r="E38" i="27" a="1"/>
  <c r="E2" i="27" a="1"/>
  <c r="E21" i="27" a="1"/>
  <c r="E29" i="27" a="1"/>
  <c r="E15" i="27" a="1"/>
  <c r="E37" i="27" a="1"/>
  <c r="E35" i="27" a="1"/>
  <c r="E23" i="27" a="1"/>
  <c r="E5" i="27" a="1"/>
  <c r="E12" i="27" a="1"/>
  <c r="E13" i="27" a="1"/>
  <c r="E27" i="27" a="1"/>
  <c r="E39" i="27" a="1"/>
  <c r="E9" i="27" a="1"/>
  <c r="E11" i="27" a="1"/>
  <c r="E28" i="27" a="1"/>
  <c r="E33" i="27" a="1"/>
  <c r="E34" i="27" a="1"/>
  <c r="E36" i="27" a="1"/>
  <c r="E31" i="27" a="1"/>
  <c r="E4" i="27" a="1"/>
  <c r="E30" i="27" a="1"/>
  <c r="E24" i="27" a="1"/>
  <c r="E14" i="27" a="1"/>
  <c r="E25" i="27" a="1"/>
  <c r="E3" i="27" a="1"/>
  <c r="E7" i="27" a="1"/>
  <c r="E20" i="27" a="1"/>
  <c r="E6" i="27" a="1"/>
  <c r="E22" i="27" a="1"/>
  <c r="E8" i="27" a="1"/>
  <c r="E32" i="27" a="1"/>
  <c r="E26" i="27" a="1"/>
  <c r="G24" i="17" l="1"/>
  <c r="L59" i="12"/>
  <c r="L10" i="12"/>
  <c r="L80" i="12"/>
  <c r="L31" i="12"/>
  <c r="L144" i="12"/>
  <c r="L19" i="12"/>
  <c r="L119" i="12"/>
  <c r="L20" i="12"/>
  <c r="L90" i="12"/>
  <c r="L61" i="12"/>
  <c r="L101" i="12"/>
  <c r="L52" i="12"/>
  <c r="L102" i="12"/>
  <c r="L3" i="12"/>
  <c r="L73" i="12"/>
  <c r="L15" i="12"/>
  <c r="L65" i="12"/>
  <c r="L115" i="12"/>
  <c r="L76" i="12"/>
  <c r="L147" i="12"/>
  <c r="L39" i="12"/>
  <c r="L89" i="12"/>
  <c r="L40" i="12"/>
  <c r="L41" i="12"/>
  <c r="L121" i="12"/>
  <c r="L22" i="12"/>
  <c r="L112" i="12"/>
  <c r="L103" i="12"/>
  <c r="L34" i="12"/>
  <c r="L135" i="12"/>
  <c r="L29" i="12"/>
  <c r="L99" i="12"/>
  <c r="L50" i="12"/>
  <c r="L110" i="12"/>
  <c r="L51" i="12"/>
  <c r="L111" i="12"/>
  <c r="L42" i="12"/>
  <c r="L122" i="12"/>
  <c r="L53" i="12"/>
  <c r="L143" i="12"/>
  <c r="L64" i="12"/>
  <c r="L104" i="12"/>
  <c r="L55" i="12"/>
  <c r="L105" i="12"/>
  <c r="L17" i="12"/>
  <c r="L9" i="12"/>
  <c r="L109" i="12"/>
  <c r="L30" i="12"/>
  <c r="L70" i="12"/>
  <c r="L100" i="12"/>
  <c r="L21" i="12"/>
  <c r="L81" i="12"/>
  <c r="L141" i="12"/>
  <c r="L72" i="12"/>
  <c r="L92" i="12"/>
  <c r="L13" i="12"/>
  <c r="L43" i="12"/>
  <c r="L133" i="12"/>
  <c r="L4" i="12"/>
  <c r="L44" i="12"/>
  <c r="L134" i="12"/>
  <c r="L25" i="12"/>
  <c r="L45" i="12"/>
  <c r="L75" i="12"/>
  <c r="L95" i="12"/>
  <c r="L125" i="12"/>
  <c r="L16" i="12"/>
  <c r="L36" i="12"/>
  <c r="L56" i="12"/>
  <c r="L86" i="12"/>
  <c r="L106" i="12"/>
  <c r="L116" i="12"/>
  <c r="L136" i="12"/>
  <c r="L47" i="12"/>
  <c r="L137" i="12"/>
  <c r="L60" i="12"/>
  <c r="L130" i="12"/>
  <c r="L11" i="12"/>
  <c r="L71" i="12"/>
  <c r="L131" i="12"/>
  <c r="L12" i="12"/>
  <c r="L82" i="12"/>
  <c r="L142" i="12"/>
  <c r="L23" i="12"/>
  <c r="L83" i="12"/>
  <c r="L113" i="12"/>
  <c r="L24" i="12"/>
  <c r="L74" i="12"/>
  <c r="L5" i="12"/>
  <c r="L35" i="12"/>
  <c r="L85" i="12"/>
  <c r="L145" i="12"/>
  <c r="L6" i="12"/>
  <c r="L26" i="12"/>
  <c r="L46" i="12"/>
  <c r="L66" i="12"/>
  <c r="L96" i="12"/>
  <c r="L126" i="12"/>
  <c r="L7" i="12"/>
  <c r="L27" i="12"/>
  <c r="L37" i="12"/>
  <c r="L57" i="12"/>
  <c r="L67" i="12"/>
  <c r="L97" i="12"/>
  <c r="L107" i="12"/>
  <c r="L117" i="12"/>
  <c r="L127" i="12"/>
  <c r="L8" i="12"/>
  <c r="L18" i="12"/>
  <c r="L28" i="12"/>
  <c r="L38" i="12"/>
  <c r="L48" i="12"/>
  <c r="L68" i="12"/>
  <c r="L98" i="12"/>
  <c r="L108" i="12"/>
  <c r="L128" i="12"/>
  <c r="L138" i="12"/>
  <c r="L79" i="12"/>
  <c r="L58" i="12"/>
  <c r="L2" i="12"/>
  <c r="F22" i="11"/>
  <c r="F3" i="11"/>
  <c r="F23" i="11"/>
  <c r="F4" i="11"/>
  <c r="F5" i="11"/>
  <c r="F6" i="11"/>
  <c r="F8" i="11"/>
  <c r="F18" i="11"/>
  <c r="F19" i="11"/>
  <c r="F10" i="11"/>
  <c r="F20" i="11"/>
  <c r="F11" i="11"/>
  <c r="F21" i="11"/>
  <c r="F2" i="11"/>
  <c r="I10" i="6"/>
  <c r="I13" i="6"/>
  <c r="I2" i="6"/>
  <c r="E14" i="27"/>
  <c r="E24" i="27"/>
  <c r="E36" i="27"/>
  <c r="E15" i="27"/>
  <c r="E25" i="27"/>
  <c r="E37" i="27"/>
  <c r="E9" i="27"/>
  <c r="E3" i="27"/>
  <c r="E4" i="27"/>
  <c r="E10" i="27"/>
  <c r="E26" i="27"/>
  <c r="E5" i="27"/>
  <c r="E21" i="27"/>
  <c r="E27" i="27"/>
  <c r="E28" i="27"/>
  <c r="E35" i="27"/>
  <c r="E30" i="27"/>
  <c r="E31" i="27"/>
  <c r="E8" i="27"/>
  <c r="E20" i="27"/>
  <c r="E32" i="27"/>
  <c r="E11" i="27"/>
  <c r="E33" i="27"/>
  <c r="E6" i="27"/>
  <c r="E12" i="27"/>
  <c r="E22" i="27"/>
  <c r="E34" i="27"/>
  <c r="E38" i="27"/>
  <c r="E7" i="27"/>
  <c r="E13" i="27"/>
  <c r="E23" i="27"/>
  <c r="E29" i="27"/>
  <c r="E39" i="27"/>
  <c r="E2" i="27"/>
  <c r="H12" i="4"/>
  <c r="H22" i="4"/>
  <c r="H23" i="4"/>
  <c r="H16" i="4"/>
  <c r="H7" i="4"/>
  <c r="H8" i="4"/>
  <c r="H18" i="4"/>
  <c r="H9" i="4"/>
  <c r="H19" i="4"/>
  <c r="H10" i="4"/>
  <c r="H20" i="4"/>
  <c r="H11" i="4"/>
  <c r="H21" i="4"/>
  <c r="H13" i="4"/>
  <c r="H14" i="4"/>
  <c r="H24" i="4"/>
  <c r="H15" i="4"/>
  <c r="H25" i="4"/>
  <c r="G21" i="4"/>
  <c r="G7" i="4"/>
  <c r="G8" i="4"/>
  <c r="G19" i="4"/>
  <c r="G10" i="4"/>
  <c r="G22" i="4"/>
  <c r="G23" i="4"/>
  <c r="G24" i="4"/>
  <c r="G25" i="4"/>
  <c r="G16" i="4"/>
  <c r="G18" i="4"/>
  <c r="G9" i="4"/>
  <c r="G20" i="4"/>
  <c r="G11" i="4"/>
  <c r="G12" i="4"/>
  <c r="G13" i="4"/>
  <c r="G14" i="4"/>
  <c r="G15" i="4"/>
  <c r="A111" i="12" l="1"/>
  <c r="A24" i="4"/>
  <c r="A125" i="12"/>
  <c r="A14" i="6"/>
  <c r="A22" i="17"/>
  <c r="A145" i="12"/>
  <c r="A144" i="12"/>
  <c r="E143" i="12"/>
  <c r="E144" i="12" s="1"/>
  <c r="E145" i="12" s="1"/>
  <c r="E146" i="12" s="1"/>
  <c r="A143" i="12"/>
  <c r="A142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" i="22"/>
  <c r="A138" i="12"/>
  <c r="A141" i="12"/>
  <c r="A140" i="12"/>
  <c r="A139" i="12"/>
  <c r="E139" i="12"/>
  <c r="E140" i="12" s="1"/>
  <c r="E141" i="12" s="1"/>
  <c r="A21" i="17"/>
  <c r="A21" i="11"/>
  <c r="E114" i="12"/>
  <c r="A74" i="12"/>
  <c r="A75" i="12"/>
  <c r="A67" i="12" l="1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7" i="12" l="1"/>
  <c r="A136" i="12"/>
  <c r="A135" i="12"/>
  <c r="A134" i="12"/>
  <c r="A133" i="12"/>
  <c r="E132" i="12"/>
  <c r="E133" i="12" s="1"/>
  <c r="E134" i="12" s="1"/>
  <c r="E135" i="12" s="1"/>
  <c r="E136" i="12" s="1"/>
  <c r="E137" i="12" s="1"/>
  <c r="A132" i="12"/>
  <c r="A131" i="12"/>
  <c r="A96" i="12"/>
  <c r="A130" i="12" l="1"/>
  <c r="E129" i="12"/>
  <c r="E130" i="12" s="1"/>
  <c r="A129" i="12"/>
  <c r="A128" i="12"/>
  <c r="A20" i="11"/>
  <c r="A19" i="11"/>
  <c r="A10" i="17"/>
  <c r="E66" i="12"/>
  <c r="E67" i="12" s="1"/>
  <c r="A66" i="12"/>
  <c r="A65" i="12"/>
  <c r="E35" i="2" l="1"/>
  <c r="A35" i="2"/>
  <c r="E22" i="2"/>
  <c r="A22" i="2"/>
  <c r="E37" i="2"/>
  <c r="A37" i="2"/>
  <c r="A110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A3" i="7" l="1"/>
  <c r="A3" i="8"/>
  <c r="A126" i="12"/>
  <c r="A89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8" i="12"/>
  <c r="E87" i="12"/>
  <c r="E88" i="12" s="1"/>
  <c r="E89" i="12" s="1"/>
  <c r="A87" i="12"/>
  <c r="A86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7" i="12"/>
  <c r="A124" i="12"/>
  <c r="E123" i="12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5" i="12"/>
  <c r="A94" i="12"/>
  <c r="A93" i="12"/>
  <c r="A92" i="12"/>
  <c r="E91" i="12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A91" i="12"/>
  <c r="A90" i="12"/>
  <c r="A85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2" i="10" a="1"/>
  <c r="F2" i="10" a="1"/>
  <c r="C2" i="17" a="1"/>
  <c r="C4" i="17" a="1"/>
  <c r="C15" i="17" a="1"/>
  <c r="C6" i="17" a="1"/>
  <c r="C16" i="17" a="1"/>
  <c r="C7" i="17" a="1"/>
  <c r="C17" i="17" a="1"/>
  <c r="C8" i="17" a="1"/>
  <c r="C18" i="17" a="1"/>
  <c r="C9" i="17" a="1"/>
  <c r="C19" i="17" a="1"/>
  <c r="C10" i="17" a="1"/>
  <c r="C20" i="17" a="1"/>
  <c r="C14" i="17" a="1"/>
  <c r="C5" i="17" a="1"/>
  <c r="C11" i="17" a="1"/>
  <c r="C21" i="17" a="1"/>
  <c r="C12" i="17" a="1"/>
  <c r="C22" i="17" a="1"/>
  <c r="C3" i="17" a="1"/>
  <c r="C13" i="17" a="1"/>
  <c r="C23" i="17" a="1"/>
  <c r="D2" i="17" a="1"/>
  <c r="D10" i="17" a="1"/>
  <c r="D20" i="17" a="1"/>
  <c r="D11" i="17" a="1"/>
  <c r="D21" i="17" a="1"/>
  <c r="D12" i="17" a="1"/>
  <c r="D22" i="17" a="1"/>
  <c r="D3" i="17" a="1"/>
  <c r="D13" i="17" a="1"/>
  <c r="D23" i="17" a="1"/>
  <c r="D4" i="17" a="1"/>
  <c r="D14" i="17" a="1"/>
  <c r="D5" i="17" a="1"/>
  <c r="D15" i="17" a="1"/>
  <c r="D6" i="17" a="1"/>
  <c r="D16" i="17" a="1"/>
  <c r="D7" i="17" a="1"/>
  <c r="D17" i="17" a="1"/>
  <c r="D8" i="17" a="1"/>
  <c r="D18" i="17" a="1"/>
  <c r="D9" i="17" a="1"/>
  <c r="D19" i="17" a="1"/>
  <c r="C9" i="2" a="1"/>
  <c r="C19" i="2" a="1"/>
  <c r="C29" i="2" a="1"/>
  <c r="C10" i="2" a="1"/>
  <c r="C20" i="2" a="1"/>
  <c r="C30" i="2" a="1"/>
  <c r="C11" i="2" a="1"/>
  <c r="C21" i="2" a="1"/>
  <c r="C31" i="2" a="1"/>
  <c r="C12" i="2" a="1"/>
  <c r="C22" i="2" a="1"/>
  <c r="C32" i="2" a="1"/>
  <c r="C13" i="2" a="1"/>
  <c r="C23" i="2" a="1"/>
  <c r="C33" i="2" a="1"/>
  <c r="C4" i="2" a="1"/>
  <c r="C14" i="2" a="1"/>
  <c r="C24" i="2" a="1"/>
  <c r="C34" i="2" a="1"/>
  <c r="C5" i="2" a="1"/>
  <c r="C15" i="2" a="1"/>
  <c r="C25" i="2" a="1"/>
  <c r="C35" i="2" a="1"/>
  <c r="C6" i="2" a="1"/>
  <c r="C16" i="2" a="1"/>
  <c r="C26" i="2" a="1"/>
  <c r="C36" i="2" a="1"/>
  <c r="C7" i="2" a="1"/>
  <c r="C17" i="2" a="1"/>
  <c r="C27" i="2" a="1"/>
  <c r="C37" i="2" a="1"/>
  <c r="C8" i="2" a="1"/>
  <c r="C18" i="2" a="1"/>
  <c r="C28" i="2" a="1"/>
  <c r="C38" i="2" a="1"/>
  <c r="C2" i="22" a="1"/>
  <c r="F2" i="22" a="1"/>
  <c r="K2" i="22" a="1"/>
  <c r="H2" i="22" a="1"/>
  <c r="I9" i="6" a="1"/>
  <c r="I11" i="6" a="1"/>
  <c r="I12" i="6" a="1"/>
  <c r="I3" i="6" a="1"/>
  <c r="I5" i="6" a="1"/>
  <c r="I6" i="6" a="1"/>
  <c r="I8" i="6" a="1"/>
  <c r="I14" i="6" a="1"/>
  <c r="I7" i="6" a="1"/>
  <c r="I4" i="6" a="1"/>
  <c r="C2" i="6" a="1"/>
  <c r="C5" i="6" a="1"/>
  <c r="C6" i="6" a="1"/>
  <c r="C7" i="6" a="1"/>
  <c r="C8" i="6" a="1"/>
  <c r="C9" i="6" a="1"/>
  <c r="C10" i="6" a="1"/>
  <c r="C11" i="6" a="1"/>
  <c r="C12" i="6" a="1"/>
  <c r="C3" i="6" a="1"/>
  <c r="C13" i="6" a="1"/>
  <c r="C4" i="6" a="1"/>
  <c r="C14" i="6" a="1"/>
  <c r="C2" i="8" a="1"/>
  <c r="C3" i="8" a="1"/>
  <c r="C2" i="10" a="1"/>
  <c r="G6" i="4" a="1"/>
  <c r="G3" i="4" a="1"/>
  <c r="G4" i="4" a="1"/>
  <c r="G5" i="4" a="1"/>
  <c r="G17" i="4" a="1"/>
  <c r="H3" i="4" a="1"/>
  <c r="H6" i="4" a="1"/>
  <c r="H17" i="4" a="1"/>
  <c r="H4" i="4" a="1"/>
  <c r="H5" i="4" a="1"/>
  <c r="H2" i="4" a="1"/>
  <c r="G2" i="4" a="1"/>
  <c r="E2" i="8" a="1"/>
  <c r="E3" i="8" a="1"/>
  <c r="F12" i="11" a="1"/>
  <c r="F14" i="11" a="1"/>
  <c r="F15" i="11" a="1"/>
  <c r="F16" i="11" a="1"/>
  <c r="F7" i="11" a="1"/>
  <c r="F17" i="11" a="1"/>
  <c r="F9" i="11" a="1"/>
  <c r="F13" i="11" a="1"/>
  <c r="G2" i="11" a="1"/>
  <c r="G14" i="11" a="1"/>
  <c r="G15" i="11" a="1"/>
  <c r="G6" i="11" a="1"/>
  <c r="G17" i="11" a="1"/>
  <c r="G18" i="11" a="1"/>
  <c r="G9" i="11" a="1"/>
  <c r="G10" i="11" a="1"/>
  <c r="G11" i="11" a="1"/>
  <c r="G12" i="11" a="1"/>
  <c r="G3" i="11" a="1"/>
  <c r="G23" i="11" a="1"/>
  <c r="G4" i="11" a="1"/>
  <c r="G5" i="11" a="1"/>
  <c r="G16" i="11" a="1"/>
  <c r="G7" i="11" a="1"/>
  <c r="G8" i="11" a="1"/>
  <c r="G19" i="11" a="1"/>
  <c r="G20" i="11" a="1"/>
  <c r="G21" i="11" a="1"/>
  <c r="G22" i="11" a="1"/>
  <c r="G13" i="11" a="1"/>
  <c r="F2" i="17" a="1"/>
  <c r="F20" i="17" a="1"/>
  <c r="F21" i="17" a="1"/>
  <c r="F4" i="17" a="1"/>
  <c r="F14" i="17" a="1"/>
  <c r="F5" i="17" a="1"/>
  <c r="F15" i="17" a="1"/>
  <c r="F6" i="17" a="1"/>
  <c r="F16" i="17" a="1"/>
  <c r="F7" i="17" a="1"/>
  <c r="F17" i="17" a="1"/>
  <c r="F8" i="17" a="1"/>
  <c r="F18" i="17" a="1"/>
  <c r="F9" i="17" a="1"/>
  <c r="F19" i="17" a="1"/>
  <c r="F10" i="17" a="1"/>
  <c r="F11" i="17" a="1"/>
  <c r="F12" i="17" a="1"/>
  <c r="F22" i="17" a="1"/>
  <c r="F3" i="17" a="1"/>
  <c r="F13" i="17" a="1"/>
  <c r="F23" i="17" a="1"/>
  <c r="C2" i="4" a="1"/>
  <c r="C5" i="4" a="1"/>
  <c r="C15" i="4" a="1"/>
  <c r="C6" i="4" a="1"/>
  <c r="C16" i="4" a="1"/>
  <c r="C7" i="4" a="1"/>
  <c r="C17" i="4" a="1"/>
  <c r="C8" i="4" a="1"/>
  <c r="C18" i="4" a="1"/>
  <c r="C9" i="4" a="1"/>
  <c r="C19" i="4" a="1"/>
  <c r="C10" i="4" a="1"/>
  <c r="C20" i="4" a="1"/>
  <c r="C11" i="4" a="1"/>
  <c r="C21" i="4" a="1"/>
  <c r="C12" i="4" a="1"/>
  <c r="C22" i="4" a="1"/>
  <c r="C3" i="4" a="1"/>
  <c r="C13" i="4" a="1"/>
  <c r="C23" i="4" a="1"/>
  <c r="C4" i="4" a="1"/>
  <c r="C14" i="4" a="1"/>
  <c r="C24" i="4" a="1"/>
  <c r="C25" i="4" a="1"/>
  <c r="E14" i="4" a="1"/>
  <c r="E8" i="4" a="1"/>
  <c r="E16" i="4" a="1"/>
  <c r="E23" i="4" a="1"/>
  <c r="E7" i="4" a="1"/>
  <c r="E15" i="4" a="1"/>
  <c r="E25" i="4" a="1"/>
  <c r="E20" i="4" a="1"/>
  <c r="E17" i="4" a="1"/>
  <c r="E4" i="4" a="1"/>
  <c r="E22" i="4" a="1"/>
  <c r="E2" i="4" a="1"/>
  <c r="E13" i="4" a="1"/>
  <c r="E11" i="4" a="1"/>
  <c r="E9" i="4" a="1"/>
  <c r="E18" i="4" a="1"/>
  <c r="E19" i="4" a="1"/>
  <c r="E12" i="4" a="1"/>
  <c r="E6" i="4" a="1"/>
  <c r="E10" i="4" a="1"/>
  <c r="H2" i="9" a="1"/>
  <c r="E24" i="4" a="1"/>
  <c r="E21" i="4" a="1"/>
  <c r="E5" i="4" a="1"/>
  <c r="E3" i="4" a="1"/>
  <c r="G41" i="12" a="1"/>
  <c r="G102" i="12" a="1"/>
  <c r="G109" i="12" a="1"/>
  <c r="G103" i="12" a="1"/>
  <c r="G145" i="12" a="1"/>
  <c r="G6" i="12" a="1"/>
  <c r="G57" i="12" a="1"/>
  <c r="C39" i="12" a="1"/>
  <c r="C59" i="12" a="1"/>
  <c r="C9" i="12" a="1"/>
  <c r="C142" i="12" a="1"/>
  <c r="C45" i="12" a="1"/>
  <c r="C116" i="12" a="1"/>
  <c r="C38" i="12" a="1"/>
  <c r="D32" i="12" a="1"/>
  <c r="D109" i="12" a="1"/>
  <c r="D59" i="12" a="1"/>
  <c r="D83" i="12" a="1"/>
  <c r="D104" i="12" a="1"/>
  <c r="D36" i="12" a="1"/>
  <c r="D107" i="12" a="1"/>
  <c r="L140" i="12" a="1"/>
  <c r="L88" i="12" a="1"/>
  <c r="G131" i="12" a="1"/>
  <c r="G108" i="12" a="1"/>
  <c r="G110" i="12" a="1"/>
  <c r="G105" i="12" a="1"/>
  <c r="G26" i="12" a="1"/>
  <c r="G77" i="12" a="1"/>
  <c r="C70" i="12" a="1"/>
  <c r="C140" i="12" a="1"/>
  <c r="C65" i="12" a="1"/>
  <c r="C58" i="12" a="1"/>
  <c r="D129" i="12" a="1"/>
  <c r="D103" i="12" a="1"/>
  <c r="D66" i="12" a="1"/>
  <c r="L123" i="12" a="1"/>
  <c r="L149" i="12" a="1"/>
  <c r="G128" i="12" a="1"/>
  <c r="G91" i="12" a="1"/>
  <c r="G66" i="12" a="1"/>
  <c r="C51" i="12" a="1"/>
  <c r="C100" i="12" a="1"/>
  <c r="C37" i="12" a="1"/>
  <c r="D72" i="12" a="1"/>
  <c r="D35" i="12" a="1"/>
  <c r="G49" i="12" a="1"/>
  <c r="G127" i="12" a="1"/>
  <c r="C104" i="12" a="1"/>
  <c r="C69" i="12" a="1"/>
  <c r="D92" i="12" a="1"/>
  <c r="D45" i="12" a="1"/>
  <c r="L94" i="12" a="1"/>
  <c r="G59" i="12" a="1"/>
  <c r="G50" i="12" a="1"/>
  <c r="G137" i="12" a="1"/>
  <c r="C79" i="12" a="1"/>
  <c r="C57" i="12" a="1"/>
  <c r="D50" i="12" a="1"/>
  <c r="D95" i="12" a="1"/>
  <c r="D48" i="12" a="1"/>
  <c r="D2" i="12" a="1"/>
  <c r="D88" i="12" a="1"/>
  <c r="G114" i="12" a="1"/>
  <c r="C147" i="12" a="1"/>
  <c r="D80" i="12" a="1"/>
  <c r="D37" i="12" a="1"/>
  <c r="G32" i="12" a="1"/>
  <c r="G147" i="12" a="1"/>
  <c r="C23" i="12" a="1"/>
  <c r="C56" i="12" a="1"/>
  <c r="D61" i="12" a="1"/>
  <c r="D148" i="12" a="1"/>
  <c r="L49" i="12" a="1"/>
  <c r="G79" i="12" a="1"/>
  <c r="C14" i="12" a="1"/>
  <c r="C66" i="12" a="1"/>
  <c r="D81" i="12" a="1"/>
  <c r="D57" i="12" a="1"/>
  <c r="G99" i="12" a="1"/>
  <c r="C73" i="12" a="1"/>
  <c r="C137" i="12" a="1"/>
  <c r="D145" i="12" a="1"/>
  <c r="G120" i="12" a="1"/>
  <c r="C15" i="12" a="1"/>
  <c r="D70" i="12" a="1"/>
  <c r="D53" i="12" a="1"/>
  <c r="L77" i="12" a="1"/>
  <c r="G125" i="12" a="1"/>
  <c r="C99" i="12" a="1"/>
  <c r="D111" i="12" a="1"/>
  <c r="L87" i="12" a="1"/>
  <c r="G123" i="12" a="1"/>
  <c r="C72" i="12" a="1"/>
  <c r="C106" i="12" a="1"/>
  <c r="D140" i="12" a="1"/>
  <c r="D26" i="12" a="1"/>
  <c r="G21" i="12" a="1"/>
  <c r="G40" i="12" a="1"/>
  <c r="G88" i="12" a="1"/>
  <c r="G133" i="12" a="1"/>
  <c r="G43" i="12" a="1"/>
  <c r="G16" i="12" a="1"/>
  <c r="G67" i="12" a="1"/>
  <c r="C112" i="12" a="1"/>
  <c r="C74" i="12" a="1"/>
  <c r="C24" i="12" a="1"/>
  <c r="C83" i="12" a="1"/>
  <c r="C55" i="12" a="1"/>
  <c r="C126" i="12" a="1"/>
  <c r="C48" i="12" a="1"/>
  <c r="D39" i="12" a="1"/>
  <c r="D11" i="12" a="1"/>
  <c r="D82" i="12" a="1"/>
  <c r="D93" i="12" a="1"/>
  <c r="D114" i="12" a="1"/>
  <c r="D46" i="12" a="1"/>
  <c r="D117" i="12" a="1"/>
  <c r="L91" i="12" a="1"/>
  <c r="L118" i="12" a="1"/>
  <c r="G4" i="12" a="1"/>
  <c r="C132" i="12" a="1"/>
  <c r="C102" i="12" a="1"/>
  <c r="C136" i="12" a="1"/>
  <c r="D99" i="12" a="1"/>
  <c r="D30" i="12" a="1"/>
  <c r="D124" i="12" a="1"/>
  <c r="D127" i="12" a="1"/>
  <c r="G111" i="12" a="1"/>
  <c r="G44" i="12" a="1"/>
  <c r="G117" i="12" a="1"/>
  <c r="C41" i="12" a="1"/>
  <c r="C105" i="12" a="1"/>
  <c r="D79" i="12" a="1"/>
  <c r="D143" i="12" a="1"/>
  <c r="D28" i="12" a="1"/>
  <c r="G70" i="12" a="1"/>
  <c r="G54" i="12" a="1"/>
  <c r="C60" i="12" a="1"/>
  <c r="C47" i="12" a="1"/>
  <c r="D119" i="12" a="1"/>
  <c r="D38" i="12" a="1"/>
  <c r="G139" i="12" a="1"/>
  <c r="G5" i="12" a="1"/>
  <c r="C90" i="12" a="1"/>
  <c r="C10" i="12" a="1"/>
  <c r="C118" i="12" a="1"/>
  <c r="D4" i="12" a="1"/>
  <c r="L148" i="12" a="1"/>
  <c r="D3" i="12" a="1"/>
  <c r="L93" i="12" a="1"/>
  <c r="G33" i="12" a="1"/>
  <c r="G55" i="12" a="1"/>
  <c r="C139" i="12" a="1"/>
  <c r="C107" i="12" a="1"/>
  <c r="D139" i="12" a="1"/>
  <c r="D98" i="12" a="1"/>
  <c r="C131" i="12" a="1"/>
  <c r="D24" i="12" a="1"/>
  <c r="G101" i="12" a="1"/>
  <c r="G17" i="12" a="1"/>
  <c r="C109" i="12" a="1"/>
  <c r="C76" i="12" a="1"/>
  <c r="D43" i="12" a="1"/>
  <c r="G38" i="12" a="1"/>
  <c r="C30" i="12" a="1"/>
  <c r="D52" i="12" a="1"/>
  <c r="G83" i="12" a="1"/>
  <c r="C130" i="12" a="1"/>
  <c r="D100" i="12" a="1"/>
  <c r="D149" i="12" a="1"/>
  <c r="G93" i="12" a="1"/>
  <c r="C64" i="12" a="1"/>
  <c r="D19" i="12" a="1"/>
  <c r="L129" i="12" a="1"/>
  <c r="C89" i="12" a="1"/>
  <c r="C5" i="12" a="1"/>
  <c r="D128" i="12" a="1"/>
  <c r="G27" i="12" a="1"/>
  <c r="C86" i="12" a="1"/>
  <c r="D44" i="12" a="1"/>
  <c r="G61" i="12" a="1"/>
  <c r="C8" i="12" a="1"/>
  <c r="D64" i="12" a="1"/>
  <c r="G135" i="12" a="1"/>
  <c r="C18" i="12" a="1"/>
  <c r="L78" i="12" a="1"/>
  <c r="G68" i="12" a="1"/>
  <c r="G20" i="12" a="1"/>
  <c r="G22" i="12" a="1"/>
  <c r="G14" i="12" a="1"/>
  <c r="G63" i="12" a="1"/>
  <c r="G36" i="12" a="1"/>
  <c r="G87" i="12" a="1"/>
  <c r="C33" i="12" a="1"/>
  <c r="C93" i="12" a="1"/>
  <c r="C43" i="12" a="1"/>
  <c r="C122" i="12" a="1"/>
  <c r="C75" i="12" a="1"/>
  <c r="C7" i="12" a="1"/>
  <c r="C68" i="12" a="1"/>
  <c r="D134" i="12" a="1"/>
  <c r="D41" i="12" a="1"/>
  <c r="D89" i="12" a="1"/>
  <c r="D113" i="12" a="1"/>
  <c r="D144" i="12" a="1"/>
  <c r="D76" i="12" a="1"/>
  <c r="D137" i="12" a="1"/>
  <c r="L54" i="12" a="1"/>
  <c r="L62" i="12" a="1"/>
  <c r="L33" i="12" a="1"/>
  <c r="G48" i="12" a="1"/>
  <c r="G42" i="12" a="1"/>
  <c r="G28" i="12" a="1"/>
  <c r="G73" i="12" a="1"/>
  <c r="G56" i="12" a="1"/>
  <c r="G107" i="12" a="1"/>
  <c r="C2" i="12" a="1"/>
  <c r="C22" i="12" a="1"/>
  <c r="C95" i="12" a="1"/>
  <c r="C88" i="12" a="1"/>
  <c r="D42" i="12" a="1"/>
  <c r="D133" i="12" a="1"/>
  <c r="D96" i="12" a="1"/>
  <c r="L120" i="12" a="1"/>
  <c r="D106" i="12" a="1"/>
  <c r="G62" i="12" a="1"/>
  <c r="G143" i="12" a="1"/>
  <c r="C120" i="12" a="1"/>
  <c r="C108" i="12" a="1"/>
  <c r="D54" i="12" a="1"/>
  <c r="G64" i="12" a="1"/>
  <c r="C145" i="12" a="1"/>
  <c r="D126" i="12" a="1"/>
  <c r="D105" i="12" a="1"/>
  <c r="G78" i="12" a="1"/>
  <c r="C82" i="12" a="1"/>
  <c r="D25" i="12" a="1"/>
  <c r="G142" i="12" a="1"/>
  <c r="G124" i="12" a="1"/>
  <c r="C135" i="12" a="1"/>
  <c r="D23" i="12" a="1"/>
  <c r="D108" i="12" a="1"/>
  <c r="G60" i="12" a="1"/>
  <c r="G134" i="12" a="1"/>
  <c r="C42" i="12" a="1"/>
  <c r="D10" i="12" a="1"/>
  <c r="L139" i="12" a="1"/>
  <c r="G95" i="12" a="1"/>
  <c r="D40" i="12" a="1"/>
  <c r="L124" i="12" a="1"/>
  <c r="G129" i="12" a="1"/>
  <c r="G121" i="12" a="1"/>
  <c r="G115" i="12" a="1"/>
  <c r="C80" i="12" a="1"/>
  <c r="C148" i="12" a="1"/>
  <c r="D6" i="12" a="1"/>
  <c r="G81" i="12" a="1"/>
  <c r="C96" i="12" a="1"/>
  <c r="D87" i="12" a="1"/>
  <c r="G130" i="12" a="1"/>
  <c r="G47" i="12" a="1"/>
  <c r="C35" i="12" a="1"/>
  <c r="D94" i="12" a="1"/>
  <c r="G132" i="12" a="1"/>
  <c r="G89" i="12" a="1"/>
  <c r="G90" i="12" a="1"/>
  <c r="G24" i="12" a="1"/>
  <c r="G85" i="12" a="1"/>
  <c r="G46" i="12" a="1"/>
  <c r="G97" i="12" a="1"/>
  <c r="C94" i="12" a="1"/>
  <c r="C3" i="12" a="1"/>
  <c r="C62" i="12" a="1"/>
  <c r="C12" i="12" a="1"/>
  <c r="C85" i="12" a="1"/>
  <c r="C17" i="12" a="1"/>
  <c r="C78" i="12" a="1"/>
  <c r="D9" i="12" a="1"/>
  <c r="D130" i="12" a="1"/>
  <c r="D112" i="12" a="1"/>
  <c r="D123" i="12" a="1"/>
  <c r="D5" i="12" a="1"/>
  <c r="D86" i="12" a="1"/>
  <c r="D8" i="12" a="1"/>
  <c r="L114" i="12" a="1"/>
  <c r="G2" i="12" a="1"/>
  <c r="G34" i="12" a="1"/>
  <c r="C123" i="12" a="1"/>
  <c r="C81" i="12" a="1"/>
  <c r="C31" i="12" a="1"/>
  <c r="C27" i="12" a="1"/>
  <c r="D62" i="12" a="1"/>
  <c r="D141" i="12" a="1"/>
  <c r="D15" i="12" a="1"/>
  <c r="D18" i="12" a="1"/>
  <c r="L14" i="12" a="1"/>
  <c r="G3" i="12" a="1"/>
  <c r="G113" i="12" a="1"/>
  <c r="C13" i="12" a="1"/>
  <c r="C50" i="12" a="1"/>
  <c r="C98" i="12" a="1"/>
  <c r="D60" i="12" a="1"/>
  <c r="L63" i="12" a="1"/>
  <c r="G29" i="12" a="1"/>
  <c r="G76" i="12" a="1"/>
  <c r="C124" i="12" a="1"/>
  <c r="C115" i="12" a="1"/>
  <c r="D102" i="12" a="1"/>
  <c r="D116" i="12" a="1"/>
  <c r="G112" i="12" a="1"/>
  <c r="G86" i="12" a="1"/>
  <c r="C129" i="12" a="1"/>
  <c r="C84" i="12" a="1"/>
  <c r="D12" i="12" a="1"/>
  <c r="D55" i="12" a="1"/>
  <c r="D110" i="12" a="1"/>
  <c r="D27" i="12" a="1"/>
  <c r="G119" i="12" a="1"/>
  <c r="C20" i="12" a="1"/>
  <c r="D91" i="12" a="1"/>
  <c r="D115" i="12" a="1"/>
  <c r="G122" i="12" a="1"/>
  <c r="G65" i="12" a="1"/>
  <c r="C101" i="12" a="1"/>
  <c r="D120" i="12" a="1"/>
  <c r="D125" i="12" a="1"/>
  <c r="G31" i="12" a="1"/>
  <c r="G75" i="12" a="1"/>
  <c r="C28" i="12" a="1"/>
  <c r="C127" i="12" a="1"/>
  <c r="D33" i="12" a="1"/>
  <c r="D118" i="12" a="1"/>
  <c r="G100" i="12" a="1"/>
  <c r="C61" i="12" a="1"/>
  <c r="D29" i="12" a="1"/>
  <c r="D67" i="12" a="1"/>
  <c r="C71" i="12" a="1"/>
  <c r="D138" i="12" a="1"/>
  <c r="G53" i="12" a="1"/>
  <c r="C21" i="12" a="1"/>
  <c r="C25" i="12" a="1"/>
  <c r="D71" i="12" a="1"/>
  <c r="D16" i="12" a="1"/>
  <c r="G18" i="12" a="1"/>
  <c r="C40" i="12" a="1"/>
  <c r="D73" i="12" a="1"/>
  <c r="G13" i="12" a="1"/>
  <c r="G8" i="12" a="1"/>
  <c r="G118" i="12" a="1"/>
  <c r="G140" i="12" a="1"/>
  <c r="G74" i="12" a="1"/>
  <c r="G15" i="12" a="1"/>
  <c r="G96" i="12" a="1"/>
  <c r="G148" i="12" a="1"/>
  <c r="C52" i="12" a="1"/>
  <c r="C34" i="12" a="1"/>
  <c r="C113" i="12" a="1"/>
  <c r="C29" i="12" a="1"/>
  <c r="C144" i="12" a="1"/>
  <c r="C6" i="12" a="1"/>
  <c r="C67" i="12" a="1"/>
  <c r="C128" i="12" a="1"/>
  <c r="D14" i="12" a="1"/>
  <c r="D132" i="12" a="1"/>
  <c r="D31" i="12" a="1"/>
  <c r="D84" i="12" a="1"/>
  <c r="D65" i="12" a="1"/>
  <c r="D136" i="12" a="1"/>
  <c r="D58" i="12" a="1"/>
  <c r="L69" i="12" a="1"/>
  <c r="G39" i="12" a="1"/>
  <c r="G9" i="12" a="1"/>
  <c r="G141" i="12" a="1"/>
  <c r="G30" i="12" a="1"/>
  <c r="G84" i="12" a="1"/>
  <c r="G25" i="12" a="1"/>
  <c r="G106" i="12" a="1"/>
  <c r="G138" i="12" a="1"/>
  <c r="C19" i="12" a="1"/>
  <c r="C110" i="12" a="1"/>
  <c r="C134" i="12" a="1"/>
  <c r="C44" i="12" a="1"/>
  <c r="C133" i="12" a="1"/>
  <c r="C16" i="12" a="1"/>
  <c r="C77" i="12" a="1"/>
  <c r="C138" i="12" a="1"/>
  <c r="D101" i="12" a="1"/>
  <c r="D21" i="12" a="1"/>
  <c r="D90" i="12" a="1"/>
  <c r="D56" i="12" a="1"/>
  <c r="D75" i="12" a="1"/>
  <c r="D7" i="12" a="1"/>
  <c r="D68" i="12" a="1"/>
  <c r="L32" i="12" a="1"/>
  <c r="G69" i="12" a="1"/>
  <c r="G71" i="12" a="1"/>
  <c r="G11" i="12" a="1"/>
  <c r="G10" i="12" a="1"/>
  <c r="G94" i="12" a="1"/>
  <c r="G35" i="12" a="1"/>
  <c r="G116" i="12" a="1"/>
  <c r="G149" i="12" a="1"/>
  <c r="C111" i="12" a="1"/>
  <c r="C53" i="12" a="1"/>
  <c r="C4" i="12" a="1"/>
  <c r="C141" i="12" a="1"/>
  <c r="C143" i="12" a="1"/>
  <c r="C26" i="12" a="1"/>
  <c r="C87" i="12" a="1"/>
  <c r="C149" i="12" a="1"/>
  <c r="D49" i="12" a="1"/>
  <c r="D51" i="12" a="1"/>
  <c r="D142" i="12" a="1"/>
  <c r="D147" i="12" a="1"/>
  <c r="D85" i="12" a="1"/>
  <c r="D17" i="12" a="1"/>
  <c r="D78" i="12" a="1"/>
  <c r="L132" i="12" a="1"/>
  <c r="G58" i="12" a="1"/>
  <c r="G92" i="12" a="1"/>
  <c r="G52" i="12" a="1"/>
  <c r="G72" i="12" a="1"/>
  <c r="G104" i="12" a="1"/>
  <c r="G45" i="12" a="1"/>
  <c r="G126" i="12" a="1"/>
  <c r="C103" i="12" a="1"/>
  <c r="C91" i="12" a="1"/>
  <c r="C114" i="12" a="1"/>
  <c r="C63" i="12" a="1"/>
  <c r="C125" i="12" a="1"/>
  <c r="C36" i="12" a="1"/>
  <c r="C97" i="12" a="1"/>
  <c r="D20" i="12" a="1"/>
  <c r="D74" i="12" a="1"/>
  <c r="G98" i="12" a="1"/>
  <c r="G136" i="12" a="1"/>
  <c r="C32" i="12" a="1"/>
  <c r="C46" i="12" a="1"/>
  <c r="D13" i="12" a="1"/>
  <c r="L84" i="12" a="1"/>
  <c r="G51" i="12" a="1"/>
  <c r="C54" i="12" a="1"/>
  <c r="C117" i="12" a="1"/>
  <c r="D22" i="12" a="1"/>
  <c r="D47" i="12" a="1"/>
  <c r="G12" i="12" a="1"/>
  <c r="G7" i="12" a="1"/>
  <c r="C121" i="12" a="1"/>
  <c r="D121" i="12" a="1"/>
  <c r="D135" i="12" a="1"/>
  <c r="G19" i="12" a="1"/>
  <c r="G144" i="12" a="1"/>
  <c r="C11" i="12" a="1"/>
  <c r="D69" i="12" a="1"/>
  <c r="D34" i="12" a="1"/>
  <c r="G23" i="12" a="1"/>
  <c r="C92" i="12" a="1"/>
  <c r="D122" i="12" a="1"/>
  <c r="D77" i="12" a="1"/>
  <c r="G80" i="12" a="1"/>
  <c r="G37" i="12" a="1"/>
  <c r="C49" i="12" a="1"/>
  <c r="D63" i="12" a="1"/>
  <c r="G82" i="12" a="1"/>
  <c r="C119" i="12" a="1"/>
  <c r="D131" i="12" a="1"/>
  <c r="D97" i="12" a="1"/>
  <c r="C22" i="27" a="1"/>
  <c r="C33" i="27" a="1"/>
  <c r="C34" i="27" a="1"/>
  <c r="C36" i="27" a="1"/>
  <c r="C29" i="27" a="1"/>
  <c r="C37" i="27" a="1"/>
  <c r="C28" i="27" a="1"/>
  <c r="C20" i="27" a="1"/>
  <c r="C32" i="27" a="1"/>
  <c r="C25" i="27" a="1"/>
  <c r="C13" i="27" a="1"/>
  <c r="C14" i="27" a="1"/>
  <c r="C39" i="27" a="1"/>
  <c r="C8" i="27" a="1"/>
  <c r="C3" i="27" a="1"/>
  <c r="C23" i="27" a="1"/>
  <c r="C12" i="27" a="1"/>
  <c r="C7" i="27" a="1"/>
  <c r="C9" i="27" a="1"/>
  <c r="C5" i="27" a="1"/>
  <c r="C30" i="27" a="1"/>
  <c r="C2" i="27" a="1"/>
  <c r="C27" i="27" a="1"/>
  <c r="C10" i="27" a="1"/>
  <c r="C38" i="27" a="1"/>
  <c r="C11" i="27" a="1"/>
  <c r="C31" i="27" a="1"/>
  <c r="C21" i="27" a="1"/>
  <c r="C24" i="27" a="1"/>
  <c r="C6" i="27" a="1"/>
  <c r="C4" i="27" a="1"/>
  <c r="C35" i="27" a="1"/>
  <c r="C26" i="27" a="1"/>
  <c r="C15" i="27" a="1"/>
  <c r="C25" i="4" l="1"/>
  <c r="C24" i="4"/>
  <c r="C14" i="4"/>
  <c r="C4" i="4"/>
  <c r="C23" i="4"/>
  <c r="C13" i="4"/>
  <c r="C3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2" i="4"/>
  <c r="L14" i="12"/>
  <c r="L33" i="12"/>
  <c r="L62" i="12"/>
  <c r="L149" i="12"/>
  <c r="L118" i="12"/>
  <c r="L88" i="12"/>
  <c r="L78" i="12"/>
  <c r="L87" i="12"/>
  <c r="L77" i="12"/>
  <c r="L124" i="12"/>
  <c r="L139" i="12"/>
  <c r="L49" i="12"/>
  <c r="L84" i="12"/>
  <c r="L93" i="12"/>
  <c r="L132" i="12"/>
  <c r="L32" i="12"/>
  <c r="L69" i="12"/>
  <c r="L148" i="12"/>
  <c r="L94" i="12"/>
  <c r="L63" i="12"/>
  <c r="L120" i="12"/>
  <c r="L114" i="12"/>
  <c r="L54" i="12"/>
  <c r="L123" i="12"/>
  <c r="L91" i="12"/>
  <c r="L140" i="12"/>
  <c r="L129" i="12"/>
  <c r="D149" i="12"/>
  <c r="D138" i="12"/>
  <c r="D128" i="12"/>
  <c r="D118" i="12"/>
  <c r="D108" i="12"/>
  <c r="D98" i="12"/>
  <c r="D88" i="12"/>
  <c r="D78" i="12"/>
  <c r="D68" i="12"/>
  <c r="D58" i="12"/>
  <c r="D48" i="12"/>
  <c r="D38" i="12"/>
  <c r="D28" i="12"/>
  <c r="D18" i="12"/>
  <c r="D8" i="12"/>
  <c r="D137" i="12"/>
  <c r="D127" i="12"/>
  <c r="D117" i="12"/>
  <c r="D107" i="12"/>
  <c r="D97" i="12"/>
  <c r="D87" i="12"/>
  <c r="D77" i="12"/>
  <c r="D67" i="12"/>
  <c r="D57" i="12"/>
  <c r="D47" i="12"/>
  <c r="D37" i="12"/>
  <c r="D27" i="12"/>
  <c r="D17" i="12"/>
  <c r="D7" i="12"/>
  <c r="D136" i="12"/>
  <c r="D126" i="12"/>
  <c r="D116" i="12"/>
  <c r="D106" i="12"/>
  <c r="D96" i="12"/>
  <c r="D86" i="12"/>
  <c r="D76" i="12"/>
  <c r="D66" i="12"/>
  <c r="D46" i="12"/>
  <c r="D36" i="12"/>
  <c r="D26" i="12"/>
  <c r="D16" i="12"/>
  <c r="D6" i="12"/>
  <c r="D145" i="12"/>
  <c r="D135" i="12"/>
  <c r="D125" i="12"/>
  <c r="D115" i="12"/>
  <c r="D105" i="12"/>
  <c r="D85" i="12"/>
  <c r="D75" i="12"/>
  <c r="D65" i="12"/>
  <c r="D55" i="12"/>
  <c r="D45" i="12"/>
  <c r="D35" i="12"/>
  <c r="D15" i="12"/>
  <c r="D5" i="12"/>
  <c r="D144" i="12"/>
  <c r="D124" i="12"/>
  <c r="D114" i="12"/>
  <c r="D104" i="12"/>
  <c r="D94" i="12"/>
  <c r="D64" i="12"/>
  <c r="D44" i="12"/>
  <c r="D34" i="12"/>
  <c r="D24" i="12"/>
  <c r="D148" i="12"/>
  <c r="D25" i="12"/>
  <c r="D74" i="12"/>
  <c r="D147" i="12"/>
  <c r="D56" i="12"/>
  <c r="D84" i="12"/>
  <c r="D95" i="12"/>
  <c r="D54" i="12"/>
  <c r="D143" i="12"/>
  <c r="D133" i="12"/>
  <c r="D123" i="12"/>
  <c r="D113" i="12"/>
  <c r="D103" i="12"/>
  <c r="D93" i="12"/>
  <c r="D83" i="12"/>
  <c r="D73" i="12"/>
  <c r="D63" i="12"/>
  <c r="D53" i="12"/>
  <c r="D43" i="12"/>
  <c r="D33" i="12"/>
  <c r="D23" i="12"/>
  <c r="D13" i="12"/>
  <c r="D3" i="12"/>
  <c r="D142" i="12"/>
  <c r="D90" i="12"/>
  <c r="D31" i="12"/>
  <c r="D4" i="12"/>
  <c r="D119" i="12"/>
  <c r="D60" i="12"/>
  <c r="D141" i="12"/>
  <c r="D112" i="12"/>
  <c r="D89" i="12"/>
  <c r="D30" i="12"/>
  <c r="D82" i="12"/>
  <c r="D59" i="12"/>
  <c r="D140" i="12"/>
  <c r="D111" i="12"/>
  <c r="D52" i="12"/>
  <c r="D29" i="12"/>
  <c r="D81" i="12"/>
  <c r="D22" i="12"/>
  <c r="D139" i="12"/>
  <c r="D110" i="12"/>
  <c r="D51" i="12"/>
  <c r="D21" i="12"/>
  <c r="D132" i="12"/>
  <c r="D50" i="12"/>
  <c r="D102" i="12"/>
  <c r="D72" i="12"/>
  <c r="D42" i="12"/>
  <c r="D130" i="12"/>
  <c r="D41" i="12"/>
  <c r="D129" i="12"/>
  <c r="D11" i="12"/>
  <c r="D109" i="12"/>
  <c r="D19" i="12"/>
  <c r="D71" i="12"/>
  <c r="D70" i="12"/>
  <c r="D40" i="12"/>
  <c r="D10" i="12"/>
  <c r="D61" i="12"/>
  <c r="D80" i="12"/>
  <c r="D20" i="12"/>
  <c r="D49" i="12"/>
  <c r="D101" i="12"/>
  <c r="D14" i="12"/>
  <c r="D12" i="12"/>
  <c r="D92" i="12"/>
  <c r="D79" i="12"/>
  <c r="D62" i="12"/>
  <c r="D9" i="12"/>
  <c r="D134" i="12"/>
  <c r="D99" i="12"/>
  <c r="D39" i="12"/>
  <c r="D32" i="12"/>
  <c r="D131" i="12"/>
  <c r="D100" i="12"/>
  <c r="D122" i="12"/>
  <c r="D69" i="12"/>
  <c r="D121" i="12"/>
  <c r="D120" i="12"/>
  <c r="D91" i="12"/>
  <c r="D2" i="12"/>
  <c r="C149" i="12"/>
  <c r="C138" i="12"/>
  <c r="C128" i="12"/>
  <c r="C118" i="12"/>
  <c r="C108" i="12"/>
  <c r="C98" i="12"/>
  <c r="C88" i="12"/>
  <c r="C78" i="12"/>
  <c r="C68" i="12"/>
  <c r="C58" i="12"/>
  <c r="C48" i="12"/>
  <c r="C38" i="12"/>
  <c r="C18" i="12"/>
  <c r="C8" i="12"/>
  <c r="C148" i="12"/>
  <c r="C137" i="12"/>
  <c r="C127" i="12"/>
  <c r="C117" i="12"/>
  <c r="C107" i="12"/>
  <c r="C97" i="12"/>
  <c r="C87" i="12"/>
  <c r="C77" i="12"/>
  <c r="C67" i="12"/>
  <c r="C57" i="12"/>
  <c r="C47" i="12"/>
  <c r="C37" i="12"/>
  <c r="C27" i="12"/>
  <c r="C17" i="12"/>
  <c r="C7" i="12"/>
  <c r="C136" i="12"/>
  <c r="C126" i="12"/>
  <c r="C116" i="12"/>
  <c r="C106" i="12"/>
  <c r="C96" i="12"/>
  <c r="C86" i="12"/>
  <c r="C76" i="12"/>
  <c r="C66" i="12"/>
  <c r="C56" i="12"/>
  <c r="C46" i="12"/>
  <c r="C36" i="12"/>
  <c r="C26" i="12"/>
  <c r="C16" i="12"/>
  <c r="C6" i="12"/>
  <c r="C145" i="12"/>
  <c r="C115" i="12"/>
  <c r="C105" i="12"/>
  <c r="C95" i="12"/>
  <c r="C85" i="12"/>
  <c r="C75" i="12"/>
  <c r="C65" i="12"/>
  <c r="C55" i="12"/>
  <c r="C45" i="12"/>
  <c r="C35" i="12"/>
  <c r="C25" i="12"/>
  <c r="C15" i="12"/>
  <c r="C5" i="12"/>
  <c r="C28" i="12"/>
  <c r="C135" i="12"/>
  <c r="C147" i="12"/>
  <c r="C125" i="12"/>
  <c r="C143" i="12"/>
  <c r="C133" i="12"/>
  <c r="C144" i="12"/>
  <c r="C84" i="12"/>
  <c r="C69" i="12"/>
  <c r="C50" i="12"/>
  <c r="C31" i="12"/>
  <c r="C12" i="12"/>
  <c r="C122" i="12"/>
  <c r="C102" i="12"/>
  <c r="C83" i="12"/>
  <c r="C142" i="12"/>
  <c r="C64" i="12"/>
  <c r="C49" i="12"/>
  <c r="C30" i="12"/>
  <c r="C11" i="12"/>
  <c r="C121" i="12"/>
  <c r="C101" i="12"/>
  <c r="C82" i="12"/>
  <c r="C63" i="12"/>
  <c r="C141" i="12"/>
  <c r="C44" i="12"/>
  <c r="C29" i="12"/>
  <c r="C10" i="12"/>
  <c r="C120" i="12"/>
  <c r="C100" i="12"/>
  <c r="C81" i="12"/>
  <c r="C62" i="12"/>
  <c r="C43" i="12"/>
  <c r="C140" i="12"/>
  <c r="C24" i="12"/>
  <c r="C9" i="12"/>
  <c r="C119" i="12"/>
  <c r="C99" i="12"/>
  <c r="C80" i="12"/>
  <c r="C61" i="12"/>
  <c r="C42" i="12"/>
  <c r="C23" i="12"/>
  <c r="C139" i="12"/>
  <c r="C114" i="12"/>
  <c r="C4" i="12"/>
  <c r="C134" i="12"/>
  <c r="C113" i="12"/>
  <c r="C79" i="12"/>
  <c r="C60" i="12"/>
  <c r="C41" i="12"/>
  <c r="C22" i="12"/>
  <c r="C3" i="12"/>
  <c r="C93" i="12"/>
  <c r="C132" i="12"/>
  <c r="C74" i="12"/>
  <c r="C59" i="12"/>
  <c r="C40" i="12"/>
  <c r="C21" i="12"/>
  <c r="C92" i="12"/>
  <c r="C73" i="12"/>
  <c r="C131" i="12"/>
  <c r="C54" i="12"/>
  <c r="C20" i="12"/>
  <c r="C91" i="12"/>
  <c r="C53" i="12"/>
  <c r="C110" i="12"/>
  <c r="C34" i="12"/>
  <c r="C90" i="12"/>
  <c r="C124" i="12"/>
  <c r="C51" i="12"/>
  <c r="C123" i="12"/>
  <c r="C94" i="12"/>
  <c r="C33" i="12"/>
  <c r="C70" i="12"/>
  <c r="C112" i="12"/>
  <c r="C39" i="12"/>
  <c r="C72" i="12"/>
  <c r="C130" i="12"/>
  <c r="C71" i="12"/>
  <c r="C109" i="12"/>
  <c r="C14" i="12"/>
  <c r="C89" i="12"/>
  <c r="C32" i="12"/>
  <c r="C103" i="12"/>
  <c r="C111" i="12"/>
  <c r="C19" i="12"/>
  <c r="C52" i="12"/>
  <c r="C129" i="12"/>
  <c r="C104" i="12"/>
  <c r="C13" i="12"/>
  <c r="C2" i="12"/>
  <c r="F23" i="17"/>
  <c r="F13" i="17"/>
  <c r="G13" i="17" s="1"/>
  <c r="F3" i="17"/>
  <c r="F22" i="17"/>
  <c r="F12" i="17"/>
  <c r="F11" i="17"/>
  <c r="F10" i="17"/>
  <c r="F19" i="17"/>
  <c r="F9" i="17"/>
  <c r="F18" i="17"/>
  <c r="F8" i="17"/>
  <c r="F17" i="17"/>
  <c r="F7" i="17"/>
  <c r="F16" i="17"/>
  <c r="F6" i="17"/>
  <c r="G6" i="17" s="1"/>
  <c r="F15" i="17"/>
  <c r="F5" i="17"/>
  <c r="F14" i="17"/>
  <c r="F4" i="17"/>
  <c r="F21" i="17"/>
  <c r="F20" i="17"/>
  <c r="F2" i="17"/>
  <c r="G13" i="11"/>
  <c r="G22" i="11"/>
  <c r="G21" i="11"/>
  <c r="G20" i="11"/>
  <c r="G19" i="11"/>
  <c r="G8" i="11"/>
  <c r="G7" i="11"/>
  <c r="G16" i="11"/>
  <c r="G5" i="11"/>
  <c r="G4" i="11"/>
  <c r="G23" i="11"/>
  <c r="G3" i="11"/>
  <c r="G12" i="11"/>
  <c r="G11" i="11"/>
  <c r="G10" i="11"/>
  <c r="G9" i="11"/>
  <c r="G18" i="11"/>
  <c r="G17" i="11"/>
  <c r="G6" i="11"/>
  <c r="G15" i="11"/>
  <c r="G14" i="11"/>
  <c r="G2" i="11"/>
  <c r="F13" i="11"/>
  <c r="F9" i="11"/>
  <c r="F17" i="11"/>
  <c r="F7" i="11"/>
  <c r="F16" i="11"/>
  <c r="F15" i="11"/>
  <c r="F14" i="11"/>
  <c r="F12" i="11"/>
  <c r="E3" i="8"/>
  <c r="E2" i="8"/>
  <c r="G2" i="4"/>
  <c r="H2" i="4"/>
  <c r="H5" i="4"/>
  <c r="H4" i="4"/>
  <c r="H17" i="4"/>
  <c r="H6" i="4"/>
  <c r="H3" i="4"/>
  <c r="G17" i="4"/>
  <c r="G5" i="4"/>
  <c r="G4" i="4"/>
  <c r="G3" i="4"/>
  <c r="G6" i="4"/>
  <c r="C2" i="10"/>
  <c r="C3" i="8"/>
  <c r="C2" i="8"/>
  <c r="C14" i="6"/>
  <c r="C4" i="6"/>
  <c r="C13" i="6"/>
  <c r="C3" i="6"/>
  <c r="C12" i="6"/>
  <c r="C11" i="6"/>
  <c r="C10" i="6"/>
  <c r="C9" i="6"/>
  <c r="C8" i="6"/>
  <c r="C7" i="6"/>
  <c r="C6" i="6"/>
  <c r="C5" i="6"/>
  <c r="C2" i="6"/>
  <c r="I4" i="6"/>
  <c r="I7" i="6"/>
  <c r="I14" i="6"/>
  <c r="I8" i="6"/>
  <c r="I6" i="6"/>
  <c r="I5" i="6"/>
  <c r="I3" i="6"/>
  <c r="I12" i="6"/>
  <c r="I11" i="6"/>
  <c r="I9" i="6"/>
  <c r="H2" i="22"/>
  <c r="K2" i="22"/>
  <c r="F2" i="22"/>
  <c r="C2" i="22"/>
  <c r="C38" i="2"/>
  <c r="C28" i="2"/>
  <c r="C18" i="2"/>
  <c r="C8" i="2"/>
  <c r="C37" i="2"/>
  <c r="C27" i="2"/>
  <c r="C17" i="2"/>
  <c r="C7" i="2"/>
  <c r="C36" i="2"/>
  <c r="C26" i="2"/>
  <c r="C16" i="2"/>
  <c r="C6" i="2"/>
  <c r="C35" i="2"/>
  <c r="C25" i="2"/>
  <c r="C15" i="2"/>
  <c r="C5" i="2"/>
  <c r="C34" i="2"/>
  <c r="C24" i="2"/>
  <c r="C14" i="2"/>
  <c r="C4" i="2"/>
  <c r="C33" i="2"/>
  <c r="C23" i="2"/>
  <c r="C13" i="2"/>
  <c r="C32" i="2"/>
  <c r="C22" i="2"/>
  <c r="C12" i="2"/>
  <c r="C31" i="2"/>
  <c r="C21" i="2"/>
  <c r="C11" i="2"/>
  <c r="C30" i="2"/>
  <c r="C20" i="2"/>
  <c r="C10" i="2"/>
  <c r="C29" i="2"/>
  <c r="C19" i="2"/>
  <c r="C9" i="2"/>
  <c r="C39" i="27"/>
  <c r="C35" i="27"/>
  <c r="C29" i="27"/>
  <c r="C23" i="27"/>
  <c r="C13" i="27"/>
  <c r="C7" i="27"/>
  <c r="C38" i="27"/>
  <c r="C34" i="27"/>
  <c r="C28" i="27"/>
  <c r="C22" i="27"/>
  <c r="C12" i="27"/>
  <c r="C6" i="27"/>
  <c r="C33" i="27"/>
  <c r="C27" i="27"/>
  <c r="C21" i="27"/>
  <c r="C11" i="27"/>
  <c r="C5" i="27"/>
  <c r="C32" i="27"/>
  <c r="C26" i="27"/>
  <c r="C20" i="27"/>
  <c r="C10" i="27"/>
  <c r="C4" i="27"/>
  <c r="C3" i="27"/>
  <c r="C9" i="27"/>
  <c r="C8" i="27"/>
  <c r="C37" i="27"/>
  <c r="C31" i="27"/>
  <c r="C25" i="27"/>
  <c r="C15" i="27"/>
  <c r="C36" i="27"/>
  <c r="C30" i="27"/>
  <c r="C24" i="27"/>
  <c r="C14" i="27"/>
  <c r="C2" i="27"/>
  <c r="D19" i="17"/>
  <c r="D9" i="17"/>
  <c r="D18" i="17"/>
  <c r="D8" i="17"/>
  <c r="D17" i="17"/>
  <c r="D7" i="17"/>
  <c r="D16" i="17"/>
  <c r="D6" i="17"/>
  <c r="D15" i="17"/>
  <c r="D5" i="17"/>
  <c r="D14" i="17"/>
  <c r="D4" i="17"/>
  <c r="D23" i="17"/>
  <c r="D13" i="17"/>
  <c r="D3" i="17"/>
  <c r="D22" i="17"/>
  <c r="D12" i="17"/>
  <c r="D21" i="17"/>
  <c r="D11" i="17"/>
  <c r="D20" i="17"/>
  <c r="D10" i="17"/>
  <c r="D2" i="17"/>
  <c r="C23" i="17"/>
  <c r="C13" i="17"/>
  <c r="C3" i="17"/>
  <c r="C22" i="17"/>
  <c r="C12" i="17"/>
  <c r="C21" i="17"/>
  <c r="C11" i="17"/>
  <c r="G11" i="17" s="1"/>
  <c r="C5" i="17"/>
  <c r="C14" i="17"/>
  <c r="C20" i="17"/>
  <c r="G20" i="17" s="1"/>
  <c r="C10" i="17"/>
  <c r="C19" i="17"/>
  <c r="C9" i="17"/>
  <c r="G9" i="17" s="1"/>
  <c r="C18" i="17"/>
  <c r="C8" i="17"/>
  <c r="C17" i="17"/>
  <c r="C7" i="17"/>
  <c r="C16" i="17"/>
  <c r="C6" i="17"/>
  <c r="C15" i="17"/>
  <c r="G15" i="17" s="1"/>
  <c r="C4" i="17"/>
  <c r="C2" i="17"/>
  <c r="F2" i="10"/>
  <c r="E2" i="10"/>
  <c r="G149" i="12"/>
  <c r="G138" i="12"/>
  <c r="G148" i="12"/>
  <c r="G137" i="12"/>
  <c r="G127" i="12"/>
  <c r="G117" i="12"/>
  <c r="G107" i="12"/>
  <c r="G97" i="12"/>
  <c r="G87" i="12"/>
  <c r="G77" i="12"/>
  <c r="G67" i="12"/>
  <c r="G57" i="12"/>
  <c r="G47" i="12"/>
  <c r="G37" i="12"/>
  <c r="G27" i="12"/>
  <c r="G17" i="12"/>
  <c r="G7" i="12"/>
  <c r="G147" i="12"/>
  <c r="G136" i="12"/>
  <c r="G126" i="12"/>
  <c r="G116" i="12"/>
  <c r="G106" i="12"/>
  <c r="G96" i="12"/>
  <c r="G86" i="12"/>
  <c r="G76" i="12"/>
  <c r="G66" i="12"/>
  <c r="G56" i="12"/>
  <c r="G46" i="12"/>
  <c r="G36" i="12"/>
  <c r="G26" i="12"/>
  <c r="G16" i="12"/>
  <c r="G6" i="12"/>
  <c r="G135" i="12"/>
  <c r="G125" i="12"/>
  <c r="G115" i="12"/>
  <c r="G95" i="12"/>
  <c r="G75" i="12"/>
  <c r="G65" i="12"/>
  <c r="G55" i="12"/>
  <c r="G45" i="12"/>
  <c r="G35" i="12"/>
  <c r="G25" i="12"/>
  <c r="G15" i="12"/>
  <c r="G5" i="12"/>
  <c r="G143" i="12"/>
  <c r="G113" i="12"/>
  <c r="G73" i="12"/>
  <c r="G85" i="12"/>
  <c r="G63" i="12"/>
  <c r="G105" i="12"/>
  <c r="G43" i="12"/>
  <c r="G145" i="12"/>
  <c r="G123" i="12"/>
  <c r="G83" i="12"/>
  <c r="G23" i="12"/>
  <c r="G144" i="12"/>
  <c r="G134" i="12"/>
  <c r="G124" i="12"/>
  <c r="G114" i="12"/>
  <c r="G104" i="12"/>
  <c r="G94" i="12"/>
  <c r="G84" i="12"/>
  <c r="G74" i="12"/>
  <c r="G64" i="12"/>
  <c r="G54" i="12"/>
  <c r="G44" i="12"/>
  <c r="G34" i="12"/>
  <c r="G24" i="12"/>
  <c r="G14" i="12"/>
  <c r="G4" i="12"/>
  <c r="G133" i="12"/>
  <c r="G103" i="12"/>
  <c r="G93" i="12"/>
  <c r="G53" i="12"/>
  <c r="G121" i="12"/>
  <c r="G100" i="12"/>
  <c r="G79" i="12"/>
  <c r="G32" i="12"/>
  <c r="G98" i="12"/>
  <c r="G72" i="12"/>
  <c r="G10" i="12"/>
  <c r="G30" i="12"/>
  <c r="G140" i="12"/>
  <c r="G50" i="12"/>
  <c r="G29" i="12"/>
  <c r="G91" i="12"/>
  <c r="G28" i="12"/>
  <c r="G90" i="12"/>
  <c r="G22" i="12"/>
  <c r="G110" i="12"/>
  <c r="G88" i="12"/>
  <c r="G109" i="12"/>
  <c r="G82" i="12"/>
  <c r="G81" i="12"/>
  <c r="G38" i="12"/>
  <c r="G101" i="12"/>
  <c r="G12" i="12"/>
  <c r="G142" i="12"/>
  <c r="G78" i="12"/>
  <c r="G52" i="12"/>
  <c r="G11" i="12"/>
  <c r="G141" i="12"/>
  <c r="G118" i="12"/>
  <c r="G139" i="12"/>
  <c r="G49" i="12"/>
  <c r="G111" i="12"/>
  <c r="G42" i="12"/>
  <c r="G89" i="12"/>
  <c r="G20" i="12"/>
  <c r="G108" i="12"/>
  <c r="G40" i="12"/>
  <c r="G102" i="12"/>
  <c r="G18" i="12"/>
  <c r="G80" i="12"/>
  <c r="G120" i="12"/>
  <c r="G99" i="12"/>
  <c r="G31" i="12"/>
  <c r="G51" i="12"/>
  <c r="G119" i="12"/>
  <c r="G92" i="12"/>
  <c r="G71" i="12"/>
  <c r="G9" i="12"/>
  <c r="G8" i="12"/>
  <c r="G112" i="12"/>
  <c r="G70" i="12"/>
  <c r="G3" i="12"/>
  <c r="G48" i="12"/>
  <c r="G132" i="12"/>
  <c r="G68" i="12"/>
  <c r="G131" i="12"/>
  <c r="G21" i="12"/>
  <c r="G41" i="12"/>
  <c r="G130" i="12"/>
  <c r="G61" i="12"/>
  <c r="G129" i="12"/>
  <c r="G19" i="12"/>
  <c r="G60" i="12"/>
  <c r="G122" i="12"/>
  <c r="G33" i="12"/>
  <c r="G58" i="12"/>
  <c r="G69" i="12"/>
  <c r="G39" i="12"/>
  <c r="G13" i="12"/>
  <c r="G59" i="12"/>
  <c r="G62" i="12"/>
  <c r="G128" i="12"/>
  <c r="G2" i="12"/>
  <c r="H2" i="9"/>
  <c r="G23" i="17"/>
  <c r="E25" i="4"/>
  <c r="E24" i="4"/>
  <c r="E23" i="4"/>
  <c r="G7" i="17"/>
  <c r="G17" i="17"/>
  <c r="G16" i="17"/>
  <c r="E110" i="12"/>
  <c r="E111" i="12" s="1"/>
  <c r="E112" i="12" s="1"/>
  <c r="E124" i="12"/>
  <c r="E125" i="12" s="1"/>
  <c r="E126" i="12" s="1"/>
  <c r="E127" i="12" s="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G2" i="10"/>
  <c r="D25" i="4" a="1"/>
  <c r="D6" i="4" a="1"/>
  <c r="D18" i="4" a="1"/>
  <c r="D16" i="4" a="1"/>
  <c r="D15" i="4" a="1"/>
  <c r="D14" i="4" a="1"/>
  <c r="D13" i="4" a="1"/>
  <c r="J2" i="22" a="1"/>
  <c r="D17" i="4" a="1"/>
  <c r="D21" i="4" a="1"/>
  <c r="D11" i="4" a="1"/>
  <c r="D20" i="4" a="1"/>
  <c r="D10" i="4" a="1"/>
  <c r="D19" i="4" a="1"/>
  <c r="D9" i="4" a="1"/>
  <c r="D8" i="4" a="1"/>
  <c r="D24" i="4" a="1"/>
  <c r="D23" i="4" a="1"/>
  <c r="D22" i="4" a="1"/>
  <c r="D12" i="4" a="1"/>
  <c r="D4" i="4" a="1"/>
  <c r="D3" i="4" a="1"/>
  <c r="D5" i="4" a="1"/>
  <c r="E2" i="22" a="1"/>
  <c r="I2" i="22" a="1"/>
  <c r="D2" i="4" a="1"/>
  <c r="D2" i="22" a="1"/>
  <c r="D7" i="4" a="1"/>
  <c r="I88" i="12" a="1"/>
  <c r="I120" i="12" a="1"/>
  <c r="J131" i="12" a="1"/>
  <c r="J31" i="12" a="1"/>
  <c r="J36" i="12" a="1"/>
  <c r="I52" i="12" a="1"/>
  <c r="I133" i="12" a="1"/>
  <c r="J72" i="12" a="1"/>
  <c r="I38" i="12" a="1"/>
  <c r="J137" i="12" a="1"/>
  <c r="J109" i="12" a="1"/>
  <c r="I25" i="12" a="1"/>
  <c r="I121" i="12" a="1"/>
  <c r="I78" i="12" a="1"/>
  <c r="I33" i="12" a="1"/>
  <c r="J38" i="12" a="1"/>
  <c r="J138" i="12" a="1"/>
  <c r="J120" i="12" a="1"/>
  <c r="J13" i="12" a="1"/>
  <c r="I64" i="12" a="1"/>
  <c r="I34" i="12" a="1"/>
  <c r="J89" i="12" a="1"/>
  <c r="I18" i="12" a="1"/>
  <c r="J107" i="12" a="1"/>
  <c r="J19" i="12" a="1"/>
  <c r="I105" i="12" a="1"/>
  <c r="I22" i="12" a="1"/>
  <c r="I68" i="12" a="1"/>
  <c r="I113" i="12" a="1"/>
  <c r="J18" i="12" a="1"/>
  <c r="J128" i="12" a="1"/>
  <c r="J86" i="12" a="1"/>
  <c r="J142" i="12" a="1"/>
  <c r="I53" i="12" a="1"/>
  <c r="I43" i="12" a="1"/>
  <c r="J79" i="12" a="1"/>
  <c r="I17" i="12" a="1"/>
  <c r="J47" i="12" a="1"/>
  <c r="J9" i="12" a="1"/>
  <c r="I130" i="12" a="1"/>
  <c r="I19" i="12" a="1"/>
  <c r="I48" i="12" a="1"/>
  <c r="I63" i="12" a="1"/>
  <c r="J17" i="12" a="1"/>
  <c r="J118" i="12" a="1"/>
  <c r="J65" i="12" a="1"/>
  <c r="J149" i="12" a="1"/>
  <c r="J143" i="12" a="1"/>
  <c r="I3" i="12" a="1"/>
  <c r="I51" i="12" a="1"/>
  <c r="I40" i="12" a="1"/>
  <c r="J27" i="12" a="1"/>
  <c r="I45" i="12" a="1"/>
  <c r="I112" i="12" a="1"/>
  <c r="I143" i="12" a="1"/>
  <c r="I28" i="12" a="1"/>
  <c r="I129" i="12" a="1"/>
  <c r="J100" i="12" a="1"/>
  <c r="I134" i="12" a="1"/>
  <c r="J88" i="12" a="1"/>
  <c r="J93" i="12" a="1"/>
  <c r="J46" i="12" a="1"/>
  <c r="J135" i="12" a="1"/>
  <c r="I71" i="12" a="1"/>
  <c r="I100" i="12" a="1"/>
  <c r="J7" i="12" a="1"/>
  <c r="I60" i="12" a="1"/>
  <c r="I149" i="12" a="1"/>
  <c r="I117" i="12" a="1"/>
  <c r="I93" i="12" a="1"/>
  <c r="J40" i="12" a="1"/>
  <c r="J35" i="12" a="1"/>
  <c r="J78" i="12" a="1"/>
  <c r="J122" i="12" a="1"/>
  <c r="J145" i="12" a="1"/>
  <c r="J37" i="12" a="1"/>
  <c r="I70" i="12" a="1"/>
  <c r="J81" i="12" a="1"/>
  <c r="I39" i="12" a="1"/>
  <c r="J25" i="12" a="1"/>
  <c r="I109" i="12" a="1"/>
  <c r="I148" i="12" a="1"/>
  <c r="I87" i="12" a="1"/>
  <c r="I61" i="12" a="1"/>
  <c r="J101" i="12" a="1"/>
  <c r="J92" i="12" a="1"/>
  <c r="J68" i="12" a="1"/>
  <c r="J91" i="12" a="1"/>
  <c r="J148" i="12" a="1"/>
  <c r="J136" i="12" a="1"/>
  <c r="I82" i="12" a="1"/>
  <c r="J98" i="12" a="1"/>
  <c r="I102" i="12" a="1"/>
  <c r="J11" i="12" a="1"/>
  <c r="I11" i="12" a="1"/>
  <c r="I46" i="12" a="1"/>
  <c r="I77" i="12" a="1"/>
  <c r="I123" i="12" a="1"/>
  <c r="J102" i="12" a="1"/>
  <c r="J50" i="12" a="1"/>
  <c r="J48" i="12" a="1"/>
  <c r="J90" i="12" a="1"/>
  <c r="J32" i="12" a="1"/>
  <c r="J30" i="12" a="1"/>
  <c r="I99" i="12" a="1"/>
  <c r="J95" i="12" a="1"/>
  <c r="I101" i="12" a="1"/>
  <c r="J103" i="12" a="1"/>
  <c r="J4" i="12" a="1"/>
  <c r="I103" i="12" a="1"/>
  <c r="I36" i="12" a="1"/>
  <c r="I86" i="12" a="1"/>
  <c r="I91" i="12" a="1"/>
  <c r="J39" i="12" a="1"/>
  <c r="J119" i="12" a="1"/>
  <c r="J28" i="12" a="1"/>
  <c r="J132" i="12" a="1"/>
  <c r="J147" i="12" a="1"/>
  <c r="I4" i="12" a="1"/>
  <c r="J66" i="12" a="1"/>
  <c r="J82" i="12" a="1"/>
  <c r="J127" i="12" a="1"/>
  <c r="J112" i="12" a="1"/>
  <c r="I108" i="12" a="1"/>
  <c r="I111" i="12" a="1"/>
  <c r="I147" i="12" a="1"/>
  <c r="I76" i="12" a="1"/>
  <c r="I122" i="12" a="1"/>
  <c r="I37" i="12" a="1"/>
  <c r="I67" i="12" a="1"/>
  <c r="J117" i="12" a="1"/>
  <c r="J61" i="12" a="1"/>
  <c r="J14" i="12" a="1"/>
  <c r="J41" i="12" a="1"/>
  <c r="J34" i="12" a="1"/>
  <c r="J6" i="12" a="1"/>
  <c r="J121" i="12" a="1"/>
  <c r="I8" i="12" a="1"/>
  <c r="I12" i="12" a="1"/>
  <c r="I145" i="12" a="1"/>
  <c r="I85" i="12" a="1"/>
  <c r="I54" i="12" a="1"/>
  <c r="I136" i="12" a="1"/>
  <c r="I57" i="12" a="1"/>
  <c r="J87" i="12" a="1"/>
  <c r="J140" i="12" a="1"/>
  <c r="J59" i="12" a="1"/>
  <c r="J16" i="12" a="1"/>
  <c r="I41" i="12" a="1"/>
  <c r="J3" i="12" a="1"/>
  <c r="J105" i="12" a="1"/>
  <c r="J130" i="12" a="1"/>
  <c r="I137" i="12" a="1"/>
  <c r="I23" i="12" a="1"/>
  <c r="I14" i="12" a="1"/>
  <c r="I65" i="12" a="1"/>
  <c r="I132" i="12" a="1"/>
  <c r="I135" i="12" a="1"/>
  <c r="I126" i="12" a="1"/>
  <c r="J77" i="12" a="1"/>
  <c r="J80" i="12" a="1"/>
  <c r="J2" i="12" a="1"/>
  <c r="I58" i="12" a="1"/>
  <c r="J125" i="12" a="1"/>
  <c r="J64" i="12" a="1"/>
  <c r="J71" i="12" a="1"/>
  <c r="J104" i="12" a="1"/>
  <c r="J116" i="12" a="1"/>
  <c r="I127" i="12" a="1"/>
  <c r="I20" i="12" a="1"/>
  <c r="I32" i="12" a="1"/>
  <c r="I55" i="12" a="1"/>
  <c r="I90" i="12" a="1"/>
  <c r="I30" i="12" a="1"/>
  <c r="I73" i="12" a="1"/>
  <c r="J94" i="12" a="1"/>
  <c r="J139" i="12" a="1"/>
  <c r="J45" i="12" a="1"/>
  <c r="I97" i="12" a="1"/>
  <c r="J51" i="12" a="1"/>
  <c r="J83" i="12" a="1"/>
  <c r="J96" i="12" a="1"/>
  <c r="J24" i="12" a="1"/>
  <c r="J106" i="12" a="1"/>
  <c r="I107" i="12" a="1"/>
  <c r="I74" i="12" a="1"/>
  <c r="I13" i="12" a="1"/>
  <c r="I75" i="12" a="1"/>
  <c r="I139" i="12" a="1"/>
  <c r="I125" i="12" a="1"/>
  <c r="J76" i="12" a="1"/>
  <c r="J33" i="12" a="1"/>
  <c r="J129" i="12" a="1"/>
  <c r="I66" i="12" a="1"/>
  <c r="I115" i="12" a="1"/>
  <c r="I98" i="12" a="1"/>
  <c r="J53" i="12" a="1"/>
  <c r="J56" i="12" a="1"/>
  <c r="J23" i="12" a="1"/>
  <c r="J26" i="12" a="1"/>
  <c r="I47" i="12" a="1"/>
  <c r="I141" i="12" a="1"/>
  <c r="I59" i="12" a="1"/>
  <c r="I94" i="12" a="1"/>
  <c r="I69" i="12" a="1"/>
  <c r="J67" i="12" a="1"/>
  <c r="J85" i="12" a="1"/>
  <c r="J75" i="12" a="1"/>
  <c r="J69" i="12" a="1"/>
  <c r="J134" i="12" a="1"/>
  <c r="I144" i="12" a="1"/>
  <c r="I96" i="12" a="1"/>
  <c r="J52" i="12" a="1"/>
  <c r="J15" i="12" a="1"/>
  <c r="J22" i="12" a="1"/>
  <c r="J74" i="12" a="1"/>
  <c r="I27" i="12" a="1"/>
  <c r="I24" i="12" a="1"/>
  <c r="I142" i="12" a="1"/>
  <c r="I42" i="12" a="1"/>
  <c r="J57" i="12" a="1"/>
  <c r="J55" i="12" a="1"/>
  <c r="J114" i="12" a="1"/>
  <c r="J49" i="12" a="1"/>
  <c r="I16" i="12" a="1"/>
  <c r="I44" i="12" a="1"/>
  <c r="I56" i="12" a="1"/>
  <c r="J58" i="12" a="1"/>
  <c r="J133" i="12" a="1"/>
  <c r="J110" i="12" a="1"/>
  <c r="J12" i="12" a="1"/>
  <c r="I7" i="12" a="1"/>
  <c r="I9" i="12" a="1"/>
  <c r="I2" i="12" a="1"/>
  <c r="I62" i="12" a="1"/>
  <c r="I84" i="12" a="1"/>
  <c r="J124" i="12" a="1"/>
  <c r="J84" i="12" a="1"/>
  <c r="I35" i="12" a="1"/>
  <c r="I83" i="12" a="1"/>
  <c r="J43" i="12" a="1"/>
  <c r="I116" i="12" a="1"/>
  <c r="I31" i="12" a="1"/>
  <c r="J126" i="12" a="1"/>
  <c r="J123" i="12" a="1"/>
  <c r="I79" i="12" a="1"/>
  <c r="J144" i="12" a="1"/>
  <c r="J70" i="12" a="1"/>
  <c r="J141" i="12" a="1"/>
  <c r="I110" i="12" a="1"/>
  <c r="I128" i="12" a="1"/>
  <c r="I124" i="12" a="1"/>
  <c r="I114" i="12" a="1"/>
  <c r="I80" i="12" a="1"/>
  <c r="J73" i="12" a="1"/>
  <c r="I95" i="12" a="1"/>
  <c r="J97" i="12" a="1"/>
  <c r="J60" i="12" a="1"/>
  <c r="J111" i="12" a="1"/>
  <c r="I21" i="12" a="1"/>
  <c r="I138" i="12" a="1"/>
  <c r="I49" i="12" a="1"/>
  <c r="J54" i="12" a="1"/>
  <c r="I92" i="12" a="1"/>
  <c r="I15" i="12" a="1"/>
  <c r="J10" i="12" a="1"/>
  <c r="I106" i="12" a="1"/>
  <c r="J20" i="12" a="1"/>
  <c r="I26" i="12" a="1"/>
  <c r="I6" i="12" a="1"/>
  <c r="J113" i="12" a="1"/>
  <c r="I89" i="12" a="1"/>
  <c r="I104" i="12" a="1"/>
  <c r="J42" i="12" a="1"/>
  <c r="I72" i="12" a="1"/>
  <c r="I10" i="12" a="1"/>
  <c r="J63" i="12" a="1"/>
  <c r="J62" i="12" a="1"/>
  <c r="I119" i="12" a="1"/>
  <c r="I29" i="12" a="1"/>
  <c r="J5" i="12" a="1"/>
  <c r="I50" i="12" a="1"/>
  <c r="I81" i="12" a="1"/>
  <c r="J115" i="12" a="1"/>
  <c r="J44" i="12" a="1"/>
  <c r="I5" i="12" a="1"/>
  <c r="J99" i="12" a="1"/>
  <c r="I118" i="12" a="1"/>
  <c r="J29" i="12" a="1"/>
  <c r="I140" i="12" a="1"/>
  <c r="J108" i="12" a="1"/>
  <c r="I131" i="12" a="1"/>
  <c r="J8" i="12" a="1"/>
  <c r="J21" i="12" a="1"/>
  <c r="J5" i="12" l="1"/>
  <c r="D7" i="4"/>
  <c r="D2" i="22"/>
  <c r="I2" i="12"/>
  <c r="I142" i="12"/>
  <c r="I59" i="12"/>
  <c r="I13" i="12"/>
  <c r="I32" i="12"/>
  <c r="I14" i="12"/>
  <c r="I145" i="12"/>
  <c r="I147" i="12"/>
  <c r="I36" i="12"/>
  <c r="I46" i="12"/>
  <c r="I148" i="12"/>
  <c r="I149" i="12"/>
  <c r="I143" i="12"/>
  <c r="I19" i="12"/>
  <c r="I22" i="12"/>
  <c r="I121" i="12"/>
  <c r="I10" i="12"/>
  <c r="I104" i="12"/>
  <c r="I110" i="12"/>
  <c r="I21" i="12"/>
  <c r="I9" i="12"/>
  <c r="I24" i="12"/>
  <c r="I141" i="12"/>
  <c r="I74" i="12"/>
  <c r="I20" i="12"/>
  <c r="I23" i="12"/>
  <c r="I12" i="12"/>
  <c r="I111" i="12"/>
  <c r="I103" i="12"/>
  <c r="I11" i="12"/>
  <c r="I109" i="12"/>
  <c r="I60" i="12"/>
  <c r="I112" i="12"/>
  <c r="I130" i="12"/>
  <c r="I105" i="12"/>
  <c r="I25" i="12"/>
  <c r="I6" i="12"/>
  <c r="I26" i="12"/>
  <c r="I106" i="12"/>
  <c r="I116" i="12"/>
  <c r="I7" i="12"/>
  <c r="I27" i="12"/>
  <c r="I47" i="12"/>
  <c r="I107" i="12"/>
  <c r="I127" i="12"/>
  <c r="I137" i="12"/>
  <c r="I8" i="12"/>
  <c r="I108" i="12"/>
  <c r="J4" i="12"/>
  <c r="D2" i="4"/>
  <c r="I2" i="22"/>
  <c r="E2" i="22"/>
  <c r="I45" i="12"/>
  <c r="J9" i="12"/>
  <c r="J19" i="12"/>
  <c r="J109" i="12"/>
  <c r="J20" i="12"/>
  <c r="J21" i="12"/>
  <c r="J141" i="12"/>
  <c r="J111" i="12"/>
  <c r="J12" i="12"/>
  <c r="J74" i="12"/>
  <c r="J26" i="12"/>
  <c r="J106" i="12"/>
  <c r="J116" i="12"/>
  <c r="J130" i="12"/>
  <c r="J121" i="12"/>
  <c r="J112" i="12"/>
  <c r="J103" i="12"/>
  <c r="J11" i="12"/>
  <c r="J25" i="12"/>
  <c r="J7" i="12"/>
  <c r="J27" i="12"/>
  <c r="J47" i="12"/>
  <c r="J107" i="12"/>
  <c r="J137" i="12"/>
  <c r="J8" i="12"/>
  <c r="J108" i="12"/>
  <c r="J10" i="12"/>
  <c r="J60" i="12"/>
  <c r="J110" i="12"/>
  <c r="J22" i="12"/>
  <c r="J23" i="12"/>
  <c r="J24" i="12"/>
  <c r="J104" i="12"/>
  <c r="J105" i="12"/>
  <c r="J6" i="12"/>
  <c r="J127" i="12"/>
  <c r="I101" i="12"/>
  <c r="I102" i="12"/>
  <c r="I39" i="12"/>
  <c r="I100" i="12"/>
  <c r="I40" i="12"/>
  <c r="I17" i="12"/>
  <c r="I18" i="12"/>
  <c r="I38" i="12"/>
  <c r="J29" i="12"/>
  <c r="J99" i="12"/>
  <c r="J70" i="12"/>
  <c r="J43" i="12"/>
  <c r="J133" i="12"/>
  <c r="J15" i="12"/>
  <c r="J56" i="12"/>
  <c r="J96" i="12"/>
  <c r="J71" i="12"/>
  <c r="J3" i="12"/>
  <c r="J34" i="12"/>
  <c r="J82" i="12"/>
  <c r="J95" i="12"/>
  <c r="J98" i="12"/>
  <c r="J81" i="12"/>
  <c r="D5" i="4"/>
  <c r="I51" i="12"/>
  <c r="J79" i="12"/>
  <c r="J89" i="12"/>
  <c r="J72" i="12"/>
  <c r="J44" i="12"/>
  <c r="J115" i="12"/>
  <c r="J144" i="12"/>
  <c r="J97" i="12"/>
  <c r="J58" i="12"/>
  <c r="J52" i="12"/>
  <c r="J53" i="12"/>
  <c r="J83" i="12"/>
  <c r="J64" i="12"/>
  <c r="I41" i="12"/>
  <c r="J41" i="12"/>
  <c r="J66" i="12"/>
  <c r="I99" i="12"/>
  <c r="I82" i="12"/>
  <c r="I70" i="12"/>
  <c r="I71" i="12"/>
  <c r="I3" i="12"/>
  <c r="I43" i="12"/>
  <c r="I34" i="12"/>
  <c r="I133" i="12"/>
  <c r="I81" i="12"/>
  <c r="I29" i="12"/>
  <c r="I15" i="12"/>
  <c r="I95" i="12"/>
  <c r="I56" i="12"/>
  <c r="I96" i="12"/>
  <c r="I98" i="12"/>
  <c r="J51" i="12"/>
  <c r="J125" i="12"/>
  <c r="D3" i="4"/>
  <c r="D4" i="4"/>
  <c r="I4" i="12"/>
  <c r="J30" i="12"/>
  <c r="J136" i="12"/>
  <c r="J37" i="12"/>
  <c r="J135" i="12"/>
  <c r="J143" i="12"/>
  <c r="I53" i="12"/>
  <c r="I64" i="12"/>
  <c r="I52" i="12"/>
  <c r="I72" i="12"/>
  <c r="I89" i="12"/>
  <c r="I79" i="12"/>
  <c r="I83" i="12"/>
  <c r="I44" i="12"/>
  <c r="I144" i="12"/>
  <c r="I115" i="12"/>
  <c r="I97" i="12"/>
  <c r="I58" i="12"/>
  <c r="J16" i="12"/>
  <c r="D12" i="4"/>
  <c r="D22" i="4"/>
  <c r="D23" i="4"/>
  <c r="D24" i="4"/>
  <c r="D8" i="4"/>
  <c r="D9" i="4"/>
  <c r="D19" i="4"/>
  <c r="D10" i="4"/>
  <c r="D20" i="4"/>
  <c r="D11" i="4"/>
  <c r="D21" i="4"/>
  <c r="I5" i="12"/>
  <c r="D17" i="4"/>
  <c r="J2" i="22"/>
  <c r="I16" i="12"/>
  <c r="J134" i="12"/>
  <c r="I66" i="12"/>
  <c r="J45" i="12"/>
  <c r="J2" i="12"/>
  <c r="J59" i="12"/>
  <c r="J14" i="12"/>
  <c r="J147" i="12"/>
  <c r="J32" i="12"/>
  <c r="J148" i="12"/>
  <c r="J145" i="12"/>
  <c r="J46" i="12"/>
  <c r="J149" i="12"/>
  <c r="J142" i="12"/>
  <c r="J13" i="12"/>
  <c r="J36" i="12"/>
  <c r="I50" i="12"/>
  <c r="I119" i="12"/>
  <c r="I92" i="12"/>
  <c r="I35" i="12"/>
  <c r="J49" i="12"/>
  <c r="J69" i="12"/>
  <c r="J129" i="12"/>
  <c r="J139" i="12"/>
  <c r="J80" i="12"/>
  <c r="J140" i="12"/>
  <c r="J61" i="12"/>
  <c r="J132" i="12"/>
  <c r="J90" i="12"/>
  <c r="J91" i="12"/>
  <c r="J122" i="12"/>
  <c r="J93" i="12"/>
  <c r="J65" i="12"/>
  <c r="J86" i="12"/>
  <c r="J120" i="12"/>
  <c r="J31" i="12"/>
  <c r="J62" i="12"/>
  <c r="J63" i="12"/>
  <c r="J123" i="12"/>
  <c r="J84" i="12"/>
  <c r="J114" i="12"/>
  <c r="J75" i="12"/>
  <c r="J33" i="12"/>
  <c r="J94" i="12"/>
  <c r="J77" i="12"/>
  <c r="J87" i="12"/>
  <c r="J117" i="12"/>
  <c r="J28" i="12"/>
  <c r="J48" i="12"/>
  <c r="J68" i="12"/>
  <c r="J78" i="12"/>
  <c r="J88" i="12"/>
  <c r="J118" i="12"/>
  <c r="J128" i="12"/>
  <c r="J138" i="12"/>
  <c r="J131" i="12"/>
  <c r="J42" i="12"/>
  <c r="J113" i="12"/>
  <c r="J54" i="12"/>
  <c r="J124" i="12"/>
  <c r="J55" i="12"/>
  <c r="J85" i="12"/>
  <c r="J76" i="12"/>
  <c r="I73" i="12"/>
  <c r="I126" i="12"/>
  <c r="I57" i="12"/>
  <c r="I67" i="12"/>
  <c r="J119" i="12"/>
  <c r="J50" i="12"/>
  <c r="J92" i="12"/>
  <c r="J35" i="12"/>
  <c r="I134" i="12"/>
  <c r="D13" i="4"/>
  <c r="D14" i="4"/>
  <c r="D15" i="4"/>
  <c r="D16" i="4"/>
  <c r="D18" i="4"/>
  <c r="D6" i="4"/>
  <c r="J126" i="12"/>
  <c r="J73" i="12"/>
  <c r="J57" i="12"/>
  <c r="J67" i="12"/>
  <c r="I125" i="12"/>
  <c r="I30" i="12"/>
  <c r="I135" i="12"/>
  <c r="I136" i="12"/>
  <c r="I37" i="12"/>
  <c r="J39" i="12"/>
  <c r="J102" i="12"/>
  <c r="J101" i="12"/>
  <c r="J40" i="12"/>
  <c r="J100" i="12"/>
  <c r="J17" i="12"/>
  <c r="J18" i="12"/>
  <c r="J38" i="12"/>
  <c r="D25" i="4"/>
  <c r="I131" i="12"/>
  <c r="I114" i="12"/>
  <c r="I49" i="12"/>
  <c r="I84" i="12"/>
  <c r="I42" i="12"/>
  <c r="I69" i="12"/>
  <c r="I139" i="12"/>
  <c r="I90" i="12"/>
  <c r="I132" i="12"/>
  <c r="I54" i="12"/>
  <c r="I122" i="12"/>
  <c r="I91" i="12"/>
  <c r="I123" i="12"/>
  <c r="I61" i="12"/>
  <c r="I93" i="12"/>
  <c r="I129" i="12"/>
  <c r="I63" i="12"/>
  <c r="I113" i="12"/>
  <c r="I33" i="12"/>
  <c r="I120" i="12"/>
  <c r="I140" i="12"/>
  <c r="I124" i="12"/>
  <c r="I31" i="12"/>
  <c r="I62" i="12"/>
  <c r="I80" i="12"/>
  <c r="I94" i="12"/>
  <c r="I75" i="12"/>
  <c r="I55" i="12"/>
  <c r="I65" i="12"/>
  <c r="I85" i="12"/>
  <c r="I76" i="12"/>
  <c r="I86" i="12"/>
  <c r="I77" i="12"/>
  <c r="I87" i="12"/>
  <c r="I117" i="12"/>
  <c r="I28" i="12"/>
  <c r="I48" i="12"/>
  <c r="I68" i="12"/>
  <c r="I78" i="12"/>
  <c r="I88" i="12"/>
  <c r="I118" i="12"/>
  <c r="I128" i="12"/>
  <c r="I138" i="12"/>
  <c r="F3" i="8"/>
  <c r="G14" i="17"/>
  <c r="G2" i="17"/>
  <c r="G22" i="17"/>
  <c r="G3" i="17"/>
  <c r="G18" i="17"/>
  <c r="G8" i="17"/>
  <c r="G12" i="17"/>
  <c r="F2" i="8"/>
  <c r="G4" i="17"/>
  <c r="G10" i="17"/>
  <c r="G5" i="17"/>
  <c r="G19" i="17"/>
  <c r="G21" i="17"/>
  <c r="H134" i="12" a="1"/>
  <c r="H31" i="12" a="1"/>
  <c r="H124" i="12" a="1"/>
  <c r="H70" i="12" a="1"/>
  <c r="H115" i="12" a="1"/>
  <c r="H145" i="12" a="1"/>
  <c r="H10" i="12" a="1"/>
  <c r="H110" i="12" a="1"/>
  <c r="H66" i="12" a="1"/>
  <c r="H122" i="12" a="1"/>
  <c r="H62" i="12" a="1"/>
  <c r="H133" i="12" a="1"/>
  <c r="H64" i="12" a="1"/>
  <c r="H32" i="12" a="1"/>
  <c r="H130" i="12" a="1"/>
  <c r="H103" i="12" a="1"/>
  <c r="H138" i="12" a="1"/>
  <c r="H90" i="12" a="1"/>
  <c r="H91" i="12" a="1"/>
  <c r="H81" i="12" a="1"/>
  <c r="H89" i="12" a="1"/>
  <c r="H13" i="12" a="1"/>
  <c r="H22" i="12" a="1"/>
  <c r="H16" i="12" a="1"/>
  <c r="H44" i="12" a="1"/>
  <c r="H14" i="12" a="1"/>
  <c r="H111" i="12" a="1"/>
  <c r="H88" i="12" a="1"/>
  <c r="H42" i="12" a="1"/>
  <c r="H43" i="12" a="1"/>
  <c r="H72" i="12" a="1"/>
  <c r="H142" i="12" a="1"/>
  <c r="H78" i="12" a="1"/>
  <c r="H55" i="12" a="1"/>
  <c r="H125" i="12" a="1"/>
  <c r="H29" i="12" a="1"/>
  <c r="H143" i="12" a="1"/>
  <c r="H59" i="12" a="1"/>
  <c r="H109" i="12" a="1"/>
  <c r="H68" i="12" a="1"/>
  <c r="H54" i="12" a="1"/>
  <c r="H45" i="12" a="1"/>
  <c r="H99" i="12" a="1"/>
  <c r="H5" i="12" a="1"/>
  <c r="H2" i="12" a="1"/>
  <c r="H9" i="12" a="1"/>
  <c r="H48" i="12" a="1"/>
  <c r="H113" i="12" a="1"/>
  <c r="H82" i="12" a="1"/>
  <c r="H38" i="12" a="1"/>
  <c r="H108" i="12" a="1"/>
  <c r="H104" i="12" a="1"/>
  <c r="H28" i="12" a="1"/>
  <c r="H69" i="12" a="1"/>
  <c r="H50" i="12" a="1"/>
  <c r="H95" i="12" a="1"/>
  <c r="H18" i="12" a="1"/>
  <c r="H12" i="12" a="1"/>
  <c r="H126" i="12" a="1"/>
  <c r="H61" i="12" a="1"/>
  <c r="H36" i="12" a="1"/>
  <c r="H21" i="12" a="1"/>
  <c r="H140" i="12" a="1"/>
  <c r="H56" i="12" a="1"/>
  <c r="H147" i="12" a="1"/>
  <c r="H118" i="12" a="1"/>
  <c r="H120" i="12" a="1"/>
  <c r="H85" i="12" a="1"/>
  <c r="H3" i="12" a="1"/>
  <c r="H132" i="12" a="1"/>
  <c r="H141" i="12" a="1"/>
  <c r="H35" i="12" a="1"/>
  <c r="H8" i="12" a="1"/>
  <c r="H96" i="12" a="1"/>
  <c r="H25" i="12" a="1"/>
  <c r="H117" i="12" a="1"/>
  <c r="H63" i="12" a="1"/>
  <c r="H119" i="12" a="1"/>
  <c r="H34" i="12" a="1"/>
  <c r="H17" i="12" a="1"/>
  <c r="H127" i="12" a="1"/>
  <c r="H24" i="12" a="1"/>
  <c r="H87" i="12" a="1"/>
  <c r="H93" i="12" a="1"/>
  <c r="H92" i="12" a="1"/>
  <c r="H15" i="12" a="1"/>
  <c r="H101" i="12" a="1"/>
  <c r="H107" i="12" a="1"/>
  <c r="H112" i="12" a="1"/>
  <c r="H77" i="12" a="1"/>
  <c r="H139" i="12" a="1"/>
  <c r="H51" i="12" a="1"/>
  <c r="H71" i="12" a="1"/>
  <c r="H40" i="12" a="1"/>
  <c r="H47" i="12" a="1"/>
  <c r="H20" i="12" a="1"/>
  <c r="H86" i="12" a="1"/>
  <c r="H65" i="12" a="1"/>
  <c r="H41" i="12" a="1"/>
  <c r="H4" i="12" a="1"/>
  <c r="H100" i="12" a="1"/>
  <c r="H27" i="12" a="1"/>
  <c r="H19" i="12" a="1"/>
  <c r="H76" i="12" a="1"/>
  <c r="H94" i="12" a="1"/>
  <c r="H37" i="12" a="1"/>
  <c r="H58" i="12" a="1"/>
  <c r="H39" i="12" a="1"/>
  <c r="H7" i="12" a="1"/>
  <c r="H105" i="12" a="1"/>
  <c r="H128" i="12" a="1"/>
  <c r="H80" i="12" a="1"/>
  <c r="H136" i="12" a="1"/>
  <c r="H97" i="12" a="1"/>
  <c r="H102" i="12" a="1"/>
  <c r="H116" i="12" a="1"/>
  <c r="H74" i="12" a="1"/>
  <c r="H84" i="12" a="1"/>
  <c r="H49" i="12" a="1"/>
  <c r="H30" i="12" a="1"/>
  <c r="H53" i="12" a="1"/>
  <c r="H149" i="12" a="1"/>
  <c r="H106" i="12" a="1"/>
  <c r="H121" i="12" a="1"/>
  <c r="H67" i="12" a="1"/>
  <c r="H131" i="12" a="1"/>
  <c r="H123" i="12" a="1"/>
  <c r="H135" i="12" a="1"/>
  <c r="H52" i="12" a="1"/>
  <c r="H148" i="12" a="1"/>
  <c r="H26" i="12" a="1"/>
  <c r="H60" i="12" a="1"/>
  <c r="H57" i="12" a="1"/>
  <c r="H114" i="12" a="1"/>
  <c r="H75" i="12" a="1"/>
  <c r="H98" i="12" a="1"/>
  <c r="H144" i="12" a="1"/>
  <c r="H46" i="12" a="1"/>
  <c r="H6" i="12" a="1"/>
  <c r="H11" i="12" a="1"/>
  <c r="H33" i="12" a="1"/>
  <c r="H83" i="12" a="1"/>
  <c r="H137" i="12" a="1"/>
  <c r="H73" i="12" a="1"/>
  <c r="H129" i="12" a="1"/>
  <c r="H79" i="12" a="1"/>
  <c r="H23" i="12" a="1"/>
  <c r="H16" i="12" l="1"/>
  <c r="H103" i="12"/>
  <c r="H110" i="12"/>
  <c r="H25" i="12"/>
  <c r="H21" i="12"/>
  <c r="H11" i="12"/>
  <c r="H60" i="12"/>
  <c r="H121" i="12"/>
  <c r="H74" i="12"/>
  <c r="H105" i="12"/>
  <c r="H19" i="12"/>
  <c r="H20" i="12"/>
  <c r="H112" i="12"/>
  <c r="H24" i="12"/>
  <c r="H12" i="12"/>
  <c r="H104" i="12"/>
  <c r="H9" i="12"/>
  <c r="H109" i="12"/>
  <c r="H141" i="12"/>
  <c r="H111" i="12"/>
  <c r="H22" i="12"/>
  <c r="H130" i="12"/>
  <c r="H10" i="12"/>
  <c r="H23" i="12"/>
  <c r="H137" i="12"/>
  <c r="H6" i="12"/>
  <c r="H26" i="12"/>
  <c r="H106" i="12"/>
  <c r="H116" i="12"/>
  <c r="H7" i="12"/>
  <c r="H27" i="12"/>
  <c r="H47" i="12"/>
  <c r="H107" i="12"/>
  <c r="H127" i="12"/>
  <c r="H8" i="12"/>
  <c r="H108" i="12"/>
  <c r="H2" i="12"/>
  <c r="H59" i="12"/>
  <c r="H142" i="12"/>
  <c r="H14" i="12"/>
  <c r="H13" i="12"/>
  <c r="H32" i="12"/>
  <c r="H145" i="12"/>
  <c r="H147" i="12"/>
  <c r="H36" i="12"/>
  <c r="H46" i="12"/>
  <c r="H148" i="12"/>
  <c r="H149" i="12"/>
  <c r="H102" i="12"/>
  <c r="H39" i="12"/>
  <c r="H100" i="12"/>
  <c r="H40" i="12"/>
  <c r="H101" i="12"/>
  <c r="H17" i="12"/>
  <c r="H18" i="12"/>
  <c r="H38" i="12"/>
  <c r="H5" i="12"/>
  <c r="H143" i="12"/>
  <c r="H72" i="12"/>
  <c r="H44" i="12"/>
  <c r="H89" i="12"/>
  <c r="H64" i="12"/>
  <c r="H115" i="12"/>
  <c r="H79" i="12"/>
  <c r="H83" i="12"/>
  <c r="H144" i="12"/>
  <c r="H52" i="12"/>
  <c r="H53" i="12"/>
  <c r="H97" i="12"/>
  <c r="H58" i="12"/>
  <c r="H4" i="12"/>
  <c r="H71" i="12"/>
  <c r="H15" i="12"/>
  <c r="H34" i="12"/>
  <c r="H95" i="12"/>
  <c r="H82" i="12"/>
  <c r="H99" i="12"/>
  <c r="H29" i="12"/>
  <c r="H43" i="12"/>
  <c r="H3" i="12"/>
  <c r="H81" i="12"/>
  <c r="H133" i="12"/>
  <c r="H70" i="12"/>
  <c r="H56" i="12"/>
  <c r="H96" i="12"/>
  <c r="H98" i="12"/>
  <c r="H135" i="12"/>
  <c r="H30" i="12"/>
  <c r="H136" i="12"/>
  <c r="H37" i="12"/>
  <c r="H41" i="12"/>
  <c r="H51" i="12"/>
  <c r="H92" i="12"/>
  <c r="H119" i="12"/>
  <c r="H50" i="12"/>
  <c r="H35" i="12"/>
  <c r="H45" i="12"/>
  <c r="H125" i="12"/>
  <c r="H132" i="12"/>
  <c r="H85" i="12"/>
  <c r="H91" i="12"/>
  <c r="H62" i="12"/>
  <c r="H124" i="12"/>
  <c r="H129" i="12"/>
  <c r="H61" i="12"/>
  <c r="H75" i="12"/>
  <c r="H123" i="12"/>
  <c r="H49" i="12"/>
  <c r="H80" i="12"/>
  <c r="H94" i="12"/>
  <c r="H65" i="12"/>
  <c r="H139" i="12"/>
  <c r="H93" i="12"/>
  <c r="H63" i="12"/>
  <c r="H69" i="12"/>
  <c r="H113" i="12"/>
  <c r="H54" i="12"/>
  <c r="H55" i="12"/>
  <c r="H42" i="12"/>
  <c r="H120" i="12"/>
  <c r="H90" i="12"/>
  <c r="H122" i="12"/>
  <c r="H31" i="12"/>
  <c r="H140" i="12"/>
  <c r="H33" i="12"/>
  <c r="H114" i="12"/>
  <c r="H131" i="12"/>
  <c r="H84" i="12"/>
  <c r="H128" i="12"/>
  <c r="H76" i="12"/>
  <c r="H86" i="12"/>
  <c r="H77" i="12"/>
  <c r="H87" i="12"/>
  <c r="H117" i="12"/>
  <c r="H28" i="12"/>
  <c r="H48" i="12"/>
  <c r="H68" i="12"/>
  <c r="H78" i="12"/>
  <c r="H88" i="12"/>
  <c r="H118" i="12"/>
  <c r="H138" i="12"/>
  <c r="H66" i="12"/>
  <c r="H134" i="12"/>
  <c r="H73" i="12"/>
  <c r="H126" i="12"/>
  <c r="H57" i="12"/>
  <c r="H67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<sst xmlns="http://schemas.openxmlformats.org/spreadsheetml/2006/main" count="1247" uniqueCount="619">
  <si>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</si>
  <si>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</si>
  <si>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</si>
  <si>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</si>
  <si>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</si>
  <si>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</si>
  <si>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</si>
  <si>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</si>
  <si>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</si>
  <si>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</si>
  <si>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</si>
  <si>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</si>
  <si>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</si>
  <si>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</si>
  <si>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</si>
  <si>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</si>
  <si>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</si>
  <si>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</si>
  <si>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</si>
  <si>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</si>
  <si>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</si>
  <si>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</si>
  <si>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</si>
  <si>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</si>
  <si>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</si>
  <si>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</si>
  <si>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</si>
  <si>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</si>
  <si>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</si>
  <si>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</si>
  <si>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</si>
  <si>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</si>
  <si>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</si>
  <si>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</si>
  <si>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</si>
  <si>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</si>
  <si>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</si>
  <si>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</si>
  <si>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</si>
  <si>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</si>
  <si>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</si>
  <si>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</si>
  <si>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</si>
  <si>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</si>
  <si>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</si>
  <si>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</si>
  <si>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</si>
  <si>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</si>
  <si>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</si>
  <si>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</si>
  <si>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</si>
  <si>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</si>
  <si>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</si>
  <si>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</si>
  <si>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</si>
  <si>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</si>
  <si>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</si>
  <si>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</si>
  <si>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</si>
  <si>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</si>
  <si>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</si>
  <si>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</si>
  <si>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</si>
  <si>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</si>
  <si>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</si>
  <si>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</si>
  <si>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</si>
  <si>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</si>
  <si>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</si>
  <si>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</si>
  <si>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</si>
  <si>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</si>
  <si>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</si>
  <si>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</si>
  <si>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</si>
  <si>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</si>
  <si>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</si>
  <si>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</si>
  <si>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</si>
  <si>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</si>
  <si>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</si>
  <si>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</si>
  <si>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</si>
  <si>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</si>
  <si>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</si>
  <si>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</si>
  <si>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</si>
  <si>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</si>
  <si>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</si>
  <si>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</si>
  <si>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</si>
  <si>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</si>
  <si>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</si>
  <si>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</si>
  <si>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</si>
  <si>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</si>
  <si>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</si>
  <si>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</si>
  <si>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</si>
  <si>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</si>
  <si>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</si>
  <si>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</si>
  <si>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</si>
  <si>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</si>
  <si>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</si>
  <si>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</si>
  <si>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</si>
  <si>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</si>
  <si>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</si>
  <si>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</si>
  <si>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</si>
  <si>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</si>
  <si>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</si>
  <si>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</si>
  <si>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</si>
  <si>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</si>
  <si>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</si>
  <si>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</si>
  <si>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</si>
  <si>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</si>
  <si>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</si>
  <si>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</si>
  <si>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</si>
  <si>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</si>
  <si>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</si>
  <si>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</si>
  <si>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</si>
  <si>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</si>
  <si>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</si>
  <si>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</si>
  <si>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</si>
  <si>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</si>
  <si>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</si>
  <si>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</si>
  <si>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</si>
  <si>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</si>
  <si>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</si>
  <si>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</si>
  <si>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</si>
  <si>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</si>
  <si>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</si>
  <si>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</si>
  <si>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</si>
  <si>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</si>
  <si>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</si>
  <si>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</si>
  <si>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</si>
  <si>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</si>
  <si>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</si>
  <si>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</si>
  <si>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</si>
  <si>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</si>
  <si>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</si>
  <si>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</si>
  <si>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</si>
  <si>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</si>
  <si>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</si>
  <si>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</si>
  <si>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</si>
  <si>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</si>
  <si>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</si>
  <si>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</si>
  <si>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</si>
  <si>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</si>
  <si>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</si>
  <si>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</si>
  <si>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</si>
  <si>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</si>
  <si>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</si>
  <si>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</si>
  <si>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</si>
  <si>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</si>
  <si>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</si>
  <si>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</si>
  <si>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</si>
  <si>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</si>
  <si>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</si>
  <si>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</si>
  <si>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</si>
  <si>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</si>
  <si>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</si>
  <si>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</si>
  <si>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</si>
  <si>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</si>
  <si>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</si>
  <si>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</si>
  <si>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</si>
  <si>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</si>
  <si>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</si>
  <si>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</si>
  <si>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</si>
  <si>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</si>
  <si>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</si>
  <si>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</si>
  <si>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</si>
  <si>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</si>
  <si>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</si>
  <si>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</si>
  <si>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</si>
  <si>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</si>
  <si>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</si>
  <si>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</si>
  <si>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</si>
  <si>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</si>
  <si>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</si>
  <si>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</si>
  <si>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</si>
  <si>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</si>
  <si>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</si>
  <si>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</si>
  <si>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</si>
  <si>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</si>
  <si>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</si>
  <si>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</si>
  <si>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</si>
  <si>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</si>
  <si>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</si>
  <si>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</si>
  <si>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</si>
  <si>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</si>
  <si>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</si>
  <si>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</si>
  <si>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</si>
  <si>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</si>
  <si>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</si>
  <si>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</si>
  <si>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</si>
  <si>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</si>
  <si>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</si>
  <si>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</si>
  <si>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</si>
  <si>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</si>
  <si>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</si>
  <si>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</si>
  <si>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</si>
  <si>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</si>
  <si>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</si>
  <si>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</si>
  <si>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</si>
  <si>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</si>
  <si>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</si>
  <si>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</si>
  <si>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</si>
  <si>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</si>
  <si>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</si>
  <si>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</si>
  <si>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</si>
  <si>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</si>
  <si>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</si>
  <si>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</si>
  <si>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</si>
  <si>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</si>
  <si>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</si>
  <si>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</si>
  <si>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</si>
  <si>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</si>
  <si>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</si>
  <si>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</si>
  <si>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</si>
  <si>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</si>
  <si>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</si>
  <si>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</si>
  <si>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</si>
  <si>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</si>
  <si>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</si>
  <si>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</si>
  <si>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</si>
  <si>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</si>
  <si>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</si>
  <si>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</si>
  <si>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</si>
  <si>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</si>
  <si>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</si>
  <si>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</si>
  <si>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</si>
  <si>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</si>
  <si>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</si>
  <si>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</si>
  <si>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</si>
  <si>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</si>
  <si>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</si>
  <si>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</si>
  <si>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</si>
  <si>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</si>
  <si>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</si>
  <si>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</si>
  <si>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</si>
  <si>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</si>
  <si>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</si>
  <si>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</si>
  <si>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</si>
  <si>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</si>
  <si>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</si>
  <si>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</si>
  <si>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</si>
  <si>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</si>
  <si>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</si>
  <si>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</si>
  <si>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</si>
  <si>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</si>
  <si>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</si>
  <si>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</si>
  <si>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</si>
  <si>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</si>
  <si>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</si>
  <si>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</si>
  <si>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</si>
  <si>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</si>
  <si>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</si>
  <si>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</si>
  <si>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</si>
  <si>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</si>
  <si>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</si>
  <si>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</si>
  <si>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</si>
  <si>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</si>
  <si>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</si>
  <si>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</si>
  <si>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</si>
  <si>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</si>
  <si>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</si>
  <si>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</si>
  <si>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</si>
  <si>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</si>
  <si>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</si>
  <si>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</si>
  <si>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</si>
  <si>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</si>
  <si>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</si>
  <si>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</si>
  <si>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</si>
  <si>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</si>
  <si>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</si>
  <si>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</si>
  <si>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</si>
  <si>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</si>
  <si>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#ParentTableName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</si>
  <si>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</si>
  <si>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</si>
  <si>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</si>
  <si>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</si>
  <si>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</si>
  <si>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</si>
  <si>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</si>
  <si>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Tabela-pai</t>
  </si>
  <si>
    <t>Id da tabela-pai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</si>
  <si>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</si>
  <si>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</si>
  <si>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</si>
  <si>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</si>
  <si>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</si>
  <si>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</si>
  <si>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</si>
  <si>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</si>
  <si>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</si>
  <si>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</si>
  <si>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</si>
  <si>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</si>
  <si>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</si>
  <si>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</si>
  <si>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</si>
  <si>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</si>
  <si>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</si>
  <si>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</si>
  <si>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</si>
  <si>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</si>
  <si>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</si>
  <si>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</si>
  <si>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</si>
  <si>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</si>
  <si>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</si>
  <si>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</si>
  <si>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</si>
  <si>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</si>
  <si>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</si>
  <si>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</si>
  <si>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</si>
  <si>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</si>
  <si>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</si>
  <si>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</si>
  <si>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</si>
  <si>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</si>
  <si>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</si>
  <si>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</si>
  <si>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</si>
  <si>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</si>
  <si>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</si>
  <si>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</si>
  <si>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</si>
  <si>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</si>
  <si>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</si>
  <si>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</si>
  <si>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</si>
  <si>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</si>
  <si>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</si>
  <si>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</si>
  <si>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</si>
  <si>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</si>
  <si>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</si>
  <si>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</si>
  <si>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</si>
  <si>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</si>
  <si>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</si>
  <si>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</si>
  <si>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</si>
  <si>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</si>
  <si>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</si>
  <si>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</si>
  <si>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</si>
  <si>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</si>
  <si>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</si>
  <si>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</si>
  <si>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</si>
  <si>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</si>
  <si>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</si>
  <si>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</si>
  <si>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</si>
  <si>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</si>
  <si>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</si>
  <si>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</si>
  <si>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</si>
  <si>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</si>
  <si>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</si>
  <si>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</si>
  <si>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</si>
  <si>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</si>
  <si>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</si>
  <si>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</si>
  <si>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</si>
  <si>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</si>
  <si>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</si>
  <si>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</si>
  <si>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</si>
  <si>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</si>
  <si>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</si>
  <si>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</si>
  <si>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</si>
  <si>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</si>
  <si>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</si>
  <si>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</si>
  <si>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</si>
  <si>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</si>
  <si>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</si>
  <si>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</si>
  <si>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</si>
  <si>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</si>
  <si>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</si>
  <si>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</si>
  <si>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</si>
  <si>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</si>
  <si>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</si>
  <si>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</si>
  <si>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</si>
  <si>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</si>
  <si>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</si>
  <si>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</si>
  <si>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</si>
  <si>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</si>
  <si>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</si>
  <si>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</si>
  <si>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</si>
  <si>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</si>
  <si>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</si>
  <si>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</si>
  <si>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</si>
  <si>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</si>
  <si>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</si>
  <si>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</si>
  <si>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</si>
  <si>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</si>
  <si>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</si>
  <si>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</si>
  <si>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</si>
  <si>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</si>
  <si>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</si>
  <si>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</si>
  <si>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</si>
  <si>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</si>
  <si>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</si>
  <si>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</si>
  <si>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</si>
  <si>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</si>
  <si>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</si>
  <si>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</si>
  <si>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</si>
  <si>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</si>
  <si>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</si>
  <si>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</si>
  <si>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</si>
  <si>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</si>
  <si>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</si>
  <si>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</si>
  <si>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</si>
  <si>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</si>
  <si>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</si>
  <si>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</si>
  <si>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</si>
  <si>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</si>
  <si>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</si>
  <si>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</si>
  <si>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</si>
  <si>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</si>
  <si>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</si>
  <si>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</si>
  <si>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</si>
  <si>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</si>
  <si>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</si>
  <si>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</si>
  <si>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</si>
  <si>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</si>
  <si>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</si>
  <si>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</si>
  <si>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</si>
  <si>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</si>
  <si>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</si>
  <si>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</si>
  <si>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</si>
  <si>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</si>
  <si>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</si>
  <si>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</si>
  <si>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</si>
  <si>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</si>
  <si>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</si>
  <si>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</si>
  <si>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</si>
  <si>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</si>
  <si>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</si>
  <si>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</si>
  <si>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</si>
  <si>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</si>
  <si>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</si>
  <si>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</si>
  <si>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</si>
  <si>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</si>
  <si>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</si>
  <si>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</si>
  <si>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</si>
  <si>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</si>
  <si>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</si>
  <si>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</si>
  <si>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</si>
  <si>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</si>
  <si>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</si>
  <si>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</si>
  <si>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</si>
  <si>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</si>
  <si>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</si>
  <si>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</si>
  <si>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</si>
  <si>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</si>
  <si>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</si>
  <si>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</si>
  <si>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</si>
  <si>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</si>
  <si>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</si>
  <si>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</si>
  <si>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</si>
  <si>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</si>
  <si>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</si>
  <si>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</si>
  <si>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</si>
  <si>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</si>
  <si>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</si>
  <si>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</si>
  <si>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</si>
  <si>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</si>
  <si>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</si>
  <si>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</si>
  <si>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</si>
  <si>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</si>
  <si>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</si>
  <si>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</si>
  <si>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Comparator</t>
  </si>
  <si>
    <t>Comparadores relacionais</t>
  </si>
  <si>
    <t>Rules</t>
  </si>
  <si>
    <t>Rule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</si>
  <si>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</si>
  <si>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</si>
  <si>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</si>
  <si>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</si>
  <si>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</si>
  <si>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</si>
  <si>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</si>
  <si>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</si>
  <si>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</si>
  <si>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</si>
  <si>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</si>
  <si>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</si>
  <si>
    <t>*Id</t>
  </si>
  <si>
    <t>*pk1</t>
  </si>
  <si>
    <t>*pk2</t>
  </si>
  <si>
    <t>*pk3</t>
  </si>
  <si>
    <t>cpo1</t>
  </si>
  <si>
    <t>joao</t>
  </si>
  <si>
    <t>cpo2</t>
  </si>
  <si>
    <t>juca</t>
  </si>
  <si>
    <t>cpo3</t>
  </si>
  <si>
    <t>jeca</t>
  </si>
  <si>
    <t>cpo4</t>
  </si>
  <si>
    <t>teste</t>
  </si>
  <si>
    <t>testes</t>
  </si>
  <si>
    <t>Tabela de teste de PKs múltiplas</t>
  </si>
  <si>
    <t>pk1</t>
  </si>
  <si>
    <t>pk2</t>
  </si>
  <si>
    <t>pk3</t>
  </si>
  <si>
    <t>%1 &gt; %2</t>
  </si>
  <si>
    <t>%1 = %2</t>
  </si>
  <si>
    <t>%1 &lt;&gt; %2</t>
  </si>
  <si>
    <t>%1 &gt;= %2</t>
  </si>
  <si>
    <t>%1 IN %2</t>
  </si>
  <si>
    <t>%1 NOT IN %2</t>
  </si>
  <si>
    <t>%1 BETWEEN %2 AND %3</t>
  </si>
  <si>
    <t>SqlCode</t>
  </si>
  <si>
    <t>%1 &lt; %2</t>
  </si>
  <si>
    <t>%1 &lt;= %2</t>
  </si>
  <si>
    <t>%1 NOT BETWEEN %2 AND %3</t>
  </si>
  <si>
    <t>%1 LIKE %2</t>
  </si>
  <si>
    <t>%1 NOT LIKE %2</t>
  </si>
  <si>
    <t>SQL do comparador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</si>
</sst>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588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471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360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292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E13"/>
  <sheetViews>
    <sheetView workbookViewId="0">
      <selection activeCell="P27" sqref="P27"/>
    </sheetView>
  </sheetViews>
  <sheetFormatPr defaultColWidth="9.109375" defaultRowHeight="14.4" x14ac:dyDescent="0.3"/>
  <cols>
    <col min="1" max="1" width="3" bestFit="1" customWidth="1"/>
    <col min="2" max="2" width="7.5546875" style="19" bestFit="1" customWidth="1"/>
    <col min="3" max="3" width="22" bestFit="1" customWidth="1"/>
    <col min="4" max="4" width="5.33203125" bestFit="1" customWidth="1"/>
    <col min="5" max="5" width="26.5546875" bestFit="1" customWidth="1"/>
  </cols>
  <sheetData>
    <row r="1" spans="1:5" s="1" customFormat="1" x14ac:dyDescent="0.3">
      <c r="A1" s="1" t="s">
        <v>588</v>
      </c>
      <c r="B1" s="1" t="s">
        <v>545</v>
      </c>
      <c r="C1" s="1" t="s">
        <v>84</v>
      </c>
      <c r="D1" s="1" t="s">
        <v>546</v>
      </c>
      <c r="E1" s="1" t="s">
        <v>612</v>
      </c>
    </row>
    <row r="2" spans="1:5" x14ac:dyDescent="0.3">
      <c r="A2">
        <f>ROW(A2)-1</f>
        <v>1</v>
      </c>
      <c r="B2" s="19" t="s">
        <v>531</v>
      </c>
      <c r="C2" t="s">
        <v>547</v>
      </c>
      <c r="D2">
        <v>2</v>
      </c>
      <c r="E2" t="s">
        <v>613</v>
      </c>
    </row>
    <row r="3" spans="1:5" x14ac:dyDescent="0.3">
      <c r="A3">
        <f>ROW(A3)-1</f>
        <v>2</v>
      </c>
      <c r="B3" s="19" t="s">
        <v>548</v>
      </c>
      <c r="C3" t="s">
        <v>549</v>
      </c>
      <c r="D3">
        <v>2</v>
      </c>
      <c r="E3" t="s">
        <v>614</v>
      </c>
    </row>
    <row r="4" spans="1:5" x14ac:dyDescent="0.3">
      <c r="A4">
        <f>ROW(A4)-1</f>
        <v>3</v>
      </c>
      <c r="B4" s="19" t="s">
        <v>532</v>
      </c>
      <c r="C4" t="s">
        <v>550</v>
      </c>
      <c r="D4">
        <v>2</v>
      </c>
      <c r="E4" t="s">
        <v>606</v>
      </c>
    </row>
    <row r="5" spans="1:5" x14ac:dyDescent="0.3">
      <c r="A5">
        <f>ROW(A5)-1</f>
        <v>4</v>
      </c>
      <c r="B5" s="19" t="s">
        <v>551</v>
      </c>
      <c r="C5" t="s">
        <v>552</v>
      </c>
      <c r="D5">
        <v>2</v>
      </c>
      <c r="E5" t="s">
        <v>607</v>
      </c>
    </row>
    <row r="6" spans="1:5" x14ac:dyDescent="0.3">
      <c r="A6">
        <f t="shared" ref="A6:A13" si="0">ROW(A6)-1</f>
        <v>5</v>
      </c>
      <c r="B6" s="19" t="s">
        <v>553</v>
      </c>
      <c r="C6" t="s">
        <v>554</v>
      </c>
      <c r="D6">
        <v>2</v>
      </c>
      <c r="E6" t="s">
        <v>608</v>
      </c>
    </row>
    <row r="7" spans="1:5" x14ac:dyDescent="0.3">
      <c r="A7">
        <f t="shared" si="0"/>
        <v>6</v>
      </c>
      <c r="B7" s="19" t="s">
        <v>533</v>
      </c>
      <c r="C7" t="s">
        <v>555</v>
      </c>
      <c r="D7">
        <v>2</v>
      </c>
      <c r="E7" t="s">
        <v>605</v>
      </c>
    </row>
    <row r="8" spans="1:5" x14ac:dyDescent="0.3">
      <c r="A8">
        <f t="shared" si="0"/>
        <v>7</v>
      </c>
      <c r="B8" s="19" t="s">
        <v>556</v>
      </c>
      <c r="C8" t="s">
        <v>557</v>
      </c>
      <c r="E8" t="s">
        <v>609</v>
      </c>
    </row>
    <row r="9" spans="1:5" x14ac:dyDescent="0.3">
      <c r="A9">
        <f t="shared" si="0"/>
        <v>8</v>
      </c>
      <c r="B9" s="19" t="s">
        <v>558</v>
      </c>
      <c r="C9" t="s">
        <v>559</v>
      </c>
      <c r="E9" t="s">
        <v>610</v>
      </c>
    </row>
    <row r="10" spans="1:5" x14ac:dyDescent="0.3">
      <c r="A10">
        <f t="shared" si="0"/>
        <v>9</v>
      </c>
      <c r="B10" s="19" t="s">
        <v>560</v>
      </c>
      <c r="C10" t="s">
        <v>561</v>
      </c>
      <c r="D10">
        <v>2</v>
      </c>
      <c r="E10" t="s">
        <v>616</v>
      </c>
    </row>
    <row r="11" spans="1:5" x14ac:dyDescent="0.3">
      <c r="A11">
        <f t="shared" si="0"/>
        <v>10</v>
      </c>
      <c r="B11" s="19" t="s">
        <v>562</v>
      </c>
      <c r="C11" t="s">
        <v>563</v>
      </c>
      <c r="D11">
        <v>2</v>
      </c>
      <c r="E11" t="s">
        <v>617</v>
      </c>
    </row>
    <row r="12" spans="1:5" x14ac:dyDescent="0.3">
      <c r="A12">
        <f t="shared" si="0"/>
        <v>11</v>
      </c>
      <c r="B12" s="19" t="s">
        <v>564</v>
      </c>
      <c r="C12" t="s">
        <v>565</v>
      </c>
      <c r="D12">
        <v>3</v>
      </c>
      <c r="E12" t="s">
        <v>611</v>
      </c>
    </row>
    <row r="13" spans="1:5" x14ac:dyDescent="0.3">
      <c r="A13">
        <f t="shared" si="0"/>
        <v>12</v>
      </c>
      <c r="B13" s="19" t="s">
        <v>566</v>
      </c>
      <c r="C13" t="s">
        <v>567</v>
      </c>
      <c r="D13">
        <v>3</v>
      </c>
      <c r="E13" t="s">
        <v>615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41"/>
  <sheetViews>
    <sheetView tabSelected="1" workbookViewId="0">
      <pane ySplit="1" topLeftCell="A8" activePane="bottomLeft" state="frozen"/>
      <selection pane="bottomLeft" activeCell="D20" sqref="D20"/>
    </sheetView>
  </sheetViews>
  <sheetFormatPr defaultColWidth="10.44140625"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588</v>
      </c>
      <c r="B1" s="1" t="s">
        <v>25</v>
      </c>
      <c r="C1" s="1" t="s">
        <v>325</v>
      </c>
      <c r="D1" s="1" t="s">
        <v>568</v>
      </c>
      <c r="E1" s="1" t="s">
        <v>569</v>
      </c>
      <c r="F1" s="1" t="s">
        <v>570</v>
      </c>
    </row>
    <row r="2" spans="1:6" x14ac:dyDescent="0.3">
      <c r="A2">
        <f>ROW(A2)-1</f>
        <v>1</v>
      </c>
      <c r="B2">
        <v>1</v>
      </c>
      <c r="C2" t="str" cm="1">
        <f t="array" ref="C2">GetValue("Categories","Name",B2)</f>
        <v>string</v>
      </c>
      <c r="D2">
        <v>1</v>
      </c>
      <c r="E2" s="19" t="str" cm="1">
        <f t="array" ref="E2">GetValue("Comparators","Symbol",D2)</f>
        <v>&lt;</v>
      </c>
      <c r="F2" t="str" cm="1">
        <f t="array" ref="F2">GetValue("Comparators","Description",D2)</f>
        <v>Menor que...</v>
      </c>
    </row>
    <row r="3" spans="1:6" x14ac:dyDescent="0.3">
      <c r="A3">
        <f t="shared" ref="A3:A41" si="0">ROW(A3)-1</f>
        <v>2</v>
      </c>
      <c r="B3">
        <v>1</v>
      </c>
      <c r="C3" t="str" cm="1">
        <f t="array" ref="C3">GetValue("Categories","Name",B3)</f>
        <v>string</v>
      </c>
      <c r="D3">
        <v>2</v>
      </c>
      <c r="E3" s="19" t="str" cm="1">
        <f t="array" ref="E3">GetValue("Comparators","Symbol",D3)</f>
        <v>≤</v>
      </c>
      <c r="F3" t="str" cm="1">
        <f t="array" ref="F3">GetValue("Comparators","Description",D3)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GetValue("Categories","Name",B4)</f>
        <v>string</v>
      </c>
      <c r="D4">
        <v>3</v>
      </c>
      <c r="E4" s="19" t="str" cm="1">
        <f t="array" ref="E4">GetValue("Comparators","Symbol",D4)</f>
        <v>=</v>
      </c>
      <c r="F4" t="str" cm="1">
        <f t="array" ref="F4">GetValue("Comparators","Description",D4)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>
        <v>4</v>
      </c>
      <c r="E5" s="19" t="str" cm="1">
        <f t="array" ref="E5">GetValue("Comparators","Symbol",D5)</f>
        <v>≠</v>
      </c>
      <c r="F5" t="str" cm="1">
        <f t="array" ref="F5">GetValue("Comparators","Description",D5)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GetValue("Categories","Name",B6)</f>
        <v>string</v>
      </c>
      <c r="D6">
        <v>5</v>
      </c>
      <c r="E6" s="19" t="str" cm="1">
        <f t="array" ref="E6">GetValue("Comparators","Symbol",D6)</f>
        <v>≥</v>
      </c>
      <c r="F6" t="str" cm="1">
        <f t="array" ref="F6">GetValue("Comparators","Description",D6)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GetValue("Categories","Name",B7)</f>
        <v>string</v>
      </c>
      <c r="D7">
        <v>6</v>
      </c>
      <c r="E7" s="19" t="str" cm="1">
        <f t="array" ref="E7">GetValue("Comparators","Symbol",D7)</f>
        <v>&gt;</v>
      </c>
      <c r="F7" t="str" cm="1">
        <f t="array" ref="F7">GetValue("Comparators","Description",D7)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GetValue("Categories","Name",B8)</f>
        <v>string</v>
      </c>
      <c r="D8">
        <v>9</v>
      </c>
      <c r="E8" s="19" t="str" cm="1">
        <f t="array" ref="E8">GetValue("Comparators","Symbol",D8)</f>
        <v>⊃</v>
      </c>
      <c r="F8" t="str" cm="1">
        <f t="array" ref="F8">GetValue("Comparators","Description",D8)</f>
        <v>LIKE</v>
      </c>
    </row>
    <row r="9" spans="1:6" x14ac:dyDescent="0.3">
      <c r="A9">
        <f t="shared" si="0"/>
        <v>8</v>
      </c>
      <c r="B9">
        <v>1</v>
      </c>
      <c r="C9" t="str" cm="1">
        <f t="array" ref="C9">GetValue("Categories","Name",B9)</f>
        <v>string</v>
      </c>
      <c r="D9">
        <v>10</v>
      </c>
      <c r="E9" s="19" t="str" cm="1">
        <f t="array" ref="E9">GetValue("Comparators","Symbol",D9)</f>
        <v>⊅</v>
      </c>
      <c r="F9" t="str" cm="1">
        <f t="array" ref="F9">GetValue("Comparators","Description",D9)</f>
        <v>NOT LIKE</v>
      </c>
    </row>
    <row r="10" spans="1:6" x14ac:dyDescent="0.3">
      <c r="A10">
        <f t="shared" si="0"/>
        <v>9</v>
      </c>
      <c r="B10">
        <v>2</v>
      </c>
      <c r="C10" t="str" cm="1">
        <f t="array" ref="C10">GetValue("Categories","Name",B10)</f>
        <v>number</v>
      </c>
      <c r="D10">
        <v>1</v>
      </c>
      <c r="E10" s="19" t="str" cm="1">
        <f t="array" ref="E10">GetValue("Comparators","Symbol",D10)</f>
        <v>&lt;</v>
      </c>
      <c r="F10" t="str" cm="1">
        <f t="array" ref="F10">GetValue("Comparators","Description",D10)</f>
        <v>Menor que...</v>
      </c>
    </row>
    <row r="11" spans="1:6" x14ac:dyDescent="0.3">
      <c r="A11">
        <f t="shared" si="0"/>
        <v>10</v>
      </c>
      <c r="B11">
        <v>2</v>
      </c>
      <c r="C11" t="str" cm="1">
        <f t="array" ref="C11">GetValue("Categories","Name",B11)</f>
        <v>number</v>
      </c>
      <c r="D11">
        <v>2</v>
      </c>
      <c r="E11" s="19" t="str" cm="1">
        <f t="array" ref="E11">GetValue("Comparators","Symbol",D11)</f>
        <v>≤</v>
      </c>
      <c r="F11" t="str" cm="1">
        <f t="array" ref="F11">GetValue("Comparators","Description",D11)</f>
        <v>Menor que ou igual a...</v>
      </c>
    </row>
    <row r="12" spans="1:6" x14ac:dyDescent="0.3">
      <c r="A12">
        <f t="shared" si="0"/>
        <v>11</v>
      </c>
      <c r="B12">
        <v>2</v>
      </c>
      <c r="C12" t="str" cm="1">
        <f t="array" ref="C12">GetValue("Categories","Name",B12)</f>
        <v>number</v>
      </c>
      <c r="D12">
        <v>3</v>
      </c>
      <c r="E12" s="19" t="str" cm="1">
        <f t="array" ref="E12">GetValue("Comparators","Symbol",D12)</f>
        <v>=</v>
      </c>
      <c r="F12" t="str" cm="1">
        <f t="array" ref="F12">GetValue("Comparators","Description",D12)</f>
        <v>Igual a...</v>
      </c>
    </row>
    <row r="13" spans="1:6" x14ac:dyDescent="0.3">
      <c r="A13">
        <f t="shared" si="0"/>
        <v>12</v>
      </c>
      <c r="B13">
        <v>2</v>
      </c>
      <c r="C13" t="str" cm="1">
        <f t="array" ref="C13">GetValue("Categories","Name",B13)</f>
        <v>number</v>
      </c>
      <c r="D13">
        <v>4</v>
      </c>
      <c r="E13" s="19" t="str" cm="1">
        <f t="array" ref="E13">GetValue("Comparators","Symbol",D13)</f>
        <v>≠</v>
      </c>
      <c r="F13" t="str" cm="1">
        <f t="array" ref="F13">GetValue("Comparators","Description",D13)</f>
        <v>Diferente de...</v>
      </c>
    </row>
    <row r="14" spans="1:6" x14ac:dyDescent="0.3">
      <c r="A14">
        <f t="shared" si="0"/>
        <v>13</v>
      </c>
      <c r="B14">
        <v>2</v>
      </c>
      <c r="C14" t="str" cm="1">
        <f t="array" ref="C14">GetValue("Categories","Name",B14)</f>
        <v>number</v>
      </c>
      <c r="D14">
        <v>5</v>
      </c>
      <c r="E14" s="19" t="str" cm="1">
        <f t="array" ref="E14">GetValue("Comparators","Symbol",D14)</f>
        <v>≥</v>
      </c>
      <c r="F14" t="str" cm="1">
        <f t="array" ref="F14">GetValue("Comparators","Description",D14)</f>
        <v>Maior que ou igual a...</v>
      </c>
    </row>
    <row r="15" spans="1:6" x14ac:dyDescent="0.3">
      <c r="A15">
        <f t="shared" si="0"/>
        <v>14</v>
      </c>
      <c r="B15">
        <v>2</v>
      </c>
      <c r="C15" t="str" cm="1">
        <f t="array" ref="C15">GetValue("Categories","Name",B15)</f>
        <v>number</v>
      </c>
      <c r="D15">
        <v>6</v>
      </c>
      <c r="E15" s="19" t="str" cm="1">
        <f t="array" ref="E15">GetValue("Comparators","Symbol",D15)</f>
        <v>&gt;</v>
      </c>
      <c r="F15" t="str" cm="1">
        <f t="array" ref="F15">GetValue("Comparators","Description",D15)</f>
        <v>Maior que...</v>
      </c>
    </row>
    <row r="16" spans="1:6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>
        <v>7</v>
      </c>
      <c r="E16" s="19" t="str" cm="1">
        <f t="array" ref="E16">GetValue("Comparators","Symbol",D16)</f>
        <v>∈</v>
      </c>
      <c r="F16" t="str" cm="1">
        <f t="array" ref="F16">GetValue("Comparators","Description",D16)</f>
        <v>IN</v>
      </c>
    </row>
    <row r="17" spans="1:6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>
        <v>8</v>
      </c>
      <c r="E17" s="19" t="str" cm="1">
        <f t="array" ref="E17">GetValue("Comparators","Symbol",D17)</f>
        <v>∉</v>
      </c>
      <c r="F17" t="str" cm="1">
        <f t="array" ref="F17">GetValue("Comparators","Description",D17)</f>
        <v>NOT IN</v>
      </c>
    </row>
    <row r="18" spans="1:6" x14ac:dyDescent="0.3">
      <c r="A18">
        <f t="shared" si="0"/>
        <v>17</v>
      </c>
      <c r="B18">
        <v>2</v>
      </c>
      <c r="C18" t="str" cm="1">
        <f t="array" ref="C18">GetValue("Categories","Name",B18)</f>
        <v>number</v>
      </c>
      <c r="D18">
        <v>11</v>
      </c>
      <c r="E18" s="19" t="str" cm="1">
        <f t="array" ref="E18">GetValue("Comparators","Symbol",D18)</f>
        <v>∃</v>
      </c>
      <c r="F18" t="str" cm="1">
        <f t="array" ref="F18">GetValue("Comparators","Description",D18)</f>
        <v>BETWEEN... AND...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GetValue("Categories","Name",B19)</f>
        <v>number</v>
      </c>
      <c r="D19">
        <v>12</v>
      </c>
      <c r="E19" s="19" t="str" cm="1">
        <f t="array" ref="E19">GetValue("Comparators","Symbol",D19)</f>
        <v>∄</v>
      </c>
      <c r="F19" t="str" cm="1">
        <f t="array" ref="F19">GetValue("Comparators","Description",D19)</f>
        <v>NOT BETWEEN... AND...</v>
      </c>
    </row>
    <row r="20" spans="1:6" x14ac:dyDescent="0.3">
      <c r="A20">
        <f t="shared" si="0"/>
        <v>19</v>
      </c>
      <c r="B20">
        <v>3</v>
      </c>
      <c r="C20" t="str" cm="1">
        <f t="array" ref="C20">GetValue("Categories","Name",B20)</f>
        <v>date</v>
      </c>
      <c r="D20">
        <v>1</v>
      </c>
      <c r="E20" s="19" t="str" cm="1">
        <f t="array" ref="E20">GetValue("Comparators","Symbol",D20)</f>
        <v>&lt;</v>
      </c>
      <c r="F20" t="str" cm="1">
        <f t="array" ref="F20">GetValue("Comparators","Description",D20)</f>
        <v>Menor que...</v>
      </c>
    </row>
    <row r="21" spans="1:6" x14ac:dyDescent="0.3">
      <c r="A21">
        <f t="shared" si="0"/>
        <v>20</v>
      </c>
      <c r="B21">
        <v>3</v>
      </c>
      <c r="C21" t="str" cm="1">
        <f t="array" ref="C21">GetValue("Categories","Name",B21)</f>
        <v>date</v>
      </c>
      <c r="D21">
        <v>2</v>
      </c>
      <c r="E21" s="19" t="str" cm="1">
        <f t="array" ref="E21">GetValue("Comparators","Symbol",D21)</f>
        <v>≤</v>
      </c>
      <c r="F21" t="str" cm="1">
        <f t="array" ref="F21">GetValue("Comparators","Description",D21)</f>
        <v>Menor que ou igual a...</v>
      </c>
    </row>
    <row r="22" spans="1:6" x14ac:dyDescent="0.3">
      <c r="A22">
        <f t="shared" si="0"/>
        <v>21</v>
      </c>
      <c r="B22">
        <v>3</v>
      </c>
      <c r="C22" t="str" cm="1">
        <f t="array" ref="C22">GetValue("Categories","Name",B22)</f>
        <v>date</v>
      </c>
      <c r="D22">
        <v>3</v>
      </c>
      <c r="E22" s="19" t="str" cm="1">
        <f t="array" ref="E22">GetValue("Comparators","Symbol",D22)</f>
        <v>=</v>
      </c>
      <c r="F22" t="str" cm="1">
        <f t="array" ref="F22">GetValue("Comparators","Description",D22)</f>
        <v>Igual a...</v>
      </c>
    </row>
    <row r="23" spans="1:6" x14ac:dyDescent="0.3">
      <c r="A23">
        <f t="shared" si="0"/>
        <v>22</v>
      </c>
      <c r="B23">
        <v>3</v>
      </c>
      <c r="C23" t="str" cm="1">
        <f t="array" ref="C23">GetValue("Categories","Name",B23)</f>
        <v>date</v>
      </c>
      <c r="D23">
        <v>4</v>
      </c>
      <c r="E23" s="19" t="str" cm="1">
        <f t="array" ref="E23">GetValue("Comparators","Symbol",D23)</f>
        <v>≠</v>
      </c>
      <c r="F23" t="str" cm="1">
        <f t="array" ref="F23">GetValue("Comparators","Description",D23)</f>
        <v>Diferente de...</v>
      </c>
    </row>
    <row r="24" spans="1:6" x14ac:dyDescent="0.3">
      <c r="A24">
        <f t="shared" si="0"/>
        <v>23</v>
      </c>
      <c r="B24">
        <v>3</v>
      </c>
      <c r="C24" t="str" cm="1">
        <f t="array" ref="C24">GetValue("Categories","Name",B24)</f>
        <v>date</v>
      </c>
      <c r="D24">
        <v>5</v>
      </c>
      <c r="E24" s="19" t="str" cm="1">
        <f t="array" ref="E24">GetValue("Comparators","Symbol",D24)</f>
        <v>≥</v>
      </c>
      <c r="F24" t="str" cm="1">
        <f t="array" ref="F24">GetValue("Comparators","Description",D24)</f>
        <v>Maior que ou igual a...</v>
      </c>
    </row>
    <row r="25" spans="1:6" x14ac:dyDescent="0.3">
      <c r="A25">
        <f t="shared" si="0"/>
        <v>24</v>
      </c>
      <c r="B25">
        <v>3</v>
      </c>
      <c r="C25" t="str" cm="1">
        <f t="array" ref="C25">GetValue("Categories","Name",B25)</f>
        <v>date</v>
      </c>
      <c r="D25">
        <v>6</v>
      </c>
      <c r="E25" s="19" t="str" cm="1">
        <f t="array" ref="E25">GetValue("Comparators","Symbol",D25)</f>
        <v>&gt;</v>
      </c>
      <c r="F25" t="str" cm="1">
        <f t="array" ref="F25">GetValue("Comparators","Description",D25)</f>
        <v>Maior que...</v>
      </c>
    </row>
    <row r="26" spans="1:6" x14ac:dyDescent="0.3">
      <c r="A26">
        <f t="shared" si="0"/>
        <v>25</v>
      </c>
      <c r="B26">
        <v>4</v>
      </c>
      <c r="C26" t="str" cm="1">
        <f t="array" ref="C26">GetValue("Categories","Name",B26)</f>
        <v>datetime</v>
      </c>
      <c r="D26">
        <v>1</v>
      </c>
      <c r="E26" s="19" t="str" cm="1">
        <f t="array" ref="E26">GetValue("Comparators","Symbol",D26)</f>
        <v>&lt;</v>
      </c>
      <c r="F26" t="str" cm="1">
        <f t="array" ref="F26">GetValue("Comparators","Description",D26)</f>
        <v>Menor que...</v>
      </c>
    </row>
    <row r="27" spans="1:6" x14ac:dyDescent="0.3">
      <c r="A27">
        <f t="shared" si="0"/>
        <v>26</v>
      </c>
      <c r="B27">
        <v>4</v>
      </c>
      <c r="C27" t="str" cm="1">
        <f t="array" ref="C27">GetValue("Categories","Name",B27)</f>
        <v>datetime</v>
      </c>
      <c r="D27">
        <v>2</v>
      </c>
      <c r="E27" s="19" t="str" cm="1">
        <f t="array" ref="E27">GetValue("Comparators","Symbol",D27)</f>
        <v>≤</v>
      </c>
      <c r="F27" t="str" cm="1">
        <f t="array" ref="F27">GetValue("Comparators","Description",D27)</f>
        <v>Menor que ou igual a...</v>
      </c>
    </row>
    <row r="28" spans="1:6" x14ac:dyDescent="0.3">
      <c r="A28">
        <f t="shared" si="0"/>
        <v>27</v>
      </c>
      <c r="B28">
        <v>4</v>
      </c>
      <c r="C28" t="str" cm="1">
        <f t="array" ref="C28">GetValue("Categories","Name",B28)</f>
        <v>datetime</v>
      </c>
      <c r="D28">
        <v>3</v>
      </c>
      <c r="E28" s="19" t="str" cm="1">
        <f t="array" ref="E28">GetValue("Comparators","Symbol",D28)</f>
        <v>=</v>
      </c>
      <c r="F28" t="str" cm="1">
        <f t="array" ref="F28">GetValue("Comparators","Description",D28)</f>
        <v>Igual a...</v>
      </c>
    </row>
    <row r="29" spans="1:6" x14ac:dyDescent="0.3">
      <c r="A29">
        <f t="shared" si="0"/>
        <v>28</v>
      </c>
      <c r="B29">
        <v>4</v>
      </c>
      <c r="C29" t="str" cm="1">
        <f t="array" ref="C29">GetValue("Categories","Name",B29)</f>
        <v>datetime</v>
      </c>
      <c r="D29">
        <v>4</v>
      </c>
      <c r="E29" s="19" t="str" cm="1">
        <f t="array" ref="E29">GetValue("Comparators","Symbol",D29)</f>
        <v>≠</v>
      </c>
      <c r="F29" t="str" cm="1">
        <f t="array" ref="F29">GetValue("Comparators","Description",D29)</f>
        <v>Diferente de...</v>
      </c>
    </row>
    <row r="30" spans="1:6" x14ac:dyDescent="0.3">
      <c r="A30">
        <f t="shared" si="0"/>
        <v>29</v>
      </c>
      <c r="B30">
        <v>4</v>
      </c>
      <c r="C30" t="str" cm="1">
        <f t="array" ref="C30">GetValue("Categories","Name",B30)</f>
        <v>datetime</v>
      </c>
      <c r="D30">
        <v>5</v>
      </c>
      <c r="E30" s="19" t="str" cm="1">
        <f t="array" ref="E30">GetValue("Comparators","Symbol",D30)</f>
        <v>≥</v>
      </c>
      <c r="F30" t="str" cm="1">
        <f t="array" ref="F30">GetValue("Comparators","Description",D30)</f>
        <v>Maior que ou igual a...</v>
      </c>
    </row>
    <row r="31" spans="1:6" x14ac:dyDescent="0.3">
      <c r="A31">
        <f t="shared" si="0"/>
        <v>30</v>
      </c>
      <c r="B31">
        <v>4</v>
      </c>
      <c r="C31" t="str" cm="1">
        <f t="array" ref="C31">GetValue("Categories","Name",B31)</f>
        <v>datetime</v>
      </c>
      <c r="D31">
        <v>6</v>
      </c>
      <c r="E31" s="19" t="str" cm="1">
        <f t="array" ref="E31">GetValue("Comparators","Symbol",D31)</f>
        <v>&gt;</v>
      </c>
      <c r="F31" t="str" cm="1">
        <f t="array" ref="F31">GetValue("Comparators","Description",D31)</f>
        <v>Maior que...</v>
      </c>
    </row>
    <row r="32" spans="1:6" x14ac:dyDescent="0.3">
      <c r="A32">
        <f t="shared" si="0"/>
        <v>31</v>
      </c>
      <c r="B32">
        <v>5</v>
      </c>
      <c r="C32" t="str" cm="1">
        <f t="array" ref="C32">GetValue("Categories","Name",B32)</f>
        <v>boolean</v>
      </c>
      <c r="D32">
        <v>1</v>
      </c>
      <c r="E32" s="19" t="str" cm="1">
        <f t="array" ref="E32">GetValue("Comparators","Symbol",D32)</f>
        <v>&lt;</v>
      </c>
      <c r="F32" t="str" cm="1">
        <f t="array" ref="F32">GetValue("Comparators","Description",D32)</f>
        <v>Menor que...</v>
      </c>
    </row>
    <row r="33" spans="1:6" x14ac:dyDescent="0.3">
      <c r="A33">
        <f t="shared" si="0"/>
        <v>32</v>
      </c>
      <c r="B33">
        <v>5</v>
      </c>
      <c r="C33" t="str" cm="1">
        <f t="array" ref="C33">GetValue("Categories","Name",B33)</f>
        <v>boolean</v>
      </c>
      <c r="D33">
        <v>2</v>
      </c>
      <c r="E33" s="19" t="str" cm="1">
        <f t="array" ref="E33">GetValue("Comparators","Symbol",D33)</f>
        <v>≤</v>
      </c>
      <c r="F33" t="str" cm="1">
        <f t="array" ref="F33">GetValue("Comparators","Description",D33)</f>
        <v>Menor que ou igual a...</v>
      </c>
    </row>
    <row r="34" spans="1:6" x14ac:dyDescent="0.3">
      <c r="A34">
        <f t="shared" si="0"/>
        <v>33</v>
      </c>
      <c r="B34">
        <v>5</v>
      </c>
      <c r="C34" t="str" cm="1">
        <f t="array" ref="C34">GetValue("Categories","Name",B34)</f>
        <v>boolean</v>
      </c>
      <c r="D34">
        <v>3</v>
      </c>
      <c r="E34" s="19" t="str" cm="1">
        <f t="array" ref="E34">GetValue("Comparators","Symbol",D34)</f>
        <v>=</v>
      </c>
      <c r="F34" t="str" cm="1">
        <f t="array" ref="F34">GetValue("Comparators","Description",D34)</f>
        <v>Igual a...</v>
      </c>
    </row>
    <row r="35" spans="1:6" x14ac:dyDescent="0.3">
      <c r="A35">
        <f t="shared" si="0"/>
        <v>34</v>
      </c>
      <c r="B35">
        <v>5</v>
      </c>
      <c r="C35" t="str" cm="1">
        <f t="array" ref="C35">GetValue("Categories","Name",B35)</f>
        <v>boolean</v>
      </c>
      <c r="D35">
        <v>4</v>
      </c>
      <c r="E35" s="19" t="str" cm="1">
        <f t="array" ref="E35">GetValue("Comparators","Symbol",D35)</f>
        <v>≠</v>
      </c>
      <c r="F35" t="str" cm="1">
        <f t="array" ref="F35">GetValue("Comparators","Description",D35)</f>
        <v>Diferente de...</v>
      </c>
    </row>
    <row r="36" spans="1:6" x14ac:dyDescent="0.3">
      <c r="A36">
        <f t="shared" si="0"/>
        <v>35</v>
      </c>
      <c r="B36">
        <v>5</v>
      </c>
      <c r="C36" t="str" cm="1">
        <f t="array" ref="C36">GetValue("Categories","Name",B36)</f>
        <v>boolean</v>
      </c>
      <c r="D36">
        <v>5</v>
      </c>
      <c r="E36" s="19" t="str" cm="1">
        <f t="array" ref="E36">GetValue("Comparators","Symbol",D36)</f>
        <v>≥</v>
      </c>
      <c r="F36" t="str" cm="1">
        <f t="array" ref="F36">GetValue("Comparators","Description",D36)</f>
        <v>Maior que ou igual a...</v>
      </c>
    </row>
    <row r="37" spans="1:6" x14ac:dyDescent="0.3">
      <c r="A37">
        <f t="shared" si="0"/>
        <v>36</v>
      </c>
      <c r="B37">
        <v>5</v>
      </c>
      <c r="C37" t="str" cm="1">
        <f t="array" ref="C37">GetValue("Categories","Name",B37)</f>
        <v>boolean</v>
      </c>
      <c r="D37">
        <v>6</v>
      </c>
      <c r="E37" s="19" t="str" cm="1">
        <f t="array" ref="E37">GetValue("Comparators","Symbol",D37)</f>
        <v>&gt;</v>
      </c>
      <c r="F37" t="str" cm="1">
        <f t="array" ref="F37">GetValue("Comparators","Description",D37)</f>
        <v>Maior que...</v>
      </c>
    </row>
    <row r="38" spans="1:6" x14ac:dyDescent="0.3">
      <c r="A38">
        <f t="shared" si="0"/>
        <v>37</v>
      </c>
      <c r="B38">
        <v>7</v>
      </c>
      <c r="C38" t="str" cm="1">
        <f t="array" ref="C38">GetValue("Categories","Name",B38)</f>
        <v>text</v>
      </c>
      <c r="D38">
        <v>3</v>
      </c>
      <c r="E38" s="19" t="str" cm="1">
        <f t="array" ref="E38">GetValue("Comparators","Symbol",D38)</f>
        <v>=</v>
      </c>
      <c r="F38" t="str" cm="1">
        <f t="array" ref="F38">GetValue("Comparators","Description",D38)</f>
        <v>Igual a...</v>
      </c>
    </row>
    <row r="39" spans="1:6" x14ac:dyDescent="0.3">
      <c r="A39">
        <f t="shared" si="0"/>
        <v>38</v>
      </c>
      <c r="B39">
        <v>7</v>
      </c>
      <c r="C39" t="str" cm="1">
        <f t="array" ref="C39">GetValue("Categories","Name",B39)</f>
        <v>text</v>
      </c>
      <c r="D39">
        <v>4</v>
      </c>
      <c r="E39" s="19" t="str" cm="1">
        <f t="array" ref="E39">GetValue("Comparators","Symbol",D39)</f>
        <v>≠</v>
      </c>
      <c r="F39" t="str" cm="1">
        <f t="array" ref="F39">GetValue("Comparators","Description",D39)</f>
        <v>Diferente de...</v>
      </c>
    </row>
    <row r="40" spans="1:6" x14ac:dyDescent="0.3">
      <c r="A40">
        <f t="shared" si="0"/>
        <v>39</v>
      </c>
      <c r="B40">
        <v>7</v>
      </c>
      <c r="C40" t="str" cm="1">
        <f t="array" ref="C40">GetValue("Categories","Name",B40)</f>
        <v>text</v>
      </c>
      <c r="D40">
        <v>9</v>
      </c>
      <c r="E40" s="19" t="str" cm="1">
        <f t="array" ref="E40">GetValue("Comparators","Symbol",D40)</f>
        <v>⊃</v>
      </c>
      <c r="F40" t="str" cm="1">
        <f t="array" ref="F40">GetValue("Comparators","Description",D40)</f>
        <v>LIKE</v>
      </c>
    </row>
    <row r="41" spans="1:6" x14ac:dyDescent="0.3">
      <c r="A41">
        <f t="shared" si="0"/>
        <v>40</v>
      </c>
      <c r="B41">
        <v>7</v>
      </c>
      <c r="C41" t="str" cm="1">
        <f t="array" ref="C41">GetValue("Categories","Name",B41)</f>
        <v>text</v>
      </c>
      <c r="D41">
        <v>10</v>
      </c>
      <c r="E41" s="19" t="str" cm="1">
        <f t="array" ref="E41">GetValue("Comparators","Symbol",D41)</f>
        <v>⊅</v>
      </c>
      <c r="F41" t="str" cm="1">
        <f t="array" ref="F41">GetValue("Comparators","Description",D41)</f>
        <v>NOT LIKE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588</v>
      </c>
      <c r="B1" s="1" t="s">
        <v>25</v>
      </c>
      <c r="C1" s="1" t="s">
        <v>325</v>
      </c>
      <c r="D1" s="1" t="s">
        <v>1</v>
      </c>
      <c r="E1" s="1" t="s">
        <v>342</v>
      </c>
      <c r="F1" s="1" t="s">
        <v>361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347</v>
      </c>
      <c r="O1" s="1" t="s">
        <v>290</v>
      </c>
      <c r="P1" s="1" t="s">
        <v>514</v>
      </c>
      <c r="Q1" s="2" t="s">
        <v>33</v>
      </c>
    </row>
    <row r="2" spans="1:17" x14ac:dyDescent="0.3">
      <c r="A2">
        <f>ROW(A2)-1</f>
        <v>1</v>
      </c>
      <c r="B2">
        <v>2</v>
      </c>
      <c r="C2" t="str" cm="1">
        <f t="array" ref="C2">GetValue("Categories","Name",B2)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 cm="1">
        <f t="array" ref="C3">GetValue("Categories","Name",B3)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 cm="1">
        <f t="array" ref="C4">GetValue("Categories","Name",B4)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 cm="1">
        <f t="array" ref="C6">GetValue("Categories","Name",B6)</f>
        <v>date</v>
      </c>
      <c r="D6" t="s">
        <v>15</v>
      </c>
      <c r="E6" t="str">
        <f t="shared" si="1"/>
        <v>date</v>
      </c>
      <c r="F6">
        <v>10</v>
      </c>
      <c r="G6" s="6" t="s">
        <v>461</v>
      </c>
      <c r="H6" s="6" t="s">
        <v>462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 cm="1">
        <f t="array" ref="C7">GetValue("Categories","Name",B7)</f>
        <v>datetime</v>
      </c>
      <c r="D7" t="s">
        <v>16</v>
      </c>
      <c r="E7" t="str">
        <f t="shared" si="1"/>
        <v>datetime</v>
      </c>
      <c r="F7">
        <v>20</v>
      </c>
      <c r="G7" s="6" t="s">
        <v>463</v>
      </c>
      <c r="H7" s="6" t="s">
        <v>464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 cm="1">
        <f t="array" ref="C8">GetValue("Categories","Name",B8)</f>
        <v>datetime</v>
      </c>
      <c r="D8" t="s">
        <v>38</v>
      </c>
      <c r="E8" t="str">
        <f t="shared" si="1"/>
        <v>datetime2</v>
      </c>
      <c r="F8">
        <v>25</v>
      </c>
      <c r="G8" s="6" t="s">
        <v>465</v>
      </c>
      <c r="H8" s="6" t="s">
        <v>466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 cm="1">
        <f t="array" ref="C9">GetValue("Categories","Name",B9)</f>
        <v>datetime</v>
      </c>
      <c r="D9" t="s">
        <v>39</v>
      </c>
      <c r="E9" t="str">
        <f t="shared" si="1"/>
        <v>datetimeoffset</v>
      </c>
      <c r="F9">
        <v>25</v>
      </c>
      <c r="G9" s="6" t="s">
        <v>465</v>
      </c>
      <c r="H9" s="6" t="s">
        <v>466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 cm="1">
        <f t="array" ref="C10">GetValue("Categories","Name",B10)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 cm="1">
        <f t="array" ref="C11">GetValue("Categories","Name",B11)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 cm="1">
        <f t="array" ref="C12">GetValue("Categories","Name",B12)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 cm="1">
        <f t="array" ref="C13">GetValue("Categories","Name",B13)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 cm="1">
        <f t="array" ref="C15">GetValue("Categories","Name",B15)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 cm="1">
        <f t="array" ref="C18">GetValue("Categories","Name",B18)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 cm="1">
        <f t="array" ref="C19">GetValue("Categories","Name",B19)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 cm="1">
        <f t="array" ref="C21">GetValue("Categories","Name",B21)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 cm="1">
        <f t="array" ref="C22">GetValue("Categories","Name",B22)</f>
        <v>text</v>
      </c>
      <c r="D22" t="s">
        <v>389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 cm="1">
        <f t="array" ref="C24">GetValue("Categories","Name",B24)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467</v>
      </c>
      <c r="H24" s="6" t="s">
        <v>468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 cm="1">
        <f t="array" ref="C27">GetValue("Categories","Name",B27)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 cm="1">
        <f t="array" ref="C28">GetValue("Categories","Name",B28)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 cm="1">
        <f t="array" ref="C29">GetValue("Categories","Name",B29)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 cm="1">
        <f t="array" ref="C30">GetValue("Categories","Name",B30)</f>
        <v>time</v>
      </c>
      <c r="D30" t="s">
        <v>20</v>
      </c>
      <c r="E30" t="str">
        <f t="shared" si="1"/>
        <v>time</v>
      </c>
      <c r="F30">
        <v>15</v>
      </c>
      <c r="G30" s="6" t="s">
        <v>469</v>
      </c>
      <c r="H30" s="6" t="s">
        <v>470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 cm="1">
        <f t="array" ref="C31">GetValue("Categories","Name",B31)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 cm="1">
        <f t="array" ref="C32">GetValue("Categories","Name",B32)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 cm="1">
        <f t="array" ref="C33">GetValue("Categories","Name",B33)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 cm="1">
        <f t="array" ref="C34">GetValue("Categories","Name",B34)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 cm="1">
        <f t="array" ref="C35">GetValue("Categories","Name",B35)</f>
        <v>binary</v>
      </c>
      <c r="D35" t="s">
        <v>390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 cm="1">
        <f t="array" ref="C36">GetValue("Categories","Name",B36)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 cm="1">
        <f t="array" ref="C37">GetValue("Categories","Name",B37)</f>
        <v>text</v>
      </c>
      <c r="D37" t="s">
        <v>388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 cm="1">
        <f t="array" ref="C38">GetValue("Categories","Name",B38)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588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483</v>
      </c>
      <c r="C7" t="s">
        <v>489</v>
      </c>
    </row>
    <row r="8" spans="1:3" x14ac:dyDescent="0.3">
      <c r="A8">
        <f>ROW(A8)-1</f>
        <v>7</v>
      </c>
      <c r="B8" t="s">
        <v>482</v>
      </c>
      <c r="C8" t="s">
        <v>82</v>
      </c>
    </row>
    <row r="9" spans="1:3" x14ac:dyDescent="0.3">
      <c r="A9">
        <f t="shared" si="0"/>
        <v>8</v>
      </c>
      <c r="B9" t="s">
        <v>484</v>
      </c>
      <c r="C9" t="s">
        <v>510</v>
      </c>
    </row>
    <row r="10" spans="1:3" x14ac:dyDescent="0.3">
      <c r="A10">
        <f t="shared" si="0"/>
        <v>9</v>
      </c>
      <c r="B10" t="s">
        <v>494</v>
      </c>
      <c r="C10" t="s">
        <v>490</v>
      </c>
    </row>
    <row r="11" spans="1:3" x14ac:dyDescent="0.3">
      <c r="A11">
        <f>ROW(A11)-1</f>
        <v>10</v>
      </c>
      <c r="B11" t="s">
        <v>495</v>
      </c>
      <c r="C11" t="s">
        <v>488</v>
      </c>
    </row>
    <row r="12" spans="1:3" x14ac:dyDescent="0.3">
      <c r="A12">
        <f t="shared" si="0"/>
        <v>11</v>
      </c>
      <c r="B12" t="s">
        <v>496</v>
      </c>
      <c r="C12" t="s">
        <v>509</v>
      </c>
    </row>
    <row r="13" spans="1:3" x14ac:dyDescent="0.3">
      <c r="A13">
        <f t="shared" si="0"/>
        <v>12</v>
      </c>
      <c r="B13" t="s">
        <v>485</v>
      </c>
      <c r="C13" t="s">
        <v>498</v>
      </c>
    </row>
    <row r="14" spans="1:3" x14ac:dyDescent="0.3">
      <c r="A14">
        <f>ROW(A14)-1</f>
        <v>13</v>
      </c>
      <c r="B14" t="s">
        <v>486</v>
      </c>
      <c r="C14" t="s">
        <v>497</v>
      </c>
    </row>
    <row r="15" spans="1:3" x14ac:dyDescent="0.3">
      <c r="A15">
        <f t="shared" si="0"/>
        <v>14</v>
      </c>
      <c r="B15" t="s">
        <v>487</v>
      </c>
      <c r="C15" t="s">
        <v>508</v>
      </c>
    </row>
    <row r="16" spans="1:3" x14ac:dyDescent="0.3">
      <c r="A16">
        <f t="shared" si="0"/>
        <v>15</v>
      </c>
      <c r="B16" t="s">
        <v>491</v>
      </c>
      <c r="C16" t="s">
        <v>500</v>
      </c>
    </row>
    <row r="17" spans="1:3" x14ac:dyDescent="0.3">
      <c r="A17">
        <f>ROW(A17)-1</f>
        <v>16</v>
      </c>
      <c r="B17" t="s">
        <v>492</v>
      </c>
      <c r="C17" t="s">
        <v>499</v>
      </c>
    </row>
    <row r="18" spans="1:3" x14ac:dyDescent="0.3">
      <c r="A18">
        <f t="shared" si="0"/>
        <v>17</v>
      </c>
      <c r="B18" t="s">
        <v>493</v>
      </c>
      <c r="C18" t="s">
        <v>507</v>
      </c>
    </row>
    <row r="19" spans="1:3" x14ac:dyDescent="0.3">
      <c r="A19">
        <f t="shared" ref="A19:A26" si="1">ROW(A19)-1</f>
        <v>18</v>
      </c>
      <c r="B19" t="s">
        <v>478</v>
      </c>
      <c r="C19" t="s">
        <v>479</v>
      </c>
    </row>
    <row r="20" spans="1:3" x14ac:dyDescent="0.3">
      <c r="A20">
        <f t="shared" si="1"/>
        <v>19</v>
      </c>
      <c r="B20" t="s">
        <v>477</v>
      </c>
      <c r="C20" t="s">
        <v>474</v>
      </c>
    </row>
    <row r="21" spans="1:3" x14ac:dyDescent="0.3">
      <c r="A21">
        <f t="shared" si="1"/>
        <v>20</v>
      </c>
      <c r="B21" t="s">
        <v>480</v>
      </c>
      <c r="C21" t="s">
        <v>481</v>
      </c>
    </row>
    <row r="22" spans="1:3" x14ac:dyDescent="0.3">
      <c r="A22">
        <f t="shared" si="1"/>
        <v>21</v>
      </c>
      <c r="B22" t="s">
        <v>504</v>
      </c>
      <c r="C22" t="s">
        <v>501</v>
      </c>
    </row>
    <row r="23" spans="1:3" x14ac:dyDescent="0.3">
      <c r="A23">
        <f t="shared" si="1"/>
        <v>22</v>
      </c>
      <c r="B23" t="s">
        <v>505</v>
      </c>
      <c r="C23" t="s">
        <v>502</v>
      </c>
    </row>
    <row r="24" spans="1:3" x14ac:dyDescent="0.3">
      <c r="A24">
        <f t="shared" si="1"/>
        <v>23</v>
      </c>
      <c r="B24" t="s">
        <v>506</v>
      </c>
      <c r="C24" t="s">
        <v>503</v>
      </c>
    </row>
    <row r="25" spans="1:3" x14ac:dyDescent="0.3">
      <c r="A25">
        <f t="shared" si="1"/>
        <v>24</v>
      </c>
      <c r="B25" t="s">
        <v>475</v>
      </c>
      <c r="C25" t="s">
        <v>476</v>
      </c>
    </row>
    <row r="26" spans="1:3" x14ac:dyDescent="0.3">
      <c r="A26">
        <f t="shared" si="1"/>
        <v>25</v>
      </c>
      <c r="B26" t="s">
        <v>512</v>
      </c>
      <c r="C26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G3" sqref="G3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588</v>
      </c>
      <c r="B1" s="1" t="s">
        <v>62</v>
      </c>
      <c r="C1" s="1" t="s">
        <v>326</v>
      </c>
      <c r="D1" s="1" t="s">
        <v>325</v>
      </c>
      <c r="E1" s="1" t="s">
        <v>342</v>
      </c>
      <c r="F1" s="1" t="s">
        <v>63</v>
      </c>
      <c r="G1" s="1" t="s">
        <v>327</v>
      </c>
      <c r="H1" s="1" t="s">
        <v>513</v>
      </c>
      <c r="I1" s="1" t="s">
        <v>1</v>
      </c>
      <c r="J1" s="1" t="s">
        <v>64</v>
      </c>
      <c r="K1" s="1" t="s">
        <v>65</v>
      </c>
      <c r="L1" s="1" t="s">
        <v>299</v>
      </c>
      <c r="M1" s="1" t="s">
        <v>66</v>
      </c>
      <c r="N1" s="1" t="s">
        <v>26</v>
      </c>
      <c r="O1" s="1" t="s">
        <v>27</v>
      </c>
      <c r="P1" s="1" t="s">
        <v>291</v>
      </c>
    </row>
    <row r="2" spans="1:16" x14ac:dyDescent="0.3">
      <c r="A2">
        <f t="shared" ref="A2:A13" si="0">ROW(A2)-1</f>
        <v>1</v>
      </c>
      <c r="B2">
        <v>1</v>
      </c>
      <c r="C2" t="str" cm="1">
        <f t="array" ref="C2">GetValue("Types","Name",B2)</f>
        <v>bigint</v>
      </c>
      <c r="D2" t="str" cm="1">
        <f t="array" ref="D2">GetValue("Types","#CategoryName",B2)</f>
        <v>number</v>
      </c>
      <c r="E2" t="str" cm="1">
        <f t="array" ref="E2">GetDataType(A2)</f>
        <v>bigint</v>
      </c>
      <c r="F2">
        <v>1</v>
      </c>
      <c r="G2" t="str" cm="1">
        <f t="array" ref="G2">GetValue("Masks","Name",F2)</f>
        <v>BigInteger</v>
      </c>
      <c r="H2" t="str" cm="1">
        <f t="array" ref="H2">GetValue("Masks","Mask",F2)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 cm="1">
        <f t="array" ref="C3">GetValue("Types","Name",B3)</f>
        <v>int</v>
      </c>
      <c r="D3" t="str" cm="1">
        <f t="array" ref="D3">GetValue("Types","#CategoryName",B3)</f>
        <v>number</v>
      </c>
      <c r="E3" t="str" cm="1">
        <f t="array" ref="E3">GetDataType(A3)</f>
        <v>int</v>
      </c>
      <c r="F3">
        <v>2</v>
      </c>
      <c r="G3" t="str" cm="1">
        <f t="array" ref="G3">GetValue("Masks","Name",F3)</f>
        <v>Integer</v>
      </c>
      <c r="H3" t="str" cm="1">
        <f t="array" ref="H3">GetValue("Masks","Mask",F3)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 cm="1">
        <f t="array" ref="C4">GetValue("Types","Name",B4)</f>
        <v>int</v>
      </c>
      <c r="D4" t="str" cm="1">
        <f t="array" ref="D4">GetValue("Types","#CategoryName",B4)</f>
        <v>number</v>
      </c>
      <c r="E4" t="str" cm="1">
        <f t="array" ref="E4">GetDataType(A4)</f>
        <v>int</v>
      </c>
      <c r="F4">
        <v>5</v>
      </c>
      <c r="G4" t="str" cm="1">
        <f t="array" ref="G4">GetValue("Masks","Name",F4)</f>
        <v>ShortInteger</v>
      </c>
      <c r="H4" t="str" cm="1">
        <f t="array" ref="H4">GetValue("Masks","Mask",F4)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 cm="1">
        <f t="array" ref="C5">GetValue("Types","Name",B5)</f>
        <v>smallint</v>
      </c>
      <c r="D5" t="str" cm="1">
        <f t="array" ref="D5">GetValue("Types","#CategoryName",B5)</f>
        <v>number</v>
      </c>
      <c r="E5" t="str" cm="1">
        <f t="array" ref="E5">GetDataType(A5)</f>
        <v>smallint</v>
      </c>
      <c r="F5">
        <v>3</v>
      </c>
      <c r="G5" t="str" cm="1">
        <f t="array" ref="G5">GetValue("Masks","Name",F5)</f>
        <v>SmallInteger</v>
      </c>
      <c r="H5" t="str" cm="1">
        <f t="array" ref="H5">GetValue("Masks","Mask",F5)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 cm="1">
        <f t="array" ref="C6">GetValue("Types","Name",B6)</f>
        <v>tinyint</v>
      </c>
      <c r="D6" t="str" cm="1">
        <f t="array" ref="D6">GetValue("Types","#CategoryName",B6)</f>
        <v>number</v>
      </c>
      <c r="E6" t="str" cm="1">
        <f t="array" ref="E6">GetDataType(A6)</f>
        <v>tinyint</v>
      </c>
      <c r="F6">
        <v>4</v>
      </c>
      <c r="G6" t="str" cm="1">
        <f t="array" ref="G6">GetValue("Masks","Name",F6)</f>
        <v>TinyInteger</v>
      </c>
      <c r="H6" t="str" cm="1">
        <f t="array" ref="H6">GetValue("Masks","Mask",F6)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 cm="1">
        <f t="array" ref="C7">GetValue("Types","Name",B7)</f>
        <v>bit</v>
      </c>
      <c r="D7" t="str" cm="1">
        <f t="array" ref="D7">GetValue("Types","#CategoryName",B7)</f>
        <v>boolean</v>
      </c>
      <c r="E7" t="str" cm="1">
        <f t="array" ref="E7">GetDataType(A7)</f>
        <v>bit</v>
      </c>
      <c r="G7" t="str" cm="1">
        <f t="array" ref="G7">GetValue("Masks","Name",F7)</f>
        <v/>
      </c>
      <c r="H7" t="str" cm="1">
        <f t="array" ref="H7">GetValue("Masks","Mask",F7)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 cm="1">
        <f t="array" ref="C8">GetValue("Types","Name",B8)</f>
        <v>nvarchar</v>
      </c>
      <c r="D8" t="str" cm="1">
        <f t="array" ref="D8">GetValue("Types","#CategoryName",B8)</f>
        <v>string</v>
      </c>
      <c r="E8" t="str" cm="1">
        <f t="array" ref="E8">GetDataType(A8)</f>
        <v>nvarchar(15)</v>
      </c>
      <c r="G8" t="str" cm="1">
        <f t="array" ref="G8">GetValue("Masks","Name",F8)</f>
        <v/>
      </c>
      <c r="H8" t="str" cm="1">
        <f t="array" ref="H8">GetValue("Masks","Mask",F8)</f>
        <v/>
      </c>
      <c r="I8" t="s">
        <v>391</v>
      </c>
      <c r="J8">
        <v>15</v>
      </c>
    </row>
    <row r="9" spans="1:16" x14ac:dyDescent="0.3">
      <c r="A9">
        <f t="shared" si="0"/>
        <v>8</v>
      </c>
      <c r="B9">
        <v>20</v>
      </c>
      <c r="C9" t="str" cm="1">
        <f t="array" ref="C9">GetValue("Types","Name",B9)</f>
        <v>nvarchar</v>
      </c>
      <c r="D9" t="str" cm="1">
        <f t="array" ref="D9">GetValue("Types","#CategoryName",B9)</f>
        <v>string</v>
      </c>
      <c r="E9" t="str" cm="1">
        <f t="array" ref="E9">GetDataType(A9)</f>
        <v>nvarchar(20)</v>
      </c>
      <c r="G9" t="str" cm="1">
        <f t="array" ref="G9">GetValue("Masks","Name",F9)</f>
        <v/>
      </c>
      <c r="H9" t="str" cm="1">
        <f t="array" ref="H9">GetValue("Masks","Mask",F9)</f>
        <v/>
      </c>
      <c r="I9" t="s">
        <v>392</v>
      </c>
      <c r="J9">
        <v>20</v>
      </c>
    </row>
    <row r="10" spans="1:16" x14ac:dyDescent="0.3">
      <c r="A10">
        <f t="shared" si="0"/>
        <v>9</v>
      </c>
      <c r="B10">
        <v>20</v>
      </c>
      <c r="C10" t="str" cm="1">
        <f t="array" ref="C10">GetValue("Types","Name",B10)</f>
        <v>nvarchar</v>
      </c>
      <c r="D10" t="str" cm="1">
        <f t="array" ref="D10">GetValue("Types","#CategoryName",B10)</f>
        <v>string</v>
      </c>
      <c r="E10" t="str" cm="1">
        <f t="array" ref="E10">GetDataType(A10)</f>
        <v>nvarchar(25)</v>
      </c>
      <c r="G10" t="str" cm="1">
        <f t="array" ref="G10">GetValue("Masks","Name",F10)</f>
        <v/>
      </c>
      <c r="H10" t="str" cm="1">
        <f t="array" ref="H10">GetValue("Masks","Mask",F10)</f>
        <v/>
      </c>
      <c r="I10" t="s">
        <v>393</v>
      </c>
      <c r="J10">
        <v>25</v>
      </c>
    </row>
    <row r="11" spans="1:16" x14ac:dyDescent="0.3">
      <c r="A11">
        <f t="shared" si="0"/>
        <v>10</v>
      </c>
      <c r="B11">
        <v>20</v>
      </c>
      <c r="C11" t="str" cm="1">
        <f t="array" ref="C11">GetValue("Types","Name",B11)</f>
        <v>nvarchar</v>
      </c>
      <c r="D11" t="str" cm="1">
        <f t="array" ref="D11">GetValue("Types","#CategoryName",B11)</f>
        <v>string</v>
      </c>
      <c r="E11" t="str" cm="1">
        <f t="array" ref="E11">GetDataType(A11)</f>
        <v>nvarchar(50)</v>
      </c>
      <c r="G11" t="str" cm="1">
        <f t="array" ref="G11">GetValue("Masks","Name",F11)</f>
        <v/>
      </c>
      <c r="H11" t="str" cm="1">
        <f t="array" ref="H11">GetValue("Masks","Mask",F11)</f>
        <v/>
      </c>
      <c r="I11" t="s">
        <v>394</v>
      </c>
      <c r="J11">
        <v>50</v>
      </c>
    </row>
    <row r="12" spans="1:16" x14ac:dyDescent="0.3">
      <c r="A12">
        <f t="shared" si="0"/>
        <v>11</v>
      </c>
      <c r="B12">
        <v>20</v>
      </c>
      <c r="C12" t="str" cm="1">
        <f t="array" ref="C12">GetValue("Types","Name",B12)</f>
        <v>nvarchar</v>
      </c>
      <c r="D12" t="str" cm="1">
        <f t="array" ref="D12">GetValue("Types","#CategoryName",B12)</f>
        <v>string</v>
      </c>
      <c r="E12" t="str" cm="1">
        <f t="array" ref="E12">GetDataType(A12)</f>
        <v>nvarchar(256)</v>
      </c>
      <c r="G12" t="str" cm="1">
        <f t="array" ref="G12">GetValue("Masks","Name",F12)</f>
        <v/>
      </c>
      <c r="H12" t="str" cm="1">
        <f t="array" ref="H12">GetValue("Masks","Mask",F12)</f>
        <v/>
      </c>
      <c r="I12" t="s">
        <v>395</v>
      </c>
      <c r="J12">
        <v>256</v>
      </c>
    </row>
    <row r="13" spans="1:16" x14ac:dyDescent="0.3">
      <c r="A13">
        <f t="shared" si="0"/>
        <v>12</v>
      </c>
      <c r="B13">
        <v>21</v>
      </c>
      <c r="C13" t="str" cm="1">
        <f t="array" ref="C13">GetValue("Types","Name",B13)</f>
        <v>nvarchar(max)</v>
      </c>
      <c r="D13" t="str" cm="1">
        <f t="array" ref="D13">GetValue("Types","#CategoryName",B13)</f>
        <v>text</v>
      </c>
      <c r="E13" t="str" cm="1">
        <f t="array" ref="E13">GetDataType(A13)</f>
        <v>nvarchar(max)</v>
      </c>
      <c r="G13" t="str" cm="1">
        <f t="array" ref="G13">GetValue("Masks","Name",F13)</f>
        <v/>
      </c>
      <c r="H13" t="str" cm="1">
        <f t="array" ref="H13">GetValue("Masks","Mask",F13)</f>
        <v/>
      </c>
      <c r="I13" t="s">
        <v>396</v>
      </c>
    </row>
    <row r="14" spans="1:16" x14ac:dyDescent="0.3">
      <c r="A14">
        <f t="shared" ref="A14:A25" si="1">ROW(A14)-1</f>
        <v>13</v>
      </c>
      <c r="B14">
        <v>21</v>
      </c>
      <c r="C14" t="str" cm="1">
        <f t="array" ref="C14">GetValue("Types","Name",B14)</f>
        <v>nvarchar(max)</v>
      </c>
      <c r="D14" t="str" cm="1">
        <f t="array" ref="D14">GetValue("Types","#CategoryName",B14)</f>
        <v>text</v>
      </c>
      <c r="E14" t="str" cm="1">
        <f t="array" ref="E14">GetDataType(A14)</f>
        <v>nvarchar(max)</v>
      </c>
      <c r="G14" t="str" cm="1">
        <f t="array" ref="G14">GetValue("Masks","Name",F14)</f>
        <v/>
      </c>
      <c r="H14" t="str" cm="1">
        <f t="array" ref="H14">GetValue("Masks","Mask",F14)</f>
        <v/>
      </c>
      <c r="I14" t="s">
        <v>73</v>
      </c>
      <c r="P14" t="s">
        <v>525</v>
      </c>
    </row>
    <row r="15" spans="1:16" x14ac:dyDescent="0.3">
      <c r="A15">
        <f t="shared" si="1"/>
        <v>14</v>
      </c>
      <c r="B15">
        <v>21</v>
      </c>
      <c r="C15" t="str" cm="1">
        <f t="array" ref="C15">GetValue("Types","Name",B15)</f>
        <v>nvarchar(max)</v>
      </c>
      <c r="D15" t="str" cm="1">
        <f t="array" ref="D15">GetValue("Types","#CategoryName",B15)</f>
        <v>text</v>
      </c>
      <c r="E15" t="str" cm="1">
        <f t="array" ref="E15">GetDataType(A15)</f>
        <v>nvarchar(max)</v>
      </c>
      <c r="G15" t="str" cm="1">
        <f t="array" ref="G15">GetValue("Masks","Name",F15)</f>
        <v/>
      </c>
      <c r="H15" t="str" cm="1">
        <f t="array" ref="H15">GetValue("Masks","Mask",F15)</f>
        <v/>
      </c>
      <c r="I15" t="s">
        <v>74</v>
      </c>
      <c r="P15" t="s">
        <v>526</v>
      </c>
    </row>
    <row r="16" spans="1:16" x14ac:dyDescent="0.3">
      <c r="A16">
        <f>ROW(A16)-1</f>
        <v>15</v>
      </c>
      <c r="B16">
        <v>21</v>
      </c>
      <c r="C16" t="str" cm="1">
        <f t="array" ref="C16">GetValue("Types","Name",B16)</f>
        <v>nvarchar(max)</v>
      </c>
      <c r="D16" t="str" cm="1">
        <f t="array" ref="D16">GetValue("Types","#CategoryName",B16)</f>
        <v>text</v>
      </c>
      <c r="E16" t="str" cm="1">
        <f t="array" ref="E16">GetDataType(A16)</f>
        <v>nvarchar(max)</v>
      </c>
      <c r="G16" t="str" cm="1">
        <f t="array" ref="G16">GetValue("Masks","Name",F16)</f>
        <v/>
      </c>
      <c r="H16" t="str" cm="1">
        <f t="array" ref="H16">GetValue("Masks","Mask",F16)</f>
        <v/>
      </c>
      <c r="I16" t="s">
        <v>83</v>
      </c>
      <c r="P16" t="s">
        <v>527</v>
      </c>
    </row>
    <row r="17" spans="1:12" x14ac:dyDescent="0.3">
      <c r="A17">
        <f t="shared" si="1"/>
        <v>16</v>
      </c>
      <c r="B17">
        <v>6</v>
      </c>
      <c r="C17" t="str" cm="1">
        <f t="array" ref="C17">GetValue("Types","Name",B17)</f>
        <v>datetime</v>
      </c>
      <c r="D17" t="str" cm="1">
        <f t="array" ref="D17">GetValue("Types","#CategoryName",B17)</f>
        <v>datetime</v>
      </c>
      <c r="E17" t="str" cm="1">
        <f t="array" ref="E17">GetDataType(A17)</f>
        <v>datetime</v>
      </c>
      <c r="F17">
        <v>7</v>
      </c>
      <c r="G17" t="str" cm="1">
        <f t="array" ref="G17">GetValue("Masks","Name",F17)</f>
        <v>Brithish DateTime</v>
      </c>
      <c r="H17" t="str" cm="1">
        <f t="array" ref="H17">GetValue("Masks","Mask",F17)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 cm="1">
        <f t="array" ref="C18">GetValue("Types","Name",B18)</f>
        <v>nvarchar(max)</v>
      </c>
      <c r="D18" t="str" cm="1">
        <f t="array" ref="D18">GetValue("Types","#CategoryName",B18)</f>
        <v>text</v>
      </c>
      <c r="E18" t="str" cm="1">
        <f t="array" ref="E18">GetDataType(A18)</f>
        <v>nvarchar(max)</v>
      </c>
      <c r="G18" t="str" cm="1">
        <f t="array" ref="G18">GetValue("Masks","Name",F18)</f>
        <v/>
      </c>
      <c r="H18" t="str" cm="1">
        <f t="array" ref="H18">GetValue("Masks","Mask",F18)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 cm="1">
        <f t="array" ref="C19">GetValue("Types","Name",B19)</f>
        <v>nvarchar</v>
      </c>
      <c r="D19" t="str" cm="1">
        <f t="array" ref="D19">GetValue("Types","#CategoryName",B19)</f>
        <v>string</v>
      </c>
      <c r="E19" t="str" cm="1">
        <f t="array" ref="E19">GetDataType(A19)</f>
        <v>nvarchar(5)</v>
      </c>
      <c r="G19" t="str" cm="1">
        <f t="array" ref="G19">GetValue("Masks","Name",F19)</f>
        <v/>
      </c>
      <c r="H19" t="str" cm="1">
        <f t="array" ref="H19">GetValue("Masks","Mask",F19)</f>
        <v/>
      </c>
      <c r="I19" t="s">
        <v>291</v>
      </c>
      <c r="J19">
        <v>5</v>
      </c>
      <c r="L19" t="s">
        <v>524</v>
      </c>
    </row>
    <row r="20" spans="1:12" x14ac:dyDescent="0.3">
      <c r="A20">
        <f t="shared" si="1"/>
        <v>19</v>
      </c>
      <c r="B20">
        <v>20</v>
      </c>
      <c r="C20" t="str" cm="1">
        <f t="array" ref="C20">GetValue("Types","Name",B20)</f>
        <v>nvarchar</v>
      </c>
      <c r="D20" t="str" cm="1">
        <f t="array" ref="D20">GetValue("Types","#CategoryName",B20)</f>
        <v>string</v>
      </c>
      <c r="E20" t="str" cm="1">
        <f t="array" ref="E20">GetDataType(A20)</f>
        <v>nvarchar(10)</v>
      </c>
      <c r="G20" t="str" cm="1">
        <f t="array" ref="G20">GetValue("Masks","Name",F20)</f>
        <v/>
      </c>
      <c r="H20" t="str" cm="1">
        <f t="array" ref="H20">GetValue("Masks","Mask",F20)</f>
        <v/>
      </c>
      <c r="I20" t="s">
        <v>2</v>
      </c>
      <c r="J20">
        <v>10</v>
      </c>
      <c r="L20" t="s">
        <v>293</v>
      </c>
    </row>
    <row r="21" spans="1:12" x14ac:dyDescent="0.3">
      <c r="A21">
        <f t="shared" si="1"/>
        <v>20</v>
      </c>
      <c r="B21">
        <v>20</v>
      </c>
      <c r="C21" t="str" cm="1">
        <f t="array" ref="C21">GetValue("Types","Name",B21)</f>
        <v>nvarchar</v>
      </c>
      <c r="D21" t="str" cm="1">
        <f t="array" ref="D21">GetValue("Types","#CategoryName",B21)</f>
        <v>string</v>
      </c>
      <c r="E21" t="str" cm="1">
        <f t="array" ref="E21">GetDataType(A21)</f>
        <v>nvarchar(6)</v>
      </c>
      <c r="G21" t="str" cm="1">
        <f t="array" ref="G21">GetValue("Masks","Name",F21)</f>
        <v/>
      </c>
      <c r="H21" t="str" cm="1">
        <f t="array" ref="H21">GetValue("Masks","Mask",F21)</f>
        <v/>
      </c>
      <c r="I21" t="s">
        <v>3</v>
      </c>
      <c r="J21">
        <v>6</v>
      </c>
      <c r="L21" t="s">
        <v>323</v>
      </c>
    </row>
    <row r="22" spans="1:12" x14ac:dyDescent="0.3">
      <c r="A22">
        <f t="shared" si="1"/>
        <v>21</v>
      </c>
      <c r="B22">
        <v>20</v>
      </c>
      <c r="C22" t="str" cm="1">
        <f t="array" ref="C22">GetValue("Types","Name",B22)</f>
        <v>nvarchar</v>
      </c>
      <c r="D22" t="str" cm="1">
        <f t="array" ref="D22">GetValue("Types","#CategoryName",B22)</f>
        <v>string</v>
      </c>
      <c r="E22" t="str" cm="1">
        <f t="array" ref="E22">GetDataType(A22)</f>
        <v>nvarchar(15)</v>
      </c>
      <c r="G22" t="str" cm="1">
        <f t="array" ref="G22">GetValue("Masks","Name",F22)</f>
        <v/>
      </c>
      <c r="H22" t="str" cm="1">
        <f t="array" ref="H22">GetValue("Masks","Mask",F22)</f>
        <v/>
      </c>
      <c r="I22" t="s">
        <v>416</v>
      </c>
      <c r="J22">
        <v>15</v>
      </c>
      <c r="L22" t="s">
        <v>431</v>
      </c>
    </row>
    <row r="23" spans="1:12" x14ac:dyDescent="0.3">
      <c r="A23">
        <f t="shared" si="1"/>
        <v>22</v>
      </c>
      <c r="B23">
        <v>20</v>
      </c>
      <c r="C23" t="str" cm="1">
        <f t="array" ref="C23">GetValue("Types","Name",B23)</f>
        <v>nvarchar</v>
      </c>
      <c r="D23" t="str" cm="1">
        <f t="array" ref="D23">GetValue("Types","#CategoryName",B23)</f>
        <v>string</v>
      </c>
      <c r="E23" t="str" cm="1">
        <f t="array" ref="E23">GetDataType(A23)</f>
        <v>nvarchar(3)</v>
      </c>
      <c r="G23" t="str" cm="1">
        <f t="array" ref="G23">GetValue("Masks","Name",F23)</f>
        <v/>
      </c>
      <c r="H23" t="str" cm="1">
        <f t="array" ref="H23">GetValue("Masks","Mask",F23)</f>
        <v/>
      </c>
      <c r="I23" t="s">
        <v>522</v>
      </c>
      <c r="J23">
        <v>3</v>
      </c>
      <c r="L23" t="s">
        <v>523</v>
      </c>
    </row>
    <row r="24" spans="1:12" x14ac:dyDescent="0.3">
      <c r="A24">
        <f t="shared" si="1"/>
        <v>23</v>
      </c>
      <c r="B24">
        <v>20</v>
      </c>
      <c r="C24" t="str" cm="1">
        <f t="array" ref="C24">GetValue("Types","Name",B24)</f>
        <v>nvarchar</v>
      </c>
      <c r="D24" t="str" cm="1">
        <f t="array" ref="D24">GetValue("Types","#CategoryName",B24)</f>
        <v>string</v>
      </c>
      <c r="E24" t="str" cm="1">
        <f t="array" ref="E24">GetDataType(A24)</f>
        <v>nvarchar(512)</v>
      </c>
      <c r="G24" t="str" cm="1">
        <f t="array" ref="G24">GetValue("Masks","Name",F24)</f>
        <v/>
      </c>
      <c r="H24" t="str" cm="1">
        <f t="array" ref="H24">GetValue("Masks","Mask",F24)</f>
        <v/>
      </c>
      <c r="I24" t="s">
        <v>541</v>
      </c>
      <c r="J24">
        <v>512</v>
      </c>
    </row>
    <row r="25" spans="1:12" x14ac:dyDescent="0.3">
      <c r="A25">
        <f t="shared" si="1"/>
        <v>24</v>
      </c>
      <c r="B25">
        <v>17</v>
      </c>
      <c r="C25" t="str" cm="1">
        <f t="array" ref="C25">GetValue("Types","Name",B25)</f>
        <v>nchar</v>
      </c>
      <c r="D25" t="str" cm="1">
        <f t="array" ref="D25">GetValue("Types","#CategoryName",B25)</f>
        <v>string</v>
      </c>
      <c r="E25" t="str" cm="1">
        <f t="array" ref="E25">GetDataType(A25)</f>
        <v>nchar(1)</v>
      </c>
      <c r="G25" t="str" cm="1">
        <f t="array" ref="G25">GetValue("Masks","Name",F25)</f>
        <v/>
      </c>
      <c r="H25" t="str" cm="1">
        <f t="array" ref="H25">GetValue("Masks","Mask",F25)</f>
        <v/>
      </c>
      <c r="I25" t="s">
        <v>587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588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339</v>
      </c>
    </row>
    <row r="2" spans="1:6" x14ac:dyDescent="0.3">
      <c r="A2">
        <f>ROW(A2)-1</f>
        <v>1</v>
      </c>
      <c r="B2" t="s">
        <v>363</v>
      </c>
      <c r="C2" t="s">
        <v>364</v>
      </c>
      <c r="D2" t="s">
        <v>385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F15" sqref="F1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588</v>
      </c>
      <c r="B1" s="1" t="s">
        <v>87</v>
      </c>
      <c r="C1" s="1" t="s">
        <v>329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346</v>
      </c>
    </row>
    <row r="2" spans="1:9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5</v>
      </c>
      <c r="E2" t="s">
        <v>93</v>
      </c>
      <c r="F2" t="s">
        <v>93</v>
      </c>
      <c r="I2" t="str" cm="1">
        <f t="array" ref="I2">GetValue("Menus","Caption",H2)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GetValue("Systems","Name",B3)</f>
        <v>crudex</v>
      </c>
      <c r="D3">
        <v>10</v>
      </c>
      <c r="E3" t="s">
        <v>96</v>
      </c>
      <c r="F3" t="s">
        <v>97</v>
      </c>
      <c r="G3" t="s">
        <v>365</v>
      </c>
      <c r="H3">
        <v>1</v>
      </c>
      <c r="I3" t="str" cm="1">
        <f t="array" ref="I3">GetValue("Menus","Caption",H3)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GetValue("Systems","Name",B4)</f>
        <v>crudex</v>
      </c>
      <c r="D4">
        <v>15</v>
      </c>
      <c r="E4" t="s">
        <v>98</v>
      </c>
      <c r="F4" t="s">
        <v>99</v>
      </c>
      <c r="G4" t="s">
        <v>366</v>
      </c>
      <c r="H4">
        <v>1</v>
      </c>
      <c r="I4" t="str" cm="1">
        <f t="array" ref="I4">GetValue("Menus","Caption",H4)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GetValue("Systems","Name",B5)</f>
        <v>crudex</v>
      </c>
      <c r="D5">
        <v>20</v>
      </c>
      <c r="E5" t="s">
        <v>100</v>
      </c>
      <c r="F5" t="s">
        <v>101</v>
      </c>
      <c r="G5" t="s">
        <v>367</v>
      </c>
      <c r="H5">
        <v>1</v>
      </c>
      <c r="I5" t="str" cm="1">
        <f t="array" ref="I5">GetValue("Menus","Caption",H5)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GetValue("Systems","Name",B6)</f>
        <v>crudex</v>
      </c>
      <c r="D6">
        <v>25</v>
      </c>
      <c r="E6" t="s">
        <v>102</v>
      </c>
      <c r="F6" t="s">
        <v>103</v>
      </c>
      <c r="G6" t="s">
        <v>368</v>
      </c>
      <c r="H6">
        <v>3</v>
      </c>
      <c r="I6" t="str" cm="1">
        <f t="array" ref="I6">GetValue("Menus","Caption",H6)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GetValue("Systems","Name",B7)</f>
        <v>crudex</v>
      </c>
      <c r="D7">
        <v>30</v>
      </c>
      <c r="E7" t="s">
        <v>104</v>
      </c>
      <c r="F7" t="s">
        <v>105</v>
      </c>
      <c r="G7" t="s">
        <v>369</v>
      </c>
      <c r="H7">
        <v>3</v>
      </c>
      <c r="I7" t="str" cm="1">
        <f t="array" ref="I7">GetValue("Menus","Caption",H7)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GetValue("Systems","Name",B8)</f>
        <v>crudex</v>
      </c>
      <c r="D8">
        <v>35</v>
      </c>
      <c r="E8" t="s">
        <v>106</v>
      </c>
      <c r="F8" t="s">
        <v>107</v>
      </c>
      <c r="G8" t="s">
        <v>370</v>
      </c>
      <c r="H8">
        <v>6</v>
      </c>
      <c r="I8" t="str" cm="1">
        <f t="array" ref="I8">GetValue("Menus","Caption",H8)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GetValue("Systems","Name",B9)</f>
        <v>crudex</v>
      </c>
      <c r="D9">
        <v>40</v>
      </c>
      <c r="E9" t="s">
        <v>94</v>
      </c>
      <c r="F9" t="s">
        <v>95</v>
      </c>
      <c r="G9" t="s">
        <v>371</v>
      </c>
      <c r="H9">
        <v>6</v>
      </c>
      <c r="I9" t="str" cm="1">
        <f t="array" ref="I9">GetValue("Menus","Caption",H9)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GetValue("Systems","Name",B10)</f>
        <v>crudex</v>
      </c>
      <c r="D10">
        <v>45</v>
      </c>
      <c r="E10" t="s">
        <v>108</v>
      </c>
      <c r="F10" t="s">
        <v>109</v>
      </c>
      <c r="I10" t="str" cm="1">
        <f t="array" ref="I10">GetValue("Menus","Caption",H10)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GetValue("Systems","Name",B11)</f>
        <v>crudex</v>
      </c>
      <c r="D11">
        <v>50</v>
      </c>
      <c r="E11" t="s">
        <v>110</v>
      </c>
      <c r="F11" t="s">
        <v>111</v>
      </c>
      <c r="G11" t="s">
        <v>372</v>
      </c>
      <c r="H11">
        <v>9</v>
      </c>
      <c r="I11" t="str" cm="1">
        <f t="array" ref="I11">GetValue("Menus","Caption",H11)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GetValue("Systems","Name",B12)</f>
        <v>crudex</v>
      </c>
      <c r="D12">
        <v>55</v>
      </c>
      <c r="E12" t="s">
        <v>112</v>
      </c>
      <c r="F12" t="s">
        <v>113</v>
      </c>
      <c r="G12" t="s">
        <v>373</v>
      </c>
      <c r="H12">
        <v>9</v>
      </c>
      <c r="I12" t="str" cm="1">
        <f t="array" ref="I12">GetValue("Menus","Caption",H12)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GetValue("Systems","Name",B13)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GetValue("Menus","Caption",H13)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GetValue("Systems","Name",B14)</f>
        <v>crudex</v>
      </c>
      <c r="D14">
        <v>65</v>
      </c>
      <c r="E14" t="s">
        <v>138</v>
      </c>
      <c r="F14" t="s">
        <v>99</v>
      </c>
      <c r="G14" t="s">
        <v>366</v>
      </c>
      <c r="H14">
        <v>1</v>
      </c>
      <c r="I14" t="str" cm="1">
        <f t="array" ref="I14">GetValue("Menus","Caption",H14)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588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300</v>
      </c>
      <c r="C2" t="s">
        <v>300</v>
      </c>
      <c r="D2" t="s">
        <v>301</v>
      </c>
      <c r="E2">
        <v>0</v>
      </c>
      <c r="F2" t="b">
        <v>1</v>
      </c>
    </row>
    <row r="3" spans="1:6" x14ac:dyDescent="0.3">
      <c r="A3">
        <f>ROW(A3)-1</f>
        <v>2</v>
      </c>
      <c r="B3" t="s">
        <v>321</v>
      </c>
      <c r="C3" t="s">
        <v>120</v>
      </c>
      <c r="D3" t="s">
        <v>322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588</v>
      </c>
      <c r="B1" s="1" t="s">
        <v>87</v>
      </c>
      <c r="C1" s="1" t="s">
        <v>329</v>
      </c>
      <c r="D1" s="1" t="s">
        <v>121</v>
      </c>
      <c r="E1" s="1" t="s">
        <v>328</v>
      </c>
      <c r="F1" s="1" t="s">
        <v>1</v>
      </c>
    </row>
    <row r="2" spans="1:6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GetValue("Users","Name",D2)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 cm="1">
        <f t="array" ref="C3">GetValue("Systems","Name",B3)</f>
        <v>crudex</v>
      </c>
      <c r="D3">
        <v>2</v>
      </c>
      <c r="E3" t="str" cm="1">
        <f t="array" ref="E3">GetValue("Users","Name",D3)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46.21875" bestFit="1" customWidth="1"/>
  </cols>
  <sheetData>
    <row r="1" spans="1:3" s="1" customFormat="1" x14ac:dyDescent="0.3">
      <c r="A1" s="1" t="s">
        <v>588</v>
      </c>
      <c r="B1" s="1" t="s">
        <v>522</v>
      </c>
      <c r="C1" s="1" t="s">
        <v>528</v>
      </c>
    </row>
    <row r="2" spans="1:3" x14ac:dyDescent="0.3">
      <c r="A2">
        <v>1</v>
      </c>
      <c r="B2" t="s">
        <v>529</v>
      </c>
      <c r="C2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588</v>
      </c>
      <c r="B1" s="1" t="s">
        <v>432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414</v>
      </c>
      <c r="H1" s="1" t="s">
        <v>430</v>
      </c>
    </row>
    <row r="2" spans="1:8" x14ac:dyDescent="0.3">
      <c r="A2">
        <f>ROW(A2)-1</f>
        <v>1</v>
      </c>
      <c r="B2">
        <v>1</v>
      </c>
      <c r="C2" t="s">
        <v>363</v>
      </c>
      <c r="D2" t="s">
        <v>363</v>
      </c>
      <c r="E2" t="s">
        <v>364</v>
      </c>
      <c r="F2" t="s">
        <v>534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588</v>
      </c>
      <c r="B1" s="1" t="s">
        <v>87</v>
      </c>
      <c r="C1" s="1" t="s">
        <v>329</v>
      </c>
      <c r="D1" s="1" t="s">
        <v>124</v>
      </c>
      <c r="E1" s="1" t="s">
        <v>330</v>
      </c>
      <c r="F1" s="1" t="s">
        <v>439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GetValue("Databases","Name",D2)</f>
        <v>crudex</v>
      </c>
      <c r="F2" cm="1">
        <f t="array" ref="F2">GetValue("Databases","ConnectionId",D2)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G24"/>
  <sheetViews>
    <sheetView workbookViewId="0">
      <pane ySplit="1" topLeftCell="A2" activePane="bottomLeft" state="frozen"/>
      <selection pane="bottomLeft" activeCell="G25" sqref="G25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9" bestFit="1" customWidth="1"/>
  </cols>
  <sheetData>
    <row r="1" spans="1:7" s="1" customFormat="1" x14ac:dyDescent="0.3">
      <c r="A1" s="1" t="s">
        <v>588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336</v>
      </c>
      <c r="G1" s="1" t="s">
        <v>337</v>
      </c>
    </row>
    <row r="2" spans="1:7" x14ac:dyDescent="0.3">
      <c r="A2">
        <f t="shared" ref="A2:A9" si="0">ROW(A2)-1</f>
        <v>1</v>
      </c>
      <c r="B2" t="s">
        <v>142</v>
      </c>
      <c r="C2" t="s">
        <v>305</v>
      </c>
      <c r="D2" t="s">
        <v>143</v>
      </c>
      <c r="F2" t="str" cm="1">
        <f t="array" ref="F2">GetValue("Tables","Name",E2)</f>
        <v/>
      </c>
      <c r="G2" cm="1">
        <f t="array" ref="G2">GetLastId(A2)</f>
        <v>10</v>
      </c>
    </row>
    <row r="3" spans="1:7" x14ac:dyDescent="0.3">
      <c r="A3">
        <f t="shared" si="0"/>
        <v>2</v>
      </c>
      <c r="B3" t="s">
        <v>126</v>
      </c>
      <c r="C3" t="s">
        <v>306</v>
      </c>
      <c r="D3" t="s">
        <v>408</v>
      </c>
      <c r="F3" t="str" cm="1">
        <f t="array" ref="F3">GetValue("Tables","Name",E3)</f>
        <v/>
      </c>
      <c r="G3" cm="1">
        <f t="array" ref="G3">GetLastId(A3)</f>
        <v>37</v>
      </c>
    </row>
    <row r="4" spans="1:7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 cm="1">
        <f t="array" ref="F4">GetValue("Tables","Name",E4)</f>
        <v/>
      </c>
      <c r="G4" cm="1">
        <f t="array" ref="G4">GetLastId(A4)</f>
        <v>25</v>
      </c>
    </row>
    <row r="5" spans="1:7" x14ac:dyDescent="0.3">
      <c r="A5">
        <f t="shared" si="0"/>
        <v>4</v>
      </c>
      <c r="B5" t="s">
        <v>127</v>
      </c>
      <c r="C5" t="s">
        <v>307</v>
      </c>
      <c r="D5" t="s">
        <v>409</v>
      </c>
      <c r="F5" t="str" cm="1">
        <f t="array" ref="F5">GetValue("Tables","Name",E5)</f>
        <v/>
      </c>
      <c r="G5" cm="1">
        <f t="array" ref="G5">GetLastId(A5)</f>
        <v>24</v>
      </c>
    </row>
    <row r="6" spans="1:7" x14ac:dyDescent="0.3">
      <c r="A6">
        <f t="shared" si="0"/>
        <v>5</v>
      </c>
      <c r="B6" t="s">
        <v>130</v>
      </c>
      <c r="C6" t="s">
        <v>308</v>
      </c>
      <c r="D6" t="s">
        <v>102</v>
      </c>
      <c r="F6" t="str" cm="1">
        <f t="array" ref="F6">GetValue("Tables","Name",E6)</f>
        <v/>
      </c>
      <c r="G6" cm="1">
        <f t="array" ref="G6">GetLastId(A6)</f>
        <v>1</v>
      </c>
    </row>
    <row r="7" spans="1:7" x14ac:dyDescent="0.3">
      <c r="A7">
        <f t="shared" si="0"/>
        <v>6</v>
      </c>
      <c r="B7" t="s">
        <v>100</v>
      </c>
      <c r="C7" t="s">
        <v>309</v>
      </c>
      <c r="D7" t="s">
        <v>407</v>
      </c>
      <c r="E7">
        <v>5</v>
      </c>
      <c r="F7" t="str" cm="1">
        <f t="array" ref="F7">GetValue("Tables","Name",E7)</f>
        <v>Systems</v>
      </c>
      <c r="G7" cm="1">
        <f t="array" ref="G7">GetLastId(A7)</f>
        <v>13</v>
      </c>
    </row>
    <row r="8" spans="1:7" x14ac:dyDescent="0.3">
      <c r="A8">
        <f t="shared" si="0"/>
        <v>7</v>
      </c>
      <c r="B8" t="s">
        <v>131</v>
      </c>
      <c r="C8" t="s">
        <v>310</v>
      </c>
      <c r="D8" t="s">
        <v>406</v>
      </c>
      <c r="F8" t="str" cm="1">
        <f t="array" ref="F8">GetValue("Tables","Name",E8)</f>
        <v/>
      </c>
      <c r="G8" cm="1">
        <f t="array" ref="G8">GetLastId(A8)</f>
        <v>2</v>
      </c>
    </row>
    <row r="9" spans="1:7" x14ac:dyDescent="0.3">
      <c r="A9">
        <f t="shared" si="0"/>
        <v>8</v>
      </c>
      <c r="B9" t="s">
        <v>132</v>
      </c>
      <c r="C9" t="s">
        <v>311</v>
      </c>
      <c r="D9" t="s">
        <v>133</v>
      </c>
      <c r="E9">
        <v>5</v>
      </c>
      <c r="F9" t="str" cm="1">
        <f t="array" ref="F9">GetValue("Tables","Name",E9)</f>
        <v>Systems</v>
      </c>
      <c r="G9" cm="1">
        <f t="array" ref="G9">GetLastId(A9)</f>
        <v>2</v>
      </c>
    </row>
    <row r="10" spans="1:7" x14ac:dyDescent="0.3">
      <c r="A10">
        <v>9</v>
      </c>
      <c r="B10" t="s">
        <v>400</v>
      </c>
      <c r="C10" t="s">
        <v>401</v>
      </c>
      <c r="D10" t="s">
        <v>405</v>
      </c>
      <c r="F10" t="str" cm="1">
        <f t="array" ref="F10">GetValue("Tables","Name",E10)</f>
        <v/>
      </c>
      <c r="G10" cm="1">
        <f t="array" ref="G10">GetLastId(A10)</f>
        <v>1</v>
      </c>
    </row>
    <row r="11" spans="1:7" x14ac:dyDescent="0.3">
      <c r="A11">
        <f t="shared" ref="A11:A24" si="1">ROW(A11)-1</f>
        <v>10</v>
      </c>
      <c r="B11" t="s">
        <v>134</v>
      </c>
      <c r="C11" t="s">
        <v>312</v>
      </c>
      <c r="D11" t="s">
        <v>135</v>
      </c>
      <c r="F11" t="str" cm="1">
        <f t="array" ref="F11">GetValue("Tables","Name",E11)</f>
        <v/>
      </c>
      <c r="G11" cm="1">
        <f t="array" ref="G11">GetLastId(A11)</f>
        <v>1</v>
      </c>
    </row>
    <row r="12" spans="1:7" x14ac:dyDescent="0.3">
      <c r="A12">
        <f t="shared" si="1"/>
        <v>11</v>
      </c>
      <c r="B12" t="s">
        <v>136</v>
      </c>
      <c r="C12" t="s">
        <v>313</v>
      </c>
      <c r="D12" t="s">
        <v>137</v>
      </c>
      <c r="E12">
        <v>5</v>
      </c>
      <c r="F12" t="str" cm="1">
        <f t="array" ref="F12">GetValue("Tables","Name",E12)</f>
        <v>Systems</v>
      </c>
      <c r="G12" cm="1">
        <f t="array" ref="G12">GetLastId(A12)</f>
        <v>1</v>
      </c>
    </row>
    <row r="13" spans="1:7" x14ac:dyDescent="0.3">
      <c r="A13">
        <f t="shared" si="1"/>
        <v>12</v>
      </c>
      <c r="B13" t="s">
        <v>138</v>
      </c>
      <c r="C13" t="s">
        <v>314</v>
      </c>
      <c r="D13" t="s">
        <v>410</v>
      </c>
      <c r="E13">
        <v>10</v>
      </c>
      <c r="F13" t="str" cm="1">
        <f t="array" ref="F13">GetValue("Tables","Name",E13)</f>
        <v>Databases</v>
      </c>
      <c r="G13" cm="1">
        <f t="array" ref="G13">GetLastId(A13)</f>
        <v>22</v>
      </c>
    </row>
    <row r="14" spans="1:7" x14ac:dyDescent="0.3">
      <c r="A14">
        <f t="shared" si="1"/>
        <v>13</v>
      </c>
      <c r="B14" t="s">
        <v>302</v>
      </c>
      <c r="C14" t="s">
        <v>315</v>
      </c>
      <c r="D14" t="s">
        <v>303</v>
      </c>
      <c r="E14">
        <v>10</v>
      </c>
      <c r="F14" t="str" cm="1">
        <f t="array" ref="F14">GetValue("Tables","Name",E14)</f>
        <v>Databases</v>
      </c>
      <c r="G14" cm="1">
        <f t="array" ref="G14">GetLastId(A14)</f>
        <v>22</v>
      </c>
    </row>
    <row r="15" spans="1:7" x14ac:dyDescent="0.3">
      <c r="A15">
        <f t="shared" si="1"/>
        <v>14</v>
      </c>
      <c r="B15" t="s">
        <v>139</v>
      </c>
      <c r="C15" t="s">
        <v>316</v>
      </c>
      <c r="D15" t="s">
        <v>403</v>
      </c>
      <c r="E15">
        <v>12</v>
      </c>
      <c r="F15" t="str" cm="1">
        <f t="array" ref="F15">GetValue("Tables","Name",E15)</f>
        <v>Tables</v>
      </c>
      <c r="G15" cm="1">
        <f t="array" ref="G15">GetLastId(A15)</f>
        <v>147</v>
      </c>
    </row>
    <row r="16" spans="1:7" x14ac:dyDescent="0.3">
      <c r="A16">
        <f t="shared" si="1"/>
        <v>15</v>
      </c>
      <c r="B16" t="s">
        <v>140</v>
      </c>
      <c r="C16" t="s">
        <v>317</v>
      </c>
      <c r="D16" t="s">
        <v>404</v>
      </c>
      <c r="E16">
        <v>12</v>
      </c>
      <c r="F16" t="str" cm="1">
        <f t="array" ref="F16">GetValue("Tables","Name",E16)</f>
        <v>Tables</v>
      </c>
      <c r="G16" cm="1">
        <f t="array" ref="G16">GetLastId(A16)</f>
        <v>0</v>
      </c>
    </row>
    <row r="17" spans="1:7" x14ac:dyDescent="0.3">
      <c r="A17">
        <f t="shared" si="1"/>
        <v>16</v>
      </c>
      <c r="B17" t="s">
        <v>294</v>
      </c>
      <c r="C17" t="s">
        <v>318</v>
      </c>
      <c r="D17" t="s">
        <v>141</v>
      </c>
      <c r="E17">
        <v>15</v>
      </c>
      <c r="F17" t="str" cm="1">
        <f t="array" ref="F17">GetValue("Tables","Name",E17)</f>
        <v>Indexes</v>
      </c>
      <c r="G17" cm="1">
        <f t="array" ref="G17">GetLastId(A17)</f>
        <v>0</v>
      </c>
    </row>
    <row r="18" spans="1:7" x14ac:dyDescent="0.3">
      <c r="A18">
        <f t="shared" si="1"/>
        <v>17</v>
      </c>
      <c r="B18" t="s">
        <v>516</v>
      </c>
      <c r="C18" t="s">
        <v>517</v>
      </c>
      <c r="D18" t="s">
        <v>518</v>
      </c>
      <c r="F18" t="str" cm="1">
        <f t="array" ref="F18">GetValue("Tables","Name",E18)</f>
        <v/>
      </c>
      <c r="G18" cm="1">
        <f t="array" ref="G18">GetLastId(A18)</f>
        <v>0</v>
      </c>
    </row>
    <row r="19" spans="1:7" x14ac:dyDescent="0.3">
      <c r="A19">
        <f t="shared" si="1"/>
        <v>18</v>
      </c>
      <c r="B19" t="s">
        <v>411</v>
      </c>
      <c r="C19" t="s">
        <v>412</v>
      </c>
      <c r="D19" t="s">
        <v>413</v>
      </c>
      <c r="F19" t="str" cm="1">
        <f t="array" ref="F19">GetValue("Tables","Name",E19)</f>
        <v/>
      </c>
      <c r="G19" cm="1">
        <f t="array" ref="G19">GetLastId(A19)</f>
        <v>0</v>
      </c>
    </row>
    <row r="20" spans="1:7" x14ac:dyDescent="0.3">
      <c r="A20">
        <f t="shared" si="1"/>
        <v>19</v>
      </c>
      <c r="B20" t="s">
        <v>415</v>
      </c>
      <c r="C20" t="s">
        <v>416</v>
      </c>
      <c r="D20" t="s">
        <v>417</v>
      </c>
      <c r="F20" t="str" cm="1">
        <f t="array" ref="F20">GetValue("Tables","Name",E20)</f>
        <v/>
      </c>
      <c r="G20" cm="1">
        <f t="array" ref="G20">GetLastId(A20)</f>
        <v>0</v>
      </c>
    </row>
    <row r="21" spans="1:7" x14ac:dyDescent="0.3">
      <c r="A21">
        <f t="shared" si="1"/>
        <v>20</v>
      </c>
      <c r="B21" t="s">
        <v>472</v>
      </c>
      <c r="C21" t="s">
        <v>473</v>
      </c>
      <c r="D21" t="s">
        <v>441</v>
      </c>
      <c r="F21" t="str" cm="1">
        <f t="array" ref="F21">GetValue("Tables","Name",E21)</f>
        <v/>
      </c>
      <c r="G21" cm="1">
        <f t="array" ref="G21">GetLastId(A21)</f>
        <v>1</v>
      </c>
    </row>
    <row r="22" spans="1:7" x14ac:dyDescent="0.3">
      <c r="A22">
        <f t="shared" si="1"/>
        <v>21</v>
      </c>
      <c r="B22" t="s">
        <v>571</v>
      </c>
      <c r="C22" t="s">
        <v>572</v>
      </c>
      <c r="D22" t="s">
        <v>573</v>
      </c>
      <c r="F22" t="str" cm="1">
        <f t="array" ref="F22">GetValue("Tables","Name",E22)</f>
        <v/>
      </c>
      <c r="G22" cm="1">
        <f t="array" ref="G22">GetLastId(A22)</f>
        <v>12</v>
      </c>
    </row>
    <row r="23" spans="1:7" x14ac:dyDescent="0.3">
      <c r="A23">
        <f t="shared" si="1"/>
        <v>22</v>
      </c>
      <c r="B23" t="s">
        <v>574</v>
      </c>
      <c r="C23" t="s">
        <v>575</v>
      </c>
      <c r="D23" t="s">
        <v>576</v>
      </c>
      <c r="F23" t="str" cm="1">
        <f t="array" ref="F23">GetValue("Tables","Name",E23)</f>
        <v/>
      </c>
      <c r="G23" cm="1">
        <f t="array" ref="G23">GetLastId(A23)</f>
        <v>56</v>
      </c>
    </row>
    <row r="24" spans="1:7" x14ac:dyDescent="0.3">
      <c r="A24">
        <f t="shared" si="1"/>
        <v>23</v>
      </c>
      <c r="B24" t="s">
        <v>600</v>
      </c>
      <c r="C24" t="s">
        <v>599</v>
      </c>
      <c r="D24" t="s">
        <v>601</v>
      </c>
      <c r="F24" t="str" cm="1">
        <f t="array" ref="F24">GetValue("Tables","Name",E24)</f>
        <v/>
      </c>
      <c r="G24" cm="1">
        <f t="array" ref="G24">GetLastId(A24)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4"/>
  <sheetViews>
    <sheetView workbookViewId="0">
      <selection activeCell="M25" sqref="M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588</v>
      </c>
      <c r="B1" s="1" t="s">
        <v>124</v>
      </c>
      <c r="C1" s="1" t="s">
        <v>330</v>
      </c>
      <c r="D1" s="1" t="s">
        <v>439</v>
      </c>
      <c r="E1" s="1" t="s">
        <v>144</v>
      </c>
      <c r="F1" s="1" t="s">
        <v>331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GetValue("Databases","Name",B2)</f>
        <v>crudex</v>
      </c>
      <c r="D2" cm="1">
        <f t="array" ref="D2">GetValue("Databases","ConnectionId",B2)</f>
        <v>1</v>
      </c>
      <c r="E2">
        <v>1</v>
      </c>
      <c r="F2" t="str" cm="1">
        <f t="array" ref="F2">GetValue("Tables","Name",E2)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4" si="1">ROW(A3)-1</f>
        <v>2</v>
      </c>
      <c r="B3">
        <v>1</v>
      </c>
      <c r="C3" t="str" cm="1">
        <f t="array" ref="C3">GetValue("Databases","Name",B3)</f>
        <v>crudex</v>
      </c>
      <c r="D3" cm="1">
        <f t="array" ref="D3">GetValue("Databases","ConnectionId",B3)</f>
        <v>1</v>
      </c>
      <c r="E3">
        <v>2</v>
      </c>
      <c r="F3" t="str" cm="1">
        <f t="array" ref="F3">GetValue("Tables","Name",E3)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 cm="1">
        <f t="array" ref="C4">GetValue("Databases","Name",B4)</f>
        <v>crudex</v>
      </c>
      <c r="D4" cm="1">
        <f t="array" ref="D4">GetValue("Databases","ConnectionId",B4)</f>
        <v>1</v>
      </c>
      <c r="E4">
        <v>3</v>
      </c>
      <c r="F4" t="str" cm="1">
        <f t="array" ref="F4">GetValue("Tables","Name",E4)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 cm="1">
        <f t="array" ref="C5">GetValue("Databases","Name",B5)</f>
        <v>crudex</v>
      </c>
      <c r="D5" cm="1">
        <f t="array" ref="D5">GetValue("Databases","ConnectionId",B5)</f>
        <v>1</v>
      </c>
      <c r="E5">
        <v>4</v>
      </c>
      <c r="F5" t="str" cm="1">
        <f t="array" ref="F5">GetValue("Tables","Name",E5)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 cm="1">
        <f t="array" ref="C6">GetValue("Databases","Name",B6)</f>
        <v>crudex</v>
      </c>
      <c r="D6" cm="1">
        <f t="array" ref="D6">GetValue("Databases","ConnectionId",B6)</f>
        <v>1</v>
      </c>
      <c r="E6">
        <v>5</v>
      </c>
      <c r="F6" t="str" cm="1">
        <f t="array" ref="F6">GetValue("Tables","Name",E6)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 cm="1">
        <f t="array" ref="C7">GetValue("Databases","Name",B7)</f>
        <v>crudex</v>
      </c>
      <c r="D7" cm="1">
        <f t="array" ref="D7">GetValue("Databases","ConnectionId",B7)</f>
        <v>1</v>
      </c>
      <c r="E7">
        <v>6</v>
      </c>
      <c r="F7" t="str" cm="1">
        <f t="array" ref="F7">GetValue("Tables","Name",E7)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 cm="1">
        <f t="array" ref="C8">GetValue("Databases","Name",B8)</f>
        <v>crudex</v>
      </c>
      <c r="D8" cm="1">
        <f t="array" ref="D8">GetValue("Databases","ConnectionId",B8)</f>
        <v>1</v>
      </c>
      <c r="E8">
        <v>7</v>
      </c>
      <c r="F8" t="str" cm="1">
        <f t="array" ref="F8">GetValue("Tables","Name",E8)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 cm="1">
        <f t="array" ref="C9">GetValue("Databases","Name",B9)</f>
        <v>crudex</v>
      </c>
      <c r="D9" cm="1">
        <f t="array" ref="D9">GetValue("Databases","ConnectionId",B9)</f>
        <v>1</v>
      </c>
      <c r="E9">
        <v>8</v>
      </c>
      <c r="F9" t="str" cm="1">
        <f t="array" ref="F9">GetValue("Tables","Name",E9)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 cm="1">
        <f t="array" ref="C10">GetValue("Databases","Name",B10)</f>
        <v>crudex</v>
      </c>
      <c r="D10" cm="1">
        <f t="array" ref="D10">GetValue("Databases","ConnectionId",B10)</f>
        <v>1</v>
      </c>
      <c r="E10">
        <v>9</v>
      </c>
      <c r="F10" t="str" cm="1">
        <f t="array" ref="F10">GetValue("Tables","Name",E10)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 cm="1">
        <f t="array" ref="C11">GetValue("Databases","Name",B11)</f>
        <v>crudex</v>
      </c>
      <c r="D11" cm="1">
        <f t="array" ref="D11">GetValue("Databases","ConnectionId",B11)</f>
        <v>1</v>
      </c>
      <c r="E11">
        <v>10</v>
      </c>
      <c r="F11" t="str" cm="1">
        <f t="array" ref="F11">GetValue("Tables","Name",E11)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 cm="1">
        <f t="array" ref="C12">GetValue("Databases","Name",B12)</f>
        <v>crudex</v>
      </c>
      <c r="D12" cm="1">
        <f t="array" ref="D12">GetValue("Databases","ConnectionId",B12)</f>
        <v>1</v>
      </c>
      <c r="E12">
        <v>11</v>
      </c>
      <c r="F12" t="str" cm="1">
        <f t="array" ref="F12">GetValue("Tables","Name",E12)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 cm="1">
        <f t="array" ref="C13">GetValue("Databases","Name",B13)</f>
        <v>crudex</v>
      </c>
      <c r="D13" cm="1">
        <f t="array" ref="D13">GetValue("Databases","ConnectionId",B13)</f>
        <v>1</v>
      </c>
      <c r="E13">
        <v>12</v>
      </c>
      <c r="F13" t="str" cm="1">
        <f t="array" ref="F13">GetValue("Tables","Name",E13)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 cm="1">
        <f t="array" ref="C14">GetValue("Databases","Name",B14)</f>
        <v>crudex</v>
      </c>
      <c r="D14" cm="1">
        <f t="array" ref="D14">GetValue("Databases","ConnectionId",B14)</f>
        <v>1</v>
      </c>
      <c r="E14">
        <v>13</v>
      </c>
      <c r="F14" t="str" cm="1">
        <f t="array" ref="F14">GetValue("Tables","Name",E14)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 cm="1">
        <f t="array" ref="C15">GetValue("Databases","Name",B15)</f>
        <v>crudex</v>
      </c>
      <c r="D15" cm="1">
        <f t="array" ref="D15">GetValue("Databases","ConnectionId",B15)</f>
        <v>1</v>
      </c>
      <c r="E15">
        <v>14</v>
      </c>
      <c r="F15" t="str" cm="1">
        <f t="array" ref="F15">GetValue("Tables","Name",E15)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 cm="1">
        <f t="array" ref="C16">GetValue("Databases","Name",B16)</f>
        <v>crudex</v>
      </c>
      <c r="D16" cm="1">
        <f t="array" ref="D16">GetValue("Databases","ConnectionId",B16)</f>
        <v>1</v>
      </c>
      <c r="E16">
        <v>15</v>
      </c>
      <c r="F16" t="str" cm="1">
        <f t="array" ref="F16">GetValue("Tables","Name",E16)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 cm="1">
        <f t="array" ref="C17">GetValue("Databases","Name",B17)</f>
        <v>crudex</v>
      </c>
      <c r="D17" cm="1">
        <f t="array" ref="D17">GetValue("Databases","ConnectionId",B17)</f>
        <v>1</v>
      </c>
      <c r="E17">
        <v>16</v>
      </c>
      <c r="F17" t="str" cm="1">
        <f t="array" ref="F17">GetValue("Tables","Name",E17)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 cm="1">
        <f t="array" ref="C18">GetValue("Databases","Name",B18)</f>
        <v>crudex</v>
      </c>
      <c r="D18" cm="1">
        <f t="array" ref="D18">GetValue("Databases","ConnectionId",B18)</f>
        <v>1</v>
      </c>
      <c r="E18">
        <v>17</v>
      </c>
      <c r="F18" t="str" cm="1">
        <f t="array" ref="F18">GetValue("Tables","Name",E18)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 cm="1">
        <f t="array" ref="C19">GetValue("Databases","Name",B19)</f>
        <v>crudex</v>
      </c>
      <c r="D19" cm="1">
        <f t="array" ref="D19">GetValue("Databases","ConnectionId",B19)</f>
        <v>1</v>
      </c>
      <c r="E19">
        <v>18</v>
      </c>
      <c r="F19" t="str" cm="1">
        <f t="array" ref="F19">GetValue("Tables","Name",E19)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 cm="1">
        <f t="array" ref="C20">GetValue("Databases","Name",B20)</f>
        <v>crudex</v>
      </c>
      <c r="D20" cm="1">
        <f t="array" ref="D20">GetValue("Databases","ConnectionId",B20)</f>
        <v>1</v>
      </c>
      <c r="E20">
        <v>19</v>
      </c>
      <c r="F20" t="str" cm="1">
        <f t="array" ref="F20">GetValue("Tables","Name",E20)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 cm="1">
        <f t="array" ref="C21">GetValue("Databases","Name",B21)</f>
        <v>crudex</v>
      </c>
      <c r="D21" cm="1">
        <f t="array" ref="D21">GetValue("Databases","ConnectionId",B21)</f>
        <v>1</v>
      </c>
      <c r="E21">
        <v>20</v>
      </c>
      <c r="F21" t="str" cm="1">
        <f t="array" ref="F21">GetValue("Tables","Name",E21)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 cm="1">
        <f t="array" ref="C22">GetValue("Databases","Name",B22)</f>
        <v>crudex</v>
      </c>
      <c r="D22" cm="1">
        <f t="array" ref="D22">GetValue("Databases","ConnectionId",B22)</f>
        <v>1</v>
      </c>
      <c r="E22">
        <v>21</v>
      </c>
      <c r="F22" t="str" cm="1">
        <f t="array" ref="F22">GetValue("Tables","Name",E22)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 cm="1">
        <f t="array" ref="C23">GetValue("Databases","Name",B23)</f>
        <v>crudex</v>
      </c>
      <c r="D23" cm="1">
        <f t="array" ref="D23">GetValue("Databases","ConnectionId",B23)</f>
        <v>1</v>
      </c>
      <c r="E23">
        <v>22</v>
      </c>
      <c r="F23" t="str" cm="1">
        <f t="array" ref="F23">GetValue("Tables","Name",E23)</f>
        <v>Rules</v>
      </c>
      <c r="G23" t="str">
        <f t="shared" ref="G23" si="4">_xlfn.CONCAT(C23," x ",F23)</f>
        <v>crudex x Rules</v>
      </c>
    </row>
    <row r="24" spans="1:7" x14ac:dyDescent="0.3">
      <c r="A24">
        <f t="shared" si="1"/>
        <v>23</v>
      </c>
      <c r="B24">
        <v>1</v>
      </c>
      <c r="C24" t="str" cm="1">
        <f t="array" ref="C24">GetValue("Databases","Name",B24)</f>
        <v>crudex</v>
      </c>
      <c r="D24" cm="1">
        <f t="array" ref="D24">GetValue("Databases","ConnectionId",B24)</f>
        <v>1</v>
      </c>
      <c r="E24">
        <v>23</v>
      </c>
      <c r="F24" t="str" cm="1">
        <f t="array" ref="F24">GetValue("Tables","Name",E24)</f>
        <v>testes</v>
      </c>
      <c r="G24" t="str">
        <f t="shared" ref="G24" si="5">_xlfn.CONCAT(C24," x ",F24)</f>
        <v>crudex x testes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D156"/>
  <sheetViews>
    <sheetView zoomScaleNormal="100" workbookViewId="0">
      <pane ySplit="1" topLeftCell="A125" activePane="bottomLeft" state="frozen"/>
      <selection pane="bottomLeft" activeCell="A146" sqref="A146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7" bestFit="1" customWidth="1"/>
    <col min="14" max="14" width="4.88671875" bestFit="1" customWidth="1"/>
    <col min="15" max="15" width="32.44140625" bestFit="1" customWidth="1"/>
    <col min="16" max="16" width="23.21875" bestFit="1" customWidth="1"/>
    <col min="17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  <col min="30" max="30" width="7.88671875" bestFit="1" customWidth="1"/>
  </cols>
  <sheetData>
    <row r="1" spans="1:30" s="1" customFormat="1" x14ac:dyDescent="0.3">
      <c r="A1" s="10" t="s">
        <v>588</v>
      </c>
      <c r="B1" s="10" t="s">
        <v>144</v>
      </c>
      <c r="C1" s="10" t="s">
        <v>331</v>
      </c>
      <c r="D1" s="10" t="s">
        <v>387</v>
      </c>
      <c r="E1" s="10" t="s">
        <v>88</v>
      </c>
      <c r="F1" s="10" t="s">
        <v>145</v>
      </c>
      <c r="G1" s="10" t="s">
        <v>332</v>
      </c>
      <c r="H1" s="10" t="s">
        <v>325</v>
      </c>
      <c r="I1" s="10" t="s">
        <v>326</v>
      </c>
      <c r="J1" s="10" t="s">
        <v>342</v>
      </c>
      <c r="K1" s="10" t="s">
        <v>146</v>
      </c>
      <c r="L1" s="10" t="s">
        <v>333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348</v>
      </c>
      <c r="AB1" s="10" t="s">
        <v>154</v>
      </c>
      <c r="AC1" s="10" t="s">
        <v>384</v>
      </c>
      <c r="AD1" s="10" t="s">
        <v>542</v>
      </c>
    </row>
    <row r="2" spans="1:30" x14ac:dyDescent="0.3">
      <c r="A2" s="7">
        <f t="shared" ref="A2:A13" si="0">ROW(A2)-1</f>
        <v>1</v>
      </c>
      <c r="B2" s="8">
        <v>1</v>
      </c>
      <c r="C2" s="8" t="str" cm="1">
        <f t="array" ref="C2">GetValue("Tables","Name",B2)</f>
        <v>Categories</v>
      </c>
      <c r="D2" s="8" t="str" cm="1">
        <f t="array" ref="D2">GetValue("Tables","Alias",B2)</f>
        <v>Category</v>
      </c>
      <c r="E2" s="7">
        <v>5</v>
      </c>
      <c r="F2" s="7">
        <v>5</v>
      </c>
      <c r="G2" s="7" t="str" cm="1">
        <f t="array" ref="G2">GetValue("Domains","Name",F2)</f>
        <v>TinyInteger</v>
      </c>
      <c r="H2" s="7" t="str" cm="1">
        <f t="array" ref="H2">GetValue("Domains","#CategoryName",F2)</f>
        <v>number</v>
      </c>
      <c r="I2" s="7" t="str" cm="1">
        <f t="array" ref="I2">GetValue("Domains","#TypeName",F2)</f>
        <v>tinyint</v>
      </c>
      <c r="J2" s="7" t="str" cm="1">
        <f t="array" ref="J2">GetValue("Domains","#DataType",F2)</f>
        <v>tinyint</v>
      </c>
      <c r="K2" s="7"/>
      <c r="L2" s="7" t="str" cm="1">
        <f t="array" ref="L2">GetValue("Tables","Name",K2)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  <c r="AD2" s="7" t="b">
        <v>0</v>
      </c>
    </row>
    <row r="3" spans="1:30" x14ac:dyDescent="0.3">
      <c r="A3" s="7">
        <f t="shared" si="0"/>
        <v>2</v>
      </c>
      <c r="B3" s="8">
        <v>1</v>
      </c>
      <c r="C3" s="8" t="str" cm="1">
        <f t="array" ref="C3">GetValue("Tables","Name",B3)</f>
        <v>Categories</v>
      </c>
      <c r="D3" s="8" t="str" cm="1">
        <f t="array" ref="D3">GetValue("Tables","Alias",B3)</f>
        <v>Category</v>
      </c>
      <c r="E3" s="7">
        <f>E2+5</f>
        <v>10</v>
      </c>
      <c r="F3" s="7">
        <v>9</v>
      </c>
      <c r="G3" s="7" t="str" cm="1">
        <f t="array" ref="G3">GetValue("Domains","Name",F3)</f>
        <v>Nvarchar(25)</v>
      </c>
      <c r="H3" s="7" t="str" cm="1">
        <f t="array" ref="H3">GetValue("Domains","#CategoryName",F3)</f>
        <v>string</v>
      </c>
      <c r="I3" s="7" t="str" cm="1">
        <f t="array" ref="I3">GetValue("Domains","#TypeName",F3)</f>
        <v>nvarchar</v>
      </c>
      <c r="J3" s="7" t="str" cm="1">
        <f t="array" ref="J3">GetValue("Domains","#DataType",F3)</f>
        <v>nvarchar(25)</v>
      </c>
      <c r="K3" s="7"/>
      <c r="L3" s="7" t="str" cm="1">
        <f t="array" ref="L3">GetValue("Tables","Name",K3)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  <c r="AD3" s="7" t="b">
        <v>0</v>
      </c>
    </row>
    <row r="4" spans="1:30" x14ac:dyDescent="0.3">
      <c r="A4" s="7">
        <f t="shared" si="0"/>
        <v>3</v>
      </c>
      <c r="B4" s="8">
        <v>1</v>
      </c>
      <c r="C4" s="7" t="str" cm="1">
        <f t="array" ref="C4">GetValue("Tables","Name",B4)</f>
        <v>Categories</v>
      </c>
      <c r="D4" s="8" t="str" cm="1">
        <f t="array" ref="D4">GetValue("Tables","Alias",B4)</f>
        <v>Category</v>
      </c>
      <c r="E4" s="7">
        <f t="shared" ref="E4:E12" si="1">E3+5</f>
        <v>15</v>
      </c>
      <c r="F4" s="7">
        <v>19</v>
      </c>
      <c r="G4" s="7" t="str" cm="1">
        <f t="array" ref="G4">GetValue("Domains","Name",F4)</f>
        <v>HtmlInputType</v>
      </c>
      <c r="H4" s="7" t="str" cm="1">
        <f t="array" ref="H4">GetValue("Domains","#CategoryName",F4)</f>
        <v>string</v>
      </c>
      <c r="I4" s="7" t="str" cm="1">
        <f t="array" ref="I4">GetValue("Domains","#TypeName",F4)</f>
        <v>nvarchar</v>
      </c>
      <c r="J4" s="7" t="str" cm="1">
        <f t="array" ref="J4">GetValue("Domains","#DataType",F4)</f>
        <v>nvarchar(10)</v>
      </c>
      <c r="K4" s="7"/>
      <c r="L4" s="7" t="str" cm="1">
        <f t="array" ref="L4">GetValue("Tables","Name",K4)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  <c r="AD4" s="7" t="b">
        <v>0</v>
      </c>
    </row>
    <row r="5" spans="1:30" x14ac:dyDescent="0.3">
      <c r="A5" s="7">
        <f t="shared" si="0"/>
        <v>4</v>
      </c>
      <c r="B5" s="8">
        <v>1</v>
      </c>
      <c r="C5" s="7" t="str" cm="1">
        <f t="array" ref="C5">GetValue("Tables","Name",B5)</f>
        <v>Categories</v>
      </c>
      <c r="D5" s="8" t="str" cm="1">
        <f t="array" ref="D5">GetValue("Tables","Alias",B5)</f>
        <v>Category</v>
      </c>
      <c r="E5" s="7">
        <f t="shared" si="1"/>
        <v>20</v>
      </c>
      <c r="F5" s="7">
        <v>20</v>
      </c>
      <c r="G5" s="7" t="str" cm="1">
        <f t="array" ref="G5">GetValue("Domains","Name",F5)</f>
        <v>HtmlInputAlign</v>
      </c>
      <c r="H5" s="7" t="str" cm="1">
        <f t="array" ref="H5">GetValue("Domains","#CategoryName",F5)</f>
        <v>string</v>
      </c>
      <c r="I5" s="7" t="str" cm="1">
        <f t="array" ref="I5">GetValue("Domains","#TypeName",F5)</f>
        <v>nvarchar</v>
      </c>
      <c r="J5" s="7" t="str" cm="1">
        <f t="array" ref="J5">GetValue("Domains","#DataType",F5)</f>
        <v>nvarchar(6)</v>
      </c>
      <c r="K5" s="7"/>
      <c r="L5" s="7" t="str" cm="1">
        <f t="array" ref="L5">GetValue("Tables","Name",K5)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  <c r="AD5" s="7" t="b">
        <v>0</v>
      </c>
    </row>
    <row r="6" spans="1:30" x14ac:dyDescent="0.3">
      <c r="A6" s="7">
        <f t="shared" si="0"/>
        <v>5</v>
      </c>
      <c r="B6" s="8">
        <v>1</v>
      </c>
      <c r="C6" s="7" t="str" cm="1">
        <f t="array" ref="C6">GetValue("Tables","Name",B6)</f>
        <v>Categories</v>
      </c>
      <c r="D6" s="8" t="str" cm="1">
        <f t="array" ref="D6">GetValue("Tables","Alias",B6)</f>
        <v>Category</v>
      </c>
      <c r="E6" s="7">
        <f t="shared" si="1"/>
        <v>25</v>
      </c>
      <c r="F6" s="7">
        <v>6</v>
      </c>
      <c r="G6" s="7" t="str" cm="1">
        <f t="array" ref="G6">GetValue("Domains","Name",F6)</f>
        <v>Boolean</v>
      </c>
      <c r="H6" s="7" t="str" cm="1">
        <f t="array" ref="H6">GetValue("Domains","#CategoryName",F6)</f>
        <v>boolean</v>
      </c>
      <c r="I6" s="7" t="str" cm="1">
        <f t="array" ref="I6">GetValue("Domains","#TypeName",F6)</f>
        <v>bit</v>
      </c>
      <c r="J6" s="7" t="str" cm="1">
        <f t="array" ref="J6">GetValue("Domains","#DataType",F6)</f>
        <v>bit</v>
      </c>
      <c r="K6" s="7"/>
      <c r="L6" s="7" t="str" cm="1">
        <f t="array" ref="L6">GetValue("Tables","Name",K6)</f>
        <v/>
      </c>
      <c r="M6" s="7" t="s">
        <v>4</v>
      </c>
      <c r="N6" s="7"/>
      <c r="O6" s="7" t="s">
        <v>382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  <c r="AD6" s="7" t="b">
        <v>0</v>
      </c>
    </row>
    <row r="7" spans="1:30" x14ac:dyDescent="0.3">
      <c r="A7" s="7">
        <f t="shared" si="0"/>
        <v>6</v>
      </c>
      <c r="B7" s="8">
        <v>1</v>
      </c>
      <c r="C7" s="7" t="str" cm="1">
        <f t="array" ref="C7">GetValue("Tables","Name",B7)</f>
        <v>Categories</v>
      </c>
      <c r="D7" s="8" t="str" cm="1">
        <f t="array" ref="D7">GetValue("Tables","Alias",B7)</f>
        <v>Category</v>
      </c>
      <c r="E7" s="7">
        <f t="shared" si="1"/>
        <v>30</v>
      </c>
      <c r="F7" s="7">
        <v>6</v>
      </c>
      <c r="G7" s="7" t="str" cm="1">
        <f t="array" ref="G7">GetValue("Domains","Name",F7)</f>
        <v>Boolean</v>
      </c>
      <c r="H7" s="7" t="str" cm="1">
        <f t="array" ref="H7">GetValue("Domains","#CategoryName",F7)</f>
        <v>boolean</v>
      </c>
      <c r="I7" s="7" t="str" cm="1">
        <f t="array" ref="I7">GetValue("Domains","#TypeName",F7)</f>
        <v>bit</v>
      </c>
      <c r="J7" s="7" t="str" cm="1">
        <f t="array" ref="J7">GetValue("Domains","#DataType",F7)</f>
        <v>bit</v>
      </c>
      <c r="K7" s="7"/>
      <c r="L7" s="7" t="str" cm="1">
        <f t="array" ref="L7">GetValue("Tables","Name",K7)</f>
        <v/>
      </c>
      <c r="M7" s="7" t="s">
        <v>5</v>
      </c>
      <c r="N7" s="7"/>
      <c r="O7" s="7" t="s">
        <v>381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  <c r="AD7" s="7" t="b">
        <v>0</v>
      </c>
    </row>
    <row r="8" spans="1:30" x14ac:dyDescent="0.3">
      <c r="A8" s="7">
        <f t="shared" si="0"/>
        <v>7</v>
      </c>
      <c r="B8" s="8">
        <v>1</v>
      </c>
      <c r="C8" s="7" t="str" cm="1">
        <f t="array" ref="C8">GetValue("Tables","Name",B8)</f>
        <v>Categories</v>
      </c>
      <c r="D8" s="8" t="str" cm="1">
        <f t="array" ref="D8">GetValue("Tables","Alias",B8)</f>
        <v>Category</v>
      </c>
      <c r="E8" s="7">
        <f t="shared" si="1"/>
        <v>35</v>
      </c>
      <c r="F8" s="7">
        <v>6</v>
      </c>
      <c r="G8" s="7" t="str" cm="1">
        <f t="array" ref="G8">GetValue("Domains","Name",F8)</f>
        <v>Boolean</v>
      </c>
      <c r="H8" s="7" t="str" cm="1">
        <f t="array" ref="H8">GetValue("Domains","#CategoryName",F8)</f>
        <v>boolean</v>
      </c>
      <c r="I8" s="7" t="str" cm="1">
        <f t="array" ref="I8">GetValue("Domains","#TypeName",F8)</f>
        <v>bit</v>
      </c>
      <c r="J8" s="7" t="str" cm="1">
        <f t="array" ref="J8">GetValue("Domains","#DataType",F8)</f>
        <v>bit</v>
      </c>
      <c r="K8" s="7"/>
      <c r="L8" s="7" t="str" cm="1">
        <f t="array" ref="L8">GetValue("Tables","Name",K8)</f>
        <v/>
      </c>
      <c r="M8" s="7" t="s">
        <v>6</v>
      </c>
      <c r="N8" s="7"/>
      <c r="O8" s="7" t="s">
        <v>380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  <c r="AD8" s="7" t="b">
        <v>0</v>
      </c>
    </row>
    <row r="9" spans="1:30" x14ac:dyDescent="0.3">
      <c r="A9" s="7">
        <f t="shared" si="0"/>
        <v>8</v>
      </c>
      <c r="B9" s="8">
        <v>1</v>
      </c>
      <c r="C9" s="7" t="str" cm="1">
        <f t="array" ref="C9">GetValue("Tables","Name",B9)</f>
        <v>Categories</v>
      </c>
      <c r="D9" s="8" t="str" cm="1">
        <f t="array" ref="D9">GetValue("Tables","Alias",B9)</f>
        <v>Category</v>
      </c>
      <c r="E9" s="7">
        <f t="shared" si="1"/>
        <v>40</v>
      </c>
      <c r="F9" s="7">
        <v>6</v>
      </c>
      <c r="G9" s="7" t="str" cm="1">
        <f t="array" ref="G9">GetValue("Domains","Name",F9)</f>
        <v>Boolean</v>
      </c>
      <c r="H9" s="7" t="str" cm="1">
        <f t="array" ref="H9">GetValue("Domains","#CategoryName",F9)</f>
        <v>boolean</v>
      </c>
      <c r="I9" s="7" t="str" cm="1">
        <f t="array" ref="I9">GetValue("Domains","#TypeName",F9)</f>
        <v>bit</v>
      </c>
      <c r="J9" s="7" t="str" cm="1">
        <f t="array" ref="J9">GetValue("Domains","#DataType",F9)</f>
        <v>bit</v>
      </c>
      <c r="K9" s="7"/>
      <c r="L9" s="7" t="str" cm="1">
        <f t="array" ref="L9">GetValue("Tables","Name",K9)</f>
        <v/>
      </c>
      <c r="M9" s="7" t="s">
        <v>7</v>
      </c>
      <c r="N9" s="7"/>
      <c r="O9" s="7" t="s">
        <v>379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  <c r="AD9" s="7" t="b">
        <v>0</v>
      </c>
    </row>
    <row r="10" spans="1:30" x14ac:dyDescent="0.3">
      <c r="A10" s="7">
        <f t="shared" si="0"/>
        <v>9</v>
      </c>
      <c r="B10" s="8">
        <v>1</v>
      </c>
      <c r="C10" s="7" t="str" cm="1">
        <f t="array" ref="C10">GetValue("Tables","Name",B10)</f>
        <v>Categories</v>
      </c>
      <c r="D10" s="8" t="str" cm="1">
        <f t="array" ref="D10">GetValue("Tables","Alias",B10)</f>
        <v>Category</v>
      </c>
      <c r="E10" s="7">
        <f t="shared" si="1"/>
        <v>45</v>
      </c>
      <c r="F10" s="7">
        <v>6</v>
      </c>
      <c r="G10" s="7" t="str" cm="1">
        <f t="array" ref="G10">GetValue("Domains","Name",F10)</f>
        <v>Boolean</v>
      </c>
      <c r="H10" s="7" t="str" cm="1">
        <f t="array" ref="H10">GetValue("Domains","#CategoryName",F10)</f>
        <v>boolean</v>
      </c>
      <c r="I10" s="7" t="str" cm="1">
        <f t="array" ref="I10">GetValue("Domains","#TypeName",F10)</f>
        <v>bit</v>
      </c>
      <c r="J10" s="7" t="str" cm="1">
        <f t="array" ref="J10">GetValue("Domains","#DataType",F10)</f>
        <v>bit</v>
      </c>
      <c r="K10" s="7"/>
      <c r="L10" s="7" t="str" cm="1">
        <f t="array" ref="L10">GetValue("Tables","Name",K10)</f>
        <v/>
      </c>
      <c r="M10" s="7" t="s">
        <v>8</v>
      </c>
      <c r="N10" s="7"/>
      <c r="O10" s="7" t="s">
        <v>378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  <c r="AD10" s="7" t="b">
        <v>0</v>
      </c>
    </row>
    <row r="11" spans="1:30" x14ac:dyDescent="0.3">
      <c r="A11" s="7">
        <f t="shared" si="0"/>
        <v>10</v>
      </c>
      <c r="B11" s="8">
        <v>1</v>
      </c>
      <c r="C11" s="7" t="str" cm="1">
        <f t="array" ref="C11">GetValue("Tables","Name",B11)</f>
        <v>Categories</v>
      </c>
      <c r="D11" s="8" t="str" cm="1">
        <f t="array" ref="D11">GetValue("Tables","Alias",B11)</f>
        <v>Category</v>
      </c>
      <c r="E11" s="7">
        <f t="shared" si="1"/>
        <v>50</v>
      </c>
      <c r="F11" s="7">
        <v>6</v>
      </c>
      <c r="G11" s="7" t="str" cm="1">
        <f t="array" ref="G11">GetValue("Domains","Name",F11)</f>
        <v>Boolean</v>
      </c>
      <c r="H11" s="7" t="str" cm="1">
        <f t="array" ref="H11">GetValue("Domains","#CategoryName",F11)</f>
        <v>boolean</v>
      </c>
      <c r="I11" s="7" t="str" cm="1">
        <f t="array" ref="I11">GetValue("Domains","#TypeName",F11)</f>
        <v>bit</v>
      </c>
      <c r="J11" s="7" t="str" cm="1">
        <f t="array" ref="J11">GetValue("Domains","#DataType",F11)</f>
        <v>bit</v>
      </c>
      <c r="K11" s="7"/>
      <c r="L11" s="7" t="str" cm="1">
        <f t="array" ref="L11">GetValue("Tables","Name",K11)</f>
        <v/>
      </c>
      <c r="M11" s="7" t="s">
        <v>9</v>
      </c>
      <c r="N11" s="7"/>
      <c r="O11" s="7" t="s">
        <v>377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  <c r="AD11" s="7" t="b">
        <v>0</v>
      </c>
    </row>
    <row r="12" spans="1:30" x14ac:dyDescent="0.3">
      <c r="A12" s="7">
        <f t="shared" si="0"/>
        <v>11</v>
      </c>
      <c r="B12" s="8">
        <v>1</v>
      </c>
      <c r="C12" s="7" t="str" cm="1">
        <f t="array" ref="C12">GetValue("Tables","Name",B12)</f>
        <v>Categories</v>
      </c>
      <c r="D12" s="8" t="str" cm="1">
        <f t="array" ref="D12">GetValue("Tables","Alias",B12)</f>
        <v>Category</v>
      </c>
      <c r="E12" s="7">
        <f t="shared" si="1"/>
        <v>55</v>
      </c>
      <c r="F12" s="7">
        <v>6</v>
      </c>
      <c r="G12" s="7" t="str" cm="1">
        <f t="array" ref="G12">GetValue("Domains","Name",F12)</f>
        <v>Boolean</v>
      </c>
      <c r="H12" s="7" t="str" cm="1">
        <f t="array" ref="H12">GetValue("Domains","#CategoryName",F12)</f>
        <v>boolean</v>
      </c>
      <c r="I12" s="7" t="str" cm="1">
        <f t="array" ref="I12">GetValue("Domains","#TypeName",F12)</f>
        <v>bit</v>
      </c>
      <c r="J12" s="7" t="str" cm="1">
        <f t="array" ref="J12">GetValue("Domains","#DataType",F12)</f>
        <v>bit</v>
      </c>
      <c r="K12" s="7"/>
      <c r="L12" s="7" t="str" cm="1">
        <f t="array" ref="L12">GetValue("Tables","Name",K12)</f>
        <v/>
      </c>
      <c r="M12" s="7" t="s">
        <v>374</v>
      </c>
      <c r="N12" s="7"/>
      <c r="O12" s="7" t="s">
        <v>376</v>
      </c>
      <c r="P12" s="7" t="s">
        <v>375</v>
      </c>
      <c r="Q12" s="7" t="s">
        <v>375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  <c r="AD12" s="7" t="b">
        <v>0</v>
      </c>
    </row>
    <row r="13" spans="1:30" x14ac:dyDescent="0.3">
      <c r="A13" s="9">
        <f t="shared" si="0"/>
        <v>12</v>
      </c>
      <c r="B13" s="9">
        <v>2</v>
      </c>
      <c r="C13" s="9" t="str" cm="1">
        <f t="array" ref="C13">GetValue("Tables","Name",B13)</f>
        <v>Types</v>
      </c>
      <c r="D13" s="9" t="str" cm="1">
        <f t="array" ref="D13">GetValue("Tables","Alias",B13)</f>
        <v>Type</v>
      </c>
      <c r="E13" s="9">
        <v>5</v>
      </c>
      <c r="F13" s="9">
        <v>5</v>
      </c>
      <c r="G13" s="9" t="str" cm="1">
        <f t="array" ref="G13">GetValue("Domains","Name",F13)</f>
        <v>TinyInteger</v>
      </c>
      <c r="H13" s="9" t="str" cm="1">
        <f t="array" ref="H13">GetValue("Domains","#CategoryName",F13)</f>
        <v>number</v>
      </c>
      <c r="I13" s="9" t="str" cm="1">
        <f t="array" ref="I13">GetValue("Domains","#TypeName",F13)</f>
        <v>tinyint</v>
      </c>
      <c r="J13" s="9" t="str" cm="1">
        <f t="array" ref="J13">GetValue("Domains","#DataType",F13)</f>
        <v>tinyint</v>
      </c>
      <c r="K13" s="9"/>
      <c r="L13" s="9" t="str" cm="1">
        <f t="array" ref="L13">GetValue("Tables","Name",K13)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  <c r="AD13" s="9" t="b">
        <v>0</v>
      </c>
    </row>
    <row r="14" spans="1:30" x14ac:dyDescent="0.3">
      <c r="A14" s="9">
        <f>ROW(A14)-1</f>
        <v>13</v>
      </c>
      <c r="B14" s="9">
        <v>2</v>
      </c>
      <c r="C14" s="9" t="str" cm="1">
        <f t="array" ref="C14">GetValue("Tables","Name",B14)</f>
        <v>Types</v>
      </c>
      <c r="D14" s="9" t="str" cm="1">
        <f t="array" ref="D14">GetValue("Tables","Alias",B14)</f>
        <v>Type</v>
      </c>
      <c r="E14" s="9">
        <f>E13+5</f>
        <v>10</v>
      </c>
      <c r="F14" s="9">
        <v>5</v>
      </c>
      <c r="G14" s="9" t="str" cm="1">
        <f t="array" ref="G14">GetValue("Domains","Name",F14)</f>
        <v>TinyInteger</v>
      </c>
      <c r="H14" s="9" t="str" cm="1">
        <f t="array" ref="H14">GetValue("Domains","#CategoryName",F14)</f>
        <v>number</v>
      </c>
      <c r="I14" s="9" t="str" cm="1">
        <f t="array" ref="I14">GetValue("Domains","#TypeName",F14)</f>
        <v>tinyint</v>
      </c>
      <c r="J14" s="9" t="str" cm="1">
        <f t="array" ref="J14">GetValue("Domains","#DataType",F14)</f>
        <v>tinyint</v>
      </c>
      <c r="K14" s="9">
        <v>1</v>
      </c>
      <c r="L14" s="9" t="str" cm="1">
        <f t="array" ref="L14">GetValue("Tables","Name",K14)</f>
        <v>Categories</v>
      </c>
      <c r="M14" s="20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 t="b">
        <v>0</v>
      </c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/>
      <c r="AC14" s="9" t="b">
        <v>0</v>
      </c>
      <c r="AD14" s="9" t="b">
        <v>0</v>
      </c>
    </row>
    <row r="15" spans="1:30" x14ac:dyDescent="0.3">
      <c r="A15" s="9">
        <f t="shared" ref="A15:A82" si="2">ROW(A15)-1</f>
        <v>14</v>
      </c>
      <c r="B15" s="9">
        <v>2</v>
      </c>
      <c r="C15" s="9" t="str" cm="1">
        <f t="array" ref="C15">GetValue("Tables","Name",B15)</f>
        <v>Types</v>
      </c>
      <c r="D15" s="9" t="str" cm="1">
        <f t="array" ref="D15">GetValue("Tables","Alias",B15)</f>
        <v>Type</v>
      </c>
      <c r="E15" s="9">
        <f t="shared" ref="E15:E27" si="3">E14+5</f>
        <v>15</v>
      </c>
      <c r="F15" s="9">
        <v>9</v>
      </c>
      <c r="G15" s="9" t="str" cm="1">
        <f t="array" ref="G15">GetValue("Domains","Name",F15)</f>
        <v>Nvarchar(25)</v>
      </c>
      <c r="H15" s="9" t="str" cm="1">
        <f t="array" ref="H15">GetValue("Domains","#CategoryName",F15)</f>
        <v>string</v>
      </c>
      <c r="I15" s="9" t="str" cm="1">
        <f t="array" ref="I15">GetValue("Domains","#TypeName",F15)</f>
        <v>nvarchar</v>
      </c>
      <c r="J15" s="9" t="str" cm="1">
        <f t="array" ref="J15">GetValue("Domains","#DataType",F15)</f>
        <v>nvarchar(25)</v>
      </c>
      <c r="K15" s="9"/>
      <c r="L15" s="9" t="str" cm="1">
        <f t="array" ref="L15">GetValue("Tables","Name",K15)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  <c r="AD15" s="9" t="b">
        <v>0</v>
      </c>
    </row>
    <row r="16" spans="1:30" x14ac:dyDescent="0.3">
      <c r="A16" s="9">
        <f t="shared" si="2"/>
        <v>15</v>
      </c>
      <c r="B16" s="9">
        <v>2</v>
      </c>
      <c r="C16" s="9" t="str" cm="1">
        <f t="array" ref="C16">GetValue("Tables","Name",B16)</f>
        <v>Types</v>
      </c>
      <c r="D16" s="9" t="str" cm="1">
        <f t="array" ref="D16">GetValue("Tables","Alias",B16)</f>
        <v>Type</v>
      </c>
      <c r="E16" s="9">
        <f t="shared" si="3"/>
        <v>20</v>
      </c>
      <c r="F16" s="9">
        <v>2</v>
      </c>
      <c r="G16" s="9" t="str" cm="1">
        <f t="array" ref="G16">GetValue("Domains","Name",F16)</f>
        <v>Integer</v>
      </c>
      <c r="H16" s="9" t="str" cm="1">
        <f t="array" ref="H16">GetValue("Domains","#CategoryName",F16)</f>
        <v>number</v>
      </c>
      <c r="I16" s="9" t="str" cm="1">
        <f t="array" ref="I16">GetValue("Domains","#TypeName",F16)</f>
        <v>int</v>
      </c>
      <c r="J16" s="9" t="str" cm="1">
        <f t="array" ref="J16">GetValue("Domains","#DataType",F16)</f>
        <v>int</v>
      </c>
      <c r="K16" s="9"/>
      <c r="L16" s="9" t="str" cm="1">
        <f t="array" ref="L16">GetValue("Tables","Name",K16)</f>
        <v/>
      </c>
      <c r="M16" s="9" t="s">
        <v>361</v>
      </c>
      <c r="N16" s="9"/>
      <c r="O16" s="9" t="s">
        <v>362</v>
      </c>
      <c r="P16" s="9" t="s">
        <v>362</v>
      </c>
      <c r="Q16" s="9" t="s">
        <v>362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  <c r="AD16" s="9" t="b">
        <v>0</v>
      </c>
    </row>
    <row r="17" spans="1:30" x14ac:dyDescent="0.3">
      <c r="A17" s="9">
        <f t="shared" si="2"/>
        <v>16</v>
      </c>
      <c r="B17" s="9">
        <v>2</v>
      </c>
      <c r="C17" s="9" t="str" cm="1">
        <f t="array" ref="C17">GetValue("Tables","Name",B17)</f>
        <v>Types</v>
      </c>
      <c r="D17" s="9" t="str" cm="1">
        <f t="array" ref="D17">GetValue("Tables","Alias",B17)</f>
        <v>Type</v>
      </c>
      <c r="E17" s="9">
        <f t="shared" si="3"/>
        <v>25</v>
      </c>
      <c r="F17" s="9">
        <v>17</v>
      </c>
      <c r="G17" s="9" t="str" cm="1">
        <f t="array" ref="G17">GetValue("Domains","Name",F17)</f>
        <v>Variant</v>
      </c>
      <c r="H17" s="9" t="str" cm="1">
        <f t="array" ref="H17">GetValue("Domains","#CategoryName",F17)</f>
        <v>text</v>
      </c>
      <c r="I17" s="9" t="str" cm="1">
        <f t="array" ref="I17">GetValue("Domains","#TypeName",F17)</f>
        <v>nvarchar(max)</v>
      </c>
      <c r="J17" s="9" t="str" cm="1">
        <f t="array" ref="J17">GetValue("Domains","#DataType",F17)</f>
        <v>nvarchar(max)</v>
      </c>
      <c r="K17" s="9"/>
      <c r="L17" s="9" t="str" cm="1">
        <f t="array" ref="L17">GetValue("Tables","Name",K17)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  <c r="AD17" s="9" t="b">
        <v>0</v>
      </c>
    </row>
    <row r="18" spans="1:30" x14ac:dyDescent="0.3">
      <c r="A18" s="9">
        <f t="shared" si="2"/>
        <v>17</v>
      </c>
      <c r="B18" s="9">
        <v>2</v>
      </c>
      <c r="C18" s="9" t="str" cm="1">
        <f t="array" ref="C18">GetValue("Tables","Name",B18)</f>
        <v>Types</v>
      </c>
      <c r="D18" s="9" t="str" cm="1">
        <f t="array" ref="D18">GetValue("Tables","Alias",B18)</f>
        <v>Type</v>
      </c>
      <c r="E18" s="9">
        <f t="shared" si="3"/>
        <v>30</v>
      </c>
      <c r="F18" s="9">
        <v>17</v>
      </c>
      <c r="G18" s="9" t="str" cm="1">
        <f t="array" ref="G18">GetValue("Domains","Name",F18)</f>
        <v>Variant</v>
      </c>
      <c r="H18" s="9" t="str" cm="1">
        <f t="array" ref="H18">GetValue("Domains","#CategoryName",F18)</f>
        <v>text</v>
      </c>
      <c r="I18" s="9" t="str" cm="1">
        <f t="array" ref="I18">GetValue("Domains","#TypeName",F18)</f>
        <v>nvarchar(max)</v>
      </c>
      <c r="J18" s="9" t="str" cm="1">
        <f t="array" ref="J18">GetValue("Domains","#DataType",F18)</f>
        <v>nvarchar(max)</v>
      </c>
      <c r="K18" s="9"/>
      <c r="L18" s="9" t="str" cm="1">
        <f t="array" ref="L18">GetValue("Tables","Name",K18)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  <c r="AD18" s="9" t="b">
        <v>0</v>
      </c>
    </row>
    <row r="19" spans="1:30" x14ac:dyDescent="0.3">
      <c r="A19" s="9">
        <f t="shared" si="2"/>
        <v>18</v>
      </c>
      <c r="B19" s="9">
        <v>2</v>
      </c>
      <c r="C19" s="9" t="str" cm="1">
        <f t="array" ref="C19">GetValue("Tables","Name",B19)</f>
        <v>Types</v>
      </c>
      <c r="D19" s="9" t="str" cm="1">
        <f t="array" ref="D19">GetValue("Tables","Alias",B19)</f>
        <v>Type</v>
      </c>
      <c r="E19" s="9">
        <f t="shared" si="3"/>
        <v>35</v>
      </c>
      <c r="F19" s="9">
        <v>6</v>
      </c>
      <c r="G19" s="9" t="str" cm="1">
        <f t="array" ref="G19">GetValue("Domains","Name",F19)</f>
        <v>Boolean</v>
      </c>
      <c r="H19" s="9" t="str" cm="1">
        <f t="array" ref="H19">GetValue("Domains","#CategoryName",F19)</f>
        <v>boolean</v>
      </c>
      <c r="I19" s="9" t="str" cm="1">
        <f t="array" ref="I19">GetValue("Domains","#TypeName",F19)</f>
        <v>bit</v>
      </c>
      <c r="J19" s="9" t="str" cm="1">
        <f t="array" ref="J19">GetValue("Domains","#DataType",F19)</f>
        <v>bit</v>
      </c>
      <c r="K19" s="9"/>
      <c r="L19" s="9" t="str" cm="1">
        <f t="array" ref="L19">GetValue("Tables","Name",K19)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  <c r="AD19" s="9" t="b">
        <v>0</v>
      </c>
    </row>
    <row r="20" spans="1:30" x14ac:dyDescent="0.3">
      <c r="A20" s="9">
        <f t="shared" si="2"/>
        <v>19</v>
      </c>
      <c r="B20" s="9">
        <v>2</v>
      </c>
      <c r="C20" s="9" t="str" cm="1">
        <f t="array" ref="C20">GetValue("Tables","Name",B20)</f>
        <v>Types</v>
      </c>
      <c r="D20" s="9" t="str" cm="1">
        <f t="array" ref="D20">GetValue("Tables","Alias",B20)</f>
        <v>Type</v>
      </c>
      <c r="E20" s="9">
        <f t="shared" si="3"/>
        <v>40</v>
      </c>
      <c r="F20" s="9">
        <v>6</v>
      </c>
      <c r="G20" s="9" t="str" cm="1">
        <f t="array" ref="G20">GetValue("Domains","Name",F20)</f>
        <v>Boolean</v>
      </c>
      <c r="H20" s="9" t="str" cm="1">
        <f t="array" ref="H20">GetValue("Domains","#CategoryName",F20)</f>
        <v>boolean</v>
      </c>
      <c r="I20" s="9" t="str" cm="1">
        <f t="array" ref="I20">GetValue("Domains","#TypeName",F20)</f>
        <v>bit</v>
      </c>
      <c r="J20" s="9" t="str" cm="1">
        <f t="array" ref="J20">GetValue("Domains","#DataType",F20)</f>
        <v>bit</v>
      </c>
      <c r="K20" s="9"/>
      <c r="L20" s="9" t="str" cm="1">
        <f t="array" ref="L20">GetValue("Tables","Name",K20)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  <c r="AD20" s="9" t="b">
        <v>0</v>
      </c>
    </row>
    <row r="21" spans="1:30" x14ac:dyDescent="0.3">
      <c r="A21" s="9">
        <f t="shared" si="2"/>
        <v>20</v>
      </c>
      <c r="B21" s="9">
        <v>2</v>
      </c>
      <c r="C21" s="9" t="str" cm="1">
        <f t="array" ref="C21">GetValue("Tables","Name",B21)</f>
        <v>Types</v>
      </c>
      <c r="D21" s="9" t="str" cm="1">
        <f t="array" ref="D21">GetValue("Tables","Alias",B21)</f>
        <v>Type</v>
      </c>
      <c r="E21" s="9">
        <f t="shared" si="3"/>
        <v>45</v>
      </c>
      <c r="F21" s="9">
        <v>6</v>
      </c>
      <c r="G21" s="9" t="str" cm="1">
        <f t="array" ref="G21">GetValue("Domains","Name",F21)</f>
        <v>Boolean</v>
      </c>
      <c r="H21" s="9" t="str" cm="1">
        <f t="array" ref="H21">GetValue("Domains","#CategoryName",F21)</f>
        <v>boolean</v>
      </c>
      <c r="I21" s="9" t="str" cm="1">
        <f t="array" ref="I21">GetValue("Domains","#TypeName",F21)</f>
        <v>bit</v>
      </c>
      <c r="J21" s="9" t="str" cm="1">
        <f t="array" ref="J21">GetValue("Domains","#DataType",F21)</f>
        <v>bit</v>
      </c>
      <c r="K21" s="9"/>
      <c r="L21" s="9" t="str" cm="1">
        <f t="array" ref="L21">GetValue("Tables","Name",K21)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  <c r="AD21" s="9" t="b">
        <v>0</v>
      </c>
    </row>
    <row r="22" spans="1:30" x14ac:dyDescent="0.3">
      <c r="A22" s="9">
        <f t="shared" si="2"/>
        <v>21</v>
      </c>
      <c r="B22" s="9">
        <v>2</v>
      </c>
      <c r="C22" s="9" t="str" cm="1">
        <f t="array" ref="C22">GetValue("Tables","Name",B22)</f>
        <v>Types</v>
      </c>
      <c r="D22" s="9" t="str" cm="1">
        <f t="array" ref="D22">GetValue("Tables","Alias",B22)</f>
        <v>Type</v>
      </c>
      <c r="E22" s="9">
        <f t="shared" si="3"/>
        <v>50</v>
      </c>
      <c r="F22" s="9">
        <v>6</v>
      </c>
      <c r="G22" s="9" t="str" cm="1">
        <f t="array" ref="G22">GetValue("Domains","Name",F22)</f>
        <v>Boolean</v>
      </c>
      <c r="H22" s="9" t="str" cm="1">
        <f t="array" ref="H22">GetValue("Domains","#CategoryName",F22)</f>
        <v>boolean</v>
      </c>
      <c r="I22" s="9" t="str" cm="1">
        <f t="array" ref="I22">GetValue("Domains","#TypeName",F22)</f>
        <v>bit</v>
      </c>
      <c r="J22" s="9" t="str" cm="1">
        <f t="array" ref="J22">GetValue("Domains","#DataType",F22)</f>
        <v>bit</v>
      </c>
      <c r="K22" s="9"/>
      <c r="L22" s="9" t="str" cm="1">
        <f t="array" ref="L22">GetValue("Tables","Name",K22)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  <c r="AD22" s="9" t="b">
        <v>0</v>
      </c>
    </row>
    <row r="23" spans="1:30" x14ac:dyDescent="0.3">
      <c r="A23" s="9">
        <f t="shared" si="2"/>
        <v>22</v>
      </c>
      <c r="B23" s="9">
        <v>2</v>
      </c>
      <c r="C23" s="9" t="str" cm="1">
        <f t="array" ref="C23">GetValue("Tables","Name",B23)</f>
        <v>Types</v>
      </c>
      <c r="D23" s="9" t="str" cm="1">
        <f t="array" ref="D23">GetValue("Tables","Alias",B23)</f>
        <v>Type</v>
      </c>
      <c r="E23" s="9">
        <f t="shared" si="3"/>
        <v>55</v>
      </c>
      <c r="F23" s="9">
        <v>6</v>
      </c>
      <c r="G23" s="9" t="str" cm="1">
        <f t="array" ref="G23">GetValue("Domains","Name",F23)</f>
        <v>Boolean</v>
      </c>
      <c r="H23" s="9" t="str" cm="1">
        <f t="array" ref="H23">GetValue("Domains","#CategoryName",F23)</f>
        <v>boolean</v>
      </c>
      <c r="I23" s="9" t="str" cm="1">
        <f t="array" ref="I23">GetValue("Domains","#TypeName",F23)</f>
        <v>bit</v>
      </c>
      <c r="J23" s="9" t="str" cm="1">
        <f t="array" ref="J23">GetValue("Domains","#DataType",F23)</f>
        <v>bit</v>
      </c>
      <c r="K23" s="9"/>
      <c r="L23" s="9" t="str" cm="1">
        <f t="array" ref="L23">GetValue("Tables","Name",K23)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  <c r="AD23" s="9" t="b">
        <v>0</v>
      </c>
    </row>
    <row r="24" spans="1:30" x14ac:dyDescent="0.3">
      <c r="A24" s="9">
        <f t="shared" si="2"/>
        <v>23</v>
      </c>
      <c r="B24" s="9">
        <v>2</v>
      </c>
      <c r="C24" s="9" t="str" cm="1">
        <f t="array" ref="C24">GetValue("Tables","Name",B24)</f>
        <v>Types</v>
      </c>
      <c r="D24" s="9" t="str" cm="1">
        <f t="array" ref="D24">GetValue("Tables","Alias",B24)</f>
        <v>Type</v>
      </c>
      <c r="E24" s="9">
        <f t="shared" si="3"/>
        <v>60</v>
      </c>
      <c r="F24" s="9">
        <v>6</v>
      </c>
      <c r="G24" s="9" t="str" cm="1">
        <f t="array" ref="G24">GetValue("Domains","Name",F24)</f>
        <v>Boolean</v>
      </c>
      <c r="H24" s="9" t="str" cm="1">
        <f t="array" ref="H24">GetValue("Domains","#CategoryName",F24)</f>
        <v>boolean</v>
      </c>
      <c r="I24" s="9" t="str" cm="1">
        <f t="array" ref="I24">GetValue("Domains","#TypeName",F24)</f>
        <v>bit</v>
      </c>
      <c r="J24" s="9" t="str" cm="1">
        <f t="array" ref="J24">GetValue("Domains","#DataType",F24)</f>
        <v>bit</v>
      </c>
      <c r="K24" s="9"/>
      <c r="L24" s="9" t="str" cm="1">
        <f t="array" ref="L24">GetValue("Tables","Name",K24)</f>
        <v/>
      </c>
      <c r="M24" s="9" t="s">
        <v>347</v>
      </c>
      <c r="N24" s="9"/>
      <c r="O24" s="9" t="s">
        <v>349</v>
      </c>
      <c r="P24" s="9" t="s">
        <v>350</v>
      </c>
      <c r="Q24" s="9" t="s">
        <v>350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  <c r="AD24" s="9" t="b">
        <v>0</v>
      </c>
    </row>
    <row r="25" spans="1:30" x14ac:dyDescent="0.3">
      <c r="A25" s="9">
        <f t="shared" si="2"/>
        <v>24</v>
      </c>
      <c r="B25" s="9">
        <v>2</v>
      </c>
      <c r="C25" s="9" t="str" cm="1">
        <f t="array" ref="C25">GetValue("Tables","Name",B25)</f>
        <v>Types</v>
      </c>
      <c r="D25" s="9" t="str" cm="1">
        <f t="array" ref="D25">GetValue("Tables","Alias",B25)</f>
        <v>Type</v>
      </c>
      <c r="E25" s="9">
        <f t="shared" si="3"/>
        <v>65</v>
      </c>
      <c r="F25" s="9">
        <v>6</v>
      </c>
      <c r="G25" s="9" t="str" cm="1">
        <f t="array" ref="G25">GetValue("Domains","Name",F25)</f>
        <v>Boolean</v>
      </c>
      <c r="H25" s="9" t="str" cm="1">
        <f t="array" ref="H25">GetValue("Domains","#CategoryName",F25)</f>
        <v>boolean</v>
      </c>
      <c r="I25" s="9" t="str" cm="1">
        <f t="array" ref="I25">GetValue("Domains","#TypeName",F25)</f>
        <v>bit</v>
      </c>
      <c r="J25" s="9" t="str" cm="1">
        <f t="array" ref="J25">GetValue("Domains","#DataType",F25)</f>
        <v>bit</v>
      </c>
      <c r="K25" s="9"/>
      <c r="L25" s="9" t="str" cm="1">
        <f t="array" ref="L25">GetValue("Tables","Name",K25)</f>
        <v/>
      </c>
      <c r="M25" s="9" t="s">
        <v>290</v>
      </c>
      <c r="N25" s="9"/>
      <c r="O25" s="9" t="s">
        <v>295</v>
      </c>
      <c r="P25" s="9" t="s">
        <v>296</v>
      </c>
      <c r="Q25" s="9" t="s">
        <v>296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  <c r="AD25" s="9" t="b">
        <v>0</v>
      </c>
    </row>
    <row r="26" spans="1:30" x14ac:dyDescent="0.3">
      <c r="A26" s="9">
        <f t="shared" si="2"/>
        <v>25</v>
      </c>
      <c r="B26" s="9">
        <v>2</v>
      </c>
      <c r="C26" s="9" t="str" cm="1">
        <f t="array" ref="C26">GetValue("Tables","Name",B26)</f>
        <v>Types</v>
      </c>
      <c r="D26" s="9" t="str" cm="1">
        <f t="array" ref="D26">GetValue("Tables","Alias",B26)</f>
        <v>Type</v>
      </c>
      <c r="E26" s="9">
        <f t="shared" si="3"/>
        <v>70</v>
      </c>
      <c r="F26" s="9">
        <v>6</v>
      </c>
      <c r="G26" s="9" t="str" cm="1">
        <f t="array" ref="G26">GetValue("Domains","Name",F26)</f>
        <v>Boolean</v>
      </c>
      <c r="H26" s="9" t="str" cm="1">
        <f t="array" ref="H26">GetValue("Domains","#CategoryName",F26)</f>
        <v>boolean</v>
      </c>
      <c r="I26" s="9" t="str" cm="1">
        <f t="array" ref="I26">GetValue("Domains","#TypeName",F26)</f>
        <v>bit</v>
      </c>
      <c r="J26" s="9" t="str" cm="1">
        <f t="array" ref="J26">GetValue("Domains","#DataType",F26)</f>
        <v>bit</v>
      </c>
      <c r="K26" s="9"/>
      <c r="L26" s="9" t="str" cm="1">
        <f t="array" ref="L26">GetValue("Tables","Name",K26)</f>
        <v/>
      </c>
      <c r="M26" s="9" t="s">
        <v>514</v>
      </c>
      <c r="N26" s="9"/>
      <c r="O26" s="9" t="s">
        <v>515</v>
      </c>
      <c r="P26" s="9" t="s">
        <v>515</v>
      </c>
      <c r="Q26" s="9" t="s">
        <v>515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  <c r="AD26" s="9" t="b">
        <v>0</v>
      </c>
    </row>
    <row r="27" spans="1:30" x14ac:dyDescent="0.3">
      <c r="A27" s="9">
        <f t="shared" si="2"/>
        <v>26</v>
      </c>
      <c r="B27" s="9">
        <v>2</v>
      </c>
      <c r="C27" s="9" t="str" cm="1">
        <f t="array" ref="C27">GetValue("Tables","Name",B27)</f>
        <v>Types</v>
      </c>
      <c r="D27" s="9" t="str" cm="1">
        <f t="array" ref="D27">GetValue("Tables","Alias",B27)</f>
        <v>Type</v>
      </c>
      <c r="E27" s="9">
        <f t="shared" si="3"/>
        <v>75</v>
      </c>
      <c r="F27" s="9">
        <v>6</v>
      </c>
      <c r="G27" s="9" t="str" cm="1">
        <f t="array" ref="G27">GetValue("Domains","Name",F27)</f>
        <v>Boolean</v>
      </c>
      <c r="H27" s="9" t="str" cm="1">
        <f t="array" ref="H27">GetValue("Domains","#CategoryName",F27)</f>
        <v>boolean</v>
      </c>
      <c r="I27" s="9" t="str" cm="1">
        <f t="array" ref="I27">GetValue("Domains","#TypeName",F27)</f>
        <v>bit</v>
      </c>
      <c r="J27" s="9" t="str" cm="1">
        <f t="array" ref="J27">GetValue("Domains","#DataType",F27)</f>
        <v>bit</v>
      </c>
      <c r="K27" s="9"/>
      <c r="L27" s="9" t="str" cm="1">
        <f t="array" ref="L27">GetValue("Tables","Name",K27)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  <c r="AD27" s="9" t="b">
        <v>0</v>
      </c>
    </row>
    <row r="28" spans="1:30" x14ac:dyDescent="0.3">
      <c r="A28" s="7">
        <f>ROW(A28)-1</f>
        <v>27</v>
      </c>
      <c r="B28" s="7">
        <v>3</v>
      </c>
      <c r="C28" s="7" t="str" cm="1">
        <f t="array" ref="C28">GetValue("Tables","Name",B28)</f>
        <v>Masks</v>
      </c>
      <c r="D28" s="8" t="str" cm="1">
        <f t="array" ref="D28">GetValue("Tables","Alias",B28)</f>
        <v>Mask</v>
      </c>
      <c r="E28" s="7">
        <v>5</v>
      </c>
      <c r="F28" s="7">
        <v>1</v>
      </c>
      <c r="G28" s="7" t="str" cm="1">
        <f t="array" ref="G28">GetValue("Domains","Name",F28)</f>
        <v>BigInteger</v>
      </c>
      <c r="H28" s="7" t="str" cm="1">
        <f t="array" ref="H28">GetValue("Domains","#CategoryName",F28)</f>
        <v>number</v>
      </c>
      <c r="I28" s="7" t="str" cm="1">
        <f t="array" ref="I28">GetValue("Domains","#TypeName",F28)</f>
        <v>bigint</v>
      </c>
      <c r="J28" s="7" t="str" cm="1">
        <f t="array" ref="J28">GetValue("Domains","#DataType",F28)</f>
        <v>bigint</v>
      </c>
      <c r="K28" s="7"/>
      <c r="L28" s="7" t="str" cm="1">
        <f t="array" ref="L28">GetValue("Tables","Name",K28)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  <c r="AD28" s="7" t="b">
        <v>0</v>
      </c>
    </row>
    <row r="29" spans="1:30" x14ac:dyDescent="0.3">
      <c r="A29" s="7">
        <f>ROW(A29)-1</f>
        <v>28</v>
      </c>
      <c r="B29" s="7">
        <v>3</v>
      </c>
      <c r="C29" s="7" t="str" cm="1">
        <f t="array" ref="C29">GetValue("Tables","Name",B29)</f>
        <v>Masks</v>
      </c>
      <c r="D29" s="8" t="str" cm="1">
        <f t="array" ref="D29">GetValue("Tables","Alias",B29)</f>
        <v>Mask</v>
      </c>
      <c r="E29" s="7">
        <f>E28+5</f>
        <v>10</v>
      </c>
      <c r="F29" s="7">
        <v>9</v>
      </c>
      <c r="G29" s="7" t="str" cm="1">
        <f t="array" ref="G29">GetValue("Domains","Name",F29)</f>
        <v>Nvarchar(25)</v>
      </c>
      <c r="H29" s="7" t="str" cm="1">
        <f t="array" ref="H29">GetValue("Domains","#CategoryName",F29)</f>
        <v>string</v>
      </c>
      <c r="I29" s="7" t="str" cm="1">
        <f t="array" ref="I29">GetValue("Domains","#TypeName",F29)</f>
        <v>nvarchar</v>
      </c>
      <c r="J29" s="7" t="str" cm="1">
        <f t="array" ref="J29">GetValue("Domains","#DataType",F29)</f>
        <v>nvarchar(25)</v>
      </c>
      <c r="K29" s="7"/>
      <c r="L29" s="7" t="str" cm="1">
        <f t="array" ref="L29">GetValue("Tables","Name",K29)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  <c r="AD29" s="7" t="b">
        <v>0</v>
      </c>
    </row>
    <row r="30" spans="1:30" x14ac:dyDescent="0.3">
      <c r="A30" s="7">
        <f>ROW(A30)-1</f>
        <v>29</v>
      </c>
      <c r="B30" s="7">
        <v>3</v>
      </c>
      <c r="C30" s="7" t="str" cm="1">
        <f t="array" ref="C30">GetValue("Tables","Name",B30)</f>
        <v>Masks</v>
      </c>
      <c r="D30" s="8" t="str" cm="1">
        <f t="array" ref="D30">GetValue("Tables","Alias",B30)</f>
        <v>Mask</v>
      </c>
      <c r="E30" s="7">
        <f>E29+5</f>
        <v>15</v>
      </c>
      <c r="F30" s="7">
        <v>12</v>
      </c>
      <c r="G30" s="7" t="str" cm="1">
        <f t="array" ref="G30">GetValue("Domains","Name",F30)</f>
        <v>Nvarchar(MAX)</v>
      </c>
      <c r="H30" s="7" t="str" cm="1">
        <f t="array" ref="H30">GetValue("Domains","#CategoryName",F30)</f>
        <v>text</v>
      </c>
      <c r="I30" s="7" t="str" cm="1">
        <f t="array" ref="I30">GetValue("Domains","#TypeName",F30)</f>
        <v>nvarchar(max)</v>
      </c>
      <c r="J30" s="7" t="str" cm="1">
        <f t="array" ref="J30">GetValue("Domains","#DataType",F30)</f>
        <v>nvarchar(max)</v>
      </c>
      <c r="K30" s="7"/>
      <c r="L30" s="7" t="str" cm="1">
        <f t="array" ref="L30">GetValue("Tables","Name",K30)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  <c r="AD30" s="7" t="b">
        <v>0</v>
      </c>
    </row>
    <row r="31" spans="1:30" x14ac:dyDescent="0.3">
      <c r="A31" s="9">
        <f t="shared" si="2"/>
        <v>30</v>
      </c>
      <c r="B31" s="9">
        <v>4</v>
      </c>
      <c r="C31" s="9" t="str" cm="1">
        <f t="array" ref="C31">GetValue("Tables","Name",B31)</f>
        <v>Domains</v>
      </c>
      <c r="D31" s="9" t="str" cm="1">
        <f t="array" ref="D31">GetValue("Tables","Alias",B31)</f>
        <v>Domain</v>
      </c>
      <c r="E31" s="9">
        <v>5</v>
      </c>
      <c r="F31" s="9">
        <v>1</v>
      </c>
      <c r="G31" s="9" t="str" cm="1">
        <f t="array" ref="G31">GetValue("Domains","Name",F31)</f>
        <v>BigInteger</v>
      </c>
      <c r="H31" s="9" t="str" cm="1">
        <f t="array" ref="H31">GetValue("Domains","#CategoryName",F31)</f>
        <v>number</v>
      </c>
      <c r="I31" s="9" t="str" cm="1">
        <f t="array" ref="I31">GetValue("Domains","#TypeName",F31)</f>
        <v>bigint</v>
      </c>
      <c r="J31" s="9" t="str" cm="1">
        <f t="array" ref="J31">GetValue("Domains","#DataType",F31)</f>
        <v>bigint</v>
      </c>
      <c r="K31" s="9"/>
      <c r="L31" s="9" t="str" cm="1">
        <f t="array" ref="L31">GetValue("Tables","Name",K31)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  <c r="AD31" s="9" t="b">
        <v>0</v>
      </c>
    </row>
    <row r="32" spans="1:30" x14ac:dyDescent="0.3">
      <c r="A32" s="9">
        <f t="shared" si="2"/>
        <v>31</v>
      </c>
      <c r="B32" s="9">
        <v>4</v>
      </c>
      <c r="C32" s="9" t="str" cm="1">
        <f t="array" ref="C32">GetValue("Tables","Name",B32)</f>
        <v>Domains</v>
      </c>
      <c r="D32" s="9" t="str" cm="1">
        <f t="array" ref="D32">GetValue("Tables","Alias",B32)</f>
        <v>Domain</v>
      </c>
      <c r="E32" s="9">
        <f t="shared" ref="E32:E41" si="4">E31+5</f>
        <v>10</v>
      </c>
      <c r="F32" s="9">
        <v>5</v>
      </c>
      <c r="G32" s="9" t="str" cm="1">
        <f t="array" ref="G32">GetValue("Domains","Name",F32)</f>
        <v>TinyInteger</v>
      </c>
      <c r="H32" s="9" t="str" cm="1">
        <f t="array" ref="H32">GetValue("Domains","#CategoryName",F32)</f>
        <v>number</v>
      </c>
      <c r="I32" s="9" t="str" cm="1">
        <f t="array" ref="I32">GetValue("Domains","#TypeName",F32)</f>
        <v>tinyint</v>
      </c>
      <c r="J32" s="9" t="str" cm="1">
        <f t="array" ref="J32">GetValue("Domains","#DataType",F32)</f>
        <v>tinyint</v>
      </c>
      <c r="K32" s="9">
        <v>2</v>
      </c>
      <c r="L32" s="9" t="str" cm="1">
        <f t="array" ref="L32">GetValue("Tables","Name",K32)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  <c r="AD32" s="9" t="b">
        <v>0</v>
      </c>
    </row>
    <row r="33" spans="1:30" x14ac:dyDescent="0.3">
      <c r="A33" s="9">
        <f t="shared" si="2"/>
        <v>32</v>
      </c>
      <c r="B33" s="9">
        <v>4</v>
      </c>
      <c r="C33" s="9" t="str" cm="1">
        <f t="array" ref="C33">GetValue("Tables","Name",B33)</f>
        <v>Domains</v>
      </c>
      <c r="D33" s="9" t="str" cm="1">
        <f t="array" ref="D33">GetValue("Tables","Alias",B33)</f>
        <v>Domain</v>
      </c>
      <c r="E33" s="9">
        <f t="shared" si="4"/>
        <v>15</v>
      </c>
      <c r="F33" s="9">
        <v>1</v>
      </c>
      <c r="G33" s="9" t="str" cm="1">
        <f t="array" ref="G33">GetValue("Domains","Name",F33)</f>
        <v>BigInteger</v>
      </c>
      <c r="H33" s="9" t="str" cm="1">
        <f t="array" ref="H33">GetValue("Domains","#CategoryName",F33)</f>
        <v>number</v>
      </c>
      <c r="I33" s="9" t="str" cm="1">
        <f t="array" ref="I33">GetValue("Domains","#TypeName",F33)</f>
        <v>bigint</v>
      </c>
      <c r="J33" s="9" t="str" cm="1">
        <f t="array" ref="J33">GetValue("Domains","#DataType",F33)</f>
        <v>bigint</v>
      </c>
      <c r="K33" s="9">
        <v>3</v>
      </c>
      <c r="L33" s="9" t="str" cm="1">
        <f t="array" ref="L33">GetValue("Tables","Name",K33)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  <c r="AD33" s="9" t="b">
        <v>0</v>
      </c>
    </row>
    <row r="34" spans="1:30" x14ac:dyDescent="0.3">
      <c r="A34" s="9">
        <f t="shared" si="2"/>
        <v>33</v>
      </c>
      <c r="B34" s="9">
        <v>4</v>
      </c>
      <c r="C34" s="9" t="str" cm="1">
        <f t="array" ref="C34">GetValue("Tables","Name",B34)</f>
        <v>Domains</v>
      </c>
      <c r="D34" s="9" t="str" cm="1">
        <f t="array" ref="D34">GetValue("Tables","Alias",B34)</f>
        <v>Domain</v>
      </c>
      <c r="E34" s="9">
        <f t="shared" si="4"/>
        <v>20</v>
      </c>
      <c r="F34" s="9">
        <v>9</v>
      </c>
      <c r="G34" s="9" t="str" cm="1">
        <f t="array" ref="G34">GetValue("Domains","Name",F34)</f>
        <v>Nvarchar(25)</v>
      </c>
      <c r="H34" s="9" t="str" cm="1">
        <f t="array" ref="H34">GetValue("Domains","#CategoryName",F34)</f>
        <v>string</v>
      </c>
      <c r="I34" s="9" t="str" cm="1">
        <f t="array" ref="I34">GetValue("Domains","#TypeName",F34)</f>
        <v>nvarchar</v>
      </c>
      <c r="J34" s="9" t="str" cm="1">
        <f t="array" ref="J34">GetValue("Domains","#DataType",F34)</f>
        <v>nvarchar(25)</v>
      </c>
      <c r="K34" s="9"/>
      <c r="L34" s="9" t="str" cm="1">
        <f t="array" ref="L34">GetValue("Tables","Name",K34)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  <c r="AD34" s="9" t="b">
        <v>0</v>
      </c>
    </row>
    <row r="35" spans="1:30" x14ac:dyDescent="0.3">
      <c r="A35" s="9">
        <f t="shared" si="2"/>
        <v>34</v>
      </c>
      <c r="B35" s="9">
        <v>4</v>
      </c>
      <c r="C35" s="9" t="str" cm="1">
        <f t="array" ref="C35">GetValue("Tables","Name",B35)</f>
        <v>Domains</v>
      </c>
      <c r="D35" s="9" t="str" cm="1">
        <f t="array" ref="D35">GetValue("Tables","Alias",B35)</f>
        <v>Domain</v>
      </c>
      <c r="E35" s="9">
        <f t="shared" si="4"/>
        <v>25</v>
      </c>
      <c r="F35" s="9">
        <v>4</v>
      </c>
      <c r="G35" s="9" t="str" cm="1">
        <f t="array" ref="G35">GetValue("Domains","Name",F35)</f>
        <v>SmallInteger</v>
      </c>
      <c r="H35" s="9" t="str" cm="1">
        <f t="array" ref="H35">GetValue("Domains","#CategoryName",F35)</f>
        <v>number</v>
      </c>
      <c r="I35" s="9" t="str" cm="1">
        <f t="array" ref="I35">GetValue("Domains","#TypeName",F35)</f>
        <v>smallint</v>
      </c>
      <c r="J35" s="9" t="str" cm="1">
        <f t="array" ref="J35">GetValue("Domains","#DataType",F35)</f>
        <v>smallint</v>
      </c>
      <c r="K35" s="9"/>
      <c r="L35" s="9" t="str" cm="1">
        <f t="array" ref="L35">GetValue("Tables","Name",K35)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  <c r="AD35" s="9" t="b">
        <v>0</v>
      </c>
    </row>
    <row r="36" spans="1:30" x14ac:dyDescent="0.3">
      <c r="A36" s="9">
        <f t="shared" si="2"/>
        <v>35</v>
      </c>
      <c r="B36" s="9">
        <v>4</v>
      </c>
      <c r="C36" s="9" t="str" cm="1">
        <f t="array" ref="C36">GetValue("Tables","Name",B36)</f>
        <v>Domains</v>
      </c>
      <c r="D36" s="9" t="str" cm="1">
        <f t="array" ref="D36">GetValue("Tables","Alias",B36)</f>
        <v>Domain</v>
      </c>
      <c r="E36" s="9">
        <f t="shared" si="4"/>
        <v>30</v>
      </c>
      <c r="F36" s="9">
        <v>5</v>
      </c>
      <c r="G36" s="9" t="str" cm="1">
        <f t="array" ref="G36">GetValue("Domains","Name",F36)</f>
        <v>TinyInteger</v>
      </c>
      <c r="H36" s="9" t="str" cm="1">
        <f t="array" ref="H36">GetValue("Domains","#CategoryName",F36)</f>
        <v>number</v>
      </c>
      <c r="I36" s="9" t="str" cm="1">
        <f t="array" ref="I36">GetValue("Domains","#TypeName",F36)</f>
        <v>tinyint</v>
      </c>
      <c r="J36" s="9" t="str" cm="1">
        <f t="array" ref="J36">GetValue("Domains","#DataType",F36)</f>
        <v>tinyint</v>
      </c>
      <c r="K36" s="9"/>
      <c r="L36" s="9" t="str" cm="1">
        <f t="array" ref="L36">GetValue("Tables","Name",K36)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  <c r="AD36" s="9" t="b">
        <v>0</v>
      </c>
    </row>
    <row r="37" spans="1:30" x14ac:dyDescent="0.3">
      <c r="A37" s="9">
        <f>ROW(A37)-1</f>
        <v>36</v>
      </c>
      <c r="B37" s="9">
        <v>4</v>
      </c>
      <c r="C37" s="9" t="str" cm="1">
        <f t="array" ref="C37">GetValue("Tables","Name",B37)</f>
        <v>Domains</v>
      </c>
      <c r="D37" s="9" t="str" cm="1">
        <f t="array" ref="D37">GetValue("Tables","Alias",B37)</f>
        <v>Domain</v>
      </c>
      <c r="E37" s="9">
        <f t="shared" si="4"/>
        <v>35</v>
      </c>
      <c r="F37" s="9">
        <v>12</v>
      </c>
      <c r="G37" s="9" t="str" cm="1">
        <f t="array" ref="G37">GetValue("Domains","Name",F37)</f>
        <v>Nvarchar(MAX)</v>
      </c>
      <c r="H37" s="9" t="str" cm="1">
        <f t="array" ref="H37">GetValue("Domains","#CategoryName",F37)</f>
        <v>text</v>
      </c>
      <c r="I37" s="9" t="str" cm="1">
        <f t="array" ref="I37">GetValue("Domains","#TypeName",F37)</f>
        <v>nvarchar(max)</v>
      </c>
      <c r="J37" s="9" t="str" cm="1">
        <f t="array" ref="J37">GetValue("Domains","#DataType",F37)</f>
        <v>nvarchar(max)</v>
      </c>
      <c r="K37" s="9"/>
      <c r="L37" s="9" t="str" cm="1">
        <f t="array" ref="L37">GetValue("Tables","Name",K37)</f>
        <v/>
      </c>
      <c r="M37" s="9" t="s">
        <v>299</v>
      </c>
      <c r="N37" s="9"/>
      <c r="O37" s="9" t="s">
        <v>298</v>
      </c>
      <c r="P37" s="9" t="s">
        <v>298</v>
      </c>
      <c r="Q37" s="9" t="s">
        <v>298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  <c r="AD37" s="9" t="b">
        <v>0</v>
      </c>
    </row>
    <row r="38" spans="1:30" x14ac:dyDescent="0.3">
      <c r="A38" s="9">
        <f t="shared" si="2"/>
        <v>37</v>
      </c>
      <c r="B38" s="9">
        <v>4</v>
      </c>
      <c r="C38" s="9" t="str" cm="1">
        <f t="array" ref="C38">GetValue("Tables","Name",B38)</f>
        <v>Domains</v>
      </c>
      <c r="D38" s="9" t="str" cm="1">
        <f t="array" ref="D38">GetValue("Tables","Alias",B38)</f>
        <v>Domain</v>
      </c>
      <c r="E38" s="9">
        <f t="shared" si="4"/>
        <v>40</v>
      </c>
      <c r="F38" s="9">
        <v>17</v>
      </c>
      <c r="G38" s="9" t="str" cm="1">
        <f t="array" ref="G38">GetValue("Domains","Name",F38)</f>
        <v>Variant</v>
      </c>
      <c r="H38" s="9" t="str" cm="1">
        <f t="array" ref="H38">GetValue("Domains","#CategoryName",F38)</f>
        <v>text</v>
      </c>
      <c r="I38" s="9" t="str" cm="1">
        <f t="array" ref="I38">GetValue("Domains","#TypeName",F38)</f>
        <v>nvarchar(max)</v>
      </c>
      <c r="J38" s="9" t="str" cm="1">
        <f t="array" ref="J38">GetValue("Domains","#DataType",F38)</f>
        <v>nvarchar(max)</v>
      </c>
      <c r="K38" s="9"/>
      <c r="L38" s="9" t="str" cm="1">
        <f t="array" ref="L38">GetValue("Tables","Name",K38)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  <c r="AD38" s="9" t="b">
        <v>0</v>
      </c>
    </row>
    <row r="39" spans="1:30" x14ac:dyDescent="0.3">
      <c r="A39" s="9">
        <f t="shared" si="2"/>
        <v>38</v>
      </c>
      <c r="B39" s="9">
        <v>4</v>
      </c>
      <c r="C39" s="9" t="str" cm="1">
        <f t="array" ref="C39">GetValue("Tables","Name",B39)</f>
        <v>Domains</v>
      </c>
      <c r="D39" s="9" t="str" cm="1">
        <f t="array" ref="D39">GetValue("Tables","Alias",B39)</f>
        <v>Domain</v>
      </c>
      <c r="E39" s="9">
        <f t="shared" si="4"/>
        <v>45</v>
      </c>
      <c r="F39" s="9">
        <v>17</v>
      </c>
      <c r="G39" s="9" t="str" cm="1">
        <f t="array" ref="G39">GetValue("Domains","Name",F39)</f>
        <v>Variant</v>
      </c>
      <c r="H39" s="9" t="str" cm="1">
        <f t="array" ref="H39">GetValue("Domains","#CategoryName",F39)</f>
        <v>text</v>
      </c>
      <c r="I39" s="9" t="str" cm="1">
        <f t="array" ref="I39">GetValue("Domains","#TypeName",F39)</f>
        <v>nvarchar(max)</v>
      </c>
      <c r="J39" s="9" t="str" cm="1">
        <f t="array" ref="J39">GetValue("Domains","#DataType",F39)</f>
        <v>nvarchar(max)</v>
      </c>
      <c r="K39" s="9"/>
      <c r="L39" s="9" t="str" cm="1">
        <f t="array" ref="L39">GetValue("Tables","Name",K39)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  <c r="AD39" s="9" t="b">
        <v>0</v>
      </c>
    </row>
    <row r="40" spans="1:30" x14ac:dyDescent="0.3">
      <c r="A40" s="9">
        <f t="shared" si="2"/>
        <v>39</v>
      </c>
      <c r="B40" s="9">
        <v>4</v>
      </c>
      <c r="C40" s="9" t="str" cm="1">
        <f t="array" ref="C40">GetValue("Tables","Name",B40)</f>
        <v>Domains</v>
      </c>
      <c r="D40" s="9" t="str" cm="1">
        <f t="array" ref="D40">GetValue("Tables","Alias",B40)</f>
        <v>Domain</v>
      </c>
      <c r="E40" s="9">
        <f t="shared" si="4"/>
        <v>50</v>
      </c>
      <c r="F40" s="9">
        <v>17</v>
      </c>
      <c r="G40" s="9" t="str" cm="1">
        <f t="array" ref="G40">GetValue("Domains","Name",F40)</f>
        <v>Variant</v>
      </c>
      <c r="H40" s="9" t="str" cm="1">
        <f t="array" ref="H40">GetValue("Domains","#CategoryName",F40)</f>
        <v>text</v>
      </c>
      <c r="I40" s="9" t="str" cm="1">
        <f t="array" ref="I40">GetValue("Domains","#TypeName",F40)</f>
        <v>nvarchar(max)</v>
      </c>
      <c r="J40" s="9" t="str" cm="1">
        <f t="array" ref="J40">GetValue("Domains","#DataType",F40)</f>
        <v>nvarchar(max)</v>
      </c>
      <c r="K40" s="9"/>
      <c r="L40" s="9" t="str" cm="1">
        <f t="array" ref="L40">GetValue("Tables","Name",K40)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  <c r="AD40" s="9" t="b">
        <v>0</v>
      </c>
    </row>
    <row r="41" spans="1:30" x14ac:dyDescent="0.3">
      <c r="A41" s="9">
        <f t="shared" si="2"/>
        <v>40</v>
      </c>
      <c r="B41" s="9">
        <v>4</v>
      </c>
      <c r="C41" s="9" t="str" cm="1">
        <f t="array" ref="C41">GetValue("Tables","Name",B41)</f>
        <v>Domains</v>
      </c>
      <c r="D41" s="9" t="str" cm="1">
        <f t="array" ref="D41">GetValue("Tables","Alias",B41)</f>
        <v>Domain</v>
      </c>
      <c r="E41" s="9">
        <f t="shared" si="4"/>
        <v>55</v>
      </c>
      <c r="F41" s="9">
        <v>18</v>
      </c>
      <c r="G41" s="9" t="str" cm="1">
        <f t="array" ref="G41">GetValue("Domains","Name",F41)</f>
        <v>Codification</v>
      </c>
      <c r="H41" s="9" t="str" cm="1">
        <f t="array" ref="H41">GetValue("Domains","#CategoryName",F41)</f>
        <v>string</v>
      </c>
      <c r="I41" s="9" t="str" cm="1">
        <f t="array" ref="I41">GetValue("Domains","#TypeName",F41)</f>
        <v>nvarchar</v>
      </c>
      <c r="J41" s="9" t="str" cm="1">
        <f t="array" ref="J41">GetValue("Domains","#DataType",F41)</f>
        <v>nvarchar(5)</v>
      </c>
      <c r="K41" s="9"/>
      <c r="L41" s="9" t="str" cm="1">
        <f t="array" ref="L41">GetValue("Tables","Name",K41)</f>
        <v/>
      </c>
      <c r="M41" s="9" t="s">
        <v>291</v>
      </c>
      <c r="N41" s="9"/>
      <c r="O41" s="9" t="s">
        <v>343</v>
      </c>
      <c r="P41" s="9" t="s">
        <v>297</v>
      </c>
      <c r="Q41" s="9" t="s">
        <v>297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  <c r="AD41" s="9" t="b">
        <v>0</v>
      </c>
    </row>
    <row r="42" spans="1:30" x14ac:dyDescent="0.3">
      <c r="A42" s="7">
        <f t="shared" si="2"/>
        <v>41</v>
      </c>
      <c r="B42" s="7">
        <v>5</v>
      </c>
      <c r="C42" s="7" t="str" cm="1">
        <f t="array" ref="C42">GetValue("Tables","Name",B42)</f>
        <v>Systems</v>
      </c>
      <c r="D42" s="8" t="str" cm="1">
        <f t="array" ref="D42">GetValue("Tables","Alias",B42)</f>
        <v>System</v>
      </c>
      <c r="E42" s="7">
        <v>5</v>
      </c>
      <c r="F42" s="7">
        <v>1</v>
      </c>
      <c r="G42" s="7" t="str" cm="1">
        <f t="array" ref="G42">GetValue("Domains","Name",F42)</f>
        <v>BigInteger</v>
      </c>
      <c r="H42" s="7" t="str" cm="1">
        <f t="array" ref="H42">GetValue("Domains","#CategoryName",F42)</f>
        <v>number</v>
      </c>
      <c r="I42" s="7" t="str" cm="1">
        <f t="array" ref="I42">GetValue("Domains","#TypeName",F42)</f>
        <v>bigint</v>
      </c>
      <c r="J42" s="7" t="str" cm="1">
        <f t="array" ref="J42">GetValue("Domains","#DataType",F42)</f>
        <v>bigint</v>
      </c>
      <c r="K42" s="7"/>
      <c r="L42" s="7" t="str" cm="1">
        <f t="array" ref="L42">GetValue("Tables","Name",K42)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  <c r="AD42" s="7" t="b">
        <v>0</v>
      </c>
    </row>
    <row r="43" spans="1:30" x14ac:dyDescent="0.3">
      <c r="A43" s="7">
        <f t="shared" si="2"/>
        <v>42</v>
      </c>
      <c r="B43" s="7">
        <v>5</v>
      </c>
      <c r="C43" s="7" t="str" cm="1">
        <f t="array" ref="C43">GetValue("Tables","Name",B43)</f>
        <v>Systems</v>
      </c>
      <c r="D43" s="8" t="str" cm="1">
        <f t="array" ref="D43">GetValue("Tables","Alias",B43)</f>
        <v>System</v>
      </c>
      <c r="E43" s="7">
        <f>E42+5</f>
        <v>10</v>
      </c>
      <c r="F43" s="7">
        <v>9</v>
      </c>
      <c r="G43" s="7" t="str" cm="1">
        <f t="array" ref="G43">GetValue("Domains","Name",F43)</f>
        <v>Nvarchar(25)</v>
      </c>
      <c r="H43" s="7" t="str" cm="1">
        <f t="array" ref="H43">GetValue("Domains","#CategoryName",F43)</f>
        <v>string</v>
      </c>
      <c r="I43" s="7" t="str" cm="1">
        <f t="array" ref="I43">GetValue("Domains","#TypeName",F43)</f>
        <v>nvarchar</v>
      </c>
      <c r="J43" s="7" t="str" cm="1">
        <f t="array" ref="J43">GetValue("Domains","#DataType",F43)</f>
        <v>nvarchar(25)</v>
      </c>
      <c r="K43" s="7"/>
      <c r="L43" s="7" t="str" cm="1">
        <f t="array" ref="L43">GetValue("Tables","Name",K43)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  <c r="AD43" s="7" t="b">
        <v>0</v>
      </c>
    </row>
    <row r="44" spans="1:30" x14ac:dyDescent="0.3">
      <c r="A44" s="7">
        <f t="shared" si="2"/>
        <v>43</v>
      </c>
      <c r="B44" s="7">
        <v>5</v>
      </c>
      <c r="C44" s="7" t="str" cm="1">
        <f t="array" ref="C44">GetValue("Tables","Name",B44)</f>
        <v>Systems</v>
      </c>
      <c r="D44" s="8" t="str" cm="1">
        <f t="array" ref="D44">GetValue("Tables","Alias",B44)</f>
        <v>System</v>
      </c>
      <c r="E44" s="7">
        <f>E43+5</f>
        <v>15</v>
      </c>
      <c r="F44" s="7">
        <v>10</v>
      </c>
      <c r="G44" s="7" t="str" cm="1">
        <f t="array" ref="G44">GetValue("Domains","Name",F44)</f>
        <v>Nvarchar(50)</v>
      </c>
      <c r="H44" s="7" t="str" cm="1">
        <f t="array" ref="H44">GetValue("Domains","#CategoryName",F44)</f>
        <v>string</v>
      </c>
      <c r="I44" s="7" t="str" cm="1">
        <f t="array" ref="I44">GetValue("Domains","#TypeName",F44)</f>
        <v>nvarchar</v>
      </c>
      <c r="J44" s="7" t="str" cm="1">
        <f t="array" ref="J44">GetValue("Domains","#DataType",F44)</f>
        <v>nvarchar(50)</v>
      </c>
      <c r="K44" s="7"/>
      <c r="L44" s="7" t="str" cm="1">
        <f t="array" ref="L44">GetValue("Tables","Name",K44)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  <c r="AD44" s="7" t="b">
        <v>0</v>
      </c>
    </row>
    <row r="45" spans="1:30" x14ac:dyDescent="0.3">
      <c r="A45" s="7">
        <f t="shared" si="2"/>
        <v>44</v>
      </c>
      <c r="B45" s="7">
        <v>5</v>
      </c>
      <c r="C45" s="7" t="str" cm="1">
        <f t="array" ref="C45">GetValue("Tables","Name",B45)</f>
        <v>Systems</v>
      </c>
      <c r="D45" s="8" t="str" cm="1">
        <f t="array" ref="D45">GetValue("Tables","Alias",B45)</f>
        <v>System</v>
      </c>
      <c r="E45" s="7">
        <f>E44+5</f>
        <v>20</v>
      </c>
      <c r="F45" s="7">
        <v>7</v>
      </c>
      <c r="G45" s="7" t="str" cm="1">
        <f t="array" ref="G45">GetValue("Domains","Name",F45)</f>
        <v>Nvarchar(15)</v>
      </c>
      <c r="H45" s="7" t="str" cm="1">
        <f t="array" ref="H45">GetValue("Domains","#CategoryName",F45)</f>
        <v>string</v>
      </c>
      <c r="I45" s="7" t="str" cm="1">
        <f t="array" ref="I45">GetValue("Domains","#TypeName",F45)</f>
        <v>nvarchar</v>
      </c>
      <c r="J45" s="7" t="str" cm="1">
        <f t="array" ref="J45">GetValue("Domains","#DataType",F45)</f>
        <v>nvarchar(15)</v>
      </c>
      <c r="K45" s="7"/>
      <c r="L45" s="7" t="str" cm="1">
        <f t="array" ref="L45">GetValue("Tables","Name",K45)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  <c r="AD45" s="7" t="b">
        <v>0</v>
      </c>
    </row>
    <row r="46" spans="1:30" x14ac:dyDescent="0.3">
      <c r="A46" s="7">
        <f t="shared" si="2"/>
        <v>45</v>
      </c>
      <c r="B46" s="7">
        <v>5</v>
      </c>
      <c r="C46" s="7" t="str" cm="1">
        <f t="array" ref="C46">GetValue("Tables","Name",B46)</f>
        <v>Systems</v>
      </c>
      <c r="D46" s="8" t="str" cm="1">
        <f t="array" ref="D46">GetValue("Tables","Alias",B46)</f>
        <v>System</v>
      </c>
      <c r="E46" s="7">
        <f>E45+5</f>
        <v>25</v>
      </c>
      <c r="F46" s="7">
        <v>5</v>
      </c>
      <c r="G46" s="7" t="str" cm="1">
        <f t="array" ref="G46">GetValue("Domains","Name",F46)</f>
        <v>TinyInteger</v>
      </c>
      <c r="H46" s="7" t="str" cm="1">
        <f t="array" ref="H46">GetValue("Domains","#CategoryName",F46)</f>
        <v>number</v>
      </c>
      <c r="I46" s="7" t="str" cm="1">
        <f t="array" ref="I46">GetValue("Domains","#TypeName",F46)</f>
        <v>tinyint</v>
      </c>
      <c r="J46" s="7" t="str" cm="1">
        <f t="array" ref="J46">GetValue("Domains","#DataType",F46)</f>
        <v>tinyint</v>
      </c>
      <c r="K46" s="7"/>
      <c r="L46" s="7" t="str" cm="1">
        <f t="array" ref="L46">GetValue("Tables","Name",K46)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  <c r="AD46" s="7" t="b">
        <v>0</v>
      </c>
    </row>
    <row r="47" spans="1:30" x14ac:dyDescent="0.3">
      <c r="A47" s="7">
        <f t="shared" si="2"/>
        <v>46</v>
      </c>
      <c r="B47" s="7">
        <v>5</v>
      </c>
      <c r="C47" s="7" t="str" cm="1">
        <f t="array" ref="C47">GetValue("Tables","Name",B47)</f>
        <v>Systems</v>
      </c>
      <c r="D47" s="8" t="str" cm="1">
        <f t="array" ref="D47">GetValue("Tables","Alias",B47)</f>
        <v>System</v>
      </c>
      <c r="E47" s="7">
        <f>E46+5</f>
        <v>30</v>
      </c>
      <c r="F47" s="7">
        <v>6</v>
      </c>
      <c r="G47" s="7" t="str" cm="1">
        <f t="array" ref="G47">GetValue("Domains","Name",F47)</f>
        <v>Boolean</v>
      </c>
      <c r="H47" s="7" t="str" cm="1">
        <f t="array" ref="H47">GetValue("Domains","#CategoryName",F47)</f>
        <v>boolean</v>
      </c>
      <c r="I47" s="7" t="str" cm="1">
        <f t="array" ref="I47">GetValue("Domains","#TypeName",F47)</f>
        <v>bit</v>
      </c>
      <c r="J47" s="7" t="str" cm="1">
        <f t="array" ref="J47">GetValue("Domains","#DataType",F47)</f>
        <v>bit</v>
      </c>
      <c r="K47" s="7"/>
      <c r="L47" s="7" t="str" cm="1">
        <f t="array" ref="L47">GetValue("Tables","Name",K47)</f>
        <v/>
      </c>
      <c r="M47" s="7" t="s">
        <v>339</v>
      </c>
      <c r="N47" s="7"/>
      <c r="O47" s="7" t="s">
        <v>340</v>
      </c>
      <c r="P47" s="7" t="s">
        <v>341</v>
      </c>
      <c r="Q47" s="7" t="s">
        <v>341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  <c r="AD47" s="7" t="b">
        <v>0</v>
      </c>
    </row>
    <row r="48" spans="1:30" x14ac:dyDescent="0.3">
      <c r="A48" s="9">
        <f t="shared" si="2"/>
        <v>47</v>
      </c>
      <c r="B48" s="9">
        <v>6</v>
      </c>
      <c r="C48" s="9" t="str" cm="1">
        <f t="array" ref="C48">GetValue("Tables","Name",B48)</f>
        <v>Menus</v>
      </c>
      <c r="D48" s="9" t="str" cm="1">
        <f t="array" ref="D48">GetValue("Tables","Alias",B48)</f>
        <v>Menu</v>
      </c>
      <c r="E48" s="9">
        <v>5</v>
      </c>
      <c r="F48" s="9">
        <v>1</v>
      </c>
      <c r="G48" s="9" t="str" cm="1">
        <f t="array" ref="G48">GetValue("Domains","Name",F48)</f>
        <v>BigInteger</v>
      </c>
      <c r="H48" s="9" t="str" cm="1">
        <f t="array" ref="H48">GetValue("Domains","#CategoryName",F48)</f>
        <v>number</v>
      </c>
      <c r="I48" s="9" t="str" cm="1">
        <f t="array" ref="I48">GetValue("Domains","#TypeName",F48)</f>
        <v>bigint</v>
      </c>
      <c r="J48" s="9" t="str" cm="1">
        <f t="array" ref="J48">GetValue("Domains","#DataType",F48)</f>
        <v>bigint</v>
      </c>
      <c r="K48" s="9"/>
      <c r="L48" s="9" t="str" cm="1">
        <f t="array" ref="L48">GetValue("Tables","Name",K48)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  <c r="AD48" s="9" t="b">
        <v>0</v>
      </c>
    </row>
    <row r="49" spans="1:30" x14ac:dyDescent="0.3">
      <c r="A49" s="9">
        <f t="shared" si="2"/>
        <v>48</v>
      </c>
      <c r="B49" s="9">
        <v>6</v>
      </c>
      <c r="C49" s="9" t="str" cm="1">
        <f t="array" ref="C49">GetValue("Tables","Name",B49)</f>
        <v>Menus</v>
      </c>
      <c r="D49" s="9" t="str" cm="1">
        <f t="array" ref="D49">GetValue("Tables","Alias",B49)</f>
        <v>Menu</v>
      </c>
      <c r="E49" s="9">
        <f t="shared" ref="E49:E54" si="5">E48+5</f>
        <v>10</v>
      </c>
      <c r="F49" s="9">
        <v>1</v>
      </c>
      <c r="G49" s="9" t="str" cm="1">
        <f t="array" ref="G49">GetValue("Domains","Name",F49)</f>
        <v>BigInteger</v>
      </c>
      <c r="H49" s="9" t="str" cm="1">
        <f t="array" ref="H49">GetValue("Domains","#CategoryName",F49)</f>
        <v>number</v>
      </c>
      <c r="I49" s="9" t="str" cm="1">
        <f t="array" ref="I49">GetValue("Domains","#TypeName",F49)</f>
        <v>bigint</v>
      </c>
      <c r="J49" s="9" t="str" cm="1">
        <f t="array" ref="J49">GetValue("Domains","#DataType",F49)</f>
        <v>bigint</v>
      </c>
      <c r="K49" s="9">
        <v>5</v>
      </c>
      <c r="L49" s="9" t="str" cm="1">
        <f t="array" ref="L49">GetValue("Tables","Name",K49)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  <c r="AD49" s="9" t="b">
        <v>0</v>
      </c>
    </row>
    <row r="50" spans="1:30" x14ac:dyDescent="0.3">
      <c r="A50" s="9">
        <f t="shared" si="2"/>
        <v>49</v>
      </c>
      <c r="B50" s="9">
        <v>6</v>
      </c>
      <c r="C50" s="9" t="str" cm="1">
        <f t="array" ref="C50">GetValue("Tables","Name",B50)</f>
        <v>Menus</v>
      </c>
      <c r="D50" s="9" t="str" cm="1">
        <f t="array" ref="D50">GetValue("Tables","Alias",B50)</f>
        <v>Menu</v>
      </c>
      <c r="E50" s="9">
        <f t="shared" si="5"/>
        <v>15</v>
      </c>
      <c r="F50" s="9">
        <v>4</v>
      </c>
      <c r="G50" s="9" t="str" cm="1">
        <f t="array" ref="G50">GetValue("Domains","Name",F50)</f>
        <v>SmallInteger</v>
      </c>
      <c r="H50" s="9" t="str" cm="1">
        <f t="array" ref="H50">GetValue("Domains","#CategoryName",F50)</f>
        <v>number</v>
      </c>
      <c r="I50" s="9" t="str" cm="1">
        <f t="array" ref="I50">GetValue("Domains","#TypeName",F50)</f>
        <v>smallint</v>
      </c>
      <c r="J50" s="9" t="str" cm="1">
        <f t="array" ref="J50">GetValue("Domains","#DataType",F50)</f>
        <v>smallint</v>
      </c>
      <c r="K50" s="9"/>
      <c r="L50" s="9" t="str" cm="1">
        <f t="array" ref="L50">GetValue("Tables","Name",K50)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  <c r="AD50" s="9" t="b">
        <v>0</v>
      </c>
    </row>
    <row r="51" spans="1:30" x14ac:dyDescent="0.3">
      <c r="A51" s="9">
        <f t="shared" si="2"/>
        <v>50</v>
      </c>
      <c r="B51" s="9">
        <v>6</v>
      </c>
      <c r="C51" s="9" t="str" cm="1">
        <f t="array" ref="C51">GetValue("Tables","Name",B51)</f>
        <v>Menus</v>
      </c>
      <c r="D51" s="9" t="str" cm="1">
        <f t="array" ref="D51">GetValue("Tables","Alias",B51)</f>
        <v>Menu</v>
      </c>
      <c r="E51" s="9">
        <f t="shared" si="5"/>
        <v>20</v>
      </c>
      <c r="F51" s="9">
        <v>8</v>
      </c>
      <c r="G51" s="9" t="str" cm="1">
        <f t="array" ref="G51">GetValue("Domains","Name",F51)</f>
        <v>Nvarchar(20)</v>
      </c>
      <c r="H51" s="9" t="str" cm="1">
        <f t="array" ref="H51">GetValue("Domains","#CategoryName",F51)</f>
        <v>string</v>
      </c>
      <c r="I51" s="9" t="str" cm="1">
        <f t="array" ref="I51">GetValue("Domains","#TypeName",F51)</f>
        <v>nvarchar</v>
      </c>
      <c r="J51" s="9" t="str" cm="1">
        <f t="array" ref="J51">GetValue("Domains","#DataType",F51)</f>
        <v>nvarchar(20)</v>
      </c>
      <c r="K51" s="9"/>
      <c r="L51" s="9" t="str" cm="1">
        <f t="array" ref="L51">GetValue("Tables","Name",K51)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 t="b">
        <v>1</v>
      </c>
      <c r="Y51" s="9" t="b">
        <v>1</v>
      </c>
      <c r="Z51" s="9" t="b">
        <v>1</v>
      </c>
      <c r="AA51" s="9" t="b">
        <v>1</v>
      </c>
      <c r="AB51" s="9" t="b">
        <v>0</v>
      </c>
      <c r="AC51" s="9"/>
      <c r="AD51" s="9" t="b">
        <v>0</v>
      </c>
    </row>
    <row r="52" spans="1:30" x14ac:dyDescent="0.3">
      <c r="A52" s="9">
        <f t="shared" si="2"/>
        <v>51</v>
      </c>
      <c r="B52" s="9">
        <v>6</v>
      </c>
      <c r="C52" s="9" t="str" cm="1">
        <f t="array" ref="C52">GetValue("Tables","Name",B52)</f>
        <v>Menus</v>
      </c>
      <c r="D52" s="9" t="str" cm="1">
        <f t="array" ref="D52">GetValue("Tables","Alias",B52)</f>
        <v>Menu</v>
      </c>
      <c r="E52" s="9">
        <f t="shared" si="5"/>
        <v>25</v>
      </c>
      <c r="F52" s="9">
        <v>10</v>
      </c>
      <c r="G52" s="9" t="str" cm="1">
        <f t="array" ref="G52">GetValue("Domains","Name",F52)</f>
        <v>Nvarchar(50)</v>
      </c>
      <c r="H52" s="9" t="str" cm="1">
        <f t="array" ref="H52">GetValue("Domains","#CategoryName",F52)</f>
        <v>string</v>
      </c>
      <c r="I52" s="9" t="str" cm="1">
        <f t="array" ref="I52">GetValue("Domains","#TypeName",F52)</f>
        <v>nvarchar</v>
      </c>
      <c r="J52" s="9" t="str" cm="1">
        <f t="array" ref="J52">GetValue("Domains","#DataType",F52)</f>
        <v>nvarchar(50)</v>
      </c>
      <c r="K52" s="9"/>
      <c r="L52" s="9" t="str" cm="1">
        <f t="array" ref="L52">GetValue("Tables","Name",K52)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  <c r="AD52" s="9" t="b">
        <v>0</v>
      </c>
    </row>
    <row r="53" spans="1:30" x14ac:dyDescent="0.3">
      <c r="A53" s="9">
        <f t="shared" si="2"/>
        <v>52</v>
      </c>
      <c r="B53" s="9">
        <v>6</v>
      </c>
      <c r="C53" s="9" t="str" cm="1">
        <f t="array" ref="C53">GetValue("Tables","Name",B53)</f>
        <v>Menus</v>
      </c>
      <c r="D53" s="9" t="str" cm="1">
        <f t="array" ref="D53">GetValue("Tables","Alias",B53)</f>
        <v>Menu</v>
      </c>
      <c r="E53" s="9">
        <f t="shared" si="5"/>
        <v>30</v>
      </c>
      <c r="F53" s="9">
        <v>10</v>
      </c>
      <c r="G53" s="9" t="str" cm="1">
        <f t="array" ref="G53">GetValue("Domains","Name",F53)</f>
        <v>Nvarchar(50)</v>
      </c>
      <c r="H53" s="9" t="str" cm="1">
        <f t="array" ref="H53">GetValue("Domains","#CategoryName",F53)</f>
        <v>string</v>
      </c>
      <c r="I53" s="9" t="str" cm="1">
        <f t="array" ref="I53">GetValue("Domains","#TypeName",F53)</f>
        <v>nvarchar</v>
      </c>
      <c r="J53" s="9" t="str" cm="1">
        <f t="array" ref="J53">GetValue("Domains","#DataType",F53)</f>
        <v>nvarchar(50)</v>
      </c>
      <c r="K53" s="9"/>
      <c r="L53" s="9" t="str" cm="1">
        <f t="array" ref="L53">GetValue("Tables","Name",K53)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  <c r="AD53" s="9" t="b">
        <v>0</v>
      </c>
    </row>
    <row r="54" spans="1:30" x14ac:dyDescent="0.3">
      <c r="A54" s="9">
        <f t="shared" si="2"/>
        <v>53</v>
      </c>
      <c r="B54" s="9">
        <v>6</v>
      </c>
      <c r="C54" s="9" t="str" cm="1">
        <f t="array" ref="C54">GetValue("Tables","Name",B54)</f>
        <v>Menus</v>
      </c>
      <c r="D54" s="9" t="str" cm="1">
        <f t="array" ref="D54">GetValue("Tables","Alias",B54)</f>
        <v>Menu</v>
      </c>
      <c r="E54" s="9">
        <f t="shared" si="5"/>
        <v>35</v>
      </c>
      <c r="F54" s="9">
        <v>1</v>
      </c>
      <c r="G54" s="9" t="str" cm="1">
        <f t="array" ref="G54">GetValue("Domains","Name",F54)</f>
        <v>BigInteger</v>
      </c>
      <c r="H54" s="9" t="str" cm="1">
        <f t="array" ref="H54">GetValue("Domains","#CategoryName",F54)</f>
        <v>number</v>
      </c>
      <c r="I54" s="9" t="str" cm="1">
        <f t="array" ref="I54">GetValue("Domains","#TypeName",F54)</f>
        <v>bigint</v>
      </c>
      <c r="J54" s="9" t="str" cm="1">
        <f t="array" ref="J54">GetValue("Domains","#DataType",F54)</f>
        <v>bigint</v>
      </c>
      <c r="K54" s="9">
        <v>6</v>
      </c>
      <c r="L54" s="9" t="str" cm="1">
        <f t="array" ref="L54">GetValue("Tables","Name",K54)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  <c r="AD54" s="9" t="b">
        <v>0</v>
      </c>
    </row>
    <row r="55" spans="1:30" x14ac:dyDescent="0.3">
      <c r="A55" s="7">
        <f t="shared" si="2"/>
        <v>54</v>
      </c>
      <c r="B55" s="7">
        <v>7</v>
      </c>
      <c r="C55" s="7" t="str" cm="1">
        <f t="array" ref="C55">GetValue("Tables","Name",B55)</f>
        <v>Users</v>
      </c>
      <c r="D55" s="8" t="str" cm="1">
        <f t="array" ref="D55">GetValue("Tables","Alias",B55)</f>
        <v>User</v>
      </c>
      <c r="E55" s="7">
        <v>5</v>
      </c>
      <c r="F55" s="7">
        <v>1</v>
      </c>
      <c r="G55" s="7" t="str" cm="1">
        <f t="array" ref="G55">GetValue("Domains","Name",F55)</f>
        <v>BigInteger</v>
      </c>
      <c r="H55" s="7" t="str" cm="1">
        <f t="array" ref="H55">GetValue("Domains","#CategoryName",F55)</f>
        <v>number</v>
      </c>
      <c r="I55" s="7" t="str" cm="1">
        <f t="array" ref="I55">GetValue("Domains","#TypeName",F55)</f>
        <v>bigint</v>
      </c>
      <c r="J55" s="7" t="str" cm="1">
        <f t="array" ref="J55">GetValue("Domains","#DataType",F55)</f>
        <v>bigint</v>
      </c>
      <c r="K55" s="7"/>
      <c r="L55" s="7" t="str" cm="1">
        <f t="array" ref="L55">GetValue("Tables","Name",K55)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  <c r="AD55" s="7" t="b">
        <v>0</v>
      </c>
    </row>
    <row r="56" spans="1:30" x14ac:dyDescent="0.3">
      <c r="A56" s="7">
        <f t="shared" si="2"/>
        <v>55</v>
      </c>
      <c r="B56" s="7">
        <v>7</v>
      </c>
      <c r="C56" s="7" t="str" cm="1">
        <f t="array" ref="C56">GetValue("Tables","Name",B56)</f>
        <v>Users</v>
      </c>
      <c r="D56" s="8" t="str" cm="1">
        <f t="array" ref="D56">GetValue("Tables","Alias",B56)</f>
        <v>User</v>
      </c>
      <c r="E56" s="7">
        <f>E55+5</f>
        <v>10</v>
      </c>
      <c r="F56" s="7">
        <v>9</v>
      </c>
      <c r="G56" s="7" t="str" cm="1">
        <f t="array" ref="G56">GetValue("Domains","Name",F56)</f>
        <v>Nvarchar(25)</v>
      </c>
      <c r="H56" s="7" t="str" cm="1">
        <f t="array" ref="H56">GetValue("Domains","#CategoryName",F56)</f>
        <v>string</v>
      </c>
      <c r="I56" s="7" t="str" cm="1">
        <f t="array" ref="I56">GetValue("Domains","#TypeName",F56)</f>
        <v>nvarchar</v>
      </c>
      <c r="J56" s="7" t="str" cm="1">
        <f t="array" ref="J56">GetValue("Domains","#DataType",F56)</f>
        <v>nvarchar(25)</v>
      </c>
      <c r="K56" s="7"/>
      <c r="L56" s="7" t="str" cm="1">
        <f t="array" ref="L56">GetValue("Tables","Name",K56)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  <c r="AD56" s="7" t="b">
        <v>0</v>
      </c>
    </row>
    <row r="57" spans="1:30" x14ac:dyDescent="0.3">
      <c r="A57" s="7">
        <f t="shared" si="2"/>
        <v>56</v>
      </c>
      <c r="B57" s="7">
        <v>7</v>
      </c>
      <c r="C57" s="7" t="str" cm="1">
        <f t="array" ref="C57">GetValue("Tables","Name",B57)</f>
        <v>Users</v>
      </c>
      <c r="D57" s="8" t="str" cm="1">
        <f t="array" ref="D57">GetValue("Tables","Alias",B57)</f>
        <v>User</v>
      </c>
      <c r="E57" s="7">
        <f>E56+5</f>
        <v>15</v>
      </c>
      <c r="F57" s="7">
        <v>11</v>
      </c>
      <c r="G57" s="7" t="str" cm="1">
        <f t="array" ref="G57">GetValue("Domains","Name",F57)</f>
        <v>Nvarchar(256)</v>
      </c>
      <c r="H57" s="7" t="str" cm="1">
        <f t="array" ref="H57">GetValue("Domains","#CategoryName",F57)</f>
        <v>string</v>
      </c>
      <c r="I57" s="7" t="str" cm="1">
        <f t="array" ref="I57">GetValue("Domains","#TypeName",F57)</f>
        <v>nvarchar</v>
      </c>
      <c r="J57" s="7" t="str" cm="1">
        <f t="array" ref="J57">GetValue("Domains","#DataType",F57)</f>
        <v>nvarchar(256)</v>
      </c>
      <c r="K57" s="7"/>
      <c r="L57" s="7" t="str" cm="1">
        <f t="array" ref="L57">GetValue("Tables","Name",K57)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  <c r="AD57" s="7" t="b">
        <v>0</v>
      </c>
    </row>
    <row r="58" spans="1:30" x14ac:dyDescent="0.3">
      <c r="A58" s="7">
        <f t="shared" si="2"/>
        <v>57</v>
      </c>
      <c r="B58" s="7">
        <v>7</v>
      </c>
      <c r="C58" s="7" t="str" cm="1">
        <f t="array" ref="C58">GetValue("Tables","Name",B58)</f>
        <v>Users</v>
      </c>
      <c r="D58" s="8" t="str" cm="1">
        <f t="array" ref="D58">GetValue("Tables","Alias",B58)</f>
        <v>User</v>
      </c>
      <c r="E58" s="7">
        <f>E57+5</f>
        <v>20</v>
      </c>
      <c r="F58" s="7">
        <v>10</v>
      </c>
      <c r="G58" s="7" t="str" cm="1">
        <f t="array" ref="G58">GetValue("Domains","Name",F58)</f>
        <v>Nvarchar(50)</v>
      </c>
      <c r="H58" s="7" t="str" cm="1">
        <f t="array" ref="H58">GetValue("Domains","#CategoryName",F58)</f>
        <v>string</v>
      </c>
      <c r="I58" s="7" t="str" cm="1">
        <f t="array" ref="I58">GetValue("Domains","#TypeName",F58)</f>
        <v>nvarchar</v>
      </c>
      <c r="J58" s="7" t="str" cm="1">
        <f t="array" ref="J58">GetValue("Domains","#DataType",F58)</f>
        <v>nvarchar(50)</v>
      </c>
      <c r="K58" s="7"/>
      <c r="L58" s="7" t="str" cm="1">
        <f t="array" ref="L58">GetValue("Tables","Name",K58)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  <c r="AD58" s="7" t="b">
        <v>0</v>
      </c>
    </row>
    <row r="59" spans="1:30" x14ac:dyDescent="0.3">
      <c r="A59" s="7">
        <f t="shared" si="2"/>
        <v>58</v>
      </c>
      <c r="B59" s="7">
        <v>7</v>
      </c>
      <c r="C59" s="7" t="str" cm="1">
        <f t="array" ref="C59">GetValue("Tables","Name",B59)</f>
        <v>Users</v>
      </c>
      <c r="D59" s="8" t="str" cm="1">
        <f t="array" ref="D59">GetValue("Tables","Alias",B59)</f>
        <v>User</v>
      </c>
      <c r="E59" s="7">
        <f>E58+5</f>
        <v>25</v>
      </c>
      <c r="F59" s="7">
        <v>5</v>
      </c>
      <c r="G59" s="7" t="str" cm="1">
        <f t="array" ref="G59">GetValue("Domains","Name",F59)</f>
        <v>TinyInteger</v>
      </c>
      <c r="H59" s="7" t="str" cm="1">
        <f t="array" ref="H59">GetValue("Domains","#CategoryName",F59)</f>
        <v>number</v>
      </c>
      <c r="I59" s="7" t="str" cm="1">
        <f t="array" ref="I59">GetValue("Domains","#TypeName",F59)</f>
        <v>tinyint</v>
      </c>
      <c r="J59" s="7" t="str" cm="1">
        <f t="array" ref="J59">GetValue("Domains","#DataType",F59)</f>
        <v>tinyint</v>
      </c>
      <c r="K59" s="7"/>
      <c r="L59" s="7" t="str" cm="1">
        <f t="array" ref="L59">GetValue("Tables","Name",K59)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  <c r="AD59" s="7" t="b">
        <v>0</v>
      </c>
    </row>
    <row r="60" spans="1:30" x14ac:dyDescent="0.3">
      <c r="A60" s="7">
        <f t="shared" si="2"/>
        <v>59</v>
      </c>
      <c r="B60" s="7">
        <v>7</v>
      </c>
      <c r="C60" s="7" t="str" cm="1">
        <f t="array" ref="C60">GetValue("Tables","Name",B60)</f>
        <v>Users</v>
      </c>
      <c r="D60" s="8" t="str" cm="1">
        <f t="array" ref="D60">GetValue("Tables","Alias",B60)</f>
        <v>User</v>
      </c>
      <c r="E60" s="7">
        <f>E59+5</f>
        <v>30</v>
      </c>
      <c r="F60" s="7">
        <v>6</v>
      </c>
      <c r="G60" s="7" t="str" cm="1">
        <f t="array" ref="G60">GetValue("Domains","Name",F60)</f>
        <v>Boolean</v>
      </c>
      <c r="H60" s="7" t="str" cm="1">
        <f t="array" ref="H60">GetValue("Domains","#CategoryName",F60)</f>
        <v>boolean</v>
      </c>
      <c r="I60" s="7" t="str" cm="1">
        <f t="array" ref="I60">GetValue("Domains","#TypeName",F60)</f>
        <v>bit</v>
      </c>
      <c r="J60" s="7" t="str" cm="1">
        <f t="array" ref="J60">GetValue("Domains","#DataType",F60)</f>
        <v>bit</v>
      </c>
      <c r="K60" s="7"/>
      <c r="L60" s="7" t="str" cm="1">
        <f t="array" ref="L60">GetValue("Tables","Name",K60)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  <c r="AD60" s="7" t="b">
        <v>0</v>
      </c>
    </row>
    <row r="61" spans="1:30" x14ac:dyDescent="0.3">
      <c r="A61" s="9">
        <f t="shared" si="2"/>
        <v>60</v>
      </c>
      <c r="B61" s="9">
        <v>8</v>
      </c>
      <c r="C61" s="9" t="str" cm="1">
        <f t="array" ref="C61">GetValue("Tables","Name",B61)</f>
        <v>SystemsUsers</v>
      </c>
      <c r="D61" s="9" t="str" cm="1">
        <f t="array" ref="D61">GetValue("Tables","Alias",B61)</f>
        <v>SystemUser</v>
      </c>
      <c r="E61" s="9">
        <v>5</v>
      </c>
      <c r="F61" s="9">
        <v>1</v>
      </c>
      <c r="G61" s="9" t="str" cm="1">
        <f t="array" ref="G61">GetValue("Domains","Name",F61)</f>
        <v>BigInteger</v>
      </c>
      <c r="H61" s="9" t="str" cm="1">
        <f t="array" ref="H61">GetValue("Domains","#CategoryName",F61)</f>
        <v>number</v>
      </c>
      <c r="I61" s="9" t="str" cm="1">
        <f t="array" ref="I61">GetValue("Domains","#TypeName",F61)</f>
        <v>bigint</v>
      </c>
      <c r="J61" s="9" t="str" cm="1">
        <f t="array" ref="J61">GetValue("Domains","#DataType",F61)</f>
        <v>bigint</v>
      </c>
      <c r="K61" s="9"/>
      <c r="L61" s="9" t="str" cm="1">
        <f t="array" ref="L61">GetValue("Tables","Name",K61)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  <c r="AD61" s="9" t="b">
        <v>0</v>
      </c>
    </row>
    <row r="62" spans="1:30" x14ac:dyDescent="0.3">
      <c r="A62" s="9">
        <f t="shared" si="2"/>
        <v>61</v>
      </c>
      <c r="B62" s="9">
        <v>8</v>
      </c>
      <c r="C62" s="9" t="str" cm="1">
        <f t="array" ref="C62">GetValue("Tables","Name",B62)</f>
        <v>SystemsUsers</v>
      </c>
      <c r="D62" s="9" t="str" cm="1">
        <f t="array" ref="D62">GetValue("Tables","Alias",B62)</f>
        <v>SystemUser</v>
      </c>
      <c r="E62" s="9">
        <f>E61+5</f>
        <v>10</v>
      </c>
      <c r="F62" s="9">
        <v>1</v>
      </c>
      <c r="G62" s="9" t="str" cm="1">
        <f t="array" ref="G62">GetValue("Domains","Name",F62)</f>
        <v>BigInteger</v>
      </c>
      <c r="H62" s="9" t="str" cm="1">
        <f t="array" ref="H62">GetValue("Domains","#CategoryName",F62)</f>
        <v>number</v>
      </c>
      <c r="I62" s="9" t="str" cm="1">
        <f t="array" ref="I62">GetValue("Domains","#TypeName",F62)</f>
        <v>bigint</v>
      </c>
      <c r="J62" s="9" t="str" cm="1">
        <f t="array" ref="J62">GetValue("Domains","#DataType",F62)</f>
        <v>bigint</v>
      </c>
      <c r="K62" s="9">
        <v>5</v>
      </c>
      <c r="L62" s="9" t="str" cm="1">
        <f t="array" ref="L62">GetValue("Tables","Name",K62)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  <c r="AD62" s="9" t="b">
        <v>0</v>
      </c>
    </row>
    <row r="63" spans="1:30" x14ac:dyDescent="0.3">
      <c r="A63" s="9">
        <f t="shared" si="2"/>
        <v>62</v>
      </c>
      <c r="B63" s="9">
        <v>8</v>
      </c>
      <c r="C63" s="9" t="str" cm="1">
        <f t="array" ref="C63">GetValue("Tables","Name",B63)</f>
        <v>SystemsUsers</v>
      </c>
      <c r="D63" s="9" t="str" cm="1">
        <f t="array" ref="D63">GetValue("Tables","Alias",B63)</f>
        <v>SystemUser</v>
      </c>
      <c r="E63" s="9">
        <f>E62+5</f>
        <v>15</v>
      </c>
      <c r="F63" s="9">
        <v>1</v>
      </c>
      <c r="G63" s="9" t="str" cm="1">
        <f t="array" ref="G63">GetValue("Domains","Name",F63)</f>
        <v>BigInteger</v>
      </c>
      <c r="H63" s="9" t="str" cm="1">
        <f t="array" ref="H63">GetValue("Domains","#CategoryName",F63)</f>
        <v>number</v>
      </c>
      <c r="I63" s="9" t="str" cm="1">
        <f t="array" ref="I63">GetValue("Domains","#TypeName",F63)</f>
        <v>bigint</v>
      </c>
      <c r="J63" s="9" t="str" cm="1">
        <f t="array" ref="J63">GetValue("Domains","#DataType",F63)</f>
        <v>bigint</v>
      </c>
      <c r="K63" s="9">
        <v>7</v>
      </c>
      <c r="L63" s="9" t="str" cm="1">
        <f t="array" ref="L63">GetValue("Tables","Name",K63)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  <c r="AD63" s="9" t="b">
        <v>0</v>
      </c>
    </row>
    <row r="64" spans="1:30" x14ac:dyDescent="0.3">
      <c r="A64" s="9">
        <f t="shared" si="2"/>
        <v>63</v>
      </c>
      <c r="B64" s="9">
        <v>8</v>
      </c>
      <c r="C64" s="9" t="str" cm="1">
        <f t="array" ref="C64">GetValue("Tables","Name",B64)</f>
        <v>SystemsUsers</v>
      </c>
      <c r="D64" s="9" t="str" cm="1">
        <f t="array" ref="D64">GetValue("Tables","Alias",B64)</f>
        <v>SystemUser</v>
      </c>
      <c r="E64" s="9">
        <f>E63+5</f>
        <v>20</v>
      </c>
      <c r="F64" s="9">
        <v>10</v>
      </c>
      <c r="G64" s="9" t="str" cm="1">
        <f t="array" ref="G64">GetValue("Domains","Name",F64)</f>
        <v>Nvarchar(50)</v>
      </c>
      <c r="H64" s="9" t="str" cm="1">
        <f t="array" ref="H64">GetValue("Domains","#CategoryName",F64)</f>
        <v>string</v>
      </c>
      <c r="I64" s="9" t="str" cm="1">
        <f t="array" ref="I64">GetValue("Domains","#TypeName",F64)</f>
        <v>nvarchar</v>
      </c>
      <c r="J64" s="9" t="str" cm="1">
        <f t="array" ref="J64">GetValue("Domains","#DataType",F64)</f>
        <v>nvarchar(50)</v>
      </c>
      <c r="K64" s="9"/>
      <c r="L64" s="9" t="str" cm="1">
        <f t="array" ref="L64">GetValue("Tables","Name",K64)</f>
        <v/>
      </c>
      <c r="M64" s="9" t="s">
        <v>1</v>
      </c>
      <c r="N64" s="9"/>
      <c r="O64" s="9" t="s">
        <v>397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  <c r="AD64" s="9" t="b">
        <v>0</v>
      </c>
    </row>
    <row r="65" spans="1:30" x14ac:dyDescent="0.3">
      <c r="A65" s="7">
        <f t="shared" si="2"/>
        <v>64</v>
      </c>
      <c r="B65" s="7">
        <v>9</v>
      </c>
      <c r="C65" s="7" t="str" cm="1">
        <f t="array" ref="C65">GetValue("Tables","Name",B65)</f>
        <v>Connections</v>
      </c>
      <c r="D65" s="8" t="str" cm="1">
        <f t="array" ref="D65">GetValue("Tables","Alias",B65)</f>
        <v>Connection</v>
      </c>
      <c r="E65" s="7">
        <v>5</v>
      </c>
      <c r="F65" s="7">
        <v>1</v>
      </c>
      <c r="G65" s="7" t="str" cm="1">
        <f t="array" ref="G65">GetValue("Domains","Name",F65)</f>
        <v>BigInteger</v>
      </c>
      <c r="H65" s="7" t="str" cm="1">
        <f t="array" ref="H65">GetValue("Domains","#CategoryName",F65)</f>
        <v>number</v>
      </c>
      <c r="I65" s="7" t="str" cm="1">
        <f t="array" ref="I65">GetValue("Domains","#TypeName",F65)</f>
        <v>bigint</v>
      </c>
      <c r="J65" s="7" t="str" cm="1">
        <f t="array" ref="J65">GetValue("Domains","#DataType",F65)</f>
        <v>bigint</v>
      </c>
      <c r="K65" s="7"/>
      <c r="L65" s="7" t="str" cm="1">
        <f t="array" ref="L65">GetValue("Tables","Name",K65)</f>
        <v/>
      </c>
      <c r="M65" s="7" t="s">
        <v>0</v>
      </c>
      <c r="N65" s="7"/>
      <c r="O65" s="7" t="s">
        <v>402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  <c r="AD65" s="7" t="b">
        <v>0</v>
      </c>
    </row>
    <row r="66" spans="1:30" x14ac:dyDescent="0.3">
      <c r="A66" s="7">
        <f t="shared" si="2"/>
        <v>65</v>
      </c>
      <c r="B66" s="7">
        <v>9</v>
      </c>
      <c r="C66" s="7" t="str" cm="1">
        <f t="array" ref="C66">GetValue("Tables","Name",B66)</f>
        <v>Connections</v>
      </c>
      <c r="D66" s="8" t="str" cm="1">
        <f t="array" ref="D66">GetValue("Tables","Alias",B66)</f>
        <v>Connection</v>
      </c>
      <c r="E66" s="7">
        <f>E65+5</f>
        <v>10</v>
      </c>
      <c r="F66" s="7">
        <v>22</v>
      </c>
      <c r="G66" s="7" t="str" cm="1">
        <f t="array" ref="G66">GetValue("Domains","Name",F66)</f>
        <v>Environment</v>
      </c>
      <c r="H66" s="7" t="str" cm="1">
        <f t="array" ref="H66">GetValue("Domains","#CategoryName",F66)</f>
        <v>string</v>
      </c>
      <c r="I66" s="7" t="str" cm="1">
        <f t="array" ref="I66">GetValue("Domains","#TypeName",F66)</f>
        <v>nvarchar</v>
      </c>
      <c r="J66" s="7" t="str" cm="1">
        <f t="array" ref="J66">GetValue("Domains","#DataType",F66)</f>
        <v>nvarchar(3)</v>
      </c>
      <c r="K66" s="7"/>
      <c r="L66" s="7" t="str" cm="1">
        <f t="array" ref="L66">GetValue("Tables","Name",K66)</f>
        <v/>
      </c>
      <c r="M66" s="7" t="s">
        <v>522</v>
      </c>
      <c r="N66" s="7"/>
      <c r="O66" s="7" t="s">
        <v>530</v>
      </c>
      <c r="P66" s="7" t="s">
        <v>530</v>
      </c>
      <c r="Q66" s="7" t="s">
        <v>530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  <c r="AD66" s="7" t="b">
        <v>0</v>
      </c>
    </row>
    <row r="67" spans="1:30" x14ac:dyDescent="0.3">
      <c r="A67" s="7">
        <f t="shared" si="2"/>
        <v>66</v>
      </c>
      <c r="B67" s="7">
        <v>9</v>
      </c>
      <c r="C67" s="7" t="str" cm="1">
        <f t="array" ref="C67">GetValue("Tables","Name",B67)</f>
        <v>Connections</v>
      </c>
      <c r="D67" s="8" t="str" cm="1">
        <f t="array" ref="D67">GetValue("Tables","Alias",B67)</f>
        <v>Connection</v>
      </c>
      <c r="E67" s="7">
        <f t="shared" ref="E67" si="6">E66+5</f>
        <v>15</v>
      </c>
      <c r="F67" s="7">
        <v>11</v>
      </c>
      <c r="G67" s="7" t="str" cm="1">
        <f t="array" ref="G67">GetValue("Domains","Name",F67)</f>
        <v>Nvarchar(256)</v>
      </c>
      <c r="H67" s="7" t="str" cm="1">
        <f t="array" ref="H67">GetValue("Domains","#CategoryName",F67)</f>
        <v>string</v>
      </c>
      <c r="I67" s="7" t="str" cm="1">
        <f t="array" ref="I67">GetValue("Domains","#TypeName",F67)</f>
        <v>nvarchar</v>
      </c>
      <c r="J67" s="7" t="str" cm="1">
        <f t="array" ref="J67">GetValue("Domains","#DataType",F67)</f>
        <v>nvarchar(256)</v>
      </c>
      <c r="K67" s="7"/>
      <c r="L67" s="7" t="str" cm="1">
        <f t="array" ref="L67">GetValue("Tables","Name",K67)</f>
        <v/>
      </c>
      <c r="M67" s="7" t="s">
        <v>528</v>
      </c>
      <c r="N67" s="7"/>
      <c r="O67" s="7" t="s">
        <v>528</v>
      </c>
      <c r="P67" s="7" t="s">
        <v>528</v>
      </c>
      <c r="Q67" s="7" t="s">
        <v>528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  <c r="AD67" s="7" t="b">
        <v>0</v>
      </c>
    </row>
    <row r="68" spans="1:30" x14ac:dyDescent="0.3">
      <c r="A68" s="9">
        <f t="shared" si="2"/>
        <v>67</v>
      </c>
      <c r="B68" s="9">
        <v>10</v>
      </c>
      <c r="C68" s="9" t="str" cm="1">
        <f t="array" ref="C68">GetValue("Tables","Name",B68)</f>
        <v>Databases</v>
      </c>
      <c r="D68" s="9" t="str" cm="1">
        <f t="array" ref="D68">GetValue("Tables","Alias",B68)</f>
        <v>Database</v>
      </c>
      <c r="E68" s="9">
        <v>5</v>
      </c>
      <c r="F68" s="9">
        <v>1</v>
      </c>
      <c r="G68" s="9" t="str" cm="1">
        <f t="array" ref="G68">GetValue("Domains","Name",F68)</f>
        <v>BigInteger</v>
      </c>
      <c r="H68" s="9" t="str" cm="1">
        <f t="array" ref="H68">GetValue("Domains","#CategoryName",F68)</f>
        <v>number</v>
      </c>
      <c r="I68" s="9" t="str" cm="1">
        <f t="array" ref="I68">GetValue("Domains","#TypeName",F68)</f>
        <v>bigint</v>
      </c>
      <c r="J68" s="9" t="str" cm="1">
        <f t="array" ref="J68">GetValue("Domains","#DataType",F68)</f>
        <v>bigint</v>
      </c>
      <c r="K68" s="9"/>
      <c r="L68" s="9" t="str" cm="1">
        <f t="array" ref="L68">GetValue("Tables","Name",K68)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  <c r="AD68" s="9" t="b">
        <v>0</v>
      </c>
    </row>
    <row r="69" spans="1:30" x14ac:dyDescent="0.3">
      <c r="A69" s="9">
        <f t="shared" si="2"/>
        <v>68</v>
      </c>
      <c r="B69" s="9">
        <v>10</v>
      </c>
      <c r="C69" s="9" t="str" cm="1">
        <f t="array" ref="C69">GetValue("Tables","Name",B69)</f>
        <v>Databases</v>
      </c>
      <c r="D69" s="9" t="str" cm="1">
        <f t="array" ref="D69">GetValue("Tables","Alias",B69)</f>
        <v>Database</v>
      </c>
      <c r="E69" s="9">
        <f>E68+5</f>
        <v>10</v>
      </c>
      <c r="F69" s="9">
        <v>1</v>
      </c>
      <c r="G69" s="9" t="str" cm="1">
        <f t="array" ref="G69">GetValue("Domains","Name",F69)</f>
        <v>BigInteger</v>
      </c>
      <c r="H69" s="9" t="str" cm="1">
        <f t="array" ref="H69">GetValue("Domains","#CategoryName",F69)</f>
        <v>number</v>
      </c>
      <c r="I69" s="9" t="str" cm="1">
        <f t="array" ref="I69">GetValue("Domains","#TypeName",F69)</f>
        <v>bigint</v>
      </c>
      <c r="J69" s="9" t="str" cm="1">
        <f t="array" ref="J69">GetValue("Domains","#DataType",F69)</f>
        <v>bigint</v>
      </c>
      <c r="K69" s="9">
        <v>9</v>
      </c>
      <c r="L69" s="9" t="str" cm="1">
        <f t="array" ref="L69">GetValue("Tables","Name",K69)</f>
        <v>Connections</v>
      </c>
      <c r="M69" s="9" t="s">
        <v>432</v>
      </c>
      <c r="N69" s="9"/>
      <c r="O69" s="9" t="s">
        <v>433</v>
      </c>
      <c r="P69" s="9" t="s">
        <v>434</v>
      </c>
      <c r="Q69" s="9" t="s">
        <v>434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  <c r="AD69" s="9" t="b">
        <v>0</v>
      </c>
    </row>
    <row r="70" spans="1:30" x14ac:dyDescent="0.3">
      <c r="A70" s="9">
        <f t="shared" si="2"/>
        <v>69</v>
      </c>
      <c r="B70" s="9">
        <v>10</v>
      </c>
      <c r="C70" s="9" t="str" cm="1">
        <f t="array" ref="C70">GetValue("Tables","Name",B70)</f>
        <v>Databases</v>
      </c>
      <c r="D70" s="9" t="str" cm="1">
        <f t="array" ref="D70">GetValue("Tables","Alias",B70)</f>
        <v>Database</v>
      </c>
      <c r="E70" s="9">
        <f t="shared" ref="E70:E75" si="7">E69+5</f>
        <v>15</v>
      </c>
      <c r="F70" s="9">
        <v>9</v>
      </c>
      <c r="G70" s="9" t="str" cm="1">
        <f t="array" ref="G70">GetValue("Domains","Name",F70)</f>
        <v>Nvarchar(25)</v>
      </c>
      <c r="H70" s="9" t="str" cm="1">
        <f t="array" ref="H70">GetValue("Domains","#CategoryName",F70)</f>
        <v>string</v>
      </c>
      <c r="I70" s="9" t="str" cm="1">
        <f t="array" ref="I70">GetValue("Domains","#TypeName",F70)</f>
        <v>nvarchar</v>
      </c>
      <c r="J70" s="9" t="str" cm="1">
        <f t="array" ref="J70">GetValue("Domains","#DataType",F70)</f>
        <v>nvarchar(25)</v>
      </c>
      <c r="K70" s="9"/>
      <c r="L70" s="9" t="str" cm="1">
        <f t="array" ref="L70">GetValue("Tables","Name",K70)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  <c r="AD70" s="9" t="b">
        <v>0</v>
      </c>
    </row>
    <row r="71" spans="1:30" x14ac:dyDescent="0.3">
      <c r="A71" s="9">
        <f>ROW(A71)-1</f>
        <v>70</v>
      </c>
      <c r="B71" s="9">
        <v>10</v>
      </c>
      <c r="C71" s="9" t="str" cm="1">
        <f t="array" ref="C71">GetValue("Tables","Name",B71)</f>
        <v>Databases</v>
      </c>
      <c r="D71" s="9" t="str" cm="1">
        <f t="array" ref="D71">GetValue("Tables","Alias",B71)</f>
        <v>Database</v>
      </c>
      <c r="E71" s="9">
        <f t="shared" si="7"/>
        <v>20</v>
      </c>
      <c r="F71" s="9">
        <v>9</v>
      </c>
      <c r="G71" s="9" t="str" cm="1">
        <f t="array" ref="G71">GetValue("Domains","Name",F71)</f>
        <v>Nvarchar(25)</v>
      </c>
      <c r="H71" s="9" t="str" cm="1">
        <f t="array" ref="H71">GetValue("Domains","#CategoryName",F71)</f>
        <v>string</v>
      </c>
      <c r="I71" s="9" t="str" cm="1">
        <f t="array" ref="I71">GetValue("Domains","#TypeName",F71)</f>
        <v>nvarchar</v>
      </c>
      <c r="J71" s="9" t="str" cm="1">
        <f t="array" ref="J71">GetValue("Domains","#DataType",F71)</f>
        <v>nvarchar(25)</v>
      </c>
      <c r="K71" s="9"/>
      <c r="L71" s="9" t="str" cm="1">
        <f t="array" ref="L71">GetValue("Tables","Name",K71)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  <c r="AD71" s="9" t="b">
        <v>0</v>
      </c>
    </row>
    <row r="72" spans="1:30" x14ac:dyDescent="0.3">
      <c r="A72" s="9">
        <f t="shared" si="2"/>
        <v>71</v>
      </c>
      <c r="B72" s="9">
        <v>10</v>
      </c>
      <c r="C72" s="9" t="str" cm="1">
        <f t="array" ref="C72">GetValue("Tables","Name",B72)</f>
        <v>Databases</v>
      </c>
      <c r="D72" s="9" t="str" cm="1">
        <f t="array" ref="D72">GetValue("Tables","Alias",B72)</f>
        <v>Database</v>
      </c>
      <c r="E72" s="9">
        <f t="shared" si="7"/>
        <v>25</v>
      </c>
      <c r="F72" s="9">
        <v>10</v>
      </c>
      <c r="G72" s="9" t="str" cm="1">
        <f t="array" ref="G72">GetValue("Domains","Name",F72)</f>
        <v>Nvarchar(50)</v>
      </c>
      <c r="H72" s="9" t="str" cm="1">
        <f t="array" ref="H72">GetValue("Domains","#CategoryName",F72)</f>
        <v>string</v>
      </c>
      <c r="I72" s="9" t="str" cm="1">
        <f t="array" ref="I72">GetValue("Domains","#TypeName",F72)</f>
        <v>nvarchar</v>
      </c>
      <c r="J72" s="9" t="str" cm="1">
        <f t="array" ref="J72">GetValue("Domains","#DataType",F72)</f>
        <v>nvarchar(50)</v>
      </c>
      <c r="K72" s="9"/>
      <c r="L72" s="9" t="str" cm="1">
        <f t="array" ref="L72">GetValue("Tables","Name",K72)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  <c r="AD72" s="9" t="b">
        <v>0</v>
      </c>
    </row>
    <row r="73" spans="1:30" x14ac:dyDescent="0.3">
      <c r="A73" s="9">
        <f t="shared" si="2"/>
        <v>72</v>
      </c>
      <c r="B73" s="9">
        <v>10</v>
      </c>
      <c r="C73" s="9" t="str" cm="1">
        <f t="array" ref="C73">GetValue("Tables","Name",B73)</f>
        <v>Databases</v>
      </c>
      <c r="D73" s="9" t="str" cm="1">
        <f t="array" ref="D73">GetValue("Tables","Alias",B73)</f>
        <v>Database</v>
      </c>
      <c r="E73" s="9">
        <f t="shared" si="7"/>
        <v>30</v>
      </c>
      <c r="F73" s="9">
        <v>11</v>
      </c>
      <c r="G73" s="9" t="str" cm="1">
        <f t="array" ref="G73">GetValue("Domains","Name",F73)</f>
        <v>Nvarchar(256)</v>
      </c>
      <c r="H73" s="9" t="str" cm="1">
        <f t="array" ref="H73">GetValue("Domains","#CategoryName",F73)</f>
        <v>string</v>
      </c>
      <c r="I73" s="9" t="str" cm="1">
        <f t="array" ref="I73">GetValue("Domains","#TypeName",F73)</f>
        <v>nvarchar</v>
      </c>
      <c r="J73" s="9" t="str" cm="1">
        <f t="array" ref="J73">GetValue("Domains","#DataType",F73)</f>
        <v>nvarchar(256)</v>
      </c>
      <c r="K73" s="9"/>
      <c r="L73" s="9" t="str" cm="1">
        <f t="array" ref="L73">GetValue("Tables","Name",K73)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  <c r="AD73" s="9" t="b">
        <v>0</v>
      </c>
    </row>
    <row r="74" spans="1:30" x14ac:dyDescent="0.3">
      <c r="A74" s="9">
        <f>ROW(A74)-1</f>
        <v>73</v>
      </c>
      <c r="B74" s="9">
        <v>10</v>
      </c>
      <c r="C74" s="9" t="str" cm="1">
        <f t="array" ref="C74">GetValue("Tables","Name",B74)</f>
        <v>Databases</v>
      </c>
      <c r="D74" s="9" t="str" cm="1">
        <f t="array" ref="D74">GetValue("Tables","Alias",B74)</f>
        <v>Database</v>
      </c>
      <c r="E74" s="9">
        <f t="shared" si="7"/>
        <v>35</v>
      </c>
      <c r="F74" s="9">
        <v>6</v>
      </c>
      <c r="G74" s="9" t="str" cm="1">
        <f t="array" ref="G74">GetValue("Domains","Name",F74)</f>
        <v>Boolean</v>
      </c>
      <c r="H74" s="9" t="str" cm="1">
        <f t="array" ref="H74">GetValue("Domains","#CategoryName",F74)</f>
        <v>boolean</v>
      </c>
      <c r="I74" s="9" t="str" cm="1">
        <f t="array" ref="I74">GetValue("Domains","#TypeName",F74)</f>
        <v>bit</v>
      </c>
      <c r="J74" s="9" t="str" cm="1">
        <f t="array" ref="J74">GetValue("Domains","#DataType",F74)</f>
        <v>bit</v>
      </c>
      <c r="K74" s="9"/>
      <c r="L74" s="9" t="str" cm="1">
        <f t="array" ref="L74">GetValue("Tables","Name",K74)</f>
        <v/>
      </c>
      <c r="M74" s="9" t="s">
        <v>414</v>
      </c>
      <c r="N74" s="9"/>
      <c r="O74" s="9" t="s">
        <v>437</v>
      </c>
      <c r="P74" s="9" t="s">
        <v>438</v>
      </c>
      <c r="Q74" s="9" t="s">
        <v>438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  <c r="AD74" s="9" t="b">
        <v>0</v>
      </c>
    </row>
    <row r="75" spans="1:30" x14ac:dyDescent="0.3">
      <c r="A75" s="9">
        <f t="shared" si="2"/>
        <v>74</v>
      </c>
      <c r="B75" s="9">
        <v>10</v>
      </c>
      <c r="C75" s="9" t="str" cm="1">
        <f t="array" ref="C75">GetValue("Tables","Name",B75)</f>
        <v>Databases</v>
      </c>
      <c r="D75" s="9" t="str" cm="1">
        <f t="array" ref="D75">GetValue("Tables","Alias",B75)</f>
        <v>Database</v>
      </c>
      <c r="E75" s="9">
        <f t="shared" si="7"/>
        <v>40</v>
      </c>
      <c r="F75" s="9">
        <v>1</v>
      </c>
      <c r="G75" s="9" t="str" cm="1">
        <f t="array" ref="G75">GetValue("Domains","Name",F75)</f>
        <v>BigInteger</v>
      </c>
      <c r="H75" s="9" t="str" cm="1">
        <f t="array" ref="H75">GetValue("Domains","#CategoryName",F75)</f>
        <v>number</v>
      </c>
      <c r="I75" s="9" t="str" cm="1">
        <f t="array" ref="I75">GetValue("Domains","#TypeName",F75)</f>
        <v>bigint</v>
      </c>
      <c r="J75" s="9" t="str" cm="1">
        <f t="array" ref="J75">GetValue("Domains","#DataType",F75)</f>
        <v>bigint</v>
      </c>
      <c r="K75" s="9"/>
      <c r="L75" s="9" t="str" cm="1">
        <f t="array" ref="L75">GetValue("Tables","Name",K75)</f>
        <v/>
      </c>
      <c r="M75" s="9" t="s">
        <v>430</v>
      </c>
      <c r="N75" s="9"/>
      <c r="O75" s="9" t="s">
        <v>436</v>
      </c>
      <c r="P75" s="9" t="s">
        <v>435</v>
      </c>
      <c r="Q75" s="9" t="s">
        <v>435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  <c r="AD75" s="9" t="b">
        <v>0</v>
      </c>
    </row>
    <row r="76" spans="1:30" x14ac:dyDescent="0.3">
      <c r="A76" s="7">
        <f t="shared" si="2"/>
        <v>75</v>
      </c>
      <c r="B76" s="7">
        <v>11</v>
      </c>
      <c r="C76" s="7" t="str" cm="1">
        <f t="array" ref="C76">GetValue("Tables","Name",B76)</f>
        <v>SystemsDatabases</v>
      </c>
      <c r="D76" s="8" t="str" cm="1">
        <f t="array" ref="D76">GetValue("Tables","Alias",B76)</f>
        <v>SystemDatabase</v>
      </c>
      <c r="E76" s="7">
        <v>5</v>
      </c>
      <c r="F76" s="7">
        <v>1</v>
      </c>
      <c r="G76" s="7" t="str" cm="1">
        <f t="array" ref="G76">GetValue("Domains","Name",F76)</f>
        <v>BigInteger</v>
      </c>
      <c r="H76" s="7" t="str" cm="1">
        <f t="array" ref="H76">GetValue("Domains","#CategoryName",F76)</f>
        <v>number</v>
      </c>
      <c r="I76" s="7" t="str" cm="1">
        <f t="array" ref="I76">GetValue("Domains","#TypeName",F76)</f>
        <v>bigint</v>
      </c>
      <c r="J76" s="7" t="str" cm="1">
        <f t="array" ref="J76">GetValue("Domains","#DataType",F76)</f>
        <v>bigint</v>
      </c>
      <c r="K76" s="7"/>
      <c r="L76" s="7" t="str" cm="1">
        <f t="array" ref="L76">GetValue("Tables","Name",K76)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  <c r="AD76" s="7" t="b">
        <v>0</v>
      </c>
    </row>
    <row r="77" spans="1:30" x14ac:dyDescent="0.3">
      <c r="A77" s="7">
        <f t="shared" si="2"/>
        <v>76</v>
      </c>
      <c r="B77" s="7">
        <v>11</v>
      </c>
      <c r="C77" s="7" t="str" cm="1">
        <f t="array" ref="C77">GetValue("Tables","Name",B77)</f>
        <v>SystemsDatabases</v>
      </c>
      <c r="D77" s="8" t="str" cm="1">
        <f t="array" ref="D77">GetValue("Tables","Alias",B77)</f>
        <v>SystemDatabase</v>
      </c>
      <c r="E77" s="7">
        <f>E76+5</f>
        <v>10</v>
      </c>
      <c r="F77" s="7">
        <v>1</v>
      </c>
      <c r="G77" s="7" t="str" cm="1">
        <f t="array" ref="G77">GetValue("Domains","Name",F77)</f>
        <v>BigInteger</v>
      </c>
      <c r="H77" s="7" t="str" cm="1">
        <f t="array" ref="H77">GetValue("Domains","#CategoryName",F77)</f>
        <v>number</v>
      </c>
      <c r="I77" s="7" t="str" cm="1">
        <f t="array" ref="I77">GetValue("Domains","#TypeName",F77)</f>
        <v>bigint</v>
      </c>
      <c r="J77" s="7" t="str" cm="1">
        <f t="array" ref="J77">GetValue("Domains","#DataType",F77)</f>
        <v>bigint</v>
      </c>
      <c r="K77" s="7">
        <v>5</v>
      </c>
      <c r="L77" s="7" t="str" cm="1">
        <f t="array" ref="L77">GetValue("Tables","Name",K77)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  <c r="AD77" s="7" t="b">
        <v>0</v>
      </c>
    </row>
    <row r="78" spans="1:30" x14ac:dyDescent="0.3">
      <c r="A78" s="7">
        <f t="shared" si="2"/>
        <v>77</v>
      </c>
      <c r="B78" s="7">
        <v>11</v>
      </c>
      <c r="C78" s="7" t="str" cm="1">
        <f t="array" ref="C78">GetValue("Tables","Name",B78)</f>
        <v>SystemsDatabases</v>
      </c>
      <c r="D78" s="8" t="str" cm="1">
        <f t="array" ref="D78">GetValue("Tables","Alias",B78)</f>
        <v>SystemDatabase</v>
      </c>
      <c r="E78" s="7">
        <f>E77+5</f>
        <v>15</v>
      </c>
      <c r="F78" s="7">
        <v>1</v>
      </c>
      <c r="G78" s="7" t="str" cm="1">
        <f t="array" ref="G78">GetValue("Domains","Name",F78)</f>
        <v>BigInteger</v>
      </c>
      <c r="H78" s="7" t="str" cm="1">
        <f t="array" ref="H78">GetValue("Domains","#CategoryName",F78)</f>
        <v>number</v>
      </c>
      <c r="I78" s="7" t="str" cm="1">
        <f t="array" ref="I78">GetValue("Domains","#TypeName",F78)</f>
        <v>bigint</v>
      </c>
      <c r="J78" s="7" t="str" cm="1">
        <f t="array" ref="J78">GetValue("Domains","#DataType",F78)</f>
        <v>bigint</v>
      </c>
      <c r="K78" s="7">
        <v>10</v>
      </c>
      <c r="L78" s="7" t="str" cm="1">
        <f t="array" ref="L78">GetValue("Tables","Name",K78)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  <c r="AD78" s="7" t="b">
        <v>0</v>
      </c>
    </row>
    <row r="79" spans="1:30" x14ac:dyDescent="0.3">
      <c r="A79" s="7">
        <f t="shared" si="2"/>
        <v>78</v>
      </c>
      <c r="B79" s="7">
        <v>11</v>
      </c>
      <c r="C79" s="7" t="str" cm="1">
        <f t="array" ref="C79">GetValue("Tables","Name",B79)</f>
        <v>SystemsDatabases</v>
      </c>
      <c r="D79" s="8" t="str" cm="1">
        <f t="array" ref="D79">GetValue("Tables","Alias",B79)</f>
        <v>SystemDatabase</v>
      </c>
      <c r="E79" s="7">
        <f>E78+5</f>
        <v>20</v>
      </c>
      <c r="F79" s="7">
        <v>10</v>
      </c>
      <c r="G79" s="7" t="str" cm="1">
        <f t="array" ref="G79">GetValue("Domains","Name",F79)</f>
        <v>Nvarchar(50)</v>
      </c>
      <c r="H79" s="7" t="str" cm="1">
        <f t="array" ref="H79">GetValue("Domains","#CategoryName",F79)</f>
        <v>string</v>
      </c>
      <c r="I79" s="7" t="str" cm="1">
        <f t="array" ref="I79">GetValue("Domains","#TypeName",F79)</f>
        <v>nvarchar</v>
      </c>
      <c r="J79" s="7" t="str" cm="1">
        <f t="array" ref="J79">GetValue("Domains","#DataType",F79)</f>
        <v>nvarchar(50)</v>
      </c>
      <c r="K79" s="7"/>
      <c r="L79" s="7" t="str" cm="1">
        <f t="array" ref="L79">GetValue("Tables","Name",K79)</f>
        <v/>
      </c>
      <c r="M79" s="7" t="s">
        <v>1</v>
      </c>
      <c r="N79" s="7"/>
      <c r="O79" s="7" t="s">
        <v>398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  <c r="AD79" s="7" t="b">
        <v>0</v>
      </c>
    </row>
    <row r="80" spans="1:30" x14ac:dyDescent="0.3">
      <c r="A80" s="9">
        <f t="shared" si="2"/>
        <v>79</v>
      </c>
      <c r="B80" s="9">
        <v>12</v>
      </c>
      <c r="C80" s="9" t="str" cm="1">
        <f t="array" ref="C80">GetValue("Tables","Name",B80)</f>
        <v>Tables</v>
      </c>
      <c r="D80" s="9" t="str" cm="1">
        <f t="array" ref="D80">GetValue("Tables","Alias",B80)</f>
        <v>Table</v>
      </c>
      <c r="E80" s="9">
        <v>5</v>
      </c>
      <c r="F80" s="9">
        <v>1</v>
      </c>
      <c r="G80" s="9" t="str" cm="1">
        <f t="array" ref="G80">GetValue("Domains","Name",F80)</f>
        <v>BigInteger</v>
      </c>
      <c r="H80" s="9" t="str" cm="1">
        <f t="array" ref="H80">GetValue("Domains","#CategoryName",F80)</f>
        <v>number</v>
      </c>
      <c r="I80" s="9" t="str" cm="1">
        <f t="array" ref="I80">GetValue("Domains","#TypeName",F80)</f>
        <v>bigint</v>
      </c>
      <c r="J80" s="9" t="str" cm="1">
        <f t="array" ref="J80">GetValue("Domains","#DataType",F80)</f>
        <v>bigint</v>
      </c>
      <c r="K80" s="9"/>
      <c r="L80" s="9" t="str" cm="1">
        <f t="array" ref="L80">GetValue("Tables","Name",K80)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  <c r="AD80" s="9" t="b">
        <v>0</v>
      </c>
    </row>
    <row r="81" spans="1:30" x14ac:dyDescent="0.3">
      <c r="A81" s="9">
        <f t="shared" si="2"/>
        <v>80</v>
      </c>
      <c r="B81" s="9">
        <v>12</v>
      </c>
      <c r="C81" s="9" t="str" cm="1">
        <f t="array" ref="C81">GetValue("Tables","Name",B81)</f>
        <v>Tables</v>
      </c>
      <c r="D81" s="9" t="str" cm="1">
        <f t="array" ref="D81">GetValue("Tables","Alias",B81)</f>
        <v>Table</v>
      </c>
      <c r="E81" s="9">
        <f t="shared" ref="E81" si="8">E80+5</f>
        <v>10</v>
      </c>
      <c r="F81" s="9">
        <v>9</v>
      </c>
      <c r="G81" s="9" t="str" cm="1">
        <f t="array" ref="G81">GetValue("Domains","Name",F81)</f>
        <v>Nvarchar(25)</v>
      </c>
      <c r="H81" s="9" t="str" cm="1">
        <f t="array" ref="H81">GetValue("Domains","#CategoryName",F81)</f>
        <v>string</v>
      </c>
      <c r="I81" s="9" t="str" cm="1">
        <f t="array" ref="I81">GetValue("Domains","#TypeName",F81)</f>
        <v>nvarchar</v>
      </c>
      <c r="J81" s="9" t="str" cm="1">
        <f t="array" ref="J81">GetValue("Domains","#DataType",F81)</f>
        <v>nvarchar(25)</v>
      </c>
      <c r="K81" s="9"/>
      <c r="L81" s="9" t="str" cm="1">
        <f t="array" ref="L81">GetValue("Tables","Name",K81)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  <c r="AD81" s="9" t="b">
        <v>0</v>
      </c>
    </row>
    <row r="82" spans="1:30" x14ac:dyDescent="0.3">
      <c r="A82" s="9">
        <f t="shared" si="2"/>
        <v>81</v>
      </c>
      <c r="B82" s="9">
        <v>12</v>
      </c>
      <c r="C82" s="9" t="str" cm="1">
        <f t="array" ref="C82">GetValue("Tables","Name",B82)</f>
        <v>Tables</v>
      </c>
      <c r="D82" s="9" t="str" cm="1">
        <f t="array" ref="D82">GetValue("Tables","Alias",B82)</f>
        <v>Table</v>
      </c>
      <c r="E82" s="9">
        <f t="shared" ref="E82:E85" si="9">E81+5</f>
        <v>15</v>
      </c>
      <c r="F82" s="9">
        <v>9</v>
      </c>
      <c r="G82" s="9" t="str" cm="1">
        <f t="array" ref="G82">GetValue("Domains","Name",F82)</f>
        <v>Nvarchar(25)</v>
      </c>
      <c r="H82" s="9" t="str" cm="1">
        <f t="array" ref="H82">GetValue("Domains","#CategoryName",F82)</f>
        <v>string</v>
      </c>
      <c r="I82" s="9" t="str" cm="1">
        <f t="array" ref="I82">GetValue("Domains","#TypeName",F82)</f>
        <v>nvarchar</v>
      </c>
      <c r="J82" s="9" t="str" cm="1">
        <f t="array" ref="J82">GetValue("Domains","#DataType",F82)</f>
        <v>nvarchar(25)</v>
      </c>
      <c r="K82" s="9"/>
      <c r="L82" s="9" t="str" cm="1">
        <f t="array" ref="L82">GetValue("Tables","Name",K82)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  <c r="AD82" s="9" t="b">
        <v>0</v>
      </c>
    </row>
    <row r="83" spans="1:30" x14ac:dyDescent="0.3">
      <c r="A83" s="9">
        <f t="shared" ref="A83:A156" si="10">ROW(A83)-1</f>
        <v>82</v>
      </c>
      <c r="B83" s="9">
        <v>12</v>
      </c>
      <c r="C83" s="9" t="str" cm="1">
        <f t="array" ref="C83">GetValue("Tables","Name",B83)</f>
        <v>Tables</v>
      </c>
      <c r="D83" s="9" t="str" cm="1">
        <f t="array" ref="D83">GetValue("Tables","Alias",B83)</f>
        <v>Table</v>
      </c>
      <c r="E83" s="9">
        <f t="shared" si="9"/>
        <v>20</v>
      </c>
      <c r="F83" s="9">
        <v>10</v>
      </c>
      <c r="G83" s="9" t="str" cm="1">
        <f t="array" ref="G83">GetValue("Domains","Name",F83)</f>
        <v>Nvarchar(50)</v>
      </c>
      <c r="H83" s="9" t="str" cm="1">
        <f t="array" ref="H83">GetValue("Domains","#CategoryName",F83)</f>
        <v>string</v>
      </c>
      <c r="I83" s="9" t="str" cm="1">
        <f t="array" ref="I83">GetValue("Domains","#TypeName",F83)</f>
        <v>nvarchar</v>
      </c>
      <c r="J83" s="9" t="str" cm="1">
        <f t="array" ref="J83">GetValue("Domains","#DataType",F83)</f>
        <v>nvarchar(50)</v>
      </c>
      <c r="K83" s="9"/>
      <c r="L83" s="9" t="str" cm="1">
        <f t="array" ref="L83">GetValue("Tables","Name",K83)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  <c r="AD83" s="9" t="b">
        <v>0</v>
      </c>
    </row>
    <row r="84" spans="1:30" x14ac:dyDescent="0.3">
      <c r="A84" s="9">
        <f t="shared" si="10"/>
        <v>83</v>
      </c>
      <c r="B84" s="9">
        <v>12</v>
      </c>
      <c r="C84" s="9" t="str" cm="1">
        <f t="array" ref="C84">GetValue("Tables","Name",B84)</f>
        <v>Tables</v>
      </c>
      <c r="D84" s="9" t="str" cm="1">
        <f t="array" ref="D84">GetValue("Tables","Alias",B84)</f>
        <v>Table</v>
      </c>
      <c r="E84" s="9">
        <f t="shared" si="9"/>
        <v>25</v>
      </c>
      <c r="F84" s="9">
        <v>1</v>
      </c>
      <c r="G84" s="9" t="str" cm="1">
        <f t="array" ref="G84">GetValue("Domains","Name",F84)</f>
        <v>BigInteger</v>
      </c>
      <c r="H84" s="9" t="str" cm="1">
        <f t="array" ref="H84">GetValue("Domains","#CategoryName",F84)</f>
        <v>number</v>
      </c>
      <c r="I84" s="9" t="str" cm="1">
        <f t="array" ref="I84">GetValue("Domains","#TypeName",F84)</f>
        <v>bigint</v>
      </c>
      <c r="J84" s="9" t="str" cm="1">
        <f t="array" ref="J84">GetValue("Domains","#DataType",F84)</f>
        <v>bigint</v>
      </c>
      <c r="K84" s="9">
        <v>12</v>
      </c>
      <c r="L84" s="9" t="str" cm="1">
        <f t="array" ref="L84">GetValue("Tables","Name",K84)</f>
        <v>Tables</v>
      </c>
      <c r="M84" s="9" t="s">
        <v>125</v>
      </c>
      <c r="N84" s="9"/>
      <c r="O84" s="9" t="s">
        <v>345</v>
      </c>
      <c r="P84" s="9" t="s">
        <v>344</v>
      </c>
      <c r="Q84" s="9" t="s">
        <v>344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  <c r="AD84" s="9" t="b">
        <v>0</v>
      </c>
    </row>
    <row r="85" spans="1:30" x14ac:dyDescent="0.3">
      <c r="A85" s="9">
        <f t="shared" si="10"/>
        <v>84</v>
      </c>
      <c r="B85" s="9">
        <v>12</v>
      </c>
      <c r="C85" s="9" t="str" cm="1">
        <f t="array" ref="C85">GetValue("Tables","Name",B85)</f>
        <v>Tables</v>
      </c>
      <c r="D85" s="9" t="str" cm="1">
        <f t="array" ref="D85">GetValue("Tables","Alias",B85)</f>
        <v>Table</v>
      </c>
      <c r="E85" s="9">
        <f t="shared" si="9"/>
        <v>30</v>
      </c>
      <c r="F85" s="9">
        <v>1</v>
      </c>
      <c r="G85" s="9" t="str" cm="1">
        <f t="array" ref="G85">GetValue("Domains","Name",F85)</f>
        <v>BigInteger</v>
      </c>
      <c r="H85" s="9" t="str" cm="1">
        <f t="array" ref="H85">GetValue("Domains","#CategoryName",F85)</f>
        <v>number</v>
      </c>
      <c r="I85" s="9" t="str" cm="1">
        <f t="array" ref="I85">GetValue("Domains","#TypeName",F85)</f>
        <v>bigint</v>
      </c>
      <c r="J85" s="9" t="str" cm="1">
        <f t="array" ref="J85">GetValue("Domains","#DataType",F85)</f>
        <v>bigint</v>
      </c>
      <c r="K85" s="9"/>
      <c r="L85" s="9" t="str" cm="1">
        <f t="array" ref="L85">GetValue("Tables","Name",K85)</f>
        <v/>
      </c>
      <c r="M85" s="9" t="s">
        <v>337</v>
      </c>
      <c r="N85" s="9"/>
      <c r="O85" s="9" t="s">
        <v>338</v>
      </c>
      <c r="P85" s="9" t="s">
        <v>338</v>
      </c>
      <c r="Q85" s="9" t="s">
        <v>338</v>
      </c>
      <c r="R85" s="15">
        <v>0</v>
      </c>
      <c r="S85" s="16">
        <v>0</v>
      </c>
      <c r="T85" s="16"/>
      <c r="U85" s="9" t="b">
        <v>0</v>
      </c>
      <c r="V85" s="9" t="b">
        <v>0</v>
      </c>
      <c r="W85" s="9" t="b">
        <v>1</v>
      </c>
      <c r="X85" s="9" t="b">
        <v>0</v>
      </c>
      <c r="Y85" s="9" t="b">
        <v>0</v>
      </c>
      <c r="Z85" s="9" t="b">
        <v>0</v>
      </c>
      <c r="AA85" s="9" t="b">
        <v>0</v>
      </c>
      <c r="AB85" s="9"/>
      <c r="AC85" s="9" t="b">
        <v>0</v>
      </c>
      <c r="AD85" s="9" t="b">
        <v>0</v>
      </c>
    </row>
    <row r="86" spans="1:30" x14ac:dyDescent="0.3">
      <c r="A86" s="7">
        <f t="shared" si="10"/>
        <v>85</v>
      </c>
      <c r="B86" s="7">
        <v>13</v>
      </c>
      <c r="C86" s="7" t="str" cm="1">
        <f t="array" ref="C86">GetValue("Tables","Name",B86)</f>
        <v>DatabasesTables</v>
      </c>
      <c r="D86" s="8" t="str" cm="1">
        <f t="array" ref="D86">GetValue("Tables","Alias",B86)</f>
        <v>DatabaseTable</v>
      </c>
      <c r="E86" s="7">
        <v>5</v>
      </c>
      <c r="F86" s="7">
        <v>1</v>
      </c>
      <c r="G86" s="7" t="str" cm="1">
        <f t="array" ref="G86">GetValue("Domains","Name",F86)</f>
        <v>BigInteger</v>
      </c>
      <c r="H86" s="7" t="str" cm="1">
        <f t="array" ref="H86">GetValue("Domains","#CategoryName",F86)</f>
        <v>number</v>
      </c>
      <c r="I86" s="7" t="str" cm="1">
        <f t="array" ref="I86">GetValue("Domains","#TypeName",F86)</f>
        <v>bigint</v>
      </c>
      <c r="J86" s="7" t="str" cm="1">
        <f t="array" ref="J86">GetValue("Domains","#DataType",F86)</f>
        <v>bigint</v>
      </c>
      <c r="K86" s="7"/>
      <c r="L86" s="7" t="str" cm="1">
        <f t="array" ref="L86">GetValue("Tables","Name",K86)</f>
        <v/>
      </c>
      <c r="M86" s="7" t="s">
        <v>0</v>
      </c>
      <c r="N86" s="7"/>
      <c r="O86" s="7" t="s">
        <v>304</v>
      </c>
      <c r="P86" s="7" t="s">
        <v>156</v>
      </c>
      <c r="Q86" s="7" t="s">
        <v>156</v>
      </c>
      <c r="R86" s="14"/>
      <c r="S86" s="14">
        <v>1</v>
      </c>
      <c r="T86" s="14"/>
      <c r="U86" s="7" t="b">
        <v>1</v>
      </c>
      <c r="V86" s="7" t="b">
        <v>1</v>
      </c>
      <c r="W86" s="7" t="b">
        <v>1</v>
      </c>
      <c r="X86" s="7"/>
      <c r="Y86" s="7" t="b">
        <v>1</v>
      </c>
      <c r="Z86" s="7" t="b">
        <v>0</v>
      </c>
      <c r="AA86" s="7" t="b">
        <v>0</v>
      </c>
      <c r="AB86" s="7"/>
      <c r="AC86" s="7" t="b">
        <v>0</v>
      </c>
      <c r="AD86" s="7" t="b">
        <v>0</v>
      </c>
    </row>
    <row r="87" spans="1:30" x14ac:dyDescent="0.3">
      <c r="A87" s="7">
        <f t="shared" si="10"/>
        <v>86</v>
      </c>
      <c r="B87" s="7">
        <v>13</v>
      </c>
      <c r="C87" s="7" t="str" cm="1">
        <f t="array" ref="C87">GetValue("Tables","Name",B87)</f>
        <v>DatabasesTables</v>
      </c>
      <c r="D87" s="8" t="str" cm="1">
        <f t="array" ref="D87">GetValue("Tables","Alias",B87)</f>
        <v>DatabaseTable</v>
      </c>
      <c r="E87" s="7">
        <f>E86+5</f>
        <v>10</v>
      </c>
      <c r="F87" s="7">
        <v>1</v>
      </c>
      <c r="G87" s="7" t="str" cm="1">
        <f t="array" ref="G87">GetValue("Domains","Name",F87)</f>
        <v>BigInteger</v>
      </c>
      <c r="H87" s="7" t="str" cm="1">
        <f t="array" ref="H87">GetValue("Domains","#CategoryName",F87)</f>
        <v>number</v>
      </c>
      <c r="I87" s="7" t="str" cm="1">
        <f t="array" ref="I87">GetValue("Domains","#TypeName",F87)</f>
        <v>bigint</v>
      </c>
      <c r="J87" s="7" t="str" cm="1">
        <f t="array" ref="J87">GetValue("Domains","#DataType",F87)</f>
        <v>bigint</v>
      </c>
      <c r="K87" s="7">
        <v>10</v>
      </c>
      <c r="L87" s="7" t="str" cm="1">
        <f t="array" ref="L87">GetValue("Tables","Name",K87)</f>
        <v>Databases</v>
      </c>
      <c r="M87" s="7" t="s">
        <v>124</v>
      </c>
      <c r="N87" s="7"/>
      <c r="O87" s="7" t="s">
        <v>224</v>
      </c>
      <c r="P87" s="7" t="s">
        <v>203</v>
      </c>
      <c r="Q87" s="7" t="s">
        <v>203</v>
      </c>
      <c r="R87" s="14"/>
      <c r="S87" s="14">
        <v>1</v>
      </c>
      <c r="T87" s="14"/>
      <c r="U87" s="7" t="b">
        <v>0</v>
      </c>
      <c r="V87" s="7" t="b">
        <v>0</v>
      </c>
      <c r="W87" s="7" t="b">
        <v>1</v>
      </c>
      <c r="X87" s="7"/>
      <c r="Y87" s="7" t="b">
        <v>1</v>
      </c>
      <c r="Z87" s="7" t="b">
        <v>1</v>
      </c>
      <c r="AA87" s="7" t="b">
        <v>1</v>
      </c>
      <c r="AB87" s="7"/>
      <c r="AC87" s="7" t="b">
        <v>0</v>
      </c>
      <c r="AD87" s="7" t="b">
        <v>0</v>
      </c>
    </row>
    <row r="88" spans="1:30" x14ac:dyDescent="0.3">
      <c r="A88" s="7">
        <f t="shared" si="10"/>
        <v>87</v>
      </c>
      <c r="B88" s="7">
        <v>13</v>
      </c>
      <c r="C88" s="7" t="str" cm="1">
        <f t="array" ref="C88">GetValue("Tables","Name",B88)</f>
        <v>DatabasesTables</v>
      </c>
      <c r="D88" s="8" t="str" cm="1">
        <f t="array" ref="D88">GetValue("Tables","Alias",B88)</f>
        <v>DatabaseTable</v>
      </c>
      <c r="E88" s="7">
        <f>E87+5</f>
        <v>15</v>
      </c>
      <c r="F88" s="7">
        <v>1</v>
      </c>
      <c r="G88" s="7" t="str" cm="1">
        <f t="array" ref="G88">GetValue("Domains","Name",F88)</f>
        <v>BigInteger</v>
      </c>
      <c r="H88" s="7" t="str" cm="1">
        <f t="array" ref="H88">GetValue("Domains","#CategoryName",F88)</f>
        <v>number</v>
      </c>
      <c r="I88" s="7" t="str" cm="1">
        <f t="array" ref="I88">GetValue("Domains","#TypeName",F88)</f>
        <v>bigint</v>
      </c>
      <c r="J88" s="7" t="str" cm="1">
        <f t="array" ref="J88">GetValue("Domains","#DataType",F88)</f>
        <v>bigint</v>
      </c>
      <c r="K88" s="7">
        <v>12</v>
      </c>
      <c r="L88" s="7" t="str" cm="1">
        <f t="array" ref="L88">GetValue("Tables","Name",K88)</f>
        <v>Tables</v>
      </c>
      <c r="M88" s="7" t="s">
        <v>144</v>
      </c>
      <c r="N88" s="7"/>
      <c r="O88" s="7" t="s">
        <v>232</v>
      </c>
      <c r="P88" s="7" t="s">
        <v>231</v>
      </c>
      <c r="Q88" s="7" t="s">
        <v>231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  <c r="AD88" s="7" t="b">
        <v>0</v>
      </c>
    </row>
    <row r="89" spans="1:30" x14ac:dyDescent="0.3">
      <c r="A89" s="7">
        <f t="shared" si="10"/>
        <v>88</v>
      </c>
      <c r="B89" s="7">
        <v>13</v>
      </c>
      <c r="C89" s="7" t="str" cm="1">
        <f t="array" ref="C89">GetValue("Tables","Name",B89)</f>
        <v>DatabasesTables</v>
      </c>
      <c r="D89" s="8" t="str" cm="1">
        <f t="array" ref="D89">GetValue("Tables","Alias",B89)</f>
        <v>DatabaseTable</v>
      </c>
      <c r="E89" s="7">
        <f>E88+5</f>
        <v>20</v>
      </c>
      <c r="F89" s="7">
        <v>10</v>
      </c>
      <c r="G89" s="7" t="str" cm="1">
        <f t="array" ref="G89">GetValue("Domains","Name",F89)</f>
        <v>Nvarchar(50)</v>
      </c>
      <c r="H89" s="7" t="str" cm="1">
        <f t="array" ref="H89">GetValue("Domains","#CategoryName",F89)</f>
        <v>string</v>
      </c>
      <c r="I89" s="7" t="str" cm="1">
        <f t="array" ref="I89">GetValue("Domains","#TypeName",F89)</f>
        <v>nvarchar</v>
      </c>
      <c r="J89" s="7" t="str" cm="1">
        <f t="array" ref="J89">GetValue("Domains","#DataType",F89)</f>
        <v>nvarchar(50)</v>
      </c>
      <c r="K89" s="7"/>
      <c r="L89" s="7" t="str" cm="1">
        <f t="array" ref="L89">GetValue("Tables","Name",K89)</f>
        <v/>
      </c>
      <c r="M89" s="7" t="s">
        <v>1</v>
      </c>
      <c r="N89" s="7"/>
      <c r="O89" s="7" t="s">
        <v>399</v>
      </c>
      <c r="P89" s="7" t="s">
        <v>158</v>
      </c>
      <c r="Q89" s="7" t="s">
        <v>158</v>
      </c>
      <c r="R89" s="14"/>
      <c r="S89" s="14"/>
      <c r="T89" s="14"/>
      <c r="U89" s="7" t="b">
        <v>0</v>
      </c>
      <c r="V89" s="7"/>
      <c r="W89" s="7" t="b">
        <v>1</v>
      </c>
      <c r="X89" s="7" t="b">
        <v>1</v>
      </c>
      <c r="Y89" s="7" t="b">
        <v>1</v>
      </c>
      <c r="Z89" s="7" t="b">
        <v>1</v>
      </c>
      <c r="AA89" s="7" t="b">
        <v>1</v>
      </c>
      <c r="AB89" s="7" t="b">
        <v>0</v>
      </c>
      <c r="AC89" s="7"/>
      <c r="AD89" s="7" t="b">
        <v>0</v>
      </c>
    </row>
    <row r="90" spans="1:30" x14ac:dyDescent="0.3">
      <c r="A90" s="9">
        <f t="shared" si="10"/>
        <v>89</v>
      </c>
      <c r="B90" s="9">
        <v>14</v>
      </c>
      <c r="C90" s="9" t="str" cm="1">
        <f t="array" ref="C90">GetValue("Tables","Name",B90)</f>
        <v>Columns</v>
      </c>
      <c r="D90" s="9" t="str" cm="1">
        <f t="array" ref="D90">GetValue("Tables","Alias",B90)</f>
        <v>Column</v>
      </c>
      <c r="E90" s="9">
        <v>5</v>
      </c>
      <c r="F90" s="9">
        <v>1</v>
      </c>
      <c r="G90" s="9" t="str" cm="1">
        <f t="array" ref="G90">GetValue("Domains","Name",F90)</f>
        <v>BigInteger</v>
      </c>
      <c r="H90" s="9" t="str" cm="1">
        <f t="array" ref="H90">GetValue("Domains","#CategoryName",F90)</f>
        <v>number</v>
      </c>
      <c r="I90" s="9" t="str" cm="1">
        <f t="array" ref="I90">GetValue("Domains","#TypeName",F90)</f>
        <v>bigint</v>
      </c>
      <c r="J90" s="9" t="str" cm="1">
        <f t="array" ref="J90">GetValue("Domains","#DataType",F90)</f>
        <v>bigint</v>
      </c>
      <c r="K90" s="9"/>
      <c r="L90" s="9" t="str" cm="1">
        <f t="array" ref="L90">GetValue("Tables","Name",K90)</f>
        <v/>
      </c>
      <c r="M90" s="9" t="s">
        <v>0</v>
      </c>
      <c r="N90" s="9"/>
      <c r="O90" s="9" t="s">
        <v>236</v>
      </c>
      <c r="P90" s="9" t="s">
        <v>156</v>
      </c>
      <c r="Q90" s="9" t="s">
        <v>156</v>
      </c>
      <c r="R90" s="15"/>
      <c r="S90" s="16">
        <v>1</v>
      </c>
      <c r="T90" s="16"/>
      <c r="U90" s="9" t="b">
        <v>1</v>
      </c>
      <c r="V90" s="9" t="b">
        <v>1</v>
      </c>
      <c r="W90" s="9" t="b">
        <v>1</v>
      </c>
      <c r="X90" s="9"/>
      <c r="Y90" s="9" t="b">
        <v>1</v>
      </c>
      <c r="Z90" s="9" t="b">
        <v>0</v>
      </c>
      <c r="AA90" s="9" t="b">
        <v>0</v>
      </c>
      <c r="AB90" s="9"/>
      <c r="AC90" s="9" t="b">
        <v>0</v>
      </c>
      <c r="AD90" s="9" t="b">
        <v>0</v>
      </c>
    </row>
    <row r="91" spans="1:30" x14ac:dyDescent="0.3">
      <c r="A91" s="9">
        <f t="shared" si="10"/>
        <v>90</v>
      </c>
      <c r="B91" s="9">
        <v>14</v>
      </c>
      <c r="C91" s="9" t="str" cm="1">
        <f t="array" ref="C91">GetValue("Tables","Name",B91)</f>
        <v>Columns</v>
      </c>
      <c r="D91" s="9" t="str" cm="1">
        <f t="array" ref="D91">GetValue("Tables","Alias",B91)</f>
        <v>Column</v>
      </c>
      <c r="E91" s="9">
        <f t="shared" ref="E91:E112" si="11">E90+5</f>
        <v>10</v>
      </c>
      <c r="F91" s="9">
        <v>1</v>
      </c>
      <c r="G91" s="9" t="str" cm="1">
        <f t="array" ref="G91">GetValue("Domains","Name",F91)</f>
        <v>BigInteger</v>
      </c>
      <c r="H91" s="9" t="str" cm="1">
        <f t="array" ref="H91">GetValue("Domains","#CategoryName",F91)</f>
        <v>number</v>
      </c>
      <c r="I91" s="9" t="str" cm="1">
        <f t="array" ref="I91">GetValue("Domains","#TypeName",F91)</f>
        <v>bigint</v>
      </c>
      <c r="J91" s="9" t="str" cm="1">
        <f t="array" ref="J91">GetValue("Domains","#DataType",F91)</f>
        <v>bigint</v>
      </c>
      <c r="K91" s="9">
        <v>12</v>
      </c>
      <c r="L91" s="9" t="str" cm="1">
        <f t="array" ref="L91">GetValue("Tables","Name",K91)</f>
        <v>Tables</v>
      </c>
      <c r="M91" s="9" t="s">
        <v>144</v>
      </c>
      <c r="N91" s="9"/>
      <c r="O91" s="9" t="s">
        <v>237</v>
      </c>
      <c r="P91" s="9" t="s">
        <v>237</v>
      </c>
      <c r="Q91" s="9" t="s">
        <v>237</v>
      </c>
      <c r="R91" s="15"/>
      <c r="S91" s="16">
        <v>1</v>
      </c>
      <c r="T91" s="16"/>
      <c r="U91" s="9" t="b">
        <v>0</v>
      </c>
      <c r="V91" s="9" t="b">
        <v>0</v>
      </c>
      <c r="W91" s="9" t="b">
        <v>1</v>
      </c>
      <c r="X91" s="9"/>
      <c r="Y91" s="9" t="b">
        <v>1</v>
      </c>
      <c r="Z91" s="9" t="b">
        <v>1</v>
      </c>
      <c r="AA91" s="9" t="b">
        <v>1</v>
      </c>
      <c r="AB91" s="9"/>
      <c r="AC91" s="9" t="b">
        <v>0</v>
      </c>
      <c r="AD91" s="9" t="b">
        <v>0</v>
      </c>
    </row>
    <row r="92" spans="1:30" x14ac:dyDescent="0.3">
      <c r="A92" s="9">
        <f t="shared" si="10"/>
        <v>91</v>
      </c>
      <c r="B92" s="9">
        <v>14</v>
      </c>
      <c r="C92" s="9" t="str" cm="1">
        <f t="array" ref="C92">GetValue("Tables","Name",B92)</f>
        <v>Columns</v>
      </c>
      <c r="D92" s="9" t="str" cm="1">
        <f t="array" ref="D92">GetValue("Tables","Alias",B92)</f>
        <v>Column</v>
      </c>
      <c r="E92" s="9">
        <f t="shared" si="11"/>
        <v>15</v>
      </c>
      <c r="F92" s="9">
        <v>4</v>
      </c>
      <c r="G92" s="9" t="str" cm="1">
        <f t="array" ref="G92">GetValue("Domains","Name",F92)</f>
        <v>SmallInteger</v>
      </c>
      <c r="H92" s="9" t="str" cm="1">
        <f t="array" ref="H92">GetValue("Domains","#CategoryName",F92)</f>
        <v>number</v>
      </c>
      <c r="I92" s="9" t="str" cm="1">
        <f t="array" ref="I92">GetValue("Domains","#TypeName",F92)</f>
        <v>smallint</v>
      </c>
      <c r="J92" s="9" t="str" cm="1">
        <f t="array" ref="J92">GetValue("Domains","#DataType",F92)</f>
        <v>smallint</v>
      </c>
      <c r="K92" s="9"/>
      <c r="L92" s="9" t="str" cm="1">
        <f t="array" ref="L92">GetValue("Tables","Name",K92)</f>
        <v/>
      </c>
      <c r="M92" s="9" t="s">
        <v>88</v>
      </c>
      <c r="N92" s="9"/>
      <c r="O92" s="9" t="s">
        <v>205</v>
      </c>
      <c r="P92" s="9" t="s">
        <v>205</v>
      </c>
      <c r="Q92" s="9" t="s">
        <v>205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0</v>
      </c>
      <c r="Z92" s="9" t="b">
        <v>1</v>
      </c>
      <c r="AA92" s="9" t="b">
        <v>1</v>
      </c>
      <c r="AB92" s="9"/>
      <c r="AC92" s="9" t="b">
        <v>0</v>
      </c>
      <c r="AD92" s="9" t="b">
        <v>0</v>
      </c>
    </row>
    <row r="93" spans="1:30" x14ac:dyDescent="0.3">
      <c r="A93" s="9">
        <f t="shared" si="10"/>
        <v>92</v>
      </c>
      <c r="B93" s="9">
        <v>14</v>
      </c>
      <c r="C93" s="9" t="str" cm="1">
        <f t="array" ref="C93">GetValue("Tables","Name",B93)</f>
        <v>Columns</v>
      </c>
      <c r="D93" s="9" t="str" cm="1">
        <f t="array" ref="D93">GetValue("Tables","Alias",B93)</f>
        <v>Column</v>
      </c>
      <c r="E93" s="9">
        <f t="shared" si="11"/>
        <v>20</v>
      </c>
      <c r="F93" s="9">
        <v>1</v>
      </c>
      <c r="G93" s="9" t="str" cm="1">
        <f t="array" ref="G93">GetValue("Domains","Name",F93)</f>
        <v>BigInteger</v>
      </c>
      <c r="H93" s="9" t="str" cm="1">
        <f t="array" ref="H93">GetValue("Domains","#CategoryName",F93)</f>
        <v>number</v>
      </c>
      <c r="I93" s="9" t="str" cm="1">
        <f t="array" ref="I93">GetValue("Domains","#TypeName",F93)</f>
        <v>bigint</v>
      </c>
      <c r="J93" s="9" t="str" cm="1">
        <f t="array" ref="J93">GetValue("Domains","#DataType",F93)</f>
        <v>bigint</v>
      </c>
      <c r="K93" s="9">
        <v>4</v>
      </c>
      <c r="L93" s="9" t="str" cm="1">
        <f t="array" ref="L93">GetValue("Tables","Name",K93)</f>
        <v>Domains</v>
      </c>
      <c r="M93" s="9" t="s">
        <v>145</v>
      </c>
      <c r="N93" s="9"/>
      <c r="O93" s="9" t="s">
        <v>238</v>
      </c>
      <c r="P93" s="9" t="s">
        <v>239</v>
      </c>
      <c r="Q93" s="9" t="s">
        <v>239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1</v>
      </c>
      <c r="Z93" s="9" t="b">
        <v>1</v>
      </c>
      <c r="AA93" s="9" t="b">
        <v>1</v>
      </c>
      <c r="AB93" s="9"/>
      <c r="AC93" s="9" t="b">
        <v>0</v>
      </c>
      <c r="AD93" s="9" t="b">
        <v>0</v>
      </c>
    </row>
    <row r="94" spans="1:30" x14ac:dyDescent="0.3">
      <c r="A94" s="9">
        <f t="shared" si="10"/>
        <v>93</v>
      </c>
      <c r="B94" s="9">
        <v>14</v>
      </c>
      <c r="C94" s="9" t="str" cm="1">
        <f t="array" ref="C94">GetValue("Tables","Name",B94)</f>
        <v>Columns</v>
      </c>
      <c r="D94" s="9" t="str" cm="1">
        <f t="array" ref="D94">GetValue("Tables","Alias",B94)</f>
        <v>Column</v>
      </c>
      <c r="E94" s="9">
        <f t="shared" si="11"/>
        <v>25</v>
      </c>
      <c r="F94" s="9">
        <v>1</v>
      </c>
      <c r="G94" s="9" t="str" cm="1">
        <f t="array" ref="G94">GetValue("Domains","Name",F94)</f>
        <v>BigInteger</v>
      </c>
      <c r="H94" s="9" t="str" cm="1">
        <f t="array" ref="H94">GetValue("Domains","#CategoryName",F94)</f>
        <v>number</v>
      </c>
      <c r="I94" s="9" t="str" cm="1">
        <f t="array" ref="I94">GetValue("Domains","#TypeName",F94)</f>
        <v>bigint</v>
      </c>
      <c r="J94" s="9" t="str" cm="1">
        <f t="array" ref="J94">GetValue("Domains","#DataType",F94)</f>
        <v>bigint</v>
      </c>
      <c r="K94" s="9">
        <v>12</v>
      </c>
      <c r="L94" s="9" t="str" cm="1">
        <f t="array" ref="L94">GetValue("Tables","Name",K94)</f>
        <v>Tables</v>
      </c>
      <c r="M94" s="9" t="s">
        <v>146</v>
      </c>
      <c r="N94" s="9"/>
      <c r="O94" s="9" t="s">
        <v>240</v>
      </c>
      <c r="P94" s="9" t="s">
        <v>241</v>
      </c>
      <c r="Q94" s="9" t="s">
        <v>241</v>
      </c>
      <c r="R94" s="15"/>
      <c r="S94" s="16">
        <v>1</v>
      </c>
      <c r="T94" s="16"/>
      <c r="U94" s="9" t="b">
        <v>0</v>
      </c>
      <c r="V94" s="9" t="b">
        <v>0</v>
      </c>
      <c r="W94" s="9" t="b">
        <v>0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  <c r="AD94" s="9" t="b">
        <v>0</v>
      </c>
    </row>
    <row r="95" spans="1:30" x14ac:dyDescent="0.3">
      <c r="A95" s="9">
        <f t="shared" si="10"/>
        <v>94</v>
      </c>
      <c r="B95" s="9">
        <v>14</v>
      </c>
      <c r="C95" s="9" t="str" cm="1">
        <f t="array" ref="C95">GetValue("Tables","Name",B95)</f>
        <v>Columns</v>
      </c>
      <c r="D95" s="9" t="str" cm="1">
        <f t="array" ref="D95">GetValue("Tables","Alias",B95)</f>
        <v>Column</v>
      </c>
      <c r="E95" s="9">
        <f t="shared" si="11"/>
        <v>30</v>
      </c>
      <c r="F95" s="9">
        <v>9</v>
      </c>
      <c r="G95" s="9" t="str" cm="1">
        <f t="array" ref="G95">GetValue("Domains","Name",F95)</f>
        <v>Nvarchar(25)</v>
      </c>
      <c r="H95" s="9" t="str" cm="1">
        <f t="array" ref="H95">GetValue("Domains","#CategoryName",F95)</f>
        <v>string</v>
      </c>
      <c r="I95" s="9" t="str" cm="1">
        <f t="array" ref="I95">GetValue("Domains","#TypeName",F95)</f>
        <v>nvarchar</v>
      </c>
      <c r="J95" s="9" t="str" cm="1">
        <f t="array" ref="J95">GetValue("Domains","#DataType",F95)</f>
        <v>nvarchar(25)</v>
      </c>
      <c r="K95" s="9"/>
      <c r="L95" s="9" t="str" cm="1">
        <f t="array" ref="L95">GetValue("Tables","Name",K95)</f>
        <v/>
      </c>
      <c r="M95" s="9" t="s">
        <v>1</v>
      </c>
      <c r="N95" s="9"/>
      <c r="O95" s="9" t="s">
        <v>242</v>
      </c>
      <c r="P95" s="9" t="s">
        <v>158</v>
      </c>
      <c r="Q95" s="9" t="s">
        <v>158</v>
      </c>
      <c r="R95" s="15"/>
      <c r="S95" s="16" t="s">
        <v>35</v>
      </c>
      <c r="T95" s="16"/>
      <c r="U95" s="9" t="b">
        <v>0</v>
      </c>
      <c r="V95" s="9"/>
      <c r="W95" s="9" t="b">
        <v>1</v>
      </c>
      <c r="X95" s="9"/>
      <c r="Y95" s="9" t="b">
        <v>1</v>
      </c>
      <c r="Z95" s="9" t="b">
        <v>1</v>
      </c>
      <c r="AA95" s="9" t="b">
        <v>1</v>
      </c>
      <c r="AB95" s="9" t="b">
        <v>0</v>
      </c>
      <c r="AC95" s="9"/>
      <c r="AD95" s="9" t="b">
        <v>0</v>
      </c>
    </row>
    <row r="96" spans="1:30" x14ac:dyDescent="0.3">
      <c r="A96" s="9">
        <f t="shared" si="10"/>
        <v>95</v>
      </c>
      <c r="B96" s="9">
        <v>14</v>
      </c>
      <c r="C96" s="9" t="str" cm="1">
        <f t="array" ref="C96">GetValue("Tables","Name",B96)</f>
        <v>Columns</v>
      </c>
      <c r="D96" s="9" t="str" cm="1">
        <f t="array" ref="D96">GetValue("Tables","Alias",B96)</f>
        <v>Column</v>
      </c>
      <c r="E96" s="9">
        <f t="shared" si="11"/>
        <v>35</v>
      </c>
      <c r="F96" s="9">
        <v>9</v>
      </c>
      <c r="G96" s="9" t="str" cm="1">
        <f t="array" ref="G96">GetValue("Domains","Name",F96)</f>
        <v>Nvarchar(25)</v>
      </c>
      <c r="H96" s="9" t="str" cm="1">
        <f t="array" ref="H96">GetValue("Domains","#CategoryName",F96)</f>
        <v>string</v>
      </c>
      <c r="I96" s="9" t="str" cm="1">
        <f t="array" ref="I96">GetValue("Domains","#TypeName",F96)</f>
        <v>nvarchar</v>
      </c>
      <c r="J96" s="9" t="str" cm="1">
        <f t="array" ref="J96">GetValue("Domains","#DataType",F96)</f>
        <v>nvarchar(25)</v>
      </c>
      <c r="K96" s="9"/>
      <c r="L96" s="9" t="str" cm="1">
        <f t="array" ref="L96">GetValue("Tables","Name",K96)</f>
        <v/>
      </c>
      <c r="M96" s="9" t="s">
        <v>122</v>
      </c>
      <c r="N96" s="9"/>
      <c r="O96" s="9" t="s">
        <v>424</v>
      </c>
      <c r="P96" s="9" t="s">
        <v>122</v>
      </c>
      <c r="Q96" s="9" t="s">
        <v>122</v>
      </c>
      <c r="R96" s="15"/>
      <c r="S96" s="16" t="s">
        <v>35</v>
      </c>
      <c r="T96" s="16"/>
      <c r="U96" s="9" t="b">
        <v>0</v>
      </c>
      <c r="V96" s="9"/>
      <c r="W96" s="9" t="b">
        <v>0</v>
      </c>
      <c r="X96" s="9"/>
      <c r="Y96" s="9" t="b">
        <v>1</v>
      </c>
      <c r="Z96" s="9" t="b">
        <v>1</v>
      </c>
      <c r="AA96" s="9" t="b">
        <v>0</v>
      </c>
      <c r="AB96" s="9" t="b">
        <v>0</v>
      </c>
      <c r="AC96" s="9"/>
      <c r="AD96" s="9" t="b">
        <v>0</v>
      </c>
    </row>
    <row r="97" spans="1:30" x14ac:dyDescent="0.3">
      <c r="A97" s="9">
        <f t="shared" si="10"/>
        <v>96</v>
      </c>
      <c r="B97" s="9">
        <v>14</v>
      </c>
      <c r="C97" s="9" t="str" cm="1">
        <f t="array" ref="C97">GetValue("Tables","Name",B97)</f>
        <v>Columns</v>
      </c>
      <c r="D97" s="9" t="str" cm="1">
        <f t="array" ref="D97">GetValue("Tables","Alias",B97)</f>
        <v>Column</v>
      </c>
      <c r="E97" s="9">
        <f t="shared" si="11"/>
        <v>40</v>
      </c>
      <c r="F97" s="9">
        <v>10</v>
      </c>
      <c r="G97" s="9" t="str" cm="1">
        <f t="array" ref="G97">GetValue("Domains","Name",F97)</f>
        <v>Nvarchar(50)</v>
      </c>
      <c r="H97" s="9" t="str" cm="1">
        <f t="array" ref="H97">GetValue("Domains","#CategoryName",F97)</f>
        <v>string</v>
      </c>
      <c r="I97" s="9" t="str" cm="1">
        <f t="array" ref="I97">GetValue("Domains","#TypeName",F97)</f>
        <v>nvarchar</v>
      </c>
      <c r="J97" s="9" t="str" cm="1">
        <f t="array" ref="J97">GetValue("Domains","#DataType",F97)</f>
        <v>nvarchar(50)</v>
      </c>
      <c r="K97" s="9"/>
      <c r="L97" s="9" t="str" cm="1">
        <f t="array" ref="L97">GetValue("Tables","Name",K97)</f>
        <v/>
      </c>
      <c r="M97" s="9" t="s">
        <v>84</v>
      </c>
      <c r="N97" s="9"/>
      <c r="O97" s="9" t="s">
        <v>243</v>
      </c>
      <c r="P97" s="9" t="s">
        <v>196</v>
      </c>
      <c r="Q97" s="9" t="s">
        <v>196</v>
      </c>
      <c r="R97" s="15"/>
      <c r="S97" s="16" t="s">
        <v>35</v>
      </c>
      <c r="T97" s="16"/>
      <c r="U97" s="9" t="b">
        <v>0</v>
      </c>
      <c r="V97" s="9"/>
      <c r="W97" s="9" t="b">
        <v>1</v>
      </c>
      <c r="X97" s="9"/>
      <c r="Y97" s="9" t="b">
        <v>0</v>
      </c>
      <c r="Z97" s="9" t="b">
        <v>1</v>
      </c>
      <c r="AA97" s="9" t="b">
        <v>1</v>
      </c>
      <c r="AB97" s="9" t="b">
        <v>0</v>
      </c>
      <c r="AC97" s="9"/>
      <c r="AD97" s="9" t="b">
        <v>0</v>
      </c>
    </row>
    <row r="98" spans="1:30" x14ac:dyDescent="0.3">
      <c r="A98" s="9">
        <f t="shared" si="10"/>
        <v>97</v>
      </c>
      <c r="B98" s="9">
        <v>14</v>
      </c>
      <c r="C98" s="9" t="str" cm="1">
        <f t="array" ref="C98">GetValue("Tables","Name",B98)</f>
        <v>Columns</v>
      </c>
      <c r="D98" s="9" t="str" cm="1">
        <f t="array" ref="D98">GetValue("Tables","Alias",B98)</f>
        <v>Column</v>
      </c>
      <c r="E98" s="9">
        <f t="shared" si="11"/>
        <v>45</v>
      </c>
      <c r="F98" s="9">
        <v>9</v>
      </c>
      <c r="G98" s="9" t="str" cm="1">
        <f t="array" ref="G98">GetValue("Domains","Name",F98)</f>
        <v>Nvarchar(25)</v>
      </c>
      <c r="H98" s="9" t="str" cm="1">
        <f t="array" ref="H98">GetValue("Domains","#CategoryName",F98)</f>
        <v>string</v>
      </c>
      <c r="I98" s="9" t="str" cm="1">
        <f t="array" ref="I98">GetValue("Domains","#TypeName",F98)</f>
        <v>nvarchar</v>
      </c>
      <c r="J98" s="9" t="str" cm="1">
        <f t="array" ref="J98">GetValue("Domains","#DataType",F98)</f>
        <v>nvarchar(25)</v>
      </c>
      <c r="K98" s="9"/>
      <c r="L98" s="9" t="str" cm="1">
        <f t="array" ref="L98">GetValue("Tables","Name",K98)</f>
        <v/>
      </c>
      <c r="M98" s="9" t="s">
        <v>147</v>
      </c>
      <c r="N98" s="9"/>
      <c r="O98" s="9" t="s">
        <v>244</v>
      </c>
      <c r="P98" s="9" t="s">
        <v>245</v>
      </c>
      <c r="Q98" s="9" t="s">
        <v>245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  <c r="AD98" s="9" t="b">
        <v>0</v>
      </c>
    </row>
    <row r="99" spans="1:30" x14ac:dyDescent="0.3">
      <c r="A99" s="9">
        <f t="shared" si="10"/>
        <v>98</v>
      </c>
      <c r="B99" s="9">
        <v>14</v>
      </c>
      <c r="C99" s="9" t="str" cm="1">
        <f t="array" ref="C99">GetValue("Tables","Name",B99)</f>
        <v>Columns</v>
      </c>
      <c r="D99" s="9" t="str" cm="1">
        <f t="array" ref="D99">GetValue("Tables","Alias",B99)</f>
        <v>Column</v>
      </c>
      <c r="E99" s="9">
        <f t="shared" si="11"/>
        <v>50</v>
      </c>
      <c r="F99" s="9">
        <v>9</v>
      </c>
      <c r="G99" s="9" t="str" cm="1">
        <f t="array" ref="G99">GetValue("Domains","Name",F99)</f>
        <v>Nvarchar(25)</v>
      </c>
      <c r="H99" s="9" t="str" cm="1">
        <f t="array" ref="H99">GetValue("Domains","#CategoryName",F99)</f>
        <v>string</v>
      </c>
      <c r="I99" s="9" t="str" cm="1">
        <f t="array" ref="I99">GetValue("Domains","#TypeName",F99)</f>
        <v>nvarchar</v>
      </c>
      <c r="J99" s="9" t="str" cm="1">
        <f t="array" ref="J99">GetValue("Domains","#DataType",F99)</f>
        <v>nvarchar(25)</v>
      </c>
      <c r="K99" s="9"/>
      <c r="L99" s="9" t="str" cm="1">
        <f t="array" ref="L99">GetValue("Tables","Name",K99)</f>
        <v/>
      </c>
      <c r="M99" s="9" t="s">
        <v>89</v>
      </c>
      <c r="N99" s="9"/>
      <c r="O99" s="9" t="s">
        <v>246</v>
      </c>
      <c r="P99" s="9" t="s">
        <v>247</v>
      </c>
      <c r="Q99" s="9" t="s">
        <v>247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  <c r="AD99" s="9" t="b">
        <v>0</v>
      </c>
    </row>
    <row r="100" spans="1:30" x14ac:dyDescent="0.3">
      <c r="A100" s="9">
        <f t="shared" si="10"/>
        <v>99</v>
      </c>
      <c r="B100" s="9">
        <v>14</v>
      </c>
      <c r="C100" s="9" t="str" cm="1">
        <f t="array" ref="C100">GetValue("Tables","Name",B100)</f>
        <v>Columns</v>
      </c>
      <c r="D100" s="9" t="str" cm="1">
        <f t="array" ref="D100">GetValue("Tables","Alias",B100)</f>
        <v>Column</v>
      </c>
      <c r="E100" s="9">
        <f t="shared" si="11"/>
        <v>55</v>
      </c>
      <c r="F100" s="9">
        <v>17</v>
      </c>
      <c r="G100" s="9" t="str" cm="1">
        <f t="array" ref="G100">GetValue("Domains","Name",F100)</f>
        <v>Variant</v>
      </c>
      <c r="H100" s="9" t="str" cm="1">
        <f t="array" ref="H100">GetValue("Domains","#CategoryName",F100)</f>
        <v>text</v>
      </c>
      <c r="I100" s="9" t="str" cm="1">
        <f t="array" ref="I100">GetValue("Domains","#TypeName",F100)</f>
        <v>nvarchar(max)</v>
      </c>
      <c r="J100" s="9" t="str" cm="1">
        <f t="array" ref="J100">GetValue("Domains","#DataType",F100)</f>
        <v>nvarchar(max)</v>
      </c>
      <c r="K100" s="9"/>
      <c r="L100" s="9" t="str" cm="1">
        <f t="array" ref="L100">GetValue("Tables","Name",K100)</f>
        <v/>
      </c>
      <c r="M100" s="9" t="s">
        <v>66</v>
      </c>
      <c r="N100" s="9"/>
      <c r="O100" s="9" t="s">
        <v>248</v>
      </c>
      <c r="P100" s="9" t="s">
        <v>249</v>
      </c>
      <c r="Q100" s="9" t="s">
        <v>249</v>
      </c>
      <c r="R100" s="15"/>
      <c r="S100" s="16" t="s">
        <v>35</v>
      </c>
      <c r="T100" s="16"/>
      <c r="U100" s="9"/>
      <c r="V100" s="9"/>
      <c r="W100" s="9" t="b">
        <v>0</v>
      </c>
      <c r="X100" s="9"/>
      <c r="Y100" s="9"/>
      <c r="Z100" s="9" t="b">
        <v>1</v>
      </c>
      <c r="AA100" s="9" t="b">
        <v>0</v>
      </c>
      <c r="AB100" s="9"/>
      <c r="AC100" s="9"/>
      <c r="AD100" s="9" t="b">
        <v>0</v>
      </c>
    </row>
    <row r="101" spans="1:30" x14ac:dyDescent="0.3">
      <c r="A101" s="9">
        <f t="shared" si="10"/>
        <v>100</v>
      </c>
      <c r="B101" s="9">
        <v>14</v>
      </c>
      <c r="C101" s="9" t="str" cm="1">
        <f t="array" ref="C101">GetValue("Tables","Name",B101)</f>
        <v>Columns</v>
      </c>
      <c r="D101" s="9" t="str" cm="1">
        <f t="array" ref="D101">GetValue("Tables","Alias",B101)</f>
        <v>Column</v>
      </c>
      <c r="E101" s="9">
        <f t="shared" si="11"/>
        <v>60</v>
      </c>
      <c r="F101" s="9">
        <v>17</v>
      </c>
      <c r="G101" s="9" t="str" cm="1">
        <f t="array" ref="G101">GetValue("Domains","Name",F101)</f>
        <v>Variant</v>
      </c>
      <c r="H101" s="9" t="str" cm="1">
        <f t="array" ref="H101">GetValue("Domains","#CategoryName",F101)</f>
        <v>text</v>
      </c>
      <c r="I101" s="9" t="str" cm="1">
        <f t="array" ref="I101">GetValue("Domains","#TypeName",F101)</f>
        <v>nvarchar(max)</v>
      </c>
      <c r="J101" s="9" t="str" cm="1">
        <f t="array" ref="J101">GetValue("Domains","#DataType",F101)</f>
        <v>nvarchar(max)</v>
      </c>
      <c r="K101" s="9"/>
      <c r="L101" s="9" t="str" cm="1">
        <f t="array" ref="L101">GetValue("Tables","Name",K101)</f>
        <v/>
      </c>
      <c r="M101" s="9" t="s">
        <v>26</v>
      </c>
      <c r="N101" s="9"/>
      <c r="O101" s="9" t="s">
        <v>250</v>
      </c>
      <c r="P101" s="9" t="s">
        <v>162</v>
      </c>
      <c r="Q101" s="9" t="s">
        <v>162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  <c r="AD101" s="9" t="b">
        <v>0</v>
      </c>
    </row>
    <row r="102" spans="1:30" x14ac:dyDescent="0.3">
      <c r="A102" s="9">
        <f t="shared" si="10"/>
        <v>101</v>
      </c>
      <c r="B102" s="9">
        <v>14</v>
      </c>
      <c r="C102" s="9" t="str" cm="1">
        <f t="array" ref="C102">GetValue("Tables","Name",B102)</f>
        <v>Columns</v>
      </c>
      <c r="D102" s="9" t="str" cm="1">
        <f t="array" ref="D102">GetValue("Tables","Alias",B102)</f>
        <v>Column</v>
      </c>
      <c r="E102" s="9">
        <f t="shared" si="11"/>
        <v>65</v>
      </c>
      <c r="F102" s="9">
        <v>17</v>
      </c>
      <c r="G102" s="9" t="str" cm="1">
        <f t="array" ref="G102">GetValue("Domains","Name",F102)</f>
        <v>Variant</v>
      </c>
      <c r="H102" s="9" t="str" cm="1">
        <f t="array" ref="H102">GetValue("Domains","#CategoryName",F102)</f>
        <v>text</v>
      </c>
      <c r="I102" s="9" t="str" cm="1">
        <f t="array" ref="I102">GetValue("Domains","#TypeName",F102)</f>
        <v>nvarchar(max)</v>
      </c>
      <c r="J102" s="9" t="str" cm="1">
        <f t="array" ref="J102">GetValue("Domains","#DataType",F102)</f>
        <v>nvarchar(max)</v>
      </c>
      <c r="K102" s="9"/>
      <c r="L102" s="9" t="str" cm="1">
        <f t="array" ref="L102">GetValue("Tables","Name",K102)</f>
        <v/>
      </c>
      <c r="M102" s="9" t="s">
        <v>27</v>
      </c>
      <c r="N102" s="9"/>
      <c r="O102" s="9" t="s">
        <v>251</v>
      </c>
      <c r="P102" s="9" t="s">
        <v>164</v>
      </c>
      <c r="Q102" s="9" t="s">
        <v>164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  <c r="AD102" s="9" t="b">
        <v>0</v>
      </c>
    </row>
    <row r="103" spans="1:30" x14ac:dyDescent="0.3">
      <c r="A103" s="9">
        <f t="shared" si="10"/>
        <v>102</v>
      </c>
      <c r="B103" s="9">
        <v>14</v>
      </c>
      <c r="C103" s="9" t="str" cm="1">
        <f t="array" ref="C103">GetValue("Tables","Name",B103)</f>
        <v>Columns</v>
      </c>
      <c r="D103" s="9" t="str" cm="1">
        <f t="array" ref="D103">GetValue("Tables","Alias",B103)</f>
        <v>Column</v>
      </c>
      <c r="E103" s="9">
        <f t="shared" si="11"/>
        <v>70</v>
      </c>
      <c r="F103" s="9">
        <v>6</v>
      </c>
      <c r="G103" s="9" t="str" cm="1">
        <f t="array" ref="G103">GetValue("Domains","Name",F103)</f>
        <v>Boolean</v>
      </c>
      <c r="H103" s="9" t="str" cm="1">
        <f t="array" ref="H103">GetValue("Domains","#CategoryName",F103)</f>
        <v>boolean</v>
      </c>
      <c r="I103" s="9" t="str" cm="1">
        <f t="array" ref="I103">GetValue("Domains","#TypeName",F103)</f>
        <v>bit</v>
      </c>
      <c r="J103" s="9" t="str" cm="1">
        <f t="array" ref="J103">GetValue("Domains","#DataType",F103)</f>
        <v>bit</v>
      </c>
      <c r="K103" s="9"/>
      <c r="L103" s="9" t="str" cm="1">
        <f t="array" ref="L103">GetValue("Tables","Name",K103)</f>
        <v/>
      </c>
      <c r="M103" s="9" t="s">
        <v>148</v>
      </c>
      <c r="N103" s="9"/>
      <c r="O103" s="9" t="s">
        <v>252</v>
      </c>
      <c r="P103" s="9" t="s">
        <v>352</v>
      </c>
      <c r="Q103" s="9" t="s">
        <v>352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  <c r="AD103" s="9" t="b">
        <v>0</v>
      </c>
    </row>
    <row r="104" spans="1:30" x14ac:dyDescent="0.3">
      <c r="A104" s="9">
        <f t="shared" si="10"/>
        <v>103</v>
      </c>
      <c r="B104" s="9">
        <v>14</v>
      </c>
      <c r="C104" s="9" t="str" cm="1">
        <f t="array" ref="C104">GetValue("Tables","Name",B104)</f>
        <v>Columns</v>
      </c>
      <c r="D104" s="9" t="str" cm="1">
        <f t="array" ref="D104">GetValue("Tables","Alias",B104)</f>
        <v>Column</v>
      </c>
      <c r="E104" s="9">
        <f t="shared" si="11"/>
        <v>75</v>
      </c>
      <c r="F104" s="9">
        <v>6</v>
      </c>
      <c r="G104" s="9" t="str" cm="1">
        <f t="array" ref="G104">GetValue("Domains","Name",F104)</f>
        <v>Boolean</v>
      </c>
      <c r="H104" s="9" t="str" cm="1">
        <f t="array" ref="H104">GetValue("Domains","#CategoryName",F104)</f>
        <v>boolean</v>
      </c>
      <c r="I104" s="9" t="str" cm="1">
        <f t="array" ref="I104">GetValue("Domains","#TypeName",F104)</f>
        <v>bit</v>
      </c>
      <c r="J104" s="9" t="str" cm="1">
        <f t="array" ref="J104">GetValue("Domains","#DataType",F104)</f>
        <v>bit</v>
      </c>
      <c r="K104" s="9"/>
      <c r="L104" s="9" t="str" cm="1">
        <f t="array" ref="L104">GetValue("Tables","Name",K104)</f>
        <v/>
      </c>
      <c r="M104" s="9" t="s">
        <v>149</v>
      </c>
      <c r="N104" s="9"/>
      <c r="O104" s="9" t="s">
        <v>253</v>
      </c>
      <c r="P104" s="9" t="s">
        <v>353</v>
      </c>
      <c r="Q104" s="9" t="s">
        <v>353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/>
      <c r="AC104" s="9"/>
      <c r="AD104" s="9" t="b">
        <v>0</v>
      </c>
    </row>
    <row r="105" spans="1:30" x14ac:dyDescent="0.3">
      <c r="A105" s="9">
        <f t="shared" si="10"/>
        <v>104</v>
      </c>
      <c r="B105" s="9">
        <v>14</v>
      </c>
      <c r="C105" s="9" t="str" cm="1">
        <f t="array" ref="C105">GetValue("Tables","Name",B105)</f>
        <v>Columns</v>
      </c>
      <c r="D105" s="9" t="str" cm="1">
        <f t="array" ref="D105">GetValue("Tables","Alias",B105)</f>
        <v>Column</v>
      </c>
      <c r="E105" s="9">
        <f t="shared" si="11"/>
        <v>80</v>
      </c>
      <c r="F105" s="9">
        <v>6</v>
      </c>
      <c r="G105" s="9" t="str" cm="1">
        <f t="array" ref="G105">GetValue("Domains","Name",F105)</f>
        <v>Boolean</v>
      </c>
      <c r="H105" s="9" t="str" cm="1">
        <f t="array" ref="H105">GetValue("Domains","#CategoryName",F105)</f>
        <v>boolean</v>
      </c>
      <c r="I105" s="9" t="str" cm="1">
        <f t="array" ref="I105">GetValue("Domains","#TypeName",F105)</f>
        <v>bit</v>
      </c>
      <c r="J105" s="9" t="str" cm="1">
        <f t="array" ref="J105">GetValue("Domains","#DataType",F105)</f>
        <v>bit</v>
      </c>
      <c r="K105" s="9"/>
      <c r="L105" s="9" t="str" cm="1">
        <f t="array" ref="L105">GetValue("Tables","Name",K105)</f>
        <v/>
      </c>
      <c r="M105" s="9" t="s">
        <v>150</v>
      </c>
      <c r="N105" s="9"/>
      <c r="O105" s="9" t="s">
        <v>254</v>
      </c>
      <c r="P105" s="9" t="s">
        <v>354</v>
      </c>
      <c r="Q105" s="9" t="s">
        <v>354</v>
      </c>
      <c r="R105" s="15"/>
      <c r="S105" s="16" t="s">
        <v>35</v>
      </c>
      <c r="T105" s="16"/>
      <c r="U105" s="9"/>
      <c r="V105" s="9"/>
      <c r="W105" s="9" t="b">
        <v>1</v>
      </c>
      <c r="X105" s="9"/>
      <c r="Y105" s="9" t="b">
        <v>1</v>
      </c>
      <c r="Z105" s="9" t="b">
        <v>1</v>
      </c>
      <c r="AA105" s="9" t="b">
        <v>0</v>
      </c>
      <c r="AB105" s="9"/>
      <c r="AC105" s="9"/>
      <c r="AD105" s="9" t="b">
        <v>0</v>
      </c>
    </row>
    <row r="106" spans="1:30" x14ac:dyDescent="0.3">
      <c r="A106" s="9">
        <f t="shared" si="10"/>
        <v>105</v>
      </c>
      <c r="B106" s="9">
        <v>14</v>
      </c>
      <c r="C106" s="9" t="str" cm="1">
        <f t="array" ref="C106">GetValue("Tables","Name",B106)</f>
        <v>Columns</v>
      </c>
      <c r="D106" s="9" t="str" cm="1">
        <f t="array" ref="D106">GetValue("Tables","Alias",B106)</f>
        <v>Column</v>
      </c>
      <c r="E106" s="9">
        <f t="shared" si="11"/>
        <v>85</v>
      </c>
      <c r="F106" s="9">
        <v>6</v>
      </c>
      <c r="G106" s="9" t="str" cm="1">
        <f t="array" ref="G106">GetValue("Domains","Name",F106)</f>
        <v>Boolean</v>
      </c>
      <c r="H106" s="9" t="str" cm="1">
        <f t="array" ref="H106">GetValue("Domains","#CategoryName",F106)</f>
        <v>boolean</v>
      </c>
      <c r="I106" s="9" t="str" cm="1">
        <f t="array" ref="I106">GetValue("Domains","#TypeName",F106)</f>
        <v>bit</v>
      </c>
      <c r="J106" s="9" t="str" cm="1">
        <f t="array" ref="J106">GetValue("Domains","#DataType",F106)</f>
        <v>bit</v>
      </c>
      <c r="K106" s="9"/>
      <c r="L106" s="9" t="str" cm="1">
        <f t="array" ref="L106">GetValue("Tables","Name",K106)</f>
        <v/>
      </c>
      <c r="M106" s="9" t="s">
        <v>151</v>
      </c>
      <c r="N106" s="9"/>
      <c r="O106" s="9" t="s">
        <v>255</v>
      </c>
      <c r="P106" s="9" t="s">
        <v>355</v>
      </c>
      <c r="Q106" s="9" t="s">
        <v>355</v>
      </c>
      <c r="R106" s="15"/>
      <c r="S106" s="16" t="s">
        <v>35</v>
      </c>
      <c r="T106" s="16"/>
      <c r="U106" s="9"/>
      <c r="V106" s="9"/>
      <c r="W106" s="9" t="b">
        <v>0</v>
      </c>
      <c r="X106" s="9"/>
      <c r="Y106" s="9" t="b">
        <v>1</v>
      </c>
      <c r="Z106" s="9" t="b">
        <v>1</v>
      </c>
      <c r="AA106" s="9" t="b">
        <v>1</v>
      </c>
      <c r="AB106" s="9"/>
      <c r="AC106" s="9"/>
      <c r="AD106" s="9" t="b">
        <v>0</v>
      </c>
    </row>
    <row r="107" spans="1:30" x14ac:dyDescent="0.3">
      <c r="A107" s="9">
        <f t="shared" si="10"/>
        <v>106</v>
      </c>
      <c r="B107" s="9">
        <v>14</v>
      </c>
      <c r="C107" s="9" t="str" cm="1">
        <f t="array" ref="C107">GetValue("Tables","Name",B107)</f>
        <v>Columns</v>
      </c>
      <c r="D107" s="9" t="str" cm="1">
        <f t="array" ref="D107">GetValue("Tables","Alias",B107)</f>
        <v>Column</v>
      </c>
      <c r="E107" s="9">
        <f t="shared" si="11"/>
        <v>90</v>
      </c>
      <c r="F107" s="9">
        <v>6</v>
      </c>
      <c r="G107" s="9" t="str" cm="1">
        <f t="array" ref="G107">GetValue("Domains","Name",F107)</f>
        <v>Boolean</v>
      </c>
      <c r="H107" s="9" t="str" cm="1">
        <f t="array" ref="H107">GetValue("Domains","#CategoryName",F107)</f>
        <v>boolean</v>
      </c>
      <c r="I107" s="9" t="str" cm="1">
        <f t="array" ref="I107">GetValue("Domains","#TypeName",F107)</f>
        <v>bit</v>
      </c>
      <c r="J107" s="9" t="str" cm="1">
        <f t="array" ref="J107">GetValue("Domains","#DataType",F107)</f>
        <v>bit</v>
      </c>
      <c r="K107" s="9"/>
      <c r="L107" s="9" t="str" cm="1">
        <f t="array" ref="L107">GetValue("Tables","Name",K107)</f>
        <v/>
      </c>
      <c r="M107" s="9" t="s">
        <v>152</v>
      </c>
      <c r="N107" s="9"/>
      <c r="O107" s="9" t="s">
        <v>256</v>
      </c>
      <c r="P107" s="9" t="s">
        <v>356</v>
      </c>
      <c r="Q107" s="9" t="s">
        <v>356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  <c r="AD107" s="9" t="b">
        <v>0</v>
      </c>
    </row>
    <row r="108" spans="1:30" x14ac:dyDescent="0.3">
      <c r="A108" s="9">
        <f t="shared" si="10"/>
        <v>107</v>
      </c>
      <c r="B108" s="9">
        <v>14</v>
      </c>
      <c r="C108" s="9" t="str" cm="1">
        <f t="array" ref="C108">GetValue("Tables","Name",B108)</f>
        <v>Columns</v>
      </c>
      <c r="D108" s="9" t="str" cm="1">
        <f t="array" ref="D108">GetValue("Tables","Alias",B108)</f>
        <v>Column</v>
      </c>
      <c r="E108" s="9">
        <f t="shared" si="11"/>
        <v>95</v>
      </c>
      <c r="F108" s="9">
        <v>6</v>
      </c>
      <c r="G108" s="9" t="str" cm="1">
        <f t="array" ref="G108">GetValue("Domains","Name",F108)</f>
        <v>Boolean</v>
      </c>
      <c r="H108" s="9" t="str" cm="1">
        <f t="array" ref="H108">GetValue("Domains","#CategoryName",F108)</f>
        <v>boolean</v>
      </c>
      <c r="I108" s="9" t="str" cm="1">
        <f t="array" ref="I108">GetValue("Domains","#TypeName",F108)</f>
        <v>bit</v>
      </c>
      <c r="J108" s="9" t="str" cm="1">
        <f t="array" ref="J108">GetValue("Domains","#DataType",F108)</f>
        <v>bit</v>
      </c>
      <c r="K108" s="9"/>
      <c r="L108" s="9" t="str" cm="1">
        <f t="array" ref="L108">GetValue("Tables","Name",K108)</f>
        <v/>
      </c>
      <c r="M108" s="9" t="s">
        <v>153</v>
      </c>
      <c r="N108" s="9"/>
      <c r="O108" s="9" t="s">
        <v>257</v>
      </c>
      <c r="P108" s="9" t="s">
        <v>357</v>
      </c>
      <c r="Q108" s="9" t="s">
        <v>357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  <c r="AD108" s="9" t="b">
        <v>0</v>
      </c>
    </row>
    <row r="109" spans="1:30" x14ac:dyDescent="0.3">
      <c r="A109" s="9">
        <f t="shared" si="10"/>
        <v>108</v>
      </c>
      <c r="B109" s="9">
        <v>14</v>
      </c>
      <c r="C109" s="9" t="str" cm="1">
        <f t="array" ref="C109">GetValue("Tables","Name",B109)</f>
        <v>Columns</v>
      </c>
      <c r="D109" s="9" t="str" cm="1">
        <f t="array" ref="D109">GetValue("Tables","Alias",B109)</f>
        <v>Column</v>
      </c>
      <c r="E109" s="9">
        <f t="shared" si="11"/>
        <v>100</v>
      </c>
      <c r="F109" s="9">
        <v>6</v>
      </c>
      <c r="G109" s="9" t="str" cm="1">
        <f t="array" ref="G109">GetValue("Domains","Name",F109)</f>
        <v>Boolean</v>
      </c>
      <c r="H109" s="9" t="str" cm="1">
        <f t="array" ref="H109">GetValue("Domains","#CategoryName",F109)</f>
        <v>boolean</v>
      </c>
      <c r="I109" s="9" t="str" cm="1">
        <f t="array" ref="I109">GetValue("Domains","#TypeName",F109)</f>
        <v>bit</v>
      </c>
      <c r="J109" s="9" t="str" cm="1">
        <f t="array" ref="J109">GetValue("Domains","#DataType",F109)</f>
        <v>bit</v>
      </c>
      <c r="K109" s="9"/>
      <c r="L109" s="9" t="str" cm="1">
        <f t="array" ref="L109">GetValue("Tables","Name",K109)</f>
        <v/>
      </c>
      <c r="M109" s="9" t="s">
        <v>348</v>
      </c>
      <c r="N109" s="9"/>
      <c r="O109" s="9" t="s">
        <v>351</v>
      </c>
      <c r="P109" s="9" t="s">
        <v>358</v>
      </c>
      <c r="Q109" s="9" t="s">
        <v>358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  <c r="AD109" s="9" t="b">
        <v>0</v>
      </c>
    </row>
    <row r="110" spans="1:30" x14ac:dyDescent="0.3">
      <c r="A110" s="9">
        <f t="shared" si="10"/>
        <v>109</v>
      </c>
      <c r="B110" s="9">
        <v>14</v>
      </c>
      <c r="C110" s="9" t="str" cm="1">
        <f t="array" ref="C110">GetValue("Tables","Name",B110)</f>
        <v>Columns</v>
      </c>
      <c r="D110" s="9" t="str" cm="1">
        <f t="array" ref="D110">GetValue("Tables","Alias",B110)</f>
        <v>Column</v>
      </c>
      <c r="E110" s="9">
        <f t="shared" si="11"/>
        <v>105</v>
      </c>
      <c r="F110" s="9">
        <v>6</v>
      </c>
      <c r="G110" s="9" t="str" cm="1">
        <f t="array" ref="G110">GetValue("Domains","Name",F110)</f>
        <v>Boolean</v>
      </c>
      <c r="H110" s="9" t="str" cm="1">
        <f t="array" ref="H110">GetValue("Domains","#CategoryName",F110)</f>
        <v>boolean</v>
      </c>
      <c r="I110" s="9" t="str" cm="1">
        <f t="array" ref="I110">GetValue("Domains","#TypeName",F110)</f>
        <v>bit</v>
      </c>
      <c r="J110" s="9" t="str" cm="1">
        <f t="array" ref="J110">GetValue("Domains","#DataType",F110)</f>
        <v>bit</v>
      </c>
      <c r="K110" s="9"/>
      <c r="L110" s="9" t="str" cm="1">
        <f t="array" ref="L110">GetValue("Tables","Name",K110)</f>
        <v/>
      </c>
      <c r="M110" s="9" t="s">
        <v>154</v>
      </c>
      <c r="N110" s="9"/>
      <c r="O110" s="9" t="s">
        <v>258</v>
      </c>
      <c r="P110" s="9" t="s">
        <v>359</v>
      </c>
      <c r="Q110" s="9" t="s">
        <v>359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  <c r="AD110" s="9" t="b">
        <v>0</v>
      </c>
    </row>
    <row r="111" spans="1:30" x14ac:dyDescent="0.3">
      <c r="A111" s="9">
        <f t="shared" si="10"/>
        <v>110</v>
      </c>
      <c r="B111" s="9">
        <v>14</v>
      </c>
      <c r="C111" s="9" t="str" cm="1">
        <f t="array" ref="C111">GetValue("Tables","Name",B111)</f>
        <v>Columns</v>
      </c>
      <c r="D111" s="9" t="str" cm="1">
        <f t="array" ref="D111">GetValue("Tables","Alias",B111)</f>
        <v>Column</v>
      </c>
      <c r="E111" s="9">
        <f t="shared" si="11"/>
        <v>110</v>
      </c>
      <c r="F111" s="9">
        <v>6</v>
      </c>
      <c r="G111" s="9" t="str" cm="1">
        <f t="array" ref="G111">GetValue("Domains","Name",F111)</f>
        <v>Boolean</v>
      </c>
      <c r="H111" s="9" t="str" cm="1">
        <f t="array" ref="H111">GetValue("Domains","#CategoryName",F111)</f>
        <v>boolean</v>
      </c>
      <c r="I111" s="9" t="str" cm="1">
        <f t="array" ref="I111">GetValue("Domains","#TypeName",F111)</f>
        <v>bit</v>
      </c>
      <c r="J111" s="9" t="str" cm="1">
        <f t="array" ref="J111">GetValue("Domains","#DataType",F111)</f>
        <v>bit</v>
      </c>
      <c r="K111" s="9"/>
      <c r="L111" s="9" t="str" cm="1">
        <f t="array" ref="L111">GetValue("Tables","Name",K111)</f>
        <v/>
      </c>
      <c r="M111" s="9" t="s">
        <v>384</v>
      </c>
      <c r="N111" s="9"/>
      <c r="O111" s="9" t="s">
        <v>383</v>
      </c>
      <c r="P111" s="9" t="s">
        <v>386</v>
      </c>
      <c r="Q111" s="9" t="s">
        <v>386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  <c r="AD111" s="9" t="b">
        <v>0</v>
      </c>
    </row>
    <row r="112" spans="1:30" x14ac:dyDescent="0.3">
      <c r="A112" s="9">
        <f t="shared" si="10"/>
        <v>111</v>
      </c>
      <c r="B112" s="9">
        <v>14</v>
      </c>
      <c r="C112" s="9" t="str" cm="1">
        <f t="array" ref="C112">GetValue("Tables","Name",B112)</f>
        <v>Columns</v>
      </c>
      <c r="D112" s="9" t="str" cm="1">
        <f t="array" ref="D112">GetValue("Tables","Alias",B112)</f>
        <v>Column</v>
      </c>
      <c r="E112" s="9">
        <f t="shared" si="11"/>
        <v>115</v>
      </c>
      <c r="F112" s="9">
        <v>6</v>
      </c>
      <c r="G112" s="9" t="str" cm="1">
        <f t="array" ref="G112">GetValue("Domains","Name",F112)</f>
        <v>Boolean</v>
      </c>
      <c r="H112" s="9" t="str" cm="1">
        <f t="array" ref="H112">GetValue("Domains","#CategoryName",F112)</f>
        <v>boolean</v>
      </c>
      <c r="I112" s="9" t="str" cm="1">
        <f t="array" ref="I112">GetValue("Domains","#TypeName",F112)</f>
        <v>bit</v>
      </c>
      <c r="J112" s="9" t="str" cm="1">
        <f t="array" ref="J112">GetValue("Domains","#DataType",F112)</f>
        <v>bit</v>
      </c>
      <c r="K112" s="9"/>
      <c r="L112" s="9" t="str" cm="1">
        <f t="array" ref="L112">GetValue("Tables","Name",K112)</f>
        <v/>
      </c>
      <c r="M112" s="9" t="s">
        <v>542</v>
      </c>
      <c r="N112" s="9"/>
      <c r="O112" s="9" t="s">
        <v>543</v>
      </c>
      <c r="P112" s="9" t="s">
        <v>544</v>
      </c>
      <c r="Q112" s="9" t="s">
        <v>544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  <c r="AD112" s="9" t="b">
        <v>0</v>
      </c>
    </row>
    <row r="113" spans="1:30" x14ac:dyDescent="0.3">
      <c r="A113" s="7">
        <f t="shared" si="10"/>
        <v>112</v>
      </c>
      <c r="B113" s="7">
        <v>15</v>
      </c>
      <c r="C113" s="7" t="str" cm="1">
        <f t="array" ref="C113">GetValue("Tables","Name",B113)</f>
        <v>Indexes</v>
      </c>
      <c r="D113" s="8" t="str" cm="1">
        <f t="array" ref="D113">GetValue("Tables","Alias",B113)</f>
        <v>Index</v>
      </c>
      <c r="E113" s="7">
        <v>5</v>
      </c>
      <c r="F113" s="7">
        <v>1</v>
      </c>
      <c r="G113" s="7" t="str" cm="1">
        <f t="array" ref="G113">GetValue("Domains","Name",F113)</f>
        <v>BigInteger</v>
      </c>
      <c r="H113" s="7" t="str" cm="1">
        <f t="array" ref="H113">GetValue("Domains","#CategoryName",F113)</f>
        <v>number</v>
      </c>
      <c r="I113" s="7" t="str" cm="1">
        <f t="array" ref="I113">GetValue("Domains","#TypeName",F113)</f>
        <v>bigint</v>
      </c>
      <c r="J113" s="7" t="str" cm="1">
        <f t="array" ref="J113">GetValue("Domains","#DataType",F113)</f>
        <v>bigint</v>
      </c>
      <c r="K113" s="7"/>
      <c r="L113" s="7" t="str" cm="1">
        <f t="array" ref="L113">GetValue("Tables","Name",K113)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  <c r="AD113" s="7" t="b">
        <v>0</v>
      </c>
    </row>
    <row r="114" spans="1:30" x14ac:dyDescent="0.3">
      <c r="A114" s="7">
        <f t="shared" si="10"/>
        <v>113</v>
      </c>
      <c r="B114" s="7">
        <v>15</v>
      </c>
      <c r="C114" s="7" t="str" cm="1">
        <f t="array" ref="C114">GetValue("Tables","Name",B114)</f>
        <v>Indexes</v>
      </c>
      <c r="D114" s="8" t="str" cm="1">
        <f t="array" ref="D114">GetValue("Tables","Alias",B114)</f>
        <v>Index</v>
      </c>
      <c r="E114" s="7">
        <f>E113+5</f>
        <v>10</v>
      </c>
      <c r="F114" s="7">
        <v>1</v>
      </c>
      <c r="G114" s="7" t="str" cm="1">
        <f t="array" ref="G114">GetValue("Domains","Name",F114)</f>
        <v>BigInteger</v>
      </c>
      <c r="H114" s="7" t="str" cm="1">
        <f t="array" ref="H114">GetValue("Domains","#CategoryName",F114)</f>
        <v>number</v>
      </c>
      <c r="I114" s="7" t="str" cm="1">
        <f t="array" ref="I114">GetValue("Domains","#TypeName",F114)</f>
        <v>bigint</v>
      </c>
      <c r="J114" s="7" t="str" cm="1">
        <f t="array" ref="J114">GetValue("Domains","#DataType",F114)</f>
        <v>bigint</v>
      </c>
      <c r="K114" s="7">
        <v>12</v>
      </c>
      <c r="L114" s="7" t="str" cm="1">
        <f t="array" ref="L114">GetValue("Tables","Name",K114)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  <c r="AD114" s="7" t="b">
        <v>0</v>
      </c>
    </row>
    <row r="115" spans="1:30" x14ac:dyDescent="0.3">
      <c r="A115" s="7">
        <f t="shared" si="10"/>
        <v>114</v>
      </c>
      <c r="B115" s="7">
        <v>15</v>
      </c>
      <c r="C115" s="7" t="str" cm="1">
        <f t="array" ref="C115">GetValue("Tables","Name",B115)</f>
        <v>Indexes</v>
      </c>
      <c r="D115" s="8" t="str" cm="1">
        <f t="array" ref="D115">GetValue("Tables","Alias",B115)</f>
        <v>Index</v>
      </c>
      <c r="E115" s="7">
        <f>E114+5</f>
        <v>15</v>
      </c>
      <c r="F115" s="7">
        <v>10</v>
      </c>
      <c r="G115" s="7" t="str" cm="1">
        <f t="array" ref="G115">GetValue("Domains","Name",F115)</f>
        <v>Nvarchar(50)</v>
      </c>
      <c r="H115" s="7" t="str" cm="1">
        <f t="array" ref="H115">GetValue("Domains","#CategoryName",F115)</f>
        <v>string</v>
      </c>
      <c r="I115" s="7" t="str" cm="1">
        <f t="array" ref="I115">GetValue("Domains","#TypeName",F115)</f>
        <v>nvarchar</v>
      </c>
      <c r="J115" s="7" t="str" cm="1">
        <f t="array" ref="J115">GetValue("Domains","#DataType",F115)</f>
        <v>nvarchar(50)</v>
      </c>
      <c r="K115" s="7"/>
      <c r="L115" s="7" t="str" cm="1">
        <f t="array" ref="L115">GetValue("Tables","Name",K115)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  <c r="AD115" s="7" t="b">
        <v>0</v>
      </c>
    </row>
    <row r="116" spans="1:30" x14ac:dyDescent="0.3">
      <c r="A116" s="7">
        <f t="shared" si="10"/>
        <v>115</v>
      </c>
      <c r="B116" s="7">
        <v>15</v>
      </c>
      <c r="C116" s="7" t="str" cm="1">
        <f t="array" ref="C116">GetValue("Tables","Name",B116)</f>
        <v>Indexes</v>
      </c>
      <c r="D116" s="8" t="str" cm="1">
        <f t="array" ref="D116">GetValue("Tables","Alias",B116)</f>
        <v>Index</v>
      </c>
      <c r="E116" s="7">
        <f>E115+5</f>
        <v>20</v>
      </c>
      <c r="F116" s="7">
        <v>6</v>
      </c>
      <c r="G116" s="7" t="str" cm="1">
        <f t="array" ref="G116">GetValue("Domains","Name",F116)</f>
        <v>Boolean</v>
      </c>
      <c r="H116" s="7" t="str" cm="1">
        <f t="array" ref="H116">GetValue("Domains","#CategoryName",F116)</f>
        <v>boolean</v>
      </c>
      <c r="I116" s="7" t="str" cm="1">
        <f t="array" ref="I116">GetValue("Domains","#TypeName",F116)</f>
        <v>bit</v>
      </c>
      <c r="J116" s="7" t="str" cm="1">
        <f t="array" ref="J116">GetValue("Domains","#DataType",F116)</f>
        <v>bit</v>
      </c>
      <c r="K116" s="7"/>
      <c r="L116" s="7" t="str" cm="1">
        <f t="array" ref="L116">GetValue("Tables","Name",K116)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  <c r="AD116" s="7" t="b">
        <v>0</v>
      </c>
    </row>
    <row r="117" spans="1:30" x14ac:dyDescent="0.3">
      <c r="A117" s="9">
        <f t="shared" si="10"/>
        <v>116</v>
      </c>
      <c r="B117" s="9">
        <v>16</v>
      </c>
      <c r="C117" s="9" t="str" cm="1">
        <f t="array" ref="C117">GetValue("Tables","Name",B117)</f>
        <v>Indexkeys</v>
      </c>
      <c r="D117" s="9" t="str" cm="1">
        <f t="array" ref="D117">GetValue("Tables","Alias",B117)</f>
        <v>Indexkey</v>
      </c>
      <c r="E117" s="9">
        <v>5</v>
      </c>
      <c r="F117" s="9">
        <v>1</v>
      </c>
      <c r="G117" s="9" t="str" cm="1">
        <f t="array" ref="G117">GetValue("Domains","Name",F117)</f>
        <v>BigInteger</v>
      </c>
      <c r="H117" s="9" t="str" cm="1">
        <f t="array" ref="H117">GetValue("Domains","#CategoryName",F117)</f>
        <v>number</v>
      </c>
      <c r="I117" s="9" t="str" cm="1">
        <f t="array" ref="I117">GetValue("Domains","#TypeName",F117)</f>
        <v>bigint</v>
      </c>
      <c r="J117" s="9" t="str" cm="1">
        <f t="array" ref="J117">GetValue("Domains","#DataType",F117)</f>
        <v>bigint</v>
      </c>
      <c r="K117" s="9"/>
      <c r="L117" s="9" t="str" cm="1">
        <f t="array" ref="L117">GetValue("Tables","Name",K117)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  <c r="AD117" s="9" t="b">
        <v>0</v>
      </c>
    </row>
    <row r="118" spans="1:30" x14ac:dyDescent="0.3">
      <c r="A118" s="9">
        <f t="shared" si="10"/>
        <v>117</v>
      </c>
      <c r="B118" s="9">
        <v>16</v>
      </c>
      <c r="C118" s="9" t="str" cm="1">
        <f t="array" ref="C118">GetValue("Tables","Name",B118)</f>
        <v>Indexkeys</v>
      </c>
      <c r="D118" s="9" t="str" cm="1">
        <f t="array" ref="D118">GetValue("Tables","Alias",B118)</f>
        <v>Indexkey</v>
      </c>
      <c r="E118" s="9">
        <f>E117+5</f>
        <v>10</v>
      </c>
      <c r="F118" s="9">
        <v>1</v>
      </c>
      <c r="G118" s="9" t="str" cm="1">
        <f t="array" ref="G118">GetValue("Domains","Name",F118)</f>
        <v>BigInteger</v>
      </c>
      <c r="H118" s="9" t="str" cm="1">
        <f t="array" ref="H118">GetValue("Domains","#CategoryName",F118)</f>
        <v>number</v>
      </c>
      <c r="I118" s="9" t="str" cm="1">
        <f t="array" ref="I118">GetValue("Domains","#TypeName",F118)</f>
        <v>bigint</v>
      </c>
      <c r="J118" s="9" t="str" cm="1">
        <f t="array" ref="J118">GetValue("Domains","#DataType",F118)</f>
        <v>bigint</v>
      </c>
      <c r="K118" s="9">
        <v>15</v>
      </c>
      <c r="L118" s="9" t="str" cm="1">
        <f t="array" ref="L118">GetValue("Tables","Name",K118)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  <c r="AD118" s="9" t="b">
        <v>0</v>
      </c>
    </row>
    <row r="119" spans="1:30" x14ac:dyDescent="0.3">
      <c r="A119" s="9">
        <f t="shared" si="10"/>
        <v>118</v>
      </c>
      <c r="B119" s="9">
        <v>16</v>
      </c>
      <c r="C119" s="9" t="str" cm="1">
        <f t="array" ref="C119">GetValue("Tables","Name",B119)</f>
        <v>Indexkeys</v>
      </c>
      <c r="D119" s="9" t="str" cm="1">
        <f t="array" ref="D119">GetValue("Tables","Alias",B119)</f>
        <v>Indexkey</v>
      </c>
      <c r="E119" s="9">
        <f>E118+5</f>
        <v>15</v>
      </c>
      <c r="F119" s="9">
        <v>4</v>
      </c>
      <c r="G119" s="9" t="str" cm="1">
        <f t="array" ref="G119">GetValue("Domains","Name",F119)</f>
        <v>SmallInteger</v>
      </c>
      <c r="H119" s="9" t="str" cm="1">
        <f t="array" ref="H119">GetValue("Domains","#CategoryName",F119)</f>
        <v>number</v>
      </c>
      <c r="I119" s="9" t="str" cm="1">
        <f t="array" ref="I119">GetValue("Domains","#TypeName",F119)</f>
        <v>smallint</v>
      </c>
      <c r="J119" s="9" t="str" cm="1">
        <f t="array" ref="J119">GetValue("Domains","#DataType",F119)</f>
        <v>smallint</v>
      </c>
      <c r="K119" s="9"/>
      <c r="L119" s="9" t="str" cm="1">
        <f t="array" ref="L119">GetValue("Tables","Name",K119)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  <c r="AD119" s="9" t="b">
        <v>0</v>
      </c>
    </row>
    <row r="120" spans="1:30" x14ac:dyDescent="0.3">
      <c r="A120" s="9">
        <f t="shared" si="10"/>
        <v>119</v>
      </c>
      <c r="B120" s="9">
        <v>16</v>
      </c>
      <c r="C120" s="9" t="str" cm="1">
        <f t="array" ref="C120">GetValue("Tables","Name",B120)</f>
        <v>Indexkeys</v>
      </c>
      <c r="D120" s="9" t="str" cm="1">
        <f t="array" ref="D120">GetValue("Tables","Alias",B120)</f>
        <v>Indexkey</v>
      </c>
      <c r="E120" s="9">
        <f>E119+5</f>
        <v>20</v>
      </c>
      <c r="F120" s="9">
        <v>1</v>
      </c>
      <c r="G120" s="9" t="str" cm="1">
        <f t="array" ref="G120">GetValue("Domains","Name",F120)</f>
        <v>BigInteger</v>
      </c>
      <c r="H120" s="9" t="str" cm="1">
        <f t="array" ref="H120">GetValue("Domains","#CategoryName",F120)</f>
        <v>number</v>
      </c>
      <c r="I120" s="9" t="str" cm="1">
        <f t="array" ref="I120">GetValue("Domains","#TypeName",F120)</f>
        <v>bigint</v>
      </c>
      <c r="J120" s="9" t="str" cm="1">
        <f t="array" ref="J120">GetValue("Domains","#DataType",F120)</f>
        <v>bigint</v>
      </c>
      <c r="K120" s="9">
        <v>14</v>
      </c>
      <c r="L120" s="9" t="str" cm="1">
        <f t="array" ref="L120">GetValue("Tables","Name",K120)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  <c r="AD120" s="9" t="b">
        <v>0</v>
      </c>
    </row>
    <row r="121" spans="1:30" x14ac:dyDescent="0.3">
      <c r="A121" s="9">
        <f t="shared" si="10"/>
        <v>120</v>
      </c>
      <c r="B121" s="9">
        <v>16</v>
      </c>
      <c r="C121" s="9" t="str" cm="1">
        <f t="array" ref="C121">GetValue("Tables","Name",B121)</f>
        <v>Indexkeys</v>
      </c>
      <c r="D121" s="9" t="str" cm="1">
        <f t="array" ref="D121">GetValue("Tables","Alias",B121)</f>
        <v>Indexkey</v>
      </c>
      <c r="E121" s="9">
        <f>E120+5</f>
        <v>25</v>
      </c>
      <c r="F121" s="9">
        <v>6</v>
      </c>
      <c r="G121" s="9" t="str" cm="1">
        <f t="array" ref="G121">GetValue("Domains","Name",F121)</f>
        <v>Boolean</v>
      </c>
      <c r="H121" s="9" t="str" cm="1">
        <f t="array" ref="H121">GetValue("Domains","#CategoryName",F121)</f>
        <v>boolean</v>
      </c>
      <c r="I121" s="9" t="str" cm="1">
        <f t="array" ref="I121">GetValue("Domains","#TypeName",F121)</f>
        <v>bit</v>
      </c>
      <c r="J121" s="9" t="str" cm="1">
        <f t="array" ref="J121">GetValue("Domains","#DataType",F121)</f>
        <v>bit</v>
      </c>
      <c r="K121" s="9"/>
      <c r="L121" s="9" t="str" cm="1">
        <f t="array" ref="L121">GetValue("Tables","Name",K121)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  <c r="AD121" s="9" t="b">
        <v>0</v>
      </c>
    </row>
    <row r="122" spans="1:30" x14ac:dyDescent="0.3">
      <c r="A122" s="7">
        <f t="shared" si="10"/>
        <v>121</v>
      </c>
      <c r="B122" s="7">
        <v>17</v>
      </c>
      <c r="C122" s="7" t="str" cm="1">
        <f t="array" ref="C122">GetValue("Tables","Name",B122)</f>
        <v>Sessions</v>
      </c>
      <c r="D122" s="8" t="str" cm="1">
        <f t="array" ref="D122">GetValue("Tables","Alias",B122)</f>
        <v>Session</v>
      </c>
      <c r="E122" s="7">
        <v>5</v>
      </c>
      <c r="F122" s="7">
        <v>1</v>
      </c>
      <c r="G122" s="7" t="str" cm="1">
        <f t="array" ref="G122">GetValue("Domains","Name",F122)</f>
        <v>BigInteger</v>
      </c>
      <c r="H122" s="7" t="str" cm="1">
        <f t="array" ref="H122">GetValue("Domains","#CategoryName",F122)</f>
        <v>number</v>
      </c>
      <c r="I122" s="7" t="str" cm="1">
        <f t="array" ref="I122">GetValue("Domains","#TypeName",F122)</f>
        <v>bigint</v>
      </c>
      <c r="J122" s="7" t="str" cm="1">
        <f t="array" ref="J122">GetValue("Domains","#DataType",F122)</f>
        <v>bigint</v>
      </c>
      <c r="K122" s="7"/>
      <c r="L122" s="7" t="str" cm="1">
        <f t="array" ref="L122">GetValue("Tables","Name",K122)</f>
        <v/>
      </c>
      <c r="M122" s="7" t="s">
        <v>0</v>
      </c>
      <c r="N122" s="7"/>
      <c r="O122" s="7" t="s">
        <v>319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  <c r="AD122" s="7" t="b">
        <v>0</v>
      </c>
    </row>
    <row r="123" spans="1:30" x14ac:dyDescent="0.3">
      <c r="A123" s="7">
        <f t="shared" si="10"/>
        <v>122</v>
      </c>
      <c r="B123" s="7">
        <v>17</v>
      </c>
      <c r="C123" s="7" t="str" cm="1">
        <f t="array" ref="C123">GetValue("Tables","Name",B123)</f>
        <v>Sessions</v>
      </c>
      <c r="D123" s="8" t="str" cm="1">
        <f t="array" ref="D123">GetValue("Tables","Alias",B123)</f>
        <v>Session</v>
      </c>
      <c r="E123" s="7">
        <f>E122+5</f>
        <v>10</v>
      </c>
      <c r="F123" s="7">
        <v>1</v>
      </c>
      <c r="G123" s="7" t="str" cm="1">
        <f t="array" ref="G123">GetValue("Domains","Name",F123)</f>
        <v>BigInteger</v>
      </c>
      <c r="H123" s="7" t="str" cm="1">
        <f t="array" ref="H123">GetValue("Domains","#CategoryName",F123)</f>
        <v>number</v>
      </c>
      <c r="I123" s="7" t="str" cm="1">
        <f t="array" ref="I123">GetValue("Domains","#TypeName",F123)</f>
        <v>bigint</v>
      </c>
      <c r="J123" s="7" t="str" cm="1">
        <f t="array" ref="J123">GetValue("Domains","#DataType",F123)</f>
        <v>bigint</v>
      </c>
      <c r="K123" s="7">
        <v>5</v>
      </c>
      <c r="L123" s="7" t="str" cm="1">
        <f t="array" ref="L123">GetValue("Tables","Name",K123)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  <c r="AD123" s="7" t="b">
        <v>0</v>
      </c>
    </row>
    <row r="124" spans="1:30" x14ac:dyDescent="0.3">
      <c r="A124" s="7">
        <f t="shared" si="10"/>
        <v>123</v>
      </c>
      <c r="B124" s="7">
        <v>17</v>
      </c>
      <c r="C124" s="7" t="str" cm="1">
        <f t="array" ref="C124">GetValue("Tables","Name",B124)</f>
        <v>Sessions</v>
      </c>
      <c r="D124" s="8" t="str" cm="1">
        <f t="array" ref="D124">GetValue("Tables","Alias",B124)</f>
        <v>Session</v>
      </c>
      <c r="E124" s="7">
        <f>E123+5</f>
        <v>15</v>
      </c>
      <c r="F124" s="7">
        <v>1</v>
      </c>
      <c r="G124" s="7" t="str" cm="1">
        <f t="array" ref="G124">GetValue("Domains","Name",F124)</f>
        <v>BigInteger</v>
      </c>
      <c r="H124" s="7" t="str" cm="1">
        <f t="array" ref="H124">GetValue("Domains","#CategoryName",F124)</f>
        <v>number</v>
      </c>
      <c r="I124" s="7" t="str" cm="1">
        <f t="array" ref="I124">GetValue("Domains","#TypeName",F124)</f>
        <v>bigint</v>
      </c>
      <c r="J124" s="7" t="str" cm="1">
        <f t="array" ref="J124">GetValue("Domains","#DataType",F124)</f>
        <v>bigint</v>
      </c>
      <c r="K124" s="7">
        <v>7</v>
      </c>
      <c r="L124" s="7" t="str" cm="1">
        <f t="array" ref="L124">GetValue("Tables","Name",K124)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  <c r="AD124" s="7" t="b">
        <v>0</v>
      </c>
    </row>
    <row r="125" spans="1:30" x14ac:dyDescent="0.3">
      <c r="A125" s="7">
        <f t="shared" si="10"/>
        <v>124</v>
      </c>
      <c r="B125" s="7">
        <v>17</v>
      </c>
      <c r="C125" s="7" t="str" cm="1">
        <f t="array" ref="C125">GetValue("Tables","Name",B125)</f>
        <v>Sessions</v>
      </c>
      <c r="D125" s="8" t="str" cm="1">
        <f t="array" ref="D125">GetValue("Tables","Alias",B125)</f>
        <v>Session</v>
      </c>
      <c r="E125" s="7">
        <f t="shared" ref="E125:E127" si="12">E124+5</f>
        <v>20</v>
      </c>
      <c r="F125" s="7">
        <v>23</v>
      </c>
      <c r="G125" s="7" t="str" cm="1">
        <f t="array" ref="G125">GetValue("Domains","Name",F125)</f>
        <v>Nvarchar(512)</v>
      </c>
      <c r="H125" s="7" t="str" cm="1">
        <f t="array" ref="H125">GetValue("Domains","#CategoryName",F125)</f>
        <v>string</v>
      </c>
      <c r="I125" s="7" t="str" cm="1">
        <f t="array" ref="I125">GetValue("Domains","#TypeName",F125)</f>
        <v>nvarchar</v>
      </c>
      <c r="J125" s="7" t="str" cm="1">
        <f t="array" ref="J125">GetValue("Domains","#DataType",F125)</f>
        <v>nvarchar(512)</v>
      </c>
      <c r="K125" s="7"/>
      <c r="L125" s="7" t="str" cm="1">
        <f t="array" ref="L125">GetValue("Tables","Name",K125)</f>
        <v/>
      </c>
      <c r="M125" s="7" t="s">
        <v>536</v>
      </c>
      <c r="N125" s="7"/>
      <c r="O125" s="7" t="s">
        <v>537</v>
      </c>
      <c r="P125" s="7" t="s">
        <v>539</v>
      </c>
      <c r="Q125" s="7" t="s">
        <v>539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  <c r="AD125" s="7" t="b">
        <v>0</v>
      </c>
    </row>
    <row r="126" spans="1:30" x14ac:dyDescent="0.3">
      <c r="A126" s="7">
        <f t="shared" si="10"/>
        <v>125</v>
      </c>
      <c r="B126" s="7">
        <v>17</v>
      </c>
      <c r="C126" s="7" t="str" cm="1">
        <f t="array" ref="C126">GetValue("Tables","Name",B126)</f>
        <v>Sessions</v>
      </c>
      <c r="D126" s="8" t="str" cm="1">
        <f t="array" ref="D126">GetValue("Tables","Alias",B126)</f>
        <v>Session</v>
      </c>
      <c r="E126" s="7">
        <f t="shared" si="12"/>
        <v>25</v>
      </c>
      <c r="F126" s="7">
        <v>11</v>
      </c>
      <c r="G126" s="7" t="str" cm="1">
        <f t="array" ref="G126">GetValue("Domains","Name",F126)</f>
        <v>Nvarchar(256)</v>
      </c>
      <c r="H126" s="7" t="str" cm="1">
        <f t="array" ref="H126">GetValue("Domains","#CategoryName",F126)</f>
        <v>string</v>
      </c>
      <c r="I126" s="7" t="str" cm="1">
        <f t="array" ref="I126">GetValue("Domains","#TypeName",F126)</f>
        <v>nvarchar</v>
      </c>
      <c r="J126" s="7" t="str" cm="1">
        <f t="array" ref="J126">GetValue("Domains","#DataType",F126)</f>
        <v>nvarchar(256)</v>
      </c>
      <c r="K126" s="7"/>
      <c r="L126" s="7" t="str" cm="1">
        <f t="array" ref="L126">GetValue("Tables","Name",K126)</f>
        <v/>
      </c>
      <c r="M126" s="7" t="s">
        <v>320</v>
      </c>
      <c r="N126" s="7"/>
      <c r="O126" s="7" t="s">
        <v>538</v>
      </c>
      <c r="P126" s="7" t="s">
        <v>540</v>
      </c>
      <c r="Q126" s="7" t="s">
        <v>540</v>
      </c>
      <c r="R126" s="14"/>
      <c r="S126" s="14"/>
      <c r="T126" s="14"/>
      <c r="U126" s="7" t="b">
        <v>0</v>
      </c>
      <c r="V126" s="7"/>
      <c r="W126" s="7" t="b">
        <v>0</v>
      </c>
      <c r="X126" s="7" t="b">
        <v>0</v>
      </c>
      <c r="Y126" s="7" t="b">
        <v>0</v>
      </c>
      <c r="Z126" s="7" t="b">
        <v>0</v>
      </c>
      <c r="AA126" s="7" t="b">
        <v>0</v>
      </c>
      <c r="AB126" s="7" t="b">
        <v>1</v>
      </c>
      <c r="AC126" s="7"/>
      <c r="AD126" s="7" t="b">
        <v>0</v>
      </c>
    </row>
    <row r="127" spans="1:30" x14ac:dyDescent="0.3">
      <c r="A127" s="7">
        <f t="shared" si="10"/>
        <v>126</v>
      </c>
      <c r="B127" s="7">
        <v>17</v>
      </c>
      <c r="C127" s="7" t="str" cm="1">
        <f t="array" ref="C127">GetValue("Tables","Name",B127)</f>
        <v>Sessions</v>
      </c>
      <c r="D127" s="8" t="str" cm="1">
        <f t="array" ref="D127">GetValue("Tables","Alias",B127)</f>
        <v>Session</v>
      </c>
      <c r="E127" s="7">
        <f t="shared" si="12"/>
        <v>30</v>
      </c>
      <c r="F127" s="7">
        <v>6</v>
      </c>
      <c r="G127" s="7" t="str" cm="1">
        <f t="array" ref="G127">GetValue("Domains","Name",F127)</f>
        <v>Boolean</v>
      </c>
      <c r="H127" s="7" t="str" cm="1">
        <f t="array" ref="H127">GetValue("Domains","#CategoryName",F127)</f>
        <v>boolean</v>
      </c>
      <c r="I127" s="7" t="str" cm="1">
        <f t="array" ref="I127">GetValue("Domains","#TypeName",F127)</f>
        <v>bit</v>
      </c>
      <c r="J127" s="7" t="str" cm="1">
        <f t="array" ref="J127">GetValue("Domains","#DataType",F127)</f>
        <v>bit</v>
      </c>
      <c r="K127" s="7"/>
      <c r="L127" s="7" t="str" cm="1">
        <f t="array" ref="L127">GetValue("Tables","Name",K127)</f>
        <v/>
      </c>
      <c r="M127" s="7" t="s">
        <v>324</v>
      </c>
      <c r="N127" s="7"/>
      <c r="O127" s="7" t="s">
        <v>289</v>
      </c>
      <c r="P127" s="7" t="s">
        <v>289</v>
      </c>
      <c r="Q127" s="7" t="s">
        <v>289</v>
      </c>
      <c r="R127" s="14"/>
      <c r="S127" s="14" t="s">
        <v>35</v>
      </c>
      <c r="T127" s="14"/>
      <c r="U127" s="7"/>
      <c r="V127" s="7"/>
      <c r="W127" s="7" t="b">
        <v>1</v>
      </c>
      <c r="X127" s="7"/>
      <c r="Y127" s="7" t="b">
        <v>1</v>
      </c>
      <c r="Z127" s="7" t="b">
        <v>1</v>
      </c>
      <c r="AA127" s="7" t="b">
        <v>0</v>
      </c>
      <c r="AB127" s="7"/>
      <c r="AC127" s="7"/>
      <c r="AD127" s="7" t="b">
        <v>0</v>
      </c>
    </row>
    <row r="128" spans="1:30" x14ac:dyDescent="0.3">
      <c r="A128" s="9">
        <f t="shared" si="10"/>
        <v>127</v>
      </c>
      <c r="B128" s="9">
        <v>18</v>
      </c>
      <c r="C128" s="9" t="str" cm="1">
        <f t="array" ref="C128">GetValue("Tables","Name",B128)</f>
        <v>Transactions</v>
      </c>
      <c r="D128" s="9" t="str" cm="1">
        <f t="array" ref="D128">GetValue("Tables","Alias",B128)</f>
        <v>Transaction</v>
      </c>
      <c r="E128" s="9">
        <v>5</v>
      </c>
      <c r="F128" s="9">
        <v>1</v>
      </c>
      <c r="G128" s="9" t="str" cm="1">
        <f t="array" ref="G128">GetValue("Domains","Name",F128)</f>
        <v>BigInteger</v>
      </c>
      <c r="H128" s="9" t="str" cm="1">
        <f t="array" ref="H128">GetValue("Domains","#CategoryName",F128)</f>
        <v>number</v>
      </c>
      <c r="I128" s="9" t="str" cm="1">
        <f t="array" ref="I128">GetValue("Domains","#TypeName",F128)</f>
        <v>bigint</v>
      </c>
      <c r="J128" s="9" t="str" cm="1">
        <f t="array" ref="J128">GetValue("Domains","#DataType",F128)</f>
        <v>bigint</v>
      </c>
      <c r="K128" s="9"/>
      <c r="L128" s="9" t="str" cm="1">
        <f t="array" ref="L128">GetValue("Tables","Name",K128)</f>
        <v/>
      </c>
      <c r="M128" s="9" t="s">
        <v>0</v>
      </c>
      <c r="N128" s="9"/>
      <c r="O128" s="9" t="s">
        <v>425</v>
      </c>
      <c r="P128" s="9" t="s">
        <v>156</v>
      </c>
      <c r="Q128" s="9" t="s">
        <v>156</v>
      </c>
      <c r="R128" s="15"/>
      <c r="S128" s="16">
        <v>1</v>
      </c>
      <c r="T128" s="16"/>
      <c r="U128" s="9" t="b">
        <v>1</v>
      </c>
      <c r="V128" s="9" t="b">
        <v>1</v>
      </c>
      <c r="W128" s="9" t="b">
        <v>1</v>
      </c>
      <c r="X128" s="9"/>
      <c r="Y128" s="9" t="b">
        <v>1</v>
      </c>
      <c r="Z128" s="9" t="b">
        <v>0</v>
      </c>
      <c r="AA128" s="9" t="b">
        <v>0</v>
      </c>
      <c r="AB128" s="9"/>
      <c r="AC128" s="9" t="b">
        <v>0</v>
      </c>
      <c r="AD128" s="9" t="b">
        <v>0</v>
      </c>
    </row>
    <row r="129" spans="1:30" x14ac:dyDescent="0.3">
      <c r="A129" s="9">
        <f t="shared" si="10"/>
        <v>128</v>
      </c>
      <c r="B129" s="9">
        <v>18</v>
      </c>
      <c r="C129" s="9" t="str" cm="1">
        <f t="array" ref="C129">GetValue("Tables","Name",B129)</f>
        <v>Transactions</v>
      </c>
      <c r="D129" s="9" t="str" cm="1">
        <f t="array" ref="D129">GetValue("Tables","Alias",B129)</f>
        <v>Transaction</v>
      </c>
      <c r="E129" s="9">
        <f>E128+5</f>
        <v>10</v>
      </c>
      <c r="F129" s="9">
        <v>1</v>
      </c>
      <c r="G129" s="9" t="str" cm="1">
        <f t="array" ref="G129">GetValue("Domains","Name",F129)</f>
        <v>BigInteger</v>
      </c>
      <c r="H129" s="9" t="str" cm="1">
        <f t="array" ref="H129">GetValue("Domains","#CategoryName",F129)</f>
        <v>number</v>
      </c>
      <c r="I129" s="9" t="str" cm="1">
        <f t="array" ref="I129">GetValue("Domains","#TypeName",F129)</f>
        <v>bigint</v>
      </c>
      <c r="J129" s="9" t="str" cm="1">
        <f t="array" ref="J129">GetValue("Domains","#DataType",F129)</f>
        <v>bigint</v>
      </c>
      <c r="K129" s="9">
        <v>17</v>
      </c>
      <c r="L129" s="9" t="str" cm="1">
        <f t="array" ref="L129">GetValue("Tables","Name",K129)</f>
        <v>Sessions</v>
      </c>
      <c r="M129" s="9" t="s">
        <v>519</v>
      </c>
      <c r="N129" s="9"/>
      <c r="O129" s="9" t="s">
        <v>520</v>
      </c>
      <c r="P129" s="9" t="s">
        <v>521</v>
      </c>
      <c r="Q129" s="9" t="s">
        <v>521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  <c r="AD129" s="9" t="b">
        <v>0</v>
      </c>
    </row>
    <row r="130" spans="1:30" x14ac:dyDescent="0.3">
      <c r="A130" s="9">
        <f t="shared" si="10"/>
        <v>129</v>
      </c>
      <c r="B130" s="9">
        <v>18</v>
      </c>
      <c r="C130" s="9" t="str" cm="1">
        <f t="array" ref="C130">GetValue("Tables","Name",B130)</f>
        <v>Transactions</v>
      </c>
      <c r="D130" s="9" t="str" cm="1">
        <f t="array" ref="D130">GetValue("Tables","Alias",B130)</f>
        <v>Transaction</v>
      </c>
      <c r="E130" s="9">
        <f>E129+5</f>
        <v>15</v>
      </c>
      <c r="F130" s="9">
        <v>6</v>
      </c>
      <c r="G130" s="9" t="str" cm="1">
        <f t="array" ref="G130">GetValue("Domains","Name",F130)</f>
        <v>Boolean</v>
      </c>
      <c r="H130" s="9" t="str" cm="1">
        <f t="array" ref="H130">GetValue("Domains","#CategoryName",F130)</f>
        <v>boolean</v>
      </c>
      <c r="I130" s="9" t="str" cm="1">
        <f t="array" ref="I130">GetValue("Domains","#TypeName",F130)</f>
        <v>bit</v>
      </c>
      <c r="J130" s="9" t="str" cm="1">
        <f t="array" ref="J130">GetValue("Domains","#DataType",F130)</f>
        <v>bit</v>
      </c>
      <c r="K130" s="9"/>
      <c r="L130" s="9" t="str" cm="1">
        <f t="array" ref="L130">GetValue("Tables","Name",K130)</f>
        <v/>
      </c>
      <c r="M130" s="9" t="s">
        <v>418</v>
      </c>
      <c r="N130" s="9"/>
      <c r="O130" s="9" t="s">
        <v>422</v>
      </c>
      <c r="P130" s="9" t="s">
        <v>423</v>
      </c>
      <c r="Q130" s="9" t="s">
        <v>423</v>
      </c>
      <c r="R130" s="15"/>
      <c r="S130" s="16"/>
      <c r="T130" s="16"/>
      <c r="U130" s="9" t="b">
        <v>0</v>
      </c>
      <c r="V130" s="9" t="b">
        <v>0</v>
      </c>
      <c r="W130" s="9" t="b">
        <v>0</v>
      </c>
      <c r="X130" s="9"/>
      <c r="Y130" s="9" t="b">
        <v>0</v>
      </c>
      <c r="Z130" s="9" t="b">
        <v>0</v>
      </c>
      <c r="AA130" s="9" t="b">
        <v>0</v>
      </c>
      <c r="AB130" s="9"/>
      <c r="AC130" s="9" t="b">
        <v>0</v>
      </c>
      <c r="AD130" s="9" t="b">
        <v>0</v>
      </c>
    </row>
    <row r="131" spans="1:30" x14ac:dyDescent="0.3">
      <c r="A131" s="7">
        <f t="shared" si="10"/>
        <v>130</v>
      </c>
      <c r="B131" s="7">
        <v>19</v>
      </c>
      <c r="C131" s="7" t="str" cm="1">
        <f t="array" ref="C131">GetValue("Tables","Name",B131)</f>
        <v>Operations</v>
      </c>
      <c r="D131" s="8" t="str" cm="1">
        <f t="array" ref="D131">GetValue("Tables","Alias",B131)</f>
        <v>Operation</v>
      </c>
      <c r="E131" s="7">
        <v>5</v>
      </c>
      <c r="F131" s="7">
        <v>1</v>
      </c>
      <c r="G131" s="7" t="str" cm="1">
        <f t="array" ref="G131">GetValue("Domains","Name",F131)</f>
        <v>BigInteger</v>
      </c>
      <c r="H131" s="7" t="str" cm="1">
        <f t="array" ref="H131">GetValue("Domains","#CategoryName",F131)</f>
        <v>number</v>
      </c>
      <c r="I131" s="7" t="str" cm="1">
        <f t="array" ref="I131">GetValue("Domains","#TypeName",F131)</f>
        <v>bigint</v>
      </c>
      <c r="J131" s="7" t="str" cm="1">
        <f t="array" ref="J131">GetValue("Domains","#DataType",F131)</f>
        <v>bigint</v>
      </c>
      <c r="K131" s="7"/>
      <c r="L131" s="7" t="str" cm="1">
        <f t="array" ref="L131">GetValue("Tables","Name",K131)</f>
        <v/>
      </c>
      <c r="M131" s="7" t="s">
        <v>0</v>
      </c>
      <c r="N131" s="7"/>
      <c r="O131" s="7" t="s">
        <v>426</v>
      </c>
      <c r="P131" s="7" t="s">
        <v>156</v>
      </c>
      <c r="Q131" s="7" t="s">
        <v>156</v>
      </c>
      <c r="R131" s="14"/>
      <c r="S131" s="14">
        <v>1</v>
      </c>
      <c r="T131" s="14"/>
      <c r="U131" s="7" t="b">
        <v>1</v>
      </c>
      <c r="V131" s="7" t="b">
        <v>1</v>
      </c>
      <c r="W131" s="7" t="b">
        <v>1</v>
      </c>
      <c r="X131" s="7"/>
      <c r="Y131" s="7" t="b">
        <v>1</v>
      </c>
      <c r="Z131" s="7" t="b">
        <v>0</v>
      </c>
      <c r="AA131" s="7" t="b">
        <v>0</v>
      </c>
      <c r="AB131" s="7"/>
      <c r="AC131" s="7" t="b">
        <v>0</v>
      </c>
      <c r="AD131" s="7" t="b">
        <v>0</v>
      </c>
    </row>
    <row r="132" spans="1:30" x14ac:dyDescent="0.3">
      <c r="A132" s="7">
        <f t="shared" si="10"/>
        <v>131</v>
      </c>
      <c r="B132" s="7">
        <v>19</v>
      </c>
      <c r="C132" s="7" t="str" cm="1">
        <f t="array" ref="C132">GetValue("Tables","Name",B132)</f>
        <v>Operations</v>
      </c>
      <c r="D132" s="8" t="str" cm="1">
        <f t="array" ref="D132">GetValue("Tables","Alias",B132)</f>
        <v>Operation</v>
      </c>
      <c r="E132" s="7">
        <f>E131+5</f>
        <v>10</v>
      </c>
      <c r="F132" s="7">
        <v>1</v>
      </c>
      <c r="G132" s="7" t="str" cm="1">
        <f t="array" ref="G132">GetValue("Domains","Name",F132)</f>
        <v>BigInteger</v>
      </c>
      <c r="H132" s="7" t="str" cm="1">
        <f t="array" ref="H132">GetValue("Domains","#CategoryName",F132)</f>
        <v>number</v>
      </c>
      <c r="I132" s="7" t="str" cm="1">
        <f t="array" ref="I132">GetValue("Domains","#TypeName",F132)</f>
        <v>bigint</v>
      </c>
      <c r="J132" s="7" t="str" cm="1">
        <f t="array" ref="J132">GetValue("Domains","#DataType",F132)</f>
        <v>bigint</v>
      </c>
      <c r="K132" s="7">
        <v>18</v>
      </c>
      <c r="L132" s="7" t="str" cm="1">
        <f t="array" ref="L132">GetValue("Tables","Name",K132)</f>
        <v>Transactions</v>
      </c>
      <c r="M132" s="7" t="s">
        <v>419</v>
      </c>
      <c r="N132" s="7"/>
      <c r="O132" s="7" t="s">
        <v>425</v>
      </c>
      <c r="P132" s="7" t="s">
        <v>427</v>
      </c>
      <c r="Q132" s="7" t="s">
        <v>427</v>
      </c>
      <c r="R132" s="14"/>
      <c r="S132" s="14">
        <v>1</v>
      </c>
      <c r="T132" s="14"/>
      <c r="U132" s="7" t="b">
        <v>0</v>
      </c>
      <c r="V132" s="7" t="b">
        <v>0</v>
      </c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/>
      <c r="AC132" s="7" t="b">
        <v>0</v>
      </c>
      <c r="AD132" s="7" t="b">
        <v>0</v>
      </c>
    </row>
    <row r="133" spans="1:30" x14ac:dyDescent="0.3">
      <c r="A133" s="7">
        <f t="shared" si="10"/>
        <v>132</v>
      </c>
      <c r="B133" s="7">
        <v>19</v>
      </c>
      <c r="C133" s="7" t="str" cm="1">
        <f t="array" ref="C133">GetValue("Tables","Name",B133)</f>
        <v>Operations</v>
      </c>
      <c r="D133" s="8" t="str" cm="1">
        <f t="array" ref="D133">GetValue("Tables","Alias",B133)</f>
        <v>Operation</v>
      </c>
      <c r="E133" s="7">
        <f t="shared" ref="E133:E137" si="13">E132+5</f>
        <v>15</v>
      </c>
      <c r="F133" s="7">
        <v>9</v>
      </c>
      <c r="G133" s="7" t="str" cm="1">
        <f t="array" ref="G133">GetValue("Domains","Name",F133)</f>
        <v>Nvarchar(25)</v>
      </c>
      <c r="H133" s="7" t="str" cm="1">
        <f t="array" ref="H133">GetValue("Domains","#CategoryName",F133)</f>
        <v>string</v>
      </c>
      <c r="I133" s="7" t="str" cm="1">
        <f t="array" ref="I133">GetValue("Domains","#TypeName",F133)</f>
        <v>nvarchar</v>
      </c>
      <c r="J133" s="7" t="str" cm="1">
        <f t="array" ref="J133">GetValue("Domains","#DataType",F133)</f>
        <v>nvarchar(25)</v>
      </c>
      <c r="K133" s="7"/>
      <c r="L133" s="7" t="str" cm="1">
        <f t="array" ref="L133">GetValue("Tables","Name",K133)</f>
        <v/>
      </c>
      <c r="M133" s="7" t="s">
        <v>420</v>
      </c>
      <c r="N133" s="7"/>
      <c r="O133" s="7" t="s">
        <v>233</v>
      </c>
      <c r="P133" s="7" t="s">
        <v>237</v>
      </c>
      <c r="Q133" s="7" t="s">
        <v>237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  <c r="AD133" s="7" t="b">
        <v>0</v>
      </c>
    </row>
    <row r="134" spans="1:30" x14ac:dyDescent="0.3">
      <c r="A134" s="7">
        <f t="shared" si="10"/>
        <v>133</v>
      </c>
      <c r="B134" s="7">
        <v>19</v>
      </c>
      <c r="C134" s="7" t="str" cm="1">
        <f t="array" ref="C134">GetValue("Tables","Name",B134)</f>
        <v>Operations</v>
      </c>
      <c r="D134" s="8" t="str" cm="1">
        <f t="array" ref="D134">GetValue("Tables","Alias",B134)</f>
        <v>Operation</v>
      </c>
      <c r="E134" s="7">
        <f t="shared" si="13"/>
        <v>20</v>
      </c>
      <c r="F134" s="7">
        <v>21</v>
      </c>
      <c r="G134" s="7" t="str" cm="1">
        <f t="array" ref="G134">GetValue("Domains","Name",F134)</f>
        <v>Operation</v>
      </c>
      <c r="H134" s="7" t="str" cm="1">
        <f t="array" ref="H134">GetValue("Domains","#CategoryName",F134)</f>
        <v>string</v>
      </c>
      <c r="I134" s="7" t="str" cm="1">
        <f t="array" ref="I134">GetValue("Domains","#TypeName",F134)</f>
        <v>nvarchar</v>
      </c>
      <c r="J134" s="7" t="str" cm="1">
        <f t="array" ref="J134">GetValue("Domains","#DataType",F134)</f>
        <v>nvarchar(15)</v>
      </c>
      <c r="K134" s="7"/>
      <c r="L134" s="7" t="str" cm="1">
        <f t="array" ref="L134">GetValue("Tables","Name",K134)</f>
        <v/>
      </c>
      <c r="M134" s="7" t="s">
        <v>91</v>
      </c>
      <c r="N134" s="7"/>
      <c r="O134" s="7" t="s">
        <v>428</v>
      </c>
      <c r="P134" s="7" t="s">
        <v>211</v>
      </c>
      <c r="Q134" s="7" t="s">
        <v>211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  <c r="AD134" s="7" t="b">
        <v>0</v>
      </c>
    </row>
    <row r="135" spans="1:30" x14ac:dyDescent="0.3">
      <c r="A135" s="7">
        <f t="shared" si="10"/>
        <v>134</v>
      </c>
      <c r="B135" s="7">
        <v>19</v>
      </c>
      <c r="C135" s="7" t="str" cm="1">
        <f t="array" ref="C135">GetValue("Tables","Name",B135)</f>
        <v>Operations</v>
      </c>
      <c r="D135" s="8" t="str" cm="1">
        <f t="array" ref="D135">GetValue("Tables","Alias",B135)</f>
        <v>Operation</v>
      </c>
      <c r="E135" s="7">
        <f t="shared" si="13"/>
        <v>25</v>
      </c>
      <c r="F135" s="7">
        <v>12</v>
      </c>
      <c r="G135" s="7" t="str" cm="1">
        <f t="array" ref="G135">GetValue("Domains","Name",F135)</f>
        <v>Nvarchar(MAX)</v>
      </c>
      <c r="H135" s="7" t="str" cm="1">
        <f t="array" ref="H135">GetValue("Domains","#CategoryName",F135)</f>
        <v>text</v>
      </c>
      <c r="I135" s="7" t="str" cm="1">
        <f t="array" ref="I135">GetValue("Domains","#TypeName",F135)</f>
        <v>nvarchar(max)</v>
      </c>
      <c r="J135" s="7" t="str" cm="1">
        <f t="array" ref="J135">GetValue("Domains","#DataType",F135)</f>
        <v>nvarchar(max)</v>
      </c>
      <c r="K135" s="7"/>
      <c r="L135" s="7" t="str" cm="1">
        <f t="array" ref="L135">GetValue("Tables","Name",K135)</f>
        <v/>
      </c>
      <c r="M135" s="7" t="s">
        <v>459</v>
      </c>
      <c r="N135" s="7"/>
      <c r="O135" s="7" t="s">
        <v>460</v>
      </c>
      <c r="P135" s="7" t="s">
        <v>460</v>
      </c>
      <c r="Q135" s="7" t="s">
        <v>460</v>
      </c>
      <c r="R135" s="14"/>
      <c r="S135" s="14"/>
      <c r="T135" s="14"/>
      <c r="U135" s="7" t="b">
        <v>0</v>
      </c>
      <c r="V135" s="7"/>
      <c r="W135" s="7" t="b">
        <v>0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  <c r="AD135" s="7" t="b">
        <v>0</v>
      </c>
    </row>
    <row r="136" spans="1:30" x14ac:dyDescent="0.3">
      <c r="A136" s="7">
        <f t="shared" si="10"/>
        <v>135</v>
      </c>
      <c r="B136" s="7">
        <v>19</v>
      </c>
      <c r="C136" s="7" t="str" cm="1">
        <f t="array" ref="C136">GetValue("Tables","Name",B136)</f>
        <v>Operations</v>
      </c>
      <c r="D136" s="8" t="str" cm="1">
        <f t="array" ref="D136">GetValue("Tables","Alias",B136)</f>
        <v>Operation</v>
      </c>
      <c r="E136" s="7">
        <f t="shared" si="13"/>
        <v>30</v>
      </c>
      <c r="F136" s="7">
        <v>12</v>
      </c>
      <c r="G136" s="7" t="str" cm="1">
        <f t="array" ref="G136">GetValue("Domains","Name",F136)</f>
        <v>Nvarchar(MAX)</v>
      </c>
      <c r="H136" s="7" t="str" cm="1">
        <f t="array" ref="H136">GetValue("Domains","#CategoryName",F136)</f>
        <v>text</v>
      </c>
      <c r="I136" s="7" t="str" cm="1">
        <f t="array" ref="I136">GetValue("Domains","#TypeName",F136)</f>
        <v>nvarchar(max)</v>
      </c>
      <c r="J136" s="7" t="str" cm="1">
        <f t="array" ref="J136">GetValue("Domains","#DataType",F136)</f>
        <v>nvarchar(max)</v>
      </c>
      <c r="K136" s="7"/>
      <c r="L136" s="7" t="str" cm="1">
        <f t="array" ref="L136">GetValue("Tables","Name",K136)</f>
        <v/>
      </c>
      <c r="M136" s="7" t="s">
        <v>421</v>
      </c>
      <c r="N136" s="7"/>
      <c r="O136" s="7" t="s">
        <v>429</v>
      </c>
      <c r="P136" s="7" t="s">
        <v>429</v>
      </c>
      <c r="Q136" s="7" t="s">
        <v>429</v>
      </c>
      <c r="R136" s="14"/>
      <c r="S136" s="14"/>
      <c r="T136" s="14"/>
      <c r="U136" s="7" t="b">
        <v>0</v>
      </c>
      <c r="V136" s="7"/>
      <c r="W136" s="7" t="b">
        <v>1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  <c r="AD136" s="7" t="b">
        <v>0</v>
      </c>
    </row>
    <row r="137" spans="1:30" x14ac:dyDescent="0.3">
      <c r="A137" s="7">
        <f t="shared" si="10"/>
        <v>136</v>
      </c>
      <c r="B137" s="7">
        <v>19</v>
      </c>
      <c r="C137" s="7" t="str" cm="1">
        <f t="array" ref="C137">GetValue("Tables","Name",B137)</f>
        <v>Operations</v>
      </c>
      <c r="D137" s="8" t="str" cm="1">
        <f t="array" ref="D137">GetValue("Tables","Alias",B137)</f>
        <v>Operation</v>
      </c>
      <c r="E137" s="7">
        <f t="shared" si="13"/>
        <v>35</v>
      </c>
      <c r="F137" s="7">
        <v>6</v>
      </c>
      <c r="G137" s="7" t="str" cm="1">
        <f t="array" ref="G137">GetValue("Domains","Name",F137)</f>
        <v>Boolean</v>
      </c>
      <c r="H137" s="7" t="str" cm="1">
        <f t="array" ref="H137">GetValue("Domains","#CategoryName",F137)</f>
        <v>boolean</v>
      </c>
      <c r="I137" s="7" t="str" cm="1">
        <f t="array" ref="I137">GetValue("Domains","#TypeName",F137)</f>
        <v>bit</v>
      </c>
      <c r="J137" s="7" t="str" cm="1">
        <f t="array" ref="J137">GetValue("Domains","#DataType",F137)</f>
        <v>bit</v>
      </c>
      <c r="K137" s="7"/>
      <c r="L137" s="7" t="str" cm="1">
        <f t="array" ref="L137">GetValue("Tables","Name",K137)</f>
        <v/>
      </c>
      <c r="M137" s="7" t="s">
        <v>418</v>
      </c>
      <c r="N137" s="7"/>
      <c r="O137" s="7" t="s">
        <v>422</v>
      </c>
      <c r="P137" s="7" t="s">
        <v>423</v>
      </c>
      <c r="Q137" s="7" t="s">
        <v>423</v>
      </c>
      <c r="R137" s="14"/>
      <c r="S137" s="14"/>
      <c r="T137" s="14"/>
      <c r="U137" s="7" t="b">
        <v>0</v>
      </c>
      <c r="V137" s="7"/>
      <c r="W137" s="7" t="b">
        <v>0</v>
      </c>
      <c r="X137" s="7"/>
      <c r="Y137" s="7" t="b">
        <v>0</v>
      </c>
      <c r="Z137" s="7" t="b">
        <v>0</v>
      </c>
      <c r="AA137" s="7" t="b">
        <v>0</v>
      </c>
      <c r="AB137" s="7"/>
      <c r="AC137" s="7"/>
      <c r="AD137" s="7" t="b">
        <v>0</v>
      </c>
    </row>
    <row r="138" spans="1:30" x14ac:dyDescent="0.3">
      <c r="A138" s="9">
        <f t="shared" si="10"/>
        <v>137</v>
      </c>
      <c r="B138" s="9">
        <v>20</v>
      </c>
      <c r="C138" s="9" t="str" cm="1">
        <f t="array" ref="C138">GetValue("Tables","Name",B138)</f>
        <v>Unicities</v>
      </c>
      <c r="D138" s="9" t="str" cm="1">
        <f t="array" ref="D138">GetValue("Tables","Alias",B138)</f>
        <v>Unicity</v>
      </c>
      <c r="E138" s="9">
        <v>5</v>
      </c>
      <c r="F138" s="9">
        <v>1</v>
      </c>
      <c r="G138" s="9" t="str" cm="1">
        <f t="array" ref="G138">GetValue("Domains","Name",F138)</f>
        <v>BigInteger</v>
      </c>
      <c r="H138" s="9" t="str" cm="1">
        <f t="array" ref="H138">GetValue("Domains","#CategoryName",F138)</f>
        <v>number</v>
      </c>
      <c r="I138" s="9" t="str" cm="1">
        <f t="array" ref="I138">GetValue("Domains","#TypeName",F138)</f>
        <v>bigint</v>
      </c>
      <c r="J138" s="9" t="str" cm="1">
        <f t="array" ref="J138">GetValue("Domains","#DataType",F138)</f>
        <v>bigint</v>
      </c>
      <c r="K138" s="9"/>
      <c r="L138" s="9" t="str" cm="1">
        <f t="array" ref="L138">GetValue("Tables","Name",K138)</f>
        <v/>
      </c>
      <c r="M138" s="9" t="s">
        <v>0</v>
      </c>
      <c r="N138" s="9"/>
      <c r="O138" s="9" t="s">
        <v>442</v>
      </c>
      <c r="P138" s="9" t="s">
        <v>156</v>
      </c>
      <c r="Q138" s="9" t="s">
        <v>156</v>
      </c>
      <c r="R138" s="9"/>
      <c r="S138" s="9">
        <v>1</v>
      </c>
      <c r="T138" s="9"/>
      <c r="U138" s="9" t="b">
        <v>1</v>
      </c>
      <c r="V138" s="9" t="b">
        <v>1</v>
      </c>
      <c r="W138" s="9" t="b">
        <v>1</v>
      </c>
      <c r="X138" s="9"/>
      <c r="Y138" s="9" t="b">
        <v>1</v>
      </c>
      <c r="Z138" s="9" t="b">
        <v>0</v>
      </c>
      <c r="AA138" s="9" t="b">
        <v>0</v>
      </c>
      <c r="AB138" s="9"/>
      <c r="AC138" s="9" t="b">
        <v>0</v>
      </c>
      <c r="AD138" s="9" t="b">
        <v>0</v>
      </c>
    </row>
    <row r="139" spans="1:30" x14ac:dyDescent="0.3">
      <c r="A139" s="9">
        <f t="shared" si="10"/>
        <v>138</v>
      </c>
      <c r="B139" s="9">
        <v>20</v>
      </c>
      <c r="C139" s="9" t="str" cm="1">
        <f t="array" ref="C139">GetValue("Tables","Name",B139)</f>
        <v>Unicities</v>
      </c>
      <c r="D139" s="9" t="str" cm="1">
        <f t="array" ref="D139">GetValue("Tables","Alias",B139)</f>
        <v>Unicity</v>
      </c>
      <c r="E139" s="9">
        <f t="shared" ref="E139:E141" si="14">E138+5</f>
        <v>10</v>
      </c>
      <c r="F139" s="9">
        <v>1</v>
      </c>
      <c r="G139" s="9" t="str" cm="1">
        <f t="array" ref="G139">GetValue("Domains","Name",F139)</f>
        <v>BigInteger</v>
      </c>
      <c r="H139" s="9" t="str" cm="1">
        <f t="array" ref="H139">GetValue("Domains","#CategoryName",F139)</f>
        <v>number</v>
      </c>
      <c r="I139" s="9" t="str" cm="1">
        <f t="array" ref="I139">GetValue("Domains","#TypeName",F139)</f>
        <v>bigint</v>
      </c>
      <c r="J139" s="9" t="str" cm="1">
        <f t="array" ref="J139">GetValue("Domains","#DataType",F139)</f>
        <v>bigint</v>
      </c>
      <c r="K139" s="9">
        <v>14</v>
      </c>
      <c r="L139" s="9" t="str" cm="1">
        <f t="array" ref="L139">GetValue("Tables","Name",K139)</f>
        <v>Columns</v>
      </c>
      <c r="M139" s="9" t="s">
        <v>443</v>
      </c>
      <c r="N139" s="9"/>
      <c r="O139" s="9" t="s">
        <v>445</v>
      </c>
      <c r="P139" s="9" t="s">
        <v>445</v>
      </c>
      <c r="Q139" s="9" t="s">
        <v>447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  <c r="AD139" s="9" t="b">
        <v>0</v>
      </c>
    </row>
    <row r="140" spans="1:30" x14ac:dyDescent="0.3">
      <c r="A140" s="9">
        <f t="shared" si="10"/>
        <v>139</v>
      </c>
      <c r="B140" s="9">
        <v>20</v>
      </c>
      <c r="C140" s="9" t="str" cm="1">
        <f t="array" ref="C140">GetValue("Tables","Name",B140)</f>
        <v>Unicities</v>
      </c>
      <c r="D140" s="9" t="str" cm="1">
        <f t="array" ref="D140">GetValue("Tables","Alias",B140)</f>
        <v>Unicity</v>
      </c>
      <c r="E140" s="9">
        <f t="shared" si="14"/>
        <v>15</v>
      </c>
      <c r="F140" s="9">
        <v>1</v>
      </c>
      <c r="G140" s="9" t="str" cm="1">
        <f t="array" ref="G140">GetValue("Domains","Name",F140)</f>
        <v>BigInteger</v>
      </c>
      <c r="H140" s="9" t="str" cm="1">
        <f t="array" ref="H140">GetValue("Domains","#CategoryName",F140)</f>
        <v>number</v>
      </c>
      <c r="I140" s="9" t="str" cm="1">
        <f t="array" ref="I140">GetValue("Domains","#TypeName",F140)</f>
        <v>bigint</v>
      </c>
      <c r="J140" s="9" t="str" cm="1">
        <f t="array" ref="J140">GetValue("Domains","#DataType",F140)</f>
        <v>bigint</v>
      </c>
      <c r="K140" s="9">
        <v>14</v>
      </c>
      <c r="L140" s="9" t="str" cm="1">
        <f t="array" ref="L140">GetValue("Tables","Name",K140)</f>
        <v>Columns</v>
      </c>
      <c r="M140" s="9" t="s">
        <v>444</v>
      </c>
      <c r="N140" s="9"/>
      <c r="O140" s="9" t="s">
        <v>446</v>
      </c>
      <c r="P140" s="9" t="s">
        <v>446</v>
      </c>
      <c r="Q140" s="9" t="s">
        <v>448</v>
      </c>
      <c r="R140" s="9"/>
      <c r="S140" s="9"/>
      <c r="T140" s="9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  <c r="AD140" s="9" t="b">
        <v>0</v>
      </c>
    </row>
    <row r="141" spans="1:30" x14ac:dyDescent="0.3">
      <c r="A141" s="9">
        <f t="shared" si="10"/>
        <v>140</v>
      </c>
      <c r="B141" s="9">
        <v>20</v>
      </c>
      <c r="C141" s="9" t="str" cm="1">
        <f t="array" ref="C141">GetValue("Tables","Name",B141)</f>
        <v>Unicities</v>
      </c>
      <c r="D141" s="9" t="str" cm="1">
        <f t="array" ref="D141">GetValue("Tables","Alias",B141)</f>
        <v>Unicity</v>
      </c>
      <c r="E141" s="9">
        <f t="shared" si="14"/>
        <v>20</v>
      </c>
      <c r="F141" s="9">
        <v>6</v>
      </c>
      <c r="G141" s="9" t="str" cm="1">
        <f t="array" ref="G141">GetValue("Domains","Name",F141)</f>
        <v>Boolean</v>
      </c>
      <c r="H141" s="9" t="str" cm="1">
        <f t="array" ref="H141">GetValue("Domains","#CategoryName",F141)</f>
        <v>boolean</v>
      </c>
      <c r="I141" s="9" t="str" cm="1">
        <f t="array" ref="I141">GetValue("Domains","#TypeName",F141)</f>
        <v>bit</v>
      </c>
      <c r="J141" s="9" t="str" cm="1">
        <f t="array" ref="J141">GetValue("Domains","#DataType",F141)</f>
        <v>bit</v>
      </c>
      <c r="K141" s="9"/>
      <c r="L141" s="9" t="str" cm="1">
        <f t="array" ref="L141">GetValue("Tables","Name",K141)</f>
        <v/>
      </c>
      <c r="M141" s="9" t="s">
        <v>440</v>
      </c>
      <c r="N141" s="9"/>
      <c r="O141" s="9" t="s">
        <v>455</v>
      </c>
      <c r="P141" s="9" t="s">
        <v>456</v>
      </c>
      <c r="Q141" s="9" t="s">
        <v>456</v>
      </c>
      <c r="R141" s="9"/>
      <c r="S141" s="9"/>
      <c r="T141" s="9"/>
      <c r="U141" s="9"/>
      <c r="V141" s="9"/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/>
      <c r="AD141" s="9" t="b">
        <v>0</v>
      </c>
    </row>
    <row r="142" spans="1:30" x14ac:dyDescent="0.3">
      <c r="A142" s="7">
        <f t="shared" si="10"/>
        <v>141</v>
      </c>
      <c r="B142" s="7">
        <v>21</v>
      </c>
      <c r="C142" s="7" t="str" cm="1">
        <f t="array" ref="C142">GetValue("Tables","Name",B142)</f>
        <v>Comparators</v>
      </c>
      <c r="D142" s="8" t="str" cm="1">
        <f t="array" ref="D142">GetValue("Tables","Alias",B142)</f>
        <v>Comparator</v>
      </c>
      <c r="E142" s="7">
        <v>5</v>
      </c>
      <c r="F142" s="7">
        <v>5</v>
      </c>
      <c r="G142" s="7" t="str" cm="1">
        <f t="array" ref="G142">GetValue("Domains","Name",F142)</f>
        <v>TinyInteger</v>
      </c>
      <c r="H142" s="7" t="str" cm="1">
        <f t="array" ref="H142">GetValue("Domains","#CategoryName",F142)</f>
        <v>number</v>
      </c>
      <c r="I142" s="7" t="str" cm="1">
        <f t="array" ref="I142">GetValue("Domains","#TypeName",F142)</f>
        <v>tinyint</v>
      </c>
      <c r="J142" s="7" t="str" cm="1">
        <f t="array" ref="J142">GetValue("Domains","#DataType",F142)</f>
        <v>tinyint</v>
      </c>
      <c r="K142" s="7"/>
      <c r="L142" s="7" t="str" cm="1">
        <f t="array" ref="L142">GetValue("Tables","Name",K142)</f>
        <v/>
      </c>
      <c r="M142" s="7" t="s">
        <v>0</v>
      </c>
      <c r="N142" s="7"/>
      <c r="O142" s="7" t="s">
        <v>577</v>
      </c>
      <c r="P142" s="7" t="s">
        <v>156</v>
      </c>
      <c r="Q142" s="7" t="s">
        <v>156</v>
      </c>
      <c r="R142" s="14"/>
      <c r="S142" s="14">
        <v>1</v>
      </c>
      <c r="T142" s="14"/>
      <c r="U142" s="7" t="b">
        <v>1</v>
      </c>
      <c r="V142" s="7" t="b">
        <v>1</v>
      </c>
      <c r="W142" s="7" t="b">
        <v>1</v>
      </c>
      <c r="X142" s="7"/>
      <c r="Y142" s="7" t="b">
        <v>1</v>
      </c>
      <c r="Z142" s="7" t="b">
        <v>0</v>
      </c>
      <c r="AA142" s="7" t="b">
        <v>0</v>
      </c>
      <c r="AB142" s="7"/>
      <c r="AC142" s="7" t="b">
        <v>0</v>
      </c>
      <c r="AD142" s="7" t="b">
        <v>0</v>
      </c>
    </row>
    <row r="143" spans="1:30" x14ac:dyDescent="0.3">
      <c r="A143" s="7">
        <f t="shared" si="10"/>
        <v>142</v>
      </c>
      <c r="B143" s="7">
        <v>21</v>
      </c>
      <c r="C143" s="7" t="str" cm="1">
        <f t="array" ref="C143">GetValue("Tables","Name",B143)</f>
        <v>Comparators</v>
      </c>
      <c r="D143" s="8" t="str" cm="1">
        <f t="array" ref="D143">GetValue("Tables","Alias",B143)</f>
        <v>Comparator</v>
      </c>
      <c r="E143" s="7">
        <f>E142+5</f>
        <v>10</v>
      </c>
      <c r="F143" s="7">
        <v>24</v>
      </c>
      <c r="G143" s="7" t="str" cm="1">
        <f t="array" ref="G143">GetValue("Domains","Name",F143)</f>
        <v>Nchar(1)</v>
      </c>
      <c r="H143" s="7" t="str" cm="1">
        <f t="array" ref="H143">GetValue("Domains","#CategoryName",F143)</f>
        <v>string</v>
      </c>
      <c r="I143" s="7" t="str" cm="1">
        <f t="array" ref="I143">GetValue("Domains","#TypeName",F143)</f>
        <v>nchar</v>
      </c>
      <c r="J143" s="7" t="str" cm="1">
        <f t="array" ref="J143">GetValue("Domains","#DataType",F143)</f>
        <v>nchar(1)</v>
      </c>
      <c r="K143" s="7"/>
      <c r="L143" s="7" t="str" cm="1">
        <f t="array" ref="L143">GetValue("Tables","Name",K143)</f>
        <v/>
      </c>
      <c r="M143" s="7" t="s">
        <v>545</v>
      </c>
      <c r="N143" s="7"/>
      <c r="O143" s="7" t="s">
        <v>578</v>
      </c>
      <c r="P143" s="7" t="s">
        <v>158</v>
      </c>
      <c r="Q143" s="7" t="s">
        <v>586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1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  <c r="AD143" s="7" t="b">
        <v>0</v>
      </c>
    </row>
    <row r="144" spans="1:30" x14ac:dyDescent="0.3">
      <c r="A144" s="7">
        <f t="shared" si="10"/>
        <v>143</v>
      </c>
      <c r="B144" s="7">
        <v>21</v>
      </c>
      <c r="C144" s="7" t="str" cm="1">
        <f t="array" ref="C144">GetValue("Tables","Name",B144)</f>
        <v>Comparators</v>
      </c>
      <c r="D144" s="8" t="str" cm="1">
        <f t="array" ref="D144">GetValue("Tables","Alias",B144)</f>
        <v>Comparator</v>
      </c>
      <c r="E144" s="7">
        <f>E143+5</f>
        <v>15</v>
      </c>
      <c r="F144" s="7">
        <v>10</v>
      </c>
      <c r="G144" s="7" t="str" cm="1">
        <f t="array" ref="G144">GetValue("Domains","Name",F144)</f>
        <v>Nvarchar(50)</v>
      </c>
      <c r="H144" s="7" t="str" cm="1">
        <f t="array" ref="H144">GetValue("Domains","#CategoryName",F144)</f>
        <v>string</v>
      </c>
      <c r="I144" s="7" t="str" cm="1">
        <f t="array" ref="I144">GetValue("Domains","#TypeName",F144)</f>
        <v>nvarchar</v>
      </c>
      <c r="J144" s="7" t="str" cm="1">
        <f t="array" ref="J144">GetValue("Domains","#DataType",F144)</f>
        <v>nvarchar(50)</v>
      </c>
      <c r="K144" s="7"/>
      <c r="L144" s="7" t="str" cm="1">
        <f t="array" ref="L144">GetValue("Tables","Name",K144)</f>
        <v/>
      </c>
      <c r="M144" s="7" t="s">
        <v>84</v>
      </c>
      <c r="N144" s="7"/>
      <c r="O144" s="7" t="s">
        <v>579</v>
      </c>
      <c r="P144" s="7" t="s">
        <v>74</v>
      </c>
      <c r="Q144" s="7" t="s">
        <v>196</v>
      </c>
      <c r="R144" s="14"/>
      <c r="S144" s="14"/>
      <c r="T144" s="14"/>
      <c r="U144" s="7" t="b">
        <v>0</v>
      </c>
      <c r="V144" s="7"/>
      <c r="W144" s="7" t="b">
        <v>1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  <c r="AD144" s="7" t="b">
        <v>0</v>
      </c>
    </row>
    <row r="145" spans="1:30" x14ac:dyDescent="0.3">
      <c r="A145" s="7">
        <f t="shared" si="10"/>
        <v>144</v>
      </c>
      <c r="B145" s="7">
        <v>21</v>
      </c>
      <c r="C145" s="7" t="str" cm="1">
        <f t="array" ref="C145">GetValue("Tables","Name",B145)</f>
        <v>Comparators</v>
      </c>
      <c r="D145" s="8" t="str" cm="1">
        <f t="array" ref="D145">GetValue("Tables","Alias",B145)</f>
        <v>Comparator</v>
      </c>
      <c r="E145" s="7">
        <f>E144+5</f>
        <v>20</v>
      </c>
      <c r="F145" s="7">
        <v>5</v>
      </c>
      <c r="G145" s="7" t="str" cm="1">
        <f t="array" ref="G145">GetValue("Domains","Name",F145)</f>
        <v>TinyInteger</v>
      </c>
      <c r="H145" s="7" t="str" cm="1">
        <f t="array" ref="H145">GetValue("Domains","#CategoryName",F145)</f>
        <v>number</v>
      </c>
      <c r="I145" s="7" t="str" cm="1">
        <f t="array" ref="I145">GetValue("Domains","#TypeName",F145)</f>
        <v>tinyint</v>
      </c>
      <c r="J145" s="7" t="str" cm="1">
        <f t="array" ref="J145">GetValue("Domains","#DataType",F145)</f>
        <v>tinyint</v>
      </c>
      <c r="K145" s="7"/>
      <c r="L145" s="7" t="str" cm="1">
        <f t="array" ref="L145">GetValue("Tables","Name",K145)</f>
        <v/>
      </c>
      <c r="M145" s="7" t="s">
        <v>546</v>
      </c>
      <c r="N145" s="7"/>
      <c r="O145" s="7" t="s">
        <v>580</v>
      </c>
      <c r="P145" s="7" t="s">
        <v>585</v>
      </c>
      <c r="Q145" s="7" t="s">
        <v>585</v>
      </c>
      <c r="R145" s="14"/>
      <c r="S145" s="14"/>
      <c r="T145" s="14"/>
      <c r="U145" s="7" t="b">
        <v>0</v>
      </c>
      <c r="V145" s="7"/>
      <c r="W145" s="7" t="b">
        <v>0</v>
      </c>
      <c r="X145" s="7" t="b">
        <v>0</v>
      </c>
      <c r="Y145" s="7" t="b">
        <v>1</v>
      </c>
      <c r="Z145" s="7" t="b">
        <v>1</v>
      </c>
      <c r="AA145" s="7" t="b">
        <v>1</v>
      </c>
      <c r="AB145" s="7" t="b">
        <v>0</v>
      </c>
      <c r="AC145" s="7"/>
      <c r="AD145" s="7" t="b">
        <v>0</v>
      </c>
    </row>
    <row r="146" spans="1:30" x14ac:dyDescent="0.3">
      <c r="A146" s="7">
        <f t="shared" si="10"/>
        <v>145</v>
      </c>
      <c r="B146" s="7">
        <v>21</v>
      </c>
      <c r="C146" s="7" t="str" cm="1">
        <f t="array" ref="C146">GetValue("Tables","Name",B146)</f>
        <v>Comparators</v>
      </c>
      <c r="D146" s="8" t="str" cm="1">
        <f t="array" ref="D146">GetValue("Tables","Alias",B146)</f>
        <v>Comparator</v>
      </c>
      <c r="E146" s="7">
        <f>E145+5</f>
        <v>25</v>
      </c>
      <c r="F146" s="7">
        <v>10</v>
      </c>
      <c r="G146" s="7" t="str" cm="1">
        <f t="array" ref="G146">GetValue("Domains","Name",F146)</f>
        <v>Nvarchar(50)</v>
      </c>
      <c r="H146" s="7" t="str" cm="1">
        <f t="array" ref="H146">GetValue("Domains","#CategoryName",F146)</f>
        <v>string</v>
      </c>
      <c r="I146" s="7" t="str" cm="1">
        <f t="array" ref="I146">GetValue("Domains","#TypeName",F146)</f>
        <v>nvarchar</v>
      </c>
      <c r="J146" s="7" t="str" cm="1">
        <f t="array" ref="J146">GetValue("Domains","#DataType",F146)</f>
        <v>nvarchar(50)</v>
      </c>
      <c r="K146" s="7"/>
      <c r="L146" s="7" t="str" cm="1">
        <f t="array" ref="L146">GetValue("Tables","Name",K146)</f>
        <v/>
      </c>
      <c r="M146" s="7" t="s">
        <v>612</v>
      </c>
      <c r="N146" s="7"/>
      <c r="O146" s="7" t="s">
        <v>618</v>
      </c>
      <c r="P146" s="7" t="s">
        <v>74</v>
      </c>
      <c r="Q146" s="7" t="s">
        <v>74</v>
      </c>
      <c r="R146" s="14"/>
      <c r="S146" s="14"/>
      <c r="T146" s="14"/>
      <c r="U146" s="7" t="b">
        <v>0</v>
      </c>
      <c r="V146" s="7"/>
      <c r="W146" s="7" t="b">
        <v>0</v>
      </c>
      <c r="X146" s="7" t="b">
        <v>0</v>
      </c>
      <c r="Y146" s="7" t="b">
        <v>1</v>
      </c>
      <c r="Z146" s="7" t="b">
        <v>1</v>
      </c>
      <c r="AA146" s="7" t="b">
        <v>1</v>
      </c>
      <c r="AB146" s="7" t="b">
        <v>0</v>
      </c>
      <c r="AC146" s="7"/>
      <c r="AD146" s="7" t="b">
        <v>0</v>
      </c>
    </row>
    <row r="147" spans="1:30" x14ac:dyDescent="0.3">
      <c r="A147" s="9">
        <f t="shared" si="10"/>
        <v>146</v>
      </c>
      <c r="B147" s="9">
        <v>22</v>
      </c>
      <c r="C147" s="9" t="str" cm="1">
        <f t="array" ref="C147">GetValue("Tables","Name",B147)</f>
        <v>Rules</v>
      </c>
      <c r="D147" s="9" t="str" cm="1">
        <f t="array" ref="D147">GetValue("Tables","Alias",B147)</f>
        <v>Rule</v>
      </c>
      <c r="E147" s="9">
        <v>5</v>
      </c>
      <c r="F147" s="9">
        <v>5</v>
      </c>
      <c r="G147" s="9" t="str" cm="1">
        <f t="array" ref="G147">GetValue("Domains","Name",F147)</f>
        <v>TinyInteger</v>
      </c>
      <c r="H147" s="9" t="str" cm="1">
        <f t="array" ref="H147">GetValue("Domains","#CategoryName",F147)</f>
        <v>number</v>
      </c>
      <c r="I147" s="9" t="str" cm="1">
        <f t="array" ref="I147">GetValue("Domains","#TypeName",F147)</f>
        <v>tinyint</v>
      </c>
      <c r="J147" s="9" t="str" cm="1">
        <f t="array" ref="J147">GetValue("Domains","#DataType",F147)</f>
        <v>tinyint</v>
      </c>
      <c r="K147" s="9"/>
      <c r="L147" s="9" t="str" cm="1">
        <f t="array" ref="L147">GetValue("Tables","Name",K147)</f>
        <v/>
      </c>
      <c r="M147" s="9" t="s">
        <v>0</v>
      </c>
      <c r="N147" s="9"/>
      <c r="O147" s="9" t="s">
        <v>581</v>
      </c>
      <c r="P147" s="9" t="s">
        <v>156</v>
      </c>
      <c r="Q147" s="9" t="s">
        <v>156</v>
      </c>
      <c r="R147" s="9"/>
      <c r="S147" s="9">
        <v>1</v>
      </c>
      <c r="T147" s="9"/>
      <c r="U147" s="9" t="b">
        <v>1</v>
      </c>
      <c r="V147" s="9" t="b">
        <v>1</v>
      </c>
      <c r="W147" s="9" t="b">
        <v>1</v>
      </c>
      <c r="X147" s="9"/>
      <c r="Y147" s="9" t="b">
        <v>1</v>
      </c>
      <c r="Z147" s="9" t="b">
        <v>0</v>
      </c>
      <c r="AA147" s="9" t="b">
        <v>0</v>
      </c>
      <c r="AB147" s="9"/>
      <c r="AC147" s="9" t="b">
        <v>0</v>
      </c>
      <c r="AD147" s="9" t="b">
        <v>0</v>
      </c>
    </row>
    <row r="148" spans="1:30" x14ac:dyDescent="0.3">
      <c r="A148" s="9">
        <f t="shared" si="10"/>
        <v>147</v>
      </c>
      <c r="B148" s="9">
        <v>22</v>
      </c>
      <c r="C148" s="9" t="str" cm="1">
        <f t="array" ref="C148">GetValue("Tables","Name",B148)</f>
        <v>Rules</v>
      </c>
      <c r="D148" s="9" t="str" cm="1">
        <f t="array" ref="D148">GetValue("Tables","Alias",B148)</f>
        <v>Rule</v>
      </c>
      <c r="E148" s="9">
        <f t="shared" ref="E148:E149" si="15">E147+5</f>
        <v>10</v>
      </c>
      <c r="F148" s="9">
        <v>5</v>
      </c>
      <c r="G148" s="9" t="str" cm="1">
        <f t="array" ref="G148">GetValue("Domains","Name",F148)</f>
        <v>TinyInteger</v>
      </c>
      <c r="H148" s="9" t="str" cm="1">
        <f t="array" ref="H148">GetValue("Domains","#CategoryName",F148)</f>
        <v>number</v>
      </c>
      <c r="I148" s="9" t="str" cm="1">
        <f t="array" ref="I148">GetValue("Domains","#TypeName",F148)</f>
        <v>tinyint</v>
      </c>
      <c r="J148" s="9" t="str" cm="1">
        <f t="array" ref="J148">GetValue("Domains","#DataType",F148)</f>
        <v>tinyint</v>
      </c>
      <c r="K148" s="9">
        <v>1</v>
      </c>
      <c r="L148" s="9" t="str" cm="1">
        <f t="array" ref="L148">GetValue("Tables","Name",K148)</f>
        <v>Categories</v>
      </c>
      <c r="M148" s="9" t="s">
        <v>25</v>
      </c>
      <c r="N148" s="9"/>
      <c r="O148" s="9" t="s">
        <v>583</v>
      </c>
      <c r="P148" s="9" t="s">
        <v>583</v>
      </c>
      <c r="Q148" s="9" t="s">
        <v>160</v>
      </c>
      <c r="R148" s="9"/>
      <c r="S148" s="9"/>
      <c r="T148" s="9"/>
      <c r="U148" s="9" t="b">
        <v>0</v>
      </c>
      <c r="V148" s="9" t="b">
        <v>0</v>
      </c>
      <c r="W148" s="9" t="b">
        <v>1</v>
      </c>
      <c r="X148" s="9"/>
      <c r="Y148" s="9" t="b">
        <v>1</v>
      </c>
      <c r="Z148" s="9" t="b">
        <v>1</v>
      </c>
      <c r="AA148" s="9" t="b">
        <v>1</v>
      </c>
      <c r="AB148" s="9"/>
      <c r="AC148" s="9" t="b">
        <v>0</v>
      </c>
      <c r="AD148" s="9" t="b">
        <v>0</v>
      </c>
    </row>
    <row r="149" spans="1:30" x14ac:dyDescent="0.3">
      <c r="A149" s="9">
        <f t="shared" si="10"/>
        <v>148</v>
      </c>
      <c r="B149" s="9">
        <v>22</v>
      </c>
      <c r="C149" s="9" t="str" cm="1">
        <f t="array" ref="C149">GetValue("Tables","Name",B149)</f>
        <v>Rules</v>
      </c>
      <c r="D149" s="9" t="str" cm="1">
        <f t="array" ref="D149">GetValue("Tables","Alias",B149)</f>
        <v>Rule</v>
      </c>
      <c r="E149" s="9">
        <f t="shared" si="15"/>
        <v>15</v>
      </c>
      <c r="F149" s="9">
        <v>5</v>
      </c>
      <c r="G149" s="9" t="str" cm="1">
        <f t="array" ref="G149">GetValue("Domains","Name",F149)</f>
        <v>TinyInteger</v>
      </c>
      <c r="H149" s="9" t="str" cm="1">
        <f t="array" ref="H149">GetValue("Domains","#CategoryName",F149)</f>
        <v>number</v>
      </c>
      <c r="I149" s="9" t="str" cm="1">
        <f t="array" ref="I149">GetValue("Domains","#TypeName",F149)</f>
        <v>tinyint</v>
      </c>
      <c r="J149" s="9" t="str" cm="1">
        <f t="array" ref="J149">GetValue("Domains","#DataType",F149)</f>
        <v>tinyint</v>
      </c>
      <c r="K149" s="9">
        <v>21</v>
      </c>
      <c r="L149" s="9" t="str" cm="1">
        <f t="array" ref="L149">GetValue("Tables","Name",K149)</f>
        <v>Comparators</v>
      </c>
      <c r="M149" s="9" t="s">
        <v>568</v>
      </c>
      <c r="N149" s="9"/>
      <c r="O149" s="9" t="s">
        <v>584</v>
      </c>
      <c r="P149" s="9" t="s">
        <v>584</v>
      </c>
      <c r="Q149" s="9" t="s">
        <v>582</v>
      </c>
      <c r="R149" s="9"/>
      <c r="S149" s="9"/>
      <c r="T149" s="9"/>
      <c r="U149" s="9" t="b">
        <v>0</v>
      </c>
      <c r="V149" s="9" t="b">
        <v>0</v>
      </c>
      <c r="W149" s="9" t="b">
        <v>1</v>
      </c>
      <c r="X149" s="9"/>
      <c r="Y149" s="9" t="b">
        <v>1</v>
      </c>
      <c r="Z149" s="9" t="b">
        <v>1</v>
      </c>
      <c r="AA149" s="9" t="b">
        <v>1</v>
      </c>
      <c r="AB149" s="9"/>
      <c r="AC149" s="9" t="b">
        <v>0</v>
      </c>
      <c r="AD149" s="9" t="b">
        <v>0</v>
      </c>
    </row>
    <row r="150" spans="1:30" x14ac:dyDescent="0.3">
      <c r="A150" s="7">
        <f t="shared" si="10"/>
        <v>149</v>
      </c>
      <c r="B150" s="7">
        <v>23</v>
      </c>
      <c r="C150" s="7" t="str" cm="1">
        <f t="array" ref="C150">GetValue("Tables","Name",B150)</f>
        <v>testes</v>
      </c>
      <c r="D150" s="8" t="str" cm="1">
        <f t="array" ref="D150">GetValue("Tables","Alias",B150)</f>
        <v>teste</v>
      </c>
      <c r="E150" s="7">
        <v>5</v>
      </c>
      <c r="F150" s="7">
        <v>5</v>
      </c>
      <c r="G150" s="7" t="str" cm="1">
        <f t="array" ref="G150">GetValue("Domains","Name",F150)</f>
        <v>TinyInteger</v>
      </c>
      <c r="H150" s="7" t="str" cm="1">
        <f t="array" ref="H150">GetValue("Domains","#CategoryName",F150)</f>
        <v>number</v>
      </c>
      <c r="I150" s="7" t="str" cm="1">
        <f t="array" ref="I150">GetValue("Domains","#TypeName",F150)</f>
        <v>tinyint</v>
      </c>
      <c r="J150" s="7" t="str" cm="1">
        <f t="array" ref="J150">GetValue("Domains","#DataType",F150)</f>
        <v>tinyint</v>
      </c>
      <c r="K150" s="7"/>
      <c r="L150" s="7" t="str" cm="1">
        <f t="array" ref="L150">GetValue("Tables","Name",K150)</f>
        <v/>
      </c>
      <c r="M150" s="7" t="s">
        <v>602</v>
      </c>
      <c r="N150" s="7"/>
      <c r="O150" s="7" t="s">
        <v>577</v>
      </c>
      <c r="P150" s="7" t="s">
        <v>156</v>
      </c>
      <c r="Q150" s="7" t="s">
        <v>156</v>
      </c>
      <c r="R150" s="14"/>
      <c r="S150" s="14">
        <v>1</v>
      </c>
      <c r="T150" s="14"/>
      <c r="U150" s="7" t="b">
        <v>1</v>
      </c>
      <c r="V150" s="7" t="b">
        <v>0</v>
      </c>
      <c r="W150" s="7" t="b">
        <v>1</v>
      </c>
      <c r="X150" s="7"/>
      <c r="Y150" s="7" t="b">
        <v>1</v>
      </c>
      <c r="Z150" s="7" t="b">
        <v>0</v>
      </c>
      <c r="AA150" s="7" t="b">
        <v>0</v>
      </c>
      <c r="AB150" s="7"/>
      <c r="AC150" s="7" t="b">
        <v>0</v>
      </c>
      <c r="AD150" s="7" t="b">
        <v>0</v>
      </c>
    </row>
    <row r="151" spans="1:30" x14ac:dyDescent="0.3">
      <c r="A151" s="7">
        <f t="shared" si="10"/>
        <v>150</v>
      </c>
      <c r="B151" s="7">
        <v>23</v>
      </c>
      <c r="C151" s="7" t="str" cm="1">
        <f t="array" ref="C151">GetValue("Tables","Name",B151)</f>
        <v>testes</v>
      </c>
      <c r="D151" s="8" t="str" cm="1">
        <f t="array" ref="D151">GetValue("Tables","Alias",B151)</f>
        <v>teste</v>
      </c>
      <c r="E151" s="7">
        <f>E150+5</f>
        <v>10</v>
      </c>
      <c r="F151" s="7">
        <v>5</v>
      </c>
      <c r="G151" s="7" t="str" cm="1">
        <f t="array" ref="G151">GetValue("Domains","Name",F151)</f>
        <v>TinyInteger</v>
      </c>
      <c r="H151" s="7" t="str" cm="1">
        <f t="array" ref="H151">GetValue("Domains","#CategoryName",F151)</f>
        <v>number</v>
      </c>
      <c r="I151" s="7" t="str" cm="1">
        <f t="array" ref="I151">GetValue("Domains","#TypeName",F151)</f>
        <v>tinyint</v>
      </c>
      <c r="J151" s="7" t="str" cm="1">
        <f t="array" ref="J151">GetValue("Domains","#DataType",F151)</f>
        <v>tinyint</v>
      </c>
      <c r="K151" s="7"/>
      <c r="L151" s="7" t="str" cm="1">
        <f t="array" ref="L151">GetValue("Tables","Name",K151)</f>
        <v/>
      </c>
      <c r="M151" s="7" t="s">
        <v>603</v>
      </c>
      <c r="N151" s="7"/>
      <c r="O151" s="7" t="s">
        <v>578</v>
      </c>
      <c r="P151" s="7" t="s">
        <v>158</v>
      </c>
      <c r="Q151" s="7" t="s">
        <v>586</v>
      </c>
      <c r="R151" s="14"/>
      <c r="S151" s="14"/>
      <c r="T151" s="14"/>
      <c r="U151" s="7" t="b">
        <v>1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 t="b">
        <v>0</v>
      </c>
      <c r="AC151" s="7"/>
      <c r="AD151" s="7" t="b">
        <v>0</v>
      </c>
    </row>
    <row r="152" spans="1:30" x14ac:dyDescent="0.3">
      <c r="A152" s="7">
        <f t="shared" si="10"/>
        <v>151</v>
      </c>
      <c r="B152" s="7">
        <v>23</v>
      </c>
      <c r="C152" s="7" t="str" cm="1">
        <f t="array" ref="C152">GetValue("Tables","Name",B152)</f>
        <v>testes</v>
      </c>
      <c r="D152" s="8" t="str" cm="1">
        <f t="array" ref="D152">GetValue("Tables","Alias",B152)</f>
        <v>teste</v>
      </c>
      <c r="E152" s="7">
        <f t="shared" ref="E152:E155" si="16">E151+5</f>
        <v>15</v>
      </c>
      <c r="F152" s="7">
        <v>5</v>
      </c>
      <c r="G152" s="7" t="str" cm="1">
        <f t="array" ref="G152">GetValue("Domains","Name",F152)</f>
        <v>TinyInteger</v>
      </c>
      <c r="H152" s="7" t="str" cm="1">
        <f t="array" ref="H152">GetValue("Domains","#CategoryName",F152)</f>
        <v>number</v>
      </c>
      <c r="I152" s="7" t="str" cm="1">
        <f t="array" ref="I152">GetValue("Domains","#TypeName",F152)</f>
        <v>tinyint</v>
      </c>
      <c r="J152" s="7" t="str" cm="1">
        <f t="array" ref="J152">GetValue("Domains","#DataType",F152)</f>
        <v>tinyint</v>
      </c>
      <c r="K152" s="7"/>
      <c r="L152" s="7" t="str" cm="1">
        <f t="array" ref="L152">GetValue("Tables","Name",K152)</f>
        <v/>
      </c>
      <c r="M152" s="7" t="s">
        <v>604</v>
      </c>
      <c r="N152" s="7"/>
      <c r="O152" s="7" t="s">
        <v>579</v>
      </c>
      <c r="P152" s="7" t="s">
        <v>74</v>
      </c>
      <c r="Q152" s="7" t="s">
        <v>196</v>
      </c>
      <c r="R152" s="14"/>
      <c r="S152" s="14"/>
      <c r="T152" s="14"/>
      <c r="U152" s="7" t="b">
        <v>1</v>
      </c>
      <c r="V152" s="7" t="b">
        <v>0</v>
      </c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 t="b">
        <v>0</v>
      </c>
      <c r="AC152" s="7"/>
      <c r="AD152" s="7" t="b">
        <v>0</v>
      </c>
    </row>
    <row r="153" spans="1:30" x14ac:dyDescent="0.3">
      <c r="A153" s="7">
        <f t="shared" si="10"/>
        <v>152</v>
      </c>
      <c r="B153" s="7">
        <v>23</v>
      </c>
      <c r="C153" s="7" t="str" cm="1">
        <f t="array" ref="C153">GetValue("Tables","Name",B153)</f>
        <v>testes</v>
      </c>
      <c r="D153" s="8" t="str" cm="1">
        <f t="array" ref="D153">GetValue("Tables","Alias",B153)</f>
        <v>teste</v>
      </c>
      <c r="E153" s="7">
        <f t="shared" si="16"/>
        <v>20</v>
      </c>
      <c r="F153" s="7">
        <v>9</v>
      </c>
      <c r="G153" s="7" t="str" cm="1">
        <f t="array" ref="G153">GetValue("Domains","Name",F153)</f>
        <v>Nvarchar(25)</v>
      </c>
      <c r="H153" s="7" t="str" cm="1">
        <f t="array" ref="H153">GetValue("Domains","#CategoryName",F153)</f>
        <v>string</v>
      </c>
      <c r="I153" s="7" t="str" cm="1">
        <f t="array" ref="I153">GetValue("Domains","#TypeName",F153)</f>
        <v>nvarchar</v>
      </c>
      <c r="J153" s="7" t="str" cm="1">
        <f t="array" ref="J153">GetValue("Domains","#DataType",F153)</f>
        <v>nvarchar(25)</v>
      </c>
      <c r="K153" s="7"/>
      <c r="L153" s="7" t="str" cm="1">
        <f t="array" ref="L153">GetValue("Tables","Name",K153)</f>
        <v/>
      </c>
      <c r="M153" s="7" t="s">
        <v>592</v>
      </c>
      <c r="N153" s="7"/>
      <c r="O153" s="7" t="s">
        <v>580</v>
      </c>
      <c r="P153" s="7" t="s">
        <v>585</v>
      </c>
      <c r="Q153" s="7" t="s">
        <v>585</v>
      </c>
      <c r="R153" s="14"/>
      <c r="S153" s="14"/>
      <c r="T153" s="14"/>
      <c r="U153" s="7" t="b">
        <v>0</v>
      </c>
      <c r="V153" s="7"/>
      <c r="W153" s="7" t="b">
        <v>0</v>
      </c>
      <c r="X153" s="7" t="b">
        <v>0</v>
      </c>
      <c r="Y153" s="7" t="b">
        <v>1</v>
      </c>
      <c r="Z153" s="7" t="b">
        <v>1</v>
      </c>
      <c r="AA153" s="7" t="b">
        <v>1</v>
      </c>
      <c r="AB153" s="7" t="b">
        <v>0</v>
      </c>
      <c r="AC153" s="7"/>
      <c r="AD153" s="7" t="b">
        <v>0</v>
      </c>
    </row>
    <row r="154" spans="1:30" x14ac:dyDescent="0.3">
      <c r="A154" s="7">
        <f t="shared" si="10"/>
        <v>153</v>
      </c>
      <c r="B154" s="7">
        <v>23</v>
      </c>
      <c r="C154" s="7" t="str" cm="1">
        <f t="array" ref="C154">GetValue("Tables","Name",B154)</f>
        <v>testes</v>
      </c>
      <c r="D154" s="8" t="str" cm="1">
        <f t="array" ref="D154">GetValue("Tables","Alias",B154)</f>
        <v>teste</v>
      </c>
      <c r="E154" s="7">
        <f t="shared" si="16"/>
        <v>25</v>
      </c>
      <c r="F154" s="7">
        <v>9</v>
      </c>
      <c r="G154" s="7" t="str" cm="1">
        <f t="array" ref="G154">GetValue("Domains","Name",F154)</f>
        <v>Nvarchar(25)</v>
      </c>
      <c r="H154" s="7" t="str" cm="1">
        <f t="array" ref="H154">GetValue("Domains","#CategoryName",F154)</f>
        <v>string</v>
      </c>
      <c r="I154" s="7" t="str" cm="1">
        <f t="array" ref="I154">GetValue("Domains","#TypeName",F154)</f>
        <v>nvarchar</v>
      </c>
      <c r="J154" s="7" t="str" cm="1">
        <f t="array" ref="J154">GetValue("Domains","#DataType",F154)</f>
        <v>nvarchar(25)</v>
      </c>
      <c r="K154" s="7"/>
      <c r="L154" s="7" t="str" cm="1">
        <f t="array" ref="L154">GetValue("Tables","Name",K154)</f>
        <v/>
      </c>
      <c r="M154" s="7" t="s">
        <v>594</v>
      </c>
      <c r="N154" s="7"/>
      <c r="O154" s="7" t="s">
        <v>580</v>
      </c>
      <c r="P154" s="7" t="s">
        <v>585</v>
      </c>
      <c r="Q154" s="7" t="s">
        <v>585</v>
      </c>
      <c r="R154" s="14"/>
      <c r="S154" s="14"/>
      <c r="T154" s="14"/>
      <c r="U154" s="7" t="b">
        <v>0</v>
      </c>
      <c r="V154" s="7"/>
      <c r="W154" s="7" t="b">
        <v>0</v>
      </c>
      <c r="X154" s="7" t="b">
        <v>0</v>
      </c>
      <c r="Y154" s="7" t="b">
        <v>1</v>
      </c>
      <c r="Z154" s="7" t="b">
        <v>1</v>
      </c>
      <c r="AA154" s="7" t="b">
        <v>1</v>
      </c>
      <c r="AB154" s="7" t="b">
        <v>0</v>
      </c>
      <c r="AC154" s="7"/>
      <c r="AD154" s="7" t="b">
        <v>0</v>
      </c>
    </row>
    <row r="155" spans="1:30" x14ac:dyDescent="0.3">
      <c r="A155" s="7">
        <f t="shared" si="10"/>
        <v>154</v>
      </c>
      <c r="B155" s="7">
        <v>23</v>
      </c>
      <c r="C155" s="7" t="str" cm="1">
        <f t="array" ref="C155">GetValue("Tables","Name",B155)</f>
        <v>testes</v>
      </c>
      <c r="D155" s="8" t="str" cm="1">
        <f t="array" ref="D155">GetValue("Tables","Alias",B155)</f>
        <v>teste</v>
      </c>
      <c r="E155" s="7">
        <f t="shared" si="16"/>
        <v>30</v>
      </c>
      <c r="F155" s="7">
        <v>9</v>
      </c>
      <c r="G155" s="7" t="str" cm="1">
        <f t="array" ref="G155">GetValue("Domains","Name",F155)</f>
        <v>Nvarchar(25)</v>
      </c>
      <c r="H155" s="7" t="str" cm="1">
        <f t="array" ref="H155">GetValue("Domains","#CategoryName",F155)</f>
        <v>string</v>
      </c>
      <c r="I155" s="7" t="str" cm="1">
        <f t="array" ref="I155">GetValue("Domains","#TypeName",F155)</f>
        <v>nvarchar</v>
      </c>
      <c r="J155" s="7" t="str" cm="1">
        <f t="array" ref="J155">GetValue("Domains","#DataType",F155)</f>
        <v>nvarchar(25)</v>
      </c>
      <c r="K155" s="7"/>
      <c r="L155" s="7" t="str" cm="1">
        <f t="array" ref="L155">GetValue("Tables","Name",K155)</f>
        <v/>
      </c>
      <c r="M155" s="7" t="s">
        <v>596</v>
      </c>
      <c r="N155" s="7"/>
      <c r="O155" s="7" t="s">
        <v>580</v>
      </c>
      <c r="P155" s="7" t="s">
        <v>585</v>
      </c>
      <c r="Q155" s="7" t="s">
        <v>585</v>
      </c>
      <c r="R155" s="14"/>
      <c r="S155" s="14"/>
      <c r="T155" s="14"/>
      <c r="U155" s="7" t="b">
        <v>0</v>
      </c>
      <c r="V155" s="7"/>
      <c r="W155" s="7" t="b">
        <v>0</v>
      </c>
      <c r="X155" s="7" t="b">
        <v>0</v>
      </c>
      <c r="Y155" s="7" t="b">
        <v>1</v>
      </c>
      <c r="Z155" s="7" t="b">
        <v>1</v>
      </c>
      <c r="AA155" s="7" t="b">
        <v>1</v>
      </c>
      <c r="AB155" s="7" t="b">
        <v>0</v>
      </c>
      <c r="AC155" s="7"/>
      <c r="AD155" s="7" t="b">
        <v>0</v>
      </c>
    </row>
    <row r="156" spans="1:30" x14ac:dyDescent="0.3">
      <c r="A156" s="7">
        <f t="shared" si="10"/>
        <v>155</v>
      </c>
      <c r="B156" s="7">
        <v>23</v>
      </c>
      <c r="C156" s="7" t="str" cm="1">
        <f t="array" ref="C156">GetValue("Tables","Name",B156)</f>
        <v>testes</v>
      </c>
      <c r="D156" s="8" t="str" cm="1">
        <f t="array" ref="D156">GetValue("Tables","Alias",B156)</f>
        <v>teste</v>
      </c>
      <c r="E156" s="7">
        <f t="shared" ref="E156" si="17">E155+5</f>
        <v>35</v>
      </c>
      <c r="F156" s="7">
        <v>5</v>
      </c>
      <c r="G156" s="7" t="str" cm="1">
        <f t="array" ref="G156">GetValue("Domains","Name",F156)</f>
        <v>TinyInteger</v>
      </c>
      <c r="H156" s="7" t="str" cm="1">
        <f t="array" ref="H156">GetValue("Domains","#CategoryName",F156)</f>
        <v>number</v>
      </c>
      <c r="I156" s="7" t="str" cm="1">
        <f t="array" ref="I156">GetValue("Domains","#TypeName",F156)</f>
        <v>tinyint</v>
      </c>
      <c r="J156" s="7" t="str" cm="1">
        <f t="array" ref="J156">GetValue("Domains","#DataType",F156)</f>
        <v>tinyint</v>
      </c>
      <c r="K156" s="7"/>
      <c r="L156" s="7" t="str" cm="1">
        <f t="array" ref="L156">GetValue("Tables","Name",K156)</f>
        <v/>
      </c>
      <c r="M156" s="7" t="s">
        <v>598</v>
      </c>
      <c r="N156" s="7"/>
      <c r="O156" s="7" t="s">
        <v>580</v>
      </c>
      <c r="P156" s="7" t="s">
        <v>585</v>
      </c>
      <c r="Q156" s="7" t="s">
        <v>585</v>
      </c>
      <c r="R156" s="14"/>
      <c r="S156" s="14"/>
      <c r="T156" s="14"/>
      <c r="U156" s="7" t="b">
        <v>0</v>
      </c>
      <c r="V156" s="7"/>
      <c r="W156" s="7" t="b">
        <v>0</v>
      </c>
      <c r="X156" s="7"/>
      <c r="Y156" s="7" t="b">
        <v>1</v>
      </c>
      <c r="Z156" s="7" t="b">
        <v>1</v>
      </c>
      <c r="AA156" s="7" t="b">
        <v>1</v>
      </c>
      <c r="AB156" s="7" t="b">
        <v>0</v>
      </c>
      <c r="AC156" s="7"/>
      <c r="AD156" s="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C14" sqref="C14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588</v>
      </c>
      <c r="B1" s="1" t="s">
        <v>144</v>
      </c>
      <c r="C1" s="1" t="s">
        <v>331</v>
      </c>
      <c r="D1" s="1" t="s">
        <v>1</v>
      </c>
      <c r="E1" s="1" t="s">
        <v>262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11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588</v>
      </c>
      <c r="B1" s="1" t="s">
        <v>266</v>
      </c>
      <c r="C1" s="1" t="s">
        <v>334</v>
      </c>
      <c r="D1" s="1" t="s">
        <v>88</v>
      </c>
      <c r="E1" s="1" t="s">
        <v>270</v>
      </c>
      <c r="F1" s="1" t="s">
        <v>335</v>
      </c>
      <c r="G1" s="1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588</v>
      </c>
      <c r="B1" s="1" t="s">
        <v>87</v>
      </c>
      <c r="C1" s="1" t="s">
        <v>121</v>
      </c>
      <c r="D1" s="1" t="s">
        <v>536</v>
      </c>
      <c r="E1" s="1" t="s">
        <v>320</v>
      </c>
      <c r="F1" s="1" t="s">
        <v>324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588</v>
      </c>
      <c r="B1" s="1" t="s">
        <v>519</v>
      </c>
      <c r="C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588</v>
      </c>
      <c r="B1" s="1" t="s">
        <v>419</v>
      </c>
      <c r="C1" s="1" t="s">
        <v>420</v>
      </c>
      <c r="D1" s="1" t="s">
        <v>91</v>
      </c>
      <c r="E1" s="1" t="s">
        <v>459</v>
      </c>
      <c r="F1" s="1" t="s">
        <v>421</v>
      </c>
      <c r="G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3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588</v>
      </c>
      <c r="B1" s="1" t="s">
        <v>443</v>
      </c>
      <c r="C1" s="1" t="s">
        <v>457</v>
      </c>
      <c r="D1" s="1" t="s">
        <v>449</v>
      </c>
      <c r="E1" s="1" t="s">
        <v>452</v>
      </c>
      <c r="F1" s="1" t="s">
        <v>453</v>
      </c>
      <c r="G1" s="1" t="s">
        <v>444</v>
      </c>
      <c r="H1" s="1" t="s">
        <v>458</v>
      </c>
      <c r="I1" s="1" t="s">
        <v>450</v>
      </c>
      <c r="J1" s="1" t="s">
        <v>451</v>
      </c>
      <c r="K1" s="1" t="s">
        <v>454</v>
      </c>
      <c r="L1" s="1" t="s">
        <v>440</v>
      </c>
    </row>
    <row r="2" spans="1:12" x14ac:dyDescent="0.3">
      <c r="A2">
        <f>ROW(A2)-1</f>
        <v>1</v>
      </c>
      <c r="B2">
        <v>87</v>
      </c>
      <c r="C2" cm="1">
        <f t="array" ref="C2">GetValue("Columns","TableId",B2)</f>
        <v>13</v>
      </c>
      <c r="D2" t="str" cm="1">
        <f t="array" ref="D2">GetValue("Tables","Name",C2)</f>
        <v>DatabasesTables</v>
      </c>
      <c r="E2" t="str" cm="1">
        <f t="array" ref="E2">GetValue("Columns","#TableAlias",B2)</f>
        <v>DatabaseTable</v>
      </c>
      <c r="F2" t="str" cm="1">
        <f t="array" ref="F2">GetValue("Columns","Name",B2)</f>
        <v>TableId</v>
      </c>
      <c r="G2">
        <v>88</v>
      </c>
      <c r="H2" cm="1">
        <f t="array" ref="H2">GetValue("Columns","TableId",G2)</f>
        <v>13</v>
      </c>
      <c r="I2" t="str" cm="1">
        <f t="array" ref="I2">GetValue("Tables","Name",H2)</f>
        <v>DatabasesTables</v>
      </c>
      <c r="J2" t="str" cm="1">
        <f t="array" ref="J2">GetValue("Columns","#TableAlias",G2)</f>
        <v>DatabaseTable</v>
      </c>
      <c r="K2" t="str" cm="1">
        <f t="array" ref="K2">GetValue("Columns","Name",G2)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6D434-303D-4217-857D-3FE7C9978B7C}">
  <dimension ref="A1:G2"/>
  <sheetViews>
    <sheetView workbookViewId="0">
      <selection activeCell="G2" sqref="G2"/>
    </sheetView>
  </sheetViews>
  <sheetFormatPr defaultRowHeight="14.4" x14ac:dyDescent="0.3"/>
  <sheetData>
    <row r="1" spans="1:7" x14ac:dyDescent="0.3">
      <c r="A1" t="s">
        <v>589</v>
      </c>
      <c r="B1" t="s">
        <v>590</v>
      </c>
      <c r="C1" t="s">
        <v>591</v>
      </c>
      <c r="D1" t="s">
        <v>592</v>
      </c>
      <c r="E1" t="s">
        <v>594</v>
      </c>
      <c r="F1" t="s">
        <v>596</v>
      </c>
      <c r="G1" t="s">
        <v>598</v>
      </c>
    </row>
    <row r="2" spans="1:7" x14ac:dyDescent="0.3">
      <c r="A2">
        <v>1</v>
      </c>
      <c r="B2">
        <v>2</v>
      </c>
      <c r="C2">
        <v>3</v>
      </c>
      <c r="D2" t="s">
        <v>593</v>
      </c>
      <c r="E2" t="s">
        <v>595</v>
      </c>
      <c r="F2" t="s">
        <v>597</v>
      </c>
      <c r="G2">
        <v>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Categories</vt:lpstr>
      <vt:lpstr>Comparators</vt:lpstr>
      <vt:lpstr>Rules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testes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2026-06-17T23:52:05Z</dcterms:modified>
</cp:coreProperties>
</file>