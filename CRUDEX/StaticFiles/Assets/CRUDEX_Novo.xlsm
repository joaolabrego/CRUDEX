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8ABCF906-A0F8-441E-A524-BBA10B2C1A5A}" xr6:coauthVersionLast="47" xr6:coauthVersionMax="47" xr10:uidLastSave="{00000000-0000-0000-0000-000000000000}"/>
  <bookViews>
    <workbookView xWindow="-108" yWindow="-108" windowWidth="23256" windowHeight="13176" tabRatio="969" firstSheet="14" activeTab="36" xr2:uid="{62178005-964C-499D-8BA4-3BC85200C027}"/>
  </bookViews>
  <sheets>
    <sheet name="Sgbd" sheetId="63" r:id="rId1"/>
    <sheet name="Typ" sheetId="1" r:id="rId2"/>
    <sheet name="Cli" sheetId="26" r:id="rId3"/>
    <sheet name="Dmn" sheetId="4" r:id="rId4"/>
    <sheet name="Msk" sheetId="3" r:id="rId5"/>
    <sheet name="DmnMsk" sheetId="36" r:id="rId6"/>
    <sheet name="Usr" sheetId="7" r:id="rId7"/>
    <sheet name="Env" sheetId="33" r:id="rId8"/>
    <sheet name="Sys" sheetId="5" r:id="rId9"/>
    <sheet name="SysGrpEnv" sheetId="8" r:id="rId10"/>
    <sheet name="Dtb" sheetId="9" r:id="rId11"/>
    <sheet name="Tbl" sheetId="11" r:id="rId12"/>
    <sheet name="Rnk" sheetId="48" r:id="rId13"/>
    <sheet name="DtbTbl" sheetId="17" r:id="rId14"/>
    <sheet name="Col" sheetId="12" r:id="rId15"/>
    <sheet name="ChkDig" sheetId="61" r:id="rId16"/>
    <sheet name="ChkCnd" sheetId="62" r:id="rId17"/>
    <sheet name="Rel" sheetId="43" r:id="rId18"/>
    <sheet name="Unq" sheetId="22" r:id="rId19"/>
    <sheet name="Req" sheetId="35" r:id="rId20"/>
    <sheet name="Idx" sheetId="13" r:id="rId21"/>
    <sheet name="IdxKey" sheetId="14" r:id="rId22"/>
    <sheet name="IdxInc" sheetId="41" r:id="rId23"/>
    <sheet name="Con" sheetId="18" r:id="rId24"/>
    <sheet name="DtbEnv" sheetId="34" r:id="rId25"/>
    <sheet name="Ses" sheetId="15" r:id="rId26"/>
    <sheet name="Trs" sheetId="19" r:id="rId27"/>
    <sheet name="Ope" sheetId="20" r:id="rId28"/>
    <sheet name="Snp" sheetId="29" r:id="rId29"/>
    <sheet name="SnpScr" sheetId="38" r:id="rId30"/>
    <sheet name="Prd" sheetId="32" r:id="rId31"/>
    <sheet name="Sch" sheetId="30" r:id="rId32"/>
    <sheet name="SchScr" sheetId="39" r:id="rId33"/>
    <sheet name="Opr" sheetId="51" r:id="rId34"/>
    <sheet name="Prp" sheetId="54" r:id="rId35"/>
    <sheet name="Bhv" sheetId="52" r:id="rId36"/>
    <sheet name="BhvChk" sheetId="60" r:id="rId37"/>
  </sheets>
  <functionGroups builtInGroupCount="19"/>
  <definedNames>
    <definedName name="_xlnm._FilterDatabase" localSheetId="14" hidden="1">Col!$A$1:$T$198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60" l="1"/>
  <c r="A2" i="60"/>
  <c r="A11" i="51"/>
  <c r="A10" i="51"/>
  <c r="A5" i="51"/>
  <c r="A9" i="51"/>
  <c r="A11" i="63"/>
  <c r="A10" i="63"/>
  <c r="A12" i="1"/>
  <c r="A11" i="1"/>
  <c r="A10" i="1"/>
  <c r="A9" i="1"/>
  <c r="A8" i="1"/>
  <c r="A7" i="1"/>
  <c r="A6" i="1"/>
  <c r="A5" i="1"/>
  <c r="A4" i="1"/>
  <c r="A3" i="1"/>
  <c r="A9" i="63"/>
  <c r="A8" i="63"/>
  <c r="A7" i="63"/>
  <c r="A6" i="63"/>
  <c r="A5" i="63"/>
  <c r="A4" i="63"/>
  <c r="A3" i="63"/>
  <c r="A2" i="63"/>
  <c r="A4" i="8"/>
  <c r="H16" i="17"/>
  <c r="H17" i="17" s="1"/>
  <c r="H18" i="17" s="1"/>
  <c r="H19" i="17" s="1"/>
  <c r="H20" i="17" s="1"/>
  <c r="H21" i="17" s="1"/>
  <c r="H22" i="17" s="1"/>
  <c r="H23" i="17" s="1"/>
  <c r="H24" i="17" s="1"/>
  <c r="H25" i="17" s="1"/>
  <c r="H26" i="17" s="1"/>
  <c r="H27" i="17" s="1"/>
  <c r="H28" i="17" s="1"/>
  <c r="H29" i="17" s="1"/>
  <c r="H30" i="17" s="1"/>
  <c r="H31" i="17" s="1"/>
  <c r="H32" i="17" s="1"/>
  <c r="H33" i="17" s="1"/>
  <c r="H34" i="17" s="1"/>
  <c r="H35" i="17" s="1"/>
  <c r="H36" i="17" s="1"/>
  <c r="H37" i="17" s="1"/>
  <c r="H38" i="17" s="1"/>
  <c r="A38" i="17"/>
  <c r="A19" i="12"/>
  <c r="F19" i="12"/>
  <c r="F20" i="12" s="1"/>
  <c r="A20" i="12"/>
  <c r="H3" i="17"/>
  <c r="H4" i="17" s="1"/>
  <c r="H5" i="17" s="1"/>
  <c r="H6" i="17" s="1"/>
  <c r="H7" i="17" s="1"/>
  <c r="H8" i="17" s="1"/>
  <c r="H9" i="17" s="1"/>
  <c r="H10" i="17" s="1"/>
  <c r="H11" i="17" s="1"/>
  <c r="H12" i="17" s="1"/>
  <c r="H13" i="17" s="1"/>
  <c r="H14" i="17" s="1"/>
  <c r="H15" i="17" s="1"/>
  <c r="A23" i="4"/>
  <c r="F21" i="4" a="1"/>
  <c r="F11" i="4" a="1"/>
  <c r="F17" i="4" a="1"/>
  <c r="F16" i="4" a="1"/>
  <c r="F20" i="4" a="1"/>
  <c r="F3" i="4" a="1"/>
  <c r="F19" i="4" a="1"/>
  <c r="F10" i="4" a="1"/>
  <c r="F8" i="4" a="1"/>
  <c r="F7" i="4" a="1"/>
  <c r="F6" i="4" a="1"/>
  <c r="F23" i="4" a="1"/>
  <c r="F13" i="4" a="1"/>
  <c r="F18" i="4" a="1"/>
  <c r="F9" i="4" a="1"/>
  <c r="F12" i="4" a="1"/>
  <c r="F22" i="4" a="1"/>
  <c r="F5" i="4" a="1"/>
  <c r="F14" i="4" a="1"/>
  <c r="F4" i="4" a="1"/>
  <c r="F15" i="4" a="1"/>
  <c r="F2" i="4" a="1"/>
  <c r="C4" i="34" a="1"/>
  <c r="E2" i="48" a="1"/>
  <c r="C3" i="17" a="1"/>
  <c r="E3" i="17" a="1"/>
  <c r="E26" i="17" a="1"/>
  <c r="E35" i="17" a="1"/>
  <c r="D21" i="4" a="1"/>
  <c r="D6" i="4" a="1"/>
  <c r="D3" i="4" a="1"/>
  <c r="E37" i="17" a="1"/>
  <c r="E30" i="17" a="1"/>
  <c r="C3" i="34" a="1"/>
  <c r="E5" i="17" a="1"/>
  <c r="E15" i="17" a="1"/>
  <c r="E28" i="17" a="1"/>
  <c r="E36" i="17" a="1"/>
  <c r="E5" i="48" a="1"/>
  <c r="K38" i="17" a="1"/>
  <c r="C5" i="48" a="1"/>
  <c r="E33" i="17" a="1"/>
  <c r="D18" i="4" a="1"/>
  <c r="C20" i="17" a="1"/>
  <c r="D17" i="4" a="1"/>
  <c r="E8" i="17" a="1"/>
  <c r="C7" i="17" a="1"/>
  <c r="D5" i="4" a="1"/>
  <c r="C9" i="17" a="1"/>
  <c r="C3" i="1" a="1"/>
  <c r="E32" i="17" a="1"/>
  <c r="E4" i="8" a="1"/>
  <c r="C8" i="17" a="1"/>
  <c r="E19" i="12" a="1"/>
  <c r="C2" i="1" a="1"/>
  <c r="C21" i="17" a="1"/>
  <c r="C6" i="1" a="1"/>
  <c r="G38" i="17" a="1"/>
  <c r="E31" i="17" a="1"/>
  <c r="C5" i="1" a="1"/>
  <c r="G2" i="8" a="1"/>
  <c r="C19" i="17" a="1"/>
  <c r="E7" i="17" a="1"/>
  <c r="C4" i="48" a="1"/>
  <c r="C7" i="1" a="1"/>
  <c r="E9" i="17" a="1"/>
  <c r="D4" i="4" a="1"/>
  <c r="C9" i="1" a="1"/>
  <c r="C2" i="34" a="1"/>
  <c r="D10" i="4" a="1"/>
  <c r="C4" i="8" a="1"/>
  <c r="D2" i="4" a="1"/>
  <c r="C32" i="17" a="1"/>
  <c r="E12" i="17" a="1"/>
  <c r="E20" i="17" a="1"/>
  <c r="C13" i="17" a="1"/>
  <c r="E18" i="17" a="1"/>
  <c r="C30" i="17" a="1"/>
  <c r="C2" i="17" a="1"/>
  <c r="C16" i="17" a="1"/>
  <c r="C15" i="17" a="1"/>
  <c r="E6" i="17" a="1"/>
  <c r="E14" i="17" a="1"/>
  <c r="E23" i="17" a="1"/>
  <c r="C22" i="17" a="1"/>
  <c r="E6" i="48" a="1"/>
  <c r="E17" i="17" a="1"/>
  <c r="D16" i="4" a="1"/>
  <c r="D7" i="4" a="1"/>
  <c r="C10" i="17" a="1"/>
  <c r="C6" i="48" a="1"/>
  <c r="C27" i="17" a="1"/>
  <c r="D22" i="4" a="1"/>
  <c r="D14" i="4" a="1"/>
  <c r="D20" i="4" a="1"/>
  <c r="C12" i="17" a="1"/>
  <c r="E21" i="17" a="1"/>
  <c r="C31" i="17" a="1"/>
  <c r="C33" i="17" a="1"/>
  <c r="E11" i="17" a="1"/>
  <c r="C6" i="17" a="1"/>
  <c r="D13" i="4" a="1"/>
  <c r="E3" i="48" a="1"/>
  <c r="C29" i="17" a="1"/>
  <c r="E13" i="17" a="1"/>
  <c r="C8" i="1" a="1"/>
  <c r="D19" i="4" a="1"/>
  <c r="C14" i="17" a="1"/>
  <c r="G3" i="8" a="1"/>
  <c r="E16" i="17" a="1"/>
  <c r="E27" i="17" a="1"/>
  <c r="D11" i="4" a="1"/>
  <c r="C2" i="48" a="1"/>
  <c r="C19" i="12" a="1"/>
  <c r="C5" i="17" a="1"/>
  <c r="C10" i="1" a="1"/>
  <c r="C28" i="17" a="1"/>
  <c r="C34" i="17" a="1"/>
  <c r="C23" i="17" a="1"/>
  <c r="C38" i="17" a="1"/>
  <c r="C26" i="17" a="1"/>
  <c r="E25" i="17" a="1"/>
  <c r="C11" i="1" a="1"/>
  <c r="E19" i="17" a="1"/>
  <c r="C3" i="48" a="1"/>
  <c r="E24" i="17" a="1"/>
  <c r="C18" i="17" a="1"/>
  <c r="E22" i="17" a="1"/>
  <c r="D23" i="4" a="1"/>
  <c r="C37" i="17" a="1"/>
  <c r="C36" i="17" a="1"/>
  <c r="C25" i="17" a="1"/>
  <c r="D12" i="4" a="1"/>
  <c r="E4" i="17" a="1"/>
  <c r="C35" i="17" a="1"/>
  <c r="C4" i="1" a="1"/>
  <c r="C12" i="1" a="1"/>
  <c r="E29" i="17" a="1"/>
  <c r="E34" i="17" a="1"/>
  <c r="D15" i="4" a="1"/>
  <c r="G4" i="8" a="1"/>
  <c r="E10" i="17" a="1"/>
  <c r="C24" i="17" a="1"/>
  <c r="E38" i="17" a="1"/>
  <c r="D8" i="4" a="1"/>
  <c r="C4" i="17" a="1"/>
  <c r="E4" i="48" a="1"/>
  <c r="C17" i="17" a="1"/>
  <c r="D9" i="4" a="1"/>
  <c r="C11" i="17" a="1"/>
  <c r="C3" i="1" l="1"/>
  <c r="C10" i="1"/>
  <c r="C4" i="1"/>
  <c r="C5" i="1"/>
  <c r="C6" i="1"/>
  <c r="C7" i="1"/>
  <c r="C8" i="1"/>
  <c r="C9" i="1"/>
  <c r="C11" i="1"/>
  <c r="C12" i="1"/>
  <c r="C2" i="1"/>
  <c r="D19" i="4"/>
  <c r="D11" i="4"/>
  <c r="D21" i="4"/>
  <c r="D3" i="4"/>
  <c r="D13" i="4"/>
  <c r="D23" i="4"/>
  <c r="D4" i="4"/>
  <c r="D14" i="4"/>
  <c r="D5" i="4"/>
  <c r="D15" i="4"/>
  <c r="D6" i="4"/>
  <c r="D16" i="4"/>
  <c r="D7" i="4"/>
  <c r="D17" i="4"/>
  <c r="D8" i="4"/>
  <c r="D18" i="4"/>
  <c r="D9" i="4"/>
  <c r="D10" i="4"/>
  <c r="D20" i="4"/>
  <c r="D12" i="4"/>
  <c r="D22" i="4"/>
  <c r="E19" i="12"/>
  <c r="C19" i="12"/>
  <c r="C4" i="8"/>
  <c r="E4" i="8"/>
  <c r="G4" i="8"/>
  <c r="G3" i="8"/>
  <c r="G2" i="8"/>
  <c r="K38" i="17"/>
  <c r="G38" i="17"/>
  <c r="E38" i="17"/>
  <c r="C38" i="17"/>
  <c r="E26" i="17"/>
  <c r="E22" i="17"/>
  <c r="E30" i="17"/>
  <c r="E12" i="17"/>
  <c r="E20" i="17"/>
  <c r="E3" i="17"/>
  <c r="E13" i="17"/>
  <c r="E21" i="17"/>
  <c r="E31" i="17"/>
  <c r="E4" i="17"/>
  <c r="E14" i="17"/>
  <c r="E32" i="17"/>
  <c r="E5" i="17"/>
  <c r="E15" i="17"/>
  <c r="E23" i="17"/>
  <c r="E33" i="17"/>
  <c r="E6" i="17"/>
  <c r="E24" i="17"/>
  <c r="E34" i="17"/>
  <c r="E7" i="17"/>
  <c r="E16" i="17"/>
  <c r="E25" i="17"/>
  <c r="E35" i="17"/>
  <c r="E8" i="17"/>
  <c r="E36" i="17"/>
  <c r="E9" i="17"/>
  <c r="E17" i="17"/>
  <c r="E27" i="17"/>
  <c r="E37" i="17"/>
  <c r="E10" i="17"/>
  <c r="E18" i="17"/>
  <c r="E28" i="17"/>
  <c r="E11" i="17"/>
  <c r="E19" i="17"/>
  <c r="E29" i="17"/>
  <c r="C26" i="17"/>
  <c r="C36" i="17"/>
  <c r="C9" i="17"/>
  <c r="C17" i="17"/>
  <c r="C27" i="17"/>
  <c r="C37" i="17"/>
  <c r="C10" i="17"/>
  <c r="C18" i="17"/>
  <c r="C28" i="17"/>
  <c r="C11" i="17"/>
  <c r="C19" i="17"/>
  <c r="C29" i="17"/>
  <c r="C3" i="17"/>
  <c r="C12" i="17"/>
  <c r="C20" i="17"/>
  <c r="C30" i="17"/>
  <c r="C4" i="17"/>
  <c r="C13" i="17"/>
  <c r="C21" i="17"/>
  <c r="C31" i="17"/>
  <c r="C5" i="17"/>
  <c r="C14" i="17"/>
  <c r="C22" i="17"/>
  <c r="C32" i="17"/>
  <c r="C6" i="17"/>
  <c r="C15" i="17"/>
  <c r="C23" i="17"/>
  <c r="C33" i="17"/>
  <c r="C7" i="17"/>
  <c r="C24" i="17"/>
  <c r="C34" i="17"/>
  <c r="C8" i="17"/>
  <c r="C16" i="17"/>
  <c r="C25" i="17"/>
  <c r="C35" i="17"/>
  <c r="C2" i="17"/>
  <c r="E3" i="48"/>
  <c r="E4" i="48"/>
  <c r="E5" i="48"/>
  <c r="E6" i="48"/>
  <c r="E2" i="48"/>
  <c r="C3" i="48"/>
  <c r="C4" i="48"/>
  <c r="C5" i="48"/>
  <c r="C6" i="48"/>
  <c r="C2" i="48"/>
  <c r="C3" i="34"/>
  <c r="C4" i="34"/>
  <c r="C2" i="34"/>
  <c r="F16" i="4"/>
  <c r="F17" i="4"/>
  <c r="F18" i="4"/>
  <c r="F9" i="4"/>
  <c r="F4" i="4"/>
  <c r="F14" i="4"/>
  <c r="F5" i="4"/>
  <c r="F15" i="4"/>
  <c r="F6" i="4"/>
  <c r="F7" i="4"/>
  <c r="F8" i="4"/>
  <c r="F19" i="4"/>
  <c r="F10" i="4"/>
  <c r="F20" i="4"/>
  <c r="F11" i="4"/>
  <c r="F21" i="4"/>
  <c r="F12" i="4"/>
  <c r="F22" i="4"/>
  <c r="F3" i="4"/>
  <c r="F13" i="4"/>
  <c r="F23" i="4"/>
  <c r="F2" i="4"/>
  <c r="D2" i="4"/>
  <c r="A17" i="12" l="1"/>
  <c r="A214" i="12"/>
  <c r="F213" i="12"/>
  <c r="F214" i="12" s="1"/>
  <c r="F215" i="12" s="1"/>
  <c r="F216" i="12" s="1"/>
  <c r="F217" i="12" s="1"/>
  <c r="A217" i="12"/>
  <c r="E36" i="13" a="1"/>
  <c r="E3" i="13" a="1"/>
  <c r="E44" i="13" a="1"/>
  <c r="E18" i="13" a="1"/>
  <c r="E30" i="13" a="1"/>
  <c r="E35" i="13" a="1"/>
  <c r="E46" i="13" a="1"/>
  <c r="E214" i="12" a="1"/>
  <c r="E24" i="13" a="1"/>
  <c r="E38" i="13" a="1"/>
  <c r="E7" i="13" a="1"/>
  <c r="E17" i="12" a="1"/>
  <c r="E28" i="13" a="1"/>
  <c r="E40" i="13" a="1"/>
  <c r="E15" i="13" a="1"/>
  <c r="C17" i="12" a="1"/>
  <c r="E4" i="13" a="1"/>
  <c r="E5" i="13" a="1"/>
  <c r="C217" i="12" a="1"/>
  <c r="E39" i="13" a="1"/>
  <c r="E34" i="13" a="1"/>
  <c r="E217" i="12" a="1"/>
  <c r="E25" i="13" a="1"/>
  <c r="E45" i="13" a="1"/>
  <c r="C214" i="12" a="1"/>
  <c r="E22" i="13" a="1"/>
  <c r="E37" i="13" a="1"/>
  <c r="E32" i="13" a="1"/>
  <c r="E17" i="13" a="1"/>
  <c r="E41" i="13" a="1"/>
  <c r="E29" i="13" a="1"/>
  <c r="E8" i="13" a="1"/>
  <c r="E43" i="13" a="1"/>
  <c r="E48" i="13" a="1"/>
  <c r="E10" i="13" a="1"/>
  <c r="E14" i="13" a="1"/>
  <c r="E47" i="13" a="1"/>
  <c r="E6" i="13" a="1"/>
  <c r="E26" i="13" a="1"/>
  <c r="E13" i="13" a="1"/>
  <c r="E20" i="13" a="1"/>
  <c r="E12" i="13" a="1"/>
  <c r="E42" i="13" a="1"/>
  <c r="E33" i="13" a="1"/>
  <c r="E9" i="13" a="1"/>
  <c r="E16" i="13" a="1"/>
  <c r="E27" i="13" a="1"/>
  <c r="E31" i="13" a="1"/>
  <c r="E11" i="13" a="1"/>
  <c r="E23" i="13" a="1"/>
  <c r="E21" i="13" a="1"/>
  <c r="E2" i="13" a="1"/>
  <c r="E19" i="13" a="1"/>
  <c r="D3" i="60" a="1"/>
  <c r="E9" i="13" l="1"/>
  <c r="E19" i="13"/>
  <c r="E29" i="13"/>
  <c r="E39" i="13"/>
  <c r="E10" i="13"/>
  <c r="E20" i="13"/>
  <c r="E30" i="13"/>
  <c r="E40" i="13"/>
  <c r="E11" i="13"/>
  <c r="E21" i="13"/>
  <c r="E31" i="13"/>
  <c r="E41" i="13"/>
  <c r="E12" i="13"/>
  <c r="E22" i="13"/>
  <c r="E32" i="13"/>
  <c r="E42" i="13"/>
  <c r="E3" i="13"/>
  <c r="E13" i="13"/>
  <c r="E23" i="13"/>
  <c r="E33" i="13"/>
  <c r="E43" i="13"/>
  <c r="E4" i="13"/>
  <c r="E14" i="13"/>
  <c r="E24" i="13"/>
  <c r="E34" i="13"/>
  <c r="E44" i="13"/>
  <c r="E5" i="13"/>
  <c r="E15" i="13"/>
  <c r="E25" i="13"/>
  <c r="E35" i="13"/>
  <c r="E45" i="13"/>
  <c r="E6" i="13"/>
  <c r="E16" i="13"/>
  <c r="E26" i="13"/>
  <c r="E36" i="13"/>
  <c r="E46" i="13"/>
  <c r="E7" i="13"/>
  <c r="E17" i="13"/>
  <c r="E27" i="13"/>
  <c r="E37" i="13"/>
  <c r="E47" i="13"/>
  <c r="E8" i="13"/>
  <c r="E18" i="13"/>
  <c r="E28" i="13"/>
  <c r="E38" i="13"/>
  <c r="E48" i="13"/>
  <c r="E2" i="13"/>
  <c r="E17" i="12"/>
  <c r="C17" i="12"/>
  <c r="C214" i="12"/>
  <c r="E214" i="12"/>
  <c r="E217" i="12"/>
  <c r="C217" i="12"/>
  <c r="D3" i="60"/>
  <c r="A216" i="12"/>
  <c r="A215" i="12"/>
  <c r="A213" i="12"/>
  <c r="A202" i="12"/>
  <c r="A53" i="43"/>
  <c r="A55" i="43"/>
  <c r="A54" i="43"/>
  <c r="A52" i="43"/>
  <c r="A51" i="43"/>
  <c r="A50" i="43"/>
  <c r="A37" i="17"/>
  <c r="A36" i="17"/>
  <c r="A35" i="17"/>
  <c r="A212" i="12"/>
  <c r="A211" i="12"/>
  <c r="A210" i="12"/>
  <c r="F209" i="12"/>
  <c r="F210" i="12" s="1"/>
  <c r="F211" i="12" s="1"/>
  <c r="A209" i="12"/>
  <c r="A208" i="12"/>
  <c r="A207" i="12"/>
  <c r="A206" i="12"/>
  <c r="A205" i="12"/>
  <c r="F204" i="12"/>
  <c r="F205" i="12" s="1"/>
  <c r="F206" i="12" s="1"/>
  <c r="F207" i="12" s="1"/>
  <c r="A204" i="12"/>
  <c r="A203" i="12"/>
  <c r="A201" i="12"/>
  <c r="F200" i="12"/>
  <c r="F201" i="12" s="1"/>
  <c r="F202" i="12" s="1"/>
  <c r="A200" i="12"/>
  <c r="A199" i="12"/>
  <c r="A8" i="51"/>
  <c r="A38" i="11"/>
  <c r="A37" i="11"/>
  <c r="A3" i="52"/>
  <c r="A36" i="11"/>
  <c r="A35" i="11"/>
  <c r="A2" i="52"/>
  <c r="A26" i="51"/>
  <c r="A25" i="51"/>
  <c r="A3" i="51"/>
  <c r="A6" i="51"/>
  <c r="A7" i="51"/>
  <c r="A4" i="51"/>
  <c r="A2" i="51"/>
  <c r="A192" i="12"/>
  <c r="A170" i="12"/>
  <c r="A20" i="14"/>
  <c r="A15" i="13"/>
  <c r="A22" i="13"/>
  <c r="A21" i="13"/>
  <c r="A86" i="12"/>
  <c r="A6" i="48"/>
  <c r="A5" i="48"/>
  <c r="A4" i="48"/>
  <c r="A2" i="48"/>
  <c r="A3" i="48"/>
  <c r="A89" i="12"/>
  <c r="A34" i="17"/>
  <c r="F58" i="12"/>
  <c r="F59" i="12" s="1"/>
  <c r="F60" i="12" s="1"/>
  <c r="F61" i="12" s="1"/>
  <c r="A58" i="12"/>
  <c r="A78" i="12"/>
  <c r="F77" i="12"/>
  <c r="F78" i="12" s="1"/>
  <c r="A77" i="12"/>
  <c r="A76" i="12"/>
  <c r="F66" i="12"/>
  <c r="F67" i="12" s="1"/>
  <c r="F68" i="12" s="1"/>
  <c r="F69" i="12" s="1"/>
  <c r="F70" i="12" s="1"/>
  <c r="F71" i="12" s="1"/>
  <c r="A66" i="12"/>
  <c r="A87" i="12"/>
  <c r="A24" i="13"/>
  <c r="A33" i="17"/>
  <c r="A32" i="17"/>
  <c r="A31" i="17"/>
  <c r="A48" i="13"/>
  <c r="A44" i="13"/>
  <c r="C202" i="12" a="1"/>
  <c r="G21" i="17" a="1"/>
  <c r="C33" i="12" a="1"/>
  <c r="E24" i="43" a="1"/>
  <c r="E9" i="43" a="1"/>
  <c r="E7" i="43" a="1"/>
  <c r="C101" i="12" a="1"/>
  <c r="C44" i="43" a="1"/>
  <c r="G22" i="17" a="1"/>
  <c r="G34" i="17" a="1"/>
  <c r="C109" i="12" a="1"/>
  <c r="C40" i="12" a="1"/>
  <c r="C62" i="14" a="1"/>
  <c r="E47" i="14" a="1"/>
  <c r="E24" i="14" a="1"/>
  <c r="C2" i="52" a="1"/>
  <c r="E33" i="14" a="1"/>
  <c r="C86" i="12" a="1"/>
  <c r="C74" i="12" a="1"/>
  <c r="C13" i="12" a="1"/>
  <c r="E26" i="14" a="1"/>
  <c r="C64" i="12" a="1"/>
  <c r="K31" i="17" a="1"/>
  <c r="E40" i="43" a="1"/>
  <c r="F44" i="13" a="1"/>
  <c r="C65" i="14" a="1"/>
  <c r="E27" i="43" a="1"/>
  <c r="C46" i="12" a="1"/>
  <c r="C42" i="14" a="1"/>
  <c r="E2" i="14" a="1"/>
  <c r="E202" i="12" a="1"/>
  <c r="C6" i="14" a="1"/>
  <c r="C55" i="14" a="1"/>
  <c r="E66" i="12" a="1"/>
  <c r="E53" i="43" a="1"/>
  <c r="E19" i="43" a="1"/>
  <c r="E8" i="43" a="1"/>
  <c r="C37" i="14" a="1"/>
  <c r="G37" i="17" a="1"/>
  <c r="C19" i="14" a="1"/>
  <c r="E204" i="12" a="1"/>
  <c r="C37" i="43" a="1"/>
  <c r="E21" i="14" a="1"/>
  <c r="C173" i="12" a="1"/>
  <c r="C32" i="14" a="1"/>
  <c r="E3" i="52" a="1"/>
  <c r="E65" i="14" a="1"/>
  <c r="C158" i="12" a="1"/>
  <c r="G2" i="17" a="1"/>
  <c r="C111" i="12" a="1"/>
  <c r="E29" i="43" a="1"/>
  <c r="G18" i="17" a="1"/>
  <c r="C15" i="13" a="1"/>
  <c r="C185" i="12" a="1"/>
  <c r="C77" i="12" a="1"/>
  <c r="C140" i="12" a="1"/>
  <c r="C41" i="43" a="1"/>
  <c r="C82" i="12" a="1"/>
  <c r="C203" i="12" a="1"/>
  <c r="C34" i="12" a="1"/>
  <c r="C165" i="12" a="1"/>
  <c r="E9" i="14" a="1"/>
  <c r="C38" i="43" a="1"/>
  <c r="C49" i="12" a="1"/>
  <c r="E50" i="43" a="1"/>
  <c r="C70" i="14" a="1"/>
  <c r="C97" i="12" a="1"/>
  <c r="C60" i="12" a="1"/>
  <c r="E37" i="43" a="1"/>
  <c r="C30" i="12" a="1"/>
  <c r="C131" i="12" a="1"/>
  <c r="G25" i="17" a="1"/>
  <c r="C205" i="12" a="1"/>
  <c r="C7" i="14" a="1"/>
  <c r="C51" i="12" a="1"/>
  <c r="C45" i="12" a="1"/>
  <c r="C13" i="14" a="1"/>
  <c r="E64" i="14" a="1"/>
  <c r="C59" i="14" a="1"/>
  <c r="E32" i="14" a="1"/>
  <c r="E50" i="14" a="1"/>
  <c r="C11" i="14" a="1"/>
  <c r="C141" i="12" a="1"/>
  <c r="C55" i="12" a="1"/>
  <c r="E58" i="12" a="1"/>
  <c r="C107" i="12" a="1"/>
  <c r="C3" i="12" a="1"/>
  <c r="C50" i="12" a="1"/>
  <c r="C84" i="12" a="1"/>
  <c r="E16" i="14" a="1"/>
  <c r="F15" i="13" a="1"/>
  <c r="C32" i="12" a="1"/>
  <c r="C22" i="12" a="1"/>
  <c r="G17" i="17" a="1"/>
  <c r="C40" i="43" a="1"/>
  <c r="C53" i="12" a="1"/>
  <c r="E70" i="14" a="1"/>
  <c r="C115" i="12" a="1"/>
  <c r="C22" i="13" a="1"/>
  <c r="C125" i="12" a="1"/>
  <c r="C100" i="12" a="1"/>
  <c r="C63" i="14" a="1"/>
  <c r="E63" i="14" a="1"/>
  <c r="C21" i="12" a="1"/>
  <c r="C150" i="12" a="1"/>
  <c r="C136" i="12" a="1"/>
  <c r="E60" i="14" a="1"/>
  <c r="E35" i="14" a="1"/>
  <c r="C171" i="12" a="1"/>
  <c r="E52" i="14" a="1"/>
  <c r="C85" i="12" a="1"/>
  <c r="E31" i="43" a="1"/>
  <c r="E20" i="14" a="1"/>
  <c r="C70" i="12" a="1"/>
  <c r="C95" i="12" a="1"/>
  <c r="C145" i="12" a="1"/>
  <c r="C114" i="12" a="1"/>
  <c r="C20" i="14" a="1"/>
  <c r="C11" i="12" a="1"/>
  <c r="C117" i="12" a="1"/>
  <c r="C161" i="12" a="1"/>
  <c r="C67" i="14" a="1"/>
  <c r="C29" i="14" a="1"/>
  <c r="E14" i="43" a="1"/>
  <c r="E19" i="14" a="1"/>
  <c r="G11" i="17" a="1"/>
  <c r="G23" i="17" a="1"/>
  <c r="E16" i="43" a="1"/>
  <c r="E17" i="43" a="1"/>
  <c r="E62" i="14" a="1"/>
  <c r="C80" i="12" a="1"/>
  <c r="C48" i="12" a="1"/>
  <c r="E86" i="12" a="1"/>
  <c r="C176" i="12" a="1"/>
  <c r="E49" i="14" a="1"/>
  <c r="C135" i="12" a="1"/>
  <c r="E48" i="14" a="1"/>
  <c r="E23" i="14" a="1"/>
  <c r="C118" i="12" a="1"/>
  <c r="C54" i="14" a="1"/>
  <c r="G16" i="17" a="1"/>
  <c r="C91" i="12" a="1"/>
  <c r="F22" i="13" a="1"/>
  <c r="E211" i="12" a="1"/>
  <c r="C215" i="12" a="1"/>
  <c r="E76" i="12" a="1"/>
  <c r="E38" i="14" a="1"/>
  <c r="C16" i="14" a="1"/>
  <c r="E53" i="14" a="1"/>
  <c r="G31" i="17" a="1"/>
  <c r="C35" i="14" a="1"/>
  <c r="E21" i="43" a="1"/>
  <c r="E69" i="14" a="1"/>
  <c r="C183" i="12" a="1"/>
  <c r="E15" i="14" a="1"/>
  <c r="E47" i="43" a="1"/>
  <c r="C45" i="14" a="1"/>
  <c r="E48" i="43" a="1"/>
  <c r="C21" i="13" a="1"/>
  <c r="C160" i="12" a="1"/>
  <c r="C102" i="12" a="1"/>
  <c r="C121" i="12" a="1"/>
  <c r="C213" i="12" a="1"/>
  <c r="C58" i="12" a="1"/>
  <c r="E30" i="14" a="1"/>
  <c r="C24" i="12" a="1"/>
  <c r="C54" i="12" a="1"/>
  <c r="C144" i="12" a="1"/>
  <c r="C7" i="12" a="1"/>
  <c r="C192" i="12" a="1"/>
  <c r="C120" i="12" a="1"/>
  <c r="C175" i="12" a="1"/>
  <c r="C34" i="14" a="1"/>
  <c r="C190" i="12" a="1"/>
  <c r="C106" i="12" a="1"/>
  <c r="C156" i="12" a="1"/>
  <c r="C92" i="12" a="1"/>
  <c r="E208" i="12" a="1"/>
  <c r="C69" i="14" a="1"/>
  <c r="E25" i="43" a="1"/>
  <c r="G28" i="17" a="1"/>
  <c r="C179" i="12" a="1"/>
  <c r="E12" i="14" a="1"/>
  <c r="C191" i="12" a="1"/>
  <c r="C90" i="12" a="1"/>
  <c r="E36" i="14" a="1"/>
  <c r="C26" i="14" a="1"/>
  <c r="E192" i="12" a="1"/>
  <c r="C78" i="12" a="1"/>
  <c r="C8" i="12" a="1"/>
  <c r="C15" i="14" a="1"/>
  <c r="C55" i="43" a="1"/>
  <c r="E199" i="12" a="1"/>
  <c r="C210" i="12" a="1"/>
  <c r="C39" i="43" a="1"/>
  <c r="C25" i="14" a="1"/>
  <c r="C127" i="12" a="1"/>
  <c r="C62" i="12" a="1"/>
  <c r="C27" i="14" a="1"/>
  <c r="C96" i="12" a="1"/>
  <c r="C148" i="12" a="1"/>
  <c r="C132" i="12" a="1"/>
  <c r="C186" i="12" a="1"/>
  <c r="C43" i="14" a="1"/>
  <c r="C10" i="14" a="1"/>
  <c r="C36" i="14" a="1"/>
  <c r="C46" i="14" a="1"/>
  <c r="E54" i="43" a="1"/>
  <c r="C12" i="14" a="1"/>
  <c r="C89" i="12" a="1"/>
  <c r="C189" i="12" a="1"/>
  <c r="G15" i="17" a="1"/>
  <c r="C200" i="12" a="1"/>
  <c r="C24" i="14" a="1"/>
  <c r="E13" i="14" a="1"/>
  <c r="E2" i="52" a="1"/>
  <c r="E216" i="12" a="1"/>
  <c r="E46" i="43" a="1"/>
  <c r="C123" i="12" a="1"/>
  <c r="E44" i="14" a="1"/>
  <c r="C99" i="12" a="1"/>
  <c r="C66" i="14" a="1"/>
  <c r="C181" i="12" a="1"/>
  <c r="E23" i="43" a="1"/>
  <c r="C54" i="43" a="1"/>
  <c r="C142" i="12" a="1"/>
  <c r="E10" i="14" a="1"/>
  <c r="C43" i="43" a="1"/>
  <c r="E10" i="43" a="1"/>
  <c r="C116" i="12" a="1"/>
  <c r="C206" i="12" a="1"/>
  <c r="C37" i="12" a="1"/>
  <c r="E3" i="43" a="1"/>
  <c r="E200" i="12" a="1"/>
  <c r="C51" i="43" a="1"/>
  <c r="C207" i="12" a="1"/>
  <c r="E26" i="43" a="1"/>
  <c r="E8" i="14" a="1"/>
  <c r="G24" i="17" a="1"/>
  <c r="E15" i="43" a="1"/>
  <c r="E54" i="14" a="1"/>
  <c r="E6" i="14" a="1"/>
  <c r="C130" i="12" a="1"/>
  <c r="C9" i="14" a="1"/>
  <c r="G26" i="17" a="1"/>
  <c r="C128" i="12" a="1"/>
  <c r="C197" i="12" a="1"/>
  <c r="E77" i="12" a="1"/>
  <c r="E215" i="12" a="1"/>
  <c r="C44" i="13" a="1"/>
  <c r="C155" i="12" a="1"/>
  <c r="C143" i="12" a="1"/>
  <c r="C61" i="12" a="1"/>
  <c r="E162" i="12" a="1"/>
  <c r="C199" i="12" a="1"/>
  <c r="E44" i="43" a="1"/>
  <c r="C28" i="12" a="1"/>
  <c r="C30" i="14" a="1"/>
  <c r="C211" i="12" a="1"/>
  <c r="C43" i="12" a="1"/>
  <c r="C126" i="12" a="1"/>
  <c r="C49" i="14" a="1"/>
  <c r="C216" i="12" a="1"/>
  <c r="C169" i="12" a="1"/>
  <c r="C42" i="43" a="1"/>
  <c r="C159" i="12" a="1"/>
  <c r="C47" i="43" a="1"/>
  <c r="C64" i="14" a="1"/>
  <c r="C104" i="12" a="1"/>
  <c r="C75" i="12" a="1"/>
  <c r="C56" i="14" a="1"/>
  <c r="K33" i="17" a="1"/>
  <c r="F48" i="13" a="1"/>
  <c r="E42" i="14" a="1"/>
  <c r="E207" i="12" a="1"/>
  <c r="G33" i="17" a="1"/>
  <c r="E212" i="12" a="1"/>
  <c r="E78" i="12" a="1"/>
  <c r="C48" i="14" a="1"/>
  <c r="C72" i="12" a="1"/>
  <c r="C177" i="12" a="1"/>
  <c r="E18" i="43" a="1"/>
  <c r="C4" i="12" a="1"/>
  <c r="E39" i="14" a="1"/>
  <c r="E28" i="43" a="1"/>
  <c r="C184" i="12" a="1"/>
  <c r="E18" i="14" a="1"/>
  <c r="C31" i="14" a="1"/>
  <c r="G27" i="17" a="1"/>
  <c r="G6" i="17" a="1"/>
  <c r="C26" i="12" a="1"/>
  <c r="C45" i="43" a="1"/>
  <c r="E2" i="43" a="1"/>
  <c r="E59" i="14" a="1"/>
  <c r="C138" i="12" a="1"/>
  <c r="E45" i="14" a="1"/>
  <c r="C31" i="12" a="1"/>
  <c r="C198" i="12" a="1"/>
  <c r="C71" i="12" a="1"/>
  <c r="C51" i="14" a="1"/>
  <c r="C88" i="12" a="1"/>
  <c r="E170" i="12" a="1"/>
  <c r="E39" i="43" a="1"/>
  <c r="C204" i="12" a="1"/>
  <c r="C18" i="12" a="1"/>
  <c r="C15" i="12" a="1"/>
  <c r="C178" i="12" a="1"/>
  <c r="C52" i="12" a="1"/>
  <c r="G19" i="17" a="1"/>
  <c r="C36" i="43" a="1"/>
  <c r="K35" i="17" a="1"/>
  <c r="E11" i="14" a="1"/>
  <c r="C68" i="14" a="1"/>
  <c r="E12" i="43" a="1"/>
  <c r="G32" i="17" a="1"/>
  <c r="C212" i="12" a="1"/>
  <c r="C87" i="12" a="1"/>
  <c r="C4" i="14" a="1"/>
  <c r="C209" i="12" a="1"/>
  <c r="E14" i="14" a="1"/>
  <c r="C48" i="13" a="1"/>
  <c r="G3" i="17" a="1"/>
  <c r="C162" i="12" a="1"/>
  <c r="C195" i="12" a="1"/>
  <c r="C41" i="14" a="1"/>
  <c r="C134" i="12" a="1"/>
  <c r="C6" i="12" a="1"/>
  <c r="C18" i="14" a="1"/>
  <c r="E13" i="43" a="1"/>
  <c r="C22" i="14" a="1"/>
  <c r="C113" i="12" a="1"/>
  <c r="E3" i="14" a="1"/>
  <c r="G30" i="17" a="1"/>
  <c r="C21" i="14" a="1"/>
  <c r="C194" i="12" a="1"/>
  <c r="E209" i="12" a="1"/>
  <c r="G12" i="17" a="1"/>
  <c r="C50" i="43" a="1"/>
  <c r="E43" i="43" a="1"/>
  <c r="C170" i="12" a="1"/>
  <c r="E57" i="14" a="1"/>
  <c r="C66" i="12" a="1"/>
  <c r="G14" i="17" a="1"/>
  <c r="C68" i="12" a="1"/>
  <c r="C24" i="13" a="1"/>
  <c r="E43" i="14" a="1"/>
  <c r="C35" i="12" a="1"/>
  <c r="C8" i="14" a="1"/>
  <c r="C79" i="12" a="1"/>
  <c r="C151" i="12" a="1"/>
  <c r="G20" i="17" a="1"/>
  <c r="E22" i="14" a="1"/>
  <c r="G36" i="17" a="1"/>
  <c r="C146" i="12" a="1"/>
  <c r="C98" i="12" a="1"/>
  <c r="E34" i="14" a="1"/>
  <c r="C9" i="12" a="1"/>
  <c r="C57" i="12" a="1"/>
  <c r="E89" i="12" a="1"/>
  <c r="E27" i="14" a="1"/>
  <c r="G35" i="17" a="1"/>
  <c r="C73" i="12" a="1"/>
  <c r="C52" i="14" a="1"/>
  <c r="C124" i="12" a="1"/>
  <c r="C17" i="14" a="1"/>
  <c r="C36" i="12" a="1"/>
  <c r="E52" i="43" a="1"/>
  <c r="C147" i="12" a="1"/>
  <c r="E55" i="43" a="1"/>
  <c r="E36" i="43" a="1"/>
  <c r="C149" i="12" a="1"/>
  <c r="E20" i="43" a="1"/>
  <c r="C119" i="12" a="1"/>
  <c r="C93" i="12" a="1"/>
  <c r="C14" i="12" a="1"/>
  <c r="E30" i="43" a="1"/>
  <c r="C29" i="12" a="1"/>
  <c r="C59" i="12" a="1"/>
  <c r="C20" i="12" a="1"/>
  <c r="C61" i="14" a="1"/>
  <c r="C14" i="14" a="1"/>
  <c r="C48" i="43" a="1"/>
  <c r="C33" i="14" a="1"/>
  <c r="C154" i="12" a="1"/>
  <c r="C58" i="14" a="1"/>
  <c r="C188" i="12" a="1"/>
  <c r="C56" i="12" a="1"/>
  <c r="C110" i="12" a="1"/>
  <c r="C193" i="12" a="1"/>
  <c r="E5" i="14" a="1"/>
  <c r="C94" i="12" a="1"/>
  <c r="C38" i="14" a="1"/>
  <c r="E56" i="14" a="1"/>
  <c r="E11" i="43" a="1"/>
  <c r="E4" i="14" a="1"/>
  <c r="C28" i="14" a="1"/>
  <c r="C46" i="43" a="1"/>
  <c r="E33" i="43" a="1"/>
  <c r="K34" i="17" a="1"/>
  <c r="C129" i="12" a="1"/>
  <c r="E66" i="14" a="1"/>
  <c r="C167" i="12" a="1"/>
  <c r="E7" i="14" a="1"/>
  <c r="G13" i="17" a="1"/>
  <c r="G7" i="17" a="1"/>
  <c r="C163" i="12" a="1"/>
  <c r="C39" i="14" a="1"/>
  <c r="E68" i="14" a="1"/>
  <c r="E41" i="14" a="1"/>
  <c r="E45" i="43" a="1"/>
  <c r="E38" i="43" a="1"/>
  <c r="E28" i="14" a="1"/>
  <c r="C172" i="12" a="1"/>
  <c r="K36" i="17" a="1"/>
  <c r="C153" i="12" a="1"/>
  <c r="C47" i="14" a="1"/>
  <c r="E51" i="14" a="1"/>
  <c r="C187" i="12" a="1"/>
  <c r="C81" i="12" a="1"/>
  <c r="C47" i="12" a="1"/>
  <c r="E4" i="43" a="1"/>
  <c r="E203" i="12" a="1"/>
  <c r="C12" i="12" a="1"/>
  <c r="G8" i="17" a="1"/>
  <c r="C83" i="12" a="1"/>
  <c r="C41" i="12" a="1"/>
  <c r="E58" i="14" a="1"/>
  <c r="C49" i="43" a="1"/>
  <c r="E40" i="14" a="1"/>
  <c r="C60" i="14" a="1"/>
  <c r="C180" i="12" a="1"/>
  <c r="C139" i="12" a="1"/>
  <c r="E51" i="43" a="1"/>
  <c r="C208" i="12" a="1"/>
  <c r="C50" i="14" a="1"/>
  <c r="C27" i="12" a="1"/>
  <c r="C44" i="14" a="1"/>
  <c r="E55" i="14" a="1"/>
  <c r="G9" i="17" a="1"/>
  <c r="C3" i="14" a="1"/>
  <c r="C168" i="12" a="1"/>
  <c r="C196" i="12" a="1"/>
  <c r="E17" i="14" a="1"/>
  <c r="F24" i="13" a="1"/>
  <c r="C63" i="12" a="1"/>
  <c r="G10" i="17" a="1"/>
  <c r="C137" i="12" a="1"/>
  <c r="G4" i="17" a="1"/>
  <c r="E32" i="43" a="1"/>
  <c r="C57" i="14" a="1"/>
  <c r="C105" i="12" a="1"/>
  <c r="E213" i="12" a="1"/>
  <c r="G5" i="17" a="1"/>
  <c r="C166" i="12" a="1"/>
  <c r="E37" i="14" a="1"/>
  <c r="E61" i="14" a="1"/>
  <c r="K37" i="17" a="1"/>
  <c r="E29" i="14" a="1"/>
  <c r="E5" i="43" a="1"/>
  <c r="C23" i="12" a="1"/>
  <c r="C174" i="12" a="1"/>
  <c r="E41" i="43" a="1"/>
  <c r="E35" i="43" a="1"/>
  <c r="C76" i="12" a="1"/>
  <c r="E31" i="14" a="1"/>
  <c r="C152" i="12" a="1"/>
  <c r="C182" i="12" a="1"/>
  <c r="C2" i="9" a="1"/>
  <c r="C53" i="14" a="1"/>
  <c r="E210" i="12" a="1"/>
  <c r="C52" i="43" a="1"/>
  <c r="C133" i="12" a="1"/>
  <c r="C44" i="12" a="1"/>
  <c r="G29" i="17" a="1"/>
  <c r="E34" i="43" a="1"/>
  <c r="C103" i="12" a="1"/>
  <c r="C5" i="14" a="1"/>
  <c r="C42" i="12" a="1"/>
  <c r="C69" i="12" a="1"/>
  <c r="C10" i="12" a="1"/>
  <c r="C25" i="12" a="1"/>
  <c r="E42" i="43" a="1"/>
  <c r="E25" i="14" a="1"/>
  <c r="C164" i="12" a="1"/>
  <c r="C40" i="14" a="1"/>
  <c r="E205" i="12" a="1"/>
  <c r="C108" i="12" a="1"/>
  <c r="C39" i="12" a="1"/>
  <c r="E201" i="12" a="1"/>
  <c r="E6" i="43" a="1"/>
  <c r="F21" i="13" a="1"/>
  <c r="C122" i="12" a="1"/>
  <c r="C157" i="12" a="1"/>
  <c r="E49" i="43" a="1"/>
  <c r="C5" i="12" a="1"/>
  <c r="C23" i="14" a="1"/>
  <c r="C65" i="12" a="1"/>
  <c r="C38" i="12" a="1"/>
  <c r="C67" i="12" a="1"/>
  <c r="K32" i="17" a="1"/>
  <c r="C16" i="12" a="1"/>
  <c r="C3" i="52" a="1"/>
  <c r="E22" i="43" a="1"/>
  <c r="C201" i="12" a="1"/>
  <c r="E87" i="12" a="1"/>
  <c r="E206" i="12" a="1"/>
  <c r="C53" i="43" a="1"/>
  <c r="E67" i="14" a="1"/>
  <c r="C112" i="12" a="1"/>
  <c r="E46" i="14" a="1"/>
  <c r="D2" i="60" a="1"/>
  <c r="K37" i="17" l="1"/>
  <c r="K35" i="17"/>
  <c r="K36" i="17"/>
  <c r="K31" i="17"/>
  <c r="K34" i="17"/>
  <c r="K32" i="17"/>
  <c r="K33" i="17"/>
  <c r="C216" i="12"/>
  <c r="E216" i="12"/>
  <c r="C215" i="12"/>
  <c r="E215" i="12"/>
  <c r="C213" i="12"/>
  <c r="E213" i="12"/>
  <c r="C202" i="12"/>
  <c r="E202" i="12"/>
  <c r="C168" i="12"/>
  <c r="C49" i="12"/>
  <c r="C116" i="12"/>
  <c r="C198" i="12"/>
  <c r="C137" i="12"/>
  <c r="C39" i="12"/>
  <c r="C18" i="12"/>
  <c r="C80" i="12"/>
  <c r="C117" i="12"/>
  <c r="C148" i="12"/>
  <c r="C50" i="12"/>
  <c r="C87" i="12"/>
  <c r="C186" i="12"/>
  <c r="C57" i="12"/>
  <c r="C88" i="12"/>
  <c r="C118" i="12"/>
  <c r="C149" i="12"/>
  <c r="C187" i="12"/>
  <c r="C20" i="12"/>
  <c r="C58" i="12"/>
  <c r="C156" i="12"/>
  <c r="C27" i="12"/>
  <c r="C89" i="12"/>
  <c r="C119" i="12"/>
  <c r="C157" i="12"/>
  <c r="C188" i="12"/>
  <c r="C28" i="12"/>
  <c r="C59" i="12"/>
  <c r="C126" i="12"/>
  <c r="C90" i="12"/>
  <c r="C127" i="12"/>
  <c r="C158" i="12"/>
  <c r="C189" i="12"/>
  <c r="C29" i="12"/>
  <c r="C60" i="12"/>
  <c r="C97" i="12"/>
  <c r="C196" i="12"/>
  <c r="C67" i="12"/>
  <c r="C98" i="12"/>
  <c r="C128" i="12"/>
  <c r="C159" i="12"/>
  <c r="C197" i="12"/>
  <c r="C30" i="12"/>
  <c r="C68" i="12"/>
  <c r="C166" i="12"/>
  <c r="C37" i="12"/>
  <c r="C99" i="12"/>
  <c r="C129" i="12"/>
  <c r="C167" i="12"/>
  <c r="C8" i="12"/>
  <c r="C38" i="12"/>
  <c r="C69" i="12"/>
  <c r="C136" i="12"/>
  <c r="C9" i="12"/>
  <c r="C100" i="12"/>
  <c r="C199" i="12"/>
  <c r="C70" i="12"/>
  <c r="C207" i="12"/>
  <c r="C77" i="12"/>
  <c r="C108" i="12"/>
  <c r="C138" i="12"/>
  <c r="C169" i="12"/>
  <c r="C208" i="12"/>
  <c r="C40" i="12"/>
  <c r="C78" i="12"/>
  <c r="C176" i="12"/>
  <c r="C10" i="12"/>
  <c r="C47" i="12"/>
  <c r="C139" i="12"/>
  <c r="C177" i="12"/>
  <c r="C209" i="12"/>
  <c r="C48" i="12"/>
  <c r="C79" i="12"/>
  <c r="C146" i="12"/>
  <c r="C107" i="12"/>
  <c r="C16" i="12"/>
  <c r="C109" i="12"/>
  <c r="C147" i="12"/>
  <c r="C178" i="12"/>
  <c r="C210" i="12"/>
  <c r="C179" i="12"/>
  <c r="C11" i="12"/>
  <c r="C41" i="12"/>
  <c r="C81" i="12"/>
  <c r="C120" i="12"/>
  <c r="C180" i="12"/>
  <c r="C42" i="12"/>
  <c r="C72" i="12"/>
  <c r="C111" i="12"/>
  <c r="C191" i="12"/>
  <c r="C43" i="12"/>
  <c r="C73" i="12"/>
  <c r="C103" i="12"/>
  <c r="C132" i="12"/>
  <c r="C172" i="12"/>
  <c r="C24" i="12"/>
  <c r="C44" i="12"/>
  <c r="C64" i="12"/>
  <c r="C94" i="12"/>
  <c r="C123" i="12"/>
  <c r="C193" i="12"/>
  <c r="C4" i="12"/>
  <c r="C6" i="12"/>
  <c r="C14" i="12"/>
  <c r="C25" i="12"/>
  <c r="C35" i="12"/>
  <c r="C45" i="12"/>
  <c r="C55" i="12"/>
  <c r="C65" i="12"/>
  <c r="C75" i="12"/>
  <c r="C85" i="12"/>
  <c r="C95" i="12"/>
  <c r="C105" i="12"/>
  <c r="C114" i="12"/>
  <c r="C124" i="12"/>
  <c r="C134" i="12"/>
  <c r="C144" i="12"/>
  <c r="C154" i="12"/>
  <c r="C164" i="12"/>
  <c r="C174" i="12"/>
  <c r="C184" i="12"/>
  <c r="C194" i="12"/>
  <c r="C205" i="12"/>
  <c r="C21" i="12"/>
  <c r="C51" i="12"/>
  <c r="C71" i="12"/>
  <c r="C101" i="12"/>
  <c r="C130" i="12"/>
  <c r="C140" i="12"/>
  <c r="C160" i="12"/>
  <c r="C170" i="12"/>
  <c r="C211" i="12"/>
  <c r="C22" i="12"/>
  <c r="C52" i="12"/>
  <c r="C82" i="12"/>
  <c r="C102" i="12"/>
  <c r="C131" i="12"/>
  <c r="C151" i="12"/>
  <c r="C171" i="12"/>
  <c r="C212" i="12"/>
  <c r="C13" i="12"/>
  <c r="C53" i="12"/>
  <c r="C83" i="12"/>
  <c r="C112" i="12"/>
  <c r="C152" i="12"/>
  <c r="C192" i="12"/>
  <c r="C204" i="12"/>
  <c r="C31" i="12"/>
  <c r="C61" i="12"/>
  <c r="C91" i="12"/>
  <c r="C110" i="12"/>
  <c r="C150" i="12"/>
  <c r="C200" i="12"/>
  <c r="C12" i="12"/>
  <c r="C32" i="12"/>
  <c r="C62" i="12"/>
  <c r="C92" i="12"/>
  <c r="C121" i="12"/>
  <c r="C141" i="12"/>
  <c r="C161" i="12"/>
  <c r="C201" i="12"/>
  <c r="C33" i="12"/>
  <c r="C63" i="12"/>
  <c r="C93" i="12"/>
  <c r="C122" i="12"/>
  <c r="C142" i="12"/>
  <c r="C162" i="12"/>
  <c r="C182" i="12"/>
  <c r="C203" i="12"/>
  <c r="C3" i="12"/>
  <c r="C34" i="12"/>
  <c r="C54" i="12"/>
  <c r="C74" i="12"/>
  <c r="C84" i="12"/>
  <c r="C104" i="12"/>
  <c r="C113" i="12"/>
  <c r="C133" i="12"/>
  <c r="C143" i="12"/>
  <c r="C153" i="12"/>
  <c r="C163" i="12"/>
  <c r="C173" i="12"/>
  <c r="C5" i="12"/>
  <c r="C7" i="12"/>
  <c r="C15" i="12"/>
  <c r="C26" i="12"/>
  <c r="C36" i="12"/>
  <c r="C46" i="12"/>
  <c r="C56" i="12"/>
  <c r="C66" i="12"/>
  <c r="C76" i="12"/>
  <c r="C86" i="12"/>
  <c r="C96" i="12"/>
  <c r="C106" i="12"/>
  <c r="C115" i="12"/>
  <c r="C125" i="12"/>
  <c r="C135" i="12"/>
  <c r="C145" i="12"/>
  <c r="C155" i="12"/>
  <c r="C165" i="12"/>
  <c r="C175" i="12"/>
  <c r="C185" i="12"/>
  <c r="C195" i="12"/>
  <c r="C206" i="12"/>
  <c r="C190" i="12"/>
  <c r="C181" i="12"/>
  <c r="C23" i="12"/>
  <c r="C183" i="12"/>
  <c r="D2" i="60"/>
  <c r="C55" i="43"/>
  <c r="E55" i="43"/>
  <c r="C54" i="43"/>
  <c r="E54" i="43"/>
  <c r="C44" i="43"/>
  <c r="C38" i="43"/>
  <c r="C45" i="43"/>
  <c r="C36" i="43"/>
  <c r="C46" i="43"/>
  <c r="C37" i="43"/>
  <c r="C47" i="43"/>
  <c r="C48" i="43"/>
  <c r="C39" i="43"/>
  <c r="C49" i="43"/>
  <c r="C40" i="43"/>
  <c r="C50" i="43"/>
  <c r="C41" i="43"/>
  <c r="C51" i="43"/>
  <c r="C42" i="43"/>
  <c r="C52" i="43"/>
  <c r="C43" i="43"/>
  <c r="C53" i="43"/>
  <c r="E50" i="43"/>
  <c r="E51" i="43"/>
  <c r="E52" i="43"/>
  <c r="E53" i="43"/>
  <c r="G36" i="17"/>
  <c r="G35" i="17"/>
  <c r="G37" i="17"/>
  <c r="E212" i="12"/>
  <c r="E211" i="12"/>
  <c r="E210" i="12"/>
  <c r="E209" i="12"/>
  <c r="E208" i="12"/>
  <c r="E207" i="12"/>
  <c r="E206" i="12"/>
  <c r="E205" i="12"/>
  <c r="E204" i="12"/>
  <c r="E203" i="12"/>
  <c r="E201" i="12"/>
  <c r="E200" i="12"/>
  <c r="E199" i="12"/>
  <c r="C3" i="52"/>
  <c r="E3" i="52"/>
  <c r="E2" i="52"/>
  <c r="C2" i="52"/>
  <c r="E192" i="12"/>
  <c r="E170" i="12"/>
  <c r="E20" i="14"/>
  <c r="C20" i="14"/>
  <c r="C21" i="14"/>
  <c r="C23" i="14"/>
  <c r="C15" i="13"/>
  <c r="F15" i="13"/>
  <c r="E2" i="14"/>
  <c r="E47" i="14"/>
  <c r="E57" i="14"/>
  <c r="E58" i="14"/>
  <c r="E7" i="14"/>
  <c r="E17" i="14"/>
  <c r="E27" i="14"/>
  <c r="E37" i="14"/>
  <c r="E67" i="14"/>
  <c r="E8" i="14"/>
  <c r="E18" i="14"/>
  <c r="E28" i="14"/>
  <c r="E38" i="14"/>
  <c r="E48" i="14"/>
  <c r="E68" i="14"/>
  <c r="E9" i="14"/>
  <c r="E19" i="14"/>
  <c r="E29" i="14"/>
  <c r="E39" i="14"/>
  <c r="E49" i="14"/>
  <c r="E59" i="14"/>
  <c r="E69" i="14"/>
  <c r="E11" i="14"/>
  <c r="E21" i="14"/>
  <c r="E31" i="14"/>
  <c r="E41" i="14"/>
  <c r="E51" i="14"/>
  <c r="E61" i="14"/>
  <c r="E12" i="14"/>
  <c r="E22" i="14"/>
  <c r="E32" i="14"/>
  <c r="E42" i="14"/>
  <c r="E52" i="14"/>
  <c r="E62" i="14"/>
  <c r="E3" i="14"/>
  <c r="E13" i="14"/>
  <c r="E23" i="14"/>
  <c r="E33" i="14"/>
  <c r="E43" i="14"/>
  <c r="E53" i="14"/>
  <c r="E63" i="14"/>
  <c r="E4" i="14"/>
  <c r="E14" i="14"/>
  <c r="E24" i="14"/>
  <c r="E34" i="14"/>
  <c r="E44" i="14"/>
  <c r="E54" i="14"/>
  <c r="E64" i="14"/>
  <c r="E5" i="14"/>
  <c r="E15" i="14"/>
  <c r="E25" i="14"/>
  <c r="E35" i="14"/>
  <c r="E45" i="14"/>
  <c r="E55" i="14"/>
  <c r="E65" i="14"/>
  <c r="E6" i="14"/>
  <c r="E16" i="14"/>
  <c r="E26" i="14"/>
  <c r="E36" i="14"/>
  <c r="E46" i="14"/>
  <c r="E56" i="14"/>
  <c r="E66" i="14"/>
  <c r="E10" i="14"/>
  <c r="E30" i="14"/>
  <c r="E40" i="14"/>
  <c r="E50" i="14"/>
  <c r="E60" i="14"/>
  <c r="E70" i="14"/>
  <c r="C11" i="14"/>
  <c r="C31" i="14"/>
  <c r="C41" i="14"/>
  <c r="C51" i="14"/>
  <c r="C61" i="14"/>
  <c r="C12" i="14"/>
  <c r="C22" i="14"/>
  <c r="C32" i="14"/>
  <c r="C42" i="14"/>
  <c r="C62" i="14"/>
  <c r="C3" i="14"/>
  <c r="C53" i="14"/>
  <c r="C56" i="14"/>
  <c r="C52" i="14"/>
  <c r="C13" i="14"/>
  <c r="C33" i="14"/>
  <c r="C43" i="14"/>
  <c r="C63" i="14"/>
  <c r="C4" i="14"/>
  <c r="C14" i="14"/>
  <c r="C24" i="14"/>
  <c r="C34" i="14"/>
  <c r="C44" i="14"/>
  <c r="C54" i="14"/>
  <c r="C64" i="14"/>
  <c r="C5" i="14"/>
  <c r="C15" i="14"/>
  <c r="C25" i="14"/>
  <c r="C35" i="14"/>
  <c r="C45" i="14"/>
  <c r="C55" i="14"/>
  <c r="C65" i="14"/>
  <c r="C6" i="14"/>
  <c r="C16" i="14"/>
  <c r="C26" i="14"/>
  <c r="C36" i="14"/>
  <c r="C46" i="14"/>
  <c r="C66" i="14"/>
  <c r="C7" i="14"/>
  <c r="C17" i="14"/>
  <c r="C27" i="14"/>
  <c r="C37" i="14"/>
  <c r="C47" i="14"/>
  <c r="C57" i="14"/>
  <c r="C67" i="14"/>
  <c r="C8" i="14"/>
  <c r="C18" i="14"/>
  <c r="C28" i="14"/>
  <c r="C38" i="14"/>
  <c r="C48" i="14"/>
  <c r="C58" i="14"/>
  <c r="C68" i="14"/>
  <c r="C9" i="14"/>
  <c r="C19" i="14"/>
  <c r="C29" i="14"/>
  <c r="C39" i="14"/>
  <c r="C49" i="14"/>
  <c r="C59" i="14"/>
  <c r="C69" i="14"/>
  <c r="C10" i="14"/>
  <c r="C30" i="14"/>
  <c r="C40" i="14"/>
  <c r="C50" i="14"/>
  <c r="C60" i="14"/>
  <c r="C70" i="14"/>
  <c r="C22" i="13"/>
  <c r="F22" i="13"/>
  <c r="C21" i="13"/>
  <c r="F21" i="13"/>
  <c r="E86" i="12"/>
  <c r="G8" i="17"/>
  <c r="G16" i="17"/>
  <c r="G17" i="17"/>
  <c r="G10" i="17"/>
  <c r="G18" i="17"/>
  <c r="G19" i="17"/>
  <c r="G4" i="17"/>
  <c r="G13" i="17"/>
  <c r="G21" i="17"/>
  <c r="G31" i="17"/>
  <c r="G25" i="17"/>
  <c r="G26" i="17"/>
  <c r="G9" i="17"/>
  <c r="G27" i="17"/>
  <c r="G28" i="17"/>
  <c r="G11" i="17"/>
  <c r="G29" i="17"/>
  <c r="G3" i="17"/>
  <c r="G12" i="17"/>
  <c r="G20" i="17"/>
  <c r="G30" i="17"/>
  <c r="G5" i="17"/>
  <c r="G14" i="17"/>
  <c r="G22" i="17"/>
  <c r="G32" i="17"/>
  <c r="G6" i="17"/>
  <c r="G15" i="17"/>
  <c r="G23" i="17"/>
  <c r="G33" i="17"/>
  <c r="G7" i="17"/>
  <c r="G24" i="17"/>
  <c r="G34" i="17"/>
  <c r="G2" i="17"/>
  <c r="E89" i="12"/>
  <c r="C2" i="9"/>
  <c r="E58" i="12"/>
  <c r="E78" i="12"/>
  <c r="E77" i="12"/>
  <c r="E76" i="12"/>
  <c r="E66" i="12"/>
  <c r="E87" i="12"/>
  <c r="C24" i="13"/>
  <c r="F24" i="13"/>
  <c r="F48" i="13"/>
  <c r="C48" i="13"/>
  <c r="C44" i="13"/>
  <c r="F44" i="13"/>
  <c r="E162" i="12"/>
  <c r="E17" i="43"/>
  <c r="E27" i="43"/>
  <c r="E37" i="43"/>
  <c r="E47" i="43"/>
  <c r="E8" i="43"/>
  <c r="E18" i="43"/>
  <c r="E28" i="43"/>
  <c r="E38" i="43"/>
  <c r="E48" i="43"/>
  <c r="E9" i="43"/>
  <c r="E19" i="43"/>
  <c r="E29" i="43"/>
  <c r="E39" i="43"/>
  <c r="E49" i="43"/>
  <c r="E10" i="43"/>
  <c r="E20" i="43"/>
  <c r="E30" i="43"/>
  <c r="E40" i="43"/>
  <c r="E11" i="43"/>
  <c r="E21" i="43"/>
  <c r="E31" i="43"/>
  <c r="E41" i="43"/>
  <c r="E12" i="43"/>
  <c r="E22" i="43"/>
  <c r="E32" i="43"/>
  <c r="E42" i="43"/>
  <c r="E3" i="43"/>
  <c r="E13" i="43"/>
  <c r="E23" i="43"/>
  <c r="E33" i="43"/>
  <c r="E43" i="43"/>
  <c r="E4" i="43"/>
  <c r="E14" i="43"/>
  <c r="E24" i="43"/>
  <c r="E34" i="43"/>
  <c r="E44" i="43"/>
  <c r="E5" i="43"/>
  <c r="E15" i="43"/>
  <c r="E25" i="43"/>
  <c r="E35" i="43"/>
  <c r="E45" i="43"/>
  <c r="E6" i="43"/>
  <c r="E16" i="43"/>
  <c r="E26" i="43"/>
  <c r="E36" i="43"/>
  <c r="E46" i="43"/>
  <c r="E7" i="43"/>
  <c r="E2" i="43"/>
  <c r="A70" i="14" l="1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39" i="14"/>
  <c r="A18" i="14"/>
  <c r="A16" i="14"/>
  <c r="A13" i="14"/>
  <c r="F125" i="12"/>
  <c r="F126" i="12" s="1"/>
  <c r="F127" i="12" s="1"/>
  <c r="F128" i="12" s="1"/>
  <c r="A20" i="13"/>
  <c r="F20" i="13" a="1"/>
  <c r="C20" i="13" a="1"/>
  <c r="F20" i="13" l="1"/>
  <c r="C20" i="13"/>
  <c r="A47" i="13" l="1"/>
  <c r="A46" i="13"/>
  <c r="A45" i="13"/>
  <c r="A43" i="13"/>
  <c r="A42" i="13"/>
  <c r="A33" i="13"/>
  <c r="A41" i="13"/>
  <c r="A27" i="13"/>
  <c r="A19" i="13"/>
  <c r="A13" i="13"/>
  <c r="A17" i="13"/>
  <c r="A49" i="43"/>
  <c r="A48" i="43"/>
  <c r="A47" i="43"/>
  <c r="A46" i="43"/>
  <c r="A45" i="43"/>
  <c r="A125" i="12"/>
  <c r="A88" i="12"/>
  <c r="F138" i="12"/>
  <c r="F139" i="12" s="1"/>
  <c r="F140" i="12" s="1"/>
  <c r="F141" i="12" s="1"/>
  <c r="A138" i="12"/>
  <c r="F39" i="12"/>
  <c r="F40" i="12" s="1"/>
  <c r="F41" i="12" s="1"/>
  <c r="F42" i="12" s="1"/>
  <c r="F43" i="12" s="1"/>
  <c r="F44" i="12" s="1"/>
  <c r="F45" i="12" s="1"/>
  <c r="F46" i="12" s="1"/>
  <c r="A50" i="12"/>
  <c r="A49" i="12"/>
  <c r="F48" i="12"/>
  <c r="F49" i="12" s="1"/>
  <c r="F50" i="12" s="1"/>
  <c r="A48" i="12"/>
  <c r="A47" i="12"/>
  <c r="F28" i="13" a="1"/>
  <c r="F35" i="13" a="1"/>
  <c r="F32" i="13" a="1"/>
  <c r="F18" i="13" a="1"/>
  <c r="F37" i="13" a="1"/>
  <c r="F45" i="13" a="1"/>
  <c r="F30" i="13" a="1"/>
  <c r="F43" i="13" a="1"/>
  <c r="F41" i="13" a="1"/>
  <c r="C42" i="13" a="1"/>
  <c r="C33" i="13" a="1"/>
  <c r="F47" i="13" a="1"/>
  <c r="F31" i="13" a="1"/>
  <c r="F23" i="13" a="1"/>
  <c r="F34" i="13" a="1"/>
  <c r="C43" i="13" a="1"/>
  <c r="E88" i="12" a="1"/>
  <c r="C46" i="13" a="1"/>
  <c r="F29" i="13" a="1"/>
  <c r="F46" i="13" a="1"/>
  <c r="F14" i="13" a="1"/>
  <c r="C19" i="13" a="1"/>
  <c r="E2" i="12" a="1"/>
  <c r="F38" i="13" a="1"/>
  <c r="F39" i="13" a="1"/>
  <c r="E125" i="12" a="1"/>
  <c r="F40" i="13" a="1"/>
  <c r="C13" i="13" a="1"/>
  <c r="C17" i="13" a="1"/>
  <c r="F33" i="13" a="1"/>
  <c r="E48" i="12" a="1"/>
  <c r="E50" i="12" a="1"/>
  <c r="F16" i="13" a="1"/>
  <c r="E138" i="12" a="1"/>
  <c r="E47" i="12" a="1"/>
  <c r="F12" i="13" a="1"/>
  <c r="E49" i="12" a="1"/>
  <c r="F25" i="13" a="1"/>
  <c r="F19" i="13" a="1"/>
  <c r="C41" i="13" a="1"/>
  <c r="F17" i="13" a="1"/>
  <c r="F26" i="13" a="1"/>
  <c r="F27" i="13" a="1"/>
  <c r="F13" i="13" a="1"/>
  <c r="C27" i="13" a="1"/>
  <c r="F42" i="13" a="1"/>
  <c r="F36" i="13" a="1"/>
  <c r="C47" i="13" a="1"/>
  <c r="C45" i="13" a="1"/>
  <c r="C47" i="13" l="1"/>
  <c r="F47" i="13"/>
  <c r="C46" i="13"/>
  <c r="F46" i="13"/>
  <c r="F45" i="13"/>
  <c r="C45" i="13"/>
  <c r="C43" i="13"/>
  <c r="F43" i="13"/>
  <c r="C42" i="13"/>
  <c r="F42" i="13"/>
  <c r="C33" i="13"/>
  <c r="F33" i="13"/>
  <c r="C41" i="13"/>
  <c r="F41" i="13"/>
  <c r="F27" i="13"/>
  <c r="C27" i="13"/>
  <c r="C19" i="13"/>
  <c r="F19" i="13"/>
  <c r="C13" i="13"/>
  <c r="F13" i="13"/>
  <c r="F29" i="13"/>
  <c r="F30" i="13"/>
  <c r="F12" i="13"/>
  <c r="F35" i="13"/>
  <c r="F18" i="13"/>
  <c r="F31" i="13"/>
  <c r="F16" i="13"/>
  <c r="F23" i="13"/>
  <c r="F32" i="13"/>
  <c r="F17" i="13"/>
  <c r="F25" i="13"/>
  <c r="F34" i="13"/>
  <c r="F36" i="13"/>
  <c r="F38" i="13"/>
  <c r="F37" i="13"/>
  <c r="F26" i="13"/>
  <c r="F39" i="13"/>
  <c r="F14" i="13"/>
  <c r="F28" i="13"/>
  <c r="F40" i="13"/>
  <c r="C17" i="13"/>
  <c r="E125" i="12"/>
  <c r="E88" i="12"/>
  <c r="E138" i="12"/>
  <c r="E50" i="12"/>
  <c r="E47" i="12"/>
  <c r="E48" i="12"/>
  <c r="E49" i="12"/>
  <c r="E2" i="12"/>
  <c r="E3" i="12" a="1"/>
  <c r="E3" i="12" l="1"/>
  <c r="E93" i="12" a="1"/>
  <c r="E54" i="12" a="1"/>
  <c r="C25" i="13" a="1"/>
  <c r="E11" i="12" a="1"/>
  <c r="E51" i="12" a="1"/>
  <c r="E176" i="12" a="1"/>
  <c r="E62" i="12" a="1"/>
  <c r="E29" i="12" a="1"/>
  <c r="C12" i="13" a="1"/>
  <c r="E186" i="12" a="1"/>
  <c r="E185" i="12" a="1"/>
  <c r="E119" i="12" a="1"/>
  <c r="E195" i="12" a="1"/>
  <c r="E197" i="12" a="1"/>
  <c r="E105" i="12" a="1"/>
  <c r="E96" i="12" a="1"/>
  <c r="E131" i="12" a="1"/>
  <c r="E4" i="12" a="1"/>
  <c r="E140" i="12" a="1"/>
  <c r="E67" i="12" a="1"/>
  <c r="E83" i="12" a="1"/>
  <c r="C16" i="13" a="1"/>
  <c r="E137" i="12" a="1"/>
  <c r="E190" i="12" a="1"/>
  <c r="C7" i="13" a="1"/>
  <c r="E114" i="12" a="1"/>
  <c r="E180" i="12" a="1"/>
  <c r="E178" i="12" a="1"/>
  <c r="E161" i="12" a="1"/>
  <c r="E98" i="12" a="1"/>
  <c r="E163" i="12" a="1"/>
  <c r="E168" i="12" a="1"/>
  <c r="C39" i="13" a="1"/>
  <c r="E91" i="12" a="1"/>
  <c r="E64" i="12" a="1"/>
  <c r="E44" i="12" a="1"/>
  <c r="E166" i="12" a="1"/>
  <c r="E130" i="12" a="1"/>
  <c r="E33" i="12" a="1"/>
  <c r="E80" i="12" a="1"/>
  <c r="E182" i="12" a="1"/>
  <c r="C2" i="13" a="1"/>
  <c r="E143" i="12" a="1"/>
  <c r="E70" i="12" a="1"/>
  <c r="E156" i="12" a="1"/>
  <c r="E26" i="12" a="1"/>
  <c r="E23" i="12" a="1"/>
  <c r="C38" i="13" a="1"/>
  <c r="C36" i="13" a="1"/>
  <c r="C23" i="13" a="1"/>
  <c r="E61" i="12" a="1"/>
  <c r="E57" i="12" a="1"/>
  <c r="E116" i="12" a="1"/>
  <c r="E132" i="12" a="1"/>
  <c r="E37" i="12" a="1"/>
  <c r="E196" i="12" a="1"/>
  <c r="E188" i="12" a="1"/>
  <c r="E6" i="12" a="1"/>
  <c r="E85" i="12" a="1"/>
  <c r="E31" i="12" a="1"/>
  <c r="E175" i="12" a="1"/>
  <c r="E152" i="12" a="1"/>
  <c r="E60" i="12" a="1"/>
  <c r="E118" i="12" a="1"/>
  <c r="E103" i="12" a="1"/>
  <c r="E184" i="12" a="1"/>
  <c r="E172" i="12" a="1"/>
  <c r="E126" i="12" a="1"/>
  <c r="E167" i="12" a="1"/>
  <c r="C14" i="13" a="1"/>
  <c r="E84" i="12" a="1"/>
  <c r="E115" i="12" a="1"/>
  <c r="C5" i="13" a="1"/>
  <c r="E165" i="12" a="1"/>
  <c r="E97" i="12" a="1"/>
  <c r="E174" i="12" a="1"/>
  <c r="E38" i="12" a="1"/>
  <c r="E123" i="12" a="1"/>
  <c r="E79" i="12" a="1"/>
  <c r="E108" i="12" a="1"/>
  <c r="E56" i="12" a="1"/>
  <c r="E28" i="12" a="1"/>
  <c r="E30" i="12" a="1"/>
  <c r="E9" i="12" a="1"/>
  <c r="E104" i="12" a="1"/>
  <c r="C31" i="13" a="1"/>
  <c r="E25" i="12" a="1"/>
  <c r="E179" i="12" a="1"/>
  <c r="E21" i="12" a="1"/>
  <c r="E173" i="12" a="1"/>
  <c r="E92" i="12" a="1"/>
  <c r="E69" i="12" a="1"/>
  <c r="E73" i="12" a="1"/>
  <c r="E144" i="12" a="1"/>
  <c r="E52" i="12" a="1"/>
  <c r="C32" i="13" a="1"/>
  <c r="E43" i="12" a="1"/>
  <c r="C35" i="13" a="1"/>
  <c r="E160" i="12" a="1"/>
  <c r="E41" i="12" a="1"/>
  <c r="E124" i="12" a="1"/>
  <c r="C30" i="13" a="1"/>
  <c r="E42" i="12" a="1"/>
  <c r="C18" i="13" a="1"/>
  <c r="E150" i="12" a="1"/>
  <c r="E194" i="12" a="1"/>
  <c r="C3" i="13" a="1"/>
  <c r="E129" i="12" a="1"/>
  <c r="E36" i="12" a="1"/>
  <c r="E171" i="12" a="1"/>
  <c r="E94" i="12" a="1"/>
  <c r="E122" i="12" a="1"/>
  <c r="E14" i="12" a="1"/>
  <c r="E154" i="12" a="1"/>
  <c r="E12" i="12" a="1"/>
  <c r="C10" i="13" a="1"/>
  <c r="E189" i="12" a="1"/>
  <c r="E191" i="12" a="1"/>
  <c r="C4" i="13" a="1"/>
  <c r="E121" i="12" a="1"/>
  <c r="E7" i="12" a="1"/>
  <c r="C6" i="13" a="1"/>
  <c r="E198" i="12" a="1"/>
  <c r="E32" i="12" a="1"/>
  <c r="E107" i="12" a="1"/>
  <c r="E141" i="12" a="1"/>
  <c r="E100" i="12" a="1"/>
  <c r="E102" i="12" a="1"/>
  <c r="E55" i="12" a="1"/>
  <c r="C40" i="13" a="1"/>
  <c r="E193" i="12" a="1"/>
  <c r="E120" i="12" a="1"/>
  <c r="E35" i="12" a="1"/>
  <c r="C11" i="13" a="1"/>
  <c r="E153" i="12" a="1"/>
  <c r="E151" i="12" a="1"/>
  <c r="E106" i="12" a="1"/>
  <c r="E45" i="12" a="1"/>
  <c r="E187" i="12" a="1"/>
  <c r="E63" i="12" a="1"/>
  <c r="E159" i="12" a="1"/>
  <c r="E136" i="12" a="1"/>
  <c r="E34" i="12" a="1"/>
  <c r="E133" i="12" a="1"/>
  <c r="E74" i="12" a="1"/>
  <c r="E164" i="12" a="1"/>
  <c r="E169" i="12" a="1"/>
  <c r="C9" i="13" a="1"/>
  <c r="E181" i="12" a="1"/>
  <c r="E142" i="12" a="1"/>
  <c r="E13" i="12" a="1"/>
  <c r="E145" i="12" a="1"/>
  <c r="E146" i="12" a="1"/>
  <c r="E46" i="12" a="1"/>
  <c r="E5" i="12" a="1"/>
  <c r="E183" i="12" a="1"/>
  <c r="E72" i="12" a="1"/>
  <c r="E40" i="12" a="1"/>
  <c r="E39" i="12" a="1"/>
  <c r="E90" i="12" a="1"/>
  <c r="E95" i="12" a="1"/>
  <c r="E16" i="12" a="1"/>
  <c r="C8" i="13" a="1"/>
  <c r="E127" i="12" a="1"/>
  <c r="E158" i="12" a="1"/>
  <c r="E155" i="12" a="1"/>
  <c r="E177" i="12" a="1"/>
  <c r="C28" i="13" a="1"/>
  <c r="C34" i="13" a="1"/>
  <c r="E113" i="12" a="1"/>
  <c r="E22" i="12" a="1"/>
  <c r="E8" i="12" a="1"/>
  <c r="E81" i="12" a="1"/>
  <c r="E139" i="12" a="1"/>
  <c r="C29" i="13" a="1"/>
  <c r="E24" i="12" a="1"/>
  <c r="E101" i="12" a="1"/>
  <c r="E148" i="12" a="1"/>
  <c r="E68" i="12" a="1"/>
  <c r="E149" i="12" a="1"/>
  <c r="E10" i="12" a="1"/>
  <c r="E27" i="12" a="1"/>
  <c r="E112" i="12" a="1"/>
  <c r="E111" i="12" a="1"/>
  <c r="E110" i="12" a="1"/>
  <c r="E75" i="12" a="1"/>
  <c r="E59" i="12" a="1"/>
  <c r="E147" i="12" a="1"/>
  <c r="E135" i="12" a="1"/>
  <c r="E99" i="12" a="1"/>
  <c r="E65" i="12" a="1"/>
  <c r="E128" i="12" a="1"/>
  <c r="E134" i="12" a="1"/>
  <c r="E109" i="12" a="1"/>
  <c r="C37" i="13" a="1"/>
  <c r="E71" i="12" a="1"/>
  <c r="E53" i="12" a="1"/>
  <c r="E18" i="12" a="1"/>
  <c r="E117" i="12" a="1"/>
  <c r="E82" i="12" a="1"/>
  <c r="C26" i="13" a="1"/>
  <c r="E20" i="12" a="1"/>
  <c r="E15" i="12" a="1"/>
  <c r="E157" i="12" a="1"/>
  <c r="E136" i="12" l="1"/>
  <c r="E83" i="12"/>
  <c r="E16" i="12"/>
  <c r="E189" i="12"/>
  <c r="E117" i="12"/>
  <c r="E44" i="12"/>
  <c r="E157" i="12"/>
  <c r="E97" i="12"/>
  <c r="E14" i="12"/>
  <c r="E187" i="12"/>
  <c r="E166" i="12"/>
  <c r="E123" i="12"/>
  <c r="E96" i="12"/>
  <c r="E81" i="12"/>
  <c r="E71" i="12"/>
  <c r="E56" i="12"/>
  <c r="E42" i="12"/>
  <c r="E32" i="12"/>
  <c r="E25" i="12"/>
  <c r="E11" i="12"/>
  <c r="E186" i="12"/>
  <c r="E176" i="12"/>
  <c r="E165" i="12"/>
  <c r="E155" i="12"/>
  <c r="E132" i="12"/>
  <c r="E122" i="12"/>
  <c r="E115" i="12"/>
  <c r="E105" i="12"/>
  <c r="E95" i="12"/>
  <c r="E90" i="12"/>
  <c r="E80" i="12"/>
  <c r="E57" i="12"/>
  <c r="E70" i="12"/>
  <c r="E55" i="12"/>
  <c r="E41" i="12"/>
  <c r="E31" i="12"/>
  <c r="E24" i="12"/>
  <c r="E10" i="12"/>
  <c r="E190" i="12"/>
  <c r="E156" i="12"/>
  <c r="E144" i="12"/>
  <c r="E59" i="12"/>
  <c r="E43" i="12"/>
  <c r="E177" i="12"/>
  <c r="E154" i="12"/>
  <c r="E163" i="12"/>
  <c r="E103" i="12"/>
  <c r="E29" i="12"/>
  <c r="E194" i="12"/>
  <c r="E183" i="12"/>
  <c r="E173" i="12"/>
  <c r="E152" i="12"/>
  <c r="E129" i="12"/>
  <c r="E120" i="12"/>
  <c r="E112" i="12"/>
  <c r="E102" i="12"/>
  <c r="E92" i="12"/>
  <c r="E73" i="12"/>
  <c r="E63" i="12"/>
  <c r="E147" i="12"/>
  <c r="E67" i="12"/>
  <c r="E52" i="12"/>
  <c r="E38" i="12"/>
  <c r="E28" i="12"/>
  <c r="E21" i="12"/>
  <c r="E8" i="12"/>
  <c r="E45" i="12"/>
  <c r="E135" i="12"/>
  <c r="E142" i="12"/>
  <c r="E22" i="12"/>
  <c r="E140" i="12"/>
  <c r="E82" i="12"/>
  <c r="E137" i="12"/>
  <c r="E94" i="12"/>
  <c r="E184" i="12"/>
  <c r="E113" i="12"/>
  <c r="E9" i="12"/>
  <c r="E193" i="12"/>
  <c r="E182" i="12"/>
  <c r="E172" i="12"/>
  <c r="E161" i="12"/>
  <c r="E151" i="12"/>
  <c r="E128" i="12"/>
  <c r="E119" i="12"/>
  <c r="E111" i="12"/>
  <c r="E101" i="12"/>
  <c r="E85" i="12"/>
  <c r="E72" i="12"/>
  <c r="E62" i="12"/>
  <c r="E146" i="12"/>
  <c r="E65" i="12"/>
  <c r="E51" i="12"/>
  <c r="E37" i="12"/>
  <c r="E27" i="12"/>
  <c r="E20" i="12"/>
  <c r="E7" i="12"/>
  <c r="E5" i="12"/>
  <c r="E159" i="12"/>
  <c r="E100" i="12"/>
  <c r="E35" i="12"/>
  <c r="E179" i="12"/>
  <c r="E98" i="12"/>
  <c r="E15" i="12"/>
  <c r="E178" i="12"/>
  <c r="E107" i="12"/>
  <c r="E33" i="12"/>
  <c r="E133" i="12"/>
  <c r="E185" i="12"/>
  <c r="E68" i="12"/>
  <c r="E169" i="12"/>
  <c r="E18" i="12"/>
  <c r="E168" i="12"/>
  <c r="E124" i="12"/>
  <c r="E91" i="12"/>
  <c r="E139" i="12"/>
  <c r="E34" i="12"/>
  <c r="E198" i="12"/>
  <c r="E167" i="12"/>
  <c r="E12" i="12"/>
  <c r="E106" i="12"/>
  <c r="E196" i="12"/>
  <c r="E164" i="12"/>
  <c r="E121" i="12"/>
  <c r="E104" i="12"/>
  <c r="E79" i="12"/>
  <c r="E69" i="12"/>
  <c r="E23" i="12"/>
  <c r="E39" i="12"/>
  <c r="E191" i="12"/>
  <c r="E181" i="12"/>
  <c r="E171" i="12"/>
  <c r="E160" i="12"/>
  <c r="E150" i="12"/>
  <c r="E127" i="12"/>
  <c r="E118" i="12"/>
  <c r="E110" i="12"/>
  <c r="E99" i="12"/>
  <c r="E84" i="12"/>
  <c r="E61" i="12"/>
  <c r="E145" i="12"/>
  <c r="E141" i="12"/>
  <c r="E46" i="12"/>
  <c r="E36" i="12"/>
  <c r="E26" i="12"/>
  <c r="E6" i="12"/>
  <c r="E4" i="12"/>
  <c r="E180" i="12"/>
  <c r="E126" i="12"/>
  <c r="E109" i="12"/>
  <c r="E60" i="12"/>
  <c r="E158" i="12"/>
  <c r="E108" i="12"/>
  <c r="E143" i="12"/>
  <c r="E13" i="12"/>
  <c r="E188" i="12"/>
  <c r="E134" i="12"/>
  <c r="E197" i="12"/>
  <c r="E116" i="12"/>
  <c r="E175" i="12"/>
  <c r="E131" i="12"/>
  <c r="E114" i="12"/>
  <c r="E75" i="12"/>
  <c r="E149" i="12"/>
  <c r="E54" i="12"/>
  <c r="E40" i="12"/>
  <c r="E30" i="12"/>
  <c r="E195" i="12"/>
  <c r="E174" i="12"/>
  <c r="E153" i="12"/>
  <c r="E130" i="12"/>
  <c r="E93" i="12"/>
  <c r="E74" i="12"/>
  <c r="E64" i="12"/>
  <c r="E148" i="12"/>
  <c r="E53" i="12"/>
  <c r="C12" i="13"/>
  <c r="C30" i="13"/>
  <c r="C3" i="13"/>
  <c r="C35" i="13"/>
  <c r="C4" i="13"/>
  <c r="C18" i="13"/>
  <c r="C31" i="13"/>
  <c r="C5" i="13"/>
  <c r="C16" i="13"/>
  <c r="C23" i="13"/>
  <c r="C32" i="13"/>
  <c r="C6" i="13"/>
  <c r="C36" i="13"/>
  <c r="C25" i="13"/>
  <c r="C34" i="13"/>
  <c r="C7" i="13"/>
  <c r="C37" i="13"/>
  <c r="C38" i="13"/>
  <c r="C8" i="13"/>
  <c r="C26" i="13"/>
  <c r="C39" i="13"/>
  <c r="C9" i="13"/>
  <c r="C40" i="13"/>
  <c r="C10" i="13"/>
  <c r="C14" i="13"/>
  <c r="C28" i="13"/>
  <c r="C11" i="13"/>
  <c r="C29" i="13"/>
  <c r="C2" i="13"/>
  <c r="A184" i="12"/>
  <c r="A168" i="12"/>
  <c r="A40" i="43"/>
  <c r="A6" i="14"/>
  <c r="A40" i="13"/>
  <c r="A39" i="13"/>
  <c r="C3" i="43" a="1"/>
  <c r="C19" i="43" a="1"/>
  <c r="C29" i="43" a="1"/>
  <c r="C22" i="43" a="1"/>
  <c r="C35" i="43" a="1"/>
  <c r="C23" i="43" a="1"/>
  <c r="C15" i="43" a="1"/>
  <c r="C12" i="43" a="1"/>
  <c r="F3" i="13" a="1"/>
  <c r="C5" i="43" a="1"/>
  <c r="C18" i="43" a="1"/>
  <c r="C7" i="43" a="1"/>
  <c r="C26" i="43" a="1"/>
  <c r="F10" i="13" a="1"/>
  <c r="F6" i="13" a="1"/>
  <c r="C20" i="43" a="1"/>
  <c r="F8" i="13" a="1"/>
  <c r="F2" i="13" a="1"/>
  <c r="C8" i="43" a="1"/>
  <c r="C10" i="43" a="1"/>
  <c r="F4" i="13" a="1"/>
  <c r="F11" i="13" a="1"/>
  <c r="C21" i="43" a="1"/>
  <c r="C16" i="43" a="1"/>
  <c r="C13" i="43" a="1"/>
  <c r="C24" i="43" a="1"/>
  <c r="F9" i="13" a="1"/>
  <c r="C14" i="43" a="1"/>
  <c r="C28" i="43" a="1"/>
  <c r="C33" i="43" a="1"/>
  <c r="C34" i="43" a="1"/>
  <c r="C6" i="43" a="1"/>
  <c r="C17" i="43" a="1"/>
  <c r="C2" i="14" a="1"/>
  <c r="C31" i="43" a="1"/>
  <c r="C32" i="43" a="1"/>
  <c r="C11" i="43" a="1"/>
  <c r="C30" i="43" a="1"/>
  <c r="C4" i="43" a="1"/>
  <c r="C27" i="43" a="1"/>
  <c r="F5" i="13" a="1"/>
  <c r="F7" i="13" a="1"/>
  <c r="C9" i="43" a="1"/>
  <c r="C25" i="43" a="1"/>
  <c r="C10" i="43" l="1"/>
  <c r="C20" i="43"/>
  <c r="C28" i="43"/>
  <c r="C11" i="43"/>
  <c r="C21" i="43"/>
  <c r="C29" i="43"/>
  <c r="C12" i="43"/>
  <c r="C22" i="43"/>
  <c r="C30" i="43"/>
  <c r="C3" i="43"/>
  <c r="C13" i="43"/>
  <c r="C23" i="43"/>
  <c r="C31" i="43"/>
  <c r="C4" i="43"/>
  <c r="C14" i="43"/>
  <c r="C24" i="43"/>
  <c r="C32" i="43"/>
  <c r="C5" i="43"/>
  <c r="C15" i="43"/>
  <c r="C25" i="43"/>
  <c r="C33" i="43"/>
  <c r="C6" i="43"/>
  <c r="C16" i="43"/>
  <c r="C34" i="43"/>
  <c r="C7" i="43"/>
  <c r="C17" i="43"/>
  <c r="C35" i="43"/>
  <c r="C8" i="43"/>
  <c r="C18" i="43"/>
  <c r="C26" i="43"/>
  <c r="C9" i="43"/>
  <c r="C19" i="43"/>
  <c r="C27" i="43"/>
  <c r="C2" i="14"/>
  <c r="F3" i="13"/>
  <c r="F4" i="13"/>
  <c r="F5" i="13"/>
  <c r="F6" i="13"/>
  <c r="F7" i="13"/>
  <c r="F8" i="13"/>
  <c r="F9" i="13"/>
  <c r="F10" i="13"/>
  <c r="F11" i="13"/>
  <c r="F2" i="13"/>
  <c r="A12" i="13"/>
  <c r="A42" i="43"/>
  <c r="F183" i="12" l="1"/>
  <c r="F184" i="12" s="1"/>
  <c r="F185" i="12" s="1"/>
  <c r="F186" i="12" s="1"/>
  <c r="F187" i="12" s="1"/>
  <c r="F188" i="12" s="1"/>
  <c r="F189" i="12" s="1"/>
  <c r="F190" i="12" s="1"/>
  <c r="F191" i="12" l="1"/>
  <c r="F193" i="12" s="1"/>
  <c r="F192" i="12"/>
  <c r="A44" i="43"/>
  <c r="A43" i="43"/>
  <c r="A41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A196" i="12"/>
  <c r="A178" i="12"/>
  <c r="A174" i="12"/>
  <c r="A176" i="12"/>
  <c r="A91" i="12"/>
  <c r="F73" i="12"/>
  <c r="F74" i="12" s="1"/>
  <c r="A136" i="12"/>
  <c r="F135" i="12"/>
  <c r="F136" i="12" s="1"/>
  <c r="A135" i="12"/>
  <c r="A134" i="12"/>
  <c r="F151" i="12"/>
  <c r="F152" i="12" s="1"/>
  <c r="F153" i="12" s="1"/>
  <c r="F154" i="12" s="1"/>
  <c r="F155" i="12" s="1"/>
  <c r="A123" i="12"/>
  <c r="F122" i="12"/>
  <c r="F123" i="12" s="1"/>
  <c r="A122" i="12"/>
  <c r="A121" i="12"/>
  <c r="A120" i="12"/>
  <c r="F119" i="12"/>
  <c r="F120" i="12" s="1"/>
  <c r="A119" i="12"/>
  <c r="A118" i="12"/>
  <c r="A124" i="12" l="1"/>
  <c r="C8" i="36" a="1"/>
  <c r="E5" i="36" a="1"/>
  <c r="C3" i="8" a="1"/>
  <c r="F6" i="36" a="1"/>
  <c r="F5" i="36" a="1"/>
  <c r="F3" i="36" a="1"/>
  <c r="F2" i="36" a="1"/>
  <c r="E3" i="8" a="1"/>
  <c r="F4" i="36" a="1"/>
  <c r="F8" i="36" a="1"/>
  <c r="E3" i="34" a="1"/>
  <c r="E2" i="34" a="1"/>
  <c r="E2" i="36" a="1"/>
  <c r="C2" i="8" a="1"/>
  <c r="E8" i="36" a="1"/>
  <c r="C7" i="36" a="1"/>
  <c r="E7" i="36" a="1"/>
  <c r="F7" i="36" a="1"/>
  <c r="C2" i="43" a="1"/>
  <c r="E2" i="8" a="1"/>
  <c r="E4" i="34" a="1"/>
  <c r="E4" i="36" a="1"/>
  <c r="E3" i="36" a="1"/>
  <c r="E6" i="36" a="1"/>
  <c r="C8" i="36" l="1"/>
  <c r="C7" i="36"/>
  <c r="F8" i="36"/>
  <c r="E5" i="36"/>
  <c r="E4" i="34"/>
  <c r="E2" i="8"/>
  <c r="E6" i="36"/>
  <c r="F2" i="36"/>
  <c r="E7" i="36"/>
  <c r="F6" i="36"/>
  <c r="F3" i="36"/>
  <c r="C2" i="8"/>
  <c r="E8" i="36"/>
  <c r="F4" i="36"/>
  <c r="C2" i="43"/>
  <c r="E2" i="36"/>
  <c r="E4" i="36"/>
  <c r="E3" i="36"/>
  <c r="C3" i="8"/>
  <c r="E2" i="34"/>
  <c r="F5" i="36"/>
  <c r="E3" i="34"/>
  <c r="E3" i="8"/>
  <c r="F7" i="36"/>
  <c r="A126" i="12"/>
  <c r="A127" i="12"/>
  <c r="A128" i="12"/>
  <c r="A117" i="12"/>
  <c r="A116" i="12"/>
  <c r="F115" i="12"/>
  <c r="F116" i="12" s="1"/>
  <c r="F117" i="12" s="1"/>
  <c r="A115" i="12"/>
  <c r="A114" i="12"/>
  <c r="E16" i="4" a="1"/>
  <c r="E18" i="4" a="1"/>
  <c r="E4" i="4" a="1"/>
  <c r="E6" i="4" a="1"/>
  <c r="E3" i="4" a="1"/>
  <c r="E12" i="4" a="1"/>
  <c r="E17" i="4" a="1"/>
  <c r="E10" i="4" a="1"/>
  <c r="E21" i="4" a="1"/>
  <c r="E15" i="4" a="1"/>
  <c r="E20" i="4" a="1"/>
  <c r="E9" i="4" a="1"/>
  <c r="E13" i="4" a="1"/>
  <c r="E14" i="4" a="1"/>
  <c r="E19" i="4" a="1"/>
  <c r="E11" i="4" a="1"/>
  <c r="E5" i="4" a="1"/>
  <c r="E2" i="4" a="1"/>
  <c r="E23" i="4" a="1"/>
  <c r="E7" i="4" a="1"/>
  <c r="E8" i="4" a="1"/>
  <c r="E22" i="4" a="1"/>
  <c r="E3" i="4" l="1"/>
  <c r="E4" i="4"/>
  <c r="E17" i="4"/>
  <c r="E21" i="4"/>
  <c r="E18" i="4"/>
  <c r="E16" i="4"/>
  <c r="E15" i="4"/>
  <c r="E13" i="4"/>
  <c r="E14" i="4"/>
  <c r="E22" i="4"/>
  <c r="E7" i="4"/>
  <c r="E23" i="4"/>
  <c r="E2" i="4"/>
  <c r="E6" i="4"/>
  <c r="E5" i="4"/>
  <c r="E12" i="4"/>
  <c r="E10" i="4"/>
  <c r="E11" i="4"/>
  <c r="E20" i="4"/>
  <c r="E8" i="4"/>
  <c r="E19" i="4"/>
  <c r="E9" i="4"/>
  <c r="A2" i="26"/>
  <c r="A3" i="26"/>
  <c r="A4" i="26"/>
  <c r="A5" i="26"/>
  <c r="A6" i="26"/>
  <c r="A149" i="12"/>
  <c r="A145" i="12"/>
  <c r="F143" i="12"/>
  <c r="F144" i="12" s="1"/>
  <c r="F145" i="12" s="1"/>
  <c r="A141" i="12"/>
  <c r="C2" i="12" a="1"/>
  <c r="C2" i="12" l="1"/>
  <c r="F52" i="12"/>
  <c r="F53" i="12" s="1"/>
  <c r="F31" i="12"/>
  <c r="F32" i="12" s="1"/>
  <c r="F33" i="12" s="1"/>
  <c r="F34" i="12" s="1"/>
  <c r="F28" i="12"/>
  <c r="F29" i="12" s="1"/>
  <c r="A2" i="35"/>
  <c r="A18" i="11"/>
  <c r="A3" i="8"/>
  <c r="A7" i="32"/>
  <c r="A6" i="32"/>
  <c r="A5" i="32"/>
  <c r="A4" i="32"/>
  <c r="A3" i="32"/>
  <c r="A2" i="32"/>
  <c r="A41" i="14"/>
  <c r="A40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19" i="14"/>
  <c r="A17" i="14"/>
  <c r="A15" i="14"/>
  <c r="A14" i="14"/>
  <c r="A12" i="14"/>
  <c r="A11" i="14"/>
  <c r="A10" i="14"/>
  <c r="A9" i="14"/>
  <c r="A8" i="14"/>
  <c r="A7" i="14"/>
  <c r="A5" i="14"/>
  <c r="A4" i="14"/>
  <c r="A3" i="14"/>
  <c r="A2" i="14"/>
  <c r="A38" i="13"/>
  <c r="A34" i="13"/>
  <c r="A32" i="13"/>
  <c r="A31" i="13"/>
  <c r="A30" i="13"/>
  <c r="A29" i="13"/>
  <c r="A28" i="13"/>
  <c r="A26" i="13"/>
  <c r="A25" i="13"/>
  <c r="A23" i="13"/>
  <c r="A18" i="13"/>
  <c r="A14" i="13"/>
  <c r="A37" i="13"/>
  <c r="A36" i="13"/>
  <c r="A16" i="13"/>
  <c r="A35" i="13"/>
  <c r="A11" i="13"/>
  <c r="A10" i="13"/>
  <c r="A9" i="13"/>
  <c r="A8" i="13"/>
  <c r="A7" i="13"/>
  <c r="A6" i="13"/>
  <c r="A5" i="13"/>
  <c r="A4" i="13"/>
  <c r="A3" i="13"/>
  <c r="A2" i="13"/>
  <c r="A3" i="22"/>
  <c r="A2" i="22"/>
  <c r="A198" i="12"/>
  <c r="A197" i="12"/>
  <c r="F195" i="12"/>
  <c r="F196" i="12" s="1"/>
  <c r="F197" i="12" s="1"/>
  <c r="F198" i="12" s="1"/>
  <c r="A195" i="12"/>
  <c r="A194" i="12"/>
  <c r="A193" i="12"/>
  <c r="A191" i="12"/>
  <c r="A190" i="12"/>
  <c r="A189" i="12"/>
  <c r="A188" i="12"/>
  <c r="A187" i="12"/>
  <c r="A186" i="12"/>
  <c r="A185" i="12"/>
  <c r="A183" i="12"/>
  <c r="A182" i="12"/>
  <c r="A181" i="12"/>
  <c r="F180" i="12"/>
  <c r="F181" i="12" s="1"/>
  <c r="A180" i="12"/>
  <c r="A179" i="12"/>
  <c r="A177" i="12"/>
  <c r="A175" i="12"/>
  <c r="F173" i="12"/>
  <c r="F174" i="12" s="1"/>
  <c r="F175" i="12" s="1"/>
  <c r="F176" i="12" s="1"/>
  <c r="F177" i="12" s="1"/>
  <c r="F178" i="12" s="1"/>
  <c r="A173" i="12"/>
  <c r="A172" i="12"/>
  <c r="A171" i="12"/>
  <c r="A169" i="12"/>
  <c r="F167" i="12"/>
  <c r="A167" i="12"/>
  <c r="A166" i="12"/>
  <c r="A165" i="12"/>
  <c r="A164" i="12"/>
  <c r="A163" i="12"/>
  <c r="A162" i="12"/>
  <c r="A161" i="12"/>
  <c r="F160" i="12"/>
  <c r="F161" i="12" s="1"/>
  <c r="F162" i="12" s="1"/>
  <c r="F163" i="12" s="1"/>
  <c r="F164" i="12" s="1"/>
  <c r="F165" i="12" s="1"/>
  <c r="A160" i="12"/>
  <c r="A159" i="12"/>
  <c r="A158" i="12"/>
  <c r="F157" i="12"/>
  <c r="F158" i="12" s="1"/>
  <c r="A157" i="12"/>
  <c r="A156" i="12"/>
  <c r="A155" i="12"/>
  <c r="A154" i="12"/>
  <c r="A153" i="12"/>
  <c r="A152" i="12"/>
  <c r="A151" i="12"/>
  <c r="A150" i="12"/>
  <c r="A133" i="12"/>
  <c r="A132" i="12"/>
  <c r="A131" i="12"/>
  <c r="F130" i="12"/>
  <c r="F131" i="12" s="1"/>
  <c r="F132" i="12" s="1"/>
  <c r="F133" i="12" s="1"/>
  <c r="A130" i="12"/>
  <c r="A129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99" i="12"/>
  <c r="A100" i="12"/>
  <c r="F98" i="12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F111" i="12" s="1"/>
  <c r="F112" i="12" s="1"/>
  <c r="F113" i="12" s="1"/>
  <c r="A98" i="12"/>
  <c r="A97" i="12"/>
  <c r="A96" i="12"/>
  <c r="A95" i="12"/>
  <c r="A94" i="12"/>
  <c r="F93" i="12"/>
  <c r="F94" i="12" s="1"/>
  <c r="F95" i="12" s="1"/>
  <c r="F96" i="12" s="1"/>
  <c r="A93" i="12"/>
  <c r="A92" i="12"/>
  <c r="A85" i="12"/>
  <c r="F84" i="12"/>
  <c r="F85" i="12" s="1"/>
  <c r="F86" i="12" s="1"/>
  <c r="F87" i="12" s="1"/>
  <c r="F88" i="12" s="1"/>
  <c r="F89" i="12" s="1"/>
  <c r="F90" i="12" s="1"/>
  <c r="F91" i="12" s="1"/>
  <c r="A84" i="12"/>
  <c r="A83" i="12"/>
  <c r="A90" i="12"/>
  <c r="A75" i="12"/>
  <c r="A74" i="12"/>
  <c r="A73" i="12"/>
  <c r="A72" i="12"/>
  <c r="A82" i="12"/>
  <c r="A81" i="12"/>
  <c r="F80" i="12"/>
  <c r="F81" i="12" s="1"/>
  <c r="F82" i="12" s="1"/>
  <c r="A80" i="12"/>
  <c r="A79" i="12"/>
  <c r="A64" i="12"/>
  <c r="F63" i="12"/>
  <c r="F64" i="12" s="1"/>
  <c r="A63" i="12"/>
  <c r="A62" i="12"/>
  <c r="A61" i="12"/>
  <c r="A60" i="12"/>
  <c r="A59" i="12"/>
  <c r="A57" i="12"/>
  <c r="A148" i="12"/>
  <c r="F147" i="12"/>
  <c r="F148" i="12" s="1"/>
  <c r="F149" i="12" s="1"/>
  <c r="A147" i="12"/>
  <c r="A146" i="12"/>
  <c r="A144" i="12"/>
  <c r="A143" i="12"/>
  <c r="A142" i="12"/>
  <c r="A140" i="12"/>
  <c r="A139" i="12"/>
  <c r="A137" i="12"/>
  <c r="A71" i="12"/>
  <c r="A70" i="12"/>
  <c r="A69" i="12"/>
  <c r="A68" i="12"/>
  <c r="A67" i="12"/>
  <c r="A65" i="12"/>
  <c r="A56" i="12"/>
  <c r="F55" i="12"/>
  <c r="F56" i="12" s="1"/>
  <c r="A55" i="12"/>
  <c r="A54" i="12"/>
  <c r="A53" i="12"/>
  <c r="A52" i="12"/>
  <c r="A51" i="12"/>
  <c r="A46" i="12"/>
  <c r="A45" i="12"/>
  <c r="A44" i="12"/>
  <c r="A43" i="12"/>
  <c r="A42" i="12"/>
  <c r="A41" i="12"/>
  <c r="A40" i="12"/>
  <c r="A39" i="12"/>
  <c r="A38" i="12"/>
  <c r="A37" i="12"/>
  <c r="F36" i="12"/>
  <c r="F37" i="12" s="1"/>
  <c r="A36" i="12"/>
  <c r="A35" i="12"/>
  <c r="A34" i="12"/>
  <c r="A33" i="12"/>
  <c r="A32" i="12"/>
  <c r="A31" i="12"/>
  <c r="A30" i="12"/>
  <c r="A29" i="12"/>
  <c r="A28" i="12"/>
  <c r="A27" i="12"/>
  <c r="A26" i="12"/>
  <c r="A16" i="12"/>
  <c r="A15" i="12"/>
  <c r="A14" i="12"/>
  <c r="A25" i="12"/>
  <c r="A24" i="12"/>
  <c r="A23" i="12"/>
  <c r="A22" i="12"/>
  <c r="A21" i="12"/>
  <c r="F21" i="12"/>
  <c r="F22" i="12" s="1"/>
  <c r="F23" i="12" s="1"/>
  <c r="F24" i="12" s="1"/>
  <c r="F25" i="12" s="1"/>
  <c r="A18" i="12"/>
  <c r="A13" i="12"/>
  <c r="A12" i="12"/>
  <c r="A11" i="12"/>
  <c r="A10" i="12"/>
  <c r="A9" i="12"/>
  <c r="A8" i="12"/>
  <c r="F7" i="12"/>
  <c r="F8" i="12" s="1"/>
  <c r="F9" i="12" s="1"/>
  <c r="F10" i="12" s="1"/>
  <c r="F11" i="12" s="1"/>
  <c r="F12" i="12" s="1"/>
  <c r="F13" i="12" s="1"/>
  <c r="F14" i="12" s="1"/>
  <c r="F15" i="12" s="1"/>
  <c r="F16" i="12" s="1"/>
  <c r="F17" i="12" s="1"/>
  <c r="A7" i="12"/>
  <c r="A6" i="12"/>
  <c r="A5" i="12"/>
  <c r="A4" i="12"/>
  <c r="F3" i="12"/>
  <c r="F4" i="12" s="1"/>
  <c r="F5" i="12" s="1"/>
  <c r="A3" i="12"/>
  <c r="A2" i="12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A34" i="11"/>
  <c r="A33" i="11"/>
  <c r="A32" i="11"/>
  <c r="A31" i="11"/>
  <c r="A30" i="11"/>
  <c r="A29" i="11"/>
  <c r="A28" i="11"/>
  <c r="A27" i="11"/>
  <c r="A23" i="11"/>
  <c r="A22" i="11"/>
  <c r="A21" i="11"/>
  <c r="A20" i="11"/>
  <c r="A19" i="11"/>
  <c r="A17" i="11"/>
  <c r="A16" i="11"/>
  <c r="A14" i="11"/>
  <c r="A15" i="11"/>
  <c r="A12" i="11"/>
  <c r="A11" i="11"/>
  <c r="A26" i="11"/>
  <c r="A25" i="11"/>
  <c r="A13" i="11"/>
  <c r="A24" i="11"/>
  <c r="A7" i="11"/>
  <c r="A6" i="11"/>
  <c r="A5" i="11"/>
  <c r="A10" i="11"/>
  <c r="A9" i="11"/>
  <c r="A8" i="11"/>
  <c r="A4" i="11"/>
  <c r="A3" i="11"/>
  <c r="A2" i="11"/>
  <c r="A2" i="8"/>
  <c r="A2" i="5"/>
  <c r="A4" i="34"/>
  <c r="A3" i="34"/>
  <c r="A2" i="34"/>
  <c r="A4" i="33"/>
  <c r="A3" i="33"/>
  <c r="A2" i="33"/>
  <c r="A2" i="9"/>
  <c r="A4" i="18"/>
  <c r="A3" i="18"/>
  <c r="A2" i="18"/>
  <c r="A8" i="36"/>
  <c r="A7" i="36"/>
  <c r="B5" i="36"/>
  <c r="A5" i="36"/>
  <c r="B6" i="36"/>
  <c r="A6" i="36"/>
  <c r="B4" i="36"/>
  <c r="A4" i="36"/>
  <c r="B3" i="36"/>
  <c r="A3" i="36"/>
  <c r="B2" i="36"/>
  <c r="A2" i="36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4" i="3"/>
  <c r="A6" i="3"/>
  <c r="A5" i="3"/>
  <c r="A3" i="3"/>
  <c r="A2" i="3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" i="7"/>
  <c r="A2" i="7"/>
  <c r="A2" i="1"/>
  <c r="K14" i="17" a="1"/>
  <c r="K20" i="17" a="1"/>
  <c r="C2" i="22" a="1"/>
  <c r="K6" i="17" a="1"/>
  <c r="K18" i="17" a="1"/>
  <c r="K19" i="17" a="1"/>
  <c r="F18" i="36" a="1"/>
  <c r="C2" i="36" a="1"/>
  <c r="C21" i="36" a="1"/>
  <c r="K11" i="17" a="1"/>
  <c r="F10" i="36" a="1"/>
  <c r="C17" i="36" a="1"/>
  <c r="K2" i="17" a="1"/>
  <c r="C19" i="36" a="1"/>
  <c r="C9" i="36" a="1"/>
  <c r="F12" i="36" a="1"/>
  <c r="E2" i="35" a="1"/>
  <c r="K25" i="17" a="1"/>
  <c r="C14" i="36" a="1"/>
  <c r="F16" i="36" a="1"/>
  <c r="C3" i="22" a="1"/>
  <c r="F9" i="36" a="1"/>
  <c r="F14" i="36" a="1"/>
  <c r="K21" i="17" a="1"/>
  <c r="K9" i="17" a="1"/>
  <c r="F19" i="36" a="1"/>
  <c r="K13" i="17" a="1"/>
  <c r="C6" i="36" a="1"/>
  <c r="K7" i="17" a="1"/>
  <c r="C3" i="36" a="1"/>
  <c r="C11" i="36" a="1"/>
  <c r="K22" i="17" a="1"/>
  <c r="C10" i="36" a="1"/>
  <c r="K5" i="17" a="1"/>
  <c r="K16" i="17" a="1"/>
  <c r="K17" i="17" a="1"/>
  <c r="K15" i="17" a="1"/>
  <c r="F17" i="36" a="1"/>
  <c r="K27" i="17" a="1"/>
  <c r="K24" i="17" a="1"/>
  <c r="K30" i="17" a="1"/>
  <c r="F11" i="36" a="1"/>
  <c r="K23" i="17" a="1"/>
  <c r="E3" i="22" a="1"/>
  <c r="K28" i="17" a="1"/>
  <c r="K29" i="17" a="1"/>
  <c r="C18" i="36" a="1"/>
  <c r="F22" i="36" a="1"/>
  <c r="E2" i="22" a="1"/>
  <c r="F20" i="36" a="1"/>
  <c r="C13" i="36" a="1"/>
  <c r="K26" i="17" a="1"/>
  <c r="K3" i="17" a="1"/>
  <c r="C16" i="36" a="1"/>
  <c r="C20" i="36" a="1"/>
  <c r="E2" i="17" a="1"/>
  <c r="C12" i="36" a="1"/>
  <c r="C2" i="35" a="1"/>
  <c r="K12" i="17" a="1"/>
  <c r="C22" i="36" a="1"/>
  <c r="C4" i="36" a="1"/>
  <c r="K4" i="17" a="1"/>
  <c r="K10" i="17" a="1"/>
  <c r="K8" i="17" a="1"/>
  <c r="F13" i="36" a="1"/>
  <c r="F21" i="36" a="1"/>
  <c r="C5" i="36" a="1"/>
  <c r="K26" i="17" l="1"/>
  <c r="K25" i="17"/>
  <c r="K9" i="17"/>
  <c r="K16" i="17"/>
  <c r="K7" i="17"/>
  <c r="K28" i="17"/>
  <c r="K20" i="17"/>
  <c r="K27" i="17"/>
  <c r="K10" i="17"/>
  <c r="K30" i="17"/>
  <c r="K14" i="17"/>
  <c r="K15" i="17"/>
  <c r="K18" i="17"/>
  <c r="K2" i="17"/>
  <c r="K3" i="17"/>
  <c r="K21" i="17"/>
  <c r="K29" i="17"/>
  <c r="K12" i="17"/>
  <c r="K13" i="17"/>
  <c r="K17" i="17"/>
  <c r="K19" i="17"/>
  <c r="K4" i="17"/>
  <c r="K22" i="17"/>
  <c r="K8" i="17"/>
  <c r="K11" i="17"/>
  <c r="K5" i="17"/>
  <c r="K23" i="17"/>
  <c r="K6" i="17"/>
  <c r="K24" i="17"/>
  <c r="F75" i="12"/>
  <c r="E2" i="17"/>
  <c r="F26" i="12"/>
  <c r="F168" i="12"/>
  <c r="E2" i="35"/>
  <c r="C2" i="35"/>
  <c r="E3" i="22"/>
  <c r="E2" i="22"/>
  <c r="C3" i="22"/>
  <c r="C2" i="22"/>
  <c r="C2" i="36"/>
  <c r="C3" i="36"/>
  <c r="C4" i="36"/>
  <c r="C6" i="36"/>
  <c r="C5" i="36"/>
  <c r="F12" i="36"/>
  <c r="F18" i="36"/>
  <c r="C19" i="36"/>
  <c r="F19" i="36"/>
  <c r="C9" i="36"/>
  <c r="C14" i="36"/>
  <c r="C20" i="36"/>
  <c r="F9" i="36"/>
  <c r="F14" i="36"/>
  <c r="F20" i="36"/>
  <c r="F16" i="36"/>
  <c r="F21" i="36"/>
  <c r="F10" i="36"/>
  <c r="F13" i="36"/>
  <c r="C10" i="36"/>
  <c r="C13" i="36"/>
  <c r="C16" i="36"/>
  <c r="C22" i="36"/>
  <c r="F11" i="36"/>
  <c r="F17" i="36"/>
  <c r="F22" i="36"/>
  <c r="C21" i="36"/>
  <c r="C11" i="36"/>
  <c r="C17" i="36"/>
  <c r="C12" i="36"/>
  <c r="C18" i="36"/>
  <c r="F169" i="12" l="1"/>
  <c r="F171" i="12" s="1"/>
  <c r="F170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<sst xmlns="http://schemas.openxmlformats.org/spreadsheetml/2006/main" count="1714" uniqueCount="880">
  <si>
    <t>Id</t>
  </si>
  <si>
    <t>Name</t>
  </si>
  <si>
    <t>AskEncrypted</t>
  </si>
  <si>
    <t>AskMask</t>
  </si>
  <si>
    <t>AskDefault</t>
  </si>
  <si>
    <t>AskMinimum</t>
  </si>
  <si>
    <t>AskMaximum</t>
  </si>
  <si>
    <t>string</t>
  </si>
  <si>
    <t>text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</si>
  <si>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</si>
  <si>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</si>
  <si>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</si>
  <si>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</si>
  <si>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</si>
  <si>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</si>
  <si>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</si>
  <si>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</si>
  <si>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</si>
  <si>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</si>
  <si>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</si>
  <si>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</si>
  <si>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AskFilterable</t>
  </si>
  <si>
    <t>IsActive</t>
  </si>
  <si>
    <t/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</si>
  <si>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</si>
  <si>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</si>
  <si>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</si>
  <si>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</si>
  <si>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</si>
  <si>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</si>
  <si>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</si>
  <si>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</si>
  <si>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</si>
  <si>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</si>
  <si>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</si>
  <si>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</si>
  <si>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</si>
  <si>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</si>
  <si>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</si>
  <si>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</si>
  <si>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</si>
  <si>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</si>
  <si>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</si>
  <si>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</si>
  <si>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</si>
  <si>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</si>
  <si>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</si>
  <si>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MaxRetryLogins</t>
  </si>
  <si>
    <t>SystemId</t>
  </si>
  <si>
    <t>Sequence</t>
  </si>
  <si>
    <t>Caption</t>
  </si>
  <si>
    <t>Action</t>
  </si>
  <si>
    <t>Cadastros</t>
  </si>
  <si>
    <t>Tipos</t>
  </si>
  <si>
    <t>Usuários</t>
  </si>
  <si>
    <t>Tabelas</t>
  </si>
  <si>
    <t>Menus</t>
  </si>
  <si>
    <t>Sistemas</t>
  </si>
  <si>
    <t>Colunas</t>
  </si>
  <si>
    <t>Associações</t>
  </si>
  <si>
    <t>Sair</t>
  </si>
  <si>
    <t>Password</t>
  </si>
  <si>
    <t>RetryLogins</t>
  </si>
  <si>
    <t>diva</t>
  </si>
  <si>
    <t>UserId</t>
  </si>
  <si>
    <t>Alias</t>
  </si>
  <si>
    <t>Folder</t>
  </si>
  <si>
    <t>DatabaseId</t>
  </si>
  <si>
    <t>Types</t>
  </si>
  <si>
    <t>Domains</t>
  </si>
  <si>
    <t>Masks</t>
  </si>
  <si>
    <t>Systems</t>
  </si>
  <si>
    <t>Users</t>
  </si>
  <si>
    <t>Databases</t>
  </si>
  <si>
    <t>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</si>
  <si>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</si>
  <si>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</si>
  <si>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</si>
  <si>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</si>
  <si>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</si>
  <si>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</si>
  <si>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</si>
  <si>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</si>
  <si>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Title</t>
  </si>
  <si>
    <t>IsRequired</t>
  </si>
  <si>
    <t>IsFilterable</t>
  </si>
  <si>
    <t>IsEditable</t>
  </si>
  <si>
    <t>IsEncrypted</t>
  </si>
  <si>
    <t>Nome</t>
  </si>
  <si>
    <t>Categoria</t>
  </si>
  <si>
    <t>Mínimo</t>
  </si>
  <si>
    <t>Valor máximo do tipo</t>
  </si>
  <si>
    <t>Máximo</t>
  </si>
  <si>
    <t>Pede Tamanho?</t>
  </si>
  <si>
    <t>Tipo pede decimais?</t>
  </si>
  <si>
    <t>Pede decimais?</t>
  </si>
  <si>
    <t>Pede filtrável?</t>
  </si>
  <si>
    <t>Tipo é ativo?</t>
  </si>
  <si>
    <t>É ativo?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</si>
  <si>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</si>
  <si>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</si>
  <si>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</si>
  <si>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</si>
  <si>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</si>
  <si>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</si>
  <si>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</si>
  <si>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</si>
  <si>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</si>
  <si>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</si>
  <si>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 do sistema</t>
  </si>
  <si>
    <t>Descrição</t>
  </si>
  <si>
    <t>Cliente</t>
  </si>
  <si>
    <t>Máximo de logins</t>
  </si>
  <si>
    <t>Sistema</t>
  </si>
  <si>
    <t>Sequência</t>
  </si>
  <si>
    <t>Ação</t>
  </si>
  <si>
    <t>Nome do usuário</t>
  </si>
  <si>
    <t>Senha do usuário</t>
  </si>
  <si>
    <t>Senha</t>
  </si>
  <si>
    <t>Tentativas de login</t>
  </si>
  <si>
    <t>Ativo?</t>
  </si>
  <si>
    <t>Usuário</t>
  </si>
  <si>
    <t>Nome do banco-de-dados</t>
  </si>
  <si>
    <t>Descrição do banco-de-dados</t>
  </si>
  <si>
    <t>Alias  do banco-de-dados</t>
  </si>
  <si>
    <t>Banco-de-dados</t>
  </si>
  <si>
    <t>Nome da tabela</t>
  </si>
  <si>
    <t>Alias da tabela</t>
  </si>
  <si>
    <t>Descrição da tabela</t>
  </si>
  <si>
    <t>Tabela</t>
  </si>
  <si>
    <t>Domínio da coluna</t>
  </si>
  <si>
    <t>Domínio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</si>
  <si>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</si>
  <si>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</si>
  <si>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</si>
  <si>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</si>
  <si>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</si>
  <si>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</si>
  <si>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</si>
  <si>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</si>
  <si>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</si>
  <si>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</si>
  <si>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requerida?</t>
  </si>
  <si>
    <t>Coluna é filtrável?</t>
  </si>
  <si>
    <t>Coluna é editável?</t>
  </si>
  <si>
    <t>Coluna é encriptada?</t>
  </si>
  <si>
    <t>Nome do índice</t>
  </si>
  <si>
    <t>IsUnique</t>
  </si>
  <si>
    <t>É índice único?</t>
  </si>
  <si>
    <t>É único?</t>
  </si>
  <si>
    <t>IndexId</t>
  </si>
  <si>
    <t>Índice</t>
  </si>
  <si>
    <t>ColumnId</t>
  </si>
  <si>
    <t>Coluna</t>
  </si>
  <si>
    <t>IsDescending</t>
  </si>
  <si>
    <t>Descendente?</t>
  </si>
  <si>
    <t>Id da categoria</t>
  </si>
  <si>
    <t>Nome da categoria</t>
  </si>
  <si>
    <t>Pede criptografia?</t>
  </si>
  <si>
    <t>Pede máscara?</t>
  </si>
  <si>
    <t>Pede valor padrão?</t>
  </si>
  <si>
    <t>Pede valor mínimo?</t>
  </si>
  <si>
    <t>Pede valor máximo?</t>
  </si>
  <si>
    <t>AskCodification</t>
  </si>
  <si>
    <t>Codification</t>
  </si>
  <si>
    <t>Pede codificação?</t>
  </si>
  <si>
    <t>Codificação</t>
  </si>
  <si>
    <t>Valores válidos</t>
  </si>
  <si>
    <t>ValidValues</t>
  </si>
  <si>
    <t>Bancos-de-Dados x Tabelas</t>
  </si>
  <si>
    <t>PublicKey</t>
  </si>
  <si>
    <t>Chave pública</t>
  </si>
  <si>
    <t>#CategoryName</t>
  </si>
  <si>
    <t>#TypeName</t>
  </si>
  <si>
    <t>#MaskName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</si>
  <si>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</si>
  <si>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</si>
  <si>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</si>
  <si>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</si>
  <si>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</si>
  <si>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</si>
  <si>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</si>
  <si>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Id atual</t>
  </si>
  <si>
    <t>IsOffAir</t>
  </si>
  <si>
    <t>Fora-do-ar</t>
  </si>
  <si>
    <t>#DataType</t>
  </si>
  <si>
    <t>Codificação do domínio</t>
  </si>
  <si>
    <t>AskGridable</t>
  </si>
  <si>
    <t>IsGridable</t>
  </si>
  <si>
    <t>Pede exibível em grade?</t>
  </si>
  <si>
    <t>Coluna é exibível em grade?</t>
  </si>
  <si>
    <t>Requerida?</t>
  </si>
  <si>
    <t>Filtrável?</t>
  </si>
  <si>
    <t>Editável?</t>
  </si>
  <si>
    <t>Exibível em grade?</t>
  </si>
  <si>
    <t>Encriptada?</t>
  </si>
  <si>
    <t>crudex</t>
  </si>
  <si>
    <t>CRUD Express</t>
  </si>
  <si>
    <t>AskInWords</t>
  </si>
  <si>
    <t>Pede extenso?</t>
  </si>
  <si>
    <t>Valor da coluna por extenso?</t>
  </si>
  <si>
    <t>IsInWords</t>
  </si>
  <si>
    <t>Valor por extenso?</t>
  </si>
  <si>
    <t>#TableAlias</t>
  </si>
  <si>
    <t>Connections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</si>
  <si>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</si>
  <si>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</si>
  <si>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</si>
  <si>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</si>
  <si>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</si>
  <si>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</si>
  <si>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</si>
  <si>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</si>
  <si>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</si>
  <si>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Transações de bancos-de-dados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</si>
  <si>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</si>
  <si>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</si>
  <si>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</si>
  <si>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</si>
  <si>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</si>
  <si>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</si>
  <si>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</si>
  <si>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Transação</t>
  </si>
  <si>
    <t>Ação da operação</t>
  </si>
  <si>
    <t>Registro atual</t>
  </si>
  <si>
    <t>create;update;delete</t>
  </si>
  <si>
    <t>ConnectionId</t>
  </si>
  <si>
    <t>Conexão</t>
  </si>
  <si>
    <t>LastRecord</t>
  </si>
  <si>
    <t>Último registro</t>
  </si>
  <si>
    <t>number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</si>
  <si>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</si>
  <si>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</si>
  <si>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</si>
  <si>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</si>
  <si>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</si>
  <si>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</si>
  <si>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</si>
  <si>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</si>
  <si>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</si>
  <si>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</si>
  <si>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</si>
  <si>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</si>
  <si>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</si>
  <si>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</si>
  <si>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</si>
  <si>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</si>
  <si>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</si>
  <si>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</si>
  <si>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</si>
  <si>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</si>
  <si>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</si>
  <si>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</si>
  <si>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</si>
  <si>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</si>
  <si>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</si>
  <si>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</si>
  <si>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</si>
  <si>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</si>
  <si>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</si>
  <si>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hh:mm</t>
  </si>
  <si>
    <t>#Mask</t>
  </si>
  <si>
    <t>Sessions</t>
  </si>
  <si>
    <t>Sessões de sistema</t>
  </si>
  <si>
    <t>SessionId</t>
  </si>
  <si>
    <t>Sessão</t>
  </si>
  <si>
    <t>js</t>
  </si>
  <si>
    <t>sql</t>
  </si>
  <si>
    <t>json</t>
  </si>
  <si>
    <t>ConnectionString</t>
  </si>
  <si>
    <t>dev</t>
  </si>
  <si>
    <t>Ambiente</t>
  </si>
  <si>
    <t>EngineId</t>
  </si>
  <si>
    <t>Categoria do tipo</t>
  </si>
  <si>
    <t>Nome do tipo</t>
  </si>
  <si>
    <t>SGBD do tipo</t>
  </si>
  <si>
    <t>SGBD</t>
  </si>
  <si>
    <t>Bradesco</t>
  </si>
  <si>
    <t>Daycoval</t>
  </si>
  <si>
    <t>Itaú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</si>
  <si>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</si>
  <si>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</si>
  <si>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</si>
  <si>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Evadin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</si>
  <si>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</si>
  <si>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</si>
  <si>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</si>
  <si>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hml</t>
  </si>
  <si>
    <t>prd</t>
  </si>
  <si>
    <t>GroupId</t>
  </si>
  <si>
    <t>#GroupName</t>
  </si>
  <si>
    <t>admin</t>
  </si>
  <si>
    <t>LocalScript</t>
  </si>
  <si>
    <t>RemoteScript</t>
  </si>
  <si>
    <t>PeriodicityId</t>
  </si>
  <si>
    <t>hour</t>
  </si>
  <si>
    <t>day</t>
  </si>
  <si>
    <t>month</t>
  </si>
  <si>
    <t>year</t>
  </si>
  <si>
    <t>Clients</t>
  </si>
  <si>
    <t>Groups</t>
  </si>
  <si>
    <t>Grupos de usuários</t>
  </si>
  <si>
    <t>Grupos x Usuários</t>
  </si>
  <si>
    <t>Máscaras de exibição/edição</t>
  </si>
  <si>
    <t>Sistemas x Grupos</t>
  </si>
  <si>
    <t>IsBusinessDays</t>
  </si>
  <si>
    <t>second</t>
  </si>
  <si>
    <t>minute</t>
  </si>
  <si>
    <t>Interval</t>
  </si>
  <si>
    <t>#PeriodicityName</t>
  </si>
  <si>
    <t>IsRunOnce</t>
  </si>
  <si>
    <t>EnvironmentId</t>
  </si>
  <si>
    <t>RemoteConnectionId</t>
  </si>
  <si>
    <t>Segundo(s)</t>
  </si>
  <si>
    <t>Minuto(s)</t>
  </si>
  <si>
    <t>Hora(s)</t>
  </si>
  <si>
    <t>Dia(s)</t>
  </si>
  <si>
    <t>Mês(es)</t>
  </si>
  <si>
    <t>Ano(s)</t>
  </si>
  <si>
    <t>Periodicities</t>
  </si>
  <si>
    <t>Periodicidades da DateAdd</t>
  </si>
  <si>
    <t>Environments</t>
  </si>
  <si>
    <t>Ambientes de execução</t>
  </si>
  <si>
    <t>RelatedColumnId</t>
  </si>
  <si>
    <t>#RelatedColumnName</t>
  </si>
  <si>
    <t>Snipers</t>
  </si>
  <si>
    <t>Schedulers</t>
  </si>
  <si>
    <t>Agendamentos automáticos</t>
  </si>
  <si>
    <t>Domínios x Máscaras</t>
  </si>
  <si>
    <t>Scripts de agendamentos automáticos</t>
  </si>
  <si>
    <t>js;json;sql;xml;regex</t>
  </si>
  <si>
    <t>Cliente fora-do-ar</t>
  </si>
  <si>
    <t>Logotipo</t>
  </si>
  <si>
    <t>Id do cliente</t>
  </si>
  <si>
    <t>Nome do cliente</t>
  </si>
  <si>
    <t>Id da periodicidade</t>
  </si>
  <si>
    <t>Nome da periodicidade</t>
  </si>
  <si>
    <t>Descrição da periodicidade</t>
  </si>
  <si>
    <t>Categoria pede criptografia?</t>
  </si>
  <si>
    <t>Categoria pede máscara?</t>
  </si>
  <si>
    <t>Categoria pede valor padrão?</t>
  </si>
  <si>
    <t>Categoria pede valor mínimo?</t>
  </si>
  <si>
    <t>Categoria pede valor máximo?</t>
  </si>
  <si>
    <t>Categoria pede extenso?</t>
  </si>
  <si>
    <t>Id do tipo</t>
  </si>
  <si>
    <t>Id do grupo</t>
  </si>
  <si>
    <t>Grupo</t>
  </si>
  <si>
    <t>Id do usuário</t>
  </si>
  <si>
    <t>Nome do grupo</t>
  </si>
  <si>
    <t>Valor mínimo do tipo</t>
  </si>
  <si>
    <t>Tipo pede Tamanho?</t>
  </si>
  <si>
    <t>Grupo é ativo?</t>
  </si>
  <si>
    <t>Tentativas de login do usuário</t>
  </si>
  <si>
    <t>Usuário é ativo?</t>
  </si>
  <si>
    <t>Id do domínio</t>
  </si>
  <si>
    <t>Id do grupo x usuário</t>
  </si>
  <si>
    <t>Grupo do grupo x usuário</t>
  </si>
  <si>
    <t>Usuário do grupo x usuário</t>
  </si>
  <si>
    <t>Valores válidos do domínio</t>
  </si>
  <si>
    <t>Id do banco-de-dados</t>
  </si>
  <si>
    <t>Banco-de-dados é ativo?</t>
  </si>
  <si>
    <t>Nome da conexão</t>
  </si>
  <si>
    <t>Descrição da conexão</t>
  </si>
  <si>
    <t>Id do sistema</t>
  </si>
  <si>
    <t>Id da conexão</t>
  </si>
  <si>
    <t>Sistema fora-do-ar?</t>
  </si>
  <si>
    <t>Fora-do-ar?</t>
  </si>
  <si>
    <t>Id do sistema x grupo</t>
  </si>
  <si>
    <t>Sistema do sistema x grupo</t>
  </si>
  <si>
    <t>Grupo do sistema x grupo</t>
  </si>
  <si>
    <t>Id da tabela</t>
  </si>
  <si>
    <t>Id do banco-de-dados x tabela</t>
  </si>
  <si>
    <t>Banco de dados do banco-de-dados x tabela</t>
  </si>
  <si>
    <t>Tabela do banco-de-dados x tabela</t>
  </si>
  <si>
    <t>Id da coluna</t>
  </si>
  <si>
    <t>Tabela da coluna</t>
  </si>
  <si>
    <t>Sequência da coluna</t>
  </si>
  <si>
    <t>Id do índice</t>
  </si>
  <si>
    <t>Tabela do índice</t>
  </si>
  <si>
    <t>Id da sesssão</t>
  </si>
  <si>
    <t>Id da transação</t>
  </si>
  <si>
    <t>Id da operação</t>
  </si>
  <si>
    <t>Sistema da sessão</t>
  </si>
  <si>
    <t>Usuário da sessão</t>
  </si>
  <si>
    <t>Chave pública da sessão</t>
  </si>
  <si>
    <t>Ambiente da sessão</t>
  </si>
  <si>
    <t>Sessão é ativa?</t>
  </si>
  <si>
    <t>Ativa?</t>
  </si>
  <si>
    <t>Sessão da transação</t>
  </si>
  <si>
    <t>Transação da operação</t>
  </si>
  <si>
    <t>Nome da tabela da operação</t>
  </si>
  <si>
    <t>Registro anterior da operação</t>
  </si>
  <si>
    <t>Registro atual da operação</t>
  </si>
  <si>
    <t>Operação é confirmada?</t>
  </si>
  <si>
    <t>Confirmada?</t>
  </si>
  <si>
    <t>Diretório do banco-de-dados</t>
  </si>
  <si>
    <t>Diretório</t>
  </si>
  <si>
    <t>Máximo de tentativas de logins do sistema</t>
  </si>
  <si>
    <t>Id da máscara de edição</t>
  </si>
  <si>
    <t>Id de domínio x máscara</t>
  </si>
  <si>
    <t>Id do ambiente</t>
  </si>
  <si>
    <t>Nome do ambiente</t>
  </si>
  <si>
    <t>Id da cardinalidade</t>
  </si>
  <si>
    <t>Tabela da cardinalidade</t>
  </si>
  <si>
    <t>Cardinalidade mínima</t>
  </si>
  <si>
    <t>MinCardinality</t>
  </si>
  <si>
    <t>MaxCardinality</t>
  </si>
  <si>
    <t>Cardinalidade máxima</t>
  </si>
  <si>
    <t>Cardinalidade máxima é fixa?</t>
  </si>
  <si>
    <t>Fixa Máximo?</t>
  </si>
  <si>
    <t>IsFixedMaximum</t>
  </si>
  <si>
    <t>Coluna relacionada</t>
  </si>
  <si>
    <t>Pré-CRUD?</t>
  </si>
  <si>
    <t>Id do atirador</t>
  </si>
  <si>
    <t>Atirador pré-CRUD?</t>
  </si>
  <si>
    <t>Atirador é ativo?</t>
  </si>
  <si>
    <t>IsBeforeCRUD</t>
  </si>
  <si>
    <t>Script local</t>
  </si>
  <si>
    <t>Tabela local</t>
  </si>
  <si>
    <t>Conexão remota</t>
  </si>
  <si>
    <t>Tabela local do atirador</t>
  </si>
  <si>
    <t>Conexão local</t>
  </si>
  <si>
    <t>Intervalo de tempo</t>
  </si>
  <si>
    <t>Periodicidade</t>
  </si>
  <si>
    <t>TimeOfDay</t>
  </si>
  <si>
    <t>Hora do dia</t>
  </si>
  <si>
    <t>Primeiro/último dia?</t>
  </si>
  <si>
    <t>Dia útil?</t>
  </si>
  <si>
    <t>Execução única?</t>
  </si>
  <si>
    <t>Script remoto</t>
  </si>
  <si>
    <t>Triggers locais e/ou remotas</t>
  </si>
  <si>
    <t>Scripts de triggers locais e/ou remotas</t>
  </si>
  <si>
    <t>SniperId</t>
  </si>
  <si>
    <t>Atirador</t>
  </si>
  <si>
    <t>SchedulerId</t>
  </si>
  <si>
    <t>Agendador</t>
  </si>
  <si>
    <t>NextRunDate</t>
  </si>
  <si>
    <t>DayOfMonth</t>
  </si>
  <si>
    <t>Dia do mês</t>
  </si>
  <si>
    <t>Dia do mês de agendamento</t>
  </si>
  <si>
    <t>Próxima execução do agendamento</t>
  </si>
  <si>
    <t>Próxima execução</t>
  </si>
  <si>
    <t>IsFirstOrLastDay</t>
  </si>
  <si>
    <t>Descrição do ambiente</t>
  </si>
  <si>
    <t>IndexKeys</t>
  </si>
  <si>
    <t>IndexIncludes</t>
  </si>
  <si>
    <t>Colunas não-chaves do índice</t>
  </si>
  <si>
    <t>GroupUsers</t>
  </si>
  <si>
    <t>DomainMasks</t>
  </si>
  <si>
    <t>SystemGroups</t>
  </si>
  <si>
    <t>DatabaseTables</t>
  </si>
  <si>
    <t>SniperScripts</t>
  </si>
  <si>
    <t>SchedulerScripts</t>
  </si>
  <si>
    <t>crudex-dev</t>
  </si>
  <si>
    <t>crudex-hml</t>
  </si>
  <si>
    <t>crudex-prd</t>
  </si>
  <si>
    <t>Conexão com banco-de-dados CRUDEX em Dev</t>
  </si>
  <si>
    <t>Conexão com banco-de-dados CRUDEX em Hml.</t>
  </si>
  <si>
    <t>Conexão com banco-de-dados CRUDEX em Prd.</t>
  </si>
  <si>
    <t>#EnvironmentName</t>
  </si>
  <si>
    <t>#ConnectionName</t>
  </si>
  <si>
    <t>IsInternalUse</t>
  </si>
  <si>
    <t>owner</t>
  </si>
  <si>
    <t>IsDevelopment</t>
  </si>
  <si>
    <t>Relations</t>
  </si>
  <si>
    <t xml:space="preserve">IsLocalBeforeRemote </t>
  </si>
  <si>
    <t>IsLocalBeforeRemote</t>
  </si>
  <si>
    <t>SoftLab</t>
  </si>
  <si>
    <t>Connection string da conexão</t>
  </si>
  <si>
    <t>Connection string</t>
  </si>
  <si>
    <t>Ambiente é desenvolvimento?</t>
  </si>
  <si>
    <t>Desenvolvimento?</t>
  </si>
  <si>
    <t>Id do banco-de-dados x ambiente x conexão</t>
  </si>
  <si>
    <t>Cli</t>
  </si>
  <si>
    <t>Cat</t>
  </si>
  <si>
    <t>Grp</t>
  </si>
  <si>
    <t>Typ</t>
  </si>
  <si>
    <t>Usr</t>
  </si>
  <si>
    <t>GrpUsr</t>
  </si>
  <si>
    <t>Dmn</t>
  </si>
  <si>
    <t>Msk</t>
  </si>
  <si>
    <t>DmnMsk</t>
  </si>
  <si>
    <t>Env</t>
  </si>
  <si>
    <t>Sys</t>
  </si>
  <si>
    <t>SysGrp</t>
  </si>
  <si>
    <t>Tbl</t>
  </si>
  <si>
    <t>Col</t>
  </si>
  <si>
    <t>Rel</t>
  </si>
  <si>
    <t>Idx</t>
  </si>
  <si>
    <t>IdxKey</t>
  </si>
  <si>
    <t>IdxInc</t>
  </si>
  <si>
    <t>Trs</t>
  </si>
  <si>
    <t>Ses</t>
  </si>
  <si>
    <t>Ope</t>
  </si>
  <si>
    <t>Snp</t>
  </si>
  <si>
    <t>SnpScr</t>
  </si>
  <si>
    <t>Prd</t>
  </si>
  <si>
    <t>Sch</t>
  </si>
  <si>
    <t>SchScr</t>
  </si>
  <si>
    <t>Con</t>
  </si>
  <si>
    <t>Id da relação</t>
  </si>
  <si>
    <t>Coluna da relação</t>
  </si>
  <si>
    <t>Nome da máscara de edição</t>
  </si>
  <si>
    <t>Uniquelesses</t>
  </si>
  <si>
    <t>Unq</t>
  </si>
  <si>
    <t>Req</t>
  </si>
  <si>
    <t>Id do requerimento</t>
  </si>
  <si>
    <t>Coluna do requerimento</t>
  </si>
  <si>
    <t>Coluna relacionada do requerimento</t>
  </si>
  <si>
    <t>Id do include de índice</t>
  </si>
  <si>
    <t>Índice do include</t>
  </si>
  <si>
    <t>Coluna do include</t>
  </si>
  <si>
    <t>É uso interno?</t>
  </si>
  <si>
    <t>Script local antes?</t>
  </si>
  <si>
    <t>UNQ_Cli_Name</t>
  </si>
  <si>
    <t>UNQ_Eng_Name</t>
  </si>
  <si>
    <t>UNQ_Cat_Name</t>
  </si>
  <si>
    <t>UNQ_Typ_EngineId_Name</t>
  </si>
  <si>
    <t>UNQ_Grp_Name</t>
  </si>
  <si>
    <t>UNQ_Usr_Name</t>
  </si>
  <si>
    <t>UNQ_GrpUsr_GroupId_UserId</t>
  </si>
  <si>
    <t>UNQ_Dmn_Name</t>
  </si>
  <si>
    <t>UNQ_Msk_Name</t>
  </si>
  <si>
    <t>UNQ_DmnMsk_DomainId_MaskId</t>
  </si>
  <si>
    <t>UNQ_Db_Name</t>
  </si>
  <si>
    <t>UNQ_Db_Alias</t>
  </si>
  <si>
    <t>UNQ_Env_Name</t>
  </si>
  <si>
    <t>UNQ_Sys_Name</t>
  </si>
  <si>
    <t>UNQ_SysGrp_SystemId_GroupId</t>
  </si>
  <si>
    <t>UNQ_Tbl_Name</t>
  </si>
  <si>
    <t>UNQ_Tbl_Alias</t>
  </si>
  <si>
    <t>UNQ_DbTbl_DatabaseId_TableId</t>
  </si>
  <si>
    <t>UNQ_Crd_TableId</t>
  </si>
  <si>
    <t>UNQ_Col_TableId_Name</t>
  </si>
  <si>
    <t>UNQ_Col_TableId_Sequence</t>
  </si>
  <si>
    <t>UNQ_Rel_ColumnId_RelatedColumnId</t>
  </si>
  <si>
    <t>UNQ_Unq_ColumnId_RelatedColumnId</t>
  </si>
  <si>
    <t>UNQ_Req_ColumnId_RelatedColumnId</t>
  </si>
  <si>
    <t>UNQ_Snp_TableId</t>
  </si>
  <si>
    <t>Índices</t>
  </si>
  <si>
    <t>Sessões</t>
  </si>
  <si>
    <t>Clientes</t>
  </si>
  <si>
    <t>Categorias</t>
  </si>
  <si>
    <t>Grupos</t>
  </si>
  <si>
    <t>Domínios</t>
  </si>
  <si>
    <t>Máscaras</t>
  </si>
  <si>
    <t>Conexões</t>
  </si>
  <si>
    <t>Ambientes</t>
  </si>
  <si>
    <t>Transações</t>
  </si>
  <si>
    <t>Operações</t>
  </si>
  <si>
    <t>Periodicidades</t>
  </si>
  <si>
    <t>Agendamentos</t>
  </si>
  <si>
    <t>BD's</t>
  </si>
  <si>
    <t>#SniperName</t>
  </si>
  <si>
    <t>#SchedulerName</t>
  </si>
  <si>
    <t>Nome do atirador</t>
  </si>
  <si>
    <t>Requirements</t>
  </si>
  <si>
    <t>Requerimentos entre colunas nulas</t>
  </si>
  <si>
    <t>Requerimentos</t>
  </si>
  <si>
    <t>Varchar(15)</t>
  </si>
  <si>
    <t>Varchar(20)</t>
  </si>
  <si>
    <t>Varchar(25)</t>
  </si>
  <si>
    <t>Varchar(50)</t>
  </si>
  <si>
    <t>Varchar(256)</t>
  </si>
  <si>
    <t>Varchar(MAX)</t>
  </si>
  <si>
    <t>Id do domínio x tipo</t>
  </si>
  <si>
    <t>SGBD do domínio x tipo</t>
  </si>
  <si>
    <t>Domínio do domínio x tipo</t>
  </si>
  <si>
    <t>Tipo do domínio x tipo</t>
  </si>
  <si>
    <t>SGBD da conexão</t>
  </si>
  <si>
    <t>Banco-de-dados do índice</t>
  </si>
  <si>
    <t>IDX_Ses_SystemId_UserId_EnvironmentId</t>
  </si>
  <si>
    <t>UNQ_Idx_DatabaseId_Name</t>
  </si>
  <si>
    <t>UNQ_IdxKey_IndexId_ColumnId</t>
  </si>
  <si>
    <t>UNQ_IdxKey_IndexId_Sequence</t>
  </si>
  <si>
    <t>UNQ_IdxInc_IndexId_ColumnId</t>
  </si>
  <si>
    <t>IDX_Trs_SessionId</t>
  </si>
  <si>
    <t>IDX_Ope_TransactionId_TableName_Action</t>
  </si>
  <si>
    <t>UNQ_Snp_Name</t>
  </si>
  <si>
    <t>UNQ_SnpScr_SniperId_Sequence</t>
  </si>
  <si>
    <t>UNQ_Prd_Name</t>
  </si>
  <si>
    <t>UNQ_Sch_Name</t>
  </si>
  <si>
    <t>UNQ_SchScr_SchedulerId_Sequence</t>
  </si>
  <si>
    <t>UNQ_Tbl_Caption</t>
  </si>
  <si>
    <t>UNQ_DmnTyp_EngineId_DomainId</t>
  </si>
  <si>
    <t>UNQ_Con_EngineId_Name</t>
  </si>
  <si>
    <t>Unicidade entre colunas</t>
  </si>
  <si>
    <t>Unicidade</t>
  </si>
  <si>
    <t>IsBidirectional</t>
  </si>
  <si>
    <t>Tabela relacionada</t>
  </si>
  <si>
    <t>É relação bidirecional?</t>
  </si>
  <si>
    <t>É bidirecional?</t>
  </si>
  <si>
    <t>UNQ_SnpScr_SniperId_ConnectionId</t>
  </si>
  <si>
    <t>Script</t>
  </si>
  <si>
    <t>UNQ_SchScr_SchedulerId_ConnectionId</t>
  </si>
  <si>
    <t>Id atual da tabela</t>
  </si>
  <si>
    <t>UNQ_DbTbl_DatabaseId_Sequence</t>
  </si>
  <si>
    <t>Sequência do banco-de-dados x tabela</t>
  </si>
  <si>
    <t>Sistema do banco-de-dados</t>
  </si>
  <si>
    <t>Categoria pede filtrável?</t>
  </si>
  <si>
    <t>Categoria pede exibível em grade?</t>
  </si>
  <si>
    <t>Categoria pede codificação?</t>
  </si>
  <si>
    <t>Domínio do domínio x máscara</t>
  </si>
  <si>
    <t>Máscara do domínio x máscara</t>
  </si>
  <si>
    <t>IsReadClients</t>
  </si>
  <si>
    <t>Tabela é de uso interno?</t>
  </si>
  <si>
    <t>Tabela da relação</t>
  </si>
  <si>
    <t>Id da unicidade</t>
  </si>
  <si>
    <t>Coluna da unicidade</t>
  </si>
  <si>
    <t>Coluna relacionada da unicidade</t>
  </si>
  <si>
    <t>Id da chave-de-índice</t>
  </si>
  <si>
    <t>Índice da chave-de-índice</t>
  </si>
  <si>
    <t>Coluna da chave-de-índice</t>
  </si>
  <si>
    <t>É ordem descedente da chave-de-índice?</t>
  </si>
  <si>
    <t>Sequência da chave-de-índice</t>
  </si>
  <si>
    <t>Banco-de-dados de banco-de-dados x ambiente x conexão</t>
  </si>
  <si>
    <t>Ambiente de banco-de-dados x ambiente x conexão</t>
  </si>
  <si>
    <t>Conexão de banco-de-dados x ambiente x conexão</t>
  </si>
  <si>
    <t>Transação é confirmada?</t>
  </si>
  <si>
    <t>Intervalo de tempo do agendamento</t>
  </si>
  <si>
    <t>Id do agendamento</t>
  </si>
  <si>
    <t>Periodicidade do agendamento</t>
  </si>
  <si>
    <t>Nome do agendamento</t>
  </si>
  <si>
    <t>Hora do dia de execução do agendamento</t>
  </si>
  <si>
    <t>Agendamento é no primeiro ou último dia do mês?</t>
  </si>
  <si>
    <t>Agendamento é dia últil?</t>
  </si>
  <si>
    <t>É execução única do agendamento?</t>
  </si>
  <si>
    <t>Agendamento é ativo?</t>
  </si>
  <si>
    <t>Id do script do script do agendamento</t>
  </si>
  <si>
    <t>Agendamento do script</t>
  </si>
  <si>
    <t>Conexão do agendamento</t>
  </si>
  <si>
    <t>Sequência do script do agendamento</t>
  </si>
  <si>
    <t>Script do agendamento</t>
  </si>
  <si>
    <t>Id do script do sniper</t>
  </si>
  <si>
    <t>Sniper do script</t>
  </si>
  <si>
    <t>Conexão remota do sniper</t>
  </si>
  <si>
    <t>Sequência do script do sniper</t>
  </si>
  <si>
    <t>Script local do sniper</t>
  </si>
  <si>
    <t>Script remoto do sniper</t>
  </si>
  <si>
    <t>Script local do sniper antes do remoto?</t>
  </si>
  <si>
    <t>Id da tabela x CRUDEX</t>
  </si>
  <si>
    <t>Nome do sistema</t>
  </si>
  <si>
    <t>#DatabaseAlias</t>
  </si>
  <si>
    <t>CaptionInSingular</t>
  </si>
  <si>
    <t>CaptionInPlural</t>
  </si>
  <si>
    <t>Tipo</t>
  </si>
  <si>
    <t>Menu</t>
  </si>
  <si>
    <t>Unicidades</t>
  </si>
  <si>
    <t>Chaves-de-índices</t>
  </si>
  <si>
    <t>Includes de índices</t>
  </si>
  <si>
    <t>Bancos-de-dados x Ambientes</t>
  </si>
  <si>
    <t>Scripts de snipers</t>
  </si>
  <si>
    <t>Grupo x Usuário</t>
  </si>
  <si>
    <t>Domínio x Máscara</t>
  </si>
  <si>
    <t>Sistema x Grupo</t>
  </si>
  <si>
    <t>Relacionamentos</t>
  </si>
  <si>
    <t>Relacionamento</t>
  </si>
  <si>
    <t>Relacionamentos entre tabelas</t>
  </si>
  <si>
    <t>Requerimento</t>
  </si>
  <si>
    <t>Chave-de-índice</t>
  </si>
  <si>
    <t>Include de índice</t>
  </si>
  <si>
    <t>Operação</t>
  </si>
  <si>
    <t>Sniper</t>
  </si>
  <si>
    <t>Script de sniper</t>
  </si>
  <si>
    <t>Agendamento</t>
  </si>
  <si>
    <t>Clientes do CRUDEX</t>
  </si>
  <si>
    <t>Legenda singular</t>
  </si>
  <si>
    <t>Legenda plural</t>
  </si>
  <si>
    <t>Legenda da tabela no singular</t>
  </si>
  <si>
    <t>Legenda da tabela no plural</t>
  </si>
  <si>
    <t>ParentRankId</t>
  </si>
  <si>
    <t>RankId</t>
  </si>
  <si>
    <t>#ParentRankCaption</t>
  </si>
  <si>
    <t>Bancos-de-dados</t>
  </si>
  <si>
    <t>Script agendamento</t>
  </si>
  <si>
    <t>#RankCaption</t>
  </si>
  <si>
    <t>Ranks</t>
  </si>
  <si>
    <t>Rnk</t>
  </si>
  <si>
    <t>Id da classificação</t>
  </si>
  <si>
    <t>Legenda da classificação</t>
  </si>
  <si>
    <t>Banco-de-dados da classificação</t>
  </si>
  <si>
    <t>Classificação-pai</t>
  </si>
  <si>
    <t>Classificação do banco-de-dados x tabela</t>
  </si>
  <si>
    <t>UNQ_DbEnv_DatabaseId_EnvironmentId</t>
  </si>
  <si>
    <t>UNQ_TblCrudex_TableId</t>
  </si>
  <si>
    <t>UNQ_Rnkx_DatabaseId_Caption</t>
  </si>
  <si>
    <t>UNQ_Db_SystemId</t>
  </si>
  <si>
    <t>IsOfUser</t>
  </si>
  <si>
    <t>Atirador é do usuário?</t>
  </si>
  <si>
    <t>Agendamento é do usuário?</t>
  </si>
  <si>
    <t>É do usuário?</t>
  </si>
  <si>
    <t>&lt;</t>
  </si>
  <si>
    <t>=</t>
  </si>
  <si>
    <t>&gt;</t>
  </si>
  <si>
    <t>like</t>
  </si>
  <si>
    <t>readonly</t>
  </si>
  <si>
    <t>required</t>
  </si>
  <si>
    <t>visible</t>
  </si>
  <si>
    <t>hidden</t>
  </si>
  <si>
    <t>enabled</t>
  </si>
  <si>
    <t>disabled</t>
  </si>
  <si>
    <t>checked</t>
  </si>
  <si>
    <t>max</t>
  </si>
  <si>
    <t>min</t>
  </si>
  <si>
    <t>maxlength</t>
  </si>
  <si>
    <t>minlength</t>
  </si>
  <si>
    <t>pattern</t>
  </si>
  <si>
    <t>value</t>
  </si>
  <si>
    <t>regex</t>
  </si>
  <si>
    <t>variant</t>
  </si>
  <si>
    <t>mask</t>
  </si>
  <si>
    <t>Marca/desmarca campo (ex.: checkbox)</t>
  </si>
  <si>
    <t>Desabilita o campo</t>
  </si>
  <si>
    <t>Habilita o campo</t>
  </si>
  <si>
    <t>Esconde o campo</t>
  </si>
  <si>
    <t>Mostra o campo</t>
  </si>
  <si>
    <t>Torna o campo somente leitura</t>
  </si>
  <si>
    <t>Torna o campo obrigatório</t>
  </si>
  <si>
    <t>Define o valor do campo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</si>
  <si>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</si>
  <si>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</si>
  <si>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</si>
  <si>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</si>
  <si>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</si>
  <si>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</si>
  <si>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</si>
  <si>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</si>
  <si>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Define valor máximo (numérico)</t>
  </si>
  <si>
    <t>Define valor mínimo (numérico)</t>
  </si>
  <si>
    <t>Define número máximo de caracteres</t>
  </si>
  <si>
    <t>Define número mínimo de caracteres</t>
  </si>
  <si>
    <t>step</t>
  </si>
  <si>
    <t>Define o incremento para campos numéricos</t>
  </si>
  <si>
    <t>Define expressão regular para validação</t>
  </si>
  <si>
    <t>patternTitle</t>
  </si>
  <si>
    <t>Define mensagem explicativa para falha no pattern</t>
  </si>
  <si>
    <t>aria-label</t>
  </si>
  <si>
    <t>Define rótulo acessível para leitores de tela</t>
  </si>
  <si>
    <t>Define a máscara de formatação aplicada ao campo</t>
  </si>
  <si>
    <t>PropertyId</t>
  </si>
  <si>
    <t>Type</t>
  </si>
  <si>
    <t>#PropertyName</t>
  </si>
  <si>
    <t>Operators</t>
  </si>
  <si>
    <t>Opr</t>
  </si>
  <si>
    <t>Properties</t>
  </si>
  <si>
    <t>Prp</t>
  </si>
  <si>
    <t>Propriedades mutáveis dinamicamente</t>
  </si>
  <si>
    <t>Value</t>
  </si>
  <si>
    <t>OperatorId</t>
  </si>
  <si>
    <t>BehaviorId</t>
  </si>
  <si>
    <t>Behaviors</t>
  </si>
  <si>
    <t>Bhv</t>
  </si>
  <si>
    <t>≤</t>
  </si>
  <si>
    <t>≥</t>
  </si>
  <si>
    <t>Id do operador</t>
  </si>
  <si>
    <t>Nome do operador</t>
  </si>
  <si>
    <t>Id da propriedade</t>
  </si>
  <si>
    <t>Nome da propriedade</t>
  </si>
  <si>
    <t>Tipo da propriedade</t>
  </si>
  <si>
    <t>Descrição da propriedade</t>
  </si>
  <si>
    <t>Propriedade é ativa?</t>
  </si>
  <si>
    <t>Id do comportamento</t>
  </si>
  <si>
    <t>Coluna do comportamento</t>
  </si>
  <si>
    <t>Propriedade</t>
  </si>
  <si>
    <t>Propriedade do comportamento</t>
  </si>
  <si>
    <t>Valor</t>
  </si>
  <si>
    <t>Valor da propriedade do comportamento</t>
  </si>
  <si>
    <t>Id da checagem</t>
  </si>
  <si>
    <t>Comportamento</t>
  </si>
  <si>
    <t>Checagem</t>
  </si>
  <si>
    <t>Operador</t>
  </si>
  <si>
    <t>Operadores</t>
  </si>
  <si>
    <t>Propriedades</t>
  </si>
  <si>
    <t>Comportamentos</t>
  </si>
  <si>
    <t>Checagens</t>
  </si>
  <si>
    <t>Operadores de comparações relacionais</t>
  </si>
  <si>
    <t>CodeSQL</t>
  </si>
  <si>
    <t>CodeJS</t>
  </si>
  <si>
    <t>Tabela da tabela x Atributos</t>
  </si>
  <si>
    <t>Lida pelos clientes?</t>
  </si>
  <si>
    <t>Tabela é lida pelos clientes?</t>
  </si>
  <si>
    <t>Código do operador SQL</t>
  </si>
  <si>
    <t>Código do operador JS</t>
  </si>
  <si>
    <t>JS</t>
  </si>
  <si>
    <t>Comportamento da checagem</t>
  </si>
  <si>
    <t>Operator da checagem</t>
  </si>
  <si>
    <t>Valor da coluna da checagem</t>
  </si>
  <si>
    <t>IsAndConnector</t>
  </si>
  <si>
    <t>Conector AND ou OR</t>
  </si>
  <si>
    <t>É conector AND?</t>
  </si>
  <si>
    <t>Coluna da checagem</t>
  </si>
  <si>
    <t>BehaviorChecks</t>
  </si>
  <si>
    <t>BhvChk</t>
  </si>
  <si>
    <t>IsListable</t>
  </si>
  <si>
    <t>Categoria listável?</t>
  </si>
  <si>
    <t>É listável?</t>
  </si>
  <si>
    <t>DatabaseEnvironments</t>
  </si>
  <si>
    <t>Dtb</t>
  </si>
  <si>
    <t>DtbTbl</t>
  </si>
  <si>
    <t>Comportamentos dinâmicos em formulários</t>
  </si>
  <si>
    <t>Checagens de comportamentos em formulários</t>
  </si>
  <si>
    <t>Monetary</t>
  </si>
  <si>
    <t>Data Source=localhost,1433;Initial Catalog=crudex;Integrated Security=SSPI;Encrypt=yes;TrustServerCertificate=yes;Persist Security Info=False;Connect Timeout=30;</t>
  </si>
  <si>
    <t>DtbEnv</t>
  </si>
  <si>
    <t>IsReadByClients</t>
  </si>
  <si>
    <t>Banco-de-dados x Tabela</t>
  </si>
  <si>
    <t>Bancos-de-dados x Tabelas</t>
  </si>
  <si>
    <t>Banco-de-dados x Ambiente</t>
  </si>
  <si>
    <t>Scripts de agendamentos</t>
  </si>
  <si>
    <t>Module</t>
  </si>
  <si>
    <t>DigitGreaterThanNine</t>
  </si>
  <si>
    <t>SubtractFromModule</t>
  </si>
  <si>
    <t>CheckDigitId</t>
  </si>
  <si>
    <t>Position</t>
  </si>
  <si>
    <t>Factors</t>
  </si>
  <si>
    <t>false</t>
  </si>
  <si>
    <t>true</t>
  </si>
  <si>
    <t>X</t>
  </si>
  <si>
    <t>1,2,3,4,5,6,7,8,9</t>
  </si>
  <si>
    <t>0,1,2,3,4,5,6,7,8,9</t>
  </si>
  <si>
    <t>6,7,8,9,2,3,4,5,6,7,8,9</t>
  </si>
  <si>
    <t>5,6,7,8,9,2,3,4,5,6,7,8,9</t>
  </si>
  <si>
    <t>2,3,4,5,6,7,8,9</t>
  </si>
  <si>
    <t>ConditionalValues</t>
  </si>
  <si>
    <t>SP</t>
  </si>
  <si>
    <t xml:space="preserve">ConditionalColumnId </t>
  </si>
  <si>
    <t>SQL Server</t>
  </si>
  <si>
    <t>Oracle</t>
  </si>
  <si>
    <t>DB2</t>
  </si>
  <si>
    <t>MySQL</t>
  </si>
  <si>
    <t>MariaDB</t>
  </si>
  <si>
    <t>PostgreSQL</t>
  </si>
  <si>
    <t>Firebird</t>
  </si>
  <si>
    <t>Interbase</t>
  </si>
  <si>
    <t>1000-01-01 00:00:00</t>
  </si>
  <si>
    <t>9999-12-31 23:59:59</t>
  </si>
  <si>
    <t>-9007199254740990</t>
  </si>
  <si>
    <t>9007199254740990</t>
  </si>
  <si>
    <t>00:00:00</t>
  </si>
  <si>
    <t>23:59:59</t>
  </si>
  <si>
    <t>#EngineName</t>
  </si>
  <si>
    <t>decimal</t>
  </si>
  <si>
    <t>integer</t>
  </si>
  <si>
    <t>Desenvolvimento</t>
  </si>
  <si>
    <t>Homologação</t>
  </si>
  <si>
    <t>Produção</t>
  </si>
  <si>
    <t>Format</t>
  </si>
  <si>
    <t>##/##/#### ##:##:##</t>
  </si>
  <si>
    <t>##/##/#### ##:##</t>
  </si>
  <si>
    <t>##/##/####</t>
  </si>
  <si>
    <t>####/##/## ##:##:##</t>
  </si>
  <si>
    <t>####/##/## ##:##</t>
  </si>
  <si>
    <t>####/##/##</t>
  </si>
  <si>
    <t>##/##/## ##:##:##</t>
  </si>
  <si>
    <t>##/##/## ##:##</t>
  </si>
  <si>
    <t>yyyy/MM/dd hh:mm:ss</t>
  </si>
  <si>
    <t>yyyy/MM/dd hh:mm</t>
  </si>
  <si>
    <t>yy/MM/dd hh:mm:ss</t>
  </si>
  <si>
    <t>yy/MM/dd hh:mm</t>
  </si>
  <si>
    <t>yyyy/MM/dd</t>
  </si>
  <si>
    <t>yy/MM/dd</t>
  </si>
  <si>
    <t>##:##:##</t>
  </si>
  <si>
    <t>##:##</t>
  </si>
  <si>
    <t>##/##/##</t>
  </si>
  <si>
    <t>Small American Date</t>
  </si>
  <si>
    <t>Small Brithish Date</t>
  </si>
  <si>
    <t>Small ISO Date</t>
  </si>
  <si>
    <t>Small Time</t>
  </si>
  <si>
    <t>SQL Anywhere</t>
  </si>
  <si>
    <t>IsNested</t>
  </si>
  <si>
    <t>Informix</t>
  </si>
  <si>
    <t>not like</t>
  </si>
  <si>
    <t>⊂</t>
  </si>
  <si>
    <t>⊄</t>
  </si>
  <si>
    <t>≠</t>
  </si>
  <si>
    <t>∈</t>
  </si>
  <si>
    <t>∉</t>
  </si>
  <si>
    <t>IsDefault</t>
  </si>
  <si>
    <t>Operator</t>
  </si>
  <si>
    <t>*Id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</si>
</sst>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0" fontId="0" fillId="3" borderId="1" xfId="0" applyFill="1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" borderId="2" xfId="0" applyFill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3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quotePrefix="1" applyFont="1" applyFill="1" applyBorder="1"/>
    <xf numFmtId="0" fontId="1" fillId="2" borderId="2" xfId="0" applyFont="1" applyFill="1" applyBorder="1"/>
    <xf numFmtId="0" fontId="1" fillId="0" borderId="0" xfId="0" applyFont="1"/>
    <xf numFmtId="0" fontId="0" fillId="3" borderId="1" xfId="0" quotePrefix="1" applyFill="1" applyBorder="1"/>
    <xf numFmtId="0" fontId="1" fillId="0" borderId="1" xfId="0" applyFont="1" applyBorder="1" applyAlignment="1">
      <alignment horizontal="right"/>
    </xf>
    <xf numFmtId="3" fontId="1" fillId="0" borderId="1" xfId="0" applyNumberFormat="1" applyFont="1" applyBorder="1" applyAlignment="1">
      <alignment horizontal="right"/>
    </xf>
    <xf numFmtId="0" fontId="0" fillId="3" borderId="1" xfId="0" applyFill="1" applyBorder="1" applyAlignment="1">
      <alignment horizontal="right"/>
    </xf>
    <xf numFmtId="3" fontId="0" fillId="3" borderId="1" xfId="0" applyNumberForma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quotePrefix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DD31B-A13F-4CBB-BF51-E3C1D95239ED}">
  <sheetPr codeName="Planilha8"/>
  <dimension ref="A1:D11"/>
  <sheetViews>
    <sheetView workbookViewId="0">
      <selection activeCell="F8" sqref="F8"/>
    </sheetView>
  </sheetViews>
  <sheetFormatPr defaultRowHeight="14.4" x14ac:dyDescent="0.3"/>
  <cols>
    <col min="1" max="1" width="3" bestFit="1" customWidth="1"/>
    <col min="2" max="2" width="12.6640625" bestFit="1" customWidth="1"/>
    <col min="3" max="4" width="11.777343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877</v>
      </c>
      <c r="D1" s="1" t="s">
        <v>22</v>
      </c>
    </row>
    <row r="2" spans="1:4" x14ac:dyDescent="0.3">
      <c r="A2">
        <f>ROW(A2)-1</f>
        <v>1</v>
      </c>
      <c r="B2" t="s">
        <v>826</v>
      </c>
      <c r="C2" t="b">
        <v>1</v>
      </c>
      <c r="D2" t="b">
        <v>1</v>
      </c>
    </row>
    <row r="3" spans="1:4" x14ac:dyDescent="0.3">
      <c r="A3">
        <f t="shared" ref="A3:A11" si="0">ROW(A3)-1</f>
        <v>2</v>
      </c>
      <c r="B3" t="s">
        <v>827</v>
      </c>
      <c r="C3" t="b">
        <v>0</v>
      </c>
      <c r="D3" t="b">
        <v>0</v>
      </c>
    </row>
    <row r="4" spans="1:4" x14ac:dyDescent="0.3">
      <c r="A4">
        <f t="shared" si="0"/>
        <v>3</v>
      </c>
      <c r="B4" t="s">
        <v>828</v>
      </c>
      <c r="C4" t="b">
        <v>0</v>
      </c>
      <c r="D4" t="b">
        <v>0</v>
      </c>
    </row>
    <row r="5" spans="1:4" x14ac:dyDescent="0.3">
      <c r="A5">
        <f t="shared" si="0"/>
        <v>4</v>
      </c>
      <c r="B5" t="s">
        <v>829</v>
      </c>
      <c r="C5" t="b">
        <v>0</v>
      </c>
      <c r="D5" t="b">
        <v>0</v>
      </c>
    </row>
    <row r="6" spans="1:4" x14ac:dyDescent="0.3">
      <c r="A6">
        <f t="shared" si="0"/>
        <v>5</v>
      </c>
      <c r="B6" t="s">
        <v>830</v>
      </c>
      <c r="C6" t="b">
        <v>0</v>
      </c>
      <c r="D6" t="b">
        <v>0</v>
      </c>
    </row>
    <row r="7" spans="1:4" x14ac:dyDescent="0.3">
      <c r="A7">
        <f t="shared" si="0"/>
        <v>6</v>
      </c>
      <c r="B7" t="s">
        <v>831</v>
      </c>
      <c r="C7" t="b">
        <v>0</v>
      </c>
      <c r="D7" t="b">
        <v>0</v>
      </c>
    </row>
    <row r="8" spans="1:4" x14ac:dyDescent="0.3">
      <c r="A8">
        <f t="shared" si="0"/>
        <v>7</v>
      </c>
      <c r="B8" t="s">
        <v>832</v>
      </c>
      <c r="C8" t="b">
        <v>0</v>
      </c>
      <c r="D8" t="b">
        <v>0</v>
      </c>
    </row>
    <row r="9" spans="1:4" x14ac:dyDescent="0.3">
      <c r="A9">
        <f t="shared" si="0"/>
        <v>8</v>
      </c>
      <c r="B9" t="s">
        <v>833</v>
      </c>
      <c r="C9" t="b">
        <v>0</v>
      </c>
      <c r="D9" t="b">
        <v>0</v>
      </c>
    </row>
    <row r="10" spans="1:4" x14ac:dyDescent="0.3">
      <c r="A10">
        <f t="shared" si="0"/>
        <v>9</v>
      </c>
      <c r="B10" t="s">
        <v>868</v>
      </c>
      <c r="C10" t="b">
        <v>0</v>
      </c>
      <c r="D10" t="b">
        <v>0</v>
      </c>
    </row>
    <row r="11" spans="1:4" x14ac:dyDescent="0.3">
      <c r="A11">
        <f t="shared" si="0"/>
        <v>10</v>
      </c>
      <c r="B11" t="s">
        <v>870</v>
      </c>
      <c r="C11" t="b">
        <v>0</v>
      </c>
      <c r="D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"/>
  <dimension ref="A1:R12"/>
  <sheetViews>
    <sheetView workbookViewId="0">
      <pane ySplit="1" topLeftCell="A2" activePane="bottomLeft" state="frozen"/>
      <selection pane="bottomLeft" activeCell="D18" sqref="D18"/>
    </sheetView>
  </sheetViews>
  <sheetFormatPr defaultRowHeight="14.4" x14ac:dyDescent="0.3"/>
  <cols>
    <col min="1" max="1" width="3" bestFit="1" customWidth="1"/>
    <col min="2" max="2" width="8.33203125" bestFit="1" customWidth="1"/>
    <col min="3" max="3" width="11.6640625" bestFit="1" customWidth="1"/>
    <col min="4" max="4" width="9.109375" bestFit="1" customWidth="1"/>
    <col min="5" max="6" width="18.109375" style="20" bestFit="1" customWidth="1"/>
    <col min="7" max="7" width="11.77734375" bestFit="1" customWidth="1"/>
    <col min="8" max="8" width="11.77734375" customWidth="1"/>
    <col min="9" max="9" width="11.77734375" bestFit="1" customWidth="1"/>
    <col min="10" max="10" width="12.21875" bestFit="1" customWidth="1"/>
    <col min="11" max="11" width="12.5546875" bestFit="1" customWidth="1"/>
    <col min="12" max="13" width="11.77734375" bestFit="1" customWidth="1"/>
    <col min="14" max="14" width="14.21875" bestFit="1" customWidth="1"/>
    <col min="15" max="15" width="11.77734375" bestFit="1" customWidth="1"/>
    <col min="16" max="16" width="12.5546875" bestFit="1" customWidth="1"/>
    <col min="17" max="18" width="11.77734375" bestFit="1" customWidth="1"/>
  </cols>
  <sheetData>
    <row r="1" spans="1:18" s="1" customFormat="1" x14ac:dyDescent="0.3">
      <c r="A1" s="1" t="s">
        <v>0</v>
      </c>
      <c r="B1" s="1" t="s">
        <v>272</v>
      </c>
      <c r="C1" s="1" t="s">
        <v>840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4</v>
      </c>
      <c r="J1" s="1" t="s">
        <v>5</v>
      </c>
      <c r="K1" s="1" t="s">
        <v>6</v>
      </c>
      <c r="L1" s="1" t="s">
        <v>21</v>
      </c>
      <c r="M1" s="1" t="s">
        <v>187</v>
      </c>
      <c r="N1" s="1" t="s">
        <v>163</v>
      </c>
      <c r="O1" s="1" t="s">
        <v>3</v>
      </c>
      <c r="P1" s="1" t="s">
        <v>2</v>
      </c>
      <c r="Q1" s="1" t="s">
        <v>198</v>
      </c>
      <c r="R1" s="1" t="s">
        <v>793</v>
      </c>
    </row>
    <row r="2" spans="1:18" x14ac:dyDescent="0.3">
      <c r="A2">
        <f>ROW(A2)-1</f>
        <v>1</v>
      </c>
      <c r="B2">
        <v>1</v>
      </c>
      <c r="C2" t="e" cm="1">
        <f t="array" ref="C2">GetValue("Eng",B2,"Name")</f>
        <v>#VALUE!</v>
      </c>
      <c r="D2" t="s">
        <v>7</v>
      </c>
      <c r="G2" t="b">
        <v>1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0</v>
      </c>
      <c r="R2" t="b">
        <v>1</v>
      </c>
    </row>
    <row r="3" spans="1:18" x14ac:dyDescent="0.3">
      <c r="A3">
        <f t="shared" ref="A3:A12" si="0">ROW(A3)-1</f>
        <v>2</v>
      </c>
      <c r="B3">
        <v>1</v>
      </c>
      <c r="C3" t="e" cm="1">
        <f t="array" ref="C3">GetValue("Eng",B3,"Name")</f>
        <v>#VALUE!</v>
      </c>
      <c r="D3" t="s">
        <v>841</v>
      </c>
      <c r="E3" s="26" t="s">
        <v>836</v>
      </c>
      <c r="F3" s="26" t="s">
        <v>837</v>
      </c>
      <c r="G3" t="b">
        <v>1</v>
      </c>
      <c r="H3" t="b">
        <v>1</v>
      </c>
      <c r="I3" t="b">
        <v>1</v>
      </c>
      <c r="J3" t="b">
        <v>1</v>
      </c>
      <c r="K3" t="b">
        <v>1</v>
      </c>
      <c r="L3" t="b">
        <v>1</v>
      </c>
      <c r="M3" t="b">
        <v>1</v>
      </c>
      <c r="N3" t="b">
        <v>0</v>
      </c>
      <c r="O3" t="b">
        <v>1</v>
      </c>
      <c r="P3" t="b">
        <v>0</v>
      </c>
      <c r="Q3" t="b">
        <v>1</v>
      </c>
      <c r="R3" t="b">
        <v>0</v>
      </c>
    </row>
    <row r="4" spans="1:18" x14ac:dyDescent="0.3">
      <c r="A4">
        <f t="shared" si="0"/>
        <v>3</v>
      </c>
      <c r="B4">
        <v>1</v>
      </c>
      <c r="C4" t="e" cm="1">
        <f t="array" ref="C4">GetValue("Eng",B4,"Name")</f>
        <v>#VALUE!</v>
      </c>
      <c r="D4" t="s">
        <v>842</v>
      </c>
      <c r="E4" s="26" t="s">
        <v>836</v>
      </c>
      <c r="F4" s="26" t="s">
        <v>837</v>
      </c>
      <c r="G4" t="b">
        <v>1</v>
      </c>
      <c r="H4" t="b">
        <v>0</v>
      </c>
      <c r="I4" t="b">
        <v>1</v>
      </c>
      <c r="J4" t="b">
        <v>1</v>
      </c>
      <c r="K4" t="b">
        <v>1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t="b">
        <v>1</v>
      </c>
      <c r="R4" t="b">
        <v>0</v>
      </c>
    </row>
    <row r="5" spans="1:18" x14ac:dyDescent="0.3">
      <c r="A5">
        <f t="shared" si="0"/>
        <v>4</v>
      </c>
      <c r="B5">
        <v>1</v>
      </c>
      <c r="C5" t="e" cm="1">
        <f t="array" ref="C5">GetValue("Eng",B5,"Name")</f>
        <v>#VALUE!</v>
      </c>
      <c r="D5" t="s">
        <v>9</v>
      </c>
      <c r="E5" s="26" t="s">
        <v>834</v>
      </c>
      <c r="F5" s="26" t="s">
        <v>835</v>
      </c>
      <c r="G5" t="b">
        <v>0</v>
      </c>
      <c r="H5" t="b">
        <v>0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t="b">
        <v>0</v>
      </c>
      <c r="R5" t="b">
        <v>0</v>
      </c>
    </row>
    <row r="6" spans="1:18" x14ac:dyDescent="0.3">
      <c r="A6">
        <f t="shared" si="0"/>
        <v>5</v>
      </c>
      <c r="B6">
        <v>1</v>
      </c>
      <c r="C6" t="e" cm="1">
        <f t="array" ref="C6">GetValue("Eng",B6,"Name")</f>
        <v>#VALUE!</v>
      </c>
      <c r="D6" t="s">
        <v>10</v>
      </c>
      <c r="E6" s="26" t="s">
        <v>834</v>
      </c>
      <c r="F6" s="26" t="s">
        <v>835</v>
      </c>
      <c r="G6" t="b">
        <v>0</v>
      </c>
      <c r="H6" t="b">
        <v>0</v>
      </c>
      <c r="I6" t="b">
        <v>1</v>
      </c>
      <c r="J6" t="b">
        <v>1</v>
      </c>
      <c r="K6" t="b">
        <v>1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t="b">
        <v>0</v>
      </c>
      <c r="R6" t="b">
        <v>0</v>
      </c>
    </row>
    <row r="7" spans="1:18" x14ac:dyDescent="0.3">
      <c r="A7">
        <f t="shared" si="0"/>
        <v>6</v>
      </c>
      <c r="B7">
        <v>1</v>
      </c>
      <c r="C7" t="e" cm="1">
        <f t="array" ref="C7">GetValue("Eng",B7,"Name")</f>
        <v>#VALUE!</v>
      </c>
      <c r="D7" t="s">
        <v>11</v>
      </c>
      <c r="G7" t="b">
        <v>0</v>
      </c>
      <c r="H7" t="b">
        <v>0</v>
      </c>
      <c r="I7" t="b">
        <v>1</v>
      </c>
      <c r="J7" t="b">
        <v>0</v>
      </c>
      <c r="K7" t="b">
        <v>0</v>
      </c>
      <c r="L7" t="b">
        <v>1</v>
      </c>
      <c r="M7" t="b">
        <v>1</v>
      </c>
      <c r="N7" t="b">
        <v>0</v>
      </c>
      <c r="O7" t="b">
        <v>0</v>
      </c>
      <c r="P7" t="b">
        <v>0</v>
      </c>
      <c r="Q7" t="b">
        <v>0</v>
      </c>
      <c r="R7" t="b">
        <v>0</v>
      </c>
    </row>
    <row r="8" spans="1:18" x14ac:dyDescent="0.3">
      <c r="A8">
        <f t="shared" si="0"/>
        <v>7</v>
      </c>
      <c r="B8">
        <v>1</v>
      </c>
      <c r="C8" t="e" cm="1">
        <f t="array" ref="C8">GetValue("Eng",B8,"Name")</f>
        <v>#VALUE!</v>
      </c>
      <c r="D8" t="s">
        <v>12</v>
      </c>
      <c r="E8" s="26" t="s">
        <v>838</v>
      </c>
      <c r="F8" s="26" t="s">
        <v>839</v>
      </c>
      <c r="G8" t="b">
        <v>0</v>
      </c>
      <c r="H8" t="b">
        <v>0</v>
      </c>
      <c r="I8" t="b">
        <v>1</v>
      </c>
      <c r="J8" t="b">
        <v>1</v>
      </c>
      <c r="K8" t="b">
        <v>1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t="b">
        <v>0</v>
      </c>
      <c r="R8" t="b">
        <v>0</v>
      </c>
    </row>
    <row r="9" spans="1:18" x14ac:dyDescent="0.3">
      <c r="A9">
        <f t="shared" si="0"/>
        <v>8</v>
      </c>
      <c r="B9">
        <v>1</v>
      </c>
      <c r="C9" t="e" cm="1">
        <f t="array" ref="C9">GetValue("Eng",B9,"Name")</f>
        <v>#VALUE!</v>
      </c>
      <c r="D9" t="s">
        <v>8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1</v>
      </c>
      <c r="O9" t="b">
        <v>0</v>
      </c>
      <c r="P9" t="b">
        <v>0</v>
      </c>
      <c r="Q9" t="b">
        <v>0</v>
      </c>
      <c r="R9" t="b">
        <v>0</v>
      </c>
    </row>
    <row r="10" spans="1:18" x14ac:dyDescent="0.3">
      <c r="A10">
        <f t="shared" si="0"/>
        <v>9</v>
      </c>
      <c r="B10">
        <v>1</v>
      </c>
      <c r="C10" t="e" cm="1">
        <f t="array" ref="C10">GetValue("Eng",B10,"Name")</f>
        <v>#VALUE!</v>
      </c>
      <c r="D10" t="s">
        <v>13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0</v>
      </c>
      <c r="P10" t="b">
        <v>0</v>
      </c>
      <c r="Q10" t="b">
        <v>0</v>
      </c>
      <c r="R10" t="b">
        <v>0</v>
      </c>
    </row>
    <row r="11" spans="1:18" x14ac:dyDescent="0.3">
      <c r="A11">
        <f t="shared" si="0"/>
        <v>10</v>
      </c>
      <c r="B11">
        <v>1</v>
      </c>
      <c r="C11" t="e" cm="1">
        <f t="array" ref="C11">GetValue("Eng",B11,"Name")</f>
        <v>#VALUE!</v>
      </c>
      <c r="D11" t="s">
        <v>14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  <c r="O11" t="b">
        <v>0</v>
      </c>
      <c r="P11" t="b">
        <v>0</v>
      </c>
      <c r="Q11" t="b">
        <v>0</v>
      </c>
      <c r="R11" t="b">
        <v>0</v>
      </c>
    </row>
    <row r="12" spans="1:18" x14ac:dyDescent="0.3">
      <c r="A12">
        <f t="shared" si="0"/>
        <v>11</v>
      </c>
      <c r="B12">
        <v>1</v>
      </c>
      <c r="C12" t="e" cm="1">
        <f t="array" ref="C12">GetValue("Eng",B12,"Name")</f>
        <v>#VALUE!</v>
      </c>
      <c r="D12" t="s">
        <v>15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t="b">
        <v>0</v>
      </c>
    </row>
  </sheetData>
  <pageMargins left="0.511811024" right="0.511811024" top="0.78740157499999996" bottom="0.78740157499999996" header="0.31496062000000002" footer="0.31496062000000002"/>
  <ignoredErrors>
    <ignoredError sqref="E3:F4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E1811-8F37-42C6-89E1-214C7807AC65}">
  <sheetPr codeName="planCli"/>
  <dimension ref="A1:C6"/>
  <sheetViews>
    <sheetView workbookViewId="0">
      <pane ySplit="1" topLeftCell="A2" activePane="bottomLeft" state="frozen"/>
      <selection pane="bottomLeft" activeCell="C10" sqref="C10"/>
    </sheetView>
  </sheetViews>
  <sheetFormatPr defaultRowHeight="14.4" x14ac:dyDescent="0.3"/>
  <cols>
    <col min="1" max="1" width="2.6640625" bestFit="1" customWidth="1"/>
    <col min="2" max="2" width="8.5546875" bestFit="1" customWidth="1"/>
    <col min="3" max="3" width="255.777343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280</v>
      </c>
    </row>
    <row r="2" spans="1:3" x14ac:dyDescent="0.3">
      <c r="A2">
        <f>ROW(A2)-1</f>
        <v>1</v>
      </c>
      <c r="B2" t="s">
        <v>467</v>
      </c>
      <c r="C2" t="s">
        <v>281</v>
      </c>
    </row>
    <row r="3" spans="1:3" x14ac:dyDescent="0.3">
      <c r="A3">
        <f>ROW(A3)-1</f>
        <v>2</v>
      </c>
      <c r="B3" t="s">
        <v>277</v>
      </c>
      <c r="C3" t="s">
        <v>282</v>
      </c>
    </row>
    <row r="4" spans="1:3" x14ac:dyDescent="0.3">
      <c r="A4">
        <f>ROW(A4)-1</f>
        <v>3</v>
      </c>
      <c r="B4" t="s">
        <v>278</v>
      </c>
      <c r="C4" t="s">
        <v>286</v>
      </c>
    </row>
    <row r="5" spans="1:3" x14ac:dyDescent="0.3">
      <c r="A5">
        <f>ROW(A5)-1</f>
        <v>4</v>
      </c>
      <c r="B5" t="s">
        <v>279</v>
      </c>
      <c r="C5" t="s">
        <v>284</v>
      </c>
    </row>
    <row r="6" spans="1:3" x14ac:dyDescent="0.3">
      <c r="A6">
        <f>ROW(A6)-1</f>
        <v>5</v>
      </c>
      <c r="B6" t="s">
        <v>283</v>
      </c>
      <c r="C6" t="s">
        <v>285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mn"/>
  <dimension ref="A1:M23"/>
  <sheetViews>
    <sheetView workbookViewId="0">
      <pane ySplit="1" topLeftCell="A2" activePane="bottomLeft" state="frozen"/>
      <selection pane="bottomLeft" activeCell="C2" sqref="C2"/>
    </sheetView>
  </sheetViews>
  <sheetFormatPr defaultColWidth="12.44140625" defaultRowHeight="14.4" x14ac:dyDescent="0.3"/>
  <cols>
    <col min="1" max="1" width="3" bestFit="1" customWidth="1"/>
    <col min="2" max="2" width="12.21875" bestFit="1" customWidth="1"/>
    <col min="3" max="3" width="6.77734375" bestFit="1" customWidth="1"/>
    <col min="4" max="4" width="12.6640625" bestFit="1" customWidth="1"/>
    <col min="5" max="5" width="14.6640625" bestFit="1" customWidth="1"/>
    <col min="6" max="6" width="12.6640625" bestFit="1" customWidth="1"/>
    <col min="7" max="7" width="6.77734375" style="20" bestFit="1" customWidth="1"/>
    <col min="8" max="8" width="8.44140625" style="20" bestFit="1" customWidth="1"/>
    <col min="9" max="9" width="18.33203125" bestFit="1" customWidth="1"/>
    <col min="10" max="10" width="7.10937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24</v>
      </c>
      <c r="D1" s="1" t="s">
        <v>173</v>
      </c>
      <c r="E1" s="1" t="s">
        <v>172</v>
      </c>
      <c r="F1" s="1" t="s">
        <v>185</v>
      </c>
      <c r="G1" s="1" t="s">
        <v>26</v>
      </c>
      <c r="H1" s="1" t="s">
        <v>27</v>
      </c>
      <c r="I1" s="1" t="s">
        <v>168</v>
      </c>
      <c r="J1" s="22" t="s">
        <v>28</v>
      </c>
      <c r="K1" s="22" t="s">
        <v>17</v>
      </c>
      <c r="L1" s="22" t="s">
        <v>18</v>
      </c>
      <c r="M1" s="1" t="s">
        <v>164</v>
      </c>
    </row>
    <row r="2" spans="1:13" x14ac:dyDescent="0.3">
      <c r="A2">
        <f t="shared" ref="A2:A23" si="0">ROW(A2)-1</f>
        <v>1</v>
      </c>
      <c r="B2" t="s">
        <v>29</v>
      </c>
      <c r="C2">
        <v>1</v>
      </c>
      <c r="D2" t="str" cm="1">
        <f t="array" ref="D2">GetValue("Typ",C2,"Name")</f>
        <v>string</v>
      </c>
      <c r="E2" t="e" cm="1">
        <f t="array" ref="E2">GetValue("Typ",C2,"#CategoryName")</f>
        <v>#VALUE!</v>
      </c>
      <c r="F2" t="e" cm="1">
        <f t="array" aca="1" ref="F2" ca="1">GetDataType(A2)</f>
        <v>#NAME?</v>
      </c>
      <c r="G2"/>
      <c r="H2"/>
      <c r="J2" s="20"/>
      <c r="K2" s="21"/>
      <c r="L2" s="21"/>
    </row>
    <row r="3" spans="1:13" x14ac:dyDescent="0.3">
      <c r="A3">
        <f t="shared" si="0"/>
        <v>2</v>
      </c>
      <c r="B3" t="s">
        <v>30</v>
      </c>
      <c r="C3">
        <v>15</v>
      </c>
      <c r="D3" t="e" cm="1">
        <f t="array" ref="D3">GetValue("Typ",C3,"Name")</f>
        <v>#VALUE!</v>
      </c>
      <c r="E3" t="e" cm="1">
        <f t="array" ref="E3">GetValue("Typ",C3,"#CategoryName")</f>
        <v>#VALUE!</v>
      </c>
      <c r="F3" t="e" cm="1">
        <f t="array" aca="1" ref="F3" ca="1">GetDataType(A3)</f>
        <v>#NAME?</v>
      </c>
      <c r="G3"/>
      <c r="H3"/>
      <c r="J3" s="20"/>
      <c r="K3" s="20"/>
      <c r="L3" s="20"/>
    </row>
    <row r="4" spans="1:13" x14ac:dyDescent="0.3">
      <c r="A4">
        <f t="shared" si="0"/>
        <v>3</v>
      </c>
      <c r="B4" t="s">
        <v>31</v>
      </c>
      <c r="C4">
        <v>15</v>
      </c>
      <c r="D4" t="e" cm="1">
        <f t="array" ref="D4">GetValue("Typ",C4,"Name")</f>
        <v>#VALUE!</v>
      </c>
      <c r="E4" t="e" cm="1">
        <f t="array" ref="E4">GetValue("Typ",C4,"#CategoryName")</f>
        <v>#VALUE!</v>
      </c>
      <c r="F4" t="e" cm="1">
        <f t="array" aca="1" ref="F4" ca="1">GetDataType(A4)</f>
        <v>#NAME?</v>
      </c>
      <c r="G4"/>
      <c r="H4"/>
      <c r="J4" s="20"/>
      <c r="K4" s="20">
        <v>-65536</v>
      </c>
      <c r="L4" s="20">
        <v>65535</v>
      </c>
    </row>
    <row r="5" spans="1:13" x14ac:dyDescent="0.3">
      <c r="A5">
        <f t="shared" si="0"/>
        <v>4</v>
      </c>
      <c r="B5" t="s">
        <v>32</v>
      </c>
      <c r="C5">
        <v>24</v>
      </c>
      <c r="D5" t="e" cm="1">
        <f t="array" ref="D5">GetValue("Typ",C5,"Name")</f>
        <v>#VALUE!</v>
      </c>
      <c r="E5" t="e" cm="1">
        <f t="array" ref="E5">GetValue("Typ",C5,"#CategoryName")</f>
        <v>#VALUE!</v>
      </c>
      <c r="F5" t="e" cm="1">
        <f t="array" aca="1" ref="F5" ca="1">GetDataType(A5)</f>
        <v>#NAME?</v>
      </c>
      <c r="G5"/>
      <c r="H5"/>
      <c r="J5" s="20"/>
      <c r="K5" s="20"/>
      <c r="L5" s="20"/>
    </row>
    <row r="6" spans="1:13" x14ac:dyDescent="0.3">
      <c r="A6">
        <f t="shared" si="0"/>
        <v>5</v>
      </c>
      <c r="B6" t="s">
        <v>33</v>
      </c>
      <c r="C6">
        <v>31</v>
      </c>
      <c r="D6" t="e" cm="1">
        <f t="array" ref="D6">GetValue("Typ",C6,"Name")</f>
        <v>#VALUE!</v>
      </c>
      <c r="E6" t="e" cm="1">
        <f t="array" ref="E6">GetValue("Typ",C6,"#CategoryName")</f>
        <v>#VALUE!</v>
      </c>
      <c r="F6" t="e" cm="1">
        <f t="array" aca="1" ref="F6" ca="1">GetDataType(A6)</f>
        <v>#NAME?</v>
      </c>
      <c r="G6"/>
      <c r="H6"/>
      <c r="J6" s="20"/>
      <c r="K6" s="20"/>
      <c r="L6" s="20"/>
    </row>
    <row r="7" spans="1:13" x14ac:dyDescent="0.3">
      <c r="A7">
        <f t="shared" si="0"/>
        <v>6</v>
      </c>
      <c r="B7" t="s">
        <v>34</v>
      </c>
      <c r="C7">
        <v>3</v>
      </c>
      <c r="D7" t="str" cm="1">
        <f t="array" ref="D7">GetValue("Typ",C7,"Name")</f>
        <v>integer</v>
      </c>
      <c r="E7" t="e" cm="1">
        <f t="array" ref="E7">GetValue("Typ",C7,"#CategoryName")</f>
        <v>#VALUE!</v>
      </c>
      <c r="F7" t="e" cm="1">
        <f t="array" aca="1" ref="F7" ca="1">GetDataType(A7)</f>
        <v>#NAME?</v>
      </c>
      <c r="G7"/>
      <c r="H7"/>
      <c r="J7" s="20"/>
      <c r="K7" s="20"/>
      <c r="L7" s="20"/>
    </row>
    <row r="8" spans="1:13" x14ac:dyDescent="0.3">
      <c r="A8">
        <f t="shared" si="0"/>
        <v>7</v>
      </c>
      <c r="B8" t="s">
        <v>559</v>
      </c>
      <c r="C8">
        <v>20</v>
      </c>
      <c r="D8" t="e" cm="1">
        <f t="array" ref="D8">GetValue("Typ",C8,"Name")</f>
        <v>#VALUE!</v>
      </c>
      <c r="E8" t="e" cm="1">
        <f t="array" ref="E8">GetValue("Typ",C8,"#CategoryName")</f>
        <v>#VALUE!</v>
      </c>
      <c r="F8" t="e" cm="1">
        <f t="array" aca="1" ref="F8" ca="1">GetDataType(A8)</f>
        <v>#NAME?</v>
      </c>
      <c r="G8">
        <v>15</v>
      </c>
      <c r="H8"/>
      <c r="J8" s="20"/>
      <c r="K8" s="20"/>
      <c r="L8" s="20"/>
    </row>
    <row r="9" spans="1:13" x14ac:dyDescent="0.3">
      <c r="A9">
        <f t="shared" si="0"/>
        <v>8</v>
      </c>
      <c r="B9" t="s">
        <v>560</v>
      </c>
      <c r="C9">
        <v>20</v>
      </c>
      <c r="D9" t="e" cm="1">
        <f t="array" ref="D9">GetValue("Typ",C9,"Name")</f>
        <v>#VALUE!</v>
      </c>
      <c r="E9" t="e" cm="1">
        <f t="array" ref="E9">GetValue("Typ",C9,"#CategoryName")</f>
        <v>#VALUE!</v>
      </c>
      <c r="F9" t="e" cm="1">
        <f t="array" aca="1" ref="F9" ca="1">GetDataType(A9)</f>
        <v>#NAME?</v>
      </c>
      <c r="G9">
        <v>20</v>
      </c>
      <c r="H9"/>
      <c r="J9" s="20"/>
      <c r="K9" s="20"/>
      <c r="L9" s="20"/>
    </row>
    <row r="10" spans="1:13" x14ac:dyDescent="0.3">
      <c r="A10">
        <f t="shared" si="0"/>
        <v>9</v>
      </c>
      <c r="B10" t="s">
        <v>561</v>
      </c>
      <c r="C10">
        <v>20</v>
      </c>
      <c r="D10" t="e" cm="1">
        <f t="array" ref="D10">GetValue("Typ",C10,"Name")</f>
        <v>#VALUE!</v>
      </c>
      <c r="E10" t="e" cm="1">
        <f t="array" ref="E10">GetValue("Typ",C10,"#CategoryName")</f>
        <v>#VALUE!</v>
      </c>
      <c r="F10" t="e" cm="1">
        <f t="array" aca="1" ref="F10" ca="1">GetDataType(A10)</f>
        <v>#NAME?</v>
      </c>
      <c r="G10">
        <v>25</v>
      </c>
      <c r="H10"/>
      <c r="J10" s="20"/>
      <c r="K10" s="20"/>
      <c r="L10" s="20"/>
    </row>
    <row r="11" spans="1:13" x14ac:dyDescent="0.3">
      <c r="A11">
        <f t="shared" si="0"/>
        <v>10</v>
      </c>
      <c r="B11" t="s">
        <v>562</v>
      </c>
      <c r="C11">
        <v>20</v>
      </c>
      <c r="D11" t="e" cm="1">
        <f t="array" ref="D11">GetValue("Typ",C11,"Name")</f>
        <v>#VALUE!</v>
      </c>
      <c r="E11" t="e" cm="1">
        <f t="array" ref="E11">GetValue("Typ",C11,"#CategoryName")</f>
        <v>#VALUE!</v>
      </c>
      <c r="F11" t="e" cm="1">
        <f t="array" aca="1" ref="F11" ca="1">GetDataType(A11)</f>
        <v>#NAME?</v>
      </c>
      <c r="G11">
        <v>50</v>
      </c>
      <c r="H11"/>
      <c r="J11" s="20"/>
      <c r="K11" s="20"/>
      <c r="L11" s="20"/>
    </row>
    <row r="12" spans="1:13" x14ac:dyDescent="0.3">
      <c r="A12">
        <f t="shared" si="0"/>
        <v>11</v>
      </c>
      <c r="B12" t="s">
        <v>563</v>
      </c>
      <c r="C12">
        <v>20</v>
      </c>
      <c r="D12" t="e" cm="1">
        <f t="array" ref="D12">GetValue("Typ",C12,"Name")</f>
        <v>#VALUE!</v>
      </c>
      <c r="E12" t="e" cm="1">
        <f t="array" ref="E12">GetValue("Typ",C12,"#CategoryName")</f>
        <v>#VALUE!</v>
      </c>
      <c r="F12" t="e" cm="1">
        <f t="array" aca="1" ref="F12" ca="1">GetDataType(A12)</f>
        <v>#NAME?</v>
      </c>
      <c r="G12">
        <v>256</v>
      </c>
      <c r="H12"/>
      <c r="J12" s="20"/>
      <c r="K12" s="20"/>
      <c r="L12" s="20"/>
    </row>
    <row r="13" spans="1:13" x14ac:dyDescent="0.3">
      <c r="A13">
        <f t="shared" si="0"/>
        <v>12</v>
      </c>
      <c r="B13" t="s">
        <v>564</v>
      </c>
      <c r="C13">
        <v>21</v>
      </c>
      <c r="D13" t="e" cm="1">
        <f t="array" ref="D13">GetValue("Typ",C13,"Name")</f>
        <v>#VALUE!</v>
      </c>
      <c r="E13" t="e" cm="1">
        <f t="array" ref="E13">GetValue("Typ",C13,"#CategoryName")</f>
        <v>#VALUE!</v>
      </c>
      <c r="F13" t="e" cm="1">
        <f t="array" aca="1" ref="F13" ca="1">GetDataType(A13)</f>
        <v>#NAME?</v>
      </c>
      <c r="G13"/>
      <c r="H13"/>
      <c r="J13" s="20"/>
      <c r="K13" s="20"/>
      <c r="L13" s="20"/>
    </row>
    <row r="14" spans="1:13" x14ac:dyDescent="0.3">
      <c r="A14">
        <f t="shared" si="0"/>
        <v>13</v>
      </c>
      <c r="B14" t="s">
        <v>35</v>
      </c>
      <c r="C14">
        <v>21</v>
      </c>
      <c r="D14" t="e" cm="1">
        <f t="array" ref="D14">GetValue("Typ",C14,"Name")</f>
        <v>#VALUE!</v>
      </c>
      <c r="E14" t="e" cm="1">
        <f t="array" ref="E14">GetValue("Typ",C14,"#CategoryName")</f>
        <v>#VALUE!</v>
      </c>
      <c r="F14" t="e" cm="1">
        <f t="array" aca="1" ref="F14" ca="1">GetDataType(A14)</f>
        <v>#NAME?</v>
      </c>
      <c r="G14"/>
      <c r="H14"/>
      <c r="J14" s="20"/>
      <c r="K14" s="20"/>
      <c r="L14" s="20"/>
      <c r="M14" t="s">
        <v>266</v>
      </c>
    </row>
    <row r="15" spans="1:13" x14ac:dyDescent="0.3">
      <c r="A15">
        <f t="shared" si="0"/>
        <v>14</v>
      </c>
      <c r="B15" t="s">
        <v>36</v>
      </c>
      <c r="C15">
        <v>21</v>
      </c>
      <c r="D15" t="e" cm="1">
        <f t="array" ref="D15">GetValue("Typ",C15,"Name")</f>
        <v>#VALUE!</v>
      </c>
      <c r="E15" t="e" cm="1">
        <f t="array" ref="E15">GetValue("Typ",C15,"#CategoryName")</f>
        <v>#VALUE!</v>
      </c>
      <c r="F15" t="e" cm="1">
        <f t="array" aca="1" ref="F15" ca="1">GetDataType(A15)</f>
        <v>#NAME?</v>
      </c>
      <c r="G15"/>
      <c r="H15"/>
      <c r="J15" s="20"/>
      <c r="K15" s="20"/>
      <c r="L15" s="20"/>
      <c r="M15" t="s">
        <v>267</v>
      </c>
    </row>
    <row r="16" spans="1:13" x14ac:dyDescent="0.3">
      <c r="A16">
        <f t="shared" si="0"/>
        <v>15</v>
      </c>
      <c r="B16" t="s">
        <v>45</v>
      </c>
      <c r="C16">
        <v>21</v>
      </c>
      <c r="D16" t="e" cm="1">
        <f t="array" ref="D16">GetValue("Typ",C16,"Name")</f>
        <v>#VALUE!</v>
      </c>
      <c r="E16" t="e" cm="1">
        <f t="array" ref="E16">GetValue("Typ",C16,"#CategoryName")</f>
        <v>#VALUE!</v>
      </c>
      <c r="F16" t="e" cm="1">
        <f t="array" aca="1" ref="F16" ca="1">GetDataType(A16)</f>
        <v>#NAME?</v>
      </c>
      <c r="G16"/>
      <c r="H16"/>
      <c r="J16" s="20"/>
      <c r="K16" s="20"/>
      <c r="L16" s="20"/>
      <c r="M16" t="s">
        <v>268</v>
      </c>
    </row>
    <row r="17" spans="1:12" x14ac:dyDescent="0.3">
      <c r="A17">
        <f t="shared" si="0"/>
        <v>16</v>
      </c>
      <c r="B17" t="s">
        <v>37</v>
      </c>
      <c r="C17">
        <v>7</v>
      </c>
      <c r="D17" t="str" cm="1">
        <f t="array" ref="D17">GetValue("Typ",C17,"Name")</f>
        <v>time</v>
      </c>
      <c r="E17" t="e" cm="1">
        <f t="array" ref="E17">GetValue("Typ",C17,"#CategoryName")</f>
        <v>#VALUE!</v>
      </c>
      <c r="F17" t="e" cm="1">
        <f t="array" aca="1" ref="F17" ca="1">GetDataType(A17)</f>
        <v>#NAME?</v>
      </c>
      <c r="G17"/>
      <c r="H17"/>
      <c r="J17" s="20"/>
      <c r="K17" s="20"/>
      <c r="L17" s="20"/>
    </row>
    <row r="18" spans="1:12" x14ac:dyDescent="0.3">
      <c r="A18">
        <f t="shared" si="0"/>
        <v>17</v>
      </c>
      <c r="B18" t="s">
        <v>38</v>
      </c>
      <c r="C18">
        <v>21</v>
      </c>
      <c r="D18" t="e" cm="1">
        <f t="array" ref="D18">GetValue("Typ",C18,"Name")</f>
        <v>#VALUE!</v>
      </c>
      <c r="E18" t="e" cm="1">
        <f t="array" ref="E18">GetValue("Typ",C18,"#CategoryName")</f>
        <v>#VALUE!</v>
      </c>
      <c r="F18" t="e" cm="1">
        <f t="array" aca="1" ref="F18" ca="1">GetDataType(A18)</f>
        <v>#NAME?</v>
      </c>
      <c r="G18"/>
      <c r="H18"/>
      <c r="J18" s="20"/>
      <c r="K18" s="20"/>
      <c r="L18" s="20"/>
    </row>
    <row r="19" spans="1:12" x14ac:dyDescent="0.3">
      <c r="A19">
        <f t="shared" si="0"/>
        <v>18</v>
      </c>
      <c r="B19" t="s">
        <v>164</v>
      </c>
      <c r="C19">
        <v>20</v>
      </c>
      <c r="D19" t="e" cm="1">
        <f t="array" ref="D19">GetValue("Typ",C19,"Name")</f>
        <v>#VALUE!</v>
      </c>
      <c r="E19" t="e" cm="1">
        <f t="array" ref="E19">GetValue("Typ",C19,"#CategoryName")</f>
        <v>#VALUE!</v>
      </c>
      <c r="F19" t="e" cm="1">
        <f t="array" aca="1" ref="F19" ca="1">GetDataType(A19)</f>
        <v>#NAME?</v>
      </c>
      <c r="G19">
        <v>10</v>
      </c>
      <c r="H19"/>
      <c r="I19" t="s">
        <v>330</v>
      </c>
      <c r="J19" s="20"/>
      <c r="K19" s="20"/>
      <c r="L19" s="20"/>
    </row>
    <row r="20" spans="1:12" x14ac:dyDescent="0.3">
      <c r="A20">
        <f t="shared" si="0"/>
        <v>19</v>
      </c>
      <c r="B20" t="s">
        <v>216</v>
      </c>
      <c r="C20">
        <v>20</v>
      </c>
      <c r="D20" t="e" cm="1">
        <f t="array" ref="D20">GetValue("Typ",C20,"Name")</f>
        <v>#VALUE!</v>
      </c>
      <c r="E20" t="e" cm="1">
        <f t="array" ref="E20">GetValue("Typ",C20,"#CategoryName")</f>
        <v>#VALUE!</v>
      </c>
      <c r="F20" t="e" cm="1">
        <f t="array" aca="1" ref="F20" ca="1">GetDataType(A20)</f>
        <v>#NAME?</v>
      </c>
      <c r="G20">
        <v>15</v>
      </c>
      <c r="H20"/>
      <c r="I20" t="s">
        <v>225</v>
      </c>
      <c r="J20" s="20"/>
      <c r="K20" s="20"/>
      <c r="L20" s="20"/>
    </row>
    <row r="21" spans="1:12" x14ac:dyDescent="0.3">
      <c r="A21">
        <f t="shared" si="0"/>
        <v>20</v>
      </c>
      <c r="B21" t="s">
        <v>280</v>
      </c>
      <c r="C21">
        <v>21</v>
      </c>
      <c r="D21" t="e" cm="1">
        <f t="array" ref="D21">GetValue("Typ",C21,"Name")</f>
        <v>#VALUE!</v>
      </c>
      <c r="E21" t="e" cm="1">
        <f t="array" ref="E21">GetValue("Typ",C21,"#CategoryName")</f>
        <v>#VALUE!</v>
      </c>
      <c r="F21" t="e" cm="1">
        <f t="array" aca="1" ref="F21" ca="1">GetDataType(A21)</f>
        <v>#NAME?</v>
      </c>
      <c r="G21"/>
      <c r="H21"/>
      <c r="J21" s="20"/>
      <c r="K21" s="20"/>
      <c r="L21" s="20"/>
    </row>
    <row r="22" spans="1:12" x14ac:dyDescent="0.3">
      <c r="A22">
        <f t="shared" si="0"/>
        <v>21</v>
      </c>
      <c r="B22" t="s">
        <v>424</v>
      </c>
      <c r="C22">
        <v>29</v>
      </c>
      <c r="D22" t="e" cm="1">
        <f t="array" ref="D22">GetValue("Typ",C22,"Name")</f>
        <v>#VALUE!</v>
      </c>
      <c r="E22" t="e" cm="1">
        <f t="array" ref="E22">GetValue("Typ",C22,"#CategoryName")</f>
        <v>#VALUE!</v>
      </c>
      <c r="F22" t="e" cm="1">
        <f t="array" aca="1" ref="F22" ca="1">GetDataType(A22)</f>
        <v>#NAME?</v>
      </c>
      <c r="G22"/>
      <c r="H22"/>
      <c r="J22" s="20"/>
      <c r="K22" s="20"/>
      <c r="L22" s="20"/>
    </row>
    <row r="23" spans="1:12" x14ac:dyDescent="0.3">
      <c r="A23">
        <f t="shared" si="0"/>
        <v>22</v>
      </c>
      <c r="B23" t="s">
        <v>801</v>
      </c>
      <c r="C23">
        <v>9</v>
      </c>
      <c r="D23" t="str" cm="1">
        <f t="array" ref="D23">GetValue("Typ",C23,"Name")</f>
        <v>image</v>
      </c>
      <c r="E23" t="e" cm="1">
        <f t="array" ref="E23">GetValue("Typ",C23,"#CategoryName")</f>
        <v>#VALUE!</v>
      </c>
      <c r="F23" t="e" cm="1">
        <f t="array" aca="1" ref="F23" ca="1">GetDataType(A23)</f>
        <v>#NAME?</v>
      </c>
      <c r="G23" s="20">
        <v>18</v>
      </c>
      <c r="H23" s="20">
        <v>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Msk"/>
  <dimension ref="A1:D26"/>
  <sheetViews>
    <sheetView workbookViewId="0">
      <pane ySplit="1" topLeftCell="A2" activePane="bottomLeft" state="frozen"/>
      <selection pane="bottomLeft" activeCell="E1" sqref="E1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19.88671875" bestFit="1" customWidth="1"/>
    <col min="4" max="4" width="20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846</v>
      </c>
      <c r="D1" s="1" t="s">
        <v>39</v>
      </c>
    </row>
    <row r="2" spans="1:4" x14ac:dyDescent="0.3">
      <c r="A2">
        <f t="shared" ref="A2:A18" si="0">ROW(A2)-1</f>
        <v>1</v>
      </c>
      <c r="B2" t="s">
        <v>29</v>
      </c>
      <c r="D2" t="s">
        <v>40</v>
      </c>
    </row>
    <row r="3" spans="1:4" x14ac:dyDescent="0.3">
      <c r="A3">
        <f t="shared" si="0"/>
        <v>2</v>
      </c>
      <c r="B3" t="s">
        <v>30</v>
      </c>
      <c r="D3" t="s">
        <v>41</v>
      </c>
    </row>
    <row r="4" spans="1:4" x14ac:dyDescent="0.3">
      <c r="A4">
        <f>ROW(A4)-1</f>
        <v>3</v>
      </c>
      <c r="B4" t="s">
        <v>31</v>
      </c>
      <c r="D4" t="s">
        <v>42</v>
      </c>
    </row>
    <row r="5" spans="1:4" x14ac:dyDescent="0.3">
      <c r="A5">
        <f t="shared" si="0"/>
        <v>4</v>
      </c>
      <c r="B5" t="s">
        <v>32</v>
      </c>
      <c r="D5" t="s">
        <v>42</v>
      </c>
    </row>
    <row r="6" spans="1:4" x14ac:dyDescent="0.3">
      <c r="A6">
        <f t="shared" si="0"/>
        <v>5</v>
      </c>
      <c r="B6" t="s">
        <v>33</v>
      </c>
      <c r="D6" t="s">
        <v>43</v>
      </c>
    </row>
    <row r="7" spans="1:4" x14ac:dyDescent="0.3">
      <c r="A7">
        <f t="shared" si="0"/>
        <v>6</v>
      </c>
      <c r="B7" t="s">
        <v>240</v>
      </c>
      <c r="C7" t="s">
        <v>246</v>
      </c>
      <c r="D7" t="s">
        <v>847</v>
      </c>
    </row>
    <row r="8" spans="1:4" x14ac:dyDescent="0.3">
      <c r="A8">
        <f>ROW(A8)-1</f>
        <v>7</v>
      </c>
      <c r="B8" t="s">
        <v>239</v>
      </c>
      <c r="C8" t="s">
        <v>44</v>
      </c>
      <c r="D8" t="s">
        <v>847</v>
      </c>
    </row>
    <row r="9" spans="1:4" x14ac:dyDescent="0.3">
      <c r="A9">
        <f t="shared" si="0"/>
        <v>8</v>
      </c>
      <c r="B9" t="s">
        <v>241</v>
      </c>
      <c r="C9" t="s">
        <v>855</v>
      </c>
      <c r="D9" t="s">
        <v>850</v>
      </c>
    </row>
    <row r="10" spans="1:4" x14ac:dyDescent="0.3">
      <c r="A10">
        <f t="shared" si="0"/>
        <v>9</v>
      </c>
      <c r="B10" t="s">
        <v>251</v>
      </c>
      <c r="C10" t="s">
        <v>247</v>
      </c>
      <c r="D10" t="s">
        <v>848</v>
      </c>
    </row>
    <row r="11" spans="1:4" x14ac:dyDescent="0.3">
      <c r="A11">
        <f>ROW(A11)-1</f>
        <v>10</v>
      </c>
      <c r="B11" t="s">
        <v>252</v>
      </c>
      <c r="C11" t="s">
        <v>245</v>
      </c>
      <c r="D11" t="s">
        <v>848</v>
      </c>
    </row>
    <row r="12" spans="1:4" x14ac:dyDescent="0.3">
      <c r="A12">
        <f t="shared" si="0"/>
        <v>11</v>
      </c>
      <c r="B12" t="s">
        <v>253</v>
      </c>
      <c r="C12" t="s">
        <v>856</v>
      </c>
      <c r="D12" t="s">
        <v>851</v>
      </c>
    </row>
    <row r="13" spans="1:4" x14ac:dyDescent="0.3">
      <c r="A13">
        <f t="shared" si="0"/>
        <v>12</v>
      </c>
      <c r="B13" t="s">
        <v>242</v>
      </c>
      <c r="C13" t="s">
        <v>255</v>
      </c>
      <c r="D13" t="s">
        <v>853</v>
      </c>
    </row>
    <row r="14" spans="1:4" x14ac:dyDescent="0.3">
      <c r="A14">
        <f>ROW(A14)-1</f>
        <v>13</v>
      </c>
      <c r="B14" t="s">
        <v>243</v>
      </c>
      <c r="C14" t="s">
        <v>254</v>
      </c>
      <c r="D14" t="s">
        <v>853</v>
      </c>
    </row>
    <row r="15" spans="1:4" x14ac:dyDescent="0.3">
      <c r="A15">
        <f t="shared" si="0"/>
        <v>14</v>
      </c>
      <c r="B15" t="s">
        <v>244</v>
      </c>
      <c r="C15" t="s">
        <v>857</v>
      </c>
      <c r="D15" t="s">
        <v>853</v>
      </c>
    </row>
    <row r="16" spans="1:4" x14ac:dyDescent="0.3">
      <c r="A16">
        <f t="shared" si="0"/>
        <v>15</v>
      </c>
      <c r="B16" t="s">
        <v>248</v>
      </c>
      <c r="C16" t="s">
        <v>257</v>
      </c>
      <c r="D16" t="s">
        <v>854</v>
      </c>
    </row>
    <row r="17" spans="1:4" x14ac:dyDescent="0.3">
      <c r="A17">
        <f>ROW(A17)-1</f>
        <v>16</v>
      </c>
      <c r="B17" t="s">
        <v>249</v>
      </c>
      <c r="C17" t="s">
        <v>256</v>
      </c>
      <c r="D17" t="s">
        <v>854</v>
      </c>
    </row>
    <row r="18" spans="1:4" x14ac:dyDescent="0.3">
      <c r="A18">
        <f t="shared" si="0"/>
        <v>17</v>
      </c>
      <c r="B18" t="s">
        <v>250</v>
      </c>
      <c r="C18" t="s">
        <v>858</v>
      </c>
      <c r="D18" t="s">
        <v>854</v>
      </c>
    </row>
    <row r="19" spans="1:4" x14ac:dyDescent="0.3">
      <c r="A19">
        <f t="shared" ref="A19:A26" si="1">ROW(A19)-1</f>
        <v>18</v>
      </c>
      <c r="B19" t="s">
        <v>236</v>
      </c>
      <c r="C19" t="s">
        <v>237</v>
      </c>
      <c r="D19" t="s">
        <v>849</v>
      </c>
    </row>
    <row r="20" spans="1:4" x14ac:dyDescent="0.3">
      <c r="A20">
        <f t="shared" si="1"/>
        <v>19</v>
      </c>
      <c r="B20" t="s">
        <v>235</v>
      </c>
      <c r="C20" t="s">
        <v>232</v>
      </c>
      <c r="D20" t="s">
        <v>849</v>
      </c>
    </row>
    <row r="21" spans="1:4" x14ac:dyDescent="0.3">
      <c r="A21">
        <f t="shared" si="1"/>
        <v>20</v>
      </c>
      <c r="B21" t="s">
        <v>238</v>
      </c>
      <c r="C21" t="s">
        <v>859</v>
      </c>
      <c r="D21" t="s">
        <v>852</v>
      </c>
    </row>
    <row r="22" spans="1:4" x14ac:dyDescent="0.3">
      <c r="A22">
        <f t="shared" si="1"/>
        <v>21</v>
      </c>
      <c r="B22" t="s">
        <v>864</v>
      </c>
      <c r="C22" t="s">
        <v>258</v>
      </c>
      <c r="D22" t="s">
        <v>863</v>
      </c>
    </row>
    <row r="23" spans="1:4" x14ac:dyDescent="0.3">
      <c r="A23">
        <f t="shared" si="1"/>
        <v>22</v>
      </c>
      <c r="B23" t="s">
        <v>865</v>
      </c>
      <c r="C23" t="s">
        <v>259</v>
      </c>
      <c r="D23" t="s">
        <v>863</v>
      </c>
    </row>
    <row r="24" spans="1:4" x14ac:dyDescent="0.3">
      <c r="A24">
        <f t="shared" si="1"/>
        <v>23</v>
      </c>
      <c r="B24" t="s">
        <v>866</v>
      </c>
      <c r="C24" t="s">
        <v>860</v>
      </c>
      <c r="D24" t="s">
        <v>863</v>
      </c>
    </row>
    <row r="25" spans="1:4" x14ac:dyDescent="0.3">
      <c r="A25">
        <f t="shared" si="1"/>
        <v>24</v>
      </c>
      <c r="B25" t="s">
        <v>233</v>
      </c>
      <c r="C25" t="s">
        <v>234</v>
      </c>
      <c r="D25" t="s">
        <v>861</v>
      </c>
    </row>
    <row r="26" spans="1:4" x14ac:dyDescent="0.3">
      <c r="A26">
        <f t="shared" si="1"/>
        <v>25</v>
      </c>
      <c r="B26" t="s">
        <v>867</v>
      </c>
      <c r="C26" t="s">
        <v>260</v>
      </c>
      <c r="D26" t="s">
        <v>862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42EC5-DF11-402F-A36E-E6058BE79754}">
  <sheetPr codeName="planDmnMsk"/>
  <dimension ref="A1:F22"/>
  <sheetViews>
    <sheetView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5.5546875" bestFit="1" customWidth="1"/>
    <col min="6" max="6" width="20" bestFit="1" customWidth="1"/>
  </cols>
  <sheetData>
    <row r="1" spans="1:6" x14ac:dyDescent="0.3">
      <c r="A1" s="1" t="s">
        <v>0</v>
      </c>
      <c r="B1" s="1" t="s">
        <v>82</v>
      </c>
      <c r="C1" s="1" t="s">
        <v>178</v>
      </c>
      <c r="D1" s="1" t="s">
        <v>25</v>
      </c>
      <c r="E1" s="1" t="s">
        <v>174</v>
      </c>
      <c r="F1" s="1" t="s">
        <v>261</v>
      </c>
    </row>
    <row r="2" spans="1:6" x14ac:dyDescent="0.3">
      <c r="A2">
        <f t="shared" ref="A2:A8" si="0">ROW(A2)-1</f>
        <v>1</v>
      </c>
      <c r="B2">
        <f>ROW(B2)-1</f>
        <v>1</v>
      </c>
      <c r="C2" t="str" cm="1">
        <f t="array" ref="C2">GetValue("Dmn",B2,"Name")</f>
        <v>BigInteger</v>
      </c>
      <c r="D2">
        <v>1</v>
      </c>
      <c r="E2" t="str" cm="1">
        <f t="array" ref="E2">GetValue("Msk",D2,"Name")</f>
        <v>BigInteger</v>
      </c>
      <c r="F2" t="str" cm="1">
        <f t="array" ref="F2">GetValue("Msk",D2,"Mask")</f>
        <v>#.###.###.###.###.###</v>
      </c>
    </row>
    <row r="3" spans="1:6" x14ac:dyDescent="0.3">
      <c r="A3">
        <f t="shared" si="0"/>
        <v>2</v>
      </c>
      <c r="B3">
        <f>ROW(B3)-1</f>
        <v>2</v>
      </c>
      <c r="C3" t="str" cm="1">
        <f t="array" ref="C3">GetValue("Dmn",B3,"Name")</f>
        <v>Integer</v>
      </c>
      <c r="D3">
        <v>2</v>
      </c>
      <c r="E3" t="str" cm="1">
        <f t="array" ref="E3">GetValue("Msk",D3,"Name")</f>
        <v>Integer</v>
      </c>
      <c r="F3" t="str" cm="1">
        <f t="array" ref="F3">GetValue("Msk",D3,"Mask")</f>
        <v>#.###.###.###</v>
      </c>
    </row>
    <row r="4" spans="1:6" x14ac:dyDescent="0.3">
      <c r="A4">
        <f t="shared" si="0"/>
        <v>3</v>
      </c>
      <c r="B4">
        <f>ROW(B4)-1</f>
        <v>3</v>
      </c>
      <c r="C4" t="str" cm="1">
        <f t="array" ref="C4">GetValue("Dmn",B4,"Name")</f>
        <v>ShortInteger</v>
      </c>
      <c r="D4">
        <v>3</v>
      </c>
      <c r="E4" t="str" cm="1">
        <f t="array" ref="E4">GetValue("Msk",D4,"Name")</f>
        <v>ShortInteger</v>
      </c>
      <c r="F4" t="str" cm="1">
        <f t="array" ref="F4">GetValue("Msk",D4,"Mask")</f>
        <v>##.###</v>
      </c>
    </row>
    <row r="5" spans="1:6" x14ac:dyDescent="0.3">
      <c r="A5">
        <f>ROW(A5)-1</f>
        <v>4</v>
      </c>
      <c r="B5">
        <f>ROW(B5)-1</f>
        <v>4</v>
      </c>
      <c r="C5" t="str" cm="1">
        <f t="array" ref="C5">GetValue("Dmn",B5,"Name")</f>
        <v>SmallInteger</v>
      </c>
      <c r="D5">
        <v>4</v>
      </c>
      <c r="E5" t="str" cm="1">
        <f t="array" ref="E5">GetValue("Msk",D5,"Name")</f>
        <v>SmallInteger</v>
      </c>
      <c r="F5" t="str" cm="1">
        <f t="array" ref="F5">GetValue("Msk",D5,"Mask")</f>
        <v>##.###</v>
      </c>
    </row>
    <row r="6" spans="1:6" x14ac:dyDescent="0.3">
      <c r="A6">
        <f t="shared" si="0"/>
        <v>5</v>
      </c>
      <c r="B6">
        <f>ROW(B6)-1</f>
        <v>5</v>
      </c>
      <c r="C6" t="str" cm="1">
        <f t="array" ref="C6">GetValue("Dmn",B6,"Name")</f>
        <v>TinyInteger</v>
      </c>
      <c r="D6">
        <v>5</v>
      </c>
      <c r="E6" t="str" cm="1">
        <f t="array" ref="E6">GetValue("Msk",D6,"Name")</f>
        <v>TinyInteger</v>
      </c>
      <c r="F6" t="str" cm="1">
        <f t="array" ref="F6">GetValue("Msk",D6,"Mask")</f>
        <v>###</v>
      </c>
    </row>
    <row r="7" spans="1:6" x14ac:dyDescent="0.3">
      <c r="A7">
        <f t="shared" si="0"/>
        <v>6</v>
      </c>
      <c r="B7">
        <v>16</v>
      </c>
      <c r="C7" t="str" cm="1">
        <f t="array" ref="C7">GetValue("Dmn",B7,"Name")</f>
        <v>DateTime</v>
      </c>
      <c r="D7">
        <v>7</v>
      </c>
      <c r="E7" t="str" cm="1">
        <f t="array" ref="E7">GetValue("Msk",D7,"Name")</f>
        <v>Brithish DateTime</v>
      </c>
      <c r="F7" t="str" cm="1">
        <f t="array" ref="F7">GetValue("Msk",D7,"Mask")</f>
        <v>##/##/#### ##:##:##</v>
      </c>
    </row>
    <row r="8" spans="1:6" x14ac:dyDescent="0.3">
      <c r="A8">
        <f t="shared" si="0"/>
        <v>7</v>
      </c>
      <c r="B8">
        <v>21</v>
      </c>
      <c r="C8" t="str" cm="1">
        <f t="array" ref="C8">GetValue("Dmn",B8,"Name")</f>
        <v>TimeOfDay</v>
      </c>
      <c r="D8">
        <v>25</v>
      </c>
      <c r="E8" t="str" cm="1">
        <f t="array" ref="E8">GetValue("Msk",D8,"Name")</f>
        <v>Small Time</v>
      </c>
      <c r="F8" t="str" cm="1">
        <f t="array" ref="F8">GetValue("Msk",D8,"Mask")</f>
        <v>##:##</v>
      </c>
    </row>
    <row r="9" spans="1:6" x14ac:dyDescent="0.3">
      <c r="C9" t="str">
        <f t="array" ref="C9">GetValue("Masks",A9,"Name")</f>
        <v/>
      </c>
      <c r="F9" t="str" cm="1">
        <f t="array" ref="F9">GetValue("Masks",A9,"Mask")</f>
        <v/>
      </c>
    </row>
    <row r="10" spans="1:6" x14ac:dyDescent="0.3">
      <c r="C10" t="str">
        <f t="array" ref="C10">GetValue("Masks",A10,"Name")</f>
        <v/>
      </c>
      <c r="F10" t="str" cm="1">
        <f t="array" ref="F10">GetValue("Masks",A10,"Mask")</f>
        <v/>
      </c>
    </row>
    <row r="11" spans="1:6" x14ac:dyDescent="0.3">
      <c r="C11" t="str">
        <f t="array" ref="C11">GetValue("Masks",A11,"Name")</f>
        <v/>
      </c>
      <c r="F11" t="str" cm="1">
        <f t="array" ref="F11">GetValue("Masks",A11,"Mask")</f>
        <v/>
      </c>
    </row>
    <row r="12" spans="1:6" x14ac:dyDescent="0.3">
      <c r="C12" t="str">
        <f t="array" ref="C12">GetValue("Masks",A12,"Name")</f>
        <v/>
      </c>
      <c r="F12" t="str" cm="1">
        <f t="array" ref="F12">GetValue("Masks",A12,"Mask")</f>
        <v/>
      </c>
    </row>
    <row r="13" spans="1:6" x14ac:dyDescent="0.3">
      <c r="C13" t="str">
        <f t="array" ref="C13">GetValue("Masks",A13,"Name")</f>
        <v/>
      </c>
      <c r="F13" t="str" cm="1">
        <f t="array" ref="F13">GetValue("Masks",A13,"Mask")</f>
        <v/>
      </c>
    </row>
    <row r="14" spans="1:6" x14ac:dyDescent="0.3">
      <c r="C14" t="str">
        <f t="array" ref="C14">GetValue("Masks",A14,"Name")</f>
        <v/>
      </c>
      <c r="F14" t="str" cm="1">
        <f t="array" ref="F14">GetValue("Masks",A14,"Mask")</f>
        <v/>
      </c>
    </row>
    <row r="16" spans="1:6" x14ac:dyDescent="0.3">
      <c r="C16" t="str">
        <f t="array" ref="C16">GetValue("Masks",A16,"Name")</f>
        <v/>
      </c>
      <c r="F16" t="str" cm="1">
        <f t="array" ref="F16">GetValue("Masks",A16,"Mask")</f>
        <v/>
      </c>
    </row>
    <row r="17" spans="3:6" x14ac:dyDescent="0.3">
      <c r="C17" t="str">
        <f t="array" ref="C17">GetValue("Masks",A17,"Name")</f>
        <v/>
      </c>
      <c r="F17" t="str" cm="1">
        <f t="array" ref="F17">GetValue("Masks",A17,"Mask")</f>
        <v/>
      </c>
    </row>
    <row r="18" spans="3:6" x14ac:dyDescent="0.3">
      <c r="C18" t="str">
        <f t="array" ref="C18">GetValue("Masks",A18,"Name")</f>
        <v/>
      </c>
      <c r="F18" t="str" cm="1">
        <f t="array" ref="F18">GetValue("Masks",A18,"Mask")</f>
        <v/>
      </c>
    </row>
    <row r="19" spans="3:6" x14ac:dyDescent="0.3">
      <c r="C19" t="str">
        <f t="array" ref="C19">GetValue("Masks",A19,"Name")</f>
        <v/>
      </c>
      <c r="F19" t="str" cm="1">
        <f t="array" ref="F19">GetValue("Masks",A19,"Mask")</f>
        <v/>
      </c>
    </row>
    <row r="20" spans="3:6" x14ac:dyDescent="0.3">
      <c r="C20" t="str">
        <f t="array" ref="C20">GetValue("Masks",A20,"Name")</f>
        <v/>
      </c>
      <c r="F20" t="str" cm="1">
        <f t="array" ref="F20">GetValue("Masks",A20,"Mask")</f>
        <v/>
      </c>
    </row>
    <row r="21" spans="3:6" x14ac:dyDescent="0.3">
      <c r="C21" t="str">
        <f t="array" ref="C21">GetValue("Masks",A21,"Name")</f>
        <v/>
      </c>
      <c r="F21" t="str" cm="1">
        <f t="array" ref="F21">GetValue("Masks",A21,"Mask")</f>
        <v/>
      </c>
    </row>
    <row r="22" spans="3:6" x14ac:dyDescent="0.3">
      <c r="C22" t="str">
        <f t="array" ref="C22">GetValue("Masks",A22,"Name")</f>
        <v/>
      </c>
      <c r="F22" t="str" cm="1">
        <f t="array" ref="F22">GetValue("Masks",A22,"Mask")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Usr"/>
  <dimension ref="A1:E3"/>
  <sheetViews>
    <sheetView workbookViewId="0">
      <pane ySplit="1" topLeftCell="A2" activePane="bottomLeft" state="frozen"/>
      <selection pane="bottomLeft" activeCell="G6" sqref="G6"/>
    </sheetView>
  </sheetViews>
  <sheetFormatPr defaultRowHeight="14.4" x14ac:dyDescent="0.3"/>
  <cols>
    <col min="1" max="1" width="3" bestFit="1" customWidth="1"/>
    <col min="2" max="2" width="7.109375" bestFit="1" customWidth="1"/>
    <col min="3" max="3" width="9" bestFit="1" customWidth="1"/>
    <col min="4" max="4" width="10.7773437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61</v>
      </c>
      <c r="D1" s="1" t="s">
        <v>62</v>
      </c>
      <c r="E1" s="1" t="s">
        <v>22</v>
      </c>
    </row>
    <row r="2" spans="1:5" x14ac:dyDescent="0.3">
      <c r="A2">
        <f t="shared" ref="A2:A3" si="0">ROW(A2)-1</f>
        <v>1</v>
      </c>
      <c r="B2" t="s">
        <v>462</v>
      </c>
      <c r="C2" t="s">
        <v>63</v>
      </c>
      <c r="D2">
        <v>0</v>
      </c>
      <c r="E2" t="b">
        <v>1</v>
      </c>
    </row>
    <row r="3" spans="1:5" x14ac:dyDescent="0.3">
      <c r="A3">
        <f t="shared" si="0"/>
        <v>2</v>
      </c>
      <c r="B3" t="s">
        <v>291</v>
      </c>
      <c r="C3" t="s">
        <v>63</v>
      </c>
      <c r="D3">
        <v>0</v>
      </c>
      <c r="E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8A45B-0726-42B1-A51E-4B58F10C75D3}">
  <sheetPr codeName="planEnv"/>
  <dimension ref="A1:C4"/>
  <sheetViews>
    <sheetView workbookViewId="0">
      <pane ySplit="1" topLeftCell="A2" activePane="bottomLeft" state="frozen"/>
      <selection pane="bottomLeft" activeCell="H9" sqref="H9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218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46</v>
      </c>
    </row>
    <row r="2" spans="1:3" x14ac:dyDescent="0.3">
      <c r="A2">
        <f>ROW(A2)-1</f>
        <v>1</v>
      </c>
      <c r="B2" t="s">
        <v>270</v>
      </c>
      <c r="C2" t="s">
        <v>843</v>
      </c>
    </row>
    <row r="3" spans="1:3" x14ac:dyDescent="0.3">
      <c r="A3">
        <f>ROW(A3)-1</f>
        <v>2</v>
      </c>
      <c r="B3" t="s">
        <v>287</v>
      </c>
      <c r="C3" t="s">
        <v>844</v>
      </c>
    </row>
    <row r="4" spans="1:3" x14ac:dyDescent="0.3">
      <c r="A4">
        <f>ROW(A4)-1</f>
        <v>3</v>
      </c>
      <c r="B4" t="s">
        <v>288</v>
      </c>
      <c r="C4" t="s">
        <v>845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Sys"/>
  <dimension ref="A1:E2"/>
  <sheetViews>
    <sheetView workbookViewId="0">
      <pane ySplit="1" topLeftCell="A2" activePane="bottomLeft" state="frozen"/>
      <selection pane="bottomLeft" activeCell="D11" sqref="D11"/>
    </sheetView>
  </sheetViews>
  <sheetFormatPr defaultRowHeight="14.4" x14ac:dyDescent="0.3"/>
  <cols>
    <col min="1" max="1" width="2.6640625" bestFit="1" customWidth="1"/>
    <col min="2" max="2" width="6.44140625" bestFit="1" customWidth="1"/>
    <col min="3" max="3" width="12.33203125" bestFit="1" customWidth="1"/>
    <col min="4" max="4" width="14.5546875" bestFit="1" customWidth="1"/>
    <col min="5" max="5" width="7.3320312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46</v>
      </c>
      <c r="D1" s="1" t="s">
        <v>47</v>
      </c>
      <c r="E1" s="1" t="s">
        <v>183</v>
      </c>
    </row>
    <row r="2" spans="1:5" x14ac:dyDescent="0.3">
      <c r="A2">
        <f>ROW(A2)-1</f>
        <v>1</v>
      </c>
      <c r="B2" t="s">
        <v>196</v>
      </c>
      <c r="C2" t="s">
        <v>197</v>
      </c>
      <c r="D2">
        <v>5</v>
      </c>
      <c r="E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SysGrp"/>
  <dimension ref="A1:G4"/>
  <sheetViews>
    <sheetView workbookViewId="0">
      <pane ySplit="1" topLeftCell="A2" activePane="bottomLeft" state="frozen"/>
      <selection pane="bottomLeft" activeCell="E9" sqref="E9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7.88671875" bestFit="1" customWidth="1"/>
    <col min="5" max="5" width="12.21875" bestFit="1" customWidth="1"/>
    <col min="6" max="6" width="13.6640625" bestFit="1" customWidth="1"/>
    <col min="7" max="7" width="18.109375" bestFit="1" customWidth="1"/>
  </cols>
  <sheetData>
    <row r="1" spans="1:7" s="1" customFormat="1" x14ac:dyDescent="0.3">
      <c r="A1" s="1" t="s">
        <v>0</v>
      </c>
      <c r="B1" s="1" t="s">
        <v>48</v>
      </c>
      <c r="C1" s="1" t="s">
        <v>175</v>
      </c>
      <c r="D1" s="1" t="s">
        <v>289</v>
      </c>
      <c r="E1" s="1" t="s">
        <v>290</v>
      </c>
      <c r="F1" s="1" t="s">
        <v>311</v>
      </c>
      <c r="G1" s="1" t="s">
        <v>459</v>
      </c>
    </row>
    <row r="2" spans="1:7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e" cm="1">
        <f t="array" ref="E2">GetValue("Grp",D2,"Name")</f>
        <v>#VALUE!</v>
      </c>
      <c r="F2">
        <v>1</v>
      </c>
      <c r="G2" t="str" cm="1">
        <f t="array" ref="G2">GetValue("Env",F2,"Name")</f>
        <v>dev</v>
      </c>
    </row>
    <row r="3" spans="1:7" x14ac:dyDescent="0.3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e" cm="1">
        <f t="array" ref="E3">GetValue("Grp",D3,"Name")</f>
        <v>#VALUE!</v>
      </c>
      <c r="F3">
        <v>2</v>
      </c>
      <c r="G3" t="str" cm="1">
        <f t="array" ref="G3">GetValue("Env",F3,"Name")</f>
        <v>hml</v>
      </c>
    </row>
    <row r="4" spans="1:7" x14ac:dyDescent="0.3">
      <c r="A4">
        <f>ROW(A4)-1</f>
        <v>3</v>
      </c>
      <c r="B4">
        <v>1</v>
      </c>
      <c r="C4" t="str" cm="1">
        <f t="array" ref="C4">GetValue("Sys",B4,"Name")</f>
        <v>crudex</v>
      </c>
      <c r="D4">
        <v>1</v>
      </c>
      <c r="E4" t="e" cm="1">
        <f t="array" ref="E4">GetValue("Grp",D4,"Name")</f>
        <v>#VALUE!</v>
      </c>
      <c r="F4">
        <v>3</v>
      </c>
      <c r="G4" t="str" cm="1">
        <f t="array" ref="G4">GetValue("Env",F4,"Name")</f>
        <v>prd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Db"/>
  <dimension ref="A1:H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5" width="6.44140625" bestFit="1" customWidth="1"/>
    <col min="6" max="6" width="12.33203125" bestFit="1" customWidth="1"/>
    <col min="7" max="7" width="37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48</v>
      </c>
      <c r="C1" s="1" t="s">
        <v>175</v>
      </c>
      <c r="D1" s="1" t="s">
        <v>1</v>
      </c>
      <c r="E1" s="1" t="s">
        <v>65</v>
      </c>
      <c r="F1" s="1" t="s">
        <v>46</v>
      </c>
      <c r="G1" s="1" t="s">
        <v>66</v>
      </c>
      <c r="H1" s="1" t="s">
        <v>22</v>
      </c>
    </row>
    <row r="2" spans="1:8" x14ac:dyDescent="0.3">
      <c r="A2">
        <f>ROW(A2)-1</f>
        <v>1</v>
      </c>
      <c r="B2">
        <v>1</v>
      </c>
      <c r="C2" t="str" cm="1">
        <f t="array" ref="C2">GetValue("Sys",B2,"Name")</f>
        <v>crudex</v>
      </c>
      <c r="D2" t="s">
        <v>196</v>
      </c>
      <c r="E2" t="s">
        <v>196</v>
      </c>
      <c r="F2" t="s">
        <v>197</v>
      </c>
      <c r="G2" t="s">
        <v>231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H38"/>
  <sheetViews>
    <sheetView zoomScaleNormal="100" workbookViewId="0">
      <pane ySplit="1" topLeftCell="A14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20" bestFit="1" customWidth="1"/>
    <col min="3" max="3" width="10.109375" bestFit="1" customWidth="1"/>
    <col min="4" max="4" width="40.33203125" bestFit="1" customWidth="1"/>
    <col min="5" max="5" width="13.44140625" bestFit="1" customWidth="1"/>
    <col min="6" max="6" width="13.77734375" bestFit="1" customWidth="1"/>
    <col min="7" max="7" width="15.33203125" bestFit="1" customWidth="1"/>
    <col min="8" max="8" width="14.33203125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65</v>
      </c>
      <c r="D1" s="1" t="s">
        <v>46</v>
      </c>
      <c r="E1" s="1" t="s">
        <v>405</v>
      </c>
      <c r="F1" s="1" t="s">
        <v>406</v>
      </c>
      <c r="G1" s="1" t="s">
        <v>410</v>
      </c>
      <c r="H1" s="1" t="s">
        <v>804</v>
      </c>
    </row>
    <row r="2" spans="1:8" x14ac:dyDescent="0.3">
      <c r="A2">
        <f>ROW(A2)-1</f>
        <v>1</v>
      </c>
      <c r="B2" t="s">
        <v>299</v>
      </c>
      <c r="C2" t="s">
        <v>473</v>
      </c>
      <c r="D2" t="s">
        <v>665</v>
      </c>
      <c r="H2" t="b">
        <v>0</v>
      </c>
    </row>
    <row r="3" spans="1:8" x14ac:dyDescent="0.3">
      <c r="A3">
        <f t="shared" ref="A3:A38" si="0">ROW(A3)-1</f>
        <v>2</v>
      </c>
      <c r="B3" t="s">
        <v>79</v>
      </c>
      <c r="C3" t="s">
        <v>474</v>
      </c>
      <c r="D3" t="s">
        <v>80</v>
      </c>
      <c r="H3" t="b">
        <v>0</v>
      </c>
    </row>
    <row r="4" spans="1:8" x14ac:dyDescent="0.3">
      <c r="A4">
        <f t="shared" si="0"/>
        <v>3</v>
      </c>
      <c r="B4" t="s">
        <v>68</v>
      </c>
      <c r="C4" t="s">
        <v>476</v>
      </c>
      <c r="D4" t="s">
        <v>210</v>
      </c>
      <c r="H4" t="b">
        <v>0</v>
      </c>
    </row>
    <row r="5" spans="1:8" x14ac:dyDescent="0.3">
      <c r="A5">
        <f>ROW(A5)-1</f>
        <v>4</v>
      </c>
      <c r="B5" t="s">
        <v>69</v>
      </c>
      <c r="C5" t="s">
        <v>479</v>
      </c>
      <c r="D5" t="s">
        <v>211</v>
      </c>
      <c r="H5" t="b">
        <v>1</v>
      </c>
    </row>
    <row r="6" spans="1:8" x14ac:dyDescent="0.3">
      <c r="A6">
        <f>ROW(A6)-1</f>
        <v>5</v>
      </c>
      <c r="B6" t="s">
        <v>70</v>
      </c>
      <c r="C6" t="s">
        <v>480</v>
      </c>
      <c r="D6" t="s">
        <v>303</v>
      </c>
      <c r="H6" t="b">
        <v>1</v>
      </c>
    </row>
    <row r="7" spans="1:8" x14ac:dyDescent="0.3">
      <c r="A7">
        <f>ROW(A7)-1</f>
        <v>6</v>
      </c>
      <c r="B7" t="s">
        <v>448</v>
      </c>
      <c r="C7" t="s">
        <v>481</v>
      </c>
      <c r="D7" t="s">
        <v>328</v>
      </c>
      <c r="H7" t="b">
        <v>1</v>
      </c>
    </row>
    <row r="8" spans="1:8" x14ac:dyDescent="0.3">
      <c r="A8">
        <f t="shared" si="0"/>
        <v>7</v>
      </c>
      <c r="B8" t="s">
        <v>300</v>
      </c>
      <c r="C8" t="s">
        <v>475</v>
      </c>
      <c r="D8" t="s">
        <v>301</v>
      </c>
      <c r="H8" t="b">
        <v>1</v>
      </c>
    </row>
    <row r="9" spans="1:8" x14ac:dyDescent="0.3">
      <c r="A9">
        <f t="shared" si="0"/>
        <v>8</v>
      </c>
      <c r="B9" t="s">
        <v>72</v>
      </c>
      <c r="C9" t="s">
        <v>477</v>
      </c>
      <c r="D9" t="s">
        <v>208</v>
      </c>
      <c r="H9" t="b">
        <v>1</v>
      </c>
    </row>
    <row r="10" spans="1:8" x14ac:dyDescent="0.3">
      <c r="A10">
        <f t="shared" si="0"/>
        <v>9</v>
      </c>
      <c r="B10" t="s">
        <v>447</v>
      </c>
      <c r="C10" t="s">
        <v>478</v>
      </c>
      <c r="D10" t="s">
        <v>302</v>
      </c>
      <c r="H10" t="b">
        <v>1</v>
      </c>
    </row>
    <row r="11" spans="1:8" x14ac:dyDescent="0.3">
      <c r="A11">
        <f t="shared" si="0"/>
        <v>10</v>
      </c>
      <c r="B11" t="s">
        <v>71</v>
      </c>
      <c r="C11" t="s">
        <v>483</v>
      </c>
      <c r="D11" t="s">
        <v>57</v>
      </c>
      <c r="H11" t="b">
        <v>1</v>
      </c>
    </row>
    <row r="12" spans="1:8" x14ac:dyDescent="0.3">
      <c r="A12">
        <f>ROW(A12)-1</f>
        <v>11</v>
      </c>
      <c r="B12" t="s">
        <v>449</v>
      </c>
      <c r="C12" t="s">
        <v>484</v>
      </c>
      <c r="D12" t="s">
        <v>304</v>
      </c>
      <c r="H12" t="b">
        <v>1</v>
      </c>
    </row>
    <row r="13" spans="1:8" x14ac:dyDescent="0.3">
      <c r="A13">
        <f>ROW(A13)-1</f>
        <v>12</v>
      </c>
      <c r="B13" t="s">
        <v>73</v>
      </c>
      <c r="C13" t="s">
        <v>797</v>
      </c>
      <c r="D13" t="s">
        <v>74</v>
      </c>
      <c r="H13" t="b">
        <v>1</v>
      </c>
    </row>
    <row r="14" spans="1:8" x14ac:dyDescent="0.3">
      <c r="A14">
        <f t="shared" ref="A14:A20" si="1">ROW(A14)-1</f>
        <v>13</v>
      </c>
      <c r="B14" t="s">
        <v>75</v>
      </c>
      <c r="C14" t="s">
        <v>485</v>
      </c>
      <c r="D14" t="s">
        <v>212</v>
      </c>
      <c r="H14" t="b">
        <v>0</v>
      </c>
    </row>
    <row r="15" spans="1:8" x14ac:dyDescent="0.3">
      <c r="A15">
        <f>ROW(A15)-1</f>
        <v>14</v>
      </c>
      <c r="B15" t="s">
        <v>676</v>
      </c>
      <c r="C15" t="s">
        <v>677</v>
      </c>
      <c r="D15" t="s">
        <v>209</v>
      </c>
      <c r="H15" t="b">
        <v>0</v>
      </c>
    </row>
    <row r="16" spans="1:8" x14ac:dyDescent="0.3">
      <c r="A16">
        <f t="shared" si="1"/>
        <v>15</v>
      </c>
      <c r="B16" t="s">
        <v>450</v>
      </c>
      <c r="C16" t="s">
        <v>798</v>
      </c>
      <c r="D16" t="s">
        <v>169</v>
      </c>
      <c r="H16" t="b">
        <v>0</v>
      </c>
    </row>
    <row r="17" spans="1:8" x14ac:dyDescent="0.3">
      <c r="A17">
        <f t="shared" si="1"/>
        <v>16</v>
      </c>
      <c r="B17" t="s">
        <v>76</v>
      </c>
      <c r="C17" t="s">
        <v>486</v>
      </c>
      <c r="D17" t="s">
        <v>205</v>
      </c>
      <c r="H17" t="b">
        <v>0</v>
      </c>
    </row>
    <row r="18" spans="1:8" x14ac:dyDescent="0.3">
      <c r="A18">
        <f t="shared" si="1"/>
        <v>17</v>
      </c>
      <c r="B18" t="s">
        <v>464</v>
      </c>
      <c r="C18" t="s">
        <v>487</v>
      </c>
      <c r="D18" t="s">
        <v>657</v>
      </c>
      <c r="H18" t="b">
        <v>0</v>
      </c>
    </row>
    <row r="19" spans="1:8" x14ac:dyDescent="0.3">
      <c r="A19">
        <f t="shared" si="1"/>
        <v>18</v>
      </c>
      <c r="B19" t="s">
        <v>503</v>
      </c>
      <c r="C19" t="s">
        <v>504</v>
      </c>
      <c r="D19" t="s">
        <v>586</v>
      </c>
      <c r="H19" t="b">
        <v>1</v>
      </c>
    </row>
    <row r="20" spans="1:8" x14ac:dyDescent="0.3">
      <c r="A20">
        <f t="shared" si="1"/>
        <v>19</v>
      </c>
      <c r="B20" t="s">
        <v>556</v>
      </c>
      <c r="C20" t="s">
        <v>505</v>
      </c>
      <c r="D20" t="s">
        <v>557</v>
      </c>
      <c r="H20" t="b">
        <v>1</v>
      </c>
    </row>
    <row r="21" spans="1:8" x14ac:dyDescent="0.3">
      <c r="A21">
        <f t="shared" si="0"/>
        <v>20</v>
      </c>
      <c r="B21" t="s">
        <v>77</v>
      </c>
      <c r="C21" t="s">
        <v>488</v>
      </c>
      <c r="D21" t="s">
        <v>206</v>
      </c>
      <c r="H21" t="b">
        <v>1</v>
      </c>
    </row>
    <row r="22" spans="1:8" x14ac:dyDescent="0.3">
      <c r="A22">
        <f t="shared" si="0"/>
        <v>21</v>
      </c>
      <c r="B22" t="s">
        <v>444</v>
      </c>
      <c r="C22" t="s">
        <v>489</v>
      </c>
      <c r="D22" t="s">
        <v>78</v>
      </c>
      <c r="H22" t="b">
        <v>0</v>
      </c>
    </row>
    <row r="23" spans="1:8" x14ac:dyDescent="0.3">
      <c r="A23">
        <f t="shared" si="0"/>
        <v>22</v>
      </c>
      <c r="B23" t="s">
        <v>445</v>
      </c>
      <c r="C23" t="s">
        <v>490</v>
      </c>
      <c r="D23" t="s">
        <v>446</v>
      </c>
      <c r="H23" t="b">
        <v>0</v>
      </c>
    </row>
    <row r="24" spans="1:8" x14ac:dyDescent="0.3">
      <c r="A24">
        <f>ROW(A24)-1</f>
        <v>23</v>
      </c>
      <c r="B24" t="s">
        <v>204</v>
      </c>
      <c r="C24" t="s">
        <v>499</v>
      </c>
      <c r="D24" t="s">
        <v>207</v>
      </c>
      <c r="H24" t="b">
        <v>0</v>
      </c>
    </row>
    <row r="25" spans="1:8" ht="15" customHeight="1" x14ac:dyDescent="0.3">
      <c r="A25">
        <f>ROW(A25)-1</f>
        <v>24</v>
      </c>
      <c r="B25" t="s">
        <v>321</v>
      </c>
      <c r="C25" t="s">
        <v>482</v>
      </c>
      <c r="D25" t="s">
        <v>322</v>
      </c>
      <c r="H25" t="b">
        <v>0</v>
      </c>
    </row>
    <row r="26" spans="1:8" x14ac:dyDescent="0.3">
      <c r="A26">
        <f>ROW(A26)-1</f>
        <v>25</v>
      </c>
      <c r="B26" t="s">
        <v>796</v>
      </c>
      <c r="C26" t="s">
        <v>803</v>
      </c>
      <c r="D26" t="s">
        <v>650</v>
      </c>
      <c r="H26" t="b">
        <v>0</v>
      </c>
    </row>
    <row r="27" spans="1:8" x14ac:dyDescent="0.3">
      <c r="A27">
        <f t="shared" si="0"/>
        <v>26</v>
      </c>
      <c r="B27" t="s">
        <v>262</v>
      </c>
      <c r="C27" t="s">
        <v>492</v>
      </c>
      <c r="D27" t="s">
        <v>263</v>
      </c>
      <c r="H27" t="b">
        <v>0</v>
      </c>
    </row>
    <row r="28" spans="1:8" x14ac:dyDescent="0.3">
      <c r="A28">
        <f t="shared" si="0"/>
        <v>27</v>
      </c>
      <c r="B28" t="s">
        <v>213</v>
      </c>
      <c r="C28" t="s">
        <v>491</v>
      </c>
      <c r="D28" t="s">
        <v>214</v>
      </c>
      <c r="H28" t="b">
        <v>0</v>
      </c>
    </row>
    <row r="29" spans="1:8" x14ac:dyDescent="0.3">
      <c r="A29">
        <f t="shared" si="0"/>
        <v>28</v>
      </c>
      <c r="B29" t="s">
        <v>215</v>
      </c>
      <c r="C29" t="s">
        <v>493</v>
      </c>
      <c r="D29" t="s">
        <v>217</v>
      </c>
      <c r="H29" t="b">
        <v>0</v>
      </c>
    </row>
    <row r="30" spans="1:8" x14ac:dyDescent="0.3">
      <c r="A30">
        <f t="shared" si="0"/>
        <v>29</v>
      </c>
      <c r="B30" t="s">
        <v>325</v>
      </c>
      <c r="C30" t="s">
        <v>494</v>
      </c>
      <c r="D30" t="s">
        <v>430</v>
      </c>
      <c r="H30" t="b">
        <v>0</v>
      </c>
    </row>
    <row r="31" spans="1:8" x14ac:dyDescent="0.3">
      <c r="A31">
        <f t="shared" si="0"/>
        <v>30</v>
      </c>
      <c r="B31" t="s">
        <v>451</v>
      </c>
      <c r="C31" t="s">
        <v>495</v>
      </c>
      <c r="D31" t="s">
        <v>431</v>
      </c>
      <c r="H31" t="b">
        <v>0</v>
      </c>
    </row>
    <row r="32" spans="1:8" x14ac:dyDescent="0.3">
      <c r="A32">
        <f>ROW(A32)-1</f>
        <v>31</v>
      </c>
      <c r="B32" t="s">
        <v>319</v>
      </c>
      <c r="C32" t="s">
        <v>496</v>
      </c>
      <c r="D32" t="s">
        <v>320</v>
      </c>
      <c r="H32" t="b">
        <v>0</v>
      </c>
    </row>
    <row r="33" spans="1:8" x14ac:dyDescent="0.3">
      <c r="A33">
        <f t="shared" si="0"/>
        <v>32</v>
      </c>
      <c r="B33" t="s">
        <v>326</v>
      </c>
      <c r="C33" t="s">
        <v>497</v>
      </c>
      <c r="D33" t="s">
        <v>327</v>
      </c>
      <c r="H33" t="b">
        <v>0</v>
      </c>
    </row>
    <row r="34" spans="1:8" x14ac:dyDescent="0.3">
      <c r="A34">
        <f t="shared" si="0"/>
        <v>33</v>
      </c>
      <c r="B34" t="s">
        <v>452</v>
      </c>
      <c r="C34" t="s">
        <v>498</v>
      </c>
      <c r="D34" t="s">
        <v>329</v>
      </c>
      <c r="H34" t="b">
        <v>0</v>
      </c>
    </row>
    <row r="35" spans="1:8" x14ac:dyDescent="0.3">
      <c r="A35">
        <f t="shared" si="0"/>
        <v>34</v>
      </c>
      <c r="B35" t="s">
        <v>742</v>
      </c>
      <c r="C35" t="s">
        <v>743</v>
      </c>
      <c r="D35" t="s">
        <v>775</v>
      </c>
      <c r="H35" t="b">
        <v>0</v>
      </c>
    </row>
    <row r="36" spans="1:8" x14ac:dyDescent="0.3">
      <c r="A36">
        <f t="shared" si="0"/>
        <v>35</v>
      </c>
      <c r="B36" t="s">
        <v>744</v>
      </c>
      <c r="C36" t="s">
        <v>745</v>
      </c>
      <c r="D36" t="s">
        <v>746</v>
      </c>
      <c r="H36" t="b">
        <v>0</v>
      </c>
    </row>
    <row r="37" spans="1:8" x14ac:dyDescent="0.3">
      <c r="A37">
        <f t="shared" si="0"/>
        <v>36</v>
      </c>
      <c r="B37" t="s">
        <v>750</v>
      </c>
      <c r="C37" t="s">
        <v>751</v>
      </c>
      <c r="D37" t="s">
        <v>799</v>
      </c>
      <c r="H37" t="b">
        <v>0</v>
      </c>
    </row>
    <row r="38" spans="1:8" x14ac:dyDescent="0.3">
      <c r="A38">
        <f t="shared" si="0"/>
        <v>37</v>
      </c>
      <c r="B38" t="s">
        <v>791</v>
      </c>
      <c r="C38" t="s">
        <v>792</v>
      </c>
      <c r="D38" t="s">
        <v>800</v>
      </c>
      <c r="H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0AC3F-93B9-4788-A409-2FDA2257599C}">
  <sheetPr codeName="Planilha3"/>
  <dimension ref="A1:F6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3.77734375" bestFit="1" customWidth="1"/>
    <col min="4" max="4" width="12.44140625" bestFit="1" customWidth="1"/>
    <col min="5" max="5" width="18.5546875" bestFit="1" customWidth="1"/>
    <col min="6" max="6" width="15.21875" bestFit="1" customWidth="1"/>
  </cols>
  <sheetData>
    <row r="1" spans="1:6" s="1" customFormat="1" x14ac:dyDescent="0.3">
      <c r="A1" s="1" t="s">
        <v>0</v>
      </c>
      <c r="B1" s="1" t="s">
        <v>67</v>
      </c>
      <c r="C1" s="1" t="s">
        <v>642</v>
      </c>
      <c r="D1" s="1" t="s">
        <v>670</v>
      </c>
      <c r="E1" s="1" t="s">
        <v>672</v>
      </c>
      <c r="F1" s="1" t="s">
        <v>50</v>
      </c>
    </row>
    <row r="2" spans="1:6" x14ac:dyDescent="0.3">
      <c r="A2">
        <f>ROW(A2)-1</f>
        <v>1</v>
      </c>
      <c r="B2">
        <v>1</v>
      </c>
      <c r="C2" t="str" cm="1">
        <f t="array" ref="C2">GetValue("Dtb",B2,"Alias")</f>
        <v>crudex</v>
      </c>
      <c r="E2" t="str" cm="1">
        <f t="array" ref="E2">GetValue("Rnk",D2,"Caption")</f>
        <v/>
      </c>
      <c r="F2" t="s">
        <v>52</v>
      </c>
    </row>
    <row r="3" spans="1:6" x14ac:dyDescent="0.3">
      <c r="A3">
        <f>ROW(A3)-1</f>
        <v>2</v>
      </c>
      <c r="B3">
        <v>1</v>
      </c>
      <c r="C3" t="str" cm="1">
        <f t="array" ref="C3">GetValue("Dtb",B3,"Alias")</f>
        <v>crudex</v>
      </c>
      <c r="E3" t="str" cm="1">
        <f t="array" ref="E3">GetValue("Rnk",D3,"Caption")</f>
        <v/>
      </c>
      <c r="F3" t="s">
        <v>59</v>
      </c>
    </row>
    <row r="4" spans="1:6" x14ac:dyDescent="0.3">
      <c r="A4">
        <f>ROW(A4)-1</f>
        <v>3</v>
      </c>
      <c r="B4">
        <v>1</v>
      </c>
      <c r="C4" t="str" cm="1">
        <f t="array" ref="C4">GetValue("Dtb",B4,"Alias")</f>
        <v>crudex</v>
      </c>
      <c r="D4">
        <v>1</v>
      </c>
      <c r="E4" t="str" cm="1">
        <f t="array" ref="E4">GetValue("Rnk",D4,"Caption")</f>
        <v>Cadastros</v>
      </c>
      <c r="F4" t="s">
        <v>55</v>
      </c>
    </row>
    <row r="5" spans="1:6" x14ac:dyDescent="0.3">
      <c r="A5">
        <f>ROW(A5)-1</f>
        <v>4</v>
      </c>
      <c r="B5">
        <v>1</v>
      </c>
      <c r="C5" t="str" cm="1">
        <f t="array" ref="C5">GetValue("Dtb",B5,"Alias")</f>
        <v>crudex</v>
      </c>
      <c r="D5">
        <v>3</v>
      </c>
      <c r="E5" t="str" cm="1">
        <f t="array" ref="E5">GetValue("Rnk",D5,"Caption")</f>
        <v>Tabelas</v>
      </c>
      <c r="F5" t="s">
        <v>673</v>
      </c>
    </row>
    <row r="6" spans="1:6" x14ac:dyDescent="0.3">
      <c r="A6">
        <f>ROW(A6)-1</f>
        <v>5</v>
      </c>
      <c r="B6">
        <v>1</v>
      </c>
      <c r="C6" t="str" cm="1">
        <f t="array" ref="C6">GetValue("Dtb",B6,"Alias")</f>
        <v>crudex</v>
      </c>
      <c r="E6" t="str" cm="1">
        <f t="array" ref="E6">GetValue("Rnk",D6,"Caption")</f>
        <v/>
      </c>
      <c r="F6" t="s">
        <v>60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bTbl"/>
  <dimension ref="A1:L38"/>
  <sheetViews>
    <sheetView workbookViewId="0">
      <pane ySplit="1" topLeftCell="A2" activePane="bottomLeft" state="frozen"/>
      <selection pane="bottomLeft" activeCell="J35" sqref="J3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3.77734375" bestFit="1" customWidth="1"/>
    <col min="4" max="4" width="7.21875" bestFit="1" customWidth="1"/>
    <col min="5" max="5" width="10.44140625" bestFit="1" customWidth="1"/>
    <col min="6" max="6" width="6.88671875" bestFit="1" customWidth="1"/>
    <col min="7" max="7" width="12.77734375" bestFit="1" customWidth="1"/>
    <col min="8" max="8" width="9.21875" bestFit="1" customWidth="1"/>
    <col min="9" max="9" width="24.21875" bestFit="1" customWidth="1"/>
    <col min="10" max="10" width="25.88671875" bestFit="1" customWidth="1"/>
    <col min="11" max="11" width="9" bestFit="1" customWidth="1"/>
    <col min="12" max="12" width="12" bestFit="1" customWidth="1"/>
  </cols>
  <sheetData>
    <row r="1" spans="1:12" s="1" customFormat="1" x14ac:dyDescent="0.3">
      <c r="A1" s="1" t="s">
        <v>0</v>
      </c>
      <c r="B1" s="1" t="s">
        <v>67</v>
      </c>
      <c r="C1" s="1" t="s">
        <v>642</v>
      </c>
      <c r="D1" s="1" t="s">
        <v>81</v>
      </c>
      <c r="E1" s="1" t="s">
        <v>203</v>
      </c>
      <c r="F1" s="1" t="s">
        <v>671</v>
      </c>
      <c r="G1" s="1" t="s">
        <v>675</v>
      </c>
      <c r="H1" s="1" t="s">
        <v>49</v>
      </c>
      <c r="I1" s="1" t="s">
        <v>643</v>
      </c>
      <c r="J1" s="1" t="s">
        <v>644</v>
      </c>
      <c r="K1" s="1" t="s">
        <v>181</v>
      </c>
      <c r="L1" s="1" t="s">
        <v>461</v>
      </c>
    </row>
    <row r="2" spans="1:12" x14ac:dyDescent="0.3">
      <c r="A2">
        <f>ROW(A2)-1</f>
        <v>1</v>
      </c>
      <c r="B2">
        <v>1</v>
      </c>
      <c r="C2" t="str" cm="1">
        <f t="array" ref="C2">GetValue("Dtb",B2,"Alias")</f>
        <v>crudex</v>
      </c>
      <c r="D2">
        <v>1</v>
      </c>
      <c r="E2" t="str" cm="1">
        <f t="array" ref="E2">GetValue("Tbl",D2,"Alias")</f>
        <v>Cli</v>
      </c>
      <c r="F2">
        <v>1</v>
      </c>
      <c r="G2" t="str" cm="1">
        <f t="array" ref="G2">GetValue("Rnk",F2,"Caption")</f>
        <v>Cadastros</v>
      </c>
      <c r="H2">
        <v>5</v>
      </c>
      <c r="I2" t="s">
        <v>111</v>
      </c>
      <c r="J2" t="s">
        <v>541</v>
      </c>
      <c r="K2" cm="1">
        <f t="array" ref="K2">GetLastId(A2)</f>
        <v>5</v>
      </c>
      <c r="L2" t="b">
        <v>0</v>
      </c>
    </row>
    <row r="3" spans="1:12" x14ac:dyDescent="0.3">
      <c r="A3">
        <f t="shared" ref="A3:A38" si="0">ROW(A3)-1</f>
        <v>2</v>
      </c>
      <c r="B3">
        <v>1</v>
      </c>
      <c r="C3" t="str" cm="1">
        <f t="array" ref="C3">GetValue("Dtb",B3,"Alias")</f>
        <v>crudex</v>
      </c>
      <c r="D3">
        <v>2</v>
      </c>
      <c r="E3" t="str" cm="1">
        <f t="array" ref="E3">GetValue("Tbl",D3,"Alias")</f>
        <v>Cat</v>
      </c>
      <c r="F3">
        <v>1</v>
      </c>
      <c r="G3" t="str" cm="1">
        <f t="array" ref="G3">GetValue("Rnk",F3,"Caption")</f>
        <v>Cadastros</v>
      </c>
      <c r="H3">
        <f>H2+5</f>
        <v>10</v>
      </c>
      <c r="I3" t="s">
        <v>89</v>
      </c>
      <c r="J3" t="s">
        <v>542</v>
      </c>
      <c r="K3" t="e" cm="1">
        <f t="array" ref="K3">GetLastId(A3)</f>
        <v>#VALUE!</v>
      </c>
      <c r="L3" t="b">
        <v>0</v>
      </c>
    </row>
    <row r="4" spans="1:12" x14ac:dyDescent="0.3">
      <c r="A4">
        <f t="shared" si="0"/>
        <v>3</v>
      </c>
      <c r="B4">
        <v>1</v>
      </c>
      <c r="C4" t="str" cm="1">
        <f t="array" ref="C4">GetValue("Dtb",B4,"Alias")</f>
        <v>crudex</v>
      </c>
      <c r="D4">
        <v>3</v>
      </c>
      <c r="E4" t="str" cm="1">
        <f t="array" ref="E4">GetValue("Tbl",D4,"Alias")</f>
        <v>Typ</v>
      </c>
      <c r="F4">
        <v>1</v>
      </c>
      <c r="G4" t="str" cm="1">
        <f t="array" ref="G4">GetValue("Rnk",F4,"Caption")</f>
        <v>Cadastros</v>
      </c>
      <c r="H4">
        <f t="shared" ref="H4:H38" si="1">H3+5</f>
        <v>15</v>
      </c>
      <c r="I4" t="s">
        <v>645</v>
      </c>
      <c r="J4" t="s">
        <v>53</v>
      </c>
      <c r="K4" cm="1">
        <f t="array" ref="K4">GetLastId(A4)</f>
        <v>11</v>
      </c>
      <c r="L4" t="b">
        <v>0</v>
      </c>
    </row>
    <row r="5" spans="1:12" x14ac:dyDescent="0.3">
      <c r="A5">
        <f t="shared" si="0"/>
        <v>4</v>
      </c>
      <c r="B5">
        <v>1</v>
      </c>
      <c r="C5" t="str" cm="1">
        <f t="array" ref="C5">GetValue("Dtb",B5,"Alias")</f>
        <v>crudex</v>
      </c>
      <c r="D5">
        <v>4</v>
      </c>
      <c r="E5" t="str" cm="1">
        <f t="array" ref="E5">GetValue("Tbl",D5,"Alias")</f>
        <v>Dmn</v>
      </c>
      <c r="F5">
        <v>1</v>
      </c>
      <c r="G5" t="str" cm="1">
        <f t="array" ref="G5">GetValue("Rnk",F5,"Caption")</f>
        <v>Cadastros</v>
      </c>
      <c r="H5">
        <f t="shared" si="1"/>
        <v>20</v>
      </c>
      <c r="I5" t="s">
        <v>346</v>
      </c>
      <c r="J5" t="s">
        <v>543</v>
      </c>
      <c r="K5" cm="1">
        <f t="array" ref="K5">GetLastId(A5)</f>
        <v>22</v>
      </c>
      <c r="L5" t="b">
        <v>0</v>
      </c>
    </row>
    <row r="6" spans="1:12" x14ac:dyDescent="0.3">
      <c r="A6">
        <f t="shared" si="0"/>
        <v>5</v>
      </c>
      <c r="B6">
        <v>1</v>
      </c>
      <c r="C6" t="str" cm="1">
        <f t="array" ref="C6">GetValue("Dtb",B6,"Alias")</f>
        <v>crudex</v>
      </c>
      <c r="D6">
        <v>5</v>
      </c>
      <c r="E6" t="str" cm="1">
        <f t="array" ref="E6">GetValue("Tbl",D6,"Alias")</f>
        <v>Msk</v>
      </c>
      <c r="F6">
        <v>1</v>
      </c>
      <c r="G6" t="str" cm="1">
        <f t="array" ref="G6">GetValue("Rnk",F6,"Caption")</f>
        <v>Cadastros</v>
      </c>
      <c r="H6">
        <f t="shared" si="1"/>
        <v>25</v>
      </c>
      <c r="I6" t="s">
        <v>121</v>
      </c>
      <c r="J6" t="s">
        <v>54</v>
      </c>
      <c r="K6" cm="1">
        <f t="array" ref="K6">GetLastId(A6)</f>
        <v>25</v>
      </c>
      <c r="L6" t="b">
        <v>0</v>
      </c>
    </row>
    <row r="7" spans="1:12" x14ac:dyDescent="0.3">
      <c r="A7">
        <f t="shared" si="0"/>
        <v>6</v>
      </c>
      <c r="B7">
        <v>1</v>
      </c>
      <c r="C7" t="str" cm="1">
        <f t="array" ref="C7">GetValue("Dtb",B7,"Alias")</f>
        <v>crudex</v>
      </c>
      <c r="D7">
        <v>6</v>
      </c>
      <c r="E7" t="str" cm="1">
        <f t="array" ref="E7">GetValue("Tbl",D7,"Alias")</f>
        <v>DmnMsk</v>
      </c>
      <c r="F7">
        <v>1</v>
      </c>
      <c r="G7" t="str" cm="1">
        <f t="array" ref="G7">GetValue("Rnk",F7,"Caption")</f>
        <v>Cadastros</v>
      </c>
      <c r="H7">
        <f t="shared" si="1"/>
        <v>30</v>
      </c>
      <c r="I7" t="s">
        <v>652</v>
      </c>
      <c r="J7" t="s">
        <v>302</v>
      </c>
      <c r="K7" cm="1">
        <f t="array" ref="K7">GetLastId(A7)</f>
        <v>7</v>
      </c>
      <c r="L7" t="b">
        <v>0</v>
      </c>
    </row>
    <row r="8" spans="1:12" x14ac:dyDescent="0.3">
      <c r="A8">
        <f t="shared" si="0"/>
        <v>7</v>
      </c>
      <c r="B8">
        <v>1</v>
      </c>
      <c r="C8" t="str" cm="1">
        <f t="array" ref="C8">GetValue("Dtb",B8,"Alias")</f>
        <v>crudex</v>
      </c>
      <c r="D8">
        <v>7</v>
      </c>
      <c r="E8" t="str" cm="1">
        <f t="array" ref="E8">GetValue("Tbl",D8,"Alias")</f>
        <v>Grp</v>
      </c>
      <c r="F8">
        <v>1</v>
      </c>
      <c r="G8" t="str" cm="1">
        <f t="array" ref="G8">GetValue("Rnk",F8,"Caption")</f>
        <v>Cadastros</v>
      </c>
      <c r="H8">
        <f t="shared" si="1"/>
        <v>35</v>
      </c>
      <c r="I8" t="s">
        <v>131</v>
      </c>
      <c r="J8" t="s">
        <v>544</v>
      </c>
      <c r="K8" t="e" cm="1">
        <f t="array" ref="K8">GetLastId(A8)</f>
        <v>#VALUE!</v>
      </c>
      <c r="L8" t="b">
        <v>0</v>
      </c>
    </row>
    <row r="9" spans="1:12" x14ac:dyDescent="0.3">
      <c r="A9">
        <f t="shared" si="0"/>
        <v>8</v>
      </c>
      <c r="B9">
        <v>1</v>
      </c>
      <c r="C9" t="str" cm="1">
        <f t="array" ref="C9">GetValue("Dtb",B9,"Alias")</f>
        <v>crudex</v>
      </c>
      <c r="D9">
        <v>8</v>
      </c>
      <c r="E9" t="str" cm="1">
        <f t="array" ref="E9">GetValue("Tbl",D9,"Alias")</f>
        <v>Usr</v>
      </c>
      <c r="F9">
        <v>1</v>
      </c>
      <c r="G9" t="str" cm="1">
        <f t="array" ref="G9">GetValue("Rnk",F9,"Caption")</f>
        <v>Cadastros</v>
      </c>
      <c r="H9">
        <f t="shared" si="1"/>
        <v>40</v>
      </c>
      <c r="I9" t="s">
        <v>99</v>
      </c>
      <c r="J9" t="s">
        <v>545</v>
      </c>
      <c r="K9" cm="1">
        <f t="array" ref="K9">GetLastId(A9)</f>
        <v>2</v>
      </c>
      <c r="L9" t="b">
        <v>0</v>
      </c>
    </row>
    <row r="10" spans="1:12" x14ac:dyDescent="0.3">
      <c r="A10">
        <f t="shared" si="0"/>
        <v>9</v>
      </c>
      <c r="B10">
        <v>1</v>
      </c>
      <c r="C10" t="str" cm="1">
        <f t="array" ref="C10">GetValue("Dtb",B10,"Alias")</f>
        <v>crudex</v>
      </c>
      <c r="D10">
        <v>9</v>
      </c>
      <c r="E10" t="str" cm="1">
        <f t="array" ref="E10">GetValue("Tbl",D10,"Alias")</f>
        <v>GrpUsr</v>
      </c>
      <c r="F10">
        <v>1</v>
      </c>
      <c r="G10" t="str" cm="1">
        <f t="array" ref="G10">GetValue("Rnk",F10,"Caption")</f>
        <v>Cadastros</v>
      </c>
      <c r="H10">
        <f t="shared" si="1"/>
        <v>45</v>
      </c>
      <c r="I10" t="s">
        <v>653</v>
      </c>
      <c r="J10" t="s">
        <v>328</v>
      </c>
      <c r="K10" t="e" cm="1">
        <f t="array" ref="K10">GetLastId(A10)</f>
        <v>#VALUE!</v>
      </c>
      <c r="L10" t="b">
        <v>0</v>
      </c>
    </row>
    <row r="11" spans="1:12" x14ac:dyDescent="0.3">
      <c r="A11">
        <f t="shared" si="0"/>
        <v>10</v>
      </c>
      <c r="B11">
        <v>1</v>
      </c>
      <c r="C11" t="str" cm="1">
        <f t="array" ref="C11">GetValue("Dtb",B11,"Alias")</f>
        <v>crudex</v>
      </c>
      <c r="D11">
        <v>10</v>
      </c>
      <c r="E11" t="str" cm="1">
        <f t="array" ref="E11">GetValue("Tbl",D11,"Alias")</f>
        <v>Sys</v>
      </c>
      <c r="F11">
        <v>1</v>
      </c>
      <c r="G11" t="str" cm="1">
        <f t="array" ref="G11">GetValue("Rnk",F11,"Caption")</f>
        <v>Cadastros</v>
      </c>
      <c r="H11">
        <f t="shared" si="1"/>
        <v>50</v>
      </c>
      <c r="I11" t="s">
        <v>113</v>
      </c>
      <c r="J11" t="s">
        <v>57</v>
      </c>
      <c r="K11" cm="1">
        <f t="array" ref="K11">GetLastId(A11)</f>
        <v>1</v>
      </c>
      <c r="L11" t="b">
        <v>0</v>
      </c>
    </row>
    <row r="12" spans="1:12" x14ac:dyDescent="0.3">
      <c r="A12">
        <f>ROW(A12)-1</f>
        <v>11</v>
      </c>
      <c r="B12">
        <v>1</v>
      </c>
      <c r="C12" t="str" cm="1">
        <f t="array" ref="C12">GetValue("Dtb",B12,"Alias")</f>
        <v>crudex</v>
      </c>
      <c r="D12">
        <v>11</v>
      </c>
      <c r="E12" t="str" cm="1">
        <f t="array" ref="E12">GetValue("Tbl",D12,"Alias")</f>
        <v>SysGrp</v>
      </c>
      <c r="F12">
        <v>1</v>
      </c>
      <c r="G12" t="str" cm="1">
        <f t="array" ref="G12">GetValue("Rnk",F12,"Caption")</f>
        <v>Cadastros</v>
      </c>
      <c r="H12">
        <f t="shared" si="1"/>
        <v>55</v>
      </c>
      <c r="I12" t="s">
        <v>654</v>
      </c>
      <c r="J12" t="s">
        <v>304</v>
      </c>
      <c r="K12" t="e" cm="1">
        <f t="array" ref="K12">GetLastId(A12)</f>
        <v>#VALUE!</v>
      </c>
      <c r="L12" t="b">
        <v>0</v>
      </c>
    </row>
    <row r="13" spans="1:12" x14ac:dyDescent="0.3">
      <c r="A13">
        <f t="shared" si="0"/>
        <v>12</v>
      </c>
      <c r="B13">
        <v>1</v>
      </c>
      <c r="C13" t="str" cm="1">
        <f t="array" ref="C13">GetValue("Dtb",B13,"Alias")</f>
        <v>crudex</v>
      </c>
      <c r="D13">
        <v>12</v>
      </c>
      <c r="E13" t="str" cm="1">
        <f t="array" ref="E13">GetValue("Tbl",D13,"Alias")</f>
        <v>Dtb</v>
      </c>
      <c r="F13">
        <v>1</v>
      </c>
      <c r="G13" t="str" cm="1">
        <f t="array" ref="G13">GetValue("Rnk",F13,"Caption")</f>
        <v>Cadastros</v>
      </c>
      <c r="H13">
        <f t="shared" si="1"/>
        <v>60</v>
      </c>
      <c r="I13" t="s">
        <v>646</v>
      </c>
      <c r="J13" t="s">
        <v>56</v>
      </c>
      <c r="K13" cm="1">
        <f t="array" ref="K13">GetLastId(A13)</f>
        <v>1</v>
      </c>
      <c r="L13" t="b">
        <v>0</v>
      </c>
    </row>
    <row r="14" spans="1:12" x14ac:dyDescent="0.3">
      <c r="A14">
        <f t="shared" si="0"/>
        <v>13</v>
      </c>
      <c r="B14">
        <v>1</v>
      </c>
      <c r="C14" t="str" cm="1">
        <f t="array" ref="C14">GetValue("Dtb",B14,"Alias")</f>
        <v>crudex</v>
      </c>
      <c r="D14">
        <v>13</v>
      </c>
      <c r="E14" t="str" cm="1">
        <f t="array" ref="E14">GetValue("Tbl",D14,"Alias")</f>
        <v>Tbl</v>
      </c>
      <c r="F14">
        <v>1</v>
      </c>
      <c r="G14" t="str" cm="1">
        <f t="array" ref="G14">GetValue("Rnk",F14,"Caption")</f>
        <v>Cadastros</v>
      </c>
      <c r="H14">
        <f t="shared" si="1"/>
        <v>65</v>
      </c>
      <c r="I14" t="s">
        <v>125</v>
      </c>
      <c r="J14" t="s">
        <v>552</v>
      </c>
      <c r="K14" cm="1">
        <f t="array" ref="K14">GetLastId(A14)</f>
        <v>37</v>
      </c>
      <c r="L14" t="b">
        <v>0</v>
      </c>
    </row>
    <row r="15" spans="1:12" x14ac:dyDescent="0.3">
      <c r="A15">
        <f t="shared" si="0"/>
        <v>14</v>
      </c>
      <c r="B15">
        <v>1</v>
      </c>
      <c r="C15" t="str" cm="1">
        <f t="array" ref="C15">GetValue("Dtb",B15,"Alias")</f>
        <v>crudex</v>
      </c>
      <c r="D15">
        <v>14</v>
      </c>
      <c r="E15" t="str" cm="1">
        <f t="array" ref="E15">GetValue("Tbl",D15,"Alias")</f>
        <v>Rnk</v>
      </c>
      <c r="F15">
        <v>1</v>
      </c>
      <c r="G15" t="str" cm="1">
        <f t="array" ref="G15">GetValue("Rnk",F15,"Caption")</f>
        <v>Cadastros</v>
      </c>
      <c r="H15">
        <f t="shared" si="1"/>
        <v>70</v>
      </c>
      <c r="I15" t="s">
        <v>129</v>
      </c>
      <c r="J15" t="s">
        <v>55</v>
      </c>
      <c r="K15" cm="1">
        <f t="array" ref="K15">GetLastId(A15)</f>
        <v>5</v>
      </c>
      <c r="L15" t="b">
        <v>0</v>
      </c>
    </row>
    <row r="16" spans="1:12" x14ac:dyDescent="0.3">
      <c r="A16">
        <f t="shared" si="0"/>
        <v>15</v>
      </c>
      <c r="B16">
        <v>1</v>
      </c>
      <c r="C16" t="str" cm="1">
        <f t="array" ref="C16">GetValue("Dtb",B16,"Alias")</f>
        <v>crudex</v>
      </c>
      <c r="D16">
        <v>16</v>
      </c>
      <c r="E16" t="str" cm="1">
        <f t="array" ref="E16">GetValue("Tbl",D16,"Alias")</f>
        <v>Col</v>
      </c>
      <c r="F16">
        <v>1</v>
      </c>
      <c r="G16" t="str" cm="1">
        <f t="array" ref="G16">GetValue("Rnk",F16,"Caption")</f>
        <v>Cadastros</v>
      </c>
      <c r="H16">
        <f t="shared" si="1"/>
        <v>75</v>
      </c>
      <c r="I16" t="s">
        <v>805</v>
      </c>
      <c r="J16" t="s">
        <v>806</v>
      </c>
      <c r="K16" cm="1">
        <f t="array" ref="K16">GetLastId(A16)</f>
        <v>37</v>
      </c>
      <c r="L16" t="b">
        <v>0</v>
      </c>
    </row>
    <row r="17" spans="1:12" x14ac:dyDescent="0.3">
      <c r="A17">
        <f t="shared" si="0"/>
        <v>16</v>
      </c>
      <c r="B17">
        <v>1</v>
      </c>
      <c r="C17" t="str" cm="1">
        <f t="array" ref="C17">GetValue("Dtb",B17,"Alias")</f>
        <v>crudex</v>
      </c>
      <c r="D17">
        <v>18</v>
      </c>
      <c r="E17" t="str" cm="1">
        <f t="array" ref="E17">GetValue("Tbl",D17,"Alias")</f>
        <v>Unq</v>
      </c>
      <c r="F17">
        <v>1</v>
      </c>
      <c r="G17" t="str" cm="1">
        <f t="array" ref="G17">GetValue("Rnk",F17,"Caption")</f>
        <v>Cadastros</v>
      </c>
      <c r="H17">
        <f t="shared" si="1"/>
        <v>80</v>
      </c>
      <c r="I17" t="s">
        <v>153</v>
      </c>
      <c r="J17" t="s">
        <v>58</v>
      </c>
      <c r="K17" cm="1">
        <f t="array" ref="K17">GetLastId(A17)</f>
        <v>216</v>
      </c>
      <c r="L17" t="b">
        <v>0</v>
      </c>
    </row>
    <row r="18" spans="1:12" x14ac:dyDescent="0.3">
      <c r="A18">
        <f t="shared" si="0"/>
        <v>17</v>
      </c>
      <c r="B18">
        <v>1</v>
      </c>
      <c r="C18" t="str" cm="1">
        <f t="array" ref="C18">GetValue("Dtb",B18,"Alias")</f>
        <v>crudex</v>
      </c>
      <c r="D18">
        <v>19</v>
      </c>
      <c r="E18" t="str" cm="1">
        <f t="array" ref="E18">GetValue("Tbl",D18,"Alias")</f>
        <v>Req</v>
      </c>
      <c r="F18">
        <v>1</v>
      </c>
      <c r="G18" t="str" cm="1">
        <f t="array" ref="G18">GetValue("Rnk",F18,"Caption")</f>
        <v>Cadastros</v>
      </c>
      <c r="H18">
        <f t="shared" si="1"/>
        <v>85</v>
      </c>
      <c r="I18" t="s">
        <v>656</v>
      </c>
      <c r="J18" t="s">
        <v>655</v>
      </c>
      <c r="K18" cm="1">
        <f t="array" ref="K18">GetLastId(A18)</f>
        <v>54</v>
      </c>
      <c r="L18" t="b">
        <v>0</v>
      </c>
    </row>
    <row r="19" spans="1:12" x14ac:dyDescent="0.3">
      <c r="A19">
        <f t="shared" si="0"/>
        <v>18</v>
      </c>
      <c r="B19">
        <v>1</v>
      </c>
      <c r="C19" t="str" cm="1">
        <f t="array" ref="C19">GetValue("Dtb",B19,"Alias")</f>
        <v>crudex</v>
      </c>
      <c r="D19">
        <v>20</v>
      </c>
      <c r="E19" t="str" cm="1">
        <f t="array" ref="E19">GetValue("Tbl",D19,"Alias")</f>
        <v>Idx</v>
      </c>
      <c r="F19">
        <v>1</v>
      </c>
      <c r="G19" t="str" cm="1">
        <f t="array" ref="G19">GetValue("Rnk",F19,"Caption")</f>
        <v>Cadastros</v>
      </c>
      <c r="H19">
        <f t="shared" si="1"/>
        <v>90</v>
      </c>
      <c r="I19" t="s">
        <v>587</v>
      </c>
      <c r="J19" t="s">
        <v>647</v>
      </c>
      <c r="K19" cm="1">
        <f t="array" ref="K19">GetLastId(A19)</f>
        <v>2</v>
      </c>
      <c r="L19" t="b">
        <v>0</v>
      </c>
    </row>
    <row r="20" spans="1:12" x14ac:dyDescent="0.3">
      <c r="A20">
        <f t="shared" si="0"/>
        <v>19</v>
      </c>
      <c r="B20">
        <v>1</v>
      </c>
      <c r="C20" t="str" cm="1">
        <f t="array" ref="C20">GetValue("Dtb",B20,"Alias")</f>
        <v>crudex</v>
      </c>
      <c r="D20">
        <v>21</v>
      </c>
      <c r="E20" t="str" cm="1">
        <f t="array" ref="E20">GetValue("Tbl",D20,"Alias")</f>
        <v>IdxKey</v>
      </c>
      <c r="F20">
        <v>1</v>
      </c>
      <c r="G20" t="str" cm="1">
        <f t="array" ref="G20">GetValue("Rnk",F20,"Caption")</f>
        <v>Cadastros</v>
      </c>
      <c r="H20">
        <f t="shared" si="1"/>
        <v>95</v>
      </c>
      <c r="I20" t="s">
        <v>658</v>
      </c>
      <c r="J20" t="s">
        <v>558</v>
      </c>
      <c r="K20" cm="1">
        <f t="array" ref="K20">GetLastId(A20)</f>
        <v>1</v>
      </c>
      <c r="L20" t="b">
        <v>0</v>
      </c>
    </row>
    <row r="21" spans="1:12" x14ac:dyDescent="0.3">
      <c r="A21">
        <f t="shared" si="0"/>
        <v>20</v>
      </c>
      <c r="B21">
        <v>1</v>
      </c>
      <c r="C21" t="str" cm="1">
        <f t="array" ref="C21">GetValue("Dtb",B21,"Alias")</f>
        <v>crudex</v>
      </c>
      <c r="D21">
        <v>22</v>
      </c>
      <c r="E21" t="str" cm="1">
        <f t="array" ref="E21">GetValue("Tbl",D21,"Alias")</f>
        <v>IdxInc</v>
      </c>
      <c r="F21">
        <v>1</v>
      </c>
      <c r="G21" t="str" cm="1">
        <f t="array" ref="G21">GetValue("Rnk",F21,"Caption")</f>
        <v>Cadastros</v>
      </c>
      <c r="H21">
        <f t="shared" si="1"/>
        <v>100</v>
      </c>
      <c r="I21" t="s">
        <v>151</v>
      </c>
      <c r="J21" t="s">
        <v>539</v>
      </c>
      <c r="K21" cm="1">
        <f t="array" ref="K21">GetLastId(A21)</f>
        <v>47</v>
      </c>
      <c r="L21" t="b">
        <v>0</v>
      </c>
    </row>
    <row r="22" spans="1:12" x14ac:dyDescent="0.3">
      <c r="A22">
        <f t="shared" si="0"/>
        <v>21</v>
      </c>
      <c r="B22">
        <v>1</v>
      </c>
      <c r="C22" t="str" cm="1">
        <f t="array" ref="C22">GetValue("Dtb",B22,"Alias")</f>
        <v>crudex</v>
      </c>
      <c r="D22">
        <v>23</v>
      </c>
      <c r="E22" t="str" cm="1">
        <f t="array" ref="E22">GetValue("Tbl",D22,"Alias")</f>
        <v>Con</v>
      </c>
      <c r="F22">
        <v>1</v>
      </c>
      <c r="G22" t="str" cm="1">
        <f t="array" ref="G22">GetValue("Rnk",F22,"Caption")</f>
        <v>Cadastros</v>
      </c>
      <c r="H22">
        <f t="shared" si="1"/>
        <v>105</v>
      </c>
      <c r="I22" t="s">
        <v>659</v>
      </c>
      <c r="J22" t="s">
        <v>648</v>
      </c>
      <c r="K22" cm="1">
        <f t="array" ref="K22">GetLastId(A22)</f>
        <v>69</v>
      </c>
      <c r="L22" t="b">
        <v>0</v>
      </c>
    </row>
    <row r="23" spans="1:12" x14ac:dyDescent="0.3">
      <c r="A23">
        <f t="shared" si="0"/>
        <v>22</v>
      </c>
      <c r="B23">
        <v>1</v>
      </c>
      <c r="C23" t="str" cm="1">
        <f t="array" ref="C23">GetValue("Dtb",B23,"Alias")</f>
        <v>crudex</v>
      </c>
      <c r="D23">
        <v>24</v>
      </c>
      <c r="E23" t="str" cm="1">
        <f t="array" ref="E23">GetValue("Tbl",D23,"Alias")</f>
        <v>Env</v>
      </c>
      <c r="F23">
        <v>1</v>
      </c>
      <c r="G23" t="str" cm="1">
        <f t="array" ref="G23">GetValue("Rnk",F23,"Caption")</f>
        <v>Cadastros</v>
      </c>
      <c r="H23">
        <f t="shared" si="1"/>
        <v>110</v>
      </c>
      <c r="I23" t="s">
        <v>660</v>
      </c>
      <c r="J23" t="s">
        <v>649</v>
      </c>
      <c r="K23" cm="1">
        <f t="array" ref="K23">GetLastId(A23)</f>
        <v>0</v>
      </c>
      <c r="L23" t="b">
        <v>0</v>
      </c>
    </row>
    <row r="24" spans="1:12" x14ac:dyDescent="0.3">
      <c r="A24">
        <f t="shared" si="0"/>
        <v>23</v>
      </c>
      <c r="B24">
        <v>1</v>
      </c>
      <c r="C24" t="str" cm="1">
        <f t="array" ref="C24">GetValue("Dtb",B24,"Alias")</f>
        <v>crudex</v>
      </c>
      <c r="D24">
        <v>25</v>
      </c>
      <c r="E24" t="str" cm="1">
        <f t="array" ref="E24">GetValue("Tbl",D24,"Alias")</f>
        <v>DtbEnv</v>
      </c>
      <c r="F24">
        <v>1</v>
      </c>
      <c r="G24" t="str" cm="1">
        <f t="array" ref="G24">GetValue("Rnk",F24,"Caption")</f>
        <v>Cadastros</v>
      </c>
      <c r="H24">
        <f t="shared" si="1"/>
        <v>115</v>
      </c>
      <c r="I24" t="s">
        <v>227</v>
      </c>
      <c r="J24" t="s">
        <v>546</v>
      </c>
      <c r="K24" cm="1">
        <f t="array" ref="K24">GetLastId(A24)</f>
        <v>3</v>
      </c>
      <c r="L24" t="b">
        <v>0</v>
      </c>
    </row>
    <row r="25" spans="1:12" x14ac:dyDescent="0.3">
      <c r="A25">
        <f t="shared" si="0"/>
        <v>24</v>
      </c>
      <c r="B25">
        <v>1</v>
      </c>
      <c r="C25" t="str" cm="1">
        <f t="array" ref="C25">GetValue("Dtb",B25,"Alias")</f>
        <v>crudex</v>
      </c>
      <c r="D25">
        <v>26</v>
      </c>
      <c r="E25" t="str" cm="1">
        <f t="array" ref="E25">GetValue("Tbl",D25,"Alias")</f>
        <v>Ses</v>
      </c>
      <c r="F25">
        <v>1</v>
      </c>
      <c r="G25" t="str" cm="1">
        <f t="array" ref="G25">GetValue("Rnk",F25,"Caption")</f>
        <v>Cadastros</v>
      </c>
      <c r="H25">
        <f t="shared" si="1"/>
        <v>120</v>
      </c>
      <c r="I25" t="s">
        <v>271</v>
      </c>
      <c r="J25" t="s">
        <v>547</v>
      </c>
      <c r="K25" cm="1">
        <f t="array" ref="K25">GetLastId(A25)</f>
        <v>3</v>
      </c>
      <c r="L25" t="b">
        <v>0</v>
      </c>
    </row>
    <row r="26" spans="1:12" x14ac:dyDescent="0.3">
      <c r="A26">
        <f t="shared" si="0"/>
        <v>25</v>
      </c>
      <c r="B26">
        <v>1</v>
      </c>
      <c r="C26" t="str" cm="1">
        <f t="array" ref="C26">GetValue("Dtb",B26,"Alias")</f>
        <v>crudex</v>
      </c>
      <c r="D26">
        <v>27</v>
      </c>
      <c r="E26" t="str" cm="1">
        <f t="array" ref="E26">GetValue("Tbl",D26,"Alias")</f>
        <v>Trs</v>
      </c>
      <c r="F26">
        <v>1</v>
      </c>
      <c r="G26" t="str" cm="1">
        <f t="array" ref="G26">GetValue("Rnk",F26,"Caption")</f>
        <v>Cadastros</v>
      </c>
      <c r="H26">
        <f t="shared" si="1"/>
        <v>125</v>
      </c>
      <c r="I26" t="s">
        <v>807</v>
      </c>
      <c r="J26" t="s">
        <v>650</v>
      </c>
      <c r="K26" cm="1">
        <f t="array" ref="K26">GetLastId(A26)</f>
        <v>3</v>
      </c>
      <c r="L26" t="b">
        <v>0</v>
      </c>
    </row>
    <row r="27" spans="1:12" x14ac:dyDescent="0.3">
      <c r="A27">
        <f t="shared" si="0"/>
        <v>26</v>
      </c>
      <c r="B27">
        <v>1</v>
      </c>
      <c r="C27" t="str" cm="1">
        <f t="array" ref="C27">GetValue("Dtb",B27,"Alias")</f>
        <v>crudex</v>
      </c>
      <c r="D27">
        <v>28</v>
      </c>
      <c r="E27" t="str" cm="1">
        <f t="array" ref="E27">GetValue("Tbl",D27,"Alias")</f>
        <v>Ope</v>
      </c>
      <c r="F27">
        <v>1</v>
      </c>
      <c r="G27" t="str" cm="1">
        <f t="array" ref="G27">GetValue("Rnk",F27,"Caption")</f>
        <v>Cadastros</v>
      </c>
      <c r="H27">
        <f t="shared" si="1"/>
        <v>130</v>
      </c>
      <c r="I27" t="s">
        <v>265</v>
      </c>
      <c r="J27" t="s">
        <v>540</v>
      </c>
      <c r="K27" cm="1">
        <f t="array" ref="K27">GetLastId(A27)</f>
        <v>0</v>
      </c>
      <c r="L27" t="b">
        <v>1</v>
      </c>
    </row>
    <row r="28" spans="1:12" x14ac:dyDescent="0.3">
      <c r="A28">
        <f t="shared" si="0"/>
        <v>27</v>
      </c>
      <c r="B28">
        <v>1</v>
      </c>
      <c r="C28" t="str" cm="1">
        <f t="array" ref="C28">GetValue("Dtb",B28,"Alias")</f>
        <v>crudex</v>
      </c>
      <c r="D28">
        <v>29</v>
      </c>
      <c r="E28" t="str" cm="1">
        <f t="array" ref="E28">GetValue("Tbl",D28,"Alias")</f>
        <v>Snp</v>
      </c>
      <c r="F28">
        <v>1</v>
      </c>
      <c r="G28" t="str" cm="1">
        <f t="array" ref="G28">GetValue("Rnk",F28,"Caption")</f>
        <v>Cadastros</v>
      </c>
      <c r="H28">
        <f t="shared" si="1"/>
        <v>135</v>
      </c>
      <c r="I28" t="s">
        <v>222</v>
      </c>
      <c r="J28" t="s">
        <v>548</v>
      </c>
      <c r="K28" cm="1">
        <f t="array" ref="K28">GetLastId(A28)</f>
        <v>0</v>
      </c>
      <c r="L28" t="b">
        <v>1</v>
      </c>
    </row>
    <row r="29" spans="1:12" x14ac:dyDescent="0.3">
      <c r="A29">
        <f t="shared" si="0"/>
        <v>28</v>
      </c>
      <c r="B29">
        <v>1</v>
      </c>
      <c r="C29" t="str" cm="1">
        <f t="array" ref="C29">GetValue("Dtb",B29,"Alias")</f>
        <v>crudex</v>
      </c>
      <c r="D29">
        <v>30</v>
      </c>
      <c r="E29" t="str" cm="1">
        <f t="array" ref="E29">GetValue("Tbl",D29,"Alias")</f>
        <v>SnpScr</v>
      </c>
      <c r="F29">
        <v>1</v>
      </c>
      <c r="G29" t="str" cm="1">
        <f t="array" ref="G29">GetValue("Rnk",F29,"Caption")</f>
        <v>Cadastros</v>
      </c>
      <c r="H29">
        <f t="shared" si="1"/>
        <v>140</v>
      </c>
      <c r="I29" t="s">
        <v>661</v>
      </c>
      <c r="J29" t="s">
        <v>549</v>
      </c>
      <c r="K29" cm="1">
        <f t="array" ref="K29">GetLastId(A29)</f>
        <v>0</v>
      </c>
      <c r="L29" t="b">
        <v>1</v>
      </c>
    </row>
    <row r="30" spans="1:12" x14ac:dyDescent="0.3">
      <c r="A30">
        <f t="shared" si="0"/>
        <v>29</v>
      </c>
      <c r="B30">
        <v>1</v>
      </c>
      <c r="C30" t="str" cm="1">
        <f t="array" ref="C30">GetValue("Dtb",B30,"Alias")</f>
        <v>crudex</v>
      </c>
      <c r="D30">
        <v>31</v>
      </c>
      <c r="E30" t="str" cm="1">
        <f t="array" ref="E30">GetValue("Tbl",D30,"Alias")</f>
        <v>Prd</v>
      </c>
      <c r="F30">
        <v>1</v>
      </c>
      <c r="G30" t="str" cm="1">
        <f t="array" ref="G30">GetValue("Rnk",F30,"Caption")</f>
        <v>Cadastros</v>
      </c>
      <c r="H30">
        <f t="shared" si="1"/>
        <v>145</v>
      </c>
      <c r="I30" t="s">
        <v>662</v>
      </c>
      <c r="J30" t="s">
        <v>325</v>
      </c>
      <c r="K30" cm="1">
        <f t="array" ref="K30">GetLastId(A30)</f>
        <v>0</v>
      </c>
      <c r="L30" t="b">
        <v>0</v>
      </c>
    </row>
    <row r="31" spans="1:12" x14ac:dyDescent="0.3">
      <c r="A31">
        <f t="shared" si="0"/>
        <v>30</v>
      </c>
      <c r="B31">
        <v>1</v>
      </c>
      <c r="C31" t="str" cm="1">
        <f t="array" ref="C31">GetValue("Dtb",B31,"Alias")</f>
        <v>crudex</v>
      </c>
      <c r="D31">
        <v>32</v>
      </c>
      <c r="E31" t="str" cm="1">
        <f t="array" ref="E31">GetValue("Tbl",D31,"Alias")</f>
        <v>Sch</v>
      </c>
      <c r="F31">
        <v>1</v>
      </c>
      <c r="G31" t="str" cm="1">
        <f t="array" ref="G31">GetValue("Rnk",F31,"Caption")</f>
        <v>Cadastros</v>
      </c>
      <c r="H31">
        <f t="shared" si="1"/>
        <v>150</v>
      </c>
      <c r="I31" t="s">
        <v>663</v>
      </c>
      <c r="J31" t="s">
        <v>651</v>
      </c>
      <c r="K31" cm="1">
        <f t="array" ref="K31">GetLastId(A31)</f>
        <v>0</v>
      </c>
      <c r="L31" t="b">
        <v>0</v>
      </c>
    </row>
    <row r="32" spans="1:12" x14ac:dyDescent="0.3">
      <c r="A32">
        <f t="shared" si="0"/>
        <v>31</v>
      </c>
      <c r="B32">
        <v>1</v>
      </c>
      <c r="C32" t="str" cm="1">
        <f t="array" ref="C32">GetValue("Dtb",B32,"Alias")</f>
        <v>crudex</v>
      </c>
      <c r="D32">
        <v>33</v>
      </c>
      <c r="E32" t="str" cm="1">
        <f t="array" ref="E32">GetValue("Tbl",D32,"Alias")</f>
        <v>SchScr</v>
      </c>
      <c r="F32">
        <v>1</v>
      </c>
      <c r="G32" t="str" cm="1">
        <f t="array" ref="G32">GetValue("Rnk",F32,"Caption")</f>
        <v>Cadastros</v>
      </c>
      <c r="H32">
        <f t="shared" si="1"/>
        <v>155</v>
      </c>
      <c r="I32" t="s">
        <v>423</v>
      </c>
      <c r="J32" t="s">
        <v>550</v>
      </c>
      <c r="K32" cm="1">
        <f t="array" ref="K32">GetLastId(A32)</f>
        <v>6</v>
      </c>
      <c r="L32" t="b">
        <v>1</v>
      </c>
    </row>
    <row r="33" spans="1:12" x14ac:dyDescent="0.3">
      <c r="A33">
        <f t="shared" si="0"/>
        <v>32</v>
      </c>
      <c r="B33">
        <v>1</v>
      </c>
      <c r="C33" t="str" cm="1">
        <f t="array" ref="C33">GetValue("Dtb",B33,"Alias")</f>
        <v>crudex</v>
      </c>
      <c r="D33">
        <v>34</v>
      </c>
      <c r="E33" t="str" cm="1">
        <f t="array" ref="E33">GetValue("Tbl",D33,"Alias")</f>
        <v>Opr</v>
      </c>
      <c r="F33">
        <v>1</v>
      </c>
      <c r="G33" t="str" cm="1">
        <f t="array" ref="G33">GetValue("Rnk",F33,"Caption")</f>
        <v>Cadastros</v>
      </c>
      <c r="H33">
        <f t="shared" si="1"/>
        <v>160</v>
      </c>
      <c r="I33" t="s">
        <v>664</v>
      </c>
      <c r="J33" t="s">
        <v>551</v>
      </c>
      <c r="K33" cm="1">
        <f t="array" ref="K33">GetLastId(A33)</f>
        <v>0</v>
      </c>
      <c r="L33" t="b">
        <v>0</v>
      </c>
    </row>
    <row r="34" spans="1:12" x14ac:dyDescent="0.3">
      <c r="A34">
        <f t="shared" si="0"/>
        <v>33</v>
      </c>
      <c r="B34">
        <v>1</v>
      </c>
      <c r="C34" t="str" cm="1">
        <f t="array" ref="C34">GetValue("Dtb",B34,"Alias")</f>
        <v>crudex</v>
      </c>
      <c r="D34">
        <v>35</v>
      </c>
      <c r="E34" t="str" cm="1">
        <f t="array" ref="E34">GetValue("Tbl",D34,"Alias")</f>
        <v>Prp</v>
      </c>
      <c r="F34">
        <v>1</v>
      </c>
      <c r="G34" t="str" cm="1">
        <f t="array" ref="G34">GetValue("Rnk",F34,"Caption")</f>
        <v>Cadastros</v>
      </c>
      <c r="H34">
        <f t="shared" si="1"/>
        <v>165</v>
      </c>
      <c r="I34" t="s">
        <v>674</v>
      </c>
      <c r="J34" t="s">
        <v>808</v>
      </c>
      <c r="K34" cm="1">
        <f t="array" ref="K34">GetLastId(A34)</f>
        <v>0</v>
      </c>
      <c r="L34" t="b">
        <v>0</v>
      </c>
    </row>
    <row r="35" spans="1:12" x14ac:dyDescent="0.3">
      <c r="A35">
        <f t="shared" si="0"/>
        <v>34</v>
      </c>
      <c r="B35">
        <v>1</v>
      </c>
      <c r="C35" t="str" cm="1">
        <f t="array" ref="C35">GetValue("Dtb",B35,"Alias")</f>
        <v>crudex</v>
      </c>
      <c r="D35">
        <v>36</v>
      </c>
      <c r="E35" t="str" cm="1">
        <f t="array" ref="E35">GetValue("Tbl",D35,"Alias")</f>
        <v>Bhv</v>
      </c>
      <c r="F35">
        <v>1</v>
      </c>
      <c r="G35" t="str" cm="1">
        <f t="array" ref="G35">GetValue("Rnk",F35,"Caption")</f>
        <v>Cadastros</v>
      </c>
      <c r="H35">
        <f t="shared" si="1"/>
        <v>170</v>
      </c>
      <c r="I35" t="s">
        <v>770</v>
      </c>
      <c r="J35" t="s">
        <v>771</v>
      </c>
      <c r="K35" cm="1">
        <f t="array" ref="K35">GetLastId(A35)</f>
        <v>10</v>
      </c>
      <c r="L35" t="b">
        <v>0</v>
      </c>
    </row>
    <row r="36" spans="1:12" x14ac:dyDescent="0.3">
      <c r="A36">
        <f t="shared" si="0"/>
        <v>35</v>
      </c>
      <c r="B36">
        <v>1</v>
      </c>
      <c r="C36" t="str" cm="1">
        <f t="array" ref="C36">GetValue("Dtb",B36,"Alias")</f>
        <v>crudex</v>
      </c>
      <c r="D36">
        <v>37</v>
      </c>
      <c r="E36" t="str" cm="1">
        <f t="array" ref="E36">GetValue("Tbl",D36,"Alias")</f>
        <v>BhvChk</v>
      </c>
      <c r="F36">
        <v>1</v>
      </c>
      <c r="G36" t="str" cm="1">
        <f t="array" ref="G36">GetValue("Rnk",F36,"Caption")</f>
        <v>Cadastros</v>
      </c>
      <c r="H36">
        <f t="shared" si="1"/>
        <v>175</v>
      </c>
      <c r="I36" t="s">
        <v>763</v>
      </c>
      <c r="J36" t="s">
        <v>772</v>
      </c>
      <c r="K36" cm="1">
        <f t="array" ref="K36">GetLastId(A36)</f>
        <v>24</v>
      </c>
      <c r="L36" t="b">
        <v>0</v>
      </c>
    </row>
    <row r="37" spans="1:12" x14ac:dyDescent="0.3">
      <c r="A37">
        <f t="shared" si="0"/>
        <v>36</v>
      </c>
      <c r="B37">
        <v>1</v>
      </c>
      <c r="C37" t="str" cm="1">
        <f t="array" ref="C37">GetValue("Dtb",B37,"Alias")</f>
        <v>crudex</v>
      </c>
      <c r="D37">
        <v>38</v>
      </c>
      <c r="E37" t="e" cm="1">
        <f t="array" ref="E37">GetValue("Tbl",D37,"Alias")</f>
        <v>#VALUE!</v>
      </c>
      <c r="F37">
        <v>1</v>
      </c>
      <c r="G37" t="str" cm="1">
        <f t="array" ref="G37">GetValue("Rnk",F37,"Caption")</f>
        <v>Cadastros</v>
      </c>
      <c r="H37">
        <f t="shared" si="1"/>
        <v>180</v>
      </c>
      <c r="I37" t="s">
        <v>768</v>
      </c>
      <c r="J37" t="s">
        <v>773</v>
      </c>
      <c r="K37" cm="1">
        <f t="array" ref="K37">GetLastId(A37)</f>
        <v>2</v>
      </c>
      <c r="L37" t="b">
        <v>0</v>
      </c>
    </row>
    <row r="38" spans="1:12" x14ac:dyDescent="0.3">
      <c r="A38">
        <f t="shared" si="0"/>
        <v>37</v>
      </c>
      <c r="B38">
        <v>1</v>
      </c>
      <c r="C38" t="str" cm="1">
        <f t="array" ref="C38">GetValue("Dtb",B38,"Alias")</f>
        <v>crudex</v>
      </c>
      <c r="D38">
        <v>39</v>
      </c>
      <c r="E38" t="e" cm="1">
        <f t="array" ref="E38">GetValue("Tbl",D38,"Alias")</f>
        <v>#VALUE!</v>
      </c>
      <c r="F38">
        <v>1</v>
      </c>
      <c r="G38" t="str" cm="1">
        <f t="array" ref="G38">GetValue("Rnk",F38,"Caption")</f>
        <v>Cadastros</v>
      </c>
      <c r="H38">
        <f t="shared" si="1"/>
        <v>185</v>
      </c>
      <c r="I38" t="s">
        <v>769</v>
      </c>
      <c r="J38" t="s">
        <v>774</v>
      </c>
      <c r="K38" cm="1">
        <f t="array" ref="K38">GetLastId(A38)</f>
        <v>1</v>
      </c>
      <c r="L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"/>
  <dimension ref="A1:T217"/>
  <sheetViews>
    <sheetView zoomScaleNormal="100" workbookViewId="0">
      <pane ySplit="1" topLeftCell="A56" activePane="bottomLeft" state="frozen"/>
      <selection pane="bottomLeft" activeCell="B35" sqref="B35"/>
    </sheetView>
  </sheetViews>
  <sheetFormatPr defaultRowHeight="14.4" x14ac:dyDescent="0.3"/>
  <cols>
    <col min="1" max="1" width="4" customWidth="1"/>
    <col min="2" max="2" width="7.21875" customWidth="1"/>
    <col min="3" max="3" width="10.44140625" bestFit="1" customWidth="1"/>
    <col min="4" max="4" width="9.21875" bestFit="1" customWidth="1"/>
    <col min="5" max="5" width="13.6640625" bestFit="1" customWidth="1"/>
    <col min="6" max="6" width="9.21875" bestFit="1" customWidth="1"/>
    <col min="7" max="7" width="19.109375" bestFit="1" customWidth="1"/>
    <col min="8" max="8" width="49.6640625" bestFit="1" customWidth="1"/>
    <col min="9" max="10" width="20.6640625" bestFit="1" customWidth="1"/>
    <col min="11" max="11" width="7.109375" style="20" bestFit="1" customWidth="1"/>
    <col min="12" max="12" width="9.21875" style="21" bestFit="1" customWidth="1"/>
    <col min="13" max="13" width="9.5546875" style="20" bestFit="1" customWidth="1"/>
    <col min="14" max="17" width="12" bestFit="1" customWidth="1"/>
    <col min="18" max="18" width="8.6640625" bestFit="1" customWidth="1"/>
    <col min="19" max="19" width="12" bestFit="1" customWidth="1"/>
    <col min="20" max="20" width="9.44140625" bestFit="1" customWidth="1"/>
  </cols>
  <sheetData>
    <row r="1" spans="1:20" s="1" customFormat="1" x14ac:dyDescent="0.3">
      <c r="A1" s="6" t="s">
        <v>0</v>
      </c>
      <c r="B1" s="6" t="s">
        <v>81</v>
      </c>
      <c r="C1" s="6" t="s">
        <v>203</v>
      </c>
      <c r="D1" s="6" t="s">
        <v>82</v>
      </c>
      <c r="E1" s="6" t="s">
        <v>178</v>
      </c>
      <c r="F1" s="6" t="s">
        <v>49</v>
      </c>
      <c r="G1" s="6" t="s">
        <v>1</v>
      </c>
      <c r="H1" s="6" t="s">
        <v>46</v>
      </c>
      <c r="I1" s="6" t="s">
        <v>83</v>
      </c>
      <c r="J1" s="6" t="s">
        <v>50</v>
      </c>
      <c r="K1" s="15" t="s">
        <v>28</v>
      </c>
      <c r="L1" s="16" t="s">
        <v>17</v>
      </c>
      <c r="M1" s="15" t="s">
        <v>18</v>
      </c>
      <c r="N1" s="6" t="s">
        <v>84</v>
      </c>
      <c r="O1" s="6" t="s">
        <v>85</v>
      </c>
      <c r="P1" s="6" t="s">
        <v>86</v>
      </c>
      <c r="Q1" s="6" t="s">
        <v>188</v>
      </c>
      <c r="R1" s="6" t="s">
        <v>793</v>
      </c>
      <c r="S1" s="6" t="s">
        <v>87</v>
      </c>
      <c r="T1" s="9" t="s">
        <v>201</v>
      </c>
    </row>
    <row r="2" spans="1:20" s="13" customFormat="1" x14ac:dyDescent="0.3">
      <c r="A2" s="10">
        <f t="shared" ref="A2:A58" si="0">ROW(A2)-1</f>
        <v>1</v>
      </c>
      <c r="B2" s="10">
        <v>1</v>
      </c>
      <c r="C2" s="11" t="str" cm="1">
        <f t="array" ref="C2">GetValue("Tbl",B2,"Alias")</f>
        <v>Cli</v>
      </c>
      <c r="D2" s="10">
        <v>1</v>
      </c>
      <c r="E2" s="10" t="str">
        <f t="array" ref="E2">GetValue("Dmn",D2,"Name")</f>
        <v>BigInteger</v>
      </c>
      <c r="F2" s="10">
        <v>5</v>
      </c>
      <c r="G2" s="10" t="s">
        <v>0</v>
      </c>
      <c r="H2" s="10" t="s">
        <v>333</v>
      </c>
      <c r="I2" s="10" t="s">
        <v>0</v>
      </c>
      <c r="J2" s="10" t="s">
        <v>0</v>
      </c>
      <c r="K2" s="19"/>
      <c r="L2" s="19" t="s">
        <v>23</v>
      </c>
      <c r="M2" s="19"/>
      <c r="N2" s="10" t="b">
        <v>1</v>
      </c>
      <c r="O2" s="10" t="b">
        <v>1</v>
      </c>
      <c r="P2" s="10" t="b">
        <v>0</v>
      </c>
      <c r="Q2" s="10" t="b">
        <v>0</v>
      </c>
      <c r="R2" s="10"/>
      <c r="S2" s="10"/>
      <c r="T2" s="12" t="b">
        <v>0</v>
      </c>
    </row>
    <row r="3" spans="1:20" s="13" customFormat="1" x14ac:dyDescent="0.3">
      <c r="A3" s="10">
        <f t="shared" si="0"/>
        <v>2</v>
      </c>
      <c r="B3" s="10">
        <v>1</v>
      </c>
      <c r="C3" s="11" t="str" cm="1">
        <f t="array" ref="C3">GetValue("Tbl",B3,"Alias")</f>
        <v>Cli</v>
      </c>
      <c r="D3" s="10">
        <v>9</v>
      </c>
      <c r="E3" s="10" t="str">
        <f t="array" ref="E3">GetValue("Dmn",D3,"Name")</f>
        <v>Varchar(25)</v>
      </c>
      <c r="F3" s="10">
        <f>F2+5</f>
        <v>10</v>
      </c>
      <c r="G3" s="10" t="s">
        <v>1</v>
      </c>
      <c r="H3" s="10" t="s">
        <v>334</v>
      </c>
      <c r="I3" s="10" t="s">
        <v>88</v>
      </c>
      <c r="J3" s="10" t="s">
        <v>88</v>
      </c>
      <c r="K3" s="19"/>
      <c r="L3" s="19" t="s">
        <v>23</v>
      </c>
      <c r="M3" s="19"/>
      <c r="N3" s="10" t="b">
        <v>1</v>
      </c>
      <c r="O3" s="10" t="b">
        <v>1</v>
      </c>
      <c r="P3" s="10" t="b">
        <v>1</v>
      </c>
      <c r="Q3" s="10" t="b">
        <v>1</v>
      </c>
      <c r="R3" s="10"/>
      <c r="S3" s="10" t="b">
        <v>0</v>
      </c>
      <c r="T3" s="12"/>
    </row>
    <row r="4" spans="1:20" s="13" customFormat="1" x14ac:dyDescent="0.3">
      <c r="A4" s="10">
        <f t="shared" si="0"/>
        <v>3</v>
      </c>
      <c r="B4" s="10">
        <v>1</v>
      </c>
      <c r="C4" s="11" t="str" cm="1">
        <f t="array" ref="C4">GetValue("Tbl",B4,"Alias")</f>
        <v>Cli</v>
      </c>
      <c r="D4" s="10">
        <v>6</v>
      </c>
      <c r="E4" s="10" t="str">
        <f t="array" ref="E4">GetValue("Dmn",D4,"Name")</f>
        <v>Boolean</v>
      </c>
      <c r="F4" s="10">
        <f>F3+5</f>
        <v>15</v>
      </c>
      <c r="G4" s="10" t="s">
        <v>183</v>
      </c>
      <c r="H4" s="10" t="s">
        <v>331</v>
      </c>
      <c r="I4" s="10" t="s">
        <v>184</v>
      </c>
      <c r="J4" s="10" t="s">
        <v>184</v>
      </c>
      <c r="K4" s="19"/>
      <c r="L4" s="19" t="s">
        <v>23</v>
      </c>
      <c r="M4" s="19"/>
      <c r="N4" s="10" t="b">
        <v>1</v>
      </c>
      <c r="O4" s="10" t="b">
        <v>1</v>
      </c>
      <c r="P4" s="10" t="b">
        <v>1</v>
      </c>
      <c r="Q4" s="10" t="b">
        <v>1</v>
      </c>
      <c r="R4" s="10"/>
      <c r="S4" s="10"/>
      <c r="T4" s="12"/>
    </row>
    <row r="5" spans="1:20" s="13" customFormat="1" x14ac:dyDescent="0.3">
      <c r="A5" s="10">
        <f t="shared" si="0"/>
        <v>4</v>
      </c>
      <c r="B5" s="10">
        <v>1</v>
      </c>
      <c r="C5" s="11" t="str" cm="1">
        <f t="array" ref="C5">GetValue("Tbl",B5,"Alias")</f>
        <v>Cli</v>
      </c>
      <c r="D5" s="10">
        <v>12</v>
      </c>
      <c r="E5" s="10" t="str">
        <f t="array" ref="E5">GetValue("Dmn",D5,"Name")</f>
        <v>Varchar(MAX)</v>
      </c>
      <c r="F5" s="10">
        <f>F4+5</f>
        <v>20</v>
      </c>
      <c r="G5" s="10" t="s">
        <v>280</v>
      </c>
      <c r="H5" s="10" t="s">
        <v>332</v>
      </c>
      <c r="I5" s="10" t="s">
        <v>332</v>
      </c>
      <c r="J5" s="10" t="s">
        <v>332</v>
      </c>
      <c r="K5" s="19"/>
      <c r="L5" s="19" t="s">
        <v>23</v>
      </c>
      <c r="M5" s="19"/>
      <c r="N5" s="10" t="b">
        <v>1</v>
      </c>
      <c r="O5" s="10"/>
      <c r="P5" s="10" t="b">
        <v>1</v>
      </c>
      <c r="Q5" s="10"/>
      <c r="R5" s="10"/>
      <c r="S5" s="10"/>
      <c r="T5" s="12"/>
    </row>
    <row r="6" spans="1:20" x14ac:dyDescent="0.3">
      <c r="A6" s="2">
        <f t="shared" si="0"/>
        <v>5</v>
      </c>
      <c r="B6" s="2">
        <v>2</v>
      </c>
      <c r="C6" s="2" t="str" cm="1">
        <f t="array" ref="C6">GetValue("Tbl",B6,"Alias")</f>
        <v>Cat</v>
      </c>
      <c r="D6" s="2">
        <v>5</v>
      </c>
      <c r="E6" s="2" t="str">
        <f t="array" ref="E6">GetValue("Dmn",D6,"Name")</f>
        <v>TinyInteger</v>
      </c>
      <c r="F6" s="2">
        <v>5</v>
      </c>
      <c r="G6" s="2" t="s">
        <v>0</v>
      </c>
      <c r="H6" s="2" t="s">
        <v>156</v>
      </c>
      <c r="I6" s="2" t="s">
        <v>89</v>
      </c>
      <c r="J6" s="2" t="s">
        <v>89</v>
      </c>
      <c r="K6" s="17"/>
      <c r="L6" s="18">
        <v>1</v>
      </c>
      <c r="M6" s="17"/>
      <c r="N6" s="2" t="b">
        <v>1</v>
      </c>
      <c r="O6" s="2" t="b">
        <v>1</v>
      </c>
      <c r="P6" s="2" t="b">
        <v>0</v>
      </c>
      <c r="Q6" s="2" t="b">
        <v>0</v>
      </c>
      <c r="R6" s="2"/>
      <c r="S6" s="2"/>
      <c r="T6" s="5" t="b">
        <v>0</v>
      </c>
    </row>
    <row r="7" spans="1:20" x14ac:dyDescent="0.3">
      <c r="A7" s="2">
        <f t="shared" si="0"/>
        <v>6</v>
      </c>
      <c r="B7" s="2">
        <v>2</v>
      </c>
      <c r="C7" s="2" t="str" cm="1">
        <f t="array" ref="C7">GetValue("Tbl",B7,"Alias")</f>
        <v>Cat</v>
      </c>
      <c r="D7" s="2">
        <v>9</v>
      </c>
      <c r="E7" s="2" t="str">
        <f t="array" ref="E7">GetValue("Dmn",D7,"Name")</f>
        <v>Varchar(25)</v>
      </c>
      <c r="F7" s="2">
        <f t="shared" ref="F7:F17" si="1">F6+5</f>
        <v>10</v>
      </c>
      <c r="G7" s="2" t="s">
        <v>1</v>
      </c>
      <c r="H7" s="2" t="s">
        <v>157</v>
      </c>
      <c r="I7" s="2" t="s">
        <v>88</v>
      </c>
      <c r="J7" s="2" t="s">
        <v>88</v>
      </c>
      <c r="K7" s="17"/>
      <c r="L7" s="18" t="s">
        <v>23</v>
      </c>
      <c r="M7" s="17"/>
      <c r="N7" s="2" t="b">
        <v>1</v>
      </c>
      <c r="O7" s="2" t="b">
        <v>1</v>
      </c>
      <c r="P7" s="2" t="b">
        <v>1</v>
      </c>
      <c r="Q7" s="2" t="b">
        <v>1</v>
      </c>
      <c r="R7" s="2"/>
      <c r="S7" s="2" t="b">
        <v>0</v>
      </c>
      <c r="T7" s="5"/>
    </row>
    <row r="8" spans="1:20" x14ac:dyDescent="0.3">
      <c r="A8" s="2">
        <f t="shared" si="0"/>
        <v>7</v>
      </c>
      <c r="B8" s="2">
        <v>2</v>
      </c>
      <c r="C8" s="2" t="str" cm="1">
        <f t="array" ref="C8">GetValue("Tbl",B8,"Alias")</f>
        <v>Cat</v>
      </c>
      <c r="D8" s="2">
        <v>6</v>
      </c>
      <c r="E8" s="2" t="str">
        <f t="array" ref="E8">GetValue("Dmn",D8,"Name")</f>
        <v>Boolean</v>
      </c>
      <c r="F8" s="2">
        <f t="shared" si="1"/>
        <v>15</v>
      </c>
      <c r="G8" s="2" t="s">
        <v>2</v>
      </c>
      <c r="H8" s="2" t="s">
        <v>338</v>
      </c>
      <c r="I8" s="2" t="s">
        <v>158</v>
      </c>
      <c r="J8" s="2" t="s">
        <v>158</v>
      </c>
      <c r="K8" s="17"/>
      <c r="L8" s="18" t="s">
        <v>23</v>
      </c>
      <c r="M8" s="17"/>
      <c r="N8" s="2" t="b">
        <v>1</v>
      </c>
      <c r="O8" s="2" t="b">
        <v>1</v>
      </c>
      <c r="P8" s="2" t="b">
        <v>1</v>
      </c>
      <c r="Q8" s="2" t="b">
        <v>1</v>
      </c>
      <c r="R8" s="2"/>
      <c r="S8" s="2"/>
      <c r="T8" s="5"/>
    </row>
    <row r="9" spans="1:20" x14ac:dyDescent="0.3">
      <c r="A9" s="2">
        <f t="shared" si="0"/>
        <v>8</v>
      </c>
      <c r="B9" s="2">
        <v>2</v>
      </c>
      <c r="C9" s="2" t="str" cm="1">
        <f t="array" ref="C9">GetValue("Tbl",B9,"Alias")</f>
        <v>Cat</v>
      </c>
      <c r="D9" s="2">
        <v>6</v>
      </c>
      <c r="E9" s="2" t="str">
        <f t="array" ref="E9">GetValue("Dmn",D9,"Name")</f>
        <v>Boolean</v>
      </c>
      <c r="F9" s="2">
        <f t="shared" si="1"/>
        <v>20</v>
      </c>
      <c r="G9" s="2" t="s">
        <v>3</v>
      </c>
      <c r="H9" s="2" t="s">
        <v>339</v>
      </c>
      <c r="I9" s="2" t="s">
        <v>159</v>
      </c>
      <c r="J9" s="2" t="s">
        <v>159</v>
      </c>
      <c r="K9" s="17"/>
      <c r="L9" s="18" t="s">
        <v>23</v>
      </c>
      <c r="M9" s="17"/>
      <c r="N9" s="2" t="b">
        <v>1</v>
      </c>
      <c r="O9" s="2" t="b">
        <v>1</v>
      </c>
      <c r="P9" s="2" t="b">
        <v>1</v>
      </c>
      <c r="Q9" s="2" t="b">
        <v>1</v>
      </c>
      <c r="R9" s="2"/>
      <c r="S9" s="2"/>
      <c r="T9" s="5"/>
    </row>
    <row r="10" spans="1:20" x14ac:dyDescent="0.3">
      <c r="A10" s="2">
        <f t="shared" si="0"/>
        <v>9</v>
      </c>
      <c r="B10" s="2">
        <v>2</v>
      </c>
      <c r="C10" s="2" t="str" cm="1">
        <f t="array" ref="C10">GetValue("Tbl",B10,"Alias")</f>
        <v>Cat</v>
      </c>
      <c r="D10" s="2">
        <v>6</v>
      </c>
      <c r="E10" s="2" t="str">
        <f t="array" ref="E10">GetValue("Dmn",D10,"Name")</f>
        <v>Boolean</v>
      </c>
      <c r="F10" s="2">
        <f t="shared" si="1"/>
        <v>25</v>
      </c>
      <c r="G10" s="2" t="s">
        <v>4</v>
      </c>
      <c r="H10" s="2" t="s">
        <v>340</v>
      </c>
      <c r="I10" s="2" t="s">
        <v>160</v>
      </c>
      <c r="J10" s="2" t="s">
        <v>160</v>
      </c>
      <c r="K10" s="17"/>
      <c r="L10" s="18" t="s">
        <v>23</v>
      </c>
      <c r="M10" s="17"/>
      <c r="N10" s="2" t="b">
        <v>1</v>
      </c>
      <c r="O10" s="2" t="b">
        <v>1</v>
      </c>
      <c r="P10" s="2" t="b">
        <v>1</v>
      </c>
      <c r="Q10" s="2" t="b">
        <v>1</v>
      </c>
      <c r="R10" s="2"/>
      <c r="S10" s="2"/>
      <c r="T10" s="5"/>
    </row>
    <row r="11" spans="1:20" x14ac:dyDescent="0.3">
      <c r="A11" s="2">
        <f t="shared" si="0"/>
        <v>10</v>
      </c>
      <c r="B11" s="2">
        <v>2</v>
      </c>
      <c r="C11" s="2" t="str" cm="1">
        <f t="array" ref="C11">GetValue("Tbl",B11,"Alias")</f>
        <v>Cat</v>
      </c>
      <c r="D11" s="2">
        <v>6</v>
      </c>
      <c r="E11" s="2" t="str">
        <f t="array" ref="E11">GetValue("Dmn",D11,"Name")</f>
        <v>Boolean</v>
      </c>
      <c r="F11" s="2">
        <f t="shared" si="1"/>
        <v>30</v>
      </c>
      <c r="G11" s="2" t="s">
        <v>5</v>
      </c>
      <c r="H11" s="2" t="s">
        <v>341</v>
      </c>
      <c r="I11" s="2" t="s">
        <v>161</v>
      </c>
      <c r="J11" s="2" t="s">
        <v>161</v>
      </c>
      <c r="K11" s="17"/>
      <c r="L11" s="18" t="s">
        <v>23</v>
      </c>
      <c r="M11" s="17"/>
      <c r="N11" s="2" t="b">
        <v>1</v>
      </c>
      <c r="O11" s="2" t="b">
        <v>1</v>
      </c>
      <c r="P11" s="2" t="b">
        <v>1</v>
      </c>
      <c r="Q11" s="2" t="b">
        <v>1</v>
      </c>
      <c r="R11" s="2"/>
      <c r="S11" s="2"/>
      <c r="T11" s="5"/>
    </row>
    <row r="12" spans="1:20" x14ac:dyDescent="0.3">
      <c r="A12" s="2">
        <f t="shared" si="0"/>
        <v>11</v>
      </c>
      <c r="B12" s="2">
        <v>2</v>
      </c>
      <c r="C12" s="2" t="str" cm="1">
        <f t="array" ref="C12">GetValue("Tbl",B12,"Alias")</f>
        <v>Cat</v>
      </c>
      <c r="D12" s="2">
        <v>6</v>
      </c>
      <c r="E12" s="2" t="str">
        <f t="array" ref="E12">GetValue("Dmn",D12,"Name")</f>
        <v>Boolean</v>
      </c>
      <c r="F12" s="2">
        <f t="shared" si="1"/>
        <v>35</v>
      </c>
      <c r="G12" s="2" t="s">
        <v>6</v>
      </c>
      <c r="H12" s="2" t="s">
        <v>342</v>
      </c>
      <c r="I12" s="2" t="s">
        <v>162</v>
      </c>
      <c r="J12" s="2" t="s">
        <v>162</v>
      </c>
      <c r="K12" s="17"/>
      <c r="L12" s="18" t="s">
        <v>23</v>
      </c>
      <c r="M12" s="17"/>
      <c r="N12" s="2" t="b">
        <v>1</v>
      </c>
      <c r="O12" s="2" t="b">
        <v>1</v>
      </c>
      <c r="P12" s="2" t="b">
        <v>1</v>
      </c>
      <c r="Q12" s="2" t="b">
        <v>1</v>
      </c>
      <c r="R12" s="2"/>
      <c r="S12" s="2"/>
      <c r="T12" s="5"/>
    </row>
    <row r="13" spans="1:20" x14ac:dyDescent="0.3">
      <c r="A13" s="2">
        <f t="shared" si="0"/>
        <v>12</v>
      </c>
      <c r="B13" s="2">
        <v>2</v>
      </c>
      <c r="C13" s="2" t="str" cm="1">
        <f t="array" ref="C13">GetValue("Tbl",B13,"Alias")</f>
        <v>Cat</v>
      </c>
      <c r="D13" s="2">
        <v>6</v>
      </c>
      <c r="E13" s="2" t="str">
        <f t="array" ref="E13">GetValue("Dmn",D13,"Name")</f>
        <v>Boolean</v>
      </c>
      <c r="F13" s="2">
        <f t="shared" si="1"/>
        <v>40</v>
      </c>
      <c r="G13" s="2" t="s">
        <v>198</v>
      </c>
      <c r="H13" s="2" t="s">
        <v>343</v>
      </c>
      <c r="I13" s="2" t="s">
        <v>199</v>
      </c>
      <c r="J13" s="2" t="s">
        <v>199</v>
      </c>
      <c r="K13" s="17"/>
      <c r="L13" s="18" t="s">
        <v>23</v>
      </c>
      <c r="M13" s="17"/>
      <c r="N13" s="2" t="b">
        <v>1</v>
      </c>
      <c r="O13" s="2" t="b">
        <v>1</v>
      </c>
      <c r="P13" s="2" t="b">
        <v>1</v>
      </c>
      <c r="Q13" s="2" t="b">
        <v>1</v>
      </c>
      <c r="R13" s="2"/>
      <c r="S13" s="2"/>
      <c r="T13" s="5"/>
    </row>
    <row r="14" spans="1:20" x14ac:dyDescent="0.3">
      <c r="A14" s="2">
        <f>ROW(A14)-1</f>
        <v>13</v>
      </c>
      <c r="B14" s="2">
        <v>2</v>
      </c>
      <c r="C14" s="2" t="str" cm="1">
        <f t="array" ref="C14">GetValue("Tbl",B14,"Alias")</f>
        <v>Cat</v>
      </c>
      <c r="D14" s="2">
        <v>6</v>
      </c>
      <c r="E14" s="2" t="str">
        <f t="array" ref="E14">GetValue("Dmn",D14,"Name")</f>
        <v>Boolean</v>
      </c>
      <c r="F14" s="2">
        <f t="shared" si="1"/>
        <v>45</v>
      </c>
      <c r="G14" s="2" t="s">
        <v>21</v>
      </c>
      <c r="H14" s="2" t="s">
        <v>599</v>
      </c>
      <c r="I14" s="2" t="s">
        <v>96</v>
      </c>
      <c r="J14" s="2" t="s">
        <v>96</v>
      </c>
      <c r="K14" s="17"/>
      <c r="L14" s="18" t="s">
        <v>23</v>
      </c>
      <c r="M14" s="17"/>
      <c r="N14" s="2" t="b">
        <v>1</v>
      </c>
      <c r="O14" s="2" t="b">
        <v>1</v>
      </c>
      <c r="P14" s="2" t="b">
        <v>1</v>
      </c>
      <c r="Q14" s="2" t="b">
        <v>1</v>
      </c>
      <c r="R14" s="2"/>
      <c r="S14" s="2"/>
      <c r="T14" s="5"/>
    </row>
    <row r="15" spans="1:20" x14ac:dyDescent="0.3">
      <c r="A15" s="2">
        <f>ROW(A15)-1</f>
        <v>14</v>
      </c>
      <c r="B15" s="2">
        <v>2</v>
      </c>
      <c r="C15" s="2" t="str" cm="1">
        <f t="array" ref="C15">GetValue("Tbl",B15,"Alias")</f>
        <v>Cat</v>
      </c>
      <c r="D15" s="2">
        <v>6</v>
      </c>
      <c r="E15" s="2" t="str">
        <f t="array" ref="E15">GetValue("Dmn",D15,"Name")</f>
        <v>Boolean</v>
      </c>
      <c r="F15" s="2">
        <f t="shared" si="1"/>
        <v>50</v>
      </c>
      <c r="G15" s="2" t="s">
        <v>187</v>
      </c>
      <c r="H15" s="2" t="s">
        <v>600</v>
      </c>
      <c r="I15" s="2" t="s">
        <v>189</v>
      </c>
      <c r="J15" s="2" t="s">
        <v>189</v>
      </c>
      <c r="K15" s="17"/>
      <c r="L15" s="18" t="s">
        <v>23</v>
      </c>
      <c r="M15" s="17"/>
      <c r="N15" s="2" t="b">
        <v>1</v>
      </c>
      <c r="O15" s="2" t="b">
        <v>1</v>
      </c>
      <c r="P15" s="2" t="b">
        <v>1</v>
      </c>
      <c r="Q15" s="2" t="b">
        <v>1</v>
      </c>
      <c r="R15" s="2"/>
      <c r="S15" s="2"/>
      <c r="T15" s="5"/>
    </row>
    <row r="16" spans="1:20" x14ac:dyDescent="0.3">
      <c r="A16" s="2">
        <f>ROW(A16)-1</f>
        <v>15</v>
      </c>
      <c r="B16" s="2">
        <v>2</v>
      </c>
      <c r="C16" s="2" t="str" cm="1">
        <f t="array" ref="C16">GetValue("Tbl",B16,"Alias")</f>
        <v>Cat</v>
      </c>
      <c r="D16" s="2">
        <v>6</v>
      </c>
      <c r="E16" s="2" t="str">
        <f t="array" ref="E16">GetValue("Dmn",D16,"Name")</f>
        <v>Boolean</v>
      </c>
      <c r="F16" s="2">
        <f t="shared" si="1"/>
        <v>55</v>
      </c>
      <c r="G16" s="2" t="s">
        <v>163</v>
      </c>
      <c r="H16" s="2" t="s">
        <v>601</v>
      </c>
      <c r="I16" s="2" t="s">
        <v>165</v>
      </c>
      <c r="J16" s="2" t="s">
        <v>165</v>
      </c>
      <c r="K16" s="17"/>
      <c r="L16" s="18" t="s">
        <v>23</v>
      </c>
      <c r="M16" s="17"/>
      <c r="N16" s="2" t="b">
        <v>1</v>
      </c>
      <c r="O16" s="2" t="b">
        <v>1</v>
      </c>
      <c r="P16" s="2" t="b">
        <v>1</v>
      </c>
      <c r="Q16" s="2" t="b">
        <v>0</v>
      </c>
      <c r="R16" s="2"/>
      <c r="S16" s="2"/>
      <c r="T16" s="5"/>
    </row>
    <row r="17" spans="1:20" x14ac:dyDescent="0.3">
      <c r="A17" s="2">
        <f>ROW(A17)-1</f>
        <v>16</v>
      </c>
      <c r="B17" s="2">
        <v>2</v>
      </c>
      <c r="C17" s="2" t="str" cm="1">
        <f t="array" ref="C17">GetValue("Tbl",B17,"Alias")</f>
        <v>Cat</v>
      </c>
      <c r="D17" s="2">
        <v>6</v>
      </c>
      <c r="E17" s="2" t="str">
        <f t="array" ref="E17">GetValue("Dmn",D17,"Name")</f>
        <v>Boolean</v>
      </c>
      <c r="F17" s="2">
        <f t="shared" si="1"/>
        <v>60</v>
      </c>
      <c r="G17" s="2" t="s">
        <v>793</v>
      </c>
      <c r="H17" s="2" t="s">
        <v>794</v>
      </c>
      <c r="I17" s="2" t="s">
        <v>795</v>
      </c>
      <c r="J17" s="2" t="s">
        <v>795</v>
      </c>
      <c r="K17" s="17"/>
      <c r="L17" s="18" t="s">
        <v>23</v>
      </c>
      <c r="M17" s="17"/>
      <c r="N17" s="2" t="b">
        <v>1</v>
      </c>
      <c r="O17" s="2" t="b">
        <v>1</v>
      </c>
      <c r="P17" s="2" t="b">
        <v>1</v>
      </c>
      <c r="Q17" s="2" t="b">
        <v>1</v>
      </c>
      <c r="R17" s="2"/>
      <c r="S17" s="2"/>
      <c r="T17" s="5"/>
    </row>
    <row r="18" spans="1:20" s="13" customFormat="1" x14ac:dyDescent="0.3">
      <c r="A18" s="10">
        <f t="shared" si="0"/>
        <v>17</v>
      </c>
      <c r="B18" s="10">
        <v>3</v>
      </c>
      <c r="C18" s="11" t="str" cm="1">
        <f t="array" ref="C18">GetValue("Tbl",B18,"Alias")</f>
        <v>Typ</v>
      </c>
      <c r="D18" s="10">
        <v>4</v>
      </c>
      <c r="E18" s="10" t="str">
        <f t="array" ref="E18">GetValue("Dmn",D18,"Name")</f>
        <v>SmallInteger</v>
      </c>
      <c r="F18" s="10">
        <v>5</v>
      </c>
      <c r="G18" s="10" t="s">
        <v>0</v>
      </c>
      <c r="H18" s="10" t="s">
        <v>344</v>
      </c>
      <c r="I18" s="10" t="s">
        <v>0</v>
      </c>
      <c r="J18" s="10" t="s">
        <v>0</v>
      </c>
      <c r="K18" s="19"/>
      <c r="L18" s="19">
        <v>1</v>
      </c>
      <c r="M18" s="19"/>
      <c r="N18" s="10" t="b">
        <v>1</v>
      </c>
      <c r="O18" s="10" t="b">
        <v>1</v>
      </c>
      <c r="P18" s="10" t="b">
        <v>0</v>
      </c>
      <c r="Q18" s="10" t="b">
        <v>0</v>
      </c>
      <c r="R18" s="10"/>
      <c r="S18" s="10"/>
      <c r="T18" s="12" t="b">
        <v>0</v>
      </c>
    </row>
    <row r="19" spans="1:20" s="13" customFormat="1" x14ac:dyDescent="0.3">
      <c r="A19" s="10">
        <f t="shared" si="0"/>
        <v>18</v>
      </c>
      <c r="B19" s="10">
        <v>3</v>
      </c>
      <c r="C19" s="11" t="str" cm="1">
        <f t="array" ref="C19">GetValue("Tbl",B19,"Alias")</f>
        <v>Typ</v>
      </c>
      <c r="D19" s="10">
        <v>5</v>
      </c>
      <c r="E19" s="10" t="str">
        <f t="array" ref="E19">GetValue("Dmn",D19,"Name")</f>
        <v>TinyInteger</v>
      </c>
      <c r="F19" s="10">
        <f t="shared" ref="F19:F25" si="2">F18+5</f>
        <v>10</v>
      </c>
      <c r="G19" s="10" t="s">
        <v>272</v>
      </c>
      <c r="H19" s="10" t="s">
        <v>275</v>
      </c>
      <c r="I19" s="10" t="s">
        <v>276</v>
      </c>
      <c r="J19" s="10" t="s">
        <v>276</v>
      </c>
      <c r="K19" s="19"/>
      <c r="L19" s="19" t="s">
        <v>23</v>
      </c>
      <c r="M19" s="19"/>
      <c r="N19" s="10" t="b">
        <v>1</v>
      </c>
      <c r="O19" s="10" t="b">
        <v>0</v>
      </c>
      <c r="P19" s="10" t="b">
        <v>1</v>
      </c>
      <c r="Q19" s="10" t="b">
        <v>1</v>
      </c>
      <c r="R19" s="10"/>
      <c r="S19" s="10"/>
      <c r="T19" s="12" t="b">
        <v>0</v>
      </c>
    </row>
    <row r="20" spans="1:20" s="13" customFormat="1" x14ac:dyDescent="0.3">
      <c r="A20" s="10">
        <f t="shared" si="0"/>
        <v>19</v>
      </c>
      <c r="B20" s="10">
        <v>3</v>
      </c>
      <c r="C20" s="11" t="str" cm="1">
        <f t="array" ref="C20">GetValue("Tbl",B20,"Alias")</f>
        <v>Typ</v>
      </c>
      <c r="D20" s="10">
        <v>5</v>
      </c>
      <c r="E20" s="10" t="str">
        <f t="array" ref="E20">GetValue("Dmn",D20,"Name")</f>
        <v>TinyInteger</v>
      </c>
      <c r="F20" s="10">
        <f>F19+5</f>
        <v>15</v>
      </c>
      <c r="G20" s="10" t="s">
        <v>16</v>
      </c>
      <c r="H20" s="10" t="s">
        <v>273</v>
      </c>
      <c r="I20" s="10" t="s">
        <v>89</v>
      </c>
      <c r="J20" s="10" t="s">
        <v>89</v>
      </c>
      <c r="K20" s="19"/>
      <c r="L20" s="19" t="s">
        <v>23</v>
      </c>
      <c r="M20" s="19"/>
      <c r="N20" s="10" t="b">
        <v>1</v>
      </c>
      <c r="O20" s="10" t="b">
        <v>0</v>
      </c>
      <c r="P20" s="10" t="b">
        <v>1</v>
      </c>
      <c r="Q20" s="10" t="b">
        <v>1</v>
      </c>
      <c r="R20" s="10"/>
      <c r="S20" s="10"/>
      <c r="T20" s="10" t="b">
        <v>0</v>
      </c>
    </row>
    <row r="21" spans="1:20" s="13" customFormat="1" x14ac:dyDescent="0.3">
      <c r="A21" s="10">
        <f t="shared" si="0"/>
        <v>20</v>
      </c>
      <c r="B21" s="10">
        <v>3</v>
      </c>
      <c r="C21" s="11" t="str" cm="1">
        <f t="array" ref="C21">GetValue("Tbl",B21,"Alias")</f>
        <v>Typ</v>
      </c>
      <c r="D21" s="10">
        <v>9</v>
      </c>
      <c r="E21" s="10" t="str">
        <f t="array" ref="E21">GetValue("Dmn",D21,"Name")</f>
        <v>Varchar(25)</v>
      </c>
      <c r="F21" s="10">
        <f t="shared" si="2"/>
        <v>20</v>
      </c>
      <c r="G21" s="10" t="s">
        <v>1</v>
      </c>
      <c r="H21" s="10" t="s">
        <v>274</v>
      </c>
      <c r="I21" s="10" t="s">
        <v>88</v>
      </c>
      <c r="J21" s="10" t="s">
        <v>88</v>
      </c>
      <c r="K21" s="19"/>
      <c r="L21" s="19" t="s">
        <v>23</v>
      </c>
      <c r="M21" s="19"/>
      <c r="N21" s="10" t="b">
        <v>1</v>
      </c>
      <c r="O21" s="10" t="b">
        <v>1</v>
      </c>
      <c r="P21" s="10" t="b">
        <v>1</v>
      </c>
      <c r="Q21" s="10" t="b">
        <v>1</v>
      </c>
      <c r="R21" s="10"/>
      <c r="S21" s="10" t="b">
        <v>0</v>
      </c>
      <c r="T21" s="12"/>
    </row>
    <row r="22" spans="1:20" s="13" customFormat="1" x14ac:dyDescent="0.3">
      <c r="A22" s="10">
        <f t="shared" si="0"/>
        <v>21</v>
      </c>
      <c r="B22" s="10">
        <v>3</v>
      </c>
      <c r="C22" s="11" t="str" cm="1">
        <f t="array" ref="C22">GetValue("Tbl",B22,"Alias")</f>
        <v>Typ</v>
      </c>
      <c r="D22" s="10">
        <v>17</v>
      </c>
      <c r="E22" s="10" t="str">
        <f t="array" ref="E22">GetValue("Dmn",D22,"Name")</f>
        <v>Variant</v>
      </c>
      <c r="F22" s="10">
        <f t="shared" si="2"/>
        <v>25</v>
      </c>
      <c r="G22" s="10" t="s">
        <v>17</v>
      </c>
      <c r="H22" s="10" t="s">
        <v>349</v>
      </c>
      <c r="I22" s="10" t="s">
        <v>90</v>
      </c>
      <c r="J22" s="10" t="s">
        <v>90</v>
      </c>
      <c r="K22" s="19"/>
      <c r="L22" s="19" t="s">
        <v>23</v>
      </c>
      <c r="M22" s="19"/>
      <c r="N22" s="10" t="b">
        <v>0</v>
      </c>
      <c r="O22" s="10"/>
      <c r="P22" s="10" t="b">
        <v>1</v>
      </c>
      <c r="Q22" s="10"/>
      <c r="R22" s="10"/>
      <c r="S22" s="10"/>
      <c r="T22" s="12"/>
    </row>
    <row r="23" spans="1:20" s="13" customFormat="1" x14ac:dyDescent="0.3">
      <c r="A23" s="10">
        <f t="shared" si="0"/>
        <v>22</v>
      </c>
      <c r="B23" s="10">
        <v>3</v>
      </c>
      <c r="C23" s="11" t="str" cm="1">
        <f t="array" ref="C23">GetValue("Tbl",B23,"Alias")</f>
        <v>Typ</v>
      </c>
      <c r="D23" s="10">
        <v>17</v>
      </c>
      <c r="E23" s="10" t="str">
        <f t="array" ref="E23">GetValue("Dmn",D23,"Name")</f>
        <v>Variant</v>
      </c>
      <c r="F23" s="10">
        <f t="shared" si="2"/>
        <v>30</v>
      </c>
      <c r="G23" s="10" t="s">
        <v>18</v>
      </c>
      <c r="H23" s="10" t="s">
        <v>91</v>
      </c>
      <c r="I23" s="10" t="s">
        <v>92</v>
      </c>
      <c r="J23" s="10" t="s">
        <v>92</v>
      </c>
      <c r="K23" s="19"/>
      <c r="L23" s="19" t="s">
        <v>23</v>
      </c>
      <c r="M23" s="19"/>
      <c r="N23" s="10" t="b">
        <v>0</v>
      </c>
      <c r="O23" s="10"/>
      <c r="P23" s="10" t="b">
        <v>1</v>
      </c>
      <c r="Q23" s="10"/>
      <c r="R23" s="10"/>
      <c r="S23" s="10"/>
      <c r="T23" s="12"/>
    </row>
    <row r="24" spans="1:20" s="13" customFormat="1" x14ac:dyDescent="0.3">
      <c r="A24" s="10">
        <f t="shared" si="0"/>
        <v>23</v>
      </c>
      <c r="B24" s="10">
        <v>3</v>
      </c>
      <c r="C24" s="11" t="str" cm="1">
        <f t="array" ref="C24">GetValue("Tbl",B24,"Alias")</f>
        <v>Typ</v>
      </c>
      <c r="D24" s="10">
        <v>6</v>
      </c>
      <c r="E24" s="10" t="str">
        <f t="array" ref="E24">GetValue("Dmn",D24,"Name")</f>
        <v>Boolean</v>
      </c>
      <c r="F24" s="10">
        <f t="shared" si="2"/>
        <v>35</v>
      </c>
      <c r="G24" s="10" t="s">
        <v>19</v>
      </c>
      <c r="H24" s="10" t="s">
        <v>350</v>
      </c>
      <c r="I24" s="10" t="s">
        <v>93</v>
      </c>
      <c r="J24" s="10" t="s">
        <v>93</v>
      </c>
      <c r="K24" s="19"/>
      <c r="L24" s="19" t="s">
        <v>23</v>
      </c>
      <c r="M24" s="19"/>
      <c r="N24" s="10" t="b">
        <v>1</v>
      </c>
      <c r="O24" s="10" t="b">
        <v>1</v>
      </c>
      <c r="P24" s="10" t="b">
        <v>1</v>
      </c>
      <c r="Q24" s="10" t="b">
        <v>1</v>
      </c>
      <c r="R24" s="10"/>
      <c r="S24" s="10"/>
      <c r="T24" s="12"/>
    </row>
    <row r="25" spans="1:20" s="13" customFormat="1" x14ac:dyDescent="0.3">
      <c r="A25" s="10">
        <f t="shared" si="0"/>
        <v>24</v>
      </c>
      <c r="B25" s="10">
        <v>3</v>
      </c>
      <c r="C25" s="11" t="str" cm="1">
        <f t="array" ref="C25">GetValue("Tbl",B25,"Alias")</f>
        <v>Typ</v>
      </c>
      <c r="D25" s="10">
        <v>6</v>
      </c>
      <c r="E25" s="10" t="str">
        <f t="array" ref="E25">GetValue("Dmn",D25,"Name")</f>
        <v>Boolean</v>
      </c>
      <c r="F25" s="10">
        <f t="shared" si="2"/>
        <v>40</v>
      </c>
      <c r="G25" s="10" t="s">
        <v>20</v>
      </c>
      <c r="H25" s="10" t="s">
        <v>94</v>
      </c>
      <c r="I25" s="10" t="s">
        <v>95</v>
      </c>
      <c r="J25" s="10" t="s">
        <v>95</v>
      </c>
      <c r="K25" s="19"/>
      <c r="L25" s="19" t="s">
        <v>23</v>
      </c>
      <c r="M25" s="19"/>
      <c r="N25" s="10" t="b">
        <v>1</v>
      </c>
      <c r="O25" s="10" t="b">
        <v>1</v>
      </c>
      <c r="P25" s="10" t="b">
        <v>1</v>
      </c>
      <c r="Q25" s="10" t="b">
        <v>1</v>
      </c>
      <c r="R25" s="10"/>
      <c r="S25" s="10"/>
      <c r="T25" s="12"/>
    </row>
    <row r="26" spans="1:20" s="13" customFormat="1" x14ac:dyDescent="0.3">
      <c r="A26" s="10">
        <f t="shared" si="0"/>
        <v>25</v>
      </c>
      <c r="B26" s="10">
        <v>3</v>
      </c>
      <c r="C26" s="11" t="str" cm="1">
        <f t="array" ref="C26">GetValue("Tbl",B26,"Alias")</f>
        <v>Typ</v>
      </c>
      <c r="D26" s="10">
        <v>6</v>
      </c>
      <c r="E26" s="10" t="str">
        <f t="array" ref="E26">GetValue("Dmn",D26,"Name")</f>
        <v>Boolean</v>
      </c>
      <c r="F26" s="10">
        <f>F16+5</f>
        <v>60</v>
      </c>
      <c r="G26" s="10" t="s">
        <v>22</v>
      </c>
      <c r="H26" s="10" t="s">
        <v>97</v>
      </c>
      <c r="I26" s="10" t="s">
        <v>98</v>
      </c>
      <c r="J26" s="10" t="s">
        <v>98</v>
      </c>
      <c r="K26" s="19"/>
      <c r="L26" s="19" t="s">
        <v>23</v>
      </c>
      <c r="M26" s="19"/>
      <c r="N26" s="10" t="b">
        <v>1</v>
      </c>
      <c r="O26" s="10" t="b">
        <v>1</v>
      </c>
      <c r="P26" s="10" t="b">
        <v>1</v>
      </c>
      <c r="Q26" s="10" t="b">
        <v>0</v>
      </c>
      <c r="R26" s="10"/>
      <c r="S26" s="10"/>
      <c r="T26" s="12"/>
    </row>
    <row r="27" spans="1:20" x14ac:dyDescent="0.3">
      <c r="A27" s="2">
        <f t="shared" si="0"/>
        <v>26</v>
      </c>
      <c r="B27" s="2">
        <v>7</v>
      </c>
      <c r="C27" s="2" t="str" cm="1">
        <f t="array" ref="C27">GetValue("Tbl",B27,"Alias")</f>
        <v>Grp</v>
      </c>
      <c r="D27" s="2">
        <v>1</v>
      </c>
      <c r="E27" s="2" t="str">
        <f t="array" ref="E27">GetValue("Dmn",D27,"Name")</f>
        <v>BigInteger</v>
      </c>
      <c r="F27" s="2">
        <v>5</v>
      </c>
      <c r="G27" s="2" t="s">
        <v>0</v>
      </c>
      <c r="H27" s="2" t="s">
        <v>345</v>
      </c>
      <c r="I27" s="2" t="s">
        <v>0</v>
      </c>
      <c r="J27" s="2" t="s">
        <v>0</v>
      </c>
      <c r="K27" s="17"/>
      <c r="L27" s="18">
        <v>1</v>
      </c>
      <c r="M27" s="18"/>
      <c r="N27" s="2" t="b">
        <v>1</v>
      </c>
      <c r="O27" s="2" t="b">
        <v>1</v>
      </c>
      <c r="P27" s="2" t="b">
        <v>0</v>
      </c>
      <c r="Q27" s="2" t="b">
        <v>0</v>
      </c>
      <c r="R27" s="2"/>
      <c r="S27" s="2"/>
      <c r="T27" s="5" t="b">
        <v>0</v>
      </c>
    </row>
    <row r="28" spans="1:20" x14ac:dyDescent="0.3">
      <c r="A28" s="2">
        <f t="shared" si="0"/>
        <v>27</v>
      </c>
      <c r="B28" s="2">
        <v>7</v>
      </c>
      <c r="C28" s="2" t="str" cm="1">
        <f t="array" ref="C28">GetValue("Tbl",B28,"Alias")</f>
        <v>Grp</v>
      </c>
      <c r="D28" s="2">
        <v>9</v>
      </c>
      <c r="E28" s="2" t="str">
        <f t="array" ref="E28">GetValue("Dmn",D28,"Name")</f>
        <v>Varchar(25)</v>
      </c>
      <c r="F28" s="2">
        <f t="shared" ref="F28:F29" si="3">F27+5</f>
        <v>10</v>
      </c>
      <c r="G28" s="2" t="s">
        <v>1</v>
      </c>
      <c r="H28" s="2" t="s">
        <v>348</v>
      </c>
      <c r="I28" s="2" t="s">
        <v>88</v>
      </c>
      <c r="J28" s="2" t="s">
        <v>88</v>
      </c>
      <c r="K28" s="17"/>
      <c r="L28" s="18" t="s">
        <v>23</v>
      </c>
      <c r="M28" s="18"/>
      <c r="N28" s="2" t="b">
        <v>1</v>
      </c>
      <c r="O28" s="2" t="b">
        <v>1</v>
      </c>
      <c r="P28" s="2" t="b">
        <v>1</v>
      </c>
      <c r="Q28" s="2" t="b">
        <v>1</v>
      </c>
      <c r="R28" s="2"/>
      <c r="S28" s="2"/>
      <c r="T28" s="5"/>
    </row>
    <row r="29" spans="1:20" x14ac:dyDescent="0.3">
      <c r="A29" s="2">
        <f t="shared" si="0"/>
        <v>28</v>
      </c>
      <c r="B29" s="2">
        <v>7</v>
      </c>
      <c r="C29" s="2" t="str" cm="1">
        <f t="array" ref="C29">GetValue("Tbl",B29,"Alias")</f>
        <v>Grp</v>
      </c>
      <c r="D29" s="2">
        <v>6</v>
      </c>
      <c r="E29" s="2" t="str">
        <f t="array" ref="E29">GetValue("Dmn",D29,"Name")</f>
        <v>Boolean</v>
      </c>
      <c r="F29" s="2">
        <f t="shared" si="3"/>
        <v>15</v>
      </c>
      <c r="G29" s="2" t="s">
        <v>22</v>
      </c>
      <c r="H29" s="2" t="s">
        <v>351</v>
      </c>
      <c r="I29" s="2" t="s">
        <v>120</v>
      </c>
      <c r="J29" s="2" t="s">
        <v>120</v>
      </c>
      <c r="K29" s="17"/>
      <c r="L29" s="18"/>
      <c r="M29" s="18"/>
      <c r="N29" s="2" t="b">
        <v>1</v>
      </c>
      <c r="O29" s="2" t="b">
        <v>1</v>
      </c>
      <c r="P29" s="2" t="b">
        <v>1</v>
      </c>
      <c r="Q29" s="2" t="b">
        <v>1</v>
      </c>
      <c r="R29" s="2"/>
      <c r="S29" s="2"/>
      <c r="T29" s="5"/>
    </row>
    <row r="30" spans="1:20" s="13" customFormat="1" x14ac:dyDescent="0.3">
      <c r="A30" s="10">
        <f t="shared" si="0"/>
        <v>29</v>
      </c>
      <c r="B30" s="10">
        <v>8</v>
      </c>
      <c r="C30" s="11" t="str" cm="1">
        <f t="array" ref="C30">GetValue("Tbl",B30,"Alias")</f>
        <v>Usr</v>
      </c>
      <c r="D30" s="10">
        <v>1</v>
      </c>
      <c r="E30" s="10" t="str">
        <f t="array" ref="E30">GetValue("Dmn",D30,"Name")</f>
        <v>BigInteger</v>
      </c>
      <c r="F30" s="10">
        <v>5</v>
      </c>
      <c r="G30" s="10" t="s">
        <v>0</v>
      </c>
      <c r="H30" s="10" t="s">
        <v>347</v>
      </c>
      <c r="I30" s="10" t="s">
        <v>121</v>
      </c>
      <c r="J30" s="10" t="s">
        <v>121</v>
      </c>
      <c r="K30" s="19"/>
      <c r="L30" s="19">
        <v>1</v>
      </c>
      <c r="M30" s="19"/>
      <c r="N30" s="10" t="b">
        <v>1</v>
      </c>
      <c r="O30" s="10" t="b">
        <v>1</v>
      </c>
      <c r="P30" s="10" t="b">
        <v>0</v>
      </c>
      <c r="Q30" s="10" t="b">
        <v>0</v>
      </c>
      <c r="R30" s="10"/>
      <c r="S30" s="10"/>
      <c r="T30" s="12" t="b">
        <v>0</v>
      </c>
    </row>
    <row r="31" spans="1:20" s="13" customFormat="1" x14ac:dyDescent="0.3">
      <c r="A31" s="10">
        <f t="shared" si="0"/>
        <v>30</v>
      </c>
      <c r="B31" s="10">
        <v>8</v>
      </c>
      <c r="C31" s="11" t="str" cm="1">
        <f t="array" ref="C31">GetValue("Tbl",B31,"Alias")</f>
        <v>Usr</v>
      </c>
      <c r="D31" s="10">
        <v>9</v>
      </c>
      <c r="E31" s="10" t="str">
        <f t="array" ref="E31">GetValue("Dmn",D31,"Name")</f>
        <v>Varchar(25)</v>
      </c>
      <c r="F31" s="10">
        <f t="shared" ref="F31:F34" si="4">F30+5</f>
        <v>10</v>
      </c>
      <c r="G31" s="10" t="s">
        <v>1</v>
      </c>
      <c r="H31" s="10" t="s">
        <v>116</v>
      </c>
      <c r="I31" s="10" t="s">
        <v>88</v>
      </c>
      <c r="J31" s="10" t="s">
        <v>88</v>
      </c>
      <c r="K31" s="19"/>
      <c r="L31" s="19" t="s">
        <v>23</v>
      </c>
      <c r="M31" s="19"/>
      <c r="N31" s="10" t="b">
        <v>1</v>
      </c>
      <c r="O31" s="10" t="b">
        <v>1</v>
      </c>
      <c r="P31" s="10" t="b">
        <v>1</v>
      </c>
      <c r="Q31" s="10" t="b">
        <v>1</v>
      </c>
      <c r="R31" s="10"/>
      <c r="S31" s="10" t="b">
        <v>0</v>
      </c>
      <c r="T31" s="12"/>
    </row>
    <row r="32" spans="1:20" s="13" customFormat="1" x14ac:dyDescent="0.3">
      <c r="A32" s="10">
        <f t="shared" si="0"/>
        <v>31</v>
      </c>
      <c r="B32" s="10">
        <v>8</v>
      </c>
      <c r="C32" s="11" t="str" cm="1">
        <f t="array" ref="C32">GetValue("Tbl",B32,"Alias")</f>
        <v>Usr</v>
      </c>
      <c r="D32" s="10">
        <v>11</v>
      </c>
      <c r="E32" s="10" t="str">
        <f t="array" ref="E32">GetValue("Dmn",D32,"Name")</f>
        <v>Varchar(256)</v>
      </c>
      <c r="F32" s="10">
        <f t="shared" si="4"/>
        <v>15</v>
      </c>
      <c r="G32" s="10" t="s">
        <v>61</v>
      </c>
      <c r="H32" s="10" t="s">
        <v>117</v>
      </c>
      <c r="I32" s="10" t="s">
        <v>118</v>
      </c>
      <c r="J32" s="10" t="s">
        <v>118</v>
      </c>
      <c r="K32" s="19"/>
      <c r="L32" s="19" t="s">
        <v>23</v>
      </c>
      <c r="M32" s="19"/>
      <c r="N32" s="10" t="b">
        <v>1</v>
      </c>
      <c r="O32" s="10" t="b">
        <v>0</v>
      </c>
      <c r="P32" s="10" t="b">
        <v>1</v>
      </c>
      <c r="Q32" s="10" t="b">
        <v>0</v>
      </c>
      <c r="R32" s="10"/>
      <c r="S32" s="10" t="b">
        <v>1</v>
      </c>
      <c r="T32" s="12"/>
    </row>
    <row r="33" spans="1:20" s="13" customFormat="1" x14ac:dyDescent="0.3">
      <c r="A33" s="10">
        <f t="shared" si="0"/>
        <v>32</v>
      </c>
      <c r="B33" s="10">
        <v>8</v>
      </c>
      <c r="C33" s="11" t="str" cm="1">
        <f t="array" ref="C33">GetValue("Tbl",B33,"Alias")</f>
        <v>Usr</v>
      </c>
      <c r="D33" s="10">
        <v>5</v>
      </c>
      <c r="E33" s="10" t="str">
        <f t="array" ref="E33">GetValue("Dmn",D33,"Name")</f>
        <v>TinyInteger</v>
      </c>
      <c r="F33" s="10">
        <f t="shared" si="4"/>
        <v>20</v>
      </c>
      <c r="G33" s="10" t="s">
        <v>62</v>
      </c>
      <c r="H33" s="10" t="s">
        <v>352</v>
      </c>
      <c r="I33" s="10" t="s">
        <v>119</v>
      </c>
      <c r="J33" s="10" t="s">
        <v>119</v>
      </c>
      <c r="K33" s="19">
        <v>0</v>
      </c>
      <c r="L33" s="19">
        <v>0</v>
      </c>
      <c r="M33" s="19"/>
      <c r="N33" s="10" t="b">
        <v>1</v>
      </c>
      <c r="O33" s="10" t="b">
        <v>0</v>
      </c>
      <c r="P33" s="10" t="b">
        <v>1</v>
      </c>
      <c r="Q33" s="10" t="b">
        <v>1</v>
      </c>
      <c r="R33" s="10"/>
      <c r="S33" s="10"/>
      <c r="T33" s="12" t="b">
        <v>0</v>
      </c>
    </row>
    <row r="34" spans="1:20" s="13" customFormat="1" x14ac:dyDescent="0.3">
      <c r="A34" s="10">
        <f t="shared" si="0"/>
        <v>33</v>
      </c>
      <c r="B34" s="10">
        <v>8</v>
      </c>
      <c r="C34" s="11" t="str" cm="1">
        <f t="array" ref="C34">GetValue("Tbl",B34,"Alias")</f>
        <v>Usr</v>
      </c>
      <c r="D34" s="10">
        <v>6</v>
      </c>
      <c r="E34" s="10" t="str">
        <f t="array" ref="E34">GetValue("Dmn",D34,"Name")</f>
        <v>Boolean</v>
      </c>
      <c r="F34" s="10">
        <f t="shared" si="4"/>
        <v>25</v>
      </c>
      <c r="G34" s="10" t="s">
        <v>22</v>
      </c>
      <c r="H34" s="10" t="s">
        <v>353</v>
      </c>
      <c r="I34" s="10" t="s">
        <v>120</v>
      </c>
      <c r="J34" s="10" t="s">
        <v>120</v>
      </c>
      <c r="K34" s="19"/>
      <c r="L34" s="19" t="s">
        <v>23</v>
      </c>
      <c r="M34" s="19"/>
      <c r="N34" s="10" t="b">
        <v>1</v>
      </c>
      <c r="O34" s="10" t="b">
        <v>1</v>
      </c>
      <c r="P34" s="10" t="b">
        <v>1</v>
      </c>
      <c r="Q34" s="10" t="b">
        <v>1</v>
      </c>
      <c r="R34" s="10"/>
      <c r="S34" s="10"/>
      <c r="T34" s="12"/>
    </row>
    <row r="35" spans="1:20" x14ac:dyDescent="0.3">
      <c r="A35" s="2">
        <f t="shared" si="0"/>
        <v>34</v>
      </c>
      <c r="B35" s="2">
        <v>7</v>
      </c>
      <c r="C35" s="2" t="str" cm="1">
        <f t="array" ref="C35">GetValue("Tbl",B35,"Alias")</f>
        <v>Grp</v>
      </c>
      <c r="D35" s="2">
        <v>1</v>
      </c>
      <c r="E35" s="2" t="str">
        <f t="array" ref="E35">GetValue("Dmn",D35,"Name")</f>
        <v>BigInteger</v>
      </c>
      <c r="F35" s="2">
        <v>5</v>
      </c>
      <c r="G35" s="2" t="s">
        <v>0</v>
      </c>
      <c r="H35" s="2" t="s">
        <v>355</v>
      </c>
      <c r="I35" s="2" t="s">
        <v>0</v>
      </c>
      <c r="J35" s="2" t="s">
        <v>0</v>
      </c>
      <c r="K35" s="17"/>
      <c r="L35" s="18">
        <v>1</v>
      </c>
      <c r="M35" s="18"/>
      <c r="N35" s="2" t="b">
        <v>1</v>
      </c>
      <c r="O35" s="2" t="b">
        <v>1</v>
      </c>
      <c r="P35" s="2" t="b">
        <v>0</v>
      </c>
      <c r="Q35" s="2" t="b">
        <v>0</v>
      </c>
      <c r="R35" s="2"/>
      <c r="S35" s="2"/>
      <c r="T35" s="5" t="b">
        <v>0</v>
      </c>
    </row>
    <row r="36" spans="1:20" x14ac:dyDescent="0.3">
      <c r="A36" s="2">
        <f t="shared" si="0"/>
        <v>35</v>
      </c>
      <c r="B36" s="2">
        <v>7</v>
      </c>
      <c r="C36" s="2" t="str" cm="1">
        <f t="array" ref="C36">GetValue("Tbl",B36,"Alias")</f>
        <v>Grp</v>
      </c>
      <c r="D36" s="2">
        <v>1</v>
      </c>
      <c r="E36" s="2" t="str">
        <f t="array" ref="E36">GetValue("Dmn",D36,"Name")</f>
        <v>BigInteger</v>
      </c>
      <c r="F36" s="2">
        <f>F35+5</f>
        <v>10</v>
      </c>
      <c r="G36" s="2" t="s">
        <v>289</v>
      </c>
      <c r="H36" s="2" t="s">
        <v>356</v>
      </c>
      <c r="I36" s="2" t="s">
        <v>111</v>
      </c>
      <c r="J36" s="2" t="s">
        <v>111</v>
      </c>
      <c r="K36" s="17"/>
      <c r="L36" s="18">
        <v>1</v>
      </c>
      <c r="M36" s="18"/>
      <c r="N36" s="2" t="b">
        <v>1</v>
      </c>
      <c r="O36" s="2" t="b">
        <v>1</v>
      </c>
      <c r="P36" s="2" t="b">
        <v>1</v>
      </c>
      <c r="Q36" s="2" t="b">
        <v>1</v>
      </c>
      <c r="R36" s="2"/>
      <c r="S36" s="2"/>
      <c r="T36" s="5" t="b">
        <v>0</v>
      </c>
    </row>
    <row r="37" spans="1:20" x14ac:dyDescent="0.3">
      <c r="A37" s="2">
        <f t="shared" si="0"/>
        <v>36</v>
      </c>
      <c r="B37" s="2">
        <v>7</v>
      </c>
      <c r="C37" s="2" t="str" cm="1">
        <f t="array" ref="C37">GetValue("Tbl",B37,"Alias")</f>
        <v>Grp</v>
      </c>
      <c r="D37" s="2">
        <v>1</v>
      </c>
      <c r="E37" s="2" t="str">
        <f t="array" ref="E37">GetValue("Dmn",D37,"Name")</f>
        <v>BigInteger</v>
      </c>
      <c r="F37" s="2">
        <f>F36+5</f>
        <v>15</v>
      </c>
      <c r="G37" s="2" t="s">
        <v>64</v>
      </c>
      <c r="H37" s="2" t="s">
        <v>357</v>
      </c>
      <c r="I37" s="2" t="s">
        <v>111</v>
      </c>
      <c r="J37" s="2" t="s">
        <v>111</v>
      </c>
      <c r="K37" s="17"/>
      <c r="L37" s="18">
        <v>1</v>
      </c>
      <c r="M37" s="18"/>
      <c r="N37" s="2" t="b">
        <v>1</v>
      </c>
      <c r="O37" s="2" t="b">
        <v>1</v>
      </c>
      <c r="P37" s="2" t="b">
        <v>1</v>
      </c>
      <c r="Q37" s="2" t="b">
        <v>1</v>
      </c>
      <c r="R37" s="2"/>
      <c r="S37" s="2"/>
      <c r="T37" s="5" t="b">
        <v>0</v>
      </c>
    </row>
    <row r="38" spans="1:20" s="13" customFormat="1" x14ac:dyDescent="0.3">
      <c r="A38" s="10">
        <f t="shared" si="0"/>
        <v>37</v>
      </c>
      <c r="B38" s="10">
        <v>8</v>
      </c>
      <c r="C38" s="11" t="str" cm="1">
        <f t="array" ref="C38">GetValue("Tbl",B38,"Alias")</f>
        <v>Usr</v>
      </c>
      <c r="D38" s="10">
        <v>1</v>
      </c>
      <c r="E38" s="10" t="str">
        <f t="array" ref="E38">GetValue("Dmn",D38,"Name")</f>
        <v>BigInteger</v>
      </c>
      <c r="F38" s="10">
        <v>5</v>
      </c>
      <c r="G38" s="10" t="s">
        <v>0</v>
      </c>
      <c r="H38" s="10" t="s">
        <v>354</v>
      </c>
      <c r="I38" s="10" t="s">
        <v>0</v>
      </c>
      <c r="J38" s="10" t="s">
        <v>0</v>
      </c>
      <c r="K38" s="19"/>
      <c r="L38" s="19">
        <v>1</v>
      </c>
      <c r="M38" s="19"/>
      <c r="N38" s="10" t="b">
        <v>1</v>
      </c>
      <c r="O38" s="10" t="b">
        <v>1</v>
      </c>
      <c r="P38" s="10" t="b">
        <v>0</v>
      </c>
      <c r="Q38" s="10" t="b">
        <v>0</v>
      </c>
      <c r="R38" s="10"/>
      <c r="S38" s="10"/>
      <c r="T38" s="12" t="b">
        <v>0</v>
      </c>
    </row>
    <row r="39" spans="1:20" s="13" customFormat="1" x14ac:dyDescent="0.3">
      <c r="A39" s="10">
        <f t="shared" si="0"/>
        <v>38</v>
      </c>
      <c r="B39" s="10">
        <v>8</v>
      </c>
      <c r="C39" s="11" t="str" cm="1">
        <f t="array" ref="C39">GetValue("Tbl",B39,"Alias")</f>
        <v>Usr</v>
      </c>
      <c r="D39" s="10">
        <v>9</v>
      </c>
      <c r="E39" s="10" t="str">
        <f t="array" ref="E39">GetValue("Dmn",D39,"Name")</f>
        <v>Varchar(25)</v>
      </c>
      <c r="F39" s="10">
        <f t="shared" ref="F39:F46" si="5">F38+5</f>
        <v>10</v>
      </c>
      <c r="G39" s="10" t="s">
        <v>1</v>
      </c>
      <c r="H39" s="10" t="s">
        <v>100</v>
      </c>
      <c r="I39" s="10" t="s">
        <v>88</v>
      </c>
      <c r="J39" s="10" t="s">
        <v>88</v>
      </c>
      <c r="K39" s="19"/>
      <c r="L39" s="19" t="s">
        <v>23</v>
      </c>
      <c r="M39" s="19"/>
      <c r="N39" s="10" t="b">
        <v>1</v>
      </c>
      <c r="O39" s="10" t="b">
        <v>1</v>
      </c>
      <c r="P39" s="10" t="b">
        <v>1</v>
      </c>
      <c r="Q39" s="10" t="b">
        <v>1</v>
      </c>
      <c r="R39" s="12"/>
      <c r="S39" s="12" t="b">
        <v>0</v>
      </c>
      <c r="T39" s="12"/>
    </row>
    <row r="40" spans="1:20" s="13" customFormat="1" x14ac:dyDescent="0.3">
      <c r="A40" s="10">
        <f t="shared" si="0"/>
        <v>39</v>
      </c>
      <c r="B40" s="10">
        <v>8</v>
      </c>
      <c r="C40" s="11" t="str" cm="1">
        <f t="array" ref="C40">GetValue("Tbl",B40,"Alias")</f>
        <v>Usr</v>
      </c>
      <c r="D40" s="10">
        <v>4</v>
      </c>
      <c r="E40" s="10" t="str">
        <f t="array" ref="E40">GetValue("Dmn",D40,"Name")</f>
        <v>SmallInteger</v>
      </c>
      <c r="F40" s="10">
        <f t="shared" si="5"/>
        <v>15</v>
      </c>
      <c r="G40" s="10" t="s">
        <v>26</v>
      </c>
      <c r="H40" s="10" t="s">
        <v>101</v>
      </c>
      <c r="I40" s="10" t="s">
        <v>102</v>
      </c>
      <c r="J40" s="10" t="s">
        <v>102</v>
      </c>
      <c r="K40" s="19"/>
      <c r="L40" s="19">
        <v>0</v>
      </c>
      <c r="M40" s="19"/>
      <c r="N40" s="10" t="b">
        <v>0</v>
      </c>
      <c r="O40" s="10" t="b">
        <v>0</v>
      </c>
      <c r="P40" s="10" t="b">
        <v>1</v>
      </c>
      <c r="Q40" s="10" t="b">
        <v>1</v>
      </c>
      <c r="R40" s="10"/>
      <c r="S40" s="10"/>
      <c r="T40" s="12" t="b">
        <v>0</v>
      </c>
    </row>
    <row r="41" spans="1:20" s="13" customFormat="1" x14ac:dyDescent="0.3">
      <c r="A41" s="10">
        <f t="shared" si="0"/>
        <v>40</v>
      </c>
      <c r="B41" s="10">
        <v>8</v>
      </c>
      <c r="C41" s="11" t="str" cm="1">
        <f t="array" ref="C41">GetValue("Tbl",B41,"Alias")</f>
        <v>Usr</v>
      </c>
      <c r="D41" s="10">
        <v>5</v>
      </c>
      <c r="E41" s="10" t="str">
        <f t="array" ref="E41">GetValue("Dmn",D41,"Name")</f>
        <v>TinyInteger</v>
      </c>
      <c r="F41" s="10">
        <f t="shared" si="5"/>
        <v>20</v>
      </c>
      <c r="G41" s="10" t="s">
        <v>27</v>
      </c>
      <c r="H41" s="10" t="s">
        <v>103</v>
      </c>
      <c r="I41" s="10" t="s">
        <v>104</v>
      </c>
      <c r="J41" s="10" t="s">
        <v>104</v>
      </c>
      <c r="K41" s="19"/>
      <c r="L41" s="19">
        <v>0</v>
      </c>
      <c r="M41" s="19"/>
      <c r="N41" s="10" t="b">
        <v>0</v>
      </c>
      <c r="O41" s="10" t="b">
        <v>0</v>
      </c>
      <c r="P41" s="10" t="b">
        <v>1</v>
      </c>
      <c r="Q41" s="10" t="b">
        <v>1</v>
      </c>
      <c r="R41" s="10"/>
      <c r="S41" s="10"/>
      <c r="T41" s="12" t="b">
        <v>0</v>
      </c>
    </row>
    <row r="42" spans="1:20" s="13" customFormat="1" x14ac:dyDescent="0.3">
      <c r="A42" s="10">
        <f t="shared" si="0"/>
        <v>41</v>
      </c>
      <c r="B42" s="10">
        <v>8</v>
      </c>
      <c r="C42" s="11" t="str" cm="1">
        <f t="array" ref="C42">GetValue("Tbl",B42,"Alias")</f>
        <v>Usr</v>
      </c>
      <c r="D42" s="10">
        <v>12</v>
      </c>
      <c r="E42" s="10" t="str">
        <f t="array" ref="E42">GetValue("Dmn",D42,"Name")</f>
        <v>Varchar(MAX)</v>
      </c>
      <c r="F42" s="10">
        <f t="shared" si="5"/>
        <v>25</v>
      </c>
      <c r="G42" s="10" t="s">
        <v>168</v>
      </c>
      <c r="H42" s="10" t="s">
        <v>358</v>
      </c>
      <c r="I42" s="10" t="s">
        <v>167</v>
      </c>
      <c r="J42" s="10" t="s">
        <v>167</v>
      </c>
      <c r="K42" s="19"/>
      <c r="L42" s="19" t="s">
        <v>23</v>
      </c>
      <c r="M42" s="19"/>
      <c r="N42" s="10" t="b">
        <v>0</v>
      </c>
      <c r="O42" s="10"/>
      <c r="P42" s="10" t="b">
        <v>1</v>
      </c>
      <c r="Q42" s="10"/>
      <c r="R42" s="10"/>
      <c r="S42" s="10"/>
      <c r="T42" s="12"/>
    </row>
    <row r="43" spans="1:20" s="13" customFormat="1" x14ac:dyDescent="0.3">
      <c r="A43" s="10">
        <f t="shared" si="0"/>
        <v>42</v>
      </c>
      <c r="B43" s="10">
        <v>8</v>
      </c>
      <c r="C43" s="11" t="str" cm="1">
        <f t="array" ref="C43">GetValue("Tbl",B43,"Alias")</f>
        <v>Usr</v>
      </c>
      <c r="D43" s="10">
        <v>17</v>
      </c>
      <c r="E43" s="10" t="str">
        <f t="array" ref="E43">GetValue("Dmn",D43,"Name")</f>
        <v>Variant</v>
      </c>
      <c r="F43" s="10">
        <f t="shared" si="5"/>
        <v>30</v>
      </c>
      <c r="G43" s="10" t="s">
        <v>28</v>
      </c>
      <c r="H43" s="10" t="s">
        <v>107</v>
      </c>
      <c r="I43" s="10" t="s">
        <v>139</v>
      </c>
      <c r="J43" s="10" t="s">
        <v>139</v>
      </c>
      <c r="K43" s="19"/>
      <c r="L43" s="19" t="s">
        <v>23</v>
      </c>
      <c r="M43" s="19"/>
      <c r="N43" s="10" t="b">
        <v>0</v>
      </c>
      <c r="O43" s="10"/>
      <c r="P43" s="10" t="b">
        <v>1</v>
      </c>
      <c r="Q43" s="10"/>
      <c r="R43" s="10"/>
      <c r="S43" s="10"/>
      <c r="T43" s="12"/>
    </row>
    <row r="44" spans="1:20" s="13" customFormat="1" x14ac:dyDescent="0.3">
      <c r="A44" s="10">
        <f t="shared" si="0"/>
        <v>43</v>
      </c>
      <c r="B44" s="10">
        <v>8</v>
      </c>
      <c r="C44" s="11" t="str" cm="1">
        <f t="array" ref="C44">GetValue("Tbl",B44,"Alias")</f>
        <v>Usr</v>
      </c>
      <c r="D44" s="10">
        <v>17</v>
      </c>
      <c r="E44" s="10" t="str">
        <f t="array" ref="E44">GetValue("Dmn",D44,"Name")</f>
        <v>Variant</v>
      </c>
      <c r="F44" s="10">
        <f t="shared" si="5"/>
        <v>35</v>
      </c>
      <c r="G44" s="10" t="s">
        <v>17</v>
      </c>
      <c r="H44" s="10" t="s">
        <v>105</v>
      </c>
      <c r="I44" s="10" t="s">
        <v>90</v>
      </c>
      <c r="J44" s="10" t="s">
        <v>90</v>
      </c>
      <c r="K44" s="19"/>
      <c r="L44" s="19" t="s">
        <v>23</v>
      </c>
      <c r="M44" s="19"/>
      <c r="N44" s="10" t="b">
        <v>0</v>
      </c>
      <c r="O44" s="10"/>
      <c r="P44" s="10" t="b">
        <v>1</v>
      </c>
      <c r="Q44" s="10"/>
      <c r="R44" s="10"/>
      <c r="S44" s="10"/>
      <c r="T44" s="12"/>
    </row>
    <row r="45" spans="1:20" s="13" customFormat="1" x14ac:dyDescent="0.3">
      <c r="A45" s="10">
        <f t="shared" si="0"/>
        <v>44</v>
      </c>
      <c r="B45" s="10">
        <v>8</v>
      </c>
      <c r="C45" s="11" t="str" cm="1">
        <f t="array" ref="C45">GetValue("Tbl",B45,"Alias")</f>
        <v>Usr</v>
      </c>
      <c r="D45" s="10">
        <v>17</v>
      </c>
      <c r="E45" s="10" t="str">
        <f t="array" ref="E45">GetValue("Dmn",D45,"Name")</f>
        <v>Variant</v>
      </c>
      <c r="F45" s="10">
        <f t="shared" si="5"/>
        <v>40</v>
      </c>
      <c r="G45" s="10" t="s">
        <v>18</v>
      </c>
      <c r="H45" s="10" t="s">
        <v>106</v>
      </c>
      <c r="I45" s="10" t="s">
        <v>92</v>
      </c>
      <c r="J45" s="10" t="s">
        <v>92</v>
      </c>
      <c r="K45" s="19"/>
      <c r="L45" s="19" t="s">
        <v>23</v>
      </c>
      <c r="M45" s="19"/>
      <c r="N45" s="10" t="b">
        <v>0</v>
      </c>
      <c r="O45" s="10"/>
      <c r="P45" s="10" t="b">
        <v>1</v>
      </c>
      <c r="Q45" s="10"/>
      <c r="R45" s="10"/>
      <c r="S45" s="10"/>
      <c r="T45" s="12"/>
    </row>
    <row r="46" spans="1:20" s="13" customFormat="1" x14ac:dyDescent="0.3">
      <c r="A46" s="10">
        <f t="shared" si="0"/>
        <v>45</v>
      </c>
      <c r="B46" s="10">
        <v>8</v>
      </c>
      <c r="C46" s="11" t="str" cm="1">
        <f t="array" ref="C46">GetValue("Tbl",B46,"Alias")</f>
        <v>Usr</v>
      </c>
      <c r="D46" s="10">
        <v>18</v>
      </c>
      <c r="E46" s="10" t="str">
        <f t="array" ref="E46">GetValue("Dmn",D46,"Name")</f>
        <v>Codification</v>
      </c>
      <c r="F46" s="10">
        <f t="shared" si="5"/>
        <v>45</v>
      </c>
      <c r="G46" s="10" t="s">
        <v>164</v>
      </c>
      <c r="H46" s="10" t="s">
        <v>186</v>
      </c>
      <c r="I46" s="10" t="s">
        <v>166</v>
      </c>
      <c r="J46" s="10" t="s">
        <v>166</v>
      </c>
      <c r="K46" s="19"/>
      <c r="L46" s="19" t="s">
        <v>23</v>
      </c>
      <c r="M46" s="19"/>
      <c r="N46" s="10" t="b">
        <v>0</v>
      </c>
      <c r="O46" s="10" t="b">
        <v>1</v>
      </c>
      <c r="P46" s="10" t="b">
        <v>1</v>
      </c>
      <c r="Q46" s="10" t="b">
        <v>1</v>
      </c>
      <c r="R46" s="10"/>
      <c r="S46" s="10"/>
      <c r="T46" s="12"/>
    </row>
    <row r="47" spans="1:20" x14ac:dyDescent="0.3">
      <c r="A47" s="2">
        <f t="shared" si="0"/>
        <v>46</v>
      </c>
      <c r="B47" s="2">
        <v>9</v>
      </c>
      <c r="C47" s="2" t="str" cm="1">
        <f t="array" ref="C47">GetValue("Tbl",B47,"Alias")</f>
        <v>GrpUsr</v>
      </c>
      <c r="D47" s="2">
        <v>1</v>
      </c>
      <c r="E47" s="2" t="str">
        <f t="array" ref="E47">GetValue("Dmn",D47,"Name")</f>
        <v>BigInteger</v>
      </c>
      <c r="F47" s="2">
        <v>5</v>
      </c>
      <c r="G47" s="2" t="s">
        <v>0</v>
      </c>
      <c r="H47" s="2" t="s">
        <v>565</v>
      </c>
      <c r="I47" s="2" t="s">
        <v>0</v>
      </c>
      <c r="J47" s="2" t="s">
        <v>0</v>
      </c>
      <c r="K47" s="17"/>
      <c r="L47" s="18">
        <v>1</v>
      </c>
      <c r="M47" s="18"/>
      <c r="N47" s="2" t="b">
        <v>1</v>
      </c>
      <c r="O47" s="2" t="b">
        <v>1</v>
      </c>
      <c r="P47" s="2" t="b">
        <v>0</v>
      </c>
      <c r="Q47" s="2" t="b">
        <v>0</v>
      </c>
      <c r="R47" s="2"/>
      <c r="S47" s="2"/>
      <c r="T47" s="5" t="b">
        <v>0</v>
      </c>
    </row>
    <row r="48" spans="1:20" x14ac:dyDescent="0.3">
      <c r="A48" s="2">
        <f>ROW(A48)-1</f>
        <v>47</v>
      </c>
      <c r="B48" s="2">
        <v>9</v>
      </c>
      <c r="C48" s="2" t="str" cm="1">
        <f t="array" ref="C48">GetValue("Tbl",B48,"Alias")</f>
        <v>GrpUsr</v>
      </c>
      <c r="D48" s="2">
        <v>1</v>
      </c>
      <c r="E48" s="2" t="str">
        <f t="array" ref="E48">GetValue("Dmn",D48,"Name")</f>
        <v>BigInteger</v>
      </c>
      <c r="F48" s="2">
        <f>F47+5</f>
        <v>10</v>
      </c>
      <c r="G48" s="2" t="s">
        <v>272</v>
      </c>
      <c r="H48" s="2" t="s">
        <v>566</v>
      </c>
      <c r="I48" s="2" t="s">
        <v>88</v>
      </c>
      <c r="J48" s="2" t="s">
        <v>88</v>
      </c>
      <c r="K48" s="17"/>
      <c r="L48" s="18" t="s">
        <v>23</v>
      </c>
      <c r="M48" s="18"/>
      <c r="N48" s="2" t="b">
        <v>1</v>
      </c>
      <c r="O48" s="2" t="b">
        <v>1</v>
      </c>
      <c r="P48" s="2" t="b">
        <v>1</v>
      </c>
      <c r="Q48" s="2" t="b">
        <v>1</v>
      </c>
      <c r="R48" s="2"/>
      <c r="S48" s="2"/>
      <c r="T48" s="5" t="b">
        <v>0</v>
      </c>
    </row>
    <row r="49" spans="1:20" x14ac:dyDescent="0.3">
      <c r="A49" s="2">
        <f>ROW(A49)-1</f>
        <v>48</v>
      </c>
      <c r="B49" s="2">
        <v>9</v>
      </c>
      <c r="C49" s="2" t="str" cm="1">
        <f t="array" ref="C49">GetValue("Tbl",B49,"Alias")</f>
        <v>GrpUsr</v>
      </c>
      <c r="D49" s="2">
        <v>1</v>
      </c>
      <c r="E49" s="2" t="str">
        <f t="array" ref="E49">GetValue("Dmn",D49,"Name")</f>
        <v>BigInteger</v>
      </c>
      <c r="F49" s="2">
        <f>F48+5</f>
        <v>15</v>
      </c>
      <c r="G49" s="2" t="s">
        <v>82</v>
      </c>
      <c r="H49" s="2" t="s">
        <v>567</v>
      </c>
      <c r="I49" s="2" t="s">
        <v>99</v>
      </c>
      <c r="J49" s="2" t="s">
        <v>99</v>
      </c>
      <c r="K49" s="17"/>
      <c r="L49" s="18" t="s">
        <v>23</v>
      </c>
      <c r="M49" s="18"/>
      <c r="N49" s="2" t="b">
        <v>1</v>
      </c>
      <c r="O49" s="2" t="b">
        <v>1</v>
      </c>
      <c r="P49" s="2" t="b">
        <v>1</v>
      </c>
      <c r="Q49" s="2" t="b">
        <v>1</v>
      </c>
      <c r="R49" s="2"/>
      <c r="S49" s="2"/>
      <c r="T49" s="5" t="b">
        <v>0</v>
      </c>
    </row>
    <row r="50" spans="1:20" x14ac:dyDescent="0.3">
      <c r="A50" s="2">
        <f t="shared" si="0"/>
        <v>49</v>
      </c>
      <c r="B50" s="2">
        <v>9</v>
      </c>
      <c r="C50" s="2" t="str" cm="1">
        <f t="array" ref="C50">GetValue("Tbl",B50,"Alias")</f>
        <v>GrpUsr</v>
      </c>
      <c r="D50" s="2">
        <v>4</v>
      </c>
      <c r="E50" s="2" t="str">
        <f t="array" ref="E50">GetValue("Dmn",D50,"Name")</f>
        <v>SmallInteger</v>
      </c>
      <c r="F50" s="2">
        <f>F49+5</f>
        <v>20</v>
      </c>
      <c r="G50" s="2" t="s">
        <v>24</v>
      </c>
      <c r="H50" s="2" t="s">
        <v>568</v>
      </c>
      <c r="I50" s="2" t="s">
        <v>99</v>
      </c>
      <c r="J50" s="2" t="s">
        <v>99</v>
      </c>
      <c r="K50" s="17"/>
      <c r="L50" s="18" t="s">
        <v>23</v>
      </c>
      <c r="M50" s="18"/>
      <c r="N50" s="2" t="b">
        <v>1</v>
      </c>
      <c r="O50" s="2" t="b">
        <v>1</v>
      </c>
      <c r="P50" s="2" t="b">
        <v>1</v>
      </c>
      <c r="Q50" s="2" t="b">
        <v>1</v>
      </c>
      <c r="R50" s="2"/>
      <c r="S50" s="2"/>
      <c r="T50" s="5" t="b">
        <v>0</v>
      </c>
    </row>
    <row r="51" spans="1:20" s="13" customFormat="1" x14ac:dyDescent="0.3">
      <c r="A51" s="10">
        <f t="shared" si="0"/>
        <v>50</v>
      </c>
      <c r="B51" s="10">
        <v>10</v>
      </c>
      <c r="C51" s="11" t="str" cm="1">
        <f t="array" ref="C51">GetValue("Tbl",B51,"Alias")</f>
        <v>Sys</v>
      </c>
      <c r="D51" s="10">
        <v>1</v>
      </c>
      <c r="E51" s="10" t="str">
        <f t="array" ref="E51">GetValue("Dmn",D51,"Name")</f>
        <v>BigInteger</v>
      </c>
      <c r="F51" s="10">
        <v>5</v>
      </c>
      <c r="G51" s="10" t="s">
        <v>0</v>
      </c>
      <c r="H51" s="10" t="s">
        <v>398</v>
      </c>
      <c r="I51" s="10" t="s">
        <v>0</v>
      </c>
      <c r="J51" s="10" t="s">
        <v>0</v>
      </c>
      <c r="K51" s="19"/>
      <c r="L51" s="19">
        <v>1</v>
      </c>
      <c r="M51" s="19"/>
      <c r="N51" s="10" t="b">
        <v>1</v>
      </c>
      <c r="O51" s="10" t="b">
        <v>1</v>
      </c>
      <c r="P51" s="10" t="b">
        <v>0</v>
      </c>
      <c r="Q51" s="10" t="b">
        <v>0</v>
      </c>
      <c r="R51" s="10"/>
      <c r="S51" s="10"/>
      <c r="T51" s="12" t="b">
        <v>0</v>
      </c>
    </row>
    <row r="52" spans="1:20" s="13" customFormat="1" x14ac:dyDescent="0.3">
      <c r="A52" s="10">
        <f t="shared" si="0"/>
        <v>51</v>
      </c>
      <c r="B52" s="10">
        <v>10</v>
      </c>
      <c r="C52" s="11" t="str" cm="1">
        <f t="array" ref="C52">GetValue("Tbl",B52,"Alias")</f>
        <v>Sys</v>
      </c>
      <c r="D52" s="10">
        <v>9</v>
      </c>
      <c r="E52" s="10" t="str">
        <f t="array" ref="E52">GetValue("Dmn",D52,"Name")</f>
        <v>Varchar(25)</v>
      </c>
      <c r="F52" s="10">
        <f t="shared" ref="F52:F53" si="6">F51+5</f>
        <v>10</v>
      </c>
      <c r="G52" s="10" t="s">
        <v>1</v>
      </c>
      <c r="H52" s="10" t="s">
        <v>502</v>
      </c>
      <c r="I52" s="10" t="s">
        <v>88</v>
      </c>
      <c r="J52" s="10" t="s">
        <v>88</v>
      </c>
      <c r="K52" s="19"/>
      <c r="L52" s="19" t="s">
        <v>23</v>
      </c>
      <c r="M52" s="19"/>
      <c r="N52" s="10" t="b">
        <v>1</v>
      </c>
      <c r="O52" s="10" t="b">
        <v>1</v>
      </c>
      <c r="P52" s="10" t="b">
        <v>1</v>
      </c>
      <c r="Q52" s="10" t="b">
        <v>1</v>
      </c>
      <c r="R52" s="12"/>
      <c r="S52" s="12" t="b">
        <v>0</v>
      </c>
      <c r="T52" s="12"/>
    </row>
    <row r="53" spans="1:20" s="13" customFormat="1" x14ac:dyDescent="0.3">
      <c r="A53" s="10">
        <f t="shared" si="0"/>
        <v>52</v>
      </c>
      <c r="B53" s="10">
        <v>10</v>
      </c>
      <c r="C53" s="11" t="str" cm="1">
        <f t="array" ref="C53">GetValue("Tbl",B53,"Alias")</f>
        <v>Sys</v>
      </c>
      <c r="D53" s="10">
        <v>12</v>
      </c>
      <c r="E53" s="10" t="str">
        <f t="array" ref="E53">GetValue("Dmn",D53,"Name")</f>
        <v>Varchar(MAX)</v>
      </c>
      <c r="F53" s="10">
        <f t="shared" si="6"/>
        <v>15</v>
      </c>
      <c r="G53" s="10" t="s">
        <v>39</v>
      </c>
      <c r="H53" s="10" t="s">
        <v>108</v>
      </c>
      <c r="I53" s="10" t="s">
        <v>99</v>
      </c>
      <c r="J53" s="10" t="s">
        <v>99</v>
      </c>
      <c r="K53" s="19"/>
      <c r="L53" s="19" t="s">
        <v>23</v>
      </c>
      <c r="M53" s="19"/>
      <c r="N53" s="10" t="b">
        <v>1</v>
      </c>
      <c r="O53" s="10"/>
      <c r="P53" s="10" t="b">
        <v>1</v>
      </c>
      <c r="Q53" s="10"/>
      <c r="R53" s="10"/>
      <c r="S53" s="10"/>
      <c r="T53" s="12"/>
    </row>
    <row r="54" spans="1:20" x14ac:dyDescent="0.3">
      <c r="A54" s="2">
        <f t="shared" si="0"/>
        <v>53</v>
      </c>
      <c r="B54" s="2">
        <v>11</v>
      </c>
      <c r="C54" s="2" t="str" cm="1">
        <f t="array" ref="C54">GetValue("Tbl",B54,"Alias")</f>
        <v>SysGrp</v>
      </c>
      <c r="D54" s="2">
        <v>1</v>
      </c>
      <c r="E54" s="2" t="str">
        <f t="array" ref="E54">GetValue("Dmn",D54,"Name")</f>
        <v>BigInteger</v>
      </c>
      <c r="F54" s="2">
        <v>5</v>
      </c>
      <c r="G54" s="2" t="s">
        <v>0</v>
      </c>
      <c r="H54" s="2" t="s">
        <v>399</v>
      </c>
      <c r="I54" s="2" t="s">
        <v>0</v>
      </c>
      <c r="J54" s="2" t="s">
        <v>0</v>
      </c>
      <c r="K54" s="17"/>
      <c r="L54" s="18">
        <v>1</v>
      </c>
      <c r="M54" s="18"/>
      <c r="N54" s="2" t="b">
        <v>1</v>
      </c>
      <c r="O54" s="2" t="b">
        <v>1</v>
      </c>
      <c r="P54" s="2" t="b">
        <v>0</v>
      </c>
      <c r="Q54" s="2" t="b">
        <v>0</v>
      </c>
      <c r="R54" s="2"/>
      <c r="S54" s="2"/>
      <c r="T54" s="5" t="b">
        <v>0</v>
      </c>
    </row>
    <row r="55" spans="1:20" x14ac:dyDescent="0.3">
      <c r="A55" s="2">
        <f t="shared" si="0"/>
        <v>54</v>
      </c>
      <c r="B55" s="2">
        <v>11</v>
      </c>
      <c r="C55" s="2" t="str" cm="1">
        <f t="array" ref="C55">GetValue("Tbl",B55,"Alias")</f>
        <v>SysGrp</v>
      </c>
      <c r="D55" s="2">
        <v>1</v>
      </c>
      <c r="E55" s="2" t="str">
        <f t="array" ref="E55">GetValue("Dmn",D55,"Name")</f>
        <v>BigInteger</v>
      </c>
      <c r="F55" s="2">
        <f>F54+5</f>
        <v>10</v>
      </c>
      <c r="G55" s="2" t="s">
        <v>82</v>
      </c>
      <c r="H55" s="2" t="s">
        <v>602</v>
      </c>
      <c r="I55" s="2" t="s">
        <v>131</v>
      </c>
      <c r="J55" s="2" t="s">
        <v>131</v>
      </c>
      <c r="K55" s="17"/>
      <c r="L55" s="18">
        <v>1</v>
      </c>
      <c r="M55" s="18"/>
      <c r="N55" s="2" t="b">
        <v>1</v>
      </c>
      <c r="O55" s="2" t="b">
        <v>1</v>
      </c>
      <c r="P55" s="2" t="b">
        <v>1</v>
      </c>
      <c r="Q55" s="2" t="b">
        <v>1</v>
      </c>
      <c r="R55" s="2"/>
      <c r="S55" s="2"/>
      <c r="T55" s="5" t="b">
        <v>0</v>
      </c>
    </row>
    <row r="56" spans="1:20" x14ac:dyDescent="0.3">
      <c r="A56" s="2">
        <f t="shared" si="0"/>
        <v>55</v>
      </c>
      <c r="B56" s="2">
        <v>11</v>
      </c>
      <c r="C56" s="2" t="str" cm="1">
        <f t="array" ref="C56">GetValue("Tbl",B56,"Alias")</f>
        <v>SysGrp</v>
      </c>
      <c r="D56" s="2">
        <v>1</v>
      </c>
      <c r="E56" s="2" t="str">
        <f t="array" ref="E56">GetValue("Dmn",D56,"Name")</f>
        <v>BigInteger</v>
      </c>
      <c r="F56" s="2">
        <f>F55+5</f>
        <v>15</v>
      </c>
      <c r="G56" s="2" t="s">
        <v>25</v>
      </c>
      <c r="H56" s="2" t="s">
        <v>603</v>
      </c>
      <c r="I56" s="2" t="s">
        <v>99</v>
      </c>
      <c r="J56" s="2" t="s">
        <v>99</v>
      </c>
      <c r="K56" s="17"/>
      <c r="L56" s="18">
        <v>1</v>
      </c>
      <c r="M56" s="18"/>
      <c r="N56" s="2" t="b">
        <v>1</v>
      </c>
      <c r="O56" s="2" t="b">
        <v>1</v>
      </c>
      <c r="P56" s="2" t="b">
        <v>1</v>
      </c>
      <c r="Q56" s="2" t="b">
        <v>1</v>
      </c>
      <c r="R56" s="2"/>
      <c r="S56" s="2"/>
      <c r="T56" s="5" t="b">
        <v>0</v>
      </c>
    </row>
    <row r="57" spans="1:20" s="13" customFormat="1" x14ac:dyDescent="0.3">
      <c r="A57" s="10">
        <f t="shared" ref="A57:A106" si="7">ROW(A57)-1</f>
        <v>56</v>
      </c>
      <c r="B57" s="10">
        <v>12</v>
      </c>
      <c r="C57" s="11" t="str" cm="1">
        <f t="array" ref="C57">GetValue("Tbl",B57,"Alias")</f>
        <v>Dtb</v>
      </c>
      <c r="D57" s="10">
        <v>1</v>
      </c>
      <c r="E57" s="10" t="str">
        <f t="array" ref="E57">GetValue("Dmn",D57,"Name")</f>
        <v>BigInteger</v>
      </c>
      <c r="F57" s="10">
        <v>5</v>
      </c>
      <c r="G57" s="10" t="s">
        <v>0</v>
      </c>
      <c r="H57" s="10" t="s">
        <v>363</v>
      </c>
      <c r="I57" s="10" t="s">
        <v>0</v>
      </c>
      <c r="J57" s="10" t="s">
        <v>0</v>
      </c>
      <c r="K57" s="19"/>
      <c r="L57" s="19">
        <v>1</v>
      </c>
      <c r="M57" s="19"/>
      <c r="N57" s="10" t="b">
        <v>1</v>
      </c>
      <c r="O57" s="10" t="b">
        <v>1</v>
      </c>
      <c r="P57" s="10" t="b">
        <v>0</v>
      </c>
      <c r="Q57" s="10" t="b">
        <v>0</v>
      </c>
      <c r="R57" s="10"/>
      <c r="S57" s="10"/>
      <c r="T57" s="12" t="b">
        <v>0</v>
      </c>
    </row>
    <row r="58" spans="1:20" s="13" customFormat="1" x14ac:dyDescent="0.3">
      <c r="A58" s="10">
        <f t="shared" si="0"/>
        <v>57</v>
      </c>
      <c r="B58" s="10">
        <v>12</v>
      </c>
      <c r="C58" s="11" t="str" cm="1">
        <f t="array" ref="C58">GetValue("Tbl",B58,"Alias")</f>
        <v>Dtb</v>
      </c>
      <c r="D58" s="10">
        <v>9</v>
      </c>
      <c r="E58" s="10" t="str">
        <f t="array" ref="E58">GetValue("Dmn",D58,"Name")</f>
        <v>Varchar(25)</v>
      </c>
      <c r="F58" s="10">
        <f t="shared" ref="F58:F61" si="8">F57+5</f>
        <v>10</v>
      </c>
      <c r="G58" s="10" t="s">
        <v>1</v>
      </c>
      <c r="H58" s="10" t="s">
        <v>641</v>
      </c>
      <c r="I58" s="10" t="s">
        <v>88</v>
      </c>
      <c r="J58" s="10" t="s">
        <v>88</v>
      </c>
      <c r="K58" s="19"/>
      <c r="L58" s="19" t="s">
        <v>23</v>
      </c>
      <c r="M58" s="19"/>
      <c r="N58" s="10" t="b">
        <v>1</v>
      </c>
      <c r="O58" s="10" t="b">
        <v>1</v>
      </c>
      <c r="P58" s="10" t="b">
        <v>1</v>
      </c>
      <c r="Q58" s="10" t="b">
        <v>1</v>
      </c>
      <c r="R58" s="12"/>
      <c r="S58" s="12" t="b">
        <v>0</v>
      </c>
      <c r="T58" s="12"/>
    </row>
    <row r="59" spans="1:20" s="13" customFormat="1" x14ac:dyDescent="0.3">
      <c r="A59" s="10">
        <f t="shared" si="7"/>
        <v>58</v>
      </c>
      <c r="B59" s="10">
        <v>12</v>
      </c>
      <c r="C59" s="11" t="str" cm="1">
        <f t="array" ref="C59">GetValue("Tbl",B59,"Alias")</f>
        <v>Dtb</v>
      </c>
      <c r="D59" s="10">
        <v>10</v>
      </c>
      <c r="E59" s="10" t="str">
        <f t="array" ref="E59">GetValue("Dmn",D59,"Name")</f>
        <v>Varchar(50)</v>
      </c>
      <c r="F59" s="10">
        <f t="shared" si="8"/>
        <v>15</v>
      </c>
      <c r="G59" s="10" t="s">
        <v>46</v>
      </c>
      <c r="H59" s="10" t="s">
        <v>109</v>
      </c>
      <c r="I59" s="10" t="s">
        <v>110</v>
      </c>
      <c r="J59" s="10" t="s">
        <v>110</v>
      </c>
      <c r="K59" s="19"/>
      <c r="L59" s="19" t="s">
        <v>23</v>
      </c>
      <c r="M59" s="19"/>
      <c r="N59" s="10" t="b">
        <v>1</v>
      </c>
      <c r="O59" s="10" t="b">
        <v>0</v>
      </c>
      <c r="P59" s="10" t="b">
        <v>1</v>
      </c>
      <c r="Q59" s="10" t="b">
        <v>1</v>
      </c>
      <c r="R59" s="10"/>
      <c r="S59" s="10" t="b">
        <v>0</v>
      </c>
      <c r="T59" s="12"/>
    </row>
    <row r="60" spans="1:20" s="13" customFormat="1" x14ac:dyDescent="0.3">
      <c r="A60" s="10">
        <f t="shared" si="7"/>
        <v>59</v>
      </c>
      <c r="B60" s="10">
        <v>12</v>
      </c>
      <c r="C60" s="11" t="str" cm="1">
        <f t="array" ref="C60">GetValue("Tbl",B60,"Alias")</f>
        <v>Dtb</v>
      </c>
      <c r="D60" s="10">
        <v>5</v>
      </c>
      <c r="E60" s="10" t="str">
        <f t="array" ref="E60">GetValue("Dmn",D60,"Name")</f>
        <v>TinyInteger</v>
      </c>
      <c r="F60" s="10">
        <f t="shared" si="8"/>
        <v>20</v>
      </c>
      <c r="G60" s="10" t="s">
        <v>47</v>
      </c>
      <c r="H60" s="10" t="s">
        <v>397</v>
      </c>
      <c r="I60" s="10" t="s">
        <v>112</v>
      </c>
      <c r="J60" s="10" t="s">
        <v>112</v>
      </c>
      <c r="K60" s="19">
        <v>5</v>
      </c>
      <c r="L60" s="19">
        <v>1</v>
      </c>
      <c r="M60" s="19"/>
      <c r="N60" s="10" t="b">
        <v>1</v>
      </c>
      <c r="O60" s="10" t="b">
        <v>0</v>
      </c>
      <c r="P60" s="10" t="b">
        <v>1</v>
      </c>
      <c r="Q60" s="10" t="b">
        <v>1</v>
      </c>
      <c r="R60" s="10"/>
      <c r="S60" s="10"/>
      <c r="T60" s="12" t="b">
        <v>0</v>
      </c>
    </row>
    <row r="61" spans="1:20" s="13" customFormat="1" x14ac:dyDescent="0.3">
      <c r="A61" s="10">
        <f t="shared" si="7"/>
        <v>60</v>
      </c>
      <c r="B61" s="10">
        <v>12</v>
      </c>
      <c r="C61" s="11" t="str" cm="1">
        <f t="array" ref="C61">GetValue("Tbl",B61,"Alias")</f>
        <v>Dtb</v>
      </c>
      <c r="D61" s="10">
        <v>6</v>
      </c>
      <c r="E61" s="10" t="str">
        <f t="array" ref="E61">GetValue("Dmn",D61,"Name")</f>
        <v>Boolean</v>
      </c>
      <c r="F61" s="10">
        <f t="shared" si="8"/>
        <v>25</v>
      </c>
      <c r="G61" s="10" t="s">
        <v>183</v>
      </c>
      <c r="H61" s="10" t="s">
        <v>365</v>
      </c>
      <c r="I61" s="10" t="s">
        <v>366</v>
      </c>
      <c r="J61" s="10" t="s">
        <v>366</v>
      </c>
      <c r="K61" s="19"/>
      <c r="L61" s="19"/>
      <c r="M61" s="19"/>
      <c r="N61" s="10" t="b">
        <v>1</v>
      </c>
      <c r="O61" s="10" t="b">
        <v>0</v>
      </c>
      <c r="P61" s="10" t="b">
        <v>1</v>
      </c>
      <c r="Q61" s="10" t="b">
        <v>0</v>
      </c>
      <c r="R61" s="10"/>
      <c r="S61" s="10"/>
      <c r="T61" s="12"/>
    </row>
    <row r="62" spans="1:20" x14ac:dyDescent="0.3">
      <c r="A62" s="2">
        <f t="shared" si="7"/>
        <v>61</v>
      </c>
      <c r="B62" s="2">
        <v>13</v>
      </c>
      <c r="C62" s="2" t="str" cm="1">
        <f t="array" ref="C62">GetValue("Tbl",B62,"Alias")</f>
        <v>Tbl</v>
      </c>
      <c r="D62" s="2">
        <v>1</v>
      </c>
      <c r="E62" s="2" t="str">
        <f t="array" ref="E62">GetValue("Dmn",D62,"Name")</f>
        <v>BigInteger</v>
      </c>
      <c r="F62" s="2">
        <v>5</v>
      </c>
      <c r="G62" s="2" t="s">
        <v>0</v>
      </c>
      <c r="H62" s="2" t="s">
        <v>367</v>
      </c>
      <c r="I62" s="2" t="s">
        <v>0</v>
      </c>
      <c r="J62" s="2" t="s">
        <v>0</v>
      </c>
      <c r="K62" s="17"/>
      <c r="L62" s="18">
        <v>1</v>
      </c>
      <c r="M62" s="18"/>
      <c r="N62" s="2" t="b">
        <v>1</v>
      </c>
      <c r="O62" s="2" t="b">
        <v>1</v>
      </c>
      <c r="P62" s="2" t="b">
        <v>0</v>
      </c>
      <c r="Q62" s="2" t="b">
        <v>0</v>
      </c>
      <c r="R62" s="2"/>
      <c r="S62" s="2"/>
      <c r="T62" s="5" t="b">
        <v>0</v>
      </c>
    </row>
    <row r="63" spans="1:20" x14ac:dyDescent="0.3">
      <c r="A63" s="2">
        <f t="shared" si="7"/>
        <v>62</v>
      </c>
      <c r="B63" s="2">
        <v>13</v>
      </c>
      <c r="C63" s="2" t="str" cm="1">
        <f t="array" ref="C63">GetValue("Tbl",B63,"Alias")</f>
        <v>Tbl</v>
      </c>
      <c r="D63" s="2">
        <v>1</v>
      </c>
      <c r="E63" s="2" t="str">
        <f t="array" ref="E63">GetValue("Dmn",D63,"Name")</f>
        <v>BigInteger</v>
      </c>
      <c r="F63" s="2">
        <f>F62+5</f>
        <v>10</v>
      </c>
      <c r="G63" s="2" t="s">
        <v>48</v>
      </c>
      <c r="H63" s="2" t="s">
        <v>368</v>
      </c>
      <c r="I63" s="2" t="s">
        <v>113</v>
      </c>
      <c r="J63" s="2" t="s">
        <v>113</v>
      </c>
      <c r="K63" s="17"/>
      <c r="L63" s="18">
        <v>1</v>
      </c>
      <c r="M63" s="18"/>
      <c r="N63" s="2" t="b">
        <v>1</v>
      </c>
      <c r="O63" s="2" t="b">
        <v>1</v>
      </c>
      <c r="P63" s="2" t="b">
        <v>1</v>
      </c>
      <c r="Q63" s="2" t="b">
        <v>1</v>
      </c>
      <c r="R63" s="2"/>
      <c r="S63" s="2"/>
      <c r="T63" s="5" t="b">
        <v>0</v>
      </c>
    </row>
    <row r="64" spans="1:20" x14ac:dyDescent="0.3">
      <c r="A64" s="2">
        <f t="shared" si="7"/>
        <v>63</v>
      </c>
      <c r="B64" s="2">
        <v>13</v>
      </c>
      <c r="C64" s="2" t="str" cm="1">
        <f t="array" ref="C64">GetValue("Tbl",B64,"Alias")</f>
        <v>Tbl</v>
      </c>
      <c r="D64" s="2">
        <v>1</v>
      </c>
      <c r="E64" s="2" t="str">
        <f t="array" ref="E64">GetValue("Dmn",D64,"Name")</f>
        <v>BigInteger</v>
      </c>
      <c r="F64" s="2">
        <f>F63+5</f>
        <v>15</v>
      </c>
      <c r="G64" s="2" t="s">
        <v>289</v>
      </c>
      <c r="H64" s="2" t="s">
        <v>369</v>
      </c>
      <c r="I64" s="2" t="s">
        <v>346</v>
      </c>
      <c r="J64" s="2" t="s">
        <v>346</v>
      </c>
      <c r="K64" s="17"/>
      <c r="L64" s="18">
        <v>1</v>
      </c>
      <c r="M64" s="18"/>
      <c r="N64" s="2" t="b">
        <v>1</v>
      </c>
      <c r="O64" s="2" t="b">
        <v>1</v>
      </c>
      <c r="P64" s="2" t="b">
        <v>1</v>
      </c>
      <c r="Q64" s="2" t="b">
        <v>1</v>
      </c>
      <c r="R64" s="2"/>
      <c r="S64" s="2"/>
      <c r="T64" s="5" t="b">
        <v>0</v>
      </c>
    </row>
    <row r="65" spans="1:20" s="13" customFormat="1" x14ac:dyDescent="0.3">
      <c r="A65" s="10">
        <f t="shared" ref="A65:A71" si="9">ROW(A65)-1</f>
        <v>64</v>
      </c>
      <c r="B65" s="10">
        <v>14</v>
      </c>
      <c r="C65" s="11" t="str" cm="1">
        <f t="array" ref="C65">GetValue("Tbl",B65,"Alias")</f>
        <v>Rnk</v>
      </c>
      <c r="D65" s="10">
        <v>1</v>
      </c>
      <c r="E65" s="10" t="str">
        <f t="array" ref="E65">GetValue("Dmn",D65,"Name")</f>
        <v>BigInteger</v>
      </c>
      <c r="F65" s="10">
        <v>5</v>
      </c>
      <c r="G65" s="10" t="s">
        <v>0</v>
      </c>
      <c r="H65" s="10" t="s">
        <v>359</v>
      </c>
      <c r="I65" s="10" t="s">
        <v>0</v>
      </c>
      <c r="J65" s="10" t="s">
        <v>0</v>
      </c>
      <c r="K65" s="19"/>
      <c r="L65" s="19">
        <v>1</v>
      </c>
      <c r="M65" s="19"/>
      <c r="N65" s="10" t="b">
        <v>1</v>
      </c>
      <c r="O65" s="10" t="b">
        <v>1</v>
      </c>
      <c r="P65" s="10" t="b">
        <v>0</v>
      </c>
      <c r="Q65" s="10" t="b">
        <v>0</v>
      </c>
      <c r="R65" s="10"/>
      <c r="S65" s="10"/>
      <c r="T65" s="12" t="b">
        <v>0</v>
      </c>
    </row>
    <row r="66" spans="1:20" s="13" customFormat="1" x14ac:dyDescent="0.3">
      <c r="A66" s="10">
        <f t="shared" si="9"/>
        <v>65</v>
      </c>
      <c r="B66" s="10">
        <v>14</v>
      </c>
      <c r="C66" s="11" t="str" cm="1">
        <f t="array" ref="C66">GetValue("Tbl",B66,"Alias")</f>
        <v>Rnk</v>
      </c>
      <c r="D66" s="10">
        <v>1</v>
      </c>
      <c r="E66" s="10" t="str">
        <f t="array" ref="E66">GetValue("Dmn",D66,"Name")</f>
        <v>BigInteger</v>
      </c>
      <c r="F66" s="10">
        <f t="shared" ref="F66:F71" si="10">F65+5</f>
        <v>10</v>
      </c>
      <c r="G66" s="10" t="s">
        <v>48</v>
      </c>
      <c r="H66" s="10" t="s">
        <v>598</v>
      </c>
      <c r="I66" s="10" t="s">
        <v>113</v>
      </c>
      <c r="J66" s="10" t="s">
        <v>113</v>
      </c>
      <c r="K66" s="19"/>
      <c r="L66" s="19">
        <v>1</v>
      </c>
      <c r="M66" s="19"/>
      <c r="N66" s="10" t="b">
        <v>1</v>
      </c>
      <c r="O66" s="10" t="b">
        <v>1</v>
      </c>
      <c r="P66" s="10" t="b">
        <v>1</v>
      </c>
      <c r="Q66" s="10" t="b">
        <v>1</v>
      </c>
      <c r="R66" s="10"/>
      <c r="S66" s="10"/>
      <c r="T66" s="12" t="b">
        <v>0</v>
      </c>
    </row>
    <row r="67" spans="1:20" s="13" customFormat="1" x14ac:dyDescent="0.3">
      <c r="A67" s="10">
        <f t="shared" si="9"/>
        <v>66</v>
      </c>
      <c r="B67" s="10">
        <v>14</v>
      </c>
      <c r="C67" s="11" t="str" cm="1">
        <f t="array" ref="C67">GetValue("Tbl",B67,"Alias")</f>
        <v>Rnk</v>
      </c>
      <c r="D67" s="10">
        <v>9</v>
      </c>
      <c r="E67" s="10" t="str">
        <f t="array" ref="E67">GetValue("Dmn",D67,"Name")</f>
        <v>Varchar(25)</v>
      </c>
      <c r="F67" s="10">
        <f t="shared" si="10"/>
        <v>15</v>
      </c>
      <c r="G67" s="10" t="s">
        <v>1</v>
      </c>
      <c r="H67" s="10" t="s">
        <v>122</v>
      </c>
      <c r="I67" s="10" t="s">
        <v>88</v>
      </c>
      <c r="J67" s="10" t="s">
        <v>88</v>
      </c>
      <c r="K67" s="19"/>
      <c r="L67" s="19" t="s">
        <v>23</v>
      </c>
      <c r="M67" s="19"/>
      <c r="N67" s="10" t="b">
        <v>1</v>
      </c>
      <c r="O67" s="10" t="b">
        <v>1</v>
      </c>
      <c r="P67" s="10" t="b">
        <v>1</v>
      </c>
      <c r="Q67" s="10" t="b">
        <v>1</v>
      </c>
      <c r="R67" s="10"/>
      <c r="S67" s="10" t="b">
        <v>0</v>
      </c>
      <c r="T67" s="12"/>
    </row>
    <row r="68" spans="1:20" s="13" customFormat="1" x14ac:dyDescent="0.3">
      <c r="A68" s="10">
        <f t="shared" si="9"/>
        <v>67</v>
      </c>
      <c r="B68" s="10">
        <v>14</v>
      </c>
      <c r="C68" s="11" t="str" cm="1">
        <f t="array" ref="C68">GetValue("Tbl",B68,"Alias")</f>
        <v>Rnk</v>
      </c>
      <c r="D68" s="10">
        <v>9</v>
      </c>
      <c r="E68" s="10" t="str">
        <f t="array" ref="E68">GetValue("Dmn",D68,"Name")</f>
        <v>Varchar(25)</v>
      </c>
      <c r="F68" s="10">
        <f t="shared" si="10"/>
        <v>20</v>
      </c>
      <c r="G68" s="10" t="s">
        <v>65</v>
      </c>
      <c r="H68" s="10" t="s">
        <v>124</v>
      </c>
      <c r="I68" s="10" t="s">
        <v>65</v>
      </c>
      <c r="J68" s="10" t="s">
        <v>65</v>
      </c>
      <c r="K68" s="19"/>
      <c r="L68" s="19" t="s">
        <v>23</v>
      </c>
      <c r="M68" s="19"/>
      <c r="N68" s="10" t="b">
        <v>1</v>
      </c>
      <c r="O68" s="10" t="b">
        <v>1</v>
      </c>
      <c r="P68" s="10" t="b">
        <v>1</v>
      </c>
      <c r="Q68" s="10" t="b">
        <v>1</v>
      </c>
      <c r="R68" s="10"/>
      <c r="S68" s="10" t="b">
        <v>0</v>
      </c>
      <c r="T68" s="12"/>
    </row>
    <row r="69" spans="1:20" s="13" customFormat="1" x14ac:dyDescent="0.3">
      <c r="A69" s="10">
        <f t="shared" si="9"/>
        <v>68</v>
      </c>
      <c r="B69" s="10">
        <v>14</v>
      </c>
      <c r="C69" s="11" t="str" cm="1">
        <f t="array" ref="C69">GetValue("Tbl",B69,"Alias")</f>
        <v>Rnk</v>
      </c>
      <c r="D69" s="10">
        <v>10</v>
      </c>
      <c r="E69" s="10" t="str">
        <f t="array" ref="E69">GetValue("Dmn",D69,"Name")</f>
        <v>Varchar(50)</v>
      </c>
      <c r="F69" s="10">
        <f t="shared" si="10"/>
        <v>25</v>
      </c>
      <c r="G69" s="10" t="s">
        <v>46</v>
      </c>
      <c r="H69" s="10" t="s">
        <v>123</v>
      </c>
      <c r="I69" s="10" t="s">
        <v>110</v>
      </c>
      <c r="J69" s="10" t="s">
        <v>110</v>
      </c>
      <c r="K69" s="19"/>
      <c r="L69" s="19" t="s">
        <v>23</v>
      </c>
      <c r="M69" s="19"/>
      <c r="N69" s="10" t="b">
        <v>1</v>
      </c>
      <c r="O69" s="10" t="b">
        <v>0</v>
      </c>
      <c r="P69" s="10" t="b">
        <v>1</v>
      </c>
      <c r="Q69" s="10" t="b">
        <v>1</v>
      </c>
      <c r="R69" s="10"/>
      <c r="S69" s="10" t="b">
        <v>0</v>
      </c>
      <c r="T69" s="12"/>
    </row>
    <row r="70" spans="1:20" s="13" customFormat="1" x14ac:dyDescent="0.3">
      <c r="A70" s="10">
        <f t="shared" si="9"/>
        <v>69</v>
      </c>
      <c r="B70" s="10">
        <v>14</v>
      </c>
      <c r="C70" s="11" t="str" cm="1">
        <f t="array" ref="C70">GetValue("Tbl",B70,"Alias")</f>
        <v>Rnk</v>
      </c>
      <c r="D70" s="10">
        <v>11</v>
      </c>
      <c r="E70" s="10" t="str">
        <f t="array" ref="E70">GetValue("Dmn",D70,"Name")</f>
        <v>Varchar(256)</v>
      </c>
      <c r="F70" s="10">
        <f t="shared" si="10"/>
        <v>30</v>
      </c>
      <c r="G70" s="10" t="s">
        <v>66</v>
      </c>
      <c r="H70" s="10" t="s">
        <v>395</v>
      </c>
      <c r="I70" s="10" t="s">
        <v>396</v>
      </c>
      <c r="J70" s="10" t="s">
        <v>396</v>
      </c>
      <c r="K70" s="19"/>
      <c r="L70" s="19" t="s">
        <v>23</v>
      </c>
      <c r="M70" s="19"/>
      <c r="N70" s="10" t="b">
        <v>0</v>
      </c>
      <c r="O70" s="10" t="b">
        <v>0</v>
      </c>
      <c r="P70" s="10" t="b">
        <v>1</v>
      </c>
      <c r="Q70" s="10" t="b">
        <v>0</v>
      </c>
      <c r="R70" s="10"/>
      <c r="S70" s="10" t="b">
        <v>1</v>
      </c>
      <c r="T70" s="12"/>
    </row>
    <row r="71" spans="1:20" s="13" customFormat="1" x14ac:dyDescent="0.3">
      <c r="A71" s="10">
        <f t="shared" si="9"/>
        <v>70</v>
      </c>
      <c r="B71" s="10">
        <v>14</v>
      </c>
      <c r="C71" s="11" t="str" cm="1">
        <f t="array" ref="C71">GetValue("Tbl",B71,"Alias")</f>
        <v>Rnk</v>
      </c>
      <c r="D71" s="10">
        <v>6</v>
      </c>
      <c r="E71" s="10" t="str">
        <f t="array" ref="E71">GetValue("Dmn",D71,"Name")</f>
        <v>Boolean</v>
      </c>
      <c r="F71" s="10">
        <f t="shared" si="10"/>
        <v>35</v>
      </c>
      <c r="G71" s="10" t="s">
        <v>22</v>
      </c>
      <c r="H71" s="10" t="s">
        <v>360</v>
      </c>
      <c r="I71" s="10" t="s">
        <v>120</v>
      </c>
      <c r="J71" s="10" t="s">
        <v>120</v>
      </c>
      <c r="K71" s="19"/>
      <c r="L71" s="19"/>
      <c r="M71" s="19"/>
      <c r="N71" s="10" t="b">
        <v>1</v>
      </c>
      <c r="O71" s="10" t="b">
        <v>0</v>
      </c>
      <c r="P71" s="10" t="b">
        <v>1</v>
      </c>
      <c r="Q71" s="10" t="b">
        <v>1</v>
      </c>
      <c r="R71" s="10"/>
      <c r="S71" s="10"/>
      <c r="T71" s="12"/>
    </row>
    <row r="72" spans="1:20" x14ac:dyDescent="0.3">
      <c r="A72" s="2">
        <f t="shared" ref="A72:A82" si="11">ROW(A72)-1</f>
        <v>71</v>
      </c>
      <c r="B72" s="2">
        <v>15</v>
      </c>
      <c r="C72" s="2" t="str" cm="1">
        <f t="array" ref="C72">GetValue("Tbl",B72,"Alias")</f>
        <v>DtbTbl</v>
      </c>
      <c r="D72" s="2">
        <v>1</v>
      </c>
      <c r="E72" s="2" t="str">
        <f t="array" ref="E72">GetValue("Dmn",D72,"Name")</f>
        <v>BigInteger</v>
      </c>
      <c r="F72" s="2">
        <v>5</v>
      </c>
      <c r="G72" s="2" t="s">
        <v>0</v>
      </c>
      <c r="H72" s="2" t="s">
        <v>370</v>
      </c>
      <c r="I72" s="2" t="s">
        <v>0</v>
      </c>
      <c r="J72" s="2" t="s">
        <v>0</v>
      </c>
      <c r="K72" s="17"/>
      <c r="L72" s="17">
        <v>1</v>
      </c>
      <c r="M72" s="17"/>
      <c r="N72" s="2" t="b">
        <v>1</v>
      </c>
      <c r="O72" s="2" t="b">
        <v>1</v>
      </c>
      <c r="P72" s="2" t="b">
        <v>0</v>
      </c>
      <c r="Q72" s="2" t="b">
        <v>0</v>
      </c>
      <c r="R72" s="2"/>
      <c r="S72" s="2"/>
      <c r="T72" s="5" t="b">
        <v>0</v>
      </c>
    </row>
    <row r="73" spans="1:20" x14ac:dyDescent="0.3">
      <c r="A73" s="2">
        <f t="shared" si="11"/>
        <v>72</v>
      </c>
      <c r="B73" s="2">
        <v>15</v>
      </c>
      <c r="C73" s="2" t="str" cm="1">
        <f t="array" ref="C73">GetValue("Tbl",B73,"Alias")</f>
        <v>DtbTbl</v>
      </c>
      <c r="D73" s="2">
        <v>9</v>
      </c>
      <c r="E73" s="2" t="str">
        <f t="array" ref="E73">GetValue("Dmn",D73,"Name")</f>
        <v>Varchar(25)</v>
      </c>
      <c r="F73" s="2">
        <f>F72+5</f>
        <v>10</v>
      </c>
      <c r="G73" s="2" t="s">
        <v>1</v>
      </c>
      <c r="H73" s="2" t="s">
        <v>126</v>
      </c>
      <c r="I73" s="2" t="s">
        <v>88</v>
      </c>
      <c r="J73" s="2" t="s">
        <v>88</v>
      </c>
      <c r="K73" s="17"/>
      <c r="L73" s="17" t="s">
        <v>23</v>
      </c>
      <c r="M73" s="17"/>
      <c r="N73" s="2" t="b">
        <v>1</v>
      </c>
      <c r="O73" s="2" t="b">
        <v>1</v>
      </c>
      <c r="P73" s="2" t="b">
        <v>1</v>
      </c>
      <c r="Q73" s="2" t="b">
        <v>1</v>
      </c>
      <c r="R73" s="2"/>
      <c r="S73" s="2" t="b">
        <v>0</v>
      </c>
      <c r="T73" s="5"/>
    </row>
    <row r="74" spans="1:20" x14ac:dyDescent="0.3">
      <c r="A74" s="2">
        <f t="shared" si="11"/>
        <v>73</v>
      </c>
      <c r="B74" s="2">
        <v>15</v>
      </c>
      <c r="C74" s="2" t="str" cm="1">
        <f t="array" ref="C74">GetValue("Tbl",B74,"Alias")</f>
        <v>DtbTbl</v>
      </c>
      <c r="D74" s="2">
        <v>9</v>
      </c>
      <c r="E74" s="2" t="str">
        <f t="array" ref="E74">GetValue("Dmn",D74,"Name")</f>
        <v>Varchar(25)</v>
      </c>
      <c r="F74" s="2">
        <f>F73+5</f>
        <v>15</v>
      </c>
      <c r="G74" s="2" t="s">
        <v>65</v>
      </c>
      <c r="H74" s="2" t="s">
        <v>127</v>
      </c>
      <c r="I74" s="2" t="s">
        <v>65</v>
      </c>
      <c r="J74" s="2" t="s">
        <v>65</v>
      </c>
      <c r="K74" s="17"/>
      <c r="L74" s="17" t="s">
        <v>23</v>
      </c>
      <c r="M74" s="17"/>
      <c r="N74" s="2" t="b">
        <v>1</v>
      </c>
      <c r="O74" s="2" t="b">
        <v>1</v>
      </c>
      <c r="P74" s="2" t="b">
        <v>1</v>
      </c>
      <c r="Q74" s="2" t="b">
        <v>1</v>
      </c>
      <c r="R74" s="2"/>
      <c r="S74" s="2" t="b">
        <v>0</v>
      </c>
      <c r="T74" s="5"/>
    </row>
    <row r="75" spans="1:20" x14ac:dyDescent="0.3">
      <c r="A75" s="2">
        <f t="shared" si="11"/>
        <v>74</v>
      </c>
      <c r="B75" s="2">
        <v>15</v>
      </c>
      <c r="C75" s="2" t="str" cm="1">
        <f t="array" ref="C75">GetValue("Tbl",B75,"Alias")</f>
        <v>DtbTbl</v>
      </c>
      <c r="D75" s="2">
        <v>10</v>
      </c>
      <c r="E75" s="2" t="str">
        <f t="array" ref="E75">GetValue("Dmn",D75,"Name")</f>
        <v>Varchar(50)</v>
      </c>
      <c r="F75" s="2">
        <f>F88+5</f>
        <v>35</v>
      </c>
      <c r="G75" s="2" t="s">
        <v>46</v>
      </c>
      <c r="H75" s="2" t="s">
        <v>128</v>
      </c>
      <c r="I75" s="2" t="s">
        <v>110</v>
      </c>
      <c r="J75" s="2" t="s">
        <v>110</v>
      </c>
      <c r="K75" s="17"/>
      <c r="L75" s="17" t="s">
        <v>23</v>
      </c>
      <c r="M75" s="17"/>
      <c r="N75" s="2" t="b">
        <v>1</v>
      </c>
      <c r="O75" s="2" t="b">
        <v>0</v>
      </c>
      <c r="P75" s="2" t="b">
        <v>1</v>
      </c>
      <c r="Q75" s="2" t="b">
        <v>1</v>
      </c>
      <c r="R75" s="2"/>
      <c r="S75" s="2" t="b">
        <v>0</v>
      </c>
      <c r="T75" s="5"/>
    </row>
    <row r="76" spans="1:20" s="13" customFormat="1" x14ac:dyDescent="0.3">
      <c r="A76" s="10">
        <f t="shared" si="11"/>
        <v>75</v>
      </c>
      <c r="B76" s="10">
        <v>16</v>
      </c>
      <c r="C76" s="11" t="str" cm="1">
        <f t="array" ref="C76">GetValue("Tbl",B76,"Alias")</f>
        <v>Col</v>
      </c>
      <c r="D76" s="10">
        <v>1</v>
      </c>
      <c r="E76" s="10" t="str">
        <f t="array" ref="E76">GetValue("Dmn",D76,"Name")</f>
        <v>BigInteger</v>
      </c>
      <c r="F76" s="10">
        <v>5</v>
      </c>
      <c r="G76" s="10" t="s">
        <v>0</v>
      </c>
      <c r="H76" s="10" t="s">
        <v>640</v>
      </c>
      <c r="I76" s="10" t="s">
        <v>0</v>
      </c>
      <c r="J76" s="10" t="s">
        <v>0</v>
      </c>
      <c r="K76" s="19"/>
      <c r="L76" s="19">
        <v>1</v>
      </c>
      <c r="M76" s="19"/>
      <c r="N76" s="10" t="b">
        <v>1</v>
      </c>
      <c r="O76" s="10" t="b">
        <v>1</v>
      </c>
      <c r="P76" s="10" t="b">
        <v>0</v>
      </c>
      <c r="Q76" s="10" t="b">
        <v>0</v>
      </c>
      <c r="R76" s="10"/>
      <c r="S76" s="10"/>
      <c r="T76" s="12" t="b">
        <v>0</v>
      </c>
    </row>
    <row r="77" spans="1:20" s="13" customFormat="1" x14ac:dyDescent="0.3">
      <c r="A77" s="10">
        <f t="shared" si="11"/>
        <v>76</v>
      </c>
      <c r="B77" s="10">
        <v>16</v>
      </c>
      <c r="C77" s="11" t="str" cm="1">
        <f t="array" ref="C77">GetValue("Tbl",B77,"Alias")</f>
        <v>Col</v>
      </c>
      <c r="D77" s="10">
        <v>1</v>
      </c>
      <c r="E77" s="10" t="str">
        <f t="array" ref="E77">GetValue("Dmn",D77,"Name")</f>
        <v>BigInteger</v>
      </c>
      <c r="F77" s="10">
        <f>F76+5</f>
        <v>10</v>
      </c>
      <c r="G77" s="10" t="s">
        <v>81</v>
      </c>
      <c r="H77" s="10" t="s">
        <v>778</v>
      </c>
      <c r="I77" s="10" t="s">
        <v>129</v>
      </c>
      <c r="J77" s="10" t="s">
        <v>129</v>
      </c>
      <c r="K77" s="19"/>
      <c r="L77" s="19" t="s">
        <v>23</v>
      </c>
      <c r="M77" s="19"/>
      <c r="N77" s="10" t="b">
        <v>1</v>
      </c>
      <c r="O77" s="10" t="b">
        <v>0</v>
      </c>
      <c r="P77" s="10" t="b">
        <v>1</v>
      </c>
      <c r="Q77" s="10" t="b">
        <v>1</v>
      </c>
      <c r="R77" s="10"/>
      <c r="S77" s="10"/>
      <c r="T77" s="12" t="b">
        <v>0</v>
      </c>
    </row>
    <row r="78" spans="1:20" s="13" customFormat="1" x14ac:dyDescent="0.3">
      <c r="A78" s="10">
        <f t="shared" si="11"/>
        <v>77</v>
      </c>
      <c r="B78" s="10">
        <v>16</v>
      </c>
      <c r="C78" s="11" t="str" cm="1">
        <f t="array" ref="C78">GetValue("Tbl",B78,"Alias")</f>
        <v>Col</v>
      </c>
      <c r="D78" s="10">
        <v>6</v>
      </c>
      <c r="E78" s="10" t="str">
        <f t="array" ref="E78">GetValue("Dmn",D78,"Name")</f>
        <v>Boolean</v>
      </c>
      <c r="F78" s="10">
        <f>F77+5</f>
        <v>15</v>
      </c>
      <c r="G78" s="10" t="s">
        <v>604</v>
      </c>
      <c r="H78" s="10" t="s">
        <v>780</v>
      </c>
      <c r="I78" s="10" t="s">
        <v>779</v>
      </c>
      <c r="J78" s="10" t="s">
        <v>779</v>
      </c>
      <c r="K78" s="19"/>
      <c r="L78" s="19" t="s">
        <v>23</v>
      </c>
      <c r="M78" s="19"/>
      <c r="N78" s="10" t="b">
        <v>1</v>
      </c>
      <c r="O78" s="10" t="b">
        <v>1</v>
      </c>
      <c r="P78" s="10" t="b">
        <v>1</v>
      </c>
      <c r="Q78" s="10" t="b">
        <v>1</v>
      </c>
      <c r="R78" s="10"/>
      <c r="S78" s="10"/>
      <c r="T78" s="12"/>
    </row>
    <row r="79" spans="1:20" x14ac:dyDescent="0.3">
      <c r="A79" s="2">
        <f t="shared" si="11"/>
        <v>78</v>
      </c>
      <c r="B79" s="2">
        <v>17</v>
      </c>
      <c r="C79" s="2" t="str" cm="1">
        <f t="array" ref="C79">GetValue("Tbl",B79,"Alias")</f>
        <v>Rel</v>
      </c>
      <c r="D79" s="2">
        <v>1</v>
      </c>
      <c r="E79" s="2" t="str">
        <f t="array" ref="E79">GetValue("Dmn",D79,"Name")</f>
        <v>BigInteger</v>
      </c>
      <c r="F79" s="2">
        <v>5</v>
      </c>
      <c r="G79" s="2" t="s">
        <v>0</v>
      </c>
      <c r="H79" s="2" t="s">
        <v>678</v>
      </c>
      <c r="I79" s="2" t="s">
        <v>0</v>
      </c>
      <c r="J79" s="2" t="s">
        <v>0</v>
      </c>
      <c r="K79" s="17"/>
      <c r="L79" s="17">
        <v>1</v>
      </c>
      <c r="M79" s="17"/>
      <c r="N79" s="2" t="b">
        <v>1</v>
      </c>
      <c r="O79" s="2" t="b">
        <v>1</v>
      </c>
      <c r="P79" s="2" t="b">
        <v>0</v>
      </c>
      <c r="Q79" s="2" t="b">
        <v>0</v>
      </c>
      <c r="R79" s="2"/>
      <c r="S79" s="2"/>
      <c r="T79" s="5" t="b">
        <v>0</v>
      </c>
    </row>
    <row r="80" spans="1:20" x14ac:dyDescent="0.3">
      <c r="A80" s="2">
        <f t="shared" si="11"/>
        <v>79</v>
      </c>
      <c r="B80" s="2">
        <v>17</v>
      </c>
      <c r="C80" s="2" t="str" cm="1">
        <f t="array" ref="C80">GetValue("Tbl",B80,"Alias")</f>
        <v>Rel</v>
      </c>
      <c r="D80" s="2">
        <v>1</v>
      </c>
      <c r="E80" s="2" t="str">
        <f t="array" ref="E80">GetValue("Dmn",D80,"Name")</f>
        <v>BigInteger</v>
      </c>
      <c r="F80" s="2">
        <f>F79+5</f>
        <v>10</v>
      </c>
      <c r="G80" s="2" t="s">
        <v>67</v>
      </c>
      <c r="H80" s="2" t="s">
        <v>680</v>
      </c>
      <c r="I80" s="2" t="s">
        <v>125</v>
      </c>
      <c r="J80" s="2" t="s">
        <v>125</v>
      </c>
      <c r="K80" s="17"/>
      <c r="L80" s="17">
        <v>1</v>
      </c>
      <c r="M80" s="17"/>
      <c r="N80" s="2" t="b">
        <v>1</v>
      </c>
      <c r="O80" s="2" t="b">
        <v>1</v>
      </c>
      <c r="P80" s="2" t="b">
        <v>1</v>
      </c>
      <c r="Q80" s="2" t="b">
        <v>1</v>
      </c>
      <c r="R80" s="2"/>
      <c r="S80" s="2"/>
      <c r="T80" s="5" t="b">
        <v>0</v>
      </c>
    </row>
    <row r="81" spans="1:20" x14ac:dyDescent="0.3">
      <c r="A81" s="2">
        <f t="shared" si="11"/>
        <v>80</v>
      </c>
      <c r="B81" s="2">
        <v>17</v>
      </c>
      <c r="C81" s="2" t="str" cm="1">
        <f t="array" ref="C81">GetValue("Tbl",B81,"Alias")</f>
        <v>Rel</v>
      </c>
      <c r="D81" s="2">
        <v>1</v>
      </c>
      <c r="E81" s="2" t="str">
        <f t="array" ref="E81">GetValue("Dmn",D81,"Name")</f>
        <v>BigInteger</v>
      </c>
      <c r="F81" s="2">
        <f>F80+5</f>
        <v>15</v>
      </c>
      <c r="G81" s="2" t="s">
        <v>670</v>
      </c>
      <c r="H81" s="2" t="s">
        <v>681</v>
      </c>
      <c r="I81" s="2" t="s">
        <v>681</v>
      </c>
      <c r="J81" s="2" t="s">
        <v>681</v>
      </c>
      <c r="K81" s="17"/>
      <c r="L81" s="17">
        <v>1</v>
      </c>
      <c r="M81" s="17"/>
      <c r="N81" s="2" t="b">
        <v>0</v>
      </c>
      <c r="O81" s="2" t="b">
        <v>0</v>
      </c>
      <c r="P81" s="2" t="b">
        <v>1</v>
      </c>
      <c r="Q81" s="2" t="b">
        <v>0</v>
      </c>
      <c r="R81" s="2"/>
      <c r="S81" s="2"/>
      <c r="T81" s="5" t="b">
        <v>0</v>
      </c>
    </row>
    <row r="82" spans="1:20" x14ac:dyDescent="0.3">
      <c r="A82" s="2">
        <f t="shared" si="11"/>
        <v>81</v>
      </c>
      <c r="B82" s="2">
        <v>17</v>
      </c>
      <c r="C82" s="2" t="str" cm="1">
        <f t="array" ref="C82">GetValue("Tbl",B82,"Alias")</f>
        <v>Rel</v>
      </c>
      <c r="D82" s="2">
        <v>8</v>
      </c>
      <c r="E82" s="2" t="str">
        <f t="array" ref="E82">GetValue("Dmn",D82,"Name")</f>
        <v>Varchar(20)</v>
      </c>
      <c r="F82" s="2">
        <f>F81+5</f>
        <v>20</v>
      </c>
      <c r="G82" s="2" t="s">
        <v>50</v>
      </c>
      <c r="H82" s="2" t="s">
        <v>679</v>
      </c>
      <c r="I82" s="2" t="s">
        <v>137</v>
      </c>
      <c r="J82" s="2" t="s">
        <v>137</v>
      </c>
      <c r="K82" s="17"/>
      <c r="L82" s="17" t="s">
        <v>23</v>
      </c>
      <c r="M82" s="17"/>
      <c r="N82" s="2" t="b">
        <v>1</v>
      </c>
      <c r="O82" s="2" t="b">
        <v>1</v>
      </c>
      <c r="P82" s="2" t="b">
        <v>1</v>
      </c>
      <c r="Q82" s="2" t="b">
        <v>1</v>
      </c>
      <c r="R82" s="2"/>
      <c r="S82" s="2" t="b">
        <v>0</v>
      </c>
      <c r="T82" s="5"/>
    </row>
    <row r="83" spans="1:20" s="13" customFormat="1" x14ac:dyDescent="0.3">
      <c r="A83" s="10">
        <f t="shared" si="7"/>
        <v>82</v>
      </c>
      <c r="B83" s="10">
        <v>18</v>
      </c>
      <c r="C83" s="11" t="str" cm="1">
        <f t="array" ref="C83">GetValue("Tbl",B83,"Alias")</f>
        <v>Unq</v>
      </c>
      <c r="D83" s="10">
        <v>1</v>
      </c>
      <c r="E83" s="10" t="str">
        <f t="array" ref="E83">GetValue("Dmn",D83,"Name")</f>
        <v>BigInteger</v>
      </c>
      <c r="F83" s="10">
        <v>5</v>
      </c>
      <c r="G83" s="10" t="s">
        <v>0</v>
      </c>
      <c r="H83" s="10" t="s">
        <v>371</v>
      </c>
      <c r="I83" s="10" t="s">
        <v>0</v>
      </c>
      <c r="J83" s="10" t="s">
        <v>0</v>
      </c>
      <c r="K83" s="19"/>
      <c r="L83" s="19">
        <v>1</v>
      </c>
      <c r="M83" s="19"/>
      <c r="N83" s="10" t="b">
        <v>1</v>
      </c>
      <c r="O83" s="10" t="b">
        <v>1</v>
      </c>
      <c r="P83" s="10" t="b">
        <v>0</v>
      </c>
      <c r="Q83" s="10" t="b">
        <v>0</v>
      </c>
      <c r="R83" s="10"/>
      <c r="S83" s="10"/>
      <c r="T83" s="12" t="b">
        <v>0</v>
      </c>
    </row>
    <row r="84" spans="1:20" s="13" customFormat="1" x14ac:dyDescent="0.3">
      <c r="A84" s="10">
        <f t="shared" si="7"/>
        <v>83</v>
      </c>
      <c r="B84" s="10">
        <v>18</v>
      </c>
      <c r="C84" s="11" t="str" cm="1">
        <f t="array" ref="C84">GetValue("Tbl",B84,"Alias")</f>
        <v>Unq</v>
      </c>
      <c r="D84" s="10">
        <v>1</v>
      </c>
      <c r="E84" s="10" t="str">
        <f t="array" ref="E84">GetValue("Dmn",D84,"Name")</f>
        <v>BigInteger</v>
      </c>
      <c r="F84" s="10">
        <f>F83+5</f>
        <v>10</v>
      </c>
      <c r="G84" s="10" t="s">
        <v>67</v>
      </c>
      <c r="H84" s="10" t="s">
        <v>372</v>
      </c>
      <c r="I84" s="10" t="s">
        <v>125</v>
      </c>
      <c r="J84" s="10" t="s">
        <v>125</v>
      </c>
      <c r="K84" s="19"/>
      <c r="L84" s="19">
        <v>1</v>
      </c>
      <c r="M84" s="19"/>
      <c r="N84" s="10" t="b">
        <v>1</v>
      </c>
      <c r="O84" s="10" t="b">
        <v>1</v>
      </c>
      <c r="P84" s="10" t="b">
        <v>1</v>
      </c>
      <c r="Q84" s="10" t="b">
        <v>1</v>
      </c>
      <c r="R84" s="10"/>
      <c r="S84" s="10"/>
      <c r="T84" s="12" t="b">
        <v>0</v>
      </c>
    </row>
    <row r="85" spans="1:20" s="13" customFormat="1" x14ac:dyDescent="0.3">
      <c r="A85" s="10">
        <f t="shared" si="7"/>
        <v>84</v>
      </c>
      <c r="B85" s="10">
        <v>18</v>
      </c>
      <c r="C85" s="11" t="str" cm="1">
        <f t="array" ref="C85">GetValue("Tbl",B85,"Alias")</f>
        <v>Unq</v>
      </c>
      <c r="D85" s="10">
        <v>1</v>
      </c>
      <c r="E85" s="10" t="str">
        <f t="array" ref="E85">GetValue("Dmn",D85,"Name")</f>
        <v>BigInteger</v>
      </c>
      <c r="F85" s="10">
        <f t="shared" ref="F85:F91" si="12">F84+5</f>
        <v>15</v>
      </c>
      <c r="G85" s="10" t="s">
        <v>81</v>
      </c>
      <c r="H85" s="10" t="s">
        <v>373</v>
      </c>
      <c r="I85" s="10" t="s">
        <v>129</v>
      </c>
      <c r="J85" s="10" t="s">
        <v>129</v>
      </c>
      <c r="K85" s="19"/>
      <c r="L85" s="19">
        <v>1</v>
      </c>
      <c r="M85" s="19"/>
      <c r="N85" s="10" t="b">
        <v>1</v>
      </c>
      <c r="O85" s="10" t="b">
        <v>1</v>
      </c>
      <c r="P85" s="10" t="b">
        <v>1</v>
      </c>
      <c r="Q85" s="10" t="b">
        <v>1</v>
      </c>
      <c r="R85" s="10"/>
      <c r="S85" s="10"/>
      <c r="T85" s="12" t="b">
        <v>0</v>
      </c>
    </row>
    <row r="86" spans="1:20" s="13" customFormat="1" x14ac:dyDescent="0.3">
      <c r="A86" s="10">
        <f t="shared" si="7"/>
        <v>85</v>
      </c>
      <c r="B86" s="10">
        <v>18</v>
      </c>
      <c r="C86" s="11" t="str" cm="1">
        <f t="array" ref="C86">GetValue("Tbl",B86,"Alias")</f>
        <v>Unq</v>
      </c>
      <c r="D86" s="10">
        <v>1</v>
      </c>
      <c r="E86" s="10" t="str">
        <f t="array" ref="E86">GetValue("Dmn",D86,"Name")</f>
        <v>BigInteger</v>
      </c>
      <c r="F86" s="10">
        <f t="shared" si="12"/>
        <v>20</v>
      </c>
      <c r="G86" s="10" t="s">
        <v>671</v>
      </c>
      <c r="H86" s="10" t="s">
        <v>682</v>
      </c>
      <c r="I86" s="10" t="s">
        <v>129</v>
      </c>
      <c r="J86" s="10" t="s">
        <v>129</v>
      </c>
      <c r="K86" s="19"/>
      <c r="L86" s="19">
        <v>1</v>
      </c>
      <c r="M86" s="19"/>
      <c r="N86" s="10" t="b">
        <v>1</v>
      </c>
      <c r="O86" s="10" t="b">
        <v>1</v>
      </c>
      <c r="P86" s="10" t="b">
        <v>1</v>
      </c>
      <c r="Q86" s="10" t="b">
        <v>1</v>
      </c>
      <c r="R86" s="10"/>
      <c r="S86" s="10"/>
      <c r="T86" s="12" t="b">
        <v>0</v>
      </c>
    </row>
    <row r="87" spans="1:20" s="13" customFormat="1" x14ac:dyDescent="0.3">
      <c r="A87" s="10">
        <f t="shared" si="7"/>
        <v>86</v>
      </c>
      <c r="B87" s="10">
        <v>18</v>
      </c>
      <c r="C87" s="11" t="str" cm="1">
        <f t="array" ref="C87">GetValue("Tbl",B87,"Alias")</f>
        <v>Unq</v>
      </c>
      <c r="D87" s="10">
        <v>4</v>
      </c>
      <c r="E87" s="10" t="str">
        <f t="array" ref="E87">GetValue("Dmn",D87,"Name")</f>
        <v>SmallInteger</v>
      </c>
      <c r="F87" s="10">
        <f t="shared" si="12"/>
        <v>25</v>
      </c>
      <c r="G87" s="10" t="s">
        <v>49</v>
      </c>
      <c r="H87" s="10" t="s">
        <v>597</v>
      </c>
      <c r="I87" s="10" t="s">
        <v>114</v>
      </c>
      <c r="J87" s="10" t="s">
        <v>114</v>
      </c>
      <c r="K87" s="19"/>
      <c r="L87" s="19">
        <v>1</v>
      </c>
      <c r="M87" s="19"/>
      <c r="N87" s="10" t="b">
        <v>1</v>
      </c>
      <c r="O87" s="10" t="b">
        <v>1</v>
      </c>
      <c r="P87" s="10" t="b">
        <v>1</v>
      </c>
      <c r="Q87" s="10" t="b">
        <v>1</v>
      </c>
      <c r="R87" s="10"/>
      <c r="S87" s="10"/>
      <c r="T87" s="12" t="b">
        <v>0</v>
      </c>
    </row>
    <row r="88" spans="1:20" s="13" customFormat="1" x14ac:dyDescent="0.3">
      <c r="A88" s="10">
        <f>ROW(A88)-1</f>
        <v>87</v>
      </c>
      <c r="B88" s="10">
        <v>18</v>
      </c>
      <c r="C88" s="11" t="str" cm="1">
        <f t="array" ref="C88">GetValue("Tbl",B88,"Alias")</f>
        <v>Unq</v>
      </c>
      <c r="D88" s="10">
        <v>8</v>
      </c>
      <c r="E88" s="10" t="str">
        <f t="array" ref="E88">GetValue("Dmn",D88,"Name")</f>
        <v>Varchar(20)</v>
      </c>
      <c r="F88" s="10">
        <f t="shared" si="12"/>
        <v>30</v>
      </c>
      <c r="G88" s="10" t="s">
        <v>643</v>
      </c>
      <c r="H88" s="10" t="s">
        <v>668</v>
      </c>
      <c r="I88" s="10" t="s">
        <v>666</v>
      </c>
      <c r="J88" s="10" t="s">
        <v>666</v>
      </c>
      <c r="K88" s="19"/>
      <c r="L88" s="19" t="s">
        <v>23</v>
      </c>
      <c r="M88" s="19"/>
      <c r="N88" s="10" t="b">
        <v>1</v>
      </c>
      <c r="O88" s="10" t="b">
        <v>1</v>
      </c>
      <c r="P88" s="10" t="b">
        <v>1</v>
      </c>
      <c r="Q88" s="10" t="b">
        <v>1</v>
      </c>
      <c r="R88" s="10"/>
      <c r="S88" s="10" t="b">
        <v>0</v>
      </c>
      <c r="T88" s="12"/>
    </row>
    <row r="89" spans="1:20" s="13" customFormat="1" x14ac:dyDescent="0.3">
      <c r="A89" s="10">
        <f>ROW(A89)-1</f>
        <v>88</v>
      </c>
      <c r="B89" s="10">
        <v>18</v>
      </c>
      <c r="C89" s="11" t="str" cm="1">
        <f t="array" ref="C89">GetValue("Tbl",B89,"Alias")</f>
        <v>Unq</v>
      </c>
      <c r="D89" s="10">
        <v>8</v>
      </c>
      <c r="E89" s="10" t="str">
        <f t="array" ref="E89">GetValue("Dmn",D89,"Name")</f>
        <v>Varchar(20)</v>
      </c>
      <c r="F89" s="10">
        <f t="shared" si="12"/>
        <v>35</v>
      </c>
      <c r="G89" s="10" t="s">
        <v>644</v>
      </c>
      <c r="H89" s="10" t="s">
        <v>669</v>
      </c>
      <c r="I89" s="10" t="s">
        <v>667</v>
      </c>
      <c r="J89" s="10" t="s">
        <v>667</v>
      </c>
      <c r="K89" s="19"/>
      <c r="L89" s="19" t="s">
        <v>23</v>
      </c>
      <c r="M89" s="19"/>
      <c r="N89" s="10" t="b">
        <v>1</v>
      </c>
      <c r="O89" s="10" t="b">
        <v>1</v>
      </c>
      <c r="P89" s="10" t="b">
        <v>1</v>
      </c>
      <c r="Q89" s="10" t="b">
        <v>1</v>
      </c>
      <c r="R89" s="10"/>
      <c r="S89" s="10" t="b">
        <v>0</v>
      </c>
      <c r="T89" s="12"/>
    </row>
    <row r="90" spans="1:20" s="13" customFormat="1" x14ac:dyDescent="0.3">
      <c r="A90" s="10">
        <f>ROW(A90)-1</f>
        <v>89</v>
      </c>
      <c r="B90" s="10">
        <v>18</v>
      </c>
      <c r="C90" s="11" t="str" cm="1">
        <f t="array" ref="C90">GetValue("Tbl",B90,"Alias")</f>
        <v>Unq</v>
      </c>
      <c r="D90" s="10">
        <v>1</v>
      </c>
      <c r="E90" s="10" t="str">
        <f t="array" ref="E90">GetValue("Dmn",D90,"Name")</f>
        <v>BigInteger</v>
      </c>
      <c r="F90" s="10">
        <f t="shared" si="12"/>
        <v>40</v>
      </c>
      <c r="G90" s="10" t="s">
        <v>181</v>
      </c>
      <c r="H90" s="10" t="s">
        <v>595</v>
      </c>
      <c r="I90" s="10" t="s">
        <v>182</v>
      </c>
      <c r="J90" s="10" t="s">
        <v>182</v>
      </c>
      <c r="K90" s="19">
        <v>0</v>
      </c>
      <c r="L90" s="19">
        <v>0</v>
      </c>
      <c r="M90" s="19"/>
      <c r="N90" s="10" t="b">
        <v>1</v>
      </c>
      <c r="O90" s="10" t="b">
        <v>0</v>
      </c>
      <c r="P90" s="10" t="b">
        <v>0</v>
      </c>
      <c r="Q90" s="10" t="b">
        <v>0</v>
      </c>
      <c r="R90" s="10"/>
      <c r="S90" s="10"/>
      <c r="T90" s="12" t="b">
        <v>0</v>
      </c>
    </row>
    <row r="91" spans="1:20" s="13" customFormat="1" x14ac:dyDescent="0.3">
      <c r="A91" s="10">
        <f>ROW(A91)-1</f>
        <v>90</v>
      </c>
      <c r="B91" s="10">
        <v>18</v>
      </c>
      <c r="C91" s="11" t="str" cm="1">
        <f t="array" ref="C91">GetValue("Tbl",B91,"Alias")</f>
        <v>Unq</v>
      </c>
      <c r="D91" s="10">
        <v>6</v>
      </c>
      <c r="E91" s="10" t="str">
        <f t="array" ref="E91">GetValue("Dmn",D91,"Name")</f>
        <v>Boolean</v>
      </c>
      <c r="F91" s="10">
        <f t="shared" si="12"/>
        <v>45</v>
      </c>
      <c r="G91" s="10" t="s">
        <v>461</v>
      </c>
      <c r="H91" s="10" t="s">
        <v>605</v>
      </c>
      <c r="I91" s="10" t="s">
        <v>512</v>
      </c>
      <c r="J91" s="10" t="s">
        <v>512</v>
      </c>
      <c r="K91" s="19"/>
      <c r="L91" s="19" t="s">
        <v>23</v>
      </c>
      <c r="M91" s="19"/>
      <c r="N91" s="10" t="b">
        <v>0</v>
      </c>
      <c r="O91" s="10" t="b">
        <v>1</v>
      </c>
      <c r="P91" s="10" t="b">
        <v>1</v>
      </c>
      <c r="Q91" s="10" t="b">
        <v>1</v>
      </c>
      <c r="R91" s="10"/>
      <c r="S91" s="10"/>
      <c r="T91" s="12"/>
    </row>
    <row r="92" spans="1:20" x14ac:dyDescent="0.3">
      <c r="A92" s="2">
        <f t="shared" si="7"/>
        <v>91</v>
      </c>
      <c r="B92" s="2">
        <v>19</v>
      </c>
      <c r="C92" s="2" t="str" cm="1">
        <f t="array" ref="C92">GetValue("Tbl",B92,"Alias")</f>
        <v>Req</v>
      </c>
      <c r="D92" s="2">
        <v>1</v>
      </c>
      <c r="E92" s="2" t="str">
        <f t="array" ref="E92">GetValue("Dmn",D92,"Name")</f>
        <v>BigInteger</v>
      </c>
      <c r="F92" s="2">
        <v>5</v>
      </c>
      <c r="G92" s="2" t="s">
        <v>0</v>
      </c>
      <c r="H92" s="2" t="s">
        <v>402</v>
      </c>
      <c r="I92" s="2" t="s">
        <v>0</v>
      </c>
      <c r="J92" s="2" t="s">
        <v>0</v>
      </c>
      <c r="K92" s="17"/>
      <c r="L92" s="17">
        <v>1</v>
      </c>
      <c r="M92" s="17"/>
      <c r="N92" s="2" t="b">
        <v>1</v>
      </c>
      <c r="O92" s="2" t="b">
        <v>1</v>
      </c>
      <c r="P92" s="2" t="b">
        <v>0</v>
      </c>
      <c r="Q92" s="2" t="b">
        <v>0</v>
      </c>
      <c r="R92" s="2"/>
      <c r="S92" s="2"/>
      <c r="T92" s="5" t="b">
        <v>0</v>
      </c>
    </row>
    <row r="93" spans="1:20" x14ac:dyDescent="0.3">
      <c r="A93" s="2">
        <f t="shared" si="7"/>
        <v>92</v>
      </c>
      <c r="B93" s="2">
        <v>19</v>
      </c>
      <c r="C93" s="2" t="str" cm="1">
        <f t="array" ref="C93">GetValue("Tbl",B93,"Alias")</f>
        <v>Req</v>
      </c>
      <c r="D93" s="2">
        <v>1</v>
      </c>
      <c r="E93" s="2" t="str">
        <f t="array" ref="E93">GetValue("Dmn",D93,"Name")</f>
        <v>BigInteger</v>
      </c>
      <c r="F93" s="2">
        <f>F92+5</f>
        <v>10</v>
      </c>
      <c r="G93" s="2" t="s">
        <v>81</v>
      </c>
      <c r="H93" s="2" t="s">
        <v>403</v>
      </c>
      <c r="I93" s="2" t="s">
        <v>129</v>
      </c>
      <c r="J93" s="2" t="s">
        <v>129</v>
      </c>
      <c r="K93" s="17"/>
      <c r="L93" s="17">
        <v>1</v>
      </c>
      <c r="M93" s="17"/>
      <c r="N93" s="2" t="b">
        <v>1</v>
      </c>
      <c r="O93" s="2" t="b">
        <v>1</v>
      </c>
      <c r="P93" s="2" t="b">
        <v>1</v>
      </c>
      <c r="Q93" s="2" t="b">
        <v>1</v>
      </c>
      <c r="R93" s="2"/>
      <c r="S93" s="2"/>
      <c r="T93" s="5" t="b">
        <v>0</v>
      </c>
    </row>
    <row r="94" spans="1:20" x14ac:dyDescent="0.3">
      <c r="A94" s="2">
        <f t="shared" si="7"/>
        <v>93</v>
      </c>
      <c r="B94" s="2">
        <v>19</v>
      </c>
      <c r="C94" s="2" t="str" cm="1">
        <f t="array" ref="C94">GetValue("Tbl",B94,"Alias")</f>
        <v>Req</v>
      </c>
      <c r="D94" s="2">
        <v>4</v>
      </c>
      <c r="E94" s="2" t="str">
        <f t="array" ref="E94">GetValue("Dmn",D94,"Name")</f>
        <v>SmallInteger</v>
      </c>
      <c r="F94" s="2">
        <f>F93+5</f>
        <v>15</v>
      </c>
      <c r="G94" s="2" t="s">
        <v>405</v>
      </c>
      <c r="H94" s="2" t="s">
        <v>404</v>
      </c>
      <c r="I94" s="2" t="s">
        <v>90</v>
      </c>
      <c r="J94" s="2" t="s">
        <v>90</v>
      </c>
      <c r="K94" s="17">
        <v>0</v>
      </c>
      <c r="L94" s="17">
        <v>0</v>
      </c>
      <c r="M94" s="17"/>
      <c r="N94" s="2" t="b">
        <v>0</v>
      </c>
      <c r="O94" s="2" t="b">
        <v>0</v>
      </c>
      <c r="P94" s="2" t="b">
        <v>1</v>
      </c>
      <c r="Q94" s="2" t="b">
        <v>1</v>
      </c>
      <c r="R94" s="2"/>
      <c r="S94" s="2"/>
      <c r="T94" s="5" t="b">
        <v>0</v>
      </c>
    </row>
    <row r="95" spans="1:20" x14ac:dyDescent="0.3">
      <c r="A95" s="2">
        <f t="shared" si="7"/>
        <v>94</v>
      </c>
      <c r="B95" s="2">
        <v>19</v>
      </c>
      <c r="C95" s="2" t="str" cm="1">
        <f t="array" ref="C95">GetValue("Tbl",B95,"Alias")</f>
        <v>Req</v>
      </c>
      <c r="D95" s="2">
        <v>4</v>
      </c>
      <c r="E95" s="2" t="str">
        <f t="array" ref="E95">GetValue("Dmn",D95,"Name")</f>
        <v>SmallInteger</v>
      </c>
      <c r="F95" s="2">
        <f>F94+5</f>
        <v>20</v>
      </c>
      <c r="G95" s="2" t="s">
        <v>406</v>
      </c>
      <c r="H95" s="2" t="s">
        <v>407</v>
      </c>
      <c r="I95" s="2" t="s">
        <v>92</v>
      </c>
      <c r="J95" s="2" t="s">
        <v>92</v>
      </c>
      <c r="K95" s="17">
        <v>0</v>
      </c>
      <c r="L95" s="17">
        <v>0</v>
      </c>
      <c r="M95" s="17"/>
      <c r="N95" s="2" t="b">
        <v>0</v>
      </c>
      <c r="O95" s="2" t="b">
        <v>0</v>
      </c>
      <c r="P95" s="2" t="b">
        <v>1</v>
      </c>
      <c r="Q95" s="2" t="b">
        <v>1</v>
      </c>
      <c r="R95" s="2"/>
      <c r="S95" s="2"/>
      <c r="T95" s="5" t="b">
        <v>0</v>
      </c>
    </row>
    <row r="96" spans="1:20" x14ac:dyDescent="0.3">
      <c r="A96" s="2">
        <f t="shared" si="7"/>
        <v>95</v>
      </c>
      <c r="B96" s="2">
        <v>19</v>
      </c>
      <c r="C96" s="2" t="str" cm="1">
        <f t="array" ref="C96">GetValue("Tbl",B96,"Alias")</f>
        <v>Req</v>
      </c>
      <c r="D96" s="2">
        <v>6</v>
      </c>
      <c r="E96" s="2" t="str">
        <f t="array" ref="E96">GetValue("Dmn",D96,"Name")</f>
        <v>Boolean</v>
      </c>
      <c r="F96" s="2">
        <f>F95+5</f>
        <v>25</v>
      </c>
      <c r="G96" s="2" t="s">
        <v>410</v>
      </c>
      <c r="H96" s="2" t="s">
        <v>408</v>
      </c>
      <c r="I96" s="2" t="s">
        <v>409</v>
      </c>
      <c r="J96" s="2" t="s">
        <v>409</v>
      </c>
      <c r="K96" s="17"/>
      <c r="L96" s="17" t="s">
        <v>23</v>
      </c>
      <c r="M96" s="17"/>
      <c r="N96" s="2" t="b">
        <v>0</v>
      </c>
      <c r="O96" s="2" t="b">
        <v>1</v>
      </c>
      <c r="P96" s="2" t="b">
        <v>1</v>
      </c>
      <c r="Q96" s="2" t="b">
        <v>1</v>
      </c>
      <c r="R96" s="2"/>
      <c r="S96" s="2"/>
      <c r="T96" s="5"/>
    </row>
    <row r="97" spans="1:20" s="13" customFormat="1" x14ac:dyDescent="0.3">
      <c r="A97" s="10">
        <f t="shared" si="7"/>
        <v>96</v>
      </c>
      <c r="B97" s="10">
        <v>20</v>
      </c>
      <c r="C97" s="11" t="str" cm="1">
        <f t="array" ref="C97">GetValue("Tbl",B97,"Alias")</f>
        <v>Idx</v>
      </c>
      <c r="D97" s="10">
        <v>1</v>
      </c>
      <c r="E97" s="10" t="str">
        <f t="array" ref="E97">GetValue("Dmn",D97,"Name")</f>
        <v>BigInteger</v>
      </c>
      <c r="F97" s="10">
        <v>5</v>
      </c>
      <c r="G97" s="10" t="s">
        <v>0</v>
      </c>
      <c r="H97" s="10" t="s">
        <v>374</v>
      </c>
      <c r="I97" s="10" t="s">
        <v>0</v>
      </c>
      <c r="J97" s="10" t="s">
        <v>0</v>
      </c>
      <c r="K97" s="19"/>
      <c r="L97" s="19">
        <v>1</v>
      </c>
      <c r="M97" s="19"/>
      <c r="N97" s="10" t="b">
        <v>1</v>
      </c>
      <c r="O97" s="10" t="b">
        <v>1</v>
      </c>
      <c r="P97" s="10" t="b">
        <v>0</v>
      </c>
      <c r="Q97" s="10" t="b">
        <v>0</v>
      </c>
      <c r="R97" s="10"/>
      <c r="S97" s="10"/>
      <c r="T97" s="12" t="b">
        <v>0</v>
      </c>
    </row>
    <row r="98" spans="1:20" s="13" customFormat="1" x14ac:dyDescent="0.3">
      <c r="A98" s="10">
        <f t="shared" si="7"/>
        <v>97</v>
      </c>
      <c r="B98" s="10">
        <v>20</v>
      </c>
      <c r="C98" s="11" t="str" cm="1">
        <f t="array" ref="C98">GetValue("Tbl",B98,"Alias")</f>
        <v>Idx</v>
      </c>
      <c r="D98" s="10">
        <v>1</v>
      </c>
      <c r="E98" s="10" t="str">
        <f t="array" ref="E98">GetValue("Dmn",D98,"Name")</f>
        <v>BigInteger</v>
      </c>
      <c r="F98" s="10">
        <f t="shared" ref="F98:F113" si="13">F97+5</f>
        <v>10</v>
      </c>
      <c r="G98" s="10" t="s">
        <v>81</v>
      </c>
      <c r="H98" s="10" t="s">
        <v>375</v>
      </c>
      <c r="I98" s="10" t="s">
        <v>129</v>
      </c>
      <c r="J98" s="10" t="s">
        <v>129</v>
      </c>
      <c r="K98" s="19"/>
      <c r="L98" s="19">
        <v>1</v>
      </c>
      <c r="M98" s="19"/>
      <c r="N98" s="10" t="b">
        <v>1</v>
      </c>
      <c r="O98" s="10" t="b">
        <v>1</v>
      </c>
      <c r="P98" s="10" t="b">
        <v>1</v>
      </c>
      <c r="Q98" s="10" t="b">
        <v>1</v>
      </c>
      <c r="R98" s="10"/>
      <c r="S98" s="10"/>
      <c r="T98" s="12" t="b">
        <v>0</v>
      </c>
    </row>
    <row r="99" spans="1:20" s="13" customFormat="1" x14ac:dyDescent="0.3">
      <c r="A99" s="10">
        <f t="shared" si="7"/>
        <v>98</v>
      </c>
      <c r="B99" s="10">
        <v>20</v>
      </c>
      <c r="C99" s="11" t="str" cm="1">
        <f t="array" ref="C99">GetValue("Tbl",B99,"Alias")</f>
        <v>Idx</v>
      </c>
      <c r="D99" s="10">
        <v>1</v>
      </c>
      <c r="E99" s="10" t="str">
        <f t="array" ref="E99">GetValue("Dmn",D99,"Name")</f>
        <v>BigInteger</v>
      </c>
      <c r="F99" s="10">
        <f t="shared" si="13"/>
        <v>15</v>
      </c>
      <c r="G99" s="10" t="s">
        <v>82</v>
      </c>
      <c r="H99" s="10" t="s">
        <v>130</v>
      </c>
      <c r="I99" s="10" t="s">
        <v>131</v>
      </c>
      <c r="J99" s="10" t="s">
        <v>131</v>
      </c>
      <c r="K99" s="19"/>
      <c r="L99" s="19">
        <v>1</v>
      </c>
      <c r="M99" s="19"/>
      <c r="N99" s="10" t="b">
        <v>1</v>
      </c>
      <c r="O99" s="10" t="b">
        <v>1</v>
      </c>
      <c r="P99" s="10" t="b">
        <v>1</v>
      </c>
      <c r="Q99" s="10" t="b">
        <v>1</v>
      </c>
      <c r="R99" s="10"/>
      <c r="S99" s="10"/>
      <c r="T99" s="12" t="b">
        <v>0</v>
      </c>
    </row>
    <row r="100" spans="1:20" s="13" customFormat="1" x14ac:dyDescent="0.3">
      <c r="A100" s="10">
        <f>ROW(A100)-1</f>
        <v>99</v>
      </c>
      <c r="B100" s="10">
        <v>20</v>
      </c>
      <c r="C100" s="11" t="str" cm="1">
        <f t="array" ref="C100">GetValue("Tbl",B100,"Alias")</f>
        <v>Idx</v>
      </c>
      <c r="D100" s="10">
        <v>4</v>
      </c>
      <c r="E100" s="10" t="str">
        <f t="array" ref="E100">GetValue("Dmn",D100,"Name")</f>
        <v>SmallInteger</v>
      </c>
      <c r="F100" s="10">
        <f t="shared" si="13"/>
        <v>20</v>
      </c>
      <c r="G100" s="10" t="s">
        <v>49</v>
      </c>
      <c r="H100" s="10" t="s">
        <v>376</v>
      </c>
      <c r="I100" s="10" t="s">
        <v>114</v>
      </c>
      <c r="J100" s="10" t="s">
        <v>114</v>
      </c>
      <c r="K100" s="19"/>
      <c r="L100" s="19">
        <v>1</v>
      </c>
      <c r="M100" s="19"/>
      <c r="N100" s="10" t="b">
        <v>1</v>
      </c>
      <c r="O100" s="10" t="b">
        <v>1</v>
      </c>
      <c r="P100" s="10" t="b">
        <v>1</v>
      </c>
      <c r="Q100" s="10" t="b">
        <v>1</v>
      </c>
      <c r="R100" s="10"/>
      <c r="S100" s="10"/>
      <c r="T100" s="12" t="b">
        <v>0</v>
      </c>
    </row>
    <row r="101" spans="1:20" s="13" customFormat="1" x14ac:dyDescent="0.3">
      <c r="A101" s="10">
        <f t="shared" si="7"/>
        <v>100</v>
      </c>
      <c r="B101" s="10">
        <v>20</v>
      </c>
      <c r="C101" s="11" t="str" cm="1">
        <f t="array" ref="C101">GetValue("Tbl",B101,"Alias")</f>
        <v>Idx</v>
      </c>
      <c r="D101" s="10">
        <v>9</v>
      </c>
      <c r="E101" s="10" t="str">
        <f t="array" ref="E101">GetValue("Dmn",D101,"Name")</f>
        <v>Varchar(25)</v>
      </c>
      <c r="F101" s="10">
        <f t="shared" si="13"/>
        <v>25</v>
      </c>
      <c r="G101" s="10" t="s">
        <v>1</v>
      </c>
      <c r="H101" s="10" t="s">
        <v>132</v>
      </c>
      <c r="I101" s="10" t="s">
        <v>88</v>
      </c>
      <c r="J101" s="10" t="s">
        <v>88</v>
      </c>
      <c r="K101" s="19"/>
      <c r="L101" s="19" t="s">
        <v>23</v>
      </c>
      <c r="M101" s="19"/>
      <c r="N101" s="10" t="b">
        <v>1</v>
      </c>
      <c r="O101" s="10" t="b">
        <v>1</v>
      </c>
      <c r="P101" s="10" t="b">
        <v>1</v>
      </c>
      <c r="Q101" s="10" t="b">
        <v>1</v>
      </c>
      <c r="R101" s="10"/>
      <c r="S101" s="10" t="b">
        <v>0</v>
      </c>
      <c r="T101" s="12"/>
    </row>
    <row r="102" spans="1:20" s="13" customFormat="1" x14ac:dyDescent="0.3">
      <c r="A102" s="10">
        <f t="shared" si="7"/>
        <v>101</v>
      </c>
      <c r="B102" s="10">
        <v>20</v>
      </c>
      <c r="C102" s="11" t="str" cm="1">
        <f t="array" ref="C102">GetValue("Tbl",B102,"Alias")</f>
        <v>Idx</v>
      </c>
      <c r="D102" s="10">
        <v>10</v>
      </c>
      <c r="E102" s="10" t="str">
        <f t="array" ref="E102">GetValue("Dmn",D102,"Name")</f>
        <v>Varchar(50)</v>
      </c>
      <c r="F102" s="10">
        <f t="shared" si="13"/>
        <v>30</v>
      </c>
      <c r="G102" s="10" t="s">
        <v>46</v>
      </c>
      <c r="H102" s="10" t="s">
        <v>133</v>
      </c>
      <c r="I102" s="10" t="s">
        <v>110</v>
      </c>
      <c r="J102" s="10" t="s">
        <v>110</v>
      </c>
      <c r="K102" s="19"/>
      <c r="L102" s="19" t="s">
        <v>23</v>
      </c>
      <c r="M102" s="19"/>
      <c r="N102" s="10" t="b">
        <v>1</v>
      </c>
      <c r="O102" s="10" t="b">
        <v>0</v>
      </c>
      <c r="P102" s="10" t="b">
        <v>1</v>
      </c>
      <c r="Q102" s="10" t="b">
        <v>1</v>
      </c>
      <c r="R102" s="10"/>
      <c r="S102" s="10" t="b">
        <v>0</v>
      </c>
      <c r="T102" s="12"/>
    </row>
    <row r="103" spans="1:20" s="13" customFormat="1" x14ac:dyDescent="0.3">
      <c r="A103" s="10">
        <f t="shared" si="7"/>
        <v>102</v>
      </c>
      <c r="B103" s="10">
        <v>20</v>
      </c>
      <c r="C103" s="11" t="str" cm="1">
        <f t="array" ref="C103">GetValue("Tbl",B103,"Alias")</f>
        <v>Idx</v>
      </c>
      <c r="D103" s="10">
        <v>9</v>
      </c>
      <c r="E103" s="10" t="str">
        <f t="array" ref="E103">GetValue("Dmn",D103,"Name")</f>
        <v>Varchar(25)</v>
      </c>
      <c r="F103" s="10">
        <f t="shared" si="13"/>
        <v>35</v>
      </c>
      <c r="G103" s="10" t="s">
        <v>83</v>
      </c>
      <c r="H103" s="10" t="s">
        <v>134</v>
      </c>
      <c r="I103" s="10" t="s">
        <v>135</v>
      </c>
      <c r="J103" s="10" t="s">
        <v>135</v>
      </c>
      <c r="K103" s="19"/>
      <c r="L103" s="19" t="s">
        <v>23</v>
      </c>
      <c r="M103" s="19"/>
      <c r="N103" s="10" t="b">
        <v>1</v>
      </c>
      <c r="O103" s="10" t="b">
        <v>0</v>
      </c>
      <c r="P103" s="10" t="b">
        <v>1</v>
      </c>
      <c r="Q103" s="10" t="b">
        <v>1</v>
      </c>
      <c r="R103" s="10"/>
      <c r="S103" s="10" t="b">
        <v>0</v>
      </c>
      <c r="T103" s="12"/>
    </row>
    <row r="104" spans="1:20" s="13" customFormat="1" x14ac:dyDescent="0.3">
      <c r="A104" s="10">
        <f t="shared" si="7"/>
        <v>103</v>
      </c>
      <c r="B104" s="10">
        <v>20</v>
      </c>
      <c r="C104" s="11" t="str" cm="1">
        <f t="array" ref="C104">GetValue("Tbl",B104,"Alias")</f>
        <v>Idx</v>
      </c>
      <c r="D104" s="10">
        <v>9</v>
      </c>
      <c r="E104" s="10" t="str">
        <f t="array" ref="E104">GetValue("Dmn",D104,"Name")</f>
        <v>Varchar(25)</v>
      </c>
      <c r="F104" s="10">
        <f t="shared" si="13"/>
        <v>40</v>
      </c>
      <c r="G104" s="10" t="s">
        <v>50</v>
      </c>
      <c r="H104" s="10" t="s">
        <v>136</v>
      </c>
      <c r="I104" s="10" t="s">
        <v>137</v>
      </c>
      <c r="J104" s="10" t="s">
        <v>137</v>
      </c>
      <c r="K104" s="19"/>
      <c r="L104" s="19" t="s">
        <v>23</v>
      </c>
      <c r="M104" s="19"/>
      <c r="N104" s="10" t="b">
        <v>1</v>
      </c>
      <c r="O104" s="10" t="b">
        <v>0</v>
      </c>
      <c r="P104" s="10" t="b">
        <v>1</v>
      </c>
      <c r="Q104" s="10" t="b">
        <v>1</v>
      </c>
      <c r="R104" s="10"/>
      <c r="S104" s="10" t="b">
        <v>0</v>
      </c>
      <c r="T104" s="12"/>
    </row>
    <row r="105" spans="1:20" s="13" customFormat="1" x14ac:dyDescent="0.3">
      <c r="A105" s="10">
        <f t="shared" si="7"/>
        <v>104</v>
      </c>
      <c r="B105" s="10">
        <v>20</v>
      </c>
      <c r="C105" s="11" t="str" cm="1">
        <f t="array" ref="C105">GetValue("Tbl",B105,"Alias")</f>
        <v>Idx</v>
      </c>
      <c r="D105" s="10">
        <v>17</v>
      </c>
      <c r="E105" s="10" t="str">
        <f t="array" ref="E105">GetValue("Dmn",D105,"Name")</f>
        <v>Variant</v>
      </c>
      <c r="F105" s="10">
        <f t="shared" si="13"/>
        <v>45</v>
      </c>
      <c r="G105" s="10" t="s">
        <v>28</v>
      </c>
      <c r="H105" s="10" t="s">
        <v>138</v>
      </c>
      <c r="I105" s="10" t="s">
        <v>139</v>
      </c>
      <c r="J105" s="10" t="s">
        <v>139</v>
      </c>
      <c r="K105" s="19"/>
      <c r="L105" s="19" t="s">
        <v>23</v>
      </c>
      <c r="M105" s="19"/>
      <c r="N105" s="10" t="b">
        <v>0</v>
      </c>
      <c r="O105" s="10"/>
      <c r="P105" s="10" t="b">
        <v>1</v>
      </c>
      <c r="Q105" s="10"/>
      <c r="R105" s="10"/>
      <c r="S105" s="10"/>
      <c r="T105" s="12"/>
    </row>
    <row r="106" spans="1:20" s="13" customFormat="1" x14ac:dyDescent="0.3">
      <c r="A106" s="10">
        <f t="shared" si="7"/>
        <v>105</v>
      </c>
      <c r="B106" s="10">
        <v>20</v>
      </c>
      <c r="C106" s="11" t="str" cm="1">
        <f t="array" ref="C106">GetValue("Tbl",B106,"Alias")</f>
        <v>Idx</v>
      </c>
      <c r="D106" s="10">
        <v>17</v>
      </c>
      <c r="E106" s="10" t="str">
        <f t="array" ref="E106">GetValue("Dmn",D106,"Name")</f>
        <v>Variant</v>
      </c>
      <c r="F106" s="10">
        <f t="shared" si="13"/>
        <v>50</v>
      </c>
      <c r="G106" s="10" t="s">
        <v>17</v>
      </c>
      <c r="H106" s="10" t="s">
        <v>140</v>
      </c>
      <c r="I106" s="10" t="s">
        <v>90</v>
      </c>
      <c r="J106" s="10" t="s">
        <v>90</v>
      </c>
      <c r="K106" s="19"/>
      <c r="L106" s="19" t="s">
        <v>23</v>
      </c>
      <c r="M106" s="19"/>
      <c r="N106" s="10" t="b">
        <v>0</v>
      </c>
      <c r="O106" s="10"/>
      <c r="P106" s="10" t="b">
        <v>1</v>
      </c>
      <c r="Q106" s="10"/>
      <c r="R106" s="10"/>
      <c r="S106" s="10"/>
      <c r="T106" s="12"/>
    </row>
    <row r="107" spans="1:20" s="13" customFormat="1" x14ac:dyDescent="0.3">
      <c r="A107" s="10">
        <f t="shared" ref="A107:A188" si="14">ROW(A107)-1</f>
        <v>106</v>
      </c>
      <c r="B107" s="10">
        <v>20</v>
      </c>
      <c r="C107" s="11" t="str" cm="1">
        <f t="array" ref="C107">GetValue("Tbl",B107,"Alias")</f>
        <v>Idx</v>
      </c>
      <c r="D107" s="10">
        <v>17</v>
      </c>
      <c r="E107" s="10" t="str">
        <f t="array" ref="E107">GetValue("Dmn",D107,"Name")</f>
        <v>Variant</v>
      </c>
      <c r="F107" s="10">
        <f t="shared" si="13"/>
        <v>55</v>
      </c>
      <c r="G107" s="10" t="s">
        <v>18</v>
      </c>
      <c r="H107" s="10" t="s">
        <v>141</v>
      </c>
      <c r="I107" s="10" t="s">
        <v>92</v>
      </c>
      <c r="J107" s="10" t="s">
        <v>92</v>
      </c>
      <c r="K107" s="19"/>
      <c r="L107" s="19" t="s">
        <v>23</v>
      </c>
      <c r="M107" s="19"/>
      <c r="N107" s="10" t="b">
        <v>0</v>
      </c>
      <c r="O107" s="10"/>
      <c r="P107" s="10" t="b">
        <v>1</v>
      </c>
      <c r="Q107" s="10"/>
      <c r="R107" s="10"/>
      <c r="S107" s="10"/>
      <c r="T107" s="12"/>
    </row>
    <row r="108" spans="1:20" s="13" customFormat="1" x14ac:dyDescent="0.3">
      <c r="A108" s="10">
        <f t="shared" si="14"/>
        <v>107</v>
      </c>
      <c r="B108" s="10">
        <v>20</v>
      </c>
      <c r="C108" s="11" t="str" cm="1">
        <f t="array" ref="C108">GetValue("Tbl",B108,"Alias")</f>
        <v>Idx</v>
      </c>
      <c r="D108" s="10">
        <v>6</v>
      </c>
      <c r="E108" s="10" t="str">
        <f t="array" ref="E108">GetValue("Dmn",D108,"Name")</f>
        <v>Boolean</v>
      </c>
      <c r="F108" s="10">
        <f t="shared" si="13"/>
        <v>60</v>
      </c>
      <c r="G108" s="10" t="s">
        <v>84</v>
      </c>
      <c r="H108" s="10" t="s">
        <v>142</v>
      </c>
      <c r="I108" s="10" t="s">
        <v>191</v>
      </c>
      <c r="J108" s="10" t="s">
        <v>191</v>
      </c>
      <c r="K108" s="19"/>
      <c r="L108" s="19" t="s">
        <v>23</v>
      </c>
      <c r="M108" s="19"/>
      <c r="N108" s="10" t="b">
        <v>1</v>
      </c>
      <c r="O108" s="10" t="b">
        <v>1</v>
      </c>
      <c r="P108" s="10" t="b">
        <v>1</v>
      </c>
      <c r="Q108" s="10" t="b">
        <v>0</v>
      </c>
      <c r="R108" s="10"/>
      <c r="S108" s="10"/>
      <c r="T108" s="12"/>
    </row>
    <row r="109" spans="1:20" s="13" customFormat="1" x14ac:dyDescent="0.3">
      <c r="A109" s="10">
        <f t="shared" si="14"/>
        <v>108</v>
      </c>
      <c r="B109" s="10">
        <v>20</v>
      </c>
      <c r="C109" s="11" t="str" cm="1">
        <f t="array" ref="C109">GetValue("Tbl",B109,"Alias")</f>
        <v>Idx</v>
      </c>
      <c r="D109" s="10">
        <v>6</v>
      </c>
      <c r="E109" s="10" t="str">
        <f t="array" ref="E109">GetValue("Dmn",D109,"Name")</f>
        <v>Boolean</v>
      </c>
      <c r="F109" s="10">
        <f t="shared" si="13"/>
        <v>65</v>
      </c>
      <c r="G109" s="10" t="s">
        <v>85</v>
      </c>
      <c r="H109" s="10" t="s">
        <v>143</v>
      </c>
      <c r="I109" s="10" t="s">
        <v>192</v>
      </c>
      <c r="J109" s="10" t="s">
        <v>192</v>
      </c>
      <c r="K109" s="19"/>
      <c r="L109" s="19" t="s">
        <v>23</v>
      </c>
      <c r="M109" s="19"/>
      <c r="N109" s="10" t="b">
        <v>0</v>
      </c>
      <c r="O109" s="10" t="b">
        <v>1</v>
      </c>
      <c r="P109" s="10" t="b">
        <v>1</v>
      </c>
      <c r="Q109" s="10" t="b">
        <v>1</v>
      </c>
      <c r="R109" s="10"/>
      <c r="S109" s="10"/>
      <c r="T109" s="12"/>
    </row>
    <row r="110" spans="1:20" s="13" customFormat="1" x14ac:dyDescent="0.3">
      <c r="A110" s="10">
        <f t="shared" si="14"/>
        <v>109</v>
      </c>
      <c r="B110" s="10">
        <v>20</v>
      </c>
      <c r="C110" s="11" t="str" cm="1">
        <f t="array" ref="C110">GetValue("Tbl",B110,"Alias")</f>
        <v>Idx</v>
      </c>
      <c r="D110" s="10">
        <v>6</v>
      </c>
      <c r="E110" s="10" t="str">
        <f t="array" ref="E110">GetValue("Dmn",D110,"Name")</f>
        <v>Boolean</v>
      </c>
      <c r="F110" s="10">
        <f t="shared" si="13"/>
        <v>70</v>
      </c>
      <c r="G110" s="10" t="s">
        <v>86</v>
      </c>
      <c r="H110" s="10" t="s">
        <v>144</v>
      </c>
      <c r="I110" s="10" t="s">
        <v>193</v>
      </c>
      <c r="J110" s="10" t="s">
        <v>193</v>
      </c>
      <c r="K110" s="19"/>
      <c r="L110" s="19" t="s">
        <v>23</v>
      </c>
      <c r="M110" s="19"/>
      <c r="N110" s="10" t="b">
        <v>0</v>
      </c>
      <c r="O110" s="10" t="b">
        <v>1</v>
      </c>
      <c r="P110" s="10" t="b">
        <v>1</v>
      </c>
      <c r="Q110" s="10" t="b">
        <v>1</v>
      </c>
      <c r="R110" s="10"/>
      <c r="S110" s="10"/>
      <c r="T110" s="12"/>
    </row>
    <row r="111" spans="1:20" s="13" customFormat="1" x14ac:dyDescent="0.3">
      <c r="A111" s="10">
        <f t="shared" si="14"/>
        <v>110</v>
      </c>
      <c r="B111" s="10">
        <v>20</v>
      </c>
      <c r="C111" s="11" t="str" cm="1">
        <f t="array" ref="C111">GetValue("Tbl",B111,"Alias")</f>
        <v>Idx</v>
      </c>
      <c r="D111" s="10">
        <v>6</v>
      </c>
      <c r="E111" s="10" t="str">
        <f t="array" ref="E111">GetValue("Dmn",D111,"Name")</f>
        <v>Boolean</v>
      </c>
      <c r="F111" s="10">
        <f t="shared" si="13"/>
        <v>75</v>
      </c>
      <c r="G111" s="10" t="s">
        <v>188</v>
      </c>
      <c r="H111" s="10" t="s">
        <v>190</v>
      </c>
      <c r="I111" s="10" t="s">
        <v>194</v>
      </c>
      <c r="J111" s="10" t="s">
        <v>194</v>
      </c>
      <c r="K111" s="19"/>
      <c r="L111" s="19" t="s">
        <v>23</v>
      </c>
      <c r="M111" s="19"/>
      <c r="N111" s="10" t="b">
        <v>0</v>
      </c>
      <c r="O111" s="10" t="b">
        <v>1</v>
      </c>
      <c r="P111" s="10" t="b">
        <v>1</v>
      </c>
      <c r="Q111" s="10" t="b">
        <v>1</v>
      </c>
      <c r="R111" s="10"/>
      <c r="S111" s="10"/>
      <c r="T111" s="12"/>
    </row>
    <row r="112" spans="1:20" s="13" customFormat="1" x14ac:dyDescent="0.3">
      <c r="A112" s="10">
        <f t="shared" si="14"/>
        <v>111</v>
      </c>
      <c r="B112" s="10">
        <v>20</v>
      </c>
      <c r="C112" s="11" t="str" cm="1">
        <f t="array" ref="C112">GetValue("Tbl",B112,"Alias")</f>
        <v>Idx</v>
      </c>
      <c r="D112" s="10">
        <v>6</v>
      </c>
      <c r="E112" s="10" t="str">
        <f t="array" ref="E112">GetValue("Dmn",D112,"Name")</f>
        <v>Boolean</v>
      </c>
      <c r="F112" s="10">
        <f t="shared" si="13"/>
        <v>80</v>
      </c>
      <c r="G112" s="10" t="s">
        <v>87</v>
      </c>
      <c r="H112" s="10" t="s">
        <v>145</v>
      </c>
      <c r="I112" s="10" t="s">
        <v>195</v>
      </c>
      <c r="J112" s="10" t="s">
        <v>195</v>
      </c>
      <c r="K112" s="19"/>
      <c r="L112" s="19" t="s">
        <v>23</v>
      </c>
      <c r="M112" s="19"/>
      <c r="N112" s="10" t="b">
        <v>0</v>
      </c>
      <c r="O112" s="10" t="b">
        <v>1</v>
      </c>
      <c r="P112" s="10" t="b">
        <v>1</v>
      </c>
      <c r="Q112" s="10" t="b">
        <v>1</v>
      </c>
      <c r="R112" s="10"/>
      <c r="S112" s="10"/>
      <c r="T112" s="12"/>
    </row>
    <row r="113" spans="1:20" s="13" customFormat="1" x14ac:dyDescent="0.3">
      <c r="A113" s="10">
        <f t="shared" si="14"/>
        <v>112</v>
      </c>
      <c r="B113" s="10">
        <v>20</v>
      </c>
      <c r="C113" s="11" t="str" cm="1">
        <f t="array" ref="C113">GetValue("Tbl",B113,"Alias")</f>
        <v>Idx</v>
      </c>
      <c r="D113" s="10">
        <v>6</v>
      </c>
      <c r="E113" s="10" t="str">
        <f t="array" ref="E113">GetValue("Dmn",D113,"Name")</f>
        <v>Boolean</v>
      </c>
      <c r="F113" s="10">
        <f t="shared" si="13"/>
        <v>85</v>
      </c>
      <c r="G113" s="10" t="s">
        <v>201</v>
      </c>
      <c r="H113" s="10" t="s">
        <v>200</v>
      </c>
      <c r="I113" s="10" t="s">
        <v>202</v>
      </c>
      <c r="J113" s="10" t="s">
        <v>202</v>
      </c>
      <c r="K113" s="19"/>
      <c r="L113" s="19" t="s">
        <v>23</v>
      </c>
      <c r="M113" s="19"/>
      <c r="N113" s="10" t="b">
        <v>0</v>
      </c>
      <c r="O113" s="10" t="b">
        <v>1</v>
      </c>
      <c r="P113" s="10" t="b">
        <v>1</v>
      </c>
      <c r="Q113" s="10" t="b">
        <v>1</v>
      </c>
      <c r="R113" s="10"/>
      <c r="S113" s="10"/>
      <c r="T113" s="12"/>
    </row>
    <row r="114" spans="1:20" x14ac:dyDescent="0.3">
      <c r="A114" s="2">
        <f t="shared" si="14"/>
        <v>113</v>
      </c>
      <c r="B114" s="2">
        <v>21</v>
      </c>
      <c r="C114" s="2" t="str" cm="1">
        <f t="array" ref="C114">GetValue("Tbl",B114,"Alias")</f>
        <v>IdxKey</v>
      </c>
      <c r="D114" s="2">
        <v>1</v>
      </c>
      <c r="E114" s="2" t="str">
        <f t="array" ref="E114">GetValue("Dmn",D114,"Name")</f>
        <v>BigInteger</v>
      </c>
      <c r="F114" s="2">
        <v>5</v>
      </c>
      <c r="G114" s="2" t="s">
        <v>0</v>
      </c>
      <c r="H114" s="2" t="s">
        <v>500</v>
      </c>
      <c r="I114" s="2" t="s">
        <v>0</v>
      </c>
      <c r="J114" s="2" t="s">
        <v>0</v>
      </c>
      <c r="K114" s="17"/>
      <c r="L114" s="17">
        <v>1</v>
      </c>
      <c r="M114" s="17"/>
      <c r="N114" s="2" t="b">
        <v>1</v>
      </c>
      <c r="O114" s="2" t="b">
        <v>1</v>
      </c>
      <c r="P114" s="2" t="b">
        <v>0</v>
      </c>
      <c r="Q114" s="2" t="b">
        <v>0</v>
      </c>
      <c r="R114" s="2"/>
      <c r="S114" s="2"/>
      <c r="T114" s="5" t="b">
        <v>0</v>
      </c>
    </row>
    <row r="115" spans="1:20" x14ac:dyDescent="0.3">
      <c r="A115" s="2">
        <f t="shared" si="14"/>
        <v>114</v>
      </c>
      <c r="B115" s="2">
        <v>21</v>
      </c>
      <c r="C115" s="2" t="str" cm="1">
        <f t="array" ref="C115">GetValue("Tbl",B115,"Alias")</f>
        <v>IdxKey</v>
      </c>
      <c r="D115" s="2">
        <v>1</v>
      </c>
      <c r="E115" s="2" t="str">
        <f t="array" ref="E115">GetValue("Dmn",D115,"Name")</f>
        <v>BigInteger</v>
      </c>
      <c r="F115" s="2">
        <f>F114+5</f>
        <v>10</v>
      </c>
      <c r="G115" s="2" t="s">
        <v>152</v>
      </c>
      <c r="H115" s="2" t="s">
        <v>501</v>
      </c>
      <c r="I115" s="2" t="s">
        <v>153</v>
      </c>
      <c r="J115" s="2" t="s">
        <v>153</v>
      </c>
      <c r="K115" s="17"/>
      <c r="L115" s="17" t="s">
        <v>23</v>
      </c>
      <c r="M115" s="17"/>
      <c r="N115" s="2" t="b">
        <v>1</v>
      </c>
      <c r="O115" s="2" t="b">
        <v>1</v>
      </c>
      <c r="P115" s="2" t="b">
        <v>1</v>
      </c>
      <c r="Q115" s="2" t="b">
        <v>1</v>
      </c>
      <c r="R115" s="2"/>
      <c r="S115" s="2"/>
      <c r="T115" s="5" t="b">
        <v>0</v>
      </c>
    </row>
    <row r="116" spans="1:20" x14ac:dyDescent="0.3">
      <c r="A116" s="2">
        <f t="shared" si="14"/>
        <v>115</v>
      </c>
      <c r="B116" s="2">
        <v>21</v>
      </c>
      <c r="C116" s="2" t="str" cm="1">
        <f t="array" ref="C116">GetValue("Tbl",B116,"Alias")</f>
        <v>IdxKey</v>
      </c>
      <c r="D116" s="2">
        <v>1</v>
      </c>
      <c r="E116" s="2" t="str">
        <f t="array" ref="E116">GetValue("Dmn",D116,"Name")</f>
        <v>BigInteger</v>
      </c>
      <c r="F116" s="2">
        <f>F115+5</f>
        <v>15</v>
      </c>
      <c r="G116" s="2" t="s">
        <v>81</v>
      </c>
      <c r="H116" s="2" t="s">
        <v>606</v>
      </c>
      <c r="I116" s="2" t="s">
        <v>589</v>
      </c>
      <c r="J116" s="2" t="s">
        <v>589</v>
      </c>
      <c r="K116" s="17"/>
      <c r="L116" s="17" t="s">
        <v>23</v>
      </c>
      <c r="M116" s="17"/>
      <c r="N116" s="2" t="b">
        <v>1</v>
      </c>
      <c r="O116" s="2" t="b">
        <v>0</v>
      </c>
      <c r="P116" s="2" t="b">
        <v>1</v>
      </c>
      <c r="Q116" s="2" t="b">
        <v>1</v>
      </c>
      <c r="R116" s="2"/>
      <c r="S116" s="2"/>
      <c r="T116" s="5" t="b">
        <v>0</v>
      </c>
    </row>
    <row r="117" spans="1:20" x14ac:dyDescent="0.3">
      <c r="A117" s="2">
        <f t="shared" si="14"/>
        <v>116</v>
      </c>
      <c r="B117" s="2">
        <v>21</v>
      </c>
      <c r="C117" s="2" t="str" cm="1">
        <f t="array" ref="C117">GetValue("Tbl",B117,"Alias")</f>
        <v>IdxKey</v>
      </c>
      <c r="D117" s="2">
        <v>1</v>
      </c>
      <c r="E117" s="2" t="str">
        <f t="array" ref="E117">GetValue("Dmn",D117,"Name")</f>
        <v>BigInteger</v>
      </c>
      <c r="F117" s="2">
        <f>F116+5</f>
        <v>20</v>
      </c>
      <c r="G117" s="2" t="s">
        <v>588</v>
      </c>
      <c r="H117" s="2" t="s">
        <v>590</v>
      </c>
      <c r="I117" s="2" t="s">
        <v>591</v>
      </c>
      <c r="J117" s="2" t="s">
        <v>591</v>
      </c>
      <c r="K117" s="17"/>
      <c r="L117" s="17" t="s">
        <v>23</v>
      </c>
      <c r="M117" s="17"/>
      <c r="N117" s="2" t="b">
        <v>1</v>
      </c>
      <c r="O117" s="2" t="b">
        <v>0</v>
      </c>
      <c r="P117" s="2" t="b">
        <v>1</v>
      </c>
      <c r="Q117" s="2" t="b">
        <v>1</v>
      </c>
      <c r="R117" s="2"/>
      <c r="S117" s="2"/>
      <c r="T117" s="5" t="b">
        <v>0</v>
      </c>
    </row>
    <row r="118" spans="1:20" s="13" customFormat="1" x14ac:dyDescent="0.3">
      <c r="A118" s="10">
        <f t="shared" ref="A118:A123" si="15">ROW(A118)-1</f>
        <v>117</v>
      </c>
      <c r="B118" s="10">
        <v>22</v>
      </c>
      <c r="C118" s="11" t="str" cm="1">
        <f t="array" ref="C118">GetValue("Tbl",B118,"Alias")</f>
        <v>IdxInc</v>
      </c>
      <c r="D118" s="10">
        <v>1</v>
      </c>
      <c r="E118" s="10" t="str">
        <f t="array" ref="E118">GetValue("Dmn",D118,"Name")</f>
        <v>BigInteger</v>
      </c>
      <c r="F118" s="10">
        <v>5</v>
      </c>
      <c r="G118" s="10" t="s">
        <v>0</v>
      </c>
      <c r="H118" s="10" t="s">
        <v>607</v>
      </c>
      <c r="I118" s="10" t="s">
        <v>0</v>
      </c>
      <c r="J118" s="10" t="s">
        <v>0</v>
      </c>
      <c r="K118" s="19"/>
      <c r="L118" s="19">
        <v>1</v>
      </c>
      <c r="M118" s="19"/>
      <c r="N118" s="10" t="b">
        <v>1</v>
      </c>
      <c r="O118" s="10" t="b">
        <v>1</v>
      </c>
      <c r="P118" s="10" t="b">
        <v>0</v>
      </c>
      <c r="Q118" s="10" t="b">
        <v>0</v>
      </c>
      <c r="R118" s="10"/>
      <c r="S118" s="10"/>
      <c r="T118" s="12" t="b">
        <v>0</v>
      </c>
    </row>
    <row r="119" spans="1:20" s="13" customFormat="1" x14ac:dyDescent="0.3">
      <c r="A119" s="10">
        <f t="shared" si="15"/>
        <v>118</v>
      </c>
      <c r="B119" s="10">
        <v>22</v>
      </c>
      <c r="C119" s="11" t="str" cm="1">
        <f t="array" ref="C119">GetValue("Tbl",B119,"Alias")</f>
        <v>IdxInc</v>
      </c>
      <c r="D119" s="10">
        <v>1</v>
      </c>
      <c r="E119" s="10" t="str">
        <f t="array" ref="E119">GetValue("Dmn",D119,"Name")</f>
        <v>BigInteger</v>
      </c>
      <c r="F119" s="10">
        <f>F118+5</f>
        <v>10</v>
      </c>
      <c r="G119" s="10" t="s">
        <v>152</v>
      </c>
      <c r="H119" s="10" t="s">
        <v>608</v>
      </c>
      <c r="I119" s="10" t="s">
        <v>153</v>
      </c>
      <c r="J119" s="10" t="s">
        <v>153</v>
      </c>
      <c r="K119" s="19"/>
      <c r="L119" s="19" t="s">
        <v>23</v>
      </c>
      <c r="M119" s="19"/>
      <c r="N119" s="10" t="b">
        <v>1</v>
      </c>
      <c r="O119" s="10" t="b">
        <v>1</v>
      </c>
      <c r="P119" s="10" t="b">
        <v>1</v>
      </c>
      <c r="Q119" s="10" t="b">
        <v>1</v>
      </c>
      <c r="R119" s="10"/>
      <c r="S119" s="10"/>
      <c r="T119" s="12" t="b">
        <v>0</v>
      </c>
    </row>
    <row r="120" spans="1:20" s="13" customFormat="1" x14ac:dyDescent="0.3">
      <c r="A120" s="10">
        <f t="shared" si="15"/>
        <v>119</v>
      </c>
      <c r="B120" s="10">
        <v>22</v>
      </c>
      <c r="C120" s="11" t="str" cm="1">
        <f t="array" ref="C120">GetValue("Tbl",B120,"Alias")</f>
        <v>IdxInc</v>
      </c>
      <c r="D120" s="10">
        <v>1</v>
      </c>
      <c r="E120" s="10" t="str">
        <f t="array" ref="E120">GetValue("Dmn",D120,"Name")</f>
        <v>BigInteger</v>
      </c>
      <c r="F120" s="10">
        <f>F119+5</f>
        <v>15</v>
      </c>
      <c r="G120" s="10" t="s">
        <v>323</v>
      </c>
      <c r="H120" s="10" t="s">
        <v>609</v>
      </c>
      <c r="I120" s="10" t="s">
        <v>411</v>
      </c>
      <c r="J120" s="10" t="s">
        <v>411</v>
      </c>
      <c r="K120" s="19"/>
      <c r="L120" s="19" t="s">
        <v>23</v>
      </c>
      <c r="M120" s="19"/>
      <c r="N120" s="10" t="b">
        <v>1</v>
      </c>
      <c r="O120" s="10" t="b">
        <v>1</v>
      </c>
      <c r="P120" s="10" t="b">
        <v>1</v>
      </c>
      <c r="Q120" s="10" t="b">
        <v>1</v>
      </c>
      <c r="R120" s="10"/>
      <c r="S120" s="10"/>
      <c r="T120" s="12" t="b">
        <v>0</v>
      </c>
    </row>
    <row r="121" spans="1:20" x14ac:dyDescent="0.3">
      <c r="A121" s="2">
        <f t="shared" si="15"/>
        <v>120</v>
      </c>
      <c r="B121" s="2">
        <v>23</v>
      </c>
      <c r="C121" s="2" t="str" cm="1">
        <f t="array" ref="C121">GetValue("Tbl",B121,"Alias")</f>
        <v>Con</v>
      </c>
      <c r="D121" s="2">
        <v>1</v>
      </c>
      <c r="E121" s="2" t="str">
        <f t="array" ref="E121">GetValue("Dmn",D121,"Name")</f>
        <v>BigInteger</v>
      </c>
      <c r="F121" s="2">
        <v>5</v>
      </c>
      <c r="G121" s="2" t="s">
        <v>0</v>
      </c>
      <c r="H121" s="2" t="s">
        <v>506</v>
      </c>
      <c r="I121" s="2" t="s">
        <v>0</v>
      </c>
      <c r="J121" s="2" t="s">
        <v>0</v>
      </c>
      <c r="K121" s="17"/>
      <c r="L121" s="17">
        <v>1</v>
      </c>
      <c r="M121" s="17"/>
      <c r="N121" s="2" t="b">
        <v>1</v>
      </c>
      <c r="O121" s="2" t="b">
        <v>1</v>
      </c>
      <c r="P121" s="2" t="b">
        <v>0</v>
      </c>
      <c r="Q121" s="2" t="b">
        <v>0</v>
      </c>
      <c r="R121" s="2"/>
      <c r="S121" s="2"/>
      <c r="T121" s="2" t="b">
        <v>0</v>
      </c>
    </row>
    <row r="122" spans="1:20" x14ac:dyDescent="0.3">
      <c r="A122" s="2">
        <f t="shared" si="15"/>
        <v>121</v>
      </c>
      <c r="B122" s="2">
        <v>23</v>
      </c>
      <c r="C122" s="2" t="str" cm="1">
        <f t="array" ref="C122">GetValue("Tbl",B122,"Alias")</f>
        <v>Con</v>
      </c>
      <c r="D122" s="2">
        <v>1</v>
      </c>
      <c r="E122" s="2" t="str">
        <f t="array" ref="E122">GetValue("Dmn",D122,"Name")</f>
        <v>BigInteger</v>
      </c>
      <c r="F122" s="2">
        <f>F121+5</f>
        <v>10</v>
      </c>
      <c r="G122" s="2" t="s">
        <v>152</v>
      </c>
      <c r="H122" s="2" t="s">
        <v>507</v>
      </c>
      <c r="I122" s="2" t="s">
        <v>153</v>
      </c>
      <c r="J122" s="2" t="s">
        <v>153</v>
      </c>
      <c r="K122" s="17"/>
      <c r="L122" s="17" t="s">
        <v>23</v>
      </c>
      <c r="M122" s="17"/>
      <c r="N122" s="2" t="b">
        <v>1</v>
      </c>
      <c r="O122" s="2" t="b">
        <v>1</v>
      </c>
      <c r="P122" s="2" t="b">
        <v>1</v>
      </c>
      <c r="Q122" s="2" t="b">
        <v>1</v>
      </c>
      <c r="R122" s="2"/>
      <c r="S122" s="2"/>
      <c r="T122" s="2" t="b">
        <v>0</v>
      </c>
    </row>
    <row r="123" spans="1:20" x14ac:dyDescent="0.3">
      <c r="A123" s="2">
        <f t="shared" si="15"/>
        <v>122</v>
      </c>
      <c r="B123" s="2">
        <v>23</v>
      </c>
      <c r="C123" s="2" t="str" cm="1">
        <f t="array" ref="C123">GetValue("Tbl",B123,"Alias")</f>
        <v>Con</v>
      </c>
      <c r="D123" s="2">
        <v>1</v>
      </c>
      <c r="E123" s="2" t="str">
        <f t="array" ref="E123">GetValue("Dmn",D123,"Name")</f>
        <v>BigInteger</v>
      </c>
      <c r="F123" s="2">
        <f>F122+5</f>
        <v>15</v>
      </c>
      <c r="G123" s="2" t="s">
        <v>323</v>
      </c>
      <c r="H123" s="2" t="s">
        <v>508</v>
      </c>
      <c r="I123" s="2" t="s">
        <v>411</v>
      </c>
      <c r="J123" s="2" t="s">
        <v>411</v>
      </c>
      <c r="K123" s="17"/>
      <c r="L123" s="17" t="s">
        <v>23</v>
      </c>
      <c r="M123" s="17"/>
      <c r="N123" s="2" t="b">
        <v>1</v>
      </c>
      <c r="O123" s="2" t="b">
        <v>1</v>
      </c>
      <c r="P123" s="2" t="b">
        <v>1</v>
      </c>
      <c r="Q123" s="2" t="b">
        <v>1</v>
      </c>
      <c r="R123" s="2"/>
      <c r="S123" s="2"/>
      <c r="T123" s="2" t="b">
        <v>0</v>
      </c>
    </row>
    <row r="124" spans="1:20" s="13" customFormat="1" x14ac:dyDescent="0.3">
      <c r="A124" s="10">
        <f t="shared" si="14"/>
        <v>123</v>
      </c>
      <c r="B124" s="10">
        <v>24</v>
      </c>
      <c r="C124" s="11" t="str" cm="1">
        <f t="array" ref="C124">GetValue("Tbl",B124,"Alias")</f>
        <v>Env</v>
      </c>
      <c r="D124" s="10">
        <v>1</v>
      </c>
      <c r="E124" s="10" t="str">
        <f t="array" ref="E124">GetValue("Dmn",D124,"Name")</f>
        <v>BigInteger</v>
      </c>
      <c r="F124" s="10">
        <v>5</v>
      </c>
      <c r="G124" s="10" t="s">
        <v>0</v>
      </c>
      <c r="H124" s="10" t="s">
        <v>377</v>
      </c>
      <c r="I124" s="10" t="s">
        <v>0</v>
      </c>
      <c r="J124" s="10" t="s">
        <v>0</v>
      </c>
      <c r="K124" s="19"/>
      <c r="L124" s="19">
        <v>1</v>
      </c>
      <c r="M124" s="19"/>
      <c r="N124" s="10" t="b">
        <v>1</v>
      </c>
      <c r="O124" s="10" t="b">
        <v>1</v>
      </c>
      <c r="P124" s="10" t="b">
        <v>0</v>
      </c>
      <c r="Q124" s="10" t="b">
        <v>0</v>
      </c>
      <c r="R124" s="10"/>
      <c r="S124" s="10"/>
      <c r="T124" s="12" t="b">
        <v>0</v>
      </c>
    </row>
    <row r="125" spans="1:20" s="13" customFormat="1" x14ac:dyDescent="0.3">
      <c r="A125" s="10">
        <f t="shared" si="14"/>
        <v>124</v>
      </c>
      <c r="B125" s="10">
        <v>24</v>
      </c>
      <c r="C125" s="11" t="str" cm="1">
        <f t="array" ref="C125">GetValue("Tbl",B125,"Alias")</f>
        <v>Env</v>
      </c>
      <c r="D125" s="10">
        <v>1</v>
      </c>
      <c r="E125" s="10" t="str">
        <f t="array" ref="E125">GetValue("Dmn",D125,"Name")</f>
        <v>BigInteger</v>
      </c>
      <c r="F125" s="10">
        <f>F124+5</f>
        <v>10</v>
      </c>
      <c r="G125" s="10" t="s">
        <v>67</v>
      </c>
      <c r="H125" s="10" t="s">
        <v>570</v>
      </c>
      <c r="I125" s="10" t="s">
        <v>125</v>
      </c>
      <c r="J125" s="10" t="s">
        <v>125</v>
      </c>
      <c r="K125" s="19"/>
      <c r="L125" s="19">
        <v>1</v>
      </c>
      <c r="M125" s="19"/>
      <c r="N125" s="10" t="b">
        <v>1</v>
      </c>
      <c r="O125" s="10" t="b">
        <v>1</v>
      </c>
      <c r="P125" s="10" t="b">
        <v>1</v>
      </c>
      <c r="Q125" s="10" t="b">
        <v>1</v>
      </c>
      <c r="R125" s="10"/>
      <c r="S125" s="10"/>
      <c r="T125" s="12" t="b">
        <v>0</v>
      </c>
    </row>
    <row r="126" spans="1:20" s="13" customFormat="1" x14ac:dyDescent="0.3">
      <c r="A126" s="10">
        <f t="shared" si="14"/>
        <v>125</v>
      </c>
      <c r="B126" s="10">
        <v>24</v>
      </c>
      <c r="C126" s="11" t="str" cm="1">
        <f t="array" ref="C126">GetValue("Tbl",B126,"Alias")</f>
        <v>Env</v>
      </c>
      <c r="D126" s="10">
        <v>1</v>
      </c>
      <c r="E126" s="10" t="str">
        <f t="array" ref="E126">GetValue("Dmn",D126,"Name")</f>
        <v>BigInteger</v>
      </c>
      <c r="F126" s="10">
        <f t="shared" ref="F126:F128" si="16">F125+5</f>
        <v>15</v>
      </c>
      <c r="G126" s="10" t="s">
        <v>81</v>
      </c>
      <c r="H126" s="10" t="s">
        <v>378</v>
      </c>
      <c r="I126" s="10" t="s">
        <v>129</v>
      </c>
      <c r="J126" s="10" t="s">
        <v>129</v>
      </c>
      <c r="K126" s="19"/>
      <c r="L126" s="19">
        <v>1</v>
      </c>
      <c r="M126" s="19"/>
      <c r="N126" s="10" t="b">
        <v>1</v>
      </c>
      <c r="O126" s="10" t="b">
        <v>1</v>
      </c>
      <c r="P126" s="10" t="b">
        <v>1</v>
      </c>
      <c r="Q126" s="10" t="b">
        <v>1</v>
      </c>
      <c r="R126" s="10"/>
      <c r="S126" s="10"/>
      <c r="T126" s="12" t="b">
        <v>0</v>
      </c>
    </row>
    <row r="127" spans="1:20" s="13" customFormat="1" x14ac:dyDescent="0.3">
      <c r="A127" s="10">
        <f t="shared" si="14"/>
        <v>126</v>
      </c>
      <c r="B127" s="10">
        <v>24</v>
      </c>
      <c r="C127" s="11" t="str" cm="1">
        <f t="array" ref="C127">GetValue("Tbl",B127,"Alias")</f>
        <v>Env</v>
      </c>
      <c r="D127" s="10">
        <v>10</v>
      </c>
      <c r="E127" s="10" t="str">
        <f t="array" ref="E127">GetValue("Dmn",D127,"Name")</f>
        <v>Varchar(50)</v>
      </c>
      <c r="F127" s="10">
        <f t="shared" si="16"/>
        <v>20</v>
      </c>
      <c r="G127" s="10" t="s">
        <v>1</v>
      </c>
      <c r="H127" s="10" t="s">
        <v>146</v>
      </c>
      <c r="I127" s="10" t="s">
        <v>88</v>
      </c>
      <c r="J127" s="10" t="s">
        <v>88</v>
      </c>
      <c r="K127" s="19"/>
      <c r="L127" s="19" t="s">
        <v>23</v>
      </c>
      <c r="M127" s="19"/>
      <c r="N127" s="10" t="b">
        <v>1</v>
      </c>
      <c r="O127" s="10" t="b">
        <v>1</v>
      </c>
      <c r="P127" s="10" t="b">
        <v>1</v>
      </c>
      <c r="Q127" s="10" t="b">
        <v>1</v>
      </c>
      <c r="R127" s="10"/>
      <c r="S127" s="10" t="b">
        <v>0</v>
      </c>
      <c r="T127" s="12"/>
    </row>
    <row r="128" spans="1:20" s="13" customFormat="1" x14ac:dyDescent="0.3">
      <c r="A128" s="10">
        <f t="shared" si="14"/>
        <v>127</v>
      </c>
      <c r="B128" s="10">
        <v>24</v>
      </c>
      <c r="C128" s="11" t="str" cm="1">
        <f t="array" ref="C128">GetValue("Tbl",B128,"Alias")</f>
        <v>Env</v>
      </c>
      <c r="D128" s="10">
        <v>6</v>
      </c>
      <c r="E128" s="10" t="str">
        <f t="array" ref="E128">GetValue("Dmn",D128,"Name")</f>
        <v>Boolean</v>
      </c>
      <c r="F128" s="10">
        <f t="shared" si="16"/>
        <v>25</v>
      </c>
      <c r="G128" s="10" t="s">
        <v>147</v>
      </c>
      <c r="H128" s="10" t="s">
        <v>148</v>
      </c>
      <c r="I128" s="10" t="s">
        <v>149</v>
      </c>
      <c r="J128" s="10" t="s">
        <v>149</v>
      </c>
      <c r="K128" s="19"/>
      <c r="L128" s="19" t="s">
        <v>23</v>
      </c>
      <c r="M128" s="19"/>
      <c r="N128" s="10" t="b">
        <v>1</v>
      </c>
      <c r="O128" s="10" t="b">
        <v>1</v>
      </c>
      <c r="P128" s="10" t="b">
        <v>1</v>
      </c>
      <c r="Q128" s="10" t="b">
        <v>1</v>
      </c>
      <c r="R128" s="10"/>
      <c r="S128" s="10"/>
      <c r="T128" s="12"/>
    </row>
    <row r="129" spans="1:20" x14ac:dyDescent="0.3">
      <c r="A129" s="2">
        <f t="shared" si="14"/>
        <v>128</v>
      </c>
      <c r="B129" s="2">
        <v>25</v>
      </c>
      <c r="C129" s="2" t="str" cm="1">
        <f t="array" ref="C129">GetValue("Tbl",B129,"Alias")</f>
        <v>DtbEnv</v>
      </c>
      <c r="D129" s="2">
        <v>1</v>
      </c>
      <c r="E129" s="2" t="str">
        <f t="array" ref="E129">GetValue("Dmn",D129,"Name")</f>
        <v>BigInteger</v>
      </c>
      <c r="F129" s="2">
        <v>5</v>
      </c>
      <c r="G129" s="2" t="s">
        <v>0</v>
      </c>
      <c r="H129" s="2" t="s">
        <v>610</v>
      </c>
      <c r="I129" s="2" t="s">
        <v>0</v>
      </c>
      <c r="J129" s="2" t="s">
        <v>0</v>
      </c>
      <c r="K129" s="17"/>
      <c r="L129" s="18">
        <v>1</v>
      </c>
      <c r="M129" s="18"/>
      <c r="N129" s="2" t="b">
        <v>1</v>
      </c>
      <c r="O129" s="2" t="b">
        <v>1</v>
      </c>
      <c r="P129" s="2" t="b">
        <v>0</v>
      </c>
      <c r="Q129" s="2" t="b">
        <v>0</v>
      </c>
      <c r="R129" s="2"/>
      <c r="S129" s="2"/>
      <c r="T129" s="5" t="b">
        <v>0</v>
      </c>
    </row>
    <row r="130" spans="1:20" x14ac:dyDescent="0.3">
      <c r="A130" s="2">
        <f t="shared" si="14"/>
        <v>129</v>
      </c>
      <c r="B130" s="2">
        <v>25</v>
      </c>
      <c r="C130" s="2" t="str" cm="1">
        <f t="array" ref="C130">GetValue("Tbl",B130,"Alias")</f>
        <v>DtbEnv</v>
      </c>
      <c r="D130" s="2">
        <v>1</v>
      </c>
      <c r="E130" s="2" t="str">
        <f t="array" ref="E130">GetValue("Dmn",D130,"Name")</f>
        <v>BigInteger</v>
      </c>
      <c r="F130" s="2">
        <f>F129+5</f>
        <v>10</v>
      </c>
      <c r="G130" s="2" t="s">
        <v>150</v>
      </c>
      <c r="H130" s="2" t="s">
        <v>611</v>
      </c>
      <c r="I130" s="2" t="s">
        <v>151</v>
      </c>
      <c r="J130" s="2" t="s">
        <v>151</v>
      </c>
      <c r="K130" s="17"/>
      <c r="L130" s="18">
        <v>1</v>
      </c>
      <c r="M130" s="18"/>
      <c r="N130" s="2" t="b">
        <v>1</v>
      </c>
      <c r="O130" s="2" t="b">
        <v>1</v>
      </c>
      <c r="P130" s="2" t="b">
        <v>1</v>
      </c>
      <c r="Q130" s="2" t="b">
        <v>1</v>
      </c>
      <c r="R130" s="2"/>
      <c r="S130" s="2"/>
      <c r="T130" s="5" t="b">
        <v>0</v>
      </c>
    </row>
    <row r="131" spans="1:20" x14ac:dyDescent="0.3">
      <c r="A131" s="2">
        <f t="shared" si="14"/>
        <v>130</v>
      </c>
      <c r="B131" s="2">
        <v>25</v>
      </c>
      <c r="C131" s="2" t="str" cm="1">
        <f t="array" ref="C131">GetValue("Tbl",B131,"Alias")</f>
        <v>DtbEnv</v>
      </c>
      <c r="D131" s="2">
        <v>1</v>
      </c>
      <c r="E131" s="2" t="str">
        <f t="array" ref="E131">GetValue("Dmn",D131,"Name")</f>
        <v>BigInteger</v>
      </c>
      <c r="F131" s="2">
        <f>F130+5</f>
        <v>15</v>
      </c>
      <c r="G131" s="2" t="s">
        <v>152</v>
      </c>
      <c r="H131" s="2" t="s">
        <v>612</v>
      </c>
      <c r="I131" s="2" t="s">
        <v>153</v>
      </c>
      <c r="J131" s="2" t="s">
        <v>153</v>
      </c>
      <c r="K131" s="17"/>
      <c r="L131" s="18">
        <v>1</v>
      </c>
      <c r="M131" s="18"/>
      <c r="N131" s="2" t="b">
        <v>1</v>
      </c>
      <c r="O131" s="2" t="b">
        <v>1</v>
      </c>
      <c r="P131" s="2" t="b">
        <v>1</v>
      </c>
      <c r="Q131" s="2" t="b">
        <v>1</v>
      </c>
      <c r="R131" s="2"/>
      <c r="S131" s="2"/>
      <c r="T131" s="5" t="b">
        <v>0</v>
      </c>
    </row>
    <row r="132" spans="1:20" x14ac:dyDescent="0.3">
      <c r="A132" s="2">
        <f t="shared" si="14"/>
        <v>131</v>
      </c>
      <c r="B132" s="2">
        <v>25</v>
      </c>
      <c r="C132" s="2" t="str" cm="1">
        <f t="array" ref="C132">GetValue("Tbl",B132,"Alias")</f>
        <v>DtbEnv</v>
      </c>
      <c r="D132" s="2">
        <v>4</v>
      </c>
      <c r="E132" s="2" t="str">
        <f t="array" ref="E132">GetValue("Dmn",D132,"Name")</f>
        <v>SmallInteger</v>
      </c>
      <c r="F132" s="2">
        <f>F131+5</f>
        <v>20</v>
      </c>
      <c r="G132" s="2" t="s">
        <v>49</v>
      </c>
      <c r="H132" s="2" t="s">
        <v>614</v>
      </c>
      <c r="I132" s="2" t="s">
        <v>114</v>
      </c>
      <c r="J132" s="2" t="s">
        <v>114</v>
      </c>
      <c r="K132" s="17"/>
      <c r="L132" s="18">
        <v>1</v>
      </c>
      <c r="M132" s="18"/>
      <c r="N132" s="2" t="b">
        <v>1</v>
      </c>
      <c r="O132" s="2" t="b">
        <v>0</v>
      </c>
      <c r="P132" s="2" t="b">
        <v>1</v>
      </c>
      <c r="Q132" s="2" t="b">
        <v>1</v>
      </c>
      <c r="R132" s="2"/>
      <c r="S132" s="2"/>
      <c r="T132" s="5" t="b">
        <v>0</v>
      </c>
    </row>
    <row r="133" spans="1:20" x14ac:dyDescent="0.3">
      <c r="A133" s="2">
        <f t="shared" si="14"/>
        <v>132</v>
      </c>
      <c r="B133" s="2">
        <v>25</v>
      </c>
      <c r="C133" s="2" t="str" cm="1">
        <f t="array" ref="C133">GetValue("Tbl",B133,"Alias")</f>
        <v>DtbEnv</v>
      </c>
      <c r="D133" s="2">
        <v>6</v>
      </c>
      <c r="E133" s="2" t="str">
        <f t="array" ref="E133">GetValue("Dmn",D133,"Name")</f>
        <v>Boolean</v>
      </c>
      <c r="F133" s="2">
        <f>F132+5</f>
        <v>25</v>
      </c>
      <c r="G133" s="2" t="s">
        <v>154</v>
      </c>
      <c r="H133" s="2" t="s">
        <v>613</v>
      </c>
      <c r="I133" s="2" t="s">
        <v>155</v>
      </c>
      <c r="J133" s="2" t="s">
        <v>155</v>
      </c>
      <c r="K133" s="17"/>
      <c r="L133" s="18" t="s">
        <v>23</v>
      </c>
      <c r="M133" s="18"/>
      <c r="N133" s="2" t="b">
        <v>1</v>
      </c>
      <c r="O133" s="2" t="b">
        <v>1</v>
      </c>
      <c r="P133" s="2" t="b">
        <v>1</v>
      </c>
      <c r="Q133" s="2" t="b">
        <v>1</v>
      </c>
      <c r="R133" s="2"/>
      <c r="S133" s="2"/>
      <c r="T133" s="5"/>
    </row>
    <row r="134" spans="1:20" s="13" customFormat="1" x14ac:dyDescent="0.3">
      <c r="A134" s="10">
        <f t="shared" si="14"/>
        <v>133</v>
      </c>
      <c r="B134" s="10">
        <v>26</v>
      </c>
      <c r="C134" s="11" t="str" cm="1">
        <f t="array" ref="C134">GetValue("Tbl",B134,"Alias")</f>
        <v>Ses</v>
      </c>
      <c r="D134" s="10">
        <v>1</v>
      </c>
      <c r="E134" s="10" t="str">
        <f t="array" ref="E134">GetValue("Dmn",D134,"Name")</f>
        <v>BigInteger</v>
      </c>
      <c r="F134" s="10">
        <v>5</v>
      </c>
      <c r="G134" s="10" t="s">
        <v>0</v>
      </c>
      <c r="H134" s="10" t="s">
        <v>509</v>
      </c>
      <c r="I134" s="10" t="s">
        <v>0</v>
      </c>
      <c r="J134" s="10" t="s">
        <v>0</v>
      </c>
      <c r="K134" s="19"/>
      <c r="L134" s="19">
        <v>1</v>
      </c>
      <c r="M134" s="19"/>
      <c r="N134" s="10" t="b">
        <v>1</v>
      </c>
      <c r="O134" s="10" t="b">
        <v>1</v>
      </c>
      <c r="P134" s="10" t="b">
        <v>0</v>
      </c>
      <c r="Q134" s="10" t="b">
        <v>0</v>
      </c>
      <c r="R134" s="10"/>
      <c r="S134" s="10"/>
      <c r="T134" s="12" t="b">
        <v>0</v>
      </c>
    </row>
    <row r="135" spans="1:20" s="13" customFormat="1" x14ac:dyDescent="0.3">
      <c r="A135" s="10">
        <f t="shared" si="14"/>
        <v>134</v>
      </c>
      <c r="B135" s="10">
        <v>26</v>
      </c>
      <c r="C135" s="11" t="str" cm="1">
        <f t="array" ref="C135">GetValue("Tbl",B135,"Alias")</f>
        <v>Ses</v>
      </c>
      <c r="D135" s="10">
        <v>1</v>
      </c>
      <c r="E135" s="10" t="str">
        <f t="array" ref="E135">GetValue("Dmn",D135,"Name")</f>
        <v>BigInteger</v>
      </c>
      <c r="F135" s="10">
        <f>F134+5</f>
        <v>10</v>
      </c>
      <c r="G135" s="10" t="s">
        <v>150</v>
      </c>
      <c r="H135" s="10" t="s">
        <v>510</v>
      </c>
      <c r="I135" s="10" t="s">
        <v>151</v>
      </c>
      <c r="J135" s="10" t="s">
        <v>151</v>
      </c>
      <c r="K135" s="19"/>
      <c r="L135" s="19">
        <v>1</v>
      </c>
      <c r="M135" s="19"/>
      <c r="N135" s="10" t="b">
        <v>1</v>
      </c>
      <c r="O135" s="10" t="b">
        <v>1</v>
      </c>
      <c r="P135" s="10" t="b">
        <v>1</v>
      </c>
      <c r="Q135" s="10" t="b">
        <v>1</v>
      </c>
      <c r="R135" s="10"/>
      <c r="S135" s="10"/>
      <c r="T135" s="12" t="b">
        <v>0</v>
      </c>
    </row>
    <row r="136" spans="1:20" s="13" customFormat="1" x14ac:dyDescent="0.3">
      <c r="A136" s="10">
        <f t="shared" si="14"/>
        <v>135</v>
      </c>
      <c r="B136" s="10">
        <v>26</v>
      </c>
      <c r="C136" s="11" t="str" cm="1">
        <f t="array" ref="C136">GetValue("Tbl",B136,"Alias")</f>
        <v>Ses</v>
      </c>
      <c r="D136" s="10">
        <v>1</v>
      </c>
      <c r="E136" s="10" t="str">
        <f t="array" ref="E136">GetValue("Dmn",D136,"Name")</f>
        <v>BigInteger</v>
      </c>
      <c r="F136" s="10">
        <f>F135+5</f>
        <v>15</v>
      </c>
      <c r="G136" s="10" t="s">
        <v>152</v>
      </c>
      <c r="H136" s="10" t="s">
        <v>511</v>
      </c>
      <c r="I136" s="10" t="s">
        <v>153</v>
      </c>
      <c r="J136" s="10" t="s">
        <v>153</v>
      </c>
      <c r="K136" s="19"/>
      <c r="L136" s="19">
        <v>1</v>
      </c>
      <c r="M136" s="19"/>
      <c r="N136" s="10" t="b">
        <v>1</v>
      </c>
      <c r="O136" s="10" t="b">
        <v>1</v>
      </c>
      <c r="P136" s="10" t="b">
        <v>1</v>
      </c>
      <c r="Q136" s="10" t="b">
        <v>1</v>
      </c>
      <c r="R136" s="10"/>
      <c r="S136" s="10"/>
      <c r="T136" s="12" t="b">
        <v>0</v>
      </c>
    </row>
    <row r="137" spans="1:20" x14ac:dyDescent="0.3">
      <c r="A137" s="2">
        <f>ROW(A137)-1</f>
        <v>136</v>
      </c>
      <c r="B137" s="2">
        <v>27</v>
      </c>
      <c r="C137" s="2" t="str" cm="1">
        <f t="array" ref="C137">GetValue("Tbl",B137,"Alias")</f>
        <v>Trs</v>
      </c>
      <c r="D137" s="2">
        <v>1</v>
      </c>
      <c r="E137" s="2" t="str">
        <f t="array" ref="E137">GetValue("Dmn",D137,"Name")</f>
        <v>BigInteger</v>
      </c>
      <c r="F137" s="2">
        <v>5</v>
      </c>
      <c r="G137" s="2" t="s">
        <v>0</v>
      </c>
      <c r="H137" s="2" t="s">
        <v>364</v>
      </c>
      <c r="I137" s="2" t="s">
        <v>0</v>
      </c>
      <c r="J137" s="2" t="s">
        <v>0</v>
      </c>
      <c r="K137" s="17"/>
      <c r="L137" s="18"/>
      <c r="M137" s="18"/>
      <c r="N137" s="2" t="b">
        <v>1</v>
      </c>
      <c r="O137" s="2" t="b">
        <v>1</v>
      </c>
      <c r="P137" s="2" t="b">
        <v>0</v>
      </c>
      <c r="Q137" s="2" t="b">
        <v>0</v>
      </c>
      <c r="R137" s="2"/>
      <c r="S137" s="2"/>
      <c r="T137" s="5" t="b">
        <v>0</v>
      </c>
    </row>
    <row r="138" spans="1:20" x14ac:dyDescent="0.3">
      <c r="A138" s="2">
        <f t="shared" ref="A138" si="17">ROW(A138)-1</f>
        <v>137</v>
      </c>
      <c r="B138" s="2">
        <v>27</v>
      </c>
      <c r="C138" s="2" t="str" cm="1">
        <f t="array" ref="C138">GetValue("Tbl",B138,"Alias")</f>
        <v>Trs</v>
      </c>
      <c r="D138" s="2">
        <v>1</v>
      </c>
      <c r="E138" s="2" t="str">
        <f t="array" ref="E138">GetValue("Dmn",D138,"Name")</f>
        <v>BigInteger</v>
      </c>
      <c r="F138" s="2">
        <f t="shared" ref="F138:F141" si="18">F137+5</f>
        <v>10</v>
      </c>
      <c r="G138" s="2" t="s">
        <v>272</v>
      </c>
      <c r="H138" s="2" t="s">
        <v>569</v>
      </c>
      <c r="I138" s="2" t="s">
        <v>276</v>
      </c>
      <c r="J138" s="2" t="s">
        <v>276</v>
      </c>
      <c r="K138" s="17"/>
      <c r="L138" s="18"/>
      <c r="M138" s="18"/>
      <c r="N138" s="2" t="b">
        <v>1</v>
      </c>
      <c r="O138" s="2" t="b">
        <v>0</v>
      </c>
      <c r="P138" s="2" t="b">
        <v>1</v>
      </c>
      <c r="Q138" s="2" t="b">
        <v>0</v>
      </c>
      <c r="R138" s="2"/>
      <c r="S138" s="2"/>
      <c r="T138" s="5" t="b">
        <v>0</v>
      </c>
    </row>
    <row r="139" spans="1:20" x14ac:dyDescent="0.3">
      <c r="A139" s="2">
        <f t="shared" ref="A139:A149" si="19">ROW(A139)-1</f>
        <v>138</v>
      </c>
      <c r="B139" s="2">
        <v>27</v>
      </c>
      <c r="C139" s="2" t="str" cm="1">
        <f t="array" ref="C139">GetValue("Tbl",B139,"Alias")</f>
        <v>Trs</v>
      </c>
      <c r="D139" s="2">
        <v>9</v>
      </c>
      <c r="E139" s="2" t="str">
        <f t="array" ref="E139">GetValue("Dmn",D139,"Name")</f>
        <v>Varchar(25)</v>
      </c>
      <c r="F139" s="2">
        <f t="shared" si="18"/>
        <v>15</v>
      </c>
      <c r="G139" s="2" t="s">
        <v>1</v>
      </c>
      <c r="H139" s="2" t="s">
        <v>361</v>
      </c>
      <c r="I139" s="2" t="s">
        <v>88</v>
      </c>
      <c r="J139" s="2" t="s">
        <v>88</v>
      </c>
      <c r="K139" s="17"/>
      <c r="L139" s="18" t="s">
        <v>23</v>
      </c>
      <c r="M139" s="18"/>
      <c r="N139" s="2" t="b">
        <v>1</v>
      </c>
      <c r="O139" s="2" t="b">
        <v>1</v>
      </c>
      <c r="P139" s="2" t="b">
        <v>1</v>
      </c>
      <c r="Q139" s="2" t="b">
        <v>1</v>
      </c>
      <c r="R139" s="2"/>
      <c r="S139" s="2" t="b">
        <v>0</v>
      </c>
      <c r="T139" s="5"/>
    </row>
    <row r="140" spans="1:20" x14ac:dyDescent="0.3">
      <c r="A140" s="2">
        <f t="shared" si="19"/>
        <v>139</v>
      </c>
      <c r="B140" s="2">
        <v>27</v>
      </c>
      <c r="C140" s="2" t="str" cm="1">
        <f t="array" ref="C140">GetValue("Tbl",B140,"Alias")</f>
        <v>Trs</v>
      </c>
      <c r="D140" s="2">
        <v>10</v>
      </c>
      <c r="E140" s="2" t="str">
        <f t="array" ref="E140">GetValue("Dmn",D140,"Name")</f>
        <v>Varchar(50)</v>
      </c>
      <c r="F140" s="2">
        <f t="shared" si="18"/>
        <v>20</v>
      </c>
      <c r="G140" s="2" t="s">
        <v>46</v>
      </c>
      <c r="H140" s="2" t="s">
        <v>362</v>
      </c>
      <c r="I140" s="2" t="s">
        <v>110</v>
      </c>
      <c r="J140" s="2" t="s">
        <v>110</v>
      </c>
      <c r="K140" s="17"/>
      <c r="L140" s="18" t="s">
        <v>23</v>
      </c>
      <c r="M140" s="18"/>
      <c r="N140" s="2" t="b">
        <v>1</v>
      </c>
      <c r="O140" s="2" t="b">
        <v>0</v>
      </c>
      <c r="P140" s="2" t="b">
        <v>1</v>
      </c>
      <c r="Q140" s="2" t="b">
        <v>1</v>
      </c>
      <c r="R140" s="2"/>
      <c r="S140" s="2" t="b">
        <v>0</v>
      </c>
      <c r="T140" s="5"/>
    </row>
    <row r="141" spans="1:20" x14ac:dyDescent="0.3">
      <c r="A141" s="2">
        <f t="shared" si="19"/>
        <v>140</v>
      </c>
      <c r="B141" s="2">
        <v>27</v>
      </c>
      <c r="C141" s="2" t="str" cm="1">
        <f t="array" ref="C141">GetValue("Tbl",B141,"Alias")</f>
        <v>Trs</v>
      </c>
      <c r="D141" s="2">
        <v>10</v>
      </c>
      <c r="E141" s="2" t="str">
        <f t="array" ref="E141">GetValue("Dmn",D141,"Name")</f>
        <v>Varchar(50)</v>
      </c>
      <c r="F141" s="2">
        <f t="shared" si="18"/>
        <v>25</v>
      </c>
      <c r="G141" s="2" t="s">
        <v>269</v>
      </c>
      <c r="H141" s="2" t="s">
        <v>468</v>
      </c>
      <c r="I141" s="2" t="s">
        <v>469</v>
      </c>
      <c r="J141" s="2" t="s">
        <v>469</v>
      </c>
      <c r="K141" s="17"/>
      <c r="L141" s="18" t="s">
        <v>23</v>
      </c>
      <c r="M141" s="18"/>
      <c r="N141" s="2" t="b">
        <v>1</v>
      </c>
      <c r="O141" s="2" t="b">
        <v>0</v>
      </c>
      <c r="P141" s="2" t="b">
        <v>1</v>
      </c>
      <c r="Q141" s="2" t="b">
        <v>0</v>
      </c>
      <c r="R141" s="2"/>
      <c r="S141" s="2" t="b">
        <v>1</v>
      </c>
      <c r="T141" s="5"/>
    </row>
    <row r="142" spans="1:20" s="13" customFormat="1" x14ac:dyDescent="0.3">
      <c r="A142" s="10">
        <f t="shared" si="19"/>
        <v>141</v>
      </c>
      <c r="B142" s="10">
        <v>28</v>
      </c>
      <c r="C142" s="11" t="str" cm="1">
        <f t="array" ref="C142">GetValue("Tbl",B142,"Alias")</f>
        <v>Ope</v>
      </c>
      <c r="D142" s="10">
        <v>1</v>
      </c>
      <c r="E142" s="10" t="str">
        <f t="array" ref="E142">GetValue("Dmn",D142,"Name")</f>
        <v>BigInteger</v>
      </c>
      <c r="F142" s="10">
        <v>5</v>
      </c>
      <c r="G142" s="10" t="s">
        <v>0</v>
      </c>
      <c r="H142" s="10" t="s">
        <v>400</v>
      </c>
      <c r="I142" s="10" t="s">
        <v>0</v>
      </c>
      <c r="J142" s="10" t="s">
        <v>0</v>
      </c>
      <c r="K142" s="19"/>
      <c r="L142" s="19">
        <v>1</v>
      </c>
      <c r="M142" s="19"/>
      <c r="N142" s="10" t="b">
        <v>1</v>
      </c>
      <c r="O142" s="10" t="b">
        <v>1</v>
      </c>
      <c r="P142" s="10" t="b">
        <v>0</v>
      </c>
      <c r="Q142" s="10" t="b">
        <v>0</v>
      </c>
      <c r="R142" s="10"/>
      <c r="S142" s="10"/>
      <c r="T142" s="12" t="b">
        <v>0</v>
      </c>
    </row>
    <row r="143" spans="1:20" s="13" customFormat="1" x14ac:dyDescent="0.3">
      <c r="A143" s="10">
        <f t="shared" si="19"/>
        <v>142</v>
      </c>
      <c r="B143" s="10">
        <v>28</v>
      </c>
      <c r="C143" s="11" t="str" cm="1">
        <f t="array" ref="C143">GetValue("Tbl",B143,"Alias")</f>
        <v>Ope</v>
      </c>
      <c r="D143" s="10">
        <v>9</v>
      </c>
      <c r="E143" s="10" t="str">
        <f t="array" ref="E143">GetValue("Dmn",D143,"Name")</f>
        <v>Varchar(25)</v>
      </c>
      <c r="F143" s="10">
        <f t="shared" ref="F143:F145" si="20">F142+5</f>
        <v>10</v>
      </c>
      <c r="G143" s="10" t="s">
        <v>1</v>
      </c>
      <c r="H143" s="10" t="s">
        <v>401</v>
      </c>
      <c r="I143" s="10" t="s">
        <v>88</v>
      </c>
      <c r="J143" s="10" t="s">
        <v>88</v>
      </c>
      <c r="K143" s="19"/>
      <c r="L143" s="19" t="s">
        <v>23</v>
      </c>
      <c r="M143" s="19"/>
      <c r="N143" s="10" t="b">
        <v>1</v>
      </c>
      <c r="O143" s="10" t="b">
        <v>1</v>
      </c>
      <c r="P143" s="10" t="b">
        <v>1</v>
      </c>
      <c r="Q143" s="10" t="b">
        <v>1</v>
      </c>
      <c r="R143" s="10"/>
      <c r="S143" s="10" t="b">
        <v>0</v>
      </c>
      <c r="T143" s="12"/>
    </row>
    <row r="144" spans="1:20" s="13" customFormat="1" x14ac:dyDescent="0.3">
      <c r="A144" s="10">
        <f t="shared" si="19"/>
        <v>143</v>
      </c>
      <c r="B144" s="10">
        <v>28</v>
      </c>
      <c r="C144" s="11" t="str" cm="1">
        <f t="array" ref="C144">GetValue("Tbl",B144,"Alias")</f>
        <v>Ope</v>
      </c>
      <c r="D144" s="10">
        <v>10</v>
      </c>
      <c r="E144" s="10" t="str">
        <f t="array" ref="E144">GetValue("Dmn",D144,"Name")</f>
        <v>Varchar(50)</v>
      </c>
      <c r="F144" s="10">
        <f t="shared" si="20"/>
        <v>15</v>
      </c>
      <c r="G144" s="10" t="s">
        <v>46</v>
      </c>
      <c r="H144" s="10" t="s">
        <v>443</v>
      </c>
      <c r="I144" s="10" t="s">
        <v>110</v>
      </c>
      <c r="J144" s="10" t="s">
        <v>110</v>
      </c>
      <c r="K144" s="19"/>
      <c r="L144" s="19" t="s">
        <v>23</v>
      </c>
      <c r="M144" s="19"/>
      <c r="N144" s="10" t="b">
        <v>1</v>
      </c>
      <c r="O144" s="10" t="b">
        <v>0</v>
      </c>
      <c r="P144" s="10" t="b">
        <v>1</v>
      </c>
      <c r="Q144" s="10" t="b">
        <v>1</v>
      </c>
      <c r="R144" s="10"/>
      <c r="S144" s="10" t="b">
        <v>0</v>
      </c>
      <c r="T144" s="12"/>
    </row>
    <row r="145" spans="1:20" s="13" customFormat="1" x14ac:dyDescent="0.3">
      <c r="A145" s="10">
        <f t="shared" si="19"/>
        <v>144</v>
      </c>
      <c r="B145" s="10">
        <v>28</v>
      </c>
      <c r="C145" s="11" t="str" cm="1">
        <f t="array" ref="C145">GetValue("Tbl",B145,"Alias")</f>
        <v>Ope</v>
      </c>
      <c r="D145" s="10">
        <v>6</v>
      </c>
      <c r="E145" s="10" t="str">
        <f t="array" ref="E145">GetValue("Dmn",D145,"Name")</f>
        <v>Boolean</v>
      </c>
      <c r="F145" s="10">
        <f t="shared" si="20"/>
        <v>20</v>
      </c>
      <c r="G145" s="10" t="s">
        <v>463</v>
      </c>
      <c r="H145" s="10" t="s">
        <v>470</v>
      </c>
      <c r="I145" s="10" t="s">
        <v>471</v>
      </c>
      <c r="J145" s="10" t="s">
        <v>471</v>
      </c>
      <c r="K145" s="19"/>
      <c r="L145" s="19"/>
      <c r="M145" s="19"/>
      <c r="N145" s="10" t="b">
        <v>1</v>
      </c>
      <c r="O145" s="10" t="b">
        <v>1</v>
      </c>
      <c r="P145" s="10" t="b">
        <v>1</v>
      </c>
      <c r="Q145" s="10" t="b">
        <v>1</v>
      </c>
      <c r="R145" s="10"/>
      <c r="S145" s="10"/>
      <c r="T145" s="12"/>
    </row>
    <row r="146" spans="1:20" x14ac:dyDescent="0.3">
      <c r="A146" s="2">
        <f t="shared" si="19"/>
        <v>145</v>
      </c>
      <c r="B146" s="2">
        <v>29</v>
      </c>
      <c r="C146" s="2" t="str" cm="1">
        <f t="array" ref="C146">GetValue("Tbl",B146,"Alias")</f>
        <v>Snp</v>
      </c>
      <c r="D146" s="2">
        <v>1</v>
      </c>
      <c r="E146" s="2" t="str">
        <f t="array" ref="E146">GetValue("Dmn",D146,"Name")</f>
        <v>BigInteger</v>
      </c>
      <c r="F146" s="2">
        <v>5</v>
      </c>
      <c r="G146" s="2" t="s">
        <v>0</v>
      </c>
      <c r="H146" s="2" t="s">
        <v>472</v>
      </c>
      <c r="I146" s="2" t="s">
        <v>0</v>
      </c>
      <c r="J146" s="2" t="s">
        <v>0</v>
      </c>
      <c r="K146" s="17"/>
      <c r="L146" s="17">
        <v>1</v>
      </c>
      <c r="M146" s="17"/>
      <c r="N146" s="2" t="b">
        <v>1</v>
      </c>
      <c r="O146" s="2" t="b">
        <v>1</v>
      </c>
      <c r="P146" s="2" t="b">
        <v>0</v>
      </c>
      <c r="Q146" s="2" t="b">
        <v>0</v>
      </c>
      <c r="R146" s="2"/>
      <c r="S146" s="2"/>
      <c r="T146" s="5" t="b">
        <v>0</v>
      </c>
    </row>
    <row r="147" spans="1:20" x14ac:dyDescent="0.3">
      <c r="A147" s="2">
        <f t="shared" si="19"/>
        <v>146</v>
      </c>
      <c r="B147" s="2">
        <v>29</v>
      </c>
      <c r="C147" s="2" t="str" cm="1">
        <f t="array" ref="C147">GetValue("Tbl",B147,"Alias")</f>
        <v>Snp</v>
      </c>
      <c r="D147" s="2">
        <v>1</v>
      </c>
      <c r="E147" s="2" t="str">
        <f t="array" ref="E147">GetValue("Dmn",D147,"Name")</f>
        <v>BigInteger</v>
      </c>
      <c r="F147" s="2">
        <f>F146+5</f>
        <v>10</v>
      </c>
      <c r="G147" s="2" t="s">
        <v>67</v>
      </c>
      <c r="H147" s="2" t="s">
        <v>615</v>
      </c>
      <c r="I147" s="2" t="s">
        <v>125</v>
      </c>
      <c r="J147" s="2" t="s">
        <v>125</v>
      </c>
      <c r="K147" s="17"/>
      <c r="L147" s="17"/>
      <c r="M147" s="17"/>
      <c r="N147" s="2" t="b">
        <v>1</v>
      </c>
      <c r="O147" s="2" t="b">
        <v>0</v>
      </c>
      <c r="P147" s="2" t="b">
        <v>0</v>
      </c>
      <c r="Q147" s="2" t="b">
        <v>0</v>
      </c>
      <c r="R147" s="2"/>
      <c r="S147" s="2"/>
      <c r="T147" s="5" t="b">
        <v>0</v>
      </c>
    </row>
    <row r="148" spans="1:20" x14ac:dyDescent="0.3">
      <c r="A148" s="2">
        <f t="shared" si="19"/>
        <v>147</v>
      </c>
      <c r="B148" s="2">
        <v>29</v>
      </c>
      <c r="C148" s="2" t="str" cm="1">
        <f t="array" ref="C148">GetValue("Tbl",B148,"Alias")</f>
        <v>Snp</v>
      </c>
      <c r="D148" s="2">
        <v>1</v>
      </c>
      <c r="E148" s="2" t="str">
        <f t="array" ref="E148">GetValue("Dmn",D148,"Name")</f>
        <v>BigInteger</v>
      </c>
      <c r="F148" s="2">
        <f t="shared" ref="F148:F149" si="21">F147+5</f>
        <v>15</v>
      </c>
      <c r="G148" s="2" t="s">
        <v>311</v>
      </c>
      <c r="H148" s="2" t="s">
        <v>616</v>
      </c>
      <c r="I148" s="2" t="s">
        <v>271</v>
      </c>
      <c r="J148" s="2" t="s">
        <v>271</v>
      </c>
      <c r="K148" s="17"/>
      <c r="L148" s="17"/>
      <c r="M148" s="17"/>
      <c r="N148" s="2" t="b">
        <v>1</v>
      </c>
      <c r="O148" s="2" t="b">
        <v>0</v>
      </c>
      <c r="P148" s="2" t="b">
        <v>0</v>
      </c>
      <c r="Q148" s="2" t="b">
        <v>0</v>
      </c>
      <c r="R148" s="2"/>
      <c r="S148" s="2"/>
      <c r="T148" s="5" t="b">
        <v>0</v>
      </c>
    </row>
    <row r="149" spans="1:20" x14ac:dyDescent="0.3">
      <c r="A149" s="2">
        <f t="shared" si="19"/>
        <v>148</v>
      </c>
      <c r="B149" s="2">
        <v>29</v>
      </c>
      <c r="C149" s="2" t="str" cm="1">
        <f t="array" ref="C149">GetValue("Tbl",B149,"Alias")</f>
        <v>Snp</v>
      </c>
      <c r="D149" s="2">
        <v>1</v>
      </c>
      <c r="E149" s="2" t="str">
        <f t="array" ref="E149">GetValue("Dmn",D149,"Name")</f>
        <v>BigInteger</v>
      </c>
      <c r="F149" s="2">
        <f t="shared" si="21"/>
        <v>20</v>
      </c>
      <c r="G149" s="2" t="s">
        <v>226</v>
      </c>
      <c r="H149" s="2" t="s">
        <v>617</v>
      </c>
      <c r="I149" s="2" t="s">
        <v>227</v>
      </c>
      <c r="J149" s="2" t="s">
        <v>227</v>
      </c>
      <c r="K149" s="17"/>
      <c r="L149" s="17"/>
      <c r="M149" s="17"/>
      <c r="N149" s="2" t="b">
        <v>1</v>
      </c>
      <c r="O149" s="2" t="b">
        <v>0</v>
      </c>
      <c r="P149" s="2" t="b">
        <v>0</v>
      </c>
      <c r="Q149" s="2" t="b">
        <v>0</v>
      </c>
      <c r="R149" s="2"/>
      <c r="S149" s="2"/>
      <c r="T149" s="5" t="b">
        <v>0</v>
      </c>
    </row>
    <row r="150" spans="1:20" s="13" customFormat="1" x14ac:dyDescent="0.3">
      <c r="A150" s="10">
        <f t="shared" si="14"/>
        <v>149</v>
      </c>
      <c r="B150" s="10">
        <v>30</v>
      </c>
      <c r="C150" s="11" t="str" cm="1">
        <f t="array" ref="C150">GetValue("Tbl",B150,"Alias")</f>
        <v>SnpScr</v>
      </c>
      <c r="D150" s="10">
        <v>1</v>
      </c>
      <c r="E150" s="10" t="str">
        <f t="array" ref="E150">GetValue("Dmn",D150,"Name")</f>
        <v>BigInteger</v>
      </c>
      <c r="F150" s="10">
        <v>5</v>
      </c>
      <c r="G150" s="10" t="s">
        <v>0</v>
      </c>
      <c r="H150" s="10" t="s">
        <v>379</v>
      </c>
      <c r="I150" s="10" t="s">
        <v>0</v>
      </c>
      <c r="J150" s="10" t="s">
        <v>0</v>
      </c>
      <c r="K150" s="19"/>
      <c r="L150" s="19">
        <v>1</v>
      </c>
      <c r="M150" s="19"/>
      <c r="N150" s="10" t="b">
        <v>1</v>
      </c>
      <c r="O150" s="10" t="b">
        <v>1</v>
      </c>
      <c r="P150" s="10" t="b">
        <v>0</v>
      </c>
      <c r="Q150" s="10" t="b">
        <v>0</v>
      </c>
      <c r="R150" s="10"/>
      <c r="S150" s="10"/>
      <c r="T150" s="12" t="b">
        <v>0</v>
      </c>
    </row>
    <row r="151" spans="1:20" s="13" customFormat="1" x14ac:dyDescent="0.3">
      <c r="A151" s="10">
        <f t="shared" si="14"/>
        <v>150</v>
      </c>
      <c r="B151" s="10">
        <v>30</v>
      </c>
      <c r="C151" s="11" t="str" cm="1">
        <f t="array" ref="C151">GetValue("Tbl",B151,"Alias")</f>
        <v>SnpScr</v>
      </c>
      <c r="D151" s="10">
        <v>1</v>
      </c>
      <c r="E151" s="10" t="str">
        <f t="array" ref="E151">GetValue("Dmn",D151,"Name")</f>
        <v>BigInteger</v>
      </c>
      <c r="F151" s="10">
        <f t="shared" ref="F151:F155" si="22">F150+5</f>
        <v>10</v>
      </c>
      <c r="G151" s="10" t="s">
        <v>48</v>
      </c>
      <c r="H151" s="10" t="s">
        <v>382</v>
      </c>
      <c r="I151" s="10" t="s">
        <v>113</v>
      </c>
      <c r="J151" s="10" t="s">
        <v>113</v>
      </c>
      <c r="K151" s="19"/>
      <c r="L151" s="19">
        <v>1</v>
      </c>
      <c r="M151" s="19"/>
      <c r="N151" s="10" t="b">
        <v>1</v>
      </c>
      <c r="O151" s="10" t="b">
        <v>1</v>
      </c>
      <c r="P151" s="10" t="b">
        <v>1</v>
      </c>
      <c r="Q151" s="10" t="b">
        <v>1</v>
      </c>
      <c r="R151" s="10"/>
      <c r="S151" s="10"/>
      <c r="T151" s="12" t="b">
        <v>0</v>
      </c>
    </row>
    <row r="152" spans="1:20" s="13" customFormat="1" x14ac:dyDescent="0.3">
      <c r="A152" s="10">
        <f t="shared" si="14"/>
        <v>151</v>
      </c>
      <c r="B152" s="10">
        <v>30</v>
      </c>
      <c r="C152" s="11" t="str" cm="1">
        <f t="array" ref="C152">GetValue("Tbl",B152,"Alias")</f>
        <v>SnpScr</v>
      </c>
      <c r="D152" s="10">
        <v>1</v>
      </c>
      <c r="E152" s="10" t="str">
        <f t="array" ref="E152">GetValue("Dmn",D152,"Name")</f>
        <v>BigInteger</v>
      </c>
      <c r="F152" s="10">
        <f t="shared" si="22"/>
        <v>15</v>
      </c>
      <c r="G152" s="10" t="s">
        <v>64</v>
      </c>
      <c r="H152" s="10" t="s">
        <v>383</v>
      </c>
      <c r="I152" s="10" t="s">
        <v>121</v>
      </c>
      <c r="J152" s="10" t="s">
        <v>121</v>
      </c>
      <c r="K152" s="19"/>
      <c r="L152" s="19">
        <v>1</v>
      </c>
      <c r="M152" s="19"/>
      <c r="N152" s="10" t="b">
        <v>1</v>
      </c>
      <c r="O152" s="10" t="b">
        <v>1</v>
      </c>
      <c r="P152" s="10" t="b">
        <v>1</v>
      </c>
      <c r="Q152" s="10" t="b">
        <v>1</v>
      </c>
      <c r="R152" s="10"/>
      <c r="S152" s="10"/>
      <c r="T152" s="12" t="b">
        <v>0</v>
      </c>
    </row>
    <row r="153" spans="1:20" s="13" customFormat="1" x14ac:dyDescent="0.3">
      <c r="A153" s="10">
        <f t="shared" si="14"/>
        <v>152</v>
      </c>
      <c r="B153" s="10">
        <v>30</v>
      </c>
      <c r="C153" s="11" t="str" cm="1">
        <f t="array" ref="C153">GetValue("Tbl",B153,"Alias")</f>
        <v>SnpScr</v>
      </c>
      <c r="D153" s="10">
        <v>5</v>
      </c>
      <c r="E153" s="10" t="str">
        <f t="array" ref="E153">GetValue("Dmn",D153,"Name")</f>
        <v>TinyInteger</v>
      </c>
      <c r="F153" s="10">
        <f t="shared" si="22"/>
        <v>20</v>
      </c>
      <c r="G153" s="10" t="s">
        <v>311</v>
      </c>
      <c r="H153" s="10" t="s">
        <v>385</v>
      </c>
      <c r="I153" s="10" t="s">
        <v>271</v>
      </c>
      <c r="J153" s="10" t="s">
        <v>271</v>
      </c>
      <c r="K153" s="19"/>
      <c r="L153" s="19">
        <v>1</v>
      </c>
      <c r="M153" s="19"/>
      <c r="N153" s="10" t="b">
        <v>1</v>
      </c>
      <c r="O153" s="10" t="b">
        <v>1</v>
      </c>
      <c r="P153" s="10" t="b">
        <v>1</v>
      </c>
      <c r="Q153" s="10" t="b">
        <v>1</v>
      </c>
      <c r="R153" s="10"/>
      <c r="S153" s="10"/>
      <c r="T153" s="12" t="b">
        <v>0</v>
      </c>
    </row>
    <row r="154" spans="1:20" s="13" customFormat="1" x14ac:dyDescent="0.3">
      <c r="A154" s="10">
        <f t="shared" si="14"/>
        <v>153</v>
      </c>
      <c r="B154" s="10">
        <v>30</v>
      </c>
      <c r="C154" s="11" t="str" cm="1">
        <f t="array" ref="C154">GetValue("Tbl",B154,"Alias")</f>
        <v>SnpScr</v>
      </c>
      <c r="D154" s="10">
        <v>11</v>
      </c>
      <c r="E154" s="10" t="str">
        <f t="array" ref="E154">GetValue("Dmn",D154,"Name")</f>
        <v>Varchar(256)</v>
      </c>
      <c r="F154" s="10">
        <f t="shared" si="22"/>
        <v>25</v>
      </c>
      <c r="G154" s="10" t="s">
        <v>170</v>
      </c>
      <c r="H154" s="10" t="s">
        <v>384</v>
      </c>
      <c r="I154" s="10" t="s">
        <v>171</v>
      </c>
      <c r="J154" s="10" t="s">
        <v>171</v>
      </c>
      <c r="K154" s="19"/>
      <c r="L154" s="19"/>
      <c r="M154" s="19"/>
      <c r="N154" s="10" t="b">
        <v>0</v>
      </c>
      <c r="O154" s="10" t="b">
        <v>0</v>
      </c>
      <c r="P154" s="10" t="b">
        <v>0</v>
      </c>
      <c r="Q154" s="10" t="b">
        <v>0</v>
      </c>
      <c r="R154" s="10"/>
      <c r="S154" s="10" t="b">
        <v>1</v>
      </c>
      <c r="T154" s="12"/>
    </row>
    <row r="155" spans="1:20" s="13" customFormat="1" x14ac:dyDescent="0.3">
      <c r="A155" s="10">
        <f t="shared" si="14"/>
        <v>154</v>
      </c>
      <c r="B155" s="10">
        <v>30</v>
      </c>
      <c r="C155" s="11" t="str" cm="1">
        <f t="array" ref="C155">GetValue("Tbl",B155,"Alias")</f>
        <v>SnpScr</v>
      </c>
      <c r="D155" s="10">
        <v>6</v>
      </c>
      <c r="E155" s="10" t="str">
        <f t="array" ref="E155">GetValue("Dmn",D155,"Name")</f>
        <v>Boolean</v>
      </c>
      <c r="F155" s="10">
        <f t="shared" si="22"/>
        <v>30</v>
      </c>
      <c r="G155" s="10" t="s">
        <v>22</v>
      </c>
      <c r="H155" s="10" t="s">
        <v>386</v>
      </c>
      <c r="I155" s="10" t="s">
        <v>387</v>
      </c>
      <c r="J155" s="10" t="s">
        <v>387</v>
      </c>
      <c r="K155" s="19"/>
      <c r="L155" s="19" t="s">
        <v>23</v>
      </c>
      <c r="M155" s="19"/>
      <c r="N155" s="10" t="b">
        <v>1</v>
      </c>
      <c r="O155" s="10" t="b">
        <v>1</v>
      </c>
      <c r="P155" s="10" t="b">
        <v>1</v>
      </c>
      <c r="Q155" s="10" t="b">
        <v>0</v>
      </c>
      <c r="R155" s="10"/>
      <c r="S155" s="10"/>
      <c r="T155" s="12"/>
    </row>
    <row r="156" spans="1:20" x14ac:dyDescent="0.3">
      <c r="A156" s="2">
        <f t="shared" si="14"/>
        <v>155</v>
      </c>
      <c r="B156" s="2">
        <v>31</v>
      </c>
      <c r="C156" s="2" t="str" cm="1">
        <f t="array" ref="C156">GetValue("Tbl",B156,"Alias")</f>
        <v>Prd</v>
      </c>
      <c r="D156" s="2">
        <v>1</v>
      </c>
      <c r="E156" s="2" t="str">
        <f t="array" ref="E156">GetValue("Dmn",D156,"Name")</f>
        <v>BigInteger</v>
      </c>
      <c r="F156" s="2">
        <v>5</v>
      </c>
      <c r="G156" s="2" t="s">
        <v>0</v>
      </c>
      <c r="H156" s="2" t="s">
        <v>380</v>
      </c>
      <c r="I156" s="2" t="s">
        <v>0</v>
      </c>
      <c r="J156" s="2" t="s">
        <v>0</v>
      </c>
      <c r="K156" s="17"/>
      <c r="L156" s="17">
        <v>1</v>
      </c>
      <c r="M156" s="17"/>
      <c r="N156" s="2" t="b">
        <v>1</v>
      </c>
      <c r="O156" s="2" t="b">
        <v>1</v>
      </c>
      <c r="P156" s="2" t="b">
        <v>0</v>
      </c>
      <c r="Q156" s="2" t="b">
        <v>0</v>
      </c>
      <c r="R156" s="2"/>
      <c r="S156" s="2"/>
      <c r="T156" s="2" t="b">
        <v>0</v>
      </c>
    </row>
    <row r="157" spans="1:20" x14ac:dyDescent="0.3">
      <c r="A157" s="2">
        <f t="shared" si="14"/>
        <v>156</v>
      </c>
      <c r="B157" s="2">
        <v>31</v>
      </c>
      <c r="C157" s="2" t="str" cm="1">
        <f t="array" ref="C157">GetValue("Tbl",B157,"Alias")</f>
        <v>Prd</v>
      </c>
      <c r="D157" s="2">
        <v>1</v>
      </c>
      <c r="E157" s="2" t="str">
        <f t="array" ref="E157">GetValue("Dmn",D157,"Name")</f>
        <v>BigInteger</v>
      </c>
      <c r="F157" s="2">
        <f>F156+5</f>
        <v>10</v>
      </c>
      <c r="G157" s="2" t="s">
        <v>264</v>
      </c>
      <c r="H157" s="2" t="s">
        <v>388</v>
      </c>
      <c r="I157" s="2" t="s">
        <v>265</v>
      </c>
      <c r="J157" s="2" t="s">
        <v>265</v>
      </c>
      <c r="K157" s="17"/>
      <c r="L157" s="17">
        <v>1</v>
      </c>
      <c r="M157" s="17"/>
      <c r="N157" s="2" t="b">
        <v>1</v>
      </c>
      <c r="O157" s="2" t="b">
        <v>0</v>
      </c>
      <c r="P157" s="2" t="b">
        <v>0</v>
      </c>
      <c r="Q157" s="2" t="b">
        <v>0</v>
      </c>
      <c r="R157" s="2"/>
      <c r="S157" s="2"/>
      <c r="T157" s="2" t="b">
        <v>0</v>
      </c>
    </row>
    <row r="158" spans="1:20" x14ac:dyDescent="0.3">
      <c r="A158" s="2">
        <f t="shared" si="14"/>
        <v>157</v>
      </c>
      <c r="B158" s="2">
        <v>31</v>
      </c>
      <c r="C158" s="2" t="str" cm="1">
        <f t="array" ref="C158">GetValue("Tbl",B158,"Alias")</f>
        <v>Prd</v>
      </c>
      <c r="D158" s="2">
        <v>6</v>
      </c>
      <c r="E158" s="2" t="str">
        <f t="array" ref="E158">GetValue("Dmn",D158,"Name")</f>
        <v>Boolean</v>
      </c>
      <c r="F158" s="2">
        <f>F157+5</f>
        <v>15</v>
      </c>
      <c r="G158" s="2" t="s">
        <v>218</v>
      </c>
      <c r="H158" s="2" t="s">
        <v>618</v>
      </c>
      <c r="I158" s="2" t="s">
        <v>394</v>
      </c>
      <c r="J158" s="2" t="s">
        <v>394</v>
      </c>
      <c r="K158" s="17"/>
      <c r="L158" s="17">
        <v>1</v>
      </c>
      <c r="M158" s="17"/>
      <c r="N158" s="2" t="b">
        <v>1</v>
      </c>
      <c r="O158" s="2" t="b">
        <v>0</v>
      </c>
      <c r="P158" s="2" t="b">
        <v>0</v>
      </c>
      <c r="Q158" s="2" t="b">
        <v>0</v>
      </c>
      <c r="R158" s="2"/>
      <c r="S158" s="2"/>
      <c r="T158" s="2"/>
    </row>
    <row r="159" spans="1:20" s="13" customFormat="1" x14ac:dyDescent="0.3">
      <c r="A159" s="10">
        <f t="shared" si="14"/>
        <v>158</v>
      </c>
      <c r="B159" s="10">
        <v>32</v>
      </c>
      <c r="C159" s="11" t="str" cm="1">
        <f t="array" ref="C159">GetValue("Tbl",B159,"Alias")</f>
        <v>Sch</v>
      </c>
      <c r="D159" s="10">
        <v>1</v>
      </c>
      <c r="E159" s="10" t="str">
        <f t="array" ref="E159">GetValue("Dmn",D159,"Name")</f>
        <v>BigInteger</v>
      </c>
      <c r="F159" s="10">
        <v>5</v>
      </c>
      <c r="G159" s="10" t="s">
        <v>0</v>
      </c>
      <c r="H159" s="10" t="s">
        <v>381</v>
      </c>
      <c r="I159" s="10" t="s">
        <v>0</v>
      </c>
      <c r="J159" s="10" t="s">
        <v>0</v>
      </c>
      <c r="K159" s="19"/>
      <c r="L159" s="19">
        <v>1</v>
      </c>
      <c r="M159" s="19"/>
      <c r="N159" s="10" t="b">
        <v>1</v>
      </c>
      <c r="O159" s="10" t="b">
        <v>1</v>
      </c>
      <c r="P159" s="10" t="b">
        <v>0</v>
      </c>
      <c r="Q159" s="10" t="b">
        <v>0</v>
      </c>
      <c r="R159" s="10"/>
      <c r="S159" s="10"/>
      <c r="T159" s="12" t="b">
        <v>0</v>
      </c>
    </row>
    <row r="160" spans="1:20" s="13" customFormat="1" x14ac:dyDescent="0.3">
      <c r="A160" s="10">
        <f t="shared" si="14"/>
        <v>159</v>
      </c>
      <c r="B160" s="10">
        <v>32</v>
      </c>
      <c r="C160" s="11" t="str" cm="1">
        <f t="array" ref="C160">GetValue("Tbl",B160,"Alias")</f>
        <v>Sch</v>
      </c>
      <c r="D160" s="10">
        <v>1</v>
      </c>
      <c r="E160" s="10" t="str">
        <f t="array" ref="E160">GetValue("Dmn",D160,"Name")</f>
        <v>BigInteger</v>
      </c>
      <c r="F160" s="10">
        <f t="shared" ref="F160:F165" si="23">F159+5</f>
        <v>10</v>
      </c>
      <c r="G160" s="10" t="s">
        <v>219</v>
      </c>
      <c r="H160" s="10" t="s">
        <v>389</v>
      </c>
      <c r="I160" s="10" t="s">
        <v>222</v>
      </c>
      <c r="J160" s="10" t="s">
        <v>222</v>
      </c>
      <c r="K160" s="19"/>
      <c r="L160" s="19">
        <v>1</v>
      </c>
      <c r="M160" s="19"/>
      <c r="N160" s="10" t="b">
        <v>1</v>
      </c>
      <c r="O160" s="10" t="b">
        <v>0</v>
      </c>
      <c r="P160" s="10" t="b">
        <v>0</v>
      </c>
      <c r="Q160" s="10" t="b">
        <v>0</v>
      </c>
      <c r="R160" s="10"/>
      <c r="S160" s="10"/>
      <c r="T160" s="12" t="b">
        <v>0</v>
      </c>
    </row>
    <row r="161" spans="1:20" s="13" customFormat="1" x14ac:dyDescent="0.3">
      <c r="A161" s="10">
        <f t="shared" si="14"/>
        <v>160</v>
      </c>
      <c r="B161" s="10">
        <v>32</v>
      </c>
      <c r="C161" s="11" t="str" cm="1">
        <f t="array" ref="C161">GetValue("Tbl",B161,"Alias")</f>
        <v>Sch</v>
      </c>
      <c r="D161" s="10">
        <v>9</v>
      </c>
      <c r="E161" s="10" t="str">
        <f t="array" ref="E161">GetValue("Dmn",D161,"Name")</f>
        <v>Varchar(25)</v>
      </c>
      <c r="F161" s="10">
        <f t="shared" si="23"/>
        <v>15</v>
      </c>
      <c r="G161" s="10" t="s">
        <v>220</v>
      </c>
      <c r="H161" s="10" t="s">
        <v>390</v>
      </c>
      <c r="I161" s="10" t="s">
        <v>129</v>
      </c>
      <c r="J161" s="10" t="s">
        <v>129</v>
      </c>
      <c r="K161" s="19"/>
      <c r="L161" s="19"/>
      <c r="M161" s="19"/>
      <c r="N161" s="10" t="b">
        <v>1</v>
      </c>
      <c r="O161" s="10" t="b">
        <v>0</v>
      </c>
      <c r="P161" s="10" t="b">
        <v>0</v>
      </c>
      <c r="Q161" s="10" t="b">
        <v>0</v>
      </c>
      <c r="R161" s="10"/>
      <c r="S161" s="10" t="b">
        <v>0</v>
      </c>
      <c r="T161" s="12"/>
    </row>
    <row r="162" spans="1:20" s="13" customFormat="1" x14ac:dyDescent="0.3">
      <c r="A162" s="10">
        <f t="shared" si="14"/>
        <v>161</v>
      </c>
      <c r="B162" s="10">
        <v>32</v>
      </c>
      <c r="C162" s="11" t="str" cm="1">
        <f t="array" ref="C162">GetValue("Tbl",B162,"Alias")</f>
        <v>Sch</v>
      </c>
      <c r="D162" s="10">
        <v>19</v>
      </c>
      <c r="E162" s="10" t="str">
        <f t="array" ref="E162">GetValue("Dmn",D162,"Name")</f>
        <v>Operation</v>
      </c>
      <c r="F162" s="10">
        <f t="shared" si="23"/>
        <v>20</v>
      </c>
      <c r="G162" s="10" t="s">
        <v>51</v>
      </c>
      <c r="H162" s="10" t="s">
        <v>223</v>
      </c>
      <c r="I162" s="10" t="s">
        <v>115</v>
      </c>
      <c r="J162" s="10" t="s">
        <v>115</v>
      </c>
      <c r="K162" s="19"/>
      <c r="L162" s="19"/>
      <c r="M162" s="19"/>
      <c r="N162" s="10" t="b">
        <v>1</v>
      </c>
      <c r="O162" s="10" t="b">
        <v>1</v>
      </c>
      <c r="P162" s="10" t="b">
        <v>0</v>
      </c>
      <c r="Q162" s="10" t="b">
        <v>0</v>
      </c>
      <c r="R162" s="10"/>
      <c r="S162" s="10" t="b">
        <v>0</v>
      </c>
      <c r="T162" s="12"/>
    </row>
    <row r="163" spans="1:20" s="13" customFormat="1" x14ac:dyDescent="0.3">
      <c r="A163" s="10">
        <f t="shared" si="14"/>
        <v>162</v>
      </c>
      <c r="B163" s="10">
        <v>32</v>
      </c>
      <c r="C163" s="11" t="str" cm="1">
        <f t="array" ref="C163">GetValue("Tbl",B163,"Alias")</f>
        <v>Sch</v>
      </c>
      <c r="D163" s="10">
        <v>12</v>
      </c>
      <c r="E163" s="10" t="str">
        <f t="array" ref="E163">GetValue("Dmn",D163,"Name")</f>
        <v>Varchar(MAX)</v>
      </c>
      <c r="F163" s="10">
        <f t="shared" si="23"/>
        <v>25</v>
      </c>
      <c r="G163" s="10" t="s">
        <v>228</v>
      </c>
      <c r="H163" s="10" t="s">
        <v>391</v>
      </c>
      <c r="I163" s="10" t="s">
        <v>229</v>
      </c>
      <c r="J163" s="10" t="s">
        <v>229</v>
      </c>
      <c r="K163" s="19"/>
      <c r="L163" s="19"/>
      <c r="M163" s="19"/>
      <c r="N163" s="10" t="b">
        <v>0</v>
      </c>
      <c r="O163" s="10"/>
      <c r="P163" s="10" t="b">
        <v>0</v>
      </c>
      <c r="Q163" s="10"/>
      <c r="R163" s="10"/>
      <c r="S163" s="10"/>
      <c r="T163" s="12"/>
    </row>
    <row r="164" spans="1:20" s="13" customFormat="1" x14ac:dyDescent="0.3">
      <c r="A164" s="10">
        <f t="shared" si="14"/>
        <v>163</v>
      </c>
      <c r="B164" s="10">
        <v>32</v>
      </c>
      <c r="C164" s="11" t="str" cm="1">
        <f t="array" ref="C164">GetValue("Tbl",B164,"Alias")</f>
        <v>Sch</v>
      </c>
      <c r="D164" s="10">
        <v>12</v>
      </c>
      <c r="E164" s="10" t="str">
        <f t="array" ref="E164">GetValue("Dmn",D164,"Name")</f>
        <v>Varchar(MAX)</v>
      </c>
      <c r="F164" s="10">
        <f t="shared" si="23"/>
        <v>30</v>
      </c>
      <c r="G164" s="10" t="s">
        <v>221</v>
      </c>
      <c r="H164" s="10" t="s">
        <v>392</v>
      </c>
      <c r="I164" s="10" t="s">
        <v>224</v>
      </c>
      <c r="J164" s="10" t="s">
        <v>224</v>
      </c>
      <c r="K164" s="19"/>
      <c r="L164" s="19"/>
      <c r="M164" s="19"/>
      <c r="N164" s="10" t="b">
        <v>1</v>
      </c>
      <c r="O164" s="10"/>
      <c r="P164" s="10" t="b">
        <v>0</v>
      </c>
      <c r="Q164" s="10"/>
      <c r="R164" s="10"/>
      <c r="S164" s="10"/>
      <c r="T164" s="12"/>
    </row>
    <row r="165" spans="1:20" s="13" customFormat="1" x14ac:dyDescent="0.3">
      <c r="A165" s="10">
        <f t="shared" si="14"/>
        <v>164</v>
      </c>
      <c r="B165" s="10">
        <v>32</v>
      </c>
      <c r="C165" s="11" t="str" cm="1">
        <f t="array" ref="C165">GetValue("Tbl",B165,"Alias")</f>
        <v>Sch</v>
      </c>
      <c r="D165" s="10">
        <v>6</v>
      </c>
      <c r="E165" s="10" t="str">
        <f t="array" ref="E165">GetValue("Dmn",D165,"Name")</f>
        <v>Boolean</v>
      </c>
      <c r="F165" s="10">
        <f t="shared" si="23"/>
        <v>35</v>
      </c>
      <c r="G165" s="10" t="s">
        <v>218</v>
      </c>
      <c r="H165" s="10" t="s">
        <v>393</v>
      </c>
      <c r="I165" s="10" t="s">
        <v>394</v>
      </c>
      <c r="J165" s="10" t="s">
        <v>394</v>
      </c>
      <c r="K165" s="19"/>
      <c r="L165" s="19"/>
      <c r="M165" s="19"/>
      <c r="N165" s="10" t="b">
        <v>0</v>
      </c>
      <c r="O165" s="10" t="b">
        <v>0</v>
      </c>
      <c r="P165" s="10" t="b">
        <v>0</v>
      </c>
      <c r="Q165" s="10" t="b">
        <v>0</v>
      </c>
      <c r="R165" s="10"/>
      <c r="S165" s="10"/>
      <c r="T165" s="12"/>
    </row>
    <row r="166" spans="1:20" x14ac:dyDescent="0.3">
      <c r="A166" s="2">
        <f t="shared" si="14"/>
        <v>165</v>
      </c>
      <c r="B166" s="14">
        <v>33</v>
      </c>
      <c r="C166" s="2" t="str" cm="1">
        <f t="array" ref="C166">GetValue("Tbl",B166,"Alias")</f>
        <v>SchScr</v>
      </c>
      <c r="D166" s="2">
        <v>1</v>
      </c>
      <c r="E166" s="2" t="str">
        <f t="array" ref="E166">GetValue("Dmn",D166,"Name")</f>
        <v>BigInteger</v>
      </c>
      <c r="F166" s="2">
        <v>5</v>
      </c>
      <c r="G166" s="2" t="s">
        <v>0</v>
      </c>
      <c r="H166" s="2" t="s">
        <v>413</v>
      </c>
      <c r="I166" s="2" t="s">
        <v>0</v>
      </c>
      <c r="J166" s="2" t="s">
        <v>0</v>
      </c>
      <c r="K166" s="17"/>
      <c r="L166" s="17">
        <v>1</v>
      </c>
      <c r="M166" s="17"/>
      <c r="N166" s="2" t="b">
        <v>1</v>
      </c>
      <c r="O166" s="2" t="b">
        <v>1</v>
      </c>
      <c r="P166" s="2" t="b">
        <v>0</v>
      </c>
      <c r="Q166" s="2" t="b">
        <v>0</v>
      </c>
      <c r="R166" s="2"/>
      <c r="S166" s="2"/>
      <c r="T166" s="5" t="b">
        <v>0</v>
      </c>
    </row>
    <row r="167" spans="1:20" x14ac:dyDescent="0.3">
      <c r="A167" s="2">
        <f t="shared" si="14"/>
        <v>166</v>
      </c>
      <c r="B167" s="14">
        <v>33</v>
      </c>
      <c r="C167" s="2" t="str" cm="1">
        <f t="array" ref="C167">GetValue("Tbl",B167,"Alias")</f>
        <v>SchScr</v>
      </c>
      <c r="D167" s="2">
        <v>1</v>
      </c>
      <c r="E167" s="2" t="str">
        <f t="array" ref="E167">GetValue("Dmn",D167,"Name")</f>
        <v>BigInteger</v>
      </c>
      <c r="F167" s="2">
        <f>F166+5</f>
        <v>10</v>
      </c>
      <c r="G167" s="2" t="s">
        <v>81</v>
      </c>
      <c r="H167" s="2" t="s">
        <v>420</v>
      </c>
      <c r="I167" s="2" t="s">
        <v>418</v>
      </c>
      <c r="J167" s="2" t="s">
        <v>418</v>
      </c>
      <c r="K167" s="17"/>
      <c r="L167" s="17">
        <v>1</v>
      </c>
      <c r="M167" s="17"/>
      <c r="N167" s="2" t="b">
        <v>1</v>
      </c>
      <c r="O167" s="2" t="b">
        <v>1</v>
      </c>
      <c r="P167" s="2" t="b">
        <v>1</v>
      </c>
      <c r="Q167" s="2" t="b">
        <v>1</v>
      </c>
      <c r="R167" s="2"/>
      <c r="S167" s="2"/>
      <c r="T167" s="5" t="b">
        <v>0</v>
      </c>
    </row>
    <row r="168" spans="1:20" x14ac:dyDescent="0.3">
      <c r="A168" s="2">
        <f t="shared" si="14"/>
        <v>167</v>
      </c>
      <c r="B168" s="14">
        <v>33</v>
      </c>
      <c r="C168" s="2" t="str" cm="1">
        <f t="array" ref="C168">GetValue("Tbl",B168,"Alias")</f>
        <v>SchScr</v>
      </c>
      <c r="D168" s="2">
        <v>9</v>
      </c>
      <c r="E168" s="2" t="str">
        <f t="array" ref="E168">GetValue("Dmn",D168,"Name")</f>
        <v>Varchar(25)</v>
      </c>
      <c r="F168" s="2">
        <f t="shared" ref="F168:F169" si="24">F167+5</f>
        <v>15</v>
      </c>
      <c r="G168" s="2" t="s">
        <v>1</v>
      </c>
      <c r="H168" s="2" t="s">
        <v>555</v>
      </c>
      <c r="I168" s="2" t="s">
        <v>88</v>
      </c>
      <c r="J168" s="2" t="s">
        <v>88</v>
      </c>
      <c r="K168" s="17"/>
      <c r="L168" s="17" t="s">
        <v>23</v>
      </c>
      <c r="M168" s="17"/>
      <c r="N168" s="2" t="b">
        <v>1</v>
      </c>
      <c r="O168" s="2" t="b">
        <v>1</v>
      </c>
      <c r="P168" s="2" t="b">
        <v>1</v>
      </c>
      <c r="Q168" s="2" t="b">
        <v>1</v>
      </c>
      <c r="R168" s="2"/>
      <c r="S168" s="2" t="b">
        <v>0</v>
      </c>
      <c r="T168" s="5"/>
    </row>
    <row r="169" spans="1:20" x14ac:dyDescent="0.3">
      <c r="A169" s="2">
        <f t="shared" si="14"/>
        <v>168</v>
      </c>
      <c r="B169" s="14">
        <v>33</v>
      </c>
      <c r="C169" s="2" t="str" cm="1">
        <f t="array" ref="C169">GetValue("Tbl",B169,"Alias")</f>
        <v>SchScr</v>
      </c>
      <c r="D169" s="2">
        <v>6</v>
      </c>
      <c r="E169" s="2" t="str">
        <f t="array" ref="E169">GetValue("Dmn",D169,"Name")</f>
        <v>Boolean</v>
      </c>
      <c r="F169" s="2">
        <f t="shared" si="24"/>
        <v>20</v>
      </c>
      <c r="G169" s="2" t="s">
        <v>416</v>
      </c>
      <c r="H169" s="2" t="s">
        <v>414</v>
      </c>
      <c r="I169" s="2" t="s">
        <v>412</v>
      </c>
      <c r="J169" s="2" t="s">
        <v>412</v>
      </c>
      <c r="K169" s="17"/>
      <c r="L169" s="17"/>
      <c r="M169" s="17"/>
      <c r="N169" s="2" t="b">
        <v>0</v>
      </c>
      <c r="O169" s="2" t="b">
        <v>0</v>
      </c>
      <c r="P169" s="2" t="b">
        <v>1</v>
      </c>
      <c r="Q169" s="2" t="b">
        <v>0</v>
      </c>
      <c r="R169" s="2"/>
      <c r="S169" s="2"/>
      <c r="T169" s="5"/>
    </row>
    <row r="170" spans="1:20" x14ac:dyDescent="0.3">
      <c r="A170" s="2">
        <f t="shared" si="14"/>
        <v>169</v>
      </c>
      <c r="B170" s="14">
        <v>33</v>
      </c>
      <c r="C170" s="2" t="str" cm="1">
        <f t="array" ref="C170">GetValue("Tbl",B170,"Alias")</f>
        <v>SchScr</v>
      </c>
      <c r="D170" s="2">
        <v>6</v>
      </c>
      <c r="E170" s="2" t="str">
        <f t="array" ref="E170">GetValue("Dmn",D170,"Name")</f>
        <v>Boolean</v>
      </c>
      <c r="F170" s="2">
        <f>F168+5</f>
        <v>20</v>
      </c>
      <c r="G170" s="2" t="s">
        <v>687</v>
      </c>
      <c r="H170" s="2" t="s">
        <v>688</v>
      </c>
      <c r="I170" s="2" t="s">
        <v>690</v>
      </c>
      <c r="J170" s="2" t="s">
        <v>690</v>
      </c>
      <c r="K170" s="17"/>
      <c r="L170" s="17" t="s">
        <v>23</v>
      </c>
      <c r="M170" s="17"/>
      <c r="N170" s="2" t="b">
        <v>1</v>
      </c>
      <c r="O170" s="2" t="b">
        <v>0</v>
      </c>
      <c r="P170" s="2" t="b">
        <v>0</v>
      </c>
      <c r="Q170" s="2" t="b">
        <v>0</v>
      </c>
      <c r="R170" s="2"/>
      <c r="S170" s="2"/>
      <c r="T170" s="5"/>
    </row>
    <row r="171" spans="1:20" x14ac:dyDescent="0.3">
      <c r="A171" s="2">
        <f t="shared" si="14"/>
        <v>170</v>
      </c>
      <c r="B171" s="14">
        <v>33</v>
      </c>
      <c r="C171" s="2" t="str" cm="1">
        <f t="array" ref="C171">GetValue("Tbl",B171,"Alias")</f>
        <v>SchScr</v>
      </c>
      <c r="D171" s="2">
        <v>6</v>
      </c>
      <c r="E171" s="2" t="str">
        <f t="array" ref="E171">GetValue("Dmn",D171,"Name")</f>
        <v>Boolean</v>
      </c>
      <c r="F171" s="2">
        <f>F169+5</f>
        <v>25</v>
      </c>
      <c r="G171" s="2" t="s">
        <v>22</v>
      </c>
      <c r="H171" s="2" t="s">
        <v>415</v>
      </c>
      <c r="I171" s="2" t="s">
        <v>120</v>
      </c>
      <c r="J171" s="2" t="s">
        <v>120</v>
      </c>
      <c r="K171" s="17"/>
      <c r="L171" s="17" t="s">
        <v>23</v>
      </c>
      <c r="M171" s="17"/>
      <c r="N171" s="2" t="b">
        <v>1</v>
      </c>
      <c r="O171" s="2" t="b">
        <v>1</v>
      </c>
      <c r="P171" s="2" t="b">
        <v>1</v>
      </c>
      <c r="Q171" s="2" t="b">
        <v>0</v>
      </c>
      <c r="R171" s="2"/>
      <c r="S171" s="2"/>
      <c r="T171" s="5"/>
    </row>
    <row r="172" spans="1:20" s="13" customFormat="1" x14ac:dyDescent="0.3">
      <c r="A172" s="10">
        <f t="shared" si="14"/>
        <v>171</v>
      </c>
      <c r="B172" s="10">
        <v>34</v>
      </c>
      <c r="C172" s="11" t="str" cm="1">
        <f t="array" ref="C172">GetValue("Tbl",B172,"Alias")</f>
        <v>Opr</v>
      </c>
      <c r="D172" s="10">
        <v>1</v>
      </c>
      <c r="E172" s="10" t="str">
        <f t="array" ref="E172">GetValue("Dmn",D172,"Name")</f>
        <v>BigInteger</v>
      </c>
      <c r="F172" s="10">
        <v>5</v>
      </c>
      <c r="G172" s="10" t="s">
        <v>0</v>
      </c>
      <c r="H172" s="10" t="s">
        <v>633</v>
      </c>
      <c r="I172" s="10" t="s">
        <v>0</v>
      </c>
      <c r="J172" s="10" t="s">
        <v>0</v>
      </c>
      <c r="K172" s="19"/>
      <c r="L172" s="19">
        <v>1</v>
      </c>
      <c r="M172" s="19"/>
      <c r="N172" s="10" t="b">
        <v>1</v>
      </c>
      <c r="O172" s="10" t="b">
        <v>1</v>
      </c>
      <c r="P172" s="10" t="b">
        <v>0</v>
      </c>
      <c r="Q172" s="10" t="b">
        <v>0</v>
      </c>
      <c r="R172" s="10"/>
      <c r="S172" s="10"/>
      <c r="T172" s="10" t="b">
        <v>0</v>
      </c>
    </row>
    <row r="173" spans="1:20" s="13" customFormat="1" x14ac:dyDescent="0.3">
      <c r="A173" s="10">
        <f t="shared" si="14"/>
        <v>172</v>
      </c>
      <c r="B173" s="10">
        <v>34</v>
      </c>
      <c r="C173" s="11" t="str" cm="1">
        <f t="array" ref="C173">GetValue("Tbl",B173,"Alias")</f>
        <v>Opr</v>
      </c>
      <c r="D173" s="10">
        <v>1</v>
      </c>
      <c r="E173" s="10" t="str">
        <f t="array" ref="E173">GetValue("Dmn",D173,"Name")</f>
        <v>BigInteger</v>
      </c>
      <c r="F173" s="10">
        <f t="shared" ref="F173:F178" si="25">F172+5</f>
        <v>10</v>
      </c>
      <c r="G173" s="10" t="s">
        <v>432</v>
      </c>
      <c r="H173" s="10" t="s">
        <v>634</v>
      </c>
      <c r="I173" s="10" t="s">
        <v>433</v>
      </c>
      <c r="J173" s="10" t="s">
        <v>433</v>
      </c>
      <c r="K173" s="19"/>
      <c r="L173" s="19">
        <v>1</v>
      </c>
      <c r="M173" s="19"/>
      <c r="N173" s="10" t="b">
        <v>1</v>
      </c>
      <c r="O173" s="10" t="b">
        <v>0</v>
      </c>
      <c r="P173" s="10" t="b">
        <v>1</v>
      </c>
      <c r="Q173" s="10" t="b">
        <v>0</v>
      </c>
      <c r="R173" s="10"/>
      <c r="S173" s="10"/>
      <c r="T173" s="10" t="b">
        <v>0</v>
      </c>
    </row>
    <row r="174" spans="1:20" s="13" customFormat="1" x14ac:dyDescent="0.3">
      <c r="A174" s="10">
        <f>ROW(A174)-1</f>
        <v>173</v>
      </c>
      <c r="B174" s="10">
        <v>34</v>
      </c>
      <c r="C174" s="11" t="str" cm="1">
        <f t="array" ref="C174">GetValue("Tbl",B174,"Alias")</f>
        <v>Opr</v>
      </c>
      <c r="D174" s="10">
        <v>1</v>
      </c>
      <c r="E174" s="10" t="str">
        <f t="array" ref="E174">GetValue("Dmn",D174,"Name")</f>
        <v>BigInteger</v>
      </c>
      <c r="F174" s="10">
        <f t="shared" si="25"/>
        <v>15</v>
      </c>
      <c r="G174" s="10" t="s">
        <v>312</v>
      </c>
      <c r="H174" s="10" t="s">
        <v>635</v>
      </c>
      <c r="I174" s="10" t="s">
        <v>419</v>
      </c>
      <c r="J174" s="10" t="s">
        <v>419</v>
      </c>
      <c r="K174" s="19"/>
      <c r="L174" s="19"/>
      <c r="M174" s="19"/>
      <c r="N174" s="10" t="b">
        <v>1</v>
      </c>
      <c r="O174" s="10" t="b">
        <v>0</v>
      </c>
      <c r="P174" s="10" t="b">
        <v>0</v>
      </c>
      <c r="Q174" s="10" t="b">
        <v>0</v>
      </c>
      <c r="R174" s="10"/>
      <c r="S174" s="10" t="b">
        <v>0</v>
      </c>
      <c r="T174" s="10" t="b">
        <v>0</v>
      </c>
    </row>
    <row r="175" spans="1:20" s="13" customFormat="1" x14ac:dyDescent="0.3">
      <c r="A175" s="10">
        <f t="shared" si="14"/>
        <v>174</v>
      </c>
      <c r="B175" s="10">
        <v>34</v>
      </c>
      <c r="C175" s="11" t="str" cm="1">
        <f t="array" ref="C175">GetValue("Tbl",B175,"Alias")</f>
        <v>Opr</v>
      </c>
      <c r="D175" s="10">
        <v>4</v>
      </c>
      <c r="E175" s="10" t="str">
        <f t="array" ref="E175">GetValue("Dmn",D175,"Name")</f>
        <v>SmallInteger</v>
      </c>
      <c r="F175" s="10">
        <f t="shared" si="25"/>
        <v>20</v>
      </c>
      <c r="G175" s="10" t="s">
        <v>49</v>
      </c>
      <c r="H175" s="10" t="s">
        <v>636</v>
      </c>
      <c r="I175" s="10" t="s">
        <v>114</v>
      </c>
      <c r="J175" s="10" t="s">
        <v>114</v>
      </c>
      <c r="K175" s="19"/>
      <c r="L175" s="19">
        <v>1</v>
      </c>
      <c r="M175" s="19"/>
      <c r="N175" s="10" t="b">
        <v>1</v>
      </c>
      <c r="O175" s="10" t="b">
        <v>0</v>
      </c>
      <c r="P175" s="10" t="b">
        <v>1</v>
      </c>
      <c r="Q175" s="10" t="b">
        <v>1</v>
      </c>
      <c r="R175" s="10"/>
      <c r="S175" s="10"/>
      <c r="T175" s="10" t="b">
        <v>0</v>
      </c>
    </row>
    <row r="176" spans="1:20" s="13" customFormat="1" x14ac:dyDescent="0.3">
      <c r="A176" s="10">
        <f t="shared" si="14"/>
        <v>175</v>
      </c>
      <c r="B176" s="10">
        <v>34</v>
      </c>
      <c r="C176" s="11" t="str" cm="1">
        <f t="array" ref="C176">GetValue("Tbl",B176,"Alias")</f>
        <v>Opr</v>
      </c>
      <c r="D176" s="10">
        <v>12</v>
      </c>
      <c r="E176" s="10" t="str">
        <f t="array" ref="E176">GetValue("Dmn",D176,"Name")</f>
        <v>Varchar(MAX)</v>
      </c>
      <c r="F176" s="10">
        <f t="shared" si="25"/>
        <v>25</v>
      </c>
      <c r="G176" s="10" t="s">
        <v>292</v>
      </c>
      <c r="H176" s="10" t="s">
        <v>637</v>
      </c>
      <c r="I176" s="10" t="s">
        <v>417</v>
      </c>
      <c r="J176" s="10" t="s">
        <v>417</v>
      </c>
      <c r="K176" s="19"/>
      <c r="L176" s="19"/>
      <c r="M176" s="19"/>
      <c r="N176" s="10" t="b">
        <v>1</v>
      </c>
      <c r="O176" s="10"/>
      <c r="P176" s="10" t="b">
        <v>0</v>
      </c>
      <c r="Q176" s="10"/>
      <c r="R176" s="10"/>
      <c r="S176" s="10"/>
      <c r="T176" s="10"/>
    </row>
    <row r="177" spans="1:20" s="13" customFormat="1" x14ac:dyDescent="0.3">
      <c r="A177" s="10">
        <f t="shared" si="14"/>
        <v>176</v>
      </c>
      <c r="B177" s="10">
        <v>34</v>
      </c>
      <c r="C177" s="11" t="str" cm="1">
        <f t="array" ref="C177">GetValue("Tbl",B177,"Alias")</f>
        <v>Opr</v>
      </c>
      <c r="D177" s="10">
        <v>12</v>
      </c>
      <c r="E177" s="10" t="str">
        <f t="array" ref="E177">GetValue("Dmn",D177,"Name")</f>
        <v>Varchar(MAX)</v>
      </c>
      <c r="F177" s="10">
        <f t="shared" si="25"/>
        <v>30</v>
      </c>
      <c r="G177" s="10" t="s">
        <v>293</v>
      </c>
      <c r="H177" s="10" t="s">
        <v>638</v>
      </c>
      <c r="I177" s="10" t="s">
        <v>429</v>
      </c>
      <c r="J177" s="10" t="s">
        <v>429</v>
      </c>
      <c r="K177" s="19"/>
      <c r="L177" s="19"/>
      <c r="M177" s="19"/>
      <c r="N177" s="10" t="b">
        <v>1</v>
      </c>
      <c r="O177" s="10"/>
      <c r="P177" s="10" t="b">
        <v>0</v>
      </c>
      <c r="Q177" s="10"/>
      <c r="R177" s="10"/>
      <c r="S177" s="10"/>
      <c r="T177" s="10"/>
    </row>
    <row r="178" spans="1:20" s="13" customFormat="1" x14ac:dyDescent="0.3">
      <c r="A178" s="10">
        <f t="shared" si="14"/>
        <v>177</v>
      </c>
      <c r="B178" s="10">
        <v>34</v>
      </c>
      <c r="C178" s="11" t="str" cm="1">
        <f t="array" ref="C178">GetValue("Tbl",B178,"Alias")</f>
        <v>Opr</v>
      </c>
      <c r="D178" s="10">
        <v>6</v>
      </c>
      <c r="E178" s="10" t="str">
        <f t="array" ref="E178">GetValue("Dmn",D178,"Name")</f>
        <v>Boolean</v>
      </c>
      <c r="F178" s="10">
        <f t="shared" si="25"/>
        <v>35</v>
      </c>
      <c r="G178" s="10" t="s">
        <v>466</v>
      </c>
      <c r="H178" s="10" t="s">
        <v>639</v>
      </c>
      <c r="I178" s="10" t="s">
        <v>513</v>
      </c>
      <c r="J178" s="10" t="s">
        <v>513</v>
      </c>
      <c r="K178" s="19"/>
      <c r="L178" s="19" t="s">
        <v>23</v>
      </c>
      <c r="M178" s="19"/>
      <c r="N178" s="10" t="b">
        <v>1</v>
      </c>
      <c r="O178" s="10" t="b">
        <v>1</v>
      </c>
      <c r="P178" s="10" t="b">
        <v>1</v>
      </c>
      <c r="Q178" s="10" t="b">
        <v>0</v>
      </c>
      <c r="R178" s="10"/>
      <c r="S178" s="10"/>
      <c r="T178" s="10"/>
    </row>
    <row r="179" spans="1:20" x14ac:dyDescent="0.3">
      <c r="A179" s="2">
        <f t="shared" si="14"/>
        <v>178</v>
      </c>
      <c r="B179" s="2">
        <v>35</v>
      </c>
      <c r="C179" s="2" t="str" cm="1">
        <f t="array" ref="C179">GetValue("Tbl",B179,"Alias")</f>
        <v>Prp</v>
      </c>
      <c r="D179" s="2">
        <v>5</v>
      </c>
      <c r="E179" s="2" t="str">
        <f t="array" ref="E179">GetValue("Dmn",D179,"Name")</f>
        <v>TinyInteger</v>
      </c>
      <c r="F179" s="2">
        <v>5</v>
      </c>
      <c r="G179" s="2" t="s">
        <v>0</v>
      </c>
      <c r="H179" s="2" t="s">
        <v>335</v>
      </c>
      <c r="I179" s="2" t="s">
        <v>0</v>
      </c>
      <c r="J179" s="2" t="s">
        <v>0</v>
      </c>
      <c r="K179" s="17"/>
      <c r="L179" s="17">
        <v>1</v>
      </c>
      <c r="M179" s="17"/>
      <c r="N179" s="2" t="b">
        <v>1</v>
      </c>
      <c r="O179" s="2" t="b">
        <v>1</v>
      </c>
      <c r="P179" s="2" t="b">
        <v>0</v>
      </c>
      <c r="Q179" s="2" t="b">
        <v>0</v>
      </c>
      <c r="R179" s="2"/>
      <c r="S179" s="2"/>
      <c r="T179" s="5" t="b">
        <v>0</v>
      </c>
    </row>
    <row r="180" spans="1:20" x14ac:dyDescent="0.3">
      <c r="A180" s="2">
        <f t="shared" si="14"/>
        <v>179</v>
      </c>
      <c r="B180" s="2">
        <v>35</v>
      </c>
      <c r="C180" s="2" t="str" cm="1">
        <f t="array" ref="C180">GetValue("Tbl",B180,"Alias")</f>
        <v>Prp</v>
      </c>
      <c r="D180" s="2">
        <v>9</v>
      </c>
      <c r="E180" s="2" t="str">
        <f t="array" ref="E180">GetValue("Dmn",D180,"Name")</f>
        <v>Varchar(25)</v>
      </c>
      <c r="F180" s="2">
        <f>F179+5</f>
        <v>10</v>
      </c>
      <c r="G180" s="2" t="s">
        <v>1</v>
      </c>
      <c r="H180" s="2" t="s">
        <v>336</v>
      </c>
      <c r="I180" s="2" t="s">
        <v>88</v>
      </c>
      <c r="J180" s="2" t="s">
        <v>88</v>
      </c>
      <c r="K180" s="17"/>
      <c r="L180" s="17" t="s">
        <v>23</v>
      </c>
      <c r="M180" s="17"/>
      <c r="N180" s="2" t="b">
        <v>1</v>
      </c>
      <c r="O180" s="2" t="b">
        <v>1</v>
      </c>
      <c r="P180" s="2" t="b">
        <v>1</v>
      </c>
      <c r="Q180" s="2" t="b">
        <v>1</v>
      </c>
      <c r="R180" s="2"/>
      <c r="S180" s="2" t="b">
        <v>0</v>
      </c>
      <c r="T180" s="5"/>
    </row>
    <row r="181" spans="1:20" x14ac:dyDescent="0.3">
      <c r="A181" s="2">
        <f t="shared" si="14"/>
        <v>180</v>
      </c>
      <c r="B181" s="2">
        <v>35</v>
      </c>
      <c r="C181" s="2" t="str" cm="1">
        <f t="array" ref="C181">GetValue("Tbl",B181,"Alias")</f>
        <v>Prp</v>
      </c>
      <c r="D181" s="2">
        <v>10</v>
      </c>
      <c r="E181" s="2" t="str">
        <f t="array" ref="E181">GetValue("Dmn",D181,"Name")</f>
        <v>Varchar(50)</v>
      </c>
      <c r="F181" s="2">
        <f>F180+5</f>
        <v>15</v>
      </c>
      <c r="G181" s="2" t="s">
        <v>46</v>
      </c>
      <c r="H181" s="2" t="s">
        <v>337</v>
      </c>
      <c r="I181" s="2" t="s">
        <v>110</v>
      </c>
      <c r="J181" s="2" t="s">
        <v>110</v>
      </c>
      <c r="K181" s="17"/>
      <c r="L181" s="17" t="s">
        <v>23</v>
      </c>
      <c r="M181" s="17"/>
      <c r="N181" s="2" t="b">
        <v>1</v>
      </c>
      <c r="O181" s="2" t="b">
        <v>0</v>
      </c>
      <c r="P181" s="2" t="b">
        <v>1</v>
      </c>
      <c r="Q181" s="2" t="b">
        <v>1</v>
      </c>
      <c r="R181" s="2"/>
      <c r="S181" s="2" t="b">
        <v>0</v>
      </c>
      <c r="T181" s="5"/>
    </row>
    <row r="182" spans="1:20" s="13" customFormat="1" x14ac:dyDescent="0.3">
      <c r="A182" s="10">
        <f t="shared" si="14"/>
        <v>181</v>
      </c>
      <c r="B182" s="10">
        <v>36</v>
      </c>
      <c r="C182" s="11" t="str" cm="1">
        <f t="array" ref="C182">GetValue("Tbl",B182,"Alias")</f>
        <v>Bhv</v>
      </c>
      <c r="D182" s="10">
        <v>1</v>
      </c>
      <c r="E182" s="10" t="str">
        <f t="array" ref="E182">GetValue("Dmn",D182,"Name")</f>
        <v>BigInteger</v>
      </c>
      <c r="F182" s="10">
        <v>5</v>
      </c>
      <c r="G182" s="10" t="s">
        <v>0</v>
      </c>
      <c r="H182" s="10" t="s">
        <v>620</v>
      </c>
      <c r="I182" s="10" t="s">
        <v>0</v>
      </c>
      <c r="J182" s="10" t="s">
        <v>0</v>
      </c>
      <c r="K182" s="19"/>
      <c r="L182" s="19">
        <v>1</v>
      </c>
      <c r="M182" s="19"/>
      <c r="N182" s="10" t="b">
        <v>1</v>
      </c>
      <c r="O182" s="10" t="b">
        <v>1</v>
      </c>
      <c r="P182" s="10" t="b">
        <v>0</v>
      </c>
      <c r="Q182" s="10" t="b">
        <v>0</v>
      </c>
      <c r="R182" s="10"/>
      <c r="S182" s="10"/>
      <c r="T182" s="10" t="b">
        <v>0</v>
      </c>
    </row>
    <row r="183" spans="1:20" s="13" customFormat="1" x14ac:dyDescent="0.3">
      <c r="A183" s="10">
        <f t="shared" si="14"/>
        <v>182</v>
      </c>
      <c r="B183" s="10">
        <v>36</v>
      </c>
      <c r="C183" s="11" t="str" cm="1">
        <f t="array" ref="C183">GetValue("Tbl",B183,"Alias")</f>
        <v>Bhv</v>
      </c>
      <c r="D183" s="10">
        <v>5</v>
      </c>
      <c r="E183" s="10" t="str">
        <f t="array" ref="E183">GetValue("Dmn",D183,"Name")</f>
        <v>TinyInteger</v>
      </c>
      <c r="F183" s="10">
        <f t="shared" ref="F183:F191" si="26">F182+5</f>
        <v>10</v>
      </c>
      <c r="G183" s="10" t="s">
        <v>294</v>
      </c>
      <c r="H183" s="10" t="s">
        <v>621</v>
      </c>
      <c r="I183" s="10" t="s">
        <v>423</v>
      </c>
      <c r="J183" s="10" t="s">
        <v>423</v>
      </c>
      <c r="K183" s="19"/>
      <c r="L183" s="19">
        <v>1</v>
      </c>
      <c r="M183" s="19"/>
      <c r="N183" s="10" t="b">
        <v>1</v>
      </c>
      <c r="O183" s="10" t="b">
        <v>1</v>
      </c>
      <c r="P183" s="10" t="b">
        <v>1</v>
      </c>
      <c r="Q183" s="10" t="b">
        <v>1</v>
      </c>
      <c r="R183" s="10"/>
      <c r="S183" s="10"/>
      <c r="T183" s="10" t="b">
        <v>0</v>
      </c>
    </row>
    <row r="184" spans="1:20" s="13" customFormat="1" x14ac:dyDescent="0.3">
      <c r="A184" s="10">
        <f t="shared" si="14"/>
        <v>183</v>
      </c>
      <c r="B184" s="10">
        <v>36</v>
      </c>
      <c r="C184" s="11" t="str" cm="1">
        <f t="array" ref="C184">GetValue("Tbl",B184,"Alias")</f>
        <v>Bhv</v>
      </c>
      <c r="D184" s="10">
        <v>9</v>
      </c>
      <c r="E184" s="10" t="str">
        <f t="array" ref="E184">GetValue("Dmn",D184,"Name")</f>
        <v>Varchar(25)</v>
      </c>
      <c r="F184" s="10">
        <f t="shared" si="26"/>
        <v>15</v>
      </c>
      <c r="G184" s="10" t="s">
        <v>1</v>
      </c>
      <c r="H184" s="10" t="s">
        <v>622</v>
      </c>
      <c r="I184" s="10" t="s">
        <v>88</v>
      </c>
      <c r="J184" s="10" t="s">
        <v>88</v>
      </c>
      <c r="K184" s="19"/>
      <c r="L184" s="19" t="s">
        <v>23</v>
      </c>
      <c r="M184" s="19"/>
      <c r="N184" s="10" t="b">
        <v>1</v>
      </c>
      <c r="O184" s="10" t="b">
        <v>1</v>
      </c>
      <c r="P184" s="10" t="b">
        <v>1</v>
      </c>
      <c r="Q184" s="10" t="b">
        <v>1</v>
      </c>
      <c r="R184" s="10"/>
      <c r="S184" s="10" t="b">
        <v>0</v>
      </c>
      <c r="T184" s="10"/>
    </row>
    <row r="185" spans="1:20" s="13" customFormat="1" x14ac:dyDescent="0.3">
      <c r="A185" s="10">
        <f t="shared" si="14"/>
        <v>184</v>
      </c>
      <c r="B185" s="10">
        <v>36</v>
      </c>
      <c r="C185" s="11" t="str" cm="1">
        <f t="array" ref="C185">GetValue("Tbl",B185,"Alias")</f>
        <v>Bhv</v>
      </c>
      <c r="D185" s="10">
        <v>4</v>
      </c>
      <c r="E185" s="10" t="str">
        <f t="array" ref="E185">GetValue("Dmn",D185,"Name")</f>
        <v>SmallInteger</v>
      </c>
      <c r="F185" s="10">
        <f t="shared" si="26"/>
        <v>20</v>
      </c>
      <c r="G185" s="10" t="s">
        <v>308</v>
      </c>
      <c r="H185" s="10" t="s">
        <v>619</v>
      </c>
      <c r="I185" s="10" t="s">
        <v>422</v>
      </c>
      <c r="J185" s="10" t="s">
        <v>422</v>
      </c>
      <c r="K185" s="19"/>
      <c r="L185" s="19">
        <v>0</v>
      </c>
      <c r="M185" s="19"/>
      <c r="N185" s="10" t="b">
        <v>1</v>
      </c>
      <c r="O185" s="10" t="b">
        <v>1</v>
      </c>
      <c r="P185" s="10" t="b">
        <v>1</v>
      </c>
      <c r="Q185" s="10" t="b">
        <v>1</v>
      </c>
      <c r="R185" s="10"/>
      <c r="S185" s="10"/>
      <c r="T185" s="10" t="b">
        <v>0</v>
      </c>
    </row>
    <row r="186" spans="1:20" s="13" customFormat="1" x14ac:dyDescent="0.3">
      <c r="A186" s="10">
        <f t="shared" si="14"/>
        <v>185</v>
      </c>
      <c r="B186" s="10">
        <v>36</v>
      </c>
      <c r="C186" s="11" t="str" cm="1">
        <f t="array" ref="C186">GetValue("Tbl",B186,"Alias")</f>
        <v>Bhv</v>
      </c>
      <c r="D186" s="10">
        <v>21</v>
      </c>
      <c r="E186" s="10" t="str">
        <f t="array" ref="E186">GetValue("Dmn",D186,"Name")</f>
        <v>TimeOfDay</v>
      </c>
      <c r="F186" s="10">
        <f t="shared" si="26"/>
        <v>25</v>
      </c>
      <c r="G186" s="10" t="s">
        <v>424</v>
      </c>
      <c r="H186" s="10" t="s">
        <v>623</v>
      </c>
      <c r="I186" s="10" t="s">
        <v>425</v>
      </c>
      <c r="J186" s="10" t="s">
        <v>425</v>
      </c>
      <c r="K186" s="19"/>
      <c r="L186" s="19">
        <v>0</v>
      </c>
      <c r="M186" s="19"/>
      <c r="N186" s="10" t="b">
        <v>1</v>
      </c>
      <c r="O186" s="10" t="b">
        <v>1</v>
      </c>
      <c r="P186" s="10" t="b">
        <v>1</v>
      </c>
      <c r="Q186" s="10" t="b">
        <v>1</v>
      </c>
      <c r="R186" s="10"/>
      <c r="S186" s="10"/>
      <c r="T186" s="10"/>
    </row>
    <row r="187" spans="1:20" s="13" customFormat="1" x14ac:dyDescent="0.3">
      <c r="A187" s="10">
        <f t="shared" si="14"/>
        <v>186</v>
      </c>
      <c r="B187" s="10">
        <v>36</v>
      </c>
      <c r="C187" s="11" t="str" cm="1">
        <f t="array" ref="C187">GetValue("Tbl",B187,"Alias")</f>
        <v>Bhv</v>
      </c>
      <c r="D187" s="10">
        <v>5</v>
      </c>
      <c r="E187" s="10" t="str">
        <f t="array" ref="E187">GetValue("Dmn",D187,"Name")</f>
        <v>TinyInteger</v>
      </c>
      <c r="F187" s="10">
        <f t="shared" si="26"/>
        <v>30</v>
      </c>
      <c r="G187" s="10" t="s">
        <v>437</v>
      </c>
      <c r="H187" s="10" t="s">
        <v>439</v>
      </c>
      <c r="I187" s="10" t="s">
        <v>438</v>
      </c>
      <c r="J187" s="10" t="s">
        <v>438</v>
      </c>
      <c r="K187" s="19"/>
      <c r="L187" s="19">
        <v>0</v>
      </c>
      <c r="M187" s="19"/>
      <c r="N187" s="10" t="b">
        <v>1</v>
      </c>
      <c r="O187" s="10" t="b">
        <v>1</v>
      </c>
      <c r="P187" s="10" t="b">
        <v>1</v>
      </c>
      <c r="Q187" s="10" t="b">
        <v>1</v>
      </c>
      <c r="R187" s="10"/>
      <c r="S187" s="10"/>
      <c r="T187" s="10" t="b">
        <v>0</v>
      </c>
    </row>
    <row r="188" spans="1:20" s="13" customFormat="1" x14ac:dyDescent="0.3">
      <c r="A188" s="10">
        <f t="shared" si="14"/>
        <v>187</v>
      </c>
      <c r="B188" s="10">
        <v>36</v>
      </c>
      <c r="C188" s="11" t="str" cm="1">
        <f t="array" ref="C188">GetValue("Tbl",B188,"Alias")</f>
        <v>Bhv</v>
      </c>
      <c r="D188" s="10">
        <v>16</v>
      </c>
      <c r="E188" s="10" t="str">
        <f t="array" ref="E188">GetValue("Dmn",D188,"Name")</f>
        <v>DateTime</v>
      </c>
      <c r="F188" s="10">
        <f t="shared" si="26"/>
        <v>35</v>
      </c>
      <c r="G188" s="10" t="s">
        <v>436</v>
      </c>
      <c r="H188" s="10" t="s">
        <v>440</v>
      </c>
      <c r="I188" s="10" t="s">
        <v>441</v>
      </c>
      <c r="J188" s="10" t="s">
        <v>441</v>
      </c>
      <c r="K188" s="19"/>
      <c r="L188" s="19">
        <v>0</v>
      </c>
      <c r="M188" s="19"/>
      <c r="N188" s="10" t="b">
        <v>0</v>
      </c>
      <c r="O188" s="10" t="b">
        <v>0</v>
      </c>
      <c r="P188" s="10" t="b">
        <v>1</v>
      </c>
      <c r="Q188" s="10" t="b">
        <v>1</v>
      </c>
      <c r="R188" s="10"/>
      <c r="S188" s="10"/>
      <c r="T188" s="10"/>
    </row>
    <row r="189" spans="1:20" s="13" customFormat="1" x14ac:dyDescent="0.3">
      <c r="A189" s="10">
        <f t="shared" ref="A189:A217" si="27">ROW(A189)-1</f>
        <v>188</v>
      </c>
      <c r="B189" s="10">
        <v>36</v>
      </c>
      <c r="C189" s="11" t="str" cm="1">
        <f t="array" ref="C189">GetValue("Tbl",B189,"Alias")</f>
        <v>Bhv</v>
      </c>
      <c r="D189" s="10">
        <v>6</v>
      </c>
      <c r="E189" s="10" t="str">
        <f t="array" ref="E189">GetValue("Dmn",D189,"Name")</f>
        <v>Boolean</v>
      </c>
      <c r="F189" s="10">
        <f t="shared" si="26"/>
        <v>40</v>
      </c>
      <c r="G189" s="10" t="s">
        <v>442</v>
      </c>
      <c r="H189" s="10" t="s">
        <v>624</v>
      </c>
      <c r="I189" s="10" t="s">
        <v>426</v>
      </c>
      <c r="J189" s="10" t="s">
        <v>426</v>
      </c>
      <c r="K189" s="19"/>
      <c r="L189" s="19"/>
      <c r="M189" s="19"/>
      <c r="N189" s="10" t="b">
        <v>0</v>
      </c>
      <c r="O189" s="10" t="b">
        <v>0</v>
      </c>
      <c r="P189" s="10" t="b">
        <v>1</v>
      </c>
      <c r="Q189" s="10" t="b">
        <v>0</v>
      </c>
      <c r="R189" s="10"/>
      <c r="S189" s="10"/>
      <c r="T189" s="10"/>
    </row>
    <row r="190" spans="1:20" s="13" customFormat="1" x14ac:dyDescent="0.3">
      <c r="A190" s="10">
        <f t="shared" si="27"/>
        <v>189</v>
      </c>
      <c r="B190" s="10">
        <v>36</v>
      </c>
      <c r="C190" s="11" t="str" cm="1">
        <f t="array" ref="C190">GetValue("Tbl",B190,"Alias")</f>
        <v>Bhv</v>
      </c>
      <c r="D190" s="10">
        <v>6</v>
      </c>
      <c r="E190" s="10" t="str">
        <f t="array" ref="E190">GetValue("Dmn",D190,"Name")</f>
        <v>Boolean</v>
      </c>
      <c r="F190" s="10">
        <f t="shared" si="26"/>
        <v>45</v>
      </c>
      <c r="G190" s="10" t="s">
        <v>305</v>
      </c>
      <c r="H190" s="10" t="s">
        <v>625</v>
      </c>
      <c r="I190" s="10" t="s">
        <v>427</v>
      </c>
      <c r="J190" s="10" t="s">
        <v>427</v>
      </c>
      <c r="K190" s="19"/>
      <c r="L190" s="19"/>
      <c r="M190" s="19"/>
      <c r="N190" s="10" t="b">
        <v>0</v>
      </c>
      <c r="O190" s="10" t="b">
        <v>0</v>
      </c>
      <c r="P190" s="10" t="b">
        <v>1</v>
      </c>
      <c r="Q190" s="10" t="b">
        <v>0</v>
      </c>
      <c r="R190" s="10"/>
      <c r="S190" s="10"/>
      <c r="T190" s="10"/>
    </row>
    <row r="191" spans="1:20" s="13" customFormat="1" x14ac:dyDescent="0.3">
      <c r="A191" s="10">
        <f t="shared" si="27"/>
        <v>190</v>
      </c>
      <c r="B191" s="10">
        <v>36</v>
      </c>
      <c r="C191" s="11" t="str" cm="1">
        <f t="array" ref="C191">GetValue("Tbl",B191,"Alias")</f>
        <v>Bhv</v>
      </c>
      <c r="D191" s="10">
        <v>6</v>
      </c>
      <c r="E191" s="10" t="str">
        <f t="array" ref="E191">GetValue("Dmn",D191,"Name")</f>
        <v>Boolean</v>
      </c>
      <c r="F191" s="10">
        <f t="shared" si="26"/>
        <v>50</v>
      </c>
      <c r="G191" s="10" t="s">
        <v>310</v>
      </c>
      <c r="H191" s="10" t="s">
        <v>626</v>
      </c>
      <c r="I191" s="10" t="s">
        <v>428</v>
      </c>
      <c r="J191" s="10" t="s">
        <v>428</v>
      </c>
      <c r="K191" s="19"/>
      <c r="L191" s="19"/>
      <c r="M191" s="19"/>
      <c r="N191" s="10" t="b">
        <v>0</v>
      </c>
      <c r="O191" s="10" t="b">
        <v>0</v>
      </c>
      <c r="P191" s="10" t="b">
        <v>1</v>
      </c>
      <c r="Q191" s="10" t="b">
        <v>0</v>
      </c>
      <c r="R191" s="10"/>
      <c r="S191" s="10"/>
      <c r="T191" s="10"/>
    </row>
    <row r="192" spans="1:20" s="13" customFormat="1" x14ac:dyDescent="0.3">
      <c r="A192" s="10">
        <f t="shared" si="27"/>
        <v>191</v>
      </c>
      <c r="B192" s="10">
        <v>36</v>
      </c>
      <c r="C192" s="11" t="str" cm="1">
        <f t="array" ref="C192">GetValue("Tbl",B192,"Alias")</f>
        <v>Bhv</v>
      </c>
      <c r="D192" s="10">
        <v>6</v>
      </c>
      <c r="E192" s="10" t="str">
        <f t="array" ref="E192">GetValue("Dmn",D192,"Name")</f>
        <v>Boolean</v>
      </c>
      <c r="F192" s="10">
        <f>F190+5</f>
        <v>50</v>
      </c>
      <c r="G192" s="10" t="s">
        <v>687</v>
      </c>
      <c r="H192" s="10" t="s">
        <v>689</v>
      </c>
      <c r="I192" s="10" t="s">
        <v>690</v>
      </c>
      <c r="J192" s="10" t="s">
        <v>690</v>
      </c>
      <c r="K192" s="19"/>
      <c r="L192" s="19" t="s">
        <v>23</v>
      </c>
      <c r="M192" s="19"/>
      <c r="N192" s="10" t="b">
        <v>1</v>
      </c>
      <c r="O192" s="10" t="b">
        <v>0</v>
      </c>
      <c r="P192" s="10" t="b">
        <v>0</v>
      </c>
      <c r="Q192" s="10" t="b">
        <v>0</v>
      </c>
      <c r="R192" s="10"/>
      <c r="S192" s="10"/>
      <c r="T192" s="10"/>
    </row>
    <row r="193" spans="1:20" s="13" customFormat="1" x14ac:dyDescent="0.3">
      <c r="A193" s="10">
        <f t="shared" si="27"/>
        <v>192</v>
      </c>
      <c r="B193" s="10">
        <v>36</v>
      </c>
      <c r="C193" s="11" t="str" cm="1">
        <f t="array" ref="C193">GetValue("Tbl",B193,"Alias")</f>
        <v>Bhv</v>
      </c>
      <c r="D193" s="10">
        <v>6</v>
      </c>
      <c r="E193" s="10" t="str">
        <f t="array" ref="E193">GetValue("Dmn",D193,"Name")</f>
        <v>Boolean</v>
      </c>
      <c r="F193" s="10">
        <f>F191+5</f>
        <v>55</v>
      </c>
      <c r="G193" s="10" t="s">
        <v>22</v>
      </c>
      <c r="H193" s="10" t="s">
        <v>627</v>
      </c>
      <c r="I193" s="10" t="s">
        <v>120</v>
      </c>
      <c r="J193" s="10" t="s">
        <v>120</v>
      </c>
      <c r="K193" s="19"/>
      <c r="L193" s="19" t="s">
        <v>23</v>
      </c>
      <c r="M193" s="19"/>
      <c r="N193" s="10" t="b">
        <v>1</v>
      </c>
      <c r="O193" s="10" t="b">
        <v>1</v>
      </c>
      <c r="P193" s="10" t="b">
        <v>1</v>
      </c>
      <c r="Q193" s="10" t="b">
        <v>0</v>
      </c>
      <c r="R193" s="10"/>
      <c r="S193" s="10"/>
      <c r="T193" s="10"/>
    </row>
    <row r="194" spans="1:20" x14ac:dyDescent="0.3">
      <c r="A194" s="2">
        <f t="shared" si="27"/>
        <v>193</v>
      </c>
      <c r="B194" s="2">
        <v>37</v>
      </c>
      <c r="C194" s="2" t="str" cm="1">
        <f t="array" ref="C194">GetValue("Tbl",B194,"Alias")</f>
        <v>BhvChk</v>
      </c>
      <c r="D194" s="2">
        <v>1</v>
      </c>
      <c r="E194" s="2" t="str">
        <f t="array" ref="E194">GetValue("Dmn",D194,"Name")</f>
        <v>BigInteger</v>
      </c>
      <c r="F194" s="2">
        <v>5</v>
      </c>
      <c r="G194" s="2" t="s">
        <v>0</v>
      </c>
      <c r="H194" s="2" t="s">
        <v>628</v>
      </c>
      <c r="I194" s="2" t="s">
        <v>0</v>
      </c>
      <c r="J194" s="2" t="s">
        <v>0</v>
      </c>
      <c r="K194" s="17"/>
      <c r="L194" s="17">
        <v>1</v>
      </c>
      <c r="M194" s="17"/>
      <c r="N194" s="2" t="b">
        <v>1</v>
      </c>
      <c r="O194" s="2" t="b">
        <v>1</v>
      </c>
      <c r="P194" s="2" t="b">
        <v>0</v>
      </c>
      <c r="Q194" s="2" t="b">
        <v>0</v>
      </c>
      <c r="R194" s="2"/>
      <c r="S194" s="2"/>
      <c r="T194" s="5" t="b">
        <v>0</v>
      </c>
    </row>
    <row r="195" spans="1:20" x14ac:dyDescent="0.3">
      <c r="A195" s="2">
        <f t="shared" si="27"/>
        <v>194</v>
      </c>
      <c r="B195" s="2">
        <v>37</v>
      </c>
      <c r="C195" s="2" t="str" cm="1">
        <f t="array" ref="C195">GetValue("Tbl",B195,"Alias")</f>
        <v>BhvChk</v>
      </c>
      <c r="D195" s="2">
        <v>1</v>
      </c>
      <c r="E195" s="2" t="str">
        <f t="array" ref="E195">GetValue("Dmn",D195,"Name")</f>
        <v>BigInteger</v>
      </c>
      <c r="F195" s="2">
        <f>F194+5</f>
        <v>10</v>
      </c>
      <c r="G195" s="2" t="s">
        <v>434</v>
      </c>
      <c r="H195" s="2" t="s">
        <v>629</v>
      </c>
      <c r="I195" s="2" t="s">
        <v>435</v>
      </c>
      <c r="J195" s="2" t="s">
        <v>435</v>
      </c>
      <c r="K195" s="17"/>
      <c r="L195" s="17">
        <v>1</v>
      </c>
      <c r="M195" s="17"/>
      <c r="N195" s="2" t="b">
        <v>1</v>
      </c>
      <c r="O195" s="2" t="b">
        <v>0</v>
      </c>
      <c r="P195" s="2" t="b">
        <v>1</v>
      </c>
      <c r="Q195" s="2" t="b">
        <v>0</v>
      </c>
      <c r="R195" s="2"/>
      <c r="S195" s="2"/>
      <c r="T195" s="5" t="b">
        <v>0</v>
      </c>
    </row>
    <row r="196" spans="1:20" x14ac:dyDescent="0.3">
      <c r="A196" s="2">
        <f>ROW(A196)-1</f>
        <v>195</v>
      </c>
      <c r="B196" s="2">
        <v>37</v>
      </c>
      <c r="C196" s="2" t="str" cm="1">
        <f t="array" ref="C196">GetValue("Tbl",B196,"Alias")</f>
        <v>BhvChk</v>
      </c>
      <c r="D196" s="2">
        <v>1</v>
      </c>
      <c r="E196" s="2" t="str">
        <f t="array" ref="E196">GetValue("Dmn",D196,"Name")</f>
        <v>BigInteger</v>
      </c>
      <c r="F196" s="2">
        <f t="shared" ref="F196:F198" si="28">F195+5</f>
        <v>15</v>
      </c>
      <c r="G196" s="2" t="s">
        <v>226</v>
      </c>
      <c r="H196" s="2" t="s">
        <v>630</v>
      </c>
      <c r="I196" s="2" t="s">
        <v>421</v>
      </c>
      <c r="J196" s="2" t="s">
        <v>421</v>
      </c>
      <c r="K196" s="17"/>
      <c r="L196" s="17"/>
      <c r="M196" s="17"/>
      <c r="N196" s="2" t="b">
        <v>1</v>
      </c>
      <c r="O196" s="2" t="b">
        <v>0</v>
      </c>
      <c r="P196" s="2" t="b">
        <v>0</v>
      </c>
      <c r="Q196" s="2" t="b">
        <v>0</v>
      </c>
      <c r="R196" s="2"/>
      <c r="S196" s="2" t="b">
        <v>0</v>
      </c>
      <c r="T196" s="5" t="b">
        <v>0</v>
      </c>
    </row>
    <row r="197" spans="1:20" x14ac:dyDescent="0.3">
      <c r="A197" s="2">
        <f t="shared" si="27"/>
        <v>196</v>
      </c>
      <c r="B197" s="2">
        <v>37</v>
      </c>
      <c r="C197" s="2" t="str" cm="1">
        <f t="array" ref="C197">GetValue("Tbl",B197,"Alias")</f>
        <v>BhvChk</v>
      </c>
      <c r="D197" s="2">
        <v>4</v>
      </c>
      <c r="E197" s="2" t="str">
        <f t="array" ref="E197">GetValue("Dmn",D197,"Name")</f>
        <v>SmallInteger</v>
      </c>
      <c r="F197" s="2">
        <f t="shared" si="28"/>
        <v>20</v>
      </c>
      <c r="G197" s="2" t="s">
        <v>49</v>
      </c>
      <c r="H197" s="2" t="s">
        <v>631</v>
      </c>
      <c r="I197" s="2" t="s">
        <v>114</v>
      </c>
      <c r="J197" s="2" t="s">
        <v>114</v>
      </c>
      <c r="K197" s="17"/>
      <c r="L197" s="17">
        <v>1</v>
      </c>
      <c r="M197" s="17"/>
      <c r="N197" s="2" t="b">
        <v>1</v>
      </c>
      <c r="O197" s="2" t="b">
        <v>0</v>
      </c>
      <c r="P197" s="2" t="b">
        <v>1</v>
      </c>
      <c r="Q197" s="2" t="b">
        <v>1</v>
      </c>
      <c r="R197" s="2"/>
      <c r="S197" s="2"/>
      <c r="T197" s="5" t="b">
        <v>0</v>
      </c>
    </row>
    <row r="198" spans="1:20" x14ac:dyDescent="0.3">
      <c r="A198" s="2">
        <f t="shared" si="27"/>
        <v>197</v>
      </c>
      <c r="B198" s="2">
        <v>37</v>
      </c>
      <c r="C198" s="2" t="str" cm="1">
        <f t="array" ref="C198">GetValue("Tbl",B198,"Alias")</f>
        <v>BhvChk</v>
      </c>
      <c r="D198" s="2">
        <v>12</v>
      </c>
      <c r="E198" s="2" t="str">
        <f t="array" ref="E198">GetValue("Dmn",D198,"Name")</f>
        <v>Varchar(MAX)</v>
      </c>
      <c r="F198" s="2">
        <f t="shared" si="28"/>
        <v>25</v>
      </c>
      <c r="G198" s="2" t="s">
        <v>593</v>
      </c>
      <c r="H198" s="2" t="s">
        <v>632</v>
      </c>
      <c r="I198" s="2" t="s">
        <v>417</v>
      </c>
      <c r="J198" s="2" t="s">
        <v>417</v>
      </c>
      <c r="K198" s="17"/>
      <c r="L198" s="17"/>
      <c r="M198" s="17"/>
      <c r="N198" s="2" t="b">
        <v>1</v>
      </c>
      <c r="O198" s="2"/>
      <c r="P198" s="2" t="b">
        <v>0</v>
      </c>
      <c r="Q198" s="2"/>
      <c r="R198" s="2"/>
      <c r="S198" s="2"/>
      <c r="T198" s="5"/>
    </row>
    <row r="199" spans="1:20" s="13" customFormat="1" x14ac:dyDescent="0.3">
      <c r="A199" s="10">
        <f t="shared" si="27"/>
        <v>198</v>
      </c>
      <c r="B199" s="10">
        <v>38</v>
      </c>
      <c r="C199" s="11" t="e" cm="1">
        <f t="array" ref="C199">GetValue("Tbl",B199,"Alias")</f>
        <v>#VALUE!</v>
      </c>
      <c r="D199" s="10">
        <v>5</v>
      </c>
      <c r="E199" s="10" t="str">
        <f t="array" ref="E199">GetValue("Dmn",D199,"Name")</f>
        <v>TinyInteger</v>
      </c>
      <c r="F199" s="10">
        <v>5</v>
      </c>
      <c r="G199" s="10" t="s">
        <v>0</v>
      </c>
      <c r="H199" s="10" t="s">
        <v>754</v>
      </c>
      <c r="I199" s="10" t="s">
        <v>0</v>
      </c>
      <c r="J199" s="10" t="s">
        <v>0</v>
      </c>
      <c r="K199" s="19"/>
      <c r="L199" s="19">
        <v>1</v>
      </c>
      <c r="M199" s="19"/>
      <c r="N199" s="10" t="b">
        <v>1</v>
      </c>
      <c r="O199" s="10" t="b">
        <v>1</v>
      </c>
      <c r="P199" s="10" t="b">
        <v>0</v>
      </c>
      <c r="Q199" s="10" t="b">
        <v>0</v>
      </c>
      <c r="R199" s="10"/>
      <c r="S199" s="10"/>
      <c r="T199" s="10" t="b">
        <v>0</v>
      </c>
    </row>
    <row r="200" spans="1:20" s="13" customFormat="1" x14ac:dyDescent="0.3">
      <c r="A200" s="10">
        <f t="shared" si="27"/>
        <v>199</v>
      </c>
      <c r="B200" s="10">
        <v>38</v>
      </c>
      <c r="C200" s="11" t="e" cm="1">
        <f t="array" ref="C200">GetValue("Tbl",B200,"Alias")</f>
        <v>#VALUE!</v>
      </c>
      <c r="D200" s="10">
        <v>7</v>
      </c>
      <c r="E200" s="10" t="str">
        <f t="array" ref="E200">GetValue("Dmn",D200,"Name")</f>
        <v>Varchar(15)</v>
      </c>
      <c r="F200" s="10">
        <f t="shared" ref="F200:F202" si="29">F199+5</f>
        <v>10</v>
      </c>
      <c r="G200" s="10" t="s">
        <v>1</v>
      </c>
      <c r="H200" s="10" t="s">
        <v>755</v>
      </c>
      <c r="I200" s="10" t="s">
        <v>88</v>
      </c>
      <c r="J200" s="10" t="s">
        <v>88</v>
      </c>
      <c r="K200" s="19"/>
      <c r="L200" s="19" t="s">
        <v>23</v>
      </c>
      <c r="M200" s="19"/>
      <c r="N200" s="10" t="b">
        <v>1</v>
      </c>
      <c r="O200" s="10" t="b">
        <v>1</v>
      </c>
      <c r="P200" s="10" t="b">
        <v>1</v>
      </c>
      <c r="Q200" s="10" t="b">
        <v>1</v>
      </c>
      <c r="R200" s="10"/>
      <c r="S200" s="10" t="b">
        <v>0</v>
      </c>
      <c r="T200" s="10"/>
    </row>
    <row r="201" spans="1:20" s="13" customFormat="1" x14ac:dyDescent="0.3">
      <c r="A201" s="10">
        <f t="shared" si="27"/>
        <v>200</v>
      </c>
      <c r="B201" s="10">
        <v>38</v>
      </c>
      <c r="C201" s="11" t="e" cm="1">
        <f t="array" ref="C201">GetValue("Tbl",B201,"Alias")</f>
        <v>#VALUE!</v>
      </c>
      <c r="D201" s="10">
        <v>7</v>
      </c>
      <c r="E201" s="10" t="str">
        <f t="array" ref="E201">GetValue("Dmn",D201,"Name")</f>
        <v>Varchar(15)</v>
      </c>
      <c r="F201" s="10">
        <f t="shared" si="29"/>
        <v>15</v>
      </c>
      <c r="G201" s="10" t="s">
        <v>776</v>
      </c>
      <c r="H201" s="10" t="s">
        <v>781</v>
      </c>
      <c r="I201" s="10" t="s">
        <v>36</v>
      </c>
      <c r="J201" s="10" t="s">
        <v>36</v>
      </c>
      <c r="K201" s="19"/>
      <c r="L201" s="19" t="s">
        <v>23</v>
      </c>
      <c r="M201" s="19"/>
      <c r="N201" s="10" t="b">
        <v>1</v>
      </c>
      <c r="O201" s="10" t="b">
        <v>1</v>
      </c>
      <c r="P201" s="10" t="b">
        <v>1</v>
      </c>
      <c r="Q201" s="10" t="b">
        <v>1</v>
      </c>
      <c r="R201" s="10"/>
      <c r="S201" s="10" t="b">
        <v>0</v>
      </c>
      <c r="T201" s="10"/>
    </row>
    <row r="202" spans="1:20" s="13" customFormat="1" x14ac:dyDescent="0.3">
      <c r="A202" s="10">
        <f t="shared" si="27"/>
        <v>201</v>
      </c>
      <c r="B202" s="10">
        <v>38</v>
      </c>
      <c r="C202" s="11" t="e" cm="1">
        <f t="array" ref="C202">GetValue("Tbl",B202,"Alias")</f>
        <v>#VALUE!</v>
      </c>
      <c r="D202" s="10">
        <v>7</v>
      </c>
      <c r="E202" s="10" t="str">
        <f t="array" ref="E202">GetValue("Dmn",D202,"Name")</f>
        <v>Varchar(15)</v>
      </c>
      <c r="F202" s="10">
        <f t="shared" si="29"/>
        <v>20</v>
      </c>
      <c r="G202" s="10" t="s">
        <v>777</v>
      </c>
      <c r="H202" s="10" t="s">
        <v>782</v>
      </c>
      <c r="I202" s="10" t="s">
        <v>783</v>
      </c>
      <c r="J202" s="10" t="s">
        <v>783</v>
      </c>
      <c r="K202" s="19"/>
      <c r="L202" s="19" t="s">
        <v>23</v>
      </c>
      <c r="M202" s="19"/>
      <c r="N202" s="10" t="b">
        <v>1</v>
      </c>
      <c r="O202" s="10" t="b">
        <v>1</v>
      </c>
      <c r="P202" s="10" t="b">
        <v>1</v>
      </c>
      <c r="Q202" s="10" t="b">
        <v>1</v>
      </c>
      <c r="R202" s="10"/>
      <c r="S202" s="10" t="b">
        <v>0</v>
      </c>
      <c r="T202" s="10"/>
    </row>
    <row r="203" spans="1:20" x14ac:dyDescent="0.3">
      <c r="A203" s="2">
        <f t="shared" si="27"/>
        <v>202</v>
      </c>
      <c r="B203" s="2">
        <v>39</v>
      </c>
      <c r="C203" s="2" t="e" cm="1">
        <f t="array" ref="C203">GetValue("Tbl",B203,"Alias")</f>
        <v>#VALUE!</v>
      </c>
      <c r="D203" s="2">
        <v>5</v>
      </c>
      <c r="E203" s="2" t="str">
        <f t="array" ref="E203">GetValue("Dmn",D203,"Name")</f>
        <v>TinyInteger</v>
      </c>
      <c r="F203" s="2">
        <v>5</v>
      </c>
      <c r="G203" s="2" t="s">
        <v>0</v>
      </c>
      <c r="H203" s="2" t="s">
        <v>756</v>
      </c>
      <c r="I203" s="2" t="s">
        <v>0</v>
      </c>
      <c r="J203" s="2" t="s">
        <v>0</v>
      </c>
      <c r="K203" s="17"/>
      <c r="L203" s="17">
        <v>1</v>
      </c>
      <c r="M203" s="17"/>
      <c r="N203" s="2" t="b">
        <v>1</v>
      </c>
      <c r="O203" s="2" t="b">
        <v>1</v>
      </c>
      <c r="P203" s="2" t="b">
        <v>0</v>
      </c>
      <c r="Q203" s="2" t="b">
        <v>0</v>
      </c>
      <c r="R203" s="2"/>
      <c r="S203" s="2"/>
      <c r="T203" s="5" t="b">
        <v>0</v>
      </c>
    </row>
    <row r="204" spans="1:20" x14ac:dyDescent="0.3">
      <c r="A204" s="2">
        <f t="shared" si="27"/>
        <v>203</v>
      </c>
      <c r="B204" s="2">
        <v>39</v>
      </c>
      <c r="C204" s="2" t="e" cm="1">
        <f t="array" ref="C204">GetValue("Tbl",B204,"Alias")</f>
        <v>#VALUE!</v>
      </c>
      <c r="D204" s="2">
        <v>7</v>
      </c>
      <c r="E204" s="2" t="str">
        <f t="array" ref="E204">GetValue("Dmn",D204,"Name")</f>
        <v>Varchar(15)</v>
      </c>
      <c r="F204" s="2">
        <f>F203+5</f>
        <v>10</v>
      </c>
      <c r="G204" s="2" t="s">
        <v>1</v>
      </c>
      <c r="H204" s="2" t="s">
        <v>757</v>
      </c>
      <c r="I204" s="2" t="s">
        <v>88</v>
      </c>
      <c r="J204" s="2" t="s">
        <v>88</v>
      </c>
      <c r="K204" s="17"/>
      <c r="L204" s="17" t="s">
        <v>23</v>
      </c>
      <c r="M204" s="17"/>
      <c r="N204" s="2" t="b">
        <v>1</v>
      </c>
      <c r="O204" s="2" t="b">
        <v>1</v>
      </c>
      <c r="P204" s="2" t="b">
        <v>1</v>
      </c>
      <c r="Q204" s="2" t="b">
        <v>1</v>
      </c>
      <c r="R204" s="2"/>
      <c r="S204" s="2" t="b">
        <v>0</v>
      </c>
      <c r="T204" s="5"/>
    </row>
    <row r="205" spans="1:20" x14ac:dyDescent="0.3">
      <c r="A205" s="2">
        <f t="shared" si="27"/>
        <v>204</v>
      </c>
      <c r="B205" s="2">
        <v>39</v>
      </c>
      <c r="C205" s="2" t="e" cm="1">
        <f t="array" ref="C205">GetValue("Tbl",B205,"Alias")</f>
        <v>#VALUE!</v>
      </c>
      <c r="D205" s="2">
        <v>7</v>
      </c>
      <c r="E205" s="2" t="str">
        <f t="array" ref="E205">GetValue("Dmn",D205,"Name")</f>
        <v>Varchar(15)</v>
      </c>
      <c r="F205" s="2">
        <f t="shared" ref="F205:F207" si="30">F204+5</f>
        <v>15</v>
      </c>
      <c r="G205" s="2" t="s">
        <v>740</v>
      </c>
      <c r="H205" s="2" t="s">
        <v>758</v>
      </c>
      <c r="I205" s="2" t="s">
        <v>645</v>
      </c>
      <c r="J205" s="2" t="s">
        <v>645</v>
      </c>
      <c r="K205" s="17"/>
      <c r="L205" s="17" t="s">
        <v>23</v>
      </c>
      <c r="M205" s="17"/>
      <c r="N205" s="2" t="b">
        <v>1</v>
      </c>
      <c r="O205" s="2" t="b">
        <v>1</v>
      </c>
      <c r="P205" s="2" t="b">
        <v>1</v>
      </c>
      <c r="Q205" s="2" t="b">
        <v>1</v>
      </c>
      <c r="R205" s="2"/>
      <c r="S205" s="2" t="b">
        <v>0</v>
      </c>
      <c r="T205" s="5"/>
    </row>
    <row r="206" spans="1:20" x14ac:dyDescent="0.3">
      <c r="A206" s="2">
        <f t="shared" si="27"/>
        <v>205</v>
      </c>
      <c r="B206" s="2">
        <v>39</v>
      </c>
      <c r="C206" s="2" t="e" cm="1">
        <f t="array" ref="C206">GetValue("Tbl",B206,"Alias")</f>
        <v>#VALUE!</v>
      </c>
      <c r="D206" s="2">
        <v>10</v>
      </c>
      <c r="E206" s="2" t="str">
        <f t="array" ref="E206">GetValue("Dmn",D206,"Name")</f>
        <v>Varchar(50)</v>
      </c>
      <c r="F206" s="2">
        <f t="shared" si="30"/>
        <v>20</v>
      </c>
      <c r="G206" s="2" t="s">
        <v>46</v>
      </c>
      <c r="H206" s="2" t="s">
        <v>759</v>
      </c>
      <c r="I206" s="2" t="s">
        <v>110</v>
      </c>
      <c r="J206" s="2" t="s">
        <v>110</v>
      </c>
      <c r="K206" s="17"/>
      <c r="L206" s="17" t="s">
        <v>23</v>
      </c>
      <c r="M206" s="17"/>
      <c r="N206" s="2" t="b">
        <v>1</v>
      </c>
      <c r="O206" s="2" t="b">
        <v>0</v>
      </c>
      <c r="P206" s="2" t="b">
        <v>1</v>
      </c>
      <c r="Q206" s="2" t="b">
        <v>1</v>
      </c>
      <c r="R206" s="2"/>
      <c r="S206" s="2" t="b">
        <v>0</v>
      </c>
      <c r="T206" s="5"/>
    </row>
    <row r="207" spans="1:20" x14ac:dyDescent="0.3">
      <c r="A207" s="2">
        <f t="shared" si="27"/>
        <v>206</v>
      </c>
      <c r="B207" s="2">
        <v>39</v>
      </c>
      <c r="C207" s="2" t="e" cm="1">
        <f t="array" ref="C207">GetValue("Tbl",B207,"Alias")</f>
        <v>#VALUE!</v>
      </c>
      <c r="D207" s="2">
        <v>6</v>
      </c>
      <c r="E207" s="2" t="str">
        <f t="array" ref="E207">GetValue("Dmn",D207,"Name")</f>
        <v>Boolean</v>
      </c>
      <c r="F207" s="2">
        <f t="shared" si="30"/>
        <v>25</v>
      </c>
      <c r="G207" s="2" t="s">
        <v>22</v>
      </c>
      <c r="H207" s="2" t="s">
        <v>760</v>
      </c>
      <c r="I207" s="2" t="s">
        <v>387</v>
      </c>
      <c r="J207" s="2" t="s">
        <v>387</v>
      </c>
      <c r="K207" s="17"/>
      <c r="L207" s="17" t="s">
        <v>23</v>
      </c>
      <c r="M207" s="17"/>
      <c r="N207" s="2" t="b">
        <v>1</v>
      </c>
      <c r="O207" s="2" t="b">
        <v>1</v>
      </c>
      <c r="P207" s="2" t="b">
        <v>1</v>
      </c>
      <c r="Q207" s="2" t="b">
        <v>0</v>
      </c>
      <c r="R207" s="2"/>
      <c r="S207" s="2"/>
      <c r="T207" s="5"/>
    </row>
    <row r="208" spans="1:20" s="13" customFormat="1" x14ac:dyDescent="0.3">
      <c r="A208" s="10">
        <f t="shared" si="27"/>
        <v>207</v>
      </c>
      <c r="B208" s="10">
        <v>40</v>
      </c>
      <c r="C208" s="11" t="e" cm="1">
        <f t="array" ref="C208">GetValue("Tbl",B208,"Alias")</f>
        <v>#VALUE!</v>
      </c>
      <c r="D208" s="10">
        <v>1</v>
      </c>
      <c r="E208" s="10" t="str">
        <f t="array" ref="E208">GetValue("Dmn",D208,"Name")</f>
        <v>BigInteger</v>
      </c>
      <c r="F208" s="10">
        <v>5</v>
      </c>
      <c r="G208" s="10" t="s">
        <v>0</v>
      </c>
      <c r="H208" s="10" t="s">
        <v>761</v>
      </c>
      <c r="I208" s="10" t="s">
        <v>0</v>
      </c>
      <c r="J208" s="10" t="s">
        <v>0</v>
      </c>
      <c r="K208" s="19"/>
      <c r="L208" s="19">
        <v>1</v>
      </c>
      <c r="M208" s="19"/>
      <c r="N208" s="10" t="b">
        <v>1</v>
      </c>
      <c r="O208" s="10" t="b">
        <v>1</v>
      </c>
      <c r="P208" s="10" t="b">
        <v>0</v>
      </c>
      <c r="Q208" s="10" t="b">
        <v>0</v>
      </c>
      <c r="R208" s="10"/>
      <c r="S208" s="10"/>
      <c r="T208" s="10" t="b">
        <v>0</v>
      </c>
    </row>
    <row r="209" spans="1:20" s="13" customFormat="1" x14ac:dyDescent="0.3">
      <c r="A209" s="10">
        <f t="shared" si="27"/>
        <v>208</v>
      </c>
      <c r="B209" s="10">
        <v>40</v>
      </c>
      <c r="C209" s="11" t="e" cm="1">
        <f t="array" ref="C209">GetValue("Tbl",B209,"Alias")</f>
        <v>#VALUE!</v>
      </c>
      <c r="D209" s="10">
        <v>1</v>
      </c>
      <c r="E209" s="10" t="str">
        <f t="array" ref="E209">GetValue("Dmn",D209,"Name")</f>
        <v>BigInteger</v>
      </c>
      <c r="F209" s="10">
        <f>F208+5</f>
        <v>10</v>
      </c>
      <c r="G209" s="10" t="s">
        <v>152</v>
      </c>
      <c r="H209" s="10" t="s">
        <v>762</v>
      </c>
      <c r="I209" s="10" t="s">
        <v>153</v>
      </c>
      <c r="J209" s="10" t="s">
        <v>153</v>
      </c>
      <c r="K209" s="19"/>
      <c r="L209" s="19">
        <v>1</v>
      </c>
      <c r="M209" s="19"/>
      <c r="N209" s="10" t="b">
        <v>1</v>
      </c>
      <c r="O209" s="10" t="b">
        <v>1</v>
      </c>
      <c r="P209" s="10" t="b">
        <v>1</v>
      </c>
      <c r="Q209" s="10" t="b">
        <v>1</v>
      </c>
      <c r="R209" s="10"/>
      <c r="S209" s="10"/>
      <c r="T209" s="12" t="b">
        <v>0</v>
      </c>
    </row>
    <row r="210" spans="1:20" s="13" customFormat="1" x14ac:dyDescent="0.3">
      <c r="A210" s="10">
        <f t="shared" si="27"/>
        <v>209</v>
      </c>
      <c r="B210" s="10">
        <v>40</v>
      </c>
      <c r="C210" s="11" t="e" cm="1">
        <f t="array" ref="C210">GetValue("Tbl",B210,"Alias")</f>
        <v>#VALUE!</v>
      </c>
      <c r="D210" s="10">
        <v>5</v>
      </c>
      <c r="E210" s="10" t="str">
        <f t="array" ref="E210">GetValue("Dmn",D210,"Name")</f>
        <v>TinyInteger</v>
      </c>
      <c r="F210" s="10">
        <f>F209+5</f>
        <v>15</v>
      </c>
      <c r="G210" s="10" t="s">
        <v>739</v>
      </c>
      <c r="H210" s="10" t="s">
        <v>764</v>
      </c>
      <c r="I210" s="10" t="s">
        <v>763</v>
      </c>
      <c r="J210" s="10" t="s">
        <v>763</v>
      </c>
      <c r="K210" s="19"/>
      <c r="L210" s="19">
        <v>1</v>
      </c>
      <c r="M210" s="19"/>
      <c r="N210" s="10" t="b">
        <v>1</v>
      </c>
      <c r="O210" s="10" t="b">
        <v>1</v>
      </c>
      <c r="P210" s="10" t="b">
        <v>1</v>
      </c>
      <c r="Q210" s="10" t="b">
        <v>1</v>
      </c>
      <c r="R210" s="10"/>
      <c r="S210" s="10"/>
      <c r="T210" s="12" t="b">
        <v>0</v>
      </c>
    </row>
    <row r="211" spans="1:20" s="13" customFormat="1" x14ac:dyDescent="0.3">
      <c r="A211" s="10">
        <f t="shared" si="27"/>
        <v>210</v>
      </c>
      <c r="B211" s="10">
        <v>40</v>
      </c>
      <c r="C211" s="11" t="e" cm="1">
        <f t="array" ref="C211">GetValue("Tbl",B211,"Alias")</f>
        <v>#VALUE!</v>
      </c>
      <c r="D211" s="10">
        <v>17</v>
      </c>
      <c r="E211" s="10" t="str">
        <f t="array" ref="E211">GetValue("Dmn",D211,"Name")</f>
        <v>Variant</v>
      </c>
      <c r="F211" s="10">
        <f>F210+5</f>
        <v>20</v>
      </c>
      <c r="G211" s="10" t="s">
        <v>747</v>
      </c>
      <c r="H211" s="10" t="s">
        <v>766</v>
      </c>
      <c r="I211" s="10" t="s">
        <v>765</v>
      </c>
      <c r="J211" s="10" t="s">
        <v>765</v>
      </c>
      <c r="K211" s="19"/>
      <c r="L211" s="19">
        <v>1</v>
      </c>
      <c r="M211" s="19"/>
      <c r="N211" s="10" t="b">
        <v>1</v>
      </c>
      <c r="O211" s="10" t="b">
        <v>1</v>
      </c>
      <c r="P211" s="10" t="b">
        <v>1</v>
      </c>
      <c r="Q211" s="10" t="b">
        <v>1</v>
      </c>
      <c r="R211" s="10"/>
      <c r="S211" s="10"/>
      <c r="T211" s="12" t="b">
        <v>0</v>
      </c>
    </row>
    <row r="212" spans="1:20" x14ac:dyDescent="0.3">
      <c r="A212" s="2">
        <f t="shared" si="27"/>
        <v>211</v>
      </c>
      <c r="B212" s="2">
        <v>41</v>
      </c>
      <c r="C212" s="2" t="e" cm="1">
        <f t="array" ref="C212">GetValue("Tbl",B212,"Alias")</f>
        <v>#VALUE!</v>
      </c>
      <c r="D212" s="2">
        <v>1</v>
      </c>
      <c r="E212" s="2" t="str">
        <f t="array" ref="E212">GetValue("Dmn",D212,"Name")</f>
        <v>BigInteger</v>
      </c>
      <c r="F212" s="2">
        <v>5</v>
      </c>
      <c r="G212" s="2" t="s">
        <v>0</v>
      </c>
      <c r="H212" s="2" t="s">
        <v>767</v>
      </c>
      <c r="I212" s="2" t="s">
        <v>0</v>
      </c>
      <c r="J212" s="2" t="s">
        <v>0</v>
      </c>
      <c r="K212" s="17"/>
      <c r="L212" s="17">
        <v>1</v>
      </c>
      <c r="M212" s="17"/>
      <c r="N212" s="2" t="b">
        <v>1</v>
      </c>
      <c r="O212" s="2" t="b">
        <v>1</v>
      </c>
      <c r="P212" s="2" t="b">
        <v>0</v>
      </c>
      <c r="Q212" s="2" t="b">
        <v>0</v>
      </c>
      <c r="R212" s="2"/>
      <c r="S212" s="2"/>
      <c r="T212" s="5" t="b">
        <v>0</v>
      </c>
    </row>
    <row r="213" spans="1:20" x14ac:dyDescent="0.3">
      <c r="A213" s="2">
        <f>ROW(A213)-1</f>
        <v>212</v>
      </c>
      <c r="B213" s="2">
        <v>41</v>
      </c>
      <c r="C213" s="2" t="e" cm="1">
        <f t="array" ref="C213">GetValue("Tbl",B213,"Alias")</f>
        <v>#VALUE!</v>
      </c>
      <c r="D213" s="2">
        <v>1</v>
      </c>
      <c r="E213" s="2" t="str">
        <f t="array" ref="E213">GetValue("Dmn",D213,"Name")</f>
        <v>BigInteger</v>
      </c>
      <c r="F213" s="2">
        <f>F212+5</f>
        <v>10</v>
      </c>
      <c r="G213" s="2" t="s">
        <v>749</v>
      </c>
      <c r="H213" s="2" t="s">
        <v>784</v>
      </c>
      <c r="I213" s="2" t="s">
        <v>768</v>
      </c>
      <c r="J213" s="2" t="s">
        <v>768</v>
      </c>
      <c r="K213" s="17"/>
      <c r="L213" s="17" t="s">
        <v>23</v>
      </c>
      <c r="M213" s="17"/>
      <c r="N213" s="2" t="b">
        <v>1</v>
      </c>
      <c r="O213" s="2" t="b">
        <v>1</v>
      </c>
      <c r="P213" s="2" t="b">
        <v>1</v>
      </c>
      <c r="Q213" s="2" t="b">
        <v>1</v>
      </c>
      <c r="R213" s="2"/>
      <c r="S213" s="2"/>
      <c r="T213" s="5"/>
    </row>
    <row r="214" spans="1:20" x14ac:dyDescent="0.3">
      <c r="A214" s="2">
        <f>ROW(A214)-1</f>
        <v>213</v>
      </c>
      <c r="B214" s="2">
        <v>41</v>
      </c>
      <c r="C214" s="2" t="e" cm="1">
        <f t="array" ref="C214">GetValue("Tbl",B214,"Alias")</f>
        <v>#VALUE!</v>
      </c>
      <c r="D214" s="2">
        <v>1</v>
      </c>
      <c r="E214" s="2" t="str">
        <f t="array" ref="E214">GetValue("Dmn",D214,"Name")</f>
        <v>BigInteger</v>
      </c>
      <c r="F214" s="2">
        <f t="shared" ref="F214:F217" si="31">F213+5</f>
        <v>15</v>
      </c>
      <c r="G214" s="2" t="s">
        <v>152</v>
      </c>
      <c r="H214" s="2" t="s">
        <v>790</v>
      </c>
      <c r="I214" s="2" t="s">
        <v>153</v>
      </c>
      <c r="J214" s="2" t="s">
        <v>153</v>
      </c>
      <c r="K214" s="17"/>
      <c r="L214" s="17" t="s">
        <v>23</v>
      </c>
      <c r="M214" s="17"/>
      <c r="N214" s="2" t="b">
        <v>1</v>
      </c>
      <c r="O214" s="2" t="b">
        <v>1</v>
      </c>
      <c r="P214" s="2" t="b">
        <v>1</v>
      </c>
      <c r="Q214" s="2" t="b">
        <v>1</v>
      </c>
      <c r="R214" s="2"/>
      <c r="S214" s="2"/>
      <c r="T214" s="5"/>
    </row>
    <row r="215" spans="1:20" x14ac:dyDescent="0.3">
      <c r="A215" s="2">
        <f t="shared" si="27"/>
        <v>214</v>
      </c>
      <c r="B215" s="2">
        <v>41</v>
      </c>
      <c r="C215" s="2" t="e" cm="1">
        <f t="array" ref="C215">GetValue("Tbl",B215,"Alias")</f>
        <v>#VALUE!</v>
      </c>
      <c r="D215" s="2">
        <v>1</v>
      </c>
      <c r="E215" s="2" t="str">
        <f t="array" ref="E215">GetValue("Dmn",D215,"Name")</f>
        <v>BigInteger</v>
      </c>
      <c r="F215" s="2">
        <f t="shared" si="31"/>
        <v>20</v>
      </c>
      <c r="G215" s="2" t="s">
        <v>748</v>
      </c>
      <c r="H215" s="2" t="s">
        <v>785</v>
      </c>
      <c r="I215" s="2" t="s">
        <v>770</v>
      </c>
      <c r="J215" s="2" t="s">
        <v>770</v>
      </c>
      <c r="K215" s="17"/>
      <c r="L215" s="17" t="s">
        <v>23</v>
      </c>
      <c r="M215" s="17"/>
      <c r="N215" s="2" t="b">
        <v>1</v>
      </c>
      <c r="O215" s="2" t="b">
        <v>1</v>
      </c>
      <c r="P215" s="2" t="b">
        <v>1</v>
      </c>
      <c r="Q215" s="2" t="b">
        <v>1</v>
      </c>
      <c r="R215" s="2"/>
      <c r="S215" s="2"/>
      <c r="T215" s="5"/>
    </row>
    <row r="216" spans="1:20" x14ac:dyDescent="0.3">
      <c r="A216" s="2">
        <f t="shared" si="27"/>
        <v>215</v>
      </c>
      <c r="B216" s="2">
        <v>41</v>
      </c>
      <c r="C216" s="2" t="e" cm="1">
        <f t="array" ref="C216">GetValue("Tbl",B216,"Alias")</f>
        <v>#VALUE!</v>
      </c>
      <c r="D216" s="2">
        <v>17</v>
      </c>
      <c r="E216" s="2" t="str">
        <f t="array" ref="E216">GetValue("Dmn",D216,"Name")</f>
        <v>Variant</v>
      </c>
      <c r="F216" s="2">
        <f t="shared" si="31"/>
        <v>25</v>
      </c>
      <c r="G216" s="2" t="s">
        <v>747</v>
      </c>
      <c r="H216" s="2" t="s">
        <v>786</v>
      </c>
      <c r="I216" s="2" t="s">
        <v>765</v>
      </c>
      <c r="J216" s="2" t="s">
        <v>765</v>
      </c>
      <c r="K216" s="17"/>
      <c r="L216" s="17"/>
      <c r="M216" s="17"/>
      <c r="N216" s="2" t="b">
        <v>1</v>
      </c>
      <c r="O216" s="2" t="b">
        <v>1</v>
      </c>
      <c r="P216" s="2" t="b">
        <v>1</v>
      </c>
      <c r="Q216" s="2" t="b">
        <v>1</v>
      </c>
      <c r="R216" s="2"/>
      <c r="S216" s="2"/>
      <c r="T216" s="5"/>
    </row>
    <row r="217" spans="1:20" x14ac:dyDescent="0.3">
      <c r="A217" s="2">
        <f t="shared" si="27"/>
        <v>216</v>
      </c>
      <c r="B217" s="2">
        <v>41</v>
      </c>
      <c r="C217" s="2" t="e" cm="1">
        <f t="array" ref="C217">GetValue("Tbl",B217,"Alias")</f>
        <v>#VALUE!</v>
      </c>
      <c r="D217" s="2">
        <v>6</v>
      </c>
      <c r="E217" s="2" t="str">
        <f t="array" ref="E217">GetValue("Dmn",D217,"Name")</f>
        <v>Boolean</v>
      </c>
      <c r="F217" s="2">
        <f t="shared" si="31"/>
        <v>30</v>
      </c>
      <c r="G217" s="2" t="s">
        <v>787</v>
      </c>
      <c r="H217" s="2" t="s">
        <v>788</v>
      </c>
      <c r="I217" s="2" t="s">
        <v>789</v>
      </c>
      <c r="J217" s="2" t="s">
        <v>789</v>
      </c>
      <c r="K217" s="17"/>
      <c r="L217" s="17"/>
      <c r="M217" s="17"/>
      <c r="N217" s="2" t="b">
        <v>0</v>
      </c>
      <c r="O217" s="2" t="b">
        <v>1</v>
      </c>
      <c r="P217" s="2" t="b">
        <v>1</v>
      </c>
      <c r="Q217" s="2" t="b">
        <v>1</v>
      </c>
      <c r="R217" s="2"/>
      <c r="S217" s="2"/>
      <c r="T21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1F1B9-CE70-4AEA-9FC8-CDAB70FC38A4}">
  <sheetPr codeName="Planilha1"/>
  <dimension ref="A1:G6"/>
  <sheetViews>
    <sheetView workbookViewId="0">
      <selection activeCell="E2" sqref="E2"/>
    </sheetView>
  </sheetViews>
  <sheetFormatPr defaultColWidth="23.88671875" defaultRowHeight="14.4" x14ac:dyDescent="0.3"/>
  <cols>
    <col min="1" max="1" width="2.6640625" bestFit="1" customWidth="1"/>
    <col min="2" max="2" width="9.21875" bestFit="1" customWidth="1"/>
    <col min="3" max="3" width="7.77734375" bestFit="1" customWidth="1"/>
    <col min="4" max="4" width="7.5546875" bestFit="1" customWidth="1"/>
    <col min="5" max="5" width="19.5546875" bestFit="1" customWidth="1"/>
    <col min="6" max="6" width="19.33203125" style="20" bestFit="1" customWidth="1"/>
    <col min="7" max="7" width="19.21875" bestFit="1" customWidth="1"/>
  </cols>
  <sheetData>
    <row r="1" spans="1:7" s="13" customFormat="1" x14ac:dyDescent="0.3">
      <c r="A1" s="3" t="s">
        <v>0</v>
      </c>
      <c r="B1" s="3" t="s">
        <v>152</v>
      </c>
      <c r="C1" s="3" t="s">
        <v>813</v>
      </c>
      <c r="D1" s="3" t="s">
        <v>809</v>
      </c>
      <c r="E1" s="3" t="s">
        <v>814</v>
      </c>
      <c r="F1" s="24" t="s">
        <v>810</v>
      </c>
      <c r="G1" s="3" t="s">
        <v>811</v>
      </c>
    </row>
    <row r="2" spans="1:7" x14ac:dyDescent="0.3">
      <c r="A2" s="4">
        <v>1</v>
      </c>
      <c r="B2" s="4">
        <v>1</v>
      </c>
      <c r="C2" s="4">
        <v>10</v>
      </c>
      <c r="D2" s="4">
        <v>11</v>
      </c>
      <c r="E2" s="4" t="s">
        <v>818</v>
      </c>
      <c r="F2" s="25">
        <v>0</v>
      </c>
      <c r="G2" s="4" t="s">
        <v>815</v>
      </c>
    </row>
    <row r="3" spans="1:7" x14ac:dyDescent="0.3">
      <c r="A3" s="4">
        <v>2</v>
      </c>
      <c r="B3" s="4">
        <v>1</v>
      </c>
      <c r="C3" s="4">
        <v>11</v>
      </c>
      <c r="D3" s="4">
        <v>11</v>
      </c>
      <c r="E3" s="4" t="s">
        <v>819</v>
      </c>
      <c r="F3" s="25">
        <v>0</v>
      </c>
      <c r="G3" s="4" t="s">
        <v>815</v>
      </c>
    </row>
    <row r="4" spans="1:7" x14ac:dyDescent="0.3">
      <c r="A4" s="4">
        <v>3</v>
      </c>
      <c r="B4" s="4">
        <v>2</v>
      </c>
      <c r="C4" s="4">
        <v>13</v>
      </c>
      <c r="D4" s="4">
        <v>11</v>
      </c>
      <c r="E4" s="4" t="s">
        <v>820</v>
      </c>
      <c r="F4" s="25">
        <v>0</v>
      </c>
      <c r="G4" s="4" t="s">
        <v>815</v>
      </c>
    </row>
    <row r="5" spans="1:7" x14ac:dyDescent="0.3">
      <c r="A5" s="4">
        <v>4</v>
      </c>
      <c r="B5" s="4">
        <v>2</v>
      </c>
      <c r="C5" s="4">
        <v>14</v>
      </c>
      <c r="D5" s="4">
        <v>11</v>
      </c>
      <c r="E5" s="4" t="s">
        <v>821</v>
      </c>
      <c r="F5" s="25">
        <v>0</v>
      </c>
      <c r="G5" s="4" t="s">
        <v>815</v>
      </c>
    </row>
    <row r="6" spans="1:7" x14ac:dyDescent="0.3">
      <c r="A6" s="4">
        <v>5</v>
      </c>
      <c r="B6" s="4">
        <v>3</v>
      </c>
      <c r="C6" s="4">
        <v>9</v>
      </c>
      <c r="D6" s="4">
        <v>11</v>
      </c>
      <c r="E6" s="4" t="s">
        <v>822</v>
      </c>
      <c r="F6" s="25" t="s">
        <v>817</v>
      </c>
      <c r="G6" s="4" t="s">
        <v>816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A138-9BDE-44C4-B2A6-8202D4ED461C}">
  <sheetPr codeName="Planilha2"/>
  <dimension ref="A1:E2"/>
  <sheetViews>
    <sheetView workbookViewId="0">
      <selection sqref="A1:XFD1"/>
    </sheetView>
  </sheetViews>
  <sheetFormatPr defaultRowHeight="14.4" x14ac:dyDescent="0.3"/>
  <cols>
    <col min="1" max="1" width="2.6640625" bestFit="1" customWidth="1"/>
    <col min="2" max="2" width="11.5546875" bestFit="1" customWidth="1"/>
    <col min="3" max="3" width="9.21875" bestFit="1" customWidth="1"/>
    <col min="4" max="4" width="19.109375" bestFit="1" customWidth="1"/>
    <col min="5" max="5" width="16.33203125" bestFit="1" customWidth="1"/>
  </cols>
  <sheetData>
    <row r="1" spans="1:5" s="13" customFormat="1" x14ac:dyDescent="0.3">
      <c r="A1" s="3" t="s">
        <v>0</v>
      </c>
      <c r="B1" s="3" t="s">
        <v>812</v>
      </c>
      <c r="C1" s="3" t="s">
        <v>152</v>
      </c>
      <c r="D1" s="3" t="s">
        <v>825</v>
      </c>
      <c r="E1" s="3" t="s">
        <v>823</v>
      </c>
    </row>
    <row r="2" spans="1:5" x14ac:dyDescent="0.3">
      <c r="A2" s="4">
        <v>1</v>
      </c>
      <c r="B2" s="4">
        <v>5</v>
      </c>
      <c r="C2" s="4">
        <v>301</v>
      </c>
      <c r="D2" s="4">
        <v>302</v>
      </c>
      <c r="E2" s="4" t="s">
        <v>824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8F81-7A2B-4B99-BF56-72FB52EFDF58}">
  <sheetPr codeName="planRel"/>
  <dimension ref="A1:R55"/>
  <sheetViews>
    <sheetView workbookViewId="0">
      <pane ySplit="1" topLeftCell="A2" activePane="bottomLeft" state="frozen"/>
      <selection pane="bottomLeft" activeCell="J15" sqref="J15"/>
    </sheetView>
  </sheetViews>
  <sheetFormatPr defaultRowHeight="14.4" x14ac:dyDescent="0.3"/>
  <cols>
    <col min="1" max="1" width="3" bestFit="1" customWidth="1"/>
    <col min="2" max="2" width="9.21875" bestFit="1" customWidth="1"/>
    <col min="3" max="3" width="20.109375" bestFit="1" customWidth="1"/>
    <col min="4" max="4" width="7.21875" bestFit="1" customWidth="1"/>
    <col min="5" max="5" width="10.44140625" bestFit="1" customWidth="1"/>
    <col min="6" max="6" width="12.77734375" bestFit="1" customWidth="1"/>
  </cols>
  <sheetData>
    <row r="1" spans="1:18" s="1" customFormat="1" x14ac:dyDescent="0.3">
      <c r="A1" s="6" t="s">
        <v>0</v>
      </c>
      <c r="B1" s="6" t="s">
        <v>152</v>
      </c>
      <c r="C1" s="6" t="s">
        <v>180</v>
      </c>
      <c r="D1" s="6" t="s">
        <v>81</v>
      </c>
      <c r="E1" s="6" t="s">
        <v>203</v>
      </c>
      <c r="F1" s="6" t="s">
        <v>588</v>
      </c>
      <c r="G1" s="6"/>
      <c r="H1" s="6"/>
      <c r="I1" s="6"/>
      <c r="J1" s="7"/>
      <c r="K1" s="8"/>
      <c r="L1" s="7"/>
      <c r="M1" s="6"/>
      <c r="N1" s="6"/>
      <c r="O1" s="6"/>
      <c r="P1" s="6"/>
      <c r="Q1" s="6"/>
      <c r="R1" s="9"/>
    </row>
    <row r="2" spans="1:18" x14ac:dyDescent="0.3">
      <c r="A2">
        <f>ROW(A2)-1</f>
        <v>1</v>
      </c>
      <c r="B2">
        <v>27</v>
      </c>
      <c r="C2" t="str" cm="1">
        <f t="array" ref="C2">GetValue("Col",B2,"Name")</f>
        <v>Name (Grp)</v>
      </c>
      <c r="D2">
        <v>2</v>
      </c>
      <c r="E2" t="str" cm="1">
        <f t="array" ref="E2">GetValue("Tbl",D2,"Alias")</f>
        <v>Cat</v>
      </c>
      <c r="F2" t="b">
        <v>0</v>
      </c>
    </row>
    <row r="3" spans="1:18" x14ac:dyDescent="0.3">
      <c r="A3">
        <f t="shared" ref="A3:A55" si="0">ROW(A3)-1</f>
        <v>2</v>
      </c>
      <c r="B3">
        <v>28</v>
      </c>
      <c r="C3" t="str" cm="1">
        <f t="array" ref="C3">GetValue("Col",B3,"Name")</f>
        <v>IsActive (Grp)</v>
      </c>
      <c r="D3">
        <v>3</v>
      </c>
      <c r="E3" t="str" cm="1">
        <f t="array" ref="E3">GetValue("Tbl",D3,"Alias")</f>
        <v>Typ</v>
      </c>
      <c r="F3" t="b">
        <v>0</v>
      </c>
    </row>
    <row r="4" spans="1:18" x14ac:dyDescent="0.3">
      <c r="A4">
        <f t="shared" si="0"/>
        <v>3</v>
      </c>
      <c r="B4">
        <v>44</v>
      </c>
      <c r="C4" t="str" cm="1">
        <f t="array" ref="C4">GetValue("Col",B4,"Name")</f>
        <v>Maximum (Usr)</v>
      </c>
      <c r="D4">
        <v>5</v>
      </c>
      <c r="E4" t="str" cm="1">
        <f t="array" ref="E4">GetValue("Tbl",D4,"Alias")</f>
        <v>Msk</v>
      </c>
      <c r="F4" t="b">
        <v>0</v>
      </c>
    </row>
    <row r="5" spans="1:18" x14ac:dyDescent="0.3">
      <c r="A5">
        <f t="shared" si="0"/>
        <v>4</v>
      </c>
      <c r="B5">
        <v>45</v>
      </c>
      <c r="C5" t="str" cm="1">
        <f t="array" ref="C5">GetValue("Col",B5,"Name")</f>
        <v>Codification (Usr)</v>
      </c>
      <c r="D5">
        <v>6</v>
      </c>
      <c r="E5" t="str" cm="1">
        <f t="array" ref="E5">GetValue("Tbl",D5,"Alias")</f>
        <v>DmnMsk</v>
      </c>
      <c r="F5" t="b">
        <v>0</v>
      </c>
    </row>
    <row r="6" spans="1:18" x14ac:dyDescent="0.3">
      <c r="A6">
        <f>ROW(A6)-1</f>
        <v>5</v>
      </c>
      <c r="B6">
        <v>56</v>
      </c>
      <c r="C6" t="str" cm="1">
        <f t="array" ref="C6">GetValue("Col",B6,"Name")</f>
        <v>Id (Dtb)</v>
      </c>
      <c r="D6">
        <v>8</v>
      </c>
      <c r="E6" t="str" cm="1">
        <f t="array" ref="E6">GetValue("Tbl",D6,"Alias")</f>
        <v>Usr</v>
      </c>
      <c r="F6" t="b">
        <v>0</v>
      </c>
    </row>
    <row r="7" spans="1:18" x14ac:dyDescent="0.3">
      <c r="A7">
        <f t="shared" si="0"/>
        <v>6</v>
      </c>
      <c r="B7">
        <v>57</v>
      </c>
      <c r="C7" t="str" cm="1">
        <f t="array" ref="C7">GetValue("Col",B7,"Name")</f>
        <v>Name (Dtb)</v>
      </c>
      <c r="D7">
        <v>2</v>
      </c>
      <c r="E7" t="str" cm="1">
        <f t="array" ref="E7">GetValue("Tbl",D7,"Alias")</f>
        <v>Cat</v>
      </c>
      <c r="F7" t="b">
        <v>0</v>
      </c>
    </row>
    <row r="8" spans="1:18" x14ac:dyDescent="0.3">
      <c r="A8">
        <f t="shared" si="0"/>
        <v>7</v>
      </c>
      <c r="B8">
        <v>58</v>
      </c>
      <c r="C8" t="str" cm="1">
        <f t="array" ref="C8">GetValue("Col",B8,"Name")</f>
        <v>Description (Dtb)</v>
      </c>
      <c r="D8">
        <v>4</v>
      </c>
      <c r="E8" t="str" cm="1">
        <f t="array" ref="E8">GetValue("Tbl",D8,"Alias")</f>
        <v>Dmn</v>
      </c>
      <c r="F8" t="b">
        <v>0</v>
      </c>
    </row>
    <row r="9" spans="1:18" x14ac:dyDescent="0.3">
      <c r="A9">
        <f t="shared" si="0"/>
        <v>8</v>
      </c>
      <c r="B9">
        <v>63</v>
      </c>
      <c r="C9" t="str" cm="1">
        <f t="array" ref="C9">GetValue("Col",B9,"Name")</f>
        <v>GroupId (Tbl)</v>
      </c>
      <c r="D9">
        <v>8</v>
      </c>
      <c r="E9" t="str" cm="1">
        <f t="array" ref="E9">GetValue("Tbl",D9,"Alias")</f>
        <v>Usr</v>
      </c>
      <c r="F9" t="b">
        <v>0</v>
      </c>
    </row>
    <row r="10" spans="1:18" x14ac:dyDescent="0.3">
      <c r="A10">
        <f t="shared" si="0"/>
        <v>9</v>
      </c>
      <c r="B10">
        <v>64</v>
      </c>
      <c r="C10" t="str" cm="1">
        <f t="array" ref="C10">GetValue("Col",B10,"Name")</f>
        <v>Id (Rnk)</v>
      </c>
      <c r="D10">
        <v>10</v>
      </c>
      <c r="E10" t="str" cm="1">
        <f t="array" ref="E10">GetValue("Tbl",D10,"Alias")</f>
        <v>Sys</v>
      </c>
      <c r="F10" t="b">
        <v>0</v>
      </c>
    </row>
    <row r="11" spans="1:18" x14ac:dyDescent="0.3">
      <c r="A11">
        <f t="shared" si="0"/>
        <v>10</v>
      </c>
      <c r="B11">
        <v>71</v>
      </c>
      <c r="C11" t="str" cm="1">
        <f t="array" ref="C11">GetValue("Col",B11,"Name")</f>
        <v>Id (DtbTbl)</v>
      </c>
      <c r="D11">
        <v>12</v>
      </c>
      <c r="E11" t="str" cm="1">
        <f t="array" ref="E11">GetValue("Tbl",D11,"Alias")</f>
        <v>Dtb</v>
      </c>
      <c r="F11" t="b">
        <v>0</v>
      </c>
    </row>
    <row r="12" spans="1:18" x14ac:dyDescent="0.3">
      <c r="A12">
        <f t="shared" si="0"/>
        <v>11</v>
      </c>
      <c r="B12">
        <v>72</v>
      </c>
      <c r="C12" t="str" cm="1">
        <f t="array" ref="C12">GetValue("Col",B12,"Name")</f>
        <v>Name (DtbTbl)</v>
      </c>
      <c r="D12">
        <v>5</v>
      </c>
      <c r="E12" t="str" cm="1">
        <f t="array" ref="E12">GetValue("Tbl",D12,"Alias")</f>
        <v>Msk</v>
      </c>
      <c r="F12" t="b">
        <v>0</v>
      </c>
    </row>
    <row r="13" spans="1:18" x14ac:dyDescent="0.3">
      <c r="A13">
        <f t="shared" si="0"/>
        <v>12</v>
      </c>
      <c r="B13">
        <v>74</v>
      </c>
      <c r="C13" t="str" cm="1">
        <f t="array" ref="C13">GetValue("Col",B13,"Name")</f>
        <v>Description (DtbTbl)</v>
      </c>
      <c r="D13">
        <v>12</v>
      </c>
      <c r="E13" t="str" cm="1">
        <f t="array" ref="E13">GetValue("Tbl",D13,"Alias")</f>
        <v>Dtb</v>
      </c>
      <c r="F13" t="b">
        <v>0</v>
      </c>
    </row>
    <row r="14" spans="1:18" x14ac:dyDescent="0.3">
      <c r="A14">
        <f t="shared" si="0"/>
        <v>13</v>
      </c>
      <c r="B14">
        <v>85</v>
      </c>
      <c r="C14" t="str" cm="1">
        <f t="array" ref="C14">GetValue("Col",B14,"Name")</f>
        <v>RankId (Unq)</v>
      </c>
      <c r="D14">
        <v>15</v>
      </c>
      <c r="E14" t="str" cm="1">
        <f t="array" ref="E14">GetValue("Tbl",D14,"Alias")</f>
        <v>DtbTbl</v>
      </c>
      <c r="F14" t="b">
        <v>0</v>
      </c>
    </row>
    <row r="15" spans="1:18" x14ac:dyDescent="0.3">
      <c r="A15">
        <f t="shared" si="0"/>
        <v>14</v>
      </c>
      <c r="B15">
        <v>88</v>
      </c>
      <c r="C15" t="str" cm="1">
        <f t="array" ref="C15">GetValue("Col",B15,"Name")</f>
        <v>CaptionInPlural (Unq)</v>
      </c>
      <c r="D15">
        <v>14</v>
      </c>
      <c r="E15" t="str" cm="1">
        <f t="array" ref="E15">GetValue("Tbl",D15,"Alias")</f>
        <v>Rnk</v>
      </c>
      <c r="F15" t="b">
        <v>0</v>
      </c>
    </row>
    <row r="16" spans="1:18" x14ac:dyDescent="0.3">
      <c r="A16">
        <f t="shared" si="0"/>
        <v>15</v>
      </c>
      <c r="B16">
        <v>89</v>
      </c>
      <c r="C16" t="str" cm="1">
        <f t="array" ref="C16">GetValue("Col",B16,"Name")</f>
        <v>CurrentId (Unq)</v>
      </c>
      <c r="D16">
        <v>17</v>
      </c>
      <c r="E16" t="str" cm="1">
        <f t="array" ref="E16">GetValue("Tbl",D16,"Alias")</f>
        <v>Rel</v>
      </c>
      <c r="F16" t="b">
        <v>0</v>
      </c>
    </row>
    <row r="17" spans="1:6" x14ac:dyDescent="0.3">
      <c r="A17">
        <f t="shared" si="0"/>
        <v>16</v>
      </c>
      <c r="B17">
        <v>92</v>
      </c>
      <c r="C17" t="str" cm="1">
        <f t="array" ref="C17">GetValue("Col",B17,"Name")</f>
        <v>TableId (Req)</v>
      </c>
      <c r="D17">
        <v>14</v>
      </c>
      <c r="E17" t="str" cm="1">
        <f t="array" ref="E17">GetValue("Tbl",D17,"Alias")</f>
        <v>Rnk</v>
      </c>
      <c r="F17" t="b">
        <v>0</v>
      </c>
    </row>
    <row r="18" spans="1:6" x14ac:dyDescent="0.3">
      <c r="A18">
        <f t="shared" si="0"/>
        <v>17</v>
      </c>
      <c r="B18">
        <v>93</v>
      </c>
      <c r="C18" t="str" cm="1">
        <f t="array" ref="C18">GetValue("Col",B18,"Name")</f>
        <v>MinCardinality (Req)</v>
      </c>
      <c r="D18">
        <v>15</v>
      </c>
      <c r="E18" t="str" cm="1">
        <f t="array" ref="E18">GetValue("Tbl",D18,"Alias")</f>
        <v>DtbTbl</v>
      </c>
      <c r="F18" t="b">
        <v>0</v>
      </c>
    </row>
    <row r="19" spans="1:6" x14ac:dyDescent="0.3">
      <c r="A19">
        <f t="shared" si="0"/>
        <v>18</v>
      </c>
      <c r="B19">
        <v>94</v>
      </c>
      <c r="C19" t="str" cm="1">
        <f t="array" ref="C19">GetValue("Col",B19,"Name")</f>
        <v>MaxCardinality (Req)</v>
      </c>
      <c r="D19">
        <v>17</v>
      </c>
      <c r="E19" t="str" cm="1">
        <f t="array" ref="E19">GetValue("Tbl",D19,"Alias")</f>
        <v>Rel</v>
      </c>
      <c r="F19" t="b">
        <v>0</v>
      </c>
    </row>
    <row r="20" spans="1:6" x14ac:dyDescent="0.3">
      <c r="A20">
        <f t="shared" si="0"/>
        <v>19</v>
      </c>
      <c r="B20">
        <v>101</v>
      </c>
      <c r="C20" t="str" cm="1">
        <f t="array" ref="C20">GetValue("Col",B20,"Name")</f>
        <v>Description (Idx)</v>
      </c>
      <c r="D20">
        <v>15</v>
      </c>
      <c r="E20" t="str" cm="1">
        <f t="array" ref="E20">GetValue("Tbl",D20,"Alias")</f>
        <v>DtbTbl</v>
      </c>
      <c r="F20" t="b">
        <v>0</v>
      </c>
    </row>
    <row r="21" spans="1:6" x14ac:dyDescent="0.3">
      <c r="A21">
        <f t="shared" si="0"/>
        <v>20</v>
      </c>
      <c r="B21">
        <v>106</v>
      </c>
      <c r="C21" t="str" cm="1">
        <f t="array" ref="C21">GetValue("Col",B21,"Name")</f>
        <v>Maximum (Idx)</v>
      </c>
      <c r="D21">
        <v>19</v>
      </c>
      <c r="E21" t="str" cm="1">
        <f t="array" ref="E21">GetValue("Tbl",D21,"Alias")</f>
        <v>Req</v>
      </c>
      <c r="F21" t="b">
        <v>0</v>
      </c>
    </row>
    <row r="22" spans="1:6" x14ac:dyDescent="0.3">
      <c r="A22">
        <f t="shared" si="0"/>
        <v>21</v>
      </c>
      <c r="B22">
        <v>107</v>
      </c>
      <c r="C22" t="str" cm="1">
        <f t="array" ref="C22">GetValue("Col",B22,"Name")</f>
        <v>IsRequired (Idx)</v>
      </c>
      <c r="D22">
        <v>8</v>
      </c>
      <c r="E22" t="str" cm="1">
        <f t="array" ref="E22">GetValue("Tbl",D22,"Alias")</f>
        <v>Usr</v>
      </c>
      <c r="F22" t="b">
        <v>0</v>
      </c>
    </row>
    <row r="23" spans="1:6" x14ac:dyDescent="0.3">
      <c r="A23">
        <f t="shared" si="0"/>
        <v>22</v>
      </c>
      <c r="B23">
        <v>124</v>
      </c>
      <c r="C23" t="str" cm="1">
        <f t="array" ref="C23">GetValue("Col",B23,"Name")</f>
        <v>DatabaseId (Env)</v>
      </c>
      <c r="D23">
        <v>20</v>
      </c>
      <c r="E23" t="str" cm="1">
        <f t="array" ref="E23">GetValue("Tbl",D23,"Alias")</f>
        <v>Idx</v>
      </c>
      <c r="F23" t="b">
        <v>0</v>
      </c>
    </row>
    <row r="24" spans="1:6" x14ac:dyDescent="0.3">
      <c r="A24">
        <f t="shared" si="0"/>
        <v>23</v>
      </c>
      <c r="B24">
        <v>125</v>
      </c>
      <c r="C24" t="str" cm="1">
        <f t="array" ref="C24">GetValue("Col",B24,"Name")</f>
        <v>TableId (Env)</v>
      </c>
      <c r="D24">
        <v>15</v>
      </c>
      <c r="E24" t="str" cm="1">
        <f t="array" ref="E24">GetValue("Tbl",D24,"Alias")</f>
        <v>DtbTbl</v>
      </c>
      <c r="F24" t="b">
        <v>0</v>
      </c>
    </row>
    <row r="25" spans="1:6" x14ac:dyDescent="0.3">
      <c r="A25">
        <f t="shared" si="0"/>
        <v>24</v>
      </c>
      <c r="B25">
        <v>128</v>
      </c>
      <c r="C25" t="str" cm="1">
        <f t="array" ref="C25">GetValue("Col",B25,"Name")</f>
        <v>Id (DtbEnv)</v>
      </c>
      <c r="D25">
        <v>20</v>
      </c>
      <c r="E25" t="str" cm="1">
        <f t="array" ref="E25">GetValue("Tbl",D25,"Alias")</f>
        <v>Idx</v>
      </c>
      <c r="F25" t="b">
        <v>0</v>
      </c>
    </row>
    <row r="26" spans="1:6" x14ac:dyDescent="0.3">
      <c r="A26">
        <f t="shared" si="0"/>
        <v>25</v>
      </c>
      <c r="B26">
        <v>129</v>
      </c>
      <c r="C26" t="str" cm="1">
        <f t="array" ref="C26">GetValue("Col",B26,"Name")</f>
        <v>IndexId (DtbEnv)</v>
      </c>
      <c r="D26">
        <v>20</v>
      </c>
      <c r="E26" t="str" cm="1">
        <f t="array" ref="E26">GetValue("Tbl",D26,"Alias")</f>
        <v>Idx</v>
      </c>
      <c r="F26" t="b">
        <v>0</v>
      </c>
    </row>
    <row r="27" spans="1:6" x14ac:dyDescent="0.3">
      <c r="A27">
        <f t="shared" si="0"/>
        <v>26</v>
      </c>
      <c r="B27">
        <v>131</v>
      </c>
      <c r="C27" t="str" cm="1">
        <f t="array" ref="C27">GetValue("Col",B27,"Name")</f>
        <v>Sequence (DtbEnv)</v>
      </c>
      <c r="D27">
        <v>20</v>
      </c>
      <c r="E27" t="str" cm="1">
        <f t="array" ref="E27">GetValue("Tbl",D27,"Alias")</f>
        <v>Idx</v>
      </c>
      <c r="F27" t="b">
        <v>0</v>
      </c>
    </row>
    <row r="28" spans="1:6" x14ac:dyDescent="0.3">
      <c r="A28">
        <f t="shared" si="0"/>
        <v>27</v>
      </c>
      <c r="B28">
        <v>132</v>
      </c>
      <c r="C28" t="str" cm="1">
        <f t="array" ref="C28">GetValue("Col",B28,"Name")</f>
        <v>IsDescending (DtbEnv)</v>
      </c>
      <c r="D28">
        <v>20</v>
      </c>
      <c r="E28" t="str" cm="1">
        <f t="array" ref="E28">GetValue("Tbl",D28,"Alias")</f>
        <v>Idx</v>
      </c>
      <c r="F28" t="b">
        <v>0</v>
      </c>
    </row>
    <row r="29" spans="1:6" x14ac:dyDescent="0.3">
      <c r="A29">
        <f t="shared" si="0"/>
        <v>28</v>
      </c>
      <c r="B29">
        <v>134</v>
      </c>
      <c r="C29" t="str" cm="1">
        <f t="array" ref="C29">GetValue("Col",B29,"Name")</f>
        <v>IndexId (Ses)</v>
      </c>
      <c r="D29">
        <v>14</v>
      </c>
      <c r="E29" t="str" cm="1">
        <f t="array" ref="E29">GetValue("Tbl",D29,"Alias")</f>
        <v>Rnk</v>
      </c>
      <c r="F29" t="b">
        <v>0</v>
      </c>
    </row>
    <row r="30" spans="1:6" x14ac:dyDescent="0.3">
      <c r="A30">
        <f t="shared" si="0"/>
        <v>29</v>
      </c>
      <c r="B30">
        <v>135</v>
      </c>
      <c r="C30" t="str" cm="1">
        <f t="array" ref="C30">GetValue("Col",B30,"Name")</f>
        <v>ColumnId (Ses)</v>
      </c>
      <c r="D30">
        <v>15</v>
      </c>
      <c r="E30" t="str" cm="1">
        <f t="array" ref="E30">GetValue("Tbl",D30,"Alias")</f>
        <v>DtbTbl</v>
      </c>
      <c r="F30" t="b">
        <v>0</v>
      </c>
    </row>
    <row r="31" spans="1:6" x14ac:dyDescent="0.3">
      <c r="A31">
        <f t="shared" si="0"/>
        <v>30</v>
      </c>
      <c r="B31">
        <v>139</v>
      </c>
      <c r="C31" t="str" cm="1">
        <f t="array" ref="C31">GetValue("Col",B31,"Name")</f>
        <v>Description (Trs)</v>
      </c>
      <c r="D31">
        <v>24</v>
      </c>
      <c r="E31" t="str" cm="1">
        <f t="array" ref="E31">GetValue("Tbl",D31,"Alias")</f>
        <v>Env</v>
      </c>
      <c r="F31" t="b">
        <v>0</v>
      </c>
    </row>
    <row r="32" spans="1:6" x14ac:dyDescent="0.3">
      <c r="A32">
        <f t="shared" si="0"/>
        <v>31</v>
      </c>
      <c r="B32">
        <v>140</v>
      </c>
      <c r="C32" t="str" cm="1">
        <f t="array" ref="C32">GetValue("Col",B32,"Name")</f>
        <v>ConnectionString (Trs)</v>
      </c>
      <c r="D32">
        <v>20</v>
      </c>
      <c r="E32" t="str" cm="1">
        <f t="array" ref="E32">GetValue("Tbl",D32,"Alias")</f>
        <v>Idx</v>
      </c>
      <c r="F32" t="b">
        <v>0</v>
      </c>
    </row>
    <row r="33" spans="1:6" x14ac:dyDescent="0.3">
      <c r="A33">
        <f t="shared" si="0"/>
        <v>32</v>
      </c>
      <c r="B33">
        <v>144</v>
      </c>
      <c r="C33" t="str" cm="1">
        <f t="array" ref="C33">GetValue("Col",B33,"Name")</f>
        <v>IsDevelopment (Ope)</v>
      </c>
      <c r="D33">
        <v>24</v>
      </c>
      <c r="E33" t="str" cm="1">
        <f t="array" ref="E33">GetValue("Tbl",D33,"Alias")</f>
        <v>Env</v>
      </c>
      <c r="F33" t="b">
        <v>0</v>
      </c>
    </row>
    <row r="34" spans="1:6" x14ac:dyDescent="0.3">
      <c r="A34">
        <f t="shared" si="0"/>
        <v>33</v>
      </c>
      <c r="B34">
        <v>145</v>
      </c>
      <c r="C34" t="str" cm="1">
        <f t="array" ref="C34">GetValue("Col",B34,"Name")</f>
        <v>Id (Snp)</v>
      </c>
      <c r="D34">
        <v>20</v>
      </c>
      <c r="E34" t="str" cm="1">
        <f t="array" ref="E34">GetValue("Tbl",D34,"Alias")</f>
        <v>Idx</v>
      </c>
      <c r="F34" t="b">
        <v>0</v>
      </c>
    </row>
    <row r="35" spans="1:6" x14ac:dyDescent="0.3">
      <c r="A35">
        <f t="shared" si="0"/>
        <v>34</v>
      </c>
      <c r="B35">
        <v>147</v>
      </c>
      <c r="C35" t="str" cm="1">
        <f t="array" ref="C35">GetValue("Col",B35,"Name")</f>
        <v>EnvironmentId (Snp)</v>
      </c>
      <c r="D35">
        <v>2</v>
      </c>
      <c r="E35" t="str" cm="1">
        <f t="array" ref="E35">GetValue("Tbl",D35,"Alias")</f>
        <v>Cat</v>
      </c>
      <c r="F35" t="b">
        <v>0</v>
      </c>
    </row>
    <row r="36" spans="1:6" x14ac:dyDescent="0.3">
      <c r="A36">
        <f t="shared" si="0"/>
        <v>35</v>
      </c>
      <c r="B36">
        <v>156</v>
      </c>
      <c r="C36" t="str" cm="1">
        <f t="array" ref="C36">GetValue("Col",B36,"Name")</f>
        <v>SessionId (Prd)</v>
      </c>
      <c r="D36">
        <v>14</v>
      </c>
      <c r="E36" t="str" cm="1">
        <f t="array" ref="E36">GetValue("Tbl",D36,"Alias")</f>
        <v>Rnk</v>
      </c>
      <c r="F36" t="b">
        <v>0</v>
      </c>
    </row>
    <row r="37" spans="1:6" x14ac:dyDescent="0.3">
      <c r="A37">
        <f t="shared" si="0"/>
        <v>36</v>
      </c>
      <c r="B37">
        <v>157</v>
      </c>
      <c r="C37" t="str" cm="1">
        <f t="array" ref="C37">GetValue("Col",B37,"Name")</f>
        <v>IsConfirmed (Prd)</v>
      </c>
      <c r="D37">
        <v>28</v>
      </c>
      <c r="E37" t="str" cm="1">
        <f t="array" ref="E37">GetValue("Tbl",D37,"Alias")</f>
        <v>Ope</v>
      </c>
      <c r="F37" t="b">
        <v>0</v>
      </c>
    </row>
    <row r="38" spans="1:6" x14ac:dyDescent="0.3">
      <c r="A38">
        <f t="shared" si="0"/>
        <v>37</v>
      </c>
      <c r="B38">
        <v>158</v>
      </c>
      <c r="C38" t="str" cm="1">
        <f t="array" ref="C38">GetValue("Col",B38,"Name")</f>
        <v>Id (Sch)</v>
      </c>
      <c r="D38">
        <v>27</v>
      </c>
      <c r="E38" t="str" cm="1">
        <f t="array" ref="E38">GetValue("Tbl",D38,"Alias")</f>
        <v>Trs</v>
      </c>
      <c r="F38" t="b">
        <v>0</v>
      </c>
    </row>
    <row r="39" spans="1:6" x14ac:dyDescent="0.3">
      <c r="A39">
        <f t="shared" si="0"/>
        <v>38</v>
      </c>
      <c r="B39">
        <v>160</v>
      </c>
      <c r="C39" t="str" cm="1">
        <f t="array" ref="C39">GetValue("Col",B39,"Name")</f>
        <v>TableName (Sch)</v>
      </c>
      <c r="D39">
        <v>12</v>
      </c>
      <c r="E39" t="str" cm="1">
        <f t="array" ref="E39">GetValue("Tbl",D39,"Alias")</f>
        <v>Dtb</v>
      </c>
      <c r="F39" t="b">
        <v>0</v>
      </c>
    </row>
    <row r="40" spans="1:6" x14ac:dyDescent="0.3">
      <c r="A40">
        <f t="shared" si="0"/>
        <v>39</v>
      </c>
      <c r="B40">
        <v>161</v>
      </c>
      <c r="C40" t="str" cm="1">
        <f t="array" ref="C40">GetValue("Col",B40,"Name")</f>
        <v>Action (Sch)</v>
      </c>
      <c r="D40">
        <v>6</v>
      </c>
      <c r="E40" t="str" cm="1">
        <f t="array" ref="E40">GetValue("Tbl",D40,"Alias")</f>
        <v>DmnMsk</v>
      </c>
      <c r="F40" t="b">
        <v>0</v>
      </c>
    </row>
    <row r="41" spans="1:6" x14ac:dyDescent="0.3">
      <c r="A41">
        <f t="shared" si="0"/>
        <v>40</v>
      </c>
      <c r="B41">
        <v>162</v>
      </c>
      <c r="C41" t="str" cm="1">
        <f t="array" ref="C41">GetValue("Col",B41,"Name")</f>
        <v>LastRecord (Sch)</v>
      </c>
      <c r="D41">
        <v>28</v>
      </c>
      <c r="E41" t="str" cm="1">
        <f t="array" ref="E41">GetValue("Tbl",D41,"Alias")</f>
        <v>Ope</v>
      </c>
      <c r="F41" t="b">
        <v>0</v>
      </c>
    </row>
    <row r="42" spans="1:6" x14ac:dyDescent="0.3">
      <c r="A42">
        <f t="shared" si="0"/>
        <v>41</v>
      </c>
      <c r="B42">
        <v>166</v>
      </c>
      <c r="C42" t="str" cm="1">
        <f t="array" ref="C42">GetValue("Col",B42,"Name")</f>
        <v>TableId (SchScr)</v>
      </c>
      <c r="D42">
        <v>30</v>
      </c>
      <c r="E42" t="str" cm="1">
        <f t="array" ref="E42">GetValue("Tbl",D42,"Alias")</f>
        <v>SnpScr</v>
      </c>
      <c r="F42" t="b">
        <v>0</v>
      </c>
    </row>
    <row r="43" spans="1:6" x14ac:dyDescent="0.3">
      <c r="A43">
        <f t="shared" si="0"/>
        <v>42</v>
      </c>
      <c r="B43">
        <v>169</v>
      </c>
      <c r="C43" t="str" cm="1">
        <f t="array" ref="C43">GetValue("Col",B43,"Name")</f>
        <v>IsOfUser (SchScr)</v>
      </c>
      <c r="D43">
        <v>31</v>
      </c>
      <c r="E43" t="str" cm="1">
        <f t="array" ref="E43">GetValue("Tbl",D43,"Alias")</f>
        <v>Prd</v>
      </c>
      <c r="F43" t="b">
        <v>0</v>
      </c>
    </row>
    <row r="44" spans="1:6" x14ac:dyDescent="0.3">
      <c r="A44">
        <f t="shared" si="0"/>
        <v>43</v>
      </c>
      <c r="B44">
        <v>176</v>
      </c>
      <c r="C44" t="str" cm="1">
        <f t="array" ref="C44">GetValue("Col",B44,"Name")</f>
        <v>RemoteScript (Opr)</v>
      </c>
      <c r="D44">
        <v>15</v>
      </c>
      <c r="E44" t="str" cm="1">
        <f t="array" ref="E44">GetValue("Tbl",D44,"Alias")</f>
        <v>DtbTbl</v>
      </c>
      <c r="F44" t="b">
        <v>0</v>
      </c>
    </row>
    <row r="45" spans="1:6" x14ac:dyDescent="0.3">
      <c r="A45">
        <f t="shared" si="0"/>
        <v>44</v>
      </c>
      <c r="B45">
        <v>181</v>
      </c>
      <c r="C45" t="str" cm="1">
        <f t="array" ref="C45">GetValue("Col",B45,"Name")</f>
        <v>Id (Bhv)</v>
      </c>
      <c r="D45">
        <v>33</v>
      </c>
      <c r="E45" t="str" cm="1">
        <f t="array" ref="E45">GetValue("Tbl",D45,"Alias")</f>
        <v>SchScr</v>
      </c>
      <c r="F45" t="b">
        <v>0</v>
      </c>
    </row>
    <row r="46" spans="1:6" x14ac:dyDescent="0.3">
      <c r="A46">
        <f t="shared" si="0"/>
        <v>45</v>
      </c>
      <c r="B46">
        <v>182</v>
      </c>
      <c r="C46" t="str" cm="1">
        <f t="array" ref="C46">GetValue("Col",B46,"Name")</f>
        <v>PeriodicityId (Bhv)</v>
      </c>
      <c r="D46">
        <v>27</v>
      </c>
      <c r="E46" t="str" cm="1">
        <f t="array" ref="E46">GetValue("Tbl",D46,"Alias")</f>
        <v>Trs</v>
      </c>
      <c r="F46" t="b">
        <v>0</v>
      </c>
    </row>
    <row r="47" spans="1:6" x14ac:dyDescent="0.3">
      <c r="A47">
        <f t="shared" si="0"/>
        <v>46</v>
      </c>
      <c r="B47">
        <v>191</v>
      </c>
      <c r="C47" t="str" cm="1">
        <f t="array" ref="C47">GetValue("Col",B47,"Name")</f>
        <v>IsOfUser (Bhv)</v>
      </c>
      <c r="D47">
        <v>35</v>
      </c>
      <c r="E47" t="str" cm="1">
        <f t="array" ref="E47">GetValue("Tbl",D47,"Alias")</f>
        <v>Prp</v>
      </c>
      <c r="F47" t="b">
        <v>0</v>
      </c>
    </row>
    <row r="48" spans="1:6" x14ac:dyDescent="0.3">
      <c r="A48">
        <f t="shared" si="0"/>
        <v>47</v>
      </c>
      <c r="B48">
        <v>202</v>
      </c>
      <c r="C48" t="e" cm="1">
        <f t="array" ref="C48">GetValue("Col",B48,"Name")</f>
        <v>#VALUE!</v>
      </c>
      <c r="D48">
        <v>36</v>
      </c>
      <c r="E48" t="str" cm="1">
        <f t="array" ref="E48">GetValue("Tbl",D48,"Alias")</f>
        <v>Bhv</v>
      </c>
      <c r="F48" t="b">
        <v>0</v>
      </c>
    </row>
    <row r="49" spans="1:6" x14ac:dyDescent="0.3">
      <c r="A49">
        <f t="shared" si="0"/>
        <v>48</v>
      </c>
      <c r="B49">
        <v>203</v>
      </c>
      <c r="C49" t="e" cm="1">
        <f t="array" ref="C49">GetValue("Col",B49,"Name")</f>
        <v>#VALUE!</v>
      </c>
      <c r="D49">
        <v>27</v>
      </c>
      <c r="E49" t="str" cm="1">
        <f t="array" ref="E49">GetValue("Tbl",D49,"Alias")</f>
        <v>Trs</v>
      </c>
      <c r="F49" t="b">
        <v>0</v>
      </c>
    </row>
    <row r="50" spans="1:6" x14ac:dyDescent="0.3">
      <c r="A50">
        <f t="shared" si="0"/>
        <v>49</v>
      </c>
      <c r="B50">
        <v>217</v>
      </c>
      <c r="C50" t="e" cm="1">
        <f t="array" ref="C50">GetValue("Col",B50,"Name")</f>
        <v>#VALUE!</v>
      </c>
      <c r="D50">
        <v>20</v>
      </c>
      <c r="E50" t="str" cm="1">
        <f t="array" ref="E50">GetValue("Tbl",D50,"Alias")</f>
        <v>Idx</v>
      </c>
      <c r="F50" t="b">
        <v>0</v>
      </c>
    </row>
    <row r="51" spans="1:6" x14ac:dyDescent="0.3">
      <c r="A51">
        <f t="shared" si="0"/>
        <v>50</v>
      </c>
      <c r="B51">
        <v>218</v>
      </c>
      <c r="C51" t="e" cm="1">
        <f t="array" ref="C51">GetValue("Col",B51,"Name")</f>
        <v>#VALUE!</v>
      </c>
      <c r="D51">
        <v>39</v>
      </c>
      <c r="E51" t="e" cm="1">
        <f t="array" ref="E51">GetValue("Tbl",D51,"Alias")</f>
        <v>#VALUE!</v>
      </c>
      <c r="F51" t="b">
        <v>0</v>
      </c>
    </row>
    <row r="52" spans="1:6" x14ac:dyDescent="0.3">
      <c r="A52">
        <f t="shared" si="0"/>
        <v>51</v>
      </c>
      <c r="B52">
        <v>221</v>
      </c>
      <c r="C52" t="e" cm="1">
        <f t="array" ref="C52">GetValue("Col",B52,"Name")</f>
        <v>#VALUE!</v>
      </c>
      <c r="D52">
        <v>40</v>
      </c>
      <c r="E52" t="e" cm="1">
        <f t="array" ref="E52">GetValue("Tbl",D52,"Alias")</f>
        <v>#VALUE!</v>
      </c>
      <c r="F52" t="b">
        <v>0</v>
      </c>
    </row>
    <row r="53" spans="1:6" x14ac:dyDescent="0.3">
      <c r="A53">
        <f t="shared" si="0"/>
        <v>52</v>
      </c>
      <c r="B53">
        <v>223</v>
      </c>
      <c r="C53" t="e" cm="1">
        <f t="array" ref="C53">GetValue("Col",B53,"Name")</f>
        <v>#VALUE!</v>
      </c>
      <c r="D53">
        <v>27</v>
      </c>
      <c r="E53" t="str" cm="1">
        <f t="array" ref="E53">GetValue("Tbl",D53,"Alias")</f>
        <v>Trs</v>
      </c>
      <c r="F53" t="b">
        <v>0</v>
      </c>
    </row>
    <row r="54" spans="1:6" x14ac:dyDescent="0.3">
      <c r="A54">
        <f t="shared" si="0"/>
        <v>53</v>
      </c>
      <c r="B54">
        <v>224</v>
      </c>
      <c r="C54" t="e" cm="1">
        <f t="array" ref="C54">GetValue("Col",B54,"Name")</f>
        <v>#VALUE!</v>
      </c>
      <c r="D54">
        <v>20</v>
      </c>
      <c r="E54" t="str" cm="1">
        <f t="array" ref="E54">GetValue("Tbl",D54,"Alias")</f>
        <v>Idx</v>
      </c>
      <c r="F54" t="b">
        <v>0</v>
      </c>
    </row>
    <row r="55" spans="1:6" x14ac:dyDescent="0.3">
      <c r="A55">
        <f t="shared" si="0"/>
        <v>54</v>
      </c>
      <c r="B55">
        <v>225</v>
      </c>
      <c r="C55" t="e" cm="1">
        <f t="array" ref="C55">GetValue("Col",B55,"Name")</f>
        <v>#VALUE!</v>
      </c>
      <c r="D55">
        <v>38</v>
      </c>
      <c r="E55" t="e" cm="1">
        <f t="array" ref="E55">GetValue("Tbl",D55,"Alias")</f>
        <v>#VALUE!</v>
      </c>
      <c r="F5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Unq"/>
  <dimension ref="A1:E3"/>
  <sheetViews>
    <sheetView workbookViewId="0">
      <pane ySplit="1" topLeftCell="A2" activePane="bottomLeft" state="frozen"/>
      <selection pane="bottomLeft" activeCell="D4" sqref="D4"/>
    </sheetView>
  </sheetViews>
  <sheetFormatPr defaultColWidth="9.33203125" defaultRowHeight="14.4" x14ac:dyDescent="0.3"/>
  <cols>
    <col min="1" max="1" width="2.6640625" bestFit="1" customWidth="1"/>
    <col min="2" max="2" width="9.21875" bestFit="1" customWidth="1"/>
    <col min="3" max="3" width="18.2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180</v>
      </c>
      <c r="D1" s="1" t="s">
        <v>323</v>
      </c>
      <c r="E1" s="1" t="s">
        <v>324</v>
      </c>
    </row>
    <row r="2" spans="1:5" x14ac:dyDescent="0.3">
      <c r="A2">
        <f>ROW(A2)-1</f>
        <v>1</v>
      </c>
      <c r="B2">
        <v>81</v>
      </c>
      <c r="C2" t="str" cm="1">
        <f t="array" ref="C2">GetValue("Col",B2,"Name")</f>
        <v>Caption (Rel)</v>
      </c>
      <c r="D2">
        <v>82</v>
      </c>
      <c r="E2" t="str" cm="1">
        <f t="array" ref="E2">GetValue("Col",D2,"Name")</f>
        <v>Id (Unq)</v>
      </c>
    </row>
    <row r="3" spans="1:5" x14ac:dyDescent="0.3">
      <c r="A3">
        <f>ROW(A3)-1</f>
        <v>2</v>
      </c>
      <c r="B3">
        <v>82</v>
      </c>
      <c r="C3" t="str" cm="1">
        <f t="array" ref="C3">GetValue("Col",B3,"Name")</f>
        <v>Id (Unq)</v>
      </c>
      <c r="D3">
        <v>81</v>
      </c>
      <c r="E3" t="str" cm="1">
        <f t="array" ref="E3">GetValue("Col",D3,"Name")</f>
        <v>Caption (Rel)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760DD-4B8A-40E5-9713-356A389EFE0E}">
  <sheetPr codeName="planReq"/>
  <dimension ref="A1:E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9.21875" bestFit="1" customWidth="1"/>
    <col min="3" max="3" width="16.88671875" bestFit="1" customWidth="1"/>
    <col min="4" max="4" width="15.6640625" bestFit="1" customWidth="1"/>
    <col min="5" max="5" width="20.109375" bestFit="1" customWidth="1"/>
  </cols>
  <sheetData>
    <row r="1" spans="1:5" s="1" customFormat="1" x14ac:dyDescent="0.3">
      <c r="A1" s="1" t="s">
        <v>0</v>
      </c>
      <c r="B1" s="1" t="s">
        <v>152</v>
      </c>
      <c r="C1" s="1" t="s">
        <v>180</v>
      </c>
      <c r="D1" s="1" t="s">
        <v>323</v>
      </c>
      <c r="E1" s="1" t="s">
        <v>324</v>
      </c>
    </row>
    <row r="2" spans="1:5" x14ac:dyDescent="0.3">
      <c r="A2">
        <f>ROW(A2)-1</f>
        <v>1</v>
      </c>
      <c r="B2">
        <v>184</v>
      </c>
      <c r="C2" t="str" cm="1">
        <f t="array" ref="C2">GetValue("Col",B2,"Name")</f>
        <v>Interval (Bhv)</v>
      </c>
      <c r="D2">
        <v>185</v>
      </c>
      <c r="E2" t="str" cm="1">
        <f t="array" ref="E2">GetValue("Col",D2,"Name")</f>
        <v>TimeOfDay (Bhv)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dx"/>
  <dimension ref="A1:H48"/>
  <sheetViews>
    <sheetView workbookViewId="0">
      <pane ySplit="1" topLeftCell="A14" activePane="bottomLeft" state="frozen"/>
      <selection pane="bottomLeft" activeCell="F19" sqref="F19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9.21875" bestFit="1" customWidth="1"/>
    <col min="6" max="6" width="10.44140625" bestFit="1" customWidth="1"/>
    <col min="7" max="7" width="50.44140625" bestFit="1" customWidth="1"/>
    <col min="8" max="8" width="11.77734375" bestFit="1" customWidth="1"/>
  </cols>
  <sheetData>
    <row r="1" spans="1:8" s="1" customFormat="1" x14ac:dyDescent="0.3">
      <c r="A1" s="1" t="s">
        <v>0</v>
      </c>
      <c r="B1" s="1" t="s">
        <v>67</v>
      </c>
      <c r="C1" s="1" t="s">
        <v>176</v>
      </c>
      <c r="D1" s="1" t="s">
        <v>81</v>
      </c>
      <c r="E1" s="1" t="s">
        <v>177</v>
      </c>
      <c r="F1" s="1" t="s">
        <v>203</v>
      </c>
      <c r="G1" s="1" t="s">
        <v>1</v>
      </c>
      <c r="H1" s="1" t="s">
        <v>147</v>
      </c>
    </row>
    <row r="2" spans="1:8" x14ac:dyDescent="0.3">
      <c r="A2">
        <f t="shared" ref="A2:A9" si="0">ROW(A2)-1</f>
        <v>1</v>
      </c>
      <c r="B2">
        <v>1</v>
      </c>
      <c r="C2" t="e" cm="1">
        <f t="array" ref="C2">GetValue("Db",B2,"Name")</f>
        <v>#VALUE!</v>
      </c>
      <c r="D2">
        <v>1</v>
      </c>
      <c r="E2" t="str" cm="1">
        <f t="array" ref="E2">GetValue("Tbl",D2,"Name")</f>
        <v>Clients</v>
      </c>
      <c r="F2" t="str" cm="1">
        <f t="array" ref="F2">GetValue("Tbl",D2,"Alias")</f>
        <v>Cli</v>
      </c>
      <c r="G2" t="s">
        <v>514</v>
      </c>
      <c r="H2" t="b">
        <v>1</v>
      </c>
    </row>
    <row r="3" spans="1:8" x14ac:dyDescent="0.3">
      <c r="A3">
        <f t="shared" si="0"/>
        <v>2</v>
      </c>
      <c r="B3">
        <v>1</v>
      </c>
      <c r="C3" t="e" cm="1">
        <f t="array" ref="C3">GetValue("Db",B3,"Name")</f>
        <v>#VALUE!</v>
      </c>
      <c r="D3">
        <v>2</v>
      </c>
      <c r="E3" t="str" cm="1">
        <f t="array" ref="E3">GetValue("Tbl",D3,"Name")</f>
        <v>Categories</v>
      </c>
      <c r="F3" t="str" cm="1">
        <f t="array" ref="F3">GetValue("Tbl",D3,"Alias")</f>
        <v>Cat</v>
      </c>
      <c r="G3" t="s">
        <v>515</v>
      </c>
      <c r="H3" t="b">
        <v>1</v>
      </c>
    </row>
    <row r="4" spans="1:8" x14ac:dyDescent="0.3">
      <c r="A4">
        <f t="shared" si="0"/>
        <v>3</v>
      </c>
      <c r="B4">
        <v>1</v>
      </c>
      <c r="C4" t="e" cm="1">
        <f t="array" ref="C4">GetValue("Db",B4,"Name")</f>
        <v>#VALUE!</v>
      </c>
      <c r="D4">
        <v>3</v>
      </c>
      <c r="E4" t="str" cm="1">
        <f t="array" ref="E4">GetValue("Tbl",D4,"Name")</f>
        <v>Types</v>
      </c>
      <c r="F4" t="str" cm="1">
        <f t="array" ref="F4">GetValue("Tbl",D4,"Alias")</f>
        <v>Typ</v>
      </c>
      <c r="G4" t="s">
        <v>516</v>
      </c>
      <c r="H4" t="b">
        <v>1</v>
      </c>
    </row>
    <row r="5" spans="1:8" x14ac:dyDescent="0.3">
      <c r="A5">
        <f t="shared" si="0"/>
        <v>4</v>
      </c>
      <c r="B5">
        <v>1</v>
      </c>
      <c r="C5" t="e" cm="1">
        <f t="array" ref="C5">GetValue("Db",B5,"Name")</f>
        <v>#VALUE!</v>
      </c>
      <c r="D5">
        <v>4</v>
      </c>
      <c r="E5" t="str" cm="1">
        <f t="array" ref="E5">GetValue("Tbl",D5,"Name")</f>
        <v>Domains</v>
      </c>
      <c r="F5" t="str" cm="1">
        <f t="array" ref="F5">GetValue("Tbl",D5,"Alias")</f>
        <v>Dmn</v>
      </c>
      <c r="G5" t="s">
        <v>517</v>
      </c>
      <c r="H5" t="b">
        <v>1</v>
      </c>
    </row>
    <row r="6" spans="1:8" x14ac:dyDescent="0.3">
      <c r="A6">
        <f t="shared" si="0"/>
        <v>5</v>
      </c>
      <c r="B6">
        <v>1</v>
      </c>
      <c r="C6" t="e" cm="1">
        <f t="array" ref="C6">GetValue("Db",B6,"Name")</f>
        <v>#VALUE!</v>
      </c>
      <c r="D6">
        <v>5</v>
      </c>
      <c r="E6" t="str" cm="1">
        <f t="array" ref="E6">GetValue("Tbl",D6,"Name")</f>
        <v>Masks</v>
      </c>
      <c r="F6" t="str" cm="1">
        <f t="array" ref="F6">GetValue("Tbl",D6,"Alias")</f>
        <v>Msk</v>
      </c>
      <c r="G6" t="s">
        <v>518</v>
      </c>
      <c r="H6" t="b">
        <v>1</v>
      </c>
    </row>
    <row r="7" spans="1:8" x14ac:dyDescent="0.3">
      <c r="A7">
        <f t="shared" si="0"/>
        <v>6</v>
      </c>
      <c r="B7">
        <v>1</v>
      </c>
      <c r="C7" t="e" cm="1">
        <f t="array" ref="C7">GetValue("Db",B7,"Name")</f>
        <v>#VALUE!</v>
      </c>
      <c r="D7">
        <v>6</v>
      </c>
      <c r="E7" t="str" cm="1">
        <f t="array" ref="E7">GetValue("Tbl",D7,"Name")</f>
        <v>DomainMasks</v>
      </c>
      <c r="F7" t="str" cm="1">
        <f t="array" ref="F7">GetValue("Tbl",D7,"Alias")</f>
        <v>DmnMsk</v>
      </c>
      <c r="G7" t="s">
        <v>519</v>
      </c>
      <c r="H7" t="b">
        <v>1</v>
      </c>
    </row>
    <row r="8" spans="1:8" x14ac:dyDescent="0.3">
      <c r="A8">
        <f t="shared" si="0"/>
        <v>7</v>
      </c>
      <c r="B8">
        <v>1</v>
      </c>
      <c r="C8" t="e" cm="1">
        <f t="array" ref="C8">GetValue("Db",B8,"Name")</f>
        <v>#VALUE!</v>
      </c>
      <c r="D8">
        <v>7</v>
      </c>
      <c r="E8" t="str" cm="1">
        <f t="array" ref="E8">GetValue("Tbl",D8,"Name")</f>
        <v>Groups</v>
      </c>
      <c r="F8" t="str" cm="1">
        <f t="array" ref="F8">GetValue("Tbl",D8,"Alias")</f>
        <v>Grp</v>
      </c>
      <c r="G8" t="s">
        <v>520</v>
      </c>
      <c r="H8" t="b">
        <v>1</v>
      </c>
    </row>
    <row r="9" spans="1:8" x14ac:dyDescent="0.3">
      <c r="A9">
        <f t="shared" si="0"/>
        <v>8</v>
      </c>
      <c r="B9">
        <v>1</v>
      </c>
      <c r="C9" t="e" cm="1">
        <f t="array" ref="C9">GetValue("Db",B9,"Name")</f>
        <v>#VALUE!</v>
      </c>
      <c r="D9">
        <v>8</v>
      </c>
      <c r="E9" t="str" cm="1">
        <f t="array" ref="E9">GetValue("Tbl",D9,"Name")</f>
        <v>Users</v>
      </c>
      <c r="F9" t="str" cm="1">
        <f t="array" ref="F9">GetValue("Tbl",D9,"Alias")</f>
        <v>Usr</v>
      </c>
      <c r="G9" t="s">
        <v>521</v>
      </c>
      <c r="H9" t="b">
        <v>1</v>
      </c>
    </row>
    <row r="10" spans="1:8" x14ac:dyDescent="0.3">
      <c r="A10">
        <f t="shared" ref="A10:A48" si="1">ROW(A10)-1</f>
        <v>9</v>
      </c>
      <c r="B10">
        <v>1</v>
      </c>
      <c r="C10" t="e" cm="1">
        <f t="array" ref="C10">GetValue("Db",B10,"Name")</f>
        <v>#VALUE!</v>
      </c>
      <c r="D10">
        <v>9</v>
      </c>
      <c r="E10" t="str" cm="1">
        <f t="array" ref="E10">GetValue("Tbl",D10,"Name")</f>
        <v>GroupUsers</v>
      </c>
      <c r="F10" t="str" cm="1">
        <f t="array" ref="F10">GetValue("Tbl",D10,"Alias")</f>
        <v>GrpUsr</v>
      </c>
      <c r="G10" t="s">
        <v>584</v>
      </c>
      <c r="H10" t="b">
        <v>1</v>
      </c>
    </row>
    <row r="11" spans="1:8" x14ac:dyDescent="0.3">
      <c r="A11">
        <f t="shared" si="1"/>
        <v>10</v>
      </c>
      <c r="B11">
        <v>1</v>
      </c>
      <c r="C11" t="e" cm="1">
        <f t="array" ref="C11">GetValue("Db",B11,"Name")</f>
        <v>#VALUE!</v>
      </c>
      <c r="D11">
        <v>10</v>
      </c>
      <c r="E11" t="str" cm="1">
        <f t="array" ref="E11">GetValue("Tbl",D11,"Name")</f>
        <v>Systems</v>
      </c>
      <c r="F11" t="str" cm="1">
        <f t="array" ref="F11">GetValue("Tbl",D11,"Alias")</f>
        <v>Sys</v>
      </c>
      <c r="G11" t="s">
        <v>522</v>
      </c>
      <c r="H11" t="b">
        <v>1</v>
      </c>
    </row>
    <row r="12" spans="1:8" x14ac:dyDescent="0.3">
      <c r="A12">
        <f t="shared" si="1"/>
        <v>11</v>
      </c>
      <c r="B12">
        <v>1</v>
      </c>
      <c r="C12" t="e" cm="1">
        <f t="array" ref="C12">GetValue("Db",B12,"Name")</f>
        <v>#VALUE!</v>
      </c>
      <c r="D12">
        <v>11</v>
      </c>
      <c r="E12" t="str" cm="1">
        <f t="array" ref="E12">GetValue("Tbl",D12,"Name")</f>
        <v>SystemGroups</v>
      </c>
      <c r="F12" t="str" cm="1">
        <f t="array" ref="F12">GetValue("Tbl",D12,"Alias")</f>
        <v>SysGrp</v>
      </c>
      <c r="G12" t="s">
        <v>523</v>
      </c>
      <c r="H12" t="b">
        <v>1</v>
      </c>
    </row>
    <row r="13" spans="1:8" x14ac:dyDescent="0.3">
      <c r="A13">
        <f t="shared" ref="A13:A22" si="2">ROW(A13)-1</f>
        <v>12</v>
      </c>
      <c r="B13">
        <v>1</v>
      </c>
      <c r="C13" t="e" cm="1">
        <f t="array" ref="C13">GetValue("Db",B13,"Name")</f>
        <v>#VALUE!</v>
      </c>
      <c r="D13">
        <v>12</v>
      </c>
      <c r="E13" t="str" cm="1">
        <f t="array" ref="E13">GetValue("Tbl",D13,"Name")</f>
        <v>Databases</v>
      </c>
      <c r="F13" t="str" cm="1">
        <f t="array" ref="F13">GetValue("Tbl",D13,"Alias")</f>
        <v>Dtb</v>
      </c>
      <c r="G13" t="s">
        <v>527</v>
      </c>
      <c r="H13" t="b">
        <v>1</v>
      </c>
    </row>
    <row r="14" spans="1:8" x14ac:dyDescent="0.3">
      <c r="A14">
        <f t="shared" si="2"/>
        <v>13</v>
      </c>
      <c r="B14">
        <v>1</v>
      </c>
      <c r="C14" t="e" cm="1">
        <f t="array" ref="C14">GetValue("Db",B14,"Name")</f>
        <v>#VALUE!</v>
      </c>
      <c r="D14">
        <v>13</v>
      </c>
      <c r="E14" t="str" cm="1">
        <f t="array" ref="E14">GetValue("Tbl",D14,"Name")</f>
        <v>Tables</v>
      </c>
      <c r="F14" t="str" cm="1">
        <f t="array" ref="F14">GetValue("Tbl",D14,"Alias")</f>
        <v>Tbl</v>
      </c>
      <c r="G14" t="s">
        <v>528</v>
      </c>
      <c r="H14" t="b">
        <v>1</v>
      </c>
    </row>
    <row r="15" spans="1:8" x14ac:dyDescent="0.3">
      <c r="A15">
        <f t="shared" si="2"/>
        <v>14</v>
      </c>
      <c r="B15">
        <v>1</v>
      </c>
      <c r="C15" t="e" cm="1">
        <f t="array" ref="C15">GetValue("Db",B15,"Name")</f>
        <v>#VALUE!</v>
      </c>
      <c r="D15">
        <v>14</v>
      </c>
      <c r="E15" t="str" cm="1">
        <f t="array" ref="E15">GetValue("Tbl",D15,"Name")</f>
        <v>Ranks</v>
      </c>
      <c r="F15" t="str" cm="1">
        <f t="array" ref="F15">GetValue("Tbl",D15,"Alias")</f>
        <v>Rnk</v>
      </c>
      <c r="G15" t="s">
        <v>686</v>
      </c>
      <c r="H15" t="b">
        <v>1</v>
      </c>
    </row>
    <row r="16" spans="1:8" x14ac:dyDescent="0.3">
      <c r="A16">
        <f t="shared" si="2"/>
        <v>15</v>
      </c>
      <c r="B16">
        <v>1</v>
      </c>
      <c r="C16" t="e" cm="1">
        <f t="array" ref="C16">GetValue("Db",B16,"Name")</f>
        <v>#VALUE!</v>
      </c>
      <c r="D16">
        <v>14</v>
      </c>
      <c r="E16" t="str" cm="1">
        <f t="array" ref="E16">GetValue("Tbl",D16,"Name")</f>
        <v>Ranks</v>
      </c>
      <c r="F16" t="str" cm="1">
        <f t="array" ref="F16">GetValue("Tbl",D16,"Alias")</f>
        <v>Rnk</v>
      </c>
      <c r="G16" t="s">
        <v>524</v>
      </c>
      <c r="H16" t="b">
        <v>1</v>
      </c>
    </row>
    <row r="17" spans="1:8" x14ac:dyDescent="0.3">
      <c r="A17">
        <f t="shared" si="2"/>
        <v>16</v>
      </c>
      <c r="B17">
        <v>1</v>
      </c>
      <c r="C17" t="e" cm="1">
        <f t="array" ref="C17">GetValue("Db",B17,"Name")</f>
        <v>#VALUE!</v>
      </c>
      <c r="D17">
        <v>14</v>
      </c>
      <c r="E17" t="str" cm="1">
        <f t="array" ref="E17">GetValue("Tbl",D17,"Name")</f>
        <v>Ranks</v>
      </c>
      <c r="F17" t="str" cm="1">
        <f t="array" ref="F17">GetValue("Tbl",D17,"Alias")</f>
        <v>Rnk</v>
      </c>
      <c r="G17" t="s">
        <v>525</v>
      </c>
      <c r="H17" t="b">
        <v>1</v>
      </c>
    </row>
    <row r="18" spans="1:8" x14ac:dyDescent="0.3">
      <c r="A18">
        <f t="shared" si="2"/>
        <v>17</v>
      </c>
      <c r="B18">
        <v>1</v>
      </c>
      <c r="C18" t="e" cm="1">
        <f t="array" ref="C18">GetValue("Db",B18,"Name")</f>
        <v>#VALUE!</v>
      </c>
      <c r="D18">
        <v>15</v>
      </c>
      <c r="E18" t="str" cm="1">
        <f t="array" ref="E18">GetValue("Tbl",D18,"Name")</f>
        <v>DatabaseTables</v>
      </c>
      <c r="F18" t="str" cm="1">
        <f t="array" ref="F18">GetValue("Tbl",D18,"Alias")</f>
        <v>DtbTbl</v>
      </c>
      <c r="G18" t="s">
        <v>529</v>
      </c>
      <c r="H18" t="b">
        <v>1</v>
      </c>
    </row>
    <row r="19" spans="1:8" x14ac:dyDescent="0.3">
      <c r="A19">
        <f t="shared" si="2"/>
        <v>18</v>
      </c>
      <c r="B19">
        <v>1</v>
      </c>
      <c r="C19" t="e" cm="1">
        <f t="array" ref="C19">GetValue("Db",B19,"Name")</f>
        <v>#VALUE!</v>
      </c>
      <c r="D19">
        <v>15</v>
      </c>
      <c r="E19" t="str" cm="1">
        <f t="array" ref="E19">GetValue("Tbl",D19,"Name")</f>
        <v>DatabaseTables</v>
      </c>
      <c r="F19" t="str" cm="1">
        <f t="array" ref="F19">GetValue("Tbl",D19,"Alias")</f>
        <v>DtbTbl</v>
      </c>
      <c r="G19" t="s">
        <v>530</v>
      </c>
      <c r="H19" t="b">
        <v>1</v>
      </c>
    </row>
    <row r="20" spans="1:8" x14ac:dyDescent="0.3">
      <c r="A20">
        <f t="shared" si="2"/>
        <v>19</v>
      </c>
      <c r="B20">
        <v>1</v>
      </c>
      <c r="C20" t="e" cm="1">
        <f t="array" ref="C20">GetValue("Db",B20,"Name")</f>
        <v>#VALUE!</v>
      </c>
      <c r="D20">
        <v>15</v>
      </c>
      <c r="E20" t="str" cm="1">
        <f t="array" ref="E20">GetValue("Tbl",D20,"Name")</f>
        <v>DatabaseTables</v>
      </c>
      <c r="F20" t="str" cm="1">
        <f t="array" ref="F20">GetValue("Tbl",D20,"Alias")</f>
        <v>DtbTbl</v>
      </c>
      <c r="G20" t="s">
        <v>583</v>
      </c>
      <c r="H20" t="b">
        <v>1</v>
      </c>
    </row>
    <row r="21" spans="1:8" x14ac:dyDescent="0.3">
      <c r="A21">
        <f t="shared" si="2"/>
        <v>20</v>
      </c>
      <c r="B21">
        <v>1</v>
      </c>
      <c r="C21" t="e" cm="1">
        <f t="array" ref="C21">GetValue("Db",B21,"Name")</f>
        <v>#VALUE!</v>
      </c>
      <c r="D21">
        <v>16</v>
      </c>
      <c r="E21" t="str" cm="1">
        <f t="array" ref="E21">GetValue("Tbl",D21,"Name")</f>
        <v>Columns</v>
      </c>
      <c r="F21" t="str" cm="1">
        <f t="array" ref="F21">GetValue("Tbl",D21,"Alias")</f>
        <v>Col</v>
      </c>
      <c r="G21" t="s">
        <v>684</v>
      </c>
      <c r="H21" t="b">
        <v>1</v>
      </c>
    </row>
    <row r="22" spans="1:8" x14ac:dyDescent="0.3">
      <c r="A22">
        <f t="shared" si="2"/>
        <v>21</v>
      </c>
      <c r="B22">
        <v>1</v>
      </c>
      <c r="C22" t="e" cm="1">
        <f t="array" ref="C22">GetValue("Db",B22,"Name")</f>
        <v>#VALUE!</v>
      </c>
      <c r="D22">
        <v>17</v>
      </c>
      <c r="E22" t="str" cm="1">
        <f t="array" ref="E22">GetValue("Tbl",D22,"Name")</f>
        <v>Relations</v>
      </c>
      <c r="F22" t="str" cm="1">
        <f t="array" ref="F22">GetValue("Tbl",D22,"Alias")</f>
        <v>Rel</v>
      </c>
      <c r="G22" t="s">
        <v>685</v>
      </c>
      <c r="H22" t="b">
        <v>1</v>
      </c>
    </row>
    <row r="23" spans="1:8" x14ac:dyDescent="0.3">
      <c r="A23">
        <f t="shared" si="1"/>
        <v>22</v>
      </c>
      <c r="B23">
        <v>1</v>
      </c>
      <c r="C23" t="e" cm="1">
        <f t="array" ref="C23">GetValue("Db",B23,"Name")</f>
        <v>#VALUE!</v>
      </c>
      <c r="D23">
        <v>18</v>
      </c>
      <c r="E23" t="str" cm="1">
        <f t="array" ref="E23">GetValue("Tbl",D23,"Name")</f>
        <v>Uniquelesses</v>
      </c>
      <c r="F23" t="str" cm="1">
        <f t="array" ref="F23">GetValue("Tbl",D23,"Alias")</f>
        <v>Unq</v>
      </c>
      <c r="G23" t="s">
        <v>531</v>
      </c>
      <c r="H23" t="b">
        <v>1</v>
      </c>
    </row>
    <row r="24" spans="1:8" x14ac:dyDescent="0.3">
      <c r="A24">
        <f t="shared" si="1"/>
        <v>23</v>
      </c>
      <c r="B24">
        <v>1</v>
      </c>
      <c r="C24" t="e" cm="1">
        <f t="array" ref="C24">GetValue("Db",B24,"Name")</f>
        <v>#VALUE!</v>
      </c>
      <c r="D24">
        <v>18</v>
      </c>
      <c r="E24" t="str" cm="1">
        <f t="array" ref="E24">GetValue("Tbl",D24,"Name")</f>
        <v>Uniquelesses</v>
      </c>
      <c r="F24" t="str" cm="1">
        <f t="array" ref="F24">GetValue("Tbl",D24,"Alias")</f>
        <v>Unq</v>
      </c>
      <c r="G24" t="s">
        <v>596</v>
      </c>
      <c r="H24" t="b">
        <v>1</v>
      </c>
    </row>
    <row r="25" spans="1:8" x14ac:dyDescent="0.3">
      <c r="A25">
        <f t="shared" si="1"/>
        <v>24</v>
      </c>
      <c r="B25">
        <v>1</v>
      </c>
      <c r="C25" t="e" cm="1">
        <f t="array" ref="C25">GetValue("Db",B25,"Name")</f>
        <v>#VALUE!</v>
      </c>
      <c r="D25">
        <v>19</v>
      </c>
      <c r="E25" t="str" cm="1">
        <f t="array" ref="E25">GetValue("Tbl",D25,"Name")</f>
        <v>Requirements</v>
      </c>
      <c r="F25" t="str" cm="1">
        <f t="array" ref="F25">GetValue("Tbl",D25,"Alias")</f>
        <v>Req</v>
      </c>
      <c r="G25" t="s">
        <v>532</v>
      </c>
      <c r="H25" t="b">
        <v>1</v>
      </c>
    </row>
    <row r="26" spans="1:8" x14ac:dyDescent="0.3">
      <c r="A26">
        <f>ROW(A26)-1</f>
        <v>25</v>
      </c>
      <c r="B26">
        <v>1</v>
      </c>
      <c r="C26" t="e" cm="1">
        <f t="array" ref="C26">GetValue("Db",B26,"Name")</f>
        <v>#VALUE!</v>
      </c>
      <c r="D26">
        <v>20</v>
      </c>
      <c r="E26" t="str" cm="1">
        <f t="array" ref="E26">GetValue("Tbl",D26,"Name")</f>
        <v>Indexes</v>
      </c>
      <c r="F26" t="str" cm="1">
        <f t="array" ref="F26">GetValue("Tbl",D26,"Alias")</f>
        <v>Idx</v>
      </c>
      <c r="G26" t="s">
        <v>534</v>
      </c>
      <c r="H26" t="b">
        <v>1</v>
      </c>
    </row>
    <row r="27" spans="1:8" x14ac:dyDescent="0.3">
      <c r="A27">
        <f>ROW(A27)-1</f>
        <v>26</v>
      </c>
      <c r="B27">
        <v>1</v>
      </c>
      <c r="C27" t="e" cm="1">
        <f t="array" ref="C27">GetValue("Db",B27,"Name")</f>
        <v>#VALUE!</v>
      </c>
      <c r="D27">
        <v>20</v>
      </c>
      <c r="E27" t="str" cm="1">
        <f t="array" ref="E27">GetValue("Tbl",D27,"Name")</f>
        <v>Indexes</v>
      </c>
      <c r="F27" t="str" cm="1">
        <f t="array" ref="F27">GetValue("Tbl",D27,"Alias")</f>
        <v>Idx</v>
      </c>
      <c r="G27" t="s">
        <v>533</v>
      </c>
      <c r="H27" t="b">
        <v>1</v>
      </c>
    </row>
    <row r="28" spans="1:8" x14ac:dyDescent="0.3">
      <c r="A28">
        <f t="shared" si="1"/>
        <v>27</v>
      </c>
      <c r="B28">
        <v>1</v>
      </c>
      <c r="C28" t="e" cm="1">
        <f t="array" ref="C28">GetValue("Db",B28,"Name")</f>
        <v>#VALUE!</v>
      </c>
      <c r="D28">
        <v>21</v>
      </c>
      <c r="E28" t="str" cm="1">
        <f t="array" ref="E28">GetValue("Tbl",D28,"Name")</f>
        <v>IndexKeys</v>
      </c>
      <c r="F28" t="str" cm="1">
        <f t="array" ref="F28">GetValue("Tbl",D28,"Alias")</f>
        <v>IdxKey</v>
      </c>
      <c r="G28" t="s">
        <v>535</v>
      </c>
      <c r="H28" t="b">
        <v>1</v>
      </c>
    </row>
    <row r="29" spans="1:8" x14ac:dyDescent="0.3">
      <c r="A29">
        <f>ROW(A29)-1</f>
        <v>28</v>
      </c>
      <c r="B29">
        <v>1</v>
      </c>
      <c r="C29" t="e" cm="1">
        <f t="array" ref="C29">GetValue("Db",B29,"Name")</f>
        <v>#VALUE!</v>
      </c>
      <c r="D29">
        <v>22</v>
      </c>
      <c r="E29" t="str" cm="1">
        <f t="array" ref="E29">GetValue("Tbl",D29,"Name")</f>
        <v>IndexIncludes</v>
      </c>
      <c r="F29" t="str" cm="1">
        <f t="array" ref="F29">GetValue("Tbl",D29,"Alias")</f>
        <v>IdxInc</v>
      </c>
      <c r="G29" t="s">
        <v>536</v>
      </c>
      <c r="H29" t="b">
        <v>1</v>
      </c>
    </row>
    <row r="30" spans="1:8" x14ac:dyDescent="0.3">
      <c r="A30">
        <f t="shared" si="1"/>
        <v>29</v>
      </c>
      <c r="B30">
        <v>1</v>
      </c>
      <c r="C30" t="e" cm="1">
        <f t="array" ref="C30">GetValue("Db",B30,"Name")</f>
        <v>#VALUE!</v>
      </c>
      <c r="D30">
        <v>23</v>
      </c>
      <c r="E30" t="str" cm="1">
        <f t="array" ref="E30">GetValue("Tbl",D30,"Name")</f>
        <v>Connections</v>
      </c>
      <c r="F30" t="str" cm="1">
        <f t="array" ref="F30">GetValue("Tbl",D30,"Alias")</f>
        <v>Con</v>
      </c>
      <c r="G30" t="s">
        <v>537</v>
      </c>
      <c r="H30" t="b">
        <v>1</v>
      </c>
    </row>
    <row r="31" spans="1:8" x14ac:dyDescent="0.3">
      <c r="A31">
        <f t="shared" si="1"/>
        <v>30</v>
      </c>
      <c r="B31">
        <v>1</v>
      </c>
      <c r="C31" t="e" cm="1">
        <f t="array" ref="C31">GetValue("Db",B31,"Name")</f>
        <v>#VALUE!</v>
      </c>
      <c r="D31">
        <v>24</v>
      </c>
      <c r="E31" t="str" cm="1">
        <f t="array" ref="E31">GetValue("Tbl",D31,"Name")</f>
        <v>Environments</v>
      </c>
      <c r="F31" t="str" cm="1">
        <f t="array" ref="F31">GetValue("Tbl",D31,"Alias")</f>
        <v>Env</v>
      </c>
      <c r="G31" t="s">
        <v>572</v>
      </c>
      <c r="H31" t="b">
        <v>1</v>
      </c>
    </row>
    <row r="32" spans="1:8" x14ac:dyDescent="0.3">
      <c r="A32">
        <f t="shared" si="1"/>
        <v>31</v>
      </c>
      <c r="B32">
        <v>1</v>
      </c>
      <c r="C32" t="e" cm="1">
        <f t="array" ref="C32">GetValue("Db",B32,"Name")</f>
        <v>#VALUE!</v>
      </c>
      <c r="D32">
        <v>25</v>
      </c>
      <c r="E32" t="str" cm="1">
        <f t="array" ref="E32">GetValue("Tbl",D32,"Name")</f>
        <v>DatabaseEnvironments</v>
      </c>
      <c r="F32" t="str" cm="1">
        <f t="array" ref="F32">GetValue("Tbl",D32,"Alias")</f>
        <v>DtbEnv</v>
      </c>
      <c r="G32" t="s">
        <v>573</v>
      </c>
      <c r="H32" t="b">
        <v>1</v>
      </c>
    </row>
    <row r="33" spans="1:8" x14ac:dyDescent="0.3">
      <c r="A33">
        <f t="shared" si="1"/>
        <v>32</v>
      </c>
      <c r="B33">
        <v>1</v>
      </c>
      <c r="C33" t="e" cm="1">
        <f t="array" ref="C33">GetValue("Db",B33,"Name")</f>
        <v>#VALUE!</v>
      </c>
      <c r="D33">
        <v>25</v>
      </c>
      <c r="E33" t="str" cm="1">
        <f t="array" ref="E33">GetValue("Tbl",D33,"Name")</f>
        <v>DatabaseEnvironments</v>
      </c>
      <c r="F33" t="str" cm="1">
        <f t="array" ref="F33">GetValue("Tbl",D33,"Alias")</f>
        <v>DtbEnv</v>
      </c>
      <c r="G33" t="s">
        <v>574</v>
      </c>
      <c r="H33" t="b">
        <v>1</v>
      </c>
    </row>
    <row r="34" spans="1:8" x14ac:dyDescent="0.3">
      <c r="A34">
        <f>ROW(A34)-1</f>
        <v>33</v>
      </c>
      <c r="B34">
        <v>1</v>
      </c>
      <c r="C34" t="e" cm="1">
        <f t="array" ref="C34">GetValue("Db",B34,"Name")</f>
        <v>#VALUE!</v>
      </c>
      <c r="D34">
        <v>26</v>
      </c>
      <c r="E34" t="str" cm="1">
        <f t="array" ref="E34">GetValue("Tbl",D34,"Name")</f>
        <v>Sessions</v>
      </c>
      <c r="F34" t="str" cm="1">
        <f t="array" ref="F34">GetValue("Tbl",D34,"Alias")</f>
        <v>Ses</v>
      </c>
      <c r="G34" t="s">
        <v>575</v>
      </c>
      <c r="H34" t="b">
        <v>1</v>
      </c>
    </row>
    <row r="35" spans="1:8" x14ac:dyDescent="0.3">
      <c r="A35">
        <f>ROW(A35)-1</f>
        <v>34</v>
      </c>
      <c r="B35">
        <v>1</v>
      </c>
      <c r="C35" t="e" cm="1">
        <f t="array" ref="C35">GetValue("Db",B35,"Name")</f>
        <v>#VALUE!</v>
      </c>
      <c r="D35">
        <v>27</v>
      </c>
      <c r="E35" t="str" cm="1">
        <f t="array" ref="E35">GetValue("Tbl",D35,"Name")</f>
        <v>Transactions</v>
      </c>
      <c r="F35" t="str" cm="1">
        <f t="array" ref="F35">GetValue("Tbl",D35,"Alias")</f>
        <v>Trs</v>
      </c>
      <c r="G35" t="s">
        <v>585</v>
      </c>
      <c r="H35" t="b">
        <v>1</v>
      </c>
    </row>
    <row r="36" spans="1:8" x14ac:dyDescent="0.3">
      <c r="A36">
        <f>ROW(A36)-1</f>
        <v>35</v>
      </c>
      <c r="B36">
        <v>1</v>
      </c>
      <c r="C36" t="e" cm="1">
        <f t="array" ref="C36">GetValue("Db",B36,"Name")</f>
        <v>#VALUE!</v>
      </c>
      <c r="D36">
        <v>28</v>
      </c>
      <c r="E36" t="str" cm="1">
        <f t="array" ref="E36">GetValue("Tbl",D36,"Name")</f>
        <v>Operations</v>
      </c>
      <c r="F36" t="str" cm="1">
        <f t="array" ref="F36">GetValue("Tbl",D36,"Alias")</f>
        <v>Ope</v>
      </c>
      <c r="G36" t="s">
        <v>526</v>
      </c>
      <c r="H36" t="b">
        <v>1</v>
      </c>
    </row>
    <row r="37" spans="1:8" x14ac:dyDescent="0.3">
      <c r="A37">
        <f>ROW(A37)-1</f>
        <v>36</v>
      </c>
      <c r="B37">
        <v>1</v>
      </c>
      <c r="C37" t="e" cm="1">
        <f t="array" ref="C37">GetValue("Db",B37,"Name")</f>
        <v>#VALUE!</v>
      </c>
      <c r="D37">
        <v>29</v>
      </c>
      <c r="E37" t="str" cm="1">
        <f t="array" ref="E37">GetValue("Tbl",D37,"Name")</f>
        <v>Snipers</v>
      </c>
      <c r="F37" t="str" cm="1">
        <f t="array" ref="F37">GetValue("Tbl",D37,"Alias")</f>
        <v>Snp</v>
      </c>
      <c r="G37" t="s">
        <v>683</v>
      </c>
      <c r="H37" t="b">
        <v>1</v>
      </c>
    </row>
    <row r="38" spans="1:8" x14ac:dyDescent="0.3">
      <c r="A38">
        <f t="shared" si="1"/>
        <v>37</v>
      </c>
      <c r="B38">
        <v>1</v>
      </c>
      <c r="C38" t="e" cm="1">
        <f t="array" ref="C38">GetValue("Db",B38,"Name")</f>
        <v>#VALUE!</v>
      </c>
      <c r="D38">
        <v>30</v>
      </c>
      <c r="E38" t="str" cm="1">
        <f t="array" ref="E38">GetValue("Tbl",D38,"Name")</f>
        <v>SniperScripts</v>
      </c>
      <c r="F38" t="str" cm="1">
        <f t="array" ref="F38">GetValue("Tbl",D38,"Alias")</f>
        <v>SnpScr</v>
      </c>
      <c r="G38" t="s">
        <v>571</v>
      </c>
      <c r="H38" t="b">
        <v>0</v>
      </c>
    </row>
    <row r="39" spans="1:8" x14ac:dyDescent="0.3">
      <c r="A39">
        <f t="shared" si="1"/>
        <v>38</v>
      </c>
      <c r="B39">
        <v>1</v>
      </c>
      <c r="C39" t="e" cm="1">
        <f t="array" ref="C39">GetValue("Db",B39,"Name")</f>
        <v>#VALUE!</v>
      </c>
      <c r="D39">
        <v>31</v>
      </c>
      <c r="E39" t="str" cm="1">
        <f t="array" ref="E39">GetValue("Tbl",D39,"Name")</f>
        <v>Periodicities</v>
      </c>
      <c r="F39" t="str" cm="1">
        <f t="array" ref="F39">GetValue("Tbl",D39,"Alias")</f>
        <v>Prd</v>
      </c>
      <c r="G39" t="s">
        <v>576</v>
      </c>
      <c r="H39" t="b">
        <v>0</v>
      </c>
    </row>
    <row r="40" spans="1:8" x14ac:dyDescent="0.3">
      <c r="A40">
        <f t="shared" si="1"/>
        <v>39</v>
      </c>
      <c r="B40">
        <v>1</v>
      </c>
      <c r="C40" t="e" cm="1">
        <f t="array" ref="C40">GetValue("Db",B40,"Name")</f>
        <v>#VALUE!</v>
      </c>
      <c r="D40">
        <v>32</v>
      </c>
      <c r="E40" t="str" cm="1">
        <f t="array" ref="E40">GetValue("Tbl",D40,"Name")</f>
        <v>Schedulers</v>
      </c>
      <c r="F40" t="str" cm="1">
        <f t="array" ref="F40">GetValue("Tbl",D40,"Alias")</f>
        <v>Sch</v>
      </c>
      <c r="G40" t="s">
        <v>577</v>
      </c>
      <c r="H40" t="b">
        <v>0</v>
      </c>
    </row>
    <row r="41" spans="1:8" x14ac:dyDescent="0.3">
      <c r="A41">
        <f t="shared" si="1"/>
        <v>40</v>
      </c>
      <c r="B41">
        <v>1</v>
      </c>
      <c r="C41" t="e" cm="1">
        <f t="array" ref="C41">GetValue("Db",B41,"Name")</f>
        <v>#VALUE!</v>
      </c>
      <c r="D41">
        <v>33</v>
      </c>
      <c r="E41" t="str" cm="1">
        <f t="array" ref="E41">GetValue("Tbl",D41,"Name")</f>
        <v>SchedulerScripts</v>
      </c>
      <c r="F41" t="str" cm="1">
        <f t="array" ref="F41">GetValue("Tbl",D41,"Alias")</f>
        <v>SchScr</v>
      </c>
      <c r="G41" t="s">
        <v>538</v>
      </c>
      <c r="H41" t="b">
        <v>1</v>
      </c>
    </row>
    <row r="42" spans="1:8" x14ac:dyDescent="0.3">
      <c r="A42">
        <f t="shared" si="1"/>
        <v>41</v>
      </c>
      <c r="B42">
        <v>1</v>
      </c>
      <c r="C42" t="e" cm="1">
        <f t="array" ref="C42">GetValue("Db",B42,"Name")</f>
        <v>#VALUE!</v>
      </c>
      <c r="D42">
        <v>33</v>
      </c>
      <c r="E42" t="str" cm="1">
        <f t="array" ref="E42">GetValue("Tbl",D42,"Name")</f>
        <v>SchedulerScripts</v>
      </c>
      <c r="F42" t="str" cm="1">
        <f t="array" ref="F42">GetValue("Tbl",D42,"Alias")</f>
        <v>SchScr</v>
      </c>
      <c r="G42" t="s">
        <v>578</v>
      </c>
      <c r="H42" t="b">
        <v>1</v>
      </c>
    </row>
    <row r="43" spans="1:8" x14ac:dyDescent="0.3">
      <c r="A43">
        <f t="shared" si="1"/>
        <v>42</v>
      </c>
      <c r="B43">
        <v>1</v>
      </c>
      <c r="C43" t="e" cm="1">
        <f t="array" ref="C43">GetValue("Db",B43,"Name")</f>
        <v>#VALUE!</v>
      </c>
      <c r="D43">
        <v>34</v>
      </c>
      <c r="E43" t="str" cm="1">
        <f t="array" ref="E43">GetValue("Tbl",D43,"Name")</f>
        <v>Operators</v>
      </c>
      <c r="F43" t="str" cm="1">
        <f t="array" ref="F43">GetValue("Tbl",D43,"Alias")</f>
        <v>Opr</v>
      </c>
      <c r="G43" t="s">
        <v>592</v>
      </c>
      <c r="H43" t="b">
        <v>1</v>
      </c>
    </row>
    <row r="44" spans="1:8" x14ac:dyDescent="0.3">
      <c r="A44">
        <f t="shared" si="1"/>
        <v>43</v>
      </c>
      <c r="B44">
        <v>1</v>
      </c>
      <c r="C44" t="e" cm="1">
        <f t="array" ref="C44">GetValue("Db",B44,"Name")</f>
        <v>#VALUE!</v>
      </c>
      <c r="D44">
        <v>34</v>
      </c>
      <c r="E44" t="str" cm="1">
        <f t="array" ref="E44">GetValue("Tbl",D44,"Name")</f>
        <v>Operators</v>
      </c>
      <c r="F44" t="str" cm="1">
        <f t="array" ref="F44">GetValue("Tbl",D44,"Alias")</f>
        <v>Opr</v>
      </c>
      <c r="G44" t="s">
        <v>579</v>
      </c>
      <c r="H44" t="b">
        <v>1</v>
      </c>
    </row>
    <row r="45" spans="1:8" x14ac:dyDescent="0.3">
      <c r="A45">
        <f t="shared" si="1"/>
        <v>44</v>
      </c>
      <c r="B45">
        <v>1</v>
      </c>
      <c r="C45" t="e" cm="1">
        <f t="array" ref="C45">GetValue("Db",B45,"Name")</f>
        <v>#VALUE!</v>
      </c>
      <c r="D45">
        <v>35</v>
      </c>
      <c r="E45" t="str" cm="1">
        <f t="array" ref="E45">GetValue("Tbl",D45,"Name")</f>
        <v>Properties</v>
      </c>
      <c r="F45" t="str" cm="1">
        <f t="array" ref="F45">GetValue("Tbl",D45,"Alias")</f>
        <v>Prp</v>
      </c>
      <c r="G45" t="s">
        <v>580</v>
      </c>
      <c r="H45" t="b">
        <v>1</v>
      </c>
    </row>
    <row r="46" spans="1:8" x14ac:dyDescent="0.3">
      <c r="A46">
        <f t="shared" si="1"/>
        <v>45</v>
      </c>
      <c r="B46">
        <v>1</v>
      </c>
      <c r="C46" t="e" cm="1">
        <f t="array" ref="C46">GetValue("Db",B46,"Name")</f>
        <v>#VALUE!</v>
      </c>
      <c r="D46">
        <v>36</v>
      </c>
      <c r="E46" t="str" cm="1">
        <f t="array" ref="E46">GetValue("Tbl",D46,"Name")</f>
        <v>Behaviors</v>
      </c>
      <c r="F46" t="str" cm="1">
        <f t="array" ref="F46">GetValue("Tbl",D46,"Alias")</f>
        <v>Bhv</v>
      </c>
      <c r="G46" t="s">
        <v>581</v>
      </c>
      <c r="H46" t="b">
        <v>1</v>
      </c>
    </row>
    <row r="47" spans="1:8" x14ac:dyDescent="0.3">
      <c r="A47">
        <f t="shared" si="1"/>
        <v>46</v>
      </c>
      <c r="B47">
        <v>1</v>
      </c>
      <c r="C47" t="e" cm="1">
        <f t="array" ref="C47">GetValue("Db",B47,"Name")</f>
        <v>#VALUE!</v>
      </c>
      <c r="D47">
        <v>37</v>
      </c>
      <c r="E47" t="str" cm="1">
        <f t="array" ref="E47">GetValue("Tbl",D47,"Name")</f>
        <v>BehaviorChecks</v>
      </c>
      <c r="F47" t="str" cm="1">
        <f t="array" ref="F47">GetValue("Tbl",D47,"Alias")</f>
        <v>BhvChk</v>
      </c>
      <c r="G47" t="s">
        <v>594</v>
      </c>
      <c r="H47" t="b">
        <v>1</v>
      </c>
    </row>
    <row r="48" spans="1:8" x14ac:dyDescent="0.3">
      <c r="A48">
        <f t="shared" si="1"/>
        <v>47</v>
      </c>
      <c r="B48">
        <v>1</v>
      </c>
      <c r="C48" t="e" cm="1">
        <f t="array" ref="C48">GetValue("Db",B48,"Name")</f>
        <v>#VALUE!</v>
      </c>
      <c r="D48">
        <v>37</v>
      </c>
      <c r="E48" t="str" cm="1">
        <f t="array" ref="E48">GetValue("Tbl",D48,"Name")</f>
        <v>BehaviorChecks</v>
      </c>
      <c r="F48" t="str" cm="1">
        <f t="array" ref="F48">GetValue("Tbl",D48,"Alias")</f>
        <v>BhvChk</v>
      </c>
      <c r="G48" t="s">
        <v>582</v>
      </c>
      <c r="H4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dxKey"/>
  <dimension ref="A1:G70"/>
  <sheetViews>
    <sheetView workbookViewId="0">
      <pane ySplit="1" topLeftCell="A14" activePane="bottomLeft" state="frozen"/>
      <selection pane="bottomLeft" activeCell="C26" sqref="C26"/>
    </sheetView>
  </sheetViews>
  <sheetFormatPr defaultRowHeight="14.4" x14ac:dyDescent="0.3"/>
  <cols>
    <col min="1" max="1" width="3" bestFit="1" customWidth="1"/>
    <col min="2" max="2" width="7.33203125" customWidth="1"/>
    <col min="3" max="3" width="50.44140625" bestFit="1" customWidth="1"/>
    <col min="4" max="4" width="9.21875" bestFit="1" customWidth="1"/>
    <col min="5" max="5" width="25.6640625" bestFit="1" customWidth="1"/>
    <col min="6" max="6" width="9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150</v>
      </c>
      <c r="C1" s="1" t="s">
        <v>179</v>
      </c>
      <c r="D1" s="1" t="s">
        <v>152</v>
      </c>
      <c r="E1" s="1" t="s">
        <v>180</v>
      </c>
      <c r="F1" s="1" t="s">
        <v>49</v>
      </c>
      <c r="G1" s="1" t="s">
        <v>154</v>
      </c>
    </row>
    <row r="2" spans="1:7" x14ac:dyDescent="0.3">
      <c r="A2">
        <f>ROW(A2)-1</f>
        <v>1</v>
      </c>
      <c r="B2">
        <v>1</v>
      </c>
      <c r="C2" t="str" cm="1">
        <f t="array" ref="C2">GetValue("Idx",B2,"Name")</f>
        <v>UNQ_Cli_Name</v>
      </c>
      <c r="D2">
        <v>2</v>
      </c>
      <c r="E2" t="str" cm="1">
        <f t="array" ref="E2">GetValue("Col",D2,"Name")</f>
        <v>Name (Cli)</v>
      </c>
      <c r="F2">
        <v>5</v>
      </c>
      <c r="G2" t="b">
        <v>0</v>
      </c>
    </row>
    <row r="3" spans="1:7" x14ac:dyDescent="0.3">
      <c r="A3">
        <f t="shared" ref="A3:A70" si="0">ROW(A3)-1</f>
        <v>2</v>
      </c>
      <c r="B3">
        <v>2</v>
      </c>
      <c r="C3" t="str" cm="1">
        <f t="array" ref="C3">GetValue("Idx",B3,"Name")</f>
        <v>UNQ_Eng_Name</v>
      </c>
      <c r="D3">
        <v>6</v>
      </c>
      <c r="E3" t="str" cm="1">
        <f t="array" ref="E3">GetValue("Col",D3,"Name")</f>
        <v>Name (Cat)</v>
      </c>
      <c r="F3">
        <v>5</v>
      </c>
      <c r="G3" t="b">
        <v>0</v>
      </c>
    </row>
    <row r="4" spans="1:7" x14ac:dyDescent="0.3">
      <c r="A4">
        <f t="shared" si="0"/>
        <v>3</v>
      </c>
      <c r="B4">
        <v>3</v>
      </c>
      <c r="C4" t="str" cm="1">
        <f t="array" ref="C4">GetValue("Idx",B4,"Name")</f>
        <v>UNQ_Cat_Name</v>
      </c>
      <c r="D4">
        <v>14</v>
      </c>
      <c r="E4" t="str" cm="1">
        <f t="array" ref="E4">GetValue("Col",D4,"Name")</f>
        <v>AskGridable (Cat)</v>
      </c>
      <c r="F4">
        <v>5</v>
      </c>
      <c r="G4" t="b">
        <v>0</v>
      </c>
    </row>
    <row r="5" spans="1:7" x14ac:dyDescent="0.3">
      <c r="A5">
        <f t="shared" si="0"/>
        <v>4</v>
      </c>
      <c r="B5">
        <v>4</v>
      </c>
      <c r="C5" t="str" cm="1">
        <f t="array" ref="C5">GetValue("Idx",B5,"Name")</f>
        <v>UNQ_Typ_EngineId_Name</v>
      </c>
      <c r="D5">
        <v>27</v>
      </c>
      <c r="E5" t="str" cm="1">
        <f t="array" ref="E5">GetValue("Col",D5,"Name")</f>
        <v>Name (Grp)</v>
      </c>
      <c r="F5">
        <v>5</v>
      </c>
      <c r="G5" t="b">
        <v>0</v>
      </c>
    </row>
    <row r="6" spans="1:7" x14ac:dyDescent="0.3">
      <c r="A6">
        <f t="shared" si="0"/>
        <v>5</v>
      </c>
      <c r="B6">
        <v>4</v>
      </c>
      <c r="C6" t="str" cm="1">
        <f t="array" ref="C6">GetValue("Idx",B6,"Name")</f>
        <v>UNQ_Typ_EngineId_Name</v>
      </c>
      <c r="D6">
        <v>29</v>
      </c>
      <c r="E6" t="str" cm="1">
        <f t="array" ref="E6">GetValue("Col",D6,"Name")</f>
        <v>Id (Usr)</v>
      </c>
      <c r="F6">
        <v>5</v>
      </c>
      <c r="G6" t="b">
        <v>0</v>
      </c>
    </row>
    <row r="7" spans="1:7" x14ac:dyDescent="0.3">
      <c r="A7">
        <f t="shared" si="0"/>
        <v>6</v>
      </c>
      <c r="B7">
        <v>5</v>
      </c>
      <c r="C7" t="str" cm="1">
        <f t="array" ref="C7">GetValue("Idx",B7,"Name")</f>
        <v>UNQ_Grp_Name</v>
      </c>
      <c r="D7">
        <v>36</v>
      </c>
      <c r="E7" t="str" cm="1">
        <f t="array" ref="E7">GetValue("Col",D7,"Name")</f>
        <v>UserId (Grp)</v>
      </c>
      <c r="F7">
        <v>5</v>
      </c>
      <c r="G7" t="b">
        <v>0</v>
      </c>
    </row>
    <row r="8" spans="1:7" x14ac:dyDescent="0.3">
      <c r="A8">
        <f t="shared" si="0"/>
        <v>7</v>
      </c>
      <c r="B8">
        <v>6</v>
      </c>
      <c r="C8" t="str" cm="1">
        <f t="array" ref="C8">GetValue("Idx",B8,"Name")</f>
        <v>UNQ_Usr_Name</v>
      </c>
      <c r="D8">
        <v>39</v>
      </c>
      <c r="E8" t="str" cm="1">
        <f t="array" ref="E8">GetValue("Col",D8,"Name")</f>
        <v>Length (Usr)</v>
      </c>
      <c r="F8">
        <v>5</v>
      </c>
      <c r="G8" t="b">
        <v>0</v>
      </c>
    </row>
    <row r="9" spans="1:7" x14ac:dyDescent="0.3">
      <c r="A9">
        <f t="shared" si="0"/>
        <v>8</v>
      </c>
      <c r="B9">
        <v>7</v>
      </c>
      <c r="C9" t="str" cm="1">
        <f t="array" ref="C9">GetValue("Idx",B9,"Name")</f>
        <v>UNQ_GrpUsr_GroupId_UserId</v>
      </c>
      <c r="D9">
        <v>44</v>
      </c>
      <c r="E9" t="str" cm="1">
        <f t="array" ref="E9">GetValue("Col",D9,"Name")</f>
        <v>Maximum (Usr)</v>
      </c>
      <c r="F9">
        <v>5</v>
      </c>
      <c r="G9" t="b">
        <v>0</v>
      </c>
    </row>
    <row r="10" spans="1:7" x14ac:dyDescent="0.3">
      <c r="A10">
        <f t="shared" si="0"/>
        <v>9</v>
      </c>
      <c r="B10">
        <v>7</v>
      </c>
      <c r="C10" t="str" cm="1">
        <f t="array" ref="C10">GetValue("Idx",B10,"Name")</f>
        <v>UNQ_GrpUsr_GroupId_UserId</v>
      </c>
      <c r="D10">
        <v>45</v>
      </c>
      <c r="E10" t="str" cm="1">
        <f t="array" ref="E10">GetValue("Col",D10,"Name")</f>
        <v>Codification (Usr)</v>
      </c>
      <c r="F10">
        <v>10</v>
      </c>
      <c r="G10" t="b">
        <v>0</v>
      </c>
    </row>
    <row r="11" spans="1:7" x14ac:dyDescent="0.3">
      <c r="A11">
        <f t="shared" si="0"/>
        <v>10</v>
      </c>
      <c r="B11">
        <v>8</v>
      </c>
      <c r="C11" t="str" cm="1">
        <f t="array" ref="C11">GetValue("Idx",B11,"Name")</f>
        <v>UNQ_Dmn_Name</v>
      </c>
      <c r="D11">
        <v>47</v>
      </c>
      <c r="E11" t="str" cm="1">
        <f t="array" ref="E11">GetValue("Col",D11,"Name")</f>
        <v>EngineId (GrpUsr)</v>
      </c>
      <c r="F11">
        <v>5</v>
      </c>
      <c r="G11" t="b">
        <v>0</v>
      </c>
    </row>
    <row r="12" spans="1:7" x14ac:dyDescent="0.3">
      <c r="A12">
        <f t="shared" si="0"/>
        <v>11</v>
      </c>
      <c r="B12">
        <v>9</v>
      </c>
      <c r="C12" t="str" cm="1">
        <f t="array" ref="C12">GetValue("Idx",B12,"Name")</f>
        <v>UNQ_DmnTyp_EngineId_DomainId</v>
      </c>
      <c r="D12">
        <v>56</v>
      </c>
      <c r="E12" t="str" cm="1">
        <f t="array" ref="E12">GetValue("Col",D12,"Name")</f>
        <v>Id (Dtb)</v>
      </c>
      <c r="F12">
        <v>5</v>
      </c>
      <c r="G12" t="b">
        <v>0</v>
      </c>
    </row>
    <row r="13" spans="1:7" x14ac:dyDescent="0.3">
      <c r="A13">
        <f t="shared" si="0"/>
        <v>12</v>
      </c>
      <c r="B13">
        <v>9</v>
      </c>
      <c r="C13" t="str" cm="1">
        <f t="array" ref="C13">GetValue("Idx",B13,"Name")</f>
        <v>UNQ_DmnTyp_EngineId_DomainId</v>
      </c>
      <c r="D13">
        <v>57</v>
      </c>
      <c r="E13" t="str" cm="1">
        <f t="array" ref="E13">GetValue("Col",D13,"Name")</f>
        <v>Name (Dtb)</v>
      </c>
      <c r="F13">
        <v>5</v>
      </c>
      <c r="G13" t="b">
        <v>0</v>
      </c>
    </row>
    <row r="14" spans="1:7" x14ac:dyDescent="0.3">
      <c r="A14">
        <f t="shared" si="0"/>
        <v>13</v>
      </c>
      <c r="B14">
        <v>10</v>
      </c>
      <c r="C14" t="str" cm="1">
        <f t="array" ref="C14">GetValue("Idx",B14,"Name")</f>
        <v>UNQ_Msk_Name</v>
      </c>
      <c r="D14">
        <v>60</v>
      </c>
      <c r="E14" t="str" cm="1">
        <f t="array" ref="E14">GetValue("Col",D14,"Name")</f>
        <v>IsOffAir (Dtb)</v>
      </c>
      <c r="F14">
        <v>5</v>
      </c>
      <c r="G14" t="b">
        <v>0</v>
      </c>
    </row>
    <row r="15" spans="1:7" x14ac:dyDescent="0.3">
      <c r="A15">
        <f t="shared" si="0"/>
        <v>14</v>
      </c>
      <c r="B15">
        <v>11</v>
      </c>
      <c r="C15" t="str" cm="1">
        <f t="array" ref="C15">GetValue("Idx",B15,"Name")</f>
        <v>UNQ_DmnMsk_DomainId_MaskId</v>
      </c>
      <c r="D15">
        <v>63</v>
      </c>
      <c r="E15" t="str" cm="1">
        <f t="array" ref="E15">GetValue("Col",D15,"Name")</f>
        <v>GroupId (Tbl)</v>
      </c>
      <c r="F15">
        <v>5</v>
      </c>
      <c r="G15" t="b">
        <v>0</v>
      </c>
    </row>
    <row r="16" spans="1:7" x14ac:dyDescent="0.3">
      <c r="A16">
        <f t="shared" si="0"/>
        <v>15</v>
      </c>
      <c r="B16">
        <v>11</v>
      </c>
      <c r="C16" t="str" cm="1">
        <f t="array" ref="C16">GetValue("Idx",B16,"Name")</f>
        <v>UNQ_DmnMsk_DomainId_MaskId</v>
      </c>
      <c r="D16">
        <v>64</v>
      </c>
      <c r="E16" t="str" cm="1">
        <f t="array" ref="E16">GetValue("Col",D16,"Name")</f>
        <v>Id (Rnk)</v>
      </c>
      <c r="F16">
        <v>5</v>
      </c>
      <c r="G16" t="b">
        <v>0</v>
      </c>
    </row>
    <row r="17" spans="1:7" x14ac:dyDescent="0.3">
      <c r="A17">
        <f t="shared" si="0"/>
        <v>16</v>
      </c>
      <c r="B17">
        <v>12</v>
      </c>
      <c r="C17" t="str" cm="1">
        <f t="array" ref="C17">GetValue("Idx",B17,"Name")</f>
        <v>UNQ_Sys_Name</v>
      </c>
      <c r="D17">
        <v>65</v>
      </c>
      <c r="E17" t="str" cm="1">
        <f t="array" ref="E17">GetValue("Col",D17,"Name")</f>
        <v>SystemId (Rnk)</v>
      </c>
      <c r="F17">
        <v>5</v>
      </c>
      <c r="G17" t="b">
        <v>0</v>
      </c>
    </row>
    <row r="18" spans="1:7" x14ac:dyDescent="0.3">
      <c r="A18">
        <f t="shared" si="0"/>
        <v>17</v>
      </c>
      <c r="B18">
        <v>12</v>
      </c>
      <c r="C18" t="str" cm="1">
        <f t="array" ref="C18">GetValue("Idx",B18,"Name")</f>
        <v>UNQ_Sys_Name</v>
      </c>
      <c r="D18">
        <v>66</v>
      </c>
      <c r="E18" t="str" cm="1">
        <f t="array" ref="E18">GetValue("Col",D18,"Name")</f>
        <v>Name (Rnk)</v>
      </c>
      <c r="F18">
        <v>5</v>
      </c>
      <c r="G18" t="b">
        <v>0</v>
      </c>
    </row>
    <row r="19" spans="1:7" x14ac:dyDescent="0.3">
      <c r="A19">
        <f t="shared" si="0"/>
        <v>18</v>
      </c>
      <c r="B19">
        <v>13</v>
      </c>
      <c r="C19" t="str" cm="1">
        <f t="array" ref="C19">GetValue("Idx",B19,"Name")</f>
        <v>UNQ_SysGrp_SystemId_GroupId</v>
      </c>
      <c r="D19">
        <v>71</v>
      </c>
      <c r="E19" t="str" cm="1">
        <f t="array" ref="E19">GetValue("Col",D19,"Name")</f>
        <v>Id (DtbTbl)</v>
      </c>
      <c r="F19">
        <v>5</v>
      </c>
      <c r="G19" t="b">
        <v>0</v>
      </c>
    </row>
    <row r="20" spans="1:7" x14ac:dyDescent="0.3">
      <c r="A20">
        <f t="shared" si="0"/>
        <v>19</v>
      </c>
      <c r="B20">
        <v>13</v>
      </c>
      <c r="C20" t="str" cm="1">
        <f t="array" ref="C20">GetValue("Idx",B20,"Name")</f>
        <v>UNQ_SysGrp_SystemId_GroupId</v>
      </c>
      <c r="D20">
        <v>72</v>
      </c>
      <c r="E20" t="str" cm="1">
        <f t="array" ref="E20">GetValue("Col",D20,"Name")</f>
        <v>Name (DtbTbl)</v>
      </c>
      <c r="F20">
        <v>5</v>
      </c>
      <c r="G20" t="b">
        <v>0</v>
      </c>
    </row>
    <row r="21" spans="1:7" x14ac:dyDescent="0.3">
      <c r="A21">
        <f t="shared" si="0"/>
        <v>20</v>
      </c>
      <c r="B21">
        <v>14</v>
      </c>
      <c r="C21" t="str" cm="1">
        <f t="array" ref="C21">GetValue("Idx",B21,"Name")</f>
        <v>UNQ_Db_SystemId</v>
      </c>
      <c r="D21">
        <v>74</v>
      </c>
      <c r="E21" t="str" cm="1">
        <f t="array" ref="E21">GetValue("Col",D21,"Name")</f>
        <v>Description (DtbTbl)</v>
      </c>
      <c r="F21">
        <v>5</v>
      </c>
      <c r="G21" t="b">
        <v>0</v>
      </c>
    </row>
    <row r="22" spans="1:7" x14ac:dyDescent="0.3">
      <c r="A22">
        <f t="shared" si="0"/>
        <v>21</v>
      </c>
      <c r="B22">
        <v>15</v>
      </c>
      <c r="C22" t="str" cm="1">
        <f t="array" ref="C22">GetValue("Idx",B22,"Name")</f>
        <v>UNQ_Db_Name</v>
      </c>
      <c r="D22">
        <v>75</v>
      </c>
      <c r="E22" t="str" cm="1">
        <f t="array" ref="E22">GetValue("Col",D22,"Name")</f>
        <v>Id (Col)</v>
      </c>
      <c r="F22">
        <v>5</v>
      </c>
      <c r="G22" t="b">
        <v>0</v>
      </c>
    </row>
    <row r="23" spans="1:7" x14ac:dyDescent="0.3">
      <c r="A23">
        <f t="shared" si="0"/>
        <v>22</v>
      </c>
      <c r="B23">
        <v>16</v>
      </c>
      <c r="C23" t="str" cm="1">
        <f t="array" ref="C23">GetValue("Idx",B23,"Name")</f>
        <v>UNQ_Db_Alias</v>
      </c>
      <c r="D23">
        <v>76</v>
      </c>
      <c r="E23" t="str" cm="1">
        <f t="array" ref="E23">GetValue("Col",D23,"Name")</f>
        <v>TableId (Col)</v>
      </c>
      <c r="F23">
        <v>5</v>
      </c>
      <c r="G23" t="b">
        <v>0</v>
      </c>
    </row>
    <row r="24" spans="1:7" x14ac:dyDescent="0.3">
      <c r="A24">
        <f t="shared" si="0"/>
        <v>23</v>
      </c>
      <c r="B24">
        <v>17</v>
      </c>
      <c r="C24" t="str" cm="1">
        <f t="array" ref="C24">GetValue("Idx",B24,"Name")</f>
        <v>UNQ_Tbl_Name</v>
      </c>
      <c r="D24">
        <v>81</v>
      </c>
      <c r="E24" t="str" cm="1">
        <f t="array" ref="E24">GetValue("Col",D24,"Name")</f>
        <v>Caption (Rel)</v>
      </c>
      <c r="F24">
        <v>5</v>
      </c>
      <c r="G24" t="b">
        <v>0</v>
      </c>
    </row>
    <row r="25" spans="1:7" x14ac:dyDescent="0.3">
      <c r="A25">
        <f t="shared" si="0"/>
        <v>24</v>
      </c>
      <c r="B25">
        <v>18</v>
      </c>
      <c r="C25" t="str" cm="1">
        <f t="array" ref="C25">GetValue("Idx",B25,"Name")</f>
        <v>UNQ_Tbl_Alias</v>
      </c>
      <c r="D25">
        <v>82</v>
      </c>
      <c r="E25" t="str" cm="1">
        <f t="array" ref="E25">GetValue("Col",D25,"Name")</f>
        <v>Id (Unq)</v>
      </c>
      <c r="F25">
        <v>5</v>
      </c>
      <c r="G25" t="b">
        <v>0</v>
      </c>
    </row>
    <row r="26" spans="1:7" x14ac:dyDescent="0.3">
      <c r="A26">
        <f t="shared" si="0"/>
        <v>25</v>
      </c>
      <c r="B26">
        <v>19</v>
      </c>
      <c r="C26" t="str" cm="1">
        <f t="array" ref="C26">GetValue("Idx",B26,"Name")</f>
        <v>UNQ_Tbl_Caption</v>
      </c>
      <c r="D26">
        <v>90</v>
      </c>
      <c r="E26" t="str" cm="1">
        <f t="array" ref="E26">GetValue("Col",D26,"Name")</f>
        <v>IsInternalUse (Unq)</v>
      </c>
      <c r="F26">
        <v>5</v>
      </c>
      <c r="G26" t="b">
        <v>0</v>
      </c>
    </row>
    <row r="27" spans="1:7" x14ac:dyDescent="0.3">
      <c r="A27">
        <f t="shared" si="0"/>
        <v>26</v>
      </c>
      <c r="B27">
        <v>19</v>
      </c>
      <c r="C27" t="str" cm="1">
        <f t="array" ref="C27">GetValue("Idx",B27,"Name")</f>
        <v>UNQ_Tbl_Caption</v>
      </c>
      <c r="D27">
        <v>91</v>
      </c>
      <c r="E27" t="str" cm="1">
        <f t="array" ref="E27">GetValue("Col",D27,"Name")</f>
        <v>Id (Req)</v>
      </c>
      <c r="F27">
        <v>10</v>
      </c>
      <c r="G27" t="b">
        <v>0</v>
      </c>
    </row>
    <row r="28" spans="1:7" x14ac:dyDescent="0.3">
      <c r="A28">
        <f t="shared" si="0"/>
        <v>27</v>
      </c>
      <c r="B28">
        <v>20</v>
      </c>
      <c r="C28" t="str" cm="1">
        <f t="array" ref="C28">GetValue("Idx",B28,"Name")</f>
        <v>UNQ_TblCrudex_TableId</v>
      </c>
      <c r="D28">
        <v>93</v>
      </c>
      <c r="E28" t="str" cm="1">
        <f t="array" ref="E28">GetValue("Col",D28,"Name")</f>
        <v>MinCardinality (Req)</v>
      </c>
      <c r="F28">
        <v>5</v>
      </c>
      <c r="G28" t="b">
        <v>0</v>
      </c>
    </row>
    <row r="29" spans="1:7" x14ac:dyDescent="0.3">
      <c r="A29">
        <f t="shared" si="0"/>
        <v>28</v>
      </c>
      <c r="B29">
        <v>20</v>
      </c>
      <c r="C29" t="str" cm="1">
        <f t="array" ref="C29">GetValue("Idx",B29,"Name")</f>
        <v>UNQ_TblCrudex_TableId</v>
      </c>
      <c r="D29">
        <v>95</v>
      </c>
      <c r="E29" t="str" cm="1">
        <f t="array" ref="E29">GetValue("Col",D29,"Name")</f>
        <v>IsFixedMaximum (Req)</v>
      </c>
      <c r="F29">
        <v>10</v>
      </c>
      <c r="G29" t="b">
        <v>0</v>
      </c>
    </row>
    <row r="30" spans="1:7" x14ac:dyDescent="0.3">
      <c r="A30">
        <f t="shared" si="0"/>
        <v>29</v>
      </c>
      <c r="B30">
        <v>21</v>
      </c>
      <c r="C30" t="str" cm="1">
        <f t="array" ref="C30">GetValue("Idx",B30,"Name")</f>
        <v>UNQ_Rnkx_DatabaseId_Caption</v>
      </c>
      <c r="D30">
        <v>93</v>
      </c>
      <c r="E30" t="str" cm="1">
        <f t="array" ref="E30">GetValue("Col",D30,"Name")</f>
        <v>MinCardinality (Req)</v>
      </c>
      <c r="F30">
        <v>5</v>
      </c>
      <c r="G30" t="b">
        <v>0</v>
      </c>
    </row>
    <row r="31" spans="1:7" x14ac:dyDescent="0.3">
      <c r="A31">
        <f t="shared" si="0"/>
        <v>30</v>
      </c>
      <c r="B31">
        <v>21</v>
      </c>
      <c r="C31" t="str" cm="1">
        <f t="array" ref="C31">GetValue("Idx",B31,"Name")</f>
        <v>UNQ_Rnkx_DatabaseId_Caption</v>
      </c>
      <c r="D31">
        <v>96</v>
      </c>
      <c r="E31" t="str" cm="1">
        <f t="array" ref="E31">GetValue("Col",D31,"Name")</f>
        <v>Id (Idx)</v>
      </c>
      <c r="F31">
        <v>5</v>
      </c>
      <c r="G31" t="b">
        <v>0</v>
      </c>
    </row>
    <row r="32" spans="1:7" x14ac:dyDescent="0.3">
      <c r="A32">
        <f t="shared" si="0"/>
        <v>31</v>
      </c>
      <c r="B32">
        <v>22</v>
      </c>
      <c r="C32" t="str" cm="1">
        <f t="array" ref="C32">GetValue("Idx",B32,"Name")</f>
        <v>UNQ_DbTbl_DatabaseId_TableId</v>
      </c>
      <c r="D32">
        <v>100</v>
      </c>
      <c r="E32" t="str" cm="1">
        <f t="array" ref="E32">GetValue("Col",D32,"Name")</f>
        <v>Name (Idx)</v>
      </c>
      <c r="F32">
        <v>5</v>
      </c>
      <c r="G32" t="b">
        <v>0</v>
      </c>
    </row>
    <row r="33" spans="1:7" x14ac:dyDescent="0.3">
      <c r="A33">
        <f t="shared" si="0"/>
        <v>32</v>
      </c>
      <c r="B33">
        <v>23</v>
      </c>
      <c r="C33" t="str" cm="1">
        <f t="array" ref="C33">GetValue("Idx",B33,"Name")</f>
        <v>UNQ_DbTbl_DatabaseId_Sequence</v>
      </c>
      <c r="D33">
        <v>101</v>
      </c>
      <c r="E33" t="str" cm="1">
        <f t="array" ref="E33">GetValue("Col",D33,"Name")</f>
        <v>Description (Idx)</v>
      </c>
      <c r="F33">
        <v>5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GetValue("Idx",B34,"Name")</f>
        <v>UNQ_Crd_TableId</v>
      </c>
      <c r="D34">
        <v>103</v>
      </c>
      <c r="E34" t="str" cm="1">
        <f t="array" ref="E34">GetValue("Col",D34,"Name")</f>
        <v>Caption (Idx)</v>
      </c>
      <c r="F34">
        <v>5</v>
      </c>
      <c r="G34" t="b">
        <v>0</v>
      </c>
    </row>
    <row r="35" spans="1:7" x14ac:dyDescent="0.3">
      <c r="A35">
        <f t="shared" si="0"/>
        <v>34</v>
      </c>
      <c r="B35">
        <v>25</v>
      </c>
      <c r="C35" t="str" cm="1">
        <f t="array" ref="C35">GetValue("Idx",B35,"Name")</f>
        <v>UNQ_Col_TableId_Sequence</v>
      </c>
      <c r="D35">
        <v>109</v>
      </c>
      <c r="E35" t="str" cm="1">
        <f t="array" ref="E35">GetValue("Col",D35,"Name")</f>
        <v>IsEditable (Idx)</v>
      </c>
      <c r="F35">
        <v>10</v>
      </c>
      <c r="G35" t="b">
        <v>0</v>
      </c>
    </row>
    <row r="36" spans="1:7" x14ac:dyDescent="0.3">
      <c r="A36">
        <f t="shared" si="0"/>
        <v>35</v>
      </c>
      <c r="B36">
        <v>25</v>
      </c>
      <c r="C36" t="str" cm="1">
        <f t="array" ref="C36">GetValue("Idx",B36,"Name")</f>
        <v>UNQ_Col_TableId_Sequence</v>
      </c>
      <c r="D36">
        <v>110</v>
      </c>
      <c r="E36" t="str" cm="1">
        <f t="array" ref="E36">GetValue("Col",D36,"Name")</f>
        <v>IsGridable (Idx)</v>
      </c>
      <c r="F36">
        <v>10</v>
      </c>
      <c r="G36" t="b">
        <v>0</v>
      </c>
    </row>
    <row r="37" spans="1:7" x14ac:dyDescent="0.3">
      <c r="A37">
        <f t="shared" si="0"/>
        <v>36</v>
      </c>
      <c r="B37">
        <v>26</v>
      </c>
      <c r="C37" t="str" cm="1">
        <f t="array" ref="C37">GetValue("Idx",B37,"Name")</f>
        <v>UNQ_Col_TableId_Name</v>
      </c>
      <c r="D37">
        <v>112</v>
      </c>
      <c r="E37" t="str" cm="1">
        <f t="array" ref="E37">GetValue("Col",D37,"Name")</f>
        <v>IsInWords (Idx)</v>
      </c>
      <c r="F37">
        <v>5</v>
      </c>
      <c r="G37" t="b">
        <v>0</v>
      </c>
    </row>
    <row r="38" spans="1:7" x14ac:dyDescent="0.3">
      <c r="A38">
        <f t="shared" si="0"/>
        <v>37</v>
      </c>
      <c r="B38">
        <v>27</v>
      </c>
      <c r="C38" t="str" cm="1">
        <f t="array" ref="C38">GetValue("Idx",B38,"Name")</f>
        <v>UNQ_Rel_ColumnId_RelatedColumnId</v>
      </c>
      <c r="D38">
        <v>117</v>
      </c>
      <c r="E38" t="str" cm="1">
        <f t="array" ref="E38">GetValue("Col",D38,"Name")</f>
        <v>Id (IdxInc)</v>
      </c>
      <c r="F38">
        <v>5</v>
      </c>
      <c r="G38" t="b">
        <v>0</v>
      </c>
    </row>
    <row r="39" spans="1:7" x14ac:dyDescent="0.3">
      <c r="A39">
        <f t="shared" si="0"/>
        <v>38</v>
      </c>
      <c r="B39">
        <v>27</v>
      </c>
      <c r="C39" t="str" cm="1">
        <f t="array" ref="C39">GetValue("Idx",B39,"Name")</f>
        <v>UNQ_Rel_ColumnId_RelatedColumnId</v>
      </c>
      <c r="D39">
        <v>119</v>
      </c>
      <c r="E39" t="str" cm="1">
        <f t="array" ref="E39">GetValue("Col",D39,"Name")</f>
        <v>RelatedColumnId (IdxInc)</v>
      </c>
      <c r="F39">
        <v>5</v>
      </c>
      <c r="G39" t="b">
        <v>0</v>
      </c>
    </row>
    <row r="40" spans="1:7" x14ac:dyDescent="0.3">
      <c r="A40">
        <f t="shared" si="0"/>
        <v>39</v>
      </c>
      <c r="B40">
        <v>28</v>
      </c>
      <c r="C40" t="str" cm="1">
        <f t="array" ref="C40">GetValue("Idx",B40,"Name")</f>
        <v>UNQ_Unq_ColumnId_RelatedColumnId</v>
      </c>
      <c r="D40">
        <v>117</v>
      </c>
      <c r="E40" t="str" cm="1">
        <f t="array" ref="E40">GetValue("Col",D40,"Name")</f>
        <v>Id (IdxInc)</v>
      </c>
      <c r="F40">
        <v>10</v>
      </c>
      <c r="G40" t="b">
        <v>0</v>
      </c>
    </row>
    <row r="41" spans="1:7" x14ac:dyDescent="0.3">
      <c r="A41">
        <f t="shared" si="0"/>
        <v>40</v>
      </c>
      <c r="B41">
        <v>28</v>
      </c>
      <c r="C41" t="str" cm="1">
        <f t="array" ref="C41">GetValue("Idx",B41,"Name")</f>
        <v>UNQ_Unq_ColumnId_RelatedColumnId</v>
      </c>
      <c r="D41">
        <v>120</v>
      </c>
      <c r="E41" t="str" cm="1">
        <f t="array" ref="E41">GetValue("Col",D41,"Name")</f>
        <v>Id (Con)</v>
      </c>
      <c r="F41">
        <v>5</v>
      </c>
      <c r="G41" t="b">
        <v>0</v>
      </c>
    </row>
    <row r="42" spans="1:7" x14ac:dyDescent="0.3">
      <c r="A42">
        <f t="shared" si="0"/>
        <v>41</v>
      </c>
      <c r="B42">
        <v>29</v>
      </c>
      <c r="C42" t="str" cm="1">
        <f t="array" ref="C42">GetValue("Idx",B42,"Name")</f>
        <v>UNQ_Req_ColumnId_RelatedColumnId</v>
      </c>
      <c r="D42">
        <v>134</v>
      </c>
      <c r="E42" t="str" cm="1">
        <f t="array" ref="E42">GetValue("Col",D42,"Name")</f>
        <v>IndexId (Ses)</v>
      </c>
      <c r="F42">
        <v>5</v>
      </c>
      <c r="G42" t="b">
        <v>0</v>
      </c>
    </row>
    <row r="43" spans="1:7" x14ac:dyDescent="0.3">
      <c r="A43">
        <f t="shared" si="0"/>
        <v>42</v>
      </c>
      <c r="B43">
        <v>29</v>
      </c>
      <c r="C43" t="str" cm="1">
        <f t="array" ref="C43">GetValue("Idx",B43,"Name")</f>
        <v>UNQ_Req_ColumnId_RelatedColumnId</v>
      </c>
      <c r="D43">
        <v>135</v>
      </c>
      <c r="E43" t="str" cm="1">
        <f t="array" ref="E43">GetValue("Col",D43,"Name")</f>
        <v>ColumnId (Ses)</v>
      </c>
      <c r="F43">
        <v>5</v>
      </c>
      <c r="G43" t="b">
        <v>0</v>
      </c>
    </row>
    <row r="44" spans="1:7" x14ac:dyDescent="0.3">
      <c r="A44">
        <f t="shared" si="0"/>
        <v>43</v>
      </c>
      <c r="B44">
        <v>30</v>
      </c>
      <c r="C44" t="str" cm="1">
        <f t="array" ref="C44">GetValue("Idx",B44,"Name")</f>
        <v>UNQ_Idx_DatabaseId_Name</v>
      </c>
      <c r="D44">
        <v>140</v>
      </c>
      <c r="E44" t="str" cm="1">
        <f t="array" ref="E44">GetValue("Col",D44,"Name")</f>
        <v>ConnectionString (Trs)</v>
      </c>
      <c r="F44">
        <v>5</v>
      </c>
      <c r="G44" t="b">
        <v>0</v>
      </c>
    </row>
    <row r="45" spans="1:7" x14ac:dyDescent="0.3">
      <c r="A45">
        <f t="shared" si="0"/>
        <v>44</v>
      </c>
      <c r="B45">
        <v>30</v>
      </c>
      <c r="C45" t="str" cm="1">
        <f t="array" ref="C45">GetValue("Idx",B45,"Name")</f>
        <v>UNQ_Idx_DatabaseId_Name</v>
      </c>
      <c r="D45">
        <v>141</v>
      </c>
      <c r="E45" t="str" cm="1">
        <f t="array" ref="E45">GetValue("Col",D45,"Name")</f>
        <v>Id (Ope)</v>
      </c>
      <c r="F45">
        <v>5</v>
      </c>
      <c r="G45" t="b">
        <v>0</v>
      </c>
    </row>
    <row r="46" spans="1:7" x14ac:dyDescent="0.3">
      <c r="A46">
        <f t="shared" si="0"/>
        <v>45</v>
      </c>
      <c r="B46">
        <v>31</v>
      </c>
      <c r="C46" t="str" cm="1">
        <f t="array" ref="C46">GetValue("Idx",B46,"Name")</f>
        <v>UNQ_IdxKey_IndexId_ColumnId</v>
      </c>
      <c r="D46">
        <v>144</v>
      </c>
      <c r="E46" t="str" cm="1">
        <f t="array" ref="E46">GetValue("Col",D46,"Name")</f>
        <v>IsDevelopment (Ope)</v>
      </c>
      <c r="F46">
        <v>5</v>
      </c>
      <c r="G46" t="b">
        <v>0</v>
      </c>
    </row>
    <row r="47" spans="1:7" x14ac:dyDescent="0.3">
      <c r="A47">
        <f t="shared" si="0"/>
        <v>46</v>
      </c>
      <c r="B47">
        <v>31</v>
      </c>
      <c r="C47" t="str" cm="1">
        <f t="array" ref="C47">GetValue("Idx",B47,"Name")</f>
        <v>UNQ_IdxKey_IndexId_ColumnId</v>
      </c>
      <c r="D47">
        <v>145</v>
      </c>
      <c r="E47" t="str" cm="1">
        <f t="array" ref="E47">GetValue("Col",D47,"Name")</f>
        <v>Id (Snp)</v>
      </c>
      <c r="F47">
        <v>5</v>
      </c>
      <c r="G47" t="b">
        <v>0</v>
      </c>
    </row>
    <row r="48" spans="1:7" x14ac:dyDescent="0.3">
      <c r="A48">
        <f t="shared" si="0"/>
        <v>47</v>
      </c>
      <c r="B48">
        <v>32</v>
      </c>
      <c r="C48" t="str" cm="1">
        <f t="array" ref="C48">GetValue("Idx",B48,"Name")</f>
        <v>UNQ_IdxKey_IndexId_Sequence</v>
      </c>
      <c r="D48">
        <v>148</v>
      </c>
      <c r="E48" t="str" cm="1">
        <f t="array" ref="E48">GetValue("Col",D48,"Name")</f>
        <v>ConnectionId (Snp)</v>
      </c>
      <c r="F48">
        <v>5</v>
      </c>
      <c r="G48" t="b">
        <v>0</v>
      </c>
    </row>
    <row r="49" spans="1:7" x14ac:dyDescent="0.3">
      <c r="A49">
        <f t="shared" si="0"/>
        <v>48</v>
      </c>
      <c r="B49">
        <v>32</v>
      </c>
      <c r="C49" t="str" cm="1">
        <f t="array" ref="C49">GetValue("Idx",B49,"Name")</f>
        <v>UNQ_IdxKey_IndexId_Sequence</v>
      </c>
      <c r="D49">
        <v>150</v>
      </c>
      <c r="E49" t="str" cm="1">
        <f t="array" ref="E49">GetValue("Col",D49,"Name")</f>
        <v>SystemId (SnpScr)</v>
      </c>
      <c r="F49">
        <v>5</v>
      </c>
      <c r="G49" t="b">
        <v>0</v>
      </c>
    </row>
    <row r="50" spans="1:7" x14ac:dyDescent="0.3">
      <c r="A50">
        <f t="shared" si="0"/>
        <v>49</v>
      </c>
      <c r="B50">
        <v>33</v>
      </c>
      <c r="C50" t="str" cm="1">
        <f t="array" ref="C50">GetValue("Idx",B50,"Name")</f>
        <v>UNQ_IdxInc_IndexId_ColumnId</v>
      </c>
      <c r="D50">
        <v>153</v>
      </c>
      <c r="E50" t="str" cm="1">
        <f t="array" ref="E50">GetValue("Col",D50,"Name")</f>
        <v>PublicKey (SnpScr)</v>
      </c>
      <c r="F50">
        <v>5</v>
      </c>
      <c r="G50" t="b">
        <v>0</v>
      </c>
    </row>
    <row r="51" spans="1:7" x14ac:dyDescent="0.3">
      <c r="A51">
        <f t="shared" si="0"/>
        <v>50</v>
      </c>
      <c r="B51">
        <v>33</v>
      </c>
      <c r="C51" t="str" cm="1">
        <f t="array" ref="C51">GetValue("Idx",B51,"Name")</f>
        <v>UNQ_IdxInc_IndexId_ColumnId</v>
      </c>
      <c r="D51">
        <v>154</v>
      </c>
      <c r="E51" t="str" cm="1">
        <f t="array" ref="E51">GetValue("Col",D51,"Name")</f>
        <v>IsActive (SnpScr)</v>
      </c>
      <c r="F51">
        <v>5</v>
      </c>
      <c r="G51" t="b">
        <v>0</v>
      </c>
    </row>
    <row r="52" spans="1:7" x14ac:dyDescent="0.3">
      <c r="A52">
        <f t="shared" si="0"/>
        <v>51</v>
      </c>
      <c r="B52">
        <v>34</v>
      </c>
      <c r="C52" t="str" cm="1">
        <f t="array" ref="C52">GetValue("Idx",B52,"Name")</f>
        <v>UNQ_Con_EngineId_Name</v>
      </c>
      <c r="D52">
        <v>153</v>
      </c>
      <c r="E52" t="str" cm="1">
        <f t="array" ref="E52">GetValue("Col",D52,"Name")</f>
        <v>PublicKey (SnpScr)</v>
      </c>
      <c r="F52">
        <v>5</v>
      </c>
      <c r="G52" t="b">
        <v>0</v>
      </c>
    </row>
    <row r="53" spans="1:7" x14ac:dyDescent="0.3">
      <c r="A53">
        <f t="shared" si="0"/>
        <v>52</v>
      </c>
      <c r="B53">
        <v>34</v>
      </c>
      <c r="C53" t="str" cm="1">
        <f t="array" ref="C53">GetValue("Idx",B53,"Name")</f>
        <v>UNQ_Con_EngineId_Name</v>
      </c>
      <c r="D53">
        <v>155</v>
      </c>
      <c r="E53" t="str" cm="1">
        <f t="array" ref="E53">GetValue("Col",D53,"Name")</f>
        <v>Id (Prd)</v>
      </c>
      <c r="F53">
        <v>5</v>
      </c>
      <c r="G53" t="b">
        <v>0</v>
      </c>
    </row>
    <row r="54" spans="1:7" x14ac:dyDescent="0.3">
      <c r="A54">
        <f t="shared" si="0"/>
        <v>53</v>
      </c>
      <c r="B54">
        <v>35</v>
      </c>
      <c r="C54" t="str" cm="1">
        <f t="array" ref="C54">GetValue("Idx",B54,"Name")</f>
        <v>UNQ_Env_Name</v>
      </c>
      <c r="D54">
        <v>158</v>
      </c>
      <c r="E54" t="str" cm="1">
        <f t="array" ref="E54">GetValue("Col",D54,"Name")</f>
        <v>Id (Sch)</v>
      </c>
      <c r="F54">
        <v>5</v>
      </c>
      <c r="G54" t="b">
        <v>0</v>
      </c>
    </row>
    <row r="55" spans="1:7" x14ac:dyDescent="0.3">
      <c r="A55">
        <f t="shared" si="0"/>
        <v>54</v>
      </c>
      <c r="B55">
        <v>35</v>
      </c>
      <c r="C55" t="str" cm="1">
        <f t="array" ref="C55">GetValue("Idx",B55,"Name")</f>
        <v>UNQ_Env_Name</v>
      </c>
      <c r="D55">
        <v>159</v>
      </c>
      <c r="E55" t="str" cm="1">
        <f t="array" ref="E55">GetValue("Col",D55,"Name")</f>
        <v>TransactionId (Sch)</v>
      </c>
      <c r="F55">
        <v>5</v>
      </c>
      <c r="G55" t="b">
        <v>0</v>
      </c>
    </row>
    <row r="56" spans="1:7" x14ac:dyDescent="0.3">
      <c r="A56">
        <f t="shared" si="0"/>
        <v>55</v>
      </c>
      <c r="B56">
        <v>36</v>
      </c>
      <c r="C56" t="str" cm="1">
        <f t="array" ref="C56">GetValue("Idx",B56,"Name")</f>
        <v>UNQ_DbEnv_DatabaseId_EnvironmentId</v>
      </c>
      <c r="D56">
        <v>161</v>
      </c>
      <c r="E56" t="str" cm="1">
        <f t="array" ref="E56">GetValue("Col",D56,"Name")</f>
        <v>Action (Sch)</v>
      </c>
      <c r="F56">
        <v>5</v>
      </c>
      <c r="G56" t="b">
        <v>0</v>
      </c>
    </row>
    <row r="57" spans="1:7" x14ac:dyDescent="0.3">
      <c r="A57">
        <f t="shared" si="0"/>
        <v>56</v>
      </c>
      <c r="B57">
        <v>36</v>
      </c>
      <c r="C57" t="str" cm="1">
        <f t="array" ref="C57">GetValue("Idx",B57,"Name")</f>
        <v>UNQ_DbEnv_DatabaseId_EnvironmentId</v>
      </c>
      <c r="D57">
        <v>162</v>
      </c>
      <c r="E57" t="str" cm="1">
        <f t="array" ref="E57">GetValue("Col",D57,"Name")</f>
        <v>LastRecord (Sch)</v>
      </c>
      <c r="F57">
        <v>5</v>
      </c>
      <c r="G57" t="b">
        <v>0</v>
      </c>
    </row>
    <row r="58" spans="1:7" x14ac:dyDescent="0.3">
      <c r="A58">
        <f t="shared" si="0"/>
        <v>57</v>
      </c>
      <c r="B58">
        <v>36</v>
      </c>
      <c r="C58" t="str" cm="1">
        <f t="array" ref="C58">GetValue("Idx",B58,"Name")</f>
        <v>UNQ_DbEnv_DatabaseId_EnvironmentId</v>
      </c>
      <c r="D58">
        <v>163</v>
      </c>
      <c r="E58" t="str" cm="1">
        <f t="array" ref="E58">GetValue("Col",D58,"Name")</f>
        <v>ActualRecord (Sch)</v>
      </c>
      <c r="F58">
        <v>5</v>
      </c>
      <c r="G58" t="b">
        <v>0</v>
      </c>
    </row>
    <row r="59" spans="1:7" x14ac:dyDescent="0.3">
      <c r="A59">
        <f t="shared" si="0"/>
        <v>58</v>
      </c>
      <c r="B59">
        <v>37</v>
      </c>
      <c r="C59" t="str" cm="1">
        <f t="array" ref="C59">GetValue("Idx",B59,"Name")</f>
        <v>IDX_Ses_SystemId_UserId_EnvironmentId</v>
      </c>
      <c r="D59">
        <v>167</v>
      </c>
      <c r="E59" t="str" cm="1">
        <f t="array" ref="E59">GetValue("Col",D59,"Name")</f>
        <v>Name (SchScr)</v>
      </c>
      <c r="F59">
        <v>5</v>
      </c>
      <c r="G59" t="b">
        <v>0</v>
      </c>
    </row>
    <row r="60" spans="1:7" x14ac:dyDescent="0.3">
      <c r="A60">
        <f t="shared" si="0"/>
        <v>59</v>
      </c>
      <c r="B60">
        <v>38</v>
      </c>
      <c r="C60" t="str" cm="1">
        <f t="array" ref="C60">GetValue("Idx",B60,"Name")</f>
        <v>IDX_Trs_SessionId</v>
      </c>
      <c r="D60">
        <v>170</v>
      </c>
      <c r="E60" t="str" cm="1">
        <f t="array" ref="E60">GetValue("Col",D60,"Name")</f>
        <v>IsActive (SchScr)</v>
      </c>
      <c r="F60">
        <v>5</v>
      </c>
      <c r="G60" t="b">
        <v>0</v>
      </c>
    </row>
    <row r="61" spans="1:7" x14ac:dyDescent="0.3">
      <c r="A61">
        <f t="shared" si="0"/>
        <v>60</v>
      </c>
      <c r="B61">
        <v>38</v>
      </c>
      <c r="C61" t="str" cm="1">
        <f t="array" ref="C61">GetValue("Idx",B61,"Name")</f>
        <v>IDX_Trs_SessionId</v>
      </c>
      <c r="D61">
        <v>171</v>
      </c>
      <c r="E61" t="str" cm="1">
        <f t="array" ref="E61">GetValue("Col",D61,"Name")</f>
        <v>Id (Opr)</v>
      </c>
      <c r="F61">
        <v>5</v>
      </c>
      <c r="G61" t="b">
        <v>0</v>
      </c>
    </row>
    <row r="62" spans="1:7" x14ac:dyDescent="0.3">
      <c r="A62">
        <f t="shared" si="0"/>
        <v>61</v>
      </c>
      <c r="B62">
        <v>38</v>
      </c>
      <c r="C62" t="str" cm="1">
        <f t="array" ref="C62">GetValue("Idx",B62,"Name")</f>
        <v>IDX_Trs_SessionId</v>
      </c>
      <c r="D62">
        <v>172</v>
      </c>
      <c r="E62" t="str" cm="1">
        <f t="array" ref="E62">GetValue("Col",D62,"Name")</f>
        <v>SniperId (Opr)</v>
      </c>
      <c r="F62">
        <v>5</v>
      </c>
      <c r="G62" t="b">
        <v>0</v>
      </c>
    </row>
    <row r="63" spans="1:7" x14ac:dyDescent="0.3">
      <c r="A63">
        <f t="shared" si="0"/>
        <v>62</v>
      </c>
      <c r="B63">
        <v>39</v>
      </c>
      <c r="C63" t="str" cm="1">
        <f t="array" ref="C63">GetValue("Idx",B63,"Name")</f>
        <v>IDX_Ope_TransactionId_TableName_Action</v>
      </c>
      <c r="D63">
        <v>177</v>
      </c>
      <c r="E63" t="str" cm="1">
        <f t="array" ref="E63">GetValue("Col",D63,"Name")</f>
        <v>IsLocalBeforeRemote (Opr)</v>
      </c>
      <c r="F63">
        <v>5</v>
      </c>
      <c r="G63" t="b">
        <v>0</v>
      </c>
    </row>
    <row r="64" spans="1:7" x14ac:dyDescent="0.3">
      <c r="A64">
        <f t="shared" si="0"/>
        <v>63</v>
      </c>
      <c r="B64">
        <v>40</v>
      </c>
      <c r="C64" t="str" cm="1">
        <f t="array" ref="C64">GetValue("Idx",B64,"Name")</f>
        <v>UNQ_Snp_TableId</v>
      </c>
      <c r="D64">
        <v>178</v>
      </c>
      <c r="E64" t="str" cm="1">
        <f t="array" ref="E64">GetValue("Col",D64,"Name")</f>
        <v>Id (Prp)</v>
      </c>
      <c r="F64">
        <v>5</v>
      </c>
      <c r="G64" t="b">
        <v>0</v>
      </c>
    </row>
    <row r="65" spans="1:7" x14ac:dyDescent="0.3">
      <c r="A65">
        <f t="shared" si="0"/>
        <v>64</v>
      </c>
      <c r="B65">
        <v>41</v>
      </c>
      <c r="C65" t="str" cm="1">
        <f t="array" ref="C65">GetValue("Idx",B65,"Name")</f>
        <v>UNQ_Snp_Name</v>
      </c>
      <c r="D65">
        <v>182</v>
      </c>
      <c r="E65" t="str" cm="1">
        <f t="array" ref="E65">GetValue("Col",D65,"Name")</f>
        <v>PeriodicityId (Bhv)</v>
      </c>
      <c r="F65">
        <v>5</v>
      </c>
      <c r="G65" t="b">
        <v>0</v>
      </c>
    </row>
    <row r="66" spans="1:7" x14ac:dyDescent="0.3">
      <c r="A66">
        <f t="shared" si="0"/>
        <v>65</v>
      </c>
      <c r="B66">
        <v>41</v>
      </c>
      <c r="C66" t="str" cm="1">
        <f t="array" ref="C66">GetValue("Idx",B66,"Name")</f>
        <v>UNQ_Snp_Name</v>
      </c>
      <c r="D66">
        <v>184</v>
      </c>
      <c r="E66" t="str" cm="1">
        <f t="array" ref="E66">GetValue("Col",D66,"Name")</f>
        <v>Interval (Bhv)</v>
      </c>
      <c r="F66">
        <v>5</v>
      </c>
      <c r="G66" t="b">
        <v>0</v>
      </c>
    </row>
    <row r="67" spans="1:7" x14ac:dyDescent="0.3">
      <c r="A67">
        <f t="shared" si="0"/>
        <v>66</v>
      </c>
      <c r="B67">
        <v>42</v>
      </c>
      <c r="C67" t="str" cm="1">
        <f t="array" ref="C67">GetValue("Idx",B67,"Name")</f>
        <v>UNQ_SnpScr_SniperId_ConnectionId</v>
      </c>
      <c r="D67">
        <v>189</v>
      </c>
      <c r="E67" t="str" cm="1">
        <f t="array" ref="E67">GetValue("Col",D67,"Name")</f>
        <v>IsBusinessDays (Bhv)</v>
      </c>
      <c r="F67">
        <v>5</v>
      </c>
      <c r="G67" t="b">
        <v>0</v>
      </c>
    </row>
    <row r="68" spans="1:7" x14ac:dyDescent="0.3">
      <c r="A68">
        <f t="shared" si="0"/>
        <v>67</v>
      </c>
      <c r="B68">
        <v>43</v>
      </c>
      <c r="C68" t="str" cm="1">
        <f t="array" ref="C68">GetValue("Idx",B68,"Name")</f>
        <v>UNQ_SnpScr_SniperId_Sequence</v>
      </c>
      <c r="D68">
        <v>193</v>
      </c>
      <c r="E68" t="str" cm="1">
        <f t="array" ref="E68">GetValue("Col",D68,"Name")</f>
        <v>Id (BhvChk)</v>
      </c>
      <c r="F68">
        <v>5</v>
      </c>
      <c r="G68" t="b">
        <v>0</v>
      </c>
    </row>
    <row r="69" spans="1:7" x14ac:dyDescent="0.3">
      <c r="A69">
        <f t="shared" si="0"/>
        <v>68</v>
      </c>
      <c r="B69">
        <v>44</v>
      </c>
      <c r="C69" t="str" cm="1">
        <f t="array" ref="C69">GetValue("Idx",B69,"Name")</f>
        <v>UNQ_Prd_Name</v>
      </c>
      <c r="D69">
        <v>203</v>
      </c>
      <c r="E69" t="e" cm="1">
        <f t="array" ref="E69">GetValue("Col",D69,"Name")</f>
        <v>#VALUE!</v>
      </c>
      <c r="F69">
        <v>5</v>
      </c>
      <c r="G69" t="b">
        <v>0</v>
      </c>
    </row>
    <row r="70" spans="1:7" x14ac:dyDescent="0.3">
      <c r="A70">
        <f t="shared" si="0"/>
        <v>69</v>
      </c>
      <c r="B70">
        <v>44</v>
      </c>
      <c r="C70" t="str" cm="1">
        <f t="array" ref="C70">GetValue("Idx",B70,"Name")</f>
        <v>UNQ_Prd_Name</v>
      </c>
      <c r="D70">
        <v>206</v>
      </c>
      <c r="E70" t="e" cm="1">
        <f t="array" ref="E70">GetValue("Col",D70,"Name")</f>
        <v>#VALUE!</v>
      </c>
      <c r="F70">
        <v>5</v>
      </c>
      <c r="G70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17894-69F9-429B-B14C-2C0680685736}">
  <sheetPr codeName="planIdxInc"/>
  <dimension ref="A1:F1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17.5546875" bestFit="1" customWidth="1"/>
    <col min="4" max="4" width="11.5546875" bestFit="1" customWidth="1"/>
    <col min="5" max="5" width="9.21875" bestFit="1" customWidth="1"/>
    <col min="6" max="6" width="13.6640625" bestFit="1" customWidth="1"/>
  </cols>
  <sheetData>
    <row r="1" spans="1:6" x14ac:dyDescent="0.3">
      <c r="A1" s="1" t="s">
        <v>0</v>
      </c>
      <c r="B1" s="1" t="s">
        <v>150</v>
      </c>
      <c r="C1" s="1" t="s">
        <v>179</v>
      </c>
      <c r="D1" s="1" t="s">
        <v>177</v>
      </c>
      <c r="E1" s="1" t="s">
        <v>152</v>
      </c>
      <c r="F1" s="1" t="s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Con"/>
  <dimension ref="A1:D4"/>
  <sheetViews>
    <sheetView workbookViewId="0">
      <pane ySplit="1" topLeftCell="A11" activePane="bottomLeft" state="frozen"/>
      <selection pane="bottomLeft" activeCell="D22" sqref="D22"/>
    </sheetView>
  </sheetViews>
  <sheetFormatPr defaultRowHeight="14.4" x14ac:dyDescent="0.3"/>
  <cols>
    <col min="1" max="1" width="3" bestFit="1" customWidth="1"/>
    <col min="2" max="2" width="10.109375" bestFit="1" customWidth="1"/>
    <col min="3" max="3" width="41.109375" bestFit="1" customWidth="1"/>
    <col min="4" max="4" width="157.886718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46</v>
      </c>
      <c r="D1" s="1" t="s">
        <v>269</v>
      </c>
    </row>
    <row r="2" spans="1:4" x14ac:dyDescent="0.3">
      <c r="A2">
        <f>ROW(A2)-1</f>
        <v>1</v>
      </c>
      <c r="B2" t="s">
        <v>453</v>
      </c>
      <c r="C2" t="s">
        <v>456</v>
      </c>
      <c r="D2" t="s">
        <v>802</v>
      </c>
    </row>
    <row r="3" spans="1:4" x14ac:dyDescent="0.3">
      <c r="A3">
        <f t="shared" ref="A3:A4" si="0">ROW(A3)-1</f>
        <v>2</v>
      </c>
      <c r="B3" t="s">
        <v>454</v>
      </c>
      <c r="C3" t="s">
        <v>457</v>
      </c>
      <c r="D3" t="s">
        <v>802</v>
      </c>
    </row>
    <row r="4" spans="1:4" x14ac:dyDescent="0.3">
      <c r="A4">
        <f t="shared" si="0"/>
        <v>3</v>
      </c>
      <c r="B4" t="s">
        <v>455</v>
      </c>
      <c r="C4" t="s">
        <v>458</v>
      </c>
      <c r="D4" t="s">
        <v>802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392E-537D-4D87-B319-B495C31B7141}">
  <sheetPr codeName="planDbEnvCon"/>
  <dimension ref="A1:E4"/>
  <sheetViews>
    <sheetView workbookViewId="0">
      <pane ySplit="1" topLeftCell="A2" activePane="bottomLeft" state="frozen"/>
      <selection pane="bottomLeft" activeCell="F11" sqref="F11"/>
    </sheetView>
  </sheetViews>
  <sheetFormatPr defaultRowHeight="14.4" x14ac:dyDescent="0.3"/>
  <cols>
    <col min="1" max="1" width="2.6640625" bestFit="1" customWidth="1"/>
    <col min="2" max="2" width="10.44140625" bestFit="1" customWidth="1"/>
    <col min="3" max="3" width="14.88671875" bestFit="1" customWidth="1"/>
    <col min="4" max="4" width="12.33203125" bestFit="1" customWidth="1"/>
    <col min="5" max="5" width="16.77734375" bestFit="1" customWidth="1"/>
  </cols>
  <sheetData>
    <row r="1" spans="1:5" s="1" customFormat="1" x14ac:dyDescent="0.3">
      <c r="A1" s="1" t="s">
        <v>0</v>
      </c>
      <c r="B1" s="1" t="s">
        <v>67</v>
      </c>
      <c r="C1" s="1" t="s">
        <v>176</v>
      </c>
      <c r="D1" s="1" t="s">
        <v>226</v>
      </c>
      <c r="E1" s="1" t="s">
        <v>460</v>
      </c>
    </row>
    <row r="2" spans="1:5" x14ac:dyDescent="0.3">
      <c r="A2">
        <f>ROW(A2)-1</f>
        <v>1</v>
      </c>
      <c r="B2">
        <v>1</v>
      </c>
      <c r="C2" t="str" cm="1">
        <f t="array" ref="C2">GetValue("Dtb",B2,"Name")</f>
        <v>crudex</v>
      </c>
      <c r="D2">
        <v>1</v>
      </c>
      <c r="E2" t="str" cm="1">
        <f t="array" ref="E2">GetValue("Con",D2,"Name")</f>
        <v>crudex-dev</v>
      </c>
    </row>
    <row r="3" spans="1:5" x14ac:dyDescent="0.3">
      <c r="A3">
        <f>ROW(A3)-1</f>
        <v>2</v>
      </c>
      <c r="B3">
        <v>1</v>
      </c>
      <c r="C3" t="str" cm="1">
        <f t="array" ref="C3">GetValue("Dtb",B3,"Name")</f>
        <v>crudex</v>
      </c>
      <c r="D3">
        <v>2</v>
      </c>
      <c r="E3" t="str" cm="1">
        <f t="array" ref="E3">GetValue("Con",D3,"Name")</f>
        <v>crudex-hml</v>
      </c>
    </row>
    <row r="4" spans="1:5" x14ac:dyDescent="0.3">
      <c r="A4">
        <f>ROW(A4)-1</f>
        <v>3</v>
      </c>
      <c r="B4">
        <v>1</v>
      </c>
      <c r="C4" t="str" cm="1">
        <f t="array" ref="C4">GetValue("Dtb",B4,"Name")</f>
        <v>crudex</v>
      </c>
      <c r="D4">
        <v>3</v>
      </c>
      <c r="E4" t="str" cm="1">
        <f t="array" ref="E4">GetValue("Con",D4,"Name")</f>
        <v>crudex-prd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Ses"/>
  <dimension ref="A1:F1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13.6640625" bestFit="1" customWidth="1"/>
    <col min="5" max="5" width="9.21875" bestFit="1" customWidth="1"/>
    <col min="6" max="6" width="8.44140625" bestFit="1" customWidth="1"/>
  </cols>
  <sheetData>
    <row r="1" spans="1:6" s="1" customFormat="1" x14ac:dyDescent="0.3">
      <c r="A1" s="1" t="s">
        <v>0</v>
      </c>
      <c r="B1" s="1" t="s">
        <v>48</v>
      </c>
      <c r="C1" s="1" t="s">
        <v>64</v>
      </c>
      <c r="D1" s="1" t="s">
        <v>311</v>
      </c>
      <c r="E1" s="1" t="s">
        <v>170</v>
      </c>
      <c r="F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Trs"/>
  <dimension ref="A1:C1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264</v>
      </c>
      <c r="C1" s="1" t="s">
        <v>218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Ope"/>
  <dimension ref="A1:G1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219</v>
      </c>
      <c r="C1" s="1" t="s">
        <v>220</v>
      </c>
      <c r="D1" s="1" t="s">
        <v>51</v>
      </c>
      <c r="E1" s="1" t="s">
        <v>228</v>
      </c>
      <c r="F1" s="1" t="s">
        <v>221</v>
      </c>
      <c r="G1" s="1" t="s">
        <v>218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62B4-2794-4367-80D2-62BD1501C491}">
  <sheetPr codeName="planSnp"/>
  <dimension ref="A1:G1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5546875" bestFit="1" customWidth="1"/>
    <col min="4" max="4" width="6" bestFit="1" customWidth="1"/>
    <col min="5" max="5" width="12.6640625" bestFit="1" customWidth="1"/>
    <col min="6" max="6" width="8.109375" bestFit="1" customWidth="1"/>
    <col min="7" max="7" width="7.5546875" bestFit="1" customWidth="1"/>
  </cols>
  <sheetData>
    <row r="1" spans="1:7" s="1" customFormat="1" x14ac:dyDescent="0.3">
      <c r="A1" s="1" t="s">
        <v>0</v>
      </c>
      <c r="B1" s="1" t="s">
        <v>81</v>
      </c>
      <c r="C1" s="1" t="s">
        <v>177</v>
      </c>
      <c r="D1" s="1" t="s">
        <v>1</v>
      </c>
      <c r="E1" s="1" t="s">
        <v>416</v>
      </c>
      <c r="F1" s="1" t="s">
        <v>687</v>
      </c>
      <c r="G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73A0-F420-4E47-B851-EE376DCA2C8D}">
  <sheetPr codeName="planSnpScr"/>
  <dimension ref="A1:H1"/>
  <sheetViews>
    <sheetView workbookViewId="0">
      <pane ySplit="1" topLeftCell="A2" activePane="bottomLeft" state="frozen"/>
      <selection pane="bottomLeft" activeCell="H2" sqref="H2"/>
    </sheetView>
  </sheetViews>
  <sheetFormatPr defaultRowHeight="14.4" x14ac:dyDescent="0.3"/>
  <cols>
    <col min="1" max="1" width="2.6640625" bestFit="1" customWidth="1"/>
    <col min="2" max="2" width="8" bestFit="1" customWidth="1"/>
    <col min="3" max="3" width="12.33203125" bestFit="1" customWidth="1"/>
    <col min="4" max="4" width="19.109375" bestFit="1" customWidth="1"/>
    <col min="5" max="5" width="9.21875" bestFit="1" customWidth="1"/>
    <col min="6" max="6" width="10.109375" bestFit="1" customWidth="1"/>
    <col min="7" max="7" width="12.33203125" bestFit="1" customWidth="1"/>
    <col min="8" max="8" width="19.44140625" bestFit="1" customWidth="1"/>
  </cols>
  <sheetData>
    <row r="1" spans="1:8" s="1" customFormat="1" x14ac:dyDescent="0.3">
      <c r="A1" s="1" t="s">
        <v>0</v>
      </c>
      <c r="B1" s="1" t="s">
        <v>432</v>
      </c>
      <c r="C1" s="1" t="s">
        <v>553</v>
      </c>
      <c r="D1" s="1" t="s">
        <v>312</v>
      </c>
      <c r="E1" s="1" t="s">
        <v>49</v>
      </c>
      <c r="F1" s="1" t="s">
        <v>292</v>
      </c>
      <c r="G1" s="1" t="s">
        <v>293</v>
      </c>
      <c r="H1" s="1" t="s">
        <v>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8C48D-D713-4216-9410-7AB0E957C1E8}">
  <sheetPr codeName="planPrd"/>
  <dimension ref="A1:C7"/>
  <sheetViews>
    <sheetView workbookViewId="0">
      <pane ySplit="1" topLeftCell="A2" activePane="bottomLeft" state="frozen"/>
      <selection pane="bottomLeft" activeCell="B2" sqref="B2:B7"/>
    </sheetView>
  </sheetViews>
  <sheetFormatPr defaultColWidth="13.88671875" defaultRowHeight="14.4" x14ac:dyDescent="0.3"/>
  <cols>
    <col min="1" max="1" width="2.6640625" bestFit="1" customWidth="1"/>
    <col min="2" max="2" width="6.77734375" bestFit="1" customWidth="1"/>
    <col min="3" max="3" width="10.44140625" bestFit="1" customWidth="1"/>
  </cols>
  <sheetData>
    <row r="1" spans="1:3" s="1" customFormat="1" x14ac:dyDescent="0.3">
      <c r="A1" s="3" t="s">
        <v>0</v>
      </c>
      <c r="B1" s="3" t="s">
        <v>1</v>
      </c>
      <c r="C1" s="1" t="s">
        <v>46</v>
      </c>
    </row>
    <row r="2" spans="1:3" x14ac:dyDescent="0.3">
      <c r="A2" s="4">
        <f t="shared" ref="A2:A7" si="0">ROW(A2)-1</f>
        <v>1</v>
      </c>
      <c r="B2" s="4" t="s">
        <v>306</v>
      </c>
      <c r="C2" t="s">
        <v>313</v>
      </c>
    </row>
    <row r="3" spans="1:3" x14ac:dyDescent="0.3">
      <c r="A3" s="4">
        <f t="shared" si="0"/>
        <v>2</v>
      </c>
      <c r="B3" s="4" t="s">
        <v>307</v>
      </c>
      <c r="C3" t="s">
        <v>314</v>
      </c>
    </row>
    <row r="4" spans="1:3" x14ac:dyDescent="0.3">
      <c r="A4" s="4">
        <f t="shared" si="0"/>
        <v>3</v>
      </c>
      <c r="B4" s="4" t="s">
        <v>295</v>
      </c>
      <c r="C4" t="s">
        <v>315</v>
      </c>
    </row>
    <row r="5" spans="1:3" x14ac:dyDescent="0.3">
      <c r="A5" s="4">
        <f t="shared" si="0"/>
        <v>4</v>
      </c>
      <c r="B5" s="4" t="s">
        <v>296</v>
      </c>
      <c r="C5" t="s">
        <v>316</v>
      </c>
    </row>
    <row r="6" spans="1:3" x14ac:dyDescent="0.3">
      <c r="A6" s="4">
        <f t="shared" si="0"/>
        <v>5</v>
      </c>
      <c r="B6" s="4" t="s">
        <v>297</v>
      </c>
      <c r="C6" t="s">
        <v>317</v>
      </c>
    </row>
    <row r="7" spans="1:3" x14ac:dyDescent="0.3">
      <c r="A7" s="4">
        <f t="shared" si="0"/>
        <v>6</v>
      </c>
      <c r="B7" s="4" t="s">
        <v>298</v>
      </c>
      <c r="C7" t="s">
        <v>318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6CA9-6BCD-4645-A4B3-35F5F52374D8}">
  <sheetPr codeName="planSch"/>
  <dimension ref="A1:M1"/>
  <sheetViews>
    <sheetView workbookViewId="0">
      <pane ySplit="1" topLeftCell="A2" activePane="bottomLeft" state="frozen"/>
      <selection pane="bottomLeft" activeCell="L2" sqref="L2"/>
    </sheetView>
  </sheetViews>
  <sheetFormatPr defaultRowHeight="14.4" x14ac:dyDescent="0.3"/>
  <cols>
    <col min="1" max="1" width="2.6640625" style="1" bestFit="1" customWidth="1"/>
    <col min="2" max="2" width="11.5546875" style="1" bestFit="1" customWidth="1"/>
    <col min="3" max="3" width="16" style="1" bestFit="1" customWidth="1"/>
    <col min="4" max="4" width="6" style="1" bestFit="1" customWidth="1"/>
    <col min="5" max="5" width="7.44140625" style="1" bestFit="1" customWidth="1"/>
    <col min="6" max="6" width="10.33203125" style="1" bestFit="1" customWidth="1"/>
    <col min="7" max="7" width="13.109375" style="1" bestFit="1" customWidth="1"/>
    <col min="8" max="8" width="12.109375" style="1" bestFit="1" customWidth="1"/>
    <col min="9" max="9" width="14.88671875" style="1" bestFit="1" customWidth="1"/>
    <col min="10" max="10" width="13.5546875" style="1" bestFit="1" customWidth="1"/>
    <col min="11" max="11" width="10" style="1" bestFit="1" customWidth="1"/>
    <col min="12" max="12" width="8.109375" style="1" bestFit="1" customWidth="1"/>
    <col min="13" max="13" width="7.5546875" style="1" bestFit="1" customWidth="1"/>
    <col min="14" max="16384" width="8.88671875" style="1"/>
  </cols>
  <sheetData>
    <row r="1" spans="1:13" x14ac:dyDescent="0.3">
      <c r="A1" s="1" t="s">
        <v>0</v>
      </c>
      <c r="B1" s="1" t="s">
        <v>294</v>
      </c>
      <c r="C1" s="1" t="s">
        <v>309</v>
      </c>
      <c r="D1" s="1" t="s">
        <v>1</v>
      </c>
      <c r="E1" s="1" t="s">
        <v>308</v>
      </c>
      <c r="F1" s="1" t="s">
        <v>424</v>
      </c>
      <c r="G1" s="1" t="s">
        <v>437</v>
      </c>
      <c r="H1" s="1" t="s">
        <v>436</v>
      </c>
      <c r="I1" s="1" t="s">
        <v>442</v>
      </c>
      <c r="J1" s="1" t="s">
        <v>305</v>
      </c>
      <c r="K1" s="1" t="s">
        <v>310</v>
      </c>
      <c r="L1" s="1" t="s">
        <v>687</v>
      </c>
      <c r="M1" s="1" t="s">
        <v>22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D6122-EA1A-411F-B674-41A7952FC7A6}">
  <sheetPr codeName="planSchScr"/>
  <dimension ref="A1:F1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11" bestFit="1" customWidth="1"/>
    <col min="3" max="3" width="15.44140625" bestFit="1" customWidth="1"/>
    <col min="4" max="4" width="16.77734375" bestFit="1" customWidth="1"/>
    <col min="5" max="5" width="9.2187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434</v>
      </c>
      <c r="C1" s="1" t="s">
        <v>554</v>
      </c>
      <c r="D1" s="1" t="s">
        <v>226</v>
      </c>
      <c r="E1" s="1" t="s">
        <v>49</v>
      </c>
      <c r="F1" s="1" t="s">
        <v>593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C1A76-F3CC-4CA6-A16C-F61A525E30AD}">
  <sheetPr codeName="Planilha4"/>
  <dimension ref="A1:B26"/>
  <sheetViews>
    <sheetView workbookViewId="0">
      <selection activeCell="B15" sqref="B15"/>
    </sheetView>
  </sheetViews>
  <sheetFormatPr defaultRowHeight="14.4" x14ac:dyDescent="0.3"/>
  <cols>
    <col min="1" max="1" width="3" bestFit="1" customWidth="1"/>
    <col min="2" max="2" width="7" style="23" bestFit="1" customWidth="1"/>
  </cols>
  <sheetData>
    <row r="1" spans="1:2" s="1" customFormat="1" x14ac:dyDescent="0.3">
      <c r="A1" s="1" t="s">
        <v>0</v>
      </c>
      <c r="B1" s="1" t="s">
        <v>1</v>
      </c>
    </row>
    <row r="2" spans="1:2" x14ac:dyDescent="0.3">
      <c r="A2">
        <f>ROW(A2)-1</f>
        <v>1</v>
      </c>
      <c r="B2" s="23" t="s">
        <v>691</v>
      </c>
    </row>
    <row r="3" spans="1:2" x14ac:dyDescent="0.3">
      <c r="A3">
        <f t="shared" ref="A3:A7" si="0">ROW(A3)-1</f>
        <v>2</v>
      </c>
      <c r="B3" s="23" t="s">
        <v>752</v>
      </c>
    </row>
    <row r="4" spans="1:2" x14ac:dyDescent="0.3">
      <c r="A4">
        <f t="shared" si="0"/>
        <v>3</v>
      </c>
      <c r="B4" s="23" t="s">
        <v>692</v>
      </c>
    </row>
    <row r="5" spans="1:2" x14ac:dyDescent="0.3">
      <c r="A5">
        <f t="shared" si="0"/>
        <v>4</v>
      </c>
      <c r="B5" s="23" t="s">
        <v>874</v>
      </c>
    </row>
    <row r="6" spans="1:2" x14ac:dyDescent="0.3">
      <c r="A6">
        <f>ROW(A6)-1</f>
        <v>5</v>
      </c>
      <c r="B6" s="23" t="s">
        <v>753</v>
      </c>
    </row>
    <row r="7" spans="1:2" x14ac:dyDescent="0.3">
      <c r="A7">
        <f t="shared" si="0"/>
        <v>6</v>
      </c>
      <c r="B7" s="23" t="s">
        <v>693</v>
      </c>
    </row>
    <row r="8" spans="1:2" x14ac:dyDescent="0.3">
      <c r="A8">
        <f>ROW(A8)-1</f>
        <v>7</v>
      </c>
      <c r="B8" s="23" t="s">
        <v>875</v>
      </c>
    </row>
    <row r="9" spans="1:2" x14ac:dyDescent="0.3">
      <c r="A9">
        <f t="shared" ref="A9:A11" si="1">ROW(A9)-1</f>
        <v>8</v>
      </c>
      <c r="B9" s="23" t="s">
        <v>876</v>
      </c>
    </row>
    <row r="10" spans="1:2" x14ac:dyDescent="0.3">
      <c r="A10">
        <f t="shared" si="1"/>
        <v>9</v>
      </c>
      <c r="B10" s="23" t="s">
        <v>872</v>
      </c>
    </row>
    <row r="11" spans="1:2" x14ac:dyDescent="0.3">
      <c r="A11">
        <f t="shared" si="1"/>
        <v>10</v>
      </c>
      <c r="B11" s="23" t="s">
        <v>873</v>
      </c>
    </row>
    <row r="25" spans="1:2" x14ac:dyDescent="0.3">
      <c r="A25">
        <f t="shared" ref="A25:A26" si="2">ROW(A25)-1</f>
        <v>24</v>
      </c>
      <c r="B25" s="23" t="s">
        <v>694</v>
      </c>
    </row>
    <row r="26" spans="1:2" x14ac:dyDescent="0.3">
      <c r="A26">
        <f t="shared" si="2"/>
        <v>25</v>
      </c>
      <c r="B26" s="23" t="s">
        <v>871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9E381-B14B-4017-A379-B92F96273C54}">
  <sheetPr codeName="Planilha5"/>
  <dimension ref="A1:E22"/>
  <sheetViews>
    <sheetView workbookViewId="0">
      <selection activeCell="C14" sqref="C14"/>
    </sheetView>
  </sheetViews>
  <sheetFormatPr defaultRowHeight="14.4" x14ac:dyDescent="0.3"/>
  <cols>
    <col min="1" max="1" width="3" bestFit="1" customWidth="1"/>
    <col min="2" max="2" width="10.5546875" bestFit="1" customWidth="1"/>
    <col min="3" max="3" width="7.21875" bestFit="1" customWidth="1"/>
    <col min="4" max="4" width="44.33203125" bestFit="1" customWidth="1"/>
    <col min="5" max="5" width="11.77734375" bestFit="1" customWidth="1"/>
  </cols>
  <sheetData>
    <row r="1" spans="1:5" s="1" customFormat="1" x14ac:dyDescent="0.3">
      <c r="A1" s="3" t="s">
        <v>0</v>
      </c>
      <c r="B1" s="3" t="s">
        <v>1</v>
      </c>
      <c r="C1" s="3" t="s">
        <v>740</v>
      </c>
      <c r="D1" s="3" t="s">
        <v>46</v>
      </c>
      <c r="E1" s="1" t="s">
        <v>22</v>
      </c>
    </row>
    <row r="2" spans="1:5" x14ac:dyDescent="0.3">
      <c r="A2" s="4">
        <v>1</v>
      </c>
      <c r="B2" s="4" t="s">
        <v>701</v>
      </c>
      <c r="C2" s="4"/>
      <c r="D2" s="4" t="s">
        <v>711</v>
      </c>
      <c r="E2" t="b">
        <v>1</v>
      </c>
    </row>
    <row r="3" spans="1:5" x14ac:dyDescent="0.3">
      <c r="A3" s="4">
        <v>2</v>
      </c>
      <c r="B3" s="4" t="s">
        <v>700</v>
      </c>
      <c r="C3" s="4"/>
      <c r="D3" s="4" t="s">
        <v>712</v>
      </c>
      <c r="E3" t="b">
        <v>1</v>
      </c>
    </row>
    <row r="4" spans="1:5" x14ac:dyDescent="0.3">
      <c r="A4" s="4">
        <v>3</v>
      </c>
      <c r="B4" s="4" t="s">
        <v>699</v>
      </c>
      <c r="C4" s="4"/>
      <c r="D4" s="4" t="s">
        <v>713</v>
      </c>
      <c r="E4" t="b">
        <v>1</v>
      </c>
    </row>
    <row r="5" spans="1:5" x14ac:dyDescent="0.3">
      <c r="A5" s="4">
        <v>4</v>
      </c>
      <c r="B5" s="4" t="s">
        <v>698</v>
      </c>
      <c r="C5" s="4"/>
      <c r="D5" s="4" t="s">
        <v>714</v>
      </c>
      <c r="E5" t="b">
        <v>1</v>
      </c>
    </row>
    <row r="6" spans="1:5" x14ac:dyDescent="0.3">
      <c r="A6" s="4">
        <v>5</v>
      </c>
      <c r="B6" s="4" t="s">
        <v>697</v>
      </c>
      <c r="C6" s="4"/>
      <c r="D6" s="4" t="s">
        <v>715</v>
      </c>
      <c r="E6" t="b">
        <v>1</v>
      </c>
    </row>
    <row r="7" spans="1:5" x14ac:dyDescent="0.3">
      <c r="A7" s="4">
        <v>6</v>
      </c>
      <c r="B7" s="4" t="s">
        <v>695</v>
      </c>
      <c r="C7" s="4"/>
      <c r="D7" s="4" t="s">
        <v>716</v>
      </c>
      <c r="E7" t="b">
        <v>1</v>
      </c>
    </row>
    <row r="8" spans="1:5" x14ac:dyDescent="0.3">
      <c r="A8" s="4">
        <v>7</v>
      </c>
      <c r="B8" s="4" t="s">
        <v>696</v>
      </c>
      <c r="C8" s="4"/>
      <c r="D8" s="4" t="s">
        <v>717</v>
      </c>
      <c r="E8" t="b">
        <v>1</v>
      </c>
    </row>
    <row r="9" spans="1:5" x14ac:dyDescent="0.3">
      <c r="A9" s="4">
        <v>9</v>
      </c>
      <c r="B9" s="4" t="s">
        <v>707</v>
      </c>
      <c r="C9" s="4" t="s">
        <v>709</v>
      </c>
      <c r="D9" s="4" t="s">
        <v>718</v>
      </c>
      <c r="E9" t="b">
        <v>1</v>
      </c>
    </row>
    <row r="10" spans="1:5" x14ac:dyDescent="0.3">
      <c r="A10" s="4">
        <v>10</v>
      </c>
      <c r="B10" s="4" t="s">
        <v>719</v>
      </c>
      <c r="C10" s="4" t="s">
        <v>7</v>
      </c>
      <c r="D10" s="4" t="s">
        <v>720</v>
      </c>
      <c r="E10" t="b">
        <v>1</v>
      </c>
    </row>
    <row r="11" spans="1:5" x14ac:dyDescent="0.3">
      <c r="A11" s="4">
        <v>11</v>
      </c>
      <c r="B11" s="4" t="s">
        <v>721</v>
      </c>
      <c r="C11" s="4" t="s">
        <v>7</v>
      </c>
      <c r="D11" s="4" t="s">
        <v>722</v>
      </c>
      <c r="E11" t="b">
        <v>1</v>
      </c>
    </row>
    <row r="12" spans="1:5" x14ac:dyDescent="0.3">
      <c r="A12" s="4">
        <v>12</v>
      </c>
      <c r="B12" s="4" t="s">
        <v>723</v>
      </c>
      <c r="C12" s="4" t="s">
        <v>7</v>
      </c>
      <c r="D12" s="4" t="s">
        <v>724</v>
      </c>
      <c r="E12" t="b">
        <v>1</v>
      </c>
    </row>
    <row r="13" spans="1:5" x14ac:dyDescent="0.3">
      <c r="A13" s="4">
        <v>13</v>
      </c>
      <c r="B13" s="4" t="s">
        <v>725</v>
      </c>
      <c r="C13" s="4" t="s">
        <v>7</v>
      </c>
      <c r="D13" s="4" t="s">
        <v>726</v>
      </c>
      <c r="E13" t="b">
        <v>1</v>
      </c>
    </row>
    <row r="14" spans="1:5" x14ac:dyDescent="0.3">
      <c r="A14" s="4">
        <v>14</v>
      </c>
      <c r="B14" s="4" t="s">
        <v>702</v>
      </c>
      <c r="C14" s="4" t="s">
        <v>230</v>
      </c>
      <c r="D14" s="4" t="s">
        <v>727</v>
      </c>
      <c r="E14" t="b">
        <v>1</v>
      </c>
    </row>
    <row r="15" spans="1:5" x14ac:dyDescent="0.3">
      <c r="A15" s="4">
        <v>15</v>
      </c>
      <c r="B15" s="4" t="s">
        <v>703</v>
      </c>
      <c r="C15" s="4" t="s">
        <v>230</v>
      </c>
      <c r="D15" s="4" t="s">
        <v>728</v>
      </c>
      <c r="E15" t="b">
        <v>1</v>
      </c>
    </row>
    <row r="16" spans="1:5" x14ac:dyDescent="0.3">
      <c r="A16" s="4">
        <v>16</v>
      </c>
      <c r="B16" s="4" t="s">
        <v>704</v>
      </c>
      <c r="C16" s="4" t="s">
        <v>230</v>
      </c>
      <c r="D16" s="4" t="s">
        <v>729</v>
      </c>
      <c r="E16" t="b">
        <v>1</v>
      </c>
    </row>
    <row r="17" spans="1:5" x14ac:dyDescent="0.3">
      <c r="A17" s="4">
        <v>17</v>
      </c>
      <c r="B17" s="4" t="s">
        <v>705</v>
      </c>
      <c r="C17" s="4" t="s">
        <v>230</v>
      </c>
      <c r="D17" s="4" t="s">
        <v>730</v>
      </c>
      <c r="E17" t="b">
        <v>1</v>
      </c>
    </row>
    <row r="18" spans="1:5" x14ac:dyDescent="0.3">
      <c r="A18" s="4">
        <v>18</v>
      </c>
      <c r="B18" s="4" t="s">
        <v>731</v>
      </c>
      <c r="C18" s="4" t="s">
        <v>230</v>
      </c>
      <c r="D18" s="4" t="s">
        <v>732</v>
      </c>
      <c r="E18" t="b">
        <v>1</v>
      </c>
    </row>
    <row r="19" spans="1:5" x14ac:dyDescent="0.3">
      <c r="A19" s="4">
        <v>19</v>
      </c>
      <c r="B19" s="4" t="s">
        <v>706</v>
      </c>
      <c r="C19" s="4" t="s">
        <v>708</v>
      </c>
      <c r="D19" s="4" t="s">
        <v>733</v>
      </c>
      <c r="E19" t="b">
        <v>1</v>
      </c>
    </row>
    <row r="20" spans="1:5" x14ac:dyDescent="0.3">
      <c r="A20" s="4">
        <v>20</v>
      </c>
      <c r="B20" s="4" t="s">
        <v>734</v>
      </c>
      <c r="C20" s="4" t="s">
        <v>7</v>
      </c>
      <c r="D20" s="4" t="s">
        <v>735</v>
      </c>
      <c r="E20" t="b">
        <v>1</v>
      </c>
    </row>
    <row r="21" spans="1:5" x14ac:dyDescent="0.3">
      <c r="A21" s="4">
        <v>22</v>
      </c>
      <c r="B21" s="4" t="s">
        <v>736</v>
      </c>
      <c r="C21" s="4" t="s">
        <v>7</v>
      </c>
      <c r="D21" s="4" t="s">
        <v>737</v>
      </c>
      <c r="E21" t="b">
        <v>1</v>
      </c>
    </row>
    <row r="22" spans="1:5" x14ac:dyDescent="0.3">
      <c r="A22" s="4">
        <v>24</v>
      </c>
      <c r="B22" s="4" t="s">
        <v>710</v>
      </c>
      <c r="C22" s="4" t="s">
        <v>7</v>
      </c>
      <c r="D22" s="4" t="s">
        <v>738</v>
      </c>
      <c r="E2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528AC-3232-4A75-BBB4-09943935B793}">
  <sheetPr codeName="Planilha6"/>
  <dimension ref="A1:F3"/>
  <sheetViews>
    <sheetView workbookViewId="0">
      <selection activeCell="I12" sqref="I12"/>
    </sheetView>
  </sheetViews>
  <sheetFormatPr defaultColWidth="9" defaultRowHeight="14.4" x14ac:dyDescent="0.3"/>
  <cols>
    <col min="1" max="1" width="2.6640625" bestFit="1" customWidth="1"/>
    <col min="2" max="2" width="9.6640625" bestFit="1" customWidth="1"/>
    <col min="3" max="3" width="13.6640625" bestFit="1" customWidth="1"/>
    <col min="4" max="4" width="10" bestFit="1" customWidth="1"/>
    <col min="5" max="5" width="14.44140625" bestFit="1" customWidth="1"/>
    <col min="6" max="6" width="5.77734375" bestFit="1" customWidth="1"/>
  </cols>
  <sheetData>
    <row r="1" spans="1:6" s="1" customFormat="1" x14ac:dyDescent="0.3">
      <c r="A1" s="1" t="s">
        <v>0</v>
      </c>
      <c r="B1" s="1" t="s">
        <v>152</v>
      </c>
      <c r="C1" s="1" t="s">
        <v>180</v>
      </c>
      <c r="D1" s="1" t="s">
        <v>739</v>
      </c>
      <c r="E1" s="1" t="s">
        <v>741</v>
      </c>
      <c r="F1" s="1" t="s">
        <v>747</v>
      </c>
    </row>
    <row r="2" spans="1:6" x14ac:dyDescent="0.3">
      <c r="A2">
        <f>ROW(A2)-1</f>
        <v>1</v>
      </c>
      <c r="B2">
        <v>2</v>
      </c>
      <c r="C2" t="str" cm="1">
        <f t="array" ref="C2">GetValue("Col",B2,"Name")</f>
        <v>Name (Cli)</v>
      </c>
      <c r="D2">
        <v>4</v>
      </c>
      <c r="E2" t="str" cm="1">
        <f t="array" ref="E2">GetValue("Prp",D2,"Name")</f>
        <v>hidden</v>
      </c>
    </row>
    <row r="3" spans="1:6" x14ac:dyDescent="0.3">
      <c r="A3">
        <f>ROW(A3)-1</f>
        <v>2</v>
      </c>
      <c r="B3">
        <v>2</v>
      </c>
      <c r="C3" t="str" cm="1">
        <f t="array" ref="C3">GetValue("Col",B3,"Name")</f>
        <v>Name (Cli)</v>
      </c>
      <c r="D3">
        <v>7</v>
      </c>
      <c r="E3" t="str" cm="1">
        <f t="array" ref="E3">GetValue("Prp",D3,"Name")</f>
        <v>required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EA896-8DFF-4C06-988F-03337090E240}">
  <sheetPr codeName="Planilha7"/>
  <dimension ref="A1:H3"/>
  <sheetViews>
    <sheetView tabSelected="1" workbookViewId="0">
      <selection activeCell="A4" sqref="A4"/>
    </sheetView>
  </sheetViews>
  <sheetFormatPr defaultRowHeight="14.4" x14ac:dyDescent="0.3"/>
  <cols>
    <col min="1" max="1" width="3.6640625" bestFit="1" customWidth="1"/>
    <col min="2" max="2" width="10.109375" bestFit="1" customWidth="1"/>
    <col min="3" max="3" width="9.21875" bestFit="1" customWidth="1"/>
    <col min="4" max="4" width="13.6640625" bestFit="1" customWidth="1"/>
    <col min="5" max="5" width="8.5546875" style="23" bestFit="1" customWidth="1"/>
    <col min="6" max="6" width="5.77734375" bestFit="1" customWidth="1"/>
    <col min="7" max="7" width="14.6640625" bestFit="1" customWidth="1"/>
    <col min="8" max="8" width="11.77734375" bestFit="1" customWidth="1"/>
  </cols>
  <sheetData>
    <row r="1" spans="1:8" x14ac:dyDescent="0.3">
      <c r="A1" s="1" t="s">
        <v>879</v>
      </c>
      <c r="B1" s="1" t="s">
        <v>749</v>
      </c>
      <c r="C1" s="1" t="s">
        <v>152</v>
      </c>
      <c r="D1" s="1" t="s">
        <v>180</v>
      </c>
      <c r="E1" s="1" t="s">
        <v>878</v>
      </c>
      <c r="F1" s="1" t="s">
        <v>747</v>
      </c>
      <c r="G1" s="1" t="s">
        <v>787</v>
      </c>
      <c r="H1" s="1" t="s">
        <v>869</v>
      </c>
    </row>
    <row r="2" spans="1:8" x14ac:dyDescent="0.3">
      <c r="A2">
        <f>ROW(A2)-1</f>
        <v>1</v>
      </c>
      <c r="B2">
        <v>1</v>
      </c>
      <c r="C2">
        <v>1</v>
      </c>
      <c r="D2" t="str" cm="1">
        <f t="array" ref="D2">GetValue("Col",C2,"Name")</f>
        <v>Id (Cli)</v>
      </c>
      <c r="E2" s="23" t="s">
        <v>874</v>
      </c>
      <c r="F2">
        <v>10</v>
      </c>
      <c r="G2" t="b">
        <v>1</v>
      </c>
      <c r="H2" t="b">
        <v>1</v>
      </c>
    </row>
    <row r="3" spans="1:8" x14ac:dyDescent="0.3">
      <c r="A3">
        <f>ROW(A3)-1</f>
        <v>2</v>
      </c>
      <c r="B3">
        <v>1</v>
      </c>
      <c r="C3">
        <v>1</v>
      </c>
      <c r="D3" t="str" cm="1">
        <f t="array" ref="D3">GetValue("Col",C3,"Name")</f>
        <v>Id (Cli)</v>
      </c>
      <c r="E3" s="23" t="s">
        <v>752</v>
      </c>
      <c r="F3">
        <v>20</v>
      </c>
      <c r="H3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37</vt:i4>
      </vt:variant>
    </vt:vector>
  </HeadingPairs>
  <TitlesOfParts>
    <vt:vector size="37" baseType="lpstr">
      <vt:lpstr>Sgbd</vt:lpstr>
      <vt:lpstr>Typ</vt:lpstr>
      <vt:lpstr>Cli</vt:lpstr>
      <vt:lpstr>Dmn</vt:lpstr>
      <vt:lpstr>Msk</vt:lpstr>
      <vt:lpstr>DmnMsk</vt:lpstr>
      <vt:lpstr>Usr</vt:lpstr>
      <vt:lpstr>Env</vt:lpstr>
      <vt:lpstr>Sys</vt:lpstr>
      <vt:lpstr>SysGrpEnv</vt:lpstr>
      <vt:lpstr>Dtb</vt:lpstr>
      <vt:lpstr>Tbl</vt:lpstr>
      <vt:lpstr>Rnk</vt:lpstr>
      <vt:lpstr>DtbTbl</vt:lpstr>
      <vt:lpstr>Col</vt:lpstr>
      <vt:lpstr>ChkDig</vt:lpstr>
      <vt:lpstr>ChkCnd</vt:lpstr>
      <vt:lpstr>Rel</vt:lpstr>
      <vt:lpstr>Unq</vt:lpstr>
      <vt:lpstr>Req</vt:lpstr>
      <vt:lpstr>Idx</vt:lpstr>
      <vt:lpstr>IdxKey</vt:lpstr>
      <vt:lpstr>IdxInc</vt:lpstr>
      <vt:lpstr>Con</vt:lpstr>
      <vt:lpstr>DtbEnv</vt:lpstr>
      <vt:lpstr>Ses</vt:lpstr>
      <vt:lpstr>Trs</vt:lpstr>
      <vt:lpstr>Ope</vt:lpstr>
      <vt:lpstr>Snp</vt:lpstr>
      <vt:lpstr>SnpScr</vt:lpstr>
      <vt:lpstr>Prd</vt:lpstr>
      <vt:lpstr>Sch</vt:lpstr>
      <vt:lpstr>SchScr</vt:lpstr>
      <vt:lpstr>Opr</vt:lpstr>
      <vt:lpstr>Prp</vt:lpstr>
      <vt:lpstr>Bhv</vt:lpstr>
      <vt:lpstr>BhvChk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2025-11-01T02:03:25Z</dcterms:modified>
</cp:coreProperties>
</file>