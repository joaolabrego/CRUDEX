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97223FA5-29A7-459D-A8AB-4B11E384EBB7}" xr6:coauthVersionLast="47" xr6:coauthVersionMax="47" xr10:uidLastSave="{00000000-0000-0000-0000-000000000000}"/>
  <bookViews>
    <workbookView xWindow="-108" yWindow="-108" windowWidth="23256" windowHeight="13176" tabRatio="969" activeTab="16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Rst" sheetId="63" r:id="rId23"/>
    <sheet name="Exp" sheetId="41" r:id="rId24"/>
    <sheet name="Cnd" sheetId="34" r:id="rId25"/>
    <sheet name="Ref" sheetId="46" r:id="rId26"/>
    <sheet name="Rfk" sheetId="55" r:id="rId27"/>
    <sheet name="Rfb" sheetId="64" r:id="rId28"/>
    <sheet name="Usr" sheetId="7" r:id="rId29"/>
    <sheet name="Prm" sheetId="40" r:id="rId30"/>
    <sheet name="Prp" sheetId="37" r:id="rId31"/>
    <sheet name="Snp" sheetId="49" r:id="rId32"/>
    <sheet name="Sch" sheetId="47" r:id="rId33"/>
    <sheet name="Scr" sheetId="50" r:id="rId34"/>
    <sheet name="Cal" sheetId="54" r:id="rId35"/>
    <sheet name="Bhv" sheetId="38" r:id="rId36"/>
    <sheet name="Ses" sheetId="15" r:id="rId37"/>
    <sheet name="Trs" sheetId="19" r:id="rId38"/>
    <sheet name="Ope" sheetId="20" r:id="rId39"/>
    <sheet name="Ide" sheetId="59" r:id="rId40"/>
    <sheet name="Val" sheetId="60" r:id="rId41"/>
  </sheets>
  <functionGroups builtInGroupCount="19"/>
  <definedNames>
    <definedName name="_xlnm._FilterDatabase" localSheetId="17" hidden="1">Col!$A$1:$S$219</definedName>
    <definedName name="_xlnm._FilterDatabase" localSheetId="5" hidden="1">Map!$A$1:$I$414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59" l="1"/>
  <c r="A44" i="59"/>
  <c r="A67" i="4"/>
  <c r="A262" i="12"/>
  <c r="A261" i="12"/>
  <c r="A260" i="12"/>
  <c r="A259" i="12"/>
  <c r="A258" i="12"/>
  <c r="A32" i="11"/>
  <c r="A66" i="4"/>
  <c r="A27" i="11"/>
  <c r="A257" i="12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1" i="11"/>
  <c r="A30" i="11"/>
  <c r="A29" i="11"/>
  <c r="A28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C11" i="53" a="1"/>
  <c r="E17" i="53" a="1"/>
  <c r="F27" i="53" a="1"/>
  <c r="E38" i="53" a="1"/>
  <c r="E44" i="6" a="1"/>
  <c r="F72" i="53" a="1"/>
  <c r="F8" i="53" a="1"/>
  <c r="F7" i="53" a="1"/>
  <c r="E11" i="53" a="1"/>
  <c r="F20" i="53" a="1"/>
  <c r="F18" i="53" a="1"/>
  <c r="E25" i="53" a="1"/>
  <c r="F53" i="53" a="1"/>
  <c r="E41" i="53" a="1"/>
  <c r="F11" i="53" a="1"/>
  <c r="E36" i="6" a="1"/>
  <c r="C66" i="4" a="1"/>
  <c r="E62" i="53" a="1"/>
  <c r="F66" i="53" a="1"/>
  <c r="A3" i="64" a="1"/>
  <c r="E12" i="53" a="1"/>
  <c r="E43" i="53" a="1"/>
  <c r="C7" i="53" a="1"/>
  <c r="E13" i="53" a="1"/>
  <c r="E22" i="6" a="1"/>
  <c r="F9" i="53" a="1"/>
  <c r="E17" i="6" a="1"/>
  <c r="F5" i="53" a="1"/>
  <c r="E71" i="53" a="1"/>
  <c r="F44" i="53" a="1"/>
  <c r="E19" i="6" a="1"/>
  <c r="E29" i="6" a="1"/>
  <c r="F36" i="53" a="1"/>
  <c r="E32" i="53" a="1"/>
  <c r="F38" i="53" a="1"/>
  <c r="F37" i="53" a="1"/>
  <c r="E8" i="6" a="1"/>
  <c r="F3" i="63" a="1"/>
  <c r="E27" i="53" a="1"/>
  <c r="E67" i="4" a="1"/>
  <c r="B3" i="63" a="1"/>
  <c r="F64" i="53" a="1"/>
  <c r="E39" i="6" a="1"/>
  <c r="E23" i="6" a="1"/>
  <c r="E56" i="53" a="1"/>
  <c r="E41" i="6" a="1"/>
  <c r="F71" i="53" a="1"/>
  <c r="E20" i="53" a="1"/>
  <c r="F56" i="53" a="1"/>
  <c r="F31" i="53" a="1"/>
  <c r="D3" i="63" a="1"/>
  <c r="F16" i="53" a="1"/>
  <c r="E39" i="53" a="1"/>
  <c r="B3" i="64" a="1"/>
  <c r="E49" i="53" a="1"/>
  <c r="F54" i="53" a="1"/>
  <c r="F14" i="53" a="1"/>
  <c r="E60" i="53" a="1"/>
  <c r="E66" i="53" a="1"/>
  <c r="E31" i="6" a="1"/>
  <c r="E65" i="53" a="1"/>
  <c r="F49" i="53" a="1"/>
  <c r="E7" i="53" a="1"/>
  <c r="E9" i="53" a="1"/>
  <c r="F35" i="53" a="1"/>
  <c r="E69" i="53" a="1"/>
  <c r="F55" i="53" a="1"/>
  <c r="F50" i="53" a="1"/>
  <c r="C2" i="63" a="1"/>
  <c r="F13" i="53" a="1"/>
  <c r="E10" i="6" a="1"/>
  <c r="E34" i="53" a="1"/>
  <c r="E44" i="53" a="1"/>
  <c r="E16" i="6" a="1"/>
  <c r="C13" i="53" a="1"/>
  <c r="E24" i="53" a="1"/>
  <c r="C5" i="53" a="1"/>
  <c r="E6" i="6" a="1"/>
  <c r="E15" i="53" a="1"/>
  <c r="F26" i="53" a="1"/>
  <c r="E68" i="53" a="1"/>
  <c r="E64" i="53" a="1"/>
  <c r="E2" i="6" a="1"/>
  <c r="E8" i="53" a="1"/>
  <c r="F33" i="53" a="1"/>
  <c r="C27" i="11" a="1"/>
  <c r="F45" i="53" a="1"/>
  <c r="E24" i="6" a="1"/>
  <c r="E18" i="6" a="1"/>
  <c r="E40" i="6" a="1"/>
  <c r="E7" i="6" a="1"/>
  <c r="E51" i="53" a="1"/>
  <c r="C45" i="59" a="1"/>
  <c r="E12" i="6" a="1"/>
  <c r="F40" i="53" a="1"/>
  <c r="C17" i="53" a="1"/>
  <c r="F61" i="53" a="1"/>
  <c r="E33" i="53" a="1"/>
  <c r="E38" i="6" a="1"/>
  <c r="F67" i="53" a="1"/>
  <c r="F62" i="53" a="1"/>
  <c r="E21" i="53" a="1"/>
  <c r="F52" i="53" a="1"/>
  <c r="F65" i="53" a="1"/>
  <c r="E53" i="53" a="1"/>
  <c r="E33" i="6" a="1"/>
  <c r="E30" i="6" a="1"/>
  <c r="E72" i="53" a="1"/>
  <c r="E45" i="53" a="1"/>
  <c r="C16" i="53" a="1"/>
  <c r="F34" i="53" a="1"/>
  <c r="E26" i="53" a="1"/>
  <c r="F25" i="53" a="1"/>
  <c r="F19" i="53" a="1"/>
  <c r="E37" i="53" a="1"/>
  <c r="E28" i="6" a="1"/>
  <c r="E70" i="53" a="1"/>
  <c r="E50" i="53" a="1"/>
  <c r="E18" i="53" a="1"/>
  <c r="D3" i="64" a="1"/>
  <c r="E66" i="4" a="1"/>
  <c r="E61" i="53" a="1"/>
  <c r="E26" i="6" a="1"/>
  <c r="E14" i="53" a="1"/>
  <c r="F51" i="53" a="1"/>
  <c r="F63" i="53" a="1"/>
  <c r="E55" i="53" a="1"/>
  <c r="E36" i="53" a="1"/>
  <c r="F21" i="53" a="1"/>
  <c r="F46" i="53" a="1"/>
  <c r="F32" i="53" a="1"/>
  <c r="C44" i="59" a="1"/>
  <c r="F41" i="53" a="1"/>
  <c r="F15" i="53" a="1"/>
  <c r="E54" i="53" a="1"/>
  <c r="E47" i="53" a="1"/>
  <c r="E27" i="6" a="1"/>
  <c r="E37" i="6" a="1"/>
  <c r="E42" i="6" a="1"/>
  <c r="E10" i="53" a="1"/>
  <c r="F6" i="53" a="1"/>
  <c r="F47" i="53" a="1"/>
  <c r="E35" i="53" a="1"/>
  <c r="E20" i="6" a="1"/>
  <c r="E30" i="53" a="1"/>
  <c r="E15" i="6" a="1"/>
  <c r="F12" i="53" a="1"/>
  <c r="E11" i="6" a="1"/>
  <c r="E2" i="63" a="1"/>
  <c r="F24" i="53" a="1"/>
  <c r="C15" i="53" a="1"/>
  <c r="F70" i="53" a="1"/>
  <c r="E21" i="6" a="1"/>
  <c r="C14" i="53" a="1"/>
  <c r="C9" i="53" a="1"/>
  <c r="E14" i="6" a="1"/>
  <c r="G2" i="46" a="1"/>
  <c r="F3" i="55" a="1"/>
  <c r="E35" i="6" a="1"/>
  <c r="E57" i="53" a="1"/>
  <c r="F69" i="53" a="1"/>
  <c r="E19" i="53" a="1"/>
  <c r="C67" i="4" a="1"/>
  <c r="E13" i="6" a="1"/>
  <c r="F43" i="53" a="1"/>
  <c r="F23" i="53" a="1"/>
  <c r="F22" i="53" a="1"/>
  <c r="F17" i="53" a="1"/>
  <c r="F29" i="53" a="1"/>
  <c r="F60" i="53" a="1"/>
  <c r="E6" i="53" a="1"/>
  <c r="E52" i="53" a="1"/>
  <c r="E67" i="53" a="1"/>
  <c r="F28" i="53" a="1"/>
  <c r="E25" i="6" a="1"/>
  <c r="E31" i="53" a="1"/>
  <c r="C8" i="53" a="1"/>
  <c r="F57" i="53" a="1"/>
  <c r="E16" i="53" a="1"/>
  <c r="F30" i="53" a="1"/>
  <c r="C32" i="11" a="1"/>
  <c r="E23" i="53" a="1"/>
  <c r="E40" i="53" a="1"/>
  <c r="F42" i="53" a="1"/>
  <c r="F58" i="53" a="1"/>
  <c r="C18" i="53" a="1"/>
  <c r="E59" i="53" a="1"/>
  <c r="E46" i="53" a="1"/>
  <c r="E29" i="53" a="1"/>
  <c r="C10" i="53" a="1"/>
  <c r="E58" i="53" a="1"/>
  <c r="F59" i="53" a="1"/>
  <c r="E42" i="53" a="1"/>
  <c r="E32" i="6" a="1"/>
  <c r="F3" i="46" a="1"/>
  <c r="C6" i="53" a="1"/>
  <c r="E34" i="6" a="1"/>
  <c r="F48" i="53" a="1"/>
  <c r="E9" i="6" a="1"/>
  <c r="F39" i="53" a="1"/>
  <c r="E63" i="53" a="1"/>
  <c r="G3" i="63" a="1"/>
  <c r="F10" i="53" a="1"/>
  <c r="E22" i="53" a="1"/>
  <c r="E48" i="53" a="1"/>
  <c r="F68" i="53" a="1"/>
  <c r="E5" i="53" a="1"/>
  <c r="C12" i="53" a="1"/>
  <c r="E43" i="6" a="1"/>
  <c r="E2" i="64" a="1"/>
  <c r="A3" i="63" a="1"/>
  <c r="E28" i="53" a="1"/>
  <c r="G2" i="46" l="1"/>
  <c r="F3" i="46"/>
  <c r="C45" i="59"/>
  <c r="C44" i="59"/>
  <c r="C67" i="4"/>
  <c r="E67" i="4"/>
  <c r="C32" i="11"/>
  <c r="E2" i="64"/>
  <c r="A3" i="64"/>
  <c r="B3" i="64"/>
  <c r="D3" i="64"/>
  <c r="G3" i="63"/>
  <c r="E66" i="4"/>
  <c r="C66" i="4"/>
  <c r="B3" i="63"/>
  <c r="E2" i="63"/>
  <c r="A3" i="63"/>
  <c r="D3" i="63"/>
  <c r="C2" i="63"/>
  <c r="F3" i="63"/>
  <c r="C27" i="11"/>
  <c r="F3" i="55"/>
  <c r="E25" i="6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B2" i="59" a="1"/>
  <c r="E2" i="54" a="1"/>
  <c r="G2" i="15" a="1"/>
  <c r="C2" i="15" a="1"/>
  <c r="E2" i="59" a="1"/>
  <c r="C3" i="64" a="1"/>
  <c r="E3" i="64" a="1"/>
  <c r="E3" i="63" a="1"/>
  <c r="C3" i="63" a="1"/>
  <c r="C2" i="38" a="1"/>
  <c r="G3" i="46" a="1"/>
  <c r="F2" i="38" a="1"/>
  <c r="D2" i="38" a="1"/>
  <c r="F45" i="59" a="1"/>
  <c r="F44" i="59" a="1"/>
  <c r="H2" i="38" a="1"/>
  <c r="C2" i="59" a="1"/>
  <c r="C2" i="60" a="1"/>
  <c r="E2" i="15" a="1"/>
  <c r="G3" i="46" l="1"/>
  <c r="F44" i="59"/>
  <c r="F45" i="59"/>
  <c r="E3" i="64"/>
  <c r="C3" i="64"/>
  <c r="C3" i="63"/>
  <c r="E3" i="63"/>
  <c r="C2" i="60"/>
  <c r="E2" i="59"/>
  <c r="C2" i="59"/>
  <c r="B2" i="59"/>
  <c r="G2" i="15"/>
  <c r="E2" i="15"/>
  <c r="C2" i="15"/>
  <c r="H2" i="38"/>
  <c r="F2" i="38"/>
  <c r="D2" i="38"/>
  <c r="C2" i="38"/>
  <c r="E2" i="54"/>
  <c r="C5" i="50" a="1"/>
  <c r="C2" i="54" a="1"/>
  <c r="E2" i="50" a="1"/>
  <c r="G2" i="50" a="1"/>
  <c r="C2" i="50" a="1"/>
  <c r="C2" i="54" l="1"/>
  <c r="C5" i="50"/>
  <c r="G2" i="50"/>
  <c r="E2" i="50"/>
  <c r="C2" i="50"/>
  <c r="C2" i="22" a="1"/>
  <c r="E2" i="40" a="1"/>
  <c r="L2" i="34" a="1"/>
  <c r="C2" i="55" a="1"/>
  <c r="C2" i="40" a="1"/>
  <c r="E2" i="46" a="1"/>
  <c r="C2" i="34" a="1"/>
  <c r="F2" i="22" a="1"/>
  <c r="C2" i="42" a="1"/>
  <c r="J2" i="34" a="1"/>
  <c r="D2" i="22" a="1"/>
  <c r="C2" i="37" a="1"/>
  <c r="C2" i="7" a="1"/>
  <c r="E2" i="55" a="1"/>
  <c r="E2" i="42" a="1"/>
  <c r="G2" i="22" a="1"/>
  <c r="C2" i="49" a="1"/>
  <c r="C2" i="41" a="1"/>
  <c r="G2" i="40" a="1"/>
  <c r="C2" i="46" a="1"/>
  <c r="H2" i="34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C2" i="13" a="1"/>
  <c r="C2" i="6" a="1"/>
  <c r="E2" i="12" a="1"/>
  <c r="C2" i="12" a="1"/>
  <c r="C2" i="11" a="1"/>
  <c r="E2" i="14" a="1"/>
  <c r="C2" i="14" a="1"/>
  <c r="E2" i="14" l="1"/>
  <c r="C2" i="14"/>
  <c r="C2" i="13"/>
  <c r="E2" i="12"/>
  <c r="C2" i="12"/>
  <c r="C2" i="11"/>
  <c r="C2" i="6"/>
  <c r="C2" i="57" a="1"/>
  <c r="C2" i="62" a="1"/>
  <c r="C2" i="5" a="1"/>
  <c r="E2" i="57" a="1"/>
  <c r="C2" i="56" a="1"/>
  <c r="C2" i="9" a="1"/>
  <c r="C2" i="5" l="1"/>
  <c r="E2" i="57"/>
  <c r="C2" i="57"/>
  <c r="C2" i="56"/>
  <c r="C2" i="9"/>
  <c r="C2" i="62"/>
  <c r="E2" i="4" a="1"/>
  <c r="E2" i="31" a="1"/>
  <c r="C2" i="3" a="1"/>
  <c r="C2" i="31" a="1"/>
  <c r="C2" i="4" a="1"/>
  <c r="E2" i="31" l="1"/>
  <c r="C2" i="31"/>
  <c r="C2" i="3"/>
  <c r="E2" i="4"/>
  <c r="C2" i="4"/>
  <c r="C2" i="27" a="1"/>
  <c r="E2" i="27" a="1"/>
  <c r="C2" i="28" a="1"/>
  <c r="C2" i="28" l="1"/>
  <c r="E2" i="27"/>
  <c r="C2" i="27"/>
  <c r="F2" i="53" a="1"/>
  <c r="C2" i="53" a="1"/>
  <c r="E2" i="53" a="1"/>
  <c r="C2" i="2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H9" i="6" l="1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QOT3" i="53" a="1"/>
  <c r="JUE3" i="53" a="1"/>
  <c r="USD3" i="53" a="1"/>
  <c r="RSQ3" i="53" a="1"/>
  <c r="QQV3" i="53" a="1"/>
  <c r="RND3" i="53" a="1"/>
  <c r="WDG3" i="53" a="1"/>
  <c r="CNY3" i="53" a="1"/>
  <c r="TYR3" i="53" a="1"/>
  <c r="QNW3" i="53" a="1"/>
  <c r="PAO3" i="53" a="1"/>
  <c r="NXL3" i="53" a="1"/>
  <c r="OI3" i="53" a="1"/>
  <c r="D3" i="34" a="1"/>
  <c r="IIA3" i="53" a="1"/>
  <c r="BUA3" i="53" a="1"/>
  <c r="KUZ3" i="53" a="1"/>
  <c r="MDL3" i="53" a="1"/>
  <c r="FKK3" i="53" a="1"/>
  <c r="WWH3" i="53" a="1"/>
  <c r="WVE3" i="53" a="1"/>
  <c r="MEW3" i="53" a="1"/>
  <c r="FQY3" i="53" a="1"/>
  <c r="DAP3" i="53" a="1"/>
  <c r="CFN3" i="53" a="1"/>
  <c r="MXR3" i="53" a="1"/>
  <c r="IAB3" i="53" a="1"/>
  <c r="OKH3" i="53" a="1"/>
  <c r="BXE3" i="53" a="1"/>
  <c r="FVZ3" i="53" a="1"/>
  <c r="XDE3" i="53" a="1"/>
  <c r="UXL3" i="53" a="1"/>
  <c r="CZ3" i="53" a="1"/>
  <c r="WUA3" i="53" a="1"/>
  <c r="ETR3" i="53" a="1"/>
  <c r="AXB3" i="53" a="1"/>
  <c r="AMR3" i="53" a="1"/>
  <c r="TCW3" i="53" a="1"/>
  <c r="MTT3" i="53" a="1"/>
  <c r="FRT3" i="53" a="1"/>
  <c r="HFN3" i="53" a="1"/>
  <c r="HCT3" i="53" a="1"/>
  <c r="PXQ3" i="53" a="1"/>
  <c r="FFZ3" i="53" a="1"/>
  <c r="MMP3" i="53" a="1"/>
  <c r="WMZ3" i="53" a="1"/>
  <c r="JSU3" i="53" a="1"/>
  <c r="SJG3" i="53" a="1"/>
  <c r="VWE3" i="53" a="1"/>
  <c r="MEL3" i="53" a="1"/>
  <c r="NUO3" i="53" a="1"/>
  <c r="CCR3" i="53" a="1"/>
  <c r="BQL3" i="53" a="1"/>
  <c r="OIX3" i="53" a="1"/>
  <c r="HIA3" i="53" a="1"/>
  <c r="LUH3" i="53" a="1"/>
  <c r="FDA3" i="53" a="1"/>
  <c r="WHT3" i="53" a="1"/>
  <c r="TBF3" i="53" a="1"/>
  <c r="BSO3" i="53" a="1"/>
  <c r="TWJ3" i="53" a="1"/>
  <c r="EUT3" i="53" a="1"/>
  <c r="LBP3" i="53" a="1"/>
  <c r="DTH3" i="53" a="1"/>
  <c r="COK3" i="53" a="1"/>
  <c r="LMF3" i="53" a="1"/>
  <c r="KXI3" i="53" a="1"/>
  <c r="UAS3" i="53" a="1"/>
  <c r="C3" i="60" a="1"/>
  <c r="FKU3" i="53" a="1"/>
  <c r="OSR3" i="53" a="1"/>
  <c r="UNN3" i="53" a="1"/>
  <c r="MHG3" i="53" a="1"/>
  <c r="ATH3" i="53" a="1"/>
  <c r="PRA3" i="53" a="1"/>
  <c r="LLF3" i="53" a="1"/>
  <c r="IZM3" i="53" a="1"/>
  <c r="HI3" i="53" a="1"/>
  <c r="CUL3" i="53" a="1"/>
  <c r="F3" i="15" a="1"/>
  <c r="JLY3" i="53" a="1"/>
  <c r="DCC3" i="53" a="1"/>
  <c r="CES3" i="53" a="1"/>
  <c r="DYB3" i="53" a="1"/>
  <c r="WUM3" i="53" a="1"/>
  <c r="RSN3" i="53" a="1"/>
  <c r="E3" i="9" a="1"/>
  <c r="GGM3" i="53" a="1"/>
  <c r="WKC3" i="53" a="1"/>
  <c r="LTT3" i="53" a="1"/>
  <c r="GFZ3" i="53" a="1"/>
  <c r="EUM3" i="53" a="1"/>
  <c r="MNN3" i="53" a="1"/>
  <c r="TQS3" i="53" a="1"/>
  <c r="MQS3" i="53" a="1"/>
  <c r="SBL3" i="53" a="1"/>
  <c r="GTI3" i="53" a="1"/>
  <c r="DNY3" i="53" a="1"/>
  <c r="KZP3" i="53" a="1"/>
  <c r="WTQ3" i="53" a="1"/>
  <c r="SQV3" i="53" a="1"/>
  <c r="DUQ3" i="53" a="1"/>
  <c r="STA3" i="53" a="1"/>
  <c r="FMA3" i="53" a="1"/>
  <c r="KOL3" i="53" a="1"/>
  <c r="VYE3" i="53" a="1"/>
  <c r="RJE3" i="53" a="1"/>
  <c r="TXW3" i="53" a="1"/>
  <c r="KHQ3" i="53" a="1"/>
  <c r="JRT3" i="53" a="1"/>
  <c r="HVT3" i="53" a="1"/>
  <c r="UIK3" i="53" a="1"/>
  <c r="OTW3" i="53" a="1"/>
  <c r="BIA3" i="53" a="1"/>
  <c r="BNP3" i="53" a="1"/>
  <c r="VPD3" i="53" a="1"/>
  <c r="JIF3" i="53" a="1"/>
  <c r="MPZ3" i="53" a="1"/>
  <c r="BGB3" i="53" a="1"/>
  <c r="QYN3" i="53" a="1"/>
  <c r="WJJ3" i="53" a="1"/>
  <c r="WSA3" i="53" a="1"/>
  <c r="NJU3" i="53" a="1"/>
  <c r="UEZ3" i="53" a="1"/>
  <c r="PYU3" i="53" a="1"/>
  <c r="VSM3" i="53" a="1"/>
  <c r="UUV3" i="53" a="1"/>
  <c r="MFJ3" i="53" a="1"/>
  <c r="BMC3" i="53" a="1"/>
  <c r="FFT3" i="53" a="1"/>
  <c r="IBM3" i="53" a="1"/>
  <c r="EXZ3" i="53" a="1"/>
  <c r="REL3" i="53" a="1"/>
  <c r="SQS3" i="53" a="1"/>
  <c r="WSN3" i="53" a="1"/>
  <c r="I3" i="47" a="1"/>
  <c r="B3" i="38" a="1"/>
  <c r="HLG3" i="53" a="1"/>
  <c r="BFH3" i="53" a="1"/>
  <c r="IMG3" i="53" a="1"/>
  <c r="OJE3" i="53" a="1"/>
  <c r="IRS3" i="53" a="1"/>
  <c r="LZK3" i="53" a="1"/>
  <c r="IP3" i="53" a="1"/>
  <c r="SCX3" i="53" a="1"/>
  <c r="MHI3" i="53" a="1"/>
  <c r="EJG3" i="53" a="1"/>
  <c r="RWC3" i="53" a="1"/>
  <c r="WVI3" i="53" a="1"/>
  <c r="WIH3" i="53" a="1"/>
  <c r="BHC3" i="53" a="1"/>
  <c r="AX3" i="53" a="1"/>
  <c r="WFG3" i="53" a="1"/>
  <c r="SUP3" i="53" a="1"/>
  <c r="HFU3" i="53" a="1"/>
  <c r="WYR3" i="53" a="1"/>
  <c r="QMT3" i="53" a="1"/>
  <c r="WSP3" i="53" a="1"/>
  <c r="AOS3" i="53" a="1"/>
  <c r="LXR3" i="53" a="1"/>
  <c r="KYM3" i="53" a="1"/>
  <c r="VVK3" i="53" a="1"/>
  <c r="WFN3" i="53" a="1"/>
  <c r="OIU3" i="53" a="1"/>
  <c r="XV3" i="53" a="1"/>
  <c r="TBD3" i="53" a="1"/>
  <c r="OYD3" i="53" a="1"/>
  <c r="LKH3" i="53" a="1"/>
  <c r="BRM3" i="53" a="1"/>
  <c r="RTG3" i="53" a="1"/>
  <c r="QCH3" i="53" a="1"/>
  <c r="CMW3" i="53" a="1"/>
  <c r="E3" i="26" a="1"/>
  <c r="SPE3" i="53" a="1"/>
  <c r="KEU3" i="53" a="1"/>
  <c r="UDT3" i="53" a="1"/>
  <c r="LXP3" i="53" a="1"/>
  <c r="QUI3" i="53" a="1"/>
  <c r="NCN3" i="53" a="1"/>
  <c r="HQV3" i="53" a="1"/>
  <c r="TSJ3" i="53" a="1"/>
  <c r="BMI3" i="53" a="1"/>
  <c r="IGN3" i="53" a="1"/>
  <c r="JD3" i="53" a="1"/>
  <c r="EEE3" i="53" a="1"/>
  <c r="MFB3" i="53" a="1"/>
  <c r="QBO3" i="53" a="1"/>
  <c r="YN3" i="53" a="1"/>
  <c r="OMV3" i="53" a="1"/>
  <c r="EZF3" i="53" a="1"/>
  <c r="QAH3" i="53" a="1"/>
  <c r="CKX3" i="53" a="1"/>
  <c r="G3" i="50" a="1"/>
  <c r="NGL3" i="53" a="1"/>
  <c r="NFT3" i="53" a="1"/>
  <c r="GXH3" i="53" a="1"/>
  <c r="KVD3" i="53" a="1"/>
  <c r="NGZ3" i="53" a="1"/>
  <c r="MBV3" i="53" a="1"/>
  <c r="ARF3" i="53" a="1"/>
  <c r="LWZ3" i="53" a="1"/>
  <c r="EWX3" i="53" a="1"/>
  <c r="BVO3" i="53" a="1"/>
  <c r="WOV3" i="53" a="1"/>
  <c r="SYG3" i="53" a="1"/>
  <c r="ASC3" i="53" a="1"/>
  <c r="WBC3" i="53" a="1"/>
  <c r="HLU3" i="53" a="1"/>
  <c r="BRA3" i="53" a="1"/>
  <c r="JVW3" i="53" a="1"/>
  <c r="EQL3" i="53" a="1"/>
  <c r="UFT3" i="53" a="1"/>
  <c r="WKQ3" i="53" a="1"/>
  <c r="UNY3" i="53" a="1"/>
  <c r="RWW3" i="53" a="1"/>
  <c r="PLO3" i="53" a="1"/>
  <c r="RKS3" i="53" a="1"/>
  <c r="VSU3" i="53" a="1"/>
  <c r="CLS3" i="53" a="1"/>
  <c r="LZT3" i="53" a="1"/>
  <c r="NET3" i="53" a="1"/>
  <c r="BTX3" i="53" a="1"/>
  <c r="REW3" i="53" a="1"/>
  <c r="TCS3" i="53" a="1"/>
  <c r="QAW3" i="53" a="1"/>
  <c r="INL3" i="53" a="1"/>
  <c r="NYB3" i="53" a="1"/>
  <c r="TNL3" i="53" a="1"/>
  <c r="CUM3" i="53" a="1"/>
  <c r="UBW3" i="53" a="1"/>
  <c r="UBR3" i="53" a="1"/>
  <c r="TWL3" i="53" a="1"/>
  <c r="LOE3" i="53" a="1"/>
  <c r="GBQ3" i="53" a="1"/>
  <c r="XA3" i="53" a="1"/>
  <c r="JJY3" i="53" a="1"/>
  <c r="LTP3" i="53" a="1"/>
  <c r="OLP3" i="53" a="1"/>
  <c r="WBL3" i="53" a="1"/>
  <c r="RHP3" i="53" a="1"/>
  <c r="BGP3" i="53" a="1"/>
  <c r="WPA3" i="53" a="1"/>
  <c r="MRZ3" i="53" a="1"/>
  <c r="BGW3" i="53" a="1"/>
  <c r="SCF3" i="53" a="1"/>
  <c r="HYK3" i="53" a="1"/>
  <c r="QWR3" i="53" a="1"/>
  <c r="CXR3" i="53" a="1"/>
  <c r="MPO3" i="53" a="1"/>
  <c r="AJC3" i="53" a="1"/>
  <c r="QPH3" i="53" a="1"/>
  <c r="VBH3" i="53" a="1"/>
  <c r="UOM3" i="53" a="1"/>
  <c r="NHP3" i="53" a="1"/>
  <c r="HUV3" i="53" a="1"/>
  <c r="BDM3" i="53" a="1"/>
  <c r="M3" i="34" a="1"/>
  <c r="D3" i="13" a="1"/>
  <c r="PSX3" i="53" a="1"/>
  <c r="OBX3" i="53" a="1"/>
  <c r="EBG3" i="53" a="1"/>
  <c r="IWU3" i="53" a="1"/>
  <c r="MGQ3" i="53" a="1"/>
  <c r="KLI3" i="53" a="1"/>
  <c r="KVE3" i="53" a="1"/>
  <c r="OZC3" i="53" a="1"/>
  <c r="LGF3" i="53" a="1"/>
  <c r="AQO3" i="53" a="1"/>
  <c r="QIF3" i="53" a="1"/>
  <c r="QKA3" i="53" a="1"/>
  <c r="VLP3" i="53" a="1"/>
  <c r="WV3" i="53" a="1"/>
  <c r="GMW3" i="53" a="1"/>
  <c r="NHH3" i="53" a="1"/>
  <c r="B3" i="50" a="1"/>
  <c r="ILT3" i="53" a="1"/>
  <c r="TLM3" i="53" a="1"/>
  <c r="MYZ3" i="53" a="1"/>
  <c r="HJL3" i="53" a="1"/>
  <c r="OPZ3" i="53" a="1"/>
  <c r="DKE3" i="53" a="1"/>
  <c r="CMS3" i="53" a="1"/>
  <c r="KWG3" i="53" a="1"/>
  <c r="NW3" i="53" a="1"/>
  <c r="TPT3" i="53" a="1"/>
  <c r="UAR3" i="53" a="1"/>
  <c r="OJN3" i="53" a="1"/>
  <c r="RJG3" i="53" a="1"/>
  <c r="IQE3" i="53" a="1"/>
  <c r="RDD3" i="53" a="1"/>
  <c r="E15" i="31" a="1"/>
  <c r="WXF3" i="53" a="1"/>
  <c r="GRG3" i="53" a="1"/>
  <c r="LQX3" i="53" a="1"/>
  <c r="RIX3" i="53" a="1"/>
  <c r="SXA3" i="53" a="1"/>
  <c r="WVL3" i="53" a="1"/>
  <c r="JAP3" i="53" a="1"/>
  <c r="UUS3" i="53" a="1"/>
  <c r="DDU3" i="53" a="1"/>
  <c r="GJW3" i="53" a="1"/>
  <c r="IAX3" i="53" a="1"/>
  <c r="SFM3" i="53" a="1"/>
  <c r="RNJ3" i="53" a="1"/>
  <c r="SVX3" i="53" a="1"/>
  <c r="NPP3" i="53" a="1"/>
  <c r="RAY3" i="53" a="1"/>
  <c r="VTZ3" i="53" a="1"/>
  <c r="XDR3" i="53" a="1"/>
  <c r="UFJ3" i="53" a="1"/>
  <c r="LMR3" i="53" a="1"/>
  <c r="UKV3" i="53" a="1"/>
  <c r="E3" i="5" a="1"/>
  <c r="QYI3" i="53" a="1"/>
  <c r="RRZ3" i="53" a="1"/>
  <c r="UB3" i="53" a="1"/>
  <c r="KXJ3" i="53" a="1"/>
  <c r="DBN3" i="53" a="1"/>
  <c r="EHC3" i="53" a="1"/>
  <c r="UZU3" i="53" a="1"/>
  <c r="FKL3" i="53" a="1"/>
  <c r="LOY3" i="53" a="1"/>
  <c r="SQ3" i="53" a="1"/>
  <c r="BZU3" i="53" a="1"/>
  <c r="BCJ3" i="53" a="1"/>
  <c r="WGI3" i="53" a="1"/>
  <c r="EWP3" i="53" a="1"/>
  <c r="SXR3" i="53" a="1"/>
  <c r="JRX3" i="53" a="1"/>
  <c r="EPM3" i="53" a="1"/>
  <c r="B3" i="3" a="1"/>
  <c r="SGN3" i="53" a="1"/>
  <c r="WZR3" i="53" a="1"/>
  <c r="ROI3" i="53" a="1"/>
  <c r="MZF3" i="53" a="1"/>
  <c r="OMH3" i="53" a="1"/>
  <c r="FHH3" i="53" a="1"/>
  <c r="LAZ3" i="53" a="1"/>
  <c r="KMS3" i="53" a="1"/>
  <c r="KF3" i="53" a="1"/>
  <c r="LZZ3" i="53" a="1"/>
  <c r="CJK3" i="53" a="1"/>
  <c r="PP3" i="53" a="1"/>
  <c r="GBC3" i="53" a="1"/>
  <c r="JTL3" i="53" a="1"/>
  <c r="BTZ3" i="53" a="1"/>
  <c r="EJL3" i="53" a="1"/>
  <c r="LHZ3" i="53" a="1"/>
  <c r="CSR3" i="53" a="1"/>
  <c r="UIB3" i="53" a="1"/>
  <c r="UAJ3" i="53" a="1"/>
  <c r="SKE3" i="53" a="1"/>
  <c r="OXV3" i="53" a="1"/>
  <c r="QSZ3" i="53" a="1"/>
  <c r="WTX3" i="53" a="1"/>
  <c r="VML3" i="53" a="1"/>
  <c r="XW3" i="53" a="1"/>
  <c r="SWT3" i="53" a="1"/>
  <c r="NAL3" i="53" a="1"/>
  <c r="XE3" i="53" a="1"/>
  <c r="GMP3" i="53" a="1"/>
  <c r="SI3" i="53" a="1"/>
  <c r="CBG3" i="53" a="1"/>
  <c r="DZH3" i="53" a="1"/>
  <c r="CKZ3" i="53" a="1"/>
  <c r="LHI3" i="53" a="1"/>
  <c r="BDL3" i="53" a="1"/>
  <c r="PMH3" i="53" a="1"/>
  <c r="EZH3" i="53" a="1"/>
  <c r="VCO3" i="53" a="1"/>
  <c r="WGR3" i="53" a="1"/>
  <c r="RLM3" i="53" a="1"/>
  <c r="FQC3" i="53" a="1"/>
  <c r="LKF3" i="53" a="1"/>
  <c r="LJT3" i="53" a="1"/>
  <c r="BNW3" i="53" a="1"/>
  <c r="HAW3" i="53" a="1"/>
  <c r="TTE3" i="53" a="1"/>
  <c r="QZX3" i="53" a="1"/>
  <c r="WZW3" i="53" a="1"/>
  <c r="GDZ3" i="53" a="1"/>
  <c r="GJH3" i="53" a="1"/>
  <c r="WSV3" i="53" a="1"/>
  <c r="KMJ3" i="53" a="1"/>
  <c r="QPG3" i="53" a="1"/>
  <c r="AIH3" i="53" a="1"/>
  <c r="XAB3" i="53" a="1"/>
  <c r="KLY3" i="53" a="1"/>
  <c r="SCJ3" i="53" a="1"/>
  <c r="I3" i="4" a="1"/>
  <c r="QZB3" i="53" a="1"/>
  <c r="RKV3" i="53" a="1"/>
  <c r="CXA3" i="53" a="1"/>
  <c r="DOH3" i="53" a="1"/>
  <c r="WPY3" i="53" a="1"/>
  <c r="VDZ3" i="53" a="1"/>
  <c r="VLQ3" i="53" a="1"/>
  <c r="TEJ3" i="53" a="1"/>
  <c r="HTG3" i="53" a="1"/>
  <c r="THL3" i="53" a="1"/>
  <c r="UEC3" i="53" a="1"/>
  <c r="BFM3" i="53" a="1"/>
  <c r="IEE3" i="53" a="1"/>
  <c r="PJA3" i="53" a="1"/>
  <c r="BSV3" i="53" a="1"/>
  <c r="OPB3" i="53" a="1"/>
  <c r="MES3" i="53" a="1"/>
  <c r="C30" i="53" a="1"/>
  <c r="KZE3" i="53" a="1"/>
  <c r="BWM3" i="53" a="1"/>
  <c r="DIV3" i="53" a="1"/>
  <c r="GLY3" i="53" a="1"/>
  <c r="SR3" i="53" a="1"/>
  <c r="IQC3" i="53" a="1"/>
  <c r="UDU3" i="53" a="1"/>
  <c r="PSV3" i="53" a="1"/>
  <c r="UCA3" i="53" a="1"/>
  <c r="TEF3" i="53" a="1"/>
  <c r="RNU3" i="53" a="1"/>
  <c r="RXX3" i="53" a="1"/>
  <c r="ISV3" i="53" a="1"/>
  <c r="HDK3" i="53" a="1"/>
  <c r="D3" i="7" a="1"/>
  <c r="IPV3" i="53" a="1"/>
  <c r="VKD3" i="53" a="1"/>
  <c r="SFU3" i="53" a="1"/>
  <c r="EED3" i="53" a="1"/>
  <c r="GRI3" i="53" a="1"/>
  <c r="UFR3" i="53" a="1"/>
  <c r="PLY3" i="53" a="1"/>
  <c r="LLB3" i="53" a="1"/>
  <c r="WQR3" i="53" a="1"/>
  <c r="IPW3" i="53" a="1"/>
  <c r="DJG3" i="53" a="1"/>
  <c r="RQT3" i="53" a="1"/>
  <c r="NDN3" i="53" a="1"/>
  <c r="LEQ3" i="53" a="1"/>
  <c r="VWV3" i="53" a="1"/>
  <c r="SFS3" i="53" a="1"/>
  <c r="PMK3" i="53" a="1"/>
  <c r="HXA3" i="53" a="1"/>
  <c r="GSG3" i="53" a="1"/>
  <c r="OJZ3" i="53" a="1"/>
  <c r="VUZ3" i="53" a="1"/>
  <c r="NMA3" i="53" a="1"/>
  <c r="E6" i="4" a="1"/>
  <c r="CFO3" i="53" a="1"/>
  <c r="GEQ3" i="53" a="1"/>
  <c r="JOY3" i="53" a="1"/>
  <c r="B3" i="53" a="1"/>
  <c r="HPA3" i="53" a="1"/>
  <c r="IAE3" i="53" a="1"/>
  <c r="THG3" i="53" a="1"/>
  <c r="DKA3" i="53" a="1"/>
  <c r="HGH3" i="53" a="1"/>
  <c r="UEW3" i="53" a="1"/>
  <c r="MVU3" i="53" a="1"/>
  <c r="SDJ3" i="53" a="1"/>
  <c r="DBF3" i="53" a="1"/>
  <c r="UCS3" i="53" a="1"/>
  <c r="WLC3" i="53" a="1"/>
  <c r="SLB3" i="53" a="1"/>
  <c r="MFF3" i="53" a="1"/>
  <c r="GZO3" i="53" a="1"/>
  <c r="IAC3" i="53" a="1"/>
  <c r="ULJ3" i="53" a="1"/>
  <c r="EOL3" i="53" a="1"/>
  <c r="ACQ3" i="53" a="1"/>
  <c r="WUH3" i="53" a="1"/>
  <c r="COE3" i="53" a="1"/>
  <c r="ANB3" i="53" a="1"/>
  <c r="XCY3" i="53" a="1"/>
  <c r="TPE3" i="53" a="1"/>
  <c r="OZT3" i="53" a="1"/>
  <c r="XBW3" i="53" a="1"/>
  <c r="IPC3" i="53" a="1"/>
  <c r="BWW3" i="53" a="1"/>
  <c r="KTW3" i="53" a="1"/>
  <c r="OBE3" i="53" a="1"/>
  <c r="QQF3" i="53" a="1"/>
  <c r="SOG3" i="53" a="1"/>
  <c r="JEJ3" i="53" a="1"/>
  <c r="BAH3" i="53" a="1"/>
  <c r="SXT3" i="53" a="1"/>
  <c r="WOC3" i="53" a="1"/>
  <c r="OWX3" i="53" a="1"/>
  <c r="NCZ3" i="53" a="1"/>
  <c r="QGD3" i="53" a="1"/>
  <c r="LAX3" i="53" a="1"/>
  <c r="VMQ3" i="53" a="1"/>
  <c r="VYZ3" i="53" a="1"/>
  <c r="WWK3" i="53" a="1"/>
  <c r="VOR3" i="53" a="1"/>
  <c r="ACF3" i="53" a="1"/>
  <c r="FT3" i="53" a="1"/>
  <c r="QIE3" i="53" a="1"/>
  <c r="IQI3" i="53" a="1"/>
  <c r="QGW3" i="53" a="1"/>
  <c r="NXT3" i="53" a="1"/>
  <c r="NND3" i="53" a="1"/>
  <c r="HTL3" i="53" a="1"/>
  <c r="KDC3" i="53" a="1"/>
  <c r="KNL3" i="53" a="1"/>
  <c r="GDS3" i="53" a="1"/>
  <c r="PID3" i="53" a="1"/>
  <c r="MAD3" i="53" a="1"/>
  <c r="QAB3" i="53" a="1"/>
  <c r="ENV3" i="53" a="1"/>
  <c r="MOB3" i="53" a="1"/>
  <c r="IGM3" i="53" a="1"/>
  <c r="IJO3" i="53" a="1"/>
  <c r="TJJ3" i="53" a="1"/>
  <c r="PJU3" i="53" a="1"/>
  <c r="GFA3" i="53" a="1"/>
  <c r="JWM3" i="53" a="1"/>
  <c r="EHD3" i="53" a="1"/>
  <c r="AWT3" i="53" a="1"/>
  <c r="VBQ3" i="53" a="1"/>
  <c r="OUV3" i="53" a="1"/>
  <c r="STO3" i="53" a="1"/>
  <c r="UKO3" i="53" a="1"/>
  <c r="EMD3" i="53" a="1"/>
  <c r="EXX3" i="53" a="1"/>
  <c r="QUV3" i="53" a="1"/>
  <c r="HPG3" i="53" a="1"/>
  <c r="AIE3" i="53" a="1"/>
  <c r="NXH3" i="53" a="1"/>
  <c r="GHC3" i="53" a="1"/>
  <c r="KDJ3" i="53" a="1"/>
  <c r="LFY3" i="53" a="1"/>
  <c r="UWK3" i="53" a="1"/>
  <c r="JLA3" i="53" a="1"/>
  <c r="MVX3" i="53" a="1"/>
  <c r="LYO3" i="53" a="1"/>
  <c r="FQW3" i="53" a="1"/>
  <c r="JJA3" i="53" a="1"/>
  <c r="DPY3" i="53" a="1"/>
  <c r="HNK3" i="53" a="1"/>
  <c r="OCC3" i="53" a="1"/>
  <c r="BTM3" i="53" a="1"/>
  <c r="BUX3" i="53" a="1"/>
  <c r="JJH3" i="53" a="1"/>
  <c r="TRH3" i="53" a="1"/>
  <c r="XBI3" i="53" a="1"/>
  <c r="QKW3" i="53" a="1"/>
  <c r="GCS3" i="53" a="1"/>
  <c r="PHF3" i="53" a="1"/>
  <c r="TWH3" i="53" a="1"/>
  <c r="MHZ3" i="53" a="1"/>
  <c r="SOK3" i="53" a="1"/>
  <c r="FTD3" i="53" a="1"/>
  <c r="LYE3" i="53" a="1"/>
  <c r="LTN3" i="53" a="1"/>
  <c r="IKC3" i="53" a="1"/>
  <c r="QIA3" i="53" a="1"/>
  <c r="SBY3" i="53" a="1"/>
  <c r="QWX3" i="53" a="1"/>
  <c r="BJB3" i="53" a="1"/>
  <c r="VW3" i="53" a="1"/>
  <c r="JJU3" i="53" a="1"/>
  <c r="MBM3" i="53" a="1"/>
  <c r="PF3" i="53" a="1"/>
  <c r="GAM3" i="53" a="1"/>
  <c r="JYD3" i="53" a="1"/>
  <c r="QED3" i="53" a="1"/>
  <c r="HSO3" i="53" a="1"/>
  <c r="JXC3" i="53" a="1"/>
  <c r="BFC3" i="53" a="1"/>
  <c r="OBA3" i="53" a="1"/>
  <c r="HPW3" i="53" a="1"/>
  <c r="AVY3" i="53" a="1"/>
  <c r="BFB3" i="53" a="1"/>
  <c r="DCA3" i="53" a="1"/>
  <c r="HGT3" i="53" a="1"/>
  <c r="KKZ3" i="53" a="1"/>
  <c r="IWG3" i="53" a="1"/>
  <c r="HSW3" i="53" a="1"/>
  <c r="TJG3" i="53" a="1"/>
  <c r="E3" i="62" a="1"/>
  <c r="ARQ3" i="53" a="1"/>
  <c r="SRI3" i="53" a="1"/>
  <c r="VMX3" i="53" a="1"/>
  <c r="TOV3" i="53" a="1"/>
  <c r="ACP3" i="53" a="1"/>
  <c r="JU3" i="53" a="1"/>
  <c r="QKO3" i="53" a="1"/>
  <c r="ONP3" i="53" a="1"/>
  <c r="PFX3" i="53" a="1"/>
  <c r="IXW3" i="53" a="1"/>
  <c r="PPC3" i="53" a="1"/>
  <c r="BUN3" i="53" a="1"/>
  <c r="FEL3" i="53" a="1"/>
  <c r="NSD3" i="53" a="1"/>
  <c r="F3" i="7" a="1"/>
  <c r="FIF3" i="53" a="1"/>
  <c r="CVT3" i="53" a="1"/>
  <c r="LBV3" i="53" a="1"/>
  <c r="HKL3" i="53" a="1"/>
  <c r="JCM3" i="53" a="1"/>
  <c r="MWR3" i="53" a="1"/>
  <c r="PXJ3" i="53" a="1"/>
  <c r="IRM3" i="53" a="1"/>
  <c r="LZG3" i="53" a="1"/>
  <c r="EOJ3" i="53" a="1"/>
  <c r="G3" i="38" a="1"/>
  <c r="IJZ3" i="53" a="1"/>
  <c r="SPG3" i="53" a="1"/>
  <c r="AAS3" i="53" a="1"/>
  <c r="DNQ3" i="53" a="1"/>
  <c r="EPK3" i="53" a="1"/>
  <c r="MVC3" i="53" a="1"/>
  <c r="EPT3" i="53" a="1"/>
  <c r="KNX3" i="53" a="1"/>
  <c r="HEO3" i="53" a="1"/>
  <c r="EKK3" i="53" a="1"/>
  <c r="XCK3" i="53" a="1"/>
  <c r="TXF3" i="53" a="1"/>
  <c r="SJW3" i="53" a="1"/>
  <c r="SAN3" i="53" a="1"/>
  <c r="TSM3" i="53" a="1"/>
  <c r="ESB3" i="53" a="1"/>
  <c r="SLE3" i="53" a="1"/>
  <c r="UOV3" i="53" a="1"/>
  <c r="TIP3" i="53" a="1"/>
  <c r="UBB3" i="53" a="1"/>
  <c r="OGC3" i="53" a="1"/>
  <c r="DWC3" i="53" a="1"/>
  <c r="LFV3" i="53" a="1"/>
  <c r="IGR3" i="53" a="1"/>
  <c r="QJH3" i="53" a="1"/>
  <c r="KBJ3" i="53" a="1"/>
  <c r="SUD3" i="53" a="1"/>
  <c r="WDV3" i="53" a="1"/>
  <c r="KPY3" i="53" a="1"/>
  <c r="BTI3" i="53" a="1"/>
  <c r="HGK3" i="53" a="1"/>
  <c r="BCU3" i="53" a="1"/>
  <c r="KQF3" i="53" a="1"/>
  <c r="NLO3" i="53" a="1"/>
  <c r="WM3" i="53" a="1"/>
  <c r="CAO3" i="53" a="1"/>
  <c r="BSH3" i="53" a="1"/>
  <c r="ORX3" i="53" a="1"/>
  <c r="NZI3" i="53" a="1"/>
  <c r="BFO3" i="53" a="1"/>
  <c r="AWF3" i="53" a="1"/>
  <c r="IUV3" i="53" a="1"/>
  <c r="GJZ3" i="53" a="1"/>
  <c r="PLI3" i="53" a="1"/>
  <c r="TQJ3" i="53" a="1"/>
  <c r="AQX3" i="53" a="1"/>
  <c r="VOD3" i="53" a="1"/>
  <c r="RUG3" i="53" a="1"/>
  <c r="FNG3" i="53" a="1"/>
  <c r="EFO3" i="53" a="1"/>
  <c r="OZJ3" i="53" a="1"/>
  <c r="LYB3" i="53" a="1"/>
  <c r="NKQ3" i="53" a="1"/>
  <c r="KLE3" i="53" a="1"/>
  <c r="VHF3" i="53" a="1"/>
  <c r="MBI3" i="53" a="1"/>
  <c r="PTM3" i="53" a="1"/>
  <c r="VBN3" i="53" a="1"/>
  <c r="ANI3" i="53" a="1"/>
  <c r="LLR3" i="53" a="1"/>
  <c r="ERZ3" i="53" a="1"/>
  <c r="D3" i="26" a="1"/>
  <c r="NOI3" i="53" a="1"/>
  <c r="LNP3" i="53" a="1"/>
  <c r="PNN3" i="53" a="1"/>
  <c r="ADR3" i="53" a="1"/>
  <c r="QWN3" i="53" a="1"/>
  <c r="FVS3" i="53" a="1"/>
  <c r="HQB3" i="53" a="1"/>
  <c r="KIH3" i="53" a="1"/>
  <c r="MYB3" i="53" a="1"/>
  <c r="HFR3" i="53" a="1"/>
  <c r="ABY3" i="53" a="1"/>
  <c r="ROL3" i="53" a="1"/>
  <c r="EVI3" i="53" a="1"/>
  <c r="ADL3" i="53" a="1"/>
  <c r="SK3" i="53" a="1"/>
  <c r="CFF3" i="53" a="1"/>
  <c r="PEX3" i="53" a="1"/>
  <c r="DOD3" i="53" a="1"/>
  <c r="JFX3" i="53" a="1"/>
  <c r="SMX3" i="53" a="1"/>
  <c r="C3" i="26" a="1"/>
  <c r="WKU3" i="53" a="1"/>
  <c r="IZK3" i="53" a="1"/>
  <c r="RMV3" i="53" a="1"/>
  <c r="DVD3" i="53" a="1"/>
  <c r="SH3" i="53" a="1"/>
  <c r="C33" i="53" a="1"/>
  <c r="QYY3" i="53" a="1"/>
  <c r="URQ3" i="53" a="1"/>
  <c r="DW3" i="53" a="1"/>
  <c r="EMH3" i="53" a="1"/>
  <c r="UDF3" i="53" a="1"/>
  <c r="UJV3" i="53" a="1"/>
  <c r="SQQ3" i="53" a="1"/>
  <c r="DHU3" i="53" a="1"/>
  <c r="KFB3" i="53" a="1"/>
  <c r="HLF3" i="53" a="1"/>
  <c r="KEO3" i="53" a="1"/>
  <c r="E16" i="31" a="1"/>
  <c r="STT3" i="53" a="1"/>
  <c r="LNZ3" i="53" a="1"/>
  <c r="OQC3" i="53" a="1"/>
  <c r="EJK3" i="53" a="1"/>
  <c r="KWB3" i="53" a="1"/>
  <c r="SWC3" i="53" a="1"/>
  <c r="UT3" i="53" a="1"/>
  <c r="C3" i="3" a="1"/>
  <c r="WSB3" i="53" a="1"/>
  <c r="QVN3" i="53" a="1"/>
  <c r="SYA3" i="53" a="1"/>
  <c r="BME3" i="53" a="1"/>
  <c r="IOF3" i="53" a="1"/>
  <c r="GOE3" i="53" a="1"/>
  <c r="FVL3" i="53" a="1"/>
  <c r="SFL3" i="53" a="1"/>
  <c r="TJI3" i="53" a="1"/>
  <c r="PIO3" i="53" a="1"/>
  <c r="DMV3" i="53" a="1"/>
  <c r="SMO3" i="53" a="1"/>
  <c r="VDB3" i="53" a="1"/>
  <c r="IAJ3" i="53" a="1"/>
  <c r="SZK3" i="53" a="1"/>
  <c r="GBG3" i="53" a="1"/>
  <c r="HBB3" i="53" a="1"/>
  <c r="FFY3" i="53" a="1"/>
  <c r="AEK3" i="53" a="1"/>
  <c r="AHV3" i="53" a="1"/>
  <c r="HDF3" i="53" a="1"/>
  <c r="C55" i="53" a="1"/>
  <c r="VUN3" i="53" a="1"/>
  <c r="COW3" i="53" a="1"/>
  <c r="FNE3" i="53" a="1"/>
  <c r="MZA3" i="53" a="1"/>
  <c r="WYW3" i="53" a="1"/>
  <c r="QEP3" i="53" a="1"/>
  <c r="SFD3" i="53" a="1"/>
  <c r="I3" i="40" a="1"/>
  <c r="CCG3" i="53" a="1"/>
  <c r="FBU3" i="53" a="1"/>
  <c r="GHG3" i="53" a="1"/>
  <c r="WXJ3" i="53" a="1"/>
  <c r="BBY3" i="53" a="1"/>
  <c r="WWA3" i="53" a="1"/>
  <c r="VJR3" i="53" a="1"/>
  <c r="IRY3" i="53" a="1"/>
  <c r="WLH3" i="53" a="1"/>
  <c r="VKK3" i="53" a="1"/>
  <c r="TR3" i="53" a="1"/>
  <c r="XQ3" i="53" a="1"/>
  <c r="UEG3" i="53" a="1"/>
  <c r="HOJ3" i="53" a="1"/>
  <c r="LDH3" i="53" a="1"/>
  <c r="HIB3" i="53" a="1"/>
  <c r="TDH3" i="53" a="1"/>
  <c r="SJL3" i="53" a="1"/>
  <c r="WLI3" i="53" a="1"/>
  <c r="WYM3" i="53" a="1"/>
  <c r="YX3" i="53" a="1"/>
  <c r="AN3" i="53" a="1"/>
  <c r="UND3" i="53" a="1"/>
  <c r="WUZ3" i="53" a="1"/>
  <c r="KHB3" i="53" a="1"/>
  <c r="KUD3" i="53" a="1"/>
  <c r="WTO3" i="53" a="1"/>
  <c r="HTV3" i="53" a="1"/>
  <c r="RPP3" i="53" a="1"/>
  <c r="FKV3" i="53" a="1"/>
  <c r="QEG3" i="53" a="1"/>
  <c r="VBK3" i="53" a="1"/>
  <c r="VAX3" i="53" a="1"/>
  <c r="OUF3" i="53" a="1"/>
  <c r="GRV3" i="53" a="1"/>
  <c r="E13" i="31" a="1"/>
  <c r="KNO3" i="53" a="1"/>
  <c r="TQE3" i="53" a="1"/>
  <c r="ABA3" i="53" a="1"/>
  <c r="BPF3" i="53" a="1"/>
  <c r="LYN3" i="53" a="1"/>
  <c r="C3" i="19" a="1"/>
  <c r="QNB3" i="53" a="1"/>
  <c r="QID3" i="53" a="1"/>
  <c r="VFK3" i="53" a="1"/>
  <c r="LBW3" i="53" a="1"/>
  <c r="HOM3" i="53" a="1"/>
  <c r="ORK3" i="53" a="1"/>
  <c r="IUR3" i="53" a="1"/>
  <c r="YG3" i="53" a="1"/>
  <c r="MJ3" i="53" a="1"/>
  <c r="NYL3" i="53" a="1"/>
  <c r="JOI3" i="53" a="1"/>
  <c r="BT3" i="53" a="1"/>
  <c r="EVX3" i="53" a="1"/>
  <c r="BQA3" i="53" a="1"/>
  <c r="FYE3" i="53" a="1"/>
  <c r="NMS3" i="53" a="1"/>
  <c r="EPV3" i="53" a="1"/>
  <c r="LQZ3" i="53" a="1"/>
  <c r="FNC3" i="53" a="1"/>
  <c r="ETX3" i="53" a="1"/>
  <c r="RDE3" i="53" a="1"/>
  <c r="GWZ3" i="53" a="1"/>
  <c r="HTU3" i="53" a="1"/>
  <c r="AH3" i="53" a="1"/>
  <c r="JBI3" i="53" a="1"/>
  <c r="VXK3" i="53" a="1"/>
  <c r="EZK3" i="53" a="1"/>
  <c r="SVG3" i="53" a="1"/>
  <c r="UKQ3" i="53" a="1"/>
  <c r="LJK3" i="53" a="1"/>
  <c r="GBT3" i="53" a="1"/>
  <c r="RJK3" i="53" a="1"/>
  <c r="D3" i="57" a="1"/>
  <c r="OXD3" i="53" a="1"/>
  <c r="WFZ3" i="53" a="1"/>
  <c r="PLF3" i="53" a="1"/>
  <c r="JHD3" i="53" a="1"/>
  <c r="DTB3" i="53" a="1"/>
  <c r="QLI3" i="53" a="1"/>
  <c r="CLL3" i="53" a="1"/>
  <c r="UEF3" i="53" a="1"/>
  <c r="LGB3" i="53" a="1"/>
  <c r="DNH3" i="53" a="1"/>
  <c r="TXM3" i="53" a="1"/>
  <c r="RRB3" i="53" a="1"/>
  <c r="VOT3" i="53" a="1"/>
  <c r="KTN3" i="53" a="1"/>
  <c r="WNU3" i="53" a="1"/>
  <c r="KG3" i="53" a="1"/>
  <c r="MHK3" i="53" a="1"/>
  <c r="LFQ3" i="53" a="1"/>
  <c r="BIM3" i="53" a="1"/>
  <c r="XBT3" i="53" a="1"/>
  <c r="HOS3" i="53" a="1"/>
  <c r="A3" i="49" a="1"/>
  <c r="KNU3" i="53" a="1"/>
  <c r="HCP3" i="53" a="1"/>
  <c r="NSM3" i="53" a="1"/>
  <c r="BHZ3" i="53" a="1"/>
  <c r="RQR3" i="53" a="1"/>
  <c r="VEQ3" i="53" a="1"/>
  <c r="NFX3" i="53" a="1"/>
  <c r="NQL3" i="53" a="1"/>
  <c r="WMD3" i="53" a="1"/>
  <c r="QWJ3" i="53" a="1"/>
  <c r="EE3" i="53" a="1"/>
  <c r="ILP3" i="53" a="1"/>
  <c r="TYS3" i="53" a="1"/>
  <c r="RQP3" i="53" a="1"/>
  <c r="DXT3" i="53" a="1"/>
  <c r="HBH3" i="53" a="1"/>
  <c r="DGN3" i="53" a="1"/>
  <c r="NJE3" i="53" a="1"/>
  <c r="BNL3" i="53" a="1"/>
  <c r="KMN3" i="53" a="1"/>
  <c r="RCG3" i="53" a="1"/>
  <c r="FYH3" i="53" a="1"/>
  <c r="JNB3" i="53" a="1"/>
  <c r="WIQ3" i="53" a="1"/>
  <c r="HKB3" i="53" a="1"/>
  <c r="DQI3" i="53" a="1"/>
  <c r="QDR3" i="53" a="1"/>
  <c r="KKL3" i="53" a="1"/>
  <c r="TKM3" i="53" a="1"/>
  <c r="KSW3" i="53" a="1"/>
  <c r="VMH3" i="53" a="1"/>
  <c r="KQT3" i="53" a="1"/>
  <c r="MOI3" i="53" a="1"/>
  <c r="GND3" i="53" a="1"/>
  <c r="DZZ3" i="53" a="1"/>
  <c r="OFT3" i="53" a="1"/>
  <c r="HMC3" i="53" a="1"/>
  <c r="URG3" i="53" a="1"/>
  <c r="SWJ3" i="53" a="1"/>
  <c r="HCG3" i="53" a="1"/>
  <c r="JVV3" i="53" a="1"/>
  <c r="LW3" i="53" a="1"/>
  <c r="VAY3" i="53" a="1"/>
  <c r="SIW3" i="53" a="1"/>
  <c r="TZU3" i="53" a="1"/>
  <c r="OGH3" i="53" a="1"/>
  <c r="SMD3" i="53" a="1"/>
  <c r="QFF3" i="53" a="1"/>
  <c r="JKZ3" i="53" a="1"/>
  <c r="ARJ3" i="53" a="1"/>
  <c r="G3" i="15" a="1"/>
  <c r="UGV3" i="53" a="1"/>
  <c r="QRT3" i="53" a="1"/>
  <c r="QTA3" i="53" a="1"/>
  <c r="XT3" i="53" a="1"/>
  <c r="OOA3" i="53" a="1"/>
  <c r="LYW3" i="53" a="1"/>
  <c r="OSN3" i="53" a="1"/>
  <c r="SGJ3" i="53" a="1"/>
  <c r="PUL3" i="53" a="1"/>
  <c r="APQ3" i="53" a="1"/>
  <c r="SBD3" i="53" a="1"/>
  <c r="ABJ3" i="53" a="1"/>
  <c r="WUD3" i="53" a="1"/>
  <c r="E23" i="31" a="1"/>
  <c r="JAJ3" i="53" a="1"/>
  <c r="SFJ3" i="53" a="1"/>
  <c r="DUI3" i="53" a="1"/>
  <c r="AXD3" i="53" a="1"/>
  <c r="BKU3" i="53" a="1"/>
  <c r="QWM3" i="53" a="1"/>
  <c r="BOT3" i="53" a="1"/>
  <c r="XCH3" i="53" a="1"/>
  <c r="OIG3" i="53" a="1"/>
  <c r="TEU3" i="53" a="1"/>
  <c r="DWT3" i="53" a="1"/>
  <c r="RZS3" i="53" a="1"/>
  <c r="PHK3" i="53" a="1"/>
  <c r="DTW3" i="53" a="1"/>
  <c r="RTC3" i="53" a="1"/>
  <c r="NFG3" i="53" a="1"/>
  <c r="QPE3" i="53" a="1"/>
  <c r="TJX3" i="53" a="1"/>
  <c r="PQN3" i="53" a="1"/>
  <c r="JNS3" i="53" a="1"/>
  <c r="ANM3" i="53" a="1"/>
  <c r="CCE3" i="53" a="1"/>
  <c r="QHT3" i="53" a="1"/>
  <c r="MPH3" i="53" a="1"/>
  <c r="UNF3" i="53" a="1"/>
  <c r="F3" i="54" a="1"/>
  <c r="OFN3" i="53" a="1"/>
  <c r="PNH3" i="53" a="1"/>
  <c r="VGY3" i="53" a="1"/>
  <c r="MQV3" i="53" a="1"/>
  <c r="TNJ3" i="53" a="1"/>
  <c r="VWP3" i="53" a="1"/>
  <c r="QBF3" i="53" a="1"/>
  <c r="SIB3" i="53" a="1"/>
  <c r="BNI3" i="53" a="1"/>
  <c r="XFA3" i="53" a="1"/>
  <c r="TTH3" i="53" a="1"/>
  <c r="FZO3" i="53" a="1"/>
  <c r="FDT3" i="53" a="1"/>
  <c r="JYJ3" i="53" a="1"/>
  <c r="F3" i="57" a="1"/>
  <c r="MQU3" i="53" a="1"/>
  <c r="FEZ3" i="53" a="1"/>
  <c r="PQV3" i="53" a="1"/>
  <c r="SCL3" i="53" a="1"/>
  <c r="NG3" i="53" a="1"/>
  <c r="HSF3" i="53" a="1"/>
  <c r="WBX3" i="53" a="1"/>
  <c r="RQA3" i="53" a="1"/>
  <c r="VSS3" i="53" a="1"/>
  <c r="NQC3" i="53" a="1"/>
  <c r="IT3" i="53" a="1"/>
  <c r="TKS3" i="53" a="1"/>
  <c r="AHL3" i="53" a="1"/>
  <c r="UOA3" i="53" a="1"/>
  <c r="B3" i="31" a="1"/>
  <c r="EZG3" i="53" a="1"/>
  <c r="QAE3" i="53" a="1"/>
  <c r="JSB3" i="53" a="1"/>
  <c r="DPO3" i="53" a="1"/>
  <c r="TJM3" i="53" a="1"/>
  <c r="BVY3" i="53" a="1"/>
  <c r="LWN3" i="53" a="1"/>
  <c r="EAU3" i="53" a="1"/>
  <c r="SXN3" i="53" a="1"/>
  <c r="TLV3" i="53" a="1"/>
  <c r="GDP3" i="53" a="1"/>
  <c r="TNR3" i="53" a="1"/>
  <c r="CXW3" i="53" a="1"/>
  <c r="OWZ3" i="53" a="1"/>
  <c r="CVO3" i="53" a="1"/>
  <c r="OA3" i="53" a="1"/>
  <c r="UFD3" i="53" a="1"/>
  <c r="C3" i="22" a="1"/>
  <c r="JDB3" i="53" a="1"/>
  <c r="UUL3" i="53" a="1"/>
  <c r="QDU3" i="53" a="1"/>
  <c r="DZC3" i="53" a="1"/>
  <c r="KJD3" i="53" a="1"/>
  <c r="LYD3" i="53" a="1"/>
  <c r="LZW3" i="53" a="1"/>
  <c r="SGM3" i="53" a="1"/>
  <c r="VFT3" i="53" a="1"/>
  <c r="KGD3" i="53" a="1"/>
  <c r="QHL3" i="53" a="1"/>
  <c r="WNE3" i="53" a="1"/>
  <c r="NTR3" i="53" a="1"/>
  <c r="PUP3" i="53" a="1"/>
  <c r="SUV3" i="53" a="1"/>
  <c r="MLU3" i="53" a="1"/>
  <c r="NPB3" i="53" a="1"/>
  <c r="UHF3" i="53" a="1"/>
  <c r="BEV3" i="53" a="1"/>
  <c r="PBB3" i="53" a="1"/>
  <c r="D3" i="46" a="1"/>
  <c r="VAT3" i="53" a="1"/>
  <c r="L3" i="34" a="1"/>
  <c r="FLO3" i="53" a="1"/>
  <c r="AFA3" i="53" a="1"/>
  <c r="WXY3" i="53" a="1"/>
  <c r="HWA3" i="53" a="1"/>
  <c r="RDT3" i="53" a="1"/>
  <c r="TNE3" i="53" a="1"/>
  <c r="FEB3" i="53" a="1"/>
  <c r="MBG3" i="53" a="1"/>
  <c r="PZC3" i="53" a="1"/>
  <c r="SXB3" i="53" a="1"/>
  <c r="EEH3" i="53" a="1"/>
  <c r="LSP3" i="53" a="1"/>
  <c r="UQQ3" i="53" a="1"/>
  <c r="VMF3" i="53" a="1"/>
  <c r="IKK3" i="53" a="1"/>
  <c r="RDJ3" i="53" a="1"/>
  <c r="URX3" i="53" a="1"/>
  <c r="KVQ3" i="53" a="1"/>
  <c r="MKH3" i="53" a="1"/>
  <c r="GUL3" i="53" a="1"/>
  <c r="UWT3" i="53" a="1"/>
  <c r="VFO3" i="53" a="1"/>
  <c r="IVU3" i="53" a="1"/>
  <c r="EKZ3" i="53" a="1"/>
  <c r="CFQ3" i="53" a="1"/>
  <c r="JQJ3" i="53" a="1"/>
  <c r="LJ3" i="53" a="1"/>
  <c r="GCP3" i="53" a="1"/>
  <c r="KOD3" i="53" a="1"/>
  <c r="NX3" i="53" a="1"/>
  <c r="XDG3" i="53" a="1"/>
  <c r="IUG3" i="53" a="1"/>
  <c r="UEB3" i="53" a="1"/>
  <c r="ENC3" i="53" a="1"/>
  <c r="GHO3" i="53" a="1"/>
  <c r="QXI3" i="53" a="1"/>
  <c r="UWJ3" i="53" a="1"/>
  <c r="MQJ3" i="53" a="1"/>
  <c r="MTA3" i="53" a="1"/>
  <c r="IXG3" i="53" a="1"/>
  <c r="NMG3" i="53" a="1"/>
  <c r="ASG3" i="53" a="1"/>
  <c r="IPX3" i="53" a="1"/>
  <c r="KRM3" i="53" a="1"/>
  <c r="OTY3" i="53" a="1"/>
  <c r="KCT3" i="53" a="1"/>
  <c r="OJW3" i="53" a="1"/>
  <c r="LGZ3" i="53" a="1"/>
  <c r="WZE3" i="53" a="1"/>
  <c r="VMD3" i="53" a="1"/>
  <c r="RHL3" i="53" a="1"/>
  <c r="NUD3" i="53" a="1"/>
  <c r="WJI3" i="53" a="1"/>
  <c r="F3" i="14" a="1"/>
  <c r="NCX3" i="53" a="1"/>
  <c r="AQL3" i="53" a="1"/>
  <c r="IZI3" i="53" a="1"/>
  <c r="JGP3" i="53" a="1"/>
  <c r="CAH3" i="53" a="1"/>
  <c r="BXY3" i="53" a="1"/>
  <c r="UXW3" i="53" a="1"/>
  <c r="A3" i="62" a="1"/>
  <c r="EQY3" i="53" a="1"/>
  <c r="SYW3" i="53" a="1"/>
  <c r="HWN3" i="53" a="1"/>
  <c r="IAZ3" i="53" a="1"/>
  <c r="UOU3" i="53" a="1"/>
  <c r="SHL3" i="53" a="1"/>
  <c r="KLN3" i="53" a="1"/>
  <c r="FTN3" i="53" a="1"/>
  <c r="VMS3" i="53" a="1"/>
  <c r="WZN3" i="53" a="1"/>
  <c r="HXQ3" i="53" a="1"/>
  <c r="MPE3" i="53" a="1"/>
  <c r="HBZ3" i="53" a="1"/>
  <c r="SSO3" i="53" a="1"/>
  <c r="OJM3" i="53" a="1"/>
  <c r="OPU3" i="53" a="1"/>
  <c r="HVP3" i="53" a="1"/>
  <c r="GAI3" i="53" a="1"/>
  <c r="GLW3" i="53" a="1"/>
  <c r="C50" i="53" a="1"/>
  <c r="OPR3" i="53" a="1"/>
  <c r="ETD3" i="53" a="1"/>
  <c r="DKV3" i="53" a="1"/>
  <c r="HRE3" i="53" a="1"/>
  <c r="KGL3" i="53" a="1"/>
  <c r="WHU3" i="53" a="1"/>
  <c r="FRK3" i="53" a="1"/>
  <c r="VC3" i="53" a="1"/>
  <c r="BYZ3" i="53" a="1"/>
  <c r="TTB3" i="53" a="1"/>
  <c r="RWO3" i="53" a="1"/>
  <c r="KAE3" i="53" a="1"/>
  <c r="DLQ3" i="53" a="1"/>
  <c r="JQV3" i="53" a="1"/>
  <c r="JYE3" i="53" a="1"/>
  <c r="WUU3" i="53" a="1"/>
  <c r="ETA3" i="53" a="1"/>
  <c r="OZX3" i="53" a="1"/>
  <c r="B3" i="42" a="1"/>
  <c r="DGA3" i="53" a="1"/>
  <c r="QZW3" i="53" a="1"/>
  <c r="WNS3" i="53" a="1"/>
  <c r="BUL3" i="53" a="1"/>
  <c r="SKP3" i="53" a="1"/>
  <c r="TSF3" i="53" a="1"/>
  <c r="IIW3" i="53" a="1"/>
  <c r="GSJ3" i="53" a="1"/>
  <c r="TJD3" i="53" a="1"/>
  <c r="PKU3" i="53" a="1"/>
  <c r="NEN3" i="53" a="1"/>
  <c r="PKW3" i="53" a="1"/>
  <c r="JDY3" i="53" a="1"/>
  <c r="RDN3" i="53" a="1"/>
  <c r="GZE3" i="53" a="1"/>
  <c r="OLA3" i="53" a="1"/>
  <c r="FHA3" i="53" a="1"/>
  <c r="MHX3" i="53" a="1"/>
  <c r="HWT3" i="53" a="1"/>
  <c r="DQT3" i="53" a="1"/>
  <c r="IZS3" i="53" a="1"/>
  <c r="FCW3" i="53" a="1"/>
  <c r="UTF3" i="53" a="1"/>
  <c r="LAF3" i="53" a="1"/>
  <c r="WUB3" i="53" a="1"/>
  <c r="GIN3" i="53" a="1"/>
  <c r="EQV3" i="53" a="1"/>
  <c r="VFG3" i="53" a="1"/>
  <c r="GRL3" i="53" a="1"/>
  <c r="APT3" i="53" a="1"/>
  <c r="NVJ3" i="53" a="1"/>
  <c r="PXR3" i="53" a="1"/>
  <c r="ECK3" i="53" a="1"/>
  <c r="PCT3" i="53" a="1"/>
  <c r="OWB3" i="53" a="1"/>
  <c r="NPA3" i="53" a="1"/>
  <c r="AZR3" i="53" a="1"/>
  <c r="HMD3" i="53" a="1"/>
  <c r="DMF3" i="53" a="1"/>
  <c r="HID3" i="53" a="1"/>
  <c r="SXU3" i="53" a="1"/>
  <c r="QXA3" i="53" a="1"/>
  <c r="MTS3" i="53" a="1"/>
  <c r="UOZ3" i="53" a="1"/>
  <c r="WMV3" i="53" a="1"/>
  <c r="OXQ3" i="53" a="1"/>
  <c r="QHO3" i="53" a="1"/>
  <c r="QAA3" i="53" a="1"/>
  <c r="VGZ3" i="53" a="1"/>
  <c r="BZP3" i="53" a="1"/>
  <c r="OMC3" i="53" a="1"/>
  <c r="GOP3" i="53" a="1"/>
  <c r="SD3" i="53" a="1"/>
  <c r="SFR3" i="53" a="1"/>
  <c r="GWG3" i="53" a="1"/>
  <c r="CCX3" i="53" a="1"/>
  <c r="WRA3" i="53" a="1"/>
  <c r="DHX3" i="53" a="1"/>
  <c r="QMH3" i="53" a="1"/>
  <c r="TYP3" i="53" a="1"/>
  <c r="PBP3" i="53" a="1"/>
  <c r="MRQ3" i="53" a="1"/>
  <c r="WQI3" i="53" a="1"/>
  <c r="IIT3" i="53" a="1"/>
  <c r="LQJ3" i="53" a="1"/>
  <c r="FLI3" i="53" a="1"/>
  <c r="BBR3" i="53" a="1"/>
  <c r="FED3" i="53" a="1"/>
  <c r="FWL3" i="53" a="1"/>
  <c r="LKE3" i="53" a="1"/>
  <c r="RYW3" i="53" a="1"/>
  <c r="SGY3" i="53" a="1"/>
  <c r="JDH3" i="53" a="1"/>
  <c r="OGQ3" i="53" a="1"/>
  <c r="Q3" i="12" a="1"/>
  <c r="TUT3" i="53" a="1"/>
  <c r="PN3" i="53" a="1"/>
  <c r="WGH3" i="53" a="1"/>
  <c r="EBF3" i="53" a="1"/>
  <c r="OCL3" i="53" a="1"/>
  <c r="APJ3" i="53" a="1"/>
  <c r="MPN3" i="53" a="1"/>
  <c r="B3" i="49" a="1"/>
  <c r="ODV3" i="53" a="1"/>
  <c r="FFC3" i="53" a="1"/>
  <c r="GGA3" i="53" a="1"/>
  <c r="IEW3" i="53" a="1"/>
  <c r="CQO3" i="53" a="1"/>
  <c r="BGD3" i="53" a="1"/>
  <c r="SOE3" i="53" a="1"/>
  <c r="PHS3" i="53" a="1"/>
  <c r="VLE3" i="53" a="1"/>
  <c r="AAW3" i="53" a="1"/>
  <c r="UHE3" i="53" a="1"/>
  <c r="IMH3" i="53" a="1"/>
  <c r="UDP3" i="53" a="1"/>
  <c r="DMW3" i="53" a="1"/>
  <c r="RQX3" i="53" a="1"/>
  <c r="GZA3" i="53" a="1"/>
  <c r="IRL3" i="53" a="1"/>
  <c r="LIX3" i="53" a="1"/>
  <c r="SOT3" i="53" a="1"/>
  <c r="FYL3" i="53" a="1"/>
  <c r="EFI3" i="53" a="1"/>
  <c r="NWA3" i="53" a="1"/>
  <c r="WZK3" i="53" a="1"/>
  <c r="TTQ3" i="53" a="1"/>
  <c r="WIB3" i="53" a="1"/>
  <c r="UCH3" i="53" a="1"/>
  <c r="BML3" i="53" a="1"/>
  <c r="PFT3" i="53" a="1"/>
  <c r="NMX3" i="53" a="1"/>
  <c r="MKM3" i="53" a="1"/>
  <c r="MXY3" i="53" a="1"/>
  <c r="JZZ3" i="53" a="1"/>
  <c r="G3" i="12" a="1"/>
  <c r="JBG3" i="53" a="1"/>
  <c r="DF3" i="53" a="1"/>
  <c r="SXD3" i="53" a="1"/>
  <c r="URE3" i="53" a="1"/>
  <c r="APG3" i="53" a="1"/>
  <c r="WLX3" i="53" a="1"/>
  <c r="RKG3" i="53" a="1"/>
  <c r="JM3" i="53" a="1"/>
  <c r="RXZ3" i="53" a="1"/>
  <c r="LSC3" i="53" a="1"/>
  <c r="CTV3" i="53" a="1"/>
  <c r="LAE3" i="53" a="1"/>
  <c r="GVD3" i="53" a="1"/>
  <c r="OQ3" i="53" a="1"/>
  <c r="TST3" i="53" a="1"/>
  <c r="RUY3" i="53" a="1"/>
  <c r="XC3" i="53" a="1"/>
  <c r="WWR3" i="53" a="1"/>
  <c r="VVQ3" i="53" a="1"/>
  <c r="RAV3" i="53" a="1"/>
  <c r="RPT3" i="53" a="1"/>
  <c r="PGC3" i="53" a="1"/>
  <c r="AQ3" i="53" a="1"/>
  <c r="MQN3" i="53" a="1"/>
  <c r="FAH3" i="53" a="1"/>
  <c r="BVR3" i="53" a="1"/>
  <c r="HOQ3" i="53" a="1"/>
  <c r="PGO3" i="53" a="1"/>
  <c r="LMX3" i="53" a="1"/>
  <c r="ROP3" i="53" a="1"/>
  <c r="QDA3" i="53" a="1"/>
  <c r="TGQ3" i="53" a="1"/>
  <c r="LPZ3" i="53" a="1"/>
  <c r="HJY3" i="53" a="1"/>
  <c r="DPW3" i="53" a="1"/>
  <c r="GGP3" i="53" a="1"/>
  <c r="WHX3" i="53" a="1"/>
  <c r="RTN3" i="53" a="1"/>
  <c r="RWZ3" i="53" a="1"/>
  <c r="NOD3" i="53" a="1"/>
  <c r="HRG3" i="53" a="1"/>
  <c r="MUO3" i="53" a="1"/>
  <c r="LMW3" i="53" a="1"/>
  <c r="D3" i="6" a="1"/>
  <c r="NQQ3" i="53" a="1"/>
  <c r="JJV3" i="53" a="1"/>
  <c r="JMI3" i="53" a="1"/>
  <c r="IGQ3" i="53" a="1"/>
  <c r="PYQ3" i="53" a="1"/>
  <c r="LDJ3" i="53" a="1"/>
  <c r="FRY3" i="53" a="1"/>
  <c r="QBC3" i="53" a="1"/>
  <c r="IWX3" i="53" a="1"/>
  <c r="JHZ3" i="53" a="1"/>
  <c r="HAC3" i="53" a="1"/>
  <c r="SBS3" i="53" a="1"/>
  <c r="HRY3" i="53" a="1"/>
  <c r="HEA3" i="53" a="1"/>
  <c r="LIW3" i="53" a="1"/>
  <c r="MLJ3" i="53" a="1"/>
  <c r="XDL3" i="53" a="1"/>
  <c r="JRA3" i="53" a="1"/>
  <c r="LBF3" i="53" a="1"/>
  <c r="GPJ3" i="53" a="1"/>
  <c r="FUB3" i="53" a="1"/>
  <c r="KEE3" i="53" a="1"/>
  <c r="ULR3" i="53" a="1"/>
  <c r="DSU3" i="53" a="1"/>
  <c r="SZ3" i="53" a="1"/>
  <c r="WTW3" i="53" a="1"/>
  <c r="DDH3" i="53" a="1"/>
  <c r="YT3" i="53" a="1"/>
  <c r="SYZ3" i="53" a="1"/>
  <c r="JHN3" i="53" a="1"/>
  <c r="QGM3" i="53" a="1"/>
  <c r="GMU3" i="53" a="1"/>
  <c r="BZI3" i="53" a="1"/>
  <c r="C3" i="41" a="1"/>
  <c r="DYD3" i="53" a="1"/>
  <c r="OUW3" i="53" a="1"/>
  <c r="NBC3" i="53" a="1"/>
  <c r="QLA3" i="53" a="1"/>
  <c r="FFH3" i="53" a="1"/>
  <c r="ATE3" i="53" a="1"/>
  <c r="GVA3" i="53" a="1"/>
  <c r="ECD3" i="53" a="1"/>
  <c r="WKG3" i="53" a="1"/>
  <c r="HLV3" i="53" a="1"/>
  <c r="TCA3" i="53" a="1"/>
  <c r="GEN3" i="53" a="1"/>
  <c r="VXM3" i="53" a="1"/>
  <c r="DDZ3" i="53" a="1"/>
  <c r="HJM3" i="53" a="1"/>
  <c r="LJI3" i="53" a="1"/>
  <c r="SLG3" i="53" a="1"/>
  <c r="VHD3" i="53" a="1"/>
  <c r="EPH3" i="53" a="1"/>
  <c r="QMU3" i="53" a="1"/>
  <c r="UKC3" i="53" a="1"/>
  <c r="HLC3" i="53" a="1"/>
  <c r="STG3" i="53" a="1"/>
  <c r="LFO3" i="53" a="1"/>
  <c r="ALN3" i="53" a="1"/>
  <c r="A3" i="59" a="1"/>
  <c r="GBZ3" i="53" a="1"/>
  <c r="UOS3" i="53" a="1"/>
  <c r="GPA3" i="53" a="1"/>
  <c r="ORD3" i="53" a="1"/>
  <c r="RJN3" i="53" a="1"/>
  <c r="IMD3" i="53" a="1"/>
  <c r="RNM3" i="53" a="1"/>
  <c r="UKF3" i="53" a="1"/>
  <c r="AWN3" i="53" a="1"/>
  <c r="CLE3" i="53" a="1"/>
  <c r="TZZ3" i="53" a="1"/>
  <c r="JWS3" i="53" a="1"/>
  <c r="ECE3" i="53" a="1"/>
  <c r="AJL3" i="53" a="1"/>
  <c r="HDV3" i="53" a="1"/>
  <c r="UGS3" i="53" a="1"/>
  <c r="TJP3" i="53" a="1"/>
  <c r="OLI3" i="53" a="1"/>
  <c r="JVT3" i="53" a="1"/>
  <c r="E61" i="4" a="1"/>
  <c r="HE3" i="53" a="1"/>
  <c r="JAU3" i="53" a="1"/>
  <c r="MJS3" i="53" a="1"/>
  <c r="OLT3" i="53" a="1"/>
  <c r="SVU3" i="53" a="1"/>
  <c r="PXW3" i="53" a="1"/>
  <c r="OED3" i="53" a="1"/>
  <c r="QIX3" i="53" a="1"/>
  <c r="NAE3" i="53" a="1"/>
  <c r="FTY3" i="53" a="1"/>
  <c r="UPK3" i="53" a="1"/>
  <c r="UVY3" i="53" a="1"/>
  <c r="VNJ3" i="53" a="1"/>
  <c r="NWJ3" i="53" a="1"/>
  <c r="LSE3" i="53" a="1"/>
  <c r="KPD3" i="53" a="1"/>
  <c r="IKJ3" i="53" a="1"/>
  <c r="ARU3" i="53" a="1"/>
  <c r="BAF3" i="53" a="1"/>
  <c r="GJY3" i="53" a="1"/>
  <c r="H3" i="15" a="1"/>
  <c r="PNJ3" i="53" a="1"/>
  <c r="UZN3" i="53" a="1"/>
  <c r="LH3" i="53" a="1"/>
  <c r="UFQ3" i="53" a="1"/>
  <c r="QGF3" i="53" a="1"/>
  <c r="EGJ3" i="53" a="1"/>
  <c r="QJE3" i="53" a="1"/>
  <c r="OKT3" i="53" a="1"/>
  <c r="SG3" i="53" a="1"/>
  <c r="E3" i="46" a="1"/>
  <c r="FLR3" i="53" a="1"/>
  <c r="MWF3" i="53" a="1"/>
  <c r="CVN3" i="53" a="1"/>
  <c r="OH3" i="53" a="1"/>
  <c r="WIO3" i="53" a="1"/>
  <c r="PWK3" i="53" a="1"/>
  <c r="TIX3" i="53" a="1"/>
  <c r="TRZ3" i="53" a="1"/>
  <c r="RSM3" i="53" a="1"/>
  <c r="XBB3" i="53" a="1"/>
  <c r="CZQ3" i="53" a="1"/>
  <c r="PMF3" i="53" a="1"/>
  <c r="TYV3" i="53" a="1"/>
  <c r="WXZ3" i="53" a="1"/>
  <c r="SOM3" i="53" a="1"/>
  <c r="MEN3" i="53" a="1"/>
  <c r="TYI3" i="53" a="1"/>
  <c r="FAV3" i="53" a="1"/>
  <c r="FAD3" i="53" a="1"/>
  <c r="JJF3" i="53" a="1"/>
  <c r="IYG3" i="53" a="1"/>
  <c r="OZR3" i="53" a="1"/>
  <c r="NWR3" i="53" a="1"/>
  <c r="XEV3" i="53" a="1"/>
  <c r="JQG3" i="53" a="1"/>
  <c r="MHT3" i="53" a="1"/>
  <c r="AOO3" i="53" a="1"/>
  <c r="WUE3" i="53" a="1"/>
  <c r="LOA3" i="53" a="1"/>
  <c r="GWN3" i="53" a="1"/>
  <c r="ODM3" i="53" a="1"/>
  <c r="AWA3" i="53" a="1"/>
  <c r="D3" i="28" a="1"/>
  <c r="VRM3" i="53" a="1"/>
  <c r="BXV3" i="53" a="1"/>
  <c r="WTR3" i="53" a="1"/>
  <c r="PFQ3" i="53" a="1"/>
  <c r="SXW3" i="53" a="1"/>
  <c r="QIK3" i="53" a="1"/>
  <c r="MHM3" i="53" a="1"/>
  <c r="SLX3" i="53" a="1"/>
  <c r="LRM3" i="53" a="1"/>
  <c r="SRO3" i="53" a="1"/>
  <c r="JID3" i="53" a="1"/>
  <c r="ISX3" i="53" a="1"/>
  <c r="CYJ3" i="53" a="1"/>
  <c r="JZK3" i="53" a="1"/>
  <c r="SVO3" i="53" a="1"/>
  <c r="OFF3" i="53" a="1"/>
  <c r="PNR3" i="53" a="1"/>
  <c r="FOM3" i="53" a="1"/>
  <c r="CNC3" i="53" a="1"/>
  <c r="WNV3" i="53" a="1"/>
  <c r="CAC3" i="53" a="1"/>
  <c r="UJK3" i="53" a="1"/>
  <c r="UGW3" i="53" a="1"/>
  <c r="TAZ3" i="53" a="1"/>
  <c r="BVN3" i="53" a="1"/>
  <c r="WJZ3" i="53" a="1"/>
  <c r="LWE3" i="53" a="1"/>
  <c r="HFP3" i="53" a="1"/>
  <c r="VHR3" i="53" a="1"/>
  <c r="CZZ3" i="53" a="1"/>
  <c r="ROJ3" i="53" a="1"/>
  <c r="WQL3" i="53" a="1"/>
  <c r="NCJ3" i="53" a="1"/>
  <c r="FPC3" i="53" a="1"/>
  <c r="FVR3" i="53" a="1"/>
  <c r="OCI3" i="53" a="1"/>
  <c r="TQR3" i="53" a="1"/>
  <c r="JTC3" i="53" a="1"/>
  <c r="MQX3" i="53" a="1"/>
  <c r="KCE3" i="53" a="1"/>
  <c r="F3" i="22" a="1"/>
  <c r="BBA3" i="53" a="1"/>
  <c r="WLS3" i="53" a="1"/>
  <c r="WDT3" i="53" a="1"/>
  <c r="JUC3" i="53" a="1"/>
  <c r="SWO3" i="53" a="1"/>
  <c r="FZC3" i="53" a="1"/>
  <c r="RL3" i="53" a="1"/>
  <c r="QJP3" i="53" a="1"/>
  <c r="CGB3" i="53" a="1"/>
  <c r="LRZ3" i="53" a="1"/>
  <c r="UCD3" i="53" a="1"/>
  <c r="NQZ3" i="53" a="1"/>
  <c r="VSR3" i="53" a="1"/>
  <c r="AQB3" i="53" a="1"/>
  <c r="SMM3" i="53" a="1"/>
  <c r="LPT3" i="53" a="1"/>
  <c r="TDR3" i="53" a="1"/>
  <c r="BOJ3" i="53" a="1"/>
  <c r="QHD3" i="53" a="1"/>
  <c r="D3" i="22" a="1"/>
  <c r="TPI3" i="53" a="1"/>
  <c r="EF3" i="53" a="1"/>
  <c r="HWY3" i="53" a="1"/>
  <c r="JSN3" i="53" a="1"/>
  <c r="NLQ3" i="53" a="1"/>
  <c r="BPI3" i="53" a="1"/>
  <c r="UQL3" i="53" a="1"/>
  <c r="FNH3" i="53" a="1"/>
  <c r="JWF3" i="53" a="1"/>
  <c r="FJH3" i="53" a="1"/>
  <c r="JWK3" i="53" a="1"/>
  <c r="KOQ3" i="53" a="1"/>
  <c r="HHL3" i="53" a="1"/>
  <c r="GCQ3" i="53" a="1"/>
  <c r="HSR3" i="53" a="1"/>
  <c r="FDK3" i="53" a="1"/>
  <c r="DJF3" i="53" a="1"/>
  <c r="C3" i="54" a="1"/>
  <c r="JYO3" i="53" a="1"/>
  <c r="TIY3" i="53" a="1"/>
  <c r="HEZ3" i="53" a="1"/>
  <c r="XDN3" i="53" a="1"/>
  <c r="C3" i="34" a="1"/>
  <c r="LMK3" i="53" a="1"/>
  <c r="ACD3" i="53" a="1"/>
  <c r="UQJ3" i="53" a="1"/>
  <c r="WQJ3" i="53" a="1"/>
  <c r="TGL3" i="53" a="1"/>
  <c r="ILU3" i="53" a="1"/>
  <c r="UCE3" i="53" a="1"/>
  <c r="UYS3" i="53" a="1"/>
  <c r="IDC3" i="53" a="1"/>
  <c r="SN3" i="53" a="1"/>
  <c r="KES3" i="53" a="1"/>
  <c r="DHS3" i="53" a="1"/>
  <c r="SXV3" i="53" a="1"/>
  <c r="PJB3" i="53" a="1"/>
  <c r="VIP3" i="53" a="1"/>
  <c r="WNK3" i="53" a="1"/>
  <c r="NFD3" i="53" a="1"/>
  <c r="UMB3" i="53" a="1"/>
  <c r="EDQ3" i="53" a="1"/>
  <c r="HBO3" i="53" a="1"/>
  <c r="FZD3" i="53" a="1"/>
  <c r="MSV3" i="53" a="1"/>
  <c r="MJP3" i="53" a="1"/>
  <c r="GYO3" i="53" a="1"/>
  <c r="DNP3" i="53" a="1"/>
  <c r="TDA3" i="53" a="1"/>
  <c r="IVZ3" i="53" a="1"/>
  <c r="HRH3" i="53" a="1"/>
  <c r="JNP3" i="53" a="1"/>
  <c r="RHN3" i="53" a="1"/>
  <c r="VRN3" i="53" a="1"/>
  <c r="ONL3" i="53" a="1"/>
  <c r="VQD3" i="53" a="1"/>
  <c r="CBE3" i="53" a="1"/>
  <c r="WNB3" i="53" a="1"/>
  <c r="ORZ3" i="53" a="1"/>
  <c r="UOJ3" i="53" a="1"/>
  <c r="PYJ3" i="53" a="1"/>
  <c r="GCJ3" i="53" a="1"/>
  <c r="MFG3" i="53" a="1"/>
  <c r="ROT3" i="53" a="1"/>
  <c r="JPF3" i="53" a="1"/>
  <c r="IGP3" i="53" a="1"/>
  <c r="CEI3" i="53" a="1"/>
  <c r="CEF3" i="53" a="1"/>
  <c r="ORG3" i="53" a="1"/>
  <c r="WMH3" i="53" a="1"/>
  <c r="EZN3" i="53" a="1"/>
  <c r="WDB3" i="53" a="1"/>
  <c r="AUI3" i="53" a="1"/>
  <c r="BSI3" i="53" a="1"/>
  <c r="HMJ3" i="53" a="1"/>
  <c r="OGU3" i="53" a="1"/>
  <c r="RTX3" i="53" a="1"/>
  <c r="AWI3" i="53" a="1"/>
  <c r="WCZ3" i="53" a="1"/>
  <c r="CFH3" i="53" a="1"/>
  <c r="GOD3" i="53" a="1"/>
  <c r="NS3" i="53" a="1"/>
  <c r="UAN3" i="53" a="1"/>
  <c r="ORS3" i="53" a="1"/>
  <c r="GCH3" i="53" a="1"/>
  <c r="MUH3" i="53" a="1"/>
  <c r="RFI3" i="53" a="1"/>
  <c r="QPK3" i="53" a="1"/>
  <c r="DOL3" i="53" a="1"/>
  <c r="AKS3" i="53" a="1"/>
  <c r="GYQ3" i="53" a="1"/>
  <c r="QFK3" i="53" a="1"/>
  <c r="KXV3" i="53" a="1"/>
  <c r="UUF3" i="53" a="1"/>
  <c r="HVV3" i="53" a="1"/>
  <c r="SRH3" i="53" a="1"/>
  <c r="RCO3" i="53" a="1"/>
  <c r="FVX3" i="53" a="1"/>
  <c r="IHC3" i="53" a="1"/>
  <c r="ARX3" i="53" a="1"/>
  <c r="E3" i="38" a="1"/>
  <c r="KMP3" i="53" a="1"/>
  <c r="VEY3" i="53" a="1"/>
  <c r="FGO3" i="53" a="1"/>
  <c r="CAY3" i="53" a="1"/>
  <c r="HLO3" i="53" a="1"/>
  <c r="AXQ3" i="53" a="1"/>
  <c r="RSF3" i="53" a="1"/>
  <c r="PXT3" i="53" a="1"/>
  <c r="TQO3" i="53" a="1"/>
  <c r="DDD3" i="53" a="1"/>
  <c r="RAX3" i="53" a="1"/>
  <c r="RCS3" i="53" a="1"/>
  <c r="KPJ3" i="53" a="1"/>
  <c r="OUB3" i="53" a="1"/>
  <c r="AXX3" i="53" a="1"/>
  <c r="OZG3" i="53" a="1"/>
  <c r="KTB3" i="53" a="1"/>
  <c r="GDN3" i="53" a="1"/>
  <c r="GGO3" i="53" a="1"/>
  <c r="VRY3" i="53" a="1"/>
  <c r="SEJ3" i="53" a="1"/>
  <c r="WDE3" i="53" a="1"/>
  <c r="PEL3" i="53" a="1"/>
  <c r="LCL3" i="53" a="1"/>
  <c r="BCG3" i="53" a="1"/>
  <c r="RKB3" i="53" a="1"/>
  <c r="EQM3" i="53" a="1"/>
  <c r="QYL3" i="53" a="1"/>
  <c r="RWV3" i="53" a="1"/>
  <c r="VYJ3" i="53" a="1"/>
  <c r="MXU3" i="53" a="1"/>
  <c r="UEE3" i="53" a="1"/>
  <c r="OV3" i="53" a="1"/>
  <c r="IDZ3" i="53" a="1"/>
  <c r="EQK3" i="53" a="1"/>
  <c r="NZU3" i="53" a="1"/>
  <c r="OHO3" i="53" a="1"/>
  <c r="MMI3" i="53" a="1"/>
  <c r="RXV3" i="53" a="1"/>
  <c r="LDN3" i="53" a="1"/>
  <c r="GLE3" i="53" a="1"/>
  <c r="D3" i="59" a="1"/>
  <c r="FCN3" i="53" a="1"/>
  <c r="LKO3" i="53" a="1"/>
  <c r="JPE3" i="53" a="1"/>
  <c r="ZB3" i="53" a="1"/>
  <c r="ETT3" i="53" a="1"/>
  <c r="SMK3" i="53" a="1"/>
  <c r="TRP3" i="53" a="1"/>
  <c r="SXP3" i="53" a="1"/>
  <c r="LOJ3" i="53" a="1"/>
  <c r="UUD3" i="53" a="1"/>
  <c r="OMP3" i="53" a="1"/>
  <c r="LCO3" i="53" a="1"/>
  <c r="D3" i="56" a="1"/>
  <c r="DFG3" i="53" a="1"/>
  <c r="EXT3" i="53" a="1"/>
  <c r="SCS3" i="53" a="1"/>
  <c r="TND3" i="53" a="1"/>
  <c r="VDY3" i="53" a="1"/>
  <c r="IEK3" i="53" a="1"/>
  <c r="HJT3" i="53" a="1"/>
  <c r="JHK3" i="53" a="1"/>
  <c r="GPR3" i="53" a="1"/>
  <c r="LUE3" i="53" a="1"/>
  <c r="CSG3" i="53" a="1"/>
  <c r="RUJ3" i="53" a="1"/>
  <c r="TWE3" i="53" a="1"/>
  <c r="JTA3" i="53" a="1"/>
  <c r="LCR3" i="53" a="1"/>
  <c r="PSE3" i="53" a="1"/>
  <c r="LDI3" i="53" a="1"/>
  <c r="LOB3" i="53" a="1"/>
  <c r="RB3" i="53" a="1"/>
  <c r="MBZ3" i="53" a="1"/>
  <c r="JJO3" i="53" a="1"/>
  <c r="AUL3" i="53" a="1"/>
  <c r="PRQ3" i="53" a="1"/>
  <c r="NQV3" i="53" a="1"/>
  <c r="WCX3" i="53" a="1"/>
  <c r="WUJ3" i="53" a="1"/>
  <c r="MCG3" i="53" a="1"/>
  <c r="JEW3" i="53" a="1"/>
  <c r="RGA3" i="53" a="1"/>
  <c r="BTL3" i="53" a="1"/>
  <c r="GCI3" i="53" a="1"/>
  <c r="SOZ3" i="53" a="1"/>
  <c r="FSZ3" i="53" a="1"/>
  <c r="RKO3" i="53" a="1"/>
  <c r="RJY3" i="53" a="1"/>
  <c r="BZ3" i="53" a="1"/>
  <c r="NJI3" i="53" a="1"/>
  <c r="VXD3" i="53" a="1"/>
  <c r="IQP3" i="53" a="1"/>
  <c r="QWH3" i="53" a="1"/>
  <c r="XF3" i="53" a="1"/>
  <c r="DDF3" i="53" a="1"/>
  <c r="ELH3" i="53" a="1"/>
  <c r="BOF3" i="53" a="1"/>
  <c r="WWN3" i="53" a="1"/>
  <c r="TQG3" i="53" a="1"/>
  <c r="RSK3" i="53" a="1"/>
  <c r="GFY3" i="53" a="1"/>
  <c r="OBP3" i="53" a="1"/>
  <c r="RBW3" i="53" a="1"/>
  <c r="WKB3" i="53" a="1"/>
  <c r="WGE3" i="53" a="1"/>
  <c r="NWY3" i="53" a="1"/>
  <c r="BNT3" i="53" a="1"/>
  <c r="TIK3" i="53" a="1"/>
  <c r="WOD3" i="53" a="1"/>
  <c r="JLH3" i="53" a="1"/>
  <c r="BGG3" i="53" a="1"/>
  <c r="OAS3" i="53" a="1"/>
  <c r="C3" i="40" a="1"/>
  <c r="OLN3" i="53" a="1"/>
  <c r="UPU3" i="53" a="1"/>
  <c r="UXD3" i="53" a="1"/>
  <c r="P3" i="53" a="1"/>
  <c r="SHQ3" i="53" a="1"/>
  <c r="NLM3" i="53" a="1"/>
  <c r="TJE3" i="53" a="1"/>
  <c r="WEW3" i="53" a="1"/>
  <c r="DLP3" i="53" a="1"/>
  <c r="WUW3" i="53" a="1"/>
  <c r="UQP3" i="53" a="1"/>
  <c r="FXY3" i="53" a="1"/>
  <c r="TJK3" i="53" a="1"/>
  <c r="UTK3" i="53" a="1"/>
  <c r="WFD3" i="53" a="1"/>
  <c r="BUE3" i="53" a="1"/>
  <c r="MLW3" i="53" a="1"/>
  <c r="EAN3" i="53" a="1"/>
  <c r="RHO3" i="53" a="1"/>
  <c r="PKJ3" i="53" a="1"/>
  <c r="GHT3" i="53" a="1"/>
  <c r="H3" i="50" a="1"/>
  <c r="PQO3" i="53" a="1"/>
  <c r="WY3" i="53" a="1"/>
  <c r="UFI3" i="53" a="1"/>
  <c r="WLK3" i="53" a="1"/>
  <c r="QZK3" i="53" a="1"/>
  <c r="QCR3" i="53" a="1"/>
  <c r="QH3" i="53" a="1"/>
  <c r="VVS3" i="53" a="1"/>
  <c r="DTR3" i="53" a="1"/>
  <c r="A3" i="15" a="1"/>
  <c r="SQN3" i="53" a="1"/>
  <c r="GWQ3" i="53" a="1"/>
  <c r="FJM3" i="53" a="1"/>
  <c r="RCY3" i="53" a="1"/>
  <c r="A3" i="6" a="1"/>
  <c r="ODC3" i="53" a="1"/>
  <c r="FSY3" i="53" a="1"/>
  <c r="XK3" i="53" a="1"/>
  <c r="LBM3" i="53" a="1"/>
  <c r="FDZ3" i="53" a="1"/>
  <c r="QLS3" i="53" a="1"/>
  <c r="QSI3" i="53" a="1"/>
  <c r="HJK3" i="53" a="1"/>
  <c r="HBN3" i="53" a="1"/>
  <c r="BFE3" i="53" a="1"/>
  <c r="JZQ3" i="53" a="1"/>
  <c r="UAA3" i="53" a="1"/>
  <c r="EMA3" i="53" a="1"/>
  <c r="LZ3" i="53" a="1"/>
  <c r="SFO3" i="53" a="1"/>
  <c r="RVU3" i="53" a="1"/>
  <c r="REB3" i="53" a="1"/>
  <c r="QFB3" i="53" a="1"/>
  <c r="E63" i="4" a="1"/>
  <c r="VCW3" i="53" a="1"/>
  <c r="KBH3" i="53" a="1"/>
  <c r="FBO3" i="53" a="1"/>
  <c r="FRN3" i="53" a="1"/>
  <c r="FUC3" i="53" a="1"/>
  <c r="WXP3" i="53" a="1"/>
  <c r="KW3" i="53" a="1"/>
  <c r="UGY3" i="53" a="1"/>
  <c r="DXD3" i="53" a="1"/>
  <c r="PAM3" i="53" a="1"/>
  <c r="COR3" i="53" a="1"/>
  <c r="CU3" i="53" a="1"/>
  <c r="TII3" i="53" a="1"/>
  <c r="OLD3" i="53" a="1"/>
  <c r="DXJ3" i="53" a="1"/>
  <c r="BUQ3" i="53" a="1"/>
  <c r="QGC3" i="53" a="1"/>
  <c r="VDI3" i="53" a="1"/>
  <c r="KBQ3" i="53" a="1"/>
  <c r="JZH3" i="53" a="1"/>
  <c r="EOQ3" i="53" a="1"/>
  <c r="QEY3" i="53" a="1"/>
  <c r="TXR3" i="53" a="1"/>
  <c r="TVP3" i="53" a="1"/>
  <c r="WLU3" i="53" a="1"/>
  <c r="LPF3" i="53" a="1"/>
  <c r="QOA3" i="53" a="1"/>
  <c r="FTB3" i="53" a="1"/>
  <c r="FQZ3" i="53" a="1"/>
  <c r="MCB3" i="53" a="1"/>
  <c r="MCH3" i="53" a="1"/>
  <c r="UKS3" i="53" a="1"/>
  <c r="ATZ3" i="53" a="1"/>
  <c r="WSL3" i="53" a="1"/>
  <c r="GUW3" i="53" a="1"/>
  <c r="FCL3" i="53" a="1"/>
  <c r="DXO3" i="53" a="1"/>
  <c r="WVZ3" i="53" a="1"/>
  <c r="JIU3" i="53" a="1"/>
  <c r="JTI3" i="53" a="1"/>
  <c r="BXI3" i="53" a="1"/>
  <c r="TGV3" i="53" a="1"/>
  <c r="QVX3" i="53" a="1"/>
  <c r="OJT3" i="53" a="1"/>
  <c r="GEI3" i="53" a="1"/>
  <c r="LDU3" i="53" a="1"/>
  <c r="OVV3" i="53" a="1"/>
  <c r="LUU3" i="53" a="1"/>
  <c r="UCQ3" i="53" a="1"/>
  <c r="QZ3" i="53" a="1"/>
  <c r="MKS3" i="53" a="1"/>
  <c r="SHG3" i="53" a="1"/>
  <c r="JND3" i="53" a="1"/>
  <c r="H3" i="34" a="1"/>
  <c r="LLS3" i="53" a="1"/>
  <c r="FPO3" i="53" a="1"/>
  <c r="DRK3" i="53" a="1"/>
  <c r="THX3" i="53" a="1"/>
  <c r="JAC3" i="53" a="1"/>
  <c r="BTQ3" i="53" a="1"/>
  <c r="GAG3" i="53" a="1"/>
  <c r="WCJ3" i="53" a="1"/>
  <c r="JEX3" i="53" a="1"/>
  <c r="SWZ3" i="53" a="1"/>
  <c r="UKR3" i="53" a="1"/>
  <c r="WSS3" i="53" a="1"/>
  <c r="C63" i="53" a="1"/>
  <c r="ZC3" i="53" a="1"/>
  <c r="OPS3" i="53" a="1"/>
  <c r="SQH3" i="53" a="1"/>
  <c r="WRB3" i="53" a="1"/>
  <c r="FTQ3" i="53" a="1"/>
  <c r="LEE3" i="53" a="1"/>
  <c r="EVA3" i="53" a="1"/>
  <c r="MTY3" i="53" a="1"/>
  <c r="MDD3" i="53" a="1"/>
  <c r="TAI3" i="53" a="1"/>
  <c r="BDT3" i="53" a="1"/>
  <c r="VVU3" i="53" a="1"/>
  <c r="SPD3" i="53" a="1"/>
  <c r="WTY3" i="53" a="1"/>
  <c r="TRG3" i="53" a="1"/>
  <c r="PJW3" i="53" a="1"/>
  <c r="UKU3" i="53" a="1"/>
  <c r="SGA3" i="53" a="1"/>
  <c r="JRP3" i="53" a="1"/>
  <c r="AQW3" i="53" a="1"/>
  <c r="RDZ3" i="53" a="1"/>
  <c r="TJV3" i="53" a="1"/>
  <c r="BXR3" i="53" a="1"/>
  <c r="LDP3" i="53" a="1"/>
  <c r="IMW3" i="53" a="1"/>
  <c r="JQM3" i="53" a="1"/>
  <c r="TY3" i="53" a="1"/>
  <c r="LAL3" i="53" a="1"/>
  <c r="PFL3" i="53" a="1"/>
  <c r="CTO3" i="53" a="1"/>
  <c r="DDC3" i="53" a="1"/>
  <c r="TDV3" i="53" a="1"/>
  <c r="KFS3" i="53" a="1"/>
  <c r="VYL3" i="53" a="1"/>
  <c r="MEV3" i="53" a="1"/>
  <c r="DQJ3" i="53" a="1"/>
  <c r="ERP3" i="53" a="1"/>
  <c r="KYW3" i="53" a="1"/>
  <c r="SJV3" i="53" a="1"/>
  <c r="WEY3" i="53" a="1"/>
  <c r="MVF3" i="53" a="1"/>
  <c r="OIT3" i="53" a="1"/>
  <c r="CIN3" i="53" a="1"/>
  <c r="PYD3" i="53" a="1"/>
  <c r="FIE3" i="53" a="1"/>
  <c r="UTH3" i="53" a="1"/>
  <c r="OEH3" i="53" a="1"/>
  <c r="WES3" i="53" a="1"/>
  <c r="RJM3" i="53" a="1"/>
  <c r="MLX3" i="53" a="1"/>
  <c r="PMY3" i="53" a="1"/>
  <c r="WNJ3" i="53" a="1"/>
  <c r="ISF3" i="53" a="1"/>
  <c r="VVE3" i="53" a="1"/>
  <c r="ERT3" i="53" a="1"/>
  <c r="CDK3" i="53" a="1"/>
  <c r="RHR3" i="53" a="1"/>
  <c r="OIC3" i="53" a="1"/>
  <c r="IJS3" i="53" a="1"/>
  <c r="TMG3" i="53" a="1"/>
  <c r="QCB3" i="53" a="1"/>
  <c r="MHS3" i="53" a="1"/>
  <c r="BIC3" i="53" a="1"/>
  <c r="ADH3" i="53" a="1"/>
  <c r="TKG3" i="53" a="1"/>
  <c r="HOL3" i="53" a="1"/>
  <c r="VLD3" i="53" a="1"/>
  <c r="KHN3" i="53" a="1"/>
  <c r="WWB3" i="53" a="1"/>
  <c r="MLT3" i="53" a="1"/>
  <c r="WNR3" i="53" a="1"/>
  <c r="JNO3" i="53" a="1"/>
  <c r="WFO3" i="53" a="1"/>
  <c r="KPO3" i="53" a="1"/>
  <c r="UXF3" i="53" a="1"/>
  <c r="VEE3" i="53" a="1"/>
  <c r="HSK3" i="53" a="1"/>
  <c r="WNG3" i="53" a="1"/>
  <c r="VIW3" i="53" a="1"/>
  <c r="ICF3" i="53" a="1"/>
  <c r="E3" i="54" a="1"/>
  <c r="JMT3" i="53" a="1"/>
  <c r="ACT3" i="53" a="1"/>
  <c r="WXX3" i="53" a="1"/>
  <c r="BVF3" i="53" a="1"/>
  <c r="KSZ3" i="53" a="1"/>
  <c r="BP3" i="53" a="1"/>
  <c r="VXU3" i="53" a="1"/>
  <c r="GMA3" i="53" a="1"/>
  <c r="DCE3" i="53" a="1"/>
  <c r="SIY3" i="53" a="1"/>
  <c r="ASM3" i="53" a="1"/>
  <c r="RFK3" i="53" a="1"/>
  <c r="OXR3" i="53" a="1"/>
  <c r="GCA3" i="53" a="1"/>
  <c r="OMB3" i="53" a="1"/>
  <c r="CBD3" i="53" a="1"/>
  <c r="RUW3" i="53" a="1"/>
  <c r="EKR3" i="53" a="1"/>
  <c r="TDX3" i="53" a="1"/>
  <c r="HR3" i="53" a="1"/>
  <c r="EXU3" i="53" a="1"/>
  <c r="PND3" i="53" a="1"/>
  <c r="DY3" i="53" a="1"/>
  <c r="FSD3" i="53" a="1"/>
  <c r="QRI3" i="53" a="1"/>
  <c r="PAN3" i="53" a="1"/>
  <c r="D3" i="40" a="1"/>
  <c r="QSM3" i="53" a="1"/>
  <c r="XCW3" i="53" a="1"/>
  <c r="G3" i="40" a="1"/>
  <c r="DGQ3" i="53" a="1"/>
  <c r="SIE3" i="53" a="1"/>
  <c r="TVY3" i="53" a="1"/>
  <c r="PIL3" i="53" a="1"/>
  <c r="TXH3" i="53" a="1"/>
  <c r="LTI3" i="53" a="1"/>
  <c r="I3" i="50" a="1"/>
  <c r="THA3" i="53" a="1"/>
  <c r="OQP3" i="53" a="1"/>
  <c r="XAT3" i="53" a="1"/>
  <c r="KEB3" i="53" a="1"/>
  <c r="MMO3" i="53" a="1"/>
  <c r="OQK3" i="53" a="1"/>
  <c r="FTT3" i="53" a="1"/>
  <c r="AHC3" i="53" a="1"/>
  <c r="FLM3" i="53" a="1"/>
  <c r="GBP3" i="53" a="1"/>
  <c r="GXU3" i="53" a="1"/>
  <c r="C54" i="53" a="1"/>
  <c r="UTX3" i="53" a="1"/>
  <c r="KZI3" i="53" a="1"/>
  <c r="JMS3" i="53" a="1"/>
  <c r="OOH3" i="53" a="1"/>
  <c r="JMG3" i="53" a="1"/>
  <c r="IBN3" i="53" a="1"/>
  <c r="OHQ3" i="53" a="1"/>
  <c r="SZU3" i="53" a="1"/>
  <c r="NYZ3" i="53" a="1"/>
  <c r="XX3" i="53" a="1"/>
  <c r="EUI3" i="53" a="1"/>
  <c r="RZH3" i="53" a="1"/>
  <c r="DXR3" i="53" a="1"/>
  <c r="CWK3" i="53" a="1"/>
  <c r="RCT3" i="53" a="1"/>
  <c r="EFQ3" i="53" a="1"/>
  <c r="OWM3" i="53" a="1"/>
  <c r="TDZ3" i="53" a="1"/>
  <c r="PKK3" i="53" a="1"/>
  <c r="RZZ3" i="53" a="1"/>
  <c r="ARZ3" i="53" a="1"/>
  <c r="RAP3" i="53" a="1"/>
  <c r="FZ3" i="53" a="1"/>
  <c r="FHR3" i="53" a="1"/>
  <c r="EDU3" i="53" a="1"/>
  <c r="VOU3" i="53" a="1"/>
  <c r="CQX3" i="53" a="1"/>
  <c r="ECZ3" i="53" a="1"/>
  <c r="EHT3" i="53" a="1"/>
  <c r="KPL3" i="53" a="1"/>
  <c r="AEE3" i="53" a="1"/>
  <c r="KKO3" i="53" a="1"/>
  <c r="DSR3" i="53" a="1"/>
  <c r="JBQ3" i="53" a="1"/>
  <c r="VZD3" i="53" a="1"/>
  <c r="QKP3" i="53" a="1"/>
  <c r="UAF3" i="53" a="1"/>
  <c r="TYT3" i="53" a="1"/>
  <c r="LOU3" i="53" a="1"/>
  <c r="DKZ3" i="53" a="1"/>
  <c r="XDW3" i="53" a="1"/>
  <c r="DWL3" i="53" a="1"/>
  <c r="UOR3" i="53" a="1"/>
  <c r="UYT3" i="53" a="1"/>
  <c r="RNN3" i="53" a="1"/>
  <c r="UAH3" i="53" a="1"/>
  <c r="JED3" i="53" a="1"/>
  <c r="DAD3" i="53" a="1"/>
  <c r="BRP3" i="53" a="1"/>
  <c r="ALF3" i="53" a="1"/>
  <c r="RYL3" i="53" a="1"/>
  <c r="GEF3" i="53" a="1"/>
  <c r="QPQ3" i="53" a="1"/>
  <c r="LMM3" i="53" a="1"/>
  <c r="EDO3" i="53" a="1"/>
  <c r="PNC3" i="53" a="1"/>
  <c r="UHQ3" i="53" a="1"/>
  <c r="LIU3" i="53" a="1"/>
  <c r="WSK3" i="53" a="1"/>
  <c r="MFP3" i="53" a="1"/>
  <c r="DHR3" i="53" a="1"/>
  <c r="IVK3" i="53" a="1"/>
  <c r="NPJ3" i="53" a="1"/>
  <c r="KJG3" i="53" a="1"/>
  <c r="QOP3" i="53" a="1"/>
  <c r="UVJ3" i="53" a="1"/>
  <c r="ONN3" i="53" a="1"/>
  <c r="GLV3" i="53" a="1"/>
  <c r="VXQ3" i="53" a="1"/>
  <c r="PGK3" i="53" a="1"/>
  <c r="VXF3" i="53" a="1"/>
  <c r="VST3" i="53" a="1"/>
  <c r="JHO3" i="53" a="1"/>
  <c r="NIX3" i="53" a="1"/>
  <c r="SPB3" i="53" a="1"/>
  <c r="MMH3" i="53" a="1"/>
  <c r="WSO3" i="53" a="1"/>
  <c r="LSR3" i="53" a="1"/>
  <c r="MYP3" i="53" a="1"/>
  <c r="XET3" i="53" a="1"/>
  <c r="NXF3" i="53" a="1"/>
  <c r="FTE3" i="53" a="1"/>
  <c r="AAT3" i="53" a="1"/>
  <c r="IIB3" i="53" a="1"/>
  <c r="LQG3" i="53" a="1"/>
  <c r="DES3" i="53" a="1"/>
  <c r="PDU3" i="53" a="1"/>
  <c r="UTY3" i="53" a="1"/>
  <c r="QHP3" i="53" a="1"/>
  <c r="JBB3" i="53" a="1"/>
  <c r="EIN3" i="53" a="1"/>
  <c r="VBG3" i="53" a="1"/>
  <c r="KRE3" i="53" a="1"/>
  <c r="LSQ3" i="53" a="1"/>
  <c r="NXE3" i="53" a="1"/>
  <c r="A3" i="50" a="1"/>
  <c r="ERI3" i="53" a="1"/>
  <c r="WPF3" i="53" a="1"/>
  <c r="WGO3" i="53" a="1"/>
  <c r="SAD3" i="53" a="1"/>
  <c r="SQO3" i="53" a="1"/>
  <c r="PUU3" i="53" a="1"/>
  <c r="KAG3" i="53" a="1"/>
  <c r="JAS3" i="53" a="1"/>
  <c r="ENK3" i="53" a="1"/>
  <c r="GEP3" i="53" a="1"/>
  <c r="FBJ3" i="53" a="1"/>
  <c r="GXX3" i="53" a="1"/>
  <c r="HJQ3" i="53" a="1"/>
  <c r="UOK3" i="53" a="1"/>
  <c r="NAS3" i="53" a="1"/>
  <c r="PCK3" i="53" a="1"/>
  <c r="ETN3" i="53" a="1"/>
  <c r="EQD3" i="53" a="1"/>
  <c r="VJG3" i="53" a="1"/>
  <c r="NZN3" i="53" a="1"/>
  <c r="SUF3" i="53" a="1"/>
  <c r="HKA3" i="53" a="1"/>
  <c r="JKH3" i="53" a="1"/>
  <c r="DAW3" i="53" a="1"/>
  <c r="CYD3" i="53" a="1"/>
  <c r="CBP3" i="53" a="1"/>
  <c r="EZP3" i="53" a="1"/>
  <c r="GSZ3" i="53" a="1"/>
  <c r="B3" i="28" a="1"/>
  <c r="NJW3" i="53" a="1"/>
  <c r="UBF3" i="53" a="1"/>
  <c r="WBH3" i="53" a="1"/>
  <c r="UTV3" i="53" a="1"/>
  <c r="LCC3" i="53" a="1"/>
  <c r="WCL3" i="53" a="1"/>
  <c r="IDT3" i="53" a="1"/>
  <c r="RVJ3" i="53" a="1"/>
  <c r="KTO3" i="53" a="1"/>
  <c r="MIV3" i="53" a="1"/>
  <c r="UWX3" i="53" a="1"/>
  <c r="C34" i="53" a="1"/>
  <c r="QUE3" i="53" a="1"/>
  <c r="PTA3" i="53" a="1"/>
  <c r="SBA3" i="53" a="1"/>
  <c r="OP3" i="53" a="1"/>
  <c r="HFW3" i="53" a="1"/>
  <c r="MWN3" i="53" a="1"/>
  <c r="KDL3" i="53" a="1"/>
  <c r="NZ3" i="53" a="1"/>
  <c r="UNB3" i="53" a="1"/>
  <c r="CUI3" i="53" a="1"/>
  <c r="SIO3" i="53" a="1"/>
  <c r="SXJ3" i="53" a="1"/>
  <c r="CNM3" i="53" a="1"/>
  <c r="QXP3" i="53" a="1"/>
  <c r="OIJ3" i="53" a="1"/>
  <c r="AWM3" i="53" a="1"/>
  <c r="GCF3" i="53" a="1"/>
  <c r="ASJ3" i="53" a="1"/>
  <c r="GSD3" i="53" a="1"/>
  <c r="KQG3" i="53" a="1"/>
  <c r="RBM3" i="53" a="1"/>
  <c r="TBW3" i="53" a="1"/>
  <c r="AUN3" i="53" a="1"/>
  <c r="LQO3" i="53" a="1"/>
  <c r="WOZ3" i="53" a="1"/>
  <c r="LZC3" i="53" a="1"/>
  <c r="SLL3" i="53" a="1"/>
  <c r="IAD3" i="53" a="1"/>
  <c r="CAB3" i="53" a="1"/>
  <c r="HZX3" i="53" a="1"/>
  <c r="FMD3" i="53" a="1"/>
  <c r="PIW3" i="53" a="1"/>
  <c r="ELF3" i="53" a="1"/>
  <c r="SKM3" i="53" a="1"/>
  <c r="ICG3" i="53" a="1"/>
  <c r="LNJ3" i="53" a="1"/>
  <c r="JCJ3" i="53" a="1"/>
  <c r="EFF3" i="53" a="1"/>
  <c r="HWC3" i="53" a="1"/>
  <c r="SNQ3" i="53" a="1"/>
  <c r="BZZ3" i="53" a="1"/>
  <c r="KGO3" i="53" a="1"/>
  <c r="FIV3" i="53" a="1"/>
  <c r="LON3" i="53" a="1"/>
  <c r="BPW3" i="53" a="1"/>
  <c r="VJU3" i="53" a="1"/>
  <c r="GPB3" i="53" a="1"/>
  <c r="RZN3" i="53" a="1"/>
  <c r="OFW3" i="53" a="1"/>
  <c r="GJ3" i="53" a="1"/>
  <c r="LMU3" i="53" a="1"/>
  <c r="CDQ3" i="53" a="1"/>
  <c r="HPJ3" i="53" a="1"/>
  <c r="SKT3" i="53" a="1"/>
  <c r="KVJ3" i="53" a="1"/>
  <c r="IXU3" i="53" a="1"/>
  <c r="FEC3" i="53" a="1"/>
  <c r="FZG3" i="53" a="1"/>
  <c r="PSI3" i="53" a="1"/>
  <c r="USE3" i="53" a="1"/>
  <c r="DAH3" i="53" a="1"/>
  <c r="UWC3" i="53" a="1"/>
  <c r="IZP3" i="53" a="1"/>
  <c r="RLD3" i="53" a="1"/>
  <c r="RUM3" i="53" a="1"/>
  <c r="UXE3" i="53" a="1"/>
  <c r="IYY3" i="53" a="1"/>
  <c r="LUA3" i="53" a="1"/>
  <c r="DWX3" i="53" a="1"/>
  <c r="BYP3" i="53" a="1"/>
  <c r="KNC3" i="53" a="1"/>
  <c r="LTL3" i="53" a="1"/>
  <c r="JSS3" i="53" a="1"/>
  <c r="TBP3" i="53" a="1"/>
  <c r="TJL3" i="53" a="1"/>
  <c r="HJC3" i="53" a="1"/>
  <c r="DPL3" i="53" a="1"/>
  <c r="BAO3" i="53" a="1"/>
  <c r="WUQ3" i="53" a="1"/>
  <c r="KQY3" i="53" a="1"/>
  <c r="QKY3" i="53" a="1"/>
  <c r="LYC3" i="53" a="1"/>
  <c r="GDJ3" i="53" a="1"/>
  <c r="FAY3" i="53" a="1"/>
  <c r="SNU3" i="53" a="1"/>
  <c r="DHH3" i="53" a="1"/>
  <c r="GDC3" i="53" a="1"/>
  <c r="HYJ3" i="53" a="1"/>
  <c r="JST3" i="53" a="1"/>
  <c r="VMK3" i="53" a="1"/>
  <c r="UMI3" i="53" a="1"/>
  <c r="QLJ3" i="53" a="1"/>
  <c r="BNB3" i="53" a="1"/>
  <c r="QCN3" i="53" a="1"/>
  <c r="PEN3" i="53" a="1"/>
  <c r="TLI3" i="53" a="1"/>
  <c r="MIG3" i="53" a="1"/>
  <c r="FYQ3" i="53" a="1"/>
  <c r="KJS3" i="53" a="1"/>
  <c r="GUM3" i="53" a="1"/>
  <c r="VZI3" i="53" a="1"/>
  <c r="GWC3" i="53" a="1"/>
  <c r="EYW3" i="53" a="1"/>
  <c r="NXO3" i="53" a="1"/>
  <c r="MW3" i="53" a="1"/>
  <c r="LPU3" i="53" a="1"/>
  <c r="DSN3" i="53" a="1"/>
  <c r="RGO3" i="53" a="1"/>
  <c r="OUU3" i="53" a="1"/>
  <c r="ATA3" i="53" a="1"/>
  <c r="CJH3" i="53" a="1"/>
  <c r="XBE3" i="53" a="1"/>
  <c r="QQP3" i="53" a="1"/>
  <c r="LZE3" i="53" a="1"/>
  <c r="LFW3" i="53" a="1"/>
  <c r="WDS3" i="53" a="1"/>
  <c r="NQI3" i="53" a="1"/>
  <c r="CGL3" i="53" a="1"/>
  <c r="UWD3" i="53" a="1"/>
  <c r="CPK3" i="53" a="1"/>
  <c r="UEV3" i="53" a="1"/>
  <c r="TBE3" i="53" a="1"/>
  <c r="HS3" i="53" a="1"/>
  <c r="VKW3" i="53" a="1"/>
  <c r="KTD3" i="53" a="1"/>
  <c r="SAG3" i="53" a="1"/>
  <c r="MCP3" i="53" a="1"/>
  <c r="IQS3" i="53" a="1"/>
  <c r="TAA3" i="53" a="1"/>
  <c r="ROK3" i="53" a="1"/>
  <c r="EKT3" i="53" a="1"/>
  <c r="BTA3" i="53" a="1"/>
  <c r="QOV3" i="53" a="1"/>
  <c r="UBK3" i="53" a="1"/>
  <c r="FMC3" i="53" a="1"/>
  <c r="LZP3" i="53" a="1"/>
  <c r="BIK3" i="53" a="1"/>
  <c r="IME3" i="53" a="1"/>
  <c r="BAG3" i="53" a="1"/>
  <c r="RSR3" i="53" a="1"/>
  <c r="KAA3" i="53" a="1"/>
  <c r="BCY3" i="53" a="1"/>
  <c r="TAE3" i="53" a="1"/>
  <c r="MPM3" i="53" a="1"/>
  <c r="EXN3" i="53" a="1"/>
  <c r="GZX3" i="53" a="1"/>
  <c r="IKE3" i="53" a="1"/>
  <c r="FMF3" i="53" a="1"/>
  <c r="QEX3" i="53" a="1"/>
  <c r="IVV3" i="53" a="1"/>
  <c r="GFT3" i="53" a="1"/>
  <c r="PRO3" i="53" a="1"/>
  <c r="TYM3" i="53" a="1"/>
  <c r="VOX3" i="53" a="1"/>
  <c r="PZJ3" i="53" a="1"/>
  <c r="OGE3" i="53" a="1"/>
  <c r="VJK3" i="53" a="1"/>
  <c r="EUZ3" i="53" a="1"/>
  <c r="MMR3" i="53" a="1"/>
  <c r="KZQ3" i="53" a="1"/>
  <c r="FD3" i="53" a="1"/>
  <c r="QJL3" i="53" a="1"/>
  <c r="NVW3" i="53" a="1"/>
  <c r="NKK3" i="53" a="1"/>
  <c r="WTH3" i="53" a="1"/>
  <c r="WNW3" i="53" a="1"/>
  <c r="SLP3" i="53" a="1"/>
  <c r="RMT3" i="53" a="1"/>
  <c r="LTG3" i="53" a="1"/>
  <c r="UVE3" i="53" a="1"/>
  <c r="RIJ3" i="53" a="1"/>
  <c r="HAV3" i="53" a="1"/>
  <c r="JBN3" i="53" a="1"/>
  <c r="KMD3" i="53" a="1"/>
  <c r="TKJ3" i="53" a="1"/>
  <c r="OKE3" i="53" a="1"/>
  <c r="VYN3" i="53" a="1"/>
  <c r="RSJ3" i="53" a="1"/>
  <c r="WYB3" i="53" a="1"/>
  <c r="VIS3" i="53" a="1"/>
  <c r="HHF3" i="53" a="1"/>
  <c r="SZN3" i="53" a="1"/>
  <c r="GNC3" i="53" a="1"/>
  <c r="HJB3" i="53" a="1"/>
  <c r="MJD3" i="53" a="1"/>
  <c r="LXO3" i="53" a="1"/>
  <c r="CHA3" i="53" a="1"/>
  <c r="FWP3" i="53" a="1"/>
  <c r="KIV3" i="53" a="1"/>
  <c r="HLX3" i="53" a="1"/>
  <c r="FMR3" i="53" a="1"/>
  <c r="MBD3" i="53" a="1"/>
  <c r="THI3" i="53" a="1"/>
  <c r="RGP3" i="53" a="1"/>
  <c r="QEE3" i="53" a="1"/>
  <c r="RNO3" i="53" a="1"/>
  <c r="IMN3" i="53" a="1"/>
  <c r="IAG3" i="53" a="1"/>
  <c r="WCA3" i="53" a="1"/>
  <c r="JEN3" i="53" a="1"/>
  <c r="MHV3" i="53" a="1"/>
  <c r="APH3" i="53" a="1"/>
  <c r="QKB3" i="53" a="1"/>
  <c r="CLQ3" i="53" a="1"/>
  <c r="IQV3" i="53" a="1"/>
  <c r="QEZ3" i="53" a="1"/>
  <c r="EGV3" i="53" a="1"/>
  <c r="JXO3" i="53" a="1"/>
  <c r="DH3" i="53" a="1"/>
  <c r="E3" i="57" a="1"/>
  <c r="RAC3" i="53" a="1"/>
  <c r="PRT3" i="53" a="1"/>
  <c r="QME3" i="53" a="1"/>
  <c r="GTC3" i="53" a="1"/>
  <c r="ULW3" i="53" a="1"/>
  <c r="MPR3" i="53" a="1"/>
  <c r="JAK3" i="53" a="1"/>
  <c r="ETP3" i="53" a="1"/>
  <c r="QVM3" i="53" a="1"/>
  <c r="PQI3" i="53" a="1"/>
  <c r="VFE3" i="53" a="1"/>
  <c r="QPU3" i="53" a="1"/>
  <c r="EQR3" i="53" a="1"/>
  <c r="USP3" i="53" a="1"/>
  <c r="DYQ3" i="53" a="1"/>
  <c r="LLI3" i="53" a="1"/>
  <c r="WJK3" i="53" a="1"/>
  <c r="ORL3" i="53" a="1"/>
  <c r="NVX3" i="53" a="1"/>
  <c r="RTH3" i="53" a="1"/>
  <c r="GRF3" i="53" a="1"/>
  <c r="RIQ3" i="53" a="1"/>
  <c r="PNF3" i="53" a="1"/>
  <c r="KEA3" i="53" a="1"/>
  <c r="XEC3" i="53" a="1"/>
  <c r="OSE3" i="53" a="1"/>
  <c r="FHF3" i="53" a="1"/>
  <c r="NFC3" i="53" a="1"/>
  <c r="ROR3" i="53" a="1"/>
  <c r="CUU3" i="53" a="1"/>
  <c r="CPO3" i="53" a="1"/>
  <c r="C45" i="53" a="1"/>
  <c r="KDI3" i="53" a="1"/>
  <c r="JET3" i="53" a="1"/>
  <c r="CYL3" i="53" a="1"/>
  <c r="CYB3" i="53" a="1"/>
  <c r="JUW3" i="53" a="1"/>
  <c r="UCZ3" i="53" a="1"/>
  <c r="PXE3" i="53" a="1"/>
  <c r="IDP3" i="53" a="1"/>
  <c r="LLO3" i="53" a="1"/>
  <c r="PUO3" i="53" a="1"/>
  <c r="KOS3" i="53" a="1"/>
  <c r="BPJ3" i="53" a="1"/>
  <c r="QQM3" i="53" a="1"/>
  <c r="DOP3" i="53" a="1"/>
  <c r="AZV3" i="53" a="1"/>
  <c r="RTZ3" i="53" a="1"/>
  <c r="ATV3" i="53" a="1"/>
  <c r="TDG3" i="53" a="1"/>
  <c r="QDI3" i="53" a="1"/>
  <c r="QEW3" i="53" a="1"/>
  <c r="NEW3" i="53" a="1"/>
  <c r="PVZ3" i="53" a="1"/>
  <c r="NCF3" i="53" a="1"/>
  <c r="QTS3" i="53" a="1"/>
  <c r="PXP3" i="53" a="1"/>
  <c r="NNZ3" i="53" a="1"/>
  <c r="HNN3" i="53" a="1"/>
  <c r="AQC3" i="53" a="1"/>
  <c r="IVA3" i="53" a="1"/>
  <c r="SFP3" i="53" a="1"/>
  <c r="NHA3" i="53" a="1"/>
  <c r="UHA3" i="53" a="1"/>
  <c r="HPZ3" i="53" a="1"/>
  <c r="RNL3" i="53" a="1"/>
  <c r="LXY3" i="53" a="1"/>
  <c r="TIE3" i="53" a="1"/>
  <c r="TPM3" i="53" a="1"/>
  <c r="NLH3" i="53" a="1"/>
  <c r="KJT3" i="53" a="1"/>
  <c r="RRR3" i="53" a="1"/>
  <c r="GTT3" i="53" a="1"/>
  <c r="JSK3" i="53" a="1"/>
  <c r="WIN3" i="53" a="1"/>
  <c r="CLB3" i="53" a="1"/>
  <c r="WFK3" i="53" a="1"/>
  <c r="LWP3" i="53" a="1"/>
  <c r="SPP3" i="53" a="1"/>
  <c r="ANR3" i="53" a="1"/>
  <c r="STR3" i="53" a="1"/>
  <c r="CGK3" i="53" a="1"/>
  <c r="CYP3" i="53" a="1"/>
  <c r="RXJ3" i="53" a="1"/>
  <c r="LXK3" i="53" a="1"/>
  <c r="UXB3" i="53" a="1"/>
  <c r="OBQ3" i="53" a="1"/>
  <c r="GAL3" i="53" a="1"/>
  <c r="LVL3" i="53" a="1"/>
  <c r="ADJ3" i="53" a="1"/>
  <c r="OWO3" i="53" a="1"/>
  <c r="WEM3" i="53" a="1"/>
  <c r="QPX3" i="53" a="1"/>
  <c r="UEA3" i="53" a="1"/>
  <c r="LFK3" i="53" a="1"/>
  <c r="KAS3" i="53" a="1"/>
  <c r="A3" i="60" a="1"/>
  <c r="UDA3" i="53" a="1"/>
  <c r="UYE3" i="53" a="1"/>
  <c r="HUL3" i="53" a="1"/>
  <c r="TGU3" i="53" a="1"/>
  <c r="AVM3" i="53" a="1"/>
  <c r="QRZ3" i="53" a="1"/>
  <c r="C3" i="49" a="1"/>
  <c r="AKW3" i="53" a="1"/>
  <c r="VPF3" i="53" a="1"/>
  <c r="CBX3" i="53" a="1"/>
  <c r="NEP3" i="53" a="1"/>
  <c r="QOE3" i="53" a="1"/>
  <c r="PVD3" i="53" a="1"/>
  <c r="JJM3" i="53" a="1"/>
  <c r="KQ3" i="53" a="1"/>
  <c r="OMK3" i="53" a="1"/>
  <c r="QMW3" i="53" a="1"/>
  <c r="FHP3" i="53" a="1"/>
  <c r="PWS3" i="53" a="1"/>
  <c r="HMN3" i="53" a="1"/>
  <c r="JIL3" i="53" a="1"/>
  <c r="TKX3" i="53" a="1"/>
  <c r="GKT3" i="53" a="1"/>
  <c r="NRM3" i="53" a="1"/>
  <c r="VOS3" i="53" a="1"/>
  <c r="BGU3" i="53" a="1"/>
  <c r="AGL3" i="53" a="1"/>
  <c r="EMI3" i="53" a="1"/>
  <c r="MJV3" i="53" a="1"/>
  <c r="DKH3" i="53" a="1"/>
  <c r="BPR3" i="53" a="1"/>
  <c r="BMS3" i="53" a="1"/>
  <c r="WMI3" i="53" a="1"/>
  <c r="NJH3" i="53" a="1"/>
  <c r="E3" i="28" a="1"/>
  <c r="EFT3" i="53" a="1"/>
  <c r="VUM3" i="53" a="1"/>
  <c r="JBL3" i="53" a="1"/>
  <c r="KBY3" i="53" a="1"/>
  <c r="KPK3" i="53" a="1"/>
  <c r="SZW3" i="53" a="1"/>
  <c r="RNQ3" i="53" a="1"/>
  <c r="AMH3" i="53" a="1"/>
  <c r="SGS3" i="53" a="1"/>
  <c r="GSS3" i="53" a="1"/>
  <c r="REA3" i="53" a="1"/>
  <c r="C3" i="56" a="1"/>
  <c r="QNK3" i="53" a="1"/>
  <c r="UMN3" i="53" a="1"/>
  <c r="PXH3" i="53" a="1"/>
  <c r="WTN3" i="53" a="1"/>
  <c r="HLY3" i="53" a="1"/>
  <c r="WOJ3" i="53" a="1"/>
  <c r="DAX3" i="53" a="1"/>
  <c r="DOA3" i="53" a="1"/>
  <c r="RFO3" i="53" a="1"/>
  <c r="HQL3" i="53" a="1"/>
  <c r="FU3" i="53" a="1"/>
  <c r="LMI3" i="53" a="1"/>
  <c r="IST3" i="53" a="1"/>
  <c r="G3" i="4" a="1"/>
  <c r="VAL3" i="53" a="1"/>
  <c r="XFB3" i="53" a="1"/>
  <c r="LKN3" i="53" a="1"/>
  <c r="GGV3" i="53" a="1"/>
  <c r="UTL3" i="53" a="1"/>
  <c r="CHK3" i="53" a="1"/>
  <c r="LUQ3" i="53" a="1"/>
  <c r="DCT3" i="53" a="1"/>
  <c r="C3" i="7" a="1"/>
  <c r="JH3" i="53" a="1"/>
  <c r="DJK3" i="53" a="1"/>
  <c r="PLJ3" i="53" a="1"/>
  <c r="WXG3" i="53" a="1"/>
  <c r="EHO3" i="53" a="1"/>
  <c r="CCT3" i="53" a="1"/>
  <c r="PUK3" i="53" a="1"/>
  <c r="UWG3" i="53" a="1"/>
  <c r="DDI3" i="53" a="1"/>
  <c r="QVA3" i="53" a="1"/>
  <c r="BRV3" i="53" a="1"/>
  <c r="OOT3" i="53" a="1"/>
  <c r="EPF3" i="53" a="1"/>
  <c r="WZO3" i="53" a="1"/>
  <c r="QES3" i="53" a="1"/>
  <c r="SZX3" i="53" a="1"/>
  <c r="MKQ3" i="53" a="1"/>
  <c r="KX3" i="53" a="1"/>
  <c r="DGT3" i="53" a="1"/>
  <c r="ARI3" i="53" a="1"/>
  <c r="VRT3" i="53" a="1"/>
  <c r="CTG3" i="53" a="1"/>
  <c r="URA3" i="53" a="1"/>
  <c r="EWH3" i="53" a="1"/>
  <c r="HDR3" i="53" a="1"/>
  <c r="EID3" i="53" a="1"/>
  <c r="UBY3" i="53" a="1"/>
  <c r="DZF3" i="53" a="1"/>
  <c r="JNF3" i="53" a="1"/>
  <c r="OUA3" i="53" a="1"/>
  <c r="LNS3" i="53" a="1"/>
  <c r="LWR3" i="53" a="1"/>
  <c r="CTA3" i="53" a="1"/>
  <c r="PEE3" i="53" a="1"/>
  <c r="BHM3" i="53" a="1"/>
  <c r="J3" i="34" a="1"/>
  <c r="KAV3" i="53" a="1"/>
  <c r="MGI3" i="53" a="1"/>
  <c r="SYX3" i="53" a="1"/>
  <c r="LUC3" i="53" a="1"/>
  <c r="OSM3" i="53" a="1"/>
  <c r="JXT3" i="53" a="1"/>
  <c r="GPN3" i="53" a="1"/>
  <c r="UXJ3" i="53" a="1"/>
  <c r="CLX3" i="53" a="1"/>
  <c r="JGZ3" i="53" a="1"/>
  <c r="CUR3" i="53" a="1"/>
  <c r="WOB3" i="53" a="1"/>
  <c r="CMF3" i="53" a="1"/>
  <c r="IDO3" i="53" a="1"/>
  <c r="PEB3" i="53" a="1"/>
  <c r="MSA3" i="53" a="1"/>
  <c r="MKR3" i="53" a="1"/>
  <c r="CZC3" i="53" a="1"/>
  <c r="GCT3" i="53" a="1"/>
  <c r="OWQ3" i="53" a="1"/>
  <c r="KIS3" i="53" a="1"/>
  <c r="TXK3" i="53" a="1"/>
  <c r="SCP3" i="53" a="1"/>
  <c r="UAZ3" i="53" a="1"/>
  <c r="WJX3" i="53" a="1"/>
  <c r="GIW3" i="53" a="1"/>
  <c r="QOL3" i="53" a="1"/>
  <c r="ILK3" i="53" a="1"/>
  <c r="LSX3" i="53" a="1"/>
  <c r="OTT3" i="53" a="1"/>
  <c r="QZT3" i="53" a="1"/>
  <c r="LHG3" i="53" a="1"/>
  <c r="RYA3" i="53" a="1"/>
  <c r="FUP3" i="53" a="1"/>
  <c r="RHZ3" i="53" a="1"/>
  <c r="PQ3" i="53" a="1"/>
  <c r="PZT3" i="53" a="1"/>
  <c r="GRO3" i="53" a="1"/>
  <c r="QPP3" i="53" a="1"/>
  <c r="KDZ3" i="53" a="1"/>
  <c r="PNE3" i="53" a="1"/>
  <c r="LTE3" i="53" a="1"/>
  <c r="LZL3" i="53" a="1"/>
  <c r="SMA3" i="53" a="1"/>
  <c r="LIC3" i="53" a="1"/>
  <c r="VHU3" i="53" a="1"/>
  <c r="HZG3" i="53" a="1"/>
  <c r="TYG3" i="53" a="1"/>
  <c r="UIU3" i="53" a="1"/>
  <c r="UBU3" i="53" a="1"/>
  <c r="VRL3" i="53" a="1"/>
  <c r="MAK3" i="53" a="1"/>
  <c r="CCB3" i="53" a="1"/>
  <c r="BVV3" i="53" a="1"/>
  <c r="VEU3" i="53" a="1"/>
  <c r="USO3" i="53" a="1"/>
  <c r="UQT3" i="53" a="1"/>
  <c r="WMF3" i="53" a="1"/>
  <c r="MT3" i="53" a="1"/>
  <c r="H3" i="47" a="1"/>
  <c r="WKW3" i="53" a="1"/>
  <c r="ETM3" i="53" a="1"/>
  <c r="NZM3" i="53" a="1"/>
  <c r="VQH3" i="53" a="1"/>
  <c r="F3" i="31" a="1"/>
  <c r="SJS3" i="53" a="1"/>
  <c r="WEC3" i="53" a="1"/>
  <c r="QLB3" i="53" a="1"/>
  <c r="HJA3" i="53" a="1"/>
  <c r="WNO3" i="53" a="1"/>
  <c r="HTY3" i="53" a="1"/>
  <c r="GHJ3" i="53" a="1"/>
  <c r="DBJ3" i="53" a="1"/>
  <c r="RZF3" i="53" a="1"/>
  <c r="VPZ3" i="53" a="1"/>
  <c r="KLU3" i="53" a="1"/>
  <c r="OPK3" i="53" a="1"/>
  <c r="LFZ3" i="53" a="1"/>
  <c r="CTF3" i="53" a="1"/>
  <c r="JHF3" i="53" a="1"/>
  <c r="HRK3" i="53" a="1"/>
  <c r="DLF3" i="53" a="1"/>
  <c r="C43" i="53" a="1"/>
  <c r="RJ3" i="53" a="1"/>
  <c r="NFW3" i="53" a="1"/>
  <c r="E3" i="40" a="1"/>
  <c r="SRV3" i="53" a="1"/>
  <c r="KIT3" i="53" a="1"/>
  <c r="JBT3" i="53" a="1"/>
  <c r="TGP3" i="53" a="1"/>
  <c r="JXG3" i="53" a="1"/>
  <c r="QIV3" i="53" a="1"/>
  <c r="QGT3" i="53" a="1"/>
  <c r="RWP3" i="53" a="1"/>
  <c r="VZZ3" i="53" a="1"/>
  <c r="JKX3" i="53" a="1"/>
  <c r="THV3" i="53" a="1"/>
  <c r="QSY3" i="53" a="1"/>
  <c r="OOF3" i="53" a="1"/>
  <c r="WXS3" i="53" a="1"/>
  <c r="JUT3" i="53" a="1"/>
  <c r="EKB3" i="53" a="1"/>
  <c r="AOQ3" i="53" a="1"/>
  <c r="B3" i="57" a="1"/>
  <c r="BZT3" i="53" a="1"/>
  <c r="WGK3" i="53" a="1"/>
  <c r="TRI3" i="53" a="1"/>
  <c r="GFE3" i="53" a="1"/>
  <c r="AGV3" i="53" a="1"/>
  <c r="NCY3" i="53" a="1"/>
  <c r="RXB3" i="53" a="1"/>
  <c r="DUZ3" i="53" a="1"/>
  <c r="NWB3" i="53" a="1"/>
  <c r="WNH3" i="53" a="1"/>
  <c r="NKG3" i="53" a="1"/>
  <c r="LXA3" i="53" a="1"/>
  <c r="KXS3" i="53" a="1"/>
  <c r="BFG3" i="53" a="1"/>
  <c r="NVO3" i="53" a="1"/>
  <c r="HNG3" i="53" a="1"/>
  <c r="MIW3" i="53" a="1"/>
  <c r="WSC3" i="53" a="1"/>
  <c r="BZY3" i="53" a="1"/>
  <c r="NBR3" i="53" a="1"/>
  <c r="PVL3" i="53" a="1"/>
  <c r="MYV3" i="53" a="1"/>
  <c r="FZR3" i="53" a="1"/>
  <c r="CIR3" i="53" a="1"/>
  <c r="CTI3" i="53" a="1"/>
  <c r="DTZ3" i="53" a="1"/>
  <c r="CM3" i="53" a="1"/>
  <c r="GBH3" i="53" a="1"/>
  <c r="VZM3" i="53" a="1"/>
  <c r="ZP3" i="53" a="1"/>
  <c r="MCJ3" i="53" a="1"/>
  <c r="C3" i="31" a="1"/>
  <c r="WRN3" i="53" a="1"/>
  <c r="LCV3" i="53" a="1"/>
  <c r="UAB3" i="53" a="1"/>
  <c r="C58" i="53" a="1"/>
  <c r="PZA3" i="53" a="1"/>
  <c r="WPL3" i="53" a="1"/>
  <c r="MTJ3" i="53" a="1"/>
  <c r="HPP3" i="53" a="1"/>
  <c r="OSD3" i="53" a="1"/>
  <c r="GLI3" i="53" a="1"/>
  <c r="JNY3" i="53" a="1"/>
  <c r="VOG3" i="53" a="1"/>
  <c r="VGB3" i="53" a="1"/>
  <c r="IJX3" i="53" a="1"/>
  <c r="ELC3" i="53" a="1"/>
  <c r="DHZ3" i="53" a="1"/>
  <c r="COC3" i="53" a="1"/>
  <c r="VQR3" i="53" a="1"/>
  <c r="UVW3" i="53" a="1"/>
  <c r="USI3" i="53" a="1"/>
  <c r="RXF3" i="53" a="1"/>
  <c r="ADU3" i="53" a="1"/>
  <c r="UAM3" i="53" a="1"/>
  <c r="FNT3" i="53" a="1"/>
  <c r="RBF3" i="53" a="1"/>
  <c r="AOX3" i="53" a="1"/>
  <c r="WZP3" i="53" a="1"/>
  <c r="JLW3" i="53" a="1"/>
  <c r="MXD3" i="53" a="1"/>
  <c r="EUR3" i="53" a="1"/>
  <c r="AXF3" i="53" a="1"/>
  <c r="RJA3" i="53" a="1"/>
  <c r="RFA3" i="53" a="1"/>
  <c r="RN3" i="53" a="1"/>
  <c r="BHN3" i="53" a="1"/>
  <c r="CFT3" i="53" a="1"/>
  <c r="PMO3" i="53" a="1"/>
  <c r="AXN3" i="53" a="1"/>
  <c r="VQC3" i="53" a="1"/>
  <c r="VYM3" i="53" a="1"/>
  <c r="TFA3" i="53" a="1"/>
  <c r="JQQ3" i="53" a="1"/>
  <c r="DXZ3" i="53" a="1"/>
  <c r="WUY3" i="53" a="1"/>
  <c r="CVJ3" i="53" a="1"/>
  <c r="GLQ3" i="53" a="1"/>
  <c r="PLV3" i="53" a="1"/>
  <c r="QXS3" i="53" a="1"/>
  <c r="GPE3" i="53" a="1"/>
  <c r="GTL3" i="53" a="1"/>
  <c r="HFY3" i="53" a="1"/>
  <c r="MVR3" i="53" a="1"/>
  <c r="SSM3" i="53" a="1"/>
  <c r="NRZ3" i="53" a="1"/>
  <c r="MRT3" i="53" a="1"/>
  <c r="KZF3" i="53" a="1"/>
  <c r="EYI3" i="53" a="1"/>
  <c r="WFP3" i="53" a="1"/>
  <c r="BBV3" i="53" a="1"/>
  <c r="GK3" i="53" a="1"/>
  <c r="GPT3" i="53" a="1"/>
  <c r="FUV3" i="53" a="1"/>
  <c r="WJD3" i="53" a="1"/>
  <c r="CHG3" i="53" a="1"/>
  <c r="IIY3" i="53" a="1"/>
  <c r="LYU3" i="53" a="1"/>
  <c r="KP3" i="53" a="1"/>
  <c r="C64" i="53" a="1"/>
  <c r="TNY3" i="53" a="1"/>
  <c r="OXN3" i="53" a="1"/>
  <c r="ESM3" i="53" a="1"/>
  <c r="NLP3" i="53" a="1"/>
  <c r="JAB3" i="53" a="1"/>
  <c r="TVO3" i="53" a="1"/>
  <c r="EAZ3" i="53" a="1"/>
  <c r="NZW3" i="53" a="1"/>
  <c r="NPD3" i="53" a="1"/>
  <c r="TWB3" i="53" a="1"/>
  <c r="QM3" i="53" a="1"/>
  <c r="QOR3" i="53" a="1"/>
  <c r="ER3" i="53" a="1"/>
  <c r="EPG3" i="53" a="1"/>
  <c r="FWV3" i="53" a="1"/>
  <c r="DC3" i="53" a="1"/>
  <c r="CFX3" i="53" a="1"/>
  <c r="FGI3" i="53" a="1"/>
  <c r="HDE3" i="53" a="1"/>
  <c r="FYV3" i="53" a="1"/>
  <c r="HIO3" i="53" a="1"/>
  <c r="HTW3" i="53" a="1"/>
  <c r="KGV3" i="53" a="1"/>
  <c r="DFW3" i="53" a="1"/>
  <c r="MCV3" i="53" a="1"/>
  <c r="FBL3" i="53" a="1"/>
  <c r="TFR3" i="53" a="1"/>
  <c r="IQG3" i="53" a="1"/>
  <c r="UEX3" i="53" a="1"/>
  <c r="WIS3" i="53" a="1"/>
  <c r="KNG3" i="53" a="1"/>
  <c r="JNZ3" i="53" a="1"/>
  <c r="OZF3" i="53" a="1"/>
  <c r="BYG3" i="53" a="1"/>
  <c r="FAK3" i="53" a="1"/>
  <c r="CPG3" i="53" a="1"/>
  <c r="HWM3" i="53" a="1"/>
  <c r="OTP3" i="53" a="1"/>
  <c r="RRF3" i="53" a="1"/>
  <c r="RHJ3" i="53" a="1"/>
  <c r="GAE3" i="53" a="1"/>
  <c r="BGK3" i="53" a="1"/>
  <c r="WLN3" i="53" a="1"/>
  <c r="QDP3" i="53" a="1"/>
  <c r="BPU3" i="53" a="1"/>
  <c r="LGS3" i="53" a="1"/>
  <c r="WDZ3" i="53" a="1"/>
  <c r="WFV3" i="53" a="1"/>
  <c r="WWQ3" i="53" a="1"/>
  <c r="KGB3" i="53" a="1"/>
  <c r="DSS3" i="53" a="1"/>
  <c r="CJB3" i="53" a="1"/>
  <c r="NVI3" i="53" a="1"/>
  <c r="VWJ3" i="53" a="1"/>
  <c r="PRC3" i="53" a="1"/>
  <c r="WKJ3" i="53" a="1"/>
  <c r="HNL3" i="53" a="1"/>
  <c r="C46" i="53" a="1"/>
  <c r="IFI3" i="53" a="1"/>
  <c r="MBY3" i="53" a="1"/>
  <c r="FVB3" i="53" a="1"/>
  <c r="SVN3" i="53" a="1"/>
  <c r="JZX3" i="53" a="1"/>
  <c r="HUG3" i="53" a="1"/>
  <c r="RWF3" i="53" a="1"/>
  <c r="DKY3" i="53" a="1"/>
  <c r="VCA3" i="53" a="1"/>
  <c r="PE3" i="53" a="1"/>
  <c r="LPQ3" i="53" a="1"/>
  <c r="GG3" i="53" a="1"/>
  <c r="KJA3" i="53" a="1"/>
  <c r="JOM3" i="53" a="1"/>
  <c r="IPI3" i="53" a="1"/>
  <c r="EOZ3" i="53" a="1"/>
  <c r="SRN3" i="53" a="1"/>
  <c r="AZA3" i="53" a="1"/>
  <c r="C25" i="53" a="1"/>
  <c r="IQR3" i="53" a="1"/>
  <c r="PNM3" i="53" a="1"/>
  <c r="SYV3" i="53" a="1"/>
  <c r="HXG3" i="53" a="1"/>
  <c r="HCB3" i="53" a="1"/>
  <c r="BLA3" i="53" a="1"/>
  <c r="BIT3" i="53" a="1"/>
  <c r="GNM3" i="53" a="1"/>
  <c r="HQX3" i="53" a="1"/>
  <c r="GZI3" i="53" a="1"/>
  <c r="DIG3" i="53" a="1"/>
  <c r="UTP3" i="53" a="1"/>
  <c r="AVB3" i="53" a="1"/>
  <c r="SDG3" i="53" a="1"/>
  <c r="DNO3" i="53" a="1"/>
  <c r="QIP3" i="53" a="1"/>
  <c r="NDI3" i="53" a="1"/>
  <c r="OFB3" i="53" a="1"/>
  <c r="BXF3" i="53" a="1"/>
  <c r="O3" i="53" a="1"/>
  <c r="ADO3" i="53" a="1"/>
  <c r="HCJ3" i="53" a="1"/>
  <c r="FIW3" i="53" a="1"/>
  <c r="KWW3" i="53" a="1"/>
  <c r="SOV3" i="53" a="1"/>
  <c r="WCC3" i="53" a="1"/>
  <c r="VYO3" i="53" a="1"/>
  <c r="A3" i="19" a="1"/>
  <c r="LC3" i="53" a="1"/>
  <c r="ORA3" i="53" a="1"/>
  <c r="BDV3" i="53" a="1"/>
  <c r="MUN3" i="53" a="1"/>
  <c r="MSC3" i="53" a="1"/>
  <c r="EHB3" i="53" a="1"/>
  <c r="MID3" i="53" a="1"/>
  <c r="TJS3" i="53" a="1"/>
  <c r="JEZ3" i="53" a="1"/>
  <c r="NEE3" i="53" a="1"/>
  <c r="TBB3" i="53" a="1"/>
  <c r="LVC3" i="53" a="1"/>
  <c r="CFK3" i="53" a="1"/>
  <c r="LQB3" i="53" a="1"/>
  <c r="BEH3" i="53" a="1"/>
  <c r="VDA3" i="53" a="1"/>
  <c r="OZ3" i="53" a="1"/>
  <c r="VMI3" i="53" a="1"/>
  <c r="BQW3" i="53" a="1"/>
  <c r="FJZ3" i="53" a="1"/>
  <c r="FUG3" i="53" a="1"/>
  <c r="RZO3" i="53" a="1"/>
  <c r="EBD3" i="53" a="1"/>
  <c r="CVX3" i="53" a="1"/>
  <c r="EBM3" i="53" a="1"/>
  <c r="JDE3" i="53" a="1"/>
  <c r="MGF3" i="53" a="1"/>
  <c r="WNQ3" i="53" a="1"/>
  <c r="DRX3" i="53" a="1"/>
  <c r="NIU3" i="53" a="1"/>
  <c r="CFJ3" i="53" a="1"/>
  <c r="OWD3" i="53" a="1"/>
  <c r="BMV3" i="53" a="1"/>
  <c r="WBA3" i="53" a="1"/>
  <c r="OEV3" i="53" a="1"/>
  <c r="TDL3" i="53" a="1"/>
  <c r="MET3" i="53" a="1"/>
  <c r="DAQ3" i="53" a="1"/>
  <c r="POT3" i="53" a="1"/>
  <c r="TZV3" i="53" a="1"/>
  <c r="DUO3" i="53" a="1"/>
  <c r="RD3" i="53" a="1"/>
  <c r="OIR3" i="53" a="1"/>
  <c r="FQX3" i="53" a="1"/>
  <c r="BJQ3" i="53" a="1"/>
  <c r="PHL3" i="53" a="1"/>
  <c r="OYX3" i="53" a="1"/>
  <c r="URL3" i="53" a="1"/>
  <c r="NMO3" i="53" a="1"/>
  <c r="PFV3" i="53" a="1"/>
  <c r="DEQ3" i="53" a="1"/>
  <c r="EOI3" i="53" a="1"/>
  <c r="CIL3" i="53" a="1"/>
  <c r="JFA3" i="53" a="1"/>
  <c r="TCF3" i="53" a="1"/>
  <c r="PFS3" i="53" a="1"/>
  <c r="UXY3" i="53" a="1"/>
  <c r="DPB3" i="53" a="1"/>
  <c r="JTN3" i="53" a="1"/>
  <c r="PEH3" i="53" a="1"/>
  <c r="PAF3" i="53" a="1"/>
  <c r="DDP3" i="53" a="1"/>
  <c r="WCK3" i="53" a="1"/>
  <c r="BXG3" i="53" a="1"/>
  <c r="RKR3" i="53" a="1"/>
  <c r="VNZ3" i="53" a="1"/>
  <c r="JSX3" i="53" a="1"/>
  <c r="HKC3" i="53" a="1"/>
  <c r="PZ3" i="53" a="1"/>
  <c r="D3" i="3" a="1"/>
  <c r="TLX3" i="53" a="1"/>
  <c r="LQW3" i="53" a="1"/>
  <c r="RNY3" i="53" a="1"/>
  <c r="VOL3" i="53" a="1"/>
  <c r="RNH3" i="53" a="1"/>
  <c r="BB3" i="53" a="1"/>
  <c r="XCX3" i="53" a="1"/>
  <c r="DWH3" i="53" a="1"/>
  <c r="EXP3" i="53" a="1"/>
  <c r="UGI3" i="53" a="1"/>
  <c r="VOE3" i="53" a="1"/>
  <c r="EHZ3" i="53" a="1"/>
  <c r="PEU3" i="53" a="1"/>
  <c r="KMO3" i="53" a="1"/>
  <c r="IOI3" i="53" a="1"/>
  <c r="TPX3" i="53" a="1"/>
  <c r="SVA3" i="53" a="1"/>
  <c r="REE3" i="53" a="1"/>
  <c r="AFE3" i="53" a="1"/>
  <c r="AYY3" i="53" a="1"/>
  <c r="SIQ3" i="53" a="1"/>
  <c r="DFD3" i="53" a="1"/>
  <c r="LPK3" i="53" a="1"/>
  <c r="AOJ3" i="53" a="1"/>
  <c r="B3" i="14" a="1"/>
  <c r="GYS3" i="53" a="1"/>
  <c r="EKE3" i="53" a="1"/>
  <c r="NBE3" i="53" a="1"/>
  <c r="AUH3" i="53" a="1"/>
  <c r="RDA3" i="53" a="1"/>
  <c r="VEP3" i="53" a="1"/>
  <c r="JX3" i="53" a="1"/>
  <c r="MNJ3" i="53" a="1"/>
  <c r="SCD3" i="53" a="1"/>
  <c r="RJH3" i="53" a="1"/>
  <c r="HTQ3" i="53" a="1"/>
  <c r="OEX3" i="53" a="1"/>
  <c r="ISJ3" i="53" a="1"/>
  <c r="TUF3" i="53" a="1"/>
  <c r="JPO3" i="53" a="1"/>
  <c r="EPR3" i="53" a="1"/>
  <c r="KMX3" i="53" a="1"/>
  <c r="UUR3" i="53" a="1"/>
  <c r="FUT3" i="53" a="1"/>
  <c r="KSL3" i="53" a="1"/>
  <c r="SPI3" i="53" a="1"/>
  <c r="DQN3" i="53" a="1"/>
  <c r="QFR3" i="53" a="1"/>
  <c r="FLB3" i="53" a="1"/>
  <c r="ESD3" i="53" a="1"/>
  <c r="RHH3" i="53" a="1"/>
  <c r="FRQ3" i="53" a="1"/>
  <c r="VIQ3" i="53" a="1"/>
  <c r="GBD3" i="53" a="1"/>
  <c r="JCC3" i="53" a="1"/>
  <c r="RRE3" i="53" a="1"/>
  <c r="ASF3" i="53" a="1"/>
  <c r="DCG3" i="53" a="1"/>
  <c r="BOZ3" i="53" a="1"/>
  <c r="LXF3" i="53" a="1"/>
  <c r="IZU3" i="53" a="1"/>
  <c r="SGO3" i="53" a="1"/>
  <c r="TW3" i="53" a="1"/>
  <c r="UON3" i="53" a="1"/>
  <c r="MMT3" i="53" a="1"/>
  <c r="IHK3" i="53" a="1"/>
  <c r="VRO3" i="53" a="1"/>
  <c r="HPC3" i="53" a="1"/>
  <c r="BQR3" i="53" a="1"/>
  <c r="BUJ3" i="53" a="1"/>
  <c r="F3" i="40" a="1"/>
  <c r="FFG3" i="53" a="1"/>
  <c r="AJO3" i="53" a="1"/>
  <c r="TUG3" i="53" a="1"/>
  <c r="TMR3" i="53" a="1"/>
  <c r="TGM3" i="53" a="1"/>
  <c r="XBG3" i="53" a="1"/>
  <c r="IHN3" i="53" a="1"/>
  <c r="UPQ3" i="53" a="1"/>
  <c r="FQM3" i="53" a="1"/>
  <c r="SSB3" i="53" a="1"/>
  <c r="WKM3" i="53" a="1"/>
  <c r="ULF3" i="53" a="1"/>
  <c r="PWE3" i="53" a="1"/>
  <c r="GHK3" i="53" a="1"/>
  <c r="MCY3" i="53" a="1"/>
  <c r="PET3" i="53" a="1"/>
  <c r="TGO3" i="53" a="1"/>
  <c r="TTI3" i="53" a="1"/>
  <c r="DWO3" i="53" a="1"/>
  <c r="UQF3" i="53" a="1"/>
  <c r="PGH3" i="53" a="1"/>
  <c r="NV3" i="53" a="1"/>
  <c r="XBJ3" i="53" a="1"/>
  <c r="NBF3" i="53" a="1"/>
  <c r="LSW3" i="53" a="1"/>
  <c r="JON3" i="53" a="1"/>
  <c r="QGG3" i="53" a="1"/>
  <c r="IRP3" i="53" a="1"/>
  <c r="HJW3" i="53" a="1"/>
  <c r="EEF3" i="53" a="1"/>
  <c r="QVG3" i="53" a="1"/>
  <c r="FLH3" i="53" a="1"/>
  <c r="FOC3" i="53" a="1"/>
  <c r="GKV3" i="53" a="1"/>
  <c r="VNO3" i="53" a="1"/>
  <c r="WWT3" i="53" a="1"/>
  <c r="EKO3" i="53" a="1"/>
  <c r="TSR3" i="53" a="1"/>
  <c r="FIM3" i="53" a="1"/>
  <c r="FLC3" i="53" a="1"/>
  <c r="PMX3" i="53" a="1"/>
  <c r="DT3" i="53" a="1"/>
  <c r="XEK3" i="53" a="1"/>
  <c r="WJY3" i="53" a="1"/>
  <c r="QD3" i="53" a="1"/>
  <c r="C28" i="53" a="1"/>
  <c r="SSD3" i="53" a="1"/>
  <c r="KTG3" i="53" a="1"/>
  <c r="D3" i="14" a="1"/>
  <c r="IUX3" i="53" a="1"/>
  <c r="LMO3" i="53" a="1"/>
  <c r="DPR3" i="53" a="1"/>
  <c r="OIV3" i="53" a="1"/>
  <c r="VHM3" i="53" a="1"/>
  <c r="QOQ3" i="53" a="1"/>
  <c r="FTL3" i="53" a="1"/>
  <c r="URB3" i="53" a="1"/>
  <c r="LCF3" i="53" a="1"/>
  <c r="LJY3" i="53" a="1"/>
  <c r="MIR3" i="53" a="1"/>
  <c r="JYR3" i="53" a="1"/>
  <c r="CJW3" i="53" a="1"/>
  <c r="ETZ3" i="53" a="1"/>
  <c r="HJS3" i="53" a="1"/>
  <c r="SNM3" i="53" a="1"/>
  <c r="QJC3" i="53" a="1"/>
  <c r="LQD3" i="53" a="1"/>
  <c r="EAY3" i="53" a="1"/>
  <c r="QDK3" i="53" a="1"/>
  <c r="BD3" i="53" a="1"/>
  <c r="PBD3" i="53" a="1"/>
  <c r="SDS3" i="53" a="1"/>
  <c r="NWO3" i="53" a="1"/>
  <c r="DEX3" i="53" a="1"/>
  <c r="RFQ3" i="53" a="1"/>
  <c r="VWI3" i="53" a="1"/>
  <c r="AZL3" i="53" a="1"/>
  <c r="UZS3" i="53" a="1"/>
  <c r="RRN3" i="53" a="1"/>
  <c r="BPK3" i="53" a="1"/>
  <c r="BLX3" i="53" a="1"/>
  <c r="HLK3" i="53" a="1"/>
  <c r="FCZ3" i="53" a="1"/>
  <c r="OMS3" i="53" a="1"/>
  <c r="FYD3" i="53" a="1"/>
  <c r="VZK3" i="53" a="1"/>
  <c r="B3" i="20" a="1"/>
  <c r="NXB3" i="53" a="1"/>
  <c r="D3" i="37" a="1"/>
  <c r="GXZ3" i="53" a="1"/>
  <c r="AXW3" i="53" a="1"/>
  <c r="GMH3" i="53" a="1"/>
  <c r="CFL3" i="53" a="1"/>
  <c r="EFN3" i="53" a="1"/>
  <c r="GWK3" i="53" a="1"/>
  <c r="TTV3" i="53" a="1"/>
  <c r="WHL3" i="53" a="1"/>
  <c r="RYZ3" i="53" a="1"/>
  <c r="KTF3" i="53" a="1"/>
  <c r="CTS3" i="53" a="1"/>
  <c r="UZF3" i="53" a="1"/>
  <c r="KEK3" i="53" a="1"/>
  <c r="EZB3" i="53" a="1"/>
  <c r="KXW3" i="53" a="1"/>
  <c r="LAT3" i="53" a="1"/>
  <c r="OLG3" i="53" a="1"/>
  <c r="AVU3" i="53" a="1"/>
  <c r="KIF3" i="53" a="1"/>
  <c r="JZW3" i="53" a="1"/>
  <c r="PT3" i="53" a="1"/>
  <c r="ZH3" i="53" a="1"/>
  <c r="EIH3" i="53" a="1"/>
  <c r="BMG3" i="53" a="1"/>
  <c r="RSP3" i="53" a="1"/>
  <c r="RRW3" i="53" a="1"/>
  <c r="WRQ3" i="53" a="1"/>
  <c r="OXJ3" i="53" a="1"/>
  <c r="QUJ3" i="53" a="1"/>
  <c r="REZ3" i="53" a="1"/>
  <c r="RNW3" i="53" a="1"/>
  <c r="TVH3" i="53" a="1"/>
  <c r="EWQ3" i="53" a="1"/>
  <c r="AES3" i="53" a="1"/>
  <c r="AFT3" i="53" a="1"/>
  <c r="MRY3" i="53" a="1"/>
  <c r="VQW3" i="53" a="1"/>
  <c r="FZT3" i="53" a="1"/>
  <c r="HHT3" i="53" a="1"/>
  <c r="OGR3" i="53" a="1"/>
  <c r="NKX3" i="53" a="1"/>
  <c r="WHZ3" i="53" a="1"/>
  <c r="AAP3" i="53" a="1"/>
  <c r="IBK3" i="53" a="1"/>
  <c r="NF3" i="53" a="1"/>
  <c r="RHE3" i="53" a="1"/>
  <c r="QJJ3" i="53" a="1"/>
  <c r="KUK3" i="53" a="1"/>
  <c r="LJQ3" i="53" a="1"/>
  <c r="AJK3" i="53" a="1"/>
  <c r="ERH3" i="53" a="1"/>
  <c r="WGD3" i="53" a="1"/>
  <c r="JXR3" i="53" a="1"/>
  <c r="ICY3" i="53" a="1"/>
  <c r="MFW3" i="53" a="1"/>
  <c r="RLO3" i="53" a="1"/>
  <c r="MWP3" i="53" a="1"/>
  <c r="QDZ3" i="53" a="1"/>
  <c r="CJC3" i="53" a="1"/>
  <c r="CXX3" i="53" a="1"/>
  <c r="WEU3" i="53" a="1"/>
  <c r="OOK3" i="53" a="1"/>
  <c r="GDH3" i="53" a="1"/>
  <c r="LKL3" i="53" a="1"/>
  <c r="RAK3" i="53" a="1"/>
  <c r="UNR3" i="53" a="1"/>
  <c r="UGJ3" i="53" a="1"/>
  <c r="QDS3" i="53" a="1"/>
  <c r="OXW3" i="53" a="1"/>
  <c r="QFJ3" i="53" a="1"/>
  <c r="KMI3" i="53" a="1"/>
  <c r="JYH3" i="53" a="1"/>
  <c r="QBL3" i="53" a="1"/>
  <c r="KGZ3" i="53" a="1"/>
  <c r="MUF3" i="53" a="1"/>
  <c r="DTN3" i="53" a="1"/>
  <c r="TRB3" i="53" a="1"/>
  <c r="QBW3" i="53" a="1"/>
  <c r="EOW3" i="53" a="1"/>
  <c r="OUX3" i="53" a="1"/>
  <c r="HNE3" i="53" a="1"/>
  <c r="TUR3" i="53" a="1"/>
  <c r="AHE3" i="53" a="1"/>
  <c r="CBU3" i="53" a="1"/>
  <c r="TKE3" i="53" a="1"/>
  <c r="LAY3" i="53" a="1"/>
  <c r="QAP3" i="53" a="1"/>
  <c r="IDU3" i="53" a="1"/>
  <c r="LVM3" i="53" a="1"/>
  <c r="OYF3" i="53" a="1"/>
  <c r="EFY3" i="53" a="1"/>
  <c r="SAV3" i="53" a="1"/>
  <c r="TWS3" i="53" a="1"/>
  <c r="DSE3" i="53" a="1"/>
  <c r="TBX3" i="53" a="1"/>
  <c r="BNF3" i="53" a="1"/>
  <c r="EEW3" i="53" a="1"/>
  <c r="IQT3" i="53" a="1"/>
  <c r="PYB3" i="53" a="1"/>
  <c r="IMT3" i="53" a="1"/>
  <c r="CZK3" i="53" a="1"/>
  <c r="DBV3" i="53" a="1"/>
  <c r="LJS3" i="53" a="1"/>
  <c r="IHS3" i="53" a="1"/>
  <c r="AYN3" i="53" a="1"/>
  <c r="IBS3" i="53" a="1"/>
  <c r="MPC3" i="53" a="1"/>
  <c r="SDK3" i="53" a="1"/>
  <c r="MN3" i="53" a="1"/>
  <c r="LTA3" i="53" a="1"/>
  <c r="XEQ3" i="53" a="1"/>
  <c r="VEI3" i="53" a="1"/>
  <c r="IIQ3" i="53" a="1"/>
  <c r="AEU3" i="53" a="1"/>
  <c r="ROQ3" i="53" a="1"/>
  <c r="UDZ3" i="53" a="1"/>
  <c r="CML3" i="53" a="1"/>
  <c r="G3" i="7" a="1"/>
  <c r="MHO3" i="53" a="1"/>
  <c r="NBU3" i="53" a="1"/>
  <c r="QVV3" i="53" a="1"/>
  <c r="FLJ3" i="53" a="1"/>
  <c r="RWQ3" i="53" a="1"/>
  <c r="OGX3" i="53" a="1"/>
  <c r="NHJ3" i="53" a="1"/>
  <c r="CNE3" i="53" a="1"/>
  <c r="UHY3" i="53" a="1"/>
  <c r="OMG3" i="53" a="1"/>
  <c r="VWC3" i="53" a="1"/>
  <c r="KUU3" i="53" a="1"/>
  <c r="RMU3" i="53" a="1"/>
  <c r="NNT3" i="53" a="1"/>
  <c r="DD3" i="53" a="1"/>
  <c r="JFS3" i="53" a="1"/>
  <c r="IGC3" i="53" a="1"/>
  <c r="EDK3" i="53" a="1"/>
  <c r="PDX3" i="53" a="1"/>
  <c r="IKT3" i="53" a="1"/>
  <c r="B3" i="60" a="1"/>
  <c r="SCU3" i="53" a="1"/>
  <c r="C60" i="53" a="1"/>
  <c r="PVG3" i="53" a="1"/>
  <c r="DCU3" i="53" a="1"/>
  <c r="NQH3" i="53" a="1"/>
  <c r="EM3" i="53" a="1"/>
  <c r="MAU3" i="53" a="1"/>
  <c r="PDD3" i="53" a="1"/>
  <c r="OMR3" i="53" a="1"/>
  <c r="QX3" i="53" a="1"/>
  <c r="TX3" i="53" a="1"/>
  <c r="AAH3" i="53" a="1"/>
  <c r="JUB3" i="53" a="1"/>
  <c r="NGF3" i="53" a="1"/>
  <c r="ODB3" i="53" a="1"/>
  <c r="QTY3" i="53" a="1"/>
  <c r="JCV3" i="53" a="1"/>
  <c r="BLY3" i="53" a="1"/>
  <c r="NNQ3" i="53" a="1"/>
  <c r="UBM3" i="53" a="1"/>
  <c r="QZA3" i="53" a="1"/>
  <c r="VID3" i="53" a="1"/>
  <c r="APO3" i="53" a="1"/>
  <c r="TJA3" i="53" a="1"/>
  <c r="UIG3" i="53" a="1"/>
  <c r="WDH3" i="53" a="1"/>
  <c r="QKE3" i="53" a="1"/>
  <c r="PZF3" i="53" a="1"/>
  <c r="ENY3" i="53" a="1"/>
  <c r="PVO3" i="53" a="1"/>
  <c r="ALR3" i="53" a="1"/>
  <c r="QAI3" i="53" a="1"/>
  <c r="UMZ3" i="53" a="1"/>
  <c r="PTU3" i="53" a="1"/>
  <c r="OYJ3" i="53" a="1"/>
  <c r="QTT3" i="53" a="1"/>
  <c r="WBF3" i="53" a="1"/>
  <c r="WHY3" i="53" a="1"/>
  <c r="C53" i="53" a="1"/>
  <c r="EMY3" i="53" a="1"/>
  <c r="EDM3" i="53" a="1"/>
  <c r="REC3" i="53" a="1"/>
  <c r="IZH3" i="53" a="1"/>
  <c r="POB3" i="53" a="1"/>
  <c r="NXY3" i="53" a="1"/>
  <c r="VHX3" i="53" a="1"/>
  <c r="IQB3" i="53" a="1"/>
  <c r="PQB3" i="53" a="1"/>
  <c r="KGR3" i="53" a="1"/>
  <c r="IFL3" i="53" a="1"/>
  <c r="NCI3" i="53" a="1"/>
  <c r="IGJ3" i="53" a="1"/>
  <c r="UGT3" i="53" a="1"/>
  <c r="POA3" i="53" a="1"/>
  <c r="CDN3" i="53" a="1"/>
  <c r="TYY3" i="53" a="1"/>
  <c r="VXN3" i="53" a="1"/>
  <c r="DWD3" i="53" a="1"/>
  <c r="VRF3" i="53" a="1"/>
  <c r="AFL3" i="53" a="1"/>
  <c r="EYM3" i="53" a="1"/>
  <c r="OVY3" i="53" a="1"/>
  <c r="TLE3" i="53" a="1"/>
  <c r="RTU3" i="53" a="1"/>
  <c r="FNM3" i="53" a="1"/>
  <c r="WKE3" i="53" a="1"/>
  <c r="DVF3" i="53" a="1"/>
  <c r="QCS3" i="53" a="1"/>
  <c r="HVI3" i="53" a="1"/>
  <c r="IPG3" i="53" a="1"/>
  <c r="FIJ3" i="53" a="1"/>
  <c r="BHR3" i="53" a="1"/>
  <c r="TMT3" i="53" a="1"/>
  <c r="ACG3" i="53" a="1"/>
  <c r="TZT3" i="53" a="1"/>
  <c r="KNK3" i="53" a="1"/>
  <c r="SRY3" i="53" a="1"/>
  <c r="QMP3" i="53" a="1"/>
  <c r="WZB3" i="53" a="1"/>
  <c r="FND3" i="53" a="1"/>
  <c r="DAM3" i="53" a="1"/>
  <c r="DHI3" i="53" a="1"/>
  <c r="CQS3" i="53" a="1"/>
  <c r="LER3" i="53" a="1"/>
  <c r="OLW3" i="53" a="1"/>
  <c r="RYG3" i="53" a="1"/>
  <c r="BVE3" i="53" a="1"/>
  <c r="CRK3" i="53" a="1"/>
  <c r="C62" i="53" a="1"/>
  <c r="WUV3" i="53" a="1"/>
  <c r="OBH3" i="53" a="1"/>
  <c r="RZB3" i="53" a="1"/>
  <c r="OMI3" i="53" a="1"/>
  <c r="NBW3" i="53" a="1"/>
  <c r="NLG3" i="53" a="1"/>
  <c r="C3" i="50" a="1"/>
  <c r="VLN3" i="53" a="1"/>
  <c r="PLC3" i="53" a="1"/>
  <c r="DGW3" i="53" a="1"/>
  <c r="RKN3" i="53" a="1"/>
  <c r="OJ3" i="53" a="1"/>
  <c r="A3" i="26" a="1"/>
  <c r="AYE3" i="53" a="1"/>
  <c r="WIJ3" i="53" a="1"/>
  <c r="LGI3" i="53" a="1"/>
  <c r="PUD3" i="53" a="1"/>
  <c r="MFA3" i="53" a="1"/>
  <c r="WSW3" i="53" a="1"/>
  <c r="NOS3" i="53" a="1"/>
  <c r="MQ3" i="53" a="1"/>
  <c r="AFB3" i="53" a="1"/>
  <c r="EJX3" i="53" a="1"/>
  <c r="DZU3" i="53" a="1"/>
  <c r="EOX3" i="53" a="1"/>
  <c r="NDT3" i="53" a="1"/>
  <c r="QIU3" i="53" a="1"/>
  <c r="ELN3" i="53" a="1"/>
  <c r="UPI3" i="53" a="1"/>
  <c r="JKK3" i="53" a="1"/>
  <c r="HKZ3" i="53" a="1"/>
  <c r="BFW3" i="53" a="1"/>
  <c r="GYE3" i="53" a="1"/>
  <c r="PJX3" i="53" a="1"/>
  <c r="UBO3" i="53" a="1"/>
  <c r="EIX3" i="53" a="1"/>
  <c r="LCB3" i="53" a="1"/>
  <c r="LOS3" i="53" a="1"/>
  <c r="VXS3" i="53" a="1"/>
  <c r="JGI3" i="53" a="1"/>
  <c r="JXV3" i="53" a="1"/>
  <c r="MQM3" i="53" a="1"/>
  <c r="UXT3" i="53" a="1"/>
  <c r="ISW3" i="53" a="1"/>
  <c r="UJP3" i="53" a="1"/>
  <c r="VPR3" i="53" a="1"/>
  <c r="LLE3" i="53" a="1"/>
  <c r="LGR3" i="53" a="1"/>
  <c r="ULA3" i="53" a="1"/>
  <c r="MYC3" i="53" a="1"/>
  <c r="ASZ3" i="53" a="1"/>
  <c r="RWE3" i="53" a="1"/>
  <c r="VOV3" i="53" a="1"/>
  <c r="IFZ3" i="53" a="1"/>
  <c r="FKA3" i="53" a="1"/>
  <c r="JXM3" i="53" a="1"/>
  <c r="BJF3" i="53" a="1"/>
  <c r="QIN3" i="53" a="1"/>
  <c r="GIJ3" i="53" a="1"/>
  <c r="JQH3" i="53" a="1"/>
  <c r="SBE3" i="53" a="1"/>
  <c r="RJW3" i="53" a="1"/>
  <c r="RUV3" i="53" a="1"/>
  <c r="NSO3" i="53" a="1"/>
  <c r="NUM3" i="53" a="1"/>
  <c r="BBC3" i="53" a="1"/>
  <c r="XBZ3" i="53" a="1"/>
  <c r="ROH3" i="53" a="1"/>
  <c r="WMO3" i="53" a="1"/>
  <c r="DGF3" i="53" a="1"/>
  <c r="TVG3" i="53" a="1"/>
  <c r="TXY3" i="53" a="1"/>
  <c r="STQ3" i="53" a="1"/>
  <c r="FS3" i="53" a="1"/>
  <c r="CJQ3" i="53" a="1"/>
  <c r="JAT3" i="53" a="1"/>
  <c r="CEM3" i="53" a="1"/>
  <c r="LRX3" i="53" a="1"/>
  <c r="TBM3" i="53" a="1"/>
  <c r="STZ3" i="53" a="1"/>
  <c r="SZJ3" i="53" a="1"/>
  <c r="GRC3" i="53" a="1"/>
  <c r="VZC3" i="53" a="1"/>
  <c r="SDZ3" i="53" a="1"/>
  <c r="DYW3" i="53" a="1"/>
  <c r="IAU3" i="53" a="1"/>
  <c r="UOT3" i="53" a="1"/>
  <c r="WNM3" i="53" a="1"/>
  <c r="MYL3" i="53" a="1"/>
  <c r="VBJ3" i="53" a="1"/>
  <c r="GPM3" i="53" a="1"/>
  <c r="TID3" i="53" a="1"/>
  <c r="AEG3" i="53" a="1"/>
  <c r="UMS3" i="53" a="1"/>
  <c r="NAO3" i="53" a="1"/>
  <c r="SBM3" i="53" a="1"/>
  <c r="PZQ3" i="53" a="1"/>
  <c r="JYB3" i="53" a="1"/>
  <c r="PJH3" i="53" a="1"/>
  <c r="EWL3" i="53" a="1"/>
  <c r="MKJ3" i="53" a="1"/>
  <c r="SKR3" i="53" a="1"/>
  <c r="AUC3" i="53" a="1"/>
  <c r="RCI3" i="53" a="1"/>
  <c r="VHO3" i="53" a="1"/>
  <c r="UUI3" i="53" a="1"/>
  <c r="HFB3" i="53" a="1"/>
  <c r="CIJ3" i="53" a="1"/>
  <c r="ULD3" i="53" a="1"/>
  <c r="TGW3" i="53" a="1"/>
  <c r="IXB3" i="53" a="1"/>
  <c r="DCP3" i="53" a="1"/>
  <c r="WSE3" i="53" a="1"/>
  <c r="EHA3" i="53" a="1"/>
  <c r="CYS3" i="53" a="1"/>
  <c r="EQ3" i="53" a="1"/>
  <c r="JPQ3" i="53" a="1"/>
  <c r="HVF3" i="53" a="1"/>
  <c r="NRA3" i="53" a="1"/>
  <c r="QGE3" i="53" a="1"/>
  <c r="KWC3" i="53" a="1"/>
  <c r="KWN3" i="53" a="1"/>
  <c r="EVM3" i="53" a="1"/>
  <c r="NSQ3" i="53" a="1"/>
  <c r="VHE3" i="53" a="1"/>
  <c r="OIO3" i="53" a="1"/>
  <c r="SRR3" i="53" a="1"/>
  <c r="KAY3" i="53" a="1"/>
  <c r="HJJ3" i="53" a="1"/>
  <c r="PGM3" i="53" a="1"/>
  <c r="OGM3" i="53" a="1"/>
  <c r="WFI3" i="53" a="1"/>
  <c r="LNH3" i="53" a="1"/>
  <c r="TAG3" i="53" a="1"/>
  <c r="BAK3" i="53" a="1"/>
  <c r="UEM3" i="53" a="1"/>
  <c r="FCQ3" i="53" a="1"/>
  <c r="BPO3" i="53" a="1"/>
  <c r="DPT3" i="53" a="1"/>
  <c r="DVY3" i="53" a="1"/>
  <c r="VJV3" i="53" a="1"/>
  <c r="LRK3" i="53" a="1"/>
  <c r="JDO3" i="53" a="1"/>
  <c r="QSV3" i="53" a="1"/>
  <c r="GOQ3" i="53" a="1"/>
  <c r="GKY3" i="53" a="1"/>
  <c r="CRO3" i="53" a="1"/>
  <c r="BQT3" i="53" a="1"/>
  <c r="HXY3" i="53" a="1"/>
  <c r="CAE3" i="53" a="1"/>
  <c r="THK3" i="53" a="1"/>
  <c r="HOD3" i="53" a="1"/>
  <c r="HBG3" i="53" a="1"/>
  <c r="ATX3" i="53" a="1"/>
  <c r="QKJ3" i="53" a="1"/>
  <c r="QSA3" i="53" a="1"/>
  <c r="LUK3" i="53" a="1"/>
  <c r="TXO3" i="53" a="1"/>
  <c r="QVH3" i="53" a="1"/>
  <c r="VVF3" i="53" a="1"/>
  <c r="EQG3" i="53" a="1"/>
  <c r="PBL3" i="53" a="1"/>
  <c r="VLK3" i="53" a="1"/>
  <c r="KON3" i="53" a="1"/>
  <c r="JUV3" i="53" a="1"/>
  <c r="XCU3" i="53" a="1"/>
  <c r="BJL3" i="53" a="1"/>
  <c r="FZX3" i="53" a="1"/>
  <c r="IXD3" i="53" a="1"/>
  <c r="VUI3" i="53" a="1"/>
  <c r="K3" i="34" a="1"/>
  <c r="PAI3" i="53" a="1"/>
  <c r="RXL3" i="53" a="1"/>
  <c r="DTM3" i="53" a="1"/>
  <c r="A3" i="37" a="1"/>
  <c r="C49" i="53" a="1"/>
  <c r="RKT3" i="53" a="1"/>
  <c r="SFT3" i="53" a="1"/>
  <c r="CC3" i="53" a="1"/>
  <c r="RNF3" i="53" a="1"/>
  <c r="NCD3" i="53" a="1"/>
  <c r="VZG3" i="53" a="1"/>
  <c r="KFO3" i="53" a="1"/>
  <c r="HG3" i="53" a="1"/>
  <c r="UNE3" i="53" a="1"/>
  <c r="NYG3" i="53" a="1"/>
  <c r="BIH3" i="53" a="1"/>
  <c r="FQR3" i="53" a="1"/>
  <c r="JEM3" i="53" a="1"/>
  <c r="A3" i="22" a="1"/>
  <c r="PUQ3" i="53" a="1"/>
  <c r="VDL3" i="53" a="1"/>
  <c r="J3" i="7" a="1"/>
  <c r="KUW3" i="53" a="1"/>
  <c r="LYV3" i="53" a="1"/>
  <c r="F3" i="50" a="1"/>
  <c r="RCZ3" i="53" a="1"/>
  <c r="LOP3" i="53" a="1"/>
  <c r="LKK3" i="53" a="1"/>
  <c r="FJV3" i="53" a="1"/>
  <c r="UMF3" i="53" a="1"/>
  <c r="ODH3" i="53" a="1"/>
  <c r="FTF3" i="53" a="1"/>
  <c r="GDX3" i="53" a="1"/>
  <c r="IEY3" i="53" a="1"/>
  <c r="CNN3" i="53" a="1"/>
  <c r="TWF3" i="53" a="1"/>
  <c r="DKQ3" i="53" a="1"/>
  <c r="ILB3" i="53" a="1"/>
  <c r="BMF3" i="53" a="1"/>
  <c r="EPZ3" i="53" a="1"/>
  <c r="HZJ3" i="53" a="1"/>
  <c r="GWI3" i="53" a="1"/>
  <c r="JPA3" i="53" a="1"/>
  <c r="AUQ3" i="53" a="1"/>
  <c r="NAW3" i="53" a="1"/>
  <c r="KHC3" i="53" a="1"/>
  <c r="TPR3" i="53" a="1"/>
  <c r="WYH3" i="53" a="1"/>
  <c r="VUO3" i="53" a="1"/>
  <c r="WB3" i="53" a="1"/>
  <c r="SYK3" i="53" a="1"/>
  <c r="GUP3" i="53" a="1"/>
  <c r="NFJ3" i="53" a="1"/>
  <c r="MMA3" i="53" a="1"/>
  <c r="SZH3" i="53" a="1"/>
  <c r="TFS3" i="53" a="1"/>
  <c r="CLO3" i="53" a="1"/>
  <c r="HIM3" i="53" a="1"/>
  <c r="B3" i="26" a="1"/>
  <c r="NLW3" i="53" a="1"/>
  <c r="OVC3" i="53" a="1"/>
  <c r="LYQ3" i="53" a="1"/>
  <c r="AWE3" i="53" a="1"/>
  <c r="PRR3" i="53" a="1"/>
  <c r="SOB3" i="53" a="1"/>
  <c r="SHP3" i="53" a="1"/>
  <c r="DUH3" i="53" a="1"/>
  <c r="GLN3" i="53" a="1"/>
  <c r="QVQ3" i="53" a="1"/>
  <c r="CKM3" i="53" a="1"/>
  <c r="HYT3" i="53" a="1"/>
  <c r="FQH3" i="53" a="1"/>
  <c r="RWH3" i="53" a="1"/>
  <c r="PIV3" i="53" a="1"/>
  <c r="KIP3" i="53" a="1"/>
  <c r="IZE3" i="53" a="1"/>
  <c r="GAO3" i="53" a="1"/>
  <c r="RBG3" i="53" a="1"/>
  <c r="WCH3" i="53" a="1"/>
  <c r="CRU3" i="53" a="1"/>
  <c r="JTM3" i="53" a="1"/>
  <c r="PTT3" i="53" a="1"/>
  <c r="OKJ3" i="53" a="1"/>
  <c r="CNS3" i="53" a="1"/>
  <c r="UZV3" i="53" a="1"/>
  <c r="DSK3" i="53" a="1"/>
  <c r="DPF3" i="53" a="1"/>
  <c r="TIH3" i="53" a="1"/>
  <c r="AA3" i="53" a="1"/>
  <c r="MJH3" i="53" a="1"/>
  <c r="DYS3" i="53" a="1"/>
  <c r="DJS3" i="53" a="1"/>
  <c r="NYS3" i="53" a="1"/>
  <c r="SKF3" i="53" a="1"/>
  <c r="JBX3" i="53" a="1"/>
  <c r="FXI3" i="53" a="1"/>
  <c r="VCQ3" i="53" a="1"/>
  <c r="MQI3" i="53" a="1"/>
  <c r="PWI3" i="53" a="1"/>
  <c r="KAN3" i="53" a="1"/>
  <c r="POC3" i="53" a="1"/>
  <c r="CYQ3" i="53" a="1"/>
  <c r="A3" i="3" a="1"/>
  <c r="PZW3" i="53" a="1"/>
  <c r="RJD3" i="53" a="1"/>
  <c r="JRH3" i="53" a="1"/>
  <c r="JNC3" i="53" a="1"/>
  <c r="ETI3" i="53" a="1"/>
  <c r="WBE3" i="53" a="1"/>
  <c r="IZZ3" i="53" a="1"/>
  <c r="INO3" i="53" a="1"/>
  <c r="CXE3" i="53" a="1"/>
  <c r="DI3" i="53" a="1"/>
  <c r="QBN3" i="53" a="1"/>
  <c r="IEQ3" i="53" a="1"/>
  <c r="FWA3" i="53" a="1"/>
  <c r="VNR3" i="53" a="1"/>
  <c r="KCR3" i="53" a="1"/>
  <c r="QBT3" i="53" a="1"/>
  <c r="VWU3" i="53" a="1"/>
  <c r="FVI3" i="53" a="1"/>
  <c r="RIA3" i="53" a="1"/>
  <c r="OOP3" i="53" a="1"/>
  <c r="BBF3" i="53" a="1"/>
  <c r="GDR3" i="53" a="1"/>
  <c r="PUR3" i="53" a="1"/>
  <c r="FML3" i="53" a="1"/>
  <c r="DFB3" i="53" a="1"/>
  <c r="G3" i="22" a="1"/>
  <c r="RT3" i="53" a="1"/>
  <c r="GEM3" i="53" a="1"/>
  <c r="WDI3" i="53" a="1"/>
  <c r="TGS3" i="53" a="1"/>
  <c r="VLV3" i="53" a="1"/>
  <c r="RWU3" i="53" a="1"/>
  <c r="F3" i="20" a="1"/>
  <c r="MXX3" i="53" a="1"/>
  <c r="HFX3" i="53" a="1"/>
  <c r="FUZ3" i="53" a="1"/>
  <c r="UMV3" i="53" a="1"/>
  <c r="H3" i="6" a="1"/>
  <c r="TNO3" i="53" a="1"/>
  <c r="FEI3" i="53" a="1"/>
  <c r="OMZ3" i="53" a="1"/>
  <c r="GGY3" i="53" a="1"/>
  <c r="EUJ3" i="53" a="1"/>
  <c r="CAQ3" i="53" a="1"/>
  <c r="SWN3" i="53" a="1"/>
  <c r="PFF3" i="53" a="1"/>
  <c r="EIY3" i="53" a="1"/>
  <c r="QLW3" i="53" a="1"/>
  <c r="QG3" i="53" a="1"/>
  <c r="KLJ3" i="53" a="1"/>
  <c r="IYX3" i="53" a="1"/>
  <c r="CON3" i="53" a="1"/>
  <c r="HK3" i="53" a="1"/>
  <c r="FMP3" i="53" a="1"/>
  <c r="RLY3" i="53" a="1"/>
  <c r="MPL3" i="53" a="1"/>
  <c r="AGO3" i="53" a="1"/>
  <c r="TIC3" i="53" a="1"/>
  <c r="BIJ3" i="53" a="1"/>
  <c r="XAV3" i="53" a="1"/>
  <c r="BQJ3" i="53" a="1"/>
  <c r="PCI3" i="53" a="1"/>
  <c r="IPB3" i="53" a="1"/>
  <c r="GNQ3" i="53" a="1"/>
  <c r="EQI3" i="53" a="1"/>
  <c r="EUW3" i="53" a="1"/>
  <c r="ULK3" i="53" a="1"/>
  <c r="ICJ3" i="53" a="1"/>
  <c r="CG3" i="53" a="1"/>
  <c r="F3" i="59" a="1"/>
  <c r="UDO3" i="53" a="1"/>
  <c r="MOQ3" i="53" a="1"/>
  <c r="QXM3" i="53" a="1"/>
  <c r="RIW3" i="53" a="1"/>
  <c r="RMN3" i="53" a="1"/>
  <c r="SUU3" i="53" a="1"/>
  <c r="OCR3" i="53" a="1"/>
  <c r="WMA3" i="53" a="1"/>
  <c r="LSS3" i="53" a="1"/>
  <c r="OVK3" i="53" a="1"/>
  <c r="BXJ3" i="53" a="1"/>
  <c r="DS3" i="53" a="1"/>
  <c r="VYU3" i="53" a="1"/>
  <c r="GVQ3" i="53" a="1"/>
  <c r="JCK3" i="53" a="1"/>
  <c r="KUN3" i="53" a="1"/>
  <c r="TWM3" i="53" a="1"/>
  <c r="WME3" i="53" a="1"/>
  <c r="IHV3" i="53" a="1"/>
  <c r="PQY3" i="53" a="1"/>
  <c r="VOB3" i="53" a="1"/>
  <c r="ORO3" i="53" a="1"/>
  <c r="SPR3" i="53" a="1"/>
  <c r="LFX3" i="53" a="1"/>
  <c r="H3" i="46" a="1"/>
  <c r="KQD3" i="53" a="1"/>
  <c r="ROC3" i="53" a="1"/>
  <c r="WBV3" i="53" a="1"/>
  <c r="AHJ3" i="53" a="1"/>
  <c r="QFV3" i="53" a="1"/>
  <c r="REX3" i="53" a="1"/>
  <c r="I3" i="7" a="1"/>
  <c r="MIQ3" i="53" a="1"/>
  <c r="UKI3" i="53" a="1"/>
  <c r="JYP3" i="53" a="1"/>
  <c r="JZV3" i="53" a="1"/>
  <c r="MUT3" i="53" a="1"/>
  <c r="NMI3" i="53" a="1"/>
  <c r="SAF3" i="53" a="1"/>
  <c r="QYG3" i="53" a="1"/>
  <c r="SPW3" i="53" a="1"/>
  <c r="PFI3" i="53" a="1"/>
  <c r="FCE3" i="53" a="1"/>
  <c r="KQN3" i="53" a="1"/>
  <c r="ION3" i="53" a="1"/>
  <c r="MBW3" i="53" a="1"/>
  <c r="SPH3" i="53" a="1"/>
  <c r="QXL3" i="53" a="1"/>
  <c r="IFQ3" i="53" a="1"/>
  <c r="BE3" i="53" a="1"/>
  <c r="IUI3" i="53" a="1"/>
  <c r="MSQ3" i="53" a="1"/>
  <c r="MWL3" i="53" a="1"/>
  <c r="CJV3" i="53" a="1"/>
  <c r="SGX3" i="53" a="1"/>
  <c r="KBX3" i="53" a="1"/>
  <c r="BCD3" i="53" a="1"/>
  <c r="DMD3" i="53" a="1"/>
  <c r="CLK3" i="53" a="1"/>
  <c r="UAE3" i="53" a="1"/>
  <c r="PPY3" i="53" a="1"/>
  <c r="BLV3" i="53" a="1"/>
  <c r="IUA3" i="53" a="1"/>
  <c r="SHD3" i="53" a="1"/>
  <c r="KQA3" i="53" a="1"/>
  <c r="RCM3" i="53" a="1"/>
  <c r="SUM3" i="53" a="1"/>
  <c r="A3" i="54" a="1"/>
  <c r="WTS3" i="53" a="1"/>
  <c r="UTT3" i="53" a="1"/>
  <c r="DGL3" i="53" a="1"/>
  <c r="LKR3" i="53" a="1"/>
  <c r="IXO3" i="53" a="1"/>
  <c r="FIP3" i="53" a="1"/>
  <c r="WSI3" i="53" a="1"/>
  <c r="JAN3" i="53" a="1"/>
  <c r="KZZ3" i="53" a="1"/>
  <c r="GOM3" i="53" a="1"/>
  <c r="NYJ3" i="53" a="1"/>
  <c r="QKK3" i="53" a="1"/>
  <c r="LEF3" i="53" a="1"/>
  <c r="KPT3" i="53" a="1"/>
  <c r="RTW3" i="53" a="1"/>
  <c r="WGS3" i="53" a="1"/>
  <c r="EKP3" i="53" a="1"/>
  <c r="QYT3" i="53" a="1"/>
  <c r="HU3" i="53" a="1"/>
  <c r="AUF3" i="53" a="1"/>
  <c r="UID3" i="53" a="1"/>
  <c r="LEJ3" i="53" a="1"/>
  <c r="WDW3" i="53" a="1"/>
  <c r="LKY3" i="53" a="1"/>
  <c r="ICK3" i="53" a="1"/>
  <c r="UNP3" i="53" a="1"/>
  <c r="MKV3" i="53" a="1"/>
  <c r="PAP3" i="53" a="1"/>
  <c r="UZY3" i="53" a="1"/>
  <c r="CBC3" i="53" a="1"/>
  <c r="LCE3" i="53" a="1"/>
  <c r="ONY3" i="53" a="1"/>
  <c r="OYY3" i="53" a="1"/>
  <c r="POS3" i="53" a="1"/>
  <c r="LIN3" i="53" a="1"/>
  <c r="YP3" i="53" a="1"/>
  <c r="MML3" i="53" a="1"/>
  <c r="NWM3" i="53" a="1"/>
  <c r="VDU3" i="53" a="1"/>
  <c r="B3" i="40" a="1"/>
  <c r="RGL3" i="53" a="1"/>
  <c r="MGY3" i="53" a="1"/>
  <c r="AHU3" i="53" a="1"/>
  <c r="HEH3" i="53" a="1"/>
  <c r="NDC3" i="53" a="1"/>
  <c r="KLM3" i="53" a="1"/>
  <c r="AJQ3" i="53" a="1"/>
  <c r="TWD3" i="53" a="1"/>
  <c r="EML3" i="53" a="1"/>
  <c r="ABD3" i="53" a="1"/>
  <c r="FOI3" i="53" a="1"/>
  <c r="JUK3" i="53" a="1"/>
  <c r="WAS3" i="53" a="1"/>
  <c r="DXU3" i="53" a="1"/>
  <c r="LJM3" i="53" a="1"/>
  <c r="AFH3" i="53" a="1"/>
  <c r="KDS3" i="53" a="1"/>
  <c r="GAN3" i="53" a="1"/>
  <c r="OOB3" i="53" a="1"/>
  <c r="JAG3" i="53" a="1"/>
  <c r="LYK3" i="53" a="1"/>
  <c r="OTO3" i="53" a="1"/>
  <c r="FCH3" i="53" a="1"/>
  <c r="JZY3" i="53" a="1"/>
  <c r="ILC3" i="53" a="1"/>
  <c r="CNR3" i="53" a="1"/>
  <c r="GPL3" i="53" a="1"/>
  <c r="KBO3" i="53" a="1"/>
  <c r="VIF3" i="53" a="1"/>
  <c r="NSN3" i="53" a="1"/>
  <c r="PZL3" i="53" a="1"/>
  <c r="TTW3" i="53" a="1"/>
  <c r="FRR3" i="53" a="1"/>
  <c r="KXT3" i="53" a="1"/>
  <c r="PLT3" i="53" a="1"/>
  <c r="UDE3" i="53" a="1"/>
  <c r="AYF3" i="53" a="1"/>
  <c r="LQT3" i="53" a="1"/>
  <c r="IXZ3" i="53" a="1"/>
  <c r="ARN3" i="53" a="1"/>
  <c r="L3" i="12" a="1"/>
  <c r="MQF3" i="53" a="1"/>
  <c r="CRT3" i="53" a="1"/>
  <c r="MNP3" i="53" a="1"/>
  <c r="PEC3" i="53" a="1"/>
  <c r="DE3" i="53" a="1"/>
  <c r="VPG3" i="53" a="1"/>
  <c r="ISO3" i="53" a="1"/>
  <c r="RCN3" i="53" a="1"/>
  <c r="OFO3" i="53" a="1"/>
  <c r="EQH3" i="53" a="1"/>
  <c r="CMX3" i="53" a="1"/>
  <c r="OPY3" i="53" a="1"/>
  <c r="RUS3" i="53" a="1"/>
  <c r="JFD3" i="53" a="1"/>
  <c r="KNJ3" i="53" a="1"/>
  <c r="OM3" i="53" a="1"/>
  <c r="MLO3" i="53" a="1"/>
  <c r="IRV3" i="53" a="1"/>
  <c r="ILQ3" i="53" a="1"/>
  <c r="ECA3" i="53" a="1"/>
  <c r="DCM3" i="53" a="1"/>
  <c r="LDA3" i="53" a="1"/>
  <c r="RLE3" i="53" a="1"/>
  <c r="PBA3" i="53" a="1"/>
  <c r="AGE3" i="53" a="1"/>
  <c r="JJC3" i="53" a="1"/>
  <c r="SEB3" i="53" a="1"/>
  <c r="AKG3" i="53" a="1"/>
  <c r="GNL3" i="53" a="1"/>
  <c r="RYK3" i="53" a="1"/>
  <c r="FCX3" i="53" a="1"/>
  <c r="KID3" i="53" a="1"/>
  <c r="OSV3" i="53" a="1"/>
  <c r="MU3" i="53" a="1"/>
  <c r="SGI3" i="53" a="1"/>
  <c r="UPF3" i="53" a="1"/>
  <c r="LNV3" i="53" a="1"/>
  <c r="OGF3" i="53" a="1"/>
  <c r="LWG3" i="53" a="1"/>
  <c r="OSQ3" i="53" a="1"/>
  <c r="CPV3" i="53" a="1"/>
  <c r="CQM3" i="53" a="1"/>
  <c r="CMQ3" i="53" a="1"/>
  <c r="FXN3" i="53" a="1"/>
  <c r="IIM3" i="53" a="1"/>
  <c r="AIZ3" i="53" a="1"/>
  <c r="HPV3" i="53" a="1"/>
  <c r="AJB3" i="53" a="1"/>
  <c r="GXF3" i="53" a="1"/>
  <c r="NHV3" i="53" a="1"/>
  <c r="BBM3" i="53" a="1"/>
  <c r="ATF3" i="53" a="1"/>
  <c r="MIZ3" i="53" a="1"/>
  <c r="BKZ3" i="53" a="1"/>
  <c r="QLZ3" i="53" a="1"/>
  <c r="VYS3" i="53" a="1"/>
  <c r="MWK3" i="53" a="1"/>
  <c r="LLM3" i="53" a="1"/>
  <c r="C27" i="53" a="1"/>
  <c r="EOP3" i="53" a="1"/>
  <c r="INK3" i="53" a="1"/>
  <c r="HZB3" i="53" a="1"/>
  <c r="BJI3" i="53" a="1"/>
  <c r="RCF3" i="53" a="1"/>
  <c r="QQU3" i="53" a="1"/>
  <c r="UVS3" i="53" a="1"/>
  <c r="ABV3" i="53" a="1"/>
  <c r="AKB3" i="53" a="1"/>
  <c r="SKU3" i="53" a="1"/>
  <c r="LRO3" i="53" a="1"/>
  <c r="BO3" i="53" a="1"/>
  <c r="G3" i="20" a="1"/>
  <c r="JNE3" i="53" a="1"/>
  <c r="KKG3" i="53" a="1"/>
  <c r="OSP3" i="53" a="1"/>
  <c r="WWU3" i="53" a="1"/>
  <c r="IOH3" i="53" a="1"/>
  <c r="CVR3" i="53" a="1"/>
  <c r="SRB3" i="53" a="1"/>
  <c r="LWC3" i="53" a="1"/>
  <c r="HSJ3" i="53" a="1"/>
  <c r="LDM3" i="53" a="1"/>
  <c r="ULV3" i="53" a="1"/>
  <c r="AQH3" i="53" a="1"/>
  <c r="OWJ3" i="53" a="1"/>
  <c r="EJM3" i="53" a="1"/>
  <c r="POV3" i="53" a="1"/>
  <c r="HRL3" i="53" a="1"/>
  <c r="UXN3" i="53" a="1"/>
  <c r="SFF3" i="53" a="1"/>
  <c r="WPR3" i="53" a="1"/>
  <c r="E3" i="56" a="1"/>
  <c r="OSH3" i="53" a="1"/>
  <c r="PJC3" i="53" a="1"/>
  <c r="CTQ3" i="53" a="1"/>
  <c r="DBS3" i="53" a="1"/>
  <c r="PKG3" i="53" a="1"/>
  <c r="KTZ3" i="53" a="1"/>
  <c r="PWP3" i="53" a="1"/>
  <c r="FZQ3" i="53" a="1"/>
  <c r="UVK3" i="53" a="1"/>
  <c r="WQM3" i="53" a="1"/>
  <c r="JOS3" i="53" a="1"/>
  <c r="EZW3" i="53" a="1"/>
  <c r="PQG3" i="53" a="1"/>
  <c r="EEB3" i="53" a="1"/>
  <c r="JTR3" i="53" a="1"/>
  <c r="CFZ3" i="53" a="1"/>
  <c r="HIQ3" i="53" a="1"/>
  <c r="HJX3" i="53" a="1"/>
  <c r="KBN3" i="53" a="1"/>
  <c r="KRK3" i="53" a="1"/>
  <c r="LFS3" i="53" a="1"/>
  <c r="DFN3" i="53" a="1"/>
  <c r="CUE3" i="53" a="1"/>
  <c r="HMP3" i="53" a="1"/>
  <c r="TYL3" i="53" a="1"/>
  <c r="WBU3" i="53" a="1"/>
  <c r="MIK3" i="53" a="1"/>
  <c r="MCU3" i="53" a="1"/>
  <c r="WOP3" i="53" a="1"/>
  <c r="CWW3" i="53" a="1"/>
  <c r="TNM3" i="53" a="1"/>
  <c r="TJU3" i="53" a="1"/>
  <c r="DMZ3" i="53" a="1"/>
  <c r="WFA3" i="53" a="1"/>
  <c r="VFQ3" i="53" a="1"/>
  <c r="PDK3" i="53" a="1"/>
  <c r="TUZ3" i="53" a="1"/>
  <c r="NIQ3" i="53" a="1"/>
  <c r="DRB3" i="53" a="1"/>
  <c r="CRL3" i="53" a="1"/>
  <c r="HGZ3" i="53" a="1"/>
  <c r="GIU3" i="53" a="1"/>
  <c r="CZI3" i="53" a="1"/>
  <c r="TQ3" i="53" a="1"/>
  <c r="DWP3" i="53" a="1"/>
  <c r="G3" i="31" a="1"/>
  <c r="KI3" i="53" a="1"/>
  <c r="MNF3" i="53" a="1"/>
  <c r="GIM3" i="53" a="1"/>
  <c r="CUQ3" i="53" a="1"/>
  <c r="MRF3" i="53" a="1"/>
  <c r="HGU3" i="53" a="1"/>
  <c r="JIN3" i="53" a="1"/>
  <c r="B3" i="6" a="1"/>
  <c r="TGR3" i="53" a="1"/>
  <c r="PBU3" i="53" a="1"/>
  <c r="IVI3" i="53" a="1"/>
  <c r="UKL3" i="53" a="1"/>
  <c r="MNX3" i="53" a="1"/>
  <c r="TNP3" i="53" a="1"/>
  <c r="FXJ3" i="53" a="1"/>
  <c r="XJ3" i="53" a="1"/>
  <c r="DTA3" i="53" a="1"/>
  <c r="LOW3" i="53" a="1"/>
  <c r="AM3" i="53" a="1"/>
  <c r="NTG3" i="53" a="1"/>
  <c r="CNH3" i="53" a="1"/>
  <c r="GEA3" i="53" a="1"/>
  <c r="RSC3" i="53" a="1"/>
  <c r="ERB3" i="53" a="1"/>
  <c r="JHT3" i="53" a="1"/>
  <c r="GWD3" i="53" a="1"/>
  <c r="UQ3" i="53" a="1"/>
  <c r="RIU3" i="53" a="1"/>
  <c r="HTN3" i="53" a="1"/>
  <c r="HUU3" i="53" a="1"/>
  <c r="KDU3" i="53" a="1"/>
  <c r="LT3" i="53" a="1"/>
  <c r="IFE3" i="53" a="1"/>
  <c r="LVE3" i="53" a="1"/>
  <c r="YI3" i="53" a="1"/>
  <c r="HMX3" i="53" a="1"/>
  <c r="TFG3" i="53" a="1"/>
  <c r="EOO3" i="53" a="1"/>
  <c r="QCX3" i="53" a="1"/>
  <c r="RIT3" i="53" a="1"/>
  <c r="VHC3" i="53" a="1"/>
  <c r="EBJ3" i="53" a="1"/>
  <c r="NKO3" i="53" a="1"/>
  <c r="B3" i="2" a="1"/>
  <c r="ONR3" i="53" a="1"/>
  <c r="VAN3" i="53" a="1"/>
  <c r="MAE3" i="53" a="1"/>
  <c r="ICI3" i="53" a="1"/>
  <c r="VZN3" i="53" a="1"/>
  <c r="WQE3" i="53" a="1"/>
  <c r="GDT3" i="53" a="1"/>
  <c r="VHL3" i="53" a="1"/>
  <c r="AFQ3" i="53" a="1"/>
  <c r="PAY3" i="53" a="1"/>
  <c r="CNO3" i="53" a="1"/>
  <c r="CN3" i="53" a="1"/>
  <c r="PUM3" i="53" a="1"/>
  <c r="SRC3" i="53" a="1"/>
  <c r="GNN3" i="53" a="1"/>
  <c r="EZI3" i="53" a="1"/>
  <c r="MKT3" i="53" a="1"/>
  <c r="UHN3" i="53" a="1"/>
  <c r="NHX3" i="53" a="1"/>
  <c r="HEW3" i="53" a="1"/>
  <c r="JWT3" i="53" a="1"/>
  <c r="HRX3" i="53" a="1"/>
  <c r="JYV3" i="53" a="1"/>
  <c r="G58" i="40" a="1"/>
  <c r="TGD3" i="53" a="1"/>
  <c r="ILN3" i="53" a="1"/>
  <c r="FXQ3" i="53" a="1"/>
  <c r="E21" i="31" a="1"/>
  <c r="GEZ3" i="53" a="1"/>
  <c r="JYX3" i="53" a="1"/>
  <c r="BAI3" i="53" a="1"/>
  <c r="WXE3" i="53" a="1"/>
  <c r="MRV3" i="53" a="1"/>
  <c r="EZZ3" i="53" a="1"/>
  <c r="MZV3" i="53" a="1"/>
  <c r="PWY3" i="53" a="1"/>
  <c r="CAS3" i="53" a="1"/>
  <c r="G46" i="40" a="1"/>
  <c r="NJJ3" i="53" a="1"/>
  <c r="PON3" i="53" a="1"/>
  <c r="C7" i="57" a="1"/>
  <c r="DPC3" i="53" a="1"/>
  <c r="VYB3" i="53" a="1"/>
  <c r="JEH3" i="53" a="1"/>
  <c r="LPA3" i="53" a="1"/>
  <c r="HPX3" i="53" a="1"/>
  <c r="KVW3" i="53" a="1"/>
  <c r="LXV3" i="53" a="1"/>
  <c r="QRB3" i="53" a="1"/>
  <c r="MHY3" i="53" a="1"/>
  <c r="QRA3" i="53" a="1"/>
  <c r="WLD3" i="53" a="1"/>
  <c r="KKQ3" i="53" a="1"/>
  <c r="VJO3" i="53" a="1"/>
  <c r="MOH3" i="53" a="1"/>
  <c r="LXB3" i="53" a="1"/>
  <c r="VPV3" i="53" a="1"/>
  <c r="OHE3" i="53" a="1"/>
  <c r="FHW3" i="53" a="1"/>
  <c r="TCP3" i="53" a="1"/>
  <c r="SYP3" i="53" a="1"/>
  <c r="VQE3" i="53" a="1"/>
  <c r="TDK3" i="53" a="1"/>
  <c r="MVV3" i="53" a="1"/>
  <c r="TZC3" i="53" a="1"/>
  <c r="E3" i="3" a="1"/>
  <c r="FSE3" i="53" a="1"/>
  <c r="RJR3" i="53" a="1"/>
  <c r="CPH3" i="53" a="1"/>
  <c r="OG3" i="53" a="1"/>
  <c r="MQA3" i="53" a="1"/>
  <c r="PCL3" i="53" a="1"/>
  <c r="EAA3" i="53" a="1"/>
  <c r="CFR3" i="53" a="1"/>
  <c r="RMI3" i="53" a="1"/>
  <c r="ECN3" i="53" a="1"/>
  <c r="KMQ3" i="53" a="1"/>
  <c r="POE3" i="53" a="1"/>
  <c r="BPH3" i="53" a="1"/>
  <c r="FPA3" i="53" a="1"/>
  <c r="NMF3" i="53" a="1"/>
  <c r="KFF3" i="53" a="1"/>
  <c r="KOY3" i="53" a="1"/>
  <c r="SNV3" i="53" a="1"/>
  <c r="RM3" i="53" a="1"/>
  <c r="LAA3" i="53" a="1"/>
  <c r="MMK3" i="53" a="1"/>
  <c r="SHZ3" i="53" a="1"/>
  <c r="CXI3" i="53" a="1"/>
  <c r="TWK3" i="53" a="1"/>
  <c r="RQM3" i="53" a="1"/>
  <c r="KWY3" i="53" a="1"/>
  <c r="PZX3" i="53" a="1"/>
  <c r="DVZ3" i="53" a="1"/>
  <c r="WZG3" i="53" a="1"/>
  <c r="EEZ3" i="53" a="1"/>
  <c r="GGN3" i="53" a="1"/>
  <c r="FCC3" i="53" a="1"/>
  <c r="VL3" i="53" a="1"/>
  <c r="EXM3" i="53" a="1"/>
  <c r="QMO3" i="53" a="1"/>
  <c r="B3" i="46" a="1"/>
  <c r="CRR3" i="53" a="1"/>
  <c r="BOG3" i="53" a="1"/>
  <c r="JXS3" i="53" a="1"/>
  <c r="OAJ3" i="53" a="1"/>
  <c r="DGM3" i="53" a="1"/>
  <c r="VKE3" i="53" a="1"/>
  <c r="ONT3" i="53" a="1"/>
  <c r="GBX3" i="53" a="1"/>
  <c r="TOZ3" i="53" a="1"/>
  <c r="CUO3" i="53" a="1"/>
  <c r="NTK3" i="53" a="1"/>
  <c r="IIR3" i="53" a="1"/>
  <c r="BIU3" i="53" a="1"/>
  <c r="DJW3" i="53" a="1"/>
  <c r="FLU3" i="53" a="1"/>
  <c r="H3" i="31" a="1"/>
  <c r="HDT3" i="53" a="1"/>
  <c r="KZO3" i="53" a="1"/>
  <c r="EIO3" i="53" a="1"/>
  <c r="CID3" i="53" a="1"/>
  <c r="AOH3" i="53" a="1"/>
  <c r="BJY3" i="53" a="1"/>
  <c r="HDY3" i="53" a="1"/>
  <c r="BHB3" i="53" a="1"/>
  <c r="HXS3" i="53" a="1"/>
  <c r="PNZ3" i="53" a="1"/>
  <c r="TWR3" i="53" a="1"/>
  <c r="NRR3" i="53" a="1"/>
  <c r="VQK3" i="53" a="1"/>
  <c r="TGZ3" i="53" a="1"/>
  <c r="SFX3" i="53" a="1"/>
  <c r="IMU3" i="53" a="1"/>
  <c r="IHR3" i="53" a="1"/>
  <c r="UXI3" i="53" a="1"/>
  <c r="LSV3" i="53" a="1"/>
  <c r="KRQ3" i="53" a="1"/>
  <c r="GOF3" i="53" a="1"/>
  <c r="AUV3" i="53" a="1"/>
  <c r="VSJ3" i="53" a="1"/>
  <c r="ITC3" i="53" a="1"/>
  <c r="MLR3" i="53" a="1"/>
  <c r="NDE3" i="53" a="1"/>
  <c r="PDN3" i="53" a="1"/>
  <c r="ITA3" i="53" a="1"/>
  <c r="VY3" i="53" a="1"/>
  <c r="BVX3" i="53" a="1"/>
  <c r="HZ3" i="53" a="1"/>
  <c r="LWW3" i="53" a="1"/>
  <c r="UJW3" i="53" a="1"/>
  <c r="REY3" i="53" a="1"/>
  <c r="GRK3" i="53" a="1"/>
  <c r="PAW3" i="53" a="1"/>
  <c r="TZA3" i="53" a="1"/>
  <c r="PRK3" i="53" a="1"/>
  <c r="RRG3" i="53" a="1"/>
  <c r="CDS3" i="53" a="1"/>
  <c r="KQC3" i="53" a="1"/>
  <c r="SEP3" i="53" a="1"/>
  <c r="NYP3" i="53" a="1"/>
  <c r="ZJ3" i="53" a="1"/>
  <c r="CHR3" i="53" a="1"/>
  <c r="JI3" i="53" a="1"/>
  <c r="DQB3" i="53" a="1"/>
  <c r="XDK3" i="53" a="1"/>
  <c r="WPE3" i="53" a="1"/>
  <c r="DZQ3" i="53" a="1"/>
  <c r="DYX3" i="53" a="1"/>
  <c r="CEN3" i="53" a="1"/>
  <c r="UXR3" i="53" a="1"/>
  <c r="MQZ3" i="53" a="1"/>
  <c r="RIP3" i="53" a="1"/>
  <c r="PFU3" i="53" a="1"/>
  <c r="DO3" i="53" a="1"/>
  <c r="OUQ3" i="53" a="1"/>
  <c r="UMP3" i="53" a="1"/>
  <c r="ZF3" i="53" a="1"/>
  <c r="WRO3" i="53" a="1"/>
  <c r="MHP3" i="53" a="1"/>
  <c r="NOB3" i="53" a="1"/>
  <c r="IIN3" i="53" a="1"/>
  <c r="IBE3" i="53" a="1"/>
  <c r="ONI3" i="53" a="1"/>
  <c r="FHX3" i="53" a="1"/>
  <c r="VVV3" i="53" a="1"/>
  <c r="ENO3" i="53" a="1"/>
  <c r="OOR3" i="53" a="1"/>
  <c r="QKG3" i="53" a="1"/>
  <c r="TAR3" i="53" a="1"/>
  <c r="UUC3" i="53" a="1"/>
  <c r="UPR3" i="53" a="1"/>
  <c r="TVX3" i="53" a="1"/>
  <c r="ULM3" i="53" a="1"/>
  <c r="QFC3" i="53" a="1"/>
  <c r="UYH3" i="53" a="1"/>
  <c r="DWQ3" i="53" a="1"/>
  <c r="SJM3" i="53" a="1"/>
  <c r="MBS3" i="53" a="1"/>
  <c r="BRU3" i="53" a="1"/>
  <c r="ENR3" i="53" a="1"/>
  <c r="NJM3" i="53" a="1"/>
  <c r="DDJ3" i="53" a="1"/>
  <c r="WZQ3" i="53" a="1"/>
  <c r="EGK3" i="53" a="1"/>
  <c r="MVJ3" i="53" a="1"/>
  <c r="JPG3" i="53" a="1"/>
  <c r="UJZ3" i="53" a="1"/>
  <c r="NLU3" i="53" a="1"/>
  <c r="PXF3" i="53" a="1"/>
  <c r="NIA3" i="53" a="1"/>
  <c r="UUN3" i="53" a="1"/>
  <c r="EPC3" i="53" a="1"/>
  <c r="FWH3" i="53" a="1"/>
  <c r="JRR3" i="53" a="1"/>
  <c r="OTK3" i="53" a="1"/>
  <c r="IHZ3" i="53" a="1"/>
  <c r="JYS3" i="53" a="1"/>
  <c r="BQG3" i="53" a="1"/>
  <c r="VDE3" i="53" a="1"/>
  <c r="KOX3" i="53" a="1"/>
  <c r="FJC3" i="53" a="1"/>
  <c r="KCO3" i="53" a="1"/>
  <c r="BPX3" i="53" a="1"/>
  <c r="KYT3" i="53" a="1"/>
  <c r="AHZ3" i="53" a="1"/>
  <c r="QRU3" i="53" a="1"/>
  <c r="UCF3" i="53" a="1"/>
  <c r="BGO3" i="53" a="1"/>
  <c r="FWB3" i="53" a="1"/>
  <c r="MMB3" i="53" a="1"/>
  <c r="KEG3" i="53" a="1"/>
  <c r="P3" i="12" a="1"/>
  <c r="OHP3" i="53" a="1"/>
  <c r="ALZ3" i="53" a="1"/>
  <c r="EZR3" i="53" a="1"/>
  <c r="IXT3" i="53" a="1"/>
  <c r="UZG3" i="53" a="1"/>
  <c r="RY3" i="53" a="1"/>
  <c r="SJU3" i="53" a="1"/>
  <c r="S3" i="12" a="1"/>
  <c r="TWU3" i="53" a="1"/>
  <c r="LYR3" i="53" a="1"/>
  <c r="HEE3" i="53" a="1"/>
  <c r="SVZ3" i="53" a="1"/>
  <c r="FHN3" i="53" a="1"/>
  <c r="GBN3" i="53" a="1"/>
  <c r="OLU3" i="53" a="1"/>
  <c r="QEI3" i="53" a="1"/>
  <c r="OCX3" i="53" a="1"/>
  <c r="QDL3" i="53" a="1"/>
  <c r="DMR3" i="53" a="1"/>
  <c r="API3" i="53" a="1"/>
  <c r="CDJ3" i="53" a="1"/>
  <c r="IZD3" i="53" a="1"/>
  <c r="JVJ3" i="53" a="1"/>
  <c r="DST3" i="53" a="1"/>
  <c r="CCM3" i="53" a="1"/>
  <c r="LWF3" i="53" a="1"/>
  <c r="KRA3" i="53" a="1"/>
  <c r="HBI3" i="53" a="1"/>
  <c r="GQD3" i="53" a="1"/>
  <c r="ORR3" i="53" a="1"/>
  <c r="WQW3" i="53" a="1"/>
  <c r="IWF3" i="53" a="1"/>
  <c r="WJA3" i="53" a="1"/>
  <c r="RDL3" i="53" a="1"/>
  <c r="GEW3" i="53" a="1"/>
  <c r="KPN3" i="53" a="1"/>
  <c r="L3" i="4" a="1"/>
  <c r="RBD3" i="53" a="1"/>
  <c r="MGD3" i="53" a="1"/>
  <c r="WVR3" i="53" a="1"/>
  <c r="SIJ3" i="53" a="1"/>
  <c r="OCD3" i="53" a="1"/>
  <c r="LCU3" i="53" a="1"/>
  <c r="LEZ3" i="53" a="1"/>
  <c r="DIU3" i="53" a="1"/>
  <c r="GOB3" i="53" a="1"/>
  <c r="FIA3" i="53" a="1"/>
  <c r="BXO3" i="53" a="1"/>
  <c r="NSP3" i="53" a="1"/>
  <c r="NHO3" i="53" a="1"/>
  <c r="VTO3" i="53" a="1"/>
  <c r="BDZ3" i="53" a="1"/>
  <c r="WKO3" i="53" a="1"/>
  <c r="GKX3" i="53" a="1"/>
  <c r="AGR3" i="53" a="1"/>
  <c r="NZC3" i="53" a="1"/>
  <c r="DQM3" i="53" a="1"/>
  <c r="QXJ3" i="53" a="1"/>
  <c r="IIU3" i="53" a="1"/>
  <c r="KHK3" i="53" a="1"/>
  <c r="VNN3" i="53" a="1"/>
  <c r="GGW3" i="53" a="1"/>
  <c r="AUW3" i="53" a="1"/>
  <c r="JJZ3" i="53" a="1"/>
  <c r="MXQ3" i="53" a="1"/>
  <c r="IZV3" i="53" a="1"/>
  <c r="KGG3" i="53" a="1"/>
  <c r="UCL3" i="53" a="1"/>
  <c r="RVW3" i="53" a="1"/>
  <c r="CNW3" i="53" a="1"/>
  <c r="JKE3" i="53" a="1"/>
  <c r="IKS3" i="53" a="1"/>
  <c r="PK3" i="53" a="1"/>
  <c r="DKJ3" i="53" a="1"/>
  <c r="GFC3" i="53" a="1"/>
  <c r="UWE3" i="53" a="1"/>
  <c r="HUR3" i="53" a="1"/>
  <c r="QB3" i="53" a="1"/>
  <c r="DTO3" i="53" a="1"/>
  <c r="MVZ3" i="53" a="1"/>
  <c r="EYR3" i="53" a="1"/>
  <c r="MCS3" i="53" a="1"/>
  <c r="C35" i="53" a="1"/>
  <c r="IVN3" i="53" a="1"/>
  <c r="RYM3" i="53" a="1"/>
  <c r="JSC3" i="53" a="1"/>
  <c r="IR3" i="53" a="1"/>
  <c r="KII3" i="53" a="1"/>
  <c r="MLZ3" i="53" a="1"/>
  <c r="JCQ3" i="53" a="1"/>
  <c r="UHT3" i="53" a="1"/>
  <c r="WVD3" i="53" a="1"/>
  <c r="QKS3" i="53" a="1"/>
  <c r="ETQ3" i="53" a="1"/>
  <c r="VJP3" i="53" a="1"/>
  <c r="FWG3" i="53" a="1"/>
  <c r="SGD3" i="53" a="1"/>
  <c r="LRL3" i="53" a="1"/>
  <c r="MKF3" i="53" a="1"/>
  <c r="GXV3" i="53" a="1"/>
  <c r="VWY3" i="53" a="1"/>
  <c r="RNS3" i="53" a="1"/>
  <c r="TNG3" i="53" a="1"/>
  <c r="GEB3" i="53" a="1"/>
  <c r="HDQ3" i="53" a="1"/>
  <c r="EP3" i="53" a="1"/>
  <c r="VBE3" i="53" a="1"/>
  <c r="LQQ3" i="53" a="1"/>
  <c r="UNX3" i="53" a="1"/>
  <c r="PVF3" i="53" a="1"/>
  <c r="OCE3" i="53" a="1"/>
  <c r="NMY3" i="53" a="1"/>
  <c r="CPA3" i="53" a="1"/>
  <c r="TRS3" i="53" a="1"/>
  <c r="MLB3" i="53" a="1"/>
  <c r="DAY3" i="53" a="1"/>
  <c r="PJV3" i="53" a="1"/>
  <c r="LNL3" i="53" a="1"/>
  <c r="QBE3" i="53" a="1"/>
  <c r="HNJ3" i="53" a="1"/>
  <c r="GME3" i="53" a="1"/>
  <c r="EJZ3" i="53" a="1"/>
  <c r="GBO3" i="53" a="1"/>
  <c r="KMR3" i="53" a="1"/>
  <c r="IS3" i="53" a="1"/>
  <c r="WDK3" i="53" a="1"/>
  <c r="JSP3" i="53" a="1"/>
  <c r="GFH3" i="53" a="1"/>
  <c r="IWB3" i="53" a="1"/>
  <c r="OQU3" i="53" a="1"/>
  <c r="RSV3" i="53" a="1"/>
  <c r="RQF3" i="53" a="1"/>
  <c r="WOH3" i="53" a="1"/>
  <c r="JKC3" i="53" a="1"/>
  <c r="WWC3" i="53" a="1"/>
  <c r="PAB3" i="53" a="1"/>
  <c r="HNO3" i="53" a="1"/>
  <c r="NNA3" i="53" a="1"/>
  <c r="UJU3" i="53" a="1"/>
  <c r="UZB3" i="53" a="1"/>
  <c r="ORW3" i="53" a="1"/>
  <c r="H3" i="4" a="1"/>
  <c r="UCT3" i="53" a="1"/>
  <c r="QTK3" i="53" a="1"/>
  <c r="BSQ3" i="53" a="1"/>
  <c r="SMT3" i="53" a="1"/>
  <c r="AYA3" i="53" a="1"/>
  <c r="HXP3" i="53" a="1"/>
  <c r="JZJ3" i="53" a="1"/>
  <c r="UGK3" i="53" a="1"/>
  <c r="NLZ3" i="53" a="1"/>
  <c r="WAL3" i="53" a="1"/>
  <c r="BXC3" i="53" a="1"/>
  <c r="DTY3" i="53" a="1"/>
  <c r="GNA3" i="53" a="1"/>
  <c r="LDL3" i="53" a="1"/>
  <c r="EBL3" i="53" a="1"/>
  <c r="IIZ3" i="53" a="1"/>
  <c r="PHG3" i="53" a="1"/>
  <c r="OPX3" i="53" a="1"/>
  <c r="NQK3" i="53" a="1"/>
  <c r="FTG3" i="53" a="1"/>
  <c r="KGA3" i="53" a="1"/>
  <c r="JZC3" i="53" a="1"/>
  <c r="XEF3" i="53" a="1"/>
  <c r="PIP3" i="53" a="1"/>
  <c r="CCI3" i="53" a="1"/>
  <c r="EBV3" i="53" a="1"/>
  <c r="GGJ3" i="53" a="1"/>
  <c r="OTD3" i="53" a="1"/>
  <c r="NYR3" i="53" a="1"/>
  <c r="FFO3" i="53" a="1"/>
  <c r="SHY3" i="53" a="1"/>
  <c r="E48" i="40" a="1"/>
  <c r="UED3" i="53" a="1"/>
  <c r="EFL3" i="53" a="1"/>
  <c r="ANZ3" i="53" a="1"/>
  <c r="CL3" i="53" a="1"/>
  <c r="OWH3" i="53" a="1"/>
  <c r="OUG3" i="53" a="1"/>
  <c r="EHX3" i="53" a="1"/>
  <c r="LYG3" i="53" a="1"/>
  <c r="GVR3" i="53" a="1"/>
  <c r="AZU3" i="53" a="1"/>
  <c r="C23" i="53" a="1"/>
  <c r="WED3" i="53" a="1"/>
  <c r="OQE3" i="53" a="1"/>
  <c r="OWF3" i="53" a="1"/>
  <c r="NRE3" i="53" a="1"/>
  <c r="MLP3" i="53" a="1"/>
  <c r="KWX3" i="53" a="1"/>
  <c r="VDM3" i="53" a="1"/>
  <c r="HBS3" i="53" a="1"/>
  <c r="LJC3" i="53" a="1"/>
  <c r="DVN3" i="53" a="1"/>
  <c r="HHA3" i="53" a="1"/>
  <c r="PEF3" i="53" a="1"/>
  <c r="NDO3" i="53" a="1"/>
  <c r="QPD3" i="53" a="1"/>
  <c r="QTO3" i="53" a="1"/>
  <c r="SUS3" i="53" a="1"/>
  <c r="DOZ3" i="53" a="1"/>
  <c r="KTQ3" i="53" a="1"/>
  <c r="HCX3" i="53" a="1"/>
  <c r="MGJ3" i="53" a="1"/>
  <c r="NEC3" i="53" a="1"/>
  <c r="WOQ3" i="53" a="1"/>
  <c r="QLF3" i="53" a="1"/>
  <c r="QLT3" i="53" a="1"/>
  <c r="SDT3" i="53" a="1"/>
  <c r="EQE3" i="53" a="1"/>
  <c r="HZD3" i="53" a="1"/>
  <c r="JUX3" i="53" a="1"/>
  <c r="GLZ3" i="53" a="1"/>
  <c r="AY3" i="53" a="1"/>
  <c r="VLR3" i="53" a="1"/>
  <c r="VGH3" i="53" a="1"/>
  <c r="JML3" i="53" a="1"/>
  <c r="JOK3" i="53" a="1"/>
  <c r="QUY3" i="53" a="1"/>
  <c r="LBQ3" i="53" a="1"/>
  <c r="WGU3" i="53" a="1"/>
  <c r="WIK3" i="53" a="1"/>
  <c r="DFL3" i="53" a="1"/>
  <c r="AOM3" i="53" a="1"/>
  <c r="FOA3" i="53" a="1"/>
  <c r="JEA3" i="53" a="1"/>
  <c r="LHH3" i="53" a="1"/>
  <c r="ZA3" i="53" a="1"/>
  <c r="LBC3" i="53" a="1"/>
  <c r="LKC3" i="53" a="1"/>
  <c r="HXT3" i="53" a="1"/>
  <c r="PCQ3" i="53" a="1"/>
  <c r="CLU3" i="53" a="1"/>
  <c r="OVA3" i="53" a="1"/>
  <c r="IVF3" i="53" a="1"/>
  <c r="CZM3" i="53" a="1"/>
  <c r="OHM3" i="53" a="1"/>
  <c r="VBW3" i="53" a="1"/>
  <c r="WKP3" i="53" a="1"/>
  <c r="KYO3" i="53" a="1"/>
  <c r="NWC3" i="53" a="1"/>
  <c r="WFF3" i="53" a="1"/>
  <c r="GPG3" i="53" a="1"/>
  <c r="MGN3" i="53" a="1"/>
  <c r="KOB3" i="53" a="1"/>
  <c r="WGF3" i="53" a="1"/>
  <c r="KUE3" i="53" a="1"/>
  <c r="KAB3" i="53" a="1"/>
  <c r="WOW3" i="53" a="1"/>
  <c r="GDK3" i="53" a="1"/>
  <c r="WHI3" i="53" a="1"/>
  <c r="HPT3" i="53" a="1"/>
  <c r="OBR3" i="53" a="1"/>
  <c r="FDO3" i="53" a="1"/>
  <c r="RUB3" i="53" a="1"/>
  <c r="AIO3" i="53" a="1"/>
  <c r="PIA3" i="53" a="1"/>
  <c r="DNZ3" i="53" a="1"/>
  <c r="RRT3" i="53" a="1"/>
  <c r="GOX3" i="53" a="1"/>
  <c r="TAP3" i="53" a="1"/>
  <c r="HCR3" i="53" a="1"/>
  <c r="NIN3" i="53" a="1"/>
  <c r="KDF3" i="53" a="1"/>
  <c r="IJK3" i="53" a="1"/>
  <c r="HYY3" i="53" a="1"/>
  <c r="RPZ3" i="53" a="1"/>
  <c r="EFH3" i="53" a="1"/>
  <c r="AND3" i="53" a="1"/>
  <c r="CHI3" i="53" a="1"/>
  <c r="VPT3" i="53" a="1"/>
  <c r="C56" i="4" a="1"/>
  <c r="BBB3" i="53" a="1"/>
  <c r="SBJ3" i="53" a="1"/>
  <c r="AMX3" i="53" a="1"/>
  <c r="UNZ3" i="53" a="1"/>
  <c r="KFE3" i="53" a="1"/>
  <c r="RZA3" i="53" a="1"/>
  <c r="CTM3" i="53" a="1"/>
  <c r="SNB3" i="53" a="1"/>
  <c r="TUE3" i="53" a="1"/>
  <c r="TSU3" i="53" a="1"/>
  <c r="PTB3" i="53" a="1"/>
  <c r="LZR3" i="53" a="1"/>
  <c r="OEU3" i="53" a="1"/>
  <c r="UAW3" i="53" a="1"/>
  <c r="VRH3" i="53" a="1"/>
  <c r="DBK3" i="53" a="1"/>
  <c r="KLG3" i="53" a="1"/>
  <c r="OHF3" i="53" a="1"/>
  <c r="RSO3" i="53" a="1"/>
  <c r="WYI3" i="53" a="1"/>
  <c r="NKM3" i="53" a="1"/>
  <c r="ULE3" i="53" a="1"/>
  <c r="HCS3" i="53" a="1"/>
  <c r="BYV3" i="53" a="1"/>
  <c r="PMD3" i="53" a="1"/>
  <c r="IGD3" i="53" a="1"/>
  <c r="WRD3" i="53" a="1"/>
  <c r="OHB3" i="53" a="1"/>
  <c r="FWM3" i="53" a="1"/>
  <c r="IHQ3" i="53" a="1"/>
  <c r="TZI3" i="53" a="1"/>
  <c r="NTJ3" i="53" a="1"/>
  <c r="SFW3" i="53" a="1"/>
  <c r="SMY3" i="53" a="1"/>
  <c r="WVG3" i="53" a="1"/>
  <c r="VIX3" i="53" a="1"/>
  <c r="HZT3" i="53" a="1"/>
  <c r="GZS3" i="53" a="1"/>
  <c r="QK3" i="53" a="1"/>
  <c r="QHZ3" i="53" a="1"/>
  <c r="GXB3" i="53" a="1"/>
  <c r="QZJ3" i="53" a="1"/>
  <c r="GKO3" i="53" a="1"/>
  <c r="LJN3" i="53" a="1"/>
  <c r="FSI3" i="53" a="1"/>
  <c r="WWG3" i="53" a="1"/>
  <c r="TUY3" i="53" a="1"/>
  <c r="JHA3" i="53" a="1"/>
  <c r="CUD3" i="53" a="1"/>
  <c r="JOF3" i="53" a="1"/>
  <c r="JJP3" i="53" a="1"/>
  <c r="SYB3" i="53" a="1"/>
  <c r="WPK3" i="53" a="1"/>
  <c r="PIC3" i="53" a="1"/>
  <c r="FNK3" i="53" a="1"/>
  <c r="XER3" i="53" a="1"/>
  <c r="NRY3" i="53" a="1"/>
  <c r="SBR3" i="53" a="1"/>
  <c r="OZZ3" i="53" a="1"/>
  <c r="QRR3" i="53" a="1"/>
  <c r="IRO3" i="53" a="1"/>
  <c r="UP3" i="53" a="1"/>
  <c r="CAI3" i="53" a="1"/>
  <c r="OKY3" i="53" a="1"/>
  <c r="JHV3" i="53" a="1"/>
  <c r="IGB3" i="53" a="1"/>
  <c r="AER3" i="53" a="1"/>
  <c r="LOL3" i="53" a="1"/>
  <c r="VKN3" i="53" a="1"/>
  <c r="JXQ3" i="53" a="1"/>
  <c r="RSY3" i="53" a="1"/>
  <c r="SJO3" i="53" a="1"/>
  <c r="MEF3" i="53" a="1"/>
  <c r="IEA3" i="53" a="1"/>
  <c r="HJE3" i="53" a="1"/>
  <c r="SSA3" i="53" a="1"/>
  <c r="PML3" i="53" a="1"/>
  <c r="NCE3" i="53" a="1"/>
  <c r="CBB3" i="53" a="1"/>
  <c r="MTH3" i="53" a="1"/>
  <c r="HFQ3" i="53" a="1"/>
  <c r="MZS3" i="53" a="1"/>
  <c r="ULQ3" i="53" a="1"/>
  <c r="KSK3" i="53" a="1"/>
  <c r="E22" i="31" a="1"/>
  <c r="VTK3" i="53" a="1"/>
  <c r="DAO3" i="53" a="1"/>
  <c r="LWY3" i="53" a="1"/>
  <c r="QFT3" i="53" a="1"/>
  <c r="FKC3" i="53" a="1"/>
  <c r="DEW3" i="53" a="1"/>
  <c r="SAJ3" i="53" a="1"/>
  <c r="ULY3" i="53" a="1"/>
  <c r="EYX3" i="53" a="1"/>
  <c r="SNJ3" i="53" a="1"/>
  <c r="HAU3" i="53" a="1"/>
  <c r="RCJ3" i="53" a="1"/>
  <c r="NGG3" i="53" a="1"/>
  <c r="GHP3" i="53" a="1"/>
  <c r="XBV3" i="53" a="1"/>
  <c r="KJR3" i="53" a="1"/>
  <c r="FRG3" i="53" a="1"/>
  <c r="BAE3" i="53" a="1"/>
  <c r="OBV3" i="53" a="1"/>
  <c r="TBT3" i="53" a="1"/>
  <c r="THS3" i="53" a="1"/>
  <c r="EMO3" i="53" a="1"/>
  <c r="LBD3" i="53" a="1"/>
  <c r="VYF3" i="53" a="1"/>
  <c r="DHV3" i="53" a="1"/>
  <c r="QRL3" i="53" a="1"/>
  <c r="UEO3" i="53" a="1"/>
  <c r="JMM3" i="53" a="1"/>
  <c r="JMH3" i="53" a="1"/>
  <c r="EJE3" i="53" a="1"/>
  <c r="TIQ3" i="53" a="1"/>
  <c r="VKU3" i="53" a="1"/>
  <c r="TVA3" i="53" a="1"/>
  <c r="DXP3" i="53" a="1"/>
  <c r="GVU3" i="53" a="1"/>
  <c r="TVW3" i="53" a="1"/>
  <c r="FEV3" i="53" a="1"/>
  <c r="QBS3" i="53" a="1"/>
  <c r="IYO3" i="53" a="1"/>
  <c r="CCC3" i="53" a="1"/>
  <c r="LKX3" i="53" a="1"/>
  <c r="PBG3" i="53" a="1"/>
  <c r="BKA3" i="53" a="1"/>
  <c r="WJ3" i="53" a="1"/>
  <c r="DAK3" i="53" a="1"/>
  <c r="HDX3" i="53" a="1"/>
  <c r="EYN3" i="53" a="1"/>
  <c r="TXQ3" i="53" a="1"/>
  <c r="JIP3" i="53" a="1"/>
  <c r="WBR3" i="53" a="1"/>
  <c r="LLX3" i="53" a="1"/>
  <c r="TPJ3" i="53" a="1"/>
  <c r="IBA3" i="53" a="1"/>
  <c r="DPZ3" i="53" a="1"/>
  <c r="ICE3" i="53" a="1"/>
  <c r="ABE3" i="53" a="1"/>
  <c r="FFS3" i="53" a="1"/>
  <c r="VTQ3" i="53" a="1"/>
  <c r="VUC3" i="53" a="1"/>
  <c r="TJO3" i="53" a="1"/>
  <c r="HSC3" i="53" a="1"/>
  <c r="RPR3" i="53" a="1"/>
  <c r="PQC3" i="53" a="1"/>
  <c r="QAN3" i="53" a="1"/>
  <c r="KBW3" i="53" a="1"/>
  <c r="ELZ3" i="53" a="1"/>
  <c r="IWL3" i="53" a="1"/>
  <c r="KNP3" i="53" a="1"/>
  <c r="HVD3" i="53" a="1"/>
  <c r="VUQ3" i="53" a="1"/>
  <c r="UPC3" i="53" a="1"/>
  <c r="FVF3" i="53" a="1"/>
  <c r="HZI3" i="53" a="1"/>
  <c r="FV3" i="53" a="1"/>
  <c r="UHM3" i="53" a="1"/>
  <c r="UCW3" i="53" a="1"/>
  <c r="KUI3" i="53" a="1"/>
  <c r="OVI3" i="53" a="1"/>
  <c r="AIT3" i="53" a="1"/>
  <c r="ITJ3" i="53" a="1"/>
  <c r="TKI3" i="53" a="1"/>
  <c r="SIL3" i="53" a="1"/>
  <c r="LVY3" i="53" a="1"/>
  <c r="FFM3" i="53" a="1"/>
  <c r="OGG3" i="53" a="1"/>
  <c r="QGO3" i="53" a="1"/>
  <c r="KEP3" i="53" a="1"/>
  <c r="KJX3" i="53" a="1"/>
  <c r="ACY3" i="53" a="1"/>
  <c r="FWS3" i="53" a="1"/>
  <c r="E10" i="31" a="1"/>
  <c r="JBU3" i="53" a="1"/>
  <c r="QVJ3" i="53" a="1"/>
  <c r="DYV3" i="53" a="1"/>
  <c r="NOC3" i="53" a="1"/>
  <c r="FYI3" i="53" a="1"/>
  <c r="UZA3" i="53" a="1"/>
  <c r="TXV3" i="53" a="1"/>
  <c r="QVZ3" i="53" a="1"/>
  <c r="KXO3" i="53" a="1"/>
  <c r="DFF3" i="53" a="1"/>
  <c r="GHW3" i="53" a="1"/>
  <c r="OFC3" i="53" a="1"/>
  <c r="HHH3" i="53" a="1"/>
  <c r="LQK3" i="53" a="1"/>
  <c r="HRA3" i="53" a="1"/>
  <c r="WWE3" i="53" a="1"/>
  <c r="UNQ3" i="53" a="1"/>
  <c r="RLT3" i="53" a="1"/>
  <c r="GYK3" i="53" a="1"/>
  <c r="FBC3" i="53" a="1"/>
  <c r="KJN3" i="53" a="1"/>
  <c r="POZ3" i="53" a="1"/>
  <c r="KQR3" i="53" a="1"/>
  <c r="JYY3" i="53" a="1"/>
  <c r="IBY3" i="53" a="1"/>
  <c r="QJM3" i="53" a="1"/>
  <c r="ESA3" i="53" a="1"/>
  <c r="QNA3" i="53" a="1"/>
  <c r="EDZ3" i="53" a="1"/>
  <c r="CYT3" i="53" a="1"/>
  <c r="EAS3" i="53" a="1"/>
  <c r="HWL3" i="53" a="1"/>
  <c r="QVO3" i="53" a="1"/>
  <c r="KRF3" i="53" a="1"/>
  <c r="NPH3" i="53" a="1"/>
  <c r="PZD3" i="53" a="1"/>
  <c r="KEJ3" i="53" a="1"/>
  <c r="QGU3" i="53" a="1"/>
  <c r="ELI3" i="53" a="1"/>
  <c r="GKF3" i="53" a="1"/>
  <c r="LII3" i="53" a="1"/>
  <c r="QCZ3" i="53" a="1"/>
  <c r="LDD3" i="53" a="1"/>
  <c r="UEK3" i="53" a="1"/>
  <c r="EZD3" i="53" a="1"/>
  <c r="PCF3" i="53" a="1"/>
  <c r="GXM3" i="53" a="1"/>
  <c r="AJZ3" i="53" a="1"/>
  <c r="ENP3" i="53" a="1"/>
  <c r="FXF3" i="53" a="1"/>
  <c r="GWU3" i="53" a="1"/>
  <c r="SUO3" i="53" a="1"/>
  <c r="ESO3" i="53" a="1"/>
  <c r="QBZ3" i="53" a="1"/>
  <c r="KFA3" i="53" a="1"/>
  <c r="CAL3" i="53" a="1"/>
  <c r="E60" i="4" a="1"/>
  <c r="ILI3" i="53" a="1"/>
  <c r="PEQ3" i="53" a="1"/>
  <c r="QRH3" i="53" a="1"/>
  <c r="GXP3" i="53" a="1"/>
  <c r="TIN3" i="53" a="1"/>
  <c r="AXV3" i="53" a="1"/>
  <c r="SGL3" i="53" a="1"/>
  <c r="ICS3" i="53" a="1"/>
  <c r="TTK3" i="53" a="1"/>
  <c r="BPP3" i="53" a="1"/>
  <c r="GAC3" i="53" a="1"/>
  <c r="KCS3" i="53" a="1"/>
  <c r="UQG3" i="53" a="1"/>
  <c r="WRM3" i="53" a="1"/>
  <c r="ECJ3" i="53" a="1"/>
  <c r="IPH3" i="53" a="1"/>
  <c r="HSB3" i="53" a="1"/>
  <c r="SGV3" i="53" a="1"/>
  <c r="TKC3" i="53" a="1"/>
  <c r="EMQ3" i="53" a="1"/>
  <c r="VKO3" i="53" a="1"/>
  <c r="HQU3" i="53" a="1"/>
  <c r="QFN3" i="53" a="1"/>
  <c r="TFV3" i="53" a="1"/>
  <c r="FTI3" i="53" a="1"/>
  <c r="BRN3" i="53" a="1"/>
  <c r="HGO3" i="53" a="1"/>
  <c r="NXJ3" i="53" a="1"/>
  <c r="SFH3" i="53" a="1"/>
  <c r="HGV3" i="53" a="1"/>
  <c r="SOU3" i="53" a="1"/>
  <c r="GVL3" i="53" a="1"/>
  <c r="HXN3" i="53" a="1"/>
  <c r="PTS3" i="53" a="1"/>
  <c r="WMK3" i="53" a="1"/>
  <c r="XCT3" i="53" a="1"/>
  <c r="LLV3" i="53" a="1"/>
  <c r="AXG3" i="53" a="1"/>
  <c r="CQL3" i="53" a="1"/>
  <c r="CQD3" i="53" a="1"/>
  <c r="BUZ3" i="53" a="1"/>
  <c r="KLA3" i="53" a="1"/>
  <c r="GL3" i="53" a="1"/>
  <c r="E9" i="31" a="1"/>
  <c r="RLX3" i="53" a="1"/>
  <c r="LVJ3" i="53" a="1"/>
  <c r="IZR3" i="53" a="1"/>
  <c r="GIS3" i="53" a="1"/>
  <c r="BLL3" i="53" a="1"/>
  <c r="XCB3" i="53" a="1"/>
  <c r="SEO3" i="53" a="1"/>
  <c r="VFS3" i="53" a="1"/>
  <c r="HJZ3" i="53" a="1"/>
  <c r="OOE3" i="53" a="1"/>
  <c r="BAP3" i="53" a="1"/>
  <c r="XBA3" i="53" a="1"/>
  <c r="CNX3" i="53" a="1"/>
  <c r="TYE3" i="53" a="1"/>
  <c r="JHC3" i="53" a="1"/>
  <c r="FRV3" i="53" a="1"/>
  <c r="CEJ3" i="53" a="1"/>
  <c r="HWE3" i="53" a="1"/>
  <c r="DBI3" i="53" a="1"/>
  <c r="MJK3" i="53" a="1"/>
  <c r="TZX3" i="53" a="1"/>
  <c r="GKI3" i="53" a="1"/>
  <c r="PPK3" i="53" a="1"/>
  <c r="OBU3" i="53" a="1"/>
  <c r="ULT3" i="53" a="1"/>
  <c r="PZE3" i="53" a="1"/>
  <c r="IZQ3" i="53" a="1"/>
  <c r="SRT3" i="53" a="1"/>
  <c r="FJO3" i="53" a="1"/>
  <c r="NCT3" i="53" a="1"/>
  <c r="SNP3" i="53" a="1"/>
  <c r="TUK3" i="53" a="1"/>
  <c r="BRR3" i="53" a="1"/>
  <c r="WMJ3" i="53" a="1"/>
  <c r="JLU3" i="53" a="1"/>
  <c r="MKG3" i="53" a="1"/>
  <c r="KQW3" i="53" a="1"/>
  <c r="QOY3" i="53" a="1"/>
  <c r="DOW3" i="53" a="1"/>
  <c r="IYT3" i="53" a="1"/>
  <c r="BWL3" i="53" a="1"/>
  <c r="AGH3" i="53" a="1"/>
  <c r="VJY3" i="53" a="1"/>
  <c r="LFN3" i="53" a="1"/>
  <c r="ANO3" i="53" a="1"/>
  <c r="IAS3" i="53" a="1"/>
  <c r="SME3" i="53" a="1"/>
  <c r="C3" i="57" a="1"/>
  <c r="PLZ3" i="53" a="1"/>
  <c r="TWV3" i="53" a="1"/>
  <c r="VND3" i="53" a="1"/>
  <c r="KBL3" i="53" a="1"/>
  <c r="NVA3" i="53" a="1"/>
  <c r="JZI3" i="53" a="1"/>
  <c r="QUS3" i="53" a="1"/>
  <c r="LPB3" i="53" a="1"/>
  <c r="UMC3" i="53" a="1"/>
  <c r="FBE3" i="53" a="1"/>
  <c r="DPK3" i="53" a="1"/>
  <c r="NFE3" i="53" a="1"/>
  <c r="RBX3" i="53" a="1"/>
  <c r="AJX3" i="53" a="1"/>
  <c r="ALY3" i="53" a="1"/>
  <c r="BYY3" i="53" a="1"/>
  <c r="HHE3" i="53" a="1"/>
  <c r="ENQ3" i="53" a="1"/>
  <c r="LOK3" i="53" a="1"/>
  <c r="WUT3" i="53" a="1"/>
  <c r="BVH3" i="53" a="1"/>
  <c r="ECC3" i="53" a="1"/>
  <c r="JHG3" i="53" a="1"/>
  <c r="BPY3" i="53" a="1"/>
  <c r="TPP3" i="53" a="1"/>
  <c r="IWE3" i="53" a="1"/>
  <c r="VIO3" i="53" a="1"/>
  <c r="HQM3" i="53" a="1"/>
  <c r="PLB3" i="53" a="1"/>
  <c r="AUB3" i="53" a="1"/>
  <c r="BUK3" i="53" a="1"/>
  <c r="AMD3" i="53" a="1"/>
  <c r="QUU3" i="53" a="1"/>
  <c r="BUU3" i="53" a="1"/>
  <c r="WTV3" i="53" a="1"/>
  <c r="LQL3" i="53" a="1"/>
  <c r="D3" i="52" a="1"/>
  <c r="JLX3" i="53" a="1"/>
  <c r="MDH3" i="53" a="1"/>
  <c r="HQI3" i="53" a="1"/>
  <c r="JYU3" i="53" a="1"/>
  <c r="UPY3" i="53" a="1"/>
  <c r="VME3" i="53" a="1"/>
  <c r="DHW3" i="53" a="1"/>
  <c r="SPS3" i="53" a="1"/>
  <c r="IVO3" i="53" a="1"/>
  <c r="OMT3" i="53" a="1"/>
  <c r="AXL3" i="53" a="1"/>
  <c r="DNW3" i="53" a="1"/>
  <c r="ONZ3" i="53" a="1"/>
  <c r="BCP3" i="53" a="1"/>
  <c r="DFO3" i="53" a="1"/>
  <c r="BMQ3" i="53" a="1"/>
  <c r="PDF3" i="53" a="1"/>
  <c r="KUC3" i="53" a="1"/>
  <c r="TVT3" i="53" a="1"/>
  <c r="TCM3" i="53" a="1"/>
  <c r="LDV3" i="53" a="1"/>
  <c r="WOA3" i="53" a="1"/>
  <c r="ARM3" i="53" a="1"/>
  <c r="UGD3" i="53" a="1"/>
  <c r="HQS3" i="53" a="1"/>
  <c r="ES3" i="53" a="1"/>
  <c r="CDA3" i="53" a="1"/>
  <c r="FAN3" i="53" a="1"/>
  <c r="UXK3" i="53" a="1"/>
  <c r="MTR3" i="53" a="1"/>
  <c r="BOX3" i="53" a="1"/>
  <c r="POX3" i="53" a="1"/>
  <c r="GMY3" i="53" a="1"/>
  <c r="LCY3" i="53" a="1"/>
  <c r="MGM3" i="53" a="1"/>
  <c r="LZH3" i="53" a="1"/>
  <c r="LUO3" i="53" a="1"/>
  <c r="NRL3" i="53" a="1"/>
  <c r="TVF3" i="53" a="1"/>
  <c r="EXV3" i="53" a="1"/>
  <c r="ENI3" i="53" a="1"/>
  <c r="C3" i="52" a="1"/>
  <c r="BFA3" i="53" a="1"/>
  <c r="LHP3" i="53" a="1"/>
  <c r="FWR3" i="53" a="1"/>
  <c r="USG3" i="53" a="1"/>
  <c r="KLC3" i="53" a="1"/>
  <c r="TSP3" i="53" a="1"/>
  <c r="OEM3" i="53" a="1"/>
  <c r="C25" i="40" a="1"/>
  <c r="MMC3" i="53" a="1"/>
  <c r="IKD3" i="53" a="1"/>
  <c r="ICA3" i="53" a="1"/>
  <c r="KXH3" i="53" a="1"/>
  <c r="TZQ3" i="53" a="1"/>
  <c r="FJE3" i="53" a="1"/>
  <c r="QR3" i="53" a="1"/>
  <c r="HYB3" i="53" a="1"/>
  <c r="DVU3" i="53" a="1"/>
  <c r="VMP3" i="53" a="1"/>
  <c r="CVG3" i="53" a="1"/>
  <c r="LJU3" i="53" a="1"/>
  <c r="JYF3" i="53" a="1"/>
  <c r="IHY3" i="53" a="1"/>
  <c r="UOI3" i="53" a="1"/>
  <c r="QIW3" i="53" a="1"/>
  <c r="UFN3" i="53" a="1"/>
  <c r="POY3" i="53" a="1"/>
  <c r="MAV3" i="53" a="1"/>
  <c r="PYG3" i="53" a="1"/>
  <c r="CLV3" i="53" a="1"/>
  <c r="HGN3" i="53" a="1"/>
  <c r="EAP3" i="53" a="1"/>
  <c r="WRT3" i="53" a="1"/>
  <c r="WQV3" i="53" a="1"/>
  <c r="OHW3" i="53" a="1"/>
  <c r="INE3" i="53" a="1"/>
  <c r="RKH3" i="53" a="1"/>
  <c r="JKS3" i="53" a="1"/>
  <c r="TOT3" i="53" a="1"/>
  <c r="TFP3" i="53" a="1"/>
  <c r="UAY3" i="53" a="1"/>
  <c r="MXH3" i="53" a="1"/>
  <c r="TIV3" i="53" a="1"/>
  <c r="WAY3" i="53" a="1"/>
  <c r="EEC3" i="53" a="1"/>
  <c r="FDX3" i="53" a="1"/>
  <c r="HO3" i="53" a="1"/>
  <c r="AC3" i="53" a="1"/>
  <c r="GBV3" i="53" a="1"/>
  <c r="LTH3" i="53" a="1"/>
  <c r="JNK3" i="53" a="1"/>
  <c r="GXS3" i="53" a="1"/>
  <c r="RGR3" i="53" a="1"/>
  <c r="IOT3" i="53" a="1"/>
  <c r="EAE3" i="53" a="1"/>
  <c r="WWX3" i="53" a="1"/>
  <c r="OGP3" i="53" a="1"/>
  <c r="APN3" i="53" a="1"/>
  <c r="CKP3" i="53" a="1"/>
  <c r="IMM3" i="53" a="1"/>
  <c r="HSN3" i="53" a="1"/>
  <c r="JTD3" i="53" a="1"/>
  <c r="CUZ3" i="53" a="1"/>
  <c r="DDV3" i="53" a="1"/>
  <c r="IBV3" i="53" a="1"/>
  <c r="JGK3" i="53" a="1"/>
  <c r="QDO3" i="53" a="1"/>
  <c r="MJR3" i="53" a="1"/>
  <c r="IRC3" i="53" a="1"/>
  <c r="MDZ3" i="53" a="1"/>
  <c r="XBD3" i="53" a="1"/>
  <c r="ROZ3" i="53" a="1"/>
  <c r="JIB3" i="53" a="1"/>
  <c r="KEY3" i="53" a="1"/>
  <c r="RMD3" i="53" a="1"/>
  <c r="HJN3" i="53" a="1"/>
  <c r="ESZ3" i="53" a="1"/>
  <c r="LBJ3" i="53" a="1"/>
  <c r="UTR3" i="53" a="1"/>
  <c r="OHG3" i="53" a="1"/>
  <c r="UNC3" i="53" a="1"/>
  <c r="JRI3" i="53" a="1"/>
  <c r="ESC3" i="53" a="1"/>
  <c r="FIU3" i="53" a="1"/>
  <c r="ISE3" i="53" a="1"/>
  <c r="SLQ3" i="53" a="1"/>
  <c r="IBG3" i="53" a="1"/>
  <c r="GAW3" i="53" a="1"/>
  <c r="MJW3" i="53" a="1"/>
  <c r="L3" i="53" a="1"/>
  <c r="CY3" i="53" a="1"/>
  <c r="JCO3" i="53" a="1"/>
  <c r="BRX3" i="53" a="1"/>
  <c r="JUO3" i="53" a="1"/>
  <c r="MZG3" i="53" a="1"/>
  <c r="KVS3" i="53" a="1"/>
  <c r="HRS3" i="53" a="1"/>
  <c r="RAM3" i="53" a="1"/>
  <c r="QCI3" i="53" a="1"/>
  <c r="SMG3" i="53" a="1"/>
  <c r="WKN3" i="53" a="1"/>
  <c r="OVQ3" i="53" a="1"/>
  <c r="DVJ3" i="53" a="1"/>
  <c r="VFW3" i="53" a="1"/>
  <c r="ICR3" i="53" a="1"/>
  <c r="OHL3" i="53" a="1"/>
  <c r="SM3" i="53" a="1"/>
  <c r="TRT3" i="53" a="1"/>
  <c r="FJG3" i="53" a="1"/>
  <c r="HSP3" i="53" a="1"/>
  <c r="RLG3" i="53" a="1"/>
  <c r="BKX3" i="53" a="1"/>
  <c r="LAS3" i="53" a="1"/>
  <c r="OPF3" i="53" a="1"/>
  <c r="HKU3" i="53" a="1"/>
  <c r="PIK3" i="53" a="1"/>
  <c r="PTQ3" i="53" a="1"/>
  <c r="WOK3" i="53" a="1"/>
  <c r="WEE3" i="53" a="1"/>
  <c r="DMK3" i="53" a="1"/>
  <c r="WLF3" i="53" a="1"/>
  <c r="RBH3" i="53" a="1"/>
  <c r="ARS3" i="53" a="1"/>
  <c r="MWQ3" i="53" a="1"/>
  <c r="MVH3" i="53" a="1"/>
  <c r="DUR3" i="53" a="1"/>
  <c r="SGR3" i="53" a="1"/>
  <c r="WQT3" i="53" a="1"/>
  <c r="NGM3" i="53" a="1"/>
  <c r="LFE3" i="53" a="1"/>
  <c r="UIN3" i="53" a="1"/>
  <c r="PRX3" i="53" a="1"/>
  <c r="FVP3" i="53" a="1"/>
  <c r="SMP3" i="53" a="1"/>
  <c r="SIN3" i="53" a="1"/>
  <c r="LGJ3" i="53" a="1"/>
  <c r="FUY3" i="53" a="1"/>
  <c r="C3" i="20" a="1"/>
  <c r="IWK3" i="53" a="1"/>
  <c r="AHW3" i="53" a="1"/>
  <c r="QDX3" i="53" a="1"/>
  <c r="VED3" i="53" a="1"/>
  <c r="IXA3" i="53" a="1"/>
  <c r="OHY3" i="53" a="1"/>
  <c r="HRD3" i="53" a="1"/>
  <c r="BQX3" i="53" a="1"/>
  <c r="GIQ3" i="53" a="1"/>
  <c r="HEG3" i="53" a="1"/>
  <c r="SIZ3" i="53" a="1"/>
  <c r="JOP3" i="53" a="1"/>
  <c r="EO3" i="53" a="1"/>
  <c r="EEJ3" i="53" a="1"/>
  <c r="SIF3" i="53" a="1"/>
  <c r="IWY3" i="53" a="1"/>
  <c r="TIO3" i="53" a="1"/>
  <c r="KDE3" i="53" a="1"/>
  <c r="NTS3" i="53" a="1"/>
  <c r="OBI3" i="53" a="1"/>
  <c r="K3" i="2" a="1"/>
  <c r="HIE3" i="53" a="1"/>
  <c r="LLC3" i="53" a="1"/>
  <c r="UJ3" i="53" a="1"/>
  <c r="B3" i="47" a="1"/>
  <c r="FQS3" i="53" a="1"/>
  <c r="QKR3" i="53" a="1"/>
  <c r="WGQ3" i="53" a="1"/>
  <c r="HJD3" i="53" a="1"/>
  <c r="FFN3" i="53" a="1"/>
  <c r="UNA3" i="53" a="1"/>
  <c r="FNX3" i="53" a="1"/>
  <c r="OPQ3" i="53" a="1"/>
  <c r="VFF3" i="53" a="1"/>
  <c r="AFU3" i="53" a="1"/>
  <c r="RRC3" i="53" a="1"/>
  <c r="QJX3" i="53" a="1"/>
  <c r="QQH3" i="53" a="1"/>
  <c r="LKD3" i="53" a="1"/>
  <c r="QJU3" i="53" a="1"/>
  <c r="GYR3" i="53" a="1"/>
  <c r="LIV3" i="53" a="1"/>
  <c r="QZF3" i="53" a="1"/>
  <c r="PBV3" i="53" a="1"/>
  <c r="TAO3" i="53" a="1"/>
  <c r="DPI3" i="53" a="1"/>
  <c r="TBS3" i="53" a="1"/>
  <c r="PLU3" i="53" a="1"/>
  <c r="UVR3" i="53" a="1"/>
  <c r="C39" i="53" a="1"/>
  <c r="GYM3" i="53" a="1"/>
  <c r="EJW3" i="53" a="1"/>
  <c r="MQC3" i="53" a="1"/>
  <c r="MWU3" i="53" a="1"/>
  <c r="PEJ3" i="53" a="1"/>
  <c r="EBU3" i="53" a="1"/>
  <c r="VPY3" i="53" a="1"/>
  <c r="CEZ3" i="53" a="1"/>
  <c r="AZK3" i="53" a="1"/>
  <c r="TFF3" i="53" a="1"/>
  <c r="QCK3" i="53" a="1"/>
  <c r="GAH3" i="53" a="1"/>
  <c r="LXC3" i="53" a="1"/>
  <c r="TNT3" i="53" a="1"/>
  <c r="OOC3" i="53" a="1"/>
  <c r="HFA3" i="53" a="1"/>
  <c r="FRU3" i="53" a="1"/>
  <c r="RRO3" i="53" a="1"/>
  <c r="FSB3" i="53" a="1"/>
  <c r="FBG3" i="53" a="1"/>
  <c r="COB3" i="53" a="1"/>
  <c r="WCP3" i="53" a="1"/>
  <c r="IFJ3" i="53" a="1"/>
  <c r="KWR3" i="53" a="1"/>
  <c r="UIZ3" i="53" a="1"/>
  <c r="RZX3" i="53" a="1"/>
  <c r="GTR3" i="53" a="1"/>
  <c r="VIM3" i="53" a="1"/>
  <c r="MKU3" i="53" a="1"/>
  <c r="IRB3" i="53" a="1"/>
  <c r="EEV3" i="53" a="1"/>
  <c r="PKQ3" i="53" a="1"/>
  <c r="GDV3" i="53" a="1"/>
  <c r="LUP3" i="53" a="1"/>
  <c r="TUA3" i="53" a="1"/>
  <c r="HF3" i="53" a="1"/>
  <c r="MZI3" i="53" a="1"/>
  <c r="NAZ3" i="53" a="1"/>
  <c r="EXC3" i="53" a="1"/>
  <c r="OJL3" i="53" a="1"/>
  <c r="GVZ3" i="53" a="1"/>
  <c r="WCT3" i="53" a="1"/>
  <c r="QNP3" i="53" a="1"/>
  <c r="IQQ3" i="53" a="1"/>
  <c r="HQ3" i="53" a="1"/>
  <c r="RGQ3" i="53" a="1"/>
  <c r="AVH3" i="53" a="1"/>
  <c r="B3" i="15" a="1"/>
  <c r="HYF3" i="53" a="1"/>
  <c r="OPP3" i="53" a="1"/>
  <c r="MXZ3" i="53" a="1"/>
  <c r="RFG3" i="53" a="1"/>
  <c r="FJS3" i="53" a="1"/>
  <c r="E3" i="34" a="1"/>
  <c r="UVX3" i="53" a="1"/>
  <c r="ETO3" i="53" a="1"/>
  <c r="FFB3" i="53" a="1"/>
  <c r="NFB3" i="53" a="1"/>
  <c r="RSS3" i="53" a="1"/>
  <c r="RJU3" i="53" a="1"/>
  <c r="QEA3" i="53" a="1"/>
  <c r="TAH3" i="53" a="1"/>
  <c r="OJO3" i="53" a="1"/>
  <c r="SU3" i="53" a="1"/>
  <c r="FLX3" i="53" a="1"/>
  <c r="FEX3" i="53" a="1"/>
  <c r="CKN3" i="53" a="1"/>
  <c r="FRA3" i="53" a="1"/>
  <c r="LDT3" i="53" a="1"/>
  <c r="RBT3" i="53" a="1"/>
  <c r="IJU3" i="53" a="1"/>
  <c r="RPC3" i="53" a="1"/>
  <c r="LRV3" i="53" a="1"/>
  <c r="ELY3" i="53" a="1"/>
  <c r="FIB3" i="53" a="1"/>
  <c r="I3" i="15" a="1"/>
  <c r="D3" i="2" a="1"/>
  <c r="DNV3" i="53" a="1"/>
  <c r="MXV3" i="53" a="1"/>
  <c r="DQW3" i="53" a="1"/>
  <c r="NKL3" i="53" a="1"/>
  <c r="CWV3" i="53" a="1"/>
  <c r="CYE3" i="53" a="1"/>
  <c r="HTC3" i="53" a="1"/>
  <c r="HTZ3" i="53" a="1"/>
  <c r="FKE3" i="53" a="1"/>
  <c r="RUE3" i="53" a="1"/>
  <c r="LQP3" i="53" a="1"/>
  <c r="MSE3" i="53" a="1"/>
  <c r="GHY3" i="53" a="1"/>
  <c r="DTU3" i="53" a="1"/>
  <c r="GOY3" i="53" a="1"/>
  <c r="FOF3" i="53" a="1"/>
  <c r="NOF3" i="53" a="1"/>
  <c r="TAX3" i="53" a="1"/>
  <c r="WKH3" i="53" a="1"/>
  <c r="KBZ3" i="53" a="1"/>
  <c r="EJO3" i="53" a="1"/>
  <c r="FSM3" i="53" a="1"/>
  <c r="IMA3" i="53" a="1"/>
  <c r="HAH3" i="53" a="1"/>
  <c r="IWI3" i="53" a="1"/>
  <c r="QQI3" i="53" a="1"/>
  <c r="TSI3" i="53" a="1"/>
  <c r="VFB3" i="53" a="1"/>
  <c r="LXN3" i="53" a="1"/>
  <c r="RUC3" i="53" a="1"/>
  <c r="IV3" i="53" a="1"/>
  <c r="JCS3" i="53" a="1"/>
  <c r="HCU3" i="53" a="1"/>
  <c r="HDI3" i="53" a="1"/>
  <c r="NLJ3" i="53" a="1"/>
  <c r="CAD3" i="53" a="1"/>
  <c r="STV3" i="53" a="1"/>
  <c r="QYS3" i="53" a="1"/>
  <c r="JVN3" i="53" a="1"/>
  <c r="VZP3" i="53" a="1"/>
  <c r="JTH3" i="53" a="1"/>
  <c r="KJF3" i="53" a="1"/>
  <c r="GNI3" i="53" a="1"/>
  <c r="FQD3" i="53" a="1"/>
  <c r="TOY3" i="53" a="1"/>
  <c r="TKN3" i="53" a="1"/>
  <c r="TIU3" i="53" a="1"/>
  <c r="TJZ3" i="53" a="1"/>
  <c r="QAF3" i="53" a="1"/>
  <c r="PFP3" i="53" a="1"/>
  <c r="DON3" i="53" a="1"/>
  <c r="IEU3" i="53" a="1"/>
  <c r="KTE3" i="53" a="1"/>
  <c r="VGO3" i="53" a="1"/>
  <c r="IFO3" i="53" a="1"/>
  <c r="ALA3" i="53" a="1"/>
  <c r="VGT3" i="53" a="1"/>
  <c r="ONC3" i="53" a="1"/>
  <c r="WWM3" i="53" a="1"/>
  <c r="BUG3" i="53" a="1"/>
  <c r="RKM3" i="53" a="1"/>
  <c r="UYM3" i="53" a="1"/>
  <c r="MYY3" i="53" a="1"/>
  <c r="F3" i="34" a="1"/>
  <c r="NNJ3" i="53" a="1"/>
  <c r="HJV3" i="53" a="1"/>
  <c r="NFO3" i="53" a="1"/>
  <c r="NLF3" i="53" a="1"/>
  <c r="PUC3" i="53" a="1"/>
  <c r="CVH3" i="53" a="1"/>
  <c r="AED3" i="53" a="1"/>
  <c r="MWA3" i="53" a="1"/>
  <c r="VGR3" i="53" a="1"/>
  <c r="MWI3" i="53" a="1"/>
  <c r="C22" i="59" a="1"/>
  <c r="UQM3" i="53" a="1"/>
  <c r="NSJ3" i="53" a="1"/>
  <c r="HPU3" i="53" a="1"/>
  <c r="WLO3" i="53" a="1"/>
  <c r="PAQ3" i="53" a="1"/>
  <c r="RUK3" i="53" a="1"/>
  <c r="C23" i="40" a="1"/>
  <c r="DDB3" i="53" a="1"/>
  <c r="MHR3" i="53" a="1"/>
  <c r="ITN3" i="53" a="1"/>
  <c r="SOH3" i="53" a="1"/>
  <c r="RQL3" i="53" a="1"/>
  <c r="E43" i="4" a="1"/>
  <c r="JQW3" i="53" a="1"/>
  <c r="HFG3" i="53" a="1"/>
  <c r="PTN3" i="53" a="1"/>
  <c r="MDN3" i="53" a="1"/>
  <c r="KRV3" i="53" a="1"/>
  <c r="HFE3" i="53" a="1"/>
  <c r="DOR3" i="53" a="1"/>
  <c r="BOI3" i="53" a="1"/>
  <c r="C51" i="53" a="1"/>
  <c r="TDQ3" i="53" a="1"/>
  <c r="IEF3" i="53" a="1"/>
  <c r="CZA3" i="53" a="1"/>
  <c r="NDW3" i="53" a="1"/>
  <c r="IVM3" i="53" a="1"/>
  <c r="KLB3" i="53" a="1"/>
  <c r="VKA3" i="53" a="1"/>
  <c r="MJY3" i="53" a="1"/>
  <c r="NSK3" i="53" a="1"/>
  <c r="NMU3" i="53" a="1"/>
  <c r="RMH3" i="53" a="1"/>
  <c r="FSP3" i="53" a="1"/>
  <c r="RWS3" i="53" a="1"/>
  <c r="MBT3" i="53" a="1"/>
  <c r="KOO3" i="53" a="1"/>
  <c r="QMC3" i="53" a="1"/>
  <c r="MRS3" i="53" a="1"/>
  <c r="NLY3" i="53" a="1"/>
  <c r="EPQ3" i="53" a="1"/>
  <c r="WHG3" i="53" a="1"/>
  <c r="UE3" i="53" a="1"/>
  <c r="JSR3" i="53" a="1"/>
  <c r="IJV3" i="53" a="1"/>
  <c r="PFO3" i="53" a="1"/>
  <c r="IFT3" i="53" a="1"/>
  <c r="HKT3" i="53" a="1"/>
  <c r="PIF3" i="53" a="1"/>
  <c r="RIO3" i="53" a="1"/>
  <c r="ZM3" i="53" a="1"/>
  <c r="CDL3" i="53" a="1"/>
  <c r="AL3" i="53" a="1"/>
  <c r="QDF3" i="53" a="1"/>
  <c r="TCR3" i="53" a="1"/>
  <c r="C33" i="4" a="1"/>
  <c r="BKC3" i="53" a="1"/>
  <c r="MRA3" i="53" a="1"/>
  <c r="MCX3" i="53" a="1"/>
  <c r="JXY3" i="53" a="1"/>
  <c r="UVM3" i="53" a="1"/>
  <c r="B3" i="62" a="1"/>
  <c r="FWY3" i="53" a="1"/>
  <c r="WSY3" i="53" a="1"/>
  <c r="LWX3" i="53" a="1"/>
  <c r="VJD3" i="53" a="1"/>
  <c r="VDF3" i="53" a="1"/>
  <c r="MDA3" i="53" a="1"/>
  <c r="ND3" i="53" a="1"/>
  <c r="DAU3" i="53" a="1"/>
  <c r="HYQ3" i="53" a="1"/>
  <c r="VFN3" i="53" a="1"/>
  <c r="EEI3" i="53" a="1"/>
  <c r="HYW3" i="53" a="1"/>
  <c r="KNE3" i="53" a="1"/>
  <c r="PR3" i="53" a="1"/>
  <c r="TLQ3" i="53" a="1"/>
  <c r="WTE3" i="53" a="1"/>
  <c r="RXQ3" i="53" a="1"/>
  <c r="LHT3" i="53" a="1"/>
  <c r="ISU3" i="53" a="1"/>
  <c r="NTE3" i="53" a="1"/>
  <c r="ECU3" i="53" a="1"/>
  <c r="JZB3" i="53" a="1"/>
  <c r="QNT3" i="53" a="1"/>
  <c r="NHE3" i="53" a="1"/>
  <c r="AEA3" i="53" a="1"/>
  <c r="JTX3" i="53" a="1"/>
  <c r="WKL3" i="53" a="1"/>
  <c r="DKX3" i="53" a="1"/>
  <c r="MUA3" i="53" a="1"/>
  <c r="RKW3" i="53" a="1"/>
  <c r="TXS3" i="53" a="1"/>
  <c r="HSX3" i="53" a="1"/>
  <c r="GEO3" i="53" a="1"/>
  <c r="EST3" i="53" a="1"/>
  <c r="ET3" i="53" a="1"/>
  <c r="YF3" i="53" a="1"/>
  <c r="MSJ3" i="53" a="1"/>
  <c r="QGJ3" i="53" a="1"/>
  <c r="JTP3" i="53" a="1"/>
  <c r="PAK3" i="53" a="1"/>
  <c r="LWI3" i="53" a="1"/>
  <c r="MVP3" i="53" a="1"/>
  <c r="WDQ3" i="53" a="1"/>
  <c r="ILS3" i="53" a="1"/>
  <c r="MVA3" i="53" a="1"/>
  <c r="NKE3" i="53" a="1"/>
  <c r="MBQ3" i="53" a="1"/>
  <c r="TSG3" i="53" a="1"/>
  <c r="MZM3" i="53" a="1"/>
  <c r="NFH3" i="53" a="1"/>
  <c r="REO3" i="53" a="1"/>
  <c r="GQW3" i="53" a="1"/>
  <c r="ODD3" i="53" a="1"/>
  <c r="QDY3" i="53" a="1"/>
  <c r="F3" i="5" a="1"/>
  <c r="PQR3" i="53" a="1"/>
  <c r="FDJ3" i="53" a="1"/>
  <c r="OXH3" i="53" a="1"/>
  <c r="OKM3" i="53" a="1"/>
  <c r="LWD3" i="53" a="1"/>
  <c r="VQT3" i="53" a="1"/>
  <c r="WJP3" i="53" a="1"/>
  <c r="VIK3" i="53" a="1"/>
  <c r="IXI3" i="53" a="1"/>
  <c r="SST3" i="53" a="1"/>
  <c r="KKR3" i="53" a="1"/>
  <c r="NLT3" i="53" a="1"/>
  <c r="OLX3" i="53" a="1"/>
  <c r="DWV3" i="53" a="1"/>
  <c r="F3" i="4" a="1"/>
  <c r="CWO3" i="53" a="1"/>
  <c r="WYP3" i="53" a="1"/>
  <c r="RJT3" i="53" a="1"/>
  <c r="SZS3" i="53" a="1"/>
  <c r="MHD3" i="53" a="1"/>
  <c r="FZM3" i="53" a="1"/>
  <c r="ANN3" i="53" a="1"/>
  <c r="QYC3" i="53" a="1"/>
  <c r="CPN3" i="53" a="1"/>
  <c r="NRF3" i="53" a="1"/>
  <c r="GSQ3" i="53" a="1"/>
  <c r="JFW3" i="53" a="1"/>
  <c r="QYV3" i="53" a="1"/>
  <c r="MDE3" i="53" a="1"/>
  <c r="CYK3" i="53" a="1"/>
  <c r="ESK3" i="53" a="1"/>
  <c r="MOL3" i="53" a="1"/>
  <c r="SZA3" i="53" a="1"/>
  <c r="XBC3" i="53" a="1"/>
  <c r="FQQ3" i="53" a="1"/>
  <c r="KCC3" i="53" a="1"/>
  <c r="VQN3" i="53" a="1"/>
  <c r="STU3" i="53" a="1"/>
  <c r="LQE3" i="53" a="1"/>
  <c r="SET3" i="53" a="1"/>
  <c r="RCB3" i="53" a="1"/>
  <c r="DEI3" i="53" a="1"/>
  <c r="WCI3" i="53" a="1"/>
  <c r="KKY3" i="53" a="1"/>
  <c r="HZM3" i="53" a="1"/>
  <c r="LUD3" i="53" a="1"/>
  <c r="TER3" i="53" a="1"/>
  <c r="NAP3" i="53" a="1"/>
  <c r="MNS3" i="53" a="1"/>
  <c r="JWE3" i="53" a="1"/>
  <c r="WJL3" i="53" a="1"/>
  <c r="OPO3" i="53" a="1"/>
  <c r="HWO3" i="53" a="1"/>
  <c r="OJP3" i="53" a="1"/>
  <c r="OPA3" i="53" a="1"/>
  <c r="MUS3" i="53" a="1"/>
  <c r="SZB3" i="53" a="1"/>
  <c r="JIJ3" i="53" a="1"/>
  <c r="KLL3" i="53" a="1"/>
  <c r="CUS3" i="53" a="1"/>
  <c r="PYC3" i="53" a="1"/>
  <c r="ESQ3" i="53" a="1"/>
  <c r="BMY3" i="53" a="1"/>
  <c r="JJT3" i="53" a="1"/>
  <c r="LHE3" i="53" a="1"/>
  <c r="BAB3" i="53" a="1"/>
  <c r="EKX3" i="53" a="1"/>
  <c r="UVC3" i="53" a="1"/>
  <c r="UGU3" i="53" a="1"/>
  <c r="RDP3" i="53" a="1"/>
  <c r="AFF3" i="53" a="1"/>
  <c r="HWQ3" i="53" a="1"/>
  <c r="HGP3" i="53" a="1"/>
  <c r="MG3" i="53" a="1"/>
  <c r="F3" i="53" a="1"/>
  <c r="IIC3" i="53" a="1"/>
  <c r="CGT3" i="53" a="1"/>
  <c r="OJU3" i="53" a="1"/>
  <c r="ARD3" i="53" a="1"/>
  <c r="QSJ3" i="53" a="1"/>
  <c r="POM3" i="53" a="1"/>
  <c r="FPD3" i="53" a="1"/>
  <c r="CMG3" i="53" a="1"/>
  <c r="FMB3" i="53" a="1"/>
  <c r="SZO3" i="53" a="1"/>
  <c r="OML3" i="53" a="1"/>
  <c r="TCX3" i="53" a="1"/>
  <c r="FCF3" i="53" a="1"/>
  <c r="EUK3" i="53" a="1"/>
  <c r="WTJ3" i="53" a="1"/>
  <c r="MMD3" i="53" a="1"/>
  <c r="IOR3" i="53" a="1"/>
  <c r="AHH3" i="53" a="1"/>
  <c r="DJU3" i="53" a="1"/>
  <c r="KOT3" i="53" a="1"/>
  <c r="QCQ3" i="53" a="1"/>
  <c r="QGR3" i="53" a="1"/>
  <c r="BEK3" i="53" a="1"/>
  <c r="UKP3" i="53" a="1"/>
  <c r="EJU3" i="53" a="1"/>
  <c r="DLG3" i="53" a="1"/>
  <c r="LZQ3" i="53" a="1"/>
  <c r="C10" i="46" a="1"/>
  <c r="DGU3" i="53" a="1"/>
  <c r="IJI3" i="53" a="1"/>
  <c r="C20" i="53" a="1"/>
  <c r="E27" i="4" a="1"/>
  <c r="DVI3" i="53" a="1"/>
  <c r="SNS3" i="53" a="1"/>
  <c r="GTG3" i="53" a="1"/>
  <c r="VZY3" i="53" a="1"/>
  <c r="FPR3" i="53" a="1"/>
  <c r="KIN3" i="53" a="1"/>
  <c r="VKQ3" i="53" a="1"/>
  <c r="TKZ3" i="53" a="1"/>
  <c r="FJY3" i="53" a="1"/>
  <c r="BHO3" i="53" a="1"/>
  <c r="VVY3" i="53" a="1"/>
  <c r="PFD3" i="53" a="1"/>
  <c r="HDN3" i="53" a="1"/>
  <c r="QAS3" i="53" a="1"/>
  <c r="LMC3" i="53" a="1"/>
  <c r="MGA3" i="53" a="1"/>
  <c r="C70" i="53" a="1"/>
  <c r="ROD3" i="53" a="1"/>
  <c r="IKW3" i="53" a="1"/>
  <c r="WVP3" i="53" a="1"/>
  <c r="LWH3" i="53" a="1"/>
  <c r="EWN3" i="53" a="1"/>
  <c r="EKI3" i="53" a="1"/>
  <c r="ORM3" i="53" a="1"/>
  <c r="AGY3" i="53" a="1"/>
  <c r="JRU3" i="53" a="1"/>
  <c r="GKE3" i="53" a="1"/>
  <c r="IHX3" i="53" a="1"/>
  <c r="MGR3" i="53" a="1"/>
  <c r="NCW3" i="53" a="1"/>
  <c r="WIG3" i="53" a="1"/>
  <c r="OAL3" i="53" a="1"/>
  <c r="BZB3" i="53" a="1"/>
  <c r="E42" i="4" a="1"/>
  <c r="MJG3" i="53" a="1"/>
  <c r="APR3" i="53" a="1"/>
  <c r="JRG3" i="53" a="1"/>
  <c r="VLM3" i="53" a="1"/>
  <c r="MST3" i="53" a="1"/>
  <c r="KQJ3" i="53" a="1"/>
  <c r="IAP3" i="53" a="1"/>
  <c r="OCO3" i="53" a="1"/>
  <c r="Y3" i="53" a="1"/>
  <c r="OWT3" i="53" a="1"/>
  <c r="HOP3" i="53" a="1"/>
  <c r="QRV3" i="53" a="1"/>
  <c r="OLV3" i="53" a="1"/>
  <c r="EAI3" i="53" a="1"/>
  <c r="AAA3" i="53" a="1"/>
  <c r="SDP3" i="53" a="1"/>
  <c r="XAP3" i="53" a="1"/>
  <c r="E3" i="4" a="1"/>
  <c r="JAX3" i="53" a="1"/>
  <c r="IDI3" i="53" a="1"/>
  <c r="RC3" i="53" a="1"/>
  <c r="FPU3" i="53" a="1"/>
  <c r="DCB3" i="53" a="1"/>
  <c r="SUX3" i="53" a="1"/>
  <c r="BWF3" i="53" a="1"/>
  <c r="QCY3" i="53" a="1"/>
  <c r="C30" i="2" a="1"/>
  <c r="LMV3" i="53" a="1"/>
  <c r="BKB3" i="53" a="1"/>
  <c r="SOX3" i="53" a="1"/>
  <c r="VUG3" i="53" a="1"/>
  <c r="CVW3" i="53" a="1"/>
  <c r="PJF3" i="53" a="1"/>
  <c r="QPW3" i="53" a="1"/>
  <c r="QTU3" i="53" a="1"/>
  <c r="XEL3" i="53" a="1"/>
  <c r="OPT3" i="53" a="1"/>
  <c r="TZS3" i="53" a="1"/>
  <c r="JHY3" i="53" a="1"/>
  <c r="UVH3" i="53" a="1"/>
  <c r="CF3" i="53" a="1"/>
  <c r="GFU3" i="53" a="1"/>
  <c r="GFW3" i="53" a="1"/>
  <c r="EMB3" i="53" a="1"/>
  <c r="LKW3" i="53" a="1"/>
  <c r="IWN3" i="53" a="1"/>
  <c r="FVG3" i="53" a="1"/>
  <c r="TSS3" i="53" a="1"/>
  <c r="VOW3" i="53" a="1"/>
  <c r="BWE3" i="53" a="1"/>
  <c r="KYQ3" i="53" a="1"/>
  <c r="GIO3" i="53" a="1"/>
  <c r="YS3" i="53" a="1"/>
  <c r="EHV3" i="53" a="1"/>
  <c r="IVL3" i="53" a="1"/>
  <c r="DFR3" i="53" a="1"/>
  <c r="ITX3" i="53" a="1"/>
  <c r="OMM3" i="53" a="1"/>
  <c r="NZL3" i="53" a="1"/>
  <c r="C69" i="53" a="1"/>
  <c r="OCT3" i="53" a="1"/>
  <c r="BNH3" i="53" a="1"/>
  <c r="WHQ3" i="53" a="1"/>
  <c r="UNK3" i="53" a="1"/>
  <c r="BMN3" i="53" a="1"/>
  <c r="TNW3" i="53" a="1"/>
  <c r="RQU3" i="53" a="1"/>
  <c r="HYA3" i="53" a="1"/>
  <c r="HOC3" i="53" a="1"/>
  <c r="BRW3" i="53" a="1"/>
  <c r="UAO3" i="53" a="1"/>
  <c r="AHO3" i="53" a="1"/>
  <c r="AFC3" i="53" a="1"/>
  <c r="DMN3" i="53" a="1"/>
  <c r="LQV3" i="53" a="1"/>
  <c r="DFJ3" i="53" a="1"/>
  <c r="JWI3" i="53" a="1"/>
  <c r="WST3" i="53" a="1"/>
  <c r="EQC3" i="53" a="1"/>
  <c r="RPN3" i="53" a="1"/>
  <c r="CAM3" i="53" a="1"/>
  <c r="GQI3" i="53" a="1"/>
  <c r="RSA3" i="53" a="1"/>
  <c r="N3" i="12" a="1"/>
  <c r="TNA3" i="53" a="1"/>
  <c r="HEC3" i="53" a="1"/>
  <c r="AML3" i="53" a="1"/>
  <c r="PWB3" i="53" a="1"/>
  <c r="PZY3" i="53" a="1"/>
  <c r="MBF3" i="53" a="1"/>
  <c r="SQM3" i="53" a="1"/>
  <c r="PGL3" i="53" a="1"/>
  <c r="E29" i="40" a="1"/>
  <c r="CKS3" i="53" a="1"/>
  <c r="OQO3" i="53" a="1"/>
  <c r="COU3" i="53" a="1"/>
  <c r="KPG3" i="53" a="1"/>
  <c r="PLX3" i="53" a="1"/>
  <c r="LSM3" i="53" a="1"/>
  <c r="ONX3" i="53" a="1"/>
  <c r="LQI3" i="53" a="1"/>
  <c r="IJA3" i="53" a="1"/>
  <c r="ERV3" i="53" a="1"/>
  <c r="WNY3" i="53" a="1"/>
  <c r="FZE3" i="53" a="1"/>
  <c r="AK3" i="53" a="1"/>
  <c r="RLW3" i="53" a="1"/>
  <c r="OYT3" i="53" a="1"/>
  <c r="E62" i="4" a="1"/>
  <c r="FBH3" i="53" a="1"/>
  <c r="IZ3" i="53" a="1"/>
  <c r="MRR3" i="53" a="1"/>
  <c r="NDM3" i="53" a="1"/>
  <c r="LYL3" i="53" a="1"/>
  <c r="OUD3" i="53" a="1"/>
  <c r="HRO3" i="53" a="1"/>
  <c r="VMR3" i="53" a="1"/>
  <c r="BSP3" i="53" a="1"/>
  <c r="CKF3" i="53" a="1"/>
  <c r="PAE3" i="53" a="1"/>
  <c r="HNM3" i="53" a="1"/>
  <c r="BYQ3" i="53" a="1"/>
  <c r="WGY3" i="53" a="1"/>
  <c r="NHL3" i="53" a="1"/>
  <c r="CXT3" i="53" a="1"/>
  <c r="CFD3" i="53" a="1"/>
  <c r="CPE3" i="53" a="1"/>
  <c r="MAZ3" i="53" a="1"/>
  <c r="NYA3" i="53" a="1"/>
  <c r="CLY3" i="53" a="1"/>
  <c r="NRX3" i="53" a="1"/>
  <c r="ZR3" i="53" a="1"/>
  <c r="PUJ3" i="53" a="1"/>
  <c r="AFD3" i="53" a="1"/>
  <c r="HBX3" i="53" a="1"/>
  <c r="BKK3" i="53" a="1"/>
  <c r="SJH3" i="53" a="1"/>
  <c r="HNH3" i="53" a="1"/>
  <c r="VQY3" i="53" a="1"/>
  <c r="HKE3" i="53" a="1"/>
  <c r="EGS3" i="53" a="1"/>
  <c r="NUZ3" i="53" a="1"/>
  <c r="JTK3" i="53" a="1"/>
  <c r="LDK3" i="53" a="1"/>
  <c r="LHM3" i="53" a="1"/>
  <c r="KUT3" i="53" a="1"/>
  <c r="DYR3" i="53" a="1"/>
  <c r="C45" i="4" a="1"/>
  <c r="BAN3" i="53" a="1"/>
  <c r="WAZ3" i="53" a="1"/>
  <c r="WYZ3" i="53" a="1"/>
  <c r="NNC3" i="53" a="1"/>
  <c r="HEP3" i="53" a="1"/>
  <c r="JPY3" i="53" a="1"/>
  <c r="IBQ3" i="53" a="1"/>
  <c r="E50" i="4" a="1"/>
  <c r="RZK3" i="53" a="1"/>
  <c r="SY3" i="53" a="1"/>
  <c r="KCI3" i="53" a="1"/>
  <c r="FGV3" i="53" a="1"/>
  <c r="TQN3" i="53" a="1"/>
  <c r="CGC3" i="53" a="1"/>
  <c r="WPM3" i="53" a="1"/>
  <c r="UKX3" i="53" a="1"/>
  <c r="KVM3" i="53" a="1"/>
  <c r="ECM3" i="53" a="1"/>
  <c r="WLY3" i="53" a="1"/>
  <c r="C5" i="57" a="1"/>
  <c r="RII3" i="53" a="1"/>
  <c r="VON3" i="53" a="1"/>
  <c r="OXY3" i="53" a="1"/>
  <c r="DIL3" i="53" a="1"/>
  <c r="ENW3" i="53" a="1"/>
  <c r="OEL3" i="53" a="1"/>
  <c r="KTS3" i="53" a="1"/>
  <c r="IWQ3" i="53" a="1"/>
  <c r="ROV3" i="53" a="1"/>
  <c r="DWM3" i="53" a="1"/>
  <c r="KMF3" i="53" a="1"/>
  <c r="DQA3" i="53" a="1"/>
  <c r="WAO3" i="53" a="1"/>
  <c r="CCL3" i="53" a="1"/>
  <c r="HZO3" i="53" a="1"/>
  <c r="PGI3" i="53" a="1"/>
  <c r="JG3" i="53" a="1"/>
  <c r="OCP3" i="53" a="1"/>
  <c r="RAG3" i="53" a="1"/>
  <c r="WKS3" i="53" a="1"/>
  <c r="DHC3" i="53" a="1"/>
  <c r="E40" i="40" a="1"/>
  <c r="BKE3" i="53" a="1"/>
  <c r="VAB3" i="53" a="1"/>
  <c r="CBH3" i="53" a="1"/>
  <c r="OYN3" i="53" a="1"/>
  <c r="QUN3" i="53" a="1"/>
  <c r="WOG3" i="53" a="1"/>
  <c r="BGC3" i="53" a="1"/>
  <c r="LPO3" i="53" a="1"/>
  <c r="TUD3" i="53" a="1"/>
  <c r="SKX3" i="53" a="1"/>
  <c r="PSY3" i="53" a="1"/>
  <c r="ICT3" i="53" a="1"/>
  <c r="LVZ3" i="53" a="1"/>
  <c r="QXC3" i="53" a="1"/>
  <c r="UDC3" i="53" a="1"/>
  <c r="KGE3" i="53" a="1"/>
  <c r="BKP3" i="53" a="1"/>
  <c r="EXS3" i="53" a="1"/>
  <c r="BNV3" i="53" a="1"/>
  <c r="K3" i="47" a="1"/>
  <c r="IJH3" i="53" a="1"/>
  <c r="LPV3" i="53" a="1"/>
  <c r="FMI3" i="53" a="1"/>
  <c r="AXE3" i="53" a="1"/>
  <c r="BCQ3" i="53" a="1"/>
  <c r="JVL3" i="53" a="1"/>
  <c r="GKK3" i="53" a="1"/>
  <c r="MMN3" i="53" a="1"/>
  <c r="WMR3" i="53" a="1"/>
  <c r="JAL3" i="53" a="1"/>
  <c r="WNN3" i="53" a="1"/>
  <c r="RGU3" i="53" a="1"/>
  <c r="UIO3" i="53" a="1"/>
  <c r="QPS3" i="53" a="1"/>
  <c r="FEF3" i="53" a="1"/>
  <c r="VXO3" i="53" a="1"/>
  <c r="DTQ3" i="53" a="1"/>
  <c r="GBF3" i="53" a="1"/>
  <c r="QWY3" i="53" a="1"/>
  <c r="MYM3" i="53" a="1"/>
  <c r="GDI3" i="53" a="1"/>
  <c r="VUF3" i="53" a="1"/>
  <c r="WX3" i="53" a="1"/>
  <c r="XCD3" i="53" a="1"/>
  <c r="DGP3" i="53" a="1"/>
  <c r="KJW3" i="53" a="1"/>
  <c r="NSU3" i="53" a="1"/>
  <c r="VQI3" i="53" a="1"/>
  <c r="ASP3" i="53" a="1"/>
  <c r="UZK3" i="53" a="1"/>
  <c r="ULX3" i="53" a="1"/>
  <c r="XEE3" i="53" a="1"/>
  <c r="PHJ3" i="53" a="1"/>
  <c r="CQA3" i="53" a="1"/>
  <c r="MTU3" i="53" a="1"/>
  <c r="LWS3" i="53" a="1"/>
  <c r="NJY3" i="53" a="1"/>
  <c r="DED3" i="53" a="1"/>
  <c r="JDT3" i="53" a="1"/>
  <c r="BHG3" i="53" a="1"/>
  <c r="LSZ3" i="53" a="1"/>
  <c r="PEZ3" i="53" a="1"/>
  <c r="IEG3" i="53" a="1"/>
  <c r="JB3" i="53" a="1"/>
  <c r="RPJ3" i="53" a="1"/>
  <c r="KSG3" i="53" a="1"/>
  <c r="EJN3" i="53" a="1"/>
  <c r="TJT3" i="53" a="1"/>
  <c r="HSQ3" i="53" a="1"/>
  <c r="AZN3" i="53" a="1"/>
  <c r="GPC3" i="53" a="1"/>
  <c r="GPK3" i="53" a="1"/>
  <c r="JLJ3" i="53" a="1"/>
  <c r="FBW3" i="53" a="1"/>
  <c r="CPS3" i="53" a="1"/>
  <c r="DRF3" i="53" a="1"/>
  <c r="BQZ3" i="53" a="1"/>
  <c r="IYP3" i="53" a="1"/>
  <c r="RKX3" i="53" a="1"/>
  <c r="GYN3" i="53" a="1"/>
  <c r="E3" i="52" a="1"/>
  <c r="QOI3" i="53" a="1"/>
  <c r="DKM3" i="53" a="1"/>
  <c r="LSY3" i="53" a="1"/>
  <c r="NBH3" i="53" a="1"/>
  <c r="PJD3" i="53" a="1"/>
  <c r="QJK3" i="53" a="1"/>
  <c r="GQU3" i="53" a="1"/>
  <c r="RFW3" i="53" a="1"/>
  <c r="RES3" i="53" a="1"/>
  <c r="RUL3" i="53" a="1"/>
  <c r="GD3" i="53" a="1"/>
  <c r="SNL3" i="53" a="1"/>
  <c r="LZN3" i="53" a="1"/>
  <c r="NTZ3" i="53" a="1"/>
  <c r="RCK3" i="53" a="1"/>
  <c r="T3" i="53" a="1"/>
  <c r="RVS3" i="53" a="1"/>
  <c r="EIE3" i="53" a="1"/>
  <c r="JLM3" i="53" a="1"/>
  <c r="EES3" i="53" a="1"/>
  <c r="HVK3" i="53" a="1"/>
  <c r="PLD3" i="53" a="1"/>
  <c r="USJ3" i="53" a="1"/>
  <c r="UES3" i="53" a="1"/>
  <c r="THY3" i="53" a="1"/>
  <c r="INS3" i="53" a="1"/>
  <c r="HYV3" i="53" a="1"/>
  <c r="UTN3" i="53" a="1"/>
  <c r="PGR3" i="53" a="1"/>
  <c r="WMT3" i="53" a="1"/>
  <c r="FVA3" i="53" a="1"/>
  <c r="NOV3" i="53" a="1"/>
  <c r="JNV3" i="53" a="1"/>
  <c r="SPK3" i="53" a="1"/>
  <c r="PIX3" i="53" a="1"/>
  <c r="JWC3" i="53" a="1"/>
  <c r="PCB3" i="53" a="1"/>
  <c r="CZY3" i="53" a="1"/>
  <c r="RQN3" i="53" a="1"/>
  <c r="A3" i="40" a="1"/>
  <c r="KPA3" i="53" a="1"/>
  <c r="UUM3" i="53" a="1"/>
  <c r="VGU3" i="53" a="1"/>
  <c r="KKU3" i="53" a="1"/>
  <c r="MDI3" i="53" a="1"/>
  <c r="UPH3" i="53" a="1"/>
  <c r="QXE3" i="53" a="1"/>
  <c r="PQF3" i="53" a="1"/>
  <c r="WVS3" i="53" a="1"/>
  <c r="C72" i="53" a="1"/>
  <c r="RNA3" i="53" a="1"/>
  <c r="WAJ3" i="53" a="1"/>
  <c r="SKV3" i="53" a="1"/>
  <c r="EHH3" i="53" a="1"/>
  <c r="VGS3" i="53" a="1"/>
  <c r="SRJ3" i="53" a="1"/>
  <c r="EBO3" i="53" a="1"/>
  <c r="UFC3" i="53" a="1"/>
  <c r="KSA3" i="53" a="1"/>
  <c r="LIZ3" i="53" a="1"/>
  <c r="AEO3" i="53" a="1"/>
  <c r="FXK3" i="53" a="1"/>
  <c r="QNR3" i="53" a="1"/>
  <c r="VXY3" i="53" a="1"/>
  <c r="DJB3" i="53" a="1"/>
  <c r="VXL3" i="53" a="1"/>
  <c r="DUC3" i="53" a="1"/>
  <c r="WIA3" i="53" a="1"/>
  <c r="CEK3" i="53" a="1"/>
  <c r="GUF3" i="53" a="1"/>
  <c r="MNA3" i="53" a="1"/>
  <c r="C3" i="15" a="1"/>
  <c r="JPH3" i="53" a="1"/>
  <c r="VPI3" i="53" a="1"/>
  <c r="TD3" i="53" a="1"/>
  <c r="HPY3" i="53" a="1"/>
  <c r="DIX3" i="53" a="1"/>
  <c r="GZD3" i="53" a="1"/>
  <c r="AMK3" i="53" a="1"/>
  <c r="BGN3" i="53" a="1"/>
  <c r="NGQ3" i="53" a="1"/>
  <c r="C9" i="31" a="1"/>
  <c r="FRI3" i="53" a="1"/>
  <c r="OR3" i="53" a="1"/>
  <c r="OYG3" i="53" a="1"/>
  <c r="TCL3" i="53" a="1"/>
  <c r="JUQ3" i="53" a="1"/>
  <c r="KTR3" i="53" a="1"/>
  <c r="NAX3" i="53" a="1"/>
  <c r="GDM3" i="53" a="1"/>
  <c r="AXS3" i="53" a="1"/>
  <c r="AAL3" i="53" a="1"/>
  <c r="NGB3" i="53" a="1"/>
  <c r="WDJ3" i="53" a="1"/>
  <c r="OXE3" i="53" a="1"/>
  <c r="GAU3" i="53" a="1"/>
  <c r="TCH3" i="53" a="1"/>
  <c r="ALB3" i="53" a="1"/>
  <c r="BZW3" i="53" a="1"/>
  <c r="VWO3" i="53" a="1"/>
  <c r="POD3" i="53" a="1"/>
  <c r="FEA3" i="53" a="1"/>
  <c r="GIH3" i="53" a="1"/>
  <c r="NTO3" i="53" a="1"/>
  <c r="USR3" i="53" a="1"/>
  <c r="DZN3" i="53" a="1"/>
  <c r="WTB3" i="53" a="1"/>
  <c r="KCJ3" i="53" a="1"/>
  <c r="CSQ3" i="53" a="1"/>
  <c r="OCN3" i="53" a="1"/>
  <c r="LRB3" i="53" a="1"/>
  <c r="NEO3" i="53" a="1"/>
  <c r="FGD3" i="53" a="1"/>
  <c r="GTV3" i="53" a="1"/>
  <c r="HGI3" i="53" a="1"/>
  <c r="OQA3" i="53" a="1"/>
  <c r="BDB3" i="53" a="1"/>
  <c r="OCW3" i="53" a="1"/>
  <c r="JQB3" i="53" a="1"/>
  <c r="GSF3" i="53" a="1"/>
  <c r="BSL3" i="53" a="1"/>
  <c r="UPL3" i="53" a="1"/>
  <c r="QMA3" i="53" a="1"/>
  <c r="AJY3" i="53" a="1"/>
  <c r="KGI3" i="53" a="1"/>
  <c r="VDK3" i="53" a="1"/>
  <c r="QRM3" i="53" a="1"/>
  <c r="DUG3" i="53" a="1"/>
  <c r="DDO3" i="53" a="1"/>
  <c r="DOS3" i="53" a="1"/>
  <c r="GRP3" i="53" a="1"/>
  <c r="XAD3" i="53" a="1"/>
  <c r="ODN3" i="53" a="1"/>
  <c r="EOF3" i="53" a="1"/>
  <c r="XI3" i="53" a="1"/>
  <c r="FRW3" i="53" a="1"/>
  <c r="PQJ3" i="53" a="1"/>
  <c r="VZJ3" i="53" a="1"/>
  <c r="VNY3" i="53" a="1"/>
  <c r="XAX3" i="53" a="1"/>
  <c r="FWZ3" i="53" a="1"/>
  <c r="SSK3" i="53" a="1"/>
  <c r="CKB3" i="53" a="1"/>
  <c r="AMA3" i="53" a="1"/>
  <c r="JPD3" i="53" a="1"/>
  <c r="EGW3" i="53" a="1"/>
  <c r="NGS3" i="53" a="1"/>
  <c r="IRZ3" i="53" a="1"/>
  <c r="DUT3" i="53" a="1"/>
  <c r="C12" i="4" a="1"/>
  <c r="SAI3" i="53" a="1"/>
  <c r="ELA3" i="53" a="1"/>
  <c r="RXK3" i="53" a="1"/>
  <c r="BYF3" i="53" a="1"/>
  <c r="UBQ3" i="53" a="1"/>
  <c r="UDI3" i="53" a="1"/>
  <c r="IMP3" i="53" a="1"/>
  <c r="HNP3" i="53" a="1"/>
  <c r="NWH3" i="53" a="1"/>
  <c r="RVN3" i="53" a="1"/>
  <c r="NDP3" i="53" a="1"/>
  <c r="ITL3" i="53" a="1"/>
  <c r="GYP3" i="53" a="1"/>
  <c r="HH3" i="53" a="1"/>
  <c r="GAY3" i="53" a="1"/>
  <c r="OKD3" i="53" a="1"/>
  <c r="AFJ3" i="53" a="1"/>
  <c r="RSD3" i="53" a="1"/>
  <c r="SSS3" i="53" a="1"/>
  <c r="DAS3" i="53" a="1"/>
  <c r="M3" i="53" a="1"/>
  <c r="OUN3" i="53" a="1"/>
  <c r="MJU3" i="53" a="1"/>
  <c r="VNC3" i="53" a="1"/>
  <c r="PYE3" i="53" a="1"/>
  <c r="LLD3" i="53" a="1"/>
  <c r="OQM3" i="53" a="1"/>
  <c r="SVJ3" i="53" a="1"/>
  <c r="NXR3" i="53" a="1"/>
  <c r="DSQ3" i="53" a="1"/>
  <c r="HXC3" i="53" a="1"/>
  <c r="TZL3" i="53" a="1"/>
  <c r="CIF3" i="53" a="1"/>
  <c r="WJU3" i="53" a="1"/>
  <c r="C23" i="37" a="1"/>
  <c r="LRA3" i="53" a="1"/>
  <c r="JUJ3" i="53" a="1"/>
  <c r="DYG3" i="53" a="1"/>
  <c r="AJG3" i="53" a="1"/>
  <c r="GUS3" i="53" a="1"/>
  <c r="TIT3" i="53" a="1"/>
  <c r="OHD3" i="53" a="1"/>
  <c r="FBK3" i="53" a="1"/>
  <c r="CJO3" i="53" a="1"/>
  <c r="OWS3" i="53" a="1"/>
  <c r="QTC3" i="53" a="1"/>
  <c r="DNL3" i="53" a="1"/>
  <c r="BDA3" i="53" a="1"/>
  <c r="E3" i="37" a="1"/>
  <c r="EQJ3" i="53" a="1"/>
  <c r="GMO3" i="53" a="1"/>
  <c r="LVD3" i="53" a="1"/>
  <c r="VJQ3" i="53" a="1"/>
  <c r="DZX3" i="53" a="1"/>
  <c r="USM3" i="53" a="1"/>
  <c r="WSX3" i="53" a="1"/>
  <c r="QQK3" i="53" a="1"/>
  <c r="ODP3" i="53" a="1"/>
  <c r="AWP3" i="53" a="1"/>
  <c r="MRX3" i="53" a="1"/>
  <c r="SWQ3" i="53" a="1"/>
  <c r="OVU3" i="53" a="1"/>
  <c r="BUW3" i="53" a="1"/>
  <c r="DIB3" i="53" a="1"/>
  <c r="ACU3" i="53" a="1"/>
  <c r="OBZ3" i="53" a="1"/>
  <c r="FBM3" i="53" a="1"/>
  <c r="FXH3" i="53" a="1"/>
  <c r="NRV3" i="53" a="1"/>
  <c r="DEH3" i="53" a="1"/>
  <c r="IDS3" i="53" a="1"/>
  <c r="JJE3" i="53" a="1"/>
  <c r="VNT3" i="53" a="1"/>
  <c r="FZB3" i="53" a="1"/>
  <c r="CDZ3" i="53" a="1"/>
  <c r="QFE3" i="53" a="1"/>
  <c r="HMM3" i="53" a="1"/>
  <c r="G3" i="34" a="1"/>
  <c r="SKD3" i="53" a="1"/>
  <c r="UUZ3" i="53" a="1"/>
  <c r="WRP3" i="53" a="1"/>
  <c r="C26" i="53" a="1"/>
  <c r="BTV3" i="53" a="1"/>
  <c r="MFV3" i="53" a="1"/>
  <c r="QHY3" i="53" a="1"/>
  <c r="A3" i="42" a="1"/>
  <c r="MGX3" i="53" a="1"/>
  <c r="SAA3" i="53" a="1"/>
  <c r="BPA3" i="53" a="1"/>
  <c r="RUO3" i="53" a="1"/>
  <c r="KDM3" i="53" a="1"/>
  <c r="SJK3" i="53" a="1"/>
  <c r="BSE3" i="53" a="1"/>
  <c r="HAK3" i="53" a="1"/>
  <c r="PIJ3" i="53" a="1"/>
  <c r="RDK3" i="53" a="1"/>
  <c r="CLH3" i="53" a="1"/>
  <c r="JGJ3" i="53" a="1"/>
  <c r="ESE3" i="53" a="1"/>
  <c r="DHF3" i="53" a="1"/>
  <c r="POO3" i="53" a="1"/>
  <c r="TPC3" i="53" a="1"/>
  <c r="BZV3" i="53" a="1"/>
  <c r="EYQ3" i="53" a="1"/>
  <c r="AAV3" i="53" a="1"/>
  <c r="KZA3" i="53" a="1"/>
  <c r="TPN3" i="53" a="1"/>
  <c r="KEW3" i="53" a="1"/>
  <c r="AKF3" i="53" a="1"/>
  <c r="MAL3" i="53" a="1"/>
  <c r="EYH3" i="53" a="1"/>
  <c r="UUX3" i="53" a="1"/>
  <c r="FPJ3" i="53" a="1"/>
  <c r="RCR3" i="53" a="1"/>
  <c r="WEG3" i="53" a="1"/>
  <c r="HDO3" i="53" a="1"/>
  <c r="PGN3" i="53" a="1"/>
  <c r="ITM3" i="53" a="1"/>
  <c r="GTU3" i="53" a="1"/>
  <c r="PAA3" i="53" a="1"/>
  <c r="WBD3" i="53" a="1"/>
  <c r="VVL3" i="53" a="1"/>
  <c r="RVV3" i="53" a="1"/>
  <c r="DUK3" i="53" a="1"/>
  <c r="VIZ3" i="53" a="1"/>
  <c r="WDU3" i="53" a="1"/>
  <c r="BZQ3" i="53" a="1"/>
  <c r="QOM3" i="53" a="1"/>
  <c r="AKI3" i="53" a="1"/>
  <c r="CET3" i="53" a="1"/>
  <c r="BDQ3" i="53" a="1"/>
  <c r="VMJ3" i="53" a="1"/>
  <c r="KST3" i="53" a="1"/>
  <c r="OBY3" i="53" a="1"/>
  <c r="OQQ3" i="53" a="1"/>
  <c r="UXX3" i="53" a="1"/>
  <c r="WXL3" i="53" a="1"/>
  <c r="WPG3" i="53" a="1"/>
  <c r="WSZ3" i="53" a="1"/>
  <c r="NED3" i="53" a="1"/>
  <c r="AZF3" i="53" a="1"/>
  <c r="JWJ3" i="53" a="1"/>
  <c r="AMS3" i="53" a="1"/>
  <c r="IYK3" i="53" a="1"/>
  <c r="DCF3" i="53" a="1"/>
  <c r="LSH3" i="53" a="1"/>
  <c r="JAF3" i="53" a="1"/>
  <c r="TJF3" i="53" a="1"/>
  <c r="OTG3" i="53" a="1"/>
  <c r="BGY3" i="53" a="1"/>
  <c r="NUE3" i="53" a="1"/>
  <c r="RIH3" i="53" a="1"/>
  <c r="NUP3" i="53" a="1"/>
  <c r="ETH3" i="53" a="1"/>
  <c r="QTI3" i="53" a="1"/>
  <c r="IDR3" i="53" a="1"/>
  <c r="LLH3" i="53" a="1"/>
  <c r="CQN3" i="53" a="1"/>
  <c r="LPS3" i="53" a="1"/>
  <c r="OPL3" i="53" a="1"/>
  <c r="OWN3" i="53" a="1"/>
  <c r="JYZ3" i="53" a="1"/>
  <c r="FJX3" i="53" a="1"/>
  <c r="DVL3" i="53" a="1"/>
  <c r="VVI3" i="53" a="1"/>
  <c r="PNX3" i="53" a="1"/>
  <c r="NKN3" i="53" a="1"/>
  <c r="VKZ3" i="53" a="1"/>
  <c r="UGP3" i="53" a="1"/>
  <c r="PJJ3" i="53" a="1"/>
  <c r="LYZ3" i="53" a="1"/>
  <c r="C37" i="40" a="1"/>
  <c r="MHW3" i="53" a="1"/>
  <c r="LVO3" i="53" a="1"/>
  <c r="DJP3" i="53" a="1"/>
  <c r="VTX3" i="53" a="1"/>
  <c r="PHB3" i="53" a="1"/>
  <c r="NAK3" i="53" a="1"/>
  <c r="JRQ3" i="53" a="1"/>
  <c r="HJH3" i="53" a="1"/>
  <c r="SNW3" i="53" a="1"/>
  <c r="PQQ3" i="53" a="1"/>
  <c r="SAR3" i="53" a="1"/>
  <c r="JKM3" i="53" a="1"/>
  <c r="AG3" i="53" a="1"/>
  <c r="WPZ3" i="53" a="1"/>
  <c r="WHV3" i="53" a="1"/>
  <c r="MNR3" i="53" a="1"/>
  <c r="TUO3" i="53" a="1"/>
  <c r="GJB3" i="53" a="1"/>
  <c r="FSW3" i="53" a="1"/>
  <c r="NHI3" i="53" a="1"/>
  <c r="HYL3" i="53" a="1"/>
  <c r="RZT3" i="53" a="1"/>
  <c r="TNV3" i="53" a="1"/>
  <c r="CRA3" i="53" a="1"/>
  <c r="DB3" i="53" a="1"/>
  <c r="MCO3" i="53" a="1"/>
  <c r="XEZ3" i="53" a="1"/>
  <c r="RFP3" i="53" a="1"/>
  <c r="TAY3" i="53" a="1"/>
  <c r="HFJ3" i="53" a="1"/>
  <c r="NZQ3" i="53" a="1"/>
  <c r="SLO3" i="53" a="1"/>
  <c r="XAY3" i="53" a="1"/>
  <c r="GGH3" i="53" a="1"/>
  <c r="OFY3" i="53" a="1"/>
  <c r="QTQ3" i="53" a="1"/>
  <c r="QSB3" i="53" a="1"/>
  <c r="JKB3" i="53" a="1"/>
  <c r="QZS3" i="53" a="1"/>
  <c r="INM3" i="53" a="1"/>
  <c r="DQD3" i="53" a="1"/>
  <c r="C37" i="53" a="1"/>
  <c r="UZZ3" i="53" a="1"/>
  <c r="PVA3" i="53" a="1"/>
  <c r="HRF3" i="53" a="1"/>
  <c r="TBU3" i="53" a="1"/>
  <c r="DWA3" i="53" a="1"/>
  <c r="UIQ3" i="53" a="1"/>
  <c r="CDG3" i="53" a="1"/>
  <c r="KHG3" i="53" a="1"/>
  <c r="NOT3" i="53" a="1"/>
  <c r="GNJ3" i="53" a="1"/>
  <c r="SXG3" i="53" a="1"/>
  <c r="KCP3" i="53" a="1"/>
  <c r="VSI3" i="53" a="1"/>
  <c r="EOD3" i="53" a="1"/>
  <c r="DQX3" i="53" a="1"/>
  <c r="G3" i="56" a="1"/>
  <c r="DHJ3" i="53" a="1"/>
  <c r="KBG3" i="53" a="1"/>
  <c r="AHQ3" i="53" a="1"/>
  <c r="FZU3" i="53" a="1"/>
  <c r="BYX3" i="53" a="1"/>
  <c r="WXR3" i="53" a="1"/>
  <c r="EYZ3" i="53" a="1"/>
  <c r="ORH3" i="53" a="1"/>
  <c r="LEV3" i="53" a="1"/>
  <c r="PQS3" i="53" a="1"/>
  <c r="KGY3" i="53" a="1"/>
  <c r="DUE3" i="53" a="1"/>
  <c r="BOH3" i="53" a="1"/>
  <c r="KZM3" i="53" a="1"/>
  <c r="CMA3" i="53" a="1"/>
  <c r="RRA3" i="53" a="1"/>
  <c r="PIY3" i="53" a="1"/>
  <c r="NZX3" i="53" a="1"/>
  <c r="NFN3" i="53" a="1"/>
  <c r="UQU3" i="53" a="1"/>
  <c r="KDY3" i="53" a="1"/>
  <c r="KV3" i="53" a="1"/>
  <c r="FDF3" i="53" a="1"/>
  <c r="RWY3" i="53" a="1"/>
  <c r="VOA3" i="53" a="1"/>
  <c r="HFL3" i="53" a="1"/>
  <c r="HNC3" i="53" a="1"/>
  <c r="EOV3" i="53" a="1"/>
  <c r="WIV3" i="53" a="1"/>
  <c r="OWI3" i="53" a="1"/>
  <c r="NWQ3" i="53" a="1"/>
  <c r="UCI3" i="53" a="1"/>
  <c r="QPO3" i="53" a="1"/>
  <c r="VYA3" i="53" a="1"/>
  <c r="OJY3" i="53" a="1"/>
  <c r="JIZ3" i="53" a="1"/>
  <c r="WID3" i="53" a="1"/>
  <c r="WJS3" i="53" a="1"/>
  <c r="LRQ3" i="53" a="1"/>
  <c r="JHP3" i="53" a="1"/>
  <c r="NVU3" i="53" a="1"/>
  <c r="C21" i="53" a="1"/>
  <c r="MWT3" i="53" a="1"/>
  <c r="QQB3" i="53" a="1"/>
  <c r="CQG3" i="53" a="1"/>
  <c r="C3" i="47" a="1"/>
  <c r="CMT3" i="53" a="1"/>
  <c r="YY3" i="53" a="1"/>
  <c r="DXI3" i="53" a="1"/>
  <c r="VP3" i="53" a="1"/>
  <c r="RTR3" i="53" a="1"/>
  <c r="VAA3" i="53" a="1"/>
  <c r="PDR3" i="53" a="1"/>
  <c r="GSU3" i="53" a="1"/>
  <c r="BIF3" i="53" a="1"/>
  <c r="IXY3" i="53" a="1"/>
  <c r="C22" i="6" a="1"/>
  <c r="DLA3" i="53" a="1"/>
  <c r="CHE3" i="53" a="1"/>
  <c r="WHA3" i="53" a="1"/>
  <c r="VUL3" i="53" a="1"/>
  <c r="CKE3" i="53" a="1"/>
  <c r="JFH3" i="53" a="1"/>
  <c r="MX3" i="53" a="1"/>
  <c r="C10" i="40" a="1"/>
  <c r="RRI3" i="53" a="1"/>
  <c r="RRD3" i="53" a="1"/>
  <c r="C45" i="40" a="1"/>
  <c r="OTH3" i="53" a="1"/>
  <c r="WCU3" i="53" a="1"/>
  <c r="EQN3" i="53" a="1"/>
  <c r="FDQ3" i="53" a="1"/>
  <c r="ANG3" i="53" a="1"/>
  <c r="INW3" i="53" a="1"/>
  <c r="PMG3" i="53" a="1"/>
  <c r="JQK3" i="53" a="1"/>
  <c r="GJV3" i="53" a="1"/>
  <c r="VRW3" i="53" a="1"/>
  <c r="BMO3" i="53" a="1"/>
  <c r="RYQ3" i="53" a="1"/>
  <c r="MIN3" i="53" a="1"/>
  <c r="OOU3" i="53" a="1"/>
  <c r="JRF3" i="53" a="1"/>
  <c r="WTF3" i="53" a="1"/>
  <c r="CPX3" i="53" a="1"/>
  <c r="BBW3" i="53" a="1"/>
  <c r="ORB3" i="53" a="1"/>
  <c r="G20" i="40" a="1"/>
  <c r="QRO3" i="53" a="1"/>
  <c r="XU3" i="53" a="1"/>
  <c r="GAQ3" i="53" a="1"/>
  <c r="AZY3" i="53" a="1"/>
  <c r="XEA3" i="53" a="1"/>
  <c r="JBJ3" i="53" a="1"/>
  <c r="ATM3" i="53" a="1"/>
  <c r="DFU3" i="53" a="1"/>
  <c r="JVB3" i="53" a="1"/>
  <c r="CHD3" i="53" a="1"/>
  <c r="TNS3" i="53" a="1"/>
  <c r="RDC3" i="53" a="1"/>
  <c r="CBQ3" i="53" a="1"/>
  <c r="GAJ3" i="53" a="1"/>
  <c r="QFU3" i="53" a="1"/>
  <c r="KDV3" i="53" a="1"/>
  <c r="GOZ3" i="53" a="1"/>
  <c r="FVO3" i="53" a="1"/>
  <c r="OQN3" i="53" a="1"/>
  <c r="MEK3" i="53" a="1"/>
  <c r="ENH3" i="53" a="1"/>
  <c r="PZB3" i="53" a="1"/>
  <c r="YW3" i="53" a="1"/>
  <c r="WNT3" i="53" a="1"/>
  <c r="KNS3" i="53" a="1"/>
  <c r="HOG3" i="53" a="1"/>
  <c r="CXU3" i="53" a="1"/>
  <c r="MWE3" i="53" a="1"/>
  <c r="RFR3" i="53" a="1"/>
  <c r="PHC3" i="53" a="1"/>
  <c r="NJZ3" i="53" a="1"/>
  <c r="SE3" i="53" a="1"/>
  <c r="WKA3" i="53" a="1"/>
  <c r="VMV3" i="53" a="1"/>
  <c r="EUC3" i="53" a="1"/>
  <c r="FM3" i="53" a="1"/>
  <c r="CDR3" i="53" a="1"/>
  <c r="ULO3" i="53" a="1"/>
  <c r="MRI3" i="53" a="1"/>
  <c r="C24" i="2" a="1"/>
  <c r="AIC3" i="53" a="1"/>
  <c r="GTY3" i="53" a="1"/>
  <c r="MMM3" i="53" a="1"/>
  <c r="CQF3" i="53" a="1"/>
  <c r="EEN3" i="53" a="1"/>
  <c r="KIA3" i="53" a="1"/>
  <c r="BNK3" i="53" a="1"/>
  <c r="NRO3" i="53" a="1"/>
  <c r="WTL3" i="53" a="1"/>
  <c r="BXB3" i="53" a="1"/>
  <c r="NHC3" i="53" a="1"/>
  <c r="JDL3" i="53" a="1"/>
  <c r="GXA3" i="53" a="1"/>
  <c r="VQO3" i="53" a="1"/>
  <c r="AZ3" i="53" a="1"/>
  <c r="KLD3" i="53" a="1"/>
  <c r="QJO3" i="53" a="1"/>
  <c r="IUF3" i="53" a="1"/>
  <c r="UTO3" i="53" a="1"/>
  <c r="GLH3" i="53" a="1"/>
  <c r="WDR3" i="53" a="1"/>
  <c r="EBY3" i="53" a="1"/>
  <c r="TYN3" i="53" a="1"/>
  <c r="IKQ3" i="53" a="1"/>
  <c r="BKM3" i="53" a="1"/>
  <c r="OEJ3" i="53" a="1"/>
  <c r="CHX3" i="53" a="1"/>
  <c r="KBV3" i="53" a="1"/>
  <c r="FCP3" i="53" a="1"/>
  <c r="CYM3" i="53" a="1"/>
  <c r="IOQ3" i="53" a="1"/>
  <c r="IXR3" i="53" a="1"/>
  <c r="PFA3" i="53" a="1"/>
  <c r="QSO3" i="53" a="1"/>
  <c r="PBF3" i="53" a="1"/>
  <c r="UNT3" i="53" a="1"/>
  <c r="PHM3" i="53" a="1"/>
  <c r="O3" i="12" a="1"/>
  <c r="FLT3" i="53" a="1"/>
  <c r="WDF3" i="53" a="1"/>
  <c r="HGY3" i="53" a="1"/>
  <c r="NHQ3" i="53" a="1"/>
  <c r="SPZ3" i="53" a="1"/>
  <c r="HTB3" i="53" a="1"/>
  <c r="OEY3" i="53" a="1"/>
  <c r="WBT3" i="53" a="1"/>
  <c r="NQS3" i="53" a="1"/>
  <c r="KUH3" i="53" a="1"/>
  <c r="OGI3" i="53" a="1"/>
  <c r="CUX3" i="53" a="1"/>
  <c r="AMQ3" i="53" a="1"/>
  <c r="BOP3" i="53" a="1"/>
  <c r="QVT3" i="53" a="1"/>
  <c r="WNZ3" i="53" a="1"/>
  <c r="YJ3" i="53" a="1"/>
  <c r="DA3" i="53" a="1"/>
  <c r="JJD3" i="53" a="1"/>
  <c r="DDS3" i="53" a="1"/>
  <c r="WEK3" i="53" a="1"/>
  <c r="SLM3" i="53" a="1"/>
  <c r="CSZ3" i="53" a="1"/>
  <c r="TRL3" i="53" a="1"/>
  <c r="BAZ3" i="53" a="1"/>
  <c r="DYM3" i="53" a="1"/>
  <c r="VFV3" i="53" a="1"/>
  <c r="BJZ3" i="53" a="1"/>
  <c r="FPI3" i="53" a="1"/>
  <c r="TSL3" i="53" a="1"/>
  <c r="WPS3" i="53" a="1"/>
  <c r="VJW3" i="53" a="1"/>
  <c r="BTF3" i="53" a="1"/>
  <c r="EKM3" i="53" a="1"/>
  <c r="OSJ3" i="53" a="1"/>
  <c r="RGH3" i="53" a="1"/>
  <c r="EGP3" i="53" a="1"/>
  <c r="HA3" i="53" a="1"/>
  <c r="KBR3" i="53" a="1"/>
  <c r="GRE3" i="53" a="1"/>
  <c r="RFY3" i="53" a="1"/>
  <c r="IY3" i="53" a="1"/>
  <c r="FYF3" i="53" a="1"/>
  <c r="WET3" i="53" a="1"/>
  <c r="CMH3" i="53" a="1"/>
  <c r="LOX3" i="53" a="1"/>
  <c r="BHU3" i="53" a="1"/>
  <c r="AVX3" i="53" a="1"/>
  <c r="JIY3" i="53" a="1"/>
  <c r="EQU3" i="53" a="1"/>
  <c r="WRL3" i="53" a="1"/>
  <c r="AAK3" i="53" a="1"/>
  <c r="MVB3" i="53" a="1"/>
  <c r="FUU3" i="53" a="1"/>
  <c r="IVH3" i="53" a="1"/>
  <c r="MHF3" i="53" a="1"/>
  <c r="SKG3" i="53" a="1"/>
  <c r="XCR3" i="53" a="1"/>
  <c r="YR3" i="53" a="1"/>
  <c r="TZO3" i="53" a="1"/>
  <c r="GUV3" i="53" a="1"/>
  <c r="RTB3" i="53" a="1"/>
  <c r="RQJ3" i="53" a="1"/>
  <c r="TH3" i="53" a="1"/>
  <c r="EDI3" i="53" a="1"/>
  <c r="BBQ3" i="53" a="1"/>
  <c r="NBP3" i="53" a="1"/>
  <c r="VAF3" i="53" a="1"/>
  <c r="PFN3" i="53" a="1"/>
  <c r="DOO3" i="53" a="1"/>
  <c r="PER3" i="53" a="1"/>
  <c r="KOC3" i="53" a="1"/>
  <c r="BLU3" i="53" a="1"/>
  <c r="PPW3" i="53" a="1"/>
  <c r="BMM3" i="53" a="1"/>
  <c r="TMF3" i="53" a="1"/>
  <c r="OEO3" i="53" a="1"/>
  <c r="FQN3" i="53" a="1"/>
  <c r="PHE3" i="53" a="1"/>
  <c r="RZV3" i="53" a="1"/>
  <c r="EDT3" i="53" a="1"/>
  <c r="FGA3" i="53" a="1"/>
  <c r="NFS3" i="53" a="1"/>
  <c r="MUU3" i="53" a="1"/>
  <c r="SPQ3" i="53" a="1"/>
  <c r="KUO3" i="53" a="1"/>
  <c r="FNV3" i="53" a="1"/>
  <c r="HJP3" i="53" a="1"/>
  <c r="SEU3" i="53" a="1"/>
  <c r="RSU3" i="53" a="1"/>
  <c r="OPM3" i="53" a="1"/>
  <c r="ENJ3" i="53" a="1"/>
  <c r="CSA3" i="53" a="1"/>
  <c r="RYD3" i="53" a="1"/>
  <c r="VNA3" i="53" a="1"/>
  <c r="RSH3" i="53" a="1"/>
  <c r="DYE3" i="53" a="1"/>
  <c r="C10" i="3" a="1"/>
  <c r="SGP3" i="53" a="1"/>
  <c r="SUE3" i="53" a="1"/>
  <c r="GPI3" i="53" a="1"/>
  <c r="UNO3" i="53" a="1"/>
  <c r="QMY3" i="53" a="1"/>
  <c r="KIY3" i="53" a="1"/>
  <c r="AGC3" i="53" a="1"/>
  <c r="JMV3" i="53" a="1"/>
  <c r="VQG3" i="53" a="1"/>
  <c r="VLS3" i="53" a="1"/>
  <c r="NKH3" i="53" a="1"/>
  <c r="EAB3" i="53" a="1"/>
  <c r="PTL3" i="53" a="1"/>
  <c r="VB3" i="53" a="1"/>
  <c r="NEQ3" i="53" a="1"/>
  <c r="XCZ3" i="53" a="1"/>
  <c r="FQU3" i="53" a="1"/>
  <c r="RFV3" i="53" a="1"/>
  <c r="LRF3" i="53" a="1"/>
  <c r="TVM3" i="53" a="1"/>
  <c r="MDY3" i="53" a="1"/>
  <c r="SZT3" i="53" a="1"/>
  <c r="OXM3" i="53" a="1"/>
  <c r="OYK3" i="53" a="1"/>
  <c r="JMW3" i="53" a="1"/>
  <c r="JGV3" i="53" a="1"/>
  <c r="C8" i="2" a="1"/>
  <c r="VPA3" i="53" a="1"/>
  <c r="LM3" i="53" a="1"/>
  <c r="ETV3" i="53" a="1"/>
  <c r="KNQ3" i="53" a="1"/>
  <c r="QTP3" i="53" a="1"/>
  <c r="RGZ3" i="53" a="1"/>
  <c r="VMT3" i="53" a="1"/>
  <c r="NIK3" i="53" a="1"/>
  <c r="FXZ3" i="53" a="1"/>
  <c r="TVV3" i="53" a="1"/>
  <c r="CQU3" i="53" a="1"/>
  <c r="TZE3" i="53" a="1"/>
  <c r="MRN3" i="53" a="1"/>
  <c r="MNM3" i="53" a="1"/>
  <c r="OVR3" i="53" a="1"/>
  <c r="TYF3" i="53" a="1"/>
  <c r="PQX3" i="53" a="1"/>
  <c r="KEL3" i="53" a="1"/>
  <c r="CBK3" i="53" a="1"/>
  <c r="OXL3" i="53" a="1"/>
  <c r="UQN3" i="53" a="1"/>
  <c r="FWT3" i="53" a="1"/>
  <c r="TOF3" i="53" a="1"/>
  <c r="NVP3" i="53" a="1"/>
  <c r="GCX3" i="53" a="1"/>
  <c r="OZE3" i="53" a="1"/>
  <c r="TML3" i="53" a="1"/>
  <c r="SJA3" i="53" a="1"/>
  <c r="KMT3" i="53" a="1"/>
  <c r="F3" i="6" a="1"/>
  <c r="WOS3" i="53" a="1"/>
  <c r="JHU3" i="53" a="1"/>
  <c r="HZY3" i="53" a="1"/>
  <c r="DLO3" i="53" a="1"/>
  <c r="GQQ3" i="53" a="1"/>
  <c r="BNE3" i="53" a="1"/>
  <c r="MOO3" i="53" a="1"/>
  <c r="OZS3" i="53" a="1"/>
  <c r="WZT3" i="53" a="1"/>
  <c r="LUR3" i="53" a="1"/>
  <c r="ONO3" i="53" a="1"/>
  <c r="AII3" i="53" a="1"/>
  <c r="MXN3" i="53" a="1"/>
  <c r="DUW3" i="53" a="1"/>
  <c r="EWF3" i="53" a="1"/>
  <c r="C42" i="53" a="1"/>
  <c r="MWB3" i="53" a="1"/>
  <c r="VUP3" i="53" a="1"/>
  <c r="SMV3" i="53" a="1"/>
  <c r="MTG3" i="53" a="1"/>
  <c r="UTE3" i="53" a="1"/>
  <c r="EBC3" i="53" a="1"/>
  <c r="DUS3" i="53" a="1"/>
  <c r="GAF3" i="53" a="1"/>
  <c r="MGV3" i="53" a="1"/>
  <c r="BRY3" i="53" a="1"/>
  <c r="IAF3" i="53" a="1"/>
  <c r="QQ3" i="53" a="1"/>
  <c r="AEH3" i="53" a="1"/>
  <c r="LYA3" i="53" a="1"/>
  <c r="QOH3" i="53" a="1"/>
  <c r="HLJ3" i="53" a="1"/>
  <c r="FZF3" i="53" a="1"/>
  <c r="TCK3" i="53" a="1"/>
  <c r="C20" i="3" a="1"/>
  <c r="IZJ3" i="53" a="1"/>
  <c r="C5" i="9" a="1"/>
  <c r="OXS3" i="53" a="1"/>
  <c r="ENE3" i="53" a="1"/>
  <c r="GJU3" i="53" a="1"/>
  <c r="ORI3" i="53" a="1"/>
  <c r="ABN3" i="53" a="1"/>
  <c r="CZS3" i="53" a="1"/>
  <c r="C29" i="53" a="1"/>
  <c r="EXJ3" i="53" a="1"/>
  <c r="FMY3" i="53" a="1"/>
  <c r="TDW3" i="53" a="1"/>
  <c r="AJM3" i="53" a="1"/>
  <c r="A3" i="47" a="1"/>
  <c r="NPQ3" i="53" a="1"/>
  <c r="NBK3" i="53" a="1"/>
  <c r="LES3" i="53" a="1"/>
  <c r="ITE3" i="53" a="1"/>
  <c r="VIT3" i="53" a="1"/>
  <c r="BGI3" i="53" a="1"/>
  <c r="MEY3" i="53" a="1"/>
  <c r="CPB3" i="53" a="1"/>
  <c r="IAY3" i="53" a="1"/>
  <c r="VCS3" i="53" a="1"/>
  <c r="CWM3" i="53" a="1"/>
  <c r="TUS3" i="53" a="1"/>
  <c r="C3" i="13" a="1"/>
  <c r="HIK3" i="53" a="1"/>
  <c r="TOM3" i="53" a="1"/>
  <c r="WOU3" i="53" a="1"/>
  <c r="OWW3" i="53" a="1"/>
  <c r="GGS3" i="53" a="1"/>
  <c r="JBO3" i="53" a="1"/>
  <c r="LGM3" i="53" a="1"/>
  <c r="UWI3" i="53" a="1"/>
  <c r="UVF3" i="53" a="1"/>
  <c r="AOF3" i="53" a="1"/>
  <c r="JSD3" i="53" a="1"/>
  <c r="BAL3" i="53" a="1"/>
  <c r="C48" i="53" a="1"/>
  <c r="VUH3" i="53" a="1"/>
  <c r="CBV3" i="53" a="1"/>
  <c r="JDM3" i="53" a="1"/>
  <c r="RCD3" i="53" a="1"/>
  <c r="PDO3" i="53" a="1"/>
  <c r="C33" i="6" a="1"/>
  <c r="TSE3" i="53" a="1"/>
  <c r="EZV3" i="53" a="1"/>
  <c r="ABS3" i="53" a="1"/>
  <c r="NCU3" i="53" a="1"/>
  <c r="BCW3" i="53" a="1"/>
  <c r="GVT3" i="53" a="1"/>
  <c r="VIV3" i="53" a="1"/>
  <c r="COD3" i="53" a="1"/>
  <c r="TDP3" i="53" a="1"/>
  <c r="SOJ3" i="53" a="1"/>
  <c r="AYS3" i="53" a="1"/>
  <c r="DXX3" i="53" a="1"/>
  <c r="QBA3" i="53" a="1"/>
  <c r="QAQ3" i="53" a="1"/>
  <c r="UEJ3" i="53" a="1"/>
  <c r="UYY3" i="53" a="1"/>
  <c r="OOO3" i="53" a="1"/>
  <c r="WIM3" i="53" a="1"/>
  <c r="OTU3" i="53" a="1"/>
  <c r="QDH3" i="53" a="1"/>
  <c r="FAT3" i="53" a="1"/>
  <c r="GKQ3" i="53" a="1"/>
  <c r="KPR3" i="53" a="1"/>
  <c r="OTA3" i="53" a="1"/>
  <c r="OSL3" i="53" a="1"/>
  <c r="CGN3" i="53" a="1"/>
  <c r="CEA3" i="53" a="1"/>
  <c r="JWR3" i="53" a="1"/>
  <c r="URI3" i="53" a="1"/>
  <c r="G44" i="40" a="1"/>
  <c r="GJQ3" i="53" a="1"/>
  <c r="FYX3" i="53" a="1"/>
  <c r="NAV3" i="53" a="1"/>
  <c r="JHR3" i="53" a="1"/>
  <c r="KCB3" i="53" a="1"/>
  <c r="BSW3" i="53" a="1"/>
  <c r="QYP3" i="53" a="1"/>
  <c r="CTY3" i="53" a="1"/>
  <c r="DAE3" i="53" a="1"/>
  <c r="FIZ3" i="53" a="1"/>
  <c r="QL3" i="53" a="1"/>
  <c r="CIT3" i="53" a="1"/>
  <c r="OLE3" i="53" a="1"/>
  <c r="BBS3" i="53" a="1"/>
  <c r="DU3" i="53" a="1"/>
  <c r="QCV3" i="53" a="1"/>
  <c r="OKN3" i="53" a="1"/>
  <c r="TFW3" i="53" a="1"/>
  <c r="PUY3" i="53" a="1"/>
  <c r="PEG3" i="53" a="1"/>
  <c r="SHX3" i="53" a="1"/>
  <c r="WGL3" i="53" a="1"/>
  <c r="CNF3" i="53" a="1"/>
  <c r="DNA3" i="53" a="1"/>
  <c r="JMF3" i="53" a="1"/>
  <c r="BXS3" i="53" a="1"/>
  <c r="LLQ3" i="53" a="1"/>
  <c r="MFZ3" i="53" a="1"/>
  <c r="CDB3" i="53" a="1"/>
  <c r="QIJ3" i="53" a="1"/>
  <c r="OSB3" i="53" a="1"/>
  <c r="DJZ3" i="53" a="1"/>
  <c r="TKK3" i="53" a="1"/>
  <c r="RJZ3" i="53" a="1"/>
  <c r="DXQ3" i="53" a="1"/>
  <c r="HOZ3" i="53" a="1"/>
  <c r="GLL3" i="53" a="1"/>
  <c r="PLP3" i="53" a="1"/>
  <c r="MJT3" i="53" a="1"/>
  <c r="PB3" i="53" a="1"/>
  <c r="EMJ3" i="53" a="1"/>
  <c r="FKX3" i="53" a="1"/>
  <c r="QHJ3" i="53" a="1"/>
  <c r="IER3" i="53" a="1"/>
  <c r="ELQ3" i="53" a="1"/>
  <c r="MZJ3" i="53" a="1"/>
  <c r="VIE3" i="53" a="1"/>
  <c r="KRN3" i="53" a="1"/>
  <c r="HMS3" i="53" a="1"/>
  <c r="E10" i="46" a="1"/>
  <c r="TNU3" i="53" a="1"/>
  <c r="WJR3" i="53" a="1"/>
  <c r="OQG3" i="53" a="1"/>
  <c r="NMZ3" i="53" a="1"/>
  <c r="GWL3" i="53" a="1"/>
  <c r="DSF3" i="53" a="1"/>
  <c r="AOW3" i="53" a="1"/>
  <c r="HFC3" i="53" a="1"/>
  <c r="DMB3" i="53" a="1"/>
  <c r="VHI3" i="53" a="1"/>
  <c r="QFQ3" i="53" a="1"/>
  <c r="JZF3" i="53" a="1"/>
  <c r="AUG3" i="53" a="1"/>
  <c r="EZC3" i="53" a="1"/>
  <c r="NDQ3" i="53" a="1"/>
  <c r="CTE3" i="53" a="1"/>
  <c r="LFT3" i="53" a="1"/>
  <c r="FYM3" i="53" a="1"/>
  <c r="MAM3" i="53" a="1"/>
  <c r="WDN3" i="53" a="1"/>
  <c r="SPA3" i="53" a="1"/>
  <c r="OOW3" i="53" a="1"/>
  <c r="TTN3" i="53" a="1"/>
  <c r="JOL3" i="53" a="1"/>
  <c r="MHA3" i="53" a="1"/>
  <c r="TGK3" i="53" a="1"/>
  <c r="RGK3" i="53" a="1"/>
  <c r="LPY3" i="53" a="1"/>
  <c r="NGY3" i="53" a="1"/>
  <c r="FLF3" i="53" a="1"/>
  <c r="FEU3" i="53" a="1"/>
  <c r="HEU3" i="53" a="1"/>
  <c r="EUO3" i="53" a="1"/>
  <c r="MTO3" i="53" a="1"/>
  <c r="GIB3" i="53" a="1"/>
  <c r="KMC3" i="53" a="1"/>
  <c r="BTU3" i="53" a="1"/>
  <c r="RVP3" i="53" a="1"/>
  <c r="DMS3" i="53" a="1"/>
  <c r="EDS3" i="53" a="1"/>
  <c r="OEG3" i="53" a="1"/>
  <c r="TVN3" i="53" a="1"/>
  <c r="LCP3" i="53" a="1"/>
  <c r="AOE3" i="53" a="1"/>
  <c r="C8" i="31" a="1"/>
  <c r="PNY3" i="53" a="1"/>
  <c r="PJN3" i="53" a="1"/>
  <c r="SO3" i="53" a="1"/>
  <c r="AV3" i="53" a="1"/>
  <c r="VDS3" i="53" a="1"/>
  <c r="SIK3" i="53" a="1"/>
  <c r="CPD3" i="53" a="1"/>
  <c r="KJQ3" i="53" a="1"/>
  <c r="UXS3" i="53" a="1"/>
  <c r="FAZ3" i="53" a="1"/>
  <c r="LRP3" i="53" a="1"/>
  <c r="K3" i="40" a="1"/>
  <c r="COJ3" i="53" a="1"/>
  <c r="CJZ3" i="53" a="1"/>
  <c r="BUY3" i="53" a="1"/>
  <c r="DOY3" i="53" a="1"/>
  <c r="LRE3" i="53" a="1"/>
  <c r="WPU3" i="53" a="1"/>
  <c r="TPZ3" i="53" a="1"/>
  <c r="BRS3" i="53" a="1"/>
  <c r="UWO3" i="53" a="1"/>
  <c r="HJF3" i="53" a="1"/>
  <c r="DEB3" i="53" a="1"/>
  <c r="MWC3" i="53" a="1"/>
  <c r="SVW3" i="53" a="1"/>
  <c r="VVM3" i="53" a="1"/>
  <c r="GIZ3" i="53" a="1"/>
  <c r="C61" i="53" a="1"/>
  <c r="OBG3" i="53" a="1"/>
  <c r="DVP3" i="53" a="1"/>
  <c r="KPB3" i="53" a="1"/>
  <c r="AME3" i="53" a="1"/>
  <c r="NII3" i="53" a="1"/>
  <c r="AJH3" i="53" a="1"/>
  <c r="AAX3" i="53" a="1"/>
  <c r="TMW3" i="53" a="1"/>
  <c r="STH3" i="53" a="1"/>
  <c r="PWN3" i="53" a="1"/>
  <c r="C32" i="4" a="1"/>
  <c r="QSH3" i="53" a="1"/>
  <c r="WPH3" i="53" a="1"/>
  <c r="GUQ3" i="53" a="1"/>
  <c r="HSI3" i="53" a="1"/>
  <c r="OWK3" i="53" a="1"/>
  <c r="TPH3" i="53" a="1"/>
  <c r="AHR3" i="53" a="1"/>
  <c r="VAE3" i="53" a="1"/>
  <c r="UQA3" i="53" a="1"/>
  <c r="OXG3" i="53" a="1"/>
  <c r="PBK3" i="53" a="1"/>
  <c r="GR3" i="53" a="1"/>
  <c r="VFD3" i="53" a="1"/>
  <c r="EA3" i="53" a="1"/>
  <c r="PZK3" i="53" a="1"/>
  <c r="VTY3" i="53" a="1"/>
  <c r="UGA3" i="53" a="1"/>
  <c r="LIS3" i="53" a="1"/>
  <c r="AYX3" i="53" a="1"/>
  <c r="BKN3" i="53" a="1"/>
  <c r="VLC3" i="53" a="1"/>
  <c r="OSC3" i="53" a="1"/>
  <c r="LMP3" i="53" a="1"/>
  <c r="VPE3" i="53" a="1"/>
  <c r="QIT3" i="53" a="1"/>
  <c r="TCJ3" i="53" a="1"/>
  <c r="SUN3" i="53" a="1"/>
  <c r="RMK3" i="53" a="1"/>
  <c r="ID3" i="53" a="1"/>
  <c r="VD3" i="53" a="1"/>
  <c r="PNA3" i="53" a="1"/>
  <c r="NNW3" i="53" a="1"/>
  <c r="KAR3" i="53" a="1"/>
  <c r="GAT3" i="53" a="1"/>
  <c r="VNV3" i="53" a="1"/>
  <c r="PUI3" i="53" a="1"/>
  <c r="ASA3" i="53" a="1"/>
  <c r="XAK3" i="53" a="1"/>
  <c r="CVZ3" i="53" a="1"/>
  <c r="GQF3" i="53" a="1"/>
  <c r="UHS3" i="53" a="1"/>
  <c r="RNP3" i="53" a="1"/>
  <c r="SNE3" i="53" a="1"/>
  <c r="QWO3" i="53" a="1"/>
  <c r="RPK3" i="53" a="1"/>
  <c r="ADD3" i="53" a="1"/>
  <c r="RAH3" i="53" a="1"/>
  <c r="IEB3" i="53" a="1"/>
  <c r="GTA3" i="53" a="1"/>
  <c r="NEK3" i="53" a="1"/>
  <c r="HZL3" i="53" a="1"/>
  <c r="BXQ3" i="53" a="1"/>
  <c r="IBR3" i="53" a="1"/>
  <c r="KKS3" i="53" a="1"/>
  <c r="IMZ3" i="53" a="1"/>
  <c r="KQO3" i="53" a="1"/>
  <c r="WEB3" i="53" a="1"/>
  <c r="UF3" i="53" a="1"/>
  <c r="CAU3" i="53" a="1"/>
  <c r="GCM3" i="53" a="1"/>
  <c r="NDY3" i="53" a="1"/>
  <c r="OHI3" i="53" a="1"/>
  <c r="ECL3" i="53" a="1"/>
  <c r="LNB3" i="53" a="1"/>
  <c r="VCT3" i="53" a="1"/>
  <c r="CTX3" i="53" a="1"/>
  <c r="ILD3" i="53" a="1"/>
  <c r="CQK3" i="53" a="1"/>
  <c r="NBO3" i="53" a="1"/>
  <c r="JR3" i="53" a="1"/>
  <c r="WBN3" i="53" a="1"/>
  <c r="CEO3" i="53" a="1"/>
  <c r="AAR3" i="53" a="1"/>
  <c r="LS3" i="53" a="1"/>
  <c r="TTZ3" i="53" a="1"/>
  <c r="PAJ3" i="53" a="1"/>
  <c r="RFM3" i="53" a="1"/>
  <c r="NAB3" i="53" a="1"/>
  <c r="BYB3" i="53" a="1"/>
  <c r="FAL3" i="53" a="1"/>
  <c r="ANW3" i="53" a="1"/>
  <c r="UHV3" i="53" a="1"/>
  <c r="RGD3" i="53" a="1"/>
  <c r="QW3" i="53" a="1"/>
  <c r="CCH3" i="53" a="1"/>
  <c r="ANC3" i="53" a="1"/>
  <c r="OVE3" i="53" a="1"/>
  <c r="WJH3" i="53" a="1"/>
  <c r="LPD3" i="53" a="1"/>
  <c r="PLR3" i="53" a="1"/>
  <c r="UEP3" i="53" a="1"/>
  <c r="IHD3" i="53" a="1"/>
  <c r="UDH3" i="53" a="1"/>
  <c r="FWF3" i="53" a="1"/>
  <c r="RV3" i="53" a="1"/>
  <c r="WAU3" i="53" a="1"/>
  <c r="BJM3" i="53" a="1"/>
  <c r="QMG3" i="53" a="1"/>
  <c r="BZK3" i="53" a="1"/>
  <c r="JDX3" i="53" a="1"/>
  <c r="FBS3" i="53" a="1"/>
  <c r="QI3" i="53" a="1"/>
  <c r="ERX3" i="53" a="1"/>
  <c r="FNP3" i="53" a="1"/>
  <c r="OFD3" i="53" a="1"/>
  <c r="URU3" i="53" a="1"/>
  <c r="JWQ3" i="53" a="1"/>
  <c r="QUC3" i="53" a="1"/>
  <c r="NMJ3" i="53" a="1"/>
  <c r="OGV3" i="53" a="1"/>
  <c r="FHL3" i="53" a="1"/>
  <c r="WGT3" i="53" a="1"/>
  <c r="VEM3" i="53" a="1"/>
  <c r="WSU3" i="53" a="1"/>
  <c r="IKL3" i="53" a="1"/>
  <c r="VFA3" i="53" a="1"/>
  <c r="JKP3" i="53" a="1"/>
  <c r="NR3" i="53" a="1"/>
  <c r="PQT3" i="53" a="1"/>
  <c r="NOY3" i="53" a="1"/>
  <c r="IRE3" i="53" a="1"/>
  <c r="WVH3" i="53" a="1"/>
  <c r="E23" i="40" a="1"/>
  <c r="QLP3" i="53" a="1"/>
  <c r="WMC3" i="53" a="1"/>
  <c r="KCK3" i="53" a="1"/>
  <c r="UTQ3" i="53" a="1"/>
  <c r="FVQ3" i="53" a="1"/>
  <c r="UDV3" i="53" a="1"/>
  <c r="KJU3" i="53" a="1"/>
  <c r="IIH3" i="53" a="1"/>
  <c r="HYE3" i="53" a="1"/>
  <c r="E56" i="4" a="1"/>
  <c r="HYC3" i="53" a="1"/>
  <c r="UEN3" i="53" a="1"/>
  <c r="RYR3" i="53" a="1"/>
  <c r="QQO3" i="53" a="1"/>
  <c r="VYX3" i="53" a="1"/>
  <c r="DLS3" i="53" a="1"/>
  <c r="THR3" i="53" a="1"/>
  <c r="FBD3" i="53" a="1"/>
  <c r="LVH3" i="53" a="1"/>
  <c r="GUC3" i="53" a="1"/>
  <c r="WHH3" i="53" a="1"/>
  <c r="UYI3" i="53" a="1"/>
  <c r="HNA3" i="53" a="1"/>
  <c r="CJF3" i="53" a="1"/>
  <c r="IBO3" i="53" a="1"/>
  <c r="NMB3" i="53" a="1"/>
  <c r="HHK3" i="53" a="1"/>
  <c r="FFE3" i="53" a="1"/>
  <c r="VMA3" i="53" a="1"/>
  <c r="EBA3" i="53" a="1"/>
  <c r="VAW3" i="53" a="1"/>
  <c r="QPA3" i="53" a="1"/>
  <c r="G3" i="6" a="1"/>
  <c r="MAT3" i="53" a="1"/>
  <c r="IFC3" i="53" a="1"/>
  <c r="EIP3" i="53" a="1"/>
  <c r="LMT3" i="53" a="1"/>
  <c r="OBC3" i="53" a="1"/>
  <c r="RFZ3" i="53" a="1"/>
  <c r="SPT3" i="53" a="1"/>
  <c r="BZH3" i="53" a="1"/>
  <c r="KCV3" i="53" a="1"/>
  <c r="MXI3" i="53" a="1"/>
  <c r="SMI3" i="53" a="1"/>
  <c r="ADB3" i="53" a="1"/>
  <c r="BLR3" i="53" a="1"/>
  <c r="FYA3" i="53" a="1"/>
  <c r="DQQ3" i="53" a="1"/>
  <c r="SWA3" i="53" a="1"/>
  <c r="GJG3" i="53" a="1"/>
  <c r="UYZ3" i="53" a="1"/>
  <c r="VDJ3" i="53" a="1"/>
  <c r="BYO3" i="53" a="1"/>
  <c r="GWA3" i="53" a="1"/>
  <c r="KQQ3" i="53" a="1"/>
  <c r="LFD3" i="53" a="1"/>
  <c r="VHP3" i="53" a="1"/>
  <c r="ITW3" i="53" a="1"/>
  <c r="KKD3" i="53" a="1"/>
  <c r="FJP3" i="53" a="1"/>
  <c r="NYI3" i="53" a="1"/>
  <c r="MTW3" i="53" a="1"/>
  <c r="DWU3" i="53" a="1"/>
  <c r="HKH3" i="53" a="1"/>
  <c r="NHS3" i="53" a="1"/>
  <c r="PVS3" i="53" a="1"/>
  <c r="KJZ3" i="53" a="1"/>
  <c r="PZI3" i="53" a="1"/>
  <c r="KEN3" i="53" a="1"/>
  <c r="NMN3" i="53" a="1"/>
  <c r="CDY3" i="53" a="1"/>
  <c r="HAR3" i="53" a="1"/>
  <c r="IQX3" i="53" a="1"/>
  <c r="BVD3" i="53" a="1"/>
  <c r="QCJ3" i="53" a="1"/>
  <c r="JYN3" i="53" a="1"/>
  <c r="UXH3" i="53" a="1"/>
  <c r="NZR3" i="53" a="1"/>
  <c r="MYS3" i="53" a="1"/>
  <c r="BEP3" i="53" a="1"/>
  <c r="BHY3" i="53" a="1"/>
  <c r="LAG3" i="53" a="1"/>
  <c r="WJO3" i="53" a="1"/>
  <c r="NHT3" i="53" a="1"/>
  <c r="ROE3" i="53" a="1"/>
  <c r="QGQ3" i="53" a="1"/>
  <c r="IZN3" i="53" a="1"/>
  <c r="OFL3" i="53" a="1"/>
  <c r="SHO3" i="53" a="1"/>
  <c r="SEF3" i="53" a="1"/>
  <c r="QYB3" i="53" a="1"/>
  <c r="ISI3" i="53" a="1"/>
  <c r="ATP3" i="53" a="1"/>
  <c r="UYF3" i="53" a="1"/>
  <c r="KRT3" i="53" a="1"/>
  <c r="WU3" i="53" a="1"/>
  <c r="JVC3" i="53" a="1"/>
  <c r="QEB3" i="53" a="1"/>
  <c r="LPC3" i="53" a="1"/>
  <c r="LXI3" i="53" a="1"/>
  <c r="BZD3" i="53" a="1"/>
  <c r="SUQ3" i="53" a="1"/>
  <c r="JSA3" i="53" a="1"/>
  <c r="AGZ3" i="53" a="1"/>
  <c r="UXC3" i="53" a="1"/>
  <c r="XDT3" i="53" a="1"/>
  <c r="MFO3" i="53" a="1"/>
  <c r="DWW3" i="53" a="1"/>
  <c r="GKS3" i="53" a="1"/>
  <c r="NZO3" i="53" a="1"/>
  <c r="FVM3" i="53" a="1"/>
  <c r="UDR3" i="53" a="1"/>
  <c r="CSY3" i="53" a="1"/>
  <c r="PDE3" i="53" a="1"/>
  <c r="UIJ3" i="53" a="1"/>
  <c r="SIR3" i="53" a="1"/>
  <c r="AZS3" i="53" a="1"/>
  <c r="OCZ3" i="53" a="1"/>
  <c r="VWD3" i="53" a="1"/>
  <c r="BMT3" i="53" a="1"/>
  <c r="FSC3" i="53" a="1"/>
  <c r="EZO3" i="53" a="1"/>
  <c r="VXC3" i="53" a="1"/>
  <c r="DJ3" i="53" a="1"/>
  <c r="CCK3" i="53" a="1"/>
  <c r="WEA3" i="53" a="1"/>
  <c r="VEZ3" i="53" a="1"/>
  <c r="DHQ3" i="53" a="1"/>
  <c r="C3" i="2" a="1"/>
  <c r="CRC3" i="53" a="1"/>
  <c r="LHY3" i="53" a="1"/>
  <c r="ADC3" i="53" a="1"/>
  <c r="BXX3" i="53" a="1"/>
  <c r="AHN3" i="53" a="1"/>
  <c r="SAC3" i="53" a="1"/>
  <c r="SMU3" i="53" a="1"/>
  <c r="UM3" i="53" a="1"/>
  <c r="OVD3" i="53" a="1"/>
  <c r="ULG3" i="53" a="1"/>
  <c r="MKB3" i="53" a="1"/>
  <c r="FMX3" i="53" a="1"/>
  <c r="OAW3" i="53" a="1"/>
  <c r="DEN3" i="53" a="1"/>
  <c r="ROX3" i="53" a="1"/>
  <c r="KVO3" i="53" a="1"/>
  <c r="OKZ3" i="53" a="1"/>
  <c r="C47" i="53" a="1"/>
  <c r="FFQ3" i="53" a="1"/>
  <c r="MLC3" i="53" a="1"/>
  <c r="NJP3" i="53" a="1"/>
  <c r="FGM3" i="53" a="1"/>
  <c r="NWS3" i="53" a="1"/>
  <c r="OJK3" i="53" a="1"/>
  <c r="USA3" i="53" a="1"/>
  <c r="FO3" i="53" a="1"/>
  <c r="AVO3" i="53" a="1"/>
  <c r="GLB3" i="53" a="1"/>
  <c r="QXZ3" i="53" a="1"/>
  <c r="CWN3" i="53" a="1"/>
  <c r="DDN3" i="53" a="1"/>
  <c r="MTL3" i="53" a="1"/>
  <c r="SUI3" i="53" a="1"/>
  <c r="RGW3" i="53" a="1"/>
  <c r="FF3" i="53" a="1"/>
  <c r="A3" i="4" a="1"/>
  <c r="AVD3" i="53" a="1"/>
  <c r="RKZ3" i="53" a="1"/>
  <c r="HDS3" i="53" a="1"/>
  <c r="OW3" i="53" a="1"/>
  <c r="PVC3" i="53" a="1"/>
  <c r="FSA3" i="53" a="1"/>
  <c r="WJE3" i="53" a="1"/>
  <c r="NEZ3" i="53" a="1"/>
  <c r="HSL3" i="53" a="1"/>
  <c r="HGQ3" i="53" a="1"/>
  <c r="QNM3" i="53" a="1"/>
  <c r="XBQ3" i="53" a="1"/>
  <c r="ENN3" i="53" a="1"/>
  <c r="CKK3" i="53" a="1"/>
  <c r="MCE3" i="53" a="1"/>
  <c r="AVK3" i="53" a="1"/>
  <c r="RPL3" i="53" a="1"/>
  <c r="XCM3" i="53" a="1"/>
  <c r="DQO3" i="53" a="1"/>
  <c r="VWF3" i="53" a="1"/>
  <c r="CIB3" i="53" a="1"/>
  <c r="FZS3" i="53" a="1"/>
  <c r="JDP3" i="53" a="1"/>
  <c r="RWM3" i="53" a="1"/>
  <c r="BTR3" i="53" a="1"/>
  <c r="IRF3" i="53" a="1"/>
  <c r="TYO3" i="53" a="1"/>
  <c r="D3" i="53" a="1"/>
  <c r="AGG3" i="53" a="1"/>
  <c r="BSX3" i="53" a="1"/>
  <c r="LPH3" i="53" a="1"/>
  <c r="BNO3" i="53" a="1"/>
  <c r="EAH3" i="53" a="1"/>
  <c r="C7" i="3" a="1"/>
  <c r="OYS3" i="53" a="1"/>
  <c r="GNZ3" i="53" a="1"/>
  <c r="JFR3" i="53" a="1"/>
  <c r="OKO3" i="53" a="1"/>
  <c r="ON3" i="53" a="1"/>
  <c r="PXV3" i="53" a="1"/>
  <c r="QZE3" i="53" a="1"/>
  <c r="OQV3" i="53" a="1"/>
  <c r="EFD3" i="53" a="1"/>
  <c r="LKS3" i="53" a="1"/>
  <c r="KHA3" i="53" a="1"/>
  <c r="KYD3" i="53" a="1"/>
  <c r="QVL3" i="53" a="1"/>
  <c r="FPM3" i="53" a="1"/>
  <c r="CNG3" i="53" a="1"/>
  <c r="NQB3" i="53" a="1"/>
  <c r="LEC3" i="53" a="1"/>
  <c r="LME3" i="53" a="1"/>
  <c r="FZV3" i="53" a="1"/>
  <c r="SHB3" i="53" a="1"/>
  <c r="EWD3" i="53" a="1"/>
  <c r="LYH3" i="53" a="1"/>
  <c r="OCQ3" i="53" a="1"/>
  <c r="ERK3" i="53" a="1"/>
  <c r="GKJ3" i="53" a="1"/>
  <c r="UWF3" i="53" a="1"/>
  <c r="PFH3" i="53" a="1"/>
  <c r="QSP3" i="53" a="1"/>
  <c r="ARR3" i="53" a="1"/>
  <c r="CDX3" i="53" a="1"/>
  <c r="QQE3" i="53" a="1"/>
  <c r="TTO3" i="53" a="1"/>
  <c r="C8" i="28" a="1"/>
  <c r="NSE3" i="53" a="1"/>
  <c r="AGS3" i="53" a="1"/>
  <c r="LSF3" i="53" a="1"/>
  <c r="TNB3" i="53" a="1"/>
  <c r="DXN3" i="53" a="1"/>
  <c r="OKU3" i="53" a="1"/>
  <c r="GLR3" i="53" a="1"/>
  <c r="LYY3" i="53" a="1"/>
  <c r="GKA3" i="53" a="1"/>
  <c r="LSO3" i="53" a="1"/>
  <c r="TGJ3" i="53" a="1"/>
  <c r="LYJ3" i="53" a="1"/>
  <c r="FHB3" i="53" a="1"/>
  <c r="JYW3" i="53" a="1"/>
  <c r="QFX3" i="53" a="1"/>
  <c r="IPN3" i="53" a="1"/>
  <c r="EPA3" i="53" a="1"/>
  <c r="OVF3" i="53" a="1"/>
  <c r="TSO3" i="53" a="1"/>
  <c r="VCL3" i="53" a="1"/>
  <c r="OYE3" i="53" a="1"/>
  <c r="QFM3" i="53" a="1"/>
  <c r="PYW3" i="53" a="1"/>
  <c r="JZR3" i="53" a="1"/>
  <c r="IPY3" i="53" a="1"/>
  <c r="QQZ3" i="53" a="1"/>
  <c r="IRX3" i="53" a="1"/>
  <c r="HJR3" i="53" a="1"/>
  <c r="KKJ3" i="53" a="1"/>
  <c r="IMQ3" i="53" a="1"/>
  <c r="LHO3" i="53" a="1"/>
  <c r="SMQ3" i="53" a="1"/>
  <c r="FHJ3" i="53" a="1"/>
  <c r="BQD3" i="53" a="1"/>
  <c r="IQU3" i="53" a="1"/>
  <c r="VLW3" i="53" a="1"/>
  <c r="JCF3" i="53" a="1"/>
  <c r="MPV3" i="53" a="1"/>
  <c r="KWH3" i="53" a="1"/>
  <c r="LD3" i="53" a="1"/>
  <c r="HCL3" i="53" a="1"/>
  <c r="GTO3" i="53" a="1"/>
  <c r="SVV3" i="53" a="1"/>
  <c r="PUA3" i="53" a="1"/>
  <c r="KIZ3" i="53" a="1"/>
  <c r="BZM3" i="53" a="1"/>
  <c r="VMU3" i="53" a="1"/>
  <c r="NBQ3" i="53" a="1"/>
  <c r="BGT3" i="53" a="1"/>
  <c r="NUR3" i="53" a="1"/>
  <c r="BLN3" i="53" a="1"/>
  <c r="KGW3" i="53" a="1"/>
  <c r="FOB3" i="53" a="1"/>
  <c r="QNN3" i="53" a="1"/>
  <c r="QVU3" i="53" a="1"/>
  <c r="C53" i="4" a="1"/>
  <c r="WHB3" i="53" a="1"/>
  <c r="SCQ3" i="53" a="1"/>
  <c r="DAL3" i="53" a="1"/>
  <c r="FRJ3" i="53" a="1"/>
  <c r="RR3" i="53" a="1"/>
  <c r="DEV3" i="53" a="1"/>
  <c r="BSA3" i="53" a="1"/>
  <c r="QZL3" i="53" a="1"/>
  <c r="AFR3" i="53" a="1"/>
  <c r="QMM3" i="53" a="1"/>
  <c r="LGN3" i="53" a="1"/>
  <c r="XCC3" i="53" a="1"/>
  <c r="DYK3" i="53" a="1"/>
  <c r="QZR3" i="53" a="1"/>
  <c r="MUV3" i="53" a="1"/>
  <c r="EMC3" i="53" a="1"/>
  <c r="QTW3" i="53" a="1"/>
  <c r="LVN3" i="53" a="1"/>
  <c r="POI3" i="53" a="1"/>
  <c r="LLN3" i="53" a="1"/>
  <c r="NNN3" i="53" a="1"/>
  <c r="FTV3" i="53" a="1"/>
  <c r="WSJ3" i="53" a="1"/>
  <c r="SKI3" i="53" a="1"/>
  <c r="SUK3" i="53" a="1"/>
  <c r="WP3" i="53" a="1"/>
  <c r="VDH3" i="53" a="1"/>
  <c r="MNT3" i="53" a="1"/>
  <c r="OSW3" i="53" a="1"/>
  <c r="OJJ3" i="53" a="1"/>
  <c r="RDY3" i="53" a="1"/>
  <c r="PHY3" i="53" a="1"/>
  <c r="E38" i="4" a="1"/>
  <c r="SKB3" i="53" a="1"/>
  <c r="SDA3" i="53" a="1"/>
  <c r="OZY3" i="53" a="1"/>
  <c r="UNW3" i="53" a="1"/>
  <c r="NPI3" i="53" a="1"/>
  <c r="QAO3" i="53" a="1"/>
  <c r="CIC3" i="53" a="1"/>
  <c r="BJH3" i="53" a="1"/>
  <c r="CHN3" i="53" a="1"/>
  <c r="BKR3" i="53" a="1"/>
  <c r="DPU3" i="53" a="1"/>
  <c r="PHO3" i="53" a="1"/>
  <c r="PDQ3" i="53" a="1"/>
  <c r="WCF3" i="53" a="1"/>
  <c r="QKT3" i="53" a="1"/>
  <c r="TNX3" i="53" a="1"/>
  <c r="C12" i="40" a="1"/>
  <c r="SRP3" i="53" a="1"/>
  <c r="GLA3" i="53" a="1"/>
  <c r="JBS3" i="53" a="1"/>
  <c r="QTG3" i="53" a="1"/>
  <c r="CHY3" i="53" a="1"/>
  <c r="UCJ3" i="53" a="1"/>
  <c r="EVK3" i="53" a="1"/>
  <c r="JLB3" i="53" a="1"/>
  <c r="EXQ3" i="53" a="1"/>
  <c r="NVC3" i="53" a="1"/>
  <c r="FMQ3" i="53" a="1"/>
  <c r="IHL3" i="53" a="1"/>
  <c r="OPH3" i="53" a="1"/>
  <c r="ODT3" i="53" a="1"/>
  <c r="CNP3" i="53" a="1"/>
  <c r="KB3" i="53" a="1"/>
  <c r="NAD3" i="53" a="1"/>
  <c r="UWQ3" i="53" a="1"/>
  <c r="TZR3" i="53" a="1"/>
  <c r="HHN3" i="53" a="1"/>
  <c r="AEX3" i="53" a="1"/>
  <c r="IVS3" i="53" a="1"/>
  <c r="GAA3" i="53" a="1"/>
  <c r="VEV3" i="53" a="1"/>
  <c r="LZA3" i="53" a="1"/>
  <c r="TCO3" i="53" a="1"/>
  <c r="IO3" i="53" a="1"/>
  <c r="FQO3" i="53" a="1"/>
  <c r="QEK3" i="53" a="1"/>
  <c r="NVB3" i="53" a="1"/>
  <c r="E12" i="31" a="1"/>
  <c r="SW3" i="53" a="1"/>
  <c r="TZJ3" i="53" a="1"/>
  <c r="SS3" i="53" a="1"/>
  <c r="C41" i="2" a="1"/>
  <c r="PTC3" i="53" a="1"/>
  <c r="HLN3" i="53" a="1"/>
  <c r="B3" i="13" a="1"/>
  <c r="HCC3" i="53" a="1"/>
  <c r="VFP3" i="53" a="1"/>
  <c r="IPJ3" i="53" a="1"/>
  <c r="UJB3" i="53" a="1"/>
  <c r="MSY3" i="53" a="1"/>
  <c r="NGR3" i="53" a="1"/>
  <c r="QAX3" i="53" a="1"/>
  <c r="KSX3" i="53" a="1"/>
  <c r="LXX3" i="53" a="1"/>
  <c r="RIY3" i="53" a="1"/>
  <c r="EFK3" i="53" a="1"/>
  <c r="OLO3" i="53" a="1"/>
  <c r="URC3" i="53" a="1"/>
  <c r="GSE3" i="53" a="1"/>
  <c r="BCK3" i="53" a="1"/>
  <c r="IYW3" i="53" a="1"/>
  <c r="IYH3" i="53" a="1"/>
  <c r="AJN3" i="53" a="1"/>
  <c r="WNL3" i="53" a="1"/>
  <c r="BRE3" i="53" a="1"/>
  <c r="ITF3" i="53" a="1"/>
  <c r="BL3" i="53" a="1"/>
  <c r="RHX3" i="53" a="1"/>
  <c r="RMB3" i="53" a="1"/>
  <c r="KVA3" i="53" a="1"/>
  <c r="BNR3" i="53" a="1"/>
  <c r="EUN3" i="53" a="1"/>
  <c r="GTZ3" i="53" a="1"/>
  <c r="BSR3" i="53" a="1"/>
  <c r="OWY3" i="53" a="1"/>
  <c r="UJO3" i="53" a="1"/>
  <c r="THU3" i="53" a="1"/>
  <c r="GFG3" i="53" a="1"/>
  <c r="PSQ3" i="53" a="1"/>
  <c r="JJ3" i="53" a="1"/>
  <c r="BG3" i="53" a="1"/>
  <c r="IFP3" i="53" a="1"/>
  <c r="TAV3" i="53" a="1"/>
  <c r="XEX3" i="53" a="1"/>
  <c r="IMY3" i="53" a="1"/>
  <c r="RSI3" i="53" a="1"/>
  <c r="PFC3" i="53" a="1"/>
  <c r="BIO3" i="53" a="1"/>
  <c r="LVR3" i="53" a="1"/>
  <c r="BEE3" i="53" a="1"/>
  <c r="NYU3" i="53" a="1"/>
  <c r="TWO3" i="53" a="1"/>
  <c r="OVN3" i="53" a="1"/>
  <c r="JSY3" i="53" a="1"/>
  <c r="PUW3" i="53" a="1"/>
  <c r="SWL3" i="53" a="1"/>
  <c r="MZC3" i="53" a="1"/>
  <c r="C13" i="46" a="1"/>
  <c r="FOS3" i="53" a="1"/>
  <c r="BMR3" i="53" a="1"/>
  <c r="GBY3" i="53" a="1"/>
  <c r="STW3" i="53" a="1"/>
  <c r="BSU3" i="53" a="1"/>
  <c r="DMT3" i="53" a="1"/>
  <c r="IMV3" i="53" a="1"/>
  <c r="PBM3" i="53" a="1"/>
  <c r="IWC3" i="53" a="1"/>
  <c r="DKI3" i="53" a="1"/>
  <c r="FKI3" i="53" a="1"/>
  <c r="OQL3" i="53" a="1"/>
  <c r="JNM3" i="53" a="1"/>
  <c r="JFF3" i="53" a="1"/>
  <c r="FPG3" i="53" a="1"/>
  <c r="HZV3" i="53" a="1"/>
  <c r="UU3" i="53" a="1"/>
  <c r="GXT3" i="53" a="1"/>
  <c r="KZT3" i="53" a="1"/>
  <c r="RKP3" i="53" a="1"/>
  <c r="IHE3" i="53" a="1"/>
  <c r="VGP3" i="53" a="1"/>
  <c r="DKR3" i="53" a="1"/>
  <c r="VFJ3" i="53" a="1"/>
  <c r="FUA3" i="53" a="1"/>
  <c r="NJR3" i="53" a="1"/>
  <c r="LSN3" i="53" a="1"/>
  <c r="JIS3" i="53" a="1"/>
  <c r="CUY3" i="53" a="1"/>
  <c r="SJE3" i="53" a="1"/>
  <c r="CXY3" i="53" a="1"/>
  <c r="AMW3" i="53" a="1"/>
  <c r="GON3" i="53" a="1"/>
  <c r="KYC3" i="53" a="1"/>
  <c r="BMJ3" i="53" a="1"/>
  <c r="MYJ3" i="53" a="1"/>
  <c r="CHU3" i="53" a="1"/>
  <c r="PQD3" i="53" a="1"/>
  <c r="GSP3" i="53" a="1"/>
  <c r="OCG3" i="53" a="1"/>
  <c r="QJW3" i="53" a="1"/>
  <c r="KSP3" i="53" a="1"/>
  <c r="MSP3" i="53" a="1"/>
  <c r="HPN3" i="53" a="1"/>
  <c r="STI3" i="53" a="1"/>
  <c r="RCH3" i="53" a="1"/>
  <c r="GSL3" i="53" a="1"/>
  <c r="VFI3" i="53" a="1"/>
  <c r="EWV3" i="53" a="1"/>
  <c r="KL3" i="53" a="1"/>
  <c r="HUE3" i="53" a="1"/>
  <c r="MII3" i="53" a="1"/>
  <c r="QDW3" i="53" a="1"/>
  <c r="QHN3" i="53" a="1"/>
  <c r="WEZ3" i="53" a="1"/>
  <c r="QKL3" i="53" a="1"/>
  <c r="KQB3" i="53" a="1"/>
  <c r="WYC3" i="53" a="1"/>
  <c r="FYW3" i="53" a="1"/>
  <c r="FMT3" i="53" a="1"/>
  <c r="FW3" i="53" a="1"/>
  <c r="UAX3" i="53" a="1"/>
  <c r="LCK3" i="53" a="1"/>
  <c r="SAX3" i="53" a="1"/>
  <c r="C43" i="6" a="1"/>
  <c r="VCN3" i="53" a="1"/>
  <c r="VPC3" i="53" a="1"/>
  <c r="QAC3" i="53" a="1"/>
  <c r="C15" i="6" a="1"/>
  <c r="TTY3" i="53" a="1"/>
  <c r="JCA3" i="53" a="1"/>
  <c r="FQJ3" i="53" a="1"/>
  <c r="JZM3" i="53" a="1"/>
  <c r="NOJ3" i="53" a="1"/>
  <c r="MUY3" i="53" a="1"/>
  <c r="KET3" i="53" a="1"/>
  <c r="ITS3" i="53" a="1"/>
  <c r="DRU3" i="53" a="1"/>
  <c r="GIP3" i="53" a="1"/>
  <c r="DDX3" i="53" a="1"/>
  <c r="ABI3" i="53" a="1"/>
  <c r="LWK3" i="53" a="1"/>
  <c r="TIJ3" i="53" a="1"/>
  <c r="PDH3" i="53" a="1"/>
  <c r="E9" i="46" a="1"/>
  <c r="HRB3" i="53" a="1"/>
  <c r="MO3" i="53" a="1"/>
  <c r="B3" i="41" a="1"/>
  <c r="KLO3" i="53" a="1"/>
  <c r="GEH3" i="53" a="1"/>
  <c r="LUY3" i="53" a="1"/>
  <c r="MFE3" i="53" a="1"/>
  <c r="VWA3" i="53" a="1"/>
  <c r="MUC3" i="53" a="1"/>
  <c r="ASN3" i="53" a="1"/>
  <c r="VAH3" i="53" a="1"/>
  <c r="LXG3" i="53" a="1"/>
  <c r="OJB3" i="53" a="1"/>
  <c r="DVR3" i="53" a="1"/>
  <c r="MUB3" i="53" a="1"/>
  <c r="WIW3" i="53" a="1"/>
  <c r="SZR3" i="53" a="1"/>
  <c r="JKG3" i="53" a="1"/>
  <c r="CYX3" i="53" a="1"/>
  <c r="UYU3" i="53" a="1"/>
  <c r="IBU3" i="53" a="1"/>
  <c r="CQZ3" i="53" a="1"/>
  <c r="KIU3" i="53" a="1"/>
  <c r="HLE3" i="53" a="1"/>
  <c r="WGP3" i="53" a="1"/>
  <c r="FAQ3" i="53" a="1"/>
  <c r="IOZ3" i="53" a="1"/>
  <c r="LDG3" i="53" a="1"/>
  <c r="RKK3" i="53" a="1"/>
  <c r="OEP3" i="53" a="1"/>
  <c r="EUY3" i="53" a="1"/>
  <c r="KVV3" i="53" a="1"/>
  <c r="ODI3" i="53" a="1"/>
  <c r="QZH3" i="53" a="1"/>
  <c r="C65" i="53" a="1"/>
  <c r="RJO3" i="53" a="1"/>
  <c r="RYF3" i="53" a="1"/>
  <c r="CRG3" i="53" a="1"/>
  <c r="CHH3" i="53" a="1"/>
  <c r="ACW3" i="53" a="1"/>
  <c r="E50" i="40" a="1"/>
  <c r="NFK3" i="53" a="1"/>
  <c r="BUB3" i="53" a="1"/>
  <c r="BQ3" i="53" a="1"/>
  <c r="CCJ3" i="53" a="1"/>
  <c r="PEP3" i="53" a="1"/>
  <c r="LYP3" i="53" a="1"/>
  <c r="BKV3" i="53" a="1"/>
  <c r="DWS3" i="53" a="1"/>
  <c r="TMI3" i="53" a="1"/>
  <c r="E58" i="4" a="1"/>
  <c r="BR3" i="53" a="1"/>
  <c r="AHF3" i="53" a="1"/>
  <c r="E163" i="27" a="1"/>
  <c r="C16" i="3" a="1"/>
  <c r="SDW3" i="53" a="1"/>
  <c r="GVM3" i="53" a="1"/>
  <c r="GRH3" i="53" a="1"/>
  <c r="QGN3" i="53" a="1"/>
  <c r="HUT3" i="53" a="1"/>
  <c r="MI3" i="53" a="1"/>
  <c r="C16" i="6" a="1"/>
  <c r="LHF3" i="53" a="1"/>
  <c r="LIQ3" i="53" a="1"/>
  <c r="C80" i="27" a="1"/>
  <c r="WYQ3" i="53" a="1"/>
  <c r="IFV3" i="53" a="1"/>
  <c r="LIA3" i="53" a="1"/>
  <c r="MKK3" i="53" a="1"/>
  <c r="CGU3" i="53" a="1"/>
  <c r="JOG3" i="53" a="1"/>
  <c r="GNE3" i="53" a="1"/>
  <c r="QKN3" i="53" a="1"/>
  <c r="C13" i="37" a="1"/>
  <c r="TME3" i="53" a="1"/>
  <c r="SNG3" i="53" a="1"/>
  <c r="WVK3" i="53" a="1"/>
  <c r="GQO3" i="53" a="1"/>
  <c r="NN3" i="53" a="1"/>
  <c r="LKM3" i="53" a="1"/>
  <c r="IZY3" i="53" a="1"/>
  <c r="OKB3" i="53" a="1"/>
  <c r="BOD3" i="53" a="1"/>
  <c r="SXI3" i="53" a="1"/>
  <c r="TQB3" i="53" a="1"/>
  <c r="MQY3" i="53" a="1"/>
  <c r="EZM3" i="53" a="1"/>
  <c r="KHU3" i="53" a="1"/>
  <c r="RKY3" i="53" a="1"/>
  <c r="SWR3" i="53" a="1"/>
  <c r="BLI3" i="53" a="1"/>
  <c r="VTT3" i="53" a="1"/>
  <c r="BJN3" i="53" a="1"/>
  <c r="WDC3" i="53" a="1"/>
  <c r="HMR3" i="53" a="1"/>
  <c r="EGZ3" i="53" a="1"/>
  <c r="DOE3" i="53" a="1"/>
  <c r="JVU3" i="53" a="1"/>
  <c r="OLS3" i="53" a="1"/>
  <c r="CTT3" i="53" a="1"/>
  <c r="HZH3" i="53" a="1"/>
  <c r="IFK3" i="53" a="1"/>
  <c r="ITQ3" i="53" a="1"/>
  <c r="MHC3" i="53" a="1"/>
  <c r="A3" i="41" a="1"/>
  <c r="WQK3" i="53" a="1"/>
  <c r="PAG3" i="53" a="1"/>
  <c r="SDV3" i="53" a="1"/>
  <c r="OLC3" i="53" a="1"/>
  <c r="TTX3" i="53" a="1"/>
  <c r="E30" i="40" a="1"/>
  <c r="TBI3" i="53" a="1"/>
  <c r="EYA3" i="53" a="1"/>
  <c r="TYB3" i="53" a="1"/>
  <c r="NOZ3" i="53" a="1"/>
  <c r="RTO3" i="53" a="1"/>
  <c r="UAK3" i="53" a="1"/>
  <c r="DEO3" i="53" a="1"/>
  <c r="J3" i="2" a="1"/>
  <c r="MME3" i="53" a="1"/>
  <c r="AQU3" i="53" a="1"/>
  <c r="BSC3" i="53" a="1"/>
  <c r="PKX3" i="53" a="1"/>
  <c r="PTG3" i="53" a="1"/>
  <c r="PWH3" i="53" a="1"/>
  <c r="VUV3" i="53" a="1"/>
  <c r="QZP3" i="53" a="1"/>
  <c r="DSG3" i="53" a="1"/>
  <c r="VNK3" i="53" a="1"/>
  <c r="IGW3" i="53" a="1"/>
  <c r="SHM3" i="53" a="1"/>
  <c r="OIP3" i="53" a="1"/>
  <c r="QBG3" i="53" a="1"/>
  <c r="PSA3" i="53" a="1"/>
  <c r="TLY3" i="53" a="1"/>
  <c r="VSQ3" i="53" a="1"/>
  <c r="TV3" i="53" a="1"/>
  <c r="RWN3" i="53" a="1"/>
  <c r="KCF3" i="53" a="1"/>
  <c r="CZT3" i="53" a="1"/>
  <c r="UJJ3" i="53" a="1"/>
  <c r="FUE3" i="53" a="1"/>
  <c r="CKC3" i="53" a="1"/>
  <c r="QMI3" i="53" a="1"/>
  <c r="KSQ3" i="53" a="1"/>
  <c r="ADG3" i="53" a="1"/>
  <c r="C3" i="9" a="1"/>
  <c r="JTS3" i="53" a="1"/>
  <c r="GPH3" i="53" a="1"/>
  <c r="MXW3" i="53" a="1"/>
  <c r="HZE3" i="53" a="1"/>
  <c r="HTT3" i="53" a="1"/>
  <c r="ORP3" i="53" a="1"/>
  <c r="AVP3" i="53" a="1"/>
  <c r="RVK3" i="53" a="1"/>
  <c r="NVD3" i="53" a="1"/>
  <c r="VVG3" i="53" a="1"/>
  <c r="FNQ3" i="53" a="1"/>
  <c r="PPM3" i="53" a="1"/>
  <c r="WFQ3" i="53" a="1"/>
  <c r="ROG3" i="53" a="1"/>
  <c r="KQH3" i="53" a="1"/>
  <c r="XAG3" i="53" a="1"/>
  <c r="JP3" i="53" a="1"/>
  <c r="RAA3" i="53" a="1"/>
  <c r="LGV3" i="53" a="1"/>
  <c r="PPZ3" i="53" a="1"/>
  <c r="AVE3" i="53" a="1"/>
  <c r="NXA3" i="53" a="1"/>
  <c r="SXE3" i="53" a="1"/>
  <c r="TCY3" i="53" a="1"/>
  <c r="RFJ3" i="53" a="1"/>
  <c r="PPJ3" i="53" a="1"/>
  <c r="BFQ3" i="53" a="1"/>
  <c r="NM3" i="53" a="1"/>
  <c r="QUA3" i="53" a="1"/>
  <c r="KBK3" i="53" a="1"/>
  <c r="OFI3" i="53" a="1"/>
  <c r="FVT3" i="53" a="1"/>
  <c r="JNI3" i="53" a="1"/>
  <c r="GST3" i="53" a="1"/>
  <c r="NK3" i="53" a="1"/>
  <c r="DLW3" i="53" a="1"/>
  <c r="ODY3" i="53" a="1"/>
  <c r="C36" i="4" a="1"/>
  <c r="KLS3" i="53" a="1"/>
  <c r="DZS3" i="53" a="1"/>
  <c r="VQL3" i="53" a="1"/>
  <c r="NOH3" i="53" a="1"/>
  <c r="VAI3" i="53" a="1"/>
  <c r="CYC3" i="53" a="1"/>
  <c r="FJB3" i="53" a="1"/>
  <c r="AAN3" i="53" a="1"/>
  <c r="OCY3" i="53" a="1"/>
  <c r="UYW3" i="53" a="1"/>
  <c r="FBF3" i="53" a="1"/>
  <c r="SHR3" i="53" a="1"/>
  <c r="SJC3" i="53" a="1"/>
  <c r="CCS3" i="53" a="1"/>
  <c r="CMD3" i="53" a="1"/>
  <c r="PMC3" i="53" a="1"/>
  <c r="KXD3" i="53" a="1"/>
  <c r="SNT3" i="53" a="1"/>
  <c r="LFL3" i="53" a="1"/>
  <c r="QXQ3" i="53" a="1"/>
  <c r="JSQ3" i="53" a="1"/>
  <c r="DME3" i="53" a="1"/>
  <c r="ICU3" i="53" a="1"/>
  <c r="EMV3" i="53" a="1"/>
  <c r="DXG3" i="53" a="1"/>
  <c r="PW3" i="53" a="1"/>
  <c r="BVL3" i="53" a="1"/>
  <c r="EWZ3" i="53" a="1"/>
  <c r="TLZ3" i="53" a="1"/>
  <c r="J3" i="12" a="1"/>
  <c r="AFO3" i="53" a="1"/>
  <c r="EXF3" i="53" a="1"/>
  <c r="MYQ3" i="53" a="1"/>
  <c r="URZ3" i="53" a="1"/>
  <c r="OWL3" i="53" a="1"/>
  <c r="KYU3" i="53" a="1"/>
  <c r="PDB3" i="53" a="1"/>
  <c r="WFT3" i="53" a="1"/>
  <c r="FFD3" i="53" a="1"/>
  <c r="FRL3" i="53" a="1"/>
  <c r="JBE3" i="53" a="1"/>
  <c r="NRP3" i="53" a="1"/>
  <c r="TUP3" i="53" a="1"/>
  <c r="WIT3" i="53" a="1"/>
  <c r="KHD3" i="53" a="1"/>
  <c r="KAI3" i="53" a="1"/>
  <c r="C19" i="59" a="1"/>
  <c r="TXA3" i="53" a="1"/>
  <c r="RMM3" i="53" a="1"/>
  <c r="VWN3" i="53" a="1"/>
  <c r="KEC3" i="53" a="1"/>
  <c r="MGG3" i="53" a="1"/>
  <c r="KGN3" i="53" a="1"/>
  <c r="RFT3" i="53" a="1"/>
  <c r="CRQ3" i="53" a="1"/>
  <c r="KIK3" i="53" a="1"/>
  <c r="BEQ3" i="53" a="1"/>
  <c r="FXV3" i="53" a="1"/>
  <c r="WIY3" i="53" a="1"/>
  <c r="MZD3" i="53" a="1"/>
  <c r="GEV3" i="53" a="1"/>
  <c r="EYC3" i="53" a="1"/>
  <c r="RGX3" i="53" a="1"/>
  <c r="WKY3" i="53" a="1"/>
  <c r="JVS3" i="53" a="1"/>
  <c r="VHA3" i="53" a="1"/>
  <c r="LIB3" i="53" a="1"/>
  <c r="EVR3" i="53" a="1"/>
  <c r="CGE3" i="53" a="1"/>
  <c r="TFL3" i="53" a="1"/>
  <c r="AQD3" i="53" a="1"/>
  <c r="EAK3" i="53" a="1"/>
  <c r="SRU3" i="53" a="1"/>
  <c r="VHG3" i="53" a="1"/>
  <c r="DBE3" i="53" a="1"/>
  <c r="SER3" i="53" a="1"/>
  <c r="TTR3" i="53" a="1"/>
  <c r="FTH3" i="53" a="1"/>
  <c r="DNF3" i="53" a="1"/>
  <c r="C50" i="40" a="1"/>
  <c r="FWD3" i="53" a="1"/>
  <c r="AOC3" i="53" a="1"/>
  <c r="UZC3" i="53" a="1"/>
  <c r="LLP3" i="53" a="1"/>
  <c r="NQG3" i="53" a="1"/>
  <c r="EJ3" i="53" a="1"/>
  <c r="FHG3" i="53" a="1"/>
  <c r="AW3" i="53" a="1"/>
  <c r="AAY3" i="53" a="1"/>
  <c r="GCN3" i="53" a="1"/>
  <c r="IKY3" i="53" a="1"/>
  <c r="PUG3" i="53" a="1"/>
  <c r="VSC3" i="53" a="1"/>
  <c r="HVR3" i="53" a="1"/>
  <c r="EWK3" i="53" a="1"/>
  <c r="SCB3" i="53" a="1"/>
  <c r="CUJ3" i="53" a="1"/>
  <c r="EGQ3" i="53" a="1"/>
  <c r="QYQ3" i="53" a="1"/>
  <c r="NMH3" i="53" a="1"/>
  <c r="C22" i="40" a="1"/>
  <c r="FKF3" i="53" a="1"/>
  <c r="JDI3" i="53" a="1"/>
  <c r="TOK3" i="53" a="1"/>
  <c r="BJS3" i="53" a="1"/>
  <c r="VQP3" i="53" a="1"/>
  <c r="SEK3" i="53" a="1"/>
  <c r="OIQ3" i="53" a="1"/>
  <c r="LNU3" i="53" a="1"/>
  <c r="NKT3" i="53" a="1"/>
  <c r="CJ3" i="53" a="1"/>
  <c r="QZD3" i="53" a="1"/>
  <c r="KKX3" i="53" a="1"/>
  <c r="VFU3" i="53" a="1"/>
  <c r="FJU3" i="53" a="1"/>
  <c r="MEB3" i="53" a="1"/>
  <c r="IUP3" i="53" a="1"/>
  <c r="VNL3" i="53" a="1"/>
  <c r="HFO3" i="53" a="1"/>
  <c r="URY3" i="53" a="1"/>
  <c r="ATR3" i="53" a="1"/>
  <c r="E13" i="40" a="1"/>
  <c r="C9" i="6" a="1"/>
  <c r="GKR3" i="53" a="1"/>
  <c r="C6" i="56" a="1"/>
  <c r="A3" i="57" a="1"/>
  <c r="VYP3" i="53" a="1"/>
  <c r="IN3" i="53" a="1"/>
  <c r="AIJ3" i="53" a="1"/>
  <c r="INQ3" i="53" a="1"/>
  <c r="JTV3" i="53" a="1"/>
  <c r="XFD3" i="53" a="1"/>
  <c r="QKZ3" i="53" a="1"/>
  <c r="FVU3" i="53" a="1"/>
  <c r="C118" i="27" a="1"/>
  <c r="AO3" i="53" a="1"/>
  <c r="PSK3" i="53" a="1"/>
  <c r="ILG3" i="53" a="1"/>
  <c r="FSN3" i="53" a="1"/>
  <c r="NKJ3" i="53" a="1"/>
  <c r="PJ3" i="53" a="1"/>
  <c r="CJS3" i="53" a="1"/>
  <c r="OBN3" i="53" a="1"/>
  <c r="MTI3" i="53" a="1"/>
  <c r="TRD3" i="53" a="1"/>
  <c r="EKG3" i="53" a="1"/>
  <c r="BXM3" i="53" a="1"/>
  <c r="OES3" i="53" a="1"/>
  <c r="PMS3" i="53" a="1"/>
  <c r="BYT3" i="53" a="1"/>
  <c r="LZU3" i="53" a="1"/>
  <c r="NJO3" i="53" a="1"/>
  <c r="MNY3" i="53" a="1"/>
  <c r="KXM3" i="53" a="1"/>
  <c r="KEF3" i="53" a="1"/>
  <c r="JRY3" i="53" a="1"/>
  <c r="TOU3" i="53" a="1"/>
  <c r="RJX3" i="53" a="1"/>
  <c r="WEX3" i="53" a="1"/>
  <c r="JGQ3" i="53" a="1"/>
  <c r="RRQ3" i="53" a="1"/>
  <c r="KNH3" i="53" a="1"/>
  <c r="QSD3" i="53" a="1"/>
  <c r="OFV3" i="53" a="1"/>
  <c r="GFD3" i="53" a="1"/>
  <c r="VCK3" i="53" a="1"/>
  <c r="C16" i="4" a="1"/>
  <c r="VUU3" i="53" a="1"/>
  <c r="R3" i="53" a="1"/>
  <c r="JZE3" i="53" a="1"/>
  <c r="RYY3" i="53" a="1"/>
  <c r="JQ3" i="53" a="1"/>
  <c r="PKF3" i="53" a="1"/>
  <c r="QHS3" i="53" a="1"/>
  <c r="JEP3" i="53" a="1"/>
  <c r="BSD3" i="53" a="1"/>
  <c r="FNO3" i="53" a="1"/>
  <c r="FSH3" i="53" a="1"/>
  <c r="FHY3" i="53" a="1"/>
  <c r="KLP3" i="53" a="1"/>
  <c r="JMB3" i="53" a="1"/>
  <c r="CAA3" i="53" a="1"/>
  <c r="VJX3" i="53" a="1"/>
  <c r="PCD3" i="53" a="1"/>
  <c r="E3" i="20" a="1"/>
  <c r="UFA3" i="53" a="1"/>
  <c r="BQE3" i="53" a="1"/>
  <c r="SAH3" i="53" a="1"/>
  <c r="QTJ3" i="53" a="1"/>
  <c r="MSS3" i="53" a="1"/>
  <c r="KXF3" i="53" a="1"/>
  <c r="HW3" i="53" a="1"/>
  <c r="JXZ3" i="53" a="1"/>
  <c r="ASI3" i="53" a="1"/>
  <c r="NZF3" i="53" a="1"/>
  <c r="OXF3" i="53" a="1"/>
  <c r="RLP3" i="53" a="1"/>
  <c r="NKS3" i="53" a="1"/>
  <c r="KGM3" i="53" a="1"/>
  <c r="SKC3" i="53" a="1"/>
  <c r="FTA3" i="53" a="1"/>
  <c r="EVL3" i="53" a="1"/>
  <c r="PTR3" i="53" a="1"/>
  <c r="FOW3" i="53" a="1"/>
  <c r="FRZ3" i="53" a="1"/>
  <c r="MZP3" i="53" a="1"/>
  <c r="ZE3" i="53" a="1"/>
  <c r="KDD3" i="53" a="1"/>
  <c r="VIR3" i="53" a="1"/>
  <c r="DUM3" i="53" a="1"/>
  <c r="BCA3" i="53" a="1"/>
  <c r="PCG3" i="53" a="1"/>
  <c r="OMA3" i="53" a="1"/>
  <c r="OHV3" i="53" a="1"/>
  <c r="LTX3" i="53" a="1"/>
  <c r="ECH3" i="53" a="1"/>
  <c r="LGY3" i="53" a="1"/>
  <c r="DNG3" i="53" a="1"/>
  <c r="XAC3" i="53" a="1"/>
  <c r="FWK3" i="53" a="1"/>
  <c r="NGE3" i="53" a="1"/>
  <c r="RJC3" i="53" a="1"/>
  <c r="RRV3" i="53" a="1"/>
  <c r="EJT3" i="53" a="1"/>
  <c r="RUF3" i="53" a="1"/>
  <c r="URO3" i="53" a="1"/>
  <c r="GXE3" i="53" a="1"/>
  <c r="FJK3" i="53" a="1"/>
  <c r="FBA3" i="53" a="1"/>
  <c r="IIX3" i="53" a="1"/>
  <c r="KTJ3" i="53" a="1"/>
  <c r="NDU3" i="53" a="1"/>
  <c r="VN3" i="53" a="1"/>
  <c r="GMZ3" i="53" a="1"/>
  <c r="CZW3" i="53" a="1"/>
  <c r="VWB3" i="53" a="1"/>
  <c r="IBW3" i="53" a="1"/>
  <c r="IFB3" i="53" a="1"/>
  <c r="PZN3" i="53" a="1"/>
  <c r="OND3" i="53" a="1"/>
  <c r="KAL3" i="53" a="1"/>
  <c r="TN3" i="53" a="1"/>
  <c r="WQA3" i="53" a="1"/>
  <c r="IPF3" i="53" a="1"/>
  <c r="BCN3" i="53" a="1"/>
  <c r="CWL3" i="53" a="1"/>
  <c r="CND3" i="53" a="1"/>
  <c r="GMI3" i="53" a="1"/>
  <c r="XED3" i="53" a="1"/>
  <c r="BTT3" i="53" a="1"/>
  <c r="EWW3" i="53" a="1"/>
  <c r="SGU3" i="53" a="1"/>
  <c r="WMB3" i="53" a="1"/>
  <c r="LSI3" i="53" a="1"/>
  <c r="RAQ3" i="53" a="1"/>
  <c r="AAB3" i="53" a="1"/>
  <c r="DSZ3" i="53" a="1"/>
  <c r="TLR3" i="53" a="1"/>
  <c r="MHH3" i="53" a="1"/>
  <c r="HHC3" i="53" a="1"/>
  <c r="PGU3" i="53" a="1"/>
  <c r="IMO3" i="53" a="1"/>
  <c r="TMJ3" i="53" a="1"/>
  <c r="OBK3" i="53" a="1"/>
  <c r="FBQ3" i="53" a="1"/>
  <c r="DSI3" i="53" a="1"/>
  <c r="LGX3" i="53" a="1"/>
  <c r="DSC3" i="53" a="1"/>
  <c r="ROA3" i="53" a="1"/>
  <c r="CGH3" i="53" a="1"/>
  <c r="HQY3" i="53" a="1"/>
  <c r="CB3" i="53" a="1"/>
  <c r="SWB3" i="53" a="1"/>
  <c r="CMO3" i="53" a="1"/>
  <c r="MXF3" i="53" a="1"/>
  <c r="LTD3" i="53" a="1"/>
  <c r="TKB3" i="53" a="1"/>
  <c r="GBI3" i="53" a="1"/>
  <c r="VNE3" i="53" a="1"/>
  <c r="GVN3" i="53" a="1"/>
  <c r="EZA3" i="53" a="1"/>
  <c r="CFY3" i="53" a="1"/>
  <c r="QUF3" i="53" a="1"/>
  <c r="ACI3" i="53" a="1"/>
  <c r="TLF3" i="53" a="1"/>
  <c r="AGX3" i="53" a="1"/>
  <c r="INF3" i="53" a="1"/>
  <c r="G49" i="40" a="1"/>
  <c r="ITP3" i="53" a="1"/>
  <c r="GAX3" i="53" a="1"/>
  <c r="ATU3" i="53" a="1"/>
  <c r="MVQ3" i="53" a="1"/>
  <c r="UWR3" i="53" a="1"/>
  <c r="CYW3" i="53" a="1"/>
  <c r="BIV3" i="53" a="1"/>
  <c r="VFX3" i="53" a="1"/>
  <c r="GMV3" i="53" a="1"/>
  <c r="ICP3" i="53" a="1"/>
  <c r="G3" i="5" a="1"/>
  <c r="RLF3" i="53" a="1"/>
  <c r="HHG3" i="53" a="1"/>
  <c r="OSZ3" i="53" a="1"/>
  <c r="DEK3" i="53" a="1"/>
  <c r="GJK3" i="53" a="1"/>
  <c r="HHO3" i="53" a="1"/>
  <c r="RMF3" i="53" a="1"/>
  <c r="GZN3" i="53" a="1"/>
  <c r="C67" i="53" a="1"/>
  <c r="VXT3" i="53" a="1"/>
  <c r="ADM3" i="53" a="1"/>
  <c r="GLO3" i="53" a="1"/>
  <c r="FLW3" i="53" a="1"/>
  <c r="AIW3" i="53" a="1"/>
  <c r="SZQ3" i="53" a="1"/>
  <c r="E3" i="12" a="1"/>
  <c r="PGF3" i="53" a="1"/>
  <c r="OTV3" i="53" a="1"/>
  <c r="GMD3" i="53" a="1"/>
  <c r="KMZ3" i="53" a="1"/>
  <c r="QHW3" i="53" a="1"/>
  <c r="VRK3" i="53" a="1"/>
  <c r="VPB3" i="53" a="1"/>
  <c r="LXT3" i="53" a="1"/>
  <c r="FMU3" i="53" a="1"/>
  <c r="LTR3" i="53" a="1"/>
  <c r="AQF3" i="53" a="1"/>
  <c r="FGJ3" i="53" a="1"/>
  <c r="AXO3" i="53" a="1"/>
  <c r="RBE3" i="53" a="1"/>
  <c r="GZV3" i="53" a="1"/>
  <c r="VYC3" i="53" a="1"/>
  <c r="DGC3" i="53" a="1"/>
  <c r="OCB3" i="53" a="1"/>
  <c r="UZL3" i="53" a="1"/>
  <c r="JWG3" i="53" a="1"/>
  <c r="CQ3" i="53" a="1"/>
  <c r="XEO3" i="53" a="1"/>
  <c r="FLD3" i="53" a="1"/>
  <c r="A3" i="20" a="1"/>
  <c r="KHJ3" i="53" a="1"/>
  <c r="BVB3" i="53" a="1"/>
  <c r="IUB3" i="53" a="1"/>
  <c r="HRM3" i="53" a="1"/>
  <c r="BMB3" i="53" a="1"/>
  <c r="VCC3" i="53" a="1"/>
  <c r="UZP3" i="53" a="1"/>
  <c r="HQP3" i="53" a="1"/>
  <c r="BHS3" i="53" a="1"/>
  <c r="PTX3" i="53" a="1"/>
  <c r="WHN3" i="53" a="1"/>
  <c r="ESX3" i="53" a="1"/>
  <c r="UWN3" i="53" a="1"/>
  <c r="TWW3" i="53" a="1"/>
  <c r="KWE3" i="53" a="1"/>
  <c r="QAZ3" i="53" a="1"/>
  <c r="INN3" i="53" a="1"/>
  <c r="KH3" i="53" a="1"/>
  <c r="MJO3" i="53" a="1"/>
  <c r="WWW3" i="53" a="1"/>
  <c r="OHS3" i="53" a="1"/>
  <c r="KHY3" i="53" a="1"/>
  <c r="BKT3" i="53" a="1"/>
  <c r="SDM3" i="53" a="1"/>
  <c r="BNN3" i="53" a="1"/>
  <c r="C9" i="40" a="1"/>
  <c r="AKJ3" i="53" a="1"/>
  <c r="C84" i="27" a="1"/>
  <c r="BLD3" i="53" a="1"/>
  <c r="QMS3" i="53" a="1"/>
  <c r="DLI3" i="53" a="1"/>
  <c r="UFP3" i="53" a="1"/>
  <c r="TPG3" i="53" a="1"/>
  <c r="NIE3" i="53" a="1"/>
  <c r="KSR3" i="53" a="1"/>
  <c r="QBX3" i="53" a="1"/>
  <c r="GMM3" i="53" a="1"/>
  <c r="C49" i="4" a="1"/>
  <c r="IQD3" i="53" a="1"/>
  <c r="LNO3" i="53" a="1"/>
  <c r="E124" i="27" a="1"/>
  <c r="KJO3" i="53" a="1"/>
  <c r="BUR3" i="53" a="1"/>
  <c r="IFU3" i="53" a="1"/>
  <c r="CKU3" i="53" a="1"/>
  <c r="OAP3" i="53" a="1"/>
  <c r="TQM3" i="53" a="1"/>
  <c r="DLR3" i="53" a="1"/>
  <c r="MUD3" i="53" a="1"/>
  <c r="MXE3" i="53" a="1"/>
  <c r="MSW3" i="53" a="1"/>
  <c r="E211" i="27" a="1"/>
  <c r="MNH3" i="53" a="1"/>
  <c r="MQT3" i="53" a="1"/>
  <c r="GYJ3" i="53" a="1"/>
  <c r="BAJ3" i="53" a="1"/>
  <c r="MOP3" i="53" a="1"/>
  <c r="KOH3" i="53" a="1"/>
  <c r="C35" i="4" a="1"/>
  <c r="EXI3" i="53" a="1"/>
  <c r="OOY3" i="53" a="1"/>
  <c r="KAQ3" i="53" a="1"/>
  <c r="TOJ3" i="53" a="1"/>
  <c r="TQD3" i="53" a="1"/>
  <c r="WER3" i="53" a="1"/>
  <c r="DX3" i="53" a="1"/>
  <c r="XBM3" i="53" a="1"/>
  <c r="JNL3" i="53" a="1"/>
  <c r="UMM3" i="53" a="1"/>
  <c r="VGL3" i="53" a="1"/>
  <c r="VLH3" i="53" a="1"/>
  <c r="LGG3" i="53" a="1"/>
  <c r="NQD3" i="53" a="1"/>
  <c r="VWK3" i="53" a="1"/>
  <c r="TFU3" i="53" a="1"/>
  <c r="WQZ3" i="53" a="1"/>
  <c r="CFE3" i="53" a="1"/>
  <c r="QLK3" i="53" a="1"/>
  <c r="UOE3" i="53" a="1"/>
  <c r="SLK3" i="53" a="1"/>
  <c r="H3" i="12" a="1"/>
  <c r="SBH3" i="53" a="1"/>
  <c r="MWO3" i="53" a="1"/>
  <c r="SFA3" i="53" a="1"/>
  <c r="UHD3" i="53" a="1"/>
  <c r="ETY3" i="53" a="1"/>
  <c r="M3" i="4" a="1"/>
  <c r="TEG3" i="53" a="1"/>
  <c r="CBO3" i="53" a="1"/>
  <c r="TFD3" i="53" a="1"/>
  <c r="QSX3" i="53" a="1"/>
  <c r="KFX3" i="53" a="1"/>
  <c r="SIU3" i="53" a="1"/>
  <c r="WVA3" i="53" a="1"/>
  <c r="ROW3" i="53" a="1"/>
  <c r="NZS3" i="53" a="1"/>
  <c r="CHT3" i="53" a="1"/>
  <c r="RU3" i="53" a="1"/>
  <c r="EXB3" i="53" a="1"/>
  <c r="LTB3" i="53" a="1"/>
  <c r="JHW3" i="53" a="1"/>
  <c r="I3" i="6" a="1"/>
  <c r="BHD3" i="53" a="1"/>
  <c r="CEX3" i="53" a="1"/>
  <c r="QRF3" i="53" a="1"/>
  <c r="BRQ3" i="53" a="1"/>
  <c r="NVV3" i="53" a="1"/>
  <c r="VJZ3" i="53" a="1"/>
  <c r="BOV3" i="53" a="1"/>
  <c r="QMK3" i="53" a="1"/>
  <c r="TDC3" i="53" a="1"/>
  <c r="RTF3" i="53" a="1"/>
  <c r="MQD3" i="53" a="1"/>
  <c r="JWN3" i="53" a="1"/>
  <c r="DZB3" i="53" a="1"/>
  <c r="SYF3" i="53" a="1"/>
  <c r="EUL3" i="53" a="1"/>
  <c r="NWZ3" i="53" a="1"/>
  <c r="RLI3" i="53" a="1"/>
  <c r="PKP3" i="53" a="1"/>
  <c r="DYO3" i="53" a="1"/>
  <c r="NIV3" i="53" a="1"/>
  <c r="JRW3" i="53" a="1"/>
  <c r="NGD3" i="53" a="1"/>
  <c r="JJW3" i="53" a="1"/>
  <c r="APC3" i="53" a="1"/>
  <c r="UYP3" i="53" a="1"/>
  <c r="BLJ3" i="53" a="1"/>
  <c r="HKD3" i="53" a="1"/>
  <c r="SWW3" i="53" a="1"/>
  <c r="RSZ3" i="53" a="1"/>
  <c r="NNR3" i="53" a="1"/>
  <c r="KUV3" i="53" a="1"/>
  <c r="TOI3" i="53" a="1"/>
  <c r="ENU3" i="53" a="1"/>
  <c r="UZX3" i="53" a="1"/>
  <c r="EKY3" i="53" a="1"/>
  <c r="AHK3" i="53" a="1"/>
  <c r="DMH3" i="53" a="1"/>
  <c r="FXG3" i="53" a="1"/>
  <c r="FX3" i="53" a="1"/>
  <c r="AOU3" i="53" a="1"/>
  <c r="CK3" i="53" a="1"/>
  <c r="FXO3" i="53" a="1"/>
  <c r="QRG3" i="53" a="1"/>
  <c r="WOF3" i="53" a="1"/>
  <c r="KXX3" i="53" a="1"/>
  <c r="WVQ3" i="53" a="1"/>
  <c r="WHS3" i="53" a="1"/>
  <c r="TOL3" i="53" a="1"/>
  <c r="UIP3" i="53" a="1"/>
  <c r="AKK3" i="53" a="1"/>
  <c r="QMR3" i="53" a="1"/>
  <c r="ALT3" i="53" a="1"/>
  <c r="CJX3" i="53" a="1"/>
  <c r="WXM3" i="53" a="1"/>
  <c r="PBW3" i="53" a="1"/>
  <c r="AOY3" i="53" a="1"/>
  <c r="GPO3" i="53" a="1"/>
  <c r="FJR3" i="53" a="1"/>
  <c r="YZ3" i="53" a="1"/>
  <c r="VRS3" i="53" a="1"/>
  <c r="TJW3" i="53" a="1"/>
  <c r="QGS3" i="53" a="1"/>
  <c r="KFI3" i="53" a="1"/>
  <c r="FLA3" i="53" a="1"/>
  <c r="QYK3" i="53" a="1"/>
  <c r="RHB3" i="53" a="1"/>
  <c r="MZR3" i="53" a="1"/>
  <c r="FNS3" i="53" a="1"/>
  <c r="JJJ3" i="53" a="1"/>
  <c r="NUJ3" i="53" a="1"/>
  <c r="WFJ3" i="53" a="1"/>
  <c r="DHD3" i="53" a="1"/>
  <c r="TG3" i="53" a="1"/>
  <c r="MZE3" i="53" a="1"/>
  <c r="IRW3" i="53" a="1"/>
  <c r="NUT3" i="53" a="1"/>
  <c r="AXT3" i="53" a="1"/>
  <c r="RLJ3" i="53" a="1"/>
  <c r="IVB3" i="53" a="1"/>
  <c r="BQY3" i="53" a="1"/>
  <c r="OAX3" i="53" a="1"/>
  <c r="MGU3" i="53" a="1"/>
  <c r="OBT3" i="53" a="1"/>
  <c r="QCU3" i="53" a="1"/>
  <c r="OHA3" i="53" a="1"/>
  <c r="NE3" i="53" a="1"/>
  <c r="HXI3" i="53" a="1"/>
  <c r="TUV3" i="53" a="1"/>
  <c r="AIP3" i="53" a="1"/>
  <c r="VCH3" i="53" a="1"/>
  <c r="TTG3" i="53" a="1"/>
  <c r="RAT3" i="53" a="1"/>
  <c r="TCN3" i="53" a="1"/>
  <c r="NJX3" i="53" a="1"/>
  <c r="C32" i="40" a="1"/>
  <c r="TVB3" i="53" a="1"/>
  <c r="LNT3" i="53" a="1"/>
  <c r="GMN3" i="53" a="1"/>
  <c r="QJD3" i="53" a="1"/>
  <c r="LCD3" i="53" a="1"/>
  <c r="XDD3" i="53" a="1"/>
  <c r="FNR3" i="53" a="1"/>
  <c r="ULC3" i="53" a="1"/>
  <c r="KVT3" i="53" a="1"/>
  <c r="UJA3" i="53" a="1"/>
  <c r="KMV3" i="53" a="1"/>
  <c r="UVT3" i="53" a="1"/>
  <c r="JOO3" i="53" a="1"/>
  <c r="AYC3" i="53" a="1"/>
  <c r="UKK3" i="53" a="1"/>
  <c r="WCE3" i="53" a="1"/>
  <c r="C41" i="4" a="1"/>
  <c r="TWY3" i="53" a="1"/>
  <c r="ILW3" i="53" a="1"/>
  <c r="SYD3" i="53" a="1"/>
  <c r="RXY3" i="53" a="1"/>
  <c r="MD3" i="53" a="1"/>
  <c r="JVG3" i="53" a="1"/>
  <c r="EET3" i="53" a="1"/>
  <c r="NRC3" i="53" a="1"/>
  <c r="PLQ3" i="53" a="1"/>
  <c r="SVI3" i="53" a="1"/>
  <c r="GVV3" i="53" a="1"/>
  <c r="GSA3" i="53" a="1"/>
  <c r="BEC3" i="53" a="1"/>
  <c r="VBT3" i="53" a="1"/>
  <c r="RO3" i="53" a="1"/>
  <c r="QAK3" i="53" a="1"/>
  <c r="OTI3" i="53" a="1"/>
  <c r="YK3" i="53" a="1"/>
  <c r="KQI3" i="53" a="1"/>
  <c r="GEU3" i="53" a="1"/>
  <c r="HDP3" i="53" a="1"/>
  <c r="KHW3" i="53" a="1"/>
  <c r="MTD3" i="53" a="1"/>
  <c r="IMS3" i="53" a="1"/>
  <c r="GDU3" i="53" a="1"/>
  <c r="WRW3" i="53" a="1"/>
  <c r="COL3" i="53" a="1"/>
  <c r="NTH3" i="53" a="1"/>
  <c r="JPC3" i="53" a="1"/>
  <c r="HFI3" i="53" a="1"/>
  <c r="UFO3" i="53" a="1"/>
  <c r="BVS3" i="53" a="1"/>
  <c r="WSR3" i="53" a="1"/>
  <c r="DGJ3" i="53" a="1"/>
  <c r="CHM3" i="53" a="1"/>
  <c r="TVQ3" i="53" a="1"/>
  <c r="SHJ3" i="53" a="1"/>
  <c r="VZL3" i="53" a="1"/>
  <c r="RYS3" i="53" a="1"/>
  <c r="CVM3" i="53" a="1"/>
  <c r="DJC3" i="53" a="1"/>
  <c r="OCA3" i="53" a="1"/>
  <c r="LCQ3" i="53" a="1"/>
  <c r="QER3" i="53" a="1"/>
  <c r="DR3" i="53" a="1"/>
  <c r="NVM3" i="53" a="1"/>
  <c r="ABK3" i="53" a="1"/>
  <c r="TWX3" i="53" a="1"/>
  <c r="APK3" i="53" a="1"/>
  <c r="SAS3" i="53" a="1"/>
  <c r="BPZ3" i="53" a="1"/>
  <c r="DJY3" i="53" a="1"/>
  <c r="VRP3" i="53" a="1"/>
  <c r="QIB3" i="53" a="1"/>
  <c r="DOX3" i="53" a="1"/>
  <c r="UA3" i="53" a="1"/>
  <c r="IKP3" i="53" a="1"/>
  <c r="JIQ3" i="53" a="1"/>
  <c r="FEE3" i="53" a="1"/>
  <c r="OMF3" i="53" a="1"/>
  <c r="BQS3" i="53" a="1"/>
  <c r="FLV3" i="53" a="1"/>
  <c r="C57" i="40" a="1"/>
  <c r="G57" i="40" a="1"/>
  <c r="ITO3" i="53" a="1"/>
  <c r="SZF3" i="53" a="1"/>
  <c r="LGC3" i="53" a="1"/>
  <c r="QZM3" i="53" a="1"/>
  <c r="C36" i="27" a="1"/>
  <c r="FPB3" i="53" a="1"/>
  <c r="KOW3" i="53" a="1"/>
  <c r="ENT3" i="53" a="1"/>
  <c r="PMJ3" i="53" a="1"/>
  <c r="FLQ3" i="53" a="1"/>
  <c r="E11" i="31" a="1"/>
  <c r="NQM3" i="53" a="1"/>
  <c r="UAG3" i="53" a="1"/>
  <c r="GAV3" i="53" a="1"/>
  <c r="ASH3" i="53" a="1"/>
  <c r="UPP3" i="53" a="1"/>
  <c r="MDX3" i="53" a="1"/>
  <c r="IOX3" i="53" a="1"/>
  <c r="NXQ3" i="53" a="1"/>
  <c r="HVC3" i="53" a="1"/>
  <c r="MSF3" i="53" a="1"/>
  <c r="BSM3" i="53" a="1"/>
  <c r="LVQ3" i="53" a="1"/>
  <c r="PNT3" i="53" a="1"/>
  <c r="TLL3" i="53" a="1"/>
  <c r="MZL3" i="53" a="1"/>
  <c r="RXP3" i="53" a="1"/>
  <c r="JFG3" i="53" a="1"/>
  <c r="C149" i="27" a="1"/>
  <c r="C20" i="27" a="1"/>
  <c r="EAC3" i="53" a="1"/>
  <c r="OTS3" i="53" a="1"/>
  <c r="IAT3" i="53" a="1"/>
  <c r="NPT3" i="53" a="1"/>
  <c r="BHJ3" i="53" a="1"/>
  <c r="FOJ3" i="53" a="1"/>
  <c r="DMU3" i="53" a="1"/>
  <c r="SFV3" i="53" a="1"/>
  <c r="TZN3" i="53" a="1"/>
  <c r="EFZ3" i="53" a="1"/>
  <c r="WIF3" i="53" a="1"/>
  <c r="THJ3" i="53" a="1"/>
  <c r="BLK3" i="53" a="1"/>
  <c r="E45" i="4" a="1"/>
  <c r="G13" i="40" a="1"/>
  <c r="GF3" i="53" a="1"/>
  <c r="URK3" i="53" a="1"/>
  <c r="NSW3" i="53" a="1"/>
  <c r="IYB3" i="53" a="1"/>
  <c r="BUI3" i="53" a="1"/>
  <c r="FZH3" i="53" a="1"/>
  <c r="BWJ3" i="53" a="1"/>
  <c r="VTM3" i="53" a="1"/>
  <c r="LEO3" i="53" a="1"/>
  <c r="UOD3" i="53" a="1"/>
  <c r="GUZ3" i="53" a="1"/>
  <c r="RBA3" i="53" a="1"/>
  <c r="KML3" i="53" a="1"/>
  <c r="CJI3" i="53" a="1"/>
  <c r="HPE3" i="53" a="1"/>
  <c r="ILL3" i="53" a="1"/>
  <c r="OYR3" i="53" a="1"/>
  <c r="C5" i="40" a="1"/>
  <c r="E7" i="4" a="1"/>
  <c r="VKP3" i="53" a="1"/>
  <c r="PIB3" i="53" a="1"/>
  <c r="C40" i="6" a="1"/>
  <c r="IML3" i="53" a="1"/>
  <c r="GIT3" i="53" a="1"/>
  <c r="BZC3" i="53" a="1"/>
  <c r="PJQ3" i="53" a="1"/>
  <c r="QQL3" i="53" a="1"/>
  <c r="IJJ3" i="53" a="1"/>
  <c r="GCZ3" i="53" a="1"/>
  <c r="VQV3" i="53" a="1"/>
  <c r="PQZ3" i="53" a="1"/>
  <c r="CLF3" i="53" a="1"/>
  <c r="SOW3" i="53" a="1"/>
  <c r="MZO3" i="53" a="1"/>
  <c r="DZO3" i="53" a="1"/>
  <c r="VXI3" i="53" a="1"/>
  <c r="UFV3" i="53" a="1"/>
  <c r="SIP3" i="53" a="1"/>
  <c r="BWR3" i="53" a="1"/>
  <c r="HYN3" i="53" a="1"/>
  <c r="KFQ3" i="53" a="1"/>
  <c r="MEM3" i="53" a="1"/>
  <c r="VKV3" i="53" a="1"/>
  <c r="AAZ3" i="53" a="1"/>
  <c r="QJS3" i="53" a="1"/>
  <c r="OJX3" i="53" a="1"/>
  <c r="QHF3" i="53" a="1"/>
  <c r="VCD3" i="53" a="1"/>
  <c r="HSM3" i="53" a="1"/>
  <c r="MBP3" i="53" a="1"/>
  <c r="HZZ3" i="53" a="1"/>
  <c r="IOY3" i="53" a="1"/>
  <c r="LEP3" i="53" a="1"/>
  <c r="JIK3" i="53" a="1"/>
  <c r="PSB3" i="53" a="1"/>
  <c r="EKQ3" i="53" a="1"/>
  <c r="DLB3" i="53" a="1"/>
  <c r="VKY3" i="53" a="1"/>
  <c r="RCL3" i="53" a="1"/>
  <c r="LIE3" i="53" a="1"/>
  <c r="SSX3" i="53" a="1"/>
  <c r="UNS3" i="53" a="1"/>
  <c r="OAN3" i="53" a="1"/>
  <c r="LOH3" i="53" a="1"/>
  <c r="NFR3" i="53" a="1"/>
  <c r="XAZ3" i="53" a="1"/>
  <c r="VUJ3" i="53" a="1"/>
  <c r="HAD3" i="53" a="1"/>
  <c r="JFP3" i="53" a="1"/>
  <c r="WTG3" i="53" a="1"/>
  <c r="NPV3" i="53" a="1"/>
  <c r="BCO3" i="53" a="1"/>
  <c r="HXO3" i="53" a="1"/>
  <c r="PCX3" i="53" a="1"/>
  <c r="BWH3" i="53" a="1"/>
  <c r="MGS3" i="53" a="1"/>
  <c r="HNY3" i="53" a="1"/>
  <c r="UIE3" i="53" a="1"/>
  <c r="GNU3" i="53" a="1"/>
  <c r="MCL3" i="53" a="1"/>
  <c r="BQK3" i="53" a="1"/>
  <c r="JGW3" i="53" a="1"/>
  <c r="FRX3" i="53" a="1"/>
  <c r="MER3" i="53" a="1"/>
  <c r="QBD3" i="53" a="1"/>
  <c r="BF3" i="53" a="1"/>
  <c r="GHS3" i="53" a="1"/>
  <c r="IDG3" i="53" a="1"/>
  <c r="DAJ3" i="53" a="1"/>
  <c r="UBI3" i="53" a="1"/>
  <c r="VKI3" i="53" a="1"/>
  <c r="HCN3" i="53" a="1"/>
  <c r="GYC3" i="53" a="1"/>
  <c r="C7" i="28" a="1"/>
  <c r="FSF3" i="53" a="1"/>
  <c r="EIZ3" i="53" a="1"/>
  <c r="MCI3" i="53" a="1"/>
  <c r="HPD3" i="53" a="1"/>
  <c r="CQB3" i="53" a="1"/>
  <c r="NCV3" i="53" a="1"/>
  <c r="ODE3" i="53" a="1"/>
  <c r="GFP3" i="53" a="1"/>
  <c r="LBB3" i="53" a="1"/>
  <c r="IXP3" i="53" a="1"/>
  <c r="ETG3" i="53" a="1"/>
  <c r="DLM3" i="53" a="1"/>
  <c r="GIF3" i="53" a="1"/>
  <c r="PDP3" i="53" a="1"/>
  <c r="JIE3" i="53" a="1"/>
  <c r="POQ3" i="53" a="1"/>
  <c r="KGS3" i="53" a="1"/>
  <c r="JXU3" i="53" a="1"/>
  <c r="BZN3" i="53" a="1"/>
  <c r="TMN3" i="53" a="1"/>
  <c r="E3" i="2" a="1"/>
  <c r="UPX3" i="53" a="1"/>
  <c r="NWN3" i="53" a="1"/>
  <c r="BTK3" i="53" a="1"/>
  <c r="TIL3" i="53" a="1"/>
  <c r="GED3" i="53" a="1"/>
  <c r="FVE3" i="53" a="1"/>
  <c r="MLH3" i="53" a="1"/>
  <c r="VNU3" i="53" a="1"/>
  <c r="FME3" i="53" a="1"/>
  <c r="CFU3" i="53" a="1"/>
  <c r="KXR3" i="53" a="1"/>
  <c r="JBF3" i="53" a="1"/>
  <c r="H3" i="53" a="1"/>
  <c r="DKG3" i="53" a="1"/>
  <c r="SKO3" i="53" a="1"/>
  <c r="ALJ3" i="53" a="1"/>
  <c r="QGL3" i="53" a="1"/>
  <c r="CEG3" i="53" a="1"/>
  <c r="PFK3" i="53" a="1"/>
  <c r="PII3" i="53" a="1"/>
  <c r="ERG3" i="53" a="1"/>
  <c r="ADY3" i="53" a="1"/>
  <c r="WWD3" i="53" a="1"/>
  <c r="NUU3" i="53" a="1"/>
  <c r="IYS3" i="53" a="1"/>
  <c r="IVC3" i="53" a="1"/>
  <c r="NPK3" i="53" a="1"/>
  <c r="WI3" i="53" a="1"/>
  <c r="INT3" i="53" a="1"/>
  <c r="RTS3" i="53" a="1"/>
  <c r="CPQ3" i="53" a="1"/>
  <c r="PSO3" i="53" a="1"/>
  <c r="WWY3" i="53" a="1"/>
  <c r="DYU3" i="53" a="1"/>
  <c r="WUC3" i="53" a="1"/>
  <c r="PRY3" i="53" a="1"/>
  <c r="RNV3" i="53" a="1"/>
  <c r="EGT3" i="53" a="1"/>
  <c r="IJM3" i="53" a="1"/>
  <c r="UFU3" i="53" a="1"/>
  <c r="WXT3" i="53" a="1"/>
  <c r="FET3" i="53" a="1"/>
  <c r="ASU3" i="53" a="1"/>
  <c r="BQH3" i="53" a="1"/>
  <c r="NNI3" i="53" a="1"/>
  <c r="CHJ3" i="53" a="1"/>
  <c r="RAL3" i="53" a="1"/>
  <c r="CGM3" i="53" a="1"/>
  <c r="EHN3" i="53" a="1"/>
  <c r="SYJ3" i="53" a="1"/>
  <c r="JAR3" i="53" a="1"/>
  <c r="WAT3" i="53" a="1"/>
  <c r="PQA3" i="53" a="1"/>
  <c r="SWG3" i="53" a="1"/>
  <c r="HVN3" i="53" a="1"/>
  <c r="MMU3" i="53" a="1"/>
  <c r="QPJ3" i="53" a="1"/>
  <c r="QGB3" i="53" a="1"/>
  <c r="PXI3" i="53" a="1"/>
  <c r="C65" i="4" a="1"/>
  <c r="SUW3" i="53" a="1"/>
  <c r="GGZ3" i="53" a="1"/>
  <c r="PVH3" i="53" a="1"/>
  <c r="E9" i="4" a="1"/>
  <c r="UPV3" i="53" a="1"/>
  <c r="WRF3" i="53" a="1"/>
  <c r="LEX3" i="53" a="1"/>
  <c r="LUW3" i="53" a="1"/>
  <c r="QOJ3" i="53" a="1"/>
  <c r="GYT3" i="53" a="1"/>
  <c r="PIQ3" i="53" a="1"/>
  <c r="DLL3" i="53" a="1"/>
  <c r="HYU3" i="53" a="1"/>
  <c r="E19" i="31" a="1"/>
  <c r="EY3" i="53" a="1"/>
  <c r="PHW3" i="53" a="1"/>
  <c r="GRD3" i="53" a="1"/>
  <c r="GZJ3" i="53" a="1"/>
  <c r="JQD3" i="53" a="1"/>
  <c r="GXO3" i="53" a="1"/>
  <c r="NME3" i="53" a="1"/>
  <c r="PEI3" i="53" a="1"/>
  <c r="EUV3" i="53" a="1"/>
  <c r="OQZ3" i="53" a="1"/>
  <c r="MEG3" i="53" a="1"/>
  <c r="KSS3" i="53" a="1"/>
  <c r="HXF3" i="53" a="1"/>
  <c r="WHO3" i="53" a="1"/>
  <c r="WWO3" i="53" a="1"/>
  <c r="TBH3" i="53" a="1"/>
  <c r="WBG3" i="53" a="1"/>
  <c r="QVR3" i="53" a="1"/>
  <c r="WXV3" i="53" a="1"/>
  <c r="VHT3" i="53" a="1"/>
  <c r="MGC3" i="53" a="1"/>
  <c r="RNI3" i="53" a="1"/>
  <c r="DYL3" i="53" a="1"/>
  <c r="KDG3" i="53" a="1"/>
  <c r="ABB3" i="53" a="1"/>
  <c r="JSI3" i="53" a="1"/>
  <c r="DXE3" i="53" a="1"/>
  <c r="SWD3" i="53" a="1"/>
  <c r="QZV3" i="53" a="1"/>
  <c r="CQC3" i="53" a="1"/>
  <c r="AFP3" i="53" a="1"/>
  <c r="EKN3" i="53" a="1"/>
  <c r="OJH3" i="53" a="1"/>
  <c r="ELO3" i="53" a="1"/>
  <c r="PQP3" i="53" a="1"/>
  <c r="FXS3" i="53" a="1"/>
  <c r="UEL3" i="53" a="1"/>
  <c r="NEG3" i="53" a="1"/>
  <c r="LHV3" i="53" a="1"/>
  <c r="NTB3" i="53" a="1"/>
  <c r="VTJ3" i="53" a="1"/>
  <c r="OYC3" i="53" a="1"/>
  <c r="AJS3" i="53" a="1"/>
  <c r="VAG3" i="53" a="1"/>
  <c r="XDQ3" i="53" a="1"/>
  <c r="BYL3" i="53" a="1"/>
  <c r="TXI3" i="53" a="1"/>
  <c r="CKY3" i="53" a="1"/>
  <c r="OHZ3" i="53" a="1"/>
  <c r="REV3" i="53" a="1"/>
  <c r="NLD3" i="53" a="1"/>
  <c r="JXA3" i="53" a="1"/>
  <c r="WGV3" i="53" a="1"/>
  <c r="WXQ3" i="53" a="1"/>
  <c r="CXH3" i="53" a="1"/>
  <c r="LPN3" i="53" a="1"/>
  <c r="BBN3" i="53" a="1"/>
  <c r="BIR3" i="53" a="1"/>
  <c r="NKW3" i="53" a="1"/>
  <c r="LVG3" i="53" a="1"/>
  <c r="SUC3" i="53" a="1"/>
  <c r="HDZ3" i="53" a="1"/>
  <c r="UYV3" i="53" a="1"/>
  <c r="GSN3" i="53" a="1"/>
  <c r="QLH3" i="53" a="1"/>
  <c r="BWQ3" i="53" a="1"/>
  <c r="ISG3" i="53" a="1"/>
  <c r="QPY3" i="53" a="1"/>
  <c r="WMP3" i="53" a="1"/>
  <c r="GVX3" i="53" a="1"/>
  <c r="BKI3" i="53" a="1"/>
  <c r="AQP3" i="53" a="1"/>
  <c r="NLN3" i="53" a="1"/>
  <c r="CSI3" i="53" a="1"/>
  <c r="BIB3" i="53" a="1"/>
  <c r="SGC3" i="53" a="1"/>
  <c r="DIJ3" i="53" a="1"/>
  <c r="PDT3" i="53" a="1"/>
  <c r="C22" i="2" a="1"/>
  <c r="KWV3" i="53" a="1"/>
  <c r="BVI3" i="53" a="1"/>
  <c r="DUN3" i="53" a="1"/>
  <c r="OEZ3" i="53" a="1"/>
  <c r="GNG3" i="53" a="1"/>
  <c r="MUZ3" i="53" a="1"/>
  <c r="ULB3" i="53" a="1"/>
  <c r="HBD3" i="53" a="1"/>
  <c r="BWI3" i="53" a="1"/>
  <c r="JXX3" i="53" a="1"/>
  <c r="RA3" i="53" a="1"/>
  <c r="ATQ3" i="53" a="1"/>
  <c r="QSR3" i="53" a="1"/>
  <c r="IHH3" i="53" a="1"/>
  <c r="GRJ3" i="53" a="1"/>
  <c r="NSB3" i="53" a="1"/>
  <c r="DL3" i="53" a="1"/>
  <c r="SMN3" i="53" a="1"/>
  <c r="BBP3" i="53" a="1"/>
  <c r="GML3" i="53" a="1"/>
  <c r="DDM3" i="53" a="1"/>
  <c r="RHT3" i="53" a="1"/>
  <c r="VTF3" i="53" a="1"/>
  <c r="BEA3" i="53" a="1"/>
  <c r="G45" i="40" a="1"/>
  <c r="CKV3" i="53" a="1"/>
  <c r="FCT3" i="53" a="1"/>
  <c r="RZ3" i="53" a="1"/>
  <c r="E3" i="22" a="1"/>
  <c r="PGZ3" i="53" a="1"/>
  <c r="KSB3" i="53" a="1"/>
  <c r="NDS3" i="53" a="1"/>
  <c r="JQF3" i="53" a="1"/>
  <c r="LX3" i="53" a="1"/>
  <c r="GKD3" i="53" a="1"/>
  <c r="C17" i="59" a="1"/>
  <c r="MIY3" i="53" a="1"/>
  <c r="LMY3" i="53" a="1"/>
  <c r="JFM3" i="53" a="1"/>
  <c r="TDD3" i="53" a="1"/>
  <c r="NRK3" i="53" a="1"/>
  <c r="CDF3" i="53" a="1"/>
  <c r="TKY3" i="53" a="1"/>
  <c r="DNE3" i="53" a="1"/>
  <c r="QUL3" i="53" a="1"/>
  <c r="ATG3" i="53" a="1"/>
  <c r="IIG3" i="53" a="1"/>
  <c r="QXW3" i="53" a="1"/>
  <c r="SJT3" i="53" a="1"/>
  <c r="NIB3" i="53" a="1"/>
  <c r="ECS3" i="53" a="1"/>
  <c r="MEQ3" i="53" a="1"/>
  <c r="SID3" i="53" a="1"/>
  <c r="JZS3" i="53" a="1"/>
  <c r="WMY3" i="53" a="1"/>
  <c r="UGF3" i="53" a="1"/>
  <c r="WTD3" i="53" a="1"/>
  <c r="LUF3" i="53" a="1"/>
  <c r="ZU3" i="53" a="1"/>
  <c r="FYJ3" i="53" a="1"/>
  <c r="FSV3" i="53" a="1"/>
  <c r="NLI3" i="53" a="1"/>
  <c r="EVD3" i="53" a="1"/>
  <c r="VIJ3" i="53" a="1"/>
  <c r="FLN3" i="53" a="1"/>
  <c r="CHP3" i="53" a="1"/>
  <c r="PRS3" i="53" a="1"/>
  <c r="QA3" i="53" a="1"/>
  <c r="SVY3" i="53" a="1"/>
  <c r="TCV3" i="53" a="1"/>
  <c r="RLS3" i="53" a="1"/>
  <c r="FJ3" i="53" a="1"/>
  <c r="C18" i="40" a="1"/>
  <c r="BSS3" i="53" a="1"/>
  <c r="GFO3" i="53" a="1"/>
  <c r="GLK3" i="53" a="1"/>
  <c r="HFZ3" i="53" a="1"/>
  <c r="GFI3" i="53" a="1"/>
  <c r="IPP3" i="53" a="1"/>
  <c r="EFM3" i="53" a="1"/>
  <c r="EYD3" i="53" a="1"/>
  <c r="UFF3" i="53" a="1"/>
  <c r="GFK3" i="53" a="1"/>
  <c r="RAZ3" i="53" a="1"/>
  <c r="TPA3" i="53" a="1"/>
  <c r="HDA3" i="53" a="1"/>
  <c r="KDX3" i="53" a="1"/>
  <c r="MCW3" i="53" a="1"/>
  <c r="GQV3" i="53" a="1"/>
  <c r="E55" i="4" a="1"/>
  <c r="RQ3" i="53" a="1"/>
  <c r="SND3" i="53" a="1"/>
  <c r="STK3" i="53" a="1"/>
  <c r="WRG3" i="53" a="1"/>
  <c r="G9" i="40" a="1"/>
  <c r="PPB3" i="53" a="1"/>
  <c r="JDU3" i="53" a="1"/>
  <c r="HP3" i="53" a="1"/>
  <c r="WA3" i="53" a="1"/>
  <c r="RFF3" i="53" a="1"/>
  <c r="QY3" i="53" a="1"/>
  <c r="EIJ3" i="53" a="1"/>
  <c r="PWA3" i="53" a="1"/>
  <c r="PNI3" i="53" a="1"/>
  <c r="HAQ3" i="53" a="1"/>
  <c r="JA3" i="53" a="1"/>
  <c r="PVW3" i="53" a="1"/>
  <c r="FYS3" i="53" a="1"/>
  <c r="MTB3" i="53" a="1"/>
  <c r="FUL3" i="53" a="1"/>
  <c r="XAL3" i="53" a="1"/>
  <c r="C52" i="40" a="1"/>
  <c r="JTJ3" i="53" a="1"/>
  <c r="MEO3" i="53" a="1"/>
  <c r="NYW3" i="53" a="1"/>
  <c r="C70" i="27" a="1"/>
  <c r="C287" i="27" a="1"/>
  <c r="HNQ3" i="53" a="1"/>
  <c r="EHU3" i="53" a="1"/>
  <c r="VLT3" i="53" a="1"/>
  <c r="OGJ3" i="53" a="1"/>
  <c r="HFH3" i="53" a="1"/>
  <c r="YD3" i="53" a="1"/>
  <c r="QQD3" i="53" a="1"/>
  <c r="GAB3" i="53" a="1"/>
  <c r="NRG3" i="53" a="1"/>
  <c r="WF3" i="53" a="1"/>
  <c r="LIK3" i="53" a="1"/>
  <c r="MSX3" i="53" a="1"/>
  <c r="HBM3" i="53" a="1"/>
  <c r="D3" i="15" a="1"/>
  <c r="VAP3" i="53" a="1"/>
  <c r="UI3" i="53" a="1"/>
  <c r="ABT3" i="53" a="1"/>
  <c r="QUM3" i="53" a="1"/>
  <c r="WNP3" i="53" a="1"/>
  <c r="SQF3" i="53" a="1"/>
  <c r="HIV3" i="53" a="1"/>
  <c r="C151" i="27" a="1"/>
  <c r="IGY3" i="53" a="1"/>
  <c r="UEY3" i="53" a="1"/>
  <c r="QBY3" i="53" a="1"/>
  <c r="DPM3" i="53" a="1"/>
  <c r="WN3" i="53" a="1"/>
  <c r="KCW3" i="53" a="1"/>
  <c r="HKP3" i="53" a="1"/>
  <c r="BHF3" i="53" a="1"/>
  <c r="QZN3" i="53" a="1"/>
  <c r="UME3" i="53" a="1"/>
  <c r="LAN3" i="53" a="1"/>
  <c r="PPE3" i="53" a="1"/>
  <c r="BOR3" i="53" a="1"/>
  <c r="PPQ3" i="53" a="1"/>
  <c r="WZM3" i="53" a="1"/>
  <c r="NZK3" i="53" a="1"/>
  <c r="SNC3" i="53" a="1"/>
  <c r="MHU3" i="53" a="1"/>
  <c r="UY3" i="53" a="1"/>
  <c r="ACA3" i="53" a="1"/>
  <c r="DJN3" i="53" a="1"/>
  <c r="MJB3" i="53" a="1"/>
  <c r="RVX3" i="53" a="1"/>
  <c r="EER3" i="53" a="1"/>
  <c r="QZO3" i="53" a="1"/>
  <c r="PWQ3" i="53" a="1"/>
  <c r="C9" i="59" a="1"/>
  <c r="KZX3" i="53" a="1"/>
  <c r="COX3" i="53" a="1"/>
  <c r="ILH3" i="53" a="1"/>
  <c r="VTE3" i="53" a="1"/>
  <c r="TPY3" i="53" a="1"/>
  <c r="WWI3" i="53" a="1"/>
  <c r="OVM3" i="53" a="1"/>
  <c r="VRG3" i="53" a="1"/>
  <c r="VYT3" i="53" a="1"/>
  <c r="C55" i="27" a="1"/>
  <c r="BOS3" i="53" a="1"/>
  <c r="C169" i="27" a="1"/>
  <c r="TUB3" i="53" a="1"/>
  <c r="CRF3" i="53" a="1"/>
  <c r="BGA3" i="53" a="1"/>
  <c r="EJQ3" i="53" a="1"/>
  <c r="SDY3" i="53" a="1"/>
  <c r="ORF3" i="53" a="1"/>
  <c r="NMT3" i="53" a="1"/>
  <c r="ELU3" i="53" a="1"/>
  <c r="G56" i="40" a="1"/>
  <c r="WNI3" i="53" a="1"/>
  <c r="WND3" i="53" a="1"/>
  <c r="LUX3" i="53" a="1"/>
  <c r="AGF3" i="53" a="1"/>
  <c r="TWG3" i="53" a="1"/>
  <c r="PD3" i="53" a="1"/>
  <c r="KHH3" i="53" a="1"/>
  <c r="KJY3" i="53" a="1"/>
  <c r="RP3" i="53" a="1"/>
  <c r="VEL3" i="53" a="1"/>
  <c r="FDW3" i="53" a="1"/>
  <c r="VTA3" i="53" a="1"/>
  <c r="VIG3" i="53" a="1"/>
  <c r="HD3" i="53" a="1"/>
  <c r="LJZ3" i="53" a="1"/>
  <c r="BYR3" i="53" a="1"/>
  <c r="ONK3" i="53" a="1"/>
  <c r="AT3" i="53" a="1"/>
  <c r="URP3" i="53" a="1"/>
  <c r="DDL3" i="53" a="1"/>
  <c r="XBY3" i="53" a="1"/>
  <c r="RUR3" i="53" a="1"/>
  <c r="BU3" i="53" a="1"/>
  <c r="VRZ3" i="53" a="1"/>
  <c r="ARY3" i="53" a="1"/>
  <c r="OVG3" i="53" a="1"/>
  <c r="VPX3" i="53" a="1"/>
  <c r="PQM3" i="53" a="1"/>
  <c r="HAN3" i="53" a="1"/>
  <c r="QEU3" i="53" a="1"/>
  <c r="TUX3" i="53" a="1"/>
  <c r="MCR3" i="53" a="1"/>
  <c r="HJO3" i="53" a="1"/>
  <c r="VBI3" i="53" a="1"/>
  <c r="HVA3" i="53" a="1"/>
  <c r="LGP3" i="53" a="1"/>
  <c r="UOG3" i="53" a="1"/>
  <c r="UDS3" i="53" a="1"/>
  <c r="MM3" i="53" a="1"/>
  <c r="LIJ3" i="53" a="1"/>
  <c r="WMX3" i="53" a="1"/>
  <c r="SXK3" i="53" a="1"/>
  <c r="LEB3" i="53" a="1"/>
  <c r="OAR3" i="53" a="1"/>
  <c r="OPN3" i="53" a="1"/>
  <c r="XAQ3" i="53" a="1"/>
  <c r="FZL3" i="53" a="1"/>
  <c r="AFW3" i="53" a="1"/>
  <c r="SQW3" i="53" a="1"/>
  <c r="RIC3" i="53" a="1"/>
  <c r="IJB3" i="53" a="1"/>
  <c r="LHB3" i="53" a="1"/>
  <c r="BOA3" i="53" a="1"/>
  <c r="OHC3" i="53" a="1"/>
  <c r="JKJ3" i="53" a="1"/>
  <c r="RJF3" i="53" a="1"/>
  <c r="CLJ3" i="53" a="1"/>
  <c r="HWG3" i="53" a="1"/>
  <c r="NNL3" i="53" a="1"/>
  <c r="MHL3" i="53" a="1"/>
  <c r="ATI3" i="53" a="1"/>
  <c r="L3" i="2" a="1"/>
  <c r="XD3" i="53" a="1"/>
  <c r="KCQ3" i="53" a="1"/>
  <c r="KRW3" i="53" a="1"/>
  <c r="TXL3" i="53" a="1"/>
  <c r="JDC3" i="53" a="1"/>
  <c r="REH3" i="53" a="1"/>
  <c r="KXP3" i="53" a="1"/>
  <c r="RNG3" i="53" a="1"/>
  <c r="IZF3" i="53" a="1"/>
  <c r="WTC3" i="53" a="1"/>
  <c r="ME3" i="53" a="1"/>
  <c r="FXT3" i="53" a="1"/>
  <c r="CVK3" i="53" a="1"/>
  <c r="HSY3" i="53" a="1"/>
  <c r="ERW3" i="53" a="1"/>
  <c r="KFV3" i="53" a="1"/>
  <c r="NAJ3" i="53" a="1"/>
  <c r="IYU3" i="53" a="1"/>
  <c r="SHI3" i="53" a="1"/>
  <c r="GGF3" i="53" a="1"/>
  <c r="UFE3" i="53" a="1"/>
  <c r="TFJ3" i="53" a="1"/>
  <c r="SQY3" i="53" a="1"/>
  <c r="BYW3" i="53" a="1"/>
  <c r="EGA3" i="53" a="1"/>
  <c r="DTJ3" i="53" a="1"/>
  <c r="NFU3" i="53" a="1"/>
  <c r="EYS3" i="53" a="1"/>
  <c r="JOQ3" i="53" a="1"/>
  <c r="XDF3" i="53" a="1"/>
  <c r="GPY3" i="53" a="1"/>
  <c r="QHM3" i="53" a="1"/>
  <c r="CQQ3" i="53" a="1"/>
  <c r="EPB3" i="53" a="1"/>
  <c r="MXO3" i="53" a="1"/>
  <c r="EZL3" i="53" a="1"/>
  <c r="AAI3" i="53" a="1"/>
  <c r="BCZ3" i="53" a="1"/>
  <c r="TFC3" i="53" a="1"/>
  <c r="RGG3" i="53" a="1"/>
  <c r="WII3" i="53" a="1"/>
  <c r="E47" i="4" a="1"/>
  <c r="MBK3" i="53" a="1"/>
  <c r="SMR3" i="53" a="1"/>
  <c r="TGB3" i="53" a="1"/>
  <c r="QGI3" i="53" a="1"/>
  <c r="SYY3" i="53" a="1"/>
  <c r="KYB3" i="53" a="1"/>
  <c r="E46" i="40" a="1"/>
  <c r="UYK3" i="53" a="1"/>
  <c r="VOQ3" i="53" a="1"/>
  <c r="C39" i="40" a="1"/>
  <c r="TQP3" i="53" a="1"/>
  <c r="FCI3" i="53" a="1"/>
  <c r="VA3" i="53" a="1"/>
  <c r="BDK3" i="53" a="1"/>
  <c r="CZJ3" i="53" a="1"/>
  <c r="E42" i="40" a="1"/>
  <c r="NIT3" i="53" a="1"/>
  <c r="LFF3" i="53" a="1"/>
  <c r="E328" i="27" a="1"/>
  <c r="POJ3" i="53" a="1"/>
  <c r="CIV3" i="53" a="1"/>
  <c r="TOA3" i="53" a="1"/>
  <c r="HUS3" i="53" a="1"/>
  <c r="JCR3" i="53" a="1"/>
  <c r="HRW3" i="53" a="1"/>
  <c r="LGH3" i="53" a="1"/>
  <c r="C202" i="27" a="1"/>
  <c r="C32" i="59" a="1"/>
  <c r="RHK3" i="53" a="1"/>
  <c r="MYH3" i="53" a="1"/>
  <c r="EK3" i="53" a="1"/>
  <c r="PRF3" i="53" a="1"/>
  <c r="ECV3" i="53" a="1"/>
  <c r="E12" i="4" a="1"/>
  <c r="JVH3" i="53" a="1"/>
  <c r="AIY3" i="53" a="1"/>
  <c r="RVA3" i="53" a="1"/>
  <c r="PCZ3" i="53" a="1"/>
  <c r="JUA3" i="53" a="1"/>
  <c r="AHM3" i="53" a="1"/>
  <c r="BIZ3" i="53" a="1"/>
  <c r="JOU3" i="53" a="1"/>
  <c r="LTY3" i="53" a="1"/>
  <c r="CZD3" i="53" a="1"/>
  <c r="OQF3" i="53" a="1"/>
  <c r="JFU3" i="53" a="1"/>
  <c r="C9" i="37" a="1"/>
  <c r="DOK3" i="53" a="1"/>
  <c r="BLO3" i="53" a="1"/>
  <c r="WQY3" i="53" a="1"/>
  <c r="BMA3" i="53" a="1"/>
  <c r="WPV3" i="53" a="1"/>
  <c r="UHW3" i="53" a="1"/>
  <c r="JVK3" i="53" a="1"/>
  <c r="KQM3" i="53" a="1"/>
  <c r="IZB3" i="53" a="1"/>
  <c r="IAQ3" i="53" a="1"/>
  <c r="TBV3" i="53" a="1"/>
  <c r="HUI3" i="53" a="1"/>
  <c r="NES3" i="53" a="1"/>
  <c r="IZL3" i="53" a="1"/>
  <c r="HRQ3" i="53" a="1"/>
  <c r="ADQ3" i="53" a="1"/>
  <c r="E32" i="27" a="1"/>
  <c r="AIB3" i="53" a="1"/>
  <c r="SKN3" i="53" a="1"/>
  <c r="JVE3" i="53" a="1"/>
  <c r="LNY3" i="53" a="1"/>
  <c r="SGQ3" i="53" a="1"/>
  <c r="PMZ3" i="53" a="1"/>
  <c r="YM3" i="53" a="1"/>
  <c r="JLP3" i="53" a="1"/>
  <c r="CYH3" i="53" a="1"/>
  <c r="LUL3" i="53" a="1"/>
  <c r="C5" i="41" a="1"/>
  <c r="TUJ3" i="53" a="1"/>
  <c r="LNM3" i="53" a="1"/>
  <c r="HVX3" i="53" a="1"/>
  <c r="JRS3" i="53" a="1"/>
  <c r="NSY3" i="53" a="1"/>
  <c r="PCC3" i="53" a="1"/>
  <c r="MXJ3" i="53" a="1"/>
  <c r="CUB3" i="53" a="1"/>
  <c r="IAR3" i="53" a="1"/>
  <c r="ERJ3" i="53" a="1"/>
  <c r="TJC3" i="53" a="1"/>
  <c r="OCH3" i="53" a="1"/>
  <c r="KPC3" i="53" a="1"/>
  <c r="E364" i="27" a="1"/>
  <c r="AIU3" i="53" a="1"/>
  <c r="WCD3" i="53" a="1"/>
  <c r="MHE3" i="53" a="1"/>
  <c r="VPK3" i="53" a="1"/>
  <c r="VWX3" i="53" a="1"/>
  <c r="BES3" i="53" a="1"/>
  <c r="UN3" i="53" a="1"/>
  <c r="HIP3" i="53" a="1"/>
  <c r="CXS3" i="53" a="1"/>
  <c r="E370" i="27" a="1"/>
  <c r="JUG3" i="53" a="1"/>
  <c r="FPP3" i="53" a="1"/>
  <c r="QWB3" i="53" a="1"/>
  <c r="UPN3" i="53" a="1"/>
  <c r="PSL3" i="53" a="1"/>
  <c r="AR3" i="53" a="1"/>
  <c r="UKJ3" i="53" a="1"/>
  <c r="FCD3" i="53" a="1"/>
  <c r="JVM3" i="53" a="1"/>
  <c r="PGX3" i="53" a="1"/>
  <c r="NNX3" i="53" a="1"/>
  <c r="C65" i="27" a="1"/>
  <c r="VJN3" i="53" a="1"/>
  <c r="SYE3" i="53" a="1"/>
  <c r="QHU3" i="53" a="1"/>
  <c r="CCF3" i="53" a="1"/>
  <c r="QYD3" i="53" a="1"/>
  <c r="DIA3" i="53" a="1"/>
  <c r="FNB3" i="53" a="1"/>
  <c r="E270" i="27" a="1"/>
  <c r="AKD3" i="53" a="1"/>
  <c r="SXQ3" i="53" a="1"/>
  <c r="AGM3" i="53" a="1"/>
  <c r="JBP3" i="53" a="1"/>
  <c r="IBT3" i="53" a="1"/>
  <c r="CWX3" i="53" a="1"/>
  <c r="KYZ3" i="53" a="1"/>
  <c r="AOL3" i="53" a="1"/>
  <c r="OVT3" i="53" a="1"/>
  <c r="RGT3" i="53" a="1"/>
  <c r="OEN3" i="53" a="1"/>
  <c r="LUI3" i="53" a="1"/>
  <c r="DTX3" i="53" a="1"/>
  <c r="QOU3" i="53" a="1"/>
  <c r="RLQ3" i="53" a="1"/>
  <c r="NEV3" i="53" a="1"/>
  <c r="IE3" i="53" a="1"/>
  <c r="MB3" i="53" a="1"/>
  <c r="EVU3" i="53" a="1"/>
  <c r="HIS3" i="53" a="1"/>
  <c r="RAO3" i="53" a="1"/>
  <c r="BTC3" i="53" a="1"/>
  <c r="LGK3" i="53" a="1"/>
  <c r="MDF3" i="53" a="1"/>
  <c r="VYG3" i="53" a="1"/>
  <c r="LAR3" i="53" a="1"/>
  <c r="VOK3" i="53" a="1"/>
  <c r="ISZ3" i="53" a="1"/>
  <c r="C41" i="53" a="1"/>
  <c r="MVL3" i="53" a="1"/>
  <c r="GJL3" i="53" a="1"/>
  <c r="DKW3" i="53" a="1"/>
  <c r="HDC3" i="53" a="1"/>
  <c r="CKW3" i="53" a="1"/>
  <c r="IAI3" i="53" a="1"/>
  <c r="GID3" i="53" a="1"/>
  <c r="AFV3" i="53" a="1"/>
  <c r="GLJ3" i="53" a="1"/>
  <c r="LUM3" i="53" a="1"/>
  <c r="SLT3" i="53" a="1"/>
  <c r="OGK3" i="53" a="1"/>
  <c r="DWE3" i="53" a="1"/>
  <c r="QRS3" i="53" a="1"/>
  <c r="AB3" i="53" a="1"/>
  <c r="BJO3" i="53" a="1"/>
  <c r="CZB3" i="53" a="1"/>
  <c r="BKD3" i="53" a="1"/>
  <c r="QQC3" i="53" a="1"/>
  <c r="VJS3" i="53" a="1"/>
  <c r="LNE3" i="53" a="1"/>
  <c r="QRP3" i="53" a="1"/>
  <c r="PIN3" i="53" a="1"/>
  <c r="OMU3" i="53" a="1"/>
  <c r="IGE3" i="53" a="1"/>
  <c r="LJL3" i="53" a="1"/>
  <c r="KEM3" i="53" a="1"/>
  <c r="NRH3" i="53" a="1"/>
  <c r="ABH3" i="53" a="1"/>
  <c r="WGN3" i="53" a="1"/>
  <c r="GGU3" i="53" a="1"/>
  <c r="AFZ3" i="53" a="1"/>
  <c r="SYO3" i="53" a="1"/>
  <c r="UBE3" i="53" a="1"/>
  <c r="THF3" i="53" a="1"/>
  <c r="FEQ3" i="53" a="1"/>
  <c r="EYB3" i="53" a="1"/>
  <c r="PXM3" i="53" a="1"/>
  <c r="FDG3" i="53" a="1"/>
  <c r="AMC3" i="53" a="1"/>
  <c r="LHQ3" i="53" a="1"/>
  <c r="USQ3" i="53" a="1"/>
  <c r="TMZ3" i="53" a="1"/>
  <c r="WDM3" i="53" a="1"/>
  <c r="APY3" i="53" a="1"/>
  <c r="OB3" i="53" a="1"/>
  <c r="SIG3" i="53" a="1"/>
  <c r="NGK3" i="53" a="1"/>
  <c r="GTB3" i="53" a="1"/>
  <c r="ORU3" i="53" a="1"/>
  <c r="VPU3" i="53" a="1"/>
  <c r="NO3" i="53" a="1"/>
  <c r="KWD3" i="53" a="1"/>
  <c r="OMX3" i="53" a="1"/>
  <c r="KZB3" i="53" a="1"/>
  <c r="UDY3" i="53" a="1"/>
  <c r="APB3" i="53" a="1"/>
  <c r="JIW3" i="53" a="1"/>
  <c r="FKP3" i="53" a="1"/>
  <c r="XDJ3" i="53" a="1"/>
  <c r="QF3" i="53" a="1"/>
  <c r="CPT3" i="53" a="1"/>
  <c r="NFI3" i="53" a="1"/>
  <c r="BHT3" i="53" a="1"/>
  <c r="LFC3" i="53" a="1"/>
  <c r="BUT3" i="53" a="1"/>
  <c r="RI3" i="53" a="1"/>
  <c r="OST3" i="53" a="1"/>
  <c r="QYU3" i="53" a="1"/>
  <c r="OGA3" i="53" a="1"/>
  <c r="BYU3" i="53" a="1"/>
  <c r="HAG3" i="53" a="1"/>
  <c r="MKN3" i="53" a="1"/>
  <c r="NBJ3" i="53" a="1"/>
  <c r="WHW3" i="53" a="1"/>
  <c r="DG3" i="53" a="1"/>
  <c r="BX3" i="53" a="1"/>
  <c r="KVC3" i="53" a="1"/>
  <c r="BZX3" i="53" a="1"/>
  <c r="WNC3" i="53" a="1"/>
  <c r="KSI3" i="53" a="1"/>
  <c r="BTJ3" i="53" a="1"/>
  <c r="WMW3" i="53" a="1"/>
  <c r="ELV3" i="53" a="1"/>
  <c r="EAF3" i="53" a="1"/>
  <c r="C3" i="38" a="1"/>
  <c r="E39" i="4" a="1"/>
  <c r="QLY3" i="53" a="1"/>
  <c r="MIF3" i="53" a="1"/>
  <c r="PCJ3" i="53" a="1"/>
  <c r="MGW3" i="53" a="1"/>
  <c r="JXF3" i="53" a="1"/>
  <c r="GHX3" i="53" a="1"/>
  <c r="PGS3" i="53" a="1"/>
  <c r="GJX3" i="53" a="1"/>
  <c r="KUY3" i="53" a="1"/>
  <c r="IAN3" i="53" a="1"/>
  <c r="QXX3" i="53" a="1"/>
  <c r="KUQ3" i="53" a="1"/>
  <c r="WEJ3" i="53" a="1"/>
  <c r="CAR3" i="53" a="1"/>
  <c r="PTZ3" i="53" a="1"/>
  <c r="NDV3" i="53" a="1"/>
  <c r="CIU3" i="53" a="1"/>
  <c r="LPR3" i="53" a="1"/>
  <c r="CIG3" i="53" a="1"/>
  <c r="LBO3" i="53" a="1"/>
  <c r="VRD3" i="53" a="1"/>
  <c r="POU3" i="53" a="1"/>
  <c r="GXN3" i="53" a="1"/>
  <c r="MAS3" i="53" a="1"/>
  <c r="FBB3" i="53" a="1"/>
  <c r="PFW3" i="53" a="1"/>
  <c r="QBQ3" i="53" a="1"/>
  <c r="EWE3" i="53" a="1"/>
  <c r="KCG3" i="53" a="1"/>
  <c r="SFB3" i="53" a="1"/>
  <c r="FEH3" i="53" a="1"/>
  <c r="BGR3" i="53" a="1"/>
  <c r="ERE3" i="53" a="1"/>
  <c r="PVB3" i="53" a="1"/>
  <c r="ADZ3" i="53" a="1"/>
  <c r="GU3" i="53" a="1"/>
  <c r="ENX3" i="53" a="1"/>
  <c r="WPQ3" i="53" a="1"/>
  <c r="VBC3" i="53" a="1"/>
  <c r="C13" i="2" a="1"/>
  <c r="C408" i="27" a="1"/>
  <c r="C6" i="28" a="1"/>
  <c r="MUL3" i="53" a="1"/>
  <c r="QEJ3" i="53" a="1"/>
  <c r="JWV3" i="53" a="1"/>
  <c r="FDD3" i="53" a="1"/>
  <c r="JPX3" i="53" a="1"/>
  <c r="RRU3" i="53" a="1"/>
  <c r="FIT3" i="53" a="1"/>
  <c r="HSU3" i="53" a="1"/>
  <c r="NUH3" i="53" a="1"/>
  <c r="NSI3" i="53" a="1"/>
  <c r="FKQ3" i="53" a="1"/>
  <c r="DXM3" i="53" a="1"/>
  <c r="IFX3" i="53" a="1"/>
  <c r="IHB3" i="53" a="1"/>
  <c r="AWH3" i="53" a="1"/>
  <c r="CLN3" i="53" a="1"/>
  <c r="GUK3" i="53" a="1"/>
  <c r="MNC3" i="53" a="1"/>
  <c r="HAL3" i="53" a="1"/>
  <c r="BWD3" i="53" a="1"/>
  <c r="JZA3" i="53" a="1"/>
  <c r="MXA3" i="53" a="1"/>
  <c r="DUX3" i="53" a="1"/>
  <c r="OTQ3" i="53" a="1"/>
  <c r="PSF3" i="53" a="1"/>
  <c r="IRG3" i="53" a="1"/>
  <c r="MVT3" i="53" a="1"/>
  <c r="JBV3" i="53" a="1"/>
  <c r="AWY3" i="53" a="1"/>
  <c r="HQG3" i="53" a="1"/>
  <c r="MIP3" i="53" a="1"/>
  <c r="NMM3" i="53" a="1"/>
  <c r="QIM3" i="53" a="1"/>
  <c r="OLR3" i="53" a="1"/>
  <c r="LI3" i="53" a="1"/>
  <c r="C242" i="27" a="1"/>
  <c r="EKV3" i="53" a="1"/>
  <c r="EOU3" i="53" a="1"/>
  <c r="TGX3" i="53" a="1"/>
  <c r="ABZ3" i="53" a="1"/>
  <c r="TLJ3" i="53" a="1"/>
  <c r="FQT3" i="53" a="1"/>
  <c r="FGG3" i="53" a="1"/>
  <c r="ATL3" i="53" a="1"/>
  <c r="JGX3" i="53" a="1"/>
  <c r="VAO3" i="53" a="1"/>
  <c r="CXP3" i="53" a="1"/>
  <c r="VHH3" i="53" a="1"/>
  <c r="WAB3" i="53" a="1"/>
  <c r="GLU3" i="53" a="1"/>
  <c r="MVN3" i="53" a="1"/>
  <c r="ECW3" i="53" a="1"/>
  <c r="UMA3" i="53" a="1"/>
  <c r="C6" i="3" a="1"/>
  <c r="MSL3" i="53" a="1"/>
  <c r="CFA3" i="53" a="1"/>
  <c r="KAT3" i="53" a="1"/>
  <c r="FNU3" i="53" a="1"/>
  <c r="E6" i="46" a="1"/>
  <c r="TKU3" i="53" a="1"/>
  <c r="E141" i="27" a="1"/>
  <c r="WEP3" i="53" a="1"/>
  <c r="NQX3" i="53" a="1"/>
  <c r="DDE3" i="53" a="1"/>
  <c r="CNJ3" i="53" a="1"/>
  <c r="KCA3" i="53" a="1"/>
  <c r="WMU3" i="53" a="1"/>
  <c r="HHU3" i="53" a="1"/>
  <c r="VGI3" i="53" a="1"/>
  <c r="NSC3" i="53" a="1"/>
  <c r="C305" i="27" a="1"/>
  <c r="NJF3" i="53" a="1"/>
  <c r="E15" i="40" a="1"/>
  <c r="CVL3" i="53" a="1"/>
  <c r="ATJ3" i="53" a="1"/>
  <c r="KBC3" i="53" a="1"/>
  <c r="HEF3" i="53" a="1"/>
  <c r="HKR3" i="53" a="1"/>
  <c r="GBU3" i="53" a="1"/>
  <c r="MOG3" i="53" a="1"/>
  <c r="IZO3" i="53" a="1"/>
  <c r="IRJ3" i="53" a="1"/>
  <c r="MLK3" i="53" a="1"/>
  <c r="IZC3" i="53" a="1"/>
  <c r="EDV3" i="53" a="1"/>
  <c r="PCS3" i="53" a="1"/>
  <c r="CQT3" i="53" a="1"/>
  <c r="C36" i="53" a="1"/>
  <c r="KCN3" i="53" a="1"/>
  <c r="BVQ3" i="53" a="1"/>
  <c r="E147" i="27" a="1"/>
  <c r="CIK3" i="53" a="1"/>
  <c r="TDE3" i="53" a="1"/>
  <c r="HWP3" i="53" a="1"/>
  <c r="GFL3" i="53" a="1"/>
  <c r="QFW3" i="53" a="1"/>
  <c r="HPF3" i="53" a="1"/>
  <c r="CCV3" i="53" a="1"/>
  <c r="SQL3" i="53" a="1"/>
  <c r="NPF3" i="53" a="1"/>
  <c r="A3" i="31" a="1"/>
  <c r="C43" i="2" a="1"/>
  <c r="ETU3" i="53" a="1"/>
  <c r="WLR3" i="53" a="1"/>
  <c r="PBY3" i="53" a="1"/>
  <c r="WCW3" i="53" a="1"/>
  <c r="E38" i="27" a="1"/>
  <c r="C53" i="27" a="1"/>
  <c r="DXC3" i="53" a="1"/>
  <c r="ANX3" i="53" a="1"/>
  <c r="HPL3" i="53" a="1"/>
  <c r="GGC3" i="53" a="1"/>
  <c r="TWI3" i="53" a="1"/>
  <c r="C212" i="27" a="1"/>
  <c r="SJJ3" i="53" a="1"/>
  <c r="WRR3" i="53" a="1"/>
  <c r="EVV3" i="53" a="1"/>
  <c r="BNY3" i="53" a="1"/>
  <c r="WVC3" i="53" a="1"/>
  <c r="RHW3" i="53" a="1"/>
  <c r="AUS3" i="53" a="1"/>
  <c r="QFG3" i="53" a="1"/>
  <c r="CUN3" i="53" a="1"/>
  <c r="VBY3" i="53" a="1"/>
  <c r="KFL3" i="53" a="1"/>
  <c r="KLT3" i="53" a="1"/>
  <c r="OAY3" i="53" a="1"/>
  <c r="DCN3" i="53" a="1"/>
  <c r="LTM3" i="53" a="1"/>
  <c r="QWI3" i="53" a="1"/>
  <c r="LYS3" i="53" a="1"/>
  <c r="KFK3" i="53" a="1"/>
  <c r="RUD3" i="53" a="1"/>
  <c r="VRE3" i="53" a="1"/>
  <c r="MIL3" i="53" a="1"/>
  <c r="VEO3" i="53" a="1"/>
  <c r="LET3" i="53" a="1"/>
  <c r="NLC3" i="53" a="1"/>
  <c r="NRJ3" i="53" a="1"/>
  <c r="CVU3" i="53" a="1"/>
  <c r="OVP3" i="53" a="1"/>
  <c r="CKQ3" i="53" a="1"/>
  <c r="VEW3" i="53" a="1"/>
  <c r="GCB3" i="53" a="1"/>
  <c r="BJJ3" i="53" a="1"/>
  <c r="HBU3" i="53" a="1"/>
  <c r="KY3" i="53" a="1"/>
  <c r="NWP3" i="53" a="1"/>
  <c r="VEJ3" i="53" a="1"/>
  <c r="OJA3" i="53" a="1"/>
  <c r="VPN3" i="53" a="1"/>
  <c r="ICV3" i="53" a="1"/>
  <c r="JCL3" i="53" a="1"/>
  <c r="KPX3" i="53" a="1"/>
  <c r="EZY3" i="53" a="1"/>
  <c r="MEE3" i="53" a="1"/>
  <c r="TUQ3" i="53" a="1"/>
  <c r="RKI3" i="53" a="1"/>
  <c r="UZI3" i="53" a="1"/>
  <c r="DKD3" i="53" a="1"/>
  <c r="DRH3" i="53" a="1"/>
  <c r="ZT3" i="53" a="1"/>
  <c r="UZQ3" i="53" a="1"/>
  <c r="THO3" i="53" a="1"/>
  <c r="CUK3" i="53" a="1"/>
  <c r="JPN3" i="53" a="1"/>
  <c r="NBS3" i="53" a="1"/>
  <c r="DSX3" i="53" a="1"/>
  <c r="B3" i="4" a="1"/>
  <c r="ELE3" i="53" a="1"/>
  <c r="KOK3" i="53" a="1"/>
  <c r="NNE3" i="53" a="1"/>
  <c r="EIK3" i="53" a="1"/>
  <c r="HCM3" i="53" a="1"/>
  <c r="JFI3" i="53" a="1"/>
  <c r="IOA3" i="53" a="1"/>
  <c r="QRW3" i="53" a="1"/>
  <c r="ISC3" i="53" a="1"/>
  <c r="PBC3" i="53" a="1"/>
  <c r="NIL3" i="53" a="1"/>
  <c r="ILX3" i="53" a="1"/>
  <c r="C9" i="4" a="1"/>
  <c r="PVV3" i="53" a="1"/>
  <c r="DGE3" i="53" a="1"/>
  <c r="C7" i="46" a="1"/>
  <c r="RMS3" i="53" a="1"/>
  <c r="COA3" i="53" a="1"/>
  <c r="URS3" i="53" a="1"/>
  <c r="HAB3" i="53" a="1"/>
  <c r="RXE3" i="53" a="1"/>
  <c r="TLC3" i="53" a="1"/>
  <c r="VXG3" i="53" a="1"/>
  <c r="FII3" i="53" a="1"/>
  <c r="WAN3" i="53" a="1"/>
  <c r="UDW3" i="53" a="1"/>
  <c r="RGV3" i="53" a="1"/>
  <c r="TZW3" i="53" a="1"/>
  <c r="DPS3" i="53" a="1"/>
  <c r="IEN3" i="53" a="1"/>
  <c r="MUE3" i="53" a="1"/>
  <c r="TTM3" i="53" a="1"/>
  <c r="LMB3" i="53" a="1"/>
  <c r="LWM3" i="53" a="1"/>
  <c r="OJC3" i="53" a="1"/>
  <c r="C30" i="59" a="1"/>
  <c r="KIE3" i="53" a="1"/>
  <c r="FSO3" i="53" a="1"/>
  <c r="EJB3" i="53" a="1"/>
  <c r="DNN3" i="53" a="1"/>
  <c r="PIH3" i="53" a="1"/>
  <c r="JGA3" i="53" a="1"/>
  <c r="DJL3" i="53" a="1"/>
  <c r="MYA3" i="53" a="1"/>
  <c r="HZW3" i="53" a="1"/>
  <c r="CQY3" i="53" a="1"/>
  <c r="GKL3" i="53" a="1"/>
  <c r="VOZ3" i="53" a="1"/>
  <c r="C3" i="42" a="1"/>
  <c r="CLC3" i="53" a="1"/>
  <c r="SFQ3" i="53" a="1"/>
  <c r="QXF3" i="53" a="1"/>
  <c r="WBQ3" i="53" a="1"/>
  <c r="NXS3" i="53" a="1"/>
  <c r="DNR3" i="53" a="1"/>
  <c r="ONU3" i="53" a="1"/>
  <c r="HV3" i="53" a="1"/>
  <c r="LFA3" i="53" a="1"/>
  <c r="LRH3" i="53" a="1"/>
  <c r="AKT3" i="53" a="1"/>
  <c r="MQR3" i="53" a="1"/>
  <c r="BEZ3" i="53" a="1"/>
  <c r="KWP3" i="53" a="1"/>
  <c r="MNV3" i="53" a="1"/>
  <c r="RDH3" i="53" a="1"/>
  <c r="ROF3" i="53" a="1"/>
  <c r="NMW3" i="53" a="1"/>
  <c r="GVG3" i="53" a="1"/>
  <c r="IAL3" i="53" a="1"/>
  <c r="B3" i="12" a="1"/>
  <c r="IDW3" i="53" a="1"/>
  <c r="KYN3" i="53" a="1"/>
  <c r="MNQ3" i="53" a="1"/>
  <c r="SC3" i="53" a="1"/>
  <c r="E277" i="27" a="1"/>
  <c r="OQI3" i="53" a="1"/>
  <c r="WZJ3" i="53" a="1"/>
  <c r="KJI3" i="53" a="1"/>
  <c r="FRF3" i="53" a="1"/>
  <c r="SSH3" i="53" a="1"/>
  <c r="DFI3" i="53" a="1"/>
  <c r="JAV3" i="53" a="1"/>
  <c r="C289" i="27" a="1"/>
  <c r="C85" i="27" a="1"/>
  <c r="JGG3" i="53" a="1"/>
  <c r="KDQ3" i="53" a="1"/>
  <c r="E47" i="40" a="1"/>
  <c r="VYH3" i="53" a="1"/>
  <c r="ZG3" i="53" a="1"/>
  <c r="C34" i="4" a="1"/>
  <c r="OBM3" i="53" a="1"/>
  <c r="EYP3" i="53" a="1"/>
  <c r="TZY3" i="53" a="1"/>
  <c r="PX3" i="53" a="1"/>
  <c r="GKC3" i="53" a="1"/>
  <c r="WNF3" i="53" a="1"/>
  <c r="HWF3" i="53" a="1"/>
  <c r="ACC3" i="53" a="1"/>
  <c r="OFS3" i="53" a="1"/>
  <c r="OMY3" i="53" a="1"/>
  <c r="MRK3" i="53" a="1"/>
  <c r="LOT3" i="53" a="1"/>
  <c r="QCA3" i="53" a="1"/>
  <c r="HNZ3" i="53" a="1"/>
  <c r="C28" i="59" a="1"/>
  <c r="JOB3" i="53" a="1"/>
  <c r="BPM3" i="53" a="1"/>
  <c r="JPP3" i="53" a="1"/>
  <c r="IHO3" i="53" a="1"/>
  <c r="UJE3" i="53" a="1"/>
  <c r="REM3" i="53" a="1"/>
  <c r="BDX3" i="53" a="1"/>
  <c r="NTP3" i="53" a="1"/>
  <c r="HIX3" i="53" a="1"/>
  <c r="FBX3" i="53" a="1"/>
  <c r="EPS3" i="53" a="1"/>
  <c r="IUS3" i="53" a="1"/>
  <c r="WPO3" i="53" a="1"/>
  <c r="LMH3" i="53" a="1"/>
  <c r="C74" i="27" a="1"/>
  <c r="C115" i="27" a="1"/>
  <c r="MKL3" i="53" a="1"/>
  <c r="MMW3" i="53" a="1"/>
  <c r="BBG3" i="53" a="1"/>
  <c r="KRC3" i="53" a="1"/>
  <c r="ARK3" i="53" a="1"/>
  <c r="NVL3" i="53" a="1"/>
  <c r="HRU3" i="53" a="1"/>
  <c r="CXN3" i="53" a="1"/>
  <c r="DJT3" i="53" a="1"/>
  <c r="PCN3" i="53" a="1"/>
  <c r="JPR3" i="53" a="1"/>
  <c r="AEF3" i="53" a="1"/>
  <c r="UQK3" i="53" a="1"/>
  <c r="PSD3" i="53" a="1"/>
  <c r="DYI3" i="53" a="1"/>
  <c r="JPS3" i="53" a="1"/>
  <c r="MOZ3" i="53" a="1"/>
  <c r="EVO3" i="53" a="1"/>
  <c r="HBJ3" i="53" a="1"/>
  <c r="FWI3" i="53" a="1"/>
  <c r="C56" i="40" a="1"/>
  <c r="AEW3" i="53" a="1"/>
  <c r="GKH3" i="53" a="1"/>
  <c r="C71" i="53" a="1"/>
  <c r="C35" i="11" a="1"/>
  <c r="LAC3" i="53" a="1"/>
  <c r="LPW3" i="53" a="1"/>
  <c r="WQQ3" i="53" a="1"/>
  <c r="BAR3" i="53" a="1"/>
  <c r="NWT3" i="53" a="1"/>
  <c r="VXZ3" i="53" a="1"/>
  <c r="E294" i="27" a="1"/>
  <c r="TMO3" i="53" a="1"/>
  <c r="DQG3" i="53" a="1"/>
  <c r="E3" i="55" a="1"/>
  <c r="THB3" i="53" a="1"/>
  <c r="AST3" i="53" a="1"/>
  <c r="KSU3" i="53" a="1"/>
  <c r="EUA3" i="53" a="1"/>
  <c r="OLL3" i="53" a="1"/>
  <c r="BSF3" i="53" a="1"/>
  <c r="INY3" i="53" a="1"/>
  <c r="JUR3" i="53" a="1"/>
  <c r="DVS3" i="53" a="1"/>
  <c r="KVG3" i="53" a="1"/>
  <c r="E236" i="27" a="1"/>
  <c r="LY3" i="53" a="1"/>
  <c r="SLC3" i="53" a="1"/>
  <c r="AFK3" i="53" a="1"/>
  <c r="KNT3" i="53" a="1"/>
  <c r="FH3" i="53" a="1"/>
  <c r="SCT3" i="53" a="1"/>
  <c r="JVO3" i="53" a="1"/>
  <c r="E320" i="27" a="1"/>
  <c r="BDN3" i="53" a="1"/>
  <c r="RBK3" i="53" a="1"/>
  <c r="E190" i="27" a="1"/>
  <c r="OYH3" i="53" a="1"/>
  <c r="E238" i="27" a="1"/>
  <c r="TXN3" i="53" a="1"/>
  <c r="DLK3" i="53" a="1"/>
  <c r="SDB3" i="53" a="1"/>
  <c r="LZV3" i="53" a="1"/>
  <c r="C5" i="4" a="1"/>
  <c r="RH3" i="53" a="1"/>
  <c r="KJL3" i="53" a="1"/>
  <c r="C239" i="27" a="1"/>
  <c r="TVL3" i="53" a="1"/>
  <c r="C21" i="37" a="1"/>
  <c r="VQM3" i="53" a="1"/>
  <c r="E132" i="27" a="1"/>
  <c r="XEI3" i="53" a="1"/>
  <c r="KOI3" i="53" a="1"/>
  <c r="SQE3" i="53" a="1"/>
  <c r="ERO3" i="53" a="1"/>
  <c r="GNF3" i="53" a="1"/>
  <c r="LU3" i="53" a="1"/>
  <c r="EBX3" i="53" a="1"/>
  <c r="C54" i="4" a="1"/>
  <c r="VVA3" i="53" a="1"/>
  <c r="SZV3" i="53" a="1"/>
  <c r="RNR3" i="53" a="1"/>
  <c r="LHJ3" i="53" a="1"/>
  <c r="QMB3" i="53" a="1"/>
  <c r="GNY3" i="53" a="1"/>
  <c r="XDA3" i="53" a="1"/>
  <c r="FVN3" i="53" a="1"/>
  <c r="IQW3" i="53" a="1"/>
  <c r="NTA3" i="53" a="1"/>
  <c r="RLR3" i="53" a="1"/>
  <c r="JRC3" i="53" a="1"/>
  <c r="BQO3" i="53" a="1"/>
  <c r="DYF3" i="53" a="1"/>
  <c r="SII3" i="53" a="1"/>
  <c r="FOO3" i="53" a="1"/>
  <c r="MZQ3" i="53" a="1"/>
  <c r="VRR3" i="53" a="1"/>
  <c r="HME3" i="53" a="1"/>
  <c r="GQL3" i="53" a="1"/>
  <c r="KDW3" i="53" a="1"/>
  <c r="OVJ3" i="53" a="1"/>
  <c r="PYA3" i="53" a="1"/>
  <c r="A3" i="56" a="1"/>
  <c r="BEB3" i="53" a="1"/>
  <c r="OEE3" i="53" a="1"/>
  <c r="SOR3" i="53" a="1"/>
  <c r="JOT3" i="53" a="1"/>
  <c r="NMR3" i="53" a="1"/>
  <c r="VXP3" i="53" a="1"/>
  <c r="THD3" i="53" a="1"/>
  <c r="IXL3" i="53" a="1"/>
  <c r="ITK3" i="53" a="1"/>
  <c r="UZ3" i="53" a="1"/>
  <c r="RHS3" i="53" a="1"/>
  <c r="VVC3" i="53" a="1"/>
  <c r="FOZ3" i="53" a="1"/>
  <c r="CHC3" i="53" a="1"/>
  <c r="TQX3" i="53" a="1"/>
  <c r="AYH3" i="53" a="1"/>
  <c r="E5" i="40" a="1"/>
  <c r="STL3" i="53" a="1"/>
  <c r="AGW3" i="53" a="1"/>
  <c r="SRF3" i="53" a="1"/>
  <c r="WRY3" i="53" a="1"/>
  <c r="KJJ3" i="53" a="1"/>
  <c r="QUQ3" i="53" a="1"/>
  <c r="EPJ3" i="53" a="1"/>
  <c r="JWY3" i="53" a="1"/>
  <c r="JF3" i="53" a="1"/>
  <c r="UCN3" i="53" a="1"/>
  <c r="GCW3" i="53" a="1"/>
  <c r="SCN3" i="53" a="1"/>
  <c r="UBJ3" i="53" a="1"/>
  <c r="FVD3" i="53" a="1"/>
  <c r="C30" i="6" a="1"/>
  <c r="JMA3" i="53" a="1"/>
  <c r="MMG3" i="53" a="1"/>
  <c r="HCO3" i="53" a="1"/>
  <c r="CRH3" i="53" a="1"/>
  <c r="DUU3" i="53" a="1"/>
  <c r="UQE3" i="53" a="1"/>
  <c r="QFP3" i="53" a="1"/>
  <c r="BXH3" i="53" a="1"/>
  <c r="ECT3" i="53" a="1"/>
  <c r="IYL3" i="53" a="1"/>
  <c r="LSD3" i="53" a="1"/>
  <c r="ALW3" i="53" a="1"/>
  <c r="BFY3" i="53" a="1"/>
  <c r="CEQ3" i="53" a="1"/>
  <c r="VSY3" i="53" a="1"/>
  <c r="HXU3" i="53" a="1"/>
  <c r="CLT3" i="53" a="1"/>
  <c r="LGE3" i="53" a="1"/>
  <c r="NCB3" i="53" a="1"/>
  <c r="LEY3" i="53" a="1"/>
  <c r="VLG3" i="53" a="1"/>
  <c r="JHJ3" i="53" a="1"/>
  <c r="OWA3" i="53" a="1"/>
  <c r="LHA3" i="53" a="1"/>
  <c r="OAC3" i="53" a="1"/>
  <c r="CAK3" i="53" a="1"/>
  <c r="NOA3" i="53" a="1"/>
  <c r="SBV3" i="53" a="1"/>
  <c r="LDF3" i="53" a="1"/>
  <c r="NTI3" i="53" a="1"/>
  <c r="KWQ3" i="53" a="1"/>
  <c r="DBX3" i="53" a="1"/>
  <c r="E3" i="7" a="1"/>
  <c r="TMA3" i="53" a="1"/>
  <c r="LLW3" i="53" a="1"/>
  <c r="UHX3" i="53" a="1"/>
  <c r="IYA3" i="53" a="1"/>
  <c r="LOD3" i="53" a="1"/>
  <c r="UDL3" i="53" a="1"/>
  <c r="FIH3" i="53" a="1"/>
  <c r="DVK3" i="53" a="1"/>
  <c r="LJR3" i="53" a="1"/>
  <c r="NCQ3" i="53" a="1"/>
  <c r="HZF3" i="53" a="1"/>
  <c r="JIO3" i="53" a="1"/>
  <c r="FHS3" i="53" a="1"/>
  <c r="EXR3" i="53" a="1"/>
  <c r="C24" i="59" a="1"/>
  <c r="QTB3" i="53" a="1"/>
  <c r="IUO3" i="53" a="1"/>
  <c r="JKL3" i="53" a="1"/>
  <c r="WLQ3" i="53" a="1"/>
  <c r="DDK3" i="53" a="1"/>
  <c r="NAQ3" i="53" a="1"/>
  <c r="ICH3" i="53" a="1"/>
  <c r="ILE3" i="53" a="1"/>
  <c r="EEG3" i="53" a="1"/>
  <c r="HBQ3" i="53" a="1"/>
  <c r="WJB3" i="53" a="1"/>
  <c r="LKP3" i="53" a="1"/>
  <c r="HXR3" i="53" a="1"/>
  <c r="DLN3" i="53" a="1"/>
  <c r="VHZ3" i="53" a="1"/>
  <c r="TDB3" i="53" a="1"/>
  <c r="KCM3" i="53" a="1"/>
  <c r="MSU3" i="53" a="1"/>
  <c r="E389" i="27" a="1"/>
  <c r="REF3" i="53" a="1"/>
  <c r="LCX3" i="53" a="1"/>
  <c r="GIL3" i="53" a="1"/>
  <c r="AMG3" i="53" a="1"/>
  <c r="AAU3" i="53" a="1"/>
  <c r="C12" i="3" a="1"/>
  <c r="DOJ3" i="53" a="1"/>
  <c r="E19" i="27" a="1"/>
  <c r="GVB3" i="53" a="1"/>
  <c r="GWW3" i="53" a="1"/>
  <c r="DKP3" i="53" a="1"/>
  <c r="NHZ3" i="53" a="1"/>
  <c r="CUV3" i="53" a="1"/>
  <c r="NYF3" i="53" a="1"/>
  <c r="LDS3" i="53" a="1"/>
  <c r="G42" i="40" a="1"/>
  <c r="MHJ3" i="53" a="1"/>
  <c r="AHY3" i="53" a="1"/>
  <c r="BZA3" i="53" a="1"/>
  <c r="BVT3" i="53" a="1"/>
  <c r="QSL3" i="53" a="1"/>
  <c r="C8" i="59" a="1"/>
  <c r="VWM3" i="53" a="1"/>
  <c r="KVP3" i="53" a="1"/>
  <c r="HHX3" i="53" a="1"/>
  <c r="SCK3" i="53" a="1"/>
  <c r="IQK3" i="53" a="1"/>
  <c r="NKY3" i="53" a="1"/>
  <c r="KNW3" i="53" a="1"/>
  <c r="ORY3" i="53" a="1"/>
  <c r="JSJ3" i="53" a="1"/>
  <c r="NQP3" i="53" a="1"/>
  <c r="HTM3" i="53" a="1"/>
  <c r="WAW3" i="53" a="1"/>
  <c r="MWD3" i="53" a="1"/>
  <c r="OYO3" i="53" a="1"/>
  <c r="GYZ3" i="53" a="1"/>
  <c r="JGD3" i="53" a="1"/>
  <c r="MJQ3" i="53" a="1"/>
  <c r="KVH3" i="53" a="1"/>
  <c r="JQE3" i="53" a="1"/>
  <c r="OQJ3" i="53" a="1"/>
  <c r="GHZ3" i="53" a="1"/>
  <c r="NAH3" i="53" a="1"/>
  <c r="C62" i="27" a="1"/>
  <c r="SHU3" i="53" a="1"/>
  <c r="IVY3" i="53" a="1"/>
  <c r="IEO3" i="53" a="1"/>
  <c r="OQT3" i="53" a="1"/>
  <c r="DOQ3" i="53" a="1"/>
  <c r="INC3" i="53" a="1"/>
  <c r="UZH3" i="53" a="1"/>
  <c r="NWX3" i="53" a="1"/>
  <c r="C30" i="27" a="1"/>
  <c r="IDQ3" i="53" a="1"/>
  <c r="UCP3" i="53" a="1"/>
  <c r="UIX3" i="53" a="1"/>
  <c r="AWK3" i="53" a="1"/>
  <c r="VOO3" i="53" a="1"/>
  <c r="EVC3" i="53" a="1"/>
  <c r="FSX3" i="53" a="1"/>
  <c r="FOQ3" i="53" a="1"/>
  <c r="KDR3" i="53" a="1"/>
  <c r="TOW3" i="53" a="1"/>
  <c r="BAM3" i="53" a="1"/>
  <c r="E28" i="4" a="1"/>
  <c r="QAR3" i="53" a="1"/>
  <c r="MJI3" i="53" a="1"/>
  <c r="MUM3" i="53" a="1"/>
  <c r="VJA3" i="53" a="1"/>
  <c r="LQS3" i="53" a="1"/>
  <c r="VTW3" i="53" a="1"/>
  <c r="KFR3" i="53" a="1"/>
  <c r="PS3" i="53" a="1"/>
  <c r="C51" i="4" a="1"/>
  <c r="IGV3" i="53" a="1"/>
  <c r="JTO3" i="53" a="1"/>
  <c r="BWY3" i="53" a="1"/>
  <c r="VWW3" i="53" a="1"/>
  <c r="LFI3" i="53" a="1"/>
  <c r="C225" i="27" a="1"/>
  <c r="C111" i="27" a="1"/>
  <c r="HGF3" i="53" a="1"/>
  <c r="JAD3" i="53" a="1"/>
  <c r="FGQ3" i="53" a="1"/>
  <c r="C19" i="53" a="1"/>
  <c r="JBC3" i="53" a="1"/>
  <c r="JPZ3" i="53" a="1"/>
  <c r="C376" i="27" a="1"/>
  <c r="TPU3" i="53" a="1"/>
  <c r="HZQ3" i="53" a="1"/>
  <c r="C345" i="27" a="1"/>
  <c r="EBN3" i="53" a="1"/>
  <c r="C3" i="27" a="1"/>
  <c r="JRJ3" i="53" a="1"/>
  <c r="ILR3" i="53" a="1"/>
  <c r="WTK3" i="53" a="1"/>
  <c r="AVZ3" i="53" a="1"/>
  <c r="BMW3" i="53" a="1"/>
  <c r="PFM3" i="53" a="1"/>
  <c r="OZO3" i="53" a="1"/>
  <c r="C46" i="27" a="1"/>
  <c r="C271" i="27" a="1"/>
  <c r="UPD3" i="53" a="1"/>
  <c r="JZN3" i="53" a="1"/>
  <c r="IIJ3" i="53" a="1"/>
  <c r="E355" i="27" a="1"/>
  <c r="DLZ3" i="53" a="1"/>
  <c r="SVH3" i="53" a="1"/>
  <c r="QCG3" i="53" a="1"/>
  <c r="BLB3" i="53" a="1"/>
  <c r="LPP3" i="53" a="1"/>
  <c r="LXU3" i="53" a="1"/>
  <c r="NHM3" i="53" a="1"/>
  <c r="FEY3" i="53" a="1"/>
  <c r="BN3" i="53" a="1"/>
  <c r="LUB3" i="53" a="1"/>
  <c r="FOP3" i="53" a="1"/>
  <c r="UYA3" i="53" a="1"/>
  <c r="QUW3" i="53" a="1"/>
  <c r="IVR3" i="53" a="1"/>
  <c r="WQD3" i="53" a="1"/>
  <c r="JKW3" i="53" a="1"/>
  <c r="LJV3" i="53" a="1"/>
  <c r="DIQ3" i="53" a="1"/>
  <c r="MV3" i="53" a="1"/>
  <c r="IK3" i="53" a="1"/>
  <c r="NCG3" i="53" a="1"/>
  <c r="FRH3" i="53" a="1"/>
  <c r="HPS3" i="53" a="1"/>
  <c r="HPB3" i="53" a="1"/>
  <c r="PRM3" i="53" a="1"/>
  <c r="OLH3" i="53" a="1"/>
  <c r="PVE3" i="53" a="1"/>
  <c r="GCE3" i="53" a="1"/>
  <c r="WLT3" i="53" a="1"/>
  <c r="FUI3" i="53" a="1"/>
  <c r="INJ3" i="53" a="1"/>
  <c r="MOK3" i="53" a="1"/>
  <c r="FUN3" i="53" a="1"/>
  <c r="JFV3" i="53" a="1"/>
  <c r="IWV3" i="53" a="1"/>
  <c r="IBH3" i="53" a="1"/>
  <c r="WXO3" i="53" a="1"/>
  <c r="RIM3" i="53" a="1"/>
  <c r="GFS3" i="53" a="1"/>
  <c r="CAV3" i="53" a="1"/>
  <c r="VGD3" i="53" a="1"/>
  <c r="GNW3" i="53" a="1"/>
  <c r="WBS3" i="53" a="1"/>
  <c r="JNX3" i="53" a="1"/>
  <c r="TEN3" i="53" a="1"/>
  <c r="VNI3" i="53" a="1"/>
  <c r="VSN3" i="53" a="1"/>
  <c r="CKJ3" i="53" a="1"/>
  <c r="CUT3" i="53" a="1"/>
  <c r="PGY3" i="53" a="1"/>
  <c r="AXY3" i="53" a="1"/>
  <c r="NIJ3" i="53" a="1"/>
  <c r="MTK3" i="53" a="1"/>
  <c r="JMP3" i="53" a="1"/>
  <c r="IDM3" i="53" a="1"/>
  <c r="NOR3" i="53" a="1"/>
  <c r="OTJ3" i="53" a="1"/>
  <c r="PCY3" i="53" a="1"/>
  <c r="NTV3" i="53" a="1"/>
  <c r="KQU3" i="53" a="1"/>
  <c r="BEJ3" i="53" a="1"/>
  <c r="PSH3" i="53" a="1"/>
  <c r="TCI3" i="53" a="1"/>
  <c r="WJG3" i="53" a="1"/>
  <c r="SOC3" i="53" a="1"/>
  <c r="FUX3" i="53" a="1"/>
  <c r="EZT3" i="53" a="1"/>
  <c r="UGZ3" i="53" a="1"/>
  <c r="NJQ3" i="53" a="1"/>
  <c r="QXG3" i="53" a="1"/>
  <c r="VQJ3" i="53" a="1"/>
  <c r="PKD3" i="53" a="1"/>
  <c r="B3" i="34" a="1"/>
  <c r="NVS3" i="53" a="1"/>
  <c r="LOZ3" i="53" a="1"/>
  <c r="C43" i="4" a="1"/>
  <c r="RWT3" i="53" a="1"/>
  <c r="RVF3" i="53" a="1"/>
  <c r="CXG3" i="53" a="1"/>
  <c r="SGF3" i="53" a="1"/>
  <c r="FPT3" i="53" a="1"/>
  <c r="PQW3" i="53" a="1"/>
  <c r="BOL3" i="53" a="1"/>
  <c r="VBO3" i="53" a="1"/>
  <c r="AFN3" i="53" a="1"/>
  <c r="CKO3" i="53" a="1"/>
  <c r="SIS3" i="53" a="1"/>
  <c r="OJI3" i="53" a="1"/>
  <c r="QUP3" i="53" a="1"/>
  <c r="QLD3" i="53" a="1"/>
  <c r="IIS3" i="53" a="1"/>
  <c r="UMX3" i="53" a="1"/>
  <c r="C6" i="59" a="1"/>
  <c r="NFV3" i="53" a="1"/>
  <c r="UWY3" i="53" a="1"/>
  <c r="GFR3" i="53" a="1"/>
  <c r="NER3" i="53" a="1"/>
  <c r="TXE3" i="53" a="1"/>
  <c r="QYJ3" i="53" a="1"/>
  <c r="OIZ3" i="53" a="1"/>
  <c r="BFJ3" i="53" a="1"/>
  <c r="NXK3" i="53" a="1"/>
  <c r="OFE3" i="53" a="1"/>
  <c r="JYQ3" i="53" a="1"/>
  <c r="AEM3" i="53" a="1"/>
  <c r="DKC3" i="53" a="1"/>
  <c r="KGJ3" i="53" a="1"/>
  <c r="SSW3" i="53" a="1"/>
  <c r="AEY3" i="53" a="1"/>
  <c r="QLE3" i="53" a="1"/>
  <c r="PRN3" i="53" a="1"/>
  <c r="KHI3" i="53" a="1"/>
  <c r="KMY3" i="53" a="1"/>
  <c r="WLJ3" i="53" a="1"/>
  <c r="GIG3" i="53" a="1"/>
  <c r="RYV3" i="53" a="1"/>
  <c r="WXK3" i="53" a="1"/>
  <c r="PLH3" i="53" a="1"/>
  <c r="CHZ3" i="53" a="1"/>
  <c r="HFV3" i="53" a="1"/>
  <c r="IXE3" i="53" a="1"/>
  <c r="C23" i="59" a="1"/>
  <c r="VEX3" i="53" a="1"/>
  <c r="UXP3" i="53" a="1"/>
  <c r="EYG3" i="53" a="1"/>
  <c r="GKG3" i="53" a="1"/>
  <c r="C36" i="2" a="1"/>
  <c r="MOT3" i="53" a="1"/>
  <c r="HGD3" i="53" a="1"/>
  <c r="MXL3" i="53" a="1"/>
  <c r="G17" i="40" a="1"/>
  <c r="FAR3" i="53" a="1"/>
  <c r="FUO3" i="53" a="1"/>
  <c r="IWH3" i="53" a="1"/>
  <c r="SVF3" i="53" a="1"/>
  <c r="OQH3" i="53" a="1"/>
  <c r="AZI3" i="53" a="1"/>
  <c r="IJN3" i="53" a="1"/>
  <c r="TQY3" i="53" a="1"/>
  <c r="HNW3" i="53" a="1"/>
  <c r="NSH3" i="53" a="1"/>
  <c r="APD3" i="53" a="1"/>
  <c r="NKZ3" i="53" a="1"/>
  <c r="TRM3" i="53" a="1"/>
  <c r="WTI3" i="53" a="1"/>
  <c r="NXI3" i="53" a="1"/>
  <c r="SSJ3" i="53" a="1"/>
  <c r="OLJ3" i="53" a="1"/>
  <c r="G7" i="40" a="1"/>
  <c r="NBD3" i="53" a="1"/>
  <c r="UOL3" i="53" a="1"/>
  <c r="NXN3" i="53" a="1"/>
  <c r="IYZ3" i="53" a="1"/>
  <c r="ELD3" i="53" a="1"/>
  <c r="BPG3" i="53" a="1"/>
  <c r="REQ3" i="53" a="1"/>
  <c r="DEM3" i="53" a="1"/>
  <c r="KQZ3" i="53" a="1"/>
  <c r="AXU3" i="53" a="1"/>
  <c r="VJ3" i="53" a="1"/>
  <c r="MZ3" i="53" a="1"/>
  <c r="CMK3" i="53" a="1"/>
  <c r="QTX3" i="53" a="1"/>
  <c r="HPM3" i="53" a="1"/>
  <c r="EXA3" i="53" a="1"/>
  <c r="TJ3" i="53" a="1"/>
  <c r="HAY3" i="53" a="1"/>
  <c r="NVN3" i="53" a="1"/>
  <c r="VWG3" i="53" a="1"/>
  <c r="GQK3" i="53" a="1"/>
  <c r="QGK3" i="53" a="1"/>
  <c r="HFM3" i="53" a="1"/>
  <c r="LPI3" i="53" a="1"/>
  <c r="VII3" i="53" a="1"/>
  <c r="TWP3" i="53" a="1"/>
  <c r="C205" i="27" a="1"/>
  <c r="EWO3" i="53" a="1"/>
  <c r="MKI3" i="53" a="1"/>
  <c r="EGX3" i="53" a="1"/>
  <c r="WPB3" i="53" a="1"/>
  <c r="KRY3" i="53" a="1"/>
  <c r="HYR3" i="53" a="1"/>
  <c r="DUP3" i="53" a="1"/>
  <c r="GYG3" i="53" a="1"/>
  <c r="VG3" i="53" a="1"/>
  <c r="GFX3" i="53" a="1"/>
  <c r="QVC3" i="53" a="1"/>
  <c r="KMW3" i="53" a="1"/>
  <c r="C372" i="27" a="1"/>
  <c r="UYR3" i="53" a="1"/>
  <c r="C15" i="3" a="1"/>
  <c r="GPW3" i="53" a="1"/>
  <c r="E47" i="27" a="1"/>
  <c r="UNI3" i="53" a="1"/>
  <c r="TQT3" i="53" a="1"/>
  <c r="SNN3" i="53" a="1"/>
  <c r="NRQ3" i="53" a="1"/>
  <c r="EGY3" i="53" a="1"/>
  <c r="E112" i="27" a="1"/>
  <c r="VQF3" i="53" a="1"/>
  <c r="VUR3" i="53" a="1"/>
  <c r="PHZ3" i="53" a="1"/>
  <c r="C302" i="27" a="1"/>
  <c r="DWZ3" i="53" a="1"/>
  <c r="DJE3" i="53" a="1"/>
  <c r="FQE3" i="53" a="1"/>
  <c r="E3" i="42" a="1"/>
  <c r="DAN3" i="53" a="1"/>
  <c r="DQ3" i="53" a="1"/>
  <c r="IGZ3" i="53" a="1"/>
  <c r="E235" i="27" a="1"/>
  <c r="GGD3" i="53" a="1"/>
  <c r="SNI3" i="53" a="1"/>
  <c r="KAM3" i="53" a="1"/>
  <c r="CDD3" i="53" a="1"/>
  <c r="SPL3" i="53" a="1"/>
  <c r="RFX3" i="53" a="1"/>
  <c r="QBB3" i="53" a="1"/>
  <c r="FPH3" i="53" a="1"/>
  <c r="TAT3" i="53" a="1"/>
  <c r="JXN3" i="53" a="1"/>
  <c r="KTP3" i="53" a="1"/>
  <c r="WE3" i="53" a="1"/>
  <c r="C104" i="27" a="1"/>
  <c r="OTM3" i="53" a="1"/>
  <c r="E43" i="27" a="1"/>
  <c r="KK3" i="53" a="1"/>
  <c r="E299" i="27" a="1"/>
  <c r="C265" i="27" a="1"/>
  <c r="G5" i="40" a="1"/>
  <c r="HUC3" i="53" a="1"/>
  <c r="HHP3" i="53" a="1"/>
  <c r="DLV3" i="53" a="1"/>
  <c r="HOX3" i="53" a="1"/>
  <c r="UFL3" i="53" a="1"/>
  <c r="PDZ3" i="53" a="1"/>
  <c r="MYD3" i="53" a="1"/>
  <c r="OZA3" i="53" a="1"/>
  <c r="RAJ3" i="53" a="1"/>
  <c r="CEU3" i="53" a="1"/>
  <c r="LTS3" i="53" a="1"/>
  <c r="CE3" i="53" a="1"/>
  <c r="LPX3" i="53" a="1"/>
  <c r="EMX3" i="53" a="1"/>
  <c r="RUN3" i="53" a="1"/>
  <c r="C21" i="3" a="1"/>
  <c r="ABW3" i="53" a="1"/>
  <c r="AIK3" i="53" a="1"/>
  <c r="TCQ3" i="53" a="1"/>
  <c r="TYA3" i="53" a="1"/>
  <c r="ZV3" i="53" a="1"/>
  <c r="RHM3" i="53" a="1"/>
  <c r="BQQ3" i="53" a="1"/>
  <c r="PZV3" i="53" a="1"/>
  <c r="C3" i="59" a="1"/>
  <c r="ESY3" i="53" a="1"/>
  <c r="VAQ3" i="53" a="1"/>
  <c r="EXG3" i="53" a="1"/>
  <c r="GBM3" i="53" a="1"/>
  <c r="FPZ3" i="53" a="1"/>
  <c r="MEC3" i="53" a="1"/>
  <c r="WUO3" i="53" a="1"/>
  <c r="D3" i="42" a="1"/>
  <c r="LNF3" i="53" a="1"/>
  <c r="FQK3" i="53" a="1"/>
  <c r="RRK3" i="53" a="1"/>
  <c r="HGR3" i="53" a="1"/>
  <c r="FDS3" i="53" a="1"/>
  <c r="BOQ3" i="53" a="1"/>
  <c r="FCV3" i="53" a="1"/>
  <c r="KTT3" i="53" a="1"/>
  <c r="KKI3" i="53" a="1"/>
  <c r="XDH3" i="53" a="1"/>
  <c r="UKN3" i="53" a="1"/>
  <c r="UWP3" i="53" a="1"/>
  <c r="JPB3" i="53" a="1"/>
  <c r="DWN3" i="53" a="1"/>
  <c r="VRI3" i="53" a="1"/>
  <c r="WBJ3" i="53" a="1"/>
  <c r="AGK3" i="53" a="1"/>
  <c r="JUZ3" i="53" a="1"/>
  <c r="PRG3" i="53" a="1"/>
  <c r="SPM3" i="53" a="1"/>
  <c r="CFV3" i="53" a="1"/>
  <c r="WXW3" i="53" a="1"/>
  <c r="JCD3" i="53" a="1"/>
  <c r="GTH3" i="53" a="1"/>
  <c r="COO3" i="53" a="1"/>
  <c r="HBT3" i="53" a="1"/>
  <c r="BNM3" i="53" a="1"/>
  <c r="WZF3" i="53" a="1"/>
  <c r="UZJ3" i="53" a="1"/>
  <c r="UNL3" i="53" a="1"/>
  <c r="VTD3" i="53" a="1"/>
  <c r="PU3" i="53" a="1"/>
  <c r="DUJ3" i="53" a="1"/>
  <c r="OIS3" i="53" a="1"/>
  <c r="JYI3" i="53" a="1"/>
  <c r="JBM3" i="53" a="1"/>
  <c r="GTX3" i="53" a="1"/>
  <c r="OVX3" i="53" a="1"/>
  <c r="EDL3" i="53" a="1"/>
  <c r="HXM3" i="53" a="1"/>
  <c r="KWU3" i="53" a="1"/>
  <c r="WBO3" i="53" a="1"/>
  <c r="DIP3" i="53" a="1"/>
  <c r="EUD3" i="53" a="1"/>
  <c r="JBZ3" i="53" a="1"/>
  <c r="SBO3" i="53" a="1"/>
  <c r="E8" i="31" a="1"/>
  <c r="AQQ3" i="53" a="1"/>
  <c r="HQK3" i="53" a="1"/>
  <c r="VZV3" i="53" a="1"/>
  <c r="JLR3" i="53" a="1"/>
  <c r="WIR3" i="53" a="1"/>
  <c r="KWS3" i="53" a="1"/>
  <c r="FAM3" i="53" a="1"/>
  <c r="KAC3" i="53" a="1"/>
  <c r="DTI3" i="53" a="1"/>
  <c r="UWU3" i="53" a="1"/>
  <c r="EFP3" i="53" a="1"/>
  <c r="NZJ3" i="53" a="1"/>
  <c r="HES3" i="53" a="1"/>
  <c r="AMP3" i="53" a="1"/>
  <c r="EHM3" i="53" a="1"/>
  <c r="GPS3" i="53" a="1"/>
  <c r="E39" i="40" a="1"/>
  <c r="TNQ3" i="53" a="1"/>
  <c r="GTE3" i="53" a="1"/>
  <c r="AF3" i="53" a="1"/>
  <c r="EHL3" i="53" a="1"/>
  <c r="DVH3" i="53" a="1"/>
  <c r="JGY3" i="53" a="1"/>
  <c r="LDZ3" i="53" a="1"/>
  <c r="TFN3" i="53" a="1"/>
  <c r="IEI3" i="53" a="1"/>
  <c r="TGI3" i="53" a="1"/>
  <c r="XAH3" i="53" a="1"/>
  <c r="IKO3" i="53" a="1"/>
  <c r="E32" i="40" a="1"/>
  <c r="TEA3" i="53" a="1"/>
  <c r="NTX3" i="53" a="1"/>
  <c r="DLE3" i="53" a="1"/>
  <c r="UHO3" i="53" a="1"/>
  <c r="SCI3" i="53" a="1"/>
  <c r="POP3" i="53" a="1"/>
  <c r="RTQ3" i="53" a="1"/>
  <c r="SYN3" i="53" a="1"/>
  <c r="LML3" i="53" a="1"/>
  <c r="DBC3" i="53" a="1"/>
  <c r="FIC3" i="53" a="1"/>
  <c r="IIP3" i="53" a="1"/>
  <c r="FVW3" i="53" a="1"/>
  <c r="DXS3" i="53" a="1"/>
  <c r="SDU3" i="53" a="1"/>
  <c r="KJP3" i="53" a="1"/>
  <c r="SFK3" i="53" a="1"/>
  <c r="AWO3" i="53" a="1"/>
  <c r="E36" i="40" a="1"/>
  <c r="IL3" i="53" a="1"/>
  <c r="PGG3" i="53" a="1"/>
  <c r="TEP3" i="53" a="1"/>
  <c r="OEW3" i="53" a="1"/>
  <c r="NYQ3" i="53" a="1"/>
  <c r="OOQ3" i="53" a="1"/>
  <c r="SWF3" i="53" a="1"/>
  <c r="C22" i="37" a="1"/>
  <c r="VHN3" i="53" a="1"/>
  <c r="BXT3" i="53" a="1"/>
  <c r="QTN3" i="53" a="1"/>
  <c r="WXD3" i="53" a="1"/>
  <c r="MRM3" i="53" a="1"/>
  <c r="UJY3" i="53" a="1"/>
  <c r="KLH3" i="53" a="1"/>
  <c r="WZX3" i="53" a="1"/>
  <c r="CNZ3" i="53" a="1"/>
  <c r="UGQ3" i="53" a="1"/>
  <c r="CKT3" i="53" a="1"/>
  <c r="WLP3" i="53" a="1"/>
  <c r="RTI3" i="53" a="1"/>
  <c r="KCD3" i="53" a="1"/>
  <c r="MKY3" i="53" a="1"/>
  <c r="DYT3" i="53" a="1"/>
  <c r="ADE3" i="53" a="1"/>
  <c r="JDQ3" i="53" a="1"/>
  <c r="MPU3" i="53" a="1"/>
  <c r="GDB3" i="53" a="1"/>
  <c r="JW3" i="53" a="1"/>
  <c r="VJI3" i="53" a="1"/>
  <c r="GZY3" i="53" a="1"/>
  <c r="XAO3" i="53" a="1"/>
  <c r="TOO3" i="53" a="1"/>
  <c r="OAQ3" i="53" a="1"/>
  <c r="VTI3" i="53" a="1"/>
  <c r="RXI3" i="53" a="1"/>
  <c r="OXP3" i="53" a="1"/>
  <c r="HHM3" i="53" a="1"/>
  <c r="ULH3" i="53" a="1"/>
  <c r="DPA3" i="53" a="1"/>
  <c r="ESG3" i="53" a="1"/>
  <c r="WZI3" i="53" a="1"/>
  <c r="CLW3" i="53" a="1"/>
  <c r="MJA3" i="53" a="1"/>
  <c r="QWW3" i="53" a="1"/>
  <c r="ARH3" i="53" a="1"/>
  <c r="BZF3" i="53" a="1"/>
  <c r="C38" i="40" a="1"/>
  <c r="UUT3" i="53" a="1"/>
  <c r="AZD3" i="53" a="1"/>
  <c r="EKW3" i="53" a="1"/>
  <c r="XDC3" i="53" a="1"/>
  <c r="KVF3" i="53" a="1"/>
  <c r="LJP3" i="53" a="1"/>
  <c r="UUJ3" i="53" a="1"/>
  <c r="HUJ3" i="53" a="1"/>
  <c r="VCR3" i="53" a="1"/>
  <c r="DZL3" i="53" a="1"/>
  <c r="EHP3" i="53" a="1"/>
  <c r="BPE3" i="53" a="1"/>
  <c r="URN3" i="53" a="1"/>
  <c r="GYI3" i="53" a="1"/>
  <c r="RNB3" i="53" a="1"/>
  <c r="OAB3" i="53" a="1"/>
  <c r="FSG3" i="53" a="1"/>
  <c r="LKU3" i="53" a="1"/>
  <c r="POF3" i="53" a="1"/>
  <c r="SWE3" i="53" a="1"/>
  <c r="RXR3" i="53" a="1"/>
  <c r="FEG3" i="53" a="1"/>
  <c r="FXR3" i="53" a="1"/>
  <c r="DIF3" i="53" a="1"/>
  <c r="SBQ3" i="53" a="1"/>
  <c r="MTV3" i="53" a="1"/>
  <c r="BYM3" i="53" a="1"/>
  <c r="LJJ3" i="53" a="1"/>
  <c r="VJM3" i="53" a="1"/>
  <c r="AXZ3" i="53" a="1"/>
  <c r="RMR3" i="53" a="1"/>
  <c r="VSO3" i="53" a="1"/>
  <c r="DKT3" i="53" a="1"/>
  <c r="C17" i="31" a="1"/>
  <c r="EWC3" i="53" a="1"/>
  <c r="RPB3" i="53" a="1"/>
  <c r="MUR3" i="53" a="1"/>
  <c r="RBY3" i="53" a="1"/>
  <c r="TGE3" i="53" a="1"/>
  <c r="JJL3" i="53" a="1"/>
  <c r="MKD3" i="53" a="1"/>
  <c r="C28" i="2" a="1"/>
  <c r="RSX3" i="53" a="1"/>
  <c r="MRO3" i="53" a="1"/>
  <c r="WSD3" i="53" a="1"/>
  <c r="KXQ3" i="53" a="1"/>
  <c r="EL3" i="53" a="1"/>
  <c r="JRK3" i="53" a="1"/>
  <c r="RML3" i="53" a="1"/>
  <c r="QUO3" i="53" a="1"/>
  <c r="WXA3" i="53" a="1"/>
  <c r="DDW3" i="53" a="1"/>
  <c r="PYT3" i="53" a="1"/>
  <c r="CNT3" i="53" a="1"/>
  <c r="BHP3" i="53" a="1"/>
  <c r="EGL3" i="53" a="1"/>
  <c r="WXI3" i="53" a="1"/>
  <c r="RGY3" i="53" a="1"/>
  <c r="PUB3" i="53" a="1"/>
  <c r="UO3" i="53" a="1"/>
  <c r="AIM3" i="53" a="1"/>
  <c r="UJF3" i="53" a="1"/>
  <c r="PMB3" i="53" a="1"/>
  <c r="WYS3" i="53" a="1"/>
  <c r="RDG3" i="53" a="1"/>
  <c r="OL3" i="53" a="1"/>
  <c r="UIF3" i="53" a="1"/>
  <c r="QVB3" i="53" a="1"/>
  <c r="TPS3" i="53" a="1"/>
  <c r="MCC3" i="53" a="1"/>
  <c r="IC3" i="53" a="1"/>
  <c r="QOG3" i="53" a="1"/>
  <c r="LSK3" i="53" a="1"/>
  <c r="TXX3" i="53" a="1"/>
  <c r="IWS3" i="53" a="1"/>
  <c r="TRR3" i="53" a="1"/>
  <c r="BTB3" i="53" a="1"/>
  <c r="NVY3" i="53" a="1"/>
  <c r="TSV3" i="53" a="1"/>
  <c r="AKX3" i="53" a="1"/>
  <c r="MMV3" i="53" a="1"/>
  <c r="SHC3" i="53" a="1"/>
  <c r="SAQ3" i="53" a="1"/>
  <c r="GWX3" i="53" a="1"/>
  <c r="TOB3" i="53" a="1"/>
  <c r="TKT3" i="53" a="1"/>
  <c r="NTW3" i="53" a="1"/>
  <c r="MCQ3" i="53" a="1"/>
  <c r="E3" i="47" a="1"/>
  <c r="E7" i="46" a="1"/>
  <c r="FZI3" i="53" a="1"/>
  <c r="CXQ3" i="53" a="1"/>
  <c r="BST3" i="53" a="1"/>
  <c r="KYX3" i="53" a="1"/>
  <c r="KTI3" i="53" a="1"/>
  <c r="VBL3" i="53" a="1"/>
  <c r="IEX3" i="53" a="1"/>
  <c r="FIK3" i="53" a="1"/>
  <c r="ECQ3" i="53" a="1"/>
  <c r="PTH3" i="53" a="1"/>
  <c r="BYC3" i="53" a="1"/>
  <c r="QFS3" i="53" a="1"/>
  <c r="B3" i="54" a="1"/>
  <c r="SNY3" i="53" a="1"/>
  <c r="E14" i="4" a="1"/>
  <c r="C7" i="31" a="1"/>
  <c r="E123" i="27" a="1"/>
  <c r="CDE3" i="53" a="1"/>
  <c r="JIG3" i="53" a="1"/>
  <c r="H3" i="5" a="1"/>
  <c r="JDS3" i="53" a="1"/>
  <c r="MAX3" i="53" a="1"/>
  <c r="FRD3" i="53" a="1"/>
  <c r="TPL3" i="53" a="1"/>
  <c r="EAQ3" i="53" a="1"/>
  <c r="IMR3" i="53" a="1"/>
  <c r="CCY3" i="53" a="1"/>
  <c r="CXM3" i="53" a="1"/>
  <c r="RG3" i="53" a="1"/>
  <c r="SWH3" i="53" a="1"/>
  <c r="B3" i="56" a="1"/>
  <c r="CYV3" i="53" a="1"/>
  <c r="RBL3" i="53" a="1"/>
  <c r="RQV3" i="53" a="1"/>
  <c r="THT3" i="53" a="1"/>
  <c r="LVU3" i="53" a="1"/>
  <c r="LJB3" i="53" a="1"/>
  <c r="DZK3" i="53" a="1"/>
  <c r="HKN3" i="53" a="1"/>
  <c r="KOG3" i="53" a="1"/>
  <c r="CRW3" i="53" a="1"/>
  <c r="HMY3" i="53" a="1"/>
  <c r="GP3" i="53" a="1"/>
  <c r="EXL3" i="53" a="1"/>
  <c r="UJM3" i="53" a="1"/>
  <c r="BGL3" i="53" a="1"/>
  <c r="RIZ3" i="53" a="1"/>
  <c r="NBA3" i="53" a="1"/>
  <c r="OMQ3" i="53" a="1"/>
  <c r="E18" i="40" a="1"/>
  <c r="DTK3" i="53" a="1"/>
  <c r="HKF3" i="53" a="1"/>
  <c r="IYV3" i="53" a="1"/>
  <c r="BA3" i="53" a="1"/>
  <c r="JEU3" i="53" a="1"/>
  <c r="HIZ3" i="53" a="1"/>
  <c r="BXL3" i="53" a="1"/>
  <c r="IUZ3" i="53" a="1"/>
  <c r="KGQ3" i="53" a="1"/>
  <c r="CAT3" i="53" a="1"/>
  <c r="JCT3" i="53" a="1"/>
  <c r="OAT3" i="53" a="1"/>
  <c r="TKP3" i="53" a="1"/>
  <c r="VLL3" i="53" a="1"/>
  <c r="SNR3" i="53" a="1"/>
  <c r="SUY3" i="53" a="1"/>
  <c r="TTL3" i="53" a="1"/>
  <c r="ERN3" i="53" a="1"/>
  <c r="E18" i="4" a="1"/>
  <c r="VEH3" i="53" a="1"/>
  <c r="RMW3" i="53" a="1"/>
  <c r="THQ3" i="53" a="1"/>
  <c r="GXC3" i="53" a="1"/>
  <c r="HPO3" i="53" a="1"/>
  <c r="MCN3" i="53" a="1"/>
  <c r="SAK3" i="53" a="1"/>
  <c r="TAD3" i="53" a="1"/>
  <c r="PRU3" i="53" a="1"/>
  <c r="WVW3" i="53" a="1"/>
  <c r="BDS3" i="53" a="1"/>
  <c r="HTS3" i="53" a="1"/>
  <c r="SLD3" i="53" a="1"/>
  <c r="BPC3" i="53" a="1"/>
  <c r="NJB3" i="53" a="1"/>
  <c r="OIH3" i="53" a="1"/>
  <c r="SSG3" i="53" a="1"/>
  <c r="MYK3" i="53" a="1"/>
  <c r="C19" i="40" a="1"/>
  <c r="C402" i="27" a="1"/>
  <c r="PGB3" i="53" a="1"/>
  <c r="CZN3" i="53" a="1"/>
  <c r="C31" i="4" a="1"/>
  <c r="G25" i="40" a="1"/>
  <c r="UTC3" i="53" a="1"/>
  <c r="HIT3" i="53" a="1"/>
  <c r="NEX3" i="53" a="1"/>
  <c r="HQE3" i="53" a="1"/>
  <c r="LRG3" i="53" a="1"/>
  <c r="RHD3" i="53" a="1"/>
  <c r="XEW3" i="53" a="1"/>
  <c r="ESW3" i="53" a="1"/>
  <c r="GTM3" i="53" a="1"/>
  <c r="TIS3" i="53" a="1"/>
  <c r="E161" i="27" a="1"/>
  <c r="CPF3" i="53" a="1"/>
  <c r="RIL3" i="53" a="1"/>
  <c r="WFH3" i="53" a="1"/>
  <c r="NYE3" i="53" a="1"/>
  <c r="IQL3" i="53" a="1"/>
  <c r="JIA3" i="53" a="1"/>
  <c r="QLC3" i="53" a="1"/>
  <c r="C14" i="37" a="1"/>
  <c r="DCK3" i="53" a="1"/>
  <c r="LCM3" i="53" a="1"/>
  <c r="MLN3" i="53" a="1"/>
  <c r="NGT3" i="53" a="1"/>
  <c r="HDW3" i="53" a="1"/>
  <c r="PXC3" i="53" a="1"/>
  <c r="BJR3" i="53" a="1"/>
  <c r="FOX3" i="53" a="1"/>
  <c r="LRR3" i="53" a="1"/>
  <c r="RKL3" i="53" a="1"/>
  <c r="J3" i="47" a="1"/>
  <c r="FGF3" i="53" a="1"/>
  <c r="RMC3" i="53" a="1"/>
  <c r="PTV3" i="53" a="1"/>
  <c r="CUF3" i="53" a="1"/>
  <c r="MLG3" i="53" a="1"/>
  <c r="AKH3" i="53" a="1"/>
  <c r="CTN3" i="53" a="1"/>
  <c r="PTP3" i="53" a="1"/>
  <c r="OXC3" i="53" a="1"/>
  <c r="XCQ3" i="53" a="1"/>
  <c r="DEJ3" i="53" a="1"/>
  <c r="CWY3" i="53" a="1"/>
  <c r="WRH3" i="53" a="1"/>
  <c r="JKR3" i="53" a="1"/>
  <c r="DZM3" i="53" a="1"/>
  <c r="EBR3" i="53" a="1"/>
  <c r="QV3" i="53" a="1"/>
  <c r="JIM3" i="53" a="1"/>
  <c r="JUN3" i="53" a="1"/>
  <c r="MZU3" i="53" a="1"/>
  <c r="CLG3" i="53" a="1"/>
  <c r="PXL3" i="53" a="1"/>
  <c r="D3" i="54" a="1"/>
  <c r="PVI3" i="53" a="1"/>
  <c r="NYH3" i="53" a="1"/>
  <c r="OU3" i="53" a="1"/>
  <c r="IQO3" i="53" a="1"/>
  <c r="JOV3" i="53" a="1"/>
  <c r="IHU3" i="53" a="1"/>
  <c r="VZU3" i="53" a="1"/>
  <c r="HMO3" i="53" a="1"/>
  <c r="NKD3" i="53" a="1"/>
  <c r="TZH3" i="53" a="1"/>
  <c r="IDH3" i="53" a="1"/>
  <c r="MUW3" i="53" a="1"/>
  <c r="RTK3" i="53" a="1"/>
  <c r="EFS3" i="53" a="1"/>
  <c r="FTX3" i="53" a="1"/>
  <c r="SLV3" i="53" a="1"/>
  <c r="RYI3" i="53" a="1"/>
  <c r="TEW3" i="53" a="1"/>
  <c r="HGB3" i="53" a="1"/>
  <c r="IRA3" i="53" a="1"/>
  <c r="TZD3" i="53" a="1"/>
  <c r="DPX3" i="53" a="1"/>
  <c r="MVO3" i="53" a="1"/>
  <c r="BNJ3" i="53" a="1"/>
  <c r="RTM3" i="53" a="1"/>
  <c r="DLC3" i="53" a="1"/>
  <c r="NNF3" i="53" a="1"/>
  <c r="FYP3" i="53" a="1"/>
  <c r="EHE3" i="53" a="1"/>
  <c r="H3" i="7" a="1"/>
  <c r="DMY3" i="53" a="1"/>
  <c r="KAO3" i="53" a="1"/>
  <c r="FCY3" i="53" a="1"/>
  <c r="RZL3" i="53" a="1"/>
  <c r="VEG3" i="53" a="1"/>
  <c r="MLD3" i="53" a="1"/>
  <c r="BBZ3" i="53" a="1"/>
  <c r="PPN3" i="53" a="1"/>
  <c r="KYA3" i="53" a="1"/>
  <c r="NCL3" i="53" a="1"/>
  <c r="DXB3" i="53" a="1"/>
  <c r="NDD3" i="53" a="1"/>
  <c r="WWP3" i="53" a="1"/>
  <c r="AHI3" i="53" a="1"/>
  <c r="URV3" i="53" a="1"/>
  <c r="TSB3" i="53" a="1"/>
  <c r="OLY3" i="53" a="1"/>
  <c r="COM3" i="53" a="1"/>
  <c r="VSZ3" i="53" a="1"/>
  <c r="TVU3" i="53" a="1"/>
  <c r="E7" i="57" a="1"/>
  <c r="SXY3" i="53" a="1"/>
  <c r="RXT3" i="53" a="1"/>
  <c r="GRX3" i="53" a="1"/>
  <c r="OFJ3" i="53" a="1"/>
  <c r="LPM3" i="53" a="1"/>
  <c r="TLA3" i="53" a="1"/>
  <c r="ML3" i="53" a="1"/>
  <c r="FOY3" i="53" a="1"/>
  <c r="UOC3" i="53" a="1"/>
  <c r="TDN3" i="53" a="1"/>
  <c r="END3" i="53" a="1"/>
  <c r="C294" i="27" a="1"/>
  <c r="JBW3" i="53" a="1"/>
  <c r="DXA3" i="53" a="1"/>
  <c r="UKM3" i="53" a="1"/>
  <c r="QXY3" i="53" a="1"/>
  <c r="OTC3" i="53" a="1"/>
  <c r="UFG3" i="53" a="1"/>
  <c r="TXU3" i="53" a="1"/>
  <c r="HQR3" i="53" a="1"/>
  <c r="FCO3" i="53" a="1"/>
  <c r="KKF3" i="53" a="1"/>
  <c r="NID3" i="53" a="1"/>
  <c r="EKD3" i="53" a="1"/>
  <c r="TEK3" i="53" a="1"/>
  <c r="HLL3" i="53" a="1"/>
  <c r="BAY3" i="53" a="1"/>
  <c r="JVQ3" i="53" a="1"/>
  <c r="UQV3" i="53" a="1"/>
  <c r="FYK3" i="53" a="1"/>
  <c r="RIB3" i="53" a="1"/>
  <c r="UQS3" i="53" a="1"/>
  <c r="RIE3" i="53" a="1"/>
  <c r="PSG3" i="53" a="1"/>
  <c r="SBX3" i="53" a="1"/>
  <c r="NZE3" i="53" a="1"/>
  <c r="ECY3" i="53" a="1"/>
  <c r="E363" i="27" a="1"/>
  <c r="FKY3" i="53" a="1"/>
  <c r="C26" i="6" a="1"/>
  <c r="WQX3" i="53" a="1"/>
  <c r="NEA3" i="53" a="1"/>
  <c r="NRN3" i="53" a="1"/>
  <c r="LHC3" i="53" a="1"/>
  <c r="BCE3" i="53" a="1"/>
  <c r="KR3" i="53" a="1"/>
  <c r="ONV3" i="53" a="1"/>
  <c r="ITU3" i="53" a="1"/>
  <c r="C11" i="59" a="1"/>
  <c r="SL3" i="53" a="1"/>
  <c r="BJG3" i="53" a="1"/>
  <c r="C24" i="6" a="1"/>
  <c r="CKI3" i="53" a="1"/>
  <c r="PSU3" i="53" a="1"/>
  <c r="C54" i="40" a="1"/>
  <c r="JMY3" i="53" a="1"/>
  <c r="DFQ3" i="53" a="1"/>
  <c r="DBG3" i="53" a="1"/>
  <c r="OKW3" i="53" a="1"/>
  <c r="UNV3" i="53" a="1"/>
  <c r="SAY3" i="53" a="1"/>
  <c r="E262" i="27" a="1"/>
  <c r="LTV3" i="53" a="1"/>
  <c r="G12" i="40" a="1"/>
  <c r="BIY3" i="53" a="1"/>
  <c r="C57" i="27" a="1"/>
  <c r="AEV3" i="53" a="1"/>
  <c r="KEI3" i="53" a="1"/>
  <c r="JFZ3" i="53" a="1"/>
  <c r="HOV3" i="53" a="1"/>
  <c r="CNK3" i="53" a="1"/>
  <c r="IXX3" i="53" a="1"/>
  <c r="BHA3" i="53" a="1"/>
  <c r="MLA3" i="53" a="1"/>
  <c r="RHG3" i="53" a="1"/>
  <c r="PXZ3" i="53" a="1"/>
  <c r="JVZ3" i="53" a="1"/>
  <c r="HUB3" i="53" a="1"/>
  <c r="EUS3" i="53" a="1"/>
  <c r="LAU3" i="53" a="1"/>
  <c r="E322" i="27" a="1"/>
  <c r="C229" i="27" a="1"/>
  <c r="RGC3" i="53" a="1"/>
  <c r="NTU3" i="53" a="1"/>
  <c r="JDW3" i="53" a="1"/>
  <c r="JAO3" i="53" a="1"/>
  <c r="KLK3" i="53" a="1"/>
  <c r="MTZ3" i="53" a="1"/>
  <c r="LEW3" i="53" a="1"/>
  <c r="PDJ3" i="53" a="1"/>
  <c r="DIK3" i="53" a="1"/>
  <c r="LTZ3" i="53" a="1"/>
  <c r="ITT3" i="53" a="1"/>
  <c r="HIJ3" i="53" a="1"/>
  <c r="WFM3" i="53" a="1"/>
  <c r="UGG3" i="53" a="1"/>
  <c r="C273" i="27" a="1"/>
  <c r="HOF3" i="53" a="1"/>
  <c r="UHH3" i="53" a="1"/>
  <c r="DNB3" i="53" a="1"/>
  <c r="ZO3" i="53" a="1"/>
  <c r="WIL3" i="53" a="1"/>
  <c r="ERR3" i="53" a="1"/>
  <c r="JTW3" i="53" a="1"/>
  <c r="KU3" i="53" a="1"/>
  <c r="FSQ3" i="53" a="1"/>
  <c r="FGK3" i="53" a="1"/>
  <c r="EIU3" i="53" a="1"/>
  <c r="BVK3" i="53" a="1"/>
  <c r="C17" i="37" a="1"/>
  <c r="C50" i="4" a="1"/>
  <c r="CER3" i="53" a="1"/>
  <c r="KBB3" i="53" a="1"/>
  <c r="C16" i="59" a="1"/>
  <c r="FAS3" i="53" a="1"/>
  <c r="WPC3" i="53" a="1"/>
  <c r="AGJ3" i="53" a="1"/>
  <c r="MQQ3" i="53" a="1"/>
  <c r="E285" i="27" a="1"/>
  <c r="E86" i="27" a="1"/>
  <c r="FDC3" i="53" a="1"/>
  <c r="CVA3" i="53" a="1"/>
  <c r="ORE3" i="53" a="1"/>
  <c r="SAT3" i="53" a="1"/>
  <c r="GYU3" i="53" a="1"/>
  <c r="JGT3" i="53" a="1"/>
  <c r="C39" i="11" a="1"/>
  <c r="WLZ3" i="53" a="1"/>
  <c r="SXC3" i="53" a="1"/>
  <c r="E66" i="27" a="1"/>
  <c r="KVI3" i="53" a="1"/>
  <c r="JAI3" i="53" a="1"/>
  <c r="WON3" i="53" a="1"/>
  <c r="JFK3" i="53" a="1"/>
  <c r="AVL3" i="53" a="1"/>
  <c r="TTU3" i="53" a="1"/>
  <c r="KFD3" i="53" a="1"/>
  <c r="PYF3" i="53" a="1"/>
  <c r="UUP3" i="53" a="1"/>
  <c r="IOB3" i="53" a="1"/>
  <c r="E304" i="27" a="1"/>
  <c r="C177" i="27" a="1"/>
  <c r="NI3" i="53" a="1"/>
  <c r="IVT3" i="53" a="1"/>
  <c r="C112" i="27" a="1"/>
  <c r="MOW3" i="53" a="1"/>
  <c r="LKG3" i="53" a="1"/>
  <c r="E135" i="27" a="1"/>
  <c r="NYV3" i="53" a="1"/>
  <c r="MJL3" i="53" a="1"/>
  <c r="BVG3" i="53" a="1"/>
  <c r="EOE3" i="53" a="1"/>
  <c r="C220" i="27" a="1"/>
  <c r="E107" i="27" a="1"/>
  <c r="E313" i="27" a="1"/>
  <c r="LSJ3" i="53" a="1"/>
  <c r="THP3" i="53" a="1"/>
  <c r="JKQ3" i="53" a="1"/>
  <c r="GHA3" i="53" a="1"/>
  <c r="BHK3" i="53" a="1"/>
  <c r="HVE3" i="53" a="1"/>
  <c r="C248" i="27" a="1"/>
  <c r="AVS3" i="53" a="1"/>
  <c r="CDP3" i="53" a="1"/>
  <c r="PJP3" i="53" a="1"/>
  <c r="E282" i="27" a="1"/>
  <c r="JOC3" i="53" a="1"/>
  <c r="C278" i="27" a="1"/>
  <c r="NPS3" i="53" a="1"/>
  <c r="HRC3" i="53" a="1"/>
  <c r="WWZ3" i="53" a="1"/>
  <c r="IMK3" i="53" a="1"/>
  <c r="KJC3" i="53" a="1"/>
  <c r="CRJ3" i="53" a="1"/>
  <c r="NA3" i="53" a="1"/>
  <c r="HLH3" i="53" a="1"/>
  <c r="FOK3" i="53" a="1"/>
  <c r="AIA3" i="53" a="1"/>
  <c r="NPR3" i="53" a="1"/>
  <c r="SZI3" i="53" a="1"/>
  <c r="KAP3" i="53" a="1"/>
  <c r="BGZ3" i="53" a="1"/>
  <c r="VDQ3" i="53" a="1"/>
  <c r="MFC3" i="53" a="1"/>
  <c r="MZB3" i="53" a="1"/>
  <c r="BMX3" i="53" a="1"/>
  <c r="G54" i="40" a="1"/>
  <c r="SMJ3" i="53" a="1"/>
  <c r="REN3" i="53" a="1"/>
  <c r="LXQ3" i="53" a="1"/>
  <c r="JME3" i="53" a="1"/>
  <c r="SQT3" i="53" a="1"/>
  <c r="SQP3" i="53" a="1"/>
  <c r="TQH3" i="53" a="1"/>
  <c r="HCW3" i="53" a="1"/>
  <c r="IWA3" i="53" a="1"/>
  <c r="SAE3" i="53" a="1"/>
  <c r="BRG3" i="53" a="1"/>
  <c r="HOY3" i="53" a="1"/>
  <c r="IXN3" i="53" a="1"/>
  <c r="LA3" i="53" a="1"/>
  <c r="FHZ3" i="53" a="1"/>
  <c r="FWU3" i="53" a="1"/>
  <c r="JVX3" i="53" a="1"/>
  <c r="QSF3" i="53" a="1"/>
  <c r="KSH3" i="53" a="1"/>
  <c r="REK3" i="53" a="1"/>
  <c r="EGN3" i="53" a="1"/>
  <c r="QJT3" i="53" a="1"/>
  <c r="GGK3" i="53" a="1"/>
  <c r="A3" i="38" a="1"/>
  <c r="EUF3" i="53" a="1"/>
  <c r="GSI3" i="53" a="1"/>
  <c r="LTO3" i="53" a="1"/>
  <c r="RIG3" i="53" a="1"/>
  <c r="UWS3" i="53" a="1"/>
  <c r="TKH3" i="53" a="1"/>
  <c r="PVP3" i="53" a="1"/>
  <c r="QHC3" i="53" a="1"/>
  <c r="PPV3" i="53" a="1"/>
  <c r="CBM3" i="53" a="1"/>
  <c r="KBM3" i="53" a="1"/>
  <c r="IVE3" i="53" a="1"/>
  <c r="OBW3" i="53" a="1"/>
  <c r="HHS3" i="53" a="1"/>
  <c r="HVH3" i="53" a="1"/>
  <c r="LFH3" i="53" a="1"/>
  <c r="NWE3" i="53" a="1"/>
  <c r="APZ3" i="53" a="1"/>
  <c r="JCP3" i="53" a="1"/>
  <c r="CPY3" i="53" a="1"/>
  <c r="XBU3" i="53" a="1"/>
  <c r="VSV3" i="53" a="1"/>
  <c r="NXM3" i="53" a="1"/>
  <c r="RVL3" i="53" a="1"/>
  <c r="ASQ3" i="53" a="1"/>
  <c r="E10" i="4" a="1"/>
  <c r="NUA3" i="53" a="1"/>
  <c r="COQ3" i="53" a="1"/>
  <c r="KBD3" i="53" a="1"/>
  <c r="BTY3" i="53" a="1"/>
  <c r="DHK3" i="53" a="1"/>
  <c r="FHV3" i="53" a="1"/>
  <c r="JSL3" i="53" a="1"/>
  <c r="ATB3" i="53" a="1"/>
  <c r="C44" i="53" a="1"/>
  <c r="VZS3" i="53" a="1"/>
  <c r="RHI3" i="53" a="1"/>
  <c r="NGP3" i="53" a="1"/>
  <c r="HWW3" i="53" a="1"/>
  <c r="QEQ3" i="53" a="1"/>
  <c r="JWA3" i="53" a="1"/>
  <c r="UAU3" i="53" a="1"/>
  <c r="EAR3" i="53" a="1"/>
  <c r="CYF3" i="53" a="1"/>
  <c r="TF3" i="53" a="1"/>
  <c r="UPG3" i="53" a="1"/>
  <c r="IJW3" i="53" a="1"/>
  <c r="UIA3" i="53" a="1"/>
  <c r="MKX3" i="53" a="1"/>
  <c r="TZK3" i="53" a="1"/>
  <c r="DDG3" i="53" a="1"/>
  <c r="GVY3" i="53" a="1"/>
  <c r="RCA3" i="53" a="1"/>
  <c r="MAI3" i="53" a="1"/>
  <c r="EC3" i="53" a="1"/>
  <c r="EAO3" i="53" a="1"/>
  <c r="VBS3" i="53" a="1"/>
  <c r="TSX3" i="53" a="1"/>
  <c r="B3" i="19" a="1"/>
  <c r="KIW3" i="53" a="1"/>
  <c r="TFK3" i="53" a="1"/>
  <c r="GXY3" i="53" a="1"/>
  <c r="KJV3" i="53" a="1"/>
  <c r="BFF3" i="53" a="1"/>
  <c r="VAK3" i="53" a="1"/>
  <c r="QWA3" i="53" a="1"/>
  <c r="NNO3" i="53" a="1"/>
  <c r="OCU3" i="53" a="1"/>
  <c r="JQU3" i="53" a="1"/>
  <c r="NIS3" i="53" a="1"/>
  <c r="NQN3" i="53" a="1"/>
  <c r="ROB3" i="53" a="1"/>
  <c r="HEB3" i="53" a="1"/>
  <c r="PUN3" i="53" a="1"/>
  <c r="J3" i="53" a="1"/>
  <c r="UOW3" i="53" a="1"/>
  <c r="H3" i="2" a="1"/>
  <c r="JHH3" i="53" a="1"/>
  <c r="C13" i="4" a="1"/>
  <c r="MSD3" i="53" a="1"/>
  <c r="VCF3" i="53" a="1"/>
  <c r="PBI3" i="53" a="1"/>
  <c r="RLB3" i="53" a="1"/>
  <c r="AWZ3" i="53" a="1"/>
  <c r="FKS3" i="53" a="1"/>
  <c r="IUD3" i="53" a="1"/>
  <c r="GET3" i="53" a="1"/>
  <c r="KWL3" i="53" a="1"/>
  <c r="MSB3" i="53" a="1"/>
  <c r="JUD3" i="53" a="1"/>
  <c r="C156" i="27" a="1"/>
  <c r="E20" i="27" a="1"/>
  <c r="NBV3" i="53" a="1"/>
  <c r="KFC3" i="53" a="1"/>
  <c r="KSM3" i="53" a="1"/>
  <c r="AIG3" i="53" a="1"/>
  <c r="C29" i="6" a="1"/>
  <c r="C244" i="27" a="1"/>
  <c r="D3" i="27" a="1"/>
  <c r="TMD3" i="53" a="1"/>
  <c r="ERM3" i="53" a="1"/>
  <c r="CSO3" i="53" a="1"/>
  <c r="PO3" i="53" a="1"/>
  <c r="EDY3" i="53" a="1"/>
  <c r="E41" i="4" a="1"/>
  <c r="BET3" i="53" a="1"/>
  <c r="GGI3" i="53" a="1"/>
  <c r="PBO3" i="53" a="1"/>
  <c r="QFY3" i="53" a="1"/>
  <c r="KOM3" i="53" a="1"/>
  <c r="SUR3" i="53" a="1"/>
  <c r="SXZ3" i="53" a="1"/>
  <c r="LWV3" i="53" a="1"/>
  <c r="AOI3" i="53" a="1"/>
  <c r="SEQ3" i="53" a="1"/>
  <c r="NRI3" i="53" a="1"/>
  <c r="SVS3" i="53" a="1"/>
  <c r="WHF3" i="53" a="1"/>
  <c r="RPV3" i="53" a="1"/>
  <c r="PST3" i="53" a="1"/>
  <c r="LEK3" i="53" a="1"/>
  <c r="LCI3" i="53" a="1"/>
  <c r="E246" i="27" a="1"/>
  <c r="OGS3" i="53" a="1"/>
  <c r="C319" i="27" a="1"/>
  <c r="C9" i="28" a="1"/>
  <c r="WRX3" i="53" a="1"/>
  <c r="WNX3" i="53" a="1"/>
  <c r="C30" i="40" a="1"/>
  <c r="OLK3" i="53" a="1"/>
  <c r="MVK3" i="53" a="1"/>
  <c r="KJB3" i="53" a="1"/>
  <c r="BZE3" i="53" a="1"/>
  <c r="OUH3" i="53" a="1"/>
  <c r="RXO3" i="53" a="1"/>
  <c r="WIU3" i="53" a="1"/>
  <c r="GHI3" i="53" a="1"/>
  <c r="RCX3" i="53" a="1"/>
  <c r="LAK3" i="53" a="1"/>
  <c r="MJJ3" i="53" a="1"/>
  <c r="FWQ3" i="53" a="1"/>
  <c r="BDR3" i="53" a="1"/>
  <c r="HKV3" i="53" a="1"/>
  <c r="RDW3" i="53" a="1"/>
  <c r="UWH3" i="53" a="1"/>
  <c r="SUL3" i="53" a="1"/>
  <c r="MEP3" i="53" a="1"/>
  <c r="C8" i="46" a="1"/>
  <c r="OD3" i="53" a="1"/>
  <c r="SIV3" i="53" a="1"/>
  <c r="LAO3" i="53" a="1"/>
  <c r="EWT3" i="53" a="1"/>
  <c r="DHN3" i="53" a="1"/>
  <c r="KYJ3" i="53" a="1"/>
  <c r="PFR3" i="53" a="1"/>
  <c r="QJY3" i="53" a="1"/>
  <c r="GRU3" i="53" a="1"/>
  <c r="SRD3" i="53" a="1"/>
  <c r="TXC3" i="53" a="1"/>
  <c r="IAK3" i="53" a="1"/>
  <c r="ETK3" i="53" a="1"/>
  <c r="HHI3" i="53" a="1"/>
  <c r="E149" i="27" a="1"/>
  <c r="HDB3" i="53" a="1"/>
  <c r="LIF3" i="53" a="1"/>
  <c r="CKD3" i="53" a="1"/>
  <c r="QAM3" i="53" a="1"/>
  <c r="QXK3" i="53" a="1"/>
  <c r="EPE3" i="53" a="1"/>
  <c r="MIB3" i="53" a="1"/>
  <c r="VQZ3" i="53" a="1"/>
  <c r="JCB3" i="53" a="1"/>
  <c r="E74" i="27" a="1"/>
  <c r="OZP3" i="53" a="1"/>
  <c r="QJI3" i="53" a="1"/>
  <c r="SKY3" i="53" a="1"/>
  <c r="VWL3" i="53" a="1"/>
  <c r="GDG3" i="53" a="1"/>
  <c r="MIX3" i="53" a="1"/>
  <c r="SIC3" i="53" a="1"/>
  <c r="EIF3" i="53" a="1"/>
  <c r="BUC3" i="53" a="1"/>
  <c r="KRL3" i="53" a="1"/>
  <c r="TTF3" i="53" a="1"/>
  <c r="MH3" i="53" a="1"/>
  <c r="E201" i="27" a="1"/>
  <c r="C40" i="53" a="1"/>
  <c r="RKU3" i="53" a="1"/>
  <c r="SRZ3" i="53" a="1"/>
  <c r="WZC3" i="53" a="1"/>
  <c r="AIX3" i="53" a="1"/>
  <c r="PKN3" i="53" a="1"/>
  <c r="HPR3" i="53" a="1"/>
  <c r="MIJ3" i="53" a="1"/>
  <c r="FRP3" i="53" a="1"/>
  <c r="NCC3" i="53" a="1"/>
  <c r="TYK3" i="53" a="1"/>
  <c r="QLR3" i="53" a="1"/>
  <c r="RTD3" i="53" a="1"/>
  <c r="OYL3" i="53" a="1"/>
  <c r="OHN3" i="53" a="1"/>
  <c r="AAD3" i="53" a="1"/>
  <c r="PNS3" i="53" a="1"/>
  <c r="C101" i="27" a="1"/>
  <c r="BKH3" i="53" a="1"/>
  <c r="FYN3" i="53" a="1"/>
  <c r="C77" i="27" a="1"/>
  <c r="BKL3" i="53" a="1"/>
  <c r="RBS3" i="53" a="1"/>
  <c r="VHY3" i="53" a="1"/>
  <c r="E27" i="40" a="1"/>
  <c r="C290" i="27" a="1"/>
  <c r="TRU3" i="53" a="1"/>
  <c r="DXW3" i="53" a="1"/>
  <c r="FCM3" i="53" a="1"/>
  <c r="DCH3" i="53" a="1"/>
  <c r="C282" i="27" a="1"/>
  <c r="BAD3" i="53" a="1"/>
  <c r="FGR3" i="53" a="1"/>
  <c r="VGQ3" i="53" a="1"/>
  <c r="CXC3" i="53" a="1"/>
  <c r="AJF3" i="53" a="1"/>
  <c r="CJG3" i="53" a="1"/>
  <c r="QZU3" i="53" a="1"/>
  <c r="G3" i="26" a="1"/>
  <c r="HTK3" i="53" a="1"/>
  <c r="F3" i="28" a="1"/>
  <c r="HQZ3" i="53" a="1"/>
  <c r="SIT3" i="53" a="1"/>
  <c r="SLJ3" i="53" a="1"/>
  <c r="VBR3" i="53" a="1"/>
  <c r="AIL3" i="53" a="1"/>
  <c r="H3" i="38" a="1"/>
  <c r="IYF3" i="53" a="1"/>
  <c r="NIW3" i="53" a="1"/>
  <c r="C12" i="31" a="1"/>
  <c r="DZW3" i="53" a="1"/>
  <c r="CCO3" i="53" a="1"/>
  <c r="RZU3" i="53" a="1"/>
  <c r="SNH3" i="53" a="1"/>
  <c r="DET3" i="53" a="1"/>
  <c r="JBD3" i="53" a="1"/>
  <c r="FRE3" i="53" a="1"/>
  <c r="DIR3" i="53" a="1"/>
  <c r="NYN3" i="53" a="1"/>
  <c r="QWQ3" i="53" a="1"/>
  <c r="RKQ3" i="53" a="1"/>
  <c r="AJI3" i="53" a="1"/>
  <c r="LIG3" i="53" a="1"/>
  <c r="UKW3" i="53" a="1"/>
  <c r="CIS3" i="53" a="1"/>
  <c r="FIX3" i="53" a="1"/>
  <c r="RPI3" i="53" a="1"/>
  <c r="OBS3" i="53" a="1"/>
  <c r="HSZ3" i="53" a="1"/>
  <c r="PJM3" i="53" a="1"/>
  <c r="KIQ3" i="53" a="1"/>
  <c r="CEL3" i="53" a="1"/>
  <c r="PIZ3" i="53" a="1"/>
  <c r="US3" i="53" a="1"/>
  <c r="PAS3" i="53" a="1"/>
  <c r="IKG3" i="53" a="1"/>
  <c r="NSV3" i="53" a="1"/>
  <c r="WPT3" i="53" a="1"/>
  <c r="ANK3" i="53" a="1"/>
  <c r="BFL3" i="53" a="1"/>
  <c r="EON3" i="53" a="1"/>
  <c r="HVM3" i="53" a="1"/>
  <c r="KTX3" i="53" a="1"/>
  <c r="ORT3" i="53" a="1"/>
  <c r="WGM3" i="53" a="1"/>
  <c r="PRE3" i="53" a="1"/>
  <c r="MOX3" i="53" a="1"/>
  <c r="KWZ3" i="53" a="1"/>
  <c r="VEB3" i="53" a="1"/>
  <c r="WZ3" i="53" a="1"/>
  <c r="ODO3" i="53" a="1"/>
  <c r="D3" i="60" a="1"/>
  <c r="SUZ3" i="53" a="1"/>
  <c r="BYS3" i="53" a="1"/>
  <c r="BEN3" i="53" a="1"/>
  <c r="TFZ3" i="53" a="1"/>
  <c r="G24" i="40" a="1"/>
  <c r="APU3" i="53" a="1"/>
  <c r="DFA3" i="53" a="1"/>
  <c r="QHG3" i="53" a="1"/>
  <c r="HUW3" i="53" a="1"/>
  <c r="NDZ3" i="53" a="1"/>
  <c r="QGH3" i="53" a="1"/>
  <c r="BCS3" i="53" a="1"/>
  <c r="ING3" i="53" a="1"/>
  <c r="PUE3" i="53" a="1"/>
  <c r="FWN3" i="53" a="1"/>
  <c r="VAS3" i="53" a="1"/>
  <c r="XB3" i="53" a="1"/>
  <c r="OYZ3" i="53" a="1"/>
  <c r="PFJ3" i="53" a="1"/>
  <c r="C15" i="46" a="1"/>
  <c r="LYM3" i="53" a="1"/>
  <c r="LUT3" i="53" a="1"/>
  <c r="BIP3" i="53" a="1"/>
  <c r="CMU3" i="53" a="1"/>
  <c r="CHF3" i="53" a="1"/>
  <c r="KZL3" i="53" a="1"/>
  <c r="GOR3" i="53" a="1"/>
  <c r="BUS3" i="53" a="1"/>
  <c r="JRN3" i="53" a="1"/>
  <c r="BWS3" i="53" a="1"/>
  <c r="BHH3" i="53" a="1"/>
  <c r="UPT3" i="53" a="1"/>
  <c r="VT3" i="53" a="1"/>
  <c r="MBA3" i="53" a="1"/>
  <c r="NNK3" i="53" a="1"/>
  <c r="ARL3" i="53" a="1"/>
  <c r="IAM3" i="53" a="1"/>
  <c r="ETJ3" i="53" a="1"/>
  <c r="IOG3" i="53" a="1"/>
  <c r="VUY3" i="53" a="1"/>
  <c r="GHF3" i="53" a="1"/>
  <c r="DEF3" i="53" a="1"/>
  <c r="KIG3" i="53" a="1"/>
  <c r="IW3" i="53" a="1"/>
  <c r="SEE3" i="53" a="1"/>
  <c r="LLU3" i="53" a="1"/>
  <c r="EVB3" i="53" a="1"/>
  <c r="BFD3" i="53" a="1"/>
  <c r="JAA3" i="53" a="1"/>
  <c r="NTQ3" i="53" a="1"/>
  <c r="UMJ3" i="53" a="1"/>
  <c r="GZK3" i="53" a="1"/>
  <c r="SJQ3" i="53" a="1"/>
  <c r="VFL3" i="53" a="1"/>
  <c r="F3" i="37" a="1"/>
  <c r="QZZ3" i="53" a="1"/>
  <c r="JQI3" i="53" a="1"/>
  <c r="WGJ3" i="53" a="1"/>
  <c r="DIM3" i="53" a="1"/>
  <c r="NRU3" i="53" a="1"/>
  <c r="TNN3" i="53" a="1"/>
  <c r="LGO3" i="53" a="1"/>
  <c r="ASW3" i="53" a="1"/>
  <c r="AKR3" i="53" a="1"/>
  <c r="IEV3" i="53" a="1"/>
  <c r="NOL3" i="53" a="1"/>
  <c r="C30" i="4" a="1"/>
  <c r="QJQ3" i="53" a="1"/>
  <c r="QNJ3" i="53" a="1"/>
  <c r="WZY3" i="53" a="1"/>
  <c r="BFP3" i="53" a="1"/>
  <c r="E33" i="40" a="1"/>
  <c r="CMN3" i="53" a="1"/>
  <c r="NUC3" i="53" a="1"/>
  <c r="UV3" i="53" a="1"/>
  <c r="E414" i="27" a="1"/>
  <c r="BY3" i="53" a="1"/>
  <c r="NUQ3" i="53" a="1"/>
  <c r="SJX3" i="53" a="1"/>
  <c r="PWG3" i="53" a="1"/>
  <c r="JEV3" i="53" a="1"/>
  <c r="GYX3" i="53" a="1"/>
  <c r="RBO3" i="53" a="1"/>
  <c r="FOL3" i="53" a="1"/>
  <c r="TM3" i="53" a="1"/>
  <c r="WOI3" i="53" a="1"/>
  <c r="SZM3" i="53" a="1"/>
  <c r="GIR3" i="53" a="1"/>
  <c r="IKR3" i="53" a="1"/>
  <c r="TPK3" i="53" a="1"/>
  <c r="WAE3" i="53" a="1"/>
  <c r="PRZ3" i="53" a="1"/>
  <c r="E233" i="27" a="1"/>
  <c r="CGR3" i="53" a="1"/>
  <c r="CBZ3" i="53" a="1"/>
  <c r="NSS3" i="53" a="1"/>
  <c r="C61" i="4" a="1"/>
  <c r="PSJ3" i="53" a="1"/>
  <c r="WUI3" i="53" a="1"/>
  <c r="AEZ3" i="53" a="1"/>
  <c r="SAL3" i="53" a="1"/>
  <c r="GM3" i="53" a="1"/>
  <c r="EBS3" i="53" a="1"/>
  <c r="VKL3" i="53" a="1"/>
  <c r="HXD3" i="53" a="1"/>
  <c r="C5" i="15" a="1"/>
  <c r="G22" i="40" a="1"/>
  <c r="VEK3" i="53" a="1"/>
  <c r="TTP3" i="53" a="1"/>
  <c r="DSD3" i="53" a="1"/>
  <c r="EYF3" i="53" a="1"/>
  <c r="SPU3" i="53" a="1"/>
  <c r="HTX3" i="53" a="1"/>
  <c r="USS3" i="53" a="1"/>
  <c r="PNU3" i="53" a="1"/>
  <c r="DUL3" i="53" a="1"/>
  <c r="EKH3" i="53" a="1"/>
  <c r="C14" i="3" a="1"/>
  <c r="VIU3" i="53" a="1"/>
  <c r="BUV3" i="53" a="1"/>
  <c r="DHG3" i="53" a="1"/>
  <c r="AUO3" i="53" a="1"/>
  <c r="STD3" i="53" a="1"/>
  <c r="IXS3" i="53" a="1"/>
  <c r="SGG3" i="53" a="1"/>
  <c r="PZH3" i="53" a="1"/>
  <c r="OMW3" i="53" a="1"/>
  <c r="OSO3" i="53" a="1"/>
  <c r="ZK3" i="53" a="1"/>
  <c r="UDG3" i="53" a="1"/>
  <c r="DXF3" i="53" a="1"/>
  <c r="EGG3" i="53" a="1"/>
  <c r="CZO3" i="53" a="1"/>
  <c r="GHN3" i="53" a="1"/>
  <c r="C312" i="27" a="1"/>
  <c r="GBS3" i="53" a="1"/>
  <c r="FNL3" i="53" a="1"/>
  <c r="C333" i="27" a="1"/>
  <c r="KFH3" i="53" a="1"/>
  <c r="E40" i="27" a="1"/>
  <c r="JTE3" i="53" a="1"/>
  <c r="C11" i="46" a="1"/>
  <c r="KKK3" i="53" a="1"/>
  <c r="ALC3" i="53" a="1"/>
  <c r="XEU3" i="53" a="1"/>
  <c r="GMF3" i="53" a="1"/>
  <c r="HEJ3" i="53" a="1"/>
  <c r="NVG3" i="53" a="1"/>
  <c r="GEK3" i="53" a="1"/>
  <c r="WPJ3" i="53" a="1"/>
  <c r="LWJ3" i="53" a="1"/>
  <c r="XAI3" i="53" a="1"/>
  <c r="RAD3" i="53" a="1"/>
  <c r="JIR3" i="53" a="1"/>
  <c r="UJG3" i="53" a="1"/>
  <c r="UEU3" i="53" a="1"/>
  <c r="DEA3" i="53" a="1"/>
  <c r="C22" i="31" a="1"/>
  <c r="UJH3" i="53" a="1"/>
  <c r="HWR3" i="53" a="1"/>
  <c r="EXH3" i="53" a="1"/>
  <c r="BBU3" i="53" a="1"/>
  <c r="BJ3" i="53" a="1"/>
  <c r="DKB3" i="53" a="1"/>
  <c r="QWD3" i="53" a="1"/>
  <c r="SKZ3" i="53" a="1"/>
  <c r="IFD3" i="53" a="1"/>
  <c r="E7" i="40" a="1"/>
  <c r="CYN3" i="53" a="1"/>
  <c r="BH3" i="53" a="1"/>
  <c r="JQR3" i="53" a="1"/>
  <c r="KUB3" i="53" a="1"/>
  <c r="BQF3" i="53" a="1"/>
  <c r="CIH3" i="53" a="1"/>
  <c r="WUS3" i="53" a="1"/>
  <c r="NLK3" i="53" a="1"/>
  <c r="C269" i="27" a="1"/>
  <c r="TCG3" i="53" a="1"/>
  <c r="C252" i="27" a="1"/>
  <c r="LSU3" i="53" a="1"/>
  <c r="XES3" i="53" a="1"/>
  <c r="UVU3" i="53" a="1"/>
  <c r="BRH3" i="53" a="1"/>
  <c r="TLN3" i="53" a="1"/>
  <c r="XBN3" i="53" a="1"/>
  <c r="RRX3" i="53" a="1"/>
  <c r="TMY3" i="53" a="1"/>
  <c r="JOW3" i="53" a="1"/>
  <c r="UZE3" i="53" a="1"/>
  <c r="FOT3" i="53" a="1"/>
  <c r="MJX3" i="53" a="1"/>
  <c r="HDU3" i="53" a="1"/>
  <c r="VH3" i="53" a="1"/>
  <c r="G3" i="2" a="1"/>
  <c r="VHK3" i="53" a="1"/>
  <c r="TQZ3" i="53" a="1"/>
  <c r="BQP3" i="53" a="1"/>
  <c r="TVI3" i="53" a="1"/>
  <c r="NOX3" i="53" a="1"/>
  <c r="GRT3" i="53" a="1"/>
  <c r="KBU3" i="53" a="1"/>
  <c r="NIC3" i="53" a="1"/>
  <c r="URM3" i="53" a="1"/>
  <c r="JFQ3" i="53" a="1"/>
  <c r="DVV3" i="53" a="1"/>
  <c r="JVI3" i="53" a="1"/>
  <c r="BWA3" i="53" a="1"/>
  <c r="THW3" i="53" a="1"/>
  <c r="D3" i="41" a="1"/>
  <c r="BRO3" i="53" a="1"/>
  <c r="FFJ3" i="53" a="1"/>
  <c r="MTE3" i="53" a="1"/>
  <c r="BKJ3" i="53" a="1"/>
  <c r="BIQ3" i="53" a="1"/>
  <c r="NFF3" i="53" a="1"/>
  <c r="LXE3" i="53" a="1"/>
  <c r="VCI3" i="53" a="1"/>
  <c r="BQI3" i="53" a="1"/>
  <c r="ETB3" i="53" a="1"/>
  <c r="QKH3" i="53" a="1"/>
  <c r="VSW3" i="53" a="1"/>
  <c r="HHZ3" i="53" a="1"/>
  <c r="UMO3" i="53" a="1"/>
  <c r="ITI3" i="53" a="1"/>
  <c r="HBR3" i="53" a="1"/>
  <c r="PMU3" i="53" a="1"/>
  <c r="BNX3" i="53" a="1"/>
  <c r="MZW3" i="53" a="1"/>
  <c r="HKQ3" i="53" a="1"/>
  <c r="BCM3" i="53" a="1"/>
  <c r="SXS3" i="53" a="1"/>
  <c r="E44" i="40" a="1"/>
  <c r="FVJ3" i="53" a="1"/>
  <c r="PNK3" i="53" a="1"/>
  <c r="TEV3" i="53" a="1"/>
  <c r="JLS3" i="53" a="1"/>
  <c r="TOR3" i="53" a="1"/>
  <c r="GOA3" i="53" a="1"/>
  <c r="OFU3" i="53" a="1"/>
  <c r="VXH3" i="53" a="1"/>
  <c r="PIM3" i="53" a="1"/>
  <c r="QYW3" i="53" a="1"/>
  <c r="E38" i="40" a="1"/>
  <c r="WO3" i="53" a="1"/>
  <c r="HT3" i="53" a="1"/>
  <c r="NPC3" i="53" a="1"/>
  <c r="JSG3" i="53" a="1"/>
  <c r="CVD3" i="53" a="1"/>
  <c r="NGN3" i="53" a="1"/>
  <c r="MGH3" i="53" a="1"/>
  <c r="KYK3" i="53" a="1"/>
  <c r="SDH3" i="53" a="1"/>
  <c r="TQK3" i="53" a="1"/>
  <c r="ATD3" i="53" a="1"/>
  <c r="QPZ3" i="53" a="1"/>
  <c r="AQE3" i="53" a="1"/>
  <c r="TNI3" i="53" a="1"/>
  <c r="VYV3" i="53" a="1"/>
  <c r="OIF3" i="53" a="1"/>
  <c r="KFT3" i="53" a="1"/>
  <c r="TPQ3" i="53" a="1"/>
  <c r="HLP3" i="53" a="1"/>
  <c r="FGE3" i="53" a="1"/>
  <c r="DEL3" i="53" a="1"/>
  <c r="THN3" i="53" a="1"/>
  <c r="SEY3" i="53" a="1"/>
  <c r="VKT3" i="53" a="1"/>
  <c r="JEO3" i="53" a="1"/>
  <c r="EIT3" i="53" a="1"/>
  <c r="CBN3" i="53" a="1"/>
  <c r="UYX3" i="53" a="1"/>
  <c r="BS3" i="53" a="1"/>
  <c r="JPT3" i="53" a="1"/>
  <c r="WJM3" i="53" a="1"/>
  <c r="VDC3" i="53" a="1"/>
  <c r="C17" i="6" a="1"/>
  <c r="KJM3" i="53" a="1"/>
  <c r="QSS3" i="53" a="1"/>
  <c r="OGL3" i="53" a="1"/>
  <c r="GWF3" i="53" a="1"/>
  <c r="PJZ3" i="53" a="1"/>
  <c r="VIB3" i="53" a="1"/>
  <c r="CFC3" i="53" a="1"/>
  <c r="DZ3" i="53" a="1"/>
  <c r="XN3" i="53" a="1"/>
  <c r="EKJ3" i="53" a="1"/>
  <c r="FPX3" i="53" a="1"/>
  <c r="DUY3" i="53" a="1"/>
  <c r="ONG3" i="53" a="1"/>
  <c r="IEJ3" i="53" a="1"/>
  <c r="FCR3" i="53" a="1"/>
  <c r="NNB3" i="53" a="1"/>
  <c r="EDN3" i="53" a="1"/>
  <c r="OXK3" i="53" a="1"/>
  <c r="PTE3" i="53" a="1"/>
  <c r="DHT3" i="53" a="1"/>
  <c r="IHI3" i="53" a="1"/>
  <c r="BKS3" i="53" a="1"/>
  <c r="C43" i="59" a="1"/>
  <c r="DWR3" i="53" a="1"/>
  <c r="PHN3" i="53" a="1"/>
  <c r="HLT3" i="53" a="1"/>
  <c r="AYR3" i="53" a="1"/>
  <c r="BVC3" i="53" a="1"/>
  <c r="RPQ3" i="53" a="1"/>
  <c r="TKD3" i="53" a="1"/>
  <c r="OER3" i="53" a="1"/>
  <c r="XCP3" i="53" a="1"/>
  <c r="BIW3" i="53" a="1"/>
  <c r="ESV3" i="53" a="1"/>
  <c r="IWW3" i="53" a="1"/>
  <c r="GOW3" i="53" a="1"/>
  <c r="JKY3" i="53" a="1"/>
  <c r="EJR3" i="53" a="1"/>
  <c r="GRN3" i="53" a="1"/>
  <c r="NDL3" i="53" a="1"/>
  <c r="DVM3" i="53" a="1"/>
  <c r="E16" i="27" a="1"/>
  <c r="QAV3" i="53" a="1"/>
  <c r="JLV3" i="53" a="1"/>
  <c r="WWJ3" i="53" a="1"/>
  <c r="CZX3" i="53" a="1"/>
  <c r="E14" i="46" a="1"/>
  <c r="ISP3" i="53" a="1"/>
  <c r="LKI3" i="53" a="1"/>
  <c r="BDE3" i="53" a="1"/>
  <c r="GHM3" i="53" a="1"/>
  <c r="PPP3" i="53" a="1"/>
  <c r="CQI3" i="53" a="1"/>
  <c r="C28" i="6" a="1"/>
  <c r="WCS3" i="53" a="1"/>
  <c r="OE3" i="53" a="1"/>
  <c r="RXW3" i="53" a="1"/>
  <c r="KYV3" i="53" a="1"/>
  <c r="E55" i="27" a="1"/>
  <c r="PIE3" i="53" a="1"/>
  <c r="LWL3" i="53" a="1"/>
  <c r="E41" i="40" a="1"/>
  <c r="JZO3" i="53" a="1"/>
  <c r="ERU3" i="53" a="1"/>
  <c r="K3" i="53" a="1"/>
  <c r="QON3" i="53" a="1"/>
  <c r="E297" i="27" a="1"/>
  <c r="CMR3" i="53" a="1"/>
  <c r="DBU3" i="53" a="1"/>
  <c r="RKJ3" i="53" a="1"/>
  <c r="QCE3" i="53" a="1"/>
  <c r="IFN3" i="53" a="1"/>
  <c r="LOO3" i="53" a="1"/>
  <c r="HQC3" i="53" a="1"/>
  <c r="ANH3" i="53" a="1"/>
  <c r="HIU3" i="53" a="1"/>
  <c r="RIR3" i="53" a="1"/>
  <c r="RKE3" i="53" a="1"/>
  <c r="KBT3" i="53" a="1"/>
  <c r="SNZ3" i="53" a="1"/>
  <c r="OUL3" i="53" a="1"/>
  <c r="LJO3" i="53" a="1"/>
  <c r="A3" i="7" a="1"/>
  <c r="FGX3" i="53" a="1"/>
  <c r="AUK3" i="53" a="1"/>
  <c r="EZ3" i="53" a="1"/>
  <c r="MGL3" i="53" a="1"/>
  <c r="PYO3" i="53" a="1"/>
  <c r="IPZ3" i="53" a="1"/>
  <c r="C19" i="31" a="1"/>
  <c r="GQN3" i="53" a="1"/>
  <c r="HBF3" i="53" a="1"/>
  <c r="C48" i="4" a="1"/>
  <c r="JXL3" i="53" a="1"/>
  <c r="DNU3" i="53" a="1"/>
  <c r="BAV3" i="53" a="1"/>
  <c r="JLT3" i="53" a="1"/>
  <c r="LZJ3" i="53" a="1"/>
  <c r="NUX3" i="53" a="1"/>
  <c r="DSH3" i="53" a="1"/>
  <c r="E12" i="27" a="1"/>
  <c r="MSH3" i="53" a="1"/>
  <c r="QJ3" i="53" a="1"/>
  <c r="ECI3" i="53" a="1"/>
  <c r="LVK3" i="53" a="1"/>
  <c r="CSM3" i="53" a="1"/>
  <c r="XAM3" i="53" a="1"/>
  <c r="TUM3" i="53" a="1"/>
  <c r="SKH3" i="53" a="1"/>
  <c r="GJI3" i="53" a="1"/>
  <c r="UWL3" i="53" a="1"/>
  <c r="UHZ3" i="53" a="1"/>
  <c r="MKO3" i="53" a="1"/>
  <c r="EQS3" i="53" a="1"/>
  <c r="PKA3" i="53" a="1"/>
  <c r="INX3" i="53" a="1"/>
  <c r="VDV3" i="53" a="1"/>
  <c r="E46" i="4" a="1"/>
  <c r="NZA3" i="53" a="1"/>
  <c r="WBP3" i="53" a="1"/>
  <c r="IYI3" i="53" a="1"/>
  <c r="EAX3" i="53" a="1"/>
  <c r="UCC3" i="53" a="1"/>
  <c r="C78" i="27" a="1"/>
  <c r="CJR3" i="53" a="1"/>
  <c r="JTG3" i="53" a="1"/>
  <c r="LXM3" i="53" a="1"/>
  <c r="AOV3" i="53" a="1"/>
  <c r="VDP3" i="53" a="1"/>
  <c r="IZA3" i="53" a="1"/>
  <c r="HTD3" i="53" a="1"/>
  <c r="C407" i="27" a="1"/>
  <c r="ILY3" i="53" a="1"/>
  <c r="UCY3" i="53" a="1"/>
  <c r="QRJ3" i="53" a="1"/>
  <c r="FGT3" i="53" a="1"/>
  <c r="WWS3" i="53" a="1"/>
  <c r="GSW3" i="53" a="1"/>
  <c r="N3" i="34" a="1"/>
  <c r="MGE3" i="53" a="1"/>
  <c r="VKF3" i="53" a="1"/>
  <c r="GZM3" i="53" a="1"/>
  <c r="BQC3" i="53" a="1"/>
  <c r="SVK3" i="53" a="1"/>
  <c r="C116" i="27" a="1"/>
  <c r="KFN3" i="53" a="1"/>
  <c r="OXZ3" i="53" a="1"/>
  <c r="E65" i="27" a="1"/>
  <c r="C24" i="4" a="1"/>
  <c r="E49" i="40" a="1"/>
  <c r="PXA3" i="53" a="1"/>
  <c r="FTS3" i="53" a="1"/>
  <c r="LWQ3" i="53" a="1"/>
  <c r="MTN3" i="53" a="1"/>
  <c r="OZN3" i="53" a="1"/>
  <c r="HIC3" i="53" a="1"/>
  <c r="KJE3" i="53" a="1"/>
  <c r="SBK3" i="53" a="1"/>
  <c r="SHH3" i="53" a="1"/>
  <c r="AVC3" i="53" a="1"/>
  <c r="FKT3" i="53" a="1"/>
  <c r="ABQ3" i="53" a="1"/>
  <c r="OKV3" i="53" a="1"/>
  <c r="KLQ3" i="53" a="1"/>
  <c r="WAV3" i="53" a="1"/>
  <c r="TWA3" i="53" a="1"/>
  <c r="UWW3" i="53" a="1"/>
  <c r="ORQ3" i="53" a="1"/>
  <c r="HOU3" i="53" a="1"/>
  <c r="PYI3" i="53" a="1"/>
  <c r="AUD3" i="53" a="1"/>
  <c r="KXG3" i="53" a="1"/>
  <c r="AZQ3" i="53" a="1"/>
  <c r="HWV3" i="53" a="1"/>
  <c r="D3" i="9" a="1"/>
  <c r="PH3" i="53" a="1"/>
  <c r="TIG3" i="53" a="1"/>
  <c r="SLU3" i="53" a="1"/>
  <c r="POL3" i="53" a="1"/>
  <c r="SRE3" i="53" a="1"/>
  <c r="RPE3" i="53" a="1"/>
  <c r="RLA3" i="53" a="1"/>
  <c r="DCD3" i="53" a="1"/>
  <c r="HZU3" i="53" a="1"/>
  <c r="SJB3" i="53" a="1"/>
  <c r="DYA3" i="53" a="1"/>
  <c r="PGP3" i="53" a="1"/>
  <c r="JZP3" i="53" a="1"/>
  <c r="CFI3" i="53" a="1"/>
  <c r="KWI3" i="53" a="1"/>
  <c r="ISS3" i="53" a="1"/>
  <c r="HJG3" i="53" a="1"/>
  <c r="HMK3" i="53" a="1"/>
  <c r="RTJ3" i="53" a="1"/>
  <c r="KYG3" i="53" a="1"/>
  <c r="LNR3" i="53" a="1"/>
  <c r="KFM3" i="53" a="1"/>
  <c r="HXZ3" i="53" a="1"/>
  <c r="VTB3" i="53" a="1"/>
  <c r="IGU3" i="53" a="1"/>
  <c r="GEE3" i="53" a="1"/>
  <c r="YV3" i="53" a="1"/>
  <c r="OUY3" i="53" a="1"/>
  <c r="VHQ3" i="53" a="1"/>
  <c r="CJY3" i="53" a="1"/>
  <c r="ULZ3" i="53" a="1"/>
  <c r="WUL3" i="53" a="1"/>
  <c r="TEH3" i="53" a="1"/>
  <c r="IHJ3" i="53" a="1"/>
  <c r="SXH3" i="53" a="1"/>
  <c r="EUX3" i="53" a="1"/>
  <c r="VUB3" i="53" a="1"/>
  <c r="PPT3" i="53" a="1"/>
  <c r="HBK3" i="53" a="1"/>
  <c r="HVY3" i="53" a="1"/>
  <c r="FIR3" i="53" a="1"/>
  <c r="FTZ3" i="53" a="1"/>
  <c r="PSS3" i="53" a="1"/>
  <c r="C23" i="6" a="1"/>
  <c r="OTN3" i="53" a="1"/>
  <c r="CFW3" i="53" a="1"/>
  <c r="SHE3" i="53" a="1"/>
  <c r="TVC3" i="53" a="1"/>
  <c r="NAR3" i="53" a="1"/>
  <c r="UNJ3" i="53" a="1"/>
  <c r="VNM3" i="53" a="1"/>
  <c r="LQA3" i="53" a="1"/>
  <c r="HKX3" i="53" a="1"/>
  <c r="EOH3" i="53" a="1"/>
  <c r="VFZ3" i="53" a="1"/>
  <c r="DTG3" i="53" a="1"/>
  <c r="AXP3" i="53" a="1"/>
  <c r="CXB3" i="53" a="1"/>
  <c r="RX3" i="53" a="1"/>
  <c r="VCJ3" i="53" a="1"/>
  <c r="UDB3" i="53" a="1"/>
  <c r="EVF3" i="53" a="1"/>
  <c r="KND3" i="53" a="1"/>
  <c r="XFC3" i="53" a="1"/>
  <c r="OQY3" i="53" a="1"/>
  <c r="ISR3" i="53" a="1"/>
  <c r="C42" i="4" a="1"/>
  <c r="BHE3" i="53" a="1"/>
  <c r="UCO3" i="53" a="1"/>
  <c r="NFZ3" i="53" a="1"/>
  <c r="EAV3" i="53" a="1"/>
  <c r="MNW3" i="53" a="1"/>
  <c r="C46" i="4" a="1"/>
  <c r="EIA3" i="53" a="1"/>
  <c r="DRI3" i="53" a="1"/>
  <c r="EJI3" i="53" a="1"/>
  <c r="KOJ3" i="53" a="1"/>
  <c r="KXK3" i="53" a="1"/>
  <c r="PXS3" i="53" a="1"/>
  <c r="IWD3" i="53" a="1"/>
  <c r="SQJ3" i="53" a="1"/>
  <c r="CH3" i="53" a="1"/>
  <c r="KTH3" i="53" a="1"/>
  <c r="SKW3" i="53" a="1"/>
  <c r="AQN3" i="53" a="1"/>
  <c r="KRX3" i="53" a="1"/>
  <c r="QWK3" i="53" a="1"/>
  <c r="KJ3" i="53" a="1"/>
  <c r="C34" i="59" a="1"/>
  <c r="HCF3" i="53" a="1"/>
  <c r="TLS3" i="53" a="1"/>
  <c r="AHX3" i="53" a="1"/>
  <c r="KOP3" i="53" a="1"/>
  <c r="TMX3" i="53" a="1"/>
  <c r="RAB3" i="53" a="1"/>
  <c r="UTD3" i="53" a="1"/>
  <c r="NEI3" i="53" a="1"/>
  <c r="WBZ3" i="53" a="1"/>
  <c r="BPD3" i="53" a="1"/>
  <c r="MOE3" i="53" a="1"/>
  <c r="AEC3" i="53" a="1"/>
  <c r="NAU3" i="53" a="1"/>
  <c r="AUX3" i="53" a="1"/>
  <c r="RMO3" i="53" a="1"/>
  <c r="JDF3" i="53" a="1"/>
  <c r="QOC3" i="53" a="1"/>
  <c r="FNW3" i="53" a="1"/>
  <c r="CBT3" i="53" a="1"/>
  <c r="KRO3" i="53" a="1"/>
  <c r="FXX3" i="53" a="1"/>
  <c r="RPO3" i="53" a="1"/>
  <c r="DGO3" i="53" a="1"/>
  <c r="HUF3" i="53" a="1"/>
  <c r="ADS3" i="53" a="1"/>
  <c r="MIC3" i="53" a="1"/>
  <c r="ANS3" i="53" a="1"/>
  <c r="G52" i="40" a="1"/>
  <c r="C3" i="12" a="1"/>
  <c r="FRM3" i="53" a="1"/>
  <c r="ANL3" i="53" a="1"/>
  <c r="E314" i="27" a="1"/>
  <c r="OCM3" i="53" a="1"/>
  <c r="TXP3" i="53" a="1"/>
  <c r="EXY3" i="53" a="1"/>
  <c r="OWC3" i="53" a="1"/>
  <c r="VIA3" i="53" a="1"/>
  <c r="SDL3" i="53" a="1"/>
  <c r="VVR3" i="53" a="1"/>
  <c r="KUG3" i="53" a="1"/>
  <c r="DHA3" i="53" a="1"/>
  <c r="EDR3" i="53" a="1"/>
  <c r="C15" i="4" a="1"/>
  <c r="C25" i="2" a="1"/>
  <c r="HGG3" i="53" a="1"/>
  <c r="C19" i="2" a="1"/>
  <c r="FKN3" i="53" a="1"/>
  <c r="WIE3" i="53" a="1"/>
  <c r="KFZ3" i="53" a="1"/>
  <c r="SEC3" i="53" a="1"/>
  <c r="WQ3" i="53" a="1"/>
  <c r="VER3" i="53" a="1"/>
  <c r="RGE3" i="53" a="1"/>
  <c r="QOK3" i="53" a="1"/>
  <c r="G39" i="40" a="1"/>
  <c r="OEK3" i="53" a="1"/>
  <c r="AWV3" i="53" a="1"/>
  <c r="ITZ3" i="53" a="1"/>
  <c r="EQX3" i="53" a="1"/>
  <c r="RRL3" i="53" a="1"/>
  <c r="E167" i="27" a="1"/>
  <c r="C41" i="40" a="1"/>
  <c r="EOT3" i="53" a="1"/>
  <c r="AXJ3" i="53" a="1"/>
  <c r="WAA3" i="53" a="1"/>
  <c r="KHM3" i="53" a="1"/>
  <c r="IPU3" i="53" a="1"/>
  <c r="AGT3" i="53" a="1"/>
  <c r="JEQ3" i="53" a="1"/>
  <c r="IET3" i="53" a="1"/>
  <c r="C123" i="27" a="1"/>
  <c r="IYR3" i="53" a="1"/>
  <c r="NWI3" i="53" a="1"/>
  <c r="E348" i="27" a="1"/>
  <c r="B3" i="5" a="1"/>
  <c r="EG3" i="53" a="1"/>
  <c r="HIY3" i="53" a="1"/>
  <c r="HXL3" i="53" a="1"/>
  <c r="KCU3" i="53" a="1"/>
  <c r="MQP3" i="53" a="1"/>
  <c r="CHQ3" i="53" a="1"/>
  <c r="GGQ3" i="53" a="1"/>
  <c r="E232" i="27" a="1"/>
  <c r="SQZ3" i="53" a="1"/>
  <c r="WCY3" i="53" a="1"/>
  <c r="GDF3" i="53" a="1"/>
  <c r="VCP3" i="53" a="1"/>
  <c r="SSU3" i="53" a="1"/>
  <c r="ACE3" i="53" a="1"/>
  <c r="PMR3" i="53" a="1"/>
  <c r="C35" i="2" a="1"/>
  <c r="TEI3" i="53" a="1"/>
  <c r="DAF3" i="53" a="1"/>
  <c r="C22" i="3" a="1"/>
  <c r="KBI3" i="53" a="1"/>
  <c r="GAP3" i="53" a="1"/>
  <c r="RYN3" i="53" a="1"/>
  <c r="LID3" i="53" a="1"/>
  <c r="HKW3" i="53" a="1"/>
  <c r="JTT3" i="53" a="1"/>
  <c r="KQP3" i="53" a="1"/>
  <c r="MDR3" i="53" a="1"/>
  <c r="FEM3" i="53" a="1"/>
  <c r="C378" i="27" a="1"/>
  <c r="VDN3" i="53" a="1"/>
  <c r="KNN3" i="53" a="1"/>
  <c r="E357" i="27" a="1"/>
  <c r="OWU3" i="53" a="1"/>
  <c r="E25" i="27" a="1"/>
  <c r="UOH3" i="53" a="1"/>
  <c r="JVD3" i="53" a="1"/>
  <c r="WD3" i="53" a="1"/>
  <c r="RS3" i="53" a="1"/>
  <c r="KCY3" i="53" a="1"/>
  <c r="GOG3" i="53" a="1"/>
  <c r="UKT3" i="53" a="1"/>
  <c r="CME3" i="53" a="1"/>
  <c r="VNP3" i="53" a="1"/>
  <c r="PFG3" i="53" a="1"/>
  <c r="E3" i="15" a="1"/>
  <c r="JNG3" i="53" a="1"/>
  <c r="OIB3" i="53" a="1"/>
  <c r="OOZ3" i="53" a="1"/>
  <c r="QFI3" i="53" a="1"/>
  <c r="CSN3" i="53" a="1"/>
  <c r="GNK3" i="53" a="1"/>
  <c r="DGV3" i="53" a="1"/>
  <c r="UWZ3" i="53" a="1"/>
  <c r="FBI3" i="53" a="1"/>
  <c r="ECP3" i="53" a="1"/>
  <c r="QIZ3" i="53" a="1"/>
  <c r="VGE3" i="53" a="1"/>
  <c r="SSP3" i="53" a="1"/>
  <c r="UIR3" i="53" a="1"/>
  <c r="HKK3" i="53" a="1"/>
  <c r="GEC3" i="53" a="1"/>
  <c r="OFQ3" i="53" a="1"/>
  <c r="AZP3" i="53" a="1"/>
  <c r="USW3" i="53" a="1"/>
  <c r="DFE3" i="53" a="1"/>
  <c r="SDD3" i="53" a="1"/>
  <c r="PXK3" i="53" a="1"/>
  <c r="GBB3" i="53" a="1"/>
  <c r="JPV3" i="53" a="1"/>
  <c r="SYU3" i="53" a="1"/>
  <c r="VBV3" i="53" a="1"/>
  <c r="RJL3" i="53" a="1"/>
  <c r="HNB3" i="53" a="1"/>
  <c r="NAG3" i="53" a="1"/>
  <c r="AOR3" i="53" a="1"/>
  <c r="BPQ3" i="53" a="1"/>
  <c r="NXW3" i="53" a="1"/>
  <c r="ISL3" i="53" a="1"/>
  <c r="E8" i="46" a="1"/>
  <c r="BJP3" i="53" a="1"/>
  <c r="OTE3" i="53" a="1"/>
  <c r="DCZ3" i="53" a="1"/>
  <c r="TZ3" i="53" a="1"/>
  <c r="DGH3" i="53" a="1"/>
  <c r="FJT3" i="53" a="1"/>
  <c r="HWH3" i="53" a="1"/>
  <c r="C8" i="4" a="1"/>
  <c r="NEB3" i="53" a="1"/>
  <c r="MOU3" i="53" a="1"/>
  <c r="RBI3" i="53" a="1"/>
  <c r="C12" i="59" a="1"/>
  <c r="DZT3" i="53" a="1"/>
  <c r="UXV3" i="53" a="1"/>
  <c r="CCD3" i="53" a="1"/>
  <c r="SQA3" i="53" a="1"/>
  <c r="DTP3" i="53" a="1"/>
  <c r="ICB3" i="53" a="1"/>
  <c r="SVR3" i="53" a="1"/>
  <c r="FGP3" i="53" a="1"/>
  <c r="DHL3" i="53" a="1"/>
  <c r="LJW3" i="53" a="1"/>
  <c r="EBB3" i="53" a="1"/>
  <c r="LZD3" i="53" a="1"/>
  <c r="RWG3" i="53" a="1"/>
  <c r="DRM3" i="53" a="1"/>
  <c r="VVT3" i="53" a="1"/>
  <c r="BRD3" i="53" a="1"/>
  <c r="NMD3" i="53" a="1"/>
  <c r="QUR3" i="53" a="1"/>
  <c r="KJK3" i="53" a="1"/>
  <c r="TBO3" i="53" a="1"/>
  <c r="EAG3" i="53" a="1"/>
  <c r="FRS3" i="53" a="1"/>
  <c r="C25" i="4" a="1"/>
  <c r="NCM3" i="53" a="1"/>
  <c r="EEA3" i="53" a="1"/>
  <c r="AUY3" i="53" a="1"/>
  <c r="QVW3" i="53" a="1"/>
  <c r="NEY3" i="53" a="1"/>
  <c r="QCL3" i="53" a="1"/>
  <c r="JKI3" i="53" a="1"/>
  <c r="LQR3" i="53" a="1"/>
  <c r="DDT3" i="53" a="1"/>
  <c r="WGB3" i="53" a="1"/>
  <c r="DRZ3" i="53" a="1"/>
  <c r="VSG3" i="53" a="1"/>
  <c r="EMF3" i="53" a="1"/>
  <c r="VEF3" i="53" a="1"/>
  <c r="PVY3" i="53" a="1"/>
  <c r="G33" i="40" a="1"/>
  <c r="XDY3" i="53" a="1"/>
  <c r="SSZ3" i="53" a="1"/>
  <c r="KLX3" i="53" a="1"/>
  <c r="UAC3" i="53" a="1"/>
  <c r="AKU3" i="53" a="1"/>
  <c r="GES3" i="53" a="1"/>
  <c r="TFB3" i="53" a="1"/>
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 a="1"/>
  <c r="PGV3" i="53" a="1"/>
  <c r="QWE3" i="53" a="1"/>
  <c r="MVM3" i="53" a="1"/>
  <c r="XL3" i="53" a="1"/>
  <c r="VAV3" i="53" a="1"/>
  <c r="AXC3" i="53" a="1"/>
  <c r="CGF3" i="53" a="1"/>
  <c r="TOH3" i="53" a="1"/>
  <c r="CCA3" i="53" a="1"/>
  <c r="PJS3" i="53" a="1"/>
  <c r="BCR3" i="53" a="1"/>
  <c r="DZI3" i="53" a="1"/>
  <c r="WCQ3" i="53" a="1"/>
  <c r="MPT3" i="53" a="1"/>
  <c r="UKG3" i="53" a="1"/>
  <c r="WLL3" i="53" a="1"/>
  <c r="HUO3" i="53" a="1"/>
  <c r="NLL3" i="53" a="1"/>
  <c r="HAX3" i="53" a="1"/>
  <c r="FRC3" i="53" a="1"/>
  <c r="JDA3" i="53" a="1"/>
  <c r="LNQ3" i="53" a="1"/>
  <c r="FUS3" i="53" a="1"/>
  <c r="IUT3" i="53" a="1"/>
  <c r="IUM3" i="53" a="1"/>
  <c r="RTP3" i="53" a="1"/>
  <c r="PPR3" i="53" a="1"/>
  <c r="DWF3" i="53" a="1"/>
  <c r="FDL3" i="53" a="1"/>
  <c r="EFX3" i="53" a="1"/>
  <c r="WVJ3" i="53" a="1"/>
  <c r="C374" i="27" a="1"/>
  <c r="KSO3" i="53" a="1"/>
  <c r="CXK3" i="53" a="1"/>
  <c r="QKC3" i="53" a="1"/>
  <c r="FGW3" i="53" a="1"/>
  <c r="KTC3" i="53" a="1"/>
  <c r="CWS3" i="53" a="1"/>
  <c r="ODG3" i="53" a="1"/>
  <c r="MVE3" i="53" a="1"/>
  <c r="BJC3" i="53" a="1"/>
  <c r="JKF3" i="53" a="1"/>
  <c r="LUG3" i="53" a="1"/>
  <c r="TNZ3" i="53" a="1"/>
  <c r="QBR3" i="53" a="1"/>
  <c r="E9" i="40" a="1"/>
  <c r="QAJ3" i="53" a="1"/>
  <c r="INA3" i="53" a="1"/>
  <c r="USL3" i="53" a="1"/>
  <c r="E369" i="27" a="1"/>
  <c r="KNB3" i="53" a="1"/>
  <c r="CNU3" i="53" a="1"/>
  <c r="C38" i="59" a="1"/>
  <c r="EGU3" i="53" a="1"/>
  <c r="E271" i="27" a="1"/>
  <c r="CZE3" i="53" a="1"/>
  <c r="C56" i="53" a="1"/>
  <c r="GZB3" i="53" a="1"/>
  <c r="UUH3" i="53" a="1"/>
  <c r="DPN3" i="53" a="1"/>
  <c r="SRQ3" i="53" a="1"/>
  <c r="E54" i="27" a="1"/>
  <c r="KYI3" i="53" a="1"/>
  <c r="C214" i="27" a="1"/>
  <c r="MAW3" i="53" a="1"/>
  <c r="CVS3" i="53" a="1"/>
  <c r="FMW3" i="53" a="1"/>
  <c r="QPN3" i="53" a="1"/>
  <c r="GBL3" i="53" a="1"/>
  <c r="CCW3" i="53" a="1"/>
  <c r="DGY3" i="53" a="1"/>
  <c r="JIH3" i="53" a="1"/>
  <c r="AKV3" i="53" a="1"/>
  <c r="NGJ3" i="53" a="1"/>
  <c r="BNC3" i="53" a="1"/>
  <c r="GUA3" i="53" a="1"/>
  <c r="ILJ3" i="53" a="1"/>
  <c r="UAI3" i="53" a="1"/>
  <c r="OZW3" i="53" a="1"/>
  <c r="UVN3" i="53" a="1"/>
  <c r="LBA3" i="53" a="1"/>
  <c r="KPZ3" i="53" a="1"/>
  <c r="TPD3" i="53" a="1"/>
  <c r="JBK3" i="53" a="1"/>
  <c r="DNM3" i="53" a="1"/>
  <c r="DOU3" i="53" a="1"/>
  <c r="KWM3" i="53" a="1"/>
  <c r="ERL3" i="53" a="1"/>
  <c r="RQH3" i="53" a="1"/>
  <c r="FPY3" i="53" a="1"/>
  <c r="GWR3" i="53" a="1"/>
  <c r="UVI3" i="53" a="1"/>
  <c r="OHJ3" i="53" a="1"/>
  <c r="OFM3" i="53" a="1"/>
  <c r="FIY3" i="53" a="1"/>
  <c r="UKH3" i="53" a="1"/>
  <c r="TMB3" i="53" a="1"/>
  <c r="HCH3" i="53" a="1"/>
  <c r="GDQ3" i="53" a="1"/>
  <c r="LSG3" i="53" a="1"/>
  <c r="LXL3" i="53" a="1"/>
  <c r="UVQ3" i="53" a="1"/>
  <c r="QVS3" i="53" a="1"/>
  <c r="UNU3" i="53" a="1"/>
  <c r="CPM3" i="53" a="1"/>
  <c r="GZC3" i="53" a="1"/>
  <c r="MWZ3" i="53" a="1"/>
  <c r="EMK3" i="53" a="1"/>
  <c r="NVK3" i="53" a="1"/>
  <c r="KPW3" i="53" a="1"/>
  <c r="GB3" i="53" a="1"/>
  <c r="KFJ3" i="53" a="1"/>
  <c r="GTS3" i="53" a="1"/>
  <c r="KVY3" i="53" a="1"/>
  <c r="FGN3" i="53" a="1"/>
  <c r="KEZ3" i="53" a="1"/>
  <c r="C16" i="46" a="1"/>
  <c r="ERY3" i="53" a="1"/>
  <c r="FAU3" i="53" a="1"/>
  <c r="VZF3" i="53" a="1"/>
  <c r="QGZ3" i="53" a="1"/>
  <c r="E6" i="31" a="1"/>
  <c r="DYH3" i="53" a="1"/>
  <c r="TGH3" i="53" a="1"/>
  <c r="HMG3" i="53" a="1"/>
  <c r="WUG3" i="53" a="1"/>
  <c r="PJO3" i="53" a="1"/>
  <c r="UTW3" i="53" a="1"/>
  <c r="DNJ3" i="53" a="1"/>
  <c r="IUW3" i="53" a="1"/>
  <c r="IAV3" i="53" a="1"/>
  <c r="QRY3" i="53" a="1"/>
  <c r="ULL3" i="53" a="1"/>
  <c r="HJ3" i="53" a="1"/>
  <c r="C5" i="7" a="1"/>
  <c r="EMU3" i="53" a="1"/>
  <c r="RVQ3" i="53" a="1"/>
  <c r="COH3" i="53" a="1"/>
  <c r="G3" i="54" a="1"/>
  <c r="WMM3" i="53" a="1"/>
  <c r="JPW3" i="53" a="1"/>
  <c r="HAP3" i="53" a="1"/>
  <c r="EAL3" i="53" a="1"/>
  <c r="FAG3" i="53" a="1"/>
  <c r="JLG3" i="53" a="1"/>
  <c r="DBA3" i="53" a="1"/>
  <c r="CQR3" i="53" a="1"/>
  <c r="MRP3" i="53" a="1"/>
  <c r="OAU3" i="53" a="1"/>
  <c r="E6" i="57" a="1"/>
  <c r="C13" i="59" a="1"/>
  <c r="MMZ3" i="53" a="1"/>
  <c r="JOE3" i="53" a="1"/>
  <c r="NY3" i="53" a="1"/>
  <c r="DIY3" i="53" a="1"/>
  <c r="CSW3" i="53" a="1"/>
  <c r="ERD3" i="53" a="1"/>
  <c r="L3" i="47" a="1"/>
  <c r="OZH3" i="53" a="1"/>
  <c r="RRH3" i="53" a="1"/>
  <c r="CNV3" i="53" a="1"/>
  <c r="PKR3" i="53" a="1"/>
  <c r="FPV3" i="53" a="1"/>
  <c r="VZE3" i="53" a="1"/>
  <c r="IKH3" i="53" a="1"/>
  <c r="H3" i="54" a="1"/>
  <c r="EN3" i="53" a="1"/>
  <c r="KPU3" i="53" a="1"/>
  <c r="KE3" i="53" a="1"/>
  <c r="DXV3" i="53" a="1"/>
  <c r="CCU3" i="53" a="1"/>
  <c r="QPL3" i="53" a="1"/>
  <c r="TTD3" i="53" a="1"/>
  <c r="NCS3" i="53" a="1"/>
  <c r="PYR3" i="53" a="1"/>
  <c r="PCR3" i="53" a="1"/>
  <c r="FYT3" i="53" a="1"/>
  <c r="NOW3" i="53" a="1"/>
  <c r="UYB3" i="53" a="1"/>
  <c r="CTD3" i="53" a="1"/>
  <c r="KGH3" i="53" a="1"/>
  <c r="HML3" i="53" a="1"/>
  <c r="GA3" i="53" a="1"/>
  <c r="EIR3" i="53" a="1"/>
  <c r="KIM3" i="53" a="1"/>
  <c r="QMZ3" i="53" a="1"/>
  <c r="MDK3" i="53" a="1"/>
  <c r="G3" i="47" a="1"/>
  <c r="IHW3" i="53" a="1"/>
  <c r="ANY3" i="53" a="1"/>
  <c r="JTU3" i="53" a="1"/>
  <c r="AVV3" i="53" a="1"/>
  <c r="BTP3" i="53" a="1"/>
  <c r="E198" i="27" a="1"/>
  <c r="BZL3" i="53" a="1"/>
  <c r="JKD3" i="53" a="1"/>
  <c r="WS3" i="53" a="1"/>
  <c r="AUE3" i="53" a="1"/>
  <c r="NUB3" i="53" a="1"/>
  <c r="EBH3" i="53" a="1"/>
  <c r="E321" i="27" a="1"/>
  <c r="KGC3" i="53" a="1"/>
  <c r="RVB3" i="53" a="1"/>
  <c r="C33" i="59" a="1"/>
  <c r="JMJ3" i="53" a="1"/>
  <c r="VU3" i="53" a="1"/>
  <c r="QHE3" i="53" a="1"/>
  <c r="E91" i="27" a="1"/>
  <c r="E396" i="27" a="1"/>
  <c r="E366" i="27" a="1"/>
  <c r="PPI3" i="53" a="1"/>
  <c r="WHR3" i="53" a="1"/>
  <c r="RHU3" i="53" a="1"/>
  <c r="AJP3" i="53" a="1"/>
  <c r="E94" i="27" a="1"/>
  <c r="XEM3" i="53" a="1"/>
  <c r="NEF3" i="53" a="1"/>
  <c r="JAQ3" i="53" a="1"/>
  <c r="DPE3" i="53" a="1"/>
  <c r="BVJ3" i="53" a="1"/>
  <c r="NTF3" i="53" a="1"/>
  <c r="QKF3" i="53" a="1"/>
  <c r="JRO3" i="53" a="1"/>
  <c r="E36" i="27" a="1"/>
  <c r="E403" i="27" a="1"/>
  <c r="WSQ3" i="53" a="1"/>
  <c r="PMP3" i="53" a="1"/>
  <c r="UVL3" i="53" a="1"/>
  <c r="BLC3" i="53" a="1"/>
  <c r="KCL3" i="53" a="1"/>
  <c r="OSG3" i="53" a="1"/>
  <c r="EVH3" i="53" a="1"/>
  <c r="TSZ3" i="53" a="1"/>
  <c r="WYL3" i="53" a="1"/>
  <c r="IDV3" i="53" a="1"/>
  <c r="ISN3" i="53" a="1"/>
  <c r="NEH3" i="53" a="1"/>
  <c r="BTO3" i="53" a="1"/>
  <c r="E362" i="27" a="1"/>
  <c r="SVM3" i="53" a="1"/>
  <c r="IJD3" i="53" a="1"/>
  <c r="C373" i="27" a="1"/>
  <c r="RPY3" i="53" a="1"/>
  <c r="QWT3" i="53" a="1"/>
  <c r="BEW3" i="53" a="1"/>
  <c r="FJF3" i="53" a="1"/>
  <c r="FUH3" i="53" a="1"/>
  <c r="HMU3" i="53" a="1"/>
  <c r="RFS3" i="53" a="1"/>
  <c r="GSO3" i="53" a="1"/>
  <c r="C91" i="27" a="1"/>
  <c r="PFB3" i="53" a="1"/>
  <c r="RAI3" i="53" a="1"/>
  <c r="E154" i="27" a="1"/>
  <c r="BFI3" i="53" a="1"/>
  <c r="MYR3" i="53" a="1"/>
  <c r="LMJ3" i="53" a="1"/>
  <c r="VDO3" i="53" a="1"/>
  <c r="WJT3" i="53" a="1"/>
  <c r="E250" i="27" a="1"/>
  <c r="UJX3" i="53" a="1"/>
  <c r="QIS3" i="53" a="1"/>
  <c r="C308" i="27" a="1"/>
  <c r="LTF3" i="53" a="1"/>
  <c r="JUP3" i="53" a="1"/>
  <c r="MPW3" i="53" a="1"/>
  <c r="MQK3" i="53" a="1"/>
  <c r="VPM3" i="53" a="1"/>
  <c r="ATC3" i="53" a="1"/>
  <c r="NMC3" i="53" a="1"/>
  <c r="CI3" i="53" a="1"/>
  <c r="STE3" i="53" a="1"/>
  <c r="LAB3" i="53" a="1"/>
  <c r="PXN3" i="53" a="1"/>
  <c r="VZ3" i="53" a="1"/>
  <c r="C29" i="2" a="1"/>
  <c r="FLS3" i="53" a="1"/>
  <c r="SEW3" i="53" a="1"/>
  <c r="PNB3" i="53" a="1"/>
  <c r="QHA3" i="53" a="1"/>
  <c r="NPE3" i="53" a="1"/>
  <c r="UIC3" i="53" a="1"/>
  <c r="VBZ3" i="53" a="1"/>
  <c r="WCG3" i="53" a="1"/>
  <c r="GV3" i="53" a="1"/>
  <c r="VIY3" i="53" a="1"/>
  <c r="AOZ3" i="53" a="1"/>
  <c r="FXM3" i="53" a="1"/>
  <c r="OZV3" i="53" a="1"/>
  <c r="CWG3" i="53" a="1"/>
  <c r="LDO3" i="53" a="1"/>
  <c r="VAC3" i="53" a="1"/>
  <c r="MYX3" i="53" a="1"/>
  <c r="WOO3" i="53" a="1"/>
  <c r="WCR3" i="53" a="1"/>
  <c r="HBP3" i="53" a="1"/>
  <c r="SXL3" i="53" a="1"/>
  <c r="FZY3" i="53" a="1"/>
  <c r="LGU3" i="53" a="1"/>
  <c r="MZX3" i="53" a="1"/>
  <c r="EBZ3" i="53" a="1"/>
  <c r="ZS3" i="53" a="1"/>
  <c r="FVV3" i="53" a="1"/>
  <c r="JQP3" i="53" a="1"/>
  <c r="QNS3" i="53" a="1"/>
  <c r="FE3" i="53" a="1"/>
  <c r="PKI3" i="53" a="1"/>
  <c r="E3" i="13" a="1"/>
  <c r="AGI3" i="53" a="1"/>
  <c r="G3" i="28" a="1"/>
  <c r="BGJ3" i="53" a="1"/>
  <c r="MDG3" i="53" a="1"/>
  <c r="EZX3" i="53" a="1"/>
  <c r="ESH3" i="53" a="1"/>
  <c r="ALH3" i="53" a="1"/>
  <c r="EJF3" i="53" a="1"/>
  <c r="SV3" i="53" a="1"/>
  <c r="SDF3" i="53" a="1"/>
  <c r="KVZ3" i="53" a="1"/>
  <c r="LBH3" i="53" a="1"/>
  <c r="RGS3" i="53" a="1"/>
  <c r="CII3" i="53" a="1"/>
  <c r="WKF3" i="53" a="1"/>
  <c r="PZZ3" i="53" a="1"/>
  <c r="QHI3" i="53" a="1"/>
  <c r="EEU3" i="53" a="1"/>
  <c r="WXH3" i="53" a="1"/>
  <c r="GNO3" i="53" a="1"/>
  <c r="AAO3" i="53" a="1"/>
  <c r="QQR3" i="53" a="1"/>
  <c r="SLZ3" i="53" a="1"/>
  <c r="AFY3" i="53" a="1"/>
  <c r="ESI3" i="53" a="1"/>
  <c r="URD3" i="53" a="1"/>
  <c r="MEA3" i="53" a="1"/>
  <c r="SCR3" i="53" a="1"/>
  <c r="ADP3" i="53" a="1"/>
  <c r="HLW3" i="53" a="1"/>
  <c r="HDH3" i="53" a="1"/>
  <c r="KOR3" i="53" a="1"/>
  <c r="GGB3" i="53" a="1"/>
  <c r="OIM3" i="53" a="1"/>
  <c r="BGQ3" i="53" a="1"/>
  <c r="IYN3" i="53" a="1"/>
  <c r="TED3" i="53" a="1"/>
  <c r="KDP3" i="53" a="1"/>
  <c r="QCF3" i="53" a="1"/>
  <c r="NIZ3" i="53" a="1"/>
  <c r="EHR3" i="53" a="1"/>
  <c r="C236" i="27" a="1"/>
  <c r="ZN3" i="53" a="1"/>
  <c r="QYE3" i="53" a="1"/>
  <c r="RYO3" i="53" a="1"/>
  <c r="E244" i="27" a="1"/>
  <c r="FEN3" i="53" a="1"/>
  <c r="AWX3" i="53" a="1"/>
  <c r="KDO3" i="53" a="1"/>
  <c r="XEB3" i="53" a="1"/>
  <c r="OSY3" i="53" a="1"/>
  <c r="JK3" i="53" a="1"/>
  <c r="E3" i="6" a="1"/>
  <c r="MMJ3" i="53" a="1"/>
  <c r="KDH3" i="53" a="1"/>
  <c r="BJV3" i="53" a="1"/>
  <c r="E104" i="27" a="1"/>
  <c r="FAA3" i="53" a="1"/>
  <c r="USZ3" i="53" a="1"/>
  <c r="QWL3" i="53" a="1"/>
  <c r="C155" i="27" a="1"/>
  <c r="PMI3" i="53" a="1"/>
  <c r="G3" i="27" a="1"/>
  <c r="SBB3" i="53" a="1"/>
  <c r="HB3" i="53" a="1"/>
  <c r="IKV3" i="53" a="1"/>
  <c r="VOY3" i="53" a="1"/>
  <c r="PYK3" i="53" a="1"/>
  <c r="C10" i="11" a="1"/>
  <c r="C7" i="56" a="1"/>
  <c r="CKR3" i="53" a="1"/>
  <c r="E10" i="40" a="1"/>
  <c r="TOE3" i="53" a="1"/>
  <c r="LHX3" i="53" a="1"/>
  <c r="GTQ3" i="53" a="1"/>
  <c r="MGZ3" i="53" a="1"/>
  <c r="QOD3" i="53" a="1"/>
  <c r="AQT3" i="53" a="1"/>
  <c r="NJT3" i="53" a="1"/>
  <c r="GQZ3" i="53" a="1"/>
  <c r="HNV3" i="53" a="1"/>
  <c r="OHT3" i="53" a="1"/>
  <c r="SXO3" i="53" a="1"/>
  <c r="IHA3" i="53" a="1"/>
  <c r="HHB3" i="53" a="1"/>
  <c r="UMD3" i="53" a="1"/>
  <c r="ZY3" i="53" a="1"/>
  <c r="HLM3" i="53" a="1"/>
  <c r="C7" i="2" a="1"/>
  <c r="C40" i="40" a="1"/>
  <c r="E72" i="27" a="1"/>
  <c r="CVF3" i="53" a="1"/>
  <c r="FMO3" i="53" a="1"/>
  <c r="SQI3" i="53" a="1"/>
  <c r="C59" i="4" a="1"/>
  <c r="REG3" i="53" a="1"/>
  <c r="RBJ3" i="53" a="1"/>
  <c r="NNY3" i="53" a="1"/>
  <c r="RVE3" i="53" a="1"/>
  <c r="C19" i="11" a="1"/>
  <c r="WRS3" i="53" a="1"/>
  <c r="WW3" i="53" a="1"/>
  <c r="PA3" i="53" a="1"/>
  <c r="PYZ3" i="53" a="1"/>
  <c r="THM3" i="53" a="1"/>
  <c r="JXI3" i="53" a="1"/>
  <c r="PXU3" i="53" a="1"/>
  <c r="JHS3" i="53" a="1"/>
  <c r="GUJ3" i="53" a="1"/>
  <c r="C318" i="27" a="1"/>
  <c r="JUM3" i="53" a="1"/>
  <c r="C21" i="4" a="1"/>
  <c r="KUX3" i="53" a="1"/>
  <c r="DQZ3" i="53" a="1"/>
  <c r="BRB3" i="53" a="1"/>
  <c r="TUI3" i="53" a="1"/>
  <c r="MBN3" i="53" a="1"/>
  <c r="EWS3" i="53" a="1"/>
  <c r="DQU3" i="53" a="1"/>
  <c r="RED3" i="53" a="1"/>
  <c r="UXQ3" i="53" a="1"/>
  <c r="FEJ3" i="53" a="1"/>
  <c r="FIN3" i="53" a="1"/>
  <c r="DKF3" i="53" a="1"/>
  <c r="C10" i="2" a="1"/>
  <c r="EIV3" i="53" a="1"/>
  <c r="AHA3" i="53" a="1"/>
  <c r="RXD3" i="53" a="1"/>
  <c r="TGA3" i="53" a="1"/>
  <c r="GSB3" i="53" a="1"/>
  <c r="GHD3" i="53" a="1"/>
  <c r="LZO3" i="53" a="1"/>
  <c r="V3" i="53" a="1"/>
  <c r="MDJ3" i="53" a="1"/>
  <c r="OAH3" i="53" a="1"/>
  <c r="CRM3" i="53" a="1"/>
  <c r="HUA3" i="53" a="1"/>
  <c r="SBZ3" i="53" a="1"/>
  <c r="MZK3" i="53" a="1"/>
  <c r="E301" i="27" a="1"/>
  <c r="GJC3" i="53" a="1"/>
  <c r="SHN3" i="53" a="1"/>
  <c r="TEL3" i="53" a="1"/>
  <c r="FFR3" i="53" a="1"/>
  <c r="DNT3" i="53" a="1"/>
  <c r="C11" i="27" a="1"/>
  <c r="GTN3" i="53" a="1"/>
  <c r="OAZ3" i="53" a="1"/>
  <c r="OZL3" i="53" a="1"/>
  <c r="BYE3" i="53" a="1"/>
  <c r="EFC3" i="53" a="1"/>
  <c r="IHG3" i="53" a="1"/>
  <c r="C150" i="27" a="1"/>
  <c r="C15" i="2" a="1"/>
  <c r="AOT3" i="53" a="1"/>
  <c r="PEW3" i="53" a="1"/>
  <c r="ABL3" i="53" a="1"/>
  <c r="CCN3" i="53" a="1"/>
  <c r="QDC3" i="53" a="1"/>
  <c r="EII3" i="53" a="1"/>
  <c r="CDI3" i="53" a="1"/>
  <c r="KXC3" i="53" a="1"/>
  <c r="RKA3" i="53" a="1"/>
  <c r="SSY3" i="53" a="1"/>
  <c r="BSK3" i="53" a="1"/>
  <c r="FP3" i="53" a="1"/>
  <c r="E3" i="49" a="1"/>
  <c r="OCF3" i="53" a="1"/>
  <c r="JOR3" i="53" a="1"/>
  <c r="GNR3" i="53" a="1"/>
  <c r="QAU3" i="53" a="1"/>
  <c r="C14" i="6" a="1"/>
  <c r="C188" i="27" a="1"/>
  <c r="PAZ3" i="53" a="1"/>
  <c r="E175" i="27" a="1"/>
  <c r="C18" i="2" a="1"/>
  <c r="GAR3" i="53" a="1"/>
  <c r="RVG3" i="53" a="1"/>
  <c r="E214" i="27" a="1"/>
  <c r="C183" i="27" a="1"/>
  <c r="WDD3" i="53" a="1"/>
  <c r="BXN3" i="53" a="1"/>
  <c r="C126" i="27" a="1"/>
  <c r="E247" i="27" a="1"/>
  <c r="WPD3" i="53" a="1"/>
  <c r="FNJ3" i="53" a="1"/>
  <c r="CIZ3" i="53" a="1"/>
  <c r="TGY3" i="53" a="1"/>
  <c r="BGX3" i="53" a="1"/>
  <c r="E23" i="27" a="1"/>
  <c r="EKU3" i="53" a="1"/>
  <c r="C331" i="27" a="1"/>
  <c r="QNE3" i="53" a="1"/>
  <c r="QMJ3" i="53" a="1"/>
  <c r="SVL3" i="53" a="1"/>
  <c r="ICN3" i="53" a="1"/>
  <c r="HVQ3" i="53" a="1"/>
  <c r="E76" i="27" a="1"/>
  <c r="HIW3" i="53" a="1"/>
  <c r="LZY3" i="53" a="1"/>
  <c r="PDA3" i="53" a="1"/>
  <c r="DRR3" i="53" a="1"/>
  <c r="C34" i="2" a="1"/>
  <c r="QUZ3" i="53" a="1"/>
  <c r="RTV3" i="53" a="1"/>
  <c r="C144" i="27" a="1"/>
  <c r="SVC3" i="53" a="1"/>
  <c r="WMG3" i="53" a="1"/>
  <c r="OUJ3" i="53" a="1"/>
  <c r="RUP3" i="53" a="1"/>
  <c r="AVF3" i="53" a="1"/>
  <c r="FHQ3" i="53" a="1"/>
  <c r="ODZ3" i="53" a="1"/>
  <c r="C38" i="11" a="1"/>
  <c r="C136" i="27" a="1"/>
  <c r="WYV3" i="53" a="1"/>
  <c r="E227" i="27" a="1"/>
  <c r="BZG3" i="53" a="1"/>
  <c r="GNS3" i="53" a="1"/>
  <c r="C206" i="27" a="1"/>
  <c r="JOD3" i="53" a="1"/>
  <c r="NRT3" i="53" a="1"/>
  <c r="C67" i="27" a="1"/>
  <c r="E158" i="27" a="1"/>
  <c r="QDN3" i="53" a="1"/>
  <c r="LAJ3" i="53" a="1"/>
  <c r="GUY3" i="53" a="1"/>
  <c r="HXB3" i="53" a="1"/>
  <c r="GBE3" i="53" a="1"/>
  <c r="E319" i="27" a="1"/>
  <c r="DYJ3" i="53" a="1"/>
  <c r="ECR3" i="53" a="1"/>
  <c r="AQG3" i="53" a="1"/>
  <c r="OKF3" i="53" a="1"/>
  <c r="INI3" i="53" a="1"/>
  <c r="IBZ3" i="53" a="1"/>
  <c r="MKE3" i="53" a="1"/>
  <c r="D3" i="4" a="1"/>
  <c r="LWA3" i="53" a="1"/>
  <c r="HIN3" i="53" a="1"/>
  <c r="CGS3" i="53" a="1"/>
  <c r="UZW3" i="53" a="1"/>
  <c r="OFG3" i="53" a="1"/>
  <c r="LTK3" i="53" a="1"/>
  <c r="NHK3" i="53" a="1"/>
  <c r="Q3" i="53" a="1"/>
  <c r="KMA3" i="53" a="1"/>
  <c r="HOT3" i="53" a="1"/>
  <c r="XCF3" i="53" a="1"/>
  <c r="OQB3" i="53" a="1"/>
  <c r="WQG3" i="53" a="1"/>
  <c r="WOE3" i="53" a="1"/>
  <c r="UHR3" i="53" a="1"/>
  <c r="CZF3" i="53" a="1"/>
  <c r="HGW3" i="53" a="1"/>
  <c r="CMM3" i="53" a="1"/>
  <c r="A3" i="13" a="1"/>
  <c r="JTB3" i="53" a="1"/>
  <c r="CGX3" i="53" a="1"/>
  <c r="PGA3" i="53" a="1"/>
  <c r="PMV3" i="53" a="1"/>
  <c r="HWD3" i="53" a="1"/>
  <c r="UTU3" i="53" a="1"/>
  <c r="AWG3" i="53" a="1"/>
  <c r="MBE3" i="53" a="1"/>
  <c r="AIQ3" i="53" a="1"/>
  <c r="VDT3" i="53" a="1"/>
  <c r="EPI3" i="53" a="1"/>
  <c r="II3" i="53" a="1"/>
  <c r="AZO3" i="53" a="1"/>
  <c r="SUT3" i="53" a="1"/>
  <c r="QXO3" i="53" a="1"/>
  <c r="JEE3" i="53" a="1"/>
  <c r="UJT3" i="53" a="1"/>
  <c r="DZJ3" i="53" a="1"/>
  <c r="UFX3" i="53" a="1"/>
  <c r="DHP3" i="53" a="1"/>
  <c r="KAX3" i="53" a="1"/>
  <c r="HLQ3" i="53" a="1"/>
  <c r="JVP3" i="53" a="1"/>
  <c r="OUI3" i="53" a="1"/>
  <c r="QDE3" i="53" a="1"/>
  <c r="BZR3" i="53" a="1"/>
  <c r="QLN3" i="53" a="1"/>
  <c r="HTH3" i="53" a="1"/>
  <c r="NHN3" i="53" a="1"/>
  <c r="LAP3" i="53" a="1"/>
  <c r="SOD3" i="53" a="1"/>
  <c r="G26" i="40" a="1"/>
  <c r="VXV3" i="53" a="1"/>
  <c r="QWZ3" i="53" a="1"/>
  <c r="TO3" i="53" a="1"/>
  <c r="ARA3" i="53" a="1"/>
  <c r="NFA3" i="53" a="1"/>
  <c r="EUG3" i="53" a="1"/>
  <c r="PKB3" i="53" a="1"/>
  <c r="CKL3" i="53" a="1"/>
  <c r="IAH3" i="53" a="1"/>
  <c r="EWR3" i="53" a="1"/>
  <c r="BFK3" i="53" a="1"/>
  <c r="NUF3" i="53" a="1"/>
  <c r="EDX3" i="53" a="1"/>
  <c r="RUA3" i="53" a="1"/>
  <c r="KZD3" i="53" a="1"/>
  <c r="FDH3" i="53" a="1"/>
  <c r="IIV3" i="53" a="1"/>
  <c r="DLJ3" i="53" a="1"/>
  <c r="NDJ3" i="53" a="1"/>
  <c r="FTO3" i="53" a="1"/>
  <c r="DLX3" i="53" a="1"/>
  <c r="JPU3" i="53" a="1"/>
  <c r="WZV3" i="53" a="1"/>
  <c r="JPL3" i="53" a="1"/>
  <c r="RSW3" i="53" a="1"/>
  <c r="VOF3" i="53" a="1"/>
  <c r="OYI3" i="53" a="1"/>
  <c r="E62" i="27" a="1"/>
  <c r="EVZ3" i="53" a="1"/>
  <c r="DLU3" i="53" a="1"/>
  <c r="DDA3" i="53" a="1"/>
  <c r="IQZ3" i="53" a="1"/>
  <c r="BEG3" i="53" a="1"/>
  <c r="KHL3" i="53" a="1"/>
  <c r="E210" i="27" a="1"/>
  <c r="VHV3" i="53" a="1"/>
  <c r="ICZ3" i="53" a="1"/>
  <c r="GRS3" i="53" a="1"/>
  <c r="KIB3" i="53" a="1"/>
  <c r="COP3" i="53" a="1"/>
  <c r="FHK3" i="53" a="1"/>
  <c r="I3" i="53" a="1"/>
  <c r="CTH3" i="53" a="1"/>
  <c r="WWL3" i="53" a="1"/>
  <c r="PUT3" i="53" a="1"/>
  <c r="HAS3" i="53" a="1"/>
  <c r="RZQ3" i="53" a="1"/>
  <c r="SEG3" i="53" a="1"/>
  <c r="LAI3" i="53" a="1"/>
  <c r="ERA3" i="53" a="1"/>
  <c r="QYM3" i="53" a="1"/>
  <c r="VQ3" i="53" a="1"/>
  <c r="HCZ3" i="53" a="1"/>
  <c r="LBR3" i="53" a="1"/>
  <c r="C209" i="27" a="1"/>
  <c r="EVQ3" i="53" a="1"/>
  <c r="DPH3" i="53" a="1"/>
  <c r="OKQ3" i="53" a="1"/>
  <c r="UMW3" i="53" a="1"/>
  <c r="E195" i="27" a="1"/>
  <c r="LQU3" i="53" a="1"/>
  <c r="PLM3" i="53" a="1"/>
  <c r="C146" i="27" a="1"/>
  <c r="VVN3" i="53" a="1"/>
  <c r="C247" i="27" a="1"/>
  <c r="LCJ3" i="53" a="1"/>
  <c r="PED3" i="53" a="1"/>
  <c r="AYB3" i="53" a="1"/>
  <c r="BFV3" i="53" a="1"/>
  <c r="TWZ3" i="53" a="1"/>
  <c r="WAH3" i="53" a="1"/>
  <c r="ACJ3" i="53" a="1"/>
  <c r="TOC3" i="53" a="1"/>
  <c r="DND3" i="53" a="1"/>
  <c r="LNW3" i="53" a="1"/>
  <c r="NYX3" i="53" a="1"/>
  <c r="LKA3" i="53" a="1"/>
  <c r="C6" i="37" a="1"/>
  <c r="TUL3" i="53" a="1"/>
  <c r="XZ3" i="53" a="1"/>
  <c r="HX3" i="53" a="1"/>
  <c r="WPN3" i="53" a="1"/>
  <c r="DVX3" i="53" a="1"/>
  <c r="VX3" i="53" a="1"/>
  <c r="LQC3" i="53" a="1"/>
  <c r="WK3" i="53" a="1"/>
  <c r="C218" i="27" a="1"/>
  <c r="AOP3" i="53" a="1"/>
  <c r="HQO3" i="53" a="1"/>
  <c r="PJK3" i="53" a="1"/>
  <c r="IUE3" i="53" a="1"/>
  <c r="COG3" i="53" a="1"/>
  <c r="HVU3" i="53" a="1"/>
  <c r="IGT3" i="53" a="1"/>
  <c r="RDU3" i="53" a="1"/>
  <c r="E385" i="27" a="1"/>
  <c r="VEC3" i="53" a="1"/>
  <c r="E253" i="27" a="1"/>
  <c r="SBT3" i="53" a="1"/>
  <c r="DXY3" i="53" a="1"/>
  <c r="TNH3" i="53" a="1"/>
  <c r="C102" i="27" a="1"/>
  <c r="B3" i="55" a="1"/>
  <c r="ROU3" i="53" a="1"/>
  <c r="KZS3" i="53" a="1"/>
  <c r="SDE3" i="53" a="1"/>
  <c r="CIO3" i="53" a="1"/>
  <c r="CSV3" i="53" a="1"/>
  <c r="E279" i="27" a="1"/>
  <c r="FFP3" i="53" a="1"/>
  <c r="JFC3" i="53" a="1"/>
  <c r="HSV3" i="53" a="1"/>
  <c r="C31" i="59" a="1"/>
  <c r="XCA3" i="53" a="1"/>
  <c r="UDD3" i="53" a="1"/>
  <c r="IU3" i="53" a="1"/>
  <c r="IBD3" i="53" a="1"/>
  <c r="FAB3" i="53" a="1"/>
  <c r="LK3" i="53" a="1"/>
  <c r="E41" i="27" a="1"/>
  <c r="DRE3" i="53" a="1"/>
  <c r="GMJ3" i="53" a="1"/>
  <c r="XEN3" i="53" a="1"/>
  <c r="RBR3" i="53" a="1"/>
  <c r="QIY3" i="53" a="1"/>
  <c r="E31" i="40" a="1"/>
  <c r="UOP3" i="53" a="1"/>
  <c r="HHR3" i="53" a="1"/>
  <c r="BWN3" i="53" a="1"/>
  <c r="AYO3" i="53" a="1"/>
  <c r="HVL3" i="53" a="1"/>
  <c r="C44" i="6" a="1"/>
  <c r="QZY3" i="53" a="1"/>
  <c r="OOJ3" i="53" a="1"/>
  <c r="PPH3" i="53" a="1"/>
  <c r="JLC3" i="53" a="1"/>
  <c r="KLZ3" i="53" a="1"/>
  <c r="ALQ3" i="53" a="1"/>
  <c r="FJJ3" i="53" a="1"/>
  <c r="GLF3" i="53" a="1"/>
  <c r="DSP3" i="53" a="1"/>
  <c r="RFH3" i="53" a="1"/>
  <c r="NFP3" i="53" a="1"/>
  <c r="KZH3" i="53" a="1"/>
  <c r="JGO3" i="53" a="1"/>
  <c r="C3" i="11" a="1"/>
  <c r="SVD3" i="53" a="1"/>
  <c r="MWX3" i="53" a="1"/>
  <c r="HUY3" i="53" a="1"/>
  <c r="BIS3" i="53" a="1"/>
  <c r="TRF3" i="53" a="1"/>
  <c r="C137" i="27" a="1"/>
  <c r="E377" i="27" a="1"/>
  <c r="C31" i="2" a="1"/>
  <c r="AKY3" i="53" a="1"/>
  <c r="NHY3" i="53" a="1"/>
  <c r="QCT3" i="53" a="1"/>
  <c r="C124" i="27" a="1"/>
  <c r="JLO3" i="53" a="1"/>
  <c r="AHG3" i="53" a="1"/>
  <c r="E8" i="40" a="1"/>
  <c r="MFT3" i="53" a="1"/>
  <c r="C68" i="27" a="1"/>
  <c r="IOE3" i="53" a="1"/>
  <c r="HLI3" i="53" a="1"/>
  <c r="GZH3" i="53" a="1"/>
  <c r="LPL3" i="53" a="1"/>
  <c r="FTJ3" i="53" a="1"/>
  <c r="PBR3" i="53" a="1"/>
  <c r="WDX3" i="53" a="1"/>
  <c r="UMU3" i="53" a="1"/>
  <c r="AYP3" i="53" a="1"/>
  <c r="LOM3" i="53" a="1"/>
  <c r="ADT3" i="53" a="1"/>
  <c r="WEI3" i="53" a="1"/>
  <c r="NXU3" i="53" a="1"/>
  <c r="NOG3" i="53" a="1"/>
  <c r="TVD3" i="53" a="1"/>
  <c r="VGF3" i="53" a="1"/>
  <c r="GTK3" i="53" a="1"/>
  <c r="IOU3" i="53" a="1"/>
  <c r="ANP3" i="53" a="1"/>
  <c r="JGE3" i="53" a="1"/>
  <c r="LJD3" i="53" a="1"/>
  <c r="SQK3" i="53" a="1"/>
  <c r="RFD3" i="53" a="1"/>
  <c r="AZB3" i="53" a="1"/>
  <c r="CDW3" i="53" a="1"/>
  <c r="EHK3" i="53" a="1"/>
  <c r="NQE3" i="53" a="1"/>
  <c r="IEC3" i="53" a="1"/>
  <c r="HEX3" i="53" a="1"/>
  <c r="FAI3" i="53" a="1"/>
  <c r="AEL3" i="53" a="1"/>
  <c r="RYX3" i="53" a="1"/>
  <c r="GVP3" i="53" a="1"/>
  <c r="IPS3" i="53" a="1"/>
  <c r="GSM3" i="53" a="1"/>
  <c r="RMJ3" i="53" a="1"/>
  <c r="KVK3" i="53" a="1"/>
  <c r="IWR3" i="53" a="1"/>
  <c r="JNJ3" i="53" a="1"/>
  <c r="OPD3" i="53" a="1"/>
  <c r="THC3" i="53" a="1"/>
  <c r="HNI3" i="53" a="1"/>
  <c r="TEC3" i="53" a="1"/>
  <c r="BJU3" i="53" a="1"/>
  <c r="BOE3" i="53" a="1"/>
  <c r="OJV3" i="53" a="1"/>
  <c r="CVQ3" i="53" a="1"/>
  <c r="TFT3" i="53" a="1"/>
  <c r="XBK3" i="53" a="1"/>
  <c r="LL3" i="53" a="1"/>
  <c r="SHF3" i="53" a="1"/>
  <c r="TXD3" i="53" a="1"/>
  <c r="FOH3" i="53" a="1"/>
  <c r="VPH3" i="53" a="1"/>
  <c r="HSS3" i="53" a="1"/>
  <c r="SRK3" i="53" a="1"/>
  <c r="TYW3" i="53" a="1"/>
  <c r="XEY3" i="53" a="1"/>
  <c r="AOK3" i="53" a="1"/>
  <c r="RPA3" i="53" a="1"/>
  <c r="KOA3" i="53" a="1"/>
  <c r="C58" i="4" a="1"/>
  <c r="VJL3" i="53" a="1"/>
  <c r="WGC3" i="53" a="1"/>
  <c r="E16" i="40" a="1"/>
  <c r="CPR3" i="53" a="1"/>
  <c r="C24" i="53" a="1"/>
  <c r="DMG3" i="53" a="1"/>
  <c r="HAT3" i="53" a="1"/>
  <c r="GHB3" i="53" a="1"/>
  <c r="FXU3" i="53" a="1"/>
  <c r="UUQ3" i="53" a="1"/>
  <c r="ADX3" i="53" a="1"/>
  <c r="E17" i="4" a="1"/>
  <c r="VYI3" i="53" a="1"/>
  <c r="ENS3" i="53" a="1"/>
  <c r="FNN3" i="53" a="1"/>
  <c r="SOO3" i="53" a="1"/>
  <c r="SED3" i="53" a="1"/>
  <c r="CRE3" i="53" a="1"/>
  <c r="RDV3" i="53" a="1"/>
  <c r="GHH3" i="53" a="1"/>
  <c r="RQZ3" i="53" a="1"/>
  <c r="OJD3" i="53" a="1"/>
  <c r="FUM3" i="53" a="1"/>
  <c r="G29" i="40" a="1"/>
  <c r="RNE3" i="53" a="1"/>
  <c r="VTH3" i="53" a="1"/>
  <c r="SQG3" i="53" a="1"/>
  <c r="FFW3" i="53" a="1"/>
  <c r="GQT3" i="53" a="1"/>
  <c r="MSO3" i="53" a="1"/>
  <c r="OAV3" i="53" a="1"/>
  <c r="RDQ3" i="53" a="1"/>
  <c r="C320" i="27" a="1"/>
  <c r="E33" i="27" a="1"/>
  <c r="QNF3" i="53" a="1"/>
  <c r="KKP3" i="53" a="1"/>
  <c r="BON3" i="53" a="1"/>
  <c r="BLZ3" i="53" a="1"/>
  <c r="CA3" i="53" a="1"/>
  <c r="DRN3" i="53" a="1"/>
  <c r="UHL3" i="53" a="1"/>
  <c r="DWK3" i="53" a="1"/>
  <c r="FUF3" i="53" a="1"/>
  <c r="BDP3" i="53" a="1"/>
  <c r="OK3" i="53" a="1"/>
  <c r="E101" i="27" a="1"/>
  <c r="EIL3" i="53" a="1"/>
  <c r="PBN3" i="53" a="1"/>
  <c r="E25" i="4" a="1"/>
  <c r="C311" i="27" a="1"/>
  <c r="TEZ3" i="53" a="1"/>
  <c r="TBG3" i="53" a="1"/>
  <c r="HRN3" i="53" a="1"/>
  <c r="E257" i="27" a="1"/>
  <c r="KPE3" i="53" a="1"/>
  <c r="TTS3" i="53" a="1"/>
  <c r="XBF3" i="53" a="1"/>
  <c r="OPW3" i="53" a="1"/>
  <c r="C171" i="27" a="1"/>
  <c r="UGL3" i="53" a="1"/>
  <c r="MIT3" i="53" a="1"/>
  <c r="C95" i="27" a="1"/>
  <c r="C170" i="27" a="1"/>
  <c r="XDM3" i="53" a="1"/>
  <c r="LVW3" i="53" a="1"/>
  <c r="C7" i="4" a="1"/>
  <c r="KKB3" i="53" a="1"/>
  <c r="JRL3" i="53" a="1"/>
  <c r="MFH3" i="53" a="1"/>
  <c r="KVN3" i="53" a="1"/>
  <c r="BFS3" i="53" a="1"/>
  <c r="IPQ3" i="53" a="1"/>
  <c r="C16" i="2" a="1"/>
  <c r="XDS3" i="53" a="1"/>
  <c r="KUJ3" i="53" a="1"/>
  <c r="E35" i="40" a="1"/>
  <c r="VMZ3" i="53" a="1"/>
  <c r="SLN3" i="53" a="1"/>
  <c r="UGN3" i="53" a="1"/>
  <c r="IFW3" i="53" a="1"/>
  <c r="TAF3" i="53" a="1"/>
  <c r="QBI3" i="53" a="1"/>
  <c r="JY3" i="53" a="1"/>
  <c r="FJN3" i="53" a="1"/>
  <c r="DFS3" i="53" a="1"/>
  <c r="C370" i="27" a="1"/>
  <c r="RQG3" i="53" a="1"/>
  <c r="JUH3" i="53" a="1"/>
  <c r="QOB3" i="53" a="1"/>
  <c r="NQJ3" i="53" a="1"/>
  <c r="BAA3" i="53" a="1"/>
  <c r="E287" i="27" a="1"/>
  <c r="CIA3" i="53" a="1"/>
  <c r="OXA3" i="53" a="1"/>
  <c r="E176" i="27" a="1"/>
  <c r="HQQ3" i="53" a="1"/>
  <c r="HEV3" i="53" a="1"/>
  <c r="NGC3" i="53" a="1"/>
  <c r="WQS3" i="53" a="1"/>
  <c r="E260" i="27" a="1"/>
  <c r="JII3" i="53" a="1"/>
  <c r="E305" i="27" a="1"/>
  <c r="LLA3" i="53" a="1"/>
  <c r="IGH3" i="53" a="1"/>
  <c r="KWJ3" i="53" a="1"/>
  <c r="GLX3" i="53" a="1"/>
  <c r="MAA3" i="53" a="1"/>
  <c r="EQW3" i="53" a="1"/>
  <c r="OKR3" i="53" a="1"/>
  <c r="HBL3" i="53" a="1"/>
  <c r="JQN3" i="53" a="1"/>
  <c r="EDE3" i="53" a="1"/>
  <c r="E345" i="27" a="1"/>
  <c r="NXP3" i="53" a="1"/>
  <c r="BPB3" i="53" a="1"/>
  <c r="BOY3" i="53" a="1"/>
  <c r="GEL3" i="53" a="1"/>
  <c r="E375" i="27" a="1"/>
  <c r="GWP3" i="53" a="1"/>
  <c r="C66" i="27" a="1"/>
  <c r="GNP3" i="53" a="1"/>
  <c r="DEE3" i="53" a="1"/>
  <c r="FOR3" i="53" a="1"/>
  <c r="HMV3" i="53" a="1"/>
  <c r="GFM3" i="53" a="1"/>
  <c r="TRO3" i="53" a="1"/>
  <c r="CBW3" i="53" a="1"/>
  <c r="ELK3" i="53" a="1"/>
  <c r="QS3" i="53" a="1"/>
  <c r="C398" i="27" a="1"/>
  <c r="CXL3" i="53" a="1"/>
  <c r="PZM3" i="53" a="1"/>
  <c r="AWD3" i="53" a="1"/>
  <c r="JQY3" i="53" a="1"/>
  <c r="DNK3" i="53" a="1"/>
  <c r="BQN3" i="53" a="1"/>
  <c r="FRB3" i="53" a="1"/>
  <c r="TVJ3" i="53" a="1"/>
  <c r="C131" i="27" a="1"/>
  <c r="CMC3" i="53" a="1"/>
  <c r="OIN3" i="53" a="1"/>
  <c r="E199" i="27" a="1"/>
  <c r="C13" i="3" a="1"/>
  <c r="UOF3" i="53" a="1"/>
  <c r="SBI3" i="53" a="1"/>
  <c r="SOI3" i="53" a="1"/>
  <c r="RJB3" i="53" a="1"/>
  <c r="ATO3" i="53" a="1"/>
  <c r="KPH3" i="53" a="1"/>
  <c r="HUH3" i="53" a="1"/>
  <c r="GOJ3" i="53" a="1"/>
  <c r="WYE3" i="53" a="1"/>
  <c r="HXW3" i="53" a="1"/>
  <c r="UQY3" i="53" a="1"/>
  <c r="FZP3" i="53" a="1"/>
  <c r="LEA3" i="53" a="1"/>
  <c r="XCN3" i="53" a="1"/>
  <c r="NTL3" i="53" a="1"/>
  <c r="DPP3" i="53" a="1"/>
  <c r="C34" i="27" a="1"/>
  <c r="JJB3" i="53" a="1"/>
  <c r="ASS3" i="53" a="1"/>
  <c r="E205" i="27" a="1"/>
  <c r="FAX3" i="53" a="1"/>
  <c r="LXH3" i="53" a="1"/>
  <c r="C14" i="40" a="1"/>
  <c r="OX3" i="53" a="1"/>
  <c r="E69" i="27" a="1"/>
  <c r="HHY3" i="53" a="1"/>
  <c r="E99" i="27" a="1"/>
  <c r="A3" i="5" a="1"/>
  <c r="NJC3" i="53" a="1"/>
  <c r="RBP3" i="53" a="1"/>
  <c r="CSS3" i="53" a="1"/>
  <c r="PWW3" i="53" a="1"/>
  <c r="C313" i="27" a="1"/>
  <c r="EHF3" i="53" a="1"/>
  <c r="UVD3" i="53" a="1"/>
  <c r="ARW3" i="53" a="1"/>
  <c r="C8" i="27" a="1"/>
  <c r="RIF3" i="53" a="1"/>
  <c r="STP3" i="53" a="1"/>
  <c r="C128" i="27" a="1"/>
  <c r="GTF3" i="53" a="1"/>
  <c r="KQV3" i="53" a="1"/>
  <c r="RVY3" i="53" a="1"/>
  <c r="E160" i="27" a="1"/>
  <c r="EEQ3" i="53" a="1"/>
  <c r="DUB3" i="53" a="1"/>
  <c r="FSJ3" i="53" a="1"/>
  <c r="IFS3" i="53" a="1"/>
  <c r="I3" i="38" a="1"/>
  <c r="SSV3" i="53" a="1"/>
  <c r="NPM3" i="53" a="1"/>
  <c r="FWE3" i="53" a="1"/>
  <c r="SWU3" i="53" a="1"/>
  <c r="NDH3" i="53" a="1"/>
  <c r="JLQ3" i="53" a="1"/>
  <c r="KRP3" i="53" a="1"/>
  <c r="CUA3" i="53" a="1"/>
  <c r="QE3" i="53" a="1"/>
  <c r="TZP3" i="53" a="1"/>
  <c r="RUQ3" i="53" a="1"/>
  <c r="ECO3" i="53" a="1"/>
  <c r="LGL3" i="53" a="1"/>
  <c r="JHB3" i="53" a="1"/>
  <c r="XH3" i="53" a="1"/>
  <c r="WSG3" i="53" a="1"/>
  <c r="PWC3" i="53" a="1"/>
  <c r="ECX3" i="53" a="1"/>
  <c r="PBS3" i="53" a="1"/>
  <c r="VCU3" i="53" a="1"/>
  <c r="UC3" i="53" a="1"/>
  <c r="SEZ3" i="53" a="1"/>
  <c r="GKP3" i="53" a="1"/>
  <c r="E3" i="31" a="1"/>
  <c r="MUX3" i="53" a="1"/>
  <c r="RBV3" i="53" a="1"/>
  <c r="C9" i="2" a="1"/>
  <c r="CDH3" i="53" a="1"/>
  <c r="SQC3" i="53" a="1"/>
  <c r="UER3" i="53" a="1"/>
  <c r="NPU3" i="53" a="1"/>
  <c r="QCP3" i="53" a="1"/>
  <c r="SAM3" i="53" a="1"/>
  <c r="IHP3" i="53" a="1"/>
  <c r="BWB3" i="53" a="1"/>
  <c r="GXJ3" i="53" a="1"/>
  <c r="JWU3" i="53" a="1"/>
  <c r="SGT3" i="53" a="1"/>
  <c r="MJE3" i="53" a="1"/>
  <c r="E21" i="40" a="1"/>
  <c r="GCU3" i="53" a="1"/>
  <c r="TZF3" i="53" a="1"/>
  <c r="QXR3" i="53" a="1"/>
  <c r="PPF3" i="53" a="1"/>
  <c r="NQR3" i="53" a="1"/>
  <c r="SZC3" i="53" a="1"/>
  <c r="LVF3" i="53" a="1"/>
  <c r="MYT3" i="53" a="1"/>
  <c r="PIR3" i="53" a="1"/>
  <c r="WPW3" i="53" a="1"/>
  <c r="NGU3" i="53" a="1"/>
  <c r="GAD3" i="53" a="1"/>
  <c r="OS3" i="53" a="1"/>
  <c r="DSY3" i="53" a="1"/>
  <c r="OGB3" i="53" a="1"/>
  <c r="BEI3" i="53" a="1"/>
  <c r="G47" i="40" a="1"/>
  <c r="LBG3" i="53" a="1"/>
  <c r="WAP3" i="53" a="1"/>
  <c r="OBF3" i="53" a="1"/>
  <c r="OBJ3" i="53" a="1"/>
  <c r="LRJ3" i="53" a="1"/>
  <c r="JDJ3" i="53" a="1"/>
  <c r="OUP3" i="53" a="1"/>
  <c r="HNT3" i="53" a="1"/>
  <c r="KRG3" i="53" a="1"/>
  <c r="OUM3" i="53" a="1"/>
  <c r="NGV3" i="53" a="1"/>
  <c r="OON3" i="53" a="1"/>
  <c r="PEA3" i="53" a="1"/>
  <c r="EPD3" i="53" a="1"/>
  <c r="JC3" i="53" a="1"/>
  <c r="BDI3" i="53" a="1"/>
  <c r="DIW3" i="53" a="1"/>
  <c r="C55" i="4" a="1"/>
  <c r="C222" i="27" a="1"/>
  <c r="BHI3" i="53" a="1"/>
  <c r="KQL3" i="53" a="1"/>
  <c r="PMQ3" i="53" a="1"/>
  <c r="ASX3" i="53" a="1"/>
  <c r="BWU3" i="53" a="1"/>
  <c r="QSC3" i="53" a="1"/>
  <c r="AYU3" i="53" a="1"/>
  <c r="OIK3" i="53" a="1"/>
  <c r="BIL3" i="53" a="1"/>
  <c r="KQS3" i="53" a="1"/>
  <c r="E339" i="27" a="1"/>
  <c r="HOO3" i="53" a="1"/>
  <c r="ANV3" i="53" a="1"/>
  <c r="BWG3" i="53" a="1"/>
  <c r="UAD3" i="53" a="1"/>
  <c r="DBP3" i="53" a="1"/>
  <c r="GIV3" i="53" a="1"/>
  <c r="BHQ3" i="53" a="1"/>
  <c r="C39" i="6" a="1"/>
  <c r="C179" i="27" a="1"/>
  <c r="C89" i="27" a="1"/>
  <c r="HWI3" i="53" a="1"/>
  <c r="E26" i="4" a="1"/>
  <c r="SZL3" i="53" a="1"/>
  <c r="UHG3" i="53" a="1"/>
  <c r="C360" i="27" a="1"/>
  <c r="KZ3" i="53" a="1"/>
  <c r="HIF3" i="53" a="1"/>
  <c r="AFX3" i="53" a="1"/>
  <c r="VDG3" i="53" a="1"/>
  <c r="HYO3" i="53" a="1"/>
  <c r="E116" i="27" a="1"/>
  <c r="F3" i="3" a="1"/>
  <c r="UFM3" i="53" a="1"/>
  <c r="KAK3" i="53" a="1"/>
  <c r="C32" i="53" a="1"/>
  <c r="GJJ3" i="53" a="1"/>
  <c r="EAT3" i="53" a="1"/>
  <c r="CAZ3" i="53" a="1"/>
  <c r="GUE3" i="53" a="1"/>
  <c r="NEU3" i="53" a="1"/>
  <c r="TLH3" i="53" a="1"/>
  <c r="HEQ3" i="53" a="1"/>
  <c r="UCU3" i="53" a="1"/>
  <c r="JDN3" i="53" a="1"/>
  <c r="HRR3" i="53" a="1"/>
  <c r="VRX3" i="53" a="1"/>
  <c r="GQG3" i="53" a="1"/>
  <c r="E405" i="27" a="1"/>
  <c r="IQF3" i="53" a="1"/>
  <c r="WKR3" i="53" a="1"/>
  <c r="CHW3" i="53" a="1"/>
  <c r="SZY3" i="53" a="1"/>
  <c r="KOV3" i="53" a="1"/>
  <c r="SDQ3" i="53" a="1"/>
  <c r="DHE3" i="53" a="1"/>
  <c r="C27" i="6" a="1"/>
  <c r="WVY3" i="53" a="1"/>
  <c r="BMK3" i="53" a="1"/>
  <c r="IKI3" i="53" a="1"/>
  <c r="AFG3" i="53" a="1"/>
  <c r="NZY3" i="53" a="1"/>
  <c r="LKV3" i="53" a="1"/>
  <c r="VOM3" i="53" a="1"/>
  <c r="AI3" i="53" a="1"/>
  <c r="ANA3" i="53" a="1"/>
  <c r="QEO3" i="53" a="1"/>
  <c r="XBR3" i="53" a="1"/>
  <c r="KPP3" i="53" a="1"/>
  <c r="EMM3" i="53" a="1"/>
  <c r="DCI3" i="53" a="1"/>
  <c r="E223" i="27" a="1"/>
  <c r="AVN3" i="53" a="1"/>
  <c r="C94" i="27" a="1"/>
  <c r="EVW3" i="53" a="1"/>
  <c r="LFM3" i="53" a="1"/>
  <c r="NDG3" i="53" a="1"/>
  <c r="C148" i="27" a="1"/>
  <c r="C285" i="27" a="1"/>
  <c r="EAJ3" i="53" a="1"/>
  <c r="VDX3" i="53" a="1"/>
  <c r="MVI3" i="53" a="1"/>
  <c r="OVL3" i="53" a="1"/>
  <c r="MUQ3" i="53" a="1"/>
  <c r="UYQ3" i="53" a="1"/>
  <c r="ICX3" i="53" a="1"/>
  <c r="C145" i="27" a="1"/>
  <c r="OZD3" i="53" a="1"/>
  <c r="KDN3" i="53" a="1"/>
  <c r="E168" i="27" a="1"/>
  <c r="NRS3" i="53" a="1"/>
  <c r="HXK3" i="53" a="1"/>
  <c r="CGJ3" i="53" a="1"/>
  <c r="EMS3" i="53" a="1"/>
  <c r="FCG3" i="53" a="1"/>
  <c r="JWO3" i="53" a="1"/>
  <c r="GLP3" i="53" a="1"/>
  <c r="PVQ3" i="53" a="1"/>
  <c r="VFY3" i="53" a="1"/>
  <c r="E51" i="27" a="1"/>
  <c r="QYZ3" i="53" a="1"/>
  <c r="NOO3" i="53" a="1"/>
  <c r="C11" i="40" a="1"/>
  <c r="UXO3" i="53" a="1"/>
  <c r="DSM3" i="53" a="1"/>
  <c r="IYQ3" i="53" a="1"/>
  <c r="BVZ3" i="53" a="1"/>
  <c r="C182" i="27" a="1"/>
  <c r="BVW3" i="53" a="1"/>
  <c r="EJP3" i="53" a="1"/>
  <c r="SQB3" i="53" a="1"/>
  <c r="KUR3" i="53" a="1"/>
  <c r="C18" i="59" a="1"/>
  <c r="OOX3" i="53" a="1"/>
  <c r="C33" i="11" a="1"/>
  <c r="ROY3" i="53" a="1"/>
  <c r="HAM3" i="53" a="1"/>
  <c r="MFI3" i="53" a="1"/>
  <c r="TOX3" i="53" a="1"/>
  <c r="TLG3" i="53" a="1"/>
  <c r="XCE3" i="53" a="1"/>
  <c r="HUM3" i="53" a="1"/>
  <c r="QRQ3" i="53" a="1"/>
  <c r="KNV3" i="53" a="1"/>
  <c r="BKW3" i="53" a="1"/>
  <c r="PLL3" i="53" a="1"/>
  <c r="E383" i="27" a="1"/>
  <c r="DHM3" i="53" a="1"/>
  <c r="CCQ3" i="53" a="1"/>
  <c r="PUX3" i="53" a="1"/>
  <c r="NZT3" i="53" a="1"/>
  <c r="QNH3" i="53" a="1"/>
  <c r="EUB3" i="53" a="1"/>
  <c r="MSG3" i="53" a="1"/>
  <c r="IEH3" i="53" a="1"/>
  <c r="E137" i="27" a="1"/>
  <c r="HST3" i="53" a="1"/>
  <c r="FQF3" i="53" a="1"/>
  <c r="DZP3" i="53" a="1"/>
  <c r="E407" i="27" a="1"/>
  <c r="E83" i="27" a="1"/>
  <c r="C81" i="27" a="1"/>
  <c r="DCV3" i="53" a="1"/>
  <c r="LZS3" i="53" a="1"/>
  <c r="OVS3" i="53" a="1"/>
  <c r="E388" i="27" a="1"/>
  <c r="LCN3" i="53" a="1"/>
  <c r="C14" i="2" a="1"/>
  <c r="FHM3" i="53" a="1"/>
  <c r="EWY3" i="53" a="1"/>
  <c r="E84" i="27" a="1"/>
  <c r="WAQ3" i="53" a="1"/>
  <c r="QPI3" i="53" a="1"/>
  <c r="VGG3" i="53" a="1"/>
  <c r="BRL3" i="53" a="1"/>
  <c r="C259" i="27" a="1"/>
  <c r="C292" i="27" a="1"/>
  <c r="C385" i="27" a="1"/>
  <c r="QFO3" i="53" a="1"/>
  <c r="HGX3" i="53" a="1"/>
  <c r="SWV3" i="53" a="1"/>
  <c r="WFC3" i="53" a="1"/>
  <c r="RVM3" i="53" a="1"/>
  <c r="E37" i="27" a="1"/>
  <c r="GER3" i="53" a="1"/>
  <c r="C22" i="27" a="1"/>
  <c r="MQW3" i="53" a="1"/>
  <c r="SLI3" i="53" a="1"/>
  <c r="NLA3" i="53" a="1"/>
  <c r="NRD3" i="53" a="1"/>
  <c r="VMY3" i="53" a="1"/>
  <c r="LBE3" i="53" a="1"/>
  <c r="PQL3" i="53" a="1"/>
  <c r="KFW3" i="53" a="1"/>
  <c r="JGN3" i="53" a="1"/>
  <c r="FXC3" i="53" a="1"/>
  <c r="BHW3" i="53" a="1"/>
  <c r="OTF3" i="53" a="1"/>
  <c r="JJX3" i="53" a="1"/>
  <c r="GPU3" i="53" a="1"/>
  <c r="ASE3" i="53" a="1"/>
  <c r="TP3" i="53" a="1"/>
  <c r="IXC3" i="53" a="1"/>
  <c r="NL3" i="53" a="1"/>
  <c r="BHX3" i="53" a="1"/>
  <c r="IBX3" i="53" a="1"/>
  <c r="HHJ3" i="53" a="1"/>
  <c r="LNI3" i="53" a="1"/>
  <c r="RUT3" i="53" a="1"/>
  <c r="HAJ3" i="53" a="1"/>
  <c r="VNF3" i="53" a="1"/>
  <c r="GVE3" i="53" a="1"/>
  <c r="UOX3" i="53" a="1"/>
  <c r="MLQ3" i="53" a="1"/>
  <c r="TXJ3" i="53" a="1"/>
  <c r="HMW3" i="53" a="1"/>
  <c r="WKT3" i="53" a="1"/>
  <c r="URJ3" i="53" a="1"/>
  <c r="VNW3" i="53" a="1"/>
  <c r="QUX3" i="53" a="1"/>
  <c r="BK3" i="53" a="1"/>
  <c r="GC3" i="53" a="1"/>
  <c r="OZK3" i="53" a="1"/>
  <c r="RUH3" i="53" a="1"/>
  <c r="WHJ3" i="53" a="1"/>
  <c r="RAS3" i="53" a="1"/>
  <c r="EYK3" i="53" a="1"/>
  <c r="JNT3" i="53" a="1"/>
  <c r="HIH3" i="53" a="1"/>
  <c r="ZW3" i="53" a="1"/>
  <c r="B3" i="59" a="1"/>
  <c r="ACS3" i="53" a="1"/>
  <c r="MEU3" i="53" a="1"/>
  <c r="DMC3" i="53" a="1"/>
  <c r="OGT3" i="53" a="1"/>
  <c r="WL3" i="53" a="1"/>
  <c r="VCE3" i="53" a="1"/>
  <c r="E410" i="27" a="1"/>
  <c r="IGS3" i="53" a="1"/>
  <c r="NQY3" i="53" a="1"/>
  <c r="AVG3" i="53" a="1"/>
  <c r="C356" i="27" a="1"/>
  <c r="GQM3" i="53" a="1"/>
  <c r="BXW3" i="53" a="1"/>
  <c r="UMQ3" i="53" a="1"/>
  <c r="EGF3" i="53" a="1"/>
  <c r="DSB3" i="53" a="1"/>
  <c r="JBH3" i="53" a="1"/>
  <c r="TAC3" i="53" a="1"/>
  <c r="LMQ3" i="53" a="1"/>
  <c r="NYD3" i="53" a="1"/>
  <c r="NYM3" i="53" a="1"/>
  <c r="AAQ3" i="53" a="1"/>
  <c r="PNL3" i="53" a="1"/>
  <c r="FWX3" i="53" a="1"/>
  <c r="LTU3" i="53" a="1"/>
  <c r="AJA3" i="53" a="1"/>
  <c r="MXK3" i="53" a="1"/>
  <c r="KLF3" i="53" a="1"/>
  <c r="CIM3" i="53" a="1"/>
  <c r="HLD3" i="53" a="1"/>
  <c r="BND3" i="53" a="1"/>
  <c r="DUV3" i="53" a="1"/>
  <c r="MSI3" i="53" a="1"/>
  <c r="NSL3" i="53" a="1"/>
  <c r="QHR3" i="53" a="1"/>
  <c r="VNH3" i="53" a="1"/>
  <c r="DRJ3" i="53" a="1"/>
  <c r="PUZ3" i="53" a="1"/>
  <c r="C163" i="27" a="1"/>
  <c r="KHE3" i="53" a="1"/>
  <c r="QSN3" i="53" a="1"/>
  <c r="GDA3" i="53" a="1"/>
  <c r="NAF3" i="53" a="1"/>
  <c r="JQA3" i="53" a="1"/>
  <c r="UCV3" i="53" a="1"/>
  <c r="IMX3" i="53" a="1"/>
  <c r="SZE3" i="53" a="1"/>
  <c r="STJ3" i="53" a="1"/>
  <c r="MAG3" i="53" a="1"/>
  <c r="E206" i="27" a="1"/>
  <c r="VGJ3" i="53" a="1"/>
  <c r="VM3" i="53" a="1"/>
  <c r="CXZ3" i="53" a="1"/>
  <c r="JCY3" i="53" a="1"/>
  <c r="NNM3" i="53" a="1"/>
  <c r="ACH3" i="53" a="1"/>
  <c r="CPJ3" i="53" a="1"/>
  <c r="KKT3" i="53" a="1"/>
  <c r="UKB3" i="53" a="1"/>
  <c r="ABP3" i="53" a="1"/>
  <c r="LQM3" i="53" a="1"/>
  <c r="E21" i="4" a="1"/>
  <c r="KZU3" i="53" a="1"/>
  <c r="IKX3" i="53" a="1"/>
  <c r="GVW3" i="53" a="1"/>
  <c r="SYS3" i="53" a="1"/>
  <c r="DCQ3" i="53" a="1"/>
  <c r="C44" i="2" a="1"/>
  <c r="ATN3" i="53" a="1"/>
  <c r="QWF3" i="53" a="1"/>
  <c r="NKI3" i="53" a="1"/>
  <c r="TAU3" i="53" a="1"/>
  <c r="MMX3" i="53" a="1"/>
  <c r="CEH3" i="53" a="1"/>
  <c r="GCO3" i="53" a="1"/>
  <c r="C64" i="27" a="1"/>
  <c r="VHS3" i="53" a="1"/>
  <c r="WOM3" i="53" a="1"/>
  <c r="UGE3" i="53" a="1"/>
  <c r="C10" i="37" a="1"/>
  <c r="TJH3" i="53" a="1"/>
  <c r="JDK3" i="53" a="1"/>
  <c r="RMX3" i="53" a="1"/>
  <c r="UKD3" i="53" a="1"/>
  <c r="FMV3" i="53" a="1"/>
  <c r="G3" i="14" a="1"/>
  <c r="PRI3" i="53" a="1"/>
  <c r="LIO3" i="53" a="1"/>
  <c r="DAI3" i="53" a="1"/>
  <c r="CP3" i="53" a="1"/>
  <c r="BUH3" i="53" a="1"/>
  <c r="MJN3" i="53" a="1"/>
  <c r="VBP3" i="53" a="1"/>
  <c r="FBZ3" i="53" a="1"/>
  <c r="D3" i="47" a="1"/>
  <c r="C338" i="27" a="1"/>
  <c r="NGA3" i="53" a="1"/>
  <c r="JDD3" i="53" a="1"/>
  <c r="WTM3" i="53" a="1"/>
  <c r="E48" i="27" a="1"/>
  <c r="DQK3" i="53" a="1"/>
  <c r="RYC3" i="53" a="1"/>
  <c r="BYK3" i="53" a="1"/>
  <c r="WGX3" i="53" a="1"/>
  <c r="IRT3" i="53" a="1"/>
  <c r="C160" i="27" a="1"/>
  <c r="JQS3" i="53" a="1"/>
  <c r="VMO3" i="53" a="1"/>
  <c r="IES3" i="53" a="1"/>
  <c r="BKY3" i="53" a="1"/>
  <c r="E133" i="27" a="1"/>
  <c r="DUA3" i="53" a="1"/>
  <c r="GTD3" i="53" a="1"/>
  <c r="OGW3" i="53" a="1"/>
  <c r="FJL3" i="53" a="1"/>
  <c r="BTH3" i="53" a="1"/>
  <c r="PWV3" i="53" a="1"/>
  <c r="C17" i="4" a="1"/>
  <c r="BBL3" i="53" a="1"/>
  <c r="VGV3" i="53" a="1"/>
  <c r="GBA3" i="53" a="1"/>
  <c r="GTW3" i="53" a="1"/>
  <c r="WTU3" i="53" a="1"/>
  <c r="SJP3" i="53" a="1"/>
  <c r="QXD3" i="53" a="1"/>
  <c r="C87" i="27" a="1"/>
  <c r="VWS3" i="53" a="1"/>
  <c r="VXJ3" i="53" a="1"/>
  <c r="KYF3" i="53" a="1"/>
  <c r="UCX3" i="53" a="1"/>
  <c r="AUR3" i="53" a="1"/>
  <c r="KHX3" i="53" a="1"/>
  <c r="KRI3" i="53" a="1"/>
  <c r="IRH3" i="53" a="1"/>
  <c r="LG3" i="53" a="1"/>
  <c r="IM3" i="53" a="1"/>
  <c r="IEZ3" i="53" a="1"/>
  <c r="C5" i="59" a="1"/>
  <c r="C210" i="27" a="1"/>
  <c r="DRG3" i="53" a="1"/>
  <c r="HPH3" i="53" a="1"/>
  <c r="GWO3" i="53" a="1"/>
  <c r="VTR3" i="53" a="1"/>
  <c r="RON3" i="53" a="1"/>
  <c r="MEZ3" i="53" a="1"/>
  <c r="E318" i="27" a="1"/>
  <c r="UTS3" i="53" a="1"/>
  <c r="ZD3" i="53" a="1"/>
  <c r="BQM3" i="53" a="1"/>
  <c r="NBT3" i="53" a="1"/>
  <c r="DEG3" i="53" a="1"/>
  <c r="NUI3" i="53" a="1"/>
  <c r="C14" i="59" a="1"/>
  <c r="NBG3" i="53" a="1"/>
  <c r="GQR3" i="53" a="1"/>
  <c r="E3" i="14" a="1"/>
  <c r="RKC3" i="53" a="1"/>
  <c r="G14" i="40" a="1"/>
  <c r="C37" i="27" a="1"/>
  <c r="JKN3" i="53" a="1"/>
  <c r="E87" i="27" a="1"/>
  <c r="MCA3" i="53" a="1"/>
  <c r="CDU3" i="53" a="1"/>
  <c r="VPO3" i="53" a="1"/>
  <c r="BIN3" i="53" a="1"/>
  <c r="MC3" i="53" a="1"/>
  <c r="BBT3" i="53" a="1"/>
  <c r="FYR3" i="53" a="1"/>
  <c r="C71" i="27" a="1"/>
  <c r="HFK3" i="53" a="1"/>
  <c r="GNB3" i="53" a="1"/>
  <c r="YQ3" i="53" a="1"/>
  <c r="TJY3" i="53" a="1"/>
  <c r="OMO3" i="53" a="1"/>
  <c r="TMQ3" i="53" a="1"/>
  <c r="NZD3" i="53" a="1"/>
  <c r="BQV3" i="53" a="1"/>
  <c r="OLZ3" i="53" a="1"/>
  <c r="C404" i="27" a="1"/>
  <c r="GJR3" i="53" a="1"/>
  <c r="C152" i="27" a="1"/>
  <c r="C138" i="27" a="1"/>
  <c r="ICD3" i="53" a="1"/>
  <c r="C143" i="27" a="1"/>
  <c r="E393" i="27" a="1"/>
  <c r="C277" i="27" a="1"/>
  <c r="KCZ3" i="53" a="1"/>
  <c r="GJM3" i="53" a="1"/>
  <c r="GPQ3" i="53" a="1"/>
  <c r="GCD3" i="53" a="1"/>
  <c r="UK3" i="53" a="1"/>
  <c r="SDX3" i="53" a="1"/>
  <c r="AGB3" i="53" a="1"/>
  <c r="EBE3" i="53" a="1"/>
  <c r="C411" i="27" a="1"/>
  <c r="SAB3" i="53" a="1"/>
  <c r="C103" i="27" a="1"/>
  <c r="WJV3" i="53" a="1"/>
  <c r="VVD3" i="53" a="1"/>
  <c r="A3" i="46" a="1"/>
  <c r="DIZ3" i="53" a="1"/>
  <c r="CBI3" i="53" a="1"/>
  <c r="MIE3" i="53" a="1"/>
  <c r="HWU3" i="53" a="1"/>
  <c r="IBC3" i="53" a="1"/>
  <c r="PTO3" i="53" a="1"/>
  <c r="PDI3" i="53" a="1"/>
  <c r="SYQ3" i="53" a="1"/>
  <c r="ROS3" i="53" a="1"/>
  <c r="DSA3" i="53" a="1"/>
  <c r="VNS3" i="53" a="1"/>
  <c r="TGT3" i="53" a="1"/>
  <c r="OVO3" i="53" a="1"/>
  <c r="APP3" i="53" a="1"/>
  <c r="PVR3" i="53" a="1"/>
  <c r="QWC3" i="53" a="1"/>
  <c r="NQU3" i="53" a="1"/>
  <c r="XY3" i="53" a="1"/>
  <c r="JQX3" i="53" a="1"/>
  <c r="C22" i="53" a="1"/>
  <c r="CNQ3" i="53" a="1"/>
  <c r="AXK3" i="53" a="1"/>
  <c r="QEF3" i="53" a="1"/>
  <c r="CRP3" i="53" a="1"/>
  <c r="JBA3" i="53" a="1"/>
  <c r="COZ3" i="53" a="1"/>
  <c r="XEH3" i="53" a="1"/>
  <c r="IRR3" i="53" a="1"/>
  <c r="IHT3" i="53" a="1"/>
  <c r="LHW3" i="53" a="1"/>
  <c r="AOA3" i="53" a="1"/>
  <c r="C15" i="40" a="1"/>
  <c r="VHB3" i="53" a="1"/>
  <c r="MBO3" i="53" a="1"/>
  <c r="WZA3" i="53" a="1"/>
  <c r="QFD3" i="53" a="1"/>
  <c r="PKZ3" i="53" a="1"/>
  <c r="VTG3" i="53" a="1"/>
  <c r="FQP3" i="53" a="1"/>
  <c r="CJJ3" i="53" a="1"/>
  <c r="MOA3" i="53" a="1"/>
  <c r="JYK3" i="53" a="1"/>
  <c r="LND3" i="53" a="1"/>
  <c r="BEL3" i="53" a="1"/>
  <c r="C15" i="59" a="1"/>
  <c r="GHQ3" i="53" a="1"/>
  <c r="BOM3" i="53" a="1"/>
  <c r="JGM3" i="53" a="1"/>
  <c r="CYU3" i="53" a="1"/>
  <c r="WLE3" i="53" a="1"/>
  <c r="TUH3" i="53" a="1"/>
  <c r="LFR3" i="53" a="1"/>
  <c r="MXM3" i="53" a="1"/>
  <c r="BLW3" i="53" a="1"/>
  <c r="QQA3" i="53" a="1"/>
  <c r="DII3" i="53" a="1"/>
  <c r="C3" i="37" a="1"/>
  <c r="FPL3" i="53" a="1"/>
  <c r="TLP3" i="53" a="1"/>
  <c r="PQE3" i="53" a="1"/>
  <c r="WGZ3" i="53" a="1"/>
  <c r="BUM3" i="53" a="1"/>
  <c r="RSE3" i="53" a="1"/>
  <c r="I3" i="46" a="1"/>
  <c r="QLX3" i="53" a="1"/>
  <c r="SHV3" i="53" a="1"/>
  <c r="WLB3" i="53" a="1"/>
  <c r="NTM3" i="53" a="1"/>
  <c r="PLN3" i="53" a="1"/>
  <c r="MOR3" i="53" a="1"/>
  <c r="QTZ3" i="53" a="1"/>
  <c r="C11" i="6" a="1"/>
  <c r="OGN3" i="53" a="1"/>
  <c r="OBL3" i="53" a="1"/>
  <c r="GIE3" i="53" a="1"/>
  <c r="UR3" i="53" a="1"/>
  <c r="OGY3" i="53" a="1"/>
  <c r="MPY3" i="53" a="1"/>
  <c r="UCG3" i="53" a="1"/>
  <c r="GCR3" i="53" a="1"/>
  <c r="WFW3" i="53" a="1"/>
  <c r="WML3" i="53" a="1"/>
  <c r="VFH3" i="53" a="1"/>
  <c r="PSR3" i="53" a="1"/>
  <c r="EI3" i="53" a="1"/>
  <c r="PLG3" i="53" a="1"/>
  <c r="E365" i="27" a="1"/>
  <c r="C20" i="2" a="1"/>
  <c r="NBI3" i="53" a="1"/>
  <c r="ODW3" i="53" a="1"/>
  <c r="QYF3" i="53" a="1"/>
  <c r="C39" i="2" a="1"/>
  <c r="C13" i="31" a="1"/>
  <c r="NQA3" i="53" a="1"/>
  <c r="OOD3" i="53" a="1"/>
  <c r="LGQ3" i="53" a="1"/>
  <c r="AAM3" i="53" a="1"/>
  <c r="WYD3" i="53" a="1"/>
  <c r="C59" i="27" a="1"/>
  <c r="TBR3" i="53" a="1"/>
  <c r="FBP3" i="53" a="1"/>
  <c r="HBE3" i="53" a="1"/>
  <c r="E153" i="27" a="1"/>
  <c r="HKM3" i="53" a="1"/>
  <c r="AMT3" i="53" a="1"/>
  <c r="AYZ3" i="53" a="1"/>
  <c r="TRV3" i="53" a="1"/>
  <c r="JSE3" i="53" a="1"/>
  <c r="NNV3" i="53" a="1"/>
  <c r="NUG3" i="53" a="1"/>
  <c r="KSC3" i="53" a="1"/>
  <c r="C391" i="27" a="1"/>
  <c r="GVF3" i="53" a="1"/>
  <c r="KEV3" i="53" a="1"/>
  <c r="DOI3" i="53" a="1"/>
  <c r="REU3" i="53" a="1"/>
  <c r="UQW3" i="53" a="1"/>
  <c r="UBG3" i="53" a="1"/>
  <c r="LBZ3" i="53" a="1"/>
  <c r="VSX3" i="53" a="1"/>
  <c r="JEC3" i="53" a="1"/>
  <c r="UYG3" i="53" a="1"/>
  <c r="SKQ3" i="53" a="1"/>
  <c r="UZR3" i="53" a="1"/>
  <c r="RRJ3" i="53" a="1"/>
  <c r="TCB3" i="53" a="1"/>
  <c r="WG3" i="53" a="1"/>
  <c r="C6" i="2" a="1"/>
  <c r="CRY3" i="53" a="1"/>
  <c r="SJZ3" i="53" a="1"/>
  <c r="C35" i="27" a="1"/>
  <c r="CUC3" i="53" a="1"/>
  <c r="FBN3" i="53" a="1"/>
  <c r="CTW3" i="53" a="1"/>
  <c r="MOF3" i="53" a="1"/>
  <c r="DVE3" i="53" a="1"/>
  <c r="C19" i="6" a="1"/>
  <c r="C38" i="53" a="1"/>
  <c r="PVM3" i="53" a="1"/>
  <c r="E266" i="27" a="1"/>
  <c r="FYB3" i="53" a="1"/>
  <c r="AEJ3" i="53" a="1"/>
  <c r="AZC3" i="53" a="1"/>
  <c r="E60" i="27" a="1"/>
  <c r="RLV3" i="53" a="1"/>
  <c r="DRO3" i="53" a="1"/>
  <c r="IVP3" i="53" a="1"/>
  <c r="C28" i="4" a="1"/>
  <c r="HXE3" i="53" a="1"/>
  <c r="C343" i="27" a="1"/>
  <c r="WTA3" i="53" a="1"/>
  <c r="ANU3" i="53" a="1"/>
  <c r="VTV3" i="53" a="1"/>
  <c r="VGA3" i="53" a="1"/>
  <c r="IBI3" i="53" a="1"/>
  <c r="INH3" i="53" a="1"/>
  <c r="CSD3" i="53" a="1"/>
  <c r="GPZ3" i="53" a="1"/>
  <c r="OOL3" i="53" a="1"/>
  <c r="LOQ3" i="53" a="1"/>
  <c r="KJH3" i="53" a="1"/>
  <c r="C154" i="27" a="1"/>
  <c r="CRI3" i="53" a="1"/>
  <c r="JVF3" i="53" a="1"/>
  <c r="IOO3" i="53" a="1"/>
  <c r="JIC3" i="53" a="1"/>
  <c r="C394" i="27" a="1"/>
  <c r="UVG3" i="53" a="1"/>
  <c r="HTI3" i="53" a="1"/>
  <c r="E100" i="27" a="1"/>
  <c r="C45" i="27" a="1"/>
  <c r="SOL3" i="53" a="1"/>
  <c r="BCT3" i="53" a="1"/>
  <c r="TIB3" i="53" a="1"/>
  <c r="SGK3" i="53" a="1"/>
  <c r="AJ3" i="53" a="1"/>
  <c r="ODU3" i="53" a="1"/>
  <c r="INV3" i="53" a="1"/>
  <c r="M3" i="12" a="1"/>
  <c r="C5" i="31" a="1"/>
  <c r="JKT3" i="53" a="1"/>
  <c r="ORV3" i="53" a="1"/>
  <c r="E382" i="27" a="1"/>
  <c r="CZV3" i="53" a="1"/>
  <c r="ZZ3" i="53" a="1"/>
  <c r="TKV3" i="53" a="1"/>
  <c r="JMX3" i="53" a="1"/>
  <c r="IDK3" i="53" a="1"/>
  <c r="WZD3" i="53" a="1"/>
  <c r="G38" i="40" a="1"/>
  <c r="JGR3" i="53" a="1"/>
  <c r="DAZ3" i="53" a="1"/>
  <c r="LPJ3" i="53" a="1"/>
  <c r="C37" i="4" a="1"/>
  <c r="EJY3" i="53" a="1"/>
  <c r="LBU3" i="53" a="1"/>
  <c r="JJQ3" i="53" a="1"/>
  <c r="EQF3" i="53" a="1"/>
  <c r="RHF3" i="53" a="1"/>
  <c r="QUT3" i="53" a="1"/>
  <c r="X3" i="53" a="1"/>
  <c r="QWG3" i="53" a="1"/>
  <c r="JUY3" i="53" a="1"/>
  <c r="OTR3" i="53" a="1"/>
  <c r="MDM3" i="53" a="1"/>
  <c r="FUW3" i="53" a="1"/>
  <c r="IOC3" i="53" a="1"/>
  <c r="UAQ3" i="53" a="1"/>
  <c r="KA3" i="53" a="1"/>
  <c r="FIQ3" i="53" a="1"/>
  <c r="UUU3" i="53" a="1"/>
  <c r="TUU3" i="53" a="1"/>
  <c r="FXB3" i="53" a="1"/>
  <c r="NIO3" i="53" a="1"/>
  <c r="HVG3" i="53" a="1"/>
  <c r="NZZ3" i="53" a="1"/>
  <c r="DOB3" i="53" a="1"/>
  <c r="JNW3" i="53" a="1"/>
  <c r="C20" i="6" a="1"/>
  <c r="TJR3" i="53" a="1"/>
  <c r="WBM3" i="53" a="1"/>
  <c r="DMX3" i="53" a="1"/>
  <c r="BEF3" i="53" a="1"/>
  <c r="IQN3" i="53" a="1"/>
  <c r="TMC3" i="53" a="1"/>
  <c r="MXP3" i="53" a="1"/>
  <c r="OOV3" i="53" a="1"/>
  <c r="UBP3" i="53" a="1"/>
  <c r="MWV3" i="53" a="1"/>
  <c r="RXN3" i="53" a="1"/>
  <c r="HCQ3" i="53" a="1"/>
  <c r="E20" i="40" a="1"/>
  <c r="HCD3" i="53" a="1"/>
  <c r="RGM3" i="53" a="1"/>
  <c r="RQB3" i="53" a="1"/>
  <c r="DDQ3" i="53" a="1"/>
  <c r="BJD3" i="53" a="1"/>
  <c r="QQG3" i="53" a="1"/>
  <c r="MOD3" i="53" a="1"/>
  <c r="IMF3" i="53" a="1"/>
  <c r="NZP3" i="53" a="1"/>
  <c r="RDR3" i="53" a="1"/>
  <c r="SLS3" i="53" a="1"/>
  <c r="GSC3" i="53" a="1"/>
  <c r="VSF3" i="53" a="1"/>
  <c r="C409" i="27" a="1"/>
  <c r="BTS3" i="53" a="1"/>
  <c r="DYN3" i="53" a="1"/>
  <c r="AHS3" i="53" a="1"/>
  <c r="OMN3" i="53" a="1"/>
  <c r="BFU3" i="53" a="1"/>
  <c r="WQC3" i="53" a="1"/>
  <c r="LQY3" i="53" a="1"/>
  <c r="KRJ3" i="53" a="1"/>
  <c r="UBL3" i="53" a="1"/>
  <c r="MQE3" i="53" a="1"/>
  <c r="NWW3" i="53" a="1"/>
  <c r="ALL3" i="53" a="1"/>
  <c r="HTP3" i="53" a="1"/>
  <c r="FNY3" i="53" a="1"/>
  <c r="TFE3" i="53" a="1"/>
  <c r="E3" i="53" a="1"/>
  <c r="ASK3" i="53" a="1"/>
  <c r="JUU3" i="53" a="1"/>
  <c r="THZ3" i="53" a="1"/>
  <c r="VJF3" i="53" a="1"/>
  <c r="PIU3" i="53" a="1"/>
  <c r="GEJ3" i="53" a="1"/>
  <c r="CSF3" i="53" a="1"/>
  <c r="KXE3" i="53" a="1"/>
  <c r="AHD3" i="53" a="1"/>
  <c r="GIK3" i="53" a="1"/>
  <c r="AYJ3" i="53" a="1"/>
  <c r="TDO3" i="53" a="1"/>
  <c r="PJG3" i="53" a="1"/>
  <c r="E341" i="27" a="1"/>
  <c r="DID3" i="53" a="1"/>
  <c r="FSL3" i="53" a="1"/>
  <c r="ULU3" i="53" a="1"/>
  <c r="UAV3" i="53" a="1"/>
  <c r="RE3" i="53" a="1"/>
  <c r="E71" i="27" a="1"/>
  <c r="C117" i="27" a="1"/>
  <c r="HCV3" i="53" a="1"/>
  <c r="JOZ3" i="53" a="1"/>
  <c r="NBZ3" i="53" a="1"/>
  <c r="MOJ3" i="53" a="1"/>
  <c r="FDI3" i="53" a="1"/>
  <c r="JUF3" i="53" a="1"/>
  <c r="WGG3" i="53" a="1"/>
  <c r="TWT3" i="53" a="1"/>
  <c r="C7" i="6" a="1"/>
  <c r="C386" i="27" a="1"/>
  <c r="C50" i="27" a="1"/>
  <c r="JAE3" i="53" a="1"/>
  <c r="LVV3" i="53" a="1"/>
  <c r="JHM3" i="53" a="1"/>
  <c r="IDF3" i="53" a="1"/>
  <c r="FYY3" i="53" a="1"/>
  <c r="FAF3" i="53" a="1"/>
  <c r="WCN3" i="53" a="1"/>
  <c r="EUE3" i="53" a="1"/>
  <c r="RLZ3" i="53" a="1"/>
  <c r="GKZ3" i="53" a="1"/>
  <c r="GRZ3" i="53" a="1"/>
  <c r="CMY3" i="53" a="1"/>
  <c r="GKW3" i="53" a="1"/>
  <c r="UTJ3" i="53" a="1"/>
  <c r="C26" i="40" a="1"/>
  <c r="FHC3" i="53" a="1"/>
  <c r="ADK3" i="53" a="1"/>
  <c r="GZL3" i="53" a="1"/>
  <c r="QSG3" i="53" a="1"/>
  <c r="MWY3" i="53" a="1"/>
  <c r="PNG3" i="53" a="1"/>
  <c r="EDW3" i="53" a="1"/>
  <c r="IFF3" i="53" a="1"/>
  <c r="UFH3" i="53" a="1"/>
  <c r="DCJ3" i="53" a="1"/>
  <c r="BFZ3" i="53" a="1"/>
  <c r="CBJ3" i="53" a="1"/>
  <c r="C335" i="27" a="1"/>
  <c r="E169" i="27" a="1"/>
  <c r="TQA3" i="53" a="1"/>
  <c r="BWV3" i="53" a="1"/>
  <c r="ISQ3" i="53" a="1"/>
  <c r="TSH3" i="53" a="1"/>
  <c r="IFM3" i="53" a="1"/>
  <c r="BOC3" i="53" a="1"/>
  <c r="E203" i="27" a="1"/>
  <c r="C36" i="59" a="1"/>
  <c r="C6" i="46" a="1"/>
  <c r="C10" i="59" a="1"/>
  <c r="GYY3" i="53" a="1"/>
  <c r="E5" i="31" a="1"/>
  <c r="MFU3" i="53" a="1"/>
  <c r="C26" i="4" a="1"/>
  <c r="TCT3" i="53" a="1"/>
  <c r="SVT3" i="53" a="1"/>
  <c r="C327" i="27" a="1"/>
  <c r="HGS3" i="53" a="1"/>
  <c r="WLG3" i="53" a="1"/>
  <c r="PPD3" i="53" a="1"/>
  <c r="WZZ3" i="53" a="1"/>
  <c r="UYD3" i="53" a="1"/>
  <c r="GRM3" i="53" a="1"/>
  <c r="QJV3" i="53" a="1"/>
  <c r="HZS3" i="53" a="1"/>
  <c r="WHP3" i="53" a="1"/>
  <c r="HOB3" i="53" a="1"/>
  <c r="AMM3" i="53" a="1"/>
  <c r="OTX3" i="53" a="1"/>
  <c r="UFY3" i="53" a="1"/>
  <c r="DPG3" i="53" a="1"/>
  <c r="QLM3" i="53" a="1"/>
  <c r="C8" i="11" a="1"/>
  <c r="E32" i="4" a="1"/>
  <c r="CAP3" i="53" a="1"/>
  <c r="VVO3" i="53" a="1"/>
  <c r="BWT3" i="53" a="1"/>
  <c r="LIT3" i="53" a="1"/>
  <c r="OUC3" i="53" a="1"/>
  <c r="K3" i="12" a="1"/>
  <c r="XAE3" i="53" a="1"/>
  <c r="TMU3" i="53" a="1"/>
  <c r="AE3" i="53" a="1"/>
  <c r="LCG3" i="53" a="1"/>
  <c r="GUD3" i="53" a="1"/>
  <c r="KHV3" i="53" a="1"/>
  <c r="VKH3" i="53" a="1"/>
  <c r="RQW3" i="53" a="1"/>
  <c r="RJQ3" i="53" a="1"/>
  <c r="N3" i="53" a="1"/>
  <c r="HGM3" i="53" a="1"/>
  <c r="EYT3" i="53" a="1"/>
  <c r="LHR3" i="53" a="1"/>
  <c r="PZG3" i="53" a="1"/>
  <c r="LAQ3" i="53" a="1"/>
  <c r="TBY3" i="53" a="1"/>
  <c r="VIN3" i="53" a="1"/>
  <c r="KFU3" i="53" a="1"/>
  <c r="C5" i="5" a="1"/>
  <c r="GWY3" i="53" a="1"/>
  <c r="E142" i="27" a="1"/>
  <c r="MY3" i="53" a="1"/>
  <c r="NWD3" i="53" a="1"/>
  <c r="ELS3" i="53" a="1"/>
  <c r="VJJ3" i="53" a="1"/>
  <c r="C243" i="27" a="1"/>
  <c r="APS3" i="53" a="1"/>
  <c r="KPI3" i="53" a="1"/>
  <c r="C58" i="40" a="1"/>
  <c r="C323" i="27" a="1"/>
  <c r="UH3" i="53" a="1"/>
  <c r="QKX3" i="53" a="1"/>
  <c r="THH3" i="53" a="1"/>
  <c r="UHK3" i="53" a="1"/>
  <c r="E5" i="57" a="1"/>
  <c r="E181" i="27" a="1"/>
  <c r="C76" i="27" a="1"/>
  <c r="CVE3" i="53" a="1"/>
  <c r="WAD3" i="53" a="1"/>
  <c r="QLL3" i="53" a="1"/>
  <c r="MLI3" i="53" a="1"/>
  <c r="E144" i="27" a="1"/>
  <c r="C226" i="27" a="1"/>
  <c r="FXW3" i="53" a="1"/>
  <c r="E209" i="27" a="1"/>
  <c r="MQH3" i="53" a="1"/>
  <c r="PRL3" i="53" a="1"/>
  <c r="JSV3" i="53" a="1"/>
  <c r="JGU3" i="53" a="1"/>
  <c r="UBX3" i="53" a="1"/>
  <c r="TPB3" i="53" a="1"/>
  <c r="QDG3" i="53" a="1"/>
  <c r="E52" i="27" a="1"/>
  <c r="WAM3" i="53" a="1"/>
  <c r="GWH3" i="53" a="1"/>
  <c r="A3" i="9" a="1"/>
  <c r="C26" i="11" a="1"/>
  <c r="ETC3" i="53" a="1"/>
  <c r="C5" i="46" a="1"/>
  <c r="JSF3" i="53" a="1"/>
  <c r="UIV3" i="53" a="1"/>
  <c r="EFV3" i="53" a="1"/>
  <c r="PMA3" i="53" a="1"/>
  <c r="IOS3" i="53" a="1"/>
  <c r="E226" i="27" a="1"/>
  <c r="LRD3" i="53" a="1"/>
  <c r="CJA3" i="53" a="1"/>
  <c r="C12" i="11" a="1"/>
  <c r="BRI3" i="53" a="1"/>
  <c r="SLR3" i="53" a="1"/>
  <c r="ODQ3" i="53" a="1"/>
  <c r="KZW3" i="53" a="1"/>
  <c r="E93" i="27" a="1"/>
  <c r="VYY3" i="53" a="1"/>
  <c r="UGB3" i="53" a="1"/>
  <c r="CS3" i="53" a="1"/>
  <c r="C250" i="27" a="1"/>
  <c r="HHQ3" i="53" a="1"/>
  <c r="C245" i="27" a="1"/>
  <c r="DNI3" i="53" a="1"/>
  <c r="JHI3" i="53" a="1"/>
  <c r="FFU3" i="53" a="1"/>
  <c r="CAJ3" i="53" a="1"/>
  <c r="G15" i="40" a="1"/>
  <c r="BLG3" i="53" a="1"/>
  <c r="DOT3" i="53" a="1"/>
  <c r="MAJ3" i="53" a="1"/>
  <c r="MBL3" i="53" a="1"/>
  <c r="NTD3" i="53" a="1"/>
  <c r="LE3" i="53" a="1"/>
  <c r="MBH3" i="53" a="1"/>
  <c r="XEG3" i="53" a="1"/>
  <c r="JIT3" i="53" a="1"/>
  <c r="FID3" i="53" a="1"/>
  <c r="PJE3" i="53" a="1"/>
  <c r="JXE3" i="53" a="1"/>
  <c r="JPJ3" i="53" a="1"/>
  <c r="RCU3" i="53" a="1"/>
  <c r="KAD3" i="53" a="1"/>
  <c r="KIX3" i="53" a="1"/>
  <c r="JUL3" i="53" a="1"/>
  <c r="DJM3" i="53" a="1"/>
  <c r="RQS3" i="53" a="1"/>
  <c r="ONH3" i="53" a="1"/>
  <c r="MNB3" i="53" a="1"/>
  <c r="E58" i="40" a="1"/>
  <c r="TCZ3" i="53" a="1"/>
  <c r="USB3" i="53" a="1"/>
  <c r="KBS3" i="53" a="1"/>
  <c r="LN3" i="53" a="1"/>
  <c r="DBD3" i="53" a="1"/>
  <c r="FBV3" i="53" a="1"/>
  <c r="LZI3" i="53" a="1"/>
  <c r="OHX3" i="53" a="1"/>
  <c r="CTP3" i="53" a="1"/>
  <c r="ENM3" i="53" a="1"/>
  <c r="C16" i="40" a="1"/>
  <c r="MJC3" i="53" a="1"/>
  <c r="RVC3" i="53" a="1"/>
  <c r="C3" i="14" a="1"/>
  <c r="GMR3" i="53" a="1"/>
  <c r="WOY3" i="53" a="1"/>
  <c r="PYY3" i="53" a="1"/>
  <c r="RWI3" i="53" a="1"/>
  <c r="FHD3" i="53" a="1"/>
  <c r="DZA3" i="53" a="1"/>
  <c r="MND3" i="53" a="1"/>
  <c r="MKP3" i="53" a="1"/>
  <c r="SIA3" i="53" a="1"/>
  <c r="LDQ3" i="53" a="1"/>
  <c r="RPW3" i="53" a="1"/>
  <c r="SHT3" i="53" a="1"/>
  <c r="BRJ3" i="53" a="1"/>
  <c r="E30" i="27" a="1"/>
  <c r="HPQ3" i="53" a="1"/>
  <c r="XP3" i="53" a="1"/>
  <c r="AYD3" i="53" a="1"/>
  <c r="LVS3" i="53" a="1"/>
  <c r="WHE3" i="53" a="1"/>
  <c r="KLW3" i="53" a="1"/>
  <c r="C326" i="27" a="1"/>
  <c r="E40" i="4" a="1"/>
  <c r="QDB3" i="53" a="1"/>
  <c r="AXM3" i="53" a="1"/>
  <c r="PAX3" i="53" a="1"/>
  <c r="IMI3" i="53" a="1"/>
  <c r="ARC3" i="53" a="1"/>
  <c r="C5" i="28" a="1"/>
  <c r="JTF3" i="53" a="1"/>
  <c r="I3" i="34" a="1"/>
  <c r="UYL3" i="53" a="1"/>
  <c r="FGZ3" i="53" a="1"/>
  <c r="ERF3" i="53" a="1"/>
  <c r="KFP3" i="53" a="1"/>
  <c r="UPO3" i="53" a="1"/>
  <c r="UDJ3" i="53" a="1"/>
  <c r="C38" i="27" a="1"/>
  <c r="CEE3" i="53" a="1"/>
  <c r="VMM3" i="53" a="1"/>
  <c r="F3" i="47" a="1"/>
  <c r="TOQ3" i="53" a="1"/>
  <c r="EFA3" i="53" a="1"/>
  <c r="PRW3" i="53" a="1"/>
  <c r="DMO3" i="53" a="1"/>
  <c r="IGG3" i="53" a="1"/>
  <c r="EWA3" i="53" a="1"/>
  <c r="DAT3" i="53" a="1"/>
  <c r="ABU3" i="53" a="1"/>
  <c r="C9" i="27" a="1"/>
  <c r="LEN3" i="53" a="1"/>
  <c r="HII3" i="53" a="1"/>
  <c r="KZK3" i="53" a="1"/>
  <c r="SFG3" i="53" a="1"/>
  <c r="E346" i="27" a="1"/>
  <c r="EOC3" i="53" a="1"/>
  <c r="STN3" i="53" a="1"/>
  <c r="FFI3" i="53" a="1"/>
  <c r="HBW3" i="53" a="1"/>
  <c r="UMR3" i="53" a="1"/>
  <c r="HVS3" i="53" a="1"/>
  <c r="C25" i="6" a="1"/>
  <c r="RPU3" i="53" a="1"/>
  <c r="VF3" i="53" a="1"/>
  <c r="SLW3" i="53" a="1"/>
  <c r="QMX3" i="53" a="1"/>
  <c r="XDO3" i="53" a="1"/>
  <c r="RNZ3" i="53" a="1"/>
  <c r="EUH3" i="53" a="1"/>
  <c r="TES3" i="53" a="1"/>
  <c r="OAD3" i="53" a="1"/>
  <c r="HVZ3" i="53" a="1"/>
  <c r="CJD3" i="53" a="1"/>
  <c r="MWM3" i="53" a="1"/>
  <c r="C25" i="59" a="1"/>
  <c r="C10" i="31" a="1"/>
  <c r="RLN3" i="53" a="1"/>
  <c r="NDA3" i="53" a="1"/>
  <c r="VYW3" i="53" a="1"/>
  <c r="SJ3" i="53" a="1"/>
  <c r="HQD3" i="53" a="1"/>
  <c r="UTG3" i="53" a="1"/>
  <c r="MFY3" i="53" a="1"/>
  <c r="UXZ3" i="53" a="1"/>
  <c r="RYB3" i="53" a="1"/>
  <c r="VIL3" i="53" a="1"/>
  <c r="C175" i="27" a="1"/>
  <c r="FRO3" i="53" a="1"/>
  <c r="XEP3" i="53" a="1"/>
  <c r="C7" i="40" a="1"/>
  <c r="HMI3" i="53" a="1"/>
  <c r="E212" i="27" a="1"/>
  <c r="EAW3" i="53" a="1"/>
  <c r="QEL3" i="53" a="1"/>
  <c r="EHI3" i="53" a="1"/>
  <c r="C24" i="11" a="1"/>
  <c r="WRK3" i="53" a="1"/>
  <c r="WDP3" i="53" a="1"/>
  <c r="C133" i="27" a="1"/>
  <c r="C100" i="27" a="1"/>
  <c r="UFW3" i="53" a="1"/>
  <c r="WUP3" i="53" a="1"/>
  <c r="EMG3" i="53" a="1"/>
  <c r="LRY3" i="53" a="1"/>
  <c r="E272" i="27" a="1"/>
  <c r="SWX3" i="53" a="1"/>
  <c r="BWP3" i="53" a="1"/>
  <c r="VNQ3" i="53" a="1"/>
  <c r="DHY3" i="53" a="1"/>
  <c r="AWC3" i="53" a="1"/>
  <c r="UNM3" i="53" a="1"/>
  <c r="C41" i="59" a="1"/>
  <c r="CWT3" i="53" a="1"/>
  <c r="VJE3" i="53" a="1"/>
  <c r="FGY3" i="53" a="1"/>
  <c r="AEQ3" i="53" a="1"/>
  <c r="E307" i="27" a="1"/>
  <c r="SYT3" i="53" a="1"/>
  <c r="VJH3" i="53" a="1"/>
  <c r="E251" i="27" a="1"/>
  <c r="GXI3" i="53" a="1"/>
  <c r="RZJ3" i="53" a="1"/>
  <c r="WJC3" i="53" a="1"/>
  <c r="E152" i="27" a="1"/>
  <c r="IIO3" i="53" a="1"/>
  <c r="UML3" i="53" a="1"/>
  <c r="PAR3" i="53" a="1"/>
  <c r="C31" i="27" a="1"/>
  <c r="VMN3" i="53" a="1"/>
  <c r="IKA3" i="53" a="1"/>
  <c r="C147" i="27" a="1"/>
  <c r="QAY3" i="53" a="1"/>
  <c r="CRB3" i="53" a="1"/>
  <c r="AMF3" i="53" a="1"/>
  <c r="DXL3" i="53" a="1"/>
  <c r="KWO3" i="53" a="1"/>
  <c r="C200" i="27" a="1"/>
  <c r="TVE3" i="53" a="1"/>
  <c r="UOO3" i="53" a="1"/>
  <c r="SES3" i="53" a="1"/>
  <c r="DNS3" i="53" a="1"/>
  <c r="HC3" i="53" a="1"/>
  <c r="HL3" i="53" a="1"/>
  <c r="SEX3" i="53" a="1"/>
  <c r="NSG3" i="53" a="1"/>
  <c r="RCP3" i="53" a="1"/>
  <c r="NOM3" i="53" a="1"/>
  <c r="HJU3" i="53" a="1"/>
  <c r="QQT3" i="53" a="1"/>
  <c r="ARV3" i="53" a="1"/>
  <c r="C37" i="11" a="1"/>
  <c r="CEP3" i="53" a="1"/>
  <c r="D3" i="38" a="1"/>
  <c r="E31" i="27" a="1"/>
  <c r="IKZ3" i="53" a="1"/>
  <c r="MKC3" i="53" a="1"/>
  <c r="E122" i="27" a="1"/>
  <c r="F3" i="26" a="1"/>
  <c r="E63" i="27" a="1"/>
  <c r="RKD3" i="53" a="1"/>
  <c r="C223" i="27" a="1"/>
  <c r="MRD3" i="53" a="1"/>
  <c r="CPU3" i="53" a="1"/>
  <c r="E8" i="4" a="1"/>
  <c r="LTW3" i="53" a="1"/>
  <c r="KOE3" i="53" a="1"/>
  <c r="VXX3" i="53" a="1"/>
  <c r="WVO3" i="53" a="1"/>
  <c r="WVN3" i="53" a="1"/>
  <c r="CLD3" i="53" a="1"/>
  <c r="IZG3" i="53" a="1"/>
  <c r="SQX3" i="53" a="1"/>
  <c r="IVX3" i="53" a="1"/>
  <c r="VAR3" i="53" a="1"/>
  <c r="TKR3" i="53" a="1"/>
  <c r="QSW3" i="53" a="1"/>
  <c r="C18" i="31" a="1"/>
  <c r="E399" i="27" a="1"/>
  <c r="HTJ3" i="53" a="1"/>
  <c r="IDJ3" i="53" a="1"/>
  <c r="E96" i="27" a="1"/>
  <c r="PGE3" i="53" a="1"/>
  <c r="FWO3" i="53" a="1"/>
  <c r="MKZ3" i="53" a="1"/>
  <c r="FOU3" i="53" a="1"/>
  <c r="UJC3" i="53" a="1"/>
  <c r="OWP3" i="53" a="1"/>
  <c r="HFD3" i="53" a="1"/>
  <c r="AYK3" i="53" a="1"/>
  <c r="C7" i="27" a="1"/>
  <c r="C18" i="27" a="1"/>
  <c r="I3" i="12" a="1"/>
  <c r="TFH3" i="53" a="1"/>
  <c r="OXO3" i="53" a="1"/>
  <c r="KKN3" i="53" a="1"/>
  <c r="FC3" i="53" a="1"/>
  <c r="SDI3" i="53" a="1"/>
  <c r="QLG3" i="53" a="1"/>
  <c r="JJN3" i="53" a="1"/>
  <c r="RQK3" i="53" a="1"/>
  <c r="TAL3" i="53" a="1"/>
  <c r="EPW3" i="53" a="1"/>
  <c r="RVT3" i="53" a="1"/>
  <c r="C29" i="40" a="1"/>
  <c r="C7" i="37" a="1"/>
  <c r="COV3" i="53" a="1"/>
  <c r="OJG3" i="53" a="1"/>
  <c r="CFS3" i="53" a="1"/>
  <c r="WQN3" i="53" a="1"/>
  <c r="UWA3" i="53" a="1"/>
  <c r="LBL3" i="53" a="1"/>
  <c r="C130" i="27" a="1"/>
  <c r="PCH3" i="53" a="1"/>
  <c r="G53" i="40" a="1"/>
  <c r="OYV3" i="53" a="1"/>
  <c r="RBB3" i="53" a="1"/>
  <c r="IXF3" i="53" a="1"/>
  <c r="RHC3" i="53" a="1"/>
  <c r="JKV3" i="53" a="1"/>
  <c r="JRM3" i="53" a="1"/>
  <c r="PRV3" i="53" a="1"/>
  <c r="ECG3" i="53" a="1"/>
  <c r="GLG3" i="53" a="1"/>
  <c r="TEX3" i="53" a="1"/>
  <c r="OFZ3" i="53" a="1"/>
  <c r="FMJ3" i="53" a="1"/>
  <c r="NLS3" i="53" a="1"/>
  <c r="OPE3" i="53" a="1"/>
  <c r="QVF3" i="53" a="1"/>
  <c r="CSC3" i="53" a="1"/>
  <c r="TBJ3" i="53" a="1"/>
  <c r="RZG3" i="53" a="1"/>
  <c r="LUS3" i="53" a="1"/>
  <c r="RNK3" i="53" a="1"/>
  <c r="MLE3" i="53" a="1"/>
  <c r="CTZ3" i="53" a="1"/>
  <c r="E12" i="40" a="1"/>
  <c r="DBY3" i="53" a="1"/>
  <c r="MR3" i="53" a="1"/>
  <c r="JZT3" i="53" a="1"/>
  <c r="CWF3" i="53" a="1"/>
  <c r="FVC3" i="53" a="1"/>
  <c r="DMJ3" i="53" a="1"/>
  <c r="FOG3" i="53" a="1"/>
  <c r="OEI3" i="53" a="1"/>
  <c r="JQT3" i="53" a="1"/>
  <c r="IXH3" i="53" a="1"/>
  <c r="DAA3" i="53" a="1"/>
  <c r="APL3" i="53" a="1"/>
  <c r="NYY3" i="53" a="1"/>
  <c r="C27" i="4" a="1"/>
  <c r="SWY3" i="53" a="1"/>
  <c r="JRV3" i="53" a="1"/>
  <c r="VGK3" i="53" a="1"/>
  <c r="LQ3" i="53" a="1"/>
  <c r="HNX3" i="53" a="1"/>
  <c r="RBN3" i="53" a="1"/>
  <c r="IUQ3" i="53" a="1"/>
  <c r="GZG3" i="53" a="1"/>
  <c r="KCX3" i="53" a="1"/>
  <c r="WXN3" i="53" a="1"/>
  <c r="AWU3" i="53" a="1"/>
  <c r="ETL3" i="53" a="1"/>
  <c r="WYT3" i="53" a="1"/>
  <c r="VCX3" i="53" a="1"/>
  <c r="DIO3" i="53" a="1"/>
  <c r="SOY3" i="53" a="1"/>
  <c r="TQL3" i="53" a="1"/>
  <c r="MRU3" i="53" a="1"/>
  <c r="AZH3" i="53" a="1"/>
  <c r="SSE3" i="53" a="1"/>
  <c r="QOX3" i="53" a="1"/>
  <c r="ESP3" i="53" a="1"/>
  <c r="OIE3" i="53" a="1"/>
  <c r="EOY3" i="53" a="1"/>
  <c r="STC3" i="53" a="1"/>
  <c r="PPX3" i="53" a="1"/>
  <c r="WDL3" i="53" a="1"/>
  <c r="VGC3" i="53" a="1"/>
  <c r="TDF3" i="53" a="1"/>
  <c r="PME3" i="53" a="1"/>
  <c r="NT3" i="53" a="1"/>
  <c r="VZW3" i="53" a="1"/>
  <c r="LEL3" i="53" a="1"/>
  <c r="WRJ3" i="53" a="1"/>
  <c r="HOE3" i="53" a="1"/>
  <c r="C172" i="27" a="1"/>
  <c r="BPL3" i="53" a="1"/>
  <c r="E16" i="46" a="1"/>
  <c r="QPM3" i="53" a="1"/>
  <c r="LEM3" i="53" a="1"/>
  <c r="RCV3" i="53" a="1"/>
  <c r="C10" i="4" a="1"/>
  <c r="SFY3" i="53" a="1"/>
  <c r="QVE3" i="53" a="1"/>
  <c r="C261" i="27" a="1"/>
  <c r="TBN3" i="53" a="1"/>
  <c r="QEH3" i="53" a="1"/>
  <c r="SVE3" i="53" a="1"/>
  <c r="PKV3" i="53" a="1"/>
  <c r="SKA3" i="53" a="1"/>
  <c r="NGH3" i="53" a="1"/>
  <c r="JZU3" i="53" a="1"/>
  <c r="VOI3" i="53" a="1"/>
  <c r="MTC3" i="53" a="1"/>
  <c r="MHB3" i="53" a="1"/>
  <c r="LRT3" i="53" a="1"/>
  <c r="SOS3" i="53" a="1"/>
  <c r="TSC3" i="53" a="1"/>
  <c r="LJG3" i="53" a="1"/>
  <c r="PEY3" i="53" a="1"/>
  <c r="NAT3" i="53" a="1"/>
  <c r="OY3" i="53" a="1"/>
  <c r="RPM3" i="53" a="1"/>
  <c r="JAZ3" i="53" a="1"/>
  <c r="FQA3" i="53" a="1"/>
  <c r="C14" i="31" a="1"/>
  <c r="FPE3" i="53" a="1"/>
  <c r="NYT3" i="53" a="1"/>
  <c r="AJE3" i="53" a="1"/>
  <c r="LRN3" i="53" a="1"/>
  <c r="C41" i="6" a="1"/>
  <c r="IOL3" i="53" a="1"/>
  <c r="FNI3" i="53" a="1"/>
  <c r="VZO3" i="53" a="1"/>
  <c r="DER3" i="53" a="1"/>
  <c r="TDY3" i="53" a="1"/>
  <c r="WRE3" i="53" a="1"/>
  <c r="WJN3" i="53" a="1"/>
  <c r="NIP3" i="53" a="1"/>
  <c r="WYU3" i="53" a="1"/>
  <c r="TRQ3" i="53" a="1"/>
  <c r="BDD3" i="53" a="1"/>
  <c r="QTL3" i="53" a="1"/>
  <c r="C46" i="40" a="1"/>
  <c r="FHT3" i="53" a="1"/>
  <c r="SNO3" i="53" a="1"/>
  <c r="SGE3" i="53" a="1"/>
  <c r="NJD3" i="53" a="1"/>
  <c r="MCM3" i="53" a="1"/>
  <c r="CTB3" i="53" a="1"/>
  <c r="FDM3" i="53" a="1"/>
  <c r="OVB3" i="53" a="1"/>
  <c r="IOJ3" i="53" a="1"/>
  <c r="IFR3" i="53" a="1"/>
  <c r="GOH3" i="53" a="1"/>
  <c r="SJF3" i="53" a="1"/>
  <c r="JHQ3" i="53" a="1"/>
  <c r="GDE3" i="53" a="1"/>
  <c r="AON3" i="53" a="1"/>
  <c r="HZA3" i="53" a="1"/>
  <c r="C379" i="27" a="1"/>
  <c r="C336" i="27" a="1"/>
  <c r="C132" i="27" a="1"/>
  <c r="WKV3" i="53" a="1"/>
  <c r="RLK3" i="53" a="1"/>
  <c r="CBS3" i="53" a="1"/>
  <c r="RFL3" i="53" a="1"/>
  <c r="E300" i="27" a="1"/>
  <c r="E56" i="40" a="1"/>
  <c r="GJO3" i="53" a="1"/>
  <c r="EYU3" i="53" a="1"/>
  <c r="PNW3" i="53" a="1"/>
  <c r="TRA3" i="53" a="1"/>
  <c r="C276" i="27" a="1"/>
  <c r="C35" i="40" a="1"/>
  <c r="E303" i="27" a="1"/>
  <c r="PCE3" i="53" a="1"/>
  <c r="DBQ3" i="53" a="1"/>
  <c r="C286" i="27" a="1"/>
  <c r="QIO3" i="53" a="1"/>
  <c r="RZE3" i="53" a="1"/>
  <c r="G3" i="53" a="1"/>
  <c r="KVU3" i="53" a="1"/>
  <c r="GOI3" i="53" a="1"/>
  <c r="MLV3" i="53" a="1"/>
  <c r="BTG3" i="53" a="1"/>
  <c r="OXU3" i="53" a="1"/>
  <c r="UUW3" i="53" a="1"/>
  <c r="C237" i="27" a="1"/>
  <c r="GUX3" i="53" a="1"/>
  <c r="GWE3" i="53" a="1"/>
  <c r="MCD3" i="53" a="1"/>
  <c r="SBC3" i="53" a="1"/>
  <c r="BBJ3" i="53" a="1"/>
  <c r="HOI3" i="53" a="1"/>
  <c r="IIE3" i="53" a="1"/>
  <c r="LRC3" i="53" a="1"/>
  <c r="DMQ3" i="53" a="1"/>
  <c r="KXL3" i="53" a="1"/>
  <c r="VMC3" i="53" a="1"/>
  <c r="DZV3" i="53" a="1"/>
  <c r="G34" i="40" a="1"/>
  <c r="OO3" i="53" a="1"/>
  <c r="E245" i="27" a="1"/>
  <c r="G3" i="11" a="1"/>
  <c r="CDV3" i="53" a="1"/>
  <c r="E204" i="27" a="1"/>
  <c r="IUJ3" i="53" a="1"/>
  <c r="HGA3" i="53" a="1"/>
  <c r="PBE3" i="53" a="1"/>
  <c r="EPX3" i="53" a="1"/>
  <c r="JBR3" i="53" a="1"/>
  <c r="FUJ3" i="53" a="1"/>
  <c r="WAG3" i="53" a="1"/>
  <c r="EHJ3" i="53" a="1"/>
  <c r="CGV3" i="53" a="1"/>
  <c r="ILZ3" i="53" a="1"/>
  <c r="NKA3" i="53" a="1"/>
  <c r="TIM3" i="53" a="1"/>
  <c r="EVN3" i="53" a="1"/>
  <c r="C341" i="27" a="1"/>
  <c r="IYC3" i="53" a="1"/>
  <c r="OKA3" i="53" a="1"/>
  <c r="OAO3" i="53" a="1"/>
  <c r="OLB3" i="53" a="1"/>
  <c r="JQL3" i="53" a="1"/>
  <c r="LVT3" i="53" a="1"/>
  <c r="C350" i="27" a="1"/>
  <c r="RQD3" i="53" a="1"/>
  <c r="DRD3" i="53" a="1"/>
  <c r="LZB3" i="53" a="1"/>
  <c r="AKL3" i="53" a="1"/>
  <c r="C362" i="27" a="1"/>
  <c r="SPV3" i="53" a="1"/>
  <c r="E222" i="27" a="1"/>
  <c r="RWJ3" i="53" a="1"/>
  <c r="DML3" i="53" a="1"/>
  <c r="HVB3" i="53" a="1"/>
  <c r="NSA3" i="53" a="1"/>
  <c r="APW3" i="53" a="1"/>
  <c r="JLN3" i="53" a="1"/>
  <c r="WXB3" i="53" a="1"/>
  <c r="KGX3" i="53" a="1"/>
  <c r="MTX3" i="53" a="1"/>
  <c r="CJT3" i="53" a="1"/>
  <c r="MHN3" i="53" a="1"/>
  <c r="ULP3" i="53" a="1"/>
  <c r="AMJ3" i="53" a="1"/>
  <c r="KNI3" i="53" a="1"/>
  <c r="JHL3" i="53" a="1"/>
  <c r="KOZ3" i="53" a="1"/>
  <c r="UX3" i="53" a="1"/>
  <c r="E148" i="27" a="1"/>
  <c r="IYE3" i="53" a="1"/>
  <c r="QNX3" i="53" a="1"/>
  <c r="PPO3" i="53" a="1"/>
  <c r="GBW3" i="53" a="1"/>
  <c r="QNZ3" i="53" a="1"/>
  <c r="GAS3" i="53" a="1"/>
  <c r="RRP3" i="53" a="1"/>
  <c r="CBL3" i="53" a="1"/>
  <c r="ENA3" i="53" a="1"/>
  <c r="G8" i="40" a="1"/>
  <c r="NPZ3" i="53" a="1"/>
  <c r="GVO3" i="53" a="1"/>
  <c r="HMA3" i="53" a="1"/>
  <c r="C10" i="27" a="1"/>
  <c r="PRH3" i="53" a="1"/>
  <c r="DSL3" i="53" a="1"/>
  <c r="WGA3" i="53" a="1"/>
  <c r="E16" i="4" a="1"/>
  <c r="C17" i="27" a="1"/>
  <c r="E259" i="27" a="1"/>
  <c r="C198" i="27" a="1"/>
  <c r="NAC3" i="53" a="1"/>
  <c r="NOU3" i="53" a="1"/>
  <c r="IQY3" i="53" a="1"/>
  <c r="MAF3" i="53" a="1"/>
  <c r="UHI3" i="53" a="1"/>
  <c r="NWU3" i="53" a="1"/>
  <c r="VQA3" i="53" a="1"/>
  <c r="C11" i="4" a="1"/>
  <c r="NFQ3" i="53" a="1"/>
  <c r="CWZ3" i="53" a="1"/>
  <c r="ADN3" i="53" a="1"/>
  <c r="UMG3" i="53" a="1"/>
  <c r="MYW3" i="53" a="1"/>
  <c r="OYW3" i="53" a="1"/>
  <c r="QPV3" i="53" a="1"/>
  <c r="HSE3" i="53" a="1"/>
  <c r="WEF3" i="53" a="1"/>
  <c r="JXW3" i="53" a="1"/>
  <c r="RAU3" i="53" a="1"/>
  <c r="CSL3" i="53" a="1"/>
  <c r="E5" i="46" a="1"/>
  <c r="VMG3" i="53" a="1"/>
  <c r="NIF3" i="53" a="1"/>
  <c r="BQB3" i="53" a="1"/>
  <c r="CZU3" i="53" a="1"/>
  <c r="FDR3" i="53" a="1"/>
  <c r="LGA3" i="53" a="1"/>
  <c r="QDQ3" i="53" a="1"/>
  <c r="FUD3" i="53" a="1"/>
  <c r="C51" i="40" a="1"/>
  <c r="TZM3" i="53" a="1"/>
  <c r="CLI3" i="53" a="1"/>
  <c r="RIK3" i="53" a="1"/>
  <c r="JWX3" i="53" a="1"/>
  <c r="QNI3" i="53" a="1"/>
  <c r="KWA3" i="53" a="1"/>
  <c r="EQB3" i="53" a="1"/>
  <c r="QVY3" i="53" a="1"/>
  <c r="QLU3" i="53" a="1"/>
  <c r="C42" i="40" a="1"/>
  <c r="ESR3" i="53" a="1"/>
  <c r="EDJ3" i="53" a="1"/>
  <c r="JJK3" i="53" a="1"/>
  <c r="C11" i="37" a="1"/>
  <c r="VQU3" i="53" a="1"/>
  <c r="SUB3" i="53" a="1"/>
  <c r="C393" i="27" a="1"/>
  <c r="JJG3" i="53" a="1"/>
  <c r="UET3" i="53" a="1"/>
  <c r="BNS3" i="53" a="1"/>
  <c r="HOK3" i="53" a="1"/>
  <c r="ALG3" i="53" a="1"/>
  <c r="FWC3" i="53" a="1"/>
  <c r="C32" i="2" a="1"/>
  <c r="JTQ3" i="53" a="1"/>
  <c r="CHS3" i="53" a="1"/>
  <c r="MMQ3" i="53" a="1"/>
  <c r="NFM3" i="53" a="1"/>
  <c r="VQS3" i="53" a="1"/>
  <c r="PTI3" i="53" a="1"/>
  <c r="EPO3" i="53" a="1"/>
  <c r="CNB3" i="53" a="1"/>
  <c r="A3" i="28" a="1"/>
  <c r="ENG3" i="53" a="1"/>
  <c r="TAS3" i="53" a="1"/>
  <c r="EYE3" i="53" a="1"/>
  <c r="BVU3" i="53" a="1"/>
  <c r="GFQ3" i="53" a="1"/>
  <c r="UBD3" i="53" a="1"/>
  <c r="BXD3" i="53" a="1"/>
  <c r="HNF3" i="53" a="1"/>
  <c r="RIN3" i="53" a="1"/>
  <c r="E196" i="27" a="1"/>
  <c r="RGF3" i="53" a="1"/>
  <c r="QVP3" i="53" a="1"/>
  <c r="OT3" i="53" a="1"/>
  <c r="EQQ3" i="53" a="1"/>
  <c r="RAW3" i="53" a="1"/>
  <c r="UOY3" i="53" a="1"/>
  <c r="MRE3" i="53" a="1"/>
  <c r="RDI3" i="53" a="1"/>
  <c r="DFM3" i="53" a="1"/>
  <c r="E194" i="27" a="1"/>
  <c r="IOP3" i="53" a="1"/>
  <c r="LNN3" i="53" a="1"/>
  <c r="BGH3" i="53" a="1"/>
  <c r="UIW3" i="53" a="1"/>
  <c r="RLU3" i="53" a="1"/>
  <c r="SPC3" i="53" a="1"/>
  <c r="JYM3" i="53" a="1"/>
  <c r="EEM3" i="53" a="1"/>
  <c r="BTD3" i="53" a="1"/>
  <c r="JGF3" i="53" a="1"/>
  <c r="DPD3" i="53" a="1"/>
  <c r="C44" i="40" a="1"/>
  <c r="DYP3" i="53" a="1"/>
  <c r="BYN3" i="53" a="1"/>
  <c r="C348" i="27" a="1"/>
  <c r="MWG3" i="53" a="1"/>
  <c r="SQU3" i="53" a="1"/>
  <c r="NVQ3" i="53" a="1"/>
  <c r="IXQ3" i="53" a="1"/>
  <c r="BRC3" i="53" a="1"/>
  <c r="TIZ3" i="53" a="1"/>
  <c r="TOP3" i="53" a="1"/>
  <c r="C21" i="6" a="1"/>
  <c r="PRJ3" i="53" a="1"/>
  <c r="MZN3" i="53" a="1"/>
  <c r="DN3" i="53" a="1"/>
  <c r="IDD3" i="53" a="1"/>
  <c r="QKV3" i="53" a="1"/>
  <c r="NUY3" i="53" a="1"/>
  <c r="E336" i="27" a="1"/>
  <c r="OAI3" i="53" a="1"/>
  <c r="RPF3" i="53" a="1"/>
  <c r="ICW3" i="53" a="1"/>
  <c r="CUW3" i="53" a="1"/>
  <c r="EKL3" i="53" a="1"/>
  <c r="KRR3" i="53" a="1"/>
  <c r="CTL3" i="53" a="1"/>
  <c r="EWI3" i="53" a="1"/>
  <c r="NBY3" i="53" a="1"/>
  <c r="GKN3" i="53" a="1"/>
  <c r="TGC3" i="53" a="1"/>
  <c r="UJQ3" i="53" a="1"/>
  <c r="MUP3" i="53" a="1"/>
  <c r="LPG3" i="53" a="1"/>
  <c r="QYR3" i="53" a="1"/>
  <c r="VMB3" i="53" a="1"/>
  <c r="UIL3" i="53" a="1"/>
  <c r="LIL3" i="53" a="1"/>
  <c r="LLJ3" i="53" a="1"/>
  <c r="JLD3" i="53" a="1"/>
  <c r="QDJ3" i="53" a="1"/>
  <c r="RIV3" i="53" a="1"/>
  <c r="TI3" i="53" a="1"/>
  <c r="TNF3" i="53" a="1"/>
  <c r="LXJ3" i="53" a="1"/>
  <c r="E13" i="4" a="1"/>
  <c r="DSO3" i="53" a="1"/>
  <c r="WFE3" i="53" a="1"/>
  <c r="E371" i="27" a="1"/>
  <c r="E189" i="27" a="1"/>
  <c r="XCV3" i="53" a="1"/>
  <c r="DVC3" i="53" a="1"/>
  <c r="C61" i="27" a="1"/>
  <c r="TSN3" i="53" a="1"/>
  <c r="LDX3" i="53" a="1"/>
  <c r="OSU3" i="53" a="1"/>
  <c r="BNZ3" i="53" a="1"/>
  <c r="KGP3" i="53" a="1"/>
  <c r="J3" i="6" a="1"/>
  <c r="WR3" i="53" a="1"/>
  <c r="GIY3" i="53" a="1"/>
  <c r="J3" i="38" a="1"/>
  <c r="FIL3" i="53" a="1"/>
  <c r="C207" i="27" a="1"/>
  <c r="OCJ3" i="53" a="1"/>
  <c r="QOO3" i="53" a="1"/>
  <c r="C129" i="27" a="1"/>
  <c r="SCO3" i="53" a="1"/>
  <c r="SCE3" i="53" a="1"/>
  <c r="C107" i="27" a="1"/>
  <c r="E215" i="27" a="1"/>
  <c r="JTZ3" i="53" a="1"/>
  <c r="PSZ3" i="53" a="1"/>
  <c r="E230" i="27" a="1"/>
  <c r="WVV3" i="53" a="1"/>
  <c r="C41" i="27" a="1"/>
  <c r="COS3" i="53" a="1"/>
  <c r="GVJ3" i="53" a="1"/>
  <c r="KYR3" i="53" a="1"/>
  <c r="SWI3" i="53" a="1"/>
  <c r="TMK3" i="53" a="1"/>
  <c r="ULI3" i="53" a="1"/>
  <c r="VXW3" i="53" a="1"/>
  <c r="GGT3" i="53" a="1"/>
  <c r="MNO3" i="53" a="1"/>
  <c r="VVW3" i="53" a="1"/>
  <c r="WFX3" i="53" a="1"/>
  <c r="G5" i="15" a="1"/>
  <c r="GPX3" i="53" a="1"/>
  <c r="E53" i="40" a="1"/>
  <c r="E229" i="27" a="1"/>
  <c r="C19" i="4" a="1"/>
  <c r="PHH3" i="53" a="1"/>
  <c r="SRX3" i="53" a="1"/>
  <c r="BHL3" i="53" a="1"/>
  <c r="FQ3" i="53" a="1"/>
  <c r="C37" i="2" a="1"/>
  <c r="OEB3" i="53" a="1"/>
  <c r="DMP3" i="53" a="1"/>
  <c r="FDP3" i="53" a="1"/>
  <c r="EAD3" i="53" a="1"/>
  <c r="E78" i="27" a="1"/>
  <c r="NNU3" i="53" a="1"/>
  <c r="PYV3" i="53" a="1"/>
  <c r="C316" i="27" a="1"/>
  <c r="NSF3" i="53" a="1"/>
  <c r="QBH3" i="53" a="1"/>
  <c r="RGN3" i="53" a="1"/>
  <c r="C352" i="27" a="1"/>
  <c r="DQE3" i="53" a="1"/>
  <c r="C42" i="6" a="1"/>
  <c r="CBF3" i="53" a="1"/>
  <c r="KD3" i="53" a="1"/>
  <c r="EBT3" i="53" a="1"/>
  <c r="C158" i="27" a="1"/>
  <c r="F3" i="11" a="1"/>
  <c r="VLO3" i="53" a="1"/>
  <c r="PVX3" i="53" a="1"/>
  <c r="PYH3" i="53" a="1"/>
  <c r="E231" i="27" a="1"/>
  <c r="TJB3" i="53" a="1"/>
  <c r="C120" i="27" a="1"/>
  <c r="HED3" i="53" a="1"/>
  <c r="G28" i="40" a="1"/>
  <c r="AVI3" i="53" a="1"/>
  <c r="RSB3" i="53" a="1"/>
  <c r="GSH3" i="53" a="1"/>
  <c r="JL3" i="53" a="1"/>
  <c r="BGM3" i="53" a="1"/>
  <c r="C27" i="40" a="1"/>
  <c r="DZY3" i="53" a="1"/>
  <c r="PCA3" i="53" a="1"/>
  <c r="BNG3" i="53" a="1"/>
  <c r="UAP3" i="53" a="1"/>
  <c r="UYN3" i="53" a="1"/>
  <c r="NOE3" i="53" a="1"/>
  <c r="IA3" i="53" a="1"/>
  <c r="DFZ3" i="53" a="1"/>
  <c r="RME3" i="53" a="1"/>
  <c r="STS3" i="53" a="1"/>
  <c r="PLA3" i="53" a="1"/>
  <c r="TDU3" i="53" a="1"/>
  <c r="DGG3" i="53" a="1"/>
  <c r="AUA3" i="53" a="1"/>
  <c r="SOP3" i="53" a="1"/>
  <c r="AQV3" i="53" a="1"/>
  <c r="EKF3" i="53" a="1"/>
  <c r="C5" i="12" a="1"/>
  <c r="FFX3" i="53" a="1"/>
  <c r="C396" i="27" a="1"/>
  <c r="OSS3" i="53" a="1"/>
  <c r="RHA3" i="53" a="1"/>
  <c r="POW3" i="53" a="1"/>
  <c r="BFN3" i="53" a="1"/>
  <c r="E15" i="27" a="1"/>
  <c r="HEK3" i="53" a="1"/>
  <c r="NQO3" i="53" a="1"/>
  <c r="OZQ3" i="53" a="1"/>
  <c r="E19" i="40" a="1"/>
  <c r="KCH3" i="53" a="1"/>
  <c r="EJA3" i="53" a="1"/>
  <c r="PVJ3" i="53" a="1"/>
  <c r="RZP3" i="53" a="1"/>
  <c r="EOS3" i="53" a="1"/>
  <c r="PEO3" i="53" a="1"/>
  <c r="C361" i="27" a="1"/>
  <c r="KTL3" i="53" a="1"/>
  <c r="B3" i="7" a="1"/>
  <c r="QCM3" i="53" a="1"/>
  <c r="DWY3" i="53" a="1"/>
  <c r="C283" i="27" a="1"/>
  <c r="E20" i="4" a="1"/>
  <c r="XAJ3" i="53" a="1"/>
  <c r="VIC3" i="53" a="1"/>
  <c r="AHT3" i="53" a="1"/>
  <c r="BCI3" i="53" a="1"/>
  <c r="RKF3" i="53" a="1"/>
  <c r="ORJ3" i="53" a="1"/>
  <c r="BAX3" i="53" a="1"/>
  <c r="NPL3" i="53" a="1"/>
  <c r="EGH3" i="53" a="1"/>
  <c r="E17" i="31" a="1"/>
  <c r="RF3" i="53" a="1"/>
  <c r="CQH3" i="53" a="1"/>
  <c r="CZP3" i="53" a="1"/>
  <c r="HXJ3" i="53" a="1"/>
  <c r="QNQ3" i="53" a="1"/>
  <c r="LLT3" i="53" a="1"/>
  <c r="G35" i="40" a="1"/>
  <c r="C45" i="2" a="1"/>
  <c r="C40" i="4" a="1"/>
  <c r="HOH3" i="53" a="1"/>
  <c r="VVX3" i="53" a="1"/>
  <c r="IOM3" i="53" a="1"/>
  <c r="C68" i="53" a="1"/>
  <c r="TQC3" i="53" a="1"/>
  <c r="HER3" i="53" a="1"/>
  <c r="OKG3" i="53" a="1"/>
  <c r="MRG3" i="53" a="1"/>
  <c r="KXA3" i="53" a="1"/>
  <c r="TXT3" i="53" a="1"/>
  <c r="ACK3" i="53" a="1"/>
  <c r="SPO3" i="53" a="1"/>
  <c r="TLT3" i="53" a="1"/>
  <c r="III3" i="53" a="1"/>
  <c r="HYX3" i="53" a="1"/>
  <c r="WQU3" i="53" a="1"/>
  <c r="EGR3" i="53" a="1"/>
  <c r="WDA3" i="53" a="1"/>
  <c r="ALI3" i="53" a="1"/>
  <c r="CKA3" i="53" a="1"/>
  <c r="C26" i="2" a="1"/>
  <c r="PAT3" i="53" a="1"/>
  <c r="NKU3" i="53" a="1"/>
  <c r="MDP3" i="53" a="1"/>
  <c r="C23" i="31" a="1"/>
  <c r="QU3" i="53" a="1"/>
  <c r="NB3" i="53" a="1"/>
  <c r="VTS3" i="53" a="1"/>
  <c r="GSV3" i="53" a="1"/>
  <c r="WPI3" i="53" a="1"/>
  <c r="FLE3" i="53" a="1"/>
  <c r="HTR3" i="53" a="1"/>
  <c r="SPJ3" i="53" a="1"/>
  <c r="QND3" i="53" a="1"/>
  <c r="C140" i="27" a="1"/>
  <c r="QGP3" i="53" a="1"/>
  <c r="C10" i="6" a="1"/>
  <c r="OJF3" i="53" a="1"/>
  <c r="E269" i="27" a="1"/>
  <c r="CGG3" i="53" a="1"/>
  <c r="VE3" i="53" a="1"/>
  <c r="ILM3" i="53" a="1"/>
  <c r="TTA3" i="53" a="1"/>
  <c r="OLF3" i="53" a="1"/>
  <c r="VV3" i="53" a="1"/>
  <c r="C122" i="27" a="1"/>
  <c r="JYT3" i="53" a="1"/>
  <c r="WUN3" i="53" a="1"/>
  <c r="HRJ3" i="53" a="1"/>
  <c r="KUP3" i="53" a="1"/>
  <c r="HJI3" i="53" a="1"/>
  <c r="TBA3" i="53" a="1"/>
  <c r="PKL3" i="53" a="1"/>
  <c r="BPT3" i="53" a="1"/>
  <c r="YB3" i="53" a="1"/>
  <c r="FZA3" i="53" a="1"/>
  <c r="RQI3" i="53" a="1"/>
  <c r="VSE3" i="53" a="1"/>
  <c r="MXG3" i="53" a="1"/>
  <c r="LP3" i="53" a="1"/>
  <c r="KNA3" i="53" a="1"/>
  <c r="GQH3" i="53" a="1"/>
  <c r="VGX3" i="53" a="1"/>
  <c r="CBA3" i="53" a="1"/>
  <c r="EX3" i="53" a="1"/>
  <c r="WLV3" i="53" a="1"/>
  <c r="KTV3" i="53" a="1"/>
  <c r="SYC3" i="53" a="1"/>
  <c r="MRW3" i="53" a="1"/>
  <c r="BNQ3" i="53" a="1"/>
  <c r="G3" i="57" a="1"/>
  <c r="UFB3" i="53" a="1"/>
  <c r="GQE3" i="53" a="1"/>
  <c r="LAM3" i="53" a="1"/>
  <c r="NAI3" i="53" a="1"/>
  <c r="IJL3" i="53" a="1"/>
  <c r="EGO3" i="53" a="1"/>
  <c r="D3" i="31" a="1"/>
  <c r="POR3" i="53" a="1"/>
  <c r="E225" i="27" a="1"/>
  <c r="C23" i="2" a="1"/>
  <c r="VRJ3" i="53" a="1"/>
  <c r="C3" i="55" a="1"/>
  <c r="VBD3" i="53" a="1"/>
  <c r="JYG3" i="53" a="1"/>
  <c r="IPT3" i="53" a="1"/>
  <c r="FSU3" i="53" a="1"/>
  <c r="WSM3" i="53" a="1"/>
  <c r="TIA3" i="53" a="1"/>
  <c r="KBE3" i="53" a="1"/>
  <c r="EUQ3" i="53" a="1"/>
  <c r="ODL3" i="53" a="1"/>
  <c r="PMT3" i="53" a="1"/>
  <c r="G36" i="40" a="1"/>
  <c r="EIM3" i="53" a="1"/>
  <c r="C54" i="27" a="1"/>
  <c r="FJA3" i="53" a="1"/>
  <c r="PKM3" i="53" a="1"/>
  <c r="WJQ3" i="53" a="1"/>
  <c r="FAW3" i="53" a="1"/>
  <c r="VLZ3" i="53" a="1"/>
  <c r="TEY3" i="53" a="1"/>
  <c r="DAG3" i="53" a="1"/>
  <c r="VGM3" i="53" a="1"/>
  <c r="E325" i="27" a="1"/>
  <c r="FPQ3" i="53" a="1"/>
  <c r="KRU3" i="53" a="1"/>
  <c r="QKD3" i="53" a="1"/>
  <c r="CCZ3" i="53" a="1"/>
  <c r="C8" i="3" a="1"/>
  <c r="FKG3" i="53" a="1"/>
  <c r="SBF3" i="53" a="1"/>
  <c r="QUB3" i="53" a="1"/>
  <c r="C251" i="27" a="1"/>
  <c r="EDG3" i="53" a="1"/>
  <c r="TEO3" i="53" a="1"/>
  <c r="KGF3" i="53" a="1"/>
  <c r="NMP3" i="53" a="1"/>
  <c r="GRR3" i="53" a="1"/>
  <c r="C23" i="11" a="1"/>
  <c r="HXX3" i="53" a="1"/>
  <c r="C5" i="27" a="1"/>
  <c r="HDM3" i="53" a="1"/>
  <c r="GQX3" i="53" a="1"/>
  <c r="E280" i="27" a="1"/>
  <c r="AMO3" i="53" a="1"/>
  <c r="E228" i="27" a="1"/>
  <c r="C88" i="27" a="1"/>
  <c r="UJL3" i="53" a="1"/>
  <c r="IUU3" i="53" a="1"/>
  <c r="VZT3" i="53" a="1"/>
  <c r="JZ3" i="53" a="1"/>
  <c r="TEM3" i="53" a="1"/>
  <c r="KM3" i="53" a="1"/>
  <c r="C180" i="27" a="1"/>
  <c r="E392" i="27" a="1"/>
  <c r="E217" i="27" a="1"/>
  <c r="CJU3" i="53" a="1"/>
  <c r="C34" i="11" a="1"/>
  <c r="IKF3" i="53" a="1"/>
  <c r="LYX3" i="53" a="1"/>
  <c r="E361" i="27" a="1"/>
  <c r="WFS3" i="53" a="1"/>
  <c r="CXD3" i="53" a="1"/>
  <c r="G6" i="40" a="1"/>
  <c r="HEL3" i="53" a="1"/>
  <c r="ACO3" i="53" a="1"/>
  <c r="KKH3" i="53" a="1"/>
  <c r="ITY3" i="53" a="1"/>
  <c r="LAW3" i="53" a="1"/>
  <c r="TAQ3" i="53" a="1"/>
  <c r="GMS3" i="53" a="1"/>
  <c r="GZP3" i="53" a="1"/>
  <c r="DEY3" i="53" a="1"/>
  <c r="FXA3" i="53" a="1"/>
  <c r="AMN3" i="53" a="1"/>
  <c r="SXF3" i="53" a="1"/>
  <c r="WHK3" i="53" a="1"/>
  <c r="HYP3" i="53" a="1"/>
  <c r="AGN3" i="53" a="1"/>
  <c r="EHS3" i="53" a="1"/>
  <c r="EEL3" i="53" a="1"/>
  <c r="DDR3" i="53" a="1"/>
  <c r="DPQ3" i="53" a="1"/>
  <c r="C52" i="53" a="1"/>
  <c r="QT3" i="53" a="1"/>
  <c r="TRE3" i="53" a="1"/>
  <c r="MIA3" i="53" a="1"/>
  <c r="ANQ3" i="53" a="1"/>
  <c r="MWS3" i="53" a="1"/>
  <c r="GW3" i="53" a="1"/>
  <c r="EXE3" i="53" a="1"/>
  <c r="DKU3" i="53" a="1"/>
  <c r="CSX3" i="53" a="1"/>
  <c r="ALP3" i="53" a="1"/>
  <c r="GO3" i="53" a="1"/>
  <c r="RWA3" i="53" a="1"/>
  <c r="GRY3" i="53" a="1"/>
  <c r="JDZ3" i="53" a="1"/>
  <c r="SPN3" i="53" a="1"/>
  <c r="JRD3" i="53" a="1"/>
  <c r="MMS3" i="53" a="1"/>
  <c r="WYK3" i="53" a="1"/>
  <c r="FDU3" i="53" a="1"/>
  <c r="TKF3" i="53" a="1"/>
  <c r="CGW3" i="53" a="1"/>
  <c r="MAN3" i="53" a="1"/>
  <c r="JMR3" i="53" a="1"/>
  <c r="TFI3" i="53" a="1"/>
  <c r="WYG3" i="53" a="1"/>
  <c r="DIS3" i="53" a="1"/>
  <c r="ACM3" i="53" a="1"/>
  <c r="EGB3" i="53" a="1"/>
  <c r="DHO3" i="53" a="1"/>
  <c r="JO3" i="53" a="1"/>
  <c r="TET3" i="53" a="1"/>
  <c r="VFR3" i="53" a="1"/>
  <c r="BED3" i="53" a="1"/>
  <c r="UQH3" i="53" a="1"/>
  <c r="MSK3" i="53" a="1"/>
  <c r="KFG3" i="53" a="1"/>
  <c r="OBB3" i="53" a="1"/>
  <c r="HZP3" i="53" a="1"/>
  <c r="BWC3" i="53" a="1"/>
  <c r="E102" i="27" a="1"/>
  <c r="AET3" i="53" a="1"/>
  <c r="C16" i="37" a="1"/>
  <c r="FZW3" i="53" a="1"/>
  <c r="DCO3" i="53" a="1"/>
  <c r="XDZ3" i="53" a="1"/>
  <c r="NLE3" i="53" a="1"/>
  <c r="VUE3" i="53" a="1"/>
  <c r="ELT3" i="53" a="1"/>
  <c r="JCW3" i="53" a="1"/>
  <c r="HAZ3" i="53" a="1"/>
  <c r="MYE3" i="53" a="1"/>
  <c r="RVI3" i="53" a="1"/>
  <c r="RRS3" i="53" a="1"/>
  <c r="CDC3" i="53" a="1"/>
  <c r="RFN3" i="53" a="1"/>
  <c r="QDM3" i="53" a="1"/>
  <c r="VZB3" i="53" a="1"/>
  <c r="FQB3" i="53" a="1"/>
  <c r="AKZ3" i="53" a="1"/>
  <c r="C233" i="27" a="1"/>
  <c r="LLZ3" i="53" a="1"/>
  <c r="VPP3" i="53" a="1"/>
  <c r="VTP3" i="53" a="1"/>
  <c r="OAM3" i="53" a="1"/>
  <c r="IAW3" i="53" a="1"/>
  <c r="RID3" i="53" a="1"/>
  <c r="WYO3" i="53" a="1"/>
  <c r="HBV3" i="53" a="1"/>
  <c r="RVD3" i="53" a="1"/>
  <c r="KZJ3" i="53" a="1"/>
  <c r="WTP3" i="53" a="1"/>
  <c r="LJF3" i="53" a="1"/>
  <c r="B3" i="37" a="1"/>
  <c r="HSA3" i="53" a="1"/>
  <c r="VKC3" i="53" a="1"/>
  <c r="IGA3" i="53" a="1"/>
  <c r="GPV3" i="53" a="1"/>
  <c r="KHP3" i="53" a="1"/>
  <c r="DHB3" i="53" a="1"/>
  <c r="D3" i="5" a="1"/>
  <c r="EOK3" i="53" a="1"/>
  <c r="C32" i="27" a="1"/>
  <c r="SMC3" i="53" a="1"/>
  <c r="QAT3" i="53" a="1"/>
  <c r="BJX3" i="53" a="1"/>
  <c r="E376" i="27" a="1"/>
  <c r="GSX3" i="53" a="1"/>
  <c r="VSD3" i="53" a="1"/>
  <c r="E67" i="27" a="1"/>
  <c r="ISY3" i="53" a="1"/>
  <c r="QLO3" i="53" a="1"/>
  <c r="C11" i="3" a="1"/>
  <c r="QQX3" i="53" a="1"/>
  <c r="QDT3" i="53" a="1"/>
  <c r="MWJ3" i="53" a="1"/>
  <c r="E192" i="27" a="1"/>
  <c r="E109" i="27" a="1"/>
  <c r="EDD3" i="53" a="1"/>
  <c r="TGG3" i="53" a="1"/>
  <c r="HIR3" i="53" a="1"/>
  <c r="JGC3" i="53" a="1"/>
  <c r="RRM3" i="53" a="1"/>
  <c r="WFB3" i="53" a="1"/>
  <c r="C3" i="4" a="1"/>
  <c r="DTE3" i="53" a="1"/>
  <c r="TCE3" i="53" a="1"/>
  <c r="CED3" i="53" a="1"/>
  <c r="AVW3" i="53" a="1"/>
  <c r="DRT3" i="53" a="1"/>
  <c r="VKS3" i="53" a="1"/>
  <c r="BV3" i="53" a="1"/>
  <c r="JFN3" i="53" a="1"/>
  <c r="KZC3" i="53" a="1"/>
  <c r="E255" i="27" a="1"/>
  <c r="BRK3" i="53" a="1"/>
  <c r="JEK3" i="53" a="1"/>
  <c r="MOS3" i="53" a="1"/>
  <c r="KVX3" i="53" a="1"/>
  <c r="C199" i="27" a="1"/>
  <c r="VWH3" i="53" a="1"/>
  <c r="LLG3" i="53" a="1"/>
  <c r="FEP3" i="53" a="1"/>
  <c r="K3" i="4" a="1"/>
  <c r="RPG3" i="53" a="1"/>
  <c r="WQF3" i="53" a="1"/>
  <c r="C255" i="27" a="1"/>
  <c r="DQY3" i="53" a="1"/>
  <c r="C291" i="27" a="1"/>
  <c r="C60" i="4" a="1"/>
  <c r="VCM3" i="53" a="1"/>
  <c r="ESS3" i="53" a="1"/>
  <c r="E11" i="4" a="1"/>
  <c r="KDT3" i="53" a="1"/>
  <c r="GMX3" i="53" a="1"/>
  <c r="GVS3" i="53" a="1"/>
  <c r="C47" i="4" a="1"/>
  <c r="QWS3" i="53" a="1"/>
  <c r="FYU3" i="53" a="1"/>
  <c r="BBD3" i="53" a="1"/>
  <c r="GXR3" i="53" a="1"/>
  <c r="AAJ3" i="53" a="1"/>
  <c r="LST3" i="53" a="1"/>
  <c r="C249" i="27" a="1"/>
  <c r="JSZ3" i="53" a="1"/>
  <c r="TU3" i="53" a="1"/>
  <c r="E347" i="27" a="1"/>
  <c r="RIS3" i="53" a="1"/>
  <c r="YA3" i="53" a="1"/>
  <c r="BOB3" i="53" a="1"/>
  <c r="MYN3" i="53" a="1"/>
  <c r="FMN3" i="53" a="1"/>
  <c r="PUF3" i="53" a="1"/>
  <c r="C6" i="4" a="1"/>
  <c r="WLA3" i="53" a="1"/>
  <c r="RPX3" i="53" a="1"/>
  <c r="MFL3" i="53" a="1"/>
  <c r="AIR3" i="53" a="1"/>
  <c r="IZW3" i="53" a="1"/>
  <c r="PWU3" i="53" a="1"/>
  <c r="C8" i="6" a="1"/>
  <c r="UCK3" i="53" a="1"/>
  <c r="EGE3" i="53" a="1"/>
  <c r="QJB3" i="53" a="1"/>
  <c r="QKQ3" i="53" a="1"/>
  <c r="EOR3" i="53" a="1"/>
  <c r="E73" i="27" a="1"/>
  <c r="GJT3" i="53" a="1"/>
  <c r="HUX3" i="53" a="1"/>
  <c r="ODA3" i="53" a="1"/>
  <c r="LO3" i="53" a="1"/>
  <c r="TON3" i="53" a="1"/>
  <c r="WOR3" i="53" a="1"/>
  <c r="MUG3" i="53" a="1"/>
  <c r="DSW3" i="53" a="1"/>
  <c r="C59" i="53" a="1"/>
  <c r="C38" i="2" a="1"/>
  <c r="UG3" i="53" a="1"/>
  <c r="UKY3" i="53" a="1"/>
  <c r="VZA3" i="53" a="1"/>
  <c r="EVP3" i="53" a="1"/>
  <c r="MLY3" i="53" a="1"/>
  <c r="BEO3" i="53" a="1"/>
  <c r="C401" i="27" a="1"/>
  <c r="G27" i="40" a="1"/>
  <c r="IDA3" i="53" a="1"/>
  <c r="UBA3" i="53" a="1"/>
  <c r="C12" i="6" a="1"/>
  <c r="TYD3" i="53" a="1"/>
  <c r="UGC3" i="53" a="1"/>
  <c r="E28" i="27" a="1"/>
  <c r="C11" i="2" a="1"/>
  <c r="C21" i="40" a="1"/>
  <c r="LOR3" i="53" a="1"/>
  <c r="AXH3" i="53" a="1"/>
  <c r="C27" i="2" a="1"/>
  <c r="YE3" i="53" a="1"/>
  <c r="IZX3" i="53" a="1"/>
  <c r="RWR3" i="53" a="1"/>
  <c r="IJF3" i="53" a="1"/>
  <c r="SYR3" i="53" a="1"/>
  <c r="DJI3" i="53" a="1"/>
  <c r="RWX3" i="53" a="1"/>
  <c r="F3" i="27" a="1"/>
  <c r="BIX3" i="53" a="1"/>
  <c r="MEJ3" i="53" a="1"/>
  <c r="QGY3" i="53" a="1"/>
  <c r="MAH3" i="53" a="1"/>
  <c r="E378" i="27" a="1"/>
  <c r="SEV3" i="53" a="1"/>
  <c r="CWJ3" i="53" a="1"/>
  <c r="KBA3" i="53" a="1"/>
  <c r="C301" i="27" a="1"/>
  <c r="WVX3" i="53" a="1"/>
  <c r="PAU3" i="53" a="1"/>
  <c r="ST3" i="53" a="1"/>
  <c r="JMD3" i="53" a="1"/>
  <c r="FSK3" i="53" a="1"/>
  <c r="OID3" i="53" a="1"/>
  <c r="XR3" i="53" a="1"/>
  <c r="C141" i="27" a="1"/>
  <c r="APX3" i="53" a="1"/>
  <c r="NXD3" i="53" a="1"/>
  <c r="JRB3" i="53" a="1"/>
  <c r="JJS3" i="53" a="1"/>
  <c r="TQW3" i="53" a="1"/>
  <c r="CUG3" i="53" a="1"/>
  <c r="E42" i="27" a="1"/>
  <c r="WFL3" i="53" a="1"/>
  <c r="HZC3" i="53" a="1"/>
  <c r="C397" i="27" a="1"/>
  <c r="DTT3" i="53" a="1"/>
  <c r="PCP3" i="53" a="1"/>
  <c r="TOG3" i="53" a="1"/>
  <c r="QZQ3" i="53" a="1"/>
  <c r="AIF3" i="53" a="1"/>
  <c r="NEM3" i="53" a="1"/>
  <c r="BOO3" i="53" a="1"/>
  <c r="RYP3" i="53" a="1"/>
  <c r="VKJ3" i="53" a="1"/>
  <c r="BSZ3" i="53" a="1"/>
  <c r="AWL3" i="53" a="1"/>
  <c r="OTL3" i="53" a="1"/>
  <c r="UPW3" i="53" a="1"/>
  <c r="QQQ3" i="53" a="1"/>
  <c r="VPS3" i="53" a="1"/>
  <c r="VVB3" i="53" a="1"/>
  <c r="FCS3" i="53" a="1"/>
  <c r="FKO3" i="53" a="1"/>
  <c r="UBZ3" i="53" a="1"/>
  <c r="PHA3" i="53" a="1"/>
  <c r="GDL3" i="53" a="1"/>
  <c r="IXJ3" i="53" a="1"/>
  <c r="PLE3" i="53" a="1"/>
  <c r="KBF3" i="53" a="1"/>
  <c r="VAJ3" i="53" a="1"/>
  <c r="E57" i="40" a="1"/>
  <c r="NRB3" i="53" a="1"/>
  <c r="JMN3" i="53" a="1"/>
  <c r="FYC3" i="53" a="1"/>
  <c r="EAM3" i="53" a="1"/>
  <c r="NYK3" i="53" a="1"/>
  <c r="NBB3" i="53" a="1"/>
  <c r="XG3" i="53" a="1"/>
  <c r="EPN3" i="53" a="1"/>
  <c r="UNG3" i="53" a="1"/>
  <c r="NUK3" i="53" a="1"/>
  <c r="ADI3" i="53" a="1"/>
  <c r="UJN3" i="53" a="1"/>
  <c r="ITV3" i="53" a="1"/>
  <c r="LBT3" i="53" a="1"/>
  <c r="GWM3" i="53" a="1"/>
  <c r="NH3" i="53" a="1"/>
  <c r="DZR3" i="53" a="1"/>
  <c r="KDB3" i="53" a="1"/>
  <c r="GPP3" i="53" a="1"/>
  <c r="JRE3" i="53" a="1"/>
  <c r="BWK3" i="53" a="1"/>
  <c r="FMZ3" i="53" a="1"/>
  <c r="GUO3" i="53" a="1"/>
  <c r="IRI3" i="53" a="1"/>
  <c r="SSF3" i="53" a="1"/>
  <c r="ELB3" i="53" a="1"/>
  <c r="RPD3" i="53" a="1"/>
  <c r="KUA3" i="53" a="1"/>
  <c r="IJR3" i="53" a="1"/>
  <c r="C37" i="59" a="1"/>
  <c r="UQX3" i="53" a="1"/>
  <c r="QAG3" i="53" a="1"/>
  <c r="KO3" i="53" a="1"/>
  <c r="PL3" i="53" a="1"/>
  <c r="DBO3" i="53" a="1"/>
  <c r="E155" i="27" a="1"/>
  <c r="IUK3" i="53" a="1"/>
  <c r="EPP3" i="53" a="1"/>
  <c r="UDK3" i="53" a="1"/>
  <c r="RUX3" i="53" a="1"/>
  <c r="E113" i="27" a="1"/>
  <c r="GUN3" i="53" a="1"/>
  <c r="OCS3" i="53" a="1"/>
  <c r="TIW3" i="53" a="1"/>
  <c r="FLZ3" i="53" a="1"/>
  <c r="DRY3" i="53" a="1"/>
  <c r="E191" i="27" a="1"/>
  <c r="SDO3" i="53" a="1"/>
  <c r="SVP3" i="53" a="1"/>
  <c r="E37" i="4" a="1"/>
  <c r="DFH3" i="53" a="1"/>
  <c r="CCP3" i="53" a="1"/>
  <c r="RWB3" i="53" a="1"/>
  <c r="LVA3" i="53" a="1"/>
  <c r="JMQ3" i="53" a="1"/>
  <c r="C346" i="27" a="1"/>
  <c r="SRA3" i="53" a="1"/>
  <c r="VZR3" i="53" a="1"/>
  <c r="BSG3" i="53" a="1"/>
  <c r="E411" i="27" a="1"/>
  <c r="OWR3" i="53" a="1"/>
  <c r="FYG3" i="53" a="1"/>
  <c r="XDV3" i="53" a="1"/>
  <c r="HTA3" i="53" a="1"/>
  <c r="E397" i="27" a="1"/>
  <c r="PQH3" i="53" a="1"/>
  <c r="ONW3" i="53" a="1"/>
  <c r="C178" i="27" a="1"/>
  <c r="KYH3" i="53" a="1"/>
  <c r="CPZ3" i="53" a="1"/>
  <c r="IJQ3" i="53" a="1"/>
  <c r="PDC3" i="53" a="1"/>
  <c r="DQH3" i="53" a="1"/>
  <c r="E391" i="27" a="1"/>
  <c r="RZM3" i="53" a="1"/>
  <c r="TAM3" i="53" a="1"/>
  <c r="BOK3" i="53" a="1"/>
  <c r="SJD3" i="53" a="1"/>
  <c r="MYF3" i="53" a="1"/>
  <c r="C238" i="27" a="1"/>
  <c r="HUK3" i="53" a="1"/>
  <c r="KOU3" i="53" a="1"/>
  <c r="NKF3" i="53" a="1"/>
  <c r="E249" i="27" a="1"/>
  <c r="KIR3" i="53" a="1"/>
  <c r="KSD3" i="53" a="1"/>
  <c r="GWV3" i="53" a="1"/>
  <c r="EZE3" i="53" a="1"/>
  <c r="PNV3" i="53" a="1"/>
  <c r="CDT3" i="53" a="1"/>
  <c r="MWH3" i="53" a="1"/>
  <c r="RVO3" i="53" a="1"/>
  <c r="CWB3" i="53" a="1"/>
  <c r="ADW3" i="53" a="1"/>
  <c r="OKP3" i="53" a="1"/>
  <c r="BVP3" i="53" a="1"/>
  <c r="PCM3" i="53" a="1"/>
  <c r="UXU3" i="53" a="1"/>
  <c r="QLV3" i="53" a="1"/>
  <c r="WYA3" i="53" a="1"/>
  <c r="SGZ3" i="53" a="1"/>
  <c r="JXD3" i="53" a="1"/>
  <c r="C93" i="27" a="1"/>
  <c r="PV3" i="53" a="1"/>
  <c r="CRN3" i="53" a="1"/>
  <c r="AXI3" i="53" a="1"/>
  <c r="KTY3" i="53" a="1"/>
  <c r="FCJ3" i="53" a="1"/>
  <c r="RXH3" i="53" a="1"/>
  <c r="C40" i="27" a="1"/>
  <c r="OSF3" i="53" a="1"/>
  <c r="RDF3" i="53" a="1"/>
  <c r="N3" i="4" a="1"/>
  <c r="E343" i="27" a="1"/>
  <c r="MHQ3" i="53" a="1"/>
  <c r="C142" i="27" a="1"/>
  <c r="JVA3" i="53" a="1"/>
  <c r="KAW3" i="53" a="1"/>
  <c r="UPA3" i="53" a="1"/>
  <c r="C6" i="11" a="1"/>
  <c r="C44" i="27" a="1"/>
  <c r="MYI3" i="53" a="1"/>
  <c r="E22" i="27" a="1"/>
  <c r="FKM3" i="53" a="1"/>
  <c r="C369" i="27" a="1"/>
  <c r="FIS3" i="53" a="1"/>
  <c r="JNN3" i="53" a="1"/>
  <c r="LSA3" i="53" a="1"/>
  <c r="AIN3" i="53" a="1"/>
  <c r="KRD3" i="53" a="1"/>
  <c r="GOV3" i="53" a="1"/>
  <c r="GY3" i="53" a="1"/>
  <c r="ALO3" i="53" a="1"/>
  <c r="C127" i="27" a="1"/>
  <c r="F3" i="49" a="1"/>
  <c r="E165" i="27" a="1"/>
  <c r="E296" i="27" a="1"/>
  <c r="E138" i="27" a="1"/>
  <c r="ESF3" i="53" a="1"/>
  <c r="KAH3" i="53" a="1"/>
  <c r="GMC3" i="53" a="1"/>
  <c r="E103" i="27" a="1"/>
  <c r="CQE3" i="53" a="1"/>
  <c r="TVZ3" i="53" a="1"/>
  <c r="WWV3" i="53" a="1"/>
  <c r="E115" i="27" a="1"/>
  <c r="D3" i="55" a="1"/>
  <c r="C139" i="27" a="1"/>
  <c r="C217" i="27" a="1"/>
  <c r="SON3" i="53" a="1"/>
  <c r="MLM3" i="53" a="1"/>
  <c r="C36" i="11" a="1"/>
  <c r="C86" i="27" a="1"/>
  <c r="MJM3" i="53" a="1"/>
  <c r="PVT3" i="53" a="1"/>
  <c r="IGF3" i="53" a="1"/>
  <c r="PTK3" i="53" a="1"/>
  <c r="IDE3" i="53" a="1"/>
  <c r="JLK3" i="53" a="1"/>
  <c r="VS3" i="53" a="1"/>
  <c r="TEE3" i="53" a="1"/>
  <c r="UBV3" i="53" a="1"/>
  <c r="OKC3" i="53" a="1"/>
  <c r="BLS3" i="53" a="1"/>
  <c r="PNQ3" i="53" a="1"/>
  <c r="APV3" i="53" a="1"/>
  <c r="BBK3" i="53" a="1"/>
  <c r="IDY3" i="53" a="1"/>
  <c r="UHP3" i="53" a="1"/>
  <c r="TIF3" i="53" a="1"/>
  <c r="C5" i="62" a="1"/>
  <c r="C43" i="40" a="1"/>
  <c r="CMB3" i="53" a="1"/>
  <c r="VOP3" i="53" a="1"/>
  <c r="QWV3" i="53" a="1"/>
  <c r="BPN3" i="53" a="1"/>
  <c r="PMN3" i="53" a="1"/>
  <c r="FFF3" i="53" a="1"/>
  <c r="OPG3" i="53" a="1"/>
  <c r="AIS3" i="53" a="1"/>
  <c r="ALD3" i="53" a="1"/>
  <c r="QOF3" i="53" a="1"/>
  <c r="VCY3" i="53" a="1"/>
  <c r="DOM3" i="53" a="1"/>
  <c r="QQS3" i="53" a="1"/>
  <c r="WKD3" i="53" a="1"/>
  <c r="PWX3" i="53" a="1"/>
  <c r="BGF3" i="53" a="1"/>
  <c r="FBT3" i="53" a="1"/>
  <c r="UJS3" i="53" a="1"/>
  <c r="HXV3" i="53" a="1"/>
  <c r="MF3" i="53" a="1"/>
  <c r="JWH3" i="53" a="1"/>
  <c r="TSQ3" i="53" a="1"/>
  <c r="NJG3" i="53" a="1"/>
  <c r="E23" i="4" a="1"/>
  <c r="VRB3" i="53" a="1"/>
  <c r="OYQ3" i="53" a="1"/>
  <c r="TVS3" i="53" a="1"/>
  <c r="PDL3" i="53" a="1"/>
  <c r="DGB3" i="53" a="1"/>
  <c r="QET3" i="53" a="1"/>
  <c r="ATY3" i="53" a="1"/>
  <c r="UL3" i="53" a="1"/>
  <c r="MFN3" i="53" a="1"/>
  <c r="VFC3" i="53" a="1"/>
  <c r="CYG3" i="53" a="1"/>
  <c r="IGX3" i="53" a="1"/>
  <c r="ENZ3" i="53" a="1"/>
  <c r="FKJ3" i="53" a="1"/>
  <c r="VXE3" i="53" a="1"/>
  <c r="CSP3" i="53" a="1"/>
  <c r="RZI3" i="53" a="1"/>
  <c r="TLK3" i="53" a="1"/>
  <c r="LMS3" i="53" a="1"/>
  <c r="WFY3" i="53" a="1"/>
  <c r="SFC3" i="53" a="1"/>
  <c r="PBH3" i="53" a="1"/>
  <c r="CX3" i="53" a="1"/>
  <c r="UZM3" i="53" a="1"/>
  <c r="JES3" i="53" a="1"/>
  <c r="BIG3" i="53" a="1"/>
  <c r="AGA3" i="53" a="1"/>
  <c r="JEB3" i="53" a="1"/>
  <c r="WCM3" i="53" a="1"/>
  <c r="BI3" i="53" a="1"/>
  <c r="BDC3" i="53" a="1"/>
  <c r="JXP3" i="53" a="1"/>
  <c r="C38" i="6" a="1"/>
  <c r="QPC3" i="53" a="1"/>
  <c r="MRB3" i="53" a="1"/>
  <c r="AQI3" i="53" a="1"/>
  <c r="NUW3" i="53" a="1"/>
  <c r="BBH3" i="53" a="1"/>
  <c r="ZX3" i="53" a="1"/>
  <c r="C27" i="59" a="1"/>
  <c r="DCW3" i="53" a="1"/>
  <c r="WLM3" i="53" a="1"/>
  <c r="TZB3" i="53" a="1"/>
  <c r="EXD3" i="53" a="1"/>
  <c r="LJX3" i="53" a="1"/>
  <c r="GYH3" i="53" a="1"/>
  <c r="NJN3" i="53" a="1"/>
  <c r="GGL3" i="53" a="1"/>
  <c r="WVT3" i="53" a="1"/>
  <c r="C82" i="27" a="1"/>
  <c r="VLX3" i="53" a="1"/>
  <c r="BID3" i="53" a="1"/>
  <c r="LF3" i="53" a="1"/>
  <c r="QNC3" i="53" a="1"/>
  <c r="DWI3" i="53" a="1"/>
  <c r="HQH3" i="53" a="1"/>
  <c r="UQR3" i="53" a="1"/>
  <c r="EVT3" i="53" a="1"/>
  <c r="JFE3" i="53" a="1"/>
  <c r="H3" i="27" a="1"/>
  <c r="DFX3" i="53" a="1"/>
  <c r="E75" i="27" a="1"/>
  <c r="HTF3" i="53" a="1"/>
  <c r="ITG3" i="53" a="1"/>
  <c r="MEX3" i="53" a="1"/>
  <c r="QIC3" i="53" a="1"/>
  <c r="SML3" i="53" a="1"/>
  <c r="WZH3" i="53" a="1"/>
  <c r="CFM3" i="53" a="1"/>
  <c r="FPF3" i="53" a="1"/>
  <c r="C410" i="27" a="1"/>
  <c r="IYD3" i="53" a="1"/>
  <c r="RGB3" i="53" a="1"/>
  <c r="QUG3" i="53" a="1"/>
  <c r="CST3" i="53" a="1"/>
  <c r="EVJ3" i="53" a="1"/>
  <c r="E234" i="27" a="1"/>
  <c r="JCN3" i="53" a="1"/>
  <c r="GYA3" i="53" a="1"/>
  <c r="FKD3" i="53" a="1"/>
  <c r="E171" i="27" a="1"/>
  <c r="QXU3" i="53" a="1"/>
  <c r="GX3" i="53" a="1"/>
  <c r="RDM3" i="53" a="1"/>
  <c r="UXM3" i="53" a="1"/>
  <c r="IRU3" i="53" a="1"/>
  <c r="IOV3" i="53" a="1"/>
  <c r="NCR3" i="53" a="1"/>
  <c r="E8" i="27" a="1"/>
  <c r="EME3" i="53" a="1"/>
  <c r="LZX3" i="53" a="1"/>
  <c r="CJL3" i="53" a="1"/>
  <c r="VR3" i="53" a="1"/>
  <c r="IED3" i="53" a="1"/>
  <c r="D3" i="49" a="1"/>
  <c r="OMJ3" i="53" a="1"/>
  <c r="E29" i="4" a="1"/>
  <c r="RQY3" i="53" a="1"/>
  <c r="CWQ3" i="53" a="1"/>
  <c r="WBK3" i="53" a="1"/>
  <c r="IJC3" i="53" a="1"/>
  <c r="HSG3" i="53" a="1"/>
  <c r="C49" i="27" a="1"/>
  <c r="E239" i="27" a="1"/>
  <c r="VO3" i="53" a="1"/>
  <c r="RLL3" i="53" a="1"/>
  <c r="GCG3" i="53" a="1"/>
  <c r="AJD3" i="53" a="1"/>
  <c r="UWV3" i="53" a="1"/>
  <c r="C270" i="27" a="1"/>
  <c r="PUH3" i="53" a="1"/>
  <c r="QTM3" i="53" a="1"/>
  <c r="HUQ3" i="53" a="1"/>
  <c r="SFN3" i="53" a="1"/>
  <c r="E119" i="27" a="1"/>
  <c r="ATW3" i="53" a="1"/>
  <c r="IGK3" i="53" a="1"/>
  <c r="E27" i="27" a="1"/>
  <c r="RBC3" i="53" a="1"/>
  <c r="CWE3" i="53" a="1"/>
  <c r="MIS3" i="53" a="1"/>
  <c r="TCC3" i="53" a="1"/>
  <c r="EEX3" i="53" a="1"/>
  <c r="ONA3" i="53" a="1"/>
  <c r="C157" i="27" a="1"/>
  <c r="KKM3" i="53" a="1"/>
  <c r="LUZ3" i="53" a="1"/>
  <c r="UMH3" i="53" a="1"/>
  <c r="WRZ3" i="53" a="1"/>
  <c r="IRD3" i="53" a="1"/>
  <c r="KSV3" i="53" a="1"/>
  <c r="LCS3" i="53" a="1"/>
  <c r="E373" i="27" a="1"/>
  <c r="AQJ3" i="53" a="1"/>
  <c r="CQV3" i="53" a="1"/>
  <c r="FLY3" i="53" a="1"/>
  <c r="JUS3" i="53" a="1"/>
  <c r="C314" i="27" a="1"/>
  <c r="JCZ3" i="53" a="1"/>
  <c r="MBJ3" i="53" a="1"/>
  <c r="ODK3" i="53" a="1"/>
  <c r="URR3" i="53" a="1"/>
  <c r="AQM3" i="53" a="1"/>
  <c r="JWL3" i="53" a="1"/>
  <c r="E85" i="27" a="1"/>
  <c r="VDD3" i="53" a="1"/>
  <c r="E39" i="27" a="1"/>
  <c r="PZR3" i="53" a="1"/>
  <c r="MED3" i="53" a="1"/>
  <c r="NHF3" i="53" a="1"/>
  <c r="MRJ3" i="53" a="1"/>
  <c r="E293" i="27" a="1"/>
  <c r="CVP3" i="53" a="1"/>
  <c r="JNQ3" i="53" a="1"/>
  <c r="GYL3" i="53" a="1"/>
  <c r="SQD3" i="53" a="1"/>
  <c r="UBH3" i="53" a="1"/>
  <c r="AOG3" i="53" a="1"/>
  <c r="BPS3" i="53" a="1"/>
  <c r="HUN3" i="53" a="1"/>
  <c r="FNF3" i="53" a="1"/>
  <c r="WYJ3" i="53" a="1"/>
  <c r="C16" i="27" a="1"/>
  <c r="C366" i="27" a="1"/>
  <c r="G30" i="40" a="1"/>
  <c r="QEM3" i="53" a="1"/>
  <c r="IDB3" i="53" a="1"/>
  <c r="C342" i="27" a="1"/>
  <c r="RW3" i="53" a="1"/>
  <c r="SBG3" i="53" a="1"/>
  <c r="E316" i="27" a="1"/>
  <c r="QIH3" i="53" a="1"/>
  <c r="JAH3" i="53" a="1"/>
  <c r="BYD3" i="53" a="1"/>
  <c r="E97" i="27" a="1"/>
  <c r="MS3" i="53" a="1"/>
  <c r="DTF3" i="53" a="1"/>
  <c r="FMH3" i="53" a="1"/>
  <c r="C216" i="27" a="1"/>
  <c r="UPB3" i="53" a="1"/>
  <c r="MDO3" i="53" a="1"/>
  <c r="SFZ3" i="53" a="1"/>
  <c r="DEP3" i="53" a="1"/>
  <c r="ISM3" i="53" a="1"/>
  <c r="C24" i="40" a="1"/>
  <c r="E51" i="4" a="1"/>
  <c r="D3" i="50" a="1"/>
  <c r="C354" i="27" a="1"/>
  <c r="C358" i="27" a="1"/>
  <c r="JOJ3" i="53" a="1"/>
  <c r="E327" i="27" a="1"/>
  <c r="OHU3" i="53" a="1"/>
  <c r="IQ3" i="53" a="1"/>
  <c r="GUT3" i="53" a="1"/>
  <c r="G43" i="40" a="1"/>
  <c r="EIC3" i="53" a="1"/>
  <c r="PVN3" i="53" a="1"/>
  <c r="E323" i="27" a="1"/>
  <c r="VDW3" i="53" a="1"/>
  <c r="SZG3" i="53" a="1"/>
  <c r="FBY3" i="53" a="1"/>
  <c r="RXC3" i="53" a="1"/>
  <c r="CGA3" i="53" a="1"/>
  <c r="JXH3" i="53" a="1"/>
  <c r="PTD3" i="53" a="1"/>
  <c r="AUJ3" i="53" a="1"/>
  <c r="UGO3" i="53" a="1"/>
  <c r="QFH3" i="53" a="1"/>
  <c r="E54" i="4" a="1"/>
  <c r="TAW3" i="53" a="1"/>
  <c r="ARG3" i="53" a="1"/>
  <c r="WIX3" i="53" a="1"/>
  <c r="AVJ3" i="53" a="1"/>
  <c r="FZK3" i="53" a="1"/>
  <c r="XDB3" i="53" a="1"/>
  <c r="FER3" i="53" a="1"/>
  <c r="HQN3" i="53" a="1"/>
  <c r="JEL3" i="53" a="1"/>
  <c r="HYD3" i="53" a="1"/>
  <c r="RYJ3" i="53" a="1"/>
  <c r="KEX3" i="53" a="1"/>
  <c r="CMI3" i="53" a="1"/>
  <c r="GYW3" i="53" a="1"/>
  <c r="KHR3" i="53" a="1"/>
  <c r="FON3" i="53" a="1"/>
  <c r="MAB3" i="53" a="1"/>
  <c r="TVR3" i="53" a="1"/>
  <c r="MTQ3" i="53" a="1"/>
  <c r="STX3" i="53" a="1"/>
  <c r="PCW3" i="53" a="1"/>
  <c r="OKS3" i="53" a="1"/>
  <c r="NSZ3" i="53" a="1"/>
  <c r="WC3" i="53" a="1"/>
  <c r="AZE3" i="53" a="1"/>
  <c r="LAV3" i="53" a="1"/>
  <c r="EHQ3" i="53" a="1"/>
  <c r="TMS3" i="53" a="1"/>
  <c r="WEV3" i="53" a="1"/>
  <c r="PI3" i="53" a="1"/>
  <c r="LXZ3" i="53" a="1"/>
  <c r="OAE3" i="53" a="1"/>
  <c r="OET3" i="53" a="1"/>
  <c r="PPS3" i="53" a="1"/>
  <c r="C51" i="27" a="1"/>
  <c r="GEG3" i="53" a="1"/>
  <c r="SLF3" i="53" a="1"/>
  <c r="AZM3" i="53" a="1"/>
  <c r="WFR3" i="53" a="1"/>
  <c r="MBU3" i="53" a="1"/>
  <c r="KS3" i="53" a="1"/>
  <c r="IG3" i="53" a="1"/>
  <c r="AYG3" i="53" a="1"/>
  <c r="SDN3" i="53" a="1"/>
  <c r="NVE3" i="53" a="1"/>
  <c r="C382" i="27" a="1"/>
  <c r="MDW3" i="53" a="1"/>
  <c r="E37" i="40" a="1"/>
  <c r="UII3" i="53" a="1"/>
  <c r="KWF3" i="53" a="1"/>
  <c r="TLB3" i="53" a="1"/>
  <c r="NNH3" i="53" a="1"/>
  <c r="PAV3" i="53" a="1"/>
  <c r="JZD3" i="53" a="1"/>
  <c r="CBR3" i="53" a="1"/>
  <c r="NMK3" i="53" a="1"/>
  <c r="AQZ3" i="53" a="1"/>
  <c r="ALX3" i="53" a="1"/>
  <c r="GH3" i="53" a="1"/>
  <c r="DTV3" i="53" a="1"/>
  <c r="E202" i="27" a="1"/>
  <c r="C304" i="27" a="1"/>
  <c r="NUN3" i="53" a="1"/>
  <c r="WMN3" i="53" a="1"/>
  <c r="VKG3" i="53" a="1"/>
  <c r="E9" i="27" a="1"/>
  <c r="FKW3" i="53" a="1"/>
  <c r="JEF3" i="53" a="1"/>
  <c r="E334" i="27" a="1"/>
  <c r="QKU3" i="53" a="1"/>
  <c r="WPX3" i="53" a="1"/>
  <c r="IGI3" i="53" a="1"/>
  <c r="VTU3" i="53" a="1"/>
  <c r="EHG3" i="53" a="1"/>
  <c r="QGX3" i="53" a="1"/>
  <c r="G11" i="40" a="1"/>
  <c r="RDO3" i="53" a="1"/>
  <c r="QPF3" i="53" a="1"/>
  <c r="CSH3" i="53" a="1"/>
  <c r="SCC3" i="53" a="1"/>
  <c r="KMU3" i="53" a="1"/>
  <c r="VCV3" i="53" a="1"/>
  <c r="NIY3" i="53" a="1"/>
  <c r="LAD3" i="53" a="1"/>
  <c r="GHR3" i="53" a="1"/>
  <c r="C3" i="53" a="1"/>
  <c r="SYM3" i="53" a="1"/>
  <c r="EQO3" i="53" a="1"/>
  <c r="C347" i="27" a="1"/>
  <c r="C309" i="27" a="1"/>
  <c r="E359" i="27" a="1"/>
  <c r="NWG3" i="53" a="1"/>
  <c r="NXZ3" i="53" a="1"/>
  <c r="KXN3" i="53" a="1"/>
  <c r="E17" i="40" a="1"/>
  <c r="E139" i="27" a="1"/>
  <c r="BRT3" i="53" a="1"/>
  <c r="TSY3" i="53" a="1"/>
  <c r="LCA3" i="53" a="1"/>
  <c r="ERS3" i="53" a="1"/>
  <c r="DGX3" i="53" a="1"/>
  <c r="JXJ3" i="53" a="1"/>
  <c r="DEU3" i="53" a="1"/>
  <c r="E45" i="40" a="1"/>
  <c r="OUS3" i="53" a="1"/>
  <c r="SEN3" i="53" a="1"/>
  <c r="CGI3" i="53" a="1"/>
  <c r="MSM3" i="53" a="1"/>
  <c r="C108" i="27" a="1"/>
  <c r="RGI3" i="53" a="1"/>
  <c r="CHO3" i="53" a="1"/>
  <c r="ALV3" i="53" a="1"/>
  <c r="E178" i="27" a="1"/>
  <c r="MCF3" i="53" a="1"/>
  <c r="MUI3" i="53" a="1"/>
  <c r="LR3" i="53" a="1"/>
  <c r="MLS3" i="53" a="1"/>
  <c r="ABO3" i="53" a="1"/>
  <c r="NU3" i="53" a="1"/>
  <c r="GFN3" i="53" a="1"/>
  <c r="LNK3" i="53" a="1"/>
  <c r="PJT3" i="53" a="1"/>
  <c r="LMG3" i="53" a="1"/>
  <c r="PYP3" i="53" a="1"/>
  <c r="EFR3" i="53" a="1"/>
  <c r="HRZ3" i="53" a="1"/>
  <c r="ANT3" i="53" a="1"/>
  <c r="USY3" i="53" a="1"/>
  <c r="VTL3" i="53" a="1"/>
  <c r="E3" i="60" a="1"/>
  <c r="RNT3" i="53" a="1"/>
  <c r="LNG3" i="53" a="1"/>
  <c r="LDE3" i="53" a="1"/>
  <c r="SCG3" i="53" a="1"/>
  <c r="DUD3" i="53" a="1"/>
  <c r="IBF3" i="53" a="1"/>
  <c r="KNF3" i="53" a="1"/>
  <c r="JCI3" i="53" a="1"/>
  <c r="JQC3" i="53" a="1"/>
  <c r="VXB3" i="53" a="1"/>
  <c r="E278" i="27" a="1"/>
  <c r="TQU3" i="53" a="1"/>
  <c r="C31" i="6" a="1"/>
  <c r="FHI3" i="53" a="1"/>
  <c r="E241" i="27" a="1"/>
  <c r="KYL3" i="53" a="1"/>
  <c r="SHS3" i="53" a="1"/>
  <c r="TOD3" i="53" a="1"/>
  <c r="KYY3" i="53" a="1"/>
  <c r="SIH3" i="53" a="1"/>
  <c r="E408" i="27" a="1"/>
  <c r="SWM3" i="53" a="1"/>
  <c r="IZT3" i="53" a="1"/>
  <c r="GMK3" i="53" a="1"/>
  <c r="MFS3" i="53" a="1"/>
  <c r="BPV3" i="53" a="1"/>
  <c r="ISB3" i="53" a="1"/>
  <c r="BDJ3" i="53" a="1"/>
  <c r="DMA3" i="53" a="1"/>
  <c r="AVA3" i="53" a="1"/>
  <c r="GT3" i="53" a="1"/>
  <c r="LJA3" i="53" a="1"/>
  <c r="SBN3" i="53" a="1"/>
  <c r="NHG3" i="53" a="1"/>
  <c r="C196" i="27" a="1"/>
  <c r="NTN3" i="53" a="1"/>
  <c r="E19" i="4" a="1"/>
  <c r="IKN3" i="53" a="1"/>
  <c r="C329" i="27" a="1"/>
  <c r="UVV3" i="53" a="1"/>
  <c r="GWS3" i="53" a="1"/>
  <c r="JYA3" i="53" a="1"/>
  <c r="HRP3" i="53" a="1"/>
  <c r="BAT3" i="53" a="1"/>
  <c r="NCO3" i="53" a="1"/>
  <c r="DVB3" i="53" a="1"/>
  <c r="C332" i="27" a="1"/>
  <c r="EDA3" i="53" a="1"/>
  <c r="WUR3" i="53" a="1"/>
  <c r="IJY3" i="53" a="1"/>
  <c r="VCZ3" i="53" a="1"/>
  <c r="C20" i="4" a="1"/>
  <c r="VOJ3" i="53" a="1"/>
  <c r="C6" i="7" a="1"/>
  <c r="UYO3" i="53" a="1"/>
  <c r="C221" i="27" a="1"/>
  <c r="CEC3" i="53" a="1"/>
  <c r="G10" i="40" a="1"/>
  <c r="HTO3" i="53" a="1"/>
  <c r="E118" i="27" a="1"/>
  <c r="PKO3" i="53" a="1"/>
  <c r="MPF3" i="53" a="1"/>
  <c r="QHQ3" i="53" a="1"/>
  <c r="BCV3" i="53" a="1"/>
  <c r="E20" i="31" a="1"/>
  <c r="EQT3" i="53" a="1"/>
  <c r="AWR3" i="53" a="1"/>
  <c r="XAS3" i="53" a="1"/>
  <c r="E126" i="27" a="1"/>
  <c r="LWT3" i="53" a="1"/>
  <c r="BSY3" i="53" a="1"/>
  <c r="C412" i="27" a="1"/>
  <c r="CRD3" i="53" a="1"/>
  <c r="C355" i="27" a="1"/>
  <c r="TYU3" i="53" a="1"/>
  <c r="XDU3" i="53" a="1"/>
  <c r="DBZ3" i="53" a="1"/>
  <c r="JFY3" i="53" a="1"/>
  <c r="C263" i="27" a="1"/>
  <c r="GXK3" i="53" a="1"/>
  <c r="AGQ3" i="53" a="1"/>
  <c r="GDW3" i="53" a="1"/>
  <c r="HWS3" i="53" a="1"/>
  <c r="SLA3" i="53" a="1"/>
  <c r="EMW3" i="53" a="1"/>
  <c r="UCM3" i="53" a="1"/>
  <c r="PCO3" i="53" a="1"/>
  <c r="C31" i="40" a="1"/>
  <c r="VCG3" i="53" a="1"/>
  <c r="FQL3" i="53" a="1"/>
  <c r="WT3" i="53" a="1"/>
  <c r="WYN3" i="53" a="1"/>
  <c r="GTP3" i="53" a="1"/>
  <c r="SYH3" i="53" a="1"/>
  <c r="GAZ3" i="53" a="1"/>
  <c r="EXK3" i="53" a="1"/>
  <c r="UUE3" i="53" a="1"/>
  <c r="MPJ3" i="53" a="1"/>
  <c r="WZL3" i="53" a="1"/>
  <c r="URW3" i="53" a="1"/>
  <c r="C310" i="27" a="1"/>
  <c r="EQA3" i="53" a="1"/>
  <c r="XO3" i="53" a="1"/>
  <c r="E5" i="6" a="1"/>
  <c r="A3" i="27" a="1"/>
  <c r="DQL3" i="53" a="1"/>
  <c r="EWJ3" i="53" a="1"/>
  <c r="AZX3" i="53" a="1"/>
  <c r="C21" i="59" a="1"/>
  <c r="BYH3" i="53" a="1"/>
  <c r="TQQ3" i="53" a="1"/>
  <c r="VUS3" i="53" a="1"/>
  <c r="MZY3" i="53" a="1"/>
  <c r="SB3" i="53" a="1"/>
  <c r="RXG3" i="53" a="1"/>
  <c r="UDM3" i="53" a="1"/>
  <c r="E179" i="27" a="1"/>
  <c r="FDV3" i="53" a="1"/>
  <c r="SYI3" i="53" a="1"/>
  <c r="DYZ3" i="53" a="1"/>
  <c r="UXG3" i="53" a="1"/>
  <c r="HCI3" i="53" a="1"/>
  <c r="EXO3" i="53" a="1"/>
  <c r="C18" i="11" a="1"/>
  <c r="ODS3" i="53" a="1"/>
  <c r="BDH3" i="53" a="1"/>
  <c r="TRK3" i="53" a="1"/>
  <c r="UZO3" i="53" a="1"/>
  <c r="C389" i="27" a="1"/>
  <c r="G40" i="40" a="1"/>
  <c r="QBJ3" i="53" a="1"/>
  <c r="C381" i="27" a="1"/>
  <c r="VPW3" i="53" a="1"/>
  <c r="JIX3" i="53" a="1"/>
  <c r="MGP3" i="53" a="1"/>
  <c r="MDB3" i="53" a="1"/>
  <c r="UMY3" i="53" a="1"/>
  <c r="CNI3" i="53" a="1"/>
  <c r="JSH3" i="53" a="1"/>
  <c r="DZD3" i="53" a="1"/>
  <c r="LBS3" i="53" a="1"/>
  <c r="VYD3" i="53" a="1"/>
  <c r="MZZ3" i="53" a="1"/>
  <c r="MDC3" i="53" a="1"/>
  <c r="PKY3" i="53" a="1"/>
  <c r="OGD3" i="53" a="1"/>
  <c r="CEV3" i="53" a="1"/>
  <c r="KIJ3" i="53" a="1"/>
  <c r="CTR3" i="53" a="1"/>
  <c r="IFG3" i="53" a="1"/>
  <c r="MPD3" i="53" a="1"/>
  <c r="EYO3" i="53" a="1"/>
  <c r="UQZ3" i="53" a="1"/>
  <c r="MTM3" i="53" a="1"/>
  <c r="JWD3" i="53" a="1"/>
  <c r="XCO3" i="53" a="1"/>
  <c r="ONF3" i="53" a="1"/>
  <c r="UWM3" i="53" a="1"/>
  <c r="STF3" i="53" a="1"/>
  <c r="DQC3" i="53" a="1"/>
  <c r="ICC3" i="53" a="1"/>
  <c r="BSN3" i="53" a="1"/>
  <c r="OPC3" i="53" a="1"/>
  <c r="HWB3" i="53" a="1"/>
  <c r="E11" i="40" a="1"/>
  <c r="SKK3" i="53" a="1"/>
  <c r="MCZ3" i="53" a="1"/>
  <c r="DRP3" i="53" a="1"/>
  <c r="NZH3" i="53" a="1"/>
  <c r="OXI3" i="53" a="1"/>
  <c r="CFP3" i="53" a="1"/>
  <c r="AHP3" i="53" a="1"/>
  <c r="MVY3" i="53" a="1"/>
  <c r="C38" i="4" a="1"/>
  <c r="GS3" i="53" a="1"/>
  <c r="GYF3" i="53" a="1"/>
  <c r="VBU3" i="53" a="1"/>
  <c r="C9" i="46" a="1"/>
  <c r="ROM3" i="53" a="1"/>
  <c r="KC3" i="53" a="1"/>
  <c r="EDF3" i="53" a="1"/>
  <c r="AMI3" i="53" a="1"/>
  <c r="ELM3" i="53" a="1"/>
  <c r="BTW3" i="53" a="1"/>
  <c r="NGO3" i="53" a="1"/>
  <c r="OQD3" i="53" a="1"/>
  <c r="WJF3" i="53" a="1"/>
  <c r="E130" i="27" a="1"/>
  <c r="CSU3" i="53" a="1"/>
  <c r="PBT3" i="53" a="1"/>
  <c r="JHX3" i="53" a="1"/>
  <c r="WCO3" i="53" a="1"/>
  <c r="RYT3" i="53" a="1"/>
  <c r="AQK3" i="53" a="1"/>
  <c r="C26" i="59" a="1"/>
  <c r="TVK3" i="53" a="1"/>
  <c r="C47" i="27" a="1"/>
  <c r="IGO3" i="53" a="1"/>
  <c r="RFU3" i="53" a="1"/>
  <c r="DKS3" i="53" a="1"/>
  <c r="PHQ3" i="53" a="1"/>
  <c r="SLH3" i="53" a="1"/>
  <c r="LLL3" i="53" a="1"/>
  <c r="CLZ3" i="53" a="1"/>
  <c r="C26" i="27" a="1"/>
  <c r="HWZ3" i="53" a="1"/>
  <c r="IJG3" i="53" a="1"/>
  <c r="VEA3" i="53" a="1"/>
  <c r="HMF3" i="53" a="1"/>
  <c r="TBK3" i="53" a="1"/>
  <c r="E34" i="27" a="1"/>
  <c r="FWJ3" i="53" a="1"/>
  <c r="VHJ3" i="53" a="1"/>
  <c r="NXG3" i="53" a="1"/>
  <c r="EFE3" i="53" a="1"/>
  <c r="MSR3" i="53" a="1"/>
  <c r="GYV3" i="53" a="1"/>
  <c r="FN3" i="53" a="1"/>
  <c r="LQF3" i="53" a="1"/>
  <c r="C254" i="27" a="1"/>
  <c r="LOC3" i="53" a="1"/>
  <c r="OSX3" i="53" a="1"/>
  <c r="QTH3" i="53" a="1"/>
  <c r="EDB3" i="53" a="1"/>
  <c r="E57" i="27" a="1"/>
  <c r="KIC3" i="53" a="1"/>
  <c r="JKO3" i="53" a="1"/>
  <c r="E55" i="40" a="1"/>
  <c r="MAQ3" i="53" a="1"/>
  <c r="GIX3" i="53" a="1"/>
  <c r="GUG3" i="53" a="1"/>
  <c r="PRD3" i="53" a="1"/>
  <c r="WQP3" i="53" a="1"/>
  <c r="OWE3" i="53" a="1"/>
  <c r="NBN3" i="53" a="1"/>
  <c r="SUG3" i="53" a="1"/>
  <c r="ATS3" i="53" a="1"/>
  <c r="E332" i="27" a="1"/>
  <c r="WKI3" i="53" a="1"/>
  <c r="D3" i="11" a="1"/>
  <c r="UYJ3" i="53" a="1"/>
  <c r="BIE3" i="53" a="1"/>
  <c r="FDE3" i="53" a="1"/>
  <c r="E166" i="27" a="1"/>
  <c r="MQB3" i="53" a="1"/>
  <c r="HSH3" i="53" a="1"/>
  <c r="UCR3" i="53" a="1"/>
  <c r="C164" i="27" a="1"/>
  <c r="E183" i="27" a="1"/>
  <c r="WEQ3" i="53" a="1"/>
  <c r="RK3" i="53" a="1"/>
  <c r="TLO3" i="53" a="1"/>
  <c r="E106" i="27" a="1"/>
  <c r="E6" i="40" a="1"/>
  <c r="PGD3" i="53" a="1"/>
  <c r="C377" i="27" a="1"/>
  <c r="EMN3" i="53" a="1"/>
  <c r="ITH3" i="53" a="1"/>
  <c r="EOA3" i="53" a="1"/>
  <c r="JFO3" i="53" a="1"/>
  <c r="MNE3" i="53" a="1"/>
  <c r="WPP3" i="53" a="1"/>
  <c r="HYS3" i="53" a="1"/>
  <c r="VBF3" i="53" a="1"/>
  <c r="DOG3" i="53" a="1"/>
  <c r="PEM3" i="53" a="1"/>
  <c r="MMY3" i="53" a="1"/>
  <c r="ASR3" i="53" a="1"/>
  <c r="WKX3" i="53" a="1"/>
  <c r="C19" i="3" a="1"/>
  <c r="TAB3" i="53" a="1"/>
  <c r="ELL3" i="53" a="1"/>
  <c r="POG3" i="53" a="1"/>
  <c r="E48" i="4" a="1"/>
  <c r="VZH3" i="53" a="1"/>
  <c r="NDF3" i="53" a="1"/>
  <c r="NSX3" i="53" a="1"/>
  <c r="SA3" i="53" a="1"/>
  <c r="DKO3" i="53" a="1"/>
  <c r="ABG3" i="53" a="1"/>
  <c r="EIW3" i="53" a="1"/>
  <c r="C406" i="27" a="1"/>
  <c r="JN3" i="53" a="1"/>
  <c r="AYL3" i="53" a="1"/>
  <c r="GUR3" i="53" a="1"/>
  <c r="GBK3" i="53" a="1"/>
  <c r="C363" i="27" a="1"/>
  <c r="ART3" i="53" a="1"/>
  <c r="G51" i="40" a="1"/>
  <c r="GSK3" i="53" a="1"/>
  <c r="IUY3" i="53" a="1"/>
  <c r="VSL3" i="53" a="1"/>
  <c r="E145" i="27" a="1"/>
  <c r="HYI3" i="53" a="1"/>
  <c r="UHJ3" i="53" a="1"/>
  <c r="C29" i="4" a="1"/>
  <c r="E306" i="27" a="1"/>
  <c r="TPW3" i="53" a="1"/>
  <c r="OCV3" i="53" a="1"/>
  <c r="E54" i="40" a="1"/>
  <c r="ZL3" i="53" a="1"/>
  <c r="SVB3" i="53" a="1"/>
  <c r="E45" i="27" a="1"/>
  <c r="TRN3" i="53" a="1"/>
  <c r="UYC3" i="53" a="1"/>
  <c r="VUT3" i="53" a="1"/>
  <c r="GOU3" i="53" a="1"/>
  <c r="Z3" i="53" a="1"/>
  <c r="DVO3" i="53" a="1"/>
  <c r="E350" i="27" a="1"/>
  <c r="WRC3" i="53" a="1"/>
  <c r="JGS3" i="53" a="1"/>
  <c r="EDP3" i="53" a="1"/>
  <c r="C11" i="11" a="1"/>
  <c r="FEW3" i="53" a="1"/>
  <c r="TFY3" i="53" a="1"/>
  <c r="DVQ3" i="53" a="1"/>
  <c r="AKQ3" i="53" a="1"/>
  <c r="AFM3" i="53" a="1"/>
  <c r="IKB3" i="53" a="1"/>
  <c r="NJV3" i="53" a="1"/>
  <c r="GXD3" i="53" a="1"/>
  <c r="BEM3" i="53" a="1"/>
  <c r="GNH3" i="53" a="1"/>
  <c r="HCE3" i="53" a="1"/>
  <c r="AOB3" i="53" a="1"/>
  <c r="KQE3" i="53" a="1"/>
  <c r="BDW3" i="53" a="1"/>
  <c r="QC3" i="53" a="1"/>
  <c r="QCW3" i="53" a="1"/>
  <c r="HRT3" i="53" a="1"/>
  <c r="GQA3" i="53" a="1"/>
  <c r="E34" i="4" a="1"/>
  <c r="CAN3" i="53" a="1"/>
  <c r="LTQ3" i="53" a="1"/>
  <c r="ALS3" i="53" a="1"/>
  <c r="QZC3" i="53" a="1"/>
  <c r="DWJ3" i="53" a="1"/>
  <c r="MNZ3" i="53" a="1"/>
  <c r="IH3" i="53" a="1"/>
  <c r="C166" i="27" a="1"/>
  <c r="C281" i="27" a="1"/>
  <c r="GZZ3" i="53" a="1"/>
  <c r="E14" i="31" a="1"/>
  <c r="XAU3" i="53" a="1"/>
  <c r="OEF3" i="53" a="1"/>
  <c r="E6" i="27" a="1"/>
  <c r="GYD3" i="53" a="1"/>
  <c r="DCR3" i="53" a="1"/>
  <c r="GZR3" i="53" a="1"/>
  <c r="ADA3" i="53" a="1"/>
  <c r="NVF3" i="53" a="1"/>
  <c r="C339" i="27" a="1"/>
  <c r="E413" i="27" a="1"/>
  <c r="E349" i="27" a="1"/>
  <c r="FCK3" i="53" a="1"/>
  <c r="BXK3" i="53" a="1"/>
  <c r="GNX3" i="53" a="1"/>
  <c r="PAH3" i="53" a="1"/>
  <c r="MZH3" i="53" a="1"/>
  <c r="TRY3" i="53" a="1"/>
  <c r="E295" i="27" a="1"/>
  <c r="KXY3" i="53" a="1"/>
  <c r="PM3" i="53" a="1"/>
  <c r="C113" i="27" a="1"/>
  <c r="OKL3" i="53" a="1"/>
  <c r="FXE3" i="53" a="1"/>
  <c r="KXU3" i="53" a="1"/>
  <c r="HMB3" i="53" a="1"/>
  <c r="CSK3" i="53" a="1"/>
  <c r="HAE3" i="53" a="1"/>
  <c r="QHV3" i="53" a="1"/>
  <c r="DSV3" i="53" a="1"/>
  <c r="EUU3" i="53" a="1"/>
  <c r="EEO3" i="53" a="1"/>
  <c r="IVQ3" i="53" a="1"/>
  <c r="WAK3" i="53" a="1"/>
  <c r="AOD3" i="53" a="1"/>
  <c r="ATK3" i="53" a="1"/>
  <c r="CO3" i="53" a="1"/>
  <c r="C293" i="27" a="1"/>
  <c r="HWX3" i="53" a="1"/>
  <c r="GOO3" i="53" a="1"/>
  <c r="OWG3" i="53" a="1"/>
  <c r="A3" i="11" a="1"/>
  <c r="VAU3" i="53" a="1"/>
  <c r="GLD3" i="53" a="1"/>
  <c r="C232" i="27" a="1"/>
  <c r="XS3" i="53" a="1"/>
  <c r="UVZ3" i="53" a="1"/>
  <c r="BCC3" i="53" a="1"/>
  <c r="BKO3" i="53" a="1"/>
  <c r="BHV3" i="53" a="1"/>
  <c r="E140" i="27" a="1"/>
  <c r="C5" i="3" a="1"/>
  <c r="FKB3" i="53" a="1"/>
  <c r="SCV3" i="53" a="1"/>
  <c r="KVB3" i="53" a="1"/>
  <c r="PKC3" i="53" a="1"/>
  <c r="JGL3" i="53" a="1"/>
  <c r="VJC3" i="53" a="1"/>
  <c r="QVI3" i="53" a="1"/>
  <c r="RET3" i="53" a="1"/>
  <c r="TWC3" i="53" a="1"/>
  <c r="PYS3" i="53" a="1"/>
  <c r="UST3" i="53" a="1"/>
  <c r="ICQ3" i="53" a="1"/>
  <c r="MPG3" i="53" a="1"/>
  <c r="AVR3" i="53" a="1"/>
  <c r="W3" i="53" a="1"/>
  <c r="UWB3" i="53" a="1"/>
  <c r="OUK3" i="53" a="1"/>
  <c r="AWB3" i="53" a="1"/>
  <c r="SRL3" i="53" a="1"/>
  <c r="SGB3" i="53" a="1"/>
  <c r="RJS3" i="53" a="1"/>
  <c r="JCU3" i="53" a="1"/>
  <c r="SZD3" i="53" a="1"/>
  <c r="C66" i="53" a="1"/>
  <c r="WHD3" i="53" a="1"/>
  <c r="HAO3" i="53" a="1"/>
  <c r="G19" i="40" a="1"/>
  <c r="FR3" i="53" a="1"/>
  <c r="DRA3" i="53" a="1"/>
  <c r="ADF3" i="53" a="1"/>
  <c r="STM3" i="53" a="1"/>
  <c r="DIH3" i="53" a="1"/>
  <c r="AGP3" i="53" a="1"/>
  <c r="VVJ3" i="53" a="1"/>
  <c r="OYM3" i="53" a="1"/>
  <c r="GJD3" i="53" a="1"/>
  <c r="LRU3" i="53" a="1"/>
  <c r="SDR3" i="53" a="1"/>
  <c r="PXD3" i="53" a="1"/>
  <c r="ECB3" i="53" a="1"/>
  <c r="RLC3" i="53" a="1"/>
  <c r="DGR3" i="53" a="1"/>
  <c r="FTR3" i="53" a="1"/>
  <c r="CPI3" i="53" a="1"/>
  <c r="ESN3" i="53" a="1"/>
  <c r="JLF3" i="53" a="1"/>
  <c r="DYC3" i="53" a="1"/>
  <c r="TIR3" i="53" a="1"/>
  <c r="CHV3" i="53" a="1"/>
  <c r="NHW3" i="53" a="1"/>
  <c r="VJT3" i="53" a="1"/>
  <c r="CRS3" i="53" a="1"/>
  <c r="C383" i="27" a="1"/>
  <c r="KAF3" i="53" a="1"/>
  <c r="VEN3" i="53" a="1"/>
  <c r="E98" i="27" a="1"/>
  <c r="JIV3" i="53" a="1"/>
  <c r="MCT3" i="53" a="1"/>
  <c r="GAK3" i="53" a="1"/>
  <c r="NQT3" i="53" a="1"/>
  <c r="GOK3" i="53" a="1"/>
  <c r="CIW3" i="53" a="1"/>
  <c r="E288" i="27" a="1"/>
  <c r="SUJ3" i="53" a="1"/>
  <c r="C3" i="5" a="1"/>
  <c r="JQO3" i="53" a="1"/>
  <c r="PMM3" i="53" a="1"/>
  <c r="DAB3" i="53" a="1"/>
  <c r="MLF3" i="53" a="1"/>
  <c r="GQB3" i="53" a="1"/>
  <c r="JER3" i="53" a="1"/>
  <c r="WBY3" i="53" a="1"/>
  <c r="KUS3" i="53" a="1"/>
  <c r="E59" i="27" a="1"/>
  <c r="NAN3" i="53" a="1"/>
  <c r="RQC3" i="53" a="1"/>
  <c r="C296" i="27" a="1"/>
  <c r="DAV3" i="53" a="1"/>
  <c r="C14" i="4" a="1"/>
  <c r="AFI3" i="53" a="1"/>
  <c r="IRQ3" i="53" a="1"/>
  <c r="MGB3" i="53" a="1"/>
  <c r="BGS3" i="53" a="1"/>
  <c r="BWX3" i="53" a="1"/>
  <c r="GLT3" i="53" a="1"/>
  <c r="DMI3" i="53" a="1"/>
  <c r="STB3" i="53" a="1"/>
  <c r="AQR3" i="53" a="1"/>
  <c r="IIL3" i="53" a="1"/>
  <c r="JMU3" i="53" a="1"/>
  <c r="HVW3" i="53" a="1"/>
  <c r="ICM3" i="53" a="1"/>
  <c r="E90" i="27" a="1"/>
  <c r="LYF3" i="53" a="1"/>
  <c r="GFV3" i="53" a="1"/>
  <c r="E367" i="27" a="1"/>
  <c r="AMV3" i="53" a="1"/>
  <c r="FFA3" i="53" a="1"/>
  <c r="C280" i="27" a="1"/>
  <c r="C20" i="31" a="1"/>
  <c r="CPC3" i="53" a="1"/>
  <c r="JMK3" i="53" a="1"/>
  <c r="CYY3" i="53" a="1"/>
  <c r="E24" i="27" a="1"/>
  <c r="MOC3" i="53" a="1"/>
  <c r="DVA3" i="53" a="1"/>
  <c r="VBM3" i="53" a="1"/>
  <c r="GFF3" i="53" a="1"/>
  <c r="SCZ3" i="53" a="1"/>
  <c r="OKI3" i="53" a="1"/>
  <c r="AMY3" i="53" a="1"/>
  <c r="C57" i="4" a="1"/>
  <c r="C344" i="27" a="1"/>
  <c r="UZD3" i="53" a="1"/>
  <c r="HKS3" i="53" a="1"/>
  <c r="BNA3" i="53" a="1"/>
  <c r="OBD3" i="53" a="1"/>
  <c r="FZJ3" i="53" a="1"/>
  <c r="C20" i="40" a="1"/>
  <c r="PJI3" i="53" a="1"/>
  <c r="E387" i="27" a="1"/>
  <c r="AYT3" i="53" a="1"/>
  <c r="C297" i="27" a="1"/>
  <c r="C20" i="11" a="1"/>
  <c r="EPU3" i="53" a="1"/>
  <c r="C187" i="27" a="1"/>
  <c r="IWT3" i="53" a="1"/>
  <c r="BCL3" i="53" a="1"/>
  <c r="C384" i="27" a="1"/>
  <c r="EPL3" i="53" a="1"/>
  <c r="C367" i="27" a="1"/>
  <c r="CPP3" i="53" a="1"/>
  <c r="OPJ3" i="53" a="1"/>
  <c r="E394" i="27" a="1"/>
  <c r="GOC3" i="53" a="1"/>
  <c r="HDG3" i="53" a="1"/>
  <c r="LEH3" i="53" a="1"/>
  <c r="PDS3" i="53" a="1"/>
  <c r="FZZ3" i="53" a="1"/>
  <c r="HYG3" i="53" a="1"/>
  <c r="RZC3" i="53" a="1"/>
  <c r="C3" i="28" a="1"/>
  <c r="C185" i="27" a="1"/>
  <c r="SUH3" i="53" a="1"/>
  <c r="MNG3" i="53" a="1"/>
  <c r="SBP3" i="53" a="1"/>
  <c r="EMP3" i="53" a="1"/>
  <c r="GDY3" i="53" a="1"/>
  <c r="GZT3" i="53" a="1"/>
  <c r="FAC3" i="53" a="1"/>
  <c r="DAC3" i="53" a="1"/>
  <c r="TPV3" i="53" a="1"/>
  <c r="IYJ3" i="53" a="1"/>
  <c r="SSN3" i="53" a="1"/>
  <c r="ICO3" i="53" a="1"/>
  <c r="WRU3" i="53" a="1"/>
  <c r="GNV3" i="53" a="1"/>
  <c r="HCA3" i="53" a="1"/>
  <c r="SWK3" i="53" a="1"/>
  <c r="UUG3" i="53" a="1"/>
  <c r="PJR3" i="53" a="1"/>
  <c r="DTL3" i="53" a="1"/>
  <c r="QEV3" i="53" a="1"/>
  <c r="C6" i="40" a="1"/>
  <c r="HRV3" i="53" a="1"/>
  <c r="LUN3" i="53" a="1"/>
  <c r="E395" i="27" a="1"/>
  <c r="NKB3" i="53" a="1"/>
  <c r="UDQ3" i="53" a="1"/>
  <c r="GLC3" i="53" a="1"/>
  <c r="INB3" i="53" a="1"/>
  <c r="UUB3" i="53" a="1"/>
  <c r="HFS3" i="53" a="1"/>
  <c r="DGI3" i="53" a="1"/>
  <c r="PDW3" i="53" a="1"/>
  <c r="EXW3" i="53" a="1"/>
  <c r="EQZ3" i="53" a="1"/>
  <c r="LZM3" i="53" a="1"/>
  <c r="XCL3" i="53" a="1"/>
  <c r="QSQ3" i="53" a="1"/>
  <c r="AUZ3" i="53" a="1"/>
  <c r="OJQ3" i="53" a="1"/>
  <c r="NUS3" i="53" a="1"/>
  <c r="G48" i="40" a="1"/>
  <c r="TT3" i="53" a="1"/>
  <c r="C23" i="4" a="1"/>
  <c r="E188" i="27" a="1"/>
  <c r="BBO3" i="53" a="1"/>
  <c r="C135" i="27" a="1"/>
  <c r="E128" i="27" a="1"/>
  <c r="C6" i="27" a="1"/>
  <c r="FKR3" i="53" a="1"/>
  <c r="FSR3" i="53" a="1"/>
  <c r="DVG3" i="53" a="1"/>
  <c r="OPV3" i="53" a="1"/>
  <c r="QFZ3" i="53" a="1"/>
  <c r="HHD3" i="53" a="1"/>
  <c r="SRW3" i="53" a="1"/>
  <c r="BEX3" i="53" a="1"/>
  <c r="VPL3" i="53" a="1"/>
  <c r="XBX3" i="53" a="1"/>
  <c r="C52" i="27" a="1"/>
  <c r="UUO3" i="53" a="1"/>
  <c r="VSA3" i="53" a="1"/>
  <c r="DFV3" i="53" a="1"/>
  <c r="C184" i="27" a="1"/>
  <c r="QPB3" i="53" a="1"/>
  <c r="QP3" i="53" a="1"/>
  <c r="VNB3" i="53" a="1"/>
  <c r="IJE3" i="53" a="1"/>
  <c r="C37" i="6" a="1"/>
  <c r="TE3" i="53" a="1"/>
  <c r="C75" i="27" a="1"/>
  <c r="PTJ3" i="53" a="1"/>
  <c r="OGO3" i="53" a="1"/>
  <c r="QRD3" i="53" a="1"/>
  <c r="VI3" i="53" a="1"/>
  <c r="PGW3" i="53" a="1"/>
  <c r="QPR3" i="53" a="1"/>
  <c r="SEM3" i="53" a="1"/>
  <c r="QST3" i="53" a="1"/>
  <c r="JXK3" i="53" a="1"/>
  <c r="EHY3" i="53" a="1"/>
  <c r="HKJ3" i="53" a="1"/>
  <c r="RYU3" i="53" a="1"/>
  <c r="MNI3" i="53" a="1"/>
  <c r="C119" i="27" a="1"/>
  <c r="OZM3" i="53" a="1"/>
  <c r="JLI3" i="53" a="1"/>
  <c r="LRW3" i="53" a="1"/>
  <c r="OPI3" i="53" a="1"/>
  <c r="USX3" i="53" a="1"/>
  <c r="LDR3" i="53" a="1"/>
  <c r="GUU3" i="53" a="1"/>
  <c r="IUL3" i="53" a="1"/>
  <c r="FHE3" i="53" a="1"/>
  <c r="TTC3" i="53" a="1"/>
  <c r="LVI3" i="53" a="1"/>
  <c r="IBB3" i="53" a="1"/>
  <c r="FQI3" i="53" a="1"/>
  <c r="GIC3" i="53" a="1"/>
  <c r="LPE3" i="53" a="1"/>
  <c r="SCM3" i="53" a="1"/>
  <c r="FKZ3" i="53" a="1"/>
  <c r="E79" i="27" a="1"/>
  <c r="UW3" i="53" a="1"/>
  <c r="C16" i="31" a="1"/>
  <c r="UVP3" i="53" a="1"/>
  <c r="HEI3" i="53" a="1"/>
  <c r="OWV3" i="53" a="1"/>
  <c r="IYM3" i="53" a="1"/>
  <c r="TQI3" i="53" a="1"/>
  <c r="PVU3" i="53" a="1"/>
  <c r="NAM3" i="53" a="1"/>
  <c r="E311" i="27" a="1"/>
  <c r="SCA3" i="53" a="1"/>
  <c r="NJ3" i="53" a="1"/>
  <c r="OII3" i="53" a="1"/>
  <c r="NMV3" i="53" a="1"/>
  <c r="TYZ3" i="53" a="1"/>
  <c r="NHR3" i="53" a="1"/>
  <c r="E36" i="4" a="1"/>
  <c r="C24" i="27" a="1"/>
  <c r="IX3" i="53" a="1"/>
  <c r="WCB3" i="53" a="1"/>
  <c r="WIP3" i="53" a="1"/>
  <c r="RAR3" i="53" a="1"/>
  <c r="UPZ3" i="53" a="1"/>
  <c r="WKK3" i="53" a="1"/>
  <c r="NPG3" i="53" a="1"/>
  <c r="QQW3" i="53" a="1"/>
  <c r="NZB3" i="53" a="1"/>
  <c r="PZO3" i="53" a="1"/>
  <c r="C274" i="27" a="1"/>
  <c r="ERC3" i="53" a="1"/>
  <c r="C121" i="27" a="1"/>
  <c r="REJ3" i="53" a="1"/>
  <c r="LTC3" i="53" a="1"/>
  <c r="UGR3" i="53" a="1"/>
  <c r="UTI3" i="53" a="1"/>
  <c r="SRG3" i="53" a="1"/>
  <c r="DIT3" i="53" a="1"/>
  <c r="NIH3" i="53" a="1"/>
  <c r="QOS3" i="53" a="1"/>
  <c r="C40" i="2" a="1"/>
  <c r="TQF3" i="53" a="1"/>
  <c r="BMZ3" i="53" a="1"/>
  <c r="A3" i="2" a="1"/>
  <c r="VJB3" i="53" a="1"/>
  <c r="ESU3" i="53" a="1"/>
  <c r="MPP3" i="53" a="1"/>
  <c r="HDJ3" i="53" a="1"/>
  <c r="CAG3" i="53" a="1"/>
  <c r="EMT3" i="53" a="1"/>
  <c r="AJJ3" i="53" a="1"/>
  <c r="WOX3" i="53" a="1"/>
  <c r="FQV3" i="53" a="1"/>
  <c r="QUK3" i="53" a="1"/>
  <c r="HAF3" i="53" a="1"/>
  <c r="KMK3" i="53" a="1"/>
  <c r="BWZ3" i="53" a="1"/>
  <c r="ALK3" i="53" a="1"/>
  <c r="QXH3" i="53" a="1"/>
  <c r="CNA3" i="53" a="1"/>
  <c r="QHX3" i="53" a="1"/>
  <c r="NTC3" i="53" a="1"/>
  <c r="EBI3" i="53" a="1"/>
  <c r="KWT3" i="53" a="1"/>
  <c r="EIB3" i="53" a="1"/>
  <c r="TKO3" i="53" a="1"/>
  <c r="TEQ3" i="53" a="1"/>
  <c r="GWB3" i="53" a="1"/>
  <c r="VKR3" i="53" a="1"/>
  <c r="JZL3" i="53" a="1"/>
  <c r="JWW3" i="53" a="1"/>
  <c r="AKO3" i="53" a="1"/>
  <c r="DKN3" i="53" a="1"/>
  <c r="TMH3" i="53" a="1"/>
  <c r="FXD3" i="53" a="1"/>
  <c r="GXG3" i="53" a="1"/>
  <c r="RSL3" i="53" a="1"/>
  <c r="DQR3" i="53" a="1"/>
  <c r="SAW3" i="53" a="1"/>
  <c r="GOS3" i="53" a="1"/>
  <c r="TL3" i="53" a="1"/>
  <c r="KSJ3" i="53" a="1"/>
  <c r="E310" i="27" a="1"/>
  <c r="ONJ3" i="53" a="1"/>
  <c r="DP3" i="53" a="1"/>
  <c r="QWP3" i="53" a="1"/>
  <c r="QJA3" i="53" a="1"/>
  <c r="C337" i="27" a="1"/>
  <c r="E180" i="27" a="1"/>
  <c r="SAO3" i="53" a="1"/>
  <c r="WVM3" i="53" a="1"/>
  <c r="E324" i="27" a="1"/>
  <c r="TYX3" i="53" a="1"/>
  <c r="EGC3" i="53" a="1"/>
  <c r="E43" i="40" a="1"/>
  <c r="QRX3" i="53" a="1"/>
  <c r="OJS3" i="53" a="1"/>
  <c r="C299" i="27" a="1"/>
  <c r="KSF3" i="53" a="1"/>
  <c r="E390" i="27" a="1"/>
  <c r="QJG3" i="53" a="1"/>
  <c r="IGL3" i="53" a="1"/>
  <c r="QRC3" i="53" a="1"/>
  <c r="NDB3" i="53" a="1"/>
  <c r="OHR3" i="53" a="1"/>
  <c r="QIQ3" i="53" a="1"/>
  <c r="E187" i="27" a="1"/>
  <c r="BUF3" i="53" a="1"/>
  <c r="ANE3" i="53" a="1"/>
  <c r="GOT3" i="53" a="1"/>
  <c r="RBU3" i="53" a="1"/>
  <c r="OOG3" i="53" a="1"/>
  <c r="VAM3" i="53" a="1"/>
  <c r="PBX3" i="53" a="1"/>
  <c r="E31" i="4" a="1"/>
  <c r="FYO3" i="53" a="1"/>
  <c r="RJP3" i="53" a="1"/>
  <c r="PVK3" i="53" a="1"/>
  <c r="LYI3" i="53" a="1"/>
  <c r="AYV3" i="53" a="1"/>
  <c r="TQV3" i="53" a="1"/>
  <c r="GQY3" i="53" a="1"/>
  <c r="RLH3" i="53" a="1"/>
  <c r="C173" i="27" a="1"/>
  <c r="GI3" i="53" a="1"/>
  <c r="HVJ3" i="53" a="1"/>
  <c r="CGD3" i="53" a="1"/>
  <c r="IQJ3" i="53" a="1"/>
  <c r="C79" i="27" a="1"/>
  <c r="E127" i="27" a="1"/>
  <c r="C215" i="27" a="1"/>
  <c r="PNP3" i="53" a="1"/>
  <c r="APM3" i="53" a="1"/>
  <c r="PUV3" i="53" a="1"/>
  <c r="ACX3" i="53" a="1"/>
  <c r="E26" i="27" a="1"/>
  <c r="MFQ3" i="53" a="1"/>
  <c r="RDB3" i="53" a="1"/>
  <c r="JTY3" i="53" a="1"/>
  <c r="KUM3" i="53" a="1"/>
  <c r="BVA3" i="53" a="1"/>
  <c r="ASV3" i="53" a="1"/>
  <c r="GNT3" i="53" a="1"/>
  <c r="TEB3" i="53" a="1"/>
  <c r="HZK3" i="53" a="1"/>
  <c r="QXB3" i="53" a="1"/>
  <c r="JWZ3" i="53" a="1"/>
  <c r="E151" i="27" a="1"/>
  <c r="C264" i="27" a="1"/>
  <c r="CYI3" i="53" a="1"/>
  <c r="RQQ3" i="53" a="1"/>
  <c r="CWH3" i="53" a="1"/>
  <c r="WMS3" i="53" a="1"/>
  <c r="SEL3" i="53" a="1"/>
  <c r="HYZ3" i="53" a="1"/>
  <c r="VRU3" i="53" a="1"/>
  <c r="C14" i="11" a="1"/>
  <c r="TXB3" i="53" a="1"/>
  <c r="E358" i="27" a="1"/>
  <c r="AKP3" i="53" a="1"/>
  <c r="QJF3" i="53" a="1"/>
  <c r="NPN3" i="53" a="1"/>
  <c r="HN3" i="53" a="1"/>
  <c r="ATT3" i="53" a="1"/>
  <c r="GRB3" i="53" a="1"/>
  <c r="HRI3" i="53" a="1"/>
  <c r="KYE3" i="53" a="1"/>
  <c r="CMV3" i="53" a="1"/>
  <c r="VZX3" i="53" a="1"/>
  <c r="NAY3" i="53" a="1"/>
  <c r="MEI3" i="53" a="1"/>
  <c r="C227" i="27" a="1"/>
  <c r="JE3" i="53" a="1"/>
  <c r="KRZ3" i="53" a="1"/>
  <c r="GDD3" i="53" a="1"/>
  <c r="JAW3" i="53" a="1"/>
  <c r="E3" i="59" a="1"/>
  <c r="PG3" i="53" a="1"/>
  <c r="G5" i="50" a="1"/>
  <c r="EBQ3" i="53" a="1"/>
  <c r="OLM3" i="53" a="1"/>
  <c r="GBR3" i="53" a="1"/>
  <c r="PLS3" i="53" a="1"/>
  <c r="KEQ3" i="53" a="1"/>
  <c r="HBY3" i="53" a="1"/>
  <c r="NHU3" i="53" a="1"/>
  <c r="JJI3" i="53" a="1"/>
  <c r="IUN3" i="53" a="1"/>
  <c r="NUL3" i="53" a="1"/>
  <c r="C47" i="40" a="1"/>
  <c r="C399" i="27" a="1"/>
  <c r="C73" i="27" a="1"/>
  <c r="E134" i="27" a="1"/>
  <c r="IID3" i="53" a="1"/>
  <c r="QBU3" i="53" a="1"/>
  <c r="COT3" i="53" a="1"/>
  <c r="DIE3" i="53" a="1"/>
  <c r="QJZ3" i="53" a="1"/>
  <c r="EQP3" i="53" a="1"/>
  <c r="PYX3" i="53" a="1"/>
  <c r="VSP3" i="53" a="1"/>
  <c r="E143" i="27" a="1"/>
  <c r="CEW3" i="53" a="1"/>
  <c r="WMQ3" i="53" a="1"/>
  <c r="XCG3" i="53" a="1"/>
  <c r="LV3" i="53" a="1"/>
  <c r="NXX3" i="53" a="1"/>
  <c r="WNA3" i="53" a="1"/>
  <c r="EFB3" i="53" a="1"/>
  <c r="C43" i="11" a="1"/>
  <c r="C334" i="27" a="1"/>
  <c r="FOV3" i="53" a="1"/>
  <c r="KPF3" i="53" a="1"/>
  <c r="DZE3" i="53" a="1"/>
  <c r="OUE3" i="53" a="1"/>
  <c r="TFM3" i="53" a="1"/>
  <c r="EZU3" i="53" a="1"/>
  <c r="PWR3" i="53" a="1"/>
  <c r="OXX3" i="53" a="1"/>
  <c r="UPE3" i="53" a="1"/>
  <c r="BAQ3" i="53" a="1"/>
  <c r="C303" i="27" a="1"/>
  <c r="C48" i="27" a="1"/>
  <c r="GLS3" i="53" a="1"/>
  <c r="ASB3" i="53" a="1"/>
  <c r="DGZ3" i="53" a="1"/>
  <c r="VTC3" i="53" a="1"/>
  <c r="KNZ3" i="53" a="1"/>
  <c r="AUP3" i="53" a="1"/>
  <c r="EPY3" i="53" a="1"/>
  <c r="C161" i="27" a="1"/>
  <c r="LMD3" i="53" a="1"/>
  <c r="E26" i="40" a="1"/>
  <c r="LIM3" i="53" a="1"/>
  <c r="C7" i="11" a="1"/>
  <c r="BRF3" i="53" a="1"/>
  <c r="QTE3" i="53" a="1"/>
  <c r="ED3" i="53" a="1"/>
  <c r="AYM3" i="53" a="1"/>
  <c r="DBB3" i="53" a="1"/>
  <c r="E219" i="27" a="1"/>
  <c r="WVB3" i="53" a="1"/>
  <c r="MPK3" i="53" a="1"/>
  <c r="ICL3" i="53" a="1"/>
  <c r="LAH3" i="53" a="1"/>
  <c r="KPM3" i="53" a="1"/>
  <c r="E384" i="27" a="1"/>
  <c r="ASL3" i="53" a="1"/>
  <c r="FLP3" i="53" a="1"/>
  <c r="AMB3" i="53" a="1"/>
  <c r="C13" i="27" a="1"/>
  <c r="IXV3" i="53" a="1"/>
  <c r="J3" i="40" a="1"/>
  <c r="NYC3" i="53" a="1"/>
  <c r="C7" i="59" a="1"/>
  <c r="NDX3" i="53" a="1"/>
  <c r="LKJ3" i="53" a="1"/>
  <c r="KPQ3" i="53" a="1"/>
  <c r="C380" i="27" a="1"/>
  <c r="KRS3" i="53" a="1"/>
  <c r="HOW3" i="53" a="1"/>
  <c r="VKM3" i="53" a="1"/>
  <c r="ILF3" i="53" a="1"/>
  <c r="FK3" i="53" a="1"/>
  <c r="JLE3" i="53" a="1"/>
  <c r="CIE3" i="53" a="1"/>
  <c r="BKF3" i="53" a="1"/>
  <c r="KAZ3" i="53" a="1"/>
  <c r="NYO3" i="53" a="1"/>
  <c r="C14" i="27" a="1"/>
  <c r="NWV3" i="53" a="1"/>
  <c r="QIG3" i="53" a="1"/>
  <c r="NQF3" i="53" a="1"/>
  <c r="SOQ3" i="53" a="1"/>
  <c r="JCG3" i="53" a="1"/>
  <c r="UQD3" i="53" a="1"/>
  <c r="QVK3" i="53" a="1"/>
  <c r="C36" i="6" a="1"/>
  <c r="EVG3" i="53" a="1"/>
  <c r="CLA3" i="53" a="1"/>
  <c r="CMP3" i="53" a="1"/>
  <c r="IJT3" i="53" a="1"/>
  <c r="IWJ3" i="53" a="1"/>
  <c r="E404" i="27" a="1"/>
  <c r="G37" i="40" a="1"/>
  <c r="DLD3" i="53" a="1"/>
  <c r="E263" i="27" a="1"/>
  <c r="REP3" i="53" a="1"/>
  <c r="SP3" i="53" a="1"/>
  <c r="KYS3" i="53" a="1"/>
  <c r="IWZ3" i="53" a="1"/>
  <c r="JDV3" i="53" a="1"/>
  <c r="VOH3" i="53" a="1"/>
  <c r="VGW3" i="53" a="1"/>
  <c r="FVK3" i="53" a="1"/>
  <c r="UTM3" i="53" a="1"/>
  <c r="NTT3" i="53" a="1"/>
  <c r="CTJ3" i="53" a="1"/>
  <c r="CRX3" i="53" a="1"/>
  <c r="VGN3" i="53" a="1"/>
  <c r="LDY3" i="53" a="1"/>
  <c r="KHF3" i="53" a="1"/>
  <c r="SPF3" i="53" a="1"/>
  <c r="LXW3" i="53" a="1"/>
  <c r="MON3" i="53" a="1"/>
  <c r="GDO3" i="53" a="1"/>
  <c r="FMG3" i="53" a="1"/>
  <c r="OAA3" i="53" a="1"/>
  <c r="GKB3" i="53" a="1"/>
  <c r="UGM3" i="53" a="1"/>
  <c r="FSS3" i="53" a="1"/>
  <c r="NJS3" i="53" a="1"/>
  <c r="QHB3" i="53" a="1"/>
  <c r="MOY3" i="53" a="1"/>
  <c r="LZF3" i="53" a="1"/>
  <c r="LUV3" i="53" a="1"/>
  <c r="AXR3" i="53" a="1"/>
  <c r="BOW3" i="53" a="1"/>
  <c r="NCH3" i="53" a="1"/>
  <c r="H5" i="38" a="1"/>
  <c r="ENF3" i="53" a="1"/>
  <c r="QZI3" i="53" a="1"/>
  <c r="CGY3" i="53" a="1"/>
  <c r="ABC3" i="53" a="1"/>
  <c r="JCH3" i="53" a="1"/>
  <c r="USC3" i="53" a="1"/>
  <c r="C371" i="27" a="1"/>
  <c r="ISK3" i="53" a="1"/>
  <c r="WEL3" i="53" a="1"/>
  <c r="PIS3" i="53" a="1"/>
  <c r="ASO3" i="53" a="1"/>
  <c r="INP3" i="53" a="1"/>
  <c r="E330" i="27" a="1"/>
  <c r="FNA3" i="53" a="1"/>
  <c r="EKC3" i="53" a="1"/>
  <c r="KME3" i="53" a="1"/>
  <c r="KTK3" i="53" a="1"/>
  <c r="QCC3" i="53" a="1"/>
  <c r="NPY3" i="53" a="1"/>
  <c r="WCV3" i="53" a="1"/>
  <c r="SBU3" i="53" a="1"/>
  <c r="QKM3" i="53" a="1"/>
  <c r="VK3" i="53" a="1"/>
  <c r="JAM3" i="53" a="1"/>
  <c r="PAL3" i="53" a="1"/>
  <c r="IB3" i="53" a="1"/>
  <c r="FI3" i="53" a="1"/>
  <c r="TNC3" i="53" a="1"/>
  <c r="MFX3" i="53" a="1"/>
  <c r="C21" i="31" a="1"/>
  <c r="TKQ3" i="53" a="1"/>
  <c r="EJC3" i="53" a="1"/>
  <c r="HTE3" i="53" a="1"/>
  <c r="DJH3" i="53" a="1"/>
  <c r="C33" i="27" a="1"/>
  <c r="GVH3" i="53" a="1"/>
  <c r="E77" i="27" a="1"/>
  <c r="C98" i="27" a="1"/>
  <c r="SXX3" i="53" a="1"/>
  <c r="C189" i="27" a="1"/>
  <c r="EDH3" i="53" a="1"/>
  <c r="E56" i="27" a="1"/>
  <c r="NVZ3" i="53" a="1"/>
  <c r="TYH3" i="53" a="1"/>
  <c r="DAR3" i="53" a="1"/>
  <c r="C49" i="40" a="1"/>
  <c r="DFP3" i="53" a="1"/>
  <c r="BAS3" i="53" a="1"/>
  <c r="FHO3" i="53" a="1"/>
  <c r="URF3" i="53" a="1"/>
  <c r="TGN3" i="53" a="1"/>
  <c r="XAA3" i="53" a="1"/>
  <c r="UTZ3" i="53" a="1"/>
  <c r="XAW3" i="53" a="1"/>
  <c r="VUA3" i="53" a="1"/>
  <c r="GOL3" i="53" a="1"/>
  <c r="KMG3" i="53" a="1"/>
  <c r="HON3" i="53" a="1"/>
  <c r="ITR3" i="53" a="1"/>
  <c r="COI3" i="53" a="1"/>
  <c r="VYR3" i="53" a="1"/>
  <c r="CDO3" i="53" a="1"/>
  <c r="GJE3" i="53" a="1"/>
  <c r="C99" i="27" a="1"/>
  <c r="GRQ3" i="53" a="1"/>
  <c r="KZN3" i="53" a="1"/>
  <c r="E412" i="27" a="1"/>
  <c r="C228" i="27" a="1"/>
  <c r="E360" i="27" a="1"/>
  <c r="RNX3" i="53" a="1"/>
  <c r="C240" i="27" a="1"/>
  <c r="LED3" i="53" a="1"/>
  <c r="WTT3" i="53" a="1"/>
  <c r="C55" i="40" a="1"/>
  <c r="UUY3" i="53" a="1"/>
  <c r="JMC3" i="53" a="1"/>
  <c r="SKJ3" i="53" a="1"/>
  <c r="C21" i="27" a="1"/>
  <c r="C15" i="27" a="1"/>
  <c r="UJI3" i="53" a="1"/>
  <c r="C97" i="27" a="1"/>
  <c r="UHC3" i="53" a="1"/>
  <c r="C90" i="27" a="1"/>
  <c r="JFL3" i="53" a="1"/>
  <c r="MEH3" i="53" a="1"/>
  <c r="VBB3" i="53" a="1"/>
  <c r="BDU3" i="53" a="1"/>
  <c r="C395" i="27" a="1"/>
  <c r="UKZ3" i="53" a="1"/>
  <c r="SF3" i="53" a="1"/>
  <c r="PZP3" i="53" a="1"/>
  <c r="MFR3" i="53" a="1"/>
  <c r="C295" i="27" a="1"/>
  <c r="KKC3" i="53" a="1"/>
  <c r="EGM3" i="53" a="1"/>
  <c r="HCY3" i="53" a="1"/>
  <c r="GMT3" i="53" a="1"/>
  <c r="CXF3" i="53" a="1"/>
  <c r="ARO3" i="53" a="1"/>
  <c r="UBN3" i="53" a="1"/>
  <c r="SNA3" i="53" a="1"/>
  <c r="AQA3" i="53" a="1"/>
  <c r="QO3" i="53" a="1"/>
  <c r="IPE3" i="53" a="1"/>
  <c r="WVU3" i="53" a="1"/>
  <c r="CDM3" i="53" a="1"/>
  <c r="E374" i="27" a="1"/>
  <c r="BXU3" i="53" a="1"/>
  <c r="SEH3" i="53" a="1"/>
  <c r="OIW3" i="53" a="1"/>
  <c r="HLS3" i="53" a="1"/>
  <c r="DFT3" i="53" a="1"/>
  <c r="E340" i="27" a="1"/>
  <c r="QNU3" i="53" a="1"/>
  <c r="AKA3" i="53" a="1"/>
  <c r="UVA3" i="53" a="1"/>
  <c r="E274" i="27" a="1"/>
  <c r="POK3" i="53" a="1"/>
  <c r="JYC3" i="53" a="1"/>
  <c r="C12" i="37" a="1"/>
  <c r="E49" i="4" a="1"/>
  <c r="C234" i="27" a="1"/>
  <c r="GHV3" i="53" a="1"/>
  <c r="XDX3" i="53" a="1"/>
  <c r="VVZ3" i="53" a="1"/>
  <c r="RPS3" i="53" a="1"/>
  <c r="ASY3" i="53" a="1"/>
  <c r="TCU3" i="53" a="1"/>
  <c r="ALM3" i="53" a="1"/>
  <c r="C192" i="27" a="1"/>
  <c r="CIX3" i="53" a="1"/>
  <c r="C6" i="31" a="1"/>
  <c r="BDY3" i="53" a="1"/>
  <c r="AZJ3" i="53" a="1"/>
  <c r="DTC3" i="53" a="1"/>
  <c r="C57" i="53" a="1"/>
  <c r="ELW3" i="53" a="1"/>
  <c r="GLM3" i="53" a="1"/>
  <c r="USF3" i="53" a="1"/>
  <c r="SKS3" i="53" a="1"/>
  <c r="LIY3" i="53" a="1"/>
  <c r="HM3" i="53" a="1"/>
  <c r="MVD3" i="53" a="1"/>
  <c r="GQC3" i="53" a="1"/>
  <c r="SGW3" i="53" a="1"/>
  <c r="E281" i="27" a="1"/>
  <c r="UDN3" i="53" a="1"/>
  <c r="SZP3" i="53" a="1"/>
  <c r="BFX3" i="53" a="1"/>
  <c r="NGX3" i="53" a="1"/>
  <c r="C211" i="27" a="1"/>
  <c r="E82" i="27" a="1"/>
  <c r="INU3" i="53" a="1"/>
  <c r="AUM3" i="53" a="1"/>
  <c r="SSI3" i="53" a="1"/>
  <c r="C268" i="27" a="1"/>
  <c r="EEY3" i="53" a="1"/>
  <c r="C21" i="11" a="1"/>
  <c r="MFK3" i="53" a="1"/>
  <c r="NBL3" i="53" a="1"/>
  <c r="MA3" i="53" a="1"/>
  <c r="E61" i="27" a="1"/>
  <c r="RAN3" i="53" a="1"/>
  <c r="FAJ3" i="53" a="1"/>
  <c r="OOS3" i="53" a="1"/>
  <c r="JS3" i="53" a="1"/>
  <c r="TDT3" i="53" a="1"/>
  <c r="C36" i="40" a="1"/>
  <c r="FTC3" i="53" a="1"/>
  <c r="KGU3" i="53" a="1"/>
  <c r="SMS3" i="53" a="1"/>
  <c r="JCE3" i="53" a="1"/>
  <c r="FLG3" i="53" a="1"/>
  <c r="CZH3" i="53" a="1"/>
  <c r="VWR3" i="53" a="1"/>
  <c r="INZ3" i="53" a="1"/>
  <c r="BXA3" i="53" a="1"/>
  <c r="XBO3" i="53" a="1"/>
  <c r="HLB3" i="53" a="1"/>
  <c r="AJV3" i="53" a="1"/>
  <c r="FVH3" i="53" a="1"/>
  <c r="OTZ3" i="53" a="1"/>
  <c r="OQS3" i="53" a="1"/>
  <c r="MXS3" i="53" a="1"/>
  <c r="IMJ3" i="53" a="1"/>
  <c r="CFG3" i="53" a="1"/>
  <c r="HY3" i="53" a="1"/>
  <c r="DV3" i="53" a="1"/>
  <c r="C35" i="6" a="1"/>
  <c r="PQK3" i="53" a="1"/>
  <c r="USK3" i="53" a="1"/>
  <c r="C39" i="4" a="1"/>
  <c r="MAC3" i="53" a="1"/>
  <c r="C3" i="6" a="1"/>
  <c r="RXU3" i="53" a="1"/>
  <c r="UIY3" i="53" a="1"/>
  <c r="WQB3" i="53" a="1"/>
  <c r="RCW3" i="53" a="1"/>
  <c r="QOW3" i="53" a="1"/>
  <c r="LOF3" i="53" a="1"/>
  <c r="UEI3" i="53" a="1"/>
  <c r="WDY3" i="53" a="1"/>
  <c r="C5" i="37" a="1"/>
  <c r="TKA3" i="53" a="1"/>
  <c r="PZU3" i="53" a="1"/>
  <c r="USV3" i="53" a="1"/>
  <c r="WOL3" i="53" a="1"/>
  <c r="DQF3" i="53" a="1"/>
  <c r="GMQ3" i="53" a="1"/>
  <c r="BMP3" i="53" a="1"/>
  <c r="C241" i="27" a="1"/>
  <c r="BLH3" i="53" a="1"/>
  <c r="WWF3" i="53" a="1"/>
  <c r="IND3" i="53" a="1"/>
  <c r="AMZ3" i="53" a="1"/>
  <c r="E264" i="27" a="1"/>
  <c r="IVD3" i="53" a="1"/>
  <c r="ODF3" i="53" a="1"/>
  <c r="CJN3" i="53" a="1"/>
  <c r="HYM3" i="53" a="1"/>
  <c r="ONS3" i="53" a="1"/>
  <c r="UTA3" i="53" a="1"/>
  <c r="CVC3" i="53" a="1"/>
  <c r="IBJ3" i="53" a="1"/>
  <c r="FYZ3" i="53" a="1"/>
  <c r="VRQ3" i="53" a="1"/>
  <c r="EWG3" i="53" a="1"/>
  <c r="OYA3" i="53" a="1"/>
  <c r="DK3" i="53" a="1"/>
  <c r="DGS3" i="53" a="1"/>
  <c r="LLK3" i="53" a="1"/>
  <c r="GPF3" i="53" a="1"/>
  <c r="KOF3" i="53" a="1"/>
  <c r="E59" i="4" a="1"/>
  <c r="BCF3" i="53" a="1"/>
  <c r="E5" i="4" a="1"/>
  <c r="G55" i="40" a="1"/>
  <c r="HXH3" i="53" a="1"/>
  <c r="ODJ3" i="53" a="1"/>
  <c r="NWL3" i="53" a="1"/>
  <c r="B3" i="22" a="1"/>
  <c r="DLT3" i="53" a="1"/>
  <c r="JAY3" i="53" a="1"/>
  <c r="QGA3" i="53" a="1"/>
  <c r="RVR3" i="53" a="1"/>
  <c r="EZJ3" i="53" a="1"/>
  <c r="VXR3" i="53" a="1"/>
  <c r="IPR3" i="53" a="1"/>
  <c r="TLD3" i="53" a="1"/>
  <c r="HDD3" i="53" a="1"/>
  <c r="OFP3" i="53" a="1"/>
  <c r="LKB3" i="53" a="1"/>
  <c r="C17" i="11" a="1"/>
  <c r="OEA3" i="53" a="1"/>
  <c r="DGK3" i="53" a="1"/>
  <c r="C300" i="27" a="1"/>
  <c r="E24" i="40" a="1"/>
  <c r="RHY3" i="53" a="1"/>
  <c r="OUO3" i="53" a="1"/>
  <c r="JZG3" i="53" a="1"/>
  <c r="CZG3" i="53" a="1"/>
  <c r="E3" i="11" a="1"/>
  <c r="C359" i="27" a="1"/>
  <c r="ORN3" i="53" a="1"/>
  <c r="E53" i="4" a="1"/>
  <c r="HOA3" i="53" a="1"/>
  <c r="THE3" i="53" a="1"/>
  <c r="OEC3" i="53" a="1"/>
  <c r="FMM3" i="53" a="1"/>
  <c r="EYY3" i="53" a="1"/>
  <c r="UIH3" i="53" a="1"/>
  <c r="KZY3" i="53" a="1"/>
  <c r="AXA3" i="53" a="1"/>
  <c r="NEL3" i="53" a="1"/>
  <c r="KAU3" i="53" a="1"/>
  <c r="C392" i="27" a="1"/>
  <c r="DBL3" i="53" a="1"/>
  <c r="WIC3" i="53" a="1"/>
  <c r="OHH3" i="53" a="1"/>
  <c r="TJN3" i="53" a="1"/>
  <c r="E22" i="4" a="1"/>
  <c r="QMV3" i="53" a="1"/>
  <c r="USH3" i="53" a="1"/>
  <c r="OCK3" i="53" a="1"/>
  <c r="C39" i="27" a="1"/>
  <c r="HQA3" i="53" a="1"/>
  <c r="CXV3" i="53" a="1"/>
  <c r="SSR3" i="53" a="1"/>
  <c r="BFT3" i="53" a="1"/>
  <c r="ABF3" i="53" a="1"/>
  <c r="TLW3" i="53" a="1"/>
  <c r="RFB3" i="53" a="1"/>
  <c r="GEX3" i="53" a="1"/>
  <c r="C279" i="27" a="1"/>
  <c r="JOH3" i="53" a="1"/>
  <c r="LNX3" i="53" a="1"/>
  <c r="UKA3" i="53" a="1"/>
  <c r="PXB3" i="53" a="1"/>
  <c r="A3" i="53" a="1"/>
  <c r="ENL3" i="53" a="1"/>
  <c r="E3" i="27" a="1"/>
  <c r="ELP3" i="53" a="1"/>
  <c r="JLL3" i="53" a="1"/>
  <c r="UNH3" i="53" a="1"/>
  <c r="TRC3" i="53" a="1"/>
  <c r="LJE3" i="53" a="1"/>
  <c r="C328" i="27" a="1"/>
  <c r="C13" i="40" a="1"/>
  <c r="KIL3" i="53" a="1"/>
  <c r="MQG3" i="53" a="1"/>
  <c r="NBX3" i="53" a="1"/>
  <c r="C246" i="27" a="1"/>
  <c r="TJQ3" i="53" a="1"/>
  <c r="E242" i="27" a="1"/>
  <c r="UGH3" i="53" a="1"/>
  <c r="WSF3" i="53" a="1"/>
  <c r="GGR3" i="53" a="1"/>
  <c r="NKR3" i="53" a="1"/>
  <c r="NJL3" i="53" a="1"/>
  <c r="CR3" i="53" a="1"/>
  <c r="VPJ3" i="53" a="1"/>
  <c r="E284" i="27" a="1"/>
  <c r="CHB3" i="53" a="1"/>
  <c r="HNS3" i="53" a="1"/>
  <c r="LFJ3" i="53" a="1"/>
  <c r="DSJ3" i="53" a="1"/>
  <c r="PYN3" i="53" a="1"/>
  <c r="C72" i="27" a="1"/>
  <c r="AUT3" i="53" a="1"/>
  <c r="TDS3" i="53" a="1"/>
  <c r="ENB3" i="53" a="1"/>
  <c r="C191" i="27" a="1"/>
  <c r="C351" i="27" a="1"/>
  <c r="SHA3" i="53" a="1"/>
  <c r="MQL3" i="53" a="1"/>
  <c r="CWU3" i="53" a="1"/>
  <c r="C22" i="11" a="1"/>
  <c r="NML3" i="53" a="1"/>
  <c r="DZG3" i="53" a="1"/>
  <c r="LXS3" i="53" a="1"/>
  <c r="LOI3" i="53" a="1"/>
  <c r="C15" i="31" a="1"/>
  <c r="HNU3" i="53" a="1"/>
  <c r="NWF3" i="53" a="1"/>
  <c r="QSE3" i="53" a="1"/>
  <c r="EWM3" i="53" a="1"/>
  <c r="BDF3" i="53" a="1"/>
  <c r="FTM3" i="53" a="1"/>
  <c r="AAE3" i="53" a="1"/>
  <c r="XAN3" i="53" a="1"/>
  <c r="IPD3" i="53" a="1"/>
  <c r="DTS3" i="53" a="1"/>
  <c r="IDX3" i="53" a="1"/>
  <c r="CQJ3" i="53" a="1"/>
  <c r="IHF3" i="53" a="1"/>
  <c r="TUW3" i="53" a="1"/>
  <c r="DQS3" i="53" a="1"/>
  <c r="ULN3" i="53" a="1"/>
  <c r="MXB3" i="53" a="1"/>
  <c r="HVO3" i="53" a="1"/>
  <c r="FUK3" i="53" a="1"/>
  <c r="GPD3" i="53" a="1"/>
  <c r="TSK3" i="53" a="1"/>
  <c r="RYE3" i="53" a="1"/>
  <c r="OFR3" i="53" a="1"/>
  <c r="VLF3" i="53" a="1"/>
  <c r="JKA3" i="53" a="1"/>
  <c r="PHP3" i="53" a="1"/>
  <c r="VYK3" i="53" a="1"/>
  <c r="EU3" i="53" a="1"/>
  <c r="NBM3" i="53" a="1"/>
  <c r="APE3" i="53" a="1"/>
  <c r="SBW3" i="53" a="1"/>
  <c r="DLY3" i="53" a="1"/>
  <c r="XDI3" i="53" a="1"/>
  <c r="BXP3" i="53" a="1"/>
  <c r="VSH3" i="53" a="1"/>
  <c r="FPN3" i="53" a="1"/>
  <c r="AKM3" i="53" a="1"/>
  <c r="CUH3" i="53" a="1"/>
  <c r="UBS3" i="53" a="1"/>
  <c r="BUO3" i="53" a="1"/>
  <c r="RER3" i="53" a="1"/>
  <c r="MXC3" i="53" a="1"/>
  <c r="C162" i="27" a="1"/>
  <c r="NCK3" i="53" a="1"/>
  <c r="C134" i="27" a="1"/>
  <c r="HPK3" i="53" a="1"/>
  <c r="BYA3" i="53" a="1"/>
  <c r="ABR3" i="53" a="1"/>
  <c r="GHU3" i="53" a="1"/>
  <c r="MRC3" i="53" a="1"/>
  <c r="KSN3" i="53" a="1"/>
  <c r="NDK3" i="53" a="1"/>
  <c r="VBA3" i="53" a="1"/>
  <c r="YO3" i="53" a="1"/>
  <c r="DBT3" i="53" a="1"/>
  <c r="WRV3" i="53" a="1"/>
  <c r="PBZ3" i="53" a="1"/>
  <c r="PJY3" i="53" a="1"/>
  <c r="NON3" i="53" a="1"/>
  <c r="FAP3" i="53" a="1"/>
  <c r="C5" i="6" a="1"/>
  <c r="WUK3" i="53" a="1"/>
  <c r="IVJ3" i="53" a="1"/>
  <c r="HAI3" i="53" a="1"/>
  <c r="E29" i="27" a="1"/>
  <c r="NOK3" i="53" a="1"/>
  <c r="A3" i="12" a="1"/>
  <c r="GHL3" i="53" a="1"/>
  <c r="NZV3" i="53" a="1"/>
  <c r="HNR3" i="53" a="1"/>
  <c r="KKW3" i="53" a="1"/>
  <c r="IEM3" i="53" a="1"/>
  <c r="AFS3" i="53" a="1"/>
  <c r="HQF3" i="53" a="1"/>
  <c r="HGE3" i="53" a="1"/>
  <c r="VQQ3" i="53" a="1"/>
  <c r="FY3" i="53" a="1"/>
  <c r="SSL3" i="53" a="1"/>
  <c r="C60" i="27" a="1"/>
  <c r="HKY3" i="53" a="1"/>
  <c r="TKL3" i="53" a="1"/>
  <c r="EWU3" i="53" a="1"/>
  <c r="E162" i="27" a="1"/>
  <c r="A3" i="55" a="1"/>
  <c r="GZQ3" i="53" a="1"/>
  <c r="E15" i="46" a="1"/>
  <c r="RMA3" i="53" a="1"/>
  <c r="DRS3" i="53" a="1"/>
  <c r="CWR3" i="53" a="1"/>
  <c r="CGP3" i="53" a="1"/>
  <c r="BAU3" i="53" a="1"/>
  <c r="SWS3" i="53" a="1"/>
  <c r="SJN3" i="53" a="1"/>
  <c r="SEA3" i="53" a="1"/>
  <c r="BJE3" i="53" a="1"/>
  <c r="HMQ3" i="53" a="1"/>
  <c r="QIR3" i="53" a="1"/>
  <c r="E172" i="27" a="1"/>
  <c r="C64" i="4" a="1"/>
  <c r="E337" i="27" a="1"/>
  <c r="E268" i="27" a="1"/>
  <c r="E7" i="27" a="1"/>
  <c r="C31" i="53" a="1"/>
  <c r="MBX3" i="53" a="1"/>
  <c r="LEG3" i="53" a="1"/>
  <c r="QNO3" i="53" a="1"/>
  <c r="QFA3" i="53" a="1"/>
  <c r="C403" i="27" a="1"/>
  <c r="DCY3" i="53" a="1"/>
  <c r="MK3" i="53" a="1"/>
  <c r="WRI3" i="53" a="1"/>
  <c r="RAE3" i="53" a="1"/>
  <c r="JNU3" i="53" a="1"/>
  <c r="OBO3" i="53" a="1"/>
  <c r="TMV3" i="53" a="1"/>
  <c r="QNG3" i="53" a="1"/>
  <c r="DOC3" i="53" a="1"/>
  <c r="QSK3" i="53" a="1"/>
  <c r="XM3" i="53" a="1"/>
  <c r="E353" i="27" a="1"/>
  <c r="B3" i="9" a="1"/>
  <c r="KHO3" i="53" a="1"/>
  <c r="AJR3" i="53" a="1"/>
  <c r="RCE3" i="53" a="1"/>
  <c r="UZT3" i="53" a="1"/>
  <c r="YL3" i="53" a="1"/>
  <c r="E289" i="27" a="1"/>
  <c r="NVT3" i="53" a="1"/>
  <c r="MOM3" i="53" a="1"/>
  <c r="MPS3" i="53" a="1"/>
  <c r="JOX3" i="53" a="1"/>
  <c r="MJZ3" i="53" a="1"/>
  <c r="HQT3" i="53" a="1"/>
  <c r="C19" i="27" a="1"/>
  <c r="QBV3" i="53" a="1"/>
  <c r="MUK3" i="53" a="1"/>
  <c r="QXT3" i="53" a="1"/>
  <c r="BJK3" i="53" a="1"/>
  <c r="SFI3" i="53" a="1"/>
  <c r="ITB3" i="53" a="1"/>
  <c r="EUP3" i="53" a="1"/>
  <c r="B3" i="27" a="1"/>
  <c r="VUK3" i="53" a="1"/>
  <c r="KGK3" i="53" a="1"/>
  <c r="FCB3" i="53" a="1"/>
  <c r="E200" i="27" a="1"/>
  <c r="UQI3" i="53" a="1"/>
  <c r="FPW3" i="53" a="1"/>
  <c r="FDN3" i="53" a="1"/>
  <c r="XCS3" i="53" a="1"/>
  <c r="DPJ3" i="53" a="1"/>
  <c r="HGJ3" i="53" a="1"/>
  <c r="RZD3" i="53" a="1"/>
  <c r="EHW3" i="53" a="1"/>
  <c r="VES3" i="53" a="1"/>
  <c r="C368" i="27" a="1"/>
  <c r="D3" i="12" a="1"/>
  <c r="HHW3" i="53" a="1"/>
  <c r="GQ3" i="53" a="1"/>
  <c r="HET3" i="53" a="1"/>
  <c r="AEN3" i="53" a="1"/>
  <c r="NCA3" i="53" a="1"/>
  <c r="GKU3" i="53" a="1"/>
  <c r="SOA3" i="53" a="1"/>
  <c r="SMZ3" i="53" a="1"/>
  <c r="MRL3" i="53" a="1"/>
  <c r="VBX3" i="53" a="1"/>
  <c r="BSJ3" i="53" a="1"/>
  <c r="HEY3" i="53" a="1"/>
  <c r="BCX3" i="53" a="1"/>
  <c r="FQG3" i="53" a="1"/>
  <c r="AWS3" i="53" a="1"/>
  <c r="WBB3" i="53" a="1"/>
  <c r="C13" i="6" a="1"/>
  <c r="URH3" i="53" a="1"/>
  <c r="E70" i="27" a="1"/>
  <c r="IXK3" i="53" a="1"/>
  <c r="CXO3" i="53" a="1"/>
  <c r="FDY3" i="53" a="1"/>
  <c r="JCX3" i="53" a="1"/>
  <c r="E136" i="27" a="1"/>
  <c r="PFY3" i="53" a="1"/>
  <c r="WAI3" i="53" a="1"/>
  <c r="LIP3" i="53" a="1"/>
  <c r="E65" i="4" a="1"/>
  <c r="E221" i="27" a="1"/>
  <c r="E95" i="27" a="1"/>
  <c r="C28" i="40" a="1"/>
  <c r="ESL3" i="53" a="1"/>
  <c r="G50" i="40" a="1"/>
  <c r="E207" i="27" a="1"/>
  <c r="PFZ3" i="53" a="1"/>
  <c r="HPI3" i="53" a="1"/>
  <c r="NIM3" i="53" a="1"/>
  <c r="IUH3" i="53" a="1"/>
  <c r="IFH3" i="53" a="1"/>
  <c r="LMN3" i="53" a="1"/>
  <c r="SRM3" i="53" a="1"/>
  <c r="GGX3" i="53" a="1"/>
  <c r="DIC3" i="53" a="1"/>
  <c r="LQH3" i="53" a="1"/>
  <c r="PES3" i="53" a="1"/>
  <c r="TSA3" i="53" a="1"/>
  <c r="WAX3" i="53" a="1"/>
  <c r="E258" i="27" a="1"/>
  <c r="MYU3" i="53" a="1"/>
  <c r="C25" i="11" a="1"/>
  <c r="KZV3" i="53" a="1"/>
  <c r="GII3" i="53" a="1"/>
  <c r="AZT3" i="53" a="1"/>
  <c r="E88" i="27" a="1"/>
  <c r="E344" i="27" a="1"/>
  <c r="ELG3" i="53" a="1"/>
  <c r="VLA3" i="53" a="1"/>
  <c r="OFX3" i="53" a="1"/>
  <c r="LFP3" i="53" a="1"/>
  <c r="AP3" i="53" a="1"/>
  <c r="FJW3" i="53" a="1"/>
  <c r="DEZ3" i="53" a="1"/>
  <c r="E170" i="27" a="1"/>
  <c r="LMA3" i="53" a="1"/>
  <c r="QQY3" i="53" a="1"/>
  <c r="GUB3" i="53" a="1"/>
  <c r="RVH3" i="53" a="1"/>
  <c r="GJA3" i="53" a="1"/>
  <c r="IKM3" i="53" a="1"/>
  <c r="E15" i="4" a="1"/>
  <c r="PSN3" i="53" a="1"/>
  <c r="QBK3" i="53" a="1"/>
  <c r="CRV3" i="53" a="1"/>
  <c r="LSL3" i="53" a="1"/>
  <c r="LMZ3" i="53" a="1"/>
  <c r="OQW3" i="53" a="1"/>
  <c r="CWC3" i="53" a="1"/>
  <c r="RRY3" i="53" a="1"/>
  <c r="C219" i="27" a="1"/>
  <c r="VWQ3" i="53" a="1"/>
  <c r="CKH3" i="53" a="1"/>
  <c r="VLU3" i="53" a="1"/>
  <c r="MNK3" i="53" a="1"/>
  <c r="MAO3" i="53" a="1"/>
  <c r="BXZ3" i="53" a="1"/>
  <c r="CHL3" i="53" a="1"/>
  <c r="C340" i="27" a="1"/>
  <c r="E267" i="27" a="1"/>
  <c r="TXZ3" i="53" a="1"/>
  <c r="E283" i="27" a="1"/>
  <c r="E21" i="27" a="1"/>
  <c r="C357" i="27" a="1"/>
  <c r="WAF3" i="53" a="1"/>
  <c r="C260" i="27" a="1"/>
  <c r="C16" i="11" a="1"/>
  <c r="C109" i="27" a="1"/>
  <c r="AYI3" i="53" a="1"/>
  <c r="NKC3" i="53" a="1"/>
  <c r="WLW3" i="53" a="1"/>
  <c r="UFS3" i="53" a="1"/>
  <c r="VAD3" i="53" a="1"/>
  <c r="NJK3" i="53" a="1"/>
  <c r="FPK3" i="53" a="1"/>
  <c r="CTC3" i="53" a="1"/>
  <c r="WXC3" i="53" a="1"/>
  <c r="AEP3" i="53" a="1"/>
  <c r="EW3" i="53" a="1"/>
  <c r="AWW3" i="53" a="1"/>
  <c r="RAF3" i="53" a="1"/>
  <c r="VUX3" i="53" a="1"/>
  <c r="SMH3" i="53" a="1"/>
  <c r="EIG3" i="53" a="1"/>
  <c r="ELJ3" i="53" a="1"/>
  <c r="APF3" i="53" a="1"/>
  <c r="TWN3" i="53" a="1"/>
  <c r="RMQ3" i="53" a="1"/>
  <c r="PLK3" i="53" a="1"/>
  <c r="EIQ3" i="53" a="1"/>
  <c r="FCU3" i="53" a="1"/>
  <c r="MGT3" i="53" a="1"/>
  <c r="RMP3" i="53" a="1"/>
  <c r="TRX3" i="53" a="1"/>
  <c r="WJW3" i="53" a="1"/>
  <c r="IAA3" i="53" a="1"/>
  <c r="JBY3" i="53" a="1"/>
  <c r="E110" i="27" a="1"/>
  <c r="EFJ3" i="53" a="1"/>
  <c r="TLU3" i="53" a="1"/>
  <c r="RTT3" i="53" a="1"/>
  <c r="MDT3" i="53" a="1"/>
  <c r="WXU3" i="53" a="1"/>
  <c r="QCO3" i="53" a="1"/>
  <c r="PHV3" i="53" a="1"/>
  <c r="QMD3" i="53" a="1"/>
  <c r="LUJ3" i="53" a="1"/>
  <c r="CXJ3" i="53" a="1"/>
  <c r="QNL3" i="53" a="1"/>
  <c r="NKV3" i="53" a="1"/>
  <c r="CRZ3" i="53" a="1"/>
  <c r="E11" i="27" a="1"/>
  <c r="GVI3" i="53" a="1"/>
  <c r="E379" i="27" a="1"/>
  <c r="DQP3" i="53" a="1"/>
  <c r="KWK3" i="53" a="1"/>
  <c r="E159" i="27" a="1"/>
  <c r="KRB3" i="53" a="1"/>
  <c r="PWT3" i="53" a="1"/>
  <c r="C8" i="37" a="1"/>
  <c r="FGU3" i="53" a="1"/>
  <c r="NDR3" i="53" a="1"/>
  <c r="C272" i="27" a="1"/>
  <c r="IQH3" i="53" a="1"/>
  <c r="G23" i="40" a="1"/>
  <c r="TUN3" i="53" a="1"/>
  <c r="MIO3" i="53" a="1"/>
  <c r="ONM3" i="53" a="1"/>
  <c r="PNO3" i="53" a="1"/>
  <c r="WKZ3" i="53" a="1"/>
  <c r="C44" i="4" a="1"/>
  <c r="FA3" i="53" a="1"/>
  <c r="UIM3" i="53" a="1"/>
  <c r="C33" i="40" a="1"/>
  <c r="LHS3" i="53" a="1"/>
  <c r="FJI3" i="53" a="1"/>
  <c r="F3" i="12" a="1"/>
  <c r="C3" i="62" a="1"/>
  <c r="NGI3" i="53" a="1"/>
  <c r="AJU3" i="53" a="1"/>
  <c r="BTE3" i="53" a="1"/>
  <c r="BBX3" i="53" a="1"/>
  <c r="BGE3" i="53" a="1"/>
  <c r="AZW3" i="53" a="1"/>
  <c r="IOD3" i="53" a="1"/>
  <c r="BLE3" i="53" a="1"/>
  <c r="SEI3" i="53" a="1"/>
  <c r="LEU3" i="53" a="1"/>
  <c r="UJD3" i="53" a="1"/>
  <c r="OIA3" i="53" a="1"/>
  <c r="CVV3" i="53" a="1"/>
  <c r="C317" i="27" a="1"/>
  <c r="HWJ3" i="53" a="1"/>
  <c r="C414" i="27" a="1"/>
  <c r="E356" i="27" a="1"/>
  <c r="MPQ3" i="53" a="1"/>
  <c r="DNX3" i="53" a="1"/>
  <c r="C27" i="27" a="1"/>
  <c r="C321" i="27" a="1"/>
  <c r="C25" i="27" a="1"/>
  <c r="QQJ3" i="53" a="1"/>
  <c r="PAC3" i="53" a="1"/>
  <c r="CW3" i="53" a="1"/>
  <c r="BJW3" i="53" a="1"/>
  <c r="D3" i="20" a="1"/>
  <c r="FJD3" i="53" a="1"/>
  <c r="C224" i="27" a="1"/>
  <c r="NC3" i="53" a="1"/>
  <c r="C12" i="27" a="1"/>
  <c r="LBN3" i="53" a="1"/>
  <c r="FCA3" i="53" a="1"/>
  <c r="PWZ3" i="53" a="1"/>
  <c r="AQS3" i="53" a="1"/>
  <c r="HBA3" i="53" a="1"/>
  <c r="C52" i="4" a="1"/>
  <c r="C5" i="56" a="1"/>
  <c r="C324" i="27" a="1"/>
  <c r="E156" i="27" a="1"/>
  <c r="C165" i="27" a="1"/>
  <c r="OFH3" i="53" a="1"/>
  <c r="OYP3" i="53" a="1"/>
  <c r="DYY3" i="53" a="1"/>
  <c r="TOS3" i="53" a="1"/>
  <c r="NFL3" i="53" a="1"/>
  <c r="E368" i="27" a="1"/>
  <c r="E129" i="27" a="1"/>
  <c r="KNY3" i="53" a="1"/>
  <c r="KDK3" i="53" a="1"/>
  <c r="CTU3" i="53" a="1"/>
  <c r="SGH3" i="53" a="1"/>
  <c r="KNR3" i="53" a="1"/>
  <c r="E25" i="40" a="1"/>
  <c r="RXS3" i="53" a="1"/>
  <c r="VPQ3" i="53" a="1"/>
  <c r="HKG3" i="53" a="1"/>
  <c r="G32" i="40" a="1"/>
  <c r="OXB3" i="53" a="1"/>
  <c r="SHW3" i="53" a="1"/>
  <c r="MIM3" i="53" a="1"/>
  <c r="TMM3" i="53" a="1"/>
  <c r="E317" i="27" a="1"/>
  <c r="E18" i="31" a="1"/>
  <c r="BLQ3" i="53" a="1"/>
  <c r="KTM3" i="53" a="1"/>
  <c r="C34" i="6" a="1"/>
  <c r="JVY3" i="53" a="1"/>
  <c r="APA3" i="53" a="1"/>
  <c r="C3" i="46" a="1"/>
  <c r="H3" i="22" a="1"/>
  <c r="RHV3" i="53" a="1"/>
  <c r="C375" i="27" a="1"/>
  <c r="MZT3" i="53" a="1"/>
  <c r="SDC3" i="53" a="1"/>
  <c r="EVS3" i="53" a="1"/>
  <c r="EOG3" i="53" a="1"/>
  <c r="C18" i="4" a="1"/>
  <c r="ZI3" i="53" a="1"/>
  <c r="E3" i="50" a="1"/>
  <c r="HUP3" i="53" a="1"/>
  <c r="TRW3" i="53" a="1"/>
  <c r="C405" i="27" a="1"/>
  <c r="AWQ3" i="53" a="1"/>
  <c r="E291" i="27" a="1"/>
  <c r="PRP3" i="53" a="1"/>
  <c r="EBW3" i="53" a="1"/>
  <c r="MNU3" i="53" a="1"/>
  <c r="RSG3" i="53" a="1"/>
  <c r="BGV3" i="53" a="1"/>
  <c r="C167" i="27" a="1"/>
  <c r="BQU3" i="53" a="1"/>
  <c r="CWI3" i="53" a="1"/>
  <c r="QWU3" i="53" a="1"/>
  <c r="MTP3" i="53" a="1"/>
  <c r="EIS3" i="53" a="1"/>
  <c r="E261" i="27" a="1"/>
  <c r="CIY3" i="53" a="1"/>
  <c r="FL3" i="53" a="1"/>
  <c r="MBC3" i="53" a="1"/>
  <c r="MAY3" i="53" a="1"/>
  <c r="LHU3" i="53" a="1"/>
  <c r="BEU3" i="53" a="1"/>
  <c r="A3" i="52" a="1"/>
  <c r="C106" i="27" a="1"/>
  <c r="EH3" i="53" a="1"/>
  <c r="PKS3" i="53" a="1"/>
  <c r="BMH3" i="53" a="1"/>
  <c r="E5" i="15" a="1"/>
  <c r="C168" i="27" a="1"/>
  <c r="DIN3" i="53" a="1"/>
  <c r="C353" i="27" a="1"/>
  <c r="C63" i="4" a="1"/>
  <c r="RCC3" i="53" a="1"/>
  <c r="KQX3" i="53" a="1"/>
  <c r="EOM3" i="53" a="1"/>
  <c r="FFV3" i="53" a="1"/>
  <c r="OUZ3" i="53" a="1"/>
  <c r="EMZ3" i="53" a="1"/>
  <c r="C14" i="46" a="1"/>
  <c r="PCV3" i="53" a="1"/>
  <c r="FFL3" i="53" a="1"/>
  <c r="GWJ3" i="53" a="1"/>
  <c r="TFQ3" i="53" a="1"/>
  <c r="EKA3" i="53" a="1"/>
  <c r="PKH3" i="53" a="1"/>
  <c r="EGI3" i="53" a="1"/>
  <c r="IWO3" i="53" a="1"/>
  <c r="MUJ3" i="53" a="1"/>
  <c r="EMR3" i="53" a="1"/>
  <c r="UDX3" i="53" a="1"/>
  <c r="BEY3" i="53" a="1"/>
  <c r="BLP3" i="53" a="1"/>
  <c r="GXQ3" i="53" a="1"/>
  <c r="NVR3" i="53" a="1"/>
  <c r="HWK3" i="53" a="1"/>
  <c r="VIH3" i="53" a="1"/>
  <c r="XAF3" i="53" a="1"/>
  <c r="LDC3" i="53" a="1"/>
  <c r="C190" i="27" a="1"/>
  <c r="ASD3" i="53" a="1"/>
  <c r="DVT3" i="53" a="1"/>
  <c r="MAP3" i="53" a="1"/>
  <c r="AZG3" i="53" a="1"/>
  <c r="I3" i="2" a="1"/>
  <c r="DKL3" i="53" a="1"/>
  <c r="C364" i="27" a="1"/>
  <c r="DJO3" i="53" a="1"/>
  <c r="MDQ3" i="53" a="1"/>
  <c r="UEH3" i="53" a="1"/>
  <c r="FGC3" i="53" a="1"/>
  <c r="KZG3" i="53" a="1"/>
  <c r="GMG3" i="53" a="1"/>
  <c r="C262" i="27" a="1"/>
  <c r="MP3" i="53" a="1"/>
  <c r="WGW3" i="53" a="1"/>
  <c r="E125" i="27" a="1"/>
  <c r="C256" i="27" a="1"/>
  <c r="E208" i="27" a="1"/>
  <c r="C258" i="27" a="1"/>
  <c r="RXM3" i="53" a="1"/>
  <c r="C42" i="2" a="1"/>
  <c r="C8" i="40" a="1"/>
  <c r="XBH3" i="53" a="1"/>
  <c r="NLB3" i="53" a="1"/>
  <c r="C349" i="27" a="1"/>
  <c r="BSB3" i="53" a="1"/>
  <c r="HZR3" i="53" a="1"/>
  <c r="C28" i="11" a="1"/>
  <c r="BYI3" i="53" a="1"/>
  <c r="MGK3" i="53" a="1"/>
  <c r="GYB3" i="53" a="1"/>
  <c r="ETF3" i="53" a="1"/>
  <c r="GCK3" i="53" a="1"/>
  <c r="GQJ3" i="53" a="1"/>
  <c r="OVZ3" i="53" a="1"/>
  <c r="E35" i="4" a="1"/>
  <c r="HLR3" i="53" a="1"/>
  <c r="VLY3" i="53" a="1"/>
  <c r="G21" i="40" a="1"/>
  <c r="OME3" i="53" a="1"/>
  <c r="E68" i="27" a="1"/>
  <c r="QRN3" i="53" a="1"/>
  <c r="LXD3" i="53" a="1"/>
  <c r="C181" i="27" a="1"/>
  <c r="TK3" i="53" a="1"/>
  <c r="NOP3" i="53" a="1"/>
  <c r="C43" i="27" a="1"/>
  <c r="E333" i="27" a="1"/>
  <c r="CPW3" i="53" a="1"/>
  <c r="E185" i="27" a="1"/>
  <c r="E326" i="27" a="1"/>
  <c r="HLA3" i="53" a="1"/>
  <c r="OC3" i="53" a="1"/>
  <c r="EVY3" i="53" a="1"/>
  <c r="FKH3" i="53" a="1"/>
  <c r="ALU3" i="53" a="1"/>
  <c r="E352" i="27" a="1"/>
  <c r="C44" i="11" a="1"/>
  <c r="NRW3" i="53" a="1"/>
  <c r="MJF3" i="53" a="1"/>
  <c r="CNL3" i="53" a="1"/>
  <c r="E105" i="27" a="1"/>
  <c r="TSD3" i="53" a="1"/>
  <c r="WZS3" i="53" a="1"/>
  <c r="UAL3" i="53" a="1"/>
  <c r="DJX3" i="53" a="1"/>
  <c r="WOT3" i="53" a="1"/>
  <c r="SWP3" i="53" a="1"/>
  <c r="RGJ3" i="53" a="1"/>
  <c r="WAC3" i="53" a="1"/>
  <c r="RUZ3" i="53" a="1"/>
  <c r="WEN3" i="53" a="1"/>
  <c r="NNG3" i="53" a="1"/>
  <c r="SPY3" i="53" a="1"/>
  <c r="UQB3" i="53" a="1"/>
  <c r="C31" i="11" a="1"/>
  <c r="C193" i="27" a="1"/>
  <c r="MVW3" i="53" a="1"/>
  <c r="CT3" i="53" a="1"/>
  <c r="E386" i="27" a="1"/>
  <c r="E197" i="27" a="1"/>
  <c r="UQO3" i="53" a="1"/>
  <c r="KUF3" i="53" a="1"/>
  <c r="ARB3" i="53" a="1"/>
  <c r="E243" i="27" a="1"/>
  <c r="BMD3" i="53" a="1"/>
  <c r="HCK3" i="53" a="1"/>
  <c r="GQS3" i="53" a="1"/>
  <c r="SZZ3" i="53" a="1"/>
  <c r="B3" i="52" a="1"/>
  <c r="INR3" i="53" a="1"/>
  <c r="LFG3" i="53" a="1"/>
  <c r="C9" i="11" a="1"/>
  <c r="EJJ3" i="53" a="1"/>
  <c r="AKE3" i="53" a="1"/>
  <c r="CWA3" i="53" a="1"/>
  <c r="NPW3" i="53" a="1"/>
  <c r="JPK3" i="53" a="1"/>
  <c r="C231" i="27" a="1"/>
  <c r="RPH3" i="53" a="1"/>
  <c r="XCJ3" i="53" a="1"/>
  <c r="VQB3" i="53" a="1"/>
  <c r="C83" i="27" a="1"/>
  <c r="GZF3" i="53" a="1"/>
  <c r="OIY3" i="53" a="1"/>
  <c r="RUU3" i="53" a="1"/>
  <c r="NUV3" i="53" a="1"/>
  <c r="BNU3" i="53" a="1"/>
  <c r="G31" i="40" a="1"/>
  <c r="KKE3" i="53" a="1"/>
  <c r="OVH3" i="53" a="1"/>
  <c r="FB3" i="53" a="1"/>
  <c r="CAF3" i="53" a="1"/>
  <c r="TKW3" i="53" a="1"/>
  <c r="VWZ3" i="53" a="1"/>
  <c r="IRN3" i="53" a="1"/>
  <c r="C5" i="11" a="1"/>
  <c r="JKU3" i="53" a="1"/>
  <c r="VRA3" i="53" a="1"/>
  <c r="TRJ3" i="53" a="1"/>
  <c r="OFA3" i="53" a="1"/>
  <c r="BTN3" i="53" a="1"/>
  <c r="E290" i="27" a="1"/>
  <c r="FMS3" i="53" a="1"/>
  <c r="OQR3" i="53" a="1"/>
  <c r="RWK3" i="53" a="1"/>
  <c r="C29" i="27" a="1"/>
  <c r="E34" i="40" a="1"/>
  <c r="PLW3" i="53" a="1"/>
  <c r="DBM3" i="53" a="1"/>
  <c r="ZQ3" i="53" a="1"/>
  <c r="CAW3" i="53" a="1"/>
  <c r="E33" i="4" a="1"/>
  <c r="YH3" i="53" a="1"/>
  <c r="GGE3" i="53" a="1"/>
  <c r="OUR3" i="53" a="1"/>
  <c r="VMW3" i="53" a="1"/>
  <c r="C56" i="27" a="1"/>
  <c r="DRV3" i="53" a="1"/>
  <c r="RFE3" i="53" a="1"/>
  <c r="BC3" i="53" a="1"/>
  <c r="LBX3" i="53" a="1"/>
  <c r="E24" i="4" a="1"/>
  <c r="JHE3" i="53" a="1"/>
  <c r="KRH3" i="53" a="1"/>
  <c r="LDB3" i="53" a="1"/>
  <c r="EZS3" i="53" a="1"/>
  <c r="WHC3" i="53" a="1"/>
  <c r="BCB3" i="53" a="1"/>
  <c r="LCH3" i="53" a="1"/>
  <c r="FGL3" i="53" a="1"/>
  <c r="QEC3" i="53" a="1"/>
  <c r="BUP3" i="53" a="1"/>
  <c r="GXW3" i="53" a="1"/>
  <c r="GUI3" i="53" a="1"/>
  <c r="E213" i="27" a="1"/>
  <c r="FVY3" i="53" a="1"/>
  <c r="PHX3" i="53" a="1"/>
  <c r="QDD3" i="53" a="1"/>
  <c r="C315" i="27" a="1"/>
  <c r="BUD3" i="53" a="1"/>
  <c r="KXB3" i="53" a="1"/>
  <c r="QPT3" i="53" a="1"/>
  <c r="UXA3" i="53" a="1"/>
  <c r="RBZ3" i="53" a="1"/>
  <c r="PGT3" i="53" a="1"/>
  <c r="NTY3" i="53" a="1"/>
  <c r="LVX3" i="53" a="1"/>
  <c r="AQY3" i="53" a="1"/>
  <c r="IIF3" i="53" a="1"/>
  <c r="RWL3" i="53" a="1"/>
  <c r="MSZ3" i="53" a="1"/>
  <c r="EBP3" i="53" a="1"/>
  <c r="E14" i="27" a="1"/>
  <c r="QOZ3" i="53" a="1"/>
  <c r="OOM3" i="53" a="1"/>
  <c r="VNX3" i="53" a="1"/>
  <c r="EJS3" i="53" a="1"/>
  <c r="HZN3" i="53" a="1"/>
  <c r="IPA3" i="53" a="1"/>
  <c r="SRS3" i="53" a="1"/>
  <c r="SLY3" i="53" a="1"/>
  <c r="NWK3" i="53" a="1"/>
  <c r="TXG3" i="53" a="1"/>
  <c r="DCS3" i="53" a="1"/>
  <c r="IWP3" i="53" a="1"/>
  <c r="WDO3" i="53" a="1"/>
  <c r="PSC3" i="53" a="1"/>
  <c r="TUC3" i="53" a="1"/>
  <c r="ETE3" i="53" a="1"/>
  <c r="UFK3" i="53" a="1"/>
  <c r="PXO3" i="53" a="1"/>
  <c r="AVQ3" i="53" a="1"/>
  <c r="UIS3" i="53" a="1"/>
  <c r="LRS3" i="53" a="1"/>
  <c r="IPM3" i="53" a="1"/>
  <c r="NIR3" i="53" a="1"/>
  <c r="SJI3" i="53" a="1"/>
  <c r="AKC3" i="53" a="1"/>
  <c r="TPO3" i="53" a="1"/>
  <c r="AZZ3" i="53" a="1"/>
  <c r="QMN3" i="53" a="1"/>
  <c r="OJR3" i="53" a="1"/>
  <c r="KMH3" i="53" a="1"/>
  <c r="BOU3" i="53" a="1"/>
  <c r="LKQ3" i="53" a="1"/>
  <c r="TFO3" i="53" a="1"/>
  <c r="OUT3" i="53" a="1"/>
  <c r="CWD3" i="53" a="1"/>
  <c r="PYL3" i="53" a="1"/>
  <c r="DRW3" i="53" a="1"/>
  <c r="QFL3" i="53" a="1"/>
  <c r="C12" i="46" a="1"/>
  <c r="ETW3" i="53" a="1"/>
  <c r="KHS3" i="53" a="1"/>
  <c r="VYQ3" i="53" a="1"/>
  <c r="OZI3" i="53" a="1"/>
  <c r="PY3" i="53" a="1"/>
  <c r="TYQ3" i="53" a="1"/>
  <c r="QDV3" i="53" a="1"/>
  <c r="LCW3" i="53" a="1"/>
  <c r="C390" i="27" a="1"/>
  <c r="PDG3" i="53" a="1"/>
  <c r="OAG3" i="53" a="1"/>
  <c r="NOQ3" i="53" a="1"/>
  <c r="DXK3" i="53" a="1"/>
  <c r="EEK3" i="53" a="1"/>
  <c r="CPL3" i="53" a="1"/>
  <c r="HND3" i="53" a="1"/>
  <c r="IFA3" i="53" a="1"/>
  <c r="EVE3" i="53" a="1"/>
  <c r="C365" i="27" a="1"/>
  <c r="WYY3" i="53" a="1"/>
  <c r="UFZ3" i="53" a="1"/>
  <c r="DNC3" i="53" a="1"/>
  <c r="FG3" i="53" a="1"/>
  <c r="C388" i="27" a="1"/>
  <c r="KBP3" i="53" a="1"/>
  <c r="E338" i="27" a="1"/>
  <c r="CMZ3" i="53" a="1"/>
  <c r="TDJ3" i="53" a="1"/>
  <c r="E51" i="40" a="1"/>
  <c r="JFJ3" i="53" a="1"/>
  <c r="IWM3" i="53" a="1"/>
  <c r="DJJ3" i="53" a="1"/>
  <c r="C41" i="11" a="1"/>
  <c r="DOF3" i="53" a="1"/>
  <c r="NXV3" i="53" a="1"/>
  <c r="UHU3" i="53" a="1"/>
  <c r="NCP3" i="53" a="1"/>
  <c r="HEN3" i="53" a="1"/>
  <c r="AKN3" i="53" a="1"/>
  <c r="A3" i="34" a="1"/>
  <c r="BDO3" i="53" a="1"/>
  <c r="E121" i="27" a="1"/>
  <c r="GCL3" i="53" a="1"/>
  <c r="E174" i="27" a="1"/>
  <c r="OSA3" i="53" a="1"/>
  <c r="QYH3" i="53" a="1"/>
  <c r="HUZ3" i="53" a="1"/>
  <c r="BBE3" i="53" a="1"/>
  <c r="LSB3" i="53" a="1"/>
  <c r="KQK3" i="53" a="1"/>
  <c r="E398" i="27" a="1"/>
  <c r="NIG3" i="53" a="1"/>
  <c r="KYP3" i="53" a="1"/>
  <c r="C400" i="27" a="1"/>
  <c r="QTV3" i="53" a="1"/>
  <c r="FTP3" i="53" a="1"/>
  <c r="IEL3" i="53" a="1"/>
  <c r="SCY3" i="53" a="1"/>
  <c r="PXX3" i="53" a="1"/>
  <c r="LIR3" i="53" a="1"/>
  <c r="CLR3" i="53" a="1"/>
  <c r="FGH3" i="53" a="1"/>
  <c r="PFE3" i="53" a="1"/>
  <c r="DCL3" i="53" a="1"/>
  <c r="ABM3" i="53" a="1"/>
  <c r="KFY3" i="53" a="1"/>
  <c r="CSJ3" i="53" a="1"/>
  <c r="KKA3" i="53" a="1"/>
  <c r="BLT3" i="53" a="1"/>
  <c r="WUX3" i="53" a="1"/>
  <c r="KXZ3" i="53" a="1"/>
  <c r="E64" i="27" a="1"/>
  <c r="QTF3" i="53" a="1"/>
  <c r="LTJ3" i="53" a="1"/>
  <c r="C13" i="11" a="1"/>
  <c r="KVR3" i="53" a="1"/>
  <c r="EGD3" i="53" a="1"/>
  <c r="UAT3" i="53" a="1"/>
  <c r="AYQ3" i="53" a="1"/>
  <c r="KIO3" i="53" a="1"/>
  <c r="IVW3" i="53" a="1"/>
  <c r="TBC3" i="53" a="1"/>
  <c r="KZR3" i="53" a="1"/>
  <c r="IPK3" i="53" a="1"/>
  <c r="PSM3" i="53" a="1"/>
  <c r="C266" i="27" a="1"/>
  <c r="PWF3" i="53" a="1"/>
  <c r="C322" i="27" a="1"/>
  <c r="MGO3" i="53" a="1"/>
  <c r="AGD3" i="53" a="1"/>
  <c r="E164" i="27" a="1"/>
  <c r="C35" i="59" a="1"/>
  <c r="VKB3" i="53" a="1"/>
  <c r="LNC3" i="53" a="1"/>
  <c r="ODR3" i="53" a="1"/>
  <c r="QUD3" i="53" a="1"/>
  <c r="LCZ3" i="53" a="1"/>
  <c r="LHD3" i="53" a="1"/>
  <c r="JPM3" i="53" a="1"/>
  <c r="PHD3" i="53" a="1"/>
  <c r="GIA3" i="53" a="1"/>
  <c r="LYT3" i="53" a="1"/>
  <c r="PXY3" i="53" a="1"/>
  <c r="QII3" i="53" a="1"/>
  <c r="JLZ3" i="53" a="1"/>
  <c r="E406" i="27" a="1"/>
  <c r="ORC3" i="53" a="1"/>
  <c r="C298" i="27" a="1"/>
  <c r="TTT3" i="53" a="1"/>
  <c r="PEV3" i="53" a="1"/>
  <c r="KVL3" i="53" a="1"/>
  <c r="HMZ3" i="53" a="1"/>
  <c r="SX3" i="53" a="1"/>
  <c r="GVK3" i="53" a="1"/>
  <c r="DPV3" i="53" a="1"/>
  <c r="E252" i="27" a="1"/>
  <c r="C413" i="27" a="1"/>
  <c r="IIK3" i="53" a="1"/>
  <c r="LGD3" i="53" a="1"/>
  <c r="GEY3" i="53" a="1"/>
  <c r="KGT3" i="53" a="1"/>
  <c r="GHE3" i="53" a="1"/>
  <c r="CWP3" i="53" a="1"/>
  <c r="C174" i="27" a="1"/>
  <c r="SKL3" i="53" a="1"/>
  <c r="VSK3" i="53" a="1"/>
  <c r="C45" i="11" a="1"/>
  <c r="BVM3" i="53" a="1"/>
  <c r="UUK3" i="53" a="1"/>
  <c r="HSD3" i="53" a="1"/>
  <c r="KPV3" i="53" a="1"/>
  <c r="TCD3" i="53" a="1"/>
  <c r="EKS3" i="53" a="1"/>
  <c r="MTF3" i="53" a="1"/>
  <c r="FUQ3" i="53" a="1"/>
  <c r="GGG3" i="53" a="1"/>
  <c r="QKI3" i="53" a="1"/>
  <c r="E35" i="27" a="1"/>
  <c r="RZR3" i="53" a="1"/>
  <c r="FUR3" i="53" a="1"/>
  <c r="GCC3" i="53" a="1"/>
  <c r="ERQ3" i="53" a="1"/>
  <c r="KLR3" i="53" a="1"/>
  <c r="C6" i="57" a="1"/>
  <c r="NLV3" i="53" a="1"/>
  <c r="R3" i="12" a="1"/>
  <c r="VHW3" i="53" a="1"/>
  <c r="FPS3" i="53" a="1"/>
  <c r="E372" i="27" a="1"/>
  <c r="E380" i="27" a="1"/>
  <c r="AIV3" i="53" a="1"/>
  <c r="PGJ3" i="53" a="1"/>
  <c r="GZ3" i="53" a="1"/>
  <c r="E335" i="27" a="1"/>
  <c r="AEI3" i="53" a="1"/>
  <c r="E120" i="27" a="1"/>
  <c r="E177" i="27" a="1"/>
  <c r="SJR3" i="53" a="1"/>
  <c r="ONB3" i="53" a="1"/>
  <c r="QMF3" i="53" a="1"/>
  <c r="HOR3" i="53" a="1"/>
  <c r="SSC3" i="53" a="1"/>
  <c r="NZG3" i="53" a="1"/>
  <c r="PSP3" i="53" a="1"/>
  <c r="JSM3" i="53" a="1"/>
  <c r="HAA3" i="53" a="1"/>
  <c r="E52" i="40" a="1"/>
  <c r="RFC3" i="53" a="1"/>
  <c r="FEO3" i="53" a="1"/>
  <c r="BKG3" i="53" a="1"/>
  <c r="TBL3" i="53" a="1"/>
  <c r="NLR3" i="53" a="1"/>
  <c r="LWO3" i="53" a="1"/>
  <c r="FES3" i="53" a="1"/>
  <c r="QQN3" i="53" a="1"/>
  <c r="JYL3" i="53" a="1"/>
  <c r="NP3" i="53" a="1"/>
  <c r="JGB3" i="53" a="1"/>
  <c r="E381" i="27" a="1"/>
  <c r="HFF3" i="53" a="1"/>
  <c r="G18" i="40" a="1"/>
  <c r="MSN3" i="53" a="1"/>
  <c r="JSW3" i="53" a="1"/>
  <c r="QRE3" i="53" a="1"/>
  <c r="PPU3" i="53" a="1"/>
  <c r="FAE3" i="53" a="1"/>
  <c r="LEI3" i="53" a="1"/>
  <c r="JQZ3" i="53" a="1"/>
  <c r="NKP3" i="53" a="1"/>
  <c r="E309" i="27" a="1"/>
  <c r="IHM3" i="53" a="1"/>
  <c r="SSQ3" i="53" a="1"/>
  <c r="EB3" i="53" a="1"/>
  <c r="IXM3" i="53" a="1"/>
  <c r="QHH3" i="53" a="1"/>
  <c r="ACV3" i="53" a="1"/>
  <c r="BCH3" i="53" a="1"/>
  <c r="EFU3" i="53" a="1"/>
  <c r="CFB3" i="53" a="1"/>
  <c r="FOE3" i="53" a="1"/>
  <c r="E58" i="27" a="1"/>
  <c r="RXA3" i="53" a="1"/>
  <c r="C201" i="27" a="1"/>
  <c r="FAO3" i="53" a="1"/>
  <c r="C306" i="27" a="1"/>
  <c r="JV3" i="53" a="1"/>
  <c r="UJR3" i="53" a="1"/>
  <c r="UQC3" i="53" a="1"/>
  <c r="MBR3" i="53" a="1"/>
  <c r="C32" i="6" a="1"/>
  <c r="CLP3" i="53" a="1"/>
  <c r="RJV3" i="53" a="1"/>
  <c r="AJW3" i="53" a="1"/>
  <c r="QTR3" i="53" a="1"/>
  <c r="E220" i="27" a="1"/>
  <c r="E401" i="27" a="1"/>
  <c r="PKE3" i="53" a="1"/>
  <c r="KLV3" i="53" a="1"/>
  <c r="JT3" i="53" a="1"/>
  <c r="MQO3" i="53" a="1"/>
  <c r="ISH3" i="53" a="1"/>
  <c r="C42" i="27" a="1"/>
  <c r="OMD3" i="53" a="1"/>
  <c r="PCU3" i="53" a="1"/>
  <c r="EEP3" i="53" a="1"/>
  <c r="AMU3" i="53" a="1"/>
  <c r="ANF3" i="53" a="1"/>
  <c r="NVH3" i="53" a="1"/>
  <c r="UPJ3" i="53" a="1"/>
  <c r="OXT3" i="53" a="1"/>
  <c r="D3" i="62" a="1"/>
  <c r="RJJ3" i="53" a="1"/>
  <c r="RTY3" i="53" a="1"/>
  <c r="HGC3" i="53" a="1"/>
  <c r="E108" i="27" a="1"/>
  <c r="GRW3" i="53" a="1"/>
  <c r="JEI3" i="53" a="1"/>
  <c r="VDR3" i="53" a="1"/>
  <c r="QIL3" i="53" a="1"/>
  <c r="C20" i="59" a="1"/>
  <c r="TDI3" i="53" a="1"/>
  <c r="DMM3" i="53" a="1"/>
  <c r="KDA3" i="53" a="1"/>
  <c r="TB3" i="53" a="1"/>
  <c r="ADV3" i="53" a="1"/>
  <c r="GXL3" i="53" a="1"/>
  <c r="E329" i="27" a="1"/>
  <c r="E50" i="27" a="1"/>
  <c r="VUW3" i="53" a="1"/>
  <c r="KTU3" i="53" a="1"/>
  <c r="NLX3" i="53" a="1"/>
  <c r="ACZ3" i="53" a="1"/>
  <c r="FEK3" i="53" a="1"/>
  <c r="C17" i="40" a="1"/>
  <c r="STY3" i="53" a="1"/>
  <c r="MVS3" i="53" a="1"/>
  <c r="VXA3" i="53" a="1"/>
  <c r="MIU3" i="53" a="1"/>
  <c r="QBM3" i="53" a="1"/>
  <c r="FNZ3" i="53" a="1"/>
  <c r="E315" i="27" a="1"/>
  <c r="JMZ3" i="53" a="1"/>
  <c r="DQV3" i="53" a="1"/>
  <c r="LGW3" i="53" a="1"/>
  <c r="QJR3" i="53" a="1"/>
  <c r="UPM3" i="53" a="1"/>
  <c r="BLF3" i="53" a="1"/>
  <c r="CEB3" i="53" a="1"/>
  <c r="E146" i="27" a="1"/>
  <c r="DRL3" i="53" a="1"/>
  <c r="SMB3" i="53" a="1"/>
  <c r="ISD3" i="53" a="1"/>
  <c r="QXN3" i="53" a="1"/>
  <c r="IFY3" i="53" a="1"/>
  <c r="PUS3" i="53" a="1"/>
  <c r="JWP3" i="53" a="1"/>
  <c r="F3" i="38" a="1"/>
  <c r="ARE3" i="53" a="1"/>
  <c r="KKV3" i="53" a="1"/>
  <c r="HQJ3" i="53" a="1"/>
  <c r="EYJ3" i="53" a="1"/>
  <c r="E254" i="27" a="1"/>
  <c r="C197" i="27" a="1"/>
  <c r="C186" i="27" a="1"/>
  <c r="BJT3" i="53" a="1"/>
  <c r="BFR3" i="53" a="1"/>
  <c r="WTZ3" i="53" a="1"/>
  <c r="RYH3" i="53" a="1"/>
  <c r="BKQ3" i="53" a="1"/>
  <c r="SVQ3" i="53" a="1"/>
  <c r="LLY3" i="53" a="1"/>
  <c r="OOI3" i="53" a="1"/>
  <c r="PTW3" i="53" a="1"/>
  <c r="VWT3" i="53" a="1"/>
  <c r="C176" i="27" a="1"/>
  <c r="KER3" i="53" a="1"/>
  <c r="BDG3" i="53" a="1"/>
  <c r="PXG3" i="53" a="1"/>
  <c r="E312" i="27" a="1"/>
  <c r="C15" i="11" a="1"/>
  <c r="JXB3" i="53" a="1"/>
  <c r="JUI3" i="53" a="1"/>
  <c r="UGX3" i="53" a="1"/>
  <c r="E18" i="27" a="1"/>
  <c r="WBW3" i="53" a="1"/>
  <c r="CYR3" i="53" a="1"/>
  <c r="C96" i="27" a="1"/>
  <c r="JDG3" i="53" a="1"/>
  <c r="G16" i="40" a="1"/>
  <c r="BLM3" i="53" a="1"/>
  <c r="RVZ3" i="53" a="1"/>
  <c r="PZS3" i="53" a="1"/>
  <c r="FMK3" i="53" a="1"/>
  <c r="SIX3" i="53" a="1"/>
  <c r="AYW3" i="53" a="1"/>
  <c r="RNC3" i="53" a="1"/>
  <c r="TYC3" i="53" a="1"/>
  <c r="RTA3" i="53" a="1"/>
  <c r="E186" i="27" a="1"/>
  <c r="E89" i="27" a="1"/>
  <c r="E256" i="27" a="1"/>
  <c r="C230" i="27" a="1"/>
  <c r="I3" i="27" a="1"/>
  <c r="PDY3" i="53" a="1"/>
  <c r="LHK3" i="53" a="1"/>
  <c r="LVP3" i="53" a="1"/>
  <c r="LNA3" i="53" a="1"/>
  <c r="EWB3" i="53" a="1"/>
  <c r="SAZ3" i="53" a="1"/>
  <c r="FIG3" i="53" a="1"/>
  <c r="SAP3" i="53" a="1"/>
  <c r="C153" i="27" a="1"/>
  <c r="AEB3" i="53" a="1"/>
  <c r="CAX3" i="53" a="1"/>
  <c r="USU3" i="53" a="1"/>
  <c r="IDN3" i="53" a="1"/>
  <c r="LWB3" i="53" a="1"/>
  <c r="DCX3" i="53" a="1"/>
  <c r="VRC3" i="53" a="1"/>
  <c r="SIM3" i="53" a="1"/>
  <c r="C125" i="27" a="1"/>
  <c r="VLB3" i="53" a="1"/>
  <c r="MMF3" i="53" a="1"/>
  <c r="AGU3" i="53" a="1"/>
  <c r="OIL3" i="53" a="1"/>
  <c r="XCI3" i="53" a="1"/>
  <c r="EJD3" i="53" a="1"/>
  <c r="TSW3" i="53" a="1"/>
  <c r="SYL3" i="53" a="1"/>
  <c r="DJD3" i="53" a="1"/>
  <c r="MFM3" i="53" a="1"/>
  <c r="E157" i="27" a="1"/>
  <c r="E400" i="27" a="1"/>
  <c r="NSR3" i="53" a="1"/>
  <c r="SCH3" i="53" a="1"/>
  <c r="MKA3" i="53" a="1"/>
  <c r="RHQ3" i="53" a="1"/>
  <c r="OHK3" i="53" a="1"/>
  <c r="TMP3" i="53" a="1"/>
  <c r="C9" i="3" a="1"/>
  <c r="QEN3" i="53" a="1"/>
  <c r="PIT3" i="53" a="1"/>
  <c r="C253" i="27" a="1"/>
  <c r="FLL3" i="53" a="1"/>
  <c r="UUA3" i="53" a="1"/>
  <c r="ACB3" i="53" a="1"/>
  <c r="OAF3" i="53" a="1"/>
  <c r="HDL3" i="53" a="1"/>
  <c r="XDP3" i="53" a="1"/>
  <c r="QGV3" i="53" a="1"/>
  <c r="LGT3" i="53" a="1"/>
  <c r="CQP3" i="53" a="1"/>
  <c r="WUF3" i="53" a="1"/>
  <c r="E30" i="4" a="1"/>
  <c r="YC3" i="53" a="1"/>
  <c r="CYZ3" i="53" a="1"/>
  <c r="URT3" i="53" a="1"/>
  <c r="VRV3" i="53" a="1"/>
  <c r="OSK3" i="53" a="1"/>
  <c r="IBL3" i="53" a="1"/>
  <c r="QZG3" i="53" a="1"/>
  <c r="OKK3" i="53" a="1"/>
  <c r="OFK3" i="53" a="1"/>
  <c r="VUD3" i="53" a="1"/>
  <c r="CUP3" i="53" a="1"/>
  <c r="BZS3" i="53" a="1"/>
  <c r="MYG3" i="53" a="1"/>
  <c r="SMW3" i="53" a="1"/>
  <c r="C23" i="3" a="1"/>
  <c r="C53" i="40" a="1"/>
  <c r="QJN3" i="53" a="1"/>
  <c r="E52" i="4" a="1"/>
  <c r="LBK3" i="53" a="1"/>
  <c r="CVI3" i="53" a="1"/>
  <c r="HUD3" i="53" a="1"/>
  <c r="PQU3" i="53" a="1"/>
  <c r="AD3" i="53" a="1"/>
  <c r="NHD3" i="53" a="1"/>
  <c r="GJF3" i="53" a="1"/>
  <c r="HYH3" i="53" a="1"/>
  <c r="BW3" i="53" a="1"/>
  <c r="J3" i="4" a="1"/>
  <c r="BBI3" i="53" a="1"/>
  <c r="OVW3" i="53" a="1"/>
  <c r="SHK3" i="53" a="1"/>
  <c r="MPX3" i="53" a="1"/>
  <c r="C213" i="27" a="1"/>
  <c r="BII3" i="53" a="1"/>
  <c r="DM3" i="53" a="1"/>
  <c r="C63" i="27" a="1"/>
  <c r="QCD3" i="53" a="1"/>
  <c r="C22" i="4" a="1"/>
  <c r="C235" i="27" a="1"/>
  <c r="NJA3" i="53" a="1"/>
  <c r="HBC3" i="53" a="1"/>
  <c r="PBJ3" i="53" a="1"/>
  <c r="TA3" i="53" a="1"/>
  <c r="PTY3" i="53" a="1"/>
  <c r="CIQ3" i="53" a="1"/>
  <c r="XBP3" i="53" a="1"/>
  <c r="RUI3" i="53" a="1"/>
  <c r="C23" i="27" a="1"/>
  <c r="VVP3" i="53" a="1"/>
  <c r="TS3" i="53" a="1"/>
  <c r="BZO3" i="53" a="1"/>
  <c r="C30" i="11" a="1"/>
  <c r="E182" i="27" a="1"/>
  <c r="EZQ3" i="53" a="1"/>
  <c r="YU3" i="53" a="1"/>
  <c r="UCB3" i="53" a="1"/>
  <c r="JSO3" i="53" a="1"/>
  <c r="QNV3" i="53" a="1"/>
  <c r="CVB3" i="53" a="1"/>
  <c r="E49" i="27" a="1"/>
  <c r="UOB3" i="53" a="1"/>
  <c r="QMQ3" i="53" a="1"/>
  <c r="C257" i="27" a="1"/>
  <c r="C19" i="37" a="1"/>
  <c r="LHN3" i="53" a="1"/>
  <c r="WYX3" i="53" a="1"/>
  <c r="MPA3" i="53" a="1"/>
  <c r="QYA3" i="53" a="1"/>
  <c r="F5" i="38" a="1"/>
  <c r="HHV3" i="53" a="1"/>
  <c r="E10" i="27" a="1"/>
  <c r="IMB3" i="53" a="1"/>
  <c r="IEP3" i="53" a="1"/>
  <c r="F3" i="56" a="1"/>
  <c r="KEH3" i="53" a="1"/>
  <c r="MLL3" i="53" a="1"/>
  <c r="JNH3" i="53" a="1"/>
  <c r="LFB3" i="53" a="1"/>
  <c r="JNR3" i="53" a="1"/>
  <c r="DJQ3" i="53" a="1"/>
  <c r="CIP3" i="53" a="1"/>
  <c r="U3" i="53" a="1"/>
  <c r="EYV3" i="53" a="1"/>
  <c r="UBC3" i="53" a="1"/>
  <c r="VNG3" i="53" a="1"/>
  <c r="SOF3" i="53" a="1"/>
  <c r="CSB3" i="53" a="1"/>
  <c r="QUH3" i="53" a="1"/>
  <c r="OQX3" i="53" a="1"/>
  <c r="E53" i="27" a="1"/>
  <c r="MWW3" i="53" a="1"/>
  <c r="OLQ3" i="53" a="1"/>
  <c r="DWB3" i="53" a="1"/>
  <c r="BMU3" i="53" a="1"/>
  <c r="AAF3" i="53" a="1"/>
  <c r="CJE3" i="53" a="1"/>
  <c r="RCQ3" i="53" a="1"/>
  <c r="GN3" i="53" a="1"/>
  <c r="POH3" i="53" a="1"/>
  <c r="GSY3" i="53" a="1"/>
  <c r="WHM3" i="53" a="1"/>
  <c r="JFB3" i="53" a="1"/>
  <c r="FBR3" i="53" a="1"/>
  <c r="C284" i="27" a="1"/>
  <c r="ONQ3" i="53" a="1"/>
  <c r="E265" i="27" a="1"/>
  <c r="RMY3" i="53" a="1"/>
  <c r="CYO3" i="53" a="1"/>
  <c r="C5" i="49" a="1"/>
  <c r="FXL3" i="53" a="1"/>
  <c r="WH3" i="53" a="1"/>
  <c r="MDV3" i="53" a="1"/>
  <c r="PHU3" i="53" a="1"/>
  <c r="GUH3" i="53" a="1"/>
  <c r="FGS3" i="53" a="1"/>
  <c r="IAO3" i="53" a="1"/>
  <c r="C18" i="37" a="1"/>
  <c r="E248" i="27" a="1"/>
  <c r="E114" i="27" a="1"/>
  <c r="GRA3" i="53" a="1"/>
  <c r="ULS3" i="53" a="1"/>
  <c r="MDU3" i="53" a="1"/>
  <c r="DBW3" i="53" a="1"/>
  <c r="BRZ3" i="53" a="1"/>
  <c r="ROO3" i="53" a="1"/>
  <c r="PWJ3" i="53" a="1"/>
  <c r="E276" i="27" a="1"/>
  <c r="MVG3" i="53" a="1"/>
  <c r="HFT3" i="53" a="1"/>
  <c r="E292" i="27" a="1"/>
  <c r="EFG3" i="53" a="1"/>
  <c r="ITD3" i="53" a="1"/>
  <c r="EJV3" i="53" a="1"/>
  <c r="E409" i="27" a="1"/>
  <c r="C18" i="6" a="1"/>
  <c r="GZU3" i="53" a="1"/>
  <c r="DOV3" i="53" a="1"/>
  <c r="E224" i="27" a="1"/>
  <c r="CV3" i="53" a="1"/>
  <c r="IKU3" i="53" a="1"/>
  <c r="QYO3" i="53" a="1"/>
  <c r="OYU3" i="53" a="1"/>
  <c r="RQE3" i="53" a="1"/>
  <c r="PMW3" i="53" a="1"/>
  <c r="GJP3" i="53" a="1"/>
  <c r="ELR3" i="53" a="1"/>
  <c r="C6" i="6" a="1"/>
  <c r="RTE3" i="53" a="1"/>
  <c r="QXV3" i="53" a="1"/>
  <c r="AHB3" i="53" a="1"/>
  <c r="E298" i="27" a="1"/>
  <c r="PYM3" i="53" a="1"/>
  <c r="JMO3" i="53" a="1"/>
  <c r="UVB3" i="53" a="1"/>
  <c r="CKG3" i="53" a="1"/>
  <c r="XBL3" i="53" a="1"/>
  <c r="KUL3" i="53" a="1"/>
  <c r="LHL3" i="53" a="1"/>
  <c r="C275" i="27" a="1"/>
  <c r="PWM3" i="53" a="1"/>
  <c r="SUA3" i="53" a="1"/>
  <c r="C267" i="27" a="1"/>
  <c r="UMK3" i="53" a="1"/>
  <c r="BER3" i="53" a="1"/>
  <c r="SPX3" i="53" a="1"/>
  <c r="OZB3" i="53" a="1"/>
  <c r="DJA3" i="53" a="1"/>
  <c r="KSY3" i="53" a="1"/>
  <c r="NGW3" i="53" a="1"/>
  <c r="SXM3" i="53" a="1"/>
  <c r="GVC3" i="53" a="1"/>
  <c r="UEQ3" i="53" a="1"/>
  <c r="PJL3" i="53" a="1"/>
  <c r="C69" i="27" a="1"/>
  <c r="RTL3" i="53" a="1"/>
  <c r="OSI3" i="53" a="1"/>
  <c r="MPB3" i="53" a="1"/>
  <c r="ESJ3" i="53" a="1"/>
  <c r="OAK3" i="53" a="1"/>
  <c r="C387" i="27" a="1"/>
  <c r="E81" i="27" a="1"/>
  <c r="C114" i="27" a="1"/>
  <c r="LBY3" i="53" a="1"/>
  <c r="GTJ3" i="53" a="1"/>
  <c r="CEY3" i="53" a="1"/>
  <c r="MIH3" i="53" a="1"/>
  <c r="TFX3" i="53" a="1"/>
  <c r="EFW3" i="53" a="1"/>
  <c r="JEG3" i="53" a="1"/>
  <c r="FST3" i="53" a="1"/>
  <c r="E275" i="27" a="1"/>
  <c r="LIH3" i="53" a="1"/>
  <c r="CBY3" i="53" a="1"/>
  <c r="C18" i="3" a="1"/>
  <c r="SNF3" i="53" a="1"/>
  <c r="IUC3" i="53" a="1"/>
  <c r="C307" i="27" a="1"/>
  <c r="IQM3" i="53" a="1"/>
  <c r="DRC3" i="53" a="1"/>
  <c r="JDR3" i="53" a="1"/>
  <c r="HKI3" i="53" a="1"/>
  <c r="CJP3" i="53" a="1"/>
  <c r="OKX3" i="53" a="1"/>
  <c r="VKX3" i="53" a="1"/>
  <c r="C17" i="2" a="1"/>
  <c r="VLI3" i="53" a="1"/>
  <c r="C92" i="27" a="1"/>
  <c r="GQP3" i="53" a="1"/>
  <c r="NPX3" i="53" a="1"/>
  <c r="TAJ3" i="53" a="1"/>
  <c r="CMJ3" i="53" a="1"/>
  <c r="C288" i="27" a="1"/>
  <c r="C29" i="59" a="1"/>
  <c r="FTW3" i="53" a="1"/>
  <c r="CLM3" i="53" a="1"/>
  <c r="PIG3" i="53" a="1"/>
  <c r="PC3" i="53" a="1"/>
  <c r="MKW3" i="53" a="1"/>
  <c r="PEK3" i="53" a="1"/>
  <c r="ILO3" i="53" a="1"/>
  <c r="WZU3" i="53" a="1"/>
  <c r="NQ3" i="53" a="1"/>
  <c r="C28" i="27" a="1"/>
  <c r="DJR3" i="53" a="1"/>
  <c r="MRH3" i="53" a="1"/>
  <c r="VCB3" i="53" a="1"/>
  <c r="UVO3" i="53" a="1"/>
  <c r="IMC3" i="53" a="1"/>
  <c r="E331" i="27" a="1"/>
  <c r="KSE3" i="53" a="1"/>
  <c r="IOK3" i="53" a="1"/>
  <c r="HIG3" i="53" a="1"/>
  <c r="ANJ3" i="53" a="1"/>
  <c r="CJM3" i="53" a="1"/>
  <c r="KED3" i="53" a="1"/>
  <c r="TTJ3" i="53" a="1"/>
  <c r="S3" i="53" a="1"/>
  <c r="GJS3" i="53" a="1"/>
  <c r="EOB3" i="53" a="1"/>
  <c r="COF3" i="53" a="1"/>
  <c r="QBP3" i="53" a="1"/>
  <c r="IJP3" i="53" a="1"/>
  <c r="FIO3" i="53" a="1"/>
  <c r="SQR3" i="53" a="1"/>
  <c r="PKT3" i="53" a="1"/>
  <c r="RBQ3" i="53" a="1"/>
  <c r="GFB3" i="53" a="1"/>
  <c r="C34" i="40" a="1"/>
  <c r="PSW3" i="53" a="1"/>
  <c r="E14" i="40" a="1"/>
  <c r="C40" i="59" a="1"/>
  <c r="WIZ3" i="53" a="1"/>
  <c r="VZQ3" i="53" a="1"/>
  <c r="QN3" i="53" a="1"/>
  <c r="C159" i="27" a="1"/>
  <c r="WSH3" i="53" a="1"/>
  <c r="WBI3" i="53" a="1"/>
  <c r="E308" i="27" a="1"/>
  <c r="GCV3" i="53" a="1"/>
  <c r="CGZ3" i="53" a="1"/>
  <c r="E44" i="27" a="1"/>
  <c r="AJT3" i="53" a="1"/>
  <c r="AID3" i="53" a="1"/>
  <c r="PHR3" i="53" a="1"/>
  <c r="FDB3" i="53" a="1"/>
  <c r="KAJ3" i="53" a="1"/>
  <c r="E216" i="27" a="1"/>
  <c r="TNK3" i="53" a="1"/>
  <c r="E218" i="27" a="1"/>
  <c r="IRK3" i="53" a="1"/>
  <c r="VVH3" i="53" a="1"/>
  <c r="C15" i="37" a="1"/>
  <c r="FWW3" i="53" a="1"/>
  <c r="QAL3" i="53" a="1"/>
  <c r="E131" i="27" a="1"/>
  <c r="GKM3" i="53" a="1"/>
  <c r="LB3" i="53" a="1"/>
  <c r="PDM3" i="53" a="1"/>
  <c r="JFT3" i="53" a="1"/>
  <c r="JJR3" i="53" a="1"/>
  <c r="ONE3" i="53" a="1"/>
  <c r="KHT3" i="53" a="1"/>
  <c r="C42" i="59" a="1"/>
  <c r="DBR3" i="53" a="1"/>
  <c r="OF3" i="53" a="1"/>
  <c r="DDY3" i="53" a="1"/>
  <c r="LDW3" i="53" a="1"/>
  <c r="FJQ3" i="53" a="1"/>
  <c r="JNA3" i="53" a="1"/>
  <c r="GFJ3" i="53" a="1"/>
  <c r="LFU3" i="53" a="1"/>
  <c r="NFY3" i="53" a="1"/>
  <c r="E7" i="31" a="1"/>
  <c r="AWJ3" i="53" a="1"/>
  <c r="DLH3" i="53" a="1"/>
  <c r="E92" i="27" a="1"/>
  <c r="C204" i="27" a="1"/>
  <c r="PBQ3" i="53" a="1"/>
  <c r="FXP3" i="53" a="1"/>
  <c r="E184" i="27" a="1"/>
  <c r="WEO3" i="53" a="1"/>
  <c r="DKK3" i="53" a="1"/>
  <c r="C5" i="2" a="1"/>
  <c r="VFM3" i="53" a="1"/>
  <c r="C39" i="59" a="1"/>
  <c r="HQW3" i="53" a="1"/>
  <c r="GE3" i="53" a="1"/>
  <c r="ACN3" i="53" a="1"/>
  <c r="EDC3" i="53" a="1"/>
  <c r="SNK3" i="53" a="1"/>
  <c r="JWB3" i="53" a="1"/>
  <c r="CTK3" i="53" a="1"/>
  <c r="CZL3" i="53" a="1"/>
  <c r="WYF3" i="53" a="1"/>
  <c r="JOA3" i="53" a="1"/>
  <c r="ETS3" i="53" a="1"/>
  <c r="KTA3" i="53" a="1"/>
  <c r="MFD3" i="53" a="1"/>
  <c r="GSR3" i="53" a="1"/>
  <c r="E354" i="27" a="1"/>
  <c r="AUU3" i="53" a="1"/>
  <c r="UTB3" i="53" a="1"/>
  <c r="ACR3" i="53" a="1"/>
  <c r="UHB3" i="53" a="1"/>
  <c r="C208" i="27" a="1"/>
  <c r="SMF3" i="53" a="1"/>
  <c r="FOD3" i="53" a="1"/>
  <c r="PTF3" i="53" a="1"/>
  <c r="JVR3" i="53" a="1"/>
  <c r="NEJ3" i="53" a="1"/>
  <c r="E5" i="27" a="1"/>
  <c r="KNM3" i="53" a="1"/>
  <c r="DWG3" i="53" a="1"/>
  <c r="TDM3" i="53" a="1"/>
  <c r="NQW3" i="53" a="1"/>
  <c r="E13" i="27" a="1"/>
  <c r="C325" i="27" a="1"/>
  <c r="C29" i="11" a="1"/>
  <c r="MYO3" i="53" a="1"/>
  <c r="E13" i="46" a="1"/>
  <c r="BJA3" i="53" a="1"/>
  <c r="PGQ3" i="53" a="1"/>
  <c r="PPL3" i="53" a="1"/>
  <c r="C20" i="37" a="1"/>
  <c r="E273" i="27" a="1"/>
  <c r="JPI3" i="53" a="1"/>
  <c r="C195" i="27" a="1"/>
  <c r="NPO3" i="53" a="1"/>
  <c r="PHI3" i="53" a="1"/>
  <c r="TWQ3" i="53" a="1"/>
  <c r="NMQ3" i="53" a="1"/>
  <c r="WVF3" i="53" a="1"/>
  <c r="LKZ3" i="53" a="1"/>
  <c r="TAN3" i="53" a="1"/>
  <c r="OGZ3" i="53" a="1"/>
  <c r="NNP3" i="53" a="1"/>
  <c r="OYB3" i="53" a="1"/>
  <c r="ARP3" i="53" a="1"/>
  <c r="DJV3" i="53" a="1"/>
  <c r="UBT3" i="53" a="1"/>
  <c r="NAA3" i="53" a="1"/>
  <c r="C12" i="2" a="1"/>
  <c r="ILA3" i="53" a="1"/>
  <c r="SCW3" i="53" a="1"/>
  <c r="FFK3" i="53" a="1"/>
  <c r="CD3" i="53" a="1"/>
  <c r="F3" i="2" a="1"/>
  <c r="E351" i="27" a="1"/>
  <c r="AAG3" i="53" a="1"/>
  <c r="IQA3" i="53" a="1"/>
  <c r="FGB3" i="53" a="1"/>
  <c r="HGL3" i="53" a="1"/>
  <c r="CQW3" i="53" a="1"/>
  <c r="VSB3" i="53" a="1"/>
  <c r="QHK3" i="53" a="1"/>
  <c r="GMB3" i="53" a="1"/>
  <c r="QRK3" i="53" a="1"/>
  <c r="BZJ3" i="53" a="1"/>
  <c r="AAC3" i="53" a="1"/>
  <c r="IF3" i="53" a="1"/>
  <c r="RDS3" i="53" a="1"/>
  <c r="ABX3" i="53" a="1"/>
  <c r="GZW3" i="53" a="1"/>
  <c r="C11" i="31" a="1"/>
  <c r="HKO3" i="53" a="1"/>
  <c r="A3" i="14" a="1"/>
  <c r="E46" i="27" a="1"/>
  <c r="EJH3" i="53" a="1"/>
  <c r="BAC3" i="53" a="1"/>
  <c r="UOQ3" i="53" a="1"/>
  <c r="GJN3" i="53" a="1"/>
  <c r="IVG3" i="53" a="1"/>
  <c r="C194" i="27" a="1"/>
  <c r="C48" i="40" a="1"/>
  <c r="KMB3" i="53" a="1"/>
  <c r="C203" i="27" a="1"/>
  <c r="E402" i="27" a="1"/>
  <c r="C17" i="3" a="1"/>
  <c r="C58" i="27" a="1"/>
  <c r="E237" i="27" a="1"/>
  <c r="PHT3" i="53" a="1"/>
  <c r="VTN3" i="53" a="1"/>
  <c r="RMZ3" i="53" a="1"/>
  <c r="PWD3" i="53" a="1"/>
  <c r="DVW3" i="53" a="1"/>
  <c r="UMT3" i="53" a="1"/>
  <c r="NNS3" i="53" a="1"/>
  <c r="USN3" i="53" a="1"/>
  <c r="FZN3" i="53" a="1"/>
  <c r="ALE3" i="53" a="1"/>
  <c r="RZW3" i="53" a="1"/>
  <c r="BM3" i="53" a="1"/>
  <c r="IDL3" i="53" a="1"/>
  <c r="TZG3" i="53" a="1"/>
  <c r="KMM3" i="53" a="1"/>
  <c r="RJI3" i="53" a="1"/>
  <c r="LVB3" i="53" a="1"/>
  <c r="IPL3" i="53" a="1"/>
  <c r="XAR3" i="53" a="1"/>
  <c r="TYJ3" i="53" a="1"/>
  <c r="GCY3" i="53" a="1"/>
  <c r="AU3" i="53" a="1"/>
  <c r="LOV3" i="53" a="1"/>
  <c r="H3" i="40" a="1"/>
  <c r="JGH3" i="53" a="1"/>
  <c r="QAD3" i="53" a="1"/>
  <c r="LJH3" i="53" a="1"/>
  <c r="LWU3" i="53" a="1"/>
  <c r="SNX3" i="53" a="1"/>
  <c r="HIL3" i="53" a="1"/>
  <c r="EYL3" i="53" a="1"/>
  <c r="LOG3" i="53" a="1"/>
  <c r="E150" i="27" a="1"/>
  <c r="TBQ3" i="53" a="1"/>
  <c r="VOC3" i="53" a="1"/>
  <c r="E286" i="27" a="1"/>
  <c r="RST3" i="53" a="1"/>
  <c r="QVD3" i="53" a="1"/>
  <c r="HMT3" i="53" a="1"/>
  <c r="CVY3" i="53" a="1"/>
  <c r="PRB3" i="53" a="1"/>
  <c r="JRZ3" i="53" a="1"/>
  <c r="PWO3" i="53" a="1"/>
  <c r="TAK3" i="53" a="1"/>
  <c r="MXT3" i="53" a="1"/>
  <c r="LRI3" i="53" a="1"/>
  <c r="KT3" i="53" a="1"/>
  <c r="E64" i="4" a="1"/>
  <c r="E173" i="27" a="1"/>
  <c r="IPO3" i="53" a="1"/>
  <c r="IOW3" i="53" a="1"/>
  <c r="E240" i="27" a="1"/>
  <c r="RDX3" i="53" a="1"/>
  <c r="LQN3" i="53" a="1"/>
  <c r="MDS3" i="53" a="1"/>
  <c r="VQX3" i="53" a="1"/>
  <c r="TGF3" i="53" a="1"/>
  <c r="E342" i="27" a="1"/>
  <c r="DFY3" i="53" a="1"/>
  <c r="MNL3" i="53" a="1"/>
  <c r="PWL3" i="53" a="1"/>
  <c r="FTU3" i="53" a="1"/>
  <c r="QTD3" i="53" a="1"/>
  <c r="EBK3" i="53" a="1"/>
  <c r="C110" i="27" a="1"/>
  <c r="DGD3" i="53" a="1"/>
  <c r="WAR3" i="53" a="1"/>
  <c r="OZU3" i="53" a="1"/>
  <c r="TC3" i="53" a="1"/>
  <c r="JEY3" i="53" a="1"/>
  <c r="QML3" i="53" a="1"/>
  <c r="RWD3" i="53" a="1"/>
  <c r="XEJ3" i="53" a="1"/>
  <c r="E302" i="27" a="1"/>
  <c r="DRQ3" i="53" a="1"/>
  <c r="CZR3" i="53" a="1"/>
  <c r="WFU3" i="53" a="1"/>
  <c r="ACL3" i="53" a="1"/>
  <c r="UPS3" i="53" a="1"/>
  <c r="DFC3" i="53" a="1"/>
  <c r="CYA3" i="53" a="1"/>
  <c r="FLK3" i="53" a="1"/>
  <c r="C105" i="27" a="1"/>
  <c r="FTK3" i="53" a="1"/>
  <c r="DXH3" i="53" a="1"/>
  <c r="KN3" i="53" a="1"/>
  <c r="E11" i="46" a="1"/>
  <c r="C330" i="27" a="1"/>
  <c r="MBB3" i="53" a="1"/>
  <c r="LCT3" i="53" a="1"/>
  <c r="LKT3" i="53" a="1"/>
  <c r="RQO3" i="53" a="1"/>
  <c r="CSE3" i="53" a="1"/>
  <c r="BAW3" i="53" a="1"/>
  <c r="REI3" i="53" a="1"/>
  <c r="QLQ3" i="53" a="1"/>
  <c r="VAZ3" i="53" a="1"/>
  <c r="UIT3" i="53" a="1"/>
  <c r="MCK3" i="53" a="1"/>
  <c r="BYJ3" i="53" a="1"/>
  <c r="KPS3" i="53" a="1"/>
  <c r="B3" i="11" a="1"/>
  <c r="WQH3" i="53" a="1"/>
  <c r="IJ3" i="53" a="1"/>
  <c r="OEQ3" i="53" a="1"/>
  <c r="E12" i="46" a="1"/>
  <c r="ELX3" i="53" a="1"/>
  <c r="UD3" i="53" a="1"/>
  <c r="NST3" i="53" a="1"/>
  <c r="C40" i="11" a="1"/>
  <c r="ISA3" i="53" a="1"/>
  <c r="WEH3" i="53" a="1"/>
  <c r="DFK3" i="53" a="1"/>
  <c r="OTB3" i="53" a="1"/>
  <c r="NHB3" i="53" a="1"/>
  <c r="ECF3" i="53" a="1"/>
  <c r="ODX3" i="53" a="1"/>
  <c r="HLZ3" i="53" a="1"/>
  <c r="PAD3" i="53" a="1"/>
  <c r="PPA3" i="53" a="1"/>
  <c r="PDV3" i="53" a="1"/>
  <c r="BWO3" i="53" a="1"/>
  <c r="KHZ3" i="53" a="1"/>
  <c r="ILV3" i="53" a="1"/>
  <c r="WQO3" i="53" a="1"/>
  <c r="DUF3" i="53" a="1"/>
  <c r="TPF3" i="53" a="1"/>
  <c r="SFE3" i="53" a="1"/>
  <c r="HEM3" i="53" a="1"/>
  <c r="QNY3" i="53" a="1"/>
  <c r="IBP3" i="53" a="1"/>
  <c r="AVT3" i="53" a="1"/>
  <c r="RZY3" i="53" a="1"/>
  <c r="C33" i="2" a="1"/>
  <c r="C21" i="2" a="1"/>
  <c r="QSU3" i="53" a="1"/>
  <c r="MAR3" i="53" a="1"/>
  <c r="G41" i="40" a="1"/>
  <c r="E111" i="27" a="1"/>
  <c r="QYX3" i="53" a="1"/>
  <c r="FHU3" i="53" a="1"/>
  <c r="E80" i="27" a="1"/>
  <c r="TBZ3" i="53" a="1"/>
  <c r="LBI3" i="53" a="1"/>
  <c r="E57" i="4" a="1"/>
  <c r="E117" i="27" a="1"/>
  <c r="SAU3" i="53" a="1"/>
  <c r="E193" i="27" a="1"/>
  <c r="SJY3" i="53" a="1"/>
  <c r="EV3" i="53" a="1"/>
  <c r="E17" i="27" a="1"/>
  <c r="NXC3" i="53" a="1"/>
  <c r="CGQ3" i="53" a="1"/>
  <c r="E28" i="40" a="1"/>
  <c r="VET3" i="53" a="1"/>
  <c r="E44" i="4" a="1"/>
  <c r="C42" i="11" a="1"/>
  <c r="DTD3" i="53" a="1"/>
  <c r="GBJ3" i="53" a="1"/>
  <c r="AS3" i="53" a="1"/>
  <c r="VLJ3" i="53" a="1"/>
  <c r="HMH3" i="53" a="1"/>
  <c r="COY3" i="53" a="1"/>
  <c r="DEC3" i="53" a="1"/>
  <c r="C62" i="4" a="1"/>
  <c r="J3" i="1" a="1"/>
  <c r="G3" i="1" a="1"/>
  <c r="B3" i="1" a="1"/>
  <c r="E3" i="1" a="1"/>
  <c r="H3" i="1" a="1"/>
  <c r="D3" i="1" a="1"/>
  <c r="C3" i="1" a="1"/>
  <c r="K3" i="1" a="1"/>
  <c r="I3" i="1" a="1"/>
  <c r="F3" i="1" a="1"/>
  <c r="A3" i="1" a="1"/>
  <c r="E333" i="27" l="1"/>
  <c r="E289" i="27"/>
  <c r="CWT3" i="53"/>
  <c r="EEQ3" i="53"/>
  <c r="IRD3" i="53"/>
  <c r="NRW3" i="53"/>
  <c r="MQH3" i="53"/>
  <c r="PY3" i="53"/>
  <c r="E83" i="27"/>
  <c r="LDX3" i="53"/>
  <c r="TEO3" i="53"/>
  <c r="PYV3" i="53"/>
  <c r="BIX3" i="53"/>
  <c r="C380" i="27"/>
  <c r="LBI3" i="53"/>
  <c r="QNU3" i="53"/>
  <c r="JAW3" i="53"/>
  <c r="AFM3" i="53"/>
  <c r="UKZ3" i="53"/>
  <c r="CFS3" i="53"/>
  <c r="KVR3" i="53"/>
  <c r="RZE3" i="53"/>
  <c r="C20" i="11"/>
  <c r="C240" i="27"/>
  <c r="C258" i="27"/>
  <c r="C213" i="27"/>
  <c r="C292" i="27"/>
  <c r="EDB3" i="53"/>
  <c r="UQY3" i="53"/>
  <c r="RFL3" i="53"/>
  <c r="E189" i="27"/>
  <c r="CGV3" i="53"/>
  <c r="MVS3" i="53"/>
  <c r="DWB3" i="53"/>
  <c r="IBF3" i="53"/>
  <c r="D3" i="38"/>
  <c r="EFR3" i="53"/>
  <c r="ESJ3" i="53"/>
  <c r="SEL3" i="53"/>
  <c r="C28" i="11"/>
  <c r="E368" i="27"/>
  <c r="E138" i="27"/>
  <c r="E356" i="27"/>
  <c r="C63" i="27"/>
  <c r="E22" i="27"/>
  <c r="E379" i="27"/>
  <c r="E300" i="27"/>
  <c r="E359" i="27"/>
  <c r="E205" i="27"/>
  <c r="C100" i="27"/>
  <c r="C336" i="27"/>
  <c r="QQT3" i="53"/>
  <c r="UVZ3" i="53"/>
  <c r="AYK3" i="53"/>
  <c r="OIY3" i="53"/>
  <c r="LKJ3" i="53"/>
  <c r="DGG3" i="53"/>
  <c r="EIC3" i="53"/>
  <c r="FZJ3" i="53"/>
  <c r="EOA3" i="53"/>
  <c r="C3" i="28"/>
  <c r="DRR3" i="53"/>
  <c r="VYY3" i="53"/>
  <c r="QCD3" i="53"/>
  <c r="DQY3" i="53"/>
  <c r="LSA3" i="53"/>
  <c r="HFK3" i="53"/>
  <c r="JNN3" i="53"/>
  <c r="AKY3" i="53"/>
  <c r="RST3" i="53"/>
  <c r="EHI3" i="53"/>
  <c r="ONM3" i="53"/>
  <c r="SSC3" i="53"/>
  <c r="HGJ3" i="53"/>
  <c r="MDO3" i="53"/>
  <c r="PXX3" i="53"/>
  <c r="EWM3" i="53"/>
  <c r="EVN3" i="53"/>
  <c r="WEQ3" i="53"/>
  <c r="BYD3" i="53"/>
  <c r="C16" i="11"/>
  <c r="C83" i="27"/>
  <c r="E178" i="27"/>
  <c r="C124" i="27"/>
  <c r="C396" i="27"/>
  <c r="C41" i="27"/>
  <c r="C81" i="27"/>
  <c r="E302" i="27"/>
  <c r="C126" i="27"/>
  <c r="E186" i="27"/>
  <c r="C340" i="27"/>
  <c r="E117" i="27"/>
  <c r="MUK3" i="53"/>
  <c r="BER3" i="53"/>
  <c r="UBH3" i="53"/>
  <c r="JJR3" i="53"/>
  <c r="NAY3" i="53"/>
  <c r="C42" i="6"/>
  <c r="MLS3" i="53"/>
  <c r="JJS3" i="53"/>
  <c r="FAJ3" i="53"/>
  <c r="APX3" i="53"/>
  <c r="VDR3" i="53"/>
  <c r="WJV3" i="53"/>
  <c r="C8" i="37"/>
  <c r="C36" i="6"/>
  <c r="FZP3" i="53"/>
  <c r="VO3" i="53"/>
  <c r="RSG3" i="53"/>
  <c r="GCY3" i="53"/>
  <c r="AMB3" i="53"/>
  <c r="IVD3" i="53"/>
  <c r="EUP3" i="53"/>
  <c r="GTP3" i="53"/>
  <c r="GT3" i="53"/>
  <c r="SBN3" i="53"/>
  <c r="UVB3" i="53"/>
  <c r="AKA3" i="53"/>
  <c r="IIK3" i="53"/>
  <c r="PPL3" i="53"/>
  <c r="QYH3" i="53"/>
  <c r="C132" i="27"/>
  <c r="OSI3" i="53"/>
  <c r="C377" i="27"/>
  <c r="TEB3" i="53"/>
  <c r="E11" i="4"/>
  <c r="E99" i="27"/>
  <c r="WAM3" i="53"/>
  <c r="C142" i="27"/>
  <c r="KER3" i="53"/>
  <c r="QP3" i="53"/>
  <c r="E79" i="27"/>
  <c r="IOD3" i="53"/>
  <c r="C25" i="27"/>
  <c r="TS3" i="53"/>
  <c r="FXE3" i="53"/>
  <c r="C73" i="27"/>
  <c r="C20" i="59"/>
  <c r="E85" i="27"/>
  <c r="PNO3" i="53"/>
  <c r="BWO3" i="53"/>
  <c r="LST3" i="53"/>
  <c r="E372" i="27"/>
  <c r="FNJ3" i="53"/>
  <c r="A3" i="5"/>
  <c r="UJL3" i="53"/>
  <c r="MYU3" i="53"/>
  <c r="NHB3" i="53"/>
  <c r="VWH3" i="53"/>
  <c r="BAC3" i="53"/>
  <c r="EQP3" i="53"/>
  <c r="HWS3" i="53"/>
  <c r="DFZ3" i="53"/>
  <c r="UHJ3" i="53"/>
  <c r="C59" i="53"/>
  <c r="RAN3" i="53"/>
  <c r="IWZ3" i="53"/>
  <c r="IKB3" i="53"/>
  <c r="GRA3" i="53"/>
  <c r="FCB3" i="53"/>
  <c r="DJI3" i="53"/>
  <c r="VJE3" i="53"/>
  <c r="SON3" i="53"/>
  <c r="LMG3" i="53"/>
  <c r="J3" i="38"/>
  <c r="UUW3" i="53"/>
  <c r="HIW3" i="53"/>
  <c r="E17" i="40"/>
  <c r="IOE3" i="53"/>
  <c r="WWF3" i="53"/>
  <c r="C76" i="27"/>
  <c r="WNA3" i="53"/>
  <c r="C29" i="27"/>
  <c r="PLS3" i="53"/>
  <c r="LB3" i="53"/>
  <c r="E182" i="27"/>
  <c r="E128" i="27"/>
  <c r="BLE3" i="53"/>
  <c r="E237" i="27"/>
  <c r="DOF3" i="53"/>
  <c r="AZX3" i="53"/>
  <c r="MNL3" i="53"/>
  <c r="WLA3" i="53"/>
  <c r="C99" i="27"/>
  <c r="C276" i="27"/>
  <c r="C129" i="27"/>
  <c r="NHY3" i="53"/>
  <c r="OLZ3" i="53"/>
  <c r="HXX3" i="53"/>
  <c r="FXW3" i="53"/>
  <c r="BAU3" i="53"/>
  <c r="YL3" i="53"/>
  <c r="IPE3" i="53"/>
  <c r="CIQ3" i="53"/>
  <c r="E193" i="27"/>
  <c r="PGW3" i="53"/>
  <c r="JHL3" i="53"/>
  <c r="OKA3" i="53"/>
  <c r="DWG3" i="53"/>
  <c r="WGA3" i="53"/>
  <c r="C15" i="11"/>
  <c r="C167" i="27"/>
  <c r="E15" i="27"/>
  <c r="E227" i="27"/>
  <c r="C322" i="27"/>
  <c r="E295" i="27"/>
  <c r="E143" i="27"/>
  <c r="E209" i="27"/>
  <c r="C331" i="27"/>
  <c r="A3" i="27"/>
  <c r="E87" i="27"/>
  <c r="IUN3" i="53"/>
  <c r="C3" i="62"/>
  <c r="VES3" i="53"/>
  <c r="GOC3" i="53"/>
  <c r="DWY3" i="53"/>
  <c r="HYG3" i="53"/>
  <c r="WRU3" i="53"/>
  <c r="PVT3" i="53"/>
  <c r="TJB3" i="53"/>
  <c r="IJF3" i="53"/>
  <c r="E53" i="40"/>
  <c r="GPX3" i="53"/>
  <c r="UPM3" i="53"/>
  <c r="LZY3" i="53"/>
  <c r="JVA3" i="53"/>
  <c r="C64" i="4"/>
  <c r="ESS3" i="53"/>
  <c r="AHB3" i="53"/>
  <c r="FYR3" i="53"/>
  <c r="EUB3" i="53"/>
  <c r="KKC3" i="53"/>
  <c r="MOM3" i="53"/>
  <c r="BZO3" i="53"/>
  <c r="DNC3" i="53"/>
  <c r="GMT3" i="53"/>
  <c r="VZX3" i="53"/>
  <c r="KLV3" i="53"/>
  <c r="C8" i="6"/>
  <c r="AVT3" i="53"/>
  <c r="CBL3" i="53"/>
  <c r="E402" i="27"/>
  <c r="DZV3" i="53"/>
  <c r="C79" i="27"/>
  <c r="E57" i="27"/>
  <c r="C286" i="27"/>
  <c r="E247" i="27"/>
  <c r="BEU3" i="53"/>
  <c r="OQR3" i="53"/>
  <c r="E407" i="27"/>
  <c r="SOI3" i="53"/>
  <c r="E358" i="27"/>
  <c r="FWO3" i="53"/>
  <c r="E231" i="27"/>
  <c r="DQE3" i="53"/>
  <c r="C121" i="27"/>
  <c r="QNX3" i="53"/>
  <c r="C29" i="4"/>
  <c r="E361" i="27"/>
  <c r="KOZ3" i="53"/>
  <c r="E259" i="27"/>
  <c r="ALO3" i="53"/>
  <c r="AMF3" i="53"/>
  <c r="E26" i="27"/>
  <c r="BWP3" i="53"/>
  <c r="C41" i="59"/>
  <c r="UFW3" i="53"/>
  <c r="EWY3" i="53"/>
  <c r="WBW3" i="53"/>
  <c r="HXW3" i="53"/>
  <c r="SVD3" i="53"/>
  <c r="CVP3" i="53"/>
  <c r="C18" i="4"/>
  <c r="GZT3" i="53"/>
  <c r="C5" i="49"/>
  <c r="G53" i="40"/>
  <c r="RUI3" i="53"/>
  <c r="LOR3" i="53"/>
  <c r="BHL3" i="53"/>
  <c r="GCK3" i="53"/>
  <c r="G27" i="40"/>
  <c r="LO3" i="53"/>
  <c r="OUR3" i="53"/>
  <c r="C27" i="27"/>
  <c r="NWG3" i="53"/>
  <c r="E93" i="27"/>
  <c r="WSF3" i="53"/>
  <c r="C71" i="27"/>
  <c r="PUH3" i="53"/>
  <c r="C31" i="2"/>
  <c r="E175" i="27"/>
  <c r="C297" i="27"/>
  <c r="OPJ3" i="53"/>
  <c r="VMW3" i="53"/>
  <c r="NXD3" i="53"/>
  <c r="C6" i="27"/>
  <c r="UVP3" i="53"/>
  <c r="MKC3" i="53"/>
  <c r="E204" i="27"/>
  <c r="C21" i="40"/>
  <c r="WTZ3" i="53"/>
  <c r="QWS3" i="53"/>
  <c r="LAJ3" i="53"/>
  <c r="NZB3" i="53"/>
  <c r="QTF3" i="53"/>
  <c r="CLP3" i="53"/>
  <c r="C281" i="27"/>
  <c r="C88" i="27"/>
  <c r="PXY3" i="53"/>
  <c r="BXN3" i="53"/>
  <c r="C13" i="40"/>
  <c r="PGD3" i="53"/>
  <c r="CDM3" i="53"/>
  <c r="KBA3" i="53"/>
  <c r="HFD3" i="53"/>
  <c r="EFG3" i="53"/>
  <c r="VVP3" i="53"/>
  <c r="EIW3" i="53"/>
  <c r="SES3" i="53"/>
  <c r="DRL3" i="53"/>
  <c r="UAP3" i="53"/>
  <c r="JVR3" i="53"/>
  <c r="TCD3" i="53"/>
  <c r="AJW3" i="53"/>
  <c r="ONQ3" i="53"/>
  <c r="TXZ3" i="53"/>
  <c r="PYX3" i="53"/>
  <c r="JSF3" i="53"/>
  <c r="GJN3" i="53"/>
  <c r="C355" i="27"/>
  <c r="ITR3" i="53"/>
  <c r="PJT3" i="53"/>
  <c r="LUN3" i="53"/>
  <c r="B3" i="7"/>
  <c r="UGC3" i="53"/>
  <c r="COV3" i="53"/>
  <c r="DOG3" i="53"/>
  <c r="C16" i="27"/>
  <c r="FDB3" i="53"/>
  <c r="WOR3" i="53"/>
  <c r="C33" i="2"/>
  <c r="CJU3" i="53"/>
  <c r="E292" i="27"/>
  <c r="C20" i="31"/>
  <c r="MBB3" i="53"/>
  <c r="LLG3" i="53"/>
  <c r="BJE3" i="53"/>
  <c r="QOO3" i="53"/>
  <c r="ACR3" i="53"/>
  <c r="VUT3" i="53"/>
  <c r="C173" i="27"/>
  <c r="C141" i="27"/>
  <c r="QQJ3" i="53"/>
  <c r="SBP3" i="53"/>
  <c r="LBL3" i="53"/>
  <c r="C43" i="11"/>
  <c r="OYV3" i="53"/>
  <c r="C11" i="4"/>
  <c r="E265" i="27"/>
  <c r="BPS3" i="53"/>
  <c r="EPW3" i="53"/>
  <c r="TPF3" i="53"/>
  <c r="FZN3" i="53"/>
  <c r="PRD3" i="53"/>
  <c r="UBC3" i="53"/>
  <c r="UIV3" i="53"/>
  <c r="E412" i="27"/>
  <c r="C143" i="27"/>
  <c r="MYI3" i="53"/>
  <c r="SEA3" i="53"/>
  <c r="AQR3" i="53"/>
  <c r="HUX3" i="53"/>
  <c r="TRJ3" i="53"/>
  <c r="TOD3" i="53"/>
  <c r="JPI3" i="53"/>
  <c r="MHN3" i="53"/>
  <c r="DMM3" i="53"/>
  <c r="RSB3" i="53"/>
  <c r="C13" i="11"/>
  <c r="C17" i="27"/>
  <c r="E61" i="27"/>
  <c r="C315" i="27"/>
  <c r="C58" i="27"/>
  <c r="E174" i="27"/>
  <c r="PRL3" i="53"/>
  <c r="C5" i="27"/>
  <c r="C246" i="27"/>
  <c r="C259" i="27"/>
  <c r="C255" i="27"/>
  <c r="E239" i="27"/>
  <c r="C254" i="27"/>
  <c r="DSL3" i="53"/>
  <c r="LNG3" i="53"/>
  <c r="MTF3" i="53"/>
  <c r="TAL3" i="53"/>
  <c r="QWU3" i="53"/>
  <c r="CJN3" i="53"/>
  <c r="ATT3" i="53"/>
  <c r="E386" i="27"/>
  <c r="E261" i="27"/>
  <c r="C109" i="27"/>
  <c r="C267" i="27"/>
  <c r="E5" i="27"/>
  <c r="C113" i="27"/>
  <c r="C193" i="27"/>
  <c r="OSU3" i="53"/>
  <c r="GJE3" i="53"/>
  <c r="HHY3" i="53"/>
  <c r="FFX3" i="53"/>
  <c r="NBX3" i="53"/>
  <c r="CWQ3" i="53"/>
  <c r="NNU3" i="53"/>
  <c r="AZT3" i="53"/>
  <c r="AQV3" i="53"/>
  <c r="C11" i="2"/>
  <c r="G21" i="40"/>
  <c r="ELL3" i="53"/>
  <c r="IDL3" i="53"/>
  <c r="CNL3" i="53"/>
  <c r="IEL3" i="53"/>
  <c r="HTJ3" i="53"/>
  <c r="GGE3" i="53"/>
  <c r="AID3" i="53"/>
  <c r="LCA3" i="53"/>
  <c r="GFF3" i="53"/>
  <c r="GXI3" i="53"/>
  <c r="IQJ3" i="53"/>
  <c r="DBQ3" i="53"/>
  <c r="GIY3" i="53"/>
  <c r="CDO3" i="53"/>
  <c r="SYM3" i="53"/>
  <c r="EHJ3" i="53"/>
  <c r="JRB3" i="53"/>
  <c r="HVB3" i="53"/>
  <c r="G28" i="40"/>
  <c r="PYH3" i="53"/>
  <c r="C197" i="27"/>
  <c r="VLI3" i="53"/>
  <c r="C357" i="27"/>
  <c r="QBH3" i="53"/>
  <c r="CJP3" i="53"/>
  <c r="KSV3" i="53"/>
  <c r="PZO3" i="53"/>
  <c r="LMD3" i="53"/>
  <c r="GNB3" i="53"/>
  <c r="E15" i="4"/>
  <c r="PNP3" i="53"/>
  <c r="E76" i="27"/>
  <c r="TRA3" i="53"/>
  <c r="CGD3" i="53"/>
  <c r="JV3" i="53"/>
  <c r="HJU3" i="53"/>
  <c r="TQW3" i="53"/>
  <c r="C230" i="27"/>
  <c r="C120" i="27"/>
  <c r="NDX3" i="53"/>
  <c r="C47" i="40"/>
  <c r="QNZ3" i="53"/>
  <c r="LPE3" i="53"/>
  <c r="MMY3" i="53"/>
  <c r="BGM3" i="53"/>
  <c r="GZU3" i="53"/>
  <c r="FQI3" i="53"/>
  <c r="PTY3" i="53"/>
  <c r="DCV3" i="53"/>
  <c r="C103" i="27"/>
  <c r="ICM3" i="53"/>
  <c r="UNM3" i="53"/>
  <c r="SWX3" i="53"/>
  <c r="MHQ3" i="53"/>
  <c r="C3" i="1"/>
  <c r="C12" i="46"/>
  <c r="SFE3" i="53"/>
  <c r="LNC3" i="53"/>
  <c r="FXL3" i="53"/>
  <c r="C362" i="27"/>
  <c r="C181" i="27"/>
  <c r="C35" i="59"/>
  <c r="IZG3" i="53"/>
  <c r="MFK3" i="53"/>
  <c r="RWJ3" i="53"/>
  <c r="ESL3" i="53"/>
  <c r="HFT3" i="53"/>
  <c r="C21" i="11"/>
  <c r="C194" i="27"/>
  <c r="C330" i="27"/>
  <c r="E393" i="27"/>
  <c r="E7" i="27"/>
  <c r="E125" i="27"/>
  <c r="E52" i="27"/>
  <c r="C199" i="27"/>
  <c r="C40" i="27"/>
  <c r="C110" i="27"/>
  <c r="C342" i="27"/>
  <c r="C389" i="27"/>
  <c r="TIM3" i="53"/>
  <c r="PPA3" i="53"/>
  <c r="QEC3" i="53"/>
  <c r="BCL3" i="53"/>
  <c r="ELW3" i="53"/>
  <c r="GSH3" i="53"/>
  <c r="WVX3" i="53"/>
  <c r="GZZ3" i="53"/>
  <c r="C314" i="27"/>
  <c r="E90" i="27"/>
  <c r="LEA3" i="53"/>
  <c r="C25" i="11"/>
  <c r="E367" i="27"/>
  <c r="E159" i="27"/>
  <c r="C159" i="27"/>
  <c r="C23" i="11"/>
  <c r="E255" i="27"/>
  <c r="E240" i="27"/>
  <c r="E311" i="27"/>
  <c r="C18" i="27"/>
  <c r="E81" i="27"/>
  <c r="C352" i="27"/>
  <c r="C354" i="27"/>
  <c r="E327" i="27"/>
  <c r="E353" i="27"/>
  <c r="C260" i="27"/>
  <c r="KBP3" i="53"/>
  <c r="VKX3" i="53"/>
  <c r="C57" i="53"/>
  <c r="WMQ3" i="53"/>
  <c r="QCT3" i="53"/>
  <c r="STP3" i="53"/>
  <c r="NJL3" i="53"/>
  <c r="WQO3" i="53"/>
  <c r="BQV3" i="53"/>
  <c r="TSN3" i="53"/>
  <c r="EDG3" i="53"/>
  <c r="HMT3" i="53"/>
  <c r="MQO3" i="53"/>
  <c r="KRZ3" i="53"/>
  <c r="WVN3" i="53"/>
  <c r="ISH3" i="53"/>
  <c r="CEB3" i="53"/>
  <c r="IFA3" i="53"/>
  <c r="JWL3" i="53"/>
  <c r="CEP3" i="53"/>
  <c r="SBG3" i="53"/>
  <c r="KKN3" i="53"/>
  <c r="QNG3" i="53"/>
  <c r="KAW3" i="53"/>
  <c r="KKM3" i="53"/>
  <c r="BBO3" i="53"/>
  <c r="RNX3" i="53"/>
  <c r="KHZ3" i="53"/>
  <c r="FHM3" i="53"/>
  <c r="CBS3" i="53"/>
  <c r="E371" i="27"/>
  <c r="E224" i="27"/>
  <c r="LMZ3" i="53"/>
  <c r="LTC3" i="53"/>
  <c r="NSA3" i="53"/>
  <c r="TK3" i="53"/>
  <c r="FTK3" i="53"/>
  <c r="C6" i="40"/>
  <c r="C351" i="27"/>
  <c r="SP3" i="53"/>
  <c r="LTW3" i="53"/>
  <c r="C404" i="27"/>
  <c r="HBY3" i="53"/>
  <c r="FEP3" i="53"/>
  <c r="WPD3" i="53"/>
  <c r="AVF3" i="53"/>
  <c r="ACX3" i="53"/>
  <c r="E177" i="27"/>
  <c r="ASS3" i="53"/>
  <c r="C133" i="27"/>
  <c r="E181" i="27"/>
  <c r="CYR3" i="53"/>
  <c r="VRA3" i="53"/>
  <c r="C195" i="27"/>
  <c r="UW3" i="53"/>
  <c r="E35" i="4"/>
  <c r="MUG3" i="53"/>
  <c r="PDS3" i="53"/>
  <c r="C395" i="27"/>
  <c r="C33" i="40"/>
  <c r="LZB3" i="53"/>
  <c r="C24" i="11"/>
  <c r="C217" i="27"/>
  <c r="HDM3" i="53"/>
  <c r="C44" i="11"/>
  <c r="C403" i="27"/>
  <c r="C280" i="27"/>
  <c r="E400" i="27"/>
  <c r="C68" i="27"/>
  <c r="C226" i="27"/>
  <c r="C379" i="27"/>
  <c r="E406" i="27"/>
  <c r="C321" i="27"/>
  <c r="E42" i="27"/>
  <c r="E65" i="27"/>
  <c r="MPB3" i="53"/>
  <c r="G40" i="40"/>
  <c r="RHC3" i="53"/>
  <c r="JFO3" i="53"/>
  <c r="WMS3" i="53"/>
  <c r="SQX3" i="53"/>
  <c r="LXS3" i="53"/>
  <c r="RZP3" i="53"/>
  <c r="C6" i="4"/>
  <c r="JNQ3" i="53"/>
  <c r="OVW3" i="53"/>
  <c r="LFJ3" i="53"/>
  <c r="ATW3" i="53"/>
  <c r="TAJ3" i="53"/>
  <c r="EKU3" i="53"/>
  <c r="HVW3" i="53"/>
  <c r="JKN3" i="53"/>
  <c r="BJT3" i="53"/>
  <c r="CXF3" i="53"/>
  <c r="V3" i="53"/>
  <c r="HCA3" i="53"/>
  <c r="KYS3" i="53"/>
  <c r="NOE3" i="53"/>
  <c r="MDU3" i="53"/>
  <c r="JFT3" i="53"/>
  <c r="MJM3" i="53"/>
  <c r="SLA3" i="53"/>
  <c r="F3" i="12"/>
  <c r="NPG3" i="53"/>
  <c r="LYX3" i="53"/>
  <c r="C128" i="27"/>
  <c r="UQC3" i="53"/>
  <c r="JMC3" i="53"/>
  <c r="GUG3" i="53"/>
  <c r="UUK3" i="53"/>
  <c r="KKV3" i="53"/>
  <c r="BBT3" i="53"/>
  <c r="QNH3" i="53"/>
  <c r="NQW3" i="53"/>
  <c r="C77" i="27"/>
  <c r="C365" i="27"/>
  <c r="C19" i="3"/>
  <c r="KSF3" i="53"/>
  <c r="ODX3" i="53"/>
  <c r="HQT3" i="53"/>
  <c r="TSD3" i="53"/>
  <c r="UKY3" i="53"/>
  <c r="PWU3" i="53"/>
  <c r="UZO3" i="53"/>
  <c r="C125" i="27"/>
  <c r="E44" i="27"/>
  <c r="G5" i="15"/>
  <c r="ACZ3" i="53"/>
  <c r="SJR3" i="53"/>
  <c r="BVA3" i="53"/>
  <c r="TSY3" i="53"/>
  <c r="IND3" i="53"/>
  <c r="LGW3" i="53"/>
  <c r="DZP3" i="53"/>
  <c r="AVS3" i="53"/>
  <c r="SBI3" i="53"/>
  <c r="WAF3" i="53"/>
  <c r="E288" i="27"/>
  <c r="E306" i="27"/>
  <c r="C12" i="27"/>
  <c r="E241" i="27"/>
  <c r="C19" i="27"/>
  <c r="E344" i="27"/>
  <c r="TPV3" i="53"/>
  <c r="PRH3" i="53"/>
  <c r="HYS3" i="53"/>
  <c r="AJU3" i="53"/>
  <c r="GI3" i="53"/>
  <c r="VMC3" i="53"/>
  <c r="WRI3" i="53"/>
  <c r="IGK3" i="53"/>
  <c r="MOC3" i="53"/>
  <c r="E55" i="40"/>
  <c r="KXY3" i="53"/>
  <c r="ABF3" i="53"/>
  <c r="WKK3" i="53"/>
  <c r="WYE3" i="53"/>
  <c r="HGS3" i="53"/>
  <c r="C3" i="11"/>
  <c r="E293" i="27"/>
  <c r="C325" i="27"/>
  <c r="C186" i="27"/>
  <c r="KOE3" i="53"/>
  <c r="DUF3" i="53"/>
  <c r="EOS3" i="53"/>
  <c r="KNF3" i="53"/>
  <c r="SRX3" i="53"/>
  <c r="KPS3" i="53"/>
  <c r="C366" i="27"/>
  <c r="IIL3" i="53"/>
  <c r="CRB3" i="53"/>
  <c r="LCW3" i="53"/>
  <c r="E283" i="27"/>
  <c r="ATS3" i="53"/>
  <c r="EDH3" i="53"/>
  <c r="C12" i="11"/>
  <c r="E119" i="27"/>
  <c r="E25" i="27"/>
  <c r="C13" i="27"/>
  <c r="E377" i="27"/>
  <c r="PAZ3" i="53"/>
  <c r="C7" i="59"/>
  <c r="HZC3" i="53"/>
  <c r="PEO3" i="53"/>
  <c r="QBK3" i="53"/>
  <c r="C16" i="31"/>
  <c r="IDA3" i="53"/>
  <c r="NZG3" i="53"/>
  <c r="CDV3" i="53"/>
  <c r="IYC3" i="53"/>
  <c r="LSL3" i="53"/>
  <c r="COS3" i="53"/>
  <c r="QDN3" i="53"/>
  <c r="BNZ3" i="53"/>
  <c r="QIQ3" i="53"/>
  <c r="KHS3" i="53"/>
  <c r="E45" i="40"/>
  <c r="LXM3" i="53"/>
  <c r="JTZ3" i="53"/>
  <c r="VNB3" i="53"/>
  <c r="AUP3" i="53"/>
  <c r="WDD3" i="53"/>
  <c r="QEL3" i="53"/>
  <c r="NBL3" i="53"/>
  <c r="C367" i="27"/>
  <c r="JN3" i="53"/>
  <c r="MKZ3" i="53"/>
  <c r="JLN3" i="53"/>
  <c r="E278" i="27"/>
  <c r="GQS3" i="53"/>
  <c r="UOO3" i="53"/>
  <c r="EVP3" i="53"/>
  <c r="AYI3" i="53"/>
  <c r="LOC3" i="53"/>
  <c r="GQB3" i="53"/>
  <c r="JFL3" i="53"/>
  <c r="C208" i="27"/>
  <c r="EXH3" i="53"/>
  <c r="PQK3" i="53"/>
  <c r="C288" i="27"/>
  <c r="SDX3" i="53"/>
  <c r="C5" i="46"/>
  <c r="E188" i="27"/>
  <c r="QTH3" i="53"/>
  <c r="KZG3" i="53"/>
  <c r="EDP3" i="53"/>
  <c r="C30" i="11"/>
  <c r="C130" i="27"/>
  <c r="C387" i="27"/>
  <c r="C399" i="27"/>
  <c r="C401" i="27"/>
  <c r="KD3" i="53"/>
  <c r="OBD3" i="53"/>
  <c r="OEF3" i="53"/>
  <c r="SLH3" i="53"/>
  <c r="OXO3" i="53"/>
  <c r="LFG3" i="53"/>
  <c r="E201" i="27"/>
  <c r="C264" i="27"/>
  <c r="E352" i="27"/>
  <c r="C262" i="27"/>
  <c r="C157" i="27"/>
  <c r="E37" i="27"/>
  <c r="E221" i="27"/>
  <c r="E172" i="27"/>
  <c r="C309" i="27"/>
  <c r="E11" i="27"/>
  <c r="XR3" i="53"/>
  <c r="AUA3" i="53"/>
  <c r="ANT3" i="53"/>
  <c r="LHS3" i="53"/>
  <c r="C18" i="31"/>
  <c r="HN3" i="53"/>
  <c r="E408" i="27"/>
  <c r="E334" i="27"/>
  <c r="E183" i="27"/>
  <c r="E340" i="27"/>
  <c r="C177" i="27"/>
  <c r="E316" i="27"/>
  <c r="C316" i="27"/>
  <c r="C344" i="27"/>
  <c r="E68" i="27"/>
  <c r="E296" i="27"/>
  <c r="E298" i="27"/>
  <c r="EHF3" i="53"/>
  <c r="ICD3" i="53"/>
  <c r="UGH3" i="53"/>
  <c r="AUU3" i="53"/>
  <c r="KYJ3" i="53"/>
  <c r="QML3" i="53"/>
  <c r="GJT3" i="53"/>
  <c r="JQC3" i="53"/>
  <c r="QGY3" i="53"/>
  <c r="RW3" i="53"/>
  <c r="TQI3" i="53"/>
  <c r="AZG3" i="53"/>
  <c r="YE3" i="53"/>
  <c r="C34" i="6"/>
  <c r="DRO3" i="53"/>
  <c r="LR3" i="53"/>
  <c r="MTP3" i="53"/>
  <c r="SNA3" i="53"/>
  <c r="EQO3" i="53"/>
  <c r="MQB3" i="53"/>
  <c r="EFV3" i="53"/>
  <c r="AAJ3" i="53"/>
  <c r="SDC3" i="53"/>
  <c r="GOI3" i="53"/>
  <c r="C17" i="37"/>
  <c r="BRL3" i="53"/>
  <c r="KZN3" i="53"/>
  <c r="VZQ3" i="53"/>
  <c r="FST3" i="53"/>
  <c r="PVJ3" i="53"/>
  <c r="KTL3" i="53"/>
  <c r="OLB3" i="53"/>
  <c r="QCO3" i="53"/>
  <c r="CEC3" i="53"/>
  <c r="NST3" i="53"/>
  <c r="RYC3" i="53"/>
  <c r="OGO3" i="53"/>
  <c r="JT3" i="53"/>
  <c r="HBC3" i="53"/>
  <c r="DRV3" i="53"/>
  <c r="SGW3" i="53"/>
  <c r="GUU3" i="53"/>
  <c r="ALV3" i="53"/>
  <c r="HND3" i="53"/>
  <c r="F3" i="47"/>
  <c r="D3" i="11"/>
  <c r="C5" i="11"/>
  <c r="C144" i="27"/>
  <c r="E69" i="27"/>
  <c r="C270" i="27"/>
  <c r="C324" i="27"/>
  <c r="E120" i="27"/>
  <c r="E78" i="27"/>
  <c r="C105" i="27"/>
  <c r="E118" i="27"/>
  <c r="E111" i="27"/>
  <c r="C94" i="27"/>
  <c r="C334" i="27"/>
  <c r="C341" i="27"/>
  <c r="E164" i="27"/>
  <c r="C283" i="27"/>
  <c r="E401" i="27"/>
  <c r="C361" i="27"/>
  <c r="E88" i="27"/>
  <c r="E126" i="27"/>
  <c r="E84" i="27"/>
  <c r="E254" i="27"/>
  <c r="C72" i="27"/>
  <c r="E217" i="27"/>
  <c r="E165" i="27"/>
  <c r="E307" i="27"/>
  <c r="E17" i="27"/>
  <c r="C182" i="27"/>
  <c r="E268" i="27"/>
  <c r="C215" i="27"/>
  <c r="C410" i="27"/>
  <c r="E64" i="27"/>
  <c r="FPS3" i="53"/>
  <c r="RQG3" i="53"/>
  <c r="WAG3" i="53"/>
  <c r="RGN3" i="53"/>
  <c r="JL3" i="53"/>
  <c r="REP3" i="53"/>
  <c r="HRI3" i="53"/>
  <c r="UFH3" i="53"/>
  <c r="PVX3" i="53"/>
  <c r="F3" i="26"/>
  <c r="DXK3" i="53"/>
  <c r="NVT3" i="53"/>
  <c r="PTJ3" i="53"/>
  <c r="LTJ3" i="53"/>
  <c r="FDV3" i="53"/>
  <c r="OQX3" i="53"/>
  <c r="HZR3" i="53"/>
  <c r="GNP3" i="53"/>
  <c r="GMC3" i="53"/>
  <c r="KZW3" i="53"/>
  <c r="MSZ3" i="53"/>
  <c r="IDN3" i="53"/>
  <c r="HVQ3" i="53"/>
  <c r="AOP3" i="53"/>
  <c r="GFV3" i="53"/>
  <c r="IMB3" i="53"/>
  <c r="QXV3" i="53"/>
  <c r="SKQ3" i="53"/>
  <c r="NOM3" i="53"/>
  <c r="VI3" i="53"/>
  <c r="EVE3" i="53"/>
  <c r="SEI3" i="53"/>
  <c r="MA3" i="53"/>
  <c r="RME3" i="53"/>
  <c r="CZH3" i="53"/>
  <c r="G41" i="40"/>
  <c r="NLB3" i="53"/>
  <c r="BYH3" i="53"/>
  <c r="VAR3" i="53"/>
  <c r="GMJ3" i="53"/>
  <c r="VQB3" i="53"/>
  <c r="CT3" i="53"/>
  <c r="UEQ3" i="53"/>
  <c r="WBI3" i="53"/>
  <c r="RLL3" i="53"/>
  <c r="TUI3" i="53"/>
  <c r="GXR3" i="53"/>
  <c r="UGE3" i="53"/>
  <c r="HSD3" i="53"/>
  <c r="FIS3" i="53"/>
  <c r="JKO3" i="53"/>
  <c r="GRW3" i="53"/>
  <c r="HCI3" i="53"/>
  <c r="UZT3" i="53"/>
  <c r="WFH3" i="53"/>
  <c r="RMZ3" i="53"/>
  <c r="PLA3" i="53"/>
  <c r="EJJ3" i="53"/>
  <c r="DVQ3" i="53"/>
  <c r="PCH3" i="53"/>
  <c r="RZW3" i="53"/>
  <c r="BYE3" i="53"/>
  <c r="G23" i="40"/>
  <c r="C21" i="59"/>
  <c r="DJD3" i="53"/>
  <c r="WFL3" i="53"/>
  <c r="ILZ3" i="53"/>
  <c r="WKR3" i="53"/>
  <c r="C26" i="59"/>
  <c r="AZW3" i="53"/>
  <c r="IDE3" i="53"/>
  <c r="TU3" i="53"/>
  <c r="SAB3" i="53"/>
  <c r="AU3" i="53"/>
  <c r="UUO3" i="53"/>
  <c r="VCM3" i="53"/>
  <c r="QDG3" i="53"/>
  <c r="BBI3" i="53"/>
  <c r="GJA3" i="53"/>
  <c r="E19" i="4"/>
  <c r="DRD3" i="53"/>
  <c r="MAC3" i="53"/>
  <c r="SEH3" i="53"/>
  <c r="LRW3" i="53"/>
  <c r="SEV3" i="53"/>
  <c r="IQ3" i="53"/>
  <c r="E32" i="4"/>
  <c r="XDM3" i="53"/>
  <c r="F3" i="11"/>
  <c r="B3" i="11"/>
  <c r="C304" i="27"/>
  <c r="C223" i="27"/>
  <c r="C216" i="27"/>
  <c r="C237" i="27"/>
  <c r="C265" i="27"/>
  <c r="C235" i="27"/>
  <c r="C277" i="27"/>
  <c r="C414" i="27"/>
  <c r="E392" i="27"/>
  <c r="E114" i="27"/>
  <c r="E228" i="27"/>
  <c r="C44" i="27"/>
  <c r="C49" i="27"/>
  <c r="C166" i="27"/>
  <c r="C295" i="27"/>
  <c r="C412" i="27"/>
  <c r="C368" i="27"/>
  <c r="C247" i="27"/>
  <c r="C114" i="27"/>
  <c r="C154" i="27"/>
  <c r="C406" i="27"/>
  <c r="C298" i="27"/>
  <c r="C353" i="27"/>
  <c r="C397" i="27"/>
  <c r="E355" i="27"/>
  <c r="E148" i="27"/>
  <c r="E80" i="27"/>
  <c r="C158" i="27"/>
  <c r="E200" i="27"/>
  <c r="E103" i="27"/>
  <c r="JUS3" i="53"/>
  <c r="J3" i="4"/>
  <c r="HHQ3" i="53"/>
  <c r="RIF3" i="53"/>
  <c r="C48" i="40"/>
  <c r="OCJ3" i="53"/>
  <c r="NZD3" i="53"/>
  <c r="FMO3" i="53"/>
  <c r="ALM3" i="53"/>
  <c r="UJR3" i="53"/>
  <c r="RQY3" i="53"/>
  <c r="C17" i="4"/>
  <c r="TXB3" i="53"/>
  <c r="DLK3" i="53"/>
  <c r="GVC3" i="53"/>
  <c r="BFR3" i="53"/>
  <c r="C31" i="40"/>
  <c r="VZA3" i="53"/>
  <c r="CPU3" i="53"/>
  <c r="EMW3" i="53"/>
  <c r="AQM3" i="53"/>
  <c r="HCY3" i="53"/>
  <c r="EOG3" i="53"/>
  <c r="FAX3" i="53"/>
  <c r="IWM3" i="53"/>
  <c r="ODA3" i="53"/>
  <c r="VVZ3" i="53"/>
  <c r="RHA3" i="53"/>
  <c r="WVV3" i="53"/>
  <c r="HKY3" i="53"/>
  <c r="SMF3" i="53"/>
  <c r="PCE3" i="53"/>
  <c r="OXZ3" i="53"/>
  <c r="HPF3" i="53"/>
  <c r="C14" i="2"/>
  <c r="ETW3" i="53"/>
  <c r="E64" i="4"/>
  <c r="C23" i="4"/>
  <c r="AYT3" i="53"/>
  <c r="KEQ3" i="53"/>
  <c r="BYI3" i="53"/>
  <c r="CZR3" i="53"/>
  <c r="E20" i="4"/>
  <c r="MEI3" i="53"/>
  <c r="SCH3" i="53"/>
  <c r="QTD3" i="53"/>
  <c r="WRV3" i="53"/>
  <c r="LJA3" i="53"/>
  <c r="COY3" i="53"/>
  <c r="QN3" i="53"/>
  <c r="OAG3" i="53"/>
  <c r="UKA3" i="53"/>
  <c r="OSF3" i="53"/>
  <c r="CWX3" i="53"/>
  <c r="SWI3" i="53"/>
  <c r="XES3" i="53"/>
  <c r="RUP3" i="53"/>
  <c r="CLA3" i="53"/>
  <c r="SAP3" i="53"/>
  <c r="AWC3" i="53"/>
  <c r="JJB3" i="53"/>
  <c r="UPZ3" i="53"/>
  <c r="E5" i="57"/>
  <c r="E6" i="40"/>
  <c r="BLF3" i="53"/>
  <c r="UJC3" i="53"/>
  <c r="AXA3" i="53"/>
  <c r="E13" i="46"/>
  <c r="DEP3" i="53"/>
  <c r="FMH3" i="53"/>
  <c r="PGQ3" i="53"/>
  <c r="UMK3" i="53"/>
  <c r="G10" i="40"/>
  <c r="HFS3" i="53"/>
  <c r="BAS3" i="53"/>
  <c r="C29" i="40"/>
  <c r="EJH3" i="53"/>
  <c r="FYN3" i="53"/>
  <c r="C8" i="40"/>
  <c r="E56" i="40"/>
  <c r="FMK3" i="53"/>
  <c r="MCD3" i="53"/>
  <c r="OXU3" i="53"/>
  <c r="IUL3" i="53"/>
  <c r="NKR3" i="53"/>
  <c r="MFT3" i="53"/>
  <c r="JAM3" i="53"/>
  <c r="E144" i="27"/>
  <c r="CGP3" i="53"/>
  <c r="LNK3" i="53"/>
  <c r="C23" i="27"/>
  <c r="SKS3" i="53"/>
  <c r="QJF3" i="53"/>
  <c r="HPK3" i="53"/>
  <c r="ODF3" i="53"/>
  <c r="RDX3" i="53"/>
  <c r="VAM3" i="53"/>
  <c r="C22" i="11"/>
  <c r="C274" i="27"/>
  <c r="C248" i="27"/>
  <c r="C358" i="27"/>
  <c r="E378" i="27"/>
  <c r="E317" i="27"/>
  <c r="E347" i="27"/>
  <c r="C139" i="27"/>
  <c r="C385" i="27"/>
  <c r="E154" i="27"/>
  <c r="E160" i="27"/>
  <c r="E251" i="27"/>
  <c r="C161" i="27"/>
  <c r="E360" i="27"/>
  <c r="E23" i="27"/>
  <c r="E343" i="27"/>
  <c r="C359" i="27"/>
  <c r="C37" i="27"/>
  <c r="E216" i="27"/>
  <c r="E274" i="27"/>
  <c r="C405" i="27"/>
  <c r="C296" i="27"/>
  <c r="C329" i="27"/>
  <c r="E394" i="27"/>
  <c r="E168" i="27"/>
  <c r="E380" i="27"/>
  <c r="C307" i="27"/>
  <c r="H3" i="27"/>
  <c r="C86" i="27"/>
  <c r="E180" i="27"/>
  <c r="E197" i="27"/>
  <c r="NKB3" i="53"/>
  <c r="ARV3" i="53"/>
  <c r="PUF3" i="53"/>
  <c r="BRK3" i="53"/>
  <c r="IIO3" i="53"/>
  <c r="FNA3" i="53"/>
  <c r="QII3" i="53"/>
  <c r="UYO3" i="53"/>
  <c r="PUV3" i="53"/>
  <c r="WQF3" i="53"/>
  <c r="MC3" i="53"/>
  <c r="NZT3" i="53"/>
  <c r="HMF3" i="53"/>
  <c r="AGD3" i="53"/>
  <c r="DZY3" i="53"/>
  <c r="LLA3" i="53"/>
  <c r="QAL3" i="53"/>
  <c r="SFI3" i="53"/>
  <c r="EG3" i="53"/>
  <c r="OWU3" i="53"/>
  <c r="EBT3" i="53"/>
  <c r="QRN3" i="53"/>
  <c r="MJZ3" i="53"/>
  <c r="IZW3" i="53"/>
  <c r="EPU3" i="53"/>
  <c r="BI3" i="53"/>
  <c r="EFB3" i="53"/>
  <c r="RZJ3" i="53"/>
  <c r="BFN3" i="53"/>
  <c r="JJN3" i="53"/>
  <c r="WYV3" i="53"/>
  <c r="KMB3" i="53"/>
  <c r="MIS3" i="53"/>
  <c r="FFA3" i="53"/>
  <c r="G11" i="40"/>
  <c r="AMO3" i="53"/>
  <c r="FQF3" i="53"/>
  <c r="ROU3" i="53"/>
  <c r="JXL3" i="53"/>
  <c r="UOF3" i="53"/>
  <c r="HCK3" i="53"/>
  <c r="JTG3" i="53"/>
  <c r="AVA3" i="53"/>
  <c r="D3" i="50"/>
  <c r="EZQ3" i="53"/>
  <c r="DPE3" i="53"/>
  <c r="G51" i="40"/>
  <c r="IWT3" i="53"/>
  <c r="G43" i="40"/>
  <c r="E19" i="40"/>
  <c r="NHG3" i="53"/>
  <c r="PEM3" i="53"/>
  <c r="TYU3" i="53"/>
  <c r="FWE3" i="53"/>
  <c r="WUP3" i="53"/>
  <c r="CGI3" i="53"/>
  <c r="QXU3" i="53"/>
  <c r="FOD3" i="53"/>
  <c r="OSO3" i="53"/>
  <c r="LEG3" i="53"/>
  <c r="LZO3" i="53"/>
  <c r="GIX3" i="53"/>
  <c r="WR3" i="53"/>
  <c r="HWR3" i="53"/>
  <c r="GOJ3" i="53"/>
  <c r="JKF3" i="53"/>
  <c r="JGO3" i="53"/>
  <c r="MRJ3" i="53"/>
  <c r="GKM3" i="53"/>
  <c r="KDA3" i="53"/>
  <c r="LVT3" i="53"/>
  <c r="BXU3" i="53"/>
  <c r="KGX3" i="53"/>
  <c r="APW3" i="53"/>
  <c r="PHH3" i="53"/>
  <c r="JAH3" i="53"/>
  <c r="NPN3" i="53"/>
  <c r="IKF3" i="53"/>
  <c r="DHN3" i="53"/>
  <c r="AD3" i="53"/>
  <c r="WFX3" i="53"/>
  <c r="FHQ3" i="53"/>
  <c r="KOU3" i="53"/>
  <c r="QTR3" i="53"/>
  <c r="GCV3" i="53"/>
  <c r="DHA3" i="53"/>
  <c r="KOM3" i="53"/>
  <c r="MH3" i="53"/>
  <c r="CJA3" i="53"/>
  <c r="BRT3" i="53"/>
  <c r="PNW3" i="53"/>
  <c r="C137" i="27"/>
  <c r="C188" i="27"/>
  <c r="DNX3" i="53"/>
  <c r="WYY3" i="53"/>
  <c r="IKN3" i="53"/>
  <c r="XAF3" i="53"/>
  <c r="SQD3" i="53"/>
  <c r="BVK3" i="53"/>
  <c r="BMU3" i="53"/>
  <c r="AKQ3" i="53"/>
  <c r="AYL3" i="53"/>
  <c r="G3" i="11"/>
  <c r="E58" i="27"/>
  <c r="E323" i="27"/>
  <c r="E55" i="27"/>
  <c r="C57" i="27"/>
  <c r="C43" i="27"/>
  <c r="E376" i="27"/>
  <c r="E384" i="27"/>
  <c r="C39" i="27"/>
  <c r="E304" i="27"/>
  <c r="E354" i="27"/>
  <c r="E158" i="27"/>
  <c r="C15" i="27"/>
  <c r="C390" i="27"/>
  <c r="E110" i="27"/>
  <c r="E156" i="27"/>
  <c r="C383" i="27"/>
  <c r="E284" i="27"/>
  <c r="E252" i="27"/>
  <c r="E272" i="27"/>
  <c r="C183" i="27"/>
  <c r="C328" i="27"/>
  <c r="E105" i="27"/>
  <c r="E233" i="27"/>
  <c r="E206" i="27"/>
  <c r="C363" i="27"/>
  <c r="E35" i="27"/>
  <c r="HGM3" i="53"/>
  <c r="VUK3" i="53"/>
  <c r="LDE3" i="53"/>
  <c r="FSU3" i="53"/>
  <c r="GGX3" i="53"/>
  <c r="GVH3" i="53"/>
  <c r="PHD3" i="53"/>
  <c r="FHU3" i="53"/>
  <c r="C24" i="40"/>
  <c r="NGO3" i="53"/>
  <c r="YU3" i="53"/>
  <c r="TVE3" i="53"/>
  <c r="AOG3" i="53"/>
  <c r="G5" i="50"/>
  <c r="G34" i="40"/>
  <c r="KXL3" i="53"/>
  <c r="WHF3" i="53"/>
  <c r="HWI3" i="53"/>
  <c r="VSP3" i="53"/>
  <c r="RXM3" i="53"/>
  <c r="AMZ3" i="53"/>
  <c r="UK3" i="53"/>
  <c r="RYB3" i="53"/>
  <c r="ETC3" i="53"/>
  <c r="M3" i="12"/>
  <c r="KXN3" i="53"/>
  <c r="KVX3" i="53"/>
  <c r="FYG3" i="53"/>
  <c r="OAI3" i="53"/>
  <c r="NNH3" i="53"/>
  <c r="MGE3" i="53"/>
  <c r="QJG3" i="53"/>
  <c r="GMB3" i="53"/>
  <c r="RXH3" i="53"/>
  <c r="TA3" i="53"/>
  <c r="QSW3" i="53"/>
  <c r="MLA3" i="53"/>
  <c r="QNF3" i="53"/>
  <c r="AST3" i="53"/>
  <c r="RMY3" i="53"/>
  <c r="OIW3" i="53"/>
  <c r="JQL3" i="53"/>
  <c r="GYB3" i="53"/>
  <c r="UBN3" i="53"/>
  <c r="GIC3" i="53"/>
  <c r="EMN3" i="53"/>
  <c r="FNF3" i="53"/>
  <c r="RID3" i="53"/>
  <c r="KMU3" i="53"/>
  <c r="HBA3" i="53"/>
  <c r="DXL3" i="53"/>
  <c r="LG3" i="53"/>
  <c r="QAY3" i="53"/>
  <c r="C22" i="4"/>
  <c r="FNI3" i="53"/>
  <c r="CIH3" i="53"/>
  <c r="SAW3" i="53"/>
  <c r="VHV3" i="53"/>
  <c r="E15" i="40"/>
  <c r="RZM3" i="53"/>
  <c r="ACN3" i="53"/>
  <c r="FGU3" i="53"/>
  <c r="FHE3" i="53"/>
  <c r="RVM3" i="53"/>
  <c r="USN3" i="53"/>
  <c r="FEK3" i="53"/>
  <c r="GRR3" i="53"/>
  <c r="KTV3" i="53"/>
  <c r="KZC3" i="53"/>
  <c r="LJX3" i="53"/>
  <c r="OID3" i="53"/>
  <c r="ISB3" i="53"/>
  <c r="WKZ3" i="53"/>
  <c r="SPV3" i="53"/>
  <c r="PSW3" i="53"/>
  <c r="VCG3" i="53"/>
  <c r="RIL3" i="53"/>
  <c r="SBB3" i="53"/>
  <c r="FPP3" i="53"/>
  <c r="BVZ3" i="53"/>
  <c r="HLS3" i="53"/>
  <c r="JVY3" i="53"/>
  <c r="QMX3" i="53"/>
  <c r="RTD3" i="53"/>
  <c r="DHB3" i="53"/>
  <c r="IJQ3" i="53"/>
  <c r="GXK3" i="53"/>
  <c r="ISQ3" i="53"/>
  <c r="ICO3" i="53"/>
  <c r="E243" i="27"/>
  <c r="SCY3" i="53"/>
  <c r="IWJ3" i="53"/>
  <c r="C272" i="27"/>
  <c r="WWV3" i="53"/>
  <c r="EV3" i="53"/>
  <c r="IJE3" i="53"/>
  <c r="FTR3" i="53"/>
  <c r="TDF3" i="53"/>
  <c r="C42" i="11"/>
  <c r="C313" i="27"/>
  <c r="C138" i="27"/>
  <c r="E121" i="27"/>
  <c r="C266" i="27"/>
  <c r="C61" i="27"/>
  <c r="C66" i="27"/>
  <c r="C251" i="27"/>
  <c r="E73" i="27"/>
  <c r="C35" i="27"/>
  <c r="C153" i="27"/>
  <c r="E398" i="27"/>
  <c r="E313" i="27"/>
  <c r="E225" i="27"/>
  <c r="C327" i="27"/>
  <c r="E218" i="27"/>
  <c r="C381" i="27"/>
  <c r="E131" i="27"/>
  <c r="E299" i="27"/>
  <c r="C326" i="27"/>
  <c r="C168" i="27"/>
  <c r="C185" i="27"/>
  <c r="C42" i="27"/>
  <c r="E97" i="27"/>
  <c r="C135" i="27"/>
  <c r="E374" i="27"/>
  <c r="E63" i="27"/>
  <c r="E267" i="27"/>
  <c r="E21" i="27"/>
  <c r="PRI3" i="53"/>
  <c r="U3" i="53"/>
  <c r="D3" i="62"/>
  <c r="BOB3" i="53"/>
  <c r="DRE3" i="53"/>
  <c r="MAR3" i="53"/>
  <c r="DVO3" i="53"/>
  <c r="VSK3" i="53"/>
  <c r="AUZ3" i="53"/>
  <c r="IIJ3" i="53"/>
  <c r="MVY3" i="53"/>
  <c r="VQX3" i="53"/>
  <c r="GRM3" i="53"/>
  <c r="RLV3" i="53"/>
  <c r="WTT3" i="53"/>
  <c r="VGG3" i="53"/>
  <c r="SHK3" i="53"/>
  <c r="RLK3" i="53"/>
  <c r="WFE3" i="53"/>
  <c r="QLG3" i="53"/>
  <c r="MPW3" i="53"/>
  <c r="FA3" i="53"/>
  <c r="IFF3" i="53"/>
  <c r="GRB3" i="53"/>
  <c r="PYP3" i="53"/>
  <c r="QXT3" i="53"/>
  <c r="G50" i="40"/>
  <c r="UQB3" i="53"/>
  <c r="GDD3" i="53"/>
  <c r="TXN3" i="53"/>
  <c r="MBU3" i="53"/>
  <c r="LBX3" i="53"/>
  <c r="OZL3" i="53"/>
  <c r="XM3" i="53"/>
  <c r="DRQ3" i="53"/>
  <c r="CAF3" i="53"/>
  <c r="HNR3" i="53"/>
  <c r="WTA3" i="53"/>
  <c r="DQK3" i="53"/>
  <c r="BJK3" i="53"/>
  <c r="BMK3" i="53"/>
  <c r="HLI3" i="53"/>
  <c r="UYG3" i="53"/>
  <c r="USK3" i="53"/>
  <c r="POW3" i="53"/>
  <c r="PWL3" i="53"/>
  <c r="QFA3" i="53"/>
  <c r="RTV3" i="53"/>
  <c r="OX3" i="53"/>
  <c r="QFW3" i="53"/>
  <c r="UTC3" i="53"/>
  <c r="CX3" i="53"/>
  <c r="MBR3" i="53"/>
  <c r="WDP3" i="53"/>
  <c r="HZA3" i="53"/>
  <c r="QMQ3" i="53"/>
  <c r="EAD3" i="53"/>
  <c r="OUT3" i="53"/>
  <c r="C20" i="4"/>
  <c r="SWK3" i="53"/>
  <c r="SSU3" i="53"/>
  <c r="DYZ3" i="53"/>
  <c r="WOM3" i="53"/>
  <c r="CXV3" i="53"/>
  <c r="JQS3" i="53"/>
  <c r="AVN3" i="53"/>
  <c r="RUU3" i="53"/>
  <c r="EMP3" i="53"/>
  <c r="QEN3" i="53"/>
  <c r="IBT3" i="53"/>
  <c r="FCU3" i="53"/>
  <c r="LVP3" i="53"/>
  <c r="TEE3" i="53"/>
  <c r="RXU3" i="53"/>
  <c r="ART3" i="53"/>
  <c r="RKD3" i="53"/>
  <c r="RWR3" i="53"/>
  <c r="WIZ3" i="53"/>
  <c r="JFY3" i="53"/>
  <c r="GGT3" i="53"/>
  <c r="CSM3" i="53"/>
  <c r="GJF3" i="53"/>
  <c r="IQF3" i="53"/>
  <c r="IOW3" i="53"/>
  <c r="CWB3" i="53"/>
  <c r="FY3" i="53"/>
  <c r="ONA3" i="53"/>
  <c r="GNX3" i="53"/>
  <c r="SML3" i="53"/>
  <c r="C50" i="27"/>
  <c r="SPL3" i="53"/>
  <c r="RVZ3" i="53"/>
  <c r="C285" i="27"/>
  <c r="C370" i="27"/>
  <c r="GY3" i="53"/>
  <c r="IVG3" i="53"/>
  <c r="VYQ3" i="53"/>
  <c r="HY3" i="53"/>
  <c r="EAW3" i="53"/>
  <c r="FUJ3" i="53"/>
  <c r="E40" i="27"/>
  <c r="C388" i="27"/>
  <c r="C170" i="27"/>
  <c r="E146" i="27"/>
  <c r="C227" i="27"/>
  <c r="C187" i="27"/>
  <c r="E263" i="27"/>
  <c r="C201" i="27"/>
  <c r="C384" i="27"/>
  <c r="C59" i="27"/>
  <c r="C3" i="27"/>
  <c r="E179" i="27"/>
  <c r="E109" i="27"/>
  <c r="C279" i="27"/>
  <c r="E319" i="27"/>
  <c r="C48" i="27"/>
  <c r="C98" i="27"/>
  <c r="E287" i="27"/>
  <c r="C218" i="27"/>
  <c r="CWI3" i="53"/>
  <c r="LIF3" i="53"/>
  <c r="JGH3" i="53"/>
  <c r="RAI3" i="53"/>
  <c r="NUL3" i="53"/>
  <c r="WRC3" i="53"/>
  <c r="IIE3" i="53"/>
  <c r="QVD3" i="53"/>
  <c r="ODQ3" i="53"/>
  <c r="C47" i="4"/>
  <c r="NNM3" i="53"/>
  <c r="SLC3" i="53"/>
  <c r="PL3" i="53"/>
  <c r="ICN3" i="53"/>
  <c r="MP3" i="53"/>
  <c r="KNZ3" i="53"/>
  <c r="PYL3" i="53"/>
  <c r="HON3" i="53"/>
  <c r="PKM3" i="53"/>
  <c r="PNV3" i="53"/>
  <c r="RCP3" i="53"/>
  <c r="FDC3" i="53"/>
  <c r="KFN3" i="53"/>
  <c r="VVN3" i="53"/>
  <c r="AMM3" i="53"/>
  <c r="HVU3" i="53"/>
  <c r="BRB3" i="53"/>
  <c r="MLY3" i="53"/>
  <c r="LIR3" i="53"/>
  <c r="RGC3" i="53"/>
  <c r="KZ3" i="53"/>
  <c r="IZC3" i="53"/>
  <c r="KGC3" i="53"/>
  <c r="RWX3" i="53"/>
  <c r="AQA3" i="53"/>
  <c r="PVN3" i="53"/>
  <c r="CWA3" i="53"/>
  <c r="BDU3" i="53"/>
  <c r="DKO3" i="53"/>
  <c r="AMJ3" i="53"/>
  <c r="PSN3" i="53"/>
  <c r="IPQ3" i="53"/>
  <c r="TMV3" i="53"/>
  <c r="B3" i="5"/>
  <c r="MDQ3" i="53"/>
  <c r="VMN3" i="53"/>
  <c r="UJQ3" i="53"/>
  <c r="QQX3" i="53"/>
  <c r="WRZ3" i="53"/>
  <c r="AMT3" i="53"/>
  <c r="DRN3" i="53"/>
  <c r="VJN3" i="53"/>
  <c r="IUM3" i="53"/>
  <c r="LSU3" i="53"/>
  <c r="INH3" i="53"/>
  <c r="UXQ3" i="53"/>
  <c r="VKC3" i="53"/>
  <c r="HNS3" i="53"/>
  <c r="TEM3" i="53"/>
  <c r="UHB3" i="53"/>
  <c r="DQP3" i="53"/>
  <c r="TOC3" i="53"/>
  <c r="LIP3" i="53"/>
  <c r="C48" i="4"/>
  <c r="RLH3" i="53"/>
  <c r="PKE3" i="53"/>
  <c r="AGU3" i="53"/>
  <c r="WYN3" i="53"/>
  <c r="C15" i="37"/>
  <c r="LQM3" i="53"/>
  <c r="FHK3" i="53"/>
  <c r="LKT3" i="53"/>
  <c r="HUF3" i="53"/>
  <c r="NAC3" i="53"/>
  <c r="MY3" i="53"/>
  <c r="OVZ3" i="53"/>
  <c r="C46" i="40"/>
  <c r="G36" i="40"/>
  <c r="IUC3" i="53"/>
  <c r="BKH3" i="53"/>
  <c r="DUA3" i="53"/>
  <c r="WRS3" i="53"/>
  <c r="ILY3" i="53"/>
  <c r="OMW3" i="53"/>
  <c r="IJL3" i="53"/>
  <c r="CWH3" i="53"/>
  <c r="PCP3" i="53"/>
  <c r="EPL3" i="53"/>
  <c r="TMK3" i="53"/>
  <c r="F3" i="3"/>
  <c r="C10" i="11"/>
  <c r="C253" i="27"/>
  <c r="E16" i="27"/>
  <c r="C191" i="27"/>
  <c r="E220" i="27"/>
  <c r="C232" i="27"/>
  <c r="C411" i="27"/>
  <c r="E215" i="27"/>
  <c r="SFN3" i="53"/>
  <c r="TPB3" i="53"/>
  <c r="G38" i="40"/>
  <c r="DPD3" i="53"/>
  <c r="SJN3" i="53"/>
  <c r="EWT3" i="53"/>
  <c r="RLN3" i="53"/>
  <c r="CRJ3" i="53"/>
  <c r="STB3" i="53"/>
  <c r="HVE3" i="53"/>
  <c r="MUQ3" i="53"/>
  <c r="CEU3" i="53"/>
  <c r="GS3" i="53"/>
  <c r="NGW3" i="53"/>
  <c r="SLD3" i="53"/>
  <c r="IFD3" i="53"/>
  <c r="BRC3" i="53"/>
  <c r="CPL3" i="53"/>
  <c r="CRV3" i="53"/>
  <c r="MNE3" i="53"/>
  <c r="JLK3" i="53"/>
  <c r="JOX3" i="53"/>
  <c r="FDN3" i="53"/>
  <c r="VOI3" i="53"/>
  <c r="SJY3" i="53"/>
  <c r="EIU3" i="53"/>
  <c r="BNA3" i="53"/>
  <c r="KXB3" i="53"/>
  <c r="C11" i="11"/>
  <c r="E27" i="27"/>
  <c r="E318" i="27"/>
  <c r="E101" i="27"/>
  <c r="E113" i="27"/>
  <c r="E366" i="27"/>
  <c r="E414" i="27"/>
  <c r="C90" i="27"/>
  <c r="C364" i="27"/>
  <c r="EWI3" i="53"/>
  <c r="PDG3" i="53"/>
  <c r="JCX3" i="53"/>
  <c r="HEV3" i="53"/>
  <c r="PKN3" i="53"/>
  <c r="OY3" i="53"/>
  <c r="IGG3" i="53"/>
  <c r="J3" i="40"/>
  <c r="CVF3" i="53"/>
  <c r="UUY3" i="53"/>
  <c r="KVU3" i="53"/>
  <c r="WSH3" i="53"/>
  <c r="HLZ3" i="53"/>
  <c r="MQG3" i="53"/>
  <c r="XEI3" i="53"/>
  <c r="XDZ3" i="53"/>
  <c r="KSO3" i="53"/>
  <c r="DWZ3" i="53"/>
  <c r="LQF3" i="53"/>
  <c r="BSB3" i="53"/>
  <c r="IYJ3" i="53"/>
  <c r="CWJ3" i="53"/>
  <c r="KYL3" i="53"/>
  <c r="MFI3" i="53"/>
  <c r="DFT3" i="53"/>
  <c r="LUJ3" i="53"/>
  <c r="WAR3" i="53"/>
  <c r="WYU3" i="53"/>
  <c r="C346" i="27"/>
  <c r="C9" i="11"/>
  <c r="C8" i="11"/>
  <c r="E253" i="27"/>
  <c r="E135" i="27"/>
  <c r="E357" i="27"/>
  <c r="C53" i="27"/>
  <c r="C122" i="27"/>
  <c r="E314" i="27"/>
  <c r="C111" i="27"/>
  <c r="E53" i="27"/>
  <c r="C164" i="27"/>
  <c r="E207" i="27"/>
  <c r="E140" i="27"/>
  <c r="E332" i="27"/>
  <c r="E151" i="27"/>
  <c r="E264" i="27"/>
  <c r="C250" i="27"/>
  <c r="E335" i="27"/>
  <c r="C8" i="27"/>
  <c r="C233" i="27"/>
  <c r="AEQ3" i="53"/>
  <c r="HKI3" i="53"/>
  <c r="CXL3" i="53"/>
  <c r="TMQ3" i="53"/>
  <c r="E11" i="46"/>
  <c r="IE3" i="53"/>
  <c r="JAQ3" i="53"/>
  <c r="BDE3" i="53"/>
  <c r="THB3" i="53"/>
  <c r="CJD3" i="53"/>
  <c r="VYR3" i="53"/>
  <c r="KJH3" i="53"/>
  <c r="EIV3" i="53"/>
  <c r="PRJ3" i="53"/>
  <c r="CJR3" i="53"/>
  <c r="C3" i="53"/>
  <c r="ERC3" i="53"/>
  <c r="PWM3" i="53"/>
  <c r="BNG3" i="53"/>
  <c r="KNA3" i="53"/>
  <c r="QBJ3" i="53"/>
  <c r="OSA3" i="53"/>
  <c r="TYD3" i="53"/>
  <c r="WPP3" i="53"/>
  <c r="PTK3" i="53"/>
  <c r="RZQ3" i="53"/>
  <c r="BJC3" i="53"/>
  <c r="FOL3" i="53"/>
  <c r="NJF3" i="53"/>
  <c r="MUI3" i="53"/>
  <c r="LIM3" i="53"/>
  <c r="USY3" i="53"/>
  <c r="C44" i="6"/>
  <c r="BDY3" i="53"/>
  <c r="OZU3" i="53"/>
  <c r="DAR3" i="53"/>
  <c r="C57" i="4"/>
  <c r="USV3" i="53"/>
  <c r="PWV3" i="53"/>
  <c r="RLU3" i="53"/>
  <c r="QRC3" i="53"/>
  <c r="C14" i="31"/>
  <c r="UJH3" i="53"/>
  <c r="DQL3" i="53"/>
  <c r="C37" i="6"/>
  <c r="GTQ3" i="53"/>
  <c r="CPF3" i="53"/>
  <c r="QFY3" i="53"/>
  <c r="JUG3" i="53"/>
  <c r="KUM3" i="53"/>
  <c r="RDB3" i="53"/>
  <c r="VNG3" i="53"/>
  <c r="LCN3" i="53"/>
  <c r="HVJ3" i="53"/>
  <c r="C18" i="6"/>
  <c r="FKZ3" i="53"/>
  <c r="TON3" i="53"/>
  <c r="BXA3" i="53"/>
  <c r="IZX3" i="53"/>
  <c r="QEH3" i="53"/>
  <c r="EII3" i="53"/>
  <c r="BPV3" i="53"/>
  <c r="PJL3" i="53"/>
  <c r="GOT3" i="53"/>
  <c r="FZZ3" i="53"/>
  <c r="JCW3" i="53"/>
  <c r="KUG3" i="53"/>
  <c r="BIY3" i="53"/>
  <c r="ERM3" i="53"/>
  <c r="KDN3" i="53"/>
  <c r="PMM3" i="53"/>
  <c r="HBW3" i="53"/>
  <c r="TTF3" i="53"/>
  <c r="IQY3" i="53"/>
  <c r="QJB3" i="53"/>
  <c r="URR3" i="53"/>
  <c r="C5" i="12"/>
  <c r="OXX3" i="53"/>
  <c r="MFS3" i="53"/>
  <c r="VMM3" i="53"/>
  <c r="GUY3" i="53"/>
  <c r="FLY3" i="53"/>
  <c r="C15" i="31"/>
  <c r="KAH3" i="53"/>
  <c r="OUJ3" i="53"/>
  <c r="KUP3" i="53"/>
  <c r="KK3" i="53"/>
  <c r="LRI3" i="53"/>
  <c r="DFQ3" i="53"/>
  <c r="JMK3" i="53"/>
  <c r="E8" i="27"/>
  <c r="C369" i="27"/>
  <c r="E173" i="27"/>
  <c r="E59" i="27"/>
  <c r="C34" i="27"/>
  <c r="E305" i="27"/>
  <c r="SJD3" i="53"/>
  <c r="EQZ3" i="53"/>
  <c r="C3" i="5"/>
  <c r="BZS3" i="53"/>
  <c r="IOB3" i="53"/>
  <c r="JMU3" i="53"/>
  <c r="UHK3" i="53"/>
  <c r="E26" i="40"/>
  <c r="VQA3" i="53"/>
  <c r="EQQ3" i="53"/>
  <c r="JZN3" i="53"/>
  <c r="DBM3" i="53"/>
  <c r="HZP3" i="53"/>
  <c r="HRZ3" i="53"/>
  <c r="LCH3" i="53"/>
  <c r="AKE3" i="53"/>
  <c r="DPJ3" i="53"/>
  <c r="SDI3" i="53"/>
  <c r="TRW3" i="53"/>
  <c r="SYR3" i="53"/>
  <c r="JCG3" i="53"/>
  <c r="JUP3" i="53"/>
  <c r="CJT3" i="53"/>
  <c r="E309" i="27"/>
  <c r="N3" i="53"/>
  <c r="HWZ3" i="53"/>
  <c r="DV3" i="53"/>
  <c r="B3" i="55"/>
  <c r="C32" i="27"/>
  <c r="C172" i="27"/>
  <c r="E238" i="27"/>
  <c r="C174" i="27"/>
  <c r="C117" i="27"/>
  <c r="C47" i="27"/>
  <c r="E346" i="27"/>
  <c r="E166" i="27"/>
  <c r="E95" i="27"/>
  <c r="JSZ3" i="53"/>
  <c r="F3" i="49"/>
  <c r="OWE3" i="53"/>
  <c r="C60" i="4"/>
  <c r="NON3" i="53"/>
  <c r="E8" i="40"/>
  <c r="NIR3" i="53"/>
  <c r="MLI3" i="53"/>
  <c r="DPV3" i="53"/>
  <c r="C28" i="40"/>
  <c r="NWF3" i="53"/>
  <c r="FLP3" i="53"/>
  <c r="C5" i="28"/>
  <c r="GFL3" i="53"/>
  <c r="G25" i="40"/>
  <c r="C20" i="2"/>
  <c r="IVX3" i="53"/>
  <c r="INV3" i="53"/>
  <c r="LCG3" i="53"/>
  <c r="WQN3" i="53"/>
  <c r="GHD3" i="53"/>
  <c r="N3" i="34"/>
  <c r="WMN3" i="53"/>
  <c r="MNK3" i="53"/>
  <c r="VCP3" i="53"/>
  <c r="VTL3" i="53"/>
  <c r="HWK3" i="53"/>
  <c r="FEW3" i="53"/>
  <c r="OEB3" i="53"/>
  <c r="RWK3" i="53"/>
  <c r="WYJ3" i="53"/>
  <c r="RQK3" i="53"/>
  <c r="LVX3" i="53"/>
  <c r="JBP3" i="53"/>
  <c r="JUI3" i="53"/>
  <c r="JQA3" i="53"/>
  <c r="PMA3" i="53"/>
  <c r="CHO3" i="53"/>
  <c r="JNU3" i="53"/>
  <c r="RVY3" i="53"/>
  <c r="BBD3" i="53"/>
  <c r="DGZ3" i="53"/>
  <c r="DGX3" i="53"/>
  <c r="IRH3" i="53"/>
  <c r="LVK3" i="53"/>
  <c r="SOL3" i="53"/>
  <c r="IAA3" i="53"/>
  <c r="ENA3" i="53"/>
  <c r="IEM3" i="53"/>
  <c r="BQF3" i="53"/>
  <c r="PRP3" i="53"/>
  <c r="HLB3" i="53"/>
  <c r="GZ3" i="53"/>
  <c r="KYV3" i="53"/>
  <c r="CDD3" i="53"/>
  <c r="DBP3" i="53"/>
  <c r="BGX3" i="53"/>
  <c r="OSX3" i="53"/>
  <c r="G14" i="40"/>
  <c r="RCE3" i="53"/>
  <c r="QMF3" i="53"/>
  <c r="C12" i="6"/>
  <c r="DTF3" i="53"/>
  <c r="FGL3" i="53"/>
  <c r="KFH3" i="53"/>
  <c r="MS3" i="53"/>
  <c r="KAZ3" i="53"/>
  <c r="PBE3" i="53"/>
  <c r="JKU3" i="53"/>
  <c r="WYA3" i="53"/>
  <c r="SWM3" i="53"/>
  <c r="IYQ3" i="53"/>
  <c r="PMP3" i="53"/>
  <c r="PRZ3" i="53"/>
  <c r="EBN3" i="53"/>
  <c r="GQT3" i="53"/>
  <c r="VXJ3" i="53"/>
  <c r="SOP3" i="53"/>
  <c r="BFT3" i="53"/>
  <c r="QLR3" i="53"/>
  <c r="HUP3" i="53"/>
  <c r="LTQ3" i="53"/>
  <c r="C31" i="53"/>
  <c r="RWD3" i="53"/>
  <c r="HDB3" i="53"/>
  <c r="TDS3" i="53"/>
  <c r="PFB3" i="53"/>
  <c r="C34" i="11"/>
  <c r="C180" i="27"/>
  <c r="E308" i="27"/>
  <c r="C207" i="27"/>
  <c r="E275" i="27"/>
  <c r="E369" i="27"/>
  <c r="SVS3" i="53"/>
  <c r="LY3" i="53"/>
  <c r="DLU3" i="53"/>
  <c r="A3" i="28"/>
  <c r="BIN3" i="53"/>
  <c r="PUX3" i="53"/>
  <c r="JJI3" i="53"/>
  <c r="C3" i="4"/>
  <c r="E3" i="60"/>
  <c r="GWP3" i="53"/>
  <c r="E51" i="27"/>
  <c r="E86" i="27"/>
  <c r="E96" i="27"/>
  <c r="E170" i="27"/>
  <c r="C189" i="27"/>
  <c r="E107" i="27"/>
  <c r="E150" i="27"/>
  <c r="FDY3" i="53"/>
  <c r="E34" i="40"/>
  <c r="KFZ3" i="53"/>
  <c r="BHA3" i="53"/>
  <c r="MLK3" i="53"/>
  <c r="FAA3" i="53"/>
  <c r="ESP3" i="53"/>
  <c r="HYI3" i="53"/>
  <c r="NOU3" i="53"/>
  <c r="HL3" i="53"/>
  <c r="C36" i="11"/>
  <c r="E399" i="27"/>
  <c r="C7" i="11"/>
  <c r="C263" i="27"/>
  <c r="C392" i="27"/>
  <c r="D3" i="55"/>
  <c r="E348" i="27"/>
  <c r="C97" i="27"/>
  <c r="C136" i="27"/>
  <c r="E325" i="27"/>
  <c r="E230" i="27"/>
  <c r="E41" i="27"/>
  <c r="E297" i="27"/>
  <c r="E196" i="27"/>
  <c r="C65" i="27"/>
  <c r="E269" i="27"/>
  <c r="E30" i="27"/>
  <c r="E345" i="27"/>
  <c r="HQJ3" i="53"/>
  <c r="FPF3" i="53"/>
  <c r="C3" i="55"/>
  <c r="E276" i="27"/>
  <c r="E29" i="27"/>
  <c r="E303" i="27"/>
  <c r="FI3" i="53"/>
  <c r="UWV3" i="53"/>
  <c r="HBF3" i="53"/>
  <c r="HST3" i="53"/>
  <c r="C13" i="3"/>
  <c r="MFR3" i="53"/>
  <c r="BCC3" i="53"/>
  <c r="HED3" i="53"/>
  <c r="HDW3" i="53"/>
  <c r="VZW3" i="53"/>
  <c r="BIG3" i="53"/>
  <c r="EYE3" i="53"/>
  <c r="VWQ3" i="53"/>
  <c r="E8" i="4"/>
  <c r="QBV3" i="53"/>
  <c r="OXB3" i="53"/>
  <c r="FTP3" i="53"/>
  <c r="LLJ3" i="53"/>
  <c r="AIR3" i="53"/>
  <c r="OAZ3" i="53"/>
  <c r="BWV3" i="53"/>
  <c r="XCA3" i="53"/>
  <c r="PZH3" i="53"/>
  <c r="E57" i="4"/>
  <c r="OHR3" i="53"/>
  <c r="IDD3" i="53"/>
  <c r="IAO3" i="53"/>
  <c r="QMV3" i="53"/>
  <c r="SAL3" i="53"/>
  <c r="AXM3" i="53"/>
  <c r="FDI3" i="53"/>
  <c r="STC3" i="53"/>
  <c r="FSL3" i="53"/>
  <c r="NSF3" i="53"/>
  <c r="CWU3" i="53"/>
  <c r="KCZ3" i="53"/>
  <c r="NPM3" i="53"/>
  <c r="IFS3" i="53"/>
  <c r="KYR3" i="53"/>
  <c r="BTG3" i="53"/>
  <c r="SJZ3" i="53"/>
  <c r="SOF3" i="53"/>
  <c r="LAO3" i="53"/>
  <c r="DHY3" i="53"/>
  <c r="EXO3" i="53"/>
  <c r="HUH3" i="53"/>
  <c r="FDM3" i="53"/>
  <c r="KZH3" i="53"/>
  <c r="J3" i="1"/>
  <c r="RAJ3" i="53"/>
  <c r="IG3" i="53"/>
  <c r="C13" i="31"/>
  <c r="HTS3" i="53"/>
  <c r="RMW3" i="53"/>
  <c r="BXZ3" i="53"/>
  <c r="SHN3" i="53"/>
  <c r="JEG3" i="53"/>
  <c r="MLF3" i="53"/>
  <c r="AJE3" i="53"/>
  <c r="QRK3" i="53"/>
  <c r="HTE3" i="53"/>
  <c r="G3" i="14"/>
  <c r="NHF3" i="53"/>
  <c r="FGK3" i="53"/>
  <c r="C38" i="2"/>
  <c r="C21" i="2"/>
  <c r="IA3" i="53"/>
  <c r="RRP3" i="53"/>
  <c r="VKB3" i="53"/>
  <c r="C9" i="28"/>
  <c r="CEY3" i="53"/>
  <c r="MAG3" i="53"/>
  <c r="AYD3" i="53"/>
  <c r="VFH3" i="53"/>
  <c r="QIL3" i="53"/>
  <c r="OZQ3" i="53"/>
  <c r="GBW3" i="53"/>
  <c r="WT3" i="53"/>
  <c r="ARE3" i="53"/>
  <c r="UXZ3" i="53"/>
  <c r="FMN3" i="53"/>
  <c r="WVY3" i="53"/>
  <c r="GUB3" i="53"/>
  <c r="EDW3" i="53"/>
  <c r="VTU3" i="53"/>
  <c r="AEI3" i="53"/>
  <c r="PHQ3" i="53"/>
  <c r="C25" i="6"/>
  <c r="EDC3" i="53"/>
  <c r="E132" i="27"/>
  <c r="E213" i="27"/>
  <c r="C89" i="27"/>
  <c r="C302" i="27"/>
  <c r="E47" i="27"/>
  <c r="C299" i="27"/>
  <c r="QXB3" i="53"/>
  <c r="GWE3" i="53"/>
  <c r="VJH3" i="53"/>
  <c r="LRD3" i="53"/>
  <c r="C17" i="40"/>
  <c r="IKM3" i="53"/>
  <c r="BFS3" i="53"/>
  <c r="TRF3" i="53"/>
  <c r="JEC3" i="53"/>
  <c r="C14" i="6"/>
  <c r="C14" i="11"/>
  <c r="E31" i="27"/>
  <c r="E273" i="27"/>
  <c r="C192" i="27"/>
  <c r="E38" i="27"/>
  <c r="E291" i="27"/>
  <c r="E33" i="27"/>
  <c r="C225" i="27"/>
  <c r="LQS3" i="53"/>
  <c r="QEV3" i="53"/>
  <c r="LQH3" i="53"/>
  <c r="PHX3" i="53"/>
  <c r="OUC3" i="53"/>
  <c r="HUK3" i="53"/>
  <c r="RFU3" i="53"/>
  <c r="UYD3" i="53"/>
  <c r="ACJ3" i="53"/>
  <c r="SVT3" i="53"/>
  <c r="VHS3" i="53"/>
  <c r="UYN3" i="53"/>
  <c r="VZH3" i="53"/>
  <c r="PBJ3" i="53"/>
  <c r="C19" i="4"/>
  <c r="FKR3" i="53"/>
  <c r="NEV3" i="53"/>
  <c r="FUR3" i="53"/>
  <c r="E210" i="27"/>
  <c r="E3" i="55"/>
  <c r="C35" i="11"/>
  <c r="E28" i="27"/>
  <c r="E258" i="27"/>
  <c r="C67" i="27"/>
  <c r="C206" i="27"/>
  <c r="E152" i="27"/>
  <c r="E24" i="27"/>
  <c r="A3" i="55"/>
  <c r="C19" i="11"/>
  <c r="C400" i="27"/>
  <c r="E405" i="27"/>
  <c r="E136" i="27"/>
  <c r="E157" i="27"/>
  <c r="C290" i="27"/>
  <c r="C116" i="27"/>
  <c r="E9" i="27"/>
  <c r="C229" i="27"/>
  <c r="E290" i="27"/>
  <c r="G3" i="27"/>
  <c r="C305" i="27"/>
  <c r="E141" i="27"/>
  <c r="C343" i="27"/>
  <c r="E60" i="27"/>
  <c r="C257" i="27"/>
  <c r="C268" i="27"/>
  <c r="E214" i="27"/>
  <c r="E248" i="27"/>
  <c r="E387" i="27"/>
  <c r="C82" i="27"/>
  <c r="E222" i="27"/>
  <c r="C95" i="27"/>
  <c r="E6" i="27"/>
  <c r="IDB3" i="53"/>
  <c r="VTN3" i="53"/>
  <c r="NKA3" i="53"/>
  <c r="C41" i="11"/>
  <c r="C293" i="27"/>
  <c r="E161" i="27"/>
  <c r="C231" i="27"/>
  <c r="E370" i="27"/>
  <c r="E364" i="27"/>
  <c r="E3" i="27"/>
  <c r="E245" i="27"/>
  <c r="E171" i="27"/>
  <c r="E286" i="27"/>
  <c r="C278" i="27"/>
  <c r="C252" i="27"/>
  <c r="C375" i="27"/>
  <c r="E324" i="27"/>
  <c r="C160" i="27"/>
  <c r="C146" i="27"/>
  <c r="E48" i="27"/>
  <c r="E312" i="27"/>
  <c r="E145" i="27"/>
  <c r="C221" i="27"/>
  <c r="C10" i="27"/>
  <c r="E413" i="27"/>
  <c r="C386" i="27"/>
  <c r="E396" i="27"/>
  <c r="C339" i="27"/>
  <c r="C163" i="27"/>
  <c r="E373" i="27"/>
  <c r="E350" i="27"/>
  <c r="SUG3" i="53"/>
  <c r="GCD3" i="53"/>
  <c r="C26" i="11"/>
  <c r="C6" i="11"/>
  <c r="C347" i="27"/>
  <c r="E98" i="27"/>
  <c r="E142" i="27"/>
  <c r="E72" i="27"/>
  <c r="E46" i="27"/>
  <c r="C60" i="27"/>
  <c r="C282" i="27"/>
  <c r="C394" i="27"/>
  <c r="C101" i="27"/>
  <c r="C211" i="27"/>
  <c r="E43" i="27"/>
  <c r="C374" i="27"/>
  <c r="E321" i="27"/>
  <c r="E198" i="27"/>
  <c r="E18" i="27"/>
  <c r="C407" i="27"/>
  <c r="E223" i="27"/>
  <c r="E106" i="27"/>
  <c r="C196" i="27"/>
  <c r="I3" i="27"/>
  <c r="E338" i="27"/>
  <c r="E130" i="27"/>
  <c r="C301" i="27"/>
  <c r="E82" i="27"/>
  <c r="C7" i="27"/>
  <c r="E404" i="27"/>
  <c r="C200" i="27"/>
  <c r="C373" i="27"/>
  <c r="E256" i="27"/>
  <c r="E70" i="27"/>
  <c r="UPD3" i="53"/>
  <c r="ANL3" i="53"/>
  <c r="IUT3" i="53"/>
  <c r="HUO3" i="53"/>
  <c r="G30" i="40"/>
  <c r="SBC3" i="53"/>
  <c r="WZD3" i="53"/>
  <c r="VVW3" i="53"/>
  <c r="LNX3" i="53"/>
  <c r="KJC3" i="53"/>
  <c r="WTU3" i="53"/>
  <c r="LTF3" i="53"/>
  <c r="BHK3" i="53"/>
  <c r="IXK3" i="53"/>
  <c r="UMT3" i="53"/>
  <c r="SKZ3" i="53"/>
  <c r="DFS3" i="53"/>
  <c r="MAW3" i="53"/>
  <c r="OKI3" i="53"/>
  <c r="ABR3" i="53"/>
  <c r="OYH3" i="53"/>
  <c r="LKI3" i="53"/>
  <c r="DGO3" i="53"/>
  <c r="JDF3" i="53"/>
  <c r="MK3" i="53"/>
  <c r="DEU3" i="53"/>
  <c r="WFC3" i="53"/>
  <c r="EVG3" i="53"/>
  <c r="RPG3" i="53"/>
  <c r="HSG3" i="53"/>
  <c r="GSR3" i="53"/>
  <c r="OWR3" i="53"/>
  <c r="FSK3" i="53"/>
  <c r="DBT3" i="53"/>
  <c r="NC3" i="53"/>
  <c r="JOJ3" i="53"/>
  <c r="MEZ3" i="53"/>
  <c r="AXJ3" i="53"/>
  <c r="ULP3" i="53"/>
  <c r="E53" i="4"/>
  <c r="HWP3" i="53"/>
  <c r="C31" i="4"/>
  <c r="DVM3" i="53"/>
  <c r="ESV3" i="53"/>
  <c r="DFP3" i="53"/>
  <c r="AYW3" i="53"/>
  <c r="FCG3" i="53"/>
  <c r="BJX3" i="53"/>
  <c r="HOB3" i="53"/>
  <c r="AIX3" i="53"/>
  <c r="WK3" i="53"/>
  <c r="GDF3" i="53"/>
  <c r="TQU3" i="53"/>
  <c r="EXD3" i="53"/>
  <c r="KGK3" i="53"/>
  <c r="C39" i="4"/>
  <c r="JLZ3" i="53"/>
  <c r="LJO3" i="53"/>
  <c r="UWA3" i="53"/>
  <c r="FYY3" i="53"/>
  <c r="AGM3" i="53"/>
  <c r="RBO3" i="53"/>
  <c r="UV3" i="53"/>
  <c r="QJQ3" i="53"/>
  <c r="JHS3" i="53"/>
  <c r="WVO3" i="53"/>
  <c r="QFO3" i="53"/>
  <c r="DMQ3" i="53"/>
  <c r="KXZ3" i="53"/>
  <c r="BIE3" i="53"/>
  <c r="PYN3" i="53"/>
  <c r="ECI3" i="53"/>
  <c r="HAM3" i="53"/>
  <c r="KZY3" i="53"/>
  <c r="CSB3" i="53"/>
  <c r="RVO3" i="53"/>
  <c r="XAR3" i="53"/>
  <c r="DUL3" i="53"/>
  <c r="EQW3" i="53"/>
  <c r="HKM3" i="53"/>
  <c r="WYD3" i="53"/>
  <c r="KAM3" i="53"/>
  <c r="TMD3" i="53"/>
  <c r="NBV3" i="53"/>
  <c r="C23" i="3"/>
  <c r="IPT3" i="53"/>
  <c r="IBI3" i="53"/>
  <c r="LKG3" i="53"/>
  <c r="KNN3" i="53"/>
  <c r="PWW3" i="53"/>
  <c r="C152" i="27"/>
  <c r="C333" i="27"/>
  <c r="E280" i="27"/>
  <c r="VK3" i="53"/>
  <c r="GMG3" i="53"/>
  <c r="E29" i="4"/>
  <c r="EOR3" i="53"/>
  <c r="FWQ3" i="53"/>
  <c r="MGK3" i="53"/>
  <c r="ABP3" i="53"/>
  <c r="JCY3" i="53"/>
  <c r="C345" i="27"/>
  <c r="JMY3" i="53"/>
  <c r="C11" i="59"/>
  <c r="EB3" i="53"/>
  <c r="E395" i="27"/>
  <c r="C31" i="11"/>
  <c r="C29" i="11"/>
  <c r="C37" i="11"/>
  <c r="C398" i="27"/>
  <c r="E134" i="27"/>
  <c r="E149" i="27"/>
  <c r="E192" i="27"/>
  <c r="C91" i="27"/>
  <c r="E234" i="27"/>
  <c r="E279" i="27"/>
  <c r="E336" i="27"/>
  <c r="C273" i="27"/>
  <c r="E133" i="27"/>
  <c r="E116" i="27"/>
  <c r="C360" i="27"/>
  <c r="E236" i="27"/>
  <c r="C52" i="27"/>
  <c r="E339" i="27"/>
  <c r="C24" i="27"/>
  <c r="C148" i="27"/>
  <c r="C78" i="27"/>
  <c r="C75" i="27"/>
  <c r="E129" i="27"/>
  <c r="C198" i="27"/>
  <c r="C350" i="27"/>
  <c r="E285" i="27"/>
  <c r="C224" i="27"/>
  <c r="C337" i="27"/>
  <c r="C147" i="27"/>
  <c r="C108" i="27"/>
  <c r="C21" i="27"/>
  <c r="E194" i="27"/>
  <c r="E108" i="27"/>
  <c r="OK3" i="53"/>
  <c r="NEF3" i="53"/>
  <c r="IRJ3" i="53"/>
  <c r="GHV3" i="53"/>
  <c r="G29" i="40"/>
  <c r="XBO3" i="53"/>
  <c r="MVW3" i="53"/>
  <c r="JEI3" i="53"/>
  <c r="HVL3" i="53"/>
  <c r="QPI3" i="53"/>
  <c r="FJA3" i="53"/>
  <c r="XCJ3" i="53"/>
  <c r="IAW3" i="53"/>
  <c r="HUA3" i="53"/>
  <c r="NWI3" i="53"/>
  <c r="IOL3" i="53"/>
  <c r="OVL3" i="53"/>
  <c r="BAA3" i="53"/>
  <c r="C26" i="40"/>
  <c r="C22" i="31"/>
  <c r="HAS3" i="53"/>
  <c r="MVE3" i="53"/>
  <c r="NNX3" i="53"/>
  <c r="RER3" i="53"/>
  <c r="RSW3" i="53"/>
  <c r="DWI3" i="53"/>
  <c r="J3" i="6"/>
  <c r="GVI3" i="53"/>
  <c r="C40" i="59"/>
  <c r="WFS3" i="53"/>
  <c r="KNI3" i="53"/>
  <c r="TFH3" i="53"/>
  <c r="WLV3" i="53"/>
  <c r="IXF3" i="53"/>
  <c r="GQN3" i="53"/>
  <c r="HYM3" i="53"/>
  <c r="HYH3" i="53"/>
  <c r="PG3" i="53"/>
  <c r="KEV3" i="53"/>
  <c r="NXX3" i="53"/>
  <c r="NGT3" i="53"/>
  <c r="VVR3" i="53"/>
  <c r="PBO3" i="53"/>
  <c r="RHY3" i="53"/>
  <c r="E3" i="6"/>
  <c r="LWT3" i="53"/>
  <c r="QDC3" i="53"/>
  <c r="KNM3" i="53"/>
  <c r="TGC3" i="53"/>
  <c r="RDS3" i="53"/>
  <c r="MFM3" i="53"/>
  <c r="SLW3" i="53"/>
  <c r="JGF3" i="53"/>
  <c r="HQQ3" i="53"/>
  <c r="SGG3" i="53"/>
  <c r="COG3" i="53"/>
  <c r="KRL3" i="53"/>
  <c r="BDJ3" i="53"/>
  <c r="QWF3" i="53"/>
  <c r="OHU3" i="53"/>
  <c r="LHX3" i="53"/>
  <c r="RXW3" i="53"/>
  <c r="G12" i="40"/>
  <c r="WEL3" i="53"/>
  <c r="AP3" i="53"/>
  <c r="RPS3" i="53"/>
  <c r="C6" i="31"/>
  <c r="NXC3" i="53"/>
  <c r="TVZ3" i="53"/>
  <c r="GNT3" i="53"/>
  <c r="SNF3" i="53"/>
  <c r="QUZ3" i="53"/>
  <c r="JZU3" i="53"/>
  <c r="APS3" i="53"/>
  <c r="SIV3" i="53"/>
  <c r="C14" i="40"/>
  <c r="EYU3" i="53"/>
  <c r="XAA3" i="53"/>
  <c r="TLH3" i="53"/>
  <c r="MCK3" i="53"/>
  <c r="OZA3" i="53"/>
  <c r="WAE3" i="53"/>
  <c r="C5" i="37"/>
  <c r="BDS3" i="53"/>
  <c r="VEH3" i="53"/>
  <c r="WUK3" i="53"/>
  <c r="QTL3" i="53"/>
  <c r="CZL3" i="53"/>
  <c r="QUG3" i="53"/>
  <c r="QLM3" i="53"/>
  <c r="VEC3" i="53"/>
  <c r="RED3" i="53"/>
  <c r="DMO3" i="53"/>
  <c r="UUP3" i="53"/>
  <c r="FSQ3" i="53"/>
  <c r="PWF3" i="53"/>
  <c r="FDP3" i="53"/>
  <c r="OLM3" i="53"/>
  <c r="KPE3" i="53"/>
  <c r="IDJ3" i="53"/>
  <c r="WSQ3" i="53"/>
  <c r="NRI3" i="53"/>
  <c r="HKJ3" i="53"/>
  <c r="TMH3" i="53"/>
  <c r="EQT3" i="53"/>
  <c r="PQH3" i="53"/>
  <c r="E12" i="46"/>
  <c r="IUY3" i="53"/>
  <c r="AVI3" i="53"/>
  <c r="KHO3" i="53"/>
  <c r="FAO3" i="53"/>
  <c r="PHR3" i="53"/>
  <c r="CBR3" i="53"/>
  <c r="HDG3" i="53"/>
  <c r="JMQ3" i="53"/>
  <c r="RJP3" i="53"/>
  <c r="ITH3" i="53"/>
  <c r="RJQ3" i="53"/>
  <c r="EVQ3" i="53"/>
  <c r="EZE3" i="53"/>
  <c r="VQM3" i="53"/>
  <c r="IXX3" i="53"/>
  <c r="IUK3" i="53"/>
  <c r="PHZ3" i="53"/>
  <c r="GPW3" i="53"/>
  <c r="KZJ3" i="53"/>
  <c r="ERQ3" i="53"/>
  <c r="LOQ3" i="53"/>
  <c r="C10" i="2"/>
  <c r="HTF3" i="53"/>
  <c r="DQZ3" i="53"/>
  <c r="DOC3" i="53"/>
  <c r="FIG3" i="53"/>
  <c r="E13" i="4"/>
  <c r="AKZ3" i="53"/>
  <c r="FTU3" i="53"/>
  <c r="YA3" i="53"/>
  <c r="VBM3" i="53"/>
  <c r="IHA3" i="53"/>
  <c r="DM3" i="53"/>
  <c r="WCW3" i="53"/>
  <c r="CA3" i="53"/>
  <c r="AET3" i="53"/>
  <c r="LFI3" i="53"/>
  <c r="VJA3" i="53"/>
  <c r="VZ3" i="53"/>
  <c r="BII3" i="53"/>
  <c r="C35" i="6"/>
  <c r="DEG3" i="53"/>
  <c r="LRY3" i="53"/>
  <c r="N3" i="4"/>
  <c r="IRQ3" i="53"/>
  <c r="PZS3" i="53"/>
  <c r="URF3" i="53"/>
  <c r="LP3" i="53"/>
  <c r="ODU3" i="53"/>
  <c r="C11" i="3"/>
  <c r="SIX3" i="53"/>
  <c r="C10" i="4"/>
  <c r="BTH3" i="53"/>
  <c r="RLQ3" i="53"/>
  <c r="COP3" i="53"/>
  <c r="ILM3" i="53"/>
  <c r="DQG3" i="53"/>
  <c r="C71" i="53"/>
  <c r="G3" i="57"/>
  <c r="GSW3" i="53"/>
  <c r="QBP3" i="53"/>
  <c r="CIW3" i="53"/>
  <c r="EYV3" i="53"/>
  <c r="GDE3" i="53"/>
  <c r="JBR3" i="53"/>
  <c r="TQA3" i="53"/>
  <c r="QO3" i="53"/>
  <c r="UIW3" i="53"/>
  <c r="CUG3" i="53"/>
  <c r="NLV3" i="53"/>
  <c r="C3" i="6"/>
  <c r="KFP3" i="53"/>
  <c r="GUR3" i="53"/>
  <c r="USL3" i="53"/>
  <c r="PYK3" i="53"/>
  <c r="UBD3" i="53"/>
  <c r="NSC3" i="53"/>
  <c r="TKU3" i="53"/>
  <c r="RYN3" i="53"/>
  <c r="QRQ3" i="53"/>
  <c r="NHU3" i="53"/>
  <c r="GBE3" i="53"/>
  <c r="VHJ3" i="53"/>
  <c r="E31" i="4"/>
  <c r="KRI3" i="53"/>
  <c r="CRY3" i="53"/>
  <c r="PMT3" i="53"/>
  <c r="TBN3" i="53"/>
  <c r="SX3" i="53"/>
  <c r="OZD3" i="53"/>
  <c r="KUB3" i="53"/>
  <c r="BKF3" i="53"/>
  <c r="TBC3" i="53"/>
  <c r="WIE3" i="53"/>
  <c r="TIS3" i="53"/>
  <c r="VGC3" i="53"/>
  <c r="CXS3" i="53"/>
  <c r="KPC3" i="53"/>
  <c r="PKA3" i="53"/>
  <c r="AQK3" i="53"/>
  <c r="TAB3" i="53"/>
  <c r="HMI3" i="53"/>
  <c r="VLB3" i="53"/>
  <c r="EGM3" i="53"/>
  <c r="BQU3" i="53"/>
  <c r="FMV3" i="53"/>
  <c r="GVO3" i="53"/>
  <c r="CEE3" i="53"/>
  <c r="WKI3" i="53"/>
  <c r="SLR3" i="53"/>
  <c r="BQN3" i="53"/>
  <c r="ICL3" i="53"/>
  <c r="CWE3" i="53"/>
  <c r="QON3" i="53"/>
  <c r="KVL3" i="53"/>
  <c r="KLW3" i="53"/>
  <c r="SDR3" i="53"/>
  <c r="HRP3" i="53"/>
  <c r="GEK3" i="53"/>
  <c r="SVL3" i="53"/>
  <c r="SCC3" i="53"/>
  <c r="C14" i="4"/>
  <c r="DSM3" i="53"/>
  <c r="AE3" i="53"/>
  <c r="KIR3" i="53"/>
  <c r="C27" i="6"/>
  <c r="JII3" i="53"/>
  <c r="PNG3" i="53"/>
  <c r="TYK3" i="53"/>
  <c r="IX3" i="53"/>
  <c r="JFE3" i="53"/>
  <c r="E34" i="4"/>
  <c r="E65" i="4"/>
  <c r="AEZ3" i="53"/>
  <c r="OTM3" i="53"/>
  <c r="TFM3" i="53"/>
  <c r="OXI3" i="53"/>
  <c r="UBS3" i="53"/>
  <c r="OZP3" i="53"/>
  <c r="BW3" i="53"/>
  <c r="MOS3" i="53"/>
  <c r="FCJ3" i="53"/>
  <c r="NSG3" i="53"/>
  <c r="PHI3" i="53"/>
  <c r="EKF3" i="53"/>
  <c r="KVN3" i="53"/>
  <c r="OQW3" i="53"/>
  <c r="VSX3" i="53"/>
  <c r="KLZ3" i="53"/>
  <c r="KTM3" i="53"/>
  <c r="MNG3" i="53"/>
  <c r="IJD3" i="53"/>
  <c r="QNL3" i="53"/>
  <c r="C319" i="27"/>
  <c r="C271" i="27"/>
  <c r="E45" i="27"/>
  <c r="E71" i="27"/>
  <c r="C300" i="27"/>
  <c r="E66" i="27"/>
  <c r="E34" i="27"/>
  <c r="E375" i="27"/>
  <c r="C45" i="27"/>
  <c r="E67" i="27"/>
  <c r="C102" i="27"/>
  <c r="C220" i="27"/>
  <c r="C308" i="27"/>
  <c r="E391" i="27"/>
  <c r="C64" i="27"/>
  <c r="E202" i="27"/>
  <c r="E39" i="27"/>
  <c r="C306" i="27"/>
  <c r="C214" i="27"/>
  <c r="C165" i="27"/>
  <c r="E322" i="27"/>
  <c r="E190" i="27"/>
  <c r="C162" i="27"/>
  <c r="E365" i="27"/>
  <c r="C371" i="27"/>
  <c r="C348" i="27"/>
  <c r="ULS3" i="53"/>
  <c r="GDY3" i="53"/>
  <c r="NJC3" i="53"/>
  <c r="DCX3" i="53"/>
  <c r="VXW3" i="53"/>
  <c r="BSK3" i="53"/>
  <c r="WAH3" i="53"/>
  <c r="SEN3" i="53"/>
  <c r="GQG3" i="53"/>
  <c r="RJV3" i="53"/>
  <c r="C62" i="4"/>
  <c r="TBY3" i="53"/>
  <c r="EOT3" i="53"/>
  <c r="LK3" i="53"/>
  <c r="KME3" i="53"/>
  <c r="TDE3" i="53"/>
  <c r="CZN3" i="53"/>
  <c r="NAF3" i="53"/>
  <c r="AKO3" i="53"/>
  <c r="SOS3" i="53"/>
  <c r="VWS3" i="53"/>
  <c r="KBE3" i="53"/>
  <c r="GSB3" i="53"/>
  <c r="BZJ3" i="53"/>
  <c r="KHP3" i="53"/>
  <c r="COF3" i="53"/>
  <c r="WCY3" i="53"/>
  <c r="JFJ3" i="53"/>
  <c r="MIT3" i="53"/>
  <c r="QFL3" i="53"/>
  <c r="EPY3" i="53"/>
  <c r="QIR3" i="53"/>
  <c r="OUL3" i="53"/>
  <c r="NMP3" i="53"/>
  <c r="TL3" i="53"/>
  <c r="SXQ3" i="53"/>
  <c r="JZG3" i="53"/>
  <c r="UAD3" i="53"/>
  <c r="GJD3" i="53"/>
  <c r="C6" i="46"/>
  <c r="JFN3" i="53"/>
  <c r="GFN3" i="53"/>
  <c r="KPQ3" i="53"/>
  <c r="DRW3" i="53"/>
  <c r="EH3" i="53"/>
  <c r="PJR3" i="53"/>
  <c r="QJ3" i="53"/>
  <c r="NCR3" i="53"/>
  <c r="PLM3" i="53"/>
  <c r="CZV3" i="53"/>
  <c r="GTN3" i="53"/>
  <c r="VFY3" i="53"/>
  <c r="PNU3" i="53"/>
  <c r="CUW3" i="53"/>
  <c r="C38" i="6"/>
  <c r="GUH3" i="53"/>
  <c r="SNI3" i="53"/>
  <c r="FFW3" i="53"/>
  <c r="DRP3" i="53"/>
  <c r="C19" i="6"/>
  <c r="JEF3" i="53"/>
  <c r="SNK3" i="53"/>
  <c r="POR3" i="53"/>
  <c r="C52" i="4"/>
  <c r="DML3" i="53"/>
  <c r="FGC3" i="53"/>
  <c r="FNL3" i="53"/>
  <c r="ASR3" i="53"/>
  <c r="C40" i="40"/>
  <c r="SF3" i="53"/>
  <c r="DRC3" i="53"/>
  <c r="C44" i="4"/>
  <c r="MJJ3" i="53"/>
  <c r="CMV3" i="53"/>
  <c r="ESN3" i="53"/>
  <c r="F3" i="2"/>
  <c r="HZQ3" i="53"/>
  <c r="EBH3" i="53"/>
  <c r="BTP3" i="53"/>
  <c r="VBP3" i="53"/>
  <c r="CVE3" i="53"/>
  <c r="UEH3" i="53"/>
  <c r="DOV3" i="53"/>
  <c r="HOI3" i="53"/>
  <c r="DEC3" i="53"/>
  <c r="DRG3" i="53"/>
  <c r="HHI3" i="53"/>
  <c r="C10" i="31"/>
  <c r="GSO3" i="53"/>
  <c r="EDE3" i="53"/>
  <c r="TDY3" i="53"/>
  <c r="VWT3" i="53"/>
  <c r="UGG3" i="53"/>
  <c r="IJP3" i="53"/>
  <c r="VBU3" i="53"/>
  <c r="FXP3" i="53"/>
  <c r="KVG3" i="53"/>
  <c r="FUS3" i="53"/>
  <c r="WLL3" i="53"/>
  <c r="AI3" i="53"/>
  <c r="C21" i="6"/>
  <c r="CPZ3" i="53"/>
  <c r="KPV3" i="53"/>
  <c r="CRZ3" i="53"/>
  <c r="EBE3" i="53"/>
  <c r="TYQ3" i="53"/>
  <c r="MQQ3" i="53"/>
  <c r="GOU3" i="53"/>
  <c r="CRS3" i="53"/>
  <c r="UBX3" i="53"/>
  <c r="DVC3" i="53"/>
  <c r="QUB3" i="53"/>
  <c r="COT3" i="53"/>
  <c r="NKV3" i="53"/>
  <c r="SDN3" i="53"/>
  <c r="WCM3" i="53"/>
  <c r="IZO3" i="53"/>
  <c r="RPO3" i="53"/>
  <c r="RMO3" i="53"/>
  <c r="SLN3" i="53"/>
  <c r="MIO3" i="53"/>
  <c r="UG3" i="53"/>
  <c r="C9" i="3"/>
  <c r="KUR3" i="53"/>
  <c r="OOG3" i="53"/>
  <c r="C31" i="59"/>
  <c r="RVE3" i="53"/>
  <c r="EUH3" i="53"/>
  <c r="IYR3" i="53"/>
  <c r="AAC3" i="53"/>
  <c r="JFB3" i="53"/>
  <c r="FQA3" i="53"/>
  <c r="NDK3" i="53"/>
  <c r="HSA3" i="53"/>
  <c r="TIW3" i="53"/>
  <c r="TYZ3" i="53"/>
  <c r="PGX3" i="53"/>
  <c r="NDL3" i="53"/>
  <c r="BIW3" i="53"/>
  <c r="TUL3" i="53"/>
  <c r="GQP3" i="53"/>
  <c r="VLJ3" i="53"/>
  <c r="QEM3" i="53"/>
  <c r="PRB3" i="53"/>
  <c r="HUN3" i="53"/>
  <c r="HYZ3" i="53"/>
  <c r="HMZ3" i="53"/>
  <c r="BDH3" i="53"/>
  <c r="C19" i="31"/>
  <c r="MTX3" i="53"/>
  <c r="RQO3" i="53"/>
  <c r="KYE3" i="53"/>
  <c r="FMM3" i="53"/>
  <c r="HMQ3" i="53"/>
  <c r="MLN3" i="53"/>
  <c r="FJW3" i="53"/>
  <c r="MOJ3" i="53"/>
  <c r="NUC3" i="53"/>
  <c r="C30" i="4"/>
  <c r="PXU3" i="53"/>
  <c r="KRH3" i="53"/>
  <c r="GFM3" i="53"/>
  <c r="RQC3" i="53"/>
  <c r="GJC3" i="53"/>
  <c r="GIA3" i="53"/>
  <c r="JWB3" i="53"/>
  <c r="RPH3" i="53"/>
  <c r="FJD3" i="53"/>
  <c r="IXS3" i="53"/>
  <c r="FFI3" i="53"/>
  <c r="NAI3" i="53"/>
  <c r="BLQ3" i="53"/>
  <c r="WCV3" i="53"/>
  <c r="BAW3" i="53"/>
  <c r="ELT3" i="53"/>
  <c r="AWR3" i="53"/>
  <c r="E91" i="27"/>
  <c r="D3" i="27"/>
  <c r="E20" i="27"/>
  <c r="C9" i="27"/>
  <c r="C31" i="27"/>
  <c r="C413" i="27"/>
  <c r="C22" i="27"/>
  <c r="C256" i="27"/>
  <c r="E337" i="27"/>
  <c r="E242" i="27"/>
  <c r="CQW3" i="53"/>
  <c r="VAU3" i="53"/>
  <c r="OD3" i="53"/>
  <c r="WKV3" i="53"/>
  <c r="MQT3" i="53"/>
  <c r="DSO3" i="53"/>
  <c r="QLV3" i="53"/>
  <c r="DP3" i="53"/>
  <c r="E31" i="40"/>
  <c r="MYD3" i="53"/>
  <c r="RUX3" i="53"/>
  <c r="WVJ3" i="53"/>
  <c r="WVW3" i="53"/>
  <c r="E18" i="4"/>
  <c r="OHH3" i="53"/>
  <c r="VEA3" i="53"/>
  <c r="CTL3" i="53"/>
  <c r="E27" i="40"/>
  <c r="SVK3" i="53"/>
  <c r="QIC3" i="53"/>
  <c r="OZM3" i="53"/>
  <c r="C39" i="59"/>
  <c r="IXQ3" i="53"/>
  <c r="KU3" i="53"/>
  <c r="ILG3" i="53"/>
  <c r="FLK3" i="53"/>
  <c r="DFY3" i="53"/>
  <c r="GAS3" i="53"/>
  <c r="CHV3" i="53"/>
  <c r="GYD3" i="53"/>
  <c r="HRJ3" i="53"/>
  <c r="DCO3" i="53"/>
  <c r="FRM3" i="53"/>
  <c r="C54" i="40"/>
  <c r="ITU3" i="53"/>
  <c r="C21" i="31"/>
  <c r="VS3" i="53"/>
  <c r="NSX3" i="53"/>
  <c r="UBA3" i="53"/>
  <c r="C20" i="40"/>
  <c r="CJL3" i="53"/>
  <c r="NYC3" i="53"/>
  <c r="S3" i="53"/>
  <c r="ABG3" i="53"/>
  <c r="LIA3" i="53"/>
  <c r="BTW3" i="53"/>
  <c r="WFB3" i="53"/>
  <c r="C15" i="2"/>
  <c r="QGX3" i="53"/>
  <c r="EDF3" i="53"/>
  <c r="NIP3" i="53"/>
  <c r="C21" i="37"/>
  <c r="XEM3" i="53"/>
  <c r="ISP3" i="53"/>
  <c r="VUR3" i="53"/>
  <c r="C15" i="3"/>
  <c r="E43" i="40"/>
  <c r="JOC3" i="53"/>
  <c r="TCG3" i="53"/>
  <c r="RUZ3" i="53"/>
  <c r="BAQ3" i="53"/>
  <c r="NAT3" i="53"/>
  <c r="QRD3" i="53"/>
  <c r="IVW3" i="53"/>
  <c r="BZA3" i="53"/>
  <c r="UH3" i="53"/>
  <c r="TLB3" i="53"/>
  <c r="HRV3" i="53"/>
  <c r="G32" i="40"/>
  <c r="C42" i="2"/>
  <c r="ZX3" i="53"/>
  <c r="CS3" i="53"/>
  <c r="PBY3" i="53"/>
  <c r="ODG3" i="53"/>
  <c r="GYX3" i="53"/>
  <c r="VWW3" i="53"/>
  <c r="MUM3" i="53"/>
  <c r="PXN3" i="53"/>
  <c r="ARW3" i="53"/>
  <c r="GOV3" i="53"/>
  <c r="IMJ3" i="53"/>
  <c r="GGR3" i="53"/>
  <c r="OMO3" i="53"/>
  <c r="GWY3" i="53"/>
  <c r="PX3" i="53"/>
  <c r="KFY3" i="53"/>
  <c r="QPF3" i="53"/>
  <c r="UIT3" i="53"/>
  <c r="E33" i="4"/>
  <c r="DCH3" i="53"/>
  <c r="IF3" i="53"/>
  <c r="UTJ3" i="53"/>
  <c r="PNS3" i="53"/>
  <c r="QOU3" i="53"/>
  <c r="SDL3" i="53"/>
  <c r="GGI3" i="53"/>
  <c r="TMO3" i="53"/>
  <c r="GKH3" i="53"/>
  <c r="GAK3" i="53"/>
  <c r="DQF3" i="53"/>
  <c r="HTD3" i="53"/>
  <c r="SFG3" i="53"/>
  <c r="WRK3" i="53"/>
  <c r="BLH3" i="53"/>
  <c r="NUH3" i="53"/>
  <c r="AON3" i="53"/>
  <c r="WVT3" i="53"/>
  <c r="ILV3" i="53"/>
  <c r="AQY3" i="53"/>
  <c r="SPX3" i="53"/>
  <c r="UPB3" i="53"/>
  <c r="CLD3" i="53"/>
  <c r="C3" i="59"/>
  <c r="DUD3" i="53"/>
  <c r="OT3" i="53"/>
  <c r="OE3" i="53"/>
  <c r="LTV3" i="53"/>
  <c r="VGI3" i="53"/>
  <c r="E6" i="46"/>
  <c r="GAP3" i="53"/>
  <c r="SSI3" i="53"/>
  <c r="DTD3" i="53"/>
  <c r="ST3" i="53"/>
  <c r="IDK3" i="53"/>
  <c r="RVA3" i="53"/>
  <c r="CWD3" i="53"/>
  <c r="RNC3" i="53"/>
  <c r="NYO3" i="53"/>
  <c r="IMK3" i="53"/>
  <c r="SXM3" i="53"/>
  <c r="LIT3" i="53"/>
  <c r="GHA3" i="53"/>
  <c r="AJV3" i="53"/>
  <c r="GVF3" i="53"/>
  <c r="QWD3" i="53"/>
  <c r="HOE3" i="53"/>
  <c r="GTM3" i="53"/>
  <c r="C39" i="2"/>
  <c r="HIP3" i="53"/>
  <c r="OCH3" i="53"/>
  <c r="EQS3" i="53"/>
  <c r="JNR3" i="53"/>
  <c r="XAU3" i="53"/>
  <c r="GQR3" i="53"/>
  <c r="DJX3" i="53"/>
  <c r="CPP3" i="53"/>
  <c r="RVT3" i="53"/>
  <c r="OUS3" i="53"/>
  <c r="LAH3" i="53"/>
  <c r="C17" i="3"/>
  <c r="VHW3" i="53"/>
  <c r="NDR3" i="53"/>
  <c r="UMH3" i="53"/>
  <c r="UYC3" i="53"/>
  <c r="ATN3" i="53"/>
  <c r="QDV3" i="53"/>
  <c r="ARC3" i="53"/>
  <c r="TPK3" i="53"/>
  <c r="STJ3" i="53"/>
  <c r="EVZ3" i="53"/>
  <c r="LMS3" i="53"/>
  <c r="NVG3" i="53"/>
  <c r="GVS3" i="53"/>
  <c r="RON3" i="53"/>
  <c r="OII3" i="53"/>
  <c r="UXM3" i="53"/>
  <c r="TKW3" i="53"/>
  <c r="HVZ3" i="53"/>
  <c r="JIC3" i="53"/>
  <c r="CAN3" i="53"/>
  <c r="FIO3" i="53"/>
  <c r="SAZ3" i="53"/>
  <c r="BOK3" i="53"/>
  <c r="WZC3" i="53"/>
  <c r="TCT3" i="53"/>
  <c r="NEU3" i="53"/>
  <c r="C178" i="27"/>
  <c r="C275" i="27"/>
  <c r="C104" i="27"/>
  <c r="C179" i="27"/>
  <c r="E104" i="27"/>
  <c r="C51" i="27"/>
  <c r="E74" i="27"/>
  <c r="E383" i="27"/>
  <c r="E219" i="27"/>
  <c r="C228" i="27"/>
  <c r="E388" i="27"/>
  <c r="E14" i="27"/>
  <c r="E212" i="27"/>
  <c r="C106" i="27"/>
  <c r="E411" i="27"/>
  <c r="C96" i="27"/>
  <c r="E409" i="27"/>
  <c r="C93" i="27"/>
  <c r="F3" i="27"/>
  <c r="B3" i="27"/>
  <c r="E257" i="27"/>
  <c r="C311" i="27"/>
  <c r="E403" i="27"/>
  <c r="C169" i="27"/>
  <c r="C46" i="27"/>
  <c r="C320" i="27"/>
  <c r="SLF3" i="53"/>
  <c r="C6" i="6"/>
  <c r="BCV3" i="53"/>
  <c r="SXC3" i="53"/>
  <c r="ROY3" i="53"/>
  <c r="DJO3" i="53"/>
  <c r="C18" i="37"/>
  <c r="PKT3" i="53"/>
  <c r="GTW3" i="53"/>
  <c r="KZR3" i="53"/>
  <c r="QIS3" i="53"/>
  <c r="EOK3" i="53"/>
  <c r="PWJ3" i="53"/>
  <c r="MOW3" i="53"/>
  <c r="VDN3" i="53"/>
  <c r="LJF3" i="53"/>
  <c r="SVM3" i="53"/>
  <c r="XCI3" i="53"/>
  <c r="QYM3" i="53"/>
  <c r="INA3" i="53"/>
  <c r="RBK3" i="53"/>
  <c r="KHL3" i="53"/>
  <c r="HEY3" i="53"/>
  <c r="PBH3" i="53"/>
  <c r="H3" i="1"/>
  <c r="EJV3" i="53"/>
  <c r="JHX3" i="53"/>
  <c r="CMC3" i="53"/>
  <c r="AKL3" i="53"/>
  <c r="DMA3" i="53"/>
  <c r="EGE3" i="53"/>
  <c r="B3" i="1"/>
  <c r="LV3" i="53"/>
  <c r="MPS3" i="53"/>
  <c r="OAM3" i="53"/>
  <c r="I3" i="12"/>
  <c r="TZB3" i="53"/>
  <c r="CED3" i="53"/>
  <c r="CR3" i="53"/>
  <c r="IML3" i="53"/>
  <c r="IJT3" i="53"/>
  <c r="KYI3" i="53"/>
  <c r="NJT3" i="53"/>
  <c r="FKN3" i="53"/>
  <c r="NBM3" i="53"/>
  <c r="JGG3" i="53"/>
  <c r="CIK3" i="53"/>
  <c r="PGB3" i="53"/>
  <c r="ROO3" i="53"/>
  <c r="DID3" i="53"/>
  <c r="ALX3" i="53"/>
  <c r="QS3" i="53"/>
  <c r="CXJ3" i="53"/>
  <c r="ABX3" i="53"/>
  <c r="NQF3" i="53"/>
  <c r="EMS3" i="53"/>
  <c r="BMD3" i="53"/>
  <c r="SQZ3" i="53"/>
  <c r="VRJ3" i="53"/>
  <c r="QSX3" i="53"/>
  <c r="JPM3" i="53"/>
  <c r="TRN3" i="53"/>
  <c r="UCC3" i="53"/>
  <c r="GQE3" i="53"/>
  <c r="PDL3" i="53"/>
  <c r="C6" i="28"/>
  <c r="C41" i="40"/>
  <c r="XAS3" i="53"/>
  <c r="K3" i="53"/>
  <c r="AKD3" i="53"/>
  <c r="PMI3" i="53"/>
  <c r="LLY3" i="53"/>
  <c r="WML3" i="53"/>
  <c r="TPO3" i="53"/>
  <c r="DSP3" i="53"/>
  <c r="REI3" i="53"/>
  <c r="BDG3" i="53"/>
  <c r="WMG3" i="53"/>
  <c r="JZ3" i="53"/>
  <c r="JEP3" i="53"/>
  <c r="APM3" i="53"/>
  <c r="MSH3" i="53"/>
  <c r="DPP3" i="53"/>
  <c r="FGB3" i="53"/>
  <c r="EZJ3" i="53"/>
  <c r="C32" i="59"/>
  <c r="QKD3" i="53"/>
  <c r="QDD3" i="53"/>
  <c r="THH3" i="53"/>
  <c r="SNZ3" i="53"/>
  <c r="DGI3" i="53"/>
  <c r="WUI3" i="53"/>
  <c r="SEQ3" i="53"/>
  <c r="GGD3" i="53"/>
  <c r="FFK3" i="53"/>
  <c r="PUZ3" i="53"/>
  <c r="LDC3" i="53"/>
  <c r="AYO3" i="53"/>
  <c r="QSU3" i="53"/>
  <c r="A3" i="41"/>
  <c r="WYF3" i="53"/>
  <c r="ASL3" i="53"/>
  <c r="MAA3" i="53"/>
  <c r="HWJ3" i="53"/>
  <c r="AXR3" i="53"/>
  <c r="BRZ3" i="53"/>
  <c r="GBS3" i="53"/>
  <c r="DN3" i="53"/>
  <c r="MWY3" i="53"/>
  <c r="WZZ3" i="53"/>
  <c r="DEA3" i="53"/>
  <c r="SQU3" i="53"/>
  <c r="USS3" i="53"/>
  <c r="MRC3" i="53"/>
  <c r="OGS3" i="53"/>
  <c r="CNK3" i="53"/>
  <c r="TPU3" i="53"/>
  <c r="KO3" i="53"/>
  <c r="KQS3" i="53"/>
  <c r="PIU3" i="53"/>
  <c r="EFJ3" i="53"/>
  <c r="JOR3" i="53"/>
  <c r="NSR3" i="53"/>
  <c r="FSR3" i="53"/>
  <c r="KRJ3" i="53"/>
  <c r="SGH3" i="53"/>
  <c r="E51" i="4"/>
  <c r="FHI3" i="53"/>
  <c r="NFL3" i="53"/>
  <c r="ETK3" i="53"/>
  <c r="SHS3" i="53"/>
  <c r="RFS3" i="53"/>
  <c r="RIV3" i="53"/>
  <c r="KCH3" i="53"/>
  <c r="ODK3" i="53"/>
  <c r="LAK3" i="53"/>
  <c r="THE3" i="53"/>
  <c r="LAU3" i="53"/>
  <c r="VV3" i="53"/>
  <c r="C11" i="6"/>
  <c r="DVS3" i="53"/>
  <c r="OBB3" i="53"/>
  <c r="FUM3" i="53"/>
  <c r="E28" i="40"/>
  <c r="IGY3" i="53"/>
  <c r="DJV3" i="53"/>
  <c r="CCN3" i="53"/>
  <c r="BVP3" i="53"/>
  <c r="FKD3" i="53"/>
  <c r="GLS3" i="53"/>
  <c r="CSV3" i="53"/>
  <c r="OC3" i="53"/>
  <c r="AGJ3" i="53"/>
  <c r="WHP3" i="53"/>
  <c r="LBZ3" i="53"/>
  <c r="HXE3" i="53"/>
  <c r="BUC3" i="53"/>
  <c r="LJG3" i="53"/>
  <c r="WFM3" i="53"/>
  <c r="KLF3" i="53"/>
  <c r="QCC3" i="53"/>
  <c r="IDF3" i="53"/>
  <c r="RIN3" i="53"/>
  <c r="MOG3" i="53"/>
  <c r="TLP3" i="53"/>
  <c r="LFU3" i="53"/>
  <c r="JDZ3" i="53"/>
  <c r="OJF3" i="53"/>
  <c r="JPL3" i="53"/>
  <c r="QNC3" i="53"/>
  <c r="TRY3" i="53"/>
  <c r="GQC3" i="53"/>
  <c r="MMF3" i="53"/>
  <c r="WBK3" i="53"/>
  <c r="IBB3" i="53"/>
  <c r="ISA3" i="53"/>
  <c r="E169" i="27"/>
  <c r="C203" i="27"/>
  <c r="C123" i="27"/>
  <c r="C222" i="27"/>
  <c r="C243" i="27"/>
  <c r="E208" i="27"/>
  <c r="C107" i="27"/>
  <c r="C209" i="27"/>
  <c r="C20" i="27"/>
  <c r="C28" i="27"/>
  <c r="C287" i="27"/>
  <c r="E310" i="27"/>
  <c r="E153" i="27"/>
  <c r="NT3" i="53"/>
  <c r="JVM3" i="53"/>
  <c r="TAS3" i="53"/>
  <c r="JK3" i="53"/>
  <c r="IIF3" i="53"/>
  <c r="VGM3" i="53"/>
  <c r="HIR3" i="53"/>
  <c r="RBQ3" i="53"/>
  <c r="NUS3" i="53"/>
  <c r="CRM3" i="53"/>
  <c r="FYT3" i="53"/>
  <c r="LBK3" i="53"/>
  <c r="C6" i="2"/>
  <c r="VGA3" i="53"/>
  <c r="IPZ3" i="53"/>
  <c r="MNH3" i="53"/>
  <c r="OMN3" i="53"/>
  <c r="VEX3" i="53"/>
  <c r="IRT3" i="53"/>
  <c r="PYF3" i="53"/>
  <c r="HII3" i="53"/>
  <c r="SXO3" i="53"/>
  <c r="DYC3" i="53"/>
  <c r="LCM3" i="53"/>
  <c r="C7" i="6"/>
  <c r="ASO3" i="53"/>
  <c r="EOY3" i="53"/>
  <c r="C37" i="59"/>
  <c r="C36" i="59"/>
  <c r="D3" i="49"/>
  <c r="RMG3" i="53"/>
  <c r="HUQ3" i="53"/>
  <c r="AHG3" i="53"/>
  <c r="QLL3" i="53"/>
  <c r="KYP3" i="53"/>
  <c r="PSK3" i="53"/>
  <c r="QQA3" i="53"/>
  <c r="KOW3" i="53"/>
  <c r="PYM3" i="53"/>
  <c r="UKD3" i="53"/>
  <c r="E3" i="59"/>
  <c r="STD3" i="53"/>
  <c r="C37" i="4"/>
  <c r="OWV3" i="53"/>
  <c r="CVY3" i="53"/>
  <c r="E37" i="40"/>
  <c r="ABW3" i="53"/>
  <c r="UKB3" i="53"/>
  <c r="AAM3" i="53"/>
  <c r="GXG3" i="53"/>
  <c r="KJ3" i="53"/>
  <c r="XP3" i="53"/>
  <c r="UQH3" i="53"/>
  <c r="DVE3" i="53"/>
  <c r="LIL3" i="53"/>
  <c r="IFV3" i="53"/>
  <c r="C13" i="59"/>
  <c r="QMS3" i="53"/>
  <c r="VLZ3" i="53"/>
  <c r="RQW3" i="53"/>
  <c r="VQQ3" i="53"/>
  <c r="GMQ3" i="53"/>
  <c r="CFM3" i="53"/>
  <c r="DHE3" i="53"/>
  <c r="BKY3" i="53"/>
  <c r="C8" i="46"/>
  <c r="NDG3" i="53"/>
  <c r="AZC3" i="53"/>
  <c r="E5" i="31"/>
  <c r="E25" i="40"/>
  <c r="EDN3" i="53"/>
  <c r="AQI3" i="53"/>
  <c r="PDZ3" i="53"/>
  <c r="CXZ3" i="53"/>
  <c r="ECB3" i="53"/>
  <c r="EGF3" i="53"/>
  <c r="JKI3" i="53"/>
  <c r="VFU3" i="53"/>
  <c r="PRU3" i="53"/>
  <c r="ERN3" i="53"/>
  <c r="MJN3" i="53"/>
  <c r="TSA3" i="53"/>
  <c r="LIY3" i="53"/>
  <c r="BEO3" i="53"/>
  <c r="C37" i="2"/>
  <c r="QSK3" i="53"/>
  <c r="CBF3" i="53"/>
  <c r="MFH3" i="53"/>
  <c r="GZF3" i="53"/>
  <c r="JTW3" i="53"/>
  <c r="UMJ3" i="53"/>
  <c r="NBT3" i="53"/>
  <c r="TJQ3" i="53"/>
  <c r="CQV3" i="53"/>
  <c r="IQA3" i="53"/>
  <c r="JDJ3" i="53"/>
  <c r="EVF3" i="53"/>
  <c r="BQ3" i="53"/>
  <c r="C54" i="4"/>
  <c r="HYO3" i="53"/>
  <c r="UHG3" i="53"/>
  <c r="AHP3" i="53"/>
  <c r="NUB3" i="53"/>
  <c r="AVV3" i="53"/>
  <c r="VOM3" i="53"/>
  <c r="CTB3" i="53"/>
  <c r="QYR3" i="53"/>
  <c r="AJ3" i="53"/>
  <c r="GEX3" i="53"/>
  <c r="JLI3" i="53"/>
  <c r="UOW3" i="53"/>
  <c r="OWG3" i="53"/>
  <c r="TWZ3" i="53"/>
  <c r="WWS3" i="53"/>
  <c r="GCO3" i="53"/>
  <c r="CDE3" i="53"/>
  <c r="LIK3" i="53"/>
  <c r="REF3" i="53"/>
  <c r="NQJ3" i="53"/>
  <c r="WTM3" i="53"/>
  <c r="KQP3" i="53"/>
  <c r="E37" i="4"/>
  <c r="SJJ3" i="53"/>
  <c r="TVL3" i="53"/>
  <c r="BLZ3" i="53"/>
  <c r="WFR3" i="53"/>
  <c r="VQF3" i="53"/>
  <c r="UYR3" i="53"/>
  <c r="VMZ3" i="53"/>
  <c r="CIX3" i="53"/>
  <c r="UQS3" i="53"/>
  <c r="BUD3" i="53"/>
  <c r="KQV3" i="53"/>
  <c r="EEX3" i="53"/>
  <c r="G3" i="53"/>
  <c r="ERD3" i="53"/>
  <c r="VKT3" i="53"/>
  <c r="OQI3" i="53"/>
  <c r="AMV3" i="53"/>
  <c r="NNY3" i="53"/>
  <c r="TGY3" i="53"/>
  <c r="VRX3" i="53"/>
  <c r="HUM3" i="53"/>
  <c r="IPO3" i="53"/>
  <c r="RKC3" i="53"/>
  <c r="CDC3" i="53"/>
  <c r="MDF3" i="53"/>
  <c r="WLR3" i="53"/>
  <c r="KIB3" i="53"/>
  <c r="CD3" i="53"/>
  <c r="VYI3" i="53"/>
  <c r="BWY3" i="53"/>
  <c r="MJI3" i="53"/>
  <c r="LAB3" i="53"/>
  <c r="MFY3" i="53"/>
  <c r="HNW3" i="53"/>
  <c r="IOX3" i="53"/>
  <c r="ERE3" i="53"/>
  <c r="SGE3" i="53"/>
  <c r="KHX3" i="53"/>
  <c r="TYH3" i="53"/>
  <c r="DIC3" i="53"/>
  <c r="QQY3" i="53"/>
  <c r="EX3" i="53"/>
  <c r="JQR3" i="53"/>
  <c r="UGL3" i="53"/>
  <c r="IUE3" i="53"/>
  <c r="DCI3" i="53"/>
  <c r="NZA3" i="53"/>
  <c r="YB3" i="53"/>
  <c r="BGL3" i="53"/>
  <c r="ROM3" i="53"/>
  <c r="DTX3" i="53"/>
  <c r="VOY3" i="53"/>
  <c r="JES3" i="53"/>
  <c r="AHY3" i="53"/>
  <c r="E124" i="27"/>
  <c r="E328" i="27"/>
  <c r="E294" i="27"/>
  <c r="AEW3" i="53"/>
  <c r="C6" i="37"/>
  <c r="DRS3" i="53"/>
  <c r="EKS3" i="53"/>
  <c r="DTT3" i="53"/>
  <c r="IZT3" i="53"/>
  <c r="JCI3" i="53"/>
  <c r="BKO3" i="53"/>
  <c r="BTD3" i="53"/>
  <c r="IYM3" i="53"/>
  <c r="LQU3" i="53"/>
  <c r="RUA3" i="53"/>
  <c r="DNK3" i="53"/>
  <c r="HGA3" i="53"/>
  <c r="NTN3" i="53"/>
  <c r="PZV3" i="53"/>
  <c r="TZY3" i="53"/>
  <c r="C6" i="56"/>
  <c r="HYX3" i="53"/>
  <c r="TSZ3" i="53"/>
  <c r="BDP3" i="53"/>
  <c r="QDB3" i="53"/>
  <c r="QHE3" i="53"/>
  <c r="HHU3" i="53"/>
  <c r="FNU3" i="53"/>
  <c r="KBI3" i="53"/>
  <c r="AEB3" i="53"/>
  <c r="SJ3" i="53"/>
  <c r="UXO3" i="53"/>
  <c r="ANE3" i="53"/>
  <c r="OJQ3" i="53"/>
  <c r="BOS3" i="53"/>
  <c r="DPG3" i="53"/>
  <c r="NGH3" i="53"/>
  <c r="NCC3" i="53"/>
  <c r="C7" i="2"/>
  <c r="HSU3" i="53"/>
  <c r="C16" i="3"/>
  <c r="JLG3" i="53"/>
  <c r="DQU3" i="53"/>
  <c r="FJN3" i="53"/>
  <c r="RAD3" i="53"/>
  <c r="DFM3" i="53"/>
  <c r="CZE3" i="53"/>
  <c r="PUT3" i="53"/>
  <c r="ESW3" i="53"/>
  <c r="EFX3" i="53"/>
  <c r="UN3" i="53"/>
  <c r="TJC3" i="53"/>
  <c r="MKO3" i="53"/>
  <c r="AXI3" i="53"/>
  <c r="NVN3" i="53"/>
  <c r="AAF3" i="53"/>
  <c r="EHW3" i="53"/>
  <c r="MEH3" i="53"/>
  <c r="TE3" i="53"/>
  <c r="AIY3" i="53"/>
  <c r="CHF3" i="53"/>
  <c r="NCM3" i="53"/>
  <c r="EZS3" i="53"/>
  <c r="PRW3" i="53"/>
  <c r="PTF3" i="53"/>
  <c r="PZU3" i="53"/>
  <c r="JLC3" i="53"/>
  <c r="PWT3" i="53"/>
  <c r="FGY3" i="53"/>
  <c r="RCV3" i="53"/>
  <c r="G39" i="40"/>
  <c r="TOE3" i="53"/>
  <c r="BAT3" i="53"/>
  <c r="C3" i="12"/>
  <c r="C40" i="6"/>
  <c r="LNQ3" i="53"/>
  <c r="UKG3" i="53"/>
  <c r="HEJ3" i="53"/>
  <c r="TYC3" i="53"/>
  <c r="EMF3" i="53"/>
  <c r="TZK3" i="53"/>
  <c r="DTG3" i="53"/>
  <c r="EBP3" i="53"/>
  <c r="GEL3" i="53"/>
  <c r="KUS3" i="53"/>
  <c r="HQF3" i="53"/>
  <c r="OOL3" i="53"/>
  <c r="EDA3" i="53"/>
  <c r="EOE3" i="53"/>
  <c r="LVA3" i="53"/>
  <c r="A3" i="12"/>
  <c r="LQC3" i="53"/>
  <c r="GDG3" i="53"/>
  <c r="QFG3" i="53"/>
  <c r="TFD3" i="53"/>
  <c r="LOO3" i="53"/>
  <c r="LNA3" i="53"/>
  <c r="WE3" i="53"/>
  <c r="E14" i="46"/>
  <c r="BHE3" i="53"/>
  <c r="ECQ3" i="53"/>
  <c r="TPQ3" i="53"/>
  <c r="FXX3" i="53"/>
  <c r="AUX3" i="53"/>
  <c r="JCB3" i="53"/>
  <c r="VKS3" i="53"/>
  <c r="MAQ3" i="53"/>
  <c r="GRQ3" i="53"/>
  <c r="VPO3" i="53"/>
  <c r="CCQ3" i="53"/>
  <c r="H3" i="40"/>
  <c r="PJY3" i="53"/>
  <c r="MYO3" i="53"/>
  <c r="FQB3" i="53"/>
  <c r="QHS3" i="53"/>
  <c r="SSY3" i="53"/>
  <c r="E48" i="4"/>
  <c r="G16" i="40"/>
  <c r="ERF3" i="53"/>
  <c r="JPT3" i="53"/>
  <c r="TLA3" i="53"/>
  <c r="PFJ3" i="53"/>
  <c r="G22" i="40"/>
  <c r="EYL3" i="53"/>
  <c r="OZO3" i="53"/>
  <c r="JEV3" i="53"/>
  <c r="GRN3" i="53"/>
  <c r="XCP3" i="53"/>
  <c r="WLZ3" i="53"/>
  <c r="MVG3" i="53"/>
  <c r="LAQ3" i="53"/>
  <c r="FAB3" i="53"/>
  <c r="TMU3" i="53"/>
  <c r="TLW3" i="53"/>
  <c r="MHC3" i="53"/>
  <c r="FJL3" i="53"/>
  <c r="UJX3" i="53"/>
  <c r="MVI3" i="53"/>
  <c r="MXG3" i="53"/>
  <c r="BHH3" i="53"/>
  <c r="G17" i="40"/>
  <c r="CYF3" i="53"/>
  <c r="OCK3" i="53"/>
  <c r="KUX3" i="53"/>
  <c r="JFK3" i="53"/>
  <c r="DKK3" i="53"/>
  <c r="KJB3" i="53"/>
  <c r="LVB3" i="53"/>
  <c r="BDN3" i="53"/>
  <c r="BET3" i="53"/>
  <c r="CMN3" i="53"/>
  <c r="NOL3" i="53"/>
  <c r="JXI3" i="53"/>
  <c r="FKG3" i="53"/>
  <c r="SHU3" i="53"/>
  <c r="MEJ3" i="53"/>
  <c r="UQI3" i="53"/>
  <c r="HC3" i="53"/>
  <c r="VBB3" i="53"/>
  <c r="EAO3" i="53"/>
  <c r="GVB3" i="53"/>
  <c r="E7" i="57"/>
  <c r="GGG3" i="53"/>
  <c r="KAU3" i="53"/>
  <c r="RZC3" i="53"/>
  <c r="BGH3" i="53"/>
  <c r="IFR3" i="53"/>
  <c r="PDA3" i="53"/>
  <c r="XCG3" i="53"/>
  <c r="CJM3" i="53"/>
  <c r="MTZ3" i="53"/>
  <c r="DVW3" i="53"/>
  <c r="E147" i="27"/>
  <c r="C402" i="27"/>
  <c r="C115" i="27"/>
  <c r="C244" i="27"/>
  <c r="C156" i="27"/>
  <c r="E342" i="27"/>
  <c r="C176" i="27"/>
  <c r="C151" i="27"/>
  <c r="C85" i="27"/>
  <c r="C409" i="27"/>
  <c r="E382" i="27"/>
  <c r="C11" i="27"/>
  <c r="E100" i="27"/>
  <c r="E56" i="27"/>
  <c r="C145" i="27"/>
  <c r="E232" i="27"/>
  <c r="E176" i="27"/>
  <c r="C261" i="27"/>
  <c r="C33" i="27"/>
  <c r="E10" i="27"/>
  <c r="E266" i="27"/>
  <c r="E362" i="27"/>
  <c r="C242" i="27"/>
  <c r="C382" i="27"/>
  <c r="E351" i="27"/>
  <c r="E270" i="27"/>
  <c r="E262" i="27"/>
  <c r="C294" i="27"/>
  <c r="C408" i="27"/>
  <c r="TUH3" i="53"/>
  <c r="PSU3" i="53"/>
  <c r="ONV3" i="53"/>
  <c r="TSW3" i="53"/>
  <c r="LXJ3" i="53"/>
  <c r="LWB3" i="53"/>
  <c r="C38" i="11"/>
  <c r="C40" i="11"/>
  <c r="C18" i="11"/>
  <c r="E139" i="27"/>
  <c r="E12" i="27"/>
  <c r="E127" i="27"/>
  <c r="C38" i="27"/>
  <c r="E32" i="27"/>
  <c r="C175" i="27"/>
  <c r="E137" i="27"/>
  <c r="E199" i="27"/>
  <c r="E54" i="27"/>
  <c r="C149" i="27"/>
  <c r="C202" i="27"/>
  <c r="C70" i="27"/>
  <c r="C92" i="27"/>
  <c r="E184" i="27"/>
  <c r="C134" i="27"/>
  <c r="E235" i="27"/>
  <c r="C204" i="27"/>
  <c r="C140" i="27"/>
  <c r="E397" i="27"/>
  <c r="C241" i="27"/>
  <c r="C210" i="27"/>
  <c r="C284" i="27"/>
  <c r="C87" i="27"/>
  <c r="E187" i="27"/>
  <c r="C236" i="27"/>
  <c r="E260" i="27"/>
  <c r="C312" i="27"/>
  <c r="E385" i="27"/>
  <c r="E349" i="27"/>
  <c r="E211" i="27"/>
  <c r="C356" i="27"/>
  <c r="E410" i="27"/>
  <c r="E390" i="27"/>
  <c r="E326" i="27"/>
  <c r="C338" i="27"/>
  <c r="E167" i="27"/>
  <c r="E191" i="27"/>
  <c r="E36" i="27"/>
  <c r="E94" i="27"/>
  <c r="C376" i="27"/>
  <c r="E331" i="27"/>
  <c r="CNB3" i="53"/>
  <c r="RVD3" i="53"/>
  <c r="JHQ3" i="53"/>
  <c r="GJP3" i="53"/>
  <c r="PXG3" i="53"/>
  <c r="GII3" i="53"/>
  <c r="FUQ3" i="53"/>
  <c r="LCT3" i="53"/>
  <c r="AO3" i="53"/>
  <c r="WAP3" i="53"/>
  <c r="FPB3" i="53"/>
  <c r="C7" i="37"/>
  <c r="IAK3" i="53"/>
  <c r="OAO3" i="53"/>
  <c r="HMU3" i="53"/>
  <c r="E15" i="46"/>
  <c r="RK3" i="53"/>
  <c r="MLM3" i="53"/>
  <c r="KBT3" i="53"/>
  <c r="MYE3" i="53"/>
  <c r="QAJ3" i="53"/>
  <c r="CWS3" i="53"/>
  <c r="JUR3" i="53"/>
  <c r="HIL3" i="53"/>
  <c r="RE3" i="53"/>
  <c r="QOX3" i="53"/>
  <c r="BNQ3" i="53"/>
  <c r="MZH3" i="53"/>
  <c r="WYQ3" i="53"/>
  <c r="XEY3" i="53"/>
  <c r="BLD3" i="53"/>
  <c r="SQB3" i="53"/>
  <c r="CIP3" i="53"/>
  <c r="PVQ3" i="53"/>
  <c r="PXA3" i="53"/>
  <c r="TNH3" i="53"/>
  <c r="WPC3" i="53"/>
  <c r="DKF3" i="53"/>
  <c r="PWR3" i="53"/>
  <c r="SUJ3" i="53"/>
  <c r="C53" i="40"/>
  <c r="XBR3" i="53"/>
  <c r="HTX3" i="53"/>
  <c r="RJI3" i="53"/>
  <c r="RLZ3" i="53"/>
  <c r="C19" i="2"/>
  <c r="VIA3" i="53"/>
  <c r="GBU3" i="53"/>
  <c r="C58" i="4"/>
  <c r="NHN3" i="53"/>
  <c r="KKX3" i="53"/>
  <c r="PLG3" i="53"/>
  <c r="BRJ3" i="53"/>
  <c r="BYN3" i="53"/>
  <c r="C7" i="40"/>
  <c r="CYO3" i="53"/>
  <c r="ARO3" i="53"/>
  <c r="MCA3" i="53"/>
  <c r="SSV3" i="53"/>
  <c r="FSJ3" i="53"/>
  <c r="IB3" i="53"/>
  <c r="ESF3" i="53"/>
  <c r="IET3" i="53"/>
  <c r="LHD3" i="53"/>
  <c r="JLL3" i="53"/>
  <c r="QQW3" i="53"/>
  <c r="IXV3" i="53"/>
  <c r="RCX3" i="53"/>
  <c r="VXV3" i="53"/>
  <c r="ESI3" i="53"/>
  <c r="BUB3" i="53"/>
  <c r="JSE3" i="53"/>
  <c r="ERU3" i="53"/>
  <c r="WCS3" i="53"/>
  <c r="FCD3" i="53"/>
  <c r="GDA3" i="53"/>
  <c r="MIM3" i="53"/>
  <c r="LRT3" i="53"/>
  <c r="PES3" i="53"/>
  <c r="HMV3" i="53"/>
  <c r="MWH3" i="53"/>
  <c r="JQN3" i="53"/>
  <c r="RGB3" i="53"/>
  <c r="C12" i="2"/>
  <c r="TGA3" i="53"/>
  <c r="WVM3" i="53"/>
  <c r="NYT3" i="53"/>
  <c r="PYO3" i="53"/>
  <c r="ADP3" i="53"/>
  <c r="WF3" i="53"/>
  <c r="OGB3" i="53"/>
  <c r="TVK3" i="53"/>
  <c r="IXM3" i="53"/>
  <c r="TAF3" i="53"/>
  <c r="HIJ3" i="53"/>
  <c r="IKX3" i="53"/>
  <c r="DCK3" i="53"/>
  <c r="IKR3" i="53"/>
  <c r="PBQ3" i="53"/>
  <c r="BWG3" i="53"/>
  <c r="CYH3" i="53"/>
  <c r="KNR3" i="53"/>
  <c r="ABU3" i="53"/>
  <c r="UDM3" i="53"/>
  <c r="TRC3" i="53"/>
  <c r="FKM3" i="53"/>
  <c r="LYF3" i="53"/>
  <c r="KPH3" i="53"/>
  <c r="NTC3" i="53"/>
  <c r="QXN3" i="53"/>
  <c r="VPH3" i="53"/>
  <c r="NFP3" i="53"/>
  <c r="MED3" i="53"/>
  <c r="VEN3" i="53"/>
  <c r="SSN3" i="53"/>
  <c r="AUO3" i="53"/>
  <c r="XAW3" i="53"/>
  <c r="ONB3" i="53"/>
  <c r="LEU3" i="53"/>
  <c r="GSY3" i="53"/>
  <c r="C43" i="59"/>
  <c r="C21" i="3"/>
  <c r="PSJ3" i="53"/>
  <c r="IGX3" i="53"/>
  <c r="AOI3" i="53"/>
  <c r="KSE3" i="53"/>
  <c r="SQG3" i="53"/>
  <c r="SCW3" i="53"/>
  <c r="GWM3" i="53"/>
  <c r="MDX3" i="53"/>
  <c r="E7" i="46"/>
  <c r="RTE3" i="53"/>
  <c r="DZG3" i="53"/>
  <c r="QIY3" i="53"/>
  <c r="MWJ3" i="53"/>
  <c r="HSV3" i="53"/>
  <c r="VHY3" i="53"/>
  <c r="BQC3" i="53"/>
  <c r="WJF3" i="53"/>
  <c r="HVS3" i="53"/>
  <c r="JQI3" i="53"/>
  <c r="MEP3" i="53"/>
  <c r="NUN3" i="53"/>
  <c r="NVF3" i="53"/>
  <c r="AZZ3" i="53"/>
  <c r="WPN3" i="53"/>
  <c r="JNH3" i="53"/>
  <c r="C32" i="53"/>
  <c r="FDU3" i="53"/>
  <c r="LNO3" i="53"/>
  <c r="QDE3" i="53"/>
  <c r="UFL3" i="53"/>
  <c r="HOV3" i="53"/>
  <c r="POH3" i="53"/>
  <c r="TAD3" i="53"/>
  <c r="TTL3" i="53"/>
  <c r="LOG3" i="53"/>
  <c r="GOL3" i="53"/>
  <c r="ONE3" i="53"/>
  <c r="VXA3" i="53"/>
  <c r="PBI3" i="53"/>
  <c r="ABO3" i="53"/>
  <c r="MFL3" i="53"/>
  <c r="E20" i="31"/>
  <c r="UVA3" i="53"/>
  <c r="JZD3" i="53"/>
  <c r="HTO3" i="53"/>
  <c r="ERR3" i="53"/>
  <c r="CKA3" i="53"/>
  <c r="GKR3" i="53"/>
  <c r="C23" i="59"/>
  <c r="LYI3" i="53"/>
  <c r="JSV3" i="53"/>
  <c r="OBO3" i="53"/>
  <c r="GKW3" i="53"/>
  <c r="EBX3" i="53"/>
  <c r="E246" i="27"/>
  <c r="E3" i="11"/>
  <c r="E155" i="27"/>
  <c r="E62" i="27"/>
  <c r="E363" i="27"/>
  <c r="E92" i="27"/>
  <c r="C14" i="27"/>
  <c r="C55" i="27"/>
  <c r="E162" i="27"/>
  <c r="C150" i="27"/>
  <c r="C54" i="27"/>
  <c r="E301" i="27"/>
  <c r="E123" i="27"/>
  <c r="E163" i="27"/>
  <c r="E389" i="27"/>
  <c r="E282" i="27"/>
  <c r="C269" i="27"/>
  <c r="C317" i="27"/>
  <c r="C303" i="27"/>
  <c r="C332" i="27"/>
  <c r="E75" i="27"/>
  <c r="C190" i="27"/>
  <c r="C318" i="27"/>
  <c r="C391" i="27"/>
  <c r="E244" i="27"/>
  <c r="C212" i="27"/>
  <c r="C239" i="27"/>
  <c r="C234" i="27"/>
  <c r="E330" i="27"/>
  <c r="E102" i="27"/>
  <c r="E112" i="27"/>
  <c r="C372" i="27"/>
  <c r="C393" i="27"/>
  <c r="C219" i="27"/>
  <c r="E277" i="27"/>
  <c r="C119" i="27"/>
  <c r="C323" i="27"/>
  <c r="E89" i="27"/>
  <c r="C249" i="27"/>
  <c r="C127" i="27"/>
  <c r="E226" i="27"/>
  <c r="C291" i="27"/>
  <c r="C335" i="27"/>
  <c r="KIC3" i="53"/>
  <c r="AWS3" i="53"/>
  <c r="YO3" i="53"/>
  <c r="BGS3" i="53"/>
  <c r="PIB3" i="53"/>
  <c r="BIS3" i="53"/>
  <c r="QAU3" i="53"/>
  <c r="C44" i="2"/>
  <c r="LGK3" i="53"/>
  <c r="TQY3" i="53"/>
  <c r="UUE3" i="53"/>
  <c r="BGR3" i="53"/>
  <c r="ETU3" i="53"/>
  <c r="DQR3" i="53"/>
  <c r="VE3" i="53"/>
  <c r="JTO3" i="53"/>
  <c r="QAR3" i="53"/>
  <c r="STE3" i="53"/>
  <c r="C5" i="5"/>
  <c r="LHU3" i="53"/>
  <c r="GKN3" i="53"/>
  <c r="FPN3" i="53"/>
  <c r="FCM3" i="53"/>
  <c r="JER3" i="53"/>
  <c r="CBO3" i="53"/>
  <c r="AAD3" i="53"/>
  <c r="WG3" i="53"/>
  <c r="ASY3" i="53"/>
  <c r="UIH3" i="53"/>
  <c r="MHJ3" i="53"/>
  <c r="BEX3" i="53"/>
  <c r="LFF3" i="53"/>
  <c r="IZA3" i="53"/>
  <c r="WOL3" i="53"/>
  <c r="RXS3" i="53"/>
  <c r="GUE3" i="53"/>
  <c r="E25" i="4"/>
  <c r="LUI3" i="53"/>
  <c r="DGR3" i="53"/>
  <c r="NBZ3" i="53"/>
  <c r="VXZ3" i="53"/>
  <c r="ELB3" i="53"/>
  <c r="C56" i="40"/>
  <c r="INU3" i="53"/>
  <c r="PKF3" i="53"/>
  <c r="TQV3" i="53"/>
  <c r="TRK3" i="53"/>
  <c r="HMH3" i="53"/>
  <c r="C5" i="3"/>
  <c r="EYP3" i="53"/>
  <c r="BSJ3" i="53"/>
  <c r="AAO3" i="53"/>
  <c r="UHI3" i="53"/>
  <c r="VSL3" i="53"/>
  <c r="RMX3" i="53"/>
  <c r="QAD3" i="53"/>
  <c r="QKM3" i="53"/>
  <c r="EFE3" i="53"/>
  <c r="EEK3" i="53"/>
  <c r="NQO3" i="53"/>
  <c r="BQQ3" i="53"/>
  <c r="JO3" i="53"/>
  <c r="ERA3" i="53"/>
  <c r="EUS3" i="53"/>
  <c r="ITQ3" i="53"/>
  <c r="C38" i="4"/>
  <c r="QYF3" i="53"/>
  <c r="WMU3" i="53"/>
  <c r="KAT3" i="53"/>
  <c r="FIT3" i="53"/>
  <c r="VRB3" i="53"/>
  <c r="EDJ3" i="53"/>
  <c r="C22" i="3"/>
  <c r="JMX3" i="53"/>
  <c r="EBW3" i="53"/>
  <c r="BDD3" i="53"/>
  <c r="WWZ3" i="53"/>
  <c r="LLL3" i="53"/>
  <c r="JKQ3" i="53"/>
  <c r="SDQ3" i="53"/>
  <c r="NZV3" i="53"/>
  <c r="FLE3" i="53"/>
  <c r="QSG3" i="53"/>
  <c r="DKB3" i="53"/>
  <c r="PCR3" i="53"/>
  <c r="KPM3" i="53"/>
  <c r="GOO3" i="53"/>
  <c r="HRN3" i="53"/>
  <c r="AQT3" i="53"/>
  <c r="JVH3" i="53"/>
  <c r="VYK3" i="53"/>
  <c r="SWY3" i="53"/>
  <c r="HIG3" i="53"/>
  <c r="XEW3" i="53"/>
  <c r="SZE3" i="53"/>
  <c r="BES3" i="53"/>
  <c r="ERJ3" i="53"/>
  <c r="UHZ3" i="53"/>
  <c r="NBG3" i="53"/>
  <c r="POG3" i="53"/>
  <c r="TFY3" i="53"/>
  <c r="NFM3" i="53"/>
  <c r="CYI3" i="53"/>
  <c r="NRT3" i="53"/>
  <c r="DBH3" i="53"/>
  <c r="GNS3" i="53"/>
  <c r="JRL3" i="53"/>
  <c r="G8" i="40"/>
  <c r="UBG3" i="53"/>
  <c r="HIV3" i="53"/>
  <c r="QGA3" i="53"/>
  <c r="LZI3" i="53"/>
  <c r="VCV3" i="53"/>
  <c r="FYU3" i="53"/>
  <c r="E14" i="31"/>
  <c r="LBR3" i="53"/>
  <c r="TBA3" i="53"/>
  <c r="AQS3" i="53"/>
  <c r="KS3" i="53"/>
  <c r="C39" i="6"/>
  <c r="BJV3" i="53"/>
  <c r="TQL3" i="53"/>
  <c r="IMC3" i="53"/>
  <c r="GMF3" i="53"/>
  <c r="UJM3" i="53"/>
  <c r="VTR3" i="53"/>
  <c r="KLR3" i="53"/>
  <c r="C25" i="59"/>
  <c r="D3" i="1"/>
  <c r="EVJ3" i="53"/>
  <c r="RBN3" i="53"/>
  <c r="FIK3" i="53"/>
  <c r="XBL3" i="53"/>
  <c r="QKU3" i="53"/>
  <c r="BSY3" i="53"/>
  <c r="BFV3" i="53"/>
  <c r="HQA3" i="53"/>
  <c r="CEH3" i="53"/>
  <c r="SRZ3" i="53"/>
  <c r="UPE3" i="53"/>
  <c r="LMA3" i="53"/>
  <c r="AUS3" i="53"/>
  <c r="SIA3" i="53"/>
  <c r="UOY3" i="53"/>
  <c r="CIE3" i="53"/>
  <c r="QWK3" i="53"/>
  <c r="KTP3" i="53"/>
  <c r="RDQ3" i="53"/>
  <c r="AYQ3" i="53"/>
  <c r="PWZ3" i="53"/>
  <c r="JFG3" i="53"/>
  <c r="E6" i="57"/>
  <c r="NYW3" i="53"/>
  <c r="VQZ3" i="53"/>
  <c r="PLL3" i="53"/>
  <c r="OSS3" i="53"/>
  <c r="NXZ3" i="53"/>
  <c r="RVG3" i="53"/>
  <c r="UQD3" i="53"/>
  <c r="OKL3" i="53"/>
  <c r="RBJ3" i="53"/>
  <c r="JDG3" i="53"/>
  <c r="BA3" i="53"/>
  <c r="HRR3" i="53"/>
  <c r="C63" i="4"/>
  <c r="HAY3" i="53"/>
  <c r="UFZ3" i="53"/>
  <c r="VLO3" i="53"/>
  <c r="OHT3" i="53"/>
  <c r="EVH3" i="53"/>
  <c r="MSW3" i="53"/>
  <c r="MXL3" i="53"/>
  <c r="OYU3" i="53"/>
  <c r="JXP3" i="53"/>
  <c r="PFM3" i="53"/>
  <c r="BEG3" i="53"/>
  <c r="E315" i="27"/>
  <c r="D3" i="20"/>
  <c r="C39" i="11"/>
  <c r="C33" i="11"/>
  <c r="C45" i="11"/>
  <c r="A3" i="11"/>
  <c r="C17" i="11"/>
  <c r="C26" i="27"/>
  <c r="E249" i="27"/>
  <c r="C62" i="27"/>
  <c r="C238" i="27"/>
  <c r="E250" i="27"/>
  <c r="E77" i="27"/>
  <c r="C171" i="27"/>
  <c r="C118" i="27"/>
  <c r="E19" i="27"/>
  <c r="C36" i="27"/>
  <c r="C112" i="27"/>
  <c r="C378" i="27"/>
  <c r="C184" i="27"/>
  <c r="E50" i="27"/>
  <c r="E271" i="27"/>
  <c r="C310" i="27"/>
  <c r="E320" i="27"/>
  <c r="C155" i="27"/>
  <c r="E329" i="27"/>
  <c r="C205" i="27"/>
  <c r="E341" i="27"/>
  <c r="E203" i="27"/>
  <c r="C74" i="27"/>
  <c r="C131" i="27"/>
  <c r="E122" i="27"/>
  <c r="E13" i="27"/>
  <c r="E381" i="27"/>
  <c r="C80" i="27"/>
  <c r="C289" i="27"/>
  <c r="C84" i="27"/>
  <c r="C349" i="27"/>
  <c r="E229" i="27"/>
  <c r="E281" i="27"/>
  <c r="E185" i="27"/>
  <c r="C56" i="27"/>
  <c r="E195" i="27"/>
  <c r="C69" i="27"/>
  <c r="C245" i="27"/>
  <c r="E115" i="27"/>
  <c r="C30" i="27"/>
  <c r="E49" i="27"/>
  <c r="QOK3" i="53"/>
  <c r="LI3" i="53"/>
  <c r="GQA3" i="53"/>
  <c r="BVQ3" i="53"/>
  <c r="C19" i="40"/>
  <c r="EFZ3" i="53"/>
  <c r="MJC3" i="53"/>
  <c r="C13" i="2"/>
  <c r="QZD3" i="53"/>
  <c r="HEN3" i="53"/>
  <c r="WFW3" i="53"/>
  <c r="MOF3" i="53"/>
  <c r="ELK3" i="53"/>
  <c r="WIP3" i="53"/>
  <c r="OQS3" i="53"/>
  <c r="IGI3" i="53"/>
  <c r="BWT3" i="53"/>
  <c r="QAT3" i="53"/>
  <c r="G56" i="40"/>
  <c r="GGQ3" i="53"/>
  <c r="IGL3" i="53"/>
  <c r="ADQ3" i="53"/>
  <c r="HLM3" i="53"/>
  <c r="KKA3" i="53"/>
  <c r="EAX3" i="53"/>
  <c r="TOJ3" i="53"/>
  <c r="HAO3" i="53"/>
  <c r="LGH3" i="53"/>
  <c r="NFK3" i="53"/>
  <c r="WUR3" i="53"/>
  <c r="VUD3" i="53"/>
  <c r="IFN3" i="53"/>
  <c r="NCO3" i="53"/>
  <c r="FNB3" i="53"/>
  <c r="VU3" i="53"/>
  <c r="AUE3" i="53"/>
  <c r="JTU3" i="53"/>
  <c r="BUH3" i="53"/>
  <c r="CXN3" i="53"/>
  <c r="GLF3" i="53"/>
  <c r="LOV3" i="53"/>
  <c r="NNB3" i="53"/>
  <c r="GVJ3" i="53"/>
  <c r="KM3" i="53"/>
  <c r="GPQ3" i="53"/>
  <c r="BXM3" i="53"/>
  <c r="UWM3" i="53"/>
  <c r="NRG3" i="53"/>
  <c r="SNX3" i="53"/>
  <c r="A3" i="9"/>
  <c r="DSH3" i="53"/>
  <c r="RTL3" i="53"/>
  <c r="QJA3" i="53"/>
  <c r="SUA3" i="53"/>
  <c r="CAX3" i="53"/>
  <c r="CFG3" i="53"/>
  <c r="NHR3" i="53"/>
  <c r="C5" i="15"/>
  <c r="ATL3" i="53"/>
  <c r="JHM3" i="53"/>
  <c r="IOK3" i="53"/>
  <c r="NTQ3" i="53"/>
  <c r="IGZ3" i="53"/>
  <c r="JDA3" i="53"/>
  <c r="MPT3" i="53"/>
  <c r="WVK3" i="53"/>
  <c r="AZE3" i="53"/>
  <c r="QCL3" i="53"/>
  <c r="FAG3" i="53"/>
  <c r="LKV3" i="53"/>
  <c r="BWN3" i="53"/>
  <c r="E5" i="6"/>
  <c r="QPB3" i="53"/>
  <c r="IPK3" i="53"/>
  <c r="IOO3" i="53"/>
  <c r="JYG3" i="53"/>
  <c r="GHN3" i="53"/>
  <c r="JQO3" i="53"/>
  <c r="LTB3" i="53"/>
  <c r="VJT3" i="53"/>
  <c r="NIG3" i="53"/>
  <c r="J3" i="53"/>
  <c r="UEU3" i="53"/>
  <c r="IVJ3" i="53"/>
  <c r="BTO3" i="53"/>
  <c r="IWP3" i="53"/>
  <c r="CSW3" i="53"/>
  <c r="UPP3" i="53"/>
  <c r="C25" i="4"/>
  <c r="MVK3" i="53"/>
  <c r="HBE3" i="53"/>
  <c r="PUS3" i="53"/>
  <c r="JPZ3" i="53"/>
  <c r="KRO3" i="53"/>
  <c r="NAU3" i="53"/>
  <c r="E35" i="40"/>
  <c r="OCF3" i="53"/>
  <c r="GDW3" i="53"/>
  <c r="PCD3" i="53"/>
  <c r="LGD3" i="53"/>
  <c r="UCM3" i="53"/>
  <c r="RIB3" i="53"/>
  <c r="IID3" i="53"/>
  <c r="WYX3" i="53"/>
  <c r="TXC3" i="53"/>
  <c r="EKA3" i="53"/>
  <c r="VSG3" i="53"/>
  <c r="IQD3" i="53"/>
  <c r="VFZ3" i="53"/>
  <c r="GBK3" i="53"/>
  <c r="FUH3" i="53"/>
  <c r="LZX3" i="53"/>
  <c r="TUN3" i="53"/>
  <c r="OO3" i="53"/>
  <c r="SRQ3" i="53"/>
  <c r="KLK3" i="53"/>
  <c r="KKT3" i="53"/>
  <c r="JEB3" i="53"/>
  <c r="TYB3" i="53"/>
  <c r="INY3" i="53"/>
  <c r="EJR3" i="53"/>
  <c r="GUO3" i="53"/>
  <c r="OER3" i="53"/>
  <c r="LKA3" i="53"/>
  <c r="ABL3" i="53"/>
  <c r="ELJ3" i="53"/>
  <c r="C42" i="4"/>
  <c r="C9" i="6"/>
  <c r="KFT3" i="53"/>
  <c r="ASB3" i="53"/>
  <c r="G48" i="40"/>
  <c r="GWV3" i="53"/>
  <c r="GBA3" i="53"/>
  <c r="NUY3" i="53"/>
  <c r="FAS3" i="53"/>
  <c r="IGO3" i="53"/>
  <c r="ELM3" i="53"/>
  <c r="HLA3" i="53"/>
  <c r="JLP3" i="53"/>
  <c r="EIF3" i="53"/>
  <c r="TJN3" i="53"/>
  <c r="VYT3" i="53"/>
  <c r="RRL3" i="53"/>
  <c r="E16" i="46"/>
  <c r="VDG3" i="53"/>
  <c r="HEM3" i="53"/>
  <c r="BS3" i="53"/>
  <c r="AHF3" i="53"/>
  <c r="OYZ3" i="53"/>
  <c r="DCL3" i="53"/>
  <c r="HKR3" i="53"/>
  <c r="E33" i="40"/>
  <c r="IEV3" i="53"/>
  <c r="THM3" i="53"/>
  <c r="GLT3" i="53"/>
  <c r="SCG3" i="53"/>
  <c r="ALE3" i="53"/>
  <c r="AIN3" i="53"/>
  <c r="ABC3" i="53"/>
  <c r="MYN3" i="53"/>
  <c r="ODS3" i="53"/>
  <c r="ACM3" i="53"/>
  <c r="GGL3" i="53"/>
  <c r="GUX3" i="53"/>
  <c r="JEQ3" i="53"/>
  <c r="GTJ3" i="53"/>
  <c r="BWS3" i="53"/>
  <c r="UDB3" i="53"/>
  <c r="EAR3" i="53"/>
  <c r="VJJ3" i="53"/>
  <c r="PSZ3" i="53"/>
  <c r="SWV3" i="53"/>
  <c r="RKE3" i="53"/>
  <c r="I3" i="34"/>
  <c r="FUF3" i="53"/>
  <c r="TWT3" i="53"/>
  <c r="UKJ3" i="53"/>
  <c r="C29" i="6"/>
  <c r="VKR3" i="53"/>
  <c r="JUD3" i="53"/>
  <c r="LZM3" i="53"/>
  <c r="VKP3" i="53"/>
  <c r="ENL3" i="53"/>
  <c r="TT3" i="53"/>
  <c r="SSL3" i="53"/>
  <c r="KSY3" i="53"/>
  <c r="EC3" i="53"/>
  <c r="SEY3" i="53"/>
  <c r="E3" i="47"/>
  <c r="QLO3" i="53"/>
  <c r="CGJ3" i="53"/>
  <c r="C41" i="6"/>
  <c r="MYG3" i="53"/>
  <c r="VKG3" i="53"/>
  <c r="MGL3" i="53"/>
  <c r="DQH3" i="53"/>
  <c r="KFD3" i="53"/>
  <c r="TKQ3" i="53"/>
  <c r="AGP3" i="53"/>
  <c r="SPU3" i="53"/>
  <c r="OVH3" i="53"/>
  <c r="TEG3" i="53"/>
  <c r="C14" i="37"/>
  <c r="LGQ3" i="53"/>
  <c r="FDL3" i="53"/>
  <c r="BC3" i="53"/>
  <c r="END3" i="53"/>
  <c r="CMU3" i="53"/>
  <c r="TVU3" i="53"/>
  <c r="CKI3" i="53"/>
  <c r="KR3" i="53"/>
  <c r="C5" i="6"/>
  <c r="GYV3" i="53"/>
  <c r="FIL3" i="53"/>
  <c r="LDB3" i="53"/>
  <c r="BVM3" i="53"/>
  <c r="VTC3" i="53"/>
  <c r="JMD3" i="53"/>
  <c r="HML3" i="53"/>
  <c r="IHM3" i="53"/>
  <c r="NAM3" i="53"/>
  <c r="JQ3" i="53"/>
  <c r="DHG3" i="53"/>
  <c r="LPJ3" i="53"/>
  <c r="STS3" i="53"/>
  <c r="QET3" i="53"/>
  <c r="AMU3" i="53"/>
  <c r="MKX3" i="53"/>
  <c r="IXE3" i="53"/>
  <c r="DTL3" i="53"/>
  <c r="GHI3" i="53"/>
  <c r="RUN3" i="53"/>
  <c r="WWL3" i="53"/>
  <c r="VM3" i="53"/>
  <c r="G52" i="40"/>
  <c r="ATK3" i="53"/>
  <c r="DRJ3" i="53"/>
  <c r="WIC3" i="53"/>
  <c r="VAV3" i="53"/>
  <c r="IOV3" i="53"/>
  <c r="TKL3" i="53"/>
  <c r="IFK3" i="53"/>
  <c r="VKH3" i="53"/>
  <c r="ODL3" i="53"/>
  <c r="GLX3" i="53"/>
  <c r="PMW3" i="53"/>
  <c r="C7" i="31"/>
  <c r="LPM3" i="53"/>
  <c r="MSU3" i="53"/>
  <c r="VF3" i="53"/>
  <c r="SJI3" i="53"/>
  <c r="RTY3" i="53"/>
  <c r="SUL3" i="53"/>
  <c r="GPV3" i="53"/>
  <c r="EVT3" i="53"/>
  <c r="I3" i="1"/>
  <c r="QRX3" i="53"/>
  <c r="ITT3" i="53"/>
  <c r="OOI3" i="53"/>
  <c r="KOP3" i="53"/>
  <c r="HOX3" i="53"/>
  <c r="AJP3" i="53"/>
  <c r="VTS3" i="53"/>
  <c r="CZX3" i="53"/>
  <c r="SAK3" i="53"/>
  <c r="SUY3" i="53"/>
  <c r="RXG3" i="53"/>
  <c r="E30" i="4"/>
  <c r="LZF3" i="53"/>
  <c r="SC3" i="53"/>
  <c r="MFX3" i="53"/>
  <c r="LAD3" i="53"/>
  <c r="BM3" i="53"/>
  <c r="VXB3" i="53"/>
  <c r="DFC3" i="53"/>
  <c r="KWO3" i="53"/>
  <c r="ITB3" i="53"/>
  <c r="BSG3" i="53"/>
  <c r="ORC3" i="53"/>
  <c r="BKS3" i="53"/>
  <c r="WIL3" i="53"/>
  <c r="BQM3" i="53"/>
  <c r="VJF3" i="53"/>
  <c r="MSG3" i="53"/>
  <c r="HMA3" i="53"/>
  <c r="VWR3" i="53"/>
  <c r="PKR3" i="53"/>
  <c r="SQF3" i="53"/>
  <c r="UJN3" i="53"/>
  <c r="FEH3" i="53"/>
  <c r="LU3" i="53"/>
  <c r="JRO3" i="53"/>
  <c r="KTC3" i="53"/>
  <c r="PWG3" i="53"/>
  <c r="FLG3" i="53"/>
  <c r="BIL3" i="53"/>
  <c r="EGC3" i="53"/>
  <c r="TGN3" i="53"/>
  <c r="RDM3" i="53"/>
  <c r="QZZ3" i="53"/>
  <c r="SGK3" i="53"/>
  <c r="KRR3" i="53"/>
  <c r="QTZ3" i="53"/>
  <c r="CIO3" i="53"/>
  <c r="DIE3" i="53"/>
  <c r="VTP3" i="53"/>
  <c r="SSZ3" i="53"/>
  <c r="IJN3" i="53"/>
  <c r="JRD3" i="53"/>
  <c r="NIT3" i="53"/>
  <c r="FGT3" i="53"/>
  <c r="KWF3" i="53"/>
  <c r="PPD3" i="53"/>
  <c r="XCL3" i="53"/>
  <c r="JTT3" i="53"/>
  <c r="VSA3" i="53"/>
  <c r="TWI3" i="53"/>
  <c r="KJL3" i="53"/>
  <c r="OWC3" i="53"/>
  <c r="VCF3" i="53"/>
  <c r="E41" i="4"/>
  <c r="EGY3" i="53"/>
  <c r="MXK3" i="53"/>
  <c r="KMW3" i="53"/>
  <c r="LF3" i="53"/>
  <c r="MNU3" i="53"/>
  <c r="EAQ3" i="53"/>
  <c r="RXP3" i="53"/>
  <c r="EGR3" i="53"/>
  <c r="MEO3" i="53"/>
  <c r="LCS3" i="53"/>
  <c r="WJC3" i="53"/>
  <c r="MLV3" i="53"/>
  <c r="CSS3" i="53"/>
  <c r="GJR3" i="53"/>
  <c r="CBA3" i="53"/>
  <c r="AJD3" i="53"/>
  <c r="WLM3" i="53"/>
  <c r="XCE3" i="53"/>
  <c r="ECY3" i="53"/>
  <c r="E18" i="31"/>
  <c r="WAI3" i="53"/>
  <c r="C55" i="4"/>
  <c r="BBH3" i="53"/>
  <c r="BTC3" i="53"/>
  <c r="C43" i="2"/>
  <c r="C46" i="4"/>
  <c r="MXE3" i="53"/>
  <c r="C11" i="37"/>
  <c r="KMM3" i="53"/>
  <c r="C28" i="6"/>
  <c r="SAY3" i="53"/>
  <c r="IGV3" i="53"/>
  <c r="E28" i="4"/>
  <c r="CI3" i="53"/>
  <c r="FYO3" i="53"/>
  <c r="PXB3" i="53"/>
  <c r="AUR3" i="53"/>
  <c r="WJN3" i="53"/>
  <c r="E11" i="40"/>
  <c r="OAH3" i="53"/>
  <c r="KKW3" i="53"/>
  <c r="E17" i="4"/>
  <c r="EEM3" i="53"/>
  <c r="BH3" i="53"/>
  <c r="C5" i="2"/>
  <c r="UME3" i="53"/>
  <c r="FVU3" i="53"/>
  <c r="AHS3" i="53"/>
  <c r="QZM3" i="53"/>
  <c r="C28" i="4"/>
  <c r="HAI3" i="53"/>
  <c r="E46" i="4"/>
  <c r="DVB3" i="53"/>
  <c r="AAG3" i="53"/>
  <c r="OEN3" i="53"/>
  <c r="GIR3" i="53"/>
  <c r="GFQ3" i="53"/>
  <c r="NWT3" i="53"/>
  <c r="KXE3" i="53"/>
  <c r="FWI3" i="53"/>
  <c r="MCT3" i="53"/>
  <c r="EDX3" i="53"/>
  <c r="C6" i="57"/>
  <c r="QKQ3" i="53"/>
  <c r="ETF3" i="53"/>
  <c r="SSJ3" i="53"/>
  <c r="LIQ3" i="53"/>
  <c r="BLW3" i="53"/>
  <c r="AKJ3" i="53"/>
  <c r="RQD3" i="53"/>
  <c r="IRK3" i="53"/>
  <c r="TNK3" i="53"/>
  <c r="SKA3" i="53"/>
  <c r="RBB3" i="53"/>
  <c r="KED3" i="53"/>
  <c r="JQY3" i="53"/>
  <c r="ACL3" i="53"/>
  <c r="RQQ3" i="53"/>
  <c r="GIE3" i="53"/>
  <c r="RHM3" i="53"/>
  <c r="WEO3" i="53"/>
  <c r="EXL3" i="53"/>
  <c r="E9" i="40"/>
  <c r="LWV3" i="53"/>
  <c r="WDL3" i="53"/>
  <c r="TZN3" i="53"/>
  <c r="G42" i="40"/>
  <c r="IEX3" i="53"/>
  <c r="CJ3" i="53"/>
  <c r="KCA3" i="53"/>
  <c r="CFA3" i="53"/>
  <c r="DAF3" i="53"/>
  <c r="AFI3" i="53"/>
  <c r="FHO3" i="53"/>
  <c r="C11" i="40"/>
  <c r="OAD3" i="53"/>
  <c r="VSD3" i="53"/>
  <c r="SSR3" i="53"/>
  <c r="ELU3" i="53"/>
  <c r="EFA3" i="53"/>
  <c r="FRP3" i="53"/>
  <c r="EHR3" i="53"/>
  <c r="JWP3" i="53"/>
  <c r="WGX3" i="53"/>
  <c r="E22" i="4"/>
  <c r="KAQ3" i="53"/>
  <c r="OBM3" i="53"/>
  <c r="AVG3" i="53"/>
  <c r="E50" i="40"/>
  <c r="XAI3" i="53"/>
  <c r="KSN3" i="53"/>
  <c r="ANJ3" i="53"/>
  <c r="HGG3" i="53"/>
  <c r="RHD3" i="53"/>
  <c r="WHE3" i="53"/>
  <c r="VWX3" i="53"/>
  <c r="IAR3" i="53"/>
  <c r="UWL3" i="53"/>
  <c r="IYV3" i="53"/>
  <c r="RTA3" i="53"/>
  <c r="PPO3" i="53"/>
  <c r="TJ3" i="53"/>
  <c r="FG3" i="53"/>
  <c r="GCG3" i="53"/>
  <c r="MNO3" i="53"/>
  <c r="EKG3" i="53"/>
  <c r="RRU3" i="53"/>
  <c r="GAB3" i="53"/>
  <c r="MDV3" i="53"/>
  <c r="LVI3" i="53"/>
  <c r="VIH3" i="53"/>
  <c r="CGZ3" i="53"/>
  <c r="RWB3" i="53"/>
  <c r="PPH3" i="53"/>
  <c r="SYT3" i="53"/>
  <c r="Z3" i="53"/>
  <c r="OEC3" i="53"/>
  <c r="KIO3" i="53"/>
  <c r="BND3" i="53"/>
  <c r="JZO3" i="53"/>
  <c r="JFZ3" i="53"/>
  <c r="NAH3" i="53"/>
  <c r="MLL3" i="53"/>
  <c r="NGX3" i="53"/>
  <c r="OJD3" i="53"/>
  <c r="SNG3" i="53"/>
  <c r="E12" i="4"/>
  <c r="HGD3" i="53"/>
  <c r="ARP3" i="53"/>
  <c r="XEU3" i="53"/>
  <c r="UXU3" i="53"/>
  <c r="PBX3" i="53"/>
  <c r="BOY3" i="53"/>
  <c r="BLT3" i="53"/>
  <c r="TIA3" i="53"/>
  <c r="SXX3" i="53"/>
  <c r="JBY3" i="53"/>
  <c r="BVG3" i="53"/>
  <c r="EXB3" i="53"/>
  <c r="VZB3" i="53"/>
  <c r="LFM3" i="53"/>
  <c r="LMH3" i="53"/>
  <c r="C26" i="4"/>
  <c r="VWL3" i="53"/>
  <c r="RHW3" i="53"/>
  <c r="HHX3" i="53"/>
  <c r="JGB3" i="53"/>
  <c r="ASH3" i="53"/>
  <c r="GFJ3" i="53"/>
  <c r="ABM3" i="53"/>
  <c r="C61" i="4"/>
  <c r="JXN3" i="53"/>
  <c r="CVV3" i="53"/>
  <c r="C13" i="6"/>
  <c r="WZV3" i="53"/>
  <c r="MIB3" i="53"/>
  <c r="VWZ3" i="53"/>
  <c r="WAQ3" i="53"/>
  <c r="VJX3" i="53"/>
  <c r="USU3" i="53"/>
  <c r="QVK3" i="53"/>
  <c r="OLR3" i="53"/>
  <c r="CWR3" i="53"/>
  <c r="EJA3" i="53"/>
  <c r="CBJ3" i="53"/>
  <c r="OMY3" i="53"/>
  <c r="LQY3" i="53"/>
  <c r="C49" i="4"/>
  <c r="SB3" i="53"/>
  <c r="IKZ3" i="53"/>
  <c r="VSE3" i="53"/>
  <c r="RKA3" i="53"/>
  <c r="HM3" i="53"/>
  <c r="UCB3" i="53"/>
  <c r="SVP3" i="53"/>
  <c r="HHV3" i="53"/>
  <c r="LCI3" i="53"/>
  <c r="BMW3" i="53"/>
  <c r="EYA3" i="53"/>
  <c r="CVB3" i="53"/>
  <c r="SFC3" i="53"/>
  <c r="HRQ3" i="53"/>
  <c r="OSY3" i="53"/>
  <c r="JGT3" i="53"/>
  <c r="RRM3" i="53"/>
  <c r="AWH3" i="53"/>
  <c r="FPL3" i="53"/>
  <c r="E13" i="40"/>
  <c r="OFX3" i="53"/>
  <c r="PZG3" i="53"/>
  <c r="IBD3" i="53"/>
  <c r="KTU3" i="53"/>
  <c r="ICW3" i="53"/>
  <c r="NDB3" i="53"/>
  <c r="WJT3" i="53"/>
  <c r="MEX3" i="53"/>
  <c r="LNN3" i="53"/>
  <c r="QOB3" i="53"/>
  <c r="TWP3" i="53"/>
  <c r="AEJ3" i="53"/>
  <c r="WON3" i="53"/>
  <c r="VRG3" i="53"/>
  <c r="RRS3" i="53"/>
  <c r="TKA3" i="53"/>
  <c r="HUB3" i="53"/>
  <c r="LTY3" i="53"/>
  <c r="UMQ3" i="53"/>
  <c r="BR3" i="53"/>
  <c r="QHQ3" i="53"/>
  <c r="JVO3" i="53"/>
  <c r="IBL3" i="53"/>
  <c r="BUO3" i="53"/>
  <c r="WDY3" i="53"/>
  <c r="PBT3" i="53"/>
  <c r="IED3" i="53"/>
  <c r="GNV3" i="53"/>
  <c r="DSW3" i="53"/>
  <c r="EBK3" i="53"/>
  <c r="NWX3" i="53"/>
  <c r="HKS3" i="53"/>
  <c r="TDI3" i="53"/>
  <c r="JTQ3" i="53"/>
  <c r="TCB3" i="53"/>
  <c r="BRF3" i="53"/>
  <c r="QVE3" i="53"/>
  <c r="QSS3" i="53"/>
  <c r="LRJ3" i="53"/>
  <c r="DOJ3" i="53"/>
  <c r="VSF3" i="53"/>
  <c r="YH3" i="53"/>
  <c r="UZD3" i="53"/>
  <c r="LRC3" i="53"/>
  <c r="BPT3" i="53"/>
  <c r="EUE3" i="53"/>
  <c r="E10" i="40"/>
  <c r="KCN3" i="53"/>
  <c r="MYK3" i="53"/>
  <c r="E24" i="40"/>
  <c r="HRU3" i="53"/>
  <c r="WZL3" i="53"/>
  <c r="AQZ3" i="53"/>
  <c r="E7" i="4"/>
  <c r="DAG3" i="53"/>
  <c r="ORV3" i="53"/>
  <c r="DNT3" i="53"/>
  <c r="ARL3" i="53"/>
  <c r="KOA3" i="53"/>
  <c r="JAV3" i="53"/>
  <c r="WLE3" i="53"/>
  <c r="HGC3" i="53"/>
  <c r="DER3" i="53"/>
  <c r="DAB3" i="53"/>
  <c r="CHQ3" i="53"/>
  <c r="HZS3" i="53"/>
  <c r="GZL3" i="53"/>
  <c r="PJK3" i="53"/>
  <c r="JDD3" i="53"/>
  <c r="NQT3" i="53"/>
  <c r="FGG3" i="53"/>
  <c r="CMY3" i="53"/>
  <c r="TRV3" i="53"/>
  <c r="M3" i="4"/>
  <c r="OCS3" i="53"/>
  <c r="DIA3" i="53"/>
  <c r="QRE3" i="53"/>
  <c r="TFK3" i="53"/>
  <c r="G26" i="40"/>
  <c r="VBC3" i="53"/>
  <c r="VCE3" i="53"/>
  <c r="ISK3" i="53"/>
  <c r="OUE3" i="53"/>
  <c r="HTA3" i="53"/>
  <c r="NNS3" i="53"/>
  <c r="DBZ3" i="53"/>
  <c r="EYJ3" i="53"/>
  <c r="PM3" i="53"/>
  <c r="C34" i="2"/>
  <c r="LXH3" i="53"/>
  <c r="YM3" i="53"/>
  <c r="NUX3" i="53"/>
  <c r="MZT3" i="53"/>
  <c r="RYY3" i="53"/>
  <c r="UQW3" i="53"/>
  <c r="TBQ3" i="53"/>
  <c r="USX3" i="53"/>
  <c r="OTC3" i="53"/>
  <c r="SCR3" i="53"/>
  <c r="HRW3" i="53"/>
  <c r="DSY3" i="53"/>
  <c r="LJE3" i="53"/>
  <c r="KSC3" i="53"/>
  <c r="OSG3" i="53"/>
  <c r="VUE3" i="53"/>
  <c r="SZL3" i="53"/>
  <c r="DQ3" i="53"/>
  <c r="QAG3" i="53"/>
  <c r="TLK3" i="53"/>
  <c r="HBV3" i="53"/>
  <c r="PMQ3" i="53"/>
  <c r="UIL3" i="53"/>
  <c r="C5" i="59"/>
  <c r="HZH3" i="53"/>
  <c r="JOH3" i="53"/>
  <c r="XAE3" i="53"/>
  <c r="RNZ3" i="53"/>
  <c r="JXK3" i="53"/>
  <c r="DCS3" i="53"/>
  <c r="LBG3" i="53"/>
  <c r="FOH3" i="53"/>
  <c r="UFY3" i="53"/>
  <c r="CZO3" i="53"/>
  <c r="VTV3" i="53"/>
  <c r="MMX3" i="53"/>
  <c r="EWS3" i="53"/>
  <c r="EMM3" i="53"/>
  <c r="HQH3" i="53"/>
  <c r="DCQ3" i="53"/>
  <c r="EGU3" i="53"/>
  <c r="SOO3" i="53"/>
  <c r="WUN3" i="53"/>
  <c r="BON3" i="53"/>
  <c r="VCX3" i="53"/>
  <c r="JBC3" i="53"/>
  <c r="UAV3" i="53"/>
  <c r="WBB3" i="53"/>
  <c r="NWW3" i="53"/>
  <c r="TFQ3" i="53"/>
  <c r="TYW3" i="53"/>
  <c r="OUI3" i="53"/>
  <c r="MRW3" i="53"/>
  <c r="A3" i="14"/>
  <c r="DMP3" i="53"/>
  <c r="UX3" i="53"/>
  <c r="EBQ3" i="53"/>
  <c r="KDK3" i="53"/>
  <c r="C27" i="2"/>
  <c r="SRD3" i="53"/>
  <c r="GSK3" i="53"/>
  <c r="IIV3" i="53"/>
  <c r="FJF3" i="53"/>
  <c r="TYJ3" i="53"/>
  <c r="DZA3" i="53"/>
  <c r="WHC3" i="53"/>
  <c r="UCR3" i="53"/>
  <c r="CAZ3" i="53"/>
  <c r="BUM3" i="53"/>
  <c r="WNP3" i="53"/>
  <c r="HTH3" i="53"/>
  <c r="MCQ3" i="53"/>
  <c r="RGE3" i="53"/>
  <c r="QVP3" i="53"/>
  <c r="GRS3" i="53"/>
  <c r="BSF3" i="53"/>
  <c r="EI3" i="53"/>
  <c r="CUH3" i="53"/>
  <c r="DYP3" i="53"/>
  <c r="MCM3" i="53"/>
  <c r="EJP3" i="53"/>
  <c r="RYO3" i="53"/>
  <c r="C49" i="40"/>
  <c r="HTI3" i="53"/>
  <c r="PYR3" i="53"/>
  <c r="E49" i="40"/>
  <c r="GPZ3" i="53"/>
  <c r="C16" i="59"/>
  <c r="TAC3" i="53"/>
  <c r="EIG3" i="53"/>
  <c r="AFY3" i="53"/>
  <c r="WZX3" i="53"/>
  <c r="IES3" i="53"/>
  <c r="JDN3" i="53"/>
  <c r="D3" i="31"/>
  <c r="JY3" i="53"/>
  <c r="WCO3" i="53"/>
  <c r="NEH3" i="53"/>
  <c r="QCE3" i="53"/>
  <c r="WRJ3" i="53"/>
  <c r="IKV3" i="53"/>
  <c r="OAE3" i="53"/>
  <c r="HEF3" i="53"/>
  <c r="QSN3" i="53"/>
  <c r="E22" i="40"/>
  <c r="DGK3" i="53"/>
  <c r="BOC3" i="53"/>
  <c r="MFD3" i="53"/>
  <c r="KRG3" i="53"/>
  <c r="MZL3" i="53"/>
  <c r="VGK3" i="53"/>
  <c r="JTJ3" i="53"/>
  <c r="ODR3" i="53"/>
  <c r="UIM3" i="53"/>
  <c r="KDT3" i="53"/>
  <c r="IKA3" i="53"/>
  <c r="DTC3" i="53"/>
  <c r="JDK3" i="53"/>
  <c r="QUH3" i="53"/>
  <c r="AGT3" i="53"/>
  <c r="JXD3" i="53"/>
  <c r="IFY3" i="53"/>
  <c r="EEY3" i="53"/>
  <c r="MBX3" i="53"/>
  <c r="KRX3" i="53"/>
  <c r="DPN3" i="53"/>
  <c r="HXD3" i="53"/>
  <c r="IMI3" i="53"/>
  <c r="E16" i="40"/>
  <c r="MUD3" i="53"/>
  <c r="OAU3" i="53"/>
  <c r="HFV3" i="53"/>
  <c r="KQK3" i="53"/>
  <c r="AR3" i="53"/>
  <c r="ANV3" i="53"/>
  <c r="IJR3" i="53"/>
  <c r="CTW3" i="53"/>
  <c r="UTG3" i="53"/>
  <c r="FOR3" i="53"/>
  <c r="RBU3" i="53"/>
  <c r="QXD3" i="53"/>
  <c r="PFE3" i="53"/>
  <c r="CTK3" i="53"/>
  <c r="OGW3" i="53"/>
  <c r="FCR3" i="53"/>
  <c r="KOV3" i="53"/>
  <c r="VDX3" i="53"/>
  <c r="EZ3" i="53"/>
  <c r="QZN3" i="53"/>
  <c r="QKZ3" i="53"/>
  <c r="NEY3" i="53"/>
  <c r="LGC3" i="53"/>
  <c r="TOP3" i="53"/>
  <c r="VX3" i="53"/>
  <c r="GH3" i="53"/>
  <c r="EQX3" i="53"/>
  <c r="OLK3" i="53"/>
  <c r="QLC3" i="53"/>
  <c r="UPJ3" i="53"/>
  <c r="JLE3" i="53"/>
  <c r="WS3" i="53"/>
  <c r="F5" i="38"/>
  <c r="ANY3" i="53"/>
  <c r="CP3" i="53"/>
  <c r="JAA3" i="53"/>
  <c r="CRN3" i="53"/>
  <c r="C35" i="40"/>
  <c r="IRN3" i="53"/>
  <c r="ARA3" i="53"/>
  <c r="LHF3" i="53"/>
  <c r="VCJ3" i="53"/>
  <c r="C9" i="40"/>
  <c r="WAX3" i="53"/>
  <c r="KMG3" i="53"/>
  <c r="EPX3" i="53"/>
  <c r="KKB3" i="53"/>
  <c r="MRD3" i="53"/>
  <c r="BUV3" i="53"/>
  <c r="TCE3" i="53"/>
  <c r="DYY3" i="53"/>
  <c r="OYP3" i="53"/>
  <c r="NCP3" i="53"/>
  <c r="RIR3" i="53"/>
  <c r="EMX3" i="53"/>
  <c r="PUN3" i="53"/>
  <c r="BYA3" i="53"/>
  <c r="UDK3" i="53"/>
  <c r="URW3" i="53"/>
  <c r="SFV3" i="53"/>
  <c r="DIY3" i="53"/>
  <c r="THN3" i="53"/>
  <c r="NKT3" i="53"/>
  <c r="FRC3" i="53"/>
  <c r="WCQ3" i="53"/>
  <c r="NZY3" i="53"/>
  <c r="FWJ3" i="53"/>
  <c r="RBR3" i="53"/>
  <c r="NAN3" i="53"/>
  <c r="GLP3" i="53"/>
  <c r="RBS3" i="53"/>
  <c r="GZM3" i="53"/>
  <c r="NMT3" i="53"/>
  <c r="AYB3" i="53"/>
  <c r="OXA3" i="53"/>
  <c r="FYK3" i="53"/>
  <c r="UWH3" i="53"/>
  <c r="JAZ3" i="53"/>
  <c r="C21" i="4"/>
  <c r="OOY3" i="53"/>
  <c r="DRZ3" i="53"/>
  <c r="BIP3" i="53"/>
  <c r="ACW3" i="53"/>
  <c r="GYY3" i="53"/>
  <c r="EYF3" i="53"/>
  <c r="JAO3" i="53"/>
  <c r="DLV3" i="53"/>
  <c r="FZW3" i="53"/>
  <c r="HRT3" i="53"/>
  <c r="MCN3" i="53"/>
  <c r="SNR3" i="53"/>
  <c r="KUJ3" i="53"/>
  <c r="KGH3" i="53"/>
  <c r="DRT3" i="53"/>
  <c r="HOR3" i="53"/>
  <c r="BXP3" i="53"/>
  <c r="RZD3" i="53"/>
  <c r="VRC3" i="53"/>
  <c r="HXB3" i="53"/>
  <c r="TRD3" i="53"/>
  <c r="E14" i="4"/>
  <c r="QQD3" i="53"/>
  <c r="KCM3" i="53"/>
  <c r="BCB3" i="53"/>
  <c r="REG3" i="53"/>
  <c r="PGE3" i="53"/>
  <c r="ZO3" i="53"/>
  <c r="KRU3" i="53"/>
  <c r="YQ3" i="53"/>
  <c r="ENB3" i="53"/>
  <c r="WIU3" i="53"/>
  <c r="GNF3" i="53"/>
  <c r="XL3" i="53"/>
  <c r="ORN3" i="53"/>
  <c r="OLF3" i="53"/>
  <c r="OFP3" i="53"/>
  <c r="UUB3" i="53"/>
  <c r="CBT3" i="53"/>
  <c r="AEC3" i="53"/>
  <c r="TME3" i="53"/>
  <c r="ISR3" i="53"/>
  <c r="UIA3" i="53"/>
  <c r="MNQ3" i="53"/>
  <c r="NYX3" i="53"/>
  <c r="CSH3" i="53"/>
  <c r="IHG3" i="53"/>
  <c r="IJG3" i="53"/>
  <c r="HBL3" i="53"/>
  <c r="PJP3" i="53"/>
  <c r="NLK3" i="53"/>
  <c r="OTB3" i="53"/>
  <c r="RDU3" i="53"/>
  <c r="RU3" i="53"/>
  <c r="OPW3" i="53"/>
  <c r="STN3" i="53"/>
  <c r="QZI3" i="53"/>
  <c r="KYH3" i="53"/>
  <c r="PVM3" i="53"/>
  <c r="LTZ3" i="53"/>
  <c r="KOR3" i="53"/>
  <c r="AZI3" i="53"/>
  <c r="GAV3" i="53"/>
  <c r="SFB3" i="53"/>
  <c r="GGC3" i="53"/>
  <c r="RH3" i="53"/>
  <c r="HNF3" i="53"/>
  <c r="MXC3" i="53"/>
  <c r="NRQ3" i="53"/>
  <c r="QVC3" i="53"/>
  <c r="PYZ3" i="53"/>
  <c r="C58" i="40"/>
  <c r="CQE3" i="53"/>
  <c r="CAA3" i="53"/>
  <c r="STY3" i="53"/>
  <c r="BRI3" i="53"/>
  <c r="GP3" i="53"/>
  <c r="VPJ3" i="53"/>
  <c r="QMJ3" i="53"/>
  <c r="MIH3" i="53"/>
  <c r="DZR3" i="53"/>
  <c r="LDS3" i="53"/>
  <c r="GMM3" i="53"/>
  <c r="E42" i="40"/>
  <c r="UPA3" i="53"/>
  <c r="UMW3" i="53"/>
  <c r="QDJ3" i="53"/>
  <c r="C6" i="7"/>
  <c r="GQY3" i="53"/>
  <c r="TBG3" i="53"/>
  <c r="RAO3" i="53"/>
  <c r="A3" i="31"/>
  <c r="PME3" i="53"/>
  <c r="TBI3" i="53"/>
  <c r="JMJ3" i="53"/>
  <c r="C51" i="4"/>
  <c r="TEQ3" i="53"/>
  <c r="BAM3" i="53"/>
  <c r="NMC3" i="53"/>
  <c r="KFU3" i="53"/>
  <c r="TPL3" i="53"/>
  <c r="C34" i="4"/>
  <c r="ATR3" i="53"/>
  <c r="EAL3" i="53"/>
  <c r="OKP3" i="53"/>
  <c r="GYA3" i="53"/>
  <c r="DXW3" i="53"/>
  <c r="SQR3" i="53"/>
  <c r="OHN3" i="53"/>
  <c r="VLU3" i="53"/>
  <c r="FIN3" i="53"/>
  <c r="ZY3" i="53"/>
  <c r="VDP3" i="53"/>
  <c r="AHX3" i="53"/>
  <c r="B3" i="37"/>
  <c r="D3" i="47"/>
  <c r="OVM3" i="53"/>
  <c r="HCZ3" i="53"/>
  <c r="KZU3" i="53"/>
  <c r="RGT3" i="53"/>
  <c r="CGW3" i="53"/>
  <c r="JPX3" i="53"/>
  <c r="E58" i="4"/>
  <c r="FRS3" i="53"/>
  <c r="E40" i="4"/>
  <c r="DWF3" i="53"/>
  <c r="BAR3" i="53"/>
  <c r="HBJ3" i="53"/>
  <c r="MHB3" i="53"/>
  <c r="C8" i="3"/>
  <c r="SEX3" i="53"/>
  <c r="HLR3" i="53"/>
  <c r="OMD3" i="53"/>
  <c r="IHI3" i="53"/>
  <c r="DAC3" i="53"/>
  <c r="QKI3" i="53"/>
  <c r="EXA3" i="53"/>
  <c r="MNI3" i="53"/>
  <c r="QUD3" i="53"/>
  <c r="UDJ3" i="53"/>
  <c r="NXI3" i="53"/>
  <c r="ECV3" i="53"/>
  <c r="OFJ3" i="53"/>
  <c r="EOH3" i="53"/>
  <c r="IOJ3" i="53"/>
  <c r="VDD3" i="53"/>
  <c r="MCF3" i="53"/>
  <c r="ZV3" i="53"/>
  <c r="KAK3" i="53"/>
  <c r="EKC3" i="53"/>
  <c r="QZG3" i="53"/>
  <c r="ANS3" i="53"/>
  <c r="CNJ3" i="53"/>
  <c r="HKF3" i="53"/>
  <c r="MSL3" i="53"/>
  <c r="TEI3" i="53"/>
  <c r="C5" i="40"/>
  <c r="TKV3" i="53"/>
  <c r="TGG3" i="53"/>
  <c r="EHG3" i="53"/>
  <c r="KVP3" i="53"/>
  <c r="UYX3" i="53"/>
  <c r="CTP3" i="53"/>
  <c r="OIF3" i="53"/>
  <c r="HRC3" i="53"/>
  <c r="FBR3" i="53"/>
  <c r="THP3" i="53"/>
  <c r="DFV3" i="53"/>
  <c r="E52" i="4"/>
  <c r="JMZ3" i="53"/>
  <c r="BJ3" i="53"/>
  <c r="LAM3" i="53"/>
  <c r="QEO3" i="53"/>
  <c r="F3" i="37"/>
  <c r="HNV3" i="53"/>
  <c r="PBN3" i="53"/>
  <c r="ETY3" i="53"/>
  <c r="GOS3" i="53"/>
  <c r="LRG3" i="53"/>
  <c r="WWJ3" i="53"/>
  <c r="OFS3" i="53"/>
  <c r="JRN3" i="53"/>
  <c r="VBL3" i="53"/>
  <c r="XB3" i="53"/>
  <c r="VPK3" i="53"/>
  <c r="CUB3" i="53"/>
  <c r="GJI3" i="53"/>
  <c r="C14" i="59"/>
  <c r="MAH3" i="53"/>
  <c r="FOU3" i="53"/>
  <c r="RJB3" i="53"/>
  <c r="UHC3" i="53"/>
  <c r="RIS3" i="53"/>
  <c r="VII3" i="53"/>
  <c r="EXW3" i="53"/>
  <c r="CMP3" i="53"/>
  <c r="JZE3" i="53"/>
  <c r="RGJ3" i="53"/>
  <c r="VIL3" i="53"/>
  <c r="CEW3" i="53"/>
  <c r="IHB3" i="53"/>
  <c r="MAI3" i="53"/>
  <c r="CNA3" i="53"/>
  <c r="UAU3" i="53"/>
  <c r="LED3" i="53"/>
  <c r="RDI3" i="53"/>
  <c r="LAI3" i="53"/>
  <c r="CPI3" i="53"/>
  <c r="RHU3" i="53"/>
  <c r="SJX3" i="53"/>
  <c r="JKY3" i="53"/>
  <c r="TKD3" i="53"/>
  <c r="ALC3" i="53"/>
  <c r="UZH3" i="53"/>
  <c r="GWO3" i="53"/>
  <c r="FAW3" i="53"/>
  <c r="CTT3" i="53"/>
  <c r="NNG3" i="53"/>
  <c r="JFC3" i="53"/>
  <c r="DJQ3" i="53"/>
  <c r="JOU3" i="53"/>
  <c r="TDN3" i="53"/>
  <c r="MOT3" i="53"/>
  <c r="VSZ3" i="53"/>
  <c r="ICX3" i="53"/>
  <c r="PBZ3" i="53"/>
  <c r="ACV3" i="53"/>
  <c r="A3" i="34"/>
  <c r="RKU3" i="53"/>
  <c r="NVQ3" i="53"/>
  <c r="IFW3" i="53"/>
  <c r="WVC3" i="53"/>
  <c r="QOD3" i="53"/>
  <c r="NVL3" i="53"/>
  <c r="GYF3" i="53"/>
  <c r="TAT3" i="53"/>
  <c r="GHZ3" i="53"/>
  <c r="EDY3" i="53"/>
  <c r="BFP3" i="53"/>
  <c r="KOJ3" i="53"/>
  <c r="PAT3" i="53"/>
  <c r="ELX3" i="53"/>
  <c r="C12" i="3"/>
  <c r="GNO3" i="53"/>
  <c r="AKR3" i="53"/>
  <c r="EPE3" i="53"/>
  <c r="BKW3" i="53"/>
  <c r="VNQ3" i="53"/>
  <c r="K3" i="4"/>
  <c r="IJC3" i="53"/>
  <c r="DMI3" i="53"/>
  <c r="GLM3" i="53"/>
  <c r="NEL3" i="53"/>
  <c r="FQT3" i="53"/>
  <c r="SUH3" i="53"/>
  <c r="CUP3" i="53"/>
  <c r="WPO3" i="53"/>
  <c r="LYT3" i="53"/>
  <c r="EPD3" i="53"/>
  <c r="VIB3" i="53"/>
  <c r="UET3" i="53"/>
  <c r="QUM3" i="53"/>
  <c r="DFI3" i="53"/>
  <c r="TSQ3" i="53"/>
  <c r="SFZ3" i="53"/>
  <c r="QCM3" i="53"/>
  <c r="LEM3" i="53"/>
  <c r="RYU3" i="53"/>
  <c r="QKF3" i="53"/>
  <c r="AVZ3" i="53"/>
  <c r="UNV3" i="53"/>
  <c r="AIG3" i="53"/>
  <c r="MSB3" i="53"/>
  <c r="PMZ3" i="53"/>
  <c r="GYU3" i="53"/>
  <c r="OOX3" i="53"/>
  <c r="QIM3" i="53"/>
  <c r="LPG3" i="53"/>
  <c r="GHB3" i="53"/>
  <c r="VUY3" i="53"/>
  <c r="GZG3" i="53"/>
  <c r="TVS3" i="53"/>
  <c r="WPQ3" i="53"/>
  <c r="E54" i="40"/>
  <c r="FKH3" i="53"/>
  <c r="MZK3" i="53"/>
  <c r="WEN3" i="53"/>
  <c r="WQS3" i="53"/>
  <c r="VDO3" i="53"/>
  <c r="OJR3" i="53"/>
  <c r="NKP3" i="53"/>
  <c r="IVT3" i="53"/>
  <c r="FEM3" i="53"/>
  <c r="MSD3" i="53"/>
  <c r="HX3" i="53"/>
  <c r="FGZ3" i="53"/>
  <c r="IZL3" i="53"/>
  <c r="MRB3" i="53"/>
  <c r="IAH3" i="53"/>
  <c r="VAK3" i="53"/>
  <c r="CNV3" i="53"/>
  <c r="TLL3" i="53"/>
  <c r="JCR3" i="53"/>
  <c r="C52" i="40"/>
  <c r="QBR3" i="53"/>
  <c r="SCT3" i="53"/>
  <c r="JOZ3" i="53"/>
  <c r="C24" i="6"/>
  <c r="BCE3" i="53"/>
  <c r="DAT3" i="53"/>
  <c r="TVJ3" i="53"/>
  <c r="UUG3" i="53"/>
  <c r="BJA3" i="53"/>
  <c r="NZE3" i="53"/>
  <c r="EVS3" i="53"/>
  <c r="MPQ3" i="53"/>
  <c r="STM3" i="53"/>
  <c r="XEJ3" i="53"/>
  <c r="TED3" i="53"/>
  <c r="FCO3" i="53"/>
  <c r="XDY3" i="53"/>
  <c r="DLR3" i="53"/>
  <c r="C66" i="53"/>
  <c r="JKA3" i="53"/>
  <c r="NJN3" i="53"/>
  <c r="VBF3" i="53"/>
  <c r="IPM3" i="53"/>
  <c r="HKO3" i="53"/>
  <c r="IUU3" i="53"/>
  <c r="JWZ3" i="53"/>
  <c r="NPY3" i="53"/>
  <c r="EZU3" i="53"/>
  <c r="C25" i="2"/>
  <c r="FKJ3" i="53"/>
  <c r="C36" i="53"/>
  <c r="SSG3" i="53"/>
  <c r="OPC3" i="53"/>
  <c r="VTH3" i="53"/>
  <c r="PEV3" i="53"/>
  <c r="JMR3" i="53"/>
  <c r="BHF3" i="53"/>
  <c r="XFD3" i="53"/>
  <c r="XCO3" i="53"/>
  <c r="SZF3" i="53"/>
  <c r="BED3" i="53"/>
  <c r="FB3" i="53"/>
  <c r="CBW3" i="53"/>
  <c r="SNO3" i="53"/>
  <c r="CDT3" i="53"/>
  <c r="HUD3" i="53"/>
  <c r="EVY3" i="53"/>
  <c r="DXY3" i="53"/>
  <c r="MQP3" i="53"/>
  <c r="URT3" i="53"/>
  <c r="TAM3" i="53"/>
  <c r="HWX3" i="53"/>
  <c r="PI3" i="53"/>
  <c r="QJN3" i="53"/>
  <c r="KE3" i="53"/>
  <c r="MDP3" i="53"/>
  <c r="MNW3" i="53"/>
  <c r="C16" i="6"/>
  <c r="NSZ3" i="53"/>
  <c r="BNN3" i="53"/>
  <c r="IYI3" i="53"/>
  <c r="GUJ3" i="53"/>
  <c r="ONJ3" i="53"/>
  <c r="XDX3" i="53"/>
  <c r="E41" i="40"/>
  <c r="QYD3" i="53"/>
  <c r="ODW3" i="53"/>
  <c r="OYI3" i="53"/>
  <c r="QND3" i="53"/>
  <c r="G18" i="40"/>
  <c r="PTW3" i="53"/>
  <c r="FJJ3" i="53"/>
  <c r="AWJ3" i="53"/>
  <c r="NPZ3" i="53"/>
  <c r="XBS3" i="53"/>
  <c r="SNC3" i="53"/>
  <c r="DMU3" i="53"/>
  <c r="RBZ3" i="53"/>
  <c r="BJW3" i="53"/>
  <c r="LNU3" i="53"/>
  <c r="TTC3" i="53"/>
  <c r="AGB3" i="53"/>
  <c r="MFQ3" i="53"/>
  <c r="MPX3" i="53"/>
  <c r="LZJ3" i="53"/>
  <c r="JGU3" i="53"/>
  <c r="EQA3" i="53"/>
  <c r="KTA3" i="53"/>
  <c r="SWS3" i="53"/>
  <c r="ORF3" i="53"/>
  <c r="OMJ3" i="53"/>
  <c r="TIR3" i="53"/>
  <c r="VCB3" i="53"/>
  <c r="GHU3" i="53"/>
  <c r="THT3" i="53"/>
  <c r="HOK3" i="53"/>
  <c r="EXI3" i="53"/>
  <c r="MDS3" i="53"/>
  <c r="QYA3" i="53"/>
  <c r="CHH3" i="53"/>
  <c r="NSS3" i="53"/>
  <c r="FGW3" i="53"/>
  <c r="DAN3" i="53"/>
  <c r="KDH3" i="53"/>
  <c r="EPO3" i="53"/>
  <c r="VSB3" i="53"/>
  <c r="HHR3" i="53"/>
  <c r="VYW3" i="53"/>
  <c r="QDT3" i="53"/>
  <c r="PSC3" i="53"/>
  <c r="CFB3" i="53"/>
  <c r="CVI3" i="53"/>
  <c r="GN3" i="53"/>
  <c r="RXD3" i="53"/>
  <c r="IWD3" i="53"/>
  <c r="GF3" i="53"/>
  <c r="MTI3" i="53"/>
  <c r="LOF3" i="53"/>
  <c r="YD3" i="53"/>
  <c r="DLT3" i="53"/>
  <c r="EGG3" i="53"/>
  <c r="D3" i="5"/>
  <c r="IFH3" i="53"/>
  <c r="QHH3" i="53"/>
  <c r="UJG3" i="53"/>
  <c r="QHK3" i="53"/>
  <c r="KC3" i="53"/>
  <c r="DRY3" i="53"/>
  <c r="LEK3" i="53"/>
  <c r="SSF3" i="53"/>
  <c r="EXY3" i="53"/>
  <c r="C19" i="53"/>
  <c r="THZ3" i="53"/>
  <c r="KFG3" i="53"/>
  <c r="DEM3" i="53"/>
  <c r="UMM3" i="53"/>
  <c r="C13" i="37"/>
  <c r="LBT3" i="53"/>
  <c r="UHU3" i="53"/>
  <c r="UNG3" i="53"/>
  <c r="SSE3" i="53"/>
  <c r="HQW3" i="53"/>
  <c r="E3" i="49"/>
  <c r="AJR3" i="53"/>
  <c r="MWW3" i="53"/>
  <c r="G37" i="40"/>
  <c r="D3" i="12"/>
  <c r="OJG3" i="53"/>
  <c r="GRU3" i="53"/>
  <c r="CHT3" i="53"/>
  <c r="G6" i="40"/>
  <c r="BEW3" i="53"/>
  <c r="MOR3" i="53"/>
  <c r="CHL3" i="53"/>
  <c r="MWD3" i="53"/>
  <c r="MNY3" i="53"/>
  <c r="KJM3" i="53"/>
  <c r="WYK3" i="53"/>
  <c r="UAG3" i="53"/>
  <c r="NTW3" i="53"/>
  <c r="XS3" i="53"/>
  <c r="C19" i="37"/>
  <c r="MDW3" i="53"/>
  <c r="HAZ3" i="53"/>
  <c r="JVZ3" i="53"/>
  <c r="CQI3" i="53"/>
  <c r="OLL3" i="53"/>
  <c r="C10" i="6"/>
  <c r="SHT3" i="53"/>
  <c r="JMB3" i="53"/>
  <c r="GJS3" i="53"/>
  <c r="PEW3" i="53"/>
  <c r="AJA3" i="53"/>
  <c r="DAV3" i="53"/>
  <c r="UJE3" i="53"/>
  <c r="BOD3" i="53"/>
  <c r="NNK3" i="53"/>
  <c r="ALI3" i="53"/>
  <c r="QBX3" i="53"/>
  <c r="KLH3" i="53"/>
  <c r="EIM3" i="53"/>
  <c r="LKQ3" i="53"/>
  <c r="EFU3" i="53"/>
  <c r="DKS3" i="53"/>
  <c r="KBB3" i="53"/>
  <c r="C23" i="2"/>
  <c r="PDW3" i="53"/>
  <c r="QMN3" i="53"/>
  <c r="SIC3" i="53"/>
  <c r="E30" i="40"/>
  <c r="ONW3" i="53"/>
  <c r="JQZ3" i="53"/>
  <c r="NCS3" i="53"/>
  <c r="HJI3" i="53"/>
  <c r="PSF3" i="53"/>
  <c r="WXN3" i="53"/>
  <c r="KIW3" i="53"/>
  <c r="SUB3" i="53"/>
  <c r="URY3" i="53"/>
  <c r="CHZ3" i="53"/>
  <c r="AYG3" i="53"/>
  <c r="SZM3" i="53"/>
  <c r="KBC3" i="53"/>
  <c r="ENG3" i="53"/>
  <c r="PJG3" i="53"/>
  <c r="WHM3" i="53"/>
  <c r="TNF3" i="53"/>
  <c r="LJH3" i="53"/>
  <c r="XCS3" i="53"/>
  <c r="DHO3" i="53"/>
  <c r="HSH3" i="53"/>
  <c r="AMY3" i="53"/>
  <c r="WWI3" i="53"/>
  <c r="ULI3" i="53"/>
  <c r="UHW3" i="53"/>
  <c r="WOY3" i="53"/>
  <c r="QXY3" i="53"/>
  <c r="SNY3" i="53"/>
  <c r="TMI3" i="53"/>
  <c r="TDB3" i="53"/>
  <c r="PAL3" i="53"/>
  <c r="XDU3" i="53"/>
  <c r="IPU3" i="53"/>
  <c r="ELS3" i="53"/>
  <c r="GER3" i="53"/>
  <c r="CPC3" i="53"/>
  <c r="LRS3" i="53"/>
  <c r="KCL3" i="53"/>
  <c r="LVV3" i="53"/>
  <c r="WPI3" i="53"/>
  <c r="SXZ3" i="53"/>
  <c r="PSL3" i="53"/>
  <c r="UKE3" i="53"/>
  <c r="OIE3" i="53"/>
  <c r="RVX3" i="53"/>
  <c r="SWH3" i="53"/>
  <c r="C3" i="14"/>
  <c r="HNX3" i="53"/>
  <c r="WUF3" i="53"/>
  <c r="KYN3" i="53"/>
  <c r="GCR3" i="53"/>
  <c r="LFB3" i="53"/>
  <c r="C11" i="31"/>
  <c r="TBK3" i="53"/>
  <c r="NBY3" i="53"/>
  <c r="I3" i="2"/>
  <c r="VVO3" i="53"/>
  <c r="FKW3" i="53"/>
  <c r="SAO3" i="53"/>
  <c r="MMQ3" i="53"/>
  <c r="MZN3" i="53"/>
  <c r="AUK3" i="53"/>
  <c r="OYR3" i="53"/>
  <c r="ASD3" i="53"/>
  <c r="XN3" i="53"/>
  <c r="FNZ3" i="53"/>
  <c r="VPL3" i="53"/>
  <c r="OQH3" i="53"/>
  <c r="NP3" i="53"/>
  <c r="KCG3" i="53"/>
  <c r="TTU3" i="53"/>
  <c r="FLS3" i="53"/>
  <c r="ISN3" i="53"/>
  <c r="C38" i="59"/>
  <c r="JIA3" i="53"/>
  <c r="KEI3" i="53"/>
  <c r="IMX3" i="53"/>
  <c r="HPQ3" i="53"/>
  <c r="VNH3" i="53"/>
  <c r="CSF3" i="53"/>
  <c r="WAC3" i="53"/>
  <c r="SJF3" i="53"/>
  <c r="UHD3" i="53"/>
  <c r="C32" i="6"/>
  <c r="BWJ3" i="53"/>
  <c r="NXN3" i="53"/>
  <c r="ZL3" i="53"/>
  <c r="NYF3" i="53"/>
  <c r="TXG3" i="53"/>
  <c r="CZJ3" i="53"/>
  <c r="GQX3" i="53"/>
  <c r="KIL3" i="53"/>
  <c r="FN3" i="53"/>
  <c r="MQL3" i="53"/>
  <c r="KAF3" i="53"/>
  <c r="E51" i="40"/>
  <c r="VIU3" i="53"/>
  <c r="DAZ3" i="53"/>
  <c r="GMK3" i="53"/>
  <c r="OBL3" i="53"/>
  <c r="HMB3" i="53"/>
  <c r="UUH3" i="53"/>
  <c r="R3" i="53"/>
  <c r="LPX3" i="53"/>
  <c r="TFU3" i="53"/>
  <c r="ORY3" i="53"/>
  <c r="FRD3" i="53"/>
  <c r="ZG3" i="53"/>
  <c r="E23" i="4"/>
  <c r="GRY3" i="53"/>
  <c r="FBP3" i="53"/>
  <c r="PPU3" i="53"/>
  <c r="BHQ3" i="53"/>
  <c r="DKN3" i="53"/>
  <c r="OIK3" i="53"/>
  <c r="RJJ3" i="53"/>
  <c r="ETS3" i="53"/>
  <c r="RDO3" i="53"/>
  <c r="KHV3" i="53"/>
  <c r="HLD3" i="53"/>
  <c r="PHV3" i="53"/>
  <c r="JVF3" i="53"/>
  <c r="OLS3" i="53"/>
  <c r="BCH3" i="53"/>
  <c r="WEX3" i="53"/>
  <c r="C28" i="59"/>
  <c r="APE3" i="53"/>
  <c r="FDD3" i="53"/>
  <c r="DYN3" i="53"/>
  <c r="III3" i="53"/>
  <c r="VZR3" i="53"/>
  <c r="FPE3" i="53"/>
  <c r="RDW3" i="53"/>
  <c r="RTT3" i="53"/>
  <c r="PEY3" i="53"/>
  <c r="WTP3" i="53"/>
  <c r="ITZ3" i="53"/>
  <c r="VER3" i="53"/>
  <c r="HHP3" i="53"/>
  <c r="DTK3" i="53"/>
  <c r="PXO3" i="53"/>
  <c r="OAV3" i="53"/>
  <c r="AQN3" i="53"/>
  <c r="HPO3" i="53"/>
  <c r="RKY3" i="53"/>
  <c r="BWD3" i="53"/>
  <c r="WTI3" i="53"/>
  <c r="PRF3" i="53"/>
  <c r="MRP3" i="53"/>
  <c r="ESR3" i="53"/>
  <c r="VLL3" i="53"/>
  <c r="SYI3" i="53"/>
  <c r="XEP3" i="53"/>
  <c r="VVH3" i="53"/>
  <c r="NWU3" i="53"/>
  <c r="SCM3" i="53"/>
  <c r="NJA3" i="53"/>
  <c r="NOP3" i="53"/>
  <c r="BFZ3" i="53"/>
  <c r="KQL3" i="53"/>
  <c r="HGX3" i="53"/>
  <c r="DNB3" i="53"/>
  <c r="IEJ3" i="53"/>
  <c r="ZD3" i="53"/>
  <c r="KIG3" i="53"/>
  <c r="DOK3" i="53"/>
  <c r="VWM3" i="53"/>
  <c r="ABT3" i="53"/>
  <c r="QVW3" i="53"/>
  <c r="C27" i="4"/>
  <c r="LZS3" i="53"/>
  <c r="FDE3" i="53"/>
  <c r="HIU3" i="53"/>
  <c r="ERO3" i="53"/>
  <c r="CPJ3" i="53"/>
  <c r="UDX3" i="53"/>
  <c r="IQZ3" i="53"/>
  <c r="LRU3" i="53"/>
  <c r="RQZ3" i="53"/>
  <c r="LPI3" i="53"/>
  <c r="BID3" i="53"/>
  <c r="C34" i="40"/>
  <c r="HMY3" i="53"/>
  <c r="GVK3" i="53"/>
  <c r="OCU3" i="53"/>
  <c r="GXL3" i="53"/>
  <c r="ACC3" i="53"/>
  <c r="WQC3" i="53"/>
  <c r="KTI3" i="53"/>
  <c r="FBV3" i="53"/>
  <c r="TIB3" i="53"/>
  <c r="WCB3" i="53"/>
  <c r="VGV3" i="53"/>
  <c r="KMH3" i="53"/>
  <c r="RRJ3" i="53"/>
  <c r="QRJ3" i="53"/>
  <c r="DCW3" i="53"/>
  <c r="UPS3" i="53"/>
  <c r="KZK3" i="53"/>
  <c r="INC3" i="53"/>
  <c r="HKW3" i="53"/>
  <c r="DSD3" i="53"/>
  <c r="BFD3" i="53"/>
  <c r="HPL3" i="53"/>
  <c r="EKD3" i="53"/>
  <c r="QNV3" i="53"/>
  <c r="IFX3" i="53"/>
  <c r="PNT3" i="53"/>
  <c r="RX3" i="53"/>
  <c r="XAL3" i="53"/>
  <c r="C5" i="4"/>
  <c r="CO3" i="53"/>
  <c r="QWL3" i="53"/>
  <c r="SNN3" i="53"/>
  <c r="GFX3" i="53"/>
  <c r="IFM3" i="53"/>
  <c r="E14" i="40"/>
  <c r="BBJ3" i="53"/>
  <c r="UGB3" i="53"/>
  <c r="ARK3" i="53"/>
  <c r="UVD3" i="53"/>
  <c r="WQP3" i="53"/>
  <c r="HPM3" i="53"/>
  <c r="OZI3" i="53"/>
  <c r="MFN3" i="53"/>
  <c r="YC3" i="53"/>
  <c r="BIZ3" i="53"/>
  <c r="TQM3" i="53"/>
  <c r="C36" i="2"/>
  <c r="QHB3" i="53"/>
  <c r="TJH3" i="53"/>
  <c r="TJY3" i="53"/>
  <c r="VBA3" i="53"/>
  <c r="TLG3" i="53"/>
  <c r="COI3" i="53"/>
  <c r="GHR3" i="53"/>
  <c r="RXO3" i="53"/>
  <c r="HIS3" i="53"/>
  <c r="NPF3" i="53"/>
  <c r="TLJ3" i="53"/>
  <c r="WGG3" i="53"/>
  <c r="UZM3" i="53"/>
  <c r="AEX3" i="53"/>
  <c r="OQJ3" i="53"/>
  <c r="PS3" i="53"/>
  <c r="WAK3" i="53"/>
  <c r="ILF3" i="53"/>
  <c r="HKP3" i="53"/>
  <c r="JTV3" i="53"/>
  <c r="AAU3" i="53"/>
  <c r="ITO3" i="53"/>
  <c r="TOW3" i="53"/>
  <c r="ATC3" i="53"/>
  <c r="PSM3" i="53"/>
  <c r="VPQ3" i="53"/>
  <c r="UCX3" i="53"/>
  <c r="OTZ3" i="53"/>
  <c r="HXK3" i="53"/>
  <c r="WZH3" i="53"/>
  <c r="SZY3" i="53"/>
  <c r="SGQ3" i="53"/>
  <c r="CYN3" i="53"/>
  <c r="TEV3" i="53"/>
  <c r="LWO3" i="53"/>
  <c r="ADK3" i="53"/>
  <c r="IUS3" i="53"/>
  <c r="NWV3" i="53"/>
  <c r="SMS3" i="53"/>
  <c r="LFP3" i="53"/>
  <c r="VXR3" i="53"/>
  <c r="MI3" i="53"/>
  <c r="SSH3" i="53"/>
  <c r="SDM3" i="53"/>
  <c r="EJC3" i="53"/>
  <c r="VDV3" i="53"/>
  <c r="DIK3" i="53"/>
  <c r="RKJ3" i="53"/>
  <c r="OVT3" i="53"/>
  <c r="OOD3" i="53"/>
  <c r="OUO3" i="53"/>
  <c r="GW3" i="53"/>
  <c r="WQQ3" i="53"/>
  <c r="WGM3" i="53"/>
  <c r="WSD3" i="53"/>
  <c r="EVO3" i="53"/>
  <c r="FNN3" i="53"/>
  <c r="FBN3" i="53"/>
  <c r="C5" i="56"/>
  <c r="NMM3" i="53"/>
  <c r="PZP3" i="53"/>
  <c r="DZE3" i="53"/>
  <c r="NZK3" i="53"/>
  <c r="FOJ3" i="53"/>
  <c r="C3" i="37"/>
  <c r="ENX3" i="53"/>
  <c r="OIQ3" i="53"/>
  <c r="PDM3" i="53"/>
  <c r="C20" i="37"/>
  <c r="C27" i="40"/>
  <c r="JE3" i="53"/>
  <c r="GFO3" i="53"/>
  <c r="C7" i="4"/>
  <c r="APZ3" i="53"/>
  <c r="DVH3" i="53"/>
  <c r="FWW3" i="53"/>
  <c r="REU3" i="53"/>
  <c r="AWD3" i="53"/>
  <c r="IGF3" i="53"/>
  <c r="SDY3" i="53"/>
  <c r="DJJ3" i="53"/>
  <c r="TYA3" i="53"/>
  <c r="NES3" i="53"/>
  <c r="VKL3" i="53"/>
  <c r="JRE3" i="53"/>
  <c r="BFX3" i="53"/>
  <c r="C35" i="4"/>
  <c r="BXW3" i="53"/>
  <c r="HUS3" i="53"/>
  <c r="CRG3" i="53"/>
  <c r="AFX3" i="53"/>
  <c r="WAT3" i="53"/>
  <c r="VGJ3" i="53"/>
  <c r="RTM3" i="53"/>
  <c r="RWT3" i="53"/>
  <c r="PIS3" i="53"/>
  <c r="DDE3" i="53"/>
  <c r="C6" i="3"/>
  <c r="C35" i="2"/>
  <c r="DQV3" i="53"/>
  <c r="GZW3" i="53"/>
  <c r="NOO3" i="53"/>
  <c r="CTD3" i="53"/>
  <c r="CST3" i="53"/>
  <c r="KWJ3" i="53"/>
  <c r="HEB3" i="53"/>
  <c r="MAP3" i="53"/>
  <c r="TFI3" i="53"/>
  <c r="G13" i="40"/>
  <c r="OBN3" i="53"/>
  <c r="NY3" i="53"/>
  <c r="JPC3" i="53"/>
  <c r="WKY3" i="53"/>
  <c r="C68" i="53"/>
  <c r="JHJ3" i="53"/>
  <c r="HFH3" i="53"/>
  <c r="ALK3" i="53"/>
  <c r="PED3" i="53"/>
  <c r="MIJ3" i="53"/>
  <c r="TAU3" i="53"/>
  <c r="BXK3" i="53"/>
  <c r="OJS3" i="53"/>
  <c r="LWJ3" i="53"/>
  <c r="GXQ3" i="53"/>
  <c r="C30" i="40"/>
  <c r="DWK3" i="53"/>
  <c r="MVM3" i="53"/>
  <c r="HQE3" i="53"/>
  <c r="FXD3" i="53"/>
  <c r="UQV3" i="53"/>
  <c r="MHE3" i="53"/>
  <c r="FGJ3" i="53"/>
  <c r="GIP3" i="53"/>
  <c r="TZM3" i="53"/>
  <c r="IEN3" i="53"/>
  <c r="C23" i="31"/>
  <c r="JNL3" i="53"/>
  <c r="QKN3" i="53"/>
  <c r="WGB3" i="53"/>
  <c r="DEL3" i="53"/>
  <c r="HAP3" i="53"/>
  <c r="MXJ3" i="53"/>
  <c r="SKH3" i="53"/>
  <c r="RAR3" i="53"/>
  <c r="WEH3" i="53"/>
  <c r="RNT3" i="53"/>
  <c r="MWX3" i="53"/>
  <c r="RGI3" i="53"/>
  <c r="PAR3" i="53"/>
  <c r="C59" i="4"/>
  <c r="NZS3" i="53"/>
  <c r="EAK3" i="53"/>
  <c r="QEK3" i="53"/>
  <c r="MWV3" i="53"/>
  <c r="NBJ3" i="53"/>
  <c r="AZJ3" i="53"/>
  <c r="UCU3" i="53"/>
  <c r="DIW3" i="53"/>
  <c r="OOJ3" i="53"/>
  <c r="ALG3" i="53"/>
  <c r="NJO3" i="53"/>
  <c r="BOW3" i="53"/>
  <c r="OQY3" i="53"/>
  <c r="NQM3" i="53"/>
  <c r="EAG3" i="53"/>
  <c r="QNO3" i="53"/>
  <c r="RBC3" i="53"/>
  <c r="TRX3" i="53"/>
  <c r="JDW3" i="53"/>
  <c r="CTH3" i="53"/>
  <c r="E26" i="4"/>
  <c r="MO3" i="53"/>
  <c r="EAF3" i="53"/>
  <c r="MBO3" i="53"/>
  <c r="MST3" i="53"/>
  <c r="DBO3" i="53"/>
  <c r="NZH3" i="53"/>
  <c r="JPU3" i="53"/>
  <c r="KLP3" i="53"/>
  <c r="KKK3" i="53"/>
  <c r="NLX3" i="53"/>
  <c r="ADX3" i="53"/>
  <c r="JOA3" i="53"/>
  <c r="AWU3" i="53"/>
  <c r="OKB3" i="53"/>
  <c r="EBI3" i="53"/>
  <c r="CBN3" i="53"/>
  <c r="KSR3" i="53"/>
  <c r="HKX3" i="53"/>
  <c r="BPB3" i="53"/>
  <c r="AUM3" i="53"/>
  <c r="OKG3" i="53"/>
  <c r="DTJ3" i="53"/>
  <c r="BK3" i="53"/>
  <c r="NIB3" i="53"/>
  <c r="SDE3" i="53"/>
  <c r="WXU3" i="53"/>
  <c r="VPP3" i="53"/>
  <c r="MJL3" i="53"/>
  <c r="XBF3" i="53"/>
  <c r="SRM3" i="53"/>
  <c r="GOK3" i="53"/>
  <c r="TTX3" i="53"/>
  <c r="SKY3" i="53"/>
  <c r="BNY3" i="53"/>
  <c r="NUF3" i="53"/>
  <c r="RAW3" i="53"/>
  <c r="RQV3" i="53"/>
  <c r="BCX3" i="53"/>
  <c r="G19" i="40"/>
  <c r="BUS3" i="53"/>
  <c r="AIM3" i="53"/>
  <c r="DGD3" i="53"/>
  <c r="SGT3" i="53"/>
  <c r="NPK3" i="53"/>
  <c r="HFO3" i="53"/>
  <c r="VYV3" i="53"/>
  <c r="CKR3" i="53"/>
  <c r="FPH3" i="53"/>
  <c r="BWC3" i="53"/>
  <c r="GEG3" i="53"/>
  <c r="XEB3" i="53"/>
  <c r="QXK3" i="53"/>
  <c r="OPI3" i="53"/>
  <c r="WGW3" i="53"/>
  <c r="OVS3" i="53"/>
  <c r="TLS3" i="53"/>
  <c r="RDF3" i="53"/>
  <c r="BGE3" i="53"/>
  <c r="TPY3" i="53"/>
  <c r="VRU3" i="53"/>
  <c r="SYN3" i="53"/>
  <c r="AIV3" i="53"/>
  <c r="KVK3" i="53"/>
  <c r="RXY3" i="53"/>
  <c r="PYY3" i="53"/>
  <c r="IKH3" i="53"/>
  <c r="MQE3" i="53"/>
  <c r="RCA3" i="53"/>
  <c r="DWS3" i="53"/>
  <c r="VAS3" i="53"/>
  <c r="VGX3" i="53"/>
  <c r="IEP3" i="53"/>
  <c r="OKQ3" i="53"/>
  <c r="KXC3" i="53"/>
  <c r="EWJ3" i="53"/>
  <c r="WVU3" i="53"/>
  <c r="QLQ3" i="53"/>
  <c r="BPL3" i="53"/>
  <c r="ARB3" i="53"/>
  <c r="DHT3" i="53"/>
  <c r="C6" i="59"/>
  <c r="R3" i="12"/>
  <c r="QUO3" i="53"/>
  <c r="OSZ3" i="53"/>
  <c r="WTK3" i="53"/>
  <c r="C33" i="59"/>
  <c r="NIZ3" i="53"/>
  <c r="OSK3" i="53"/>
  <c r="MJB3" i="53"/>
  <c r="AKU3" i="53"/>
  <c r="WGZ3" i="53"/>
  <c r="UOC3" i="53"/>
  <c r="LUT3" i="53"/>
  <c r="JWA3" i="53"/>
  <c r="USC3" i="53"/>
  <c r="SAT3" i="53"/>
  <c r="ALU3" i="53"/>
  <c r="LHR3" i="53"/>
  <c r="IU3" i="53"/>
  <c r="TCU3" i="53"/>
  <c r="LOD3" i="53"/>
  <c r="QQS3" i="53"/>
  <c r="TGI3" i="53"/>
  <c r="C19" i="59"/>
  <c r="MDJ3" i="53"/>
  <c r="TBZ3" i="53"/>
  <c r="LMJ3" i="53"/>
  <c r="VFL3" i="53"/>
  <c r="UMR3" i="53"/>
  <c r="UMD3" i="53"/>
  <c r="ILL3" i="53"/>
  <c r="WLG3" i="53"/>
  <c r="REQ3" i="53"/>
  <c r="EJI3" i="53"/>
  <c r="JBH3" i="53"/>
  <c r="OBJ3" i="53"/>
  <c r="IJW3" i="53"/>
  <c r="TKT3" i="53"/>
  <c r="RYT3" i="53"/>
  <c r="JAI3" i="53"/>
  <c r="CQY3" i="53"/>
  <c r="E6" i="31"/>
  <c r="LUF3" i="53"/>
  <c r="UAX3" i="53"/>
  <c r="GRZ3" i="53"/>
  <c r="JTF3" i="53"/>
  <c r="SWP3" i="53"/>
  <c r="FH3" i="53"/>
  <c r="PPR3" i="53"/>
  <c r="JKD3" i="53"/>
  <c r="IHW3" i="53"/>
  <c r="C13" i="4"/>
  <c r="DAI3" i="53"/>
  <c r="CRD3" i="53"/>
  <c r="SFA3" i="53"/>
  <c r="E16" i="4"/>
  <c r="FZH3" i="53"/>
  <c r="PJZ3" i="53"/>
  <c r="HNT3" i="53"/>
  <c r="RPA3" i="53"/>
  <c r="PCJ3" i="53"/>
  <c r="DZT3" i="53"/>
  <c r="WUC3" i="53"/>
  <c r="IHL3" i="53"/>
  <c r="GRX3" i="53"/>
  <c r="UJY3" i="53"/>
  <c r="SA3" i="53"/>
  <c r="UCK3" i="53"/>
  <c r="NOQ3" i="53"/>
  <c r="PVU3" i="53"/>
  <c r="JYM3" i="53"/>
  <c r="FAC3" i="53"/>
  <c r="EYY3" i="53"/>
  <c r="RVH3" i="53"/>
  <c r="SCO3" i="53"/>
  <c r="SBX3" i="53"/>
  <c r="NEJ3" i="53"/>
  <c r="NUG3" i="53"/>
  <c r="VUU3" i="53"/>
  <c r="HOA3" i="53"/>
  <c r="GPY3" i="53"/>
  <c r="TEH3" i="53"/>
  <c r="GSA3" i="53"/>
  <c r="ERW3" i="53"/>
  <c r="VWK3" i="53"/>
  <c r="IOG3" i="53"/>
  <c r="WGC3" i="53"/>
  <c r="SOD3" i="53"/>
  <c r="MXM3" i="53"/>
  <c r="PLH3" i="53"/>
  <c r="AKN3" i="53"/>
  <c r="CQT3" i="53"/>
  <c r="OIH3" i="53"/>
  <c r="HAX3" i="53"/>
  <c r="DZI3" i="53"/>
  <c r="AFG3" i="53"/>
  <c r="NHD3" i="53"/>
  <c r="JKT3" i="53"/>
  <c r="FFR3" i="53"/>
  <c r="FDH3" i="53"/>
  <c r="JWX3" i="53"/>
  <c r="GOA3" i="53"/>
  <c r="ADM3" i="53"/>
  <c r="IPA3" i="53"/>
  <c r="HGE3" i="53"/>
  <c r="BOU3" i="53"/>
  <c r="JVU3" i="53"/>
  <c r="MYF3" i="53"/>
  <c r="RJX3" i="53"/>
  <c r="BFF3" i="53"/>
  <c r="RRH3" i="53"/>
  <c r="B3" i="54"/>
  <c r="NQY3" i="53"/>
  <c r="VHZ3" i="53"/>
  <c r="KCU3" i="53"/>
  <c r="DVT3" i="53"/>
  <c r="SBU3" i="53"/>
  <c r="IVP3" i="53"/>
  <c r="DTV3" i="53"/>
  <c r="UFB3" i="53"/>
  <c r="FOG3" i="53"/>
  <c r="KWZ3" i="53"/>
  <c r="CRQ3" i="53"/>
  <c r="FGN3" i="53"/>
  <c r="SYS3" i="53"/>
  <c r="KTK3" i="53"/>
  <c r="BDC3" i="53"/>
  <c r="QYE3" i="53"/>
  <c r="CCF3" i="53"/>
  <c r="MIC3" i="53"/>
  <c r="CYG3" i="53"/>
  <c r="FNW3" i="53"/>
  <c r="KHU3" i="53"/>
  <c r="RG3" i="53"/>
  <c r="G33" i="40"/>
  <c r="MEA3" i="53"/>
  <c r="G47" i="40"/>
  <c r="IDW3" i="53"/>
  <c r="MOE3" i="53"/>
  <c r="XDS3" i="53"/>
  <c r="MNB3" i="53"/>
  <c r="XBU3" i="53"/>
  <c r="TTY3" i="53"/>
  <c r="FJT3" i="53"/>
  <c r="VOJ3" i="53"/>
  <c r="RAE3" i="53"/>
  <c r="VVD3" i="53"/>
  <c r="SVC3" i="53"/>
  <c r="ERS3" i="53"/>
  <c r="KWK3" i="53"/>
  <c r="JLT3" i="53"/>
  <c r="SOY3" i="53"/>
  <c r="NTL3" i="53"/>
  <c r="CCP3" i="53"/>
  <c r="KUF3" i="53"/>
  <c r="IH3" i="53"/>
  <c r="WAW3" i="53"/>
  <c r="HQR3" i="53"/>
  <c r="EAV3" i="53"/>
  <c r="UI3" i="53"/>
  <c r="CW3" i="53"/>
  <c r="FYP3" i="53"/>
  <c r="HHN3" i="53"/>
  <c r="GEE3" i="53"/>
  <c r="SRK3" i="53"/>
  <c r="EWE3" i="53"/>
  <c r="JEK3" i="53"/>
  <c r="QKX3" i="53"/>
  <c r="EAT3" i="53"/>
  <c r="WCN3" i="53"/>
  <c r="OKK3" i="53"/>
  <c r="KKP3" i="53"/>
  <c r="E3" i="42"/>
  <c r="GOW3" i="53"/>
  <c r="RPQ3" i="53"/>
  <c r="MKP3" i="53"/>
  <c r="LNW3" i="53"/>
  <c r="IRU3" i="53"/>
  <c r="LSB3" i="53"/>
  <c r="IEZ3" i="53"/>
  <c r="ADV3" i="53"/>
  <c r="CHP3" i="53"/>
  <c r="PQW3" i="53"/>
  <c r="SXS3" i="53"/>
  <c r="IHO3" i="53"/>
  <c r="UOL3" i="53"/>
  <c r="C17" i="6"/>
  <c r="SVF3" i="53"/>
  <c r="QLN3" i="53"/>
  <c r="BDK3" i="53"/>
  <c r="TRQ3" i="53"/>
  <c r="KSD3" i="53"/>
  <c r="MAO3" i="53"/>
  <c r="SMC3" i="53"/>
  <c r="DXF3" i="53"/>
  <c r="MDT3" i="53"/>
  <c r="QDM3" i="53"/>
  <c r="BYK3" i="53"/>
  <c r="TLU3" i="53"/>
  <c r="EGI3" i="53"/>
  <c r="PCU3" i="53"/>
  <c r="ASU3" i="53"/>
  <c r="NOA3" i="53"/>
  <c r="EON3" i="53"/>
  <c r="MWG3" i="53"/>
  <c r="TEZ3" i="53"/>
  <c r="ANF3" i="53"/>
  <c r="AYZ3" i="53"/>
  <c r="OTQ3" i="53"/>
  <c r="KNW3" i="53"/>
  <c r="MAX3" i="53"/>
  <c r="LVQ3" i="53"/>
  <c r="SLZ3" i="53"/>
  <c r="FUL3" i="53"/>
  <c r="NTF3" i="53"/>
  <c r="ICZ3" i="53"/>
  <c r="FGQ3" i="53"/>
  <c r="WZY3" i="53"/>
  <c r="ASW3" i="53"/>
  <c r="PA3" i="53"/>
  <c r="BSS3" i="53"/>
  <c r="GEU3" i="53"/>
  <c r="OJC3" i="53"/>
  <c r="NHQ3" i="53"/>
  <c r="RMA3" i="53"/>
  <c r="PJI3" i="53"/>
  <c r="OME3" i="53"/>
  <c r="E18" i="40"/>
  <c r="GUT3" i="53"/>
  <c r="KYY3" i="53"/>
  <c r="FMZ3" i="53"/>
  <c r="JMO3" i="53"/>
  <c r="WPV3" i="53"/>
  <c r="HNZ3" i="53"/>
  <c r="MBA3" i="53"/>
  <c r="OAP3" i="53"/>
  <c r="GWJ3" i="53"/>
  <c r="COM3" i="53"/>
  <c r="QJY3" i="53"/>
  <c r="TDU3" i="53"/>
  <c r="JAR3" i="53"/>
  <c r="GMD3" i="53"/>
  <c r="BZX3" i="53"/>
  <c r="HHS3" i="53"/>
  <c r="QWT3" i="53"/>
  <c r="QJZ3" i="53"/>
  <c r="FC3" i="53"/>
  <c r="XBH3" i="53"/>
  <c r="VQ3" i="53"/>
  <c r="E21" i="4"/>
  <c r="TNZ3" i="53"/>
  <c r="TWN3" i="53"/>
  <c r="HB3" i="53"/>
  <c r="EUA3" i="53"/>
  <c r="DIS3" i="53"/>
  <c r="KSM3" i="53"/>
  <c r="JYA3" i="53"/>
  <c r="HAL3" i="53"/>
  <c r="KCW3" i="53"/>
  <c r="INQ3" i="53"/>
  <c r="NTH3" i="53"/>
  <c r="RGX3" i="53"/>
  <c r="GGF3" i="53"/>
  <c r="FBM3" i="53"/>
  <c r="SMH3" i="53"/>
  <c r="G57" i="40"/>
  <c r="KWL3" i="53"/>
  <c r="FCK3" i="53"/>
  <c r="RXA3" i="53"/>
  <c r="BVW3" i="53"/>
  <c r="MWM3" i="53"/>
  <c r="ISY3" i="53"/>
  <c r="C24" i="4"/>
  <c r="VBD3" i="53"/>
  <c r="CER3" i="53"/>
  <c r="HFM3" i="53"/>
  <c r="OEQ3" i="53"/>
  <c r="RQI3" i="53"/>
  <c r="NB3" i="53"/>
  <c r="EVW3" i="53"/>
  <c r="AQF3" i="53"/>
  <c r="DRU3" i="53"/>
  <c r="MBE3" i="53"/>
  <c r="TZD3" i="53"/>
  <c r="DLY3" i="53"/>
  <c r="C9" i="37"/>
  <c r="TRM3" i="53"/>
  <c r="HUT3" i="53"/>
  <c r="VET3" i="53"/>
  <c r="BKT3" i="53"/>
  <c r="WFU3" i="53"/>
  <c r="TSC3" i="53"/>
  <c r="GQZ3" i="53"/>
  <c r="UFM3" i="53"/>
  <c r="C15" i="4"/>
  <c r="MPK3" i="53"/>
  <c r="ATJ3" i="53"/>
  <c r="BJG3" i="53"/>
  <c r="LHC3" i="53"/>
  <c r="DOQ3" i="53"/>
  <c r="AQD3" i="53"/>
  <c r="FQO3" i="53"/>
  <c r="MDG3" i="53"/>
  <c r="EMZ3" i="53"/>
  <c r="LMN3" i="53"/>
  <c r="UNH3" i="53"/>
  <c r="CRW3" i="53"/>
  <c r="CMZ3" i="53"/>
  <c r="TFE3" i="53"/>
  <c r="WZM3" i="53"/>
  <c r="BHJ3" i="53"/>
  <c r="CUV3" i="53"/>
  <c r="KYX3" i="53"/>
  <c r="SEK3" i="53"/>
  <c r="NDF3" i="53"/>
  <c r="QNE3" i="53"/>
  <c r="AJT3" i="53"/>
  <c r="AUT3" i="53"/>
  <c r="PKV3" i="53"/>
  <c r="DCY3" i="53"/>
  <c r="HRB3" i="53"/>
  <c r="RCW3" i="53"/>
  <c r="CWF3" i="53"/>
  <c r="VLM3" i="53"/>
  <c r="KHM3" i="53"/>
  <c r="GZQ3" i="53"/>
  <c r="CHB3" i="53"/>
  <c r="EJQ3" i="53"/>
  <c r="KRB3" i="53"/>
  <c r="NUW3" i="53"/>
  <c r="C32" i="2"/>
  <c r="EIL3" i="53"/>
  <c r="KPU3" i="53"/>
  <c r="HTP3" i="53"/>
  <c r="KOH3" i="53"/>
  <c r="VYH3" i="53"/>
  <c r="ADI3" i="53"/>
  <c r="RYF3" i="53"/>
  <c r="LWL3" i="53"/>
  <c r="IUH3" i="53"/>
  <c r="NJ3" i="53"/>
  <c r="HCQ3" i="53"/>
  <c r="DJM3" i="53"/>
  <c r="EW3" i="53"/>
  <c r="UPN3" i="53"/>
  <c r="JSW3" i="53"/>
  <c r="JWW3" i="53"/>
  <c r="CXO3" i="53"/>
  <c r="UXG3" i="53"/>
  <c r="DEE3" i="53"/>
  <c r="PQU3" i="53"/>
  <c r="KRC3" i="53"/>
  <c r="K3" i="12"/>
  <c r="IYD3" i="53"/>
  <c r="QTX3" i="53"/>
  <c r="QKV3" i="53"/>
  <c r="GWT3" i="53"/>
  <c r="E45" i="4"/>
  <c r="CJS3" i="53"/>
  <c r="JWV3" i="53"/>
  <c r="GZR3" i="53"/>
  <c r="BHP3" i="53"/>
  <c r="LDW3" i="53"/>
  <c r="CGQ3" i="53"/>
  <c r="OGJ3" i="53"/>
  <c r="JCU3" i="53"/>
  <c r="TOQ3" i="53"/>
  <c r="RWL3" i="53"/>
  <c r="FGX3" i="53"/>
  <c r="JUH3" i="53"/>
  <c r="MFU3" i="53"/>
  <c r="LEN3" i="53"/>
  <c r="E52" i="40"/>
  <c r="SEG3" i="53"/>
  <c r="IQL3" i="53"/>
  <c r="ABZ3" i="53"/>
  <c r="WHR3" i="53"/>
  <c r="JLV3" i="53"/>
  <c r="JQE3" i="53"/>
  <c r="ETE3" i="53"/>
  <c r="AOB3" i="53"/>
  <c r="NTX3" i="53"/>
  <c r="PEK3" i="53"/>
  <c r="QOF3" i="53"/>
  <c r="PXS3" i="53"/>
  <c r="XBM3" i="53"/>
  <c r="GNE3" i="53"/>
  <c r="EK3" i="53"/>
  <c r="GKG3" i="53"/>
  <c r="GSC3" i="53"/>
  <c r="OYM3" i="53"/>
  <c r="XDV3" i="53"/>
  <c r="VUA3" i="53"/>
  <c r="PDV3" i="53"/>
  <c r="JLO3" i="53"/>
  <c r="WAD3" i="53"/>
  <c r="KTY3" i="53"/>
  <c r="TLO3" i="53"/>
  <c r="OQD3" i="53"/>
  <c r="ROW3" i="53"/>
  <c r="HMG3" i="53"/>
  <c r="SIS3" i="53"/>
  <c r="ERY3" i="53"/>
  <c r="SJT3" i="53"/>
  <c r="BHV3" i="53"/>
  <c r="C14" i="3"/>
  <c r="EPS3" i="53"/>
  <c r="ELP3" i="53"/>
  <c r="DZ3" i="53"/>
  <c r="LZU3" i="53"/>
  <c r="C8" i="59"/>
  <c r="C16" i="40"/>
  <c r="E11" i="31"/>
  <c r="CYU3" i="53"/>
  <c r="WXB3" i="53"/>
  <c r="LEH3" i="53"/>
  <c r="TGF3" i="53"/>
  <c r="CE3" i="53"/>
  <c r="CBZ3" i="53"/>
  <c r="QKC3" i="53"/>
  <c r="SQA3" i="53"/>
  <c r="DBX3" i="53"/>
  <c r="NEB3" i="53"/>
  <c r="IVC3" i="53"/>
  <c r="NUQ3" i="53"/>
  <c r="MUJ3" i="53"/>
  <c r="MCZ3" i="53"/>
  <c r="FHY3" i="53"/>
  <c r="WYO3" i="53"/>
  <c r="MXS3" i="53"/>
  <c r="MIP3" i="53"/>
  <c r="XEN3" i="53"/>
  <c r="DEF3" i="53"/>
  <c r="IZY3" i="53"/>
  <c r="HWF3" i="53"/>
  <c r="ADA3" i="53"/>
  <c r="UJS3" i="53"/>
  <c r="NIE3" i="53"/>
  <c r="WL3" i="53"/>
  <c r="FOE3" i="53"/>
  <c r="EUX3" i="53"/>
  <c r="DNN3" i="53"/>
  <c r="WTD3" i="53"/>
  <c r="SYD3" i="53"/>
  <c r="UVG3" i="53"/>
  <c r="BKL3" i="53"/>
  <c r="VKF3" i="53"/>
  <c r="PAV3" i="53"/>
  <c r="QJV3" i="53"/>
  <c r="HKV3" i="53"/>
  <c r="HQO3" i="53"/>
  <c r="FYB3" i="53"/>
  <c r="OLC3" i="53"/>
  <c r="GE3" i="53"/>
  <c r="IDV3" i="53"/>
  <c r="HUI3" i="53"/>
  <c r="QBM3" i="53"/>
  <c r="MGZ3" i="53"/>
  <c r="NNO3" i="53"/>
  <c r="I3" i="46"/>
  <c r="PIM3" i="53"/>
  <c r="ELV3" i="53"/>
  <c r="DYU3" i="53"/>
  <c r="HHG3" i="53"/>
  <c r="DXM3" i="53"/>
  <c r="BDW3" i="53"/>
  <c r="VNL3" i="53"/>
  <c r="OS3" i="53"/>
  <c r="HUC3" i="53"/>
  <c r="TXP3" i="53"/>
  <c r="PO3" i="53"/>
  <c r="GXC3" i="53"/>
  <c r="TKP3" i="53"/>
  <c r="SYC3" i="53"/>
  <c r="AYV3" i="53"/>
  <c r="QIH3" i="53"/>
  <c r="LSK3" i="53"/>
  <c r="REJ3" i="53"/>
  <c r="LNY3" i="53"/>
  <c r="FQ3" i="53"/>
  <c r="UO3" i="53"/>
  <c r="EGA3" i="53"/>
  <c r="GVV3" i="53"/>
  <c r="KAI3" i="53"/>
  <c r="MBJ3" i="53"/>
  <c r="VTE3" i="53"/>
  <c r="AS3" i="53"/>
  <c r="NID3" i="53"/>
  <c r="NYD3" i="53"/>
  <c r="AHM3" i="53"/>
  <c r="E49" i="4"/>
  <c r="BKV3" i="53"/>
  <c r="TXD3" i="53"/>
  <c r="OHK3" i="53"/>
  <c r="LHN3" i="53"/>
  <c r="UHH3" i="53"/>
  <c r="SND3" i="53"/>
  <c r="UTZ3" i="53"/>
  <c r="C18" i="2"/>
  <c r="MGO3" i="53"/>
  <c r="RTQ3" i="53"/>
  <c r="QFD3" i="53"/>
  <c r="VXT3" i="53"/>
  <c r="FW3" i="53"/>
  <c r="GZB3" i="53"/>
  <c r="SQE3" i="53"/>
  <c r="PST3" i="53"/>
  <c r="AOD3" i="53"/>
  <c r="PPP3" i="53"/>
  <c r="OKW3" i="53"/>
  <c r="WYT3" i="53"/>
  <c r="ULU3" i="53"/>
  <c r="DJN3" i="53"/>
  <c r="NGV3" i="53"/>
  <c r="B3" i="19"/>
  <c r="EU3" i="53"/>
  <c r="QOJ3" i="53"/>
  <c r="AMG3" i="53"/>
  <c r="JVP3" i="53"/>
  <c r="PPS3" i="53"/>
  <c r="UMX3" i="53"/>
  <c r="OZK3" i="53"/>
  <c r="RFT3" i="53"/>
  <c r="FMQ3" i="53"/>
  <c r="C44" i="40"/>
  <c r="PCM3" i="53"/>
  <c r="EFC3" i="53"/>
  <c r="TFO3" i="53"/>
  <c r="SJP3" i="53"/>
  <c r="CDP3" i="53"/>
  <c r="GUI3" i="53"/>
  <c r="WUS3" i="53"/>
  <c r="WVB3" i="53"/>
  <c r="KT3" i="53"/>
  <c r="ANU3" i="53"/>
  <c r="HPE3" i="53"/>
  <c r="NVM3" i="53"/>
  <c r="BOE3" i="53"/>
  <c r="CCU3" i="53"/>
  <c r="SHV3" i="53"/>
  <c r="IYA3" i="53"/>
  <c r="E21" i="40"/>
  <c r="C15" i="6"/>
  <c r="SRG3" i="53"/>
  <c r="ODI3" i="53"/>
  <c r="C24" i="53"/>
  <c r="UKM3" i="53"/>
  <c r="RVR3" i="53"/>
  <c r="FRF3" i="53"/>
  <c r="WXH3" i="53"/>
  <c r="IOP3" i="53"/>
  <c r="UOH3" i="53"/>
  <c r="NGA3" i="53"/>
  <c r="EOB3" i="53"/>
  <c r="AWV3" i="53"/>
  <c r="ANX3" i="53"/>
  <c r="BMB3" i="53"/>
  <c r="JEE3" i="53"/>
  <c r="LZV3" i="53"/>
  <c r="RPD3" i="53"/>
  <c r="HZW3" i="53"/>
  <c r="JNJ3" i="53"/>
  <c r="TZR3" i="53"/>
  <c r="MRO3" i="53"/>
  <c r="FBB3" i="53"/>
  <c r="WOI3" i="53"/>
  <c r="NIM3" i="53"/>
  <c r="CGG3" i="53"/>
  <c r="TQT3" i="53"/>
  <c r="MWO3" i="53"/>
  <c r="VJ3" i="53"/>
  <c r="BUI3" i="53"/>
  <c r="EUG3" i="53"/>
  <c r="TO3" i="53"/>
  <c r="LUV3" i="53"/>
  <c r="GU3" i="53"/>
  <c r="AAY3" i="53"/>
  <c r="LBH3" i="53"/>
  <c r="MTM3" i="53"/>
  <c r="VG3" i="53"/>
  <c r="MIF3" i="53"/>
  <c r="FLN3" i="53"/>
  <c r="VHQ3" i="53"/>
  <c r="EHL3" i="53"/>
  <c r="TQP3" i="53"/>
  <c r="MTC3" i="53"/>
  <c r="KPI3" i="53"/>
  <c r="UJI3" i="53"/>
  <c r="GTF3" i="53"/>
  <c r="C55" i="40"/>
  <c r="QNY3" i="53"/>
  <c r="TET3" i="53"/>
  <c r="WQH3" i="53"/>
  <c r="INB3" i="53"/>
  <c r="ZQ3" i="53"/>
  <c r="CIZ3" i="53"/>
  <c r="CYX3" i="53"/>
  <c r="EAM3" i="53"/>
  <c r="C16" i="4"/>
  <c r="JGD3" i="53"/>
  <c r="XDF3" i="53"/>
  <c r="FET3" i="53"/>
  <c r="PNK3" i="53"/>
  <c r="C43" i="4"/>
  <c r="HWW3" i="53"/>
  <c r="NQD3" i="53"/>
  <c r="OIM3" i="53"/>
  <c r="HDH3" i="53"/>
  <c r="QHX3" i="53"/>
  <c r="TOA3" i="53"/>
  <c r="PCW3" i="53"/>
  <c r="SFY3" i="53"/>
  <c r="EME3" i="53"/>
  <c r="KGF3" i="53"/>
  <c r="E3" i="14"/>
  <c r="ANH3" i="53"/>
  <c r="IL3" i="53"/>
  <c r="DKU3" i="53"/>
  <c r="EVU3" i="53"/>
  <c r="SQL3" i="53"/>
  <c r="C18" i="40"/>
  <c r="KQI3" i="53"/>
  <c r="ORT3" i="53"/>
  <c r="HGY3" i="53"/>
  <c r="TSB3" i="53"/>
  <c r="HTR3" i="53"/>
  <c r="SUR3" i="53"/>
  <c r="VSH3" i="53"/>
  <c r="BVU3" i="53"/>
  <c r="KFR3" i="53"/>
  <c r="DOE3" i="53"/>
  <c r="NTP3" i="53"/>
  <c r="TOU3" i="53"/>
  <c r="SBW3" i="53"/>
  <c r="STF3" i="53"/>
  <c r="WHD3" i="53"/>
  <c r="AEM3" i="53"/>
  <c r="KXA3" i="53"/>
  <c r="SPN3" i="53"/>
  <c r="NQ3" i="53"/>
  <c r="SYJ3" i="53"/>
  <c r="OTV3" i="53"/>
  <c r="NWE3" i="53"/>
  <c r="VLG3" i="53"/>
  <c r="HLQ3" i="53"/>
  <c r="KDR3" i="53"/>
  <c r="VPM3" i="53"/>
  <c r="VIN3" i="53"/>
  <c r="GFB3" i="53"/>
  <c r="DKL3" i="53"/>
  <c r="TRU3" i="53"/>
  <c r="FVH3" i="53"/>
  <c r="VQS3" i="53"/>
  <c r="OYL3" i="53"/>
  <c r="LKB3" i="53"/>
  <c r="SKL3" i="53"/>
  <c r="IUO3" i="53"/>
  <c r="KWA3" i="53"/>
  <c r="VMO3" i="53"/>
  <c r="TTD3" i="53"/>
  <c r="COL3" i="53"/>
  <c r="EYC3" i="53"/>
  <c r="BNJ3" i="53"/>
  <c r="OBZ3" i="53"/>
  <c r="EEU3" i="53"/>
  <c r="JBV3" i="53"/>
  <c r="EZM3" i="53"/>
  <c r="IPR3" i="53"/>
  <c r="LAV3" i="53"/>
  <c r="JOE3" i="53"/>
  <c r="WQU3" i="53"/>
  <c r="RCQ3" i="53"/>
  <c r="UPO3" i="53"/>
  <c r="AOV3" i="53"/>
  <c r="KPP3" i="53"/>
  <c r="F3" i="38"/>
  <c r="LFA3" i="53"/>
  <c r="JQT3" i="53"/>
  <c r="TTP3" i="53"/>
  <c r="KSJ3" i="53"/>
  <c r="LTR3" i="53"/>
  <c r="ITS3" i="53"/>
  <c r="RML3" i="53"/>
  <c r="DPS3" i="53"/>
  <c r="TLT3" i="53"/>
  <c r="AOL3" i="53"/>
  <c r="MRU3" i="53"/>
  <c r="AEV3" i="53"/>
  <c r="CGY3" i="53"/>
  <c r="PPX3" i="53"/>
  <c r="LPW3" i="53"/>
  <c r="PPG3" i="53"/>
  <c r="IZB3" i="53"/>
  <c r="AAQ3" i="53"/>
  <c r="ATY3" i="53"/>
  <c r="BTN3" i="53"/>
  <c r="PTZ3" i="53"/>
  <c r="TCZ3" i="53"/>
  <c r="VAP3" i="53"/>
  <c r="JJK3" i="53"/>
  <c r="TFL3" i="53"/>
  <c r="IO3" i="53"/>
  <c r="IEI3" i="53"/>
  <c r="MKN3" i="53"/>
  <c r="C42" i="40"/>
  <c r="TOB3" i="53"/>
  <c r="MOZ3" i="53"/>
  <c r="EWA3" i="53"/>
  <c r="VR3" i="53"/>
  <c r="NU3" i="53"/>
  <c r="GYL3" i="53"/>
  <c r="KNY3" i="53"/>
  <c r="CXD3" i="53"/>
  <c r="IUZ3" i="53"/>
  <c r="GQJ3" i="53"/>
  <c r="UYB3" i="53"/>
  <c r="MBK3" i="53"/>
  <c r="SLY3" i="53"/>
  <c r="UGX3" i="53"/>
  <c r="CV3" i="53"/>
  <c r="E9" i="46"/>
  <c r="VDT3" i="53"/>
  <c r="FPT3" i="53"/>
  <c r="JRG3" i="53"/>
  <c r="NYY3" i="53"/>
  <c r="SKW3" i="53"/>
  <c r="C9" i="59"/>
  <c r="PEA3" i="53"/>
  <c r="NCH3" i="53"/>
  <c r="DGB3" i="53"/>
  <c r="DDT3" i="53"/>
  <c r="CQR3" i="53"/>
  <c r="MRM3" i="53"/>
  <c r="QWP3" i="53"/>
  <c r="PVK3" i="53"/>
  <c r="IUJ3" i="53"/>
  <c r="BBE3" i="53"/>
  <c r="TPA3" i="53"/>
  <c r="IQH3" i="53"/>
  <c r="TCQ3" i="53"/>
  <c r="C41" i="2"/>
  <c r="ESH3" i="53"/>
  <c r="CAK3" i="53"/>
  <c r="HSY3" i="53"/>
  <c r="DBD3" i="53"/>
  <c r="BLC3" i="53"/>
  <c r="PXZ3" i="53"/>
  <c r="KIM3" i="53"/>
  <c r="URH3" i="53"/>
  <c r="QWE3" i="53"/>
  <c r="LVS3" i="53"/>
  <c r="NQX3" i="53"/>
  <c r="ONG3" i="53"/>
  <c r="MPI3" i="53"/>
  <c r="RBL3" i="53"/>
  <c r="KWT3" i="53"/>
  <c r="BBX3" i="53"/>
  <c r="GGZ3" i="53"/>
  <c r="G31" i="40"/>
  <c r="BSM3" i="53"/>
  <c r="ODO3" i="53"/>
  <c r="AYM3" i="53"/>
  <c r="LWM3" i="53"/>
  <c r="RRY3" i="53"/>
  <c r="FFL3" i="53"/>
  <c r="AUY3" i="53"/>
  <c r="MTB3" i="53"/>
  <c r="UMA3" i="53"/>
  <c r="PMR3" i="53"/>
  <c r="ZZ3" i="53"/>
  <c r="INR3" i="53"/>
  <c r="QMD3" i="53"/>
  <c r="NPS3" i="53"/>
  <c r="QZC3" i="53"/>
  <c r="WPB3" i="53"/>
  <c r="LSJ3" i="53"/>
  <c r="NYK3" i="53"/>
  <c r="RYS3" i="53"/>
  <c r="HCF3" i="53"/>
  <c r="FGS3" i="53"/>
  <c r="RVL3" i="53"/>
  <c r="HHD3" i="53"/>
  <c r="KVC3" i="53"/>
  <c r="C36" i="40"/>
  <c r="VKM3" i="53"/>
  <c r="EAJ3" i="53"/>
  <c r="EVB3" i="53"/>
  <c r="GUZ3" i="53"/>
  <c r="HAT3" i="53"/>
  <c r="FR3" i="53"/>
  <c r="JPK3" i="53"/>
  <c r="CKU3" i="53"/>
  <c r="CXB3" i="53"/>
  <c r="WXK3" i="53"/>
  <c r="NHW3" i="53"/>
  <c r="BBU3" i="53"/>
  <c r="CSX3" i="53"/>
  <c r="XEO3" i="53"/>
  <c r="QBI3" i="53"/>
  <c r="CSJ3" i="53"/>
  <c r="EWV3" i="53"/>
  <c r="DMY3" i="53"/>
  <c r="E57" i="40"/>
  <c r="SHI3" i="53"/>
  <c r="PLE3" i="53"/>
  <c r="QST3" i="53"/>
  <c r="BBP3" i="53"/>
  <c r="OUH3" i="53"/>
  <c r="CNU3" i="53"/>
  <c r="FAE3" i="53"/>
  <c r="AWK3" i="53"/>
  <c r="NEX3" i="53"/>
  <c r="PTE3" i="53"/>
  <c r="PXD3" i="53"/>
  <c r="WCD3" i="53"/>
  <c r="WHN3" i="53"/>
  <c r="ROB3" i="53"/>
  <c r="UOE3" i="53"/>
  <c r="TXT3" i="53"/>
  <c r="AOC3" i="53"/>
  <c r="TNX3" i="53"/>
  <c r="BPG3" i="53"/>
  <c r="CXM3" i="53"/>
  <c r="HCD3" i="53"/>
  <c r="ANQ3" i="53"/>
  <c r="JDR3" i="53"/>
  <c r="KGS3" i="53"/>
  <c r="QT3" i="53"/>
  <c r="SRW3" i="53"/>
  <c r="WN3" i="53"/>
  <c r="AIJ3" i="53"/>
  <c r="FGE3" i="53"/>
  <c r="C57" i="40"/>
  <c r="PCC3" i="53"/>
  <c r="TUM3" i="53"/>
  <c r="NUI3" i="53"/>
  <c r="MVD3" i="53"/>
  <c r="EWK3" i="53"/>
  <c r="BTE3" i="53"/>
  <c r="XCN3" i="53"/>
  <c r="CHX3" i="53"/>
  <c r="ULL3" i="53"/>
  <c r="LXG3" i="53"/>
  <c r="QJR3" i="53"/>
  <c r="AEF3" i="53"/>
  <c r="VTG3" i="53"/>
  <c r="OHA3" i="53"/>
  <c r="TQC3" i="53"/>
  <c r="UGF3" i="53"/>
  <c r="VVX3" i="53"/>
  <c r="HAQ3" i="53"/>
  <c r="HZK3" i="53"/>
  <c r="SJQ3" i="53"/>
  <c r="DCJ3" i="53"/>
  <c r="DSJ3" i="53"/>
  <c r="JVQ3" i="53"/>
  <c r="QSD3" i="53"/>
  <c r="HTM3" i="53"/>
  <c r="VZE3" i="53"/>
  <c r="WGP3" i="53"/>
  <c r="RYR3" i="53"/>
  <c r="UBT3" i="53"/>
  <c r="QGN3" i="53"/>
  <c r="LZD3" i="53"/>
  <c r="PCV3" i="53"/>
  <c r="LYM3" i="53"/>
  <c r="HQY3" i="53"/>
  <c r="KHY3" i="53"/>
  <c r="WHJ3" i="53"/>
  <c r="QGZ3" i="53"/>
  <c r="WWY3" i="53"/>
  <c r="QXW3" i="53"/>
  <c r="PEI3" i="53"/>
  <c r="AMI3" i="53"/>
  <c r="MGB3" i="53"/>
  <c r="JTY3" i="53"/>
  <c r="KRD3" i="53"/>
  <c r="PDJ3" i="53"/>
  <c r="WQ3" i="53"/>
  <c r="AVQ3" i="53"/>
  <c r="LVD3" i="53"/>
  <c r="VHH3" i="53"/>
  <c r="EMU3" i="53"/>
  <c r="NCK3" i="53"/>
  <c r="GVE3" i="53"/>
  <c r="JHH3" i="53"/>
  <c r="AIC3" i="53"/>
  <c r="C23" i="6"/>
  <c r="QVB3" i="53"/>
  <c r="CFP3" i="53"/>
  <c r="PSR3" i="53"/>
  <c r="TZF3" i="53"/>
  <c r="C12" i="59"/>
  <c r="SVI3" i="53"/>
  <c r="IYS3" i="53"/>
  <c r="FEE3" i="53"/>
  <c r="FHD3" i="53"/>
  <c r="BJN3" i="53"/>
  <c r="JPP3" i="53"/>
  <c r="PPQ3" i="53"/>
  <c r="DPQ3" i="53"/>
  <c r="NPT3" i="53"/>
  <c r="XFC3" i="53"/>
  <c r="UPG3" i="53"/>
  <c r="E23" i="40"/>
  <c r="VQP3" i="53"/>
  <c r="PMC3" i="53"/>
  <c r="VVT3" i="53"/>
  <c r="WOT3" i="53"/>
  <c r="C11" i="46"/>
  <c r="RQ3" i="53"/>
  <c r="SDU3" i="53"/>
  <c r="HPH3" i="53"/>
  <c r="WUX3" i="53"/>
  <c r="THC3" i="53"/>
  <c r="CNT3" i="53"/>
  <c r="C67" i="53"/>
  <c r="ILW3" i="53"/>
  <c r="KH3" i="53"/>
  <c r="NA3" i="53"/>
  <c r="WOG3" i="53"/>
  <c r="JWO3" i="53"/>
  <c r="VCZ3" i="53"/>
  <c r="TUJ3" i="53"/>
  <c r="AJH3" i="53"/>
  <c r="LRN3" i="53"/>
  <c r="LLD3" i="53"/>
  <c r="BGA3" i="53"/>
  <c r="UZR3" i="53"/>
  <c r="CIA3" i="53"/>
  <c r="SHE3" i="53"/>
  <c r="CYZ3" i="53"/>
  <c r="CH3" i="53"/>
  <c r="LUW3" i="53"/>
  <c r="OIZ3" i="53"/>
  <c r="DUX3" i="53"/>
  <c r="NBD3" i="53"/>
  <c r="II3" i="53"/>
  <c r="TEA3" i="53"/>
  <c r="KGN3" i="53"/>
  <c r="EKI3" i="53"/>
  <c r="RLF3" i="53"/>
  <c r="FKF3" i="53"/>
  <c r="MOP3" i="53"/>
  <c r="GJQ3" i="53"/>
  <c r="EIT3" i="53"/>
  <c r="EWD3" i="53"/>
  <c r="RXT3" i="53"/>
  <c r="RJO3" i="53"/>
  <c r="KN3" i="53"/>
  <c r="UII3" i="53"/>
  <c r="C40" i="53"/>
  <c r="DVX3" i="53"/>
  <c r="BTB3" i="53"/>
  <c r="VUW3" i="53"/>
  <c r="EVV3" i="53"/>
  <c r="DR3" i="53"/>
  <c r="JIO3" i="53"/>
  <c r="DBU3" i="53"/>
  <c r="TOH3" i="53"/>
  <c r="BEF3" i="53"/>
  <c r="EJF3" i="53"/>
  <c r="CKO3" i="53"/>
  <c r="QAC3" i="53"/>
  <c r="SQC3" i="53"/>
  <c r="KHD3" i="53"/>
  <c r="VON3" i="53"/>
  <c r="KVV3" i="53"/>
  <c r="GUN3" i="53"/>
  <c r="OMQ3" i="53"/>
  <c r="QBB3" i="53"/>
  <c r="AZM3" i="53"/>
  <c r="HFF3" i="53"/>
  <c r="FPX3" i="53"/>
  <c r="BMA3" i="53"/>
  <c r="BLK3" i="53"/>
  <c r="NYQ3" i="53"/>
  <c r="PJ3" i="53"/>
  <c r="QFS3" i="53"/>
  <c r="HRM3" i="53"/>
  <c r="IRR3" i="53"/>
  <c r="WBQ3" i="53"/>
  <c r="VLT3" i="53"/>
  <c r="DLN3" i="53"/>
  <c r="G45" i="40"/>
  <c r="SMZ3" i="53"/>
  <c r="DGU3" i="53"/>
  <c r="KWQ3" i="53"/>
  <c r="UWQ3" i="53"/>
  <c r="FMT3" i="53"/>
  <c r="VBX3" i="53"/>
  <c r="KUA3" i="53"/>
  <c r="KHE3" i="53"/>
  <c r="NVH3" i="53"/>
  <c r="QAM3" i="53"/>
  <c r="KNV3" i="53"/>
  <c r="A3" i="52"/>
  <c r="KGP3" i="53"/>
  <c r="UTD3" i="53"/>
  <c r="AEY3" i="53"/>
  <c r="TXJ3" i="53"/>
  <c r="CDU3" i="53"/>
  <c r="PSG3" i="53"/>
  <c r="AW3" i="53"/>
  <c r="NWN3" i="53"/>
  <c r="IAN3" i="53"/>
  <c r="QMC3" i="53"/>
  <c r="DHM3" i="53"/>
  <c r="PHT3" i="53"/>
  <c r="GPD3" i="53"/>
  <c r="VIJ3" i="53"/>
  <c r="F3" i="56"/>
  <c r="NVC3" i="53"/>
  <c r="SHC3" i="53"/>
  <c r="WDO3" i="53"/>
  <c r="SEE3" i="53"/>
  <c r="CKL3" i="53"/>
  <c r="DX3" i="53"/>
  <c r="JOG3" i="53"/>
  <c r="GOR3" i="53"/>
  <c r="QCP3" i="53"/>
  <c r="JRV3" i="53"/>
  <c r="B3" i="12"/>
  <c r="NAQ3" i="53"/>
  <c r="TTG3" i="53"/>
  <c r="VFR3" i="53"/>
  <c r="CXY3" i="53"/>
  <c r="C10" i="37"/>
  <c r="JKG3" i="53"/>
  <c r="BCZ3" i="53"/>
  <c r="SIH3" i="53"/>
  <c r="NVR3" i="53"/>
  <c r="G55" i="40"/>
  <c r="WXT3" i="53"/>
  <c r="EUU3" i="53"/>
  <c r="MXP3" i="53"/>
  <c r="BXT3" i="53"/>
  <c r="NXG3" i="53"/>
  <c r="AXH3" i="53"/>
  <c r="EIS3" i="53"/>
  <c r="RPB3" i="53"/>
  <c r="PHN3" i="53"/>
  <c r="LAR3" i="53"/>
  <c r="WVA3" i="53"/>
  <c r="TKB3" i="53"/>
  <c r="EBS3" i="53"/>
  <c r="UOI3" i="53"/>
  <c r="NLE3" i="53"/>
  <c r="BEZ3" i="53"/>
  <c r="JUU3" i="53"/>
  <c r="NIS3" i="53"/>
  <c r="NGN3" i="53"/>
  <c r="IUW3" i="53"/>
  <c r="IYN3" i="53"/>
  <c r="BYT3" i="53"/>
  <c r="FJ3" i="53"/>
  <c r="YK3" i="53"/>
  <c r="VLA3" i="53"/>
  <c r="WDF3" i="53"/>
  <c r="WLJ3" i="53"/>
  <c r="HES3" i="53"/>
  <c r="NH3" i="53"/>
  <c r="IWH3" i="53"/>
  <c r="FLQ3" i="53"/>
  <c r="DME3" i="53"/>
  <c r="QBQ3" i="53"/>
  <c r="RDY3" i="53"/>
  <c r="SPJ3" i="53"/>
  <c r="ILR3" i="53"/>
  <c r="HCV3" i="53"/>
  <c r="HOO3" i="53"/>
  <c r="CIG3" i="53"/>
  <c r="VRV3" i="53"/>
  <c r="ORE3" i="53"/>
  <c r="DFA3" i="53"/>
  <c r="DHL3" i="53"/>
  <c r="C18" i="59"/>
  <c r="DIM3" i="53"/>
  <c r="EHN3" i="53"/>
  <c r="PGF3" i="53"/>
  <c r="UGZ3" i="53"/>
  <c r="MPF3" i="53"/>
  <c r="AOA3" i="53"/>
  <c r="WJB3" i="53"/>
  <c r="CHU3" i="53"/>
  <c r="GX3" i="53"/>
  <c r="IKL3" i="53"/>
  <c r="FSH3" i="53"/>
  <c r="RZY3" i="53"/>
  <c r="OKR3" i="53"/>
  <c r="KOG3" i="53"/>
  <c r="HLL3" i="53"/>
  <c r="TLD3" i="53"/>
  <c r="LKM3" i="53"/>
  <c r="SYY3" i="53"/>
  <c r="TKF3" i="53"/>
  <c r="NHZ3" i="53"/>
  <c r="FHV3" i="53"/>
  <c r="FIR3" i="53"/>
  <c r="TPG3" i="53"/>
  <c r="BFY3" i="53"/>
  <c r="VA3" i="53"/>
  <c r="WRW3" i="53"/>
  <c r="GEV3" i="53"/>
  <c r="UNW3" i="53"/>
  <c r="OCV3" i="53"/>
  <c r="HCR3" i="53"/>
  <c r="ACU3" i="53"/>
  <c r="NMW3" i="53"/>
  <c r="PTI3" i="53"/>
  <c r="NKF3" i="53"/>
  <c r="OTX3" i="53"/>
  <c r="MYR3" i="53"/>
  <c r="IGT3" i="53"/>
  <c r="FHC3" i="53"/>
  <c r="NI3" i="53"/>
  <c r="AWZ3" i="53"/>
  <c r="SDH3" i="53"/>
  <c r="MDR3" i="53"/>
  <c r="SDV3" i="53"/>
  <c r="RXE3" i="53"/>
  <c r="KYA3" i="53"/>
  <c r="NPC3" i="53"/>
  <c r="UOB3" i="53"/>
  <c r="PIF3" i="53"/>
  <c r="EJD3" i="53"/>
  <c r="VVM3" i="53"/>
  <c r="FMU3" i="53"/>
  <c r="KET3" i="53"/>
  <c r="HVO3" i="53"/>
  <c r="URJ3" i="53"/>
  <c r="MAS3" i="53"/>
  <c r="PLN3" i="53"/>
  <c r="FWX3" i="53"/>
  <c r="H5" i="38"/>
  <c r="NKY3" i="53"/>
  <c r="JDS3" i="53"/>
  <c r="E47" i="40"/>
  <c r="IUP3" i="53"/>
  <c r="FGH3" i="53"/>
  <c r="LFC3" i="53"/>
  <c r="NDZ3" i="53"/>
  <c r="JCT3" i="53"/>
  <c r="WNX3" i="53"/>
  <c r="IEC3" i="53"/>
  <c r="EQB3" i="53"/>
  <c r="KPR3" i="53"/>
  <c r="TFZ3" i="53"/>
  <c r="JYT3" i="53"/>
  <c r="KNT3" i="53"/>
  <c r="CGE3" i="53"/>
  <c r="TCO3" i="53"/>
  <c r="BCF3" i="53"/>
  <c r="KVY3" i="53"/>
  <c r="C39" i="40"/>
  <c r="NBI3" i="53"/>
  <c r="RNE3" i="53"/>
  <c r="MSN3" i="53"/>
  <c r="C26" i="6"/>
  <c r="FAP3" i="53"/>
  <c r="REH3" i="53"/>
  <c r="QGK3" i="53"/>
  <c r="FRB3" i="53"/>
  <c r="IYE3" i="53"/>
  <c r="OHW3" i="53"/>
  <c r="C44" i="53"/>
  <c r="RJL3" i="53"/>
  <c r="ILH3" i="53"/>
  <c r="JC3" i="53"/>
  <c r="QOG3" i="53"/>
  <c r="KBD3" i="53"/>
  <c r="EIB3" i="53"/>
  <c r="QCA3" i="53"/>
  <c r="PDH3" i="53"/>
  <c r="EJB3" i="53"/>
  <c r="VCY3" i="53"/>
  <c r="APR3" i="53"/>
  <c r="VLF3" i="53"/>
  <c r="C26" i="2"/>
  <c r="QEJ3" i="53"/>
  <c r="AEL3" i="53"/>
  <c r="LYP3" i="53"/>
  <c r="JPW3" i="53"/>
  <c r="AZH3" i="53"/>
  <c r="BXB3" i="53"/>
  <c r="VLY3" i="53"/>
  <c r="JZP3" i="53"/>
  <c r="DNS3" i="53"/>
  <c r="ECF3" i="53"/>
  <c r="NDD3" i="53"/>
  <c r="C31" i="6"/>
  <c r="CHW3" i="53"/>
  <c r="E36" i="40"/>
  <c r="RAZ3" i="53"/>
  <c r="KXU3" i="53"/>
  <c r="GIK3" i="53"/>
  <c r="SS3" i="53"/>
  <c r="WMW3" i="53"/>
  <c r="UBP3" i="53"/>
  <c r="DGH3" i="53"/>
  <c r="C17" i="59"/>
  <c r="B3" i="22"/>
  <c r="DOI3" i="53"/>
  <c r="OQT3" i="53"/>
  <c r="CMM3" i="53"/>
  <c r="SGZ3" i="53"/>
  <c r="BQI3" i="53"/>
  <c r="QIO3" i="53"/>
  <c r="CMK3" i="53"/>
  <c r="FXU3" i="53"/>
  <c r="ACA3" i="53"/>
  <c r="MNC3" i="53"/>
  <c r="JDU3" i="53"/>
  <c r="NKZ3" i="53"/>
  <c r="MYH3" i="53"/>
  <c r="JYQ3" i="53"/>
  <c r="SUW3" i="53"/>
  <c r="OHX3" i="53"/>
  <c r="TBO3" i="53"/>
  <c r="PUB3" i="53"/>
  <c r="H3" i="53"/>
  <c r="BYW3" i="53"/>
  <c r="VHB3" i="53"/>
  <c r="IGU3" i="53"/>
  <c r="BBB3" i="53"/>
  <c r="G3" i="54"/>
  <c r="OBS3" i="53"/>
  <c r="DUP3" i="53"/>
  <c r="AQJ3" i="53"/>
  <c r="SDO3" i="53"/>
  <c r="NTU3" i="53"/>
  <c r="RGF3" i="53"/>
  <c r="PCS3" i="53"/>
  <c r="NJB3" i="53"/>
  <c r="OGY3" i="53"/>
  <c r="E19" i="31"/>
  <c r="VOF3" i="53"/>
  <c r="BBG3" i="53"/>
  <c r="QTB3" i="53"/>
  <c r="VZL3" i="53"/>
  <c r="OEJ3" i="53"/>
  <c r="TUC3" i="53"/>
  <c r="DBL3" i="53"/>
  <c r="POP3" i="53"/>
  <c r="C23" i="37"/>
  <c r="WUL3" i="53"/>
  <c r="EUF3" i="53"/>
  <c r="QUX3" i="53"/>
  <c r="BCM3" i="53"/>
  <c r="QUR3" i="53"/>
  <c r="CJI3" i="53"/>
  <c r="EWR3" i="53"/>
  <c r="DRA3" i="53"/>
  <c r="JFU3" i="53"/>
  <c r="QSL3" i="53"/>
  <c r="GVY3" i="53"/>
  <c r="IVQ3" i="53"/>
  <c r="LQA3" i="53"/>
  <c r="BPZ3" i="53"/>
  <c r="FSX3" i="53"/>
  <c r="FNR3" i="53"/>
  <c r="TRO3" i="53"/>
  <c r="HV3" i="53"/>
  <c r="CQ3" i="53"/>
  <c r="FVV3" i="53"/>
  <c r="SPY3" i="53"/>
  <c r="HMO3" i="53"/>
  <c r="IBP3" i="53"/>
  <c r="IIS3" i="53"/>
  <c r="TOR3" i="53"/>
  <c r="JWU3" i="53"/>
  <c r="BFL3" i="53"/>
  <c r="UNJ3" i="53"/>
  <c r="FFP3" i="53"/>
  <c r="GSX3" i="53"/>
  <c r="CSD3" i="53"/>
  <c r="MSI3" i="53"/>
  <c r="HXL3" i="53"/>
  <c r="TGX3" i="53"/>
  <c r="FEJ3" i="53"/>
  <c r="GMO3" i="53"/>
  <c r="NKI3" i="53"/>
  <c r="PTX3" i="53"/>
  <c r="SBH3" i="53"/>
  <c r="KMF3" i="53"/>
  <c r="KDP3" i="53"/>
  <c r="MPP3" i="53"/>
  <c r="CAR3" i="53"/>
  <c r="FWD3" i="53"/>
  <c r="IYB3" i="53"/>
  <c r="UAC3" i="53"/>
  <c r="UHX3" i="53"/>
  <c r="MOX3" i="53"/>
  <c r="JRK3" i="53"/>
  <c r="RSX3" i="53"/>
  <c r="QPZ3" i="53"/>
  <c r="WNF3" i="53"/>
  <c r="FOY3" i="53"/>
  <c r="BST3" i="53"/>
  <c r="TNI3" i="53"/>
  <c r="G49" i="40"/>
  <c r="DYI3" i="53"/>
  <c r="MBN3" i="53"/>
  <c r="WBP3" i="53"/>
  <c r="KIN3" i="53"/>
  <c r="C10" i="59"/>
  <c r="JNW3" i="53"/>
  <c r="HVR3" i="53"/>
  <c r="RVI3" i="53"/>
  <c r="JLF3" i="53"/>
  <c r="E47" i="4"/>
  <c r="VAH3" i="53"/>
  <c r="LEL3" i="53"/>
  <c r="BWU3" i="53"/>
  <c r="MYA3" i="53"/>
  <c r="CPY3" i="53"/>
  <c r="WMY3" i="53"/>
  <c r="AF3" i="53"/>
  <c r="PNI3" i="53"/>
  <c r="QHU3" i="53"/>
  <c r="QUN3" i="53"/>
  <c r="JVE3" i="53"/>
  <c r="UCV3" i="53"/>
  <c r="MMJ3" i="53"/>
  <c r="EEL3" i="53"/>
  <c r="VCK3" i="53"/>
  <c r="QEF3" i="53"/>
  <c r="QU3" i="53"/>
  <c r="LGG3" i="53"/>
  <c r="DRI3" i="53"/>
  <c r="HLE3" i="53"/>
  <c r="FKQ3" i="53"/>
  <c r="ONF3" i="53"/>
  <c r="IXH3" i="53"/>
  <c r="MLD3" i="53"/>
  <c r="KGU3" i="53"/>
  <c r="FWN3" i="53"/>
  <c r="QLY3" i="53"/>
  <c r="NNF3" i="53"/>
  <c r="PSO3" i="53"/>
  <c r="EWN3" i="53"/>
  <c r="LOZ3" i="53"/>
  <c r="NME3" i="53"/>
  <c r="MVN3" i="53"/>
  <c r="G35" i="40"/>
  <c r="RZI3" i="53"/>
  <c r="C24" i="2"/>
  <c r="TNC3" i="53"/>
  <c r="ALQ3" i="53"/>
  <c r="SCZ3" i="53"/>
  <c r="ODZ3" i="53"/>
  <c r="CYY3" i="53"/>
  <c r="CRE3" i="53"/>
  <c r="GWS3" i="53"/>
  <c r="GMX3" i="53"/>
  <c r="GWB3" i="53"/>
  <c r="USB3" i="53"/>
  <c r="RAF3" i="53"/>
  <c r="BGV3" i="53"/>
  <c r="BAV3" i="53"/>
  <c r="MYQ3" i="53"/>
  <c r="JOQ3" i="53"/>
  <c r="CLI3" i="53"/>
  <c r="PLQ3" i="53"/>
  <c r="CZU3" i="53"/>
  <c r="LEY3" i="53"/>
  <c r="HAJ3" i="53"/>
  <c r="JIQ3" i="53"/>
  <c r="EGZ3" i="53"/>
  <c r="FWC3" i="53"/>
  <c r="JRY3" i="53"/>
  <c r="GWF3" i="53"/>
  <c r="JUA3" i="53"/>
  <c r="WC3" i="53"/>
  <c r="EYG3" i="53"/>
  <c r="QEQ3" i="53"/>
  <c r="OFR3" i="53"/>
  <c r="JRS3" i="53"/>
  <c r="GJO3" i="53"/>
  <c r="E55" i="4"/>
  <c r="VFI3" i="53"/>
  <c r="IJ3" i="53"/>
  <c r="HEQ3" i="53"/>
  <c r="DTE3" i="53"/>
  <c r="QSP3" i="53"/>
  <c r="OAA3" i="53"/>
  <c r="PYE3" i="53"/>
  <c r="FVC3" i="53"/>
  <c r="GZN3" i="53"/>
  <c r="TZW3" i="53"/>
  <c r="INN3" i="53"/>
  <c r="IEH3" i="53"/>
  <c r="OIN3" i="53"/>
  <c r="PKL3" i="53"/>
  <c r="NDJ3" i="53"/>
  <c r="C9" i="46"/>
  <c r="ENZ3" i="53"/>
  <c r="PAX3" i="53"/>
  <c r="CZG3" i="53"/>
  <c r="NBB3" i="53"/>
  <c r="UEN3" i="53"/>
  <c r="KVH3" i="53"/>
  <c r="LJB3" i="53"/>
  <c r="LEX3" i="53"/>
  <c r="MLE3" i="53"/>
  <c r="UXA3" i="53"/>
  <c r="KOO3" i="53"/>
  <c r="MQY3" i="53"/>
  <c r="ETJ3" i="53"/>
  <c r="WKD3" i="53"/>
  <c r="RQS3" i="53"/>
  <c r="MGG3" i="53"/>
  <c r="IIG3" i="53"/>
  <c r="C22" i="40"/>
  <c r="JJG3" i="53"/>
  <c r="OYQ3" i="53"/>
  <c r="GIL3" i="53"/>
  <c r="OLY3" i="53"/>
  <c r="RPW3" i="53"/>
  <c r="FQE3" i="53"/>
  <c r="QKT3" i="53"/>
  <c r="PLK3" i="53"/>
  <c r="IWO3" i="53"/>
  <c r="IMF3" i="53"/>
  <c r="JXE3" i="53"/>
  <c r="TYX3" i="53"/>
  <c r="C9" i="2"/>
  <c r="UOP3" i="53"/>
  <c r="QER3" i="53"/>
  <c r="C29" i="59"/>
  <c r="BDO3" i="53"/>
  <c r="FEN3" i="53"/>
  <c r="FQV3" i="53"/>
  <c r="SOA3" i="53"/>
  <c r="VPC3" i="53"/>
  <c r="NUU3" i="53"/>
  <c r="EUY3" i="53"/>
  <c r="BMP3" i="53"/>
  <c r="GEJ3" i="53"/>
  <c r="SBZ3" i="53"/>
  <c r="CGX3" i="53"/>
  <c r="WSM3" i="53"/>
  <c r="FBX3" i="53"/>
  <c r="ETL3" i="53"/>
  <c r="WVH3" i="53"/>
  <c r="ICC3" i="53"/>
  <c r="IHY3" i="53"/>
  <c r="KJV3" i="53"/>
  <c r="C15" i="59"/>
  <c r="OZH3" i="53"/>
  <c r="D3" i="15"/>
  <c r="IUB3" i="53"/>
  <c r="CMJ3" i="53"/>
  <c r="KJI3" i="53"/>
  <c r="OIA3" i="53"/>
  <c r="TGH3" i="53"/>
  <c r="FUK3" i="53"/>
  <c r="NAD3" i="53"/>
  <c r="TWY3" i="53"/>
  <c r="ING3" i="53"/>
  <c r="FE3" i="53"/>
  <c r="MDK3" i="53"/>
  <c r="GTD3" i="53"/>
  <c r="UDG3" i="53"/>
  <c r="NII3" i="53"/>
  <c r="MAY3" i="53"/>
  <c r="RII3" i="53"/>
  <c r="TTS3" i="53"/>
  <c r="QSQ3" i="53"/>
  <c r="JIR3" i="53"/>
  <c r="BXL3" i="53"/>
  <c r="ACS3" i="53"/>
  <c r="C38" i="53"/>
  <c r="OGN3" i="53"/>
  <c r="FHG3" i="53"/>
  <c r="DDQ3" i="53"/>
  <c r="MRE3" i="53"/>
  <c r="NVE3" i="53"/>
  <c r="CCD3" i="53"/>
  <c r="EVD3" i="53"/>
  <c r="C40" i="4"/>
  <c r="TFN3" i="53"/>
  <c r="G3" i="5"/>
  <c r="NGP3" i="53"/>
  <c r="G44" i="40"/>
  <c r="HQG3" i="53"/>
  <c r="C10" i="46"/>
  <c r="H10" i="46" s="1"/>
  <c r="PWQ3" i="53"/>
  <c r="TMS3" i="53"/>
  <c r="TXU3" i="53"/>
  <c r="PVY3" i="53"/>
  <c r="TAK3" i="53"/>
  <c r="ADZ3" i="53"/>
  <c r="EEP3" i="53"/>
  <c r="PIR3" i="53"/>
  <c r="PJS3" i="53"/>
  <c r="JAE3" i="53"/>
  <c r="SZR3" i="53"/>
  <c r="UIF3" i="53"/>
  <c r="AGA3" i="53"/>
  <c r="NVK3" i="53"/>
  <c r="JAD3" i="53"/>
  <c r="SXH3" i="53"/>
  <c r="UFU3" i="53"/>
  <c r="LQN3" i="53"/>
  <c r="SGF3" i="53"/>
  <c r="TAP3" i="53"/>
  <c r="WIT3" i="53"/>
  <c r="PMV3" i="53"/>
  <c r="URV3" i="53"/>
  <c r="E44" i="4"/>
  <c r="RMQ3" i="53"/>
  <c r="TSH3" i="53"/>
  <c r="LDQ3" i="53"/>
  <c r="FP3" i="53"/>
  <c r="CIM3" i="53"/>
  <c r="TDM3" i="53"/>
  <c r="TKR3" i="53"/>
  <c r="TFT3" i="53"/>
  <c r="TBV3" i="53"/>
  <c r="E8" i="46"/>
  <c r="HMK3" i="53"/>
  <c r="AXU3" i="53"/>
  <c r="LGT3" i="53"/>
  <c r="HKT3" i="53"/>
  <c r="DXS3" i="53"/>
  <c r="DIF3" i="53"/>
  <c r="SVQ3" i="53"/>
  <c r="WIG3" i="53"/>
  <c r="KDB3" i="53"/>
  <c r="RLS3" i="53"/>
  <c r="OTI3" i="53"/>
  <c r="OAC3" i="53"/>
  <c r="FLT3" i="53"/>
  <c r="NJS3" i="53"/>
  <c r="NFZ3" i="53"/>
  <c r="MSF3" i="53"/>
  <c r="CIV3" i="53"/>
  <c r="FYS3" i="53"/>
  <c r="WBZ3" i="53"/>
  <c r="KYG3" i="53"/>
  <c r="CJO3" i="53"/>
  <c r="LXD3" i="53"/>
  <c r="TOS3" i="53"/>
  <c r="LJJ3" i="53"/>
  <c r="HEI3" i="53"/>
  <c r="AQQ3" i="53"/>
  <c r="UFX3" i="53"/>
  <c r="E3" i="13"/>
  <c r="PFR3" i="53"/>
  <c r="CSE3" i="53"/>
  <c r="QQG3" i="53"/>
  <c r="QYJ3" i="53"/>
  <c r="RPY3" i="53"/>
  <c r="EGX3" i="53"/>
  <c r="CGM3" i="53"/>
  <c r="E3" i="12"/>
  <c r="LMB3" i="53"/>
  <c r="FYW3" i="53"/>
  <c r="BWZ3" i="53"/>
  <c r="HBR3" i="53"/>
  <c r="UMO3" i="53"/>
  <c r="FPQ3" i="53"/>
  <c r="BHI3" i="53"/>
  <c r="WQV3" i="53"/>
  <c r="AGQ3" i="53"/>
  <c r="SMN3" i="53"/>
  <c r="BYJ3" i="53"/>
  <c r="ALD3" i="53"/>
  <c r="LTU3" i="53"/>
  <c r="UOD3" i="53"/>
  <c r="EN3" i="53"/>
  <c r="MAN3" i="53"/>
  <c r="TRR3" i="53"/>
  <c r="VDC3" i="53"/>
  <c r="IFU3" i="53"/>
  <c r="LND3" i="53"/>
  <c r="HZF3" i="53"/>
  <c r="KQE3" i="53"/>
  <c r="MEG3" i="53"/>
  <c r="PAS3" i="53"/>
  <c r="WKS3" i="53"/>
  <c r="GDU3" i="53"/>
  <c r="MZD3" i="53"/>
  <c r="WIR3" i="53"/>
  <c r="BX3" i="53"/>
  <c r="SHB3" i="53"/>
  <c r="DIB3" i="53"/>
  <c r="MKA3" i="53"/>
  <c r="RDR3" i="53"/>
  <c r="AYR3" i="53"/>
  <c r="QPM3" i="53"/>
  <c r="OXT3" i="53"/>
  <c r="TBR3" i="53"/>
  <c r="INP3" i="53"/>
  <c r="KSU3" i="53"/>
  <c r="WFY3" i="53"/>
  <c r="UIX3" i="53"/>
  <c r="OEW3" i="53"/>
  <c r="TDO3" i="53"/>
  <c r="QHC3" i="53"/>
  <c r="LMC3" i="53"/>
  <c r="ENS3" i="53"/>
  <c r="ZW3" i="53"/>
  <c r="KQU3" i="53"/>
  <c r="QXF3" i="53"/>
  <c r="POQ3" i="53"/>
  <c r="CUC3" i="53"/>
  <c r="KFJ3" i="53"/>
  <c r="AOT3" i="53"/>
  <c r="LXT3" i="53"/>
  <c r="MUY3" i="53"/>
  <c r="IYU3" i="53"/>
  <c r="EXQ3" i="53"/>
  <c r="BOM3" i="53"/>
  <c r="BDI3" i="53"/>
  <c r="QLK3" i="53"/>
  <c r="TFB3" i="53"/>
  <c r="NKU3" i="53"/>
  <c r="DPM3" i="53"/>
  <c r="FTX3" i="53"/>
  <c r="PIZ3" i="53"/>
  <c r="IN3" i="53"/>
  <c r="GLC3" i="53"/>
  <c r="C56" i="4"/>
  <c r="FLV3" i="53"/>
  <c r="QCU3" i="53"/>
  <c r="SSW3" i="53"/>
  <c r="TKY3" i="53"/>
  <c r="TNN3" i="53"/>
  <c r="SOQ3" i="53"/>
  <c r="LVF3" i="53"/>
  <c r="KUY3" i="53"/>
  <c r="FIC3" i="53"/>
  <c r="PAH3" i="53"/>
  <c r="EVR3" i="53"/>
  <c r="LZA3" i="53"/>
  <c r="C16" i="46"/>
  <c r="HAG3" i="53"/>
  <c r="MMV3" i="53"/>
  <c r="BKM3" i="53"/>
  <c r="TKH3" i="53"/>
  <c r="EUQ3" i="53"/>
  <c r="RPF3" i="53"/>
  <c r="DUU3" i="53"/>
  <c r="UYQ3" i="53"/>
  <c r="WSU3" i="53"/>
  <c r="C50" i="4"/>
  <c r="PII3" i="53"/>
  <c r="JPR3" i="53"/>
  <c r="QSE3" i="53"/>
  <c r="KZD3" i="53"/>
  <c r="DPH3" i="53"/>
  <c r="DDK3" i="53"/>
  <c r="DFX3" i="53"/>
  <c r="UUQ3" i="53"/>
  <c r="OJV3" i="53"/>
  <c r="AAI3" i="53"/>
  <c r="GFR3" i="53"/>
  <c r="KNH3" i="53"/>
  <c r="LGA3" i="53"/>
  <c r="RTK3" i="53"/>
  <c r="TIJ3" i="53"/>
  <c r="E5" i="4"/>
  <c r="WTL3" i="53"/>
  <c r="C8" i="4"/>
  <c r="SVW3" i="53"/>
  <c r="MJG3" i="53"/>
  <c r="AYC3" i="53"/>
  <c r="VHN3" i="53"/>
  <c r="KXK3" i="53"/>
  <c r="BNS3" i="53"/>
  <c r="VT3" i="53"/>
  <c r="GRH3" i="53"/>
  <c r="BTS3" i="53"/>
  <c r="OHS3" i="53"/>
  <c r="IUD3" i="53"/>
  <c r="MIX3" i="53"/>
  <c r="MQR3" i="53"/>
  <c r="FBZ3" i="53"/>
  <c r="EQJ3" i="53"/>
  <c r="C45" i="2"/>
  <c r="UYL3" i="53"/>
  <c r="UJT3" i="53"/>
  <c r="BEA3" i="53"/>
  <c r="GFK3" i="53"/>
  <c r="GKQ3" i="53"/>
  <c r="IPP3" i="53"/>
  <c r="BIV3" i="53"/>
  <c r="OFK3" i="53"/>
  <c r="TZJ3" i="53"/>
  <c r="FMG3" i="53"/>
  <c r="OUY3" i="53"/>
  <c r="CVK3" i="53"/>
  <c r="KMY3" i="53"/>
  <c r="ACH3" i="53"/>
  <c r="RSL3" i="53"/>
  <c r="CXP3" i="53"/>
  <c r="CVL3" i="53"/>
  <c r="ZN3" i="53"/>
  <c r="E12" i="40"/>
  <c r="VSO3" i="53"/>
  <c r="BZL3" i="53"/>
  <c r="G3" i="47"/>
  <c r="WJU3" i="53"/>
  <c r="BFK3" i="53"/>
  <c r="CGH3" i="53"/>
  <c r="PPB3" i="53"/>
  <c r="FRL3" i="53"/>
  <c r="VTT3" i="53"/>
  <c r="CFC3" i="53"/>
  <c r="RGS3" i="53"/>
  <c r="C65" i="4"/>
  <c r="MMU3" i="53"/>
  <c r="BOR3" i="53"/>
  <c r="VXH3" i="53"/>
  <c r="WOX3" i="53"/>
  <c r="FVJ3" i="53"/>
  <c r="OBW3" i="53"/>
  <c r="HBQ3" i="53"/>
  <c r="OYN3" i="53"/>
  <c r="DTI3" i="53"/>
  <c r="IAT3" i="53"/>
  <c r="BFU3" i="53"/>
  <c r="UPX3" i="53"/>
  <c r="LFR3" i="53"/>
  <c r="CMD3" i="53"/>
  <c r="BJS3" i="53"/>
  <c r="WEZ3" i="53"/>
  <c r="NEA3" i="53"/>
  <c r="LIO3" i="53"/>
  <c r="BWX3" i="53"/>
  <c r="XBP3" i="53"/>
  <c r="HYU3" i="53"/>
  <c r="KZV3" i="53"/>
  <c r="JCZ3" i="53"/>
  <c r="QQN3" i="53"/>
  <c r="SHJ3" i="53"/>
  <c r="WSR3" i="53"/>
  <c r="I3" i="38"/>
  <c r="LWH3" i="53"/>
  <c r="WJG3" i="53"/>
  <c r="WZ3" i="53"/>
  <c r="PYT3" i="53"/>
  <c r="DWM3" i="53"/>
  <c r="KTX3" i="53"/>
  <c r="SJE3" i="53"/>
  <c r="IRA3" i="53"/>
  <c r="CHY3" i="53"/>
  <c r="ROF3" i="53"/>
  <c r="C5" i="41"/>
  <c r="DUB3" i="53"/>
  <c r="CRF3" i="53"/>
  <c r="LVW3" i="53"/>
  <c r="LUZ3" i="53"/>
  <c r="QCF3" i="53"/>
  <c r="GYZ3" i="53"/>
  <c r="CYV3" i="53"/>
  <c r="SAS3" i="53"/>
  <c r="KCX3" i="53"/>
  <c r="EWC3" i="53"/>
  <c r="ECT3" i="53"/>
  <c r="BAJ3" i="53"/>
  <c r="EEO3" i="53"/>
  <c r="FPR3" i="53"/>
  <c r="JWG3" i="53"/>
  <c r="OJJ3" i="53"/>
  <c r="VYC3" i="53"/>
  <c r="DCZ3" i="53"/>
  <c r="DII3" i="53"/>
  <c r="NXM3" i="53"/>
  <c r="E32" i="40"/>
  <c r="LFH3" i="53"/>
  <c r="BWB3" i="53"/>
  <c r="GXN3" i="53"/>
  <c r="IGS3" i="53"/>
  <c r="C65" i="53"/>
  <c r="HAA3" i="53"/>
  <c r="WAA3" i="53"/>
  <c r="NWD3" i="53"/>
  <c r="GKD3" i="53"/>
  <c r="RMS3" i="53"/>
  <c r="NBN3" i="53"/>
  <c r="VZT3" i="53"/>
  <c r="VCH3" i="53"/>
  <c r="E3" i="50"/>
  <c r="NOR3" i="53"/>
  <c r="BHS3" i="53"/>
  <c r="HXZ3" i="53"/>
  <c r="LEI3" i="53"/>
  <c r="MXT3" i="53"/>
  <c r="QRY3" i="53"/>
  <c r="C50" i="40"/>
  <c r="SER3" i="53"/>
  <c r="HIF3" i="53"/>
  <c r="H3" i="7"/>
  <c r="AFN3" i="53"/>
  <c r="MVO3" i="53"/>
  <c r="IPS3" i="53"/>
  <c r="VOQ3" i="53"/>
  <c r="JBF3" i="53"/>
  <c r="QF3" i="53"/>
  <c r="DIH3" i="53"/>
  <c r="RLC3" i="53"/>
  <c r="LTD3" i="53"/>
  <c r="QWB3" i="53"/>
  <c r="MBT3" i="53"/>
  <c r="UEI3" i="53"/>
  <c r="MZW3" i="53"/>
  <c r="BDX3" i="53"/>
  <c r="GHF3" i="53"/>
  <c r="THJ3" i="53"/>
  <c r="NKJ3" i="53"/>
  <c r="VSC3" i="53"/>
  <c r="GQM3" i="53"/>
  <c r="EHU3" i="53"/>
  <c r="IC3" i="53"/>
  <c r="ASN3" i="53"/>
  <c r="LUY3" i="53"/>
  <c r="JWH3" i="53"/>
  <c r="XDD3" i="53"/>
  <c r="UDV3" i="53"/>
  <c r="OUK3" i="53"/>
  <c r="NTI3" i="53"/>
  <c r="JSQ3" i="53"/>
  <c r="JZS3" i="53"/>
  <c r="MRI3" i="53"/>
  <c r="HWD3" i="53"/>
  <c r="QSO3" i="53"/>
  <c r="PWA3" i="53"/>
  <c r="NMV3" i="53"/>
  <c r="NLL3" i="53"/>
  <c r="BCR3" i="53"/>
  <c r="IKI3" i="53"/>
  <c r="JGC3" i="53"/>
  <c r="ADW3" i="53"/>
  <c r="DWJ3" i="53"/>
  <c r="ELR3" i="53"/>
  <c r="KIU3" i="53"/>
  <c r="EKL3" i="53"/>
  <c r="INF3" i="53"/>
  <c r="PGZ3" i="53"/>
  <c r="HWB3" i="53"/>
  <c r="AWO3" i="53"/>
  <c r="MYJ3" i="53"/>
  <c r="MOA3" i="53"/>
  <c r="JYF3" i="53"/>
  <c r="DVK3" i="53"/>
  <c r="JJL3" i="53"/>
  <c r="VZO3" i="53"/>
  <c r="CTR3" i="53"/>
  <c r="FSO3" i="53"/>
  <c r="CPQ3" i="53"/>
  <c r="AGI3" i="53"/>
  <c r="GXO3" i="53"/>
  <c r="NGC3" i="53"/>
  <c r="MPJ3" i="53"/>
  <c r="MVT3" i="53"/>
  <c r="ELD3" i="53"/>
  <c r="WER3" i="53"/>
  <c r="EXF3" i="53"/>
  <c r="MLH3" i="53"/>
  <c r="CGU3" i="53"/>
  <c r="OBF3" i="53"/>
  <c r="OZY3" i="53"/>
  <c r="BEI3" i="53"/>
  <c r="JMA3" i="53"/>
  <c r="LPR3" i="53"/>
  <c r="AWP3" i="53"/>
  <c r="CQP3" i="53"/>
  <c r="EHY3" i="53"/>
  <c r="OFE3" i="53"/>
  <c r="JNT3" i="53"/>
  <c r="C3" i="42"/>
  <c r="LCJ3" i="53"/>
  <c r="NRB3" i="53"/>
  <c r="BTJ3" i="53"/>
  <c r="NRC3" i="53"/>
  <c r="FUD3" i="53"/>
  <c r="IKP3" i="53"/>
  <c r="HYC3" i="53"/>
  <c r="TVB3" i="53"/>
  <c r="XO3" i="53"/>
  <c r="A3" i="7"/>
  <c r="C9" i="4"/>
  <c r="NOK3" i="53"/>
  <c r="VNC3" i="53"/>
  <c r="AVL3" i="53"/>
  <c r="E39" i="40"/>
  <c r="C29" i="2"/>
  <c r="CWP3" i="53"/>
  <c r="CKH3" i="53"/>
  <c r="SIU3" i="53"/>
  <c r="QGI3" i="53"/>
  <c r="UIS3" i="53"/>
  <c r="NYE3" i="53"/>
  <c r="GQV3" i="53"/>
  <c r="NQR3" i="53"/>
  <c r="GHX3" i="53"/>
  <c r="QPL3" i="53"/>
  <c r="GSL3" i="53"/>
  <c r="IUF3" i="53"/>
  <c r="RGY3" i="53"/>
  <c r="SQY3" i="53"/>
  <c r="APB3" i="53"/>
  <c r="RMF3" i="53"/>
  <c r="GOX3" i="53"/>
  <c r="MR3" i="53"/>
  <c r="PKD3" i="53"/>
  <c r="QAZ3" i="53"/>
  <c r="KQM3" i="53"/>
  <c r="NQP3" i="53"/>
  <c r="PMS3" i="53"/>
  <c r="TSX3" i="53"/>
  <c r="AOK3" i="53"/>
  <c r="PMJ3" i="53"/>
  <c r="JYL3" i="53"/>
  <c r="QCW3" i="53"/>
  <c r="WKF3" i="53"/>
  <c r="EPP3" i="53"/>
  <c r="WCF3" i="53"/>
  <c r="CFY3" i="53"/>
  <c r="GIV3" i="53"/>
  <c r="WRF3" i="53"/>
  <c r="IFT3" i="53"/>
  <c r="BJU3" i="53"/>
  <c r="ISC3" i="53"/>
  <c r="EPB3" i="53"/>
  <c r="NCW3" i="53"/>
  <c r="QOC3" i="53"/>
  <c r="SCI3" i="53"/>
  <c r="RXN3" i="53"/>
  <c r="KEC3" i="53"/>
  <c r="KIX3" i="53"/>
  <c r="NMH3" i="53"/>
  <c r="BPD3" i="53"/>
  <c r="C16" i="2"/>
  <c r="MSR3" i="53"/>
  <c r="KKE3" i="53"/>
  <c r="GLD3" i="53"/>
  <c r="NZJ3" i="53"/>
  <c r="FBK3" i="53"/>
  <c r="FNO3" i="53"/>
  <c r="EMG3" i="53"/>
  <c r="PFH3" i="53"/>
  <c r="ATO3" i="53"/>
  <c r="C5" i="57"/>
  <c r="ALP3" i="53"/>
  <c r="CLT3" i="53"/>
  <c r="CGO3" i="53"/>
  <c r="RWI3" i="53"/>
  <c r="LCQ3" i="53"/>
  <c r="QXO3" i="53"/>
  <c r="SDF3" i="53"/>
  <c r="BPM3" i="53"/>
  <c r="QLD3" i="53"/>
  <c r="WZA3" i="53"/>
  <c r="VCN3" i="53"/>
  <c r="HCE3" i="53"/>
  <c r="OEP3" i="53"/>
  <c r="EZT3" i="53"/>
  <c r="BVL3" i="53"/>
  <c r="NN3" i="53"/>
  <c r="DXA3" i="53"/>
  <c r="WRT3" i="53"/>
  <c r="LAP3" i="53"/>
  <c r="LZQ3" i="53"/>
  <c r="UFP3" i="53"/>
  <c r="WAN3" i="53"/>
  <c r="GWX3" i="53"/>
  <c r="SVB3" i="53"/>
  <c r="RFH3" i="53"/>
  <c r="PZR3" i="53"/>
  <c r="ACK3" i="53"/>
  <c r="SQI3" i="53"/>
  <c r="MAF3" i="53"/>
  <c r="BVB3" i="53"/>
  <c r="KVZ3" i="53"/>
  <c r="TSK3" i="53"/>
  <c r="EKH3" i="53"/>
  <c r="ALW3" i="53"/>
  <c r="RAG3" i="53"/>
  <c r="LLW3" i="53"/>
  <c r="GC3" i="53"/>
  <c r="MHL3" i="53"/>
  <c r="KB3" i="53"/>
  <c r="KWD3" i="53"/>
  <c r="GKU3" i="53"/>
  <c r="QYU3" i="53"/>
  <c r="DMC3" i="53"/>
  <c r="JGR3" i="53"/>
  <c r="PHU3" i="53"/>
  <c r="PCA3" i="53"/>
  <c r="PAG3" i="53"/>
  <c r="SIM3" i="53"/>
  <c r="DEZ3" i="53"/>
  <c r="KTH3" i="53"/>
  <c r="WEV3" i="53"/>
  <c r="QVY3" i="53"/>
  <c r="MXA3" i="53"/>
  <c r="HAB3" i="53"/>
  <c r="QAS3" i="53"/>
  <c r="GMR3" i="53"/>
  <c r="EJ3" i="53"/>
  <c r="UNU3" i="53"/>
  <c r="VOC3" i="53"/>
  <c r="RJF3" i="53"/>
  <c r="HXH3" i="53"/>
  <c r="WTC3" i="53"/>
  <c r="IUQ3" i="53"/>
  <c r="DJL3" i="53"/>
  <c r="NLI3" i="53"/>
  <c r="RMJ3" i="53"/>
  <c r="ATG3" i="53"/>
  <c r="NGU3" i="53"/>
  <c r="URD3" i="53"/>
  <c r="MEB3" i="53"/>
  <c r="WXD3" i="53"/>
  <c r="CAT3" i="53"/>
  <c r="LTS3" i="53"/>
  <c r="BHT3" i="53"/>
  <c r="KSP3" i="53"/>
  <c r="UHL3" i="53"/>
  <c r="C16" i="37"/>
  <c r="VPT3" i="53"/>
  <c r="MSO3" i="53"/>
  <c r="EHK3" i="53"/>
  <c r="C5" i="7"/>
  <c r="WPT3" i="53"/>
  <c r="IWW3" i="53"/>
  <c r="BVC3" i="53"/>
  <c r="WIW3" i="53"/>
  <c r="DNJ3" i="53"/>
  <c r="GKB3" i="53"/>
  <c r="EIR3" i="53"/>
  <c r="E39" i="4"/>
  <c r="IJM3" i="53"/>
  <c r="AWG3" i="53"/>
  <c r="WWD3" i="53"/>
  <c r="LL3" i="53"/>
  <c r="IKQ3" i="53"/>
  <c r="CHN3" i="53"/>
  <c r="DND3" i="53"/>
  <c r="LXZ3" i="53"/>
  <c r="IRE3" i="53"/>
  <c r="TEY3" i="53"/>
  <c r="CZF3" i="53"/>
  <c r="EDD3" i="53"/>
  <c r="KBM3" i="53"/>
  <c r="COX3" i="53"/>
  <c r="PKH3" i="53"/>
  <c r="WQY3" i="53"/>
  <c r="DQC3" i="53"/>
  <c r="DRM3" i="53"/>
  <c r="RVC3" i="53"/>
  <c r="BYC3" i="53"/>
  <c r="C24" i="59"/>
  <c r="FGP3" i="53"/>
  <c r="QUK3" i="53"/>
  <c r="PEP3" i="53"/>
  <c r="JDC3" i="53"/>
  <c r="KCQ3" i="53"/>
  <c r="TCV3" i="53"/>
  <c r="QAK3" i="53"/>
  <c r="AME3" i="53"/>
  <c r="BGJ3" i="53"/>
  <c r="EBZ3" i="53"/>
  <c r="O3" i="12"/>
  <c r="TEW3" i="53"/>
  <c r="KAX3" i="53"/>
  <c r="RYV3" i="53"/>
  <c r="AKM3" i="53"/>
  <c r="JCN3" i="53"/>
  <c r="WRE3" i="53"/>
  <c r="XDO3" i="53"/>
  <c r="SBT3" i="53"/>
  <c r="HGL3" i="53"/>
  <c r="ALS3" i="53"/>
  <c r="CFW3" i="53"/>
  <c r="CGF3" i="53"/>
  <c r="E3" i="37"/>
  <c r="FDR3" i="53"/>
  <c r="BDR3" i="53"/>
  <c r="ONU3" i="53"/>
  <c r="URI3" i="53"/>
  <c r="HVY3" i="53"/>
  <c r="UST3" i="53"/>
  <c r="AWB3" i="53"/>
  <c r="CDF3" i="53"/>
  <c r="IRI3" i="53"/>
  <c r="RAL3" i="53"/>
  <c r="SZQ3" i="53"/>
  <c r="GDO3" i="53"/>
  <c r="C41" i="4"/>
  <c r="QHI3" i="53"/>
  <c r="USH3" i="53"/>
  <c r="JUM3" i="53"/>
  <c r="DUY3" i="53"/>
  <c r="APF3" i="53"/>
  <c r="UY3" i="53"/>
  <c r="RCU3" i="53"/>
  <c r="CTZ3" i="53"/>
  <c r="CCY3" i="53"/>
  <c r="UBL3" i="53"/>
  <c r="NAG3" i="53"/>
  <c r="RQE3" i="53"/>
  <c r="MZZ3" i="53"/>
  <c r="KYK3" i="53"/>
  <c r="PFK3" i="53"/>
  <c r="HSS3" i="53"/>
  <c r="HXR3" i="53"/>
  <c r="WEJ3" i="53"/>
  <c r="HT3" i="53"/>
  <c r="IFG3" i="53"/>
  <c r="HYR3" i="53"/>
  <c r="IMS3" i="53"/>
  <c r="WIY3" i="53"/>
  <c r="AJJ3" i="53"/>
  <c r="BUW3" i="53"/>
  <c r="RJS3" i="53"/>
  <c r="CBH3" i="53"/>
  <c r="JPJ3" i="53"/>
  <c r="ANA3" i="53"/>
  <c r="GKZ3" i="53"/>
  <c r="NRO3" i="53"/>
  <c r="QPC3" i="53"/>
  <c r="FZV3" i="53"/>
  <c r="G5" i="40"/>
  <c r="JOO3" i="53"/>
  <c r="TTA3" i="53"/>
  <c r="DDA3" i="53"/>
  <c r="RAB3" i="53"/>
  <c r="THQ3" i="53"/>
  <c r="HUW3" i="53"/>
  <c r="NBA3" i="53"/>
  <c r="OAT3" i="53"/>
  <c r="WII3" i="53"/>
  <c r="BEN3" i="53"/>
  <c r="MAB3" i="53"/>
  <c r="WW3" i="53"/>
  <c r="WVP3" i="53"/>
  <c r="GAZ3" i="53"/>
  <c r="VPB3" i="53"/>
  <c r="NOJ3" i="53"/>
  <c r="KWI3" i="53"/>
  <c r="W3" i="53"/>
  <c r="HYD3" i="53"/>
  <c r="ICP3" i="53"/>
  <c r="CYW3" i="53"/>
  <c r="MF3" i="53"/>
  <c r="KML3" i="53"/>
  <c r="UD3" i="53"/>
  <c r="QWA3" i="53"/>
  <c r="ALL3" i="53"/>
  <c r="PQE3" i="53"/>
  <c r="FUO3" i="53"/>
  <c r="BZR3" i="53"/>
  <c r="IAL3" i="53"/>
  <c r="ATB3" i="53"/>
  <c r="EVC3" i="53"/>
  <c r="MPG3" i="53"/>
  <c r="GNH3" i="53"/>
  <c r="NIY3" i="53"/>
  <c r="EBB3" i="53"/>
  <c r="CIF3" i="53"/>
  <c r="COQ3" i="53"/>
  <c r="RYH3" i="53"/>
  <c r="PJO3" i="53"/>
  <c r="FFD3" i="53"/>
  <c r="VXX3" i="53"/>
  <c r="LIB3" i="53"/>
  <c r="VEV3" i="53"/>
  <c r="EL3" i="53"/>
  <c r="TUP3" i="53"/>
  <c r="UQZ3" i="53"/>
  <c r="TDJ3" i="53"/>
  <c r="JGS3" i="53"/>
  <c r="PAU3" i="53"/>
  <c r="NKC3" i="53"/>
  <c r="DWR3" i="53"/>
  <c r="PKY3" i="53"/>
  <c r="WBM3" i="53"/>
  <c r="VFM3" i="53"/>
  <c r="NOW3" i="53"/>
  <c r="QKH3" i="53"/>
  <c r="NPO3" i="53"/>
  <c r="VEM3" i="53"/>
  <c r="DXB3" i="53"/>
  <c r="QHN3" i="53"/>
  <c r="HOF3" i="53"/>
  <c r="H3" i="12"/>
  <c r="PSS3" i="53"/>
  <c r="OL3" i="53"/>
  <c r="ICB3" i="53"/>
  <c r="DXV3" i="53"/>
  <c r="LWK3" i="53"/>
  <c r="MJE3" i="53"/>
  <c r="LDZ3" i="53"/>
  <c r="E42" i="4"/>
  <c r="PDT3" i="53"/>
  <c r="STX3" i="53"/>
  <c r="KEX3" i="53"/>
  <c r="COZ3" i="53"/>
  <c r="NSW3" i="53"/>
  <c r="G7" i="40"/>
  <c r="ROV3" i="53"/>
  <c r="DSB3" i="53"/>
  <c r="RWS3" i="53"/>
  <c r="DKP3" i="53"/>
  <c r="QTG3" i="53"/>
  <c r="QQR3" i="53"/>
  <c r="PFW3" i="53"/>
  <c r="PSD3" i="53"/>
  <c r="UTS3" i="53"/>
  <c r="DAA3" i="53"/>
  <c r="UML3" i="53"/>
  <c r="QTV3" i="53"/>
  <c r="CVD3" i="53"/>
  <c r="UFF3" i="53"/>
  <c r="JPD3" i="53"/>
  <c r="GFI3" i="53"/>
  <c r="NNV3" i="53"/>
  <c r="MKW3" i="53"/>
  <c r="UOX3" i="53"/>
  <c r="SW3" i="53"/>
  <c r="IWR3" i="53"/>
  <c r="VZY3" i="53"/>
  <c r="CXG3" i="53"/>
  <c r="MWC3" i="53"/>
  <c r="WYC3" i="53"/>
  <c r="PFA3" i="53"/>
  <c r="COH3" i="53"/>
  <c r="KOI3" i="53"/>
  <c r="BVJ3" i="53"/>
  <c r="WGJ3" i="53"/>
  <c r="BXD3" i="53"/>
  <c r="GQK3" i="53"/>
  <c r="RVB3" i="53"/>
  <c r="QNJ3" i="53"/>
  <c r="VKI3" i="53"/>
  <c r="GFD3" i="53"/>
  <c r="G9" i="40"/>
  <c r="MOV3" i="53"/>
  <c r="EGD3" i="53"/>
  <c r="UER3" i="53"/>
  <c r="VLH3" i="53"/>
  <c r="APU3" i="53"/>
  <c r="PJM3" i="53"/>
  <c r="PXI3" i="53"/>
  <c r="LJU3" i="53"/>
  <c r="HVN3" i="53"/>
  <c r="AWQ3" i="53"/>
  <c r="IQK3" i="53"/>
  <c r="EYS3" i="53"/>
  <c r="VZF3" i="53"/>
  <c r="LHA3" i="53"/>
  <c r="JLB3" i="53"/>
  <c r="NMD3" i="53"/>
  <c r="H3" i="5"/>
  <c r="VQY3" i="53"/>
  <c r="KDQ3" i="53"/>
  <c r="DBA3" i="53"/>
  <c r="FCI3" i="53"/>
  <c r="GLU3" i="53"/>
  <c r="MIU3" i="53"/>
  <c r="HEX3" i="53"/>
  <c r="LGO3" i="53"/>
  <c r="JIV3" i="53"/>
  <c r="LTO3" i="53"/>
  <c r="VMB3" i="53"/>
  <c r="FAT3" i="53"/>
  <c r="DLL3" i="53"/>
  <c r="ODP3" i="53"/>
  <c r="WJQ3" i="53"/>
  <c r="GUD3" i="53"/>
  <c r="DHK3" i="53"/>
  <c r="TVQ3" i="53"/>
  <c r="BVS3" i="53"/>
  <c r="TES3" i="53"/>
  <c r="HGP3" i="53"/>
  <c r="MWS3" i="53"/>
  <c r="RBI3" i="53"/>
  <c r="TTM3" i="53"/>
  <c r="MXB3" i="53"/>
  <c r="NAR3" i="53"/>
  <c r="LX3" i="53"/>
  <c r="A3" i="13"/>
  <c r="RLB3" i="53"/>
  <c r="AFS3" i="53"/>
  <c r="TZH3" i="53"/>
  <c r="IEO3" i="53"/>
  <c r="LKZ3" i="53"/>
  <c r="AHA3" i="53"/>
  <c r="ZI3" i="53"/>
  <c r="GYH3" i="53"/>
  <c r="HMR3" i="53"/>
  <c r="SQJ3" i="53"/>
  <c r="KEF3" i="53"/>
  <c r="APK3" i="53"/>
  <c r="QYK3" i="53"/>
  <c r="LOT3" i="53"/>
  <c r="OUP3" i="53"/>
  <c r="PPN3" i="53"/>
  <c r="UZL3" i="53"/>
  <c r="GZV3" i="53"/>
  <c r="MUL3" i="53"/>
  <c r="KXR3" i="53"/>
  <c r="QJO3" i="53"/>
  <c r="HER3" i="53"/>
  <c r="ULZ3" i="53"/>
  <c r="RFE3" i="53"/>
  <c r="DG3" i="53"/>
  <c r="RRT3" i="53"/>
  <c r="E59" i="4"/>
  <c r="IXJ3" i="53"/>
  <c r="ATD3" i="53"/>
  <c r="EEA3" i="53"/>
  <c r="NWK3" i="53"/>
  <c r="HVX3" i="53"/>
  <c r="EWW3" i="53"/>
  <c r="UCY3" i="53"/>
  <c r="HHB3" i="53"/>
  <c r="DJH3" i="53"/>
  <c r="TFX3" i="53"/>
  <c r="LID3" i="53"/>
  <c r="HQP3" i="53"/>
  <c r="GVW3" i="53"/>
  <c r="LCD3" i="53"/>
  <c r="FVQ3" i="53"/>
  <c r="FKY3" i="53"/>
  <c r="EXK3" i="53"/>
  <c r="PFO3" i="53"/>
  <c r="DNF3" i="53"/>
  <c r="ULO3" i="53"/>
  <c r="DBE3" i="53"/>
  <c r="MGR3" i="53"/>
  <c r="DXC3" i="53"/>
  <c r="RIK3" i="53"/>
  <c r="JLS3" i="53"/>
  <c r="GST3" i="53"/>
  <c r="NAJ3" i="53"/>
  <c r="C28" i="2"/>
  <c r="AKX3" i="53"/>
  <c r="MMW3" i="53"/>
  <c r="SDB3" i="53"/>
  <c r="JUF3" i="53"/>
  <c r="LLU3" i="53"/>
  <c r="EKJ3" i="53"/>
  <c r="AGX3" i="53"/>
  <c r="OHD3" i="53"/>
  <c r="TQB3" i="53"/>
  <c r="GUK3" i="53"/>
  <c r="PLW3" i="53"/>
  <c r="APD3" i="53"/>
  <c r="DL3" i="53"/>
  <c r="PUG3" i="53"/>
  <c r="C52" i="53"/>
  <c r="RHK3" i="53"/>
  <c r="AXP3" i="53"/>
  <c r="BSX3" i="53"/>
  <c r="HPI3" i="53"/>
  <c r="MUC3" i="53"/>
  <c r="GEH3" i="53"/>
  <c r="EPN3" i="53"/>
  <c r="DMJ3" i="53"/>
  <c r="PRE3" i="53"/>
  <c r="SID3" i="53"/>
  <c r="GTE3" i="53"/>
  <c r="EIJ3" i="53"/>
  <c r="E56" i="4"/>
  <c r="C32" i="4"/>
  <c r="AYJ3" i="53"/>
  <c r="RTP3" i="53"/>
  <c r="EAP3" i="53"/>
  <c r="UNI3" i="53"/>
  <c r="MJU3" i="53"/>
  <c r="GYG3" i="53"/>
  <c r="HOH3" i="53"/>
  <c r="CSU3" i="53"/>
  <c r="FKI3" i="53"/>
  <c r="PV3" i="53"/>
  <c r="UYJ3" i="53"/>
  <c r="ILA3" i="53"/>
  <c r="CQZ3" i="53"/>
  <c r="SKJ3" i="53"/>
  <c r="EOU3" i="53"/>
  <c r="MRL3" i="53"/>
  <c r="FVW3" i="53"/>
  <c r="PPT3" i="53"/>
  <c r="JXJ3" i="53"/>
  <c r="AFO3" i="53"/>
  <c r="TIV3" i="53"/>
  <c r="E20" i="40"/>
  <c r="JCP3" i="53"/>
  <c r="APA3" i="53"/>
  <c r="RTS3" i="53"/>
  <c r="JIE3" i="53"/>
  <c r="NVS3" i="53"/>
  <c r="QDQ3" i="53"/>
  <c r="LGN3" i="53"/>
  <c r="JQD3" i="53"/>
  <c r="IOS3" i="53"/>
  <c r="NQN3" i="53"/>
  <c r="IW3" i="53"/>
  <c r="KKF3" i="53"/>
  <c r="OQF3" i="53"/>
  <c r="BVT3" i="53"/>
  <c r="HBM3" i="53"/>
  <c r="HLP3" i="53"/>
  <c r="KBS3" i="53"/>
  <c r="RWA3" i="53"/>
  <c r="RCH3" i="53"/>
  <c r="OCP3" i="53"/>
  <c r="MPY3" i="53"/>
  <c r="RYE3" i="53"/>
  <c r="VTF3" i="53"/>
  <c r="TXE3" i="53"/>
  <c r="WLY3" i="53"/>
  <c r="E38" i="40"/>
  <c r="PLR3" i="53"/>
  <c r="DBY3" i="53"/>
  <c r="QTM3" i="53"/>
  <c r="PKZ3" i="53"/>
  <c r="DLC3" i="53"/>
  <c r="EET3" i="53"/>
  <c r="NCB3" i="53"/>
  <c r="UA3" i="53"/>
  <c r="TTJ3" i="53"/>
  <c r="HKG3" i="53"/>
  <c r="WJW3" i="53"/>
  <c r="TOX3" i="53"/>
  <c r="HUY3" i="53"/>
  <c r="PDQ3" i="53"/>
  <c r="HDN3" i="53"/>
  <c r="HIZ3" i="53"/>
  <c r="GNR3" i="53"/>
  <c r="CHI3" i="53"/>
  <c r="SKN3" i="53"/>
  <c r="DLG3" i="53"/>
  <c r="PNY3" i="53"/>
  <c r="IWS3" i="53"/>
  <c r="KAD3" i="53"/>
  <c r="WYL3" i="53"/>
  <c r="MB3" i="53"/>
  <c r="MCW3" i="53"/>
  <c r="NCQ3" i="53"/>
  <c r="SUZ3" i="53"/>
  <c r="HKN3" i="53"/>
  <c r="RUH3" i="53"/>
  <c r="AIQ3" i="53"/>
  <c r="HHO3" i="53"/>
  <c r="RGV3" i="53"/>
  <c r="KWE3" i="53"/>
  <c r="TYN3" i="53"/>
  <c r="TUE3" i="53"/>
  <c r="QZO3" i="53"/>
  <c r="NAA3" i="53"/>
  <c r="E3" i="2"/>
  <c r="RSE3" i="53"/>
  <c r="RCD3" i="53"/>
  <c r="OBT3" i="53"/>
  <c r="GKC3" i="53"/>
  <c r="BLM3" i="53"/>
  <c r="GHE3" i="53"/>
  <c r="CXQ3" i="53"/>
  <c r="SLS3" i="53"/>
  <c r="NSL3" i="53"/>
  <c r="TEP3" i="53"/>
  <c r="CCV3" i="53"/>
  <c r="NQA3" i="53"/>
  <c r="UPV3" i="53"/>
  <c r="SFQ3" i="53"/>
  <c r="PMB3" i="53"/>
  <c r="AXY3" i="53"/>
  <c r="ADS3" i="53"/>
  <c r="MPA3" i="53"/>
  <c r="BSW3" i="53"/>
  <c r="GKP3" i="53"/>
  <c r="GCU3" i="53"/>
  <c r="UQM3" i="53"/>
  <c r="DDW3" i="53"/>
  <c r="AIP3" i="53"/>
  <c r="VWN3" i="53"/>
  <c r="ROA3" i="53"/>
  <c r="BYU3" i="53"/>
  <c r="JXB3" i="53"/>
  <c r="QYQ3" i="53"/>
  <c r="VTW3" i="53"/>
  <c r="FOQ3" i="53"/>
  <c r="MQK3" i="53"/>
  <c r="DLH3" i="53"/>
  <c r="NJD3" i="53"/>
  <c r="PGV3" i="53"/>
  <c r="GCW3" i="53"/>
  <c r="MUP3" i="53"/>
  <c r="BCT3" i="53"/>
  <c r="KGJ3" i="53"/>
  <c r="SQK3" i="53"/>
  <c r="BAY3" i="53"/>
  <c r="HBP3" i="53"/>
  <c r="Q3" i="53"/>
  <c r="BDA3" i="53"/>
  <c r="JQP3" i="53"/>
  <c r="JQU3" i="53"/>
  <c r="OCA3" i="53"/>
  <c r="MXF3" i="53"/>
  <c r="GJX3" i="53"/>
  <c r="CCS3" i="53"/>
  <c r="DBC3" i="53"/>
  <c r="TGE3" i="53"/>
  <c r="UL3" i="53"/>
  <c r="OPD3" i="53"/>
  <c r="IKO3" i="53"/>
  <c r="C43" i="6"/>
  <c r="EIK3" i="53"/>
  <c r="FXT3" i="53"/>
  <c r="RKK3" i="53"/>
  <c r="LMQ3" i="53"/>
  <c r="OQB3" i="53"/>
  <c r="NSI3" i="53"/>
  <c r="QPY3" i="53"/>
  <c r="FAN3" i="53"/>
  <c r="HVC3" i="53"/>
  <c r="C15" i="46"/>
  <c r="H15" i="46" s="1"/>
  <c r="PVW3" i="53"/>
  <c r="JSO3" i="53"/>
  <c r="E3" i="22"/>
  <c r="QSC3" i="53"/>
  <c r="RFB3" i="53"/>
  <c r="QXQ3" i="53"/>
  <c r="CAP3" i="53"/>
  <c r="CUY3" i="53"/>
  <c r="WLQ3" i="53"/>
  <c r="GPS3" i="53"/>
  <c r="RPU3" i="53"/>
  <c r="NGK3" i="53"/>
  <c r="E36" i="4"/>
  <c r="KHJ3" i="53"/>
  <c r="EZL3" i="53"/>
  <c r="SXL3" i="53"/>
  <c r="BQK3" i="53"/>
  <c r="UWY3" i="53"/>
  <c r="IKU3" i="53"/>
  <c r="E7" i="40"/>
  <c r="EPI3" i="53"/>
  <c r="VBO3" i="53"/>
  <c r="CNP3" i="53"/>
  <c r="MON3" i="53"/>
  <c r="C22" i="37"/>
  <c r="VAB3" i="53"/>
  <c r="FVE3" i="53"/>
  <c r="JEY3" i="53"/>
  <c r="MKI3" i="53"/>
  <c r="UWF3" i="53"/>
  <c r="PDC3" i="53"/>
  <c r="OSW3" i="53"/>
  <c r="JXX3" i="53"/>
  <c r="C34" i="59"/>
  <c r="VQJ3" i="53"/>
  <c r="FVY3" i="53"/>
  <c r="PBW3" i="53"/>
  <c r="DK3" i="53"/>
  <c r="INX3" i="53"/>
  <c r="GEY3" i="53"/>
  <c r="MZ3" i="53"/>
  <c r="LEO3" i="53"/>
  <c r="AKT3" i="53"/>
  <c r="E7" i="31"/>
  <c r="OUM3" i="53"/>
  <c r="NQG3" i="53"/>
  <c r="VEG3" i="53"/>
  <c r="FIH3" i="53"/>
  <c r="PCZ3" i="53"/>
  <c r="IKW3" i="53"/>
  <c r="C32" i="40"/>
  <c r="DYH3" i="53"/>
  <c r="FSV3" i="53"/>
  <c r="LKS3" i="53"/>
  <c r="BMJ3" i="53"/>
  <c r="KBF3" i="53"/>
  <c r="KAL3" i="53"/>
  <c r="LXL3" i="53"/>
  <c r="VPS3" i="53"/>
  <c r="EMT3" i="53"/>
  <c r="FOA3" i="53"/>
  <c r="NRK3" i="53"/>
  <c r="KHI3" i="53"/>
  <c r="BUR3" i="53"/>
  <c r="UXP3" i="53"/>
  <c r="OQZ3" i="53"/>
  <c r="RDV3" i="53"/>
  <c r="C56" i="53"/>
  <c r="BLP3" i="53"/>
  <c r="KYZ3" i="53"/>
  <c r="PPI3" i="53"/>
  <c r="CIU3" i="53"/>
  <c r="QAV3" i="53"/>
  <c r="HDL3" i="53"/>
  <c r="C51" i="53"/>
  <c r="EZA3" i="53"/>
  <c r="TCY3" i="53"/>
  <c r="LAC3" i="53"/>
  <c r="MUB3" i="53"/>
  <c r="DUN3" i="53"/>
  <c r="SDA3" i="53"/>
  <c r="NUV3" i="53"/>
  <c r="KGT3" i="53"/>
  <c r="VBV3" i="53"/>
  <c r="VOZ3" i="53"/>
  <c r="CEG3" i="53"/>
  <c r="UCP3" i="53"/>
  <c r="UXV3" i="53"/>
  <c r="EGT3" i="53"/>
  <c r="TRE3" i="53"/>
  <c r="GTS3" i="53"/>
  <c r="EEG3" i="53"/>
  <c r="JPS3" i="53"/>
  <c r="OXK3" i="53"/>
  <c r="NMK3" i="53"/>
  <c r="GFP3" i="53"/>
  <c r="FOS3" i="53"/>
  <c r="AVW3" i="53"/>
  <c r="MJQ3" i="53"/>
  <c r="DMX3" i="53"/>
  <c r="FSF3" i="53"/>
  <c r="PW3" i="53"/>
  <c r="CTU3" i="53"/>
  <c r="CFE3" i="53"/>
  <c r="MRH3" i="53"/>
  <c r="BNK3" i="53"/>
  <c r="CPR3" i="53"/>
  <c r="PGP3" i="53"/>
  <c r="TGB3" i="53"/>
  <c r="UVT3" i="53"/>
  <c r="QBY3" i="53"/>
  <c r="VYP3" i="53"/>
  <c r="ODJ3" i="53"/>
  <c r="MZY3" i="53"/>
  <c r="JXF3" i="53"/>
  <c r="LCX3" i="53"/>
  <c r="ALA3" i="53"/>
  <c r="OEM3" i="53"/>
  <c r="SVY3" i="53"/>
  <c r="RO3" i="53"/>
  <c r="IOM3" i="53"/>
  <c r="JJJ3" i="53"/>
  <c r="PHM3" i="53"/>
  <c r="JVB3" i="53"/>
  <c r="RDH3" i="53"/>
  <c r="EMK3" i="53"/>
  <c r="QJW3" i="53"/>
  <c r="BQS3" i="53"/>
  <c r="FTO3" i="53"/>
  <c r="NOY3" i="53"/>
  <c r="KAJ3" i="53"/>
  <c r="FSP3" i="53"/>
  <c r="SBO3" i="53"/>
  <c r="UWR3" i="53"/>
  <c r="FPW3" i="53"/>
  <c r="GBR3" i="53"/>
  <c r="WHB3" i="53"/>
  <c r="OWP3" i="53"/>
  <c r="NUT3" i="53"/>
  <c r="NGI3" i="53"/>
  <c r="INZ3" i="53"/>
  <c r="NWL3" i="53"/>
  <c r="MHR3" i="53"/>
  <c r="PCN3" i="53"/>
  <c r="CMB3" i="53"/>
  <c r="ISM3" i="53"/>
  <c r="UGM3" i="53"/>
  <c r="BGF3" i="53"/>
  <c r="CQQ3" i="53"/>
  <c r="ISL3" i="53"/>
  <c r="BJH3" i="53"/>
  <c r="GZK3" i="53"/>
  <c r="CHJ3" i="53"/>
  <c r="TZL3" i="53"/>
  <c r="AIW3" i="53"/>
  <c r="VCI3" i="53"/>
  <c r="SPS3" i="53"/>
  <c r="JMP3" i="53"/>
  <c r="IXR3" i="53"/>
  <c r="CXU3" i="53"/>
  <c r="C51" i="40"/>
  <c r="TZ3" i="53"/>
  <c r="POU3" i="53"/>
  <c r="RAQ3" i="53"/>
  <c r="DIN3" i="53"/>
  <c r="AMA3" i="53"/>
  <c r="PZM3" i="53"/>
  <c r="HIX3" i="53"/>
  <c r="RRQ3" i="53"/>
  <c r="UAT3" i="53"/>
  <c r="NFA3" i="53"/>
  <c r="VJL3" i="53"/>
  <c r="GVM3" i="53"/>
  <c r="C17" i="31"/>
  <c r="GZC3" i="53"/>
  <c r="FSS3" i="53"/>
  <c r="SZT3" i="53"/>
  <c r="WZJ3" i="53"/>
  <c r="KPB3" i="53"/>
  <c r="WWW3" i="53"/>
  <c r="WGF3" i="53"/>
  <c r="CVG3" i="53"/>
  <c r="FVD3" i="53"/>
  <c r="WFT3" i="53"/>
  <c r="LZH3" i="53"/>
  <c r="HAF3" i="53"/>
  <c r="WVF3" i="53"/>
  <c r="FTC3" i="53"/>
  <c r="E10" i="4"/>
  <c r="AWX3" i="53"/>
  <c r="MTD3" i="53"/>
  <c r="FXV3" i="53"/>
  <c r="JZT3" i="53"/>
  <c r="OVU3" i="53"/>
  <c r="UYK3" i="53"/>
  <c r="B3" i="9"/>
  <c r="MYX3" i="53"/>
  <c r="RPX3" i="53"/>
  <c r="EFP3" i="53"/>
  <c r="RMR3" i="53"/>
  <c r="AIK3" i="53"/>
  <c r="FNP3" i="53"/>
  <c r="RMP3" i="53"/>
  <c r="IWQ3" i="53"/>
  <c r="LUG3" i="53"/>
  <c r="KDV3" i="53"/>
  <c r="RPI3" i="53"/>
  <c r="HNH3" i="53"/>
  <c r="IOA3" i="53"/>
  <c r="QQK3" i="53"/>
  <c r="CXK3" i="53"/>
  <c r="VAO3" i="53"/>
  <c r="BY3" i="53"/>
  <c r="KMK3" i="53"/>
  <c r="H3" i="2"/>
  <c r="WEP3" i="53"/>
  <c r="NEC3" i="53"/>
  <c r="MCC3" i="53"/>
  <c r="SZP3" i="53"/>
  <c r="FCY3" i="53"/>
  <c r="ECW3" i="53"/>
  <c r="VRK3" i="53"/>
  <c r="ITL3" i="53"/>
  <c r="FUX3" i="53"/>
  <c r="KAC3" i="53"/>
  <c r="JZM3" i="53"/>
  <c r="C36" i="4"/>
  <c r="JUL3" i="53"/>
  <c r="HWQ3" i="53"/>
  <c r="GTG3" i="53"/>
  <c r="QUL3" i="53"/>
  <c r="FXR3" i="53"/>
  <c r="VPU3" i="53"/>
  <c r="QDW3" i="53"/>
  <c r="BCS3" i="53"/>
  <c r="AWY3" i="53"/>
  <c r="KVF3" i="53"/>
  <c r="BLI3" i="53"/>
  <c r="GPP3" i="53"/>
  <c r="PPE3" i="53"/>
  <c r="OTS3" i="53"/>
  <c r="MMZ3" i="53"/>
  <c r="PVB3" i="53"/>
  <c r="BUY3" i="53"/>
  <c r="TOK3" i="53"/>
  <c r="SGB3" i="53"/>
  <c r="QMZ3" i="53"/>
  <c r="CLU3" i="53"/>
  <c r="LSD3" i="53"/>
  <c r="DBR3" i="53"/>
  <c r="TCI3" i="53"/>
  <c r="ACE3" i="53"/>
  <c r="SFK3" i="53"/>
  <c r="JWR3" i="53"/>
  <c r="C12" i="37"/>
  <c r="DNZ3" i="53"/>
  <c r="UZJ3" i="53"/>
  <c r="VMV3" i="53"/>
  <c r="JBS3" i="53"/>
  <c r="C17" i="2"/>
  <c r="HQD3" i="53"/>
  <c r="VHA3" i="53"/>
  <c r="GAA3" i="53"/>
  <c r="CEV3" i="53"/>
  <c r="E50" i="4"/>
  <c r="ADY3" i="53"/>
  <c r="RHI3" i="53"/>
  <c r="FHT3" i="53"/>
  <c r="SAI3" i="53"/>
  <c r="KYF3" i="53"/>
  <c r="PIG3" i="53"/>
  <c r="NVZ3" i="53"/>
  <c r="CRI3" i="53"/>
  <c r="URS3" i="53"/>
  <c r="BXH3" i="53"/>
  <c r="LUL3" i="53"/>
  <c r="RYQ3" i="53"/>
  <c r="EFW3" i="53"/>
  <c r="IJV3" i="53"/>
  <c r="TUB3" i="53"/>
  <c r="LME3" i="53"/>
  <c r="OHC3" i="53"/>
  <c r="IHX3" i="53"/>
  <c r="SRA3" i="53"/>
  <c r="EYO3" i="53"/>
  <c r="WTJ3" i="53"/>
  <c r="HPR3" i="53"/>
  <c r="IAQ3" i="53"/>
  <c r="NXK3" i="53"/>
  <c r="OYS3" i="53"/>
  <c r="FYC3" i="53"/>
  <c r="QQQ3" i="53"/>
  <c r="OKX3" i="53"/>
  <c r="TEK3" i="53"/>
  <c r="ABI3" i="53"/>
  <c r="LDF3" i="53"/>
  <c r="SAR3" i="53"/>
  <c r="KEZ3" i="53"/>
  <c r="NFI3" i="53"/>
  <c r="C33" i="4"/>
  <c r="BZB3" i="53"/>
  <c r="AHI3" i="53"/>
  <c r="TTT3" i="53"/>
  <c r="FNY3" i="53"/>
  <c r="E8" i="31"/>
  <c r="MJY3" i="53"/>
  <c r="DXX3" i="53"/>
  <c r="HXU3" i="53"/>
  <c r="FPV3" i="53"/>
  <c r="GYJ3" i="53"/>
  <c r="LHM3" i="53"/>
  <c r="LQR3" i="53"/>
  <c r="OHJ3" i="53"/>
  <c r="POJ3" i="53"/>
  <c r="QZH3" i="53"/>
  <c r="CCA3" i="53"/>
  <c r="QRM3" i="53"/>
  <c r="MBC3" i="53"/>
  <c r="MTQ3" i="53"/>
  <c r="IGA3" i="53"/>
  <c r="JHE3" i="53"/>
  <c r="EXR3" i="53"/>
  <c r="TXL3" i="53"/>
  <c r="KLD3" i="53"/>
  <c r="EYD3" i="53"/>
  <c r="HFZ3" i="53"/>
  <c r="HGN3" i="53"/>
  <c r="IMO3" i="53"/>
  <c r="WPJ3" i="53"/>
  <c r="IDM3" i="53"/>
  <c r="SSS3" i="53"/>
  <c r="ARD3" i="53"/>
  <c r="FII3" i="53"/>
  <c r="EHP3" i="53"/>
  <c r="E12" i="31"/>
  <c r="KIE3" i="53"/>
  <c r="RPL3" i="53"/>
  <c r="HWH3" i="53"/>
  <c r="WCE3" i="53"/>
  <c r="VUX3" i="53"/>
  <c r="OEK3" i="53"/>
  <c r="GBJ3" i="53"/>
  <c r="UVO3" i="53"/>
  <c r="EDR3" i="53"/>
  <c r="RIE3" i="53"/>
  <c r="HIT3" i="53"/>
  <c r="JQF3" i="53"/>
  <c r="MXH3" i="53"/>
  <c r="FJB3" i="53"/>
  <c r="CSO3" i="53"/>
  <c r="QC3" i="53"/>
  <c r="VAD3" i="53"/>
  <c r="FPG3" i="53"/>
  <c r="WRG3" i="53"/>
  <c r="JYI3" i="53"/>
  <c r="CDR3" i="53"/>
  <c r="HNM3" i="53"/>
  <c r="QR3" i="53"/>
  <c r="OST3" i="53"/>
  <c r="E5" i="15"/>
  <c r="QLX3" i="53"/>
  <c r="DNR3" i="53"/>
  <c r="QGB3" i="53"/>
  <c r="SWG3" i="53"/>
  <c r="WIF3" i="53"/>
  <c r="IHJ3" i="53"/>
  <c r="KSI3" i="53"/>
  <c r="YV3" i="53"/>
  <c r="GMV3" i="53"/>
  <c r="VGP3" i="53"/>
  <c r="XG3" i="53"/>
  <c r="CFU3" i="53"/>
  <c r="C7" i="46"/>
  <c r="MUV3" i="53"/>
  <c r="FSN3" i="53"/>
  <c r="C22" i="59"/>
  <c r="OPA3" i="53"/>
  <c r="KND3" i="53"/>
  <c r="WQB3" i="53"/>
  <c r="NXR3" i="53"/>
  <c r="WGT3" i="53"/>
  <c r="RBV3" i="53"/>
  <c r="IZF3" i="53"/>
  <c r="HNQ3" i="53"/>
  <c r="JGM3" i="53"/>
  <c r="NEI3" i="53"/>
  <c r="AIU3" i="53"/>
  <c r="NSY3" i="53"/>
  <c r="XAM3" i="53"/>
  <c r="PIQ3" i="53"/>
  <c r="FTV3" i="53"/>
  <c r="CCZ3" i="53"/>
  <c r="FQL3" i="53"/>
  <c r="KUQ3" i="53"/>
  <c r="RV3" i="53"/>
  <c r="CHM3" i="53"/>
  <c r="SUQ3" i="53"/>
  <c r="DIJ3" i="53"/>
  <c r="QJD3" i="53"/>
  <c r="TIT3" i="53"/>
  <c r="GSP3" i="53"/>
  <c r="UFO3" i="53"/>
  <c r="AND3" i="53"/>
  <c r="GON3" i="53"/>
  <c r="OUN3" i="53"/>
  <c r="WPM3" i="53"/>
  <c r="WH3" i="53"/>
  <c r="FJI3" i="53"/>
  <c r="WXI3" i="53"/>
  <c r="TFJ3" i="53"/>
  <c r="E44" i="40"/>
  <c r="IJB3" i="53"/>
  <c r="NRP3" i="53"/>
  <c r="GO3" i="53"/>
  <c r="FK3" i="53"/>
  <c r="SIK3" i="53"/>
  <c r="WXO3" i="53"/>
  <c r="MJF3" i="53"/>
  <c r="CDA3" i="53"/>
  <c r="GIT3" i="53"/>
  <c r="JOD3" i="53"/>
  <c r="BZG3" i="53"/>
  <c r="EBY3" i="53"/>
  <c r="SNB3" i="53"/>
  <c r="QAO3" i="53"/>
  <c r="FQG3" i="53"/>
  <c r="BYM3" i="53"/>
  <c r="ENW3" i="53"/>
  <c r="DEB3" i="53"/>
  <c r="FDO3" i="53"/>
  <c r="IQN3" i="53"/>
  <c r="LVU3" i="53"/>
  <c r="PYS3" i="53"/>
  <c r="NYM3" i="53"/>
  <c r="TWX3" i="53"/>
  <c r="TQD3" i="53"/>
  <c r="RFM3" i="53"/>
  <c r="ABS3" i="53"/>
  <c r="MKK3" i="53"/>
  <c r="AGG3" i="53"/>
  <c r="RGG3" i="53"/>
  <c r="OCB3" i="53"/>
  <c r="RBE3" i="53"/>
  <c r="JEO3" i="53"/>
  <c r="UHO3" i="53"/>
  <c r="EZX3" i="53"/>
  <c r="HYE3" i="53"/>
  <c r="C8" i="28"/>
  <c r="WMC3" i="53"/>
  <c r="HVM3" i="53"/>
  <c r="JLR3" i="53"/>
  <c r="E27" i="4"/>
  <c r="ECM3" i="53"/>
  <c r="VYD3" i="53"/>
  <c r="QGR3" i="53"/>
  <c r="IHT3" i="53"/>
  <c r="EUO3" i="53"/>
  <c r="KQB3" i="53"/>
  <c r="WHK3" i="53"/>
  <c r="SPO3" i="53"/>
  <c r="UBI3" i="53"/>
  <c r="TF3" i="53"/>
  <c r="OGT3" i="53"/>
  <c r="HLT3" i="53"/>
  <c r="LLZ3" i="53"/>
  <c r="ASV3" i="53"/>
  <c r="E24" i="4"/>
  <c r="QZY3" i="53"/>
  <c r="TCC3" i="53"/>
  <c r="UZP3" i="53"/>
  <c r="DNL3" i="53"/>
  <c r="JG3" i="53"/>
  <c r="TMW3" i="53"/>
  <c r="SCE3" i="53"/>
  <c r="QWV3" i="53"/>
  <c r="FSG3" i="53"/>
  <c r="OWW3" i="53"/>
  <c r="NTV3" i="53"/>
  <c r="E38" i="4"/>
  <c r="FIY3" i="53"/>
  <c r="EJU3" i="53"/>
  <c r="AOM3" i="53"/>
  <c r="CDW3" i="53"/>
  <c r="NIF3" i="53"/>
  <c r="GB3" i="53"/>
  <c r="JCE3" i="53"/>
  <c r="FBT3" i="53"/>
  <c r="FTH3" i="53"/>
  <c r="VHG3" i="53"/>
  <c r="VVA3" i="53"/>
  <c r="QUP3" i="53"/>
  <c r="UWB3" i="53"/>
  <c r="HVH3" i="53"/>
  <c r="EVK3" i="53"/>
  <c r="QLU3" i="53"/>
  <c r="BOI3" i="53"/>
  <c r="CHC3" i="53"/>
  <c r="KWU3" i="53"/>
  <c r="KFX3" i="53"/>
  <c r="TLF3" i="53"/>
  <c r="DFE3" i="53"/>
  <c r="PFD3" i="53"/>
  <c r="FLA3" i="53"/>
  <c r="NAV3" i="53"/>
  <c r="WMX3" i="53"/>
  <c r="LUS3" i="53"/>
  <c r="FLZ3" i="53"/>
  <c r="CRH3" i="53"/>
  <c r="HCO3" i="53"/>
  <c r="QDH3" i="53"/>
  <c r="LSG3" i="53"/>
  <c r="OTE3" i="53"/>
  <c r="PIE3" i="53"/>
  <c r="XDI3" i="53"/>
  <c r="FL3" i="53"/>
  <c r="OON3" i="53"/>
  <c r="IFO3" i="53"/>
  <c r="OES3" i="53"/>
  <c r="HCH3" i="53"/>
  <c r="KJF3" i="53"/>
  <c r="CUT3" i="53"/>
  <c r="QWZ3" i="53"/>
  <c r="IKY3" i="53"/>
  <c r="GYI3" i="53"/>
  <c r="NLF3" i="53"/>
  <c r="KZL3" i="53"/>
  <c r="LPD3" i="53"/>
  <c r="ENT3" i="53"/>
  <c r="FID3" i="53"/>
  <c r="SRL3" i="53"/>
  <c r="VWA3" i="53"/>
  <c r="BKE3" i="53"/>
  <c r="XDJ3" i="53"/>
  <c r="FKP3" i="53"/>
  <c r="KLO3" i="53"/>
  <c r="ILX3" i="53"/>
  <c r="UZI3" i="53"/>
  <c r="NIL3" i="53"/>
  <c r="C30" i="6"/>
  <c r="UUT3" i="53"/>
  <c r="SYU3" i="53"/>
  <c r="KFM3" i="53"/>
  <c r="TSP3" i="53"/>
  <c r="JF3" i="53"/>
  <c r="HAE3" i="53"/>
  <c r="GAD3" i="53"/>
  <c r="TMA3" i="53"/>
  <c r="OVX3" i="53"/>
  <c r="KIJ3" i="53"/>
  <c r="C8" i="31"/>
  <c r="MEQ3" i="53"/>
  <c r="VUS3" i="53"/>
  <c r="VTB3" i="53"/>
  <c r="QY3" i="53"/>
  <c r="NRU3" i="53"/>
  <c r="OCM3" i="53"/>
  <c r="DHW3" i="53"/>
  <c r="DBG3" i="53"/>
  <c r="KFC3" i="53"/>
  <c r="BUK3" i="53"/>
  <c r="GET3" i="53"/>
  <c r="ROD3" i="53"/>
  <c r="XD3" i="53"/>
  <c r="GXA3" i="53"/>
  <c r="TCM3" i="53"/>
  <c r="JTE3" i="53"/>
  <c r="GBB3" i="53"/>
  <c r="KOK3" i="53"/>
  <c r="UDY3" i="53"/>
  <c r="KZB3" i="53"/>
  <c r="DDB3" i="53"/>
  <c r="QRW3" i="53"/>
  <c r="JDM3" i="53"/>
  <c r="DYA3" i="53"/>
  <c r="NJZ3" i="53"/>
  <c r="BNX3" i="53"/>
  <c r="UBE3" i="53"/>
  <c r="MNZ3" i="53"/>
  <c r="VXE3" i="53"/>
  <c r="NBO3" i="53"/>
  <c r="IBU3" i="53"/>
  <c r="NDA3" i="53"/>
  <c r="BSD3" i="53"/>
  <c r="MPD3" i="53"/>
  <c r="HNU3" i="53"/>
  <c r="EXE3" i="53"/>
  <c r="NNP3" i="53"/>
  <c r="QYZ3" i="53"/>
  <c r="JGA3" i="53"/>
  <c r="HZU3" i="53"/>
  <c r="ULB3" i="53"/>
  <c r="KHR3" i="53"/>
  <c r="J3" i="12"/>
  <c r="VNI3" i="53"/>
  <c r="UTQ3" i="53"/>
  <c r="BTT3" i="53"/>
  <c r="UOG3" i="53"/>
  <c r="L3" i="2"/>
  <c r="TDT3" i="53"/>
  <c r="MHA3" i="53"/>
  <c r="INT3" i="53"/>
  <c r="NNL3" i="53"/>
  <c r="HWG3" i="53"/>
  <c r="NO3" i="53"/>
  <c r="LOI3" i="53"/>
  <c r="LXE3" i="53"/>
  <c r="NSV3" i="53"/>
  <c r="HKQ3" i="53"/>
  <c r="GZJ3" i="53"/>
  <c r="BUF3" i="53"/>
  <c r="HDD3" i="53"/>
  <c r="KQZ3" i="53"/>
  <c r="KOB3" i="53"/>
  <c r="CQB3" i="53"/>
  <c r="DMG3" i="53"/>
  <c r="GQO3" i="53"/>
  <c r="MGJ3" i="53"/>
  <c r="MGM3" i="53"/>
  <c r="HLW3" i="53"/>
  <c r="VDM3" i="53"/>
  <c r="DFU3" i="53"/>
  <c r="VZS3" i="53"/>
  <c r="OKD3" i="53"/>
  <c r="DDG3" i="53"/>
  <c r="JML3" i="53"/>
  <c r="OYB3" i="53"/>
  <c r="STI3" i="53"/>
  <c r="PWN3" i="53"/>
  <c r="DYG3" i="53"/>
  <c r="DLI3" i="53"/>
  <c r="ED3" i="53"/>
  <c r="NKD3" i="53"/>
  <c r="JKJ3" i="53"/>
  <c r="FIX3" i="53"/>
  <c r="CBM3" i="53"/>
  <c r="BIQ3" i="53"/>
  <c r="VNX3" i="53"/>
  <c r="TG3" i="53"/>
  <c r="SHF3" i="53"/>
  <c r="VLS3" i="53"/>
  <c r="TVR3" i="53"/>
  <c r="QUQ3" i="53"/>
  <c r="MRG3" i="53"/>
  <c r="JNI3" i="53"/>
  <c r="QBU3" i="53"/>
  <c r="PWX3" i="53"/>
  <c r="QVL3" i="53"/>
  <c r="FKS3" i="53"/>
  <c r="C3" i="38"/>
  <c r="NPX3" i="53"/>
  <c r="JVG3" i="53"/>
  <c r="ANK3" i="53"/>
  <c r="DOX3" i="53"/>
  <c r="BBL3" i="53"/>
  <c r="PHO3" i="53"/>
  <c r="KCB3" i="53"/>
  <c r="MDY3" i="53"/>
  <c r="RYJ3" i="53"/>
  <c r="TMP3" i="53"/>
  <c r="IAY3" i="53"/>
  <c r="UKW3" i="53"/>
  <c r="MHH3" i="53"/>
  <c r="C20" i="6"/>
  <c r="ZS3" i="53"/>
  <c r="IDX3" i="53"/>
  <c r="DSX3" i="53"/>
  <c r="RMH3" i="53"/>
  <c r="CKB3" i="53"/>
  <c r="IHH3" i="53"/>
  <c r="FGV3" i="53"/>
  <c r="TDD3" i="53"/>
  <c r="GQH3" i="53"/>
  <c r="NYV3" i="53"/>
  <c r="C27" i="59"/>
  <c r="EGO3" i="53"/>
  <c r="WWP3" i="53"/>
  <c r="RQH3" i="53"/>
  <c r="XBX3" i="53"/>
  <c r="JNA3" i="53"/>
  <c r="COO3" i="53"/>
  <c r="UQR3" i="53"/>
  <c r="WQK3" i="53"/>
  <c r="KDX3" i="53"/>
  <c r="HOG3" i="53"/>
  <c r="QTP3" i="53"/>
  <c r="NOH3" i="53"/>
  <c r="QNI3" i="53"/>
  <c r="RTJ3" i="53"/>
  <c r="PCQ3" i="53"/>
  <c r="BPQ3" i="53"/>
  <c r="DKI3" i="53"/>
  <c r="CCL3" i="53"/>
  <c r="DJU3" i="53"/>
  <c r="FJQ3" i="53"/>
  <c r="CRP3" i="53"/>
  <c r="OCQ3" i="53"/>
  <c r="UIR3" i="53"/>
  <c r="A3" i="38"/>
  <c r="CNG3" i="53"/>
  <c r="FUN3" i="53"/>
  <c r="IOQ3" i="53"/>
  <c r="QJI3" i="53"/>
  <c r="NFU3" i="53"/>
  <c r="ITD3" i="53"/>
  <c r="OYA3" i="53"/>
  <c r="GJK3" i="53"/>
  <c r="IVE3" i="53"/>
  <c r="EGN3" i="53"/>
  <c r="PXV3" i="53"/>
  <c r="TWW3" i="53"/>
  <c r="WRR3" i="53"/>
  <c r="TMZ3" i="53"/>
  <c r="ENF3" i="53"/>
  <c r="SJH3" i="53"/>
  <c r="OYO3" i="53"/>
  <c r="OPV3" i="53"/>
  <c r="D3" i="9"/>
  <c r="B3" i="56"/>
  <c r="KLX3" i="53"/>
  <c r="C45" i="40"/>
  <c r="ITI3" i="53"/>
  <c r="HJG3" i="53"/>
  <c r="FJY3" i="53"/>
  <c r="NFY3" i="53"/>
  <c r="CRX3" i="53"/>
  <c r="KIA3" i="53"/>
  <c r="BEM3" i="53"/>
  <c r="VMP3" i="53"/>
  <c r="DLM3" i="53"/>
  <c r="QGL3" i="53"/>
  <c r="NDP3" i="53"/>
  <c r="KZT3" i="53"/>
  <c r="XBK3" i="53"/>
  <c r="ML3" i="53"/>
  <c r="QFU3" i="53"/>
  <c r="MOD3" i="53"/>
  <c r="BMO3" i="53"/>
  <c r="AFF3" i="53"/>
  <c r="FJU3" i="53"/>
  <c r="LYZ3" i="53"/>
  <c r="HET3" i="53"/>
  <c r="WMM3" i="53"/>
  <c r="E9" i="4"/>
  <c r="LES3" i="53"/>
  <c r="NLN3" i="53"/>
  <c r="OEI3" i="53"/>
  <c r="ILO3" i="53"/>
  <c r="KGQ3" i="53"/>
  <c r="OFU3" i="53"/>
  <c r="DOM3" i="53"/>
  <c r="US3" i="53"/>
  <c r="HHZ3" i="53"/>
  <c r="FFF3" i="53"/>
  <c r="RMM3" i="53"/>
  <c r="EFD3" i="53"/>
  <c r="POI3" i="53"/>
  <c r="PQQ3" i="53"/>
  <c r="RHT3" i="53"/>
  <c r="EPQ3" i="53"/>
  <c r="HGI3" i="53"/>
  <c r="XAQ3" i="53"/>
  <c r="NSB3" i="53"/>
  <c r="QMM3" i="53"/>
  <c r="WTG3" i="53"/>
  <c r="XU3" i="53"/>
  <c r="BQY3" i="53"/>
  <c r="JWQ3" i="53"/>
  <c r="WSX3" i="53"/>
  <c r="HGB3" i="53"/>
  <c r="EGQ3" i="53"/>
  <c r="FAF3" i="53"/>
  <c r="CGR3" i="53"/>
  <c r="RFX3" i="53"/>
  <c r="USZ3" i="53"/>
  <c r="SL3" i="53"/>
  <c r="NRN3" i="53"/>
  <c r="VDK3" i="53"/>
  <c r="DHP3" i="53"/>
  <c r="AHD3" i="53"/>
  <c r="UZ3" i="53"/>
  <c r="IBQ3" i="53"/>
  <c r="PTN3" i="53"/>
  <c r="BEL3" i="53"/>
  <c r="WOF3" i="53"/>
  <c r="HYL3" i="53"/>
  <c r="PVP3" i="53"/>
  <c r="C12" i="4"/>
  <c r="CEL3" i="53"/>
  <c r="WBS3" i="53"/>
  <c r="AEP3" i="53"/>
  <c r="WPU3" i="53"/>
  <c r="CKD3" i="53"/>
  <c r="HXC3" i="53"/>
  <c r="AEN3" i="53"/>
  <c r="PDP3" i="53"/>
  <c r="NMJ3" i="53"/>
  <c r="DVV3" i="53"/>
  <c r="KMV3" i="53"/>
  <c r="EGB3" i="53"/>
  <c r="E62" i="4"/>
  <c r="DJC3" i="53"/>
  <c r="E58" i="40"/>
  <c r="RGM3" i="53"/>
  <c r="IIX3" i="53"/>
  <c r="PQJ3" i="53"/>
  <c r="TI3" i="53"/>
  <c r="EUK3" i="53"/>
  <c r="PZB3" i="53"/>
  <c r="VEB3" i="53"/>
  <c r="SHW3" i="53"/>
  <c r="RPE3" i="53"/>
  <c r="SAX3" i="53"/>
  <c r="SRF3" i="53"/>
  <c r="AVR3" i="53"/>
  <c r="NDW3" i="53"/>
  <c r="LDG3" i="53"/>
  <c r="PAE3" i="53"/>
  <c r="LDR3" i="53"/>
  <c r="EFS3" i="53"/>
  <c r="WCI3" i="53"/>
  <c r="UWS3" i="53"/>
  <c r="CDL3" i="53"/>
  <c r="KZX3" i="53"/>
  <c r="WFQ3" i="53"/>
  <c r="RWM3" i="53"/>
  <c r="GKJ3" i="53"/>
  <c r="POY3" i="53"/>
  <c r="PIA3" i="53"/>
  <c r="BRS3" i="53"/>
  <c r="MVQ3" i="53"/>
  <c r="IQO3" i="53"/>
  <c r="BFA3" i="53"/>
  <c r="REM3" i="53"/>
  <c r="PKB3" i="53"/>
  <c r="LDK3" i="53"/>
  <c r="EIA3" i="53"/>
  <c r="OJP3" i="53"/>
  <c r="MWI3" i="53"/>
  <c r="DJR3" i="53"/>
  <c r="EZY3" i="53"/>
  <c r="UEJ3" i="53"/>
  <c r="PZZ3" i="53"/>
  <c r="ITV3" i="53"/>
  <c r="BIO3" i="53"/>
  <c r="NRX3" i="53"/>
  <c r="B3" i="59"/>
  <c r="CCJ3" i="53"/>
  <c r="KJK3" i="53"/>
  <c r="A3" i="20"/>
  <c r="RDG3" i="53"/>
  <c r="XEH3" i="53"/>
  <c r="RZ3" i="53"/>
  <c r="QYX3" i="53"/>
  <c r="FQP3" i="53"/>
  <c r="JEL3" i="53"/>
  <c r="JDX3" i="53"/>
  <c r="ISG3" i="53"/>
  <c r="JSR3" i="53"/>
  <c r="JKP3" i="53"/>
  <c r="WGN3" i="53"/>
  <c r="OJU3" i="53"/>
  <c r="MGU3" i="53"/>
  <c r="CUK3" i="53"/>
  <c r="SGP3" i="53"/>
  <c r="LHE3" i="53"/>
  <c r="OOO3" i="53"/>
  <c r="ICA3" i="53"/>
  <c r="GKE3" i="53"/>
  <c r="WQX3" i="53"/>
  <c r="VSV3" i="53"/>
  <c r="PWD3" i="53"/>
  <c r="ODT3" i="53"/>
  <c r="OGD3" i="53"/>
  <c r="APL3" i="53"/>
  <c r="UOQ3" i="53"/>
  <c r="GAR3" i="53"/>
  <c r="MCL3" i="53"/>
  <c r="BV3" i="53"/>
  <c r="OFH3" i="53"/>
  <c r="HJO3" i="53"/>
  <c r="ERX3" i="53"/>
  <c r="IMP3" i="53"/>
  <c r="SPC3" i="53"/>
  <c r="BZM3" i="53"/>
  <c r="BF3" i="53"/>
  <c r="MLQ3" i="53"/>
  <c r="FFJ3" i="53"/>
  <c r="TCR3" i="53"/>
  <c r="ES3" i="53"/>
  <c r="JKS3" i="53"/>
  <c r="IHF3" i="53"/>
  <c r="WKX3" i="53"/>
  <c r="KTS3" i="53"/>
  <c r="C61" i="53"/>
  <c r="DSC3" i="53"/>
  <c r="VKA3" i="53"/>
  <c r="WXM3" i="53"/>
  <c r="PDB3" i="53"/>
  <c r="NVY3" i="53"/>
  <c r="UGO3" i="53"/>
  <c r="UR3" i="53"/>
  <c r="HJ3" i="53"/>
  <c r="EWB3" i="53"/>
  <c r="FUI3" i="53"/>
  <c r="VRS3" i="53"/>
  <c r="GSV3" i="53"/>
  <c r="CJZ3" i="53"/>
  <c r="KYO3" i="53"/>
  <c r="LLP3" i="53"/>
  <c r="IIP3" i="53"/>
  <c r="RKQ3" i="53"/>
  <c r="RAS3" i="53"/>
  <c r="AMC3" i="53"/>
  <c r="CDI3" i="53"/>
  <c r="GDQ3" i="53"/>
  <c r="EHE3" i="53"/>
  <c r="VGO3" i="53"/>
  <c r="FYJ3" i="53"/>
  <c r="NPU3" i="53"/>
  <c r="JTH3" i="53"/>
  <c r="GED3" i="53"/>
  <c r="PKS3" i="53"/>
  <c r="KXQ3" i="53"/>
  <c r="THD3" i="53"/>
  <c r="NFO3" i="53"/>
  <c r="CLV3" i="53"/>
  <c r="IJK3" i="53"/>
  <c r="SJC3" i="53"/>
  <c r="DSI3" i="53"/>
  <c r="MII3" i="53"/>
  <c r="AYS3" i="53"/>
  <c r="LRP3" i="53"/>
  <c r="CMI3" i="53"/>
  <c r="LN3" i="53"/>
  <c r="BVI3" i="53"/>
  <c r="OLQ3" i="53"/>
  <c r="OND3" i="53"/>
  <c r="LEB3" i="53"/>
  <c r="VFC3" i="53"/>
  <c r="TIF3" i="53"/>
  <c r="GDK3" i="53"/>
  <c r="IRG3" i="53"/>
  <c r="MHU3" i="53"/>
  <c r="IV3" i="53"/>
  <c r="QW3" i="53"/>
  <c r="OGL3" i="53"/>
  <c r="FCA3" i="53"/>
  <c r="OOQ3" i="53"/>
  <c r="MMS3" i="53"/>
  <c r="RWG3" i="53"/>
  <c r="FAI3" i="53"/>
  <c r="UAY3" i="53"/>
  <c r="UBZ3" i="53"/>
  <c r="SXY3" i="53"/>
  <c r="OAF3" i="53"/>
  <c r="WYZ3" i="53"/>
  <c r="VME3" i="53"/>
  <c r="SNS3" i="53"/>
  <c r="OSL3" i="53"/>
  <c r="AUB3" i="53"/>
  <c r="C7" i="3"/>
  <c r="JIS3" i="53"/>
  <c r="DFL3" i="53"/>
  <c r="CHE3" i="53"/>
  <c r="TVT3" i="53"/>
  <c r="FJE3" i="53"/>
  <c r="JPV3" i="53"/>
  <c r="GLA3" i="53"/>
  <c r="VNM3" i="53"/>
  <c r="DVR3" i="53"/>
  <c r="NER3" i="53"/>
  <c r="QXR3" i="53"/>
  <c r="KRY3" i="53"/>
  <c r="ALH3" i="53"/>
  <c r="RNV3" i="53"/>
  <c r="JGY3" i="53"/>
  <c r="SXE3" i="53"/>
  <c r="PIT3" i="53"/>
  <c r="CYA3" i="53"/>
  <c r="UAQ3" i="53"/>
  <c r="DOR3" i="53"/>
  <c r="SZO3" i="53"/>
  <c r="PCO3" i="53"/>
  <c r="WUT3" i="53"/>
  <c r="EDS3" i="53"/>
  <c r="JTB3" i="53"/>
  <c r="C7" i="28"/>
  <c r="NJX3" i="53"/>
  <c r="AZP3" i="53"/>
  <c r="UNZ3" i="53"/>
  <c r="SJB3" i="53"/>
  <c r="VYG3" i="53"/>
  <c r="TMN3" i="53"/>
  <c r="PMN3" i="53"/>
  <c r="MNT3" i="53"/>
  <c r="WKA3" i="53"/>
  <c r="AVK3" i="53"/>
  <c r="RYI3" i="53"/>
  <c r="UVL3" i="53"/>
  <c r="SUC3" i="53"/>
  <c r="RPV3" i="53"/>
  <c r="JRJ3" i="53"/>
  <c r="UFK3" i="53"/>
  <c r="JYZ3" i="53"/>
  <c r="JSD3" i="53"/>
  <c r="QLE3" i="53"/>
  <c r="BWI3" i="53"/>
  <c r="COD3" i="53"/>
  <c r="DUV3" i="53"/>
  <c r="TXX3" i="53"/>
  <c r="FNS3" i="53"/>
  <c r="NTY3" i="53"/>
  <c r="POL3" i="53"/>
  <c r="CHS3" i="53"/>
  <c r="NFF3" i="53"/>
  <c r="BJD3" i="53"/>
  <c r="HCX3" i="53"/>
  <c r="LJR3" i="53"/>
  <c r="QNS3" i="53"/>
  <c r="KWX3" i="53"/>
  <c r="GVN3" i="53"/>
  <c r="CPM3" i="53"/>
  <c r="HNI3" i="53"/>
  <c r="DZN3" i="53"/>
  <c r="VGH3" i="53"/>
  <c r="EFH3" i="53"/>
  <c r="MMM3" i="53"/>
  <c r="VZU3" i="53"/>
  <c r="FBF3" i="53"/>
  <c r="HMW3" i="53"/>
  <c r="KLC3" i="53"/>
  <c r="OB3" i="53"/>
  <c r="UCG3" i="53"/>
  <c r="QA3" i="53"/>
  <c r="FWF3" i="53"/>
  <c r="VBT3" i="53"/>
  <c r="BZD3" i="53"/>
  <c r="D3" i="41"/>
  <c r="RVF3" i="53"/>
  <c r="PCX3" i="53"/>
  <c r="ATQ3" i="53"/>
  <c r="UNT3" i="53"/>
  <c r="BMH3" i="53"/>
  <c r="EHX3" i="53"/>
  <c r="CWL3" i="53"/>
  <c r="CVA3" i="53"/>
  <c r="RBA3" i="53"/>
  <c r="JVK3" i="53"/>
  <c r="IYZ3" i="53"/>
  <c r="IAM3" i="53"/>
  <c r="WDR3" i="53"/>
  <c r="CTM3" i="53"/>
  <c r="AOR3" i="53"/>
  <c r="KEH3" i="53"/>
  <c r="ODE3" i="53"/>
  <c r="SQW3" i="53"/>
  <c r="C13" i="46"/>
  <c r="H13" i="46" s="1"/>
  <c r="TUV3" i="53"/>
  <c r="TUW3" i="53"/>
  <c r="TOL3" i="53"/>
  <c r="C23" i="40"/>
  <c r="FM3" i="53"/>
  <c r="NYN3" i="53"/>
  <c r="ICV3" i="53"/>
  <c r="QUA3" i="53"/>
  <c r="OBR3" i="53"/>
  <c r="IXP3" i="53"/>
  <c r="SAM3" i="53"/>
  <c r="WA3" i="53"/>
  <c r="WDA3" i="53"/>
  <c r="PGG3" i="53"/>
  <c r="PHP3" i="53"/>
  <c r="AQE3" i="53"/>
  <c r="JYK3" i="53"/>
  <c r="CLC3" i="53"/>
  <c r="UJF3" i="53"/>
  <c r="PAJ3" i="53"/>
  <c r="VOO3" i="53"/>
  <c r="NNI3" i="53"/>
  <c r="GMZ3" i="53"/>
  <c r="IRW3" i="53"/>
  <c r="BKJ3" i="53"/>
  <c r="FLW3" i="53"/>
  <c r="ONX3" i="53"/>
  <c r="DMT3" i="53"/>
  <c r="NLR3" i="53"/>
  <c r="VDS3" i="53"/>
  <c r="AZ3" i="53"/>
  <c r="FWU3" i="53"/>
  <c r="ISS3" i="53"/>
  <c r="RLJ3" i="53"/>
  <c r="OWA3" i="53"/>
  <c r="PQT3" i="53"/>
  <c r="SVJ3" i="53"/>
  <c r="OF3" i="53"/>
  <c r="RSD3" i="53"/>
  <c r="HEU3" i="53"/>
  <c r="RYX3" i="53"/>
  <c r="MKD3" i="53"/>
  <c r="VQG3" i="53"/>
  <c r="NZP3" i="53"/>
  <c r="PFY3" i="53"/>
  <c r="EYT3" i="53"/>
  <c r="XBC3" i="53"/>
  <c r="DEV3" i="53"/>
  <c r="NXP3" i="53"/>
  <c r="MGN3" i="53"/>
  <c r="LIG3" i="53"/>
  <c r="WBY3" i="53"/>
  <c r="NRS3" i="53"/>
  <c r="LCY3" i="53"/>
  <c r="SYL3" i="53"/>
  <c r="D3" i="53"/>
  <c r="PHW3" i="53"/>
  <c r="OBK3" i="53"/>
  <c r="ASX3" i="53"/>
  <c r="TVM3" i="53"/>
  <c r="DKC3" i="53"/>
  <c r="QTC3" i="53"/>
  <c r="JP3" i="53"/>
  <c r="DXG3" i="53"/>
  <c r="VSW3" i="53"/>
  <c r="BFI3" i="53"/>
  <c r="KEM3" i="53"/>
  <c r="A3" i="2"/>
  <c r="DVP3" i="53"/>
  <c r="LLK3" i="53"/>
  <c r="M3" i="53"/>
  <c r="NJR3" i="53"/>
  <c r="RBY3" i="53"/>
  <c r="PGU3" i="53"/>
  <c r="REK3" i="53"/>
  <c r="DIO3" i="53"/>
  <c r="IAV3" i="53"/>
  <c r="EZV3" i="53"/>
  <c r="PGS3" i="53"/>
  <c r="WOU3" i="53"/>
  <c r="PXL3" i="53"/>
  <c r="LML3" i="53"/>
  <c r="NEZ3" i="53"/>
  <c r="PHC3" i="53"/>
  <c r="IJY3" i="53"/>
  <c r="KHW3" i="53"/>
  <c r="QEU3" i="53"/>
  <c r="KNQ3" i="53"/>
  <c r="BEQ3" i="53"/>
  <c r="MUE3" i="53"/>
  <c r="SWQ3" i="53"/>
  <c r="TSV3" i="53"/>
  <c r="RHV3" i="53"/>
  <c r="OPG3" i="53"/>
  <c r="GUS3" i="53"/>
  <c r="KIQ3" i="53"/>
  <c r="SLK3" i="53"/>
  <c r="CYC3" i="53"/>
  <c r="OU3" i="53"/>
  <c r="C53" i="4"/>
  <c r="CEA3" i="53"/>
  <c r="DIL3" i="53"/>
  <c r="ATP3" i="53"/>
  <c r="LSI3" i="53"/>
  <c r="LEC3" i="53"/>
  <c r="SXF3" i="53"/>
  <c r="WSG3" i="53"/>
  <c r="E54" i="4"/>
  <c r="CGC3" i="53"/>
  <c r="OCY3" i="53"/>
  <c r="EHM3" i="53"/>
  <c r="KUL3" i="53"/>
  <c r="URK3" i="53"/>
  <c r="GXY3" i="53"/>
  <c r="L3" i="47"/>
  <c r="VRP3" i="53"/>
  <c r="VQU3" i="53"/>
  <c r="JKL3" i="53"/>
  <c r="JAY3" i="53"/>
  <c r="DET3" i="53"/>
  <c r="PUE3" i="53"/>
  <c r="LJW3" i="53"/>
  <c r="RRD3" i="53"/>
  <c r="IHE3" i="53"/>
  <c r="RFD3" i="53"/>
  <c r="MXO3" i="53"/>
  <c r="TVD3" i="53"/>
  <c r="C43" i="40"/>
  <c r="E40" i="40"/>
  <c r="HXT3" i="53"/>
  <c r="OCG3" i="53"/>
  <c r="ATM3" i="53"/>
  <c r="CKV3" i="53"/>
  <c r="GAY3" i="53"/>
  <c r="NFV3" i="53"/>
  <c r="CMO3" i="53"/>
  <c r="C20" i="53"/>
  <c r="KVM3" i="53"/>
  <c r="QCQ3" i="53"/>
  <c r="VRW3" i="53"/>
  <c r="QXG3" i="53"/>
  <c r="UQK3" i="53"/>
  <c r="PJJ3" i="53"/>
  <c r="QHW3" i="53"/>
  <c r="FQJ3" i="53"/>
  <c r="WHW3" i="53"/>
  <c r="OFG3" i="53"/>
  <c r="RET3" i="53"/>
  <c r="TNQ3" i="53"/>
  <c r="NNN3" i="53"/>
  <c r="WQG3" i="53"/>
  <c r="SWF3" i="53"/>
  <c r="TIZ3" i="53"/>
  <c r="ODY3" i="53"/>
  <c r="GCC3" i="53"/>
  <c r="WJH3" i="53"/>
  <c r="KVI3" i="53"/>
  <c r="VFJ3" i="53"/>
  <c r="HQC3" i="53"/>
  <c r="SNW3" i="53"/>
  <c r="KNB3" i="53"/>
  <c r="C70" i="53"/>
  <c r="GTV3" i="53"/>
  <c r="PGI3" i="53"/>
  <c r="CDX3" i="53"/>
  <c r="RHG3" i="53"/>
  <c r="RKZ3" i="53"/>
  <c r="QRO3" i="53"/>
  <c r="LFL3" i="53"/>
  <c r="KHF3" i="53"/>
  <c r="UKP3" i="53"/>
  <c r="WP3" i="53"/>
  <c r="VSY3" i="53"/>
  <c r="TBL3" i="53"/>
  <c r="FZY3" i="53"/>
  <c r="ESX3" i="53"/>
  <c r="SED3" i="53"/>
  <c r="JFF3" i="53"/>
  <c r="LRH3" i="53"/>
  <c r="KGI3" i="53"/>
  <c r="BNM3" i="53"/>
  <c r="SSK3" i="53"/>
  <c r="OMU3" i="53"/>
  <c r="TWO3" i="53"/>
  <c r="AFK3" i="53"/>
  <c r="KCI3" i="53"/>
  <c r="MND3" i="53"/>
  <c r="IZN3" i="53"/>
  <c r="NHI3" i="53"/>
  <c r="FTZ3" i="53"/>
  <c r="RQB3" i="53"/>
  <c r="UDL3" i="53"/>
  <c r="JWI3" i="53"/>
  <c r="EMR3" i="53"/>
  <c r="JVS3" i="53"/>
  <c r="IVS3" i="53"/>
  <c r="NDS3" i="53"/>
  <c r="A3" i="1"/>
  <c r="VVY3" i="53"/>
  <c r="BTK3" i="53"/>
  <c r="KFV3" i="53"/>
  <c r="KNS3" i="53"/>
  <c r="HOY3" i="53"/>
  <c r="VPX3" i="53"/>
  <c r="AAR3" i="53"/>
  <c r="EJS3" i="53"/>
  <c r="OYT3" i="53"/>
  <c r="KYC3" i="53"/>
  <c r="FKO3" i="53"/>
  <c r="QZR3" i="53"/>
  <c r="CWG3" i="53"/>
  <c r="FRW3" i="53"/>
  <c r="PC3" i="53"/>
  <c r="KKR3" i="53"/>
  <c r="AOE3" i="53"/>
  <c r="GGK3" i="53"/>
  <c r="AHH3" i="53"/>
  <c r="VXG3" i="53"/>
  <c r="B3" i="34"/>
  <c r="PRN3" i="53"/>
  <c r="RHQ3" i="53"/>
  <c r="OFV3" i="53"/>
  <c r="LHK3" i="53"/>
  <c r="JXA3" i="53"/>
  <c r="VGL3" i="53"/>
  <c r="CKF3" i="53"/>
  <c r="INW3" i="53"/>
  <c r="UFG3" i="53"/>
  <c r="DEI3" i="53"/>
  <c r="VEF3" i="53"/>
  <c r="SCB3" i="53"/>
  <c r="LQ3" i="53"/>
  <c r="OHI3" i="53"/>
  <c r="OQG3" i="53"/>
  <c r="UUU3" i="53"/>
  <c r="LKU3" i="53"/>
  <c r="HFG3" i="53"/>
  <c r="NDV3" i="53"/>
  <c r="FME3" i="53"/>
  <c r="QSF3" i="53"/>
  <c r="CIC3" i="53"/>
  <c r="BKK3" i="53"/>
  <c r="RAT3" i="53"/>
  <c r="NFR3" i="53"/>
  <c r="SKI3" i="53"/>
  <c r="MOY3" i="53"/>
  <c r="SKB3" i="53"/>
  <c r="HWO3" i="53"/>
  <c r="PHB3" i="53"/>
  <c r="GML3" i="53"/>
  <c r="CQK3" i="53"/>
  <c r="LBN3" i="53"/>
  <c r="IHU3" i="53"/>
  <c r="IZJ3" i="53"/>
  <c r="RI3" i="53"/>
  <c r="FYM3" i="53"/>
  <c r="CLY3" i="53"/>
  <c r="SAQ3" i="53"/>
  <c r="JSG3" i="53"/>
  <c r="UTW3" i="53"/>
  <c r="GKL3" i="53"/>
  <c r="WAB3" i="53"/>
  <c r="RVN3" i="53"/>
  <c r="RSU3" i="53"/>
  <c r="FFV3" i="53"/>
  <c r="DDX3" i="53"/>
  <c r="OGZ3" i="53"/>
  <c r="GAJ3" i="53"/>
  <c r="DPX3" i="53"/>
  <c r="KTE3" i="53"/>
  <c r="BSL3" i="53"/>
  <c r="RDP3" i="53"/>
  <c r="VZP3" i="53"/>
  <c r="VKY3" i="53"/>
  <c r="OAL3" i="53"/>
  <c r="CZA3" i="53"/>
  <c r="ILE3" i="53"/>
  <c r="C10" i="3"/>
  <c r="HJV3" i="53"/>
  <c r="QHR3" i="53"/>
  <c r="IIH3" i="53"/>
  <c r="MUW3" i="53"/>
  <c r="JDL3" i="53"/>
  <c r="FX3" i="53"/>
  <c r="SMW3" i="53"/>
  <c r="VNF3" i="53"/>
  <c r="JXU3" i="53"/>
  <c r="NMU3" i="53"/>
  <c r="UHR3" i="53"/>
  <c r="RNG3" i="53"/>
  <c r="WBO3" i="53"/>
  <c r="JIM3" i="53"/>
  <c r="NGY3" i="53"/>
  <c r="TOI3" i="53"/>
  <c r="C3" i="52"/>
  <c r="JOL3" i="53"/>
  <c r="GOH3" i="53"/>
  <c r="OAK3" i="53"/>
  <c r="PVI3" i="53"/>
  <c r="RUC3" i="53"/>
  <c r="JJT3" i="53"/>
  <c r="DLD3" i="53"/>
  <c r="VGR3" i="53"/>
  <c r="KBZ3" i="53"/>
  <c r="SHA3" i="53"/>
  <c r="SWE3" i="53"/>
  <c r="FAQ3" i="53"/>
  <c r="DLJ3" i="53"/>
  <c r="SMR3" i="53"/>
  <c r="HEK3" i="53"/>
  <c r="DXH3" i="53"/>
  <c r="G24" i="40"/>
  <c r="EFM3" i="53"/>
  <c r="DNG3" i="53"/>
  <c r="UPY3" i="53"/>
  <c r="OUD3" i="53"/>
  <c r="GMN3" i="53"/>
  <c r="PLB3" i="53"/>
  <c r="NCA3" i="53"/>
  <c r="QLP3" i="53"/>
  <c r="GLK3" i="53"/>
  <c r="NBK3" i="53"/>
  <c r="KUC3" i="53"/>
  <c r="B3" i="47"/>
  <c r="JPY3" i="53"/>
  <c r="WXC3" i="53"/>
  <c r="CDH3" i="53"/>
  <c r="NE3" i="53"/>
  <c r="DUT3" i="53"/>
  <c r="FHL3" i="53"/>
  <c r="CBV3" i="53"/>
  <c r="MZX3" i="53"/>
  <c r="IKD3" i="53"/>
  <c r="JTS3" i="53"/>
  <c r="CYM3" i="53"/>
  <c r="USF3" i="53"/>
  <c r="EOM3" i="53"/>
  <c r="MNS3" i="53"/>
  <c r="NVB3" i="53"/>
  <c r="CPB3" i="53"/>
  <c r="VAJ3" i="53"/>
  <c r="GYW3" i="53"/>
  <c r="LGE3" i="53"/>
  <c r="UMC3" i="53"/>
  <c r="LOK3" i="53"/>
  <c r="QWC3" i="53"/>
  <c r="MNV3" i="53"/>
  <c r="SVE3" i="53"/>
  <c r="WDC3" i="53"/>
  <c r="H3" i="22"/>
  <c r="KXM3" i="53"/>
  <c r="FCF3" i="53"/>
  <c r="DFK3" i="53"/>
  <c r="UJO3" i="53"/>
  <c r="GGB3" i="53"/>
  <c r="ACI3" i="53"/>
  <c r="CZP3" i="53"/>
  <c r="TTO3" i="53"/>
  <c r="CTC3" i="53"/>
  <c r="C3" i="13"/>
  <c r="HQS3" i="53"/>
  <c r="NUR3" i="53"/>
  <c r="JUJ3" i="53"/>
  <c r="RUF3" i="53"/>
  <c r="EUD3" i="53"/>
  <c r="UCO3" i="53"/>
  <c r="WLW3" i="53"/>
  <c r="HUJ3" i="53"/>
  <c r="NQE3" i="53"/>
  <c r="CB3" i="53"/>
  <c r="DVU3" i="53"/>
  <c r="FCS3" i="53"/>
  <c r="GFG3" i="53"/>
  <c r="BQD3" i="53"/>
  <c r="PGA3" i="53"/>
  <c r="ICH3" i="53"/>
  <c r="PTH3" i="53"/>
  <c r="STK3" i="53"/>
  <c r="QXH3" i="53"/>
  <c r="QTN3" i="53"/>
  <c r="PGY3" i="53"/>
  <c r="KTQ3" i="53"/>
  <c r="IWV3" i="53"/>
  <c r="WJ3" i="53"/>
  <c r="WKP3" i="53"/>
  <c r="MLP3" i="53"/>
  <c r="BTY3" i="53"/>
  <c r="QPJ3" i="53"/>
  <c r="JTK3" i="53"/>
  <c r="CSK3" i="53"/>
  <c r="VLR3" i="53"/>
  <c r="PQA3" i="53"/>
  <c r="VLW3" i="53"/>
  <c r="FYZ3" i="53"/>
  <c r="CQH3" i="53"/>
  <c r="LNM3" i="53"/>
  <c r="KYD3" i="53"/>
  <c r="ONH3" i="53"/>
  <c r="MIA3" i="53"/>
  <c r="TLZ3" i="53"/>
  <c r="DQS3" i="53"/>
  <c r="AAX3" i="53"/>
  <c r="UAL3" i="53"/>
  <c r="OTD3" i="53"/>
  <c r="HGW3" i="53"/>
  <c r="FKB3" i="53"/>
  <c r="VVC3" i="53"/>
  <c r="NLY3" i="53"/>
  <c r="OVO3" i="53"/>
  <c r="HJF3" i="53"/>
  <c r="AGN3" i="53"/>
  <c r="USM3" i="53"/>
  <c r="KRS3" i="53"/>
  <c r="UTM3" i="53"/>
  <c r="OUG3" i="53"/>
  <c r="PU3" i="53"/>
  <c r="UCN3" i="53"/>
  <c r="ENH3" i="53"/>
  <c r="DNE3" i="53"/>
  <c r="VRD3" i="53"/>
  <c r="CGT3" i="53"/>
  <c r="RBP3" i="53"/>
  <c r="SGC3" i="53"/>
  <c r="RVK3" i="53"/>
  <c r="TMM3" i="53"/>
  <c r="WOW3" i="53"/>
  <c r="JLD3" i="53"/>
  <c r="AKP3" i="53"/>
  <c r="QFH3" i="53"/>
  <c r="TUQ3" i="53"/>
  <c r="GCL3" i="53"/>
  <c r="GPU3" i="53"/>
  <c r="ELG3" i="53"/>
  <c r="BMM3" i="53"/>
  <c r="VEK3" i="53"/>
  <c r="KWP3" i="53"/>
  <c r="GA3" i="53"/>
  <c r="DLA3" i="53"/>
  <c r="CAV3" i="53"/>
  <c r="GYT3" i="53"/>
  <c r="HPN3" i="53"/>
  <c r="GPF3" i="53"/>
  <c r="WAO3" i="53"/>
  <c r="VP3" i="53"/>
  <c r="SEC3" i="53"/>
  <c r="NNE3" i="53"/>
  <c r="MUZ3" i="53"/>
  <c r="QVS3" i="53"/>
  <c r="KXD3" i="53"/>
  <c r="E5" i="46"/>
  <c r="OTU3" i="53"/>
  <c r="C5" i="62"/>
  <c r="OTR3" i="53"/>
  <c r="HHM3" i="53"/>
  <c r="AFZ3" i="53"/>
  <c r="WIK3" i="53"/>
  <c r="PWC3" i="53"/>
  <c r="RXR3" i="53"/>
  <c r="NIJ3" i="53"/>
  <c r="PKI3" i="53"/>
  <c r="OWN3" i="53"/>
  <c r="E5" i="40"/>
  <c r="PGT3" i="53"/>
  <c r="NUP3" i="53"/>
  <c r="BBZ3" i="53"/>
  <c r="DGJ3" i="53"/>
  <c r="HFI3" i="53"/>
  <c r="I3" i="53"/>
  <c r="FON3" i="53"/>
  <c r="FAU3" i="53"/>
  <c r="NXV3" i="53"/>
  <c r="ERG3" i="53"/>
  <c r="USA3" i="53"/>
  <c r="UHN3" i="53"/>
  <c r="E46" i="40"/>
  <c r="HFE3" i="53"/>
  <c r="XDC3" i="53"/>
  <c r="TJZ3" i="53"/>
  <c r="UDI3" i="53"/>
  <c r="VGF3" i="53"/>
  <c r="EDV3" i="53"/>
  <c r="DPU3" i="53"/>
  <c r="TBJ3" i="53"/>
  <c r="C7" i="57"/>
  <c r="USR3" i="53"/>
  <c r="JDP3" i="53"/>
  <c r="KCK3" i="53"/>
  <c r="DAJ3" i="53"/>
  <c r="ZM3" i="53"/>
  <c r="SCN3" i="53"/>
  <c r="TKO3" i="53"/>
  <c r="EEN3" i="53"/>
  <c r="BVD3" i="53"/>
  <c r="MU3" i="53"/>
  <c r="UFN3" i="53"/>
  <c r="AIO3" i="53"/>
  <c r="JBZ3" i="53"/>
  <c r="JFM3" i="53"/>
  <c r="E3" i="53"/>
  <c r="WZF3" i="53"/>
  <c r="HVA3" i="53"/>
  <c r="SXI3" i="53"/>
  <c r="LTK3" i="53"/>
  <c r="MWK3" i="53"/>
  <c r="IMR3" i="53"/>
  <c r="WJM3" i="53"/>
  <c r="LBO3" i="53"/>
  <c r="OOS3" i="53"/>
  <c r="ZT3" i="53"/>
  <c r="OQV3" i="53"/>
  <c r="ON3" i="53"/>
  <c r="ENM3" i="53"/>
  <c r="PHE3" i="53"/>
  <c r="D3" i="2"/>
  <c r="KVT3" i="53"/>
  <c r="XEG3" i="53"/>
  <c r="ABK3" i="53"/>
  <c r="KFI3" i="53"/>
  <c r="WCR3" i="53"/>
  <c r="URU3" i="53"/>
  <c r="SZD3" i="53"/>
  <c r="GIG3" i="53"/>
  <c r="IBH3" i="53"/>
  <c r="TCH3" i="53"/>
  <c r="D3" i="52"/>
  <c r="TPS3" i="53"/>
  <c r="LDO3" i="53"/>
  <c r="DKT3" i="53"/>
  <c r="STH3" i="53"/>
  <c r="TKZ3" i="53"/>
  <c r="LSM3" i="53"/>
  <c r="EYB3" i="53"/>
  <c r="ROS3" i="53"/>
  <c r="PFF3" i="53"/>
  <c r="DGC3" i="53"/>
  <c r="UE3" i="53"/>
  <c r="AMW3" i="53"/>
  <c r="UQO3" i="53"/>
  <c r="MTK3" i="53"/>
  <c r="USG3" i="53"/>
  <c r="WAZ3" i="53"/>
  <c r="JRU3" i="53"/>
  <c r="AXO3" i="53"/>
  <c r="CG3" i="53"/>
  <c r="VGN3" i="53"/>
  <c r="OEA3" i="53"/>
  <c r="FOZ3" i="53"/>
  <c r="BRG3" i="53"/>
  <c r="XED3" i="53"/>
  <c r="JMV3" i="53"/>
  <c r="MBH3" i="53"/>
  <c r="LRE3" i="53"/>
  <c r="GTA3" i="53"/>
  <c r="IXA3" i="53"/>
  <c r="QGV3" i="53"/>
  <c r="SZA3" i="53"/>
  <c r="RGD3" i="53"/>
  <c r="WXA3" i="53"/>
  <c r="OOV3" i="53"/>
  <c r="UKK3" i="53"/>
  <c r="GAX3" i="53"/>
  <c r="GHQ3" i="53"/>
  <c r="BPC3" i="53"/>
  <c r="MTL3" i="53"/>
  <c r="LHL3" i="53"/>
  <c r="AYU3" i="53"/>
  <c r="UWU3" i="53"/>
  <c r="QDF3" i="53"/>
  <c r="SIG3" i="53"/>
  <c r="LRF3" i="53"/>
  <c r="QV3" i="53"/>
  <c r="FMB3" i="53"/>
  <c r="GWL3" i="53"/>
  <c r="KQW3" i="53"/>
  <c r="DOU3" i="53"/>
  <c r="RKH3" i="53"/>
  <c r="SSQ3" i="53"/>
  <c r="RUK3" i="53"/>
  <c r="PKO3" i="53"/>
  <c r="DMS3" i="53"/>
  <c r="HNB3" i="53"/>
  <c r="FVT3" i="53"/>
  <c r="ANC3" i="53"/>
  <c r="SQM3" i="53"/>
  <c r="QAQ3" i="53"/>
  <c r="PHY3" i="53"/>
  <c r="BPN3" i="53"/>
  <c r="KLB3" i="53"/>
  <c r="ALJ3" i="53"/>
  <c r="EWU3" i="53"/>
  <c r="C5" i="31"/>
  <c r="KYB3" i="53"/>
  <c r="LRQ3" i="53"/>
  <c r="DWN3" i="53"/>
  <c r="RKI3" i="53"/>
  <c r="NDO3" i="53"/>
  <c r="AXC3" i="53"/>
  <c r="QIZ3" i="53"/>
  <c r="VCC3" i="53"/>
  <c r="UDD3" i="53"/>
  <c r="OWL3" i="53"/>
  <c r="LPN3" i="53"/>
  <c r="ETV3" i="53"/>
  <c r="NRF3" i="53"/>
  <c r="RIC3" i="53"/>
  <c r="HPD3" i="53"/>
  <c r="RIZ3" i="53"/>
  <c r="KJP3" i="53"/>
  <c r="VJB3" i="53"/>
  <c r="TTR3" i="53"/>
  <c r="IWC3" i="53"/>
  <c r="TVN3" i="53"/>
  <c r="G58" i="40"/>
  <c r="VYF3" i="53"/>
  <c r="HCM3" i="53"/>
  <c r="SRU3" i="53"/>
  <c r="SOC3" i="53"/>
  <c r="MCE3" i="53"/>
  <c r="APP3" i="53"/>
  <c r="JHR3" i="53"/>
  <c r="KXG3" i="53"/>
  <c r="FYX3" i="53"/>
  <c r="CLZ3" i="53"/>
  <c r="BHY3" i="53"/>
  <c r="PYG3" i="53"/>
  <c r="JFP3" i="53"/>
  <c r="AOF3" i="53"/>
  <c r="KDF3" i="53"/>
  <c r="WZS3" i="53"/>
  <c r="UBJ3" i="53"/>
  <c r="UJA3" i="53"/>
  <c r="FES3" i="53"/>
  <c r="OSQ3" i="53"/>
  <c r="UGK3" i="53"/>
  <c r="GPG3" i="53"/>
  <c r="DHD3" i="53"/>
  <c r="XAH3" i="53"/>
  <c r="C15" i="40"/>
  <c r="GMY3" i="53"/>
  <c r="C33" i="6"/>
  <c r="LXI3" i="53"/>
  <c r="ASE3" i="53"/>
  <c r="AFR3" i="53"/>
  <c r="TAV3" i="53"/>
  <c r="RRI3" i="53"/>
  <c r="C48" i="53"/>
  <c r="GTB3" i="53"/>
  <c r="VFX3" i="53"/>
  <c r="QRG3" i="53"/>
  <c r="LIJ3" i="53"/>
  <c r="MEU3" i="53"/>
  <c r="IGH3" i="53"/>
  <c r="JWJ3" i="53"/>
  <c r="FRH3" i="53"/>
  <c r="KL3" i="53"/>
  <c r="ADF3" i="53"/>
  <c r="WLB3" i="53"/>
  <c r="JSJ3" i="53"/>
  <c r="C8" i="2"/>
  <c r="EHQ3" i="53"/>
  <c r="IYL3" i="53"/>
  <c r="TFP3" i="53"/>
  <c r="GBI3" i="53"/>
  <c r="KQO3" i="53"/>
  <c r="GJV3" i="53"/>
  <c r="NEQ3" i="53"/>
  <c r="QI3" i="53"/>
  <c r="UGP3" i="53"/>
  <c r="BZK3" i="53"/>
  <c r="UPT3" i="53"/>
  <c r="DSQ3" i="53"/>
  <c r="FBA3" i="53"/>
  <c r="CON3" i="53"/>
  <c r="OJY3" i="53"/>
  <c r="AQP3" i="53"/>
  <c r="TWC3" i="53"/>
  <c r="ZA3" i="53"/>
  <c r="CSL3" i="53"/>
  <c r="SZZ3" i="53"/>
  <c r="LHB3" i="53"/>
  <c r="EHS3" i="53"/>
  <c r="FEQ3" i="53"/>
  <c r="CPW3" i="53"/>
  <c r="JZF3" i="53"/>
  <c r="TZQ3" i="53"/>
  <c r="ATU3" i="53"/>
  <c r="DJA3" i="53"/>
  <c r="HJH3" i="53"/>
  <c r="GSN3" i="53"/>
  <c r="MSX3" i="53"/>
  <c r="FGD3" i="53"/>
  <c r="GCN3" i="53"/>
  <c r="TCL3" i="53"/>
  <c r="WPG3" i="53"/>
  <c r="JWD3" i="53"/>
  <c r="LKP3" i="53"/>
  <c r="PPM3" i="53"/>
  <c r="G20" i="40"/>
  <c r="BFJ3" i="53"/>
  <c r="C12" i="40"/>
  <c r="COJ3" i="53"/>
  <c r="FAZ3" i="53"/>
  <c r="MFE3" i="53"/>
  <c r="EXJ3" i="53"/>
  <c r="B3" i="41"/>
  <c r="MM3" i="53"/>
  <c r="LBS3" i="53"/>
  <c r="BHX3" i="53"/>
  <c r="CSC3" i="53"/>
  <c r="UVI3" i="53"/>
  <c r="AJY3" i="53"/>
  <c r="HNY3" i="53"/>
  <c r="CWV3" i="53"/>
  <c r="C9" i="31"/>
  <c r="CIS3" i="53"/>
  <c r="NIC3" i="53"/>
  <c r="JCH3" i="53"/>
  <c r="SRS3" i="53"/>
  <c r="COA3" i="53"/>
  <c r="PFC3" i="53"/>
  <c r="FSW3" i="53"/>
  <c r="MDE3" i="53"/>
  <c r="SPF3" i="53"/>
  <c r="HCL3" i="53"/>
  <c r="AMX3" i="53"/>
  <c r="BOL3" i="53"/>
  <c r="CFI3" i="53"/>
  <c r="LLT3" i="53"/>
  <c r="UTI3" i="53"/>
  <c r="FER3" i="53"/>
  <c r="FPM3" i="53"/>
  <c r="KYU3" i="53"/>
  <c r="HEG3" i="53"/>
  <c r="RKX3" i="53"/>
  <c r="SOJ3" i="53"/>
  <c r="VIV3" i="53"/>
  <c r="IEU3" i="53"/>
  <c r="QMR3" i="53"/>
  <c r="ECS3" i="53"/>
  <c r="JVN3" i="53"/>
  <c r="JBE3" i="53"/>
  <c r="AJM3" i="53"/>
  <c r="LKC3" i="53"/>
  <c r="FMJ3" i="53"/>
  <c r="OFM3" i="53"/>
  <c r="KIZ3" i="53"/>
  <c r="NNJ3" i="53"/>
  <c r="TUU3" i="53"/>
  <c r="CVH3" i="53"/>
  <c r="QJT3" i="53"/>
  <c r="RFF3" i="53"/>
  <c r="CAW3" i="53"/>
  <c r="AGH3" i="53"/>
  <c r="DFJ3" i="53"/>
  <c r="HIY3" i="53"/>
  <c r="CPX3" i="53"/>
  <c r="GHL3" i="53"/>
  <c r="NJQ3" i="53"/>
  <c r="DFH3" i="53"/>
  <c r="RPM3" i="53"/>
  <c r="BWQ3" i="53"/>
  <c r="VUJ3" i="53"/>
  <c r="ANG3" i="53"/>
  <c r="WKH3" i="53"/>
  <c r="FMS3" i="53"/>
  <c r="RLW3" i="53"/>
  <c r="PWO3" i="53"/>
  <c r="CPT3" i="53"/>
  <c r="HDJ3" i="53"/>
  <c r="LXN3" i="53"/>
  <c r="XI3" i="53"/>
  <c r="VVB3" i="53"/>
  <c r="DKM3" i="53"/>
  <c r="SST3" i="53"/>
  <c r="TLR3" i="53"/>
  <c r="UU3" i="53"/>
  <c r="ICU3" i="53"/>
  <c r="EAH3" i="53"/>
  <c r="USW3" i="53"/>
  <c r="MNR3" i="53"/>
  <c r="NQU3" i="53"/>
  <c r="CK3" i="53"/>
  <c r="OFQ3" i="53"/>
  <c r="UJ3" i="53"/>
  <c r="RFR3" i="53"/>
  <c r="JEU3" i="53"/>
  <c r="JYU3" i="53"/>
  <c r="VTX3" i="53"/>
  <c r="RPZ3" i="53"/>
  <c r="HQM3" i="53"/>
  <c r="LYH3" i="53"/>
  <c r="DOB3" i="53"/>
  <c r="JMH3" i="53"/>
  <c r="PYA3" i="53"/>
  <c r="JFI3" i="53"/>
  <c r="HHW3" i="53"/>
  <c r="PDF3" i="53"/>
  <c r="HUE3" i="53"/>
  <c r="UYU3" i="53"/>
  <c r="UGN3" i="53"/>
  <c r="PGJ3" i="53"/>
  <c r="GXE3" i="53"/>
  <c r="FHS3" i="53"/>
  <c r="LPB3" i="53"/>
  <c r="SVR3" i="53"/>
  <c r="XAD3" i="53"/>
  <c r="HYP3" i="53"/>
  <c r="VQL3" i="53"/>
  <c r="C45" i="4"/>
  <c r="MGW3" i="53"/>
  <c r="BSP3" i="53"/>
  <c r="GSF3" i="53"/>
  <c r="GNA3" i="53"/>
  <c r="GCB3" i="53"/>
  <c r="URN3" i="53"/>
  <c r="RCB3" i="53"/>
  <c r="SRE3" i="53"/>
  <c r="NL3" i="53"/>
  <c r="WOA3" i="53"/>
  <c r="ENQ3" i="53"/>
  <c r="QBD3" i="53"/>
  <c r="VVG3" i="53"/>
  <c r="JOV3" i="53"/>
  <c r="MAJ3" i="53"/>
  <c r="CEQ3" i="53"/>
  <c r="BZE3" i="53"/>
  <c r="C14" i="46"/>
  <c r="H14" i="46" s="1"/>
  <c r="SBV3" i="53"/>
  <c r="WI3" i="53"/>
  <c r="UPW3" i="53"/>
  <c r="GLH3" i="53"/>
  <c r="RZA3" i="53"/>
  <c r="RPN3" i="53"/>
  <c r="QQC3" i="53"/>
  <c r="PQD3" i="53"/>
  <c r="QKL3" i="53"/>
  <c r="OPO3" i="53"/>
  <c r="IBW3" i="53"/>
  <c r="OEL3" i="53"/>
  <c r="C38" i="40"/>
  <c r="BQB3" i="53"/>
  <c r="IMY3" i="53"/>
  <c r="HXJ3" i="53"/>
  <c r="BKA3" i="53"/>
  <c r="GXT3" i="53"/>
  <c r="AUJ3" i="53"/>
  <c r="NYA3" i="53"/>
  <c r="FPD3" i="53"/>
  <c r="AXK3" i="53"/>
  <c r="GTX3" i="53"/>
  <c r="BRO3" i="53"/>
  <c r="JBJ3" i="53"/>
  <c r="DWV3" i="53"/>
  <c r="FGM3" i="53"/>
  <c r="SLU3" i="53"/>
  <c r="CFD3" i="53"/>
  <c r="HH3" i="53"/>
  <c r="HPT3" i="53"/>
  <c r="SRP3" i="53"/>
  <c r="GRD3" i="53"/>
  <c r="DOZ3" i="53"/>
  <c r="SVV3" i="53"/>
  <c r="LYL3" i="53"/>
  <c r="GGJ3" i="53"/>
  <c r="CMR3" i="53"/>
  <c r="NRE3" i="53"/>
  <c r="BSN3" i="53"/>
  <c r="EER3" i="53"/>
  <c r="JOB3" i="53"/>
  <c r="DYE3" i="53"/>
  <c r="AY3" i="53"/>
  <c r="OLJ3" i="53"/>
  <c r="OXS3" i="53"/>
  <c r="MKT3" i="53"/>
  <c r="TLC3" i="53"/>
  <c r="VBS3" i="53"/>
  <c r="QYO3" i="53"/>
  <c r="VMG3" i="53"/>
  <c r="JQW3" i="53"/>
  <c r="CUS3" i="53"/>
  <c r="QTW3" i="53"/>
  <c r="SPM3" i="53"/>
  <c r="FAR3" i="53"/>
  <c r="PON3" i="53"/>
  <c r="UDH3" i="53"/>
  <c r="C22" i="2"/>
  <c r="TTZ3" i="53"/>
  <c r="NAP3" i="53"/>
  <c r="DZL3" i="53"/>
  <c r="GTH3" i="53"/>
  <c r="THW3" i="53"/>
  <c r="DGS3" i="53"/>
  <c r="FXC3" i="53"/>
  <c r="OSV3" i="53"/>
  <c r="OTN3" i="53"/>
  <c r="OWH3" i="53"/>
  <c r="BMY3" i="53"/>
  <c r="KRW3" i="53"/>
  <c r="ICQ3" i="53"/>
  <c r="NPI3" i="53"/>
  <c r="NJG3" i="53"/>
  <c r="GCE3" i="53"/>
  <c r="DVI3" i="53"/>
  <c r="VYS3" i="53"/>
  <c r="RNK3" i="53"/>
  <c r="AMN3" i="53"/>
  <c r="RUT3" i="53"/>
  <c r="ORU3" i="53"/>
  <c r="TAN3" i="53"/>
  <c r="GVG3" i="53"/>
  <c r="FEU3" i="53"/>
  <c r="PPZ3" i="53"/>
  <c r="LGL3" i="53"/>
  <c r="CDY3" i="53"/>
  <c r="RZG3" i="53"/>
  <c r="MOK3" i="53"/>
  <c r="LVN3" i="53"/>
  <c r="UKH3" i="53"/>
  <c r="NXS3" i="53"/>
  <c r="JBK3" i="53"/>
  <c r="YZ3" i="53"/>
  <c r="NMR3" i="53"/>
  <c r="AV3" i="53"/>
  <c r="TQF3" i="53"/>
  <c r="HCN3" i="53"/>
  <c r="FWZ3" i="53"/>
  <c r="QUY3" i="53"/>
  <c r="IEF3" i="53"/>
  <c r="HBK3" i="53"/>
  <c r="RF3" i="53"/>
  <c r="QHM3" i="53"/>
  <c r="JZL3" i="53"/>
  <c r="WEI3" i="53"/>
  <c r="SWN3" i="53"/>
  <c r="AWW3" i="53"/>
  <c r="BUT3" i="53"/>
  <c r="TOM3" i="53"/>
  <c r="XBQ3" i="53"/>
  <c r="C30" i="59"/>
  <c r="WJE3" i="53"/>
  <c r="MD3" i="53"/>
  <c r="HAH3" i="53"/>
  <c r="UCJ3" i="53"/>
  <c r="FDF3" i="53"/>
  <c r="ICJ3" i="53"/>
  <c r="QIB3" i="53"/>
  <c r="AVD3" i="53"/>
  <c r="BCN3" i="53"/>
  <c r="OWS3" i="53"/>
  <c r="MDC3" i="53"/>
  <c r="WNT3" i="53"/>
  <c r="ENI3" i="53"/>
  <c r="RQL3" i="53"/>
  <c r="UVN3" i="53"/>
  <c r="RUR3" i="53"/>
  <c r="RIG3" i="53"/>
  <c r="RAU3" i="53"/>
  <c r="TSE3" i="53"/>
  <c r="RHB3" i="53"/>
  <c r="MWA3" i="53"/>
  <c r="AZY3" i="53"/>
  <c r="GNU3" i="53"/>
  <c r="CSA3" i="53"/>
  <c r="WDU3" i="53"/>
  <c r="TIU3" i="53"/>
  <c r="VJC3" i="53"/>
  <c r="SY3" i="53"/>
  <c r="ISI3" i="53"/>
  <c r="WEF3" i="53"/>
  <c r="C7" i="56"/>
  <c r="ETB3" i="53"/>
  <c r="QGQ3" i="53"/>
  <c r="NM3" i="53"/>
  <c r="GTY3" i="53"/>
  <c r="ULH3" i="53"/>
  <c r="ADD3" i="53"/>
  <c r="FEG3" i="53"/>
  <c r="SE3" i="53"/>
  <c r="DDY3" i="53"/>
  <c r="SYE3" i="53"/>
  <c r="EIQ3" i="53"/>
  <c r="QVF3" i="53"/>
  <c r="UQX3" i="53"/>
  <c r="GUF3" i="53"/>
  <c r="RBX3" i="53"/>
  <c r="GHH3" i="53"/>
  <c r="SEU3" i="53"/>
  <c r="AKC3" i="53"/>
  <c r="HBD3" i="53"/>
  <c r="CJX3" i="53"/>
  <c r="JVC3" i="53"/>
  <c r="QPT3" i="53"/>
  <c r="LVG3" i="53"/>
  <c r="JFH3" i="53"/>
  <c r="SDD3" i="53"/>
  <c r="VRI3" i="53"/>
  <c r="I3" i="15"/>
  <c r="C3" i="46"/>
  <c r="C22" i="6"/>
  <c r="BSU3" i="53"/>
  <c r="TEN3" i="53"/>
  <c r="SGU3" i="53"/>
  <c r="TYO3" i="53"/>
  <c r="EJN3" i="53"/>
  <c r="DIR3" i="53"/>
  <c r="OJA3" i="53"/>
  <c r="MMC3" i="53"/>
  <c r="CNI3" i="53"/>
  <c r="KBV3" i="53"/>
  <c r="RKM3" i="53"/>
  <c r="TMX3" i="53"/>
  <c r="MGH3" i="53"/>
  <c r="FRO3" i="53"/>
  <c r="VWG3" i="53"/>
  <c r="PZN3" i="53"/>
  <c r="LQL3" i="53"/>
  <c r="JYV3" i="53"/>
  <c r="VED3" i="53"/>
  <c r="HZN3" i="53"/>
  <c r="ILD3" i="53"/>
  <c r="PNX3" i="53"/>
  <c r="AXZ3" i="53"/>
  <c r="IDH3" i="53"/>
  <c r="UNK3" i="53"/>
  <c r="OPL3" i="53"/>
  <c r="RR3" i="53"/>
  <c r="HPX3" i="53"/>
  <c r="HDA3" i="53"/>
  <c r="FZK3" i="53"/>
  <c r="HSZ3" i="53"/>
  <c r="VFA3" i="53"/>
  <c r="NWH3" i="53"/>
  <c r="OZB3" i="53"/>
  <c r="TVF3" i="53"/>
  <c r="GVX3" i="53"/>
  <c r="EUC3" i="53"/>
  <c r="CBQ3" i="53"/>
  <c r="LWG3" i="53"/>
  <c r="MKG3" i="53"/>
  <c r="NK3" i="53"/>
  <c r="UGD3" i="53"/>
  <c r="NXA3" i="53"/>
  <c r="PUW3" i="53"/>
  <c r="ODD3" i="53"/>
  <c r="VNY3" i="53"/>
  <c r="TTN3" i="53"/>
  <c r="OCN3" i="53"/>
  <c r="HZB3" i="53"/>
  <c r="IOR3" i="53"/>
  <c r="NMQ3" i="53"/>
  <c r="QUC3" i="53"/>
  <c r="NTO3" i="53"/>
  <c r="GWR3" i="53"/>
  <c r="HOW3" i="53"/>
  <c r="WO3" i="53"/>
  <c r="AZO3" i="53"/>
  <c r="MSM3" i="53"/>
  <c r="PAD3" i="53"/>
  <c r="HPS3" i="53"/>
  <c r="WJR3" i="53"/>
  <c r="WNC3" i="53"/>
  <c r="ONZ3" i="53"/>
  <c r="DEK3" i="53"/>
  <c r="VH3" i="53"/>
  <c r="KXP3" i="53"/>
  <c r="UDW3" i="53"/>
  <c r="UWN3" i="53"/>
  <c r="MZC3" i="53"/>
  <c r="TXQ3" i="53"/>
  <c r="CEO3" i="53"/>
  <c r="DXI3" i="53"/>
  <c r="NCV3" i="53"/>
  <c r="MEY3" i="53"/>
  <c r="NLS3" i="53"/>
  <c r="VBW3" i="53"/>
  <c r="RLA3" i="53"/>
  <c r="FBI3" i="53"/>
  <c r="GEC3" i="53"/>
  <c r="DVA3" i="53"/>
  <c r="IYX3" i="53"/>
  <c r="LBD3" i="53"/>
  <c r="KWV3" i="53"/>
  <c r="OQL3" i="53"/>
  <c r="SIT3" i="53"/>
  <c r="HBX3" i="53"/>
  <c r="FHZ3" i="53"/>
  <c r="LDY3" i="53"/>
  <c r="FRX3" i="53"/>
  <c r="BWK3" i="53"/>
  <c r="RIW3" i="53"/>
  <c r="DHC3" i="53"/>
  <c r="RIH3" i="53"/>
  <c r="VQO3" i="53"/>
  <c r="VJM3" i="53"/>
  <c r="QVU3" i="53"/>
  <c r="PEF3" i="53"/>
  <c r="PNL3" i="53"/>
  <c r="HXO3" i="53"/>
  <c r="WNY3" i="53"/>
  <c r="GSI3" i="53"/>
  <c r="A3" i="56"/>
  <c r="JZJ3" i="53"/>
  <c r="OQM3" i="53"/>
  <c r="G54" i="40"/>
  <c r="PLX3" i="53"/>
  <c r="TIG3" i="53"/>
  <c r="GRJ3" i="53"/>
  <c r="AFJ3" i="53"/>
  <c r="SEM3" i="53"/>
  <c r="JZA3" i="53"/>
  <c r="E48" i="40"/>
  <c r="HEP3" i="53"/>
  <c r="GAU3" i="53"/>
  <c r="OAB3" i="53"/>
  <c r="GPO3" i="53"/>
  <c r="MTE3" i="53"/>
  <c r="SCK3" i="53"/>
  <c r="IRZ3" i="53"/>
  <c r="XCC3" i="53"/>
  <c r="SYO3" i="53"/>
  <c r="LPY3" i="53"/>
  <c r="BJJ3" i="53"/>
  <c r="C20" i="3"/>
  <c r="OAQ3" i="53"/>
  <c r="UGU3" i="53"/>
  <c r="AGC3" i="53"/>
  <c r="STU3" i="53"/>
  <c r="PUJ3" i="53"/>
  <c r="KAB3" i="53"/>
  <c r="MOL3" i="53"/>
  <c r="BWA3" i="53"/>
  <c r="IGE3" i="53"/>
  <c r="JIG3" i="53"/>
  <c r="C42" i="59"/>
  <c r="BNU3" i="53"/>
  <c r="NXQ3" i="53"/>
  <c r="QHG3" i="53"/>
  <c r="VJQ3" i="53"/>
  <c r="OKS3" i="53"/>
  <c r="EQE3" i="53"/>
  <c r="GPC3" i="53"/>
  <c r="JA3" i="53"/>
  <c r="PVH3" i="53"/>
  <c r="XDH3" i="53"/>
  <c r="FQN3" i="53"/>
  <c r="C40" i="2"/>
  <c r="BYS3" i="53"/>
  <c r="MGA3" i="53"/>
  <c r="RFV3" i="53"/>
  <c r="TUS3" i="53"/>
  <c r="FAM3" i="53"/>
  <c r="WHS3" i="53"/>
  <c r="MBL3" i="53"/>
  <c r="PQM3" i="53"/>
  <c r="TCX3" i="53"/>
  <c r="MBF3" i="53"/>
  <c r="HXM3" i="53"/>
  <c r="NDY3" i="53"/>
  <c r="FRE3" i="53"/>
  <c r="CZM3" i="53"/>
  <c r="NGG3" i="53"/>
  <c r="KWS3" i="53"/>
  <c r="GYC3" i="53"/>
  <c r="DIQ3" i="53"/>
  <c r="QWQ3" i="53"/>
  <c r="WGU3" i="53"/>
  <c r="BYL3" i="53"/>
  <c r="PPW3" i="53"/>
  <c r="EKX3" i="53"/>
  <c r="WQA3" i="53"/>
  <c r="NZZ3" i="53"/>
  <c r="SV3" i="53"/>
  <c r="ERK3" i="53"/>
  <c r="GIZ3" i="53"/>
  <c r="LGP3" i="53"/>
  <c r="PDR3" i="53"/>
  <c r="FOB3" i="53"/>
  <c r="CPN3" i="53"/>
  <c r="DAS3" i="53"/>
  <c r="VN3" i="53"/>
  <c r="UJU3" i="53"/>
  <c r="PVC3" i="53"/>
  <c r="TPZ3" i="53"/>
  <c r="HME3" i="53"/>
  <c r="QFZ3" i="53"/>
  <c r="LFT3" i="53"/>
  <c r="LM3" i="53"/>
  <c r="VVJ3" i="53"/>
  <c r="NKL3" i="53"/>
  <c r="JXH3" i="53"/>
  <c r="EGL3" i="53"/>
  <c r="UFE3" i="53"/>
  <c r="TXA3" i="53"/>
  <c r="OGA3" i="53"/>
  <c r="KRV3" i="53"/>
  <c r="PPJ3" i="53"/>
  <c r="CKJ3" i="53"/>
  <c r="IDR3" i="53"/>
  <c r="AJI3" i="53"/>
  <c r="CLM3" i="53"/>
  <c r="HYA3" i="53"/>
  <c r="CUJ3" i="53"/>
  <c r="NUZ3" i="53"/>
  <c r="S3" i="12"/>
  <c r="UIY3" i="53"/>
  <c r="ECX3" i="53"/>
  <c r="G3" i="1"/>
  <c r="TNS3" i="53"/>
  <c r="XAG3" i="53"/>
  <c r="SEF3" i="53"/>
  <c r="OIS3" i="53"/>
  <c r="GIQ3" i="53"/>
  <c r="BBK3" i="53"/>
  <c r="CLG3" i="53"/>
  <c r="NPQ3" i="53"/>
  <c r="LA3" i="53"/>
  <c r="RA3" i="53"/>
  <c r="PMU3" i="53"/>
  <c r="SAU3" i="53"/>
  <c r="GJM3" i="53"/>
  <c r="VWO3" i="53"/>
  <c r="FDJ3" i="53"/>
  <c r="GWH3" i="53"/>
  <c r="SMB3" i="53"/>
  <c r="RJU3" i="53"/>
  <c r="DNU3" i="53"/>
  <c r="VWF3" i="53"/>
  <c r="OUZ3" i="53"/>
  <c r="AJG3" i="53"/>
  <c r="BEJ3" i="53"/>
  <c r="UTB3" i="53"/>
  <c r="DCR3" i="53"/>
  <c r="GTK3" i="53"/>
  <c r="BWL3" i="53"/>
  <c r="JGL3" i="53"/>
  <c r="MTV3" i="53"/>
  <c r="C10" i="40"/>
  <c r="PDY3" i="53"/>
  <c r="OXY3" i="53"/>
  <c r="MZE3" i="53"/>
  <c r="PYI3" i="53"/>
  <c r="OLU3" i="53"/>
  <c r="FZS3" i="53"/>
  <c r="OTF3" i="53"/>
  <c r="VHC3" i="53"/>
  <c r="MEK3" i="53"/>
  <c r="TAX3" i="53"/>
  <c r="KSH3" i="53"/>
  <c r="RGQ3" i="53"/>
  <c r="GIF3" i="53"/>
  <c r="IIC3" i="53"/>
  <c r="HPU3" i="53"/>
  <c r="GNW3" i="53"/>
  <c r="JGV3" i="53"/>
  <c r="VCR3" i="53"/>
  <c r="LBB3" i="53"/>
  <c r="RCL3" i="53"/>
  <c r="VYA3" i="53"/>
  <c r="TQN3" i="53"/>
  <c r="JYC3" i="53"/>
  <c r="DON3" i="53"/>
  <c r="PVS3" i="53"/>
  <c r="VB3" i="53"/>
  <c r="RFN3" i="53"/>
  <c r="RUS3" i="53"/>
  <c r="QYS3" i="53"/>
  <c r="VCT3" i="53"/>
  <c r="CKS3" i="53"/>
  <c r="BKX3" i="53"/>
  <c r="BKQ3" i="53"/>
  <c r="LLC3" i="53"/>
  <c r="EWO3" i="53"/>
  <c r="QRA3" i="53"/>
  <c r="F3" i="34"/>
  <c r="JSL3" i="53"/>
  <c r="OVB3" i="53"/>
  <c r="IVY3" i="53"/>
  <c r="BGC3" i="53"/>
  <c r="CVM3" i="53"/>
  <c r="JMM3" i="53"/>
  <c r="WXL3" i="53"/>
  <c r="ICI3" i="53"/>
  <c r="NUA3" i="53"/>
  <c r="UXC3" i="53"/>
  <c r="DUR3" i="53"/>
  <c r="FWR3" i="53"/>
  <c r="JWY3" i="53"/>
  <c r="JFR3" i="53"/>
  <c r="XCB3" i="53"/>
  <c r="WUG3" i="53"/>
  <c r="JQK3" i="53"/>
  <c r="QYV3" i="53"/>
  <c r="NHK3" i="53"/>
  <c r="QUS3" i="53"/>
  <c r="MZR3" i="53"/>
  <c r="VKZ3" i="53"/>
  <c r="SPA3" i="53"/>
  <c r="JVX3" i="53"/>
  <c r="OVE3" i="53"/>
  <c r="ABV3" i="53"/>
  <c r="MZU3" i="53"/>
  <c r="ECA3" i="53"/>
  <c r="CSI3" i="53"/>
  <c r="DTY3" i="53"/>
  <c r="DFB3" i="53"/>
  <c r="EZI3" i="53"/>
  <c r="AXT3" i="53"/>
  <c r="XCV3" i="53"/>
  <c r="EDZ3" i="53"/>
  <c r="DSV3" i="53"/>
  <c r="PSH3" i="53"/>
  <c r="UQE3" i="53"/>
  <c r="GBY3" i="53"/>
  <c r="DLE3" i="53"/>
  <c r="XH3" i="53"/>
  <c r="VZV3" i="53"/>
  <c r="NJJ3" i="53"/>
  <c r="IJI3" i="53"/>
  <c r="UKX3" i="53"/>
  <c r="HQI3" i="53"/>
  <c r="VAC3" i="53"/>
  <c r="CTN3" i="53"/>
  <c r="KOT3" i="53"/>
  <c r="VIO3" i="53"/>
  <c r="MJK3" i="53"/>
  <c r="NLJ3" i="53"/>
  <c r="ULN3" i="53"/>
  <c r="ENU3" i="53"/>
  <c r="NCE3" i="53"/>
  <c r="KID3" i="53"/>
  <c r="MOU3" i="53"/>
  <c r="QWW3" i="53"/>
  <c r="BMQ3" i="53"/>
  <c r="HHC3" i="53"/>
  <c r="UBQ3" i="53"/>
  <c r="NYH3" i="53"/>
  <c r="LCK3" i="53"/>
  <c r="RGW3" i="53"/>
  <c r="PAQ3" i="53"/>
  <c r="QLZ3" i="53"/>
  <c r="MTR3" i="53"/>
  <c r="RWU3" i="53"/>
  <c r="FAL3" i="53"/>
  <c r="LCP3" i="53"/>
  <c r="DEN3" i="53"/>
  <c r="GHS3" i="53"/>
  <c r="TMJ3" i="53"/>
  <c r="ME3" i="53"/>
  <c r="QBE3" i="53"/>
  <c r="JRQ3" i="53"/>
  <c r="OPE3" i="53"/>
  <c r="WJS3" i="53"/>
  <c r="NGQ3" i="53"/>
  <c r="IOZ3" i="53"/>
  <c r="NEO3" i="53"/>
  <c r="VIT3" i="53"/>
  <c r="SBF3" i="53"/>
  <c r="WYG3" i="53"/>
  <c r="LSS3" i="53"/>
  <c r="ORB3" i="53"/>
  <c r="WJO3" i="53"/>
  <c r="UHS3" i="53"/>
  <c r="ORM3" i="53"/>
  <c r="PAC3" i="53"/>
  <c r="SAJ3" i="53"/>
  <c r="VTM3" i="53"/>
  <c r="BLO3" i="53"/>
  <c r="MRK3" i="53"/>
  <c r="OGK3" i="53"/>
  <c r="JBW3" i="53"/>
  <c r="PHA3" i="53"/>
  <c r="WTF3" i="53"/>
  <c r="HZO3" i="53"/>
  <c r="VAI3" i="53"/>
  <c r="AZF3" i="53"/>
  <c r="CAQ3" i="53"/>
  <c r="ELE3" i="53"/>
  <c r="VOP3" i="53"/>
  <c r="QMA3" i="53"/>
  <c r="FDQ3" i="53"/>
  <c r="PVV3" i="53"/>
  <c r="VIE3" i="53"/>
  <c r="NYU3" i="53"/>
  <c r="BPY3" i="53"/>
  <c r="WOH3" i="53"/>
  <c r="NOG3" i="53"/>
  <c r="WMB3" i="53"/>
  <c r="ULK3" i="53"/>
  <c r="LJZ3" i="53"/>
  <c r="EGW3" i="53"/>
  <c r="VFB3" i="53"/>
  <c r="GJB3" i="53"/>
  <c r="VUH3" i="53"/>
  <c r="TJW3" i="53"/>
  <c r="MHD3" i="53"/>
  <c r="AAN3" i="53"/>
  <c r="QOW3" i="53"/>
  <c r="OYG3" i="53"/>
  <c r="IYP3" i="53"/>
  <c r="NR3" i="53"/>
  <c r="OTA3" i="53"/>
  <c r="LYA3" i="53"/>
  <c r="WHV3" i="53"/>
  <c r="NSK3" i="53"/>
  <c r="DWU3" i="53"/>
  <c r="UYY3" i="53"/>
  <c r="AIS3" i="53"/>
  <c r="KJO3" i="53"/>
  <c r="WUV3" i="53"/>
  <c r="UF3" i="53"/>
  <c r="SUS3" i="53"/>
  <c r="PBG3" i="53"/>
  <c r="DJP3" i="53"/>
  <c r="KWM3" i="53"/>
  <c r="OWF3" i="53"/>
  <c r="BZF3" i="53"/>
  <c r="NCL3" i="53"/>
  <c r="CGS3" i="53"/>
  <c r="JSM3" i="53"/>
  <c r="E21" i="31"/>
  <c r="QOI3" i="53"/>
  <c r="FEO3" i="53"/>
  <c r="LQV3" i="53"/>
  <c r="CFV3" i="53"/>
  <c r="CVU3" i="53"/>
  <c r="GLZ3" i="53"/>
  <c r="EUV3" i="53"/>
  <c r="FLD3" i="53"/>
  <c r="DBV3" i="53"/>
  <c r="WFF3" i="53"/>
  <c r="BAN3" i="53"/>
  <c r="BJM3" i="53"/>
  <c r="ECH3" i="53"/>
  <c r="EZC3" i="53"/>
  <c r="RZL3" i="53"/>
  <c r="EBV3" i="53"/>
  <c r="GRP3" i="53"/>
  <c r="POX3" i="53"/>
  <c r="LPH3" i="53"/>
  <c r="AGW3" i="53"/>
  <c r="CND3" i="53"/>
  <c r="OOM3" i="53"/>
  <c r="FXM3" i="53"/>
  <c r="FOV3" i="53"/>
  <c r="RTB3" i="53"/>
  <c r="FXN3" i="53"/>
  <c r="EQC3" i="53"/>
  <c r="IXI3" i="53"/>
  <c r="KCO3" i="53"/>
  <c r="JQB3" i="53"/>
  <c r="VGE3" i="53"/>
  <c r="AK3" i="53"/>
  <c r="ADG3" i="53"/>
  <c r="JCD3" i="53"/>
  <c r="KHA3" i="53"/>
  <c r="IKG3" i="53"/>
  <c r="HHE3" i="53"/>
  <c r="IMA3" i="53"/>
  <c r="EOF3" i="53"/>
  <c r="KPZ3" i="53"/>
  <c r="DTP3" i="53"/>
  <c r="KQX3" i="53"/>
  <c r="CSP3" i="53"/>
  <c r="OJI3" i="53"/>
  <c r="XAK3" i="53"/>
  <c r="CJY3" i="53"/>
  <c r="DDR3" i="53"/>
  <c r="ESG3" i="53"/>
  <c r="FLC3" i="53"/>
  <c r="BHO3" i="53"/>
  <c r="NGE3" i="53"/>
  <c r="HRX3" i="53"/>
  <c r="MLC3" i="53"/>
  <c r="VAG3" i="53"/>
  <c r="KMC3" i="53"/>
  <c r="JIW3" i="53"/>
  <c r="OPH3" i="53"/>
  <c r="OBG3" i="53"/>
  <c r="SBQ3" i="53"/>
  <c r="VMR3" i="53"/>
  <c r="NTD3" i="53"/>
  <c r="FPK3" i="53"/>
  <c r="LPA3" i="53"/>
  <c r="FQD3" i="53"/>
  <c r="IER3" i="53"/>
  <c r="DGV3" i="53"/>
  <c r="SET3" i="53"/>
  <c r="C23" i="53"/>
  <c r="AAK3" i="53"/>
  <c r="RKP3" i="53"/>
  <c r="CMG3" i="53"/>
  <c r="WLT3" i="53"/>
  <c r="KEN3" i="53"/>
  <c r="AGK3" i="53"/>
  <c r="IXC3" i="53"/>
  <c r="MPL3" i="53"/>
  <c r="OGF3" i="53"/>
  <c r="DLB3" i="53"/>
  <c r="KJQ3" i="53"/>
  <c r="BEK3" i="53"/>
  <c r="DLW3" i="53"/>
  <c r="TC3" i="53"/>
  <c r="LHH3" i="53"/>
  <c r="THO3" i="53"/>
  <c r="IAF3" i="53"/>
  <c r="KBK3" i="53"/>
  <c r="CXT3" i="53"/>
  <c r="INK3" i="53"/>
  <c r="RSC3" i="53"/>
  <c r="DKR3" i="53"/>
  <c r="DDN3" i="53"/>
  <c r="BOA3" i="53"/>
  <c r="BSR3" i="53"/>
  <c r="FCP3" i="53"/>
  <c r="TMC3" i="53"/>
  <c r="WJL3" i="53"/>
  <c r="NDM3" i="53"/>
  <c r="PRM3" i="53"/>
  <c r="AZQ3" i="53"/>
  <c r="HZE3" i="53"/>
  <c r="OLX3" i="53"/>
  <c r="BBQ3" i="53"/>
  <c r="FIB3" i="53"/>
  <c r="BGT3" i="53"/>
  <c r="KV3" i="53"/>
  <c r="INJ3" i="53"/>
  <c r="WPW3" i="53"/>
  <c r="LEW3" i="53"/>
  <c r="UDE3" i="53"/>
  <c r="VXP3" i="53"/>
  <c r="MAZ3" i="53"/>
  <c r="GM3" i="53"/>
  <c r="JVJ3" i="53"/>
  <c r="TDW3" i="53"/>
  <c r="BEY3" i="53"/>
  <c r="BEP3" i="53"/>
  <c r="GHM3" i="53"/>
  <c r="PPV3" i="53"/>
  <c r="DJE3" i="53"/>
  <c r="MSK3" i="53"/>
  <c r="KLL3" i="53"/>
  <c r="PSP3" i="53"/>
  <c r="OEE3" i="53"/>
  <c r="LLN3" i="53"/>
  <c r="VIZ3" i="53"/>
  <c r="PSQ3" i="53"/>
  <c r="KLJ3" i="53"/>
  <c r="QDX3" i="53"/>
  <c r="MZB3" i="53"/>
  <c r="APY3" i="53"/>
  <c r="BCW3" i="53"/>
  <c r="DBB3" i="53"/>
  <c r="RPC3" i="53"/>
  <c r="OTL3" i="53"/>
  <c r="TKN3" i="53"/>
  <c r="QUU3" i="53"/>
  <c r="ITK3" i="53"/>
  <c r="QXM3" i="53"/>
  <c r="UNO3" i="53"/>
  <c r="NLD3" i="53"/>
  <c r="JNM3" i="53"/>
  <c r="FLX3" i="53"/>
  <c r="HKE3" i="53"/>
  <c r="CL3" i="53"/>
  <c r="CEK3" i="53"/>
  <c r="ESQ3" i="53"/>
  <c r="FDG3" i="53"/>
  <c r="KY3" i="53"/>
  <c r="IZZ3" i="53"/>
  <c r="BTR3" i="53"/>
  <c r="JCF3" i="53"/>
  <c r="XAC3" i="53"/>
  <c r="CN3" i="53"/>
  <c r="JLU3" i="53"/>
  <c r="WSJ3" i="53"/>
  <c r="IDQ3" i="53"/>
  <c r="MWZ3" i="53"/>
  <c r="QFP3" i="53"/>
  <c r="LGM3" i="53"/>
  <c r="ATI3" i="53"/>
  <c r="MYT3" i="53"/>
  <c r="UIN3" i="53"/>
  <c r="NFE3" i="53"/>
  <c r="CGN3" i="53"/>
  <c r="KSG3" i="53"/>
  <c r="IMZ3" i="53"/>
  <c r="RFJ3" i="53"/>
  <c r="FXA3" i="53"/>
  <c r="CUF3" i="53"/>
  <c r="TER3" i="53"/>
  <c r="WCU3" i="53"/>
  <c r="KPX3" i="53"/>
  <c r="AKG3" i="53"/>
  <c r="QRP3" i="53"/>
  <c r="IXL3" i="53"/>
  <c r="GMS3" i="53"/>
  <c r="GPH3" i="53"/>
  <c r="KUV3" i="53"/>
  <c r="HQK3" i="53"/>
  <c r="HYB3" i="53"/>
  <c r="VPN3" i="53"/>
  <c r="ULT3" i="53"/>
  <c r="UHV3" i="53"/>
  <c r="QSR3" i="53"/>
  <c r="SJU3" i="53"/>
  <c r="KPW3" i="53"/>
  <c r="DLX3" i="53"/>
  <c r="UZW3" i="53"/>
  <c r="PKC3" i="53"/>
  <c r="JIT3" i="53"/>
  <c r="E3" i="1"/>
  <c r="QFQ3" i="53"/>
  <c r="AFW3" i="53"/>
  <c r="C3" i="20"/>
  <c r="GQ3" i="53"/>
  <c r="BUG3" i="53"/>
  <c r="MKL3" i="53"/>
  <c r="LBC3" i="53"/>
  <c r="OHZ3" i="53"/>
  <c r="MG3" i="53"/>
  <c r="DPA3" i="53"/>
  <c r="OJK3" i="53"/>
  <c r="VTI3" i="53"/>
  <c r="EMO3" i="53"/>
  <c r="BMR3" i="53"/>
  <c r="WHQ3" i="53"/>
  <c r="E17" i="31"/>
  <c r="WTV3" i="53"/>
  <c r="MHW3" i="53"/>
  <c r="DUE3" i="53"/>
  <c r="ABH3" i="53"/>
  <c r="JCL3" i="53"/>
  <c r="SXK3" i="53"/>
  <c r="FEI3" i="53"/>
  <c r="EYN3" i="53"/>
  <c r="PUC3" i="53"/>
  <c r="HJP3" i="53"/>
  <c r="LJL3" i="53"/>
  <c r="RVP3" i="53"/>
  <c r="OFD3" i="53"/>
  <c r="UZC3" i="53"/>
  <c r="CJJ3" i="53"/>
  <c r="GBN3" i="53"/>
  <c r="UNS3" i="53"/>
  <c r="VUB3" i="53"/>
  <c r="RIT3" i="53"/>
  <c r="WBJ3" i="53"/>
  <c r="IQX3" i="53"/>
  <c r="HXP3" i="53"/>
  <c r="WEG3" i="53"/>
  <c r="VLX3" i="53"/>
  <c r="SLV3" i="53"/>
  <c r="DAL3" i="53"/>
  <c r="TUK3" i="53"/>
  <c r="E3" i="7"/>
  <c r="ZU3" i="53"/>
  <c r="VNW3" i="53"/>
  <c r="SCQ3" i="53"/>
  <c r="SHY3" i="53"/>
  <c r="CKK3" i="53"/>
  <c r="C29" i="53"/>
  <c r="NML3" i="53"/>
  <c r="RCJ3" i="53"/>
  <c r="LJC3" i="53"/>
  <c r="MCR3" i="53"/>
  <c r="OPY3" i="53"/>
  <c r="NRH3" i="53"/>
  <c r="LHW3" i="53"/>
  <c r="MUU3" i="53"/>
  <c r="KSA3" i="53"/>
  <c r="KSB3" i="53"/>
  <c r="HPB3" i="53"/>
  <c r="THU3" i="53"/>
  <c r="QWO3" i="53"/>
  <c r="LGY3" i="53"/>
  <c r="RSH3" i="53"/>
  <c r="UVF3" i="53"/>
  <c r="DGE3" i="53"/>
  <c r="HVG3" i="53"/>
  <c r="UFS3" i="53"/>
  <c r="FVO3" i="53"/>
  <c r="B3" i="4"/>
  <c r="MAE3" i="53"/>
  <c r="TPD3" i="53"/>
  <c r="DYK3" i="53"/>
  <c r="GQW3" i="53"/>
  <c r="LOH3" i="53"/>
  <c r="DNW3" i="53"/>
  <c r="D3" i="54"/>
  <c r="LWS3" i="53"/>
  <c r="UC3" i="53"/>
  <c r="IMV3" i="53"/>
  <c r="OOU3" i="53"/>
  <c r="OBV3" i="53"/>
  <c r="AHK3" i="53"/>
  <c r="LPC3" i="53"/>
  <c r="EDT3" i="53"/>
  <c r="IEB3" i="53"/>
  <c r="C3" i="9"/>
  <c r="DTS3" i="53"/>
  <c r="BDB3" i="53"/>
  <c r="CCO3" i="53"/>
  <c r="ILQ3" i="53"/>
  <c r="CKE3" i="53"/>
  <c r="DOY3" i="53"/>
  <c r="FML3" i="53"/>
  <c r="NHC3" i="53"/>
  <c r="HAN3" i="53"/>
  <c r="UWZ3" i="53"/>
  <c r="YS3" i="53"/>
  <c r="VCU3" i="53"/>
  <c r="FXG3" i="53"/>
  <c r="RVQ3" i="53"/>
  <c r="BSQ3" i="53"/>
  <c r="PCY3" i="53"/>
  <c r="MRS3" i="53"/>
  <c r="OAX3" i="53"/>
  <c r="ETG3" i="53"/>
  <c r="MSE3" i="53"/>
  <c r="DZX3" i="53"/>
  <c r="BEB3" i="53"/>
  <c r="NMZ3" i="53"/>
  <c r="NNA3" i="53"/>
  <c r="OWY3" i="53"/>
  <c r="LE3" i="53"/>
  <c r="AB3" i="53"/>
  <c r="A3" i="53"/>
  <c r="ASK3" i="53"/>
  <c r="WQZ3" i="53"/>
  <c r="MVP3" i="53"/>
  <c r="ONC3" i="53"/>
  <c r="JXW3" i="53"/>
  <c r="HHA3" i="53"/>
  <c r="E10" i="46"/>
  <c r="ENJ3" i="53"/>
  <c r="HGQ3" i="53"/>
  <c r="YY3" i="53"/>
  <c r="IWA3" i="53"/>
  <c r="VVI3" i="53"/>
  <c r="BGQ3" i="53"/>
  <c r="QZE3" i="53"/>
  <c r="GRT3" i="53"/>
  <c r="VLV3" i="53"/>
  <c r="TIO3" i="53"/>
  <c r="ANP3" i="53"/>
  <c r="AT3" i="53"/>
  <c r="HTZ3" i="53"/>
  <c r="DQW3" i="53"/>
  <c r="FHJ3" i="53"/>
  <c r="MDB3" i="53"/>
  <c r="OKO3" i="53"/>
  <c r="RNB3" i="53"/>
  <c r="WDM3" i="53"/>
  <c r="FZF3" i="53"/>
  <c r="KJJ3" i="53"/>
  <c r="SEZ3" i="53"/>
  <c r="BIB3" i="53"/>
  <c r="FPY3" i="53"/>
  <c r="HOU3" i="53"/>
  <c r="LDV3" i="53"/>
  <c r="NUE3" i="53"/>
  <c r="QBA3" i="53"/>
  <c r="UKN3" i="53"/>
  <c r="CLN3" i="53"/>
  <c r="AG3" i="53"/>
  <c r="RSS3" i="53"/>
  <c r="LS3" i="53"/>
  <c r="EWG3" i="53"/>
  <c r="WXE3" i="53"/>
  <c r="WIX3" i="53"/>
  <c r="SLT3" i="53"/>
  <c r="IZ3" i="53"/>
  <c r="EO3" i="53"/>
  <c r="PER3" i="53"/>
  <c r="BQX3" i="53"/>
  <c r="UMY3" i="53"/>
  <c r="DZM3" i="53"/>
  <c r="CSQ3" i="53"/>
  <c r="UEY3" i="53"/>
  <c r="KOF3" i="53"/>
  <c r="CXH3" i="53"/>
  <c r="KMA3" i="53"/>
  <c r="HFL3" i="53"/>
  <c r="HXV3" i="53"/>
  <c r="WGV3" i="53"/>
  <c r="MVH3" i="53"/>
  <c r="A3" i="57"/>
  <c r="OXE3" i="53"/>
  <c r="CVQ3" i="53"/>
  <c r="HQ3" i="53"/>
  <c r="LER3" i="53"/>
  <c r="GXW3" i="53"/>
  <c r="KJU3" i="53"/>
  <c r="SMQ3" i="53"/>
  <c r="FCT3" i="53"/>
  <c r="SDT3" i="53"/>
  <c r="AJB3" i="53"/>
  <c r="TJR3" i="53"/>
  <c r="ANO3" i="53"/>
  <c r="IYT3" i="53"/>
  <c r="GNN3" i="53"/>
  <c r="OMF3" i="53"/>
  <c r="AKI3" i="53"/>
  <c r="C22" i="53"/>
  <c r="OMT3" i="53"/>
  <c r="DBI3" i="53"/>
  <c r="FLF3" i="53"/>
  <c r="AZD3" i="53"/>
  <c r="HZM3" i="53"/>
  <c r="C62" i="53"/>
  <c r="BNF3" i="53"/>
  <c r="LBY3" i="53"/>
  <c r="XAZ3" i="53"/>
  <c r="VEW3" i="53"/>
  <c r="TUX3" i="53"/>
  <c r="G46" i="40"/>
  <c r="QHV3" i="53"/>
  <c r="RXK3" i="53"/>
  <c r="IXY3" i="53"/>
  <c r="WOO3" i="53"/>
  <c r="GNZ3" i="53"/>
  <c r="PLZ3" i="53"/>
  <c r="JPH3" i="53"/>
  <c r="NBS3" i="53"/>
  <c r="HBU3" i="53"/>
  <c r="AKH3" i="53"/>
  <c r="C5" i="9"/>
  <c r="FCX3" i="53"/>
  <c r="UEP3" i="53"/>
  <c r="CZK3" i="53"/>
  <c r="LOW3" i="53"/>
  <c r="WZB3" i="53"/>
  <c r="IDG3" i="53"/>
  <c r="BKD3" i="53"/>
  <c r="BSA3" i="53"/>
  <c r="CNQ3" i="53"/>
  <c r="HKK3" i="53"/>
  <c r="DDM3" i="53"/>
  <c r="OTJ3" i="53"/>
  <c r="VAA3" i="53"/>
  <c r="LGX3" i="53"/>
  <c r="BKZ3" i="53"/>
  <c r="AZN3" i="53"/>
  <c r="DDO3" i="53"/>
  <c r="HIK3" i="53"/>
  <c r="DEW3" i="53"/>
  <c r="HBT3" i="53"/>
  <c r="KRT3" i="53"/>
  <c r="FSA3" i="53"/>
  <c r="RLG3" i="53"/>
  <c r="GKV3" i="53"/>
  <c r="EFY3" i="53"/>
  <c r="XAV3" i="53"/>
  <c r="NWQ3" i="53"/>
  <c r="ERV3" i="53"/>
  <c r="VKU3" i="53"/>
  <c r="UEO3" i="53"/>
  <c r="AVJ3" i="53"/>
  <c r="IVB3" i="53"/>
  <c r="BJP3" i="53"/>
  <c r="LPS3" i="53"/>
  <c r="DZD3" i="53"/>
  <c r="RQU3" i="53"/>
  <c r="OJB3" i="53"/>
  <c r="EYK3" i="53"/>
  <c r="RQF3" i="53"/>
  <c r="QYW3" i="53"/>
  <c r="QTI3" i="53"/>
  <c r="SKK3" i="53"/>
  <c r="FIM3" i="53"/>
  <c r="PZL3" i="53"/>
  <c r="MAL3" i="53"/>
  <c r="NOF3" i="53"/>
  <c r="OBY3" i="53"/>
  <c r="PIH3" i="53"/>
  <c r="PRY3" i="53"/>
  <c r="PH3" i="53"/>
  <c r="HHJ3" i="53"/>
  <c r="E43" i="4"/>
  <c r="RJC3" i="53"/>
  <c r="EDL3" i="53"/>
  <c r="IIZ3" i="53"/>
  <c r="PQR3" i="53"/>
  <c r="BXC3" i="53"/>
  <c r="EUJ3" i="53"/>
  <c r="LOM3" i="53"/>
  <c r="UDS3" i="53"/>
  <c r="KA3" i="53"/>
  <c r="JFV3" i="53"/>
  <c r="BLL3" i="53"/>
  <c r="HD3" i="53"/>
  <c r="HJW3" i="53"/>
  <c r="URM3" i="53"/>
  <c r="GZD3" i="53"/>
  <c r="KIY3" i="53"/>
  <c r="VQN3" i="53"/>
  <c r="FZL3" i="53"/>
  <c r="BZW3" i="53"/>
  <c r="USQ3" i="53"/>
  <c r="EUW3" i="53"/>
  <c r="GIH3" i="53"/>
  <c r="BKI3" i="53"/>
  <c r="MV3" i="53"/>
  <c r="PJN3" i="53"/>
  <c r="QGS3" i="53"/>
  <c r="NEG3" i="53"/>
  <c r="RGZ3" i="53"/>
  <c r="TVW3" i="53"/>
  <c r="MWE3" i="53"/>
  <c r="QNA3" i="53"/>
  <c r="RJD3" i="53"/>
  <c r="EHH3" i="53"/>
  <c r="LNE3" i="53"/>
  <c r="CPS3" i="53"/>
  <c r="IQU3" i="53"/>
  <c r="OZW3" i="53"/>
  <c r="LXW3" i="53"/>
  <c r="GXJ3" i="53"/>
  <c r="JVI3" i="53"/>
  <c r="WKT3" i="53"/>
  <c r="BRD3" i="53"/>
  <c r="IM3" i="53"/>
  <c r="NTB3" i="53"/>
  <c r="QLF3" i="53"/>
  <c r="AOU3" i="53"/>
  <c r="HZZ3" i="53"/>
  <c r="FQU3" i="53"/>
  <c r="HIE3" i="53"/>
  <c r="RHS3" i="53"/>
  <c r="FJC3" i="53"/>
  <c r="EKN3" i="53"/>
  <c r="ULX3" i="53"/>
  <c r="JR3" i="53"/>
  <c r="IZD3" i="53"/>
  <c r="QYB3" i="53"/>
  <c r="LWU3" i="53"/>
  <c r="VNU3" i="53"/>
  <c r="FTG3" i="53"/>
  <c r="TIL3" i="53"/>
  <c r="FXQ3" i="53"/>
  <c r="VJS3" i="53"/>
  <c r="BLU3" i="53"/>
  <c r="LEP3" i="53"/>
  <c r="HAD3" i="53"/>
  <c r="MER3" i="53"/>
  <c r="UYP3" i="53"/>
  <c r="RIO3" i="53"/>
  <c r="TEL3" i="53"/>
  <c r="BZN3" i="53"/>
  <c r="PML3" i="53"/>
  <c r="QJS3" i="53"/>
  <c r="TSS3" i="53"/>
  <c r="QIW3" i="53"/>
  <c r="AHO3" i="53"/>
  <c r="FBS3" i="53"/>
  <c r="E29" i="40"/>
  <c r="JS3" i="53"/>
  <c r="JZI3" i="53"/>
  <c r="JBD3" i="53"/>
  <c r="DYR3" i="53"/>
  <c r="CQJ3" i="53"/>
  <c r="OPN3" i="53"/>
  <c r="HKD3" i="53"/>
  <c r="WGY3" i="53"/>
  <c r="HTT3" i="53"/>
  <c r="BCA3" i="53"/>
  <c r="PFP3" i="53"/>
  <c r="CMQ3" i="53"/>
  <c r="OEO3" i="53"/>
  <c r="GEA3" i="53"/>
  <c r="JIY3" i="53"/>
  <c r="MSJ3" i="53"/>
  <c r="NJP3" i="53"/>
  <c r="CNO3" i="53"/>
  <c r="QNM3" i="53"/>
  <c r="TGK3" i="53"/>
  <c r="STV3" i="53"/>
  <c r="DBW3" i="53"/>
  <c r="PDO3" i="53"/>
  <c r="GMI3" i="53"/>
  <c r="MHY3" i="53"/>
  <c r="JFW3" i="53"/>
  <c r="OMA3" i="53"/>
  <c r="MYY3" i="53"/>
  <c r="GD3" i="53"/>
  <c r="UJJ3" i="53"/>
  <c r="JOK3" i="53"/>
  <c r="KCF3" i="53"/>
  <c r="TDQ3" i="53"/>
  <c r="PLT3" i="53"/>
  <c r="DYO3" i="53"/>
  <c r="NAZ3" i="53"/>
  <c r="RUB3" i="53"/>
  <c r="SEB3" i="53"/>
  <c r="FBQ3" i="53"/>
  <c r="LPO3" i="53"/>
  <c r="QQB3" i="53"/>
  <c r="WPX3" i="53"/>
  <c r="NVU3" i="53"/>
  <c r="JWT3" i="53"/>
  <c r="NMN3" i="53"/>
  <c r="IXN3" i="53"/>
  <c r="CKC3" i="53"/>
  <c r="KZS3" i="53"/>
  <c r="QIG3" i="53"/>
  <c r="RY3" i="53"/>
  <c r="ZK3" i="53"/>
  <c r="BL3" i="53"/>
  <c r="SZB3" i="53"/>
  <c r="LNL3" i="53"/>
  <c r="FRZ3" i="53"/>
  <c r="VFW3" i="53"/>
  <c r="ERL3" i="53"/>
  <c r="VQT3" i="53"/>
  <c r="WU3" i="53"/>
  <c r="JEH3" i="53"/>
  <c r="VCS3" i="53"/>
  <c r="LKX3" i="53"/>
  <c r="CIY3" i="53"/>
  <c r="BIR3" i="53"/>
  <c r="KPF3" i="53"/>
  <c r="DJT3" i="53"/>
  <c r="KVO3" i="53"/>
  <c r="UVS3" i="53"/>
  <c r="JAF3" i="53"/>
  <c r="RMB3" i="53"/>
  <c r="VPA3" i="53"/>
  <c r="PIY3" i="53"/>
  <c r="RLY3" i="53"/>
  <c r="WBE3" i="53"/>
  <c r="TLY3" i="53"/>
  <c r="KLA3" i="53"/>
  <c r="LNV3" i="53"/>
  <c r="TNO3" i="53"/>
  <c r="QFI3" i="53"/>
  <c r="CAG3" i="53"/>
  <c r="DZJ3" i="53"/>
  <c r="K3" i="40"/>
  <c r="EXV3" i="53"/>
  <c r="SOH3" i="53"/>
  <c r="GOZ3" i="53"/>
  <c r="LJP3" i="53"/>
  <c r="FHN3" i="53"/>
  <c r="EOP3" i="53"/>
  <c r="HQN3" i="53"/>
  <c r="QCX3" i="53"/>
  <c r="CCI3" i="53"/>
  <c r="PAA3" i="53"/>
  <c r="HKU3" i="53"/>
  <c r="RZR3" i="53"/>
  <c r="LEV3" i="53"/>
  <c r="KJN3" i="53"/>
  <c r="BPE3" i="53"/>
  <c r="XBY3" i="53"/>
  <c r="AED3" i="53"/>
  <c r="JUN3" i="53"/>
  <c r="MDH3" i="53"/>
  <c r="UYV3" i="53"/>
  <c r="AXS3" i="53"/>
  <c r="RZU3" i="53"/>
  <c r="IYK3" i="53"/>
  <c r="BU3" i="53"/>
  <c r="SU3" i="53"/>
  <c r="QPO3" i="53"/>
  <c r="IWE3" i="53"/>
  <c r="CMX3" i="53"/>
  <c r="HDI3" i="53"/>
  <c r="VXY3" i="53"/>
  <c r="HJZ3" i="53"/>
  <c r="RXC3" i="53"/>
  <c r="UUX3" i="53"/>
  <c r="JXQ3" i="53"/>
  <c r="CCH3" i="53"/>
  <c r="RYP3" i="53"/>
  <c r="GVR3" i="53"/>
  <c r="KPG3" i="53"/>
  <c r="DFO3" i="53"/>
  <c r="LNI3" i="53"/>
  <c r="URO3" i="53"/>
  <c r="ITG3" i="53"/>
  <c r="PZY3" i="53"/>
  <c r="EKV3" i="53"/>
  <c r="VAN3" i="53"/>
  <c r="QXX3" i="53"/>
  <c r="LNT3" i="53"/>
  <c r="GUV3" i="53"/>
  <c r="TCN3" i="53"/>
  <c r="LSZ3" i="53"/>
  <c r="HWL3" i="53"/>
  <c r="SMU3" i="53"/>
  <c r="SRJ3" i="53"/>
  <c r="OCE3" i="53"/>
  <c r="JMW3" i="53"/>
  <c r="IJU3" i="53"/>
  <c r="GQU3" i="53"/>
  <c r="LRA3" i="53"/>
  <c r="KTR3" i="53"/>
  <c r="QG3" i="53"/>
  <c r="UXX3" i="53"/>
  <c r="PPF3" i="53"/>
  <c r="WHG3" i="53"/>
  <c r="IQM3" i="53"/>
  <c r="IRV3" i="53"/>
  <c r="SSP3" i="53"/>
  <c r="PTL3" i="53"/>
  <c r="PUR3" i="53"/>
  <c r="SAE3" i="53"/>
  <c r="OMM3" i="53"/>
  <c r="QRU3" i="53"/>
  <c r="LFD3" i="53"/>
  <c r="PHJ3" i="53"/>
  <c r="BYO3" i="53"/>
  <c r="CTX3" i="53"/>
  <c r="FUY3" i="53"/>
  <c r="MOQ3" i="53"/>
  <c r="NPV3" i="53"/>
  <c r="QYC3" i="53"/>
  <c r="MMG3" i="53"/>
  <c r="AUD3" i="53"/>
  <c r="WMA3" i="53"/>
  <c r="FJR3" i="53"/>
  <c r="SHR3" i="53"/>
  <c r="LFE3" i="53"/>
  <c r="TNA3" i="53"/>
  <c r="UYW3" i="53"/>
  <c r="IRX3" i="53"/>
  <c r="NBH3" i="53"/>
  <c r="MBQ3" i="53"/>
  <c r="HFQ3" i="53"/>
  <c r="OJH3" i="53"/>
  <c r="GVZ3" i="53"/>
  <c r="IYH3" i="53"/>
  <c r="CSN3" i="53"/>
  <c r="SNP3" i="53"/>
  <c r="BGN3" i="53"/>
  <c r="TDP3" i="53"/>
  <c r="QMG3" i="53"/>
  <c r="POM3" i="53"/>
  <c r="WAU3" i="53"/>
  <c r="UNL3" i="53"/>
  <c r="CKG3" i="53"/>
  <c r="JBM3" i="53"/>
  <c r="TGS3" i="53"/>
  <c r="NVD3" i="53"/>
  <c r="XEA3" i="53"/>
  <c r="D3" i="4"/>
  <c r="EJT3" i="53"/>
  <c r="IPY3" i="53"/>
  <c r="UQ3" i="53"/>
  <c r="PNA3" i="53"/>
  <c r="SM3" i="53"/>
  <c r="EPC3" i="53"/>
  <c r="TB3" i="53"/>
  <c r="TAQ3" i="53"/>
  <c r="HWV3" i="53"/>
  <c r="WBN3" i="53"/>
  <c r="EBR3" i="53"/>
  <c r="MX3" i="53"/>
  <c r="SZS3" i="53"/>
  <c r="JHG3" i="53"/>
  <c r="GQI3" i="53"/>
  <c r="TWA3" i="53"/>
  <c r="OBU3" i="53"/>
  <c r="ELY3" i="53"/>
  <c r="OEG3" i="53"/>
  <c r="GV3" i="53"/>
  <c r="KBU3" i="53"/>
  <c r="G15" i="40"/>
  <c r="ARN3" i="53"/>
  <c r="GLL3" i="53"/>
  <c r="RLX3" i="53"/>
  <c r="RMK3" i="53"/>
  <c r="ESK3" i="53"/>
  <c r="BAE3" i="53"/>
  <c r="IPF3" i="53"/>
  <c r="C25" i="40"/>
  <c r="AGY3" i="53"/>
  <c r="D3" i="60"/>
  <c r="FSM3" i="53"/>
  <c r="FZA3" i="53"/>
  <c r="AVP3" i="53"/>
  <c r="PRS3" i="53"/>
  <c r="NHS3" i="53"/>
  <c r="BEC3" i="53"/>
  <c r="RIM3" i="53"/>
  <c r="KDY3" i="53"/>
  <c r="GSM3" i="53"/>
  <c r="UVV3" i="53"/>
  <c r="EJZ3" i="53"/>
  <c r="MTG3" i="53"/>
  <c r="CQS3" i="53"/>
  <c r="MNX3" i="53"/>
  <c r="PBF3" i="53"/>
  <c r="QTK3" i="53"/>
  <c r="GLB3" i="53"/>
  <c r="GDL3" i="53"/>
  <c r="CWO3" i="53"/>
  <c r="WID3" i="53"/>
  <c r="AHW3" i="53"/>
  <c r="C18" i="3"/>
  <c r="QTO3" i="53"/>
  <c r="RGK3" i="53"/>
  <c r="HAU3" i="53"/>
  <c r="QVI3" i="53"/>
  <c r="OQE3" i="53"/>
  <c r="DUK3" i="53"/>
  <c r="KXX3" i="53"/>
  <c r="AAE3" i="53"/>
  <c r="QBN3" i="53"/>
  <c r="CRK3" i="53"/>
  <c r="TBX3" i="53"/>
  <c r="CNR3" i="53"/>
  <c r="TVC3" i="53"/>
  <c r="JUY3" i="53"/>
  <c r="QKR3" i="53"/>
  <c r="DZW3" i="53"/>
  <c r="IFP3" i="53"/>
  <c r="FXO3" i="53"/>
  <c r="JUX3" i="53"/>
  <c r="EOC3" i="53"/>
  <c r="NTM3" i="53"/>
  <c r="E3" i="31"/>
  <c r="HNO3" i="53"/>
  <c r="UXH3" i="53"/>
  <c r="UXS3" i="53"/>
  <c r="WIA3" i="53"/>
  <c r="VRZ3" i="53"/>
  <c r="MMB3" i="53"/>
  <c r="KAR3" i="53"/>
  <c r="IMT3" i="53"/>
  <c r="JYY3" i="53"/>
  <c r="QMP3" i="53"/>
  <c r="NED3" i="53"/>
  <c r="SYQ3" i="53"/>
  <c r="WMJ3" i="53"/>
  <c r="CQN3" i="53"/>
  <c r="NRL3" i="53"/>
  <c r="ITN3" i="53"/>
  <c r="TQX3" i="53"/>
  <c r="BNO3" i="53"/>
  <c r="JNX3" i="53"/>
  <c r="ARM3" i="53"/>
  <c r="BNR3" i="53"/>
  <c r="DPK3" i="53"/>
  <c r="ACB3" i="53"/>
  <c r="NFB3" i="53"/>
  <c r="LD3" i="53"/>
  <c r="RFG3" i="53"/>
  <c r="MJT3" i="53"/>
  <c r="WRL3" i="53"/>
  <c r="FOC3" i="53"/>
  <c r="OYF3" i="53"/>
  <c r="PMG3" i="53"/>
  <c r="JGN3" i="53"/>
  <c r="CWM3" i="53"/>
  <c r="HDZ3" i="53"/>
  <c r="NKN3" i="53"/>
  <c r="KTJ3" i="53"/>
  <c r="JJ3" i="53"/>
  <c r="BAL3" i="53"/>
  <c r="FO3" i="53"/>
  <c r="OR3" i="53"/>
  <c r="GQF3" i="53"/>
  <c r="BQZ3" i="53"/>
  <c r="FEA3" i="53"/>
  <c r="MWQ3" i="53"/>
  <c r="HCW3" i="53"/>
  <c r="KDU3" i="53"/>
  <c r="EBC3" i="53"/>
  <c r="TSR3" i="53"/>
  <c r="IHZ3" i="53"/>
  <c r="RJZ3" i="53"/>
  <c r="FJK3" i="53"/>
  <c r="ECO3" i="53"/>
  <c r="BFQ3" i="53"/>
  <c r="GYP3" i="53"/>
  <c r="JGQ3" i="53"/>
  <c r="QUF3" i="53"/>
  <c r="XEX3" i="53"/>
  <c r="AL3" i="53"/>
  <c r="WZI3" i="53"/>
  <c r="INE3" i="53"/>
  <c r="EDI3" i="53"/>
  <c r="H3" i="54"/>
  <c r="JRF3" i="53"/>
  <c r="HWE3" i="53"/>
  <c r="HXI3" i="53"/>
  <c r="MNP3" i="53"/>
  <c r="IBJ3" i="53"/>
  <c r="OJX3" i="53"/>
  <c r="MEF3" i="53"/>
  <c r="IRP3" i="53"/>
  <c r="PBC3" i="53"/>
  <c r="ADT3" i="53"/>
  <c r="BXQ3" i="53"/>
  <c r="NQB3" i="53"/>
  <c r="QCJ3" i="53"/>
  <c r="E3" i="52"/>
  <c r="VIM3" i="53"/>
  <c r="THS3" i="53"/>
  <c r="UHP3" i="53"/>
  <c r="BKG3" i="53"/>
  <c r="NAK3" i="53"/>
  <c r="MZJ3" i="53"/>
  <c r="EQN3" i="53"/>
  <c r="GNI3" i="53"/>
  <c r="RPJ3" i="53"/>
  <c r="QJL3" i="53"/>
  <c r="LRB3" i="53"/>
  <c r="WOK3" i="53"/>
  <c r="FUU3" i="53"/>
  <c r="NIV3" i="53"/>
  <c r="DTA3" i="53"/>
  <c r="KAN3" i="53"/>
  <c r="AZU3" i="53"/>
  <c r="LWA3" i="53"/>
  <c r="HDX3" i="53"/>
  <c r="IVM3" i="53"/>
  <c r="DPB3" i="53"/>
  <c r="JUZ3" i="53"/>
  <c r="JKR3" i="53"/>
  <c r="TSI3" i="53"/>
  <c r="BBW3" i="53"/>
  <c r="LNR3" i="53"/>
  <c r="CZD3" i="53"/>
  <c r="AEH3" i="53"/>
  <c r="HFC3" i="53"/>
  <c r="DUH3" i="53"/>
  <c r="YW3" i="53"/>
  <c r="FKC3" i="53"/>
  <c r="BAX3" i="53"/>
  <c r="KCR3" i="53"/>
  <c r="FVK3" i="53"/>
  <c r="MZP3" i="53"/>
  <c r="NSN3" i="53"/>
  <c r="MWB3" i="53"/>
  <c r="WST3" i="53"/>
  <c r="CDJ3" i="53"/>
  <c r="TLE3" i="53"/>
  <c r="AYA3" i="53"/>
  <c r="QQI3" i="53"/>
  <c r="OHM3" i="53"/>
  <c r="VSN3" i="53"/>
  <c r="ELA3" i="53"/>
  <c r="WPZ3" i="53"/>
  <c r="FXB3" i="53"/>
  <c r="WRY3" i="53"/>
  <c r="DWA3" i="53"/>
  <c r="KKJ3" i="53"/>
  <c r="FFO3" i="53"/>
  <c r="OFI3" i="53"/>
  <c r="RSV3" i="53"/>
  <c r="OLH3" i="53"/>
  <c r="XBA3" i="53"/>
  <c r="NBW3" i="53"/>
  <c r="KGY3" i="53"/>
  <c r="TRS3" i="53"/>
  <c r="VCL3" i="53"/>
  <c r="MTJ3" i="53"/>
  <c r="FIQ3" i="53"/>
  <c r="VIY3" i="53"/>
  <c r="UPL3" i="53"/>
  <c r="LVO3" i="53"/>
  <c r="NKH3" i="53"/>
  <c r="OOW3" i="53"/>
  <c r="ORI3" i="53"/>
  <c r="ROG3" i="53"/>
  <c r="DCE3" i="53"/>
  <c r="NEK3" i="53"/>
  <c r="NLT3" i="53"/>
  <c r="VOA3" i="53"/>
  <c r="DMN3" i="53"/>
  <c r="COU3" i="53"/>
  <c r="BNH3" i="53"/>
  <c r="GAQ3" i="53"/>
  <c r="NPH3" i="53"/>
  <c r="IBS3" i="53"/>
  <c r="RCR3" i="53"/>
  <c r="MUF3" i="53"/>
  <c r="PZW3" i="53"/>
  <c r="JW3" i="53"/>
  <c r="IOC3" i="53"/>
  <c r="PAY3" i="53"/>
  <c r="FNQ3" i="53"/>
  <c r="TUO3" i="53"/>
  <c r="MUX3" i="53"/>
  <c r="NSH3" i="53"/>
  <c r="JDE3" i="53"/>
  <c r="GTO3" i="53"/>
  <c r="HP3" i="53"/>
  <c r="SOR3" i="53"/>
  <c r="SDW3" i="53"/>
  <c r="QOM3" i="53"/>
  <c r="CII3" i="53"/>
  <c r="NUK3" i="53"/>
  <c r="REO3" i="53"/>
  <c r="DOS3" i="53"/>
  <c r="KSK3" i="53"/>
  <c r="JUO3" i="53"/>
  <c r="QOS3" i="53"/>
  <c r="KOX3" i="53"/>
  <c r="BWE3" i="53"/>
  <c r="FDS3" i="53"/>
  <c r="MIY3" i="53"/>
  <c r="JJC3" i="53"/>
  <c r="BAI3" i="53"/>
  <c r="LVL3" i="53"/>
  <c r="BYG3" i="53"/>
  <c r="MJO3" i="53"/>
  <c r="DSF3" i="53"/>
  <c r="TQZ3" i="53"/>
  <c r="VIK3" i="53"/>
  <c r="ALY3" i="53"/>
  <c r="TFC3" i="53"/>
  <c r="XCM3" i="53"/>
  <c r="C3" i="15"/>
  <c r="QLH3" i="53"/>
  <c r="TOY3" i="53"/>
  <c r="PWE3" i="53"/>
  <c r="UZG3" i="53"/>
  <c r="AMD3" i="53"/>
  <c r="IS3" i="53"/>
  <c r="WJY3" i="53"/>
  <c r="IQQ3" i="53"/>
  <c r="JTP3" i="53"/>
  <c r="QUW3" i="53"/>
  <c r="EDM3" i="53"/>
  <c r="JZH3" i="53"/>
  <c r="FZE3" i="53"/>
  <c r="DOO3" i="53"/>
  <c r="NOX3" i="53"/>
  <c r="OW3" i="53"/>
  <c r="NWP3" i="53"/>
  <c r="TEC3" i="53"/>
  <c r="TGT3" i="53"/>
  <c r="BYY3" i="53"/>
  <c r="ODN3" i="53"/>
  <c r="ASQ3" i="53"/>
  <c r="GVL3" i="53"/>
  <c r="HSQ3" i="53"/>
  <c r="HPV3" i="53"/>
  <c r="EWZ3" i="53"/>
  <c r="CGA3" i="53"/>
  <c r="ENE3" i="53"/>
  <c r="X3" i="53"/>
  <c r="BNC3" i="53"/>
  <c r="JXR3" i="53"/>
  <c r="RXB3" i="53"/>
  <c r="CNH3" i="53"/>
  <c r="AJN3" i="53"/>
  <c r="DYF3" i="53"/>
  <c r="AIL3" i="53"/>
  <c r="H3" i="6"/>
  <c r="SRC3" i="53"/>
  <c r="CYK3" i="53"/>
  <c r="TMB3" i="53"/>
  <c r="GVT3" i="53"/>
  <c r="EPJ3" i="53"/>
  <c r="GHW3" i="53"/>
  <c r="LUO3" i="53"/>
  <c r="DKD3" i="53"/>
  <c r="XY3" i="53"/>
  <c r="SVZ3" i="53"/>
  <c r="NIW3" i="53"/>
  <c r="JPN3" i="53"/>
  <c r="EOO3" i="53"/>
  <c r="UNC3" i="53"/>
  <c r="URA3" i="53"/>
  <c r="OLD3" i="53"/>
  <c r="CAS3" i="53"/>
  <c r="PTO3" i="53"/>
  <c r="KZM3" i="53"/>
  <c r="KXT3" i="53"/>
  <c r="OYE3" i="53"/>
  <c r="LOX3" i="53"/>
  <c r="XAX3" i="53"/>
  <c r="ORJ3" i="53"/>
  <c r="JSA3" i="53"/>
  <c r="QRR3" i="53"/>
  <c r="HRO3" i="53"/>
  <c r="OCW3" i="53"/>
  <c r="BWH3" i="53"/>
  <c r="MPV3" i="53"/>
  <c r="LQE3" i="53"/>
  <c r="HTC3" i="53"/>
  <c r="MXV3" i="53"/>
  <c r="SGO3" i="53"/>
  <c r="CYP3" i="53"/>
  <c r="FUG3" i="53"/>
  <c r="TNW3" i="53"/>
  <c r="RYK3" i="53"/>
  <c r="WBR3" i="53"/>
  <c r="EQH3" i="53"/>
  <c r="SHO3" i="53"/>
  <c r="XAO3" i="53"/>
  <c r="PGN3" i="53"/>
  <c r="HSP3" i="53"/>
  <c r="IBC3" i="53"/>
  <c r="VWY3" i="53"/>
  <c r="MIL3" i="53"/>
  <c r="RZT3" i="53"/>
  <c r="FFQ3" i="53"/>
  <c r="SUE3" i="53"/>
  <c r="A3" i="4"/>
  <c r="STW3" i="53"/>
  <c r="KUE3" i="53"/>
  <c r="TKC3" i="53"/>
  <c r="SJK3" i="53"/>
  <c r="UEX3" i="53"/>
  <c r="JIN3" i="53"/>
  <c r="SQP3" i="53"/>
  <c r="VNE3" i="53"/>
  <c r="MIZ3" i="53"/>
  <c r="ARR3" i="53"/>
  <c r="ONR3" i="53"/>
  <c r="OET3" i="53"/>
  <c r="MAV3" i="53"/>
  <c r="OAW3" i="53"/>
  <c r="RUD3" i="53"/>
  <c r="NIN3" i="53"/>
  <c r="KTT3" i="53"/>
  <c r="AEO3" i="53"/>
  <c r="ETI3" i="53"/>
  <c r="LBE3" i="53"/>
  <c r="LUM3" i="53"/>
  <c r="WWM3" i="53"/>
  <c r="ACY3" i="53"/>
  <c r="ATX3" i="53"/>
  <c r="WGK3" i="53"/>
  <c r="FIJ3" i="53"/>
  <c r="PZI3" i="53"/>
  <c r="BIJ3" i="53"/>
  <c r="LSN3" i="53"/>
  <c r="JOP3" i="53"/>
  <c r="HRD3" i="53"/>
  <c r="RPK3" i="53"/>
  <c r="EFL3" i="53"/>
  <c r="FUA3" i="53"/>
  <c r="AFV3" i="53"/>
  <c r="MUR3" i="53"/>
  <c r="MLO3" i="53"/>
  <c r="PVR3" i="53"/>
  <c r="JWE3" i="53"/>
  <c r="GDR3" i="53"/>
  <c r="BUU3" i="53"/>
  <c r="JKW3" i="53"/>
  <c r="IBE3" i="53"/>
  <c r="JWC3" i="53"/>
  <c r="KX3" i="53"/>
  <c r="AHE3" i="53"/>
  <c r="DED3" i="53"/>
  <c r="GIS3" i="53"/>
  <c r="NGJ3" i="53"/>
  <c r="VIG3" i="53"/>
  <c r="UIP3" i="53"/>
  <c r="OWI3" i="53"/>
  <c r="SUI3" i="53"/>
  <c r="BGI3" i="53"/>
  <c r="FDW3" i="53"/>
  <c r="PIN3" i="53"/>
  <c r="LVR3" i="53"/>
  <c r="BQH3" i="53"/>
  <c r="JJX3" i="53"/>
  <c r="LLX3" i="53"/>
  <c r="CPE3" i="53"/>
  <c r="OZS3" i="53"/>
  <c r="JXS3" i="53"/>
  <c r="UIO3" i="53"/>
  <c r="LWP3" i="53"/>
  <c r="JAG3" i="53"/>
  <c r="F3" i="5"/>
  <c r="LQP3" i="53"/>
  <c r="GLO3" i="53"/>
  <c r="MTW3" i="53"/>
  <c r="LFN3" i="53"/>
  <c r="ULG3" i="53"/>
  <c r="IVL3" i="53"/>
  <c r="ESA3" i="53"/>
  <c r="BRU3" i="53"/>
  <c r="AHN3" i="53"/>
  <c r="MZI3" i="53"/>
  <c r="DOW3" i="53"/>
  <c r="KST3" i="53"/>
  <c r="GGY3" i="53"/>
  <c r="IPD3" i="53"/>
  <c r="UFV3" i="53"/>
  <c r="WOP3" i="53"/>
  <c r="SOX3" i="53"/>
  <c r="CUE3" i="53"/>
  <c r="PGH3" i="53"/>
  <c r="UTU3" i="53"/>
  <c r="HNP3" i="53"/>
  <c r="GXD3" i="53"/>
  <c r="IVF3" i="53"/>
  <c r="CPD3" i="53"/>
  <c r="NHL3" i="53"/>
  <c r="WDI3" i="53"/>
  <c r="LAG3" i="53"/>
  <c r="CID3" i="53"/>
  <c r="RDC3" i="53"/>
  <c r="APV3" i="53"/>
  <c r="EQI3" i="53"/>
  <c r="MHF3" i="53"/>
  <c r="ILS3" i="53"/>
  <c r="SSA3" i="53"/>
  <c r="MQD3" i="53"/>
  <c r="YP3" i="53"/>
  <c r="FS3" i="53"/>
  <c r="CBC3" i="53"/>
  <c r="JHV3" i="53"/>
  <c r="GWA3" i="53"/>
  <c r="DVJ3" i="53"/>
  <c r="LHQ3" i="53"/>
  <c r="DIX3" i="53"/>
  <c r="LBQ3" i="53"/>
  <c r="OXM3" i="53"/>
  <c r="UIE3" i="53"/>
  <c r="MGS3" i="53"/>
  <c r="G3" i="31"/>
  <c r="IWY3" i="53"/>
  <c r="HBS3" i="53"/>
  <c r="QPV3" i="53"/>
  <c r="LXQ3" i="53"/>
  <c r="GQL3" i="53"/>
  <c r="TNU3" i="53"/>
  <c r="RLP3" i="53"/>
  <c r="TUY3" i="53"/>
  <c r="ISU3" i="53"/>
  <c r="LTM3" i="53"/>
  <c r="SKF3" i="53"/>
  <c r="VRQ3" i="53"/>
  <c r="ASA3" i="53"/>
  <c r="JRZ3" i="53"/>
  <c r="KKD3" i="53"/>
  <c r="AHZ3" i="53"/>
  <c r="PJV3" i="53"/>
  <c r="PFG3" i="53"/>
  <c r="BUZ3" i="53"/>
  <c r="RNF3" i="53"/>
  <c r="CQL3" i="53"/>
  <c r="RBT3" i="53"/>
  <c r="GPI3" i="53"/>
  <c r="VZJ3" i="53"/>
  <c r="MIE3" i="53"/>
  <c r="ARH3" i="53"/>
  <c r="VLK3" i="53"/>
  <c r="CKM3" i="53"/>
  <c r="QTT3" i="53"/>
  <c r="PRR3" i="53"/>
  <c r="EP3" i="53"/>
  <c r="ANZ3" i="53"/>
  <c r="PYC3" i="53"/>
  <c r="CWY3" i="53"/>
  <c r="RZK3" i="53"/>
  <c r="FNV3" i="53"/>
  <c r="OVP3" i="53"/>
  <c r="IHP3" i="53"/>
  <c r="TQK3" i="53"/>
  <c r="WAS3" i="53"/>
  <c r="QHJ3" i="53"/>
  <c r="IPL3" i="53"/>
  <c r="MZQ3" i="53"/>
  <c r="B3" i="15"/>
  <c r="IGJ3" i="53"/>
  <c r="UFC3" i="53"/>
  <c r="QZP3" i="53"/>
  <c r="KII3" i="53"/>
  <c r="KUK3" i="53"/>
  <c r="HDC3" i="53"/>
  <c r="FYF3" i="53"/>
  <c r="DHI3" i="53"/>
  <c r="FBC3" i="53"/>
  <c r="RLT3" i="53"/>
  <c r="LGJ3" i="53"/>
  <c r="DKG3" i="53"/>
  <c r="XZ3" i="53"/>
  <c r="C3" i="57"/>
  <c r="AXL3" i="53"/>
  <c r="UIC3" i="53"/>
  <c r="ILN3" i="53"/>
  <c r="QRL3" i="53"/>
  <c r="TCK3" i="53"/>
  <c r="NTT3" i="53"/>
  <c r="LKL3" i="53"/>
  <c r="OJO3" i="53"/>
  <c r="RIY3" i="53"/>
  <c r="VXI3" i="53"/>
  <c r="RNI3" i="53"/>
  <c r="KHH3" i="53"/>
  <c r="QZV3" i="53"/>
  <c r="GJJ3" i="53"/>
  <c r="WRX3" i="53"/>
  <c r="BRY3" i="53"/>
  <c r="WLF3" i="53"/>
  <c r="GAT3" i="53"/>
  <c r="GWD3" i="53"/>
  <c r="BVE3" i="53"/>
  <c r="DSE3" i="53"/>
  <c r="DPF3" i="53"/>
  <c r="UUN3" i="53"/>
  <c r="ACG3" i="53"/>
  <c r="NCT3" i="53"/>
  <c r="MGT3" i="53"/>
  <c r="OSJ3" i="53"/>
  <c r="NAB3" i="53"/>
  <c r="FHB3" i="53"/>
  <c r="TXO3" i="53"/>
  <c r="FD3" i="53"/>
  <c r="CAE3" i="53"/>
  <c r="MEM3" i="53"/>
  <c r="ALT3" i="53"/>
  <c r="MRR3" i="53"/>
  <c r="OPM3" i="53"/>
  <c r="CZW3" i="53"/>
  <c r="OVG3" i="53"/>
  <c r="AWL3" i="53"/>
  <c r="NGM3" i="53"/>
  <c r="LNB3" i="53"/>
  <c r="UXY3" i="53"/>
  <c r="MSP3" i="53"/>
  <c r="TQQ3" i="53"/>
  <c r="JHC3" i="53"/>
  <c r="FWB3" i="53"/>
  <c r="AJO3" i="53"/>
  <c r="IXZ3" i="53"/>
  <c r="VZC3" i="53"/>
  <c r="CFJ3" i="53"/>
  <c r="ASF3" i="53"/>
  <c r="QOZ3" i="53"/>
  <c r="NWZ3" i="53"/>
  <c r="PYB3" i="53"/>
  <c r="ID3" i="53"/>
  <c r="SRY3" i="53"/>
  <c r="LAY3" i="53"/>
  <c r="FBW3" i="53"/>
  <c r="WXW3" i="53"/>
  <c r="ROE3" i="53"/>
  <c r="ARY3" i="53"/>
  <c r="TPW3" i="53"/>
  <c r="FRJ3" i="53"/>
  <c r="CQM3" i="53"/>
  <c r="WAL3" i="53"/>
  <c r="WAV3" i="53"/>
  <c r="BJQ3" i="53"/>
  <c r="BSZ3" i="53"/>
  <c r="MET3" i="53"/>
  <c r="RTF3" i="53"/>
  <c r="DZO3" i="53"/>
  <c r="PZJ3" i="53"/>
  <c r="AHQ3" i="53"/>
  <c r="PPK3" i="53"/>
  <c r="TOT3" i="53"/>
  <c r="DQA3" i="53"/>
  <c r="QTE3" i="53"/>
  <c r="QGU3" i="53"/>
  <c r="RRA3" i="53"/>
  <c r="OPF3" i="53"/>
  <c r="MTU3" i="53"/>
  <c r="WPL3" i="53"/>
  <c r="FLH3" i="53"/>
  <c r="LVM3" i="53"/>
  <c r="AER3" i="53"/>
  <c r="FRG3" i="53"/>
  <c r="DGY3" i="53"/>
  <c r="MDN3" i="53"/>
  <c r="NRD3" i="53"/>
  <c r="LXA3" i="53"/>
  <c r="GMA3" i="53"/>
  <c r="VFV3" i="53"/>
  <c r="KZA3" i="53"/>
  <c r="GNG3" i="53"/>
  <c r="OEZ3" i="53"/>
  <c r="KUT3" i="53"/>
  <c r="WEB3" i="53"/>
  <c r="JIJ3" i="53"/>
  <c r="FOF3" i="53"/>
  <c r="IHD3" i="53"/>
  <c r="BJO3" i="53"/>
  <c r="FBY3" i="53"/>
  <c r="OAR3" i="53"/>
  <c r="PBM3" i="53"/>
  <c r="PFZ3" i="53"/>
  <c r="DAO3" i="53"/>
  <c r="DTZ3" i="53"/>
  <c r="HUU3" i="53"/>
  <c r="WSC3" i="53"/>
  <c r="DZF3" i="53"/>
  <c r="TDC3" i="53"/>
  <c r="XET3" i="53"/>
  <c r="C72" i="53"/>
  <c r="DI3" i="53"/>
  <c r="EKO3" i="53"/>
  <c r="DXQ3" i="53"/>
  <c r="VKN3" i="53"/>
  <c r="NBF3" i="53"/>
  <c r="UCT3" i="53"/>
  <c r="VGT3" i="53"/>
  <c r="IFB3" i="53"/>
  <c r="OVY3" i="53"/>
  <c r="GVU3" i="53"/>
  <c r="H3" i="38"/>
  <c r="TIQ3" i="53"/>
  <c r="HEW3" i="53"/>
  <c r="JXT3" i="53"/>
  <c r="VHK3" i="53"/>
  <c r="PEE3" i="53"/>
  <c r="GAL3" i="53"/>
  <c r="NZF3" i="53"/>
  <c r="ACT3" i="53"/>
  <c r="NSU3" i="53"/>
  <c r="LXV3" i="53"/>
  <c r="SNJ3" i="53"/>
  <c r="DVN3" i="53"/>
  <c r="OTH3" i="53"/>
  <c r="TZO3" i="53"/>
  <c r="GFH3" i="53"/>
  <c r="CRT3" i="53"/>
  <c r="VFS3" i="53"/>
  <c r="KGZ3" i="53"/>
  <c r="GIO3" i="53"/>
  <c r="AVX3" i="53"/>
  <c r="QGG3" i="53"/>
  <c r="LQQ3" i="53"/>
  <c r="ABB3" i="53"/>
  <c r="UAO3" i="53"/>
  <c r="UEA3" i="53"/>
  <c r="OXF3" i="53"/>
  <c r="KBQ3" i="53"/>
  <c r="RCC3" i="53"/>
  <c r="EMB3" i="53"/>
  <c r="DEY3" i="53"/>
  <c r="WDN3" i="53"/>
  <c r="DUJ3" i="53"/>
  <c r="WHA3" i="53"/>
  <c r="VYB3" i="53"/>
  <c r="RSI3" i="53"/>
  <c r="K3" i="2"/>
  <c r="UUJ3" i="53"/>
  <c r="JIH3" i="53"/>
  <c r="PAB3" i="53"/>
  <c r="MMD3" i="53"/>
  <c r="TM3" i="53"/>
  <c r="BOO3" i="53"/>
  <c r="SIP3" i="53"/>
  <c r="LJV3" i="53"/>
  <c r="NXY3" i="53"/>
  <c r="VUV3" i="53"/>
  <c r="GAH3" i="53"/>
  <c r="DGF3" i="53"/>
  <c r="GEO3" i="53"/>
  <c r="GTU3" i="53"/>
  <c r="EAS3" i="53"/>
  <c r="LWI3" i="53"/>
  <c r="VUP3" i="53"/>
  <c r="UKL3" i="53"/>
  <c r="QBG3" i="53"/>
  <c r="LWD3" i="53"/>
  <c r="SWB3" i="53"/>
  <c r="ULF3" i="53"/>
  <c r="OMX3" i="53"/>
  <c r="NQK3" i="53"/>
  <c r="JME3" i="53"/>
  <c r="FMP3" i="53"/>
  <c r="SXG3" i="53"/>
  <c r="UPF3" i="53"/>
  <c r="MWP3" i="53"/>
  <c r="LRX3" i="53"/>
  <c r="EBM3" i="53"/>
  <c r="TII3" i="53"/>
  <c r="EVL3" i="53"/>
  <c r="VBR3" i="53"/>
  <c r="RCF3" i="53"/>
  <c r="URP3" i="53"/>
  <c r="VDH3" i="53"/>
  <c r="KXH3" i="53"/>
  <c r="FFB3" i="53"/>
  <c r="VRR3" i="53"/>
  <c r="VNR3" i="53"/>
  <c r="CME3" i="53"/>
  <c r="MTH3" i="53"/>
  <c r="VSQ3" i="53"/>
  <c r="OTK3" i="53"/>
  <c r="ILC3" i="53"/>
  <c r="JGJ3" i="53"/>
  <c r="IYW3" i="53"/>
  <c r="VJW3" i="53"/>
  <c r="LXX3" i="53"/>
  <c r="OZF3" i="53"/>
  <c r="TFF3" i="53"/>
  <c r="OIP3" i="53"/>
  <c r="API3" i="53"/>
  <c r="THF3" i="53"/>
  <c r="AMP3" i="53"/>
  <c r="EY3" i="53"/>
  <c r="JGX3" i="53"/>
  <c r="C27" i="53"/>
  <c r="MTO3" i="53"/>
  <c r="NVA3" i="53"/>
  <c r="DHQ3" i="53"/>
  <c r="AVE3" i="53"/>
  <c r="BUP3" i="53"/>
  <c r="LUD3" i="53"/>
  <c r="C37" i="40"/>
  <c r="UUM3" i="53"/>
  <c r="ARS3" i="53"/>
  <c r="IHK3" i="53"/>
  <c r="EMY3" i="53"/>
  <c r="NCY3" i="53"/>
  <c r="QAI3" i="53"/>
  <c r="BCK3" i="53"/>
  <c r="NRJ3" i="53"/>
  <c r="QNR3" i="53"/>
  <c r="OMI3" i="53"/>
  <c r="WNL3" i="53"/>
  <c r="OJL3" i="53"/>
  <c r="PVF3" i="53"/>
  <c r="TSO3" i="53"/>
  <c r="OYC3" i="53"/>
  <c r="DQQ3" i="53"/>
  <c r="EGH3" i="53"/>
  <c r="ITE3" i="53"/>
  <c r="IDY3" i="53"/>
  <c r="XCQ3" i="53"/>
  <c r="QWY3" i="53"/>
  <c r="EBL3" i="53"/>
  <c r="KRP3" i="53"/>
  <c r="WGD3" i="53"/>
  <c r="CTG3" i="53"/>
  <c r="IBK3" i="53"/>
  <c r="IPG3" i="53"/>
  <c r="OXC3" i="53"/>
  <c r="REN3" i="53"/>
  <c r="GZP3" i="53"/>
  <c r="OIL3" i="53"/>
  <c r="WZU3" i="53"/>
  <c r="FJX3" i="53"/>
  <c r="CEJ3" i="53"/>
  <c r="QRS3" i="53"/>
  <c r="KBR3" i="53"/>
  <c r="BHG3" i="53"/>
  <c r="AYN3" i="53"/>
  <c r="QFM3" i="53"/>
  <c r="XJ3" i="53"/>
  <c r="COB3" i="53"/>
  <c r="PWI3" i="53"/>
  <c r="PBR3" i="53"/>
  <c r="LYJ3" i="53"/>
  <c r="CGK3" i="53"/>
  <c r="HJN3" i="53"/>
  <c r="TUR3" i="53"/>
  <c r="KHT3" i="53"/>
  <c r="AFQ3" i="53"/>
  <c r="GCM3" i="53"/>
  <c r="VTD3" i="53"/>
  <c r="HGF3" i="53"/>
  <c r="AIB3" i="53"/>
  <c r="AUG3" i="53"/>
  <c r="PXK3" i="53"/>
  <c r="DXE3" i="53"/>
  <c r="ORQ3" i="53"/>
  <c r="MCI3" i="53"/>
  <c r="VPW3" i="53"/>
  <c r="EIZ3" i="53"/>
  <c r="IBG3" i="53"/>
  <c r="OVA3" i="53"/>
  <c r="VVV3" i="53"/>
  <c r="IZU3" i="53"/>
  <c r="LBJ3" i="53"/>
  <c r="FJZ3" i="53"/>
  <c r="MVJ3" i="53"/>
  <c r="LAW3" i="53"/>
  <c r="ONK3" i="53"/>
  <c r="MXZ3" i="53"/>
  <c r="GME3" i="53"/>
  <c r="PNQ3" i="53"/>
  <c r="VIF3" i="53"/>
  <c r="WXR3" i="53"/>
  <c r="FTW3" i="53"/>
  <c r="LMP3" i="53"/>
  <c r="AGE3" i="53"/>
  <c r="QLT3" i="53"/>
  <c r="NGS3" i="53"/>
  <c r="HUZ3" i="53"/>
  <c r="FTI3" i="53"/>
  <c r="AVO3" i="53"/>
  <c r="VKE3" i="53"/>
  <c r="QWI3" i="53"/>
  <c r="IPH3" i="53"/>
  <c r="IQG3" i="53"/>
  <c r="UQF3" i="53"/>
  <c r="OFZ3" i="53"/>
  <c r="QLW3" i="53"/>
  <c r="PTP3" i="53"/>
  <c r="SUU3" i="53"/>
  <c r="QWG3" i="53"/>
  <c r="NSJ3" i="53"/>
  <c r="AFD3" i="53"/>
  <c r="IXT3" i="53"/>
  <c r="CDB3" i="53"/>
  <c r="GLG3" i="53"/>
  <c r="PTQ3" i="53"/>
  <c r="XEK3" i="53"/>
  <c r="OFA3" i="53"/>
  <c r="IXD3" i="53"/>
  <c r="OHL3" i="53"/>
  <c r="TJU3" i="53"/>
  <c r="CKW3" i="53"/>
  <c r="QGO3" i="53"/>
  <c r="BZT3" i="53"/>
  <c r="PNZ3" i="53"/>
  <c r="AKF3" i="53"/>
  <c r="CJE3" i="53"/>
  <c r="SNE3" i="53"/>
  <c r="IVO3" i="53"/>
  <c r="SWL3" i="53"/>
  <c r="AKK3" i="53"/>
  <c r="OQA3" i="53"/>
  <c r="UDO3" i="53"/>
  <c r="GTR3" i="53"/>
  <c r="NKW3" i="53"/>
  <c r="CCC3" i="53"/>
  <c r="VUL3" i="53"/>
  <c r="PDI3" i="53"/>
  <c r="NOC3" i="53"/>
  <c r="ZR3" i="53"/>
  <c r="VDU3" i="53"/>
  <c r="TSL3" i="53"/>
  <c r="WRO3" i="53"/>
  <c r="MKQ3" i="53"/>
  <c r="HGU3" i="53"/>
  <c r="WTB3" i="53"/>
  <c r="QFT3" i="53"/>
  <c r="OHP3" i="53"/>
  <c r="BAP3" i="53"/>
  <c r="E3" i="15"/>
  <c r="TZG3" i="53"/>
  <c r="A3" i="3"/>
  <c r="SKV3" i="53"/>
  <c r="BRX3" i="53"/>
  <c r="NLU3" i="53"/>
  <c r="UMV3" i="53"/>
  <c r="CTE3" i="53"/>
  <c r="CIB3" i="53"/>
  <c r="UUC3" i="53"/>
  <c r="NFS3" i="53"/>
  <c r="OKF3" i="53"/>
  <c r="KJY3" i="53"/>
  <c r="QMO3" i="53"/>
  <c r="WFK3" i="53"/>
  <c r="OOB3" i="53"/>
  <c r="JYN3" i="53"/>
  <c r="DOT3" i="53"/>
  <c r="HIN3" i="53"/>
  <c r="OXP3" i="53"/>
  <c r="NPL3" i="53"/>
  <c r="HEE3" i="53"/>
  <c r="AZB3" i="53"/>
  <c r="HIH3" i="53"/>
  <c r="SOU3" i="53"/>
  <c r="TFG3" i="53"/>
  <c r="GUA3" i="53"/>
  <c r="KRF3" i="53"/>
  <c r="FKT3" i="53"/>
  <c r="NTK3" i="53"/>
  <c r="VDE3" i="53"/>
  <c r="RWH3" i="53"/>
  <c r="EZO3" i="53"/>
  <c r="TYL3" i="53"/>
  <c r="VIQ3" i="53"/>
  <c r="OVF3" i="53"/>
  <c r="E9" i="31"/>
  <c r="UZK3" i="53"/>
  <c r="AKV3" i="53"/>
  <c r="HMS3" i="53"/>
  <c r="ULC3" i="53"/>
  <c r="SUT3" i="53"/>
  <c r="KAO3" i="53"/>
  <c r="QGP3" i="53"/>
  <c r="CC3" i="53"/>
  <c r="FMY3" i="53"/>
  <c r="DQO3" i="53"/>
  <c r="PIP3" i="53"/>
  <c r="HDP3" i="53"/>
  <c r="TUZ3" i="53"/>
  <c r="KFW3" i="53"/>
  <c r="FRU3" i="53"/>
  <c r="KCV3" i="53"/>
  <c r="HBG3" i="53"/>
  <c r="WRM3" i="53"/>
  <c r="NYS3" i="53"/>
  <c r="BKR3" i="53"/>
  <c r="EMV3" i="53"/>
  <c r="OFO3" i="53"/>
  <c r="LVE3" i="53"/>
  <c r="ULQ3" i="53"/>
  <c r="MJX3" i="53"/>
  <c r="LCZ3" i="53"/>
  <c r="KQR3" i="53"/>
  <c r="DFF3" i="53"/>
  <c r="FVG3" i="53"/>
  <c r="TGR3" i="53"/>
  <c r="HLJ3" i="53"/>
  <c r="GGS3" i="53"/>
  <c r="HEH3" i="53"/>
  <c r="QNN3" i="53"/>
  <c r="ESC3" i="53"/>
  <c r="UIQ3" i="53"/>
  <c r="KZQ3" i="53"/>
  <c r="FFM3" i="53"/>
  <c r="PKQ3" i="53"/>
  <c r="CBY3" i="53"/>
  <c r="CKY3" i="53"/>
  <c r="RZV3" i="53"/>
  <c r="AOZ3" i="53"/>
  <c r="JPB3" i="53"/>
  <c r="FUW3" i="53"/>
  <c r="B3" i="2"/>
  <c r="VWB3" i="53"/>
  <c r="PFS3" i="53"/>
  <c r="RAA3" i="53"/>
  <c r="OQU3" i="53"/>
  <c r="VPG3" i="53"/>
  <c r="KMR3" i="53"/>
  <c r="NCI3" i="53"/>
  <c r="F3" i="28"/>
  <c r="PBL3" i="53"/>
  <c r="NIU3" i="53"/>
  <c r="ONY3" i="53"/>
  <c r="QZJ3" i="53"/>
  <c r="RAM3" i="53"/>
  <c r="NTG3" i="53"/>
  <c r="SJO3" i="53"/>
  <c r="YF3" i="53"/>
  <c r="OTO3" i="53"/>
  <c r="PSB3" i="53"/>
  <c r="BCO3" i="53"/>
  <c r="DVL3" i="53"/>
  <c r="SBJ3" i="53"/>
  <c r="MBS3" i="53"/>
  <c r="JCS3" i="53"/>
  <c r="RTR3" i="53"/>
  <c r="A3" i="47"/>
  <c r="CWN3" i="53"/>
  <c r="FQX3" i="53"/>
  <c r="GFS3" i="53"/>
  <c r="TDL3" i="53"/>
  <c r="IIN3" i="53"/>
  <c r="LJN3" i="53"/>
  <c r="VOX3" i="53"/>
  <c r="XCT3" i="53"/>
  <c r="OM3" i="53"/>
  <c r="KIK3" i="53"/>
  <c r="CQF3" i="53"/>
  <c r="BBF3" i="53"/>
  <c r="JNG3" i="53"/>
  <c r="ITX3" i="53"/>
  <c r="GZY3" i="53"/>
  <c r="FRR3" i="53"/>
  <c r="PZA3" i="53"/>
  <c r="CPA3" i="53"/>
  <c r="ITY3" i="53"/>
  <c r="VNP3" i="53"/>
  <c r="RSZ3" i="53"/>
  <c r="GDH3" i="53"/>
  <c r="OTG3" i="53"/>
  <c r="VKO3" i="53"/>
  <c r="NKG3" i="53"/>
  <c r="VXU3" i="53"/>
  <c r="C35" i="53"/>
  <c r="HRA3" i="53"/>
  <c r="NZR3" i="53"/>
  <c r="UUA3" i="53"/>
  <c r="GEZ3" i="53"/>
  <c r="UGR3" i="53"/>
  <c r="UDN3" i="53"/>
  <c r="VAF3" i="53"/>
  <c r="KOC3" i="53"/>
  <c r="TH3" i="53"/>
  <c r="EIO3" i="53"/>
  <c r="VNS3" i="53"/>
  <c r="LHP3" i="53"/>
  <c r="RKF3" i="53"/>
  <c r="FVI3" i="53"/>
  <c r="CTI3" i="53"/>
  <c r="NKE3" i="53"/>
  <c r="MIW3" i="53"/>
  <c r="UBY3" i="53"/>
  <c r="SHP3" i="53"/>
  <c r="MYP3" i="53"/>
  <c r="OKY3" i="53"/>
  <c r="ELO3" i="53"/>
  <c r="NEM3" i="53"/>
  <c r="AVC3" i="53"/>
  <c r="BCI3" i="53"/>
  <c r="FXI3" i="53"/>
  <c r="LTX3" i="53"/>
  <c r="WFJ3" i="53"/>
  <c r="NUJ3" i="53"/>
  <c r="DWP3" i="53"/>
  <c r="QSJ3" i="53"/>
  <c r="AGZ3" i="53"/>
  <c r="SO3" i="53"/>
  <c r="ETH3" i="53"/>
  <c r="OSM3" i="53"/>
  <c r="QOH3" i="53"/>
  <c r="CTA3" i="53"/>
  <c r="OBQ3" i="53"/>
  <c r="STQ3" i="53"/>
  <c r="JMT3" i="53"/>
  <c r="BIH3" i="53"/>
  <c r="LJD3" i="53"/>
  <c r="GEM3" i="53"/>
  <c r="CMT3" i="53"/>
  <c r="UVC3" i="53"/>
  <c r="UQU3" i="53"/>
  <c r="XCR3" i="53"/>
  <c r="PB3" i="53"/>
  <c r="QHF3" i="53"/>
  <c r="JUK3" i="53"/>
  <c r="JNC3" i="53"/>
  <c r="FOT3" i="53"/>
  <c r="UMG3" i="53"/>
  <c r="WET3" i="53"/>
  <c r="WPK3" i="53"/>
  <c r="KSQ3" i="53"/>
  <c r="QPX3" i="53"/>
  <c r="BOG3" i="53"/>
  <c r="VDI3" i="53"/>
  <c r="NJK3" i="53"/>
  <c r="HDQ3" i="53"/>
  <c r="MIN3" i="53"/>
  <c r="JFQ3" i="53"/>
  <c r="NGB3" i="53"/>
  <c r="JHB3" i="53"/>
  <c r="VKJ3" i="53"/>
  <c r="IIM3" i="53"/>
  <c r="DDL3" i="53"/>
  <c r="TXI3" i="53"/>
  <c r="EYM3" i="53"/>
  <c r="RUQ3" i="53"/>
  <c r="UDQ3" i="53"/>
  <c r="NCG3" i="53"/>
  <c r="RVV3" i="53"/>
  <c r="FFG3" i="53"/>
  <c r="ABQ3" i="53"/>
  <c r="E10" i="31"/>
  <c r="MCU3" i="53"/>
  <c r="RYM3" i="53"/>
  <c r="BMT3" i="53"/>
  <c r="VTA3" i="53"/>
  <c r="DUS3" i="53"/>
  <c r="JRW3" i="53"/>
  <c r="QUT3" i="53"/>
  <c r="ORH3" i="53"/>
  <c r="QB3" i="53"/>
  <c r="ECG3" i="53"/>
  <c r="SHH3" i="53"/>
  <c r="GTZ3" i="53"/>
  <c r="MJA3" i="53"/>
  <c r="QBL3" i="53"/>
  <c r="LGV3" i="53"/>
  <c r="FBH3" i="53"/>
  <c r="WVQ3" i="53"/>
  <c r="KCJ3" i="53"/>
  <c r="RBG3" i="53"/>
  <c r="BAB3" i="53"/>
  <c r="CUD3" i="53"/>
  <c r="LUK3" i="53"/>
  <c r="OYJ3" i="53"/>
  <c r="CU3" i="53"/>
  <c r="G3" i="26"/>
  <c r="UAI3" i="53"/>
  <c r="HDS3" i="53"/>
  <c r="ILJ3" i="53"/>
  <c r="PD3" i="53"/>
  <c r="ALB3" i="53"/>
  <c r="PUA3" i="53"/>
  <c r="DUC3" i="53"/>
  <c r="HDU3" i="53"/>
  <c r="NLC3" i="53"/>
  <c r="OZZ3" i="53"/>
  <c r="ZE3" i="53"/>
  <c r="VJI3" i="53"/>
  <c r="DAM3" i="53"/>
  <c r="CAJ3" i="53"/>
  <c r="ETQ3" i="53"/>
  <c r="UZE3" i="53"/>
  <c r="GRC3" i="53"/>
  <c r="LIN3" i="53"/>
  <c r="QJJ3" i="53"/>
  <c r="HRF3" i="53"/>
  <c r="VDQ3" i="53"/>
  <c r="LHO3" i="53"/>
  <c r="BGY3" i="53"/>
  <c r="RVU3" i="53"/>
  <c r="AYH3" i="53"/>
  <c r="WOE3" i="53"/>
  <c r="CLJ3" i="53"/>
  <c r="RES3" i="53"/>
  <c r="IBR3" i="53"/>
  <c r="EOV3" i="53"/>
  <c r="WKM3" i="53"/>
  <c r="MWT3" i="53"/>
  <c r="OIB3" i="53"/>
  <c r="FGA3" i="53"/>
  <c r="LIE3" i="53"/>
  <c r="XEL3" i="53"/>
  <c r="JB3" i="53"/>
  <c r="JCQ3" i="53"/>
  <c r="BSE3" i="53"/>
  <c r="PWH3" i="53"/>
  <c r="OUQ3" i="53"/>
  <c r="CRC3" i="53"/>
  <c r="HQZ3" i="53"/>
  <c r="VFD3" i="53"/>
  <c r="DWE3" i="53"/>
  <c r="TV3" i="53"/>
  <c r="RYG3" i="53"/>
  <c r="TWS3" i="53"/>
  <c r="TWQ3" i="53"/>
  <c r="TMT3" i="53"/>
  <c r="PFN3" i="53"/>
  <c r="DSK3" i="53"/>
  <c r="XAN3" i="53"/>
  <c r="LRV3" i="53"/>
  <c r="FF3" i="53"/>
  <c r="OGV3" i="53"/>
  <c r="AEA3" i="53"/>
  <c r="SUK3" i="53"/>
  <c r="POB3" i="53"/>
  <c r="QVQ3" i="53"/>
  <c r="CVX3" i="53"/>
  <c r="FCC3" i="53"/>
  <c r="HVI3" i="53"/>
  <c r="PUY3" i="53"/>
  <c r="LMY3" i="53"/>
  <c r="BDQ3" i="53"/>
  <c r="G3" i="28"/>
  <c r="RWY3" i="53"/>
  <c r="WMP3" i="53"/>
  <c r="MRX3" i="53"/>
  <c r="OCT3" i="53"/>
  <c r="NZX3" i="53"/>
  <c r="GXV3" i="53"/>
  <c r="BGO3" i="53"/>
  <c r="KYT3" i="53"/>
  <c r="IQT3" i="53"/>
  <c r="NMO3" i="53"/>
  <c r="JWN3" i="53"/>
  <c r="EYH3" i="53"/>
  <c r="RLO3" i="53"/>
  <c r="CEM3" i="53"/>
  <c r="JNZ3" i="53"/>
  <c r="DFN3" i="53"/>
  <c r="JHU3" i="53"/>
  <c r="HNE3" i="53"/>
  <c r="KNK3" i="53"/>
  <c r="TKE3" i="53"/>
  <c r="OYW3" i="53"/>
  <c r="EJO3" i="53"/>
  <c r="QGH3" i="53"/>
  <c r="WDJ3" i="53"/>
  <c r="KDO3" i="53"/>
  <c r="WOQ3" i="53"/>
  <c r="DQX3" i="53"/>
  <c r="SNH3" i="53"/>
  <c r="TD3" i="53"/>
  <c r="AML3" i="53"/>
  <c r="QFX3" i="53"/>
  <c r="NKS3" i="53"/>
  <c r="BZQ3" i="53"/>
  <c r="KHG3" i="53"/>
  <c r="TNT3" i="53"/>
  <c r="AGV3" i="53"/>
  <c r="CBK3" i="53"/>
  <c r="HXY3" i="53"/>
  <c r="GJG3" i="53"/>
  <c r="SPQ3" i="53"/>
  <c r="LSH3" i="53"/>
  <c r="NFH3" i="53"/>
  <c r="WBD3" i="53"/>
  <c r="BYR3" i="53"/>
  <c r="MVB3" i="53"/>
  <c r="QNP3" i="53"/>
  <c r="QVG3" i="53"/>
  <c r="TPC3" i="53"/>
  <c r="IDU3" i="53"/>
  <c r="GDB3" i="53"/>
  <c r="LDT3" i="53"/>
  <c r="ZP3" i="53"/>
  <c r="DSG3" i="53"/>
  <c r="AGO3" i="53"/>
  <c r="MMT3" i="53"/>
  <c r="C53" i="53"/>
  <c r="DVY3" i="53"/>
  <c r="VRT3" i="53"/>
  <c r="UZY3" i="53"/>
  <c r="DWO3" i="53"/>
  <c r="JHP3" i="53"/>
  <c r="NWS3" i="53"/>
  <c r="IWK3" i="53"/>
  <c r="RYD3" i="53"/>
  <c r="JSY3" i="53"/>
  <c r="GPK3" i="53"/>
  <c r="KKY3" i="53"/>
  <c r="MNA3" i="53"/>
  <c r="UPH3" i="53"/>
  <c r="NDU3" i="53"/>
  <c r="VMU3" i="53"/>
  <c r="MYW3" i="53"/>
  <c r="JGZ3" i="53"/>
  <c r="CCK3" i="53"/>
  <c r="E3" i="34"/>
  <c r="PIJ3" i="53"/>
  <c r="OZN3" i="53"/>
  <c r="ERH3" i="53"/>
  <c r="STR3" i="53"/>
  <c r="RUO3" i="53"/>
  <c r="RMC3" i="53"/>
  <c r="HTN3" i="53"/>
  <c r="JHT3" i="53"/>
  <c r="WWT3" i="53"/>
  <c r="VGS3" i="53"/>
  <c r="ADC3" i="53"/>
  <c r="XBJ3" i="53"/>
  <c r="SIN3" i="53"/>
  <c r="DZK3" i="53"/>
  <c r="WX3" i="53"/>
  <c r="BVH3" i="53"/>
  <c r="FQS3" i="53"/>
  <c r="VNA3" i="53"/>
  <c r="GID3" i="53"/>
  <c r="ADB3" i="53"/>
  <c r="RUL3" i="53"/>
  <c r="XBN3" i="53"/>
  <c r="RQN3" i="53"/>
  <c r="OHG3" i="53"/>
  <c r="RRE3" i="53"/>
  <c r="AWE3" i="53"/>
  <c r="IY3" i="53"/>
  <c r="ANW3" i="53"/>
  <c r="OCX3" i="53"/>
  <c r="SWR3" i="53"/>
  <c r="TAH3" i="53"/>
  <c r="ITP3" i="53"/>
  <c r="FZM3" i="53"/>
  <c r="TOO3" i="53"/>
  <c r="DMK3" i="53"/>
  <c r="UVH3" i="53"/>
  <c r="MQF3" i="53"/>
  <c r="LQT3" i="53"/>
  <c r="FJG3" i="53"/>
  <c r="VEL3" i="53"/>
  <c r="EFK3" i="53"/>
  <c r="DYX3" i="53"/>
  <c r="XEE3" i="53"/>
  <c r="VXO3" i="53"/>
  <c r="LXF3" i="53"/>
  <c r="FSC3" i="53"/>
  <c r="HDV3" i="53"/>
  <c r="BQW3" i="53"/>
  <c r="LPV3" i="53"/>
  <c r="PVA3" i="53"/>
  <c r="QIT3" i="53"/>
  <c r="JON3" i="53"/>
  <c r="FZU3" i="53"/>
  <c r="FJO3" i="53"/>
  <c r="DMB3" i="53"/>
  <c r="GDM3" i="53"/>
  <c r="HZL3" i="53"/>
  <c r="AMS3" i="53"/>
  <c r="TMF3" i="53"/>
  <c r="MUA3" i="53"/>
  <c r="BRR3" i="53"/>
  <c r="MID3" i="53"/>
  <c r="HOC3" i="53"/>
  <c r="NHT3" i="53"/>
  <c r="VGW3" i="53"/>
  <c r="FZX3" i="53"/>
  <c r="QSB3" i="53"/>
  <c r="WQT3" i="53"/>
  <c r="JAX3" i="53"/>
  <c r="XBZ3" i="53"/>
  <c r="PJF3" i="53"/>
  <c r="SGV3" i="53"/>
  <c r="BZH3" i="53"/>
  <c r="TFR3" i="53"/>
  <c r="EGK3" i="53"/>
  <c r="NNC3" i="53"/>
  <c r="DSZ3" i="53"/>
  <c r="KKI3" i="53"/>
  <c r="TYE3" i="53"/>
  <c r="PQL3" i="53"/>
  <c r="UM3" i="53"/>
  <c r="FWV3" i="53"/>
  <c r="IZR3" i="53"/>
  <c r="VOW3" i="53"/>
  <c r="LNJ3" i="53"/>
  <c r="AII3" i="53"/>
  <c r="C26" i="53"/>
  <c r="VDJ3" i="53"/>
  <c r="DAU3" i="53"/>
  <c r="UGY3" i="53"/>
  <c r="TPN3" i="53"/>
  <c r="TEX3" i="53"/>
  <c r="CDN3" i="53"/>
  <c r="BKN3" i="53"/>
  <c r="AAB3" i="53"/>
  <c r="JZB3" i="53"/>
  <c r="KJX3" i="53"/>
  <c r="KSX3" i="53"/>
  <c r="B3" i="57"/>
  <c r="HXS3" i="53"/>
  <c r="NCU3" i="53"/>
  <c r="QIV3" i="53"/>
  <c r="BYB3" i="53"/>
  <c r="WLO3" i="53"/>
  <c r="RYL3" i="53"/>
  <c r="FBE3" i="53"/>
  <c r="SHL3" i="53"/>
  <c r="UXK3" i="53"/>
  <c r="VQV3" i="53"/>
  <c r="BPA3" i="53"/>
  <c r="WQE3" i="53"/>
  <c r="PWB3" i="53"/>
  <c r="GKI3" i="53"/>
  <c r="HYN3" i="53"/>
  <c r="QZL3" i="53"/>
  <c r="JKM3" i="53"/>
  <c r="UEL3" i="53"/>
  <c r="UGJ3" i="53"/>
  <c r="BXS3" i="53"/>
  <c r="KEJ3" i="53"/>
  <c r="NPE3" i="53"/>
  <c r="WXG3" i="53"/>
  <c r="WWG3" i="53"/>
  <c r="MMR3" i="53"/>
  <c r="VVE3" i="53"/>
  <c r="SZX3" i="53"/>
  <c r="INS3" i="53"/>
  <c r="MRF3" i="53"/>
  <c r="BRQ3" i="53"/>
  <c r="ENY3" i="53"/>
  <c r="FWA3" i="53"/>
  <c r="CXE3" i="53"/>
  <c r="QJM3" i="53"/>
  <c r="QGJ3" i="53"/>
  <c r="NIA3" i="53"/>
  <c r="LUP3" i="53"/>
  <c r="DMR3" i="53"/>
  <c r="QAF3" i="53"/>
  <c r="TCF3" i="53"/>
  <c r="ORP3" i="53"/>
  <c r="ABN3" i="53"/>
  <c r="UHA3" i="53"/>
  <c r="QJK3" i="53"/>
  <c r="ULM3" i="53"/>
  <c r="DKJ3" i="53"/>
  <c r="WZT3" i="53"/>
  <c r="CGL3" i="53"/>
  <c r="AOW3" i="53"/>
  <c r="PDE3" i="53"/>
  <c r="NKX3" i="53"/>
  <c r="KVB3" i="53"/>
  <c r="DRX3" i="53"/>
  <c r="VTY3" i="53"/>
  <c r="CLB3" i="53"/>
  <c r="GAN3" i="53"/>
  <c r="JUQ3" i="53"/>
  <c r="LDA3" i="53"/>
  <c r="HAR3" i="53"/>
  <c r="TJT3" i="53"/>
  <c r="OVJ3" i="53"/>
  <c r="WXQ3" i="53"/>
  <c r="IME3" i="53"/>
  <c r="MBP3" i="53"/>
  <c r="VTK3" i="53"/>
  <c r="IEK3" i="53"/>
  <c r="SFT3" i="53"/>
  <c r="IAD3" i="53"/>
  <c r="PQP3" i="53"/>
  <c r="MAT3" i="53"/>
  <c r="JNV3" i="53"/>
  <c r="RZB3" i="53"/>
  <c r="HJE3" i="53"/>
  <c r="TGM3" i="53"/>
  <c r="OIR3" i="53"/>
  <c r="HTK3" i="53"/>
  <c r="OEV3" i="53"/>
  <c r="IR3" i="53"/>
  <c r="IIB3" i="53"/>
  <c r="TYM3" i="53"/>
  <c r="OSB3" i="53"/>
  <c r="HF3" i="53"/>
  <c r="JQH3" i="53"/>
  <c r="SMG3" i="53"/>
  <c r="KJR3" i="53"/>
  <c r="DHS3" i="53"/>
  <c r="KGW3" i="53"/>
  <c r="UOR3" i="53"/>
  <c r="OVN3" i="53"/>
  <c r="UYI3" i="53"/>
  <c r="VDA3" i="53"/>
  <c r="CAD3" i="53"/>
  <c r="IJA3" i="53"/>
  <c r="VGD3" i="53"/>
  <c r="C58" i="53"/>
  <c r="LQI3" i="53"/>
  <c r="OXH3" i="53"/>
  <c r="OZV3" i="53"/>
  <c r="DJW3" i="53"/>
  <c r="JYW3" i="53"/>
  <c r="EYX3" i="53"/>
  <c r="FHX3" i="53"/>
  <c r="NPJ3" i="53"/>
  <c r="WNH3" i="53"/>
  <c r="BP3" i="53"/>
  <c r="FPU3" i="53"/>
  <c r="WMO3" i="53"/>
  <c r="UTH3" i="53"/>
  <c r="DJS3" i="53"/>
  <c r="UQA3" i="53"/>
  <c r="DFW3" i="53"/>
  <c r="QRB3" i="53"/>
  <c r="ANN3" i="53"/>
  <c r="APC3" i="53"/>
  <c r="JSP3" i="53"/>
  <c r="VCD3" i="53"/>
  <c r="IHS3" i="53"/>
  <c r="DAY3" i="53"/>
  <c r="MFC3" i="53"/>
  <c r="MSA3" i="53"/>
  <c r="IVI3" i="53"/>
  <c r="AXG3" i="53"/>
  <c r="HOL3" i="53"/>
  <c r="VHL3" i="53"/>
  <c r="CRL3" i="53"/>
  <c r="XK3" i="53"/>
  <c r="CIR3" i="53"/>
  <c r="KAY3" i="53"/>
  <c r="UYM3" i="53"/>
  <c r="FCN3" i="53"/>
  <c r="JUT3" i="53"/>
  <c r="HNG3" i="53"/>
  <c r="EID3" i="53"/>
  <c r="WGL3" i="53"/>
  <c r="LSR3" i="53"/>
  <c r="DUW3" i="53"/>
  <c r="LGU3" i="53"/>
  <c r="GES3" i="53"/>
  <c r="BG3" i="53"/>
  <c r="NXU3" i="53"/>
  <c r="JYX3" i="53"/>
  <c r="MXX3" i="53"/>
  <c r="RQM3" i="53"/>
  <c r="GJU3" i="53"/>
  <c r="WWC3" i="53"/>
  <c r="EEI3" i="53"/>
  <c r="SYF3" i="53"/>
  <c r="FMI3" i="53"/>
  <c r="LSY3" i="53"/>
  <c r="DJF3" i="53"/>
  <c r="EPF3" i="53"/>
  <c r="XDQ3" i="53"/>
  <c r="DUM3" i="53"/>
  <c r="AJQ3" i="53"/>
  <c r="LUC3" i="53"/>
  <c r="DJB3" i="53"/>
  <c r="LWR3" i="53"/>
  <c r="UXB3" i="53"/>
  <c r="BJZ3" i="53"/>
  <c r="E3" i="54"/>
  <c r="NYG3" i="53"/>
  <c r="NGD3" i="53"/>
  <c r="VID3" i="53"/>
  <c r="VHP3" i="53"/>
  <c r="EQU3" i="53"/>
  <c r="GJL3" i="53"/>
  <c r="JRR3" i="53"/>
  <c r="A3" i="15"/>
  <c r="JZY3" i="53"/>
  <c r="SDG3" i="53"/>
  <c r="GTT3" i="53"/>
  <c r="UNQ3" i="53"/>
  <c r="PBA3" i="53"/>
  <c r="TBT3" i="53"/>
  <c r="SKC3" i="53"/>
  <c r="CAU3" i="53"/>
  <c r="LAN3" i="53"/>
  <c r="EAC3" i="53"/>
  <c r="WEA3" i="53"/>
  <c r="EKM3" i="53"/>
  <c r="DJY3" i="53"/>
  <c r="WEM3" i="53"/>
  <c r="SFO3" i="53"/>
  <c r="PCB3" i="53"/>
  <c r="QGC3" i="53"/>
  <c r="SOV3" i="53"/>
  <c r="SPK3" i="53"/>
  <c r="IDI3" i="53"/>
  <c r="KBG3" i="53"/>
  <c r="CJH3" i="53"/>
  <c r="ESD3" i="53"/>
  <c r="NXW3" i="53"/>
  <c r="OOZ3" i="53"/>
  <c r="GIB3" i="53"/>
  <c r="BMN3" i="53"/>
  <c r="QQE3" i="53"/>
  <c r="DAK3" i="53"/>
  <c r="EZR3" i="53"/>
  <c r="PEZ3" i="53"/>
  <c r="IGW3" i="53"/>
  <c r="KDD3" i="53"/>
  <c r="DT3" i="53"/>
  <c r="AES3" i="53"/>
  <c r="BOQ3" i="53"/>
  <c r="JTM3" i="53"/>
  <c r="OJM3" i="53"/>
  <c r="IFL3" i="53"/>
  <c r="SEP3" i="53"/>
  <c r="PTV3" i="53"/>
  <c r="IMD3" i="53"/>
  <c r="JAL3" i="53"/>
  <c r="DGM3" i="53"/>
  <c r="QPS3" i="53"/>
  <c r="GQQ3" i="53"/>
  <c r="ALR3" i="53"/>
  <c r="AAV3" i="53"/>
  <c r="OVQ3" i="53"/>
  <c r="IGB3" i="53"/>
  <c r="H3" i="4"/>
  <c r="VKQ3" i="53"/>
  <c r="MYS3" i="53"/>
  <c r="GWW3" i="53"/>
  <c r="JTR3" i="53"/>
  <c r="DUG3" i="53"/>
  <c r="DEJ3" i="53"/>
  <c r="JAB3" i="53"/>
  <c r="URC3" i="53"/>
  <c r="BXF3" i="53"/>
  <c r="DTU3" i="53"/>
  <c r="RBM3" i="53"/>
  <c r="C30" i="2"/>
  <c r="KLQ3" i="53"/>
  <c r="CQG3" i="53"/>
  <c r="IFJ3" i="53"/>
  <c r="OOK3" i="53"/>
  <c r="QDY3" i="53"/>
  <c r="TNM3" i="53"/>
  <c r="QCY3" i="53"/>
  <c r="VUG3" i="53"/>
  <c r="TGJ3" i="53"/>
  <c r="COR3" i="53"/>
  <c r="WVS3" i="53"/>
  <c r="UUR3" i="53"/>
  <c r="AIZ3" i="53"/>
  <c r="C21" i="53"/>
  <c r="DLF3" i="53"/>
  <c r="ETO3" i="53"/>
  <c r="KP3" i="53"/>
  <c r="P3" i="12"/>
  <c r="QKP3" i="53"/>
  <c r="PFU3" i="53"/>
  <c r="IVH3" i="53"/>
  <c r="BRE3" i="53"/>
  <c r="SAC3" i="53"/>
  <c r="FXJ3" i="53"/>
  <c r="IPN3" i="53"/>
  <c r="MQI3" i="53"/>
  <c r="VXQ3" i="53"/>
  <c r="VBE3" i="53"/>
  <c r="FUZ3" i="53"/>
  <c r="MJW3" i="53"/>
  <c r="TAR3" i="53"/>
  <c r="LEJ3" i="53"/>
  <c r="CAM3" i="53"/>
  <c r="EQG3" i="53"/>
  <c r="LKN3" i="53"/>
  <c r="NTE3" i="53"/>
  <c r="LOJ3" i="53"/>
  <c r="RKL3" i="53"/>
  <c r="CAH3" i="53"/>
  <c r="QEX3" i="53"/>
  <c r="AAP3" i="53"/>
  <c r="KJW3" i="53"/>
  <c r="RAH3" i="53"/>
  <c r="PUM3" i="53"/>
  <c r="IWI3" i="53"/>
  <c r="EKW3" i="53"/>
  <c r="JNO3" i="53"/>
  <c r="MEE3" i="53"/>
  <c r="CKN3" i="53"/>
  <c r="BLN3" i="53"/>
  <c r="LYR3" i="53"/>
  <c r="IFQ3" i="53"/>
  <c r="AFL3" i="53"/>
  <c r="KQH3" i="53"/>
  <c r="PVZ3" i="53"/>
  <c r="KCC3" i="53"/>
  <c r="ACD3" i="53"/>
  <c r="HMX3" i="53"/>
  <c r="SJV3" i="53"/>
  <c r="EEZ3" i="53"/>
  <c r="HGO3" i="53"/>
  <c r="F3" i="40"/>
  <c r="NZL3" i="53"/>
  <c r="NWM3" i="53"/>
  <c r="UJD3" i="53"/>
  <c r="TBU3" i="53"/>
  <c r="TLQ3" i="53"/>
  <c r="WNN3" i="53"/>
  <c r="EEV3" i="53"/>
  <c r="RWN3" i="53"/>
  <c r="AVH3" i="53"/>
  <c r="TFS3" i="53"/>
  <c r="KQQ3" i="53"/>
  <c r="KBO3" i="53"/>
  <c r="SIR3" i="53"/>
  <c r="CQD3" i="53"/>
  <c r="KLU3" i="53"/>
  <c r="RNA3" i="53"/>
  <c r="FUV3" i="53"/>
  <c r="NIX3" i="53"/>
  <c r="BLG3" i="53"/>
  <c r="HYY3" i="53"/>
  <c r="JYH3" i="53"/>
  <c r="NYR3" i="53"/>
  <c r="FQQ3" i="53"/>
  <c r="PWY3" i="53"/>
  <c r="KCD3" i="53"/>
  <c r="UZA3" i="53"/>
  <c r="CUO3" i="53"/>
  <c r="QQU3" i="53"/>
  <c r="MGP3" i="53"/>
  <c r="CXC3" i="53"/>
  <c r="UGA3" i="53"/>
  <c r="HOD3" i="53"/>
  <c r="EIP3" i="53"/>
  <c r="FRQ3" i="53"/>
  <c r="FU3" i="53"/>
  <c r="QCS3" i="53"/>
  <c r="HTY3" i="53"/>
  <c r="HSK3" i="53"/>
  <c r="BTU3" i="53"/>
  <c r="FVP3" i="53"/>
  <c r="IYO3" i="53"/>
  <c r="ROX3" i="53"/>
  <c r="NTS3" i="53"/>
  <c r="TJF3" i="53"/>
  <c r="KBH3" i="53"/>
  <c r="RCN3" i="53"/>
  <c r="IFE3" i="53"/>
  <c r="SJM3" i="53"/>
  <c r="OPP3" i="53"/>
  <c r="CSZ3" i="53"/>
  <c r="LAS3" i="53"/>
  <c r="PQS3" i="53"/>
  <c r="CJF3" i="53"/>
  <c r="URL3" i="53"/>
  <c r="AJL3" i="53"/>
  <c r="PDK3" i="53"/>
  <c r="UFI3" i="53"/>
  <c r="KRK3" i="53"/>
  <c r="QE3" i="53"/>
  <c r="FQH3" i="53"/>
  <c r="TXR3" i="53"/>
  <c r="KDM3" i="53"/>
  <c r="LMV3" i="53"/>
  <c r="OUX3" i="53"/>
  <c r="MEC3" i="53"/>
  <c r="GYK3" i="53"/>
  <c r="VQI3" i="53"/>
  <c r="WIV3" i="53"/>
  <c r="N3" i="12"/>
  <c r="NPR3" i="53"/>
  <c r="DCF3" i="53"/>
  <c r="F3" i="4"/>
  <c r="PBK3" i="53"/>
  <c r="JIZ3" i="53"/>
  <c r="RTZ3" i="53"/>
  <c r="GNL3" i="53"/>
  <c r="WOJ3" i="53"/>
  <c r="MKV3" i="53"/>
  <c r="SSB3" i="53"/>
  <c r="GSU3" i="53"/>
  <c r="IZQ3" i="53"/>
  <c r="PJE3" i="53"/>
  <c r="FNK3" i="53"/>
  <c r="AHU3" i="53"/>
  <c r="LXU3" i="53"/>
  <c r="NKO3" i="53"/>
  <c r="SZJ3" i="53"/>
  <c r="QSA3" i="53"/>
  <c r="PIX3" i="53"/>
  <c r="LRR3" i="53"/>
  <c r="RXQ3" i="53"/>
  <c r="HRS3" i="53"/>
  <c r="OKN3" i="53"/>
  <c r="UWO3" i="53"/>
  <c r="LGR3" i="53"/>
  <c r="OML3" i="53"/>
  <c r="KOS3" i="53"/>
  <c r="KW3" i="53"/>
  <c r="RBH3" i="53"/>
  <c r="DE3" i="53"/>
  <c r="PIK3" i="53"/>
  <c r="SEO3" i="53"/>
  <c r="FPJ3" i="53"/>
  <c r="CYQ3" i="53"/>
  <c r="VHT3" i="53"/>
  <c r="KZO3" i="53"/>
  <c r="LOL3" i="53"/>
  <c r="UJZ3" i="53"/>
  <c r="VMJ3" i="53"/>
  <c r="ACO3" i="53"/>
  <c r="VZM3" i="53"/>
  <c r="UKT3" i="53"/>
  <c r="F3" i="6"/>
  <c r="OQN3" i="53"/>
  <c r="UOU3" i="53"/>
  <c r="ARG3" i="53"/>
  <c r="DU3" i="53"/>
  <c r="WTE3" i="53"/>
  <c r="CNF3" i="53"/>
  <c r="ZF3" i="53"/>
  <c r="SPT3" i="53"/>
  <c r="TTI3" i="53"/>
  <c r="KLS3" i="53"/>
  <c r="NIO3" i="53"/>
  <c r="SOW3" i="53"/>
  <c r="PGL3" i="53"/>
  <c r="JBO3" i="53"/>
  <c r="ATF3" i="53"/>
  <c r="VTJ3" i="53"/>
  <c r="DQD3" i="53"/>
  <c r="EGS3" i="53"/>
  <c r="KNJ3" i="53"/>
  <c r="KTD3" i="53"/>
  <c r="TQ3" i="53"/>
  <c r="KFF3" i="53"/>
  <c r="XCF3" i="53"/>
  <c r="NSQ3" i="53"/>
  <c r="OVC3" i="53"/>
  <c r="XEF3" i="53"/>
  <c r="OOP3" i="53"/>
  <c r="CLX3" i="53"/>
  <c r="GAO3" i="53"/>
  <c r="TSG3" i="53"/>
  <c r="IZH3" i="53"/>
  <c r="JDO3" i="53"/>
  <c r="BNE3" i="53"/>
  <c r="EBD3" i="53"/>
  <c r="MGC3" i="53"/>
  <c r="WMK3" i="53"/>
  <c r="EHB3" i="53"/>
  <c r="OOE3" i="53"/>
  <c r="CYT3" i="53"/>
  <c r="ICG3" i="53"/>
  <c r="BQG3" i="53"/>
  <c r="QX3" i="53"/>
  <c r="UMU3" i="53"/>
  <c r="SJA3" i="53"/>
  <c r="CEZ3" i="53"/>
  <c r="UNX3" i="53"/>
  <c r="LKW3" i="53"/>
  <c r="HPY3" i="53"/>
  <c r="VND3" i="53"/>
  <c r="FOI3" i="53"/>
  <c r="AAL3" i="53"/>
  <c r="BOV3" i="53"/>
  <c r="TIC3" i="53"/>
  <c r="NAX3" i="53"/>
  <c r="PAI3" i="53"/>
  <c r="FBG3" i="53"/>
  <c r="BIK3" i="53"/>
  <c r="UZX3" i="53"/>
  <c r="MFW3" i="53"/>
  <c r="VDY3" i="53"/>
  <c r="NOB3" i="53"/>
  <c r="ZH3" i="53"/>
  <c r="KNG3" i="53"/>
  <c r="DPI3" i="53"/>
  <c r="KEY3" i="53"/>
  <c r="PZK3" i="53"/>
  <c r="LQK3" i="53"/>
  <c r="WSZ3" i="53"/>
  <c r="GHP3" i="53"/>
  <c r="SMT3" i="53"/>
  <c r="HKH3" i="53"/>
  <c r="JXZ3" i="53"/>
  <c r="AJX3" i="53"/>
  <c r="JGE3" i="53"/>
  <c r="FRV3" i="53"/>
  <c r="VWU3" i="53"/>
  <c r="EPG3" i="53"/>
  <c r="SBK3" i="53"/>
  <c r="QVO3" i="53"/>
  <c r="KES3" i="53"/>
  <c r="CBB3" i="53"/>
  <c r="KTZ3" i="53"/>
  <c r="EBO3" i="53"/>
  <c r="RRG3" i="53"/>
  <c r="GKY3" i="53"/>
  <c r="FWG3" i="53"/>
  <c r="SLQ3" i="53"/>
  <c r="IBZ3" i="53"/>
  <c r="VXC3" i="53"/>
  <c r="JAT3" i="53"/>
  <c r="GFE3" i="53"/>
  <c r="PKX3" i="53"/>
  <c r="SHX3" i="53"/>
  <c r="CAI3" i="53"/>
  <c r="CQC3" i="53"/>
  <c r="B3" i="6"/>
  <c r="IVK3" i="53"/>
  <c r="JLJ3" i="53"/>
  <c r="TP3" i="53"/>
  <c r="ALF3" i="53"/>
  <c r="JLX3" i="53"/>
  <c r="VEP3" i="53"/>
  <c r="GGU3" i="53"/>
  <c r="ISW3" i="53"/>
  <c r="KCS3" i="53"/>
  <c r="JSH3" i="53"/>
  <c r="TPP3" i="53"/>
  <c r="UZV3" i="53"/>
  <c r="GSQ3" i="53"/>
  <c r="UZB3" i="53"/>
  <c r="HCU3" i="53"/>
  <c r="TBB3" i="53"/>
  <c r="RGH3" i="53"/>
  <c r="TFV3" i="53"/>
  <c r="RT3" i="53"/>
  <c r="UON3" i="53"/>
  <c r="TKG3" i="53"/>
  <c r="CRR3" i="53"/>
  <c r="ARI3" i="53"/>
  <c r="ISF3" i="53"/>
  <c r="DLO3" i="53"/>
  <c r="NQI3" i="53"/>
  <c r="GEB3" i="53"/>
  <c r="D3" i="59"/>
  <c r="SIL3" i="53"/>
  <c r="TVI3" i="53"/>
  <c r="STL3" i="53"/>
  <c r="CZT3" i="53"/>
  <c r="BMX3" i="53"/>
  <c r="MZS3" i="53"/>
  <c r="HNJ3" i="53"/>
  <c r="HDE3" i="53"/>
  <c r="AM3" i="53"/>
  <c r="EXC3" i="53"/>
  <c r="RZX3" i="53"/>
  <c r="SUN3" i="53"/>
  <c r="JXG3" i="53"/>
  <c r="LYK3" i="53"/>
  <c r="BRW3" i="53"/>
  <c r="WFI3" i="53"/>
  <c r="BLR3" i="53"/>
  <c r="SLL3" i="53"/>
  <c r="DYV3" i="53"/>
  <c r="FDK3" i="53"/>
  <c r="QHZ3" i="53"/>
  <c r="KAP3" i="53"/>
  <c r="MXI3" i="53"/>
  <c r="WHY3" i="53"/>
  <c r="ANR3" i="53"/>
  <c r="MZO3" i="53"/>
  <c r="GFW3" i="53"/>
  <c r="JKX3" i="53"/>
  <c r="LYG3" i="53"/>
  <c r="PTD3" i="53"/>
  <c r="KWH3" i="53"/>
  <c r="GHY3" i="53"/>
  <c r="PLJ3" i="53"/>
  <c r="RJT3" i="53"/>
  <c r="FKE3" i="53"/>
  <c r="PQX3" i="53"/>
  <c r="JIK3" i="53"/>
  <c r="DWL3" i="53"/>
  <c r="FWK3" i="53"/>
  <c r="BPH3" i="53"/>
  <c r="BEH3" i="53"/>
  <c r="JCO3" i="53"/>
  <c r="LHV3" i="53"/>
  <c r="FRI3" i="53"/>
  <c r="OMZ3" i="53"/>
  <c r="AIF3" i="53"/>
  <c r="SYB3" i="53"/>
  <c r="UWG3" i="53"/>
  <c r="OOR3" i="53"/>
  <c r="CLR3" i="53"/>
  <c r="AJK3" i="53"/>
  <c r="EUZ3" i="53"/>
  <c r="LZ3" i="53"/>
  <c r="AZK3" i="53"/>
  <c r="HSX3" i="53"/>
  <c r="FSY3" i="53"/>
  <c r="LWY3" i="53"/>
  <c r="FIE3" i="53"/>
  <c r="MLG3" i="53"/>
  <c r="EM3" i="53"/>
  <c r="KGV3" i="53"/>
  <c r="GBO3" i="53"/>
  <c r="BOH3" i="53"/>
  <c r="TTW3" i="53"/>
  <c r="ICR3" i="53"/>
  <c r="CMH3" i="53"/>
  <c r="EST3" i="53"/>
  <c r="TIE3" i="53"/>
  <c r="JFA3" i="53"/>
  <c r="OKM3" i="53"/>
  <c r="LLH3" i="53"/>
  <c r="C12" i="31"/>
  <c r="NHA3" i="53"/>
  <c r="VLC3" i="53"/>
  <c r="BJL3" i="53"/>
  <c r="SSO3" i="53"/>
  <c r="GBX3" i="53"/>
  <c r="LEF3" i="53"/>
  <c r="LIS3" i="53"/>
  <c r="RJN3" i="53"/>
  <c r="WXS3" i="53"/>
  <c r="MIK3" i="53"/>
  <c r="TXY3" i="53"/>
  <c r="VMI3" i="53"/>
  <c r="JDV3" i="53"/>
  <c r="BCP3" i="53"/>
  <c r="ESU3" i="53"/>
  <c r="TAE3" i="53"/>
  <c r="QNQ3" i="53"/>
  <c r="SKO3" i="53"/>
  <c r="SWW3" i="53"/>
  <c r="ISD3" i="53"/>
  <c r="A3" i="42"/>
  <c r="CVZ3" i="53"/>
  <c r="HSE3" i="53"/>
  <c r="TWG3" i="53"/>
  <c r="HGV3" i="53"/>
  <c r="QYG3" i="53"/>
  <c r="FZI3" i="53"/>
  <c r="AVU3" i="53"/>
  <c r="OOT3" i="53"/>
  <c r="IWB3" i="53"/>
  <c r="MKB3" i="53"/>
  <c r="POA3" i="53"/>
  <c r="RD3" i="53"/>
  <c r="WFA3" i="53"/>
  <c r="WBA3" i="53"/>
  <c r="RUV3" i="53"/>
  <c r="WNQ3" i="53"/>
  <c r="AAT3" i="53"/>
  <c r="PRO3" i="53"/>
  <c r="WZQ3" i="53"/>
  <c r="DPT3" i="53"/>
  <c r="ITF3" i="53"/>
  <c r="HDO3" i="53"/>
  <c r="CHR3" i="53"/>
  <c r="CQA3" i="53"/>
  <c r="DTR3" i="53"/>
  <c r="FND3" i="53"/>
  <c r="CTQ3" i="53"/>
  <c r="RRR3" i="53"/>
  <c r="TKK3" i="53"/>
  <c r="JBX3" i="53"/>
  <c r="SHM3" i="53"/>
  <c r="RXI3" i="53"/>
  <c r="UAB3" i="53"/>
  <c r="GNQ3" i="53"/>
  <c r="GLV3" i="53"/>
  <c r="JDI3" i="53"/>
  <c r="JGW3" i="53"/>
  <c r="UNR3" i="53"/>
  <c r="QKS3" i="53"/>
  <c r="MWU3" i="53"/>
  <c r="JUV3" i="53"/>
  <c r="HFA3" i="53"/>
  <c r="RWE3" i="53"/>
  <c r="CPG3" i="53"/>
  <c r="SXP3" i="53"/>
  <c r="KSZ3" i="53"/>
  <c r="JGP3" i="53"/>
  <c r="FMF3" i="53"/>
  <c r="FBL3" i="53"/>
  <c r="BHB3" i="53"/>
  <c r="REV3" i="53"/>
  <c r="QBS3" i="53"/>
  <c r="KDE3" i="53"/>
  <c r="OHV3" i="53"/>
  <c r="WNR3" i="53"/>
  <c r="LBA3" i="53"/>
  <c r="ELQ3" i="53"/>
  <c r="C3" i="2"/>
  <c r="EEJ3" i="53"/>
  <c r="MDZ3" i="53"/>
  <c r="PEB3" i="53"/>
  <c r="CYE3" i="53"/>
  <c r="RM3" i="53"/>
  <c r="FMX3" i="53"/>
  <c r="LMK3" i="53"/>
  <c r="FJP3" i="53"/>
  <c r="EKE3" i="53"/>
  <c r="BBC3" i="53"/>
  <c r="KCP3" i="53"/>
  <c r="FZR3" i="53"/>
  <c r="RGL3" i="53"/>
  <c r="NVO3" i="53"/>
  <c r="NWB3" i="53"/>
  <c r="EXM3" i="53"/>
  <c r="EBU3" i="53"/>
  <c r="WSO3" i="53"/>
  <c r="CUQ3" i="53"/>
  <c r="JZR3" i="53"/>
  <c r="LIZ3" i="53"/>
  <c r="ICS3" i="53"/>
  <c r="OLW3" i="53"/>
  <c r="SAV3" i="53"/>
  <c r="NGF3" i="53"/>
  <c r="C42" i="53"/>
  <c r="TPR3" i="53"/>
  <c r="BHR3" i="53"/>
  <c r="ATA3" i="53"/>
  <c r="JHO3" i="53"/>
  <c r="SWA3" i="53"/>
  <c r="UWP3" i="53"/>
  <c r="KXO3" i="53"/>
  <c r="DNV3" i="53"/>
  <c r="AJS3" i="53"/>
  <c r="JIP3" i="53"/>
  <c r="UIG3" i="53"/>
  <c r="TMR3" i="53"/>
  <c r="SYX3" i="53"/>
  <c r="J3" i="47"/>
  <c r="LNS3" i="53"/>
  <c r="GIJ3" i="53"/>
  <c r="HDR3" i="53"/>
  <c r="PTU3" i="53"/>
  <c r="RRW3" i="53"/>
  <c r="ICF3" i="53"/>
  <c r="HYQ3" i="53"/>
  <c r="UNE3" i="53"/>
  <c r="KQG3" i="53"/>
  <c r="VEE3" i="53"/>
  <c r="SZC3" i="53"/>
  <c r="WYS3" i="53"/>
  <c r="B3" i="52"/>
  <c r="QMI3" i="53"/>
  <c r="BYQ3" i="53"/>
  <c r="QQ3" i="53"/>
  <c r="VCW3" i="53"/>
  <c r="GSE3" i="53"/>
  <c r="ENN3" i="53"/>
  <c r="SBR3" i="53"/>
  <c r="VBI3" i="53"/>
  <c r="OVI3" i="53"/>
  <c r="NYI3" i="53"/>
  <c r="FXS3" i="53"/>
  <c r="UVK3" i="53"/>
  <c r="ESE3" i="53"/>
  <c r="ECE3" i="53"/>
  <c r="KJE3" i="53"/>
  <c r="VZD3" i="53"/>
  <c r="EYR3" i="53"/>
  <c r="KIP3" i="53"/>
  <c r="OWO3" i="53"/>
  <c r="NKK3" i="53"/>
  <c r="BUQ3" i="53"/>
  <c r="AOQ3" i="53"/>
  <c r="KDS3" i="53"/>
  <c r="VQW3" i="53"/>
  <c r="UCF3" i="53"/>
  <c r="NJY3" i="53"/>
  <c r="EEW3" i="53"/>
  <c r="GL3" i="53"/>
  <c r="QZA3" i="53"/>
  <c r="TZT3" i="53"/>
  <c r="CBU3" i="53"/>
  <c r="KWW3" i="53"/>
  <c r="VPE3" i="53"/>
  <c r="PLU3" i="53"/>
  <c r="IK3" i="53"/>
  <c r="KYW3" i="53"/>
  <c r="PZF3" i="53"/>
  <c r="RKT3" i="53"/>
  <c r="CLW3" i="53"/>
  <c r="XDB3" i="53"/>
  <c r="KKS3" i="53"/>
  <c r="VGU3" i="53"/>
  <c r="ADE3" i="53"/>
  <c r="ROZ3" i="53"/>
  <c r="DYW3" i="53"/>
  <c r="JRI3" i="53"/>
  <c r="LXK3" i="53"/>
  <c r="RHE3" i="53"/>
  <c r="EWQ3" i="53"/>
  <c r="QES3" i="53"/>
  <c r="SCA3" i="53"/>
  <c r="NLP3" i="53"/>
  <c r="QMY3" i="53"/>
  <c r="DDV3" i="53"/>
  <c r="NPW3" i="53"/>
  <c r="GOM3" i="53"/>
  <c r="WXP3" i="53"/>
  <c r="KUO3" i="53"/>
  <c r="EUN3" i="53"/>
  <c r="JZC3" i="53"/>
  <c r="IOY3" i="53"/>
  <c r="FNM3" i="53"/>
  <c r="TWV3" i="53"/>
  <c r="SPI3" i="53"/>
  <c r="MKF3" i="53"/>
  <c r="GNK3" i="53"/>
  <c r="YR3" i="53"/>
  <c r="VNV3" i="53"/>
  <c r="VIX3" i="53"/>
  <c r="MYM3" i="53"/>
  <c r="GNJ3" i="53"/>
  <c r="HRK3" i="53"/>
  <c r="BTF3" i="53"/>
  <c r="IAZ3" i="53"/>
  <c r="EMQ3" i="53"/>
  <c r="MUT3" i="53"/>
  <c r="OGR3" i="53"/>
  <c r="BOZ3" i="53"/>
  <c r="HMP3" i="53"/>
  <c r="PAM3" i="53"/>
  <c r="DYS3" i="53"/>
  <c r="CMA3" i="53"/>
  <c r="EHV3" i="53"/>
  <c r="BPP3" i="53"/>
  <c r="JRH3" i="53"/>
  <c r="EEF3" i="53"/>
  <c r="QAP3" i="53"/>
  <c r="LHY3" i="53"/>
  <c r="KMX3" i="53"/>
  <c r="WVG3" i="53"/>
  <c r="CWC3" i="53"/>
  <c r="XFB3" i="53"/>
  <c r="KXF3" i="53"/>
  <c r="PEQ3" i="53"/>
  <c r="TRB3" i="53"/>
  <c r="WY3" i="53"/>
  <c r="NLA3" i="53"/>
  <c r="KDW3" i="53"/>
  <c r="JOW3" i="53"/>
  <c r="IAS3" i="53"/>
  <c r="TGD3" i="53"/>
  <c r="OHY3" i="53"/>
  <c r="TVX3" i="53"/>
  <c r="ITJ3" i="53"/>
  <c r="CLH3" i="53"/>
  <c r="IQB3" i="53"/>
  <c r="FWS3" i="53"/>
  <c r="ASM3" i="53"/>
  <c r="HUR3" i="53"/>
  <c r="UWE3" i="53"/>
  <c r="DQB3" i="53"/>
  <c r="NEW3" i="53"/>
  <c r="MYC3" i="53"/>
  <c r="FVF3" i="53"/>
  <c r="JCC3" i="53"/>
  <c r="AUQ3" i="53"/>
  <c r="FLB3" i="53"/>
  <c r="WIN3" i="53"/>
  <c r="SYH3" i="53"/>
  <c r="UCI3" i="53"/>
  <c r="UED3" i="53"/>
  <c r="URZ3" i="53"/>
  <c r="IMQ3" i="53"/>
  <c r="UXR3" i="53"/>
  <c r="OFL3" i="53"/>
  <c r="BLJ3" i="53"/>
  <c r="NJM3" i="53"/>
  <c r="OCR3" i="53"/>
  <c r="LZP3" i="53"/>
  <c r="SLM3" i="53"/>
  <c r="TAA3" i="53"/>
  <c r="TND3" i="53"/>
  <c r="UEV3" i="53"/>
  <c r="IHQ3" i="53"/>
  <c r="QZU3" i="53"/>
  <c r="JTD3" i="53"/>
  <c r="JLQ3" i="53"/>
  <c r="UWI3" i="53"/>
  <c r="RHX3" i="53"/>
  <c r="EMJ3" i="53"/>
  <c r="BIU3" i="53"/>
  <c r="KGR3" i="53"/>
  <c r="CJC3" i="53"/>
  <c r="PZX3" i="53"/>
  <c r="JHA3" i="53"/>
  <c r="POS3" i="53"/>
  <c r="LCE3" i="53"/>
  <c r="RMD3" i="53"/>
  <c r="WMT3" i="53"/>
  <c r="GR3" i="53"/>
  <c r="MMK3" i="53"/>
  <c r="SN3" i="53"/>
  <c r="FMD3" i="53"/>
  <c r="OFB3" i="53"/>
  <c r="DVG3" i="53"/>
  <c r="AVB3" i="53"/>
  <c r="FTJ3" i="53"/>
  <c r="RIU3" i="53"/>
  <c r="WDQ3" i="53"/>
  <c r="VNO3" i="53"/>
  <c r="POZ3" i="53"/>
  <c r="VKV3" i="53"/>
  <c r="NV3" i="53"/>
  <c r="HIQ3" i="53"/>
  <c r="MCY3" i="53"/>
  <c r="CKQ3" i="53"/>
  <c r="HA3" i="53"/>
  <c r="JMN3" i="53"/>
  <c r="DHR3" i="53"/>
  <c r="TFW3" i="53"/>
  <c r="GLW3" i="53"/>
  <c r="RJH3" i="53"/>
  <c r="UAH3" i="53"/>
  <c r="LYU3" i="53"/>
  <c r="KMZ3" i="53"/>
  <c r="GPT3" i="53"/>
  <c r="AQG3" i="53"/>
  <c r="PRG3" i="53"/>
  <c r="DRB3" i="53"/>
  <c r="WEU3" i="53"/>
  <c r="DJ3" i="53"/>
  <c r="MLZ3" i="53"/>
  <c r="LIH3" i="53"/>
  <c r="LKY3" i="53"/>
  <c r="RGU3" i="53"/>
  <c r="BQT3" i="53"/>
  <c r="DVF3" i="53"/>
  <c r="NWC3" i="53"/>
  <c r="ADH3" i="53"/>
  <c r="WOS3" i="53"/>
  <c r="LMM3" i="53"/>
  <c r="VKW3" i="53"/>
  <c r="RJM3" i="53"/>
  <c r="VPZ3" i="53"/>
  <c r="VHI3" i="53"/>
  <c r="GLE3" i="53"/>
  <c r="QHA3" i="53"/>
  <c r="DZS3" i="53"/>
  <c r="QEI3" i="53"/>
  <c r="HZV3" i="53"/>
  <c r="PCG3" i="53"/>
  <c r="BJY3" i="53"/>
  <c r="OAN3" i="53"/>
  <c r="GZS3" i="53"/>
  <c r="BGZ3" i="53"/>
  <c r="MDM3" i="53"/>
  <c r="PUI3" i="53"/>
  <c r="GAF3" i="53"/>
  <c r="DZQ3" i="53"/>
  <c r="INM3" i="53"/>
  <c r="RHR3" i="53"/>
  <c r="SKM3" i="53"/>
  <c r="AQU3" i="53"/>
  <c r="HQL3" i="53"/>
  <c r="OYX3" i="53"/>
  <c r="HSR3" i="53"/>
  <c r="QZQ3" i="53"/>
  <c r="KPA3" i="53"/>
  <c r="HPC3" i="53"/>
  <c r="DNA3" i="53"/>
  <c r="QEY3" i="53"/>
  <c r="SOB3" i="53"/>
  <c r="UQG3" i="53"/>
  <c r="HIM3" i="53"/>
  <c r="EOW3" i="53"/>
  <c r="L3" i="12"/>
  <c r="BPX3" i="53"/>
  <c r="KYQ3" i="53"/>
  <c r="TWK3" i="53"/>
  <c r="QHY3" i="53"/>
  <c r="JOS3" i="53"/>
  <c r="BRP3" i="53"/>
  <c r="AAH3" i="53"/>
  <c r="AZV3" i="53"/>
  <c r="RSY3" i="53"/>
  <c r="WNO3" i="53"/>
  <c r="VWD3" i="53"/>
  <c r="LSW3" i="53"/>
  <c r="UYZ3" i="53"/>
  <c r="MNF3" i="53"/>
  <c r="C47" i="53"/>
  <c r="VRF3" i="53"/>
  <c r="RFW3" i="53"/>
  <c r="DTO3" i="53"/>
  <c r="RUE3" i="53"/>
  <c r="PJD3" i="53"/>
  <c r="KLM3" i="53"/>
  <c r="BUJ3" i="53"/>
  <c r="EMA3" i="53"/>
  <c r="ORA3" i="53"/>
  <c r="QYT3" i="53"/>
  <c r="WNJ3" i="53"/>
  <c r="FJM3" i="53"/>
  <c r="JKE3" i="53"/>
  <c r="SMI3" i="53"/>
  <c r="HLY3" i="53"/>
  <c r="RFZ3" i="53"/>
  <c r="VVF3" i="53"/>
  <c r="GLN3" i="53"/>
  <c r="QCK3" i="53"/>
  <c r="LVY3" i="53"/>
  <c r="RHF3" i="53"/>
  <c r="CPV3" i="53"/>
  <c r="NEE3" i="53"/>
  <c r="QOY3" i="53"/>
  <c r="OQQ3" i="53"/>
  <c r="G3" i="2"/>
  <c r="POD3" i="53"/>
  <c r="MSC3" i="53"/>
  <c r="BTA3" i="53"/>
  <c r="QLS3" i="53"/>
  <c r="HBZ3" i="53"/>
  <c r="D3" i="56"/>
  <c r="WDS3" i="53"/>
  <c r="FUE3" i="53"/>
  <c r="ORD3" i="53"/>
  <c r="RIP3" i="53"/>
  <c r="LJM3" i="53"/>
  <c r="JQX3" i="53"/>
  <c r="KMI3" i="53"/>
  <c r="AOY3" i="53"/>
  <c r="FKX3" i="53"/>
  <c r="HSM3" i="53"/>
  <c r="BCY3" i="53"/>
  <c r="GBH3" i="53"/>
  <c r="GBF3" i="53"/>
  <c r="KDG3" i="53"/>
  <c r="MOO3" i="53"/>
  <c r="ER3" i="53"/>
  <c r="TWB3" i="53"/>
  <c r="ION3" i="53"/>
  <c r="WGS3" i="53"/>
  <c r="ILU3" i="53"/>
  <c r="LZC3" i="53"/>
  <c r="FLL3" i="53"/>
  <c r="PUO3" i="53"/>
  <c r="WZG3" i="53"/>
  <c r="ESZ3" i="53"/>
  <c r="DO3" i="53"/>
  <c r="TGO3" i="53"/>
  <c r="ITM3" i="53"/>
  <c r="NNW3" i="53"/>
  <c r="PAK3" i="53"/>
  <c r="FGI3" i="53"/>
  <c r="NMY3" i="53"/>
  <c r="BYX3" i="53"/>
  <c r="HGR3" i="53"/>
  <c r="QIJ3" i="53"/>
  <c r="TGP3" i="53"/>
  <c r="UHQ3" i="53"/>
  <c r="GUP3" i="53"/>
  <c r="FCE3" i="53"/>
  <c r="BMG3" i="53"/>
  <c r="XDW3" i="53"/>
  <c r="KJZ3" i="53"/>
  <c r="E60" i="4"/>
  <c r="LQB3" i="53"/>
  <c r="FGF3" i="53"/>
  <c r="BOX3" i="53"/>
  <c r="CHD3" i="53"/>
  <c r="HOT3" i="53"/>
  <c r="UXJ3" i="53"/>
  <c r="QTU3" i="53"/>
  <c r="ONN3" i="53"/>
  <c r="POT3" i="53"/>
  <c r="WPS3" i="53"/>
  <c r="RFC3" i="53"/>
  <c r="ECJ3" i="53"/>
  <c r="DJK3" i="53"/>
  <c r="TMG3" i="53"/>
  <c r="QPR3" i="53"/>
  <c r="ODC3" i="53"/>
  <c r="UJB3" i="53"/>
  <c r="TRP3" i="53"/>
  <c r="ROH3" i="53"/>
  <c r="IZI3" i="53"/>
  <c r="IKE3" i="53"/>
  <c r="HWU3" i="53"/>
  <c r="MUS3" i="53"/>
  <c r="PVE3" i="53"/>
  <c r="XCZ3" i="53"/>
  <c r="VZN3" i="53"/>
  <c r="CZS3" i="53"/>
  <c r="MLT3" i="53"/>
  <c r="RQJ3" i="53"/>
  <c r="AA3" i="53"/>
  <c r="CTJ3" i="53"/>
  <c r="FQM3" i="53"/>
  <c r="SFP3" i="53"/>
  <c r="SRV3" i="53"/>
  <c r="RTI3" i="53"/>
  <c r="WB3" i="53"/>
  <c r="OLI3" i="53"/>
  <c r="C3" i="34"/>
  <c r="VAZ3" i="53"/>
  <c r="VUQ3" i="53"/>
  <c r="HTW3" i="53"/>
  <c r="NFN3" i="53"/>
  <c r="JJW3" i="53"/>
  <c r="OPT3" i="53"/>
  <c r="NHE3" i="53"/>
  <c r="NOT3" i="53"/>
  <c r="ONI3" i="53"/>
  <c r="VZZ3" i="53"/>
  <c r="CCW3" i="53"/>
  <c r="OGG3" i="53"/>
  <c r="GGN3" i="53"/>
  <c r="VMY3" i="53"/>
  <c r="EEB3" i="53"/>
  <c r="DCT3" i="53"/>
  <c r="TAG3" i="53"/>
  <c r="NJV3" i="53"/>
  <c r="MNJ3" i="53"/>
  <c r="PYD3" i="53"/>
  <c r="IEQ3" i="53"/>
  <c r="OHB3" i="53"/>
  <c r="VST3" i="53"/>
  <c r="ERB3" i="53"/>
  <c r="IVR3" i="53"/>
  <c r="VBZ3" i="53"/>
  <c r="KEW3" i="53"/>
  <c r="TCJ3" i="53"/>
  <c r="MKU3" i="53"/>
  <c r="PUK3" i="53"/>
  <c r="QDL3" i="53"/>
  <c r="BLS3" i="53"/>
  <c r="DMH3" i="53"/>
  <c r="DSA3" i="53"/>
  <c r="UID3" i="53"/>
  <c r="HBN3" i="53"/>
  <c r="FPZ3" i="53"/>
  <c r="DDS3" i="53"/>
  <c r="GLR3" i="53"/>
  <c r="SRR3" i="53"/>
  <c r="VSI3" i="53"/>
  <c r="RVW3" i="53"/>
  <c r="UXF3" i="53"/>
  <c r="CRU3" i="53"/>
  <c r="QKG3" i="53"/>
  <c r="PP3" i="53"/>
  <c r="GKT3" i="53"/>
  <c r="MEV3" i="53"/>
  <c r="NBR3" i="53"/>
  <c r="STZ3" i="53"/>
  <c r="GOG3" i="53"/>
  <c r="GKO3" i="53"/>
  <c r="E63" i="4"/>
  <c r="PVO3" i="53"/>
  <c r="BUE3" i="53"/>
  <c r="CUA3" i="53"/>
  <c r="SDP3" i="53"/>
  <c r="FEV3" i="53"/>
  <c r="SIF3" i="53"/>
  <c r="PBP3" i="53"/>
  <c r="XDG3" i="53"/>
  <c r="RVJ3" i="53"/>
  <c r="LAX3" i="53"/>
  <c r="TOG3" i="53"/>
  <c r="ANM3" i="53"/>
  <c r="PLO3" i="53"/>
  <c r="HRY3" i="53"/>
  <c r="BBV3" i="53"/>
  <c r="QXL3" i="53"/>
  <c r="HNN3" i="53"/>
  <c r="WEK3" i="53"/>
  <c r="POK3" i="53"/>
  <c r="VMS3" i="53"/>
  <c r="JWS3" i="53"/>
  <c r="MDA3" i="53"/>
  <c r="TVA3" i="53"/>
  <c r="VDF3" i="53"/>
  <c r="OVR3" i="53"/>
  <c r="OOF3" i="53"/>
  <c r="ENV3" i="53"/>
  <c r="AMQ3" i="53"/>
  <c r="JYJ3" i="53"/>
  <c r="SI3" i="53"/>
  <c r="OMG3" i="53"/>
  <c r="IHC3" i="53"/>
  <c r="WKC3" i="53"/>
  <c r="URE3" i="53"/>
  <c r="QLB3" i="53"/>
  <c r="SIZ3" i="53"/>
  <c r="DCM3" i="53"/>
  <c r="NHX3" i="53"/>
  <c r="MZG3" i="53"/>
  <c r="KVA3" i="53"/>
  <c r="EOD3" i="53"/>
  <c r="BBS3" i="53"/>
  <c r="LXY3" i="53"/>
  <c r="DDZ3" i="53"/>
  <c r="AMK3" i="53"/>
  <c r="KVW3" i="53"/>
  <c r="GDZ3" i="53"/>
  <c r="BVX3" i="53"/>
  <c r="EUI3" i="53"/>
  <c r="XA3" i="53"/>
  <c r="BNT3" i="53"/>
  <c r="BQA3" i="53"/>
  <c r="VHR3" i="53"/>
  <c r="PXR3" i="53"/>
  <c r="GHT3" i="53"/>
  <c r="DHF3" i="53"/>
  <c r="JTX3" i="53"/>
  <c r="SZH3" i="53"/>
  <c r="PGR3" i="53"/>
  <c r="GPR3" i="53"/>
  <c r="C39" i="53"/>
  <c r="BIT3" i="53"/>
  <c r="BDF3" i="53"/>
  <c r="UQP3" i="53"/>
  <c r="KMT3" i="53"/>
  <c r="TOZ3" i="53"/>
  <c r="NHP3" i="53"/>
  <c r="BFW3" i="53"/>
  <c r="D3" i="57"/>
  <c r="TXW3" i="53"/>
  <c r="GXZ3" i="53"/>
  <c r="NCJ3" i="53"/>
  <c r="JZX3" i="53"/>
  <c r="TNE3" i="53"/>
  <c r="PXH3" i="53"/>
  <c r="MSS3" i="53"/>
  <c r="BRV3" i="53"/>
  <c r="J3" i="34"/>
  <c r="OAJ3" i="53"/>
  <c r="HIC3" i="53"/>
  <c r="IVN3" i="53"/>
  <c r="MRT3" i="53"/>
  <c r="WHZ3" i="53"/>
  <c r="BBR3" i="53"/>
  <c r="WDX3" i="53"/>
  <c r="NGR3" i="53"/>
  <c r="UUV3" i="53"/>
  <c r="JST3" i="53"/>
  <c r="WTY3" i="53"/>
  <c r="BDT3" i="53"/>
  <c r="LQD3" i="53"/>
  <c r="FVS3" i="53"/>
  <c r="RN3" i="53"/>
  <c r="EQR3" i="53"/>
  <c r="IDP3" i="53"/>
  <c r="VVL3" i="53"/>
  <c r="FJS3" i="53"/>
  <c r="FXK3" i="53"/>
  <c r="OBH3" i="53"/>
  <c r="GKK3" i="53"/>
  <c r="UEM3" i="53"/>
  <c r="MXU3" i="53"/>
  <c r="VIP3" i="53"/>
  <c r="NMG3" i="53"/>
  <c r="JGK3" i="53"/>
  <c r="UVR3" i="53"/>
  <c r="GHO3" i="53"/>
  <c r="UWX3" i="53"/>
  <c r="DVD3" i="53"/>
  <c r="TFA3" i="53"/>
  <c r="VEY3" i="53"/>
  <c r="EOX3" i="53"/>
  <c r="XDL3" i="53"/>
  <c r="XCH3" i="53"/>
  <c r="MQM3" i="53"/>
  <c r="VVS3" i="53"/>
  <c r="VD3" i="53"/>
  <c r="OUU3" i="53"/>
  <c r="FUC3" i="53"/>
  <c r="AFP3" i="53"/>
  <c r="HXN3" i="53"/>
  <c r="NLQ3" i="53"/>
  <c r="WAJ3" i="53"/>
  <c r="DXN3" i="53"/>
  <c r="POO3" i="53"/>
  <c r="DJZ3" i="53"/>
  <c r="KBY3" i="53"/>
  <c r="CWK3" i="53"/>
  <c r="TGW3" i="53"/>
  <c r="UBU3" i="53"/>
  <c r="TQR3" i="53"/>
  <c r="IPC3" i="53"/>
  <c r="LZL3" i="53"/>
  <c r="RNH3" i="53"/>
  <c r="TAO3" i="53"/>
  <c r="FRA3" i="53"/>
  <c r="LRK3" i="53"/>
  <c r="KWR3" i="53"/>
  <c r="K3" i="34"/>
  <c r="VFQ3" i="53"/>
  <c r="RDK3" i="53"/>
  <c r="VQH3" i="53"/>
  <c r="SUX3" i="53"/>
  <c r="GOB3" i="53"/>
  <c r="JVL3" i="53"/>
  <c r="LPP3" i="53"/>
  <c r="ROR3" i="53"/>
  <c r="UKU3" i="53"/>
  <c r="FT3" i="53"/>
  <c r="JLH3" i="53"/>
  <c r="OFN3" i="53"/>
  <c r="CSR3" i="53"/>
  <c r="NPA3" i="53"/>
  <c r="QNB3" i="53"/>
  <c r="DCU3" i="53"/>
  <c r="GXP3" i="53"/>
  <c r="IBV3" i="53"/>
  <c r="HWN3" i="53"/>
  <c r="REC3" i="53"/>
  <c r="GSD3" i="53"/>
  <c r="KJT3" i="53"/>
  <c r="REA3" i="53"/>
  <c r="LXC3" i="53"/>
  <c r="UBV3" i="53"/>
  <c r="RZO3" i="53"/>
  <c r="LFS3" i="53"/>
  <c r="SVA3" i="53"/>
  <c r="NG3" i="53"/>
  <c r="PMH3" i="53"/>
  <c r="BMS3" i="53"/>
  <c r="UGI3" i="53"/>
  <c r="BTX3" i="53"/>
  <c r="SXB3" i="53"/>
  <c r="GKS3" i="53"/>
  <c r="LAT3" i="53"/>
  <c r="SWD3" i="53"/>
  <c r="BEE3" i="53"/>
  <c r="ECC3" i="53"/>
  <c r="GKA3" i="53"/>
  <c r="UZQ3" i="53"/>
  <c r="BBN3" i="53"/>
  <c r="QMU3" i="53"/>
  <c r="TQH3" i="53"/>
  <c r="EQ3" i="53"/>
  <c r="DRH3" i="53"/>
  <c r="BPO3" i="53"/>
  <c r="QLJ3" i="53"/>
  <c r="OG3" i="53"/>
  <c r="BGP3" i="53"/>
  <c r="RIQ3" i="53"/>
  <c r="ETX3" i="53"/>
  <c r="MQS3" i="53"/>
  <c r="VOS3" i="53"/>
  <c r="VHF3" i="53"/>
  <c r="HSN3" i="53"/>
  <c r="DCB3" i="53"/>
  <c r="VYO3" i="53"/>
  <c r="FV3" i="53"/>
  <c r="ADO3" i="53"/>
  <c r="TYF3" i="53"/>
  <c r="OFC3" i="53"/>
  <c r="CYB3" i="53"/>
  <c r="JBQ3" i="53"/>
  <c r="SCV3" i="53"/>
  <c r="KBN3" i="53"/>
  <c r="NBP3" i="53"/>
  <c r="PTA3" i="53"/>
  <c r="QLI3" i="53"/>
  <c r="BIA3" i="53"/>
  <c r="AXQ3" i="53"/>
  <c r="MGD3" i="53"/>
  <c r="SHD3" i="53"/>
  <c r="DYQ3" i="53"/>
  <c r="VMA3" i="53"/>
  <c r="B3" i="14"/>
  <c r="DWQ3" i="53"/>
  <c r="DPC3" i="53"/>
  <c r="QEA3" i="53"/>
  <c r="L3" i="53"/>
  <c r="LLQ3" i="53"/>
  <c r="TRL3" i="53"/>
  <c r="VXS3" i="53"/>
  <c r="MGY3" i="53"/>
  <c r="UDR3" i="53"/>
  <c r="A3" i="40"/>
  <c r="ICY3" i="53"/>
  <c r="OWM3" i="53"/>
  <c r="DD3" i="53"/>
  <c r="TPH3" i="53"/>
  <c r="F3" i="22"/>
  <c r="ROL3" i="53"/>
  <c r="FUB3" i="53"/>
  <c r="BQE3" i="53"/>
  <c r="MFF3" i="53"/>
  <c r="OHO3" i="53"/>
  <c r="UTR3" i="53"/>
  <c r="KNE3" i="53"/>
  <c r="XDK3" i="53"/>
  <c r="EAZ3" i="53"/>
  <c r="OGM3" i="53"/>
  <c r="TNY3" i="53"/>
  <c r="OJW3" i="53"/>
  <c r="QPN3" i="53"/>
  <c r="UJW3" i="53"/>
  <c r="VJK3" i="53"/>
  <c r="ERP3" i="53"/>
  <c r="AQW3" i="53"/>
  <c r="EMH3" i="53"/>
  <c r="C3" i="40"/>
  <c r="BRH3" i="53"/>
  <c r="SZ3" i="53"/>
  <c r="CNE3" i="53"/>
  <c r="DTW3" i="53"/>
  <c r="OMH3" i="53"/>
  <c r="JWK3" i="53"/>
  <c r="GOQ3" i="53"/>
  <c r="RHH3" i="53"/>
  <c r="RFY3" i="53"/>
  <c r="POF3" i="53"/>
  <c r="IYF3" i="53"/>
  <c r="VXL3" i="53"/>
  <c r="BXO3" i="53"/>
  <c r="WEE3" i="53"/>
  <c r="SYV3" i="53"/>
  <c r="XDA3" i="53"/>
  <c r="JDT3" i="53"/>
  <c r="GYR3" i="53"/>
  <c r="UXD3" i="53"/>
  <c r="CIT3" i="53"/>
  <c r="FGR3" i="53"/>
  <c r="JEJ3" i="53"/>
  <c r="HID3" i="53"/>
  <c r="AUC3" i="53"/>
  <c r="BRA3" i="53"/>
  <c r="CAL3" i="53"/>
  <c r="LJS3" i="53"/>
  <c r="IRO3" i="53"/>
  <c r="HOZ3" i="53"/>
  <c r="FMC3" i="53"/>
  <c r="JXM3" i="53"/>
  <c r="RJ3" i="53"/>
  <c r="SCU3" i="53"/>
  <c r="SCS3" i="53"/>
  <c r="HFY3" i="53"/>
  <c r="LFZ3" i="53"/>
  <c r="LLE3" i="53"/>
  <c r="OGP3" i="53"/>
  <c r="HTL3" i="53"/>
  <c r="GCX3" i="53"/>
  <c r="QBF3" i="53"/>
  <c r="WTX3" i="53"/>
  <c r="VMF3" i="53"/>
  <c r="IUR3" i="53"/>
  <c r="DCC3" i="53"/>
  <c r="HVD3" i="53"/>
  <c r="CIL3" i="53"/>
  <c r="EVM3" i="53"/>
  <c r="UNP3" i="53"/>
  <c r="AAZ3" i="53"/>
  <c r="ASP3" i="53"/>
  <c r="NXJ3" i="53"/>
  <c r="KEK3" i="53"/>
  <c r="LUR3" i="53"/>
  <c r="H3" i="47"/>
  <c r="LNF3" i="53"/>
  <c r="DTQ3" i="53"/>
  <c r="IT3" i="53"/>
  <c r="LKF3" i="53"/>
  <c r="DDD3" i="53"/>
  <c r="SYZ3" i="53"/>
  <c r="TNL3" i="53"/>
  <c r="NXB3" i="53"/>
  <c r="UAK3" i="53"/>
  <c r="RFP3" i="53"/>
  <c r="A3" i="59"/>
  <c r="RJW3" i="53"/>
  <c r="CWW3" i="53"/>
  <c r="QKJ3" i="53"/>
  <c r="WIS3" i="53"/>
  <c r="PAP3" i="53"/>
  <c r="VIC3" i="53"/>
  <c r="TML3" i="53"/>
  <c r="SHZ3" i="53"/>
  <c r="RNQ3" i="53"/>
  <c r="UTL3" i="53"/>
  <c r="IDC3" i="53"/>
  <c r="NLM3" i="53"/>
  <c r="QWR3" i="53"/>
  <c r="JUC3" i="53"/>
  <c r="VXK3" i="53"/>
  <c r="SQV3" i="53"/>
  <c r="SNM3" i="53"/>
  <c r="ERZ3" i="53"/>
  <c r="VNT3" i="53"/>
  <c r="WRD3" i="53"/>
  <c r="IST3" i="53"/>
  <c r="RS3" i="53"/>
  <c r="TIY3" i="53"/>
  <c r="YJ3" i="53"/>
  <c r="GBL3" i="53"/>
  <c r="KFQ3" i="53"/>
  <c r="DFD3" i="53"/>
  <c r="EWF3" i="53"/>
  <c r="C45" i="53"/>
  <c r="GDT3" i="53"/>
  <c r="JCA3" i="53"/>
  <c r="RRB3" i="53"/>
  <c r="QYN3" i="53"/>
  <c r="JOM3" i="53"/>
  <c r="FOK3" i="53"/>
  <c r="HEL3" i="53"/>
  <c r="RWF3" i="53"/>
  <c r="RRC3" i="53"/>
  <c r="RVS3" i="53"/>
  <c r="NHO3" i="53"/>
  <c r="XDP3" i="53"/>
  <c r="MZV3" i="53"/>
  <c r="DCN3" i="53"/>
  <c r="EZZ3" i="53"/>
  <c r="VZG3" i="53"/>
  <c r="MRV3" i="53"/>
  <c r="VZI3" i="53"/>
  <c r="HDT3" i="53"/>
  <c r="LCL3" i="53"/>
  <c r="MFP3" i="53"/>
  <c r="BLY3" i="53"/>
  <c r="SUO3" i="53"/>
  <c r="GWK3" i="53"/>
  <c r="DXZ3" i="53"/>
  <c r="DOD3" i="53"/>
  <c r="UOZ3" i="53"/>
  <c r="CFT3" i="53"/>
  <c r="WUH3" i="53"/>
  <c r="QXC3" i="53"/>
  <c r="WJI3" i="53"/>
  <c r="GAI3" i="53"/>
  <c r="NTJ3" i="53"/>
  <c r="TDG3" i="53"/>
  <c r="OMR3" i="53"/>
  <c r="DBJ3" i="53"/>
  <c r="PQO3" i="53"/>
  <c r="SIO3" i="53"/>
  <c r="NLW3" i="53"/>
  <c r="BOJ3" i="53"/>
  <c r="SME3" i="53"/>
  <c r="F3" i="20"/>
  <c r="HLF3" i="53"/>
  <c r="EJM3" i="53"/>
  <c r="BZI3" i="53"/>
  <c r="QAA3" i="53"/>
  <c r="KVQ3" i="53"/>
  <c r="LIC3" i="53"/>
  <c r="CJK3" i="53"/>
  <c r="HOP3" i="53"/>
  <c r="UCL3" i="53"/>
  <c r="DTM3" i="53"/>
  <c r="KKH3" i="53"/>
  <c r="DUO3" i="53"/>
  <c r="QPW3" i="53"/>
  <c r="TJA3" i="53"/>
  <c r="BMV3" i="53"/>
  <c r="VOU3" i="53"/>
  <c r="HSB3" i="53"/>
  <c r="EIX3" i="53"/>
  <c r="FTE3" i="53"/>
  <c r="GFT3" i="53"/>
  <c r="LEZ3" i="53"/>
  <c r="OUB3" i="53"/>
  <c r="MAK3" i="53"/>
  <c r="QGD3" i="53"/>
  <c r="XAJ3" i="53"/>
  <c r="JNS3" i="53"/>
  <c r="RWW3" i="53"/>
  <c r="B3" i="62"/>
  <c r="LPU3" i="53"/>
  <c r="BIC3" i="53"/>
  <c r="REZ3" i="53"/>
  <c r="QTS3" i="53"/>
  <c r="PK3" i="53"/>
  <c r="QRH3" i="53"/>
  <c r="PT3" i="53"/>
  <c r="PFL3" i="53"/>
  <c r="DOA3" i="53"/>
  <c r="TLI3" i="53"/>
  <c r="LDN3" i="53"/>
  <c r="NUM3" i="53"/>
  <c r="QAB3" i="53"/>
  <c r="QJP3" i="53"/>
  <c r="FDT3" i="53"/>
  <c r="GMP3" i="53"/>
  <c r="NZO3" i="53"/>
  <c r="AGL3" i="53"/>
  <c r="GGM3" i="53"/>
  <c r="THR3" i="53"/>
  <c r="AWM3" i="53"/>
  <c r="IRB3" i="53"/>
  <c r="PHG3" i="53"/>
  <c r="SGR3" i="53"/>
  <c r="HK3" i="53"/>
  <c r="SGI3" i="53"/>
  <c r="IEG3" i="53"/>
  <c r="MNM3" i="53"/>
  <c r="MRY3" i="53"/>
  <c r="VXM3" i="53"/>
  <c r="CNX3" i="53"/>
  <c r="RNS3" i="53"/>
  <c r="WZW3" i="53"/>
  <c r="IOI3" i="53"/>
  <c r="GOP3" i="53"/>
  <c r="GBQ3" i="53"/>
  <c r="NDE3" i="53"/>
  <c r="EVX3" i="53"/>
  <c r="GXS3" i="53"/>
  <c r="HSI3" i="53"/>
  <c r="AEE3" i="53"/>
  <c r="DFR3" i="53"/>
  <c r="LCV3" i="53"/>
  <c r="CWZ3" i="53"/>
  <c r="EZW3" i="53"/>
  <c r="IQS3" i="53"/>
  <c r="QVR3" i="53"/>
  <c r="PNB3" i="53"/>
  <c r="CPK3" i="53"/>
  <c r="MWN3" i="53"/>
  <c r="MTN3" i="53"/>
  <c r="AWN3" i="53"/>
  <c r="UOM3" i="53"/>
  <c r="WTS3" i="53"/>
  <c r="RJK3" i="53"/>
  <c r="RJE3" i="53"/>
  <c r="E3" i="3"/>
  <c r="WJK3" i="53"/>
  <c r="EJX3" i="53"/>
  <c r="AKS3" i="53"/>
  <c r="VYL3" i="53"/>
  <c r="GCQ3" i="53"/>
  <c r="EA3" i="53"/>
  <c r="AYF3" i="53"/>
  <c r="VEZ3" i="53"/>
  <c r="TXV3" i="53"/>
  <c r="AHT3" i="53"/>
  <c r="WFD3" i="53"/>
  <c r="IZE3" i="53"/>
  <c r="FLI3" i="53"/>
  <c r="QNT3" i="53"/>
  <c r="DKW3" i="53"/>
  <c r="VSM3" i="53"/>
  <c r="NBC3" i="53"/>
  <c r="JQJ3" i="53"/>
  <c r="VFO3" i="53"/>
  <c r="LDM3" i="53"/>
  <c r="QWN3" i="53"/>
  <c r="JSS3" i="53"/>
  <c r="TAZ3" i="53"/>
  <c r="KLT3" i="53"/>
  <c r="TW3" i="53"/>
  <c r="KEP3" i="53"/>
  <c r="BVF3" i="53"/>
  <c r="GXB3" i="53"/>
  <c r="QIN3" i="53"/>
  <c r="TUF3" i="53"/>
  <c r="VYJ3" i="53"/>
  <c r="IFZ3" i="53"/>
  <c r="IXG3" i="53"/>
  <c r="FIW3" i="53"/>
  <c r="HZX3" i="53"/>
  <c r="GDN3" i="53"/>
  <c r="WBV3" i="53"/>
  <c r="RMV3" i="53"/>
  <c r="HFJ3" i="53"/>
  <c r="KQA3" i="53"/>
  <c r="DWH3" i="53"/>
  <c r="DAW3" i="53"/>
  <c r="BOT3" i="53"/>
  <c r="MVL3" i="53"/>
  <c r="RDA3" i="53"/>
  <c r="QQM3" i="53"/>
  <c r="MME3" i="53"/>
  <c r="QKE3" i="53"/>
  <c r="KVS3" i="53"/>
  <c r="SMV3" i="53"/>
  <c r="JSN3" i="53"/>
  <c r="PKP3" i="53"/>
  <c r="ARZ3" i="53"/>
  <c r="PXF3" i="53"/>
  <c r="UYA3" i="53"/>
  <c r="NQZ3" i="53"/>
  <c r="CCX3" i="53"/>
  <c r="NJH3" i="53"/>
  <c r="WVR3" i="53"/>
  <c r="LFX3" i="53"/>
  <c r="XBW3" i="53"/>
  <c r="GBP3" i="53"/>
  <c r="BYP3" i="53"/>
  <c r="PKJ3" i="53"/>
  <c r="RLE3" i="53"/>
  <c r="KSL3" i="53"/>
  <c r="DRF3" i="53"/>
  <c r="MXN3" i="53"/>
  <c r="BJI3" i="53"/>
  <c r="IDO3" i="53"/>
  <c r="GRK3" i="53"/>
  <c r="UAA3" i="53"/>
  <c r="LDP3" i="53"/>
  <c r="HU3" i="53"/>
  <c r="QPQ3" i="53"/>
  <c r="KBW3" i="53"/>
  <c r="NX3" i="53"/>
  <c r="ACF3" i="53"/>
  <c r="CDZ3" i="53"/>
  <c r="F3" i="54"/>
  <c r="LHZ3" i="53"/>
  <c r="ZC3" i="53"/>
  <c r="C3" i="19"/>
  <c r="TZA3" i="53"/>
  <c r="HS3" i="53"/>
  <c r="RNN3" i="53"/>
  <c r="TLN3" i="53"/>
  <c r="AUH3" i="53"/>
  <c r="IPJ3" i="53"/>
  <c r="HHT3" i="53"/>
  <c r="RMI3" i="53"/>
  <c r="UTO3" i="53"/>
  <c r="EAA3" i="53"/>
  <c r="FYA3" i="53"/>
  <c r="QFC3" i="53"/>
  <c r="HCS3" i="53"/>
  <c r="SCL3" i="53"/>
  <c r="BDL3" i="53"/>
  <c r="CIJ3" i="53"/>
  <c r="VCA3" i="53"/>
  <c r="NET3" i="53"/>
  <c r="UUF3" i="53"/>
  <c r="SUF3" i="53"/>
  <c r="KMQ3" i="53"/>
  <c r="WCP3" i="53"/>
  <c r="MYV3" i="53"/>
  <c r="RRO3" i="53"/>
  <c r="C37" i="53"/>
  <c r="BFG3" i="53"/>
  <c r="FSI3" i="53"/>
  <c r="EPH3" i="53"/>
  <c r="TRI3" i="53"/>
  <c r="PDX3" i="53"/>
  <c r="MMH3" i="53"/>
  <c r="JRM3" i="53"/>
  <c r="GVA3" i="53"/>
  <c r="CNN3" i="53"/>
  <c r="RHP3" i="53"/>
  <c r="JLM3" i="53"/>
  <c r="FNC3" i="53"/>
  <c r="TQS3" i="53"/>
  <c r="HFP3" i="53"/>
  <c r="KLE3" i="53"/>
  <c r="GZI3" i="53"/>
  <c r="EKT3" i="53"/>
  <c r="CDK3" i="53"/>
  <c r="MPE3" i="53"/>
  <c r="LCO3" i="53"/>
  <c r="VGQ3" i="53"/>
  <c r="A3" i="62"/>
  <c r="WPR3" i="53"/>
  <c r="GPA3" i="53"/>
  <c r="WUW3" i="53"/>
  <c r="BAZ3" i="53"/>
  <c r="PTS3" i="53"/>
  <c r="JJZ3" i="53"/>
  <c r="DTB3" i="53"/>
  <c r="OTW3" i="53"/>
  <c r="KGE3" i="53"/>
  <c r="WUQ3" i="53"/>
  <c r="HJC3" i="53"/>
  <c r="GXM3" i="53"/>
  <c r="SBS3" i="53"/>
  <c r="WFP3" i="53"/>
  <c r="KFE3" i="53"/>
  <c r="JBA3" i="53"/>
  <c r="TN3" i="53"/>
  <c r="SLJ3" i="53"/>
  <c r="GVP3" i="53"/>
  <c r="KAA3" i="53"/>
  <c r="FIP3" i="53"/>
  <c r="TZX3" i="53"/>
  <c r="KTF3" i="53"/>
  <c r="EPA3" i="53"/>
  <c r="DIP3" i="53"/>
  <c r="TYP3" i="53"/>
  <c r="FVM3" i="53"/>
  <c r="KEA3" i="53"/>
  <c r="PDN3" i="53"/>
  <c r="ABY3" i="53"/>
  <c r="EZP3" i="53"/>
  <c r="OGX3" i="53"/>
  <c r="SLB3" i="53"/>
  <c r="NZU3" i="53"/>
  <c r="CZI3" i="53"/>
  <c r="UBM3" i="53"/>
  <c r="MBW3" i="53"/>
  <c r="GNY3" i="53"/>
  <c r="ELF3" i="53"/>
  <c r="TGL3" i="53"/>
  <c r="KCT3" i="53"/>
  <c r="KQC3" i="53"/>
  <c r="UXN3" i="53"/>
  <c r="TBS3" i="53"/>
  <c r="UXT3" i="53"/>
  <c r="ENC3" i="53"/>
  <c r="DW3" i="53"/>
  <c r="JKK3" i="53"/>
  <c r="ELN3" i="53"/>
  <c r="NJW3" i="53"/>
  <c r="UTX3" i="53"/>
  <c r="PHK3" i="53"/>
  <c r="MZF3" i="53"/>
  <c r="FJH3" i="53"/>
  <c r="QFR3" i="53"/>
  <c r="LLM3" i="53"/>
  <c r="JDQ3" i="53"/>
  <c r="FLU3" i="53"/>
  <c r="UGT3" i="53"/>
  <c r="MGI3" i="53"/>
  <c r="MIQ3" i="53"/>
  <c r="FIU3" i="53"/>
  <c r="AFE3" i="53"/>
  <c r="MGX3" i="53"/>
  <c r="OUA3" i="53"/>
  <c r="HZ3" i="53"/>
  <c r="EOZ3" i="53"/>
  <c r="TZE3" i="53"/>
  <c r="LYC3" i="53"/>
  <c r="SOG3" i="53"/>
  <c r="WRB3" i="53"/>
  <c r="MLJ3" i="53"/>
  <c r="HLU3" i="53"/>
  <c r="WEC3" i="53"/>
  <c r="MGF3" i="53"/>
  <c r="DGT3" i="53"/>
  <c r="VIW3" i="53"/>
  <c r="TVH3" i="53"/>
  <c r="PNC3" i="53"/>
  <c r="QTY3" i="53"/>
  <c r="EPZ3" i="53"/>
  <c r="DAD3" i="53"/>
  <c r="LKR3" i="53"/>
  <c r="WES3" i="53"/>
  <c r="NMF3" i="53"/>
  <c r="MQA3" i="53"/>
  <c r="NND3" i="53"/>
  <c r="RMU3" i="53"/>
  <c r="VWP3" i="53"/>
  <c r="QSZ3" i="53"/>
  <c r="FVX3" i="53"/>
  <c r="ORK3" i="53"/>
  <c r="JLY3" i="53"/>
  <c r="UMN3" i="53"/>
  <c r="CUZ3" i="53"/>
  <c r="OKU3" i="53"/>
  <c r="PEG3" i="53"/>
  <c r="HG3" i="53"/>
  <c r="ALZ3" i="53"/>
  <c r="PZD3" i="53"/>
  <c r="VOH3" i="53"/>
  <c r="MVA3" i="53"/>
  <c r="REX3" i="53"/>
  <c r="PMX3" i="53"/>
  <c r="WCT3" i="53"/>
  <c r="NQC3" i="53"/>
  <c r="FQC3" i="53"/>
  <c r="CFL3" i="53"/>
  <c r="UTV3" i="53"/>
  <c r="NYB3" i="53"/>
  <c r="WQL3" i="53"/>
  <c r="RKG3" i="53"/>
  <c r="SXD3" i="53"/>
  <c r="ALN3" i="53"/>
  <c r="UVJ3" i="53"/>
  <c r="BHU3" i="53"/>
  <c r="INI3" i="53"/>
  <c r="IWN3" i="53"/>
  <c r="ABD3" i="53"/>
  <c r="WXV3" i="53"/>
  <c r="BLA3" i="53"/>
  <c r="IJS3" i="53"/>
  <c r="ILB3" i="53"/>
  <c r="FDZ3" i="53"/>
  <c r="PMY3" i="53"/>
  <c r="POV3" i="53"/>
  <c r="HYK3" i="53"/>
  <c r="CEX3" i="53"/>
  <c r="JBI3" i="53"/>
  <c r="WTQ3" i="53"/>
  <c r="SPR3" i="53"/>
  <c r="LLR3" i="53"/>
  <c r="NVJ3" i="53"/>
  <c r="PXE3" i="53"/>
  <c r="HZI3" i="53"/>
  <c r="SMK3" i="53"/>
  <c r="ILI3" i="53"/>
  <c r="AQL3" i="53"/>
  <c r="GZX3" i="53"/>
  <c r="BQO3" i="53"/>
  <c r="NRZ3" i="53"/>
  <c r="UYH3" i="53"/>
  <c r="LIV3" i="53"/>
  <c r="HGZ3" i="53"/>
  <c r="RAK3" i="53"/>
  <c r="TXM3" i="53"/>
  <c r="BGB3" i="53"/>
  <c r="PEU3" i="53"/>
  <c r="OHQ3" i="53"/>
  <c r="OOH3" i="53"/>
  <c r="UMF3" i="53"/>
  <c r="OWB3" i="53"/>
  <c r="RDT3" i="53"/>
  <c r="OSH3" i="53"/>
  <c r="BN3" i="53"/>
  <c r="KON3" i="53"/>
  <c r="WWB3" i="53"/>
  <c r="ADJ3" i="53"/>
  <c r="NVW3" i="53"/>
  <c r="DXJ3" i="53"/>
  <c r="NZM3" i="53"/>
  <c r="LYQ3" i="53"/>
  <c r="PEL3" i="53"/>
  <c r="MUN3" i="53"/>
  <c r="NFJ3" i="53"/>
  <c r="WSE3" i="53"/>
  <c r="CVJ3" i="53"/>
  <c r="SNU3" i="53"/>
  <c r="PEX3" i="53"/>
  <c r="EVA3" i="53"/>
  <c r="GPJ3" i="53"/>
  <c r="ACQ3" i="53"/>
  <c r="FTT3" i="53"/>
  <c r="NUD3" i="53"/>
  <c r="OXJ3" i="53"/>
  <c r="ESM3" i="53"/>
  <c r="TJP3" i="53"/>
  <c r="XDN3" i="53"/>
  <c r="UPC3" i="53"/>
  <c r="NQH3" i="53"/>
  <c r="GSS3" i="53"/>
  <c r="HZY3" i="53"/>
  <c r="TDR3" i="53"/>
  <c r="HHH3" i="53"/>
  <c r="SMP3" i="53"/>
  <c r="KFB3" i="53"/>
  <c r="BVV3" i="53"/>
  <c r="IDT3" i="53"/>
  <c r="TAI3" i="53"/>
  <c r="KMP3" i="53"/>
  <c r="RBW3" i="53"/>
  <c r="LZZ3" i="53"/>
  <c r="UKR3" i="53"/>
  <c r="KWC3" i="53"/>
  <c r="SNT3" i="53"/>
  <c r="SQT3" i="53"/>
  <c r="PBS3" i="53"/>
  <c r="QPD3" i="53"/>
  <c r="FVA3" i="53"/>
  <c r="BBM3" i="53"/>
  <c r="CYL3" i="53"/>
  <c r="MPU3" i="53"/>
  <c r="APN3" i="53"/>
  <c r="NHV3" i="53"/>
  <c r="MDI3" i="53"/>
  <c r="UTT3" i="53"/>
  <c r="EFT3" i="53"/>
  <c r="XX3" i="53"/>
  <c r="K3" i="1"/>
  <c r="NCZ3" i="53"/>
  <c r="OCI3" i="53"/>
  <c r="PQN3" i="53"/>
  <c r="UNY3" i="53"/>
  <c r="MKJ3" i="53"/>
  <c r="JAN3" i="53"/>
  <c r="QOR3" i="53"/>
  <c r="HYW3" i="53"/>
  <c r="OAY3" i="53"/>
  <c r="JHF3" i="53"/>
  <c r="TZI3" i="53"/>
  <c r="NDI3" i="53"/>
  <c r="DIT3" i="53"/>
  <c r="FWM3" i="53"/>
  <c r="ESO3" i="53"/>
  <c r="OLG3" i="53"/>
  <c r="VXF3" i="53"/>
  <c r="MAD3" i="53"/>
  <c r="OSE3" i="53"/>
  <c r="FZO3" i="53"/>
  <c r="XE3" i="53"/>
  <c r="AXN3" i="53"/>
  <c r="DMF3" i="53"/>
  <c r="E3" i="9"/>
  <c r="GEW3" i="53"/>
  <c r="JYP3" i="53"/>
  <c r="SMJ3" i="53"/>
  <c r="H3" i="31"/>
  <c r="PFV3" i="53"/>
  <c r="GAW3" i="53"/>
  <c r="XCU3" i="53"/>
  <c r="HQU3" i="53"/>
  <c r="GUM3" i="53"/>
  <c r="MMN3" i="53"/>
  <c r="GEN3" i="53"/>
  <c r="MML3" i="53"/>
  <c r="FAK3" i="53"/>
  <c r="QZX3" i="53"/>
  <c r="QJU3" i="53"/>
  <c r="SPD3" i="53"/>
  <c r="LOE3" i="53"/>
  <c r="HZG3" i="53"/>
  <c r="BT3" i="53"/>
  <c r="PZC3" i="53"/>
  <c r="BOF3" i="53"/>
  <c r="GWI3" i="53"/>
  <c r="SPP3" i="53"/>
  <c r="MCS3" i="53"/>
  <c r="JBT3" i="53"/>
  <c r="HJK3" i="53"/>
  <c r="OEX3" i="53"/>
  <c r="A3" i="6"/>
  <c r="CUI3" i="53"/>
  <c r="GWQ3" i="53"/>
  <c r="ELZ3" i="53"/>
  <c r="LFW3" i="53"/>
  <c r="QQP3" i="53"/>
  <c r="VBH3" i="53"/>
  <c r="HYJ3" i="53"/>
  <c r="GBT3" i="53"/>
  <c r="VYE3" i="53"/>
  <c r="DSU3" i="53"/>
  <c r="UQQ3" i="53"/>
  <c r="RSK3" i="53"/>
  <c r="AFU3" i="53"/>
  <c r="JXV3" i="53"/>
  <c r="OFY3" i="53"/>
  <c r="KPO3" i="53"/>
  <c r="DDJ3" i="53"/>
  <c r="GXF3" i="53"/>
  <c r="HJR3" i="53"/>
  <c r="UWW3" i="53"/>
  <c r="EDU3" i="53"/>
  <c r="RSA3" i="53"/>
  <c r="LQJ3" i="53"/>
  <c r="C69" i="53"/>
  <c r="QFB3" i="53"/>
  <c r="PYU3" i="53"/>
  <c r="MIV3" i="53"/>
  <c r="TQO3" i="53"/>
  <c r="HLO3" i="53"/>
  <c r="NWY3" i="53"/>
  <c r="ADR3" i="53"/>
  <c r="VZK3" i="53"/>
  <c r="JNK3" i="53"/>
  <c r="MW3" i="53"/>
  <c r="KEG3" i="53"/>
  <c r="RTU3" i="53"/>
  <c r="TZP3" i="53"/>
  <c r="CNS3" i="53"/>
  <c r="JH3" i="53"/>
  <c r="LC3" i="53"/>
  <c r="RWV3" i="53"/>
  <c r="QZS3" i="53"/>
  <c r="MTA3" i="53"/>
  <c r="VAL3" i="53"/>
  <c r="FTN3" i="53"/>
  <c r="AHJ3" i="53"/>
  <c r="DXR3" i="53"/>
  <c r="IZK3" i="53"/>
  <c r="KCE3" i="53"/>
  <c r="MTS3" i="53"/>
  <c r="RSO3" i="53"/>
  <c r="ETZ3" i="53"/>
  <c r="QWM3" i="53"/>
  <c r="OIJ3" i="53"/>
  <c r="TZZ3" i="53"/>
  <c r="AUN3" i="53"/>
  <c r="UTP3" i="53"/>
  <c r="KCY3" i="53"/>
  <c r="PLP3" i="53"/>
  <c r="GIU3" i="53"/>
  <c r="HWY3" i="53"/>
  <c r="TWD3" i="53"/>
  <c r="BYV3" i="53"/>
  <c r="TUG3" i="53"/>
  <c r="NTA3" i="53"/>
  <c r="TWF3" i="53"/>
  <c r="PJW3" i="53"/>
  <c r="WDT3" i="53"/>
  <c r="FSE3" i="53"/>
  <c r="URX3" i="53"/>
  <c r="OZT3" i="53"/>
  <c r="BB3" i="53"/>
  <c r="MBY3" i="53"/>
  <c r="KPL3" i="53"/>
  <c r="JBU3" i="53"/>
  <c r="JEZ3" i="53"/>
  <c r="DYT3" i="53"/>
  <c r="DUZ3" i="53"/>
  <c r="BKB3" i="53"/>
  <c r="DXD3" i="53"/>
  <c r="LAL3" i="53"/>
  <c r="IVA3" i="53"/>
  <c r="MXQ3" i="53"/>
  <c r="OPR3" i="53"/>
  <c r="JHK3" i="53"/>
  <c r="AZA3" i="53"/>
  <c r="KPJ3" i="53"/>
  <c r="VOR3" i="53"/>
  <c r="VWC3" i="53"/>
  <c r="UNF3" i="53"/>
  <c r="EJL3" i="53"/>
  <c r="TJO3" i="53"/>
  <c r="LYN3" i="53"/>
  <c r="KFS3" i="53"/>
  <c r="QEW3" i="53"/>
  <c r="NYP3" i="53"/>
  <c r="WOZ3" i="53"/>
  <c r="TYT3" i="53"/>
  <c r="GK3" i="53"/>
  <c r="VPY3" i="53"/>
  <c r="HVF3" i="53"/>
  <c r="HDY3" i="53"/>
  <c r="PNM3" i="53"/>
  <c r="TRT3" i="53"/>
  <c r="FOW3" i="53"/>
  <c r="UMI3" i="53"/>
  <c r="PQV3" i="53"/>
  <c r="LHI3" i="53"/>
  <c r="YT3" i="53"/>
  <c r="MJV3" i="53"/>
  <c r="LZT3" i="53"/>
  <c r="OHF3" i="53"/>
  <c r="AXF3" i="53"/>
  <c r="AGF3" i="53"/>
  <c r="PBU3" i="53"/>
  <c r="VRE3" i="53"/>
  <c r="HFX3" i="53"/>
  <c r="CFX3" i="53"/>
  <c r="VJY3" i="53"/>
  <c r="DTN3" i="53"/>
  <c r="VHD3" i="53"/>
  <c r="GYN3" i="53"/>
  <c r="PEN3" i="53"/>
  <c r="VUF3" i="53"/>
  <c r="EPR3" i="53"/>
  <c r="QUE3" i="53"/>
  <c r="RL3" i="53"/>
  <c r="WBL3" i="53"/>
  <c r="WOD3" i="53"/>
  <c r="LQZ3" i="53"/>
  <c r="MNN3" i="53"/>
  <c r="IIU3" i="53"/>
  <c r="NKQ3" i="53"/>
  <c r="PVG3" i="53"/>
  <c r="NPD3" i="53"/>
  <c r="PJB3" i="53"/>
  <c r="ASZ3" i="53"/>
  <c r="KOY3" i="53"/>
  <c r="DKZ3" i="53"/>
  <c r="MVF3" i="53"/>
  <c r="VDW3" i="53"/>
  <c r="HJA3" i="53"/>
  <c r="HFW3" i="53"/>
  <c r="FRN3" i="53"/>
  <c r="AFC3" i="53"/>
  <c r="EFQ3" i="53"/>
  <c r="JHD3" i="53"/>
  <c r="UIK3" i="53"/>
  <c r="QHO3" i="53"/>
  <c r="NVX3" i="53"/>
  <c r="KHK3" i="53"/>
  <c r="B3" i="13"/>
  <c r="KDZ3" i="53"/>
  <c r="RHO3" i="53"/>
  <c r="A3" i="37"/>
  <c r="MCJ3" i="53"/>
  <c r="BRN3" i="53"/>
  <c r="LYS3" i="53"/>
  <c r="ENO3" i="53"/>
  <c r="RWP3" i="53"/>
  <c r="UTK3" i="53"/>
  <c r="HYT3" i="53"/>
  <c r="RZZ3" i="53"/>
  <c r="SIY3" i="53"/>
  <c r="THK3" i="53"/>
  <c r="JRP3" i="53"/>
  <c r="WWX3" i="53"/>
  <c r="SAH3" i="53"/>
  <c r="UWT3" i="53"/>
  <c r="HFR3" i="53"/>
  <c r="TAY3" i="53"/>
  <c r="SVN3" i="53"/>
  <c r="WLC3" i="53"/>
  <c r="EQK3" i="53"/>
  <c r="OZ3" i="53"/>
  <c r="CLF3" i="53"/>
  <c r="E3" i="40"/>
  <c r="MFV3" i="53"/>
  <c r="PQZ3" i="53"/>
  <c r="PWP3" i="53"/>
  <c r="OTY3" i="53"/>
  <c r="SYW3" i="53"/>
  <c r="BXR3" i="53"/>
  <c r="CNW3" i="53"/>
  <c r="WTN3" i="53"/>
  <c r="KTB3" i="53"/>
  <c r="URQ3" i="53"/>
  <c r="LKD3" i="53"/>
  <c r="AXW3" i="53"/>
  <c r="ODH3" i="53"/>
  <c r="FZB3" i="53"/>
  <c r="RZS3" i="53"/>
  <c r="ROI3" i="53"/>
  <c r="JWF3" i="53"/>
  <c r="CFK3" i="53"/>
  <c r="GIM3" i="53"/>
  <c r="NDQ3" i="53"/>
  <c r="BMZ3" i="53"/>
  <c r="HSL3" i="53"/>
  <c r="OKZ3" i="53"/>
  <c r="TBH3" i="53"/>
  <c r="WED3" i="53"/>
  <c r="GTL3" i="53"/>
  <c r="CCT3" i="53"/>
  <c r="TWU3" i="53"/>
  <c r="UCD3" i="53"/>
  <c r="GWU3" i="53"/>
  <c r="GMU3" i="53"/>
  <c r="EAY3" i="53"/>
  <c r="QQF3" i="53"/>
  <c r="EIE3" i="53"/>
  <c r="RFA3" i="53"/>
  <c r="WBC3" i="53"/>
  <c r="KXW3" i="53"/>
  <c r="GRE3" i="53"/>
  <c r="DNM3" i="53"/>
  <c r="C49" i="53"/>
  <c r="VJZ3" i="53"/>
  <c r="LUQ3" i="53"/>
  <c r="UTN3" i="53"/>
  <c r="GCZ3" i="53"/>
  <c r="JUB3" i="53"/>
  <c r="MT3" i="53"/>
  <c r="HJJ3" i="53"/>
  <c r="CIN3" i="53"/>
  <c r="PLV3" i="53"/>
  <c r="NXT3" i="53"/>
  <c r="OAS3" i="53"/>
  <c r="TNJ3" i="53"/>
  <c r="OXV3" i="53"/>
  <c r="UDC3" i="53"/>
  <c r="HOM3" i="53"/>
  <c r="F3" i="15"/>
  <c r="SLI3" i="53"/>
  <c r="QTQ3" i="53"/>
  <c r="LLO3" i="53"/>
  <c r="HIO3" i="53"/>
  <c r="UVQ3" i="53"/>
  <c r="EML3" i="53"/>
  <c r="CUR3" i="53"/>
  <c r="LOS3" i="53"/>
  <c r="FYI3" i="53"/>
  <c r="DLP3" i="53"/>
  <c r="IAI3" i="53"/>
  <c r="SDZ3" i="53"/>
  <c r="VSS3" i="53"/>
  <c r="RLM3" i="53"/>
  <c r="OMC3" i="53"/>
  <c r="LPQ3" i="53"/>
  <c r="INL3" i="53"/>
  <c r="QRV3" i="53"/>
  <c r="LTE3" i="53"/>
  <c r="TKX3" i="53"/>
  <c r="LFO3" i="53"/>
  <c r="RNL3" i="53"/>
  <c r="D3" i="42"/>
  <c r="EWH3" i="53"/>
  <c r="LHT3" i="53"/>
  <c r="MCV3" i="53"/>
  <c r="HW3" i="53"/>
  <c r="QRF3" i="53"/>
  <c r="NNZ3" i="53"/>
  <c r="SZW3" i="53"/>
  <c r="BCQ3" i="53"/>
  <c r="RSP3" i="53"/>
  <c r="USO3" i="53"/>
  <c r="SCF3" i="53"/>
  <c r="CFQ3" i="53"/>
  <c r="AH3" i="53"/>
  <c r="KZP3" i="53"/>
  <c r="FWY3" i="53"/>
  <c r="ANI3" i="53"/>
  <c r="QPU3" i="53"/>
  <c r="AOJ3" i="53"/>
  <c r="KPT3" i="53"/>
  <c r="IIY3" i="53"/>
  <c r="QZK3" i="53"/>
  <c r="GYS3" i="53"/>
  <c r="QSY3" i="53"/>
  <c r="AFH3" i="53"/>
  <c r="B3" i="60"/>
  <c r="YI3" i="53"/>
  <c r="CPO3" i="53"/>
  <c r="E22" i="31"/>
  <c r="AYP3" i="53"/>
  <c r="DNH3" i="53"/>
  <c r="MPZ3" i="53"/>
  <c r="EAE3" i="53"/>
  <c r="VYM3" i="53"/>
  <c r="UUI3" i="53"/>
  <c r="RCI3" i="53"/>
  <c r="NRM3" i="53"/>
  <c r="DOL3" i="53"/>
  <c r="NDH3" i="53"/>
  <c r="INO3" i="53"/>
  <c r="LVJ3" i="53"/>
  <c r="BWF3" i="53"/>
  <c r="FWH3" i="53"/>
  <c r="GHK3" i="53"/>
  <c r="FCH3" i="53"/>
  <c r="UZF3" i="53"/>
  <c r="JHY3" i="53"/>
  <c r="WDE3" i="53"/>
  <c r="UBK3" i="53"/>
  <c r="KEL3" i="53"/>
  <c r="ATE3" i="53"/>
  <c r="OUW3" i="53"/>
  <c r="SIJ3" i="53"/>
  <c r="CFF3" i="53"/>
  <c r="EBA3" i="53"/>
  <c r="DNI3" i="53"/>
  <c r="EOL3" i="53"/>
  <c r="UGW3" i="53"/>
  <c r="RHL3" i="53"/>
  <c r="GYM3" i="53"/>
  <c r="EXT3" i="53"/>
  <c r="SPW3" i="53"/>
  <c r="RZF3" i="53"/>
  <c r="JPE3" i="53"/>
  <c r="RGO3" i="53"/>
  <c r="QZF3" i="53"/>
  <c r="QVA3" i="53"/>
  <c r="LPT3" i="53"/>
  <c r="GLJ3" i="53"/>
  <c r="OSC3" i="53"/>
  <c r="DHU3" i="53"/>
  <c r="UPU3" i="53"/>
  <c r="FXF3" i="53"/>
  <c r="UIU3" i="53"/>
  <c r="FBD3" i="53"/>
  <c r="EJY3" i="53"/>
  <c r="KF3" i="53"/>
  <c r="MQ3" i="53"/>
  <c r="LPL3" i="53"/>
  <c r="TYY3" i="53"/>
  <c r="PIC3" i="53"/>
  <c r="RP3" i="53"/>
  <c r="ONT3" i="53"/>
  <c r="PR3" i="53"/>
  <c r="FEY3" i="53"/>
  <c r="SIQ3" i="53"/>
  <c r="RXJ3" i="53"/>
  <c r="QPA3" i="53"/>
  <c r="SZG3" i="53"/>
  <c r="EKB3" i="53"/>
  <c r="SHQ3" i="53"/>
  <c r="GWG3" i="53"/>
  <c r="PQC3" i="53"/>
  <c r="OWX3" i="53"/>
  <c r="OWK3" i="53"/>
  <c r="TJX3" i="53"/>
  <c r="WKQ3" i="53"/>
  <c r="PCF3" i="53"/>
  <c r="ECR3" i="53"/>
  <c r="AZS3" i="53"/>
  <c r="BSC3" i="53"/>
  <c r="QDO3" i="53"/>
  <c r="UYS3" i="53"/>
  <c r="WYH3" i="53"/>
  <c r="QH3" i="53"/>
  <c r="CKP3" i="53"/>
  <c r="JYO3" i="53"/>
  <c r="CYS3" i="53"/>
  <c r="ASJ3" i="53"/>
  <c r="NLH3" i="53"/>
  <c r="PID3" i="53"/>
  <c r="KOD3" i="53"/>
  <c r="TTH3" i="53"/>
  <c r="NAL3" i="53"/>
  <c r="NDT3" i="53"/>
  <c r="L3" i="4"/>
  <c r="RSN3" i="53"/>
  <c r="HAC3" i="53"/>
  <c r="CSY3" i="53"/>
  <c r="WKE3" i="53"/>
  <c r="SRT3" i="53"/>
  <c r="ECL3" i="53"/>
  <c r="JOT3" i="53"/>
  <c r="WRH3" i="53"/>
  <c r="GOY3" i="53"/>
  <c r="QBZ3" i="53"/>
  <c r="OCZ3" i="53"/>
  <c r="TCA3" i="53"/>
  <c r="HZD3" i="53"/>
  <c r="RRK3" i="53"/>
  <c r="TTE3" i="53"/>
  <c r="QAN3" i="53"/>
  <c r="NKM3" i="53"/>
  <c r="TWL3" i="53"/>
  <c r="QL3" i="53"/>
  <c r="JOI3" i="53"/>
  <c r="KXV3" i="53"/>
  <c r="DF3" i="53"/>
  <c r="HQX3" i="53"/>
  <c r="WIM3" i="53"/>
  <c r="DKX3" i="53"/>
  <c r="WSK3" i="53"/>
  <c r="MSY3" i="53"/>
  <c r="HVP3" i="53"/>
  <c r="JKB3" i="53"/>
  <c r="IWL3" i="53"/>
  <c r="ULA3" i="53"/>
  <c r="GUC3" i="53"/>
  <c r="RFO3" i="53"/>
  <c r="CDS3" i="53"/>
  <c r="QPH3" i="53"/>
  <c r="ULE3" i="53"/>
  <c r="LJK3" i="53"/>
  <c r="KOL3" i="53"/>
  <c r="UHY3" i="53"/>
  <c r="RCO3" i="53"/>
  <c r="LWE3" i="53"/>
  <c r="APT3" i="53"/>
  <c r="EYI3" i="53"/>
  <c r="DSR3" i="53"/>
  <c r="JIB3" i="53"/>
  <c r="HNC3" i="53"/>
  <c r="OKJ3" i="53"/>
  <c r="QDS3" i="53"/>
  <c r="PHL3" i="53"/>
  <c r="FIA3" i="53"/>
  <c r="FSB3" i="53"/>
  <c r="IIT3" i="53"/>
  <c r="VHX3" i="53"/>
  <c r="CEN3" i="53"/>
  <c r="UEZ3" i="53"/>
  <c r="AUW3" i="53"/>
  <c r="ITA3" i="53"/>
  <c r="BPR3" i="53"/>
  <c r="D3" i="37"/>
  <c r="PNN3" i="53"/>
  <c r="USP3" i="53"/>
  <c r="HWA3" i="53"/>
  <c r="SJS3" i="53"/>
  <c r="CDG3" i="53"/>
  <c r="EOQ3" i="53"/>
  <c r="OKC3" i="53"/>
  <c r="WZO3" i="53"/>
  <c r="MHS3" i="53"/>
  <c r="LYY3" i="53"/>
  <c r="QYL3" i="53"/>
  <c r="TIN3" i="53"/>
  <c r="MQJ3" i="53"/>
  <c r="SCD3" i="53"/>
  <c r="IKS3" i="53"/>
  <c r="QMH3" i="53"/>
  <c r="IXB3" i="53"/>
  <c r="WKU3" i="53"/>
  <c r="GRF3" i="53"/>
  <c r="QJC3" i="53"/>
  <c r="ROJ3" i="53"/>
  <c r="KPN3" i="53"/>
  <c r="BKU3" i="53"/>
  <c r="QNK3" i="53"/>
  <c r="DOP3" i="53"/>
  <c r="FPA3" i="53"/>
  <c r="RXV3" i="53"/>
  <c r="GAC3" i="53"/>
  <c r="QBW3" i="53"/>
  <c r="RRV3" i="53"/>
  <c r="EF3" i="53"/>
  <c r="ULY3" i="53"/>
  <c r="AHR3" i="53"/>
  <c r="BHW3" i="53"/>
  <c r="KGA3" i="53"/>
  <c r="UEB3" i="53"/>
  <c r="VAW3" i="53"/>
  <c r="RJR3" i="53"/>
  <c r="VOE3" i="53"/>
  <c r="E3" i="38"/>
  <c r="TPE3" i="53"/>
  <c r="LIW3" i="53"/>
  <c r="FLJ3" i="53"/>
  <c r="UCZ3" i="53"/>
  <c r="ISO3" i="53"/>
  <c r="KWY3" i="53"/>
  <c r="LT3" i="53"/>
  <c r="FOP3" i="53"/>
  <c r="MKE3" i="53"/>
  <c r="FTM3" i="53"/>
  <c r="HCB3" i="53"/>
  <c r="LMT3" i="53"/>
  <c r="OLE3" i="53"/>
  <c r="EJW3" i="53"/>
  <c r="JI3" i="53"/>
  <c r="JBL3" i="53"/>
  <c r="LVH3" i="53"/>
  <c r="WWK3" i="53"/>
  <c r="ULV3" i="53"/>
  <c r="MPH3" i="53"/>
  <c r="BTZ3" i="53"/>
  <c r="WLX3" i="53"/>
  <c r="BPF3" i="53"/>
  <c r="WNZ3" i="53"/>
  <c r="BTV3" i="53"/>
  <c r="TX3" i="53"/>
  <c r="PKG3" i="53"/>
  <c r="UKF3" i="53"/>
  <c r="HHL3" i="53"/>
  <c r="TKI3" i="53"/>
  <c r="KJS3" i="53"/>
  <c r="UTE3" i="53"/>
  <c r="UBO3" i="53"/>
  <c r="MFZ3" i="53"/>
  <c r="XER3" i="53"/>
  <c r="NFC3" i="53"/>
  <c r="FEZ3" i="53"/>
  <c r="CKZ3" i="53"/>
  <c r="RCM3" i="53"/>
  <c r="FVR3" i="53"/>
  <c r="CLS3" i="53"/>
  <c r="PCT3" i="53"/>
  <c r="OMS3" i="53"/>
  <c r="NXO3" i="53"/>
  <c r="VJP3" i="53"/>
  <c r="PQB3" i="53"/>
  <c r="QDZ3" i="53"/>
  <c r="CFZ3" i="53"/>
  <c r="HAK3" i="53"/>
  <c r="CJQ3" i="53"/>
  <c r="SLG3" i="53"/>
  <c r="TVG3" i="53"/>
  <c r="DIU3" i="53"/>
  <c r="JSK3" i="53"/>
  <c r="IBO3" i="53"/>
  <c r="GYE3" i="53"/>
  <c r="NZQ3" i="53"/>
  <c r="OLP3" i="53"/>
  <c r="H3" i="46"/>
  <c r="EPV3" i="53"/>
  <c r="EUM3" i="53"/>
  <c r="MBG3" i="53"/>
  <c r="LYB3" i="53"/>
  <c r="QXP3" i="53"/>
  <c r="MJR3" i="53"/>
  <c r="LAA3" i="53"/>
  <c r="HYV3" i="53"/>
  <c r="EIH3" i="53"/>
  <c r="QKK3" i="53"/>
  <c r="DBS3" i="53"/>
  <c r="UNB3" i="53"/>
  <c r="DQJ3" i="53"/>
  <c r="EDK3" i="53"/>
  <c r="QK3" i="53"/>
  <c r="UP3" i="53"/>
  <c r="AAA3" i="53"/>
  <c r="PLF3" i="53"/>
  <c r="HVT3" i="53"/>
  <c r="FTF3" i="53"/>
  <c r="EXP3" i="53"/>
  <c r="HUG3" i="53"/>
  <c r="LTL3" i="53"/>
  <c r="JYR3" i="53"/>
  <c r="EHT3" i="53"/>
  <c r="IBY3" i="53"/>
  <c r="PSA3" i="53"/>
  <c r="ET3" i="53"/>
  <c r="GDV3" i="53"/>
  <c r="CZB3" i="53"/>
  <c r="VJV3" i="53"/>
  <c r="LKE3" i="53"/>
  <c r="DXP3" i="53"/>
  <c r="RYZ3" i="53"/>
  <c r="JRC3" i="53"/>
  <c r="WYP3" i="53"/>
  <c r="JFS3" i="53"/>
  <c r="HKZ3" i="53"/>
  <c r="KJA3" i="53"/>
  <c r="CAY3" i="53"/>
  <c r="MYB3" i="53"/>
  <c r="TJL3" i="53"/>
  <c r="JKH3" i="53"/>
  <c r="UCS3" i="53"/>
  <c r="IDZ3" i="53"/>
  <c r="CVC3" i="53"/>
  <c r="JZQ3" i="53"/>
  <c r="BAK3" i="53"/>
  <c r="WCC3" i="53"/>
  <c r="ZJ3" i="53"/>
  <c r="UTA3" i="53"/>
  <c r="KRM3" i="53"/>
  <c r="SAF3" i="53"/>
  <c r="OZE3" i="53"/>
  <c r="VHE3" i="53"/>
  <c r="UUZ3" i="53"/>
  <c r="TTV3" i="53"/>
  <c r="QYY3" i="53"/>
  <c r="JQQ3" i="53"/>
  <c r="MQX3" i="53"/>
  <c r="BAO3" i="53"/>
  <c r="LBF3" i="53"/>
  <c r="DWT3" i="53"/>
  <c r="WZR3" i="53"/>
  <c r="FNH3" i="53"/>
  <c r="MVZ3" i="53"/>
  <c r="MXW3" i="53"/>
  <c r="ONO3" i="53"/>
  <c r="XBG3" i="53"/>
  <c r="CM3" i="53"/>
  <c r="CXX3" i="53"/>
  <c r="FHR3" i="53"/>
  <c r="DMZ3" i="53"/>
  <c r="REE3" i="53"/>
  <c r="WDW3" i="53"/>
  <c r="CZY3" i="53"/>
  <c r="VJD3" i="53"/>
  <c r="OCD3" i="53"/>
  <c r="VRL3" i="53"/>
  <c r="OLV3" i="53"/>
  <c r="OBE3" i="53"/>
  <c r="CBP3" i="53"/>
  <c r="FLM3" i="53"/>
  <c r="ASC3" i="53"/>
  <c r="TDV3" i="53"/>
  <c r="JSC3" i="53"/>
  <c r="MKY3" i="53"/>
  <c r="QMK3" i="53"/>
  <c r="MQC3" i="53"/>
  <c r="AXV3" i="53"/>
  <c r="MCP3" i="53"/>
  <c r="TY3" i="53"/>
  <c r="HXQ3" i="53"/>
  <c r="QCN3" i="53"/>
  <c r="OMP3" i="53"/>
  <c r="KHC3" i="53"/>
  <c r="TPX3" i="53"/>
  <c r="QGW3" i="53"/>
  <c r="WMI3" i="53"/>
  <c r="MQV3" i="53"/>
  <c r="SKE3" i="53"/>
  <c r="HMD3" i="53"/>
  <c r="LBW3" i="53"/>
  <c r="CUL3" i="53"/>
  <c r="G3" i="6"/>
  <c r="UXW3" i="53"/>
  <c r="UOS3" i="53"/>
  <c r="UZZ3" i="53"/>
  <c r="PET3" i="53"/>
  <c r="EIY3" i="53"/>
  <c r="WJP3" i="53"/>
  <c r="SSM3" i="53"/>
  <c r="RMN3" i="53"/>
  <c r="OP3" i="53"/>
  <c r="CET3" i="53"/>
  <c r="WHI3" i="53"/>
  <c r="RQA3" i="53"/>
  <c r="WGR3" i="53"/>
  <c r="PNF3" i="53"/>
  <c r="QKY3" i="53"/>
  <c r="NQQ3" i="53"/>
  <c r="QAW3" i="53"/>
  <c r="SJL3" i="53"/>
  <c r="NUO3" i="53"/>
  <c r="XCW3" i="53"/>
  <c r="OJ3" i="53"/>
  <c r="ARU3" i="53"/>
  <c r="KRA3" i="53"/>
  <c r="LBV3" i="53"/>
  <c r="RHJ3" i="53"/>
  <c r="LSP3" i="53"/>
  <c r="AFA3" i="53"/>
  <c r="C63" i="53"/>
  <c r="VOL3" i="53"/>
  <c r="STG3" i="53"/>
  <c r="RSR3" i="53"/>
  <c r="EBJ3" i="53"/>
  <c r="ENR3" i="53"/>
  <c r="KVD3" i="53"/>
  <c r="DCD3" i="53"/>
  <c r="WIB3" i="53"/>
  <c r="UIZ3" i="53"/>
  <c r="PZ3" i="53"/>
  <c r="PVD3" i="53"/>
  <c r="QZ3" i="53"/>
  <c r="XCK3" i="53"/>
  <c r="BVR3" i="53"/>
  <c r="NWJ3" i="53"/>
  <c r="NXH3" i="53"/>
  <c r="JNY3" i="53"/>
  <c r="WPE3" i="53"/>
  <c r="KNO3" i="53"/>
  <c r="ETM3" i="53"/>
  <c r="CSG3" i="53"/>
  <c r="PKK3" i="53"/>
  <c r="JCJ3" i="53"/>
  <c r="SNV3" i="53"/>
  <c r="CKT3" i="53"/>
  <c r="FKU3" i="53"/>
  <c r="BGW3" i="53"/>
  <c r="DQT3" i="53"/>
  <c r="PXT3" i="53"/>
  <c r="BTI3" i="53"/>
  <c r="QME3" i="53"/>
  <c r="USI3" i="53"/>
  <c r="GCS3" i="53"/>
  <c r="BGD3" i="53"/>
  <c r="PGC3" i="53"/>
  <c r="THL3" i="53"/>
  <c r="OWQ3" i="53"/>
  <c r="HTU3" i="53"/>
  <c r="EWL3" i="53"/>
  <c r="DNY3" i="53"/>
  <c r="C54" i="53"/>
  <c r="VBN3" i="53"/>
  <c r="DWX3" i="53"/>
  <c r="WHH3" i="53"/>
  <c r="WQJ3" i="53"/>
  <c r="D3" i="46"/>
  <c r="AIA3" i="53"/>
  <c r="NPB3" i="53"/>
  <c r="NYJ3" i="53"/>
  <c r="QED3" i="53"/>
  <c r="RNO3" i="53"/>
  <c r="LSX3" i="53"/>
  <c r="RNU3" i="53"/>
  <c r="DGA3" i="53"/>
  <c r="HBH3" i="53"/>
  <c r="GMW3" i="53"/>
  <c r="UYE3" i="53"/>
  <c r="UES3" i="53"/>
  <c r="FNG3" i="53"/>
  <c r="QSV3" i="53"/>
  <c r="BYF3" i="53"/>
  <c r="TJK3" i="53"/>
  <c r="VXN3" i="53"/>
  <c r="TJV3" i="53"/>
  <c r="PTT3" i="53"/>
  <c r="RUM3" i="53"/>
  <c r="GPN3" i="53"/>
  <c r="PUD3" i="53"/>
  <c r="LGB3" i="53"/>
  <c r="VWV3" i="53"/>
  <c r="WYB3" i="53"/>
  <c r="DZZ3" i="53"/>
  <c r="WXF3" i="53"/>
  <c r="OA3" i="53"/>
  <c r="FFC3" i="53"/>
  <c r="MHI3" i="53"/>
  <c r="APH3" i="53"/>
  <c r="JIF3" i="53"/>
  <c r="TOF3" i="53"/>
  <c r="WLS3" i="53"/>
  <c r="DDH3" i="53"/>
  <c r="ULR3" i="53"/>
  <c r="SQH3" i="53"/>
  <c r="LSF3" i="53"/>
  <c r="NZN3" i="53"/>
  <c r="PCK3" i="53"/>
  <c r="EAN3" i="53"/>
  <c r="QTA3" i="53"/>
  <c r="ISE3" i="53"/>
  <c r="LMR3" i="53"/>
  <c r="RTO3" i="53"/>
  <c r="RGA3" i="53"/>
  <c r="XV3" i="53"/>
  <c r="ERI3" i="53"/>
  <c r="GBG3" i="53"/>
  <c r="FKK3" i="53"/>
  <c r="MJD3" i="53"/>
  <c r="DAQ3" i="53"/>
  <c r="MVU3" i="53"/>
  <c r="BE3" i="53"/>
  <c r="FEF3" i="53"/>
  <c r="WBF3" i="53"/>
  <c r="UMZ3" i="53"/>
  <c r="SGS3" i="53"/>
  <c r="ASI3" i="53"/>
  <c r="OQP3" i="53"/>
  <c r="SEJ3" i="53"/>
  <c r="GUQ3" i="53"/>
  <c r="CXI3" i="53"/>
  <c r="JD3" i="53"/>
  <c r="EZN3" i="53"/>
  <c r="BBY3" i="53"/>
  <c r="TCW3" i="53"/>
  <c r="FSD3" i="53"/>
  <c r="WUU3" i="53"/>
  <c r="JTI3" i="53"/>
  <c r="RMT3" i="53"/>
  <c r="FXH3" i="53"/>
  <c r="EPM3" i="53"/>
  <c r="NFD3" i="53"/>
  <c r="EXG3" i="53"/>
  <c r="NNT3" i="53"/>
  <c r="AQH3" i="53"/>
  <c r="SK3" i="53"/>
  <c r="B3" i="28"/>
  <c r="BTQ3" i="53"/>
  <c r="BHN3" i="53"/>
  <c r="WUZ3" i="53"/>
  <c r="ULJ3" i="53"/>
  <c r="FDA3" i="53"/>
  <c r="SXW3" i="53"/>
  <c r="NEP3" i="53"/>
  <c r="VDL3" i="53"/>
  <c r="GEI3" i="53"/>
  <c r="LZG3" i="53"/>
  <c r="JNP3" i="53"/>
  <c r="PTB3" i="53"/>
  <c r="SNQ3" i="53"/>
  <c r="BVO3" i="53"/>
  <c r="OQK3" i="53"/>
  <c r="VMD3" i="53"/>
  <c r="GEF3" i="53"/>
  <c r="FZQ3" i="53"/>
  <c r="O3" i="53"/>
  <c r="FOX3" i="53"/>
  <c r="VTQ3" i="53"/>
  <c r="NMI3" i="53"/>
  <c r="G3" i="7"/>
  <c r="H3" i="50"/>
  <c r="MWF3" i="53"/>
  <c r="HLN3" i="53"/>
  <c r="SLE3" i="53"/>
  <c r="IIQ3" i="53"/>
  <c r="BXG3" i="53"/>
  <c r="MVX3" i="53"/>
  <c r="FAD3" i="53"/>
  <c r="DNP3" i="53"/>
  <c r="BIM3" i="53"/>
  <c r="LLF3" i="53"/>
  <c r="JET3" i="53"/>
  <c r="SAA3" i="53"/>
  <c r="SMM3" i="53"/>
  <c r="MJH3" i="53"/>
  <c r="MZM3" i="53"/>
  <c r="SQQ3" i="53"/>
  <c r="DBK3" i="53"/>
  <c r="EFN3" i="53"/>
  <c r="CAO3" i="53"/>
  <c r="FAY3" i="53"/>
  <c r="HRG3" i="53"/>
  <c r="OKT3" i="53"/>
  <c r="LYE3" i="53"/>
  <c r="WDZ3" i="53"/>
  <c r="SFX3" i="53"/>
  <c r="OPB3" i="53"/>
  <c r="BZC3" i="53"/>
  <c r="NSM3" i="53"/>
  <c r="PDU3" i="53"/>
  <c r="DDF3" i="53"/>
  <c r="WBH3" i="53"/>
  <c r="QXA3" i="53"/>
  <c r="SMA3" i="53"/>
  <c r="KMS3" i="53"/>
  <c r="SWZ3" i="53"/>
  <c r="VAE3" i="53"/>
  <c r="IQP3" i="53"/>
  <c r="PEC3" i="53"/>
  <c r="AVY3" i="53"/>
  <c r="OVD3" i="53"/>
  <c r="EFI3" i="53"/>
  <c r="WHX3" i="53"/>
  <c r="VKD3" i="53"/>
  <c r="VQR3" i="53"/>
  <c r="FYH3" i="53"/>
  <c r="HJL3" i="53"/>
  <c r="FTY3" i="53"/>
  <c r="SOM3" i="53"/>
  <c r="KWB3" i="53"/>
  <c r="TVV3" i="53"/>
  <c r="PYW3" i="53"/>
  <c r="IEA3" i="53"/>
  <c r="QOP3" i="53"/>
  <c r="TNP3" i="53"/>
  <c r="PMD3" i="53"/>
  <c r="AOH3" i="53"/>
  <c r="DQM3" i="53"/>
  <c r="MRN3" i="53"/>
  <c r="VUZ3" i="53"/>
  <c r="VCQ3" i="53"/>
  <c r="OLA3" i="53"/>
  <c r="JVV3" i="53"/>
  <c r="JAP3" i="53"/>
  <c r="QOL3" i="53"/>
  <c r="NQV3" i="53"/>
  <c r="AX3" i="53"/>
  <c r="WWR3" i="53"/>
  <c r="SYA3" i="53"/>
  <c r="GCA3" i="53"/>
  <c r="SVH3" i="53"/>
  <c r="DWD3" i="53"/>
  <c r="QCG3" i="53"/>
  <c r="QFE3" i="53"/>
  <c r="QGM3" i="53"/>
  <c r="WOC3" i="53"/>
  <c r="RDJ3" i="53"/>
  <c r="WJA3" i="53"/>
  <c r="QPE3" i="53"/>
  <c r="KXJ3" i="53"/>
  <c r="UFT3" i="53"/>
  <c r="NTR3" i="53"/>
  <c r="IRL3" i="53"/>
  <c r="QCH3" i="53"/>
  <c r="VPF3" i="53"/>
  <c r="C55" i="53"/>
  <c r="CFN3" i="53"/>
  <c r="APJ3" i="53"/>
  <c r="BDZ3" i="53"/>
  <c r="ACP3" i="53"/>
  <c r="NOS3" i="53"/>
  <c r="AUV3" i="53"/>
  <c r="NSP3" i="53"/>
  <c r="PQG3" i="53"/>
  <c r="ROK3" i="53"/>
  <c r="ERT3" i="53"/>
  <c r="TBE3" i="53"/>
  <c r="PUL3" i="53"/>
  <c r="UWD3" i="53"/>
  <c r="EZF3" i="53"/>
  <c r="ETT3" i="53"/>
  <c r="RKO3" i="53"/>
  <c r="TR3" i="53"/>
  <c r="FFZ3" i="53"/>
  <c r="DH3" i="53"/>
  <c r="MOH3" i="53"/>
  <c r="TNR3" i="53"/>
  <c r="KAE3" i="53"/>
  <c r="PPC3" i="53"/>
  <c r="GFA3" i="53"/>
  <c r="RNR3" i="53"/>
  <c r="IZV3" i="53"/>
  <c r="NAW3" i="53"/>
  <c r="BOP3" i="53"/>
  <c r="NCX3" i="53"/>
  <c r="EXN3" i="53"/>
  <c r="GDS3" i="53"/>
  <c r="T3" i="53"/>
  <c r="RCS3" i="53"/>
  <c r="LBP3" i="53"/>
  <c r="XFA3" i="53"/>
  <c r="WBT3" i="53"/>
  <c r="PKW3" i="53"/>
  <c r="RAC3" i="53"/>
  <c r="MBD3" i="53"/>
  <c r="DNQ3" i="53"/>
  <c r="LZR3" i="53"/>
  <c r="EAU3" i="53"/>
  <c r="STO3" i="53"/>
  <c r="XAB3" i="53"/>
  <c r="QVV3" i="53"/>
  <c r="SWT3" i="53"/>
  <c r="JMS3" i="53"/>
  <c r="OBP3" i="53"/>
  <c r="WUM3" i="53"/>
  <c r="VQE3" i="53"/>
  <c r="GGH3" i="53"/>
  <c r="FKV3" i="53"/>
  <c r="QCI3" i="53"/>
  <c r="BPK3" i="53"/>
  <c r="OXW3" i="53"/>
  <c r="FWT3" i="53"/>
  <c r="LFV3" i="53"/>
  <c r="CEI3" i="53"/>
  <c r="CDQ3" i="53"/>
  <c r="OCC3" i="53"/>
  <c r="WKO3" i="53"/>
  <c r="MCH3" i="53"/>
  <c r="CXA3" i="53"/>
  <c r="OBX3" i="53"/>
  <c r="FCZ3" i="53"/>
  <c r="SGD3" i="53"/>
  <c r="ADN3" i="53"/>
  <c r="BQR3" i="53"/>
  <c r="VRO3" i="53"/>
  <c r="QVT3" i="53"/>
  <c r="KHN3" i="53"/>
  <c r="JYB3" i="53"/>
  <c r="HLV3" i="53"/>
  <c r="URB3" i="53"/>
  <c r="CVW3" i="53"/>
  <c r="FXZ3" i="53"/>
  <c r="BJB3" i="53"/>
  <c r="VRM3" i="53"/>
  <c r="MFG3" i="53"/>
  <c r="GLY3" i="53"/>
  <c r="WNI3" i="53"/>
  <c r="WMD3" i="53"/>
  <c r="OZC3" i="53"/>
  <c r="REL3" i="53"/>
  <c r="MIR3" i="53"/>
  <c r="LJQ3" i="53"/>
  <c r="HAW3" i="53"/>
  <c r="FZC3" i="53"/>
  <c r="WCL3" i="53"/>
  <c r="UBR3" i="53"/>
  <c r="LEE3" i="53"/>
  <c r="IUV3" i="53"/>
  <c r="NYL3" i="53"/>
  <c r="D3" i="3"/>
  <c r="KUH3" i="53"/>
  <c r="PJQ3" i="53"/>
  <c r="LLB3" i="53"/>
  <c r="RGP3" i="53"/>
  <c r="KKL3" i="53"/>
  <c r="TPT3" i="53"/>
  <c r="TGZ3" i="53"/>
  <c r="RB3" i="53"/>
  <c r="BFH3" i="53"/>
  <c r="RND3" i="53"/>
  <c r="RNY3" i="53"/>
  <c r="ELH3" i="53"/>
  <c r="QGE3" i="53"/>
  <c r="NF3" i="53"/>
  <c r="PTG3" i="53"/>
  <c r="FCQ3" i="53"/>
  <c r="UCW3" i="53"/>
  <c r="HSW3" i="53"/>
  <c r="TVO3" i="53"/>
  <c r="UWC3" i="53"/>
  <c r="PIW3" i="53"/>
  <c r="SMD3" i="53"/>
  <c r="RNJ3" i="53"/>
  <c r="UFQ3" i="53"/>
  <c r="GWN3" i="53"/>
  <c r="WSP3" i="53"/>
  <c r="VJO3" i="53"/>
  <c r="TJI3" i="53"/>
  <c r="NXL3" i="53"/>
  <c r="GUW3" i="53"/>
  <c r="VBY3" i="53"/>
  <c r="REY3" i="53"/>
  <c r="UGS3" i="53"/>
  <c r="WEW3" i="53"/>
  <c r="HEZ3" i="53"/>
  <c r="DNO3" i="53"/>
  <c r="AJC3" i="53"/>
  <c r="B3" i="53"/>
  <c r="IPI3" i="53"/>
  <c r="HJQ3" i="53"/>
  <c r="UKQ3" i="53"/>
  <c r="MCO3" i="53"/>
  <c r="LXP3" i="53"/>
  <c r="LPZ3" i="53"/>
  <c r="QEP3" i="53"/>
  <c r="XDE3" i="53"/>
  <c r="LRO3" i="53"/>
  <c r="JHW3" i="53"/>
  <c r="PXW3" i="53"/>
  <c r="OTP3" i="53"/>
  <c r="JAJ3" i="53"/>
  <c r="FMA3" i="53"/>
  <c r="NVP3" i="53"/>
  <c r="BGU3" i="53"/>
  <c r="TQG3" i="53"/>
  <c r="CVR3" i="53"/>
  <c r="SKD3" i="53"/>
  <c r="SQ3" i="53"/>
  <c r="PRK3" i="53"/>
  <c r="LTI3" i="53"/>
  <c r="NOV3" i="53"/>
  <c r="TDH3" i="53"/>
  <c r="MEL3" i="53"/>
  <c r="UDP3" i="53"/>
  <c r="WGO3" i="53"/>
  <c r="BO3" i="53"/>
  <c r="WLN3" i="53"/>
  <c r="CVT3" i="53"/>
  <c r="OQ3" i="53"/>
  <c r="LPF3" i="53"/>
  <c r="MUH3" i="53"/>
  <c r="TNG3" i="53"/>
  <c r="XBV3" i="53"/>
  <c r="EMC3" i="53"/>
  <c r="IBX3" i="53"/>
  <c r="CFR3" i="53"/>
  <c r="OYK3" i="53"/>
  <c r="GXH3" i="53"/>
  <c r="WQI3" i="53"/>
  <c r="DRK3" i="53"/>
  <c r="F3" i="59"/>
  <c r="IDS3" i="53"/>
  <c r="VFT3" i="53"/>
  <c r="GSJ3" i="53"/>
  <c r="EKK3" i="53"/>
  <c r="BPU3" i="53"/>
  <c r="GPB3" i="53"/>
  <c r="AIE3" i="53"/>
  <c r="PN3" i="53"/>
  <c r="JTA3" i="53"/>
  <c r="E13" i="31"/>
  <c r="CLO3" i="53"/>
  <c r="NJU3" i="53"/>
  <c r="GDC3" i="53"/>
  <c r="BZP3" i="53"/>
  <c r="OXQ3" i="53"/>
  <c r="OGI3" i="53"/>
  <c r="C3" i="60"/>
  <c r="LNP3" i="53"/>
  <c r="IWF3" i="53"/>
  <c r="VAQ3" i="53"/>
  <c r="KPY3" i="53"/>
  <c r="FNX3" i="53"/>
  <c r="KJD3" i="53"/>
  <c r="QKW3" i="53"/>
  <c r="DHZ3" i="53"/>
  <c r="LSQ3" i="53"/>
  <c r="HTG3" i="53"/>
  <c r="VC3" i="53"/>
  <c r="OSD3" i="53"/>
  <c r="WNV3" i="53"/>
  <c r="QPK3" i="53"/>
  <c r="PBV3" i="53"/>
  <c r="F3" i="53"/>
  <c r="KI3" i="53"/>
  <c r="OBI3" i="53"/>
  <c r="QFJ3" i="53"/>
  <c r="LVZ3" i="53"/>
  <c r="AUF3" i="53"/>
  <c r="DAE3" i="53"/>
  <c r="EDO3" i="53"/>
  <c r="JYD3" i="53"/>
  <c r="AC3" i="53"/>
  <c r="VYN3" i="53"/>
  <c r="TEF3" i="53"/>
  <c r="WJX3" i="53"/>
  <c r="DXT3" i="53"/>
  <c r="WV3" i="53"/>
  <c r="DPO3" i="53"/>
  <c r="FZD3" i="53"/>
  <c r="RUG3" i="53"/>
  <c r="EQM3" i="53"/>
  <c r="C43" i="53"/>
  <c r="UWJ3" i="53"/>
  <c r="JED3" i="53"/>
  <c r="CAB3" i="53"/>
  <c r="LHJ3" i="53"/>
  <c r="NS3" i="53"/>
  <c r="DYD3" i="53"/>
  <c r="AWI3" i="53"/>
  <c r="C3" i="26"/>
  <c r="LEQ3" i="53"/>
  <c r="FEC3" i="53"/>
  <c r="GND3" i="53"/>
  <c r="E15" i="31"/>
  <c r="C3" i="49"/>
  <c r="EXU3" i="53"/>
  <c r="SCX3" i="53"/>
  <c r="UOT3" i="53"/>
  <c r="CZQ3" i="53"/>
  <c r="ISZ3" i="53"/>
  <c r="GUL3" i="53"/>
  <c r="WGE3" i="53"/>
  <c r="LLI3" i="53"/>
  <c r="VSJ3" i="53"/>
  <c r="AXD3" i="53"/>
  <c r="PAW3" i="53"/>
  <c r="OFF3" i="53"/>
  <c r="OIO3" i="53"/>
  <c r="QRT3" i="53"/>
  <c r="WJD3" i="53"/>
  <c r="UFJ3" i="53"/>
  <c r="JAS3" i="53"/>
  <c r="BAD3" i="53"/>
  <c r="OIU3" i="53"/>
  <c r="ORZ3" i="53"/>
  <c r="SZK3" i="53"/>
  <c r="MDL3" i="53"/>
  <c r="XDT3" i="53"/>
  <c r="CZC3" i="53"/>
  <c r="UEW3" i="53"/>
  <c r="POE3" i="53"/>
  <c r="PGK3" i="53"/>
  <c r="VPI3" i="53"/>
  <c r="DEQ3" i="53"/>
  <c r="TPI3" i="53"/>
  <c r="KKU3" i="53"/>
  <c r="OWT3" i="53"/>
  <c r="LWW3" i="53"/>
  <c r="ISX3" i="53"/>
  <c r="PRV3" i="53"/>
  <c r="IGN3" i="53"/>
  <c r="DGQ3" i="53"/>
  <c r="WXJ3" i="53"/>
  <c r="AMR3" i="53"/>
  <c r="MHT3" i="53"/>
  <c r="TGV3" i="53"/>
  <c r="E3" i="20"/>
  <c r="NMB3" i="53"/>
  <c r="JAU3" i="53"/>
  <c r="JRX3" i="53"/>
  <c r="QFN3" i="53"/>
  <c r="OZG3" i="53"/>
  <c r="KTO3" i="53"/>
  <c r="EKZ3" i="53"/>
  <c r="IBN3" i="53"/>
  <c r="CQU3" i="53"/>
  <c r="KRQ3" i="53"/>
  <c r="XCY3" i="53"/>
  <c r="UND3" i="53"/>
  <c r="TDK3" i="53"/>
  <c r="LUH3" i="53"/>
  <c r="SHG3" i="53"/>
  <c r="HLH3" i="53"/>
  <c r="H3" i="15"/>
  <c r="EGV3" i="53"/>
  <c r="IRM3" i="53"/>
  <c r="LWF3" i="53"/>
  <c r="KGO3" i="53"/>
  <c r="LSC3" i="53"/>
  <c r="EWX3" i="53"/>
  <c r="UJK3" i="53"/>
  <c r="JGI3" i="53"/>
  <c r="BZY3" i="53"/>
  <c r="SBE3" i="53"/>
  <c r="QVH3" i="53"/>
  <c r="FPI3" i="53"/>
  <c r="IGQ3" i="53"/>
  <c r="WUO3" i="53"/>
  <c r="BZ3" i="53"/>
  <c r="QAX3" i="53"/>
  <c r="WQW3" i="53"/>
  <c r="LDD3" i="53"/>
  <c r="ESB3" i="53"/>
  <c r="LMX3" i="53"/>
  <c r="IKJ3" i="53"/>
  <c r="JLA3" i="53"/>
  <c r="NOZ3" i="53"/>
  <c r="QHP3" i="53"/>
  <c r="LFQ3" i="53"/>
  <c r="PRA3" i="53"/>
  <c r="SFF3" i="53"/>
  <c r="SPH3" i="53"/>
  <c r="PCL3" i="53"/>
  <c r="OIC3" i="53"/>
  <c r="LBM3" i="53"/>
  <c r="LRZ3" i="53"/>
  <c r="PFT3" i="53"/>
  <c r="SFR3" i="53"/>
  <c r="WM3" i="53"/>
  <c r="VYZ3" i="53"/>
  <c r="RCK3" i="53"/>
  <c r="UMS3" i="53"/>
  <c r="FTD3" i="53"/>
  <c r="VLE3" i="53"/>
  <c r="FAH3" i="53"/>
  <c r="BSV3" i="53"/>
  <c r="WNM3" i="53"/>
  <c r="HCP3" i="53"/>
  <c r="JDH3" i="53"/>
  <c r="RDL3" i="53"/>
  <c r="MDD3" i="53"/>
  <c r="QHT3" i="53"/>
  <c r="JTL3" i="53"/>
  <c r="SKR3" i="53"/>
  <c r="ABA3" i="53"/>
  <c r="ECN3" i="53"/>
  <c r="UTF3" i="53"/>
  <c r="MLX3" i="53"/>
  <c r="HPW3" i="53"/>
  <c r="UYT3" i="53"/>
  <c r="ICT3" i="53"/>
  <c r="GCI3" i="53"/>
  <c r="IPV3" i="53"/>
  <c r="BUL3" i="53"/>
  <c r="RCG3" i="53"/>
  <c r="MYZ3" i="53"/>
  <c r="PTC3" i="53"/>
  <c r="CBD3" i="53"/>
  <c r="EJK3" i="53"/>
  <c r="QBC3" i="53"/>
  <c r="DIZ3" i="53"/>
  <c r="GHJ3" i="53"/>
  <c r="PJC3" i="53"/>
  <c r="WFO3" i="53"/>
  <c r="JPQ3" i="53"/>
  <c r="EUL3" i="53"/>
  <c r="PBB3" i="53"/>
  <c r="IQR3" i="53"/>
  <c r="OJZ3" i="53"/>
  <c r="JEA3" i="53"/>
  <c r="Y3" i="53"/>
  <c r="HCG3" i="53"/>
  <c r="WVL3" i="53"/>
  <c r="JDB3" i="53"/>
  <c r="CQO3" i="53"/>
  <c r="BHC3" i="53"/>
  <c r="NSE3" i="53"/>
  <c r="QVN3" i="53"/>
  <c r="HRE3" i="53"/>
  <c r="JZZ3" i="53"/>
  <c r="JFD3" i="53"/>
  <c r="KFL3" i="53"/>
  <c r="MQU3" i="53"/>
  <c r="DZH3" i="53"/>
  <c r="WSY3" i="53"/>
  <c r="NFQ3" i="53"/>
  <c r="WKJ3" i="53"/>
  <c r="VSU3" i="53"/>
  <c r="UB3" i="53"/>
  <c r="SRB3" i="53"/>
  <c r="NAO3" i="53"/>
  <c r="ABE3" i="53"/>
  <c r="RTG3" i="53"/>
  <c r="PAN3" i="53"/>
  <c r="HDF3" i="53"/>
  <c r="DAP3" i="53"/>
  <c r="VQK3" i="53"/>
  <c r="DXO3" i="53"/>
  <c r="TOV3" i="53"/>
  <c r="EQV3" i="53"/>
  <c r="PPY3" i="53"/>
  <c r="C60" i="53"/>
  <c r="IRF3" i="53"/>
  <c r="IPB3" i="53"/>
  <c r="RIA3" i="53"/>
  <c r="REB3" i="53"/>
  <c r="SGJ3" i="53"/>
  <c r="WDK3" i="53"/>
  <c r="OMV3" i="53"/>
  <c r="DXU3" i="53"/>
  <c r="BSI3" i="53"/>
  <c r="VKK3" i="53"/>
  <c r="PXQ3" i="53"/>
  <c r="OVV3" i="53"/>
  <c r="B3" i="42"/>
  <c r="IJX3" i="53"/>
  <c r="VLN3" i="53"/>
  <c r="IXW3" i="53"/>
  <c r="PJU3" i="53"/>
  <c r="FLO3" i="53"/>
  <c r="LJI3" i="53"/>
  <c r="ITW3" i="53"/>
  <c r="GPE3" i="53"/>
  <c r="CY3" i="53"/>
  <c r="MMA3" i="53"/>
  <c r="VMK3" i="53"/>
  <c r="WZP3" i="53"/>
  <c r="GCP3" i="53"/>
  <c r="EUT3" i="53"/>
  <c r="LTP3" i="53"/>
  <c r="SLX3" i="53"/>
  <c r="UAW3" i="53"/>
  <c r="OEY3" i="53"/>
  <c r="TKJ3" i="53"/>
  <c r="AAS3" i="53"/>
  <c r="ONL3" i="53"/>
  <c r="GAE3" i="53"/>
  <c r="OUV3" i="53"/>
  <c r="AIH3" i="53"/>
  <c r="WND3" i="53"/>
  <c r="QQH3" i="53"/>
  <c r="NMS3" i="53"/>
  <c r="GFZ3" i="53"/>
  <c r="QFK3" i="53"/>
  <c r="OZJ3" i="53"/>
  <c r="EZB3" i="53"/>
  <c r="RPP3" i="53"/>
  <c r="SMY3" i="53"/>
  <c r="WIO3" i="53"/>
  <c r="GGV3" i="53"/>
  <c r="UXI3" i="53"/>
  <c r="DWC3" i="53"/>
  <c r="A3" i="26"/>
  <c r="RFQ3" i="53"/>
  <c r="HNK3" i="53"/>
  <c r="OZR3" i="53"/>
  <c r="HRH3" i="53"/>
  <c r="RKV3" i="53"/>
  <c r="PSX3" i="53"/>
  <c r="C46" i="53"/>
  <c r="RTW3" i="53"/>
  <c r="KLN3" i="53"/>
  <c r="CLE3" i="53"/>
  <c r="DAX3" i="53"/>
  <c r="IXO3" i="53"/>
  <c r="KZZ3" i="53"/>
  <c r="PQ3" i="53"/>
  <c r="WMF3" i="53"/>
  <c r="D3" i="6"/>
  <c r="MQZ3" i="53"/>
  <c r="FLR3" i="53"/>
  <c r="QWX3" i="53"/>
  <c r="PXC3" i="53"/>
  <c r="WUJ3" i="53"/>
  <c r="DIV3" i="53"/>
  <c r="SCP3" i="53"/>
  <c r="NQL3" i="53"/>
  <c r="KVE3" i="53"/>
  <c r="EXZ3" i="53"/>
  <c r="IYY3" i="53"/>
  <c r="FCV3" i="53"/>
  <c r="FFH3" i="53"/>
  <c r="WFZ3" i="53"/>
  <c r="JRT3" i="53"/>
  <c r="TIK3" i="53"/>
  <c r="DKY3" i="53"/>
  <c r="AWF3" i="53"/>
  <c r="DZU3" i="53"/>
  <c r="TTQ3" i="53"/>
  <c r="WJZ3" i="53"/>
  <c r="NOD3" i="53"/>
  <c r="PLY3" i="53"/>
  <c r="AEU3" i="53"/>
  <c r="QDR3" i="53"/>
  <c r="NW3" i="53"/>
  <c r="VNJ3" i="53"/>
  <c r="FAV3" i="53"/>
  <c r="HLG3" i="53"/>
  <c r="QQV3" i="53"/>
  <c r="EQD3" i="53"/>
  <c r="PQY3" i="53"/>
  <c r="E3" i="56"/>
  <c r="FQK3" i="53"/>
  <c r="GDI3" i="53"/>
  <c r="FFU3" i="53"/>
  <c r="QVJ3" i="53"/>
  <c r="IWG3" i="53"/>
  <c r="BHM3" i="53"/>
  <c r="HWT3" i="53"/>
  <c r="OBC3" i="53"/>
  <c r="OGH3" i="53"/>
  <c r="SFM3" i="53"/>
  <c r="VWI3" i="53"/>
  <c r="DPR3" i="53"/>
  <c r="QMT3" i="53"/>
  <c r="RPT3" i="53"/>
  <c r="SFL3" i="53"/>
  <c r="PAO3" i="53"/>
  <c r="B3" i="31"/>
  <c r="KEB3" i="53"/>
  <c r="FWL3" i="53"/>
  <c r="ECU3" i="53"/>
  <c r="KPK3" i="53"/>
  <c r="DCG3" i="53"/>
  <c r="GBD3" i="53"/>
  <c r="C34" i="53"/>
  <c r="JOY3" i="53"/>
  <c r="RZH3" i="53"/>
  <c r="MLU3" i="53"/>
  <c r="NYZ3" i="53"/>
  <c r="FYL3" i="53"/>
  <c r="UDT3" i="53"/>
  <c r="OIV3" i="53"/>
  <c r="WYW3" i="53"/>
  <c r="FVZ3" i="53"/>
  <c r="ODV3" i="53"/>
  <c r="VOG3" i="53"/>
  <c r="QQO3" i="53"/>
  <c r="A3" i="60"/>
  <c r="E23" i="31"/>
  <c r="IOT3" i="53"/>
  <c r="KIH3" i="53"/>
  <c r="UGQ3" i="53"/>
  <c r="BLV3" i="53"/>
  <c r="DBF3" i="53"/>
  <c r="OV3" i="53"/>
  <c r="LOY3" i="53"/>
  <c r="DYM3" i="53"/>
  <c r="OPQ3" i="53"/>
  <c r="BDV3" i="53"/>
  <c r="HIB3" i="53"/>
  <c r="VWE3" i="53"/>
  <c r="VNZ3" i="53"/>
  <c r="RKR3" i="53"/>
  <c r="CVO3" i="53"/>
  <c r="JYE3" i="53"/>
  <c r="FIF3" i="53"/>
  <c r="FTB3" i="53"/>
  <c r="JEN3" i="53"/>
  <c r="WCJ3" i="53"/>
  <c r="C50" i="53"/>
  <c r="HJT3" i="53"/>
  <c r="PFI3" i="53"/>
  <c r="OEH3" i="53"/>
  <c r="IPX3" i="53"/>
  <c r="DA3" i="53"/>
  <c r="NFT3" i="53"/>
  <c r="CUU3" i="53"/>
  <c r="GBV3" i="53"/>
  <c r="BPJ3" i="53"/>
  <c r="GZE3" i="53"/>
  <c r="ORR3" i="53"/>
  <c r="SKT3" i="53"/>
  <c r="HEO3" i="53"/>
  <c r="HLX3" i="53"/>
  <c r="GDP3" i="53"/>
  <c r="HPG3" i="53"/>
  <c r="PSE3" i="53"/>
  <c r="GNC3" i="53"/>
  <c r="GRV3" i="53"/>
  <c r="JZV3" i="53"/>
  <c r="DHX3" i="53"/>
  <c r="C33" i="53"/>
  <c r="VVU3" i="53"/>
  <c r="ENP3" i="53"/>
  <c r="PMO3" i="53"/>
  <c r="UAS3" i="53"/>
  <c r="NHJ3" i="53"/>
  <c r="VWJ3" i="53"/>
  <c r="TEU3" i="53"/>
  <c r="WDV3" i="53"/>
  <c r="WMH3" i="53"/>
  <c r="SQO3" i="53"/>
  <c r="XBI3" i="53"/>
  <c r="JBN3" i="53"/>
  <c r="JJO3" i="53"/>
  <c r="TEJ3" i="53"/>
  <c r="C3" i="50"/>
  <c r="WNW3" i="53"/>
  <c r="MXD3" i="53"/>
  <c r="SGN3" i="53"/>
  <c r="UQL3" i="53"/>
  <c r="NSO3" i="53"/>
  <c r="FTA3" i="53"/>
  <c r="MLB3" i="53"/>
  <c r="GPL3" i="53"/>
  <c r="FHP3" i="53"/>
  <c r="RLI3" i="53"/>
  <c r="RBF3" i="53"/>
  <c r="LLV3" i="53"/>
  <c r="GAM3" i="53"/>
  <c r="PFQ3" i="53"/>
  <c r="IGP3" i="53"/>
  <c r="UCA3" i="53"/>
  <c r="CJV3" i="53"/>
  <c r="RQP3" i="53"/>
  <c r="VLP3" i="53"/>
  <c r="QSH3" i="53"/>
  <c r="NLG3" i="53"/>
  <c r="VOD3" i="53"/>
  <c r="I3" i="7"/>
  <c r="ORW3" i="53"/>
  <c r="HRL3" i="53"/>
  <c r="APO3" i="53"/>
  <c r="PCI3" i="53"/>
  <c r="IUG3" i="53"/>
  <c r="ETP3" i="53"/>
  <c r="TRG3" i="53"/>
  <c r="FUP3" i="53"/>
  <c r="ULD3" i="53"/>
  <c r="NDN3" i="53"/>
  <c r="AYE3" i="53"/>
  <c r="MOI3" i="53"/>
  <c r="RDD3" i="53"/>
  <c r="VYU3" i="53"/>
  <c r="AVM3" i="53"/>
  <c r="IP3" i="53"/>
  <c r="GYO3" i="53"/>
  <c r="SNL3" i="53"/>
  <c r="GRO3" i="53"/>
  <c r="RPR3" i="53"/>
  <c r="KTW3" i="53"/>
  <c r="B3" i="20"/>
  <c r="VOB3" i="53"/>
  <c r="SYG3" i="53"/>
  <c r="GNM3" i="53"/>
  <c r="MFA3" i="53"/>
  <c r="G3" i="56"/>
  <c r="UGV3" i="53"/>
  <c r="BQJ3" i="53"/>
  <c r="XDR3" i="53"/>
  <c r="QJE3" i="53"/>
  <c r="D3" i="28"/>
  <c r="WFN3" i="53"/>
  <c r="PUQ3" i="53"/>
  <c r="IAJ3" i="53"/>
  <c r="KUZ3" i="53"/>
  <c r="WXZ3" i="53"/>
  <c r="MPC3" i="53"/>
  <c r="HGH3" i="53"/>
  <c r="UPQ3" i="53"/>
  <c r="QM3" i="53"/>
  <c r="FKA3" i="53"/>
  <c r="SXV3" i="53"/>
  <c r="BMF3" i="53"/>
  <c r="RCY3" i="53"/>
  <c r="RLD3" i="53"/>
  <c r="DGL3" i="53"/>
  <c r="OMK3" i="53"/>
  <c r="C64" i="53"/>
  <c r="BMI3" i="53"/>
  <c r="GGP3" i="53"/>
  <c r="GHG3" i="53"/>
  <c r="AXB3" i="53"/>
  <c r="ESY3" i="53"/>
  <c r="IQV3" i="53"/>
  <c r="NAE3" i="53"/>
  <c r="SDK3" i="53"/>
  <c r="QDK3" i="53"/>
  <c r="SXR3" i="53"/>
  <c r="WLP3" i="53"/>
  <c r="RCT3" i="53"/>
  <c r="IQI3" i="53"/>
  <c r="SUM3" i="53"/>
  <c r="VGY3" i="53"/>
  <c r="UAJ3" i="53"/>
  <c r="NAS3" i="53"/>
  <c r="HJS3" i="53"/>
  <c r="AN3" i="53"/>
  <c r="VFK3" i="53"/>
  <c r="HIA3" i="53"/>
  <c r="GZA3" i="53"/>
  <c r="QSM3" i="53"/>
  <c r="HO3" i="53"/>
  <c r="OFW3" i="53"/>
  <c r="PXJ3" i="53"/>
  <c r="F3" i="1"/>
  <c r="XC3" i="53"/>
  <c r="SVU3" i="53"/>
  <c r="C28" i="53"/>
  <c r="LWZ3" i="53"/>
  <c r="HI3" i="53"/>
  <c r="EYW3" i="53"/>
  <c r="UJP3" i="53"/>
  <c r="JPA3" i="53"/>
  <c r="FBO3" i="53"/>
  <c r="OPX3" i="53"/>
  <c r="THA3" i="53"/>
  <c r="C3" i="31"/>
  <c r="MPR3" i="53"/>
  <c r="TZS3" i="53"/>
  <c r="WNE3" i="53"/>
  <c r="NEN3" i="53"/>
  <c r="TSM3" i="53"/>
  <c r="QCZ3" i="53"/>
  <c r="A3" i="50"/>
  <c r="UWK3" i="53"/>
  <c r="OCL3" i="53"/>
  <c r="GVD3" i="53"/>
  <c r="MHK3" i="53"/>
  <c r="ATH3" i="53"/>
  <c r="LCB3" i="53"/>
  <c r="UPR3" i="53"/>
  <c r="QFV3" i="53"/>
  <c r="JJP3" i="53"/>
  <c r="LFK3" i="53"/>
  <c r="WBX3" i="53"/>
  <c r="JAC3" i="53"/>
  <c r="VCO3" i="53"/>
  <c r="NLO3" i="53"/>
  <c r="BGG3" i="53"/>
  <c r="CJB3" i="53"/>
  <c r="SGM3" i="53"/>
  <c r="SOK3" i="53"/>
  <c r="ICE3" i="53"/>
  <c r="DY3" i="53"/>
  <c r="PJA3" i="53"/>
  <c r="RWO3" i="53"/>
  <c r="KNU3" i="53"/>
  <c r="JTN3" i="53"/>
  <c r="XF3" i="53"/>
  <c r="HFB3" i="53"/>
  <c r="TCS3" i="53"/>
  <c r="SRH3" i="53"/>
  <c r="HEA3" i="53"/>
  <c r="JHZ3" i="53"/>
  <c r="HLC3" i="53"/>
  <c r="TCP3" i="53"/>
  <c r="AFT3" i="53"/>
  <c r="OBA3" i="53"/>
  <c r="IQW3" i="53"/>
  <c r="PSI3" i="53"/>
  <c r="AGR3" i="53"/>
  <c r="D3" i="7"/>
  <c r="OEU3" i="53"/>
  <c r="KMN3" i="53"/>
  <c r="TLM3" i="53"/>
  <c r="LWN3" i="53"/>
  <c r="TUT3" i="53"/>
  <c r="OQC3" i="53"/>
  <c r="HMN3" i="53"/>
  <c r="RRX3" i="53"/>
  <c r="NHM3" i="53"/>
  <c r="LSO3" i="53"/>
  <c r="KIT3" i="53"/>
  <c r="FYQ3" i="53"/>
  <c r="QSI3" i="53"/>
  <c r="MHO3" i="53"/>
  <c r="DKQ3" i="53"/>
  <c r="GSG3" i="53"/>
  <c r="NCF3" i="53"/>
  <c r="GEP3" i="53"/>
  <c r="SWJ3" i="53"/>
  <c r="SXA3" i="53"/>
  <c r="GKX3" i="53"/>
  <c r="OJT3" i="53"/>
  <c r="WIH3" i="53"/>
  <c r="KIS3" i="53"/>
  <c r="WSB3" i="53"/>
  <c r="TUD3" i="53"/>
  <c r="PQI3" i="53"/>
  <c r="VUO3" i="53"/>
  <c r="SGA3" i="53"/>
  <c r="MRZ3" i="53"/>
  <c r="KQD3" i="53"/>
  <c r="GWZ3" i="53"/>
  <c r="GTI3" i="53"/>
  <c r="GOD3" i="53"/>
  <c r="CZZ3" i="53"/>
  <c r="RRZ3" i="53"/>
  <c r="PTM3" i="53"/>
  <c r="TVY3" i="53"/>
  <c r="ROQ3" i="53"/>
  <c r="BRM3" i="53"/>
  <c r="GCJ3" i="53"/>
  <c r="AHV3" i="53"/>
  <c r="FQY3" i="53"/>
  <c r="HUL3" i="53"/>
  <c r="FRK3" i="53"/>
  <c r="VMX3" i="53"/>
  <c r="NQS3" i="53"/>
  <c r="JBG3" i="53"/>
  <c r="CNM3" i="53"/>
  <c r="OPK3" i="53"/>
  <c r="EQY3" i="53"/>
  <c r="XBE3" i="53"/>
  <c r="IJH3" i="53"/>
  <c r="OSN3" i="53"/>
  <c r="DVZ3" i="53"/>
  <c r="YN3" i="53"/>
  <c r="DHJ3" i="53"/>
  <c r="H3" i="34"/>
  <c r="WLH3" i="53"/>
  <c r="HCT3" i="53"/>
  <c r="LOA3" i="53"/>
  <c r="DLZ3" i="53"/>
  <c r="FWP3" i="53"/>
  <c r="LON3" i="53"/>
  <c r="PFX3" i="53"/>
  <c r="TJJ3" i="53"/>
  <c r="GCH3" i="53"/>
  <c r="NZ3" i="53"/>
  <c r="SSX3" i="53"/>
  <c r="JIX3" i="53"/>
  <c r="EJE3" i="53"/>
  <c r="DHV3" i="53"/>
  <c r="UEF3" i="53"/>
  <c r="SVO3" i="53"/>
  <c r="VPD3" i="53"/>
  <c r="TWJ3" i="53"/>
  <c r="GDX3" i="53"/>
  <c r="UAM3" i="53"/>
  <c r="AZL3" i="53"/>
  <c r="LH3" i="53"/>
  <c r="OCO3" i="53"/>
  <c r="SPG3" i="53"/>
  <c r="RIJ3" i="53"/>
  <c r="EIN3" i="53"/>
  <c r="VBQ3" i="53"/>
  <c r="QPG3" i="53"/>
  <c r="CNC3" i="53"/>
  <c r="WYI3" i="53"/>
  <c r="VHU3" i="53"/>
  <c r="XCX3" i="53"/>
  <c r="APG3" i="53"/>
  <c r="GRL3" i="53"/>
  <c r="ECZ3" i="53"/>
  <c r="HTV3" i="53"/>
  <c r="FEX3" i="53"/>
  <c r="LSV3" i="53"/>
  <c r="EKQ3" i="53"/>
  <c r="LHG3" i="53"/>
  <c r="OGC3" i="53"/>
  <c r="TGQ3" i="53"/>
  <c r="GJY3" i="53"/>
  <c r="DPY3" i="53"/>
  <c r="MWL3" i="53"/>
  <c r="EKR3" i="53"/>
  <c r="QZB3" i="53"/>
  <c r="D3" i="13"/>
  <c r="A3" i="46"/>
  <c r="PEJ3" i="53"/>
  <c r="JKC3" i="53"/>
  <c r="TIH3" i="53"/>
  <c r="OQO3" i="53"/>
  <c r="FZ3" i="53"/>
  <c r="SFH3" i="53"/>
  <c r="VXD3" i="53"/>
  <c r="VRY3" i="53"/>
  <c r="FHW3" i="53"/>
  <c r="C3" i="7"/>
  <c r="FSZ3" i="53"/>
  <c r="SBY3" i="53"/>
  <c r="IMH3" i="53"/>
  <c r="PGO3" i="53"/>
  <c r="BWM3" i="53"/>
  <c r="MYL3" i="53"/>
  <c r="NFX3" i="53"/>
  <c r="KLI3" i="53"/>
  <c r="IBM3" i="53"/>
  <c r="GOF3" i="53"/>
  <c r="GFC3" i="53"/>
  <c r="C41" i="53"/>
  <c r="WUY3" i="53"/>
  <c r="UPI3" i="53"/>
  <c r="ADL3" i="53"/>
  <c r="EMI3" i="53"/>
  <c r="BFO3" i="53"/>
  <c r="WHO3" i="53"/>
  <c r="OSP3" i="53"/>
  <c r="IAC3" i="53"/>
  <c r="JJM3" i="53"/>
  <c r="UFR3" i="53"/>
  <c r="IIW3" i="53"/>
  <c r="DQI3" i="53"/>
  <c r="KWG3" i="53"/>
  <c r="DS3" i="53"/>
  <c r="JIU3" i="53"/>
  <c r="B3" i="38"/>
  <c r="RSQ3" i="53"/>
  <c r="FRY3" i="53"/>
  <c r="WXY3" i="53"/>
  <c r="WZE3" i="53"/>
  <c r="WQM3" i="53"/>
  <c r="AXE3" i="53"/>
  <c r="SQN3" i="53"/>
  <c r="VPR3" i="53"/>
  <c r="KKZ3" i="53"/>
  <c r="TBW3" i="53"/>
  <c r="DMD3" i="53"/>
  <c r="E3" i="4"/>
  <c r="TZU3" i="53"/>
  <c r="IAX3" i="53"/>
  <c r="DZC3" i="53"/>
  <c r="PHS3" i="53"/>
  <c r="WYR3" i="53"/>
  <c r="A3" i="22"/>
  <c r="FVL3" i="53"/>
  <c r="QNW3" i="53"/>
  <c r="HWC3" i="53"/>
  <c r="MXY3" i="53"/>
  <c r="JQM3" i="53"/>
  <c r="WDH3" i="53"/>
  <c r="AQB3" i="53"/>
  <c r="IOU3" i="53"/>
  <c r="WOB3" i="53"/>
  <c r="UJV3" i="53"/>
  <c r="GEQ3" i="53"/>
  <c r="CCB3" i="53"/>
  <c r="TWM3" i="53"/>
  <c r="GGW3" i="53"/>
  <c r="GTC3" i="53"/>
  <c r="KEU3" i="53"/>
  <c r="UCQ3" i="53"/>
  <c r="MZA3" i="53"/>
  <c r="BXE3" i="53"/>
  <c r="KSS3" i="53"/>
  <c r="QKB3" i="53"/>
  <c r="JSB3" i="53"/>
  <c r="HBO3" i="53"/>
  <c r="WUD3" i="53"/>
  <c r="VNN3" i="53"/>
  <c r="ORL3" i="53"/>
  <c r="JRA3" i="53"/>
  <c r="LAZ3" i="53"/>
  <c r="LOP3" i="53"/>
  <c r="DDC3" i="53"/>
  <c r="FKL3" i="53"/>
  <c r="WKL3" i="53"/>
  <c r="RTX3" i="53"/>
  <c r="IIR3" i="53"/>
  <c r="LDH3" i="53"/>
  <c r="SJG3" i="53"/>
  <c r="CNZ3" i="53"/>
  <c r="WNS3" i="53"/>
  <c r="SZV3" i="53"/>
  <c r="PLC3" i="53"/>
  <c r="F3" i="7"/>
  <c r="BD3" i="53"/>
  <c r="XBB3" i="53"/>
  <c r="GIN3" i="53"/>
  <c r="WVD3" i="53"/>
  <c r="B3" i="40"/>
  <c r="TJS3" i="53"/>
  <c r="DYL3" i="53"/>
  <c r="QTJ3" i="53"/>
  <c r="AJF3" i="53"/>
  <c r="NGL3" i="53"/>
  <c r="TAW3" i="53"/>
  <c r="JID3" i="53"/>
  <c r="OGE3" i="53"/>
  <c r="IMN3" i="53"/>
  <c r="KGB3" i="53"/>
  <c r="MFO3" i="53"/>
  <c r="KNX3" i="53"/>
  <c r="WNB3" i="53"/>
  <c r="CRA3" i="53"/>
  <c r="QUV3" i="53"/>
  <c r="SSD3" i="53"/>
  <c r="DES3" i="53"/>
  <c r="OUF3" i="53"/>
  <c r="CRO3" i="53"/>
  <c r="LUX3" i="53"/>
  <c r="OLN3" i="53"/>
  <c r="KUU3" i="53"/>
  <c r="SXT3" i="53"/>
  <c r="ARX3" i="53"/>
  <c r="KXI3" i="53"/>
  <c r="NFG3" i="53"/>
  <c r="LYV3" i="53"/>
  <c r="EQL3" i="53"/>
  <c r="SUD3" i="53"/>
  <c r="RXF3" i="53"/>
  <c r="JEW3" i="53"/>
  <c r="TRH3" i="53"/>
  <c r="JQG3" i="53"/>
  <c r="VRN3" i="53"/>
  <c r="VLQ3" i="53"/>
  <c r="PEH3" i="53"/>
  <c r="HE3" i="53"/>
  <c r="L3" i="34"/>
  <c r="VUC3" i="53"/>
  <c r="KZF3" i="53"/>
  <c r="AQC3" i="53"/>
  <c r="JCV3" i="53"/>
  <c r="LNH3" i="53"/>
  <c r="HCJ3" i="53"/>
  <c r="BLX3" i="53"/>
  <c r="LMI3" i="53"/>
  <c r="OH3" i="53"/>
  <c r="LZE3" i="53"/>
  <c r="PF3" i="53"/>
  <c r="OTT3" i="53"/>
  <c r="DB3" i="53"/>
  <c r="PSV3" i="53"/>
  <c r="PRQ3" i="53"/>
  <c r="TYS3" i="53"/>
  <c r="QKA3" i="53"/>
  <c r="CCM3" i="53"/>
  <c r="RXZ3" i="53"/>
  <c r="AQX3" i="53"/>
  <c r="IKT3" i="53"/>
  <c r="UAF3" i="53"/>
  <c r="BNB3" i="53"/>
  <c r="KWN3" i="53"/>
  <c r="FZT3" i="53"/>
  <c r="KNL3" i="53"/>
  <c r="JMI3" i="53"/>
  <c r="E3" i="28"/>
  <c r="LMW3" i="53"/>
  <c r="BNI3" i="53"/>
  <c r="RQT3" i="53"/>
  <c r="QOE3" i="53"/>
  <c r="KQT3" i="53"/>
  <c r="IQE3" i="53"/>
  <c r="KPD3" i="53"/>
  <c r="IYG3" i="53"/>
  <c r="LZK3" i="53"/>
  <c r="RRF3" i="53"/>
  <c r="SGY3" i="53"/>
  <c r="SYP3" i="53"/>
  <c r="XW3" i="53"/>
  <c r="FPC3" i="53"/>
  <c r="QQL3" i="53"/>
  <c r="DYB3" i="53"/>
  <c r="KLG3" i="53"/>
  <c r="F3" i="31"/>
  <c r="BML3" i="53"/>
  <c r="EYQ3" i="53"/>
  <c r="G3" i="15"/>
  <c r="MGV3" i="53"/>
  <c r="VTZ3" i="53"/>
  <c r="PRT3" i="53"/>
  <c r="DEH3" i="53"/>
  <c r="VVK3" i="53"/>
  <c r="MQN3" i="53"/>
  <c r="VDB3" i="53"/>
  <c r="BUA3" i="53"/>
  <c r="GLI3" i="53"/>
  <c r="DKV3" i="53"/>
  <c r="DKA3" i="53"/>
  <c r="QBT3" i="53"/>
  <c r="WCG3" i="53"/>
  <c r="WQD3" i="53"/>
  <c r="SII3" i="53"/>
  <c r="FXY3" i="53"/>
  <c r="DC3" i="53"/>
  <c r="FCW3" i="53"/>
  <c r="WKG3" i="53"/>
  <c r="WZK3" i="53"/>
  <c r="BXX3" i="53"/>
  <c r="TSJ3" i="53"/>
  <c r="QEE3" i="53"/>
  <c r="FBU3" i="53"/>
  <c r="ETR3" i="53"/>
  <c r="IEW3" i="53"/>
  <c r="LTA3" i="53"/>
  <c r="MCB3" i="53"/>
  <c r="GCT3" i="53"/>
  <c r="UOA3" i="53"/>
  <c r="EWP3" i="53"/>
  <c r="BZV3" i="53"/>
  <c r="BNW3" i="53"/>
  <c r="XEC3" i="53"/>
  <c r="GMH3" i="53"/>
  <c r="UBW3" i="53"/>
  <c r="JKV3" i="53"/>
  <c r="BEV3" i="53"/>
  <c r="MJ3" i="53"/>
  <c r="YX3" i="53"/>
  <c r="ECK3" i="53"/>
  <c r="OIX3" i="53"/>
  <c r="IXU3" i="53"/>
  <c r="WFV3" i="53"/>
  <c r="C3" i="22"/>
  <c r="OZX3" i="53"/>
  <c r="MWR3" i="53"/>
  <c r="LOB3" i="53"/>
  <c r="UDA3" i="53"/>
  <c r="OXR3" i="53"/>
  <c r="ARF3" i="53"/>
  <c r="QXJ3" i="53"/>
  <c r="MLW3" i="53"/>
  <c r="PTR3" i="53"/>
  <c r="EOI3" i="53"/>
  <c r="QOV3" i="53"/>
  <c r="QUJ3" i="53"/>
  <c r="LCF3" i="53"/>
  <c r="EKP3" i="53"/>
  <c r="MHX3" i="53"/>
  <c r="DFG3" i="53"/>
  <c r="VIS3" i="53"/>
  <c r="KAG3" i="53"/>
  <c r="SAN3" i="53"/>
  <c r="MCX3" i="53"/>
  <c r="OWZ3" i="53"/>
  <c r="LFY3" i="53"/>
  <c r="LXO3" i="53"/>
  <c r="MHV3" i="53"/>
  <c r="KG3" i="53"/>
  <c r="MHG3" i="53"/>
  <c r="CTS3" i="53"/>
  <c r="ATV3" i="53"/>
  <c r="SBA3" i="53"/>
  <c r="LQO3" i="53"/>
  <c r="LKO3" i="53"/>
  <c r="MPO3" i="53"/>
  <c r="TLX3" i="53"/>
  <c r="KMO3" i="53"/>
  <c r="KQF3" i="53"/>
  <c r="SVG3" i="53"/>
  <c r="AUI3" i="53"/>
  <c r="G3" i="40"/>
  <c r="MHZ3" i="53"/>
  <c r="HHK3" i="53"/>
  <c r="CUN3" i="53"/>
  <c r="IEE3" i="53"/>
  <c r="LTG3" i="53"/>
  <c r="A3" i="49"/>
  <c r="WSL3" i="53"/>
  <c r="IOH3" i="53"/>
  <c r="STA3" i="53"/>
  <c r="QJX3" i="53"/>
  <c r="AZR3" i="53"/>
  <c r="FEB3" i="53"/>
  <c r="IFI3" i="53"/>
  <c r="C3" i="56"/>
  <c r="WWU3" i="53"/>
  <c r="ND3" i="53"/>
  <c r="BFC3" i="53"/>
  <c r="HJX3" i="53"/>
  <c r="MHM3" i="53"/>
  <c r="ORG3" i="53"/>
  <c r="HDK3" i="53"/>
  <c r="VYX3" i="53"/>
  <c r="BNL3" i="53"/>
  <c r="ILT3" i="53"/>
  <c r="KKQ3" i="53"/>
  <c r="HJB3" i="53"/>
  <c r="LNZ3" i="53"/>
  <c r="UAE3" i="53"/>
  <c r="WWE3" i="53"/>
  <c r="IHN3" i="53"/>
  <c r="BWR3" i="53"/>
  <c r="NIQ3" i="53"/>
  <c r="J3" i="2"/>
  <c r="TMY3" i="53"/>
  <c r="CLK3" i="53"/>
  <c r="MRQ3" i="53"/>
  <c r="HXA3" i="53"/>
  <c r="JOF3" i="53"/>
  <c r="OHE3" i="53"/>
  <c r="URG3" i="53"/>
  <c r="RIX3" i="53"/>
  <c r="WPH3" i="53"/>
  <c r="VBJ3" i="53"/>
  <c r="WVI3" i="53"/>
  <c r="IVZ3" i="53"/>
  <c r="C3" i="3"/>
  <c r="KQJ3" i="53"/>
  <c r="PJH3" i="53"/>
  <c r="QGT3" i="53"/>
  <c r="WSA3" i="53"/>
  <c r="EES3" i="53"/>
  <c r="DEO3" i="53"/>
  <c r="BJR3" i="53"/>
  <c r="KEE3" i="53"/>
  <c r="WME3" i="53"/>
  <c r="NOI3" i="53"/>
  <c r="QYI3" i="53"/>
  <c r="AFB3" i="53"/>
  <c r="E3" i="46"/>
  <c r="WTR3" i="53"/>
  <c r="LKH3" i="53"/>
  <c r="LGS3" i="53"/>
  <c r="AEK3" i="53"/>
  <c r="MEW3" i="53"/>
  <c r="TYI3" i="53"/>
  <c r="BZZ3" i="53"/>
  <c r="SRI3" i="53"/>
  <c r="IHV3" i="53"/>
  <c r="EUR3" i="53"/>
  <c r="JUW3" i="53"/>
  <c r="TBM3" i="53"/>
  <c r="MHP3" i="53"/>
  <c r="FVN3" i="53"/>
  <c r="JJQ3" i="53"/>
  <c r="LYW3" i="53"/>
  <c r="BJF3" i="53"/>
  <c r="QBO3" i="53"/>
  <c r="JHI3" i="53"/>
  <c r="RWZ3" i="53"/>
  <c r="IRY3" i="53"/>
  <c r="HFN3" i="53"/>
  <c r="LMU3" i="53"/>
  <c r="HTB3" i="53"/>
  <c r="UVY3" i="53"/>
  <c r="MN3" i="53"/>
  <c r="ONP3" i="53"/>
  <c r="IJO3" i="53"/>
  <c r="RCZ3" i="53"/>
  <c r="RKB3" i="53"/>
  <c r="KQN3" i="53"/>
  <c r="QXI3" i="53"/>
  <c r="UCE3" i="53"/>
  <c r="JX3" i="53"/>
  <c r="P3" i="53"/>
  <c r="F3" i="50"/>
  <c r="BKP3" i="53"/>
  <c r="BSO3" i="53"/>
  <c r="SMX3" i="53"/>
  <c r="SOT3" i="53"/>
  <c r="MKS3" i="53"/>
  <c r="UVW3" i="53"/>
  <c r="WPF3" i="53"/>
  <c r="IJZ3" i="53"/>
  <c r="RAV3" i="53"/>
  <c r="QIX3" i="53"/>
  <c r="AWT3" i="53"/>
  <c r="KMJ3" i="53"/>
  <c r="MQW3" i="53"/>
  <c r="FGO3" i="53"/>
  <c r="RBD3" i="53"/>
  <c r="EEH3" i="53"/>
  <c r="LKK3" i="53"/>
  <c r="DUI3" i="53"/>
  <c r="LPK3" i="53"/>
  <c r="WTO3" i="53"/>
  <c r="LOU3" i="53"/>
  <c r="SUV3" i="53"/>
  <c r="C3" i="54"/>
  <c r="RDN3" i="53"/>
  <c r="UBB3" i="53"/>
  <c r="ILK3" i="53"/>
  <c r="QRI3" i="53"/>
  <c r="JJA3" i="53"/>
  <c r="B3" i="49"/>
  <c r="RUY3" i="53"/>
  <c r="I3" i="4"/>
  <c r="M3" i="34"/>
  <c r="WSW3" i="53"/>
  <c r="BLB3" i="53"/>
  <c r="LVC3" i="53"/>
  <c r="PQF3" i="53"/>
  <c r="RNP3" i="53"/>
  <c r="D3" i="22"/>
  <c r="QEB3" i="53"/>
  <c r="UVM3" i="53"/>
  <c r="TDZ3" i="53"/>
  <c r="DAH3" i="53"/>
  <c r="EAB3" i="53"/>
  <c r="QHL3" i="53"/>
  <c r="QIA3" i="53"/>
  <c r="CBX3" i="53"/>
  <c r="LDU3" i="53"/>
  <c r="KZE3" i="53"/>
  <c r="JQV3" i="53"/>
  <c r="VEQ3" i="53"/>
  <c r="MGQ3" i="53"/>
  <c r="FFT3" i="53"/>
  <c r="UXE3" i="53"/>
  <c r="UYF3" i="53"/>
  <c r="WD3" i="53"/>
  <c r="VY3" i="53"/>
  <c r="RSF3" i="53"/>
  <c r="JTC3" i="53"/>
  <c r="SXU3" i="53"/>
  <c r="NZI3" i="53"/>
  <c r="ANB3" i="53"/>
  <c r="GXX3" i="53"/>
  <c r="RWQ3" i="53"/>
  <c r="KKG3" i="53"/>
  <c r="GRI3" i="53"/>
  <c r="E3" i="57"/>
  <c r="HKB3" i="53"/>
  <c r="CMS3" i="53"/>
  <c r="TLV3" i="53"/>
  <c r="EBF3" i="53"/>
  <c r="I3" i="47"/>
  <c r="USD3" i="53"/>
  <c r="ETN3" i="53"/>
  <c r="QPP3" i="53"/>
  <c r="WSI3" i="53"/>
  <c r="NBQ3" i="53"/>
  <c r="EHO3" i="53"/>
  <c r="ECP3" i="53"/>
  <c r="NCD3" i="53"/>
  <c r="HGT3" i="53"/>
  <c r="VEJ3" i="53"/>
  <c r="TXH3" i="53"/>
  <c r="QVZ3" i="53"/>
  <c r="SIW3" i="53"/>
  <c r="GJW3" i="53"/>
  <c r="THI3" i="53"/>
  <c r="COC3" i="53"/>
  <c r="HFU3" i="53"/>
  <c r="SDS3" i="53"/>
  <c r="GOE3" i="53"/>
  <c r="TYR3" i="53"/>
  <c r="WLU3" i="53"/>
  <c r="XAT3" i="53"/>
  <c r="HXG3" i="53"/>
  <c r="LIU3" i="53"/>
  <c r="RDZ3" i="53"/>
  <c r="A3" i="19"/>
  <c r="OPU3" i="53"/>
  <c r="LCU3" i="53"/>
  <c r="CFO3" i="53"/>
  <c r="CPH3" i="53"/>
  <c r="FPO3" i="53"/>
  <c r="VMQ3" i="53"/>
  <c r="WIJ3" i="53"/>
  <c r="SPE3" i="53"/>
  <c r="JPF3" i="53"/>
  <c r="FNE3" i="53"/>
  <c r="OKH3" i="53"/>
  <c r="VJU3" i="53"/>
  <c r="TTB3" i="53"/>
  <c r="UTY3" i="53"/>
  <c r="TWE3" i="53"/>
  <c r="ABJ3" i="53"/>
  <c r="PE3" i="53"/>
  <c r="CCE3" i="53"/>
  <c r="GBC3" i="53"/>
  <c r="FYD3" i="53"/>
  <c r="TQE3" i="53"/>
  <c r="UKI3" i="53"/>
  <c r="UZU3" i="53"/>
  <c r="OXN3" i="53"/>
  <c r="SBM3" i="53"/>
  <c r="LBU3" i="53"/>
  <c r="HOJ3" i="53"/>
  <c r="JSU3" i="53"/>
  <c r="AWA3" i="53"/>
  <c r="GIW3" i="53"/>
  <c r="VOK3" i="53"/>
  <c r="KRE3" i="53"/>
  <c r="NSD3" i="53"/>
  <c r="MJP3" i="53"/>
  <c r="BKC3" i="53"/>
  <c r="GAG3" i="53"/>
  <c r="OIT3" i="53"/>
  <c r="WEY3" i="53"/>
  <c r="QMB3" i="53"/>
  <c r="FYV3" i="53"/>
  <c r="MVR3" i="53"/>
  <c r="PRX3" i="53"/>
  <c r="G3" i="50"/>
  <c r="EHA3" i="53"/>
  <c r="UEK3" i="53"/>
  <c r="LUB3" i="53"/>
  <c r="BCD3" i="53"/>
  <c r="EGJ3" i="53"/>
  <c r="OKE3" i="53"/>
  <c r="EPT3" i="53"/>
  <c r="FFN3" i="53"/>
  <c r="HR3" i="53"/>
  <c r="EXX3" i="53"/>
  <c r="TYV3" i="53"/>
  <c r="WGQ3" i="53"/>
  <c r="VAX3" i="53"/>
  <c r="DZB3" i="53"/>
  <c r="SRN3" i="53"/>
  <c r="F3" i="57"/>
  <c r="CBG3" i="53"/>
  <c r="VQC3" i="53"/>
  <c r="IKK3" i="53"/>
  <c r="LMF3" i="53"/>
  <c r="RKS3" i="53"/>
  <c r="RJY3" i="53"/>
  <c r="CJW3" i="53"/>
  <c r="KBJ3" i="53"/>
  <c r="DPW3" i="53"/>
  <c r="UZN3" i="53"/>
  <c r="JJH3" i="53"/>
  <c r="DGW3" i="53"/>
  <c r="BXI3" i="53"/>
  <c r="VDZ3" i="53"/>
  <c r="OMB3" i="53"/>
  <c r="WAY3" i="53"/>
  <c r="ORS3" i="53"/>
  <c r="JIL3" i="53"/>
  <c r="HZJ3" i="53"/>
  <c r="VUI3" i="53"/>
  <c r="TZV3" i="53"/>
  <c r="PIV3" i="53"/>
  <c r="HPZ3" i="53"/>
  <c r="GZH3" i="53"/>
  <c r="OWD3" i="53"/>
  <c r="FFS3" i="53"/>
  <c r="B3" i="46"/>
  <c r="MBM3" i="53"/>
  <c r="RQX3" i="53"/>
  <c r="QDA3" i="53"/>
  <c r="UDU3" i="53"/>
  <c r="FDX3" i="53"/>
  <c r="ILP3" i="53"/>
  <c r="QIF3" i="53"/>
  <c r="OLT3" i="53"/>
  <c r="ELI3" i="53"/>
  <c r="TQJ3" i="53"/>
  <c r="HJM3" i="53"/>
  <c r="NXF3" i="53"/>
  <c r="FMW3" i="53"/>
  <c r="IVV3" i="53"/>
  <c r="QCB3" i="53"/>
  <c r="GLQ3" i="53"/>
  <c r="DYJ3" i="53"/>
  <c r="RAX3" i="53"/>
  <c r="VRH3" i="53"/>
  <c r="JJY3" i="53"/>
  <c r="DJG3" i="53"/>
  <c r="PKU3" i="53"/>
  <c r="VMH3" i="53"/>
  <c r="RJG3" i="53"/>
  <c r="QDP3" i="53"/>
  <c r="D3" i="14"/>
  <c r="IRS3" i="53"/>
  <c r="LAE3" i="53"/>
  <c r="DST3" i="53"/>
  <c r="FOM3" i="53"/>
  <c r="WTW3" i="53"/>
  <c r="FYE3" i="53"/>
  <c r="LTT3" i="53"/>
  <c r="FVB3" i="53"/>
  <c r="EFO3" i="53"/>
  <c r="IMM3" i="53"/>
  <c r="SEW3" i="53"/>
  <c r="NZW3" i="53"/>
  <c r="ARJ3" i="53"/>
  <c r="SYK3" i="53"/>
  <c r="RAY3" i="53"/>
  <c r="LZW3" i="53"/>
  <c r="UHE3" i="53"/>
  <c r="KYM3" i="53"/>
  <c r="ELC3" i="53"/>
  <c r="SMO3" i="53"/>
  <c r="IIA3" i="53"/>
  <c r="Q3" i="12"/>
  <c r="HWM3" i="53"/>
  <c r="THG3" i="53"/>
  <c r="CTF3" i="53"/>
  <c r="UIJ3" i="53"/>
  <c r="GBM3" i="53"/>
  <c r="WRP3" i="53"/>
  <c r="WKW3" i="53"/>
  <c r="MMI3" i="53"/>
  <c r="CVS3" i="53"/>
  <c r="TJE3" i="53"/>
  <c r="LGI3" i="53"/>
  <c r="THV3" i="53"/>
  <c r="HQV3" i="53"/>
  <c r="RSJ3" i="53"/>
  <c r="CCG3" i="53"/>
  <c r="WUA3" i="53"/>
  <c r="UAZ3" i="53"/>
  <c r="UKS3" i="53"/>
  <c r="BVY3" i="53"/>
  <c r="WHU3" i="53"/>
  <c r="HPP3" i="53"/>
  <c r="WGI3" i="53"/>
  <c r="DGP3" i="53"/>
  <c r="VEU3" i="53"/>
  <c r="OXD3" i="53"/>
  <c r="KHQ3" i="53"/>
  <c r="TYG3" i="53"/>
  <c r="RGR3" i="53"/>
  <c r="PRC3" i="53"/>
  <c r="ITC3" i="53"/>
  <c r="WYM3" i="53"/>
  <c r="KNC3" i="53"/>
  <c r="BQL3" i="53"/>
  <c r="VHM3" i="53"/>
  <c r="TSF3" i="53"/>
  <c r="WCX3" i="53"/>
  <c r="QRZ3" i="53"/>
  <c r="JCM3" i="53"/>
  <c r="PBD3" i="53"/>
  <c r="QAE3" i="53"/>
  <c r="EDQ3" i="53"/>
  <c r="MBV3" i="53"/>
  <c r="VFE3" i="53"/>
  <c r="KFA3" i="53"/>
  <c r="PXM3" i="53"/>
  <c r="G3" i="22"/>
  <c r="KBL3" i="53"/>
  <c r="MAM3" i="53"/>
  <c r="CFH3" i="53"/>
  <c r="QQZ3" i="53"/>
  <c r="NZC3" i="53"/>
  <c r="FUT3" i="53"/>
  <c r="UDZ3" i="53"/>
  <c r="BTL3" i="53"/>
  <c r="SJW3" i="53"/>
  <c r="PYJ3" i="53"/>
  <c r="QEZ3" i="53"/>
  <c r="KDJ3" i="53"/>
  <c r="KTG3" i="53"/>
  <c r="FCL3" i="53"/>
  <c r="WNU3" i="53"/>
  <c r="UNN3" i="53"/>
  <c r="FED3" i="53"/>
  <c r="SKG3" i="53"/>
  <c r="SLO3" i="53"/>
  <c r="QXE3" i="53"/>
  <c r="QD3" i="53"/>
  <c r="VUM3" i="53"/>
  <c r="JZK3" i="53"/>
  <c r="SWO3" i="53"/>
  <c r="BCU3" i="53"/>
  <c r="BBA3" i="53"/>
  <c r="UZS3" i="53"/>
  <c r="JSX3" i="53"/>
  <c r="TWH3" i="53"/>
  <c r="WUE3" i="53"/>
  <c r="CBE3" i="53"/>
  <c r="BFM3" i="53"/>
  <c r="PAF3" i="53"/>
  <c r="HOS3" i="53"/>
  <c r="RSM3" i="53"/>
  <c r="SWU3" i="53"/>
  <c r="WMV3" i="53"/>
  <c r="HQB3" i="53"/>
  <c r="MVV3" i="53"/>
  <c r="HKA3" i="53"/>
  <c r="SDJ3" i="53"/>
  <c r="UEE3" i="53"/>
  <c r="IZP3" i="53"/>
  <c r="WRN3" i="53"/>
  <c r="JXC3" i="53"/>
  <c r="IRC3" i="53"/>
  <c r="QOQ3" i="53"/>
  <c r="AGS3" i="53"/>
  <c r="ISV3" i="53"/>
  <c r="AKW3" i="53"/>
  <c r="NJE3" i="53"/>
  <c r="B3" i="50"/>
  <c r="SKU3" i="53"/>
  <c r="SLP3" i="53"/>
  <c r="STT3" i="53"/>
  <c r="NBU3" i="53"/>
  <c r="NFW3" i="53"/>
  <c r="VOV3" i="53"/>
  <c r="G3" i="4"/>
  <c r="IFC3" i="53"/>
  <c r="ASG3" i="53"/>
  <c r="PDD3" i="53"/>
  <c r="TIX3" i="53"/>
  <c r="HMM3" i="53"/>
  <c r="PMK3" i="53"/>
  <c r="RNM3" i="53"/>
  <c r="HKC3" i="53"/>
  <c r="HMC3" i="53"/>
  <c r="LQX3" i="53"/>
  <c r="BAF3" i="53"/>
  <c r="XEV3" i="53"/>
  <c r="RWC3" i="53"/>
  <c r="MSQ3" i="53"/>
  <c r="UT3" i="53"/>
  <c r="MKR3" i="53"/>
  <c r="LDJ3" i="53"/>
  <c r="KOQ3" i="53"/>
  <c r="FHF3" i="53"/>
  <c r="SH3" i="53"/>
  <c r="EHZ3" i="53"/>
  <c r="MKH3" i="53"/>
  <c r="AJZ3" i="53"/>
  <c r="JJV3" i="53"/>
  <c r="LWC3" i="53"/>
  <c r="E3" i="5"/>
  <c r="OIG3" i="53"/>
  <c r="KUN3" i="53"/>
  <c r="JVD3" i="53"/>
  <c r="OYD3" i="53"/>
  <c r="HOQ3" i="53"/>
  <c r="FFY3" i="53"/>
  <c r="WVE3" i="53"/>
  <c r="BXJ3" i="53"/>
  <c r="QOA3" i="53"/>
  <c r="ARQ3" i="53"/>
  <c r="MKM3" i="53"/>
  <c r="B3" i="3"/>
  <c r="BPI3" i="53"/>
  <c r="DDI3" i="53"/>
  <c r="FOO3" i="53"/>
  <c r="EGP3" i="53"/>
  <c r="KGM3" i="53"/>
  <c r="OOA3" i="53"/>
  <c r="NDC3" i="53"/>
  <c r="MFB3" i="53"/>
  <c r="CJG3" i="53"/>
  <c r="FZG3" i="53"/>
  <c r="VJR3" i="53"/>
  <c r="FRT3" i="53"/>
  <c r="SOE3" i="53"/>
  <c r="KIV3" i="53"/>
  <c r="MBZ3" i="53"/>
  <c r="JEM3" i="53"/>
  <c r="QKO3" i="53"/>
  <c r="IGM3" i="53"/>
  <c r="WUB3" i="53"/>
  <c r="AMH3" i="53"/>
  <c r="UHT3" i="53"/>
  <c r="PJX3" i="53"/>
  <c r="XBD3" i="53"/>
  <c r="OOC3" i="53"/>
  <c r="AXX3" i="53"/>
  <c r="UCH3" i="53"/>
  <c r="OWJ3" i="53"/>
  <c r="TBF3" i="53"/>
  <c r="HCC3" i="53"/>
  <c r="ENK3" i="53"/>
  <c r="IHR3" i="53"/>
  <c r="QDU3" i="53"/>
  <c r="QZW3" i="53"/>
  <c r="G3" i="38"/>
  <c r="DDP3" i="53"/>
  <c r="HJD3" i="53"/>
  <c r="EHD3" i="53"/>
  <c r="WSV3" i="53"/>
  <c r="VAT3" i="53"/>
  <c r="DKH3" i="53"/>
  <c r="BWW3" i="53"/>
  <c r="TBP3" i="53"/>
  <c r="AHC3" i="53"/>
  <c r="WOV3" i="53"/>
  <c r="KNP3" i="53"/>
  <c r="KUD3" i="53"/>
  <c r="WBU3" i="53"/>
  <c r="CML3" i="53"/>
  <c r="WXX3" i="53"/>
  <c r="SIE3" i="53"/>
  <c r="TIP3" i="53"/>
  <c r="GQD3" i="53"/>
  <c r="UFD3" i="53"/>
  <c r="FQW3" i="53"/>
  <c r="NRV3" i="53"/>
  <c r="EEC3" i="53"/>
  <c r="SCJ3" i="53"/>
  <c r="BDM3" i="53"/>
  <c r="QWH3" i="53"/>
  <c r="CBI3" i="53"/>
  <c r="NNQ3" i="53"/>
  <c r="CHK3" i="53"/>
  <c r="UHM3" i="53"/>
  <c r="KDI3" i="53"/>
  <c r="QDI3" i="53"/>
  <c r="IZS3" i="53"/>
  <c r="HVK3" i="53"/>
  <c r="OGU3" i="53"/>
  <c r="JJD3" i="53"/>
  <c r="JND3" i="53"/>
  <c r="IKC3" i="53"/>
  <c r="NTZ3" i="53"/>
  <c r="JXO3" i="53"/>
  <c r="C30" i="53"/>
  <c r="LZN3" i="53"/>
  <c r="RQR3" i="53"/>
  <c r="IWU3" i="53"/>
  <c r="BMC3" i="53"/>
  <c r="HLK3" i="53"/>
  <c r="QCR3" i="53"/>
  <c r="CGB3" i="53"/>
  <c r="QIE3" i="53"/>
  <c r="JHN3" i="53"/>
  <c r="PNH3" i="53"/>
  <c r="UIB3" i="53"/>
  <c r="ORX3" i="53"/>
  <c r="CYD3" i="53"/>
  <c r="SRO3" i="53"/>
  <c r="QID3" i="53"/>
  <c r="WDB3" i="53"/>
  <c r="EED3" i="53"/>
  <c r="PSY3" i="53"/>
  <c r="WIQ3" i="53"/>
  <c r="DKE3" i="53"/>
  <c r="BGK3" i="53"/>
  <c r="FIV3" i="53"/>
  <c r="WSN3" i="53"/>
  <c r="JUE3" i="53"/>
  <c r="LJY3" i="53"/>
  <c r="IZM3" i="53"/>
  <c r="IGD3" i="53"/>
  <c r="MAU3" i="53"/>
  <c r="DIG3" i="53"/>
  <c r="TPM3" i="53"/>
  <c r="GFU3" i="53"/>
  <c r="DCA3" i="53"/>
  <c r="VEO3" i="53"/>
  <c r="RRN3" i="53"/>
  <c r="POC3" i="53"/>
  <c r="VAY3" i="53"/>
  <c r="DDU3" i="53"/>
  <c r="UNA3" i="53"/>
  <c r="FMR3" i="53"/>
  <c r="SUP3" i="53"/>
  <c r="RHN3" i="53"/>
  <c r="IOF3" i="53"/>
  <c r="CNY3" i="53"/>
  <c r="E61" i="4"/>
  <c r="HNL3" i="53"/>
  <c r="AYY3" i="53"/>
  <c r="TUA3" i="53"/>
  <c r="IGC3" i="53"/>
  <c r="JPG3" i="53"/>
  <c r="KRN3" i="53"/>
  <c r="HSF3" i="53"/>
  <c r="E6" i="4"/>
  <c r="EZH3" i="53"/>
  <c r="CVN3" i="53"/>
  <c r="TNB3" i="53"/>
  <c r="QIK3" i="53"/>
  <c r="E3" i="26"/>
  <c r="HPJ3" i="53"/>
  <c r="COW3" i="53"/>
  <c r="IAB3" i="53"/>
  <c r="JJF3" i="53"/>
  <c r="JBB3" i="53"/>
  <c r="LCR3" i="53"/>
  <c r="JM3" i="53"/>
  <c r="SBD3" i="53"/>
  <c r="RTH3" i="53"/>
  <c r="REW3" i="53"/>
  <c r="GXU3" i="53"/>
  <c r="WSS3" i="53"/>
  <c r="FIZ3" i="53"/>
  <c r="UKC3" i="53"/>
  <c r="EHC3" i="53"/>
  <c r="TTK3" i="53"/>
  <c r="MUO3" i="53"/>
  <c r="BIF3" i="53"/>
  <c r="UEG3" i="53"/>
  <c r="WMZ3" i="53"/>
  <c r="SAD3" i="53"/>
  <c r="KMD3" i="53"/>
  <c r="LSE3" i="53"/>
  <c r="VGB3" i="53"/>
  <c r="FEL3" i="53"/>
  <c r="SPZ3" i="53"/>
  <c r="RYW3" i="53"/>
  <c r="JLW3" i="53"/>
  <c r="XCD3" i="53"/>
  <c r="C3" i="47"/>
  <c r="CMF3" i="53"/>
  <c r="BFE3" i="53"/>
  <c r="VFP3" i="53"/>
  <c r="PXP3" i="53"/>
  <c r="CKX3" i="53"/>
  <c r="WHL3" i="53"/>
  <c r="NWA3" i="53"/>
  <c r="ODB3" i="53"/>
  <c r="KUW3" i="53"/>
  <c r="VPV3" i="53"/>
  <c r="D3" i="40"/>
  <c r="MVC3" i="53"/>
  <c r="AQ3" i="53"/>
  <c r="UPK3" i="53"/>
  <c r="EMD3" i="53"/>
  <c r="QYP3" i="53"/>
  <c r="ETD3" i="53"/>
  <c r="VBK3" i="53"/>
  <c r="RC3" i="53"/>
  <c r="WWO3" i="53"/>
  <c r="WPA3" i="53"/>
  <c r="VGZ3" i="53"/>
  <c r="RDE3" i="53"/>
  <c r="SBL3" i="53"/>
  <c r="COK3" i="53"/>
  <c r="OPS3" i="53"/>
  <c r="FHA3" i="53"/>
  <c r="MBI3" i="53"/>
  <c r="QJH3" i="53"/>
  <c r="JNE3" i="53"/>
  <c r="LUU3" i="53"/>
  <c r="BUX3" i="53"/>
  <c r="GGA3" i="53"/>
  <c r="VVQ3" i="53"/>
  <c r="WPY3" i="53"/>
  <c r="OXL3" i="53"/>
  <c r="AHL3" i="53"/>
  <c r="PZT3" i="53"/>
  <c r="LUA3" i="53"/>
  <c r="KGG3" i="53"/>
  <c r="HNA3" i="53"/>
  <c r="JZW3" i="53"/>
  <c r="WLK3" i="53"/>
  <c r="DSN3" i="53"/>
  <c r="UHF3" i="53"/>
  <c r="DQN3" i="53"/>
  <c r="PUP3" i="53"/>
  <c r="QXZ3" i="53"/>
  <c r="JJU3" i="53"/>
  <c r="KBX3" i="53"/>
  <c r="IMU3" i="53"/>
  <c r="IQC3" i="53"/>
  <c r="ETA3" i="53"/>
  <c r="EE3" i="53"/>
  <c r="AQO3" i="53"/>
  <c r="NRR3" i="53"/>
  <c r="KAS3" i="53"/>
  <c r="PLI3" i="53"/>
  <c r="XAY3" i="53"/>
  <c r="RLR3" i="53"/>
  <c r="EXS3" i="53"/>
  <c r="VNK3" i="53"/>
  <c r="NIH3" i="53"/>
  <c r="CLL3" i="53"/>
  <c r="UOK3" i="53"/>
  <c r="BNP3" i="53"/>
  <c r="FTL3" i="53"/>
  <c r="IVU3" i="53"/>
  <c r="IPW3" i="53"/>
  <c r="JCK3" i="53"/>
  <c r="KSW3" i="53"/>
  <c r="OJN3" i="53"/>
  <c r="CXW3" i="53"/>
  <c r="MPN3" i="53"/>
  <c r="OJE3" i="53"/>
  <c r="WLD3" i="53"/>
  <c r="WCA3" i="53"/>
  <c r="PWS3" i="53"/>
  <c r="QIU3" i="53"/>
  <c r="HSC3" i="53"/>
  <c r="IUA3" i="53"/>
  <c r="RJA3" i="53"/>
  <c r="VJG3" i="53"/>
  <c r="USJ3" i="53"/>
  <c r="I3" i="50"/>
  <c r="PVL3" i="53"/>
  <c r="JKZ3" i="53"/>
  <c r="AYX3" i="53"/>
  <c r="NPP3" i="53"/>
  <c r="J3" i="7"/>
  <c r="LXB3" i="53"/>
  <c r="LXR3" i="53"/>
  <c r="RZN3" i="53"/>
  <c r="DMV3" i="53"/>
  <c r="D3" i="34"/>
  <c r="AKB3" i="53"/>
  <c r="SZN3" i="53"/>
  <c r="IAE3" i="53"/>
  <c r="AIT3" i="53"/>
  <c r="KXS3" i="53"/>
  <c r="OYY3" i="53"/>
  <c r="UMP3" i="53"/>
  <c r="G3" i="34"/>
  <c r="SPB3" i="53"/>
  <c r="THX3" i="53"/>
  <c r="GGO3" i="53"/>
  <c r="NVI3" i="53"/>
  <c r="RNW3" i="53"/>
  <c r="NCN3" i="53"/>
  <c r="CEF3" i="53"/>
  <c r="I3" i="40"/>
  <c r="CZ3" i="53"/>
  <c r="NXE3" i="53"/>
  <c r="DLQ3" i="53"/>
  <c r="RUW3" i="53"/>
  <c r="IUI3" i="53"/>
  <c r="WTH3" i="53"/>
  <c r="BCJ3" i="53"/>
  <c r="ISJ3" i="53"/>
  <c r="DCP3" i="53"/>
  <c r="A3" i="54"/>
  <c r="LWQ3" i="53"/>
  <c r="EVI3" i="53"/>
  <c r="DPL3" i="53"/>
  <c r="AOX3" i="53"/>
  <c r="ORO3" i="53"/>
  <c r="WLI3" i="53"/>
  <c r="GZO3" i="53"/>
  <c r="CCR3" i="53"/>
  <c r="BXV3" i="53"/>
  <c r="MCG3" i="53"/>
  <c r="GPM3" i="53"/>
  <c r="PND3" i="53"/>
  <c r="HKL3" i="53"/>
  <c r="TDA3" i="53"/>
  <c r="OVK3" i="53"/>
  <c r="TPJ3" i="53"/>
  <c r="NGZ3" i="53"/>
  <c r="RFI3" i="53"/>
  <c r="LGZ3" i="53"/>
  <c r="WRQ3" i="53"/>
  <c r="WZN3" i="53"/>
  <c r="UUD3" i="53"/>
  <c r="WBG3" i="53"/>
  <c r="RHZ3" i="53"/>
  <c r="BXY3" i="53"/>
  <c r="FNT3" i="53"/>
  <c r="GBZ3" i="53"/>
  <c r="SG3" i="53"/>
  <c r="FTS3" i="53"/>
  <c r="TXF3" i="53"/>
  <c r="HBI3" i="53"/>
  <c r="QVX3" i="53"/>
  <c r="GHC3" i="53"/>
  <c r="MEN3" i="53"/>
  <c r="MSV3" i="53"/>
  <c r="KTN3" i="53"/>
  <c r="OSR3" i="53"/>
  <c r="PLD3" i="53"/>
  <c r="ICK3" i="53"/>
  <c r="VSR3" i="53"/>
  <c r="TXS3" i="53"/>
  <c r="HEC3" i="53"/>
  <c r="UDF3" i="53"/>
  <c r="NJI3" i="53"/>
  <c r="C3" i="41"/>
  <c r="HGK3" i="53"/>
  <c r="CUX3" i="53"/>
  <c r="RTN3" i="53"/>
  <c r="QGF3" i="53"/>
  <c r="PHF3" i="53"/>
  <c r="CTY3" i="53"/>
  <c r="HAV3" i="53"/>
  <c r="UEC3" i="53"/>
  <c r="WVZ3" i="53"/>
  <c r="XBT3" i="53"/>
  <c r="EFF3" i="53"/>
  <c r="QVM3" i="53"/>
  <c r="KQY3" i="53"/>
  <c r="GSZ3" i="53"/>
  <c r="GFY3" i="53"/>
  <c r="FHH3" i="53"/>
  <c r="CAC3" i="53"/>
  <c r="K3" i="47"/>
  <c r="QMW3" i="53"/>
  <c r="BQP3" i="53"/>
  <c r="HSO3" i="53"/>
  <c r="EKY3" i="53"/>
  <c r="LIX3" i="53"/>
  <c r="HJY3" i="53"/>
  <c r="RXX3" i="53"/>
  <c r="UQN3" i="53"/>
  <c r="DGN3" i="53"/>
  <c r="NHH3" i="53"/>
  <c r="OED3" i="53"/>
  <c r="PMF3" i="53"/>
  <c r="E16" i="31"/>
  <c r="LQW3" i="53"/>
  <c r="PZE3" i="53"/>
  <c r="LDL3" i="53"/>
  <c r="BAG3" i="53"/>
  <c r="OKV3" i="53"/>
  <c r="BNV3" i="53"/>
  <c r="CF3" i="53"/>
  <c r="JAK3" i="53"/>
  <c r="C25" i="53"/>
  <c r="SFS3" i="53"/>
  <c r="NLZ3" i="53"/>
  <c r="JDY3" i="53"/>
  <c r="OFT3" i="53"/>
  <c r="GRG3" i="53"/>
  <c r="RKN3" i="53"/>
  <c r="XEQ3" i="53"/>
  <c r="EJG3" i="53"/>
  <c r="TST3" i="53"/>
  <c r="SWC3" i="53"/>
  <c r="LQG3" i="53"/>
  <c r="XEZ3" i="53"/>
  <c r="NRY3" i="53"/>
  <c r="QLA3" i="53"/>
  <c r="ROC3" i="53"/>
  <c r="GG3" i="53"/>
  <c r="BAH3" i="53"/>
  <c r="KZI3" i="53"/>
  <c r="HXF3" i="53"/>
  <c r="RTC3" i="53"/>
  <c r="UKV3" i="53"/>
  <c r="JVW3" i="53"/>
  <c r="KGD3" i="53"/>
  <c r="DMW3" i="53"/>
  <c r="TBD3" i="53"/>
  <c r="NIK3" i="53"/>
  <c r="HBB3" i="53"/>
  <c r="WWH3" i="53"/>
  <c r="WGH3" i="53"/>
  <c r="FQR3" i="53"/>
  <c r="E3" i="62"/>
  <c r="JJE3" i="53"/>
  <c r="MMO3" i="53"/>
  <c r="GWC3" i="53"/>
  <c r="SGL3" i="53"/>
  <c r="LUE3" i="53"/>
  <c r="SFW3" i="53"/>
  <c r="PGM3" i="53"/>
  <c r="XT3" i="53"/>
  <c r="UQJ3" i="53"/>
  <c r="EEE3" i="53"/>
  <c r="QIP3" i="53"/>
  <c r="JXY3" i="53"/>
  <c r="WWA3" i="53"/>
  <c r="MTT3" i="53"/>
  <c r="VEI3" i="53"/>
  <c r="AUL3" i="53"/>
  <c r="SXN3" i="53"/>
  <c r="BYZ3" i="53"/>
  <c r="JU3" i="53"/>
  <c r="MOB3" i="53"/>
  <c r="VFF3" i="53"/>
  <c r="MIG3" i="53"/>
  <c r="KIF3" i="53"/>
  <c r="QXS3" i="53"/>
  <c r="GCF3" i="53"/>
  <c r="WMR3" i="53"/>
  <c r="KDC3" i="53"/>
  <c r="PZQ3" i="53"/>
  <c r="SD3" i="53"/>
  <c r="WHT3" i="53"/>
  <c r="SIB3" i="53"/>
  <c r="SOZ3" i="53"/>
  <c r="TJD3" i="53"/>
  <c r="TID3" i="53"/>
  <c r="DEX3" i="53"/>
  <c r="EOJ3" i="53"/>
  <c r="TXK3" i="53"/>
  <c r="TJM3" i="53"/>
  <c r="JWM3" i="53"/>
  <c r="GJH3" i="53"/>
  <c r="UAN3" i="53"/>
  <c r="VML3" i="53"/>
  <c r="FTQ3" i="53"/>
  <c r="FJV3" i="53"/>
  <c r="CES3" i="53"/>
  <c r="JEX3" i="53"/>
  <c r="SXJ3" i="53"/>
  <c r="KHB3" i="53"/>
  <c r="NNR3" i="53"/>
  <c r="RYA3" i="53"/>
  <c r="KFK3" i="53"/>
  <c r="I3" i="6"/>
  <c r="UOV3" i="53"/>
  <c r="ROT3" i="53"/>
  <c r="LMO3" i="53"/>
  <c r="LYO3" i="53"/>
  <c r="TGU3" i="53"/>
  <c r="GKF3" i="53"/>
  <c r="KLY3" i="53"/>
  <c r="HUV3" i="53"/>
  <c r="PNR3" i="53"/>
  <c r="RXL3" i="53"/>
  <c r="WCH3" i="53"/>
  <c r="KAV3" i="53"/>
  <c r="JMF3" i="53"/>
  <c r="KDL3" i="53"/>
  <c r="HZT3" i="53"/>
  <c r="DWW3" i="53"/>
  <c r="TKS3" i="53"/>
  <c r="KQ3" i="53"/>
  <c r="JNF3" i="53"/>
  <c r="UFA3" i="53"/>
  <c r="LTN3" i="53"/>
  <c r="ODM3" i="53"/>
  <c r="UOJ3" i="53"/>
  <c r="MES3" i="53"/>
  <c r="CLQ3" i="53"/>
  <c r="BHZ3" i="53"/>
  <c r="EBG3" i="53"/>
  <c r="MFJ3" i="53"/>
  <c r="LTH3" i="53"/>
  <c r="SZI3" i="53"/>
  <c r="LJT3" i="53"/>
  <c r="LJ3" i="53"/>
  <c r="GDJ3" i="53"/>
  <c r="CUM3" i="53"/>
  <c r="VHO3" i="53"/>
  <c r="BSH3" i="53"/>
  <c r="YG3" i="53"/>
  <c r="ULW3" i="53"/>
  <c r="PNE3" i="53"/>
  <c r="DSS3" i="53"/>
  <c r="SFU3" i="53"/>
  <c r="G3" i="20"/>
  <c r="JNB3" i="53"/>
  <c r="OPZ3" i="53"/>
  <c r="CHA3" i="53"/>
  <c r="FQZ3" i="53"/>
  <c r="SQS3" i="53"/>
  <c r="QOT3" i="53"/>
  <c r="EZD3" i="53"/>
  <c r="IWX3" i="53"/>
  <c r="CQX3" i="53"/>
  <c r="VL3" i="53"/>
  <c r="WNG3" i="53"/>
  <c r="JPO3" i="53"/>
  <c r="WNK3" i="53"/>
  <c r="BFB3" i="53"/>
  <c r="HTQ3" i="53"/>
  <c r="IAG3" i="53"/>
  <c r="VFN3" i="53"/>
  <c r="LW3" i="53"/>
  <c r="UUS3" i="53"/>
  <c r="PNJ3" i="53"/>
  <c r="AOO3" i="53"/>
  <c r="WFG3" i="53"/>
  <c r="UVE3" i="53"/>
  <c r="BME3" i="53"/>
  <c r="WDG3" i="53"/>
  <c r="RFK3" i="53"/>
  <c r="PYQ3" i="53"/>
  <c r="RAP3" i="53"/>
  <c r="OXG3" i="53"/>
  <c r="ECD3" i="53"/>
  <c r="CHG3" i="53"/>
  <c r="THY3" i="53"/>
  <c r="CXR3" i="53"/>
  <c r="NMA3" i="53"/>
  <c r="IEY3" i="53"/>
  <c r="USE3" i="53"/>
  <c r="EZK3" i="53"/>
  <c r="ADU3" i="53"/>
  <c r="CMW3" i="53"/>
  <c r="ROP3" i="53"/>
  <c r="VUN3" i="53"/>
  <c r="MXR3" i="53"/>
  <c r="SKX3" i="53"/>
  <c r="LDI3" i="53"/>
  <c r="MJS3" i="53"/>
  <c r="ATZ3" i="53"/>
  <c r="APQ3" i="53"/>
  <c r="DUQ3" i="53"/>
  <c r="MLR3" i="53"/>
  <c r="BHD3" i="53"/>
  <c r="GYQ3" i="53"/>
  <c r="G3" i="12"/>
  <c r="CTO3" i="53"/>
  <c r="DBN3" i="53"/>
  <c r="KKO3" i="53"/>
  <c r="FBJ3" i="53"/>
  <c r="B3" i="26"/>
  <c r="XQ3" i="53"/>
  <c r="MMP3" i="53"/>
  <c r="AAW3" i="53"/>
  <c r="GJ3" i="53"/>
  <c r="NWO3" i="53"/>
  <c r="IAP3" i="53"/>
  <c r="BUN3" i="53"/>
  <c r="CTV3" i="53"/>
  <c r="TSU3" i="53"/>
  <c r="NMX3" i="53"/>
  <c r="KFO3" i="53"/>
  <c r="UVX3" i="53"/>
  <c r="VIR3" i="53"/>
  <c r="HYF3" i="53"/>
  <c r="IMW3" i="53"/>
  <c r="LET3" i="53"/>
  <c r="QAH3" i="53"/>
  <c r="VOT3" i="53"/>
  <c r="PIL3" i="53"/>
  <c r="JYS3" i="53"/>
  <c r="QZT3" i="53"/>
  <c r="LYD3" i="53"/>
  <c r="SKP3" i="53"/>
  <c r="EPK3" i="53"/>
  <c r="IUX3" i="53"/>
  <c r="MRA3" i="53"/>
  <c r="UKO3" i="53"/>
  <c r="OGQ3" i="53"/>
  <c r="TVP3" i="53"/>
  <c r="QEG3" i="53"/>
  <c r="KJG3" i="53"/>
  <c r="WJJ3" i="53"/>
  <c r="EAI3" i="53"/>
  <c r="LCC3" i="53"/>
  <c r="UBF3" i="53"/>
  <c r="WKB3" i="53"/>
  <c r="DTH3" i="53"/>
  <c r="D3" i="26"/>
  <c r="LLS3" i="53"/>
  <c r="BVN3" i="53"/>
  <c r="IGR3" i="53"/>
  <c r="UVU3" i="53"/>
  <c r="UUL3" i="53"/>
  <c r="BTM3" i="53"/>
  <c r="WCK3" i="53"/>
  <c r="BPW3" i="53"/>
  <c r="DOH3" i="53"/>
  <c r="KGL3" i="53"/>
  <c r="RUJ3" i="53"/>
  <c r="LAF3" i="53"/>
  <c r="VFG3" i="53"/>
  <c r="NRA3" i="53"/>
  <c r="EYZ3" i="53"/>
  <c r="VLD3" i="53"/>
  <c r="RKW3" i="53"/>
  <c r="WKN3" i="53"/>
  <c r="FFE3" i="53"/>
  <c r="KUI3" i="53"/>
  <c r="HHF3" i="53"/>
  <c r="ONS3" i="53"/>
  <c r="VW3" i="53"/>
  <c r="AEG3" i="53"/>
  <c r="SGX3" i="53"/>
  <c r="SR3" i="53"/>
  <c r="LII3" i="53"/>
  <c r="QWJ3" i="53"/>
  <c r="LGF3" i="53"/>
  <c r="EZG3" i="53"/>
  <c r="UMB3" i="53"/>
  <c r="GJZ3" i="53"/>
  <c r="BCG3" i="53"/>
  <c r="SAG3" i="53"/>
  <c r="UQT3" i="53"/>
  <c r="NVV3" i="53"/>
  <c r="QCV3" i="53"/>
  <c r="IJJ3" i="53"/>
  <c r="WCZ3" i="53"/>
  <c r="LWX3" i="53"/>
  <c r="HMJ3" i="53"/>
  <c r="JFX3" i="53"/>
  <c r="WQR3" i="53"/>
  <c r="WWQ3" i="53"/>
  <c r="TKM3" i="53"/>
  <c r="UAR3" i="53"/>
  <c r="DPZ3" i="53"/>
  <c r="VBG3" i="53"/>
  <c r="IMG3" i="53"/>
  <c r="IAU3" i="53"/>
  <c r="TRZ3" i="53"/>
  <c r="TJG3" i="53"/>
  <c r="JMG3" i="53"/>
  <c r="TZC3" i="53"/>
  <c r="HVV3" i="53"/>
  <c r="WWN3" i="53"/>
  <c r="SFJ3" i="53"/>
  <c r="XAP3" i="53"/>
  <c r="CYJ3" i="53"/>
  <c r="ZB3" i="53"/>
  <c r="QFF3" i="53"/>
  <c r="NBE3" i="53"/>
  <c r="SVX3" i="53"/>
  <c r="KVJ3" i="53"/>
  <c r="GVQ3" i="53"/>
  <c r="AOS3" i="53"/>
  <c r="VQD3" i="53"/>
  <c r="PIO3" i="53"/>
  <c r="OI3" i="53"/>
  <c r="VMT3" i="53"/>
  <c r="VTO3" i="53"/>
  <c r="HPA3" i="53"/>
  <c r="F3" i="14"/>
  <c r="MPM3" i="53"/>
  <c r="LRL3" i="53"/>
  <c r="TWR3" i="53"/>
  <c r="QHD3" i="53"/>
  <c r="JSI3" i="53"/>
  <c r="DLS3" i="53"/>
  <c r="KEO3" i="53"/>
  <c r="LRM3" i="53"/>
  <c r="OLO3" i="53"/>
  <c r="QUI3" i="53"/>
  <c r="PUU3" i="53"/>
  <c r="SFD3" i="53"/>
  <c r="UXL3" i="53"/>
  <c r="NWR3" i="53"/>
  <c r="TDX3" i="53"/>
  <c r="IBA3" i="53"/>
  <c r="TNV3" i="53"/>
  <c r="JVT3" i="53"/>
  <c r="BZU3" i="53"/>
  <c r="EQF3" i="53"/>
  <c r="WRA3" i="53"/>
  <c r="DHH3" i="53"/>
  <c r="SZU3" i="53"/>
  <c r="MTY3" i="53"/>
  <c r="HSJ3" i="53"/>
  <c r="PWK3" i="53"/>
  <c r="COE3" i="53"/>
  <c r="G5" i="12" a="1"/>
  <c r="F17" i="59" a="1"/>
  <c r="F29" i="59" a="1"/>
  <c r="F23" i="59" a="1"/>
  <c r="F25" i="59" a="1"/>
  <c r="F18" i="59" a="1"/>
  <c r="F8" i="59" a="1"/>
  <c r="F22" i="59" a="1"/>
  <c r="F24" i="59" a="1"/>
  <c r="F35" i="59" a="1"/>
  <c r="F10" i="59" a="1"/>
  <c r="C13" i="55" a="1"/>
  <c r="F31" i="59" a="1"/>
  <c r="F12" i="59" a="1"/>
  <c r="F11" i="59" a="1"/>
  <c r="F14" i="59" a="1"/>
  <c r="F7" i="59" a="1"/>
  <c r="C15" i="55" a="1"/>
  <c r="F15" i="59" a="1"/>
  <c r="F30" i="59" a="1"/>
  <c r="F27" i="59" a="1"/>
  <c r="F13" i="59" a="1"/>
  <c r="F20" i="59" a="1"/>
  <c r="F42" i="59" a="1"/>
  <c r="F28" i="59" a="1"/>
  <c r="F34" i="59" a="1"/>
  <c r="C5" i="38" a="1"/>
  <c r="F19" i="59" a="1"/>
  <c r="F32" i="59" a="1"/>
  <c r="F6" i="59" a="1"/>
  <c r="F9" i="59" a="1"/>
  <c r="F41" i="59" a="1"/>
  <c r="F21" i="59" a="1"/>
  <c r="F5" i="59" a="1"/>
  <c r="F43" i="59" a="1"/>
  <c r="F26" i="59" a="1"/>
  <c r="C10" i="55" a="1"/>
  <c r="F33" i="59" a="1"/>
  <c r="F40" i="59" a="1"/>
  <c r="F38" i="59" a="1"/>
  <c r="F16" i="59" a="1"/>
  <c r="F39" i="59" a="1"/>
  <c r="F37" i="59" a="1"/>
  <c r="C14" i="55" a="1"/>
  <c r="F36" i="59" a="1"/>
  <c r="H12" i="46" l="1"/>
  <c r="H5" i="46"/>
  <c r="H6" i="46"/>
  <c r="F20" i="59"/>
  <c r="F10" i="59"/>
  <c r="F33" i="59"/>
  <c r="F28" i="59"/>
  <c r="C15" i="55"/>
  <c r="F19" i="59"/>
  <c r="F25" i="59"/>
  <c r="G5" i="12"/>
  <c r="C13" i="55"/>
  <c r="F5" i="59"/>
  <c r="F30" i="59"/>
  <c r="F22" i="59"/>
  <c r="F17" i="59"/>
  <c r="F6" i="59"/>
  <c r="F39" i="59"/>
  <c r="F26" i="59"/>
  <c r="F27" i="59"/>
  <c r="F34" i="59"/>
  <c r="F36" i="59"/>
  <c r="F31" i="59"/>
  <c r="F24" i="59"/>
  <c r="F43" i="59"/>
  <c r="F37" i="59"/>
  <c r="C14" i="55"/>
  <c r="F15" i="59"/>
  <c r="C10" i="55"/>
  <c r="F23" i="59"/>
  <c r="F35" i="59"/>
  <c r="F9" i="59"/>
  <c r="F13" i="59"/>
  <c r="F32" i="59"/>
  <c r="F18" i="59"/>
  <c r="C5" i="38"/>
  <c r="F42" i="59"/>
  <c r="F40" i="59"/>
  <c r="F21" i="59"/>
  <c r="F7" i="59"/>
  <c r="F11" i="59"/>
  <c r="F16" i="59"/>
  <c r="F8" i="59"/>
  <c r="F41" i="59"/>
  <c r="F38" i="59"/>
  <c r="F14" i="59"/>
  <c r="F12" i="59"/>
  <c r="F29" i="59"/>
  <c r="H16" i="46"/>
  <c r="H7" i="46"/>
  <c r="H9" i="46"/>
  <c r="H8" i="46"/>
  <c r="H11" i="46"/>
  <c r="C5" i="55" a="1"/>
  <c r="C7" i="55" a="1"/>
  <c r="C9" i="55" a="1"/>
  <c r="C8" i="55" a="1"/>
  <c r="C11" i="55" a="1"/>
  <c r="C12" i="55" a="1"/>
  <c r="C6" i="55" a="1"/>
  <c r="I5" i="12" a="1"/>
  <c r="D5" i="12" a="1"/>
  <c r="D5" i="38" a="1"/>
  <c r="B6" i="12" a="1"/>
  <c r="C16" i="55" a="1"/>
  <c r="C5" i="55" l="1"/>
  <c r="C12" i="55"/>
  <c r="C6" i="55"/>
  <c r="C11" i="55"/>
  <c r="C8" i="55"/>
  <c r="C9" i="55"/>
  <c r="C7" i="55"/>
  <c r="C16" i="55"/>
  <c r="B6" i="12"/>
  <c r="D5" i="38"/>
  <c r="D5" i="12"/>
  <c r="I5" i="12"/>
  <c r="H5" i="12" s="1"/>
  <c r="F5" i="12"/>
  <c r="M5" i="12" a="1"/>
  <c r="E5" i="12" a="1"/>
  <c r="C6" i="12" a="1"/>
  <c r="P5" i="12" a="1"/>
  <c r="L5" i="12" a="1"/>
  <c r="Q5" i="12" a="1"/>
  <c r="K5" i="12" a="1"/>
  <c r="R5" i="12" a="1"/>
  <c r="O5" i="12" a="1"/>
  <c r="E5" i="12" l="1"/>
  <c r="M5" i="12"/>
  <c r="O5" i="12"/>
  <c r="R5" i="12"/>
  <c r="K5" i="12"/>
  <c r="Q5" i="12"/>
  <c r="L5" i="12"/>
  <c r="P5" i="12"/>
  <c r="C6" i="12"/>
  <c r="N5" i="12" a="1"/>
  <c r="G6" i="12" a="1"/>
  <c r="G6" i="12" l="1"/>
  <c r="N5" i="12"/>
  <c r="G5" i="46" a="1"/>
  <c r="G10" i="46" a="1"/>
  <c r="G11" i="46" a="1"/>
  <c r="G12" i="46" a="1"/>
  <c r="G7" i="46" a="1"/>
  <c r="G8" i="46" a="1"/>
  <c r="G13" i="46" a="1"/>
  <c r="G9" i="46" a="1"/>
  <c r="G15" i="46" a="1"/>
  <c r="G6" i="46" a="1"/>
  <c r="G16" i="46" a="1"/>
  <c r="G14" i="46" a="1"/>
  <c r="I6" i="12" a="1"/>
  <c r="D6" i="12" a="1"/>
  <c r="C5" i="60" a="1"/>
  <c r="B7" i="12" a="1"/>
  <c r="G14" i="46" l="1"/>
  <c r="G16" i="46"/>
  <c r="G6" i="46"/>
  <c r="G15" i="46"/>
  <c r="G9" i="46"/>
  <c r="G13" i="46"/>
  <c r="G8" i="46"/>
  <c r="G7" i="46"/>
  <c r="G12" i="46"/>
  <c r="G11" i="46"/>
  <c r="G10" i="46"/>
  <c r="G5" i="46"/>
  <c r="B7" i="12"/>
  <c r="C5" i="60"/>
  <c r="D6" i="12"/>
  <c r="I6" i="12"/>
  <c r="H6" i="12" s="1"/>
  <c r="F6" i="12"/>
  <c r="C7" i="12" a="1"/>
  <c r="M6" i="12" a="1"/>
  <c r="K6" i="12" a="1"/>
  <c r="E6" i="12" a="1"/>
  <c r="Q6" i="12" a="1"/>
  <c r="R6" i="12" a="1"/>
  <c r="O6" i="12" a="1"/>
  <c r="L6" i="12" a="1"/>
  <c r="P6" i="12" a="1"/>
  <c r="P6" i="12" l="1"/>
  <c r="L6" i="12"/>
  <c r="O6" i="12"/>
  <c r="R6" i="12"/>
  <c r="Q6" i="12"/>
  <c r="E6" i="12"/>
  <c r="K6" i="12"/>
  <c r="M6" i="12"/>
  <c r="C7" i="12"/>
  <c r="N6" i="12" a="1"/>
  <c r="G7" i="12" a="1"/>
  <c r="G7" i="12" l="1"/>
  <c r="N6" i="12"/>
  <c r="D7" i="12" a="1"/>
  <c r="I7" i="12" a="1"/>
  <c r="B8" i="12" a="1"/>
  <c r="B8" i="12" l="1"/>
  <c r="D7" i="12"/>
  <c r="I7" i="12"/>
  <c r="H7" i="12" s="1"/>
  <c r="F7" i="12"/>
  <c r="C8" i="12" a="1"/>
  <c r="Q7" i="12" a="1"/>
  <c r="O7" i="12" a="1"/>
  <c r="L7" i="12" a="1"/>
  <c r="M7" i="12" a="1"/>
  <c r="P7" i="12" a="1"/>
  <c r="K7" i="12" a="1"/>
  <c r="E7" i="12" a="1"/>
  <c r="R7" i="12" a="1"/>
  <c r="R7" i="12" l="1"/>
  <c r="E7" i="12"/>
  <c r="K7" i="12"/>
  <c r="P7" i="12"/>
  <c r="M7" i="12"/>
  <c r="L7" i="12"/>
  <c r="O7" i="12"/>
  <c r="Q7" i="12"/>
  <c r="C8" i="12"/>
  <c r="G8" i="12" a="1"/>
  <c r="N7" i="12" a="1"/>
  <c r="N7" i="12" l="1"/>
  <c r="G8" i="12"/>
  <c r="D8" i="12" a="1"/>
  <c r="B9" i="12" a="1"/>
  <c r="I8" i="12" a="1"/>
  <c r="I8" i="12" l="1"/>
  <c r="H8" i="12" s="1"/>
  <c r="B9" i="12"/>
  <c r="D8" i="12"/>
  <c r="F8" i="12"/>
  <c r="C9" i="12" a="1"/>
  <c r="K8" i="12" a="1"/>
  <c r="Q8" i="12" a="1"/>
  <c r="L8" i="12" a="1"/>
  <c r="O8" i="12" a="1"/>
  <c r="P8" i="12" a="1"/>
  <c r="M8" i="12" a="1"/>
  <c r="E8" i="12" a="1"/>
  <c r="R8" i="12" a="1"/>
  <c r="R8" i="12" l="1"/>
  <c r="E8" i="12"/>
  <c r="M8" i="12"/>
  <c r="P8" i="12"/>
  <c r="O8" i="12"/>
  <c r="L8" i="12"/>
  <c r="Q8" i="12"/>
  <c r="K8" i="12"/>
  <c r="C9" i="12"/>
  <c r="N8" i="12" a="1"/>
  <c r="G9" i="12" a="1"/>
  <c r="G9" i="12" l="1"/>
  <c r="N8" i="12"/>
  <c r="B10" i="12" a="1"/>
  <c r="D9" i="12" a="1"/>
  <c r="I9" i="12" a="1"/>
  <c r="I9" i="12" l="1"/>
  <c r="H9" i="12" s="1"/>
  <c r="D9" i="12"/>
  <c r="B10" i="12"/>
  <c r="F9" i="12"/>
  <c r="R9" i="12" a="1"/>
  <c r="K9" i="12" a="1"/>
  <c r="O9" i="12" a="1"/>
  <c r="L9" i="12" a="1"/>
  <c r="Q9" i="12" a="1"/>
  <c r="M9" i="12" a="1"/>
  <c r="E9" i="12" a="1"/>
  <c r="P9" i="12" a="1"/>
  <c r="C10" i="12" a="1"/>
  <c r="C10" i="12" l="1"/>
  <c r="P9" i="12"/>
  <c r="E9" i="12"/>
  <c r="M9" i="12"/>
  <c r="Q9" i="12"/>
  <c r="L9" i="12"/>
  <c r="O9" i="12"/>
  <c r="K9" i="12"/>
  <c r="R9" i="12"/>
  <c r="G10" i="12" a="1"/>
  <c r="N9" i="12" a="1"/>
  <c r="G10" i="12" l="1"/>
  <c r="N9" i="12"/>
  <c r="B11" i="12" a="1"/>
  <c r="D10" i="12" a="1"/>
  <c r="I10" i="12" a="1"/>
  <c r="I10" i="12" l="1"/>
  <c r="H10" i="12" s="1"/>
  <c r="D10" i="12"/>
  <c r="B11" i="12"/>
  <c r="F10" i="12"/>
  <c r="L10" i="12" a="1"/>
  <c r="R10" i="12" a="1"/>
  <c r="C11" i="12" a="1"/>
  <c r="E10" i="12" a="1"/>
  <c r="M10" i="12" a="1"/>
  <c r="P10" i="12" a="1"/>
  <c r="Q10" i="12" a="1"/>
  <c r="K10" i="12" a="1"/>
  <c r="O10" i="12" a="1"/>
  <c r="C11" i="12" l="1"/>
  <c r="R10" i="12"/>
  <c r="L10" i="12"/>
  <c r="O10" i="12"/>
  <c r="K10" i="12"/>
  <c r="Q10" i="12"/>
  <c r="P10" i="12"/>
  <c r="M10" i="12"/>
  <c r="E10" i="12"/>
  <c r="N10" i="12" a="1"/>
  <c r="G11" i="12" a="1"/>
  <c r="N10" i="12" l="1"/>
  <c r="G11" i="12"/>
  <c r="I11" i="12" a="1"/>
  <c r="B12" i="12" a="1"/>
  <c r="D11" i="12" a="1"/>
  <c r="D11" i="12" l="1"/>
  <c r="B12" i="12"/>
  <c r="I11" i="12"/>
  <c r="H11" i="12" s="1"/>
  <c r="F11" i="12"/>
  <c r="K11" i="12" a="1"/>
  <c r="O11" i="12" a="1"/>
  <c r="C12" i="12" a="1"/>
  <c r="L11" i="12" a="1"/>
  <c r="E11" i="12" a="1"/>
  <c r="P11" i="12" a="1"/>
  <c r="M11" i="12" a="1"/>
  <c r="Q11" i="12" a="1"/>
  <c r="R11" i="12" a="1"/>
  <c r="C12" i="12" l="1"/>
  <c r="O11" i="12"/>
  <c r="K11" i="12"/>
  <c r="R11" i="12"/>
  <c r="Q11" i="12"/>
  <c r="M11" i="12"/>
  <c r="P11" i="12"/>
  <c r="E11" i="12"/>
  <c r="L11" i="12"/>
  <c r="G12" i="12" a="1"/>
  <c r="N11" i="12" a="1"/>
  <c r="G12" i="12" l="1"/>
  <c r="N11" i="12"/>
  <c r="D12" i="12" a="1"/>
  <c r="I12" i="12" a="1"/>
  <c r="B13" i="12" a="1"/>
  <c r="I12" i="12" l="1"/>
  <c r="H12" i="12" s="1"/>
  <c r="B13" i="12"/>
  <c r="D12" i="12"/>
  <c r="F12" i="12"/>
  <c r="K12" i="12" a="1"/>
  <c r="L12" i="12" a="1"/>
  <c r="R12" i="12" a="1"/>
  <c r="C13" i="12" a="1"/>
  <c r="O12" i="12" a="1"/>
  <c r="P12" i="12" a="1"/>
  <c r="M12" i="12" a="1"/>
  <c r="E12" i="12" a="1"/>
  <c r="Q12" i="12" a="1"/>
  <c r="R12" i="12" l="1"/>
  <c r="L12" i="12"/>
  <c r="K12" i="12"/>
  <c r="Q12" i="12"/>
  <c r="E12" i="12"/>
  <c r="M12" i="12"/>
  <c r="P12" i="12"/>
  <c r="O12" i="12"/>
  <c r="C13" i="12"/>
  <c r="G13" i="12" a="1"/>
  <c r="N12" i="12" a="1"/>
  <c r="N12" i="12" l="1"/>
  <c r="G13" i="12"/>
  <c r="D13" i="12" a="1"/>
  <c r="B14" i="12" a="1"/>
  <c r="I13" i="12" a="1"/>
  <c r="B14" i="12" l="1"/>
  <c r="I13" i="12"/>
  <c r="H13" i="12" s="1"/>
  <c r="D13" i="12"/>
  <c r="F13" i="12"/>
  <c r="C14" i="12" a="1"/>
  <c r="R13" i="12" a="1"/>
  <c r="P13" i="12" a="1"/>
  <c r="M13" i="12" a="1"/>
  <c r="K13" i="12" a="1"/>
  <c r="Q13" i="12" a="1"/>
  <c r="E13" i="12" a="1"/>
  <c r="O13" i="12" a="1"/>
  <c r="L13" i="12" a="1"/>
  <c r="E13" i="12" l="1"/>
  <c r="Q13" i="12"/>
  <c r="K13" i="12"/>
  <c r="M13" i="12"/>
  <c r="L13" i="12"/>
  <c r="P13" i="12"/>
  <c r="R13" i="12"/>
  <c r="O13" i="12"/>
  <c r="C14" i="12"/>
  <c r="G14" i="12" a="1"/>
  <c r="N13" i="12" a="1"/>
  <c r="N13" i="12" l="1"/>
  <c r="G14" i="12"/>
  <c r="D14" i="12" a="1"/>
  <c r="B15" i="12" a="1"/>
  <c r="I14" i="12" a="1"/>
  <c r="B15" i="12" l="1"/>
  <c r="I14" i="12"/>
  <c r="H14" i="12" s="1"/>
  <c r="D14" i="12"/>
  <c r="F14" i="12"/>
  <c r="O14" i="12" a="1"/>
  <c r="C15" i="12" a="1"/>
  <c r="R14" i="12" a="1"/>
  <c r="Q14" i="12" a="1"/>
  <c r="L14" i="12" a="1"/>
  <c r="P14" i="12" a="1"/>
  <c r="M14" i="12" a="1"/>
  <c r="K14" i="12" a="1"/>
  <c r="E14" i="12" a="1"/>
  <c r="M14" i="12" l="1"/>
  <c r="E14" i="12"/>
  <c r="K14" i="12"/>
  <c r="P14" i="12"/>
  <c r="L14" i="12"/>
  <c r="Q14" i="12"/>
  <c r="R14" i="12"/>
  <c r="O14" i="12"/>
  <c r="C15" i="12"/>
  <c r="N14" i="12" a="1"/>
  <c r="G15" i="12" a="1"/>
  <c r="N14" i="12" l="1"/>
  <c r="G15" i="12"/>
  <c r="D15" i="12" a="1"/>
  <c r="B16" i="12" a="1"/>
  <c r="I15" i="12" a="1"/>
  <c r="I15" i="12" l="1"/>
  <c r="H15" i="12" s="1"/>
  <c r="B16" i="12"/>
  <c r="D15" i="12"/>
  <c r="F15" i="12"/>
  <c r="C16" i="12" a="1"/>
  <c r="P15" i="12" a="1"/>
  <c r="E15" i="12" a="1"/>
  <c r="L15" i="12" a="1"/>
  <c r="Q15" i="12" a="1"/>
  <c r="R15" i="12" a="1"/>
  <c r="K15" i="12" a="1"/>
  <c r="O15" i="12" a="1"/>
  <c r="M15" i="12" a="1"/>
  <c r="M15" i="12" l="1"/>
  <c r="O15" i="12"/>
  <c r="K15" i="12"/>
  <c r="R15" i="12"/>
  <c r="Q15" i="12"/>
  <c r="L15" i="12"/>
  <c r="E15" i="12"/>
  <c r="P15" i="12"/>
  <c r="C16" i="12"/>
  <c r="N15" i="12" a="1"/>
  <c r="G16" i="12" a="1"/>
  <c r="G16" i="12" l="1"/>
  <c r="N15" i="12"/>
  <c r="I16" i="12" a="1"/>
  <c r="B17" i="12" a="1"/>
  <c r="D16" i="12" a="1"/>
  <c r="I16" i="12" l="1"/>
  <c r="H16" i="12" s="1"/>
  <c r="B17" i="12"/>
  <c r="D16" i="12"/>
  <c r="F16" i="12"/>
  <c r="M16" i="12" a="1"/>
  <c r="C17" i="12" a="1"/>
  <c r="K16" i="12" a="1"/>
  <c r="E16" i="12" a="1"/>
  <c r="P16" i="12" a="1"/>
  <c r="L16" i="12" a="1"/>
  <c r="R16" i="12" a="1"/>
  <c r="O16" i="12" a="1"/>
  <c r="Q16" i="12" a="1"/>
  <c r="O16" i="12" l="1"/>
  <c r="R16" i="12"/>
  <c r="L16" i="12"/>
  <c r="P16" i="12"/>
  <c r="M16" i="12"/>
  <c r="E16" i="12"/>
  <c r="Q16" i="12"/>
  <c r="K16" i="12"/>
  <c r="C17" i="12"/>
  <c r="N16" i="12" a="1"/>
  <c r="G17" i="12" a="1"/>
  <c r="G17" i="12" l="1"/>
  <c r="N16" i="12"/>
  <c r="B18" i="12" a="1"/>
  <c r="I17" i="12" a="1"/>
  <c r="D17" i="12" a="1"/>
  <c r="I17" i="12" l="1"/>
  <c r="H17" i="12" s="1"/>
  <c r="D17" i="12"/>
  <c r="B18" i="12"/>
  <c r="F17" i="12"/>
  <c r="L17" i="12" a="1"/>
  <c r="P17" i="12" a="1"/>
  <c r="K17" i="12" a="1"/>
  <c r="R17" i="12" a="1"/>
  <c r="M17" i="12" a="1"/>
  <c r="O17" i="12" a="1"/>
  <c r="C18" i="12" a="1"/>
  <c r="E17" i="12" a="1"/>
  <c r="Q17" i="12" a="1"/>
  <c r="C18" i="12" l="1"/>
  <c r="O17" i="12"/>
  <c r="M17" i="12"/>
  <c r="R17" i="12"/>
  <c r="K17" i="12"/>
  <c r="P17" i="12"/>
  <c r="Q17" i="12"/>
  <c r="E17" i="12"/>
  <c r="L17" i="12"/>
  <c r="G18" i="12" a="1"/>
  <c r="N17" i="12" a="1"/>
  <c r="G18" i="12" l="1"/>
  <c r="N17" i="12"/>
  <c r="B19" i="12" a="1"/>
  <c r="D18" i="12" a="1"/>
  <c r="I18" i="12" a="1"/>
  <c r="I18" i="12" l="1"/>
  <c r="H18" i="12" s="1"/>
  <c r="D18" i="12"/>
  <c r="B19" i="12"/>
  <c r="F18" i="12"/>
  <c r="E18" i="12" a="1"/>
  <c r="R18" i="12" a="1"/>
  <c r="Q18" i="12" a="1"/>
  <c r="C19" i="12" a="1"/>
  <c r="M18" i="12" a="1"/>
  <c r="K18" i="12" a="1"/>
  <c r="L18" i="12" a="1"/>
  <c r="P18" i="12" a="1"/>
  <c r="O18" i="12" a="1"/>
  <c r="C19" i="12" l="1"/>
  <c r="Q18" i="12"/>
  <c r="R18" i="12"/>
  <c r="E18" i="12"/>
  <c r="O18" i="12"/>
  <c r="P18" i="12"/>
  <c r="L18" i="12"/>
  <c r="K18" i="12"/>
  <c r="M18" i="12"/>
  <c r="G19" i="12" a="1"/>
  <c r="N18" i="12" a="1"/>
  <c r="N18" i="12" l="1"/>
  <c r="G19" i="12"/>
  <c r="D19" i="12" a="1"/>
  <c r="B20" i="12" a="1"/>
  <c r="I19" i="12" a="1"/>
  <c r="I19" i="12" l="1"/>
  <c r="H19" i="12" s="1"/>
  <c r="B20" i="12"/>
  <c r="D19" i="12"/>
  <c r="F19" i="12"/>
  <c r="C20" i="12" a="1"/>
  <c r="M19" i="12" a="1"/>
  <c r="Q19" i="12" a="1"/>
  <c r="P19" i="12" a="1"/>
  <c r="O19" i="12" a="1"/>
  <c r="K19" i="12" a="1"/>
  <c r="E19" i="12" a="1"/>
  <c r="L19" i="12" a="1"/>
  <c r="R19" i="12" a="1"/>
  <c r="L19" i="12" l="1"/>
  <c r="E19" i="12"/>
  <c r="K19" i="12"/>
  <c r="O19" i="12"/>
  <c r="P19" i="12"/>
  <c r="Q19" i="12"/>
  <c r="M19" i="12"/>
  <c r="R19" i="12"/>
  <c r="C20" i="12"/>
  <c r="G20" i="12" a="1"/>
  <c r="N19" i="12" a="1"/>
  <c r="N19" i="12" l="1"/>
  <c r="G20" i="12"/>
  <c r="D20" i="12" a="1"/>
  <c r="I20" i="12" a="1"/>
  <c r="B21" i="12" a="1"/>
  <c r="B21" i="12" l="1"/>
  <c r="I20" i="12"/>
  <c r="H20" i="12" s="1"/>
  <c r="D20" i="12"/>
  <c r="F20" i="12"/>
  <c r="K20" i="12" a="1"/>
  <c r="L20" i="12" a="1"/>
  <c r="E20" i="12" a="1"/>
  <c r="R20" i="12" a="1"/>
  <c r="C21" i="12" a="1"/>
  <c r="Q20" i="12" a="1"/>
  <c r="M20" i="12" a="1"/>
  <c r="P20" i="12" a="1"/>
  <c r="O20" i="12" a="1"/>
  <c r="R20" i="12" l="1"/>
  <c r="E20" i="12"/>
  <c r="L20" i="12"/>
  <c r="K20" i="12"/>
  <c r="O20" i="12"/>
  <c r="P20" i="12"/>
  <c r="M20" i="12"/>
  <c r="Q20" i="12"/>
  <c r="C21" i="12"/>
  <c r="N20" i="12" a="1"/>
  <c r="G21" i="12" a="1"/>
  <c r="N20" i="12" l="1"/>
  <c r="G21" i="12"/>
  <c r="D21" i="12" a="1"/>
  <c r="B22" i="12" a="1"/>
  <c r="I21" i="12" a="1"/>
  <c r="I21" i="12" l="1"/>
  <c r="H21" i="12" s="1"/>
  <c r="B22" i="12"/>
  <c r="D21" i="12"/>
  <c r="F21" i="12"/>
  <c r="Q21" i="12" a="1"/>
  <c r="E21" i="12" a="1"/>
  <c r="M21" i="12" a="1"/>
  <c r="K21" i="12" a="1"/>
  <c r="C22" i="12" a="1"/>
  <c r="P21" i="12" a="1"/>
  <c r="O21" i="12" a="1"/>
  <c r="L21" i="12" a="1"/>
  <c r="R21" i="12" a="1"/>
  <c r="K21" i="12" l="1"/>
  <c r="M21" i="12"/>
  <c r="E21" i="12"/>
  <c r="Q21" i="12"/>
  <c r="R21" i="12"/>
  <c r="L21" i="12"/>
  <c r="O21" i="12"/>
  <c r="P21" i="12"/>
  <c r="C22" i="12"/>
  <c r="N21" i="12" a="1"/>
  <c r="G22" i="12" a="1"/>
  <c r="N21" i="12" l="1"/>
  <c r="G22" i="12"/>
  <c r="D22" i="12" a="1"/>
  <c r="E5" i="55" a="1"/>
  <c r="I22" i="12" a="1"/>
  <c r="B23" i="12" a="1"/>
  <c r="B23" i="12" l="1"/>
  <c r="I22" i="12"/>
  <c r="H22" i="12" s="1"/>
  <c r="E5" i="55"/>
  <c r="D22" i="12"/>
  <c r="F22" i="12"/>
  <c r="C23" i="12" a="1"/>
  <c r="M22" i="12" a="1"/>
  <c r="O22" i="12" a="1"/>
  <c r="L22" i="12" a="1"/>
  <c r="R22" i="12" a="1"/>
  <c r="Q22" i="12" a="1"/>
  <c r="E22" i="12" a="1"/>
  <c r="P22" i="12" a="1"/>
  <c r="K22" i="12" a="1"/>
  <c r="K22" i="12" l="1"/>
  <c r="P22" i="12"/>
  <c r="E22" i="12"/>
  <c r="Q22" i="12"/>
  <c r="R22" i="12"/>
  <c r="L22" i="12"/>
  <c r="O22" i="12"/>
  <c r="M22" i="12"/>
  <c r="C23" i="12"/>
  <c r="G23" i="12" a="1"/>
  <c r="N22" i="12" a="1"/>
  <c r="N22" i="12" l="1"/>
  <c r="G23" i="12"/>
  <c r="B24" i="12" a="1"/>
  <c r="D23" i="12" a="1"/>
  <c r="E6" i="55" a="1"/>
  <c r="I23" i="12" a="1"/>
  <c r="D23" i="12" l="1"/>
  <c r="B24" i="12"/>
  <c r="I23" i="12"/>
  <c r="H23" i="12" s="1"/>
  <c r="E6" i="55"/>
  <c r="F23" i="12"/>
  <c r="K23" i="12" a="1"/>
  <c r="R23" i="12" a="1"/>
  <c r="M23" i="12" a="1"/>
  <c r="E23" i="12" a="1"/>
  <c r="O23" i="12" a="1"/>
  <c r="L23" i="12" a="1"/>
  <c r="Q23" i="12" a="1"/>
  <c r="P23" i="12" a="1"/>
  <c r="C24" i="12" a="1"/>
  <c r="C24" i="12" l="1"/>
  <c r="P23" i="12"/>
  <c r="Q23" i="12"/>
  <c r="L23" i="12"/>
  <c r="O23" i="12"/>
  <c r="E23" i="12"/>
  <c r="M23" i="12"/>
  <c r="R23" i="12"/>
  <c r="K23" i="12"/>
  <c r="G24" i="12" a="1"/>
  <c r="N23" i="12" a="1"/>
  <c r="N23" i="12" l="1"/>
  <c r="G24" i="12"/>
  <c r="B25" i="12" a="1"/>
  <c r="D24" i="12" a="1"/>
  <c r="I24" i="12" a="1"/>
  <c r="D24" i="12" l="1"/>
  <c r="B25" i="12"/>
  <c r="I24" i="12"/>
  <c r="H24" i="12" s="1"/>
  <c r="F24" i="12"/>
  <c r="M24" i="12" a="1"/>
  <c r="Q24" i="12" a="1"/>
  <c r="C25" i="12" a="1"/>
  <c r="E24" i="12" a="1"/>
  <c r="P24" i="12" a="1"/>
  <c r="R24" i="12" a="1"/>
  <c r="O24" i="12" a="1"/>
  <c r="K24" i="12" a="1"/>
  <c r="L24" i="12" a="1"/>
  <c r="C25" i="12" l="1"/>
  <c r="Q24" i="12"/>
  <c r="E24" i="12"/>
  <c r="M24" i="12"/>
  <c r="L24" i="12"/>
  <c r="K24" i="12"/>
  <c r="O24" i="12"/>
  <c r="R24" i="12"/>
  <c r="P24" i="12"/>
  <c r="G25" i="12" a="1"/>
  <c r="N24" i="12" a="1"/>
  <c r="N24" i="12" l="1"/>
  <c r="G25" i="12"/>
  <c r="B26" i="12" a="1"/>
  <c r="I25" i="12" a="1"/>
  <c r="D25" i="12" a="1"/>
  <c r="B26" i="12" l="1"/>
  <c r="D25" i="12"/>
  <c r="I25" i="12"/>
  <c r="H25" i="12" s="1"/>
  <c r="F25" i="12"/>
  <c r="C26" i="12" a="1"/>
  <c r="P25" i="12" a="1"/>
  <c r="E25" i="12" a="1"/>
  <c r="K25" i="12" a="1"/>
  <c r="Q25" i="12" a="1"/>
  <c r="O25" i="12" a="1"/>
  <c r="R25" i="12" a="1"/>
  <c r="M25" i="12" a="1"/>
  <c r="L25" i="12" a="1"/>
  <c r="L25" i="12" l="1"/>
  <c r="O25" i="12"/>
  <c r="M25" i="12"/>
  <c r="R25" i="12"/>
  <c r="Q25" i="12"/>
  <c r="K25" i="12"/>
  <c r="E25" i="12"/>
  <c r="P25" i="12"/>
  <c r="C26" i="12"/>
  <c r="G26" i="12" a="1"/>
  <c r="N25" i="12" a="1"/>
  <c r="N25" i="12" l="1"/>
  <c r="G26" i="12"/>
  <c r="D26" i="12" a="1"/>
  <c r="I26" i="12" a="1"/>
  <c r="B27" i="12" a="1"/>
  <c r="B27" i="12" l="1"/>
  <c r="I26" i="12"/>
  <c r="H26" i="12" s="1"/>
  <c r="D26" i="12"/>
  <c r="F26" i="12"/>
  <c r="Q26" i="12" a="1"/>
  <c r="E26" i="12" a="1"/>
  <c r="O26" i="12" a="1"/>
  <c r="K26" i="12" a="1"/>
  <c r="L26" i="12" a="1"/>
  <c r="R26" i="12" a="1"/>
  <c r="M26" i="12" a="1"/>
  <c r="C27" i="12" a="1"/>
  <c r="P26" i="12" a="1"/>
  <c r="M26" i="12" l="1"/>
  <c r="R26" i="12"/>
  <c r="L26" i="12"/>
  <c r="K26" i="12"/>
  <c r="O26" i="12"/>
  <c r="E26" i="12"/>
  <c r="Q26" i="12"/>
  <c r="P26" i="12"/>
  <c r="C27" i="12"/>
  <c r="G27" i="12" a="1"/>
  <c r="N26" i="12" a="1"/>
  <c r="G27" i="12" l="1"/>
  <c r="N26" i="12"/>
  <c r="B28" i="12" a="1"/>
  <c r="D27" i="12" a="1"/>
  <c r="I27" i="12" a="1"/>
  <c r="I27" i="12" l="1"/>
  <c r="H27" i="12" s="1"/>
  <c r="D27" i="12"/>
  <c r="B28" i="12"/>
  <c r="F27" i="12"/>
  <c r="O27" i="12" a="1"/>
  <c r="Q27" i="12" a="1"/>
  <c r="K27" i="12" a="1"/>
  <c r="L27" i="12" a="1"/>
  <c r="M27" i="12" a="1"/>
  <c r="R27" i="12" a="1"/>
  <c r="P27" i="12" a="1"/>
  <c r="C28" i="12" a="1"/>
  <c r="E27" i="12" a="1"/>
  <c r="C28" i="12" l="1"/>
  <c r="E27" i="12"/>
  <c r="P27" i="12"/>
  <c r="R27" i="12"/>
  <c r="M27" i="12"/>
  <c r="L27" i="12"/>
  <c r="K27" i="12"/>
  <c r="Q27" i="12"/>
  <c r="O27" i="12"/>
  <c r="N27" i="12" a="1"/>
  <c r="G28" i="12" a="1"/>
  <c r="G28" i="12" l="1"/>
  <c r="N27" i="12"/>
  <c r="D28" i="12" a="1"/>
  <c r="B29" i="12" a="1"/>
  <c r="I28" i="12" a="1"/>
  <c r="I28" i="12" l="1"/>
  <c r="H28" i="12" s="1"/>
  <c r="B29" i="12"/>
  <c r="D28" i="12"/>
  <c r="F28" i="12"/>
  <c r="K28" i="12" a="1"/>
  <c r="L28" i="12" a="1"/>
  <c r="R28" i="12" a="1"/>
  <c r="M28" i="12" a="1"/>
  <c r="E28" i="12" a="1"/>
  <c r="O28" i="12" a="1"/>
  <c r="Q28" i="12" a="1"/>
  <c r="P28" i="12" a="1"/>
  <c r="C29" i="12" a="1"/>
  <c r="P28" i="12" l="1"/>
  <c r="Q28" i="12"/>
  <c r="O28" i="12"/>
  <c r="E28" i="12"/>
  <c r="M28" i="12"/>
  <c r="R28" i="12"/>
  <c r="L28" i="12"/>
  <c r="K28" i="12"/>
  <c r="C29" i="12"/>
  <c r="N28" i="12" a="1"/>
  <c r="G29" i="12" a="1"/>
  <c r="N28" i="12" l="1"/>
  <c r="G29" i="12"/>
  <c r="I29" i="12" a="1"/>
  <c r="D29" i="12" a="1"/>
  <c r="B30" i="12" a="1"/>
  <c r="B30" i="12" l="1"/>
  <c r="D29" i="12"/>
  <c r="I29" i="12"/>
  <c r="H29" i="12" s="1"/>
  <c r="F29" i="12"/>
  <c r="Q29" i="12" a="1"/>
  <c r="R29" i="12" a="1"/>
  <c r="K29" i="12" a="1"/>
  <c r="O29" i="12" a="1"/>
  <c r="L29" i="12" a="1"/>
  <c r="E29" i="12" a="1"/>
  <c r="C30" i="12" a="1"/>
  <c r="P29" i="12" a="1"/>
  <c r="M29" i="12" a="1"/>
  <c r="C30" i="12" l="1"/>
  <c r="E29" i="12"/>
  <c r="M29" i="12"/>
  <c r="L29" i="12"/>
  <c r="O29" i="12"/>
  <c r="P29" i="12"/>
  <c r="Q29" i="12"/>
  <c r="K29" i="12"/>
  <c r="R29" i="12"/>
  <c r="G30" i="12" a="1"/>
  <c r="N29" i="12" a="1"/>
  <c r="N29" i="12" l="1"/>
  <c r="G30" i="12"/>
  <c r="B31" i="12" a="1"/>
  <c r="D30" i="12" a="1"/>
  <c r="I30" i="12" a="1"/>
  <c r="D30" i="12" l="1"/>
  <c r="B31" i="12"/>
  <c r="I30" i="12"/>
  <c r="H30" i="12" s="1"/>
  <c r="F30" i="12"/>
  <c r="M30" i="12" a="1"/>
  <c r="E30" i="12" a="1"/>
  <c r="K30" i="12" a="1"/>
  <c r="P30" i="12" a="1"/>
  <c r="O30" i="12" a="1"/>
  <c r="Q30" i="12" a="1"/>
  <c r="R30" i="12" a="1"/>
  <c r="L30" i="12" a="1"/>
  <c r="C31" i="12" a="1"/>
  <c r="C31" i="12" l="1"/>
  <c r="Q30" i="12"/>
  <c r="R30" i="12"/>
  <c r="O30" i="12"/>
  <c r="L30" i="12"/>
  <c r="P30" i="12"/>
  <c r="K30" i="12"/>
  <c r="E30" i="12"/>
  <c r="M30" i="12"/>
  <c r="G31" i="12" a="1"/>
  <c r="N30" i="12" a="1"/>
  <c r="N30" i="12" l="1"/>
  <c r="G31" i="12"/>
  <c r="D31" i="12" a="1"/>
  <c r="I31" i="12" a="1"/>
  <c r="B32" i="12" a="1"/>
  <c r="B32" i="12" l="1"/>
  <c r="I31" i="12"/>
  <c r="H31" i="12" s="1"/>
  <c r="D31" i="12"/>
  <c r="F31" i="12"/>
  <c r="C32" i="12" a="1"/>
  <c r="L31" i="12" a="1"/>
  <c r="R31" i="12" a="1"/>
  <c r="M31" i="12" a="1"/>
  <c r="E31" i="12" a="1"/>
  <c r="K31" i="12" a="1"/>
  <c r="P31" i="12" a="1"/>
  <c r="O31" i="12" a="1"/>
  <c r="Q31" i="12" a="1"/>
  <c r="O31" i="12" l="1"/>
  <c r="P31" i="12"/>
  <c r="K31" i="12"/>
  <c r="E31" i="12"/>
  <c r="M31" i="12"/>
  <c r="R31" i="12"/>
  <c r="Q31" i="12"/>
  <c r="L31" i="12"/>
  <c r="C32" i="12"/>
  <c r="G32" i="12" a="1"/>
  <c r="N31" i="12" a="1"/>
  <c r="G32" i="12" l="1"/>
  <c r="N31" i="12"/>
  <c r="D32" i="12" a="1"/>
  <c r="E7" i="55" a="1"/>
  <c r="I32" i="12" a="1"/>
  <c r="B33" i="12" a="1"/>
  <c r="B33" i="12" l="1"/>
  <c r="I32" i="12"/>
  <c r="H32" i="12" s="1"/>
  <c r="E7" i="55"/>
  <c r="D32" i="12"/>
  <c r="F32" i="12"/>
  <c r="Q32" i="12" a="1"/>
  <c r="O32" i="12" a="1"/>
  <c r="L32" i="12" a="1"/>
  <c r="K32" i="12" a="1"/>
  <c r="R32" i="12" a="1"/>
  <c r="P32" i="12" a="1"/>
  <c r="M32" i="12" a="1"/>
  <c r="C33" i="12" a="1"/>
  <c r="E32" i="12" a="1"/>
  <c r="O32" i="12" l="1"/>
  <c r="M32" i="12"/>
  <c r="Q32" i="12"/>
  <c r="P32" i="12"/>
  <c r="R32" i="12"/>
  <c r="K32" i="12"/>
  <c r="L32" i="12"/>
  <c r="E32" i="12"/>
  <c r="C33" i="12"/>
  <c r="G33" i="12" a="1"/>
  <c r="N32" i="12" a="1"/>
  <c r="N32" i="12" l="1"/>
  <c r="G33" i="12"/>
  <c r="B34" i="12" a="1"/>
  <c r="D33" i="12" a="1"/>
  <c r="I33" i="12" a="1"/>
  <c r="B34" i="12" l="1"/>
  <c r="I33" i="12"/>
  <c r="H33" i="12" s="1"/>
  <c r="D33" i="12"/>
  <c r="F33" i="12"/>
  <c r="C34" i="12" a="1"/>
  <c r="P33" i="12" a="1"/>
  <c r="R33" i="12" a="1"/>
  <c r="K33" i="12" a="1"/>
  <c r="M33" i="12" a="1"/>
  <c r="L33" i="12" a="1"/>
  <c r="O33" i="12" a="1"/>
  <c r="Q33" i="12" a="1"/>
  <c r="E33" i="12" a="1"/>
  <c r="L33" i="12" l="1"/>
  <c r="M33" i="12"/>
  <c r="E33" i="12"/>
  <c r="K33" i="12"/>
  <c r="Q33" i="12"/>
  <c r="R33" i="12"/>
  <c r="P33" i="12"/>
  <c r="O33" i="12"/>
  <c r="C34" i="12"/>
  <c r="N33" i="12" a="1"/>
  <c r="G34" i="12" a="1"/>
  <c r="N33" i="12" l="1"/>
  <c r="G34" i="12"/>
  <c r="I34" i="12" a="1"/>
  <c r="B35" i="12" a="1"/>
  <c r="D34" i="12" a="1"/>
  <c r="D34" i="12" l="1"/>
  <c r="B35" i="12"/>
  <c r="I34" i="12"/>
  <c r="H34" i="12" s="1"/>
  <c r="F34" i="12"/>
  <c r="P34" i="12" a="1"/>
  <c r="O34" i="12" a="1"/>
  <c r="M34" i="12" a="1"/>
  <c r="Q34" i="12" a="1"/>
  <c r="E34" i="12" a="1"/>
  <c r="R34" i="12" a="1"/>
  <c r="L34" i="12" a="1"/>
  <c r="C35" i="12" a="1"/>
  <c r="K34" i="12" a="1"/>
  <c r="C35" i="12" l="1"/>
  <c r="L34" i="12"/>
  <c r="R34" i="12"/>
  <c r="Q34" i="12"/>
  <c r="M34" i="12"/>
  <c r="P34" i="12"/>
  <c r="K34" i="12"/>
  <c r="E34" i="12"/>
  <c r="O34" i="12"/>
  <c r="G35" i="12" a="1"/>
  <c r="N34" i="12" a="1"/>
  <c r="N34" i="12" l="1"/>
  <c r="G35" i="12"/>
  <c r="I35" i="12" a="1"/>
  <c r="D35" i="12" a="1"/>
  <c r="B36" i="12" a="1"/>
  <c r="B36" i="12" l="1"/>
  <c r="D35" i="12"/>
  <c r="I35" i="12"/>
  <c r="H35" i="12" s="1"/>
  <c r="F35" i="12"/>
  <c r="C36" i="12" a="1"/>
  <c r="Q35" i="12" a="1"/>
  <c r="E35" i="12" a="1"/>
  <c r="O35" i="12" a="1"/>
  <c r="L35" i="12" a="1"/>
  <c r="K35" i="12" a="1"/>
  <c r="P35" i="12" a="1"/>
  <c r="M35" i="12" a="1"/>
  <c r="R35" i="12" a="1"/>
  <c r="R35" i="12" l="1"/>
  <c r="M35" i="12"/>
  <c r="P35" i="12"/>
  <c r="K35" i="12"/>
  <c r="L35" i="12"/>
  <c r="O35" i="12"/>
  <c r="E35" i="12"/>
  <c r="Q35" i="12"/>
  <c r="C36" i="12"/>
  <c r="N35" i="12" a="1"/>
  <c r="G36" i="12" a="1"/>
  <c r="G36" i="12" l="1"/>
  <c r="N35" i="12"/>
  <c r="I36" i="12" a="1"/>
  <c r="D36" i="12" a="1"/>
  <c r="B37" i="12" a="1"/>
  <c r="B37" i="12" l="1"/>
  <c r="D36" i="12"/>
  <c r="I36" i="12"/>
  <c r="H36" i="12" s="1"/>
  <c r="F36" i="12"/>
  <c r="M36" i="12" a="1"/>
  <c r="L36" i="12" a="1"/>
  <c r="O36" i="12" a="1"/>
  <c r="K36" i="12" a="1"/>
  <c r="E36" i="12" a="1"/>
  <c r="Q36" i="12" a="1"/>
  <c r="P36" i="12" a="1"/>
  <c r="C37" i="12" a="1"/>
  <c r="R36" i="12" a="1"/>
  <c r="P36" i="12" l="1"/>
  <c r="Q36" i="12"/>
  <c r="E36" i="12"/>
  <c r="K36" i="12"/>
  <c r="O36" i="12"/>
  <c r="L36" i="12"/>
  <c r="M36" i="12"/>
  <c r="R36" i="12"/>
  <c r="C37" i="12"/>
  <c r="G37" i="12" a="1"/>
  <c r="N36" i="12" a="1"/>
  <c r="G37" i="12" l="1"/>
  <c r="N36" i="12"/>
  <c r="D37" i="12" a="1"/>
  <c r="B38" i="12" a="1"/>
  <c r="I37" i="12" a="1"/>
  <c r="I37" i="12" l="1"/>
  <c r="H37" i="12" s="1"/>
  <c r="B38" i="12"/>
  <c r="D37" i="12"/>
  <c r="F37" i="12"/>
  <c r="O37" i="12" a="1"/>
  <c r="M37" i="12" a="1"/>
  <c r="R37" i="12" a="1"/>
  <c r="C38" i="12" a="1"/>
  <c r="L37" i="12" a="1"/>
  <c r="Q37" i="12" a="1"/>
  <c r="E37" i="12" a="1"/>
  <c r="P37" i="12" a="1"/>
  <c r="K37" i="12" a="1"/>
  <c r="R37" i="12" l="1"/>
  <c r="M37" i="12"/>
  <c r="O37" i="12"/>
  <c r="K37" i="12"/>
  <c r="P37" i="12"/>
  <c r="E37" i="12"/>
  <c r="Q37" i="12"/>
  <c r="L37" i="12"/>
  <c r="C38" i="12"/>
  <c r="G38" i="12" a="1"/>
  <c r="N37" i="12" a="1"/>
  <c r="G38" i="12" l="1"/>
  <c r="N37" i="12"/>
  <c r="B39" i="12" a="1"/>
  <c r="D38" i="12" a="1"/>
  <c r="I38" i="12" a="1"/>
  <c r="I38" i="12" l="1"/>
  <c r="H38" i="12" s="1"/>
  <c r="D38" i="12"/>
  <c r="B39" i="12"/>
  <c r="F38" i="12"/>
  <c r="P38" i="12" a="1"/>
  <c r="Q38" i="12" a="1"/>
  <c r="K38" i="12" a="1"/>
  <c r="R38" i="12" a="1"/>
  <c r="M38" i="12" a="1"/>
  <c r="E38" i="12" a="1"/>
  <c r="C39" i="12" a="1"/>
  <c r="L38" i="12" a="1"/>
  <c r="O38" i="12" a="1"/>
  <c r="C39" i="12" l="1"/>
  <c r="E38" i="12"/>
  <c r="M38" i="12"/>
  <c r="R38" i="12"/>
  <c r="K38" i="12"/>
  <c r="Q38" i="12"/>
  <c r="P38" i="12"/>
  <c r="O38" i="12"/>
  <c r="L38" i="12"/>
  <c r="N38" i="12" a="1"/>
  <c r="G39" i="12" a="1"/>
  <c r="G39" i="12" l="1"/>
  <c r="N38" i="12"/>
  <c r="I39" i="12" a="1"/>
  <c r="B40" i="12" a="1"/>
  <c r="D39" i="12" a="1"/>
  <c r="D39" i="12" l="1"/>
  <c r="I39" i="12"/>
  <c r="H39" i="12" s="1"/>
  <c r="B40" i="12"/>
  <c r="F39" i="12"/>
  <c r="Q39" i="12" a="1"/>
  <c r="L39" i="12" a="1"/>
  <c r="O39" i="12" a="1"/>
  <c r="C40" i="12" a="1"/>
  <c r="M39" i="12" a="1"/>
  <c r="P39" i="12" a="1"/>
  <c r="R39" i="12" a="1"/>
  <c r="E39" i="12" a="1"/>
  <c r="K39" i="12" a="1"/>
  <c r="C40" i="12" l="1"/>
  <c r="L39" i="12"/>
  <c r="O39" i="12"/>
  <c r="Q39" i="12"/>
  <c r="K39" i="12"/>
  <c r="E39" i="12"/>
  <c r="R39" i="12"/>
  <c r="P39" i="12"/>
  <c r="M39" i="12"/>
  <c r="N39" i="12" a="1"/>
  <c r="G40" i="12" a="1"/>
  <c r="G40" i="12" l="1"/>
  <c r="N39" i="12"/>
  <c r="B41" i="12" a="1"/>
  <c r="D40" i="12" a="1"/>
  <c r="I40" i="12" a="1"/>
  <c r="I40" i="12" l="1"/>
  <c r="H40" i="12" s="1"/>
  <c r="D40" i="12"/>
  <c r="B41" i="12"/>
  <c r="F40" i="12"/>
  <c r="C41" i="12" a="1"/>
  <c r="R40" i="12" a="1"/>
  <c r="Q40" i="12" a="1"/>
  <c r="E40" i="12" a="1"/>
  <c r="L40" i="12" a="1"/>
  <c r="O40" i="12" a="1"/>
  <c r="M40" i="12" a="1"/>
  <c r="K40" i="12" a="1"/>
  <c r="P40" i="12" a="1"/>
  <c r="E40" i="12" l="1"/>
  <c r="Q40" i="12"/>
  <c r="R40" i="12"/>
  <c r="P40" i="12"/>
  <c r="K40" i="12"/>
  <c r="M40" i="12"/>
  <c r="O40" i="12"/>
  <c r="L40" i="12"/>
  <c r="C41" i="12"/>
  <c r="N40" i="12" a="1"/>
  <c r="G41" i="12" a="1"/>
  <c r="G41" i="12" l="1"/>
  <c r="N40" i="12"/>
  <c r="B42" i="12" a="1"/>
  <c r="D41" i="12" a="1"/>
  <c r="I41" i="12" a="1"/>
  <c r="I41" i="12" l="1"/>
  <c r="H41" i="12" s="1"/>
  <c r="D41" i="12"/>
  <c r="B42" i="12"/>
  <c r="F41" i="12"/>
  <c r="Q41" i="12" a="1"/>
  <c r="L41" i="12" a="1"/>
  <c r="C42" i="12" a="1"/>
  <c r="K41" i="12" a="1"/>
  <c r="P41" i="12" a="1"/>
  <c r="O41" i="12" a="1"/>
  <c r="E41" i="12" a="1"/>
  <c r="M41" i="12" a="1"/>
  <c r="R41" i="12" a="1"/>
  <c r="C42" i="12" l="1"/>
  <c r="L41" i="12"/>
  <c r="Q41" i="12"/>
  <c r="R41" i="12"/>
  <c r="M41" i="12"/>
  <c r="E41" i="12"/>
  <c r="O41" i="12"/>
  <c r="P41" i="12"/>
  <c r="K41" i="12"/>
  <c r="G42" i="12" a="1"/>
  <c r="N41" i="12" a="1"/>
  <c r="G42" i="12" l="1"/>
  <c r="N41" i="12"/>
  <c r="D42" i="12" a="1"/>
  <c r="B43" i="12" a="1"/>
  <c r="I42" i="12" a="1"/>
  <c r="I42" i="12" l="1"/>
  <c r="H42" i="12" s="1"/>
  <c r="B43" i="12"/>
  <c r="D42" i="12"/>
  <c r="F42" i="12"/>
  <c r="Q42" i="12" a="1"/>
  <c r="E42" i="12" a="1"/>
  <c r="O42" i="12" a="1"/>
  <c r="R42" i="12" a="1"/>
  <c r="L42" i="12" a="1"/>
  <c r="P42" i="12" a="1"/>
  <c r="K42" i="12" a="1"/>
  <c r="C43" i="12" a="1"/>
  <c r="M42" i="12" a="1"/>
  <c r="K42" i="12" l="1"/>
  <c r="P42" i="12"/>
  <c r="L42" i="12"/>
  <c r="R42" i="12"/>
  <c r="O42" i="12"/>
  <c r="E42" i="12"/>
  <c r="Q42" i="12"/>
  <c r="M42" i="12"/>
  <c r="C43" i="12"/>
  <c r="G43" i="12" a="1"/>
  <c r="N42" i="12" a="1"/>
  <c r="G43" i="12" l="1"/>
  <c r="N42" i="12"/>
  <c r="B44" i="12" a="1"/>
  <c r="I43" i="12" a="1"/>
  <c r="D43" i="12" a="1"/>
  <c r="D43" i="12" l="1"/>
  <c r="I43" i="12"/>
  <c r="H43" i="12" s="1"/>
  <c r="B44" i="12"/>
  <c r="F43" i="12"/>
  <c r="O43" i="12" a="1"/>
  <c r="E43" i="12" a="1"/>
  <c r="Q43" i="12" a="1"/>
  <c r="P43" i="12" a="1"/>
  <c r="C44" i="12" a="1"/>
  <c r="K43" i="12" a="1"/>
  <c r="M43" i="12" a="1"/>
  <c r="L43" i="12" a="1"/>
  <c r="R43" i="12" a="1"/>
  <c r="P43" i="12" l="1"/>
  <c r="Q43" i="12"/>
  <c r="E43" i="12"/>
  <c r="O43" i="12"/>
  <c r="R43" i="12"/>
  <c r="L43" i="12"/>
  <c r="M43" i="12"/>
  <c r="K43" i="12"/>
  <c r="C44" i="12"/>
  <c r="G44" i="12" a="1"/>
  <c r="N43" i="12" a="1"/>
  <c r="G44" i="12" l="1"/>
  <c r="N43" i="12"/>
  <c r="B45" i="12" a="1"/>
  <c r="D44" i="12" a="1"/>
  <c r="E8" i="55" a="1"/>
  <c r="I44" i="12" a="1"/>
  <c r="I44" i="12" l="1"/>
  <c r="H44" i="12" s="1"/>
  <c r="D44" i="12"/>
  <c r="E8" i="55"/>
  <c r="B45" i="12"/>
  <c r="F44" i="12"/>
  <c r="E44" i="12" a="1"/>
  <c r="R44" i="12" a="1"/>
  <c r="Q44" i="12" a="1"/>
  <c r="C45" i="12" a="1"/>
  <c r="P44" i="12" a="1"/>
  <c r="O44" i="12" a="1"/>
  <c r="M44" i="12" a="1"/>
  <c r="K44" i="12" a="1"/>
  <c r="L44" i="12" a="1"/>
  <c r="C45" i="12" l="1"/>
  <c r="Q44" i="12"/>
  <c r="R44" i="12"/>
  <c r="E44" i="12"/>
  <c r="L44" i="12"/>
  <c r="K44" i="12"/>
  <c r="M44" i="12"/>
  <c r="O44" i="12"/>
  <c r="P44" i="12"/>
  <c r="N44" i="12" a="1"/>
  <c r="G45" i="12" a="1"/>
  <c r="G45" i="12" l="1"/>
  <c r="N44" i="12"/>
  <c r="I45" i="12" a="1"/>
  <c r="B46" i="12" a="1"/>
  <c r="E9" i="55" a="1"/>
  <c r="D45" i="12" a="1"/>
  <c r="I45" i="12" l="1"/>
  <c r="H45" i="12" s="1"/>
  <c r="D45" i="12"/>
  <c r="E9" i="55"/>
  <c r="B46" i="12"/>
  <c r="F45" i="12"/>
  <c r="M45" i="12" a="1"/>
  <c r="O45" i="12" a="1"/>
  <c r="E45" i="12" a="1"/>
  <c r="C46" i="12" a="1"/>
  <c r="K45" i="12" a="1"/>
  <c r="R45" i="12" a="1"/>
  <c r="Q45" i="12" a="1"/>
  <c r="P45" i="12" a="1"/>
  <c r="L45" i="12" a="1"/>
  <c r="C46" i="12" l="1"/>
  <c r="E45" i="12"/>
  <c r="O45" i="12"/>
  <c r="M45" i="12"/>
  <c r="L45" i="12"/>
  <c r="P45" i="12"/>
  <c r="K45" i="12"/>
  <c r="Q45" i="12"/>
  <c r="R45" i="12"/>
  <c r="G46" i="12" a="1"/>
  <c r="N45" i="12" a="1"/>
  <c r="N45" i="12" l="1"/>
  <c r="G46" i="12"/>
  <c r="B47" i="12" a="1"/>
  <c r="I46" i="12" a="1"/>
  <c r="D46" i="12" a="1"/>
  <c r="D46" i="12" l="1"/>
  <c r="I46" i="12"/>
  <c r="H46" i="12" s="1"/>
  <c r="B47" i="12"/>
  <c r="F46" i="12"/>
  <c r="K46" i="12" a="1"/>
  <c r="Q46" i="12" a="1"/>
  <c r="L46" i="12" a="1"/>
  <c r="E46" i="12" a="1"/>
  <c r="R46" i="12" a="1"/>
  <c r="C47" i="12" a="1"/>
  <c r="P46" i="12" a="1"/>
  <c r="M46" i="12" a="1"/>
  <c r="O46" i="12" a="1"/>
  <c r="C47" i="12" l="1"/>
  <c r="R46" i="12"/>
  <c r="E46" i="12"/>
  <c r="O46" i="12"/>
  <c r="Q46" i="12"/>
  <c r="L46" i="12"/>
  <c r="M46" i="12"/>
  <c r="P46" i="12"/>
  <c r="K46" i="12"/>
  <c r="N46" i="12" a="1"/>
  <c r="G47" i="12" a="1"/>
  <c r="G47" i="12" l="1"/>
  <c r="N46" i="12"/>
  <c r="D47" i="12" a="1"/>
  <c r="I47" i="12" a="1"/>
  <c r="B48" i="12" a="1"/>
  <c r="B48" i="12" l="1"/>
  <c r="I47" i="12"/>
  <c r="H47" i="12" s="1"/>
  <c r="D47" i="12"/>
  <c r="F47" i="12"/>
  <c r="K47" i="12" a="1"/>
  <c r="P47" i="12" a="1"/>
  <c r="O47" i="12" a="1"/>
  <c r="C48" i="12" a="1"/>
  <c r="R47" i="12" a="1"/>
  <c r="Q47" i="12" a="1"/>
  <c r="M47" i="12" a="1"/>
  <c r="E47" i="12" a="1"/>
  <c r="L47" i="12" a="1"/>
  <c r="C48" i="12" l="1"/>
  <c r="O47" i="12"/>
  <c r="P47" i="12"/>
  <c r="E47" i="12"/>
  <c r="M47" i="12"/>
  <c r="Q47" i="12"/>
  <c r="L47" i="12"/>
  <c r="R47" i="12"/>
  <c r="K47" i="12"/>
  <c r="G48" i="12" a="1"/>
  <c r="N47" i="12" a="1"/>
  <c r="N47" i="12" l="1"/>
  <c r="G48" i="12"/>
  <c r="D48" i="12" a="1"/>
  <c r="B49" i="12" a="1"/>
  <c r="I48" i="12" a="1"/>
  <c r="I48" i="12" l="1"/>
  <c r="H48" i="12" s="1"/>
  <c r="B49" i="12"/>
  <c r="D48" i="12"/>
  <c r="F48" i="12"/>
  <c r="P48" i="12" a="1"/>
  <c r="Q48" i="12" a="1"/>
  <c r="E48" i="12" a="1"/>
  <c r="M48" i="12" a="1"/>
  <c r="R48" i="12" a="1"/>
  <c r="C49" i="12" a="1"/>
  <c r="O48" i="12" a="1"/>
  <c r="K48" i="12" a="1"/>
  <c r="L48" i="12" a="1"/>
  <c r="R48" i="12" l="1"/>
  <c r="L48" i="12"/>
  <c r="M48" i="12"/>
  <c r="K48" i="12"/>
  <c r="E48" i="12"/>
  <c r="Q48" i="12"/>
  <c r="O48" i="12"/>
  <c r="P48" i="12"/>
  <c r="C49" i="12"/>
  <c r="N48" i="12" a="1"/>
  <c r="G49" i="12" a="1"/>
  <c r="G49" i="12" l="1"/>
  <c r="N48" i="12"/>
  <c r="D49" i="12" a="1"/>
  <c r="I49" i="12" a="1"/>
  <c r="B50" i="12" a="1"/>
  <c r="B50" i="12" l="1"/>
  <c r="I49" i="12"/>
  <c r="H49" i="12" s="1"/>
  <c r="D49" i="12"/>
  <c r="F49" i="12"/>
  <c r="C50" i="12" a="1"/>
  <c r="M49" i="12" a="1"/>
  <c r="K49" i="12" a="1"/>
  <c r="O49" i="12" a="1"/>
  <c r="L49" i="12" a="1"/>
  <c r="Q49" i="12" a="1"/>
  <c r="P49" i="12" a="1"/>
  <c r="E49" i="12" a="1"/>
  <c r="R49" i="12" a="1"/>
  <c r="E49" i="12" l="1"/>
  <c r="P49" i="12"/>
  <c r="R49" i="12"/>
  <c r="Q49" i="12"/>
  <c r="L49" i="12"/>
  <c r="O49" i="12"/>
  <c r="K49" i="12"/>
  <c r="M49" i="12"/>
  <c r="C50" i="12"/>
  <c r="N49" i="12" a="1"/>
  <c r="G50" i="12" a="1"/>
  <c r="G50" i="12" l="1"/>
  <c r="N49" i="12"/>
  <c r="D50" i="12" a="1"/>
  <c r="B51" i="12" a="1"/>
  <c r="I50" i="12" a="1"/>
  <c r="I50" i="12" l="1"/>
  <c r="H50" i="12" s="1"/>
  <c r="B51" i="12"/>
  <c r="D50" i="12"/>
  <c r="F50" i="12"/>
  <c r="K50" i="12" a="1"/>
  <c r="R50" i="12" a="1"/>
  <c r="Q50" i="12" a="1"/>
  <c r="M50" i="12" a="1"/>
  <c r="L50" i="12" a="1"/>
  <c r="O50" i="12" a="1"/>
  <c r="E50" i="12" a="1"/>
  <c r="C51" i="12" a="1"/>
  <c r="P50" i="12" a="1"/>
  <c r="E50" i="12" l="1"/>
  <c r="O50" i="12"/>
  <c r="L50" i="12"/>
  <c r="M50" i="12"/>
  <c r="Q50" i="12"/>
  <c r="R50" i="12"/>
  <c r="K50" i="12"/>
  <c r="P50" i="12"/>
  <c r="C51" i="12"/>
  <c r="N50" i="12" a="1"/>
  <c r="G51" i="12" a="1"/>
  <c r="G51" i="12" l="1"/>
  <c r="N50" i="12"/>
  <c r="I51" i="12" a="1"/>
  <c r="D51" i="12" a="1"/>
  <c r="B52" i="12" a="1"/>
  <c r="B52" i="12" l="1"/>
  <c r="D51" i="12"/>
  <c r="I51" i="12"/>
  <c r="H51" i="12" s="1"/>
  <c r="F51" i="12"/>
  <c r="R51" i="12" a="1"/>
  <c r="P51" i="12" a="1"/>
  <c r="O51" i="12" a="1"/>
  <c r="E51" i="12" a="1"/>
  <c r="L51" i="12" a="1"/>
  <c r="M51" i="12" a="1"/>
  <c r="Q51" i="12" a="1"/>
  <c r="K51" i="12" a="1"/>
  <c r="C52" i="12" a="1"/>
  <c r="K51" i="12" l="1"/>
  <c r="Q51" i="12"/>
  <c r="M51" i="12"/>
  <c r="L51" i="12"/>
  <c r="E51" i="12"/>
  <c r="R51" i="12"/>
  <c r="O51" i="12"/>
  <c r="P51" i="12"/>
  <c r="C52" i="12"/>
  <c r="N51" i="12" a="1"/>
  <c r="G52" i="12" a="1"/>
  <c r="G52" i="12" l="1"/>
  <c r="N51" i="12"/>
  <c r="E10" i="55" a="1"/>
  <c r="D52" i="12" a="1"/>
  <c r="B53" i="12" a="1"/>
  <c r="I52" i="12" a="1"/>
  <c r="I52" i="12" l="1"/>
  <c r="H52" i="12" s="1"/>
  <c r="D52" i="12"/>
  <c r="B53" i="12"/>
  <c r="E10" i="55"/>
  <c r="F52" i="12"/>
  <c r="Q52" i="12" a="1"/>
  <c r="K52" i="12" a="1"/>
  <c r="M52" i="12" a="1"/>
  <c r="O52" i="12" a="1"/>
  <c r="L52" i="12" a="1"/>
  <c r="P52" i="12" a="1"/>
  <c r="E52" i="12" a="1"/>
  <c r="C53" i="12" a="1"/>
  <c r="R52" i="12" a="1"/>
  <c r="C53" i="12" l="1"/>
  <c r="E52" i="12"/>
  <c r="P52" i="12"/>
  <c r="L52" i="12"/>
  <c r="O52" i="12"/>
  <c r="M52" i="12"/>
  <c r="R52" i="12"/>
  <c r="K52" i="12"/>
  <c r="Q52" i="12"/>
  <c r="G53" i="12" a="1"/>
  <c r="N52" i="12" a="1"/>
  <c r="N52" i="12" l="1"/>
  <c r="G53" i="12"/>
  <c r="I53" i="12" a="1"/>
  <c r="D53" i="12" a="1"/>
  <c r="B54" i="12" a="1"/>
  <c r="B54" i="12" l="1"/>
  <c r="D53" i="12"/>
  <c r="I53" i="12"/>
  <c r="H53" i="12" s="1"/>
  <c r="F53" i="12"/>
  <c r="M53" i="12" a="1"/>
  <c r="E53" i="12" a="1"/>
  <c r="K53" i="12" a="1"/>
  <c r="R53" i="12" a="1"/>
  <c r="C54" i="12" a="1"/>
  <c r="Q53" i="12" a="1"/>
  <c r="L53" i="12" a="1"/>
  <c r="P53" i="12" a="1"/>
  <c r="O53" i="12" a="1"/>
  <c r="R53" i="12" l="1"/>
  <c r="K53" i="12"/>
  <c r="E53" i="12"/>
  <c r="M53" i="12"/>
  <c r="O53" i="12"/>
  <c r="P53" i="12"/>
  <c r="L53" i="12"/>
  <c r="Q53" i="12"/>
  <c r="C54" i="12"/>
  <c r="G54" i="12" a="1"/>
  <c r="N53" i="12" a="1"/>
  <c r="N53" i="12" l="1"/>
  <c r="G54" i="12"/>
  <c r="I54" i="12" a="1"/>
  <c r="D54" i="12" a="1"/>
  <c r="B55" i="12" a="1"/>
  <c r="B55" i="12" l="1"/>
  <c r="I54" i="12"/>
  <c r="H54" i="12" s="1"/>
  <c r="D54" i="12"/>
  <c r="F54" i="12"/>
  <c r="K54" i="12" a="1"/>
  <c r="O54" i="12" a="1"/>
  <c r="R54" i="12" a="1"/>
  <c r="M54" i="12" a="1"/>
  <c r="L54" i="12" a="1"/>
  <c r="C55" i="12" a="1"/>
  <c r="Q54" i="12" a="1"/>
  <c r="P54" i="12" a="1"/>
  <c r="E54" i="12" a="1"/>
  <c r="L54" i="12" l="1"/>
  <c r="M54" i="12"/>
  <c r="R54" i="12"/>
  <c r="O54" i="12"/>
  <c r="K54" i="12"/>
  <c r="E54" i="12"/>
  <c r="P54" i="12"/>
  <c r="Q54" i="12"/>
  <c r="C55" i="12"/>
  <c r="G55" i="12" a="1"/>
  <c r="N54" i="12" a="1"/>
  <c r="N54" i="12" l="1"/>
  <c r="G55" i="12"/>
  <c r="D55" i="12" a="1"/>
  <c r="I55" i="12" a="1"/>
  <c r="B56" i="12" a="1"/>
  <c r="B56" i="12" l="1"/>
  <c r="I55" i="12"/>
  <c r="H55" i="12" s="1"/>
  <c r="D55" i="12"/>
  <c r="F55" i="12"/>
  <c r="R55" i="12" a="1"/>
  <c r="E55" i="12" a="1"/>
  <c r="M55" i="12" a="1"/>
  <c r="L55" i="12" a="1"/>
  <c r="K55" i="12" a="1"/>
  <c r="P55" i="12" a="1"/>
  <c r="O55" i="12" a="1"/>
  <c r="Q55" i="12" a="1"/>
  <c r="C56" i="12" a="1"/>
  <c r="Q55" i="12" l="1"/>
  <c r="O55" i="12"/>
  <c r="P55" i="12"/>
  <c r="K55" i="12"/>
  <c r="L55" i="12"/>
  <c r="M55" i="12"/>
  <c r="E55" i="12"/>
  <c r="R55" i="12"/>
  <c r="C56" i="12"/>
  <c r="G56" i="12" a="1"/>
  <c r="N55" i="12" a="1"/>
  <c r="N55" i="12" l="1"/>
  <c r="G56" i="12"/>
  <c r="I56" i="12" a="1"/>
  <c r="E11" i="55" a="1"/>
  <c r="B57" i="12" a="1"/>
  <c r="D56" i="12" a="1"/>
  <c r="D56" i="12" l="1"/>
  <c r="B57" i="12"/>
  <c r="E11" i="55"/>
  <c r="I56" i="12"/>
  <c r="H56" i="12" s="1"/>
  <c r="F56" i="12"/>
  <c r="R56" i="12" a="1"/>
  <c r="L56" i="12" a="1"/>
  <c r="E56" i="12" a="1"/>
  <c r="M56" i="12" a="1"/>
  <c r="Q56" i="12" a="1"/>
  <c r="P56" i="12" a="1"/>
  <c r="O56" i="12" a="1"/>
  <c r="C57" i="12" a="1"/>
  <c r="K56" i="12" a="1"/>
  <c r="C57" i="12" l="1"/>
  <c r="O56" i="12"/>
  <c r="K56" i="12"/>
  <c r="P56" i="12"/>
  <c r="Q56" i="12"/>
  <c r="M56" i="12"/>
  <c r="E56" i="12"/>
  <c r="L56" i="12"/>
  <c r="R56" i="12"/>
  <c r="N56" i="12" a="1"/>
  <c r="G57" i="12" a="1"/>
  <c r="G57" i="12" l="1"/>
  <c r="N56" i="12"/>
  <c r="E12" i="55" a="1"/>
  <c r="I57" i="12" a="1"/>
  <c r="D57" i="12" a="1"/>
  <c r="B58" i="12" a="1"/>
  <c r="B58" i="12" l="1"/>
  <c r="D57" i="12"/>
  <c r="I57" i="12"/>
  <c r="H57" i="12" s="1"/>
  <c r="E12" i="55"/>
  <c r="F57" i="12"/>
  <c r="C58" i="12" a="1"/>
  <c r="O57" i="12" a="1"/>
  <c r="L57" i="12" a="1"/>
  <c r="M57" i="12" a="1"/>
  <c r="K57" i="12" a="1"/>
  <c r="Q57" i="12" a="1"/>
  <c r="P57" i="12" a="1"/>
  <c r="R57" i="12" a="1"/>
  <c r="E57" i="12" a="1"/>
  <c r="Q57" i="12" l="1"/>
  <c r="K57" i="12"/>
  <c r="R57" i="12"/>
  <c r="M57" i="12"/>
  <c r="E57" i="12"/>
  <c r="L57" i="12"/>
  <c r="O57" i="12"/>
  <c r="P57" i="12"/>
  <c r="C58" i="12"/>
  <c r="N57" i="12" a="1"/>
  <c r="G58" i="12" a="1"/>
  <c r="G58" i="12" l="1"/>
  <c r="N57" i="12"/>
  <c r="B59" i="12" a="1"/>
  <c r="I58" i="12" a="1"/>
  <c r="D58" i="12" a="1"/>
  <c r="D58" i="12" l="1"/>
  <c r="I58" i="12"/>
  <c r="H58" i="12" s="1"/>
  <c r="B59" i="12"/>
  <c r="F58" i="12"/>
  <c r="E58" i="12" a="1"/>
  <c r="P58" i="12" a="1"/>
  <c r="O58" i="12" a="1"/>
  <c r="C59" i="12" a="1"/>
  <c r="Q58" i="12" a="1"/>
  <c r="L58" i="12" a="1"/>
  <c r="K58" i="12" a="1"/>
  <c r="M58" i="12" a="1"/>
  <c r="R58" i="12" a="1"/>
  <c r="C59" i="12" l="1"/>
  <c r="R58" i="12"/>
  <c r="M58" i="12"/>
  <c r="O58" i="12"/>
  <c r="K58" i="12"/>
  <c r="P58" i="12"/>
  <c r="L58" i="12"/>
  <c r="E58" i="12"/>
  <c r="Q58" i="12"/>
  <c r="G59" i="12" a="1"/>
  <c r="N58" i="12" a="1"/>
  <c r="N58" i="12" l="1"/>
  <c r="G59" i="12"/>
  <c r="I59" i="12" a="1"/>
  <c r="D59" i="12" a="1"/>
  <c r="B60" i="12" a="1"/>
  <c r="D59" i="12" l="1"/>
  <c r="I59" i="12"/>
  <c r="H59" i="12" s="1"/>
  <c r="B60" i="12"/>
  <c r="F59" i="12"/>
  <c r="L59" i="12" a="1"/>
  <c r="Q59" i="12" a="1"/>
  <c r="C60" i="12" a="1"/>
  <c r="K59" i="12" a="1"/>
  <c r="P59" i="12" a="1"/>
  <c r="R59" i="12" a="1"/>
  <c r="O59" i="12" a="1"/>
  <c r="M59" i="12" a="1"/>
  <c r="E59" i="12" a="1"/>
  <c r="C60" i="12" l="1"/>
  <c r="Q59" i="12"/>
  <c r="L59" i="12"/>
  <c r="E59" i="12"/>
  <c r="M59" i="12"/>
  <c r="O59" i="12"/>
  <c r="R59" i="12"/>
  <c r="P59" i="12"/>
  <c r="K59" i="12"/>
  <c r="N59" i="12" a="1"/>
  <c r="G60" i="12" a="1"/>
  <c r="N59" i="12" l="1"/>
  <c r="G60" i="12"/>
  <c r="D60" i="12" a="1"/>
  <c r="B61" i="12" a="1"/>
  <c r="I60" i="12" a="1"/>
  <c r="B61" i="12" l="1"/>
  <c r="I60" i="12"/>
  <c r="H60" i="12" s="1"/>
  <c r="D60" i="12"/>
  <c r="F60" i="12"/>
  <c r="E60" i="12" a="1"/>
  <c r="K60" i="12" a="1"/>
  <c r="R60" i="12" a="1"/>
  <c r="M60" i="12" a="1"/>
  <c r="Q60" i="12" a="1"/>
  <c r="C61" i="12" a="1"/>
  <c r="O60" i="12" a="1"/>
  <c r="L60" i="12" a="1"/>
  <c r="P60" i="12" a="1"/>
  <c r="Q60" i="12" l="1"/>
  <c r="R60" i="12"/>
  <c r="K60" i="12"/>
  <c r="E60" i="12"/>
  <c r="P60" i="12"/>
  <c r="L60" i="12"/>
  <c r="O60" i="12"/>
  <c r="M60" i="12"/>
  <c r="C61" i="12"/>
  <c r="G61" i="12" a="1"/>
  <c r="N60" i="12" a="1"/>
  <c r="G61" i="12" l="1"/>
  <c r="N60" i="12"/>
  <c r="D61" i="12" a="1"/>
  <c r="I61" i="12" a="1"/>
  <c r="B62" i="12" a="1"/>
  <c r="I61" i="12" l="1"/>
  <c r="H61" i="12" s="1"/>
  <c r="B62" i="12"/>
  <c r="D61" i="12"/>
  <c r="F61" i="12"/>
  <c r="O61" i="12" a="1"/>
  <c r="Q61" i="12" a="1"/>
  <c r="K61" i="12" a="1"/>
  <c r="E61" i="12" a="1"/>
  <c r="R61" i="12" a="1"/>
  <c r="M61" i="12" a="1"/>
  <c r="C62" i="12" a="1"/>
  <c r="P61" i="12" a="1"/>
  <c r="L61" i="12" a="1"/>
  <c r="K61" i="12" l="1"/>
  <c r="Q61" i="12"/>
  <c r="O61" i="12"/>
  <c r="M61" i="12"/>
  <c r="L61" i="12"/>
  <c r="R61" i="12"/>
  <c r="P61" i="12"/>
  <c r="E61" i="12"/>
  <c r="C62" i="12"/>
  <c r="G62" i="12" a="1"/>
  <c r="N61" i="12" a="1"/>
  <c r="N61" i="12" l="1"/>
  <c r="G62" i="12"/>
  <c r="I62" i="12" a="1"/>
  <c r="D62" i="12" a="1"/>
  <c r="B63" i="12" a="1"/>
  <c r="B63" i="12" l="1"/>
  <c r="D62" i="12"/>
  <c r="I62" i="12"/>
  <c r="H62" i="12" s="1"/>
  <c r="F62" i="12"/>
  <c r="C63" i="12" a="1"/>
  <c r="M62" i="12" a="1"/>
  <c r="E62" i="12" a="1"/>
  <c r="R62" i="12" a="1"/>
  <c r="O62" i="12" a="1"/>
  <c r="Q62" i="12" a="1"/>
  <c r="K62" i="12" a="1"/>
  <c r="L62" i="12" a="1"/>
  <c r="P62" i="12" a="1"/>
  <c r="L62" i="12" l="1"/>
  <c r="K62" i="12"/>
  <c r="Q62" i="12"/>
  <c r="P62" i="12"/>
  <c r="O62" i="12"/>
  <c r="R62" i="12"/>
  <c r="E62" i="12"/>
  <c r="M62" i="12"/>
  <c r="C63" i="12"/>
  <c r="N62" i="12" a="1"/>
  <c r="G63" i="12" a="1"/>
  <c r="G63" i="12" l="1"/>
  <c r="N62" i="12"/>
  <c r="B64" i="12" a="1"/>
  <c r="I63" i="12" a="1"/>
  <c r="D63" i="12" a="1"/>
  <c r="D63" i="12" l="1"/>
  <c r="I63" i="12"/>
  <c r="H63" i="12" s="1"/>
  <c r="B64" i="12"/>
  <c r="F63" i="12"/>
  <c r="P63" i="12" a="1"/>
  <c r="R63" i="12" a="1"/>
  <c r="K63" i="12" a="1"/>
  <c r="O63" i="12" a="1"/>
  <c r="L63" i="12" a="1"/>
  <c r="Q63" i="12" a="1"/>
  <c r="E63" i="12" a="1"/>
  <c r="M63" i="12" a="1"/>
  <c r="C64" i="12" a="1"/>
  <c r="C64" i="12" l="1"/>
  <c r="M63" i="12"/>
  <c r="E63" i="12"/>
  <c r="Q63" i="12"/>
  <c r="L63" i="12"/>
  <c r="O63" i="12"/>
  <c r="K63" i="12"/>
  <c r="R63" i="12"/>
  <c r="P63" i="12"/>
  <c r="N63" i="12" a="1"/>
  <c r="G64" i="12" a="1"/>
  <c r="G64" i="12" l="1"/>
  <c r="N63" i="12"/>
  <c r="B65" i="12" a="1"/>
  <c r="I64" i="12" a="1"/>
  <c r="D64" i="12" a="1"/>
  <c r="D64" i="12" l="1"/>
  <c r="I64" i="12"/>
  <c r="H64" i="12" s="1"/>
  <c r="B65" i="12"/>
  <c r="F64" i="12"/>
  <c r="K64" i="12" a="1"/>
  <c r="P64" i="12" a="1"/>
  <c r="R64" i="12" a="1"/>
  <c r="C65" i="12" a="1"/>
  <c r="E64" i="12" a="1"/>
  <c r="Q64" i="12" a="1"/>
  <c r="L64" i="12" a="1"/>
  <c r="O64" i="12" a="1"/>
  <c r="M64" i="12" a="1"/>
  <c r="C65" i="12" l="1"/>
  <c r="R64" i="12"/>
  <c r="P64" i="12"/>
  <c r="M64" i="12"/>
  <c r="O64" i="12"/>
  <c r="L64" i="12"/>
  <c r="E64" i="12"/>
  <c r="K64" i="12"/>
  <c r="Q64" i="12"/>
  <c r="G65" i="12" a="1"/>
  <c r="N64" i="12" a="1"/>
  <c r="G65" i="12" l="1"/>
  <c r="N64" i="12"/>
  <c r="D65" i="12" a="1"/>
  <c r="I65" i="12" a="1"/>
  <c r="B66" i="12" a="1"/>
  <c r="B66" i="12" l="1"/>
  <c r="D65" i="12"/>
  <c r="I65" i="12"/>
  <c r="H65" i="12" s="1"/>
  <c r="F65" i="12"/>
  <c r="L65" i="12" a="1"/>
  <c r="Q65" i="12" a="1"/>
  <c r="C66" i="12" a="1"/>
  <c r="K65" i="12" a="1"/>
  <c r="P65" i="12" a="1"/>
  <c r="E65" i="12" a="1"/>
  <c r="O65" i="12" a="1"/>
  <c r="R65" i="12" a="1"/>
  <c r="M65" i="12" a="1"/>
  <c r="M65" i="12" l="1"/>
  <c r="Q65" i="12"/>
  <c r="R65" i="12"/>
  <c r="O65" i="12"/>
  <c r="E65" i="12"/>
  <c r="P65" i="12"/>
  <c r="K65" i="12"/>
  <c r="L65" i="12"/>
  <c r="C66" i="12"/>
  <c r="N65" i="12" a="1"/>
  <c r="G66" i="12" a="1"/>
  <c r="G66" i="12" l="1"/>
  <c r="N65" i="12"/>
  <c r="D66" i="12" a="1"/>
  <c r="I66" i="12" a="1"/>
  <c r="B67" i="12" a="1"/>
  <c r="B67" i="12" l="1"/>
  <c r="I66" i="12"/>
  <c r="H66" i="12" s="1"/>
  <c r="D66" i="12"/>
  <c r="F66" i="12"/>
  <c r="C67" i="12" a="1"/>
  <c r="Q66" i="12" a="1"/>
  <c r="M66" i="12" a="1"/>
  <c r="P66" i="12" a="1"/>
  <c r="L66" i="12" a="1"/>
  <c r="O66" i="12" a="1"/>
  <c r="R66" i="12" a="1"/>
  <c r="E66" i="12" a="1"/>
  <c r="K66" i="12" a="1"/>
  <c r="E66" i="12" l="1"/>
  <c r="R66" i="12"/>
  <c r="O66" i="12"/>
  <c r="L66" i="12"/>
  <c r="P66" i="12"/>
  <c r="M66" i="12"/>
  <c r="K66" i="12"/>
  <c r="Q66" i="12"/>
  <c r="C67" i="12"/>
  <c r="G67" i="12" a="1"/>
  <c r="N66" i="12" a="1"/>
  <c r="N66" i="12" l="1"/>
  <c r="G67" i="12"/>
  <c r="D67" i="12" a="1"/>
  <c r="I67" i="12" a="1"/>
  <c r="B68" i="12" a="1"/>
  <c r="B68" i="12" l="1"/>
  <c r="I67" i="12"/>
  <c r="H67" i="12" s="1"/>
  <c r="D67" i="12"/>
  <c r="F67" i="12"/>
  <c r="C68" i="12" a="1"/>
  <c r="L67" i="12" a="1"/>
  <c r="O67" i="12" a="1"/>
  <c r="Q67" i="12" a="1"/>
  <c r="K67" i="12" a="1"/>
  <c r="M67" i="12" a="1"/>
  <c r="P67" i="12" a="1"/>
  <c r="R67" i="12" a="1"/>
  <c r="E67" i="12" a="1"/>
  <c r="P67" i="12" l="1"/>
  <c r="M67" i="12"/>
  <c r="E67" i="12"/>
  <c r="K67" i="12"/>
  <c r="Q67" i="12"/>
  <c r="O67" i="12"/>
  <c r="L67" i="12"/>
  <c r="R67" i="12"/>
  <c r="C68" i="12"/>
  <c r="N67" i="12" a="1"/>
  <c r="G68" i="12" a="1"/>
  <c r="G68" i="12" l="1"/>
  <c r="N67" i="12"/>
  <c r="E13" i="55" a="1"/>
  <c r="I68" i="12" a="1"/>
  <c r="D68" i="12" a="1"/>
  <c r="B69" i="12" a="1"/>
  <c r="B69" i="12" l="1"/>
  <c r="D68" i="12"/>
  <c r="I68" i="12"/>
  <c r="H68" i="12" s="1"/>
  <c r="E13" i="55"/>
  <c r="F68" i="12"/>
  <c r="C69" i="12" a="1"/>
  <c r="E68" i="12" a="1"/>
  <c r="O68" i="12" a="1"/>
  <c r="K68" i="12" a="1"/>
  <c r="M68" i="12" a="1"/>
  <c r="L68" i="12" a="1"/>
  <c r="R68" i="12" a="1"/>
  <c r="Q68" i="12" a="1"/>
  <c r="P68" i="12" a="1"/>
  <c r="P68" i="12" l="1"/>
  <c r="Q68" i="12"/>
  <c r="R68" i="12"/>
  <c r="L68" i="12"/>
  <c r="M68" i="12"/>
  <c r="K68" i="12"/>
  <c r="O68" i="12"/>
  <c r="E68" i="12"/>
  <c r="C69" i="12"/>
  <c r="N68" i="12" a="1"/>
  <c r="G69" i="12" a="1"/>
  <c r="G69" i="12" l="1"/>
  <c r="N68" i="12"/>
  <c r="D69" i="12" a="1"/>
  <c r="B70" i="12" a="1"/>
  <c r="I69" i="12" a="1"/>
  <c r="I69" i="12" l="1"/>
  <c r="H69" i="12" s="1"/>
  <c r="B70" i="12"/>
  <c r="D69" i="12"/>
  <c r="F69" i="12"/>
  <c r="K69" i="12" a="1"/>
  <c r="L69" i="12" a="1"/>
  <c r="M69" i="12" a="1"/>
  <c r="E69" i="12" a="1"/>
  <c r="C70" i="12" a="1"/>
  <c r="R69" i="12" a="1"/>
  <c r="Q69" i="12" a="1"/>
  <c r="P69" i="12" a="1"/>
  <c r="O69" i="12" a="1"/>
  <c r="E69" i="12" l="1"/>
  <c r="M69" i="12"/>
  <c r="L69" i="12"/>
  <c r="K69" i="12"/>
  <c r="O69" i="12"/>
  <c r="P69" i="12"/>
  <c r="Q69" i="12"/>
  <c r="R69" i="12"/>
  <c r="C70" i="12"/>
  <c r="G70" i="12" a="1"/>
  <c r="N69" i="12" a="1"/>
  <c r="G70" i="12" l="1"/>
  <c r="N69" i="12"/>
  <c r="I70" i="12" a="1"/>
  <c r="D70" i="12" a="1"/>
  <c r="B71" i="12" a="1"/>
  <c r="B71" i="12" l="1"/>
  <c r="D70" i="12"/>
  <c r="I70" i="12"/>
  <c r="H70" i="12" s="1"/>
  <c r="F70" i="12"/>
  <c r="R70" i="12" a="1"/>
  <c r="P70" i="12" a="1"/>
  <c r="L70" i="12" a="1"/>
  <c r="C71" i="12" a="1"/>
  <c r="Q70" i="12" a="1"/>
  <c r="K70" i="12" a="1"/>
  <c r="E70" i="12" a="1"/>
  <c r="O70" i="12" a="1"/>
  <c r="M70" i="12" a="1"/>
  <c r="L70" i="12" l="1"/>
  <c r="P70" i="12"/>
  <c r="R70" i="12"/>
  <c r="M70" i="12"/>
  <c r="O70" i="12"/>
  <c r="E70" i="12"/>
  <c r="K70" i="12"/>
  <c r="Q70" i="12"/>
  <c r="C71" i="12"/>
  <c r="G71" i="12" a="1"/>
  <c r="N70" i="12" a="1"/>
  <c r="N70" i="12" l="1"/>
  <c r="G71" i="12"/>
  <c r="B72" i="12" a="1"/>
  <c r="I71" i="12" a="1"/>
  <c r="D71" i="12" a="1"/>
  <c r="D71" i="12" l="1"/>
  <c r="I71" i="12"/>
  <c r="H71" i="12" s="1"/>
  <c r="B72" i="12"/>
  <c r="F71" i="12"/>
  <c r="M71" i="12" a="1"/>
  <c r="O71" i="12" a="1"/>
  <c r="E71" i="12" a="1"/>
  <c r="C72" i="12" a="1"/>
  <c r="K71" i="12" a="1"/>
  <c r="Q71" i="12" a="1"/>
  <c r="R71" i="12" a="1"/>
  <c r="P71" i="12" a="1"/>
  <c r="L71" i="12" a="1"/>
  <c r="C72" i="12" l="1"/>
  <c r="E71" i="12"/>
  <c r="O71" i="12"/>
  <c r="L71" i="12"/>
  <c r="P71" i="12"/>
  <c r="R71" i="12"/>
  <c r="Q71" i="12"/>
  <c r="K71" i="12"/>
  <c r="M71" i="12"/>
  <c r="N71" i="12" a="1"/>
  <c r="G72" i="12" a="1"/>
  <c r="G72" i="12" l="1"/>
  <c r="N71" i="12"/>
  <c r="D72" i="12" a="1"/>
  <c r="I72" i="12" a="1"/>
  <c r="B73" i="12" a="1"/>
  <c r="B73" i="12" l="1"/>
  <c r="I72" i="12"/>
  <c r="H72" i="12" s="1"/>
  <c r="D72" i="12"/>
  <c r="F72" i="12"/>
  <c r="R72" i="12" a="1"/>
  <c r="O72" i="12" a="1"/>
  <c r="L72" i="12" a="1"/>
  <c r="Q72" i="12" a="1"/>
  <c r="C73" i="12" a="1"/>
  <c r="K72" i="12" a="1"/>
  <c r="P72" i="12" a="1"/>
  <c r="M72" i="12" a="1"/>
  <c r="E72" i="12" a="1"/>
  <c r="Q72" i="12" l="1"/>
  <c r="L72" i="12"/>
  <c r="O72" i="12"/>
  <c r="R72" i="12"/>
  <c r="E72" i="12"/>
  <c r="M72" i="12"/>
  <c r="P72" i="12"/>
  <c r="K72" i="12"/>
  <c r="C73" i="12"/>
  <c r="N72" i="12" a="1"/>
  <c r="G73" i="12" a="1"/>
  <c r="N72" i="12" l="1"/>
  <c r="G73" i="12"/>
  <c r="I73" i="12" a="1"/>
  <c r="D73" i="12" a="1"/>
  <c r="B74" i="12" a="1"/>
  <c r="E14" i="55" a="1"/>
  <c r="B74" i="12" l="1"/>
  <c r="D73" i="12"/>
  <c r="E14" i="55"/>
  <c r="I73" i="12"/>
  <c r="H73" i="12" s="1"/>
  <c r="F73" i="12"/>
  <c r="M73" i="12" a="1"/>
  <c r="O73" i="12" a="1"/>
  <c r="L73" i="12" a="1"/>
  <c r="R73" i="12" a="1"/>
  <c r="K73" i="12" a="1"/>
  <c r="E73" i="12" a="1"/>
  <c r="Q73" i="12" a="1"/>
  <c r="C74" i="12" a="1"/>
  <c r="P73" i="12" a="1"/>
  <c r="K73" i="12" l="1"/>
  <c r="R73" i="12"/>
  <c r="L73" i="12"/>
  <c r="O73" i="12"/>
  <c r="M73" i="12"/>
  <c r="Q73" i="12"/>
  <c r="P73" i="12"/>
  <c r="E73" i="12"/>
  <c r="C74" i="12"/>
  <c r="N73" i="12" a="1"/>
  <c r="G74" i="12" a="1"/>
  <c r="G74" i="12" l="1"/>
  <c r="N73" i="12"/>
  <c r="E15" i="55" a="1"/>
  <c r="I74" i="12" a="1"/>
  <c r="D74" i="12" a="1"/>
  <c r="B75" i="12" a="1"/>
  <c r="B75" i="12" l="1"/>
  <c r="D74" i="12"/>
  <c r="I74" i="12"/>
  <c r="H74" i="12" s="1"/>
  <c r="E15" i="55"/>
  <c r="F74" i="12"/>
  <c r="O74" i="12" a="1"/>
  <c r="L74" i="12" a="1"/>
  <c r="Q74" i="12" a="1"/>
  <c r="R74" i="12" a="1"/>
  <c r="M74" i="12" a="1"/>
  <c r="C75" i="12" a="1"/>
  <c r="K74" i="12" a="1"/>
  <c r="P74" i="12" a="1"/>
  <c r="E74" i="12" a="1"/>
  <c r="C75" i="12" l="1"/>
  <c r="M74" i="12"/>
  <c r="R74" i="12"/>
  <c r="Q74" i="12"/>
  <c r="O74" i="12"/>
  <c r="L74" i="12"/>
  <c r="E74" i="12"/>
  <c r="P74" i="12"/>
  <c r="K74" i="12"/>
  <c r="N74" i="12" a="1"/>
  <c r="G75" i="12" a="1"/>
  <c r="N74" i="12" l="1"/>
  <c r="G75" i="12"/>
  <c r="I75" i="12" a="1"/>
  <c r="D75" i="12" a="1"/>
  <c r="B76" i="12" a="1"/>
  <c r="D75" i="12" l="1"/>
  <c r="B76" i="12"/>
  <c r="I75" i="12"/>
  <c r="H75" i="12" s="1"/>
  <c r="F75" i="12"/>
  <c r="L75" i="12" a="1"/>
  <c r="E75" i="12" a="1"/>
  <c r="M75" i="12" a="1"/>
  <c r="O75" i="12" a="1"/>
  <c r="P75" i="12" a="1"/>
  <c r="K75" i="12" a="1"/>
  <c r="R75" i="12" a="1"/>
  <c r="C76" i="12" a="1"/>
  <c r="Q75" i="12" a="1"/>
  <c r="C76" i="12" l="1"/>
  <c r="Q75" i="12"/>
  <c r="R75" i="12"/>
  <c r="P75" i="12"/>
  <c r="O75" i="12"/>
  <c r="M75" i="12"/>
  <c r="K75" i="12"/>
  <c r="L75" i="12"/>
  <c r="E75" i="12"/>
  <c r="N75" i="12" a="1"/>
  <c r="G76" i="12" a="1"/>
  <c r="G76" i="12" l="1"/>
  <c r="N75" i="12"/>
  <c r="D76" i="12" a="1"/>
  <c r="I76" i="12" a="1"/>
  <c r="B77" i="12" a="1"/>
  <c r="I76" i="12" l="1"/>
  <c r="H76" i="12" s="1"/>
  <c r="B77" i="12"/>
  <c r="D76" i="12"/>
  <c r="F76" i="12"/>
  <c r="E76" i="12" a="1"/>
  <c r="Q76" i="12" a="1"/>
  <c r="L76" i="12" a="1"/>
  <c r="R76" i="12" a="1"/>
  <c r="P76" i="12" a="1"/>
  <c r="C77" i="12" a="1"/>
  <c r="O76" i="12" a="1"/>
  <c r="K76" i="12" a="1"/>
  <c r="M76" i="12" a="1"/>
  <c r="P76" i="12" l="1"/>
  <c r="K76" i="12"/>
  <c r="R76" i="12"/>
  <c r="L76" i="12"/>
  <c r="Q76" i="12"/>
  <c r="E76" i="12"/>
  <c r="O76" i="12"/>
  <c r="M76" i="12"/>
  <c r="C77" i="12"/>
  <c r="N76" i="12" a="1"/>
  <c r="G77" i="12" a="1"/>
  <c r="N76" i="12" l="1"/>
  <c r="G77" i="12"/>
  <c r="I77" i="12" a="1"/>
  <c r="B78" i="12" a="1"/>
  <c r="D77" i="12" a="1"/>
  <c r="D77" i="12" l="1"/>
  <c r="I77" i="12"/>
  <c r="H77" i="12" s="1"/>
  <c r="B78" i="12"/>
  <c r="F77" i="12"/>
  <c r="E77" i="12" a="1"/>
  <c r="P77" i="12" a="1"/>
  <c r="M77" i="12" a="1"/>
  <c r="Q77" i="12" a="1"/>
  <c r="O77" i="12" a="1"/>
  <c r="L77" i="12" a="1"/>
  <c r="K77" i="12" a="1"/>
  <c r="C78" i="12" a="1"/>
  <c r="R77" i="12" a="1"/>
  <c r="C78" i="12" l="1"/>
  <c r="K77" i="12"/>
  <c r="L77" i="12"/>
  <c r="Q77" i="12"/>
  <c r="M77" i="12"/>
  <c r="P77" i="12"/>
  <c r="E77" i="12"/>
  <c r="R77" i="12"/>
  <c r="O77" i="12"/>
  <c r="G78" i="12" a="1"/>
  <c r="N77" i="12" a="1"/>
  <c r="N77" i="12" l="1"/>
  <c r="G78" i="12"/>
  <c r="B79" i="12" a="1"/>
  <c r="I78" i="12" a="1"/>
  <c r="D78" i="12" a="1"/>
  <c r="D78" i="12" l="1"/>
  <c r="I78" i="12"/>
  <c r="H78" i="12" s="1"/>
  <c r="B79" i="12"/>
  <c r="F78" i="12"/>
  <c r="Q78" i="12" a="1"/>
  <c r="K78" i="12" a="1"/>
  <c r="P78" i="12" a="1"/>
  <c r="M78" i="12" a="1"/>
  <c r="E78" i="12" a="1"/>
  <c r="L78" i="12" a="1"/>
  <c r="R78" i="12" a="1"/>
  <c r="O78" i="12" a="1"/>
  <c r="C79" i="12" a="1"/>
  <c r="C79" i="12" l="1"/>
  <c r="O78" i="12"/>
  <c r="R78" i="12"/>
  <c r="M78" i="12"/>
  <c r="P78" i="12"/>
  <c r="K78" i="12"/>
  <c r="Q78" i="12"/>
  <c r="L78" i="12"/>
  <c r="E78" i="12"/>
  <c r="G79" i="12" a="1"/>
  <c r="N78" i="12" a="1"/>
  <c r="G79" i="12" l="1"/>
  <c r="N78" i="12"/>
  <c r="D79" i="12" a="1"/>
  <c r="E16" i="55" a="1"/>
  <c r="I79" i="12" a="1"/>
  <c r="B80" i="12" a="1"/>
  <c r="B80" i="12" l="1"/>
  <c r="I79" i="12"/>
  <c r="H79" i="12" s="1"/>
  <c r="E16" i="55"/>
  <c r="D79" i="12"/>
  <c r="F79" i="12"/>
  <c r="R79" i="12" a="1"/>
  <c r="K79" i="12" a="1"/>
  <c r="L79" i="12" a="1"/>
  <c r="P79" i="12" a="1"/>
  <c r="O79" i="12" a="1"/>
  <c r="C80" i="12" a="1"/>
  <c r="M79" i="12" a="1"/>
  <c r="E79" i="12" a="1"/>
  <c r="Q79" i="12" a="1"/>
  <c r="O79" i="12" l="1"/>
  <c r="E79" i="12"/>
  <c r="P79" i="12"/>
  <c r="L79" i="12"/>
  <c r="M79" i="12"/>
  <c r="K79" i="12"/>
  <c r="R79" i="12"/>
  <c r="Q79" i="12"/>
  <c r="C80" i="12"/>
  <c r="N79" i="12" a="1"/>
  <c r="G80" i="12" a="1"/>
  <c r="N79" i="12" l="1"/>
  <c r="G80" i="12"/>
  <c r="I80" i="12" a="1"/>
  <c r="D80" i="12" a="1"/>
  <c r="B81" i="12" a="1"/>
  <c r="B81" i="12" l="1"/>
  <c r="D80" i="12"/>
  <c r="I80" i="12"/>
  <c r="H80" i="12" s="1"/>
  <c r="F80" i="12"/>
  <c r="C81" i="12" a="1"/>
  <c r="L80" i="12" a="1"/>
  <c r="Q80" i="12" a="1"/>
  <c r="E80" i="12" a="1"/>
  <c r="O80" i="12" a="1"/>
  <c r="K80" i="12" a="1"/>
  <c r="P80" i="12" a="1"/>
  <c r="M80" i="12" a="1"/>
  <c r="R80" i="12" a="1"/>
  <c r="E80" i="12" l="1"/>
  <c r="Q80" i="12"/>
  <c r="L80" i="12"/>
  <c r="K80" i="12"/>
  <c r="R80" i="12"/>
  <c r="M80" i="12"/>
  <c r="P80" i="12"/>
  <c r="O80" i="12"/>
  <c r="C81" i="12"/>
  <c r="G81" i="12" a="1"/>
  <c r="N80" i="12" a="1"/>
  <c r="N80" i="12" l="1"/>
  <c r="G81" i="12"/>
  <c r="I81" i="12" a="1"/>
  <c r="D81" i="12" a="1"/>
  <c r="B82" i="12" a="1"/>
  <c r="B82" i="12" l="1"/>
  <c r="D81" i="12"/>
  <c r="I81" i="12"/>
  <c r="H81" i="12" s="1"/>
  <c r="F81" i="12"/>
  <c r="O81" i="12" a="1"/>
  <c r="Q81" i="12" a="1"/>
  <c r="E81" i="12" a="1"/>
  <c r="L81" i="12" a="1"/>
  <c r="P81" i="12" a="1"/>
  <c r="C82" i="12" a="1"/>
  <c r="K81" i="12" a="1"/>
  <c r="M81" i="12" a="1"/>
  <c r="R81" i="12" a="1"/>
  <c r="L81" i="12" l="1"/>
  <c r="E81" i="12"/>
  <c r="P81" i="12"/>
  <c r="Q81" i="12"/>
  <c r="O81" i="12"/>
  <c r="R81" i="12"/>
  <c r="M81" i="12"/>
  <c r="K81" i="12"/>
  <c r="C82" i="12"/>
  <c r="N81" i="12" a="1"/>
  <c r="G82" i="12" a="1"/>
  <c r="G82" i="12" l="1"/>
  <c r="N81" i="12"/>
  <c r="B83" i="12" a="1"/>
  <c r="I82" i="12" a="1"/>
  <c r="D82" i="12" a="1"/>
  <c r="D82" i="12" l="1"/>
  <c r="I82" i="12"/>
  <c r="H82" i="12" s="1"/>
  <c r="B83" i="12"/>
  <c r="F82" i="12"/>
  <c r="E82" i="12" a="1"/>
  <c r="L82" i="12" a="1"/>
  <c r="C83" i="12" a="1"/>
  <c r="Q82" i="12" a="1"/>
  <c r="K82" i="12" a="1"/>
  <c r="O82" i="12" a="1"/>
  <c r="R82" i="12" a="1"/>
  <c r="M82" i="12" a="1"/>
  <c r="P82" i="12" a="1"/>
  <c r="C83" i="12" l="1"/>
  <c r="L82" i="12"/>
  <c r="E82" i="12"/>
  <c r="P82" i="12"/>
  <c r="M82" i="12"/>
  <c r="R82" i="12"/>
  <c r="O82" i="12"/>
  <c r="Q82" i="12"/>
  <c r="K82" i="12"/>
  <c r="N82" i="12" a="1"/>
  <c r="G83" i="12" a="1"/>
  <c r="G83" i="12" l="1"/>
  <c r="N82" i="12"/>
  <c r="B84" i="12" a="1"/>
  <c r="I83" i="12" a="1"/>
  <c r="D83" i="12" a="1"/>
  <c r="D83" i="12" l="1"/>
  <c r="I83" i="12"/>
  <c r="H83" i="12" s="1"/>
  <c r="B84" i="12"/>
  <c r="F83" i="12"/>
  <c r="R83" i="12" a="1"/>
  <c r="E83" i="12" a="1"/>
  <c r="L83" i="12" a="1"/>
  <c r="C84" i="12" a="1"/>
  <c r="P83" i="12" a="1"/>
  <c r="M83" i="12" a="1"/>
  <c r="K83" i="12" a="1"/>
  <c r="Q83" i="12" a="1"/>
  <c r="O83" i="12" a="1"/>
  <c r="C84" i="12" l="1"/>
  <c r="L83" i="12"/>
  <c r="E83" i="12"/>
  <c r="O83" i="12"/>
  <c r="Q83" i="12"/>
  <c r="K83" i="12"/>
  <c r="M83" i="12"/>
  <c r="P83" i="12"/>
  <c r="R83" i="12"/>
  <c r="G84" i="12" a="1"/>
  <c r="N83" i="12" a="1"/>
  <c r="G84" i="12" l="1"/>
  <c r="N83" i="12"/>
  <c r="D84" i="12" a="1"/>
  <c r="B85" i="12" a="1"/>
  <c r="I84" i="12" a="1"/>
  <c r="I84" i="12" l="1"/>
  <c r="H84" i="12" s="1"/>
  <c r="B85" i="12"/>
  <c r="D84" i="12"/>
  <c r="F84" i="12"/>
  <c r="K84" i="12" a="1"/>
  <c r="P84" i="12" a="1"/>
  <c r="L84" i="12" a="1"/>
  <c r="O84" i="12" a="1"/>
  <c r="R84" i="12" a="1"/>
  <c r="M84" i="12" a="1"/>
  <c r="E84" i="12" a="1"/>
  <c r="Q84" i="12" a="1"/>
  <c r="C85" i="12" a="1"/>
  <c r="Q84" i="12" l="1"/>
  <c r="E84" i="12"/>
  <c r="M84" i="12"/>
  <c r="R84" i="12"/>
  <c r="O84" i="12"/>
  <c r="L84" i="12"/>
  <c r="P84" i="12"/>
  <c r="K84" i="12"/>
  <c r="C85" i="12"/>
  <c r="G85" i="12" a="1"/>
  <c r="N84" i="12" a="1"/>
  <c r="N84" i="12" l="1"/>
  <c r="G85" i="12"/>
  <c r="B86" i="12" a="1"/>
  <c r="D85" i="12" a="1"/>
  <c r="I85" i="12" a="1"/>
  <c r="I85" i="12" l="1"/>
  <c r="H85" i="12" s="1"/>
  <c r="D85" i="12"/>
  <c r="B86" i="12"/>
  <c r="F85" i="12"/>
  <c r="R85" i="12" a="1"/>
  <c r="P85" i="12" a="1"/>
  <c r="O85" i="12" a="1"/>
  <c r="M85" i="12" a="1"/>
  <c r="L85" i="12" a="1"/>
  <c r="K85" i="12" a="1"/>
  <c r="Q85" i="12" a="1"/>
  <c r="C86" i="12" a="1"/>
  <c r="E85" i="12" a="1"/>
  <c r="C86" i="12" l="1"/>
  <c r="Q85" i="12"/>
  <c r="K85" i="12"/>
  <c r="E85" i="12"/>
  <c r="L85" i="12"/>
  <c r="M85" i="12"/>
  <c r="O85" i="12"/>
  <c r="P85" i="12"/>
  <c r="R85" i="12"/>
  <c r="N85" i="12" a="1"/>
  <c r="G86" i="12" a="1"/>
  <c r="N85" i="12" l="1"/>
  <c r="G86" i="12"/>
  <c r="D86" i="12" a="1"/>
  <c r="B87" i="12" a="1"/>
  <c r="I86" i="12" a="1"/>
  <c r="I86" i="12" l="1"/>
  <c r="H86" i="12" s="1"/>
  <c r="B87" i="12"/>
  <c r="D86" i="12"/>
  <c r="F86" i="12"/>
  <c r="M86" i="12" a="1"/>
  <c r="K86" i="12" a="1"/>
  <c r="Q86" i="12" a="1"/>
  <c r="L86" i="12" a="1"/>
  <c r="C87" i="12" a="1"/>
  <c r="O86" i="12" a="1"/>
  <c r="E86" i="12" a="1"/>
  <c r="P86" i="12" a="1"/>
  <c r="R86" i="12" a="1"/>
  <c r="P86" i="12" l="1"/>
  <c r="E86" i="12"/>
  <c r="O86" i="12"/>
  <c r="L86" i="12"/>
  <c r="Q86" i="12"/>
  <c r="K86" i="12"/>
  <c r="M86" i="12"/>
  <c r="R86" i="12"/>
  <c r="C87" i="12"/>
  <c r="N86" i="12" a="1"/>
  <c r="G87" i="12" a="1"/>
  <c r="G87" i="12" l="1"/>
  <c r="N86" i="12"/>
  <c r="I87" i="12" a="1"/>
  <c r="D87" i="12" a="1"/>
  <c r="B88" i="12" a="1"/>
  <c r="B88" i="12" l="1"/>
  <c r="D87" i="12"/>
  <c r="I87" i="12"/>
  <c r="H87" i="12" s="1"/>
  <c r="F87" i="12"/>
  <c r="R87" i="12" a="1"/>
  <c r="Q87" i="12" a="1"/>
  <c r="O87" i="12" a="1"/>
  <c r="E87" i="12" a="1"/>
  <c r="C88" i="12" a="1"/>
  <c r="P87" i="12" a="1"/>
  <c r="L87" i="12" a="1"/>
  <c r="K87" i="12" a="1"/>
  <c r="M87" i="12" a="1"/>
  <c r="M87" i="12" l="1"/>
  <c r="R87" i="12"/>
  <c r="E87" i="12"/>
  <c r="K87" i="12"/>
  <c r="O87" i="12"/>
  <c r="L87" i="12"/>
  <c r="P87" i="12"/>
  <c r="Q87" i="12"/>
  <c r="C88" i="12"/>
  <c r="G88" i="12" a="1"/>
  <c r="N87" i="12" a="1"/>
  <c r="N87" i="12" l="1"/>
  <c r="G88" i="12"/>
  <c r="D88" i="12" a="1"/>
  <c r="I88" i="12" a="1"/>
  <c r="B89" i="12" a="1"/>
  <c r="B89" i="12" l="1"/>
  <c r="I88" i="12"/>
  <c r="H88" i="12" s="1"/>
  <c r="D88" i="12"/>
  <c r="F88" i="12"/>
  <c r="R88" i="12" a="1"/>
  <c r="C89" i="12" a="1"/>
  <c r="M88" i="12" a="1"/>
  <c r="K88" i="12" a="1"/>
  <c r="E88" i="12" a="1"/>
  <c r="P88" i="12" a="1"/>
  <c r="Q88" i="12" a="1"/>
  <c r="O88" i="12" a="1"/>
  <c r="L88" i="12" a="1"/>
  <c r="L88" i="12" l="1"/>
  <c r="O88" i="12"/>
  <c r="R88" i="12"/>
  <c r="Q88" i="12"/>
  <c r="P88" i="12"/>
  <c r="E88" i="12"/>
  <c r="K88" i="12"/>
  <c r="M88" i="12"/>
  <c r="C89" i="12"/>
  <c r="N88" i="12" a="1"/>
  <c r="G89" i="12" a="1"/>
  <c r="G89" i="12" l="1"/>
  <c r="N88" i="12"/>
  <c r="I89" i="12" a="1"/>
  <c r="D89" i="12" a="1"/>
  <c r="B90" i="12" a="1"/>
  <c r="B90" i="12" l="1"/>
  <c r="D89" i="12"/>
  <c r="I89" i="12"/>
  <c r="H89" i="12" s="1"/>
  <c r="F89" i="12"/>
  <c r="C90" i="12" a="1"/>
  <c r="R89" i="12" a="1"/>
  <c r="K89" i="12" a="1"/>
  <c r="Q89" i="12" a="1"/>
  <c r="E89" i="12" a="1"/>
  <c r="M89" i="12" a="1"/>
  <c r="P89" i="12" a="1"/>
  <c r="L89" i="12" a="1"/>
  <c r="O89" i="12" a="1"/>
  <c r="L89" i="12" l="1"/>
  <c r="P89" i="12"/>
  <c r="M89" i="12"/>
  <c r="E89" i="12"/>
  <c r="O89" i="12"/>
  <c r="Q89" i="12"/>
  <c r="K89" i="12"/>
  <c r="R89" i="12"/>
  <c r="C90" i="12"/>
  <c r="N89" i="12" a="1"/>
  <c r="G90" i="12" a="1"/>
  <c r="G90" i="12" l="1"/>
  <c r="N89" i="12"/>
  <c r="B91" i="12" a="1"/>
  <c r="I90" i="12" a="1"/>
  <c r="D90" i="12" a="1"/>
  <c r="I90" i="12" l="1"/>
  <c r="H90" i="12" s="1"/>
  <c r="D90" i="12"/>
  <c r="B91" i="12"/>
  <c r="F90" i="12"/>
  <c r="K90" i="12" a="1"/>
  <c r="L90" i="12" a="1"/>
  <c r="P90" i="12" a="1"/>
  <c r="R90" i="12" a="1"/>
  <c r="C91" i="12" a="1"/>
  <c r="O90" i="12" a="1"/>
  <c r="Q90" i="12" a="1"/>
  <c r="E90" i="12" a="1"/>
  <c r="M90" i="12" a="1"/>
  <c r="C91" i="12" l="1"/>
  <c r="R90" i="12"/>
  <c r="P90" i="12"/>
  <c r="L90" i="12"/>
  <c r="M90" i="12"/>
  <c r="E90" i="12"/>
  <c r="Q90" i="12"/>
  <c r="O90" i="12"/>
  <c r="K90" i="12"/>
  <c r="G91" i="12" a="1"/>
  <c r="N90" i="12" a="1"/>
  <c r="N90" i="12" l="1"/>
  <c r="G91" i="12"/>
  <c r="B92" i="12" a="1"/>
  <c r="D91" i="12" a="1"/>
  <c r="I91" i="12" a="1"/>
  <c r="I91" i="12" l="1"/>
  <c r="H91" i="12" s="1"/>
  <c r="D91" i="12"/>
  <c r="B92" i="12"/>
  <c r="F91" i="12"/>
  <c r="K91" i="12" a="1"/>
  <c r="R91" i="12" a="1"/>
  <c r="L91" i="12" a="1"/>
  <c r="E91" i="12" a="1"/>
  <c r="Q91" i="12" a="1"/>
  <c r="P91" i="12" a="1"/>
  <c r="M91" i="12" a="1"/>
  <c r="C92" i="12" a="1"/>
  <c r="O91" i="12" a="1"/>
  <c r="C92" i="12" l="1"/>
  <c r="O91" i="12"/>
  <c r="M91" i="12"/>
  <c r="P91" i="12"/>
  <c r="L91" i="12"/>
  <c r="Q91" i="12"/>
  <c r="R91" i="12"/>
  <c r="K91" i="12"/>
  <c r="E91" i="12"/>
  <c r="N91" i="12" a="1"/>
  <c r="G92" i="12" a="1"/>
  <c r="N91" i="12" l="1"/>
  <c r="G92" i="12"/>
  <c r="I92" i="12" a="1"/>
  <c r="B93" i="12" a="1"/>
  <c r="D92" i="12" a="1"/>
  <c r="B93" i="12" l="1"/>
  <c r="D92" i="12"/>
  <c r="I92" i="12"/>
  <c r="H92" i="12" s="1"/>
  <c r="F92" i="12"/>
  <c r="R92" i="12" a="1"/>
  <c r="E92" i="12" a="1"/>
  <c r="P92" i="12" a="1"/>
  <c r="M92" i="12" a="1"/>
  <c r="Q92" i="12" a="1"/>
  <c r="K92" i="12" a="1"/>
  <c r="L92" i="12" a="1"/>
  <c r="O92" i="12" a="1"/>
  <c r="C93" i="12" a="1"/>
  <c r="O92" i="12" l="1"/>
  <c r="L92" i="12"/>
  <c r="K92" i="12"/>
  <c r="Q92" i="12"/>
  <c r="M92" i="12"/>
  <c r="P92" i="12"/>
  <c r="E92" i="12"/>
  <c r="R92" i="12"/>
  <c r="C93" i="12"/>
  <c r="N92" i="12" a="1"/>
  <c r="G93" i="12" a="1"/>
  <c r="N92" i="12" l="1"/>
  <c r="G93" i="12"/>
  <c r="B94" i="12" a="1"/>
  <c r="I93" i="12" a="1"/>
  <c r="D93" i="12" a="1"/>
  <c r="D93" i="12" l="1"/>
  <c r="B94" i="12"/>
  <c r="I93" i="12"/>
  <c r="H93" i="12" s="1"/>
  <c r="F93" i="12"/>
  <c r="K93" i="12" a="1"/>
  <c r="O93" i="12" a="1"/>
  <c r="M93" i="12" a="1"/>
  <c r="L93" i="12" a="1"/>
  <c r="P93" i="12" a="1"/>
  <c r="E93" i="12" a="1"/>
  <c r="C94" i="12" a="1"/>
  <c r="R93" i="12" a="1"/>
  <c r="Q93" i="12" a="1"/>
  <c r="C94" i="12" l="1"/>
  <c r="E93" i="12"/>
  <c r="P93" i="12"/>
  <c r="L93" i="12"/>
  <c r="M93" i="12"/>
  <c r="O93" i="12"/>
  <c r="K93" i="12"/>
  <c r="Q93" i="12"/>
  <c r="R93" i="12"/>
  <c r="N93" i="12" a="1"/>
  <c r="G94" i="12" a="1"/>
  <c r="G94" i="12" l="1"/>
  <c r="N93" i="12"/>
  <c r="D94" i="12" a="1"/>
  <c r="B95" i="12" a="1"/>
  <c r="I94" i="12" a="1"/>
  <c r="I94" i="12" l="1"/>
  <c r="H94" i="12" s="1"/>
  <c r="B95" i="12"/>
  <c r="D94" i="12"/>
  <c r="F94" i="12"/>
  <c r="Q94" i="12" a="1"/>
  <c r="E94" i="12" a="1"/>
  <c r="O94" i="12" a="1"/>
  <c r="M94" i="12" a="1"/>
  <c r="C95" i="12" a="1"/>
  <c r="L94" i="12" a="1"/>
  <c r="K94" i="12" a="1"/>
  <c r="P94" i="12" a="1"/>
  <c r="R94" i="12" a="1"/>
  <c r="O94" i="12" l="1"/>
  <c r="E94" i="12"/>
  <c r="Q94" i="12"/>
  <c r="R94" i="12"/>
  <c r="P94" i="12"/>
  <c r="K94" i="12"/>
  <c r="M94" i="12"/>
  <c r="L94" i="12"/>
  <c r="C95" i="12"/>
  <c r="G95" i="12" a="1"/>
  <c r="N94" i="12" a="1"/>
  <c r="G95" i="12" l="1"/>
  <c r="N94" i="12"/>
  <c r="D95" i="12" a="1"/>
  <c r="B96" i="12" a="1"/>
  <c r="I95" i="12" a="1"/>
  <c r="I95" i="12" l="1"/>
  <c r="H95" i="12" s="1"/>
  <c r="D95" i="12"/>
  <c r="B96" i="12"/>
  <c r="F95" i="12"/>
  <c r="E95" i="12" a="1"/>
  <c r="P95" i="12" a="1"/>
  <c r="O95" i="12" a="1"/>
  <c r="L95" i="12" a="1"/>
  <c r="M95" i="12" a="1"/>
  <c r="R95" i="12" a="1"/>
  <c r="C96" i="12" a="1"/>
  <c r="Q95" i="12" a="1"/>
  <c r="K95" i="12" a="1"/>
  <c r="C96" i="12" l="1"/>
  <c r="R95" i="12"/>
  <c r="M95" i="12"/>
  <c r="L95" i="12"/>
  <c r="O95" i="12"/>
  <c r="P95" i="12"/>
  <c r="E95" i="12"/>
  <c r="K95" i="12"/>
  <c r="Q95" i="12"/>
  <c r="G96" i="12" a="1"/>
  <c r="N95" i="12" a="1"/>
  <c r="N95" i="12" l="1"/>
  <c r="G96" i="12"/>
  <c r="B97" i="12" a="1"/>
  <c r="D96" i="12" a="1"/>
  <c r="I96" i="12" a="1"/>
  <c r="I96" i="12" l="1"/>
  <c r="H96" i="12" s="1"/>
  <c r="D96" i="12"/>
  <c r="B97" i="12"/>
  <c r="F96" i="12"/>
  <c r="L96" i="12" a="1"/>
  <c r="Q96" i="12" a="1"/>
  <c r="O96" i="12" a="1"/>
  <c r="C97" i="12" a="1"/>
  <c r="P96" i="12" a="1"/>
  <c r="R96" i="12" a="1"/>
  <c r="E96" i="12" a="1"/>
  <c r="M96" i="12" a="1"/>
  <c r="K96" i="12" a="1"/>
  <c r="C97" i="12" l="1"/>
  <c r="O96" i="12"/>
  <c r="Q96" i="12"/>
  <c r="L96" i="12"/>
  <c r="K96" i="12"/>
  <c r="M96" i="12"/>
  <c r="E96" i="12"/>
  <c r="R96" i="12"/>
  <c r="P96" i="12"/>
  <c r="G97" i="12" a="1"/>
  <c r="N96" i="12" a="1"/>
  <c r="N96" i="12" l="1"/>
  <c r="G97" i="12"/>
  <c r="I97" i="12" a="1"/>
  <c r="D97" i="12" a="1"/>
  <c r="B98" i="12" a="1"/>
  <c r="B98" i="12" l="1"/>
  <c r="D97" i="12"/>
  <c r="I97" i="12"/>
  <c r="H97" i="12" s="1"/>
  <c r="F97" i="12"/>
  <c r="E97" i="12" a="1"/>
  <c r="P97" i="12" a="1"/>
  <c r="K97" i="12" a="1"/>
  <c r="R97" i="12" a="1"/>
  <c r="C98" i="12" a="1"/>
  <c r="L97" i="12" a="1"/>
  <c r="M97" i="12" a="1"/>
  <c r="O97" i="12" a="1"/>
  <c r="Q97" i="12" a="1"/>
  <c r="E97" i="12" l="1"/>
  <c r="R97" i="12"/>
  <c r="Q97" i="12"/>
  <c r="K97" i="12"/>
  <c r="O97" i="12"/>
  <c r="M97" i="12"/>
  <c r="L97" i="12"/>
  <c r="P97" i="12"/>
  <c r="C98" i="12"/>
  <c r="G98" i="12" a="1"/>
  <c r="N97" i="12" a="1"/>
  <c r="G98" i="12" l="1"/>
  <c r="N97" i="12"/>
  <c r="D98" i="12" a="1"/>
  <c r="B99" i="12" a="1"/>
  <c r="I98" i="12" a="1"/>
  <c r="I98" i="12" l="1"/>
  <c r="H98" i="12" s="1"/>
  <c r="B99" i="12"/>
  <c r="D98" i="12"/>
  <c r="F98" i="12"/>
  <c r="C99" i="12" a="1"/>
  <c r="L98" i="12" a="1"/>
  <c r="Q98" i="12" a="1"/>
  <c r="M98" i="12" a="1"/>
  <c r="E98" i="12" a="1"/>
  <c r="R98" i="12" a="1"/>
  <c r="O98" i="12" a="1"/>
  <c r="K98" i="12" a="1"/>
  <c r="P98" i="12" a="1"/>
  <c r="E98" i="12" l="1"/>
  <c r="K98" i="12"/>
  <c r="O98" i="12"/>
  <c r="P98" i="12"/>
  <c r="M98" i="12"/>
  <c r="Q98" i="12"/>
  <c r="L98" i="12"/>
  <c r="R98" i="12"/>
  <c r="C99" i="12"/>
  <c r="N98" i="12" a="1"/>
  <c r="G99" i="12" a="1"/>
  <c r="G99" i="12" l="1"/>
  <c r="N98" i="12"/>
  <c r="I99" i="12" a="1"/>
  <c r="D99" i="12" a="1"/>
  <c r="B100" i="12" a="1"/>
  <c r="B100" i="12" l="1"/>
  <c r="D99" i="12"/>
  <c r="I99" i="12"/>
  <c r="H99" i="12" s="1"/>
  <c r="F99" i="12"/>
  <c r="E99" i="12" a="1"/>
  <c r="M99" i="12" a="1"/>
  <c r="O99" i="12" a="1"/>
  <c r="P99" i="12" a="1"/>
  <c r="C100" i="12" a="1"/>
  <c r="L99" i="12" a="1"/>
  <c r="K99" i="12" a="1"/>
  <c r="Q99" i="12" a="1"/>
  <c r="R99" i="12" a="1"/>
  <c r="P99" i="12" l="1"/>
  <c r="O99" i="12"/>
  <c r="M99" i="12"/>
  <c r="E99" i="12"/>
  <c r="R99" i="12"/>
  <c r="Q99" i="12"/>
  <c r="K99" i="12"/>
  <c r="L99" i="12"/>
  <c r="C100" i="12"/>
  <c r="N99" i="12" a="1"/>
  <c r="G100" i="12" a="1"/>
  <c r="G100" i="12" l="1"/>
  <c r="N99" i="12"/>
  <c r="I100" i="12" a="1"/>
  <c r="B101" i="12" a="1"/>
  <c r="D100" i="12" a="1"/>
  <c r="D100" i="12" l="1"/>
  <c r="B101" i="12"/>
  <c r="I100" i="12"/>
  <c r="H100" i="12" s="1"/>
  <c r="F100" i="12"/>
  <c r="M100" i="12" a="1"/>
  <c r="R100" i="12" a="1"/>
  <c r="Q100" i="12" a="1"/>
  <c r="C101" i="12" a="1"/>
  <c r="K100" i="12" a="1"/>
  <c r="L100" i="12" a="1"/>
  <c r="P100" i="12" a="1"/>
  <c r="E100" i="12" a="1"/>
  <c r="O100" i="12" a="1"/>
  <c r="C101" i="12" l="1"/>
  <c r="Q100" i="12"/>
  <c r="R100" i="12"/>
  <c r="M100" i="12"/>
  <c r="O100" i="12"/>
  <c r="E100" i="12"/>
  <c r="P100" i="12"/>
  <c r="L100" i="12"/>
  <c r="K100" i="12"/>
  <c r="N100" i="12" a="1"/>
  <c r="G101" i="12" a="1"/>
  <c r="G101" i="12" l="1"/>
  <c r="N100" i="12"/>
  <c r="I101" i="12" a="1"/>
  <c r="D101" i="12" a="1"/>
  <c r="B102" i="12" a="1"/>
  <c r="B102" i="12" l="1"/>
  <c r="I101" i="12"/>
  <c r="H101" i="12" s="1"/>
  <c r="D101" i="12"/>
  <c r="F101" i="12"/>
  <c r="M101" i="12" a="1"/>
  <c r="Q101" i="12" a="1"/>
  <c r="P101" i="12" a="1"/>
  <c r="L101" i="12" a="1"/>
  <c r="C102" i="12" a="1"/>
  <c r="O101" i="12" a="1"/>
  <c r="E101" i="12" a="1"/>
  <c r="R101" i="12" a="1"/>
  <c r="K101" i="12" a="1"/>
  <c r="L101" i="12" l="1"/>
  <c r="P101" i="12"/>
  <c r="Q101" i="12"/>
  <c r="M101" i="12"/>
  <c r="K101" i="12"/>
  <c r="R101" i="12"/>
  <c r="E101" i="12"/>
  <c r="O101" i="12"/>
  <c r="C102" i="12"/>
  <c r="N101" i="12" a="1"/>
  <c r="G102" i="12" a="1"/>
  <c r="G102" i="12" l="1"/>
  <c r="N101" i="12"/>
  <c r="D102" i="12" a="1"/>
  <c r="B103" i="12" a="1"/>
  <c r="I102" i="12" a="1"/>
  <c r="I102" i="12" l="1"/>
  <c r="H102" i="12" s="1"/>
  <c r="B103" i="12"/>
  <c r="D102" i="12"/>
  <c r="F102" i="12"/>
  <c r="C103" i="12" a="1"/>
  <c r="K102" i="12" a="1"/>
  <c r="P102" i="12" a="1"/>
  <c r="L102" i="12" a="1"/>
  <c r="O102" i="12" a="1"/>
  <c r="R102" i="12" a="1"/>
  <c r="Q102" i="12" a="1"/>
  <c r="M102" i="12" a="1"/>
  <c r="E102" i="12" a="1"/>
  <c r="Q102" i="12" l="1"/>
  <c r="R102" i="12"/>
  <c r="O102" i="12"/>
  <c r="L102" i="12"/>
  <c r="P102" i="12"/>
  <c r="K102" i="12"/>
  <c r="E102" i="12"/>
  <c r="M102" i="12"/>
  <c r="C103" i="12"/>
  <c r="N102" i="12" a="1"/>
  <c r="G103" i="12" a="1"/>
  <c r="G103" i="12" l="1"/>
  <c r="N102" i="12"/>
  <c r="D103" i="12" a="1"/>
  <c r="B104" i="12" a="1"/>
  <c r="I103" i="12" a="1"/>
  <c r="I103" i="12" l="1"/>
  <c r="H103" i="12" s="1"/>
  <c r="B104" i="12"/>
  <c r="D103" i="12"/>
  <c r="F103" i="12"/>
  <c r="K103" i="12" a="1"/>
  <c r="Q103" i="12" a="1"/>
  <c r="M103" i="12" a="1"/>
  <c r="E103" i="12" a="1"/>
  <c r="C104" i="12" a="1"/>
  <c r="L103" i="12" a="1"/>
  <c r="R103" i="12" a="1"/>
  <c r="P103" i="12" a="1"/>
  <c r="O103" i="12" a="1"/>
  <c r="E103" i="12" l="1"/>
  <c r="R103" i="12"/>
  <c r="O103" i="12"/>
  <c r="Q103" i="12"/>
  <c r="M103" i="12"/>
  <c r="L103" i="12"/>
  <c r="K103" i="12"/>
  <c r="P103" i="12"/>
  <c r="C104" i="12"/>
  <c r="G104" i="12" a="1"/>
  <c r="N103" i="12" a="1"/>
  <c r="G104" i="12" l="1"/>
  <c r="N103" i="12"/>
  <c r="I104" i="12" a="1"/>
  <c r="D104" i="12" a="1"/>
  <c r="B105" i="12" a="1"/>
  <c r="B105" i="12" l="1"/>
  <c r="D104" i="12"/>
  <c r="I104" i="12"/>
  <c r="H104" i="12" s="1"/>
  <c r="F104" i="12"/>
  <c r="Q104" i="12" a="1"/>
  <c r="C105" i="12" a="1"/>
  <c r="L104" i="12" a="1"/>
  <c r="M104" i="12" a="1"/>
  <c r="R104" i="12" a="1"/>
  <c r="P104" i="12" a="1"/>
  <c r="K104" i="12" a="1"/>
  <c r="O104" i="12" a="1"/>
  <c r="E104" i="12" a="1"/>
  <c r="E104" i="12" l="1"/>
  <c r="O104" i="12"/>
  <c r="K104" i="12"/>
  <c r="Q104" i="12"/>
  <c r="P104" i="12"/>
  <c r="R104" i="12"/>
  <c r="M104" i="12"/>
  <c r="L104" i="12"/>
  <c r="C105" i="12"/>
  <c r="N104" i="12" a="1"/>
  <c r="G105" i="12" a="1"/>
  <c r="N104" i="12" l="1"/>
  <c r="G105" i="12"/>
  <c r="D105" i="12" a="1"/>
  <c r="I105" i="12" a="1"/>
  <c r="B106" i="12" a="1"/>
  <c r="B106" i="12" l="1"/>
  <c r="I105" i="12"/>
  <c r="H105" i="12" s="1"/>
  <c r="D105" i="12"/>
  <c r="F105" i="12"/>
  <c r="C106" i="12" a="1"/>
  <c r="O105" i="12" a="1"/>
  <c r="Q105" i="12" a="1"/>
  <c r="R105" i="12" a="1"/>
  <c r="L105" i="12" a="1"/>
  <c r="E105" i="12" a="1"/>
  <c r="M105" i="12" a="1"/>
  <c r="K105" i="12" a="1"/>
  <c r="P105" i="12" a="1"/>
  <c r="R105" i="12" l="1"/>
  <c r="Q105" i="12"/>
  <c r="O105" i="12"/>
  <c r="P105" i="12"/>
  <c r="K105" i="12"/>
  <c r="M105" i="12"/>
  <c r="E105" i="12"/>
  <c r="L105" i="12"/>
  <c r="C106" i="12"/>
  <c r="N105" i="12" a="1"/>
  <c r="G106" i="12" a="1"/>
  <c r="G106" i="12" l="1"/>
  <c r="N105" i="12"/>
  <c r="D106" i="12" a="1"/>
  <c r="I106" i="12" a="1"/>
  <c r="B107" i="12" a="1"/>
  <c r="B107" i="12" l="1"/>
  <c r="I106" i="12"/>
  <c r="H106" i="12" s="1"/>
  <c r="D106" i="12"/>
  <c r="F106" i="12"/>
  <c r="O106" i="12" a="1"/>
  <c r="L106" i="12" a="1"/>
  <c r="M106" i="12" a="1"/>
  <c r="E106" i="12" a="1"/>
  <c r="R106" i="12" a="1"/>
  <c r="K106" i="12" a="1"/>
  <c r="P106" i="12" a="1"/>
  <c r="C107" i="12" a="1"/>
  <c r="Q106" i="12" a="1"/>
  <c r="P106" i="12" l="1"/>
  <c r="K106" i="12"/>
  <c r="R106" i="12"/>
  <c r="E106" i="12"/>
  <c r="M106" i="12"/>
  <c r="L106" i="12"/>
  <c r="O106" i="12"/>
  <c r="Q106" i="12"/>
  <c r="C107" i="12"/>
  <c r="N106" i="12" a="1"/>
  <c r="G107" i="12" a="1"/>
  <c r="G107" i="12" l="1"/>
  <c r="N106" i="12"/>
  <c r="I107" i="12" a="1"/>
  <c r="D107" i="12" a="1"/>
  <c r="B108" i="12" a="1"/>
  <c r="B108" i="12" l="1"/>
  <c r="D107" i="12"/>
  <c r="I107" i="12"/>
  <c r="H107" i="12" s="1"/>
  <c r="F107" i="12"/>
  <c r="Q107" i="12" a="1"/>
  <c r="E107" i="12" a="1"/>
  <c r="O107" i="12" a="1"/>
  <c r="C108" i="12" a="1"/>
  <c r="R107" i="12" a="1"/>
  <c r="L107" i="12" a="1"/>
  <c r="P107" i="12" a="1"/>
  <c r="M107" i="12" a="1"/>
  <c r="K107" i="12" a="1"/>
  <c r="K107" i="12" l="1"/>
  <c r="O107" i="12"/>
  <c r="M107" i="12"/>
  <c r="P107" i="12"/>
  <c r="L107" i="12"/>
  <c r="E107" i="12"/>
  <c r="R107" i="12"/>
  <c r="Q107" i="12"/>
  <c r="C108" i="12"/>
  <c r="G108" i="12" a="1"/>
  <c r="N107" i="12" a="1"/>
  <c r="N107" i="12" l="1"/>
  <c r="G108" i="12"/>
  <c r="I108" i="12" a="1"/>
  <c r="D108" i="12" a="1"/>
  <c r="B109" i="12" a="1"/>
  <c r="B109" i="12" l="1"/>
  <c r="D108" i="12"/>
  <c r="I108" i="12"/>
  <c r="H108" i="12" s="1"/>
  <c r="F108" i="12"/>
  <c r="E108" i="12" a="1"/>
  <c r="P108" i="12" a="1"/>
  <c r="O108" i="12" a="1"/>
  <c r="R108" i="12" a="1"/>
  <c r="K108" i="12" a="1"/>
  <c r="Q108" i="12" a="1"/>
  <c r="C109" i="12" a="1"/>
  <c r="L108" i="12" a="1"/>
  <c r="M108" i="12" a="1"/>
  <c r="C109" i="12" l="1"/>
  <c r="Q108" i="12"/>
  <c r="M108" i="12"/>
  <c r="K108" i="12"/>
  <c r="L108" i="12"/>
  <c r="R108" i="12"/>
  <c r="O108" i="12"/>
  <c r="P108" i="12"/>
  <c r="E108" i="12"/>
  <c r="N108" i="12" a="1"/>
  <c r="G109" i="12" a="1"/>
  <c r="G109" i="12" l="1"/>
  <c r="N108" i="12"/>
  <c r="B110" i="12" a="1"/>
  <c r="D109" i="12" a="1"/>
  <c r="I109" i="12" a="1"/>
  <c r="I109" i="12" l="1"/>
  <c r="H109" i="12" s="1"/>
  <c r="D109" i="12"/>
  <c r="B110" i="12"/>
  <c r="F109" i="12"/>
  <c r="E109" i="12" a="1"/>
  <c r="O109" i="12" a="1"/>
  <c r="M109" i="12" a="1"/>
  <c r="R109" i="12" a="1"/>
  <c r="Q109" i="12" a="1"/>
  <c r="L109" i="12" a="1"/>
  <c r="K109" i="12" a="1"/>
  <c r="C110" i="12" a="1"/>
  <c r="P109" i="12" a="1"/>
  <c r="C110" i="12" l="1"/>
  <c r="K109" i="12"/>
  <c r="L109" i="12"/>
  <c r="Q109" i="12"/>
  <c r="R109" i="12"/>
  <c r="M109" i="12"/>
  <c r="O109" i="12"/>
  <c r="P109" i="12"/>
  <c r="E109" i="12"/>
  <c r="N109" i="12" a="1"/>
  <c r="G110" i="12" a="1"/>
  <c r="G110" i="12" l="1"/>
  <c r="N109" i="12"/>
  <c r="D110" i="12" a="1"/>
  <c r="B111" i="12" a="1"/>
  <c r="I110" i="12" a="1"/>
  <c r="I110" i="12" l="1"/>
  <c r="H110" i="12" s="1"/>
  <c r="B111" i="12"/>
  <c r="D110" i="12"/>
  <c r="F110" i="12"/>
  <c r="K110" i="12" a="1"/>
  <c r="O110" i="12" a="1"/>
  <c r="L110" i="12" a="1"/>
  <c r="P110" i="12" a="1"/>
  <c r="C111" i="12" a="1"/>
  <c r="M110" i="12" a="1"/>
  <c r="R110" i="12" a="1"/>
  <c r="Q110" i="12" a="1"/>
  <c r="E110" i="12" a="1"/>
  <c r="O110" i="12" l="1"/>
  <c r="K110" i="12"/>
  <c r="P110" i="12"/>
  <c r="E110" i="12"/>
  <c r="L110" i="12"/>
  <c r="Q110" i="12"/>
  <c r="R110" i="12"/>
  <c r="M110" i="12"/>
  <c r="C111" i="12"/>
  <c r="N110" i="12" a="1"/>
  <c r="G111" i="12" a="1"/>
  <c r="N110" i="12" l="1"/>
  <c r="G111" i="12"/>
  <c r="B112" i="12" a="1"/>
  <c r="D111" i="12" a="1"/>
  <c r="I111" i="12" a="1"/>
  <c r="I111" i="12" l="1"/>
  <c r="H111" i="12" s="1"/>
  <c r="D111" i="12"/>
  <c r="B112" i="12"/>
  <c r="F111" i="12"/>
  <c r="P111" i="12" a="1"/>
  <c r="O111" i="12" a="1"/>
  <c r="Q111" i="12" a="1"/>
  <c r="K111" i="12" a="1"/>
  <c r="M111" i="12" a="1"/>
  <c r="E111" i="12" a="1"/>
  <c r="R111" i="12" a="1"/>
  <c r="L111" i="12" a="1"/>
  <c r="C112" i="12" a="1"/>
  <c r="C112" i="12" l="1"/>
  <c r="L111" i="12"/>
  <c r="R111" i="12"/>
  <c r="E111" i="12"/>
  <c r="M111" i="12"/>
  <c r="K111" i="12"/>
  <c r="Q111" i="12"/>
  <c r="O111" i="12"/>
  <c r="P111" i="12"/>
  <c r="G112" i="12" a="1"/>
  <c r="N111" i="12" a="1"/>
  <c r="N111" i="12" l="1"/>
  <c r="G112" i="12"/>
  <c r="D112" i="12" a="1"/>
  <c r="B113" i="12" a="1"/>
  <c r="I112" i="12" a="1"/>
  <c r="B113" i="12" l="1"/>
  <c r="I112" i="12"/>
  <c r="H112" i="12" s="1"/>
  <c r="D112" i="12"/>
  <c r="F112" i="12"/>
  <c r="C113" i="12" a="1"/>
  <c r="O112" i="12" a="1"/>
  <c r="Q112" i="12" a="1"/>
  <c r="K112" i="12" a="1"/>
  <c r="L112" i="12" a="1"/>
  <c r="E112" i="12" a="1"/>
  <c r="P112" i="12" a="1"/>
  <c r="R112" i="12" a="1"/>
  <c r="M112" i="12" a="1"/>
  <c r="M112" i="12" l="1"/>
  <c r="R112" i="12"/>
  <c r="P112" i="12"/>
  <c r="E112" i="12"/>
  <c r="L112" i="12"/>
  <c r="K112" i="12"/>
  <c r="Q112" i="12"/>
  <c r="O112" i="12"/>
  <c r="C113" i="12"/>
  <c r="N112" i="12" a="1"/>
  <c r="G113" i="12" a="1"/>
  <c r="G113" i="12" l="1"/>
  <c r="N112" i="12"/>
  <c r="B114" i="12" a="1"/>
  <c r="I113" i="12" a="1"/>
  <c r="D113" i="12" a="1"/>
  <c r="I113" i="12" l="1"/>
  <c r="H113" i="12" s="1"/>
  <c r="D113" i="12"/>
  <c r="B114" i="12"/>
  <c r="F113" i="12"/>
  <c r="P113" i="12" a="1"/>
  <c r="O113" i="12" a="1"/>
  <c r="E113" i="12" a="1"/>
  <c r="L113" i="12" a="1"/>
  <c r="R113" i="12" a="1"/>
  <c r="K113" i="12" a="1"/>
  <c r="Q113" i="12" a="1"/>
  <c r="M113" i="12" a="1"/>
  <c r="C114" i="12" a="1"/>
  <c r="C114" i="12" l="1"/>
  <c r="K113" i="12"/>
  <c r="M113" i="12"/>
  <c r="R113" i="12"/>
  <c r="L113" i="12"/>
  <c r="E113" i="12"/>
  <c r="O113" i="12"/>
  <c r="Q113" i="12"/>
  <c r="P113" i="12"/>
  <c r="N113" i="12" a="1"/>
  <c r="G114" i="12" a="1"/>
  <c r="G114" i="12" l="1"/>
  <c r="N113" i="12"/>
  <c r="I114" i="12" a="1"/>
  <c r="D114" i="12" a="1"/>
  <c r="B115" i="12" a="1"/>
  <c r="D114" i="12" l="1"/>
  <c r="B115" i="12"/>
  <c r="I114" i="12"/>
  <c r="H114" i="12" s="1"/>
  <c r="F114" i="12"/>
  <c r="E114" i="12" a="1"/>
  <c r="M114" i="12" a="1"/>
  <c r="R114" i="12" a="1"/>
  <c r="C115" i="12" a="1"/>
  <c r="L114" i="12" a="1"/>
  <c r="Q114" i="12" a="1"/>
  <c r="P114" i="12" a="1"/>
  <c r="O114" i="12" a="1"/>
  <c r="K114" i="12" a="1"/>
  <c r="C115" i="12" l="1"/>
  <c r="Q114" i="12"/>
  <c r="R114" i="12"/>
  <c r="M114" i="12"/>
  <c r="L114" i="12"/>
  <c r="E114" i="12"/>
  <c r="K114" i="12"/>
  <c r="O114" i="12"/>
  <c r="P114" i="12"/>
  <c r="N114" i="12" a="1"/>
  <c r="G115" i="12" a="1"/>
  <c r="G115" i="12" l="1"/>
  <c r="N114" i="12"/>
  <c r="I115" i="12" a="1"/>
  <c r="B116" i="12" a="1"/>
  <c r="D115" i="12" a="1"/>
  <c r="D115" i="12" l="1"/>
  <c r="B116" i="12"/>
  <c r="I115" i="12"/>
  <c r="H115" i="12" s="1"/>
  <c r="F115" i="12"/>
  <c r="R115" i="12" a="1"/>
  <c r="E115" i="12" a="1"/>
  <c r="K115" i="12" a="1"/>
  <c r="M115" i="12" a="1"/>
  <c r="P115" i="12" a="1"/>
  <c r="O115" i="12" a="1"/>
  <c r="L115" i="12" a="1"/>
  <c r="Q115" i="12" a="1"/>
  <c r="C116" i="12" a="1"/>
  <c r="C116" i="12" l="1"/>
  <c r="Q115" i="12"/>
  <c r="L115" i="12"/>
  <c r="O115" i="12"/>
  <c r="P115" i="12"/>
  <c r="M115" i="12"/>
  <c r="R115" i="12"/>
  <c r="K115" i="12"/>
  <c r="E115" i="12"/>
  <c r="G116" i="12" a="1"/>
  <c r="N115" i="12" a="1"/>
  <c r="N115" i="12" l="1"/>
  <c r="G116" i="12"/>
  <c r="I116" i="12" a="1"/>
  <c r="D116" i="12" a="1"/>
  <c r="B117" i="12" a="1"/>
  <c r="B117" i="12" l="1"/>
  <c r="D116" i="12"/>
  <c r="I116" i="12"/>
  <c r="H116" i="12" s="1"/>
  <c r="F116" i="12"/>
  <c r="C117" i="12" a="1"/>
  <c r="Q116" i="12" a="1"/>
  <c r="R116" i="12" a="1"/>
  <c r="L116" i="12" a="1"/>
  <c r="K116" i="12" a="1"/>
  <c r="E116" i="12" a="1"/>
  <c r="P116" i="12" a="1"/>
  <c r="M116" i="12" a="1"/>
  <c r="O116" i="12" a="1"/>
  <c r="P116" i="12" l="1"/>
  <c r="E116" i="12"/>
  <c r="O116" i="12"/>
  <c r="K116" i="12"/>
  <c r="L116" i="12"/>
  <c r="R116" i="12"/>
  <c r="M116" i="12"/>
  <c r="Q116" i="12"/>
  <c r="C117" i="12"/>
  <c r="N116" i="12" a="1"/>
  <c r="G117" i="12" a="1"/>
  <c r="N116" i="12" l="1"/>
  <c r="G117" i="12"/>
  <c r="B118" i="12" a="1"/>
  <c r="I117" i="12" a="1"/>
  <c r="D117" i="12" a="1"/>
  <c r="D117" i="12" l="1"/>
  <c r="B118" i="12"/>
  <c r="I117" i="12"/>
  <c r="H117" i="12" s="1"/>
  <c r="F117" i="12"/>
  <c r="M117" i="12" a="1"/>
  <c r="Q117" i="12" a="1"/>
  <c r="K117" i="12" a="1"/>
  <c r="C118" i="12" a="1"/>
  <c r="O117" i="12" a="1"/>
  <c r="L117" i="12" a="1"/>
  <c r="E117" i="12" a="1"/>
  <c r="R117" i="12" a="1"/>
  <c r="P117" i="12" a="1"/>
  <c r="C118" i="12" l="1"/>
  <c r="K117" i="12"/>
  <c r="Q117" i="12"/>
  <c r="M117" i="12"/>
  <c r="P117" i="12"/>
  <c r="R117" i="12"/>
  <c r="E117" i="12"/>
  <c r="L117" i="12"/>
  <c r="O117" i="12"/>
  <c r="N117" i="12" a="1"/>
  <c r="G118" i="12" a="1"/>
  <c r="G118" i="12" l="1"/>
  <c r="N117" i="12"/>
  <c r="B119" i="12" a="1"/>
  <c r="D118" i="12" a="1"/>
  <c r="I118" i="12" a="1"/>
  <c r="D118" i="12" l="1"/>
  <c r="B119" i="12"/>
  <c r="I118" i="12"/>
  <c r="H118" i="12" s="1"/>
  <c r="F118" i="12"/>
  <c r="K118" i="12" a="1"/>
  <c r="L118" i="12" a="1"/>
  <c r="M118" i="12" a="1"/>
  <c r="C119" i="12" a="1"/>
  <c r="E118" i="12" a="1"/>
  <c r="P118" i="12" a="1"/>
  <c r="O118" i="12" a="1"/>
  <c r="Q118" i="12" a="1"/>
  <c r="R118" i="12" a="1"/>
  <c r="C119" i="12" l="1"/>
  <c r="M118" i="12"/>
  <c r="O118" i="12"/>
  <c r="L118" i="12"/>
  <c r="K118" i="12"/>
  <c r="R118" i="12"/>
  <c r="P118" i="12"/>
  <c r="E118" i="12"/>
  <c r="Q118" i="12"/>
  <c r="G119" i="12" a="1"/>
  <c r="N118" i="12" a="1"/>
  <c r="N118" i="12" l="1"/>
  <c r="G119" i="12"/>
  <c r="I119" i="12" a="1"/>
  <c r="D119" i="12" a="1"/>
  <c r="B120" i="12" a="1"/>
  <c r="B120" i="12" l="1"/>
  <c r="I119" i="12"/>
  <c r="H119" i="12" s="1"/>
  <c r="D119" i="12"/>
  <c r="F119" i="12"/>
  <c r="O119" i="12" a="1"/>
  <c r="C120" i="12" a="1"/>
  <c r="L119" i="12" a="1"/>
  <c r="E119" i="12" a="1"/>
  <c r="R119" i="12" a="1"/>
  <c r="M119" i="12" a="1"/>
  <c r="P119" i="12" a="1"/>
  <c r="Q119" i="12" a="1"/>
  <c r="K119" i="12" a="1"/>
  <c r="K119" i="12" l="1"/>
  <c r="Q119" i="12"/>
  <c r="O119" i="12"/>
  <c r="P119" i="12"/>
  <c r="M119" i="12"/>
  <c r="R119" i="12"/>
  <c r="E119" i="12"/>
  <c r="L119" i="12"/>
  <c r="C120" i="12"/>
  <c r="G120" i="12" a="1"/>
  <c r="N119" i="12" a="1"/>
  <c r="G120" i="12" l="1"/>
  <c r="N119" i="12"/>
  <c r="I120" i="12" a="1"/>
  <c r="D120" i="12" a="1"/>
  <c r="B121" i="12" a="1"/>
  <c r="B121" i="12" l="1"/>
  <c r="D120" i="12"/>
  <c r="I120" i="12"/>
  <c r="H120" i="12" s="1"/>
  <c r="F120" i="12"/>
  <c r="E120" i="12" a="1"/>
  <c r="L120" i="12" a="1"/>
  <c r="C121" i="12" a="1"/>
  <c r="Q120" i="12" a="1"/>
  <c r="O120" i="12" a="1"/>
  <c r="K120" i="12" a="1"/>
  <c r="R120" i="12" a="1"/>
  <c r="M120" i="12" a="1"/>
  <c r="P120" i="12" a="1"/>
  <c r="C121" i="12" l="1"/>
  <c r="E120" i="12"/>
  <c r="L120" i="12"/>
  <c r="P120" i="12"/>
  <c r="M120" i="12"/>
  <c r="R120" i="12"/>
  <c r="K120" i="12"/>
  <c r="O120" i="12"/>
  <c r="Q120" i="12"/>
  <c r="N120" i="12" a="1"/>
  <c r="G121" i="12" a="1"/>
  <c r="N120" i="12" l="1"/>
  <c r="G121" i="12"/>
  <c r="B122" i="12" a="1"/>
  <c r="D121" i="12" a="1"/>
  <c r="I121" i="12" a="1"/>
  <c r="I121" i="12" l="1"/>
  <c r="H121" i="12" s="1"/>
  <c r="D121" i="12"/>
  <c r="B122" i="12"/>
  <c r="F121" i="12"/>
  <c r="Q121" i="12" a="1"/>
  <c r="M121" i="12" a="1"/>
  <c r="R121" i="12" a="1"/>
  <c r="L121" i="12" a="1"/>
  <c r="P121" i="12" a="1"/>
  <c r="K121" i="12" a="1"/>
  <c r="O121" i="12" a="1"/>
  <c r="E121" i="12" a="1"/>
  <c r="C122" i="12" a="1"/>
  <c r="C122" i="12" l="1"/>
  <c r="E121" i="12"/>
  <c r="O121" i="12"/>
  <c r="K121" i="12"/>
  <c r="P121" i="12"/>
  <c r="L121" i="12"/>
  <c r="R121" i="12"/>
  <c r="M121" i="12"/>
  <c r="Q121" i="12"/>
  <c r="G122" i="12" a="1"/>
  <c r="N121" i="12" a="1"/>
  <c r="G122" i="12" l="1"/>
  <c r="N121" i="12"/>
  <c r="I122" i="12" a="1"/>
  <c r="D122" i="12" a="1"/>
  <c r="B123" i="12" a="1"/>
  <c r="B123" i="12" l="1"/>
  <c r="D122" i="12"/>
  <c r="I122" i="12"/>
  <c r="H122" i="12" s="1"/>
  <c r="F122" i="12"/>
  <c r="M122" i="12" a="1"/>
  <c r="K122" i="12" a="1"/>
  <c r="Q122" i="12" a="1"/>
  <c r="R122" i="12" a="1"/>
  <c r="C123" i="12" a="1"/>
  <c r="P122" i="12" a="1"/>
  <c r="E122" i="12" a="1"/>
  <c r="L122" i="12" a="1"/>
  <c r="O122" i="12" a="1"/>
  <c r="R122" i="12" l="1"/>
  <c r="Q122" i="12"/>
  <c r="K122" i="12"/>
  <c r="M122" i="12"/>
  <c r="O122" i="12"/>
  <c r="L122" i="12"/>
  <c r="E122" i="12"/>
  <c r="P122" i="12"/>
  <c r="C123" i="12"/>
  <c r="N122" i="12" a="1"/>
  <c r="G123" i="12" a="1"/>
  <c r="G123" i="12" l="1"/>
  <c r="N122" i="12"/>
  <c r="D123" i="12" a="1"/>
  <c r="I123" i="12" a="1"/>
  <c r="B124" i="12" a="1"/>
  <c r="B124" i="12" l="1"/>
  <c r="D123" i="12"/>
  <c r="I123" i="12"/>
  <c r="H123" i="12" s="1"/>
  <c r="F123" i="12"/>
  <c r="C124" i="12" a="1"/>
  <c r="L123" i="12" a="1"/>
  <c r="R123" i="12" a="1"/>
  <c r="E123" i="12" a="1"/>
  <c r="O123" i="12" a="1"/>
  <c r="P123" i="12" a="1"/>
  <c r="M123" i="12" a="1"/>
  <c r="Q123" i="12" a="1"/>
  <c r="K123" i="12" a="1"/>
  <c r="K123" i="12" l="1"/>
  <c r="Q123" i="12"/>
  <c r="M123" i="12"/>
  <c r="P123" i="12"/>
  <c r="O123" i="12"/>
  <c r="E123" i="12"/>
  <c r="R123" i="12"/>
  <c r="L123" i="12"/>
  <c r="C124" i="12"/>
  <c r="G124" i="12" a="1"/>
  <c r="N123" i="12" a="1"/>
  <c r="G124" i="12" l="1"/>
  <c r="N123" i="12"/>
  <c r="B125" i="12" a="1"/>
  <c r="I124" i="12" a="1"/>
  <c r="D124" i="12" a="1"/>
  <c r="D124" i="12" l="1"/>
  <c r="I124" i="12"/>
  <c r="H124" i="12" s="1"/>
  <c r="B125" i="12"/>
  <c r="F124" i="12"/>
  <c r="Q124" i="12" a="1"/>
  <c r="O124" i="12" a="1"/>
  <c r="M124" i="12" a="1"/>
  <c r="P124" i="12" a="1"/>
  <c r="R124" i="12" a="1"/>
  <c r="E124" i="12" a="1"/>
  <c r="L124" i="12" a="1"/>
  <c r="C125" i="12" a="1"/>
  <c r="K124" i="12" a="1"/>
  <c r="C125" i="12" l="1"/>
  <c r="L124" i="12"/>
  <c r="E124" i="12"/>
  <c r="P124" i="12"/>
  <c r="M124" i="12"/>
  <c r="O124" i="12"/>
  <c r="R124" i="12"/>
  <c r="Q124" i="12"/>
  <c r="K124" i="12"/>
  <c r="G125" i="12" a="1"/>
  <c r="N124" i="12" a="1"/>
  <c r="N124" i="12" l="1"/>
  <c r="G125" i="12"/>
  <c r="B126" i="12" a="1"/>
  <c r="I125" i="12" a="1"/>
  <c r="D125" i="12" a="1"/>
  <c r="D125" i="12" l="1"/>
  <c r="I125" i="12"/>
  <c r="H125" i="12" s="1"/>
  <c r="B126" i="12"/>
  <c r="F125" i="12"/>
  <c r="Q125" i="12" a="1"/>
  <c r="C126" i="12" a="1"/>
  <c r="O125" i="12" a="1"/>
  <c r="M125" i="12" a="1"/>
  <c r="K125" i="12" a="1"/>
  <c r="E125" i="12" a="1"/>
  <c r="P125" i="12" a="1"/>
  <c r="L125" i="12" a="1"/>
  <c r="R125" i="12" a="1"/>
  <c r="C126" i="12" l="1"/>
  <c r="E125" i="12"/>
  <c r="Q125" i="12"/>
  <c r="L125" i="12"/>
  <c r="K125" i="12"/>
  <c r="P125" i="12"/>
  <c r="M125" i="12"/>
  <c r="O125" i="12"/>
  <c r="R125" i="12"/>
  <c r="N125" i="12" a="1"/>
  <c r="G126" i="12" a="1"/>
  <c r="N125" i="12" l="1"/>
  <c r="G126" i="12"/>
  <c r="B127" i="12" a="1"/>
  <c r="D126" i="12" a="1"/>
  <c r="I126" i="12" a="1"/>
  <c r="B127" i="12" l="1"/>
  <c r="I126" i="12"/>
  <c r="H126" i="12" s="1"/>
  <c r="D126" i="12"/>
  <c r="F126" i="12"/>
  <c r="C127" i="12" a="1"/>
  <c r="M126" i="12" a="1"/>
  <c r="O126" i="12" a="1"/>
  <c r="R126" i="12" a="1"/>
  <c r="P126" i="12" a="1"/>
  <c r="L126" i="12" a="1"/>
  <c r="K126" i="12" a="1"/>
  <c r="Q126" i="12" a="1"/>
  <c r="E126" i="12" a="1"/>
  <c r="E126" i="12" l="1"/>
  <c r="Q126" i="12"/>
  <c r="K126" i="12"/>
  <c r="L126" i="12"/>
  <c r="P126" i="12"/>
  <c r="R126" i="12"/>
  <c r="O126" i="12"/>
  <c r="M126" i="12"/>
  <c r="C127" i="12"/>
  <c r="N126" i="12" a="1"/>
  <c r="G127" i="12" a="1"/>
  <c r="G127" i="12" l="1"/>
  <c r="N126" i="12"/>
  <c r="D127" i="12" a="1"/>
  <c r="B128" i="12" a="1"/>
  <c r="I127" i="12" a="1"/>
  <c r="B128" i="12" l="1"/>
  <c r="I127" i="12"/>
  <c r="H127" i="12" s="1"/>
  <c r="D127" i="12"/>
  <c r="F127" i="12"/>
  <c r="O127" i="12" a="1"/>
  <c r="C128" i="12" a="1"/>
  <c r="E127" i="12" a="1"/>
  <c r="P127" i="12" a="1"/>
  <c r="R127" i="12" a="1"/>
  <c r="Q127" i="12" a="1"/>
  <c r="M127" i="12" a="1"/>
  <c r="L127" i="12" a="1"/>
  <c r="K127" i="12" a="1"/>
  <c r="Q127" i="12" l="1"/>
  <c r="R127" i="12"/>
  <c r="P127" i="12"/>
  <c r="E127" i="12"/>
  <c r="K127" i="12"/>
  <c r="L127" i="12"/>
  <c r="M127" i="12"/>
  <c r="O127" i="12"/>
  <c r="C128" i="12"/>
  <c r="N127" i="12" a="1"/>
  <c r="G128" i="12" a="1"/>
  <c r="N127" i="12" l="1"/>
  <c r="G128" i="12"/>
  <c r="B129" i="12" a="1"/>
  <c r="D128" i="12" a="1"/>
  <c r="I128" i="12" a="1"/>
  <c r="D128" i="12" l="1"/>
  <c r="I128" i="12"/>
  <c r="H128" i="12" s="1"/>
  <c r="B129" i="12"/>
  <c r="F128" i="12"/>
  <c r="P128" i="12" a="1"/>
  <c r="K128" i="12" a="1"/>
  <c r="O128" i="12" a="1"/>
  <c r="Q128" i="12" a="1"/>
  <c r="C129" i="12" a="1"/>
  <c r="E128" i="12" a="1"/>
  <c r="M128" i="12" a="1"/>
  <c r="L128" i="12" a="1"/>
  <c r="R128" i="12" a="1"/>
  <c r="C129" i="12" l="1"/>
  <c r="R128" i="12"/>
  <c r="L128" i="12"/>
  <c r="Q128" i="12"/>
  <c r="O128" i="12"/>
  <c r="M128" i="12"/>
  <c r="K128" i="12"/>
  <c r="P128" i="12"/>
  <c r="E128" i="12"/>
  <c r="N128" i="12" a="1"/>
  <c r="G129" i="12" a="1"/>
  <c r="G129" i="12" l="1"/>
  <c r="N128" i="12"/>
  <c r="D129" i="12" a="1"/>
  <c r="I129" i="12" a="1"/>
  <c r="B130" i="12" a="1"/>
  <c r="B130" i="12" l="1"/>
  <c r="D129" i="12"/>
  <c r="I129" i="12"/>
  <c r="H129" i="12" s="1"/>
  <c r="F129" i="12"/>
  <c r="Q129" i="12" a="1"/>
  <c r="R129" i="12" a="1"/>
  <c r="M129" i="12" a="1"/>
  <c r="E129" i="12" a="1"/>
  <c r="C130" i="12" a="1"/>
  <c r="O129" i="12" a="1"/>
  <c r="L129" i="12" a="1"/>
  <c r="K129" i="12" a="1"/>
  <c r="P129" i="12" a="1"/>
  <c r="E129" i="12" l="1"/>
  <c r="M129" i="12"/>
  <c r="R129" i="12"/>
  <c r="Q129" i="12"/>
  <c r="P129" i="12"/>
  <c r="K129" i="12"/>
  <c r="L129" i="12"/>
  <c r="O129" i="12"/>
  <c r="C130" i="12"/>
  <c r="N129" i="12" a="1"/>
  <c r="G130" i="12" a="1"/>
  <c r="G130" i="12" l="1"/>
  <c r="N129" i="12"/>
  <c r="I130" i="12" a="1"/>
  <c r="B131" i="12" a="1"/>
  <c r="D130" i="12" a="1"/>
  <c r="D130" i="12" l="1"/>
  <c r="B131" i="12"/>
  <c r="I130" i="12"/>
  <c r="H130" i="12" s="1"/>
  <c r="F130" i="12"/>
  <c r="E130" i="12" a="1"/>
  <c r="O130" i="12" a="1"/>
  <c r="K130" i="12" a="1"/>
  <c r="P130" i="12" a="1"/>
  <c r="C131" i="12" a="1"/>
  <c r="R130" i="12" a="1"/>
  <c r="L130" i="12" a="1"/>
  <c r="Q130" i="12" a="1"/>
  <c r="M130" i="12" a="1"/>
  <c r="C131" i="12" l="1"/>
  <c r="P130" i="12"/>
  <c r="K130" i="12"/>
  <c r="O130" i="12"/>
  <c r="M130" i="12"/>
  <c r="Q130" i="12"/>
  <c r="L130" i="12"/>
  <c r="R130" i="12"/>
  <c r="E130" i="12"/>
  <c r="G131" i="12" a="1"/>
  <c r="N130" i="12" a="1"/>
  <c r="G131" i="12" l="1"/>
  <c r="N130" i="12"/>
  <c r="B132" i="12" a="1"/>
  <c r="D131" i="12" a="1"/>
  <c r="I131" i="12" a="1"/>
  <c r="I131" i="12" l="1"/>
  <c r="H131" i="12" s="1"/>
  <c r="D131" i="12"/>
  <c r="B132" i="12"/>
  <c r="F131" i="12"/>
  <c r="E131" i="12" a="1"/>
  <c r="P131" i="12" a="1"/>
  <c r="M131" i="12" a="1"/>
  <c r="O131" i="12" a="1"/>
  <c r="R131" i="12" a="1"/>
  <c r="L131" i="12" a="1"/>
  <c r="Q131" i="12" a="1"/>
  <c r="K131" i="12" a="1"/>
  <c r="C132" i="12" a="1"/>
  <c r="C132" i="12" l="1"/>
  <c r="K131" i="12"/>
  <c r="Q131" i="12"/>
  <c r="L131" i="12"/>
  <c r="R131" i="12"/>
  <c r="O131" i="12"/>
  <c r="M131" i="12"/>
  <c r="P131" i="12"/>
  <c r="E131" i="12"/>
  <c r="G132" i="12" a="1"/>
  <c r="N131" i="12" a="1"/>
  <c r="N131" i="12" l="1"/>
  <c r="G132" i="12"/>
  <c r="D132" i="12" a="1"/>
  <c r="B133" i="12" a="1"/>
  <c r="I132" i="12" a="1"/>
  <c r="B133" i="12" l="1"/>
  <c r="I132" i="12"/>
  <c r="H132" i="12" s="1"/>
  <c r="D132" i="12"/>
  <c r="F132" i="12"/>
  <c r="C133" i="12" a="1"/>
  <c r="O132" i="12" a="1"/>
  <c r="Q132" i="12" a="1"/>
  <c r="L132" i="12" a="1"/>
  <c r="P132" i="12" a="1"/>
  <c r="E132" i="12" a="1"/>
  <c r="R132" i="12" a="1"/>
  <c r="K132" i="12" a="1"/>
  <c r="M132" i="12" a="1"/>
  <c r="K132" i="12" l="1"/>
  <c r="R132" i="12"/>
  <c r="E132" i="12"/>
  <c r="P132" i="12"/>
  <c r="L132" i="12"/>
  <c r="M132" i="12"/>
  <c r="Q132" i="12"/>
  <c r="O132" i="12"/>
  <c r="C133" i="12"/>
  <c r="G133" i="12" a="1"/>
  <c r="N132" i="12" a="1"/>
  <c r="N132" i="12" l="1"/>
  <c r="G133" i="12"/>
  <c r="B134" i="12" a="1"/>
  <c r="D133" i="12" a="1"/>
  <c r="I133" i="12" a="1"/>
  <c r="I133" i="12" l="1"/>
  <c r="H133" i="12" s="1"/>
  <c r="D133" i="12"/>
  <c r="B134" i="12"/>
  <c r="F133" i="12"/>
  <c r="M133" i="12" a="1"/>
  <c r="C134" i="12" a="1"/>
  <c r="P133" i="12" a="1"/>
  <c r="K133" i="12" a="1"/>
  <c r="E133" i="12" a="1"/>
  <c r="R133" i="12" a="1"/>
  <c r="Q133" i="12" a="1"/>
  <c r="O133" i="12" a="1"/>
  <c r="L133" i="12" a="1"/>
  <c r="C134" i="12" l="1"/>
  <c r="M133" i="12"/>
  <c r="L133" i="12"/>
  <c r="O133" i="12"/>
  <c r="Q133" i="12"/>
  <c r="R133" i="12"/>
  <c r="E133" i="12"/>
  <c r="K133" i="12"/>
  <c r="P133" i="12"/>
  <c r="N133" i="12" a="1"/>
  <c r="G134" i="12" a="1"/>
  <c r="G134" i="12" l="1"/>
  <c r="N133" i="12"/>
  <c r="D134" i="12" a="1"/>
  <c r="B135" i="12" a="1"/>
  <c r="I134" i="12" a="1"/>
  <c r="I134" i="12" l="1"/>
  <c r="H134" i="12" s="1"/>
  <c r="B135" i="12"/>
  <c r="D134" i="12"/>
  <c r="F134" i="12"/>
  <c r="C135" i="12" a="1"/>
  <c r="K134" i="12" a="1"/>
  <c r="L134" i="12" a="1"/>
  <c r="Q134" i="12" a="1"/>
  <c r="P134" i="12" a="1"/>
  <c r="M134" i="12" a="1"/>
  <c r="E134" i="12" a="1"/>
  <c r="R134" i="12" a="1"/>
  <c r="O134" i="12" a="1"/>
  <c r="E134" i="12" l="1"/>
  <c r="M134" i="12"/>
  <c r="P134" i="12"/>
  <c r="O134" i="12"/>
  <c r="R134" i="12"/>
  <c r="Q134" i="12"/>
  <c r="L134" i="12"/>
  <c r="K134" i="12"/>
  <c r="C135" i="12"/>
  <c r="G135" i="12" a="1"/>
  <c r="N134" i="12" a="1"/>
  <c r="N134" i="12" l="1"/>
  <c r="G135" i="12"/>
  <c r="D135" i="12" a="1"/>
  <c r="I135" i="12" a="1"/>
  <c r="B136" i="12" a="1"/>
  <c r="B136" i="12" l="1"/>
  <c r="I135" i="12"/>
  <c r="H135" i="12" s="1"/>
  <c r="D135" i="12"/>
  <c r="F135" i="12"/>
  <c r="E135" i="12" a="1"/>
  <c r="Q135" i="12" a="1"/>
  <c r="C136" i="12" a="1"/>
  <c r="L135" i="12" a="1"/>
  <c r="R135" i="12" a="1"/>
  <c r="O135" i="12" a="1"/>
  <c r="P135" i="12" a="1"/>
  <c r="K135" i="12" a="1"/>
  <c r="M135" i="12" a="1"/>
  <c r="Q135" i="12" l="1"/>
  <c r="E135" i="12"/>
  <c r="K135" i="12"/>
  <c r="M135" i="12"/>
  <c r="P135" i="12"/>
  <c r="O135" i="12"/>
  <c r="R135" i="12"/>
  <c r="L135" i="12"/>
  <c r="C136" i="12"/>
  <c r="N135" i="12" a="1"/>
  <c r="G136" i="12" a="1"/>
  <c r="G136" i="12" l="1"/>
  <c r="N135" i="12"/>
  <c r="B137" i="12" a="1"/>
  <c r="D136" i="12" a="1"/>
  <c r="I136" i="12" a="1"/>
  <c r="B137" i="12" l="1"/>
  <c r="I136" i="12"/>
  <c r="H136" i="12" s="1"/>
  <c r="D136" i="12"/>
  <c r="F136" i="12"/>
  <c r="C137" i="12" a="1"/>
  <c r="K136" i="12" a="1"/>
  <c r="E136" i="12" a="1"/>
  <c r="O136" i="12" a="1"/>
  <c r="L136" i="12" a="1"/>
  <c r="P136" i="12" a="1"/>
  <c r="M136" i="12" a="1"/>
  <c r="R136" i="12" a="1"/>
  <c r="Q136" i="12" a="1"/>
  <c r="O136" i="12" l="1"/>
  <c r="E136" i="12"/>
  <c r="K136" i="12"/>
  <c r="Q136" i="12"/>
  <c r="R136" i="12"/>
  <c r="M136" i="12"/>
  <c r="P136" i="12"/>
  <c r="L136" i="12"/>
  <c r="C137" i="12"/>
  <c r="G137" i="12" a="1"/>
  <c r="N136" i="12" a="1"/>
  <c r="G137" i="12" l="1"/>
  <c r="N136" i="12"/>
  <c r="B138" i="12" a="1"/>
  <c r="D137" i="12" a="1"/>
  <c r="I137" i="12" a="1"/>
  <c r="I137" i="12" l="1"/>
  <c r="H137" i="12" s="1"/>
  <c r="B138" i="12"/>
  <c r="D137" i="12"/>
  <c r="F137" i="12"/>
  <c r="O137" i="12" a="1"/>
  <c r="E137" i="12" a="1"/>
  <c r="K137" i="12" a="1"/>
  <c r="M137" i="12" a="1"/>
  <c r="C138" i="12" a="1"/>
  <c r="R137" i="12" a="1"/>
  <c r="L137" i="12" a="1"/>
  <c r="P137" i="12" a="1"/>
  <c r="Q137" i="12" a="1"/>
  <c r="P137" i="12" l="1"/>
  <c r="L137" i="12"/>
  <c r="R137" i="12"/>
  <c r="M137" i="12"/>
  <c r="K137" i="12"/>
  <c r="E137" i="12"/>
  <c r="O137" i="12"/>
  <c r="Q137" i="12"/>
  <c r="C138" i="12"/>
  <c r="G138" i="12" a="1"/>
  <c r="N137" i="12" a="1"/>
  <c r="N137" i="12" l="1"/>
  <c r="G138" i="12"/>
  <c r="B139" i="12" a="1"/>
  <c r="D138" i="12" a="1"/>
  <c r="I138" i="12" a="1"/>
  <c r="I138" i="12" l="1"/>
  <c r="H138" i="12" s="1"/>
  <c r="D138" i="12"/>
  <c r="B139" i="12"/>
  <c r="F138" i="12"/>
  <c r="Q138" i="12" a="1"/>
  <c r="M138" i="12" a="1"/>
  <c r="E138" i="12" a="1"/>
  <c r="O138" i="12" a="1"/>
  <c r="L138" i="12" a="1"/>
  <c r="C139" i="12" a="1"/>
  <c r="P138" i="12" a="1"/>
  <c r="K138" i="12" a="1"/>
  <c r="R138" i="12" a="1"/>
  <c r="C139" i="12" l="1"/>
  <c r="L138" i="12"/>
  <c r="E138" i="12"/>
  <c r="Q138" i="12"/>
  <c r="K138" i="12"/>
  <c r="P138" i="12"/>
  <c r="O138" i="12"/>
  <c r="R138" i="12"/>
  <c r="M138" i="12"/>
  <c r="N138" i="12" a="1"/>
  <c r="G139" i="12" a="1"/>
  <c r="G139" i="12" l="1"/>
  <c r="N138" i="12"/>
  <c r="I139" i="12" a="1"/>
  <c r="D139" i="12" a="1"/>
  <c r="B140" i="12" a="1"/>
  <c r="B140" i="12" l="1"/>
  <c r="D139" i="12"/>
  <c r="I139" i="12"/>
  <c r="H139" i="12" s="1"/>
  <c r="F139" i="12"/>
  <c r="K139" i="12" a="1"/>
  <c r="L139" i="12" a="1"/>
  <c r="Q139" i="12" a="1"/>
  <c r="O139" i="12" a="1"/>
  <c r="C140" i="12" a="1"/>
  <c r="P139" i="12" a="1"/>
  <c r="E139" i="12" a="1"/>
  <c r="R139" i="12" a="1"/>
  <c r="M139" i="12" a="1"/>
  <c r="O139" i="12" l="1"/>
  <c r="Q139" i="12"/>
  <c r="L139" i="12"/>
  <c r="K139" i="12"/>
  <c r="M139" i="12"/>
  <c r="R139" i="12"/>
  <c r="E139" i="12"/>
  <c r="P139" i="12"/>
  <c r="C140" i="12"/>
  <c r="G140" i="12" a="1"/>
  <c r="N139" i="12" a="1"/>
  <c r="N139" i="12" l="1"/>
  <c r="G140" i="12"/>
  <c r="B141" i="12" a="1"/>
  <c r="I140" i="12" a="1"/>
  <c r="D140" i="12" a="1"/>
  <c r="D140" i="12" l="1"/>
  <c r="I140" i="12"/>
  <c r="H140" i="12" s="1"/>
  <c r="B141" i="12"/>
  <c r="F140" i="12"/>
  <c r="Q140" i="12" a="1"/>
  <c r="L140" i="12" a="1"/>
  <c r="P140" i="12" a="1"/>
  <c r="E140" i="12" a="1"/>
  <c r="K140" i="12" a="1"/>
  <c r="O140" i="12" a="1"/>
  <c r="C141" i="12" a="1"/>
  <c r="M140" i="12" a="1"/>
  <c r="R140" i="12" a="1"/>
  <c r="C141" i="12" l="1"/>
  <c r="K140" i="12"/>
  <c r="O140" i="12"/>
  <c r="E140" i="12"/>
  <c r="P140" i="12"/>
  <c r="L140" i="12"/>
  <c r="Q140" i="12"/>
  <c r="R140" i="12"/>
  <c r="M140" i="12"/>
  <c r="N140" i="12" a="1"/>
  <c r="G141" i="12" a="1"/>
  <c r="G141" i="12" l="1"/>
  <c r="N140" i="12"/>
  <c r="I141" i="12" a="1"/>
  <c r="B142" i="12" a="1"/>
  <c r="D141" i="12" a="1"/>
  <c r="I141" i="12" l="1"/>
  <c r="H141" i="12" s="1"/>
  <c r="B142" i="12"/>
  <c r="D141" i="12"/>
  <c r="F141" i="12"/>
  <c r="L141" i="12" a="1"/>
  <c r="O141" i="12" a="1"/>
  <c r="Q141" i="12" a="1"/>
  <c r="P141" i="12" a="1"/>
  <c r="E141" i="12" a="1"/>
  <c r="C142" i="12" a="1"/>
  <c r="R141" i="12" a="1"/>
  <c r="M141" i="12" a="1"/>
  <c r="K141" i="12" a="1"/>
  <c r="E141" i="12" l="1"/>
  <c r="P141" i="12"/>
  <c r="Q141" i="12"/>
  <c r="O141" i="12"/>
  <c r="K141" i="12"/>
  <c r="L141" i="12"/>
  <c r="M141" i="12"/>
  <c r="R141" i="12"/>
  <c r="C142" i="12"/>
  <c r="G142" i="12" a="1"/>
  <c r="N141" i="12" a="1"/>
  <c r="N141" i="12" l="1"/>
  <c r="G142" i="12"/>
  <c r="I142" i="12" a="1"/>
  <c r="D142" i="12" a="1"/>
  <c r="B143" i="12" a="1"/>
  <c r="B143" i="12" l="1"/>
  <c r="D142" i="12"/>
  <c r="I142" i="12"/>
  <c r="H142" i="12" s="1"/>
  <c r="F142" i="12"/>
  <c r="K142" i="12" a="1"/>
  <c r="O142" i="12" a="1"/>
  <c r="M142" i="12" a="1"/>
  <c r="C143" i="12" a="1"/>
  <c r="L142" i="12" a="1"/>
  <c r="E142" i="12" a="1"/>
  <c r="R142" i="12" a="1"/>
  <c r="Q142" i="12" a="1"/>
  <c r="P142" i="12" a="1"/>
  <c r="P142" i="12" l="1"/>
  <c r="Q142" i="12"/>
  <c r="L142" i="12"/>
  <c r="R142" i="12"/>
  <c r="M142" i="12"/>
  <c r="E142" i="12"/>
  <c r="K142" i="12"/>
  <c r="O142" i="12"/>
  <c r="C143" i="12"/>
  <c r="N142" i="12" a="1"/>
  <c r="G143" i="12" a="1"/>
  <c r="G143" i="12" l="1"/>
  <c r="N142" i="12"/>
  <c r="B144" i="12" a="1"/>
  <c r="D143" i="12" a="1"/>
  <c r="I143" i="12" a="1"/>
  <c r="I143" i="12" l="1"/>
  <c r="H143" i="12" s="1"/>
  <c r="D143" i="12"/>
  <c r="B144" i="12"/>
  <c r="F143" i="12"/>
  <c r="M143" i="12" a="1"/>
  <c r="L143" i="12" a="1"/>
  <c r="Q143" i="12" a="1"/>
  <c r="K143" i="12" a="1"/>
  <c r="E143" i="12" a="1"/>
  <c r="C144" i="12" a="1"/>
  <c r="R143" i="12" a="1"/>
  <c r="O143" i="12" a="1"/>
  <c r="P143" i="12" a="1"/>
  <c r="C144" i="12" l="1"/>
  <c r="E143" i="12"/>
  <c r="K143" i="12"/>
  <c r="Q143" i="12"/>
  <c r="L143" i="12"/>
  <c r="M143" i="12"/>
  <c r="P143" i="12"/>
  <c r="O143" i="12"/>
  <c r="R143" i="12"/>
  <c r="N143" i="12" a="1"/>
  <c r="G144" i="12" a="1"/>
  <c r="G144" i="12" l="1"/>
  <c r="N143" i="12"/>
  <c r="I144" i="12" a="1"/>
  <c r="D144" i="12" a="1"/>
  <c r="B145" i="12" a="1"/>
  <c r="B145" i="12" l="1"/>
  <c r="D144" i="12"/>
  <c r="I144" i="12"/>
  <c r="H144" i="12" s="1"/>
  <c r="F144" i="12"/>
  <c r="R144" i="12" a="1"/>
  <c r="P144" i="12" a="1"/>
  <c r="Q144" i="12" a="1"/>
  <c r="C145" i="12" a="1"/>
  <c r="K144" i="12" a="1"/>
  <c r="L144" i="12" a="1"/>
  <c r="O144" i="12" a="1"/>
  <c r="M144" i="12" a="1"/>
  <c r="E144" i="12" a="1"/>
  <c r="Q144" i="12" l="1"/>
  <c r="P144" i="12"/>
  <c r="E144" i="12"/>
  <c r="M144" i="12"/>
  <c r="O144" i="12"/>
  <c r="L144" i="12"/>
  <c r="K144" i="12"/>
  <c r="R144" i="12"/>
  <c r="C145" i="12"/>
  <c r="N144" i="12" a="1"/>
  <c r="G145" i="12" a="1"/>
  <c r="G145" i="12" l="1"/>
  <c r="N144" i="12"/>
  <c r="D145" i="12" a="1"/>
  <c r="B146" i="12" a="1"/>
  <c r="I145" i="12" a="1"/>
  <c r="I145" i="12" l="1"/>
  <c r="H145" i="12" s="1"/>
  <c r="B146" i="12"/>
  <c r="D145" i="12"/>
  <c r="F145" i="12"/>
  <c r="C146" i="12" a="1"/>
  <c r="P145" i="12" a="1"/>
  <c r="L145" i="12" a="1"/>
  <c r="M145" i="12" a="1"/>
  <c r="E145" i="12" a="1"/>
  <c r="Q145" i="12" a="1"/>
  <c r="K145" i="12" a="1"/>
  <c r="R145" i="12" a="1"/>
  <c r="O145" i="12" a="1"/>
  <c r="Q145" i="12" l="1"/>
  <c r="L145" i="12"/>
  <c r="O145" i="12"/>
  <c r="E145" i="12"/>
  <c r="R145" i="12"/>
  <c r="M145" i="12"/>
  <c r="P145" i="12"/>
  <c r="K145" i="12"/>
  <c r="C146" i="12"/>
  <c r="N145" i="12" a="1"/>
  <c r="G146" i="12" a="1"/>
  <c r="G146" i="12" l="1"/>
  <c r="N145" i="12"/>
  <c r="B147" i="12" a="1"/>
  <c r="D146" i="12" a="1"/>
  <c r="I146" i="12" a="1"/>
  <c r="I146" i="12" l="1"/>
  <c r="H146" i="12" s="1"/>
  <c r="D146" i="12"/>
  <c r="B147" i="12"/>
  <c r="F146" i="12"/>
  <c r="L146" i="12" a="1"/>
  <c r="P146" i="12" a="1"/>
  <c r="K146" i="12" a="1"/>
  <c r="Q146" i="12" a="1"/>
  <c r="E146" i="12" a="1"/>
  <c r="M146" i="12" a="1"/>
  <c r="O146" i="12" a="1"/>
  <c r="C147" i="12" a="1"/>
  <c r="R146" i="12" a="1"/>
  <c r="C147" i="12" l="1"/>
  <c r="R146" i="12"/>
  <c r="O146" i="12"/>
  <c r="M146" i="12"/>
  <c r="E146" i="12"/>
  <c r="Q146" i="12"/>
  <c r="K146" i="12"/>
  <c r="P146" i="12"/>
  <c r="L146" i="12"/>
  <c r="N146" i="12" a="1"/>
  <c r="G147" i="12" a="1"/>
  <c r="G147" i="12" l="1"/>
  <c r="N146" i="12"/>
  <c r="I147" i="12" a="1"/>
  <c r="D147" i="12" a="1"/>
  <c r="B148" i="12" a="1"/>
  <c r="B148" i="12" l="1"/>
  <c r="I147" i="12"/>
  <c r="H147" i="12" s="1"/>
  <c r="D147" i="12"/>
  <c r="F147" i="12"/>
  <c r="L147" i="12" a="1"/>
  <c r="E147" i="12" a="1"/>
  <c r="P147" i="12" a="1"/>
  <c r="K147" i="12" a="1"/>
  <c r="C148" i="12" a="1"/>
  <c r="Q147" i="12" a="1"/>
  <c r="O147" i="12" a="1"/>
  <c r="R147" i="12" a="1"/>
  <c r="M147" i="12" a="1"/>
  <c r="K147" i="12" l="1"/>
  <c r="P147" i="12"/>
  <c r="E147" i="12"/>
  <c r="L147" i="12"/>
  <c r="M147" i="12"/>
  <c r="R147" i="12"/>
  <c r="O147" i="12"/>
  <c r="Q147" i="12"/>
  <c r="C148" i="12"/>
  <c r="G148" i="12" a="1"/>
  <c r="N147" i="12" a="1"/>
  <c r="G148" i="12" l="1"/>
  <c r="N147" i="12"/>
  <c r="B149" i="12" a="1"/>
  <c r="D148" i="12" a="1"/>
  <c r="I148" i="12" a="1"/>
  <c r="I148" i="12" l="1"/>
  <c r="H148" i="12" s="1"/>
  <c r="B149" i="12"/>
  <c r="D148" i="12"/>
  <c r="F148" i="12"/>
  <c r="C149" i="12" a="1"/>
  <c r="Q148" i="12" a="1"/>
  <c r="R148" i="12" a="1"/>
  <c r="O148" i="12" a="1"/>
  <c r="P148" i="12" a="1"/>
  <c r="M148" i="12" a="1"/>
  <c r="E148" i="12" a="1"/>
  <c r="K148" i="12" a="1"/>
  <c r="L148" i="12" a="1"/>
  <c r="L148" i="12" l="1"/>
  <c r="K148" i="12"/>
  <c r="E148" i="12"/>
  <c r="M148" i="12"/>
  <c r="P148" i="12"/>
  <c r="O148" i="12"/>
  <c r="R148" i="12"/>
  <c r="Q148" i="12"/>
  <c r="C149" i="12"/>
  <c r="G149" i="12" a="1"/>
  <c r="N148" i="12" a="1"/>
  <c r="G149" i="12" l="1"/>
  <c r="N148" i="12"/>
  <c r="B150" i="12" a="1"/>
  <c r="D149" i="12" a="1"/>
  <c r="I149" i="12" a="1"/>
  <c r="I149" i="12" l="1"/>
  <c r="H149" i="12" s="1"/>
  <c r="D149" i="12"/>
  <c r="B150" i="12"/>
  <c r="F149" i="12"/>
  <c r="E149" i="12" a="1"/>
  <c r="K149" i="12" a="1"/>
  <c r="R149" i="12" a="1"/>
  <c r="Q149" i="12" a="1"/>
  <c r="M149" i="12" a="1"/>
  <c r="P149" i="12" a="1"/>
  <c r="C150" i="12" a="1"/>
  <c r="L149" i="12" a="1"/>
  <c r="O149" i="12" a="1"/>
  <c r="C150" i="12" l="1"/>
  <c r="P149" i="12"/>
  <c r="O149" i="12"/>
  <c r="M149" i="12"/>
  <c r="Q149" i="12"/>
  <c r="R149" i="12"/>
  <c r="K149" i="12"/>
  <c r="L149" i="12"/>
  <c r="E149" i="12"/>
  <c r="G150" i="12" a="1"/>
  <c r="N149" i="12" a="1"/>
  <c r="G150" i="12" l="1"/>
  <c r="N149" i="12"/>
  <c r="B151" i="12" a="1"/>
  <c r="I150" i="12" a="1"/>
  <c r="D150" i="12" a="1"/>
  <c r="I150" i="12" l="1"/>
  <c r="H150" i="12" s="1"/>
  <c r="D150" i="12"/>
  <c r="B151" i="12"/>
  <c r="F150" i="12"/>
  <c r="O150" i="12" a="1"/>
  <c r="P150" i="12" a="1"/>
  <c r="Q150" i="12" a="1"/>
  <c r="E150" i="12" a="1"/>
  <c r="K150" i="12" a="1"/>
  <c r="L150" i="12" a="1"/>
  <c r="R150" i="12" a="1"/>
  <c r="M150" i="12" a="1"/>
  <c r="C151" i="12" a="1"/>
  <c r="C151" i="12" l="1"/>
  <c r="M150" i="12"/>
  <c r="R150" i="12"/>
  <c r="L150" i="12"/>
  <c r="K150" i="12"/>
  <c r="E150" i="12"/>
  <c r="Q150" i="12"/>
  <c r="P150" i="12"/>
  <c r="O150" i="12"/>
  <c r="G151" i="12" a="1"/>
  <c r="N150" i="12" a="1"/>
  <c r="N150" i="12" l="1"/>
  <c r="G151" i="12"/>
  <c r="D151" i="12" a="1"/>
  <c r="I151" i="12" a="1"/>
  <c r="B152" i="12" a="1"/>
  <c r="B152" i="12" l="1"/>
  <c r="I151" i="12"/>
  <c r="H151" i="12" s="1"/>
  <c r="D151" i="12"/>
  <c r="F151" i="12"/>
  <c r="C152" i="12" a="1"/>
  <c r="O151" i="12" a="1"/>
  <c r="L151" i="12" a="1"/>
  <c r="Q151" i="12" a="1"/>
  <c r="P151" i="12" a="1"/>
  <c r="K151" i="12" a="1"/>
  <c r="M151" i="12" a="1"/>
  <c r="R151" i="12" a="1"/>
  <c r="E151" i="12" a="1"/>
  <c r="E151" i="12" l="1"/>
  <c r="P151" i="12"/>
  <c r="Q151" i="12"/>
  <c r="L151" i="12"/>
  <c r="R151" i="12"/>
  <c r="O151" i="12"/>
  <c r="M151" i="12"/>
  <c r="K151" i="12"/>
  <c r="C152" i="12"/>
  <c r="N151" i="12" a="1"/>
  <c r="G152" i="12" a="1"/>
  <c r="G152" i="12" l="1"/>
  <c r="N151" i="12"/>
  <c r="D152" i="12" a="1"/>
  <c r="I152" i="12" a="1"/>
  <c r="B153" i="12" a="1"/>
  <c r="I152" i="12" l="1"/>
  <c r="H152" i="12" s="1"/>
  <c r="B153" i="12"/>
  <c r="D152" i="12"/>
  <c r="F152" i="12"/>
  <c r="E152" i="12" a="1"/>
  <c r="P152" i="12" a="1"/>
  <c r="Q152" i="12" a="1"/>
  <c r="R152" i="12" a="1"/>
  <c r="C153" i="12" a="1"/>
  <c r="L152" i="12" a="1"/>
  <c r="O152" i="12" a="1"/>
  <c r="M152" i="12" a="1"/>
  <c r="K152" i="12" a="1"/>
  <c r="Q152" i="12" l="1"/>
  <c r="P152" i="12"/>
  <c r="E152" i="12"/>
  <c r="R152" i="12"/>
  <c r="K152" i="12"/>
  <c r="M152" i="12"/>
  <c r="O152" i="12"/>
  <c r="L152" i="12"/>
  <c r="C153" i="12"/>
  <c r="N152" i="12" a="1"/>
  <c r="G153" i="12" a="1"/>
  <c r="G153" i="12" l="1"/>
  <c r="N152" i="12"/>
  <c r="D153" i="12" a="1"/>
  <c r="B154" i="12" a="1"/>
  <c r="I153" i="12" a="1"/>
  <c r="B154" i="12" l="1"/>
  <c r="I153" i="12"/>
  <c r="H153" i="12" s="1"/>
  <c r="D153" i="12"/>
  <c r="F153" i="12"/>
  <c r="E153" i="12" a="1"/>
  <c r="P153" i="12" a="1"/>
  <c r="C154" i="12" a="1"/>
  <c r="L153" i="12" a="1"/>
  <c r="Q153" i="12" a="1"/>
  <c r="K153" i="12" a="1"/>
  <c r="R153" i="12" a="1"/>
  <c r="M153" i="12" a="1"/>
  <c r="O153" i="12" a="1"/>
  <c r="C154" i="12" l="1"/>
  <c r="P153" i="12"/>
  <c r="E153" i="12"/>
  <c r="O153" i="12"/>
  <c r="M153" i="12"/>
  <c r="R153" i="12"/>
  <c r="K153" i="12"/>
  <c r="Q153" i="12"/>
  <c r="L153" i="12"/>
  <c r="N153" i="12" a="1"/>
  <c r="G154" i="12" a="1"/>
  <c r="G154" i="12" l="1"/>
  <c r="N153" i="12"/>
  <c r="B155" i="12" a="1"/>
  <c r="D154" i="12" a="1"/>
  <c r="I154" i="12" a="1"/>
  <c r="I154" i="12" l="1"/>
  <c r="H154" i="12" s="1"/>
  <c r="B155" i="12"/>
  <c r="D154" i="12"/>
  <c r="F154" i="12"/>
  <c r="O154" i="12" a="1"/>
  <c r="R154" i="12" a="1"/>
  <c r="L154" i="12" a="1"/>
  <c r="C155" i="12" a="1"/>
  <c r="P154" i="12" a="1"/>
  <c r="Q154" i="12" a="1"/>
  <c r="K154" i="12" a="1"/>
  <c r="E154" i="12" a="1"/>
  <c r="M154" i="12" a="1"/>
  <c r="L154" i="12" l="1"/>
  <c r="R154" i="12"/>
  <c r="O154" i="12"/>
  <c r="M154" i="12"/>
  <c r="E154" i="12"/>
  <c r="K154" i="12"/>
  <c r="Q154" i="12"/>
  <c r="P154" i="12"/>
  <c r="C155" i="12"/>
  <c r="G155" i="12" a="1"/>
  <c r="N154" i="12" a="1"/>
  <c r="G155" i="12" l="1"/>
  <c r="N154" i="12"/>
  <c r="D155" i="12" a="1"/>
  <c r="B156" i="12" a="1"/>
  <c r="I155" i="12" a="1"/>
  <c r="I155" i="12" l="1"/>
  <c r="H155" i="12" s="1"/>
  <c r="B156" i="12"/>
  <c r="D155" i="12"/>
  <c r="F155" i="12"/>
  <c r="P155" i="12" a="1"/>
  <c r="O155" i="12" a="1"/>
  <c r="R155" i="12" a="1"/>
  <c r="C156" i="12" a="1"/>
  <c r="L155" i="12" a="1"/>
  <c r="E155" i="12" a="1"/>
  <c r="K155" i="12" a="1"/>
  <c r="Q155" i="12" a="1"/>
  <c r="M155" i="12" a="1"/>
  <c r="R155" i="12" l="1"/>
  <c r="O155" i="12"/>
  <c r="P155" i="12"/>
  <c r="M155" i="12"/>
  <c r="Q155" i="12"/>
  <c r="K155" i="12"/>
  <c r="E155" i="12"/>
  <c r="L155" i="12"/>
  <c r="C156" i="12"/>
  <c r="N155" i="12" a="1"/>
  <c r="G156" i="12" a="1"/>
  <c r="G156" i="12" l="1"/>
  <c r="N155" i="12"/>
  <c r="B157" i="12" a="1"/>
  <c r="D156" i="12" a="1"/>
  <c r="I156" i="12" a="1"/>
  <c r="D156" i="12" l="1"/>
  <c r="B157" i="12"/>
  <c r="I156" i="12"/>
  <c r="H156" i="12" s="1"/>
  <c r="F156" i="12"/>
  <c r="K156" i="12" a="1"/>
  <c r="M156" i="12" a="1"/>
  <c r="L156" i="12" a="1"/>
  <c r="R156" i="12" a="1"/>
  <c r="C157" i="12" a="1"/>
  <c r="O156" i="12" a="1"/>
  <c r="P156" i="12" a="1"/>
  <c r="Q156" i="12" a="1"/>
  <c r="E156" i="12" a="1"/>
  <c r="C157" i="12" l="1"/>
  <c r="E156" i="12"/>
  <c r="R156" i="12"/>
  <c r="Q156" i="12"/>
  <c r="L156" i="12"/>
  <c r="M156" i="12"/>
  <c r="P156" i="12"/>
  <c r="K156" i="12"/>
  <c r="O156" i="12"/>
  <c r="N156" i="12" a="1"/>
  <c r="G157" i="12" a="1"/>
  <c r="G157" i="12" l="1"/>
  <c r="N156" i="12"/>
  <c r="D157" i="12" a="1"/>
  <c r="B158" i="12" a="1"/>
  <c r="I157" i="12" a="1"/>
  <c r="I157" i="12" l="1"/>
  <c r="H157" i="12" s="1"/>
  <c r="B158" i="12"/>
  <c r="D157" i="12"/>
  <c r="F157" i="12"/>
  <c r="M157" i="12" a="1"/>
  <c r="R157" i="12" a="1"/>
  <c r="O157" i="12" a="1"/>
  <c r="P157" i="12" a="1"/>
  <c r="C158" i="12" a="1"/>
  <c r="L157" i="12" a="1"/>
  <c r="K157" i="12" a="1"/>
  <c r="Q157" i="12" a="1"/>
  <c r="E157" i="12" a="1"/>
  <c r="P157" i="12" l="1"/>
  <c r="O157" i="12"/>
  <c r="R157" i="12"/>
  <c r="M157" i="12"/>
  <c r="E157" i="12"/>
  <c r="Q157" i="12"/>
  <c r="K157" i="12"/>
  <c r="L157" i="12"/>
  <c r="C158" i="12"/>
  <c r="G158" i="12" a="1"/>
  <c r="N157" i="12" a="1"/>
  <c r="G158" i="12" l="1"/>
  <c r="N157" i="12"/>
  <c r="D158" i="12" a="1"/>
  <c r="I158" i="12" a="1"/>
  <c r="B159" i="12" a="1"/>
  <c r="B159" i="12" l="1"/>
  <c r="I158" i="12"/>
  <c r="H158" i="12" s="1"/>
  <c r="D158" i="12"/>
  <c r="F158" i="12"/>
  <c r="C159" i="12" a="1"/>
  <c r="Q158" i="12" a="1"/>
  <c r="O158" i="12" a="1"/>
  <c r="P158" i="12" a="1"/>
  <c r="L158" i="12" a="1"/>
  <c r="R158" i="12" a="1"/>
  <c r="K158" i="12" a="1"/>
  <c r="M158" i="12" a="1"/>
  <c r="E158" i="12" a="1"/>
  <c r="M158" i="12" l="1"/>
  <c r="K158" i="12"/>
  <c r="R158" i="12"/>
  <c r="E158" i="12"/>
  <c r="L158" i="12"/>
  <c r="P158" i="12"/>
  <c r="O158" i="12"/>
  <c r="Q158" i="12"/>
  <c r="C159" i="12"/>
  <c r="G159" i="12" a="1"/>
  <c r="N158" i="12" a="1"/>
  <c r="N158" i="12" l="1"/>
  <c r="G159" i="12"/>
  <c r="B160" i="12" a="1"/>
  <c r="D159" i="12" a="1"/>
  <c r="I159" i="12" a="1"/>
  <c r="I159" i="12" l="1"/>
  <c r="H159" i="12" s="1"/>
  <c r="D159" i="12"/>
  <c r="B160" i="12"/>
  <c r="F159" i="12"/>
  <c r="E159" i="12" a="1"/>
  <c r="K159" i="12" a="1"/>
  <c r="R159" i="12" a="1"/>
  <c r="L159" i="12" a="1"/>
  <c r="O159" i="12" a="1"/>
  <c r="P159" i="12" a="1"/>
  <c r="M159" i="12" a="1"/>
  <c r="Q159" i="12" a="1"/>
  <c r="C160" i="12" a="1"/>
  <c r="C160" i="12" l="1"/>
  <c r="Q159" i="12"/>
  <c r="M159" i="12"/>
  <c r="P159" i="12"/>
  <c r="O159" i="12"/>
  <c r="L159" i="12"/>
  <c r="R159" i="12"/>
  <c r="K159" i="12"/>
  <c r="E159" i="12"/>
  <c r="N159" i="12" a="1"/>
  <c r="G160" i="12" a="1"/>
  <c r="G160" i="12" l="1"/>
  <c r="N159" i="12"/>
  <c r="D160" i="12" a="1"/>
  <c r="I160" i="12" a="1"/>
  <c r="B161" i="12" a="1"/>
  <c r="B161" i="12" l="1"/>
  <c r="I160" i="12"/>
  <c r="H160" i="12" s="1"/>
  <c r="D160" i="12"/>
  <c r="F160" i="12"/>
  <c r="E160" i="12" a="1"/>
  <c r="P160" i="12" a="1"/>
  <c r="R160" i="12" a="1"/>
  <c r="C161" i="12" a="1"/>
  <c r="O160" i="12" a="1"/>
  <c r="L160" i="12" a="1"/>
  <c r="K160" i="12" a="1"/>
  <c r="Q160" i="12" a="1"/>
  <c r="M160" i="12" a="1"/>
  <c r="R160" i="12" l="1"/>
  <c r="P160" i="12"/>
  <c r="E160" i="12"/>
  <c r="M160" i="12"/>
  <c r="Q160" i="12"/>
  <c r="K160" i="12"/>
  <c r="L160" i="12"/>
  <c r="O160" i="12"/>
  <c r="C161" i="12"/>
  <c r="G161" i="12" a="1"/>
  <c r="N160" i="12" a="1"/>
  <c r="G161" i="12" l="1"/>
  <c r="N160" i="12"/>
  <c r="B162" i="12" a="1"/>
  <c r="D161" i="12" a="1"/>
  <c r="I161" i="12" a="1"/>
  <c r="I161" i="12" l="1"/>
  <c r="H161" i="12" s="1"/>
  <c r="B162" i="12"/>
  <c r="D161" i="12"/>
  <c r="F161" i="12"/>
  <c r="K161" i="12" a="1"/>
  <c r="E161" i="12" a="1"/>
  <c r="M161" i="12" a="1"/>
  <c r="C162" i="12" a="1"/>
  <c r="R161" i="12" a="1"/>
  <c r="O161" i="12" a="1"/>
  <c r="P161" i="12" a="1"/>
  <c r="L161" i="12" a="1"/>
  <c r="Q161" i="12" a="1"/>
  <c r="M161" i="12" l="1"/>
  <c r="E161" i="12"/>
  <c r="K161" i="12"/>
  <c r="Q161" i="12"/>
  <c r="L161" i="12"/>
  <c r="P161" i="12"/>
  <c r="O161" i="12"/>
  <c r="R161" i="12"/>
  <c r="C162" i="12"/>
  <c r="G162" i="12" a="1"/>
  <c r="N161" i="12" a="1"/>
  <c r="G162" i="12" l="1"/>
  <c r="N161" i="12"/>
  <c r="B163" i="12" a="1"/>
  <c r="D162" i="12" a="1"/>
  <c r="I162" i="12" a="1"/>
  <c r="B163" i="12" l="1"/>
  <c r="I162" i="12"/>
  <c r="H162" i="12" s="1"/>
  <c r="D162" i="12"/>
  <c r="F162" i="12"/>
  <c r="M162" i="12" a="1"/>
  <c r="R162" i="12" a="1"/>
  <c r="Q162" i="12" a="1"/>
  <c r="C163" i="12" a="1"/>
  <c r="P162" i="12" a="1"/>
  <c r="E162" i="12" a="1"/>
  <c r="K162" i="12" a="1"/>
  <c r="O162" i="12" a="1"/>
  <c r="L162" i="12" a="1"/>
  <c r="L162" i="12" l="1"/>
  <c r="Q162" i="12"/>
  <c r="O162" i="12"/>
  <c r="K162" i="12"/>
  <c r="R162" i="12"/>
  <c r="E162" i="12"/>
  <c r="P162" i="12"/>
  <c r="M162" i="12"/>
  <c r="C163" i="12"/>
  <c r="N162" i="12" a="1"/>
  <c r="G163" i="12" a="1"/>
  <c r="G163" i="12" l="1"/>
  <c r="N162" i="12"/>
  <c r="B164" i="12" a="1"/>
  <c r="D163" i="12" a="1"/>
  <c r="I163" i="12" a="1"/>
  <c r="D163" i="12" l="1"/>
  <c r="I163" i="12"/>
  <c r="H163" i="12" s="1"/>
  <c r="B164" i="12"/>
  <c r="F163" i="12"/>
  <c r="C164" i="12" a="1"/>
  <c r="M163" i="12" a="1"/>
  <c r="K163" i="12" a="1"/>
  <c r="Q163" i="12" a="1"/>
  <c r="L163" i="12" a="1"/>
  <c r="E163" i="12" a="1"/>
  <c r="O163" i="12" a="1"/>
  <c r="P163" i="12" a="1"/>
  <c r="R163" i="12" a="1"/>
  <c r="R163" i="12" l="1"/>
  <c r="P163" i="12"/>
  <c r="O163" i="12"/>
  <c r="E163" i="12"/>
  <c r="L163" i="12"/>
  <c r="Q163" i="12"/>
  <c r="K163" i="12"/>
  <c r="M163" i="12"/>
  <c r="C164" i="12"/>
  <c r="G164" i="12" a="1"/>
  <c r="N163" i="12" a="1"/>
  <c r="N163" i="12" l="1"/>
  <c r="G164" i="12"/>
  <c r="D164" i="12" a="1"/>
  <c r="B165" i="12" a="1"/>
  <c r="I164" i="12" a="1"/>
  <c r="B165" i="12" l="1"/>
  <c r="I164" i="12"/>
  <c r="H164" i="12" s="1"/>
  <c r="D164" i="12"/>
  <c r="F164" i="12"/>
  <c r="E164" i="12" a="1"/>
  <c r="P164" i="12" a="1"/>
  <c r="M164" i="12" a="1"/>
  <c r="C165" i="12" a="1"/>
  <c r="K164" i="12" a="1"/>
  <c r="L164" i="12" a="1"/>
  <c r="O164" i="12" a="1"/>
  <c r="R164" i="12" a="1"/>
  <c r="Q164" i="12" a="1"/>
  <c r="C165" i="12" l="1"/>
  <c r="M164" i="12"/>
  <c r="P164" i="12"/>
  <c r="E164" i="12"/>
  <c r="Q164" i="12"/>
  <c r="R164" i="12"/>
  <c r="O164" i="12"/>
  <c r="L164" i="12"/>
  <c r="K164" i="12"/>
  <c r="N164" i="12" a="1"/>
  <c r="G165" i="12" a="1"/>
  <c r="G165" i="12" l="1"/>
  <c r="N164" i="12"/>
  <c r="D165" i="12" a="1"/>
  <c r="I165" i="12" a="1"/>
  <c r="B166" i="12" a="1"/>
  <c r="B166" i="12" l="1"/>
  <c r="I165" i="12"/>
  <c r="H165" i="12" s="1"/>
  <c r="D165" i="12"/>
  <c r="F165" i="12"/>
  <c r="K165" i="12" a="1"/>
  <c r="R165" i="12" a="1"/>
  <c r="Q165" i="12" a="1"/>
  <c r="E165" i="12" a="1"/>
  <c r="C166" i="12" a="1"/>
  <c r="M165" i="12" a="1"/>
  <c r="L165" i="12" a="1"/>
  <c r="O165" i="12" a="1"/>
  <c r="P165" i="12" a="1"/>
  <c r="P165" i="12" l="1"/>
  <c r="O165" i="12"/>
  <c r="E165" i="12"/>
  <c r="L165" i="12"/>
  <c r="Q165" i="12"/>
  <c r="R165" i="12"/>
  <c r="M165" i="12"/>
  <c r="K165" i="12"/>
  <c r="C166" i="12"/>
  <c r="G166" i="12" a="1"/>
  <c r="N165" i="12" a="1"/>
  <c r="G166" i="12" l="1"/>
  <c r="N165" i="12"/>
  <c r="I166" i="12" a="1"/>
  <c r="D166" i="12" a="1"/>
  <c r="B167" i="12" a="1"/>
  <c r="B167" i="12" l="1"/>
  <c r="I166" i="12"/>
  <c r="H166" i="12" s="1"/>
  <c r="D166" i="12"/>
  <c r="F166" i="12"/>
  <c r="Q166" i="12" a="1"/>
  <c r="O166" i="12" a="1"/>
  <c r="L166" i="12" a="1"/>
  <c r="M166" i="12" a="1"/>
  <c r="R166" i="12" a="1"/>
  <c r="K166" i="12" a="1"/>
  <c r="E166" i="12" a="1"/>
  <c r="C167" i="12" a="1"/>
  <c r="P166" i="12" a="1"/>
  <c r="P166" i="12" l="1"/>
  <c r="E166" i="12"/>
  <c r="K166" i="12"/>
  <c r="R166" i="12"/>
  <c r="M166" i="12"/>
  <c r="L166" i="12"/>
  <c r="O166" i="12"/>
  <c r="Q166" i="12"/>
  <c r="C167" i="12"/>
  <c r="G167" i="12" a="1"/>
  <c r="N166" i="12" a="1"/>
  <c r="N166" i="12" l="1"/>
  <c r="G167" i="12"/>
  <c r="B168" i="12" a="1"/>
  <c r="D167" i="12" a="1"/>
  <c r="I167" i="12" a="1"/>
  <c r="I167" i="12" l="1"/>
  <c r="H167" i="12" s="1"/>
  <c r="D167" i="12"/>
  <c r="B168" i="12"/>
  <c r="F167" i="12"/>
  <c r="R167" i="12" a="1"/>
  <c r="M167" i="12" a="1"/>
  <c r="K167" i="12" a="1"/>
  <c r="O167" i="12" a="1"/>
  <c r="L167" i="12" a="1"/>
  <c r="C168" i="12" a="1"/>
  <c r="P167" i="12" a="1"/>
  <c r="E167" i="12" a="1"/>
  <c r="Q167" i="12" a="1"/>
  <c r="C168" i="12" l="1"/>
  <c r="L167" i="12"/>
  <c r="M167" i="12"/>
  <c r="Q167" i="12"/>
  <c r="O167" i="12"/>
  <c r="K167" i="12"/>
  <c r="E167" i="12"/>
  <c r="P167" i="12"/>
  <c r="R167" i="12"/>
  <c r="N167" i="12" a="1"/>
  <c r="G168" i="12" a="1"/>
  <c r="G168" i="12" l="1"/>
  <c r="N167" i="12"/>
  <c r="D168" i="12" a="1"/>
  <c r="B169" i="12" a="1"/>
  <c r="I168" i="12" a="1"/>
  <c r="I168" i="12" l="1"/>
  <c r="H168" i="12" s="1"/>
  <c r="B169" i="12"/>
  <c r="D168" i="12"/>
  <c r="F168" i="12"/>
  <c r="E168" i="12" a="1"/>
  <c r="K168" i="12" a="1"/>
  <c r="L168" i="12" a="1"/>
  <c r="C169" i="12" a="1"/>
  <c r="Q168" i="12" a="1"/>
  <c r="R168" i="12" a="1"/>
  <c r="M168" i="12" a="1"/>
  <c r="O168" i="12" a="1"/>
  <c r="P168" i="12" a="1"/>
  <c r="L168" i="12" l="1"/>
  <c r="O168" i="12"/>
  <c r="M168" i="12"/>
  <c r="K168" i="12"/>
  <c r="R168" i="12"/>
  <c r="Q168" i="12"/>
  <c r="P168" i="12"/>
  <c r="E168" i="12"/>
  <c r="C169" i="12"/>
  <c r="G169" i="12" a="1"/>
  <c r="N168" i="12" a="1"/>
  <c r="G169" i="12" l="1"/>
  <c r="N168" i="12"/>
  <c r="I169" i="12" a="1"/>
  <c r="B170" i="12" a="1"/>
  <c r="D169" i="12" a="1"/>
  <c r="D169" i="12" l="1"/>
  <c r="B170" i="12"/>
  <c r="I169" i="12"/>
  <c r="H169" i="12" s="1"/>
  <c r="F169" i="12"/>
  <c r="K169" i="12" a="1"/>
  <c r="E169" i="12" a="1"/>
  <c r="O169" i="12" a="1"/>
  <c r="P169" i="12" a="1"/>
  <c r="M169" i="12" a="1"/>
  <c r="Q169" i="12" a="1"/>
  <c r="L169" i="12" a="1"/>
  <c r="R169" i="12" a="1"/>
  <c r="C170" i="12" a="1"/>
  <c r="C170" i="12" l="1"/>
  <c r="R169" i="12"/>
  <c r="L169" i="12"/>
  <c r="Q169" i="12"/>
  <c r="M169" i="12"/>
  <c r="P169" i="12"/>
  <c r="O169" i="12"/>
  <c r="E169" i="12"/>
  <c r="K169" i="12"/>
  <c r="G170" i="12" a="1"/>
  <c r="N169" i="12" a="1"/>
  <c r="N169" i="12" l="1"/>
  <c r="G170" i="12"/>
  <c r="D170" i="12" a="1"/>
  <c r="I170" i="12" a="1"/>
  <c r="B171" i="12" a="1"/>
  <c r="B171" i="12" l="1"/>
  <c r="I170" i="12"/>
  <c r="H170" i="12" s="1"/>
  <c r="D170" i="12"/>
  <c r="F170" i="12"/>
  <c r="K170" i="12" a="1"/>
  <c r="P170" i="12" a="1"/>
  <c r="R170" i="12" a="1"/>
  <c r="O170" i="12" a="1"/>
  <c r="M170" i="12" a="1"/>
  <c r="L170" i="12" a="1"/>
  <c r="Q170" i="12" a="1"/>
  <c r="E170" i="12" a="1"/>
  <c r="C171" i="12" a="1"/>
  <c r="C171" i="12" l="1"/>
  <c r="E170" i="12"/>
  <c r="Q170" i="12"/>
  <c r="L170" i="12"/>
  <c r="M170" i="12"/>
  <c r="O170" i="12"/>
  <c r="R170" i="12"/>
  <c r="P170" i="12"/>
  <c r="K170" i="12"/>
  <c r="N170" i="12" a="1"/>
  <c r="G171" i="12" a="1"/>
  <c r="N170" i="12" l="1"/>
  <c r="G171" i="12"/>
  <c r="D171" i="12" a="1"/>
  <c r="B172" i="12" a="1"/>
  <c r="I171" i="12" a="1"/>
  <c r="I171" i="12" l="1"/>
  <c r="H171" i="12" s="1"/>
  <c r="B172" i="12"/>
  <c r="D171" i="12"/>
  <c r="F171" i="12"/>
  <c r="P171" i="12" a="1"/>
  <c r="Q171" i="12" a="1"/>
  <c r="K171" i="12" a="1"/>
  <c r="L171" i="12" a="1"/>
  <c r="E171" i="12" a="1"/>
  <c r="C172" i="12" a="1"/>
  <c r="M171" i="12" a="1"/>
  <c r="O171" i="12" a="1"/>
  <c r="R171" i="12" a="1"/>
  <c r="E171" i="12" l="1"/>
  <c r="L171" i="12"/>
  <c r="K171" i="12"/>
  <c r="Q171" i="12"/>
  <c r="R171" i="12"/>
  <c r="O171" i="12"/>
  <c r="M171" i="12"/>
  <c r="P171" i="12"/>
  <c r="C172" i="12"/>
  <c r="N171" i="12" a="1"/>
  <c r="G172" i="12" a="1"/>
  <c r="G172" i="12" l="1"/>
  <c r="N171" i="12"/>
  <c r="I172" i="12" a="1"/>
  <c r="D172" i="12" a="1"/>
  <c r="B173" i="12" a="1"/>
  <c r="B173" i="12" l="1"/>
  <c r="D172" i="12"/>
  <c r="I172" i="12"/>
  <c r="H172" i="12" s="1"/>
  <c r="F172" i="12"/>
  <c r="Q172" i="12" a="1"/>
  <c r="M172" i="12" a="1"/>
  <c r="E172" i="12" a="1"/>
  <c r="O172" i="12" a="1"/>
  <c r="C173" i="12" a="1"/>
  <c r="K172" i="12" a="1"/>
  <c r="P172" i="12" a="1"/>
  <c r="R172" i="12" a="1"/>
  <c r="L172" i="12" a="1"/>
  <c r="O172" i="12" l="1"/>
  <c r="E172" i="12"/>
  <c r="M172" i="12"/>
  <c r="Q172" i="12"/>
  <c r="L172" i="12"/>
  <c r="R172" i="12"/>
  <c r="P172" i="12"/>
  <c r="K172" i="12"/>
  <c r="C173" i="12"/>
  <c r="G173" i="12" a="1"/>
  <c r="N172" i="12" a="1"/>
  <c r="N172" i="12" l="1"/>
  <c r="G173" i="12"/>
  <c r="D173" i="12" a="1"/>
  <c r="I173" i="12" a="1"/>
  <c r="B174" i="12" a="1"/>
  <c r="B174" i="12" l="1"/>
  <c r="I173" i="12"/>
  <c r="H173" i="12" s="1"/>
  <c r="D173" i="12"/>
  <c r="F173" i="12"/>
  <c r="Q173" i="12" a="1"/>
  <c r="K173" i="12" a="1"/>
  <c r="E173" i="12" a="1"/>
  <c r="C174" i="12" a="1"/>
  <c r="L173" i="12" a="1"/>
  <c r="M173" i="12" a="1"/>
  <c r="P173" i="12" a="1"/>
  <c r="R173" i="12" a="1"/>
  <c r="O173" i="12" a="1"/>
  <c r="O173" i="12" l="1"/>
  <c r="R173" i="12"/>
  <c r="E173" i="12"/>
  <c r="P173" i="12"/>
  <c r="M173" i="12"/>
  <c r="K173" i="12"/>
  <c r="L173" i="12"/>
  <c r="Q173" i="12"/>
  <c r="C174" i="12"/>
  <c r="G174" i="12" a="1"/>
  <c r="N173" i="12" a="1"/>
  <c r="G174" i="12" l="1"/>
  <c r="N173" i="12"/>
  <c r="D174" i="12" a="1"/>
  <c r="B175" i="12" a="1"/>
  <c r="I174" i="12" a="1"/>
  <c r="B175" i="12" l="1"/>
  <c r="I174" i="12"/>
  <c r="H174" i="12" s="1"/>
  <c r="D174" i="12"/>
  <c r="F174" i="12"/>
  <c r="C175" i="12" a="1"/>
  <c r="Q174" i="12" a="1"/>
  <c r="R174" i="12" a="1"/>
  <c r="O174" i="12" a="1"/>
  <c r="K174" i="12" a="1"/>
  <c r="P174" i="12" a="1"/>
  <c r="M174" i="12" a="1"/>
  <c r="E174" i="12" a="1"/>
  <c r="L174" i="12" a="1"/>
  <c r="P174" i="12" l="1"/>
  <c r="E174" i="12"/>
  <c r="M174" i="12"/>
  <c r="L174" i="12"/>
  <c r="K174" i="12"/>
  <c r="O174" i="12"/>
  <c r="R174" i="12"/>
  <c r="Q174" i="12"/>
  <c r="C175" i="12"/>
  <c r="N174" i="12" a="1"/>
  <c r="G175" i="12" a="1"/>
  <c r="G175" i="12" l="1"/>
  <c r="N174" i="12"/>
  <c r="B176" i="12" a="1"/>
  <c r="D175" i="12" a="1"/>
  <c r="I175" i="12" a="1"/>
  <c r="I175" i="12" l="1"/>
  <c r="H175" i="12" s="1"/>
  <c r="D175" i="12"/>
  <c r="B176" i="12"/>
  <c r="F175" i="12"/>
  <c r="L175" i="12" a="1"/>
  <c r="M175" i="12" a="1"/>
  <c r="K175" i="12" a="1"/>
  <c r="E175" i="12" a="1"/>
  <c r="R175" i="12" a="1"/>
  <c r="Q175" i="12" a="1"/>
  <c r="C176" i="12" a="1"/>
  <c r="P175" i="12" a="1"/>
  <c r="O175" i="12" a="1"/>
  <c r="C176" i="12" l="1"/>
  <c r="Q175" i="12"/>
  <c r="P175" i="12"/>
  <c r="R175" i="12"/>
  <c r="E175" i="12"/>
  <c r="K175" i="12"/>
  <c r="O175" i="12"/>
  <c r="M175" i="12"/>
  <c r="L175" i="12"/>
  <c r="N175" i="12" a="1"/>
  <c r="G176" i="12" a="1"/>
  <c r="G176" i="12" l="1"/>
  <c r="N175" i="12"/>
  <c r="D176" i="12" a="1"/>
  <c r="I176" i="12" a="1"/>
  <c r="B177" i="12" a="1"/>
  <c r="B177" i="12" l="1"/>
  <c r="I176" i="12"/>
  <c r="H176" i="12" s="1"/>
  <c r="D176" i="12"/>
  <c r="F176" i="12"/>
  <c r="K176" i="12" a="1"/>
  <c r="M176" i="12" a="1"/>
  <c r="Q176" i="12" a="1"/>
  <c r="E176" i="12" a="1"/>
  <c r="L176" i="12" a="1"/>
  <c r="C177" i="12" a="1"/>
  <c r="O176" i="12" a="1"/>
  <c r="R176" i="12" a="1"/>
  <c r="P176" i="12" a="1"/>
  <c r="L176" i="12" l="1"/>
  <c r="E176" i="12"/>
  <c r="Q176" i="12"/>
  <c r="M176" i="12"/>
  <c r="K176" i="12"/>
  <c r="P176" i="12"/>
  <c r="R176" i="12"/>
  <c r="O176" i="12"/>
  <c r="C177" i="12"/>
  <c r="N176" i="12" a="1"/>
  <c r="G177" i="12" a="1"/>
  <c r="G177" i="12" l="1"/>
  <c r="N176" i="12"/>
  <c r="D177" i="12" a="1"/>
  <c r="B178" i="12" a="1"/>
  <c r="I177" i="12" a="1"/>
  <c r="B178" i="12" l="1"/>
  <c r="I177" i="12"/>
  <c r="H177" i="12" s="1"/>
  <c r="D177" i="12"/>
  <c r="F177" i="12"/>
  <c r="C178" i="12" a="1"/>
  <c r="R177" i="12" a="1"/>
  <c r="E177" i="12" a="1"/>
  <c r="O177" i="12" a="1"/>
  <c r="P177" i="12" a="1"/>
  <c r="K177" i="12" a="1"/>
  <c r="M177" i="12" a="1"/>
  <c r="Q177" i="12" a="1"/>
  <c r="L177" i="12" a="1"/>
  <c r="Q177" i="12" l="1"/>
  <c r="M177" i="12"/>
  <c r="K177" i="12"/>
  <c r="P177" i="12"/>
  <c r="O177" i="12"/>
  <c r="E177" i="12"/>
  <c r="R177" i="12"/>
  <c r="L177" i="12"/>
  <c r="C178" i="12"/>
  <c r="N177" i="12" a="1"/>
  <c r="G178" i="12" a="1"/>
  <c r="G178" i="12" l="1"/>
  <c r="N177" i="12"/>
  <c r="D178" i="12" a="1"/>
  <c r="I178" i="12" a="1"/>
  <c r="B179" i="12" a="1"/>
  <c r="B179" i="12" l="1"/>
  <c r="I178" i="12"/>
  <c r="H178" i="12" s="1"/>
  <c r="D178" i="12"/>
  <c r="F178" i="12"/>
  <c r="L178" i="12" a="1"/>
  <c r="E178" i="12" a="1"/>
  <c r="O178" i="12" a="1"/>
  <c r="Q178" i="12" a="1"/>
  <c r="M178" i="12" a="1"/>
  <c r="P178" i="12" a="1"/>
  <c r="R178" i="12" a="1"/>
  <c r="C179" i="12" a="1"/>
  <c r="K178" i="12" a="1"/>
  <c r="R178" i="12" l="1"/>
  <c r="P178" i="12"/>
  <c r="M178" i="12"/>
  <c r="Q178" i="12"/>
  <c r="O178" i="12"/>
  <c r="E178" i="12"/>
  <c r="L178" i="12"/>
  <c r="K178" i="12"/>
  <c r="C179" i="12"/>
  <c r="N178" i="12" a="1"/>
  <c r="G179" i="12" a="1"/>
  <c r="G179" i="12" l="1"/>
  <c r="N178" i="12"/>
  <c r="B180" i="12" a="1"/>
  <c r="D179" i="12" a="1"/>
  <c r="I179" i="12" a="1"/>
  <c r="I179" i="12" l="1"/>
  <c r="H179" i="12" s="1"/>
  <c r="D179" i="12"/>
  <c r="B180" i="12"/>
  <c r="F179" i="12"/>
  <c r="K179" i="12" a="1"/>
  <c r="R179" i="12" a="1"/>
  <c r="Q179" i="12" a="1"/>
  <c r="E179" i="12" a="1"/>
  <c r="P179" i="12" a="1"/>
  <c r="C180" i="12" a="1"/>
  <c r="O179" i="12" a="1"/>
  <c r="M179" i="12" a="1"/>
  <c r="L179" i="12" a="1"/>
  <c r="C180" i="12" l="1"/>
  <c r="P179" i="12"/>
  <c r="E179" i="12"/>
  <c r="Q179" i="12"/>
  <c r="R179" i="12"/>
  <c r="K179" i="12"/>
  <c r="L179" i="12"/>
  <c r="M179" i="12"/>
  <c r="O179" i="12"/>
  <c r="N179" i="12" a="1"/>
  <c r="G180" i="12" a="1"/>
  <c r="G180" i="12" l="1"/>
  <c r="N179" i="12"/>
  <c r="D180" i="12" a="1"/>
  <c r="B181" i="12" a="1"/>
  <c r="I180" i="12" a="1"/>
  <c r="B181" i="12" l="1"/>
  <c r="I180" i="12"/>
  <c r="H180" i="12" s="1"/>
  <c r="D180" i="12"/>
  <c r="F180" i="12"/>
  <c r="K180" i="12" a="1"/>
  <c r="P180" i="12" a="1"/>
  <c r="L180" i="12" a="1"/>
  <c r="O180" i="12" a="1"/>
  <c r="M180" i="12" a="1"/>
  <c r="E180" i="12" a="1"/>
  <c r="C181" i="12" a="1"/>
  <c r="Q180" i="12" a="1"/>
  <c r="R180" i="12" a="1"/>
  <c r="E180" i="12" l="1"/>
  <c r="M180" i="12"/>
  <c r="O180" i="12"/>
  <c r="L180" i="12"/>
  <c r="P180" i="12"/>
  <c r="K180" i="12"/>
  <c r="R180" i="12"/>
  <c r="Q180" i="12"/>
  <c r="C181" i="12"/>
  <c r="G181" i="12" a="1"/>
  <c r="N180" i="12" a="1"/>
  <c r="N180" i="12" l="1"/>
  <c r="G181" i="12"/>
  <c r="D181" i="12" a="1"/>
  <c r="B182" i="12" a="1"/>
  <c r="I181" i="12" a="1"/>
  <c r="B182" i="12" l="1"/>
  <c r="I181" i="12"/>
  <c r="H181" i="12" s="1"/>
  <c r="D181" i="12"/>
  <c r="F181" i="12"/>
  <c r="C182" i="12" a="1"/>
  <c r="Q181" i="12" a="1"/>
  <c r="E181" i="12" a="1"/>
  <c r="M181" i="12" a="1"/>
  <c r="O181" i="12" a="1"/>
  <c r="P181" i="12" a="1"/>
  <c r="K181" i="12" a="1"/>
  <c r="L181" i="12" a="1"/>
  <c r="R181" i="12" a="1"/>
  <c r="L181" i="12" l="1"/>
  <c r="P181" i="12"/>
  <c r="R181" i="12"/>
  <c r="O181" i="12"/>
  <c r="M181" i="12"/>
  <c r="E181" i="12"/>
  <c r="Q181" i="12"/>
  <c r="K181" i="12"/>
  <c r="C182" i="12"/>
  <c r="G182" i="12" a="1"/>
  <c r="N181" i="12" a="1"/>
  <c r="N181" i="12" l="1"/>
  <c r="G182" i="12"/>
  <c r="I182" i="12" a="1"/>
  <c r="D182" i="12" a="1"/>
  <c r="B183" i="12" a="1"/>
  <c r="B183" i="12" l="1"/>
  <c r="D182" i="12"/>
  <c r="I182" i="12"/>
  <c r="H182" i="12" s="1"/>
  <c r="F182" i="12"/>
  <c r="L182" i="12" a="1"/>
  <c r="O182" i="12" a="1"/>
  <c r="Q182" i="12" a="1"/>
  <c r="K182" i="12" a="1"/>
  <c r="E182" i="12" a="1"/>
  <c r="M182" i="12" a="1"/>
  <c r="R182" i="12" a="1"/>
  <c r="C183" i="12" a="1"/>
  <c r="P182" i="12" a="1"/>
  <c r="R182" i="12" l="1"/>
  <c r="M182" i="12"/>
  <c r="P182" i="12"/>
  <c r="E182" i="12"/>
  <c r="K182" i="12"/>
  <c r="L182" i="12"/>
  <c r="Q182" i="12"/>
  <c r="O182" i="12"/>
  <c r="C183" i="12"/>
  <c r="N182" i="12" a="1"/>
  <c r="G183" i="12" a="1"/>
  <c r="G183" i="12" l="1"/>
  <c r="N182" i="12"/>
  <c r="B184" i="12" a="1"/>
  <c r="D183" i="12" a="1"/>
  <c r="I183" i="12" a="1"/>
  <c r="B184" i="12" l="1"/>
  <c r="D183" i="12"/>
  <c r="I183" i="12"/>
  <c r="H183" i="12" s="1"/>
  <c r="F183" i="12"/>
  <c r="P183" i="12" a="1"/>
  <c r="K183" i="12" a="1"/>
  <c r="E183" i="12" a="1"/>
  <c r="O183" i="12" a="1"/>
  <c r="M183" i="12" a="1"/>
  <c r="Q183" i="12" a="1"/>
  <c r="L183" i="12" a="1"/>
  <c r="C184" i="12" a="1"/>
  <c r="R183" i="12" a="1"/>
  <c r="L183" i="12" l="1"/>
  <c r="Q183" i="12"/>
  <c r="R183" i="12"/>
  <c r="M183" i="12"/>
  <c r="O183" i="12"/>
  <c r="E183" i="12"/>
  <c r="K183" i="12"/>
  <c r="P183" i="12"/>
  <c r="C184" i="12"/>
  <c r="G184" i="12" a="1"/>
  <c r="N183" i="12" a="1"/>
  <c r="G184" i="12" l="1"/>
  <c r="N183" i="12"/>
  <c r="I184" i="12" a="1"/>
  <c r="B185" i="12" a="1"/>
  <c r="D184" i="12" a="1"/>
  <c r="B185" i="12" l="1"/>
  <c r="D184" i="12"/>
  <c r="I184" i="12"/>
  <c r="H184" i="12" s="1"/>
  <c r="F184" i="12"/>
  <c r="Q184" i="12" a="1"/>
  <c r="L184" i="12" a="1"/>
  <c r="M184" i="12" a="1"/>
  <c r="C185" i="12" a="1"/>
  <c r="P184" i="12" a="1"/>
  <c r="K184" i="12" a="1"/>
  <c r="E184" i="12" a="1"/>
  <c r="R184" i="12" a="1"/>
  <c r="O184" i="12" a="1"/>
  <c r="M184" i="12" l="1"/>
  <c r="L184" i="12"/>
  <c r="Q184" i="12"/>
  <c r="O184" i="12"/>
  <c r="R184" i="12"/>
  <c r="E184" i="12"/>
  <c r="K184" i="12"/>
  <c r="P184" i="12"/>
  <c r="C185" i="12"/>
  <c r="N184" i="12" a="1"/>
  <c r="G185" i="12" a="1"/>
  <c r="G185" i="12" l="1"/>
  <c r="N184" i="12"/>
  <c r="D185" i="12" a="1"/>
  <c r="I185" i="12" a="1"/>
  <c r="B186" i="12" a="1"/>
  <c r="I185" i="12" l="1"/>
  <c r="H185" i="12" s="1"/>
  <c r="B186" i="12"/>
  <c r="D185" i="12"/>
  <c r="F185" i="12"/>
  <c r="P185" i="12" a="1"/>
  <c r="M185" i="12" a="1"/>
  <c r="K185" i="12" a="1"/>
  <c r="R185" i="12" a="1"/>
  <c r="C186" i="12" a="1"/>
  <c r="O185" i="12" a="1"/>
  <c r="Q185" i="12" a="1"/>
  <c r="L185" i="12" a="1"/>
  <c r="E185" i="12" a="1"/>
  <c r="R185" i="12" l="1"/>
  <c r="K185" i="12"/>
  <c r="M185" i="12"/>
  <c r="P185" i="12"/>
  <c r="E185" i="12"/>
  <c r="L185" i="12"/>
  <c r="Q185" i="12"/>
  <c r="O185" i="12"/>
  <c r="C186" i="12"/>
  <c r="N185" i="12" a="1"/>
  <c r="G186" i="12" a="1"/>
  <c r="G186" i="12" l="1"/>
  <c r="N185" i="12"/>
  <c r="B187" i="12" a="1"/>
  <c r="I186" i="12" a="1"/>
  <c r="D186" i="12" a="1"/>
  <c r="B187" i="12" l="1"/>
  <c r="I186" i="12"/>
  <c r="H186" i="12" s="1"/>
  <c r="D186" i="12"/>
  <c r="F186" i="12"/>
  <c r="L186" i="12" a="1"/>
  <c r="K186" i="12" a="1"/>
  <c r="O186" i="12" a="1"/>
  <c r="P186" i="12" a="1"/>
  <c r="C187" i="12" a="1"/>
  <c r="M186" i="12" a="1"/>
  <c r="R186" i="12" a="1"/>
  <c r="Q186" i="12" a="1"/>
  <c r="E186" i="12" a="1"/>
  <c r="P186" i="12" l="1"/>
  <c r="O186" i="12"/>
  <c r="K186" i="12"/>
  <c r="L186" i="12"/>
  <c r="E186" i="12"/>
  <c r="Q186" i="12"/>
  <c r="R186" i="12"/>
  <c r="M186" i="12"/>
  <c r="C187" i="12"/>
  <c r="G187" i="12" a="1"/>
  <c r="N186" i="12" a="1"/>
  <c r="G187" i="12" l="1"/>
  <c r="N186" i="12"/>
  <c r="I187" i="12" a="1"/>
  <c r="D187" i="12" a="1"/>
  <c r="B188" i="12" a="1"/>
  <c r="B188" i="12" l="1"/>
  <c r="D187" i="12"/>
  <c r="I187" i="12"/>
  <c r="H187" i="12" s="1"/>
  <c r="F187" i="12"/>
  <c r="K187" i="12" a="1"/>
  <c r="L187" i="12" a="1"/>
  <c r="R187" i="12" a="1"/>
  <c r="C188" i="12" a="1"/>
  <c r="Q187" i="12" a="1"/>
  <c r="E187" i="12" a="1"/>
  <c r="M187" i="12" a="1"/>
  <c r="O187" i="12" a="1"/>
  <c r="P187" i="12" a="1"/>
  <c r="R187" i="12" l="1"/>
  <c r="L187" i="12"/>
  <c r="K187" i="12"/>
  <c r="P187" i="12"/>
  <c r="O187" i="12"/>
  <c r="M187" i="12"/>
  <c r="E187" i="12"/>
  <c r="Q187" i="12"/>
  <c r="C188" i="12"/>
  <c r="N187" i="12" a="1"/>
  <c r="G188" i="12" a="1"/>
  <c r="N187" i="12" l="1"/>
  <c r="G188" i="12"/>
  <c r="B189" i="12" a="1"/>
  <c r="D188" i="12" a="1"/>
  <c r="I188" i="12" a="1"/>
  <c r="I188" i="12" l="1"/>
  <c r="H188" i="12" s="1"/>
  <c r="D188" i="12"/>
  <c r="B189" i="12"/>
  <c r="F188" i="12"/>
  <c r="Q188" i="12" a="1"/>
  <c r="P188" i="12" a="1"/>
  <c r="O188" i="12" a="1"/>
  <c r="K188" i="12" a="1"/>
  <c r="R188" i="12" a="1"/>
  <c r="E188" i="12" a="1"/>
  <c r="C189" i="12" a="1"/>
  <c r="L188" i="12" a="1"/>
  <c r="M188" i="12" a="1"/>
  <c r="C189" i="12" l="1"/>
  <c r="E188" i="12"/>
  <c r="R188" i="12"/>
  <c r="M188" i="12"/>
  <c r="K188" i="12"/>
  <c r="O188" i="12"/>
  <c r="L188" i="12"/>
  <c r="P188" i="12"/>
  <c r="Q188" i="12"/>
  <c r="G189" i="12" a="1"/>
  <c r="N188" i="12" a="1"/>
  <c r="N188" i="12" l="1"/>
  <c r="G189" i="12"/>
  <c r="D189" i="12" a="1"/>
  <c r="I189" i="12" a="1"/>
  <c r="B190" i="12" a="1"/>
  <c r="I189" i="12" l="1"/>
  <c r="H189" i="12" s="1"/>
  <c r="B190" i="12"/>
  <c r="D189" i="12"/>
  <c r="F189" i="12"/>
  <c r="Q189" i="12" a="1"/>
  <c r="L189" i="12" a="1"/>
  <c r="R189" i="12" a="1"/>
  <c r="K189" i="12" a="1"/>
  <c r="M189" i="12" a="1"/>
  <c r="C190" i="12" a="1"/>
  <c r="P189" i="12" a="1"/>
  <c r="E189" i="12" a="1"/>
  <c r="O189" i="12" a="1"/>
  <c r="O189" i="12" l="1"/>
  <c r="M189" i="12"/>
  <c r="E189" i="12"/>
  <c r="K189" i="12"/>
  <c r="R189" i="12"/>
  <c r="P189" i="12"/>
  <c r="L189" i="12"/>
  <c r="Q189" i="12"/>
  <c r="C190" i="12"/>
  <c r="G190" i="12" a="1"/>
  <c r="N189" i="12" a="1"/>
  <c r="G190" i="12" l="1"/>
  <c r="N189" i="12"/>
  <c r="B191" i="12" a="1"/>
  <c r="D190" i="12" a="1"/>
  <c r="I190" i="12" a="1"/>
  <c r="I190" i="12" l="1"/>
  <c r="H190" i="12" s="1"/>
  <c r="D190" i="12"/>
  <c r="B191" i="12"/>
  <c r="F190" i="12"/>
  <c r="P190" i="12" a="1"/>
  <c r="E190" i="12" a="1"/>
  <c r="M190" i="12" a="1"/>
  <c r="L190" i="12" a="1"/>
  <c r="Q190" i="12" a="1"/>
  <c r="K190" i="12" a="1"/>
  <c r="C191" i="12" a="1"/>
  <c r="O190" i="12" a="1"/>
  <c r="R190" i="12" a="1"/>
  <c r="K190" i="12" l="1"/>
  <c r="Q190" i="12"/>
  <c r="L190" i="12"/>
  <c r="M190" i="12"/>
  <c r="E190" i="12"/>
  <c r="P190" i="12"/>
  <c r="R190" i="12"/>
  <c r="O190" i="12"/>
  <c r="C191" i="12"/>
  <c r="N190" i="12" a="1"/>
  <c r="G191" i="12" a="1"/>
  <c r="G191" i="12" l="1"/>
  <c r="N190" i="12"/>
  <c r="I191" i="12" a="1"/>
  <c r="D191" i="12" a="1"/>
  <c r="B192" i="12" a="1"/>
  <c r="B192" i="12" l="1"/>
  <c r="I191" i="12"/>
  <c r="H191" i="12" s="1"/>
  <c r="D191" i="12"/>
  <c r="F191" i="12"/>
  <c r="P191" i="12" a="1"/>
  <c r="C192" i="12" a="1"/>
  <c r="Q191" i="12" a="1"/>
  <c r="L191" i="12" a="1"/>
  <c r="E191" i="12" a="1"/>
  <c r="M191" i="12" a="1"/>
  <c r="K191" i="12" a="1"/>
  <c r="R191" i="12" a="1"/>
  <c r="O191" i="12" a="1"/>
  <c r="C192" i="12" l="1"/>
  <c r="P191" i="12"/>
  <c r="O191" i="12"/>
  <c r="R191" i="12"/>
  <c r="K191" i="12"/>
  <c r="M191" i="12"/>
  <c r="E191" i="12"/>
  <c r="L191" i="12"/>
  <c r="Q191" i="12"/>
  <c r="N191" i="12" a="1"/>
  <c r="G192" i="12" a="1"/>
  <c r="G192" i="12" l="1"/>
  <c r="N191" i="12"/>
  <c r="I192" i="12" a="1"/>
  <c r="D192" i="12" a="1"/>
  <c r="B193" i="12" a="1"/>
  <c r="I192" i="12" l="1"/>
  <c r="H192" i="12" s="1"/>
  <c r="D192" i="12"/>
  <c r="B193" i="12"/>
  <c r="F192" i="12"/>
  <c r="Q192" i="12" a="1"/>
  <c r="E192" i="12" a="1"/>
  <c r="C193" i="12" a="1"/>
  <c r="M192" i="12" a="1"/>
  <c r="O192" i="12" a="1"/>
  <c r="P192" i="12" a="1"/>
  <c r="K192" i="12" a="1"/>
  <c r="L192" i="12" a="1"/>
  <c r="R192" i="12" a="1"/>
  <c r="C193" i="12" l="1"/>
  <c r="E192" i="12"/>
  <c r="Q192" i="12"/>
  <c r="K192" i="12"/>
  <c r="R192" i="12"/>
  <c r="P192" i="12"/>
  <c r="O192" i="12"/>
  <c r="M192" i="12"/>
  <c r="L192" i="12"/>
  <c r="G193" i="12" a="1"/>
  <c r="N192" i="12" a="1"/>
  <c r="G193" i="12" l="1"/>
  <c r="N192" i="12"/>
  <c r="D193" i="12" a="1"/>
  <c r="B194" i="12" a="1"/>
  <c r="I193" i="12" a="1"/>
  <c r="B194" i="12" l="1"/>
  <c r="I193" i="12"/>
  <c r="H193" i="12" s="1"/>
  <c r="D193" i="12"/>
  <c r="F193" i="12"/>
  <c r="L193" i="12" a="1"/>
  <c r="C194" i="12" a="1"/>
  <c r="P193" i="12" a="1"/>
  <c r="M193" i="12" a="1"/>
  <c r="O193" i="12" a="1"/>
  <c r="Q193" i="12" a="1"/>
  <c r="R193" i="12" a="1"/>
  <c r="K193" i="12" a="1"/>
  <c r="E193" i="12" a="1"/>
  <c r="E193" i="12" l="1"/>
  <c r="K193" i="12"/>
  <c r="R193" i="12"/>
  <c r="Q193" i="12"/>
  <c r="L193" i="12"/>
  <c r="O193" i="12"/>
  <c r="M193" i="12"/>
  <c r="P193" i="12"/>
  <c r="C194" i="12"/>
  <c r="N193" i="12" a="1"/>
  <c r="G194" i="12" a="1"/>
  <c r="G194" i="12" l="1"/>
  <c r="N193" i="12"/>
  <c r="D194" i="12" a="1"/>
  <c r="I194" i="12" a="1"/>
  <c r="B195" i="12" a="1"/>
  <c r="I194" i="12" l="1"/>
  <c r="H194" i="12" s="1"/>
  <c r="B195" i="12"/>
  <c r="D194" i="12"/>
  <c r="F194" i="12"/>
  <c r="E194" i="12" a="1"/>
  <c r="C195" i="12" a="1"/>
  <c r="R194" i="12" a="1"/>
  <c r="O194" i="12" a="1"/>
  <c r="K194" i="12" a="1"/>
  <c r="L194" i="12" a="1"/>
  <c r="Q194" i="12" a="1"/>
  <c r="P194" i="12" a="1"/>
  <c r="M194" i="12" a="1"/>
  <c r="M194" i="12" l="1"/>
  <c r="P194" i="12"/>
  <c r="E194" i="12"/>
  <c r="Q194" i="12"/>
  <c r="L194" i="12"/>
  <c r="K194" i="12"/>
  <c r="O194" i="12"/>
  <c r="R194" i="12"/>
  <c r="C195" i="12"/>
  <c r="N194" i="12" a="1"/>
  <c r="G195" i="12" a="1"/>
  <c r="G195" i="12" l="1"/>
  <c r="N194" i="12"/>
  <c r="I195" i="12" a="1"/>
  <c r="D195" i="12" a="1"/>
  <c r="B196" i="12" a="1"/>
  <c r="B196" i="12" l="1"/>
  <c r="D195" i="12"/>
  <c r="I195" i="12"/>
  <c r="H195" i="12" s="1"/>
  <c r="F195" i="12"/>
  <c r="O195" i="12" a="1"/>
  <c r="L195" i="12" a="1"/>
  <c r="E195" i="12" a="1"/>
  <c r="R195" i="12" a="1"/>
  <c r="C196" i="12" a="1"/>
  <c r="K195" i="12" a="1"/>
  <c r="P195" i="12" a="1"/>
  <c r="Q195" i="12" a="1"/>
  <c r="M195" i="12" a="1"/>
  <c r="R195" i="12" l="1"/>
  <c r="E195" i="12"/>
  <c r="L195" i="12"/>
  <c r="O195" i="12"/>
  <c r="M195" i="12"/>
  <c r="Q195" i="12"/>
  <c r="P195" i="12"/>
  <c r="K195" i="12"/>
  <c r="C196" i="12"/>
  <c r="N195" i="12" a="1"/>
  <c r="G196" i="12" a="1"/>
  <c r="G196" i="12" l="1"/>
  <c r="N195" i="12"/>
  <c r="D196" i="12" a="1"/>
  <c r="I196" i="12" a="1"/>
  <c r="B197" i="12" a="1"/>
  <c r="I196" i="12" l="1"/>
  <c r="H196" i="12" s="1"/>
  <c r="B197" i="12"/>
  <c r="D196" i="12"/>
  <c r="F196" i="12"/>
  <c r="Q196" i="12" a="1"/>
  <c r="R196" i="12" a="1"/>
  <c r="L196" i="12" a="1"/>
  <c r="M196" i="12" a="1"/>
  <c r="C197" i="12" a="1"/>
  <c r="O196" i="12" a="1"/>
  <c r="E196" i="12" a="1"/>
  <c r="P196" i="12" a="1"/>
  <c r="K196" i="12" a="1"/>
  <c r="L196" i="12" l="1"/>
  <c r="R196" i="12"/>
  <c r="M196" i="12"/>
  <c r="Q196" i="12"/>
  <c r="K196" i="12"/>
  <c r="P196" i="12"/>
  <c r="E196" i="12"/>
  <c r="O196" i="12"/>
  <c r="C197" i="12"/>
  <c r="N196" i="12" a="1"/>
  <c r="G197" i="12" a="1"/>
  <c r="G197" i="12" l="1"/>
  <c r="N196" i="12"/>
  <c r="D197" i="12" a="1"/>
  <c r="I197" i="12" a="1"/>
  <c r="B198" i="12" a="1"/>
  <c r="B198" i="12" l="1"/>
  <c r="I197" i="12"/>
  <c r="H197" i="12" s="1"/>
  <c r="D197" i="12"/>
  <c r="F197" i="12"/>
  <c r="C198" i="12" a="1"/>
  <c r="M197" i="12" a="1"/>
  <c r="P197" i="12" a="1"/>
  <c r="E197" i="12" a="1"/>
  <c r="R197" i="12" a="1"/>
  <c r="Q197" i="12" a="1"/>
  <c r="K197" i="12" a="1"/>
  <c r="L197" i="12" a="1"/>
  <c r="O197" i="12" a="1"/>
  <c r="E197" i="12" l="1"/>
  <c r="P197" i="12"/>
  <c r="M197" i="12"/>
  <c r="O197" i="12"/>
  <c r="L197" i="12"/>
  <c r="K197" i="12"/>
  <c r="Q197" i="12"/>
  <c r="R197" i="12"/>
  <c r="C198" i="12"/>
  <c r="N197" i="12" a="1"/>
  <c r="G198" i="12" a="1"/>
  <c r="N197" i="12" l="1"/>
  <c r="G198" i="12"/>
  <c r="B199" i="12" a="1"/>
  <c r="D198" i="12" a="1"/>
  <c r="I198" i="12" a="1"/>
  <c r="I198" i="12" l="1"/>
  <c r="H198" i="12" s="1"/>
  <c r="D198" i="12"/>
  <c r="B199" i="12"/>
  <c r="F198" i="12"/>
  <c r="K198" i="12" a="1"/>
  <c r="L198" i="12" a="1"/>
  <c r="E198" i="12" a="1"/>
  <c r="O198" i="12" a="1"/>
  <c r="M198" i="12" a="1"/>
  <c r="R198" i="12" a="1"/>
  <c r="Q198" i="12" a="1"/>
  <c r="P198" i="12" a="1"/>
  <c r="C199" i="12" a="1"/>
  <c r="C199" i="12" l="1"/>
  <c r="R198" i="12"/>
  <c r="P198" i="12"/>
  <c r="Q198" i="12"/>
  <c r="M198" i="12"/>
  <c r="O198" i="12"/>
  <c r="E198" i="12"/>
  <c r="L198" i="12"/>
  <c r="K198" i="12"/>
  <c r="G199" i="12" a="1"/>
  <c r="N198" i="12" a="1"/>
  <c r="G199" i="12" l="1"/>
  <c r="N198" i="12"/>
  <c r="D199" i="12" a="1"/>
  <c r="B200" i="12" a="1"/>
  <c r="I199" i="12" a="1"/>
  <c r="I199" i="12" l="1"/>
  <c r="H199" i="12" s="1"/>
  <c r="B200" i="12"/>
  <c r="D199" i="12"/>
  <c r="F199" i="12"/>
  <c r="P199" i="12" a="1"/>
  <c r="E199" i="12" a="1"/>
  <c r="R199" i="12" a="1"/>
  <c r="K199" i="12" a="1"/>
  <c r="L199" i="12" a="1"/>
  <c r="M199" i="12" a="1"/>
  <c r="C200" i="12" a="1"/>
  <c r="O199" i="12" a="1"/>
  <c r="Q199" i="12" a="1"/>
  <c r="C200" i="12" l="1"/>
  <c r="M199" i="12"/>
  <c r="L199" i="12"/>
  <c r="Q199" i="12"/>
  <c r="K199" i="12"/>
  <c r="O199" i="12"/>
  <c r="R199" i="12"/>
  <c r="E199" i="12"/>
  <c r="P199" i="12"/>
  <c r="N199" i="12" a="1"/>
  <c r="G200" i="12" a="1"/>
  <c r="N199" i="12" l="1"/>
  <c r="G200" i="12"/>
  <c r="B201" i="12" a="1"/>
  <c r="D200" i="12" a="1"/>
  <c r="I200" i="12" a="1"/>
  <c r="I200" i="12" l="1"/>
  <c r="H200" i="12" s="1"/>
  <c r="D200" i="12"/>
  <c r="B201" i="12"/>
  <c r="F200" i="12"/>
  <c r="O200" i="12" a="1"/>
  <c r="K200" i="12" a="1"/>
  <c r="M200" i="12" a="1"/>
  <c r="Q200" i="12" a="1"/>
  <c r="R200" i="12" a="1"/>
  <c r="L200" i="12" a="1"/>
  <c r="C201" i="12" a="1"/>
  <c r="P200" i="12" a="1"/>
  <c r="E200" i="12" a="1"/>
  <c r="C201" i="12" l="1"/>
  <c r="L200" i="12"/>
  <c r="R200" i="12"/>
  <c r="Q200" i="12"/>
  <c r="M200" i="12"/>
  <c r="K200" i="12"/>
  <c r="O200" i="12"/>
  <c r="E200" i="12"/>
  <c r="P200" i="12"/>
  <c r="N200" i="12" a="1"/>
  <c r="G201" i="12" a="1"/>
  <c r="G201" i="12" l="1"/>
  <c r="N200" i="12"/>
  <c r="B202" i="12" a="1"/>
  <c r="I201" i="12" a="1"/>
  <c r="D201" i="12" a="1"/>
  <c r="D201" i="12" l="1"/>
  <c r="I201" i="12"/>
  <c r="H201" i="12" s="1"/>
  <c r="B202" i="12"/>
  <c r="F201" i="12"/>
  <c r="P201" i="12" a="1"/>
  <c r="E201" i="12" a="1"/>
  <c r="C202" i="12" a="1"/>
  <c r="K201" i="12" a="1"/>
  <c r="R201" i="12" a="1"/>
  <c r="Q201" i="12" a="1"/>
  <c r="M201" i="12" a="1"/>
  <c r="L201" i="12" a="1"/>
  <c r="O201" i="12" a="1"/>
  <c r="C202" i="12" l="1"/>
  <c r="E201" i="12"/>
  <c r="P201" i="12"/>
  <c r="O201" i="12"/>
  <c r="L201" i="12"/>
  <c r="M201" i="12"/>
  <c r="K201" i="12"/>
  <c r="Q201" i="12"/>
  <c r="R201" i="12"/>
  <c r="N201" i="12" a="1"/>
  <c r="G202" i="12" a="1"/>
  <c r="N201" i="12" l="1"/>
  <c r="G202" i="12"/>
  <c r="I202" i="12" a="1"/>
  <c r="D202" i="12" a="1"/>
  <c r="B203" i="12" a="1"/>
  <c r="B203" i="12" l="1"/>
  <c r="D202" i="12"/>
  <c r="I202" i="12"/>
  <c r="H202" i="12" s="1"/>
  <c r="F202" i="12"/>
  <c r="M202" i="12" a="1"/>
  <c r="K202" i="12" a="1"/>
  <c r="E202" i="12" a="1"/>
  <c r="L202" i="12" a="1"/>
  <c r="C203" i="12" a="1"/>
  <c r="P202" i="12" a="1"/>
  <c r="O202" i="12" a="1"/>
  <c r="Q202" i="12" a="1"/>
  <c r="R202" i="12" a="1"/>
  <c r="Q202" i="12" l="1"/>
  <c r="O202" i="12"/>
  <c r="P202" i="12"/>
  <c r="L202" i="12"/>
  <c r="E202" i="12"/>
  <c r="K202" i="12"/>
  <c r="M202" i="12"/>
  <c r="R202" i="12"/>
  <c r="C203" i="12"/>
  <c r="G203" i="12" a="1"/>
  <c r="N202" i="12" a="1"/>
  <c r="G203" i="12" l="1"/>
  <c r="N202" i="12"/>
  <c r="I203" i="12" a="1"/>
  <c r="D203" i="12" a="1"/>
  <c r="B204" i="12" a="1"/>
  <c r="B204" i="12" l="1"/>
  <c r="D203" i="12"/>
  <c r="I203" i="12"/>
  <c r="H203" i="12" s="1"/>
  <c r="F203" i="12"/>
  <c r="C204" i="12" a="1"/>
  <c r="M203" i="12" a="1"/>
  <c r="O203" i="12" a="1"/>
  <c r="R203" i="12" a="1"/>
  <c r="Q203" i="12" a="1"/>
  <c r="L203" i="12" a="1"/>
  <c r="K203" i="12" a="1"/>
  <c r="P203" i="12" a="1"/>
  <c r="E203" i="12" a="1"/>
  <c r="P203" i="12" l="1"/>
  <c r="K203" i="12"/>
  <c r="L203" i="12"/>
  <c r="E203" i="12"/>
  <c r="Q203" i="12"/>
  <c r="R203" i="12"/>
  <c r="O203" i="12"/>
  <c r="M203" i="12"/>
  <c r="C204" i="12"/>
  <c r="N203" i="12" a="1"/>
  <c r="G204" i="12" a="1"/>
  <c r="N203" i="12" l="1"/>
  <c r="G204" i="12"/>
  <c r="D204" i="12" a="1"/>
  <c r="I204" i="12" a="1"/>
  <c r="B205" i="12" a="1"/>
  <c r="I204" i="12" l="1"/>
  <c r="H204" i="12" s="1"/>
  <c r="B205" i="12"/>
  <c r="D204" i="12"/>
  <c r="F204" i="12"/>
  <c r="C205" i="12" a="1"/>
  <c r="O204" i="12" a="1"/>
  <c r="E204" i="12" a="1"/>
  <c r="K204" i="12" a="1"/>
  <c r="Q204" i="12" a="1"/>
  <c r="M204" i="12" a="1"/>
  <c r="R204" i="12" a="1"/>
  <c r="P204" i="12" a="1"/>
  <c r="L204" i="12" a="1"/>
  <c r="P204" i="12" l="1"/>
  <c r="L204" i="12"/>
  <c r="R204" i="12"/>
  <c r="M204" i="12"/>
  <c r="Q204" i="12"/>
  <c r="K204" i="12"/>
  <c r="E204" i="12"/>
  <c r="O204" i="12"/>
  <c r="C205" i="12"/>
  <c r="G205" i="12" a="1"/>
  <c r="N204" i="12" a="1"/>
  <c r="G205" i="12" l="1"/>
  <c r="N204" i="12"/>
  <c r="I205" i="12" a="1"/>
  <c r="D205" i="12" a="1"/>
  <c r="B206" i="12" a="1"/>
  <c r="B206" i="12" l="1"/>
  <c r="D205" i="12"/>
  <c r="I205" i="12"/>
  <c r="H205" i="12" s="1"/>
  <c r="F205" i="12"/>
  <c r="C206" i="12" a="1"/>
  <c r="O205" i="12" a="1"/>
  <c r="P205" i="12" a="1"/>
  <c r="Q205" i="12" a="1"/>
  <c r="L205" i="12" a="1"/>
  <c r="M205" i="12" a="1"/>
  <c r="R205" i="12" a="1"/>
  <c r="K205" i="12" a="1"/>
  <c r="E205" i="12" a="1"/>
  <c r="E205" i="12" l="1"/>
  <c r="L205" i="12"/>
  <c r="K205" i="12"/>
  <c r="Q205" i="12"/>
  <c r="P205" i="12"/>
  <c r="R205" i="12"/>
  <c r="O205" i="12"/>
  <c r="M205" i="12"/>
  <c r="C206" i="12"/>
  <c r="N205" i="12" a="1"/>
  <c r="G206" i="12" a="1"/>
  <c r="G206" i="12" l="1"/>
  <c r="N205" i="12"/>
  <c r="B207" i="12" a="1"/>
  <c r="I206" i="12" a="1"/>
  <c r="D206" i="12" a="1"/>
  <c r="B207" i="12" l="1"/>
  <c r="D206" i="12"/>
  <c r="I206" i="12"/>
  <c r="H206" i="12" s="1"/>
  <c r="F206" i="12"/>
  <c r="K206" i="12" a="1"/>
  <c r="P206" i="12" a="1"/>
  <c r="O206" i="12" a="1"/>
  <c r="C207" i="12" a="1"/>
  <c r="R206" i="12" a="1"/>
  <c r="M206" i="12" a="1"/>
  <c r="L206" i="12" a="1"/>
  <c r="Q206" i="12" a="1"/>
  <c r="E206" i="12" a="1"/>
  <c r="C207" i="12" l="1"/>
  <c r="O206" i="12"/>
  <c r="P206" i="12"/>
  <c r="K206" i="12"/>
  <c r="E206" i="12"/>
  <c r="Q206" i="12"/>
  <c r="L206" i="12"/>
  <c r="M206" i="12"/>
  <c r="R206" i="12"/>
  <c r="G207" i="12" a="1"/>
  <c r="N206" i="12" a="1"/>
  <c r="N206" i="12" l="1"/>
  <c r="G207" i="12"/>
  <c r="I207" i="12" a="1"/>
  <c r="D207" i="12" a="1"/>
  <c r="B208" i="12" a="1"/>
  <c r="B208" i="12" l="1"/>
  <c r="D207" i="12"/>
  <c r="I207" i="12"/>
  <c r="H207" i="12" s="1"/>
  <c r="F207" i="12"/>
  <c r="R207" i="12" a="1"/>
  <c r="Q207" i="12" a="1"/>
  <c r="K207" i="12" a="1"/>
  <c r="E207" i="12" a="1"/>
  <c r="C208" i="12" a="1"/>
  <c r="L207" i="12" a="1"/>
  <c r="M207" i="12" a="1"/>
  <c r="O207" i="12" a="1"/>
  <c r="P207" i="12" a="1"/>
  <c r="E207" i="12" l="1"/>
  <c r="K207" i="12"/>
  <c r="Q207" i="12"/>
  <c r="R207" i="12"/>
  <c r="P207" i="12"/>
  <c r="O207" i="12"/>
  <c r="M207" i="12"/>
  <c r="L207" i="12"/>
  <c r="C208" i="12"/>
  <c r="G208" i="12" a="1"/>
  <c r="N207" i="12" a="1"/>
  <c r="G208" i="12" l="1"/>
  <c r="N207" i="12"/>
  <c r="I208" i="12" a="1"/>
  <c r="B209" i="12" a="1"/>
  <c r="D208" i="12" a="1"/>
  <c r="I208" i="12" l="1"/>
  <c r="H208" i="12" s="1"/>
  <c r="B209" i="12"/>
  <c r="D208" i="12"/>
  <c r="F208" i="12"/>
  <c r="C209" i="12" a="1"/>
  <c r="K208" i="12" a="1"/>
  <c r="M208" i="12" a="1"/>
  <c r="P208" i="12" a="1"/>
  <c r="E208" i="12" a="1"/>
  <c r="Q208" i="12" a="1"/>
  <c r="O208" i="12" a="1"/>
  <c r="R208" i="12" a="1"/>
  <c r="L208" i="12" a="1"/>
  <c r="E208" i="12" l="1"/>
  <c r="P208" i="12"/>
  <c r="M208" i="12"/>
  <c r="K208" i="12"/>
  <c r="L208" i="12"/>
  <c r="R208" i="12"/>
  <c r="O208" i="12"/>
  <c r="Q208" i="12"/>
  <c r="C209" i="12"/>
  <c r="N208" i="12" a="1"/>
  <c r="G209" i="12" a="1"/>
  <c r="G209" i="12" l="1"/>
  <c r="N208" i="12"/>
  <c r="B210" i="12" a="1"/>
  <c r="D209" i="12" a="1"/>
  <c r="I209" i="12" a="1"/>
  <c r="I209" i="12" l="1"/>
  <c r="H209" i="12" s="1"/>
  <c r="D209" i="12"/>
  <c r="B210" i="12"/>
  <c r="F209" i="12"/>
  <c r="M209" i="12" a="1"/>
  <c r="O209" i="12" a="1"/>
  <c r="K209" i="12" a="1"/>
  <c r="E209" i="12" a="1"/>
  <c r="P209" i="12" a="1"/>
  <c r="L209" i="12" a="1"/>
  <c r="Q209" i="12" a="1"/>
  <c r="R209" i="12" a="1"/>
  <c r="C210" i="12" a="1"/>
  <c r="C210" i="12" l="1"/>
  <c r="R209" i="12"/>
  <c r="Q209" i="12"/>
  <c r="L209" i="12"/>
  <c r="P209" i="12"/>
  <c r="E209" i="12"/>
  <c r="K209" i="12"/>
  <c r="O209" i="12"/>
  <c r="M209" i="12"/>
  <c r="G210" i="12" a="1"/>
  <c r="N209" i="12" a="1"/>
  <c r="G210" i="12" l="1"/>
  <c r="N209" i="12"/>
  <c r="D210" i="12" a="1"/>
  <c r="I210" i="12" a="1"/>
  <c r="B211" i="12" a="1"/>
  <c r="B211" i="12" l="1"/>
  <c r="I210" i="12"/>
  <c r="H210" i="12" s="1"/>
  <c r="D210" i="12"/>
  <c r="F210" i="12"/>
  <c r="K210" i="12" a="1"/>
  <c r="O210" i="12" a="1"/>
  <c r="L210" i="12" a="1"/>
  <c r="R210" i="12" a="1"/>
  <c r="C211" i="12" a="1"/>
  <c r="E210" i="12" a="1"/>
  <c r="P210" i="12" a="1"/>
  <c r="Q210" i="12" a="1"/>
  <c r="M210" i="12" a="1"/>
  <c r="R210" i="12" l="1"/>
  <c r="L210" i="12"/>
  <c r="O210" i="12"/>
  <c r="K210" i="12"/>
  <c r="M210" i="12"/>
  <c r="Q210" i="12"/>
  <c r="P210" i="12"/>
  <c r="E210" i="12"/>
  <c r="C211" i="12"/>
  <c r="G211" i="12" a="1"/>
  <c r="N210" i="12" a="1"/>
  <c r="N210" i="12" l="1"/>
  <c r="G211" i="12"/>
  <c r="I211" i="12" a="1"/>
  <c r="D211" i="12" a="1"/>
  <c r="B212" i="12" a="1"/>
  <c r="B212" i="12" l="1"/>
  <c r="D211" i="12"/>
  <c r="I211" i="12"/>
  <c r="H211" i="12" s="1"/>
  <c r="F211" i="12"/>
  <c r="R211" i="12" a="1"/>
  <c r="E211" i="12" a="1"/>
  <c r="C212" i="12" a="1"/>
  <c r="P211" i="12" a="1"/>
  <c r="L211" i="12" a="1"/>
  <c r="K211" i="12" a="1"/>
  <c r="M211" i="12" a="1"/>
  <c r="Q211" i="12" a="1"/>
  <c r="O211" i="12" a="1"/>
  <c r="E211" i="12" l="1"/>
  <c r="R211" i="12"/>
  <c r="O211" i="12"/>
  <c r="Q211" i="12"/>
  <c r="M211" i="12"/>
  <c r="K211" i="12"/>
  <c r="L211" i="12"/>
  <c r="P211" i="12"/>
  <c r="C212" i="12"/>
  <c r="N211" i="12" a="1"/>
  <c r="G212" i="12" a="1"/>
  <c r="G212" i="12" l="1"/>
  <c r="N211" i="12"/>
  <c r="D212" i="12" a="1"/>
  <c r="B213" i="12" a="1"/>
  <c r="I212" i="12" a="1"/>
  <c r="I212" i="12" l="1"/>
  <c r="H212" i="12" s="1"/>
  <c r="B213" i="12"/>
  <c r="D212" i="12"/>
  <c r="F212" i="12"/>
  <c r="O212" i="12" a="1"/>
  <c r="K212" i="12" a="1"/>
  <c r="Q212" i="12" a="1"/>
  <c r="P212" i="12" a="1"/>
  <c r="M212" i="12" a="1"/>
  <c r="R212" i="12" a="1"/>
  <c r="E212" i="12" a="1"/>
  <c r="C213" i="12" a="1"/>
  <c r="L212" i="12" a="1"/>
  <c r="E212" i="12" l="1"/>
  <c r="R212" i="12"/>
  <c r="M212" i="12"/>
  <c r="P212" i="12"/>
  <c r="Q212" i="12"/>
  <c r="K212" i="12"/>
  <c r="O212" i="12"/>
  <c r="L212" i="12"/>
  <c r="C213" i="12"/>
  <c r="N212" i="12" a="1"/>
  <c r="G213" i="12" a="1"/>
  <c r="G213" i="12" l="1"/>
  <c r="N212" i="12"/>
  <c r="B214" i="12" a="1"/>
  <c r="I213" i="12" a="1"/>
  <c r="D213" i="12" a="1"/>
  <c r="I213" i="12" l="1"/>
  <c r="H213" i="12" s="1"/>
  <c r="D213" i="12"/>
  <c r="B214" i="12"/>
  <c r="F213" i="12"/>
  <c r="Q213" i="12" a="1"/>
  <c r="K213" i="12" a="1"/>
  <c r="E213" i="12" a="1"/>
  <c r="C214" i="12" a="1"/>
  <c r="L213" i="12" a="1"/>
  <c r="R213" i="12" a="1"/>
  <c r="O213" i="12" a="1"/>
  <c r="M213" i="12" a="1"/>
  <c r="P213" i="12" a="1"/>
  <c r="C214" i="12" l="1"/>
  <c r="P213" i="12"/>
  <c r="M213" i="12"/>
  <c r="O213" i="12"/>
  <c r="E213" i="12"/>
  <c r="R213" i="12"/>
  <c r="K213" i="12"/>
  <c r="Q213" i="12"/>
  <c r="L213" i="12"/>
  <c r="G214" i="12" a="1"/>
  <c r="N213" i="12" a="1"/>
  <c r="G214" i="12" l="1"/>
  <c r="N213" i="12"/>
  <c r="D214" i="12" a="1"/>
  <c r="I214" i="12" a="1"/>
  <c r="B215" i="12" a="1"/>
  <c r="B215" i="12" l="1"/>
  <c r="I214" i="12"/>
  <c r="H214" i="12" s="1"/>
  <c r="D214" i="12"/>
  <c r="F214" i="12"/>
  <c r="L214" i="12" a="1"/>
  <c r="K214" i="12" a="1"/>
  <c r="P214" i="12" a="1"/>
  <c r="O214" i="12" a="1"/>
  <c r="M214" i="12" a="1"/>
  <c r="Q214" i="12" a="1"/>
  <c r="E214" i="12" a="1"/>
  <c r="C215" i="12" a="1"/>
  <c r="R214" i="12" a="1"/>
  <c r="Q214" i="12" l="1"/>
  <c r="M214" i="12"/>
  <c r="R214" i="12"/>
  <c r="O214" i="12"/>
  <c r="P214" i="12"/>
  <c r="K214" i="12"/>
  <c r="E214" i="12"/>
  <c r="L214" i="12"/>
  <c r="C215" i="12"/>
  <c r="G215" i="12" a="1"/>
  <c r="N214" i="12" a="1"/>
  <c r="N214" i="12" l="1"/>
  <c r="G215" i="12"/>
  <c r="B216" i="12" a="1"/>
  <c r="D215" i="12" a="1"/>
  <c r="I215" i="12" a="1"/>
  <c r="D215" i="12" l="1"/>
  <c r="I215" i="12"/>
  <c r="H215" i="12" s="1"/>
  <c r="B216" i="12"/>
  <c r="F215" i="12"/>
  <c r="P215" i="12" a="1"/>
  <c r="E215" i="12" a="1"/>
  <c r="O215" i="12" a="1"/>
  <c r="L215" i="12" a="1"/>
  <c r="R215" i="12" a="1"/>
  <c r="M215" i="12" a="1"/>
  <c r="Q215" i="12" a="1"/>
  <c r="K215" i="12" a="1"/>
  <c r="C216" i="12" a="1"/>
  <c r="C216" i="12" l="1"/>
  <c r="K215" i="12"/>
  <c r="Q215" i="12"/>
  <c r="M215" i="12"/>
  <c r="R215" i="12"/>
  <c r="L215" i="12"/>
  <c r="O215" i="12"/>
  <c r="E215" i="12"/>
  <c r="P215" i="12"/>
  <c r="N215" i="12" a="1"/>
  <c r="G216" i="12" a="1"/>
  <c r="G216" i="12" l="1"/>
  <c r="N215" i="12"/>
  <c r="B217" i="12" a="1"/>
  <c r="I216" i="12" a="1"/>
  <c r="D216" i="12" a="1"/>
  <c r="D216" i="12" l="1"/>
  <c r="I216" i="12"/>
  <c r="H216" i="12" s="1"/>
  <c r="B217" i="12"/>
  <c r="F216" i="12"/>
  <c r="O216" i="12" a="1"/>
  <c r="E216" i="12" a="1"/>
  <c r="C217" i="12" a="1"/>
  <c r="K216" i="12" a="1"/>
  <c r="M216" i="12" a="1"/>
  <c r="R216" i="12" a="1"/>
  <c r="L216" i="12" a="1"/>
  <c r="P216" i="12" a="1"/>
  <c r="Q216" i="12" a="1"/>
  <c r="C217" i="12" l="1"/>
  <c r="E216" i="12"/>
  <c r="O216" i="12"/>
  <c r="Q216" i="12"/>
  <c r="P216" i="12"/>
  <c r="L216" i="12"/>
  <c r="R216" i="12"/>
  <c r="M216" i="12"/>
  <c r="K216" i="12"/>
  <c r="G217" i="12" a="1"/>
  <c r="N216" i="12" a="1"/>
  <c r="N216" i="12" l="1"/>
  <c r="G217" i="12"/>
  <c r="D217" i="12" a="1"/>
  <c r="I217" i="12" a="1"/>
  <c r="B218" i="12" a="1"/>
  <c r="B218" i="12" l="1"/>
  <c r="I217" i="12"/>
  <c r="H217" i="12" s="1"/>
  <c r="D217" i="12"/>
  <c r="F217" i="12"/>
  <c r="K217" i="12" a="1"/>
  <c r="E217" i="12" a="1"/>
  <c r="R217" i="12" a="1"/>
  <c r="Q217" i="12" a="1"/>
  <c r="C218" i="12" a="1"/>
  <c r="L217" i="12" a="1"/>
  <c r="O217" i="12" a="1"/>
  <c r="M217" i="12" a="1"/>
  <c r="P217" i="12" a="1"/>
  <c r="M217" i="12" l="1"/>
  <c r="R217" i="12"/>
  <c r="O217" i="12"/>
  <c r="L217" i="12"/>
  <c r="P217" i="12"/>
  <c r="E217" i="12"/>
  <c r="Q217" i="12"/>
  <c r="K217" i="12"/>
  <c r="C218" i="12"/>
  <c r="G218" i="12" a="1"/>
  <c r="N217" i="12" a="1"/>
  <c r="N217" i="12" l="1"/>
  <c r="G218" i="12"/>
  <c r="D218" i="12" a="1"/>
  <c r="I218" i="12" a="1"/>
  <c r="B219" i="12" a="1"/>
  <c r="B219" i="12" l="1"/>
  <c r="I218" i="12"/>
  <c r="H218" i="12" s="1"/>
  <c r="D218" i="12"/>
  <c r="F218" i="12"/>
  <c r="K218" i="12" a="1"/>
  <c r="L218" i="12" a="1"/>
  <c r="P218" i="12" a="1"/>
  <c r="C219" i="12" a="1"/>
  <c r="M218" i="12" a="1"/>
  <c r="R218" i="12" a="1"/>
  <c r="O218" i="12" a="1"/>
  <c r="E218" i="12" a="1"/>
  <c r="Q218" i="12" a="1"/>
  <c r="P218" i="12" l="1"/>
  <c r="L218" i="12"/>
  <c r="K218" i="12"/>
  <c r="Q218" i="12"/>
  <c r="E218" i="12"/>
  <c r="O218" i="12"/>
  <c r="R218" i="12"/>
  <c r="M218" i="12"/>
  <c r="C219" i="12"/>
  <c r="N218" i="12" a="1"/>
  <c r="G219" i="12" a="1"/>
  <c r="G219" i="12" l="1"/>
  <c r="N218" i="12"/>
  <c r="I219" i="12" a="1"/>
  <c r="D219" i="12" a="1"/>
  <c r="B220" i="12" a="1"/>
  <c r="B220" i="12" l="1"/>
  <c r="D219" i="12"/>
  <c r="I219" i="12"/>
  <c r="H219" i="12" s="1"/>
  <c r="F219" i="12"/>
  <c r="L219" i="12" a="1"/>
  <c r="E219" i="12" a="1"/>
  <c r="R219" i="12" a="1"/>
  <c r="C220" i="12" a="1"/>
  <c r="P219" i="12" a="1"/>
  <c r="M219" i="12" a="1"/>
  <c r="K219" i="12" a="1"/>
  <c r="Q219" i="12" a="1"/>
  <c r="O219" i="12" a="1"/>
  <c r="R219" i="12" l="1"/>
  <c r="E219" i="12"/>
  <c r="L219" i="12"/>
  <c r="O219" i="12"/>
  <c r="Q219" i="12"/>
  <c r="K219" i="12"/>
  <c r="M219" i="12"/>
  <c r="P219" i="12"/>
  <c r="C220" i="12"/>
  <c r="G220" i="12" a="1"/>
  <c r="N219" i="12" a="1"/>
  <c r="G220" i="12" l="1"/>
  <c r="N219" i="12"/>
  <c r="I220" i="12" a="1"/>
  <c r="D220" i="12" a="1"/>
  <c r="B221" i="12" a="1"/>
  <c r="B221" i="12" l="1"/>
  <c r="D220" i="12"/>
  <c r="I220" i="12"/>
  <c r="H220" i="12" s="1"/>
  <c r="F220" i="12"/>
  <c r="O220" i="12" a="1"/>
  <c r="R220" i="12" a="1"/>
  <c r="C221" i="12" a="1"/>
  <c r="P220" i="12" a="1"/>
  <c r="M220" i="12" a="1"/>
  <c r="K220" i="12" a="1"/>
  <c r="L220" i="12" a="1"/>
  <c r="Q220" i="12" a="1"/>
  <c r="E220" i="12" a="1"/>
  <c r="C221" i="12" l="1"/>
  <c r="R220" i="12"/>
  <c r="O220" i="12"/>
  <c r="L220" i="12"/>
  <c r="E220" i="12"/>
  <c r="K220" i="12"/>
  <c r="M220" i="12"/>
  <c r="P220" i="12"/>
  <c r="Q220" i="12"/>
  <c r="N220" i="12" a="1"/>
  <c r="G221" i="12" a="1"/>
  <c r="N220" i="12" l="1"/>
  <c r="G221" i="12"/>
  <c r="I221" i="12" a="1"/>
  <c r="D221" i="12" a="1"/>
  <c r="B222" i="12" a="1"/>
  <c r="B222" i="12" l="1"/>
  <c r="D221" i="12"/>
  <c r="I221" i="12"/>
  <c r="H221" i="12" s="1"/>
  <c r="F221" i="12"/>
  <c r="O221" i="12" a="1"/>
  <c r="Q221" i="12" a="1"/>
  <c r="L221" i="12" a="1"/>
  <c r="K221" i="12" a="1"/>
  <c r="C222" i="12" a="1"/>
  <c r="P221" i="12" a="1"/>
  <c r="E221" i="12" a="1"/>
  <c r="M221" i="12" a="1"/>
  <c r="R221" i="12" a="1"/>
  <c r="R221" i="12" l="1"/>
  <c r="M221" i="12"/>
  <c r="E221" i="12"/>
  <c r="K221" i="12"/>
  <c r="P221" i="12"/>
  <c r="L221" i="12"/>
  <c r="Q221" i="12"/>
  <c r="O221" i="12"/>
  <c r="C222" i="12"/>
  <c r="N221" i="12" a="1"/>
  <c r="G222" i="12" a="1"/>
  <c r="G222" i="12" l="1"/>
  <c r="N221" i="12"/>
  <c r="I222" i="12" a="1"/>
  <c r="D222" i="12" a="1"/>
  <c r="B223" i="12" a="1"/>
  <c r="B223" i="12" l="1"/>
  <c r="D222" i="12"/>
  <c r="I222" i="12"/>
  <c r="H222" i="12" s="1"/>
  <c r="F222" i="12"/>
  <c r="C223" i="12" a="1"/>
  <c r="L222" i="12" a="1"/>
  <c r="E222" i="12" a="1"/>
  <c r="O222" i="12" a="1"/>
  <c r="Q222" i="12" a="1"/>
  <c r="P222" i="12" a="1"/>
  <c r="M222" i="12" a="1"/>
  <c r="K222" i="12" a="1"/>
  <c r="R222" i="12" a="1"/>
  <c r="E222" i="12" l="1"/>
  <c r="L222" i="12"/>
  <c r="P222" i="12"/>
  <c r="R222" i="12"/>
  <c r="Q222" i="12"/>
  <c r="K222" i="12"/>
  <c r="M222" i="12"/>
  <c r="O222" i="12"/>
  <c r="C223" i="12"/>
  <c r="N222" i="12" a="1"/>
  <c r="G223" i="12" a="1"/>
  <c r="N222" i="12" l="1"/>
  <c r="G223" i="12"/>
  <c r="D223" i="12" a="1"/>
  <c r="B224" i="12" a="1"/>
  <c r="I223" i="12" a="1"/>
  <c r="I223" i="12" l="1"/>
  <c r="H223" i="12" s="1"/>
  <c r="B224" i="12"/>
  <c r="D223" i="12"/>
  <c r="F223" i="12"/>
  <c r="C224" i="12" a="1"/>
  <c r="Q223" i="12" a="1"/>
  <c r="O223" i="12" a="1"/>
  <c r="P223" i="12" a="1"/>
  <c r="L223" i="12" a="1"/>
  <c r="K223" i="12" a="1"/>
  <c r="E223" i="12" a="1"/>
  <c r="M223" i="12" a="1"/>
  <c r="R223" i="12" a="1"/>
  <c r="M223" i="12" l="1"/>
  <c r="R223" i="12"/>
  <c r="K223" i="12"/>
  <c r="E223" i="12"/>
  <c r="L223" i="12"/>
  <c r="P223" i="12"/>
  <c r="O223" i="12"/>
  <c r="Q223" i="12"/>
  <c r="C224" i="12"/>
  <c r="G224" i="12" a="1"/>
  <c r="N223" i="12" a="1"/>
  <c r="N223" i="12" l="1"/>
  <c r="G224" i="12"/>
  <c r="B225" i="12" a="1"/>
  <c r="I224" i="12" a="1"/>
  <c r="D224" i="12" a="1"/>
  <c r="I224" i="12" l="1"/>
  <c r="H224" i="12" s="1"/>
  <c r="D224" i="12"/>
  <c r="B225" i="12"/>
  <c r="F224" i="12"/>
  <c r="R224" i="12" a="1"/>
  <c r="Q224" i="12" a="1"/>
  <c r="P224" i="12" a="1"/>
  <c r="L224" i="12" a="1"/>
  <c r="K224" i="12" a="1"/>
  <c r="E224" i="12" a="1"/>
  <c r="C225" i="12" a="1"/>
  <c r="O224" i="12" a="1"/>
  <c r="M224" i="12" a="1"/>
  <c r="C225" i="12" l="1"/>
  <c r="K224" i="12"/>
  <c r="O224" i="12"/>
  <c r="L224" i="12"/>
  <c r="P224" i="12"/>
  <c r="E224" i="12"/>
  <c r="Q224" i="12"/>
  <c r="R224" i="12"/>
  <c r="M224" i="12"/>
  <c r="G225" i="12" a="1"/>
  <c r="N224" i="12" a="1"/>
  <c r="N224" i="12" l="1"/>
  <c r="G225" i="12"/>
  <c r="D225" i="12" a="1"/>
  <c r="B226" i="12" a="1"/>
  <c r="I225" i="12" a="1"/>
  <c r="I225" i="12" l="1"/>
  <c r="H225" i="12" s="1"/>
  <c r="B226" i="12"/>
  <c r="D225" i="12"/>
  <c r="F225" i="12"/>
  <c r="R225" i="12" a="1"/>
  <c r="E225" i="12" a="1"/>
  <c r="P225" i="12" a="1"/>
  <c r="K225" i="12" a="1"/>
  <c r="C226" i="12" a="1"/>
  <c r="O225" i="12" a="1"/>
  <c r="M225" i="12" a="1"/>
  <c r="L225" i="12" a="1"/>
  <c r="Q225" i="12" a="1"/>
  <c r="P225" i="12" l="1"/>
  <c r="E225" i="12"/>
  <c r="K225" i="12"/>
  <c r="R225" i="12"/>
  <c r="Q225" i="12"/>
  <c r="L225" i="12"/>
  <c r="M225" i="12"/>
  <c r="O225" i="12"/>
  <c r="C226" i="12"/>
  <c r="N225" i="12" a="1"/>
  <c r="G226" i="12" a="1"/>
  <c r="G226" i="12" l="1"/>
  <c r="N225" i="12"/>
  <c r="D226" i="12" a="1"/>
  <c r="B227" i="12" a="1"/>
  <c r="I226" i="12" a="1"/>
  <c r="I226" i="12" l="1"/>
  <c r="H226" i="12" s="1"/>
  <c r="B227" i="12"/>
  <c r="D226" i="12"/>
  <c r="F226" i="12"/>
  <c r="M226" i="12" a="1"/>
  <c r="O226" i="12" a="1"/>
  <c r="E226" i="12" a="1"/>
  <c r="K226" i="12" a="1"/>
  <c r="C227" i="12" a="1"/>
  <c r="R226" i="12" a="1"/>
  <c r="L226" i="12" a="1"/>
  <c r="Q226" i="12" a="1"/>
  <c r="P226" i="12" a="1"/>
  <c r="K226" i="12" l="1"/>
  <c r="E226" i="12"/>
  <c r="O226" i="12"/>
  <c r="M226" i="12"/>
  <c r="P226" i="12"/>
  <c r="Q226" i="12"/>
  <c r="L226" i="12"/>
  <c r="R226" i="12"/>
  <c r="C227" i="12"/>
  <c r="N226" i="12" a="1"/>
  <c r="G227" i="12" a="1"/>
  <c r="G227" i="12" l="1"/>
  <c r="N226" i="12"/>
  <c r="D227" i="12" a="1"/>
  <c r="B228" i="12" a="1"/>
  <c r="I227" i="12" a="1"/>
  <c r="I227" i="12" l="1"/>
  <c r="H227" i="12" s="1"/>
  <c r="D227" i="12"/>
  <c r="B228" i="12"/>
  <c r="F227" i="12"/>
  <c r="K227" i="12" a="1"/>
  <c r="Q227" i="12" a="1"/>
  <c r="P227" i="12" a="1"/>
  <c r="M227" i="12" a="1"/>
  <c r="L227" i="12" a="1"/>
  <c r="R227" i="12" a="1"/>
  <c r="O227" i="12" a="1"/>
  <c r="C228" i="12" a="1"/>
  <c r="E227" i="12" a="1"/>
  <c r="C228" i="12" l="1"/>
  <c r="O227" i="12"/>
  <c r="R227" i="12"/>
  <c r="E227" i="12"/>
  <c r="L227" i="12"/>
  <c r="M227" i="12"/>
  <c r="P227" i="12"/>
  <c r="Q227" i="12"/>
  <c r="K227" i="12"/>
  <c r="G228" i="12" a="1"/>
  <c r="N227" i="12" a="1"/>
  <c r="N227" i="12" l="1"/>
  <c r="G228" i="12"/>
  <c r="B229" i="12" a="1"/>
  <c r="D228" i="12" a="1"/>
  <c r="I228" i="12" a="1"/>
  <c r="I228" i="12" l="1"/>
  <c r="H228" i="12" s="1"/>
  <c r="D228" i="12"/>
  <c r="B229" i="12"/>
  <c r="F228" i="12"/>
  <c r="E228" i="12" a="1"/>
  <c r="C229" i="12" a="1"/>
  <c r="R228" i="12" a="1"/>
  <c r="L228" i="12" a="1"/>
  <c r="Q228" i="12" a="1"/>
  <c r="M228" i="12" a="1"/>
  <c r="P228" i="12" a="1"/>
  <c r="K228" i="12" a="1"/>
  <c r="O228" i="12" a="1"/>
  <c r="C229" i="12" l="1"/>
  <c r="E228" i="12"/>
  <c r="O228" i="12"/>
  <c r="K228" i="12"/>
  <c r="P228" i="12"/>
  <c r="M228" i="12"/>
  <c r="Q228" i="12"/>
  <c r="L228" i="12"/>
  <c r="R228" i="12"/>
  <c r="G229" i="12" a="1"/>
  <c r="N228" i="12" a="1"/>
  <c r="G229" i="12" l="1"/>
  <c r="N228" i="12"/>
  <c r="B230" i="12" a="1"/>
  <c r="I229" i="12" a="1"/>
  <c r="D229" i="12" a="1"/>
  <c r="B230" i="12" l="1"/>
  <c r="D229" i="12"/>
  <c r="I229" i="12"/>
  <c r="H229" i="12" s="1"/>
  <c r="F229" i="12"/>
  <c r="E229" i="12" a="1"/>
  <c r="P229" i="12" a="1"/>
  <c r="M229" i="12" a="1"/>
  <c r="C230" i="12" a="1"/>
  <c r="R229" i="12" a="1"/>
  <c r="O229" i="12" a="1"/>
  <c r="L229" i="12" a="1"/>
  <c r="Q229" i="12" a="1"/>
  <c r="K229" i="12" a="1"/>
  <c r="M229" i="12" l="1"/>
  <c r="P229" i="12"/>
  <c r="K229" i="12"/>
  <c r="Q229" i="12"/>
  <c r="L229" i="12"/>
  <c r="E229" i="12"/>
  <c r="O229" i="12"/>
  <c r="R229" i="12"/>
  <c r="C230" i="12"/>
  <c r="G230" i="12" a="1"/>
  <c r="N229" i="12" a="1"/>
  <c r="N229" i="12" l="1"/>
  <c r="G230" i="12"/>
  <c r="B231" i="12" a="1"/>
  <c r="D230" i="12" a="1"/>
  <c r="I230" i="12" a="1"/>
  <c r="I230" i="12" l="1"/>
  <c r="H230" i="12" s="1"/>
  <c r="D230" i="12"/>
  <c r="B231" i="12"/>
  <c r="F230" i="12"/>
  <c r="P230" i="12" a="1"/>
  <c r="L230" i="12" a="1"/>
  <c r="O230" i="12" a="1"/>
  <c r="K230" i="12" a="1"/>
  <c r="C231" i="12" a="1"/>
  <c r="R230" i="12" a="1"/>
  <c r="Q230" i="12" a="1"/>
  <c r="E230" i="12" a="1"/>
  <c r="M230" i="12" a="1"/>
  <c r="C231" i="12" l="1"/>
  <c r="K230" i="12"/>
  <c r="O230" i="12"/>
  <c r="L230" i="12"/>
  <c r="P230" i="12"/>
  <c r="M230" i="12"/>
  <c r="E230" i="12"/>
  <c r="Q230" i="12"/>
  <c r="R230" i="12"/>
  <c r="N230" i="12" a="1"/>
  <c r="G231" i="12" a="1"/>
  <c r="G231" i="12" l="1"/>
  <c r="N230" i="12"/>
  <c r="D231" i="12" a="1"/>
  <c r="B232" i="12" a="1"/>
  <c r="I231" i="12" a="1"/>
  <c r="I231" i="12" l="1"/>
  <c r="H231" i="12" s="1"/>
  <c r="B232" i="12"/>
  <c r="D231" i="12"/>
  <c r="F231" i="12"/>
  <c r="Q231" i="12" a="1"/>
  <c r="L231" i="12" a="1"/>
  <c r="K231" i="12" a="1"/>
  <c r="E231" i="12" a="1"/>
  <c r="C232" i="12" a="1"/>
  <c r="O231" i="12" a="1"/>
  <c r="R231" i="12" a="1"/>
  <c r="M231" i="12" a="1"/>
  <c r="P231" i="12" a="1"/>
  <c r="E231" i="12" l="1"/>
  <c r="K231" i="12"/>
  <c r="L231" i="12"/>
  <c r="Q231" i="12"/>
  <c r="P231" i="12"/>
  <c r="M231" i="12"/>
  <c r="R231" i="12"/>
  <c r="O231" i="12"/>
  <c r="C232" i="12"/>
  <c r="G232" i="12" a="1"/>
  <c r="N231" i="12" a="1"/>
  <c r="N231" i="12" l="1"/>
  <c r="G232" i="12"/>
  <c r="D232" i="12" a="1"/>
  <c r="B233" i="12" a="1"/>
  <c r="I232" i="12" a="1"/>
  <c r="I232" i="12" l="1"/>
  <c r="H232" i="12" s="1"/>
  <c r="B233" i="12"/>
  <c r="D232" i="12"/>
  <c r="F232" i="12"/>
  <c r="C233" i="12" a="1"/>
  <c r="R232" i="12" a="1"/>
  <c r="P232" i="12" a="1"/>
  <c r="Q232" i="12" a="1"/>
  <c r="O232" i="12" a="1"/>
  <c r="K232" i="12" a="1"/>
  <c r="L232" i="12" a="1"/>
  <c r="E232" i="12" a="1"/>
  <c r="M232" i="12" a="1"/>
  <c r="E232" i="12" l="1"/>
  <c r="L232" i="12"/>
  <c r="K232" i="12"/>
  <c r="O232" i="12"/>
  <c r="M232" i="12"/>
  <c r="Q232" i="12"/>
  <c r="P232" i="12"/>
  <c r="R232" i="12"/>
  <c r="C233" i="12"/>
  <c r="N232" i="12" a="1"/>
  <c r="G233" i="12" a="1"/>
  <c r="G233" i="12" l="1"/>
  <c r="N232" i="12"/>
  <c r="D233" i="12" a="1"/>
  <c r="B234" i="12" a="1"/>
  <c r="I233" i="12" a="1"/>
  <c r="I233" i="12" l="1"/>
  <c r="H233" i="12" s="1"/>
  <c r="B234" i="12"/>
  <c r="D233" i="12"/>
  <c r="F233" i="12"/>
  <c r="C234" i="12" a="1"/>
  <c r="E233" i="12" a="1"/>
  <c r="Q233" i="12" a="1"/>
  <c r="K233" i="12" a="1"/>
  <c r="L233" i="12" a="1"/>
  <c r="M233" i="12" a="1"/>
  <c r="P233" i="12" a="1"/>
  <c r="O233" i="12" a="1"/>
  <c r="R233" i="12" a="1"/>
  <c r="R233" i="12" l="1"/>
  <c r="M233" i="12"/>
  <c r="L233" i="12"/>
  <c r="O233" i="12"/>
  <c r="K233" i="12"/>
  <c r="Q233" i="12"/>
  <c r="E233" i="12"/>
  <c r="P233" i="12"/>
  <c r="C234" i="12"/>
  <c r="G234" i="12" a="1"/>
  <c r="N233" i="12" a="1"/>
  <c r="G234" i="12" l="1"/>
  <c r="N233" i="12"/>
  <c r="B235" i="12" a="1"/>
  <c r="D234" i="12" a="1"/>
  <c r="I234" i="12" a="1"/>
  <c r="I234" i="12" l="1"/>
  <c r="H234" i="12" s="1"/>
  <c r="D234" i="12"/>
  <c r="B235" i="12"/>
  <c r="F234" i="12"/>
  <c r="P234" i="12" a="1"/>
  <c r="K234" i="12" a="1"/>
  <c r="C235" i="12" a="1"/>
  <c r="Q234" i="12" a="1"/>
  <c r="O234" i="12" a="1"/>
  <c r="R234" i="12" a="1"/>
  <c r="E234" i="12" a="1"/>
  <c r="L234" i="12" a="1"/>
  <c r="M234" i="12" a="1"/>
  <c r="C235" i="12" l="1"/>
  <c r="K234" i="12"/>
  <c r="P234" i="12"/>
  <c r="L234" i="12"/>
  <c r="E234" i="12"/>
  <c r="R234" i="12"/>
  <c r="M234" i="12"/>
  <c r="Q234" i="12"/>
  <c r="O234" i="12"/>
  <c r="G235" i="12" a="1"/>
  <c r="N234" i="12" a="1"/>
  <c r="G235" i="12" l="1"/>
  <c r="N234" i="12"/>
  <c r="I235" i="12" a="1"/>
  <c r="D235" i="12" a="1"/>
  <c r="B236" i="12" a="1"/>
  <c r="B236" i="12" l="1"/>
  <c r="D235" i="12"/>
  <c r="I235" i="12"/>
  <c r="H235" i="12" s="1"/>
  <c r="F235" i="12"/>
  <c r="R235" i="12" a="1"/>
  <c r="L235" i="12" a="1"/>
  <c r="Q235" i="12" a="1"/>
  <c r="E235" i="12" a="1"/>
  <c r="O235" i="12" a="1"/>
  <c r="K235" i="12" a="1"/>
  <c r="M235" i="12" a="1"/>
  <c r="C236" i="12" a="1"/>
  <c r="P235" i="12" a="1"/>
  <c r="M235" i="12" l="1"/>
  <c r="K235" i="12"/>
  <c r="O235" i="12"/>
  <c r="E235" i="12"/>
  <c r="Q235" i="12"/>
  <c r="L235" i="12"/>
  <c r="R235" i="12"/>
  <c r="P235" i="12"/>
  <c r="C236" i="12"/>
  <c r="N235" i="12" a="1"/>
  <c r="G236" i="12" a="1"/>
  <c r="G236" i="12" l="1"/>
  <c r="N235" i="12"/>
  <c r="B237" i="12" a="1"/>
  <c r="D236" i="12" a="1"/>
  <c r="I236" i="12" a="1"/>
  <c r="I236" i="12" l="1"/>
  <c r="H236" i="12" s="1"/>
  <c r="D236" i="12"/>
  <c r="B237" i="12"/>
  <c r="F236" i="12"/>
  <c r="L236" i="12" a="1"/>
  <c r="R236" i="12" a="1"/>
  <c r="Q236" i="12" a="1"/>
  <c r="K236" i="12" a="1"/>
  <c r="P236" i="12" a="1"/>
  <c r="O236" i="12" a="1"/>
  <c r="E236" i="12" a="1"/>
  <c r="C237" i="12" a="1"/>
  <c r="M236" i="12" a="1"/>
  <c r="C237" i="12" l="1"/>
  <c r="E236" i="12"/>
  <c r="O236" i="12"/>
  <c r="K236" i="12"/>
  <c r="Q236" i="12"/>
  <c r="R236" i="12"/>
  <c r="L236" i="12"/>
  <c r="P236" i="12"/>
  <c r="M236" i="12"/>
  <c r="N236" i="12" a="1"/>
  <c r="G237" i="12" a="1"/>
  <c r="N236" i="12" l="1"/>
  <c r="G237" i="12"/>
  <c r="B238" i="12" a="1"/>
  <c r="I237" i="12" a="1"/>
  <c r="D237" i="12" a="1"/>
  <c r="B238" i="12" l="1"/>
  <c r="D237" i="12"/>
  <c r="I237" i="12"/>
  <c r="H237" i="12" s="1"/>
  <c r="F237" i="12"/>
  <c r="C238" i="12" a="1"/>
  <c r="P237" i="12" a="1"/>
  <c r="R237" i="12" a="1"/>
  <c r="M237" i="12" a="1"/>
  <c r="Q237" i="12" a="1"/>
  <c r="E237" i="12" a="1"/>
  <c r="O237" i="12" a="1"/>
  <c r="L237" i="12" a="1"/>
  <c r="K237" i="12" a="1"/>
  <c r="E237" i="12" l="1"/>
  <c r="K237" i="12"/>
  <c r="L237" i="12"/>
  <c r="O237" i="12"/>
  <c r="Q237" i="12"/>
  <c r="M237" i="12"/>
  <c r="R237" i="12"/>
  <c r="P237" i="12"/>
  <c r="C238" i="12"/>
  <c r="N237" i="12" a="1"/>
  <c r="G238" i="12" a="1"/>
  <c r="N237" i="12" l="1"/>
  <c r="G238" i="12"/>
  <c r="D238" i="12" a="1"/>
  <c r="B239" i="12" a="1"/>
  <c r="I238" i="12" a="1"/>
  <c r="I238" i="12" l="1"/>
  <c r="H238" i="12" s="1"/>
  <c r="B239" i="12"/>
  <c r="D238" i="12"/>
  <c r="F238" i="12"/>
  <c r="O238" i="12" a="1"/>
  <c r="M238" i="12" a="1"/>
  <c r="R238" i="12" a="1"/>
  <c r="K238" i="12" a="1"/>
  <c r="C239" i="12" a="1"/>
  <c r="E238" i="12" a="1"/>
  <c r="L238" i="12" a="1"/>
  <c r="Q238" i="12" a="1"/>
  <c r="P238" i="12" a="1"/>
  <c r="M238" i="12" l="1"/>
  <c r="K238" i="12"/>
  <c r="O238" i="12"/>
  <c r="P238" i="12"/>
  <c r="Q238" i="12"/>
  <c r="L238" i="12"/>
  <c r="E238" i="12"/>
  <c r="R238" i="12"/>
  <c r="C239" i="12"/>
  <c r="G239" i="12" a="1"/>
  <c r="N238" i="12" a="1"/>
  <c r="G239" i="12" l="1"/>
  <c r="N238" i="12"/>
  <c r="B240" i="12" a="1"/>
  <c r="D239" i="12" a="1"/>
  <c r="I239" i="12" a="1"/>
  <c r="I239" i="12" l="1"/>
  <c r="H239" i="12" s="1"/>
  <c r="D239" i="12"/>
  <c r="B240" i="12"/>
  <c r="F239" i="12"/>
  <c r="P239" i="12" a="1"/>
  <c r="E239" i="12" a="1"/>
  <c r="M239" i="12" a="1"/>
  <c r="O239" i="12" a="1"/>
  <c r="Q239" i="12" a="1"/>
  <c r="K239" i="12" a="1"/>
  <c r="R239" i="12" a="1"/>
  <c r="L239" i="12" a="1"/>
  <c r="C240" i="12" a="1"/>
  <c r="C240" i="12" l="1"/>
  <c r="L239" i="12"/>
  <c r="R239" i="12"/>
  <c r="K239" i="12"/>
  <c r="Q239" i="12"/>
  <c r="O239" i="12"/>
  <c r="M239" i="12"/>
  <c r="E239" i="12"/>
  <c r="P239" i="12"/>
  <c r="G240" i="12" a="1"/>
  <c r="N239" i="12" a="1"/>
  <c r="N239" i="12" l="1"/>
  <c r="G240" i="12"/>
  <c r="D240" i="12" a="1"/>
  <c r="I240" i="12" a="1"/>
  <c r="B241" i="12" a="1"/>
  <c r="B241" i="12" l="1"/>
  <c r="I240" i="12"/>
  <c r="H240" i="12" s="1"/>
  <c r="D240" i="12"/>
  <c r="F240" i="12"/>
  <c r="M240" i="12" a="1"/>
  <c r="P240" i="12" a="1"/>
  <c r="L240" i="12" a="1"/>
  <c r="C241" i="12" a="1"/>
  <c r="K240" i="12" a="1"/>
  <c r="Q240" i="12" a="1"/>
  <c r="R240" i="12" a="1"/>
  <c r="E240" i="12" a="1"/>
  <c r="O240" i="12" a="1"/>
  <c r="L240" i="12" l="1"/>
  <c r="P240" i="12"/>
  <c r="M240" i="12"/>
  <c r="O240" i="12"/>
  <c r="E240" i="12"/>
  <c r="R240" i="12"/>
  <c r="Q240" i="12"/>
  <c r="K240" i="12"/>
  <c r="C241" i="12"/>
  <c r="N240" i="12" a="1"/>
  <c r="G241" i="12" a="1"/>
  <c r="N240" i="12" l="1"/>
  <c r="G241" i="12"/>
  <c r="D241" i="12" a="1"/>
  <c r="B242" i="12" a="1"/>
  <c r="I241" i="12" a="1"/>
  <c r="I241" i="12" l="1"/>
  <c r="H241" i="12" s="1"/>
  <c r="B242" i="12"/>
  <c r="D241" i="12"/>
  <c r="F241" i="12"/>
  <c r="R241" i="12" a="1"/>
  <c r="K241" i="12" a="1"/>
  <c r="C242" i="12" a="1"/>
  <c r="M241" i="12" a="1"/>
  <c r="P241" i="12" a="1"/>
  <c r="E241" i="12" a="1"/>
  <c r="O241" i="12" a="1"/>
  <c r="Q241" i="12" a="1"/>
  <c r="L241" i="12" a="1"/>
  <c r="K241" i="12" l="1"/>
  <c r="Q241" i="12"/>
  <c r="R241" i="12"/>
  <c r="O241" i="12"/>
  <c r="L241" i="12"/>
  <c r="E241" i="12"/>
  <c r="P241" i="12"/>
  <c r="M241" i="12"/>
  <c r="C242" i="12"/>
  <c r="N241" i="12" a="1"/>
  <c r="G242" i="12" a="1"/>
  <c r="N241" i="12" l="1"/>
  <c r="G242" i="12"/>
  <c r="D242" i="12" a="1"/>
  <c r="I242" i="12" a="1"/>
  <c r="B243" i="12" a="1"/>
  <c r="B243" i="12" l="1"/>
  <c r="I242" i="12"/>
  <c r="H242" i="12" s="1"/>
  <c r="D242" i="12"/>
  <c r="F242" i="12"/>
  <c r="C243" i="12" a="1"/>
  <c r="K242" i="12" a="1"/>
  <c r="R242" i="12" a="1"/>
  <c r="Q242" i="12" a="1"/>
  <c r="E242" i="12" a="1"/>
  <c r="M242" i="12" a="1"/>
  <c r="L242" i="12" a="1"/>
  <c r="O242" i="12" a="1"/>
  <c r="P242" i="12" a="1"/>
  <c r="P242" i="12" l="1"/>
  <c r="O242" i="12"/>
  <c r="L242" i="12"/>
  <c r="M242" i="12"/>
  <c r="E242" i="12"/>
  <c r="Q242" i="12"/>
  <c r="R242" i="12"/>
  <c r="K242" i="12"/>
  <c r="C243" i="12"/>
  <c r="G243" i="12" a="1"/>
  <c r="N242" i="12" a="1"/>
  <c r="N242" i="12" l="1"/>
  <c r="G243" i="12"/>
  <c r="I243" i="12" a="1"/>
  <c r="D243" i="12" a="1"/>
  <c r="B244" i="12" a="1"/>
  <c r="B244" i="12" l="1"/>
  <c r="D243" i="12"/>
  <c r="I243" i="12"/>
  <c r="H243" i="12" s="1"/>
  <c r="F243" i="12"/>
  <c r="M243" i="12" a="1"/>
  <c r="O243" i="12" a="1"/>
  <c r="E243" i="12" a="1"/>
  <c r="P243" i="12" a="1"/>
  <c r="K243" i="12" a="1"/>
  <c r="R243" i="12" a="1"/>
  <c r="L243" i="12" a="1"/>
  <c r="Q243" i="12" a="1"/>
  <c r="C244" i="12" a="1"/>
  <c r="Q243" i="12" l="1"/>
  <c r="L243" i="12"/>
  <c r="R243" i="12"/>
  <c r="P243" i="12"/>
  <c r="E243" i="12"/>
  <c r="O243" i="12"/>
  <c r="M243" i="12"/>
  <c r="K243" i="12"/>
  <c r="C244" i="12"/>
  <c r="G244" i="12" a="1"/>
  <c r="N243" i="12" a="1"/>
  <c r="N243" i="12" l="1"/>
  <c r="G244" i="12"/>
  <c r="B245" i="12" a="1"/>
  <c r="I244" i="12" a="1"/>
  <c r="D244" i="12" a="1"/>
  <c r="D244" i="12" l="1"/>
  <c r="B245" i="12"/>
  <c r="I244" i="12"/>
  <c r="H244" i="12" s="1"/>
  <c r="F244" i="12"/>
  <c r="M244" i="12" a="1"/>
  <c r="R244" i="12" a="1"/>
  <c r="P244" i="12" a="1"/>
  <c r="K244" i="12" a="1"/>
  <c r="C245" i="12" a="1"/>
  <c r="Q244" i="12" a="1"/>
  <c r="E244" i="12" a="1"/>
  <c r="O244" i="12" a="1"/>
  <c r="L244" i="12" a="1"/>
  <c r="C245" i="12" l="1"/>
  <c r="K244" i="12"/>
  <c r="P244" i="12"/>
  <c r="L244" i="12"/>
  <c r="R244" i="12"/>
  <c r="O244" i="12"/>
  <c r="E244" i="12"/>
  <c r="M244" i="12"/>
  <c r="Q244" i="12"/>
  <c r="N244" i="12" a="1"/>
  <c r="G245" i="12" a="1"/>
  <c r="G245" i="12" l="1"/>
  <c r="N244" i="12"/>
  <c r="D245" i="12" a="1"/>
  <c r="B246" i="12" a="1"/>
  <c r="I245" i="12" a="1"/>
  <c r="I245" i="12" l="1"/>
  <c r="H245" i="12" s="1"/>
  <c r="B246" i="12"/>
  <c r="D245" i="12"/>
  <c r="F245" i="12"/>
  <c r="C246" i="12" a="1"/>
  <c r="M245" i="12" a="1"/>
  <c r="R245" i="12" a="1"/>
  <c r="K245" i="12" a="1"/>
  <c r="O245" i="12" a="1"/>
  <c r="Q245" i="12" a="1"/>
  <c r="P245" i="12" a="1"/>
  <c r="E245" i="12" a="1"/>
  <c r="L245" i="12" a="1"/>
  <c r="E245" i="12" l="1"/>
  <c r="L245" i="12"/>
  <c r="P245" i="12"/>
  <c r="Q245" i="12"/>
  <c r="O245" i="12"/>
  <c r="K245" i="12"/>
  <c r="R245" i="12"/>
  <c r="M245" i="12"/>
  <c r="C246" i="12"/>
  <c r="N245" i="12" a="1"/>
  <c r="G246" i="12" a="1"/>
  <c r="N245" i="12" l="1"/>
  <c r="G246" i="12"/>
  <c r="B247" i="12" a="1"/>
  <c r="D246" i="12" a="1"/>
  <c r="I246" i="12" a="1"/>
  <c r="I246" i="12" l="1"/>
  <c r="H246" i="12" s="1"/>
  <c r="B247" i="12"/>
  <c r="D246" i="12"/>
  <c r="F246" i="12"/>
  <c r="C247" i="12" a="1"/>
  <c r="M246" i="12" a="1"/>
  <c r="Q246" i="12" a="1"/>
  <c r="E246" i="12" a="1"/>
  <c r="L246" i="12" a="1"/>
  <c r="K246" i="12" a="1"/>
  <c r="P246" i="12" a="1"/>
  <c r="O246" i="12" a="1"/>
  <c r="R246" i="12" a="1"/>
  <c r="R246" i="12" l="1"/>
  <c r="O246" i="12"/>
  <c r="P246" i="12"/>
  <c r="K246" i="12"/>
  <c r="L246" i="12"/>
  <c r="E246" i="12"/>
  <c r="Q246" i="12"/>
  <c r="M246" i="12"/>
  <c r="C247" i="12"/>
  <c r="G247" i="12" a="1"/>
  <c r="N246" i="12" a="1"/>
  <c r="G247" i="12" l="1"/>
  <c r="N246" i="12"/>
  <c r="D247" i="12" a="1"/>
  <c r="I247" i="12" a="1"/>
  <c r="B248" i="12" a="1"/>
  <c r="B248" i="12" l="1"/>
  <c r="D247" i="12"/>
  <c r="I247" i="12"/>
  <c r="H247" i="12" s="1"/>
  <c r="F247" i="12"/>
  <c r="C248" i="12" a="1"/>
  <c r="M247" i="12" a="1"/>
  <c r="R247" i="12" a="1"/>
  <c r="Q247" i="12" a="1"/>
  <c r="P247" i="12" a="1"/>
  <c r="O247" i="12" a="1"/>
  <c r="L247" i="12" a="1"/>
  <c r="K247" i="12" a="1"/>
  <c r="E247" i="12" a="1"/>
  <c r="P247" i="12" l="1"/>
  <c r="Q247" i="12"/>
  <c r="K247" i="12"/>
  <c r="R247" i="12"/>
  <c r="L247" i="12"/>
  <c r="M247" i="12"/>
  <c r="E247" i="12"/>
  <c r="O247" i="12"/>
  <c r="C248" i="12"/>
  <c r="G248" i="12" a="1"/>
  <c r="N247" i="12" a="1"/>
  <c r="N247" i="12" l="1"/>
  <c r="G248" i="12"/>
  <c r="I248" i="12" a="1"/>
  <c r="D248" i="12" a="1"/>
  <c r="B249" i="12" a="1"/>
  <c r="B249" i="12" l="1"/>
  <c r="D248" i="12"/>
  <c r="I248" i="12"/>
  <c r="H248" i="12" s="1"/>
  <c r="F248" i="12"/>
  <c r="O248" i="12" a="1"/>
  <c r="K248" i="12" a="1"/>
  <c r="Q248" i="12" a="1"/>
  <c r="R248" i="12" a="1"/>
  <c r="C249" i="12" a="1"/>
  <c r="M248" i="12" a="1"/>
  <c r="E248" i="12" a="1"/>
  <c r="L248" i="12" a="1"/>
  <c r="P248" i="12" a="1"/>
  <c r="Q248" i="12" l="1"/>
  <c r="K248" i="12"/>
  <c r="R248" i="12"/>
  <c r="O248" i="12"/>
  <c r="P248" i="12"/>
  <c r="L248" i="12"/>
  <c r="E248" i="12"/>
  <c r="M248" i="12"/>
  <c r="C249" i="12"/>
  <c r="N248" i="12" a="1"/>
  <c r="G249" i="12" a="1"/>
  <c r="N248" i="12" l="1"/>
  <c r="G249" i="12"/>
  <c r="B250" i="12" a="1"/>
  <c r="D249" i="12" a="1"/>
  <c r="I249" i="12" a="1"/>
  <c r="I249" i="12" l="1"/>
  <c r="H249" i="12" s="1"/>
  <c r="D249" i="12"/>
  <c r="B250" i="12"/>
  <c r="F249" i="12"/>
  <c r="O249" i="12" a="1"/>
  <c r="R249" i="12" a="1"/>
  <c r="C250" i="12" a="1"/>
  <c r="K249" i="12" a="1"/>
  <c r="Q249" i="12" a="1"/>
  <c r="L249" i="12" a="1"/>
  <c r="E249" i="12" a="1"/>
  <c r="M249" i="12" a="1"/>
  <c r="P249" i="12" a="1"/>
  <c r="C250" i="12" l="1"/>
  <c r="R249" i="12"/>
  <c r="O249" i="12"/>
  <c r="P249" i="12"/>
  <c r="K249" i="12"/>
  <c r="M249" i="12"/>
  <c r="E249" i="12"/>
  <c r="L249" i="12"/>
  <c r="Q249" i="12"/>
  <c r="N249" i="12" a="1"/>
  <c r="G250" i="12" a="1"/>
  <c r="G250" i="12" l="1"/>
  <c r="N249" i="12"/>
  <c r="D250" i="12" a="1"/>
  <c r="I250" i="12" a="1"/>
  <c r="B251" i="12" a="1"/>
  <c r="B251" i="12" l="1"/>
  <c r="I250" i="12"/>
  <c r="H250" i="12" s="1"/>
  <c r="D250" i="12"/>
  <c r="F250" i="12"/>
  <c r="M250" i="12" a="1"/>
  <c r="L250" i="12" a="1"/>
  <c r="E250" i="12" a="1"/>
  <c r="K250" i="12" a="1"/>
  <c r="P250" i="12" a="1"/>
  <c r="O250" i="12" a="1"/>
  <c r="R250" i="12" a="1"/>
  <c r="C251" i="12" a="1"/>
  <c r="Q250" i="12" a="1"/>
  <c r="R250" i="12" l="1"/>
  <c r="O250" i="12"/>
  <c r="P250" i="12"/>
  <c r="K250" i="12"/>
  <c r="E250" i="12"/>
  <c r="L250" i="12"/>
  <c r="M250" i="12"/>
  <c r="Q250" i="12"/>
  <c r="C251" i="12"/>
  <c r="N250" i="12" a="1"/>
  <c r="G251" i="12" a="1"/>
  <c r="N250" i="12" l="1"/>
  <c r="G251" i="12"/>
  <c r="I251" i="12" a="1"/>
  <c r="D251" i="12" a="1"/>
  <c r="B252" i="12" a="1"/>
  <c r="B252" i="12" l="1"/>
  <c r="D251" i="12"/>
  <c r="I251" i="12"/>
  <c r="H251" i="12" s="1"/>
  <c r="F251" i="12"/>
  <c r="K251" i="12" a="1"/>
  <c r="E251" i="12" a="1"/>
  <c r="M251" i="12" a="1"/>
  <c r="P251" i="12" a="1"/>
  <c r="Q251" i="12" a="1"/>
  <c r="L251" i="12" a="1"/>
  <c r="R251" i="12" a="1"/>
  <c r="C252" i="12" a="1"/>
  <c r="O251" i="12" a="1"/>
  <c r="R251" i="12" l="1"/>
  <c r="P251" i="12"/>
  <c r="M251" i="12"/>
  <c r="L251" i="12"/>
  <c r="E251" i="12"/>
  <c r="K251" i="12"/>
  <c r="O251" i="12"/>
  <c r="Q251" i="12"/>
  <c r="C252" i="12"/>
  <c r="N251" i="12" a="1"/>
  <c r="G252" i="12" a="1"/>
  <c r="N251" i="12" l="1"/>
  <c r="G252" i="12"/>
  <c r="B253" i="12" a="1"/>
  <c r="D252" i="12" a="1"/>
  <c r="I252" i="12" a="1"/>
  <c r="I252" i="12" l="1"/>
  <c r="H252" i="12" s="1"/>
  <c r="D252" i="12"/>
  <c r="B253" i="12"/>
  <c r="F252" i="12"/>
  <c r="L252" i="12" a="1"/>
  <c r="K252" i="12" a="1"/>
  <c r="M252" i="12" a="1"/>
  <c r="O252" i="12" a="1"/>
  <c r="P252" i="12" a="1"/>
  <c r="Q252" i="12" a="1"/>
  <c r="E252" i="12" a="1"/>
  <c r="C253" i="12" a="1"/>
  <c r="R252" i="12" a="1"/>
  <c r="C253" i="12" l="1"/>
  <c r="E252" i="12"/>
  <c r="Q252" i="12"/>
  <c r="R252" i="12"/>
  <c r="P252" i="12"/>
  <c r="O252" i="12"/>
  <c r="M252" i="12"/>
  <c r="K252" i="12"/>
  <c r="L252" i="12"/>
  <c r="N252" i="12" a="1"/>
  <c r="G253" i="12" a="1"/>
  <c r="G253" i="12" l="1"/>
  <c r="N252" i="12"/>
  <c r="B254" i="12" a="1"/>
  <c r="D253" i="12" a="1"/>
  <c r="I253" i="12" a="1"/>
  <c r="I253" i="12" l="1"/>
  <c r="H253" i="12" s="1"/>
  <c r="D253" i="12"/>
  <c r="B254" i="12"/>
  <c r="F253" i="12"/>
  <c r="P253" i="12" a="1"/>
  <c r="Q253" i="12" a="1"/>
  <c r="K253" i="12" a="1"/>
  <c r="C254" i="12" a="1"/>
  <c r="L253" i="12" a="1"/>
  <c r="R253" i="12" a="1"/>
  <c r="M253" i="12" a="1"/>
  <c r="O253" i="12" a="1"/>
  <c r="E253" i="12" a="1"/>
  <c r="C254" i="12" l="1"/>
  <c r="M253" i="12"/>
  <c r="E253" i="12"/>
  <c r="O253" i="12"/>
  <c r="K253" i="12"/>
  <c r="Q253" i="12"/>
  <c r="R253" i="12"/>
  <c r="P253" i="12"/>
  <c r="L253" i="12"/>
  <c r="N253" i="12" a="1"/>
  <c r="G254" i="12" a="1"/>
  <c r="G254" i="12" l="1"/>
  <c r="N253" i="12"/>
  <c r="B255" i="12" a="1"/>
  <c r="I254" i="12" a="1"/>
  <c r="D254" i="12" a="1"/>
  <c r="I254" i="12" l="1"/>
  <c r="H254" i="12" s="1"/>
  <c r="D254" i="12"/>
  <c r="B255" i="12"/>
  <c r="F254" i="12"/>
  <c r="P254" i="12" a="1"/>
  <c r="Q254" i="12" a="1"/>
  <c r="E254" i="12" a="1"/>
  <c r="L254" i="12" a="1"/>
  <c r="C255" i="12" a="1"/>
  <c r="K254" i="12" a="1"/>
  <c r="M254" i="12" a="1"/>
  <c r="R254" i="12" a="1"/>
  <c r="O254" i="12" a="1"/>
  <c r="C255" i="12" l="1"/>
  <c r="L254" i="12"/>
  <c r="E254" i="12"/>
  <c r="Q254" i="12"/>
  <c r="O254" i="12"/>
  <c r="R254" i="12"/>
  <c r="M254" i="12"/>
  <c r="K254" i="12"/>
  <c r="P254" i="12"/>
  <c r="G255" i="12" a="1"/>
  <c r="N254" i="12" a="1"/>
  <c r="N254" i="12" l="1"/>
  <c r="G255" i="12"/>
  <c r="D255" i="12" a="1"/>
  <c r="B256" i="12" a="1"/>
  <c r="I255" i="12" a="1"/>
  <c r="B256" i="12" l="1"/>
  <c r="I255" i="12"/>
  <c r="H255" i="12" s="1"/>
  <c r="D255" i="12"/>
  <c r="F255" i="12"/>
  <c r="M255" i="12" a="1"/>
  <c r="R255" i="12" a="1"/>
  <c r="O255" i="12" a="1"/>
  <c r="L255" i="12" a="1"/>
  <c r="C256" i="12" a="1"/>
  <c r="Q255" i="12" a="1"/>
  <c r="P255" i="12" a="1"/>
  <c r="K255" i="12" a="1"/>
  <c r="E255" i="12" a="1"/>
  <c r="L255" i="12" l="1"/>
  <c r="O255" i="12"/>
  <c r="R255" i="12"/>
  <c r="M255" i="12"/>
  <c r="E255" i="12"/>
  <c r="K255" i="12"/>
  <c r="P255" i="12"/>
  <c r="Q255" i="12"/>
  <c r="C256" i="12"/>
  <c r="N255" i="12" a="1"/>
  <c r="G256" i="12" a="1"/>
  <c r="G256" i="12" l="1"/>
  <c r="N255" i="12"/>
  <c r="B257" i="12" a="1"/>
  <c r="D256" i="12" a="1"/>
  <c r="I256" i="12" a="1"/>
  <c r="I256" i="12" l="1"/>
  <c r="H256" i="12" s="1"/>
  <c r="D256" i="12"/>
  <c r="B257" i="12"/>
  <c r="F256" i="12"/>
  <c r="D24" i="59" a="1"/>
  <c r="O256" i="12" a="1"/>
  <c r="D9" i="59" a="1"/>
  <c r="C257" i="12" a="1"/>
  <c r="D21" i="59" a="1"/>
  <c r="D37" i="59" a="1"/>
  <c r="D28" i="59" a="1"/>
  <c r="D26" i="59" a="1"/>
  <c r="E256" i="12" a="1"/>
  <c r="D19" i="59" a="1"/>
  <c r="D11" i="59" a="1"/>
  <c r="Q256" i="12" a="1"/>
  <c r="D18" i="59" a="1"/>
  <c r="D43" i="59" a="1"/>
  <c r="D16" i="59" a="1"/>
  <c r="D14" i="59" a="1"/>
  <c r="D27" i="59" a="1"/>
  <c r="D13" i="59" a="1"/>
  <c r="D30" i="59" a="1"/>
  <c r="L256" i="12" a="1"/>
  <c r="P256" i="12" a="1"/>
  <c r="D10" i="59" a="1"/>
  <c r="D7" i="59" a="1"/>
  <c r="D6" i="59" a="1"/>
  <c r="D22" i="59" a="1"/>
  <c r="R256" i="12" a="1"/>
  <c r="D32" i="59" a="1"/>
  <c r="D31" i="59" a="1"/>
  <c r="D41" i="59" a="1"/>
  <c r="K256" i="12" a="1"/>
  <c r="D15" i="59" a="1"/>
  <c r="D39" i="59" a="1"/>
  <c r="D8" i="59" a="1"/>
  <c r="D40" i="59" a="1"/>
  <c r="D25" i="59" a="1"/>
  <c r="D36" i="59" a="1"/>
  <c r="D42" i="59" a="1"/>
  <c r="D23" i="59" a="1"/>
  <c r="D38" i="59" a="1"/>
  <c r="D34" i="59" a="1"/>
  <c r="D33" i="59" a="1"/>
  <c r="D12" i="59" a="1"/>
  <c r="D20" i="59" a="1"/>
  <c r="M256" i="12" a="1"/>
  <c r="D17" i="59" a="1"/>
  <c r="D35" i="59" a="1"/>
  <c r="D29" i="59" a="1"/>
  <c r="D5" i="59" a="1"/>
  <c r="D25" i="59" l="1"/>
  <c r="D32" i="59"/>
  <c r="D39" i="59"/>
  <c r="D7" i="59"/>
  <c r="D27" i="59"/>
  <c r="D11" i="59"/>
  <c r="D37" i="59"/>
  <c r="D5" i="59"/>
  <c r="D12" i="59"/>
  <c r="D23" i="59"/>
  <c r="D40" i="59"/>
  <c r="D15" i="59"/>
  <c r="D22" i="59"/>
  <c r="D30" i="59"/>
  <c r="D18" i="59"/>
  <c r="D28" i="59"/>
  <c r="D9" i="59"/>
  <c r="D29" i="59"/>
  <c r="D20" i="59"/>
  <c r="D38" i="59"/>
  <c r="D8" i="59"/>
  <c r="D6" i="59"/>
  <c r="D41" i="59"/>
  <c r="D16" i="59"/>
  <c r="D43" i="59"/>
  <c r="D26" i="59"/>
  <c r="C257" i="12"/>
  <c r="D35" i="59"/>
  <c r="D34" i="59"/>
  <c r="D36" i="59"/>
  <c r="D13" i="59"/>
  <c r="D31" i="59"/>
  <c r="D10" i="59"/>
  <c r="D14" i="59"/>
  <c r="D19" i="59"/>
  <c r="D21" i="59"/>
  <c r="D24" i="59"/>
  <c r="D17" i="59"/>
  <c r="D33" i="59"/>
  <c r="D42" i="59"/>
  <c r="K256" i="12"/>
  <c r="P256" i="12"/>
  <c r="R256" i="12"/>
  <c r="L256" i="12"/>
  <c r="Q256" i="12"/>
  <c r="E256" i="12"/>
  <c r="O256" i="12"/>
  <c r="M256" i="12"/>
  <c r="E32" i="59" a="1"/>
  <c r="E28" i="59" a="1"/>
  <c r="E13" i="59" a="1"/>
  <c r="E26" i="59" a="1"/>
  <c r="E8" i="59" a="1"/>
  <c r="E21" i="59" a="1"/>
  <c r="E15" i="59" a="1"/>
  <c r="E39" i="59" a="1"/>
  <c r="E31" i="59" a="1"/>
  <c r="E24" i="59" a="1"/>
  <c r="E41" i="59" a="1"/>
  <c r="E35" i="59" a="1"/>
  <c r="E22" i="59" a="1"/>
  <c r="E29" i="59" a="1"/>
  <c r="E17" i="59" a="1"/>
  <c r="E7" i="59" a="1"/>
  <c r="E34" i="59" a="1"/>
  <c r="E10" i="59" a="1"/>
  <c r="E20" i="59" a="1"/>
  <c r="E16" i="59" a="1"/>
  <c r="E23" i="59" a="1"/>
  <c r="E30" i="59" a="1"/>
  <c r="E33" i="59" a="1"/>
  <c r="N256" i="12" a="1"/>
  <c r="E36" i="59" a="1"/>
  <c r="E14" i="59" a="1"/>
  <c r="E38" i="59" a="1"/>
  <c r="E27" i="59" a="1"/>
  <c r="G257" i="12" a="1"/>
  <c r="E18" i="59" a="1"/>
  <c r="E42" i="59" a="1"/>
  <c r="E43" i="59" a="1"/>
  <c r="E40" i="59" a="1"/>
  <c r="E19" i="59" a="1"/>
  <c r="E25" i="59" a="1"/>
  <c r="E11" i="59" a="1"/>
  <c r="E6" i="59" a="1"/>
  <c r="E37" i="59" a="1"/>
  <c r="E9" i="59" a="1"/>
  <c r="E5" i="59" a="1"/>
  <c r="E12" i="59" a="1"/>
  <c r="E8" i="59" l="1"/>
  <c r="E25" i="59"/>
  <c r="E42" i="59"/>
  <c r="E38" i="59"/>
  <c r="E33" i="59"/>
  <c r="E20" i="59"/>
  <c r="E17" i="59"/>
  <c r="E29" i="59"/>
  <c r="E24" i="59"/>
  <c r="E9" i="59"/>
  <c r="E21" i="59"/>
  <c r="E28" i="59"/>
  <c r="E19" i="59"/>
  <c r="E18" i="59"/>
  <c r="E14" i="59"/>
  <c r="E30" i="59"/>
  <c r="E10" i="59"/>
  <c r="E22" i="59"/>
  <c r="E31" i="59"/>
  <c r="E15" i="59"/>
  <c r="E13" i="59"/>
  <c r="E40" i="59"/>
  <c r="G257" i="12"/>
  <c r="E36" i="59"/>
  <c r="E23" i="59"/>
  <c r="E34" i="59"/>
  <c r="E12" i="59"/>
  <c r="E35" i="59"/>
  <c r="E5" i="59"/>
  <c r="E37" i="59"/>
  <c r="E26" i="59"/>
  <c r="E11" i="59"/>
  <c r="E43" i="59"/>
  <c r="E27" i="59"/>
  <c r="N256" i="12"/>
  <c r="E16" i="59"/>
  <c r="E7" i="59"/>
  <c r="E41" i="59"/>
  <c r="E39" i="59"/>
  <c r="E6" i="59"/>
  <c r="E32" i="59"/>
  <c r="B258" i="12" a="1"/>
  <c r="I257" i="12" a="1"/>
  <c r="D257" i="12" a="1"/>
  <c r="B258" i="12" l="1"/>
  <c r="D257" i="12"/>
  <c r="I257" i="12"/>
  <c r="H257" i="12" s="1"/>
  <c r="F257" i="12"/>
  <c r="Q257" i="12" a="1"/>
  <c r="R257" i="12" a="1"/>
  <c r="O257" i="12" a="1"/>
  <c r="C258" i="12" a="1"/>
  <c r="E257" i="12" a="1"/>
  <c r="K257" i="12" a="1"/>
  <c r="P257" i="12" a="1"/>
  <c r="M257" i="12" a="1"/>
  <c r="L257" i="12" a="1"/>
  <c r="C258" i="12" l="1"/>
  <c r="O257" i="12"/>
  <c r="R257" i="12"/>
  <c r="Q257" i="12"/>
  <c r="L257" i="12"/>
  <c r="M257" i="12"/>
  <c r="P257" i="12"/>
  <c r="K257" i="12"/>
  <c r="E257" i="12"/>
  <c r="G258" i="12" a="1"/>
  <c r="N257" i="12" a="1"/>
  <c r="G258" i="12" l="1"/>
  <c r="N257" i="12"/>
  <c r="B259" i="12" a="1"/>
  <c r="I258" i="12" a="1"/>
  <c r="D258" i="12" a="1"/>
  <c r="D258" i="12" l="1"/>
  <c r="I258" i="12"/>
  <c r="H258" i="12" s="1"/>
  <c r="B259" i="12"/>
  <c r="F258" i="12"/>
  <c r="K258" i="12" a="1"/>
  <c r="M258" i="12" a="1"/>
  <c r="Q258" i="12" a="1"/>
  <c r="R258" i="12" a="1"/>
  <c r="P258" i="12" a="1"/>
  <c r="O258" i="12" a="1"/>
  <c r="E258" i="12" a="1"/>
  <c r="L258" i="12" a="1"/>
  <c r="C259" i="12" a="1"/>
  <c r="C259" i="12" l="1"/>
  <c r="O258" i="12"/>
  <c r="L258" i="12"/>
  <c r="P258" i="12"/>
  <c r="R258" i="12"/>
  <c r="Q258" i="12"/>
  <c r="E258" i="12"/>
  <c r="M258" i="12"/>
  <c r="K258" i="12"/>
  <c r="G259" i="12" a="1"/>
  <c r="N258" i="12" a="1"/>
  <c r="N258" i="12" l="1"/>
  <c r="G259" i="12"/>
  <c r="B260" i="12" a="1"/>
  <c r="D259" i="12" a="1"/>
  <c r="I259" i="12" a="1"/>
  <c r="I259" i="12" l="1"/>
  <c r="H259" i="12" s="1"/>
  <c r="D259" i="12"/>
  <c r="B260" i="12"/>
  <c r="F259" i="12"/>
  <c r="E259" i="12" a="1"/>
  <c r="P259" i="12" a="1"/>
  <c r="R259" i="12" a="1"/>
  <c r="C260" i="12" a="1"/>
  <c r="K259" i="12" a="1"/>
  <c r="M259" i="12" a="1"/>
  <c r="Q259" i="12" a="1"/>
  <c r="L259" i="12" a="1"/>
  <c r="O259" i="12" a="1"/>
  <c r="C260" i="12" l="1"/>
  <c r="R259" i="12"/>
  <c r="P259" i="12"/>
  <c r="E259" i="12"/>
  <c r="O259" i="12"/>
  <c r="L259" i="12"/>
  <c r="Q259" i="12"/>
  <c r="M259" i="12"/>
  <c r="K259" i="12"/>
  <c r="N259" i="12" a="1"/>
  <c r="G260" i="12" a="1"/>
  <c r="G260" i="12" l="1"/>
  <c r="N259" i="12"/>
  <c r="I260" i="12" a="1"/>
  <c r="D260" i="12" a="1"/>
  <c r="B261" i="12" a="1"/>
  <c r="B261" i="12" l="1"/>
  <c r="I260" i="12"/>
  <c r="H260" i="12" s="1"/>
  <c r="D260" i="12"/>
  <c r="F260" i="12"/>
  <c r="P260" i="12" a="1"/>
  <c r="Q260" i="12" a="1"/>
  <c r="R260" i="12" a="1"/>
  <c r="L260" i="12" a="1"/>
  <c r="C261" i="12" a="1"/>
  <c r="E260" i="12" a="1"/>
  <c r="O260" i="12" a="1"/>
  <c r="K260" i="12" a="1"/>
  <c r="M260" i="12" a="1"/>
  <c r="L260" i="12" l="1"/>
  <c r="R260" i="12"/>
  <c r="Q260" i="12"/>
  <c r="P260" i="12"/>
  <c r="M260" i="12"/>
  <c r="K260" i="12"/>
  <c r="O260" i="12"/>
  <c r="E260" i="12"/>
  <c r="C261" i="12"/>
  <c r="G261" i="12" a="1"/>
  <c r="N260" i="12" a="1"/>
  <c r="N260" i="12" l="1"/>
  <c r="G261" i="12"/>
  <c r="I261" i="12" a="1"/>
  <c r="B262" i="12" a="1"/>
  <c r="D261" i="12" a="1"/>
  <c r="D261" i="12" l="1"/>
  <c r="B262" i="12"/>
  <c r="I261" i="12"/>
  <c r="H261" i="12" s="1"/>
  <c r="F261" i="12"/>
  <c r="Q261" i="12" a="1"/>
  <c r="R261" i="12" a="1"/>
  <c r="K261" i="12" a="1"/>
  <c r="L261" i="12" a="1"/>
  <c r="M261" i="12" a="1"/>
  <c r="P261" i="12" a="1"/>
  <c r="O261" i="12" a="1"/>
  <c r="E261" i="12" a="1"/>
  <c r="C262" i="12" a="1"/>
  <c r="C262" i="12" l="1"/>
  <c r="P261" i="12"/>
  <c r="E261" i="12"/>
  <c r="O261" i="12"/>
  <c r="M261" i="12"/>
  <c r="L261" i="12"/>
  <c r="K261" i="12"/>
  <c r="R261" i="12"/>
  <c r="Q261" i="12"/>
  <c r="N261" i="12" a="1"/>
  <c r="G262" i="12" a="1"/>
  <c r="G262" i="12" l="1"/>
  <c r="N261" i="12"/>
  <c r="I262" i="12" a="1"/>
  <c r="D262" i="12" a="1"/>
  <c r="I262" i="12" l="1"/>
  <c r="H262" i="12" s="1"/>
  <c r="D262" i="12"/>
  <c r="F262" i="12"/>
  <c r="O262" i="12" a="1"/>
  <c r="E262" i="12" a="1"/>
  <c r="P262" i="12" a="1"/>
  <c r="R262" i="12" a="1"/>
  <c r="L262" i="12" a="1"/>
  <c r="M262" i="12" a="1"/>
  <c r="Q262" i="12" a="1"/>
  <c r="K262" i="12" a="1"/>
  <c r="R262" i="12" l="1"/>
  <c r="P262" i="12"/>
  <c r="E262" i="12"/>
  <c r="O262" i="12"/>
  <c r="K262" i="12"/>
  <c r="Q262" i="12"/>
  <c r="M262" i="12"/>
  <c r="L262" i="12"/>
  <c r="N262" i="12" a="1"/>
  <c r="N262" i="12" l="1"/>
  <c r="D45" i="59" a="1"/>
  <c r="D44" i="59" a="1"/>
  <c r="D44" i="59" l="1"/>
  <c r="D45" i="59"/>
  <c r="E44" i="59" a="1"/>
  <c r="E45" i="59" a="1"/>
  <c r="E45" i="59" l="1"/>
  <c r="E44" i="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<sst xmlns="http://schemas.openxmlformats.org/spreadsheetml/2006/main" count="1601" uniqueCount="862">
  <si>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</si>
  <si>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</si>
  <si>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</si>
  <si>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</si>
  <si>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</si>
  <si>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</si>
  <si>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</si>
  <si>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</si>
  <si>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</si>
  <si>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</si>
  <si>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</si>
  <si>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</si>
  <si>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</si>
  <si>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</si>
  <si>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</si>
  <si>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</si>
  <si>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</si>
  <si>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</si>
  <si>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</si>
  <si>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</si>
  <si>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</si>
  <si>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</si>
  <si>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</si>
  <si>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</si>
  <si>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</si>
  <si>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</si>
  <si>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</si>
  <si>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</si>
  <si>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</si>
  <si>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</si>
  <si>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</si>
  <si>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</si>
  <si>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</si>
  <si>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</si>
  <si>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</si>
  <si>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</si>
  <si>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</si>
  <si>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</si>
  <si>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</si>
  <si>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</si>
  <si>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</si>
  <si>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</si>
  <si>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</si>
  <si>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</si>
  <si>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</si>
  <si>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</si>
  <si>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</si>
  <si>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</si>
  <si>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</si>
  <si>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</si>
  <si>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</si>
  <si>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</si>
  <si>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</si>
  <si>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</si>
  <si>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</si>
  <si>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</si>
  <si>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</si>
  <si>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</si>
  <si>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</si>
  <si>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</si>
  <si>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</si>
  <si>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</si>
  <si>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</si>
  <si>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</si>
  <si>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</si>
  <si>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</si>
  <si>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</si>
  <si>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</si>
  <si>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</si>
  <si>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</si>
  <si>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</si>
  <si>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</si>
  <si>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</si>
  <si>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</si>
  <si>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</si>
  <si>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</si>
  <si>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</si>
  <si>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</si>
  <si>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</si>
  <si>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</si>
  <si>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</si>
  <si>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</si>
  <si>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</si>
  <si>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</si>
  <si>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</si>
  <si>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</si>
  <si>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</si>
  <si>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</si>
  <si>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</si>
  <si>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</si>
  <si>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</si>
  <si>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</si>
  <si>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</si>
  <si>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</si>
  <si>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</si>
  <si>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</si>
  <si>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</si>
  <si>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</si>
  <si>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</si>
  <si>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</si>
  <si>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</si>
  <si>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</si>
  <si>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</si>
  <si>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</si>
  <si>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</si>
  <si>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</si>
  <si>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</si>
  <si>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</si>
  <si>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</si>
  <si>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</si>
  <si>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</si>
  <si>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</si>
  <si>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</si>
  <si>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</si>
  <si>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</si>
  <si>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</si>
  <si>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</si>
  <si>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</si>
  <si>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</si>
  <si>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</si>
  <si>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</si>
  <si>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</si>
  <si>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</si>
  <si>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</si>
  <si>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</si>
  <si>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</si>
  <si>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</si>
  <si>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</si>
  <si>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</si>
  <si>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</si>
  <si>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</si>
  <si>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</si>
  <si>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</si>
  <si>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</si>
  <si>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</si>
  <si>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</si>
  <si>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</si>
  <si>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</si>
  <si>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</si>
  <si>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</si>
  <si>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</si>
  <si>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</si>
  <si>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</si>
  <si>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</si>
  <si>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</si>
  <si>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</si>
  <si>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</si>
  <si>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</si>
  <si>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</si>
  <si>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</si>
  <si>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</si>
  <si>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</si>
  <si>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</si>
  <si>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</si>
  <si>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</si>
  <si>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</si>
  <si>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</si>
  <si>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</si>
  <si>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</si>
  <si>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</si>
  <si>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</si>
  <si>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</si>
  <si>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</si>
  <si>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</si>
  <si>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</si>
  <si>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</si>
  <si>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</si>
  <si>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</si>
  <si>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</si>
  <si>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</si>
  <si>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</si>
  <si>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</si>
  <si>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</si>
  <si>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</si>
  <si>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</si>
  <si>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</si>
  <si>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</si>
  <si>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</si>
  <si>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</si>
  <si>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</si>
  <si>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</si>
  <si>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</si>
  <si>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</si>
  <si>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</si>
  <si>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</si>
  <si>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</si>
  <si>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</si>
  <si>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</si>
  <si>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</si>
  <si>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</si>
  <si>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</si>
  <si>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</si>
  <si>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</si>
  <si>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</si>
  <si>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</si>
  <si>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</si>
  <si>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</si>
  <si>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</si>
  <si>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</si>
  <si>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</si>
  <si>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</si>
  <si>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</si>
  <si>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</si>
  <si>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</si>
  <si>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</si>
  <si>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</si>
  <si>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</si>
  <si>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</si>
  <si>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</si>
  <si>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</si>
  <si>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</si>
  <si>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</si>
  <si>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</si>
  <si>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</si>
  <si>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</si>
  <si>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</si>
  <si>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</si>
  <si>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</si>
  <si>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</si>
  <si>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</si>
  <si>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</si>
  <si>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</si>
  <si>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</si>
  <si>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</si>
  <si>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</si>
  <si>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</si>
  <si>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</si>
  <si>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</si>
  <si>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</si>
  <si>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</si>
  <si>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</si>
  <si>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</si>
  <si>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</si>
  <si>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</si>
  <si>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</si>
  <si>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</si>
  <si>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</si>
  <si>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</si>
  <si>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</si>
  <si>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</si>
  <si>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</si>
  <si>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</si>
  <si>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</si>
  <si>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</si>
  <si>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</si>
  <si>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</si>
  <si>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</si>
  <si>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</si>
  <si>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</si>
  <si>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</si>
  <si>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</si>
  <si>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</si>
  <si>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</si>
  <si>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</si>
  <si>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</si>
  <si>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</si>
  <si>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</si>
  <si>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</si>
  <si>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</si>
  <si>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</si>
  <si>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</si>
  <si>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</si>
  <si>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</si>
  <si>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</si>
  <si>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</si>
  <si>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</si>
  <si>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</si>
  <si>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</si>
  <si>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</si>
  <si>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</si>
  <si>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</si>
  <si>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</si>
  <si>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</si>
  <si>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</si>
  <si>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</si>
  <si>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</si>
  <si>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</si>
  <si>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</si>
  <si>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</si>
  <si>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</si>
  <si>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</si>
  <si>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</si>
  <si>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</si>
  <si>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</si>
  <si>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</si>
  <si>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</si>
  <si>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</si>
  <si>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</si>
  <si>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</si>
  <si>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</si>
  <si>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</si>
  <si>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</si>
  <si>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</si>
  <si>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</si>
  <si>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</si>
  <si>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</si>
  <si>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</si>
  <si>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</si>
  <si>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</si>
  <si>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</si>
  <si>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</si>
  <si>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</si>
  <si>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</si>
  <si>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</si>
  <si>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</si>
  <si>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</si>
  <si>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</si>
  <si>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</si>
  <si>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</si>
  <si>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</si>
  <si>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</si>
  <si>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</si>
  <si>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</si>
  <si>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</si>
  <si>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</si>
  <si>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</si>
  <si>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</si>
  <si>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</si>
  <si>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</si>
  <si>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</si>
  <si>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</si>
  <si>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</si>
  <si>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</si>
  <si>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</si>
  <si>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</si>
  <si>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</si>
  <si>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</si>
  <si>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</si>
  <si>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</si>
  <si>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</si>
  <si>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</si>
  <si>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</si>
  <si>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</si>
  <si>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</si>
  <si>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</si>
  <si>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</si>
  <si>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</si>
  <si>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</si>
  <si>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</si>
  <si>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</si>
  <si>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</si>
  <si>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</si>
  <si>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</si>
  <si>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</si>
  <si>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</si>
  <si>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</si>
  <si>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</si>
  <si>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</si>
  <si>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</si>
  <si>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</si>
  <si>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</si>
  <si>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</si>
  <si>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</si>
  <si>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</si>
  <si>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</si>
  <si>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</si>
  <si>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</si>
  <si>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</si>
  <si>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</si>
  <si>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</si>
  <si>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</si>
  <si>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</si>
  <si>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</si>
  <si>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</si>
  <si>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</si>
  <si>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</si>
  <si>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</si>
  <si>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</si>
  <si>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</si>
  <si>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</si>
  <si>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</si>
  <si>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</si>
  <si>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</si>
  <si>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</si>
  <si>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</si>
  <si>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</si>
  <si>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</si>
  <si>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</si>
  <si>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</si>
  <si>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</si>
  <si>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</si>
  <si>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</si>
  <si>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</si>
  <si>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</si>
  <si>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</si>
  <si>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</si>
  <si>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</si>
  <si>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</si>
  <si>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</si>
  <si>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</si>
  <si>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</si>
  <si>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</si>
  <si>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</si>
  <si>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</si>
  <si>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</si>
  <si>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</si>
  <si>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</si>
  <si>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</si>
  <si>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</si>
  <si>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</si>
  <si>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</si>
  <si>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</si>
  <si>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</si>
  <si>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</si>
  <si>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</si>
  <si>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</si>
  <si>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</si>
  <si>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</si>
  <si>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</si>
  <si>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</si>
  <si>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</si>
  <si>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</si>
  <si>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</si>
  <si>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</si>
  <si>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</si>
  <si>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</si>
  <si>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</si>
  <si>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</si>
  <si>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</si>
  <si>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</si>
  <si>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</si>
  <si>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</si>
  <si>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</si>
  <si>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</si>
  <si>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</si>
  <si>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</si>
  <si>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</si>
  <si>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</si>
  <si>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</si>
  <si>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</si>
  <si>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</si>
  <si>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</si>
  <si>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</si>
  <si>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</si>
  <si>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</si>
  <si>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</si>
  <si>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</si>
  <si>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</si>
  <si>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</si>
  <si>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</si>
  <si>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</si>
  <si>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</si>
  <si>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</si>
  <si>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</si>
  <si>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</si>
  <si>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</si>
  <si>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</si>
  <si>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</si>
  <si>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</si>
  <si>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</si>
  <si>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</si>
  <si>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</si>
  <si>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</si>
  <si>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</si>
  <si>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</si>
  <si>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</si>
  <si>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</si>
  <si>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</si>
  <si>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</si>
  <si>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</si>
  <si>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</si>
  <si>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</si>
  <si>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</si>
  <si>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</si>
  <si>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</si>
  <si>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</si>
  <si>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</si>
  <si>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</si>
  <si>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</si>
  <si>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</si>
  <si>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</si>
  <si>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</si>
  <si>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</si>
  <si>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</si>
  <si>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</si>
  <si>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</si>
  <si>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</si>
  <si>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</si>
  <si>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</si>
  <si>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</si>
  <si>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</si>
  <si>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</si>
  <si>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</si>
  <si>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</si>
  <si>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</si>
  <si>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</si>
  <si>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</si>
  <si>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</si>
  <si>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</si>
  <si>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</si>
  <si>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</si>
  <si>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</si>
  <si>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</si>
  <si>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</si>
  <si>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</si>
  <si>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</si>
  <si>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</si>
  <si>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</si>
  <si>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</si>
  <si>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</si>
  <si>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</si>
  <si>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</si>
  <si>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</si>
  <si>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</si>
  <si>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</si>
  <si>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</si>
  <si>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</si>
  <si>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</si>
  <si>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</si>
  <si>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</si>
  <si>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</si>
  <si>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</si>
  <si>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</si>
  <si>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</si>
  <si>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</si>
  <si>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</si>
  <si>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</si>
  <si>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</si>
  <si>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</si>
  <si>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</si>
  <si>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</si>
  <si>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</si>
  <si>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</si>
  <si>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</si>
  <si>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</si>
  <si>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</si>
  <si>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</si>
  <si>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</si>
  <si>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</si>
  <si>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</si>
  <si>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</si>
  <si>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</si>
  <si>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</si>
  <si>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</si>
  <si>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</si>
  <si>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</si>
  <si>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</si>
  <si>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</si>
  <si>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</si>
  <si>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</si>
  <si>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</si>
  <si>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</si>
  <si>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</si>
  <si>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</si>
  <si>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</si>
  <si>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</si>
  <si>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</si>
  <si>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</si>
  <si>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</si>
  <si>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</si>
  <si>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</si>
  <si>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</si>
  <si>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</si>
  <si>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</si>
  <si>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</si>
  <si>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</si>
  <si>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</si>
  <si>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</si>
  <si>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</si>
  <si>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</si>
  <si>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</si>
  <si>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</si>
  <si>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</si>
  <si>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</si>
  <si>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</si>
  <si>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</si>
  <si>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</si>
  <si>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</si>
  <si>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</si>
  <si>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</si>
  <si>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</si>
  <si>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</si>
  <si>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</si>
  <si>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</si>
  <si>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</si>
  <si>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</si>
  <si>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</si>
  <si>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</si>
  <si>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</si>
  <si>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</si>
  <si>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</si>
  <si>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</si>
  <si>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</si>
  <si>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</si>
  <si>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</si>
  <si>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</si>
  <si>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</si>
  <si>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</si>
  <si>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</si>
  <si>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</si>
  <si>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</si>
  <si>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</si>
  <si>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</si>
  <si>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</si>
  <si>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</si>
  <si>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</si>
  <si>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</si>
  <si>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</si>
  <si>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</si>
  <si>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</si>
  <si>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</si>
  <si>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</si>
  <si>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</si>
  <si>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</si>
  <si>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</si>
  <si>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</si>
  <si>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</si>
  <si>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</si>
  <si>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</si>
  <si>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</si>
  <si>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</si>
  <si>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</si>
  <si>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</si>
  <si>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</si>
  <si>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</si>
  <si>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</si>
  <si>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</si>
  <si>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</si>
  <si>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</si>
  <si>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</si>
  <si>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</si>
  <si>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</si>
  <si>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</si>
  <si>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</si>
  <si>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</si>
  <si>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</si>
  <si>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</si>
  <si>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</si>
  <si>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</si>
  <si>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</si>
  <si>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</si>
  <si>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</si>
  <si>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</si>
  <si>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</si>
  <si>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</si>
  <si>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</si>
  <si>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</si>
  <si>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</si>
  <si>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</si>
  <si>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</si>
  <si>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</si>
  <si>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</si>
  <si>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</si>
  <si>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</si>
  <si>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</si>
  <si>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</si>
  <si>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</si>
  <si>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</si>
  <si>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</si>
  <si>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</si>
  <si>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</si>
  <si>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</si>
  <si>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</si>
  <si>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</si>
  <si>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</si>
  <si>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</si>
  <si>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</si>
  <si>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</si>
  <si>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</si>
  <si>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</si>
  <si>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</si>
  <si>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</si>
  <si>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</si>
  <si>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</si>
  <si>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</si>
  <si>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</si>
  <si>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</si>
  <si>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</si>
  <si>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</si>
  <si>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</si>
  <si>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</si>
  <si>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</si>
  <si>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</si>
  <si>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</si>
  <si>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</si>
  <si>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</si>
  <si>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</si>
  <si>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</si>
  <si>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</si>
  <si>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</si>
  <si>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</si>
  <si>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</si>
  <si>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</si>
  <si>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</si>
  <si>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</si>
  <si>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</si>
  <si>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</si>
  <si>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</si>
  <si>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</si>
  <si>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</si>
  <si>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</si>
  <si>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</si>
  <si>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</si>
  <si>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</si>
  <si>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</si>
  <si>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</si>
  <si>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</si>
  <si>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</si>
  <si>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</si>
  <si>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</si>
  <si>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</si>
  <si>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</si>
  <si>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</si>
  <si>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</si>
  <si>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</si>
  <si>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</si>
  <si>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</si>
  <si>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</si>
  <si>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</si>
  <si>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</si>
  <si>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</si>
  <si>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</si>
  <si>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</si>
  <si>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</si>
  <si>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</si>
  <si>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</si>
  <si>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</si>
  <si>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</si>
  <si>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Pede Ordenável?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</si>
  <si>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</si>
  <si>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</si>
  <si>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</si>
  <si>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</si>
  <si>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</si>
  <si>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</si>
  <si>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</si>
  <si>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</si>
  <si>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</si>
  <si>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</si>
  <si>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</si>
  <si>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</si>
  <si>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</si>
  <si>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</si>
  <si>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</si>
  <si>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</si>
  <si>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</si>
  <si>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</si>
  <si>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</si>
  <si>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</si>
  <si>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</si>
  <si>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</si>
  <si>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</si>
  <si>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</si>
  <si>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</si>
  <si>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</si>
  <si>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</si>
  <si>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</si>
  <si>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</si>
  <si>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</si>
  <si>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</si>
  <si>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</si>
  <si>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</si>
  <si>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</si>
  <si>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</si>
  <si>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</si>
  <si>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</si>
  <si>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</si>
  <si>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</si>
  <si>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</si>
  <si>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</si>
  <si>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</si>
  <si>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</si>
  <si>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</si>
  <si>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</si>
  <si>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</si>
  <si>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</si>
  <si>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</si>
  <si>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</si>
  <si>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</si>
  <si>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</si>
  <si>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</si>
  <si>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</si>
  <si>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</si>
  <si>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</si>
  <si>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</si>
  <si>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</si>
  <si>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</si>
  <si>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</si>
  <si>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</si>
  <si>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</si>
  <si>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</si>
  <si>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</si>
  <si>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</si>
  <si>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</si>
  <si>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</si>
  <si>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</si>
  <si>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</si>
  <si>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</si>
  <si>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</si>
  <si>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</si>
  <si>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</si>
  <si>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</si>
  <si>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</si>
  <si>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</si>
  <si>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</si>
  <si>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</si>
  <si>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</si>
  <si>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</si>
  <si>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</si>
  <si>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</si>
  <si>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</si>
  <si>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</si>
  <si>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</si>
  <si>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</si>
  <si>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</si>
  <si>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</si>
  <si>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</si>
  <si>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</si>
  <si>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</si>
  <si>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</si>
  <si>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</si>
  <si>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</si>
  <si>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</si>
  <si>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</si>
  <si>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</si>
  <si>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</si>
  <si>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</si>
  <si>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</si>
  <si>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</si>
  <si>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</si>
  <si>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</si>
  <si>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</si>
  <si>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</si>
  <si>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</si>
  <si>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</si>
  <si>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</si>
  <si>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</si>
  <si>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</si>
  <si>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</si>
  <si>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</si>
  <si>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</si>
  <si>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</si>
  <si>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</si>
  <si>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</si>
  <si>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</si>
  <si>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</si>
  <si>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</si>
  <si>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</si>
  <si>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</si>
  <si>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</si>
  <si>
    <t>Valores Válidos</t>
  </si>
  <si>
    <t>Restrictions</t>
  </si>
  <si>
    <t>Restrições de colunas únicas/exclusivas</t>
  </si>
  <si>
    <t>Rst</t>
  </si>
  <si>
    <t>Group</t>
  </si>
  <si>
    <t>Grupo</t>
  </si>
  <si>
    <t>Restriction</t>
  </si>
  <si>
    <t>Restrição</t>
  </si>
  <si>
    <t>Referencebonds</t>
  </si>
  <si>
    <t>Rfb</t>
  </si>
  <si>
    <t>Referências de ligação</t>
  </si>
  <si>
    <t>BondReferenceId</t>
  </si>
  <si>
    <t>#BondReferenceName</t>
  </si>
  <si>
    <t>Ligação</t>
  </si>
  <si>
    <t>Database Directory</t>
  </si>
  <si>
    <t>required;optional;absent</t>
  </si>
  <si>
    <t>optional</t>
  </si>
  <si>
    <t>absent</t>
  </si>
  <si>
    <t>ListColumnId</t>
  </si>
  <si>
    <t>Coluna Listável</t>
  </si>
  <si>
    <t>#ListColumnName</t>
  </si>
  <si>
    <t>unique;exclusive;required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</si>
</sst>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8</xdr:row>
      <xdr:rowOff>129540</xdr:rowOff>
    </xdr:from>
    <xdr:to>
      <xdr:col>18</xdr:col>
      <xdr:colOff>381000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0B48597-5D0E-0AE0-C1F6-D71F9B8B6277}"/>
            </a:ext>
          </a:extLst>
        </xdr:cNvPr>
        <xdr:cNvSpPr txBox="1"/>
      </xdr:nvSpPr>
      <xdr:spPr>
        <a:xfrm>
          <a:off x="7665720" y="1592580"/>
          <a:ext cx="42291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tabela agrupa</a:t>
          </a:r>
          <a:r>
            <a:rPr lang="pt-BR" sz="1100" baseline="0"/>
            <a:t> colunas de tabelas com propriedades comuns em conjunto tais como unique e exclusive (somente uma preenchida).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434340</xdr:colOff>
      <xdr:row>8</xdr:row>
      <xdr:rowOff>129540</xdr:rowOff>
    </xdr:from>
    <xdr:to>
      <xdr:col>14</xdr:col>
      <xdr:colOff>556260</xdr:colOff>
      <xdr:row>15</xdr:row>
      <xdr:rowOff>22860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09882CD-4E81-763F-A8C4-C40B720E4B9B}"/>
            </a:ext>
          </a:extLst>
        </xdr:cNvPr>
        <xdr:cNvSpPr txBox="1"/>
      </xdr:nvSpPr>
      <xdr:spPr>
        <a:xfrm>
          <a:off x="7513320" y="1592580"/>
          <a:ext cx="3169920" cy="11734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tabela</a:t>
          </a:r>
          <a:r>
            <a:rPr lang="pt-BR" sz="1100" baseline="0"/>
            <a:t> permite juntar duas ou mais referências entre si. Por exemplo, se queremos que numa tabela a coluna ColumnId seja FK de Columns e, ao mesmo tempo que a coluna TableId também seja FK de Tables. Ambas as referências devem ser válidas para a linha da tabela ser válida.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4"/>
  <sheetViews>
    <sheetView workbookViewId="0">
      <pane ySplit="4" topLeftCell="A5" activePane="bottomLeft" state="frozen"/>
      <selection pane="bottomLeft" activeCell="E8" sqref="E8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5.33203125" bestFit="1" customWidth="1"/>
  </cols>
  <sheetData>
    <row r="1" spans="1:11" s="1" customFormat="1">
      <c r="A1" s="1" t="s">
        <v>528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715</v>
      </c>
      <c r="I1" s="1" t="s">
        <v>22</v>
      </c>
      <c r="J1" s="1" t="s">
        <v>397</v>
      </c>
      <c r="K1" s="1" t="s">
        <v>626</v>
      </c>
    </row>
    <row r="2" spans="1:11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</row>
    <row r="3" spans="1:11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 s="1" customFormat="1">
      <c r="A4" s="1" t="s">
        <v>641</v>
      </c>
      <c r="B4" s="1" t="s">
        <v>708</v>
      </c>
      <c r="C4" s="1" t="s">
        <v>709</v>
      </c>
      <c r="D4" s="1" t="s">
        <v>710</v>
      </c>
      <c r="E4" s="1" t="s">
        <v>711</v>
      </c>
      <c r="F4" s="1" t="s">
        <v>712</v>
      </c>
      <c r="G4" s="1" t="s">
        <v>713</v>
      </c>
      <c r="H4" s="1" t="s">
        <v>714</v>
      </c>
      <c r="I4" s="1" t="s">
        <v>716</v>
      </c>
      <c r="J4" s="1" t="s">
        <v>717</v>
      </c>
      <c r="K4" s="1" t="s">
        <v>718</v>
      </c>
    </row>
    <row r="5" spans="1:11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1</v>
      </c>
    </row>
    <row r="7" spans="1:11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1</v>
      </c>
    </row>
    <row r="8" spans="1:11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1</v>
      </c>
    </row>
    <row r="9" spans="1:11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1</v>
      </c>
    </row>
    <row r="10" spans="1:11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1</v>
      </c>
    </row>
    <row r="12" spans="1:11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C12" sqref="C12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528</v>
      </c>
      <c r="B1" s="1" t="s">
        <v>407</v>
      </c>
      <c r="C1" s="1" t="s">
        <v>63</v>
      </c>
      <c r="D1" s="1" t="s">
        <v>408</v>
      </c>
      <c r="E1" s="1" t="s">
        <v>635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641</v>
      </c>
      <c r="B4" s="1" t="s">
        <v>719</v>
      </c>
      <c r="C4" s="1" t="s">
        <v>720</v>
      </c>
      <c r="D4" s="1" t="s">
        <v>721</v>
      </c>
      <c r="E4" s="1" t="s">
        <v>722</v>
      </c>
    </row>
    <row r="5" spans="1:5">
      <c r="A5">
        <f>ROW(A5)-4</f>
        <v>1</v>
      </c>
      <c r="B5" s="6" t="s">
        <v>278</v>
      </c>
      <c r="C5" t="s">
        <v>543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409</v>
      </c>
      <c r="C6" t="s">
        <v>555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544</v>
      </c>
      <c r="D7">
        <v>2</v>
      </c>
      <c r="E7" t="b">
        <v>0</v>
      </c>
    </row>
    <row r="8" spans="1:5">
      <c r="A8">
        <f t="shared" si="0"/>
        <v>4</v>
      </c>
      <c r="B8" s="6" t="s">
        <v>410</v>
      </c>
      <c r="C8" t="s">
        <v>545</v>
      </c>
      <c r="D8">
        <v>2</v>
      </c>
      <c r="E8" t="b">
        <v>0</v>
      </c>
    </row>
    <row r="9" spans="1:5">
      <c r="A9">
        <f t="shared" si="0"/>
        <v>5</v>
      </c>
      <c r="B9" s="6" t="s">
        <v>411</v>
      </c>
      <c r="C9" t="s">
        <v>556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546</v>
      </c>
      <c r="D10">
        <v>2</v>
      </c>
      <c r="E10" t="b">
        <v>1</v>
      </c>
    </row>
    <row r="11" spans="1:5">
      <c r="A11">
        <f t="shared" si="0"/>
        <v>7</v>
      </c>
      <c r="B11" s="6" t="s">
        <v>412</v>
      </c>
      <c r="C11" t="s">
        <v>547</v>
      </c>
      <c r="E11" t="b">
        <v>0</v>
      </c>
    </row>
    <row r="12" spans="1:5">
      <c r="A12">
        <f t="shared" si="0"/>
        <v>8</v>
      </c>
      <c r="B12" s="6" t="s">
        <v>413</v>
      </c>
      <c r="C12" t="s">
        <v>548</v>
      </c>
      <c r="E12" t="b">
        <v>0</v>
      </c>
    </row>
    <row r="13" spans="1:5">
      <c r="A13">
        <f t="shared" si="0"/>
        <v>9</v>
      </c>
      <c r="B13" s="6" t="s">
        <v>414</v>
      </c>
      <c r="C13" t="s">
        <v>549</v>
      </c>
      <c r="D13">
        <v>2</v>
      </c>
      <c r="E13" t="b">
        <v>0</v>
      </c>
    </row>
    <row r="14" spans="1:5">
      <c r="A14">
        <f t="shared" si="0"/>
        <v>10</v>
      </c>
      <c r="B14" s="6" t="s">
        <v>415</v>
      </c>
      <c r="C14" t="s">
        <v>550</v>
      </c>
      <c r="D14">
        <v>2</v>
      </c>
      <c r="E14" t="b">
        <v>0</v>
      </c>
    </row>
    <row r="15" spans="1:5">
      <c r="A15">
        <f t="shared" si="0"/>
        <v>11</v>
      </c>
      <c r="B15" s="6" t="s">
        <v>416</v>
      </c>
      <c r="C15" t="s">
        <v>551</v>
      </c>
      <c r="D15">
        <v>3</v>
      </c>
      <c r="E15" t="b">
        <v>1</v>
      </c>
    </row>
    <row r="16" spans="1:5">
      <c r="A16">
        <f t="shared" si="0"/>
        <v>12</v>
      </c>
      <c r="B16" s="6" t="s">
        <v>417</v>
      </c>
      <c r="C16" t="s">
        <v>552</v>
      </c>
      <c r="D16">
        <v>3</v>
      </c>
      <c r="E16" t="b">
        <v>1</v>
      </c>
    </row>
    <row r="17" spans="1:5">
      <c r="A17">
        <f t="shared" si="0"/>
        <v>13</v>
      </c>
      <c r="B17" s="6" t="s">
        <v>418</v>
      </c>
      <c r="C17" t="s">
        <v>553</v>
      </c>
      <c r="D17">
        <v>1</v>
      </c>
      <c r="E17" t="b">
        <v>0</v>
      </c>
    </row>
    <row r="18" spans="1:5">
      <c r="A18">
        <f t="shared" si="0"/>
        <v>14</v>
      </c>
      <c r="B18" s="6" t="s">
        <v>419</v>
      </c>
      <c r="C18" t="s">
        <v>554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528</v>
      </c>
      <c r="B1" s="1" t="s">
        <v>15</v>
      </c>
      <c r="C1" s="1" t="s">
        <v>104</v>
      </c>
      <c r="D1" s="1" t="s">
        <v>423</v>
      </c>
      <c r="E1" s="1" t="s">
        <v>506</v>
      </c>
      <c r="F1" s="1" t="s">
        <v>455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641</v>
      </c>
      <c r="B4" s="1" t="s">
        <v>723</v>
      </c>
      <c r="D4" s="1" t="s">
        <v>724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F14" sqref="F14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7" bestFit="1" customWidth="1"/>
    <col min="7" max="7" width="11.77734375" bestFit="1" customWidth="1"/>
  </cols>
  <sheetData>
    <row r="1" spans="1:7" s="1" customFormat="1">
      <c r="A1" s="1" t="s">
        <v>528</v>
      </c>
      <c r="B1" s="1" t="s">
        <v>0</v>
      </c>
      <c r="C1" s="1" t="s">
        <v>356</v>
      </c>
      <c r="D1" s="1" t="s">
        <v>522</v>
      </c>
      <c r="E1" s="1" t="s">
        <v>523</v>
      </c>
      <c r="F1" s="1" t="s">
        <v>226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63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Database Directory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708</v>
      </c>
      <c r="C4" s="1" t="s">
        <v>725</v>
      </c>
      <c r="D4" s="1" t="s">
        <v>726</v>
      </c>
      <c r="E4" s="1" t="s">
        <v>727</v>
      </c>
      <c r="F4" s="1" t="s">
        <v>728</v>
      </c>
      <c r="G4" s="1" t="s">
        <v>729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s">
        <v>856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518</v>
      </c>
      <c r="F6" t="s">
        <v>857</v>
      </c>
      <c r="G6" t="b">
        <v>0</v>
      </c>
    </row>
    <row r="7" spans="1:7">
      <c r="A7">
        <f t="shared" si="0"/>
        <v>3</v>
      </c>
      <c r="B7" t="s">
        <v>146</v>
      </c>
      <c r="C7" t="s">
        <v>393</v>
      </c>
      <c r="D7" t="s">
        <v>393</v>
      </c>
      <c r="F7" t="s">
        <v>857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s">
        <v>857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s">
        <v>856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394</v>
      </c>
      <c r="D10" t="s">
        <v>394</v>
      </c>
      <c r="F10" t="s">
        <v>856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519</v>
      </c>
      <c r="E11" t="s">
        <v>521</v>
      </c>
      <c r="F11" t="s">
        <v>285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520</v>
      </c>
      <c r="F12" t="s">
        <v>857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524</v>
      </c>
      <c r="D13" t="s">
        <v>395</v>
      </c>
      <c r="F13" t="s">
        <v>857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525</v>
      </c>
      <c r="D14" t="s">
        <v>396</v>
      </c>
      <c r="F14" t="s">
        <v>857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26" activePane="bottomLeft" state="frozen"/>
      <selection pane="bottomLeft" activeCell="E43" sqref="E43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528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664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641</v>
      </c>
      <c r="B4" s="1" t="s">
        <v>723</v>
      </c>
      <c r="D4" s="1" t="s">
        <v>708</v>
      </c>
      <c r="E4" s="1" t="s">
        <v>730</v>
      </c>
      <c r="F4" s="1" t="s">
        <v>731</v>
      </c>
      <c r="G4" s="1" t="s">
        <v>732</v>
      </c>
      <c r="H4" s="1" t="s">
        <v>733</v>
      </c>
      <c r="I4" s="1" t="s">
        <v>734</v>
      </c>
      <c r="J4" s="1" t="s">
        <v>735</v>
      </c>
      <c r="K4" s="1" t="s">
        <v>736</v>
      </c>
      <c r="L4" s="1" t="s">
        <v>729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381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666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383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638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637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384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382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665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206" activePane="bottomLeft" state="frozen"/>
      <selection pane="bottomLeft" sqref="A1:XFD1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528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696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641</v>
      </c>
      <c r="B4" s="1" t="s">
        <v>737</v>
      </c>
      <c r="D4" s="1" t="s">
        <v>738</v>
      </c>
      <c r="F4" s="1" t="s">
        <v>708</v>
      </c>
      <c r="G4" s="1" t="s">
        <v>739</v>
      </c>
      <c r="H4" s="1" t="s">
        <v>740</v>
      </c>
      <c r="I4" s="1" t="s">
        <v>741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665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667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697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692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693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668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669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667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670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697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671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694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667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672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667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667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671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667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686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673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673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673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687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674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688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674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698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699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689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673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686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687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676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688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676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677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698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677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675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689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677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677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677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678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609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679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679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680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681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609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682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683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609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695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684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684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690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685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685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700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691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4" topLeftCell="A5" activePane="bottomLeft" state="frozen"/>
      <selection pane="bottomLeft" activeCell="D11" sqref="D11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528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562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737</v>
      </c>
      <c r="D4" s="1" t="s">
        <v>708</v>
      </c>
      <c r="E4" s="1" t="s">
        <v>742</v>
      </c>
      <c r="F4" s="1" t="s">
        <v>728</v>
      </c>
      <c r="G4" s="1" t="s">
        <v>729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7"/>
  <sheetViews>
    <sheetView zoomScaleNormal="100" workbookViewId="0">
      <pane ySplit="4" topLeftCell="A5" activePane="bottomLeft" state="frozen"/>
      <selection pane="bottomLeft" activeCell="I7" sqref="I7"/>
    </sheetView>
  </sheetViews>
  <sheetFormatPr defaultColWidth="4.109375" defaultRowHeight="14.4"/>
  <cols>
    <col min="1" max="1" width="5.21875" bestFit="1" customWidth="1"/>
    <col min="2" max="2" width="11" bestFit="1" customWidth="1"/>
    <col min="3" max="3" width="14" bestFit="1" customWidth="1"/>
    <col min="4" max="4" width="6.77734375" bestFit="1" customWidth="1"/>
    <col min="5" max="5" width="14.77734375" bestFit="1" customWidth="1"/>
    <col min="6" max="6" width="16.77734375" bestFit="1" customWidth="1"/>
    <col min="7" max="7" width="9" bestFit="1" customWidth="1"/>
    <col min="8" max="8" width="10.5546875" bestFit="1" customWidth="1"/>
    <col min="9" max="9" width="8.66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528</v>
      </c>
      <c r="B1" s="1" t="s">
        <v>561</v>
      </c>
      <c r="C1" s="1" t="s">
        <v>560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392</v>
      </c>
      <c r="M1" s="1" t="s">
        <v>99</v>
      </c>
      <c r="N1" s="1" t="s">
        <v>491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641</v>
      </c>
      <c r="B4" s="1" t="s">
        <v>743</v>
      </c>
      <c r="D4" s="1" t="s">
        <v>738</v>
      </c>
      <c r="F4" s="1" t="s">
        <v>708</v>
      </c>
      <c r="G4" s="1" t="s">
        <v>739</v>
      </c>
      <c r="H4" s="1" t="s">
        <v>740</v>
      </c>
      <c r="I4" s="1" t="s">
        <v>744</v>
      </c>
      <c r="J4" s="1" t="s">
        <v>730</v>
      </c>
      <c r="K4" s="1" t="s">
        <v>731</v>
      </c>
      <c r="L4" s="1" t="s">
        <v>745</v>
      </c>
      <c r="M4" s="1" t="s">
        <v>840</v>
      </c>
      <c r="N4" s="1" t="s">
        <v>746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7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611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612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613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614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615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616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617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618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619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620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621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622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623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624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609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610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608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380</v>
      </c>
      <c r="G31">
        <v>10</v>
      </c>
      <c r="M31" t="s">
        <v>663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494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495</v>
      </c>
      <c r="G33">
        <v>5</v>
      </c>
      <c r="L33" s="10"/>
      <c r="M33" s="27" t="s">
        <v>379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390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391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453</v>
      </c>
      <c r="G36">
        <v>10</v>
      </c>
      <c r="M36" t="s">
        <v>454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492</v>
      </c>
      <c r="N37" t="s">
        <v>493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491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662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703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704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705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706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707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507</v>
      </c>
      <c r="G64">
        <v>256</v>
      </c>
    </row>
    <row r="65" spans="1:13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372</v>
      </c>
      <c r="J65">
        <v>1</v>
      </c>
      <c r="K65">
        <v>31</v>
      </c>
    </row>
    <row r="66" spans="1:13">
      <c r="A66">
        <f t="shared" si="0"/>
        <v>62</v>
      </c>
      <c r="B66">
        <v>1</v>
      </c>
      <c r="C66" t="str" cm="1">
        <f t="array" ref="C66">GetValue("Own","Name",B66)</f>
        <v>SoftLab</v>
      </c>
      <c r="D66">
        <v>22</v>
      </c>
      <c r="E66" t="str" cm="1">
        <f t="array" ref="E66">GetValue("Typ","Name",D66)</f>
        <v>nvarchar(n)</v>
      </c>
      <c r="F66" t="s">
        <v>846</v>
      </c>
      <c r="G66">
        <v>10</v>
      </c>
      <c r="M66" t="s">
        <v>861</v>
      </c>
    </row>
    <row r="67" spans="1:13">
      <c r="A67">
        <f t="shared" si="0"/>
        <v>63</v>
      </c>
      <c r="B67">
        <v>1</v>
      </c>
      <c r="C67" t="str" cm="1">
        <f t="array" ref="C67">GetValue("Own","Name",B67)</f>
        <v>SoftLab</v>
      </c>
      <c r="D67">
        <v>22</v>
      </c>
      <c r="E67" t="str" cm="1">
        <f t="array" ref="E67">GetValue("Typ","Name",D67)</f>
        <v>nvarchar(n)</v>
      </c>
      <c r="F67" t="s">
        <v>854</v>
      </c>
      <c r="G67">
        <v>10</v>
      </c>
      <c r="M67" t="s">
        <v>855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528</v>
      </c>
      <c r="B1" s="1" t="s">
        <v>561</v>
      </c>
      <c r="C1" s="1" t="s">
        <v>560</v>
      </c>
      <c r="D1" s="13" t="s">
        <v>0</v>
      </c>
      <c r="E1" s="13" t="s">
        <v>526</v>
      </c>
      <c r="F1" s="1" t="s">
        <v>420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641</v>
      </c>
      <c r="B4" s="1" t="s">
        <v>743</v>
      </c>
      <c r="D4" s="1" t="s">
        <v>708</v>
      </c>
      <c r="E4" s="1" t="s">
        <v>747</v>
      </c>
      <c r="F4" s="1" t="s">
        <v>748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489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428</v>
      </c>
      <c r="F6" t="s">
        <v>489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429</v>
      </c>
      <c r="F7" t="s">
        <v>489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430</v>
      </c>
      <c r="F8" t="s">
        <v>489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431</v>
      </c>
      <c r="F9" t="s">
        <v>489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489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489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432</v>
      </c>
      <c r="F12" t="s">
        <v>489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433</v>
      </c>
      <c r="F13" t="s">
        <v>489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434</v>
      </c>
      <c r="F14" t="s">
        <v>489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435</v>
      </c>
      <c r="F15" t="s">
        <v>490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436</v>
      </c>
      <c r="F16" t="s">
        <v>489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437</v>
      </c>
      <c r="F17" t="s">
        <v>489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438</v>
      </c>
      <c r="F18" t="s">
        <v>489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439</v>
      </c>
      <c r="F19" t="s">
        <v>490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440</v>
      </c>
      <c r="F20" t="s">
        <v>490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441</v>
      </c>
      <c r="F21" t="s">
        <v>489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442</v>
      </c>
      <c r="F22" t="s">
        <v>489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489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G18" sqref="G18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528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641</v>
      </c>
      <c r="B4" s="1" t="s">
        <v>749</v>
      </c>
      <c r="D4" s="1" t="s">
        <v>747</v>
      </c>
      <c r="F4" s="1" t="s">
        <v>750</v>
      </c>
      <c r="G4" s="1" t="s">
        <v>751</v>
      </c>
      <c r="H4" s="1" t="s">
        <v>752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421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422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528</v>
      </c>
      <c r="B1" s="1" t="s">
        <v>561</v>
      </c>
      <c r="C1" s="1" t="s">
        <v>560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641</v>
      </c>
      <c r="B4" s="1" t="s">
        <v>743</v>
      </c>
      <c r="D4" s="1" t="s">
        <v>708</v>
      </c>
      <c r="E4" s="1" t="s">
        <v>720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528</v>
      </c>
      <c r="B1" s="1" t="s">
        <v>627</v>
      </c>
      <c r="C1" s="1" t="s">
        <v>628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641</v>
      </c>
      <c r="B4" s="1" t="s">
        <v>753</v>
      </c>
      <c r="D4" s="1" t="s">
        <v>708</v>
      </c>
      <c r="E4" s="1" t="s">
        <v>720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528</v>
      </c>
      <c r="B1" s="1" t="s">
        <v>561</v>
      </c>
      <c r="C1" s="1" t="s">
        <v>560</v>
      </c>
      <c r="D1" s="1" t="s">
        <v>66</v>
      </c>
      <c r="E1" s="1" t="s">
        <v>0</v>
      </c>
      <c r="F1" s="1" t="s">
        <v>63</v>
      </c>
      <c r="G1" s="1" t="s">
        <v>398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743</v>
      </c>
      <c r="D4" s="1" t="s">
        <v>754</v>
      </c>
      <c r="E4" s="1" t="s">
        <v>708</v>
      </c>
      <c r="F4" s="1" t="s">
        <v>720</v>
      </c>
      <c r="G4" s="1" t="s">
        <v>755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563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565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564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528</v>
      </c>
      <c r="B1" s="1" t="s">
        <v>627</v>
      </c>
      <c r="C1" s="1" t="s">
        <v>628</v>
      </c>
      <c r="D1" s="1" t="s">
        <v>629</v>
      </c>
      <c r="E1" s="1" t="s">
        <v>630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641</v>
      </c>
      <c r="B4" s="1" t="s">
        <v>753</v>
      </c>
      <c r="D4" s="1" t="s">
        <v>756</v>
      </c>
      <c r="F4" s="1" t="s">
        <v>757</v>
      </c>
      <c r="G4" s="1" t="s">
        <v>758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G6" sqref="G6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528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641</v>
      </c>
      <c r="B4" s="1" t="s">
        <v>759</v>
      </c>
      <c r="D4" s="1" t="s">
        <v>760</v>
      </c>
      <c r="E4" s="1" t="s">
        <v>708</v>
      </c>
      <c r="F4" s="1" t="s">
        <v>720</v>
      </c>
      <c r="G4" s="1" t="s">
        <v>800</v>
      </c>
      <c r="H4" s="1" t="s">
        <v>761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528</v>
      </c>
      <c r="B1" s="1" t="s">
        <v>65</v>
      </c>
      <c r="C1" s="1" t="s">
        <v>108</v>
      </c>
      <c r="D1" s="1" t="s">
        <v>70</v>
      </c>
      <c r="E1" s="1" t="s">
        <v>838</v>
      </c>
      <c r="F1" s="1" t="s">
        <v>66</v>
      </c>
      <c r="G1" s="1" t="s">
        <v>764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641</v>
      </c>
      <c r="B4" s="1" t="s">
        <v>762</v>
      </c>
      <c r="D4" s="1" t="s">
        <v>763</v>
      </c>
      <c r="F4" s="1" t="s">
        <v>754</v>
      </c>
      <c r="G4" s="1" t="s">
        <v>765</v>
      </c>
      <c r="H4" s="1" t="s">
        <v>766</v>
      </c>
      <c r="I4" s="1" t="s">
        <v>767</v>
      </c>
      <c r="J4" s="1" t="s">
        <v>761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512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515</v>
      </c>
      <c r="H7" t="s">
        <v>514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513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457</v>
      </c>
      <c r="H9" t="str">
        <f>E9&amp;" de "&amp;G9</f>
        <v>Manutenção de Categorias</v>
      </c>
      <c r="I9" t="s">
        <v>573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426</v>
      </c>
      <c r="H10" t="str">
        <f t="shared" ref="H10:H44" si="2">E10&amp;" de "&amp;G10</f>
        <v>Manutenção de Comparadores</v>
      </c>
      <c r="I10" t="s">
        <v>574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569</v>
      </c>
      <c r="H11" t="str">
        <f t="shared" si="2"/>
        <v>Manutenção de Regras</v>
      </c>
      <c r="I11" t="s">
        <v>575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576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577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578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570</v>
      </c>
      <c r="H15" t="str">
        <f t="shared" si="2"/>
        <v>Manutenção de Proprietários</v>
      </c>
      <c r="I15" t="s">
        <v>579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458</v>
      </c>
      <c r="H16" t="str">
        <f t="shared" si="2"/>
        <v>Cadastro de Domínios</v>
      </c>
      <c r="I16" t="s">
        <v>580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459</v>
      </c>
      <c r="H17" t="str">
        <f t="shared" si="2"/>
        <v>Cadastro de Máscaras</v>
      </c>
      <c r="I17" t="s">
        <v>571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636</v>
      </c>
      <c r="H18" t="str">
        <f t="shared" si="2"/>
        <v>Cadastro de Mascaramentos</v>
      </c>
      <c r="I18" t="s">
        <v>572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604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606</v>
      </c>
      <c r="H20" t="s">
        <v>568</v>
      </c>
      <c r="I20" t="s">
        <v>607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460</v>
      </c>
      <c r="H21" t="str">
        <f t="shared" si="2"/>
        <v>Cadastro de Conexões</v>
      </c>
      <c r="I21" t="s">
        <v>605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581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582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583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461</v>
      </c>
      <c r="H25" t="str">
        <f t="shared" si="2"/>
        <v>Definição de Colunas</v>
      </c>
      <c r="I25" t="s">
        <v>584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462</v>
      </c>
      <c r="H26" t="str">
        <f t="shared" si="2"/>
        <v>Definição de Índices</v>
      </c>
      <c r="I26" t="s">
        <v>585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533</v>
      </c>
      <c r="H27" t="str">
        <f t="shared" si="2"/>
        <v>Associação de Chaves de índices</v>
      </c>
      <c r="I27" t="s">
        <v>586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463</v>
      </c>
      <c r="H28" t="str">
        <f t="shared" si="2"/>
        <v>Associação de Não-chaves</v>
      </c>
      <c r="I28" t="s">
        <v>587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464</v>
      </c>
      <c r="H29" t="str">
        <f t="shared" si="2"/>
        <v>Associação de Unicidades</v>
      </c>
      <c r="I29" t="s">
        <v>588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474</v>
      </c>
      <c r="H30" t="str">
        <f t="shared" si="2"/>
        <v>Associação de Expressões</v>
      </c>
      <c r="I30" t="s">
        <v>589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465</v>
      </c>
      <c r="H31" t="str">
        <f t="shared" si="2"/>
        <v>Associação de Condições</v>
      </c>
      <c r="I31" t="s">
        <v>590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466</v>
      </c>
      <c r="H32" t="str">
        <f t="shared" si="2"/>
        <v>Associação de Referências</v>
      </c>
      <c r="I32" t="s">
        <v>591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531</v>
      </c>
      <c r="H33" t="str">
        <f t="shared" si="2"/>
        <v>Associação de Chaves de referências</v>
      </c>
      <c r="I33" t="s">
        <v>592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593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467</v>
      </c>
      <c r="H35" t="str">
        <f t="shared" si="2"/>
        <v>Associação de Permissões</v>
      </c>
      <c r="I35" t="s">
        <v>594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468</v>
      </c>
      <c r="H36" t="str">
        <f t="shared" si="2"/>
        <v>Associação de Propriedades</v>
      </c>
      <c r="I36" t="s">
        <v>595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469</v>
      </c>
      <c r="H37" t="str">
        <f t="shared" si="2"/>
        <v>Associação de Comportamentos</v>
      </c>
      <c r="I37" t="s">
        <v>596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470</v>
      </c>
      <c r="H38" t="str">
        <f t="shared" si="2"/>
        <v>Associação de Agendamentos</v>
      </c>
      <c r="I38" t="s">
        <v>597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509</v>
      </c>
      <c r="H39" t="str">
        <f t="shared" si="2"/>
        <v>Associação de Snipers</v>
      </c>
      <c r="I39" t="s">
        <v>598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386</v>
      </c>
      <c r="H40" t="str">
        <f t="shared" si="2"/>
        <v>Associação de Scripts</v>
      </c>
      <c r="I40" t="s">
        <v>599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508</v>
      </c>
      <c r="H41" t="str">
        <f t="shared" si="2"/>
        <v>Associação de URL's</v>
      </c>
      <c r="I41" t="s">
        <v>600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471</v>
      </c>
      <c r="H42" t="str">
        <f t="shared" si="2"/>
        <v>Associação de Sessões</v>
      </c>
      <c r="I42" t="s">
        <v>601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472</v>
      </c>
      <c r="H43" t="str">
        <f t="shared" si="2"/>
        <v>Associação de Transações</v>
      </c>
      <c r="I43" t="s">
        <v>602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473</v>
      </c>
      <c r="H44" t="str">
        <f t="shared" si="2"/>
        <v>Associação de Operações</v>
      </c>
      <c r="I44" t="s">
        <v>603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5"/>
  <sheetViews>
    <sheetView tabSelected="1" zoomScaleNormal="100" workbookViewId="0">
      <pane ySplit="4" topLeftCell="A7" activePane="bottomLeft" state="frozen"/>
      <selection pane="bottomLeft" activeCell="F32" sqref="F32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3.6640625" bestFit="1" customWidth="1"/>
    <col min="7" max="7" width="17.44140625" bestFit="1" customWidth="1"/>
  </cols>
  <sheetData>
    <row r="1" spans="1:7" s="1" customFormat="1">
      <c r="A1" s="1" t="s">
        <v>528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639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641</v>
      </c>
      <c r="B4" s="1" t="s">
        <v>759</v>
      </c>
      <c r="D4" s="1" t="s">
        <v>708</v>
      </c>
      <c r="E4" s="1" t="s">
        <v>768</v>
      </c>
      <c r="F4" s="1" t="s">
        <v>720</v>
      </c>
      <c r="G4" s="1" t="s">
        <v>769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475</v>
      </c>
    </row>
    <row r="6" spans="1:7">
      <c r="A6">
        <f t="shared" ref="A6:A45" si="0">ROW(A6)-4</f>
        <v>2</v>
      </c>
      <c r="B6">
        <v>1</v>
      </c>
      <c r="C6" t="str" cm="1">
        <f t="array" ref="C6">GetValue("Db","Name",B6)</f>
        <v>crudex</v>
      </c>
      <c r="D6" t="s">
        <v>424</v>
      </c>
      <c r="E6" t="s">
        <v>425</v>
      </c>
      <c r="F6" t="s">
        <v>426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500</v>
      </c>
      <c r="E7" t="s">
        <v>501</v>
      </c>
      <c r="F7" t="s">
        <v>427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496</v>
      </c>
      <c r="E10" t="s">
        <v>497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557</v>
      </c>
      <c r="E11" t="s">
        <v>558</v>
      </c>
      <c r="F11" t="s">
        <v>559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476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477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498</v>
      </c>
      <c r="E14" t="s">
        <v>499</v>
      </c>
      <c r="F14" t="s">
        <v>456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659</v>
      </c>
      <c r="E15" t="s">
        <v>661</v>
      </c>
      <c r="F15" t="s">
        <v>660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566</v>
      </c>
      <c r="E17" t="s">
        <v>567</v>
      </c>
      <c r="F17" t="s">
        <v>568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633</v>
      </c>
      <c r="E18" t="s">
        <v>631</v>
      </c>
      <c r="F18" t="s">
        <v>632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478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479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480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481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482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483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841</v>
      </c>
      <c r="E27" t="s">
        <v>843</v>
      </c>
      <c r="F27" t="s">
        <v>842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516</v>
      </c>
      <c r="E28" t="s">
        <v>346</v>
      </c>
      <c r="F28" t="s">
        <v>484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263</v>
      </c>
      <c r="E29" t="s">
        <v>266</v>
      </c>
      <c r="F29" t="s">
        <v>485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369</v>
      </c>
      <c r="E30" t="s">
        <v>368</v>
      </c>
      <c r="F30" t="s">
        <v>532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529</v>
      </c>
      <c r="E31" t="s">
        <v>530</v>
      </c>
      <c r="F31" t="s">
        <v>531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848</v>
      </c>
      <c r="E32" t="s">
        <v>849</v>
      </c>
      <c r="F32" t="s">
        <v>850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86</v>
      </c>
      <c r="E33" t="s">
        <v>241</v>
      </c>
      <c r="F33" t="s">
        <v>72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363</v>
      </c>
      <c r="E34" t="s">
        <v>443</v>
      </c>
      <c r="F34" t="s">
        <v>486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319</v>
      </c>
      <c r="E35" t="s">
        <v>318</v>
      </c>
      <c r="F35" t="s">
        <v>323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321</v>
      </c>
      <c r="E36" t="s">
        <v>322</v>
      </c>
      <c r="F36" t="s">
        <v>487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386</v>
      </c>
      <c r="E37" t="s">
        <v>387</v>
      </c>
      <c r="F37" t="s">
        <v>651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653</v>
      </c>
      <c r="E38" t="s">
        <v>654</v>
      </c>
      <c r="F38" t="s">
        <v>652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509</v>
      </c>
      <c r="E39" t="s">
        <v>510</v>
      </c>
      <c r="F39" t="s">
        <v>650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824</v>
      </c>
      <c r="E40" t="s">
        <v>385</v>
      </c>
      <c r="F40" t="s">
        <v>649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139</v>
      </c>
      <c r="E41" t="s">
        <v>246</v>
      </c>
      <c r="F41" t="s">
        <v>488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120</v>
      </c>
      <c r="E42" t="s">
        <v>247</v>
      </c>
      <c r="F42" t="s">
        <v>365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121</v>
      </c>
      <c r="E43" t="s">
        <v>248</v>
      </c>
      <c r="F43" t="s">
        <v>364</v>
      </c>
    </row>
    <row r="44" spans="1:6">
      <c r="A44">
        <f t="shared" si="0"/>
        <v>40</v>
      </c>
      <c r="B44">
        <v>1</v>
      </c>
      <c r="C44" t="str" cm="1">
        <f t="array" ref="C44">GetValue("Db","Name",B44)</f>
        <v>crudex</v>
      </c>
      <c r="D44" t="s">
        <v>640</v>
      </c>
      <c r="E44" t="s">
        <v>839</v>
      </c>
      <c r="F44" t="s">
        <v>642</v>
      </c>
    </row>
    <row r="45" spans="1:6">
      <c r="A45">
        <f t="shared" si="0"/>
        <v>41</v>
      </c>
      <c r="B45">
        <v>1</v>
      </c>
      <c r="C45" t="str" cm="1">
        <f t="array" ref="C45">GetValue("Db","Name",B45)</f>
        <v>crudex</v>
      </c>
      <c r="D45" t="s">
        <v>646</v>
      </c>
      <c r="E45" t="s">
        <v>647</v>
      </c>
      <c r="F45" t="s">
        <v>648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S262"/>
  <sheetViews>
    <sheetView zoomScaleNormal="100" workbookViewId="0">
      <pane ySplit="4" topLeftCell="A254" activePane="bottomLeft" state="frozen"/>
      <selection pane="bottomLeft" activeCell="E16" sqref="E16:E26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2" bestFit="1" customWidth="1"/>
    <col min="11" max="11" width="16.33203125" bestFit="1" customWidth="1"/>
    <col min="12" max="12" width="17.33203125" bestFit="1" customWidth="1"/>
    <col min="13" max="14" width="11.77734375" bestFit="1" customWidth="1"/>
    <col min="15" max="15" width="12.109375" bestFit="1" customWidth="1"/>
    <col min="16" max="16" width="9.5546875" bestFit="1" customWidth="1"/>
    <col min="17" max="17" width="12.6640625" bestFit="1" customWidth="1"/>
    <col min="18" max="18" width="9.88671875" bestFit="1" customWidth="1"/>
    <col min="19" max="19" width="8.88671875" bestFit="1" customWidth="1"/>
  </cols>
  <sheetData>
    <row r="1" spans="1:19" s="1" customFormat="1">
      <c r="A1" s="1" t="s">
        <v>528</v>
      </c>
      <c r="B1" s="1" t="s">
        <v>92</v>
      </c>
      <c r="C1" s="1" t="s">
        <v>367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398</v>
      </c>
      <c r="K1" s="1" t="s">
        <v>658</v>
      </c>
      <c r="L1" s="1" t="s">
        <v>625</v>
      </c>
      <c r="M1" s="1" t="s">
        <v>399</v>
      </c>
      <c r="N1" s="1" t="s">
        <v>400</v>
      </c>
      <c r="O1" s="1" t="s">
        <v>777</v>
      </c>
      <c r="P1" s="1" t="s">
        <v>403</v>
      </c>
      <c r="Q1" s="1" t="s">
        <v>402</v>
      </c>
      <c r="R1" s="1" t="s">
        <v>401</v>
      </c>
      <c r="S1" s="1" t="s">
        <v>511</v>
      </c>
    </row>
    <row r="2" spans="1:1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</row>
    <row r="3" spans="1:19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</row>
    <row r="4" spans="1:19" s="1" customFormat="1">
      <c r="A4" s="1" t="s">
        <v>641</v>
      </c>
      <c r="B4" s="1" t="s">
        <v>770</v>
      </c>
      <c r="D4" s="1" t="s">
        <v>749</v>
      </c>
      <c r="F4" s="1" t="s">
        <v>754</v>
      </c>
      <c r="G4" s="1" t="s">
        <v>708</v>
      </c>
      <c r="H4" s="1" t="s">
        <v>720</v>
      </c>
      <c r="I4" s="1" t="s">
        <v>771</v>
      </c>
      <c r="J4" s="1" t="s">
        <v>755</v>
      </c>
      <c r="K4" s="1" t="s">
        <v>772</v>
      </c>
      <c r="L4" s="1" t="s">
        <v>773</v>
      </c>
      <c r="M4" s="1" t="s">
        <v>775</v>
      </c>
      <c r="N4" s="1" t="s">
        <v>776</v>
      </c>
      <c r="O4" s="1" t="s">
        <v>779</v>
      </c>
      <c r="P4" s="1" t="s">
        <v>778</v>
      </c>
      <c r="Q4" s="1" t="s">
        <v>780</v>
      </c>
      <c r="R4" s="1" t="s">
        <v>781</v>
      </c>
      <c r="S4" s="1" t="s">
        <v>782</v>
      </c>
    </row>
    <row r="5" spans="1:19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 t="b">
        <v>1</v>
      </c>
      <c r="K5" s="19" t="b" cm="1">
        <f t="array" ref="K5">IsPrimaryKey(A5)</f>
        <v>1</v>
      </c>
      <c r="L5" s="19" t="b" cm="1">
        <f t="array" ref="L5">IsAutoincrement(A5)</f>
        <v>1</v>
      </c>
      <c r="M5" s="19" t="str" cm="1">
        <f t="array" ref="M5">IsFilterable(A5)</f>
        <v/>
      </c>
      <c r="N5" s="19" t="str" cm="1">
        <f t="array" ref="N5">IsEditable(A5)</f>
        <v/>
      </c>
      <c r="O5" s="19" t="str" cm="1">
        <f t="array" ref="O5">IsBrowseable(A5)</f>
        <v/>
      </c>
      <c r="P5" s="19" t="e" cm="1">
        <f t="array" ref="P5">IsListable(A5)</f>
        <v>#VALUE!</v>
      </c>
      <c r="Q5" s="19" t="str" cm="1">
        <f t="array" ref="Q5">IsEncrypted(A5)</f>
        <v/>
      </c>
      <c r="R5" s="19" t="str" cm="1">
        <f t="array" ref="R5">IsInWords(A5)</f>
        <v/>
      </c>
      <c r="S5" s="19" t="b">
        <v>0</v>
      </c>
    </row>
    <row r="6" spans="1:19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_xlfn.CONCAT("Informe '",I6,"'")</f>
        <v>Informe 'Nome'</v>
      </c>
      <c r="I6" s="19" t="str" cm="1">
        <f t="array" ref="I6">GetCaption(C6,G6)</f>
        <v>Nome</v>
      </c>
      <c r="J6" s="19" t="b">
        <v>1</v>
      </c>
      <c r="K6" s="19" t="b" cm="1">
        <f t="array" ref="K6">IsPrimaryKey(A6)</f>
        <v>0</v>
      </c>
      <c r="L6" s="19" t="str" cm="1">
        <f t="array" ref="L6">IsAutoincrement(A6)</f>
        <v/>
      </c>
      <c r="M6" s="19" t="b" cm="1">
        <f t="array" ref="M6">IsFilterable(A6)</f>
        <v>1</v>
      </c>
      <c r="N6" s="19" t="b" cm="1">
        <f t="array" ref="N6">IsEditable(A6)</f>
        <v>1</v>
      </c>
      <c r="O6" s="19" t="b" cm="1">
        <f t="array" ref="O6">IsBrowseable(A6)</f>
        <v>1</v>
      </c>
      <c r="P6" s="19" t="e" cm="1">
        <f t="array" ref="P6">IsListable(A6)</f>
        <v>#VALUE!</v>
      </c>
      <c r="Q6" s="19" t="b" cm="1">
        <f t="array" ref="Q6">IsEncrypted(A6)</f>
        <v>0</v>
      </c>
      <c r="R6" s="19" t="str" cm="1">
        <f t="array" ref="R6">IsInWords(A6)</f>
        <v/>
      </c>
      <c r="S6" s="19" t="b">
        <v>0</v>
      </c>
    </row>
    <row r="7" spans="1:19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 t="b">
        <v>1</v>
      </c>
      <c r="K7" s="19" t="b" cm="1">
        <f t="array" ref="K7">IsPrimaryKey(A7)</f>
        <v>0</v>
      </c>
      <c r="L7" s="19" t="str" cm="1">
        <f t="array" ref="L7">IsAutoincrement(A7)</f>
        <v/>
      </c>
      <c r="M7" s="19" t="b" cm="1">
        <f t="array" ref="M7">IsFilterable(A7)</f>
        <v>1</v>
      </c>
      <c r="N7" s="19" t="b" cm="1">
        <f t="array" ref="N7">IsEditable(A7)</f>
        <v>1</v>
      </c>
      <c r="O7" s="19" t="b" cm="1">
        <f t="array" ref="O7">IsBrowseable(A7)</f>
        <v>1</v>
      </c>
      <c r="P7" s="19" t="e" cm="1">
        <f t="array" ref="P7">IsListable(A7)</f>
        <v>#VALUE!</v>
      </c>
      <c r="Q7" s="19" t="str" cm="1">
        <f t="array" ref="Q7">IsEncrypted(A7)</f>
        <v/>
      </c>
      <c r="R7" s="19" t="str" cm="1">
        <f t="array" ref="R7">IsInWords(A7)</f>
        <v/>
      </c>
      <c r="S7" s="19" t="b">
        <v>0</v>
      </c>
    </row>
    <row r="8" spans="1:19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 t="b">
        <v>1</v>
      </c>
      <c r="K8" s="19" t="b" cm="1">
        <f t="array" ref="K8">IsPrimaryKey(A8)</f>
        <v>0</v>
      </c>
      <c r="L8" s="19" t="str" cm="1">
        <f t="array" ref="L8">IsAutoincrement(A8)</f>
        <v/>
      </c>
      <c r="M8" s="19" t="b" cm="1">
        <f t="array" ref="M8">IsFilterable(A8)</f>
        <v>1</v>
      </c>
      <c r="N8" s="19" t="b" cm="1">
        <f t="array" ref="N8">IsEditable(A8)</f>
        <v>1</v>
      </c>
      <c r="O8" s="19" t="b" cm="1">
        <f t="array" ref="O8">IsBrowseable(A8)</f>
        <v>1</v>
      </c>
      <c r="P8" s="19" t="e" cm="1">
        <f t="array" ref="P8">IsListable(A8)</f>
        <v>#VALUE!</v>
      </c>
      <c r="Q8" s="19" t="str" cm="1">
        <f t="array" ref="Q8">IsEncrypted(A8)</f>
        <v/>
      </c>
      <c r="R8" s="19" t="str" cm="1">
        <f t="array" ref="R8">IsInWords(A8)</f>
        <v/>
      </c>
      <c r="S8" s="19" t="b">
        <v>0</v>
      </c>
    </row>
    <row r="9" spans="1:19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 t="b">
        <v>1</v>
      </c>
      <c r="K9" s="19" t="b" cm="1">
        <f t="array" ref="K9">IsPrimaryKey(A9)</f>
        <v>0</v>
      </c>
      <c r="L9" s="19" t="str" cm="1">
        <f t="array" ref="L9">IsAutoincrement(A9)</f>
        <v/>
      </c>
      <c r="M9" s="19" t="b" cm="1">
        <f t="array" ref="M9">IsFilterable(A9)</f>
        <v>1</v>
      </c>
      <c r="N9" s="19" t="b" cm="1">
        <f t="array" ref="N9">IsEditable(A9)</f>
        <v>1</v>
      </c>
      <c r="O9" s="19" t="b" cm="1">
        <f t="array" ref="O9">IsBrowseable(A9)</f>
        <v>1</v>
      </c>
      <c r="P9" s="19" t="e" cm="1">
        <f t="array" ref="P9">IsListable(A9)</f>
        <v>#VALUE!</v>
      </c>
      <c r="Q9" s="19" t="str" cm="1">
        <f t="array" ref="Q9">IsEncrypted(A9)</f>
        <v/>
      </c>
      <c r="R9" s="19" t="str" cm="1">
        <f t="array" ref="R9">IsInWords(A9)</f>
        <v/>
      </c>
      <c r="S9" s="19" t="b">
        <v>0</v>
      </c>
    </row>
    <row r="10" spans="1:19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 t="b">
        <v>1</v>
      </c>
      <c r="K10" s="19" t="b" cm="1">
        <f t="array" ref="K10">IsPrimaryKey(A10)</f>
        <v>0</v>
      </c>
      <c r="L10" s="19" t="str" cm="1">
        <f t="array" ref="L10">IsAutoincrement(A10)</f>
        <v/>
      </c>
      <c r="M10" s="19" t="b" cm="1">
        <f t="array" ref="M10">IsFilterable(A10)</f>
        <v>1</v>
      </c>
      <c r="N10" s="19" t="b" cm="1">
        <f t="array" ref="N10">IsEditable(A10)</f>
        <v>1</v>
      </c>
      <c r="O10" s="19" t="b" cm="1">
        <f t="array" ref="O10">IsBrowseable(A10)</f>
        <v>1</v>
      </c>
      <c r="P10" s="19" t="e" cm="1">
        <f t="array" ref="P10">IsListable(A10)</f>
        <v>#VALUE!</v>
      </c>
      <c r="Q10" s="19" t="str" cm="1">
        <f t="array" ref="Q10">IsEncrypted(A10)</f>
        <v/>
      </c>
      <c r="R10" s="19" t="str" cm="1">
        <f t="array" ref="R10">IsInWords(A10)</f>
        <v/>
      </c>
      <c r="S10" s="19" t="b">
        <v>0</v>
      </c>
    </row>
    <row r="11" spans="1:19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 t="b">
        <v>1</v>
      </c>
      <c r="K11" s="19" t="b" cm="1">
        <f t="array" ref="K11">IsPrimaryKey(A11)</f>
        <v>0</v>
      </c>
      <c r="L11" s="19" t="str" cm="1">
        <f t="array" ref="L11">IsAutoincrement(A11)</f>
        <v/>
      </c>
      <c r="M11" s="19" t="b" cm="1">
        <f t="array" ref="M11">IsFilterable(A11)</f>
        <v>1</v>
      </c>
      <c r="N11" s="19" t="b" cm="1">
        <f t="array" ref="N11">IsEditable(A11)</f>
        <v>1</v>
      </c>
      <c r="O11" s="19" t="b" cm="1">
        <f t="array" ref="O11">IsBrowseable(A11)</f>
        <v>1</v>
      </c>
      <c r="P11" s="19" t="e" cm="1">
        <f t="array" ref="P11">IsListable(A11)</f>
        <v>#VALUE!</v>
      </c>
      <c r="Q11" s="19" t="str" cm="1">
        <f t="array" ref="Q11">IsEncrypted(A11)</f>
        <v/>
      </c>
      <c r="R11" s="19" t="str" cm="1">
        <f t="array" ref="R11">IsInWords(A11)</f>
        <v/>
      </c>
      <c r="S11" s="19" t="b">
        <v>0</v>
      </c>
    </row>
    <row r="12" spans="1:19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 t="b">
        <v>1</v>
      </c>
      <c r="K12" s="19" t="b" cm="1">
        <f t="array" ref="K12">IsPrimaryKey(A12)</f>
        <v>0</v>
      </c>
      <c r="L12" s="19" t="str" cm="1">
        <f t="array" ref="L12">IsAutoincrement(A12)</f>
        <v/>
      </c>
      <c r="M12" s="19" t="b" cm="1">
        <f t="array" ref="M12">IsFilterable(A12)</f>
        <v>1</v>
      </c>
      <c r="N12" s="19" t="b" cm="1">
        <f t="array" ref="N12">IsEditable(A12)</f>
        <v>1</v>
      </c>
      <c r="O12" s="19" t="b" cm="1">
        <f t="array" ref="O12">IsBrowseable(A12)</f>
        <v>1</v>
      </c>
      <c r="P12" s="19" t="e" cm="1">
        <f t="array" ref="P12">IsListable(A12)</f>
        <v>#VALUE!</v>
      </c>
      <c r="Q12" s="19" t="str" cm="1">
        <f t="array" ref="Q12">IsEncrypted(A12)</f>
        <v/>
      </c>
      <c r="R12" s="19" t="str" cm="1">
        <f t="array" ref="R12">IsInWords(A12)</f>
        <v/>
      </c>
      <c r="S12" s="19" t="b">
        <v>0</v>
      </c>
    </row>
    <row r="13" spans="1:19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 t="b">
        <v>1</v>
      </c>
      <c r="K13" s="19" t="b" cm="1">
        <f t="array" ref="K13">IsPrimaryKey(A13)</f>
        <v>0</v>
      </c>
      <c r="L13" s="19" t="str" cm="1">
        <f t="array" ref="L13">IsAutoincrement(A13)</f>
        <v/>
      </c>
      <c r="M13" s="19" t="b" cm="1">
        <f t="array" ref="M13">IsFilterable(A13)</f>
        <v>1</v>
      </c>
      <c r="N13" s="19" t="b" cm="1">
        <f t="array" ref="N13">IsEditable(A13)</f>
        <v>1</v>
      </c>
      <c r="O13" s="19" t="b" cm="1">
        <f t="array" ref="O13">IsBrowseable(A13)</f>
        <v>1</v>
      </c>
      <c r="P13" s="19" t="e" cm="1">
        <f t="array" ref="P13">IsListable(A13)</f>
        <v>#VALUE!</v>
      </c>
      <c r="Q13" s="19" t="str" cm="1">
        <f t="array" ref="Q13">IsEncrypted(A13)</f>
        <v/>
      </c>
      <c r="R13" s="19" t="str" cm="1">
        <f t="array" ref="R13">IsInWords(A13)</f>
        <v/>
      </c>
      <c r="S13" s="19" t="b">
        <v>0</v>
      </c>
    </row>
    <row r="14" spans="1:19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 t="b">
        <v>1</v>
      </c>
      <c r="K14" s="19" t="b" cm="1">
        <f t="array" ref="K14">IsPrimaryKey(A14)</f>
        <v>0</v>
      </c>
      <c r="L14" s="19" t="str" cm="1">
        <f t="array" ref="L14">IsAutoincrement(A14)</f>
        <v/>
      </c>
      <c r="M14" s="19" t="b" cm="1">
        <f t="array" ref="M14">IsFilterable(A14)</f>
        <v>1</v>
      </c>
      <c r="N14" s="19" t="b" cm="1">
        <f t="array" ref="N14">IsEditable(A14)</f>
        <v>1</v>
      </c>
      <c r="O14" s="19" t="b" cm="1">
        <f t="array" ref="O14">IsBrowseable(A14)</f>
        <v>1</v>
      </c>
      <c r="P14" s="19" t="e" cm="1">
        <f t="array" ref="P14">IsListable(A14)</f>
        <v>#VALUE!</v>
      </c>
      <c r="Q14" s="19" t="str" cm="1">
        <f t="array" ref="Q14">IsEncrypted(A14)</f>
        <v/>
      </c>
      <c r="R14" s="19" t="str" cm="1">
        <f t="array" ref="R14">IsInWords(A14)</f>
        <v/>
      </c>
      <c r="S14" s="19" t="b">
        <v>0</v>
      </c>
    </row>
    <row r="15" spans="1:19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IsOrdenable</v>
      </c>
      <c r="H15" s="19" t="str">
        <f t="shared" si="2"/>
        <v>Informe 'Pede Ordenável?'</v>
      </c>
      <c r="I15" s="19" t="str" cm="1">
        <f t="array" ref="I15">GetCaption(C15,G15)</f>
        <v>Pede Ordenável?</v>
      </c>
      <c r="J15" s="19" t="b">
        <v>1</v>
      </c>
      <c r="K15" s="19" t="b" cm="1">
        <f t="array" ref="K15">IsPrimaryKey(A15)</f>
        <v>0</v>
      </c>
      <c r="L15" s="19" t="str" cm="1">
        <f t="array" ref="L15">IsAutoincrement(A15)</f>
        <v/>
      </c>
      <c r="M15" s="19" t="b" cm="1">
        <f t="array" ref="M15">IsFilterable(A15)</f>
        <v>1</v>
      </c>
      <c r="N15" s="19" t="b" cm="1">
        <f t="array" ref="N15">IsEditable(A15)</f>
        <v>1</v>
      </c>
      <c r="O15" s="19" t="b" cm="1">
        <f t="array" ref="O15">IsBrowseable(A15)</f>
        <v>1</v>
      </c>
      <c r="P15" s="19" t="e" cm="1">
        <f t="array" ref="P15">IsListable(A15)</f>
        <v>#VALUE!</v>
      </c>
      <c r="Q15" s="19" t="str" cm="1">
        <f t="array" ref="Q15">IsEncrypted(A15)</f>
        <v/>
      </c>
      <c r="R15" s="19" t="str" cm="1">
        <f t="array" ref="R15">IsInWords(A15)</f>
        <v/>
      </c>
      <c r="S15" s="19" t="b">
        <v>0</v>
      </c>
    </row>
    <row r="16" spans="1:19">
      <c r="A16" s="19">
        <f t="shared" si="0"/>
        <v>12</v>
      </c>
      <c r="B16" s="20" cm="1">
        <f t="array" ref="B16">GetTableId(B15,G15)</f>
        <v>2</v>
      </c>
      <c r="C16" s="19" t="str" cm="1">
        <f t="array" ref="C16">GetValue("Tbl","Alias",B16)</f>
        <v>Cmp</v>
      </c>
      <c r="D16" s="19" cm="1">
        <f t="array" ref="D16">GetDomainId(C16,G16)</f>
        <v>58</v>
      </c>
      <c r="E16" s="19" t="str" cm="1">
        <f t="array" ref="E16">GetValue("Dmn","Name",D16)</f>
        <v>TinyId</v>
      </c>
      <c r="F16" s="19">
        <f t="shared" si="1"/>
        <v>5</v>
      </c>
      <c r="G16" s="19" t="str" cm="1">
        <f t="array" ref="G16">GetColumnName(C16,IF(B16=B15,G15,""))</f>
        <v>Id</v>
      </c>
      <c r="H16" s="19" t="str">
        <f t="shared" si="2"/>
        <v>Informe 'Id'</v>
      </c>
      <c r="I16" s="19" t="str" cm="1">
        <f t="array" ref="I16">GetCaption(C16,G16)</f>
        <v>Id</v>
      </c>
      <c r="J16" s="19" t="b">
        <v>1</v>
      </c>
      <c r="K16" s="19" t="b" cm="1">
        <f t="array" ref="K16">IsPrimaryKey(A16)</f>
        <v>1</v>
      </c>
      <c r="L16" s="19" t="b" cm="1">
        <f t="array" ref="L16">IsAutoincrement(A16)</f>
        <v>1</v>
      </c>
      <c r="M16" s="19" t="str" cm="1">
        <f t="array" ref="M16">IsFilterable(A16)</f>
        <v/>
      </c>
      <c r="N16" s="19" t="str" cm="1">
        <f t="array" ref="N16">IsEditable(A16)</f>
        <v/>
      </c>
      <c r="O16" s="19" t="str" cm="1">
        <f t="array" ref="O16">IsBrowseable(A16)</f>
        <v/>
      </c>
      <c r="P16" s="19" t="e" cm="1">
        <f t="array" ref="P16">IsListable(A16)</f>
        <v>#VALUE!</v>
      </c>
      <c r="Q16" s="19" t="str" cm="1">
        <f t="array" ref="Q16">IsEncrypted(A16)</f>
        <v/>
      </c>
      <c r="R16" s="19" t="str" cm="1">
        <f t="array" ref="R16">IsInWords(A16)</f>
        <v/>
      </c>
      <c r="S16" s="19" t="b">
        <v>0</v>
      </c>
    </row>
    <row r="17" spans="1:19">
      <c r="A17" s="19">
        <f t="shared" si="0"/>
        <v>13</v>
      </c>
      <c r="B17" s="20" cm="1">
        <f t="array" ref="B17">GetTableId(B16,G16)</f>
        <v>2</v>
      </c>
      <c r="C17" s="19" t="str" cm="1">
        <f t="array" ref="C17">GetValue("Tbl","Alias",B17)</f>
        <v>Cmp</v>
      </c>
      <c r="D17" s="19" cm="1">
        <f t="array" ref="D17">GetDomainId(C17,G17)</f>
        <v>15</v>
      </c>
      <c r="E17" s="19" t="str" cm="1">
        <f t="array" ref="E17">GetValue("Dmn","Name",D17)</f>
        <v>NCHAR(1)</v>
      </c>
      <c r="F17" s="19">
        <f t="shared" si="1"/>
        <v>10</v>
      </c>
      <c r="G17" s="19" t="str" cm="1">
        <f t="array" ref="G17">GetColumnName(C17,IF(B17=B16,G16,""))</f>
        <v>Symbol</v>
      </c>
      <c r="H17" s="19" t="str">
        <f t="shared" si="2"/>
        <v>Informe 'Símbolo'</v>
      </c>
      <c r="I17" s="19" t="str" cm="1">
        <f t="array" ref="I17">GetCaption(C17,G17)</f>
        <v>Símbolo</v>
      </c>
      <c r="J17" s="19" t="b">
        <v>1</v>
      </c>
      <c r="K17" s="19" t="b" cm="1">
        <f t="array" ref="K17">IsPrimaryKey(A17)</f>
        <v>0</v>
      </c>
      <c r="L17" s="19" t="str" cm="1">
        <f t="array" ref="L17">IsAutoincrement(A17)</f>
        <v/>
      </c>
      <c r="M17" s="19" t="b" cm="1">
        <f t="array" ref="M17">IsFilterable(A17)</f>
        <v>1</v>
      </c>
      <c r="N17" s="19" t="b" cm="1">
        <f t="array" ref="N17">IsEditable(A17)</f>
        <v>1</v>
      </c>
      <c r="O17" s="19" t="b" cm="1">
        <f t="array" ref="O17">IsBrowseable(A17)</f>
        <v>1</v>
      </c>
      <c r="P17" s="19" t="e" cm="1">
        <f t="array" ref="P17">IsListable(A17)</f>
        <v>#VALUE!</v>
      </c>
      <c r="Q17" s="19" t="b" cm="1">
        <f t="array" ref="Q17">IsEncrypted(A17)</f>
        <v>0</v>
      </c>
      <c r="R17" s="19" t="str" cm="1">
        <f t="array" ref="R17">IsInWords(A17)</f>
        <v/>
      </c>
      <c r="S17" s="19" t="b">
        <v>0</v>
      </c>
    </row>
    <row r="18" spans="1:19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10</v>
      </c>
      <c r="E18" s="17" t="str" cm="1">
        <f t="array" ref="E18">GetValue("Dmn","Name",D18)</f>
        <v>NVARCHAR(20)</v>
      </c>
      <c r="F18" s="17">
        <f t="shared" si="1"/>
        <v>15</v>
      </c>
      <c r="G18" s="17" t="str" cm="1">
        <f t="array" ref="G18">GetColumnName(C18,IF(B18=B17,G17,""))</f>
        <v>Description</v>
      </c>
      <c r="H18" s="17" t="str">
        <f t="shared" si="2"/>
        <v>Informe 'Descrição'</v>
      </c>
      <c r="I18" s="17" t="str" cm="1">
        <f t="array" ref="I18">GetCaption(C18,G18)</f>
        <v>Descrição</v>
      </c>
      <c r="J18" s="17" t="b">
        <v>1</v>
      </c>
      <c r="K18" s="17" t="b" cm="1">
        <f t="array" ref="K18">IsPrimaryKey(A18)</f>
        <v>0</v>
      </c>
      <c r="L18" s="17" t="str" cm="1">
        <f t="array" ref="L18">IsAutoincrement(A18)</f>
        <v/>
      </c>
      <c r="M18" s="17" t="b" cm="1">
        <f t="array" ref="M18">IsFilterable(A18)</f>
        <v>1</v>
      </c>
      <c r="N18" s="17" t="b" cm="1">
        <f t="array" ref="N18">IsEditable(A18)</f>
        <v>1</v>
      </c>
      <c r="O18" s="17" t="b" cm="1">
        <f t="array" ref="O18">IsBrowseable(A18)</f>
        <v>1</v>
      </c>
      <c r="P18" s="17" t="e" cm="1">
        <f t="array" ref="P18">IsListable(A18)</f>
        <v>#VALUE!</v>
      </c>
      <c r="Q18" s="17" t="b" cm="1">
        <f t="array" ref="Q18">IsEncrypted(A18)</f>
        <v>0</v>
      </c>
      <c r="R18" s="17" t="str" cm="1">
        <f t="array" ref="R18">IsInWords(A18)</f>
        <v/>
      </c>
      <c r="S18" s="17" t="b">
        <v>0</v>
      </c>
    </row>
    <row r="19" spans="1:19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5</v>
      </c>
      <c r="E19" s="17" t="str" cm="1">
        <f t="array" ref="E19">GetValue("Dmn","Name",D19)</f>
        <v>Boolean</v>
      </c>
      <c r="F19" s="17">
        <f t="shared" si="1"/>
        <v>20</v>
      </c>
      <c r="G19" s="17" t="str" cm="1">
        <f t="array" ref="G19">GetColumnName(C19,IF(B19=B18,G18,""))</f>
        <v>Arity</v>
      </c>
      <c r="H19" s="17" t="str">
        <f t="shared" si="2"/>
        <v>Informe 'Aridade'</v>
      </c>
      <c r="I19" s="17" t="str" cm="1">
        <f t="array" ref="I19">GetCaption(C19,G19)</f>
        <v>Aridade</v>
      </c>
      <c r="J19" s="17" t="b">
        <v>1</v>
      </c>
      <c r="K19" s="17" t="b" cm="1">
        <f t="array" ref="K19">IsPrimaryKey(A19)</f>
        <v>0</v>
      </c>
      <c r="L19" s="17" t="str" cm="1">
        <f t="array" ref="L19">IsAutoincrement(A19)</f>
        <v/>
      </c>
      <c r="M19" s="17" t="b" cm="1">
        <f t="array" ref="M19">IsFilterable(A19)</f>
        <v>1</v>
      </c>
      <c r="N19" s="17" t="b" cm="1">
        <f t="array" ref="N19">IsEditable(A19)</f>
        <v>1</v>
      </c>
      <c r="O19" s="17" t="b" cm="1">
        <f t="array" ref="O19">IsBrowseable(A19)</f>
        <v>1</v>
      </c>
      <c r="P19" s="17" t="e" cm="1">
        <f t="array" ref="P19">IsListable(A19)</f>
        <v>#VALUE!</v>
      </c>
      <c r="Q19" s="17" t="str" cm="1">
        <f t="array" ref="Q19">IsEncrypted(A19)</f>
        <v/>
      </c>
      <c r="R19" s="17" t="str" cm="1">
        <f t="array" ref="R19">IsInWords(A19)</f>
        <v/>
      </c>
      <c r="S19" s="17" t="b">
        <v>0</v>
      </c>
    </row>
    <row r="20" spans="1:19">
      <c r="A20" s="17">
        <f t="shared" si="0"/>
        <v>16</v>
      </c>
      <c r="B20" s="18" cm="1">
        <f t="array" ref="B20">GetTableId(B19,G19)</f>
        <v>2</v>
      </c>
      <c r="C20" s="17" t="str" cm="1">
        <f t="array" ref="C20">GetValue("Tbl","Alias",B20)</f>
        <v>Cmp</v>
      </c>
      <c r="D20" s="17" cm="1">
        <f t="array" ref="D20">GetDomainId(C20,G20)</f>
        <v>5</v>
      </c>
      <c r="E20" s="17" t="str" cm="1">
        <f t="array" ref="E20">GetValue("Dmn","Name",D20)</f>
        <v>Boolean</v>
      </c>
      <c r="F20" s="17">
        <f t="shared" si="1"/>
        <v>25</v>
      </c>
      <c r="G20" s="17" t="str" cm="1">
        <f t="array" ref="G20">GetColumnName(C20,IF(B20=B19,G19,""))</f>
        <v>IsRelational</v>
      </c>
      <c r="H20" s="17" t="str">
        <f t="shared" si="2"/>
        <v>Informe 'É Relacional?'</v>
      </c>
      <c r="I20" s="17" t="str" cm="1">
        <f t="array" ref="I20">GetCaption(C20,G20)</f>
        <v>É Relacional?</v>
      </c>
      <c r="J20" s="17" t="b">
        <v>0</v>
      </c>
      <c r="K20" s="17" t="b" cm="1">
        <f t="array" ref="K20">IsPrimaryKey(A20)</f>
        <v>0</v>
      </c>
      <c r="L20" s="17" t="str" cm="1">
        <f t="array" ref="L20">IsAutoincrement(A20)</f>
        <v/>
      </c>
      <c r="M20" s="17" t="b" cm="1">
        <f t="array" ref="M20">IsFilterable(A20)</f>
        <v>1</v>
      </c>
      <c r="N20" s="17" t="b" cm="1">
        <f t="array" ref="N20">IsEditable(A20)</f>
        <v>1</v>
      </c>
      <c r="O20" s="17" t="b" cm="1">
        <f t="array" ref="O20">IsBrowseable(A20)</f>
        <v>1</v>
      </c>
      <c r="P20" s="17" t="e" cm="1">
        <f t="array" ref="P20">IsListable(A20)</f>
        <v>#VALUE!</v>
      </c>
      <c r="Q20" s="17" t="str" cm="1">
        <f t="array" ref="Q20">IsEncrypted(A20)</f>
        <v/>
      </c>
      <c r="R20" s="17" t="str" cm="1">
        <f t="array" ref="R20">IsInWords(A20)</f>
        <v/>
      </c>
      <c r="S20" s="17" t="b">
        <v>0</v>
      </c>
    </row>
    <row r="21" spans="1:19">
      <c r="A21" s="17">
        <f t="shared" si="0"/>
        <v>17</v>
      </c>
      <c r="B21" s="18" cm="1">
        <f t="array" ref="B21">GetTableId(B20,G20)</f>
        <v>3</v>
      </c>
      <c r="C21" s="17" t="str" cm="1">
        <f t="array" ref="C21">GetValue("Tbl","Alias",B21)</f>
        <v>Rul</v>
      </c>
      <c r="D21" s="17" cm="1">
        <f t="array" ref="D21">GetDomainId(C21,G21)</f>
        <v>58</v>
      </c>
      <c r="E21" s="17" t="str" cm="1">
        <f t="array" ref="E21">GetValue("Dmn","Name",D21)</f>
        <v>TinyId</v>
      </c>
      <c r="F21" s="17">
        <f t="shared" si="1"/>
        <v>5</v>
      </c>
      <c r="G21" s="17" t="str" cm="1">
        <f t="array" ref="G21">GetColumnName(C21,IF(B21=B20,G20,""))</f>
        <v>Id</v>
      </c>
      <c r="H21" s="17" t="str">
        <f t="shared" si="2"/>
        <v>Informe 'Id'</v>
      </c>
      <c r="I21" s="17" t="str" cm="1">
        <f t="array" ref="I21">GetCaption(C21,G21)</f>
        <v>Id</v>
      </c>
      <c r="J21" s="17" t="b">
        <v>1</v>
      </c>
      <c r="K21" s="17" t="b" cm="1">
        <f t="array" ref="K21">IsPrimaryKey(A21)</f>
        <v>1</v>
      </c>
      <c r="L21" s="17" t="b" cm="1">
        <f t="array" ref="L21">IsAutoincrement(A21)</f>
        <v>1</v>
      </c>
      <c r="M21" s="17" t="str" cm="1">
        <f t="array" ref="M21">IsFilterable(A21)</f>
        <v/>
      </c>
      <c r="N21" s="17" t="str" cm="1">
        <f t="array" ref="N21">IsEditable(A21)</f>
        <v/>
      </c>
      <c r="O21" s="17" t="str" cm="1">
        <f t="array" ref="O21">IsBrowseable(A21)</f>
        <v/>
      </c>
      <c r="P21" s="17" t="e" cm="1">
        <f t="array" ref="P21">IsListable(A21)</f>
        <v>#VALUE!</v>
      </c>
      <c r="Q21" s="17" t="str" cm="1">
        <f t="array" ref="Q21">IsEncrypted(A21)</f>
        <v/>
      </c>
      <c r="R21" s="17" t="str" cm="1">
        <f t="array" ref="R21">IsInWords(A21)</f>
        <v/>
      </c>
      <c r="S21" s="17" t="b">
        <v>0</v>
      </c>
    </row>
    <row r="22" spans="1:19">
      <c r="A22" s="17">
        <f t="shared" si="0"/>
        <v>18</v>
      </c>
      <c r="B22" s="18" cm="1">
        <f t="array" ref="B22">GetTableId(B21,G21)</f>
        <v>3</v>
      </c>
      <c r="C22" s="17" t="str" cm="1">
        <f t="array" ref="C22">GetValue("Tbl","Alias",B22)</f>
        <v>Rul</v>
      </c>
      <c r="D22" s="17" cm="1">
        <f t="array" ref="D22">GetDomainId(C22,G22)</f>
        <v>58</v>
      </c>
      <c r="E22" s="17" t="str" cm="1">
        <f t="array" ref="E22">GetValue("Dmn","Name",D22)</f>
        <v>TinyId</v>
      </c>
      <c r="F22" s="17">
        <f t="shared" si="1"/>
        <v>10</v>
      </c>
      <c r="G22" s="17" t="str" cm="1">
        <f t="array" ref="G22">GetColumnName(C22,IF(B22=B21,G21,""))</f>
        <v>CategoryId</v>
      </c>
      <c r="H22" s="17" t="str">
        <f t="shared" si="2"/>
        <v>Informe 'Categoria'</v>
      </c>
      <c r="I22" s="17" t="str" cm="1">
        <f t="array" ref="I22">GetCaption(C22,G22)</f>
        <v>Categoria</v>
      </c>
      <c r="J22" s="17" t="b">
        <v>1</v>
      </c>
      <c r="K22" s="17" t="b" cm="1">
        <f t="array" ref="K22">IsPrimaryKey(A22)</f>
        <v>0</v>
      </c>
      <c r="L22" s="17" t="b" cm="1">
        <f t="array" ref="L22">IsAutoincrement(A22)</f>
        <v>0</v>
      </c>
      <c r="M22" s="17" t="b" cm="1">
        <f t="array" ref="M22">IsFilterable(A22)</f>
        <v>1</v>
      </c>
      <c r="N22" s="17" t="b" cm="1">
        <f t="array" ref="N22">IsEditable(A22)</f>
        <v>1</v>
      </c>
      <c r="O22" s="17" t="b" cm="1">
        <f t="array" ref="O22">IsBrowseable(A22)</f>
        <v>1</v>
      </c>
      <c r="P22" s="17" t="e" cm="1">
        <f t="array" ref="P22">IsListable(A22)</f>
        <v>#VALUE!</v>
      </c>
      <c r="Q22" s="17" t="str" cm="1">
        <f t="array" ref="Q22">IsEncrypted(A22)</f>
        <v/>
      </c>
      <c r="R22" s="17" t="b" cm="1">
        <f t="array" ref="R22">IsInWords(A22)</f>
        <v>0</v>
      </c>
      <c r="S22" s="17" t="b">
        <v>0</v>
      </c>
    </row>
    <row r="23" spans="1:19">
      <c r="A23" s="19">
        <f t="shared" si="0"/>
        <v>19</v>
      </c>
      <c r="B23" s="20" cm="1">
        <f t="array" ref="B23">GetTableId(B22,G22)</f>
        <v>3</v>
      </c>
      <c r="C23" s="19" t="str" cm="1">
        <f t="array" ref="C23">GetValue("Tbl","Alias",B23)</f>
        <v>Rul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15</v>
      </c>
      <c r="G23" s="19" t="str" cm="1">
        <f t="array" ref="G23">GetColumnName(C23,IF(B23=B22,G22,""))</f>
        <v>ComparatorId</v>
      </c>
      <c r="H23" s="19" t="str">
        <f t="shared" si="2"/>
        <v>Informe 'Comparador'</v>
      </c>
      <c r="I23" s="19" t="str" cm="1">
        <f t="array" ref="I23">GetCaption(C23,G23)</f>
        <v>Comparador</v>
      </c>
      <c r="J23" s="19" t="b">
        <v>1</v>
      </c>
      <c r="K23" s="19" t="b" cm="1">
        <f t="array" ref="K23">IsPrimaryKey(A23)</f>
        <v>0</v>
      </c>
      <c r="L23" s="19" t="b" cm="1">
        <f t="array" ref="L23">IsAutoincrement(A23)</f>
        <v>0</v>
      </c>
      <c r="M23" s="19" t="b" cm="1">
        <f t="array" ref="M23">IsFilterable(A23)</f>
        <v>1</v>
      </c>
      <c r="N23" s="19" t="b" cm="1">
        <f t="array" ref="N23">IsEditable(A23)</f>
        <v>1</v>
      </c>
      <c r="O23" s="19" t="b" cm="1">
        <f t="array" ref="O23">IsBrowseable(A23)</f>
        <v>1</v>
      </c>
      <c r="P23" s="19" t="e" cm="1">
        <f t="array" ref="P23">IsListable(A23)</f>
        <v>#VALUE!</v>
      </c>
      <c r="Q23" s="19" t="str" cm="1">
        <f t="array" ref="Q23">IsEncrypted(A23)</f>
        <v/>
      </c>
      <c r="R23" s="19" t="b" cm="1">
        <f t="array" ref="R23">IsInWords(A23)</f>
        <v>0</v>
      </c>
      <c r="S23" s="19" t="b">
        <v>0</v>
      </c>
    </row>
    <row r="24" spans="1:19">
      <c r="A24" s="19">
        <f t="shared" si="0"/>
        <v>20</v>
      </c>
      <c r="B24" s="20" cm="1">
        <f t="array" ref="B24">GetTableId(B23,G23)</f>
        <v>4</v>
      </c>
      <c r="C24" s="19" t="str" cm="1">
        <f t="array" ref="C24">GetValue("Tbl","Alias",B24)</f>
        <v>Eng</v>
      </c>
      <c r="D24" s="19" cm="1">
        <f t="array" ref="D24">GetDomainId(C24,G24)</f>
        <v>58</v>
      </c>
      <c r="E24" s="19" t="str" cm="1">
        <f t="array" ref="E24">GetValue("Dmn","Name",D24)</f>
        <v>TinyId</v>
      </c>
      <c r="F24" s="19">
        <f t="shared" si="1"/>
        <v>5</v>
      </c>
      <c r="G24" s="19" t="str" cm="1">
        <f t="array" ref="G24">GetColumnName(C24,IF(B24=B23,G23,""))</f>
        <v>Id</v>
      </c>
      <c r="H24" s="19" t="str">
        <f t="shared" si="2"/>
        <v>Informe 'Id'</v>
      </c>
      <c r="I24" s="19" t="str" cm="1">
        <f t="array" ref="I24">GetCaption(C24,G24)</f>
        <v>Id</v>
      </c>
      <c r="J24" s="19" t="b">
        <v>1</v>
      </c>
      <c r="K24" s="19" t="b" cm="1">
        <f t="array" ref="K24">IsPrimaryKey(A24)</f>
        <v>1</v>
      </c>
      <c r="L24" s="19" t="b" cm="1">
        <f t="array" ref="L24">IsAutoincrement(A24)</f>
        <v>1</v>
      </c>
      <c r="M24" s="19" t="str" cm="1">
        <f t="array" ref="M24">IsFilterable(A24)</f>
        <v/>
      </c>
      <c r="N24" s="19" t="str" cm="1">
        <f t="array" ref="N24">IsEditable(A24)</f>
        <v/>
      </c>
      <c r="O24" s="19" t="str" cm="1">
        <f t="array" ref="O24">IsBrowseable(A24)</f>
        <v/>
      </c>
      <c r="P24" s="19" t="e" cm="1">
        <f t="array" ref="P24">IsListable(A24)</f>
        <v>#VALUE!</v>
      </c>
      <c r="Q24" s="19" t="str" cm="1">
        <f t="array" ref="Q24">IsEncrypted(A24)</f>
        <v/>
      </c>
      <c r="R24" s="19" t="str" cm="1">
        <f t="array" ref="R24">IsInWords(A24)</f>
        <v/>
      </c>
      <c r="S24" s="19" t="b">
        <v>0</v>
      </c>
    </row>
    <row r="25" spans="1:19">
      <c r="A25" s="19">
        <f t="shared" si="0"/>
        <v>21</v>
      </c>
      <c r="B25" s="20" cm="1">
        <f t="array" ref="B25">GetTableId(B24,G24)</f>
        <v>4</v>
      </c>
      <c r="C25" s="19" t="str" cm="1">
        <f t="array" ref="C25">GetValue("Tbl","Alias",B25)</f>
        <v>Eng</v>
      </c>
      <c r="D25" s="19" cm="1">
        <f t="array" ref="D25">GetDomainId(C25,G25)</f>
        <v>11</v>
      </c>
      <c r="E25" s="19" t="str" cm="1">
        <f t="array" ref="E25">GetValue("Dmn","Name",D25)</f>
        <v>NVARCHAR(25)</v>
      </c>
      <c r="F25" s="19">
        <f t="shared" si="1"/>
        <v>10</v>
      </c>
      <c r="G25" s="19" t="str" cm="1">
        <f t="array" ref="G25">GetColumnName(C25,IF(B25=B24,G24,""))</f>
        <v>Name</v>
      </c>
      <c r="H25" s="19" t="str">
        <f t="shared" si="2"/>
        <v>Informe 'Nome'</v>
      </c>
      <c r="I25" s="19" t="str" cm="1">
        <f t="array" ref="I25">GetCaption(C25,G25)</f>
        <v>Nome</v>
      </c>
      <c r="J25" s="19" t="b">
        <v>1</v>
      </c>
      <c r="K25" s="19" t="b" cm="1">
        <f t="array" ref="K25">IsPrimaryKey(A25)</f>
        <v>0</v>
      </c>
      <c r="L25" s="19" t="str" cm="1">
        <f t="array" ref="L25">IsAutoincrement(A25)</f>
        <v/>
      </c>
      <c r="M25" s="19" t="b" cm="1">
        <f t="array" ref="M25">IsFilterable(A25)</f>
        <v>1</v>
      </c>
      <c r="N25" s="19" t="b" cm="1">
        <f t="array" ref="N25">IsEditable(A25)</f>
        <v>1</v>
      </c>
      <c r="O25" s="19" t="b" cm="1">
        <f t="array" ref="O25">IsBrowseable(A25)</f>
        <v>1</v>
      </c>
      <c r="P25" s="19" t="e" cm="1">
        <f t="array" ref="P25">IsListable(A25)</f>
        <v>#VALUE!</v>
      </c>
      <c r="Q25" s="19" t="b" cm="1">
        <f t="array" ref="Q25">IsEncrypted(A25)</f>
        <v>0</v>
      </c>
      <c r="R25" s="19" t="str" cm="1">
        <f t="array" ref="R25">IsInWords(A25)</f>
        <v/>
      </c>
      <c r="S25" s="19" t="b">
        <v>0</v>
      </c>
    </row>
    <row r="26" spans="1:19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12</v>
      </c>
      <c r="E26" s="17" t="str" cm="1">
        <f t="array" ref="E26">GetValue("Dmn","Name",D26)</f>
        <v>NVARCHAR(50)</v>
      </c>
      <c r="F26" s="17">
        <f t="shared" si="1"/>
        <v>15</v>
      </c>
      <c r="G26" s="17" t="str" cm="1">
        <f t="array" ref="G26">GetColumnName(C26,IF(B26=B25,G25,""))</f>
        <v>Provider</v>
      </c>
      <c r="H26" s="17" t="str">
        <f t="shared" si="2"/>
        <v>Informe 'Provedor'</v>
      </c>
      <c r="I26" s="17" t="str" cm="1">
        <f t="array" ref="I26">GetCaption(C26,G26)</f>
        <v>Provedor</v>
      </c>
      <c r="J26" s="17" t="b">
        <v>1</v>
      </c>
      <c r="K26" s="17" t="b" cm="1">
        <f t="array" ref="K26">IsPrimaryKey(A26)</f>
        <v>0</v>
      </c>
      <c r="L26" s="17" t="str" cm="1">
        <f t="array" ref="L26">IsAutoincrement(A26)</f>
        <v/>
      </c>
      <c r="M26" s="17" t="b" cm="1">
        <f t="array" ref="M26">IsFilterable(A26)</f>
        <v>1</v>
      </c>
      <c r="N26" s="17" t="b" cm="1">
        <f t="array" ref="N26">IsEditable(A26)</f>
        <v>1</v>
      </c>
      <c r="O26" s="17" t="b" cm="1">
        <f t="array" ref="O26">IsBrowseable(A26)</f>
        <v>1</v>
      </c>
      <c r="P26" s="17" t="e" cm="1">
        <f t="array" ref="P26">IsListable(A26)</f>
        <v>#VALUE!</v>
      </c>
      <c r="Q26" s="17" t="b" cm="1">
        <f t="array" ref="Q26">IsEncrypted(A26)</f>
        <v>0</v>
      </c>
      <c r="R26" s="17" t="str" cm="1">
        <f t="array" ref="R26">IsInWords(A26)</f>
        <v/>
      </c>
      <c r="S26" s="17" t="b">
        <v>0</v>
      </c>
    </row>
    <row r="27" spans="1:19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12</v>
      </c>
      <c r="E27" s="17" t="str" cm="1">
        <f t="array" ref="E27">GetValue("Dmn","Name",D27)</f>
        <v>NVARCHAR(50)</v>
      </c>
      <c r="F27" s="17">
        <f t="shared" si="1"/>
        <v>20</v>
      </c>
      <c r="G27" s="17" t="str" cm="1">
        <f t="array" ref="G27">GetColumnName(C27,IF(B27=B26,G26,""))</f>
        <v>PackageName</v>
      </c>
      <c r="H27" s="17" t="str">
        <f t="shared" si="2"/>
        <v>Informe 'Pacote'</v>
      </c>
      <c r="I27" s="17" t="str" cm="1">
        <f t="array" ref="I27">GetCaption(C27,G27)</f>
        <v>Pacote</v>
      </c>
      <c r="J27" s="17" t="b">
        <v>1</v>
      </c>
      <c r="K27" s="17" t="b" cm="1">
        <f t="array" ref="K27">IsPrimaryKey(A27)</f>
        <v>0</v>
      </c>
      <c r="L27" s="17" t="str" cm="1">
        <f t="array" ref="L27">IsAutoincrement(A27)</f>
        <v/>
      </c>
      <c r="M27" s="17" t="b" cm="1">
        <f t="array" ref="M27">IsFilterable(A27)</f>
        <v>1</v>
      </c>
      <c r="N27" s="17" t="b" cm="1">
        <f t="array" ref="N27">IsEditable(A27)</f>
        <v>1</v>
      </c>
      <c r="O27" s="17" t="b" cm="1">
        <f t="array" ref="O27">IsBrowseable(A27)</f>
        <v>1</v>
      </c>
      <c r="P27" s="17" t="e" cm="1">
        <f t="array" ref="P27">IsListable(A27)</f>
        <v>#VALUE!</v>
      </c>
      <c r="Q27" s="17" t="b" cm="1">
        <f t="array" ref="Q27">IsEncrypted(A27)</f>
        <v>0</v>
      </c>
      <c r="R27" s="17" t="str" cm="1">
        <f t="array" ref="R27">IsInWords(A27)</f>
        <v/>
      </c>
      <c r="S27" s="17" t="b">
        <v>0</v>
      </c>
    </row>
    <row r="28" spans="1:19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10</v>
      </c>
      <c r="E28" s="17" t="str" cm="1">
        <f t="array" ref="E28">GetValue("Dmn","Name",D28)</f>
        <v>NVARCHAR(20)</v>
      </c>
      <c r="F28" s="17">
        <f t="shared" si="1"/>
        <v>25</v>
      </c>
      <c r="G28" s="17" t="str" cm="1">
        <f t="array" ref="G28">GetColumnName(C28,IF(B28=B27,G27,""))</f>
        <v>PackageVersion</v>
      </c>
      <c r="H28" s="17" t="str">
        <f t="shared" si="2"/>
        <v>Informe 'Versão'</v>
      </c>
      <c r="I28" s="17" t="str" cm="1">
        <f t="array" ref="I28">GetCaption(C28,G28)</f>
        <v>Versão</v>
      </c>
      <c r="J28" s="17" t="b">
        <v>1</v>
      </c>
      <c r="K28" s="17" t="b" cm="1">
        <f t="array" ref="K28">IsPrimaryKey(A28)</f>
        <v>0</v>
      </c>
      <c r="L28" s="17" t="str" cm="1">
        <f t="array" ref="L28">IsAutoincrement(A28)</f>
        <v/>
      </c>
      <c r="M28" s="17" t="b" cm="1">
        <f t="array" ref="M28">IsFilterable(A28)</f>
        <v>1</v>
      </c>
      <c r="N28" s="17" t="b" cm="1">
        <f t="array" ref="N28">IsEditable(A28)</f>
        <v>1</v>
      </c>
      <c r="O28" s="17" t="b" cm="1">
        <f t="array" ref="O28">IsBrowseable(A28)</f>
        <v>1</v>
      </c>
      <c r="P28" s="17" t="e" cm="1">
        <f t="array" ref="P28">IsListable(A28)</f>
        <v>#VALUE!</v>
      </c>
      <c r="Q28" s="17" t="b" cm="1">
        <f t="array" ref="Q28">IsEncrypted(A28)</f>
        <v>0</v>
      </c>
      <c r="R28" s="17" t="str" cm="1">
        <f t="array" ref="R28">IsInWords(A28)</f>
        <v/>
      </c>
      <c r="S28" s="17" t="b">
        <v>0</v>
      </c>
    </row>
    <row r="29" spans="1:19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63</v>
      </c>
      <c r="E29" s="17" t="str" cm="1">
        <f t="array" ref="E29">GetValue("Dmn","Name",D29)</f>
        <v>Database Directory</v>
      </c>
      <c r="F29" s="17">
        <f t="shared" si="1"/>
        <v>30</v>
      </c>
      <c r="G29" s="17" t="str" cm="1">
        <f t="array" ref="G29">GetColumnName(C29,IF(B29=B28,G28,""))</f>
        <v>Directory</v>
      </c>
      <c r="H29" s="17" t="str">
        <f t="shared" si="2"/>
        <v>Informe 'Pede Diretório?'</v>
      </c>
      <c r="I29" s="17" t="str" cm="1">
        <f t="array" ref="I29">GetCaption(C29,G29)</f>
        <v>Pede Diretório?</v>
      </c>
      <c r="J29" s="17" t="b">
        <v>1</v>
      </c>
      <c r="K29" s="17" t="b" cm="1">
        <f t="array" ref="K29">IsPrimaryKey(A29)</f>
        <v>0</v>
      </c>
      <c r="L29" s="17" t="str" cm="1">
        <f t="array" ref="L29">IsAutoincrement(A29)</f>
        <v/>
      </c>
      <c r="M29" s="17" t="b" cm="1">
        <f t="array" ref="M29">IsFilterable(A29)</f>
        <v>1</v>
      </c>
      <c r="N29" s="17" t="b" cm="1">
        <f t="array" ref="N29">IsEditable(A29)</f>
        <v>1</v>
      </c>
      <c r="O29" s="17" t="b" cm="1">
        <f t="array" ref="O29">IsBrowseable(A29)</f>
        <v>1</v>
      </c>
      <c r="P29" s="17" t="e" cm="1">
        <f t="array" ref="P29">IsListable(A29)</f>
        <v>#VALUE!</v>
      </c>
      <c r="Q29" s="17" t="b" cm="1">
        <f t="array" ref="Q29">IsEncrypted(A29)</f>
        <v>0</v>
      </c>
      <c r="R29" s="17" t="str" cm="1">
        <f t="array" ref="R29">IsInWords(A29)</f>
        <v/>
      </c>
      <c r="S29" s="17" t="b">
        <v>0</v>
      </c>
    </row>
    <row r="30" spans="1:19">
      <c r="A30" s="17">
        <f t="shared" si="0"/>
        <v>26</v>
      </c>
      <c r="B30" s="18" cm="1">
        <f t="array" ref="B30">GetTableId(B29,G29)</f>
        <v>4</v>
      </c>
      <c r="C30" s="17" t="str" cm="1">
        <f t="array" ref="C30">GetValue("Tbl","Alias",B30)</f>
        <v>Eng</v>
      </c>
      <c r="D30" s="17" cm="1">
        <f t="array" ref="D30">GetDomainId(C30,G30)</f>
        <v>5</v>
      </c>
      <c r="E30" s="17" t="str" cm="1">
        <f t="array" ref="E30">GetValue("Dmn","Name",D30)</f>
        <v>Boolean</v>
      </c>
      <c r="F30" s="17">
        <f t="shared" si="1"/>
        <v>35</v>
      </c>
      <c r="G30" s="17" t="str" cm="1">
        <f t="array" ref="G30">GetColumnName(C30,IF(B30=B29,G29,""))</f>
        <v>IsActive</v>
      </c>
      <c r="H30" s="17" t="str">
        <f t="shared" si="2"/>
        <v>Informe 'É Ativo?'</v>
      </c>
      <c r="I30" s="17" t="str" cm="1">
        <f t="array" ref="I30">GetCaption(C30,G30)</f>
        <v>É Ativo?</v>
      </c>
      <c r="J30" s="17" t="b">
        <v>0</v>
      </c>
      <c r="K30" s="17" t="b" cm="1">
        <f t="array" ref="K30">IsPrimaryKey(A30)</f>
        <v>0</v>
      </c>
      <c r="L30" s="17" t="str" cm="1">
        <f t="array" ref="L30">IsAutoincrement(A30)</f>
        <v/>
      </c>
      <c r="M30" s="17" t="b" cm="1">
        <f t="array" ref="M30">IsFilterable(A30)</f>
        <v>1</v>
      </c>
      <c r="N30" s="17" t="b" cm="1">
        <f t="array" ref="N30">IsEditable(A30)</f>
        <v>1</v>
      </c>
      <c r="O30" s="17" t="b" cm="1">
        <f t="array" ref="O30">IsBrowseable(A30)</f>
        <v>1</v>
      </c>
      <c r="P30" s="17" t="e" cm="1">
        <f t="array" ref="P30">IsListable(A30)</f>
        <v>#VALUE!</v>
      </c>
      <c r="Q30" s="17" t="str" cm="1">
        <f t="array" ref="Q30">IsEncrypted(A30)</f>
        <v/>
      </c>
      <c r="R30" s="17" t="str" cm="1">
        <f t="array" ref="R30">IsInWords(A30)</f>
        <v/>
      </c>
      <c r="S30" s="17" t="b">
        <v>0</v>
      </c>
    </row>
    <row r="31" spans="1:19">
      <c r="A31" s="17">
        <f t="shared" si="0"/>
        <v>27</v>
      </c>
      <c r="B31" s="18" cm="1">
        <f t="array" ref="B31">GetTableId(B30,G30)</f>
        <v>5</v>
      </c>
      <c r="C31" s="17" t="str" cm="1">
        <f t="array" ref="C31">GetValue("Tbl","Alias",B31)</f>
        <v>Typ</v>
      </c>
      <c r="D31" s="17" cm="1">
        <f t="array" ref="D31">GetDomainId(C31,G31)</f>
        <v>58</v>
      </c>
      <c r="E31" s="17" t="str" cm="1">
        <f t="array" ref="E31">GetValue("Dmn","Name",D31)</f>
        <v>TinyId</v>
      </c>
      <c r="F31" s="17">
        <f t="shared" si="1"/>
        <v>5</v>
      </c>
      <c r="G31" s="17" t="str" cm="1">
        <f t="array" ref="G31">GetColumnName(C31,IF(B31=B30,G30,""))</f>
        <v>Id</v>
      </c>
      <c r="H31" s="17" t="str">
        <f t="shared" si="2"/>
        <v>Informe 'Id'</v>
      </c>
      <c r="I31" s="17" t="str" cm="1">
        <f t="array" ref="I31">GetCaption(C31,G31)</f>
        <v>Id</v>
      </c>
      <c r="J31" s="17" t="b">
        <v>0</v>
      </c>
      <c r="K31" s="17" t="b" cm="1">
        <f t="array" ref="K31">IsPrimaryKey(A31)</f>
        <v>1</v>
      </c>
      <c r="L31" s="17" t="b" cm="1">
        <f t="array" ref="L31">IsAutoincrement(A31)</f>
        <v>1</v>
      </c>
      <c r="M31" s="17" t="str" cm="1">
        <f t="array" ref="M31">IsFilterable(A31)</f>
        <v/>
      </c>
      <c r="N31" s="17" t="str" cm="1">
        <f t="array" ref="N31">IsEditable(A31)</f>
        <v/>
      </c>
      <c r="O31" s="17" t="str" cm="1">
        <f t="array" ref="O31">IsBrowseable(A31)</f>
        <v/>
      </c>
      <c r="P31" s="17" t="e" cm="1">
        <f t="array" ref="P31">IsListable(A31)</f>
        <v>#VALUE!</v>
      </c>
      <c r="Q31" s="17" t="str" cm="1">
        <f t="array" ref="Q31">IsEncrypted(A31)</f>
        <v/>
      </c>
      <c r="R31" s="17" t="str" cm="1">
        <f t="array" ref="R31">IsInWords(A31)</f>
        <v/>
      </c>
      <c r="S31" s="17" t="b">
        <v>0</v>
      </c>
    </row>
    <row r="32" spans="1:19">
      <c r="A32" s="17">
        <f t="shared" si="0"/>
        <v>28</v>
      </c>
      <c r="B32" s="18" cm="1">
        <f t="array" ref="B32">GetTableId(B31,G31)</f>
        <v>5</v>
      </c>
      <c r="C32" s="17" t="str" cm="1">
        <f t="array" ref="C32">GetValue("Tbl","Alias",B32)</f>
        <v>Typ</v>
      </c>
      <c r="D32" s="17" cm="1">
        <f t="array" ref="D32">GetDomainId(C32,G32)</f>
        <v>58</v>
      </c>
      <c r="E32" s="17" t="str" cm="1">
        <f t="array" ref="E32">GetValue("Dmn","Name",D32)</f>
        <v>TinyId</v>
      </c>
      <c r="F32" s="17">
        <f t="shared" si="1"/>
        <v>10</v>
      </c>
      <c r="G32" s="17" t="str" cm="1">
        <f t="array" ref="G32">GetColumnName(C32,IF(B32=B31,G31,""))</f>
        <v>CategoryId</v>
      </c>
      <c r="H32" s="17" t="str">
        <f t="shared" si="2"/>
        <v>Informe 'Categoria'</v>
      </c>
      <c r="I32" s="17" t="str" cm="1">
        <f t="array" ref="I32">GetCaption(C32,G32)</f>
        <v>Categoria</v>
      </c>
      <c r="J32" s="17" t="b">
        <v>1</v>
      </c>
      <c r="K32" s="17" t="b" cm="1">
        <f t="array" ref="K32">IsPrimaryKey(A32)</f>
        <v>0</v>
      </c>
      <c r="L32" s="17" t="b" cm="1">
        <f t="array" ref="L32">IsAutoincrement(A32)</f>
        <v>0</v>
      </c>
      <c r="M32" s="17" t="b" cm="1">
        <f t="array" ref="M32">IsFilterable(A32)</f>
        <v>1</v>
      </c>
      <c r="N32" s="17" t="b" cm="1">
        <f t="array" ref="N32">IsEditable(A32)</f>
        <v>1</v>
      </c>
      <c r="O32" s="17" t="b" cm="1">
        <f t="array" ref="O32">IsBrowseable(A32)</f>
        <v>1</v>
      </c>
      <c r="P32" s="17" t="e" cm="1">
        <f t="array" ref="P32">IsListable(A32)</f>
        <v>#VALUE!</v>
      </c>
      <c r="Q32" s="17" t="str" cm="1">
        <f t="array" ref="Q32">IsEncrypted(A32)</f>
        <v/>
      </c>
      <c r="R32" s="17" t="b" cm="1">
        <f t="array" ref="R32">IsInWords(A32)</f>
        <v>0</v>
      </c>
      <c r="S32" s="17" t="b">
        <v>0</v>
      </c>
    </row>
    <row r="33" spans="1:19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11</v>
      </c>
      <c r="E33" s="19" t="str" cm="1">
        <f t="array" ref="E33">GetValue("Dmn","Name",D33)</f>
        <v>NVARCHAR(25)</v>
      </c>
      <c r="F33" s="19">
        <f t="shared" si="1"/>
        <v>15</v>
      </c>
      <c r="G33" s="19" t="str" cm="1">
        <f t="array" ref="G33">GetColumnName(C33,IF(B33=B32,G32,""))</f>
        <v>Name</v>
      </c>
      <c r="H33" s="19" t="str">
        <f t="shared" si="2"/>
        <v>Informe 'Nome'</v>
      </c>
      <c r="I33" s="19" t="str" cm="1">
        <f t="array" ref="I33">GetCaption(C33,G33)</f>
        <v>Nome</v>
      </c>
      <c r="J33" s="19" t="b">
        <v>1</v>
      </c>
      <c r="K33" s="19" t="b" cm="1">
        <f t="array" ref="K33">IsPrimaryKey(A33)</f>
        <v>0</v>
      </c>
      <c r="L33" s="19" t="str" cm="1">
        <f t="array" ref="L33">IsAutoincrement(A33)</f>
        <v/>
      </c>
      <c r="M33" s="19" t="b" cm="1">
        <f t="array" ref="M33">IsFilterable(A33)</f>
        <v>1</v>
      </c>
      <c r="N33" s="19" t="b" cm="1">
        <f t="array" ref="N33">IsEditable(A33)</f>
        <v>1</v>
      </c>
      <c r="O33" s="19" t="b" cm="1">
        <f t="array" ref="O33">IsBrowseable(A33)</f>
        <v>1</v>
      </c>
      <c r="P33" s="19" t="e" cm="1">
        <f t="array" ref="P33">IsListable(A33)</f>
        <v>#VALUE!</v>
      </c>
      <c r="Q33" s="19" t="b" cm="1">
        <f t="array" ref="Q33">IsEncrypted(A33)</f>
        <v>0</v>
      </c>
      <c r="R33" s="19" t="str" cm="1">
        <f t="array" ref="R33">IsInWords(A33)</f>
        <v/>
      </c>
      <c r="S33" s="19" t="b">
        <v>0</v>
      </c>
    </row>
    <row r="34" spans="1:19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24</v>
      </c>
      <c r="E34" s="19" t="str" cm="1">
        <f t="array" ref="E34">GetValue("Dmn","Name",D34)</f>
        <v>VARIANT</v>
      </c>
      <c r="F34" s="19">
        <f t="shared" si="1"/>
        <v>20</v>
      </c>
      <c r="G34" s="19" t="str" cm="1">
        <f t="array" ref="G34">GetColumnName(C34,IF(B34=B33,G33,""))</f>
        <v>Minimum</v>
      </c>
      <c r="H34" s="19" t="str">
        <f t="shared" si="2"/>
        <v>Informe 'Mínimo'</v>
      </c>
      <c r="I34" s="19" t="str" cm="1">
        <f t="array" ref="I34">GetCaption(C34,G34)</f>
        <v>Mínimo</v>
      </c>
      <c r="J34" s="19" t="b">
        <v>1</v>
      </c>
      <c r="K34" s="19" t="str" cm="1">
        <f t="array" ref="K34">IsPrimaryKey(A34)</f>
        <v/>
      </c>
      <c r="L34" s="19" t="str" cm="1">
        <f t="array" ref="L34">IsAutoincrement(A34)</f>
        <v/>
      </c>
      <c r="M34" s="19" t="str" cm="1">
        <f t="array" ref="M34">IsFilterable(A34)</f>
        <v/>
      </c>
      <c r="N34" s="19" t="b" cm="1">
        <f t="array" ref="N34">IsEditable(A34)</f>
        <v>1</v>
      </c>
      <c r="O34" s="19" t="str" cm="1">
        <f t="array" ref="O34">IsBrowseable(A34)</f>
        <v/>
      </c>
      <c r="P34" s="19" t="e" cm="1">
        <f t="array" ref="P34">IsListable(A34)</f>
        <v>#VALUE!</v>
      </c>
      <c r="Q34" s="19" t="str" cm="1">
        <f t="array" ref="Q34">IsEncrypted(A34)</f>
        <v/>
      </c>
      <c r="R34" s="19" t="str" cm="1">
        <f t="array" ref="R34">IsInWords(A34)</f>
        <v/>
      </c>
      <c r="S34" s="19" t="b">
        <v>0</v>
      </c>
    </row>
    <row r="35" spans="1:19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24</v>
      </c>
      <c r="E35" s="19" t="str" cm="1">
        <f t="array" ref="E35">GetValue("Dmn","Name",D35)</f>
        <v>VARIANT</v>
      </c>
      <c r="F35" s="19">
        <f t="shared" si="1"/>
        <v>25</v>
      </c>
      <c r="G35" s="19" t="str" cm="1">
        <f t="array" ref="G35">GetColumnName(C35,IF(B35=B34,G34,""))</f>
        <v>Maximum</v>
      </c>
      <c r="H35" s="19" t="str">
        <f t="shared" si="2"/>
        <v>Informe 'Máximo'</v>
      </c>
      <c r="I35" s="19" t="str" cm="1">
        <f t="array" ref="I35">GetCaption(C35,G35)</f>
        <v>Máximo</v>
      </c>
      <c r="J35" s="19" t="b">
        <v>0</v>
      </c>
      <c r="K35" s="19" t="str" cm="1">
        <f t="array" ref="K35">IsPrimaryKey(A35)</f>
        <v/>
      </c>
      <c r="L35" s="19" t="str" cm="1">
        <f t="array" ref="L35">IsAutoincrement(A35)</f>
        <v/>
      </c>
      <c r="M35" s="19" t="str" cm="1">
        <f t="array" ref="M35">IsFilterable(A35)</f>
        <v/>
      </c>
      <c r="N35" s="19" t="b" cm="1">
        <f t="array" ref="N35">IsEditable(A35)</f>
        <v>1</v>
      </c>
      <c r="O35" s="19" t="str" cm="1">
        <f t="array" ref="O35">IsBrowseable(A35)</f>
        <v/>
      </c>
      <c r="P35" s="19" t="e" cm="1">
        <f t="array" ref="P35">IsListable(A35)</f>
        <v>#VALUE!</v>
      </c>
      <c r="Q35" s="19" t="str" cm="1">
        <f t="array" ref="Q35">IsEncrypted(A35)</f>
        <v/>
      </c>
      <c r="R35" s="19" t="str" cm="1">
        <f t="array" ref="R35">IsInWords(A35)</f>
        <v/>
      </c>
      <c r="S35" s="19" t="b">
        <v>0</v>
      </c>
    </row>
    <row r="36" spans="1:19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5</v>
      </c>
      <c r="E36" s="19" t="str" cm="1">
        <f t="array" ref="E36">GetValue("Dmn","Name",D36)</f>
        <v>Boolean</v>
      </c>
      <c r="F36" s="19">
        <f t="shared" si="1"/>
        <v>30</v>
      </c>
      <c r="G36" s="19" t="str" cm="1">
        <f t="array" ref="G36">GetColumnName(C36,IF(B36=B35,G35,""))</f>
        <v>AskLength</v>
      </c>
      <c r="H36" s="19" t="str">
        <f t="shared" si="2"/>
        <v>Informe 'Pede Tamanho?'</v>
      </c>
      <c r="I36" s="19" t="str" cm="1">
        <f t="array" ref="I36">GetCaption(C36,G36)</f>
        <v>Pede Tamanho?</v>
      </c>
      <c r="J36" s="19" t="b">
        <v>0</v>
      </c>
      <c r="K36" s="19" t="b" cm="1">
        <f t="array" ref="K36">IsPrimaryKey(A36)</f>
        <v>0</v>
      </c>
      <c r="L36" s="19" t="str" cm="1">
        <f t="array" ref="L36">IsAutoincrement(A36)</f>
        <v/>
      </c>
      <c r="M36" s="19" t="b" cm="1">
        <f t="array" ref="M36">IsFilterable(A36)</f>
        <v>1</v>
      </c>
      <c r="N36" s="19" t="b" cm="1">
        <f t="array" ref="N36">IsEditable(A36)</f>
        <v>1</v>
      </c>
      <c r="O36" s="19" t="b" cm="1">
        <f t="array" ref="O36">IsBrowseable(A36)</f>
        <v>1</v>
      </c>
      <c r="P36" s="19" t="e" cm="1">
        <f t="array" ref="P36">IsListable(A36)</f>
        <v>#VALUE!</v>
      </c>
      <c r="Q36" s="19" t="str" cm="1">
        <f t="array" ref="Q36">IsEncrypted(A36)</f>
        <v/>
      </c>
      <c r="R36" s="19" t="str" cm="1">
        <f t="array" ref="R36">IsInWords(A36)</f>
        <v/>
      </c>
      <c r="S36" s="19" t="b">
        <v>0</v>
      </c>
    </row>
    <row r="37" spans="1:19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5</v>
      </c>
      <c r="E37" s="19" t="str" cm="1">
        <f t="array" ref="E37">GetValue("Dmn","Name",D37)</f>
        <v>Boolean</v>
      </c>
      <c r="F37" s="19">
        <f t="shared" si="1"/>
        <v>35</v>
      </c>
      <c r="G37" s="19" t="str" cm="1">
        <f t="array" ref="G37">GetColumnName(C37,IF(B37=B36,G36,""))</f>
        <v>AskDecimals</v>
      </c>
      <c r="H37" s="19" t="str">
        <f t="shared" si="2"/>
        <v>Informe 'Pede Decimais?'</v>
      </c>
      <c r="I37" s="19" t="str" cm="1">
        <f t="array" ref="I37">GetCaption(C37,G37)</f>
        <v>Pede Decimais?</v>
      </c>
      <c r="J37" s="19" t="b">
        <v>1</v>
      </c>
      <c r="K37" s="19" t="b" cm="1">
        <f t="array" ref="K37">IsPrimaryKey(A37)</f>
        <v>0</v>
      </c>
      <c r="L37" s="19" t="str" cm="1">
        <f t="array" ref="L37">IsAutoincrement(A37)</f>
        <v/>
      </c>
      <c r="M37" s="19" t="b" cm="1">
        <f t="array" ref="M37">IsFilterable(A37)</f>
        <v>1</v>
      </c>
      <c r="N37" s="19" t="b" cm="1">
        <f t="array" ref="N37">IsEditable(A37)</f>
        <v>1</v>
      </c>
      <c r="O37" s="19" t="b" cm="1">
        <f t="array" ref="O37">IsBrowseable(A37)</f>
        <v>1</v>
      </c>
      <c r="P37" s="19" t="e" cm="1">
        <f t="array" ref="P37">IsListable(A37)</f>
        <v>#VALUE!</v>
      </c>
      <c r="Q37" s="19" t="str" cm="1">
        <f t="array" ref="Q37">IsEncrypted(A37)</f>
        <v/>
      </c>
      <c r="R37" s="19" t="str" cm="1">
        <f t="array" ref="R37">IsInWords(A37)</f>
        <v/>
      </c>
      <c r="S37" s="19" t="b">
        <v>0</v>
      </c>
    </row>
    <row r="38" spans="1:19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40</v>
      </c>
      <c r="G38" s="19" t="str" cm="1">
        <f t="array" ref="G38">GetColumnName(C38,IF(B38=B37,G37,""))</f>
        <v>AskPrimarykey</v>
      </c>
      <c r="H38" s="19" t="str">
        <f t="shared" si="2"/>
        <v>Informe 'Pede Chave-Primária?'</v>
      </c>
      <c r="I38" s="19" t="str" cm="1">
        <f t="array" ref="I38">GetCaption(C38,G38)</f>
        <v>Pede Chave-Primária?</v>
      </c>
      <c r="J38" s="19" t="b">
        <v>1</v>
      </c>
      <c r="K38" s="19" t="b" cm="1">
        <f t="array" ref="K38">IsPrimaryKey(A38)</f>
        <v>0</v>
      </c>
      <c r="L38" s="19" t="str" cm="1">
        <f t="array" ref="L38">IsAutoincrement(A38)</f>
        <v/>
      </c>
      <c r="M38" s="19" t="b" cm="1">
        <f t="array" ref="M38">IsFilterable(A38)</f>
        <v>1</v>
      </c>
      <c r="N38" s="19" t="b" cm="1">
        <f t="array" ref="N38">IsEditable(A38)</f>
        <v>1</v>
      </c>
      <c r="O38" s="19" t="b" cm="1">
        <f t="array" ref="O38">IsBrowseable(A38)</f>
        <v>1</v>
      </c>
      <c r="P38" s="19" t="e" cm="1">
        <f t="array" ref="P38">IsListable(A38)</f>
        <v>#VALUE!</v>
      </c>
      <c r="Q38" s="19" t="str" cm="1">
        <f t="array" ref="Q38">IsEncrypted(A38)</f>
        <v/>
      </c>
      <c r="R38" s="19" t="str" cm="1">
        <f t="array" ref="R38">IsInWords(A38)</f>
        <v/>
      </c>
      <c r="S38" s="19" t="b">
        <v>0</v>
      </c>
    </row>
    <row r="39" spans="1:19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45</v>
      </c>
      <c r="G39" s="19" t="str" cm="1">
        <f t="array" ref="G39">GetColumnName(C39,IF(B39=B38,G38,""))</f>
        <v>AskAutoincrement</v>
      </c>
      <c r="H39" s="19" t="str">
        <f t="shared" si="2"/>
        <v>Informe 'Pede Autoincremento?'</v>
      </c>
      <c r="I39" s="19" t="str" cm="1">
        <f t="array" ref="I39">GetCaption(C39,G39)</f>
        <v>Pede Autoincremento?</v>
      </c>
      <c r="J39" s="19" t="b">
        <v>1</v>
      </c>
      <c r="K39" s="19" t="b" cm="1">
        <f t="array" ref="K39">IsPrimaryKey(A39)</f>
        <v>0</v>
      </c>
      <c r="L39" s="19" t="str" cm="1">
        <f t="array" ref="L39">IsAutoincrement(A39)</f>
        <v/>
      </c>
      <c r="M39" s="19" t="b" cm="1">
        <f t="array" ref="M39">IsFilterable(A39)</f>
        <v>1</v>
      </c>
      <c r="N39" s="19" t="b" cm="1">
        <f t="array" ref="N39">IsEditable(A39)</f>
        <v>1</v>
      </c>
      <c r="O39" s="19" t="b" cm="1">
        <f t="array" ref="O39">IsBrowseable(A39)</f>
        <v>1</v>
      </c>
      <c r="P39" s="19" t="e" cm="1">
        <f t="array" ref="P39">IsListable(A39)</f>
        <v>#VALUE!</v>
      </c>
      <c r="Q39" s="19" t="str" cm="1">
        <f t="array" ref="Q39">IsEncrypted(A39)</f>
        <v/>
      </c>
      <c r="R39" s="19" t="str" cm="1">
        <f t="array" ref="R39">IsInWords(A39)</f>
        <v/>
      </c>
      <c r="S39" s="19" t="b">
        <v>0</v>
      </c>
    </row>
    <row r="40" spans="1:19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50</v>
      </c>
      <c r="G40" s="19" t="str" cm="1">
        <f t="array" ref="G40">GetColumnName(C40,IF(B40=B39,G39,""))</f>
        <v>IsIndexable</v>
      </c>
      <c r="H40" s="19" t="str">
        <f t="shared" si="2"/>
        <v>Informe 'Pede Indexável?'</v>
      </c>
      <c r="I40" s="19" t="str" cm="1">
        <f t="array" ref="I40">GetCaption(C40,G40)</f>
        <v>Pede Indexável?</v>
      </c>
      <c r="J40" s="19" t="b">
        <v>1</v>
      </c>
      <c r="K40" s="19" t="b" cm="1">
        <f t="array" ref="K40">IsPrimaryKey(A40)</f>
        <v>0</v>
      </c>
      <c r="L40" s="19" t="str" cm="1">
        <f t="array" ref="L40">IsAutoincrement(A40)</f>
        <v/>
      </c>
      <c r="M40" s="19" t="b" cm="1">
        <f t="array" ref="M40">IsFilterable(A40)</f>
        <v>1</v>
      </c>
      <c r="N40" s="19" t="b" cm="1">
        <f t="array" ref="N40">IsEditable(A40)</f>
        <v>1</v>
      </c>
      <c r="O40" s="19" t="b" cm="1">
        <f t="array" ref="O40">IsBrowseable(A40)</f>
        <v>1</v>
      </c>
      <c r="P40" s="19" t="e" cm="1">
        <f t="array" ref="P40">IsListable(A40)</f>
        <v>#VALUE!</v>
      </c>
      <c r="Q40" s="19" t="str" cm="1">
        <f t="array" ref="Q40">IsEncrypted(A40)</f>
        <v/>
      </c>
      <c r="R40" s="19" t="str" cm="1">
        <f t="array" ref="R40">IsInWords(A40)</f>
        <v/>
      </c>
      <c r="S40" s="19" t="b">
        <v>0</v>
      </c>
    </row>
    <row r="41" spans="1:19">
      <c r="A41" s="19">
        <f t="shared" si="0"/>
        <v>37</v>
      </c>
      <c r="B41" s="20" cm="1">
        <f t="array" ref="B41">GetTableId(B40,G40)</f>
        <v>5</v>
      </c>
      <c r="C41" s="19" t="str" cm="1">
        <f t="array" ref="C41">GetValue("Tbl","Alias",B41)</f>
        <v>Typ</v>
      </c>
      <c r="D41" s="19" cm="1">
        <f t="array" ref="D41">GetDomainId(C41,G41)</f>
        <v>5</v>
      </c>
      <c r="E41" s="19" t="str" cm="1">
        <f t="array" ref="E41">GetValue("Dmn","Name",D41)</f>
        <v>Boolean</v>
      </c>
      <c r="F41" s="19">
        <f t="shared" si="1"/>
        <v>55</v>
      </c>
      <c r="G41" s="19" t="str" cm="1">
        <f t="array" ref="G41">GetColumnName(C41,IF(B41=B40,G40,""))</f>
        <v>IsActive</v>
      </c>
      <c r="H41" s="19" t="str">
        <f t="shared" si="2"/>
        <v>Informe 'É Ativo?'</v>
      </c>
      <c r="I41" s="19" t="str" cm="1">
        <f t="array" ref="I41">GetCaption(C41,G41)</f>
        <v>É Ativo?</v>
      </c>
      <c r="J41" s="19" t="b">
        <v>1</v>
      </c>
      <c r="K41" s="19" t="b" cm="1">
        <f t="array" ref="K41">IsPrimaryKey(A41)</f>
        <v>0</v>
      </c>
      <c r="L41" s="19" t="str" cm="1">
        <f t="array" ref="L41">IsAutoincrement(A41)</f>
        <v/>
      </c>
      <c r="M41" s="19" t="b" cm="1">
        <f t="array" ref="M41">IsFilterable(A41)</f>
        <v>1</v>
      </c>
      <c r="N41" s="19" t="b" cm="1">
        <f t="array" ref="N41">IsEditable(A41)</f>
        <v>1</v>
      </c>
      <c r="O41" s="19" t="b" cm="1">
        <f t="array" ref="O41">IsBrowseable(A41)</f>
        <v>1</v>
      </c>
      <c r="P41" s="19" t="e" cm="1">
        <f t="array" ref="P41">IsListable(A41)</f>
        <v>#VALUE!</v>
      </c>
      <c r="Q41" s="19" t="str" cm="1">
        <f t="array" ref="Q41">IsEncrypted(A41)</f>
        <v/>
      </c>
      <c r="R41" s="19" t="str" cm="1">
        <f t="array" ref="R41">IsInWords(A41)</f>
        <v/>
      </c>
      <c r="S41" s="19" t="b">
        <v>0</v>
      </c>
    </row>
    <row r="42" spans="1:19">
      <c r="A42" s="19">
        <f t="shared" si="0"/>
        <v>38</v>
      </c>
      <c r="B42" s="20" cm="1">
        <f t="array" ref="B42">GetTableId(B41,G41)</f>
        <v>6</v>
      </c>
      <c r="C42" s="19" t="str" cm="1">
        <f t="array" ref="C42">GetValue("Tbl","Alias",B42)</f>
        <v>Map</v>
      </c>
      <c r="D42" s="19" cm="1">
        <f t="array" ref="D42">GetDomainId(C42,G42)</f>
        <v>57</v>
      </c>
      <c r="E42" s="19" t="str" cm="1">
        <f t="array" ref="E42">GetValue("Dmn","Name",D42)</f>
        <v>SmallId</v>
      </c>
      <c r="F42" s="19">
        <f>IF(G42="Id",5,F40+5)</f>
        <v>5</v>
      </c>
      <c r="G42" s="19" t="str" cm="1">
        <f t="array" ref="G42">GetColumnName(C42,IF(B42=B41,G41,""))</f>
        <v>Id</v>
      </c>
      <c r="H42" s="19" t="str">
        <f t="shared" si="2"/>
        <v>Informe 'Id'</v>
      </c>
      <c r="I42" s="19" t="str" cm="1">
        <f t="array" ref="I42">GetCaption(C42,G42)</f>
        <v>Id</v>
      </c>
      <c r="J42" s="19" t="b">
        <v>1</v>
      </c>
      <c r="K42" s="19" t="b" cm="1">
        <f t="array" ref="K42">IsPrimaryKey(A42)</f>
        <v>1</v>
      </c>
      <c r="L42" s="19" t="b" cm="1">
        <f t="array" ref="L42">IsAutoincrement(A42)</f>
        <v>1</v>
      </c>
      <c r="M42" s="19" t="str" cm="1">
        <f t="array" ref="M42">IsFilterable(A42)</f>
        <v/>
      </c>
      <c r="N42" s="19" t="str" cm="1">
        <f t="array" ref="N42">IsEditable(A42)</f>
        <v/>
      </c>
      <c r="O42" s="19" t="str" cm="1">
        <f t="array" ref="O42">IsBrowseable(A42)</f>
        <v/>
      </c>
      <c r="P42" s="19" t="e" cm="1">
        <f t="array" ref="P42">IsListable(A42)</f>
        <v>#VALUE!</v>
      </c>
      <c r="Q42" s="19" t="str" cm="1">
        <f t="array" ref="Q42">IsEncrypted(A42)</f>
        <v/>
      </c>
      <c r="R42" s="19" t="str" cm="1">
        <f t="array" ref="R42">IsInWords(A42)</f>
        <v/>
      </c>
      <c r="S42" s="19" t="b">
        <v>0</v>
      </c>
    </row>
    <row r="43" spans="1:19">
      <c r="A43" s="19">
        <f t="shared" si="0"/>
        <v>39</v>
      </c>
      <c r="B43" s="20" cm="1">
        <f t="array" ref="B43">GetTableId(B42,G42)</f>
        <v>6</v>
      </c>
      <c r="C43" s="19" t="str" cm="1">
        <f t="array" ref="C43">GetValue("Tbl","Alias",B43)</f>
        <v>Map</v>
      </c>
      <c r="D43" s="19" cm="1">
        <f t="array" ref="D43">GetDomainId(C43,G43)</f>
        <v>58</v>
      </c>
      <c r="E43" s="19" t="str" cm="1">
        <f t="array" ref="E43">GetValue("Dmn","Name",D43)</f>
        <v>TinyId</v>
      </c>
      <c r="F43" s="19">
        <f>IF(G43="Id",5,F41+5)</f>
        <v>60</v>
      </c>
      <c r="G43" s="19" t="str" cm="1">
        <f t="array" ref="G43">GetColumnName(C43,IF(B43=B42,G42,""))</f>
        <v>EngineId</v>
      </c>
      <c r="H43" s="19" t="str">
        <f t="shared" si="2"/>
        <v>Informe 'SGBD'</v>
      </c>
      <c r="I43" s="19" t="str" cm="1">
        <f t="array" ref="I43">GetCaption(C43,G43)</f>
        <v>SGBD</v>
      </c>
      <c r="J43" s="19" t="b">
        <v>1</v>
      </c>
      <c r="K43" s="19" t="b" cm="1">
        <f t="array" ref="K43">IsPrimaryKey(A43)</f>
        <v>0</v>
      </c>
      <c r="L43" s="19" t="b" cm="1">
        <f t="array" ref="L43">IsAutoincrement(A43)</f>
        <v>0</v>
      </c>
      <c r="M43" s="19" t="b" cm="1">
        <f t="array" ref="M43">IsFilterable(A43)</f>
        <v>1</v>
      </c>
      <c r="N43" s="19" t="b" cm="1">
        <f t="array" ref="N43">IsEditable(A43)</f>
        <v>1</v>
      </c>
      <c r="O43" s="19" t="b" cm="1">
        <f t="array" ref="O43">IsBrowseable(A43)</f>
        <v>1</v>
      </c>
      <c r="P43" s="19" t="e" cm="1">
        <f t="array" ref="P43">IsListable(A43)</f>
        <v>#VALUE!</v>
      </c>
      <c r="Q43" s="19" t="str" cm="1">
        <f t="array" ref="Q43">IsEncrypted(A43)</f>
        <v/>
      </c>
      <c r="R43" s="19" t="b" cm="1">
        <f t="array" ref="R43">IsInWords(A43)</f>
        <v>0</v>
      </c>
      <c r="S43" s="19" t="b">
        <v>0</v>
      </c>
    </row>
    <row r="44" spans="1:19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58</v>
      </c>
      <c r="E44" s="17" t="str" cm="1">
        <f t="array" ref="E44">GetValue("Dmn","Name",D44)</f>
        <v>TinyId</v>
      </c>
      <c r="F44" s="17">
        <f t="shared" si="1"/>
        <v>65</v>
      </c>
      <c r="G44" s="17" t="str" cm="1">
        <f t="array" ref="G44">GetColumnName(C44,IF(B44=B43,G43,""))</f>
        <v>TypeId</v>
      </c>
      <c r="H44" s="17" t="str">
        <f t="shared" si="2"/>
        <v>Informe 'Tipo'</v>
      </c>
      <c r="I44" s="17" t="str" cm="1">
        <f t="array" ref="I44">GetCaption(C44,G44)</f>
        <v>Tipo</v>
      </c>
      <c r="J44" s="17" t="b">
        <v>1</v>
      </c>
      <c r="K44" s="17" t="b" cm="1">
        <f t="array" ref="K44">IsPrimaryKey(A44)</f>
        <v>0</v>
      </c>
      <c r="L44" s="17" t="b" cm="1">
        <f t="array" ref="L44">IsAutoincrement(A44)</f>
        <v>0</v>
      </c>
      <c r="M44" s="17" t="b" cm="1">
        <f t="array" ref="M44">IsFilterable(A44)</f>
        <v>1</v>
      </c>
      <c r="N44" s="17" t="b" cm="1">
        <f t="array" ref="N44">IsEditable(A44)</f>
        <v>1</v>
      </c>
      <c r="O44" s="17" t="b" cm="1">
        <f t="array" ref="O44">IsBrowseable(A44)</f>
        <v>1</v>
      </c>
      <c r="P44" s="17" t="e" cm="1">
        <f t="array" ref="P44">IsListable(A44)</f>
        <v>#VALUE!</v>
      </c>
      <c r="Q44" s="17" t="str" cm="1">
        <f t="array" ref="Q44">IsEncrypted(A44)</f>
        <v/>
      </c>
      <c r="R44" s="17" t="b" cm="1">
        <f t="array" ref="R44">IsInWords(A44)</f>
        <v>0</v>
      </c>
      <c r="S44" s="17" t="b">
        <v>0</v>
      </c>
    </row>
    <row r="45" spans="1:19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10</v>
      </c>
      <c r="E45" s="17" t="str" cm="1">
        <f t="array" ref="E45">GetValue("Dmn","Name",D45)</f>
        <v>NVARCHAR(20)</v>
      </c>
      <c r="F45" s="17">
        <f t="shared" si="1"/>
        <v>70</v>
      </c>
      <c r="G45" s="17" t="str" cm="1">
        <f t="array" ref="G45">GetColumnName(C45,IF(B45=B44,G44,""))</f>
        <v>Name</v>
      </c>
      <c r="H45" s="17" t="str">
        <f t="shared" si="2"/>
        <v>Informe 'Nome'</v>
      </c>
      <c r="I45" s="17" t="str" cm="1">
        <f t="array" ref="I45">GetCaption(C45,G45)</f>
        <v>Nome</v>
      </c>
      <c r="J45" s="17" t="b">
        <v>1</v>
      </c>
      <c r="K45" s="17" t="b" cm="1">
        <f t="array" ref="K45">IsPrimaryKey(A45)</f>
        <v>0</v>
      </c>
      <c r="L45" s="17" t="str" cm="1">
        <f t="array" ref="L45">IsAutoincrement(A45)</f>
        <v/>
      </c>
      <c r="M45" s="17" t="b" cm="1">
        <f t="array" ref="M45">IsFilterable(A45)</f>
        <v>1</v>
      </c>
      <c r="N45" s="17" t="b" cm="1">
        <f t="array" ref="N45">IsEditable(A45)</f>
        <v>1</v>
      </c>
      <c r="O45" s="17" t="b" cm="1">
        <f t="array" ref="O45">IsBrowseable(A45)</f>
        <v>1</v>
      </c>
      <c r="P45" s="17" t="e" cm="1">
        <f t="array" ref="P45">IsListable(A45)</f>
        <v>#VALUE!</v>
      </c>
      <c r="Q45" s="17" t="b" cm="1">
        <f t="array" ref="Q45">IsEncrypted(A45)</f>
        <v>0</v>
      </c>
      <c r="R45" s="17" t="str" cm="1">
        <f t="array" ref="R45">IsInWords(A45)</f>
        <v/>
      </c>
      <c r="S45" s="17" t="b">
        <v>0</v>
      </c>
    </row>
    <row r="46" spans="1:19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2</v>
      </c>
      <c r="E46" s="17" t="str" cm="1">
        <f t="array" ref="E46">GetValue("Dmn","Name",D46)</f>
        <v>Integer</v>
      </c>
      <c r="F46" s="17">
        <f t="shared" si="1"/>
        <v>75</v>
      </c>
      <c r="G46" s="17" t="str" cm="1">
        <f t="array" ref="G46">GetColumnName(C46,IF(B46=B45,G45,""))</f>
        <v>Length</v>
      </c>
      <c r="H46" s="17" t="str">
        <f t="shared" si="2"/>
        <v>Informe 'Tamanho'</v>
      </c>
      <c r="I46" s="17" t="str" cm="1">
        <f t="array" ref="I46">GetCaption(C46,G46)</f>
        <v>Tamanho</v>
      </c>
      <c r="J46" s="17" t="b">
        <v>1</v>
      </c>
      <c r="K46" s="17" t="b" cm="1">
        <f t="array" ref="K46">IsPrimaryKey(A46)</f>
        <v>0</v>
      </c>
      <c r="L46" s="17" t="b" cm="1">
        <f t="array" ref="L46">IsAutoincrement(A46)</f>
        <v>0</v>
      </c>
      <c r="M46" s="17" t="b" cm="1">
        <f t="array" ref="M46">IsFilterable(A46)</f>
        <v>1</v>
      </c>
      <c r="N46" s="17" t="b" cm="1">
        <f t="array" ref="N46">IsEditable(A46)</f>
        <v>1</v>
      </c>
      <c r="O46" s="17" t="b" cm="1">
        <f t="array" ref="O46">IsBrowseable(A46)</f>
        <v>1</v>
      </c>
      <c r="P46" s="17" t="e" cm="1">
        <f t="array" ref="P46">IsListable(A46)</f>
        <v>#VALUE!</v>
      </c>
      <c r="Q46" s="17" t="str" cm="1">
        <f t="array" ref="Q46">IsEncrypted(A46)</f>
        <v/>
      </c>
      <c r="R46" s="17" t="b" cm="1">
        <f t="array" ref="R46">IsInWords(A46)</f>
        <v>0</v>
      </c>
      <c r="S46" s="17" t="b">
        <v>0</v>
      </c>
    </row>
    <row r="47" spans="1:19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4</v>
      </c>
      <c r="E47" s="17" t="str" cm="1">
        <f t="array" ref="E47">GetValue("Dmn","Name",D47)</f>
        <v>TinyInteger</v>
      </c>
      <c r="F47" s="17">
        <f t="shared" si="1"/>
        <v>80</v>
      </c>
      <c r="G47" s="17" t="str" cm="1">
        <f t="array" ref="G47">GetColumnName(C47,IF(B47=B46,G46,""))</f>
        <v>Decimals</v>
      </c>
      <c r="H47" s="17" t="str">
        <f t="shared" si="2"/>
        <v>Informe 'Decimais'</v>
      </c>
      <c r="I47" s="17" t="str" cm="1">
        <f t="array" ref="I47">GetCaption(C47,G47)</f>
        <v>Decimais</v>
      </c>
      <c r="J47" s="17" t="b">
        <v>0</v>
      </c>
      <c r="K47" s="17" t="b" cm="1">
        <f t="array" ref="K47">IsPrimaryKey(A47)</f>
        <v>0</v>
      </c>
      <c r="L47" s="17" t="b" cm="1">
        <f t="array" ref="L47">IsAutoincrement(A47)</f>
        <v>0</v>
      </c>
      <c r="M47" s="17" t="b" cm="1">
        <f t="array" ref="M47">IsFilterable(A47)</f>
        <v>1</v>
      </c>
      <c r="N47" s="17" t="b" cm="1">
        <f t="array" ref="N47">IsEditable(A47)</f>
        <v>1</v>
      </c>
      <c r="O47" s="17" t="b" cm="1">
        <f t="array" ref="O47">IsBrowseable(A47)</f>
        <v>1</v>
      </c>
      <c r="P47" s="17" t="e" cm="1">
        <f t="array" ref="P47">IsListable(A47)</f>
        <v>#VALUE!</v>
      </c>
      <c r="Q47" s="17" t="str" cm="1">
        <f t="array" ref="Q47">IsEncrypted(A47)</f>
        <v/>
      </c>
      <c r="R47" s="17" t="b" cm="1">
        <f t="array" ref="R47">IsInWords(A47)</f>
        <v>0</v>
      </c>
      <c r="S47" s="17" t="b">
        <v>0</v>
      </c>
    </row>
    <row r="48" spans="1:19">
      <c r="A48" s="17">
        <f t="shared" si="0"/>
        <v>44</v>
      </c>
      <c r="B48" s="18" cm="1">
        <f t="array" ref="B48">GetTableId(B47,G47)</f>
        <v>6</v>
      </c>
      <c r="C48" s="17" t="str" cm="1">
        <f t="array" ref="C48">GetValue("Tbl","Alias",B48)</f>
        <v>Map</v>
      </c>
      <c r="D48" s="17" cm="1">
        <f t="array" ref="D48">GetDomainId(C48,G48)</f>
        <v>11</v>
      </c>
      <c r="E48" s="17" t="str" cm="1">
        <f t="array" ref="E48">GetValue("Dmn","Name",D48)</f>
        <v>NVARCHAR(25)</v>
      </c>
      <c r="F48" s="17">
        <f t="shared" si="1"/>
        <v>85</v>
      </c>
      <c r="G48" s="17" t="str" cm="1">
        <f t="array" ref="G48">GetColumnName(C48,IF(B48=B47,G47,""))</f>
        <v>Complement</v>
      </c>
      <c r="H48" s="17" t="str">
        <f t="shared" si="2"/>
        <v>Informe 'Complemento'</v>
      </c>
      <c r="I48" s="17" t="str" cm="1">
        <f t="array" ref="I48">GetCaption(C48,G48)</f>
        <v>Complemento</v>
      </c>
      <c r="J48" s="17" t="b">
        <v>0</v>
      </c>
      <c r="K48" s="17" t="b" cm="1">
        <f t="array" ref="K48">IsPrimaryKey(A48)</f>
        <v>0</v>
      </c>
      <c r="L48" s="17" t="str" cm="1">
        <f t="array" ref="L48">IsAutoincrement(A48)</f>
        <v/>
      </c>
      <c r="M48" s="17" t="b" cm="1">
        <f t="array" ref="M48">IsFilterable(A48)</f>
        <v>1</v>
      </c>
      <c r="N48" s="17" t="b" cm="1">
        <f t="array" ref="N48">IsEditable(A48)</f>
        <v>1</v>
      </c>
      <c r="O48" s="17" t="b" cm="1">
        <f t="array" ref="O48">IsBrowseable(A48)</f>
        <v>1</v>
      </c>
      <c r="P48" s="17" t="e" cm="1">
        <f t="array" ref="P48">IsListable(A48)</f>
        <v>#VALUE!</v>
      </c>
      <c r="Q48" s="17" t="b" cm="1">
        <f t="array" ref="Q48">IsEncrypted(A48)</f>
        <v>0</v>
      </c>
      <c r="R48" s="17" t="str" cm="1">
        <f t="array" ref="R48">IsInWords(A48)</f>
        <v/>
      </c>
      <c r="S48" s="17" t="b">
        <v>0</v>
      </c>
    </row>
    <row r="49" spans="1:19">
      <c r="A49" s="17">
        <f t="shared" si="0"/>
        <v>45</v>
      </c>
      <c r="B49" s="18" cm="1">
        <f t="array" ref="B49">GetTableId(B48,G48)</f>
        <v>7</v>
      </c>
      <c r="C49" s="17" t="str" cm="1">
        <f t="array" ref="C49">GetValue("Tbl","Alias",B49)</f>
        <v>Own</v>
      </c>
      <c r="D49" s="17" cm="1">
        <f t="array" ref="D49">GetDomainId(C49,G49)</f>
        <v>57</v>
      </c>
      <c r="E49" s="17" t="str" cm="1">
        <f t="array" ref="E49">GetValue("Dmn","Name",D49)</f>
        <v>SmallId</v>
      </c>
      <c r="F49" s="17">
        <f t="shared" si="1"/>
        <v>5</v>
      </c>
      <c r="G49" s="17" t="str" cm="1">
        <f t="array" ref="G49">GetColumnName(C49,IF(B49=B48,G48,""))</f>
        <v>Id</v>
      </c>
      <c r="H49" s="17" t="str">
        <f t="shared" si="2"/>
        <v>Informe 'Id'</v>
      </c>
      <c r="I49" s="17" t="str" cm="1">
        <f t="array" ref="I49">GetCaption(C49,G49)</f>
        <v>Id</v>
      </c>
      <c r="J49" s="17" t="b">
        <v>1</v>
      </c>
      <c r="K49" s="17" t="b" cm="1">
        <f t="array" ref="K49">IsPrimaryKey(A49)</f>
        <v>1</v>
      </c>
      <c r="L49" s="17" t="b" cm="1">
        <f t="array" ref="L49">IsAutoincrement(A49)</f>
        <v>1</v>
      </c>
      <c r="M49" s="17" t="str" cm="1">
        <f t="array" ref="M49">IsFilterable(A49)</f>
        <v/>
      </c>
      <c r="N49" s="17" t="str" cm="1">
        <f t="array" ref="N49">IsEditable(A49)</f>
        <v/>
      </c>
      <c r="O49" s="17" t="str" cm="1">
        <f t="array" ref="O49">IsBrowseable(A49)</f>
        <v/>
      </c>
      <c r="P49" s="17" t="e" cm="1">
        <f t="array" ref="P49">IsListable(A49)</f>
        <v>#VALUE!</v>
      </c>
      <c r="Q49" s="17" t="str" cm="1">
        <f t="array" ref="Q49">IsEncrypted(A49)</f>
        <v/>
      </c>
      <c r="R49" s="17" t="str" cm="1">
        <f t="array" ref="R49">IsInWords(A49)</f>
        <v/>
      </c>
      <c r="S49" s="17" t="b">
        <v>0</v>
      </c>
    </row>
    <row r="50" spans="1:19">
      <c r="A50" s="17">
        <f t="shared" si="0"/>
        <v>46</v>
      </c>
      <c r="B50" s="18" cm="1">
        <f t="array" ref="B50">GetTableId(B49,G49)</f>
        <v>7</v>
      </c>
      <c r="C50" s="17" t="str" cm="1">
        <f t="array" ref="C50">GetValue("Tbl","Alias",B50)</f>
        <v>Own</v>
      </c>
      <c r="D50" s="17" cm="1">
        <f t="array" ref="D50">GetDomainId(C50,G50)</f>
        <v>58</v>
      </c>
      <c r="E50" s="17" t="str" cm="1">
        <f t="array" ref="E50">GetValue("Dmn","Name",D50)</f>
        <v>TinyId</v>
      </c>
      <c r="F50" s="17">
        <f t="shared" ref="F50:F51" si="3">IF(G50="Id",5,F49+5)</f>
        <v>10</v>
      </c>
      <c r="G50" s="17" t="str" cm="1">
        <f t="array" ref="G50">GetColumnName(C50,IF(B50=B49,G49,""))</f>
        <v>EngineId</v>
      </c>
      <c r="H50" s="17" t="str">
        <f t="shared" si="2"/>
        <v>Informe 'SGBD'</v>
      </c>
      <c r="I50" s="17" t="str" cm="1">
        <f t="array" ref="I50">GetCaption(C50,G50)</f>
        <v>SGBD</v>
      </c>
      <c r="J50" s="17" t="b">
        <v>1</v>
      </c>
      <c r="K50" s="17" t="b" cm="1">
        <f t="array" ref="K50">IsPrimaryKey(A50)</f>
        <v>0</v>
      </c>
      <c r="L50" s="17" t="b" cm="1">
        <f t="array" ref="L50">IsAutoincrement(A50)</f>
        <v>0</v>
      </c>
      <c r="M50" s="17" t="b" cm="1">
        <f t="array" ref="M50">IsFilterable(A50)</f>
        <v>1</v>
      </c>
      <c r="N50" s="17" t="b" cm="1">
        <f t="array" ref="N50">IsEditable(A50)</f>
        <v>1</v>
      </c>
      <c r="O50" s="17" t="b" cm="1">
        <f t="array" ref="O50">IsBrowseable(A50)</f>
        <v>1</v>
      </c>
      <c r="P50" s="17" t="e" cm="1">
        <f t="array" ref="P50">IsListable(A50)</f>
        <v>#VALUE!</v>
      </c>
      <c r="Q50" s="17" t="str" cm="1">
        <f t="array" ref="Q50">IsEncrypted(A50)</f>
        <v/>
      </c>
      <c r="R50" s="17" t="b" cm="1">
        <f t="array" ref="R50">IsInWords(A50)</f>
        <v>0</v>
      </c>
      <c r="S50" s="17" t="b">
        <v>0</v>
      </c>
    </row>
    <row r="51" spans="1:19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11</v>
      </c>
      <c r="E51" s="19" t="str" cm="1">
        <f t="array" ref="E51">GetValue("Dmn","Name",D51)</f>
        <v>NVARCHAR(25)</v>
      </c>
      <c r="F51" s="19">
        <f t="shared" si="3"/>
        <v>15</v>
      </c>
      <c r="G51" s="19" t="str" cm="1">
        <f t="array" ref="G51">GetColumnName(C51,IF(B51=B50,G50,""))</f>
        <v>Name</v>
      </c>
      <c r="H51" s="19" t="str">
        <f t="shared" si="2"/>
        <v>Informe 'Nome'</v>
      </c>
      <c r="I51" s="19" t="str" cm="1">
        <f t="array" ref="I51">GetCaption(C51,G51)</f>
        <v>Nome</v>
      </c>
      <c r="J51" s="19" t="b">
        <v>1</v>
      </c>
      <c r="K51" s="19" t="b" cm="1">
        <f t="array" ref="K51">IsPrimaryKey(A51)</f>
        <v>0</v>
      </c>
      <c r="L51" s="19" t="str" cm="1">
        <f t="array" ref="L51">IsAutoincrement(A51)</f>
        <v/>
      </c>
      <c r="M51" s="19" t="b" cm="1">
        <f t="array" ref="M51">IsFilterable(A51)</f>
        <v>1</v>
      </c>
      <c r="N51" s="19" t="b" cm="1">
        <f t="array" ref="N51">IsEditable(A51)</f>
        <v>1</v>
      </c>
      <c r="O51" s="19" t="b" cm="1">
        <f t="array" ref="O51">IsBrowseable(A51)</f>
        <v>1</v>
      </c>
      <c r="P51" s="19" t="e" cm="1">
        <f t="array" ref="P51">IsListable(A51)</f>
        <v>#VALUE!</v>
      </c>
      <c r="Q51" s="19" t="b" cm="1">
        <f t="array" ref="Q51">IsEncrypted(A51)</f>
        <v>0</v>
      </c>
      <c r="R51" s="19" t="str" cm="1">
        <f t="array" ref="R51">IsInWords(A51)</f>
        <v/>
      </c>
      <c r="S51" s="19" t="b">
        <v>0</v>
      </c>
    </row>
    <row r="52" spans="1:19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26</v>
      </c>
      <c r="E52" s="19" t="str" cm="1">
        <f t="array" ref="E52">GetValue("Dmn","Name",D52)</f>
        <v>IMAGE</v>
      </c>
      <c r="F52" s="19">
        <f t="shared" si="1"/>
        <v>20</v>
      </c>
      <c r="G52" s="19" t="str" cm="1">
        <f t="array" ref="G52">GetColumnName(C52,IF(B52=B51,G51,""))</f>
        <v>Logo</v>
      </c>
      <c r="H52" s="19" t="str">
        <f t="shared" si="2"/>
        <v>Informe 'Logotipo'</v>
      </c>
      <c r="I52" s="19" t="str" cm="1">
        <f t="array" ref="I52">GetCaption(C52,G52)</f>
        <v>Logotipo</v>
      </c>
      <c r="J52" s="19" t="b">
        <v>0</v>
      </c>
      <c r="K52" s="19" t="str" cm="1">
        <f t="array" ref="K52">IsPrimaryKey(A52)</f>
        <v/>
      </c>
      <c r="L52" s="19" t="str" cm="1">
        <f t="array" ref="L52">IsAutoincrement(A52)</f>
        <v/>
      </c>
      <c r="M52" s="19" t="str" cm="1">
        <f t="array" ref="M52">IsFilterable(A52)</f>
        <v/>
      </c>
      <c r="N52" s="19" t="b" cm="1">
        <f t="array" ref="N52">IsEditable(A52)</f>
        <v>1</v>
      </c>
      <c r="O52" s="19" t="str" cm="1">
        <f t="array" ref="O52">IsBrowseable(A52)</f>
        <v/>
      </c>
      <c r="P52" s="19" t="e" cm="1">
        <f t="array" ref="P52">IsListable(A52)</f>
        <v>#VALUE!</v>
      </c>
      <c r="Q52" s="19" t="str" cm="1">
        <f t="array" ref="Q52">IsEncrypted(A52)</f>
        <v/>
      </c>
      <c r="R52" s="19" t="str" cm="1">
        <f t="array" ref="R52">IsInWords(A52)</f>
        <v/>
      </c>
      <c r="S52" s="19" t="b">
        <v>0</v>
      </c>
    </row>
    <row r="53" spans="1:19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5</v>
      </c>
      <c r="E53" s="19" t="str" cm="1">
        <f t="array" ref="E53">GetValue("Dmn","Name",D53)</f>
        <v>Boolean</v>
      </c>
      <c r="F53" s="19">
        <f t="shared" si="1"/>
        <v>25</v>
      </c>
      <c r="G53" s="19" t="str" cm="1">
        <f t="array" ref="G53">GetColumnName(C53,IF(B53=B52,G52,""))</f>
        <v xml:space="preserve">AskDatabasePath </v>
      </c>
      <c r="H53" s="19" t="str">
        <f t="shared" si="2"/>
        <v>Informe 'Pede Diretório?'</v>
      </c>
      <c r="I53" s="19" t="str" cm="1">
        <f t="array" ref="I53">GetCaption(C53,G53)</f>
        <v>Pede Diretório?</v>
      </c>
      <c r="J53" s="19" t="b">
        <v>1</v>
      </c>
      <c r="K53" s="19" t="b" cm="1">
        <f t="array" ref="K53">IsPrimaryKey(A53)</f>
        <v>0</v>
      </c>
      <c r="L53" s="19" t="str" cm="1">
        <f t="array" ref="L53">IsAutoincrement(A53)</f>
        <v/>
      </c>
      <c r="M53" s="19" t="b" cm="1">
        <f t="array" ref="M53">IsFilterable(A53)</f>
        <v>1</v>
      </c>
      <c r="N53" s="19" t="b" cm="1">
        <f t="array" ref="N53">IsEditable(A53)</f>
        <v>1</v>
      </c>
      <c r="O53" s="19" t="b" cm="1">
        <f t="array" ref="O53">IsBrowseable(A53)</f>
        <v>1</v>
      </c>
      <c r="P53" s="19" t="e" cm="1">
        <f t="array" ref="P53">IsListable(A53)</f>
        <v>#VALUE!</v>
      </c>
      <c r="Q53" s="19" t="str" cm="1">
        <f t="array" ref="Q53">IsEncrypted(A53)</f>
        <v/>
      </c>
      <c r="R53" s="19" t="str" cm="1">
        <f t="array" ref="R53">IsInWords(A53)</f>
        <v/>
      </c>
      <c r="S53" s="19" t="b">
        <v>0</v>
      </c>
    </row>
    <row r="54" spans="1:19">
      <c r="A54" s="19">
        <f t="shared" si="0"/>
        <v>50</v>
      </c>
      <c r="B54" s="20" cm="1">
        <f t="array" ref="B54">GetTableId(B53,G53)</f>
        <v>7</v>
      </c>
      <c r="C54" s="19" t="str" cm="1">
        <f t="array" ref="C54">GetValue("Tbl","Alias",B54)</f>
        <v>Own</v>
      </c>
      <c r="D54" s="19" cm="1">
        <f t="array" ref="D54">GetDomainId(C54,G54)</f>
        <v>5</v>
      </c>
      <c r="E54" s="19" t="str" cm="1">
        <f t="array" ref="E54">GetValue("Dmn","Name",D54)</f>
        <v>Boolean</v>
      </c>
      <c r="F54" s="19">
        <f t="shared" si="1"/>
        <v>30</v>
      </c>
      <c r="G54" s="19" t="str" cm="1">
        <f t="array" ref="G54">GetColumnName(C54,IF(B54=B53,G53,""))</f>
        <v>IsActive</v>
      </c>
      <c r="H54" s="19" t="str">
        <f t="shared" si="2"/>
        <v>Informe 'É Ativo?'</v>
      </c>
      <c r="I54" s="19" t="str" cm="1">
        <f t="array" ref="I54">GetCaption(C54,G54)</f>
        <v>É Ativo?</v>
      </c>
      <c r="J54" s="19" t="b">
        <v>1</v>
      </c>
      <c r="K54" s="19" t="b" cm="1">
        <f t="array" ref="K54">IsPrimaryKey(A54)</f>
        <v>0</v>
      </c>
      <c r="L54" s="19" t="str" cm="1">
        <f t="array" ref="L54">IsAutoincrement(A54)</f>
        <v/>
      </c>
      <c r="M54" s="19" t="b" cm="1">
        <f t="array" ref="M54">IsFilterable(A54)</f>
        <v>1</v>
      </c>
      <c r="N54" s="19" t="b" cm="1">
        <f t="array" ref="N54">IsEditable(A54)</f>
        <v>1</v>
      </c>
      <c r="O54" s="19" t="b" cm="1">
        <f t="array" ref="O54">IsBrowseable(A54)</f>
        <v>1</v>
      </c>
      <c r="P54" s="19" t="e" cm="1">
        <f t="array" ref="P54">IsListable(A54)</f>
        <v>#VALUE!</v>
      </c>
      <c r="Q54" s="19" t="str" cm="1">
        <f t="array" ref="Q54">IsEncrypted(A54)</f>
        <v/>
      </c>
      <c r="R54" s="19" t="str" cm="1">
        <f t="array" ref="R54">IsInWords(A54)</f>
        <v/>
      </c>
      <c r="S54" s="19" t="b">
        <v>0</v>
      </c>
    </row>
    <row r="55" spans="1:19">
      <c r="A55" s="19">
        <f t="shared" si="0"/>
        <v>51</v>
      </c>
      <c r="B55" s="20" cm="1">
        <f t="array" ref="B55">GetTableId(B54,G54)</f>
        <v>8</v>
      </c>
      <c r="C55" s="19" t="str" cm="1">
        <f t="array" ref="C55">GetValue("Tbl","Alias",B55)</f>
        <v>Dmn</v>
      </c>
      <c r="D55" s="19" cm="1">
        <f t="array" ref="D55">GetDomainId(C55,G55)</f>
        <v>55</v>
      </c>
      <c r="E55" s="19" t="str" cm="1">
        <f t="array" ref="E55">GetValue("Dmn","Name",D55)</f>
        <v>BigId</v>
      </c>
      <c r="F55" s="19">
        <f t="shared" si="1"/>
        <v>5</v>
      </c>
      <c r="G55" s="19" t="str" cm="1">
        <f t="array" ref="G55">GetColumnName(C55,IF(B55=B54,G54,""))</f>
        <v>Id</v>
      </c>
      <c r="H55" s="19" t="str">
        <f t="shared" si="2"/>
        <v>Informe 'Id'</v>
      </c>
      <c r="I55" s="19" t="str" cm="1">
        <f t="array" ref="I55">GetCaption(C55,G55)</f>
        <v>Id</v>
      </c>
      <c r="J55" s="19" t="b">
        <v>1</v>
      </c>
      <c r="K55" s="19" t="b" cm="1">
        <f t="array" ref="K55">IsPrimaryKey(A55)</f>
        <v>1</v>
      </c>
      <c r="L55" s="19" t="b" cm="1">
        <f t="array" ref="L55">IsAutoincrement(A55)</f>
        <v>1</v>
      </c>
      <c r="M55" s="19" t="str" cm="1">
        <f t="array" ref="M55">IsFilterable(A55)</f>
        <v/>
      </c>
      <c r="N55" s="19" t="str" cm="1">
        <f t="array" ref="N55">IsEditable(A55)</f>
        <v/>
      </c>
      <c r="O55" s="19" t="str" cm="1">
        <f t="array" ref="O55">IsBrowseable(A55)</f>
        <v/>
      </c>
      <c r="P55" s="19" t="e" cm="1">
        <f t="array" ref="P55">IsListable(A55)</f>
        <v>#VALUE!</v>
      </c>
      <c r="Q55" s="19" t="str" cm="1">
        <f t="array" ref="Q55">IsEncrypted(A55)</f>
        <v/>
      </c>
      <c r="R55" s="19" t="str" cm="1">
        <f t="array" ref="R55">IsInWords(A55)</f>
        <v/>
      </c>
      <c r="S55" s="19" t="b">
        <v>0</v>
      </c>
    </row>
    <row r="56" spans="1:19">
      <c r="A56" s="19">
        <f t="shared" si="0"/>
        <v>52</v>
      </c>
      <c r="B56" s="20" cm="1">
        <f t="array" ref="B56">GetTableId(B55,G55)</f>
        <v>8</v>
      </c>
      <c r="C56" s="19" t="str" cm="1">
        <f t="array" ref="C56">GetValue("Tbl","Alias",B56)</f>
        <v>Dmn</v>
      </c>
      <c r="D56" s="19" cm="1">
        <f t="array" ref="D56">GetDomainId(C56,G56)</f>
        <v>57</v>
      </c>
      <c r="E56" s="19" t="str" cm="1">
        <f t="array" ref="E56">GetValue("Dmn","Name",D56)</f>
        <v>SmallId</v>
      </c>
      <c r="F56" s="19">
        <f t="shared" si="1"/>
        <v>10</v>
      </c>
      <c r="G56" s="19" t="str" cm="1">
        <f t="array" ref="G56">GetColumnName(C56,IF(B56=B55,G55,""))</f>
        <v>OwnertId</v>
      </c>
      <c r="H56" s="19" t="str">
        <f t="shared" si="2"/>
        <v>Informe 'Proprietário'</v>
      </c>
      <c r="I56" s="19" t="str" cm="1">
        <f t="array" ref="I56">GetCaption(C56,G56)</f>
        <v>Proprietário</v>
      </c>
      <c r="J56" s="19" t="b">
        <v>1</v>
      </c>
      <c r="K56" s="19" t="b" cm="1">
        <f t="array" ref="K56">IsPrimaryKey(A56)</f>
        <v>0</v>
      </c>
      <c r="L56" s="19" t="b" cm="1">
        <f t="array" ref="L56">IsAutoincrement(A56)</f>
        <v>0</v>
      </c>
      <c r="M56" s="19" t="b" cm="1">
        <f t="array" ref="M56">IsFilterable(A56)</f>
        <v>1</v>
      </c>
      <c r="N56" s="19" t="b" cm="1">
        <f t="array" ref="N56">IsEditable(A56)</f>
        <v>1</v>
      </c>
      <c r="O56" s="19" t="b" cm="1">
        <f t="array" ref="O56">IsBrowseable(A56)</f>
        <v>1</v>
      </c>
      <c r="P56" s="19" t="e" cm="1">
        <f t="array" ref="P56">IsListable(A56)</f>
        <v>#VALUE!</v>
      </c>
      <c r="Q56" s="19" t="str" cm="1">
        <f t="array" ref="Q56">IsEncrypted(A56)</f>
        <v/>
      </c>
      <c r="R56" s="19" t="b" cm="1">
        <f t="array" ref="R56">IsInWords(A56)</f>
        <v>0</v>
      </c>
      <c r="S56" s="19" t="b">
        <v>0</v>
      </c>
    </row>
    <row r="57" spans="1:19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58</v>
      </c>
      <c r="E57" s="17" t="str" cm="1">
        <f t="array" ref="E57">GetValue("Dmn","Name",D57)</f>
        <v>TinyId</v>
      </c>
      <c r="F57" s="17">
        <f t="shared" si="1"/>
        <v>15</v>
      </c>
      <c r="G57" s="17" t="str" cm="1">
        <f t="array" ref="G57">GetColumnName(C57,IF(B57=B56,G56,""))</f>
        <v>TypeId</v>
      </c>
      <c r="H57" s="17" t="str">
        <f t="shared" si="2"/>
        <v>Informe 'Tipo'</v>
      </c>
      <c r="I57" s="17" t="str" cm="1">
        <f t="array" ref="I57">GetCaption(C57,G57)</f>
        <v>Tipo</v>
      </c>
      <c r="J57" s="17" t="b">
        <v>1</v>
      </c>
      <c r="K57" s="17" t="b" cm="1">
        <f t="array" ref="K57">IsPrimaryKey(A57)</f>
        <v>0</v>
      </c>
      <c r="L57" s="17" t="b" cm="1">
        <f t="array" ref="L57">IsAutoincrement(A57)</f>
        <v>0</v>
      </c>
      <c r="M57" s="17" t="b" cm="1">
        <f t="array" ref="M57">IsFilterable(A57)</f>
        <v>1</v>
      </c>
      <c r="N57" s="17" t="b" cm="1">
        <f t="array" ref="N57">IsEditable(A57)</f>
        <v>1</v>
      </c>
      <c r="O57" s="17" t="b" cm="1">
        <f t="array" ref="O57">IsBrowseable(A57)</f>
        <v>1</v>
      </c>
      <c r="P57" s="17" t="e" cm="1">
        <f t="array" ref="P57">IsListable(A57)</f>
        <v>#VALUE!</v>
      </c>
      <c r="Q57" s="17" t="str" cm="1">
        <f t="array" ref="Q57">IsEncrypted(A57)</f>
        <v/>
      </c>
      <c r="R57" s="17" t="b" cm="1">
        <f t="array" ref="R57">IsInWords(A57)</f>
        <v>0</v>
      </c>
      <c r="S57" s="17" t="b">
        <v>0</v>
      </c>
    </row>
    <row r="58" spans="1:19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11</v>
      </c>
      <c r="E58" s="17" t="str" cm="1">
        <f t="array" ref="E58">GetValue("Dmn","Name",D58)</f>
        <v>NVARCHAR(25)</v>
      </c>
      <c r="F58" s="17">
        <f t="shared" si="1"/>
        <v>20</v>
      </c>
      <c r="G58" s="17" t="str" cm="1">
        <f t="array" ref="G58">GetColumnName(C58,IF(B58=B57,G57,""))</f>
        <v>Name</v>
      </c>
      <c r="H58" s="17" t="str">
        <f t="shared" si="2"/>
        <v>Informe 'Nome'</v>
      </c>
      <c r="I58" s="17" t="str" cm="1">
        <f t="array" ref="I58">GetCaption(C58,G58)</f>
        <v>Nome</v>
      </c>
      <c r="J58" s="17" t="b">
        <v>1</v>
      </c>
      <c r="K58" s="17" t="b" cm="1">
        <f t="array" ref="K58">IsPrimaryKey(A58)</f>
        <v>0</v>
      </c>
      <c r="L58" s="17" t="str" cm="1">
        <f t="array" ref="L58">IsAutoincrement(A58)</f>
        <v/>
      </c>
      <c r="M58" s="17" t="b" cm="1">
        <f t="array" ref="M58">IsFilterable(A58)</f>
        <v>1</v>
      </c>
      <c r="N58" s="17" t="b" cm="1">
        <f t="array" ref="N58">IsEditable(A58)</f>
        <v>1</v>
      </c>
      <c r="O58" s="17" t="b" cm="1">
        <f t="array" ref="O58">IsBrowseable(A58)</f>
        <v>1</v>
      </c>
      <c r="P58" s="17" t="e" cm="1">
        <f t="array" ref="P58">IsListable(A58)</f>
        <v>#VALUE!</v>
      </c>
      <c r="Q58" s="17" t="b" cm="1">
        <f t="array" ref="Q58">IsEncrypted(A58)</f>
        <v>0</v>
      </c>
      <c r="R58" s="17" t="str" cm="1">
        <f t="array" ref="R58">IsInWords(A58)</f>
        <v/>
      </c>
      <c r="S58" s="17" t="b">
        <v>0</v>
      </c>
    </row>
    <row r="59" spans="1:19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2</v>
      </c>
      <c r="E59" s="17" t="str" cm="1">
        <f t="array" ref="E59">GetValue("Dmn","Name",D59)</f>
        <v>Integer</v>
      </c>
      <c r="F59" s="17">
        <f t="shared" si="1"/>
        <v>25</v>
      </c>
      <c r="G59" s="17" t="str" cm="1">
        <f t="array" ref="G59">GetColumnName(C59,IF(B59=B58,G58,""))</f>
        <v>Length</v>
      </c>
      <c r="H59" s="17" t="str">
        <f t="shared" si="2"/>
        <v>Informe 'Tamanho'</v>
      </c>
      <c r="I59" s="17" t="str" cm="1">
        <f t="array" ref="I59">GetCaption(C59,G59)</f>
        <v>Tamanho</v>
      </c>
      <c r="J59" s="17" t="b">
        <v>1</v>
      </c>
      <c r="K59" s="17" t="b" cm="1">
        <f t="array" ref="K59">IsPrimaryKey(A59)</f>
        <v>0</v>
      </c>
      <c r="L59" s="17" t="b" cm="1">
        <f t="array" ref="L59">IsAutoincrement(A59)</f>
        <v>0</v>
      </c>
      <c r="M59" s="17" t="b" cm="1">
        <f t="array" ref="M59">IsFilterable(A59)</f>
        <v>1</v>
      </c>
      <c r="N59" s="17" t="b" cm="1">
        <f t="array" ref="N59">IsEditable(A59)</f>
        <v>1</v>
      </c>
      <c r="O59" s="17" t="b" cm="1">
        <f t="array" ref="O59">IsBrowseable(A59)</f>
        <v>1</v>
      </c>
      <c r="P59" s="17" t="e" cm="1">
        <f t="array" ref="P59">IsListable(A59)</f>
        <v>#VALUE!</v>
      </c>
      <c r="Q59" s="17" t="str" cm="1">
        <f t="array" ref="Q59">IsEncrypted(A59)</f>
        <v/>
      </c>
      <c r="R59" s="17" t="b" cm="1">
        <f t="array" ref="R59">IsInWords(A59)</f>
        <v>0</v>
      </c>
      <c r="S59" s="17" t="b">
        <v>0</v>
      </c>
    </row>
    <row r="60" spans="1:19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4</v>
      </c>
      <c r="E60" s="17" t="str" cm="1">
        <f t="array" ref="E60">GetValue("Dmn","Name",D60)</f>
        <v>TinyInteger</v>
      </c>
      <c r="F60" s="17">
        <f t="shared" si="1"/>
        <v>30</v>
      </c>
      <c r="G60" s="17" t="str" cm="1">
        <f t="array" ref="G60">GetColumnName(C60,IF(B60=B59,G59,""))</f>
        <v>Decimals</v>
      </c>
      <c r="H60" s="17" t="str">
        <f t="shared" si="2"/>
        <v>Informe 'Decimais'</v>
      </c>
      <c r="I60" s="17" t="str" cm="1">
        <f t="array" ref="I60">GetCaption(C60,G60)</f>
        <v>Decimais</v>
      </c>
      <c r="J60" s="17" t="b">
        <v>0</v>
      </c>
      <c r="K60" s="17" t="b" cm="1">
        <f t="array" ref="K60">IsPrimaryKey(A60)</f>
        <v>0</v>
      </c>
      <c r="L60" s="17" t="b" cm="1">
        <f t="array" ref="L60">IsAutoincrement(A60)</f>
        <v>0</v>
      </c>
      <c r="M60" s="17" t="b" cm="1">
        <f t="array" ref="M60">IsFilterable(A60)</f>
        <v>1</v>
      </c>
      <c r="N60" s="17" t="b" cm="1">
        <f t="array" ref="N60">IsEditable(A60)</f>
        <v>1</v>
      </c>
      <c r="O60" s="17" t="b" cm="1">
        <f t="array" ref="O60">IsBrowseable(A60)</f>
        <v>1</v>
      </c>
      <c r="P60" s="17" t="e" cm="1">
        <f t="array" ref="P60">IsListable(A60)</f>
        <v>#VALUE!</v>
      </c>
      <c r="Q60" s="17" t="str" cm="1">
        <f t="array" ref="Q60">IsEncrypted(A60)</f>
        <v/>
      </c>
      <c r="R60" s="17" t="b" cm="1">
        <f t="array" ref="R60">IsInWords(A60)</f>
        <v>0</v>
      </c>
      <c r="S60" s="17" t="b">
        <v>0</v>
      </c>
    </row>
    <row r="61" spans="1:19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24</v>
      </c>
      <c r="E61" s="17" t="str" cm="1">
        <f t="array" ref="E61">GetValue("Dmn","Name",D61)</f>
        <v>VARIANT</v>
      </c>
      <c r="F61" s="17">
        <f t="shared" si="1"/>
        <v>35</v>
      </c>
      <c r="G61" s="17" t="str" cm="1">
        <f t="array" ref="G61">GetColumnName(C61,IF(B61=B60,G60,""))</f>
        <v>Default</v>
      </c>
      <c r="H61" s="17" t="str">
        <f t="shared" si="2"/>
        <v>Informe 'Padrão'</v>
      </c>
      <c r="I61" s="17" t="str" cm="1">
        <f t="array" ref="I61">GetCaption(C61,G61)</f>
        <v>Padrão</v>
      </c>
      <c r="J61" s="17" t="b">
        <v>0</v>
      </c>
      <c r="K61" s="17" t="str" cm="1">
        <f t="array" ref="K61">IsPrimaryKey(A61)</f>
        <v/>
      </c>
      <c r="L61" s="17" t="str" cm="1">
        <f t="array" ref="L61">IsAutoincrement(A61)</f>
        <v/>
      </c>
      <c r="M61" s="17" t="str" cm="1">
        <f t="array" ref="M61">IsFilterable(A61)</f>
        <v/>
      </c>
      <c r="N61" s="17" t="b" cm="1">
        <f t="array" ref="N61">IsEditable(A61)</f>
        <v>1</v>
      </c>
      <c r="O61" s="17" t="str" cm="1">
        <f t="array" ref="O61">IsBrowseable(A61)</f>
        <v/>
      </c>
      <c r="P61" s="17" t="e" cm="1">
        <f t="array" ref="P61">IsListable(A61)</f>
        <v>#VALUE!</v>
      </c>
      <c r="Q61" s="17" t="str" cm="1">
        <f t="array" ref="Q61">IsEncrypted(A61)</f>
        <v/>
      </c>
      <c r="R61" s="17" t="str" cm="1">
        <f t="array" ref="R61">IsInWords(A61)</f>
        <v/>
      </c>
      <c r="S61" s="17" t="b">
        <v>0</v>
      </c>
    </row>
    <row r="62" spans="1:19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24</v>
      </c>
      <c r="E62" s="17" t="str" cm="1">
        <f t="array" ref="E62">GetValue("Dmn","Name",D62)</f>
        <v>VARIANT</v>
      </c>
      <c r="F62" s="17">
        <f t="shared" si="1"/>
        <v>40</v>
      </c>
      <c r="G62" s="17" t="str" cm="1">
        <f t="array" ref="G62">GetColumnName(C62,IF(B62=B61,G61,""))</f>
        <v>Minimum</v>
      </c>
      <c r="H62" s="17" t="str">
        <f t="shared" si="2"/>
        <v>Informe 'Mínimo'</v>
      </c>
      <c r="I62" s="17" t="str" cm="1">
        <f t="array" ref="I62">GetCaption(C62,G62)</f>
        <v>Mínimo</v>
      </c>
      <c r="J62" s="17" t="b">
        <v>0</v>
      </c>
      <c r="K62" s="17" t="str" cm="1">
        <f t="array" ref="K62">IsPrimaryKey(A62)</f>
        <v/>
      </c>
      <c r="L62" s="17" t="str" cm="1">
        <f t="array" ref="L62">IsAutoincrement(A62)</f>
        <v/>
      </c>
      <c r="M62" s="17" t="str" cm="1">
        <f t="array" ref="M62">IsFilterable(A62)</f>
        <v/>
      </c>
      <c r="N62" s="17" t="b" cm="1">
        <f t="array" ref="N62">IsEditable(A62)</f>
        <v>1</v>
      </c>
      <c r="O62" s="17" t="str" cm="1">
        <f t="array" ref="O62">IsBrowseable(A62)</f>
        <v/>
      </c>
      <c r="P62" s="17" t="e" cm="1">
        <f t="array" ref="P62">IsListable(A62)</f>
        <v>#VALUE!</v>
      </c>
      <c r="Q62" s="17" t="str" cm="1">
        <f t="array" ref="Q62">IsEncrypted(A62)</f>
        <v/>
      </c>
      <c r="R62" s="17" t="str" cm="1">
        <f t="array" ref="R62">IsInWords(A62)</f>
        <v/>
      </c>
      <c r="S62" s="17" t="b">
        <v>0</v>
      </c>
    </row>
    <row r="63" spans="1:19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24</v>
      </c>
      <c r="E63" s="17" t="str" cm="1">
        <f t="array" ref="E63">GetValue("Dmn","Name",D63)</f>
        <v>VARIANT</v>
      </c>
      <c r="F63" s="17">
        <f t="shared" si="1"/>
        <v>45</v>
      </c>
      <c r="G63" s="17" t="str" cm="1">
        <f t="array" ref="G63">GetColumnName(C63,IF(B63=B62,G62,""))</f>
        <v>Maximum</v>
      </c>
      <c r="H63" s="17" t="str">
        <f t="shared" si="2"/>
        <v>Informe 'Máximo'</v>
      </c>
      <c r="I63" s="17" t="str" cm="1">
        <f t="array" ref="I63">GetCaption(C63,G63)</f>
        <v>Máximo</v>
      </c>
      <c r="J63" s="17" t="b">
        <v>0</v>
      </c>
      <c r="K63" s="17" t="str" cm="1">
        <f t="array" ref="K63">IsPrimaryKey(A63)</f>
        <v/>
      </c>
      <c r="L63" s="17" t="str" cm="1">
        <f t="array" ref="L63">IsAutoincrement(A63)</f>
        <v/>
      </c>
      <c r="M63" s="17" t="str" cm="1">
        <f t="array" ref="M63">IsFilterable(A63)</f>
        <v/>
      </c>
      <c r="N63" s="17" t="b" cm="1">
        <f t="array" ref="N63">IsEditable(A63)</f>
        <v>1</v>
      </c>
      <c r="O63" s="17" t="str" cm="1">
        <f t="array" ref="O63">IsBrowseable(A63)</f>
        <v/>
      </c>
      <c r="P63" s="17" t="e" cm="1">
        <f t="array" ref="P63">IsListable(A63)</f>
        <v>#VALUE!</v>
      </c>
      <c r="Q63" s="17" t="str" cm="1">
        <f t="array" ref="Q63">IsEncrypted(A63)</f>
        <v/>
      </c>
      <c r="R63" s="17" t="str" cm="1">
        <f t="array" ref="R63">IsInWords(A63)</f>
        <v/>
      </c>
      <c r="S63" s="17" t="b">
        <v>0</v>
      </c>
    </row>
    <row r="64" spans="1:19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14</v>
      </c>
      <c r="E64" s="17" t="str" cm="1">
        <f t="array" ref="E64">GetValue("Dmn","Name",D64)</f>
        <v>NVARCHAR(max)</v>
      </c>
      <c r="F64" s="17">
        <f t="shared" si="1"/>
        <v>50</v>
      </c>
      <c r="G64" s="17" t="str" cm="1">
        <f t="array" ref="G64">GetColumnName(C64,IF(B64=B63,G63,""))</f>
        <v>ValidChars</v>
      </c>
      <c r="H64" s="17" t="str">
        <f t="shared" si="2"/>
        <v>Informe 'Caracteres Válidos'</v>
      </c>
      <c r="I64" s="17" t="str" cm="1">
        <f t="array" ref="I64">GetCaption(C64,G64)</f>
        <v>Caracteres Válidos</v>
      </c>
      <c r="J64" s="17" t="b">
        <v>0</v>
      </c>
      <c r="K64" s="17" t="str" cm="1">
        <f t="array" ref="K64">IsPrimaryKey(A64)</f>
        <v/>
      </c>
      <c r="L64" s="17" t="str" cm="1">
        <f t="array" ref="L64">IsAutoincrement(A64)</f>
        <v/>
      </c>
      <c r="M64" s="17" t="str" cm="1">
        <f t="array" ref="M64">IsFilterable(A64)</f>
        <v/>
      </c>
      <c r="N64" s="17" t="b" cm="1">
        <f t="array" ref="N64">IsEditable(A64)</f>
        <v>1</v>
      </c>
      <c r="O64" s="17" t="str" cm="1">
        <f t="array" ref="O64">IsBrowseable(A64)</f>
        <v/>
      </c>
      <c r="P64" s="17" t="e" cm="1">
        <f t="array" ref="P64">IsListable(A64)</f>
        <v>#VALUE!</v>
      </c>
      <c r="Q64" s="17" t="str" cm="1">
        <f t="array" ref="Q64">IsEncrypted(A64)</f>
        <v/>
      </c>
      <c r="R64" s="17" t="str" cm="1">
        <f t="array" ref="R64">IsInWords(A64)</f>
        <v/>
      </c>
      <c r="S64" s="17" t="b">
        <v>0</v>
      </c>
    </row>
    <row r="65" spans="1:19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14</v>
      </c>
      <c r="E65" s="17" t="str" cm="1">
        <f t="array" ref="E65">GetValue("Dmn","Name",D65)</f>
        <v>NVARCHAR(max)</v>
      </c>
      <c r="F65" s="17">
        <f t="shared" si="1"/>
        <v>55</v>
      </c>
      <c r="G65" s="17" t="str" cm="1">
        <f t="array" ref="G65">GetColumnName(C65,IF(B65=B64,G64,""))</f>
        <v>ValidValues</v>
      </c>
      <c r="H65" s="17" t="str">
        <f t="shared" si="2"/>
        <v>Informe 'Valores Válidos'</v>
      </c>
      <c r="I65" s="17" t="str" cm="1">
        <f t="array" ref="I65">GetCaption(C65,G65)</f>
        <v>Valores Válidos</v>
      </c>
      <c r="J65" s="17" t="b">
        <v>0</v>
      </c>
      <c r="K65" s="17" t="str" cm="1">
        <f t="array" ref="K65">IsPrimaryKey(A65)</f>
        <v/>
      </c>
      <c r="L65" s="17" t="str" cm="1">
        <f t="array" ref="L65">IsAutoincrement(A65)</f>
        <v/>
      </c>
      <c r="M65" s="17" t="str" cm="1">
        <f t="array" ref="M65">IsFilterable(A65)</f>
        <v/>
      </c>
      <c r="N65" s="17" t="b" cm="1">
        <f t="array" ref="N65">IsEditable(A65)</f>
        <v>1</v>
      </c>
      <c r="O65" s="17" t="str" cm="1">
        <f t="array" ref="O65">IsBrowseable(A65)</f>
        <v/>
      </c>
      <c r="P65" s="17" t="e" cm="1">
        <f t="array" ref="P65">IsListable(A65)</f>
        <v>#VALUE!</v>
      </c>
      <c r="Q65" s="17" t="str" cm="1">
        <f t="array" ref="Q65">IsEncrypted(A65)</f>
        <v/>
      </c>
      <c r="R65" s="17" t="str" cm="1">
        <f t="array" ref="R65">IsInWords(A65)</f>
        <v/>
      </c>
      <c r="S65" s="17" t="b">
        <v>0</v>
      </c>
    </row>
    <row r="66" spans="1:19">
      <c r="A66" s="17">
        <f t="shared" si="0"/>
        <v>62</v>
      </c>
      <c r="B66" s="18" cm="1">
        <f t="array" ref="B66">GetTableId(B65,G65)</f>
        <v>8</v>
      </c>
      <c r="C66" s="17" t="str" cm="1">
        <f t="array" ref="C66">GetValue("Tbl","Alias",B66)</f>
        <v>Dmn</v>
      </c>
      <c r="D66" s="17" cm="1">
        <f t="array" ref="D66">GetDomainId(C66,G66)</f>
        <v>14</v>
      </c>
      <c r="E66" s="17" t="str" cm="1">
        <f t="array" ref="E66">GetValue("Dmn","Name",D66)</f>
        <v>NVARCHAR(max)</v>
      </c>
      <c r="F66" s="17">
        <f t="shared" si="1"/>
        <v>60</v>
      </c>
      <c r="G66" s="17" t="str" cm="1">
        <f t="array" ref="G66">GetColumnName(C66,IF(B66=B65,G65,""))</f>
        <v>ListValues</v>
      </c>
      <c r="H66" s="17" t="str">
        <f t="shared" si="2"/>
        <v>Informe 'Lista de Valores'</v>
      </c>
      <c r="I66" s="17" t="str" cm="1">
        <f t="array" ref="I66">GetCaption(C66,G66)</f>
        <v>Lista de Valores</v>
      </c>
      <c r="J66" s="17" t="b">
        <v>0</v>
      </c>
      <c r="K66" s="17" t="str" cm="1">
        <f t="array" ref="K66">IsPrimaryKey(A66)</f>
        <v/>
      </c>
      <c r="L66" s="17" t="str" cm="1">
        <f t="array" ref="L66">IsAutoincrement(A66)</f>
        <v/>
      </c>
      <c r="M66" s="17" t="str" cm="1">
        <f t="array" ref="M66">IsFilterable(A66)</f>
        <v/>
      </c>
      <c r="N66" s="17" t="b" cm="1">
        <f t="array" ref="N66">IsEditable(A66)</f>
        <v>1</v>
      </c>
      <c r="O66" s="17" t="str" cm="1">
        <f t="array" ref="O66">IsBrowseable(A66)</f>
        <v/>
      </c>
      <c r="P66" s="17" t="e" cm="1">
        <f t="array" ref="P66">IsListable(A66)</f>
        <v>#VALUE!</v>
      </c>
      <c r="Q66" s="17" t="str" cm="1">
        <f t="array" ref="Q66">IsEncrypted(A66)</f>
        <v/>
      </c>
      <c r="R66" s="17" t="str" cm="1">
        <f t="array" ref="R66">IsInWords(A66)</f>
        <v/>
      </c>
      <c r="S66" s="17" t="b">
        <v>0</v>
      </c>
    </row>
    <row r="67" spans="1:19">
      <c r="A67" s="17">
        <f t="shared" si="0"/>
        <v>63</v>
      </c>
      <c r="B67" s="18" cm="1">
        <f t="array" ref="B67">GetTableId(B66,G66)</f>
        <v>9</v>
      </c>
      <c r="C67" s="17" t="str" cm="1">
        <f t="array" ref="C67">GetValue("Tbl","Alias",B67)</f>
        <v>Msk</v>
      </c>
      <c r="D67" s="17" cm="1">
        <f t="array" ref="D67">GetDomainId(C67,G67)</f>
        <v>55</v>
      </c>
      <c r="E67" s="17" t="str" cm="1">
        <f t="array" ref="E67">GetValue("Dmn","Name",D67)</f>
        <v>BigId</v>
      </c>
      <c r="F67" s="17">
        <f t="shared" si="1"/>
        <v>5</v>
      </c>
      <c r="G67" s="17" t="str" cm="1">
        <f t="array" ref="G67">GetColumnName(C67,IF(B67=B66,G66,""))</f>
        <v>Id</v>
      </c>
      <c r="H67" s="17" t="str">
        <f t="shared" si="2"/>
        <v>Informe 'Id'</v>
      </c>
      <c r="I67" s="17" t="str" cm="1">
        <f t="array" ref="I67">GetCaption(C67,G67)</f>
        <v>Id</v>
      </c>
      <c r="J67" s="17" t="b">
        <v>0</v>
      </c>
      <c r="K67" s="17" t="b" cm="1">
        <f t="array" ref="K67">IsPrimaryKey(A67)</f>
        <v>1</v>
      </c>
      <c r="L67" s="17" t="b" cm="1">
        <f t="array" ref="L67">IsAutoincrement(A67)</f>
        <v>1</v>
      </c>
      <c r="M67" s="17" t="str" cm="1">
        <f t="array" ref="M67">IsFilterable(A67)</f>
        <v/>
      </c>
      <c r="N67" s="17" t="str" cm="1">
        <f t="array" ref="N67">IsEditable(A67)</f>
        <v/>
      </c>
      <c r="O67" s="17" t="str" cm="1">
        <f t="array" ref="O67">IsBrowseable(A67)</f>
        <v/>
      </c>
      <c r="P67" s="17" t="e" cm="1">
        <f t="array" ref="P67">IsListable(A67)</f>
        <v>#VALUE!</v>
      </c>
      <c r="Q67" s="17" t="str" cm="1">
        <f t="array" ref="Q67">IsEncrypted(A67)</f>
        <v/>
      </c>
      <c r="R67" s="17" t="str" cm="1">
        <f t="array" ref="R67">IsInWords(A67)</f>
        <v/>
      </c>
      <c r="S67" s="17" t="b">
        <v>0</v>
      </c>
    </row>
    <row r="68" spans="1:19">
      <c r="A68" s="17">
        <f t="shared" si="0"/>
        <v>64</v>
      </c>
      <c r="B68" s="18" cm="1">
        <f t="array" ref="B68">GetTableId(B67,G67)</f>
        <v>9</v>
      </c>
      <c r="C68" s="17" t="str" cm="1">
        <f t="array" ref="C68">GetValue("Tbl","Alias",B68)</f>
        <v>Msk</v>
      </c>
      <c r="D68" s="17" cm="1">
        <f t="array" ref="D68">GetDomainId(C68,G68)</f>
        <v>57</v>
      </c>
      <c r="E68" s="17" t="str" cm="1">
        <f t="array" ref="E68">GetValue("Dmn","Name",D68)</f>
        <v>SmallId</v>
      </c>
      <c r="F68" s="17">
        <f t="shared" si="1"/>
        <v>10</v>
      </c>
      <c r="G68" s="17" t="str" cm="1">
        <f t="array" ref="G68">GetColumnName(C68,IF(B68=B67,G67,""))</f>
        <v>OwnertId</v>
      </c>
      <c r="H68" s="17" t="str">
        <f t="shared" si="2"/>
        <v>Informe 'Proprietário'</v>
      </c>
      <c r="I68" s="17" t="str" cm="1">
        <f t="array" ref="I68">GetCaption(C68,G68)</f>
        <v>Proprietário</v>
      </c>
      <c r="J68" s="17" t="b">
        <v>1</v>
      </c>
      <c r="K68" s="17" t="b" cm="1">
        <f t="array" ref="K68">IsPrimaryKey(A68)</f>
        <v>0</v>
      </c>
      <c r="L68" s="17" t="b" cm="1">
        <f t="array" ref="L68">IsAutoincrement(A68)</f>
        <v>0</v>
      </c>
      <c r="M68" s="17" t="b" cm="1">
        <f t="array" ref="M68">IsFilterable(A68)</f>
        <v>1</v>
      </c>
      <c r="N68" s="17" t="b" cm="1">
        <f t="array" ref="N68">IsEditable(A68)</f>
        <v>1</v>
      </c>
      <c r="O68" s="17" t="b" cm="1">
        <f t="array" ref="O68">IsBrowseable(A68)</f>
        <v>1</v>
      </c>
      <c r="P68" s="17" t="e" cm="1">
        <f t="array" ref="P68">IsListable(A68)</f>
        <v>#VALUE!</v>
      </c>
      <c r="Q68" s="17" t="str" cm="1">
        <f t="array" ref="Q68">IsEncrypted(A68)</f>
        <v/>
      </c>
      <c r="R68" s="17" t="b" cm="1">
        <f t="array" ref="R68">IsInWords(A68)</f>
        <v>0</v>
      </c>
      <c r="S68" s="17" t="b">
        <v>0</v>
      </c>
    </row>
    <row r="69" spans="1:19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11</v>
      </c>
      <c r="E69" s="19" t="str" cm="1">
        <f t="array" ref="E69">GetValue("Dmn","Name",D69)</f>
        <v>NVARCHAR(25)</v>
      </c>
      <c r="F69" s="19">
        <f t="shared" si="1"/>
        <v>15</v>
      </c>
      <c r="G69" s="19" t="str" cm="1">
        <f t="array" ref="G69">GetColumnName(C69,IF(B69=B68,G68,""))</f>
        <v>Name</v>
      </c>
      <c r="H69" s="19" t="str">
        <f t="shared" si="2"/>
        <v>Informe 'Nome'</v>
      </c>
      <c r="I69" s="19" t="str" cm="1">
        <f t="array" ref="I69">GetCaption(C69,G69)</f>
        <v>Nome</v>
      </c>
      <c r="J69" s="19" t="b">
        <v>1</v>
      </c>
      <c r="K69" s="19" t="b" cm="1">
        <f t="array" ref="K69">IsPrimaryKey(A69)</f>
        <v>0</v>
      </c>
      <c r="L69" s="19" t="str" cm="1">
        <f t="array" ref="L69">IsAutoincrement(A69)</f>
        <v/>
      </c>
      <c r="M69" s="19" t="b" cm="1">
        <f t="array" ref="M69">IsFilterable(A69)</f>
        <v>1</v>
      </c>
      <c r="N69" s="19" t="b" cm="1">
        <f t="array" ref="N69">IsEditable(A69)</f>
        <v>1</v>
      </c>
      <c r="O69" s="19" t="b" cm="1">
        <f t="array" ref="O69">IsBrowseable(A69)</f>
        <v>1</v>
      </c>
      <c r="P69" s="19" t="e" cm="1">
        <f t="array" ref="P69">IsListable(A69)</f>
        <v>#VALUE!</v>
      </c>
      <c r="Q69" s="19" t="b" cm="1">
        <f t="array" ref="Q69">IsEncrypted(A69)</f>
        <v>0</v>
      </c>
      <c r="R69" s="19" t="str" cm="1">
        <f t="array" ref="R69">IsInWords(A69)</f>
        <v/>
      </c>
      <c r="S69" s="19" t="b">
        <v>0</v>
      </c>
    </row>
    <row r="70" spans="1:19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13</v>
      </c>
      <c r="E70" s="19" t="str" cm="1">
        <f t="array" ref="E70">GetValue("Dmn","Name",D70)</f>
        <v>NVARCHAR(256)</v>
      </c>
      <c r="F70" s="19">
        <f t="shared" si="1"/>
        <v>20</v>
      </c>
      <c r="G70" s="19" t="str" cm="1">
        <f t="array" ref="G70">GetColumnName(C70,IF(B70=B69,G69,""))</f>
        <v>Mask</v>
      </c>
      <c r="H70" s="19" t="str">
        <f t="shared" ref="H70:H133" si="5">_xlfn.CONCAT("Informe '",I70,"'")</f>
        <v>Informe 'Máscara'</v>
      </c>
      <c r="I70" s="19" t="str" cm="1">
        <f t="array" ref="I70">GetCaption(C70,G70)</f>
        <v>Máscara</v>
      </c>
      <c r="J70" s="19" t="b">
        <v>1</v>
      </c>
      <c r="K70" s="19" t="b" cm="1">
        <f t="array" ref="K70">IsPrimaryKey(A70)</f>
        <v>0</v>
      </c>
      <c r="L70" s="19" t="str" cm="1">
        <f t="array" ref="L70">IsAutoincrement(A70)</f>
        <v/>
      </c>
      <c r="M70" s="19" t="b" cm="1">
        <f t="array" ref="M70">IsFilterable(A70)</f>
        <v>1</v>
      </c>
      <c r="N70" s="19" t="b" cm="1">
        <f t="array" ref="N70">IsEditable(A70)</f>
        <v>1</v>
      </c>
      <c r="O70" s="19" t="b" cm="1">
        <f t="array" ref="O70">IsBrowseable(A70)</f>
        <v>1</v>
      </c>
      <c r="P70" s="19" t="e" cm="1">
        <f t="array" ref="P70">IsListable(A70)</f>
        <v>#VALUE!</v>
      </c>
      <c r="Q70" s="19" t="b" cm="1">
        <f t="array" ref="Q70">IsEncrypted(A70)</f>
        <v>0</v>
      </c>
      <c r="R70" s="19" t="str" cm="1">
        <f t="array" ref="R70">IsInWords(A70)</f>
        <v/>
      </c>
      <c r="S70" s="19" t="b">
        <v>0</v>
      </c>
    </row>
    <row r="71" spans="1:19">
      <c r="A71" s="19">
        <f t="shared" si="4"/>
        <v>67</v>
      </c>
      <c r="B71" s="20" cm="1">
        <f t="array" ref="B71">GetTableId(B70,G70)</f>
        <v>9</v>
      </c>
      <c r="C71" s="19" t="str" cm="1">
        <f t="array" ref="C71">GetValue("Tbl","Alias",B71)</f>
        <v>Msk</v>
      </c>
      <c r="D71" s="19" cm="1">
        <f t="array" ref="D71">GetDomainId(C71,G71)</f>
        <v>33</v>
      </c>
      <c r="E71" s="19" t="str" cm="1">
        <f t="array" ref="E71">GetValue("Dmn","Name",D71)</f>
        <v>Mask Modificators</v>
      </c>
      <c r="F71" s="19">
        <f t="shared" si="1"/>
        <v>25</v>
      </c>
      <c r="G71" s="19" t="str" cm="1">
        <f t="array" ref="G71">GetColumnName(C71,IF(B71=B70,G70,""))</f>
        <v>Modificators</v>
      </c>
      <c r="H71" s="19" t="str">
        <f t="shared" si="5"/>
        <v>Informe 'Modificadores'</v>
      </c>
      <c r="I71" s="19" t="str" cm="1">
        <f t="array" ref="I71">GetCaption(C71,G71)</f>
        <v>Modificadores</v>
      </c>
      <c r="J71" s="19" t="b">
        <v>0</v>
      </c>
      <c r="K71" s="19" t="str" cm="1">
        <f t="array" ref="K71">IsPrimaryKey(A71)</f>
        <v/>
      </c>
      <c r="L71" s="19" t="str" cm="1">
        <f t="array" ref="L71">IsAutoincrement(A71)</f>
        <v/>
      </c>
      <c r="M71" s="19" t="str" cm="1">
        <f t="array" ref="M71">IsFilterable(A71)</f>
        <v/>
      </c>
      <c r="N71" s="19" t="b" cm="1">
        <f t="array" ref="N71">IsEditable(A71)</f>
        <v>1</v>
      </c>
      <c r="O71" s="19" t="str" cm="1">
        <f t="array" ref="O71">IsBrowseable(A71)</f>
        <v/>
      </c>
      <c r="P71" s="19" t="e" cm="1">
        <f t="array" ref="P71">IsListable(A71)</f>
        <v>#VALUE!</v>
      </c>
      <c r="Q71" s="19" t="str" cm="1">
        <f t="array" ref="Q71">IsEncrypted(A71)</f>
        <v/>
      </c>
      <c r="R71" s="19" t="str" cm="1">
        <f t="array" ref="R71">IsInWords(A71)</f>
        <v/>
      </c>
      <c r="S71" s="19" t="b">
        <v>0</v>
      </c>
    </row>
    <row r="72" spans="1:19">
      <c r="A72" s="19">
        <f t="shared" si="4"/>
        <v>68</v>
      </c>
      <c r="B72" s="20" cm="1">
        <f t="array" ref="B72">GetTableId(B71,G71)</f>
        <v>10</v>
      </c>
      <c r="C72" s="19" t="str" cm="1">
        <f t="array" ref="C72">GetValue("Tbl","Alias",B72)</f>
        <v>Mkg</v>
      </c>
      <c r="D72" s="19" cm="1">
        <f t="array" ref="D72">GetDomainId(C72,G72)</f>
        <v>55</v>
      </c>
      <c r="E72" s="19" t="str" cm="1">
        <f t="array" ref="E72">GetValue("Dmn","Name",D72)</f>
        <v>BigId</v>
      </c>
      <c r="F72" s="19">
        <f t="shared" ref="F72:F131" si="6">IF(G72="Id",5,F71+5)</f>
        <v>5</v>
      </c>
      <c r="G72" s="19" t="str" cm="1">
        <f t="array" ref="G72">GetColumnName(C72,IF(B72=B71,G71,""))</f>
        <v>Id</v>
      </c>
      <c r="H72" s="19" t="str">
        <f t="shared" si="5"/>
        <v>Informe 'Id'</v>
      </c>
      <c r="I72" s="19" t="str" cm="1">
        <f t="array" ref="I72">GetCaption(C72,G72)</f>
        <v>Id</v>
      </c>
      <c r="J72" s="19" t="b">
        <v>0</v>
      </c>
      <c r="K72" s="19" t="b" cm="1">
        <f t="array" ref="K72">IsPrimaryKey(A72)</f>
        <v>1</v>
      </c>
      <c r="L72" s="19" t="b" cm="1">
        <f t="array" ref="L72">IsAutoincrement(A72)</f>
        <v>1</v>
      </c>
      <c r="M72" s="19" t="str" cm="1">
        <f t="array" ref="M72">IsFilterable(A72)</f>
        <v/>
      </c>
      <c r="N72" s="19" t="str" cm="1">
        <f t="array" ref="N72">IsEditable(A72)</f>
        <v/>
      </c>
      <c r="O72" s="19" t="str" cm="1">
        <f t="array" ref="O72">IsBrowseable(A72)</f>
        <v/>
      </c>
      <c r="P72" s="19" t="e" cm="1">
        <f t="array" ref="P72">IsListable(A72)</f>
        <v>#VALUE!</v>
      </c>
      <c r="Q72" s="19" t="str" cm="1">
        <f t="array" ref="Q72">IsEncrypted(A72)</f>
        <v/>
      </c>
      <c r="R72" s="19" t="str" cm="1">
        <f t="array" ref="R72">IsInWords(A72)</f>
        <v/>
      </c>
      <c r="S72" s="19" t="b">
        <v>0</v>
      </c>
    </row>
    <row r="73" spans="1:19">
      <c r="A73" s="19">
        <f t="shared" si="4"/>
        <v>69</v>
      </c>
      <c r="B73" s="20" cm="1">
        <f t="array" ref="B73">GetTableId(B72,G72)</f>
        <v>10</v>
      </c>
      <c r="C73" s="19" t="str" cm="1">
        <f t="array" ref="C73">GetValue("Tbl","Alias",B73)</f>
        <v>Mkg</v>
      </c>
      <c r="D73" s="19" cm="1">
        <f t="array" ref="D73">GetDomainId(C73,G73)</f>
        <v>55</v>
      </c>
      <c r="E73" s="19" t="str" cm="1">
        <f t="array" ref="E73">GetValue("Dmn","Name",D73)</f>
        <v>BigId</v>
      </c>
      <c r="F73" s="19">
        <f t="shared" si="6"/>
        <v>10</v>
      </c>
      <c r="G73" s="19" t="str" cm="1">
        <f t="array" ref="G73">GetColumnName(C73,IF(B73=B72,G72,""))</f>
        <v>DomainId</v>
      </c>
      <c r="H73" s="19" t="str">
        <f t="shared" si="5"/>
        <v>Informe 'Domínio'</v>
      </c>
      <c r="I73" s="19" t="str" cm="1">
        <f t="array" ref="I73">GetCaption(C73,G73)</f>
        <v>Domínio</v>
      </c>
      <c r="J73" s="19" t="b">
        <v>1</v>
      </c>
      <c r="K73" s="19" t="b" cm="1">
        <f t="array" ref="K73">IsPrimaryKey(A73)</f>
        <v>0</v>
      </c>
      <c r="L73" s="19" t="b" cm="1">
        <f t="array" ref="L73">IsAutoincrement(A73)</f>
        <v>0</v>
      </c>
      <c r="M73" s="19" t="b" cm="1">
        <f t="array" ref="M73">IsFilterable(A73)</f>
        <v>1</v>
      </c>
      <c r="N73" s="19" t="b" cm="1">
        <f t="array" ref="N73">IsEditable(A73)</f>
        <v>1</v>
      </c>
      <c r="O73" s="19" t="b" cm="1">
        <f t="array" ref="O73">IsBrowseable(A73)</f>
        <v>1</v>
      </c>
      <c r="P73" s="19" t="e" cm="1">
        <f t="array" ref="P73">IsListable(A73)</f>
        <v>#VALUE!</v>
      </c>
      <c r="Q73" s="19" t="str" cm="1">
        <f t="array" ref="Q73">IsEncrypted(A73)</f>
        <v/>
      </c>
      <c r="R73" s="19" t="b" cm="1">
        <f t="array" ref="R73">IsInWords(A73)</f>
        <v>0</v>
      </c>
      <c r="S73" s="19" t="b">
        <v>0</v>
      </c>
    </row>
    <row r="74" spans="1:19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55</v>
      </c>
      <c r="E74" s="17" t="str" cm="1">
        <f t="array" ref="E74">GetValue("Dmn","Name",D74)</f>
        <v>BigId</v>
      </c>
      <c r="F74" s="17">
        <f t="shared" si="6"/>
        <v>15</v>
      </c>
      <c r="G74" s="17" t="str" cm="1">
        <f t="array" ref="G74">GetColumnName(C74,IF(B74=B73,G73,""))</f>
        <v>MaskId</v>
      </c>
      <c r="H74" s="17" t="str">
        <f t="shared" si="5"/>
        <v>Informe 'Máscara'</v>
      </c>
      <c r="I74" s="17" t="str" cm="1">
        <f t="array" ref="I74">GetCaption(C74,G74)</f>
        <v>Máscara</v>
      </c>
      <c r="J74" s="17" t="b">
        <v>1</v>
      </c>
      <c r="K74" s="17" t="b" cm="1">
        <f t="array" ref="K74">IsPrimaryKey(A74)</f>
        <v>0</v>
      </c>
      <c r="L74" s="17" t="b" cm="1">
        <f t="array" ref="L74">IsAutoincrement(A74)</f>
        <v>0</v>
      </c>
      <c r="M74" s="17" t="b" cm="1">
        <f t="array" ref="M74">IsFilterable(A74)</f>
        <v>1</v>
      </c>
      <c r="N74" s="17" t="b" cm="1">
        <f t="array" ref="N74">IsEditable(A74)</f>
        <v>1</v>
      </c>
      <c r="O74" s="17" t="b" cm="1">
        <f t="array" ref="O74">IsBrowseable(A74)</f>
        <v>1</v>
      </c>
      <c r="P74" s="17" t="e" cm="1">
        <f t="array" ref="P74">IsListable(A74)</f>
        <v>#VALUE!</v>
      </c>
      <c r="Q74" s="17" t="str" cm="1">
        <f t="array" ref="Q74">IsEncrypted(A74)</f>
        <v/>
      </c>
      <c r="R74" s="17" t="b" cm="1">
        <f t="array" ref="R74">IsInWords(A74)</f>
        <v>0</v>
      </c>
      <c r="S74" s="17" t="b">
        <v>0</v>
      </c>
    </row>
    <row r="75" spans="1:19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4</v>
      </c>
      <c r="E75" s="17" t="str" cm="1">
        <f t="array" ref="E75">GetValue("Dmn","Name",D75)</f>
        <v>TinyInteger</v>
      </c>
      <c r="F75" s="17">
        <f t="shared" si="6"/>
        <v>20</v>
      </c>
      <c r="G75" s="17" t="str" cm="1">
        <f t="array" ref="G75">GetColumnName(C75,IF(B75=B74,G74,""))</f>
        <v>CheckDigitModule</v>
      </c>
      <c r="H75" s="17" t="str">
        <f t="shared" si="5"/>
        <v>Informe 'Módulo DV'</v>
      </c>
      <c r="I75" s="17" t="str" cm="1">
        <f t="array" ref="I75">GetCaption(C75,G75)</f>
        <v>Módulo DV</v>
      </c>
      <c r="J75" s="17" t="b">
        <v>1</v>
      </c>
      <c r="K75" s="17" t="b" cm="1">
        <f t="array" ref="K75">IsPrimaryKey(A75)</f>
        <v>0</v>
      </c>
      <c r="L75" s="17" t="b" cm="1">
        <f t="array" ref="L75">IsAutoincrement(A75)</f>
        <v>0</v>
      </c>
      <c r="M75" s="17" t="b" cm="1">
        <f t="array" ref="M75">IsFilterable(A75)</f>
        <v>1</v>
      </c>
      <c r="N75" s="17" t="b" cm="1">
        <f t="array" ref="N75">IsEditable(A75)</f>
        <v>1</v>
      </c>
      <c r="O75" s="17" t="b" cm="1">
        <f t="array" ref="O75">IsBrowseable(A75)</f>
        <v>1</v>
      </c>
      <c r="P75" s="17" t="e" cm="1">
        <f t="array" ref="P75">IsListable(A75)</f>
        <v>#VALUE!</v>
      </c>
      <c r="Q75" s="17" t="str" cm="1">
        <f t="array" ref="Q75">IsEncrypted(A75)</f>
        <v/>
      </c>
      <c r="R75" s="17" t="b" cm="1">
        <f t="array" ref="R75">IsInWords(A75)</f>
        <v>0</v>
      </c>
      <c r="S75" s="17" t="b">
        <v>0</v>
      </c>
    </row>
    <row r="76" spans="1:19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14</v>
      </c>
      <c r="E76" s="17" t="str" cm="1">
        <f t="array" ref="E76">GetValue("Dmn","Name",D76)</f>
        <v>NVARCHAR(max)</v>
      </c>
      <c r="F76" s="17">
        <f t="shared" si="6"/>
        <v>25</v>
      </c>
      <c r="G76" s="17" t="str" cm="1">
        <f t="array" ref="G76">GetColumnName(C76,IF(B76=B75,G75,""))</f>
        <v>CheckDigitFactors</v>
      </c>
      <c r="H76" s="17" t="str">
        <f t="shared" si="5"/>
        <v>Informe 'Fatores DV'</v>
      </c>
      <c r="I76" s="17" t="str" cm="1">
        <f t="array" ref="I76">GetCaption(C76,G76)</f>
        <v>Fatores DV</v>
      </c>
      <c r="J76" s="17" t="b">
        <v>0</v>
      </c>
      <c r="K76" s="17" t="str" cm="1">
        <f t="array" ref="K76">IsPrimaryKey(A76)</f>
        <v/>
      </c>
      <c r="L76" s="17" t="str" cm="1">
        <f t="array" ref="L76">IsAutoincrement(A76)</f>
        <v/>
      </c>
      <c r="M76" s="17" t="str" cm="1">
        <f t="array" ref="M76">IsFilterable(A76)</f>
        <v/>
      </c>
      <c r="N76" s="17" t="b" cm="1">
        <f t="array" ref="N76">IsEditable(A76)</f>
        <v>1</v>
      </c>
      <c r="O76" s="17" t="str" cm="1">
        <f t="array" ref="O76">IsBrowseable(A76)</f>
        <v/>
      </c>
      <c r="P76" s="17" t="e" cm="1">
        <f t="array" ref="P76">IsListable(A76)</f>
        <v>#VALUE!</v>
      </c>
      <c r="Q76" s="17" t="str" cm="1">
        <f t="array" ref="Q76">IsEncrypted(A76)</f>
        <v/>
      </c>
      <c r="R76" s="17" t="str" cm="1">
        <f t="array" ref="R76">IsInWords(A76)</f>
        <v/>
      </c>
      <c r="S76" s="17" t="b">
        <v>0</v>
      </c>
    </row>
    <row r="77" spans="1:19">
      <c r="A77" s="17">
        <f t="shared" si="4"/>
        <v>73</v>
      </c>
      <c r="B77" s="18" cm="1">
        <f t="array" ref="B77">GetTableId(B76,G76)</f>
        <v>10</v>
      </c>
      <c r="C77" s="17" t="str" cm="1">
        <f t="array" ref="C77">GetValue("Tbl","Alias",B77)</f>
        <v>Mkg</v>
      </c>
      <c r="D77" s="17" cm="1">
        <f t="array" ref="D77">GetDomainId(C77,G77)</f>
        <v>15</v>
      </c>
      <c r="E77" s="17" t="str" cm="1">
        <f t="array" ref="E77">GetValue("Dmn","Name",D77)</f>
        <v>NCHAR(1)</v>
      </c>
      <c r="F77" s="17">
        <f t="shared" si="6"/>
        <v>30</v>
      </c>
      <c r="G77" s="17" t="str" cm="1">
        <f t="array" ref="G77">GetColumnName(C77,IF(B77=B76,G76,""))</f>
        <v>CheckDigitGreaterThanNine</v>
      </c>
      <c r="H77" s="17" t="str">
        <f t="shared" si="5"/>
        <v>Informe 'Dígito DV &gt; 9'</v>
      </c>
      <c r="I77" s="17" t="str" cm="1">
        <f t="array" ref="I77">GetCaption(C77,G77)</f>
        <v>Dígito DV &gt; 9</v>
      </c>
      <c r="J77" s="17" t="b">
        <v>0</v>
      </c>
      <c r="K77" s="17" t="b" cm="1">
        <f t="array" ref="K77">IsPrimaryKey(A77)</f>
        <v>0</v>
      </c>
      <c r="L77" s="17" t="str" cm="1">
        <f t="array" ref="L77">IsAutoincrement(A77)</f>
        <v/>
      </c>
      <c r="M77" s="17" t="b" cm="1">
        <f t="array" ref="M77">IsFilterable(A77)</f>
        <v>1</v>
      </c>
      <c r="N77" s="17" t="b" cm="1">
        <f t="array" ref="N77">IsEditable(A77)</f>
        <v>1</v>
      </c>
      <c r="O77" s="17" t="b" cm="1">
        <f t="array" ref="O77">IsBrowseable(A77)</f>
        <v>1</v>
      </c>
      <c r="P77" s="17" t="e" cm="1">
        <f t="array" ref="P77">IsListable(A77)</f>
        <v>#VALUE!</v>
      </c>
      <c r="Q77" s="17" t="b" cm="1">
        <f t="array" ref="Q77">IsEncrypted(A77)</f>
        <v>0</v>
      </c>
      <c r="R77" s="17" t="str" cm="1">
        <f t="array" ref="R77">IsInWords(A77)</f>
        <v/>
      </c>
      <c r="S77" s="17" t="b">
        <v>0</v>
      </c>
    </row>
    <row r="78" spans="1:19">
      <c r="A78" s="17">
        <f t="shared" si="4"/>
        <v>74</v>
      </c>
      <c r="B78" s="18" cm="1">
        <f t="array" ref="B78">GetTableId(B77,G77)</f>
        <v>11</v>
      </c>
      <c r="C78" s="17" t="str" cm="1">
        <f t="array" ref="C78">GetValue("Tbl","Alias",B78)</f>
        <v>Con</v>
      </c>
      <c r="D78" s="17" cm="1">
        <f t="array" ref="D78">GetDomainId(C78,G78)</f>
        <v>55</v>
      </c>
      <c r="E78" s="17" t="str" cm="1">
        <f t="array" ref="E78">GetValue("Dmn","Name",D78)</f>
        <v>BigId</v>
      </c>
      <c r="F78" s="17">
        <f t="shared" si="6"/>
        <v>5</v>
      </c>
      <c r="G78" s="17" t="str" cm="1">
        <f t="array" ref="G78">GetColumnName(C78,IF(B78=B77,G77,""))</f>
        <v>Id</v>
      </c>
      <c r="H78" s="17" t="str">
        <f t="shared" si="5"/>
        <v>Informe 'Id'</v>
      </c>
      <c r="I78" s="17" t="str" cm="1">
        <f t="array" ref="I78">GetCaption(C78,G78)</f>
        <v>Id</v>
      </c>
      <c r="J78" s="17" t="b">
        <v>0</v>
      </c>
      <c r="K78" s="17" t="b" cm="1">
        <f t="array" ref="K78">IsPrimaryKey(A78)</f>
        <v>1</v>
      </c>
      <c r="L78" s="17" t="b" cm="1">
        <f t="array" ref="L78">IsAutoincrement(A78)</f>
        <v>1</v>
      </c>
      <c r="M78" s="17" t="str" cm="1">
        <f t="array" ref="M78">IsFilterable(A78)</f>
        <v/>
      </c>
      <c r="N78" s="17" t="str" cm="1">
        <f t="array" ref="N78">IsEditable(A78)</f>
        <v/>
      </c>
      <c r="O78" s="17" t="str" cm="1">
        <f t="array" ref="O78">IsBrowseable(A78)</f>
        <v/>
      </c>
      <c r="P78" s="17" t="e" cm="1">
        <f t="array" ref="P78">IsListable(A78)</f>
        <v>#VALUE!</v>
      </c>
      <c r="Q78" s="17" t="str" cm="1">
        <f t="array" ref="Q78">IsEncrypted(A78)</f>
        <v/>
      </c>
      <c r="R78" s="17" t="str" cm="1">
        <f t="array" ref="R78">IsInWords(A78)</f>
        <v/>
      </c>
      <c r="S78" s="17" t="b">
        <v>0</v>
      </c>
    </row>
    <row r="79" spans="1:19">
      <c r="A79" s="17">
        <f t="shared" si="4"/>
        <v>75</v>
      </c>
      <c r="B79" s="18" cm="1">
        <f t="array" ref="B79">GetTableId(B78,G78)</f>
        <v>11</v>
      </c>
      <c r="C79" s="17" t="str" cm="1">
        <f t="array" ref="C79">GetValue("Tbl","Alias",B79)</f>
        <v>Con</v>
      </c>
      <c r="D79" s="17" cm="1">
        <f t="array" ref="D79">GetDomainId(C79,G79)</f>
        <v>57</v>
      </c>
      <c r="E79" s="17" t="str" cm="1">
        <f t="array" ref="E79">GetValue("Dmn","Name",D79)</f>
        <v>SmallId</v>
      </c>
      <c r="F79" s="17">
        <f t="shared" si="6"/>
        <v>10</v>
      </c>
      <c r="G79" s="17" t="str" cm="1">
        <f t="array" ref="G79">GetColumnName(C79,IF(B79=B78,G78,""))</f>
        <v>OwnertId</v>
      </c>
      <c r="H79" s="17" t="str">
        <f t="shared" si="5"/>
        <v>Informe 'Proprietário'</v>
      </c>
      <c r="I79" s="17" t="str" cm="1">
        <f t="array" ref="I79">GetCaption(C79,G79)</f>
        <v>Proprietário</v>
      </c>
      <c r="J79" s="17" t="b">
        <v>1</v>
      </c>
      <c r="K79" s="17" t="b" cm="1">
        <f t="array" ref="K79">IsPrimaryKey(A79)</f>
        <v>0</v>
      </c>
      <c r="L79" s="17" t="b" cm="1">
        <f t="array" ref="L79">IsAutoincrement(A79)</f>
        <v>0</v>
      </c>
      <c r="M79" s="17" t="b" cm="1">
        <f t="array" ref="M79">IsFilterable(A79)</f>
        <v>1</v>
      </c>
      <c r="N79" s="17" t="b" cm="1">
        <f t="array" ref="N79">IsEditable(A79)</f>
        <v>1</v>
      </c>
      <c r="O79" s="17" t="b" cm="1">
        <f t="array" ref="O79">IsBrowseable(A79)</f>
        <v>1</v>
      </c>
      <c r="P79" s="17" t="e" cm="1">
        <f t="array" ref="P79">IsListable(A79)</f>
        <v>#VALUE!</v>
      </c>
      <c r="Q79" s="17" t="str" cm="1">
        <f t="array" ref="Q79">IsEncrypted(A79)</f>
        <v/>
      </c>
      <c r="R79" s="17" t="b" cm="1">
        <f t="array" ref="R79">IsInWords(A79)</f>
        <v>0</v>
      </c>
      <c r="S79" s="17" t="b">
        <v>0</v>
      </c>
    </row>
    <row r="80" spans="1:19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11</v>
      </c>
      <c r="E80" s="19" t="str" cm="1">
        <f t="array" ref="E80">GetValue("Dmn","Name",D80)</f>
        <v>NVARCHAR(25)</v>
      </c>
      <c r="F80" s="19">
        <f t="shared" si="6"/>
        <v>15</v>
      </c>
      <c r="G80" s="19" t="str" cm="1">
        <f t="array" ref="G80">GetColumnName(C80,IF(B80=B79,G79,""))</f>
        <v>Name</v>
      </c>
      <c r="H80" s="19" t="str">
        <f t="shared" si="5"/>
        <v>Informe 'Nome'</v>
      </c>
      <c r="I80" s="19" t="str" cm="1">
        <f t="array" ref="I80">GetCaption(C80,G80)</f>
        <v>Nome</v>
      </c>
      <c r="J80" s="19" t="b">
        <v>1</v>
      </c>
      <c r="K80" s="19" t="b" cm="1">
        <f t="array" ref="K80">IsPrimaryKey(A80)</f>
        <v>0</v>
      </c>
      <c r="L80" s="19" t="str" cm="1">
        <f t="array" ref="L80">IsAutoincrement(A80)</f>
        <v/>
      </c>
      <c r="M80" s="19" t="b" cm="1">
        <f t="array" ref="M80">IsFilterable(A80)</f>
        <v>1</v>
      </c>
      <c r="N80" s="19" t="b" cm="1">
        <f t="array" ref="N80">IsEditable(A80)</f>
        <v>1</v>
      </c>
      <c r="O80" s="19" t="b" cm="1">
        <f t="array" ref="O80">IsBrowseable(A80)</f>
        <v>1</v>
      </c>
      <c r="P80" s="19" t="e" cm="1">
        <f t="array" ref="P80">IsListable(A80)</f>
        <v>#VALUE!</v>
      </c>
      <c r="Q80" s="19" t="b" cm="1">
        <f t="array" ref="Q80">IsEncrypted(A80)</f>
        <v>0</v>
      </c>
      <c r="R80" s="19" t="str" cm="1">
        <f t="array" ref="R80">IsInWords(A80)</f>
        <v/>
      </c>
      <c r="S80" s="19" t="b">
        <v>0</v>
      </c>
    </row>
    <row r="81" spans="1:19">
      <c r="A81" s="19">
        <f t="shared" si="4"/>
        <v>77</v>
      </c>
      <c r="B81" s="20" cm="1">
        <f t="array" ref="B81">GetTableId(B80,G80)</f>
        <v>11</v>
      </c>
      <c r="C81" s="19" t="str" cm="1">
        <f t="array" ref="C81">GetValue("Tbl","Alias",B81)</f>
        <v>Con</v>
      </c>
      <c r="D81" s="19" cm="1">
        <f t="array" ref="D81">GetDomainId(C81,G81)</f>
        <v>12</v>
      </c>
      <c r="E81" s="19" t="str" cm="1">
        <f t="array" ref="E81">GetValue("Dmn","Name",D81)</f>
        <v>NVARCHAR(50)</v>
      </c>
      <c r="F81" s="19">
        <f t="shared" si="6"/>
        <v>20</v>
      </c>
      <c r="G81" s="19" t="str" cm="1">
        <f t="array" ref="G81">GetColumnName(C81,IF(B81=B80,G80,""))</f>
        <v>Description</v>
      </c>
      <c r="H81" s="19" t="str">
        <f t="shared" si="5"/>
        <v>Informe 'Descrição'</v>
      </c>
      <c r="I81" s="19" t="str" cm="1">
        <f t="array" ref="I81">GetCaption(C81,G81)</f>
        <v>Descrição</v>
      </c>
      <c r="J81" s="19" t="b">
        <v>1</v>
      </c>
      <c r="K81" s="19" t="b" cm="1">
        <f t="array" ref="K81">IsPrimaryKey(A81)</f>
        <v>0</v>
      </c>
      <c r="L81" s="19" t="str" cm="1">
        <f t="array" ref="L81">IsAutoincrement(A81)</f>
        <v/>
      </c>
      <c r="M81" s="19" t="b" cm="1">
        <f t="array" ref="M81">IsFilterable(A81)</f>
        <v>1</v>
      </c>
      <c r="N81" s="19" t="b" cm="1">
        <f t="array" ref="N81">IsEditable(A81)</f>
        <v>1</v>
      </c>
      <c r="O81" s="19" t="b" cm="1">
        <f t="array" ref="O81">IsBrowseable(A81)</f>
        <v>1</v>
      </c>
      <c r="P81" s="19" t="e" cm="1">
        <f t="array" ref="P81">IsListable(A81)</f>
        <v>#VALUE!</v>
      </c>
      <c r="Q81" s="19" t="b" cm="1">
        <f t="array" ref="Q81">IsEncrypted(A81)</f>
        <v>0</v>
      </c>
      <c r="R81" s="19" t="str" cm="1">
        <f t="array" ref="R81">IsInWords(A81)</f>
        <v/>
      </c>
      <c r="S81" s="19" t="b">
        <v>0</v>
      </c>
    </row>
    <row r="82" spans="1:19">
      <c r="A82" s="19">
        <f t="shared" si="4"/>
        <v>78</v>
      </c>
      <c r="B82" s="20" cm="1">
        <f t="array" ref="B82">GetTableId(B81,G81)</f>
        <v>12</v>
      </c>
      <c r="C82" s="19" t="str" cm="1">
        <f t="array" ref="C82">GetValue("Tbl","Alias",B82)</f>
        <v>Db</v>
      </c>
      <c r="D82" s="19" cm="1">
        <f t="array" ref="D82">GetDomainId(C82,G82)</f>
        <v>55</v>
      </c>
      <c r="E82" s="19" t="str" cm="1">
        <f t="array" ref="E82">GetValue("Dmn","Name",D82)</f>
        <v>BigId</v>
      </c>
      <c r="F82" s="19">
        <f t="shared" si="6"/>
        <v>5</v>
      </c>
      <c r="G82" s="19" t="str" cm="1">
        <f t="array" ref="G82">GetColumnName(C82,IF(B82=B81,G81,""))</f>
        <v>Id</v>
      </c>
      <c r="H82" s="19" t="str">
        <f t="shared" si="5"/>
        <v>Informe 'Id'</v>
      </c>
      <c r="I82" s="19" t="str" cm="1">
        <f t="array" ref="I82">GetCaption(C82,G82)</f>
        <v>Id</v>
      </c>
      <c r="J82" s="19" t="b">
        <v>1</v>
      </c>
      <c r="K82" s="19" t="b" cm="1">
        <f t="array" ref="K82">IsPrimaryKey(A82)</f>
        <v>1</v>
      </c>
      <c r="L82" s="19" t="b" cm="1">
        <f t="array" ref="L82">IsAutoincrement(A82)</f>
        <v>1</v>
      </c>
      <c r="M82" s="19" t="str" cm="1">
        <f t="array" ref="M82">IsFilterable(A82)</f>
        <v/>
      </c>
      <c r="N82" s="19" t="str" cm="1">
        <f t="array" ref="N82">IsEditable(A82)</f>
        <v/>
      </c>
      <c r="O82" s="19" t="str" cm="1">
        <f t="array" ref="O82">IsBrowseable(A82)</f>
        <v/>
      </c>
      <c r="P82" s="19" t="e" cm="1">
        <f t="array" ref="P82">IsListable(A82)</f>
        <v>#VALUE!</v>
      </c>
      <c r="Q82" s="19" t="str" cm="1">
        <f t="array" ref="Q82">IsEncrypted(A82)</f>
        <v/>
      </c>
      <c r="R82" s="19" t="str" cm="1">
        <f t="array" ref="R82">IsInWords(A82)</f>
        <v/>
      </c>
      <c r="S82" s="19" t="b">
        <v>0</v>
      </c>
    </row>
    <row r="83" spans="1:19">
      <c r="A83" s="19">
        <f t="shared" si="4"/>
        <v>79</v>
      </c>
      <c r="B83" s="20" cm="1">
        <f t="array" ref="B83">GetTableId(B82,G82)</f>
        <v>12</v>
      </c>
      <c r="C83" s="19" t="str" cm="1">
        <f t="array" ref="C83">GetValue("Tbl","Alias",B83)</f>
        <v>Db</v>
      </c>
      <c r="D83" s="19" cm="1">
        <f t="array" ref="D83">GetDomainId(C83,G83)</f>
        <v>55</v>
      </c>
      <c r="E83" s="19" t="str" cm="1">
        <f t="array" ref="E83">GetValue("Dmn","Name",D83)</f>
        <v>BigId</v>
      </c>
      <c r="F83" s="19">
        <f t="shared" si="6"/>
        <v>10</v>
      </c>
      <c r="G83" s="19" t="str" cm="1">
        <f t="array" ref="G83">GetColumnName(C83,IF(B83=B82,G82,""))</f>
        <v>ConnectionId</v>
      </c>
      <c r="H83" s="19" t="str">
        <f t="shared" si="5"/>
        <v>Informe 'Conexão'</v>
      </c>
      <c r="I83" s="19" t="str" cm="1">
        <f t="array" ref="I83">GetCaption(C83,G83)</f>
        <v>Conexão</v>
      </c>
      <c r="J83" s="19" t="b">
        <v>1</v>
      </c>
      <c r="K83" s="19" t="b" cm="1">
        <f t="array" ref="K83">IsPrimaryKey(A83)</f>
        <v>0</v>
      </c>
      <c r="L83" s="19" t="b" cm="1">
        <f t="array" ref="L83">IsAutoincrement(A83)</f>
        <v>0</v>
      </c>
      <c r="M83" s="19" t="b" cm="1">
        <f t="array" ref="M83">IsFilterable(A83)</f>
        <v>1</v>
      </c>
      <c r="N83" s="19" t="b" cm="1">
        <f t="array" ref="N83">IsEditable(A83)</f>
        <v>1</v>
      </c>
      <c r="O83" s="19" t="b" cm="1">
        <f t="array" ref="O83">IsBrowseable(A83)</f>
        <v>1</v>
      </c>
      <c r="P83" s="19" t="e" cm="1">
        <f t="array" ref="P83">IsListable(A83)</f>
        <v>#VALUE!</v>
      </c>
      <c r="Q83" s="19" t="str" cm="1">
        <f t="array" ref="Q83">IsEncrypted(A83)</f>
        <v/>
      </c>
      <c r="R83" s="19" t="b" cm="1">
        <f t="array" ref="R83">IsInWords(A83)</f>
        <v>0</v>
      </c>
      <c r="S83" s="19" t="b">
        <v>0</v>
      </c>
    </row>
    <row r="84" spans="1:19">
      <c r="A84" s="17">
        <f t="shared" si="4"/>
        <v>80</v>
      </c>
      <c r="B84" s="18" cm="1">
        <f t="array" ref="B84">GetTableId(B83,G83)</f>
        <v>12</v>
      </c>
      <c r="C84" s="17" t="str" cm="1">
        <f t="array" ref="C84">GetValue("Tbl","Alias",B84)</f>
        <v>Db</v>
      </c>
      <c r="D84" s="17" cm="1">
        <f t="array" ref="D84">GetDomainId(C84,G84)</f>
        <v>11</v>
      </c>
      <c r="E84" s="17" t="str" cm="1">
        <f t="array" ref="E84">GetValue("Dmn","Name",D84)</f>
        <v>NVARCHAR(25)</v>
      </c>
      <c r="F84" s="17">
        <f t="shared" si="6"/>
        <v>15</v>
      </c>
      <c r="G84" s="17" t="str" cm="1">
        <f t="array" ref="G84">GetColumnName(C84,IF(B84=B83,G83,""))</f>
        <v>Name</v>
      </c>
      <c r="H84" s="17" t="str">
        <f t="shared" si="5"/>
        <v>Informe 'Nome'</v>
      </c>
      <c r="I84" s="17" t="str" cm="1">
        <f t="array" ref="I84">GetCaption(C84,G84)</f>
        <v>Nome</v>
      </c>
      <c r="J84" s="17" t="b">
        <v>1</v>
      </c>
      <c r="K84" s="17" t="b" cm="1">
        <f t="array" ref="K84">IsPrimaryKey(A84)</f>
        <v>0</v>
      </c>
      <c r="L84" s="17" t="str" cm="1">
        <f t="array" ref="L84">IsAutoincrement(A84)</f>
        <v/>
      </c>
      <c r="M84" s="17" t="b" cm="1">
        <f t="array" ref="M84">IsFilterable(A84)</f>
        <v>1</v>
      </c>
      <c r="N84" s="17" t="b" cm="1">
        <f t="array" ref="N84">IsEditable(A84)</f>
        <v>1</v>
      </c>
      <c r="O84" s="17" t="b" cm="1">
        <f t="array" ref="O84">IsBrowseable(A84)</f>
        <v>1</v>
      </c>
      <c r="P84" s="17" t="e" cm="1">
        <f t="array" ref="P84">IsListable(A84)</f>
        <v>#VALUE!</v>
      </c>
      <c r="Q84" s="17" t="b" cm="1">
        <f t="array" ref="Q84">IsEncrypted(A84)</f>
        <v>0</v>
      </c>
      <c r="R84" s="17" t="str" cm="1">
        <f t="array" ref="R84">IsInWords(A84)</f>
        <v/>
      </c>
      <c r="S84" s="17" t="b">
        <v>0</v>
      </c>
    </row>
    <row r="85" spans="1:19">
      <c r="A85" s="17">
        <f t="shared" si="4"/>
        <v>81</v>
      </c>
      <c r="B85" s="18" cm="1">
        <f t="array" ref="B85">GetTableId(B84,G84)</f>
        <v>12</v>
      </c>
      <c r="C85" s="17" t="str" cm="1">
        <f t="array" ref="C85">GetValue("Tbl","Alias",B85)</f>
        <v>Db</v>
      </c>
      <c r="D85" s="17" cm="1">
        <f t="array" ref="D85">GetDomainId(C85,G85)</f>
        <v>12</v>
      </c>
      <c r="E85" s="17" t="str" cm="1">
        <f t="array" ref="E85">GetValue("Dmn","Name",D85)</f>
        <v>NVARCHAR(50)</v>
      </c>
      <c r="F85" s="17">
        <f t="shared" si="6"/>
        <v>20</v>
      </c>
      <c r="G85" s="17" t="str" cm="1">
        <f t="array" ref="G85">GetColumnName(C85,IF(B85=B84,G84,""))</f>
        <v>Description</v>
      </c>
      <c r="H85" s="17" t="str">
        <f t="shared" si="5"/>
        <v>Informe 'Descrição'</v>
      </c>
      <c r="I85" s="17" t="str" cm="1">
        <f t="array" ref="I85">GetCaption(C85,G85)</f>
        <v>Descrição</v>
      </c>
      <c r="J85" s="17" t="b">
        <v>1</v>
      </c>
      <c r="K85" s="17" t="b" cm="1">
        <f t="array" ref="K85">IsPrimaryKey(A85)</f>
        <v>0</v>
      </c>
      <c r="L85" s="17" t="str" cm="1">
        <f t="array" ref="L85">IsAutoincrement(A85)</f>
        <v/>
      </c>
      <c r="M85" s="17" t="b" cm="1">
        <f t="array" ref="M85">IsFilterable(A85)</f>
        <v>1</v>
      </c>
      <c r="N85" s="17" t="b" cm="1">
        <f t="array" ref="N85">IsEditable(A85)</f>
        <v>1</v>
      </c>
      <c r="O85" s="17" t="b" cm="1">
        <f t="array" ref="O85">IsBrowseable(A85)</f>
        <v>1</v>
      </c>
      <c r="P85" s="17" t="e" cm="1">
        <f t="array" ref="P85">IsListable(A85)</f>
        <v>#VALUE!</v>
      </c>
      <c r="Q85" s="17" t="b" cm="1">
        <f t="array" ref="Q85">IsEncrypted(A85)</f>
        <v>0</v>
      </c>
      <c r="R85" s="17" t="str" cm="1">
        <f t="array" ref="R85">IsInWords(A85)</f>
        <v/>
      </c>
      <c r="S85" s="17" t="b">
        <v>0</v>
      </c>
    </row>
    <row r="86" spans="1:19">
      <c r="A86" s="17">
        <f t="shared" si="4"/>
        <v>82</v>
      </c>
      <c r="B86" s="18" cm="1">
        <f t="array" ref="B86">GetTableId(B85,G85)</f>
        <v>13</v>
      </c>
      <c r="C86" s="17" t="str" cm="1">
        <f t="array" ref="C86">GetValue("Tbl","Alias",B86)</f>
        <v>Env</v>
      </c>
      <c r="D86" s="17" cm="1">
        <f t="array" ref="D86">GetDomainId(C86,G86)</f>
        <v>58</v>
      </c>
      <c r="E86" s="17" t="str" cm="1">
        <f t="array" ref="E86">GetValue("Dmn","Name",D86)</f>
        <v>TinyId</v>
      </c>
      <c r="F86" s="17">
        <f t="shared" si="6"/>
        <v>5</v>
      </c>
      <c r="G86" s="17" t="str" cm="1">
        <f t="array" ref="G86">GetColumnName(C86,IF(B86=B85,G85,""))</f>
        <v>Id</v>
      </c>
      <c r="H86" s="17" t="str">
        <f t="shared" si="5"/>
        <v>Informe 'Id'</v>
      </c>
      <c r="I86" s="17" t="str" cm="1">
        <f t="array" ref="I86">GetCaption(C86,G86)</f>
        <v>Id</v>
      </c>
      <c r="J86" s="17" t="b">
        <v>0</v>
      </c>
      <c r="K86" s="17" t="b" cm="1">
        <f t="array" ref="K86">IsPrimaryKey(A86)</f>
        <v>1</v>
      </c>
      <c r="L86" s="17" t="b" cm="1">
        <f t="array" ref="L86">IsAutoincrement(A86)</f>
        <v>1</v>
      </c>
      <c r="M86" s="17" t="str" cm="1">
        <f t="array" ref="M86">IsFilterable(A86)</f>
        <v/>
      </c>
      <c r="N86" s="17" t="str" cm="1">
        <f t="array" ref="N86">IsEditable(A86)</f>
        <v/>
      </c>
      <c r="O86" s="17" t="str" cm="1">
        <f t="array" ref="O86">IsBrowseable(A86)</f>
        <v/>
      </c>
      <c r="P86" s="17" t="e" cm="1">
        <f t="array" ref="P86">IsListable(A86)</f>
        <v>#VALUE!</v>
      </c>
      <c r="Q86" s="17" t="str" cm="1">
        <f t="array" ref="Q86">IsEncrypted(A86)</f>
        <v/>
      </c>
      <c r="R86" s="17" t="str" cm="1">
        <f t="array" ref="R86">IsInWords(A86)</f>
        <v/>
      </c>
      <c r="S86" s="17" t="b">
        <v>0</v>
      </c>
    </row>
    <row r="87" spans="1:19">
      <c r="A87" s="17">
        <f t="shared" si="4"/>
        <v>83</v>
      </c>
      <c r="B87" s="18" cm="1">
        <f t="array" ref="B87">GetTableId(B86,G86)</f>
        <v>13</v>
      </c>
      <c r="C87" s="17" t="str" cm="1">
        <f t="array" ref="C87">GetValue("Tbl","Alias",B87)</f>
        <v>Env</v>
      </c>
      <c r="D87" s="17" cm="1">
        <f t="array" ref="D87">GetDomainId(C87,G87)</f>
        <v>57</v>
      </c>
      <c r="E87" s="17" t="str" cm="1">
        <f t="array" ref="E87">GetValue("Dmn","Name",D87)</f>
        <v>SmallId</v>
      </c>
      <c r="F87" s="17">
        <f t="shared" si="6"/>
        <v>10</v>
      </c>
      <c r="G87" s="17" t="str" cm="1">
        <f t="array" ref="G87">GetColumnName(C87,IF(B87=B86,G86,""))</f>
        <v>OwnertId</v>
      </c>
      <c r="H87" s="17" t="str">
        <f t="shared" si="5"/>
        <v>Informe 'Proprietário'</v>
      </c>
      <c r="I87" s="17" t="str" cm="1">
        <f t="array" ref="I87">GetCaption(C87,G87)</f>
        <v>Proprietário</v>
      </c>
      <c r="J87" s="17" t="b">
        <v>1</v>
      </c>
      <c r="K87" s="17" t="b" cm="1">
        <f t="array" ref="K87">IsPrimaryKey(A87)</f>
        <v>0</v>
      </c>
      <c r="L87" s="17" t="b" cm="1">
        <f t="array" ref="L87">IsAutoincrement(A87)</f>
        <v>0</v>
      </c>
      <c r="M87" s="17" t="b" cm="1">
        <f t="array" ref="M87">IsFilterable(A87)</f>
        <v>1</v>
      </c>
      <c r="N87" s="17" t="b" cm="1">
        <f t="array" ref="N87">IsEditable(A87)</f>
        <v>1</v>
      </c>
      <c r="O87" s="17" t="b" cm="1">
        <f t="array" ref="O87">IsBrowseable(A87)</f>
        <v>1</v>
      </c>
      <c r="P87" s="17" t="e" cm="1">
        <f t="array" ref="P87">IsListable(A87)</f>
        <v>#VALUE!</v>
      </c>
      <c r="Q87" s="17" t="str" cm="1">
        <f t="array" ref="Q87">IsEncrypted(A87)</f>
        <v/>
      </c>
      <c r="R87" s="17" t="b" cm="1">
        <f t="array" ref="R87">IsInWords(A87)</f>
        <v>0</v>
      </c>
      <c r="S87" s="17" t="b">
        <v>0</v>
      </c>
    </row>
    <row r="88" spans="1:19">
      <c r="A88" s="19">
        <f t="shared" si="4"/>
        <v>84</v>
      </c>
      <c r="B88" s="20" cm="1">
        <f t="array" ref="B88">GetTableId(B87,G87)</f>
        <v>13</v>
      </c>
      <c r="C88" s="19" t="str" cm="1">
        <f t="array" ref="C88">GetValue("Tbl","Alias",B88)</f>
        <v>Env</v>
      </c>
      <c r="D88" s="19" cm="1">
        <f t="array" ref="D88">GetDomainId(C88,G88)</f>
        <v>59</v>
      </c>
      <c r="E88" s="19" t="str" cm="1">
        <f t="array" ref="E88">GetValue("Dmn","Name",D88)</f>
        <v>SEQUENCE</v>
      </c>
      <c r="F88" s="19">
        <f t="shared" si="6"/>
        <v>15</v>
      </c>
      <c r="G88" s="19" t="str" cm="1">
        <f t="array" ref="G88">GetColumnName(C88,IF(B88=B87,G87,""))</f>
        <v>Sequence</v>
      </c>
      <c r="H88" s="19" t="str">
        <f t="shared" si="5"/>
        <v>Informe 'Sequência'</v>
      </c>
      <c r="I88" s="19" t="str" cm="1">
        <f t="array" ref="I88">GetCaption(C88,G88)</f>
        <v>Sequência</v>
      </c>
      <c r="J88" s="19" t="b">
        <v>1</v>
      </c>
      <c r="K88" s="19" t="b" cm="1">
        <f t="array" ref="K88">IsPrimaryKey(A88)</f>
        <v>0</v>
      </c>
      <c r="L88" s="19" t="b" cm="1">
        <f t="array" ref="L88">IsAutoincrement(A88)</f>
        <v>0</v>
      </c>
      <c r="M88" s="19" t="b" cm="1">
        <f t="array" ref="M88">IsFilterable(A88)</f>
        <v>1</v>
      </c>
      <c r="N88" s="19" t="b" cm="1">
        <f t="array" ref="N88">IsEditable(A88)</f>
        <v>1</v>
      </c>
      <c r="O88" s="19" t="b" cm="1">
        <f t="array" ref="O88">IsBrowseable(A88)</f>
        <v>1</v>
      </c>
      <c r="P88" s="19" t="e" cm="1">
        <f t="array" ref="P88">IsListable(A88)</f>
        <v>#VALUE!</v>
      </c>
      <c r="Q88" s="19" t="str" cm="1">
        <f t="array" ref="Q88">IsEncrypted(A88)</f>
        <v/>
      </c>
      <c r="R88" s="19" t="b" cm="1">
        <f t="array" ref="R88">IsInWords(A88)</f>
        <v>0</v>
      </c>
      <c r="S88" s="19" t="b">
        <v>0</v>
      </c>
    </row>
    <row r="89" spans="1:19">
      <c r="A89" s="19">
        <f t="shared" si="4"/>
        <v>85</v>
      </c>
      <c r="B89" s="20" cm="1">
        <f t="array" ref="B89">GetTableId(B88,G88)</f>
        <v>13</v>
      </c>
      <c r="C89" s="19" t="str" cm="1">
        <f t="array" ref="C89">GetValue("Tbl","Alias",B89)</f>
        <v>Env</v>
      </c>
      <c r="D89" s="19" cm="1">
        <f t="array" ref="D89">GetDomainId(C89,G89)</f>
        <v>11</v>
      </c>
      <c r="E89" s="19" t="str" cm="1">
        <f t="array" ref="E89">GetValue("Dmn","Name",D89)</f>
        <v>NVARCHAR(25)</v>
      </c>
      <c r="F89" s="19">
        <f t="shared" si="6"/>
        <v>20</v>
      </c>
      <c r="G89" s="19" t="str" cm="1">
        <f t="array" ref="G89">GetColumnName(C89,IF(B89=B88,G88,""))</f>
        <v>Name</v>
      </c>
      <c r="H89" s="19" t="str">
        <f t="shared" si="5"/>
        <v>Informe 'Nome'</v>
      </c>
      <c r="I89" s="19" t="str" cm="1">
        <f t="array" ref="I89">GetCaption(C89,G89)</f>
        <v>Nome</v>
      </c>
      <c r="J89" s="19" t="b">
        <v>1</v>
      </c>
      <c r="K89" s="19" t="b" cm="1">
        <f t="array" ref="K89">IsPrimaryKey(A89)</f>
        <v>0</v>
      </c>
      <c r="L89" s="19" t="str" cm="1">
        <f t="array" ref="L89">IsAutoincrement(A89)</f>
        <v/>
      </c>
      <c r="M89" s="19" t="b" cm="1">
        <f t="array" ref="M89">IsFilterable(A89)</f>
        <v>1</v>
      </c>
      <c r="N89" s="19" t="b" cm="1">
        <f t="array" ref="N89">IsEditable(A89)</f>
        <v>1</v>
      </c>
      <c r="O89" s="19" t="b" cm="1">
        <f t="array" ref="O89">IsBrowseable(A89)</f>
        <v>1</v>
      </c>
      <c r="P89" s="19" t="e" cm="1">
        <f t="array" ref="P89">IsListable(A89)</f>
        <v>#VALUE!</v>
      </c>
      <c r="Q89" s="19" t="b" cm="1">
        <f t="array" ref="Q89">IsEncrypted(A89)</f>
        <v>0</v>
      </c>
      <c r="R89" s="19" t="str" cm="1">
        <f t="array" ref="R89">IsInWords(A89)</f>
        <v/>
      </c>
      <c r="S89" s="19" t="b">
        <v>0</v>
      </c>
    </row>
    <row r="90" spans="1:19">
      <c r="A90" s="19">
        <f t="shared" si="4"/>
        <v>86</v>
      </c>
      <c r="B90" s="20" cm="1">
        <f t="array" ref="B90">GetTableId(B89,G89)</f>
        <v>13</v>
      </c>
      <c r="C90" s="19" t="str" cm="1">
        <f t="array" ref="C90">GetValue("Tbl","Alias",B90)</f>
        <v>Env</v>
      </c>
      <c r="D90" s="19" cm="1">
        <f t="array" ref="D90">GetDomainId(C90,G90)</f>
        <v>12</v>
      </c>
      <c r="E90" s="19" t="str" cm="1">
        <f t="array" ref="E90">GetValue("Dmn","Name",D90)</f>
        <v>NVARCHAR(50)</v>
      </c>
      <c r="F90" s="19">
        <f t="shared" si="6"/>
        <v>25</v>
      </c>
      <c r="G90" s="19" t="str" cm="1">
        <f t="array" ref="G90">GetColumnName(C90,IF(B90=B89,G89,""))</f>
        <v>Description</v>
      </c>
      <c r="H90" s="19" t="str">
        <f t="shared" si="5"/>
        <v>Informe 'Descrição'</v>
      </c>
      <c r="I90" s="19" t="str" cm="1">
        <f t="array" ref="I90">GetCaption(C90,G90)</f>
        <v>Descrição</v>
      </c>
      <c r="J90" s="19" t="b">
        <v>0</v>
      </c>
      <c r="K90" s="19" t="b" cm="1">
        <f t="array" ref="K90">IsPrimaryKey(A90)</f>
        <v>0</v>
      </c>
      <c r="L90" s="19" t="str" cm="1">
        <f t="array" ref="L90">IsAutoincrement(A90)</f>
        <v/>
      </c>
      <c r="M90" s="19" t="b" cm="1">
        <f t="array" ref="M90">IsFilterable(A90)</f>
        <v>1</v>
      </c>
      <c r="N90" s="19" t="b" cm="1">
        <f t="array" ref="N90">IsEditable(A90)</f>
        <v>1</v>
      </c>
      <c r="O90" s="19" t="b" cm="1">
        <f t="array" ref="O90">IsBrowseable(A90)</f>
        <v>1</v>
      </c>
      <c r="P90" s="19" t="e" cm="1">
        <f t="array" ref="P90">IsListable(A90)</f>
        <v>#VALUE!</v>
      </c>
      <c r="Q90" s="19" t="b" cm="1">
        <f t="array" ref="Q90">IsEncrypted(A90)</f>
        <v>0</v>
      </c>
      <c r="R90" s="19" t="str" cm="1">
        <f t="array" ref="R90">IsInWords(A90)</f>
        <v/>
      </c>
      <c r="S90" s="19" t="b">
        <v>0</v>
      </c>
    </row>
    <row r="91" spans="1:19">
      <c r="A91" s="19">
        <f t="shared" si="4"/>
        <v>87</v>
      </c>
      <c r="B91" s="20" cm="1">
        <f t="array" ref="B91">GetTableId(B90,G90)</f>
        <v>13</v>
      </c>
      <c r="C91" s="19" t="str" cm="1">
        <f t="array" ref="C91">GetValue("Tbl","Alias",B91)</f>
        <v>Env</v>
      </c>
      <c r="D91" s="19" cm="1">
        <f t="array" ref="D91">GetDomainId(C91,G91)</f>
        <v>5</v>
      </c>
      <c r="E91" s="19" t="str" cm="1">
        <f t="array" ref="E91">GetValue("Dmn","Name",D91)</f>
        <v>Boolean</v>
      </c>
      <c r="F91" s="19">
        <f t="shared" si="6"/>
        <v>30</v>
      </c>
      <c r="G91" s="19" t="str" cm="1">
        <f t="array" ref="G91">GetColumnName(C91,IF(B91=B90,G90,""))</f>
        <v>IsRequired</v>
      </c>
      <c r="H91" s="19" t="str">
        <f t="shared" si="5"/>
        <v>Informe 'É Requerido?'</v>
      </c>
      <c r="I91" s="19" t="str" cm="1">
        <f t="array" ref="I91">GetCaption(C91,G91)</f>
        <v>É Requerido?</v>
      </c>
      <c r="J91" s="19" t="b">
        <v>1</v>
      </c>
      <c r="K91" s="19" t="b" cm="1">
        <f t="array" ref="K91">IsPrimaryKey(A91)</f>
        <v>0</v>
      </c>
      <c r="L91" s="19" t="str" cm="1">
        <f t="array" ref="L91">IsAutoincrement(A91)</f>
        <v/>
      </c>
      <c r="M91" s="19" t="b" cm="1">
        <f t="array" ref="M91">IsFilterable(A91)</f>
        <v>1</v>
      </c>
      <c r="N91" s="19" t="b" cm="1">
        <f t="array" ref="N91">IsEditable(A91)</f>
        <v>1</v>
      </c>
      <c r="O91" s="19" t="b" cm="1">
        <f t="array" ref="O91">IsBrowseable(A91)</f>
        <v>1</v>
      </c>
      <c r="P91" s="19" t="e" cm="1">
        <f t="array" ref="P91">IsListable(A91)</f>
        <v>#VALUE!</v>
      </c>
      <c r="Q91" s="19" t="str" cm="1">
        <f t="array" ref="Q91">IsEncrypted(A91)</f>
        <v/>
      </c>
      <c r="R91" s="19" t="str" cm="1">
        <f t="array" ref="R91">IsInWords(A91)</f>
        <v/>
      </c>
      <c r="S91" s="19" t="b">
        <v>0</v>
      </c>
    </row>
    <row r="92" spans="1:19">
      <c r="A92" s="19">
        <f t="shared" si="4"/>
        <v>88</v>
      </c>
      <c r="B92" s="20" cm="1">
        <f t="array" ref="B92">GetTableId(B91,G91)</f>
        <v>14</v>
      </c>
      <c r="C92" s="19" t="str" cm="1">
        <f t="array" ref="C92">GetValue("Tbl","Alias",B92)</f>
        <v>Str</v>
      </c>
      <c r="D92" s="19" cm="1">
        <f t="array" ref="D92">GetDomainId(C92,G92)</f>
        <v>55</v>
      </c>
      <c r="E92" s="19" t="str" cm="1">
        <f t="array" ref="E92">GetValue("Dmn","Name",D92)</f>
        <v>BigId</v>
      </c>
      <c r="F92" s="19">
        <f t="shared" si="6"/>
        <v>5</v>
      </c>
      <c r="G92" s="19" t="str" cm="1">
        <f t="array" ref="G92">GetColumnName(C92,IF(B92=B91,G91,""))</f>
        <v>Id</v>
      </c>
      <c r="H92" s="19" t="str">
        <f t="shared" si="5"/>
        <v>Informe 'Id'</v>
      </c>
      <c r="I92" s="19" t="str" cm="1">
        <f t="array" ref="I92">GetCaption(C92,G92)</f>
        <v>Id</v>
      </c>
      <c r="J92" s="19" t="b">
        <v>1</v>
      </c>
      <c r="K92" s="19" t="b" cm="1">
        <f t="array" ref="K92">IsPrimaryKey(A92)</f>
        <v>1</v>
      </c>
      <c r="L92" s="19" t="b" cm="1">
        <f t="array" ref="L92">IsAutoincrement(A92)</f>
        <v>1</v>
      </c>
      <c r="M92" s="19" t="str" cm="1">
        <f t="array" ref="M92">IsFilterable(A92)</f>
        <v/>
      </c>
      <c r="N92" s="19" t="str" cm="1">
        <f t="array" ref="N92">IsEditable(A92)</f>
        <v/>
      </c>
      <c r="O92" s="19" t="str" cm="1">
        <f t="array" ref="O92">IsBrowseable(A92)</f>
        <v/>
      </c>
      <c r="P92" s="19" t="e" cm="1">
        <f t="array" ref="P92">IsListable(A92)</f>
        <v>#VALUE!</v>
      </c>
      <c r="Q92" s="19" t="str" cm="1">
        <f t="array" ref="Q92">IsEncrypted(A92)</f>
        <v/>
      </c>
      <c r="R92" s="19" t="str" cm="1">
        <f t="array" ref="R92">IsInWords(A92)</f>
        <v/>
      </c>
      <c r="S92" s="19" t="b">
        <v>0</v>
      </c>
    </row>
    <row r="93" spans="1:19">
      <c r="A93" s="19">
        <f t="shared" si="4"/>
        <v>89</v>
      </c>
      <c r="B93" s="20" cm="1">
        <f t="array" ref="B93">GetTableId(B92,G92)</f>
        <v>14</v>
      </c>
      <c r="C93" s="19" t="str" cm="1">
        <f t="array" ref="C93">GetValue("Tbl","Alias",B93)</f>
        <v>Str</v>
      </c>
      <c r="D93" s="19" cm="1">
        <f t="array" ref="D93">GetDomainId(C93,G93)</f>
        <v>55</v>
      </c>
      <c r="E93" s="19" t="str" cm="1">
        <f t="array" ref="E93">GetValue("Dmn","Name",D93)</f>
        <v>BigId</v>
      </c>
      <c r="F93" s="19">
        <f t="shared" si="6"/>
        <v>10</v>
      </c>
      <c r="G93" s="19" t="str" cm="1">
        <f t="array" ref="G93">GetColumnName(C93,IF(B93=B92,G92,""))</f>
        <v>ConnectionId</v>
      </c>
      <c r="H93" s="19" t="str">
        <f t="shared" si="5"/>
        <v>Informe 'Conexão'</v>
      </c>
      <c r="I93" s="19" t="str" cm="1">
        <f t="array" ref="I93">GetCaption(C93,G93)</f>
        <v>Conexão</v>
      </c>
      <c r="J93" s="19" t="b">
        <v>1</v>
      </c>
      <c r="K93" s="19" t="b" cm="1">
        <f t="array" ref="K93">IsPrimaryKey(A93)</f>
        <v>0</v>
      </c>
      <c r="L93" s="19" t="b" cm="1">
        <f t="array" ref="L93">IsAutoincrement(A93)</f>
        <v>0</v>
      </c>
      <c r="M93" s="19" t="b" cm="1">
        <f t="array" ref="M93">IsFilterable(A93)</f>
        <v>1</v>
      </c>
      <c r="N93" s="19" t="b" cm="1">
        <f t="array" ref="N93">IsEditable(A93)</f>
        <v>1</v>
      </c>
      <c r="O93" s="19" t="b" cm="1">
        <f t="array" ref="O93">IsBrowseable(A93)</f>
        <v>1</v>
      </c>
      <c r="P93" s="19" t="e" cm="1">
        <f t="array" ref="P93">IsListable(A93)</f>
        <v>#VALUE!</v>
      </c>
      <c r="Q93" s="19" t="str" cm="1">
        <f t="array" ref="Q93">IsEncrypted(A93)</f>
        <v/>
      </c>
      <c r="R93" s="19" t="b" cm="1">
        <f t="array" ref="R93">IsInWords(A93)</f>
        <v>0</v>
      </c>
      <c r="S93" s="19" t="b">
        <v>0</v>
      </c>
    </row>
    <row r="94" spans="1:19">
      <c r="A94" s="17">
        <f t="shared" si="4"/>
        <v>90</v>
      </c>
      <c r="B94" s="18" cm="1">
        <f t="array" ref="B94">GetTableId(B93,G93)</f>
        <v>14</v>
      </c>
      <c r="C94" s="17" t="str" cm="1">
        <f t="array" ref="C94">GetValue("Tbl","Alias",B94)</f>
        <v>Str</v>
      </c>
      <c r="D94" s="17" cm="1">
        <f t="array" ref="D94">GetDomainId(C94,G94)</f>
        <v>58</v>
      </c>
      <c r="E94" s="17" t="str" cm="1">
        <f t="array" ref="E94">GetValue("Dmn","Name",D94)</f>
        <v>TinyId</v>
      </c>
      <c r="F94" s="17">
        <f t="shared" si="6"/>
        <v>15</v>
      </c>
      <c r="G94" s="17" t="str" cm="1">
        <f t="array" ref="G94">GetColumnName(C94,IF(B94=B93,G93,""))</f>
        <v>EnvironmentId</v>
      </c>
      <c r="H94" s="17" t="str">
        <f t="shared" si="5"/>
        <v>Informe 'Ambiente'</v>
      </c>
      <c r="I94" s="17" t="str" cm="1">
        <f t="array" ref="I94">GetCaption(C94,G94)</f>
        <v>Ambiente</v>
      </c>
      <c r="J94" s="17" t="b">
        <v>0</v>
      </c>
      <c r="K94" s="17" t="b" cm="1">
        <f t="array" ref="K94">IsPrimaryKey(A94)</f>
        <v>0</v>
      </c>
      <c r="L94" s="17" t="b" cm="1">
        <f t="array" ref="L94">IsAutoincrement(A94)</f>
        <v>0</v>
      </c>
      <c r="M94" s="17" t="b" cm="1">
        <f t="array" ref="M94">IsFilterable(A94)</f>
        <v>1</v>
      </c>
      <c r="N94" s="17" t="b" cm="1">
        <f t="array" ref="N94">IsEditable(A94)</f>
        <v>1</v>
      </c>
      <c r="O94" s="17" t="b" cm="1">
        <f t="array" ref="O94">IsBrowseable(A94)</f>
        <v>1</v>
      </c>
      <c r="P94" s="17" t="e" cm="1">
        <f t="array" ref="P94">IsListable(A94)</f>
        <v>#VALUE!</v>
      </c>
      <c r="Q94" s="17" t="str" cm="1">
        <f t="array" ref="Q94">IsEncrypted(A94)</f>
        <v/>
      </c>
      <c r="R94" s="17" t="b" cm="1">
        <f t="array" ref="R94">IsInWords(A94)</f>
        <v>0</v>
      </c>
      <c r="S94" s="17" t="b">
        <v>0</v>
      </c>
    </row>
    <row r="95" spans="1:19">
      <c r="A95" s="17">
        <f t="shared" si="4"/>
        <v>91</v>
      </c>
      <c r="B95" s="18" cm="1">
        <f t="array" ref="B95">GetTableId(B94,G94)</f>
        <v>14</v>
      </c>
      <c r="C95" s="17" t="str" cm="1">
        <f t="array" ref="C95">GetValue("Tbl","Alias",B95)</f>
        <v>Str</v>
      </c>
      <c r="D95" s="17" cm="1">
        <f t="array" ref="D95">GetDomainId(C95,G95)</f>
        <v>13</v>
      </c>
      <c r="E95" s="17" t="str" cm="1">
        <f t="array" ref="E95">GetValue("Dmn","Name",D95)</f>
        <v>NVARCHAR(256)</v>
      </c>
      <c r="F95" s="17">
        <f t="shared" si="6"/>
        <v>20</v>
      </c>
      <c r="G95" s="17" t="str" cm="1">
        <f t="array" ref="G95">GetColumnName(C95,IF(B95=B94,G94,""))</f>
        <v>Directory</v>
      </c>
      <c r="H95" s="17" t="str">
        <f t="shared" si="5"/>
        <v>Informe 'Diretório'</v>
      </c>
      <c r="I95" s="17" t="str" cm="1">
        <f t="array" ref="I95">GetCaption(C95,G95)</f>
        <v>Diretório</v>
      </c>
      <c r="J95" s="17" t="b">
        <v>1</v>
      </c>
      <c r="K95" s="17" t="b" cm="1">
        <f t="array" ref="K95">IsPrimaryKey(A95)</f>
        <v>0</v>
      </c>
      <c r="L95" s="17" t="str" cm="1">
        <f t="array" ref="L95">IsAutoincrement(A95)</f>
        <v/>
      </c>
      <c r="M95" s="17" t="b" cm="1">
        <f t="array" ref="M95">IsFilterable(A95)</f>
        <v>1</v>
      </c>
      <c r="N95" s="17" t="b" cm="1">
        <f t="array" ref="N95">IsEditable(A95)</f>
        <v>1</v>
      </c>
      <c r="O95" s="17" t="b" cm="1">
        <f t="array" ref="O95">IsBrowseable(A95)</f>
        <v>1</v>
      </c>
      <c r="P95" s="17" t="e" cm="1">
        <f t="array" ref="P95">IsListable(A95)</f>
        <v>#VALUE!</v>
      </c>
      <c r="Q95" s="17" t="b" cm="1">
        <f t="array" ref="Q95">IsEncrypted(A95)</f>
        <v>0</v>
      </c>
      <c r="R95" s="17" t="str" cm="1">
        <f t="array" ref="R95">IsInWords(A95)</f>
        <v/>
      </c>
      <c r="S95" s="17" t="b">
        <v>0</v>
      </c>
    </row>
    <row r="96" spans="1:19">
      <c r="A96" s="17">
        <f t="shared" si="4"/>
        <v>92</v>
      </c>
      <c r="B96" s="18" cm="1">
        <f t="array" ref="B96">GetTableId(B95,G95)</f>
        <v>14</v>
      </c>
      <c r="C96" s="17" t="str" cm="1">
        <f t="array" ref="C96">GetValue("Tbl","Alias",B96)</f>
        <v>Str</v>
      </c>
      <c r="D96" s="17" cm="1">
        <f t="array" ref="D96">GetDomainId(C96,G96)</f>
        <v>14</v>
      </c>
      <c r="E96" s="17" t="str" cm="1">
        <f t="array" ref="E96">GetValue("Dmn","Name",D96)</f>
        <v>NVARCHAR(max)</v>
      </c>
      <c r="F96" s="17">
        <f t="shared" si="6"/>
        <v>25</v>
      </c>
      <c r="G96" s="17" t="str" cm="1">
        <f t="array" ref="G96">GetColumnName(C96,IF(B96=B95,G95,""))</f>
        <v>ConnectionString</v>
      </c>
      <c r="H96" s="17" t="str">
        <f t="shared" si="5"/>
        <v>Informe 'String de Conexão'</v>
      </c>
      <c r="I96" s="17" t="str" cm="1">
        <f t="array" ref="I96">GetCaption(C96,G96)</f>
        <v>String de Conexão</v>
      </c>
      <c r="J96" s="17" t="b">
        <v>1</v>
      </c>
      <c r="K96" s="17" t="str" cm="1">
        <f t="array" ref="K96">IsPrimaryKey(A96)</f>
        <v/>
      </c>
      <c r="L96" s="17" t="str" cm="1">
        <f t="array" ref="L96">IsAutoincrement(A96)</f>
        <v/>
      </c>
      <c r="M96" s="17" t="str" cm="1">
        <f t="array" ref="M96">IsFilterable(A96)</f>
        <v/>
      </c>
      <c r="N96" s="17" t="b" cm="1">
        <f t="array" ref="N96">IsEditable(A96)</f>
        <v>1</v>
      </c>
      <c r="O96" s="17" t="str" cm="1">
        <f t="array" ref="O96">IsBrowseable(A96)</f>
        <v/>
      </c>
      <c r="P96" s="17" t="e" cm="1">
        <f t="array" ref="P96">IsListable(A96)</f>
        <v>#VALUE!</v>
      </c>
      <c r="Q96" s="17" t="str" cm="1">
        <f t="array" ref="Q96">IsEncrypted(A96)</f>
        <v/>
      </c>
      <c r="R96" s="17" t="str" cm="1">
        <f t="array" ref="R96">IsInWords(A96)</f>
        <v/>
      </c>
      <c r="S96" s="17" t="b">
        <v>0</v>
      </c>
    </row>
    <row r="97" spans="1:19">
      <c r="A97" s="17">
        <f t="shared" si="4"/>
        <v>93</v>
      </c>
      <c r="B97" s="18" cm="1">
        <f t="array" ref="B97">GetTableId(B96,G96)</f>
        <v>15</v>
      </c>
      <c r="C97" s="17" t="str" cm="1">
        <f t="array" ref="C97">GetValue("Tbl","Alias",B97)</f>
        <v>Sys</v>
      </c>
      <c r="D97" s="17" cm="1">
        <f t="array" ref="D97">GetDomainId(C97,G97)</f>
        <v>55</v>
      </c>
      <c r="E97" s="17" t="str" cm="1">
        <f t="array" ref="E97">GetValue("Dmn","Name",D97)</f>
        <v>BigId</v>
      </c>
      <c r="F97" s="17">
        <f t="shared" si="6"/>
        <v>5</v>
      </c>
      <c r="G97" s="17" t="str" cm="1">
        <f t="array" ref="G97">GetColumnName(C97,IF(B97=B96,G96,""))</f>
        <v>Id</v>
      </c>
      <c r="H97" s="17" t="str">
        <f t="shared" si="5"/>
        <v>Informe 'Id'</v>
      </c>
      <c r="I97" s="17" t="str" cm="1">
        <f t="array" ref="I97">GetCaption(C97,G97)</f>
        <v>Id</v>
      </c>
      <c r="J97" s="17" t="b">
        <v>0</v>
      </c>
      <c r="K97" s="17" t="b" cm="1">
        <f t="array" ref="K97">IsPrimaryKey(A97)</f>
        <v>1</v>
      </c>
      <c r="L97" s="17" t="b" cm="1">
        <f t="array" ref="L97">IsAutoincrement(A97)</f>
        <v>1</v>
      </c>
      <c r="M97" s="17" t="str" cm="1">
        <f t="array" ref="M97">IsFilterable(A97)</f>
        <v/>
      </c>
      <c r="N97" s="17" t="str" cm="1">
        <f t="array" ref="N97">IsEditable(A97)</f>
        <v/>
      </c>
      <c r="O97" s="17" t="str" cm="1">
        <f t="array" ref="O97">IsBrowseable(A97)</f>
        <v/>
      </c>
      <c r="P97" s="17" t="e" cm="1">
        <f t="array" ref="P97">IsListable(A97)</f>
        <v>#VALUE!</v>
      </c>
      <c r="Q97" s="17" t="str" cm="1">
        <f t="array" ref="Q97">IsEncrypted(A97)</f>
        <v/>
      </c>
      <c r="R97" s="17" t="str" cm="1">
        <f t="array" ref="R97">IsInWords(A97)</f>
        <v/>
      </c>
      <c r="S97" s="17" t="b">
        <v>0</v>
      </c>
    </row>
    <row r="98" spans="1:19">
      <c r="A98" s="17">
        <f t="shared" si="4"/>
        <v>94</v>
      </c>
      <c r="B98" s="18" cm="1">
        <f t="array" ref="B98">GetTableId(B97,G97)</f>
        <v>15</v>
      </c>
      <c r="C98" s="17" t="str" cm="1">
        <f t="array" ref="C98">GetValue("Tbl","Alias",B98)</f>
        <v>Sys</v>
      </c>
      <c r="D98" s="17" cm="1">
        <f t="array" ref="D98">GetDomainId(C98,G98)</f>
        <v>55</v>
      </c>
      <c r="E98" s="17" t="str" cm="1">
        <f t="array" ref="E98">GetValue("Dmn","Name",D98)</f>
        <v>BigId</v>
      </c>
      <c r="F98" s="17">
        <f t="shared" si="6"/>
        <v>10</v>
      </c>
      <c r="G98" s="17" t="str" cm="1">
        <f t="array" ref="G98">GetColumnName(C98,IF(B98=B97,G97,""))</f>
        <v>DatabaseId</v>
      </c>
      <c r="H98" s="17" t="str">
        <f t="shared" si="5"/>
        <v>Informe 'Banco-de-Dados'</v>
      </c>
      <c r="I98" s="17" t="str" cm="1">
        <f t="array" ref="I98">GetCaption(C98,G98)</f>
        <v>Banco-de-Dados</v>
      </c>
      <c r="J98" s="17" t="b">
        <v>1</v>
      </c>
      <c r="K98" s="17" t="b" cm="1">
        <f t="array" ref="K98">IsPrimaryKey(A98)</f>
        <v>0</v>
      </c>
      <c r="L98" s="17" t="b" cm="1">
        <f t="array" ref="L98">IsAutoincrement(A98)</f>
        <v>0</v>
      </c>
      <c r="M98" s="17" t="b" cm="1">
        <f t="array" ref="M98">IsFilterable(A98)</f>
        <v>1</v>
      </c>
      <c r="N98" s="17" t="b" cm="1">
        <f t="array" ref="N98">IsEditable(A98)</f>
        <v>1</v>
      </c>
      <c r="O98" s="17" t="b" cm="1">
        <f t="array" ref="O98">IsBrowseable(A98)</f>
        <v>1</v>
      </c>
      <c r="P98" s="17" t="e" cm="1">
        <f t="array" ref="P98">IsListable(A98)</f>
        <v>#VALUE!</v>
      </c>
      <c r="Q98" s="17" t="str" cm="1">
        <f t="array" ref="Q98">IsEncrypted(A98)</f>
        <v/>
      </c>
      <c r="R98" s="17" t="b" cm="1">
        <f t="array" ref="R98">IsInWords(A98)</f>
        <v>0</v>
      </c>
      <c r="S98" s="17" t="b">
        <v>0</v>
      </c>
    </row>
    <row r="99" spans="1:19">
      <c r="A99" s="19">
        <f t="shared" si="4"/>
        <v>95</v>
      </c>
      <c r="B99" s="20" cm="1">
        <f t="array" ref="B99">GetTableId(B98,G98)</f>
        <v>15</v>
      </c>
      <c r="C99" s="19" t="str" cm="1">
        <f t="array" ref="C99">GetValue("Tbl","Alias",B99)</f>
        <v>Sys</v>
      </c>
      <c r="D99" s="19" cm="1">
        <f t="array" ref="D99">GetDomainId(C99,G99)</f>
        <v>9</v>
      </c>
      <c r="E99" s="19" t="str" cm="1">
        <f t="array" ref="E99">GetValue("Dmn","Name",D99)</f>
        <v>NVARCHAR(15)</v>
      </c>
      <c r="F99" s="19">
        <f t="shared" si="6"/>
        <v>15</v>
      </c>
      <c r="G99" s="19" t="str" cm="1">
        <f t="array" ref="G99">GetColumnName(C99,IF(B99=B98,G98,""))</f>
        <v>Prefix</v>
      </c>
      <c r="H99" s="19" t="str">
        <f t="shared" si="5"/>
        <v>Informe 'Prefixo'</v>
      </c>
      <c r="I99" s="19" t="str" cm="1">
        <f t="array" ref="I99">GetCaption(C99,G99)</f>
        <v>Prefixo</v>
      </c>
      <c r="J99" s="19" t="b">
        <v>0</v>
      </c>
      <c r="K99" s="19" t="b" cm="1">
        <f t="array" ref="K99">IsPrimaryKey(A99)</f>
        <v>0</v>
      </c>
      <c r="L99" s="19" t="str" cm="1">
        <f t="array" ref="L99">IsAutoincrement(A99)</f>
        <v/>
      </c>
      <c r="M99" s="19" t="b" cm="1">
        <f t="array" ref="M99">IsFilterable(A99)</f>
        <v>1</v>
      </c>
      <c r="N99" s="19" t="b" cm="1">
        <f t="array" ref="N99">IsEditable(A99)</f>
        <v>1</v>
      </c>
      <c r="O99" s="19" t="b" cm="1">
        <f t="array" ref="O99">IsBrowseable(A99)</f>
        <v>1</v>
      </c>
      <c r="P99" s="19" t="e" cm="1">
        <f t="array" ref="P99">IsListable(A99)</f>
        <v>#VALUE!</v>
      </c>
      <c r="Q99" s="19" t="b" cm="1">
        <f t="array" ref="Q99">IsEncrypted(A99)</f>
        <v>0</v>
      </c>
      <c r="R99" s="19" t="str" cm="1">
        <f t="array" ref="R99">IsInWords(A99)</f>
        <v/>
      </c>
      <c r="S99" s="19" t="b">
        <v>0</v>
      </c>
    </row>
    <row r="100" spans="1:19">
      <c r="A100" s="19">
        <f t="shared" si="4"/>
        <v>96</v>
      </c>
      <c r="B100" s="20" cm="1">
        <f t="array" ref="B100">GetTableId(B99,G99)</f>
        <v>15</v>
      </c>
      <c r="C100" s="19" t="str" cm="1">
        <f t="array" ref="C100">GetValue("Tbl","Alias",B100)</f>
        <v>Sys</v>
      </c>
      <c r="D100" s="19" cm="1">
        <f t="array" ref="D100">GetDomainId(C100,G100)</f>
        <v>11</v>
      </c>
      <c r="E100" s="19" t="str" cm="1">
        <f t="array" ref="E100">GetValue("Dmn","Name",D100)</f>
        <v>NVARCHAR(25)</v>
      </c>
      <c r="F100" s="19">
        <f t="shared" si="6"/>
        <v>20</v>
      </c>
      <c r="G100" s="19" t="str" cm="1">
        <f t="array" ref="G100">GetColumnName(C100,IF(B100=B99,G99,""))</f>
        <v>Name</v>
      </c>
      <c r="H100" s="19" t="str">
        <f t="shared" si="5"/>
        <v>Informe 'Nome'</v>
      </c>
      <c r="I100" s="19" t="str" cm="1">
        <f t="array" ref="I100">GetCaption(C100,G100)</f>
        <v>Nome</v>
      </c>
      <c r="J100" s="19" t="b">
        <v>1</v>
      </c>
      <c r="K100" s="19" t="b" cm="1">
        <f t="array" ref="K100">IsPrimaryKey(A100)</f>
        <v>0</v>
      </c>
      <c r="L100" s="19" t="str" cm="1">
        <f t="array" ref="L100">IsAutoincrement(A100)</f>
        <v/>
      </c>
      <c r="M100" s="19" t="b" cm="1">
        <f t="array" ref="M100">IsFilterable(A100)</f>
        <v>1</v>
      </c>
      <c r="N100" s="19" t="b" cm="1">
        <f t="array" ref="N100">IsEditable(A100)</f>
        <v>1</v>
      </c>
      <c r="O100" s="19" t="b" cm="1">
        <f t="array" ref="O100">IsBrowseable(A100)</f>
        <v>1</v>
      </c>
      <c r="P100" s="19" t="e" cm="1">
        <f t="array" ref="P100">IsListable(A100)</f>
        <v>#VALUE!</v>
      </c>
      <c r="Q100" s="19" t="b" cm="1">
        <f t="array" ref="Q100">IsEncrypted(A100)</f>
        <v>0</v>
      </c>
      <c r="R100" s="19" t="str" cm="1">
        <f t="array" ref="R100">IsInWords(A100)</f>
        <v/>
      </c>
      <c r="S100" s="19" t="b">
        <v>0</v>
      </c>
    </row>
    <row r="101" spans="1:19">
      <c r="A101" s="19">
        <f t="shared" si="4"/>
        <v>97</v>
      </c>
      <c r="B101" s="20" cm="1">
        <f t="array" ref="B101">GetTableId(B100,G100)</f>
        <v>15</v>
      </c>
      <c r="C101" s="19" t="str" cm="1">
        <f t="array" ref="C101">GetValue("Tbl","Alias",B101)</f>
        <v>Sys</v>
      </c>
      <c r="D101" s="19" cm="1">
        <f t="array" ref="D101">GetDomainId(C101,G101)</f>
        <v>12</v>
      </c>
      <c r="E101" s="19" t="str" cm="1">
        <f t="array" ref="E101">GetValue("Dmn","Name",D101)</f>
        <v>NVARCHAR(50)</v>
      </c>
      <c r="F101" s="19">
        <f t="shared" si="6"/>
        <v>25</v>
      </c>
      <c r="G101" s="19" t="str" cm="1">
        <f t="array" ref="G101">GetColumnName(C101,IF(B101=B100,G100,""))</f>
        <v>Description</v>
      </c>
      <c r="H101" s="19" t="str">
        <f t="shared" si="5"/>
        <v>Informe 'Descrição'</v>
      </c>
      <c r="I101" s="19" t="str" cm="1">
        <f t="array" ref="I101">GetCaption(C101,G101)</f>
        <v>Descrição</v>
      </c>
      <c r="J101" s="19" t="b">
        <v>1</v>
      </c>
      <c r="K101" s="19" t="b" cm="1">
        <f t="array" ref="K101">IsPrimaryKey(A101)</f>
        <v>0</v>
      </c>
      <c r="L101" s="19" t="str" cm="1">
        <f t="array" ref="L101">IsAutoincrement(A101)</f>
        <v/>
      </c>
      <c r="M101" s="19" t="b" cm="1">
        <f t="array" ref="M101">IsFilterable(A101)</f>
        <v>1</v>
      </c>
      <c r="N101" s="19" t="b" cm="1">
        <f t="array" ref="N101">IsEditable(A101)</f>
        <v>1</v>
      </c>
      <c r="O101" s="19" t="b" cm="1">
        <f t="array" ref="O101">IsBrowseable(A101)</f>
        <v>1</v>
      </c>
      <c r="P101" s="19" t="e" cm="1">
        <f t="array" ref="P101">IsListable(A101)</f>
        <v>#VALUE!</v>
      </c>
      <c r="Q101" s="19" t="b" cm="1">
        <f t="array" ref="Q101">IsEncrypted(A101)</f>
        <v>0</v>
      </c>
      <c r="R101" s="19" t="str" cm="1">
        <f t="array" ref="R101">IsInWords(A101)</f>
        <v/>
      </c>
      <c r="S101" s="19" t="b">
        <v>0</v>
      </c>
    </row>
    <row r="102" spans="1:19">
      <c r="A102" s="19">
        <f t="shared" si="4"/>
        <v>98</v>
      </c>
      <c r="B102" s="20" cm="1">
        <f t="array" ref="B102">GetTableId(B101,G101)</f>
        <v>15</v>
      </c>
      <c r="C102" s="19" t="str" cm="1">
        <f t="array" ref="C102">GetValue("Tbl","Alias",B102)</f>
        <v>Sys</v>
      </c>
      <c r="D102" s="19" cm="1">
        <f t="array" ref="D102">GetDomainId(C102,G102)</f>
        <v>4</v>
      </c>
      <c r="E102" s="19" t="str" cm="1">
        <f t="array" ref="E102">GetValue("Dmn","Name",D102)</f>
        <v>TinyInteger</v>
      </c>
      <c r="F102" s="19">
        <f t="shared" si="6"/>
        <v>30</v>
      </c>
      <c r="G102" s="19" t="str" cm="1">
        <f t="array" ref="G102">GetColumnName(C102,IF(B102=B101,G101,""))</f>
        <v>MaxRetryLogins</v>
      </c>
      <c r="H102" s="19" t="str">
        <f t="shared" si="5"/>
        <v>Informe 'Tentativas de Login'</v>
      </c>
      <c r="I102" s="19" t="str" cm="1">
        <f t="array" ref="I102">GetCaption(C102,G102)</f>
        <v>Tentativas de Login</v>
      </c>
      <c r="J102" s="19" t="b">
        <v>1</v>
      </c>
      <c r="K102" s="19" t="b" cm="1">
        <f t="array" ref="K102">IsPrimaryKey(A102)</f>
        <v>0</v>
      </c>
      <c r="L102" s="19" t="b" cm="1">
        <f t="array" ref="L102">IsAutoincrement(A102)</f>
        <v>0</v>
      </c>
      <c r="M102" s="19" t="b" cm="1">
        <f t="array" ref="M102">IsFilterable(A102)</f>
        <v>1</v>
      </c>
      <c r="N102" s="19" t="b" cm="1">
        <f t="array" ref="N102">IsEditable(A102)</f>
        <v>1</v>
      </c>
      <c r="O102" s="19" t="b" cm="1">
        <f t="array" ref="O102">IsBrowseable(A102)</f>
        <v>1</v>
      </c>
      <c r="P102" s="19" t="e" cm="1">
        <f t="array" ref="P102">IsListable(A102)</f>
        <v>#VALUE!</v>
      </c>
      <c r="Q102" s="19" t="str" cm="1">
        <f t="array" ref="Q102">IsEncrypted(A102)</f>
        <v/>
      </c>
      <c r="R102" s="19" t="b" cm="1">
        <f t="array" ref="R102">IsInWords(A102)</f>
        <v>0</v>
      </c>
      <c r="S102" s="19" t="b">
        <v>0</v>
      </c>
    </row>
    <row r="103" spans="1:19">
      <c r="A103" s="19">
        <f t="shared" si="4"/>
        <v>99</v>
      </c>
      <c r="B103" s="20" cm="1">
        <f t="array" ref="B103">GetTableId(B102,G102)</f>
        <v>15</v>
      </c>
      <c r="C103" s="19" t="str" cm="1">
        <f t="array" ref="C103">GetValue("Tbl","Alias",B103)</f>
        <v>Sys</v>
      </c>
      <c r="D103" s="19" cm="1">
        <f t="array" ref="D103">GetDomainId(C103,G103)</f>
        <v>5</v>
      </c>
      <c r="E103" s="19" t="str" cm="1">
        <f t="array" ref="E103">GetValue("Dmn","Name",D103)</f>
        <v>Boolean</v>
      </c>
      <c r="F103" s="19">
        <f t="shared" si="6"/>
        <v>35</v>
      </c>
      <c r="G103" s="19" t="str" cm="1">
        <f t="array" ref="G103">GetColumnName(C103,IF(B103=B102,G102,""))</f>
        <v>IsActive</v>
      </c>
      <c r="H103" s="19" t="str">
        <f t="shared" si="5"/>
        <v>Informe 'É Ativo'</v>
      </c>
      <c r="I103" s="19" t="str" cm="1">
        <f t="array" ref="I103">GetCaption(C103,G103)</f>
        <v>É Ativo</v>
      </c>
      <c r="J103" s="19" t="b">
        <v>1</v>
      </c>
      <c r="K103" s="19" t="b" cm="1">
        <f t="array" ref="K103">IsPrimaryKey(A103)</f>
        <v>0</v>
      </c>
      <c r="L103" s="19" t="str" cm="1">
        <f t="array" ref="L103">IsAutoincrement(A103)</f>
        <v/>
      </c>
      <c r="M103" s="19" t="b" cm="1">
        <f t="array" ref="M103">IsFilterable(A103)</f>
        <v>1</v>
      </c>
      <c r="N103" s="19" t="b" cm="1">
        <f t="array" ref="N103">IsEditable(A103)</f>
        <v>1</v>
      </c>
      <c r="O103" s="19" t="b" cm="1">
        <f t="array" ref="O103">IsBrowseable(A103)</f>
        <v>1</v>
      </c>
      <c r="P103" s="19" t="e" cm="1">
        <f t="array" ref="P103">IsListable(A103)</f>
        <v>#VALUE!</v>
      </c>
      <c r="Q103" s="19" t="str" cm="1">
        <f t="array" ref="Q103">IsEncrypted(A103)</f>
        <v/>
      </c>
      <c r="R103" s="19" t="str" cm="1">
        <f t="array" ref="R103">IsInWords(A103)</f>
        <v/>
      </c>
      <c r="S103" s="19" t="b">
        <v>0</v>
      </c>
    </row>
    <row r="104" spans="1:19">
      <c r="A104" s="19">
        <f t="shared" si="4"/>
        <v>100</v>
      </c>
      <c r="B104" s="20" cm="1">
        <f t="array" ref="B104">GetTableId(B103,G103)</f>
        <v>16</v>
      </c>
      <c r="C104" s="19" t="str" cm="1">
        <f t="array" ref="C104">GetValue("Tbl","Alias",B104)</f>
        <v>Mnu</v>
      </c>
      <c r="D104" s="19" cm="1">
        <f t="array" ref="D104">GetDomainId(C104,G104)</f>
        <v>55</v>
      </c>
      <c r="E104" s="19" t="str" cm="1">
        <f t="array" ref="E104">GetValue("Dmn","Name",D104)</f>
        <v>BigId</v>
      </c>
      <c r="F104" s="19">
        <f t="shared" si="6"/>
        <v>5</v>
      </c>
      <c r="G104" s="19" t="str" cm="1">
        <f t="array" ref="G104">GetColumnName(C104,IF(B104=B103,G103,""))</f>
        <v>Id</v>
      </c>
      <c r="H104" s="19" t="str">
        <f t="shared" si="5"/>
        <v>Informe 'Id'</v>
      </c>
      <c r="I104" s="19" t="str" cm="1">
        <f t="array" ref="I104">GetCaption(C104,G104)</f>
        <v>Id</v>
      </c>
      <c r="J104" s="19" t="b">
        <v>1</v>
      </c>
      <c r="K104" s="19" t="b" cm="1">
        <f t="array" ref="K104">IsPrimaryKey(A104)</f>
        <v>1</v>
      </c>
      <c r="L104" s="19" t="b" cm="1">
        <f t="array" ref="L104">IsAutoincrement(A104)</f>
        <v>1</v>
      </c>
      <c r="M104" s="19" t="str" cm="1">
        <f t="array" ref="M104">IsFilterable(A104)</f>
        <v/>
      </c>
      <c r="N104" s="19" t="str" cm="1">
        <f t="array" ref="N104">IsEditable(A104)</f>
        <v/>
      </c>
      <c r="O104" s="19" t="str" cm="1">
        <f t="array" ref="O104">IsBrowseable(A104)</f>
        <v/>
      </c>
      <c r="P104" s="19" t="e" cm="1">
        <f t="array" ref="P104">IsListable(A104)</f>
        <v>#VALUE!</v>
      </c>
      <c r="Q104" s="19" t="str" cm="1">
        <f t="array" ref="Q104">IsEncrypted(A104)</f>
        <v/>
      </c>
      <c r="R104" s="19" t="str" cm="1">
        <f t="array" ref="R104">IsInWords(A104)</f>
        <v/>
      </c>
      <c r="S104" s="19" t="b">
        <v>0</v>
      </c>
    </row>
    <row r="105" spans="1:19">
      <c r="A105" s="19">
        <f t="shared" si="4"/>
        <v>101</v>
      </c>
      <c r="B105" s="20" cm="1">
        <f t="array" ref="B105">GetTableId(B104,G104)</f>
        <v>16</v>
      </c>
      <c r="C105" s="19" t="str" cm="1">
        <f t="array" ref="C105">GetValue("Tbl","Alias",B105)</f>
        <v>Mnu</v>
      </c>
      <c r="D105" s="19" cm="1">
        <f t="array" ref="D105">GetDomainId(C105,G105)</f>
        <v>55</v>
      </c>
      <c r="E105" s="19" t="str" cm="1">
        <f t="array" ref="E105">GetValue("Dmn","Name",D105)</f>
        <v>BigId</v>
      </c>
      <c r="F105" s="19">
        <f t="shared" si="6"/>
        <v>10</v>
      </c>
      <c r="G105" s="19" t="str" cm="1">
        <f t="array" ref="G105">GetColumnName(C105,IF(B105=B104,G104,""))</f>
        <v>SystemId</v>
      </c>
      <c r="H105" s="19" t="str">
        <f t="shared" si="5"/>
        <v>Informe 'Sistema'</v>
      </c>
      <c r="I105" s="19" t="str" cm="1">
        <f t="array" ref="I105">GetCaption(C105,G105)</f>
        <v>Sistema</v>
      </c>
      <c r="J105" s="19" t="b">
        <v>1</v>
      </c>
      <c r="K105" s="19" t="b" cm="1">
        <f t="array" ref="K105">IsPrimaryKey(A105)</f>
        <v>0</v>
      </c>
      <c r="L105" s="19" t="b" cm="1">
        <f t="array" ref="L105">IsAutoincrement(A105)</f>
        <v>0</v>
      </c>
      <c r="M105" s="19" t="b" cm="1">
        <f t="array" ref="M105">IsFilterable(A105)</f>
        <v>1</v>
      </c>
      <c r="N105" s="19" t="b" cm="1">
        <f t="array" ref="N105">IsEditable(A105)</f>
        <v>1</v>
      </c>
      <c r="O105" s="19" t="b" cm="1">
        <f t="array" ref="O105">IsBrowseable(A105)</f>
        <v>1</v>
      </c>
      <c r="P105" s="19" t="e" cm="1">
        <f t="array" ref="P105">IsListable(A105)</f>
        <v>#VALUE!</v>
      </c>
      <c r="Q105" s="19" t="str" cm="1">
        <f t="array" ref="Q105">IsEncrypted(A105)</f>
        <v/>
      </c>
      <c r="R105" s="19" t="b" cm="1">
        <f t="array" ref="R105">IsInWords(A105)</f>
        <v>0</v>
      </c>
      <c r="S105" s="19" t="b">
        <v>0</v>
      </c>
    </row>
    <row r="106" spans="1:19">
      <c r="A106" s="17">
        <f t="shared" si="4"/>
        <v>102</v>
      </c>
      <c r="B106" s="18" cm="1">
        <f t="array" ref="B106">GetTableId(B105,G105)</f>
        <v>16</v>
      </c>
      <c r="C106" s="17" t="str" cm="1">
        <f t="array" ref="C106">GetValue("Tbl","Alias",B106)</f>
        <v>Mnu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6"/>
        <v>15</v>
      </c>
      <c r="G106" s="17" t="str" cm="1">
        <f t="array" ref="G106">GetColumnName(C106,IF(B106=B105,G105,""))</f>
        <v>ParentMenuId</v>
      </c>
      <c r="H106" s="17" t="str">
        <f t="shared" si="5"/>
        <v>Informe 'Menu-Pai'</v>
      </c>
      <c r="I106" s="17" t="str" cm="1">
        <f t="array" ref="I106">GetCaption(C106,G106)</f>
        <v>Menu-Pai</v>
      </c>
      <c r="J106" s="17" t="b">
        <v>1</v>
      </c>
      <c r="K106" s="17" t="b" cm="1">
        <f t="array" ref="K106">IsPrimaryKey(A106)</f>
        <v>0</v>
      </c>
      <c r="L106" s="17" t="b" cm="1">
        <f t="array" ref="L106">IsAutoincrement(A106)</f>
        <v>0</v>
      </c>
      <c r="M106" s="17" t="b" cm="1">
        <f t="array" ref="M106">IsFilterable(A106)</f>
        <v>1</v>
      </c>
      <c r="N106" s="17" t="b" cm="1">
        <f t="array" ref="N106">IsEditable(A106)</f>
        <v>1</v>
      </c>
      <c r="O106" s="17" t="b" cm="1">
        <f t="array" ref="O106">IsBrowseable(A106)</f>
        <v>1</v>
      </c>
      <c r="P106" s="17" t="e" cm="1">
        <f t="array" ref="P106">IsListable(A106)</f>
        <v>#VALUE!</v>
      </c>
      <c r="Q106" s="17" t="str" cm="1">
        <f t="array" ref="Q106">IsEncrypted(A106)</f>
        <v/>
      </c>
      <c r="R106" s="17" t="b" cm="1">
        <f t="array" ref="R106">IsInWords(A106)</f>
        <v>0</v>
      </c>
      <c r="S106" s="17" t="b">
        <v>0</v>
      </c>
    </row>
    <row r="107" spans="1:19">
      <c r="A107" s="17">
        <f t="shared" si="4"/>
        <v>103</v>
      </c>
      <c r="B107" s="18" cm="1">
        <f t="array" ref="B107">GetTableId(B106,G106)</f>
        <v>16</v>
      </c>
      <c r="C107" s="17" t="str" cm="1">
        <f t="array" ref="C107">GetValue("Tbl","Alias",B107)</f>
        <v>Mnu</v>
      </c>
      <c r="D107" s="17" cm="1">
        <f t="array" ref="D107">GetDomainId(C107,G107)</f>
        <v>59</v>
      </c>
      <c r="E107" s="17" t="str" cm="1">
        <f t="array" ref="E107">GetValue("Dmn","Name",D107)</f>
        <v>SEQUENCE</v>
      </c>
      <c r="F107" s="17">
        <f t="shared" si="6"/>
        <v>20</v>
      </c>
      <c r="G107" s="17" t="str" cm="1">
        <f t="array" ref="G107">GetColumnName(C107,IF(B107=B106,G106,""))</f>
        <v>Sequence</v>
      </c>
      <c r="H107" s="17" t="str">
        <f t="shared" si="5"/>
        <v>Informe 'Sequência'</v>
      </c>
      <c r="I107" s="17" t="str" cm="1">
        <f t="array" ref="I107">GetCaption(C107,G107)</f>
        <v>Sequência</v>
      </c>
      <c r="J107" s="17" t="b">
        <v>1</v>
      </c>
      <c r="K107" s="17" t="b" cm="1">
        <f t="array" ref="K107">IsPrimaryKey(A107)</f>
        <v>0</v>
      </c>
      <c r="L107" s="17" t="b" cm="1">
        <f t="array" ref="L107">IsAutoincrement(A107)</f>
        <v>0</v>
      </c>
      <c r="M107" s="17" t="b" cm="1">
        <f t="array" ref="M107">IsFilterable(A107)</f>
        <v>1</v>
      </c>
      <c r="N107" s="17" t="b" cm="1">
        <f t="array" ref="N107">IsEditable(A107)</f>
        <v>1</v>
      </c>
      <c r="O107" s="17" t="b" cm="1">
        <f t="array" ref="O107">IsBrowseable(A107)</f>
        <v>1</v>
      </c>
      <c r="P107" s="17" t="e" cm="1">
        <f t="array" ref="P107">IsListable(A107)</f>
        <v>#VALUE!</v>
      </c>
      <c r="Q107" s="17" t="str" cm="1">
        <f t="array" ref="Q107">IsEncrypted(A107)</f>
        <v/>
      </c>
      <c r="R107" s="17" t="b" cm="1">
        <f t="array" ref="R107">IsInWords(A107)</f>
        <v>0</v>
      </c>
      <c r="S107" s="17" t="b">
        <v>0</v>
      </c>
    </row>
    <row r="108" spans="1:19">
      <c r="A108" s="17">
        <f t="shared" si="4"/>
        <v>104</v>
      </c>
      <c r="B108" s="18" cm="1">
        <f t="array" ref="B108">GetTableId(B107,G107)</f>
        <v>16</v>
      </c>
      <c r="C108" s="17" t="str" cm="1">
        <f t="array" ref="C108">GetValue("Tbl","Alias",B108)</f>
        <v>Mnu</v>
      </c>
      <c r="D108" s="17" cm="1">
        <f t="array" ref="D108">GetDomainId(C108,G108)</f>
        <v>10</v>
      </c>
      <c r="E108" s="17" t="str" cm="1">
        <f t="array" ref="E108">GetValue("Dmn","Name",D108)</f>
        <v>NVARCHAR(20)</v>
      </c>
      <c r="F108" s="17">
        <f t="shared" si="6"/>
        <v>25</v>
      </c>
      <c r="G108" s="17" t="str" cm="1">
        <f t="array" ref="G108">GetColumnName(C108,IF(B108=B107,G107,""))</f>
        <v>Option</v>
      </c>
      <c r="H108" s="17" t="str">
        <f t="shared" si="5"/>
        <v>Informe 'Opção'</v>
      </c>
      <c r="I108" s="17" t="str" cm="1">
        <f t="array" ref="I108">GetCaption(C108,G108)</f>
        <v>Opção</v>
      </c>
      <c r="J108" s="17" t="b">
        <v>1</v>
      </c>
      <c r="K108" s="17" t="b" cm="1">
        <f t="array" ref="K108">IsPrimaryKey(A108)</f>
        <v>0</v>
      </c>
      <c r="L108" s="17" t="str" cm="1">
        <f t="array" ref="L108">IsAutoincrement(A108)</f>
        <v/>
      </c>
      <c r="M108" s="17" t="b" cm="1">
        <f t="array" ref="M108">IsFilterable(A108)</f>
        <v>1</v>
      </c>
      <c r="N108" s="17" t="b" cm="1">
        <f t="array" ref="N108">IsEditable(A108)</f>
        <v>1</v>
      </c>
      <c r="O108" s="17" t="b" cm="1">
        <f t="array" ref="O108">IsBrowseable(A108)</f>
        <v>1</v>
      </c>
      <c r="P108" s="17" t="e" cm="1">
        <f t="array" ref="P108">IsListable(A108)</f>
        <v>#VALUE!</v>
      </c>
      <c r="Q108" s="17" t="b" cm="1">
        <f t="array" ref="Q108">IsEncrypted(A108)</f>
        <v>0</v>
      </c>
      <c r="R108" s="17" t="str" cm="1">
        <f t="array" ref="R108">IsInWords(A108)</f>
        <v/>
      </c>
      <c r="S108" s="17" t="b">
        <v>0</v>
      </c>
    </row>
    <row r="109" spans="1:19">
      <c r="A109" s="17">
        <f t="shared" si="4"/>
        <v>105</v>
      </c>
      <c r="B109" s="18" cm="1">
        <f t="array" ref="B109">GetTableId(B108,G108)</f>
        <v>16</v>
      </c>
      <c r="C109" s="17" t="str" cm="1">
        <f t="array" ref="C109">GetValue("Tbl","Alias",B109)</f>
        <v>Mnu</v>
      </c>
      <c r="D109" s="17" cm="1">
        <f t="array" ref="D109">GetDomainId(C109,G109)</f>
        <v>12</v>
      </c>
      <c r="E109" s="17" t="str" cm="1">
        <f t="array" ref="E109">GetValue("Dmn","Name",D109)</f>
        <v>NVARCHAR(50)</v>
      </c>
      <c r="F109" s="17">
        <f t="shared" si="6"/>
        <v>30</v>
      </c>
      <c r="G109" s="17" t="str" cm="1">
        <f t="array" ref="G109">GetColumnName(C109,IF(B109=B108,G108,""))</f>
        <v>Message</v>
      </c>
      <c r="H109" s="17" t="str">
        <f t="shared" si="5"/>
        <v>Informe 'Mensagem'</v>
      </c>
      <c r="I109" s="17" t="str" cm="1">
        <f t="array" ref="I109">GetCaption(C109,G109)</f>
        <v>Mensagem</v>
      </c>
      <c r="J109" s="17" t="b">
        <v>1</v>
      </c>
      <c r="K109" s="17" t="b" cm="1">
        <f t="array" ref="K109">IsPrimaryKey(A109)</f>
        <v>0</v>
      </c>
      <c r="L109" s="17" t="str" cm="1">
        <f t="array" ref="L109">IsAutoincrement(A109)</f>
        <v/>
      </c>
      <c r="M109" s="17" t="b" cm="1">
        <f t="array" ref="M109">IsFilterable(A109)</f>
        <v>1</v>
      </c>
      <c r="N109" s="17" t="b" cm="1">
        <f t="array" ref="N109">IsEditable(A109)</f>
        <v>1</v>
      </c>
      <c r="O109" s="17" t="b" cm="1">
        <f t="array" ref="O109">IsBrowseable(A109)</f>
        <v>1</v>
      </c>
      <c r="P109" s="17" t="e" cm="1">
        <f t="array" ref="P109">IsListable(A109)</f>
        <v>#VALUE!</v>
      </c>
      <c r="Q109" s="17" t="b" cm="1">
        <f t="array" ref="Q109">IsEncrypted(A109)</f>
        <v>0</v>
      </c>
      <c r="R109" s="17" t="str" cm="1">
        <f t="array" ref="R109">IsInWords(A109)</f>
        <v/>
      </c>
      <c r="S109" s="17" t="b">
        <v>0</v>
      </c>
    </row>
    <row r="110" spans="1:19">
      <c r="A110" s="17">
        <f t="shared" si="4"/>
        <v>106</v>
      </c>
      <c r="B110" s="18" cm="1">
        <f t="array" ref="B110">GetTableId(B109,G109)</f>
        <v>16</v>
      </c>
      <c r="C110" s="17" t="str" cm="1">
        <f t="array" ref="C110">GetValue("Tbl","Alias",B110)</f>
        <v>Mnu</v>
      </c>
      <c r="D110" s="17" cm="1">
        <f t="array" ref="D110">GetDomainId(C110,G110)</f>
        <v>12</v>
      </c>
      <c r="E110" s="17" t="str" cm="1">
        <f t="array" ref="E110">GetValue("Dmn","Name",D110)</f>
        <v>NVARCHAR(50)</v>
      </c>
      <c r="F110" s="17">
        <f t="shared" si="6"/>
        <v>35</v>
      </c>
      <c r="G110" s="17" t="str" cm="1">
        <f t="array" ref="G110">GetColumnName(C110,IF(B110=B109,G109,""))</f>
        <v>Action</v>
      </c>
      <c r="H110" s="17" t="str">
        <f t="shared" si="5"/>
        <v>Informe 'Ação'</v>
      </c>
      <c r="I110" s="17" t="str" cm="1">
        <f t="array" ref="I110">GetCaption(C110,G110)</f>
        <v>Ação</v>
      </c>
      <c r="J110" s="17" t="b">
        <v>1</v>
      </c>
      <c r="K110" s="17" t="b" cm="1">
        <f t="array" ref="K110">IsPrimaryKey(A110)</f>
        <v>0</v>
      </c>
      <c r="L110" s="17" t="str" cm="1">
        <f t="array" ref="L110">IsAutoincrement(A110)</f>
        <v/>
      </c>
      <c r="M110" s="17" t="b" cm="1">
        <f t="array" ref="M110">IsFilterable(A110)</f>
        <v>1</v>
      </c>
      <c r="N110" s="17" t="b" cm="1">
        <f t="array" ref="N110">IsEditable(A110)</f>
        <v>1</v>
      </c>
      <c r="O110" s="17" t="b" cm="1">
        <f t="array" ref="O110">IsBrowseable(A110)</f>
        <v>1</v>
      </c>
      <c r="P110" s="17" t="e" cm="1">
        <f t="array" ref="P110">IsListable(A110)</f>
        <v>#VALUE!</v>
      </c>
      <c r="Q110" s="17" t="b" cm="1">
        <f t="array" ref="Q110">IsEncrypted(A110)</f>
        <v>0</v>
      </c>
      <c r="R110" s="17" t="str" cm="1">
        <f t="array" ref="R110">IsInWords(A110)</f>
        <v/>
      </c>
      <c r="S110" s="17" t="b">
        <v>0</v>
      </c>
    </row>
    <row r="111" spans="1:19">
      <c r="A111" s="17">
        <f t="shared" si="4"/>
        <v>107</v>
      </c>
      <c r="B111" s="18" cm="1">
        <f t="array" ref="B111">GetTableId(B110,G110)</f>
        <v>16</v>
      </c>
      <c r="C111" s="17" t="str" cm="1">
        <f t="array" ref="C111">GetValue("Tbl","Alias",B111)</f>
        <v>Mnu</v>
      </c>
      <c r="D111" s="17" cm="1">
        <f t="array" ref="D111">GetDomainId(C111,G111)</f>
        <v>5</v>
      </c>
      <c r="E111" s="17" t="str" cm="1">
        <f t="array" ref="E111">GetValue("Dmn","Name",D111)</f>
        <v>Boolean</v>
      </c>
      <c r="F111" s="17">
        <f t="shared" si="6"/>
        <v>40</v>
      </c>
      <c r="G111" s="17" t="str" cm="1">
        <f t="array" ref="G111">GetColumnName(C111,IF(B111=B110,G110,""))</f>
        <v>IsActive</v>
      </c>
      <c r="H111" s="17" t="str">
        <f t="shared" si="5"/>
        <v>Informe 'É Ativo'</v>
      </c>
      <c r="I111" s="17" t="str" cm="1">
        <f t="array" ref="I111">GetCaption(C111,G111)</f>
        <v>É Ativo</v>
      </c>
      <c r="J111" s="17" t="b">
        <v>1</v>
      </c>
      <c r="K111" s="17" t="b" cm="1">
        <f t="array" ref="K111">IsPrimaryKey(A111)</f>
        <v>0</v>
      </c>
      <c r="L111" s="17" t="str" cm="1">
        <f t="array" ref="L111">IsAutoincrement(A111)</f>
        <v/>
      </c>
      <c r="M111" s="17" t="b" cm="1">
        <f t="array" ref="M111">IsFilterable(A111)</f>
        <v>1</v>
      </c>
      <c r="N111" s="17" t="b" cm="1">
        <f t="array" ref="N111">IsEditable(A111)</f>
        <v>1</v>
      </c>
      <c r="O111" s="17" t="b" cm="1">
        <f t="array" ref="O111">IsBrowseable(A111)</f>
        <v>1</v>
      </c>
      <c r="P111" s="17" t="e" cm="1">
        <f t="array" ref="P111">IsListable(A111)</f>
        <v>#VALUE!</v>
      </c>
      <c r="Q111" s="17" t="str" cm="1">
        <f t="array" ref="Q111">IsEncrypted(A111)</f>
        <v/>
      </c>
      <c r="R111" s="17" t="str" cm="1">
        <f t="array" ref="R111">IsInWords(A111)</f>
        <v/>
      </c>
      <c r="S111" s="17" t="b">
        <v>0</v>
      </c>
    </row>
    <row r="112" spans="1:19">
      <c r="A112" s="17">
        <f t="shared" si="4"/>
        <v>108</v>
      </c>
      <c r="B112" s="18" cm="1">
        <f t="array" ref="B112">GetTableId(B111,G111)</f>
        <v>17</v>
      </c>
      <c r="C112" s="17" t="str" cm="1">
        <f t="array" ref="C112">GetValue("Tbl","Alias",B112)</f>
        <v>Tbl</v>
      </c>
      <c r="D112" s="17" cm="1">
        <f t="array" ref="D112">GetDomainId(C112,G112)</f>
        <v>55</v>
      </c>
      <c r="E112" s="17" t="str" cm="1">
        <f t="array" ref="E112">GetValue("Dmn","Name",D112)</f>
        <v>BigId</v>
      </c>
      <c r="F112" s="17">
        <f t="shared" si="6"/>
        <v>5</v>
      </c>
      <c r="G112" s="17" t="str" cm="1">
        <f t="array" ref="G112">GetColumnName(C112,IF(B112=B111,G111,""))</f>
        <v>Id</v>
      </c>
      <c r="H112" s="17" t="str">
        <f t="shared" si="5"/>
        <v>Informe 'Id'</v>
      </c>
      <c r="I112" s="17" t="str" cm="1">
        <f t="array" ref="I112">GetCaption(C112,G112)</f>
        <v>Id</v>
      </c>
      <c r="J112" s="17" t="b">
        <v>1</v>
      </c>
      <c r="K112" s="17" t="b" cm="1">
        <f t="array" ref="K112">IsPrimaryKey(A112)</f>
        <v>1</v>
      </c>
      <c r="L112" s="17" t="b" cm="1">
        <f t="array" ref="L112">IsAutoincrement(A112)</f>
        <v>1</v>
      </c>
      <c r="M112" s="17" t="str" cm="1">
        <f t="array" ref="M112">IsFilterable(A112)</f>
        <v/>
      </c>
      <c r="N112" s="17" t="str" cm="1">
        <f t="array" ref="N112">IsEditable(A112)</f>
        <v/>
      </c>
      <c r="O112" s="17" t="str" cm="1">
        <f t="array" ref="O112">IsBrowseable(A112)</f>
        <v/>
      </c>
      <c r="P112" s="17" t="e" cm="1">
        <f t="array" ref="P112">IsListable(A112)</f>
        <v>#VALUE!</v>
      </c>
      <c r="Q112" s="17" t="str" cm="1">
        <f t="array" ref="Q112">IsEncrypted(A112)</f>
        <v/>
      </c>
      <c r="R112" s="17" t="str" cm="1">
        <f t="array" ref="R112">IsInWords(A112)</f>
        <v/>
      </c>
      <c r="S112" s="17" t="b">
        <v>0</v>
      </c>
    </row>
    <row r="113" spans="1:19">
      <c r="A113" s="17">
        <f t="shared" si="4"/>
        <v>109</v>
      </c>
      <c r="B113" s="18" cm="1">
        <f t="array" ref="B113">GetTableId(B112,G112)</f>
        <v>17</v>
      </c>
      <c r="C113" s="17" t="str" cm="1">
        <f t="array" ref="C113">GetValue("Tbl","Alias",B113)</f>
        <v>Tbl</v>
      </c>
      <c r="D113" s="17" cm="1">
        <f t="array" ref="D113">GetDomainId(C113,G113)</f>
        <v>55</v>
      </c>
      <c r="E113" s="17" t="str" cm="1">
        <f t="array" ref="E113">GetValue("Dmn","Name",D113)</f>
        <v>BigId</v>
      </c>
      <c r="F113" s="17">
        <f t="shared" si="6"/>
        <v>10</v>
      </c>
      <c r="G113" s="17" t="str" cm="1">
        <f t="array" ref="G113">GetColumnName(C113,IF(B113=B112,G112,""))</f>
        <v>DatabaseId</v>
      </c>
      <c r="H113" s="17" t="str">
        <f t="shared" si="5"/>
        <v>Informe 'Banco-de-Dados'</v>
      </c>
      <c r="I113" s="17" t="str" cm="1">
        <f t="array" ref="I113">GetCaption(C113,G113)</f>
        <v>Banco-de-Dados</v>
      </c>
      <c r="J113" s="17" t="b">
        <v>1</v>
      </c>
      <c r="K113" s="17" t="b" cm="1">
        <f t="array" ref="K113">IsPrimaryKey(A113)</f>
        <v>0</v>
      </c>
      <c r="L113" s="17" t="b" cm="1">
        <f t="array" ref="L113">IsAutoincrement(A113)</f>
        <v>0</v>
      </c>
      <c r="M113" s="17" t="b" cm="1">
        <f t="array" ref="M113">IsFilterable(A113)</f>
        <v>1</v>
      </c>
      <c r="N113" s="17" t="b" cm="1">
        <f t="array" ref="N113">IsEditable(A113)</f>
        <v>1</v>
      </c>
      <c r="O113" s="17" t="b" cm="1">
        <f t="array" ref="O113">IsBrowseable(A113)</f>
        <v>1</v>
      </c>
      <c r="P113" s="17" t="e" cm="1">
        <f t="array" ref="P113">IsListable(A113)</f>
        <v>#VALUE!</v>
      </c>
      <c r="Q113" s="17" t="str" cm="1">
        <f t="array" ref="Q113">IsEncrypted(A113)</f>
        <v/>
      </c>
      <c r="R113" s="17" t="b" cm="1">
        <f t="array" ref="R113">IsInWords(A113)</f>
        <v>0</v>
      </c>
      <c r="S113" s="17" t="b">
        <v>0</v>
      </c>
    </row>
    <row r="114" spans="1:19">
      <c r="A114" s="19">
        <f t="shared" si="4"/>
        <v>110</v>
      </c>
      <c r="B114" s="20" cm="1">
        <f t="array" ref="B114">GetTableId(B113,G113)</f>
        <v>17</v>
      </c>
      <c r="C114" s="19" t="str" cm="1">
        <f t="array" ref="C114">GetValue("Tbl","Alias",B114)</f>
        <v>Tbl</v>
      </c>
      <c r="D114" s="19" cm="1">
        <f t="array" ref="D114">GetDomainId(C114,G114)</f>
        <v>11</v>
      </c>
      <c r="E114" s="19" t="str" cm="1">
        <f t="array" ref="E114">GetValue("Dmn","Name",D114)</f>
        <v>NVARCHAR(25)</v>
      </c>
      <c r="F114" s="19">
        <f t="shared" si="6"/>
        <v>15</v>
      </c>
      <c r="G114" s="19" t="str" cm="1">
        <f t="array" ref="G114">GetColumnName(C114,IF(B114=B113,G113,""))</f>
        <v>Name</v>
      </c>
      <c r="H114" s="19" t="str">
        <f t="shared" si="5"/>
        <v>Informe 'Nome'</v>
      </c>
      <c r="I114" s="19" t="str" cm="1">
        <f t="array" ref="I114">GetCaption(C114,G114)</f>
        <v>Nome</v>
      </c>
      <c r="J114" s="19" t="b">
        <v>0</v>
      </c>
      <c r="K114" s="19" t="b" cm="1">
        <f t="array" ref="K114">IsPrimaryKey(A114)</f>
        <v>0</v>
      </c>
      <c r="L114" s="19" t="str" cm="1">
        <f t="array" ref="L114">IsAutoincrement(A114)</f>
        <v/>
      </c>
      <c r="M114" s="19" t="b" cm="1">
        <f t="array" ref="M114">IsFilterable(A114)</f>
        <v>1</v>
      </c>
      <c r="N114" s="19" t="b" cm="1">
        <f t="array" ref="N114">IsEditable(A114)</f>
        <v>1</v>
      </c>
      <c r="O114" s="19" t="b" cm="1">
        <f t="array" ref="O114">IsBrowseable(A114)</f>
        <v>1</v>
      </c>
      <c r="P114" s="19" t="e" cm="1">
        <f t="array" ref="P114">IsListable(A114)</f>
        <v>#VALUE!</v>
      </c>
      <c r="Q114" s="19" t="b" cm="1">
        <f t="array" ref="Q114">IsEncrypted(A114)</f>
        <v>0</v>
      </c>
      <c r="R114" s="19" t="str" cm="1">
        <f t="array" ref="R114">IsInWords(A114)</f>
        <v/>
      </c>
      <c r="S114" s="19" t="b">
        <v>0</v>
      </c>
    </row>
    <row r="115" spans="1:19">
      <c r="A115" s="19">
        <f t="shared" si="4"/>
        <v>111</v>
      </c>
      <c r="B115" s="20" cm="1">
        <f t="array" ref="B115">GetTableId(B114,G114)</f>
        <v>17</v>
      </c>
      <c r="C115" s="19" t="str" cm="1">
        <f t="array" ref="C115">GetValue("Tbl","Alias",B115)</f>
        <v>Tbl</v>
      </c>
      <c r="D115" s="19" cm="1">
        <f t="array" ref="D115">GetDomainId(C115,G115)</f>
        <v>10</v>
      </c>
      <c r="E115" s="19" t="str" cm="1">
        <f t="array" ref="E115">GetValue("Dmn","Name",D115)</f>
        <v>NVARCHAR(20)</v>
      </c>
      <c r="F115" s="19">
        <f t="shared" si="6"/>
        <v>20</v>
      </c>
      <c r="G115" s="19" t="str" cm="1">
        <f t="array" ref="G115">GetColumnName(C115,IF(B115=B114,G114,""))</f>
        <v>Alias</v>
      </c>
      <c r="H115" s="19" t="str">
        <f t="shared" si="5"/>
        <v>Informe 'Apelido'</v>
      </c>
      <c r="I115" s="19" t="str" cm="1">
        <f t="array" ref="I115">GetCaption(C115,G115)</f>
        <v>Apelido</v>
      </c>
      <c r="J115" s="19" t="b">
        <v>0</v>
      </c>
      <c r="K115" s="19" t="b" cm="1">
        <f t="array" ref="K115">IsPrimaryKey(A115)</f>
        <v>0</v>
      </c>
      <c r="L115" s="19" t="str" cm="1">
        <f t="array" ref="L115">IsAutoincrement(A115)</f>
        <v/>
      </c>
      <c r="M115" s="19" t="b" cm="1">
        <f t="array" ref="M115">IsFilterable(A115)</f>
        <v>1</v>
      </c>
      <c r="N115" s="19" t="b" cm="1">
        <f t="array" ref="N115">IsEditable(A115)</f>
        <v>1</v>
      </c>
      <c r="O115" s="19" t="b" cm="1">
        <f t="array" ref="O115">IsBrowseable(A115)</f>
        <v>1</v>
      </c>
      <c r="P115" s="19" t="e" cm="1">
        <f t="array" ref="P115">IsListable(A115)</f>
        <v>#VALUE!</v>
      </c>
      <c r="Q115" s="19" t="b" cm="1">
        <f t="array" ref="Q115">IsEncrypted(A115)</f>
        <v>0</v>
      </c>
      <c r="R115" s="19" t="str" cm="1">
        <f t="array" ref="R115">IsInWords(A115)</f>
        <v/>
      </c>
      <c r="S115" s="19" t="b">
        <v>0</v>
      </c>
    </row>
    <row r="116" spans="1:19">
      <c r="A116" s="19">
        <f t="shared" si="4"/>
        <v>112</v>
      </c>
      <c r="B116" s="20" cm="1">
        <f t="array" ref="B116">GetTableId(B115,G115)</f>
        <v>17</v>
      </c>
      <c r="C116" s="19" t="str" cm="1">
        <f t="array" ref="C116">GetValue("Tbl","Alias",B116)</f>
        <v>Tbl</v>
      </c>
      <c r="D116" s="19" cm="1">
        <f t="array" ref="D116">GetDomainId(C116,G116)</f>
        <v>12</v>
      </c>
      <c r="E116" s="19" t="str" cm="1">
        <f t="array" ref="E116">GetValue("Dmn","Name",D116)</f>
        <v>NVARCHAR(50)</v>
      </c>
      <c r="F116" s="19">
        <f t="shared" si="6"/>
        <v>25</v>
      </c>
      <c r="G116" s="19" t="str" cm="1">
        <f t="array" ref="G116">GetColumnName(C116,IF(B116=B115,G115,""))</f>
        <v>Description</v>
      </c>
      <c r="H116" s="19" t="str">
        <f t="shared" si="5"/>
        <v>Informe 'Descrição'</v>
      </c>
      <c r="I116" s="19" t="str" cm="1">
        <f t="array" ref="I116">GetCaption(C116,G116)</f>
        <v>Descrição</v>
      </c>
      <c r="J116" s="19" t="b">
        <v>0</v>
      </c>
      <c r="K116" s="19" t="b" cm="1">
        <f t="array" ref="K116">IsPrimaryKey(A116)</f>
        <v>0</v>
      </c>
      <c r="L116" s="19" t="str" cm="1">
        <f t="array" ref="L116">IsAutoincrement(A116)</f>
        <v/>
      </c>
      <c r="M116" s="19" t="b" cm="1">
        <f t="array" ref="M116">IsFilterable(A116)</f>
        <v>1</v>
      </c>
      <c r="N116" s="19" t="b" cm="1">
        <f t="array" ref="N116">IsEditable(A116)</f>
        <v>1</v>
      </c>
      <c r="O116" s="19" t="b" cm="1">
        <f t="array" ref="O116">IsBrowseable(A116)</f>
        <v>1</v>
      </c>
      <c r="P116" s="19" t="e" cm="1">
        <f t="array" ref="P116">IsListable(A116)</f>
        <v>#VALUE!</v>
      </c>
      <c r="Q116" s="19" t="b" cm="1">
        <f t="array" ref="Q116">IsEncrypted(A116)</f>
        <v>0</v>
      </c>
      <c r="R116" s="19" t="str" cm="1">
        <f t="array" ref="R116">IsInWords(A116)</f>
        <v/>
      </c>
      <c r="S116" s="19" t="b">
        <v>0</v>
      </c>
    </row>
    <row r="117" spans="1:19">
      <c r="A117" s="19">
        <f t="shared" si="4"/>
        <v>113</v>
      </c>
      <c r="B117" s="20" cm="1">
        <f t="array" ref="B117">GetTableId(B116,G116)</f>
        <v>17</v>
      </c>
      <c r="C117" s="19" t="str" cm="1">
        <f t="array" ref="C117">GetValue("Tbl","Alias",B117)</f>
        <v>Tbl</v>
      </c>
      <c r="D117" s="19" cm="1">
        <f t="array" ref="D117">GetDomainId(C117,G117)</f>
        <v>5</v>
      </c>
      <c r="E117" s="19" t="str" cm="1">
        <f t="array" ref="E117">GetValue("Dmn","Name",D117)</f>
        <v>Boolean</v>
      </c>
      <c r="F117" s="19">
        <f t="shared" si="6"/>
        <v>30</v>
      </c>
      <c r="G117" s="19" t="str" cm="1">
        <f t="array" ref="G117">GetColumnName(C117,IF(B117=B116,G116,""))</f>
        <v>IsMergeableCrudex</v>
      </c>
      <c r="H117" s="19" t="str">
        <f t="shared" si="5"/>
        <v>Informe 'Inclui CRUDEX?'</v>
      </c>
      <c r="I117" s="19" t="str" cm="1">
        <f t="array" ref="I117">GetCaption(C117,G117)</f>
        <v>Inclui CRUDEX?</v>
      </c>
      <c r="J117" s="19" t="b">
        <v>0</v>
      </c>
      <c r="K117" s="19" t="b" cm="1">
        <f t="array" ref="K117">IsPrimaryKey(A117)</f>
        <v>0</v>
      </c>
      <c r="L117" s="19" t="str" cm="1">
        <f t="array" ref="L117">IsAutoincrement(A117)</f>
        <v/>
      </c>
      <c r="M117" s="19" t="b" cm="1">
        <f t="array" ref="M117">IsFilterable(A117)</f>
        <v>1</v>
      </c>
      <c r="N117" s="19" t="b" cm="1">
        <f t="array" ref="N117">IsEditable(A117)</f>
        <v>1</v>
      </c>
      <c r="O117" s="19" t="b" cm="1">
        <f t="array" ref="O117">IsBrowseable(A117)</f>
        <v>1</v>
      </c>
      <c r="P117" s="19" t="e" cm="1">
        <f t="array" ref="P117">IsListable(A117)</f>
        <v>#VALUE!</v>
      </c>
      <c r="Q117" s="19" t="str" cm="1">
        <f t="array" ref="Q117">IsEncrypted(A117)</f>
        <v/>
      </c>
      <c r="R117" s="19" t="str" cm="1">
        <f t="array" ref="R117">IsInWords(A117)</f>
        <v/>
      </c>
      <c r="S117" s="19" t="b">
        <v>0</v>
      </c>
    </row>
    <row r="118" spans="1:19">
      <c r="A118" s="19">
        <f t="shared" si="4"/>
        <v>114</v>
      </c>
      <c r="B118" s="20" cm="1">
        <f t="array" ref="B118">GetTableId(B117,G117)</f>
        <v>18</v>
      </c>
      <c r="C118" s="19" t="str" cm="1">
        <f t="array" ref="C118">GetValue("Tbl","Alias",B118)</f>
        <v>Col</v>
      </c>
      <c r="D118" s="19" cm="1">
        <f t="array" ref="D118">GetDomainId(C118,G118)</f>
        <v>55</v>
      </c>
      <c r="E118" s="19" t="str" cm="1">
        <f t="array" ref="E118">GetValue("Dmn","Name",D118)</f>
        <v>BigId</v>
      </c>
      <c r="F118" s="19">
        <f t="shared" si="6"/>
        <v>5</v>
      </c>
      <c r="G118" s="19" t="str" cm="1">
        <f t="array" ref="G118">GetColumnName(C118,IF(B118=B117,G117,""))</f>
        <v>Id</v>
      </c>
      <c r="H118" s="19" t="str">
        <f t="shared" si="5"/>
        <v>Informe 'Id'</v>
      </c>
      <c r="I118" s="19" t="str" cm="1">
        <f t="array" ref="I118">GetCaption(C118,G118)</f>
        <v>Id</v>
      </c>
      <c r="J118" s="19" t="b">
        <v>0</v>
      </c>
      <c r="K118" s="19" t="b" cm="1">
        <f t="array" ref="K118">IsPrimaryKey(A118)</f>
        <v>1</v>
      </c>
      <c r="L118" s="19" t="b" cm="1">
        <f t="array" ref="L118">IsAutoincrement(A118)</f>
        <v>1</v>
      </c>
      <c r="M118" s="19" t="str" cm="1">
        <f t="array" ref="M118">IsFilterable(A118)</f>
        <v/>
      </c>
      <c r="N118" s="19" t="str" cm="1">
        <f t="array" ref="N118">IsEditable(A118)</f>
        <v/>
      </c>
      <c r="O118" s="19" t="str" cm="1">
        <f t="array" ref="O118">IsBrowseable(A118)</f>
        <v/>
      </c>
      <c r="P118" s="19" t="e" cm="1">
        <f t="array" ref="P118">IsListable(A118)</f>
        <v>#VALUE!</v>
      </c>
      <c r="Q118" s="19" t="str" cm="1">
        <f t="array" ref="Q118">IsEncrypted(A118)</f>
        <v/>
      </c>
      <c r="R118" s="19" t="str" cm="1">
        <f t="array" ref="R118">IsInWords(A118)</f>
        <v/>
      </c>
      <c r="S118" s="19" t="b">
        <v>0</v>
      </c>
    </row>
    <row r="119" spans="1:19">
      <c r="A119" s="19">
        <f t="shared" si="4"/>
        <v>115</v>
      </c>
      <c r="B119" s="20" cm="1">
        <f t="array" ref="B119">GetTableId(B118,G118)</f>
        <v>18</v>
      </c>
      <c r="C119" s="19" t="str" cm="1">
        <f t="array" ref="C119">GetValue("Tbl","Alias",B119)</f>
        <v>Col</v>
      </c>
      <c r="D119" s="19" cm="1">
        <f t="array" ref="D119">GetDomainId(C119,G119)</f>
        <v>55</v>
      </c>
      <c r="E119" s="19" t="str" cm="1">
        <f t="array" ref="E119">GetValue("Dmn","Name",D119)</f>
        <v>BigId</v>
      </c>
      <c r="F119" s="19">
        <f t="shared" si="6"/>
        <v>10</v>
      </c>
      <c r="G119" s="19" t="str" cm="1">
        <f t="array" ref="G119">GetColumnName(C119,IF(B119=B118,G118,""))</f>
        <v>TableId</v>
      </c>
      <c r="H119" s="19" t="str">
        <f t="shared" si="5"/>
        <v>Informe 'Tabela'</v>
      </c>
      <c r="I119" s="19" t="str" cm="1">
        <f t="array" ref="I119">GetCaption(C119,G119)</f>
        <v>Tabela</v>
      </c>
      <c r="J119" s="19" t="b">
        <v>0</v>
      </c>
      <c r="K119" s="19" t="b" cm="1">
        <f t="array" ref="K119">IsPrimaryKey(A119)</f>
        <v>0</v>
      </c>
      <c r="L119" s="19" t="b" cm="1">
        <f t="array" ref="L119">IsAutoincrement(A119)</f>
        <v>0</v>
      </c>
      <c r="M119" s="19" t="b" cm="1">
        <f t="array" ref="M119">IsFilterable(A119)</f>
        <v>1</v>
      </c>
      <c r="N119" s="19" t="b" cm="1">
        <f t="array" ref="N119">IsEditable(A119)</f>
        <v>1</v>
      </c>
      <c r="O119" s="19" t="b" cm="1">
        <f t="array" ref="O119">IsBrowseable(A119)</f>
        <v>1</v>
      </c>
      <c r="P119" s="19" t="e" cm="1">
        <f t="array" ref="P119">IsListable(A119)</f>
        <v>#VALUE!</v>
      </c>
      <c r="Q119" s="19" t="str" cm="1">
        <f t="array" ref="Q119">IsEncrypted(A119)</f>
        <v/>
      </c>
      <c r="R119" s="19" t="b" cm="1">
        <f t="array" ref="R119">IsInWords(A119)</f>
        <v>0</v>
      </c>
      <c r="S119" s="19" t="b">
        <v>0</v>
      </c>
    </row>
    <row r="120" spans="1:19">
      <c r="A120" s="17">
        <f t="shared" si="4"/>
        <v>116</v>
      </c>
      <c r="B120" s="18" cm="1">
        <f t="array" ref="B120">GetTableId(B119,G119)</f>
        <v>18</v>
      </c>
      <c r="C120" s="17" t="str" cm="1">
        <f t="array" ref="C120">GetValue("Tbl","Alias",B120)</f>
        <v>Col</v>
      </c>
      <c r="D120" s="17" cm="1">
        <f t="array" ref="D120">GetDomainId(C120,G120)</f>
        <v>55</v>
      </c>
      <c r="E120" s="17" t="str" cm="1">
        <f t="array" ref="E120">GetValue("Dmn","Name",D120)</f>
        <v>BigId</v>
      </c>
      <c r="F120" s="17">
        <f t="shared" si="6"/>
        <v>15</v>
      </c>
      <c r="G120" s="17" t="str" cm="1">
        <f t="array" ref="G120">GetColumnName(C120,IF(B120=B119,G119,""))</f>
        <v>DomainId</v>
      </c>
      <c r="H120" s="17" t="str">
        <f t="shared" si="5"/>
        <v>Informe 'Domínio'</v>
      </c>
      <c r="I120" s="17" t="str" cm="1">
        <f t="array" ref="I120">GetCaption(C120,G120)</f>
        <v>Domínio</v>
      </c>
      <c r="J120" s="17" t="b">
        <v>0</v>
      </c>
      <c r="K120" s="17" t="b" cm="1">
        <f t="array" ref="K120">IsPrimaryKey(A120)</f>
        <v>0</v>
      </c>
      <c r="L120" s="17" t="b" cm="1">
        <f t="array" ref="L120">IsAutoincrement(A120)</f>
        <v>0</v>
      </c>
      <c r="M120" s="17" t="b" cm="1">
        <f t="array" ref="M120">IsFilterable(A120)</f>
        <v>1</v>
      </c>
      <c r="N120" s="17" t="b" cm="1">
        <f t="array" ref="N120">IsEditable(A120)</f>
        <v>1</v>
      </c>
      <c r="O120" s="17" t="b" cm="1">
        <f t="array" ref="O120">IsBrowseable(A120)</f>
        <v>1</v>
      </c>
      <c r="P120" s="17" t="e" cm="1">
        <f t="array" ref="P120">IsListable(A120)</f>
        <v>#VALUE!</v>
      </c>
      <c r="Q120" s="17" t="str" cm="1">
        <f t="array" ref="Q120">IsEncrypted(A120)</f>
        <v/>
      </c>
      <c r="R120" s="17" t="b" cm="1">
        <f t="array" ref="R120">IsInWords(A120)</f>
        <v>0</v>
      </c>
      <c r="S120" s="17" t="b">
        <v>0</v>
      </c>
    </row>
    <row r="121" spans="1:19">
      <c r="A121" s="17">
        <f t="shared" si="4"/>
        <v>117</v>
      </c>
      <c r="B121" s="18" cm="1">
        <f t="array" ref="B121">GetTableId(B120,G120)</f>
        <v>18</v>
      </c>
      <c r="C121" s="17" t="str" cm="1">
        <f t="array" ref="C121">GetValue("Tbl","Alias",B121)</f>
        <v>Col</v>
      </c>
      <c r="D121" s="17" cm="1">
        <f t="array" ref="D121">GetDomainId(C121,G121)</f>
        <v>59</v>
      </c>
      <c r="E121" s="17" t="str" cm="1">
        <f t="array" ref="E121">GetValue("Dmn","Name",D121)</f>
        <v>SEQUENCE</v>
      </c>
      <c r="F121" s="17">
        <f t="shared" si="6"/>
        <v>20</v>
      </c>
      <c r="G121" s="17" t="str" cm="1">
        <f t="array" ref="G121">GetColumnName(C121,IF(B121=B120,G120,""))</f>
        <v>Sequence</v>
      </c>
      <c r="H121" s="17" t="str">
        <f t="shared" si="5"/>
        <v>Informe 'Sequência'</v>
      </c>
      <c r="I121" s="17" t="str" cm="1">
        <f t="array" ref="I121">GetCaption(C121,G121)</f>
        <v>Sequência</v>
      </c>
      <c r="J121" s="17" t="b">
        <v>0</v>
      </c>
      <c r="K121" s="17" t="b" cm="1">
        <f t="array" ref="K121">IsPrimaryKey(A121)</f>
        <v>0</v>
      </c>
      <c r="L121" s="17" t="b" cm="1">
        <f t="array" ref="L121">IsAutoincrement(A121)</f>
        <v>0</v>
      </c>
      <c r="M121" s="17" t="b" cm="1">
        <f t="array" ref="M121">IsFilterable(A121)</f>
        <v>1</v>
      </c>
      <c r="N121" s="17" t="b" cm="1">
        <f t="array" ref="N121">IsEditable(A121)</f>
        <v>1</v>
      </c>
      <c r="O121" s="17" t="b" cm="1">
        <f t="array" ref="O121">IsBrowseable(A121)</f>
        <v>1</v>
      </c>
      <c r="P121" s="17" t="e" cm="1">
        <f t="array" ref="P121">IsListable(A121)</f>
        <v>#VALUE!</v>
      </c>
      <c r="Q121" s="17" t="str" cm="1">
        <f t="array" ref="Q121">IsEncrypted(A121)</f>
        <v/>
      </c>
      <c r="R121" s="17" t="b" cm="1">
        <f t="array" ref="R121">IsInWords(A121)</f>
        <v>0</v>
      </c>
      <c r="S121" s="17" t="b">
        <v>0</v>
      </c>
    </row>
    <row r="122" spans="1:19">
      <c r="A122" s="17">
        <f t="shared" si="4"/>
        <v>118</v>
      </c>
      <c r="B122" s="18" cm="1">
        <f t="array" ref="B122">GetTableId(B121,G121)</f>
        <v>18</v>
      </c>
      <c r="C122" s="17" t="str" cm="1">
        <f t="array" ref="C122">GetValue("Tbl","Alias",B122)</f>
        <v>Col</v>
      </c>
      <c r="D122" s="17" cm="1">
        <f t="array" ref="D122">GetDomainId(C122,G122)</f>
        <v>11</v>
      </c>
      <c r="E122" s="17" t="str" cm="1">
        <f t="array" ref="E122">GetValue("Dmn","Name",D122)</f>
        <v>NVARCHAR(25)</v>
      </c>
      <c r="F122" s="17">
        <f t="shared" si="6"/>
        <v>25</v>
      </c>
      <c r="G122" s="17" t="str" cm="1">
        <f t="array" ref="G122">GetColumnName(C122,IF(B122=B121,G121,""))</f>
        <v>Name</v>
      </c>
      <c r="H122" s="17" t="str">
        <f t="shared" si="5"/>
        <v>Informe 'Nome'</v>
      </c>
      <c r="I122" s="17" t="str" cm="1">
        <f t="array" ref="I122">GetCaption(C122,G122)</f>
        <v>Nome</v>
      </c>
      <c r="J122" s="17" t="b">
        <v>1</v>
      </c>
      <c r="K122" s="17" t="b" cm="1">
        <f t="array" ref="K122">IsPrimaryKey(A122)</f>
        <v>0</v>
      </c>
      <c r="L122" s="17" t="str" cm="1">
        <f t="array" ref="L122">IsAutoincrement(A122)</f>
        <v/>
      </c>
      <c r="M122" s="17" t="b" cm="1">
        <f t="array" ref="M122">IsFilterable(A122)</f>
        <v>1</v>
      </c>
      <c r="N122" s="17" t="b" cm="1">
        <f t="array" ref="N122">IsEditable(A122)</f>
        <v>1</v>
      </c>
      <c r="O122" s="17" t="b" cm="1">
        <f t="array" ref="O122">IsBrowseable(A122)</f>
        <v>1</v>
      </c>
      <c r="P122" s="17" t="e" cm="1">
        <f t="array" ref="P122">IsListable(A122)</f>
        <v>#VALUE!</v>
      </c>
      <c r="Q122" s="17" t="b" cm="1">
        <f t="array" ref="Q122">IsEncrypted(A122)</f>
        <v>0</v>
      </c>
      <c r="R122" s="17" t="str" cm="1">
        <f t="array" ref="R122">IsInWords(A122)</f>
        <v/>
      </c>
      <c r="S122" s="17" t="b">
        <v>0</v>
      </c>
    </row>
    <row r="123" spans="1:19">
      <c r="A123" s="17">
        <f t="shared" si="4"/>
        <v>119</v>
      </c>
      <c r="B123" s="18" cm="1">
        <f t="array" ref="B123">GetTableId(B122,G122)</f>
        <v>18</v>
      </c>
      <c r="C123" s="17" t="str" cm="1">
        <f t="array" ref="C123">GetValue("Tbl","Alias",B123)</f>
        <v>Col</v>
      </c>
      <c r="D123" s="17" cm="1">
        <f t="array" ref="D123">GetDomainId(C123,G123)</f>
        <v>12</v>
      </c>
      <c r="E123" s="17" t="str" cm="1">
        <f t="array" ref="E123">GetValue("Dmn","Name",D123)</f>
        <v>NVARCHAR(50)</v>
      </c>
      <c r="F123" s="17">
        <f t="shared" si="6"/>
        <v>30</v>
      </c>
      <c r="G123" s="17" t="str" cm="1">
        <f t="array" ref="G123">GetColumnName(C123,IF(B123=B122,G122,""))</f>
        <v>Description</v>
      </c>
      <c r="H123" s="17" t="str">
        <f t="shared" si="5"/>
        <v>Informe 'Descrição'</v>
      </c>
      <c r="I123" s="17" t="str" cm="1">
        <f t="array" ref="I123">GetCaption(C123,G123)</f>
        <v>Descrição</v>
      </c>
      <c r="J123" s="17" t="b">
        <v>1</v>
      </c>
      <c r="K123" s="17" t="b" cm="1">
        <f t="array" ref="K123">IsPrimaryKey(A123)</f>
        <v>0</v>
      </c>
      <c r="L123" s="17" t="str" cm="1">
        <f t="array" ref="L123">IsAutoincrement(A123)</f>
        <v/>
      </c>
      <c r="M123" s="17" t="b" cm="1">
        <f t="array" ref="M123">IsFilterable(A123)</f>
        <v>1</v>
      </c>
      <c r="N123" s="17" t="b" cm="1">
        <f t="array" ref="N123">IsEditable(A123)</f>
        <v>1</v>
      </c>
      <c r="O123" s="17" t="b" cm="1">
        <f t="array" ref="O123">IsBrowseable(A123)</f>
        <v>1</v>
      </c>
      <c r="P123" s="17" t="e" cm="1">
        <f t="array" ref="P123">IsListable(A123)</f>
        <v>#VALUE!</v>
      </c>
      <c r="Q123" s="17" t="b" cm="1">
        <f t="array" ref="Q123">IsEncrypted(A123)</f>
        <v>0</v>
      </c>
      <c r="R123" s="17" t="str" cm="1">
        <f t="array" ref="R123">IsInWords(A123)</f>
        <v/>
      </c>
      <c r="S123" s="17" t="b">
        <v>0</v>
      </c>
    </row>
    <row r="124" spans="1:19">
      <c r="A124" s="17">
        <f t="shared" si="4"/>
        <v>120</v>
      </c>
      <c r="B124" s="18" cm="1">
        <f t="array" ref="B124">GetTableId(B123,G123)</f>
        <v>18</v>
      </c>
      <c r="C124" s="17" t="str" cm="1">
        <f t="array" ref="C124">GetValue("Tbl","Alias",B124)</f>
        <v>Col</v>
      </c>
      <c r="D124" s="17" cm="1">
        <f t="array" ref="D124">GetDomainId(C124,G124)</f>
        <v>10</v>
      </c>
      <c r="E124" s="17" t="str" cm="1">
        <f t="array" ref="E124">GetValue("Dmn","Name",D124)</f>
        <v>NVARCHAR(20)</v>
      </c>
      <c r="F124" s="17">
        <f t="shared" si="6"/>
        <v>35</v>
      </c>
      <c r="G124" s="17" t="str" cm="1">
        <f t="array" ref="G124">GetColumnName(C124,IF(B124=B123,G123,""))</f>
        <v>Caption</v>
      </c>
      <c r="H124" s="17" t="str">
        <f t="shared" si="5"/>
        <v>Informe 'Rótulo'</v>
      </c>
      <c r="I124" s="17" t="str" cm="1">
        <f t="array" ref="I124">GetCaption(C124,G124)</f>
        <v>Rótulo</v>
      </c>
      <c r="J124" s="17" t="b">
        <v>1</v>
      </c>
      <c r="K124" s="17" t="b" cm="1">
        <f t="array" ref="K124">IsPrimaryKey(A124)</f>
        <v>0</v>
      </c>
      <c r="L124" s="17" t="str" cm="1">
        <f t="array" ref="L124">IsAutoincrement(A124)</f>
        <v/>
      </c>
      <c r="M124" s="17" t="b" cm="1">
        <f t="array" ref="M124">IsFilterable(A124)</f>
        <v>1</v>
      </c>
      <c r="N124" s="17" t="b" cm="1">
        <f t="array" ref="N124">IsEditable(A124)</f>
        <v>1</v>
      </c>
      <c r="O124" s="17" t="b" cm="1">
        <f t="array" ref="O124">IsBrowseable(A124)</f>
        <v>1</v>
      </c>
      <c r="P124" s="17" t="e" cm="1">
        <f t="array" ref="P124">IsListable(A124)</f>
        <v>#VALUE!</v>
      </c>
      <c r="Q124" s="17" t="b" cm="1">
        <f t="array" ref="Q124">IsEncrypted(A124)</f>
        <v>0</v>
      </c>
      <c r="R124" s="17" t="str" cm="1">
        <f t="array" ref="R124">IsInWords(A124)</f>
        <v/>
      </c>
      <c r="S124" s="17" t="b">
        <v>0</v>
      </c>
    </row>
    <row r="125" spans="1:19">
      <c r="A125" s="17">
        <f t="shared" si="4"/>
        <v>121</v>
      </c>
      <c r="B125" s="18" cm="1">
        <f t="array" ref="B125">GetTableId(B124,G124)</f>
        <v>18</v>
      </c>
      <c r="C125" s="17" t="str" cm="1">
        <f t="array" ref="C125">GetValue("Tbl","Alias",B125)</f>
        <v>Col</v>
      </c>
      <c r="D125" s="17" cm="1">
        <f t="array" ref="D125">GetDomainId(C125,G125)</f>
        <v>5</v>
      </c>
      <c r="E125" s="17" t="str" cm="1">
        <f t="array" ref="E125">GetValue("Dmn","Name",D125)</f>
        <v>Boolean</v>
      </c>
      <c r="F125" s="17">
        <f t="shared" si="6"/>
        <v>40</v>
      </c>
      <c r="G125" s="17" t="str" cm="1">
        <f t="array" ref="G125">GetColumnName(C125,IF(B125=B124,G124,""))</f>
        <v>IsRequired</v>
      </c>
      <c r="H125" s="17" t="str">
        <f t="shared" si="5"/>
        <v>Informe 'É Requerido?'</v>
      </c>
      <c r="I125" s="17" t="str" cm="1">
        <f t="array" ref="I125">GetCaption(C125,G125)</f>
        <v>É Requerido?</v>
      </c>
      <c r="J125" s="17" t="b">
        <v>1</v>
      </c>
      <c r="K125" s="17" t="b" cm="1">
        <f t="array" ref="K125">IsPrimaryKey(A125)</f>
        <v>0</v>
      </c>
      <c r="L125" s="17" t="str" cm="1">
        <f t="array" ref="L125">IsAutoincrement(A125)</f>
        <v/>
      </c>
      <c r="M125" s="17" t="b" cm="1">
        <f t="array" ref="M125">IsFilterable(A125)</f>
        <v>1</v>
      </c>
      <c r="N125" s="17" t="b" cm="1">
        <f t="array" ref="N125">IsEditable(A125)</f>
        <v>1</v>
      </c>
      <c r="O125" s="17" t="b" cm="1">
        <f t="array" ref="O125">IsBrowseable(A125)</f>
        <v>1</v>
      </c>
      <c r="P125" s="17" t="e" cm="1">
        <f t="array" ref="P125">IsListable(A125)</f>
        <v>#VALUE!</v>
      </c>
      <c r="Q125" s="17" t="str" cm="1">
        <f t="array" ref="Q125">IsEncrypted(A125)</f>
        <v/>
      </c>
      <c r="R125" s="17" t="str" cm="1">
        <f t="array" ref="R125">IsInWords(A125)</f>
        <v/>
      </c>
      <c r="S125" s="17" t="b">
        <v>0</v>
      </c>
    </row>
    <row r="126" spans="1:19">
      <c r="A126" s="17">
        <f t="shared" si="4"/>
        <v>122</v>
      </c>
      <c r="B126" s="18" cm="1">
        <f t="array" ref="B126">GetTableId(B125,G125)</f>
        <v>18</v>
      </c>
      <c r="C126" s="17" t="str" cm="1">
        <f t="array" ref="C126">GetValue("Tbl","Alias",B126)</f>
        <v>Col</v>
      </c>
      <c r="D126" s="17" cm="1">
        <f t="array" ref="D126">GetDomainId(C126,G126)</f>
        <v>5</v>
      </c>
      <c r="E126" s="17" t="str" cm="1">
        <f t="array" ref="E126">GetValue("Dmn","Name",D126)</f>
        <v>Boolean</v>
      </c>
      <c r="F126" s="17">
        <f t="shared" si="6"/>
        <v>45</v>
      </c>
      <c r="G126" s="17" t="str" cm="1">
        <f t="array" ref="G126">GetColumnName(C126,IF(B126=B125,G125,""))</f>
        <v>IsPrimarykey</v>
      </c>
      <c r="H126" s="17" t="str">
        <f t="shared" si="5"/>
        <v>Informe 'É Chave-Primária?'</v>
      </c>
      <c r="I126" s="17" t="str" cm="1">
        <f t="array" ref="I126">GetCaption(C126,G126)</f>
        <v>É Chave-Primária?</v>
      </c>
      <c r="J126" s="17" t="b">
        <v>1</v>
      </c>
      <c r="K126" s="17" t="b" cm="1">
        <f t="array" ref="K126">IsPrimaryKey(A126)</f>
        <v>0</v>
      </c>
      <c r="L126" s="17" t="str" cm="1">
        <f t="array" ref="L126">IsAutoincrement(A126)</f>
        <v/>
      </c>
      <c r="M126" s="17" t="b" cm="1">
        <f t="array" ref="M126">IsFilterable(A126)</f>
        <v>1</v>
      </c>
      <c r="N126" s="17" t="b" cm="1">
        <f t="array" ref="N126">IsEditable(A126)</f>
        <v>1</v>
      </c>
      <c r="O126" s="17" t="b" cm="1">
        <f t="array" ref="O126">IsBrowseable(A126)</f>
        <v>1</v>
      </c>
      <c r="P126" s="17" t="e" cm="1">
        <f t="array" ref="P126">IsListable(A126)</f>
        <v>#VALUE!</v>
      </c>
      <c r="Q126" s="17" t="str" cm="1">
        <f t="array" ref="Q126">IsEncrypted(A126)</f>
        <v/>
      </c>
      <c r="R126" s="17" t="str" cm="1">
        <f t="array" ref="R126">IsInWords(A126)</f>
        <v/>
      </c>
      <c r="S126" s="17" t="b">
        <v>0</v>
      </c>
    </row>
    <row r="127" spans="1:19">
      <c r="A127" s="17">
        <f t="shared" si="4"/>
        <v>123</v>
      </c>
      <c r="B127" s="18" cm="1">
        <f t="array" ref="B127">GetTableId(B126,G126)</f>
        <v>18</v>
      </c>
      <c r="C127" s="17" t="str" cm="1">
        <f t="array" ref="C127">GetValue("Tbl","Alias",B127)</f>
        <v>Col</v>
      </c>
      <c r="D127" s="17" cm="1">
        <f t="array" ref="D127">GetDomainId(C127,G127)</f>
        <v>5</v>
      </c>
      <c r="E127" s="17" t="str" cm="1">
        <f t="array" ref="E127">GetValue("Dmn","Name",D127)</f>
        <v>Boolean</v>
      </c>
      <c r="F127" s="17">
        <f t="shared" si="6"/>
        <v>50</v>
      </c>
      <c r="G127" s="17" t="str" cm="1">
        <f t="array" ref="G127">GetColumnName(C127,IF(B127=B126,G126,""))</f>
        <v>IsAutoincrement</v>
      </c>
      <c r="H127" s="17" t="str">
        <f t="shared" si="5"/>
        <v>Informe 'É Autoincremento?'</v>
      </c>
      <c r="I127" s="17" t="str" cm="1">
        <f t="array" ref="I127">GetCaption(C127,G127)</f>
        <v>É Autoincremento?</v>
      </c>
      <c r="J127" s="17" t="b">
        <v>1</v>
      </c>
      <c r="K127" s="17" t="b" cm="1">
        <f t="array" ref="K127">IsPrimaryKey(A127)</f>
        <v>0</v>
      </c>
      <c r="L127" s="17" t="str" cm="1">
        <f t="array" ref="L127">IsAutoincrement(A127)</f>
        <v/>
      </c>
      <c r="M127" s="17" t="b" cm="1">
        <f t="array" ref="M127">IsFilterable(A127)</f>
        <v>1</v>
      </c>
      <c r="N127" s="17" t="b" cm="1">
        <f t="array" ref="N127">IsEditable(A127)</f>
        <v>1</v>
      </c>
      <c r="O127" s="17" t="b" cm="1">
        <f t="array" ref="O127">IsBrowseable(A127)</f>
        <v>1</v>
      </c>
      <c r="P127" s="17" t="e" cm="1">
        <f t="array" ref="P127">IsListable(A127)</f>
        <v>#VALUE!</v>
      </c>
      <c r="Q127" s="17" t="str" cm="1">
        <f t="array" ref="Q127">IsEncrypted(A127)</f>
        <v/>
      </c>
      <c r="R127" s="17" t="str" cm="1">
        <f t="array" ref="R127">IsInWords(A127)</f>
        <v/>
      </c>
      <c r="S127" s="17" t="b">
        <v>0</v>
      </c>
    </row>
    <row r="128" spans="1:19">
      <c r="A128" s="17">
        <f t="shared" si="4"/>
        <v>124</v>
      </c>
      <c r="B128" s="18" cm="1">
        <f t="array" ref="B128">GetTableId(B127,G127)</f>
        <v>18</v>
      </c>
      <c r="C128" s="17" t="str" cm="1">
        <f t="array" ref="C128">GetValue("Tbl","Alias",B128)</f>
        <v>Col</v>
      </c>
      <c r="D128" s="17" cm="1">
        <f t="array" ref="D128">GetDomainId(C128,G128)</f>
        <v>5</v>
      </c>
      <c r="E128" s="17" t="str" cm="1">
        <f t="array" ref="E128">GetValue("Dmn","Name",D128)</f>
        <v>Boolean</v>
      </c>
      <c r="F128" s="17">
        <f t="shared" si="6"/>
        <v>55</v>
      </c>
      <c r="G128" s="17" t="str" cm="1">
        <f t="array" ref="G128">GetColumnName(C128,IF(B128=B127,G127,""))</f>
        <v>IsFilterable</v>
      </c>
      <c r="H128" s="17" t="str">
        <f t="shared" si="5"/>
        <v>Informe 'É Filtrável?'</v>
      </c>
      <c r="I128" s="17" t="str" cm="1">
        <f t="array" ref="I128">GetCaption(C128,G128)</f>
        <v>É Filtrável?</v>
      </c>
      <c r="J128" s="17" t="b">
        <v>1</v>
      </c>
      <c r="K128" s="17" t="b" cm="1">
        <f t="array" ref="K128">IsPrimaryKey(A128)</f>
        <v>0</v>
      </c>
      <c r="L128" s="17" t="str" cm="1">
        <f t="array" ref="L128">IsAutoincrement(A128)</f>
        <v/>
      </c>
      <c r="M128" s="17" t="b" cm="1">
        <f t="array" ref="M128">IsFilterable(A128)</f>
        <v>1</v>
      </c>
      <c r="N128" s="17" t="b" cm="1">
        <f t="array" ref="N128">IsEditable(A128)</f>
        <v>1</v>
      </c>
      <c r="O128" s="17" t="b" cm="1">
        <f t="array" ref="O128">IsBrowseable(A128)</f>
        <v>1</v>
      </c>
      <c r="P128" s="17" t="e" cm="1">
        <f t="array" ref="P128">IsListable(A128)</f>
        <v>#VALUE!</v>
      </c>
      <c r="Q128" s="17" t="str" cm="1">
        <f t="array" ref="Q128">IsEncrypted(A128)</f>
        <v/>
      </c>
      <c r="R128" s="17" t="str" cm="1">
        <f t="array" ref="R128">IsInWords(A128)</f>
        <v/>
      </c>
      <c r="S128" s="17" t="b">
        <v>0</v>
      </c>
    </row>
    <row r="129" spans="1:19">
      <c r="A129" s="17">
        <f t="shared" si="4"/>
        <v>125</v>
      </c>
      <c r="B129" s="18" cm="1">
        <f t="array" ref="B129">GetTableId(B128,G128)</f>
        <v>18</v>
      </c>
      <c r="C129" s="17" t="str" cm="1">
        <f t="array" ref="C129">GetValue("Tbl","Alias",B129)</f>
        <v>Col</v>
      </c>
      <c r="D129" s="17" cm="1">
        <f t="array" ref="D129">GetDomainId(C129,G129)</f>
        <v>5</v>
      </c>
      <c r="E129" s="17" t="str" cm="1">
        <f t="array" ref="E129">GetValue("Dmn","Name",D129)</f>
        <v>Boolean</v>
      </c>
      <c r="F129" s="17">
        <f t="shared" si="6"/>
        <v>60</v>
      </c>
      <c r="G129" s="17" t="str" cm="1">
        <f t="array" ref="G129">GetColumnName(C129,IF(B129=B128,G128,""))</f>
        <v>IsEditable</v>
      </c>
      <c r="H129" s="17" t="str">
        <f t="shared" si="5"/>
        <v>Informe 'É Editável?'</v>
      </c>
      <c r="I129" s="17" t="str" cm="1">
        <f t="array" ref="I129">GetCaption(C129,G129)</f>
        <v>É Editável?</v>
      </c>
      <c r="J129" s="17" t="b">
        <v>1</v>
      </c>
      <c r="K129" s="17" t="b" cm="1">
        <f t="array" ref="K129">IsPrimaryKey(A129)</f>
        <v>0</v>
      </c>
      <c r="L129" s="17" t="str" cm="1">
        <f t="array" ref="L129">IsAutoincrement(A129)</f>
        <v/>
      </c>
      <c r="M129" s="17" t="b" cm="1">
        <f t="array" ref="M129">IsFilterable(A129)</f>
        <v>1</v>
      </c>
      <c r="N129" s="17" t="b" cm="1">
        <f t="array" ref="N129">IsEditable(A129)</f>
        <v>1</v>
      </c>
      <c r="O129" s="17" t="b" cm="1">
        <f t="array" ref="O129">IsBrowseable(A129)</f>
        <v>1</v>
      </c>
      <c r="P129" s="17" t="e" cm="1">
        <f t="array" ref="P129">IsListable(A129)</f>
        <v>#VALUE!</v>
      </c>
      <c r="Q129" s="17" t="str" cm="1">
        <f t="array" ref="Q129">IsEncrypted(A129)</f>
        <v/>
      </c>
      <c r="R129" s="17" t="str" cm="1">
        <f t="array" ref="R129">IsInWords(A129)</f>
        <v/>
      </c>
      <c r="S129" s="17" t="b">
        <v>0</v>
      </c>
    </row>
    <row r="130" spans="1:19">
      <c r="A130" s="17">
        <f t="shared" si="4"/>
        <v>126</v>
      </c>
      <c r="B130" s="18" cm="1">
        <f t="array" ref="B130">GetTableId(B129,G129)</f>
        <v>18</v>
      </c>
      <c r="C130" s="17" t="str" cm="1">
        <f t="array" ref="C130">GetValue("Tbl","Alias",B130)</f>
        <v>Col</v>
      </c>
      <c r="D130" s="17" cm="1">
        <f t="array" ref="D130">GetDomainId(C130,G130)</f>
        <v>5</v>
      </c>
      <c r="E130" s="17" t="str" cm="1">
        <f t="array" ref="E130">GetValue("Dmn","Name",D130)</f>
        <v>Boolean</v>
      </c>
      <c r="F130" s="17">
        <f t="shared" si="6"/>
        <v>65</v>
      </c>
      <c r="G130" s="17" t="str" cm="1">
        <f t="array" ref="G130">GetColumnName(C130,IF(B130=B129,G129,""))</f>
        <v>IsBrowseable</v>
      </c>
      <c r="H130" s="17" t="str">
        <f t="shared" si="5"/>
        <v>Informe 'É Navegável?'</v>
      </c>
      <c r="I130" s="17" t="str" cm="1">
        <f t="array" ref="I130">GetCaption(C130,G130)</f>
        <v>É Navegável?</v>
      </c>
      <c r="J130" s="17" t="b">
        <v>1</v>
      </c>
      <c r="K130" s="17" t="b" cm="1">
        <f t="array" ref="K130">IsPrimaryKey(A130)</f>
        <v>0</v>
      </c>
      <c r="L130" s="17" t="str" cm="1">
        <f t="array" ref="L130">IsAutoincrement(A130)</f>
        <v/>
      </c>
      <c r="M130" s="17" t="b" cm="1">
        <f t="array" ref="M130">IsFilterable(A130)</f>
        <v>1</v>
      </c>
      <c r="N130" s="17" t="b" cm="1">
        <f t="array" ref="N130">IsEditable(A130)</f>
        <v>1</v>
      </c>
      <c r="O130" s="17" t="b" cm="1">
        <f t="array" ref="O130">IsBrowseable(A130)</f>
        <v>1</v>
      </c>
      <c r="P130" s="17" t="e" cm="1">
        <f t="array" ref="P130">IsListable(A130)</f>
        <v>#VALUE!</v>
      </c>
      <c r="Q130" s="17" t="str" cm="1">
        <f t="array" ref="Q130">IsEncrypted(A130)</f>
        <v/>
      </c>
      <c r="R130" s="17" t="str" cm="1">
        <f t="array" ref="R130">IsInWords(A130)</f>
        <v/>
      </c>
      <c r="S130" s="17" t="b">
        <v>0</v>
      </c>
    </row>
    <row r="131" spans="1:19">
      <c r="A131" s="17">
        <f t="shared" si="4"/>
        <v>127</v>
      </c>
      <c r="B131" s="18" cm="1">
        <f t="array" ref="B131">GetTableId(B130,G130)</f>
        <v>18</v>
      </c>
      <c r="C131" s="17" t="str" cm="1">
        <f t="array" ref="C131">GetValue("Tbl","Alias",B131)</f>
        <v>Col</v>
      </c>
      <c r="D131" s="17" cm="1">
        <f t="array" ref="D131">GetDomainId(C131,G131)</f>
        <v>5</v>
      </c>
      <c r="E131" s="17" t="str" cm="1">
        <f t="array" ref="E131">GetValue("Dmn","Name",D131)</f>
        <v>Boolean</v>
      </c>
      <c r="F131" s="17">
        <f t="shared" si="6"/>
        <v>70</v>
      </c>
      <c r="G131" s="17" t="str" cm="1">
        <f t="array" ref="G131">GetColumnName(C131,IF(B131=B130,G130,""))</f>
        <v>IsListable</v>
      </c>
      <c r="H131" s="17" t="str">
        <f t="shared" si="5"/>
        <v>Informe 'É Listável?'</v>
      </c>
      <c r="I131" s="17" t="str" cm="1">
        <f t="array" ref="I131">GetCaption(C131,G131)</f>
        <v>É Listável?</v>
      </c>
      <c r="J131" s="17" t="b">
        <v>1</v>
      </c>
      <c r="K131" s="17" t="b" cm="1">
        <f t="array" ref="K131">IsPrimaryKey(A131)</f>
        <v>0</v>
      </c>
      <c r="L131" s="17" t="str" cm="1">
        <f t="array" ref="L131">IsAutoincrement(A131)</f>
        <v/>
      </c>
      <c r="M131" s="17" t="b" cm="1">
        <f t="array" ref="M131">IsFilterable(A131)</f>
        <v>1</v>
      </c>
      <c r="N131" s="17" t="b" cm="1">
        <f t="array" ref="N131">IsEditable(A131)</f>
        <v>1</v>
      </c>
      <c r="O131" s="17" t="b" cm="1">
        <f t="array" ref="O131">IsBrowseable(A131)</f>
        <v>1</v>
      </c>
      <c r="P131" s="17" t="e" cm="1">
        <f t="array" ref="P131">IsListable(A131)</f>
        <v>#VALUE!</v>
      </c>
      <c r="Q131" s="17" t="str" cm="1">
        <f t="array" ref="Q131">IsEncrypted(A131)</f>
        <v/>
      </c>
      <c r="R131" s="17" t="str" cm="1">
        <f t="array" ref="R131">IsInWords(A131)</f>
        <v/>
      </c>
      <c r="S131" s="17" t="b">
        <v>0</v>
      </c>
    </row>
    <row r="132" spans="1:19">
      <c r="A132" s="17">
        <f t="shared" si="4"/>
        <v>128</v>
      </c>
      <c r="B132" s="18" cm="1">
        <f t="array" ref="B132">GetTableId(B131,G131)</f>
        <v>18</v>
      </c>
      <c r="C132" s="17" t="str" cm="1">
        <f t="array" ref="C132">GetValue("Tbl","Alias",B132)</f>
        <v>Col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ref="F132:F194" si="7">IF(G132="Id",5,F131+5)</f>
        <v>75</v>
      </c>
      <c r="G132" s="17" t="str" cm="1">
        <f t="array" ref="G132">GetColumnName(C132,IF(B132=B131,G131,""))</f>
        <v>IsEncrypted</v>
      </c>
      <c r="H132" s="17" t="str">
        <f t="shared" si="5"/>
        <v>Informe 'É Encriptável?'</v>
      </c>
      <c r="I132" s="17" t="str" cm="1">
        <f t="array" ref="I132">GetCaption(C132,G132)</f>
        <v>É Encriptável?</v>
      </c>
      <c r="J132" s="17" t="b">
        <v>1</v>
      </c>
      <c r="K132" s="17" t="b" cm="1">
        <f t="array" ref="K132">IsPrimaryKey(A132)</f>
        <v>0</v>
      </c>
      <c r="L132" s="17" t="str" cm="1">
        <f t="array" ref="L132">IsAutoincrement(A132)</f>
        <v/>
      </c>
      <c r="M132" s="17" t="b" cm="1">
        <f t="array" ref="M132">IsFilterable(A132)</f>
        <v>1</v>
      </c>
      <c r="N132" s="17" t="b" cm="1">
        <f t="array" ref="N132">IsEditable(A132)</f>
        <v>1</v>
      </c>
      <c r="O132" s="17" t="b" cm="1">
        <f t="array" ref="O132">IsBrowseable(A132)</f>
        <v>1</v>
      </c>
      <c r="P132" s="17" t="e" cm="1">
        <f t="array" ref="P132">IsListable(A132)</f>
        <v>#VALUE!</v>
      </c>
      <c r="Q132" s="17" t="str" cm="1">
        <f t="array" ref="Q132">IsEncrypted(A132)</f>
        <v/>
      </c>
      <c r="R132" s="17" t="str" cm="1">
        <f t="array" ref="R132">IsInWords(A132)</f>
        <v/>
      </c>
      <c r="S132" s="17" t="b">
        <v>0</v>
      </c>
    </row>
    <row r="133" spans="1:19">
      <c r="A133" s="17">
        <f t="shared" si="4"/>
        <v>129</v>
      </c>
      <c r="B133" s="18" cm="1">
        <f t="array" ref="B133">GetTableId(B132,G132)</f>
        <v>18</v>
      </c>
      <c r="C133" s="17" t="str" cm="1">
        <f t="array" ref="C133">GetValue("Tbl","Alias",B133)</f>
        <v>Col</v>
      </c>
      <c r="D133" s="17" cm="1">
        <f t="array" ref="D133">GetDomainId(C133,G133)</f>
        <v>5</v>
      </c>
      <c r="E133" s="17" t="str" cm="1">
        <f t="array" ref="E133">GetValue("Dmn","Name",D133)</f>
        <v>Boolean</v>
      </c>
      <c r="F133" s="17">
        <f t="shared" si="7"/>
        <v>80</v>
      </c>
      <c r="G133" s="17" t="str" cm="1">
        <f t="array" ref="G133">GetColumnName(C133,IF(B133=B132,G132,""))</f>
        <v>IsInWords</v>
      </c>
      <c r="H133" s="17" t="str">
        <f t="shared" si="5"/>
        <v>Informe 'É Extenso?'</v>
      </c>
      <c r="I133" s="17" t="str" cm="1">
        <f t="array" ref="I133">GetCaption(C133,G133)</f>
        <v>É Extenso?</v>
      </c>
      <c r="J133" s="17" t="b">
        <v>1</v>
      </c>
      <c r="K133" s="17" t="b" cm="1">
        <f t="array" ref="K133">IsPrimaryKey(A133)</f>
        <v>0</v>
      </c>
      <c r="L133" s="17" t="str" cm="1">
        <f t="array" ref="L133">IsAutoincrement(A133)</f>
        <v/>
      </c>
      <c r="M133" s="17" t="b" cm="1">
        <f t="array" ref="M133">IsFilterable(A133)</f>
        <v>1</v>
      </c>
      <c r="N133" s="17" t="b" cm="1">
        <f t="array" ref="N133">IsEditable(A133)</f>
        <v>1</v>
      </c>
      <c r="O133" s="17" t="b" cm="1">
        <f t="array" ref="O133">IsBrowseable(A133)</f>
        <v>1</v>
      </c>
      <c r="P133" s="17" t="e" cm="1">
        <f t="array" ref="P133">IsListable(A133)</f>
        <v>#VALUE!</v>
      </c>
      <c r="Q133" s="17" t="str" cm="1">
        <f t="array" ref="Q133">IsEncrypted(A133)</f>
        <v/>
      </c>
      <c r="R133" s="17" t="str" cm="1">
        <f t="array" ref="R133">IsInWords(A133)</f>
        <v/>
      </c>
      <c r="S133" s="17" t="b">
        <v>0</v>
      </c>
    </row>
    <row r="134" spans="1:19">
      <c r="A134" s="17">
        <f t="shared" ref="A134:A197" si="8">ROW(A134)-4</f>
        <v>130</v>
      </c>
      <c r="B134" s="18" cm="1">
        <f t="array" ref="B134">GetTableId(B133,G133)</f>
        <v>18</v>
      </c>
      <c r="C134" s="17" t="str" cm="1">
        <f t="array" ref="C134">GetValue("Tbl","Alias",B134)</f>
        <v>Col</v>
      </c>
      <c r="D134" s="17" cm="1">
        <f t="array" ref="D134">GetDomainId(C134,G134)</f>
        <v>5</v>
      </c>
      <c r="E134" s="17" t="str" cm="1">
        <f t="array" ref="E134">GetValue("Dmn","Name",D134)</f>
        <v>Boolean</v>
      </c>
      <c r="F134" s="17">
        <f t="shared" si="7"/>
        <v>85</v>
      </c>
      <c r="G134" s="17" t="str" cm="1">
        <f t="array" ref="G134">GetColumnName(C134,IF(B134=B133,G133,""))</f>
        <v>IsVirtual</v>
      </c>
      <c r="H134" s="17" t="str">
        <f t="shared" ref="H134:H197" si="9">_xlfn.CONCAT("Informe '",I134,"'")</f>
        <v>Informe 'É Virtual?'</v>
      </c>
      <c r="I134" s="17" t="str" cm="1">
        <f t="array" ref="I134">GetCaption(C134,G134)</f>
        <v>É Virtual?</v>
      </c>
      <c r="J134" s="17" t="b">
        <v>1</v>
      </c>
      <c r="K134" s="17" t="b" cm="1">
        <f t="array" ref="K134">IsPrimaryKey(A134)</f>
        <v>0</v>
      </c>
      <c r="L134" s="17" t="str" cm="1">
        <f t="array" ref="L134">IsAutoincrement(A134)</f>
        <v/>
      </c>
      <c r="M134" s="17" t="b" cm="1">
        <f t="array" ref="M134">IsFilterable(A134)</f>
        <v>1</v>
      </c>
      <c r="N134" s="17" t="b" cm="1">
        <f t="array" ref="N134">IsEditable(A134)</f>
        <v>1</v>
      </c>
      <c r="O134" s="17" t="b" cm="1">
        <f t="array" ref="O134">IsBrowseable(A134)</f>
        <v>1</v>
      </c>
      <c r="P134" s="17" t="e" cm="1">
        <f t="array" ref="P134">IsListable(A134)</f>
        <v>#VALUE!</v>
      </c>
      <c r="Q134" s="17" t="str" cm="1">
        <f t="array" ref="Q134">IsEncrypted(A134)</f>
        <v/>
      </c>
      <c r="R134" s="17" t="str" cm="1">
        <f t="array" ref="R134">IsInWords(A134)</f>
        <v/>
      </c>
      <c r="S134" s="17" t="b">
        <v>0</v>
      </c>
    </row>
    <row r="135" spans="1:19">
      <c r="A135" s="17">
        <f t="shared" si="8"/>
        <v>131</v>
      </c>
      <c r="B135" s="18" cm="1">
        <f t="array" ref="B135">GetTableId(B134,G134)</f>
        <v>19</v>
      </c>
      <c r="C135" s="17" t="str" cm="1">
        <f t="array" ref="C135">GetValue("Tbl","Alias",B135)</f>
        <v>Idx</v>
      </c>
      <c r="D135" s="17" cm="1">
        <f t="array" ref="D135">GetDomainId(C135,G135)</f>
        <v>55</v>
      </c>
      <c r="E135" s="17" t="str" cm="1">
        <f t="array" ref="E135">GetValue("Dmn","Name",D135)</f>
        <v>BigId</v>
      </c>
      <c r="F135" s="17">
        <f t="shared" si="7"/>
        <v>5</v>
      </c>
      <c r="G135" s="17" t="str" cm="1">
        <f t="array" ref="G135">GetColumnName(C135,IF(B135=B134,G134,""))</f>
        <v>Id</v>
      </c>
      <c r="H135" s="17" t="str">
        <f t="shared" si="9"/>
        <v>Informe 'Id'</v>
      </c>
      <c r="I135" s="17" t="str" cm="1">
        <f t="array" ref="I135">GetCaption(C135,G135)</f>
        <v>Id</v>
      </c>
      <c r="J135" s="17" t="b">
        <v>1</v>
      </c>
      <c r="K135" s="17" t="b" cm="1">
        <f t="array" ref="K135">IsPrimaryKey(A135)</f>
        <v>1</v>
      </c>
      <c r="L135" s="17" t="b" cm="1">
        <f t="array" ref="L135">IsAutoincrement(A135)</f>
        <v>1</v>
      </c>
      <c r="M135" s="17" t="str" cm="1">
        <f t="array" ref="M135">IsFilterable(A135)</f>
        <v/>
      </c>
      <c r="N135" s="17" t="str" cm="1">
        <f t="array" ref="N135">IsEditable(A135)</f>
        <v/>
      </c>
      <c r="O135" s="17" t="str" cm="1">
        <f t="array" ref="O135">IsBrowseable(A135)</f>
        <v/>
      </c>
      <c r="P135" s="17" t="e" cm="1">
        <f t="array" ref="P135">IsListable(A135)</f>
        <v>#VALUE!</v>
      </c>
      <c r="Q135" s="17" t="str" cm="1">
        <f t="array" ref="Q135">IsEncrypted(A135)</f>
        <v/>
      </c>
      <c r="R135" s="17" t="str" cm="1">
        <f t="array" ref="R135">IsInWords(A135)</f>
        <v/>
      </c>
      <c r="S135" s="17" t="b">
        <v>0</v>
      </c>
    </row>
    <row r="136" spans="1:19">
      <c r="A136" s="17">
        <f t="shared" si="8"/>
        <v>132</v>
      </c>
      <c r="B136" s="18" cm="1">
        <f t="array" ref="B136">GetTableId(B135,G135)</f>
        <v>19</v>
      </c>
      <c r="C136" s="17" t="str" cm="1">
        <f t="array" ref="C136">GetValue("Tbl","Alias",B136)</f>
        <v>Idx</v>
      </c>
      <c r="D136" s="17" cm="1">
        <f t="array" ref="D136">GetDomainId(C136,G136)</f>
        <v>55</v>
      </c>
      <c r="E136" s="17" t="str" cm="1">
        <f t="array" ref="E136">GetValue("Dmn","Name",D136)</f>
        <v>BigId</v>
      </c>
      <c r="F136" s="17">
        <f t="shared" si="7"/>
        <v>10</v>
      </c>
      <c r="G136" s="17" t="str" cm="1">
        <f t="array" ref="G136">GetColumnName(C136,IF(B136=B135,G135,""))</f>
        <v>TableId</v>
      </c>
      <c r="H136" s="17" t="str">
        <f t="shared" si="9"/>
        <v>Informe 'Tabela'</v>
      </c>
      <c r="I136" s="17" t="str" cm="1">
        <f t="array" ref="I136">GetCaption(C136,G136)</f>
        <v>Tabela</v>
      </c>
      <c r="J136" s="17" t="b">
        <v>1</v>
      </c>
      <c r="K136" s="17" t="b" cm="1">
        <f t="array" ref="K136">IsPrimaryKey(A136)</f>
        <v>0</v>
      </c>
      <c r="L136" s="17" t="b" cm="1">
        <f t="array" ref="L136">IsAutoincrement(A136)</f>
        <v>0</v>
      </c>
      <c r="M136" s="17" t="b" cm="1">
        <f t="array" ref="M136">IsFilterable(A136)</f>
        <v>1</v>
      </c>
      <c r="N136" s="17" t="b" cm="1">
        <f t="array" ref="N136">IsEditable(A136)</f>
        <v>1</v>
      </c>
      <c r="O136" s="17" t="b" cm="1">
        <f t="array" ref="O136">IsBrowseable(A136)</f>
        <v>1</v>
      </c>
      <c r="P136" s="17" t="e" cm="1">
        <f t="array" ref="P136">IsListable(A136)</f>
        <v>#VALUE!</v>
      </c>
      <c r="Q136" s="17" t="str" cm="1">
        <f t="array" ref="Q136">IsEncrypted(A136)</f>
        <v/>
      </c>
      <c r="R136" s="17" t="b" cm="1">
        <f t="array" ref="R136">IsInWords(A136)</f>
        <v>0</v>
      </c>
      <c r="S136" s="17" t="b">
        <v>0</v>
      </c>
    </row>
    <row r="137" spans="1:19">
      <c r="A137" s="17">
        <f t="shared" si="8"/>
        <v>133</v>
      </c>
      <c r="B137" s="18" cm="1">
        <f t="array" ref="B137">GetTableId(B136,G136)</f>
        <v>19</v>
      </c>
      <c r="C137" s="17" t="str" cm="1">
        <f t="array" ref="C137">GetValue("Tbl","Alias",B137)</f>
        <v>Idx</v>
      </c>
      <c r="D137" s="17" cm="1">
        <f t="array" ref="D137">GetDomainId(C137,G137)</f>
        <v>11</v>
      </c>
      <c r="E137" s="17" t="str" cm="1">
        <f t="array" ref="E137">GetValue("Dmn","Name",D137)</f>
        <v>NVARCHAR(25)</v>
      </c>
      <c r="F137" s="17">
        <f t="shared" si="7"/>
        <v>15</v>
      </c>
      <c r="G137" s="17" t="str" cm="1">
        <f t="array" ref="G137">GetColumnName(C137,IF(B137=B136,G136,""))</f>
        <v>Name</v>
      </c>
      <c r="H137" s="17" t="str">
        <f t="shared" si="9"/>
        <v>Informe 'Nome'</v>
      </c>
      <c r="I137" s="17" t="str" cm="1">
        <f t="array" ref="I137">GetCaption(C137,G137)</f>
        <v>Nome</v>
      </c>
      <c r="J137" s="17" t="b">
        <v>1</v>
      </c>
      <c r="K137" s="17" t="b" cm="1">
        <f t="array" ref="K137">IsPrimaryKey(A137)</f>
        <v>0</v>
      </c>
      <c r="L137" s="17" t="str" cm="1">
        <f t="array" ref="L137">IsAutoincrement(A137)</f>
        <v/>
      </c>
      <c r="M137" s="17" t="b" cm="1">
        <f t="array" ref="M137">IsFilterable(A137)</f>
        <v>1</v>
      </c>
      <c r="N137" s="17" t="b" cm="1">
        <f t="array" ref="N137">IsEditable(A137)</f>
        <v>1</v>
      </c>
      <c r="O137" s="17" t="b" cm="1">
        <f t="array" ref="O137">IsBrowseable(A137)</f>
        <v>1</v>
      </c>
      <c r="P137" s="17" t="e" cm="1">
        <f t="array" ref="P137">IsListable(A137)</f>
        <v>#VALUE!</v>
      </c>
      <c r="Q137" s="17" t="b" cm="1">
        <f t="array" ref="Q137">IsEncrypted(A137)</f>
        <v>0</v>
      </c>
      <c r="R137" s="17" t="str" cm="1">
        <f t="array" ref="R137">IsInWords(A137)</f>
        <v/>
      </c>
      <c r="S137" s="17" t="b">
        <v>0</v>
      </c>
    </row>
    <row r="138" spans="1:19">
      <c r="A138" s="17">
        <f t="shared" si="8"/>
        <v>134</v>
      </c>
      <c r="B138" s="18" cm="1">
        <f t="array" ref="B138">GetTableId(B137,G137)</f>
        <v>19</v>
      </c>
      <c r="C138" s="17" t="str" cm="1">
        <f t="array" ref="C138">GetValue("Tbl","Alias",B138)</f>
        <v>Idx</v>
      </c>
      <c r="D138" s="17" cm="1">
        <f t="array" ref="D138">GetDomainId(C138,G138)</f>
        <v>5</v>
      </c>
      <c r="E138" s="17" t="str" cm="1">
        <f t="array" ref="E138">GetValue("Dmn","Name",D138)</f>
        <v>Boolean</v>
      </c>
      <c r="F138" s="17">
        <f t="shared" si="7"/>
        <v>20</v>
      </c>
      <c r="G138" s="17" t="str" cm="1">
        <f t="array" ref="G138">GetColumnName(C138,IF(B138=B137,G137,""))</f>
        <v>IsUnique</v>
      </c>
      <c r="H138" s="17" t="str">
        <f t="shared" si="9"/>
        <v>Informe 'É Único?'</v>
      </c>
      <c r="I138" s="17" t="str" cm="1">
        <f t="array" ref="I138">GetCaption(C138,G138)</f>
        <v>É Único?</v>
      </c>
      <c r="J138" s="17" t="b">
        <v>0</v>
      </c>
      <c r="K138" s="17" t="b" cm="1">
        <f t="array" ref="K138">IsPrimaryKey(A138)</f>
        <v>0</v>
      </c>
      <c r="L138" s="17" t="str" cm="1">
        <f t="array" ref="L138">IsAutoincrement(A138)</f>
        <v/>
      </c>
      <c r="M138" s="17" t="b" cm="1">
        <f t="array" ref="M138">IsFilterable(A138)</f>
        <v>1</v>
      </c>
      <c r="N138" s="17" t="b" cm="1">
        <f t="array" ref="N138">IsEditable(A138)</f>
        <v>1</v>
      </c>
      <c r="O138" s="17" t="b" cm="1">
        <f t="array" ref="O138">IsBrowseable(A138)</f>
        <v>1</v>
      </c>
      <c r="P138" s="17" t="e" cm="1">
        <f t="array" ref="P138">IsListable(A138)</f>
        <v>#VALUE!</v>
      </c>
      <c r="Q138" s="17" t="str" cm="1">
        <f t="array" ref="Q138">IsEncrypted(A138)</f>
        <v/>
      </c>
      <c r="R138" s="17" t="str" cm="1">
        <f t="array" ref="R138">IsInWords(A138)</f>
        <v/>
      </c>
      <c r="S138" s="17" t="b">
        <v>0</v>
      </c>
    </row>
    <row r="139" spans="1:19">
      <c r="A139" s="19">
        <f t="shared" si="8"/>
        <v>135</v>
      </c>
      <c r="B139" s="20" cm="1">
        <f t="array" ref="B139">GetTableId(B138,G138)</f>
        <v>20</v>
      </c>
      <c r="C139" s="19" t="str" cm="1">
        <f t="array" ref="C139">GetValue("Tbl","Alias",B139)</f>
        <v>Idk</v>
      </c>
      <c r="D139" s="19" cm="1">
        <f t="array" ref="D139">GetDomainId(C139,G139)</f>
        <v>55</v>
      </c>
      <c r="E139" s="19" t="str" cm="1">
        <f t="array" ref="E139">GetValue("Dmn","Name",D139)</f>
        <v>BigId</v>
      </c>
      <c r="F139" s="19">
        <f t="shared" si="7"/>
        <v>5</v>
      </c>
      <c r="G139" s="19" t="str" cm="1">
        <f t="array" ref="G139">GetColumnName(C139,IF(B139=B138,G138,""))</f>
        <v>Id</v>
      </c>
      <c r="H139" s="19" t="str">
        <f t="shared" si="9"/>
        <v>Informe 'Id'</v>
      </c>
      <c r="I139" s="19" t="str" cm="1">
        <f t="array" ref="I139">GetCaption(C139,G139)</f>
        <v>Id</v>
      </c>
      <c r="J139" s="19" t="b">
        <v>0</v>
      </c>
      <c r="K139" s="19" t="b" cm="1">
        <f t="array" ref="K139">IsPrimaryKey(A139)</f>
        <v>1</v>
      </c>
      <c r="L139" s="19" t="b" cm="1">
        <f t="array" ref="L139">IsAutoincrement(A139)</f>
        <v>1</v>
      </c>
      <c r="M139" s="19" t="str" cm="1">
        <f t="array" ref="M139">IsFilterable(A139)</f>
        <v/>
      </c>
      <c r="N139" s="19" t="str" cm="1">
        <f t="array" ref="N139">IsEditable(A139)</f>
        <v/>
      </c>
      <c r="O139" s="19" t="str" cm="1">
        <f t="array" ref="O139">IsBrowseable(A139)</f>
        <v/>
      </c>
      <c r="P139" s="19" t="e" cm="1">
        <f t="array" ref="P139">IsListable(A139)</f>
        <v>#VALUE!</v>
      </c>
      <c r="Q139" s="19" t="str" cm="1">
        <f t="array" ref="Q139">IsEncrypted(A139)</f>
        <v/>
      </c>
      <c r="R139" s="19" t="str" cm="1">
        <f t="array" ref="R139">IsInWords(A139)</f>
        <v/>
      </c>
      <c r="S139" s="19" t="b">
        <v>0</v>
      </c>
    </row>
    <row r="140" spans="1:19">
      <c r="A140" s="19">
        <f t="shared" si="8"/>
        <v>136</v>
      </c>
      <c r="B140" s="20" cm="1">
        <f t="array" ref="B140">GetTableId(B139,G139)</f>
        <v>20</v>
      </c>
      <c r="C140" s="19" t="str" cm="1">
        <f t="array" ref="C140">GetValue("Tbl","Alias",B140)</f>
        <v>Idk</v>
      </c>
      <c r="D140" s="19" cm="1">
        <f t="array" ref="D140">GetDomainId(C140,G140)</f>
        <v>55</v>
      </c>
      <c r="E140" s="19" t="str" cm="1">
        <f t="array" ref="E140">GetValue("Dmn","Name",D140)</f>
        <v>BigId</v>
      </c>
      <c r="F140" s="19">
        <f t="shared" si="7"/>
        <v>10</v>
      </c>
      <c r="G140" s="19" t="str" cm="1">
        <f t="array" ref="G140">GetColumnName(C140,IF(B140=B139,G139,""))</f>
        <v>IndexId</v>
      </c>
      <c r="H140" s="19" t="str">
        <f t="shared" si="9"/>
        <v>Informe 'Índice'</v>
      </c>
      <c r="I140" s="19" t="str" cm="1">
        <f t="array" ref="I140">GetCaption(C140,G140)</f>
        <v>Índice</v>
      </c>
      <c r="J140" s="19" t="b">
        <v>1</v>
      </c>
      <c r="K140" s="19" t="b" cm="1">
        <f t="array" ref="K140">IsPrimaryKey(A140)</f>
        <v>0</v>
      </c>
      <c r="L140" s="19" t="b" cm="1">
        <f t="array" ref="L140">IsAutoincrement(A140)</f>
        <v>0</v>
      </c>
      <c r="M140" s="19" t="b" cm="1">
        <f t="array" ref="M140">IsFilterable(A140)</f>
        <v>1</v>
      </c>
      <c r="N140" s="19" t="b" cm="1">
        <f t="array" ref="N140">IsEditable(A140)</f>
        <v>1</v>
      </c>
      <c r="O140" s="19" t="b" cm="1">
        <f t="array" ref="O140">IsBrowseable(A140)</f>
        <v>1</v>
      </c>
      <c r="P140" s="19" t="e" cm="1">
        <f t="array" ref="P140">IsListable(A140)</f>
        <v>#VALUE!</v>
      </c>
      <c r="Q140" s="19" t="str" cm="1">
        <f t="array" ref="Q140">IsEncrypted(A140)</f>
        <v/>
      </c>
      <c r="R140" s="19" t="b" cm="1">
        <f t="array" ref="R140">IsInWords(A140)</f>
        <v>0</v>
      </c>
      <c r="S140" s="19" t="b">
        <v>0</v>
      </c>
    </row>
    <row r="141" spans="1:19">
      <c r="A141" s="19">
        <f t="shared" si="8"/>
        <v>137</v>
      </c>
      <c r="B141" s="20" cm="1">
        <f t="array" ref="B141">GetTableId(B140,G140)</f>
        <v>20</v>
      </c>
      <c r="C141" s="19" t="str" cm="1">
        <f t="array" ref="C141">GetValue("Tbl","Alias",B141)</f>
        <v>Idk</v>
      </c>
      <c r="D141" s="19" cm="1">
        <f t="array" ref="D141">GetDomainId(C141,G141)</f>
        <v>55</v>
      </c>
      <c r="E141" s="19" t="str" cm="1">
        <f t="array" ref="E141">GetValue("Dmn","Name",D141)</f>
        <v>BigId</v>
      </c>
      <c r="F141" s="19">
        <f t="shared" si="7"/>
        <v>15</v>
      </c>
      <c r="G141" s="19" t="str" cm="1">
        <f t="array" ref="G141">GetColumnName(C141,IF(B141=B140,G140,""))</f>
        <v>ColumnId</v>
      </c>
      <c r="H141" s="19" t="str">
        <f t="shared" si="9"/>
        <v>Informe 'Coluna'</v>
      </c>
      <c r="I141" s="19" t="str" cm="1">
        <f t="array" ref="I141">GetCaption(C141,G141)</f>
        <v>Coluna</v>
      </c>
      <c r="J141" s="19" t="b">
        <v>0</v>
      </c>
      <c r="K141" s="19" t="b" cm="1">
        <f t="array" ref="K141">IsPrimaryKey(A141)</f>
        <v>0</v>
      </c>
      <c r="L141" s="19" t="b" cm="1">
        <f t="array" ref="L141">IsAutoincrement(A141)</f>
        <v>0</v>
      </c>
      <c r="M141" s="19" t="b" cm="1">
        <f t="array" ref="M141">IsFilterable(A141)</f>
        <v>1</v>
      </c>
      <c r="N141" s="19" t="b" cm="1">
        <f t="array" ref="N141">IsEditable(A141)</f>
        <v>1</v>
      </c>
      <c r="O141" s="19" t="b" cm="1">
        <f t="array" ref="O141">IsBrowseable(A141)</f>
        <v>1</v>
      </c>
      <c r="P141" s="19" t="e" cm="1">
        <f t="array" ref="P141">IsListable(A141)</f>
        <v>#VALUE!</v>
      </c>
      <c r="Q141" s="19" t="str" cm="1">
        <f t="array" ref="Q141">IsEncrypted(A141)</f>
        <v/>
      </c>
      <c r="R141" s="19" t="b" cm="1">
        <f t="array" ref="R141">IsInWords(A141)</f>
        <v>0</v>
      </c>
      <c r="S141" s="19" t="b">
        <v>0</v>
      </c>
    </row>
    <row r="142" spans="1:19">
      <c r="A142" s="19">
        <f t="shared" si="8"/>
        <v>138</v>
      </c>
      <c r="B142" s="20" cm="1">
        <f t="array" ref="B142">GetTableId(B141,G141)</f>
        <v>20</v>
      </c>
      <c r="C142" s="19" t="str" cm="1">
        <f t="array" ref="C142">GetValue("Tbl","Alias",B142)</f>
        <v>Idk</v>
      </c>
      <c r="D142" s="19" cm="1">
        <f t="array" ref="D142">GetDomainId(C142,G142)</f>
        <v>59</v>
      </c>
      <c r="E142" s="19" t="str" cm="1">
        <f t="array" ref="E142">GetValue("Dmn","Name",D142)</f>
        <v>SEQUENCE</v>
      </c>
      <c r="F142" s="19">
        <f t="shared" si="7"/>
        <v>20</v>
      </c>
      <c r="G142" s="19" t="str" cm="1">
        <f t="array" ref="G142">GetColumnName(C142,IF(B142=B141,G141,""))</f>
        <v>Sequence</v>
      </c>
      <c r="H142" s="19" t="str">
        <f t="shared" si="9"/>
        <v>Informe 'Sequência'</v>
      </c>
      <c r="I142" s="19" t="str" cm="1">
        <f t="array" ref="I142">GetCaption(C142,G142)</f>
        <v>Sequência</v>
      </c>
      <c r="J142" s="19" t="b">
        <v>0</v>
      </c>
      <c r="K142" s="19" t="b" cm="1">
        <f t="array" ref="K142">IsPrimaryKey(A142)</f>
        <v>0</v>
      </c>
      <c r="L142" s="19" t="b" cm="1">
        <f t="array" ref="L142">IsAutoincrement(A142)</f>
        <v>0</v>
      </c>
      <c r="M142" s="19" t="b" cm="1">
        <f t="array" ref="M142">IsFilterable(A142)</f>
        <v>1</v>
      </c>
      <c r="N142" s="19" t="b" cm="1">
        <f t="array" ref="N142">IsEditable(A142)</f>
        <v>1</v>
      </c>
      <c r="O142" s="19" t="b" cm="1">
        <f t="array" ref="O142">IsBrowseable(A142)</f>
        <v>1</v>
      </c>
      <c r="P142" s="19" t="e" cm="1">
        <f t="array" ref="P142">IsListable(A142)</f>
        <v>#VALUE!</v>
      </c>
      <c r="Q142" s="19" t="str" cm="1">
        <f t="array" ref="Q142">IsEncrypted(A142)</f>
        <v/>
      </c>
      <c r="R142" s="19" t="b" cm="1">
        <f t="array" ref="R142">IsInWords(A142)</f>
        <v>0</v>
      </c>
      <c r="S142" s="19" t="b">
        <v>0</v>
      </c>
    </row>
    <row r="143" spans="1:19">
      <c r="A143" s="17">
        <f t="shared" si="8"/>
        <v>139</v>
      </c>
      <c r="B143" s="18" cm="1">
        <f t="array" ref="B143">GetTableId(B142,G142)</f>
        <v>20</v>
      </c>
      <c r="C143" s="17" t="str" cm="1">
        <f t="array" ref="C143">GetValue("Tbl","Alias",B143)</f>
        <v>Idk</v>
      </c>
      <c r="D143" s="17" cm="1">
        <f t="array" ref="D143">GetDomainId(C143,G143)</f>
        <v>5</v>
      </c>
      <c r="E143" s="17" t="str" cm="1">
        <f t="array" ref="E143">GetValue("Dmn","Name",D143)</f>
        <v>Boolean</v>
      </c>
      <c r="F143" s="17">
        <f t="shared" si="7"/>
        <v>25</v>
      </c>
      <c r="G143" s="17" t="str" cm="1">
        <f t="array" ref="G143">GetColumnName(C143,IF(B143=B142,G142,""))</f>
        <v>IsDescending</v>
      </c>
      <c r="H143" s="17" t="str">
        <f t="shared" si="9"/>
        <v>Informe 'É Descrescente?'</v>
      </c>
      <c r="I143" s="17" t="str" cm="1">
        <f t="array" ref="I143">GetCaption(C143,G143)</f>
        <v>É Descrescente?</v>
      </c>
      <c r="J143" s="17" t="b">
        <v>0</v>
      </c>
      <c r="K143" s="17" t="b" cm="1">
        <f t="array" ref="K143">IsPrimaryKey(A143)</f>
        <v>0</v>
      </c>
      <c r="L143" s="17" t="str" cm="1">
        <f t="array" ref="L143">IsAutoincrement(A143)</f>
        <v/>
      </c>
      <c r="M143" s="17" t="b" cm="1">
        <f t="array" ref="M143">IsFilterable(A143)</f>
        <v>1</v>
      </c>
      <c r="N143" s="17" t="b" cm="1">
        <f t="array" ref="N143">IsEditable(A143)</f>
        <v>1</v>
      </c>
      <c r="O143" s="17" t="b" cm="1">
        <f t="array" ref="O143">IsBrowseable(A143)</f>
        <v>1</v>
      </c>
      <c r="P143" s="17" t="e" cm="1">
        <f t="array" ref="P143">IsListable(A143)</f>
        <v>#VALUE!</v>
      </c>
      <c r="Q143" s="17" t="str" cm="1">
        <f t="array" ref="Q143">IsEncrypted(A143)</f>
        <v/>
      </c>
      <c r="R143" s="17" t="str" cm="1">
        <f t="array" ref="R143">IsInWords(A143)</f>
        <v/>
      </c>
      <c r="S143" s="17" t="b">
        <v>0</v>
      </c>
    </row>
    <row r="144" spans="1:19">
      <c r="A144" s="17">
        <f t="shared" si="8"/>
        <v>140</v>
      </c>
      <c r="B144" s="18" cm="1">
        <f t="array" ref="B144">GetTableId(B143,G143)</f>
        <v>21</v>
      </c>
      <c r="C144" s="17" t="str" cm="1">
        <f t="array" ref="C144">GetValue("Tbl","Alias",B144)</f>
        <v>Inc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7"/>
        <v>5</v>
      </c>
      <c r="G144" s="17" t="str" cm="1">
        <f t="array" ref="G144">GetColumnName(C144,IF(B144=B143,G143,""))</f>
        <v>Id</v>
      </c>
      <c r="H144" s="17" t="str">
        <f t="shared" si="9"/>
        <v>Informe 'Id'</v>
      </c>
      <c r="I144" s="17" t="str" cm="1">
        <f t="array" ref="I144">GetCaption(C144,G144)</f>
        <v>Id</v>
      </c>
      <c r="J144" s="17" t="b">
        <v>0</v>
      </c>
      <c r="K144" s="17" t="b" cm="1">
        <f t="array" ref="K144">IsPrimaryKey(A144)</f>
        <v>1</v>
      </c>
      <c r="L144" s="17" t="b" cm="1">
        <f t="array" ref="L144">IsAutoincrement(A144)</f>
        <v>1</v>
      </c>
      <c r="M144" s="17" t="str" cm="1">
        <f t="array" ref="M144">IsFilterable(A144)</f>
        <v/>
      </c>
      <c r="N144" s="17" t="str" cm="1">
        <f t="array" ref="N144">IsEditable(A144)</f>
        <v/>
      </c>
      <c r="O144" s="17" t="str" cm="1">
        <f t="array" ref="O144">IsBrowseable(A144)</f>
        <v/>
      </c>
      <c r="P144" s="17" t="e" cm="1">
        <f t="array" ref="P144">IsListable(A144)</f>
        <v>#VALUE!</v>
      </c>
      <c r="Q144" s="17" t="str" cm="1">
        <f t="array" ref="Q144">IsEncrypted(A144)</f>
        <v/>
      </c>
      <c r="R144" s="17" t="str" cm="1">
        <f t="array" ref="R144">IsInWords(A144)</f>
        <v/>
      </c>
      <c r="S144" s="17" t="b">
        <v>0</v>
      </c>
    </row>
    <row r="145" spans="1:19">
      <c r="A145" s="17">
        <f t="shared" si="8"/>
        <v>141</v>
      </c>
      <c r="B145" s="18" cm="1">
        <f t="array" ref="B145">GetTableId(B144,G144)</f>
        <v>21</v>
      </c>
      <c r="C145" s="17" t="str" cm="1">
        <f t="array" ref="C145">GetValue("Tbl","Alias",B145)</f>
        <v>Inc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7"/>
        <v>10</v>
      </c>
      <c r="G145" s="17" t="str" cm="1">
        <f t="array" ref="G145">GetColumnName(C145,IF(B145=B144,G144,""))</f>
        <v>IndexId</v>
      </c>
      <c r="H145" s="17" t="str">
        <f t="shared" si="9"/>
        <v>Informe 'Índice'</v>
      </c>
      <c r="I145" s="17" t="str" cm="1">
        <f t="array" ref="I145">GetCaption(C145,G145)</f>
        <v>Índice</v>
      </c>
      <c r="J145" s="17" t="b">
        <v>1</v>
      </c>
      <c r="K145" s="17" t="b" cm="1">
        <f t="array" ref="K145">IsPrimaryKey(A145)</f>
        <v>0</v>
      </c>
      <c r="L145" s="17" t="b" cm="1">
        <f t="array" ref="L145">IsAutoincrement(A145)</f>
        <v>0</v>
      </c>
      <c r="M145" s="17" t="b" cm="1">
        <f t="array" ref="M145">IsFilterable(A145)</f>
        <v>1</v>
      </c>
      <c r="N145" s="17" t="b" cm="1">
        <f t="array" ref="N145">IsEditable(A145)</f>
        <v>1</v>
      </c>
      <c r="O145" s="17" t="b" cm="1">
        <f t="array" ref="O145">IsBrowseable(A145)</f>
        <v>1</v>
      </c>
      <c r="P145" s="17" t="e" cm="1">
        <f t="array" ref="P145">IsListable(A145)</f>
        <v>#VALUE!</v>
      </c>
      <c r="Q145" s="17" t="str" cm="1">
        <f t="array" ref="Q145">IsEncrypted(A145)</f>
        <v/>
      </c>
      <c r="R145" s="17" t="b" cm="1">
        <f t="array" ref="R145">IsInWords(A145)</f>
        <v>0</v>
      </c>
      <c r="S145" s="17" t="b">
        <v>0</v>
      </c>
    </row>
    <row r="146" spans="1:19">
      <c r="A146" s="17">
        <f t="shared" si="8"/>
        <v>142</v>
      </c>
      <c r="B146" s="18" cm="1">
        <f t="array" ref="B146">GetTableId(B145,G145)</f>
        <v>21</v>
      </c>
      <c r="C146" s="17" t="str" cm="1">
        <f t="array" ref="C146">GetValue("Tbl","Alias",B146)</f>
        <v>Inc</v>
      </c>
      <c r="D146" s="17" cm="1">
        <f t="array" ref="D146">GetDomainId(C146,G146)</f>
        <v>55</v>
      </c>
      <c r="E146" s="17" t="str" cm="1">
        <f t="array" ref="E146">GetValue("Dmn","Name",D146)</f>
        <v>BigId</v>
      </c>
      <c r="F146" s="17">
        <f t="shared" si="7"/>
        <v>15</v>
      </c>
      <c r="G146" s="17" t="str" cm="1">
        <f t="array" ref="G146">GetColumnName(C146,IF(B146=B145,G145,""))</f>
        <v>ColumnId</v>
      </c>
      <c r="H146" s="17" t="str">
        <f t="shared" si="9"/>
        <v>Informe 'Coluna'</v>
      </c>
      <c r="I146" s="17" t="str" cm="1">
        <f t="array" ref="I146">GetCaption(C146,G146)</f>
        <v>Coluna</v>
      </c>
      <c r="J146" s="17" t="b">
        <v>1</v>
      </c>
      <c r="K146" s="17" t="b" cm="1">
        <f t="array" ref="K146">IsPrimaryKey(A146)</f>
        <v>0</v>
      </c>
      <c r="L146" s="17" t="b" cm="1">
        <f t="array" ref="L146">IsAutoincrement(A146)</f>
        <v>0</v>
      </c>
      <c r="M146" s="17" t="b" cm="1">
        <f t="array" ref="M146">IsFilterable(A146)</f>
        <v>1</v>
      </c>
      <c r="N146" s="17" t="b" cm="1">
        <f t="array" ref="N146">IsEditable(A146)</f>
        <v>1</v>
      </c>
      <c r="O146" s="17" t="b" cm="1">
        <f t="array" ref="O146">IsBrowseable(A146)</f>
        <v>1</v>
      </c>
      <c r="P146" s="17" t="e" cm="1">
        <f t="array" ref="P146">IsListable(A146)</f>
        <v>#VALUE!</v>
      </c>
      <c r="Q146" s="17" t="str" cm="1">
        <f t="array" ref="Q146">IsEncrypted(A146)</f>
        <v/>
      </c>
      <c r="R146" s="17" t="b" cm="1">
        <f t="array" ref="R146">IsInWords(A146)</f>
        <v>0</v>
      </c>
      <c r="S146" s="17" t="b">
        <v>0</v>
      </c>
    </row>
    <row r="147" spans="1:19">
      <c r="A147" s="17">
        <f t="shared" si="8"/>
        <v>143</v>
      </c>
      <c r="B147" s="18" cm="1">
        <f t="array" ref="B147">GetTableId(B146,G146)</f>
        <v>22</v>
      </c>
      <c r="C147" s="17" t="str" cm="1">
        <f t="array" ref="C147">GetValue("Tbl","Alias",B147)</f>
        <v>Uni</v>
      </c>
      <c r="D147" s="17" cm="1">
        <f t="array" ref="D147">GetDomainId(C147,G147)</f>
        <v>55</v>
      </c>
      <c r="E147" s="17" t="str" cm="1">
        <f t="array" ref="E147">GetValue("Dmn","Name",D147)</f>
        <v>BigId</v>
      </c>
      <c r="F147" s="17">
        <f t="shared" si="7"/>
        <v>5</v>
      </c>
      <c r="G147" s="17" t="str" cm="1">
        <f t="array" ref="G147">GetColumnName(C147,IF(B147=B146,G146,""))</f>
        <v>Id</v>
      </c>
      <c r="H147" s="17" t="str">
        <f t="shared" si="9"/>
        <v>Informe 'Id'</v>
      </c>
      <c r="I147" s="17" t="str" cm="1">
        <f t="array" ref="I147">GetCaption(C147,G147)</f>
        <v>Id</v>
      </c>
      <c r="J147" s="17" t="b">
        <v>0</v>
      </c>
      <c r="K147" s="17" t="b" cm="1">
        <f t="array" ref="K147">IsPrimaryKey(A147)</f>
        <v>1</v>
      </c>
      <c r="L147" s="17" t="b" cm="1">
        <f t="array" ref="L147">IsAutoincrement(A147)</f>
        <v>1</v>
      </c>
      <c r="M147" s="17" t="str" cm="1">
        <f t="array" ref="M147">IsFilterable(A147)</f>
        <v/>
      </c>
      <c r="N147" s="17" t="str" cm="1">
        <f t="array" ref="N147">IsEditable(A147)</f>
        <v/>
      </c>
      <c r="O147" s="17" t="str" cm="1">
        <f t="array" ref="O147">IsBrowseable(A147)</f>
        <v/>
      </c>
      <c r="P147" s="17" t="e" cm="1">
        <f t="array" ref="P147">IsListable(A147)</f>
        <v>#VALUE!</v>
      </c>
      <c r="Q147" s="17" t="str" cm="1">
        <f t="array" ref="Q147">IsEncrypted(A147)</f>
        <v/>
      </c>
      <c r="R147" s="17" t="str" cm="1">
        <f t="array" ref="R147">IsInWords(A147)</f>
        <v/>
      </c>
      <c r="S147" s="17" t="b">
        <v>0</v>
      </c>
    </row>
    <row r="148" spans="1:19">
      <c r="A148" s="19">
        <f t="shared" si="8"/>
        <v>144</v>
      </c>
      <c r="B148" s="20" cm="1">
        <f t="array" ref="B148">GetTableId(B147,G147)</f>
        <v>22</v>
      </c>
      <c r="C148" s="19" t="str" cm="1">
        <f t="array" ref="C148">GetValue("Tbl","Alias",B148)</f>
        <v>Uni</v>
      </c>
      <c r="D148" s="19" cm="1">
        <f t="array" ref="D148">GetDomainId(C148,G148)</f>
        <v>55</v>
      </c>
      <c r="E148" s="19" t="str" cm="1">
        <f t="array" ref="E148">GetValue("Dmn","Name",D148)</f>
        <v>BigId</v>
      </c>
      <c r="F148" s="19">
        <f t="shared" si="7"/>
        <v>10</v>
      </c>
      <c r="G148" s="19" t="str" cm="1">
        <f t="array" ref="G148">GetColumnName(C148,IF(B148=B147,G147,""))</f>
        <v>LeftColumnId</v>
      </c>
      <c r="H148" s="19" t="str">
        <f t="shared" si="9"/>
        <v>Informe 'Coluna Esquerda'</v>
      </c>
      <c r="I148" s="19" t="str" cm="1">
        <f t="array" ref="I148">GetCaption(C148,G148)</f>
        <v>Coluna Esquerda</v>
      </c>
      <c r="J148" s="19" t="b">
        <v>0</v>
      </c>
      <c r="K148" s="19" t="b" cm="1">
        <f t="array" ref="K148">IsPrimaryKey(A148)</f>
        <v>0</v>
      </c>
      <c r="L148" s="19" t="b" cm="1">
        <f t="array" ref="L148">IsAutoincrement(A148)</f>
        <v>0</v>
      </c>
      <c r="M148" s="19" t="b" cm="1">
        <f t="array" ref="M148">IsFilterable(A148)</f>
        <v>1</v>
      </c>
      <c r="N148" s="19" t="b" cm="1">
        <f t="array" ref="N148">IsEditable(A148)</f>
        <v>1</v>
      </c>
      <c r="O148" s="19" t="b" cm="1">
        <f t="array" ref="O148">IsBrowseable(A148)</f>
        <v>1</v>
      </c>
      <c r="P148" s="19" t="e" cm="1">
        <f t="array" ref="P148">IsListable(A148)</f>
        <v>#VALUE!</v>
      </c>
      <c r="Q148" s="19" t="str" cm="1">
        <f t="array" ref="Q148">IsEncrypted(A148)</f>
        <v/>
      </c>
      <c r="R148" s="19" t="b" cm="1">
        <f t="array" ref="R148">IsInWords(A148)</f>
        <v>0</v>
      </c>
      <c r="S148" s="19" t="b">
        <v>0</v>
      </c>
    </row>
    <row r="149" spans="1:19">
      <c r="A149" s="19">
        <f t="shared" si="8"/>
        <v>145</v>
      </c>
      <c r="B149" s="20" cm="1">
        <f t="array" ref="B149">GetTableId(B148,G148)</f>
        <v>22</v>
      </c>
      <c r="C149" s="19" t="str" cm="1">
        <f t="array" ref="C149">GetValue("Tbl","Alias",B149)</f>
        <v>Uni</v>
      </c>
      <c r="D149" s="19" cm="1">
        <f t="array" ref="D149">GetDomainId(C149,G149)</f>
        <v>55</v>
      </c>
      <c r="E149" s="19" t="str" cm="1">
        <f t="array" ref="E149">GetValue("Dmn","Name",D149)</f>
        <v>BigId</v>
      </c>
      <c r="F149" s="19">
        <f t="shared" si="7"/>
        <v>15</v>
      </c>
      <c r="G149" s="19" t="str" cm="1">
        <f t="array" ref="G149">GetColumnName(C149,IF(B149=B148,G148,""))</f>
        <v>RightColumnId</v>
      </c>
      <c r="H149" s="19" t="str">
        <f t="shared" si="9"/>
        <v>Informe 'Coluna Direita'</v>
      </c>
      <c r="I149" s="19" t="str" cm="1">
        <f t="array" ref="I149">GetCaption(C149,G149)</f>
        <v>Coluna Direita</v>
      </c>
      <c r="J149" s="19" t="b">
        <v>0</v>
      </c>
      <c r="K149" s="19" t="b" cm="1">
        <f t="array" ref="K149">IsPrimaryKey(A149)</f>
        <v>0</v>
      </c>
      <c r="L149" s="19" t="b" cm="1">
        <f t="array" ref="L149">IsAutoincrement(A149)</f>
        <v>0</v>
      </c>
      <c r="M149" s="19" t="b" cm="1">
        <f t="array" ref="M149">IsFilterable(A149)</f>
        <v>1</v>
      </c>
      <c r="N149" s="19" t="b" cm="1">
        <f t="array" ref="N149">IsEditable(A149)</f>
        <v>1</v>
      </c>
      <c r="O149" s="19" t="b" cm="1">
        <f t="array" ref="O149">IsBrowseable(A149)</f>
        <v>1</v>
      </c>
      <c r="P149" s="19" t="e" cm="1">
        <f t="array" ref="P149">IsListable(A149)</f>
        <v>#VALUE!</v>
      </c>
      <c r="Q149" s="19" t="str" cm="1">
        <f t="array" ref="Q149">IsEncrypted(A149)</f>
        <v/>
      </c>
      <c r="R149" s="19" t="b" cm="1">
        <f t="array" ref="R149">IsInWords(A149)</f>
        <v>0</v>
      </c>
      <c r="S149" s="19" t="b">
        <v>0</v>
      </c>
    </row>
    <row r="150" spans="1:19">
      <c r="A150" s="19">
        <f t="shared" si="8"/>
        <v>146</v>
      </c>
      <c r="B150" s="20" cm="1">
        <f t="array" ref="B150">GetTableId(B149,G149)</f>
        <v>22</v>
      </c>
      <c r="C150" s="19" t="str" cm="1">
        <f t="array" ref="C150">GetValue("Tbl","Alias",B150)</f>
        <v>Uni</v>
      </c>
      <c r="D150" s="19" cm="1">
        <f t="array" ref="D150">GetDomainId(C150,G150)</f>
        <v>5</v>
      </c>
      <c r="E150" s="19" t="str" cm="1">
        <f t="array" ref="E150">GetValue("Dmn","Name",D150)</f>
        <v>Boolean</v>
      </c>
      <c r="F150" s="19">
        <f t="shared" si="7"/>
        <v>20</v>
      </c>
      <c r="G150" s="19" t="str" cm="1">
        <f t="array" ref="G150">GetColumnName(C150,IF(B150=B149,G149,""))</f>
        <v>IsBirectional</v>
      </c>
      <c r="H150" s="19" t="str">
        <f t="shared" si="9"/>
        <v>Informe 'É Bidirecional?'</v>
      </c>
      <c r="I150" s="19" t="str" cm="1">
        <f t="array" ref="I150">GetCaption(C150,G150)</f>
        <v>É Bidirecional?</v>
      </c>
      <c r="J150" s="19" t="b">
        <v>1</v>
      </c>
      <c r="K150" s="19" t="b" cm="1">
        <f t="array" ref="K150">IsPrimaryKey(A150)</f>
        <v>0</v>
      </c>
      <c r="L150" s="19" t="str" cm="1">
        <f t="array" ref="L150">IsAutoincrement(A150)</f>
        <v/>
      </c>
      <c r="M150" s="19" t="b" cm="1">
        <f t="array" ref="M150">IsFilterable(A150)</f>
        <v>1</v>
      </c>
      <c r="N150" s="19" t="b" cm="1">
        <f t="array" ref="N150">IsEditable(A150)</f>
        <v>1</v>
      </c>
      <c r="O150" s="19" t="b" cm="1">
        <f t="array" ref="O150">IsBrowseable(A150)</f>
        <v>1</v>
      </c>
      <c r="P150" s="19" t="e" cm="1">
        <f t="array" ref="P150">IsListable(A150)</f>
        <v>#VALUE!</v>
      </c>
      <c r="Q150" s="19" t="str" cm="1">
        <f t="array" ref="Q150">IsEncrypted(A150)</f>
        <v/>
      </c>
      <c r="R150" s="19" t="str" cm="1">
        <f t="array" ref="R150">IsInWords(A150)</f>
        <v/>
      </c>
      <c r="S150" s="19" t="b">
        <v>0</v>
      </c>
    </row>
    <row r="151" spans="1:19">
      <c r="A151" s="17">
        <f t="shared" si="8"/>
        <v>147</v>
      </c>
      <c r="B151" s="18" cm="1">
        <f t="array" ref="B151">GetTableId(B150,G150)</f>
        <v>23</v>
      </c>
      <c r="C151" s="17" t="str" cm="1">
        <f t="array" ref="C151">GetValue("Tbl","Alias",B151)</f>
        <v>Rst</v>
      </c>
      <c r="D151" s="17" cm="1">
        <f t="array" ref="D151">GetDomainId(C151,G151)</f>
        <v>55</v>
      </c>
      <c r="E151" s="17" t="str" cm="1">
        <f t="array" ref="E151">GetValue("Dmn","Name",D151)</f>
        <v>BigId</v>
      </c>
      <c r="F151" s="17">
        <f t="shared" si="7"/>
        <v>5</v>
      </c>
      <c r="G151" s="17" t="str" cm="1">
        <f t="array" ref="G151">GetColumnName(C151,IF(B151=B150,G150,""))</f>
        <v>Id</v>
      </c>
      <c r="H151" s="17" t="str">
        <f t="shared" si="9"/>
        <v>Informe 'Id'</v>
      </c>
      <c r="I151" s="17" t="str" cm="1">
        <f t="array" ref="I151">GetCaption(C151,G151)</f>
        <v>Id</v>
      </c>
      <c r="J151" s="17" t="b">
        <v>1</v>
      </c>
      <c r="K151" s="17" t="b" cm="1">
        <f t="array" ref="K151">IsPrimaryKey(A151)</f>
        <v>1</v>
      </c>
      <c r="L151" s="17" t="b" cm="1">
        <f t="array" ref="L151">IsAutoincrement(A151)</f>
        <v>1</v>
      </c>
      <c r="M151" s="17" t="str" cm="1">
        <f t="array" ref="M151">IsFilterable(A151)</f>
        <v/>
      </c>
      <c r="N151" s="17" t="str" cm="1">
        <f t="array" ref="N151">IsEditable(A151)</f>
        <v/>
      </c>
      <c r="O151" s="17" t="str" cm="1">
        <f t="array" ref="O151">IsBrowseable(A151)</f>
        <v/>
      </c>
      <c r="P151" s="17" t="e" cm="1">
        <f t="array" ref="P151">IsListable(A151)</f>
        <v>#VALUE!</v>
      </c>
      <c r="Q151" s="17" t="str" cm="1">
        <f t="array" ref="Q151">IsEncrypted(A151)</f>
        <v/>
      </c>
      <c r="R151" s="17" t="str" cm="1">
        <f t="array" ref="R151">IsInWords(A151)</f>
        <v/>
      </c>
      <c r="S151" s="17" t="b">
        <v>0</v>
      </c>
    </row>
    <row r="152" spans="1:19">
      <c r="A152" s="17">
        <f t="shared" si="8"/>
        <v>148</v>
      </c>
      <c r="B152" s="18" cm="1">
        <f t="array" ref="B152">GetTableId(B151,G151)</f>
        <v>23</v>
      </c>
      <c r="C152" s="17" t="str" cm="1">
        <f t="array" ref="C152">GetValue("Tbl","Alias",B152)</f>
        <v>Rst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7"/>
        <v>10</v>
      </c>
      <c r="G152" s="17" t="str" cm="1">
        <f t="array" ref="G152">GetColumnName(C152,IF(B152=B151,G151,""))</f>
        <v>TableId</v>
      </c>
      <c r="H152" s="17" t="str">
        <f t="shared" si="9"/>
        <v>Informe 'Tabela'</v>
      </c>
      <c r="I152" s="17" t="str" cm="1">
        <f t="array" ref="I152">GetCaption(C152,G152)</f>
        <v>Tabela</v>
      </c>
      <c r="J152" s="17" t="b">
        <v>0</v>
      </c>
      <c r="K152" s="17" t="b" cm="1">
        <f t="array" ref="K152">IsPrimaryKey(A152)</f>
        <v>0</v>
      </c>
      <c r="L152" s="17" t="b" cm="1">
        <f t="array" ref="L152">IsAutoincrement(A152)</f>
        <v>0</v>
      </c>
      <c r="M152" s="17" t="b" cm="1">
        <f t="array" ref="M152">IsFilterable(A152)</f>
        <v>1</v>
      </c>
      <c r="N152" s="17" t="b" cm="1">
        <f t="array" ref="N152">IsEditable(A152)</f>
        <v>1</v>
      </c>
      <c r="O152" s="17" t="b" cm="1">
        <f t="array" ref="O152">IsBrowseable(A152)</f>
        <v>1</v>
      </c>
      <c r="P152" s="17" t="e" cm="1">
        <f t="array" ref="P152">IsListable(A152)</f>
        <v>#VALUE!</v>
      </c>
      <c r="Q152" s="17" t="str" cm="1">
        <f t="array" ref="Q152">IsEncrypted(A152)</f>
        <v/>
      </c>
      <c r="R152" s="17" t="b" cm="1">
        <f t="array" ref="R152">IsInWords(A152)</f>
        <v>0</v>
      </c>
      <c r="S152" s="17" t="b">
        <v>0</v>
      </c>
    </row>
    <row r="153" spans="1:19">
      <c r="A153" s="17">
        <f t="shared" si="8"/>
        <v>149</v>
      </c>
      <c r="B153" s="18" cm="1">
        <f t="array" ref="B153">GetTableId(B152,G152)</f>
        <v>23</v>
      </c>
      <c r="C153" s="17" t="str" cm="1">
        <f t="array" ref="C153">GetValue("Tbl","Alias",B153)</f>
        <v>Rst</v>
      </c>
      <c r="D153" s="17" cm="1">
        <f t="array" ref="D153">GetDomainId(C153,G153)</f>
        <v>55</v>
      </c>
      <c r="E153" s="17" t="str" cm="1">
        <f t="array" ref="E153">GetValue("Dmn","Name",D153)</f>
        <v>BigId</v>
      </c>
      <c r="F153" s="17">
        <f t="shared" si="7"/>
        <v>15</v>
      </c>
      <c r="G153" s="17" t="str" cm="1">
        <f t="array" ref="G153">GetColumnName(C153,IF(B153=B152,G152,""))</f>
        <v>ColumnId</v>
      </c>
      <c r="H153" s="17" t="str">
        <f t="shared" si="9"/>
        <v>Informe 'Coluna'</v>
      </c>
      <c r="I153" s="17" t="str" cm="1">
        <f t="array" ref="I153">GetCaption(C153,G153)</f>
        <v>Coluna</v>
      </c>
      <c r="J153" s="17" t="b">
        <v>1</v>
      </c>
      <c r="K153" s="17" t="b" cm="1">
        <f t="array" ref="K153">IsPrimaryKey(A153)</f>
        <v>0</v>
      </c>
      <c r="L153" s="17" t="b" cm="1">
        <f t="array" ref="L153">IsAutoincrement(A153)</f>
        <v>0</v>
      </c>
      <c r="M153" s="17" t="b" cm="1">
        <f t="array" ref="M153">IsFilterable(A153)</f>
        <v>1</v>
      </c>
      <c r="N153" s="17" t="b" cm="1">
        <f t="array" ref="N153">IsEditable(A153)</f>
        <v>1</v>
      </c>
      <c r="O153" s="17" t="b" cm="1">
        <f t="array" ref="O153">IsBrowseable(A153)</f>
        <v>1</v>
      </c>
      <c r="P153" s="17" t="e" cm="1">
        <f t="array" ref="P153">IsListable(A153)</f>
        <v>#VALUE!</v>
      </c>
      <c r="Q153" s="17" t="str" cm="1">
        <f t="array" ref="Q153">IsEncrypted(A153)</f>
        <v/>
      </c>
      <c r="R153" s="17" t="b" cm="1">
        <f t="array" ref="R153">IsInWords(A153)</f>
        <v>0</v>
      </c>
      <c r="S153" s="17" t="b">
        <v>0</v>
      </c>
    </row>
    <row r="154" spans="1:19">
      <c r="A154" s="17">
        <f t="shared" si="8"/>
        <v>150</v>
      </c>
      <c r="B154" s="18" cm="1">
        <f t="array" ref="B154">GetTableId(B153,G153)</f>
        <v>23</v>
      </c>
      <c r="C154" s="17" t="str" cm="1">
        <f t="array" ref="C154">GetValue("Tbl","Alias",B154)</f>
        <v>Rst</v>
      </c>
      <c r="D154" s="17" cm="1">
        <f t="array" ref="D154">GetDomainId(C154,G154)</f>
        <v>4</v>
      </c>
      <c r="E154" s="17" t="str" cm="1">
        <f t="array" ref="E154">GetValue("Dmn","Name",D154)</f>
        <v>TinyInteger</v>
      </c>
      <c r="F154" s="17">
        <f t="shared" si="7"/>
        <v>20</v>
      </c>
      <c r="G154" s="17" t="str" cm="1">
        <f t="array" ref="G154">GetColumnName(C154,IF(B154=B153,G153,""))</f>
        <v>Group</v>
      </c>
      <c r="H154" s="17" t="str">
        <f t="shared" si="9"/>
        <v>Informe 'Grupo'</v>
      </c>
      <c r="I154" s="17" t="str" cm="1">
        <f t="array" ref="I154">GetCaption(C154,G154)</f>
        <v>Grupo</v>
      </c>
      <c r="J154" s="17" t="b">
        <v>1</v>
      </c>
      <c r="K154" s="17" t="b" cm="1">
        <f t="array" ref="K154">IsPrimaryKey(A154)</f>
        <v>0</v>
      </c>
      <c r="L154" s="17" t="b" cm="1">
        <f t="array" ref="L154">IsAutoincrement(A154)</f>
        <v>0</v>
      </c>
      <c r="M154" s="17" t="b" cm="1">
        <f t="array" ref="M154">IsFilterable(A154)</f>
        <v>1</v>
      </c>
      <c r="N154" s="17" t="b" cm="1">
        <f t="array" ref="N154">IsEditable(A154)</f>
        <v>1</v>
      </c>
      <c r="O154" s="17" t="b" cm="1">
        <f t="array" ref="O154">IsBrowseable(A154)</f>
        <v>1</v>
      </c>
      <c r="P154" s="17" t="e" cm="1">
        <f t="array" ref="P154">IsListable(A154)</f>
        <v>#VALUE!</v>
      </c>
      <c r="Q154" s="17" t="str" cm="1">
        <f t="array" ref="Q154">IsEncrypted(A154)</f>
        <v/>
      </c>
      <c r="R154" s="17" t="b" cm="1">
        <f t="array" ref="R154">IsInWords(A154)</f>
        <v>0</v>
      </c>
      <c r="S154" s="17" t="b">
        <v>0</v>
      </c>
    </row>
    <row r="155" spans="1:19">
      <c r="A155" s="19">
        <f t="shared" si="8"/>
        <v>151</v>
      </c>
      <c r="B155" s="20" cm="1">
        <f t="array" ref="B155">GetTableId(B154,G154)</f>
        <v>23</v>
      </c>
      <c r="C155" s="19" t="str" cm="1">
        <f t="array" ref="C155">GetValue("Tbl","Alias",B155)</f>
        <v>Rst</v>
      </c>
      <c r="D155" s="19" cm="1">
        <f t="array" ref="D155">GetDomainId(C155,G155)</f>
        <v>62</v>
      </c>
      <c r="E155" s="19" t="str" cm="1">
        <f t="array" ref="E155">GetValue("Dmn","Name",D155)</f>
        <v>Restriction</v>
      </c>
      <c r="F155" s="19">
        <f t="shared" si="7"/>
        <v>25</v>
      </c>
      <c r="G155" s="19" t="str" cm="1">
        <f t="array" ref="G155">GetColumnName(C155,IF(B155=B154,G154,""))</f>
        <v>Restriction</v>
      </c>
      <c r="H155" s="19" t="str">
        <f t="shared" si="9"/>
        <v>Informe 'Restrição'</v>
      </c>
      <c r="I155" s="19" t="str" cm="1">
        <f t="array" ref="I155">GetCaption(C155,G155)</f>
        <v>Restrição</v>
      </c>
      <c r="J155" s="19" t="b">
        <v>1</v>
      </c>
      <c r="K155" s="19" t="b" cm="1">
        <f t="array" ref="K155">IsPrimaryKey(A155)</f>
        <v>0</v>
      </c>
      <c r="L155" s="19" t="str" cm="1">
        <f t="array" ref="L155">IsAutoincrement(A155)</f>
        <v/>
      </c>
      <c r="M155" s="19" t="b" cm="1">
        <f t="array" ref="M155">IsFilterable(A155)</f>
        <v>1</v>
      </c>
      <c r="N155" s="19" t="b" cm="1">
        <f t="array" ref="N155">IsEditable(A155)</f>
        <v>1</v>
      </c>
      <c r="O155" s="19" t="b" cm="1">
        <f t="array" ref="O155">IsBrowseable(A155)</f>
        <v>1</v>
      </c>
      <c r="P155" s="19" t="e" cm="1">
        <f t="array" ref="P155">IsListable(A155)</f>
        <v>#VALUE!</v>
      </c>
      <c r="Q155" s="19" t="b" cm="1">
        <f t="array" ref="Q155">IsEncrypted(A155)</f>
        <v>0</v>
      </c>
      <c r="R155" s="19" t="str" cm="1">
        <f t="array" ref="R155">IsInWords(A155)</f>
        <v/>
      </c>
      <c r="S155" s="19" t="b">
        <v>0</v>
      </c>
    </row>
    <row r="156" spans="1:19">
      <c r="A156" s="19">
        <f t="shared" si="8"/>
        <v>152</v>
      </c>
      <c r="B156" s="20" cm="1">
        <f t="array" ref="B156">GetTableId(B155,G155)</f>
        <v>24</v>
      </c>
      <c r="C156" s="19" t="str" cm="1">
        <f t="array" ref="C156">GetValue("Tbl","Alias",B156)</f>
        <v>Exp</v>
      </c>
      <c r="D156" s="19" cm="1">
        <f t="array" ref="D156">GetDomainId(C156,G156)</f>
        <v>55</v>
      </c>
      <c r="E156" s="19" t="str" cm="1">
        <f t="array" ref="E156">GetValue("Dmn","Name",D156)</f>
        <v>BigId</v>
      </c>
      <c r="F156" s="19">
        <f t="shared" si="7"/>
        <v>5</v>
      </c>
      <c r="G156" s="19" t="str" cm="1">
        <f t="array" ref="G156">GetColumnName(C156,IF(B156=B155,G155,""))</f>
        <v>Id</v>
      </c>
      <c r="H156" s="19" t="str">
        <f t="shared" si="9"/>
        <v>Informe 'Id'</v>
      </c>
      <c r="I156" s="19" t="str" cm="1">
        <f t="array" ref="I156">GetCaption(C156,G156)</f>
        <v>Id</v>
      </c>
      <c r="J156" s="19" t="b">
        <v>1</v>
      </c>
      <c r="K156" s="19" t="b" cm="1">
        <f t="array" ref="K156">IsPrimaryKey(A156)</f>
        <v>1</v>
      </c>
      <c r="L156" s="19" t="b" cm="1">
        <f t="array" ref="L156">IsAutoincrement(A156)</f>
        <v>1</v>
      </c>
      <c r="M156" s="19" t="str" cm="1">
        <f t="array" ref="M156">IsFilterable(A156)</f>
        <v/>
      </c>
      <c r="N156" s="19" t="str" cm="1">
        <f t="array" ref="N156">IsEditable(A156)</f>
        <v/>
      </c>
      <c r="O156" s="19" t="str" cm="1">
        <f t="array" ref="O156">IsBrowseable(A156)</f>
        <v/>
      </c>
      <c r="P156" s="19" t="e" cm="1">
        <f t="array" ref="P156">IsListable(A156)</f>
        <v>#VALUE!</v>
      </c>
      <c r="Q156" s="19" t="str" cm="1">
        <f t="array" ref="Q156">IsEncrypted(A156)</f>
        <v/>
      </c>
      <c r="R156" s="19" t="str" cm="1">
        <f t="array" ref="R156">IsInWords(A156)</f>
        <v/>
      </c>
      <c r="S156" s="19" t="b">
        <v>0</v>
      </c>
    </row>
    <row r="157" spans="1:19">
      <c r="A157" s="19">
        <f t="shared" si="8"/>
        <v>153</v>
      </c>
      <c r="B157" s="20" cm="1">
        <f t="array" ref="B157">GetTableId(B156,G156)</f>
        <v>24</v>
      </c>
      <c r="C157" s="19" t="str" cm="1">
        <f t="array" ref="C157">GetValue("Tbl","Alias",B157)</f>
        <v>Exp</v>
      </c>
      <c r="D157" s="19" cm="1">
        <f t="array" ref="D157">GetDomainId(C157,G157)</f>
        <v>55</v>
      </c>
      <c r="E157" s="19" t="str" cm="1">
        <f t="array" ref="E157">GetValue("Dmn","Name",D157)</f>
        <v>BigId</v>
      </c>
      <c r="F157" s="19">
        <f t="shared" si="7"/>
        <v>10</v>
      </c>
      <c r="G157" s="19" t="str" cm="1">
        <f t="array" ref="G157">GetColumnName(C157,IF(B157=B156,G156,""))</f>
        <v>TableId</v>
      </c>
      <c r="H157" s="19" t="str">
        <f t="shared" si="9"/>
        <v>Informe 'Tabela'</v>
      </c>
      <c r="I157" s="19" t="str" cm="1">
        <f t="array" ref="I157">GetCaption(C157,G157)</f>
        <v>Tabela</v>
      </c>
      <c r="J157" s="19" t="b">
        <v>1</v>
      </c>
      <c r="K157" s="19" t="b" cm="1">
        <f t="array" ref="K157">IsPrimaryKey(A157)</f>
        <v>0</v>
      </c>
      <c r="L157" s="19" t="b" cm="1">
        <f t="array" ref="L157">IsAutoincrement(A157)</f>
        <v>0</v>
      </c>
      <c r="M157" s="19" t="b" cm="1">
        <f t="array" ref="M157">IsFilterable(A157)</f>
        <v>1</v>
      </c>
      <c r="N157" s="19" t="b" cm="1">
        <f t="array" ref="N157">IsEditable(A157)</f>
        <v>1</v>
      </c>
      <c r="O157" s="19" t="b" cm="1">
        <f t="array" ref="O157">IsBrowseable(A157)</f>
        <v>1</v>
      </c>
      <c r="P157" s="19" t="e" cm="1">
        <f t="array" ref="P157">IsListable(A157)</f>
        <v>#VALUE!</v>
      </c>
      <c r="Q157" s="19" t="str" cm="1">
        <f t="array" ref="Q157">IsEncrypted(A157)</f>
        <v/>
      </c>
      <c r="R157" s="19" t="b" cm="1">
        <f t="array" ref="R157">IsInWords(A157)</f>
        <v>0</v>
      </c>
      <c r="S157" s="19" t="b">
        <v>0</v>
      </c>
    </row>
    <row r="158" spans="1:19">
      <c r="A158" s="17">
        <f t="shared" si="8"/>
        <v>154</v>
      </c>
      <c r="B158" s="18" cm="1">
        <f t="array" ref="B158">GetTableId(B157,G157)</f>
        <v>24</v>
      </c>
      <c r="C158" s="17" t="str" cm="1">
        <f t="array" ref="C158">GetValue("Tbl","Alias",B158)</f>
        <v>Exp</v>
      </c>
      <c r="D158" s="17" cm="1">
        <f t="array" ref="D158">GetDomainId(C158,G158)</f>
        <v>11</v>
      </c>
      <c r="E158" s="17" t="str" cm="1">
        <f t="array" ref="E158">GetValue("Dmn","Name",D158)</f>
        <v>NVARCHAR(25)</v>
      </c>
      <c r="F158" s="17">
        <f t="shared" si="7"/>
        <v>15</v>
      </c>
      <c r="G158" s="17" t="str" cm="1">
        <f t="array" ref="G158">GetColumnName(C158,IF(B158=B157,G157,""))</f>
        <v>Name</v>
      </c>
      <c r="H158" s="17" t="str">
        <f t="shared" si="9"/>
        <v>Informe 'Nome'</v>
      </c>
      <c r="I158" s="17" t="str" cm="1">
        <f t="array" ref="I158">GetCaption(C158,G158)</f>
        <v>Nome</v>
      </c>
      <c r="J158" s="17" t="b">
        <v>1</v>
      </c>
      <c r="K158" s="17" t="b" cm="1">
        <f t="array" ref="K158">IsPrimaryKey(A158)</f>
        <v>0</v>
      </c>
      <c r="L158" s="17" t="str" cm="1">
        <f t="array" ref="L158">IsAutoincrement(A158)</f>
        <v/>
      </c>
      <c r="M158" s="17" t="b" cm="1">
        <f t="array" ref="M158">IsFilterable(A158)</f>
        <v>1</v>
      </c>
      <c r="N158" s="17" t="b" cm="1">
        <f t="array" ref="N158">IsEditable(A158)</f>
        <v>1</v>
      </c>
      <c r="O158" s="17" t="b" cm="1">
        <f t="array" ref="O158">IsBrowseable(A158)</f>
        <v>1</v>
      </c>
      <c r="P158" s="17" t="e" cm="1">
        <f t="array" ref="P158">IsListable(A158)</f>
        <v>#VALUE!</v>
      </c>
      <c r="Q158" s="17" t="b" cm="1">
        <f t="array" ref="Q158">IsEncrypted(A158)</f>
        <v>0</v>
      </c>
      <c r="R158" s="17" t="str" cm="1">
        <f t="array" ref="R158">IsInWords(A158)</f>
        <v/>
      </c>
      <c r="S158" s="17" t="b">
        <v>0</v>
      </c>
    </row>
    <row r="159" spans="1:19">
      <c r="A159" s="17">
        <f t="shared" si="8"/>
        <v>155</v>
      </c>
      <c r="B159" s="18" cm="1">
        <f t="array" ref="B159">GetTableId(B158,G158)</f>
        <v>25</v>
      </c>
      <c r="C159" s="17" t="str" cm="1">
        <f t="array" ref="C159">GetValue("Tbl","Alias",B159)</f>
        <v>Cnd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7"/>
        <v>5</v>
      </c>
      <c r="G159" s="17" t="str" cm="1">
        <f t="array" ref="G159">GetColumnName(C159,IF(B159=B158,G158,""))</f>
        <v>Id</v>
      </c>
      <c r="H159" s="17" t="str">
        <f t="shared" si="9"/>
        <v>Informe 'Id'</v>
      </c>
      <c r="I159" s="17" t="str" cm="1">
        <f t="array" ref="I159">GetCaption(C159,G159)</f>
        <v>Id</v>
      </c>
      <c r="J159" s="17" t="b">
        <v>1</v>
      </c>
      <c r="K159" s="17" t="b" cm="1">
        <f t="array" ref="K159">IsPrimaryKey(A159)</f>
        <v>1</v>
      </c>
      <c r="L159" s="17" t="b" cm="1">
        <f t="array" ref="L159">IsAutoincrement(A159)</f>
        <v>1</v>
      </c>
      <c r="M159" s="17" t="str" cm="1">
        <f t="array" ref="M159">IsFilterable(A159)</f>
        <v/>
      </c>
      <c r="N159" s="17" t="str" cm="1">
        <f t="array" ref="N159">IsEditable(A159)</f>
        <v/>
      </c>
      <c r="O159" s="17" t="str" cm="1">
        <f t="array" ref="O159">IsBrowseable(A159)</f>
        <v/>
      </c>
      <c r="P159" s="17" t="e" cm="1">
        <f t="array" ref="P159">IsListable(A159)</f>
        <v>#VALUE!</v>
      </c>
      <c r="Q159" s="17" t="str" cm="1">
        <f t="array" ref="Q159">IsEncrypted(A159)</f>
        <v/>
      </c>
      <c r="R159" s="17" t="str" cm="1">
        <f t="array" ref="R159">IsInWords(A159)</f>
        <v/>
      </c>
      <c r="S159" s="17" t="b">
        <v>0</v>
      </c>
    </row>
    <row r="160" spans="1:19">
      <c r="A160" s="17">
        <f t="shared" si="8"/>
        <v>156</v>
      </c>
      <c r="B160" s="18" cm="1">
        <f t="array" ref="B160">GetTableId(B159,G159)</f>
        <v>25</v>
      </c>
      <c r="C160" s="17" t="str" cm="1">
        <f t="array" ref="C160">GetValue("Tbl","Alias",B160)</f>
        <v>Cnd</v>
      </c>
      <c r="D160" s="17" cm="1">
        <f t="array" ref="D160">GetDomainId(C160,G160)</f>
        <v>55</v>
      </c>
      <c r="E160" s="17" t="str" cm="1">
        <f t="array" ref="E160">GetValue("Dmn","Name",D160)</f>
        <v>BigId</v>
      </c>
      <c r="F160" s="17">
        <f t="shared" si="7"/>
        <v>10</v>
      </c>
      <c r="G160" s="17" t="str" cm="1">
        <f t="array" ref="G160">GetColumnName(C160,IF(B160=B159,G159,""))</f>
        <v>ExpressionId</v>
      </c>
      <c r="H160" s="17" t="str">
        <f t="shared" si="9"/>
        <v>Informe 'Expressão'</v>
      </c>
      <c r="I160" s="17" t="str" cm="1">
        <f t="array" ref="I160">GetCaption(C160,G160)</f>
        <v>Expressão</v>
      </c>
      <c r="J160" s="17" t="b">
        <v>1</v>
      </c>
      <c r="K160" s="17" t="b" cm="1">
        <f t="array" ref="K160">IsPrimaryKey(A160)</f>
        <v>0</v>
      </c>
      <c r="L160" s="17" t="b" cm="1">
        <f t="array" ref="L160">IsAutoincrement(A160)</f>
        <v>0</v>
      </c>
      <c r="M160" s="17" t="b" cm="1">
        <f t="array" ref="M160">IsFilterable(A160)</f>
        <v>1</v>
      </c>
      <c r="N160" s="17" t="b" cm="1">
        <f t="array" ref="N160">IsEditable(A160)</f>
        <v>1</v>
      </c>
      <c r="O160" s="17" t="b" cm="1">
        <f t="array" ref="O160">IsBrowseable(A160)</f>
        <v>1</v>
      </c>
      <c r="P160" s="17" t="e" cm="1">
        <f t="array" ref="P160">IsListable(A160)</f>
        <v>#VALUE!</v>
      </c>
      <c r="Q160" s="17" t="str" cm="1">
        <f t="array" ref="Q160">IsEncrypted(A160)</f>
        <v/>
      </c>
      <c r="R160" s="17" t="b" cm="1">
        <f t="array" ref="R160">IsInWords(A160)</f>
        <v>0</v>
      </c>
      <c r="S160" s="17" t="b">
        <v>0</v>
      </c>
    </row>
    <row r="161" spans="1:19">
      <c r="A161" s="17">
        <f t="shared" si="8"/>
        <v>157</v>
      </c>
      <c r="B161" s="18" cm="1">
        <f t="array" ref="B161">GetTableId(B160,G160)</f>
        <v>25</v>
      </c>
      <c r="C161" s="17" t="str" cm="1">
        <f t="array" ref="C161">GetValue("Tbl","Alias",B161)</f>
        <v>Cnd</v>
      </c>
      <c r="D161" s="17" cm="1">
        <f t="array" ref="D161">GetDomainId(C161,G161)</f>
        <v>59</v>
      </c>
      <c r="E161" s="17" t="str" cm="1">
        <f t="array" ref="E161">GetValue("Dmn","Name",D161)</f>
        <v>SEQUENCE</v>
      </c>
      <c r="F161" s="17">
        <f t="shared" si="7"/>
        <v>15</v>
      </c>
      <c r="G161" s="17" t="str" cm="1">
        <f t="array" ref="G161">GetColumnName(C161,IF(B161=B160,G160,""))</f>
        <v>Sequence</v>
      </c>
      <c r="H161" s="17" t="str">
        <f t="shared" si="9"/>
        <v>Informe 'Sequência'</v>
      </c>
      <c r="I161" s="17" t="str" cm="1">
        <f t="array" ref="I161">GetCaption(C161,G161)</f>
        <v>Sequência</v>
      </c>
      <c r="J161" s="17" t="b">
        <v>1</v>
      </c>
      <c r="K161" s="17" t="b" cm="1">
        <f t="array" ref="K161">IsPrimaryKey(A161)</f>
        <v>0</v>
      </c>
      <c r="L161" s="17" t="b" cm="1">
        <f t="array" ref="L161">IsAutoincrement(A161)</f>
        <v>0</v>
      </c>
      <c r="M161" s="17" t="b" cm="1">
        <f t="array" ref="M161">IsFilterable(A161)</f>
        <v>1</v>
      </c>
      <c r="N161" s="17" t="b" cm="1">
        <f t="array" ref="N161">IsEditable(A161)</f>
        <v>1</v>
      </c>
      <c r="O161" s="17" t="b" cm="1">
        <f t="array" ref="O161">IsBrowseable(A161)</f>
        <v>1</v>
      </c>
      <c r="P161" s="17" t="e" cm="1">
        <f t="array" ref="P161">IsListable(A161)</f>
        <v>#VALUE!</v>
      </c>
      <c r="Q161" s="17" t="str" cm="1">
        <f t="array" ref="Q161">IsEncrypted(A161)</f>
        <v/>
      </c>
      <c r="R161" s="17" t="b" cm="1">
        <f t="array" ref="R161">IsInWords(A161)</f>
        <v>0</v>
      </c>
      <c r="S161" s="17" t="b">
        <v>0</v>
      </c>
    </row>
    <row r="162" spans="1:19">
      <c r="A162" s="17">
        <f t="shared" si="8"/>
        <v>158</v>
      </c>
      <c r="B162" s="18" cm="1">
        <f t="array" ref="B162">GetTableId(B161,G161)</f>
        <v>25</v>
      </c>
      <c r="C162" s="17" t="str" cm="1">
        <f t="array" ref="C162">GetValue("Tbl","Alias",B162)</f>
        <v>Cnd</v>
      </c>
      <c r="D162" s="17" cm="1">
        <f t="array" ref="D162">GetDomainId(C162,G162)</f>
        <v>29</v>
      </c>
      <c r="E162" s="17" t="str" cm="1">
        <f t="array" ref="E162">GetValue("Dmn","Name",D162)</f>
        <v>Logical Connector</v>
      </c>
      <c r="F162" s="17">
        <f t="shared" si="7"/>
        <v>20</v>
      </c>
      <c r="G162" s="17" t="str" cm="1">
        <f t="array" ref="G162">GetColumnName(C162,IF(B162=B161,G161,""))</f>
        <v>Connector</v>
      </c>
      <c r="H162" s="17" t="str">
        <f t="shared" si="9"/>
        <v>Informe 'Conector'</v>
      </c>
      <c r="I162" s="17" t="str" cm="1">
        <f t="array" ref="I162">GetCaption(C162,G162)</f>
        <v>Conector</v>
      </c>
      <c r="J162" s="17" t="b">
        <v>1</v>
      </c>
      <c r="K162" s="17" t="b" cm="1">
        <f t="array" ref="K162">IsPrimaryKey(A162)</f>
        <v>0</v>
      </c>
      <c r="L162" s="17" t="str" cm="1">
        <f t="array" ref="L162">IsAutoincrement(A162)</f>
        <v/>
      </c>
      <c r="M162" s="17" t="b" cm="1">
        <f t="array" ref="M162">IsFilterable(A162)</f>
        <v>1</v>
      </c>
      <c r="N162" s="17" t="b" cm="1">
        <f t="array" ref="N162">IsEditable(A162)</f>
        <v>1</v>
      </c>
      <c r="O162" s="17" t="b" cm="1">
        <f t="array" ref="O162">IsBrowseable(A162)</f>
        <v>1</v>
      </c>
      <c r="P162" s="17" t="e" cm="1">
        <f t="array" ref="P162">IsListable(A162)</f>
        <v>#VALUE!</v>
      </c>
      <c r="Q162" s="17" t="b" cm="1">
        <f t="array" ref="Q162">IsEncrypted(A162)</f>
        <v>0</v>
      </c>
      <c r="R162" s="17" t="str" cm="1">
        <f t="array" ref="R162">IsInWords(A162)</f>
        <v/>
      </c>
      <c r="S162" s="17" t="b">
        <v>0</v>
      </c>
    </row>
    <row r="163" spans="1:19">
      <c r="A163" s="17">
        <f t="shared" si="8"/>
        <v>159</v>
      </c>
      <c r="B163" s="18" cm="1">
        <f t="array" ref="B163">GetTableId(B162,G162)</f>
        <v>25</v>
      </c>
      <c r="C163" s="17" t="str" cm="1">
        <f t="array" ref="C163">GetValue("Tbl","Alias",B163)</f>
        <v>Cnd</v>
      </c>
      <c r="D163" s="17" cm="1">
        <f t="array" ref="D163">GetDomainId(C163,G163)</f>
        <v>30</v>
      </c>
      <c r="E163" s="17" t="str" cm="1">
        <f t="array" ref="E163">GetValue("Dmn","Name",D163)</f>
        <v>Left Parenthesis</v>
      </c>
      <c r="F163" s="17">
        <f t="shared" si="7"/>
        <v>25</v>
      </c>
      <c r="G163" s="17" t="str" cm="1">
        <f t="array" ref="G163">GetColumnName(C163,IF(B163=B162,G162,""))</f>
        <v>LeftParenthesis</v>
      </c>
      <c r="H163" s="17" t="str">
        <f t="shared" si="9"/>
        <v>Informe 'Parênteses Esquerdos'</v>
      </c>
      <c r="I163" s="17" t="str" cm="1">
        <f t="array" ref="I163">GetCaption(C163,G163)</f>
        <v>Parênteses Esquerdos</v>
      </c>
      <c r="J163" s="17" t="b">
        <v>1</v>
      </c>
      <c r="K163" s="17" t="b" cm="1">
        <f t="array" ref="K163">IsPrimaryKey(A163)</f>
        <v>0</v>
      </c>
      <c r="L163" s="17" t="str" cm="1">
        <f t="array" ref="L163">IsAutoincrement(A163)</f>
        <v/>
      </c>
      <c r="M163" s="17" t="b" cm="1">
        <f t="array" ref="M163">IsFilterable(A163)</f>
        <v>1</v>
      </c>
      <c r="N163" s="17" t="b" cm="1">
        <f t="array" ref="N163">IsEditable(A163)</f>
        <v>1</v>
      </c>
      <c r="O163" s="17" t="b" cm="1">
        <f t="array" ref="O163">IsBrowseable(A163)</f>
        <v>1</v>
      </c>
      <c r="P163" s="17" t="e" cm="1">
        <f t="array" ref="P163">IsListable(A163)</f>
        <v>#VALUE!</v>
      </c>
      <c r="Q163" s="17" t="b" cm="1">
        <f t="array" ref="Q163">IsEncrypted(A163)</f>
        <v>0</v>
      </c>
      <c r="R163" s="17" t="str" cm="1">
        <f t="array" ref="R163">IsInWords(A163)</f>
        <v/>
      </c>
      <c r="S163" s="17" t="b">
        <v>0</v>
      </c>
    </row>
    <row r="164" spans="1:19">
      <c r="A164" s="17">
        <f t="shared" si="8"/>
        <v>160</v>
      </c>
      <c r="B164" s="18" cm="1">
        <f t="array" ref="B164">GetTableId(B163,G163)</f>
        <v>25</v>
      </c>
      <c r="C164" s="17" t="str" cm="1">
        <f t="array" ref="C164">GetValue("Tbl","Alias",B164)</f>
        <v>Cnd</v>
      </c>
      <c r="D164" s="17" cm="1">
        <f t="array" ref="D164">GetDomainId(C164,G164)</f>
        <v>55</v>
      </c>
      <c r="E164" s="17" t="str" cm="1">
        <f t="array" ref="E164">GetValue("Dmn","Name",D164)</f>
        <v>BigId</v>
      </c>
      <c r="F164" s="17">
        <f t="shared" si="7"/>
        <v>30</v>
      </c>
      <c r="G164" s="17" t="str" cm="1">
        <f t="array" ref="G164">GetColumnName(C164,IF(B164=B163,G163,""))</f>
        <v>LeftColumnId</v>
      </c>
      <c r="H164" s="17" t="str">
        <f t="shared" si="9"/>
        <v>Informe 'Coluna Esquerda'</v>
      </c>
      <c r="I164" s="17" t="str" cm="1">
        <f t="array" ref="I164">GetCaption(C164,G164)</f>
        <v>Coluna Esquerda</v>
      </c>
      <c r="J164" s="17" t="b">
        <v>0</v>
      </c>
      <c r="K164" s="17" t="b" cm="1">
        <f t="array" ref="K164">IsPrimaryKey(A164)</f>
        <v>0</v>
      </c>
      <c r="L164" s="17" t="b" cm="1">
        <f t="array" ref="L164">IsAutoincrement(A164)</f>
        <v>0</v>
      </c>
      <c r="M164" s="17" t="b" cm="1">
        <f t="array" ref="M164">IsFilterable(A164)</f>
        <v>1</v>
      </c>
      <c r="N164" s="17" t="b" cm="1">
        <f t="array" ref="N164">IsEditable(A164)</f>
        <v>1</v>
      </c>
      <c r="O164" s="17" t="b" cm="1">
        <f t="array" ref="O164">IsBrowseable(A164)</f>
        <v>1</v>
      </c>
      <c r="P164" s="17" t="e" cm="1">
        <f t="array" ref="P164">IsListable(A164)</f>
        <v>#VALUE!</v>
      </c>
      <c r="Q164" s="17" t="str" cm="1">
        <f t="array" ref="Q164">IsEncrypted(A164)</f>
        <v/>
      </c>
      <c r="R164" s="17" t="b" cm="1">
        <f t="array" ref="R164">IsInWords(A164)</f>
        <v>0</v>
      </c>
      <c r="S164" s="17" t="b">
        <v>0</v>
      </c>
    </row>
    <row r="165" spans="1:19">
      <c r="A165" s="17">
        <f t="shared" si="8"/>
        <v>161</v>
      </c>
      <c r="B165" s="18" cm="1">
        <f t="array" ref="B165">GetTableId(B164,G164)</f>
        <v>25</v>
      </c>
      <c r="C165" s="17" t="str" cm="1">
        <f t="array" ref="C165">GetValue("Tbl","Alias",B165)</f>
        <v>Cnd</v>
      </c>
      <c r="D165" s="17" cm="1">
        <f t="array" ref="D165">GetDomainId(C165,G165)</f>
        <v>58</v>
      </c>
      <c r="E165" s="17" t="str" cm="1">
        <f t="array" ref="E165">GetValue("Dmn","Name",D165)</f>
        <v>TinyId</v>
      </c>
      <c r="F165" s="17">
        <f t="shared" si="7"/>
        <v>35</v>
      </c>
      <c r="G165" s="17" t="str" cm="1">
        <f t="array" ref="G165">GetColumnName(C165,IF(B165=B164,G164,""))</f>
        <v>ComparatorId</v>
      </c>
      <c r="H165" s="17" t="str">
        <f t="shared" si="9"/>
        <v>Informe 'Comparador'</v>
      </c>
      <c r="I165" s="17" t="str" cm="1">
        <f t="array" ref="I165">GetCaption(C165,G165)</f>
        <v>Comparador</v>
      </c>
      <c r="J165" s="17" t="b">
        <v>0</v>
      </c>
      <c r="K165" s="17" t="b" cm="1">
        <f t="array" ref="K165">IsPrimaryKey(A165)</f>
        <v>0</v>
      </c>
      <c r="L165" s="17" t="b" cm="1">
        <f t="array" ref="L165">IsAutoincrement(A165)</f>
        <v>0</v>
      </c>
      <c r="M165" s="17" t="b" cm="1">
        <f t="array" ref="M165">IsFilterable(A165)</f>
        <v>1</v>
      </c>
      <c r="N165" s="17" t="b" cm="1">
        <f t="array" ref="N165">IsEditable(A165)</f>
        <v>1</v>
      </c>
      <c r="O165" s="17" t="b" cm="1">
        <f t="array" ref="O165">IsBrowseable(A165)</f>
        <v>1</v>
      </c>
      <c r="P165" s="17" t="e" cm="1">
        <f t="array" ref="P165">IsListable(A165)</f>
        <v>#VALUE!</v>
      </c>
      <c r="Q165" s="17" t="str" cm="1">
        <f t="array" ref="Q165">IsEncrypted(A165)</f>
        <v/>
      </c>
      <c r="R165" s="17" t="b" cm="1">
        <f t="array" ref="R165">IsInWords(A165)</f>
        <v>0</v>
      </c>
      <c r="S165" s="17" t="b">
        <v>0</v>
      </c>
    </row>
    <row r="166" spans="1:19">
      <c r="A166" s="17">
        <f t="shared" si="8"/>
        <v>162</v>
      </c>
      <c r="B166" s="18" cm="1">
        <f t="array" ref="B166">GetTableId(B165,G165)</f>
        <v>25</v>
      </c>
      <c r="C166" s="17" t="str" cm="1">
        <f t="array" ref="C166">GetValue("Tbl","Alias",B166)</f>
        <v>Cnd</v>
      </c>
      <c r="D166" s="17" cm="1">
        <f t="array" ref="D166">GetDomainId(C166,G166)</f>
        <v>55</v>
      </c>
      <c r="E166" s="17" t="str" cm="1">
        <f t="array" ref="E166">GetValue("Dmn","Name",D166)</f>
        <v>BigId</v>
      </c>
      <c r="F166" s="17">
        <f t="shared" si="7"/>
        <v>40</v>
      </c>
      <c r="G166" s="17" t="str" cm="1">
        <f t="array" ref="G166">GetColumnName(C166,IF(B166=B165,G165,""))</f>
        <v>RightColumnId</v>
      </c>
      <c r="H166" s="17" t="str">
        <f t="shared" si="9"/>
        <v>Informe 'Coluna Direita'</v>
      </c>
      <c r="I166" s="17" t="str" cm="1">
        <f t="array" ref="I166">GetCaption(C166,G166)</f>
        <v>Coluna Direita</v>
      </c>
      <c r="J166" s="17" t="b">
        <v>0</v>
      </c>
      <c r="K166" s="17" t="b" cm="1">
        <f t="array" ref="K166">IsPrimaryKey(A166)</f>
        <v>0</v>
      </c>
      <c r="L166" s="17" t="b" cm="1">
        <f t="array" ref="L166">IsAutoincrement(A166)</f>
        <v>0</v>
      </c>
      <c r="M166" s="17" t="b" cm="1">
        <f t="array" ref="M166">IsFilterable(A166)</f>
        <v>1</v>
      </c>
      <c r="N166" s="17" t="b" cm="1">
        <f t="array" ref="N166">IsEditable(A166)</f>
        <v>1</v>
      </c>
      <c r="O166" s="17" t="b" cm="1">
        <f t="array" ref="O166">IsBrowseable(A166)</f>
        <v>1</v>
      </c>
      <c r="P166" s="17" t="e" cm="1">
        <f t="array" ref="P166">IsListable(A166)</f>
        <v>#VALUE!</v>
      </c>
      <c r="Q166" s="17" t="str" cm="1">
        <f t="array" ref="Q166">IsEncrypted(A166)</f>
        <v/>
      </c>
      <c r="R166" s="17" t="b" cm="1">
        <f t="array" ref="R166">IsInWords(A166)</f>
        <v>0</v>
      </c>
      <c r="S166" s="17" t="b">
        <v>0</v>
      </c>
    </row>
    <row r="167" spans="1:19">
      <c r="A167" s="17">
        <f t="shared" si="8"/>
        <v>163</v>
      </c>
      <c r="B167" s="18" cm="1">
        <f t="array" ref="B167">GetTableId(B166,G166)</f>
        <v>25</v>
      </c>
      <c r="C167" s="17" t="str" cm="1">
        <f t="array" ref="C167">GetValue("Tbl","Alias",B167)</f>
        <v>Cnd</v>
      </c>
      <c r="D167" s="17" cm="1">
        <f t="array" ref="D167">GetDomainId(C167,G167)</f>
        <v>24</v>
      </c>
      <c r="E167" s="17" t="str" cm="1">
        <f t="array" ref="E167">GetValue("Dmn","Name",D167)</f>
        <v>VARIANT</v>
      </c>
      <c r="F167" s="17">
        <f t="shared" si="7"/>
        <v>45</v>
      </c>
      <c r="G167" s="17" t="str" cm="1">
        <f t="array" ref="G167">GetColumnName(C167,IF(B167=B166,G166,""))</f>
        <v>Value</v>
      </c>
      <c r="H167" s="17" t="str">
        <f t="shared" si="9"/>
        <v>Informe 'Valor'</v>
      </c>
      <c r="I167" s="17" t="str" cm="1">
        <f t="array" ref="I167">GetCaption(C167,G167)</f>
        <v>Valor</v>
      </c>
      <c r="J167" s="17" t="b">
        <v>0</v>
      </c>
      <c r="K167" s="17" t="str" cm="1">
        <f t="array" ref="K167">IsPrimaryKey(A167)</f>
        <v/>
      </c>
      <c r="L167" s="17" t="str" cm="1">
        <f t="array" ref="L167">IsAutoincrement(A167)</f>
        <v/>
      </c>
      <c r="M167" s="17" t="str" cm="1">
        <f t="array" ref="M167">IsFilterable(A167)</f>
        <v/>
      </c>
      <c r="N167" s="17" t="b" cm="1">
        <f t="array" ref="N167">IsEditable(A167)</f>
        <v>1</v>
      </c>
      <c r="O167" s="17" t="str" cm="1">
        <f t="array" ref="O167">IsBrowseable(A167)</f>
        <v/>
      </c>
      <c r="P167" s="17" t="e" cm="1">
        <f t="array" ref="P167">IsListable(A167)</f>
        <v>#VALUE!</v>
      </c>
      <c r="Q167" s="17" t="str" cm="1">
        <f t="array" ref="Q167">IsEncrypted(A167)</f>
        <v/>
      </c>
      <c r="R167" s="17" t="str" cm="1">
        <f t="array" ref="R167">IsInWords(A167)</f>
        <v/>
      </c>
      <c r="S167" s="17" t="b">
        <v>0</v>
      </c>
    </row>
    <row r="168" spans="1:19">
      <c r="A168" s="19">
        <f t="shared" si="8"/>
        <v>164</v>
      </c>
      <c r="B168" s="20" cm="1">
        <f t="array" ref="B168">GetTableId(B167,G167)</f>
        <v>25</v>
      </c>
      <c r="C168" s="19" t="str" cm="1">
        <f t="array" ref="C168">GetValue("Tbl","Alias",B168)</f>
        <v>Cnd</v>
      </c>
      <c r="D168" s="19" cm="1">
        <f t="array" ref="D168">GetDomainId(C168,G168)</f>
        <v>31</v>
      </c>
      <c r="E168" s="19" t="str" cm="1">
        <f t="array" ref="E168">GetValue("Dmn","Name",D168)</f>
        <v>Right Parenthesis</v>
      </c>
      <c r="F168" s="19">
        <f t="shared" si="7"/>
        <v>50</v>
      </c>
      <c r="G168" s="19" t="str" cm="1">
        <f t="array" ref="G168">GetColumnName(C168,IF(B168=B167,G167,""))</f>
        <v>RightParenthesis</v>
      </c>
      <c r="H168" s="19" t="str">
        <f t="shared" si="9"/>
        <v>Informe 'Parênteses Direitos'</v>
      </c>
      <c r="I168" s="19" t="str" cm="1">
        <f t="array" ref="I168">GetCaption(C168,G168)</f>
        <v>Parênteses Direitos</v>
      </c>
      <c r="J168" s="19" t="b">
        <v>1</v>
      </c>
      <c r="K168" s="19" t="b" cm="1">
        <f t="array" ref="K168">IsPrimaryKey(A168)</f>
        <v>0</v>
      </c>
      <c r="L168" s="19" t="str" cm="1">
        <f t="array" ref="L168">IsAutoincrement(A168)</f>
        <v/>
      </c>
      <c r="M168" s="19" t="b" cm="1">
        <f t="array" ref="M168">IsFilterable(A168)</f>
        <v>1</v>
      </c>
      <c r="N168" s="19" t="b" cm="1">
        <f t="array" ref="N168">IsEditable(A168)</f>
        <v>1</v>
      </c>
      <c r="O168" s="19" t="b" cm="1">
        <f t="array" ref="O168">IsBrowseable(A168)</f>
        <v>1</v>
      </c>
      <c r="P168" s="19" t="e" cm="1">
        <f t="array" ref="P168">IsListable(A168)</f>
        <v>#VALUE!</v>
      </c>
      <c r="Q168" s="19" t="b" cm="1">
        <f t="array" ref="Q168">IsEncrypted(A168)</f>
        <v>0</v>
      </c>
      <c r="R168" s="19" t="str" cm="1">
        <f t="array" ref="R168">IsInWords(A168)</f>
        <v/>
      </c>
      <c r="S168" s="19" t="b">
        <v>0</v>
      </c>
    </row>
    <row r="169" spans="1:19">
      <c r="A169" s="19">
        <f t="shared" si="8"/>
        <v>165</v>
      </c>
      <c r="B169" s="20" cm="1">
        <f t="array" ref="B169">GetTableId(B168,G168)</f>
        <v>26</v>
      </c>
      <c r="C169" s="19" t="str" cm="1">
        <f t="array" ref="C169">GetValue("Tbl","Alias",B169)</f>
        <v>Ref</v>
      </c>
      <c r="D169" s="19" cm="1">
        <f t="array" ref="D169">GetDomainId(C169,G169)</f>
        <v>55</v>
      </c>
      <c r="E169" s="19" t="str" cm="1">
        <f t="array" ref="E169">GetValue("Dmn","Name",D169)</f>
        <v>BigId</v>
      </c>
      <c r="F169" s="19">
        <f t="shared" si="7"/>
        <v>5</v>
      </c>
      <c r="G169" s="19" t="str" cm="1">
        <f t="array" ref="G169">GetColumnName(C169,IF(B169=B168,G168,""))</f>
        <v>Id</v>
      </c>
      <c r="H169" s="19" t="str">
        <f t="shared" si="9"/>
        <v>Informe 'Id'</v>
      </c>
      <c r="I169" s="19" t="str" cm="1">
        <f t="array" ref="I169">GetCaption(C169,G169)</f>
        <v>Id</v>
      </c>
      <c r="J169" s="19" t="b">
        <v>1</v>
      </c>
      <c r="K169" s="19" t="b" cm="1">
        <f t="array" ref="K169">IsPrimaryKey(A169)</f>
        <v>1</v>
      </c>
      <c r="L169" s="19" t="b" cm="1">
        <f t="array" ref="L169">IsAutoincrement(A169)</f>
        <v>1</v>
      </c>
      <c r="M169" s="19" t="str" cm="1">
        <f t="array" ref="M169">IsFilterable(A169)</f>
        <v/>
      </c>
      <c r="N169" s="19" t="str" cm="1">
        <f t="array" ref="N169">IsEditable(A169)</f>
        <v/>
      </c>
      <c r="O169" s="19" t="str" cm="1">
        <f t="array" ref="O169">IsBrowseable(A169)</f>
        <v/>
      </c>
      <c r="P169" s="19" t="e" cm="1">
        <f t="array" ref="P169">IsListable(A169)</f>
        <v>#VALUE!</v>
      </c>
      <c r="Q169" s="19" t="str" cm="1">
        <f t="array" ref="Q169">IsEncrypted(A169)</f>
        <v/>
      </c>
      <c r="R169" s="19" t="str" cm="1">
        <f t="array" ref="R169">IsInWords(A169)</f>
        <v/>
      </c>
      <c r="S169" s="19" t="b">
        <v>0</v>
      </c>
    </row>
    <row r="170" spans="1:19">
      <c r="A170" s="19">
        <f t="shared" si="8"/>
        <v>166</v>
      </c>
      <c r="B170" s="20" cm="1">
        <f t="array" ref="B170">GetTableId(B169,G169)</f>
        <v>26</v>
      </c>
      <c r="C170" s="19" t="str" cm="1">
        <f t="array" ref="C170">GetValue("Tbl","Alias",B170)</f>
        <v>Ref</v>
      </c>
      <c r="D170" s="19" cm="1">
        <f t="array" ref="D170">GetDomainId(C170,G170)</f>
        <v>55</v>
      </c>
      <c r="E170" s="19" t="str" cm="1">
        <f t="array" ref="E170">GetValue("Dmn","Name",D170)</f>
        <v>BigId</v>
      </c>
      <c r="F170" s="19">
        <f t="shared" si="7"/>
        <v>10</v>
      </c>
      <c r="G170" s="19" t="str" cm="1">
        <f t="array" ref="G170">GetColumnName(C170,IF(B170=B169,G169,""))</f>
        <v>FkTableId</v>
      </c>
      <c r="H170" s="19" t="str">
        <f t="shared" si="9"/>
        <v>Informe 'Tabela Estrangeira'</v>
      </c>
      <c r="I170" s="19" t="str" cm="1">
        <f t="array" ref="I170">GetCaption(C170,G170)</f>
        <v>Tabela Estrangeira</v>
      </c>
      <c r="J170" s="19" t="b">
        <v>0</v>
      </c>
      <c r="K170" s="19" t="b" cm="1">
        <f t="array" ref="K170">IsPrimaryKey(A170)</f>
        <v>0</v>
      </c>
      <c r="L170" s="19" t="b" cm="1">
        <f t="array" ref="L170">IsAutoincrement(A170)</f>
        <v>0</v>
      </c>
      <c r="M170" s="19" t="b" cm="1">
        <f t="array" ref="M170">IsFilterable(A170)</f>
        <v>1</v>
      </c>
      <c r="N170" s="19" t="b" cm="1">
        <f t="array" ref="N170">IsEditable(A170)</f>
        <v>1</v>
      </c>
      <c r="O170" s="19" t="b" cm="1">
        <f t="array" ref="O170">IsBrowseable(A170)</f>
        <v>1</v>
      </c>
      <c r="P170" s="19" t="e" cm="1">
        <f t="array" ref="P170">IsListable(A170)</f>
        <v>#VALUE!</v>
      </c>
      <c r="Q170" s="19" t="str" cm="1">
        <f t="array" ref="Q170">IsEncrypted(A170)</f>
        <v/>
      </c>
      <c r="R170" s="19" t="b" cm="1">
        <f t="array" ref="R170">IsInWords(A170)</f>
        <v>0</v>
      </c>
      <c r="S170" s="19" t="b">
        <v>0</v>
      </c>
    </row>
    <row r="171" spans="1:19">
      <c r="A171" s="19">
        <f t="shared" si="8"/>
        <v>167</v>
      </c>
      <c r="B171" s="20" cm="1">
        <f t="array" ref="B171">GetTableId(B170,G170)</f>
        <v>26</v>
      </c>
      <c r="C171" s="19" t="str" cm="1">
        <f t="array" ref="C171">GetValue("Tbl","Alias",B171)</f>
        <v>Ref</v>
      </c>
      <c r="D171" s="19" cm="1">
        <f t="array" ref="D171">GetDomainId(C171,G171)</f>
        <v>55</v>
      </c>
      <c r="E171" s="19" t="str" cm="1">
        <f t="array" ref="E171">GetValue("Dmn","Name",D171)</f>
        <v>BigId</v>
      </c>
      <c r="F171" s="19">
        <f t="shared" si="7"/>
        <v>15</v>
      </c>
      <c r="G171" s="19" t="str" cm="1">
        <f t="array" ref="G171">GetColumnName(C171,IF(B171=B170,G170,""))</f>
        <v>PkTableId</v>
      </c>
      <c r="H171" s="19" t="str">
        <f t="shared" si="9"/>
        <v>Informe 'Tabela Primária'</v>
      </c>
      <c r="I171" s="19" t="str" cm="1">
        <f t="array" ref="I171">GetCaption(C171,G171)</f>
        <v>Tabela Primária</v>
      </c>
      <c r="J171" s="19" t="b">
        <v>0</v>
      </c>
      <c r="K171" s="19" t="b" cm="1">
        <f t="array" ref="K171">IsPrimaryKey(A171)</f>
        <v>0</v>
      </c>
      <c r="L171" s="19" t="b" cm="1">
        <f t="array" ref="L171">IsAutoincrement(A171)</f>
        <v>0</v>
      </c>
      <c r="M171" s="19" t="b" cm="1">
        <f t="array" ref="M171">IsFilterable(A171)</f>
        <v>1</v>
      </c>
      <c r="N171" s="19" t="b" cm="1">
        <f t="array" ref="N171">IsEditable(A171)</f>
        <v>1</v>
      </c>
      <c r="O171" s="19" t="b" cm="1">
        <f t="array" ref="O171">IsBrowseable(A171)</f>
        <v>1</v>
      </c>
      <c r="P171" s="19" t="e" cm="1">
        <f t="array" ref="P171">IsListable(A171)</f>
        <v>#VALUE!</v>
      </c>
      <c r="Q171" s="19" t="str" cm="1">
        <f t="array" ref="Q171">IsEncrypted(A171)</f>
        <v/>
      </c>
      <c r="R171" s="19" t="b" cm="1">
        <f t="array" ref="R171">IsInWords(A171)</f>
        <v>0</v>
      </c>
      <c r="S171" s="19" t="b">
        <v>0</v>
      </c>
    </row>
    <row r="172" spans="1:19">
      <c r="A172" s="19">
        <f t="shared" si="8"/>
        <v>168</v>
      </c>
      <c r="B172" s="20" cm="1">
        <f t="array" ref="B172">GetTableId(B171,G171)</f>
        <v>26</v>
      </c>
      <c r="C172" s="19" t="str" cm="1">
        <f t="array" ref="C172">GetValue("Tbl","Alias",B172)</f>
        <v>Ref</v>
      </c>
      <c r="D172" s="19" cm="1">
        <f t="array" ref="D172">GetDomainId(C172,G172)</f>
        <v>55</v>
      </c>
      <c r="E172" s="19" t="str" cm="1">
        <f t="array" ref="E172">GetValue("Dmn","Name",D172)</f>
        <v>BigId</v>
      </c>
      <c r="F172" s="19">
        <f t="shared" si="7"/>
        <v>20</v>
      </c>
      <c r="G172" s="19" t="str" cm="1">
        <f t="array" ref="G172">GetColumnName(C172,IF(B172=B171,G171,""))</f>
        <v>ListColumnId</v>
      </c>
      <c r="H172" s="19" t="str">
        <f t="shared" si="9"/>
        <v>Informe 'Coluna Listável'</v>
      </c>
      <c r="I172" s="19" t="str" cm="1">
        <f t="array" ref="I172">GetCaption(C172,G172)</f>
        <v>Coluna Listável</v>
      </c>
      <c r="J172" s="19" t="b">
        <v>1</v>
      </c>
      <c r="K172" s="19" t="b" cm="1">
        <f t="array" ref="K172">IsPrimaryKey(A172)</f>
        <v>0</v>
      </c>
      <c r="L172" s="19" t="b" cm="1">
        <f t="array" ref="L172">IsAutoincrement(A172)</f>
        <v>0</v>
      </c>
      <c r="M172" s="19" t="b" cm="1">
        <f t="array" ref="M172">IsFilterable(A172)</f>
        <v>1</v>
      </c>
      <c r="N172" s="19" t="b" cm="1">
        <f t="array" ref="N172">IsEditable(A172)</f>
        <v>1</v>
      </c>
      <c r="O172" s="19" t="b" cm="1">
        <f t="array" ref="O172">IsBrowseable(A172)</f>
        <v>1</v>
      </c>
      <c r="P172" s="19" t="e" cm="1">
        <f t="array" ref="P172">IsListable(A172)</f>
        <v>#VALUE!</v>
      </c>
      <c r="Q172" s="19" t="str" cm="1">
        <f t="array" ref="Q172">IsEncrypted(A172)</f>
        <v/>
      </c>
      <c r="R172" s="19" t="b" cm="1">
        <f t="array" ref="R172">IsInWords(A172)</f>
        <v>0</v>
      </c>
      <c r="S172" s="19" t="b">
        <v>0</v>
      </c>
    </row>
    <row r="173" spans="1:19">
      <c r="A173" s="17">
        <f t="shared" si="8"/>
        <v>169</v>
      </c>
      <c r="B173" s="18" cm="1">
        <f t="array" ref="B173">GetTableId(B172,G172)</f>
        <v>26</v>
      </c>
      <c r="C173" s="17" t="str" cm="1">
        <f t="array" ref="C173">GetValue("Tbl","Alias",B173)</f>
        <v>Ref</v>
      </c>
      <c r="D173" s="17" cm="1">
        <f t="array" ref="D173">GetDomainId(C173,G173)</f>
        <v>12</v>
      </c>
      <c r="E173" s="17" t="str" cm="1">
        <f t="array" ref="E173">GetValue("Dmn","Name",D173)</f>
        <v>NVARCHAR(50)</v>
      </c>
      <c r="F173" s="17">
        <f t="shared" si="7"/>
        <v>25</v>
      </c>
      <c r="G173" s="17" t="str" cm="1">
        <f t="array" ref="G173">GetColumnName(C173,IF(B173=B172,G172,""))</f>
        <v>Name</v>
      </c>
      <c r="H173" s="17" t="str">
        <f t="shared" si="9"/>
        <v>Informe 'Nome'</v>
      </c>
      <c r="I173" s="17" t="str" cm="1">
        <f t="array" ref="I173">GetCaption(C173,G173)</f>
        <v>Nome</v>
      </c>
      <c r="J173" s="17" t="b">
        <v>1</v>
      </c>
      <c r="K173" s="17" t="b" cm="1">
        <f t="array" ref="K173">IsPrimaryKey(A173)</f>
        <v>0</v>
      </c>
      <c r="L173" s="17" t="str" cm="1">
        <f t="array" ref="L173">IsAutoincrement(A173)</f>
        <v/>
      </c>
      <c r="M173" s="17" t="b" cm="1">
        <f t="array" ref="M173">IsFilterable(A173)</f>
        <v>1</v>
      </c>
      <c r="N173" s="17" t="b" cm="1">
        <f t="array" ref="N173">IsEditable(A173)</f>
        <v>1</v>
      </c>
      <c r="O173" s="17" t="b" cm="1">
        <f t="array" ref="O173">IsBrowseable(A173)</f>
        <v>1</v>
      </c>
      <c r="P173" s="17" t="e" cm="1">
        <f t="array" ref="P173">IsListable(A173)</f>
        <v>#VALUE!</v>
      </c>
      <c r="Q173" s="17" t="b" cm="1">
        <f t="array" ref="Q173">IsEncrypted(A173)</f>
        <v>0</v>
      </c>
      <c r="R173" s="17" t="str" cm="1">
        <f t="array" ref="R173">IsInWords(A173)</f>
        <v/>
      </c>
      <c r="S173" s="17" t="b">
        <v>0</v>
      </c>
    </row>
    <row r="174" spans="1:19">
      <c r="A174" s="17">
        <f t="shared" si="8"/>
        <v>170</v>
      </c>
      <c r="B174" s="18" cm="1">
        <f t="array" ref="B174">GetTableId(B173,G173)</f>
        <v>26</v>
      </c>
      <c r="C174" s="17" t="str" cm="1">
        <f t="array" ref="C174">GetValue("Tbl","Alias",B174)</f>
        <v>Ref</v>
      </c>
      <c r="D174" s="17" cm="1">
        <f t="array" ref="D174">GetDomainId(C174,G174)</f>
        <v>5</v>
      </c>
      <c r="E174" s="17" t="str" cm="1">
        <f t="array" ref="E174">GetValue("Dmn","Name",D174)</f>
        <v>Boolean</v>
      </c>
      <c r="F174" s="17">
        <f t="shared" si="7"/>
        <v>30</v>
      </c>
      <c r="G174" s="17" t="str" cm="1">
        <f t="array" ref="G174">GetColumnName(C174,IF(B174=B173,G173,""))</f>
        <v>IsParentChildren</v>
      </c>
      <c r="H174" s="17" t="str">
        <f t="shared" si="9"/>
        <v>Informe 'É Pai-Filhos?'</v>
      </c>
      <c r="I174" s="17" t="str" cm="1">
        <f t="array" ref="I174">GetCaption(C174,G174)</f>
        <v>É Pai-Filhos?</v>
      </c>
      <c r="J174" s="17" t="b">
        <v>1</v>
      </c>
      <c r="K174" s="17" t="b" cm="1">
        <f t="array" ref="K174">IsPrimaryKey(A174)</f>
        <v>0</v>
      </c>
      <c r="L174" s="17" t="str" cm="1">
        <f t="array" ref="L174">IsAutoincrement(A174)</f>
        <v/>
      </c>
      <c r="M174" s="17" t="b" cm="1">
        <f t="array" ref="M174">IsFilterable(A174)</f>
        <v>1</v>
      </c>
      <c r="N174" s="17" t="b" cm="1">
        <f t="array" ref="N174">IsEditable(A174)</f>
        <v>1</v>
      </c>
      <c r="O174" s="17" t="b" cm="1">
        <f t="array" ref="O174">IsBrowseable(A174)</f>
        <v>1</v>
      </c>
      <c r="P174" s="17" t="e" cm="1">
        <f t="array" ref="P174">IsListable(A174)</f>
        <v>#VALUE!</v>
      </c>
      <c r="Q174" s="17" t="str" cm="1">
        <f t="array" ref="Q174">IsEncrypted(A174)</f>
        <v/>
      </c>
      <c r="R174" s="17" t="str" cm="1">
        <f t="array" ref="R174">IsInWords(A174)</f>
        <v/>
      </c>
      <c r="S174" s="17" t="b">
        <v>0</v>
      </c>
    </row>
    <row r="175" spans="1:19">
      <c r="A175" s="17">
        <f t="shared" si="8"/>
        <v>171</v>
      </c>
      <c r="B175" s="18" cm="1">
        <f t="array" ref="B175">GetTableId(B174,G174)</f>
        <v>27</v>
      </c>
      <c r="C175" s="17" t="str" cm="1">
        <f t="array" ref="C175">GetValue("Tbl","Alias",B175)</f>
        <v>Rfk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5</v>
      </c>
      <c r="G175" s="17" t="str" cm="1">
        <f t="array" ref="G175">GetColumnName(C175,IF(B175=B174,G174,""))</f>
        <v>Id</v>
      </c>
      <c r="H175" s="17" t="str">
        <f t="shared" si="9"/>
        <v>Informe 'Id'</v>
      </c>
      <c r="I175" s="17" t="str" cm="1">
        <f t="array" ref="I175">GetCaption(C175,G175)</f>
        <v>Id</v>
      </c>
      <c r="J175" s="17" t="b">
        <v>1</v>
      </c>
      <c r="K175" s="17" t="b" cm="1">
        <f t="array" ref="K175">IsPrimaryKey(A175)</f>
        <v>1</v>
      </c>
      <c r="L175" s="17" t="b" cm="1">
        <f t="array" ref="L175">IsAutoincrement(A175)</f>
        <v>1</v>
      </c>
      <c r="M175" s="17" t="str" cm="1">
        <f t="array" ref="M175">IsFilterable(A175)</f>
        <v/>
      </c>
      <c r="N175" s="17" t="str" cm="1">
        <f t="array" ref="N175">IsEditable(A175)</f>
        <v/>
      </c>
      <c r="O175" s="17" t="str" cm="1">
        <f t="array" ref="O175">IsBrowseable(A175)</f>
        <v/>
      </c>
      <c r="P175" s="17" t="e" cm="1">
        <f t="array" ref="P175">IsListable(A175)</f>
        <v>#VALUE!</v>
      </c>
      <c r="Q175" s="17" t="str" cm="1">
        <f t="array" ref="Q175">IsEncrypted(A175)</f>
        <v/>
      </c>
      <c r="R175" s="17" t="str" cm="1">
        <f t="array" ref="R175">IsInWords(A175)</f>
        <v/>
      </c>
      <c r="S175" s="17" t="b">
        <v>0</v>
      </c>
    </row>
    <row r="176" spans="1:19">
      <c r="A176" s="17">
        <f t="shared" si="8"/>
        <v>172</v>
      </c>
      <c r="B176" s="18" cm="1">
        <f t="array" ref="B176">GetTableId(B175,G175)</f>
        <v>27</v>
      </c>
      <c r="C176" s="17" t="str" cm="1">
        <f t="array" ref="C176">GetValue("Tbl","Alias",B176)</f>
        <v>Rfk</v>
      </c>
      <c r="D176" s="17" cm="1">
        <f t="array" ref="D176">GetDomainId(C176,G176)</f>
        <v>55</v>
      </c>
      <c r="E176" s="17" t="str" cm="1">
        <f t="array" ref="E176">GetValue("Dmn","Name",D176)</f>
        <v>BigId</v>
      </c>
      <c r="F176" s="17">
        <f t="shared" si="7"/>
        <v>10</v>
      </c>
      <c r="G176" s="17" t="str" cm="1">
        <f t="array" ref="G176">GetColumnName(C176,IF(B176=B175,G175,""))</f>
        <v>ReferenceId</v>
      </c>
      <c r="H176" s="17" t="str">
        <f t="shared" si="9"/>
        <v>Informe 'Referência'</v>
      </c>
      <c r="I176" s="17" t="str" cm="1">
        <f t="array" ref="I176">GetCaption(C176,G176)</f>
        <v>Referência</v>
      </c>
      <c r="J176" s="17" t="b">
        <v>1</v>
      </c>
      <c r="K176" s="17" t="b" cm="1">
        <f t="array" ref="K176">IsPrimaryKey(A176)</f>
        <v>0</v>
      </c>
      <c r="L176" s="17" t="b" cm="1">
        <f t="array" ref="L176">IsAutoincrement(A176)</f>
        <v>0</v>
      </c>
      <c r="M176" s="17" t="b" cm="1">
        <f t="array" ref="M176">IsFilterable(A176)</f>
        <v>1</v>
      </c>
      <c r="N176" s="17" t="b" cm="1">
        <f t="array" ref="N176">IsEditable(A176)</f>
        <v>1</v>
      </c>
      <c r="O176" s="17" t="b" cm="1">
        <f t="array" ref="O176">IsBrowseable(A176)</f>
        <v>1</v>
      </c>
      <c r="P176" s="17" t="e" cm="1">
        <f t="array" ref="P176">IsListable(A176)</f>
        <v>#VALUE!</v>
      </c>
      <c r="Q176" s="17" t="str" cm="1">
        <f t="array" ref="Q176">IsEncrypted(A176)</f>
        <v/>
      </c>
      <c r="R176" s="17" t="b" cm="1">
        <f t="array" ref="R176">IsInWords(A176)</f>
        <v>0</v>
      </c>
      <c r="S176" s="17" t="b">
        <v>0</v>
      </c>
    </row>
    <row r="177" spans="1:19">
      <c r="A177" s="19">
        <f t="shared" si="8"/>
        <v>173</v>
      </c>
      <c r="B177" s="20" cm="1">
        <f t="array" ref="B177">GetTableId(B176,G176)</f>
        <v>27</v>
      </c>
      <c r="C177" s="19" t="str" cm="1">
        <f t="array" ref="C177">GetValue("Tbl","Alias",B177)</f>
        <v>Rfk</v>
      </c>
      <c r="D177" s="19" cm="1">
        <f t="array" ref="D177">GetDomainId(C177,G177)</f>
        <v>55</v>
      </c>
      <c r="E177" s="19" t="str" cm="1">
        <f t="array" ref="E177">GetValue("Dmn","Name",D177)</f>
        <v>BigId</v>
      </c>
      <c r="F177" s="19">
        <f t="shared" si="7"/>
        <v>15</v>
      </c>
      <c r="G177" s="19" t="str" cm="1">
        <f t="array" ref="G177">GetColumnName(C177,IF(B177=B176,G176,""))</f>
        <v>FkColumnId</v>
      </c>
      <c r="H177" s="19" t="str">
        <f t="shared" si="9"/>
        <v>Informe 'Coluna Estrangeira'</v>
      </c>
      <c r="I177" s="19" t="str" cm="1">
        <f t="array" ref="I177">GetCaption(C177,G177)</f>
        <v>Coluna Estrangeira</v>
      </c>
      <c r="J177" s="19" t="b">
        <v>0</v>
      </c>
      <c r="K177" s="19" t="b" cm="1">
        <f t="array" ref="K177">IsPrimaryKey(A177)</f>
        <v>0</v>
      </c>
      <c r="L177" s="19" t="b" cm="1">
        <f t="array" ref="L177">IsAutoincrement(A177)</f>
        <v>0</v>
      </c>
      <c r="M177" s="19" t="b" cm="1">
        <f t="array" ref="M177">IsFilterable(A177)</f>
        <v>1</v>
      </c>
      <c r="N177" s="19" t="b" cm="1">
        <f t="array" ref="N177">IsEditable(A177)</f>
        <v>1</v>
      </c>
      <c r="O177" s="19" t="b" cm="1">
        <f t="array" ref="O177">IsBrowseable(A177)</f>
        <v>1</v>
      </c>
      <c r="P177" s="19" t="e" cm="1">
        <f t="array" ref="P177">IsListable(A177)</f>
        <v>#VALUE!</v>
      </c>
      <c r="Q177" s="19" t="str" cm="1">
        <f t="array" ref="Q177">IsEncrypted(A177)</f>
        <v/>
      </c>
      <c r="R177" s="19" t="b" cm="1">
        <f t="array" ref="R177">IsInWords(A177)</f>
        <v>0</v>
      </c>
      <c r="S177" s="19" t="b">
        <v>0</v>
      </c>
    </row>
    <row r="178" spans="1:19">
      <c r="A178" s="19">
        <f t="shared" si="8"/>
        <v>174</v>
      </c>
      <c r="B178" s="20" cm="1">
        <f t="array" ref="B178">GetTableId(B177,G177)</f>
        <v>27</v>
      </c>
      <c r="C178" s="19" t="str" cm="1">
        <f t="array" ref="C178">GetValue("Tbl","Alias",B178)</f>
        <v>Rfk</v>
      </c>
      <c r="D178" s="19" cm="1">
        <f t="array" ref="D178">GetDomainId(C178,G178)</f>
        <v>59</v>
      </c>
      <c r="E178" s="19" t="str" cm="1">
        <f t="array" ref="E178">GetValue("Dmn","Name",D178)</f>
        <v>SEQUENCE</v>
      </c>
      <c r="F178" s="19">
        <f t="shared" si="7"/>
        <v>20</v>
      </c>
      <c r="G178" s="19" t="str" cm="1">
        <f t="array" ref="G178">GetColumnName(C178,IF(B178=B177,G177,""))</f>
        <v>Sequence</v>
      </c>
      <c r="H178" s="19" t="str">
        <f t="shared" si="9"/>
        <v>Informe 'Sequência'</v>
      </c>
      <c r="I178" s="19" t="str" cm="1">
        <f t="array" ref="I178">GetCaption(C178,G178)</f>
        <v>Sequência</v>
      </c>
      <c r="J178" s="19" t="b">
        <v>1</v>
      </c>
      <c r="K178" s="19" t="b" cm="1">
        <f t="array" ref="K178">IsPrimaryKey(A178)</f>
        <v>0</v>
      </c>
      <c r="L178" s="19" t="b" cm="1">
        <f t="array" ref="L178">IsAutoincrement(A178)</f>
        <v>0</v>
      </c>
      <c r="M178" s="19" t="b" cm="1">
        <f t="array" ref="M178">IsFilterable(A178)</f>
        <v>1</v>
      </c>
      <c r="N178" s="19" t="b" cm="1">
        <f t="array" ref="N178">IsEditable(A178)</f>
        <v>1</v>
      </c>
      <c r="O178" s="19" t="b" cm="1">
        <f t="array" ref="O178">IsBrowseable(A178)</f>
        <v>1</v>
      </c>
      <c r="P178" s="19" t="e" cm="1">
        <f t="array" ref="P178">IsListable(A178)</f>
        <v>#VALUE!</v>
      </c>
      <c r="Q178" s="19" t="str" cm="1">
        <f t="array" ref="Q178">IsEncrypted(A178)</f>
        <v/>
      </c>
      <c r="R178" s="19" t="b" cm="1">
        <f t="array" ref="R178">IsInWords(A178)</f>
        <v>0</v>
      </c>
      <c r="S178" s="19" t="b">
        <v>0</v>
      </c>
    </row>
    <row r="179" spans="1:19">
      <c r="A179" s="19">
        <f t="shared" si="8"/>
        <v>175</v>
      </c>
      <c r="B179" s="20" cm="1">
        <f t="array" ref="B179">GetTableId(B178,G178)</f>
        <v>28</v>
      </c>
      <c r="C179" s="19" t="str" cm="1">
        <f t="array" ref="C179">GetValue("Tbl","Alias",B179)</f>
        <v>Rfb</v>
      </c>
      <c r="D179" s="19" cm="1">
        <f t="array" ref="D179">GetDomainId(C179,G179)</f>
        <v>55</v>
      </c>
      <c r="E179" s="19" t="str" cm="1">
        <f t="array" ref="E179">GetValue("Dmn","Name",D179)</f>
        <v>BigId</v>
      </c>
      <c r="F179" s="19">
        <f t="shared" si="7"/>
        <v>5</v>
      </c>
      <c r="G179" s="19" t="str" cm="1">
        <f t="array" ref="G179">GetColumnName(C179,IF(B179=B178,G178,""))</f>
        <v>Id</v>
      </c>
      <c r="H179" s="19" t="str">
        <f t="shared" si="9"/>
        <v>Informe 'Id'</v>
      </c>
      <c r="I179" s="19" t="str" cm="1">
        <f t="array" ref="I179">GetCaption(C179,G179)</f>
        <v>Id</v>
      </c>
      <c r="J179" s="19" t="b">
        <v>1</v>
      </c>
      <c r="K179" s="19" t="b" cm="1">
        <f t="array" ref="K179">IsPrimaryKey(A179)</f>
        <v>1</v>
      </c>
      <c r="L179" s="19" t="b" cm="1">
        <f t="array" ref="L179">IsAutoincrement(A179)</f>
        <v>1</v>
      </c>
      <c r="M179" s="19" t="str" cm="1">
        <f t="array" ref="M179">IsFilterable(A179)</f>
        <v/>
      </c>
      <c r="N179" s="19" t="str" cm="1">
        <f t="array" ref="N179">IsEditable(A179)</f>
        <v/>
      </c>
      <c r="O179" s="19" t="str" cm="1">
        <f t="array" ref="O179">IsBrowseable(A179)</f>
        <v/>
      </c>
      <c r="P179" s="19" t="e" cm="1">
        <f t="array" ref="P179">IsListable(A179)</f>
        <v>#VALUE!</v>
      </c>
      <c r="Q179" s="19" t="str" cm="1">
        <f t="array" ref="Q179">IsEncrypted(A179)</f>
        <v/>
      </c>
      <c r="R179" s="19" t="str" cm="1">
        <f t="array" ref="R179">IsInWords(A179)</f>
        <v/>
      </c>
      <c r="S179" s="19" t="b">
        <v>0</v>
      </c>
    </row>
    <row r="180" spans="1:19">
      <c r="A180" s="19">
        <f t="shared" si="8"/>
        <v>176</v>
      </c>
      <c r="B180" s="20" cm="1">
        <f t="array" ref="B180">GetTableId(B179,G179)</f>
        <v>28</v>
      </c>
      <c r="C180" s="19" t="str" cm="1">
        <f t="array" ref="C180">GetValue("Tbl","Alias",B180)</f>
        <v>Rfb</v>
      </c>
      <c r="D180" s="19" cm="1">
        <f t="array" ref="D180">GetDomainId(C180,G180)</f>
        <v>55</v>
      </c>
      <c r="E180" s="19" t="str" cm="1">
        <f t="array" ref="E180">GetValue("Dmn","Name",D180)</f>
        <v>BigId</v>
      </c>
      <c r="F180" s="19">
        <f t="shared" si="7"/>
        <v>10</v>
      </c>
      <c r="G180" s="19" t="str" cm="1">
        <f t="array" ref="G180">GetColumnName(C180,IF(B180=B179,G179,""))</f>
        <v>ReferenceId</v>
      </c>
      <c r="H180" s="19" t="str">
        <f t="shared" si="9"/>
        <v>Informe 'Referência'</v>
      </c>
      <c r="I180" s="19" t="str" cm="1">
        <f t="array" ref="I180">GetCaption(C180,G180)</f>
        <v>Referência</v>
      </c>
      <c r="J180" s="19" t="b">
        <v>1</v>
      </c>
      <c r="K180" s="19" t="b" cm="1">
        <f t="array" ref="K180">IsPrimaryKey(A180)</f>
        <v>0</v>
      </c>
      <c r="L180" s="19" t="b" cm="1">
        <f t="array" ref="L180">IsAutoincrement(A180)</f>
        <v>0</v>
      </c>
      <c r="M180" s="19" t="b" cm="1">
        <f t="array" ref="M180">IsFilterable(A180)</f>
        <v>1</v>
      </c>
      <c r="N180" s="19" t="b" cm="1">
        <f t="array" ref="N180">IsEditable(A180)</f>
        <v>1</v>
      </c>
      <c r="O180" s="19" t="b" cm="1">
        <f t="array" ref="O180">IsBrowseable(A180)</f>
        <v>1</v>
      </c>
      <c r="P180" s="19" t="e" cm="1">
        <f t="array" ref="P180">IsListable(A180)</f>
        <v>#VALUE!</v>
      </c>
      <c r="Q180" s="19" t="str" cm="1">
        <f t="array" ref="Q180">IsEncrypted(A180)</f>
        <v/>
      </c>
      <c r="R180" s="19" t="b" cm="1">
        <f t="array" ref="R180">IsInWords(A180)</f>
        <v>0</v>
      </c>
      <c r="S180" s="19" t="b">
        <v>0</v>
      </c>
    </row>
    <row r="181" spans="1:19">
      <c r="A181" s="19">
        <f t="shared" si="8"/>
        <v>177</v>
      </c>
      <c r="B181" s="20" cm="1">
        <f t="array" ref="B181">GetTableId(B180,G180)</f>
        <v>28</v>
      </c>
      <c r="C181" s="19" t="str" cm="1">
        <f t="array" ref="C181">GetValue("Tbl","Alias",B181)</f>
        <v>Rfb</v>
      </c>
      <c r="D181" s="19" cm="1">
        <f t="array" ref="D181">GetDomainId(C181,G181)</f>
        <v>55</v>
      </c>
      <c r="E181" s="19" t="str" cm="1">
        <f t="array" ref="E181">GetValue("Dmn","Name",D181)</f>
        <v>BigId</v>
      </c>
      <c r="F181" s="19">
        <f t="shared" si="7"/>
        <v>15</v>
      </c>
      <c r="G181" s="19" t="str" cm="1">
        <f t="array" ref="G181">GetColumnName(C181,IF(B181=B180,G180,""))</f>
        <v>BondReferenceId</v>
      </c>
      <c r="H181" s="19" t="str">
        <f t="shared" si="9"/>
        <v>Informe 'Ligação'</v>
      </c>
      <c r="I181" s="19" t="str" cm="1">
        <f t="array" ref="I181">GetCaption(C181,G181)</f>
        <v>Ligação</v>
      </c>
      <c r="J181" s="19" t="b">
        <v>0</v>
      </c>
      <c r="K181" s="19" t="b" cm="1">
        <f t="array" ref="K181">IsPrimaryKey(A181)</f>
        <v>0</v>
      </c>
      <c r="L181" s="19" t="b" cm="1">
        <f t="array" ref="L181">IsAutoincrement(A181)</f>
        <v>0</v>
      </c>
      <c r="M181" s="19" t="b" cm="1">
        <f t="array" ref="M181">IsFilterable(A181)</f>
        <v>1</v>
      </c>
      <c r="N181" s="19" t="b" cm="1">
        <f t="array" ref="N181">IsEditable(A181)</f>
        <v>1</v>
      </c>
      <c r="O181" s="19" t="b" cm="1">
        <f t="array" ref="O181">IsBrowseable(A181)</f>
        <v>1</v>
      </c>
      <c r="P181" s="19" t="e" cm="1">
        <f t="array" ref="P181">IsListable(A181)</f>
        <v>#VALUE!</v>
      </c>
      <c r="Q181" s="19" t="str" cm="1">
        <f t="array" ref="Q181">IsEncrypted(A181)</f>
        <v/>
      </c>
      <c r="R181" s="19" t="b" cm="1">
        <f t="array" ref="R181">IsInWords(A181)</f>
        <v>0</v>
      </c>
      <c r="S181" s="19" t="b">
        <v>0</v>
      </c>
    </row>
    <row r="182" spans="1:19">
      <c r="A182" s="19">
        <f t="shared" si="8"/>
        <v>178</v>
      </c>
      <c r="B182" s="20" cm="1">
        <f t="array" ref="B182">GetTableId(B181,G181)</f>
        <v>29</v>
      </c>
      <c r="C182" s="19" t="str" cm="1">
        <f t="array" ref="C182">GetValue("Tbl","Alias",B182)</f>
        <v>Usr</v>
      </c>
      <c r="D182" s="19" cm="1">
        <f t="array" ref="D182">GetDomainId(C182,G182)</f>
        <v>55</v>
      </c>
      <c r="E182" s="19" t="str" cm="1">
        <f t="array" ref="E182">GetValue("Dmn","Name",D182)</f>
        <v>BigId</v>
      </c>
      <c r="F182" s="19">
        <f t="shared" si="7"/>
        <v>5</v>
      </c>
      <c r="G182" s="19" t="str" cm="1">
        <f t="array" ref="G182">GetColumnName(C182,IF(B182=B181,G181,""))</f>
        <v>Id</v>
      </c>
      <c r="H182" s="19" t="str">
        <f t="shared" si="9"/>
        <v>Informe 'Id'</v>
      </c>
      <c r="I182" s="19" t="str" cm="1">
        <f t="array" ref="I182">GetCaption(C182,G182)</f>
        <v>Id</v>
      </c>
      <c r="J182" s="19" t="b">
        <v>0</v>
      </c>
      <c r="K182" s="19" t="b" cm="1">
        <f t="array" ref="K182">IsPrimaryKey(A182)</f>
        <v>1</v>
      </c>
      <c r="L182" s="19" t="b" cm="1">
        <f t="array" ref="L182">IsAutoincrement(A182)</f>
        <v>1</v>
      </c>
      <c r="M182" s="19" t="str" cm="1">
        <f t="array" ref="M182">IsFilterable(A182)</f>
        <v/>
      </c>
      <c r="N182" s="19" t="str" cm="1">
        <f t="array" ref="N182">IsEditable(A182)</f>
        <v/>
      </c>
      <c r="O182" s="19" t="str" cm="1">
        <f t="array" ref="O182">IsBrowseable(A182)</f>
        <v/>
      </c>
      <c r="P182" s="19" t="e" cm="1">
        <f t="array" ref="P182">IsListable(A182)</f>
        <v>#VALUE!</v>
      </c>
      <c r="Q182" s="19" t="str" cm="1">
        <f t="array" ref="Q182">IsEncrypted(A182)</f>
        <v/>
      </c>
      <c r="R182" s="19" t="str" cm="1">
        <f t="array" ref="R182">IsInWords(A182)</f>
        <v/>
      </c>
      <c r="S182" s="19" t="b">
        <v>0</v>
      </c>
    </row>
    <row r="183" spans="1:19">
      <c r="A183" s="19">
        <f t="shared" si="8"/>
        <v>179</v>
      </c>
      <c r="B183" s="20" cm="1">
        <f t="array" ref="B183">GetTableId(B182,G182)</f>
        <v>29</v>
      </c>
      <c r="C183" s="19" t="str" cm="1">
        <f t="array" ref="C183">GetValue("Tbl","Alias",B183)</f>
        <v>Usr</v>
      </c>
      <c r="D183" s="19" cm="1">
        <f t="array" ref="D183">GetDomainId(C183,G183)</f>
        <v>57</v>
      </c>
      <c r="E183" s="19" t="str" cm="1">
        <f t="array" ref="E183">GetValue("Dmn","Name",D183)</f>
        <v>SmallId</v>
      </c>
      <c r="F183" s="19">
        <f t="shared" si="7"/>
        <v>10</v>
      </c>
      <c r="G183" s="19" t="str" cm="1">
        <f t="array" ref="G183">GetColumnName(C183,IF(B183=B182,G182,""))</f>
        <v>OwnertId</v>
      </c>
      <c r="H183" s="19" t="str">
        <f t="shared" si="9"/>
        <v>Informe 'Proprietário'</v>
      </c>
      <c r="I183" s="19" t="str" cm="1">
        <f t="array" ref="I183">GetCaption(C183,G183)</f>
        <v>Proprietário</v>
      </c>
      <c r="J183" s="19" t="b">
        <v>0</v>
      </c>
      <c r="K183" s="19" t="b" cm="1">
        <f t="array" ref="K183">IsPrimaryKey(A183)</f>
        <v>0</v>
      </c>
      <c r="L183" s="19" t="b" cm="1">
        <f t="array" ref="L183">IsAutoincrement(A183)</f>
        <v>0</v>
      </c>
      <c r="M183" s="19" t="b" cm="1">
        <f t="array" ref="M183">IsFilterable(A183)</f>
        <v>1</v>
      </c>
      <c r="N183" s="19" t="b" cm="1">
        <f t="array" ref="N183">IsEditable(A183)</f>
        <v>1</v>
      </c>
      <c r="O183" s="19" t="b" cm="1">
        <f t="array" ref="O183">IsBrowseable(A183)</f>
        <v>1</v>
      </c>
      <c r="P183" s="19" t="e" cm="1">
        <f t="array" ref="P183">IsListable(A183)</f>
        <v>#VALUE!</v>
      </c>
      <c r="Q183" s="19" t="str" cm="1">
        <f t="array" ref="Q183">IsEncrypted(A183)</f>
        <v/>
      </c>
      <c r="R183" s="19" t="b" cm="1">
        <f t="array" ref="R183">IsInWords(A183)</f>
        <v>0</v>
      </c>
      <c r="S183" s="19" t="b">
        <v>0</v>
      </c>
    </row>
    <row r="184" spans="1:19">
      <c r="A184" s="19">
        <f t="shared" si="8"/>
        <v>180</v>
      </c>
      <c r="B184" s="20" cm="1">
        <f t="array" ref="B184">GetTableId(B183,G183)</f>
        <v>29</v>
      </c>
      <c r="C184" s="19" t="str" cm="1">
        <f t="array" ref="C184">GetValue("Tbl","Alias",B184)</f>
        <v>Usr</v>
      </c>
      <c r="D184" s="19" cm="1">
        <f t="array" ref="D184">GetDomainId(C184,G184)</f>
        <v>11</v>
      </c>
      <c r="E184" s="19" t="str" cm="1">
        <f t="array" ref="E184">GetValue("Dmn","Name",D184)</f>
        <v>NVARCHAR(25)</v>
      </c>
      <c r="F184" s="19">
        <f t="shared" si="7"/>
        <v>15</v>
      </c>
      <c r="G184" s="19" t="str" cm="1">
        <f t="array" ref="G184">GetColumnName(C184,IF(B184=B183,G183,""))</f>
        <v>Name</v>
      </c>
      <c r="H184" s="19" t="str">
        <f t="shared" si="9"/>
        <v>Informe 'Nome'</v>
      </c>
      <c r="I184" s="19" t="str" cm="1">
        <f t="array" ref="I184">GetCaption(C184,G184)</f>
        <v>Nome</v>
      </c>
      <c r="J184" s="19" t="b">
        <v>0</v>
      </c>
      <c r="K184" s="19" t="b" cm="1">
        <f t="array" ref="K184">IsPrimaryKey(A184)</f>
        <v>0</v>
      </c>
      <c r="L184" s="19" t="str" cm="1">
        <f t="array" ref="L184">IsAutoincrement(A184)</f>
        <v/>
      </c>
      <c r="M184" s="19" t="b" cm="1">
        <f t="array" ref="M184">IsFilterable(A184)</f>
        <v>1</v>
      </c>
      <c r="N184" s="19" t="b" cm="1">
        <f t="array" ref="N184">IsEditable(A184)</f>
        <v>1</v>
      </c>
      <c r="O184" s="19" t="b" cm="1">
        <f t="array" ref="O184">IsBrowseable(A184)</f>
        <v>1</v>
      </c>
      <c r="P184" s="19" t="e" cm="1">
        <f t="array" ref="P184">IsListable(A184)</f>
        <v>#VALUE!</v>
      </c>
      <c r="Q184" s="19" t="b" cm="1">
        <f t="array" ref="Q184">IsEncrypted(A184)</f>
        <v>0</v>
      </c>
      <c r="R184" s="19" t="str" cm="1">
        <f t="array" ref="R184">IsInWords(A184)</f>
        <v/>
      </c>
      <c r="S184" s="19" t="b">
        <v>0</v>
      </c>
    </row>
    <row r="185" spans="1:19">
      <c r="A185" s="19">
        <f t="shared" si="8"/>
        <v>181</v>
      </c>
      <c r="B185" s="20" cm="1">
        <f t="array" ref="B185">GetTableId(B184,G184)</f>
        <v>29</v>
      </c>
      <c r="C185" s="19" t="str" cm="1">
        <f t="array" ref="C185">GetValue("Tbl","Alias",B185)</f>
        <v>Usr</v>
      </c>
      <c r="D185" s="19" cm="1">
        <f t="array" ref="D185">GetDomainId(C185,G185)</f>
        <v>13</v>
      </c>
      <c r="E185" s="19" t="str" cm="1">
        <f t="array" ref="E185">GetValue("Dmn","Name",D185)</f>
        <v>NVARCHAR(256)</v>
      </c>
      <c r="F185" s="19">
        <f t="shared" si="7"/>
        <v>20</v>
      </c>
      <c r="G185" s="19" t="str" cm="1">
        <f t="array" ref="G185">GetColumnName(C185,IF(B185=B184,G184,""))</f>
        <v>Password</v>
      </c>
      <c r="H185" s="19" t="str">
        <f t="shared" si="9"/>
        <v>Informe 'Senha'</v>
      </c>
      <c r="I185" s="19" t="str" cm="1">
        <f t="array" ref="I185">GetCaption(C185,G185)</f>
        <v>Senha</v>
      </c>
      <c r="J185" s="19" t="b">
        <v>0</v>
      </c>
      <c r="K185" s="19" t="b" cm="1">
        <f t="array" ref="K185">IsPrimaryKey(A185)</f>
        <v>0</v>
      </c>
      <c r="L185" s="19" t="str" cm="1">
        <f t="array" ref="L185">IsAutoincrement(A185)</f>
        <v/>
      </c>
      <c r="M185" s="19" t="b" cm="1">
        <f t="array" ref="M185">IsFilterable(A185)</f>
        <v>1</v>
      </c>
      <c r="N185" s="19" t="b" cm="1">
        <f t="array" ref="N185">IsEditable(A185)</f>
        <v>1</v>
      </c>
      <c r="O185" s="19" t="b" cm="1">
        <f t="array" ref="O185">IsBrowseable(A185)</f>
        <v>1</v>
      </c>
      <c r="P185" s="19" t="e" cm="1">
        <f t="array" ref="P185">IsListable(A185)</f>
        <v>#VALUE!</v>
      </c>
      <c r="Q185" s="19" t="b" cm="1">
        <f t="array" ref="Q185">IsEncrypted(A185)</f>
        <v>0</v>
      </c>
      <c r="R185" s="19" t="str" cm="1">
        <f t="array" ref="R185">IsInWords(A185)</f>
        <v/>
      </c>
      <c r="S185" s="19" t="b">
        <v>0</v>
      </c>
    </row>
    <row r="186" spans="1:19">
      <c r="A186" s="17">
        <f t="shared" si="8"/>
        <v>182</v>
      </c>
      <c r="B186" s="18" cm="1">
        <f t="array" ref="B186">GetTableId(B185,G185)</f>
        <v>29</v>
      </c>
      <c r="C186" s="17" t="str" cm="1">
        <f t="array" ref="C186">GetValue("Tbl","Alias",B186)</f>
        <v>Usr</v>
      </c>
      <c r="D186" s="17" cm="1">
        <f t="array" ref="D186">GetDomainId(C186,G186)</f>
        <v>4</v>
      </c>
      <c r="E186" s="17" t="str" cm="1">
        <f t="array" ref="E186">GetValue("Dmn","Name",D186)</f>
        <v>TinyInteger</v>
      </c>
      <c r="F186" s="17">
        <f t="shared" si="7"/>
        <v>25</v>
      </c>
      <c r="G186" s="17" t="str" cm="1">
        <f t="array" ref="G186">GetColumnName(C186,IF(B186=B185,G185,""))</f>
        <v>RetryLogins</v>
      </c>
      <c r="H186" s="17" t="str">
        <f t="shared" si="9"/>
        <v>Informe 'Tentativas de Login'</v>
      </c>
      <c r="I186" s="17" t="str" cm="1">
        <f t="array" ref="I186">GetCaption(C186,G186)</f>
        <v>Tentativas de Login</v>
      </c>
      <c r="J186" s="17" t="b">
        <v>0</v>
      </c>
      <c r="K186" s="17" t="b" cm="1">
        <f t="array" ref="K186">IsPrimaryKey(A186)</f>
        <v>0</v>
      </c>
      <c r="L186" s="17" t="b" cm="1">
        <f t="array" ref="L186">IsAutoincrement(A186)</f>
        <v>0</v>
      </c>
      <c r="M186" s="17" t="b" cm="1">
        <f t="array" ref="M186">IsFilterable(A186)</f>
        <v>1</v>
      </c>
      <c r="N186" s="17" t="b" cm="1">
        <f t="array" ref="N186">IsEditable(A186)</f>
        <v>1</v>
      </c>
      <c r="O186" s="17" t="b" cm="1">
        <f t="array" ref="O186">IsBrowseable(A186)</f>
        <v>1</v>
      </c>
      <c r="P186" s="17" t="e" cm="1">
        <f t="array" ref="P186">IsListable(A186)</f>
        <v>#VALUE!</v>
      </c>
      <c r="Q186" s="17" t="str" cm="1">
        <f t="array" ref="Q186">IsEncrypted(A186)</f>
        <v/>
      </c>
      <c r="R186" s="17" t="b" cm="1">
        <f t="array" ref="R186">IsInWords(A186)</f>
        <v>0</v>
      </c>
      <c r="S186" s="17" t="b">
        <v>0</v>
      </c>
    </row>
    <row r="187" spans="1:19">
      <c r="A187" s="17">
        <f t="shared" si="8"/>
        <v>183</v>
      </c>
      <c r="B187" s="18" cm="1">
        <f t="array" ref="B187">GetTableId(B186,G186)</f>
        <v>29</v>
      </c>
      <c r="C187" s="17" t="str" cm="1">
        <f t="array" ref="C187">GetValue("Tbl","Alias",B187)</f>
        <v>Usr</v>
      </c>
      <c r="D187" s="17" cm="1">
        <f t="array" ref="D187">GetDomainId(C187,G187)</f>
        <v>5</v>
      </c>
      <c r="E187" s="17" t="str" cm="1">
        <f t="array" ref="E187">GetValue("Dmn","Name",D187)</f>
        <v>Boolean</v>
      </c>
      <c r="F187" s="17">
        <f t="shared" si="7"/>
        <v>30</v>
      </c>
      <c r="G187" s="17" t="str" cm="1">
        <f t="array" ref="G187">GetColumnName(C187,IF(B187=B186,G186,""))</f>
        <v>CanDevEnvironment</v>
      </c>
      <c r="H187" s="17" t="str">
        <f t="shared" si="9"/>
        <v>Informe 'Dev Permitido?'</v>
      </c>
      <c r="I187" s="17" t="str" cm="1">
        <f t="array" ref="I187">GetCaption(C187,G187)</f>
        <v>Dev Permitido?</v>
      </c>
      <c r="J187" s="17" t="b">
        <v>0</v>
      </c>
      <c r="K187" s="17" t="b" cm="1">
        <f t="array" ref="K187">IsPrimaryKey(A187)</f>
        <v>0</v>
      </c>
      <c r="L187" s="17" t="str" cm="1">
        <f t="array" ref="L187">IsAutoincrement(A187)</f>
        <v/>
      </c>
      <c r="M187" s="17" t="b" cm="1">
        <f t="array" ref="M187">IsFilterable(A187)</f>
        <v>1</v>
      </c>
      <c r="N187" s="17" t="b" cm="1">
        <f t="array" ref="N187">IsEditable(A187)</f>
        <v>1</v>
      </c>
      <c r="O187" s="17" t="b" cm="1">
        <f t="array" ref="O187">IsBrowseable(A187)</f>
        <v>1</v>
      </c>
      <c r="P187" s="17" t="e" cm="1">
        <f t="array" ref="P187">IsListable(A187)</f>
        <v>#VALUE!</v>
      </c>
      <c r="Q187" s="17" t="str" cm="1">
        <f t="array" ref="Q187">IsEncrypted(A187)</f>
        <v/>
      </c>
      <c r="R187" s="17" t="str" cm="1">
        <f t="array" ref="R187">IsInWords(A187)</f>
        <v/>
      </c>
      <c r="S187" s="17" t="b">
        <v>0</v>
      </c>
    </row>
    <row r="188" spans="1:19">
      <c r="A188" s="17">
        <f t="shared" si="8"/>
        <v>184</v>
      </c>
      <c r="B188" s="18" cm="1">
        <f t="array" ref="B188">GetTableId(B187,G187)</f>
        <v>29</v>
      </c>
      <c r="C188" s="17" t="str" cm="1">
        <f t="array" ref="C188">GetValue("Tbl","Alias",B188)</f>
        <v>Usr</v>
      </c>
      <c r="D188" s="17" cm="1">
        <f t="array" ref="D188">GetDomainId(C188,G188)</f>
        <v>5</v>
      </c>
      <c r="E188" s="17" t="str" cm="1">
        <f t="array" ref="E188">GetValue("Dmn","Name",D188)</f>
        <v>Boolean</v>
      </c>
      <c r="F188" s="17">
        <f t="shared" si="7"/>
        <v>35</v>
      </c>
      <c r="G188" s="17" t="str" cm="1">
        <f t="array" ref="G188">GetColumnName(C188,IF(B188=B187,G187,""))</f>
        <v>CanHmlEnvironment</v>
      </c>
      <c r="H188" s="17" t="str">
        <f t="shared" si="9"/>
        <v>Informe ' Hml Permitido?'</v>
      </c>
      <c r="I188" s="17" t="str" cm="1">
        <f t="array" ref="I188">GetCaption(C188,G188)</f>
        <v xml:space="preserve"> Hml Permitido?</v>
      </c>
      <c r="J188" s="17" t="b">
        <v>0</v>
      </c>
      <c r="K188" s="17" t="b" cm="1">
        <f t="array" ref="K188">IsPrimaryKey(A188)</f>
        <v>0</v>
      </c>
      <c r="L188" s="17" t="str" cm="1">
        <f t="array" ref="L188">IsAutoincrement(A188)</f>
        <v/>
      </c>
      <c r="M188" s="17" t="b" cm="1">
        <f t="array" ref="M188">IsFilterable(A188)</f>
        <v>1</v>
      </c>
      <c r="N188" s="17" t="b" cm="1">
        <f t="array" ref="N188">IsEditable(A188)</f>
        <v>1</v>
      </c>
      <c r="O188" s="17" t="b" cm="1">
        <f t="array" ref="O188">IsBrowseable(A188)</f>
        <v>1</v>
      </c>
      <c r="P188" s="17" t="e" cm="1">
        <f t="array" ref="P188">IsListable(A188)</f>
        <v>#VALUE!</v>
      </c>
      <c r="Q188" s="17" t="str" cm="1">
        <f t="array" ref="Q188">IsEncrypted(A188)</f>
        <v/>
      </c>
      <c r="R188" s="17" t="str" cm="1">
        <f t="array" ref="R188">IsInWords(A188)</f>
        <v/>
      </c>
      <c r="S188" s="17" t="b">
        <v>0</v>
      </c>
    </row>
    <row r="189" spans="1:19">
      <c r="A189" s="17">
        <f t="shared" si="8"/>
        <v>185</v>
      </c>
      <c r="B189" s="18" cm="1">
        <f t="array" ref="B189">GetTableId(B188,G188)</f>
        <v>29</v>
      </c>
      <c r="C189" s="17" t="str" cm="1">
        <f t="array" ref="C189">GetValue("Tbl","Alias",B189)</f>
        <v>Usr</v>
      </c>
      <c r="D189" s="17" cm="1">
        <f t="array" ref="D189">GetDomainId(C189,G189)</f>
        <v>5</v>
      </c>
      <c r="E189" s="17" t="str" cm="1">
        <f t="array" ref="E189">GetValue("Dmn","Name",D189)</f>
        <v>Boolean</v>
      </c>
      <c r="F189" s="17">
        <f t="shared" si="7"/>
        <v>40</v>
      </c>
      <c r="G189" s="17" t="str" cm="1">
        <f t="array" ref="G189">GetColumnName(C189,IF(B189=B188,G188,""))</f>
        <v>CanPrdEnvironment</v>
      </c>
      <c r="H189" s="17" t="str">
        <f t="shared" si="9"/>
        <v>Informe 'Prd Permitido?'</v>
      </c>
      <c r="I189" s="17" t="str" cm="1">
        <f t="array" ref="I189">GetCaption(C189,G189)</f>
        <v>Prd Permitido?</v>
      </c>
      <c r="J189" s="17" t="b">
        <v>0</v>
      </c>
      <c r="K189" s="17" t="b" cm="1">
        <f t="array" ref="K189">IsPrimaryKey(A189)</f>
        <v>0</v>
      </c>
      <c r="L189" s="17" t="str" cm="1">
        <f t="array" ref="L189">IsAutoincrement(A189)</f>
        <v/>
      </c>
      <c r="M189" s="17" t="b" cm="1">
        <f t="array" ref="M189">IsFilterable(A189)</f>
        <v>1</v>
      </c>
      <c r="N189" s="17" t="b" cm="1">
        <f t="array" ref="N189">IsEditable(A189)</f>
        <v>1</v>
      </c>
      <c r="O189" s="17" t="b" cm="1">
        <f t="array" ref="O189">IsBrowseable(A189)</f>
        <v>1</v>
      </c>
      <c r="P189" s="17" t="e" cm="1">
        <f t="array" ref="P189">IsListable(A189)</f>
        <v>#VALUE!</v>
      </c>
      <c r="Q189" s="17" t="str" cm="1">
        <f t="array" ref="Q189">IsEncrypted(A189)</f>
        <v/>
      </c>
      <c r="R189" s="17" t="str" cm="1">
        <f t="array" ref="R189">IsInWords(A189)</f>
        <v/>
      </c>
      <c r="S189" s="17" t="b">
        <v>0</v>
      </c>
    </row>
    <row r="190" spans="1:19">
      <c r="A190" s="17">
        <f t="shared" si="8"/>
        <v>186</v>
      </c>
      <c r="B190" s="18" cm="1">
        <f t="array" ref="B190">GetTableId(B189,G189)</f>
        <v>29</v>
      </c>
      <c r="C190" s="17" t="str" cm="1">
        <f t="array" ref="C190">GetValue("Tbl","Alias",B190)</f>
        <v>Usr</v>
      </c>
      <c r="D190" s="17" cm="1">
        <f t="array" ref="D190">GetDomainId(C190,G190)</f>
        <v>5</v>
      </c>
      <c r="E190" s="17" t="str" cm="1">
        <f t="array" ref="E190">GetValue("Dmn","Name",D190)</f>
        <v>Boolean</v>
      </c>
      <c r="F190" s="17">
        <f t="shared" si="7"/>
        <v>45</v>
      </c>
      <c r="G190" s="17" t="str" cm="1">
        <f t="array" ref="G190">GetColumnName(C190,IF(B190=B189,G189,""))</f>
        <v>IsActive</v>
      </c>
      <c r="H190" s="17" t="str">
        <f t="shared" si="9"/>
        <v>Informe 'É Ativo?'</v>
      </c>
      <c r="I190" s="17" t="str" cm="1">
        <f t="array" ref="I190">GetCaption(C190,G190)</f>
        <v>É Ativo?</v>
      </c>
      <c r="J190" s="17" t="b">
        <v>1</v>
      </c>
      <c r="K190" s="17" t="b" cm="1">
        <f t="array" ref="K190">IsPrimaryKey(A190)</f>
        <v>0</v>
      </c>
      <c r="L190" s="17" t="str" cm="1">
        <f t="array" ref="L190">IsAutoincrement(A190)</f>
        <v/>
      </c>
      <c r="M190" s="17" t="b" cm="1">
        <f t="array" ref="M190">IsFilterable(A190)</f>
        <v>1</v>
      </c>
      <c r="N190" s="17" t="b" cm="1">
        <f t="array" ref="N190">IsEditable(A190)</f>
        <v>1</v>
      </c>
      <c r="O190" s="17" t="b" cm="1">
        <f t="array" ref="O190">IsBrowseable(A190)</f>
        <v>1</v>
      </c>
      <c r="P190" s="17" t="e" cm="1">
        <f t="array" ref="P190">IsListable(A190)</f>
        <v>#VALUE!</v>
      </c>
      <c r="Q190" s="17" t="str" cm="1">
        <f t="array" ref="Q190">IsEncrypted(A190)</f>
        <v/>
      </c>
      <c r="R190" s="17" t="str" cm="1">
        <f t="array" ref="R190">IsInWords(A190)</f>
        <v/>
      </c>
      <c r="S190" s="17" t="b">
        <v>0</v>
      </c>
    </row>
    <row r="191" spans="1:19">
      <c r="A191" s="17">
        <f t="shared" si="8"/>
        <v>187</v>
      </c>
      <c r="B191" s="18" cm="1">
        <f t="array" ref="B191">GetTableId(B190,G190)</f>
        <v>30</v>
      </c>
      <c r="C191" s="17" t="str" cm="1">
        <f t="array" ref="C191">GetValue("Tbl","Alias",B191)</f>
        <v>Prm</v>
      </c>
      <c r="D191" s="17" cm="1">
        <f t="array" ref="D191">GetDomainId(C191,G191)</f>
        <v>55</v>
      </c>
      <c r="E191" s="17" t="str" cm="1">
        <f t="array" ref="E191">GetValue("Dmn","Name",D191)</f>
        <v>BigId</v>
      </c>
      <c r="F191" s="17">
        <f t="shared" si="7"/>
        <v>5</v>
      </c>
      <c r="G191" s="17" t="str" cm="1">
        <f t="array" ref="G191">GetColumnName(C191,IF(B191=B190,G190,""))</f>
        <v>Id</v>
      </c>
      <c r="H191" s="17" t="str">
        <f t="shared" si="9"/>
        <v>Informe 'Id'</v>
      </c>
      <c r="I191" s="17" t="str" cm="1">
        <f t="array" ref="I191">GetCaption(C191,G191)</f>
        <v>Id</v>
      </c>
      <c r="J191" s="17" t="b">
        <v>1</v>
      </c>
      <c r="K191" s="17" t="b" cm="1">
        <f t="array" ref="K191">IsPrimaryKey(A191)</f>
        <v>1</v>
      </c>
      <c r="L191" s="17" t="b" cm="1">
        <f t="array" ref="L191">IsAutoincrement(A191)</f>
        <v>1</v>
      </c>
      <c r="M191" s="17" t="str" cm="1">
        <f t="array" ref="M191">IsFilterable(A191)</f>
        <v/>
      </c>
      <c r="N191" s="17" t="str" cm="1">
        <f t="array" ref="N191">IsEditable(A191)</f>
        <v/>
      </c>
      <c r="O191" s="17" t="str" cm="1">
        <f t="array" ref="O191">IsBrowseable(A191)</f>
        <v/>
      </c>
      <c r="P191" s="17" t="e" cm="1">
        <f t="array" ref="P191">IsListable(A191)</f>
        <v>#VALUE!</v>
      </c>
      <c r="Q191" s="17" t="str" cm="1">
        <f t="array" ref="Q191">IsEncrypted(A191)</f>
        <v/>
      </c>
      <c r="R191" s="17" t="str" cm="1">
        <f t="array" ref="R191">IsInWords(A191)</f>
        <v/>
      </c>
      <c r="S191" s="17" t="b">
        <v>0</v>
      </c>
    </row>
    <row r="192" spans="1:19">
      <c r="A192" s="17">
        <f t="shared" si="8"/>
        <v>188</v>
      </c>
      <c r="B192" s="18" cm="1">
        <f t="array" ref="B192">GetTableId(B191,G191)</f>
        <v>30</v>
      </c>
      <c r="C192" s="17" t="str" cm="1">
        <f t="array" ref="C192">GetValue("Tbl","Alias",B192)</f>
        <v>Prm</v>
      </c>
      <c r="D192" s="17" cm="1">
        <f t="array" ref="D192">GetDomainId(C192,G192)</f>
        <v>55</v>
      </c>
      <c r="E192" s="17" t="str" cm="1">
        <f t="array" ref="E192">GetValue("Dmn","Name",D192)</f>
        <v>BigId</v>
      </c>
      <c r="F192" s="17">
        <f t="shared" si="7"/>
        <v>10</v>
      </c>
      <c r="G192" s="17" t="str" cm="1">
        <f t="array" ref="G192">GetColumnName(C192,IF(B192=B191,G191,""))</f>
        <v>SystemId</v>
      </c>
      <c r="H192" s="17" t="str">
        <f t="shared" si="9"/>
        <v>Informe 'Sistema'</v>
      </c>
      <c r="I192" s="17" t="str" cm="1">
        <f t="array" ref="I192">GetCaption(C192,G192)</f>
        <v>Sistema</v>
      </c>
      <c r="J192" s="17" t="b">
        <v>1</v>
      </c>
      <c r="K192" s="17" t="b" cm="1">
        <f t="array" ref="K192">IsPrimaryKey(A192)</f>
        <v>0</v>
      </c>
      <c r="L192" s="17" t="b" cm="1">
        <f t="array" ref="L192">IsAutoincrement(A192)</f>
        <v>0</v>
      </c>
      <c r="M192" s="17" t="b" cm="1">
        <f t="array" ref="M192">IsFilterable(A192)</f>
        <v>1</v>
      </c>
      <c r="N192" s="17" t="b" cm="1">
        <f t="array" ref="N192">IsEditable(A192)</f>
        <v>1</v>
      </c>
      <c r="O192" s="17" t="b" cm="1">
        <f t="array" ref="O192">IsBrowseable(A192)</f>
        <v>1</v>
      </c>
      <c r="P192" s="17" t="e" cm="1">
        <f t="array" ref="P192">IsListable(A192)</f>
        <v>#VALUE!</v>
      </c>
      <c r="Q192" s="17" t="str" cm="1">
        <f t="array" ref="Q192">IsEncrypted(A192)</f>
        <v/>
      </c>
      <c r="R192" s="17" t="b" cm="1">
        <f t="array" ref="R192">IsInWords(A192)</f>
        <v>0</v>
      </c>
      <c r="S192" s="17" t="b">
        <v>0</v>
      </c>
    </row>
    <row r="193" spans="1:19">
      <c r="A193" s="17">
        <f t="shared" si="8"/>
        <v>189</v>
      </c>
      <c r="B193" s="18" cm="1">
        <f t="array" ref="B193">GetTableId(B192,G192)</f>
        <v>30</v>
      </c>
      <c r="C193" s="17" t="str" cm="1">
        <f t="array" ref="C193">GetValue("Tbl","Alias",B193)</f>
        <v>Prm</v>
      </c>
      <c r="D193" s="17" cm="1">
        <f t="array" ref="D193">GetDomainId(C193,G193)</f>
        <v>55</v>
      </c>
      <c r="E193" s="17" t="str" cm="1">
        <f t="array" ref="E193">GetValue("Dmn","Name",D193)</f>
        <v>BigId</v>
      </c>
      <c r="F193" s="17">
        <f t="shared" si="7"/>
        <v>15</v>
      </c>
      <c r="G193" s="17" t="str" cm="1">
        <f t="array" ref="G193">GetColumnName(C193,IF(B193=B192,G192,""))</f>
        <v>UserId</v>
      </c>
      <c r="H193" s="17" t="str">
        <f t="shared" si="9"/>
        <v>Informe 'Usuário'</v>
      </c>
      <c r="I193" s="17" t="str" cm="1">
        <f t="array" ref="I193">GetCaption(C193,G193)</f>
        <v>Usuário</v>
      </c>
      <c r="J193" s="17" t="b">
        <v>1</v>
      </c>
      <c r="K193" s="17" t="b" cm="1">
        <f t="array" ref="K193">IsPrimaryKey(A193)</f>
        <v>0</v>
      </c>
      <c r="L193" s="17" t="b" cm="1">
        <f t="array" ref="L193">IsAutoincrement(A193)</f>
        <v>0</v>
      </c>
      <c r="M193" s="17" t="b" cm="1">
        <f t="array" ref="M193">IsFilterable(A193)</f>
        <v>1</v>
      </c>
      <c r="N193" s="17" t="b" cm="1">
        <f t="array" ref="N193">IsEditable(A193)</f>
        <v>1</v>
      </c>
      <c r="O193" s="17" t="b" cm="1">
        <f t="array" ref="O193">IsBrowseable(A193)</f>
        <v>1</v>
      </c>
      <c r="P193" s="17" t="e" cm="1">
        <f t="array" ref="P193">IsListable(A193)</f>
        <v>#VALUE!</v>
      </c>
      <c r="Q193" s="17" t="str" cm="1">
        <f t="array" ref="Q193">IsEncrypted(A193)</f>
        <v/>
      </c>
      <c r="R193" s="17" t="b" cm="1">
        <f t="array" ref="R193">IsInWords(A193)</f>
        <v>0</v>
      </c>
      <c r="S193" s="17" t="b">
        <v>0</v>
      </c>
    </row>
    <row r="194" spans="1:19">
      <c r="A194" s="19">
        <f t="shared" si="8"/>
        <v>190</v>
      </c>
      <c r="B194" s="20" cm="1">
        <f t="array" ref="B194">GetTableId(B193,G193)</f>
        <v>30</v>
      </c>
      <c r="C194" s="19" t="str" cm="1">
        <f t="array" ref="C194">GetValue("Tbl","Alias",B194)</f>
        <v>Prm</v>
      </c>
      <c r="D194" s="19" cm="1">
        <f t="array" ref="D194">GetDomainId(C194,G194)</f>
        <v>55</v>
      </c>
      <c r="E194" s="19" t="str" cm="1">
        <f t="array" ref="E194">GetValue("Dmn","Name",D194)</f>
        <v>BigId</v>
      </c>
      <c r="F194" s="19">
        <f t="shared" si="7"/>
        <v>20</v>
      </c>
      <c r="G194" s="19" t="str" cm="1">
        <f t="array" ref="G194">GetColumnName(C194,IF(B194=B193,G193,""))</f>
        <v>TableId</v>
      </c>
      <c r="H194" s="19" t="str">
        <f t="shared" si="9"/>
        <v>Informe 'Tabela'</v>
      </c>
      <c r="I194" s="19" t="str" cm="1">
        <f t="array" ref="I194">GetCaption(C194,G194)</f>
        <v>Tabela</v>
      </c>
      <c r="J194" s="19" t="b">
        <v>0</v>
      </c>
      <c r="K194" s="19" t="b" cm="1">
        <f t="array" ref="K194">IsPrimaryKey(A194)</f>
        <v>0</v>
      </c>
      <c r="L194" s="19" t="b" cm="1">
        <f t="array" ref="L194">IsAutoincrement(A194)</f>
        <v>0</v>
      </c>
      <c r="M194" s="19" t="b" cm="1">
        <f t="array" ref="M194">IsFilterable(A194)</f>
        <v>1</v>
      </c>
      <c r="N194" s="19" t="b" cm="1">
        <f t="array" ref="N194">IsEditable(A194)</f>
        <v>1</v>
      </c>
      <c r="O194" s="19" t="b" cm="1">
        <f t="array" ref="O194">IsBrowseable(A194)</f>
        <v>1</v>
      </c>
      <c r="P194" s="19" t="e" cm="1">
        <f t="array" ref="P194">IsListable(A194)</f>
        <v>#VALUE!</v>
      </c>
      <c r="Q194" s="19" t="str" cm="1">
        <f t="array" ref="Q194">IsEncrypted(A194)</f>
        <v/>
      </c>
      <c r="R194" s="19" t="b" cm="1">
        <f t="array" ref="R194">IsInWords(A194)</f>
        <v>0</v>
      </c>
      <c r="S194" s="19" t="b">
        <v>0</v>
      </c>
    </row>
    <row r="195" spans="1:19">
      <c r="A195" s="19">
        <f t="shared" si="8"/>
        <v>191</v>
      </c>
      <c r="B195" s="20" cm="1">
        <f t="array" ref="B195">GetTableId(B194,G194)</f>
        <v>30</v>
      </c>
      <c r="C195" s="19" t="str" cm="1">
        <f t="array" ref="C195">GetValue("Tbl","Alias",B195)</f>
        <v>Prm</v>
      </c>
      <c r="D195" s="19" cm="1">
        <f t="array" ref="D195">GetDomainId(C195,G195)</f>
        <v>5</v>
      </c>
      <c r="E195" s="19" t="str" cm="1">
        <f t="array" ref="E195">GetValue("Dmn","Name",D195)</f>
        <v>Boolean</v>
      </c>
      <c r="F195" s="19">
        <f t="shared" ref="F195:F254" si="10">IF(G195="Id",5,F194+5)</f>
        <v>25</v>
      </c>
      <c r="G195" s="19" t="str" cm="1">
        <f t="array" ref="G195">GetColumnName(C195,IF(B195=B194,G194,""))</f>
        <v>CanCreate</v>
      </c>
      <c r="H195" s="19" t="str">
        <f t="shared" si="9"/>
        <v>Informe 'Inclusão Permitida?'</v>
      </c>
      <c r="I195" s="19" t="str" cm="1">
        <f t="array" ref="I195">GetCaption(C195,G195)</f>
        <v>Inclusão Permitida?</v>
      </c>
      <c r="J195" s="19" t="b">
        <v>1</v>
      </c>
      <c r="K195" s="19" t="b" cm="1">
        <f t="array" ref="K195">IsPrimaryKey(A195)</f>
        <v>0</v>
      </c>
      <c r="L195" s="19" t="str" cm="1">
        <f t="array" ref="L195">IsAutoincrement(A195)</f>
        <v/>
      </c>
      <c r="M195" s="19" t="b" cm="1">
        <f t="array" ref="M195">IsFilterable(A195)</f>
        <v>1</v>
      </c>
      <c r="N195" s="19" t="b" cm="1">
        <f t="array" ref="N195">IsEditable(A195)</f>
        <v>1</v>
      </c>
      <c r="O195" s="19" t="b" cm="1">
        <f t="array" ref="O195">IsBrowseable(A195)</f>
        <v>1</v>
      </c>
      <c r="P195" s="19" t="e" cm="1">
        <f t="array" ref="P195">IsListable(A195)</f>
        <v>#VALUE!</v>
      </c>
      <c r="Q195" s="19" t="str" cm="1">
        <f t="array" ref="Q195">IsEncrypted(A195)</f>
        <v/>
      </c>
      <c r="R195" s="19" t="str" cm="1">
        <f t="array" ref="R195">IsInWords(A195)</f>
        <v/>
      </c>
      <c r="S195" s="19" t="b">
        <v>0</v>
      </c>
    </row>
    <row r="196" spans="1:19">
      <c r="A196" s="19">
        <f t="shared" si="8"/>
        <v>192</v>
      </c>
      <c r="B196" s="20" cm="1">
        <f t="array" ref="B196">GetTableId(B195,G195)</f>
        <v>30</v>
      </c>
      <c r="C196" s="19" t="str" cm="1">
        <f t="array" ref="C196">GetValue("Tbl","Alias",B196)</f>
        <v>Prm</v>
      </c>
      <c r="D196" s="19" cm="1">
        <f t="array" ref="D196">GetDomainId(C196,G196)</f>
        <v>5</v>
      </c>
      <c r="E196" s="19" t="str" cm="1">
        <f t="array" ref="E196">GetValue("Dmn","Name",D196)</f>
        <v>Boolean</v>
      </c>
      <c r="F196" s="19">
        <f t="shared" si="10"/>
        <v>30</v>
      </c>
      <c r="G196" s="19" t="str" cm="1">
        <f t="array" ref="G196">GetColumnName(C196,IF(B196=B195,G195,""))</f>
        <v>CanRead</v>
      </c>
      <c r="H196" s="19" t="str">
        <f t="shared" si="9"/>
        <v>Informe 'Leitura Permitida?'</v>
      </c>
      <c r="I196" s="19" t="str" cm="1">
        <f t="array" ref="I196">GetCaption(C196,G196)</f>
        <v>Leitura Permitida?</v>
      </c>
      <c r="J196" s="19" t="b">
        <v>1</v>
      </c>
      <c r="K196" s="19" t="b" cm="1">
        <f t="array" ref="K196">IsPrimaryKey(A196)</f>
        <v>0</v>
      </c>
      <c r="L196" s="19" t="str" cm="1">
        <f t="array" ref="L196">IsAutoincrement(A196)</f>
        <v/>
      </c>
      <c r="M196" s="19" t="b" cm="1">
        <f t="array" ref="M196">IsFilterable(A196)</f>
        <v>1</v>
      </c>
      <c r="N196" s="19" t="b" cm="1">
        <f t="array" ref="N196">IsEditable(A196)</f>
        <v>1</v>
      </c>
      <c r="O196" s="19" t="b" cm="1">
        <f t="array" ref="O196">IsBrowseable(A196)</f>
        <v>1</v>
      </c>
      <c r="P196" s="19" t="e" cm="1">
        <f t="array" ref="P196">IsListable(A196)</f>
        <v>#VALUE!</v>
      </c>
      <c r="Q196" s="19" t="str" cm="1">
        <f t="array" ref="Q196">IsEncrypted(A196)</f>
        <v/>
      </c>
      <c r="R196" s="19" t="str" cm="1">
        <f t="array" ref="R196">IsInWords(A196)</f>
        <v/>
      </c>
      <c r="S196" s="19" t="b">
        <v>0</v>
      </c>
    </row>
    <row r="197" spans="1:19">
      <c r="A197" s="19">
        <f t="shared" si="8"/>
        <v>193</v>
      </c>
      <c r="B197" s="20" cm="1">
        <f t="array" ref="B197">GetTableId(B196,G196)</f>
        <v>30</v>
      </c>
      <c r="C197" s="19" t="str" cm="1">
        <f t="array" ref="C197">GetValue("Tbl","Alias",B197)</f>
        <v>Prm</v>
      </c>
      <c r="D197" s="19" cm="1">
        <f t="array" ref="D197">GetDomainId(C197,G197)</f>
        <v>5</v>
      </c>
      <c r="E197" s="19" t="str" cm="1">
        <f t="array" ref="E197">GetValue("Dmn","Name",D197)</f>
        <v>Boolean</v>
      </c>
      <c r="F197" s="19">
        <f t="shared" si="10"/>
        <v>35</v>
      </c>
      <c r="G197" s="19" t="str" cm="1">
        <f t="array" ref="G197">GetColumnName(C197,IF(B197=B196,G196,""))</f>
        <v>CanUpdate</v>
      </c>
      <c r="H197" s="19" t="str">
        <f t="shared" si="9"/>
        <v>Informe 'Alteração Permitida?'</v>
      </c>
      <c r="I197" s="19" t="str" cm="1">
        <f t="array" ref="I197">GetCaption(C197,G197)</f>
        <v>Alteração Permitida?</v>
      </c>
      <c r="J197" s="19" t="b">
        <v>1</v>
      </c>
      <c r="K197" s="19" t="b" cm="1">
        <f t="array" ref="K197">IsPrimaryKey(A197)</f>
        <v>0</v>
      </c>
      <c r="L197" s="19" t="str" cm="1">
        <f t="array" ref="L197">IsAutoincrement(A197)</f>
        <v/>
      </c>
      <c r="M197" s="19" t="b" cm="1">
        <f t="array" ref="M197">IsFilterable(A197)</f>
        <v>1</v>
      </c>
      <c r="N197" s="19" t="b" cm="1">
        <f t="array" ref="N197">IsEditable(A197)</f>
        <v>1</v>
      </c>
      <c r="O197" s="19" t="b" cm="1">
        <f t="array" ref="O197">IsBrowseable(A197)</f>
        <v>1</v>
      </c>
      <c r="P197" s="19" t="e" cm="1">
        <f t="array" ref="P197">IsListable(A197)</f>
        <v>#VALUE!</v>
      </c>
      <c r="Q197" s="19" t="str" cm="1">
        <f t="array" ref="Q197">IsEncrypted(A197)</f>
        <v/>
      </c>
      <c r="R197" s="19" t="str" cm="1">
        <f t="array" ref="R197">IsInWords(A197)</f>
        <v/>
      </c>
      <c r="S197" s="19" t="b">
        <v>0</v>
      </c>
    </row>
    <row r="198" spans="1:19">
      <c r="A198" s="19">
        <f t="shared" ref="A198:A262" si="11">ROW(A198)-4</f>
        <v>194</v>
      </c>
      <c r="B198" s="20" cm="1">
        <f t="array" ref="B198">GetTableId(B197,G197)</f>
        <v>30</v>
      </c>
      <c r="C198" s="19" t="str" cm="1">
        <f t="array" ref="C198">GetValue("Tbl","Alias",B198)</f>
        <v>Prm</v>
      </c>
      <c r="D198" s="19" cm="1">
        <f t="array" ref="D198">GetDomainId(C198,G198)</f>
        <v>5</v>
      </c>
      <c r="E198" s="19" t="str" cm="1">
        <f t="array" ref="E198">GetValue("Dmn","Name",D198)</f>
        <v>Boolean</v>
      </c>
      <c r="F198" s="19">
        <f t="shared" si="10"/>
        <v>40</v>
      </c>
      <c r="G198" s="19" t="str" cm="1">
        <f t="array" ref="G198">GetColumnName(C198,IF(B198=B197,G197,""))</f>
        <v>CanDelete</v>
      </c>
      <c r="H198" s="19" t="str">
        <f t="shared" ref="H198:H257" si="12">_xlfn.CONCAT("Informe '",I198,"'")</f>
        <v>Informe 'Exclusão Permitida?'</v>
      </c>
      <c r="I198" s="19" t="str" cm="1">
        <f t="array" ref="I198">GetCaption(C198,G198)</f>
        <v>Exclusão Permitida?</v>
      </c>
      <c r="J198" s="19" t="b">
        <v>1</v>
      </c>
      <c r="K198" s="19" t="b" cm="1">
        <f t="array" ref="K198">IsPrimaryKey(A198)</f>
        <v>0</v>
      </c>
      <c r="L198" s="19" t="str" cm="1">
        <f t="array" ref="L198">IsAutoincrement(A198)</f>
        <v/>
      </c>
      <c r="M198" s="19" t="b" cm="1">
        <f t="array" ref="M198">IsFilterable(A198)</f>
        <v>1</v>
      </c>
      <c r="N198" s="19" t="b" cm="1">
        <f t="array" ref="N198">IsEditable(A198)</f>
        <v>1</v>
      </c>
      <c r="O198" s="19" t="b" cm="1">
        <f t="array" ref="O198">IsBrowseable(A198)</f>
        <v>1</v>
      </c>
      <c r="P198" s="19" t="e" cm="1">
        <f t="array" ref="P198">IsListable(A198)</f>
        <v>#VALUE!</v>
      </c>
      <c r="Q198" s="19" t="str" cm="1">
        <f t="array" ref="Q198">IsEncrypted(A198)</f>
        <v/>
      </c>
      <c r="R198" s="19" t="str" cm="1">
        <f t="array" ref="R198">IsInWords(A198)</f>
        <v/>
      </c>
      <c r="S198" s="19" t="b">
        <v>0</v>
      </c>
    </row>
    <row r="199" spans="1:19">
      <c r="A199" s="17">
        <f t="shared" si="11"/>
        <v>195</v>
      </c>
      <c r="B199" s="18" cm="1">
        <f t="array" ref="B199">GetTableId(B198,G198)</f>
        <v>31</v>
      </c>
      <c r="C199" s="17" t="str" cm="1">
        <f t="array" ref="C199">GetValue("Tbl","Alias",B199)</f>
        <v>Prp</v>
      </c>
      <c r="D199" s="17" cm="1">
        <f t="array" ref="D199">GetDomainId(C199,G199)</f>
        <v>58</v>
      </c>
      <c r="E199" s="17" t="str" cm="1">
        <f t="array" ref="E199">GetValue("Dmn","Name",D199)</f>
        <v>TinyId</v>
      </c>
      <c r="F199" s="17">
        <f t="shared" si="10"/>
        <v>5</v>
      </c>
      <c r="G199" s="17" t="str" cm="1">
        <f t="array" ref="G199">GetColumnName(C199,IF(B199=B198,G198,""))</f>
        <v>Id</v>
      </c>
      <c r="H199" s="17" t="str">
        <f t="shared" si="12"/>
        <v>Informe 'Id'</v>
      </c>
      <c r="I199" s="17" t="str" cm="1">
        <f t="array" ref="I199">GetCaption(C199,G199)</f>
        <v>Id</v>
      </c>
      <c r="J199" s="17" t="b">
        <v>1</v>
      </c>
      <c r="K199" s="17" t="b" cm="1">
        <f t="array" ref="K199">IsPrimaryKey(A199)</f>
        <v>1</v>
      </c>
      <c r="L199" s="17" t="b" cm="1">
        <f t="array" ref="L199">IsAutoincrement(A199)</f>
        <v>1</v>
      </c>
      <c r="M199" s="17" t="str" cm="1">
        <f t="array" ref="M199">IsFilterable(A199)</f>
        <v/>
      </c>
      <c r="N199" s="17" t="str" cm="1">
        <f t="array" ref="N199">IsEditable(A199)</f>
        <v/>
      </c>
      <c r="O199" s="17" t="str" cm="1">
        <f t="array" ref="O199">IsBrowseable(A199)</f>
        <v/>
      </c>
      <c r="P199" s="17" t="e" cm="1">
        <f t="array" ref="P199">IsListable(A199)</f>
        <v>#VALUE!</v>
      </c>
      <c r="Q199" s="17" t="str" cm="1">
        <f t="array" ref="Q199">IsEncrypted(A199)</f>
        <v/>
      </c>
      <c r="R199" s="17" t="str" cm="1">
        <f t="array" ref="R199">IsInWords(A199)</f>
        <v/>
      </c>
      <c r="S199" s="17" t="b">
        <v>0</v>
      </c>
    </row>
    <row r="200" spans="1:19">
      <c r="A200" s="17">
        <f t="shared" si="11"/>
        <v>196</v>
      </c>
      <c r="B200" s="18" cm="1">
        <f t="array" ref="B200">GetTableId(B199,G199)</f>
        <v>31</v>
      </c>
      <c r="C200" s="17" t="str" cm="1">
        <f t="array" ref="C200">GetValue("Tbl","Alias",B200)</f>
        <v>Prp</v>
      </c>
      <c r="D200" s="17" cm="1">
        <f t="array" ref="D200">GetDomainId(C200,G200)</f>
        <v>58</v>
      </c>
      <c r="E200" s="17" t="str" cm="1">
        <f t="array" ref="E200">GetValue("Dmn","Name",D200)</f>
        <v>TinyId</v>
      </c>
      <c r="F200" s="17">
        <f t="shared" si="10"/>
        <v>10</v>
      </c>
      <c r="G200" s="17" t="str" cm="1">
        <f t="array" ref="G200">GetColumnName(C200,IF(B200=B199,G199,""))</f>
        <v>CategoryId</v>
      </c>
      <c r="H200" s="17" t="str">
        <f t="shared" si="12"/>
        <v>Informe 'Categoria'</v>
      </c>
      <c r="I200" s="17" t="str" cm="1">
        <f t="array" ref="I200">GetCaption(C200,G200)</f>
        <v>Categoria</v>
      </c>
      <c r="J200" s="17" t="b">
        <v>1</v>
      </c>
      <c r="K200" s="17" t="b" cm="1">
        <f t="array" ref="K200">IsPrimaryKey(A200)</f>
        <v>0</v>
      </c>
      <c r="L200" s="17" t="b" cm="1">
        <f t="array" ref="L200">IsAutoincrement(A200)</f>
        <v>0</v>
      </c>
      <c r="M200" s="17" t="b" cm="1">
        <f t="array" ref="M200">IsFilterable(A200)</f>
        <v>1</v>
      </c>
      <c r="N200" s="17" t="b" cm="1">
        <f t="array" ref="N200">IsEditable(A200)</f>
        <v>1</v>
      </c>
      <c r="O200" s="17" t="b" cm="1">
        <f t="array" ref="O200">IsBrowseable(A200)</f>
        <v>1</v>
      </c>
      <c r="P200" s="17" t="e" cm="1">
        <f t="array" ref="P200">IsListable(A200)</f>
        <v>#VALUE!</v>
      </c>
      <c r="Q200" s="17" t="str" cm="1">
        <f t="array" ref="Q200">IsEncrypted(A200)</f>
        <v/>
      </c>
      <c r="R200" s="17" t="b" cm="1">
        <f t="array" ref="R200">IsInWords(A200)</f>
        <v>0</v>
      </c>
      <c r="S200" s="17" t="b">
        <v>0</v>
      </c>
    </row>
    <row r="201" spans="1:19">
      <c r="A201" s="17">
        <f t="shared" si="11"/>
        <v>197</v>
      </c>
      <c r="B201" s="18" cm="1">
        <f t="array" ref="B201">GetTableId(B200,G200)</f>
        <v>31</v>
      </c>
      <c r="C201" s="17" t="str" cm="1">
        <f t="array" ref="C201">GetValue("Tbl","Alias",B201)</f>
        <v>Prp</v>
      </c>
      <c r="D201" s="17" cm="1">
        <f t="array" ref="D201">GetDomainId(C201,G201)</f>
        <v>11</v>
      </c>
      <c r="E201" s="17" t="str" cm="1">
        <f t="array" ref="E201">GetValue("Dmn","Name",D201)</f>
        <v>NVARCHAR(25)</v>
      </c>
      <c r="F201" s="17">
        <f t="shared" si="10"/>
        <v>15</v>
      </c>
      <c r="G201" s="17" t="str" cm="1">
        <f t="array" ref="G201">GetColumnName(C201,IF(B201=B200,G200,""))</f>
        <v>Name</v>
      </c>
      <c r="H201" s="17" t="str">
        <f t="shared" si="12"/>
        <v>Informe 'Nome'</v>
      </c>
      <c r="I201" s="17" t="str" cm="1">
        <f t="array" ref="I201">GetCaption(C201,G201)</f>
        <v>Nome</v>
      </c>
      <c r="J201" s="17" t="b">
        <v>1</v>
      </c>
      <c r="K201" s="17" t="b" cm="1">
        <f t="array" ref="K201">IsPrimaryKey(A201)</f>
        <v>0</v>
      </c>
      <c r="L201" s="17" t="str" cm="1">
        <f t="array" ref="L201">IsAutoincrement(A201)</f>
        <v/>
      </c>
      <c r="M201" s="17" t="b" cm="1">
        <f t="array" ref="M201">IsFilterable(A201)</f>
        <v>1</v>
      </c>
      <c r="N201" s="17" t="b" cm="1">
        <f t="array" ref="N201">IsEditable(A201)</f>
        <v>1</v>
      </c>
      <c r="O201" s="17" t="b" cm="1">
        <f t="array" ref="O201">IsBrowseable(A201)</f>
        <v>1</v>
      </c>
      <c r="P201" s="17" t="e" cm="1">
        <f t="array" ref="P201">IsListable(A201)</f>
        <v>#VALUE!</v>
      </c>
      <c r="Q201" s="17" t="b" cm="1">
        <f t="array" ref="Q201">IsEncrypted(A201)</f>
        <v>0</v>
      </c>
      <c r="R201" s="17" t="str" cm="1">
        <f t="array" ref="R201">IsInWords(A201)</f>
        <v/>
      </c>
      <c r="S201" s="17" t="b">
        <v>0</v>
      </c>
    </row>
    <row r="202" spans="1:19">
      <c r="A202" s="17">
        <f t="shared" si="11"/>
        <v>198</v>
      </c>
      <c r="B202" s="18" cm="1">
        <f t="array" ref="B202">GetTableId(B201,G201)</f>
        <v>31</v>
      </c>
      <c r="C202" s="17" t="str" cm="1">
        <f t="array" ref="C202">GetValue("Tbl","Alias",B202)</f>
        <v>Prp</v>
      </c>
      <c r="D202" s="17" cm="1">
        <f t="array" ref="D202">GetDomainId(C202,G202)</f>
        <v>12</v>
      </c>
      <c r="E202" s="17" t="str" cm="1">
        <f t="array" ref="E202">GetValue("Dmn","Name",D202)</f>
        <v>NVARCHAR(50)</v>
      </c>
      <c r="F202" s="17">
        <f t="shared" si="10"/>
        <v>20</v>
      </c>
      <c r="G202" s="17" t="str" cm="1">
        <f t="array" ref="G202">GetColumnName(C202,IF(B202=B201,G201,""))</f>
        <v>Description</v>
      </c>
      <c r="H202" s="17" t="str">
        <f t="shared" si="12"/>
        <v>Informe 'Descrição'</v>
      </c>
      <c r="I202" s="17" t="str" cm="1">
        <f t="array" ref="I202">GetCaption(C202,G202)</f>
        <v>Descrição</v>
      </c>
      <c r="J202" s="17" t="b">
        <v>1</v>
      </c>
      <c r="K202" s="17" t="b" cm="1">
        <f t="array" ref="K202">IsPrimaryKey(A202)</f>
        <v>0</v>
      </c>
      <c r="L202" s="17" t="str" cm="1">
        <f t="array" ref="L202">IsAutoincrement(A202)</f>
        <v/>
      </c>
      <c r="M202" s="17" t="b" cm="1">
        <f t="array" ref="M202">IsFilterable(A202)</f>
        <v>1</v>
      </c>
      <c r="N202" s="17" t="b" cm="1">
        <f t="array" ref="N202">IsEditable(A202)</f>
        <v>1</v>
      </c>
      <c r="O202" s="17" t="b" cm="1">
        <f t="array" ref="O202">IsBrowseable(A202)</f>
        <v>1</v>
      </c>
      <c r="P202" s="17" t="e" cm="1">
        <f t="array" ref="P202">IsListable(A202)</f>
        <v>#VALUE!</v>
      </c>
      <c r="Q202" s="17" t="b" cm="1">
        <f t="array" ref="Q202">IsEncrypted(A202)</f>
        <v>0</v>
      </c>
      <c r="R202" s="17" t="str" cm="1">
        <f t="array" ref="R202">IsInWords(A202)</f>
        <v/>
      </c>
      <c r="S202" s="17" t="b">
        <v>0</v>
      </c>
    </row>
    <row r="203" spans="1:19">
      <c r="A203" s="17">
        <f t="shared" si="11"/>
        <v>199</v>
      </c>
      <c r="B203" s="18" cm="1">
        <f t="array" ref="B203">GetTableId(B202,G202)</f>
        <v>31</v>
      </c>
      <c r="C203" s="17" t="str" cm="1">
        <f t="array" ref="C203">GetValue("Tbl","Alias",B203)</f>
        <v>Prp</v>
      </c>
      <c r="D203" s="17" cm="1">
        <f t="array" ref="D203">GetDomainId(C203,G203)</f>
        <v>5</v>
      </c>
      <c r="E203" s="17" t="str" cm="1">
        <f t="array" ref="E203">GetValue("Dmn","Name",D203)</f>
        <v>Boolean</v>
      </c>
      <c r="F203" s="17">
        <f t="shared" si="10"/>
        <v>25</v>
      </c>
      <c r="G203" s="17" t="str" cm="1">
        <f t="array" ref="G203">GetColumnName(C203,IF(B203=B202,G202,""))</f>
        <v>IsActive</v>
      </c>
      <c r="H203" s="17" t="str">
        <f t="shared" si="12"/>
        <v>Informe 'É Ativo?'</v>
      </c>
      <c r="I203" s="17" t="str" cm="1">
        <f t="array" ref="I203">GetCaption(C203,G203)</f>
        <v>É Ativo?</v>
      </c>
      <c r="J203" s="17" t="b">
        <v>1</v>
      </c>
      <c r="K203" s="17" t="b" cm="1">
        <f t="array" ref="K203">IsPrimaryKey(A203)</f>
        <v>0</v>
      </c>
      <c r="L203" s="17" t="str" cm="1">
        <f t="array" ref="L203">IsAutoincrement(A203)</f>
        <v/>
      </c>
      <c r="M203" s="17" t="b" cm="1">
        <f t="array" ref="M203">IsFilterable(A203)</f>
        <v>1</v>
      </c>
      <c r="N203" s="17" t="b" cm="1">
        <f t="array" ref="N203">IsEditable(A203)</f>
        <v>1</v>
      </c>
      <c r="O203" s="17" t="b" cm="1">
        <f t="array" ref="O203">IsBrowseable(A203)</f>
        <v>1</v>
      </c>
      <c r="P203" s="17" t="e" cm="1">
        <f t="array" ref="P203">IsListable(A203)</f>
        <v>#VALUE!</v>
      </c>
      <c r="Q203" s="17" t="str" cm="1">
        <f t="array" ref="Q203">IsEncrypted(A203)</f>
        <v/>
      </c>
      <c r="R203" s="17" t="str" cm="1">
        <f t="array" ref="R203">IsInWords(A203)</f>
        <v/>
      </c>
      <c r="S203" s="17" t="b">
        <v>0</v>
      </c>
    </row>
    <row r="204" spans="1:19">
      <c r="A204" s="17">
        <f t="shared" si="11"/>
        <v>200</v>
      </c>
      <c r="B204" s="18" cm="1">
        <f t="array" ref="B204">GetTableId(B203,G203)</f>
        <v>32</v>
      </c>
      <c r="C204" s="17" t="str" cm="1">
        <f t="array" ref="C204">GetValue("Tbl","Alias",B204)</f>
        <v>Bhv</v>
      </c>
      <c r="D204" s="17" cm="1">
        <f t="array" ref="D204">GetDomainId(C204,G204)</f>
        <v>55</v>
      </c>
      <c r="E204" s="17" t="str" cm="1">
        <f t="array" ref="E204">GetValue("Dmn","Name",D204)</f>
        <v>BigId</v>
      </c>
      <c r="F204" s="17">
        <f t="shared" si="10"/>
        <v>5</v>
      </c>
      <c r="G204" s="17" t="str" cm="1">
        <f t="array" ref="G204">GetColumnName(C204,IF(B204=B203,G203,""))</f>
        <v>Id</v>
      </c>
      <c r="H204" s="17" t="str">
        <f t="shared" si="12"/>
        <v>Informe 'Id'</v>
      </c>
      <c r="I204" s="17" t="str" cm="1">
        <f t="array" ref="I204">GetCaption(C204,G204)</f>
        <v>Id</v>
      </c>
      <c r="J204" s="17" t="b">
        <v>0</v>
      </c>
      <c r="K204" s="17" t="b" cm="1">
        <f t="array" ref="K204">IsPrimaryKey(A204)</f>
        <v>1</v>
      </c>
      <c r="L204" s="17" t="b" cm="1">
        <f t="array" ref="L204">IsAutoincrement(A204)</f>
        <v>1</v>
      </c>
      <c r="M204" s="17" t="str" cm="1">
        <f t="array" ref="M204">IsFilterable(A204)</f>
        <v/>
      </c>
      <c r="N204" s="17" t="str" cm="1">
        <f t="array" ref="N204">IsEditable(A204)</f>
        <v/>
      </c>
      <c r="O204" s="17" t="str" cm="1">
        <f t="array" ref="O204">IsBrowseable(A204)</f>
        <v/>
      </c>
      <c r="P204" s="17" t="e" cm="1">
        <f t="array" ref="P204">IsListable(A204)</f>
        <v>#VALUE!</v>
      </c>
      <c r="Q204" s="17" t="str" cm="1">
        <f t="array" ref="Q204">IsEncrypted(A204)</f>
        <v/>
      </c>
      <c r="R204" s="17" t="str" cm="1">
        <f t="array" ref="R204">IsInWords(A204)</f>
        <v/>
      </c>
      <c r="S204" s="17" t="b">
        <v>0</v>
      </c>
    </row>
    <row r="205" spans="1:19">
      <c r="A205" s="19">
        <f t="shared" si="11"/>
        <v>201</v>
      </c>
      <c r="B205" s="20" cm="1">
        <f t="array" ref="B205">GetTableId(B204,G204)</f>
        <v>32</v>
      </c>
      <c r="C205" s="19" t="str" cm="1">
        <f t="array" ref="C205">GetValue("Tbl","Alias",B205)</f>
        <v>Bhv</v>
      </c>
      <c r="D205" s="19" cm="1">
        <f t="array" ref="D205">GetDomainId(C205,G205)</f>
        <v>55</v>
      </c>
      <c r="E205" s="19" t="str" cm="1">
        <f t="array" ref="E205">GetValue("Dmn","Name",D205)</f>
        <v>BigId</v>
      </c>
      <c r="F205" s="19">
        <f t="shared" si="10"/>
        <v>10</v>
      </c>
      <c r="G205" s="19" t="str" cm="1">
        <f t="array" ref="G205">GetColumnName(C205,IF(B205=B204,G204,""))</f>
        <v>ColumnId</v>
      </c>
      <c r="H205" s="19" t="str">
        <f t="shared" si="12"/>
        <v>Informe 'Coluna'</v>
      </c>
      <c r="I205" s="19" t="str" cm="1">
        <f t="array" ref="I205">GetCaption(C205,G205)</f>
        <v>Coluna</v>
      </c>
      <c r="J205" s="19" t="b">
        <v>1</v>
      </c>
      <c r="K205" s="19" t="b" cm="1">
        <f t="array" ref="K205">IsPrimaryKey(A205)</f>
        <v>0</v>
      </c>
      <c r="L205" s="19" t="b" cm="1">
        <f t="array" ref="L205">IsAutoincrement(A205)</f>
        <v>0</v>
      </c>
      <c r="M205" s="19" t="b" cm="1">
        <f t="array" ref="M205">IsFilterable(A205)</f>
        <v>1</v>
      </c>
      <c r="N205" s="19" t="b" cm="1">
        <f t="array" ref="N205">IsEditable(A205)</f>
        <v>1</v>
      </c>
      <c r="O205" s="19" t="b" cm="1">
        <f t="array" ref="O205">IsBrowseable(A205)</f>
        <v>1</v>
      </c>
      <c r="P205" s="19" t="e" cm="1">
        <f t="array" ref="P205">IsListable(A205)</f>
        <v>#VALUE!</v>
      </c>
      <c r="Q205" s="19" t="str" cm="1">
        <f t="array" ref="Q205">IsEncrypted(A205)</f>
        <v/>
      </c>
      <c r="R205" s="19" t="b" cm="1">
        <f t="array" ref="R205">IsInWords(A205)</f>
        <v>0</v>
      </c>
      <c r="S205" s="19" t="b">
        <v>0</v>
      </c>
    </row>
    <row r="206" spans="1:19">
      <c r="A206" s="19">
        <f t="shared" si="11"/>
        <v>202</v>
      </c>
      <c r="B206" s="20" cm="1">
        <f t="array" ref="B206">GetTableId(B205,G205)</f>
        <v>32</v>
      </c>
      <c r="C206" s="19" t="str" cm="1">
        <f t="array" ref="C206">GetValue("Tbl","Alias",B206)</f>
        <v>Bhv</v>
      </c>
      <c r="D206" s="19" cm="1">
        <f t="array" ref="D206">GetDomainId(C206,G206)</f>
        <v>55</v>
      </c>
      <c r="E206" s="19" t="str" cm="1">
        <f t="array" ref="E206">GetValue("Dmn","Name",D206)</f>
        <v>BigId</v>
      </c>
      <c r="F206" s="19">
        <f t="shared" si="10"/>
        <v>15</v>
      </c>
      <c r="G206" s="19" t="str" cm="1">
        <f t="array" ref="G206">GetColumnName(C206,IF(B206=B205,G205,""))</f>
        <v>ExpressionId</v>
      </c>
      <c r="H206" s="19" t="str">
        <f t="shared" si="12"/>
        <v>Informe 'Expressão'</v>
      </c>
      <c r="I206" s="19" t="str" cm="1">
        <f t="array" ref="I206">GetCaption(C206,G206)</f>
        <v>Expressão</v>
      </c>
      <c r="J206" s="19" t="b">
        <v>0</v>
      </c>
      <c r="K206" s="19" t="b" cm="1">
        <f t="array" ref="K206">IsPrimaryKey(A206)</f>
        <v>0</v>
      </c>
      <c r="L206" s="19" t="b" cm="1">
        <f t="array" ref="L206">IsAutoincrement(A206)</f>
        <v>0</v>
      </c>
      <c r="M206" s="19" t="b" cm="1">
        <f t="array" ref="M206">IsFilterable(A206)</f>
        <v>1</v>
      </c>
      <c r="N206" s="19" t="b" cm="1">
        <f t="array" ref="N206">IsEditable(A206)</f>
        <v>1</v>
      </c>
      <c r="O206" s="19" t="b" cm="1">
        <f t="array" ref="O206">IsBrowseable(A206)</f>
        <v>1</v>
      </c>
      <c r="P206" s="19" t="e" cm="1">
        <f t="array" ref="P206">IsListable(A206)</f>
        <v>#VALUE!</v>
      </c>
      <c r="Q206" s="19" t="str" cm="1">
        <f t="array" ref="Q206">IsEncrypted(A206)</f>
        <v/>
      </c>
      <c r="R206" s="19" t="b" cm="1">
        <f t="array" ref="R206">IsInWords(A206)</f>
        <v>0</v>
      </c>
      <c r="S206" s="19" t="b">
        <v>0</v>
      </c>
    </row>
    <row r="207" spans="1:19">
      <c r="A207" s="19">
        <f t="shared" si="11"/>
        <v>203</v>
      </c>
      <c r="B207" s="20" cm="1">
        <f t="array" ref="B207">GetTableId(B206,G206)</f>
        <v>32</v>
      </c>
      <c r="C207" s="19" t="str" cm="1">
        <f t="array" ref="C207">GetValue("Tbl","Alias",B207)</f>
        <v>Bhv</v>
      </c>
      <c r="D207" s="19" cm="1">
        <f t="array" ref="D207">GetDomainId(C207,G207)</f>
        <v>58</v>
      </c>
      <c r="E207" s="19" t="str" cm="1">
        <f t="array" ref="E207">GetValue("Dmn","Name",D207)</f>
        <v>TinyId</v>
      </c>
      <c r="F207" s="19">
        <f t="shared" si="10"/>
        <v>20</v>
      </c>
      <c r="G207" s="19" t="str" cm="1">
        <f t="array" ref="G207">GetColumnName(C207,IF(B207=B206,G206,""))</f>
        <v>PropertyId</v>
      </c>
      <c r="H207" s="19" t="str">
        <f t="shared" si="12"/>
        <v>Informe 'Propriedade'</v>
      </c>
      <c r="I207" s="19" t="str" cm="1">
        <f t="array" ref="I207">GetCaption(C207,G207)</f>
        <v>Propriedade</v>
      </c>
      <c r="J207" s="19" t="b">
        <v>1</v>
      </c>
      <c r="K207" s="19" t="b" cm="1">
        <f t="array" ref="K207">IsPrimaryKey(A207)</f>
        <v>0</v>
      </c>
      <c r="L207" s="19" t="b" cm="1">
        <f t="array" ref="L207">IsAutoincrement(A207)</f>
        <v>0</v>
      </c>
      <c r="M207" s="19" t="b" cm="1">
        <f t="array" ref="M207">IsFilterable(A207)</f>
        <v>1</v>
      </c>
      <c r="N207" s="19" t="b" cm="1">
        <f t="array" ref="N207">IsEditable(A207)</f>
        <v>1</v>
      </c>
      <c r="O207" s="19" t="b" cm="1">
        <f t="array" ref="O207">IsBrowseable(A207)</f>
        <v>1</v>
      </c>
      <c r="P207" s="19" t="e" cm="1">
        <f t="array" ref="P207">IsListable(A207)</f>
        <v>#VALUE!</v>
      </c>
      <c r="Q207" s="19" t="str" cm="1">
        <f t="array" ref="Q207">IsEncrypted(A207)</f>
        <v/>
      </c>
      <c r="R207" s="19" t="b" cm="1">
        <f t="array" ref="R207">IsInWords(A207)</f>
        <v>0</v>
      </c>
      <c r="S207" s="19" t="b">
        <v>0</v>
      </c>
    </row>
    <row r="208" spans="1:19">
      <c r="A208" s="19">
        <f t="shared" si="11"/>
        <v>204</v>
      </c>
      <c r="B208" s="20" cm="1">
        <f t="array" ref="B208">GetTableId(B207,G207)</f>
        <v>32</v>
      </c>
      <c r="C208" s="19" t="str" cm="1">
        <f t="array" ref="C208">GetValue("Tbl","Alias",B208)</f>
        <v>Bhv</v>
      </c>
      <c r="D208" s="19" cm="1">
        <f t="array" ref="D208">GetDomainId(C208,G208)</f>
        <v>24</v>
      </c>
      <c r="E208" s="19" t="str" cm="1">
        <f t="array" ref="E208">GetValue("Dmn","Name",D208)</f>
        <v>VARIANT</v>
      </c>
      <c r="F208" s="19">
        <f t="shared" si="10"/>
        <v>25</v>
      </c>
      <c r="G208" s="19" t="str" cm="1">
        <f t="array" ref="G208">GetColumnName(C208,IF(B208=B207,G207,""))</f>
        <v>Value</v>
      </c>
      <c r="H208" s="19" t="str">
        <f t="shared" si="12"/>
        <v>Informe 'Valor Para Sim'</v>
      </c>
      <c r="I208" s="19" t="str" cm="1">
        <f t="array" ref="I208">GetCaption(C208,G208)</f>
        <v>Valor Para Sim</v>
      </c>
      <c r="J208" s="19" t="b">
        <v>1</v>
      </c>
      <c r="K208" s="19" t="str" cm="1">
        <f t="array" ref="K208">IsPrimaryKey(A208)</f>
        <v/>
      </c>
      <c r="L208" s="19" t="str" cm="1">
        <f t="array" ref="L208">IsAutoincrement(A208)</f>
        <v/>
      </c>
      <c r="M208" s="19" t="str" cm="1">
        <f t="array" ref="M208">IsFilterable(A208)</f>
        <v/>
      </c>
      <c r="N208" s="19" t="b" cm="1">
        <f t="array" ref="N208">IsEditable(A208)</f>
        <v>1</v>
      </c>
      <c r="O208" s="19" t="str" cm="1">
        <f t="array" ref="O208">IsBrowseable(A208)</f>
        <v/>
      </c>
      <c r="P208" s="19" t="e" cm="1">
        <f t="array" ref="P208">IsListable(A208)</f>
        <v>#VALUE!</v>
      </c>
      <c r="Q208" s="19" t="str" cm="1">
        <f t="array" ref="Q208">IsEncrypted(A208)</f>
        <v/>
      </c>
      <c r="R208" s="19" t="str" cm="1">
        <f t="array" ref="R208">IsInWords(A208)</f>
        <v/>
      </c>
      <c r="S208" s="19" t="b">
        <v>0</v>
      </c>
    </row>
    <row r="209" spans="1:19">
      <c r="A209" s="19">
        <f t="shared" si="11"/>
        <v>205</v>
      </c>
      <c r="B209" s="20" cm="1">
        <f t="array" ref="B209">GetTableId(B208,G208)</f>
        <v>32</v>
      </c>
      <c r="C209" s="19" t="str" cm="1">
        <f t="array" ref="C209">GetValue("Tbl","Alias",B209)</f>
        <v>Bhv</v>
      </c>
      <c r="D209" s="19" cm="1">
        <f t="array" ref="D209">GetDomainId(C209,G209)</f>
        <v>24</v>
      </c>
      <c r="E209" s="19" t="str" cm="1">
        <f t="array" ref="E209">GetValue("Dmn","Name",D209)</f>
        <v>VARIANT</v>
      </c>
      <c r="F209" s="19">
        <f t="shared" si="10"/>
        <v>30</v>
      </c>
      <c r="G209" s="19" t="str" cm="1">
        <f t="array" ref="G209">GetColumnName(C209,IF(B209=B208,G208,""))</f>
        <v>ElseValue</v>
      </c>
      <c r="H209" s="19" t="str">
        <f t="shared" si="12"/>
        <v>Informe 'Valor Para Não'</v>
      </c>
      <c r="I209" s="19" t="str" cm="1">
        <f t="array" ref="I209">GetCaption(C209,G209)</f>
        <v>Valor Para Não</v>
      </c>
      <c r="J209" s="19" t="b">
        <v>1</v>
      </c>
      <c r="K209" s="19" t="str" cm="1">
        <f t="array" ref="K209">IsPrimaryKey(A209)</f>
        <v/>
      </c>
      <c r="L209" s="19" t="str" cm="1">
        <f t="array" ref="L209">IsAutoincrement(A209)</f>
        <v/>
      </c>
      <c r="M209" s="19" t="str" cm="1">
        <f t="array" ref="M209">IsFilterable(A209)</f>
        <v/>
      </c>
      <c r="N209" s="19" t="b" cm="1">
        <f t="array" ref="N209">IsEditable(A209)</f>
        <v>1</v>
      </c>
      <c r="O209" s="19" t="str" cm="1">
        <f t="array" ref="O209">IsBrowseable(A209)</f>
        <v/>
      </c>
      <c r="P209" s="19" t="e" cm="1">
        <f t="array" ref="P209">IsListable(A209)</f>
        <v>#VALUE!</v>
      </c>
      <c r="Q209" s="19" t="str" cm="1">
        <f t="array" ref="Q209">IsEncrypted(A209)</f>
        <v/>
      </c>
      <c r="R209" s="19" t="str" cm="1">
        <f t="array" ref="R209">IsInWords(A209)</f>
        <v/>
      </c>
      <c r="S209" s="19" t="b">
        <v>0</v>
      </c>
    </row>
    <row r="210" spans="1:19">
      <c r="A210" s="19">
        <f t="shared" si="11"/>
        <v>206</v>
      </c>
      <c r="B210" s="20" cm="1">
        <f t="array" ref="B210">GetTableId(B209,G209)</f>
        <v>33</v>
      </c>
      <c r="C210" s="19" t="str" cm="1">
        <f t="array" ref="C210">GetValue("Tbl","Alias",B210)</f>
        <v>Scr</v>
      </c>
      <c r="D210" s="19" cm="1">
        <f t="array" ref="D210">GetDomainId(C210,G210)</f>
        <v>55</v>
      </c>
      <c r="E210" s="19" t="str" cm="1">
        <f t="array" ref="E210">GetValue("Dmn","Name",D210)</f>
        <v>BigId</v>
      </c>
      <c r="F210" s="19">
        <f t="shared" ref="F210" si="13">IF(G210="Id",5,F209+5)</f>
        <v>5</v>
      </c>
      <c r="G210" s="19" t="str" cm="1">
        <f t="array" ref="G210">GetColumnName(C210,IF(B210=B209,G209,""))</f>
        <v>Id</v>
      </c>
      <c r="H210" s="19" t="str">
        <f t="shared" si="12"/>
        <v>Informe 'Id'</v>
      </c>
      <c r="I210" s="19" t="str" cm="1">
        <f t="array" ref="I210">GetCaption(C210,G210)</f>
        <v>Id</v>
      </c>
      <c r="J210" s="19" t="b">
        <v>1</v>
      </c>
      <c r="K210" s="19" t="b" cm="1">
        <f t="array" ref="K210">IsPrimaryKey(A210)</f>
        <v>1</v>
      </c>
      <c r="L210" s="19" t="b" cm="1">
        <f t="array" ref="L210">IsAutoincrement(A210)</f>
        <v>1</v>
      </c>
      <c r="M210" s="19" t="str" cm="1">
        <f t="array" ref="M210">IsFilterable(A210)</f>
        <v/>
      </c>
      <c r="N210" s="19" t="str" cm="1">
        <f t="array" ref="N210">IsEditable(A210)</f>
        <v/>
      </c>
      <c r="O210" s="19" t="str" cm="1">
        <f t="array" ref="O210">IsBrowseable(A210)</f>
        <v/>
      </c>
      <c r="P210" s="19" t="e" cm="1">
        <f t="array" ref="P210">IsListable(A210)</f>
        <v>#VALUE!</v>
      </c>
      <c r="Q210" s="19" t="str" cm="1">
        <f t="array" ref="Q210">IsEncrypted(A210)</f>
        <v/>
      </c>
      <c r="R210" s="19" t="str" cm="1">
        <f t="array" ref="R210">IsInWords(A210)</f>
        <v/>
      </c>
      <c r="S210" s="19" t="b">
        <v>0</v>
      </c>
    </row>
    <row r="211" spans="1:19">
      <c r="A211" s="17">
        <f t="shared" si="11"/>
        <v>207</v>
      </c>
      <c r="B211" s="18" cm="1">
        <f t="array" ref="B211">GetTableId(B210,G210)</f>
        <v>33</v>
      </c>
      <c r="C211" s="17" t="str" cm="1">
        <f t="array" ref="C211">GetValue("Tbl","Alias",B211)</f>
        <v>Scr</v>
      </c>
      <c r="D211" s="17" cm="1">
        <f t="array" ref="D211">GetDomainId(C211,G211)</f>
        <v>55</v>
      </c>
      <c r="E211" s="17" t="str" cm="1">
        <f t="array" ref="E211">GetValue("Dmn","Name",D211)</f>
        <v>BigId</v>
      </c>
      <c r="F211" s="17">
        <f t="shared" si="10"/>
        <v>10</v>
      </c>
      <c r="G211" s="17" t="str" cm="1">
        <f t="array" ref="G211">GetColumnName(C211,IF(B211=B210,G210,""))</f>
        <v>SniperId</v>
      </c>
      <c r="H211" s="17" t="str">
        <f t="shared" si="12"/>
        <v>Informe 'Gatilho'</v>
      </c>
      <c r="I211" s="17" t="str" cm="1">
        <f t="array" ref="I211">GetCaption(C211,G211)</f>
        <v>Gatilho</v>
      </c>
      <c r="J211" s="17" t="b">
        <v>1</v>
      </c>
      <c r="K211" s="17" t="b" cm="1">
        <f t="array" ref="K211">IsPrimaryKey(A211)</f>
        <v>0</v>
      </c>
      <c r="L211" s="17" t="b" cm="1">
        <f t="array" ref="L211">IsAutoincrement(A211)</f>
        <v>0</v>
      </c>
      <c r="M211" s="17" t="b" cm="1">
        <f t="array" ref="M211">IsFilterable(A211)</f>
        <v>1</v>
      </c>
      <c r="N211" s="17" t="b" cm="1">
        <f t="array" ref="N211">IsEditable(A211)</f>
        <v>1</v>
      </c>
      <c r="O211" s="17" t="b" cm="1">
        <f t="array" ref="O211">IsBrowseable(A211)</f>
        <v>1</v>
      </c>
      <c r="P211" s="17" t="e" cm="1">
        <f t="array" ref="P211">IsListable(A211)</f>
        <v>#VALUE!</v>
      </c>
      <c r="Q211" s="17" t="str" cm="1">
        <f t="array" ref="Q211">IsEncrypted(A211)</f>
        <v/>
      </c>
      <c r="R211" s="17" t="b" cm="1">
        <f t="array" ref="R211">IsInWords(A211)</f>
        <v>0</v>
      </c>
      <c r="S211" s="17" t="b">
        <v>0</v>
      </c>
    </row>
    <row r="212" spans="1:19">
      <c r="A212" s="17">
        <f t="shared" si="11"/>
        <v>208</v>
      </c>
      <c r="B212" s="18" cm="1">
        <f t="array" ref="B212">GetTableId(B211,G211)</f>
        <v>33</v>
      </c>
      <c r="C212" s="17" t="str" cm="1">
        <f t="array" ref="C212">GetValue("Tbl","Alias",B212)</f>
        <v>Scr</v>
      </c>
      <c r="D212" s="17" cm="1">
        <f t="array" ref="D212">GetDomainId(C212,G212)</f>
        <v>55</v>
      </c>
      <c r="E212" s="17" t="str" cm="1">
        <f t="array" ref="E212">GetValue("Dmn","Name",D212)</f>
        <v>BigId</v>
      </c>
      <c r="F212" s="17">
        <f t="shared" si="10"/>
        <v>15</v>
      </c>
      <c r="G212" s="17" t="str" cm="1">
        <f t="array" ref="G212">GetColumnName(C212,IF(B212=B211,G211,""))</f>
        <v>SchedulingId</v>
      </c>
      <c r="H212" s="17" t="str">
        <f t="shared" si="12"/>
        <v>Informe 'Agendamento'</v>
      </c>
      <c r="I212" s="17" t="str" cm="1">
        <f t="array" ref="I212">GetCaption(C212,G212)</f>
        <v>Agendamento</v>
      </c>
      <c r="J212" s="17" t="b">
        <v>1</v>
      </c>
      <c r="K212" s="17" t="b" cm="1">
        <f t="array" ref="K212">IsPrimaryKey(A212)</f>
        <v>0</v>
      </c>
      <c r="L212" s="17" t="b" cm="1">
        <f t="array" ref="L212">IsAutoincrement(A212)</f>
        <v>0</v>
      </c>
      <c r="M212" s="17" t="b" cm="1">
        <f t="array" ref="M212">IsFilterable(A212)</f>
        <v>1</v>
      </c>
      <c r="N212" s="17" t="b" cm="1">
        <f t="array" ref="N212">IsEditable(A212)</f>
        <v>1</v>
      </c>
      <c r="O212" s="17" t="b" cm="1">
        <f t="array" ref="O212">IsBrowseable(A212)</f>
        <v>1</v>
      </c>
      <c r="P212" s="17" t="e" cm="1">
        <f t="array" ref="P212">IsListable(A212)</f>
        <v>#VALUE!</v>
      </c>
      <c r="Q212" s="17" t="str" cm="1">
        <f t="array" ref="Q212">IsEncrypted(A212)</f>
        <v/>
      </c>
      <c r="R212" s="17" t="b" cm="1">
        <f t="array" ref="R212">IsInWords(A212)</f>
        <v>0</v>
      </c>
      <c r="S212" s="17" t="b">
        <v>0</v>
      </c>
    </row>
    <row r="213" spans="1:19">
      <c r="A213" s="17">
        <f t="shared" si="11"/>
        <v>209</v>
      </c>
      <c r="B213" s="18" cm="1">
        <f t="array" ref="B213">GetTableId(B212,G212)</f>
        <v>33</v>
      </c>
      <c r="C213" s="17" t="str" cm="1">
        <f t="array" ref="C213">GetValue("Tbl","Alias",B213)</f>
        <v>Scr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10"/>
        <v>20</v>
      </c>
      <c r="G213" s="17" t="str" cm="1">
        <f t="array" ref="G213">GetColumnName(C213,IF(B213=B212,G212,""))</f>
        <v>ConnectionId</v>
      </c>
      <c r="H213" s="17" t="str">
        <f t="shared" si="12"/>
        <v>Informe 'Conexão'</v>
      </c>
      <c r="I213" s="17" t="str" cm="1">
        <f t="array" ref="I213">GetCaption(C213,G213)</f>
        <v>Conexão</v>
      </c>
      <c r="J213" s="17" t="b">
        <v>1</v>
      </c>
      <c r="K213" s="17" t="b" cm="1">
        <f t="array" ref="K213">IsPrimaryKey(A213)</f>
        <v>0</v>
      </c>
      <c r="L213" s="17" t="b" cm="1">
        <f t="array" ref="L213">IsAutoincrement(A213)</f>
        <v>0</v>
      </c>
      <c r="M213" s="17" t="b" cm="1">
        <f t="array" ref="M213">IsFilterable(A213)</f>
        <v>1</v>
      </c>
      <c r="N213" s="17" t="b" cm="1">
        <f t="array" ref="N213">IsEditable(A213)</f>
        <v>1</v>
      </c>
      <c r="O213" s="17" t="b" cm="1">
        <f t="array" ref="O213">IsBrowseable(A213)</f>
        <v>1</v>
      </c>
      <c r="P213" s="17" t="e" cm="1">
        <f t="array" ref="P213">IsListable(A213)</f>
        <v>#VALUE!</v>
      </c>
      <c r="Q213" s="17" t="str" cm="1">
        <f t="array" ref="Q213">IsEncrypted(A213)</f>
        <v/>
      </c>
      <c r="R213" s="17" t="b" cm="1">
        <f t="array" ref="R213">IsInWords(A213)</f>
        <v>0</v>
      </c>
      <c r="S213" s="17" t="b">
        <v>0</v>
      </c>
    </row>
    <row r="214" spans="1:19">
      <c r="A214" s="17">
        <f t="shared" si="11"/>
        <v>210</v>
      </c>
      <c r="B214" s="18" cm="1">
        <f t="array" ref="B214">GetTableId(B213,G213)</f>
        <v>33</v>
      </c>
      <c r="C214" s="17" t="str" cm="1">
        <f t="array" ref="C214">GetValue("Tbl","Alias",B214)</f>
        <v>Scr</v>
      </c>
      <c r="D214" s="17" cm="1">
        <f t="array" ref="D214">GetDomainId(C214,G214)</f>
        <v>59</v>
      </c>
      <c r="E214" s="17" t="str" cm="1">
        <f t="array" ref="E214">GetValue("Dmn","Name",D214)</f>
        <v>SEQUENCE</v>
      </c>
      <c r="F214" s="17">
        <f t="shared" si="10"/>
        <v>25</v>
      </c>
      <c r="G214" s="17" t="str" cm="1">
        <f t="array" ref="G214">GetColumnName(C214,IF(B214=B213,G213,""))</f>
        <v>Sequence</v>
      </c>
      <c r="H214" s="17" t="str">
        <f t="shared" si="12"/>
        <v>Informe 'Sequência'</v>
      </c>
      <c r="I214" s="17" t="str" cm="1">
        <f t="array" ref="I214">GetCaption(C214,G214)</f>
        <v>Sequência</v>
      </c>
      <c r="J214" s="17" t="b">
        <v>1</v>
      </c>
      <c r="K214" s="17" t="b" cm="1">
        <f t="array" ref="K214">IsPrimaryKey(A214)</f>
        <v>0</v>
      </c>
      <c r="L214" s="17" t="b" cm="1">
        <f t="array" ref="L214">IsAutoincrement(A214)</f>
        <v>0</v>
      </c>
      <c r="M214" s="17" t="b" cm="1">
        <f t="array" ref="M214">IsFilterable(A214)</f>
        <v>1</v>
      </c>
      <c r="N214" s="17" t="b" cm="1">
        <f t="array" ref="N214">IsEditable(A214)</f>
        <v>1</v>
      </c>
      <c r="O214" s="17" t="b" cm="1">
        <f t="array" ref="O214">IsBrowseable(A214)</f>
        <v>1</v>
      </c>
      <c r="P214" s="17" t="e" cm="1">
        <f t="array" ref="P214">IsListable(A214)</f>
        <v>#VALUE!</v>
      </c>
      <c r="Q214" s="17" t="str" cm="1">
        <f t="array" ref="Q214">IsEncrypted(A214)</f>
        <v/>
      </c>
      <c r="R214" s="17" t="b" cm="1">
        <f t="array" ref="R214">IsInWords(A214)</f>
        <v>0</v>
      </c>
      <c r="S214" s="17" t="b">
        <v>0</v>
      </c>
    </row>
    <row r="215" spans="1:19">
      <c r="A215" s="17">
        <f t="shared" si="11"/>
        <v>211</v>
      </c>
      <c r="B215" s="18" cm="1">
        <f t="array" ref="B215">GetTableId(B214,G214)</f>
        <v>33</v>
      </c>
      <c r="C215" s="17" t="str" cm="1">
        <f t="array" ref="C215">GetValue("Tbl","Alias",B215)</f>
        <v>Scr</v>
      </c>
      <c r="D215" s="17" cm="1">
        <f t="array" ref="D215">GetDomainId(C215,G215)</f>
        <v>54</v>
      </c>
      <c r="E215" s="17" t="str" cm="1">
        <f t="array" ref="E215">GetValue("Dmn","Name",D215)</f>
        <v>SQL</v>
      </c>
      <c r="F215" s="17">
        <f t="shared" si="10"/>
        <v>30</v>
      </c>
      <c r="G215" s="17" t="str" cm="1">
        <f t="array" ref="G215">GetColumnName(C215,IF(B215=B214,G214,""))</f>
        <v>Script</v>
      </c>
      <c r="H215" s="17" t="str">
        <f t="shared" si="12"/>
        <v>Informe 'Script SQL'</v>
      </c>
      <c r="I215" s="17" t="str" cm="1">
        <f t="array" ref="I215">GetCaption(C215,G215)</f>
        <v>Script SQL</v>
      </c>
      <c r="J215" s="17" t="b">
        <v>1</v>
      </c>
      <c r="K215" s="17" t="str" cm="1">
        <f t="array" ref="K215">IsPrimaryKey(A215)</f>
        <v/>
      </c>
      <c r="L215" s="17" t="str" cm="1">
        <f t="array" ref="L215">IsAutoincrement(A215)</f>
        <v/>
      </c>
      <c r="M215" s="17" t="str" cm="1">
        <f t="array" ref="M215">IsFilterable(A215)</f>
        <v/>
      </c>
      <c r="N215" s="17" t="b" cm="1">
        <f t="array" ref="N215">IsEditable(A215)</f>
        <v>1</v>
      </c>
      <c r="O215" s="17" t="str" cm="1">
        <f t="array" ref="O215">IsBrowseable(A215)</f>
        <v/>
      </c>
      <c r="P215" s="17" t="e" cm="1">
        <f t="array" ref="P215">IsListable(A215)</f>
        <v>#VALUE!</v>
      </c>
      <c r="Q215" s="17" t="str" cm="1">
        <f t="array" ref="Q215">IsEncrypted(A215)</f>
        <v/>
      </c>
      <c r="R215" s="17" t="str" cm="1">
        <f t="array" ref="R215">IsInWords(A215)</f>
        <v/>
      </c>
      <c r="S215" s="17" t="b">
        <v>0</v>
      </c>
    </row>
    <row r="216" spans="1:19">
      <c r="A216" s="17">
        <f t="shared" si="11"/>
        <v>212</v>
      </c>
      <c r="B216" s="18" cm="1">
        <f t="array" ref="B216">GetTableId(B215,G215)</f>
        <v>34</v>
      </c>
      <c r="C216" s="17" t="str" cm="1">
        <f t="array" ref="C216">GetValue("Tbl","Alias",B216)</f>
        <v>Cal</v>
      </c>
      <c r="D216" s="17" cm="1">
        <f t="array" ref="D216">GetDomainId(C216,G216)</f>
        <v>55</v>
      </c>
      <c r="E216" s="17" t="str" cm="1">
        <f t="array" ref="E216">GetValue("Dmn","Name",D216)</f>
        <v>BigId</v>
      </c>
      <c r="F216" s="17">
        <f t="shared" ref="F216" si="14">IF(G216="Id",5,F215+5)</f>
        <v>5</v>
      </c>
      <c r="G216" s="17" t="str" cm="1">
        <f t="array" ref="G216">GetColumnName(C216,IF(B216=B215,G215,""))</f>
        <v>Id</v>
      </c>
      <c r="H216" s="17" t="str">
        <f t="shared" si="12"/>
        <v>Informe 'Id'</v>
      </c>
      <c r="I216" s="17" t="str" cm="1">
        <f t="array" ref="I216">GetCaption(C216,G216)</f>
        <v>Id</v>
      </c>
      <c r="J216" s="17" t="b">
        <v>1</v>
      </c>
      <c r="K216" s="17" t="b" cm="1">
        <f t="array" ref="K216">IsPrimaryKey(A216)</f>
        <v>1</v>
      </c>
      <c r="L216" s="17" t="b" cm="1">
        <f t="array" ref="L216">IsAutoincrement(A216)</f>
        <v>1</v>
      </c>
      <c r="M216" s="17" t="str" cm="1">
        <f t="array" ref="M216">IsFilterable(A216)</f>
        <v/>
      </c>
      <c r="N216" s="17" t="str" cm="1">
        <f t="array" ref="N216">IsEditable(A216)</f>
        <v/>
      </c>
      <c r="O216" s="17" t="str" cm="1">
        <f t="array" ref="O216">IsBrowseable(A216)</f>
        <v/>
      </c>
      <c r="P216" s="17" t="e" cm="1">
        <f t="array" ref="P216">IsListable(A216)</f>
        <v>#VALUE!</v>
      </c>
      <c r="Q216" s="17" t="str" cm="1">
        <f t="array" ref="Q216">IsEncrypted(A216)</f>
        <v/>
      </c>
      <c r="R216" s="17" t="str" cm="1">
        <f t="array" ref="R216">IsInWords(A216)</f>
        <v/>
      </c>
      <c r="S216" s="17" t="b">
        <v>0</v>
      </c>
    </row>
    <row r="217" spans="1:19">
      <c r="A217" s="19">
        <f t="shared" si="11"/>
        <v>213</v>
      </c>
      <c r="B217" s="20" cm="1">
        <f t="array" ref="B217">GetTableId(B216,G216)</f>
        <v>34</v>
      </c>
      <c r="C217" s="19" t="str" cm="1">
        <f t="array" ref="C217">GetValue("Tbl","Alias",B217)</f>
        <v>Cal</v>
      </c>
      <c r="D217" s="19" cm="1">
        <f t="array" ref="D217">GetDomainId(C217,G217)</f>
        <v>55</v>
      </c>
      <c r="E217" s="19" t="str" cm="1">
        <f t="array" ref="E217">GetValue("Dmn","Name",D217)</f>
        <v>BigId</v>
      </c>
      <c r="F217" s="19">
        <f t="shared" si="10"/>
        <v>10</v>
      </c>
      <c r="G217" s="19" t="str" cm="1">
        <f t="array" ref="G217">GetColumnName(C217,IF(B217=B216,G216,""))</f>
        <v>SniperId</v>
      </c>
      <c r="H217" s="19" t="str">
        <f t="shared" si="12"/>
        <v>Informe 'Gatilho'</v>
      </c>
      <c r="I217" s="19" t="str" cm="1">
        <f t="array" ref="I217">GetCaption(C217,G217)</f>
        <v>Gatilho</v>
      </c>
      <c r="J217" s="19" t="b">
        <v>0</v>
      </c>
      <c r="K217" s="19" t="b" cm="1">
        <f t="array" ref="K217">IsPrimaryKey(A217)</f>
        <v>0</v>
      </c>
      <c r="L217" s="19" t="b" cm="1">
        <f t="array" ref="L217">IsAutoincrement(A217)</f>
        <v>0</v>
      </c>
      <c r="M217" s="19" t="b" cm="1">
        <f t="array" ref="M217">IsFilterable(A217)</f>
        <v>1</v>
      </c>
      <c r="N217" s="19" t="b" cm="1">
        <f t="array" ref="N217">IsEditable(A217)</f>
        <v>1</v>
      </c>
      <c r="O217" s="19" t="b" cm="1">
        <f t="array" ref="O217">IsBrowseable(A217)</f>
        <v>1</v>
      </c>
      <c r="P217" s="19" t="e" cm="1">
        <f t="array" ref="P217">IsListable(A217)</f>
        <v>#VALUE!</v>
      </c>
      <c r="Q217" s="19" t="str" cm="1">
        <f t="array" ref="Q217">IsEncrypted(A217)</f>
        <v/>
      </c>
      <c r="R217" s="19" t="b" cm="1">
        <f t="array" ref="R217">IsInWords(A217)</f>
        <v>0</v>
      </c>
      <c r="S217" s="19" t="b">
        <v>0</v>
      </c>
    </row>
    <row r="218" spans="1:19">
      <c r="A218" s="19">
        <f t="shared" si="11"/>
        <v>214</v>
      </c>
      <c r="B218" s="20" cm="1">
        <f t="array" ref="B218">GetTableId(B217,G217)</f>
        <v>34</v>
      </c>
      <c r="C218" s="19" t="str" cm="1">
        <f t="array" ref="C218">GetValue("Tbl","Alias",B218)</f>
        <v>Cal</v>
      </c>
      <c r="D218" s="19" cm="1">
        <f t="array" ref="D218">GetDomainId(C218,G218)</f>
        <v>55</v>
      </c>
      <c r="E218" s="19" t="str" cm="1">
        <f t="array" ref="E218">GetValue("Dmn","Name",D218)</f>
        <v>BigId</v>
      </c>
      <c r="F218" s="19">
        <f t="shared" si="10"/>
        <v>15</v>
      </c>
      <c r="G218" s="19" t="str" cm="1">
        <f t="array" ref="G218">GetColumnName(C218,IF(B218=B217,G217,""))</f>
        <v>SchedulingId</v>
      </c>
      <c r="H218" s="19" t="str">
        <f t="shared" si="12"/>
        <v>Informe 'Agendamento'</v>
      </c>
      <c r="I218" s="19" t="str" cm="1">
        <f t="array" ref="I218">GetCaption(C218,G218)</f>
        <v>Agendamento</v>
      </c>
      <c r="J218" s="19" t="b">
        <v>1</v>
      </c>
      <c r="K218" s="19" t="b" cm="1">
        <f t="array" ref="K218">IsPrimaryKey(A218)</f>
        <v>0</v>
      </c>
      <c r="L218" s="19" t="b" cm="1">
        <f t="array" ref="L218">IsAutoincrement(A218)</f>
        <v>0</v>
      </c>
      <c r="M218" s="19" t="b" cm="1">
        <f t="array" ref="M218">IsFilterable(A218)</f>
        <v>1</v>
      </c>
      <c r="N218" s="19" t="b" cm="1">
        <f t="array" ref="N218">IsEditable(A218)</f>
        <v>1</v>
      </c>
      <c r="O218" s="19" t="b" cm="1">
        <f t="array" ref="O218">IsBrowseable(A218)</f>
        <v>1</v>
      </c>
      <c r="P218" s="19" t="e" cm="1">
        <f t="array" ref="P218">IsListable(A218)</f>
        <v>#VALUE!</v>
      </c>
      <c r="Q218" s="19" t="str" cm="1">
        <f t="array" ref="Q218">IsEncrypted(A218)</f>
        <v/>
      </c>
      <c r="R218" s="19" t="b" cm="1">
        <f t="array" ref="R218">IsInWords(A218)</f>
        <v>0</v>
      </c>
      <c r="S218" s="19" t="b">
        <v>0</v>
      </c>
    </row>
    <row r="219" spans="1:19">
      <c r="A219" s="19">
        <f t="shared" si="11"/>
        <v>215</v>
      </c>
      <c r="B219" s="20" cm="1">
        <f t="array" ref="B219">GetTableId(B218,G218)</f>
        <v>34</v>
      </c>
      <c r="C219" s="19" t="str" cm="1">
        <f t="array" ref="C219">GetValue("Tbl","Alias",B219)</f>
        <v>Cal</v>
      </c>
      <c r="D219" s="19" cm="1">
        <f t="array" ref="D219">GetDomainId(C219,G219)</f>
        <v>59</v>
      </c>
      <c r="E219" s="19" t="str" cm="1">
        <f t="array" ref="E219">GetValue("Dmn","Name",D219)</f>
        <v>SEQUENCE</v>
      </c>
      <c r="F219" s="19">
        <f t="shared" si="10"/>
        <v>20</v>
      </c>
      <c r="G219" s="19" t="str" cm="1">
        <f t="array" ref="G219">GetColumnName(C219,IF(B219=B218,G218,""))</f>
        <v>Sequence</v>
      </c>
      <c r="H219" s="19" t="str">
        <f t="shared" si="12"/>
        <v>Informe 'Sequência'</v>
      </c>
      <c r="I219" s="19" t="str" cm="1">
        <f t="array" ref="I219">GetCaption(C219,G219)</f>
        <v>Sequência</v>
      </c>
      <c r="J219" s="19" t="b">
        <v>0</v>
      </c>
      <c r="K219" s="19" t="b" cm="1">
        <f t="array" ref="K219">IsPrimaryKey(A219)</f>
        <v>0</v>
      </c>
      <c r="L219" s="19" t="b" cm="1">
        <f t="array" ref="L219">IsAutoincrement(A219)</f>
        <v>0</v>
      </c>
      <c r="M219" s="19" t="b" cm="1">
        <f t="array" ref="M219">IsFilterable(A219)</f>
        <v>1</v>
      </c>
      <c r="N219" s="19" t="b" cm="1">
        <f t="array" ref="N219">IsEditable(A219)</f>
        <v>1</v>
      </c>
      <c r="O219" s="19" t="b" cm="1">
        <f t="array" ref="O219">IsBrowseable(A219)</f>
        <v>1</v>
      </c>
      <c r="P219" s="19" t="e" cm="1">
        <f t="array" ref="P219">IsListable(A219)</f>
        <v>#VALUE!</v>
      </c>
      <c r="Q219" s="19" t="str" cm="1">
        <f t="array" ref="Q219">IsEncrypted(A219)</f>
        <v/>
      </c>
      <c r="R219" s="19" t="b" cm="1">
        <f t="array" ref="R219">IsInWords(A219)</f>
        <v>0</v>
      </c>
      <c r="S219" s="19" t="b">
        <v>0</v>
      </c>
    </row>
    <row r="220" spans="1:19">
      <c r="A220" s="19">
        <f t="shared" si="11"/>
        <v>216</v>
      </c>
      <c r="B220" s="20" cm="1">
        <f t="array" ref="B220">GetTableId(B219,G219)</f>
        <v>34</v>
      </c>
      <c r="C220" s="19" t="str" cm="1">
        <f t="array" ref="C220">GetValue("Tbl","Alias",B220)</f>
        <v>Cal</v>
      </c>
      <c r="D220" s="19" cm="1">
        <f t="array" ref="D220">GetDomainId(C220,G220)</f>
        <v>32</v>
      </c>
      <c r="E220" s="19" t="str" cm="1">
        <f t="array" ref="E220">GetValue("Dmn","Name",D220)</f>
        <v>Fetch Method</v>
      </c>
      <c r="F220" s="19">
        <f t="shared" si="10"/>
        <v>25</v>
      </c>
      <c r="G220" s="19" t="str" cm="1">
        <f t="array" ref="G220">GetColumnName(C220,IF(B220=B219,G219,""))</f>
        <v>Method</v>
      </c>
      <c r="H220" s="19" t="str">
        <f t="shared" si="12"/>
        <v>Informe 'Método'</v>
      </c>
      <c r="I220" s="19" t="str" cm="1">
        <f t="array" ref="I220">GetCaption(C220,G220)</f>
        <v>Método</v>
      </c>
      <c r="J220" s="19" t="b">
        <v>0</v>
      </c>
      <c r="K220" s="19" t="b" cm="1">
        <f t="array" ref="K220">IsPrimaryKey(A220)</f>
        <v>0</v>
      </c>
      <c r="L220" s="19" t="str" cm="1">
        <f t="array" ref="L220">IsAutoincrement(A220)</f>
        <v/>
      </c>
      <c r="M220" s="19" t="b" cm="1">
        <f t="array" ref="M220">IsFilterable(A220)</f>
        <v>1</v>
      </c>
      <c r="N220" s="19" t="b" cm="1">
        <f t="array" ref="N220">IsEditable(A220)</f>
        <v>1</v>
      </c>
      <c r="O220" s="19" t="b" cm="1">
        <f t="array" ref="O220">IsBrowseable(A220)</f>
        <v>1</v>
      </c>
      <c r="P220" s="19" t="e" cm="1">
        <f t="array" ref="P220">IsListable(A220)</f>
        <v>#VALUE!</v>
      </c>
      <c r="Q220" s="19" t="b" cm="1">
        <f t="array" ref="Q220">IsEncrypted(A220)</f>
        <v>0</v>
      </c>
      <c r="R220" s="19" t="str" cm="1">
        <f t="array" ref="R220">IsInWords(A220)</f>
        <v/>
      </c>
      <c r="S220" s="19" t="b">
        <v>0</v>
      </c>
    </row>
    <row r="221" spans="1:19">
      <c r="A221" s="19">
        <f t="shared" si="11"/>
        <v>217</v>
      </c>
      <c r="B221" s="20" cm="1">
        <f t="array" ref="B221">GetTableId(B220,G220)</f>
        <v>34</v>
      </c>
      <c r="C221" s="19" t="str" cm="1">
        <f t="array" ref="C221">GetValue("Tbl","Alias",B221)</f>
        <v>Cal</v>
      </c>
      <c r="D221" s="19" cm="1">
        <f t="array" ref="D221">GetDomainId(C221,G221)</f>
        <v>60</v>
      </c>
      <c r="E221" s="19" t="str" cm="1">
        <f t="array" ref="E221">GetValue("Dmn","Name",D221)</f>
        <v>URL</v>
      </c>
      <c r="F221" s="19">
        <f t="shared" si="10"/>
        <v>30</v>
      </c>
      <c r="G221" s="19" t="str" cm="1">
        <f t="array" ref="G221">GetColumnName(C221,IF(B221=B220,G220,""))</f>
        <v>URL</v>
      </c>
      <c r="H221" s="19" t="str">
        <f t="shared" si="12"/>
        <v>Informe 'URL'</v>
      </c>
      <c r="I221" s="19" t="str" cm="1">
        <f t="array" ref="I221">GetCaption(C221,G221)</f>
        <v>URL</v>
      </c>
      <c r="J221" s="19" t="b">
        <v>0</v>
      </c>
      <c r="K221" s="19" t="b" cm="1">
        <f t="array" ref="K221">IsPrimaryKey(A221)</f>
        <v>0</v>
      </c>
      <c r="L221" s="19" t="str" cm="1">
        <f t="array" ref="L221">IsAutoincrement(A221)</f>
        <v/>
      </c>
      <c r="M221" s="19" t="b" cm="1">
        <f t="array" ref="M221">IsFilterable(A221)</f>
        <v>1</v>
      </c>
      <c r="N221" s="19" t="b" cm="1">
        <f t="array" ref="N221">IsEditable(A221)</f>
        <v>1</v>
      </c>
      <c r="O221" s="19" t="b" cm="1">
        <f t="array" ref="O221">IsBrowseable(A221)</f>
        <v>1</v>
      </c>
      <c r="P221" s="19" t="e" cm="1">
        <f t="array" ref="P221">IsListable(A221)</f>
        <v>#VALUE!</v>
      </c>
      <c r="Q221" s="19" t="b" cm="1">
        <f t="array" ref="Q221">IsEncrypted(A221)</f>
        <v>0</v>
      </c>
      <c r="R221" s="19" t="str" cm="1">
        <f t="array" ref="R221">IsInWords(A221)</f>
        <v/>
      </c>
      <c r="S221" s="19" t="b">
        <v>0</v>
      </c>
    </row>
    <row r="222" spans="1:19">
      <c r="A222" s="17">
        <f t="shared" si="11"/>
        <v>218</v>
      </c>
      <c r="B222" s="18" cm="1">
        <f t="array" ref="B222">GetTableId(B221,G221)</f>
        <v>35</v>
      </c>
      <c r="C222" s="17" t="str" cm="1">
        <f t="array" ref="C222">GetValue("Tbl","Alias",B222)</f>
        <v>Snp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10"/>
        <v>5</v>
      </c>
      <c r="G222" s="17" t="str" cm="1">
        <f t="array" ref="G222">GetColumnName(C222,IF(B222=B221,G221,""))</f>
        <v>Id</v>
      </c>
      <c r="H222" s="17" t="str">
        <f t="shared" si="12"/>
        <v>Informe 'Id'</v>
      </c>
      <c r="I222" s="17" t="str" cm="1">
        <f t="array" ref="I222">GetCaption(C222,G222)</f>
        <v>Id</v>
      </c>
      <c r="J222" s="17" t="b">
        <v>0</v>
      </c>
      <c r="K222" s="17" t="b" cm="1">
        <f t="array" ref="K222">IsPrimaryKey(A222)</f>
        <v>1</v>
      </c>
      <c r="L222" s="17" t="b" cm="1">
        <f t="array" ref="L222">IsAutoincrement(A222)</f>
        <v>1</v>
      </c>
      <c r="M222" s="17" t="str" cm="1">
        <f t="array" ref="M222">IsFilterable(A222)</f>
        <v/>
      </c>
      <c r="N222" s="17" t="str" cm="1">
        <f t="array" ref="N222">IsEditable(A222)</f>
        <v/>
      </c>
      <c r="O222" s="17" t="str" cm="1">
        <f t="array" ref="O222">IsBrowseable(A222)</f>
        <v/>
      </c>
      <c r="P222" s="17" t="e" cm="1">
        <f t="array" ref="P222">IsListable(A222)</f>
        <v>#VALUE!</v>
      </c>
      <c r="Q222" s="17" t="str" cm="1">
        <f t="array" ref="Q222">IsEncrypted(A222)</f>
        <v/>
      </c>
      <c r="R222" s="17" t="str" cm="1">
        <f t="array" ref="R222">IsInWords(A222)</f>
        <v/>
      </c>
      <c r="S222" s="17" t="b">
        <v>0</v>
      </c>
    </row>
    <row r="223" spans="1:19">
      <c r="A223" s="17">
        <f t="shared" si="11"/>
        <v>219</v>
      </c>
      <c r="B223" s="18" cm="1">
        <f t="array" ref="B223">GetTableId(B222,G222)</f>
        <v>35</v>
      </c>
      <c r="C223" s="17" t="str" cm="1">
        <f t="array" ref="C223">GetValue("Tbl","Alias",B223)</f>
        <v>Snp</v>
      </c>
      <c r="D223" s="17" cm="1">
        <f t="array" ref="D223">GetDomainId(C223,G223)</f>
        <v>55</v>
      </c>
      <c r="E223" s="17" t="str" cm="1">
        <f t="array" ref="E223">GetValue("Dmn","Name",D223)</f>
        <v>BigId</v>
      </c>
      <c r="F223" s="17">
        <f t="shared" si="10"/>
        <v>10</v>
      </c>
      <c r="G223" s="17" t="str" cm="1">
        <f t="array" ref="G223">GetColumnName(C223,IF(B223=B222,G222,""))</f>
        <v>TableId</v>
      </c>
      <c r="H223" s="17" t="str">
        <f t="shared" si="12"/>
        <v>Informe 'Tabela'</v>
      </c>
      <c r="I223" s="17" t="str" cm="1">
        <f t="array" ref="I223">GetCaption(C223,G223)</f>
        <v>Tabela</v>
      </c>
      <c r="J223" s="17" t="b">
        <v>0</v>
      </c>
      <c r="K223" s="17" t="b" cm="1">
        <f t="array" ref="K223">IsPrimaryKey(A223)</f>
        <v>0</v>
      </c>
      <c r="L223" s="17" t="b" cm="1">
        <f t="array" ref="L223">IsAutoincrement(A223)</f>
        <v>0</v>
      </c>
      <c r="M223" s="17" t="b" cm="1">
        <f t="array" ref="M223">IsFilterable(A223)</f>
        <v>1</v>
      </c>
      <c r="N223" s="17" t="b" cm="1">
        <f t="array" ref="N223">IsEditable(A223)</f>
        <v>1</v>
      </c>
      <c r="O223" s="17" t="b" cm="1">
        <f t="array" ref="O223">IsBrowseable(A223)</f>
        <v>1</v>
      </c>
      <c r="P223" s="17" t="e" cm="1">
        <f t="array" ref="P223">IsListable(A223)</f>
        <v>#VALUE!</v>
      </c>
      <c r="Q223" s="17" t="str" cm="1">
        <f t="array" ref="Q223">IsEncrypted(A223)</f>
        <v/>
      </c>
      <c r="R223" s="17" t="b" cm="1">
        <f t="array" ref="R223">IsInWords(A223)</f>
        <v>0</v>
      </c>
      <c r="S223" s="17" t="b">
        <v>0</v>
      </c>
    </row>
    <row r="224" spans="1:19">
      <c r="A224" s="17">
        <f t="shared" si="11"/>
        <v>220</v>
      </c>
      <c r="B224" s="18" cm="1">
        <f t="array" ref="B224">GetTableId(B223,G223)</f>
        <v>35</v>
      </c>
      <c r="C224" s="17" t="str" cm="1">
        <f t="array" ref="C224">GetValue("Tbl","Alias",B224)</f>
        <v>Snp</v>
      </c>
      <c r="D224" s="17" cm="1">
        <f t="array" ref="D224">GetDomainId(C224,G224)</f>
        <v>11</v>
      </c>
      <c r="E224" s="17" t="str" cm="1">
        <f t="array" ref="E224">GetValue("Dmn","Name",D224)</f>
        <v>NVARCHAR(25)</v>
      </c>
      <c r="F224" s="17">
        <f t="shared" si="10"/>
        <v>15</v>
      </c>
      <c r="G224" s="17" t="str" cm="1">
        <f t="array" ref="G224">GetColumnName(C224,IF(B224=B223,G223,""))</f>
        <v>Name</v>
      </c>
      <c r="H224" s="17" t="str">
        <f t="shared" si="12"/>
        <v>Informe 'Nome'</v>
      </c>
      <c r="I224" s="17" t="str" cm="1">
        <f t="array" ref="I224">GetCaption(C224,G224)</f>
        <v>Nome</v>
      </c>
      <c r="J224" s="17" t="b">
        <v>0</v>
      </c>
      <c r="K224" s="17" t="b" cm="1">
        <f t="array" ref="K224">IsPrimaryKey(A224)</f>
        <v>0</v>
      </c>
      <c r="L224" s="17" t="str" cm="1">
        <f t="array" ref="L224">IsAutoincrement(A224)</f>
        <v/>
      </c>
      <c r="M224" s="17" t="b" cm="1">
        <f t="array" ref="M224">IsFilterable(A224)</f>
        <v>1</v>
      </c>
      <c r="N224" s="17" t="b" cm="1">
        <f t="array" ref="N224">IsEditable(A224)</f>
        <v>1</v>
      </c>
      <c r="O224" s="17" t="b" cm="1">
        <f t="array" ref="O224">IsBrowseable(A224)</f>
        <v>1</v>
      </c>
      <c r="P224" s="17" t="e" cm="1">
        <f t="array" ref="P224">IsListable(A224)</f>
        <v>#VALUE!</v>
      </c>
      <c r="Q224" s="17" t="b" cm="1">
        <f t="array" ref="Q224">IsEncrypted(A224)</f>
        <v>0</v>
      </c>
      <c r="R224" s="17" t="str" cm="1">
        <f t="array" ref="R224">IsInWords(A224)</f>
        <v/>
      </c>
      <c r="S224" s="17" t="b">
        <v>0</v>
      </c>
    </row>
    <row r="225" spans="1:19">
      <c r="A225" s="17">
        <f t="shared" si="11"/>
        <v>221</v>
      </c>
      <c r="B225" s="18" cm="1">
        <f t="array" ref="B225">GetTableId(B224,G224)</f>
        <v>35</v>
      </c>
      <c r="C225" s="17" t="str" cm="1">
        <f t="array" ref="C225">GetValue("Tbl","Alias",B225)</f>
        <v>Snp</v>
      </c>
      <c r="D225" s="17" cm="1">
        <f t="array" ref="D225">GetDomainId(C225,G225)</f>
        <v>5</v>
      </c>
      <c r="E225" s="17" t="str" cm="1">
        <f t="array" ref="E225">GetValue("Dmn","Name",D225)</f>
        <v>Boolean</v>
      </c>
      <c r="F225" s="17">
        <f t="shared" si="10"/>
        <v>20</v>
      </c>
      <c r="G225" s="17" t="str" cm="1">
        <f t="array" ref="G225">GetColumnName(C225,IF(B225=B224,G224,""))</f>
        <v>IsBefore</v>
      </c>
      <c r="H225" s="17" t="str">
        <f t="shared" si="12"/>
        <v>Informe 'É Antes?'</v>
      </c>
      <c r="I225" s="17" t="str" cm="1">
        <f t="array" ref="I225">GetCaption(C225,G225)</f>
        <v>É Antes?</v>
      </c>
      <c r="J225" s="17" t="b">
        <v>0</v>
      </c>
      <c r="K225" s="17" t="b" cm="1">
        <f t="array" ref="K225">IsPrimaryKey(A225)</f>
        <v>0</v>
      </c>
      <c r="L225" s="17" t="str" cm="1">
        <f t="array" ref="L225">IsAutoincrement(A225)</f>
        <v/>
      </c>
      <c r="M225" s="17" t="b" cm="1">
        <f t="array" ref="M225">IsFilterable(A225)</f>
        <v>1</v>
      </c>
      <c r="N225" s="17" t="b" cm="1">
        <f t="array" ref="N225">IsEditable(A225)</f>
        <v>1</v>
      </c>
      <c r="O225" s="17" t="b" cm="1">
        <f t="array" ref="O225">IsBrowseable(A225)</f>
        <v>1</v>
      </c>
      <c r="P225" s="17" t="e" cm="1">
        <f t="array" ref="P225">IsListable(A225)</f>
        <v>#VALUE!</v>
      </c>
      <c r="Q225" s="17" t="str" cm="1">
        <f t="array" ref="Q225">IsEncrypted(A225)</f>
        <v/>
      </c>
      <c r="R225" s="17" t="str" cm="1">
        <f t="array" ref="R225">IsInWords(A225)</f>
        <v/>
      </c>
      <c r="S225" s="17" t="b">
        <v>0</v>
      </c>
    </row>
    <row r="226" spans="1:19">
      <c r="A226" s="17">
        <f t="shared" si="11"/>
        <v>222</v>
      </c>
      <c r="B226" s="18" cm="1">
        <f t="array" ref="B226">GetTableId(B225,G225)</f>
        <v>35</v>
      </c>
      <c r="C226" s="17" t="str" cm="1">
        <f t="array" ref="C226">GetValue("Tbl","Alias",B226)</f>
        <v>Snp</v>
      </c>
      <c r="D226" s="17" cm="1">
        <f t="array" ref="D226">GetDomainId(C226,G226)</f>
        <v>5</v>
      </c>
      <c r="E226" s="17" t="str" cm="1">
        <f t="array" ref="E226">GetValue("Dmn","Name",D226)</f>
        <v>Boolean</v>
      </c>
      <c r="F226" s="17">
        <f t="shared" si="10"/>
        <v>25</v>
      </c>
      <c r="G226" s="17" t="str" cm="1">
        <f t="array" ref="G226">GetColumnName(C226,IF(B226=B225,G225,""))</f>
        <v>IsActive</v>
      </c>
      <c r="H226" s="17" t="str">
        <f t="shared" si="12"/>
        <v>Informe 'É Ativo?'</v>
      </c>
      <c r="I226" s="17" t="str" cm="1">
        <f t="array" ref="I226">GetCaption(C226,G226)</f>
        <v>É Ativo?</v>
      </c>
      <c r="J226" s="17" t="b">
        <v>0</v>
      </c>
      <c r="K226" s="17" t="b" cm="1">
        <f t="array" ref="K226">IsPrimaryKey(A226)</f>
        <v>0</v>
      </c>
      <c r="L226" s="17" t="str" cm="1">
        <f t="array" ref="L226">IsAutoincrement(A226)</f>
        <v/>
      </c>
      <c r="M226" s="17" t="b" cm="1">
        <f t="array" ref="M226">IsFilterable(A226)</f>
        <v>1</v>
      </c>
      <c r="N226" s="17" t="b" cm="1">
        <f t="array" ref="N226">IsEditable(A226)</f>
        <v>1</v>
      </c>
      <c r="O226" s="17" t="b" cm="1">
        <f t="array" ref="O226">IsBrowseable(A226)</f>
        <v>1</v>
      </c>
      <c r="P226" s="17" t="e" cm="1">
        <f t="array" ref="P226">IsListable(A226)</f>
        <v>#VALUE!</v>
      </c>
      <c r="Q226" s="17" t="str" cm="1">
        <f t="array" ref="Q226">IsEncrypted(A226)</f>
        <v/>
      </c>
      <c r="R226" s="17" t="str" cm="1">
        <f t="array" ref="R226">IsInWords(A226)</f>
        <v/>
      </c>
      <c r="S226" s="17" t="b">
        <v>0</v>
      </c>
    </row>
    <row r="227" spans="1:19">
      <c r="A227" s="17">
        <f t="shared" si="11"/>
        <v>223</v>
      </c>
      <c r="B227" s="18" cm="1">
        <f t="array" ref="B227">GetTableId(B226,G226)</f>
        <v>36</v>
      </c>
      <c r="C227" s="17" t="str" cm="1">
        <f t="array" ref="C227">GetValue("Tbl","Alias",B227)</f>
        <v>Sch</v>
      </c>
      <c r="D227" s="17" cm="1">
        <f t="array" ref="D227">GetDomainId(C227,G227)</f>
        <v>55</v>
      </c>
      <c r="E227" s="17" t="str" cm="1">
        <f t="array" ref="E227">GetValue("Dmn","Name",D227)</f>
        <v>BigId</v>
      </c>
      <c r="F227" s="17">
        <f t="shared" si="10"/>
        <v>5</v>
      </c>
      <c r="G227" s="17" t="str" cm="1">
        <f t="array" ref="G227">GetColumnName(C227,IF(B227=B226,G226,""))</f>
        <v>Id</v>
      </c>
      <c r="H227" s="17" t="str">
        <f t="shared" si="12"/>
        <v>Informe 'Id'</v>
      </c>
      <c r="I227" s="17" t="str" cm="1">
        <f t="array" ref="I227">GetCaption(C227,G227)</f>
        <v>Id</v>
      </c>
      <c r="J227" s="17" t="b">
        <v>0</v>
      </c>
      <c r="K227" s="17" t="b" cm="1">
        <f t="array" ref="K227">IsPrimaryKey(A227)</f>
        <v>1</v>
      </c>
      <c r="L227" s="17" t="b" cm="1">
        <f t="array" ref="L227">IsAutoincrement(A227)</f>
        <v>1</v>
      </c>
      <c r="M227" s="17" t="str" cm="1">
        <f t="array" ref="M227">IsFilterable(A227)</f>
        <v/>
      </c>
      <c r="N227" s="17" t="str" cm="1">
        <f t="array" ref="N227">IsEditable(A227)</f>
        <v/>
      </c>
      <c r="O227" s="17" t="str" cm="1">
        <f t="array" ref="O227">IsBrowseable(A227)</f>
        <v/>
      </c>
      <c r="P227" s="17" t="e" cm="1">
        <f t="array" ref="P227">IsListable(A227)</f>
        <v>#VALUE!</v>
      </c>
      <c r="Q227" s="17" t="str" cm="1">
        <f t="array" ref="Q227">IsEncrypted(A227)</f>
        <v/>
      </c>
      <c r="R227" s="17" t="str" cm="1">
        <f t="array" ref="R227">IsInWords(A227)</f>
        <v/>
      </c>
      <c r="S227" s="17" t="b">
        <v>0</v>
      </c>
    </row>
    <row r="228" spans="1:19">
      <c r="A228" s="17">
        <f t="shared" si="11"/>
        <v>224</v>
      </c>
      <c r="B228" s="18" cm="1">
        <f t="array" ref="B228">GetTableId(B227,G227)</f>
        <v>36</v>
      </c>
      <c r="C228" s="17" t="str" cm="1">
        <f t="array" ref="C228">GetValue("Tbl","Alias",B228)</f>
        <v>Sch</v>
      </c>
      <c r="D228" s="17" cm="1">
        <f t="array" ref="D228">GetDomainId(C228,G228)</f>
        <v>11</v>
      </c>
      <c r="E228" s="17" t="str" cm="1">
        <f t="array" ref="E228">GetValue("Dmn","Name",D228)</f>
        <v>NVARCHAR(25)</v>
      </c>
      <c r="F228" s="17">
        <f t="shared" si="10"/>
        <v>10</v>
      </c>
      <c r="G228" s="17" t="str" cm="1">
        <f t="array" ref="G228">GetColumnName(C228,IF(B228=B227,G227,""))</f>
        <v>Name</v>
      </c>
      <c r="H228" s="17" t="str">
        <f t="shared" si="12"/>
        <v>Informe 'Nome'</v>
      </c>
      <c r="I228" s="17" t="str" cm="1">
        <f t="array" ref="I228">GetCaption(C228,G228)</f>
        <v>Nome</v>
      </c>
      <c r="J228" s="17" t="b">
        <v>0</v>
      </c>
      <c r="K228" s="17" t="b" cm="1">
        <f t="array" ref="K228">IsPrimaryKey(A228)</f>
        <v>0</v>
      </c>
      <c r="L228" s="17" t="str" cm="1">
        <f t="array" ref="L228">IsAutoincrement(A228)</f>
        <v/>
      </c>
      <c r="M228" s="17" t="b" cm="1">
        <f t="array" ref="M228">IsFilterable(A228)</f>
        <v>1</v>
      </c>
      <c r="N228" s="17" t="b" cm="1">
        <f t="array" ref="N228">IsEditable(A228)</f>
        <v>1</v>
      </c>
      <c r="O228" s="17" t="b" cm="1">
        <f t="array" ref="O228">IsBrowseable(A228)</f>
        <v>1</v>
      </c>
      <c r="P228" s="17" t="e" cm="1">
        <f t="array" ref="P228">IsListable(A228)</f>
        <v>#VALUE!</v>
      </c>
      <c r="Q228" s="17" t="b" cm="1">
        <f t="array" ref="Q228">IsEncrypted(A228)</f>
        <v>0</v>
      </c>
      <c r="R228" s="17" t="str" cm="1">
        <f t="array" ref="R228">IsInWords(A228)</f>
        <v/>
      </c>
      <c r="S228" s="17" t="b">
        <v>0</v>
      </c>
    </row>
    <row r="229" spans="1:19">
      <c r="A229" s="17">
        <f t="shared" si="11"/>
        <v>225</v>
      </c>
      <c r="B229" s="18" cm="1">
        <f t="array" ref="B229">GetTableId(B228,G228)</f>
        <v>36</v>
      </c>
      <c r="C229" s="17" t="str" cm="1">
        <f t="array" ref="C229">GetValue("Tbl","Alias",B229)</f>
        <v>Sch</v>
      </c>
      <c r="D229" s="17" cm="1">
        <f t="array" ref="D229">GetDomainId(C229,G229)</f>
        <v>4</v>
      </c>
      <c r="E229" s="17" t="str" cm="1">
        <f t="array" ref="E229">GetValue("Dmn","Name",D229)</f>
        <v>TinyInteger</v>
      </c>
      <c r="F229" s="17">
        <f t="shared" si="10"/>
        <v>15</v>
      </c>
      <c r="G229" s="17" t="str" cm="1">
        <f t="array" ref="G229">GetColumnName(C229,IF(B229=B228,G228,""))</f>
        <v>Interval</v>
      </c>
      <c r="H229" s="17" t="str">
        <f t="shared" si="12"/>
        <v>Informe 'Intervalo'</v>
      </c>
      <c r="I229" s="17" t="str" cm="1">
        <f t="array" ref="I229">GetCaption(C229,G229)</f>
        <v>Intervalo</v>
      </c>
      <c r="J229" s="17" t="b">
        <v>0</v>
      </c>
      <c r="K229" s="17" t="b" cm="1">
        <f t="array" ref="K229">IsPrimaryKey(A229)</f>
        <v>0</v>
      </c>
      <c r="L229" s="17" t="b" cm="1">
        <f t="array" ref="L229">IsAutoincrement(A229)</f>
        <v>0</v>
      </c>
      <c r="M229" s="17" t="b" cm="1">
        <f t="array" ref="M229">IsFilterable(A229)</f>
        <v>1</v>
      </c>
      <c r="N229" s="17" t="b" cm="1">
        <f t="array" ref="N229">IsEditable(A229)</f>
        <v>1</v>
      </c>
      <c r="O229" s="17" t="b" cm="1">
        <f t="array" ref="O229">IsBrowseable(A229)</f>
        <v>1</v>
      </c>
      <c r="P229" s="17" t="e" cm="1">
        <f t="array" ref="P229">IsListable(A229)</f>
        <v>#VALUE!</v>
      </c>
      <c r="Q229" s="17" t="str" cm="1">
        <f t="array" ref="Q229">IsEncrypted(A229)</f>
        <v/>
      </c>
      <c r="R229" s="17" t="b" cm="1">
        <f t="array" ref="R229">IsInWords(A229)</f>
        <v>0</v>
      </c>
      <c r="S229" s="17" t="b">
        <v>0</v>
      </c>
    </row>
    <row r="230" spans="1:19">
      <c r="A230" s="17">
        <f t="shared" si="11"/>
        <v>226</v>
      </c>
      <c r="B230" s="18" cm="1">
        <f t="array" ref="B230">GetTableId(B229,G229)</f>
        <v>36</v>
      </c>
      <c r="C230" s="17" t="str" cm="1">
        <f t="array" ref="C230">GetValue("Tbl","Alias",B230)</f>
        <v>Sch</v>
      </c>
      <c r="D230" s="17" cm="1">
        <f t="array" ref="D230">GetDomainId(C230,G230)</f>
        <v>28</v>
      </c>
      <c r="E230" s="17" t="str" cm="1">
        <f t="array" ref="E230">GetValue("Dmn","Name",D230)</f>
        <v>Periodicity</v>
      </c>
      <c r="F230" s="17">
        <f t="shared" si="10"/>
        <v>20</v>
      </c>
      <c r="G230" s="17" t="str" cm="1">
        <f t="array" ref="G230">GetColumnName(C230,IF(B230=B229,G229,""))</f>
        <v>Periodicity</v>
      </c>
      <c r="H230" s="17" t="str">
        <f t="shared" si="12"/>
        <v>Informe 'Periodicidade'</v>
      </c>
      <c r="I230" s="17" t="str" cm="1">
        <f t="array" ref="I230">GetCaption(C230,G230)</f>
        <v>Periodicidade</v>
      </c>
      <c r="J230" s="17" t="b">
        <v>0</v>
      </c>
      <c r="K230" s="17" t="b" cm="1">
        <f t="array" ref="K230">IsPrimaryKey(A230)</f>
        <v>0</v>
      </c>
      <c r="L230" s="17" t="str" cm="1">
        <f t="array" ref="L230">IsAutoincrement(A230)</f>
        <v/>
      </c>
      <c r="M230" s="17" t="b" cm="1">
        <f t="array" ref="M230">IsFilterable(A230)</f>
        <v>1</v>
      </c>
      <c r="N230" s="17" t="b" cm="1">
        <f t="array" ref="N230">IsEditable(A230)</f>
        <v>1</v>
      </c>
      <c r="O230" s="17" t="b" cm="1">
        <f t="array" ref="O230">IsBrowseable(A230)</f>
        <v>1</v>
      </c>
      <c r="P230" s="17" t="e" cm="1">
        <f t="array" ref="P230">IsListable(A230)</f>
        <v>#VALUE!</v>
      </c>
      <c r="Q230" s="17" t="b" cm="1">
        <f t="array" ref="Q230">IsEncrypted(A230)</f>
        <v>0</v>
      </c>
      <c r="R230" s="17" t="str" cm="1">
        <f t="array" ref="R230">IsInWords(A230)</f>
        <v/>
      </c>
      <c r="S230" s="17" t="b">
        <v>0</v>
      </c>
    </row>
    <row r="231" spans="1:19">
      <c r="A231" s="17">
        <f t="shared" si="11"/>
        <v>227</v>
      </c>
      <c r="B231" s="18" cm="1">
        <f t="array" ref="B231">GetTableId(B230,G230)</f>
        <v>36</v>
      </c>
      <c r="C231" s="17" t="str" cm="1">
        <f t="array" ref="C231">GetValue("Tbl","Alias",B231)</f>
        <v>Sch</v>
      </c>
      <c r="D231" s="17" cm="1">
        <f t="array" ref="D231">GetDomainId(C231,G231)</f>
        <v>7</v>
      </c>
      <c r="E231" s="17" t="str" cm="1">
        <f t="array" ref="E231">GetValue("Dmn","Name",D231)</f>
        <v>TIME</v>
      </c>
      <c r="F231" s="17">
        <f t="shared" si="10"/>
        <v>25</v>
      </c>
      <c r="G231" s="17" t="str" cm="1">
        <f t="array" ref="G231">GetColumnName(C231,IF(B231=B230,G230,""))</f>
        <v>TimeOfDay</v>
      </c>
      <c r="H231" s="17" t="str">
        <f t="shared" si="12"/>
        <v>Informe 'Hora do Dia'</v>
      </c>
      <c r="I231" s="17" t="str" cm="1">
        <f t="array" ref="I231">GetCaption(C231,G231)</f>
        <v>Hora do Dia</v>
      </c>
      <c r="J231" s="17" t="b">
        <v>0</v>
      </c>
      <c r="K231" s="17" t="b" cm="1">
        <f t="array" ref="K231">IsPrimaryKey(A231)</f>
        <v>0</v>
      </c>
      <c r="L231" s="17" t="str" cm="1">
        <f t="array" ref="L231">IsAutoincrement(A231)</f>
        <v/>
      </c>
      <c r="M231" s="17" t="b" cm="1">
        <f t="array" ref="M231">IsFilterable(A231)</f>
        <v>1</v>
      </c>
      <c r="N231" s="17" t="b" cm="1">
        <f t="array" ref="N231">IsEditable(A231)</f>
        <v>1</v>
      </c>
      <c r="O231" s="17" t="b" cm="1">
        <f t="array" ref="O231">IsBrowseable(A231)</f>
        <v>1</v>
      </c>
      <c r="P231" s="17" t="e" cm="1">
        <f t="array" ref="P231">IsListable(A231)</f>
        <v>#VALUE!</v>
      </c>
      <c r="Q231" s="17" t="str" cm="1">
        <f t="array" ref="Q231">IsEncrypted(A231)</f>
        <v/>
      </c>
      <c r="R231" s="17" t="str" cm="1">
        <f t="array" ref="R231">IsInWords(A231)</f>
        <v/>
      </c>
      <c r="S231" s="17" t="b">
        <v>0</v>
      </c>
    </row>
    <row r="232" spans="1:19">
      <c r="A232" s="17">
        <f t="shared" si="11"/>
        <v>228</v>
      </c>
      <c r="B232" s="18" cm="1">
        <f t="array" ref="B232">GetTableId(B231,G231)</f>
        <v>36</v>
      </c>
      <c r="C232" s="17" t="str" cm="1">
        <f t="array" ref="C232">GetValue("Tbl","Alias",B232)</f>
        <v>Sch</v>
      </c>
      <c r="D232" s="17" cm="1">
        <f t="array" ref="D232">GetDomainId(C232,G232)</f>
        <v>61</v>
      </c>
      <c r="E232" s="17" t="str" cm="1">
        <f t="array" ref="E232">GetValue("Dmn","Name",D232)</f>
        <v>DayOfMonth</v>
      </c>
      <c r="F232" s="17">
        <f t="shared" si="10"/>
        <v>30</v>
      </c>
      <c r="G232" s="17" t="str" cm="1">
        <f t="array" ref="G232">GetColumnName(C232,IF(B232=B231,G231,""))</f>
        <v>DayOfMonth</v>
      </c>
      <c r="H232" s="17" t="str">
        <f t="shared" si="12"/>
        <v>Informe 'Dia do Mês'</v>
      </c>
      <c r="I232" s="17" t="str" cm="1">
        <f t="array" ref="I232">GetCaption(C232,G232)</f>
        <v>Dia do Mês</v>
      </c>
      <c r="J232" s="17" t="b">
        <v>0</v>
      </c>
      <c r="K232" s="17" t="b" cm="1">
        <f t="array" ref="K232">IsPrimaryKey(A232)</f>
        <v>0</v>
      </c>
      <c r="L232" s="17" t="b" cm="1">
        <f t="array" ref="L232">IsAutoincrement(A232)</f>
        <v>0</v>
      </c>
      <c r="M232" s="17" t="b" cm="1">
        <f t="array" ref="M232">IsFilterable(A232)</f>
        <v>1</v>
      </c>
      <c r="N232" s="17" t="b" cm="1">
        <f t="array" ref="N232">IsEditable(A232)</f>
        <v>1</v>
      </c>
      <c r="O232" s="17" t="b" cm="1">
        <f t="array" ref="O232">IsBrowseable(A232)</f>
        <v>1</v>
      </c>
      <c r="P232" s="17" t="e" cm="1">
        <f t="array" ref="P232">IsListable(A232)</f>
        <v>#VALUE!</v>
      </c>
      <c r="Q232" s="17" t="str" cm="1">
        <f t="array" ref="Q232">IsEncrypted(A232)</f>
        <v/>
      </c>
      <c r="R232" s="17" t="b" cm="1">
        <f t="array" ref="R232">IsInWords(A232)</f>
        <v>0</v>
      </c>
      <c r="S232" s="17" t="b">
        <v>0</v>
      </c>
    </row>
    <row r="233" spans="1:19">
      <c r="A233" s="17">
        <f t="shared" si="11"/>
        <v>229</v>
      </c>
      <c r="B233" s="18" cm="1">
        <f t="array" ref="B233">GetTableId(B232,G232)</f>
        <v>36</v>
      </c>
      <c r="C233" s="17" t="str" cm="1">
        <f t="array" ref="C233">GetValue("Tbl","Alias",B233)</f>
        <v>Sch</v>
      </c>
      <c r="D233" s="17" cm="1">
        <f t="array" ref="D233">GetDomainId(C233,G233)</f>
        <v>6</v>
      </c>
      <c r="E233" s="17" t="str" cm="1">
        <f t="array" ref="E233">GetValue("Dmn","Name",D233)</f>
        <v>DATE</v>
      </c>
      <c r="F233" s="17">
        <f t="shared" si="10"/>
        <v>35</v>
      </c>
      <c r="G233" s="17" t="str" cm="1">
        <f t="array" ref="G233">GetColumnName(C233,IF(B233=B232,G232,""))</f>
        <v>NextRunDate</v>
      </c>
      <c r="H233" s="17" t="str">
        <f t="shared" si="12"/>
        <v>Informe 'Próxima Data'</v>
      </c>
      <c r="I233" s="17" t="str" cm="1">
        <f t="array" ref="I233">GetCaption(C233,G233)</f>
        <v>Próxima Data</v>
      </c>
      <c r="J233" s="17" t="b">
        <v>0</v>
      </c>
      <c r="K233" s="17" t="b" cm="1">
        <f t="array" ref="K233">IsPrimaryKey(A233)</f>
        <v>0</v>
      </c>
      <c r="L233" s="17" t="str" cm="1">
        <f t="array" ref="L233">IsAutoincrement(A233)</f>
        <v/>
      </c>
      <c r="M233" s="17" t="b" cm="1">
        <f t="array" ref="M233">IsFilterable(A233)</f>
        <v>1</v>
      </c>
      <c r="N233" s="17" t="b" cm="1">
        <f t="array" ref="N233">IsEditable(A233)</f>
        <v>1</v>
      </c>
      <c r="O233" s="17" t="b" cm="1">
        <f t="array" ref="O233">IsBrowseable(A233)</f>
        <v>1</v>
      </c>
      <c r="P233" s="17" t="e" cm="1">
        <f t="array" ref="P233">IsListable(A233)</f>
        <v>#VALUE!</v>
      </c>
      <c r="Q233" s="17" t="str" cm="1">
        <f t="array" ref="Q233">IsEncrypted(A233)</f>
        <v/>
      </c>
      <c r="R233" s="17" t="str" cm="1">
        <f t="array" ref="R233">IsInWords(A233)</f>
        <v/>
      </c>
      <c r="S233" s="17" t="b">
        <v>0</v>
      </c>
    </row>
    <row r="234" spans="1:19">
      <c r="A234" s="19">
        <f t="shared" si="11"/>
        <v>230</v>
      </c>
      <c r="B234" s="20" cm="1">
        <f t="array" ref="B234">GetTableId(B233,G233)</f>
        <v>36</v>
      </c>
      <c r="C234" s="19" t="str" cm="1">
        <f t="array" ref="C234">GetValue("Tbl","Alias",B234)</f>
        <v>Sch</v>
      </c>
      <c r="D234" s="19" cm="1">
        <f t="array" ref="D234">GetDomainId(C234,G234)</f>
        <v>5</v>
      </c>
      <c r="E234" s="19" t="str" cm="1">
        <f t="array" ref="E234">GetValue("Dmn","Name",D234)</f>
        <v>Boolean</v>
      </c>
      <c r="F234" s="19">
        <f t="shared" si="10"/>
        <v>40</v>
      </c>
      <c r="G234" s="19" t="str" cm="1">
        <f t="array" ref="G234">GetColumnName(C234,IF(B234=B233,G233,""))</f>
        <v>IsFirstOrLastDay</v>
      </c>
      <c r="H234" s="19" t="str">
        <f t="shared" si="12"/>
        <v>Informe 'É Início/Fim do Mês?'</v>
      </c>
      <c r="I234" s="19" t="str" cm="1">
        <f t="array" ref="I234">GetCaption(C234,G234)</f>
        <v>É Início/Fim do Mês?</v>
      </c>
      <c r="J234" s="19" t="b">
        <v>0</v>
      </c>
      <c r="K234" s="19" t="b" cm="1">
        <f t="array" ref="K234">IsPrimaryKey(A234)</f>
        <v>0</v>
      </c>
      <c r="L234" s="19" t="str" cm="1">
        <f t="array" ref="L234">IsAutoincrement(A234)</f>
        <v/>
      </c>
      <c r="M234" s="19" t="b" cm="1">
        <f t="array" ref="M234">IsFilterable(A234)</f>
        <v>1</v>
      </c>
      <c r="N234" s="19" t="b" cm="1">
        <f t="array" ref="N234">IsEditable(A234)</f>
        <v>1</v>
      </c>
      <c r="O234" s="19" t="b" cm="1">
        <f t="array" ref="O234">IsBrowseable(A234)</f>
        <v>1</v>
      </c>
      <c r="P234" s="19" t="e" cm="1">
        <f t="array" ref="P234">IsListable(A234)</f>
        <v>#VALUE!</v>
      </c>
      <c r="Q234" s="19" t="str" cm="1">
        <f t="array" ref="Q234">IsEncrypted(A234)</f>
        <v/>
      </c>
      <c r="R234" s="19" t="str" cm="1">
        <f t="array" ref="R234">IsInWords(A234)</f>
        <v/>
      </c>
      <c r="S234" s="19" t="b">
        <v>0</v>
      </c>
    </row>
    <row r="235" spans="1:19">
      <c r="A235" s="19">
        <f t="shared" si="11"/>
        <v>231</v>
      </c>
      <c r="B235" s="20" cm="1">
        <f t="array" ref="B235">GetTableId(B234,G234)</f>
        <v>36</v>
      </c>
      <c r="C235" s="19" t="str" cm="1">
        <f t="array" ref="C235">GetValue("Tbl","Alias",B235)</f>
        <v>Sch</v>
      </c>
      <c r="D235" s="19" cm="1">
        <f t="array" ref="D235">GetDomainId(C235,G235)</f>
        <v>5</v>
      </c>
      <c r="E235" s="19" t="str" cm="1">
        <f t="array" ref="E235">GetValue("Dmn","Name",D235)</f>
        <v>Boolean</v>
      </c>
      <c r="F235" s="19">
        <f t="shared" si="10"/>
        <v>45</v>
      </c>
      <c r="G235" s="19" t="str" cm="1">
        <f t="array" ref="G235">GetColumnName(C235,IF(B235=B234,G234,""))</f>
        <v>IsBusinessDays</v>
      </c>
      <c r="H235" s="19" t="str">
        <f t="shared" si="12"/>
        <v>Informe 'É Dia Útil?'</v>
      </c>
      <c r="I235" s="19" t="str" cm="1">
        <f t="array" ref="I235">GetCaption(C235,G235)</f>
        <v>É Dia Útil?</v>
      </c>
      <c r="J235" s="19" t="b">
        <v>0</v>
      </c>
      <c r="K235" s="19" t="b" cm="1">
        <f t="array" ref="K235">IsPrimaryKey(A235)</f>
        <v>0</v>
      </c>
      <c r="L235" s="19" t="str" cm="1">
        <f t="array" ref="L235">IsAutoincrement(A235)</f>
        <v/>
      </c>
      <c r="M235" s="19" t="b" cm="1">
        <f t="array" ref="M235">IsFilterable(A235)</f>
        <v>1</v>
      </c>
      <c r="N235" s="19" t="b" cm="1">
        <f t="array" ref="N235">IsEditable(A235)</f>
        <v>1</v>
      </c>
      <c r="O235" s="19" t="b" cm="1">
        <f t="array" ref="O235">IsBrowseable(A235)</f>
        <v>1</v>
      </c>
      <c r="P235" s="19" t="e" cm="1">
        <f t="array" ref="P235">IsListable(A235)</f>
        <v>#VALUE!</v>
      </c>
      <c r="Q235" s="19" t="str" cm="1">
        <f t="array" ref="Q235">IsEncrypted(A235)</f>
        <v/>
      </c>
      <c r="R235" s="19" t="str" cm="1">
        <f t="array" ref="R235">IsInWords(A235)</f>
        <v/>
      </c>
      <c r="S235" s="19" t="b">
        <v>0</v>
      </c>
    </row>
    <row r="236" spans="1:19">
      <c r="A236" s="19">
        <f t="shared" si="11"/>
        <v>232</v>
      </c>
      <c r="B236" s="20" cm="1">
        <f t="array" ref="B236">GetTableId(B235,G235)</f>
        <v>36</v>
      </c>
      <c r="C236" s="19" t="str" cm="1">
        <f t="array" ref="C236">GetValue("Tbl","Alias",B236)</f>
        <v>Sch</v>
      </c>
      <c r="D236" s="19" cm="1">
        <f t="array" ref="D236">GetDomainId(C236,G236)</f>
        <v>5</v>
      </c>
      <c r="E236" s="19" t="str" cm="1">
        <f t="array" ref="E236">GetValue("Dmn","Name",D236)</f>
        <v>Boolean</v>
      </c>
      <c r="F236" s="19">
        <f t="shared" si="10"/>
        <v>50</v>
      </c>
      <c r="G236" s="19" t="str" cm="1">
        <f t="array" ref="G236">GetColumnName(C236,IF(B236=B235,G235,""))</f>
        <v>IsRunOnce</v>
      </c>
      <c r="H236" s="19" t="str">
        <f t="shared" si="12"/>
        <v>Informe 'Execução Única?'</v>
      </c>
      <c r="I236" s="19" t="str" cm="1">
        <f t="array" ref="I236">GetCaption(C236,G236)</f>
        <v>Execução Única?</v>
      </c>
      <c r="J236" s="19" t="b">
        <v>0</v>
      </c>
      <c r="K236" s="19" t="b" cm="1">
        <f t="array" ref="K236">IsPrimaryKey(A236)</f>
        <v>0</v>
      </c>
      <c r="L236" s="19" t="str" cm="1">
        <f t="array" ref="L236">IsAutoincrement(A236)</f>
        <v/>
      </c>
      <c r="M236" s="19" t="b" cm="1">
        <f t="array" ref="M236">IsFilterable(A236)</f>
        <v>1</v>
      </c>
      <c r="N236" s="19" t="b" cm="1">
        <f t="array" ref="N236">IsEditable(A236)</f>
        <v>1</v>
      </c>
      <c r="O236" s="19" t="b" cm="1">
        <f t="array" ref="O236">IsBrowseable(A236)</f>
        <v>1</v>
      </c>
      <c r="P236" s="19" t="e" cm="1">
        <f t="array" ref="P236">IsListable(A236)</f>
        <v>#VALUE!</v>
      </c>
      <c r="Q236" s="19" t="str" cm="1">
        <f t="array" ref="Q236">IsEncrypted(A236)</f>
        <v/>
      </c>
      <c r="R236" s="19" t="str" cm="1">
        <f t="array" ref="R236">IsInWords(A236)</f>
        <v/>
      </c>
      <c r="S236" s="19" t="b">
        <v>0</v>
      </c>
    </row>
    <row r="237" spans="1:19">
      <c r="A237" s="19">
        <f t="shared" si="11"/>
        <v>233</v>
      </c>
      <c r="B237" s="20" cm="1">
        <f t="array" ref="B237">GetTableId(B236,G236)</f>
        <v>36</v>
      </c>
      <c r="C237" s="19" t="str" cm="1">
        <f t="array" ref="C237">GetValue("Tbl","Alias",B237)</f>
        <v>Sch</v>
      </c>
      <c r="D237" s="19" cm="1">
        <f t="array" ref="D237">GetDomainId(C237,G237)</f>
        <v>5</v>
      </c>
      <c r="E237" s="19" t="str" cm="1">
        <f t="array" ref="E237">GetValue("Dmn","Name",D237)</f>
        <v>Boolean</v>
      </c>
      <c r="F237" s="19">
        <f t="shared" si="10"/>
        <v>55</v>
      </c>
      <c r="G237" s="19" t="str" cm="1">
        <f t="array" ref="G237">GetColumnName(C237,IF(B237=B236,G236,""))</f>
        <v>IsForwardHoliday</v>
      </c>
      <c r="H237" s="19" t="str">
        <f t="shared" si="12"/>
        <v>Informe 'Retrocede Feriado?'</v>
      </c>
      <c r="I237" s="19" t="str" cm="1">
        <f t="array" ref="I237">GetCaption(C237,G237)</f>
        <v>Retrocede Feriado?</v>
      </c>
      <c r="J237" s="19" t="b">
        <v>0</v>
      </c>
      <c r="K237" s="19" t="b" cm="1">
        <f t="array" ref="K237">IsPrimaryKey(A237)</f>
        <v>0</v>
      </c>
      <c r="L237" s="19" t="str" cm="1">
        <f t="array" ref="L237">IsAutoincrement(A237)</f>
        <v/>
      </c>
      <c r="M237" s="19" t="b" cm="1">
        <f t="array" ref="M237">IsFilterable(A237)</f>
        <v>1</v>
      </c>
      <c r="N237" s="19" t="b" cm="1">
        <f t="array" ref="N237">IsEditable(A237)</f>
        <v>1</v>
      </c>
      <c r="O237" s="19" t="b" cm="1">
        <f t="array" ref="O237">IsBrowseable(A237)</f>
        <v>1</v>
      </c>
      <c r="P237" s="19" t="e" cm="1">
        <f t="array" ref="P237">IsListable(A237)</f>
        <v>#VALUE!</v>
      </c>
      <c r="Q237" s="19" t="str" cm="1">
        <f t="array" ref="Q237">IsEncrypted(A237)</f>
        <v/>
      </c>
      <c r="R237" s="19" t="str" cm="1">
        <f t="array" ref="R237">IsInWords(A237)</f>
        <v/>
      </c>
      <c r="S237" s="19" t="b">
        <v>0</v>
      </c>
    </row>
    <row r="238" spans="1:19">
      <c r="A238" s="19">
        <f t="shared" si="11"/>
        <v>234</v>
      </c>
      <c r="B238" s="20" cm="1">
        <f t="array" ref="B238">GetTableId(B237,G237)</f>
        <v>36</v>
      </c>
      <c r="C238" s="19" t="str" cm="1">
        <f t="array" ref="C238">GetValue("Tbl","Alias",B238)</f>
        <v>Sch</v>
      </c>
      <c r="D238" s="19" cm="1">
        <f t="array" ref="D238">GetDomainId(C238,G238)</f>
        <v>5</v>
      </c>
      <c r="E238" s="19" t="str" cm="1">
        <f t="array" ref="E238">GetValue("Dmn","Name",D238)</f>
        <v>Boolean</v>
      </c>
      <c r="F238" s="19">
        <f t="shared" si="10"/>
        <v>60</v>
      </c>
      <c r="G238" s="19" t="str" cm="1">
        <f t="array" ref="G238">GetColumnName(C238,IF(B238=B237,G237,""))</f>
        <v>IsActive</v>
      </c>
      <c r="H238" s="19" t="str">
        <f t="shared" si="12"/>
        <v>Informe 'É Ativo?'</v>
      </c>
      <c r="I238" s="19" t="str" cm="1">
        <f t="array" ref="I238">GetCaption(C238,G238)</f>
        <v>É Ativo?</v>
      </c>
      <c r="J238" s="19" t="b">
        <v>0</v>
      </c>
      <c r="K238" s="19" t="b" cm="1">
        <f t="array" ref="K238">IsPrimaryKey(A238)</f>
        <v>0</v>
      </c>
      <c r="L238" s="19" t="str" cm="1">
        <f t="array" ref="L238">IsAutoincrement(A238)</f>
        <v/>
      </c>
      <c r="M238" s="19" t="b" cm="1">
        <f t="array" ref="M238">IsFilterable(A238)</f>
        <v>1</v>
      </c>
      <c r="N238" s="19" t="b" cm="1">
        <f t="array" ref="N238">IsEditable(A238)</f>
        <v>1</v>
      </c>
      <c r="O238" s="19" t="b" cm="1">
        <f t="array" ref="O238">IsBrowseable(A238)</f>
        <v>1</v>
      </c>
      <c r="P238" s="19" t="e" cm="1">
        <f t="array" ref="P238">IsListable(A238)</f>
        <v>#VALUE!</v>
      </c>
      <c r="Q238" s="19" t="str" cm="1">
        <f t="array" ref="Q238">IsEncrypted(A238)</f>
        <v/>
      </c>
      <c r="R238" s="19" t="str" cm="1">
        <f t="array" ref="R238">IsInWords(A238)</f>
        <v/>
      </c>
      <c r="S238" s="19" t="b">
        <v>0</v>
      </c>
    </row>
    <row r="239" spans="1:19">
      <c r="A239" s="19">
        <f t="shared" si="11"/>
        <v>235</v>
      </c>
      <c r="B239" s="20" cm="1">
        <f t="array" ref="B239">GetTableId(B238,G238)</f>
        <v>37</v>
      </c>
      <c r="C239" s="19" t="str" cm="1">
        <f t="array" ref="C239">GetValue("Tbl","Alias",B239)</f>
        <v>Ses</v>
      </c>
      <c r="D239" s="19" cm="1">
        <f t="array" ref="D239">GetDomainId(C239,G239)</f>
        <v>55</v>
      </c>
      <c r="E239" s="19" t="str" cm="1">
        <f t="array" ref="E239">GetValue("Dmn","Name",D239)</f>
        <v>BigId</v>
      </c>
      <c r="F239" s="19">
        <f t="shared" si="10"/>
        <v>5</v>
      </c>
      <c r="G239" s="19" t="str" cm="1">
        <f t="array" ref="G239">GetColumnName(C239,IF(B239=B238,G238,""))</f>
        <v>Id</v>
      </c>
      <c r="H239" s="19" t="str">
        <f t="shared" si="12"/>
        <v>Informe 'Id'</v>
      </c>
      <c r="I239" s="19" t="str" cm="1">
        <f t="array" ref="I239">GetCaption(C239,G239)</f>
        <v>Id</v>
      </c>
      <c r="J239" s="19" t="b">
        <v>0</v>
      </c>
      <c r="K239" s="19" t="b" cm="1">
        <f t="array" ref="K239">IsPrimaryKey(A239)</f>
        <v>1</v>
      </c>
      <c r="L239" s="19" t="b" cm="1">
        <f t="array" ref="L239">IsAutoincrement(A239)</f>
        <v>1</v>
      </c>
      <c r="M239" s="19" t="str" cm="1">
        <f t="array" ref="M239">IsFilterable(A239)</f>
        <v/>
      </c>
      <c r="N239" s="19" t="str" cm="1">
        <f t="array" ref="N239">IsEditable(A239)</f>
        <v/>
      </c>
      <c r="O239" s="19" t="str" cm="1">
        <f t="array" ref="O239">IsBrowseable(A239)</f>
        <v/>
      </c>
      <c r="P239" s="19" t="e" cm="1">
        <f t="array" ref="P239">IsListable(A239)</f>
        <v>#VALUE!</v>
      </c>
      <c r="Q239" s="19" t="str" cm="1">
        <f t="array" ref="Q239">IsEncrypted(A239)</f>
        <v/>
      </c>
      <c r="R239" s="19" t="str" cm="1">
        <f t="array" ref="R239">IsInWords(A239)</f>
        <v/>
      </c>
      <c r="S239" s="19" t="b">
        <v>0</v>
      </c>
    </row>
    <row r="240" spans="1:19">
      <c r="A240" s="17">
        <f t="shared" si="11"/>
        <v>236</v>
      </c>
      <c r="B240" s="18" cm="1">
        <f t="array" ref="B240">GetTableId(B239,G239)</f>
        <v>37</v>
      </c>
      <c r="C240" s="17" t="str" cm="1">
        <f t="array" ref="C240">GetValue("Tbl","Alias",B240)</f>
        <v>Ses</v>
      </c>
      <c r="D240" s="17" cm="1">
        <f t="array" ref="D240">GetDomainId(C240,G240)</f>
        <v>57</v>
      </c>
      <c r="E240" s="17" t="str" cm="1">
        <f t="array" ref="E240">GetValue("Dmn","Name",D240)</f>
        <v>SmallId</v>
      </c>
      <c r="F240" s="17">
        <f t="shared" si="10"/>
        <v>10</v>
      </c>
      <c r="G240" s="17" t="str" cm="1">
        <f t="array" ref="G240">GetColumnName(C240,IF(B240=B239,G239,""))</f>
        <v>OwnertId</v>
      </c>
      <c r="H240" s="17" t="str">
        <f t="shared" si="12"/>
        <v>Informe 'Proprietário'</v>
      </c>
      <c r="I240" s="17" t="str" cm="1">
        <f t="array" ref="I240">GetCaption(C240,G240)</f>
        <v>Proprietário</v>
      </c>
      <c r="J240" s="17" t="b">
        <v>0</v>
      </c>
      <c r="K240" s="17" t="b" cm="1">
        <f t="array" ref="K240">IsPrimaryKey(A240)</f>
        <v>0</v>
      </c>
      <c r="L240" s="17" t="b" cm="1">
        <f t="array" ref="L240">IsAutoincrement(A240)</f>
        <v>0</v>
      </c>
      <c r="M240" s="17" t="b" cm="1">
        <f t="array" ref="M240">IsFilterable(A240)</f>
        <v>1</v>
      </c>
      <c r="N240" s="17" t="b" cm="1">
        <f t="array" ref="N240">IsEditable(A240)</f>
        <v>1</v>
      </c>
      <c r="O240" s="17" t="b" cm="1">
        <f t="array" ref="O240">IsBrowseable(A240)</f>
        <v>1</v>
      </c>
      <c r="P240" s="17" t="e" cm="1">
        <f t="array" ref="P240">IsListable(A240)</f>
        <v>#VALUE!</v>
      </c>
      <c r="Q240" s="17" t="str" cm="1">
        <f t="array" ref="Q240">IsEncrypted(A240)</f>
        <v/>
      </c>
      <c r="R240" s="17" t="b" cm="1">
        <f t="array" ref="R240">IsInWords(A240)</f>
        <v>0</v>
      </c>
      <c r="S240" s="17" t="b">
        <v>0</v>
      </c>
    </row>
    <row r="241" spans="1:19">
      <c r="A241" s="17">
        <f t="shared" si="11"/>
        <v>237</v>
      </c>
      <c r="B241" s="18" cm="1">
        <f t="array" ref="B241">GetTableId(B240,G240)</f>
        <v>37</v>
      </c>
      <c r="C241" s="17" t="str" cm="1">
        <f t="array" ref="C241">GetValue("Tbl","Alias",B241)</f>
        <v>Ses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10"/>
        <v>15</v>
      </c>
      <c r="G241" s="17" t="str" cm="1">
        <f t="array" ref="G241">GetColumnName(C241,IF(B241=B240,G240,""))</f>
        <v>SystemId</v>
      </c>
      <c r="H241" s="17" t="str">
        <f t="shared" si="12"/>
        <v>Informe 'Sistema'</v>
      </c>
      <c r="I241" s="17" t="str" cm="1">
        <f t="array" ref="I241">GetCaption(C241,G241)</f>
        <v>Sistema</v>
      </c>
      <c r="J241" s="17" t="b">
        <v>0</v>
      </c>
      <c r="K241" s="17" t="b" cm="1">
        <f t="array" ref="K241">IsPrimaryKey(A241)</f>
        <v>0</v>
      </c>
      <c r="L241" s="17" t="b" cm="1">
        <f t="array" ref="L241">IsAutoincrement(A241)</f>
        <v>0</v>
      </c>
      <c r="M241" s="17" t="b" cm="1">
        <f t="array" ref="M241">IsFilterable(A241)</f>
        <v>1</v>
      </c>
      <c r="N241" s="17" t="b" cm="1">
        <f t="array" ref="N241">IsEditable(A241)</f>
        <v>1</v>
      </c>
      <c r="O241" s="17" t="b" cm="1">
        <f t="array" ref="O241">IsBrowseable(A241)</f>
        <v>1</v>
      </c>
      <c r="P241" s="17" t="e" cm="1">
        <f t="array" ref="P241">IsListable(A241)</f>
        <v>#VALUE!</v>
      </c>
      <c r="Q241" s="17" t="str" cm="1">
        <f t="array" ref="Q241">IsEncrypted(A241)</f>
        <v/>
      </c>
      <c r="R241" s="17" t="b" cm="1">
        <f t="array" ref="R241">IsInWords(A241)</f>
        <v>0</v>
      </c>
      <c r="S241" s="17" t="b">
        <v>0</v>
      </c>
    </row>
    <row r="242" spans="1:19">
      <c r="A242" s="17">
        <f t="shared" si="11"/>
        <v>238</v>
      </c>
      <c r="B242" s="18" cm="1">
        <f t="array" ref="B242">GetTableId(B241,G241)</f>
        <v>37</v>
      </c>
      <c r="C242" s="17" t="str" cm="1">
        <f t="array" ref="C242">GetValue("Tbl","Alias",B242)</f>
        <v>Ses</v>
      </c>
      <c r="D242" s="17" cm="1">
        <f t="array" ref="D242">GetDomainId(C242,G242)</f>
        <v>55</v>
      </c>
      <c r="E242" s="17" t="str" cm="1">
        <f t="array" ref="E242">GetValue("Dmn","Name",D242)</f>
        <v>BigId</v>
      </c>
      <c r="F242" s="17">
        <f t="shared" si="10"/>
        <v>20</v>
      </c>
      <c r="G242" s="17" t="str" cm="1">
        <f t="array" ref="G242">GetColumnName(C242,IF(B242=B241,G241,""))</f>
        <v>UserId</v>
      </c>
      <c r="H242" s="17" t="str">
        <f t="shared" si="12"/>
        <v>Informe 'Usuário'</v>
      </c>
      <c r="I242" s="17" t="str" cm="1">
        <f t="array" ref="I242">GetCaption(C242,G242)</f>
        <v>Usuário</v>
      </c>
      <c r="J242" s="17" t="b">
        <v>0</v>
      </c>
      <c r="K242" s="17" t="b" cm="1">
        <f t="array" ref="K242">IsPrimaryKey(A242)</f>
        <v>0</v>
      </c>
      <c r="L242" s="17" t="b" cm="1">
        <f t="array" ref="L242">IsAutoincrement(A242)</f>
        <v>0</v>
      </c>
      <c r="M242" s="17" t="b" cm="1">
        <f t="array" ref="M242">IsFilterable(A242)</f>
        <v>1</v>
      </c>
      <c r="N242" s="17" t="b" cm="1">
        <f t="array" ref="N242">IsEditable(A242)</f>
        <v>1</v>
      </c>
      <c r="O242" s="17" t="b" cm="1">
        <f t="array" ref="O242">IsBrowseable(A242)</f>
        <v>1</v>
      </c>
      <c r="P242" s="17" t="e" cm="1">
        <f t="array" ref="P242">IsListable(A242)</f>
        <v>#VALUE!</v>
      </c>
      <c r="Q242" s="17" t="str" cm="1">
        <f t="array" ref="Q242">IsEncrypted(A242)</f>
        <v/>
      </c>
      <c r="R242" s="17" t="b" cm="1">
        <f t="array" ref="R242">IsInWords(A242)</f>
        <v>0</v>
      </c>
      <c r="S242" s="17" t="b">
        <v>0</v>
      </c>
    </row>
    <row r="243" spans="1:19">
      <c r="A243" s="19">
        <f t="shared" si="11"/>
        <v>239</v>
      </c>
      <c r="B243" s="20" cm="1">
        <f t="array" ref="B243">GetTableId(B242,G242)</f>
        <v>37</v>
      </c>
      <c r="C243" s="19" t="str" cm="1">
        <f t="array" ref="C243">GetValue("Tbl","Alias",B243)</f>
        <v>Ses</v>
      </c>
      <c r="D243" s="19" cm="1">
        <f t="array" ref="D243">GetDomainId(C243,G243)</f>
        <v>13</v>
      </c>
      <c r="E243" s="19" t="str" cm="1">
        <f t="array" ref="E243">GetValue("Dmn","Name",D243)</f>
        <v>NVARCHAR(256)</v>
      </c>
      <c r="F243" s="19">
        <f t="shared" si="10"/>
        <v>25</v>
      </c>
      <c r="G243" s="19" t="str" cm="1">
        <f t="array" ref="G243">GetColumnName(C243,IF(B243=B242,G242,""))</f>
        <v>PublicKey</v>
      </c>
      <c r="H243" s="19" t="str">
        <f t="shared" si="12"/>
        <v>Informe 'Chave Pública'</v>
      </c>
      <c r="I243" s="19" t="str" cm="1">
        <f t="array" ref="I243">GetCaption(C243,G243)</f>
        <v>Chave Pública</v>
      </c>
      <c r="J243" s="19" t="b">
        <v>0</v>
      </c>
      <c r="K243" s="19" t="b" cm="1">
        <f t="array" ref="K243">IsPrimaryKey(A243)</f>
        <v>0</v>
      </c>
      <c r="L243" s="19" t="str" cm="1">
        <f t="array" ref="L243">IsAutoincrement(A243)</f>
        <v/>
      </c>
      <c r="M243" s="19" t="b" cm="1">
        <f t="array" ref="M243">IsFilterable(A243)</f>
        <v>1</v>
      </c>
      <c r="N243" s="19" t="b" cm="1">
        <f t="array" ref="N243">IsEditable(A243)</f>
        <v>1</v>
      </c>
      <c r="O243" s="19" t="b" cm="1">
        <f t="array" ref="O243">IsBrowseable(A243)</f>
        <v>1</v>
      </c>
      <c r="P243" s="19" t="e" cm="1">
        <f t="array" ref="P243">IsListable(A243)</f>
        <v>#VALUE!</v>
      </c>
      <c r="Q243" s="19" t="b" cm="1">
        <f t="array" ref="Q243">IsEncrypted(A243)</f>
        <v>0</v>
      </c>
      <c r="R243" s="19" t="str" cm="1">
        <f t="array" ref="R243">IsInWords(A243)</f>
        <v/>
      </c>
      <c r="S243" s="19" t="b">
        <v>0</v>
      </c>
    </row>
    <row r="244" spans="1:19">
      <c r="A244" s="19">
        <f t="shared" si="11"/>
        <v>240</v>
      </c>
      <c r="B244" s="20" cm="1">
        <f t="array" ref="B244">GetTableId(B243,G243)</f>
        <v>37</v>
      </c>
      <c r="C244" s="19" t="str" cm="1">
        <f t="array" ref="C244">GetValue("Tbl","Alias",B244)</f>
        <v>Ses</v>
      </c>
      <c r="D244" s="19" cm="1">
        <f t="array" ref="D244">GetDomainId(C244,G244)</f>
        <v>5</v>
      </c>
      <c r="E244" s="19" t="str" cm="1">
        <f t="array" ref="E244">GetValue("Dmn","Name",D244)</f>
        <v>Boolean</v>
      </c>
      <c r="F244" s="19">
        <f t="shared" si="10"/>
        <v>30</v>
      </c>
      <c r="G244" s="19" t="str" cm="1">
        <f t="array" ref="G244">GetColumnName(C244,IF(B244=B243,G243,""))</f>
        <v>IsLogged</v>
      </c>
      <c r="H244" s="19" t="str">
        <f t="shared" si="12"/>
        <v>Informe 'Conectado?'</v>
      </c>
      <c r="I244" s="19" t="str" cm="1">
        <f t="array" ref="I244">GetCaption(C244,G244)</f>
        <v>Conectado?</v>
      </c>
      <c r="J244" s="19" t="b">
        <v>0</v>
      </c>
      <c r="K244" s="19" t="b" cm="1">
        <f t="array" ref="K244">IsPrimaryKey(A244)</f>
        <v>0</v>
      </c>
      <c r="L244" s="19" t="str" cm="1">
        <f t="array" ref="L244">IsAutoincrement(A244)</f>
        <v/>
      </c>
      <c r="M244" s="19" t="b" cm="1">
        <f t="array" ref="M244">IsFilterable(A244)</f>
        <v>1</v>
      </c>
      <c r="N244" s="19" t="b" cm="1">
        <f t="array" ref="N244">IsEditable(A244)</f>
        <v>1</v>
      </c>
      <c r="O244" s="19" t="b" cm="1">
        <f t="array" ref="O244">IsBrowseable(A244)</f>
        <v>1</v>
      </c>
      <c r="P244" s="19" t="e" cm="1">
        <f t="array" ref="P244">IsListable(A244)</f>
        <v>#VALUE!</v>
      </c>
      <c r="Q244" s="19" t="str" cm="1">
        <f t="array" ref="Q244">IsEncrypted(A244)</f>
        <v/>
      </c>
      <c r="R244" s="19" t="str" cm="1">
        <f t="array" ref="R244">IsInWords(A244)</f>
        <v/>
      </c>
      <c r="S244" s="19" t="b">
        <v>0</v>
      </c>
    </row>
    <row r="245" spans="1:19">
      <c r="A245" s="19">
        <f t="shared" si="11"/>
        <v>241</v>
      </c>
      <c r="B245" s="20" cm="1">
        <f t="array" ref="B245">GetTableId(B244,G244)</f>
        <v>38</v>
      </c>
      <c r="C245" s="19" t="str" cm="1">
        <f t="array" ref="C245">GetValue("Tbl","Alias",B245)</f>
        <v>Trs</v>
      </c>
      <c r="D245" s="19" cm="1">
        <f t="array" ref="D245">GetDomainId(C245,G245)</f>
        <v>55</v>
      </c>
      <c r="E245" s="19" t="str" cm="1">
        <f t="array" ref="E245">GetValue("Dmn","Name",D245)</f>
        <v>BigId</v>
      </c>
      <c r="F245" s="19">
        <f t="shared" si="10"/>
        <v>5</v>
      </c>
      <c r="G245" s="19" t="str" cm="1">
        <f t="array" ref="G245">GetColumnName(C245,IF(B245=B244,G244,""))</f>
        <v>Id</v>
      </c>
      <c r="H245" s="19" t="str">
        <f t="shared" si="12"/>
        <v>Informe 'Id'</v>
      </c>
      <c r="I245" s="19" t="str" cm="1">
        <f t="array" ref="I245">GetCaption(C245,G245)</f>
        <v>Id</v>
      </c>
      <c r="J245" s="19" t="b">
        <v>0</v>
      </c>
      <c r="K245" s="19" t="b" cm="1">
        <f t="array" ref="K245">IsPrimaryKey(A245)</f>
        <v>1</v>
      </c>
      <c r="L245" s="19" t="b" cm="1">
        <f t="array" ref="L245">IsAutoincrement(A245)</f>
        <v>1</v>
      </c>
      <c r="M245" s="19" t="str" cm="1">
        <f t="array" ref="M245">IsFilterable(A245)</f>
        <v/>
      </c>
      <c r="N245" s="19" t="str" cm="1">
        <f t="array" ref="N245">IsEditable(A245)</f>
        <v/>
      </c>
      <c r="O245" s="19" t="str" cm="1">
        <f t="array" ref="O245">IsBrowseable(A245)</f>
        <v/>
      </c>
      <c r="P245" s="19" t="e" cm="1">
        <f t="array" ref="P245">IsListable(A245)</f>
        <v>#VALUE!</v>
      </c>
      <c r="Q245" s="19" t="str" cm="1">
        <f t="array" ref="Q245">IsEncrypted(A245)</f>
        <v/>
      </c>
      <c r="R245" s="19" t="str" cm="1">
        <f t="array" ref="R245">IsInWords(A245)</f>
        <v/>
      </c>
      <c r="S245" s="19" t="b">
        <v>0</v>
      </c>
    </row>
    <row r="246" spans="1:19">
      <c r="A246" s="19">
        <f t="shared" si="11"/>
        <v>242</v>
      </c>
      <c r="B246" s="20" cm="1">
        <f t="array" ref="B246">GetTableId(B245,G245)</f>
        <v>38</v>
      </c>
      <c r="C246" s="19" t="str" cm="1">
        <f t="array" ref="C246">GetValue("Tbl","Alias",B246)</f>
        <v>Trs</v>
      </c>
      <c r="D246" s="19" cm="1">
        <f t="array" ref="D246">GetDomainId(C246,G246)</f>
        <v>55</v>
      </c>
      <c r="E246" s="19" t="str" cm="1">
        <f t="array" ref="E246">GetValue("Dmn","Name",D246)</f>
        <v>BigId</v>
      </c>
      <c r="F246" s="19">
        <f t="shared" si="10"/>
        <v>10</v>
      </c>
      <c r="G246" s="19" t="str" cm="1">
        <f t="array" ref="G246">GetColumnName(C246,IF(B246=B245,G245,""))</f>
        <v>SessionId</v>
      </c>
      <c r="H246" s="19" t="str">
        <f t="shared" si="12"/>
        <v>Informe 'Sessão'</v>
      </c>
      <c r="I246" s="19" t="str" cm="1">
        <f t="array" ref="I246">GetCaption(C246,G246)</f>
        <v>Sessão</v>
      </c>
      <c r="J246" s="19" t="b">
        <v>0</v>
      </c>
      <c r="K246" s="19" t="b" cm="1">
        <f t="array" ref="K246">IsPrimaryKey(A246)</f>
        <v>0</v>
      </c>
      <c r="L246" s="19" t="b" cm="1">
        <f t="array" ref="L246">IsAutoincrement(A246)</f>
        <v>0</v>
      </c>
      <c r="M246" s="19" t="b" cm="1">
        <f t="array" ref="M246">IsFilterable(A246)</f>
        <v>1</v>
      </c>
      <c r="N246" s="19" t="b" cm="1">
        <f t="array" ref="N246">IsEditable(A246)</f>
        <v>1</v>
      </c>
      <c r="O246" s="19" t="b" cm="1">
        <f t="array" ref="O246">IsBrowseable(A246)</f>
        <v>1</v>
      </c>
      <c r="P246" s="19" t="e" cm="1">
        <f t="array" ref="P246">IsListable(A246)</f>
        <v>#VALUE!</v>
      </c>
      <c r="Q246" s="19" t="str" cm="1">
        <f t="array" ref="Q246">IsEncrypted(A246)</f>
        <v/>
      </c>
      <c r="R246" s="19" t="b" cm="1">
        <f t="array" ref="R246">IsInWords(A246)</f>
        <v>0</v>
      </c>
      <c r="S246" s="19" t="b">
        <v>0</v>
      </c>
    </row>
    <row r="247" spans="1:19">
      <c r="A247" s="19">
        <f t="shared" si="11"/>
        <v>243</v>
      </c>
      <c r="B247" s="20" cm="1">
        <f t="array" ref="B247">GetTableId(B246,G246)</f>
        <v>38</v>
      </c>
      <c r="C247" s="19" t="str" cm="1">
        <f t="array" ref="C247">GetValue("Tbl","Alias",B247)</f>
        <v>Trs</v>
      </c>
      <c r="D247" s="19" cm="1">
        <f t="array" ref="D247">GetDomainId(C247,G247)</f>
        <v>5</v>
      </c>
      <c r="E247" s="19" t="str" cm="1">
        <f t="array" ref="E247">GetValue("Dmn","Name",D247)</f>
        <v>Boolean</v>
      </c>
      <c r="F247" s="19">
        <f t="shared" si="10"/>
        <v>15</v>
      </c>
      <c r="G247" s="19" t="str" cm="1">
        <f t="array" ref="G247">GetColumnName(C247,IF(B247=B246,G246,""))</f>
        <v>IsConfirmed</v>
      </c>
      <c r="H247" s="19" t="str">
        <f t="shared" si="12"/>
        <v>Informe 'Confirmado?'</v>
      </c>
      <c r="I247" s="19" t="str" cm="1">
        <f t="array" ref="I247">GetCaption(C247,G247)</f>
        <v>Confirmado?</v>
      </c>
      <c r="J247" s="19" t="b">
        <v>0</v>
      </c>
      <c r="K247" s="19" t="b" cm="1">
        <f t="array" ref="K247">IsPrimaryKey(A247)</f>
        <v>0</v>
      </c>
      <c r="L247" s="19" t="str" cm="1">
        <f t="array" ref="L247">IsAutoincrement(A247)</f>
        <v/>
      </c>
      <c r="M247" s="19" t="b" cm="1">
        <f t="array" ref="M247">IsFilterable(A247)</f>
        <v>1</v>
      </c>
      <c r="N247" s="19" t="b" cm="1">
        <f t="array" ref="N247">IsEditable(A247)</f>
        <v>1</v>
      </c>
      <c r="O247" s="19" t="b" cm="1">
        <f t="array" ref="O247">IsBrowseable(A247)</f>
        <v>1</v>
      </c>
      <c r="P247" s="19" t="e" cm="1">
        <f t="array" ref="P247">IsListable(A247)</f>
        <v>#VALUE!</v>
      </c>
      <c r="Q247" s="19" t="str" cm="1">
        <f t="array" ref="Q247">IsEncrypted(A247)</f>
        <v/>
      </c>
      <c r="R247" s="19" t="str" cm="1">
        <f t="array" ref="R247">IsInWords(A247)</f>
        <v/>
      </c>
      <c r="S247" s="19" t="b">
        <v>0</v>
      </c>
    </row>
    <row r="248" spans="1:19">
      <c r="A248" s="19">
        <f t="shared" si="11"/>
        <v>244</v>
      </c>
      <c r="B248" s="20" cm="1">
        <f t="array" ref="B248">GetTableId(B247,G247)</f>
        <v>39</v>
      </c>
      <c r="C248" s="19" t="str" cm="1">
        <f t="array" ref="C248">GetValue("Tbl","Alias",B248)</f>
        <v>Ope</v>
      </c>
      <c r="D248" s="19" cm="1">
        <f t="array" ref="D248">GetDomainId(C248,G248)</f>
        <v>55</v>
      </c>
      <c r="E248" s="19" t="str" cm="1">
        <f t="array" ref="E248">GetValue("Dmn","Name",D248)</f>
        <v>BigId</v>
      </c>
      <c r="F248" s="19">
        <f t="shared" si="10"/>
        <v>5</v>
      </c>
      <c r="G248" s="19" t="str" cm="1">
        <f t="array" ref="G248">GetColumnName(C248,IF(B248=B247,G247,""))</f>
        <v>Id</v>
      </c>
      <c r="H248" s="19" t="str">
        <f t="shared" si="12"/>
        <v>Informe 'Id'</v>
      </c>
      <c r="I248" s="19" t="str" cm="1">
        <f t="array" ref="I248">GetCaption(C248,G248)</f>
        <v>Id</v>
      </c>
      <c r="J248" s="19" t="b">
        <v>0</v>
      </c>
      <c r="K248" s="19" t="b" cm="1">
        <f t="array" ref="K248">IsPrimaryKey(A248)</f>
        <v>1</v>
      </c>
      <c r="L248" s="19" t="b" cm="1">
        <f t="array" ref="L248">IsAutoincrement(A248)</f>
        <v>1</v>
      </c>
      <c r="M248" s="19" t="str" cm="1">
        <f t="array" ref="M248">IsFilterable(A248)</f>
        <v/>
      </c>
      <c r="N248" s="19" t="str" cm="1">
        <f t="array" ref="N248">IsEditable(A248)</f>
        <v/>
      </c>
      <c r="O248" s="19" t="str" cm="1">
        <f t="array" ref="O248">IsBrowseable(A248)</f>
        <v/>
      </c>
      <c r="P248" s="19" t="e" cm="1">
        <f t="array" ref="P248">IsListable(A248)</f>
        <v>#VALUE!</v>
      </c>
      <c r="Q248" s="19" t="str" cm="1">
        <f t="array" ref="Q248">IsEncrypted(A248)</f>
        <v/>
      </c>
      <c r="R248" s="19" t="str" cm="1">
        <f t="array" ref="R248">IsInWords(A248)</f>
        <v/>
      </c>
      <c r="S248" s="19" t="b">
        <v>0</v>
      </c>
    </row>
    <row r="249" spans="1:19">
      <c r="A249" s="19">
        <f t="shared" si="11"/>
        <v>245</v>
      </c>
      <c r="B249" s="20" cm="1">
        <f t="array" ref="B249">GetTableId(B248,G248)</f>
        <v>39</v>
      </c>
      <c r="C249" s="19" t="str" cm="1">
        <f t="array" ref="C249">GetValue("Tbl","Alias",B249)</f>
        <v>Ope</v>
      </c>
      <c r="D249" s="19" cm="1">
        <f t="array" ref="D249">GetDomainId(C249,G249)</f>
        <v>55</v>
      </c>
      <c r="E249" s="19" t="str" cm="1">
        <f t="array" ref="E249">GetValue("Dmn","Name",D249)</f>
        <v>BigId</v>
      </c>
      <c r="F249" s="19">
        <f t="shared" si="10"/>
        <v>10</v>
      </c>
      <c r="G249" s="19" t="str" cm="1">
        <f t="array" ref="G249">GetColumnName(C249,IF(B249=B248,G248,""))</f>
        <v>TransactionId</v>
      </c>
      <c r="H249" s="19" t="str">
        <f t="shared" si="12"/>
        <v>Informe 'Transação'</v>
      </c>
      <c r="I249" s="19" t="str" cm="1">
        <f t="array" ref="I249">GetCaption(C249,G249)</f>
        <v>Transação</v>
      </c>
      <c r="J249" s="19" t="b">
        <v>0</v>
      </c>
      <c r="K249" s="19" t="b" cm="1">
        <f t="array" ref="K249">IsPrimaryKey(A249)</f>
        <v>0</v>
      </c>
      <c r="L249" s="19" t="b" cm="1">
        <f t="array" ref="L249">IsAutoincrement(A249)</f>
        <v>0</v>
      </c>
      <c r="M249" s="19" t="b" cm="1">
        <f t="array" ref="M249">IsFilterable(A249)</f>
        <v>1</v>
      </c>
      <c r="N249" s="19" t="b" cm="1">
        <f t="array" ref="N249">IsEditable(A249)</f>
        <v>1</v>
      </c>
      <c r="O249" s="19" t="b" cm="1">
        <f t="array" ref="O249">IsBrowseable(A249)</f>
        <v>1</v>
      </c>
      <c r="P249" s="19" t="e" cm="1">
        <f t="array" ref="P249">IsListable(A249)</f>
        <v>#VALUE!</v>
      </c>
      <c r="Q249" s="19" t="str" cm="1">
        <f t="array" ref="Q249">IsEncrypted(A249)</f>
        <v/>
      </c>
      <c r="R249" s="19" t="b" cm="1">
        <f t="array" ref="R249">IsInWords(A249)</f>
        <v>0</v>
      </c>
      <c r="S249" s="19" t="b">
        <v>0</v>
      </c>
    </row>
    <row r="250" spans="1:19">
      <c r="A250" s="17">
        <f t="shared" si="11"/>
        <v>246</v>
      </c>
      <c r="B250" s="18" cm="1">
        <f t="array" ref="B250">GetTableId(B249,G249)</f>
        <v>39</v>
      </c>
      <c r="C250" s="17" t="str" cm="1">
        <f t="array" ref="C250">GetValue("Tbl","Alias",B250)</f>
        <v>Ope</v>
      </c>
      <c r="D250" s="17" cm="1">
        <f t="array" ref="D250">GetDomainId(C250,G250)</f>
        <v>11</v>
      </c>
      <c r="E250" s="17" t="str" cm="1">
        <f t="array" ref="E250">GetValue("Dmn","Name",D250)</f>
        <v>NVARCHAR(25)</v>
      </c>
      <c r="F250" s="17">
        <f t="shared" si="10"/>
        <v>15</v>
      </c>
      <c r="G250" s="17" t="str" cm="1">
        <f t="array" ref="G250">GetColumnName(C250,IF(B250=B249,G249,""))</f>
        <v>TableName</v>
      </c>
      <c r="H250" s="17" t="str">
        <f t="shared" si="12"/>
        <v>Informe 'Tabela'</v>
      </c>
      <c r="I250" s="17" t="str" cm="1">
        <f t="array" ref="I250">GetCaption(C250,G250)</f>
        <v>Tabela</v>
      </c>
      <c r="J250" s="17" t="b">
        <v>0</v>
      </c>
      <c r="K250" s="17" t="b" cm="1">
        <f t="array" ref="K250">IsPrimaryKey(A250)</f>
        <v>0</v>
      </c>
      <c r="L250" s="17" t="str" cm="1">
        <f t="array" ref="L250">IsAutoincrement(A250)</f>
        <v/>
      </c>
      <c r="M250" s="17" t="b" cm="1">
        <f t="array" ref="M250">IsFilterable(A250)</f>
        <v>1</v>
      </c>
      <c r="N250" s="17" t="b" cm="1">
        <f t="array" ref="N250">IsEditable(A250)</f>
        <v>1</v>
      </c>
      <c r="O250" s="17" t="b" cm="1">
        <f t="array" ref="O250">IsBrowseable(A250)</f>
        <v>1</v>
      </c>
      <c r="P250" s="17" t="e" cm="1">
        <f t="array" ref="P250">IsListable(A250)</f>
        <v>#VALUE!</v>
      </c>
      <c r="Q250" s="17" t="b" cm="1">
        <f t="array" ref="Q250">IsEncrypted(A250)</f>
        <v>0</v>
      </c>
      <c r="R250" s="17" t="str" cm="1">
        <f t="array" ref="R250">IsInWords(A250)</f>
        <v/>
      </c>
      <c r="S250" s="17" t="b">
        <v>0</v>
      </c>
    </row>
    <row r="251" spans="1:19">
      <c r="A251" s="17">
        <f t="shared" si="11"/>
        <v>247</v>
      </c>
      <c r="B251" s="18" cm="1">
        <f t="array" ref="B251">GetTableId(B250,G250)</f>
        <v>39</v>
      </c>
      <c r="C251" s="17" t="str" cm="1">
        <f t="array" ref="C251">GetValue("Tbl","Alias",B251)</f>
        <v>Ope</v>
      </c>
      <c r="D251" s="17" cm="1">
        <f t="array" ref="D251">GetDomainId(C251,G251)</f>
        <v>27</v>
      </c>
      <c r="E251" s="17" t="str" cm="1">
        <f t="array" ref="E251">GetValue("Dmn","Name",D251)</f>
        <v>CRUD Operation</v>
      </c>
      <c r="F251" s="17">
        <f t="shared" si="10"/>
        <v>20</v>
      </c>
      <c r="G251" s="17" t="str" cm="1">
        <f t="array" ref="G251">GetColumnName(C251,IF(B251=B250,G250,""))</f>
        <v>Action</v>
      </c>
      <c r="H251" s="17" t="str">
        <f t="shared" si="12"/>
        <v>Informe 'Ação'</v>
      </c>
      <c r="I251" s="17" t="str" cm="1">
        <f t="array" ref="I251">GetCaption(C251,G251)</f>
        <v>Ação</v>
      </c>
      <c r="J251" s="17" t="b">
        <v>0</v>
      </c>
      <c r="K251" s="17" t="b" cm="1">
        <f t="array" ref="K251">IsPrimaryKey(A251)</f>
        <v>0</v>
      </c>
      <c r="L251" s="17" t="str" cm="1">
        <f t="array" ref="L251">IsAutoincrement(A251)</f>
        <v/>
      </c>
      <c r="M251" s="17" t="b" cm="1">
        <f t="array" ref="M251">IsFilterable(A251)</f>
        <v>1</v>
      </c>
      <c r="N251" s="17" t="b" cm="1">
        <f t="array" ref="N251">IsEditable(A251)</f>
        <v>1</v>
      </c>
      <c r="O251" s="17" t="b" cm="1">
        <f t="array" ref="O251">IsBrowseable(A251)</f>
        <v>1</v>
      </c>
      <c r="P251" s="17" t="e" cm="1">
        <f t="array" ref="P251">IsListable(A251)</f>
        <v>#VALUE!</v>
      </c>
      <c r="Q251" s="17" t="b" cm="1">
        <f t="array" ref="Q251">IsEncrypted(A251)</f>
        <v>0</v>
      </c>
      <c r="R251" s="17" t="str" cm="1">
        <f t="array" ref="R251">IsInWords(A251)</f>
        <v/>
      </c>
      <c r="S251" s="17" t="b">
        <v>0</v>
      </c>
    </row>
    <row r="252" spans="1:19">
      <c r="A252" s="17">
        <f t="shared" si="11"/>
        <v>248</v>
      </c>
      <c r="B252" s="18" cm="1">
        <f t="array" ref="B252">GetTableId(B251,G251)</f>
        <v>39</v>
      </c>
      <c r="C252" s="17" t="str" cm="1">
        <f t="array" ref="C252">GetValue("Tbl","Alias",B252)</f>
        <v>Ope</v>
      </c>
      <c r="D252" s="17" cm="1">
        <f t="array" ref="D252">GetDomainId(C252,G252)</f>
        <v>25</v>
      </c>
      <c r="E252" s="17" t="str" cm="1">
        <f t="array" ref="E252">GetValue("Dmn","Name",D252)</f>
        <v>JSON</v>
      </c>
      <c r="F252" s="17">
        <f t="shared" si="10"/>
        <v>25</v>
      </c>
      <c r="G252" s="17" t="str" cm="1">
        <f t="array" ref="G252">GetColumnName(C252,IF(B252=B251,G251,""))</f>
        <v>LastRecord</v>
      </c>
      <c r="H252" s="17" t="str">
        <f t="shared" si="12"/>
        <v>Informe 'Último Registro'</v>
      </c>
      <c r="I252" s="17" t="str" cm="1">
        <f t="array" ref="I252">GetCaption(C252,G252)</f>
        <v>Último Registro</v>
      </c>
      <c r="J252" s="17" t="b">
        <v>0</v>
      </c>
      <c r="K252" s="17" t="str" cm="1">
        <f t="array" ref="K252">IsPrimaryKey(A252)</f>
        <v/>
      </c>
      <c r="L252" s="17" t="str" cm="1">
        <f t="array" ref="L252">IsAutoincrement(A252)</f>
        <v/>
      </c>
      <c r="M252" s="17" t="str" cm="1">
        <f t="array" ref="M252">IsFilterable(A252)</f>
        <v/>
      </c>
      <c r="N252" s="17" t="b" cm="1">
        <f t="array" ref="N252">IsEditable(A252)</f>
        <v>1</v>
      </c>
      <c r="O252" s="17" t="str" cm="1">
        <f t="array" ref="O252">IsBrowseable(A252)</f>
        <v/>
      </c>
      <c r="P252" s="17" t="e" cm="1">
        <f t="array" ref="P252">IsListable(A252)</f>
        <v>#VALUE!</v>
      </c>
      <c r="Q252" s="17" t="str" cm="1">
        <f t="array" ref="Q252">IsEncrypted(A252)</f>
        <v/>
      </c>
      <c r="R252" s="17" t="str" cm="1">
        <f t="array" ref="R252">IsInWords(A252)</f>
        <v/>
      </c>
      <c r="S252" s="17" t="b">
        <v>0</v>
      </c>
    </row>
    <row r="253" spans="1:19">
      <c r="A253" s="19">
        <f t="shared" si="11"/>
        <v>249</v>
      </c>
      <c r="B253" s="20" cm="1">
        <f t="array" ref="B253">GetTableId(B252,G252)</f>
        <v>39</v>
      </c>
      <c r="C253" s="19" t="str" cm="1">
        <f t="array" ref="C253">GetValue("Tbl","Alias",B253)</f>
        <v>Ope</v>
      </c>
      <c r="D253" s="19" cm="1">
        <f t="array" ref="D253">GetDomainId(C253,G253)</f>
        <v>25</v>
      </c>
      <c r="E253" s="19" t="str" cm="1">
        <f t="array" ref="E253">GetValue("Dmn","Name",D253)</f>
        <v>JSON</v>
      </c>
      <c r="F253" s="19">
        <f t="shared" si="10"/>
        <v>30</v>
      </c>
      <c r="G253" s="19" t="str" cm="1">
        <f t="array" ref="G253">GetColumnName(C253,IF(B253=B252,G252,""))</f>
        <v>ActualRecord</v>
      </c>
      <c r="H253" s="19" t="str">
        <f t="shared" si="12"/>
        <v>Informe 'Registro Atual'</v>
      </c>
      <c r="I253" s="19" t="str" cm="1">
        <f t="array" ref="I253">GetCaption(C253,G253)</f>
        <v>Registro Atual</v>
      </c>
      <c r="J253" s="19" t="b">
        <v>0</v>
      </c>
      <c r="K253" s="19" t="str" cm="1">
        <f t="array" ref="K253">IsPrimaryKey(A253)</f>
        <v/>
      </c>
      <c r="L253" s="19" t="str" cm="1">
        <f t="array" ref="L253">IsAutoincrement(A253)</f>
        <v/>
      </c>
      <c r="M253" s="19" t="str" cm="1">
        <f t="array" ref="M253">IsFilterable(A253)</f>
        <v/>
      </c>
      <c r="N253" s="19" t="b" cm="1">
        <f t="array" ref="N253">IsEditable(A253)</f>
        <v>1</v>
      </c>
      <c r="O253" s="19" t="str" cm="1">
        <f t="array" ref="O253">IsBrowseable(A253)</f>
        <v/>
      </c>
      <c r="P253" s="19" t="e" cm="1">
        <f t="array" ref="P253">IsListable(A253)</f>
        <v>#VALUE!</v>
      </c>
      <c r="Q253" s="19" t="str" cm="1">
        <f t="array" ref="Q253">IsEncrypted(A253)</f>
        <v/>
      </c>
      <c r="R253" s="19" t="str" cm="1">
        <f t="array" ref="R253">IsInWords(A253)</f>
        <v/>
      </c>
      <c r="S253" s="19" t="b">
        <v>0</v>
      </c>
    </row>
    <row r="254" spans="1:19">
      <c r="A254" s="19">
        <f t="shared" si="11"/>
        <v>250</v>
      </c>
      <c r="B254" s="20" cm="1">
        <f t="array" ref="B254">GetTableId(B253,G253)</f>
        <v>39</v>
      </c>
      <c r="C254" s="19" t="str" cm="1">
        <f t="array" ref="C254">GetValue("Tbl","Alias",B254)</f>
        <v>Ope</v>
      </c>
      <c r="D254" s="19" cm="1">
        <f t="array" ref="D254">GetDomainId(C254,G254)</f>
        <v>5</v>
      </c>
      <c r="E254" s="19" t="str" cm="1">
        <f t="array" ref="E254">GetValue("Dmn","Name",D254)</f>
        <v>Boolean</v>
      </c>
      <c r="F254" s="19">
        <f t="shared" si="10"/>
        <v>35</v>
      </c>
      <c r="G254" s="19" t="str" cm="1">
        <f t="array" ref="G254">GetColumnName(C254,IF(B254=B253,G253,""))</f>
        <v>IsConfirmed</v>
      </c>
      <c r="H254" s="19" t="str">
        <f t="shared" si="12"/>
        <v>Informe 'Confirmado?'</v>
      </c>
      <c r="I254" s="19" t="str" cm="1">
        <f t="array" ref="I254">GetCaption(C254,G254)</f>
        <v>Confirmado?</v>
      </c>
      <c r="J254" s="19" t="b">
        <v>0</v>
      </c>
      <c r="K254" s="19" t="b" cm="1">
        <f t="array" ref="K254">IsPrimaryKey(A254)</f>
        <v>0</v>
      </c>
      <c r="L254" s="19" t="str" cm="1">
        <f t="array" ref="L254">IsAutoincrement(A254)</f>
        <v/>
      </c>
      <c r="M254" s="19" t="b" cm="1">
        <f t="array" ref="M254">IsFilterable(A254)</f>
        <v>1</v>
      </c>
      <c r="N254" s="19" t="b" cm="1">
        <f t="array" ref="N254">IsEditable(A254)</f>
        <v>1</v>
      </c>
      <c r="O254" s="19" t="b" cm="1">
        <f t="array" ref="O254">IsBrowseable(A254)</f>
        <v>1</v>
      </c>
      <c r="P254" s="19" t="e" cm="1">
        <f t="array" ref="P254">IsListable(A254)</f>
        <v>#VALUE!</v>
      </c>
      <c r="Q254" s="19" t="str" cm="1">
        <f t="array" ref="Q254">IsEncrypted(A254)</f>
        <v/>
      </c>
      <c r="R254" s="19" t="str" cm="1">
        <f t="array" ref="R254">IsInWords(A254)</f>
        <v/>
      </c>
      <c r="S254" s="19" t="b">
        <v>0</v>
      </c>
    </row>
    <row r="255" spans="1:19">
      <c r="A255" s="19">
        <f t="shared" si="11"/>
        <v>251</v>
      </c>
      <c r="B255" s="20" cm="1">
        <f t="array" ref="B255">GetTableId(B254,G254)</f>
        <v>40</v>
      </c>
      <c r="C255" s="19" t="str" cm="1">
        <f t="array" ref="C255">GetValue("Tbl","Alias",B255)</f>
        <v>Ide</v>
      </c>
      <c r="D255" s="19" cm="1">
        <f t="array" ref="D255">GetDomainId(C255,G255)</f>
        <v>55</v>
      </c>
      <c r="E255" s="19" t="str" cm="1">
        <f t="array" ref="E255">GetValue("Dmn","Name",D255)</f>
        <v>BigId</v>
      </c>
      <c r="F255" s="19">
        <f t="shared" ref="F255:F256" si="15">IF(G255="Id",5,F254+5)</f>
        <v>5</v>
      </c>
      <c r="G255" s="19" t="str" cm="1">
        <f t="array" ref="G255">GetColumnName(C255,IF(B255=B254,G254,""))</f>
        <v>Id</v>
      </c>
      <c r="H255" s="19" t="str">
        <f t="shared" si="12"/>
        <v>Informe 'Id'</v>
      </c>
      <c r="I255" s="19" t="str" cm="1">
        <f t="array" ref="I255">GetCaption(C255,G255)</f>
        <v>Id</v>
      </c>
      <c r="J255" s="19" t="b">
        <v>0</v>
      </c>
      <c r="K255" s="19" t="b" cm="1">
        <f t="array" ref="K255">IsPrimaryKey(A255)</f>
        <v>1</v>
      </c>
      <c r="L255" s="19" t="b" cm="1">
        <f t="array" ref="L255">IsAutoincrement(A255)</f>
        <v>1</v>
      </c>
      <c r="M255" s="19" t="str" cm="1">
        <f t="array" ref="M255">IsFilterable(A255)</f>
        <v/>
      </c>
      <c r="N255" s="19" t="str" cm="1">
        <f t="array" ref="N255">IsEditable(A255)</f>
        <v/>
      </c>
      <c r="O255" s="19" t="str" cm="1">
        <f t="array" ref="O255">IsBrowseable(A255)</f>
        <v/>
      </c>
      <c r="P255" s="19" t="e" cm="1">
        <f t="array" ref="P255">IsListable(A255)</f>
        <v>#VALUE!</v>
      </c>
      <c r="Q255" s="19" t="str" cm="1">
        <f t="array" ref="Q255">IsEncrypted(A255)</f>
        <v/>
      </c>
      <c r="R255" s="19" t="str" cm="1">
        <f t="array" ref="R255">IsInWords(A255)</f>
        <v/>
      </c>
      <c r="S255" s="19" t="b">
        <v>0</v>
      </c>
    </row>
    <row r="256" spans="1:19">
      <c r="A256" s="19">
        <f t="shared" si="11"/>
        <v>252</v>
      </c>
      <c r="B256" s="20" cm="1">
        <f t="array" ref="B256">GetTableId(B255,G255)</f>
        <v>40</v>
      </c>
      <c r="C256" s="19" t="str" cm="1">
        <f t="array" ref="C256">GetValue("Tbl","Alias",B256)</f>
        <v>Ide</v>
      </c>
      <c r="D256" s="19" cm="1">
        <f t="array" ref="D256">GetDomainId(C256,G256)</f>
        <v>55</v>
      </c>
      <c r="E256" s="19" t="str" cm="1">
        <f t="array" ref="E256">GetValue("Dmn","Name",D256)</f>
        <v>BigId</v>
      </c>
      <c r="F256" s="19">
        <f t="shared" si="15"/>
        <v>10</v>
      </c>
      <c r="G256" s="19" t="str" cm="1">
        <f t="array" ref="G256">GetColumnName(C256,IF(B256=B255,G255,""))</f>
        <v>TableId</v>
      </c>
      <c r="H256" s="19" t="str">
        <f t="shared" si="12"/>
        <v>Informe 'Tabela'</v>
      </c>
      <c r="I256" s="19" t="str" cm="1">
        <f t="array" ref="I256">GetCaption(C256,G256)</f>
        <v>Tabela</v>
      </c>
      <c r="J256" s="19" t="b">
        <v>0</v>
      </c>
      <c r="K256" s="19" t="b" cm="1">
        <f t="array" ref="K256">IsPrimaryKey(A256)</f>
        <v>0</v>
      </c>
      <c r="L256" s="19" t="b" cm="1">
        <f t="array" ref="L256">IsAutoincrement(A256)</f>
        <v>0</v>
      </c>
      <c r="M256" s="19" t="b" cm="1">
        <f t="array" ref="M256">IsFilterable(A256)</f>
        <v>1</v>
      </c>
      <c r="N256" s="19" t="b" cm="1">
        <f t="array" ref="N256">IsEditable(A256)</f>
        <v>1</v>
      </c>
      <c r="O256" s="19" t="b" cm="1">
        <f t="array" ref="O256">IsBrowseable(A256)</f>
        <v>1</v>
      </c>
      <c r="P256" s="19" t="e" cm="1">
        <f t="array" ref="P256">IsListable(A256)</f>
        <v>#VALUE!</v>
      </c>
      <c r="Q256" s="19" t="str" cm="1">
        <f t="array" ref="Q256">IsEncrypted(A256)</f>
        <v/>
      </c>
      <c r="R256" s="19" t="b" cm="1">
        <f t="array" ref="R256">IsInWords(A256)</f>
        <v>0</v>
      </c>
      <c r="S256" s="19" t="b">
        <v>0</v>
      </c>
    </row>
    <row r="257" spans="1:19">
      <c r="A257" s="19">
        <f t="shared" si="11"/>
        <v>253</v>
      </c>
      <c r="B257" s="20" cm="1">
        <f t="array" ref="B257">GetTableId(B256,G256)</f>
        <v>40</v>
      </c>
      <c r="C257" s="19" t="str" cm="1">
        <f t="array" ref="C257">GetValue("Tbl","Alias",B257)</f>
        <v>Ide</v>
      </c>
      <c r="D257" s="19" cm="1">
        <f t="array" ref="D257">GetDomainId(C257,G257)</f>
        <v>55</v>
      </c>
      <c r="E257" s="19" t="str" cm="1">
        <f t="array" ref="E257">GetValue("Dmn","Name",D257)</f>
        <v>BigId</v>
      </c>
      <c r="F257" s="19">
        <f t="shared" ref="F257" si="16">IF(G257="Id",5,F256+5)</f>
        <v>15</v>
      </c>
      <c r="G257" s="19" t="str" cm="1">
        <f t="array" ref="G257">GetColumnName(C257,IF(B257=B256,G256,""))</f>
        <v>ColumnId</v>
      </c>
      <c r="H257" s="19" t="str">
        <f t="shared" si="12"/>
        <v>Informe 'Coluna'</v>
      </c>
      <c r="I257" s="19" t="str" cm="1">
        <f t="array" ref="I257">GetCaption(C257,G257)</f>
        <v>Coluna</v>
      </c>
      <c r="J257" s="19" t="b">
        <v>0</v>
      </c>
      <c r="K257" s="19" t="b" cm="1">
        <f t="array" ref="K257">IsPrimaryKey(A257)</f>
        <v>0</v>
      </c>
      <c r="L257" s="19" t="b" cm="1">
        <f t="array" ref="L257">IsAutoincrement(A257)</f>
        <v>0</v>
      </c>
      <c r="M257" s="19" t="b" cm="1">
        <f t="array" ref="M257">IsFilterable(A257)</f>
        <v>1</v>
      </c>
      <c r="N257" s="19" t="b" cm="1">
        <f t="array" ref="N257">IsEditable(A257)</f>
        <v>1</v>
      </c>
      <c r="O257" s="19" t="b" cm="1">
        <f t="array" ref="O257">IsBrowseable(A257)</f>
        <v>1</v>
      </c>
      <c r="P257" s="19" t="e" cm="1">
        <f t="array" ref="P257">IsListable(A257)</f>
        <v>#VALUE!</v>
      </c>
      <c r="Q257" s="19" t="str" cm="1">
        <f t="array" ref="Q257">IsEncrypted(A257)</f>
        <v/>
      </c>
      <c r="R257" s="19" t="b" cm="1">
        <f t="array" ref="R257">IsInWords(A257)</f>
        <v>0</v>
      </c>
      <c r="S257" s="19" t="b">
        <v>0</v>
      </c>
    </row>
    <row r="258" spans="1:19">
      <c r="A258" s="19">
        <f t="shared" si="11"/>
        <v>254</v>
      </c>
      <c r="B258" s="20" cm="1">
        <f t="array" ref="B258">GetTableId(B257,G257)</f>
        <v>40</v>
      </c>
      <c r="C258" s="19" t="str" cm="1">
        <f t="array" ref="C258">GetValue("Tbl","Alias",B258)</f>
        <v>Ide</v>
      </c>
      <c r="D258" s="19" cm="1">
        <f t="array" ref="D258">GetDomainId(C258,G258)</f>
        <v>55</v>
      </c>
      <c r="E258" s="19" t="str" cm="1">
        <f t="array" ref="E258">GetValue("Dmn","Name",D258)</f>
        <v>BigId</v>
      </c>
      <c r="F258" s="19">
        <f t="shared" ref="F258:F262" si="17">IF(G258="Id",5,F257+5)</f>
        <v>20</v>
      </c>
      <c r="G258" s="19" t="str" cm="1">
        <f t="array" ref="G258">GetColumnName(C258,IF(B258=B257,G257,""))</f>
        <v>CurrentValue</v>
      </c>
      <c r="H258" s="19" t="str">
        <f t="shared" ref="H258:H262" si="18">_xlfn.CONCAT("Informe '",I258,"'")</f>
        <v>Informe 'Valor Atual'</v>
      </c>
      <c r="I258" s="19" t="str" cm="1">
        <f t="array" ref="I258">GetCaption(C258,G258)</f>
        <v>Valor Atual</v>
      </c>
      <c r="J258" s="19" t="b">
        <v>0</v>
      </c>
      <c r="K258" s="19" t="b" cm="1">
        <f t="array" ref="K258">IsPrimaryKey(A258)</f>
        <v>0</v>
      </c>
      <c r="L258" s="19" t="b" cm="1">
        <f t="array" ref="L258">IsAutoincrement(A258)</f>
        <v>0</v>
      </c>
      <c r="M258" s="19" t="b" cm="1">
        <f t="array" ref="M258">IsFilterable(A258)</f>
        <v>1</v>
      </c>
      <c r="N258" s="19" t="b" cm="1">
        <f t="array" ref="N258">IsEditable(A258)</f>
        <v>1</v>
      </c>
      <c r="O258" s="19" t="b" cm="1">
        <f t="array" ref="O258">IsBrowseable(A258)</f>
        <v>1</v>
      </c>
      <c r="P258" s="19" t="e" cm="1">
        <f t="array" ref="P258">IsListable(A258)</f>
        <v>#VALUE!</v>
      </c>
      <c r="Q258" s="19" t="str" cm="1">
        <f t="array" ref="Q258">IsEncrypted(A258)</f>
        <v/>
      </c>
      <c r="R258" s="19" t="b" cm="1">
        <f t="array" ref="R258">IsInWords(A258)</f>
        <v>0</v>
      </c>
      <c r="S258" s="19" t="b">
        <v>0</v>
      </c>
    </row>
    <row r="259" spans="1:19">
      <c r="A259" s="19">
        <f t="shared" si="11"/>
        <v>255</v>
      </c>
      <c r="B259" s="20" cm="1">
        <f t="array" ref="B259">GetTableId(B258,G258)</f>
        <v>41</v>
      </c>
      <c r="C259" s="19" t="str" cm="1">
        <f t="array" ref="C259">GetValue("Tbl","Alias",B259)</f>
        <v>Val</v>
      </c>
      <c r="D259" s="19" cm="1">
        <f t="array" ref="D259">GetDomainId(C259,G259)</f>
        <v>55</v>
      </c>
      <c r="E259" s="19" t="str" cm="1">
        <f t="array" ref="E259">GetValue("Dmn","Name",D259)</f>
        <v>BigId</v>
      </c>
      <c r="F259" s="19">
        <f t="shared" si="17"/>
        <v>5</v>
      </c>
      <c r="G259" s="19" t="str" cm="1">
        <f t="array" ref="G259">GetColumnName(C259,IF(B259=B258,G258,""))</f>
        <v>Id</v>
      </c>
      <c r="H259" s="19" t="str">
        <f t="shared" si="18"/>
        <v>Informe 'Id'</v>
      </c>
      <c r="I259" s="19" t="str" cm="1">
        <f t="array" ref="I259">GetCaption(C259,G259)</f>
        <v>Id</v>
      </c>
      <c r="J259" s="19" t="b">
        <v>0</v>
      </c>
      <c r="K259" s="19" t="b" cm="1">
        <f t="array" ref="K259">IsPrimaryKey(A259)</f>
        <v>1</v>
      </c>
      <c r="L259" s="19" t="b" cm="1">
        <f t="array" ref="L259">IsAutoincrement(A259)</f>
        <v>1</v>
      </c>
      <c r="M259" s="19" t="str" cm="1">
        <f t="array" ref="M259">IsFilterable(A259)</f>
        <v/>
      </c>
      <c r="N259" s="19" t="str" cm="1">
        <f t="array" ref="N259">IsEditable(A259)</f>
        <v/>
      </c>
      <c r="O259" s="19" t="str" cm="1">
        <f t="array" ref="O259">IsBrowseable(A259)</f>
        <v/>
      </c>
      <c r="P259" s="19" t="e" cm="1">
        <f t="array" ref="P259">IsListable(A259)</f>
        <v>#VALUE!</v>
      </c>
      <c r="Q259" s="19" t="str" cm="1">
        <f t="array" ref="Q259">IsEncrypted(A259)</f>
        <v/>
      </c>
      <c r="R259" s="19" t="str" cm="1">
        <f t="array" ref="R259">IsInWords(A259)</f>
        <v/>
      </c>
      <c r="S259" s="19" t="b">
        <v>0</v>
      </c>
    </row>
    <row r="260" spans="1:19">
      <c r="A260" s="19">
        <f t="shared" si="11"/>
        <v>256</v>
      </c>
      <c r="B260" s="20" cm="1">
        <f t="array" ref="B260">GetTableId(B259,G259)</f>
        <v>41</v>
      </c>
      <c r="C260" s="19" t="str" cm="1">
        <f t="array" ref="C260">GetValue("Tbl","Alias",B260)</f>
        <v>Val</v>
      </c>
      <c r="D260" s="19" cm="1">
        <f t="array" ref="D260">GetDomainId(C260,G260)</f>
        <v>55</v>
      </c>
      <c r="E260" s="19" t="str" cm="1">
        <f t="array" ref="E260">GetValue("Dmn","Name",D260)</f>
        <v>BigId</v>
      </c>
      <c r="F260" s="19">
        <f t="shared" si="17"/>
        <v>10</v>
      </c>
      <c r="G260" s="19" t="str" cm="1">
        <f t="array" ref="G260">GetColumnName(C260,IF(B260=B259,G259,""))</f>
        <v>ColumnId</v>
      </c>
      <c r="H260" s="19" t="str">
        <f t="shared" si="18"/>
        <v>Informe 'Coluna'</v>
      </c>
      <c r="I260" s="19" t="str" cm="1">
        <f t="array" ref="I260">GetCaption(C260,G260)</f>
        <v>Coluna</v>
      </c>
      <c r="J260" s="19" t="b">
        <v>0</v>
      </c>
      <c r="K260" s="19" t="b" cm="1">
        <f t="array" ref="K260">IsPrimaryKey(A260)</f>
        <v>0</v>
      </c>
      <c r="L260" s="19" t="b" cm="1">
        <f t="array" ref="L260">IsAutoincrement(A260)</f>
        <v>0</v>
      </c>
      <c r="M260" s="19" t="b" cm="1">
        <f t="array" ref="M260">IsFilterable(A260)</f>
        <v>1</v>
      </c>
      <c r="N260" s="19" t="b" cm="1">
        <f t="array" ref="N260">IsEditable(A260)</f>
        <v>1</v>
      </c>
      <c r="O260" s="19" t="b" cm="1">
        <f t="array" ref="O260">IsBrowseable(A260)</f>
        <v>1</v>
      </c>
      <c r="P260" s="19" t="e" cm="1">
        <f t="array" ref="P260">IsListable(A260)</f>
        <v>#VALUE!</v>
      </c>
      <c r="Q260" s="19" t="str" cm="1">
        <f t="array" ref="Q260">IsEncrypted(A260)</f>
        <v/>
      </c>
      <c r="R260" s="19" t="b" cm="1">
        <f t="array" ref="R260">IsInWords(A260)</f>
        <v>0</v>
      </c>
      <c r="S260" s="19" t="b">
        <v>0</v>
      </c>
    </row>
    <row r="261" spans="1:19">
      <c r="A261" s="19">
        <f t="shared" si="11"/>
        <v>257</v>
      </c>
      <c r="B261" s="20" cm="1">
        <f t="array" ref="B261">GetTableId(B260,G260)</f>
        <v>41</v>
      </c>
      <c r="C261" s="19" t="str" cm="1">
        <f t="array" ref="C261">GetValue("Tbl","Alias",B261)</f>
        <v>Val</v>
      </c>
      <c r="D261" s="19" cm="1">
        <f t="array" ref="D261">GetDomainId(C261,G261)</f>
        <v>25</v>
      </c>
      <c r="E261" s="19" t="str" cm="1">
        <f t="array" ref="E261">GetValue("Dmn","Name",D261)</f>
        <v>JSON</v>
      </c>
      <c r="F261" s="19">
        <f t="shared" si="17"/>
        <v>15</v>
      </c>
      <c r="G261" s="19" t="str" cm="1">
        <f t="array" ref="G261">GetColumnName(C261,IF(B261=B260,G260,""))</f>
        <v>Primarykey</v>
      </c>
      <c r="H261" s="19" t="str">
        <f t="shared" si="18"/>
        <v>Informe 'Chave-Primária'</v>
      </c>
      <c r="I261" s="19" t="str" cm="1">
        <f t="array" ref="I261">GetCaption(C261,G261)</f>
        <v>Chave-Primária</v>
      </c>
      <c r="J261" s="19" t="b">
        <v>0</v>
      </c>
      <c r="K261" s="19" t="str" cm="1">
        <f t="array" ref="K261">IsPrimaryKey(A261)</f>
        <v/>
      </c>
      <c r="L261" s="19" t="str" cm="1">
        <f t="array" ref="L261">IsAutoincrement(A261)</f>
        <v/>
      </c>
      <c r="M261" s="19" t="str" cm="1">
        <f t="array" ref="M261">IsFilterable(A261)</f>
        <v/>
      </c>
      <c r="N261" s="19" t="b" cm="1">
        <f t="array" ref="N261">IsEditable(A261)</f>
        <v>1</v>
      </c>
      <c r="O261" s="19" t="str" cm="1">
        <f t="array" ref="O261">IsBrowseable(A261)</f>
        <v/>
      </c>
      <c r="P261" s="19" t="e" cm="1">
        <f t="array" ref="P261">IsListable(A261)</f>
        <v>#VALUE!</v>
      </c>
      <c r="Q261" s="19" t="str" cm="1">
        <f t="array" ref="Q261">IsEncrypted(A261)</f>
        <v/>
      </c>
      <c r="R261" s="19" t="str" cm="1">
        <f t="array" ref="R261">IsInWords(A261)</f>
        <v/>
      </c>
      <c r="S261" s="19" t="b">
        <v>0</v>
      </c>
    </row>
    <row r="262" spans="1:19">
      <c r="A262" s="19">
        <f t="shared" si="11"/>
        <v>258</v>
      </c>
      <c r="B262" s="20" cm="1">
        <f t="array" ref="B262">GetTableId(B261,G261)</f>
        <v>41</v>
      </c>
      <c r="C262" s="19" t="str" cm="1">
        <f t="array" ref="C262">GetValue("Tbl","Alias",B262)</f>
        <v>Val</v>
      </c>
      <c r="D262" s="19" cm="1">
        <f t="array" ref="D262">GetDomainId(C262,G262)</f>
        <v>24</v>
      </c>
      <c r="E262" s="19" t="str" cm="1">
        <f t="array" ref="E262">GetValue("Dmn","Name",D262)</f>
        <v>VARIANT</v>
      </c>
      <c r="F262" s="19">
        <f t="shared" si="17"/>
        <v>20</v>
      </c>
      <c r="G262" s="19" t="str" cm="1">
        <f t="array" ref="G262">GetColumnName(C262,IF(B262=B261,G261,""))</f>
        <v>Value</v>
      </c>
      <c r="H262" s="19" t="str">
        <f t="shared" si="18"/>
        <v>Informe 'Valor'</v>
      </c>
      <c r="I262" s="19" t="str" cm="1">
        <f t="array" ref="I262">GetCaption(C262,G262)</f>
        <v>Valor</v>
      </c>
      <c r="J262" s="19" t="b">
        <v>0</v>
      </c>
      <c r="K262" s="19" t="str" cm="1">
        <f t="array" ref="K262">IsPrimaryKey(A262)</f>
        <v/>
      </c>
      <c r="L262" s="19" t="str" cm="1">
        <f t="array" ref="L262">IsAutoincrement(A262)</f>
        <v/>
      </c>
      <c r="M262" s="19" t="str" cm="1">
        <f t="array" ref="M262">IsFilterable(A262)</f>
        <v/>
      </c>
      <c r="N262" s="19" t="b" cm="1">
        <f t="array" ref="N262">IsEditable(A262)</f>
        <v>1</v>
      </c>
      <c r="O262" s="19" t="str" cm="1">
        <f t="array" ref="O262">IsBrowseable(A262)</f>
        <v/>
      </c>
      <c r="P262" s="19" t="e" cm="1">
        <f t="array" ref="P262">IsListable(A262)</f>
        <v>#VALUE!</v>
      </c>
      <c r="Q262" s="19" t="str" cm="1">
        <f t="array" ref="Q262">IsEncrypted(A262)</f>
        <v/>
      </c>
      <c r="R262" s="19" t="str" cm="1">
        <f t="array" ref="R262">IsInWords(A262)</f>
        <v/>
      </c>
      <c r="S262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528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641</v>
      </c>
      <c r="B4" s="1" t="s">
        <v>770</v>
      </c>
      <c r="C4" s="1"/>
      <c r="D4" s="1" t="s">
        <v>708</v>
      </c>
      <c r="E4" s="1" t="s">
        <v>774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528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641</v>
      </c>
      <c r="B4" s="1" t="s">
        <v>783</v>
      </c>
      <c r="C4" s="1"/>
      <c r="D4" s="1" t="s">
        <v>784</v>
      </c>
      <c r="E4" s="1"/>
      <c r="F4" s="1" t="s">
        <v>754</v>
      </c>
      <c r="G4" s="1" t="s">
        <v>785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528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641</v>
      </c>
      <c r="B4" s="1" t="s">
        <v>783</v>
      </c>
      <c r="D4" s="1" t="s">
        <v>784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sqref="A1:XFD4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528</v>
      </c>
      <c r="B1" s="1" t="s">
        <v>405</v>
      </c>
      <c r="C1" s="1" t="s">
        <v>503</v>
      </c>
      <c r="D1" s="1" t="s">
        <v>504</v>
      </c>
      <c r="E1" s="1" t="s">
        <v>406</v>
      </c>
      <c r="F1" s="1" t="s">
        <v>502</v>
      </c>
      <c r="G1" s="1" t="s">
        <v>505</v>
      </c>
      <c r="H1" s="1" t="s">
        <v>404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641</v>
      </c>
      <c r="B4" s="1" t="s">
        <v>786</v>
      </c>
      <c r="E4" s="1" t="s">
        <v>787</v>
      </c>
      <c r="H4" s="1" t="s">
        <v>788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5FA4-3882-4162-9C9E-93132BFC1B23}">
  <dimension ref="A1:G4"/>
  <sheetViews>
    <sheetView workbookViewId="0">
      <pane ySplit="4" topLeftCell="A5" activePane="bottomLeft" state="frozen"/>
      <selection pane="bottomLeft" activeCell="G5" sqref="G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0.5546875" bestFit="1" customWidth="1"/>
    <col min="7" max="7" width="9.88671875" bestFit="1" customWidth="1"/>
  </cols>
  <sheetData>
    <row r="1" spans="1:7" s="1" customFormat="1">
      <c r="A1" s="1" t="s">
        <v>528</v>
      </c>
      <c r="B1" s="1" t="s">
        <v>92</v>
      </c>
      <c r="C1" s="1" t="s">
        <v>367</v>
      </c>
      <c r="D1" s="1" t="s">
        <v>96</v>
      </c>
      <c r="E1" s="1" t="s">
        <v>113</v>
      </c>
      <c r="F1" s="1" t="s">
        <v>844</v>
      </c>
      <c r="G1" s="1" t="s">
        <v>846</v>
      </c>
    </row>
    <row r="2" spans="1:7" s="1" customFormat="1">
      <c r="A2" s="1">
        <v>55</v>
      </c>
      <c r="B2" s="1"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4</v>
      </c>
      <c r="G2" s="1">
        <v>62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Restriction</v>
      </c>
    </row>
    <row r="4" spans="1:7" s="1" customFormat="1">
      <c r="A4" s="1" t="s">
        <v>641</v>
      </c>
      <c r="B4" s="1" t="s">
        <v>770</v>
      </c>
      <c r="D4" s="1" t="s">
        <v>784</v>
      </c>
      <c r="F4" s="1" t="s">
        <v>845</v>
      </c>
      <c r="G4" s="1" t="s">
        <v>847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528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641</v>
      </c>
      <c r="B4" s="1" t="s">
        <v>770</v>
      </c>
      <c r="C4" s="1"/>
      <c r="D4" s="1" t="s">
        <v>708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528</v>
      </c>
      <c r="B1" s="1" t="s">
        <v>354</v>
      </c>
      <c r="C1" s="1" t="s">
        <v>366</v>
      </c>
      <c r="D1" s="1" t="s">
        <v>66</v>
      </c>
      <c r="E1" s="1" t="s">
        <v>344</v>
      </c>
      <c r="F1" s="1" t="s">
        <v>388</v>
      </c>
      <c r="G1" s="1" t="s">
        <v>405</v>
      </c>
      <c r="H1" s="1" t="s">
        <v>504</v>
      </c>
      <c r="I1" s="1" t="s">
        <v>423</v>
      </c>
      <c r="J1" s="1" t="s">
        <v>506</v>
      </c>
      <c r="K1" s="16" t="s">
        <v>406</v>
      </c>
      <c r="L1" s="1" t="s">
        <v>505</v>
      </c>
      <c r="M1" s="1" t="s">
        <v>227</v>
      </c>
      <c r="N1" s="1" t="s">
        <v>389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641</v>
      </c>
      <c r="B4" s="1" t="s">
        <v>789</v>
      </c>
      <c r="D4" s="1" t="s">
        <v>754</v>
      </c>
      <c r="E4" s="1" t="s">
        <v>790</v>
      </c>
      <c r="F4" s="1" t="s">
        <v>791</v>
      </c>
      <c r="G4" s="1" t="s">
        <v>786</v>
      </c>
      <c r="I4" s="1" t="s">
        <v>724</v>
      </c>
      <c r="K4" s="1" t="s">
        <v>787</v>
      </c>
      <c r="M4" s="1" t="s">
        <v>792</v>
      </c>
      <c r="N4" s="1" t="s">
        <v>793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I16"/>
  <sheetViews>
    <sheetView workbookViewId="0">
      <pane ySplit="4" topLeftCell="A5" activePane="bottomLeft" state="frozen"/>
      <selection pane="bottomLeft" activeCell="I9" sqref="I9"/>
    </sheetView>
  </sheetViews>
  <sheetFormatPr defaultRowHeight="14.4"/>
  <cols>
    <col min="1" max="1" width="5.21875" bestFit="1" customWidth="1"/>
    <col min="2" max="2" width="16.44140625" bestFit="1" customWidth="1"/>
    <col min="3" max="3" width="14" bestFit="1" customWidth="1"/>
    <col min="4" max="4" width="14.109375" bestFit="1" customWidth="1"/>
    <col min="5" max="5" width="14" bestFit="1" customWidth="1"/>
    <col min="6" max="6" width="13.6640625" bestFit="1" customWidth="1"/>
    <col min="7" max="7" width="16.44140625" bestFit="1" customWidth="1"/>
    <col min="8" max="8" width="19.33203125" bestFit="1" customWidth="1"/>
    <col min="9" max="9" width="15" bestFit="1" customWidth="1"/>
  </cols>
  <sheetData>
    <row r="1" spans="1:9" s="1" customFormat="1">
      <c r="A1" s="1" t="s">
        <v>528</v>
      </c>
      <c r="B1" s="1" t="s">
        <v>534</v>
      </c>
      <c r="C1" s="1" t="s">
        <v>535</v>
      </c>
      <c r="D1" s="1" t="s">
        <v>536</v>
      </c>
      <c r="E1" s="1" t="s">
        <v>537</v>
      </c>
      <c r="F1" s="1" t="s">
        <v>858</v>
      </c>
      <c r="G1" s="1" t="s">
        <v>860</v>
      </c>
      <c r="H1" s="1" t="s">
        <v>0</v>
      </c>
      <c r="I1" s="1" t="s">
        <v>538</v>
      </c>
    </row>
    <row r="2" spans="1: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55</v>
      </c>
      <c r="G2" s="1" cm="1">
        <f t="array" ref="G2">GetDomainId("Tbl","Name")</f>
        <v>11</v>
      </c>
      <c r="H2" s="1">
        <v>12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Boolean</v>
      </c>
    </row>
    <row r="4" spans="1:9">
      <c r="A4" s="1" t="s">
        <v>641</v>
      </c>
      <c r="B4" s="1" t="s">
        <v>794</v>
      </c>
      <c r="C4" s="1"/>
      <c r="D4" s="1" t="s">
        <v>795</v>
      </c>
      <c r="E4" s="1"/>
      <c r="F4" s="1" t="s">
        <v>859</v>
      </c>
      <c r="G4" s="1"/>
      <c r="H4" s="1" t="s">
        <v>708</v>
      </c>
      <c r="I4" s="1" t="s">
        <v>796</v>
      </c>
    </row>
    <row r="5" spans="1:9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>
        <v>2</v>
      </c>
      <c r="G5" t="str" cm="1">
        <f t="array" ref="G5">GetValue("Col","Name",F5)</f>
        <v>Name</v>
      </c>
      <c r="H5" t="str">
        <f>_xlfn.CONCAT(C5," x ",E5)</f>
        <v>Rules x Categories</v>
      </c>
      <c r="I5" t="b">
        <v>0</v>
      </c>
    </row>
    <row r="6" spans="1:9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>
        <v>2</v>
      </c>
      <c r="G6" t="str" cm="1">
        <f t="array" ref="G6">GetValue("Col","Name",F6)</f>
        <v>Name</v>
      </c>
      <c r="H6" t="str">
        <f t="shared" ref="H6:H16" si="1">_xlfn.CONCAT(C6," x ",E6)</f>
        <v>Rules x Comparators</v>
      </c>
      <c r="I6" t="b">
        <v>0</v>
      </c>
    </row>
    <row r="7" spans="1:9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>
        <v>2</v>
      </c>
      <c r="G7" t="str" cm="1">
        <f t="array" ref="G7">GetValue("Col","Name",F7)</f>
        <v>Name</v>
      </c>
      <c r="H7" t="str">
        <f t="shared" si="1"/>
        <v>Types x Categories</v>
      </c>
      <c r="I7" t="b">
        <v>0</v>
      </c>
    </row>
    <row r="8" spans="1:9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>
        <v>2</v>
      </c>
      <c r="G8" t="str" cm="1">
        <f t="array" ref="G8">GetValue("Col","Name",F8)</f>
        <v>Name</v>
      </c>
      <c r="H8" t="str">
        <f t="shared" si="1"/>
        <v>Mappings x Engines</v>
      </c>
      <c r="I8" t="b">
        <v>0</v>
      </c>
    </row>
    <row r="9" spans="1:9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>
        <v>2</v>
      </c>
      <c r="G9" t="str" cm="1">
        <f t="array" ref="G9">GetValue("Col","Name",F9)</f>
        <v>Name</v>
      </c>
      <c r="H9" t="str">
        <f t="shared" si="1"/>
        <v>Mappings x Types</v>
      </c>
      <c r="I9" t="b">
        <v>1</v>
      </c>
    </row>
    <row r="10" spans="1:9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>
        <v>2</v>
      </c>
      <c r="G10" t="str" cm="1">
        <f t="array" ref="G10">GetValue("Col","Name",F10)</f>
        <v>Name</v>
      </c>
      <c r="H10" t="str">
        <f t="shared" si="1"/>
        <v>Owners x Engines</v>
      </c>
      <c r="I10" t="b">
        <v>1</v>
      </c>
    </row>
    <row r="11" spans="1:9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>
        <v>2</v>
      </c>
      <c r="G11" t="str" cm="1">
        <f t="array" ref="G11">GetValue("Col","Name",F11)</f>
        <v>Name</v>
      </c>
      <c r="H11" t="str">
        <f t="shared" si="1"/>
        <v>Domains x Owners</v>
      </c>
      <c r="I11" t="b">
        <v>0</v>
      </c>
    </row>
    <row r="12" spans="1:9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>
        <v>2</v>
      </c>
      <c r="G12" t="str" cm="1">
        <f t="array" ref="G12">GetValue("Col","Name",F12)</f>
        <v>Name</v>
      </c>
      <c r="H12" t="str">
        <f t="shared" si="1"/>
        <v>Domains x Types</v>
      </c>
      <c r="I12" t="b">
        <v>0</v>
      </c>
    </row>
    <row r="13" spans="1:9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>
        <v>2</v>
      </c>
      <c r="G13" t="str" cm="1">
        <f t="array" ref="G13">GetValue("Col","Name",F13)</f>
        <v>Name</v>
      </c>
      <c r="H13" t="str">
        <f t="shared" si="1"/>
        <v>Masks x Owners</v>
      </c>
      <c r="I13" t="b">
        <v>1</v>
      </c>
    </row>
    <row r="14" spans="1:9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>
        <v>2</v>
      </c>
      <c r="G14" t="str" cm="1">
        <f t="array" ref="G14">GetValue("Col","Name",F14)</f>
        <v>Name</v>
      </c>
      <c r="H14" t="str">
        <f t="shared" si="1"/>
        <v>Maskings x Domains</v>
      </c>
      <c r="I14" t="b">
        <v>0</v>
      </c>
    </row>
    <row r="15" spans="1:9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>
        <v>2</v>
      </c>
      <c r="G15" t="str" cm="1">
        <f t="array" ref="G15">GetValue("Col","Name",F15)</f>
        <v>Name</v>
      </c>
      <c r="H15" t="str">
        <f t="shared" si="1"/>
        <v>Maskings x Masks</v>
      </c>
      <c r="I15" t="b">
        <v>1</v>
      </c>
    </row>
    <row r="16" spans="1:9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>
        <v>2</v>
      </c>
      <c r="G16" t="str" cm="1">
        <f t="array" ref="G16">GetValue("Col","Name",F16)</f>
        <v>Name</v>
      </c>
      <c r="H16" t="str">
        <f t="shared" si="1"/>
        <v>Connections x Owners</v>
      </c>
      <c r="I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G4" sqref="G4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528</v>
      </c>
      <c r="B1" s="1" t="s">
        <v>539</v>
      </c>
      <c r="C1" s="1" t="s">
        <v>540</v>
      </c>
      <c r="D1" s="1" t="s">
        <v>541</v>
      </c>
      <c r="E1" s="1" t="s">
        <v>542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641</v>
      </c>
      <c r="B4" s="1" t="s">
        <v>797</v>
      </c>
      <c r="C4" s="1"/>
      <c r="D4" s="1" t="s">
        <v>798</v>
      </c>
      <c r="E4" s="1"/>
      <c r="F4" s="1" t="s">
        <v>754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CategoryId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ComparatorId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CategoryId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TypeId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Name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>Logo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OwnertId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TypeId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OwnertId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DomainId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MaskId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OwnertId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F9EA-B78C-4875-A3A6-5002E14DC1EF}">
  <dimension ref="A1:E4"/>
  <sheetViews>
    <sheetView workbookViewId="0">
      <selection activeCell="P25" sqref="P25"/>
    </sheetView>
  </sheetViews>
  <sheetFormatPr defaultRowHeight="14.4"/>
  <cols>
    <col min="1" max="1" width="5.21875" bestFit="1" customWidth="1"/>
    <col min="2" max="2" width="11.109375" bestFit="1" customWidth="1"/>
    <col min="3" max="3" width="15.5546875" bestFit="1" customWidth="1"/>
    <col min="4" max="4" width="15.6640625" bestFit="1" customWidth="1"/>
    <col min="5" max="5" width="20.109375" bestFit="1" customWidth="1"/>
  </cols>
  <sheetData>
    <row r="1" spans="1:5" s="1" customFormat="1">
      <c r="A1" s="1" t="s">
        <v>528</v>
      </c>
      <c r="B1" s="1" t="s">
        <v>539</v>
      </c>
      <c r="C1" s="1" t="s">
        <v>540</v>
      </c>
      <c r="D1" s="1" t="s">
        <v>851</v>
      </c>
      <c r="E1" s="1" t="s">
        <v>852</v>
      </c>
    </row>
    <row r="2" spans="1:5" s="1" customFormat="1">
      <c r="A2" s="1">
        <v>55</v>
      </c>
      <c r="B2" s="1">
        <v>55</v>
      </c>
      <c r="C2" s="1"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641</v>
      </c>
      <c r="B4" s="1" t="s">
        <v>797</v>
      </c>
      <c r="D4" s="1" t="s">
        <v>853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528</v>
      </c>
      <c r="B1" s="1" t="s">
        <v>561</v>
      </c>
      <c r="C1" s="1" t="s">
        <v>560</v>
      </c>
      <c r="D1" s="1" t="s">
        <v>0</v>
      </c>
      <c r="E1" s="1" t="s">
        <v>76</v>
      </c>
      <c r="F1" s="1" t="s">
        <v>77</v>
      </c>
      <c r="G1" s="1" t="s">
        <v>655</v>
      </c>
      <c r="H1" s="1" t="s">
        <v>656</v>
      </c>
      <c r="I1" s="1" t="s">
        <v>657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641</v>
      </c>
      <c r="B4" s="1" t="s">
        <v>743</v>
      </c>
      <c r="C4" s="1"/>
      <c r="D4" s="1" t="s">
        <v>708</v>
      </c>
      <c r="E4" s="1" t="s">
        <v>799</v>
      </c>
      <c r="F4" s="1" t="s">
        <v>800</v>
      </c>
      <c r="G4" s="1" t="s">
        <v>803</v>
      </c>
      <c r="H4" s="1" t="s">
        <v>802</v>
      </c>
      <c r="I4" s="1" t="s">
        <v>801</v>
      </c>
      <c r="J4" s="1" t="s">
        <v>729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528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641</v>
      </c>
      <c r="B4" s="1" t="s">
        <v>762</v>
      </c>
      <c r="C4" s="1"/>
      <c r="D4" s="1" t="s">
        <v>804</v>
      </c>
      <c r="E4" s="1"/>
      <c r="F4" s="1" t="s">
        <v>770</v>
      </c>
      <c r="G4" s="1"/>
      <c r="H4" s="1" t="s">
        <v>805</v>
      </c>
      <c r="I4" s="1" t="s">
        <v>806</v>
      </c>
      <c r="J4" s="1" t="s">
        <v>807</v>
      </c>
      <c r="K4" s="1" t="s">
        <v>808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Restrictions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Expressions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Conditions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Referencekeys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Restrictions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Expressions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Conditions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Referencekeys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528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641</v>
      </c>
      <c r="B4" s="1" t="s">
        <v>723</v>
      </c>
      <c r="C4" s="1"/>
      <c r="D4" s="1" t="s">
        <v>708</v>
      </c>
      <c r="E4" s="1" t="s">
        <v>720</v>
      </c>
      <c r="F4" s="1" t="s">
        <v>729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528</v>
      </c>
      <c r="B1" s="1" t="s">
        <v>92</v>
      </c>
      <c r="C1" s="1" t="s">
        <v>110</v>
      </c>
      <c r="D1" s="1" t="s">
        <v>0</v>
      </c>
      <c r="E1" s="1" t="s">
        <v>378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641</v>
      </c>
      <c r="B4" s="1" t="s">
        <v>770</v>
      </c>
      <c r="C4" s="1"/>
      <c r="D4" s="1" t="s">
        <v>708</v>
      </c>
      <c r="E4" s="1" t="s">
        <v>809</v>
      </c>
      <c r="F4" s="1" t="s">
        <v>729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446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A6" sqref="A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528</v>
      </c>
      <c r="B1" s="1" t="s">
        <v>0</v>
      </c>
      <c r="C1" s="1" t="s">
        <v>370</v>
      </c>
      <c r="D1" s="1" t="s">
        <v>324</v>
      </c>
      <c r="E1" s="1" t="s">
        <v>371</v>
      </c>
      <c r="F1" s="1" t="s">
        <v>372</v>
      </c>
      <c r="G1" s="1" t="s">
        <v>373</v>
      </c>
      <c r="H1" s="1" t="s">
        <v>374</v>
      </c>
      <c r="I1" s="1" t="s">
        <v>375</v>
      </c>
      <c r="J1" s="1" t="s">
        <v>376</v>
      </c>
      <c r="K1" s="1" t="s">
        <v>527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641</v>
      </c>
      <c r="B4" s="1" t="s">
        <v>708</v>
      </c>
      <c r="C4" s="1" t="s">
        <v>810</v>
      </c>
      <c r="D4" s="1" t="s">
        <v>811</v>
      </c>
      <c r="E4" s="1" t="s">
        <v>812</v>
      </c>
      <c r="F4" s="1" t="s">
        <v>813</v>
      </c>
      <c r="G4" s="1" t="s">
        <v>814</v>
      </c>
      <c r="H4" s="1" t="s">
        <v>818</v>
      </c>
      <c r="I4" s="1" t="s">
        <v>815</v>
      </c>
      <c r="J4" s="1" t="s">
        <v>816</v>
      </c>
      <c r="K4" s="1" t="s">
        <v>817</v>
      </c>
      <c r="L4" s="1" t="s">
        <v>729</v>
      </c>
    </row>
    <row r="5" spans="1:12">
      <c r="A5" s="10">
        <f>ROW(A5)-4</f>
        <v>1</v>
      </c>
      <c r="B5" t="s">
        <v>444</v>
      </c>
      <c r="C5">
        <v>1</v>
      </c>
      <c r="D5" t="s">
        <v>445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528</v>
      </c>
      <c r="B1" s="1" t="s">
        <v>701</v>
      </c>
      <c r="C1" s="1" t="s">
        <v>702</v>
      </c>
      <c r="D1" s="1" t="s">
        <v>822</v>
      </c>
      <c r="E1" s="1" t="s">
        <v>823</v>
      </c>
      <c r="F1" s="1" t="s">
        <v>627</v>
      </c>
      <c r="G1" s="1" t="s">
        <v>628</v>
      </c>
      <c r="H1" s="1" t="s">
        <v>66</v>
      </c>
      <c r="I1" s="1" t="s">
        <v>377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641</v>
      </c>
      <c r="B4" s="1" t="s">
        <v>821</v>
      </c>
      <c r="C4" s="1"/>
      <c r="D4" s="1" t="s">
        <v>819</v>
      </c>
      <c r="E4" s="1"/>
      <c r="F4" s="1" t="s">
        <v>753</v>
      </c>
      <c r="G4" s="1"/>
      <c r="H4" s="1" t="s">
        <v>754</v>
      </c>
      <c r="I4" s="1" t="s">
        <v>820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workbookViewId="0">
      <pane ySplit="4" topLeftCell="A5" activePane="bottomLeft" state="frozen"/>
      <selection pane="bottomLeft" activeCell="L7" sqref="L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528</v>
      </c>
      <c r="B1" s="1" t="s">
        <v>701</v>
      </c>
      <c r="C1" s="1" t="s">
        <v>702</v>
      </c>
      <c r="D1" s="1" t="s">
        <v>822</v>
      </c>
      <c r="E1" s="1" t="s">
        <v>823</v>
      </c>
      <c r="F1" s="1" t="s">
        <v>66</v>
      </c>
      <c r="G1" s="1" t="s">
        <v>451</v>
      </c>
      <c r="H1" s="1" t="s">
        <v>507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641</v>
      </c>
      <c r="B4" s="1" t="s">
        <v>821</v>
      </c>
      <c r="C4" s="1"/>
      <c r="D4" s="1" t="s">
        <v>819</v>
      </c>
      <c r="E4" s="1"/>
      <c r="F4" s="1" t="s">
        <v>754</v>
      </c>
      <c r="G4" s="1" t="s">
        <v>825</v>
      </c>
      <c r="H4" s="1" t="s">
        <v>507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452</v>
      </c>
      <c r="H5" s="24" t="s">
        <v>450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I7" sqref="I7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528</v>
      </c>
      <c r="B1" s="8" t="s">
        <v>96</v>
      </c>
      <c r="C1" s="8" t="s">
        <v>367</v>
      </c>
      <c r="D1" s="1" t="s">
        <v>113</v>
      </c>
      <c r="E1" s="1" t="s">
        <v>354</v>
      </c>
      <c r="F1" s="1" t="s">
        <v>366</v>
      </c>
      <c r="G1" s="1" t="s">
        <v>355</v>
      </c>
      <c r="H1" s="1" t="s">
        <v>320</v>
      </c>
      <c r="I1" s="1" t="s">
        <v>227</v>
      </c>
      <c r="J1" s="1" t="s">
        <v>634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641</v>
      </c>
      <c r="B4" s="1" t="s">
        <v>784</v>
      </c>
      <c r="C4" s="1"/>
      <c r="D4" s="1"/>
      <c r="E4" s="1" t="s">
        <v>789</v>
      </c>
      <c r="F4" s="1"/>
      <c r="G4" s="1" t="s">
        <v>826</v>
      </c>
      <c r="H4" s="1"/>
      <c r="I4" s="1" t="s">
        <v>827</v>
      </c>
      <c r="J4" s="1" t="s">
        <v>828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528</v>
      </c>
      <c r="B1" s="1" t="s">
        <v>561</v>
      </c>
      <c r="C1" s="1" t="s">
        <v>560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641</v>
      </c>
      <c r="B4" s="1" t="s">
        <v>743</v>
      </c>
      <c r="C4" s="1"/>
      <c r="D4" s="1" t="s">
        <v>762</v>
      </c>
      <c r="E4" s="1"/>
      <c r="F4" s="1" t="s">
        <v>804</v>
      </c>
      <c r="G4" s="1"/>
      <c r="H4" s="1" t="s">
        <v>829</v>
      </c>
      <c r="I4" s="1" t="s">
        <v>830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528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641</v>
      </c>
      <c r="B4" s="1" t="s">
        <v>831</v>
      </c>
      <c r="C4" s="1" t="s">
        <v>832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528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641</v>
      </c>
      <c r="B4" s="1" t="s">
        <v>833</v>
      </c>
      <c r="C4" s="1" t="s">
        <v>770</v>
      </c>
      <c r="D4" s="1" t="s">
        <v>767</v>
      </c>
      <c r="E4" s="1" t="s">
        <v>834</v>
      </c>
      <c r="F4" s="1" t="s">
        <v>835</v>
      </c>
      <c r="G4" s="1" t="s">
        <v>832</v>
      </c>
    </row>
    <row r="5" spans="1:7">
      <c r="A5" s="10">
        <f>ROW(A5)-4</f>
        <v>1</v>
      </c>
      <c r="B5">
        <v>1</v>
      </c>
      <c r="C5" t="s">
        <v>88</v>
      </c>
      <c r="D5" t="s">
        <v>448</v>
      </c>
      <c r="E5" t="s">
        <v>449</v>
      </c>
      <c r="F5" t="s">
        <v>449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5"/>
  <sheetViews>
    <sheetView zoomScaleNormal="100" workbookViewId="0">
      <pane ySplit="4" topLeftCell="A26" activePane="bottomLeft" state="frozen"/>
      <selection pane="bottomLeft" activeCell="F50" sqref="F50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528</v>
      </c>
      <c r="B1" s="1" t="s">
        <v>92</v>
      </c>
      <c r="C1" s="1" t="s">
        <v>367</v>
      </c>
      <c r="D1" s="1" t="s">
        <v>96</v>
      </c>
      <c r="E1" s="1" t="s">
        <v>113</v>
      </c>
      <c r="F1" s="1" t="s">
        <v>643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641</v>
      </c>
      <c r="B4" s="1" t="s">
        <v>770</v>
      </c>
      <c r="C4" s="1"/>
      <c r="D4" s="1" t="s">
        <v>784</v>
      </c>
      <c r="E4" s="1"/>
      <c r="F4" s="1" t="s">
        <v>836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5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12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17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20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27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38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45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51</v>
      </c>
      <c r="E12" t="str" cm="1">
        <f t="array" ref="E12">GetValue("Col","Name",D12)</f>
        <v>Id</v>
      </c>
      <c r="F12" cm="1">
        <f t="array" ref="F12">GetLastId(C12)</f>
        <v>63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63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68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74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78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82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88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93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100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108</v>
      </c>
      <c r="E21" t="str" cm="1">
        <f t="array" ref="E21">GetValue("Col","Name",D21)</f>
        <v>Id</v>
      </c>
      <c r="F21" cm="1">
        <f t="array" ref="F21">GetLastId(C21)</f>
        <v>41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114</v>
      </c>
      <c r="E22" t="str" cm="1">
        <f t="array" ref="E22">GetValue("Col","Name",D22)</f>
        <v>Id</v>
      </c>
      <c r="F22" cm="1">
        <f t="array" ref="F22">GetLastId(C22)</f>
        <v>259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131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135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140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143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Rst</v>
      </c>
      <c r="D27" cm="1">
        <f t="array" ref="D27">GetPkId(B27)</f>
        <v>147</v>
      </c>
      <c r="E27" t="str" cm="1">
        <f t="array" ref="E27">GetValue("Col","Name",D27)</f>
        <v>Id</v>
      </c>
      <c r="F27" cm="1">
        <f t="array" ref="F27">GetLastId(C27)</f>
        <v>0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Exp</v>
      </c>
      <c r="D28" cm="1">
        <f t="array" ref="D28">GetPkId(B28)</f>
        <v>152</v>
      </c>
      <c r="E28" t="str" cm="1">
        <f t="array" ref="E28">GetValue("Col","Name",D28)</f>
        <v>Id</v>
      </c>
      <c r="F28" cm="1">
        <f t="array" ref="F28">GetLastId(C28)</f>
        <v>1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Cnd</v>
      </c>
      <c r="D29" cm="1">
        <f t="array" ref="D29">GetPkId(B29)</f>
        <v>155</v>
      </c>
      <c r="E29" t="str" cm="1">
        <f t="array" ref="E29">GetValue("Col","Name",D29)</f>
        <v>Id</v>
      </c>
      <c r="F29" cm="1">
        <f t="array" ref="F29">GetLastId(C29)</f>
        <v>0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Ref</v>
      </c>
      <c r="D30" cm="1">
        <f t="array" ref="D30">GetPkId(B30)</f>
        <v>165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Rfk</v>
      </c>
      <c r="D31" cm="1">
        <f t="array" ref="D31">GetPkId(B31)</f>
        <v>171</v>
      </c>
      <c r="E31" t="str" cm="1">
        <f t="array" ref="E31">GetValue("Col","Name",D31)</f>
        <v>Id</v>
      </c>
      <c r="F31" cm="1">
        <f t="array" ref="F31">GetLastId(C31)</f>
        <v>12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Rfb</v>
      </c>
      <c r="D32" cm="1">
        <f t="array" ref="D32">GetPkId(B32)</f>
        <v>175</v>
      </c>
      <c r="E32" t="str" cm="1">
        <f t="array" ref="E32">GetValue("Col","Name",D32)</f>
        <v>Id</v>
      </c>
      <c r="F32" cm="1">
        <f t="array" ref="F32">GetLastId(C32)</f>
        <v>0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Usr</v>
      </c>
      <c r="D33" cm="1">
        <f t="array" ref="D33">GetPkId(B33)</f>
        <v>178</v>
      </c>
      <c r="E33" t="str" cm="1">
        <f t="array" ref="E33">GetValue("Col","Name",D33)</f>
        <v>Id</v>
      </c>
      <c r="F33" cm="1">
        <f t="array" ref="F33">GetLastId(C33)</f>
        <v>2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Prm</v>
      </c>
      <c r="D34" cm="1">
        <f t="array" ref="D34">GetPkId(B34)</f>
        <v>187</v>
      </c>
      <c r="E34" t="str" cm="1">
        <f t="array" ref="E34">GetValue("Col","Name",D34)</f>
        <v>Id</v>
      </c>
      <c r="F34" cm="1">
        <f t="array" ref="F34">GetLastId(C34)</f>
        <v>54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Prp</v>
      </c>
      <c r="D35" cm="1">
        <f t="array" ref="D35">GetPkId(B35)</f>
        <v>195</v>
      </c>
      <c r="E35" t="str" cm="1">
        <f t="array" ref="E35">GetValue("Col","Name",D35)</f>
        <v>Id</v>
      </c>
      <c r="F35" cm="1">
        <f t="array" ref="F35">GetLastId(C35)</f>
        <v>19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Bhv</v>
      </c>
      <c r="D36" cm="1">
        <f t="array" ref="D36">GetPkId(B36)</f>
        <v>200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Scr</v>
      </c>
      <c r="D37" cm="1">
        <f t="array" ref="D37">GetPkId(B37)</f>
        <v>206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Cal</v>
      </c>
      <c r="D38" cm="1">
        <f t="array" ref="D38">GetPkId(B38)</f>
        <v>212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Snp</v>
      </c>
      <c r="D39" cm="1">
        <f t="array" ref="D39">GetPkId(B39)</f>
        <v>218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Sch</v>
      </c>
      <c r="D40" cm="1">
        <f t="array" ref="D40">GetPkId(B40)</f>
        <v>223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Ses</v>
      </c>
      <c r="D41" cm="1">
        <f t="array" ref="D41">GetPkId(B41)</f>
        <v>235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Trs</v>
      </c>
      <c r="D42" cm="1">
        <f t="array" ref="D42">GetPkId(B42)</f>
        <v>241</v>
      </c>
      <c r="E42" t="str" cm="1">
        <f t="array" ref="E42">GetValue("Col","Name",D42)</f>
        <v>Id</v>
      </c>
      <c r="F42" cm="1">
        <f t="array" ref="F42">GetLastId(C42)</f>
        <v>1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Ope</v>
      </c>
      <c r="D43" cm="1">
        <f t="array" ref="D43">GetPkId(B43)</f>
        <v>244</v>
      </c>
      <c r="E43" t="str" cm="1">
        <f t="array" ref="E43">GetValue("Col","Name",D43)</f>
        <v>Id</v>
      </c>
      <c r="F43" cm="1">
        <f t="array" ref="F43">GetLastId(C43)</f>
        <v>1</v>
      </c>
    </row>
    <row r="44" spans="1:6">
      <c r="A44" s="10">
        <f t="shared" si="0"/>
        <v>40</v>
      </c>
      <c r="B44">
        <v>40</v>
      </c>
      <c r="C44" t="str" cm="1">
        <f t="array" ref="C44">GetValue("Tbl","Alias",B44)</f>
        <v>Ide</v>
      </c>
      <c r="D44" cm="1">
        <f t="array" ref="D44">GetPkId(B44)</f>
        <v>251</v>
      </c>
      <c r="E44" t="str" cm="1">
        <f t="array" ref="E44">GetValue("Col","Name",D44)</f>
        <v>Id</v>
      </c>
      <c r="F44" cm="1">
        <f t="array" ref="F44">GetLastId(C44)</f>
        <v>41</v>
      </c>
    </row>
    <row r="45" spans="1:6">
      <c r="A45" s="10">
        <f t="shared" si="0"/>
        <v>41</v>
      </c>
      <c r="B45">
        <v>41</v>
      </c>
      <c r="C45" t="str" cm="1">
        <f t="array" ref="C45">GetValue("Tbl","Alias",B45)</f>
        <v>Val</v>
      </c>
      <c r="D45" cm="1">
        <f t="array" ref="D45">GetPkId(B45)</f>
        <v>255</v>
      </c>
      <c r="E45" t="str" cm="1">
        <f t="array" ref="E45">GetValue("Col","Name",D45)</f>
        <v>Id</v>
      </c>
      <c r="F45" cm="1">
        <f t="array" ref="F45">GetLastId(C45)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528</v>
      </c>
      <c r="B1" s="1" t="s">
        <v>96</v>
      </c>
      <c r="C1" s="1" t="s">
        <v>113</v>
      </c>
      <c r="D1" s="1" t="s">
        <v>644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641</v>
      </c>
      <c r="B4" s="1" t="s">
        <v>784</v>
      </c>
      <c r="C4" s="1"/>
      <c r="D4" s="1" t="s">
        <v>837</v>
      </c>
      <c r="E4" s="1" t="s">
        <v>792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645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41</vt:i4>
      </vt:variant>
    </vt:vector>
  </HeadingPairs>
  <TitlesOfParts>
    <vt:vector size="41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Rst</vt:lpstr>
      <vt:lpstr>Exp</vt:lpstr>
      <vt:lpstr>Cnd</vt:lpstr>
      <vt:lpstr>Ref</vt:lpstr>
      <vt:lpstr>Rfk</vt:lpstr>
      <vt:lpstr>Rfb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2026-07-11T04:16:10Z</dcterms:modified>
</cp:coreProperties>
</file>