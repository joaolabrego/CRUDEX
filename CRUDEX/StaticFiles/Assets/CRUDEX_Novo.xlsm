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C278FDD0-F151-43B9-8B6A-706E8A65AA60}" xr6:coauthVersionLast="47" xr6:coauthVersionMax="47" xr10:uidLastSave="{00000000-0000-0000-0000-000000000000}"/>
  <bookViews>
    <workbookView xWindow="-108" yWindow="-108" windowWidth="23256" windowHeight="13176" tabRatio="969" xr2:uid="{62178005-964C-499D-8BA4-3BC85200C027}"/>
  </bookViews>
  <sheets>
    <sheet name="Config" sheetId="64" r:id="rId1"/>
    <sheet name="Sgbd" sheetId="63" r:id="rId2"/>
    <sheet name="Typ" sheetId="1" r:id="rId3"/>
    <sheet name="Cli" sheetId="26" r:id="rId4"/>
    <sheet name="Dmn" sheetId="4" r:id="rId5"/>
    <sheet name="Msk" sheetId="3" r:id="rId6"/>
    <sheet name="DmnMsk" sheetId="36" r:id="rId7"/>
    <sheet name="Usr" sheetId="7" r:id="rId8"/>
    <sheet name="Env" sheetId="33" r:id="rId9"/>
    <sheet name="Sys" sheetId="5" r:id="rId10"/>
    <sheet name="SysGrpEnv" sheetId="8" r:id="rId11"/>
    <sheet name="Dtb" sheetId="9" r:id="rId12"/>
    <sheet name="Tbl" sheetId="11" r:id="rId13"/>
    <sheet name="Rnk" sheetId="48" r:id="rId14"/>
    <sheet name="DtbTbl" sheetId="17" r:id="rId15"/>
    <sheet name="Col" sheetId="12" r:id="rId16"/>
    <sheet name="ChkDig" sheetId="61" r:id="rId17"/>
    <sheet name="ChkCnd" sheetId="62" r:id="rId18"/>
    <sheet name="Rel" sheetId="43" r:id="rId19"/>
    <sheet name="Unq" sheetId="22" r:id="rId20"/>
    <sheet name="Req" sheetId="35" r:id="rId21"/>
    <sheet name="Idx" sheetId="13" r:id="rId22"/>
    <sheet name="IdxKey" sheetId="14" r:id="rId23"/>
    <sheet name="IdxInc" sheetId="41" r:id="rId24"/>
    <sheet name="Con" sheetId="18" r:id="rId25"/>
    <sheet name="DtbEnv" sheetId="34" r:id="rId26"/>
    <sheet name="Ses" sheetId="15" r:id="rId27"/>
    <sheet name="Trs" sheetId="19" r:id="rId28"/>
    <sheet name="Ope" sheetId="20" r:id="rId29"/>
    <sheet name="Snp" sheetId="29" r:id="rId30"/>
    <sheet name="SnpScr" sheetId="38" r:id="rId31"/>
    <sheet name="Prd" sheetId="32" r:id="rId32"/>
    <sheet name="Sch" sheetId="30" r:id="rId33"/>
    <sheet name="SchScr" sheetId="39" r:id="rId34"/>
    <sheet name="Opr" sheetId="51" r:id="rId35"/>
    <sheet name="Prp" sheetId="54" r:id="rId36"/>
    <sheet name="Bhv" sheetId="52" r:id="rId37"/>
    <sheet name="BhvChk" sheetId="60" r:id="rId38"/>
  </sheets>
  <functionGroups builtInGroupCount="19"/>
  <definedNames>
    <definedName name="_xlnm._FilterDatabase" localSheetId="15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0" l="1"/>
  <c r="A2" i="60"/>
  <c r="A11" i="51"/>
  <c r="A10" i="51"/>
  <c r="A5" i="51"/>
  <c r="A9" i="51"/>
  <c r="A11" i="63"/>
  <c r="A10" i="63"/>
  <c r="A12" i="1"/>
  <c r="A11" i="1"/>
  <c r="A10" i="1"/>
  <c r="A9" i="1"/>
  <c r="A8" i="1"/>
  <c r="A7" i="1"/>
  <c r="A6" i="1"/>
  <c r="A5" i="1"/>
  <c r="A4" i="1"/>
  <c r="A3" i="1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F21" i="4" a="1"/>
  <c r="F11" i="4" a="1"/>
  <c r="F17" i="4" a="1"/>
  <c r="F16" i="4" a="1"/>
  <c r="F20" i="4" a="1"/>
  <c r="F3" i="4" a="1"/>
  <c r="F19" i="4" a="1"/>
  <c r="F10" i="4" a="1"/>
  <c r="F8" i="4" a="1"/>
  <c r="F7" i="4" a="1"/>
  <c r="F6" i="4" a="1"/>
  <c r="F23" i="4" a="1"/>
  <c r="F13" i="4" a="1"/>
  <c r="F18" i="4" a="1"/>
  <c r="F9" i="4" a="1"/>
  <c r="F12" i="4" a="1"/>
  <c r="F22" i="4" a="1"/>
  <c r="F5" i="4" a="1"/>
  <c r="F14" i="4" a="1"/>
  <c r="F4" i="4" a="1"/>
  <c r="F15" i="4" a="1"/>
  <c r="F2" i="4" a="1"/>
  <c r="C4" i="34" a="1"/>
  <c r="E2" i="48" a="1"/>
  <c r="C3" i="17" a="1"/>
  <c r="E3" i="17" a="1"/>
  <c r="E26" i="17" a="1"/>
  <c r="E35" i="17" a="1"/>
  <c r="D21" i="4" a="1"/>
  <c r="D6" i="4" a="1"/>
  <c r="D3" i="4" a="1"/>
  <c r="E37" i="17" a="1"/>
  <c r="E30" i="17" a="1"/>
  <c r="C3" i="34" a="1"/>
  <c r="E5" i="17" a="1"/>
  <c r="E15" i="17" a="1"/>
  <c r="E28" i="17" a="1"/>
  <c r="E36" i="17" a="1"/>
  <c r="E5" i="48" a="1"/>
  <c r="K38" i="17" a="1"/>
  <c r="C5" i="48" a="1"/>
  <c r="E33" i="17" a="1"/>
  <c r="D18" i="4" a="1"/>
  <c r="C20" i="17" a="1"/>
  <c r="D17" i="4" a="1"/>
  <c r="E8" i="17" a="1"/>
  <c r="C7" i="17" a="1"/>
  <c r="D5" i="4" a="1"/>
  <c r="C9" i="17" a="1"/>
  <c r="C3" i="1" a="1"/>
  <c r="E32" i="17" a="1"/>
  <c r="E4" i="8" a="1"/>
  <c r="C8" i="17" a="1"/>
  <c r="E19" i="12" a="1"/>
  <c r="C2" i="1" a="1"/>
  <c r="C21" i="17" a="1"/>
  <c r="C6" i="1" a="1"/>
  <c r="G38" i="17" a="1"/>
  <c r="E31" i="17" a="1"/>
  <c r="C5" i="1" a="1"/>
  <c r="G2" i="8" a="1"/>
  <c r="C19" i="17" a="1"/>
  <c r="E7" i="17" a="1"/>
  <c r="C4" i="48" a="1"/>
  <c r="C7" i="1" a="1"/>
  <c r="E9" i="17" a="1"/>
  <c r="D4" i="4" a="1"/>
  <c r="C9" i="1" a="1"/>
  <c r="C2" i="34" a="1"/>
  <c r="D10" i="4" a="1"/>
  <c r="C4" i="8" a="1"/>
  <c r="D2" i="4" a="1"/>
  <c r="C32" i="17" a="1"/>
  <c r="E12" i="17" a="1"/>
  <c r="E20" i="17" a="1"/>
  <c r="C13" i="17" a="1"/>
  <c r="E18" i="17" a="1"/>
  <c r="C30" i="17" a="1"/>
  <c r="C2" i="17" a="1"/>
  <c r="C16" i="17" a="1"/>
  <c r="C15" i="17" a="1"/>
  <c r="E6" i="17" a="1"/>
  <c r="E14" i="17" a="1"/>
  <c r="E23" i="17" a="1"/>
  <c r="C22" i="17" a="1"/>
  <c r="E6" i="48" a="1"/>
  <c r="E17" i="17" a="1"/>
  <c r="D16" i="4" a="1"/>
  <c r="D7" i="4" a="1"/>
  <c r="C10" i="17" a="1"/>
  <c r="C6" i="48" a="1"/>
  <c r="C27" i="17" a="1"/>
  <c r="D22" i="4" a="1"/>
  <c r="D14" i="4" a="1"/>
  <c r="D20" i="4" a="1"/>
  <c r="C12" i="17" a="1"/>
  <c r="E21" i="17" a="1"/>
  <c r="C31" i="17" a="1"/>
  <c r="C33" i="17" a="1"/>
  <c r="E11" i="17" a="1"/>
  <c r="C6" i="17" a="1"/>
  <c r="D13" i="4" a="1"/>
  <c r="E3" i="48" a="1"/>
  <c r="C29" i="17" a="1"/>
  <c r="E13" i="17" a="1"/>
  <c r="C8" i="1" a="1"/>
  <c r="D19" i="4" a="1"/>
  <c r="C14" i="17" a="1"/>
  <c r="G3" i="8" a="1"/>
  <c r="E16" i="17" a="1"/>
  <c r="E27" i="17" a="1"/>
  <c r="D11" i="4" a="1"/>
  <c r="C2" i="48" a="1"/>
  <c r="C19" i="12" a="1"/>
  <c r="C5" i="17" a="1"/>
  <c r="C10" i="1" a="1"/>
  <c r="C28" i="17" a="1"/>
  <c r="C34" i="17" a="1"/>
  <c r="C23" i="17" a="1"/>
  <c r="C38" i="17" a="1"/>
  <c r="C26" i="17" a="1"/>
  <c r="E25" i="17" a="1"/>
  <c r="C11" i="1" a="1"/>
  <c r="E19" i="17" a="1"/>
  <c r="C3" i="48" a="1"/>
  <c r="E24" i="17" a="1"/>
  <c r="C18" i="17" a="1"/>
  <c r="E22" i="17" a="1"/>
  <c r="D23" i="4" a="1"/>
  <c r="C37" i="17" a="1"/>
  <c r="C36" i="17" a="1"/>
  <c r="C25" i="17" a="1"/>
  <c r="D12" i="4" a="1"/>
  <c r="E4" i="17" a="1"/>
  <c r="C35" i="17" a="1"/>
  <c r="C4" i="1" a="1"/>
  <c r="C12" i="1" a="1"/>
  <c r="E29" i="17" a="1"/>
  <c r="E34" i="17" a="1"/>
  <c r="D15" i="4" a="1"/>
  <c r="G4" i="8" a="1"/>
  <c r="E10" i="17" a="1"/>
  <c r="C24" i="17" a="1"/>
  <c r="E38" i="17" a="1"/>
  <c r="D8" i="4" a="1"/>
  <c r="C4" i="17" a="1"/>
  <c r="E4" i="48" a="1"/>
  <c r="C17" i="17" a="1"/>
  <c r="D9" i="4" a="1"/>
  <c r="C11" i="17" a="1"/>
  <c r="C3" i="1" l="1"/>
  <c r="C10" i="1"/>
  <c r="C4" i="1"/>
  <c r="C5" i="1"/>
  <c r="C6" i="1"/>
  <c r="C7" i="1"/>
  <c r="C8" i="1"/>
  <c r="C9" i="1"/>
  <c r="C11" i="1"/>
  <c r="C12" i="1"/>
  <c r="C2" i="1"/>
  <c r="D19" i="4"/>
  <c r="D11" i="4"/>
  <c r="D21" i="4"/>
  <c r="D3" i="4"/>
  <c r="D13" i="4"/>
  <c r="D23" i="4"/>
  <c r="D4" i="4"/>
  <c r="D14" i="4"/>
  <c r="D5" i="4"/>
  <c r="D15" i="4"/>
  <c r="D6" i="4"/>
  <c r="D16" i="4"/>
  <c r="D7" i="4"/>
  <c r="D17" i="4"/>
  <c r="D8" i="4"/>
  <c r="D18" i="4"/>
  <c r="D9" i="4"/>
  <c r="D10" i="4"/>
  <c r="D20" i="4"/>
  <c r="D12" i="4"/>
  <c r="D22" i="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" i="4"/>
  <c r="A17" i="12" l="1"/>
  <c r="A214" i="12"/>
  <c r="F213" i="12"/>
  <c r="F214" i="12" s="1"/>
  <c r="F215" i="12" s="1"/>
  <c r="F216" i="12" s="1"/>
  <c r="F217" i="12" s="1"/>
  <c r="A217" i="12"/>
  <c r="E36" i="13" a="1"/>
  <c r="E3" i="13" a="1"/>
  <c r="E44" i="13" a="1"/>
  <c r="E18" i="13" a="1"/>
  <c r="E30" i="13" a="1"/>
  <c r="E35" i="13" a="1"/>
  <c r="E46" i="13" a="1"/>
  <c r="E214" i="12" a="1"/>
  <c r="E24" i="13" a="1"/>
  <c r="E38" i="13" a="1"/>
  <c r="E7" i="13" a="1"/>
  <c r="E17" i="12" a="1"/>
  <c r="E28" i="13" a="1"/>
  <c r="E40" i="13" a="1"/>
  <c r="E15" i="13" a="1"/>
  <c r="C17" i="12" a="1"/>
  <c r="E4" i="13" a="1"/>
  <c r="E5" i="13" a="1"/>
  <c r="C217" i="12" a="1"/>
  <c r="E39" i="13" a="1"/>
  <c r="E34" i="13" a="1"/>
  <c r="E217" i="12" a="1"/>
  <c r="E25" i="13" a="1"/>
  <c r="E45" i="13" a="1"/>
  <c r="C214" i="12" a="1"/>
  <c r="E22" i="13" a="1"/>
  <c r="E37" i="13" a="1"/>
  <c r="E32" i="13" a="1"/>
  <c r="E17" i="13" a="1"/>
  <c r="E41" i="13" a="1"/>
  <c r="E29" i="13" a="1"/>
  <c r="E8" i="13" a="1"/>
  <c r="E43" i="13" a="1"/>
  <c r="E48" i="13" a="1"/>
  <c r="E10" i="13" a="1"/>
  <c r="E14" i="13" a="1"/>
  <c r="E47" i="13" a="1"/>
  <c r="E6" i="13" a="1"/>
  <c r="E26" i="13" a="1"/>
  <c r="E13" i="13" a="1"/>
  <c r="E20" i="13" a="1"/>
  <c r="E12" i="13" a="1"/>
  <c r="E42" i="13" a="1"/>
  <c r="E33" i="13" a="1"/>
  <c r="E9" i="13" a="1"/>
  <c r="E16" i="13" a="1"/>
  <c r="E27" i="13" a="1"/>
  <c r="E31" i="13" a="1"/>
  <c r="E11" i="13" a="1"/>
  <c r="E23" i="13" a="1"/>
  <c r="E21" i="13" a="1"/>
  <c r="E2" i="13" a="1"/>
  <c r="E19" i="13" a="1"/>
  <c r="D3" i="60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26" i="51"/>
  <c r="A25" i="51"/>
  <c r="A3" i="51"/>
  <c r="A6" i="51"/>
  <c r="A7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C202" i="12" a="1"/>
  <c r="G21" i="17" a="1"/>
  <c r="C33" i="12" a="1"/>
  <c r="E24" i="43" a="1"/>
  <c r="E9" i="43" a="1"/>
  <c r="E7" i="43" a="1"/>
  <c r="C101" i="12" a="1"/>
  <c r="C44" i="43" a="1"/>
  <c r="G22" i="17" a="1"/>
  <c r="G34" i="17" a="1"/>
  <c r="C109" i="12" a="1"/>
  <c r="C40" i="12" a="1"/>
  <c r="C62" i="14" a="1"/>
  <c r="E47" i="14" a="1"/>
  <c r="E24" i="14" a="1"/>
  <c r="C2" i="52" a="1"/>
  <c r="E33" i="14" a="1"/>
  <c r="C86" i="12" a="1"/>
  <c r="C74" i="12" a="1"/>
  <c r="C13" i="12" a="1"/>
  <c r="E26" i="14" a="1"/>
  <c r="C64" i="12" a="1"/>
  <c r="K31" i="17" a="1"/>
  <c r="E40" i="43" a="1"/>
  <c r="F44" i="13" a="1"/>
  <c r="C65" i="14" a="1"/>
  <c r="E27" i="43" a="1"/>
  <c r="C46" i="12" a="1"/>
  <c r="C42" i="14" a="1"/>
  <c r="E2" i="14" a="1"/>
  <c r="E202" i="12" a="1"/>
  <c r="C6" i="14" a="1"/>
  <c r="C55" i="14" a="1"/>
  <c r="E66" i="12" a="1"/>
  <c r="E53" i="43" a="1"/>
  <c r="E19" i="43" a="1"/>
  <c r="E8" i="43" a="1"/>
  <c r="C37" i="14" a="1"/>
  <c r="G37" i="17" a="1"/>
  <c r="C19" i="14" a="1"/>
  <c r="E204" i="12" a="1"/>
  <c r="C37" i="43" a="1"/>
  <c r="E21" i="14" a="1"/>
  <c r="C173" i="12" a="1"/>
  <c r="C32" i="14" a="1"/>
  <c r="E3" i="52" a="1"/>
  <c r="E65" i="14" a="1"/>
  <c r="C158" i="12" a="1"/>
  <c r="G2" i="17" a="1"/>
  <c r="C111" i="12" a="1"/>
  <c r="E29" i="43" a="1"/>
  <c r="G18" i="17" a="1"/>
  <c r="C15" i="13" a="1"/>
  <c r="C185" i="12" a="1"/>
  <c r="C77" i="12" a="1"/>
  <c r="C140" i="12" a="1"/>
  <c r="C41" i="43" a="1"/>
  <c r="C82" i="12" a="1"/>
  <c r="C203" i="12" a="1"/>
  <c r="C34" i="12" a="1"/>
  <c r="C165" i="12" a="1"/>
  <c r="E9" i="14" a="1"/>
  <c r="C38" i="43" a="1"/>
  <c r="C49" i="12" a="1"/>
  <c r="E50" i="43" a="1"/>
  <c r="C70" i="14" a="1"/>
  <c r="C97" i="12" a="1"/>
  <c r="C60" i="12" a="1"/>
  <c r="E37" i="43" a="1"/>
  <c r="C30" i="12" a="1"/>
  <c r="C131" i="12" a="1"/>
  <c r="G25" i="17" a="1"/>
  <c r="C205" i="12" a="1"/>
  <c r="C7" i="14" a="1"/>
  <c r="C51" i="12" a="1"/>
  <c r="C45" i="12" a="1"/>
  <c r="C13" i="14" a="1"/>
  <c r="E64" i="14" a="1"/>
  <c r="C59" i="14" a="1"/>
  <c r="E32" i="14" a="1"/>
  <c r="E50" i="14" a="1"/>
  <c r="C11" i="14" a="1"/>
  <c r="C141" i="12" a="1"/>
  <c r="C55" i="12" a="1"/>
  <c r="E58" i="12" a="1"/>
  <c r="C107" i="12" a="1"/>
  <c r="C3" i="12" a="1"/>
  <c r="C50" i="12" a="1"/>
  <c r="C84" i="12" a="1"/>
  <c r="E16" i="14" a="1"/>
  <c r="F15" i="13" a="1"/>
  <c r="C32" i="12" a="1"/>
  <c r="C22" i="12" a="1"/>
  <c r="G17" i="17" a="1"/>
  <c r="C40" i="43" a="1"/>
  <c r="C53" i="12" a="1"/>
  <c r="E70" i="14" a="1"/>
  <c r="C115" i="12" a="1"/>
  <c r="C22" i="13" a="1"/>
  <c r="C125" i="12" a="1"/>
  <c r="C100" i="12" a="1"/>
  <c r="C63" i="14" a="1"/>
  <c r="E63" i="14" a="1"/>
  <c r="C21" i="12" a="1"/>
  <c r="C150" i="12" a="1"/>
  <c r="C136" i="12" a="1"/>
  <c r="E60" i="14" a="1"/>
  <c r="E35" i="14" a="1"/>
  <c r="C171" i="12" a="1"/>
  <c r="E52" i="14" a="1"/>
  <c r="C85" i="12" a="1"/>
  <c r="E31" i="43" a="1"/>
  <c r="E20" i="14" a="1"/>
  <c r="C70" i="12" a="1"/>
  <c r="C95" i="12" a="1"/>
  <c r="C145" i="12" a="1"/>
  <c r="C114" i="12" a="1"/>
  <c r="C20" i="14" a="1"/>
  <c r="C11" i="12" a="1"/>
  <c r="C117" i="12" a="1"/>
  <c r="C161" i="12" a="1"/>
  <c r="C67" i="14" a="1"/>
  <c r="C29" i="14" a="1"/>
  <c r="E14" i="43" a="1"/>
  <c r="E19" i="14" a="1"/>
  <c r="G11" i="17" a="1"/>
  <c r="G23" i="17" a="1"/>
  <c r="E16" i="43" a="1"/>
  <c r="E17" i="43" a="1"/>
  <c r="E62" i="14" a="1"/>
  <c r="C80" i="12" a="1"/>
  <c r="C48" i="12" a="1"/>
  <c r="E86" i="12" a="1"/>
  <c r="C176" i="12" a="1"/>
  <c r="E49" i="14" a="1"/>
  <c r="C135" i="12" a="1"/>
  <c r="E48" i="14" a="1"/>
  <c r="E23" i="14" a="1"/>
  <c r="C118" i="12" a="1"/>
  <c r="C54" i="14" a="1"/>
  <c r="G16" i="17" a="1"/>
  <c r="C91" i="12" a="1"/>
  <c r="F22" i="13" a="1"/>
  <c r="E211" i="12" a="1"/>
  <c r="C215" i="12" a="1"/>
  <c r="E76" i="12" a="1"/>
  <c r="E38" i="14" a="1"/>
  <c r="C16" i="14" a="1"/>
  <c r="E53" i="14" a="1"/>
  <c r="G31" i="17" a="1"/>
  <c r="C35" i="14" a="1"/>
  <c r="E21" i="43" a="1"/>
  <c r="E69" i="14" a="1"/>
  <c r="C183" i="12" a="1"/>
  <c r="E15" i="14" a="1"/>
  <c r="E47" i="43" a="1"/>
  <c r="C45" i="14" a="1"/>
  <c r="E48" i="43" a="1"/>
  <c r="C21" i="13" a="1"/>
  <c r="C160" i="12" a="1"/>
  <c r="C102" i="12" a="1"/>
  <c r="C121" i="12" a="1"/>
  <c r="C213" i="12" a="1"/>
  <c r="C58" i="12" a="1"/>
  <c r="E30" i="14" a="1"/>
  <c r="C24" i="12" a="1"/>
  <c r="C54" i="12" a="1"/>
  <c r="C144" i="12" a="1"/>
  <c r="C7" i="12" a="1"/>
  <c r="C192" i="12" a="1"/>
  <c r="C120" i="12" a="1"/>
  <c r="C175" i="12" a="1"/>
  <c r="C34" i="14" a="1"/>
  <c r="C190" i="12" a="1"/>
  <c r="C106" i="12" a="1"/>
  <c r="C156" i="12" a="1"/>
  <c r="C92" i="12" a="1"/>
  <c r="E208" i="12" a="1"/>
  <c r="C69" i="14" a="1"/>
  <c r="E25" i="43" a="1"/>
  <c r="G28" i="17" a="1"/>
  <c r="C179" i="12" a="1"/>
  <c r="E12" i="14" a="1"/>
  <c r="C191" i="12" a="1"/>
  <c r="C90" i="12" a="1"/>
  <c r="E36" i="14" a="1"/>
  <c r="C26" i="14" a="1"/>
  <c r="E192" i="12" a="1"/>
  <c r="C78" i="12" a="1"/>
  <c r="C8" i="12" a="1"/>
  <c r="C15" i="14" a="1"/>
  <c r="C55" i="43" a="1"/>
  <c r="E199" i="12" a="1"/>
  <c r="C210" i="12" a="1"/>
  <c r="C39" i="43" a="1"/>
  <c r="C25" i="14" a="1"/>
  <c r="C127" i="12" a="1"/>
  <c r="C62" i="12" a="1"/>
  <c r="C27" i="14" a="1"/>
  <c r="C96" i="12" a="1"/>
  <c r="C148" i="12" a="1"/>
  <c r="C132" i="12" a="1"/>
  <c r="C186" i="12" a="1"/>
  <c r="C43" i="14" a="1"/>
  <c r="C10" i="14" a="1"/>
  <c r="C36" i="14" a="1"/>
  <c r="C46" i="14" a="1"/>
  <c r="E54" i="43" a="1"/>
  <c r="C12" i="14" a="1"/>
  <c r="C89" i="12" a="1"/>
  <c r="C189" i="12" a="1"/>
  <c r="G15" i="17" a="1"/>
  <c r="C200" i="12" a="1"/>
  <c r="C24" i="14" a="1"/>
  <c r="E13" i="14" a="1"/>
  <c r="E2" i="52" a="1"/>
  <c r="E216" i="12" a="1"/>
  <c r="E46" i="43" a="1"/>
  <c r="C123" i="12" a="1"/>
  <c r="E44" i="14" a="1"/>
  <c r="C99" i="12" a="1"/>
  <c r="C66" i="14" a="1"/>
  <c r="C181" i="12" a="1"/>
  <c r="E23" i="43" a="1"/>
  <c r="C54" i="43" a="1"/>
  <c r="C142" i="12" a="1"/>
  <c r="E10" i="14" a="1"/>
  <c r="C43" i="43" a="1"/>
  <c r="E10" i="43" a="1"/>
  <c r="C116" i="12" a="1"/>
  <c r="C206" i="12" a="1"/>
  <c r="C37" i="12" a="1"/>
  <c r="E3" i="43" a="1"/>
  <c r="E200" i="12" a="1"/>
  <c r="C51" i="43" a="1"/>
  <c r="C207" i="12" a="1"/>
  <c r="E26" i="43" a="1"/>
  <c r="E8" i="14" a="1"/>
  <c r="G24" i="17" a="1"/>
  <c r="E15" i="43" a="1"/>
  <c r="E54" i="14" a="1"/>
  <c r="E6" i="14" a="1"/>
  <c r="C130" i="12" a="1"/>
  <c r="C9" i="14" a="1"/>
  <c r="G26" i="17" a="1"/>
  <c r="C128" i="12" a="1"/>
  <c r="C197" i="12" a="1"/>
  <c r="E77" i="12" a="1"/>
  <c r="E215" i="12" a="1"/>
  <c r="C44" i="13" a="1"/>
  <c r="C155" i="12" a="1"/>
  <c r="C143" i="12" a="1"/>
  <c r="C61" i="12" a="1"/>
  <c r="E162" i="12" a="1"/>
  <c r="C199" i="12" a="1"/>
  <c r="E44" i="43" a="1"/>
  <c r="C28" i="12" a="1"/>
  <c r="C30" i="14" a="1"/>
  <c r="C211" i="12" a="1"/>
  <c r="C43" i="12" a="1"/>
  <c r="C126" i="12" a="1"/>
  <c r="C49" i="14" a="1"/>
  <c r="C216" i="12" a="1"/>
  <c r="C169" i="12" a="1"/>
  <c r="C42" i="43" a="1"/>
  <c r="C159" i="12" a="1"/>
  <c r="C47" i="43" a="1"/>
  <c r="C64" i="14" a="1"/>
  <c r="C104" i="12" a="1"/>
  <c r="C75" i="12" a="1"/>
  <c r="C56" i="14" a="1"/>
  <c r="K33" i="17" a="1"/>
  <c r="F48" i="13" a="1"/>
  <c r="E42" i="14" a="1"/>
  <c r="E207" i="12" a="1"/>
  <c r="G33" i="17" a="1"/>
  <c r="E212" i="12" a="1"/>
  <c r="E78" i="12" a="1"/>
  <c r="C48" i="14" a="1"/>
  <c r="C72" i="12" a="1"/>
  <c r="C177" i="12" a="1"/>
  <c r="E18" i="43" a="1"/>
  <c r="C4" i="12" a="1"/>
  <c r="E39" i="14" a="1"/>
  <c r="E28" i="43" a="1"/>
  <c r="C184" i="12" a="1"/>
  <c r="E18" i="14" a="1"/>
  <c r="C31" i="14" a="1"/>
  <c r="G27" i="17" a="1"/>
  <c r="G6" i="17" a="1"/>
  <c r="C26" i="12" a="1"/>
  <c r="C45" i="43" a="1"/>
  <c r="E2" i="43" a="1"/>
  <c r="E59" i="14" a="1"/>
  <c r="C138" i="12" a="1"/>
  <c r="E45" i="14" a="1"/>
  <c r="C31" i="12" a="1"/>
  <c r="C198" i="12" a="1"/>
  <c r="C71" i="12" a="1"/>
  <c r="C51" i="14" a="1"/>
  <c r="C88" i="12" a="1"/>
  <c r="E170" i="12" a="1"/>
  <c r="E39" i="43" a="1"/>
  <c r="C204" i="12" a="1"/>
  <c r="C18" i="12" a="1"/>
  <c r="C15" i="12" a="1"/>
  <c r="C178" i="12" a="1"/>
  <c r="C52" i="12" a="1"/>
  <c r="G19" i="17" a="1"/>
  <c r="C36" i="43" a="1"/>
  <c r="K35" i="17" a="1"/>
  <c r="E11" i="14" a="1"/>
  <c r="C68" i="14" a="1"/>
  <c r="E12" i="43" a="1"/>
  <c r="G32" i="17" a="1"/>
  <c r="C212" i="12" a="1"/>
  <c r="C87" i="12" a="1"/>
  <c r="C4" i="14" a="1"/>
  <c r="C209" i="12" a="1"/>
  <c r="E14" i="14" a="1"/>
  <c r="C48" i="13" a="1"/>
  <c r="G3" i="17" a="1"/>
  <c r="C162" i="12" a="1"/>
  <c r="C195" i="12" a="1"/>
  <c r="C41" i="14" a="1"/>
  <c r="C134" i="12" a="1"/>
  <c r="C6" i="12" a="1"/>
  <c r="C18" i="14" a="1"/>
  <c r="E13" i="43" a="1"/>
  <c r="C22" i="14" a="1"/>
  <c r="C113" i="12" a="1"/>
  <c r="E3" i="14" a="1"/>
  <c r="G30" i="17" a="1"/>
  <c r="C21" i="14" a="1"/>
  <c r="C194" i="12" a="1"/>
  <c r="E209" i="12" a="1"/>
  <c r="G12" i="17" a="1"/>
  <c r="C50" i="43" a="1"/>
  <c r="E43" i="43" a="1"/>
  <c r="C170" i="12" a="1"/>
  <c r="E57" i="14" a="1"/>
  <c r="C66" i="12" a="1"/>
  <c r="G14" i="17" a="1"/>
  <c r="C68" i="12" a="1"/>
  <c r="C24" i="13" a="1"/>
  <c r="E43" i="14" a="1"/>
  <c r="C35" i="12" a="1"/>
  <c r="C8" i="14" a="1"/>
  <c r="C79" i="12" a="1"/>
  <c r="C151" i="12" a="1"/>
  <c r="G20" i="17" a="1"/>
  <c r="E22" i="14" a="1"/>
  <c r="G36" i="17" a="1"/>
  <c r="C146" i="12" a="1"/>
  <c r="C98" i="12" a="1"/>
  <c r="E34" i="14" a="1"/>
  <c r="C9" i="12" a="1"/>
  <c r="C57" i="12" a="1"/>
  <c r="E89" i="12" a="1"/>
  <c r="E27" i="14" a="1"/>
  <c r="G35" i="17" a="1"/>
  <c r="C73" i="12" a="1"/>
  <c r="C52" i="14" a="1"/>
  <c r="C124" i="12" a="1"/>
  <c r="C17" i="14" a="1"/>
  <c r="C36" i="12" a="1"/>
  <c r="E52" i="43" a="1"/>
  <c r="C147" i="12" a="1"/>
  <c r="E55" i="43" a="1"/>
  <c r="E36" i="43" a="1"/>
  <c r="C149" i="12" a="1"/>
  <c r="E20" i="43" a="1"/>
  <c r="C119" i="12" a="1"/>
  <c r="C93" i="12" a="1"/>
  <c r="C14" i="12" a="1"/>
  <c r="E30" i="43" a="1"/>
  <c r="C29" i="12" a="1"/>
  <c r="C59" i="12" a="1"/>
  <c r="C20" i="12" a="1"/>
  <c r="C61" i="14" a="1"/>
  <c r="C14" i="14" a="1"/>
  <c r="C48" i="43" a="1"/>
  <c r="C33" i="14" a="1"/>
  <c r="C154" i="12" a="1"/>
  <c r="C58" i="14" a="1"/>
  <c r="C188" i="12" a="1"/>
  <c r="C56" i="12" a="1"/>
  <c r="C110" i="12" a="1"/>
  <c r="C193" i="12" a="1"/>
  <c r="E5" i="14" a="1"/>
  <c r="C94" i="12" a="1"/>
  <c r="C38" i="14" a="1"/>
  <c r="E56" i="14" a="1"/>
  <c r="E11" i="43" a="1"/>
  <c r="E4" i="14" a="1"/>
  <c r="C28" i="14" a="1"/>
  <c r="C46" i="43" a="1"/>
  <c r="E33" i="43" a="1"/>
  <c r="K34" i="17" a="1"/>
  <c r="C129" i="12" a="1"/>
  <c r="E66" i="14" a="1"/>
  <c r="C167" i="12" a="1"/>
  <c r="E7" i="14" a="1"/>
  <c r="G13" i="17" a="1"/>
  <c r="G7" i="17" a="1"/>
  <c r="C163" i="12" a="1"/>
  <c r="C39" i="14" a="1"/>
  <c r="E68" i="14" a="1"/>
  <c r="E41" i="14" a="1"/>
  <c r="E45" i="43" a="1"/>
  <c r="E38" i="43" a="1"/>
  <c r="E28" i="14" a="1"/>
  <c r="C172" i="12" a="1"/>
  <c r="K36" i="17" a="1"/>
  <c r="C153" i="12" a="1"/>
  <c r="C47" i="14" a="1"/>
  <c r="E51" i="14" a="1"/>
  <c r="C187" i="12" a="1"/>
  <c r="C81" i="12" a="1"/>
  <c r="C47" i="12" a="1"/>
  <c r="E4" i="43" a="1"/>
  <c r="E203" i="12" a="1"/>
  <c r="C12" i="12" a="1"/>
  <c r="G8" i="17" a="1"/>
  <c r="C83" i="12" a="1"/>
  <c r="C41" i="12" a="1"/>
  <c r="E58" i="14" a="1"/>
  <c r="C49" i="43" a="1"/>
  <c r="E40" i="14" a="1"/>
  <c r="C60" i="14" a="1"/>
  <c r="C180" i="12" a="1"/>
  <c r="C139" i="12" a="1"/>
  <c r="E51" i="43" a="1"/>
  <c r="C208" i="12" a="1"/>
  <c r="C50" i="14" a="1"/>
  <c r="C27" i="12" a="1"/>
  <c r="C44" i="14" a="1"/>
  <c r="E55" i="14" a="1"/>
  <c r="G9" i="17" a="1"/>
  <c r="C3" i="14" a="1"/>
  <c r="C168" i="12" a="1"/>
  <c r="C196" i="12" a="1"/>
  <c r="E17" i="14" a="1"/>
  <c r="F24" i="13" a="1"/>
  <c r="C63" i="12" a="1"/>
  <c r="G10" i="17" a="1"/>
  <c r="C137" i="12" a="1"/>
  <c r="G4" i="17" a="1"/>
  <c r="E32" i="43" a="1"/>
  <c r="C57" i="14" a="1"/>
  <c r="C105" i="12" a="1"/>
  <c r="E213" i="12" a="1"/>
  <c r="G5" i="17" a="1"/>
  <c r="C166" i="12" a="1"/>
  <c r="E37" i="14" a="1"/>
  <c r="E61" i="14" a="1"/>
  <c r="K37" i="17" a="1"/>
  <c r="E29" i="14" a="1"/>
  <c r="E5" i="43" a="1"/>
  <c r="C23" i="12" a="1"/>
  <c r="C174" i="12" a="1"/>
  <c r="E41" i="43" a="1"/>
  <c r="E35" i="43" a="1"/>
  <c r="C76" i="12" a="1"/>
  <c r="E31" i="14" a="1"/>
  <c r="C152" i="12" a="1"/>
  <c r="C182" i="12" a="1"/>
  <c r="C2" i="9" a="1"/>
  <c r="C53" i="14" a="1"/>
  <c r="E210" i="12" a="1"/>
  <c r="C52" i="43" a="1"/>
  <c r="C133" i="12" a="1"/>
  <c r="C44" i="12" a="1"/>
  <c r="G29" i="17" a="1"/>
  <c r="E34" i="43" a="1"/>
  <c r="C103" i="12" a="1"/>
  <c r="C5" i="14" a="1"/>
  <c r="C42" i="12" a="1"/>
  <c r="C69" i="12" a="1"/>
  <c r="C10" i="12" a="1"/>
  <c r="C25" i="12" a="1"/>
  <c r="E42" i="43" a="1"/>
  <c r="E25" i="14" a="1"/>
  <c r="C164" i="12" a="1"/>
  <c r="C40" i="14" a="1"/>
  <c r="E205" i="12" a="1"/>
  <c r="C108" i="12" a="1"/>
  <c r="C39" i="12" a="1"/>
  <c r="E201" i="12" a="1"/>
  <c r="E6" i="43" a="1"/>
  <c r="F21" i="13" a="1"/>
  <c r="C122" i="12" a="1"/>
  <c r="C157" i="12" a="1"/>
  <c r="E49" i="43" a="1"/>
  <c r="C5" i="12" a="1"/>
  <c r="C23" i="14" a="1"/>
  <c r="C65" i="12" a="1"/>
  <c r="C38" i="12" a="1"/>
  <c r="C67" i="12" a="1"/>
  <c r="K32" i="17" a="1"/>
  <c r="C16" i="12" a="1"/>
  <c r="C3" i="52" a="1"/>
  <c r="E22" i="43" a="1"/>
  <c r="C201" i="12" a="1"/>
  <c r="E87" i="12" a="1"/>
  <c r="E206" i="12" a="1"/>
  <c r="C53" i="43" a="1"/>
  <c r="E67" i="14" a="1"/>
  <c r="C112" i="12" a="1"/>
  <c r="E46" i="14" a="1"/>
  <c r="D2" i="60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F28" i="13" a="1"/>
  <c r="F35" i="13" a="1"/>
  <c r="F32" i="13" a="1"/>
  <c r="F18" i="13" a="1"/>
  <c r="F37" i="13" a="1"/>
  <c r="F45" i="13" a="1"/>
  <c r="F30" i="13" a="1"/>
  <c r="F43" i="13" a="1"/>
  <c r="F41" i="13" a="1"/>
  <c r="C42" i="13" a="1"/>
  <c r="C33" i="13" a="1"/>
  <c r="F47" i="13" a="1"/>
  <c r="F31" i="13" a="1"/>
  <c r="F23" i="13" a="1"/>
  <c r="F34" i="13" a="1"/>
  <c r="C43" i="13" a="1"/>
  <c r="E88" i="12" a="1"/>
  <c r="C46" i="13" a="1"/>
  <c r="F29" i="13" a="1"/>
  <c r="F46" i="13" a="1"/>
  <c r="F14" i="13" a="1"/>
  <c r="C19" i="13" a="1"/>
  <c r="E2" i="12" a="1"/>
  <c r="F38" i="13" a="1"/>
  <c r="F39" i="13" a="1"/>
  <c r="E125" i="12" a="1"/>
  <c r="F40" i="13" a="1"/>
  <c r="C13" i="13" a="1"/>
  <c r="C17" i="13" a="1"/>
  <c r="F33" i="13" a="1"/>
  <c r="E48" i="12" a="1"/>
  <c r="E50" i="12" a="1"/>
  <c r="F16" i="13" a="1"/>
  <c r="E138" i="12" a="1"/>
  <c r="E47" i="12" a="1"/>
  <c r="F12" i="13" a="1"/>
  <c r="E49" i="12" a="1"/>
  <c r="F25" i="13" a="1"/>
  <c r="F19" i="13" a="1"/>
  <c r="C41" i="13" a="1"/>
  <c r="F17" i="13" a="1"/>
  <c r="F26" i="13" a="1"/>
  <c r="F27" i="13" a="1"/>
  <c r="F13" i="13" a="1"/>
  <c r="C27" i="13" a="1"/>
  <c r="F42" i="13" a="1"/>
  <c r="F36" i="13" a="1"/>
  <c r="C47" i="13" a="1"/>
  <c r="C45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93" i="12" a="1"/>
  <c r="E54" i="12" a="1"/>
  <c r="C25" i="13" a="1"/>
  <c r="E11" i="12" a="1"/>
  <c r="E51" i="12" a="1"/>
  <c r="E176" i="12" a="1"/>
  <c r="E62" i="12" a="1"/>
  <c r="E29" i="12" a="1"/>
  <c r="C12" i="13" a="1"/>
  <c r="E186" i="12" a="1"/>
  <c r="E185" i="12" a="1"/>
  <c r="E119" i="12" a="1"/>
  <c r="E195" i="12" a="1"/>
  <c r="E197" i="12" a="1"/>
  <c r="E105" i="12" a="1"/>
  <c r="E96" i="12" a="1"/>
  <c r="E131" i="12" a="1"/>
  <c r="E4" i="12" a="1"/>
  <c r="E140" i="12" a="1"/>
  <c r="E67" i="12" a="1"/>
  <c r="E83" i="12" a="1"/>
  <c r="C16" i="13" a="1"/>
  <c r="E137" i="12" a="1"/>
  <c r="E190" i="12" a="1"/>
  <c r="C7" i="13" a="1"/>
  <c r="E114" i="12" a="1"/>
  <c r="E180" i="12" a="1"/>
  <c r="E178" i="12" a="1"/>
  <c r="E161" i="12" a="1"/>
  <c r="E98" i="12" a="1"/>
  <c r="E163" i="12" a="1"/>
  <c r="E168" i="12" a="1"/>
  <c r="C39" i="13" a="1"/>
  <c r="E91" i="12" a="1"/>
  <c r="E64" i="12" a="1"/>
  <c r="E44" i="12" a="1"/>
  <c r="E166" i="12" a="1"/>
  <c r="E130" i="12" a="1"/>
  <c r="E33" i="12" a="1"/>
  <c r="E80" i="12" a="1"/>
  <c r="E182" i="12" a="1"/>
  <c r="C2" i="13" a="1"/>
  <c r="E143" i="12" a="1"/>
  <c r="E70" i="12" a="1"/>
  <c r="E156" i="12" a="1"/>
  <c r="E26" i="12" a="1"/>
  <c r="E23" i="12" a="1"/>
  <c r="C38" i="13" a="1"/>
  <c r="C36" i="13" a="1"/>
  <c r="C23" i="13" a="1"/>
  <c r="E61" i="12" a="1"/>
  <c r="E57" i="12" a="1"/>
  <c r="E116" i="12" a="1"/>
  <c r="E132" i="12" a="1"/>
  <c r="E37" i="12" a="1"/>
  <c r="E196" i="12" a="1"/>
  <c r="E188" i="12" a="1"/>
  <c r="E6" i="12" a="1"/>
  <c r="E85" i="12" a="1"/>
  <c r="E31" i="12" a="1"/>
  <c r="E175" i="12" a="1"/>
  <c r="E152" i="12" a="1"/>
  <c r="E60" i="12" a="1"/>
  <c r="E118" i="12" a="1"/>
  <c r="E103" i="12" a="1"/>
  <c r="E184" i="12" a="1"/>
  <c r="E172" i="12" a="1"/>
  <c r="E126" i="12" a="1"/>
  <c r="E167" i="12" a="1"/>
  <c r="C14" i="13" a="1"/>
  <c r="E84" i="12" a="1"/>
  <c r="E115" i="12" a="1"/>
  <c r="C5" i="13" a="1"/>
  <c r="E165" i="12" a="1"/>
  <c r="E97" i="12" a="1"/>
  <c r="E174" i="12" a="1"/>
  <c r="E38" i="12" a="1"/>
  <c r="E123" i="12" a="1"/>
  <c r="E79" i="12" a="1"/>
  <c r="E108" i="12" a="1"/>
  <c r="E56" i="12" a="1"/>
  <c r="E28" i="12" a="1"/>
  <c r="E30" i="12" a="1"/>
  <c r="E9" i="12" a="1"/>
  <c r="E104" i="12" a="1"/>
  <c r="C31" i="13" a="1"/>
  <c r="E25" i="12" a="1"/>
  <c r="E179" i="12" a="1"/>
  <c r="E21" i="12" a="1"/>
  <c r="E173" i="12" a="1"/>
  <c r="E92" i="12" a="1"/>
  <c r="E69" i="12" a="1"/>
  <c r="E73" i="12" a="1"/>
  <c r="E144" i="12" a="1"/>
  <c r="E52" i="12" a="1"/>
  <c r="C32" i="13" a="1"/>
  <c r="E43" i="12" a="1"/>
  <c r="C35" i="13" a="1"/>
  <c r="E160" i="12" a="1"/>
  <c r="E41" i="12" a="1"/>
  <c r="E124" i="12" a="1"/>
  <c r="C30" i="13" a="1"/>
  <c r="E42" i="12" a="1"/>
  <c r="C18" i="13" a="1"/>
  <c r="E150" i="12" a="1"/>
  <c r="E194" i="12" a="1"/>
  <c r="C3" i="13" a="1"/>
  <c r="E129" i="12" a="1"/>
  <c r="E36" i="12" a="1"/>
  <c r="E171" i="12" a="1"/>
  <c r="E94" i="12" a="1"/>
  <c r="E122" i="12" a="1"/>
  <c r="E14" i="12" a="1"/>
  <c r="E154" i="12" a="1"/>
  <c r="E12" i="12" a="1"/>
  <c r="C10" i="13" a="1"/>
  <c r="E189" i="12" a="1"/>
  <c r="E191" i="12" a="1"/>
  <c r="C4" i="13" a="1"/>
  <c r="E121" i="12" a="1"/>
  <c r="E7" i="12" a="1"/>
  <c r="C6" i="13" a="1"/>
  <c r="E198" i="12" a="1"/>
  <c r="E32" i="12" a="1"/>
  <c r="E107" i="12" a="1"/>
  <c r="E141" i="12" a="1"/>
  <c r="E100" i="12" a="1"/>
  <c r="E102" i="12" a="1"/>
  <c r="E55" i="12" a="1"/>
  <c r="C40" i="13" a="1"/>
  <c r="E193" i="12" a="1"/>
  <c r="E120" i="12" a="1"/>
  <c r="E35" i="12" a="1"/>
  <c r="C11" i="13" a="1"/>
  <c r="E153" i="12" a="1"/>
  <c r="E151" i="12" a="1"/>
  <c r="E106" i="12" a="1"/>
  <c r="E45" i="12" a="1"/>
  <c r="E187" i="12" a="1"/>
  <c r="E63" i="12" a="1"/>
  <c r="E159" i="12" a="1"/>
  <c r="E136" i="12" a="1"/>
  <c r="E34" i="12" a="1"/>
  <c r="E133" i="12" a="1"/>
  <c r="E74" i="12" a="1"/>
  <c r="E164" i="12" a="1"/>
  <c r="E169" i="12" a="1"/>
  <c r="C9" i="13" a="1"/>
  <c r="E181" i="12" a="1"/>
  <c r="E142" i="12" a="1"/>
  <c r="E13" i="12" a="1"/>
  <c r="E145" i="12" a="1"/>
  <c r="E146" i="12" a="1"/>
  <c r="E46" i="12" a="1"/>
  <c r="E5" i="12" a="1"/>
  <c r="E183" i="12" a="1"/>
  <c r="E72" i="12" a="1"/>
  <c r="E40" i="12" a="1"/>
  <c r="E39" i="12" a="1"/>
  <c r="E90" i="12" a="1"/>
  <c r="E95" i="12" a="1"/>
  <c r="E16" i="12" a="1"/>
  <c r="C8" i="13" a="1"/>
  <c r="E127" i="12" a="1"/>
  <c r="E158" i="12" a="1"/>
  <c r="E155" i="12" a="1"/>
  <c r="E177" i="12" a="1"/>
  <c r="C28" i="13" a="1"/>
  <c r="C34" i="13" a="1"/>
  <c r="E113" i="12" a="1"/>
  <c r="E22" i="12" a="1"/>
  <c r="E8" i="12" a="1"/>
  <c r="E81" i="12" a="1"/>
  <c r="E139" i="12" a="1"/>
  <c r="C29" i="13" a="1"/>
  <c r="E24" i="12" a="1"/>
  <c r="E101" i="12" a="1"/>
  <c r="E148" i="12" a="1"/>
  <c r="E68" i="12" a="1"/>
  <c r="E149" i="12" a="1"/>
  <c r="E10" i="12" a="1"/>
  <c r="E27" i="12" a="1"/>
  <c r="E112" i="12" a="1"/>
  <c r="E111" i="12" a="1"/>
  <c r="E110" i="12" a="1"/>
  <c r="E75" i="12" a="1"/>
  <c r="E59" i="12" a="1"/>
  <c r="E147" i="12" a="1"/>
  <c r="E135" i="12" a="1"/>
  <c r="E99" i="12" a="1"/>
  <c r="E65" i="12" a="1"/>
  <c r="E128" i="12" a="1"/>
  <c r="E134" i="12" a="1"/>
  <c r="E109" i="12" a="1"/>
  <c r="C37" i="13" a="1"/>
  <c r="E71" i="12" a="1"/>
  <c r="E53" i="12" a="1"/>
  <c r="E18" i="12" a="1"/>
  <c r="E117" i="12" a="1"/>
  <c r="E82" i="12" a="1"/>
  <c r="C26" i="13" a="1"/>
  <c r="E20" i="12" a="1"/>
  <c r="E15" i="12" a="1"/>
  <c r="E157" i="12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3" i="43" a="1"/>
  <c r="C19" i="43" a="1"/>
  <c r="C29" i="43" a="1"/>
  <c r="C22" i="43" a="1"/>
  <c r="C35" i="43" a="1"/>
  <c r="C23" i="43" a="1"/>
  <c r="C15" i="43" a="1"/>
  <c r="C12" i="43" a="1"/>
  <c r="F3" i="13" a="1"/>
  <c r="C5" i="43" a="1"/>
  <c r="C18" i="43" a="1"/>
  <c r="C7" i="43" a="1"/>
  <c r="C26" i="43" a="1"/>
  <c r="F10" i="13" a="1"/>
  <c r="F6" i="13" a="1"/>
  <c r="C20" i="43" a="1"/>
  <c r="F8" i="13" a="1"/>
  <c r="F2" i="13" a="1"/>
  <c r="C8" i="43" a="1"/>
  <c r="C10" i="43" a="1"/>
  <c r="F4" i="13" a="1"/>
  <c r="F11" i="13" a="1"/>
  <c r="C21" i="43" a="1"/>
  <c r="C16" i="43" a="1"/>
  <c r="C13" i="43" a="1"/>
  <c r="C24" i="43" a="1"/>
  <c r="F9" i="13" a="1"/>
  <c r="C14" i="43" a="1"/>
  <c r="C28" i="43" a="1"/>
  <c r="C33" i="43" a="1"/>
  <c r="C34" i="43" a="1"/>
  <c r="C6" i="43" a="1"/>
  <c r="C17" i="43" a="1"/>
  <c r="C2" i="14" a="1"/>
  <c r="C31" i="43" a="1"/>
  <c r="C32" i="43" a="1"/>
  <c r="C11" i="43" a="1"/>
  <c r="C30" i="43" a="1"/>
  <c r="C4" i="43" a="1"/>
  <c r="C27" i="43" a="1"/>
  <c r="F5" i="13" a="1"/>
  <c r="F7" i="13" a="1"/>
  <c r="C9" i="43" a="1"/>
  <c r="C25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C8" i="36" a="1"/>
  <c r="E5" i="36" a="1"/>
  <c r="C3" i="8" a="1"/>
  <c r="F6" i="36" a="1"/>
  <c r="F5" i="36" a="1"/>
  <c r="F3" i="36" a="1"/>
  <c r="F2" i="36" a="1"/>
  <c r="E3" i="8" a="1"/>
  <c r="F4" i="36" a="1"/>
  <c r="F8" i="36" a="1"/>
  <c r="E3" i="34" a="1"/>
  <c r="E2" i="34" a="1"/>
  <c r="E2" i="36" a="1"/>
  <c r="C2" i="8" a="1"/>
  <c r="E8" i="36" a="1"/>
  <c r="C7" i="36" a="1"/>
  <c r="E7" i="36" a="1"/>
  <c r="F7" i="36" a="1"/>
  <c r="C2" i="43" a="1"/>
  <c r="E2" i="8" a="1"/>
  <c r="E4" i="34" a="1"/>
  <c r="E4" i="36" a="1"/>
  <c r="E3" i="36" a="1"/>
  <c r="E6" i="36" a="1"/>
  <c r="C8" i="36" l="1"/>
  <c r="C7" i="36"/>
  <c r="F8" i="36"/>
  <c r="E5" i="36"/>
  <c r="E4" i="34"/>
  <c r="E2" i="8"/>
  <c r="E6" i="36"/>
  <c r="F2" i="36"/>
  <c r="E7" i="36"/>
  <c r="F6" i="36"/>
  <c r="F3" i="36"/>
  <c r="C2" i="8"/>
  <c r="E8" i="36"/>
  <c r="F4" i="36"/>
  <c r="C2" i="43"/>
  <c r="E2" i="36"/>
  <c r="E4" i="36"/>
  <c r="E3" i="36"/>
  <c r="C3" i="8"/>
  <c r="E2" i="34"/>
  <c r="F5" i="36"/>
  <c r="E3" i="34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16" i="4" a="1"/>
  <c r="E18" i="4" a="1"/>
  <c r="E4" i="4" a="1"/>
  <c r="E6" i="4" a="1"/>
  <c r="E3" i="4" a="1"/>
  <c r="E12" i="4" a="1"/>
  <c r="E17" i="4" a="1"/>
  <c r="E10" i="4" a="1"/>
  <c r="E21" i="4" a="1"/>
  <c r="E15" i="4" a="1"/>
  <c r="E20" i="4" a="1"/>
  <c r="E9" i="4" a="1"/>
  <c r="E13" i="4" a="1"/>
  <c r="E14" i="4" a="1"/>
  <c r="E19" i="4" a="1"/>
  <c r="E11" i="4" a="1"/>
  <c r="E5" i="4" a="1"/>
  <c r="E2" i="4" a="1"/>
  <c r="E23" i="4" a="1"/>
  <c r="E7" i="4" a="1"/>
  <c r="E8" i="4" a="1"/>
  <c r="E22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7"/>
  <c r="A2" i="7"/>
  <c r="A2" i="1"/>
  <c r="K14" i="17" a="1"/>
  <c r="K20" i="17" a="1"/>
  <c r="C2" i="22" a="1"/>
  <c r="K6" i="17" a="1"/>
  <c r="K18" i="17" a="1"/>
  <c r="K19" i="17" a="1"/>
  <c r="F18" i="36" a="1"/>
  <c r="C2" i="36" a="1"/>
  <c r="C21" i="36" a="1"/>
  <c r="K11" i="17" a="1"/>
  <c r="F10" i="36" a="1"/>
  <c r="C17" i="36" a="1"/>
  <c r="K2" i="17" a="1"/>
  <c r="C19" i="36" a="1"/>
  <c r="C9" i="36" a="1"/>
  <c r="F12" i="36" a="1"/>
  <c r="E2" i="35" a="1"/>
  <c r="K25" i="17" a="1"/>
  <c r="C14" i="36" a="1"/>
  <c r="F16" i="36" a="1"/>
  <c r="C3" i="22" a="1"/>
  <c r="F9" i="36" a="1"/>
  <c r="F14" i="36" a="1"/>
  <c r="K21" i="17" a="1"/>
  <c r="K9" i="17" a="1"/>
  <c r="F19" i="36" a="1"/>
  <c r="K13" i="17" a="1"/>
  <c r="C6" i="36" a="1"/>
  <c r="K7" i="17" a="1"/>
  <c r="C3" i="36" a="1"/>
  <c r="C11" i="36" a="1"/>
  <c r="K22" i="17" a="1"/>
  <c r="C10" i="36" a="1"/>
  <c r="K5" i="17" a="1"/>
  <c r="K16" i="17" a="1"/>
  <c r="K17" i="17" a="1"/>
  <c r="K15" i="17" a="1"/>
  <c r="F17" i="36" a="1"/>
  <c r="K27" i="17" a="1"/>
  <c r="K24" i="17" a="1"/>
  <c r="K30" i="17" a="1"/>
  <c r="F11" i="36" a="1"/>
  <c r="K23" i="17" a="1"/>
  <c r="E3" i="22" a="1"/>
  <c r="K28" i="17" a="1"/>
  <c r="K29" i="17" a="1"/>
  <c r="C18" i="36" a="1"/>
  <c r="F22" i="36" a="1"/>
  <c r="E2" i="22" a="1"/>
  <c r="F20" i="36" a="1"/>
  <c r="C13" i="36" a="1"/>
  <c r="K26" i="17" a="1"/>
  <c r="K3" i="17" a="1"/>
  <c r="C16" i="36" a="1"/>
  <c r="C20" i="36" a="1"/>
  <c r="E2" i="17" a="1"/>
  <c r="C12" i="36" a="1"/>
  <c r="C2" i="35" a="1"/>
  <c r="K12" i="17" a="1"/>
  <c r="C22" i="36" a="1"/>
  <c r="C4" i="36" a="1"/>
  <c r="K4" i="17" a="1"/>
  <c r="K10" i="17" a="1"/>
  <c r="K8" i="17" a="1"/>
  <c r="F13" i="36" a="1"/>
  <c r="F21" i="36" a="1"/>
  <c r="C5" i="36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<sst xmlns="http://schemas.openxmlformats.org/spreadsheetml/2006/main" count="1717" uniqueCount="882">
  <si>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</si>
  <si>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</si>
  <si>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</si>
  <si>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</si>
  <si>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</si>
  <si>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</si>
  <si>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</si>
  <si>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</si>
  <si>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</si>
  <si>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</si>
  <si>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</si>
  <si>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</si>
  <si>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</si>
  <si>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</si>
  <si>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</si>
  <si>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</si>
  <si>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</si>
  <si>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</si>
  <si>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</si>
  <si>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</si>
  <si>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</si>
  <si>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</si>
  <si>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</si>
  <si>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</si>
  <si>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</si>
  <si>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</si>
  <si>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</si>
  <si>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</si>
  <si>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</si>
  <si>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</si>
  <si>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</si>
  <si>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</si>
  <si>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</si>
  <si>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</si>
  <si>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</si>
  <si>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</si>
  <si>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</si>
  <si>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</si>
  <si>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</si>
  <si>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</si>
  <si>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</si>
  <si>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</si>
  <si>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</si>
  <si>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</si>
  <si>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</si>
  <si>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</si>
  <si>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</si>
  <si>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</si>
  <si>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</si>
  <si>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</si>
  <si>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</si>
  <si>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</si>
  <si>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</si>
  <si>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</si>
  <si>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</si>
  <si>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</si>
  <si>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</si>
  <si>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</si>
  <si>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</si>
  <si>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</si>
  <si>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</si>
  <si>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</si>
  <si>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</si>
  <si>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</si>
  <si>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</si>
  <si>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</si>
  <si>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</si>
  <si>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</si>
  <si>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</si>
  <si>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</si>
  <si>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</si>
  <si>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</si>
  <si>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</si>
  <si>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</si>
  <si>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</si>
  <si>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</si>
  <si>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</si>
  <si>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</si>
  <si>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</si>
  <si>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</si>
  <si>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</si>
  <si>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</si>
  <si>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</si>
  <si>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</si>
  <si>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</si>
  <si>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</si>
  <si>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</si>
  <si>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</si>
  <si>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</si>
  <si>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</si>
  <si>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</si>
  <si>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</si>
  <si>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</si>
  <si>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</si>
  <si>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</si>
  <si>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</si>
  <si>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</si>
  <si>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</si>
  <si>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</si>
  <si>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</si>
  <si>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</si>
  <si>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</si>
  <si>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</si>
  <si>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</si>
  <si>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</si>
  <si>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</si>
  <si>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</si>
  <si>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</si>
  <si>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</si>
  <si>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</si>
  <si>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</si>
  <si>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</si>
  <si>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</si>
  <si>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</si>
  <si>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</si>
  <si>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</si>
  <si>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</si>
  <si>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</si>
  <si>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</si>
  <si>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</si>
  <si>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</si>
  <si>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</si>
  <si>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</si>
  <si>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</si>
  <si>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</si>
  <si>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</si>
  <si>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</si>
  <si>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</si>
  <si>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</si>
  <si>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</si>
  <si>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</si>
  <si>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</si>
  <si>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</si>
  <si>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</si>
  <si>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</si>
  <si>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</si>
  <si>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</si>
  <si>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</si>
  <si>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</si>
  <si>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</si>
  <si>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</si>
  <si>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</si>
  <si>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</si>
  <si>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</si>
  <si>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</si>
  <si>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</si>
  <si>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</si>
  <si>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</si>
  <si>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</si>
  <si>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</si>
  <si>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</si>
  <si>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</si>
  <si>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</si>
  <si>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</si>
  <si>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</si>
  <si>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</si>
  <si>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</si>
  <si>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</si>
  <si>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</si>
  <si>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</si>
  <si>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</si>
  <si>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</si>
  <si>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</si>
  <si>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</si>
  <si>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</si>
  <si>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</si>
  <si>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</si>
  <si>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</si>
  <si>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</si>
  <si>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</si>
  <si>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</si>
  <si>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</si>
  <si>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</si>
  <si>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</si>
  <si>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</si>
  <si>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</si>
  <si>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</si>
  <si>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</si>
  <si>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</si>
  <si>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</si>
  <si>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</si>
  <si>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</si>
  <si>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</si>
  <si>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</si>
  <si>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</si>
  <si>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</si>
  <si>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</si>
  <si>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</si>
  <si>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</si>
  <si>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</si>
  <si>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</si>
  <si>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</si>
  <si>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</si>
  <si>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</si>
  <si>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</si>
  <si>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</si>
  <si>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</si>
  <si>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</si>
  <si>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</si>
  <si>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</si>
  <si>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</si>
  <si>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</si>
  <si>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</si>
  <si>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</si>
  <si>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</si>
  <si>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</si>
  <si>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</si>
  <si>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</si>
  <si>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</si>
  <si>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</si>
  <si>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</si>
  <si>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</si>
  <si>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</si>
  <si>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</si>
  <si>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</si>
  <si>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</si>
  <si>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</si>
  <si>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</si>
  <si>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</si>
  <si>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</si>
  <si>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</si>
  <si>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</si>
  <si>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</si>
  <si>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</si>
  <si>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</si>
  <si>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</si>
  <si>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</si>
  <si>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</si>
  <si>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</si>
  <si>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</si>
  <si>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</si>
  <si>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</si>
  <si>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</si>
  <si>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</si>
  <si>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</si>
  <si>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</si>
  <si>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</si>
  <si>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</si>
  <si>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</si>
  <si>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</si>
  <si>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</si>
  <si>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</si>
  <si>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</si>
  <si>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</si>
  <si>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</si>
  <si>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</si>
  <si>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</si>
  <si>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</si>
  <si>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</si>
  <si>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</si>
  <si>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</si>
  <si>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</si>
  <si>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</si>
  <si>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</si>
  <si>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</si>
  <si>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</si>
  <si>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</si>
  <si>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</si>
  <si>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</si>
  <si>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</si>
  <si>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hh:mm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</si>
  <si>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</si>
  <si>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</si>
  <si>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</si>
  <si>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</si>
  <si>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</si>
  <si>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</si>
  <si>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</si>
  <si>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</si>
  <si>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</si>
  <si>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</si>
  <si>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</si>
  <si>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</si>
  <si>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</si>
  <si>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</si>
  <si>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</si>
  <si>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</si>
  <si>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</si>
  <si>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</si>
  <si>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</si>
  <si>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</si>
  <si>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</si>
  <si>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</si>
  <si>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</si>
  <si>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</si>
  <si>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</si>
  <si>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</si>
  <si>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</si>
  <si>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</si>
  <si>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</si>
  <si>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</si>
  <si>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</si>
  <si>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</si>
  <si>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</si>
  <si>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</si>
  <si>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</si>
  <si>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</si>
  <si>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</si>
  <si>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</si>
  <si>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</si>
  <si>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</si>
  <si>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</si>
  <si>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</si>
  <si>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</si>
  <si>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</si>
  <si>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</si>
  <si>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</si>
  <si>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</si>
  <si>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</si>
  <si>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</si>
  <si>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</si>
  <si>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</si>
  <si>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</si>
  <si>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</si>
  <si>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</si>
  <si>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</si>
  <si>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</si>
  <si>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</si>
  <si>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</si>
  <si>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</si>
  <si>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</si>
  <si>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</si>
  <si>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</si>
  <si>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</si>
  <si>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</si>
  <si>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</si>
  <si>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</si>
  <si>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</si>
  <si>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</si>
  <si>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</si>
  <si>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</si>
  <si>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</si>
  <si>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</si>
  <si>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</si>
  <si>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</si>
  <si>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</si>
  <si>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</si>
  <si>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</si>
  <si>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</si>
  <si>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</si>
  <si>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</si>
  <si>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</si>
  <si>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</si>
  <si>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</si>
  <si>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</si>
  <si>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</si>
  <si>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</si>
  <si>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</si>
  <si>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</si>
  <si>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</si>
  <si>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</si>
  <si>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</si>
  <si>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</si>
  <si>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</si>
  <si>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</si>
  <si>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</si>
  <si>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</si>
  <si>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</si>
  <si>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</si>
  <si>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</si>
  <si>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</si>
  <si>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</si>
  <si>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</si>
  <si>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</si>
  <si>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</si>
  <si>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</si>
  <si>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</si>
  <si>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</si>
  <si>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</si>
  <si>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</si>
  <si>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</si>
  <si>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</si>
  <si>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</si>
  <si>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</si>
  <si>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</si>
  <si>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</si>
  <si>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</si>
  <si>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</si>
  <si>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</si>
  <si>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</si>
  <si>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</si>
  <si>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</si>
  <si>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</si>
  <si>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</si>
  <si>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</si>
  <si>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</si>
  <si>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</si>
  <si>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</si>
  <si>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</si>
  <si>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</si>
  <si>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</si>
  <si>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</si>
  <si>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</si>
  <si>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</si>
  <si>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</si>
  <si>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</si>
  <si>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</si>
  <si>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</si>
  <si>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</si>
  <si>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</si>
  <si>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</si>
  <si>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</si>
  <si>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</si>
  <si>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</si>
  <si>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</si>
  <si>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</si>
  <si>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</si>
  <si>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</si>
  <si>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</si>
  <si>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</si>
  <si>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</si>
  <si>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</si>
  <si>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</si>
  <si>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</si>
  <si>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</si>
  <si>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</si>
  <si>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</si>
  <si>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</si>
  <si>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</si>
  <si>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</si>
  <si>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</si>
  <si>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</si>
  <si>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</si>
  <si>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</si>
  <si>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</si>
  <si>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</si>
  <si>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</si>
  <si>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</si>
  <si>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</si>
  <si>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</si>
  <si>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</si>
  <si>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</si>
  <si>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</si>
  <si>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</si>
  <si>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</si>
  <si>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</si>
  <si>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</si>
  <si>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</si>
  <si>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</si>
  <si>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</si>
  <si>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</si>
  <si>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</si>
  <si>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</si>
  <si>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</si>
  <si>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</si>
  <si>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</si>
  <si>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</si>
  <si>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</si>
  <si>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</si>
  <si>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</si>
  <si>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</si>
  <si>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</si>
  <si>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</si>
  <si>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</si>
  <si>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</si>
  <si>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</si>
  <si>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</si>
  <si>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</si>
  <si>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</si>
  <si>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#EnvironmentName</t>
  </si>
  <si>
    <t>#ConnectionName</t>
  </si>
  <si>
    <t>IsInternalUse</t>
  </si>
  <si>
    <t>owner</t>
  </si>
  <si>
    <t>IsDevelopment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</si>
  <si>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</si>
  <si>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</si>
  <si>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</si>
  <si>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</si>
  <si>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</si>
  <si>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</si>
  <si>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</si>
  <si>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</si>
  <si>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</si>
  <si>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</si>
  <si>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</si>
  <si>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</si>
  <si>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</si>
  <si>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</si>
  <si>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</si>
  <si>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</si>
  <si>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</si>
  <si>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</si>
  <si>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</si>
  <si>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</si>
  <si>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</si>
  <si>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</si>
  <si>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</si>
  <si>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</si>
  <si>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</si>
  <si>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</si>
  <si>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</si>
  <si>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</si>
  <si>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</si>
  <si>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</si>
  <si>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</si>
  <si>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</si>
  <si>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</si>
  <si>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</si>
  <si>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</si>
  <si>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</si>
  <si>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</si>
  <si>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</si>
  <si>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</si>
  <si>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</si>
  <si>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</si>
  <si>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</si>
  <si>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</si>
  <si>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</si>
  <si>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</si>
  <si>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</si>
  <si>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</si>
  <si>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</si>
  <si>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</si>
  <si>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</si>
  <si>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</si>
  <si>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</si>
  <si>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</si>
  <si>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</si>
  <si>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</si>
  <si>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</si>
  <si>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</si>
  <si>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</si>
  <si>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</si>
  <si>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</si>
  <si>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</si>
  <si>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</si>
  <si>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</si>
  <si>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</si>
  <si>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</si>
  <si>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</si>
  <si>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</si>
  <si>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</si>
  <si>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</si>
  <si>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</si>
  <si>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</si>
  <si>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</si>
  <si>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</si>
  <si>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</si>
  <si>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</si>
  <si>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</si>
  <si>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</si>
  <si>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</si>
  <si>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</si>
  <si>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</si>
  <si>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</si>
  <si>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</si>
  <si>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</si>
  <si>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</si>
  <si>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</si>
  <si>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</si>
  <si>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</si>
  <si>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</si>
  <si>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</si>
  <si>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</si>
  <si>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</si>
  <si>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</si>
  <si>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</si>
  <si>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</si>
  <si>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</si>
  <si>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</si>
  <si>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</si>
  <si>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</si>
  <si>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</si>
  <si>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</si>
  <si>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</si>
  <si>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</si>
  <si>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</si>
  <si>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</si>
  <si>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</si>
  <si>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</si>
  <si>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</si>
  <si>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</si>
  <si>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</si>
  <si>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</si>
  <si>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</si>
  <si>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</si>
  <si>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</si>
  <si>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</si>
  <si>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</si>
  <si>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</si>
  <si>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</si>
  <si>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</si>
  <si>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</si>
  <si>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</si>
  <si>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</si>
  <si>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</si>
  <si>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</si>
  <si>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</si>
  <si>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</si>
  <si>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</si>
  <si>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</si>
  <si>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</si>
  <si>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</si>
  <si>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</si>
  <si>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</si>
  <si>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</si>
  <si>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</si>
  <si>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</si>
  <si>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</si>
  <si>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</si>
  <si>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</si>
  <si>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</si>
  <si>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</si>
  <si>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</si>
  <si>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</si>
  <si>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</si>
  <si>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</si>
  <si>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</si>
  <si>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</si>
  <si>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</si>
  <si>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</si>
  <si>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</si>
  <si>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</si>
  <si>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</si>
  <si>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</si>
  <si>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</si>
  <si>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</si>
  <si>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</si>
  <si>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</si>
  <si>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</si>
  <si>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</si>
  <si>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</si>
  <si>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</si>
  <si>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</si>
  <si>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</si>
  <si>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</si>
  <si>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</si>
  <si>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</si>
  <si>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</si>
  <si>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</si>
  <si>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</si>
  <si>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</si>
  <si>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</si>
  <si>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</si>
  <si>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</si>
  <si>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</si>
  <si>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</si>
  <si>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</si>
  <si>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</si>
  <si>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</si>
  <si>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</si>
  <si>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</si>
  <si>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</si>
  <si>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</si>
  <si>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</si>
  <si>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</si>
  <si>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</si>
  <si>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</si>
  <si>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</si>
  <si>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</si>
  <si>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</si>
  <si>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</si>
  <si>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</si>
  <si>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</si>
  <si>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</si>
  <si>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</si>
  <si>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</si>
  <si>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</si>
  <si>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</si>
  <si>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</si>
  <si>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</si>
  <si>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</si>
  <si>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</si>
  <si>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</si>
  <si>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</si>
  <si>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</si>
  <si>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</si>
  <si>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</si>
  <si>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</si>
  <si>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</si>
  <si>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</si>
  <si>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</si>
  <si>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</si>
  <si>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</si>
  <si>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</si>
  <si>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</si>
  <si>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</si>
  <si>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</si>
  <si>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</si>
  <si>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</si>
  <si>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</si>
  <si>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</si>
  <si>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</si>
  <si>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</si>
  <si>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</si>
  <si>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</si>
  <si>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</si>
  <si>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</si>
  <si>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</si>
  <si>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</si>
  <si>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</si>
  <si>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</si>
  <si>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</si>
  <si>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</si>
  <si>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</si>
  <si>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</si>
  <si>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</si>
  <si>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</si>
  <si>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</si>
  <si>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</si>
  <si>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</si>
  <si>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</si>
  <si>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</si>
  <si>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</si>
  <si>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</si>
  <si>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</si>
  <si>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</si>
  <si>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</si>
  <si>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</si>
  <si>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</si>
  <si>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</si>
  <si>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</si>
  <si>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</si>
  <si>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</si>
  <si>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</si>
  <si>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</si>
  <si>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</si>
  <si>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</si>
  <si>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</si>
  <si>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</si>
  <si>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</si>
  <si>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</si>
  <si>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</si>
  <si>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</si>
  <si>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</si>
  <si>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</si>
  <si>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</si>
  <si>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</si>
  <si>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</si>
  <si>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</si>
  <si>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</si>
  <si>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</si>
  <si>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</si>
  <si>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</si>
  <si>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</si>
  <si>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</si>
  <si>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</si>
  <si>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</si>
  <si>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</si>
  <si>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</si>
  <si>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</si>
  <si>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</si>
  <si>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</si>
  <si>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</si>
  <si>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</si>
  <si>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</si>
  <si>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</si>
  <si>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</si>
  <si>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</si>
  <si>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BehaviorId</t>
  </si>
  <si>
    <t>Behaviors</t>
  </si>
  <si>
    <t>Bhv</t>
  </si>
  <si>
    <t>≤</t>
  </si>
  <si>
    <t>≥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</si>
  <si>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</si>
  <si>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</si>
  <si>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</si>
  <si>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</si>
  <si>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</si>
  <si>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</si>
  <si>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</si>
  <si>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</si>
  <si>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</si>
  <si>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</si>
  <si>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</si>
  <si>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</si>
  <si>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</si>
  <si>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</si>
  <si>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</si>
  <si>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</si>
  <si>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</si>
  <si>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</si>
  <si>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</si>
  <si>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</si>
  <si>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</si>
  <si>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</si>
  <si>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</si>
  <si>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</si>
  <si>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</si>
  <si>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</si>
  <si>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</si>
  <si>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</si>
  <si>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</si>
  <si>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</si>
  <si>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</si>
  <si>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</si>
  <si>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</si>
  <si>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</si>
  <si>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</si>
  <si>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</si>
  <si>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</si>
  <si>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</si>
  <si>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</si>
  <si>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</si>
  <si>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</si>
  <si>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</si>
  <si>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</si>
  <si>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</si>
  <si>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</si>
  <si>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</si>
  <si>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</si>
  <si>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</si>
  <si>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</si>
  <si>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</si>
  <si>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</si>
  <si>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</si>
  <si>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</si>
  <si>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</si>
  <si>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</si>
  <si>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</si>
  <si>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</si>
  <si>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</si>
  <si>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</si>
  <si>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</si>
  <si>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</si>
  <si>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</si>
  <si>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</si>
  <si>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</si>
  <si>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</si>
  <si>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</si>
  <si>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</si>
  <si>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</si>
  <si>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</si>
  <si>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</si>
  <si>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</si>
  <si>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</si>
  <si>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</si>
  <si>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</si>
  <si>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</si>
  <si>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</si>
  <si>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</si>
  <si>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</si>
  <si>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</si>
  <si>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</si>
  <si>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</si>
  <si>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</si>
  <si>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</si>
  <si>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</si>
  <si>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</si>
  <si>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</si>
  <si>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</si>
  <si>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</si>
  <si>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</si>
  <si>
    <t>Desenvolvimento</t>
  </si>
  <si>
    <t>Homologação</t>
  </si>
  <si>
    <t>Produção</t>
  </si>
  <si>
    <t>Format</t>
  </si>
  <si>
    <t>##/##/#### ##:##:##</t>
  </si>
  <si>
    <t>##/##/#### ##:##</t>
  </si>
  <si>
    <t>##/##/####</t>
  </si>
  <si>
    <t>####/##/## ##:##:##</t>
  </si>
  <si>
    <t>####/##/## ##:##</t>
  </si>
  <si>
    <t>####/##/##</t>
  </si>
  <si>
    <t>##/##/## ##:##:##</t>
  </si>
  <si>
    <t>##/##/## ##:##</t>
  </si>
  <si>
    <t>yyyy/MM/dd hh:mm:ss</t>
  </si>
  <si>
    <t>yyyy/MM/dd hh:mm</t>
  </si>
  <si>
    <t>yy/MM/dd hh:mm:ss</t>
  </si>
  <si>
    <t>yy/MM/dd hh:mm</t>
  </si>
  <si>
    <t>yyyy/MM/dd</t>
  </si>
  <si>
    <t>yy/MM/dd</t>
  </si>
  <si>
    <t>##:##:##</t>
  </si>
  <si>
    <t>##:##</t>
  </si>
  <si>
    <t>##/##/##</t>
  </si>
  <si>
    <t>Small American Date</t>
  </si>
  <si>
    <t>Small Brithish Date</t>
  </si>
  <si>
    <t>Small ISO Date</t>
  </si>
  <si>
    <t>Small Time</t>
  </si>
  <si>
    <t>SQL Anywhere</t>
  </si>
  <si>
    <t>IsNested</t>
  </si>
  <si>
    <t>Informix</t>
  </si>
  <si>
    <t>not like</t>
  </si>
  <si>
    <t>⊂</t>
  </si>
  <si>
    <t>⊄</t>
  </si>
  <si>
    <t>≠</t>
  </si>
  <si>
    <t>∈</t>
  </si>
  <si>
    <t>∉</t>
  </si>
  <si>
    <t>IsDefault</t>
  </si>
  <si>
    <t>Operator</t>
  </si>
  <si>
    <t>*Id</t>
  </si>
  <si>
    <t>ClientId</t>
  </si>
  <si>
    <t>Environment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</si>
</sst>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43269-324A-48F6-9422-9F70B8A1CFCE}">
  <dimension ref="A1:B2"/>
  <sheetViews>
    <sheetView tabSelected="1" workbookViewId="0">
      <selection activeCell="B3" sqref="B3"/>
    </sheetView>
  </sheetViews>
  <sheetFormatPr defaultRowHeight="14.4" x14ac:dyDescent="0.3"/>
  <cols>
    <col min="1" max="1" width="7.44140625" bestFit="1" customWidth="1"/>
    <col min="2" max="2" width="11.88671875" bestFit="1" customWidth="1"/>
  </cols>
  <sheetData>
    <row r="1" spans="1:2" s="1" customFormat="1" x14ac:dyDescent="0.3">
      <c r="A1" s="1" t="s">
        <v>880</v>
      </c>
      <c r="B1" s="1" t="s">
        <v>881</v>
      </c>
    </row>
    <row r="2" spans="1:2" x14ac:dyDescent="0.3">
      <c r="A2">
        <v>1</v>
      </c>
      <c r="B2" t="s">
        <v>270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D11"/>
  <sheetViews>
    <sheetView workbookViewId="0">
      <selection activeCell="F8" sqref="F8"/>
    </sheetView>
  </sheetViews>
  <sheetFormatPr defaultRowHeight="14.4" x14ac:dyDescent="0.3"/>
  <cols>
    <col min="1" max="1" width="3" bestFit="1" customWidth="1"/>
    <col min="2" max="2" width="12.6640625" bestFit="1" customWidth="1"/>
    <col min="3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877</v>
      </c>
      <c r="D1" s="1" t="s">
        <v>22</v>
      </c>
    </row>
    <row r="2" spans="1:4" x14ac:dyDescent="0.3">
      <c r="A2">
        <f>ROW(A2)-1</f>
        <v>1</v>
      </c>
      <c r="B2" t="s">
        <v>826</v>
      </c>
      <c r="C2" t="b">
        <v>1</v>
      </c>
      <c r="D2" t="b">
        <v>1</v>
      </c>
    </row>
    <row r="3" spans="1:4" x14ac:dyDescent="0.3">
      <c r="A3">
        <f t="shared" ref="A3:A11" si="0">ROW(A3)-1</f>
        <v>2</v>
      </c>
      <c r="B3" t="s">
        <v>827</v>
      </c>
      <c r="C3" t="b">
        <v>0</v>
      </c>
      <c r="D3" t="b">
        <v>0</v>
      </c>
    </row>
    <row r="4" spans="1:4" x14ac:dyDescent="0.3">
      <c r="A4">
        <f t="shared" si="0"/>
        <v>3</v>
      </c>
      <c r="B4" t="s">
        <v>828</v>
      </c>
      <c r="C4" t="b">
        <v>0</v>
      </c>
      <c r="D4" t="b">
        <v>0</v>
      </c>
    </row>
    <row r="5" spans="1:4" x14ac:dyDescent="0.3">
      <c r="A5">
        <f t="shared" si="0"/>
        <v>4</v>
      </c>
      <c r="B5" t="s">
        <v>829</v>
      </c>
      <c r="C5" t="b">
        <v>0</v>
      </c>
      <c r="D5" t="b">
        <v>0</v>
      </c>
    </row>
    <row r="6" spans="1:4" x14ac:dyDescent="0.3">
      <c r="A6">
        <f t="shared" si="0"/>
        <v>5</v>
      </c>
      <c r="B6" t="s">
        <v>830</v>
      </c>
      <c r="C6" t="b">
        <v>0</v>
      </c>
      <c r="D6" t="b">
        <v>0</v>
      </c>
    </row>
    <row r="7" spans="1:4" x14ac:dyDescent="0.3">
      <c r="A7">
        <f t="shared" si="0"/>
        <v>6</v>
      </c>
      <c r="B7" t="s">
        <v>831</v>
      </c>
      <c r="C7" t="b">
        <v>0</v>
      </c>
      <c r="D7" t="b">
        <v>0</v>
      </c>
    </row>
    <row r="8" spans="1:4" x14ac:dyDescent="0.3">
      <c r="A8">
        <f t="shared" si="0"/>
        <v>7</v>
      </c>
      <c r="B8" t="s">
        <v>832</v>
      </c>
      <c r="C8" t="b">
        <v>0</v>
      </c>
      <c r="D8" t="b">
        <v>0</v>
      </c>
    </row>
    <row r="9" spans="1:4" x14ac:dyDescent="0.3">
      <c r="A9">
        <f t="shared" si="0"/>
        <v>8</v>
      </c>
      <c r="B9" t="s">
        <v>833</v>
      </c>
      <c r="C9" t="b">
        <v>0</v>
      </c>
      <c r="D9" t="b">
        <v>0</v>
      </c>
    </row>
    <row r="10" spans="1:4" x14ac:dyDescent="0.3">
      <c r="A10">
        <f t="shared" si="0"/>
        <v>9</v>
      </c>
      <c r="B10" t="s">
        <v>868</v>
      </c>
      <c r="C10" t="b">
        <v>0</v>
      </c>
      <c r="D10" t="b">
        <v>0</v>
      </c>
    </row>
    <row r="11" spans="1:4" x14ac:dyDescent="0.3">
      <c r="A11">
        <f t="shared" si="0"/>
        <v>10</v>
      </c>
      <c r="B11" t="s">
        <v>870</v>
      </c>
      <c r="C11" t="b">
        <v>0</v>
      </c>
      <c r="D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R12"/>
  <sheetViews>
    <sheetView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1.6640625" bestFit="1" customWidth="1"/>
    <col min="4" max="4" width="9.109375" bestFit="1" customWidth="1"/>
    <col min="5" max="6" width="18.109375" style="20" bestFit="1" customWidth="1"/>
    <col min="7" max="7" width="11.77734375" bestFit="1" customWidth="1"/>
    <col min="8" max="8" width="11.77734375" customWidth="1"/>
    <col min="9" max="9" width="11.77734375" bestFit="1" customWidth="1"/>
    <col min="10" max="10" width="12.21875" bestFit="1" customWidth="1"/>
    <col min="11" max="11" width="12.55468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2.5546875" bestFit="1" customWidth="1"/>
    <col min="17" max="18" width="11.77734375" bestFit="1" customWidth="1"/>
  </cols>
  <sheetData>
    <row r="1" spans="1:18" s="1" customFormat="1" x14ac:dyDescent="0.3">
      <c r="A1" s="1" t="s">
        <v>0</v>
      </c>
      <c r="B1" s="1" t="s">
        <v>272</v>
      </c>
      <c r="C1" s="1" t="s">
        <v>840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4</v>
      </c>
      <c r="J1" s="1" t="s">
        <v>5</v>
      </c>
      <c r="K1" s="1" t="s">
        <v>6</v>
      </c>
      <c r="L1" s="1" t="s">
        <v>21</v>
      </c>
      <c r="M1" s="1" t="s">
        <v>187</v>
      </c>
      <c r="N1" s="1" t="s">
        <v>163</v>
      </c>
      <c r="O1" s="1" t="s">
        <v>3</v>
      </c>
      <c r="P1" s="1" t="s">
        <v>2</v>
      </c>
      <c r="Q1" s="1" t="s">
        <v>198</v>
      </c>
      <c r="R1" s="1" t="s">
        <v>793</v>
      </c>
    </row>
    <row r="2" spans="1:18" x14ac:dyDescent="0.3">
      <c r="A2">
        <f>ROW(A2)-1</f>
        <v>1</v>
      </c>
      <c r="B2">
        <v>1</v>
      </c>
      <c r="C2" t="e" cm="1">
        <f t="array" ref="C2">GetValue("Eng",B2,"Name")</f>
        <v>#VALUE!</v>
      </c>
      <c r="D2" t="s">
        <v>7</v>
      </c>
      <c r="G2" t="b">
        <v>1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1</v>
      </c>
    </row>
    <row r="3" spans="1:18" x14ac:dyDescent="0.3">
      <c r="A3">
        <f t="shared" ref="A3:A12" si="0">ROW(A3)-1</f>
        <v>2</v>
      </c>
      <c r="B3">
        <v>1</v>
      </c>
      <c r="C3" t="e" cm="1">
        <f t="array" ref="C3">GetValue("Eng",B3,"Name")</f>
        <v>#VALUE!</v>
      </c>
      <c r="D3" t="s">
        <v>841</v>
      </c>
      <c r="E3" s="26" t="s">
        <v>836</v>
      </c>
      <c r="F3" s="26" t="s">
        <v>837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1</v>
      </c>
      <c r="P3" t="b">
        <v>0</v>
      </c>
      <c r="Q3" t="b">
        <v>1</v>
      </c>
      <c r="R3" t="b">
        <v>0</v>
      </c>
    </row>
    <row r="4" spans="1:18" x14ac:dyDescent="0.3">
      <c r="A4">
        <f t="shared" si="0"/>
        <v>3</v>
      </c>
      <c r="B4">
        <v>1</v>
      </c>
      <c r="C4" t="e" cm="1">
        <f t="array" ref="C4">GetValue("Eng",B4,"Name")</f>
        <v>#VALUE!</v>
      </c>
      <c r="D4" t="s">
        <v>842</v>
      </c>
      <c r="E4" s="26" t="s">
        <v>836</v>
      </c>
      <c r="F4" s="26" t="s">
        <v>837</v>
      </c>
      <c r="G4" t="b">
        <v>1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t="b">
        <v>1</v>
      </c>
      <c r="R4" t="b">
        <v>0</v>
      </c>
    </row>
    <row r="5" spans="1:18" x14ac:dyDescent="0.3">
      <c r="A5">
        <f t="shared" si="0"/>
        <v>4</v>
      </c>
      <c r="B5">
        <v>1</v>
      </c>
      <c r="C5" t="e" cm="1">
        <f t="array" ref="C5">GetValue("Eng",B5,"Name")</f>
        <v>#VALUE!</v>
      </c>
      <c r="D5" t="s">
        <v>9</v>
      </c>
      <c r="E5" s="26" t="s">
        <v>834</v>
      </c>
      <c r="F5" s="26" t="s">
        <v>835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t="b">
        <v>0</v>
      </c>
      <c r="R5" t="b">
        <v>0</v>
      </c>
    </row>
    <row r="6" spans="1:18" x14ac:dyDescent="0.3">
      <c r="A6">
        <f t="shared" si="0"/>
        <v>5</v>
      </c>
      <c r="B6">
        <v>1</v>
      </c>
      <c r="C6" t="e" cm="1">
        <f t="array" ref="C6">GetValue("Eng",B6,"Name")</f>
        <v>#VALUE!</v>
      </c>
      <c r="D6" t="s">
        <v>10</v>
      </c>
      <c r="E6" s="26" t="s">
        <v>834</v>
      </c>
      <c r="F6" s="26" t="s">
        <v>835</v>
      </c>
      <c r="G6" t="b">
        <v>0</v>
      </c>
      <c r="H6" t="b">
        <v>0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t="b">
        <v>0</v>
      </c>
      <c r="R6" t="b">
        <v>0</v>
      </c>
    </row>
    <row r="7" spans="1:18" x14ac:dyDescent="0.3">
      <c r="A7">
        <f t="shared" si="0"/>
        <v>6</v>
      </c>
      <c r="B7">
        <v>1</v>
      </c>
      <c r="C7" t="e" cm="1">
        <f t="array" ref="C7">GetValue("Eng",B7,"Name")</f>
        <v>#VALUE!</v>
      </c>
      <c r="D7" t="s">
        <v>11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1</v>
      </c>
      <c r="M7" t="b">
        <v>1</v>
      </c>
      <c r="N7" t="b">
        <v>0</v>
      </c>
      <c r="O7" t="b">
        <v>0</v>
      </c>
      <c r="P7" t="b">
        <v>0</v>
      </c>
      <c r="Q7" t="b">
        <v>0</v>
      </c>
      <c r="R7" t="b">
        <v>0</v>
      </c>
    </row>
    <row r="8" spans="1:18" x14ac:dyDescent="0.3">
      <c r="A8">
        <f t="shared" si="0"/>
        <v>7</v>
      </c>
      <c r="B8">
        <v>1</v>
      </c>
      <c r="C8" t="e" cm="1">
        <f t="array" ref="C8">GetValue("Eng",B8,"Name")</f>
        <v>#VALUE!</v>
      </c>
      <c r="D8" t="s">
        <v>12</v>
      </c>
      <c r="E8" s="26" t="s">
        <v>838</v>
      </c>
      <c r="F8" s="26" t="s">
        <v>839</v>
      </c>
      <c r="G8" t="b">
        <v>0</v>
      </c>
      <c r="H8" t="b">
        <v>0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t="b">
        <v>0</v>
      </c>
      <c r="R8" t="b">
        <v>0</v>
      </c>
    </row>
    <row r="9" spans="1:18" x14ac:dyDescent="0.3">
      <c r="A9">
        <f t="shared" si="0"/>
        <v>8</v>
      </c>
      <c r="B9">
        <v>1</v>
      </c>
      <c r="C9" t="e" cm="1">
        <f t="array" ref="C9">GetValue("Eng",B9,"Name")</f>
        <v>#VALUE!</v>
      </c>
      <c r="D9" t="s">
        <v>8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1</v>
      </c>
      <c r="O9" t="b">
        <v>0</v>
      </c>
      <c r="P9" t="b">
        <v>0</v>
      </c>
      <c r="Q9" t="b">
        <v>0</v>
      </c>
      <c r="R9" t="b">
        <v>0</v>
      </c>
    </row>
    <row r="10" spans="1:18" x14ac:dyDescent="0.3">
      <c r="A10">
        <f t="shared" si="0"/>
        <v>9</v>
      </c>
      <c r="B10">
        <v>1</v>
      </c>
      <c r="C10" t="e" cm="1">
        <f t="array" ref="C10">GetValue("Eng",B10,"Name")</f>
        <v>#VALUE!</v>
      </c>
      <c r="D10" t="s">
        <v>13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</row>
    <row r="11" spans="1:18" x14ac:dyDescent="0.3">
      <c r="A11">
        <f t="shared" si="0"/>
        <v>10</v>
      </c>
      <c r="B11">
        <v>1</v>
      </c>
      <c r="C11" t="e" cm="1">
        <f t="array" ref="C11">GetValue("Eng",B11,"Name")</f>
        <v>#VALUE!</v>
      </c>
      <c r="D11" t="s">
        <v>14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</row>
    <row r="12" spans="1:18" x14ac:dyDescent="0.3">
      <c r="A12">
        <f t="shared" si="0"/>
        <v>11</v>
      </c>
      <c r="B12">
        <v>1</v>
      </c>
      <c r="C12" t="e" cm="1">
        <f t="array" ref="C12">GetValue("Eng",B12,"Name")</f>
        <v>#VALUE!</v>
      </c>
      <c r="D12" t="s">
        <v>15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</row>
  </sheetData>
  <pageMargins left="0.511811024" right="0.511811024" top="0.78740157499999996" bottom="0.78740157499999996" header="0.31496062000000002" footer="0.31496062000000002"/>
  <ignoredErrors>
    <ignoredError sqref="E3:F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C6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255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280</v>
      </c>
    </row>
    <row r="2" spans="1:3" x14ac:dyDescent="0.3">
      <c r="A2">
        <f>ROW(A2)-1</f>
        <v>1</v>
      </c>
      <c r="B2" t="s">
        <v>467</v>
      </c>
      <c r="C2" t="s">
        <v>281</v>
      </c>
    </row>
    <row r="3" spans="1:3" x14ac:dyDescent="0.3">
      <c r="A3">
        <f>ROW(A3)-1</f>
        <v>2</v>
      </c>
      <c r="B3" t="s">
        <v>277</v>
      </c>
      <c r="C3" t="s">
        <v>282</v>
      </c>
    </row>
    <row r="4" spans="1:3" x14ac:dyDescent="0.3">
      <c r="A4">
        <f>ROW(A4)-1</f>
        <v>3</v>
      </c>
      <c r="B4" t="s">
        <v>278</v>
      </c>
      <c r="C4" t="s">
        <v>286</v>
      </c>
    </row>
    <row r="5" spans="1:3" x14ac:dyDescent="0.3">
      <c r="A5">
        <f>ROW(A5)-1</f>
        <v>4</v>
      </c>
      <c r="B5" t="s">
        <v>279</v>
      </c>
      <c r="C5" t="s">
        <v>284</v>
      </c>
    </row>
    <row r="6" spans="1:3" x14ac:dyDescent="0.3">
      <c r="A6">
        <f>ROW(A6)-1</f>
        <v>5</v>
      </c>
      <c r="B6" t="s">
        <v>283</v>
      </c>
      <c r="C6" t="s">
        <v>285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C2" sqref="C2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185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integer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559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560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561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562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563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564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266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267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268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time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330</v>
      </c>
      <c r="J19" s="20"/>
      <c r="K19" s="20"/>
      <c r="L19" s="20"/>
    </row>
    <row r="20" spans="1:12" x14ac:dyDescent="0.3">
      <c r="A20">
        <f t="shared" si="0"/>
        <v>19</v>
      </c>
      <c r="B20" t="s">
        <v>216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225</v>
      </c>
      <c r="J20" s="20"/>
      <c r="K20" s="20"/>
      <c r="L20" s="20"/>
    </row>
    <row r="21" spans="1:12" x14ac:dyDescent="0.3">
      <c r="A21">
        <f t="shared" si="0"/>
        <v>20</v>
      </c>
      <c r="B21" t="s">
        <v>280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424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801</v>
      </c>
      <c r="C23">
        <v>9</v>
      </c>
      <c r="D23" t="str" cm="1">
        <f t="array" ref="D23">GetValue("Typ",C23,"Name")</f>
        <v>image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D26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9.88671875" bestFit="1" customWidth="1"/>
    <col min="4" max="4" width="20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846</v>
      </c>
      <c r="D1" s="1" t="s">
        <v>39</v>
      </c>
    </row>
    <row r="2" spans="1:4" x14ac:dyDescent="0.3">
      <c r="A2">
        <f t="shared" ref="A2:A18" si="0">ROW(A2)-1</f>
        <v>1</v>
      </c>
      <c r="B2" t="s">
        <v>29</v>
      </c>
      <c r="D2" t="s">
        <v>40</v>
      </c>
    </row>
    <row r="3" spans="1:4" x14ac:dyDescent="0.3">
      <c r="A3">
        <f t="shared" si="0"/>
        <v>2</v>
      </c>
      <c r="B3" t="s">
        <v>30</v>
      </c>
      <c r="D3" t="s">
        <v>41</v>
      </c>
    </row>
    <row r="4" spans="1:4" x14ac:dyDescent="0.3">
      <c r="A4">
        <f>ROW(A4)-1</f>
        <v>3</v>
      </c>
      <c r="B4" t="s">
        <v>31</v>
      </c>
      <c r="D4" t="s">
        <v>42</v>
      </c>
    </row>
    <row r="5" spans="1:4" x14ac:dyDescent="0.3">
      <c r="A5">
        <f t="shared" si="0"/>
        <v>4</v>
      </c>
      <c r="B5" t="s">
        <v>32</v>
      </c>
      <c r="D5" t="s">
        <v>42</v>
      </c>
    </row>
    <row r="6" spans="1:4" x14ac:dyDescent="0.3">
      <c r="A6">
        <f t="shared" si="0"/>
        <v>5</v>
      </c>
      <c r="B6" t="s">
        <v>33</v>
      </c>
      <c r="D6" t="s">
        <v>43</v>
      </c>
    </row>
    <row r="7" spans="1:4" x14ac:dyDescent="0.3">
      <c r="A7">
        <f t="shared" si="0"/>
        <v>6</v>
      </c>
      <c r="B7" t="s">
        <v>240</v>
      </c>
      <c r="C7" t="s">
        <v>246</v>
      </c>
      <c r="D7" t="s">
        <v>847</v>
      </c>
    </row>
    <row r="8" spans="1:4" x14ac:dyDescent="0.3">
      <c r="A8">
        <f>ROW(A8)-1</f>
        <v>7</v>
      </c>
      <c r="B8" t="s">
        <v>239</v>
      </c>
      <c r="C8" t="s">
        <v>44</v>
      </c>
      <c r="D8" t="s">
        <v>847</v>
      </c>
    </row>
    <row r="9" spans="1:4" x14ac:dyDescent="0.3">
      <c r="A9">
        <f t="shared" si="0"/>
        <v>8</v>
      </c>
      <c r="B9" t="s">
        <v>241</v>
      </c>
      <c r="C9" t="s">
        <v>855</v>
      </c>
      <c r="D9" t="s">
        <v>850</v>
      </c>
    </row>
    <row r="10" spans="1:4" x14ac:dyDescent="0.3">
      <c r="A10">
        <f t="shared" si="0"/>
        <v>9</v>
      </c>
      <c r="B10" t="s">
        <v>251</v>
      </c>
      <c r="C10" t="s">
        <v>247</v>
      </c>
      <c r="D10" t="s">
        <v>848</v>
      </c>
    </row>
    <row r="11" spans="1:4" x14ac:dyDescent="0.3">
      <c r="A11">
        <f>ROW(A11)-1</f>
        <v>10</v>
      </c>
      <c r="B11" t="s">
        <v>252</v>
      </c>
      <c r="C11" t="s">
        <v>245</v>
      </c>
      <c r="D11" t="s">
        <v>848</v>
      </c>
    </row>
    <row r="12" spans="1:4" x14ac:dyDescent="0.3">
      <c r="A12">
        <f t="shared" si="0"/>
        <v>11</v>
      </c>
      <c r="B12" t="s">
        <v>253</v>
      </c>
      <c r="C12" t="s">
        <v>856</v>
      </c>
      <c r="D12" t="s">
        <v>851</v>
      </c>
    </row>
    <row r="13" spans="1:4" x14ac:dyDescent="0.3">
      <c r="A13">
        <f t="shared" si="0"/>
        <v>12</v>
      </c>
      <c r="B13" t="s">
        <v>242</v>
      </c>
      <c r="C13" t="s">
        <v>255</v>
      </c>
      <c r="D13" t="s">
        <v>853</v>
      </c>
    </row>
    <row r="14" spans="1:4" x14ac:dyDescent="0.3">
      <c r="A14">
        <f>ROW(A14)-1</f>
        <v>13</v>
      </c>
      <c r="B14" t="s">
        <v>243</v>
      </c>
      <c r="C14" t="s">
        <v>254</v>
      </c>
      <c r="D14" t="s">
        <v>853</v>
      </c>
    </row>
    <row r="15" spans="1:4" x14ac:dyDescent="0.3">
      <c r="A15">
        <f t="shared" si="0"/>
        <v>14</v>
      </c>
      <c r="B15" t="s">
        <v>244</v>
      </c>
      <c r="C15" t="s">
        <v>857</v>
      </c>
      <c r="D15" t="s">
        <v>853</v>
      </c>
    </row>
    <row r="16" spans="1:4" x14ac:dyDescent="0.3">
      <c r="A16">
        <f t="shared" si="0"/>
        <v>15</v>
      </c>
      <c r="B16" t="s">
        <v>248</v>
      </c>
      <c r="C16" t="s">
        <v>257</v>
      </c>
      <c r="D16" t="s">
        <v>854</v>
      </c>
    </row>
    <row r="17" spans="1:4" x14ac:dyDescent="0.3">
      <c r="A17">
        <f>ROW(A17)-1</f>
        <v>16</v>
      </c>
      <c r="B17" t="s">
        <v>249</v>
      </c>
      <c r="C17" t="s">
        <v>256</v>
      </c>
      <c r="D17" t="s">
        <v>854</v>
      </c>
    </row>
    <row r="18" spans="1:4" x14ac:dyDescent="0.3">
      <c r="A18">
        <f t="shared" si="0"/>
        <v>17</v>
      </c>
      <c r="B18" t="s">
        <v>250</v>
      </c>
      <c r="C18" t="s">
        <v>858</v>
      </c>
      <c r="D18" t="s">
        <v>854</v>
      </c>
    </row>
    <row r="19" spans="1:4" x14ac:dyDescent="0.3">
      <c r="A19">
        <f t="shared" ref="A19:A26" si="1">ROW(A19)-1</f>
        <v>18</v>
      </c>
      <c r="B19" t="s">
        <v>236</v>
      </c>
      <c r="C19" t="s">
        <v>237</v>
      </c>
      <c r="D19" t="s">
        <v>849</v>
      </c>
    </row>
    <row r="20" spans="1:4" x14ac:dyDescent="0.3">
      <c r="A20">
        <f t="shared" si="1"/>
        <v>19</v>
      </c>
      <c r="B20" t="s">
        <v>235</v>
      </c>
      <c r="C20" t="s">
        <v>232</v>
      </c>
      <c r="D20" t="s">
        <v>849</v>
      </c>
    </row>
    <row r="21" spans="1:4" x14ac:dyDescent="0.3">
      <c r="A21">
        <f t="shared" si="1"/>
        <v>20</v>
      </c>
      <c r="B21" t="s">
        <v>238</v>
      </c>
      <c r="C21" t="s">
        <v>859</v>
      </c>
      <c r="D21" t="s">
        <v>852</v>
      </c>
    </row>
    <row r="22" spans="1:4" x14ac:dyDescent="0.3">
      <c r="A22">
        <f t="shared" si="1"/>
        <v>21</v>
      </c>
      <c r="B22" t="s">
        <v>864</v>
      </c>
      <c r="C22" t="s">
        <v>258</v>
      </c>
      <c r="D22" t="s">
        <v>863</v>
      </c>
    </row>
    <row r="23" spans="1:4" x14ac:dyDescent="0.3">
      <c r="A23">
        <f t="shared" si="1"/>
        <v>22</v>
      </c>
      <c r="B23" t="s">
        <v>865</v>
      </c>
      <c r="C23" t="s">
        <v>259</v>
      </c>
      <c r="D23" t="s">
        <v>863</v>
      </c>
    </row>
    <row r="24" spans="1:4" x14ac:dyDescent="0.3">
      <c r="A24">
        <f t="shared" si="1"/>
        <v>23</v>
      </c>
      <c r="B24" t="s">
        <v>866</v>
      </c>
      <c r="C24" t="s">
        <v>860</v>
      </c>
      <c r="D24" t="s">
        <v>863</v>
      </c>
    </row>
    <row r="25" spans="1:4" x14ac:dyDescent="0.3">
      <c r="A25">
        <f t="shared" si="1"/>
        <v>24</v>
      </c>
      <c r="B25" t="s">
        <v>233</v>
      </c>
      <c r="C25" t="s">
        <v>234</v>
      </c>
      <c r="D25" t="s">
        <v>861</v>
      </c>
    </row>
    <row r="26" spans="1:4" x14ac:dyDescent="0.3">
      <c r="A26">
        <f t="shared" si="1"/>
        <v>25</v>
      </c>
      <c r="B26" t="s">
        <v>867</v>
      </c>
      <c r="C26" t="s">
        <v>260</v>
      </c>
      <c r="D26" t="s">
        <v>862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178</v>
      </c>
      <c r="D1" s="1" t="s">
        <v>25</v>
      </c>
      <c r="E1" s="1" t="s">
        <v>174</v>
      </c>
      <c r="F1" s="1" t="s">
        <v>261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##/##/#### ##:##:##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Small Time</v>
      </c>
      <c r="F8" t="str" cm="1">
        <f t="array" ref="F8">GetValue("Msk",D8,"Mask")</f>
        <v>##:##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G6" sqref="G6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462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291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C4"/>
  <sheetViews>
    <sheetView workbookViewId="0">
      <pane ySplit="1" topLeftCell="A2" activePane="bottomLeft" state="frozen"/>
      <selection pane="bottomLeft" activeCell="H9" sqref="H9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218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46</v>
      </c>
    </row>
    <row r="2" spans="1:3" x14ac:dyDescent="0.3">
      <c r="A2">
        <f>ROW(A2)-1</f>
        <v>1</v>
      </c>
      <c r="B2" t="s">
        <v>270</v>
      </c>
      <c r="C2" t="s">
        <v>843</v>
      </c>
    </row>
    <row r="3" spans="1:3" x14ac:dyDescent="0.3">
      <c r="A3">
        <f>ROW(A3)-1</f>
        <v>2</v>
      </c>
      <c r="B3" t="s">
        <v>287</v>
      </c>
      <c r="C3" t="s">
        <v>844</v>
      </c>
    </row>
    <row r="4" spans="1:3" x14ac:dyDescent="0.3">
      <c r="A4">
        <f>ROW(A4)-1</f>
        <v>3</v>
      </c>
      <c r="B4" t="s">
        <v>288</v>
      </c>
      <c r="C4" t="s">
        <v>845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E2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.44140625" bestFit="1" customWidth="1"/>
    <col min="3" max="3" width="12.33203125" bestFit="1" customWidth="1"/>
    <col min="4" max="4" width="14.5546875" bestFit="1" customWidth="1"/>
    <col min="5" max="5" width="7.3320312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46</v>
      </c>
      <c r="D1" s="1" t="s">
        <v>47</v>
      </c>
      <c r="E1" s="1" t="s">
        <v>183</v>
      </c>
    </row>
    <row r="2" spans="1:5" x14ac:dyDescent="0.3">
      <c r="A2">
        <f>ROW(A2)-1</f>
        <v>1</v>
      </c>
      <c r="B2" t="s">
        <v>196</v>
      </c>
      <c r="C2" t="s">
        <v>197</v>
      </c>
      <c r="D2">
        <v>5</v>
      </c>
      <c r="E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175</v>
      </c>
      <c r="D1" s="1" t="s">
        <v>289</v>
      </c>
      <c r="E1" s="1" t="s">
        <v>290</v>
      </c>
      <c r="F1" s="1" t="s">
        <v>311</v>
      </c>
      <c r="G1" s="1" t="s">
        <v>459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e" cm="1">
        <f t="array" ref="E2">GetValue("Grp",D2,"Name")</f>
        <v>#VALUE!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e" cm="1">
        <f t="array" ref="E3">GetValue("Grp",D3,"Name")</f>
        <v>#VALUE!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e" cm="1">
        <f t="array" ref="E4">GetValue("Grp",D4,"Name")</f>
        <v>#VALUE!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175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196</v>
      </c>
      <c r="E2" t="s">
        <v>196</v>
      </c>
      <c r="F2" t="s">
        <v>197</v>
      </c>
      <c r="G2" t="s">
        <v>231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14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405</v>
      </c>
      <c r="F1" s="1" t="s">
        <v>406</v>
      </c>
      <c r="G1" s="1" t="s">
        <v>410</v>
      </c>
      <c r="H1" s="1" t="s">
        <v>804</v>
      </c>
    </row>
    <row r="2" spans="1:8" x14ac:dyDescent="0.3">
      <c r="A2">
        <f>ROW(A2)-1</f>
        <v>1</v>
      </c>
      <c r="B2" t="s">
        <v>299</v>
      </c>
      <c r="C2" t="s">
        <v>473</v>
      </c>
      <c r="D2" t="s">
        <v>665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474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476</v>
      </c>
      <c r="D4" t="s">
        <v>210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479</v>
      </c>
      <c r="D5" t="s">
        <v>211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480</v>
      </c>
      <c r="D6" t="s">
        <v>303</v>
      </c>
      <c r="H6" t="b">
        <v>1</v>
      </c>
    </row>
    <row r="7" spans="1:8" x14ac:dyDescent="0.3">
      <c r="A7">
        <f>ROW(A7)-1</f>
        <v>6</v>
      </c>
      <c r="B7" t="s">
        <v>448</v>
      </c>
      <c r="C7" t="s">
        <v>481</v>
      </c>
      <c r="D7" t="s">
        <v>328</v>
      </c>
      <c r="H7" t="b">
        <v>1</v>
      </c>
    </row>
    <row r="8" spans="1:8" x14ac:dyDescent="0.3">
      <c r="A8">
        <f t="shared" si="0"/>
        <v>7</v>
      </c>
      <c r="B8" t="s">
        <v>300</v>
      </c>
      <c r="C8" t="s">
        <v>475</v>
      </c>
      <c r="D8" t="s">
        <v>301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477</v>
      </c>
      <c r="D9" t="s">
        <v>208</v>
      </c>
      <c r="H9" t="b">
        <v>1</v>
      </c>
    </row>
    <row r="10" spans="1:8" x14ac:dyDescent="0.3">
      <c r="A10">
        <f t="shared" si="0"/>
        <v>9</v>
      </c>
      <c r="B10" t="s">
        <v>447</v>
      </c>
      <c r="C10" t="s">
        <v>478</v>
      </c>
      <c r="D10" t="s">
        <v>302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483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449</v>
      </c>
      <c r="C12" t="s">
        <v>484</v>
      </c>
      <c r="D12" t="s">
        <v>304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797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485</v>
      </c>
      <c r="D14" t="s">
        <v>212</v>
      </c>
      <c r="H14" t="b">
        <v>0</v>
      </c>
    </row>
    <row r="15" spans="1:8" x14ac:dyDescent="0.3">
      <c r="A15">
        <f>ROW(A15)-1</f>
        <v>14</v>
      </c>
      <c r="B15" t="s">
        <v>676</v>
      </c>
      <c r="C15" t="s">
        <v>677</v>
      </c>
      <c r="D15" t="s">
        <v>209</v>
      </c>
      <c r="H15" t="b">
        <v>0</v>
      </c>
    </row>
    <row r="16" spans="1:8" x14ac:dyDescent="0.3">
      <c r="A16">
        <f t="shared" si="1"/>
        <v>15</v>
      </c>
      <c r="B16" t="s">
        <v>450</v>
      </c>
      <c r="C16" t="s">
        <v>798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486</v>
      </c>
      <c r="D17" t="s">
        <v>205</v>
      </c>
      <c r="H17" t="b">
        <v>0</v>
      </c>
    </row>
    <row r="18" spans="1:8" x14ac:dyDescent="0.3">
      <c r="A18">
        <f t="shared" si="1"/>
        <v>17</v>
      </c>
      <c r="B18" t="s">
        <v>464</v>
      </c>
      <c r="C18" t="s">
        <v>487</v>
      </c>
      <c r="D18" t="s">
        <v>657</v>
      </c>
      <c r="H18" t="b">
        <v>0</v>
      </c>
    </row>
    <row r="19" spans="1:8" x14ac:dyDescent="0.3">
      <c r="A19">
        <f t="shared" si="1"/>
        <v>18</v>
      </c>
      <c r="B19" t="s">
        <v>503</v>
      </c>
      <c r="C19" t="s">
        <v>504</v>
      </c>
      <c r="D19" t="s">
        <v>586</v>
      </c>
      <c r="H19" t="b">
        <v>1</v>
      </c>
    </row>
    <row r="20" spans="1:8" x14ac:dyDescent="0.3">
      <c r="A20">
        <f t="shared" si="1"/>
        <v>19</v>
      </c>
      <c r="B20" t="s">
        <v>556</v>
      </c>
      <c r="C20" t="s">
        <v>505</v>
      </c>
      <c r="D20" t="s">
        <v>557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488</v>
      </c>
      <c r="D21" t="s">
        <v>206</v>
      </c>
      <c r="H21" t="b">
        <v>1</v>
      </c>
    </row>
    <row r="22" spans="1:8" x14ac:dyDescent="0.3">
      <c r="A22">
        <f t="shared" si="0"/>
        <v>21</v>
      </c>
      <c r="B22" t="s">
        <v>444</v>
      </c>
      <c r="C22" t="s">
        <v>489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445</v>
      </c>
      <c r="C23" t="s">
        <v>490</v>
      </c>
      <c r="D23" t="s">
        <v>446</v>
      </c>
      <c r="H23" t="b">
        <v>0</v>
      </c>
    </row>
    <row r="24" spans="1:8" x14ac:dyDescent="0.3">
      <c r="A24">
        <f>ROW(A24)-1</f>
        <v>23</v>
      </c>
      <c r="B24" t="s">
        <v>204</v>
      </c>
      <c r="C24" t="s">
        <v>499</v>
      </c>
      <c r="D24" t="s">
        <v>207</v>
      </c>
      <c r="H24" t="b">
        <v>0</v>
      </c>
    </row>
    <row r="25" spans="1:8" ht="15" customHeight="1" x14ac:dyDescent="0.3">
      <c r="A25">
        <f>ROW(A25)-1</f>
        <v>24</v>
      </c>
      <c r="B25" t="s">
        <v>321</v>
      </c>
      <c r="C25" t="s">
        <v>482</v>
      </c>
      <c r="D25" t="s">
        <v>322</v>
      </c>
      <c r="H25" t="b">
        <v>0</v>
      </c>
    </row>
    <row r="26" spans="1:8" x14ac:dyDescent="0.3">
      <c r="A26">
        <f>ROW(A26)-1</f>
        <v>25</v>
      </c>
      <c r="B26" t="s">
        <v>796</v>
      </c>
      <c r="C26" t="s">
        <v>803</v>
      </c>
      <c r="D26" t="s">
        <v>650</v>
      </c>
      <c r="H26" t="b">
        <v>0</v>
      </c>
    </row>
    <row r="27" spans="1:8" x14ac:dyDescent="0.3">
      <c r="A27">
        <f t="shared" si="0"/>
        <v>26</v>
      </c>
      <c r="B27" t="s">
        <v>262</v>
      </c>
      <c r="C27" t="s">
        <v>492</v>
      </c>
      <c r="D27" t="s">
        <v>263</v>
      </c>
      <c r="H27" t="b">
        <v>0</v>
      </c>
    </row>
    <row r="28" spans="1:8" x14ac:dyDescent="0.3">
      <c r="A28">
        <f t="shared" si="0"/>
        <v>27</v>
      </c>
      <c r="B28" t="s">
        <v>213</v>
      </c>
      <c r="C28" t="s">
        <v>491</v>
      </c>
      <c r="D28" t="s">
        <v>214</v>
      </c>
      <c r="H28" t="b">
        <v>0</v>
      </c>
    </row>
    <row r="29" spans="1:8" x14ac:dyDescent="0.3">
      <c r="A29">
        <f t="shared" si="0"/>
        <v>28</v>
      </c>
      <c r="B29" t="s">
        <v>215</v>
      </c>
      <c r="C29" t="s">
        <v>493</v>
      </c>
      <c r="D29" t="s">
        <v>217</v>
      </c>
      <c r="H29" t="b">
        <v>0</v>
      </c>
    </row>
    <row r="30" spans="1:8" x14ac:dyDescent="0.3">
      <c r="A30">
        <f t="shared" si="0"/>
        <v>29</v>
      </c>
      <c r="B30" t="s">
        <v>325</v>
      </c>
      <c r="C30" t="s">
        <v>494</v>
      </c>
      <c r="D30" t="s">
        <v>430</v>
      </c>
      <c r="H30" t="b">
        <v>0</v>
      </c>
    </row>
    <row r="31" spans="1:8" x14ac:dyDescent="0.3">
      <c r="A31">
        <f t="shared" si="0"/>
        <v>30</v>
      </c>
      <c r="B31" t="s">
        <v>451</v>
      </c>
      <c r="C31" t="s">
        <v>495</v>
      </c>
      <c r="D31" t="s">
        <v>431</v>
      </c>
      <c r="H31" t="b">
        <v>0</v>
      </c>
    </row>
    <row r="32" spans="1:8" x14ac:dyDescent="0.3">
      <c r="A32">
        <f>ROW(A32)-1</f>
        <v>31</v>
      </c>
      <c r="B32" t="s">
        <v>319</v>
      </c>
      <c r="C32" t="s">
        <v>496</v>
      </c>
      <c r="D32" t="s">
        <v>320</v>
      </c>
      <c r="H32" t="b">
        <v>0</v>
      </c>
    </row>
    <row r="33" spans="1:8" x14ac:dyDescent="0.3">
      <c r="A33">
        <f t="shared" si="0"/>
        <v>32</v>
      </c>
      <c r="B33" t="s">
        <v>326</v>
      </c>
      <c r="C33" t="s">
        <v>497</v>
      </c>
      <c r="D33" t="s">
        <v>327</v>
      </c>
      <c r="H33" t="b">
        <v>0</v>
      </c>
    </row>
    <row r="34" spans="1:8" x14ac:dyDescent="0.3">
      <c r="A34">
        <f t="shared" si="0"/>
        <v>33</v>
      </c>
      <c r="B34" t="s">
        <v>452</v>
      </c>
      <c r="C34" t="s">
        <v>498</v>
      </c>
      <c r="D34" t="s">
        <v>329</v>
      </c>
      <c r="H34" t="b">
        <v>0</v>
      </c>
    </row>
    <row r="35" spans="1:8" x14ac:dyDescent="0.3">
      <c r="A35">
        <f t="shared" si="0"/>
        <v>34</v>
      </c>
      <c r="B35" t="s">
        <v>742</v>
      </c>
      <c r="C35" t="s">
        <v>743</v>
      </c>
      <c r="D35" t="s">
        <v>775</v>
      </c>
      <c r="H35" t="b">
        <v>0</v>
      </c>
    </row>
    <row r="36" spans="1:8" x14ac:dyDescent="0.3">
      <c r="A36">
        <f t="shared" si="0"/>
        <v>35</v>
      </c>
      <c r="B36" t="s">
        <v>744</v>
      </c>
      <c r="C36" t="s">
        <v>745</v>
      </c>
      <c r="D36" t="s">
        <v>746</v>
      </c>
      <c r="H36" t="b">
        <v>0</v>
      </c>
    </row>
    <row r="37" spans="1:8" x14ac:dyDescent="0.3">
      <c r="A37">
        <f t="shared" si="0"/>
        <v>36</v>
      </c>
      <c r="B37" t="s">
        <v>750</v>
      </c>
      <c r="C37" t="s">
        <v>751</v>
      </c>
      <c r="D37" t="s">
        <v>799</v>
      </c>
      <c r="H37" t="b">
        <v>0</v>
      </c>
    </row>
    <row r="38" spans="1:8" x14ac:dyDescent="0.3">
      <c r="A38">
        <f t="shared" si="0"/>
        <v>37</v>
      </c>
      <c r="B38" t="s">
        <v>791</v>
      </c>
      <c r="C38" t="s">
        <v>792</v>
      </c>
      <c r="D38" t="s">
        <v>800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642</v>
      </c>
      <c r="D1" s="1" t="s">
        <v>670</v>
      </c>
      <c r="E1" s="1" t="s">
        <v>672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673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2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642</v>
      </c>
      <c r="D1" s="1" t="s">
        <v>81</v>
      </c>
      <c r="E1" s="1" t="s">
        <v>203</v>
      </c>
      <c r="F1" s="1" t="s">
        <v>671</v>
      </c>
      <c r="G1" s="1" t="s">
        <v>675</v>
      </c>
      <c r="H1" s="1" t="s">
        <v>49</v>
      </c>
      <c r="I1" s="1" t="s">
        <v>643</v>
      </c>
      <c r="J1" s="1" t="s">
        <v>644</v>
      </c>
      <c r="K1" s="1" t="s">
        <v>181</v>
      </c>
      <c r="L1" s="1" t="s">
        <v>461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541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542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645</v>
      </c>
      <c r="J4" t="s">
        <v>53</v>
      </c>
      <c r="K4" cm="1">
        <f t="array" ref="K4">GetLastId(A4)</f>
        <v>11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346</v>
      </c>
      <c r="J5" t="s">
        <v>543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652</v>
      </c>
      <c r="J7" t="s">
        <v>302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544</v>
      </c>
      <c r="K8" t="e" cm="1">
        <f t="array" ref="K8">GetLastId(A8)</f>
        <v>#VALUE!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545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653</v>
      </c>
      <c r="J10" t="s">
        <v>328</v>
      </c>
      <c r="K10" t="e" cm="1">
        <f t="array" ref="K10">GetLastId(A10)</f>
        <v>#VALUE!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654</v>
      </c>
      <c r="J12" t="s">
        <v>304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646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552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805</v>
      </c>
      <c r="J16" t="s">
        <v>806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656</v>
      </c>
      <c r="J18" t="s">
        <v>655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587</v>
      </c>
      <c r="J19" t="s">
        <v>647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658</v>
      </c>
      <c r="J20" t="s">
        <v>558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539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659</v>
      </c>
      <c r="J22" t="s">
        <v>648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660</v>
      </c>
      <c r="J23" t="s">
        <v>649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227</v>
      </c>
      <c r="J24" t="s">
        <v>546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271</v>
      </c>
      <c r="J25" t="s">
        <v>547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807</v>
      </c>
      <c r="J26" t="s">
        <v>650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265</v>
      </c>
      <c r="J27" t="s">
        <v>540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222</v>
      </c>
      <c r="J28" t="s">
        <v>548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661</v>
      </c>
      <c r="J29" t="s">
        <v>549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662</v>
      </c>
      <c r="J30" t="s">
        <v>325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663</v>
      </c>
      <c r="J31" t="s">
        <v>651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423</v>
      </c>
      <c r="J32" t="s">
        <v>550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664</v>
      </c>
      <c r="J33" t="s">
        <v>551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674</v>
      </c>
      <c r="J34" t="s">
        <v>808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770</v>
      </c>
      <c r="J35" t="s">
        <v>771</v>
      </c>
      <c r="K35" cm="1">
        <f t="array" ref="K35">GetLastId(A35)</f>
        <v>10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763</v>
      </c>
      <c r="J36" t="s">
        <v>772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768</v>
      </c>
      <c r="J37" t="s">
        <v>773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769</v>
      </c>
      <c r="J38" t="s">
        <v>774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56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203</v>
      </c>
      <c r="D1" s="6" t="s">
        <v>82</v>
      </c>
      <c r="E1" s="6" t="s">
        <v>178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188</v>
      </c>
      <c r="R1" s="6" t="s">
        <v>793</v>
      </c>
      <c r="S1" s="6" t="s">
        <v>87</v>
      </c>
      <c r="T1" s="9" t="s">
        <v>201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333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334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183</v>
      </c>
      <c r="H4" s="10" t="s">
        <v>331</v>
      </c>
      <c r="I4" s="10" t="s">
        <v>184</v>
      </c>
      <c r="J4" s="10" t="s">
        <v>184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280</v>
      </c>
      <c r="H5" s="10" t="s">
        <v>332</v>
      </c>
      <c r="I5" s="10" t="s">
        <v>332</v>
      </c>
      <c r="J5" s="10" t="s">
        <v>332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338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339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340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341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342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198</v>
      </c>
      <c r="H13" s="2" t="s">
        <v>343</v>
      </c>
      <c r="I13" s="2" t="s">
        <v>199</v>
      </c>
      <c r="J13" s="2" t="s">
        <v>199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599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187</v>
      </c>
      <c r="H15" s="2" t="s">
        <v>600</v>
      </c>
      <c r="I15" s="2" t="s">
        <v>189</v>
      </c>
      <c r="J15" s="2" t="s">
        <v>189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601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793</v>
      </c>
      <c r="H17" s="2" t="s">
        <v>794</v>
      </c>
      <c r="I17" s="2" t="s">
        <v>795</v>
      </c>
      <c r="J17" s="2" t="s">
        <v>795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344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272</v>
      </c>
      <c r="H19" s="10" t="s">
        <v>275</v>
      </c>
      <c r="I19" s="10" t="s">
        <v>276</v>
      </c>
      <c r="J19" s="10" t="s">
        <v>276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273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274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349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350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345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348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351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347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352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353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355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289</v>
      </c>
      <c r="H36" s="2" t="s">
        <v>356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357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354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358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186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565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272</v>
      </c>
      <c r="H48" s="2" t="s">
        <v>566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567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568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398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502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399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602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603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363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641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397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183</v>
      </c>
      <c r="H61" s="10" t="s">
        <v>365</v>
      </c>
      <c r="I61" s="10" t="s">
        <v>366</v>
      </c>
      <c r="J61" s="10" t="s">
        <v>366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367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368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289</v>
      </c>
      <c r="H64" s="2" t="s">
        <v>369</v>
      </c>
      <c r="I64" s="2" t="s">
        <v>346</v>
      </c>
      <c r="J64" s="2" t="s">
        <v>346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359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598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395</v>
      </c>
      <c r="I70" s="10" t="s">
        <v>396</v>
      </c>
      <c r="J70" s="10" t="s">
        <v>396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360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370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640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778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604</v>
      </c>
      <c r="H78" s="10" t="s">
        <v>780</v>
      </c>
      <c r="I78" s="10" t="s">
        <v>779</v>
      </c>
      <c r="J78" s="10" t="s">
        <v>779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678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680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670</v>
      </c>
      <c r="H81" s="2" t="s">
        <v>681</v>
      </c>
      <c r="I81" s="2" t="s">
        <v>681</v>
      </c>
      <c r="J81" s="2" t="s">
        <v>681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679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371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372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373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671</v>
      </c>
      <c r="H86" s="10" t="s">
        <v>682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597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643</v>
      </c>
      <c r="H88" s="10" t="s">
        <v>668</v>
      </c>
      <c r="I88" s="10" t="s">
        <v>666</v>
      </c>
      <c r="J88" s="10" t="s">
        <v>666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644</v>
      </c>
      <c r="H89" s="10" t="s">
        <v>669</v>
      </c>
      <c r="I89" s="10" t="s">
        <v>667</v>
      </c>
      <c r="J89" s="10" t="s">
        <v>667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181</v>
      </c>
      <c r="H90" s="10" t="s">
        <v>595</v>
      </c>
      <c r="I90" s="10" t="s">
        <v>182</v>
      </c>
      <c r="J90" s="10" t="s">
        <v>182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461</v>
      </c>
      <c r="H91" s="10" t="s">
        <v>605</v>
      </c>
      <c r="I91" s="10" t="s">
        <v>512</v>
      </c>
      <c r="J91" s="10" t="s">
        <v>512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402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403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405</v>
      </c>
      <c r="H94" s="2" t="s">
        <v>404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406</v>
      </c>
      <c r="H95" s="2" t="s">
        <v>407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410</v>
      </c>
      <c r="H96" s="2" t="s">
        <v>408</v>
      </c>
      <c r="I96" s="2" t="s">
        <v>409</v>
      </c>
      <c r="J96" s="2" t="s">
        <v>409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374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375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376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191</v>
      </c>
      <c r="J108" s="10" t="s">
        <v>191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192</v>
      </c>
      <c r="J109" s="10" t="s">
        <v>192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193</v>
      </c>
      <c r="J110" s="10" t="s">
        <v>193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188</v>
      </c>
      <c r="H111" s="10" t="s">
        <v>190</v>
      </c>
      <c r="I111" s="10" t="s">
        <v>194</v>
      </c>
      <c r="J111" s="10" t="s">
        <v>194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195</v>
      </c>
      <c r="J112" s="10" t="s">
        <v>195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201</v>
      </c>
      <c r="H113" s="10" t="s">
        <v>200</v>
      </c>
      <c r="I113" s="10" t="s">
        <v>202</v>
      </c>
      <c r="J113" s="10" t="s">
        <v>202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500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501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606</v>
      </c>
      <c r="I116" s="2" t="s">
        <v>589</v>
      </c>
      <c r="J116" s="2" t="s">
        <v>589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588</v>
      </c>
      <c r="H117" s="2" t="s">
        <v>590</v>
      </c>
      <c r="I117" s="2" t="s">
        <v>591</v>
      </c>
      <c r="J117" s="2" t="s">
        <v>591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607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608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323</v>
      </c>
      <c r="H120" s="10" t="s">
        <v>609</v>
      </c>
      <c r="I120" s="10" t="s">
        <v>411</v>
      </c>
      <c r="J120" s="10" t="s">
        <v>411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506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507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323</v>
      </c>
      <c r="H123" s="2" t="s">
        <v>508</v>
      </c>
      <c r="I123" s="2" t="s">
        <v>411</v>
      </c>
      <c r="J123" s="2" t="s">
        <v>411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377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570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378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610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611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612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614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613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509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510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511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364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272</v>
      </c>
      <c r="H138" s="2" t="s">
        <v>569</v>
      </c>
      <c r="I138" s="2" t="s">
        <v>276</v>
      </c>
      <c r="J138" s="2" t="s">
        <v>276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361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362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269</v>
      </c>
      <c r="H141" s="2" t="s">
        <v>468</v>
      </c>
      <c r="I141" s="2" t="s">
        <v>469</v>
      </c>
      <c r="J141" s="2" t="s">
        <v>469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400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401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443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463</v>
      </c>
      <c r="H145" s="10" t="s">
        <v>470</v>
      </c>
      <c r="I145" s="10" t="s">
        <v>471</v>
      </c>
      <c r="J145" s="10" t="s">
        <v>471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472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615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311</v>
      </c>
      <c r="H148" s="2" t="s">
        <v>616</v>
      </c>
      <c r="I148" s="2" t="s">
        <v>271</v>
      </c>
      <c r="J148" s="2" t="s">
        <v>271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226</v>
      </c>
      <c r="H149" s="2" t="s">
        <v>617</v>
      </c>
      <c r="I149" s="2" t="s">
        <v>227</v>
      </c>
      <c r="J149" s="2" t="s">
        <v>227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379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382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383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311</v>
      </c>
      <c r="H153" s="10" t="s">
        <v>385</v>
      </c>
      <c r="I153" s="10" t="s">
        <v>271</v>
      </c>
      <c r="J153" s="10" t="s">
        <v>271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384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386</v>
      </c>
      <c r="I155" s="10" t="s">
        <v>387</v>
      </c>
      <c r="J155" s="10" t="s">
        <v>387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380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264</v>
      </c>
      <c r="H157" s="2" t="s">
        <v>388</v>
      </c>
      <c r="I157" s="2" t="s">
        <v>265</v>
      </c>
      <c r="J157" s="2" t="s">
        <v>265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218</v>
      </c>
      <c r="H158" s="2" t="s">
        <v>618</v>
      </c>
      <c r="I158" s="2" t="s">
        <v>394</v>
      </c>
      <c r="J158" s="2" t="s">
        <v>394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381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219</v>
      </c>
      <c r="H160" s="10" t="s">
        <v>389</v>
      </c>
      <c r="I160" s="10" t="s">
        <v>222</v>
      </c>
      <c r="J160" s="10" t="s">
        <v>222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220</v>
      </c>
      <c r="H161" s="10" t="s">
        <v>390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223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228</v>
      </c>
      <c r="H163" s="10" t="s">
        <v>391</v>
      </c>
      <c r="I163" s="10" t="s">
        <v>229</v>
      </c>
      <c r="J163" s="10" t="s">
        <v>229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221</v>
      </c>
      <c r="H164" s="10" t="s">
        <v>392</v>
      </c>
      <c r="I164" s="10" t="s">
        <v>224</v>
      </c>
      <c r="J164" s="10" t="s">
        <v>224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218</v>
      </c>
      <c r="H165" s="10" t="s">
        <v>393</v>
      </c>
      <c r="I165" s="10" t="s">
        <v>394</v>
      </c>
      <c r="J165" s="10" t="s">
        <v>394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413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420</v>
      </c>
      <c r="I167" s="2" t="s">
        <v>418</v>
      </c>
      <c r="J167" s="2" t="s">
        <v>418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555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416</v>
      </c>
      <c r="H169" s="2" t="s">
        <v>414</v>
      </c>
      <c r="I169" s="2" t="s">
        <v>412</v>
      </c>
      <c r="J169" s="2" t="s">
        <v>412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687</v>
      </c>
      <c r="H170" s="2" t="s">
        <v>688</v>
      </c>
      <c r="I170" s="2" t="s">
        <v>690</v>
      </c>
      <c r="J170" s="2" t="s">
        <v>690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415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633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432</v>
      </c>
      <c r="H173" s="10" t="s">
        <v>634</v>
      </c>
      <c r="I173" s="10" t="s">
        <v>433</v>
      </c>
      <c r="J173" s="10" t="s">
        <v>433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312</v>
      </c>
      <c r="H174" s="10" t="s">
        <v>635</v>
      </c>
      <c r="I174" s="10" t="s">
        <v>419</v>
      </c>
      <c r="J174" s="10" t="s">
        <v>419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636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292</v>
      </c>
      <c r="H176" s="10" t="s">
        <v>637</v>
      </c>
      <c r="I176" s="10" t="s">
        <v>417</v>
      </c>
      <c r="J176" s="10" t="s">
        <v>417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293</v>
      </c>
      <c r="H177" s="10" t="s">
        <v>638</v>
      </c>
      <c r="I177" s="10" t="s">
        <v>429</v>
      </c>
      <c r="J177" s="10" t="s">
        <v>429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466</v>
      </c>
      <c r="H178" s="10" t="s">
        <v>639</v>
      </c>
      <c r="I178" s="10" t="s">
        <v>513</v>
      </c>
      <c r="J178" s="10" t="s">
        <v>513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335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336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337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620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294</v>
      </c>
      <c r="H183" s="10" t="s">
        <v>621</v>
      </c>
      <c r="I183" s="10" t="s">
        <v>423</v>
      </c>
      <c r="J183" s="10" t="s">
        <v>423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622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308</v>
      </c>
      <c r="H185" s="10" t="s">
        <v>619</v>
      </c>
      <c r="I185" s="10" t="s">
        <v>422</v>
      </c>
      <c r="J185" s="10" t="s">
        <v>422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424</v>
      </c>
      <c r="H186" s="10" t="s">
        <v>623</v>
      </c>
      <c r="I186" s="10" t="s">
        <v>425</v>
      </c>
      <c r="J186" s="10" t="s">
        <v>425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437</v>
      </c>
      <c r="H187" s="10" t="s">
        <v>439</v>
      </c>
      <c r="I187" s="10" t="s">
        <v>438</v>
      </c>
      <c r="J187" s="10" t="s">
        <v>438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436</v>
      </c>
      <c r="H188" s="10" t="s">
        <v>440</v>
      </c>
      <c r="I188" s="10" t="s">
        <v>441</v>
      </c>
      <c r="J188" s="10" t="s">
        <v>441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442</v>
      </c>
      <c r="H189" s="10" t="s">
        <v>624</v>
      </c>
      <c r="I189" s="10" t="s">
        <v>426</v>
      </c>
      <c r="J189" s="10" t="s">
        <v>426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305</v>
      </c>
      <c r="H190" s="10" t="s">
        <v>625</v>
      </c>
      <c r="I190" s="10" t="s">
        <v>427</v>
      </c>
      <c r="J190" s="10" t="s">
        <v>427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310</v>
      </c>
      <c r="H191" s="10" t="s">
        <v>626</v>
      </c>
      <c r="I191" s="10" t="s">
        <v>428</v>
      </c>
      <c r="J191" s="10" t="s">
        <v>428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687</v>
      </c>
      <c r="H192" s="10" t="s">
        <v>689</v>
      </c>
      <c r="I192" s="10" t="s">
        <v>690</v>
      </c>
      <c r="J192" s="10" t="s">
        <v>690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627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628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434</v>
      </c>
      <c r="H195" s="2" t="s">
        <v>629</v>
      </c>
      <c r="I195" s="2" t="s">
        <v>435</v>
      </c>
      <c r="J195" s="2" t="s">
        <v>435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226</v>
      </c>
      <c r="H196" s="2" t="s">
        <v>630</v>
      </c>
      <c r="I196" s="2" t="s">
        <v>421</v>
      </c>
      <c r="J196" s="2" t="s">
        <v>421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631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593</v>
      </c>
      <c r="H198" s="2" t="s">
        <v>632</v>
      </c>
      <c r="I198" s="2" t="s">
        <v>417</v>
      </c>
      <c r="J198" s="2" t="s">
        <v>417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754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755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776</v>
      </c>
      <c r="H201" s="10" t="s">
        <v>781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777</v>
      </c>
      <c r="H202" s="10" t="s">
        <v>782</v>
      </c>
      <c r="I202" s="10" t="s">
        <v>783</v>
      </c>
      <c r="J202" s="10" t="s">
        <v>783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756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757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740</v>
      </c>
      <c r="H205" s="2" t="s">
        <v>758</v>
      </c>
      <c r="I205" s="2" t="s">
        <v>645</v>
      </c>
      <c r="J205" s="2" t="s">
        <v>645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759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760</v>
      </c>
      <c r="I207" s="2" t="s">
        <v>387</v>
      </c>
      <c r="J207" s="2" t="s">
        <v>387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761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762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739</v>
      </c>
      <c r="H210" s="10" t="s">
        <v>764</v>
      </c>
      <c r="I210" s="10" t="s">
        <v>763</v>
      </c>
      <c r="J210" s="10" t="s">
        <v>763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747</v>
      </c>
      <c r="H211" s="10" t="s">
        <v>766</v>
      </c>
      <c r="I211" s="10" t="s">
        <v>765</v>
      </c>
      <c r="J211" s="10" t="s">
        <v>765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767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749</v>
      </c>
      <c r="H213" s="2" t="s">
        <v>784</v>
      </c>
      <c r="I213" s="2" t="s">
        <v>768</v>
      </c>
      <c r="J213" s="2" t="s">
        <v>768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790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748</v>
      </c>
      <c r="H215" s="2" t="s">
        <v>785</v>
      </c>
      <c r="I215" s="2" t="s">
        <v>770</v>
      </c>
      <c r="J215" s="2" t="s">
        <v>770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747</v>
      </c>
      <c r="H216" s="2" t="s">
        <v>786</v>
      </c>
      <c r="I216" s="2" t="s">
        <v>765</v>
      </c>
      <c r="J216" s="2" t="s">
        <v>765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787</v>
      </c>
      <c r="H217" s="2" t="s">
        <v>788</v>
      </c>
      <c r="I217" s="2" t="s">
        <v>789</v>
      </c>
      <c r="J217" s="2" t="s">
        <v>789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activeCell="E2" sqref="E2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813</v>
      </c>
      <c r="D1" s="3" t="s">
        <v>809</v>
      </c>
      <c r="E1" s="3" t="s">
        <v>814</v>
      </c>
      <c r="F1" s="24" t="s">
        <v>810</v>
      </c>
      <c r="G1" s="3" t="s">
        <v>811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818</v>
      </c>
      <c r="F2" s="25">
        <v>0</v>
      </c>
      <c r="G2" s="4" t="s">
        <v>815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819</v>
      </c>
      <c r="F3" s="25">
        <v>0</v>
      </c>
      <c r="G3" s="4" t="s">
        <v>815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820</v>
      </c>
      <c r="F4" s="25">
        <v>0</v>
      </c>
      <c r="G4" s="4" t="s">
        <v>815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821</v>
      </c>
      <c r="F5" s="25">
        <v>0</v>
      </c>
      <c r="G5" s="4" t="s">
        <v>815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822</v>
      </c>
      <c r="F6" s="25" t="s">
        <v>817</v>
      </c>
      <c r="G6" s="4" t="s">
        <v>816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812</v>
      </c>
      <c r="C1" s="3" t="s">
        <v>152</v>
      </c>
      <c r="D1" s="3" t="s">
        <v>825</v>
      </c>
      <c r="E1" s="3" t="s">
        <v>823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824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180</v>
      </c>
      <c r="D1" s="6" t="s">
        <v>81</v>
      </c>
      <c r="E1" s="6" t="s">
        <v>203</v>
      </c>
      <c r="F1" s="6" t="s">
        <v>588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180</v>
      </c>
      <c r="D1" s="1" t="s">
        <v>323</v>
      </c>
      <c r="E1" s="1" t="s">
        <v>324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180</v>
      </c>
      <c r="D1" s="1" t="s">
        <v>323</v>
      </c>
      <c r="E1" s="1" t="s">
        <v>324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176</v>
      </c>
      <c r="D1" s="1" t="s">
        <v>81</v>
      </c>
      <c r="E1" s="1" t="s">
        <v>177</v>
      </c>
      <c r="F1" s="1" t="s">
        <v>203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514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515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516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517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518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519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520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521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584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522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523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527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528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686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524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525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529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530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583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684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685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531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596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532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534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533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535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536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537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572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573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574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575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585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526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683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571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576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577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538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578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592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579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580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581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594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582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179</v>
      </c>
      <c r="D1" s="1" t="s">
        <v>152</v>
      </c>
      <c r="E1" s="1" t="s">
        <v>180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179</v>
      </c>
      <c r="D1" s="1" t="s">
        <v>177</v>
      </c>
      <c r="E1" s="1" t="s">
        <v>152</v>
      </c>
      <c r="F1" s="1" t="s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11" activePane="bottomLeft" state="frozen"/>
      <selection pane="bottomLeft" activeCell="D22" sqref="D22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269</v>
      </c>
    </row>
    <row r="2" spans="1:4" x14ac:dyDescent="0.3">
      <c r="A2">
        <f>ROW(A2)-1</f>
        <v>1</v>
      </c>
      <c r="B2" t="s">
        <v>453</v>
      </c>
      <c r="C2" t="s">
        <v>456</v>
      </c>
      <c r="D2" t="s">
        <v>802</v>
      </c>
    </row>
    <row r="3" spans="1:4" x14ac:dyDescent="0.3">
      <c r="A3">
        <f t="shared" ref="A3:A4" si="0">ROW(A3)-1</f>
        <v>2</v>
      </c>
      <c r="B3" t="s">
        <v>454</v>
      </c>
      <c r="C3" t="s">
        <v>457</v>
      </c>
      <c r="D3" t="s">
        <v>802</v>
      </c>
    </row>
    <row r="4" spans="1:4" x14ac:dyDescent="0.3">
      <c r="A4">
        <f t="shared" si="0"/>
        <v>3</v>
      </c>
      <c r="B4" t="s">
        <v>455</v>
      </c>
      <c r="C4" t="s">
        <v>458</v>
      </c>
      <c r="D4" t="s">
        <v>802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E4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2.33203125" bestFit="1" customWidth="1"/>
    <col min="5" max="5" width="16.77734375" bestFit="1" customWidth="1"/>
  </cols>
  <sheetData>
    <row r="1" spans="1:5" s="1" customFormat="1" x14ac:dyDescent="0.3">
      <c r="A1" s="1" t="s">
        <v>0</v>
      </c>
      <c r="B1" s="1" t="s">
        <v>67</v>
      </c>
      <c r="C1" s="1" t="s">
        <v>176</v>
      </c>
      <c r="D1" s="1" t="s">
        <v>226</v>
      </c>
      <c r="E1" s="1" t="s">
        <v>460</v>
      </c>
    </row>
    <row r="2" spans="1:5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GetValue("Con",D2,"Name")</f>
        <v>crudex-dev</v>
      </c>
    </row>
    <row r="3" spans="1:5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GetValue("Con",D3,"Name")</f>
        <v>crudex-hml</v>
      </c>
    </row>
    <row r="4" spans="1:5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GetValue("Con",D4,"Name")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311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264</v>
      </c>
      <c r="C1" s="1" t="s">
        <v>218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219</v>
      </c>
      <c r="C1" s="1" t="s">
        <v>220</v>
      </c>
      <c r="D1" s="1" t="s">
        <v>51</v>
      </c>
      <c r="E1" s="1" t="s">
        <v>228</v>
      </c>
      <c r="F1" s="1" t="s">
        <v>221</v>
      </c>
      <c r="G1" s="1" t="s">
        <v>218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177</v>
      </c>
      <c r="D1" s="1" t="s">
        <v>1</v>
      </c>
      <c r="E1" s="1" t="s">
        <v>416</v>
      </c>
      <c r="F1" s="1" t="s">
        <v>687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432</v>
      </c>
      <c r="C1" s="1" t="s">
        <v>553</v>
      </c>
      <c r="D1" s="1" t="s">
        <v>312</v>
      </c>
      <c r="E1" s="1" t="s">
        <v>49</v>
      </c>
      <c r="F1" s="1" t="s">
        <v>292</v>
      </c>
      <c r="G1" s="1" t="s">
        <v>293</v>
      </c>
      <c r="H1" s="1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activeCell="B2" sqref="B2:B7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306</v>
      </c>
      <c r="C2" t="s">
        <v>313</v>
      </c>
    </row>
    <row r="3" spans="1:3" x14ac:dyDescent="0.3">
      <c r="A3" s="4">
        <f t="shared" si="0"/>
        <v>2</v>
      </c>
      <c r="B3" s="4" t="s">
        <v>307</v>
      </c>
      <c r="C3" t="s">
        <v>314</v>
      </c>
    </row>
    <row r="4" spans="1:3" x14ac:dyDescent="0.3">
      <c r="A4" s="4">
        <f t="shared" si="0"/>
        <v>3</v>
      </c>
      <c r="B4" s="4" t="s">
        <v>295</v>
      </c>
      <c r="C4" t="s">
        <v>315</v>
      </c>
    </row>
    <row r="5" spans="1:3" x14ac:dyDescent="0.3">
      <c r="A5" s="4">
        <f t="shared" si="0"/>
        <v>4</v>
      </c>
      <c r="B5" s="4" t="s">
        <v>296</v>
      </c>
      <c r="C5" t="s">
        <v>316</v>
      </c>
    </row>
    <row r="6" spans="1:3" x14ac:dyDescent="0.3">
      <c r="A6" s="4">
        <f t="shared" si="0"/>
        <v>5</v>
      </c>
      <c r="B6" s="4" t="s">
        <v>297</v>
      </c>
      <c r="C6" t="s">
        <v>317</v>
      </c>
    </row>
    <row r="7" spans="1:3" x14ac:dyDescent="0.3">
      <c r="A7" s="4">
        <f t="shared" si="0"/>
        <v>6</v>
      </c>
      <c r="B7" s="4" t="s">
        <v>298</v>
      </c>
      <c r="C7" t="s">
        <v>318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294</v>
      </c>
      <c r="C1" s="1" t="s">
        <v>309</v>
      </c>
      <c r="D1" s="1" t="s">
        <v>1</v>
      </c>
      <c r="E1" s="1" t="s">
        <v>308</v>
      </c>
      <c r="F1" s="1" t="s">
        <v>424</v>
      </c>
      <c r="G1" s="1" t="s">
        <v>437</v>
      </c>
      <c r="H1" s="1" t="s">
        <v>436</v>
      </c>
      <c r="I1" s="1" t="s">
        <v>442</v>
      </c>
      <c r="J1" s="1" t="s">
        <v>305</v>
      </c>
      <c r="K1" s="1" t="s">
        <v>310</v>
      </c>
      <c r="L1" s="1" t="s">
        <v>687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434</v>
      </c>
      <c r="C1" s="1" t="s">
        <v>554</v>
      </c>
      <c r="D1" s="1" t="s">
        <v>226</v>
      </c>
      <c r="E1" s="1" t="s">
        <v>49</v>
      </c>
      <c r="F1" s="1" t="s">
        <v>593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B26"/>
  <sheetViews>
    <sheetView workbookViewId="0">
      <selection activeCell="B15" sqref="B15"/>
    </sheetView>
  </sheetViews>
  <sheetFormatPr defaultRowHeight="14.4" x14ac:dyDescent="0.3"/>
  <cols>
    <col min="1" max="1" width="3" bestFit="1" customWidth="1"/>
    <col min="2" max="2" width="7" style="23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s="23" t="s">
        <v>691</v>
      </c>
    </row>
    <row r="3" spans="1:2" x14ac:dyDescent="0.3">
      <c r="A3">
        <f t="shared" ref="A3:A7" si="0">ROW(A3)-1</f>
        <v>2</v>
      </c>
      <c r="B3" s="23" t="s">
        <v>752</v>
      </c>
    </row>
    <row r="4" spans="1:2" x14ac:dyDescent="0.3">
      <c r="A4">
        <f t="shared" si="0"/>
        <v>3</v>
      </c>
      <c r="B4" s="23" t="s">
        <v>692</v>
      </c>
    </row>
    <row r="5" spans="1:2" x14ac:dyDescent="0.3">
      <c r="A5">
        <f t="shared" si="0"/>
        <v>4</v>
      </c>
      <c r="B5" s="23" t="s">
        <v>874</v>
      </c>
    </row>
    <row r="6" spans="1:2" x14ac:dyDescent="0.3">
      <c r="A6">
        <f>ROW(A6)-1</f>
        <v>5</v>
      </c>
      <c r="B6" s="23" t="s">
        <v>753</v>
      </c>
    </row>
    <row r="7" spans="1:2" x14ac:dyDescent="0.3">
      <c r="A7">
        <f t="shared" si="0"/>
        <v>6</v>
      </c>
      <c r="B7" s="23" t="s">
        <v>693</v>
      </c>
    </row>
    <row r="8" spans="1:2" x14ac:dyDescent="0.3">
      <c r="A8">
        <f>ROW(A8)-1</f>
        <v>7</v>
      </c>
      <c r="B8" s="23" t="s">
        <v>875</v>
      </c>
    </row>
    <row r="9" spans="1:2" x14ac:dyDescent="0.3">
      <c r="A9">
        <f t="shared" ref="A9:A11" si="1">ROW(A9)-1</f>
        <v>8</v>
      </c>
      <c r="B9" s="23" t="s">
        <v>876</v>
      </c>
    </row>
    <row r="10" spans="1:2" x14ac:dyDescent="0.3">
      <c r="A10">
        <f t="shared" si="1"/>
        <v>9</v>
      </c>
      <c r="B10" s="23" t="s">
        <v>872</v>
      </c>
    </row>
    <row r="11" spans="1:2" x14ac:dyDescent="0.3">
      <c r="A11">
        <f t="shared" si="1"/>
        <v>10</v>
      </c>
      <c r="B11" s="23" t="s">
        <v>873</v>
      </c>
    </row>
    <row r="25" spans="1:2" x14ac:dyDescent="0.3">
      <c r="A25">
        <f t="shared" ref="A25:A26" si="2">ROW(A25)-1</f>
        <v>24</v>
      </c>
      <c r="B25" s="23" t="s">
        <v>694</v>
      </c>
    </row>
    <row r="26" spans="1:2" x14ac:dyDescent="0.3">
      <c r="A26">
        <f t="shared" si="2"/>
        <v>25</v>
      </c>
      <c r="B26" s="23" t="s">
        <v>871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activeCell="C14" sqref="C14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740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701</v>
      </c>
      <c r="C2" s="4"/>
      <c r="D2" s="4" t="s">
        <v>711</v>
      </c>
      <c r="E2" t="b">
        <v>1</v>
      </c>
    </row>
    <row r="3" spans="1:5" x14ac:dyDescent="0.3">
      <c r="A3" s="4">
        <v>2</v>
      </c>
      <c r="B3" s="4" t="s">
        <v>700</v>
      </c>
      <c r="C3" s="4"/>
      <c r="D3" s="4" t="s">
        <v>712</v>
      </c>
      <c r="E3" t="b">
        <v>1</v>
      </c>
    </row>
    <row r="4" spans="1:5" x14ac:dyDescent="0.3">
      <c r="A4" s="4">
        <v>3</v>
      </c>
      <c r="B4" s="4" t="s">
        <v>699</v>
      </c>
      <c r="C4" s="4"/>
      <c r="D4" s="4" t="s">
        <v>713</v>
      </c>
      <c r="E4" t="b">
        <v>1</v>
      </c>
    </row>
    <row r="5" spans="1:5" x14ac:dyDescent="0.3">
      <c r="A5" s="4">
        <v>4</v>
      </c>
      <c r="B5" s="4" t="s">
        <v>698</v>
      </c>
      <c r="C5" s="4"/>
      <c r="D5" s="4" t="s">
        <v>714</v>
      </c>
      <c r="E5" t="b">
        <v>1</v>
      </c>
    </row>
    <row r="6" spans="1:5" x14ac:dyDescent="0.3">
      <c r="A6" s="4">
        <v>5</v>
      </c>
      <c r="B6" s="4" t="s">
        <v>697</v>
      </c>
      <c r="C6" s="4"/>
      <c r="D6" s="4" t="s">
        <v>715</v>
      </c>
      <c r="E6" t="b">
        <v>1</v>
      </c>
    </row>
    <row r="7" spans="1:5" x14ac:dyDescent="0.3">
      <c r="A7" s="4">
        <v>6</v>
      </c>
      <c r="B7" s="4" t="s">
        <v>695</v>
      </c>
      <c r="C7" s="4"/>
      <c r="D7" s="4" t="s">
        <v>716</v>
      </c>
      <c r="E7" t="b">
        <v>1</v>
      </c>
    </row>
    <row r="8" spans="1:5" x14ac:dyDescent="0.3">
      <c r="A8" s="4">
        <v>7</v>
      </c>
      <c r="B8" s="4" t="s">
        <v>696</v>
      </c>
      <c r="C8" s="4"/>
      <c r="D8" s="4" t="s">
        <v>717</v>
      </c>
      <c r="E8" t="b">
        <v>1</v>
      </c>
    </row>
    <row r="9" spans="1:5" x14ac:dyDescent="0.3">
      <c r="A9" s="4">
        <v>9</v>
      </c>
      <c r="B9" s="4" t="s">
        <v>707</v>
      </c>
      <c r="C9" s="4" t="s">
        <v>709</v>
      </c>
      <c r="D9" s="4" t="s">
        <v>718</v>
      </c>
      <c r="E9" t="b">
        <v>1</v>
      </c>
    </row>
    <row r="10" spans="1:5" x14ac:dyDescent="0.3">
      <c r="A10" s="4">
        <v>10</v>
      </c>
      <c r="B10" s="4" t="s">
        <v>719</v>
      </c>
      <c r="C10" s="4" t="s">
        <v>7</v>
      </c>
      <c r="D10" s="4" t="s">
        <v>720</v>
      </c>
      <c r="E10" t="b">
        <v>1</v>
      </c>
    </row>
    <row r="11" spans="1:5" x14ac:dyDescent="0.3">
      <c r="A11" s="4">
        <v>11</v>
      </c>
      <c r="B11" s="4" t="s">
        <v>721</v>
      </c>
      <c r="C11" s="4" t="s">
        <v>7</v>
      </c>
      <c r="D11" s="4" t="s">
        <v>722</v>
      </c>
      <c r="E11" t="b">
        <v>1</v>
      </c>
    </row>
    <row r="12" spans="1:5" x14ac:dyDescent="0.3">
      <c r="A12" s="4">
        <v>12</v>
      </c>
      <c r="B12" s="4" t="s">
        <v>723</v>
      </c>
      <c r="C12" s="4" t="s">
        <v>7</v>
      </c>
      <c r="D12" s="4" t="s">
        <v>724</v>
      </c>
      <c r="E12" t="b">
        <v>1</v>
      </c>
    </row>
    <row r="13" spans="1:5" x14ac:dyDescent="0.3">
      <c r="A13" s="4">
        <v>13</v>
      </c>
      <c r="B13" s="4" t="s">
        <v>725</v>
      </c>
      <c r="C13" s="4" t="s">
        <v>7</v>
      </c>
      <c r="D13" s="4" t="s">
        <v>726</v>
      </c>
      <c r="E13" t="b">
        <v>1</v>
      </c>
    </row>
    <row r="14" spans="1:5" x14ac:dyDescent="0.3">
      <c r="A14" s="4">
        <v>14</v>
      </c>
      <c r="B14" s="4" t="s">
        <v>702</v>
      </c>
      <c r="C14" s="4" t="s">
        <v>230</v>
      </c>
      <c r="D14" s="4" t="s">
        <v>727</v>
      </c>
      <c r="E14" t="b">
        <v>1</v>
      </c>
    </row>
    <row r="15" spans="1:5" x14ac:dyDescent="0.3">
      <c r="A15" s="4">
        <v>15</v>
      </c>
      <c r="B15" s="4" t="s">
        <v>703</v>
      </c>
      <c r="C15" s="4" t="s">
        <v>230</v>
      </c>
      <c r="D15" s="4" t="s">
        <v>728</v>
      </c>
      <c r="E15" t="b">
        <v>1</v>
      </c>
    </row>
    <row r="16" spans="1:5" x14ac:dyDescent="0.3">
      <c r="A16" s="4">
        <v>16</v>
      </c>
      <c r="B16" s="4" t="s">
        <v>704</v>
      </c>
      <c r="C16" s="4" t="s">
        <v>230</v>
      </c>
      <c r="D16" s="4" t="s">
        <v>729</v>
      </c>
      <c r="E16" t="b">
        <v>1</v>
      </c>
    </row>
    <row r="17" spans="1:5" x14ac:dyDescent="0.3">
      <c r="A17" s="4">
        <v>17</v>
      </c>
      <c r="B17" s="4" t="s">
        <v>705</v>
      </c>
      <c r="C17" s="4" t="s">
        <v>230</v>
      </c>
      <c r="D17" s="4" t="s">
        <v>730</v>
      </c>
      <c r="E17" t="b">
        <v>1</v>
      </c>
    </row>
    <row r="18" spans="1:5" x14ac:dyDescent="0.3">
      <c r="A18" s="4">
        <v>18</v>
      </c>
      <c r="B18" s="4" t="s">
        <v>731</v>
      </c>
      <c r="C18" s="4" t="s">
        <v>230</v>
      </c>
      <c r="D18" s="4" t="s">
        <v>732</v>
      </c>
      <c r="E18" t="b">
        <v>1</v>
      </c>
    </row>
    <row r="19" spans="1:5" x14ac:dyDescent="0.3">
      <c r="A19" s="4">
        <v>19</v>
      </c>
      <c r="B19" s="4" t="s">
        <v>706</v>
      </c>
      <c r="C19" s="4" t="s">
        <v>708</v>
      </c>
      <c r="D19" s="4" t="s">
        <v>733</v>
      </c>
      <c r="E19" t="b">
        <v>1</v>
      </c>
    </row>
    <row r="20" spans="1:5" x14ac:dyDescent="0.3">
      <c r="A20" s="4">
        <v>20</v>
      </c>
      <c r="B20" s="4" t="s">
        <v>734</v>
      </c>
      <c r="C20" s="4" t="s">
        <v>7</v>
      </c>
      <c r="D20" s="4" t="s">
        <v>735</v>
      </c>
      <c r="E20" t="b">
        <v>1</v>
      </c>
    </row>
    <row r="21" spans="1:5" x14ac:dyDescent="0.3">
      <c r="A21" s="4">
        <v>22</v>
      </c>
      <c r="B21" s="4" t="s">
        <v>736</v>
      </c>
      <c r="C21" s="4" t="s">
        <v>7</v>
      </c>
      <c r="D21" s="4" t="s">
        <v>737</v>
      </c>
      <c r="E21" t="b">
        <v>1</v>
      </c>
    </row>
    <row r="22" spans="1:5" x14ac:dyDescent="0.3">
      <c r="A22" s="4">
        <v>24</v>
      </c>
      <c r="B22" s="4" t="s">
        <v>710</v>
      </c>
      <c r="C22" s="4" t="s">
        <v>7</v>
      </c>
      <c r="D22" s="4" t="s">
        <v>738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I12" sqref="I12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180</v>
      </c>
      <c r="D1" s="1" t="s">
        <v>739</v>
      </c>
      <c r="E1" s="1" t="s">
        <v>741</v>
      </c>
      <c r="F1" s="1" t="s">
        <v>747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H3"/>
  <sheetViews>
    <sheetView workbookViewId="0">
      <selection activeCell="A4" sqref="A4"/>
    </sheetView>
  </sheetViews>
  <sheetFormatPr defaultRowHeight="14.4" x14ac:dyDescent="0.3"/>
  <cols>
    <col min="1" max="1" width="3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8.5546875" style="23" bestFit="1" customWidth="1"/>
    <col min="6" max="6" width="5.77734375" bestFit="1" customWidth="1"/>
    <col min="7" max="7" width="14.6640625" bestFit="1" customWidth="1"/>
    <col min="8" max="8" width="11.77734375" bestFit="1" customWidth="1"/>
  </cols>
  <sheetData>
    <row r="1" spans="1:8" x14ac:dyDescent="0.3">
      <c r="A1" s="1" t="s">
        <v>879</v>
      </c>
      <c r="B1" s="1" t="s">
        <v>749</v>
      </c>
      <c r="C1" s="1" t="s">
        <v>152</v>
      </c>
      <c r="D1" s="1" t="s">
        <v>180</v>
      </c>
      <c r="E1" s="1" t="s">
        <v>878</v>
      </c>
      <c r="F1" s="1" t="s">
        <v>747</v>
      </c>
      <c r="G1" s="1" t="s">
        <v>787</v>
      </c>
      <c r="H1" s="1" t="s">
        <v>869</v>
      </c>
    </row>
    <row r="2" spans="1:8" x14ac:dyDescent="0.3">
      <c r="A2">
        <f>ROW(A2)-1</f>
        <v>1</v>
      </c>
      <c r="B2">
        <v>1</v>
      </c>
      <c r="C2">
        <v>1</v>
      </c>
      <c r="D2" t="str" cm="1">
        <f t="array" ref="D2">GetValue("Col",C2,"Name")</f>
        <v>Id (Cli)</v>
      </c>
      <c r="E2" s="23" t="s">
        <v>874</v>
      </c>
      <c r="F2">
        <v>10</v>
      </c>
      <c r="G2" t="b">
        <v>1</v>
      </c>
      <c r="H2" t="b">
        <v>1</v>
      </c>
    </row>
    <row r="3" spans="1:8" x14ac:dyDescent="0.3">
      <c r="A3">
        <f>ROW(A3)-1</f>
        <v>2</v>
      </c>
      <c r="B3">
        <v>1</v>
      </c>
      <c r="C3">
        <v>1</v>
      </c>
      <c r="D3" t="str" cm="1">
        <f t="array" ref="D3">GetValue("Col",C3,"Name")</f>
        <v>Id (Cli)</v>
      </c>
      <c r="E3" s="23" t="s">
        <v>752</v>
      </c>
      <c r="F3">
        <v>20</v>
      </c>
      <c r="H3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38</vt:i4>
      </vt:variant>
    </vt:vector>
  </HeadingPairs>
  <TitlesOfParts>
    <vt:vector size="38" baseType="lpstr">
      <vt:lpstr>Config</vt:lpstr>
      <vt:lpstr>Sgbd</vt:lpstr>
      <vt:lpstr>Typ</vt:lpstr>
      <vt:lpstr>Cli</vt:lpstr>
      <vt:lpstr>Dmn</vt:lpstr>
      <vt:lpstr>Msk</vt:lpstr>
      <vt:lpstr>DmnMsk</vt:lpstr>
      <vt:lpstr>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ChkDig</vt:lpstr>
      <vt:lpstr>ChkCnd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2025-11-02T09:40:59Z</dcterms:modified>
</cp:coreProperties>
</file>